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defaultThemeVersion="124226"/>
  <mc:AlternateContent xmlns:mc="http://schemas.openxmlformats.org/markup-compatibility/2006">
    <mc:Choice Requires="x15">
      <x15ac:absPath xmlns:x15ac="http://schemas.microsoft.com/office/spreadsheetml/2010/11/ac" url="C:\Users\soyte\OneDrive\Desktop\"/>
    </mc:Choice>
  </mc:AlternateContent>
  <xr:revisionPtr revIDLastSave="0" documentId="8_{BE687D49-A986-415B-A86A-B383C23A02E5}" xr6:coauthVersionLast="47" xr6:coauthVersionMax="47" xr10:uidLastSave="{00000000-0000-0000-0000-000000000000}"/>
  <bookViews>
    <workbookView xWindow="-108" yWindow="-108" windowWidth="23256" windowHeight="12456"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F52" i="2"/>
  <c r="F55" i="2"/>
  <c r="E52" i="2"/>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31" i="2"/>
  <c r="BU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V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CB32" i="2"/>
  <c r="H53" i="2"/>
  <c r="CB33" i="2"/>
  <c r="I53" i="2"/>
  <c r="I52" i="2"/>
  <c r="CB30" i="2" s="1"/>
  <c r="H52" i="2"/>
  <c r="CA31" i="2" s="1"/>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A32" i="2"/>
  <c r="CC32" i="2" s="1"/>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A53" i="2" l="1"/>
  <c r="CB49" i="2"/>
  <c r="CC52" i="2"/>
  <c r="CB53" i="2"/>
  <c r="CC50" i="2"/>
  <c r="CA49" i="2"/>
  <c r="CA47" i="2"/>
  <c r="CB47" i="2"/>
  <c r="CB42" i="2"/>
  <c r="CA44" i="2"/>
  <c r="CC44" i="2" s="1"/>
  <c r="CC43" i="2"/>
  <c r="CA42" i="2"/>
  <c r="CC40" i="2"/>
  <c r="CC38" i="2"/>
  <c r="CC39" i="2"/>
  <c r="CB35" i="2"/>
  <c r="CA35" i="2"/>
  <c r="CC35" i="2" s="1"/>
  <c r="CA36" i="2"/>
  <c r="CC36" i="2" s="1"/>
  <c r="CC37" i="2"/>
  <c r="CC34" i="2"/>
  <c r="CB31" i="2"/>
  <c r="CC31" i="2" s="1"/>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53" i="2" l="1"/>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L55" i="2"/>
  <c r="K56" i="2"/>
  <c r="CF32" i="2"/>
  <c r="K53" i="2"/>
  <c r="CF33" i="2" s="1"/>
  <c r="L53" i="2"/>
  <c r="K52" i="2"/>
  <c r="CF31"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47" i="2" l="1"/>
  <c r="CF49" i="2"/>
  <c r="CF42" i="2"/>
  <c r="CF37" i="2"/>
  <c r="CF25" i="2"/>
  <c r="CF15" i="2"/>
  <c r="CF14" i="2"/>
  <c r="CF13" i="2"/>
  <c r="CF10" i="2"/>
  <c r="CG53" i="2" s="1"/>
  <c r="CG50" i="2"/>
  <c r="CG51" i="2" l="1"/>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O54" i="2"/>
  <c r="O56" i="2"/>
  <c r="O53" i="2"/>
  <c r="N55" i="2"/>
  <c r="CK6" i="2"/>
  <c r="CK32" i="2"/>
  <c r="N53" i="2"/>
  <c r="CJ30" i="2"/>
  <c r="N52" i="2"/>
  <c r="CI31" i="2" s="1"/>
  <c r="CK31" i="2"/>
  <c r="O52" i="2"/>
  <c r="CK30" i="2" s="1"/>
  <c r="N47" i="2"/>
  <c r="N49" i="2"/>
  <c r="N46" i="2"/>
  <c r="O49" i="2"/>
  <c r="O4" i="2"/>
  <c r="O47" i="2"/>
  <c r="N48" i="2"/>
  <c r="O46" i="2"/>
  <c r="O48" i="2"/>
  <c r="CI47"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J31"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CI32" i="2"/>
  <c r="O12" i="2"/>
  <c r="CK10" i="2" s="1"/>
  <c r="CK34" i="2"/>
  <c r="O22" i="2"/>
  <c r="N25" i="2"/>
  <c r="CI46" i="2"/>
  <c r="O14" i="2"/>
  <c r="CK13" i="2" s="1"/>
  <c r="O23" i="2"/>
  <c r="O25" i="2"/>
  <c r="CJ11" i="2"/>
  <c r="CI10" i="2"/>
  <c r="N17" i="2"/>
  <c r="CI34" i="2"/>
  <c r="CL34" i="2" s="1"/>
  <c r="CK44" i="2"/>
  <c r="CJ44" i="2"/>
  <c r="CJ46" i="2"/>
  <c r="N15" i="2"/>
  <c r="CJ32"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K53" i="2" l="1"/>
  <c r="CL53" i="2"/>
  <c r="CL52" i="2"/>
  <c r="CL47" i="2"/>
  <c r="CL48" i="2"/>
  <c r="CL49" i="2"/>
  <c r="CL42" i="2"/>
  <c r="CL35" i="2"/>
  <c r="CL30" i="2"/>
  <c r="CL27" i="2"/>
  <c r="CL22" i="2"/>
  <c r="CL31"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R57" i="2"/>
  <c r="R54" i="2"/>
  <c r="R56" i="2"/>
  <c r="R55" i="2"/>
  <c r="Q56" i="2"/>
  <c r="R53" i="2"/>
  <c r="Q55" i="2"/>
  <c r="CO11" i="2"/>
  <c r="CP32" i="2"/>
  <c r="Q53" i="2"/>
  <c r="R14" i="2"/>
  <c r="Q52" i="2"/>
  <c r="CO31" i="2" s="1"/>
  <c r="CQ31" i="2" s="1"/>
  <c r="CP31"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O32" i="2"/>
  <c r="CQ32" i="2" s="1"/>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O47" i="2" l="1"/>
  <c r="CQ53" i="2"/>
  <c r="CP49" i="2"/>
  <c r="CQ52" i="2"/>
  <c r="CP47" i="2"/>
  <c r="CQ47" i="2" s="1"/>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9" i="2" l="1"/>
  <c r="CQ13" i="2"/>
  <c r="CR6" i="2"/>
  <c r="CQ14" i="2"/>
  <c r="CR16" i="2"/>
  <c r="CR9" i="2"/>
  <c r="CR36" i="2"/>
  <c r="CR39" i="2"/>
  <c r="CR41" i="2"/>
  <c r="CR23" i="2"/>
  <c r="CQ15" i="2"/>
  <c r="CR25" i="2" s="1"/>
  <c r="CR33" i="2"/>
  <c r="CR51" i="2"/>
  <c r="CR26" i="2"/>
  <c r="CR11" i="2"/>
  <c r="CR12" i="2"/>
  <c r="CR20" i="2"/>
  <c r="CR8" i="2"/>
  <c r="CR29" i="2"/>
  <c r="CR7" i="2"/>
  <c r="CR17" i="2"/>
  <c r="CR27" i="2"/>
  <c r="CR21" i="2"/>
  <c r="CR53" i="2"/>
  <c r="CR22" i="2"/>
  <c r="CR52" i="2"/>
  <c r="CR45" i="2"/>
  <c r="CR31" i="2"/>
  <c r="CR24" i="2"/>
  <c r="CR35" i="2"/>
  <c r="CR48" i="2"/>
  <c r="CR30" i="2"/>
  <c r="CR43" i="2"/>
  <c r="CR40" i="2"/>
  <c r="CR37" i="2"/>
  <c r="CR28" i="2"/>
  <c r="CR34" i="2"/>
  <c r="CR19" i="2"/>
  <c r="CR47" i="2"/>
  <c r="CR38" i="2"/>
  <c r="CR44" i="2"/>
  <c r="CR50" i="2"/>
  <c r="CR32" i="2"/>
  <c r="CR10" i="2"/>
  <c r="CR13" i="2" l="1"/>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U23" i="2"/>
  <c r="CT8" i="2"/>
  <c r="U94" i="2" l="1"/>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CT32" i="2"/>
  <c r="T53" i="2"/>
  <c r="T52" i="2"/>
  <c r="CT31" i="2"/>
  <c r="U52" i="2"/>
  <c r="CT30" i="2" s="1"/>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52" i="2" l="1"/>
  <c r="CT49" i="2"/>
  <c r="CT47" i="2"/>
  <c r="CT42" i="2"/>
  <c r="CT44" i="2"/>
  <c r="CT13" i="2"/>
  <c r="CT14" i="2"/>
  <c r="CT25" i="2"/>
  <c r="CT24" i="2"/>
  <c r="CT10" i="2"/>
  <c r="CU52" i="2" s="1"/>
  <c r="CU51" i="2" l="1"/>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M52" i="2"/>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N52" i="2" l="1"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W15" i="4" s="1"/>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K23" i="4" s="1"/>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31" i="4" l="1"/>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L60" i="2" s="1"/>
  <c r="AU104" i="2" s="1"/>
  <c r="DQ69" i="2"/>
  <c r="DJ69" i="2" s="1"/>
  <c r="DL69" i="2" s="1"/>
  <c r="AU113" i="2" s="1"/>
  <c r="DL65" i="2" l="1"/>
  <c r="AU109" i="2" s="1"/>
  <c r="DL61" i="2"/>
  <c r="AU105" i="2" s="1"/>
  <c r="DL66" i="2"/>
  <c r="AU110" i="2" s="1"/>
  <c r="DL62" i="2"/>
  <c r="AU106" i="2" s="1"/>
  <c r="DM59" i="2"/>
  <c r="DL59" i="2"/>
  <c r="AU103" i="2" s="1"/>
  <c r="DL67" i="2"/>
  <c r="AU111" i="2" s="1"/>
  <c r="DM58" i="2"/>
  <c r="DL58" i="2"/>
  <c r="AU102" i="2" s="1"/>
  <c r="DL64" i="2"/>
  <c r="AU108" i="2" s="1"/>
  <c r="DM68" i="2"/>
  <c r="DL68" i="2"/>
  <c r="AU112" i="2" s="1"/>
  <c r="DL63" i="2"/>
  <c r="AU107" i="2" s="1"/>
  <c r="CD59" i="2"/>
  <c r="CD58" i="2"/>
  <c r="DN59" i="2" a="1"/>
  <c r="DN59" i="2" s="1"/>
  <c r="DN58" i="2" a="1"/>
  <c r="DN58" i="2" s="1"/>
  <c r="DN65" i="2" a="1"/>
  <c r="DN65" i="2" s="1"/>
  <c r="DN68" i="2" a="1"/>
  <c r="DN68" i="2" s="1"/>
  <c r="CD61" i="2"/>
  <c r="DN61" i="2" a="1"/>
  <c r="DN61" i="2" s="1"/>
  <c r="CD65" i="2"/>
  <c r="DN66" i="2" a="1"/>
  <c r="DN66" i="2" s="1"/>
  <c r="CD62" i="2"/>
  <c r="CD66" i="2"/>
  <c r="DM67" i="2"/>
  <c r="CD67" i="2"/>
  <c r="DM63" i="2"/>
  <c r="CD68" i="2"/>
  <c r="CD60" i="2"/>
  <c r="CD69" i="2"/>
  <c r="DM64" i="2"/>
  <c r="DN64" i="2" a="1"/>
  <c r="DN64" i="2" s="1"/>
  <c r="CD64" i="2"/>
  <c r="DM62" i="2"/>
  <c r="DN62" i="2" a="1"/>
  <c r="DN62" i="2" s="1"/>
  <c r="DN69" i="2" a="1"/>
  <c r="DN69" i="2" s="1"/>
  <c r="DM69" i="2"/>
  <c r="CD63" i="2"/>
  <c r="DN60" i="2" a="1"/>
  <c r="DN60" i="2" s="1"/>
  <c r="DM60" i="2"/>
  <c r="AU101" i="2" l="1"/>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<sst xmlns="http://schemas.openxmlformats.org/spreadsheetml/2006/main" count="6754" uniqueCount="1516">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</sst>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6" dataDxfId="5">
  <sortState xmlns:xlrd2="http://schemas.microsoft.com/office/spreadsheetml/2017/richdata2" ref="A2:D13">
    <sortCondition ref="D2:D13"/>
  </sortState>
  <tableColumns count="4">
    <tableColumn id="1" xr3:uid="{00000000-0010-0000-0000-000001000000}" name="Num" dataDxfId="4">
      <calculatedColumnFormula>NOT(ISERROR(VLOOKUP(Equipos!$B2,#REF!,1,FALSE)))</calculatedColumnFormula>
    </tableColumn>
    <tableColumn id="2" xr3:uid="{00000000-0010-0000-0000-000002000000}" name="NombreEquipo" dataDxfId="3">
      <calculatedColumnFormula>+INDEX(Idiomas!$D$202:$D$249,MATCH(T_Equipos[[#This Row],[Num]],Idiomas!$C$202:$C$249,0))</calculatedColumnFormula>
    </tableColumn>
    <tableColumn id="4" xr3:uid="{00000000-0010-0000-0000-000004000000}" name="Grupo" dataDxfId="2"/>
    <tableColumn id="3" xr3:uid="{00000000-0010-0000-00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D11" sqref="AD11"/>
    </sheetView>
  </sheetViews>
  <sheetFormatPr baseColWidth="10" defaultColWidth="0" defaultRowHeight="14.4"/>
  <cols>
    <col min="1" max="1" width="3.77734375" style="292" customWidth="1"/>
    <col min="2" max="2" width="15.77734375" style="292" customWidth="1"/>
    <col min="3" max="3" width="26.77734375" style="292" customWidth="1"/>
    <col min="4" max="4" width="5.77734375" style="292" customWidth="1"/>
    <col min="5" max="9" width="11.33203125" style="312" customWidth="1"/>
    <col min="10" max="10" width="5.77734375" style="312" customWidth="1"/>
    <col min="11" max="11" width="26.77734375" style="312" customWidth="1"/>
    <col min="12" max="12" width="15.77734375" style="292" customWidth="1"/>
    <col min="13" max="13" width="10.44140625" style="292" customWidth="1"/>
    <col min="14" max="15" width="10.77734375" style="292" customWidth="1"/>
    <col min="16" max="16" width="12.109375" style="292" customWidth="1"/>
    <col min="17" max="17" width="6.109375" style="292" customWidth="1"/>
    <col min="18" max="31" width="10.77734375" style="292" customWidth="1"/>
    <col min="32" max="34" width="10.77734375" hidden="1" customWidth="1"/>
    <col min="35" max="16384" width="10.777343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50000000000003" customHeight="1">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19.95"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19.95"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19.95"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95"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2</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049999999999997" customHeight="1" thickBot="1">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049999999999997" customHeight="1" thickBot="1">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19.95"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1</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1</v>
      </c>
      <c r="AD52" s="292">
        <v>2</v>
      </c>
    </row>
    <row r="53" spans="1:31">
      <c r="AC53" s="292">
        <v>2</v>
      </c>
      <c r="AD53" s="292">
        <v>0</v>
      </c>
    </row>
    <row r="54" spans="1:31">
      <c r="AC54" s="292">
        <v>1</v>
      </c>
      <c r="AD54" s="292">
        <v>1</v>
      </c>
    </row>
    <row r="55" spans="1:31">
      <c r="AC55" s="292">
        <v>0</v>
      </c>
      <c r="AD55" s="292">
        <v>2</v>
      </c>
    </row>
    <row r="56" spans="1:31">
      <c r="AC56" s="292">
        <v>1</v>
      </c>
      <c r="AD56" s="292">
        <v>1</v>
      </c>
    </row>
    <row r="57" spans="1:31">
      <c r="AC57" s="292">
        <v>0</v>
      </c>
      <c r="AD57" s="292">
        <v>3</v>
      </c>
    </row>
    <row r="60" spans="1:31">
      <c r="AC60" s="292">
        <v>3</v>
      </c>
      <c r="AD60" s="292">
        <v>0</v>
      </c>
    </row>
    <row r="61" spans="1:31">
      <c r="AC61" s="292">
        <v>1</v>
      </c>
      <c r="AD61" s="292">
        <v>2</v>
      </c>
    </row>
    <row r="62" spans="1:31">
      <c r="AC62" s="292">
        <v>1</v>
      </c>
      <c r="AD62" s="292">
        <v>0</v>
      </c>
    </row>
    <row r="63" spans="1:31">
      <c r="AC63" s="292">
        <v>0</v>
      </c>
      <c r="AD63" s="292">
        <v>0</v>
      </c>
    </row>
    <row r="64" spans="1:31">
      <c r="AC64" s="292">
        <v>1</v>
      </c>
      <c r="AD64" s="292">
        <v>0</v>
      </c>
    </row>
    <row r="65" spans="29:30">
      <c r="AC65" s="292">
        <v>1</v>
      </c>
      <c r="AD65" s="292">
        <v>0</v>
      </c>
    </row>
    <row r="68" spans="29:30">
      <c r="AC68" s="292">
        <v>2</v>
      </c>
      <c r="AD68" s="292">
        <v>1</v>
      </c>
    </row>
    <row r="69" spans="29:30">
      <c r="AC69" s="292">
        <v>0</v>
      </c>
      <c r="AD69" s="292">
        <v>1</v>
      </c>
    </row>
    <row r="70" spans="29:30">
      <c r="AC70" s="292">
        <v>3</v>
      </c>
      <c r="AD70" s="292">
        <v>1</v>
      </c>
    </row>
    <row r="71" spans="29:30">
      <c r="AC71" s="292">
        <v>1</v>
      </c>
      <c r="AD71" s="292">
        <v>2</v>
      </c>
    </row>
    <row r="72" spans="29:30">
      <c r="AC72" s="292">
        <v>2</v>
      </c>
      <c r="AD72" s="292">
        <v>3</v>
      </c>
    </row>
    <row r="73" spans="29:30">
      <c r="AC73" s="292">
        <v>1</v>
      </c>
      <c r="AD73" s="292">
        <v>0</v>
      </c>
    </row>
    <row r="76" spans="29:30">
      <c r="AC76" s="292">
        <v>3</v>
      </c>
      <c r="AD76" s="292">
        <v>1</v>
      </c>
    </row>
    <row r="77" spans="29:30">
      <c r="AC77" s="292">
        <v>2</v>
      </c>
      <c r="AD77" s="292">
        <v>0</v>
      </c>
    </row>
    <row r="78" spans="29:30">
      <c r="AC78" s="292">
        <v>2</v>
      </c>
      <c r="AD78" s="292">
        <v>2</v>
      </c>
    </row>
    <row r="79" spans="29:30">
      <c r="AC79" s="292">
        <v>1</v>
      </c>
      <c r="AD79" s="292">
        <v>3</v>
      </c>
    </row>
    <row r="80" spans="29:30">
      <c r="AC80" s="292">
        <v>2</v>
      </c>
      <c r="AD80" s="292">
        <v>1</v>
      </c>
    </row>
    <row r="81" spans="29:30">
      <c r="AC81" s="292">
        <v>0</v>
      </c>
      <c r="AD81" s="292">
        <v>4</v>
      </c>
    </row>
    <row r="84" spans="29:30">
      <c r="AC84" s="292">
        <v>2</v>
      </c>
      <c r="AD84" s="292">
        <v>1</v>
      </c>
    </row>
    <row r="85" spans="29:30">
      <c r="AC85" s="292">
        <v>1</v>
      </c>
      <c r="AD85" s="292">
        <v>3</v>
      </c>
    </row>
    <row r="86" spans="29:30">
      <c r="AC86" s="292">
        <v>2</v>
      </c>
      <c r="AD86" s="292">
        <v>1</v>
      </c>
    </row>
    <row r="87" spans="29:30">
      <c r="AC87" s="292">
        <v>1</v>
      </c>
      <c r="AD87" s="292">
        <v>1</v>
      </c>
    </row>
    <row r="88" spans="29:30">
      <c r="AC88" s="292">
        <v>1</v>
      </c>
      <c r="AD88" s="292">
        <v>2</v>
      </c>
    </row>
    <row r="89" spans="29:30">
      <c r="AC89" s="292">
        <v>1</v>
      </c>
      <c r="AD89" s="292">
        <v>0</v>
      </c>
    </row>
    <row r="92" spans="29:30">
      <c r="AC92" s="292">
        <v>1</v>
      </c>
      <c r="AD92" s="292">
        <v>2</v>
      </c>
    </row>
    <row r="93" spans="29:30">
      <c r="AC93" s="292">
        <v>1</v>
      </c>
      <c r="AD93" s="292">
        <v>1</v>
      </c>
    </row>
    <row r="94" spans="29:30">
      <c r="AC94" s="292">
        <v>2</v>
      </c>
      <c r="AD94" s="292">
        <v>0</v>
      </c>
    </row>
    <row r="95" spans="29:30">
      <c r="AC95" s="292">
        <v>1</v>
      </c>
      <c r="AD95" s="292">
        <v>3</v>
      </c>
    </row>
    <row r="96" spans="29:30">
      <c r="AC96" s="292">
        <v>0</v>
      </c>
      <c r="AD96" s="292">
        <v>3</v>
      </c>
    </row>
    <row r="97" spans="29:30">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1" zoomScaleNormal="100" workbookViewId="0">
      <selection activeCell="AD11" sqref="AD11"/>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4" max="116" width="11" hidden="1" customWidth="1"/>
    <col min="118" max="118" width="17.77734375" hidden="1" customWidth="1"/>
    <col min="119" max="119" width="10.77734375" hidden="1" customWidth="1"/>
    <col min="120" max="120" width="11" hidden="1" customWidth="1"/>
    <col min="121" max="123" width="10.77734375" hidden="1" customWidth="1"/>
    <col min="125" max="127" width="10.77734375" hidden="1" customWidth="1"/>
    <col min="128" max="16384" width="10.777343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05" customHeight="1">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05"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1</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4</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P.2 (2)</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2</v>
      </c>
      <c r="DE10" s="16"/>
      <c r="DF10" s="16">
        <f t="shared" ca="1" si="46"/>
        <v>2</v>
      </c>
      <c r="DG10" s="16">
        <f ca="1">IF(DB10="-","-",COUNTIFS(DF$6:DF$53,"&lt;"&amp;DF10,$BC$6:$BC$53,INDEX(T_Equipos[Grupo],MATCH(BD10,T_Equipos[NombreEquipo],0))))</f>
        <v>1</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Bosnia y Herzegovina</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9</v>
      </c>
      <c r="BF11" s="16">
        <f t="shared" ca="1" si="17"/>
        <v>3</v>
      </c>
      <c r="BG11" s="16">
        <f t="shared" ca="1" si="18"/>
        <v>3</v>
      </c>
      <c r="BH11" s="16">
        <f t="shared" ca="1" si="19"/>
        <v>0</v>
      </c>
      <c r="BI11" s="16">
        <f t="shared" ca="1" si="20"/>
        <v>0</v>
      </c>
      <c r="BJ11" s="16">
        <f t="shared" ca="1" si="21"/>
        <v>6</v>
      </c>
      <c r="BK11" s="16">
        <f t="shared" ca="1" si="22"/>
        <v>2</v>
      </c>
      <c r="BL11" s="16">
        <f t="shared" ca="1" si="23"/>
        <v>4</v>
      </c>
      <c r="BM11" s="16" t="str">
        <f t="shared" ca="1" si="24"/>
        <v>1B</v>
      </c>
      <c r="BN11" s="16" t="str">
        <f t="shared" ca="1" si="25"/>
        <v>1B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9</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1</v>
      </c>
      <c r="DE11" s="16"/>
      <c r="DF11" s="16">
        <f t="shared" ca="1" si="46"/>
        <v>1</v>
      </c>
      <c r="DG11" s="16" t="str">
        <f ca="1">IF(DB11="-","-",COUNTIFS(DF$6:DF$53,"&lt;"&amp;DF11,$BC$6:$BC$53,INDEX(T_Equipos[Grupo],MATCH(BD11,T_Equipos[NombreEquipo],0))))</f>
        <v>-</v>
      </c>
      <c r="DH11" s="16">
        <f ca="1">DA11+COUNTIFS(DB$6:DB$53,DB11,DG$6:DG$53,"&lt;"&amp;DG11,$BC$6:$BC$53,INDEX(T_Equipos[Grupo],MATCH(BD11,T_Equipos[NombreEquipo],0)))</f>
        <v>1</v>
      </c>
      <c r="DI11" s="16"/>
      <c r="DJ11" s="16">
        <f t="shared" ca="1" si="47"/>
        <v>2</v>
      </c>
      <c r="DK11" s="16">
        <f t="shared" ca="1" si="48"/>
        <v>12</v>
      </c>
      <c r="DL11" s="16">
        <f t="shared" ca="1" si="49"/>
        <v>2</v>
      </c>
      <c r="DM11" s="16" t="str">
        <f t="shared" ca="1" si="50"/>
        <v>2.2</v>
      </c>
      <c r="DN11" s="16">
        <f t="array" aca="1" ref="DN11" ca="1">OFFSET(Horarios!$P$3,DJ11-1,0,DL11,1)</f>
        <v>2</v>
      </c>
      <c r="DO11" s="16"/>
      <c r="DP11" s="16" t="s">
        <v>75</v>
      </c>
      <c r="DQ11" s="16" t="str">
        <f t="shared" ca="1" si="51"/>
        <v>Canadá</v>
      </c>
    </row>
    <row r="12" spans="1:121" ht="16.05" customHeight="1" thickBot="1">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P.2 (2)</v>
      </c>
      <c r="F12" s="16" t="str">
        <f t="shared" ref="F12:F17" ca="1" si="54">IF(D12="Pendiente","-",INDEX($BT$6:$BT$53,MATCH($AF12,$BD$6:$BD$53,0)))</f>
        <v>-</v>
      </c>
      <c r="G12" s="16"/>
      <c r="H12" s="16" t="str">
        <f t="shared" ref="H12:H17" ca="1" si="55">IF(D12="Pendiente","-",INDEX($BZ$6:$BZ$53,MATCH($AA12,$BD$6:$BD$53,0)))</f>
        <v>P.2 (2)</v>
      </c>
      <c r="I12" s="16" t="str">
        <f t="shared" ref="I12:I17" ca="1" si="56">IF(D12="Pendiente","-",INDEX($BZ$6:$BZ$53,MATCH($AF12,$BD$6:$BD$53,0)))</f>
        <v>-</v>
      </c>
      <c r="J12" s="16"/>
      <c r="K12" s="16" t="str">
        <f t="shared" ref="K12:K17" ca="1" si="57">IF(D12="Pendiente","-",INDEX($CE$6:$CE$53,MATCH($AA12,$BD$6:$BD$53,0)))</f>
        <v>P.2 (2)</v>
      </c>
      <c r="L12" s="16" t="str">
        <f t="shared" ref="L12:L17" ca="1" si="58">IF(D12="Pendiente","-",INDEX($CE$6:$CE$53,MATCH($AF12,$BD$6:$BD$53,0)))</f>
        <v>-</v>
      </c>
      <c r="M12" s="16"/>
      <c r="N12" s="16" t="str">
        <f t="shared" ref="N12:N17" ca="1" si="59">IF(D12="Pendiente","-",INDEX($CH$6:$CH$53,MATCH($AA12,$BD$6:$BD$53,0)))</f>
        <v>P.2 (2)</v>
      </c>
      <c r="O12" s="16" t="str">
        <f t="shared" ref="O12:O17" ca="1" si="60">IF(D12="Pendiente","-",INDEX($CH$6:$CH$53,MATCH($AF12,$BD$6:$BD$53,0)))</f>
        <v>-</v>
      </c>
      <c r="P12" s="16"/>
      <c r="Q12" s="16" t="str">
        <f t="shared" ref="Q12:Q17" ca="1" si="61">IF(D12="Pendiente","-",INDEX($CN$6:$CN$53,MATCH($AA12,$BD$6:$BD$53,0)))</f>
        <v>P.2 (2)</v>
      </c>
      <c r="R12" s="16" t="str">
        <f t="shared" ref="R12:R17" ca="1" si="62">IF(D12="Pendiente","-",INDEX($CN$6:$CN$53,MATCH($AF12,$BD$6:$BD$53,0)))</f>
        <v>-</v>
      </c>
      <c r="S12" s="16"/>
      <c r="T12" s="16" t="str">
        <f t="shared" ref="T12:T17" ca="1" si="63">IF(D12="Pendiente","-",INDEX($CS$6:$CS$53,MATCH($AA12,$BD$6:$BD$53,0)))</f>
        <v>P.2 (2)</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¡EMPATE! Puedes seleccionar el orden de los empatados.</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2</v>
      </c>
      <c r="DK12" s="16">
        <f t="shared" ca="1" si="48"/>
        <v>12</v>
      </c>
      <c r="DL12" s="16">
        <f t="shared" ca="1" si="49"/>
        <v>2</v>
      </c>
      <c r="DM12" s="16" t="str">
        <f t="shared" ca="1" si="50"/>
        <v>2.2</v>
      </c>
      <c r="DN12" s="16">
        <f t="array" aca="1" ref="DN12" ca="1">OFFSET(Horarios!$P$3,DJ12-1,0,DL12,1)</f>
        <v>2</v>
      </c>
      <c r="DO12" s="16"/>
      <c r="DP12" s="16" t="s">
        <v>77</v>
      </c>
      <c r="DQ12" s="16" t="str">
        <f t="shared" ca="1" si="51"/>
        <v>Suiza</v>
      </c>
    </row>
    <row r="13" spans="1:121" ht="16.05" customHeight="1">
      <c r="A13" s="16" t="str">
        <f ca="1">+Equipos!B6</f>
        <v>Canadá</v>
      </c>
      <c r="B13" s="16"/>
      <c r="C13" s="16"/>
      <c r="D13" s="16" t="str">
        <f t="shared" si="52"/>
        <v>Visitante</v>
      </c>
      <c r="E13" s="16" t="str">
        <f t="shared" ca="1" si="53"/>
        <v>-</v>
      </c>
      <c r="F13" s="16" t="str">
        <f t="shared" ca="1" si="54"/>
        <v>P.2 (2)</v>
      </c>
      <c r="G13" s="16"/>
      <c r="H13" s="16" t="str">
        <f t="shared" ca="1" si="55"/>
        <v>-</v>
      </c>
      <c r="I13" s="16" t="str">
        <f t="shared" ca="1" si="56"/>
        <v>P.2 (2)</v>
      </c>
      <c r="J13" s="16"/>
      <c r="K13" s="16" t="str">
        <f t="shared" ca="1" si="57"/>
        <v>-</v>
      </c>
      <c r="L13" s="16" t="str">
        <f t="shared" ca="1" si="58"/>
        <v>P.2 (2)</v>
      </c>
      <c r="M13" s="16"/>
      <c r="N13" s="16" t="str">
        <f t="shared" ca="1" si="59"/>
        <v>-</v>
      </c>
      <c r="O13" s="16" t="str">
        <f t="shared" ca="1" si="60"/>
        <v>P.2 (2)</v>
      </c>
      <c r="P13" s="16"/>
      <c r="Q13" s="16" t="str">
        <f t="shared" ca="1" si="61"/>
        <v>-</v>
      </c>
      <c r="R13" s="16" t="str">
        <f t="shared" ca="1" si="62"/>
        <v>P.2 (2)</v>
      </c>
      <c r="S13" s="16"/>
      <c r="T13" s="16" t="str">
        <f t="shared" ca="1" si="63"/>
        <v>-</v>
      </c>
      <c r="U13" s="16" t="str">
        <f t="shared" ca="1" si="64"/>
        <v>P.2 (2)</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2</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3</v>
      </c>
      <c r="BG13" s="16">
        <f t="shared" ca="1" si="18"/>
        <v>1</v>
      </c>
      <c r="BH13" s="16">
        <f t="shared" ca="1" si="19"/>
        <v>1</v>
      </c>
      <c r="BI13" s="16">
        <f t="shared" ca="1" si="20"/>
        <v>1</v>
      </c>
      <c r="BJ13" s="16">
        <f t="shared" ca="1" si="21"/>
        <v>4</v>
      </c>
      <c r="BK13" s="16">
        <f t="shared" ca="1" si="22"/>
        <v>3</v>
      </c>
      <c r="BL13" s="16">
        <f t="shared" ca="1" si="23"/>
        <v>1</v>
      </c>
      <c r="BM13" s="16" t="str">
        <f t="shared" ca="1" si="24"/>
        <v>3B</v>
      </c>
      <c r="BN13" s="16" t="str">
        <f t="shared" ca="1" si="25"/>
        <v>3B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2</v>
      </c>
      <c r="BT13" s="16" t="str">
        <f ca="1">IF(COUNTIFS($BS$6:$BS$53,BS13,$BC$6:$BC$53,INDEX(T_Equipos[Grupo],MATCH(BD13,T_Equipos[NombreEquipo],0)))=1,"-","P."&amp;BS13&amp;" ("&amp;COUNTIFS($BS$6:$BS$53,BS13,$BC$6:$BC$53,INDEX(T_Equipos[Grupo],MATCH(BD13,T_Equipos[NombreEquipo],0)))&amp;")")</f>
        <v>P.2 (2)</v>
      </c>
      <c r="BU13" s="16">
        <f t="shared" ca="1" si="28"/>
        <v>0</v>
      </c>
      <c r="BV13" s="16">
        <f t="shared" ca="1" si="29"/>
        <v>1</v>
      </c>
      <c r="BW13" s="16">
        <f t="shared" ca="1" si="30"/>
        <v>0</v>
      </c>
      <c r="BX13" s="16">
        <f t="shared" ca="1" si="31"/>
        <v>1</v>
      </c>
      <c r="BY13" s="16">
        <f ca="1">BS13+COUNTIFS($BT$6:$BT$53,BT13,$BX$6:BX$53,"&gt;"&amp;BX13,$BC$6:$BC$53,INDEX(T_Equipos[Grupo],MATCH(BD13,T_Equipos[NombreEquipo],0)))</f>
        <v>2</v>
      </c>
      <c r="BZ13" s="16" t="str">
        <f ca="1">IF(COUNTIFS($BY$6:$BY$53,BY13,$BC$6:$BC$53,INDEX(T_Equipos[Grupo],MATCH(BD13,T_Equipos[NombreEquipo],0)))=1,"-","P."&amp;BY13&amp;" ("&amp;COUNTIFS($BY$6:$BY$53,BY13,$BC$6:$BC$53,INDEX(T_Equipos[Grupo],MATCH(BD13,T_Equipos[NombreEquipo],0)))&amp;")")</f>
        <v>P.2 (2)</v>
      </c>
      <c r="CA13" s="16">
        <f t="shared" ca="1" si="32"/>
        <v>1</v>
      </c>
      <c r="CB13" s="16">
        <f t="shared" ca="1" si="33"/>
        <v>1</v>
      </c>
      <c r="CC13" s="16">
        <f t="shared" ca="1" si="34"/>
        <v>0</v>
      </c>
      <c r="CD13" s="16">
        <f ca="1">BY13+COUNTIFS($BZ$6:$BZ$53,BZ13,$CC$6:CC$53,"&gt;"&amp;CC13,$BC$6:$BC$53,INDEX(T_Equipos[Grupo],MATCH(BD13,T_Equipos[NombreEquipo],0)))</f>
        <v>2</v>
      </c>
      <c r="CE13" s="16" t="str">
        <f ca="1">IF(COUNTIFS($CD$6:$CD$53,CD13,$BC$6:$BC$53,INDEX(T_Equipos[Grupo],MATCH(BD13,T_Equipos[NombreEquipo],0)))=1,"-","P."&amp;CD13&amp;" ("&amp;COUNTIFS($CD$6:$CD$53,CD13,$BC$6:$BC$53,INDEX(T_Equipos[Grupo],MATCH(BD13,T_Equipos[NombreEquipo],0)))&amp;")")</f>
        <v>P.2 (2)</v>
      </c>
      <c r="CF13" s="16">
        <f t="shared" ca="1" si="35"/>
        <v>1</v>
      </c>
      <c r="CG13" s="16">
        <f ca="1">CD13+COUNTIFS($CE$6:$CE$53,CE13,$CF$6:CF$53,"&gt;"&amp;CF13,$BC$6:$BC$53,INDEX(T_Equipos[Grupo],MATCH(BD13,T_Equipos[NombreEquipo],0)))</f>
        <v>2</v>
      </c>
      <c r="CH13" s="16" t="str">
        <f ca="1">IF(COUNTIFS($CG$6:$CG$53,CG13,$BC$6:$BC$53,INDEX(T_Equipos[Grupo],MATCH(BD13,T_Equipos[NombreEquipo],0)))=1,"-","P."&amp;CG13&amp;" ("&amp;COUNTIFS($CG$6:$CG$53,CG13,$BC$6:$BC$53,INDEX(T_Equipos[Grupo],MATCH(BD13,T_Equipos[NombreEquipo],0)))&amp;")")</f>
        <v>P.2 (2)</v>
      </c>
      <c r="CI13" s="16">
        <f t="shared" ca="1" si="36"/>
        <v>0</v>
      </c>
      <c r="CJ13" s="16">
        <f t="shared" ca="1" si="37"/>
        <v>1</v>
      </c>
      <c r="CK13" s="16">
        <f t="shared" ca="1" si="38"/>
        <v>0</v>
      </c>
      <c r="CL13" s="16">
        <f t="shared" ca="1" si="39"/>
        <v>1</v>
      </c>
      <c r="CM13" s="16">
        <f ca="1">CG13+COUNTIFS($CH$6:$CH$53,CH13,$CL$6:CL$53,"&gt;"&amp;CL13,$BC$6:$BC$53,INDEX(T_Equipos[Grupo],MATCH(BD13,T_Equipos[NombreEquipo],0)))</f>
        <v>2</v>
      </c>
      <c r="CN13" s="16" t="str">
        <f ca="1">IF(COUNTIFS($CM$6:$CM$53,CM13,$BC$6:$BC$53,INDEX(T_Equipos[Grupo],MATCH(BD13,T_Equipos[NombreEquipo],0)))=1,"-","P."&amp;CM13&amp;" ("&amp;COUNTIFS($CM$6:$CM$53,CM13,$BC$6:$BC$53,INDEX(T_Equipos[Grupo],MATCH(BD13,T_Equipos[NombreEquipo],0)))&amp;")")</f>
        <v>P.2 (2)</v>
      </c>
      <c r="CO13" s="16">
        <f t="shared" ca="1" si="40"/>
        <v>1</v>
      </c>
      <c r="CP13" s="16">
        <f t="shared" ca="1" si="41"/>
        <v>1</v>
      </c>
      <c r="CQ13" s="16">
        <f t="shared" ca="1" si="42"/>
        <v>0</v>
      </c>
      <c r="CR13" s="16">
        <f ca="1">CM13+COUNTIFS($CN$6:$CN$53,CN13,$CQ$6:CQ$53,"&gt;"&amp;CQ13,$BC$6:$BC$53,INDEX(T_Equipos[Grupo],MATCH(BD13,T_Equipos[NombreEquipo],0)))</f>
        <v>2</v>
      </c>
      <c r="CS13" s="16" t="str">
        <f ca="1">IF(COUNTIFS($CR$6:$CR$53,CR13,$BC$6:$BC$53,INDEX(T_Equipos[Grupo],MATCH(BD13,T_Equipos[NombreEquipo],0)))=1,"-","P."&amp;CR13&amp;" ("&amp;COUNTIFS($CR$6:$CR$53,CR13,$BC$6:$BC$53,INDEX(T_Equipos[Grupo],MATCH(BD13,T_Equipos[NombreEquipo],0)))&amp;")")</f>
        <v>P.2 (2)</v>
      </c>
      <c r="CT13" s="16">
        <f t="shared" ca="1" si="43"/>
        <v>1</v>
      </c>
      <c r="CU13" s="16">
        <f ca="1">CR13+COUNTIFS($CS$6:$CS$53,CS13,$CT$6:CT$53,"&gt;"&amp;CT13,$BC$6:$BC$53,INDEX(T_Equipos[Grupo],MATCH(BD13,T_Equipos[NombreEquipo],0)))</f>
        <v>2</v>
      </c>
      <c r="CV13" s="16" t="str">
        <f ca="1">IF(COUNTIFS($CU$6:$CU$53,CU13,$BC$6:$BC$53,INDEX(T_Equipos[Grupo],MATCH(BD13,T_Equipos[NombreEquipo],0)))=1,"-","P."&amp;CU13&amp;" ("&amp;COUNTIFS($CU$6:$CU$53,CU13,$BC$6:$BC$53,INDEX(T_Equipos[Grupo],MATCH(BD13,T_Equipos[NombreEquipo],0)))&amp;")")</f>
        <v>P.2 (2)</v>
      </c>
      <c r="CW13" s="16">
        <f t="shared" ca="1" si="44"/>
        <v>1</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P.2 (2)</v>
      </c>
      <c r="CZ13" s="16">
        <f t="shared" ca="1" si="45"/>
        <v>4</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P.2 (2)</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3</v>
      </c>
      <c r="DE13" s="16"/>
      <c r="DF13" s="16">
        <f t="shared" ca="1" si="46"/>
        <v>3</v>
      </c>
      <c r="DG13" s="16">
        <f ca="1">IF(DB13="-","-",COUNTIFS(DF$6:DF$53,"&lt;"&amp;DF13,$BC$6:$BC$53,INDEX(T_Equipos[Grupo],MATCH(BD13,T_Equipos[NombreEquipo],0))))</f>
        <v>2</v>
      </c>
      <c r="DH13" s="16">
        <f ca="1">DA13+COUNTIFS(DB$6:DB$53,DB13,DG$6:DG$53,"&lt;"&amp;DG13,$BC$6:$BC$53,INDEX(T_Equipos[Grupo],MATCH(BD13,T_Equipos[NombreEquipo],0)))</f>
        <v>3</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05" customHeight="1">
      <c r="A14" s="16" t="str">
        <f ca="1">+Equipos!B7</f>
        <v>Bosnia y Herzegovina</v>
      </c>
      <c r="B14" s="16"/>
      <c r="C14" s="16"/>
      <c r="D14" s="16" t="str">
        <f t="shared" si="52"/>
        <v>Visitante</v>
      </c>
      <c r="E14" s="16" t="str">
        <f t="shared" ca="1" si="53"/>
        <v>P.2 (2)</v>
      </c>
      <c r="F14" s="16" t="str">
        <f t="shared" ca="1" si="54"/>
        <v>-</v>
      </c>
      <c r="G14" s="16"/>
      <c r="H14" s="16" t="str">
        <f t="shared" ca="1" si="55"/>
        <v>P.2 (2)</v>
      </c>
      <c r="I14" s="16" t="str">
        <f t="shared" ca="1" si="56"/>
        <v>-</v>
      </c>
      <c r="J14" s="16"/>
      <c r="K14" s="16" t="str">
        <f t="shared" ca="1" si="57"/>
        <v>P.2 (2)</v>
      </c>
      <c r="L14" s="16" t="str">
        <f t="shared" ca="1" si="58"/>
        <v>-</v>
      </c>
      <c r="M14" s="16"/>
      <c r="N14" s="16" t="str">
        <f t="shared" ca="1" si="59"/>
        <v>P.2 (2)</v>
      </c>
      <c r="O14" s="16" t="str">
        <f t="shared" ca="1" si="60"/>
        <v>-</v>
      </c>
      <c r="P14" s="16"/>
      <c r="Q14" s="16" t="str">
        <f t="shared" ca="1" si="61"/>
        <v>P.2 (2)</v>
      </c>
      <c r="R14" s="16" t="str">
        <f t="shared" ca="1" si="62"/>
        <v>-</v>
      </c>
      <c r="S14" s="16"/>
      <c r="T14" s="16" t="str">
        <f t="shared" ca="1" si="63"/>
        <v>P.2 (2)</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1</v>
      </c>
      <c r="AD14" s="51">
        <v>2</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Bosnia y Herzegovina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Bosnia y Herzegovina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05" customHeight="1">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4</v>
      </c>
      <c r="AS15" s="39">
        <f t="shared" ca="1" si="67"/>
        <v>3</v>
      </c>
      <c r="AT15" s="74">
        <f t="shared" ca="1" si="67"/>
        <v>1</v>
      </c>
      <c r="AU15" s="323">
        <f ca="1">INDEX($DL$6:$DL$53,MATCH(AI15,$DP$6:$DP$53,0))</f>
        <v>2</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05" customHeight="1">
      <c r="A16" s="16" t="str">
        <f ca="1">+Equipos!B9</f>
        <v>Suiza</v>
      </c>
      <c r="B16" s="16"/>
      <c r="C16" s="16"/>
      <c r="D16" s="16" t="str">
        <f t="shared" si="52"/>
        <v>Empate</v>
      </c>
      <c r="E16" s="16" t="str">
        <f t="shared" ca="1" si="53"/>
        <v>P.2 (2)</v>
      </c>
      <c r="F16" s="16" t="str">
        <f t="shared" ca="1" si="54"/>
        <v>P.2 (2)</v>
      </c>
      <c r="G16" s="16"/>
      <c r="H16" s="16" t="str">
        <f t="shared" ca="1" si="55"/>
        <v>P.2 (2)</v>
      </c>
      <c r="I16" s="16" t="str">
        <f t="shared" ca="1" si="56"/>
        <v>P.2 (2)</v>
      </c>
      <c r="J16" s="16"/>
      <c r="K16" s="16" t="str">
        <f t="shared" ca="1" si="57"/>
        <v>P.2 (2)</v>
      </c>
      <c r="L16" s="16" t="str">
        <f t="shared" ca="1" si="58"/>
        <v>P.2 (2)</v>
      </c>
      <c r="M16" s="16"/>
      <c r="N16" s="16" t="str">
        <f t="shared" ca="1" si="59"/>
        <v>P.2 (2)</v>
      </c>
      <c r="O16" s="16" t="str">
        <f t="shared" ca="1" si="60"/>
        <v>P.2 (2)</v>
      </c>
      <c r="P16" s="16"/>
      <c r="Q16" s="16" t="str">
        <f t="shared" ca="1" si="61"/>
        <v>P.2 (2)</v>
      </c>
      <c r="R16" s="16" t="str">
        <f t="shared" ca="1" si="62"/>
        <v>P.2 (2)</v>
      </c>
      <c r="S16" s="16"/>
      <c r="T16" s="16" t="str">
        <f t="shared" ca="1" si="63"/>
        <v>P.2 (2)</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Suiza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2</v>
      </c>
      <c r="AV16" s="182" t="str">
        <f ca="1">INDEX($BD$6:$BD$53,MATCH(AI16,$BM$6:$BM$53,0))</f>
        <v>Suiza</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05" customHeight="1" thickBot="1">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05" customHeight="1" thickBot="1">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5"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05" customHeight="1">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05" customHeight="1">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3</v>
      </c>
      <c r="BK23" s="16">
        <f t="shared" ca="1" si="22"/>
        <v>6</v>
      </c>
      <c r="BL23" s="16">
        <f t="shared" ca="1" si="23"/>
        <v>-3</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05" customHeight="1">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2</v>
      </c>
      <c r="BF24" s="16">
        <f t="shared" ca="1" si="17"/>
        <v>3</v>
      </c>
      <c r="BG24" s="16">
        <f t="shared" ca="1" si="18"/>
        <v>0</v>
      </c>
      <c r="BH24" s="16">
        <f t="shared" ca="1" si="19"/>
        <v>2</v>
      </c>
      <c r="BI24" s="16">
        <f t="shared" ca="1" si="20"/>
        <v>1</v>
      </c>
      <c r="BJ24" s="16">
        <f t="shared" ca="1" si="21"/>
        <v>2</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2</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05" customHeight="1" thickBot="1">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05" customHeight="1" thickBot="1">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05" customHeight="1">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05" customHeight="1">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4</v>
      </c>
      <c r="BF30" s="16">
        <f t="shared" ca="1" si="17"/>
        <v>3</v>
      </c>
      <c r="BG30" s="16">
        <f t="shared" ca="1" si="18"/>
        <v>1</v>
      </c>
      <c r="BH30" s="16">
        <f t="shared" ca="1" si="19"/>
        <v>1</v>
      </c>
      <c r="BI30" s="16">
        <f t="shared" ca="1" si="20"/>
        <v>1</v>
      </c>
      <c r="BJ30" s="16">
        <f t="shared" ca="1" si="21"/>
        <v>5</v>
      </c>
      <c r="BK30" s="16">
        <f t="shared" ca="1" si="22"/>
        <v>3</v>
      </c>
      <c r="BL30" s="16">
        <f t="shared" ca="1" si="23"/>
        <v>2</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4</v>
      </c>
      <c r="BS30" s="16">
        <f ca="1">BP30+COUNTIFS($BQ$6:$BQ$53,BQ30,$BR$6:BR$53,"&gt;"&amp;BR30,$BC$6:$BC$53,INDEX(T_Equipos[Grupo],MATCH(BD30,T_Equipos[NombreEquipo],0)))</f>
        <v>3</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3</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3</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05" customHeight="1">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5</v>
      </c>
      <c r="BK31" s="16">
        <f t="shared" ca="1" si="22"/>
        <v>2</v>
      </c>
      <c r="BL31" s="16">
        <f t="shared" ca="1" si="23"/>
        <v>3</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05" customHeight="1">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5</v>
      </c>
      <c r="BF32" s="16">
        <f t="shared" ca="1" si="17"/>
        <v>3</v>
      </c>
      <c r="BG32" s="16">
        <f t="shared" ca="1" si="18"/>
        <v>1</v>
      </c>
      <c r="BH32" s="16">
        <f t="shared" ca="1" si="19"/>
        <v>2</v>
      </c>
      <c r="BI32" s="16">
        <f t="shared" ca="1" si="20"/>
        <v>0</v>
      </c>
      <c r="BJ32" s="16">
        <f t="shared" ca="1" si="21"/>
        <v>4</v>
      </c>
      <c r="BK32" s="16">
        <f t="shared" ca="1" si="22"/>
        <v>2</v>
      </c>
      <c r="BL32" s="16">
        <f t="shared" ca="1" si="23"/>
        <v>2</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5</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Bélgica</v>
      </c>
    </row>
    <row r="33" spans="1:121" ht="16.05" customHeight="1" thickBot="1">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05"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05" customHeight="1">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05" customHeight="1">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05" customHeight="1">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05" customHeight="1">
      <c r="A40" s="16" t="str">
        <f ca="1">+Equipos!B21</f>
        <v>Ecuador</v>
      </c>
      <c r="B40" s="16"/>
      <c r="C40" s="16"/>
      <c r="D40" s="16" t="str">
        <f t="shared" si="100"/>
        <v>Empate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2</v>
      </c>
      <c r="AN40" s="39">
        <f t="shared" ca="1" si="115"/>
        <v>3</v>
      </c>
      <c r="AO40" s="39">
        <f t="shared" ca="1" si="115"/>
        <v>0</v>
      </c>
      <c r="AP40" s="39">
        <f t="shared" ca="1" si="115"/>
        <v>2</v>
      </c>
      <c r="AQ40" s="39">
        <f t="shared" ca="1" si="115"/>
        <v>1</v>
      </c>
      <c r="AR40" s="39">
        <f t="shared" ca="1" si="115"/>
        <v>2</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05" customHeight="1" thickBot="1">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3</v>
      </c>
      <c r="AS41" s="47">
        <f t="shared" ca="1" si="115"/>
        <v>6</v>
      </c>
      <c r="AT41" s="48">
        <f t="shared" ca="1" si="115"/>
        <v>-3</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05" customHeight="1" thickBot="1">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05" customHeight="1">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05" customHeight="1">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05"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05" customHeight="1">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05"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05" customHeight="1" thickBot="1">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v>1</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05" customHeight="1">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05" customHeight="1">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5</v>
      </c>
      <c r="AS54" s="36">
        <f t="shared" ca="1" si="147"/>
        <v>2</v>
      </c>
      <c r="AT54" s="41">
        <f t="shared" ca="1" si="147"/>
        <v>3</v>
      </c>
      <c r="AU54" s="323">
        <f ca="1">INDEX($DL$6:$DL$53,MATCH(AI54,$DP$6:$DP$53,0))</f>
        <v>1</v>
      </c>
      <c r="AV54" s="182" t="str">
        <f ca="1">INDEX($BD$6:$BD$53,MATCH(AI54,$BM$6:$BM$53,0))</f>
        <v>Egipto</v>
      </c>
      <c r="AW54" s="210"/>
      <c r="AX54" s="171"/>
      <c r="AY54" s="201" t="str">
        <f ca="1">+A53</f>
        <v>Bélgica</v>
      </c>
      <c r="AZ54" s="202"/>
      <c r="BA54" s="176"/>
    </row>
    <row r="55" spans="1:121" ht="16.05" customHeight="1">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5</v>
      </c>
      <c r="AN55" s="39">
        <f t="shared" ca="1" si="147"/>
        <v>3</v>
      </c>
      <c r="AO55" s="39">
        <f t="shared" ca="1" si="147"/>
        <v>1</v>
      </c>
      <c r="AP55" s="39">
        <f t="shared" ca="1" si="147"/>
        <v>2</v>
      </c>
      <c r="AQ55" s="39">
        <f t="shared" ca="1" si="147"/>
        <v>0</v>
      </c>
      <c r="AR55" s="39">
        <f t="shared" ca="1" si="147"/>
        <v>4</v>
      </c>
      <c r="AS55" s="39">
        <f t="shared" ca="1" si="147"/>
        <v>2</v>
      </c>
      <c r="AT55" s="43">
        <f t="shared" ca="1" si="147"/>
        <v>2</v>
      </c>
      <c r="AU55" s="323">
        <f ca="1">INDEX($DL$6:$DL$53,MATCH(AI55,$DP$6:$DP$53,0))</f>
        <v>1</v>
      </c>
      <c r="AV55" s="182" t="str">
        <f ca="1">INDEX($BD$6:$BD$53,MATCH(AI55,$BM$6:$BM$53,0))</f>
        <v>Irán</v>
      </c>
      <c r="AW55" s="210"/>
      <c r="AX55" s="171"/>
      <c r="AY55" s="203" t="str">
        <f ca="1">+A54</f>
        <v>Egipto</v>
      </c>
      <c r="AZ55" s="204"/>
      <c r="BA55" s="176"/>
    </row>
    <row r="56" spans="1:121" ht="16.05" customHeight="1">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Bélgica</v>
      </c>
      <c r="AM56" s="38">
        <f t="shared" ca="1" si="147"/>
        <v>4</v>
      </c>
      <c r="AN56" s="39">
        <f t="shared" ca="1" si="147"/>
        <v>3</v>
      </c>
      <c r="AO56" s="39">
        <f t="shared" ca="1" si="147"/>
        <v>1</v>
      </c>
      <c r="AP56" s="39">
        <f t="shared" ca="1" si="147"/>
        <v>1</v>
      </c>
      <c r="AQ56" s="39">
        <f t="shared" ca="1" si="147"/>
        <v>1</v>
      </c>
      <c r="AR56" s="39">
        <f t="shared" ca="1" si="147"/>
        <v>5</v>
      </c>
      <c r="AS56" s="39">
        <f t="shared" ca="1" si="147"/>
        <v>3</v>
      </c>
      <c r="AT56" s="43">
        <f t="shared" ca="1" si="147"/>
        <v>2</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7</v>
      </c>
      <c r="BN58" s="16">
        <f t="shared" ref="BN58:BN69" ca="1" si="153">CF58</f>
        <v>7</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(8)</v>
      </c>
      <c r="BU58" s="16">
        <f t="shared" ref="BU58:BU69" ca="1" si="158">IF(BT58="-","-",BL58)</f>
        <v>0</v>
      </c>
      <c r="BV58" s="16">
        <f t="shared" ref="BV58:BV69" ca="1" si="159">BS58+COUNTIFS(BT$58:BT$69,BT58,BU$58:BU$69,"&gt;"&amp;BU58)</f>
        <v>6</v>
      </c>
      <c r="BW58" s="16" t="str">
        <f t="shared" ref="BW58:BW69" ca="1" si="160">IF(COUNTIF(BV$58:BV$69,BV58)=1,"-","Pos. "&amp;BV58&amp;" ("&amp;COUNTIF(BV$58:BV$69,BV58)&amp;")")</f>
        <v>Pos. 6 (2)</v>
      </c>
      <c r="BX58" s="16">
        <f t="shared" ref="BX58:BX69" ca="1" si="161">IF(BW58="-","-",BJ58)</f>
        <v>3</v>
      </c>
      <c r="BY58" s="16">
        <f t="shared" ref="BY58:BY69" ca="1" si="162">BV58+COUNTIFS(BW$58:BW$69,BW58,BX$58:BX$69,"&gt;"&amp;BX58)</f>
        <v>6</v>
      </c>
      <c r="BZ58" s="16" t="str">
        <f t="shared" ref="BZ58:BZ69" ca="1" si="163">IF(COUNTIF(BY$58:BY$69,BY58)=1,"-","Pos. "&amp;BY58&amp;" ("&amp;COUNTIF(BY$58:BY$69,BY58)&amp;")")</f>
        <v>Pos. 6 (2)</v>
      </c>
      <c r="CA58" s="16">
        <f t="shared" ref="CA58:CA69" ca="1" si="164">IF(BZ58="-","-",COUNTIF($BD$58:$BD$69,"&gt;"&amp;BD58))</f>
        <v>3</v>
      </c>
      <c r="CB58" s="16">
        <f t="shared" ref="CB58:CB69" ca="1" si="165">BY58+COUNTIFS(BZ$58:BZ$69,BZ58,CA$58:CA$69,"&gt;"&amp;CA58)</f>
        <v>7</v>
      </c>
      <c r="CC58" s="16"/>
      <c r="CD58" s="16">
        <f t="shared" ref="CD58:CD69" ca="1" si="166">IF(OR(INDEX($AW$102:$AW$113,MATCH($BD58,$AV$102:$AV$113,0))="",BZ58="-"),CB58,INDEX($AW$102:$AW$113,MATCH($BD58,$AV$102:$AV$113,0))+CB58/1000)</f>
        <v>7</v>
      </c>
      <c r="CE58" s="16">
        <f t="shared" ref="CE58:CE69" ca="1" si="167">IF(BZ58="-","-",COUNTIF(CD$58:CD$69,"&lt;"&amp;CD58))</f>
        <v>6</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Bélgica</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Suiza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3</v>
      </c>
      <c r="BN59" s="16">
        <f t="shared" ca="1" si="153"/>
        <v>3</v>
      </c>
      <c r="BO59" s="16" t="str">
        <f t="shared" si="154"/>
        <v>4B</v>
      </c>
      <c r="BP59" s="16"/>
      <c r="BQ59" s="16"/>
      <c r="BR59" s="16">
        <f t="shared" ca="1" si="155"/>
        <v>4</v>
      </c>
      <c r="BS59" s="16">
        <f t="shared" ca="1" si="156"/>
        <v>1</v>
      </c>
      <c r="BT59" s="16" t="str">
        <f t="shared" ca="1" si="157"/>
        <v>Pos. 1 (8)</v>
      </c>
      <c r="BU59" s="16">
        <f t="shared" ca="1" si="158"/>
        <v>1</v>
      </c>
      <c r="BV59" s="16">
        <f t="shared" ca="1" si="159"/>
        <v>2</v>
      </c>
      <c r="BW59" s="16" t="str">
        <f t="shared" ca="1" si="160"/>
        <v>Pos. 2 (4)</v>
      </c>
      <c r="BX59" s="16">
        <f t="shared" ca="1" si="161"/>
        <v>4</v>
      </c>
      <c r="BY59" s="16">
        <f t="shared" ca="1" si="162"/>
        <v>3</v>
      </c>
      <c r="BZ59" s="16" t="str">
        <f t="shared" ca="1" si="163"/>
        <v>Pos. 3 (2)</v>
      </c>
      <c r="CA59" s="16">
        <f t="shared" ca="1" si="164"/>
        <v>1</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Austria</v>
      </c>
    </row>
    <row r="60" spans="1:121" ht="16.05" customHeight="1" thickBot="1">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2</v>
      </c>
      <c r="DM60" s="16" t="str">
        <f t="shared" ca="1" si="171"/>
        <v>3.2</v>
      </c>
      <c r="DN60" s="16">
        <f t="array" aca="1" ref="DN60" ca="1">OFFSET(Horarios!$P$3,DJ60-1,0,DL60,1)</f>
        <v>3</v>
      </c>
      <c r="DO60" s="16"/>
      <c r="DP60" s="16">
        <v>3</v>
      </c>
      <c r="DQ60" s="16" t="str">
        <f t="shared" ca="1" si="172"/>
        <v>Suiza</v>
      </c>
    </row>
    <row r="61" spans="1:121" ht="16.05" customHeight="1">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4</v>
      </c>
      <c r="BN61" s="16">
        <f t="shared" ca="1" si="153"/>
        <v>4</v>
      </c>
      <c r="BO61" s="16" t="str">
        <f t="shared" si="154"/>
        <v>4D</v>
      </c>
      <c r="BP61" s="16"/>
      <c r="BQ61" s="16"/>
      <c r="BR61" s="16">
        <f t="shared" ca="1" si="155"/>
        <v>4</v>
      </c>
      <c r="BS61" s="16">
        <f t="shared" ca="1" si="156"/>
        <v>1</v>
      </c>
      <c r="BT61" s="16" t="str">
        <f t="shared" ca="1" si="157"/>
        <v>Pos. 1 (8)</v>
      </c>
      <c r="BU61" s="16">
        <f t="shared" ca="1" si="158"/>
        <v>1</v>
      </c>
      <c r="BV61" s="16">
        <f t="shared" ca="1" si="159"/>
        <v>2</v>
      </c>
      <c r="BW61" s="16" t="str">
        <f t="shared" ca="1" si="160"/>
        <v>Pos. 2 (4)</v>
      </c>
      <c r="BX61" s="16">
        <f t="shared" ca="1" si="161"/>
        <v>4</v>
      </c>
      <c r="BY61" s="16">
        <f t="shared" ca="1" si="162"/>
        <v>3</v>
      </c>
      <c r="BZ61" s="16" t="str">
        <f t="shared" ca="1" si="163"/>
        <v>Pos. 3 (2)</v>
      </c>
      <c r="CA61" s="16">
        <f t="shared" ca="1" si="164"/>
        <v>0</v>
      </c>
      <c r="CB61" s="16">
        <f t="shared" ca="1" si="165"/>
        <v>4</v>
      </c>
      <c r="CC61" s="16"/>
      <c r="CD61" s="16">
        <f t="shared" ca="1" si="166"/>
        <v>4</v>
      </c>
      <c r="CE61" s="16">
        <f t="shared" ca="1" si="167"/>
        <v>3</v>
      </c>
      <c r="CF61" s="16">
        <f t="shared" ca="1" si="168"/>
        <v>4</v>
      </c>
      <c r="DJ61" s="16">
        <f t="shared" ca="1" si="169"/>
        <v>3</v>
      </c>
      <c r="DK61" s="16"/>
      <c r="DL61" s="16">
        <f t="shared" ca="1" si="170"/>
        <v>2</v>
      </c>
      <c r="DM61" s="16" t="str">
        <f t="shared" ca="1" si="171"/>
        <v>3.2</v>
      </c>
      <c r="DN61" s="16">
        <f t="array" aca="1" ref="DN61" ca="1">OFFSET(Horarios!$P$3,DJ61-1,0,DL61,1)</f>
        <v>3</v>
      </c>
      <c r="DO61" s="16"/>
      <c r="DP61" s="16">
        <v>4</v>
      </c>
      <c r="DQ61" s="16" t="str">
        <f t="shared" ca="1" si="172"/>
        <v>Turquía</v>
      </c>
    </row>
    <row r="62" spans="1:121" ht="16.05" customHeight="1">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2</v>
      </c>
      <c r="BF62" s="16">
        <f t="shared" ca="1" si="150"/>
        <v>3</v>
      </c>
      <c r="BG62" s="16">
        <f t="shared" ca="1" si="174"/>
        <v>0</v>
      </c>
      <c r="BH62" s="16">
        <f t="shared" ca="1" si="175"/>
        <v>2</v>
      </c>
      <c r="BI62" s="16">
        <f t="shared" ca="1" si="176"/>
        <v>1</v>
      </c>
      <c r="BJ62" s="16">
        <f t="shared" ca="1" si="177"/>
        <v>2</v>
      </c>
      <c r="BK62" s="16">
        <f t="shared" ca="1" si="178"/>
        <v>4</v>
      </c>
      <c r="BL62" s="16">
        <f t="shared" ca="1" si="151"/>
        <v>-2</v>
      </c>
      <c r="BM62" s="16">
        <f t="shared" ca="1" si="152"/>
        <v>12</v>
      </c>
      <c r="BN62" s="16">
        <f t="shared" ca="1" si="153"/>
        <v>12</v>
      </c>
      <c r="BO62" s="16" t="str">
        <f t="shared" si="154"/>
        <v>4E</v>
      </c>
      <c r="BP62" s="16"/>
      <c r="BQ62" s="16"/>
      <c r="BR62" s="16">
        <f t="shared" ca="1" si="155"/>
        <v>2</v>
      </c>
      <c r="BS62" s="16">
        <f t="shared" ca="1" si="156"/>
        <v>11</v>
      </c>
      <c r="BT62" s="16" t="str">
        <f t="shared" ca="1" si="157"/>
        <v>Pos. 11 (2)</v>
      </c>
      <c r="BU62" s="16">
        <f t="shared" ca="1" si="158"/>
        <v>-2</v>
      </c>
      <c r="BV62" s="16">
        <f t="shared" ca="1" si="159"/>
        <v>11</v>
      </c>
      <c r="BW62" s="16" t="str">
        <f t="shared" ca="1" si="160"/>
        <v>Pos. 11 (2)</v>
      </c>
      <c r="BX62" s="16">
        <f t="shared" ca="1" si="161"/>
        <v>2</v>
      </c>
      <c r="BY62" s="16">
        <f t="shared" ca="1" si="162"/>
        <v>12</v>
      </c>
      <c r="BZ62" s="16" t="str">
        <f t="shared" ca="1" si="163"/>
        <v>-</v>
      </c>
      <c r="CA62" s="16" t="str">
        <f t="shared" ca="1" si="164"/>
        <v>-</v>
      </c>
      <c r="CB62" s="16">
        <f t="shared" ca="1" si="165"/>
        <v>12</v>
      </c>
      <c r="CC62" s="16"/>
      <c r="CD62" s="16">
        <f t="shared" ca="1" si="166"/>
        <v>12</v>
      </c>
      <c r="CE62" s="16" t="str">
        <f t="shared" ca="1" si="167"/>
        <v>-</v>
      </c>
      <c r="CF62" s="16">
        <f t="shared" ca="1" si="168"/>
        <v>12</v>
      </c>
      <c r="DJ62" s="16">
        <f t="shared" ca="1" si="169"/>
        <v>5</v>
      </c>
      <c r="DK62" s="16"/>
      <c r="DL62" s="16">
        <f t="shared" ca="1" si="170"/>
        <v>1</v>
      </c>
      <c r="DM62" s="16" t="str">
        <f t="shared" ca="1" si="171"/>
        <v>5.1</v>
      </c>
      <c r="DN62" s="16">
        <f t="array" aca="1" ref="DN62" ca="1">OFFSET(Horarios!$P$3,DJ62-1,0,DL62,1)</f>
        <v>5</v>
      </c>
      <c r="DO62" s="16"/>
      <c r="DP62" s="16">
        <v>5</v>
      </c>
      <c r="DQ62" s="16" t="str">
        <f t="shared" ca="1" si="172"/>
        <v>Suecia</v>
      </c>
    </row>
    <row r="63" spans="1:121" ht="16.05" customHeight="1">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5</v>
      </c>
      <c r="BN63" s="16">
        <f t="shared" ca="1" si="153"/>
        <v>5</v>
      </c>
      <c r="BO63" s="16" t="str">
        <f t="shared" si="154"/>
        <v>4F</v>
      </c>
      <c r="BP63" s="16"/>
      <c r="BQ63" s="16"/>
      <c r="BR63" s="16">
        <f t="shared" ca="1" si="155"/>
        <v>4</v>
      </c>
      <c r="BS63" s="16">
        <f t="shared" ca="1" si="156"/>
        <v>1</v>
      </c>
      <c r="BT63" s="16" t="str">
        <f t="shared" ca="1" si="157"/>
        <v>Pos. 1 (8)</v>
      </c>
      <c r="BU63" s="16">
        <f t="shared" ca="1" si="158"/>
        <v>1</v>
      </c>
      <c r="BV63" s="16">
        <f t="shared" ca="1" si="159"/>
        <v>2</v>
      </c>
      <c r="BW63" s="16" t="str">
        <f t="shared" ca="1" si="160"/>
        <v>Pos. 2 (4)</v>
      </c>
      <c r="BX63" s="16">
        <f t="shared" ca="1" si="161"/>
        <v>3</v>
      </c>
      <c r="BY63" s="16">
        <f t="shared" ca="1" si="162"/>
        <v>5</v>
      </c>
      <c r="BZ63" s="16" t="str">
        <f t="shared" ca="1" si="163"/>
        <v>-</v>
      </c>
      <c r="CA63" s="16" t="str">
        <f t="shared" ca="1" si="164"/>
        <v>-</v>
      </c>
      <c r="CB63" s="16">
        <f t="shared" ca="1" si="165"/>
        <v>5</v>
      </c>
      <c r="CC63" s="16"/>
      <c r="CD63" s="16">
        <f t="shared" ca="1" si="166"/>
        <v>5</v>
      </c>
      <c r="CE63" s="16" t="str">
        <f t="shared" ca="1" si="167"/>
        <v>-</v>
      </c>
      <c r="CF63" s="16">
        <f t="shared" ca="1" si="168"/>
        <v>5</v>
      </c>
      <c r="DJ63" s="16">
        <f t="shared" ca="1" si="169"/>
        <v>6</v>
      </c>
      <c r="DK63" s="16"/>
      <c r="DL63" s="16">
        <f t="shared" ca="1" si="170"/>
        <v>2</v>
      </c>
      <c r="DM63" s="16" t="str">
        <f t="shared" ca="1" si="171"/>
        <v>6.2</v>
      </c>
      <c r="DN63" s="16">
        <f t="array" aca="1" ref="DN63" ca="1">OFFSET(Horarios!$P$3,DJ63-1,0,DL63,1)</f>
        <v>6</v>
      </c>
      <c r="DO63" s="16"/>
      <c r="DP63" s="16">
        <v>6</v>
      </c>
      <c r="DQ63" s="16" t="str">
        <f t="shared" ca="1" si="172"/>
        <v>RD Congo</v>
      </c>
    </row>
    <row r="64" spans="1:121" ht="16.05" customHeight="1">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4</v>
      </c>
      <c r="BF64" s="16">
        <f t="shared" ca="1" si="150"/>
        <v>3</v>
      </c>
      <c r="BG64" s="16">
        <f t="shared" ca="1" si="174"/>
        <v>1</v>
      </c>
      <c r="BH64" s="16">
        <f t="shared" ca="1" si="175"/>
        <v>1</v>
      </c>
      <c r="BI64" s="16">
        <f t="shared" ca="1" si="176"/>
        <v>1</v>
      </c>
      <c r="BJ64" s="16">
        <f t="shared" ca="1" si="177"/>
        <v>5</v>
      </c>
      <c r="BK64" s="16">
        <f t="shared" ca="1" si="178"/>
        <v>3</v>
      </c>
      <c r="BL64" s="16">
        <f t="shared" ca="1" si="151"/>
        <v>2</v>
      </c>
      <c r="BM64" s="16">
        <f t="shared" ca="1" si="152"/>
        <v>1</v>
      </c>
      <c r="BN64" s="16">
        <f t="shared" ca="1" si="153"/>
        <v>1</v>
      </c>
      <c r="BO64" s="16" t="str">
        <f t="shared" si="154"/>
        <v>4G</v>
      </c>
      <c r="BP64" s="16"/>
      <c r="BQ64" s="16"/>
      <c r="BR64" s="16">
        <f t="shared" ca="1" si="155"/>
        <v>4</v>
      </c>
      <c r="BS64" s="16">
        <f t="shared" ca="1" si="156"/>
        <v>1</v>
      </c>
      <c r="BT64" s="16" t="str">
        <f t="shared" ca="1" si="157"/>
        <v>Pos. 1 (8)</v>
      </c>
      <c r="BU64" s="16">
        <f t="shared" ca="1" si="158"/>
        <v>2</v>
      </c>
      <c r="BV64" s="16">
        <f t="shared" ca="1" si="159"/>
        <v>1</v>
      </c>
      <c r="BW64" s="16" t="str">
        <f t="shared" ca="1" si="160"/>
        <v>-</v>
      </c>
      <c r="BX64" s="16" t="str">
        <f t="shared" ca="1" si="161"/>
        <v>-</v>
      </c>
      <c r="BY64" s="16">
        <f t="shared" ca="1" si="162"/>
        <v>1</v>
      </c>
      <c r="BZ64" s="16" t="str">
        <f t="shared" ca="1" si="163"/>
        <v>-</v>
      </c>
      <c r="CA64" s="16" t="str">
        <f t="shared" ca="1" si="164"/>
        <v>-</v>
      </c>
      <c r="CB64" s="16">
        <f t="shared" ca="1" si="165"/>
        <v>1</v>
      </c>
      <c r="CC64" s="16"/>
      <c r="CD64" s="16">
        <f t="shared" ca="1" si="166"/>
        <v>1</v>
      </c>
      <c r="CE64" s="16" t="str">
        <f t="shared" ca="1" si="167"/>
        <v>-</v>
      </c>
      <c r="CF64" s="16">
        <f t="shared" ca="1" si="168"/>
        <v>1</v>
      </c>
      <c r="DJ64" s="16">
        <f t="shared" ca="1" si="169"/>
        <v>6</v>
      </c>
      <c r="DK64" s="16"/>
      <c r="DL64" s="16">
        <f t="shared" ca="1" si="170"/>
        <v>2</v>
      </c>
      <c r="DM64" s="16" t="str">
        <f t="shared" ca="1" si="171"/>
        <v>6.2</v>
      </c>
      <c r="DN64" s="16">
        <f t="array" aca="1" ref="DN64" ca="1">OFFSET(Horarios!$P$3,DJ64-1,0,DL64,1)</f>
        <v>6</v>
      </c>
      <c r="DO64" s="16"/>
      <c r="DP64" s="16">
        <v>7</v>
      </c>
      <c r="DQ64" s="16" t="str">
        <f t="shared" ca="1" si="172"/>
        <v>República Checa</v>
      </c>
    </row>
    <row r="65" spans="1:121" ht="16.05" customHeight="1" thickBot="1">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8</v>
      </c>
      <c r="BN65" s="16">
        <f t="shared" ca="1" si="153"/>
        <v>8</v>
      </c>
      <c r="BO65" s="16" t="str">
        <f t="shared" si="154"/>
        <v>4H</v>
      </c>
      <c r="BP65" s="16"/>
      <c r="BQ65" s="16"/>
      <c r="BR65" s="16">
        <f t="shared" ca="1" si="155"/>
        <v>4</v>
      </c>
      <c r="BS65" s="16">
        <f t="shared" ca="1" si="156"/>
        <v>1</v>
      </c>
      <c r="BT65" s="16" t="str">
        <f t="shared" ca="1" si="157"/>
        <v>Pos. 1 (8)</v>
      </c>
      <c r="BU65" s="16">
        <f t="shared" ca="1" si="158"/>
        <v>-2</v>
      </c>
      <c r="BV65" s="16">
        <f t="shared" ca="1" si="159"/>
        <v>8</v>
      </c>
      <c r="BW65" s="16" t="str">
        <f t="shared" ca="1" si="160"/>
        <v>-</v>
      </c>
      <c r="BX65" s="16" t="str">
        <f t="shared" ca="1" si="161"/>
        <v>-</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Cabo Verde</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9</v>
      </c>
      <c r="BN66" s="16">
        <f t="shared" ca="1" si="153"/>
        <v>9</v>
      </c>
      <c r="BO66" s="16" t="str">
        <f t="shared" si="154"/>
        <v>4I</v>
      </c>
      <c r="BP66" s="16"/>
      <c r="BQ66" s="16"/>
      <c r="BR66" s="16">
        <f t="shared" ca="1" si="155"/>
        <v>3</v>
      </c>
      <c r="BS66" s="16">
        <f t="shared" ca="1" si="156"/>
        <v>9</v>
      </c>
      <c r="BT66" s="16" t="str">
        <f t="shared" ca="1" si="157"/>
        <v>Pos. 9 (2)</v>
      </c>
      <c r="BU66" s="16">
        <f t="shared" ca="1" si="158"/>
        <v>-1</v>
      </c>
      <c r="BV66" s="16">
        <f t="shared" ca="1" si="159"/>
        <v>9</v>
      </c>
      <c r="BW66" s="16" t="str">
        <f t="shared" ca="1" si="160"/>
        <v>-</v>
      </c>
      <c r="BX66" s="16" t="str">
        <f t="shared" ca="1" si="161"/>
        <v>-</v>
      </c>
      <c r="BY66" s="16">
        <f t="shared" ca="1" si="162"/>
        <v>9</v>
      </c>
      <c r="BZ66" s="16" t="str">
        <f t="shared" ca="1" si="163"/>
        <v>-</v>
      </c>
      <c r="CA66" s="16" t="str">
        <f t="shared" ca="1" si="164"/>
        <v>-</v>
      </c>
      <c r="CB66" s="16">
        <f t="shared" ca="1" si="165"/>
        <v>9</v>
      </c>
      <c r="CC66" s="16"/>
      <c r="CD66" s="16">
        <f t="shared" ca="1" si="166"/>
        <v>9</v>
      </c>
      <c r="CE66" s="16" t="str">
        <f t="shared" ca="1" si="167"/>
        <v>-</v>
      </c>
      <c r="CF66" s="16">
        <f t="shared" ca="1" si="168"/>
        <v>9</v>
      </c>
      <c r="DJ66" s="16">
        <f t="shared" ca="1" si="169"/>
        <v>9</v>
      </c>
      <c r="DK66" s="16"/>
      <c r="DL66" s="16">
        <f t="shared" ca="1" si="170"/>
        <v>1</v>
      </c>
      <c r="DM66" s="16" t="str">
        <f t="shared" ca="1" si="171"/>
        <v>9.1</v>
      </c>
      <c r="DN66" s="16">
        <f t="array" aca="1" ref="DN66" ca="1">OFFSET(Horarios!$P$3,DJ66-1,0,DL66,1)</f>
        <v>9</v>
      </c>
      <c r="DO66" s="16"/>
      <c r="DP66" s="16">
        <v>9</v>
      </c>
      <c r="DQ66" s="16" t="str">
        <f t="shared" ca="1" si="172"/>
        <v>Noruega</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2</v>
      </c>
      <c r="BN67" s="16">
        <f t="shared" ca="1" si="153"/>
        <v>2</v>
      </c>
      <c r="BO67" s="16" t="str">
        <f t="shared" si="154"/>
        <v>4J</v>
      </c>
      <c r="BP67" s="16"/>
      <c r="BQ67" s="16"/>
      <c r="BR67" s="16">
        <f t="shared" ca="1" si="155"/>
        <v>4</v>
      </c>
      <c r="BS67" s="16">
        <f t="shared" ca="1" si="156"/>
        <v>1</v>
      </c>
      <c r="BT67" s="16" t="str">
        <f t="shared" ca="1" si="157"/>
        <v>Pos. 1 (8)</v>
      </c>
      <c r="BU67" s="16">
        <f t="shared" ca="1" si="158"/>
        <v>1</v>
      </c>
      <c r="BV67" s="16">
        <f t="shared" ca="1" si="159"/>
        <v>2</v>
      </c>
      <c r="BW67" s="16" t="str">
        <f t="shared" ca="1" si="160"/>
        <v>Pos. 2 (4)</v>
      </c>
      <c r="BX67" s="16">
        <f t="shared" ca="1" si="161"/>
        <v>5</v>
      </c>
      <c r="BY67" s="16">
        <f t="shared" ca="1" si="162"/>
        <v>2</v>
      </c>
      <c r="BZ67" s="16" t="str">
        <f t="shared" ca="1" si="163"/>
        <v>-</v>
      </c>
      <c r="CA67" s="16" t="str">
        <f t="shared" ca="1" si="164"/>
        <v>-</v>
      </c>
      <c r="CB67" s="16">
        <f t="shared" ca="1" si="165"/>
        <v>2</v>
      </c>
      <c r="CC67" s="16"/>
      <c r="CD67" s="16">
        <f t="shared" ca="1" si="166"/>
        <v>2</v>
      </c>
      <c r="CE67" s="16" t="str">
        <f t="shared" ca="1" si="167"/>
        <v>-</v>
      </c>
      <c r="CF67" s="16">
        <f t="shared" ca="1" si="168"/>
        <v>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Haití</v>
      </c>
    </row>
    <row r="68" spans="1:121" ht="16.05"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6</v>
      </c>
      <c r="BN68" s="16">
        <f t="shared" ca="1" si="153"/>
        <v>6</v>
      </c>
      <c r="BO68" s="16" t="str">
        <f t="shared" si="154"/>
        <v>4K</v>
      </c>
      <c r="BP68" s="16"/>
      <c r="BQ68" s="16"/>
      <c r="BR68" s="16">
        <f t="shared" ca="1" si="155"/>
        <v>4</v>
      </c>
      <c r="BS68" s="16">
        <f t="shared" ca="1" si="156"/>
        <v>1</v>
      </c>
      <c r="BT68" s="16" t="str">
        <f t="shared" ca="1" si="157"/>
        <v>Pos. 1 (8)</v>
      </c>
      <c r="BU68" s="16">
        <f t="shared" ca="1" si="158"/>
        <v>0</v>
      </c>
      <c r="BV68" s="16">
        <f t="shared" ca="1" si="159"/>
        <v>6</v>
      </c>
      <c r="BW68" s="16" t="str">
        <f t="shared" ca="1" si="160"/>
        <v>Pos. 6 (2)</v>
      </c>
      <c r="BX68" s="16">
        <f t="shared" ca="1" si="161"/>
        <v>3</v>
      </c>
      <c r="BY68" s="16">
        <f t="shared" ca="1" si="162"/>
        <v>6</v>
      </c>
      <c r="BZ68" s="16" t="str">
        <f t="shared" ca="1" si="163"/>
        <v>Pos. 6 (2)</v>
      </c>
      <c r="CA68" s="16">
        <f t="shared" ca="1" si="164"/>
        <v>4</v>
      </c>
      <c r="CB68" s="16">
        <f t="shared" ca="1" si="165"/>
        <v>6</v>
      </c>
      <c r="CC68" s="16"/>
      <c r="CD68" s="16">
        <f t="shared" ca="1" si="166"/>
        <v>6</v>
      </c>
      <c r="CE68" s="16">
        <f t="shared" ca="1" si="167"/>
        <v>5</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Ghana</v>
      </c>
    </row>
    <row r="69" spans="1:121" ht="16.05" customHeight="1">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11</v>
      </c>
      <c r="BN69" s="16">
        <f t="shared" ca="1" si="153"/>
        <v>11</v>
      </c>
      <c r="BO69" s="16" t="str">
        <f t="shared" si="154"/>
        <v>4L</v>
      </c>
      <c r="BP69" s="16"/>
      <c r="BQ69" s="16"/>
      <c r="BR69" s="16">
        <f t="shared" ca="1" si="155"/>
        <v>2</v>
      </c>
      <c r="BS69" s="16">
        <f t="shared" ca="1" si="156"/>
        <v>11</v>
      </c>
      <c r="BT69" s="16" t="str">
        <f t="shared" ca="1" si="157"/>
        <v>Pos. 11 (2)</v>
      </c>
      <c r="BU69" s="16">
        <f t="shared" ca="1" si="158"/>
        <v>-2</v>
      </c>
      <c r="BV69" s="16">
        <f t="shared" ca="1" si="159"/>
        <v>11</v>
      </c>
      <c r="BW69" s="16" t="str">
        <f t="shared" ca="1" si="160"/>
        <v>Pos. 11 (2)</v>
      </c>
      <c r="BX69" s="16">
        <f t="shared" ca="1" si="161"/>
        <v>3</v>
      </c>
      <c r="BY69" s="16">
        <f t="shared" ca="1" si="162"/>
        <v>11</v>
      </c>
      <c r="BZ69" s="16" t="str">
        <f t="shared" ca="1" si="163"/>
        <v>-</v>
      </c>
      <c r="CA69" s="16" t="str">
        <f t="shared" ca="1" si="164"/>
        <v>-</v>
      </c>
      <c r="CB69" s="16">
        <f t="shared" ca="1" si="165"/>
        <v>11</v>
      </c>
      <c r="CC69" s="16"/>
      <c r="CD69" s="16">
        <f t="shared" ca="1" si="166"/>
        <v>11</v>
      </c>
      <c r="CE69" s="16" t="str">
        <f t="shared" ca="1" si="167"/>
        <v>-</v>
      </c>
      <c r="CF69" s="16">
        <f t="shared" ca="1" si="168"/>
        <v>11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Costa de Marfil</v>
      </c>
    </row>
    <row r="70" spans="1:121" ht="16.05"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05" customHeight="1">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05" customHeight="1" thickBot="1">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05" customHeight="1">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05" customHeight="1">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05"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05" customHeight="1">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05" customHeight="1" thickBot="1">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05"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05"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05" customHeight="1" thickBot="1">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ABDFGHJK</v>
      </c>
      <c r="BA101" s="176"/>
    </row>
    <row r="102" spans="1:62" ht="16.05"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Bélgica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3</v>
      </c>
      <c r="AT102" s="84">
        <f t="shared" ca="1" si="269"/>
        <v>2</v>
      </c>
      <c r="AU102" s="323">
        <f t="shared" ref="AU102:AU113" ca="1" si="270">IF($H$113=144,INDEX($DL$58:$DL$69,MATCH(AI102,$DP$58:$DP$69,0)),"")</f>
        <v>1</v>
      </c>
      <c r="AV102" s="182" t="str">
        <f t="shared" ref="AV102:AV113" ca="1" si="271">INDEX($BD$58:$BD$69,MATCH(AI102,$BM$58:$BM$69,0))</f>
        <v>Bélgica</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Austria</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Austria</v>
      </c>
      <c r="AW103" s="215"/>
      <c r="AX103" s="170"/>
      <c r="AY103" s="270"/>
      <c r="AZ103" s="273" t="str">
        <f t="shared" ref="AZ103:AZ110" ca="1" si="272">+IF(OR($H$113&gt;=48,$AJ$99=144),BF117&amp;" - "&amp;BG117,"")</f>
        <v>1A - 3H</v>
      </c>
      <c r="BA103" s="176"/>
      <c r="BF103" t="str">
        <f t="shared" ref="BF103:BF110" ca="1" si="273">IFERROR(INDEX($BC$6:$BC$53,MATCH(AL102,$BD$6:$BD$53,0)),"")</f>
        <v>G</v>
      </c>
      <c r="BG103">
        <f t="shared" ref="BG103:BG110" ca="1" si="274">COUNTIF($BF$103:$BF$110,"&lt;="&amp;BF103)</f>
        <v>5</v>
      </c>
      <c r="BI103">
        <v>1</v>
      </c>
      <c r="BJ103" t="str">
        <f t="shared" ref="BJ103:BJ110" ca="1" si="275">IFERROR(INDEX($BF$103:$BF$110,MATCH(BI103,$BG$103:$BG$110,0)),"Grupo")</f>
        <v>A</v>
      </c>
    </row>
    <row r="104" spans="1:62" ht="16.05"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Suiza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Suiza</v>
      </c>
      <c r="AW104" s="215"/>
      <c r="AX104" s="170"/>
      <c r="AY104" s="270"/>
      <c r="AZ104" s="273" t="str">
        <f t="shared" ca="1" si="272"/>
        <v>1B - 3G</v>
      </c>
      <c r="BA104" s="176"/>
      <c r="BF104" t="str">
        <f t="shared" ca="1" si="273"/>
        <v>J</v>
      </c>
      <c r="BG104">
        <f t="shared" ca="1" si="274"/>
        <v>7</v>
      </c>
      <c r="BI104">
        <v>2</v>
      </c>
      <c r="BJ104" t="str">
        <f t="shared" ca="1" si="275"/>
        <v>B</v>
      </c>
    </row>
    <row r="105" spans="1:62" ht="16.05"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Turquía</v>
      </c>
      <c r="AM105" s="576">
        <f t="shared" ca="1" si="269"/>
        <v>4</v>
      </c>
      <c r="AN105" s="86">
        <f t="shared" ca="1" si="269"/>
        <v>3</v>
      </c>
      <c r="AO105" s="86">
        <f t="shared" ca="1" si="269"/>
        <v>1</v>
      </c>
      <c r="AP105" s="86">
        <f t="shared" ca="1" si="269"/>
        <v>1</v>
      </c>
      <c r="AQ105" s="86">
        <f t="shared" ca="1" si="269"/>
        <v>1</v>
      </c>
      <c r="AR105" s="86">
        <f t="shared" ca="1" si="269"/>
        <v>4</v>
      </c>
      <c r="AS105" s="86">
        <f t="shared" ca="1" si="269"/>
        <v>3</v>
      </c>
      <c r="AT105" s="87">
        <f t="shared" ca="1" si="269"/>
        <v>1</v>
      </c>
      <c r="AU105" s="323">
        <f t="shared" ca="1" si="270"/>
        <v>2</v>
      </c>
      <c r="AV105" s="182" t="str">
        <f t="shared" ca="1" si="271"/>
        <v>Turquía</v>
      </c>
      <c r="AW105" s="215"/>
      <c r="AX105" s="170"/>
      <c r="AY105" s="270"/>
      <c r="AZ105" s="273" t="str">
        <f t="shared" ca="1" si="272"/>
        <v>1D - 3B</v>
      </c>
      <c r="BA105" s="176"/>
      <c r="BF105" t="str">
        <f t="shared" ca="1" si="273"/>
        <v>B</v>
      </c>
      <c r="BG105">
        <f t="shared" ca="1" si="274"/>
        <v>2</v>
      </c>
      <c r="BI105">
        <v>3</v>
      </c>
      <c r="BJ105" t="str">
        <f t="shared" ca="1" si="275"/>
        <v>D</v>
      </c>
    </row>
    <row r="106" spans="1:62" ht="16.05"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Suecia</v>
      </c>
      <c r="AM106" s="576">
        <f t="shared" ca="1" si="269"/>
        <v>4</v>
      </c>
      <c r="AN106" s="86">
        <f t="shared" ca="1" si="269"/>
        <v>3</v>
      </c>
      <c r="AO106" s="86">
        <f t="shared" ca="1" si="269"/>
        <v>1</v>
      </c>
      <c r="AP106" s="86">
        <f t="shared" ca="1" si="269"/>
        <v>1</v>
      </c>
      <c r="AQ106" s="86">
        <f t="shared" ca="1" si="269"/>
        <v>1</v>
      </c>
      <c r="AR106" s="86">
        <f t="shared" ca="1" si="269"/>
        <v>3</v>
      </c>
      <c r="AS106" s="86">
        <f t="shared" ca="1" si="269"/>
        <v>2</v>
      </c>
      <c r="AT106" s="87">
        <f t="shared" ca="1" si="269"/>
        <v>1</v>
      </c>
      <c r="AU106" s="323">
        <f t="shared" ca="1" si="270"/>
        <v>1</v>
      </c>
      <c r="AV106" s="182" t="str">
        <f t="shared" ca="1" si="271"/>
        <v>Suecia</v>
      </c>
      <c r="AW106" s="215"/>
      <c r="AX106" s="170"/>
      <c r="AY106" s="270"/>
      <c r="AZ106" s="273" t="str">
        <f t="shared" ca="1" si="272"/>
        <v>1E - 3D</v>
      </c>
      <c r="BA106" s="176"/>
      <c r="BF106" t="str">
        <f t="shared" ca="1" si="273"/>
        <v>D</v>
      </c>
      <c r="BG106">
        <f t="shared" ca="1" si="274"/>
        <v>3</v>
      </c>
      <c r="BI106">
        <v>4</v>
      </c>
      <c r="BJ106" t="str">
        <f t="shared" ca="1" si="275"/>
        <v>F</v>
      </c>
    </row>
    <row r="107" spans="1:62" ht="16.05"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Cabo Verde</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Cabo Verde</v>
      </c>
      <c r="AG107" s="320">
        <f t="shared" si="266"/>
        <v>0</v>
      </c>
      <c r="AH107" s="195">
        <v>79</v>
      </c>
      <c r="AI107" s="182">
        <v>6</v>
      </c>
      <c r="AJ107" s="42">
        <v>6</v>
      </c>
      <c r="AK107" s="589" t="str">
        <f t="array" aca="1" ref="AK107" ca="1">Ver_flag_visit</f>
        <v/>
      </c>
      <c r="AL107" s="85" t="str">
        <f t="shared" ca="1" si="268"/>
        <v>RD Congo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2</v>
      </c>
      <c r="AV107" s="182" t="str">
        <f t="shared" ca="1" si="271"/>
        <v>RD Congo</v>
      </c>
      <c r="AW107" s="215"/>
      <c r="AX107" s="170"/>
      <c r="AY107" s="270"/>
      <c r="AZ107" s="273" t="str">
        <f t="shared" ca="1" si="272"/>
        <v>1G - 3A</v>
      </c>
      <c r="BA107" s="176"/>
      <c r="BF107" t="str">
        <f t="shared" ca="1" si="273"/>
        <v>F</v>
      </c>
      <c r="BG107">
        <f t="shared" ca="1" si="274"/>
        <v>4</v>
      </c>
      <c r="BI107">
        <v>5</v>
      </c>
      <c r="BJ107" t="str">
        <f t="shared" ca="1" si="275"/>
        <v>G</v>
      </c>
    </row>
    <row r="108" spans="1:62" ht="16.05"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República Checa</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2</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H</v>
      </c>
    </row>
    <row r="109" spans="1:62" ht="16.05"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Suiza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Cabo Verde</v>
      </c>
      <c r="AM109" s="576">
        <f t="shared" ca="1" si="269"/>
        <v>4</v>
      </c>
      <c r="AN109" s="86">
        <f t="shared" ca="1" si="269"/>
        <v>3</v>
      </c>
      <c r="AO109" s="86">
        <f t="shared" ca="1" si="269"/>
        <v>1</v>
      </c>
      <c r="AP109" s="86">
        <f t="shared" ca="1" si="269"/>
        <v>1</v>
      </c>
      <c r="AQ109" s="86">
        <f t="shared" ca="1" si="269"/>
        <v>1</v>
      </c>
      <c r="AR109" s="86">
        <f t="shared" ca="1" si="269"/>
        <v>1</v>
      </c>
      <c r="AS109" s="86">
        <f t="shared" ca="1" si="269"/>
        <v>3</v>
      </c>
      <c r="AT109" s="87">
        <f t="shared" ca="1" si="269"/>
        <v>-2</v>
      </c>
      <c r="AU109" s="323">
        <f t="shared" ca="1" si="270"/>
        <v>1</v>
      </c>
      <c r="AV109" s="182" t="str">
        <f t="shared" ca="1" si="271"/>
        <v>Cabo Verde</v>
      </c>
      <c r="AW109" s="215"/>
      <c r="AX109" s="170"/>
      <c r="AY109" s="270"/>
      <c r="AZ109" s="273" t="str">
        <f t="shared" ca="1" si="272"/>
        <v>1K - 3J</v>
      </c>
      <c r="BA109" s="176"/>
      <c r="BF109" t="str">
        <f t="shared" ca="1" si="273"/>
        <v>A</v>
      </c>
      <c r="BG109">
        <f t="shared" ca="1" si="274"/>
        <v>1</v>
      </c>
      <c r="BI109">
        <v>7</v>
      </c>
      <c r="BJ109" t="str">
        <f t="shared" ca="1" si="275"/>
        <v>J</v>
      </c>
    </row>
    <row r="110" spans="1:62" ht="16.05"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Suiza</v>
      </c>
      <c r="AG110" s="320">
        <f t="shared" si="266"/>
        <v>0</v>
      </c>
      <c r="AH110" s="195">
        <v>81</v>
      </c>
      <c r="AI110" s="182">
        <v>9</v>
      </c>
      <c r="AJ110" s="42">
        <v>9</v>
      </c>
      <c r="AK110" s="589" t="str">
        <f t="array" aca="1" ref="AK110" ca="1">Ver_flag_visit</f>
        <v/>
      </c>
      <c r="AL110" s="85" t="str">
        <f t="shared" ca="1" si="268"/>
        <v>Noruega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1</v>
      </c>
      <c r="AV110" s="182" t="str">
        <f t="shared" ca="1" si="271"/>
        <v>Noruega</v>
      </c>
      <c r="AW110" s="215"/>
      <c r="AX110" s="170"/>
      <c r="AY110" s="270"/>
      <c r="AZ110" s="273" t="str">
        <f t="shared" ca="1" si="272"/>
        <v>1L - 3K</v>
      </c>
      <c r="BA110" s="176"/>
      <c r="BF110" t="str">
        <f t="shared" ca="1" si="273"/>
        <v>H</v>
      </c>
      <c r="BG110">
        <f t="shared" ca="1" si="274"/>
        <v>6</v>
      </c>
      <c r="BI110">
        <v>8</v>
      </c>
      <c r="BJ110" t="str">
        <f t="shared" ca="1" si="275"/>
        <v>K</v>
      </c>
    </row>
    <row r="111" spans="1:62" ht="16.05"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7"/>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Haití</v>
      </c>
      <c r="AM111" s="576">
        <f t="shared" ca="1" si="269"/>
        <v>3</v>
      </c>
      <c r="AN111" s="86">
        <f t="shared" ca="1" si="269"/>
        <v>3</v>
      </c>
      <c r="AO111" s="86">
        <f t="shared" ca="1" si="269"/>
        <v>1</v>
      </c>
      <c r="AP111" s="86">
        <f t="shared" ca="1" si="269"/>
        <v>0</v>
      </c>
      <c r="AQ111" s="86">
        <f t="shared" ca="1" si="269"/>
        <v>2</v>
      </c>
      <c r="AR111" s="86">
        <f t="shared" ca="1" si="269"/>
        <v>3</v>
      </c>
      <c r="AS111" s="86">
        <f t="shared" ca="1" si="269"/>
        <v>6</v>
      </c>
      <c r="AT111" s="87">
        <f t="shared" ca="1" si="269"/>
        <v>-3</v>
      </c>
      <c r="AU111" s="323">
        <f t="shared" ca="1" si="270"/>
        <v>1</v>
      </c>
      <c r="AV111" s="182" t="str">
        <f t="shared" ca="1" si="271"/>
        <v>Haití</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Ghana</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Ghana</v>
      </c>
      <c r="AW112" s="215"/>
      <c r="AX112" s="170"/>
      <c r="AY112" s="269"/>
      <c r="AZ112" s="269"/>
      <c r="BA112" s="176"/>
      <c r="BI112" t="str">
        <f ca="1">IFERROR(CONCATENATE(BJ103,BJ104,BJ105,BJ106,BJ107,BJ108,BJ109,BJ110),"¿A/B/C/D/E/F/G/H/I/J/K/L?")</f>
        <v>ABDFGHJK</v>
      </c>
    </row>
    <row r="113" spans="1:59" ht="16.05"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Bosnia y Herzegovina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Bélgica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Bosnia y Herzegovina</v>
      </c>
      <c r="AB113" s="89"/>
      <c r="AC113" s="92"/>
      <c r="AD113" s="92"/>
      <c r="AE113" s="90"/>
      <c r="AF113" s="91" t="str">
        <f t="shared" ca="1" si="265"/>
        <v>Bélgica</v>
      </c>
      <c r="AG113" s="320">
        <f t="shared" si="266"/>
        <v>0</v>
      </c>
      <c r="AH113" s="195">
        <v>85</v>
      </c>
      <c r="AI113" s="182">
        <v>12</v>
      </c>
      <c r="AJ113" s="44">
        <v>12</v>
      </c>
      <c r="AK113" s="591" t="str">
        <f t="array" aca="1" ref="AK113" ca="1">Ver_flag_visit</f>
        <v/>
      </c>
      <c r="AL113" s="45" t="str">
        <f t="shared" ca="1" si="268"/>
        <v>Costa de Marfil</v>
      </c>
      <c r="AM113" s="577">
        <f t="shared" ca="1" si="269"/>
        <v>2</v>
      </c>
      <c r="AN113" s="47">
        <f t="shared" ca="1" si="269"/>
        <v>3</v>
      </c>
      <c r="AO113" s="47">
        <f t="shared" ca="1" si="269"/>
        <v>0</v>
      </c>
      <c r="AP113" s="47">
        <f t="shared" ca="1" si="269"/>
        <v>2</v>
      </c>
      <c r="AQ113" s="47">
        <f t="shared" ca="1" si="269"/>
        <v>1</v>
      </c>
      <c r="AR113" s="47">
        <f t="shared" ca="1" si="269"/>
        <v>2</v>
      </c>
      <c r="AS113" s="47">
        <f t="shared" ca="1" si="269"/>
        <v>4</v>
      </c>
      <c r="AT113" s="48">
        <f t="shared" ca="1" si="269"/>
        <v>-2</v>
      </c>
      <c r="AU113" s="323">
        <f t="shared" ca="1" si="270"/>
        <v>1</v>
      </c>
      <c r="AV113" s="182" t="str">
        <f t="shared" ca="1" si="271"/>
        <v>Costa de Marfil</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95"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32" priority="166" stopIfTrue="1">
      <formula>IF(COUNT($AC101:$AD101)=2,IF(AND($AB101&lt;&gt;$AE101,$AC101=$AD101,$AB101&lt;&gt;"",$AE101&lt;&gt;""),1=2,IF(AND($AB101&lt;&gt;"",$AC101=$AD101),1=1,IF(AND($AB101="",$AC101=$AD101),1=1,1=2))),1=2)</formula>
    </cfRule>
  </conditionalFormatting>
  <conditionalFormatting sqref="AC12:AD17 AC20:AD25 AC28:AD33 AC36:AD41 AC44:AD49 AC52:AD57 AC60:AD65 AC68:AD73 AC76:AD81 AC84:AD89 AC92:AD97 AC101:AD116 AC120:AD127 AC131:AD134 AC138:AD139 AC143:AD143 AC147:AD147 AC4:AD9">
    <cfRule type="expression" dxfId="31" priority="31" stopIfTrue="1">
      <formula>AC4=""</formula>
    </cfRule>
  </conditionalFormatting>
  <conditionalFormatting sqref="AJ8:AT8 AJ16:AT16 AJ24:AT24 AJ32:AT32 AJ40:AT40 AJ48:AT48 AJ56:AT56 AJ64:AT64 AJ72:AT72 AJ80:AT80 AJ88:AT88 AJ96:AT96 AJ110:AT113">
    <cfRule type="expression" dxfId="30" priority="5">
      <formula>AND(OR(SUM($AN$102:$AN$113)=36,$AJ$99=144),COUNTIF($AL$110:$AL$113,$AL8))</formula>
    </cfRule>
  </conditionalFormatting>
  <conditionalFormatting sqref="AJ9:AT9 AJ17:AT17 AJ25:AT25 AJ33:AT33 AJ41:AT41 AJ49:AT49 AJ57:AT57 AJ65:AT65 AJ73:AT73 AJ81:AT81 AJ89:AT89 AJ97:AT97">
    <cfRule type="expression" dxfId="29" priority="298" stopIfTrue="1">
      <formula>OR(SUM($AN6:$AN9)=12,$AJ$99=144)</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224" customWidth="1"/>
    <col min="5" max="8" width="10.77734375" style="224" customWidth="1"/>
    <col min="9" max="9" width="3.109375" style="224" customWidth="1"/>
    <col min="10" max="12" width="10.77734375" style="224" customWidth="1"/>
    <col min="13" max="13" width="3.6640625" style="224" customWidth="1"/>
    <col min="14" max="14" width="4.6640625" style="224" customWidth="1"/>
    <col min="15" max="15" width="4" customWidth="1"/>
    <col min="16" max="16" width="4.77734375" customWidth="1"/>
    <col min="17" max="19" width="10.77734375" style="1" hidden="1" customWidth="1"/>
    <col min="20" max="16384" width="10.77734375" style="1" hidden="1"/>
  </cols>
  <sheetData>
    <row r="1" spans="1:14" ht="19.95" customHeight="1">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19.95" customHeight="1" thickBot="1">
      <c r="A2" s="284"/>
      <c r="B2" s="285"/>
      <c r="C2" s="285"/>
      <c r="D2" s="360"/>
      <c r="E2" s="620"/>
      <c r="F2" s="620"/>
      <c r="G2" s="620"/>
      <c r="H2" s="620"/>
      <c r="I2" s="620"/>
      <c r="J2" s="620"/>
      <c r="K2" s="620"/>
      <c r="L2" s="620"/>
      <c r="M2" s="620"/>
      <c r="N2" s="620"/>
    </row>
    <row r="3" spans="1:14" ht="34.950000000000003"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2|1-2</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2|1-2</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c r="A81" s="620"/>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Bosnia y Herzegovina</v>
      </c>
      <c r="D84" s="656"/>
      <c r="E84" s="361"/>
      <c r="F84" s="361"/>
      <c r="G84" s="361"/>
      <c r="H84" s="361"/>
      <c r="I84" s="372"/>
      <c r="J84" s="361"/>
      <c r="K84" s="361"/>
      <c r="L84" s="361"/>
      <c r="M84" s="370"/>
      <c r="N84" s="368"/>
    </row>
    <row r="85" spans="1:14" ht="15" customHeight="1">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c r="A86" s="620"/>
      <c r="B86" s="349" t="str">
        <f>Idiomas!D146</f>
        <v>3º GRUPO B</v>
      </c>
      <c r="C86" s="342" t="str">
        <f ca="1">IF(OR(SUM(WORLDCUP!$AN$14:$AN$17)=12,WORLDCUP!$AJ$99=144),WORLDCUP!AL16,B86)</f>
        <v>Suiza</v>
      </c>
      <c r="D86" s="656"/>
      <c r="E86" s="361"/>
      <c r="F86" s="361"/>
      <c r="G86" s="361"/>
      <c r="H86" s="361"/>
      <c r="I86" s="372"/>
      <c r="J86" s="361"/>
      <c r="K86" s="361"/>
      <c r="L86" s="361"/>
      <c r="M86" s="370"/>
      <c r="N86" s="368"/>
    </row>
    <row r="87" spans="1:14" ht="15" customHeight="1">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c r="A90" s="620"/>
      <c r="B90" s="351" t="str">
        <f>Idiomas!D150</f>
        <v>3º GRUPO C</v>
      </c>
      <c r="C90" s="342" t="str">
        <f ca="1">IF(OR(SUM(WORLDCUP!$AN$22:$AN$25)=12,WORLDCUP!$AJ$99=144),WORLDCUP!AL24,B90)</f>
        <v>Haití</v>
      </c>
      <c r="D90" s="656"/>
      <c r="E90" s="361"/>
      <c r="F90" s="361"/>
      <c r="G90" s="361"/>
      <c r="H90" s="361"/>
      <c r="I90" s="372"/>
      <c r="J90" s="361"/>
      <c r="K90" s="361"/>
      <c r="L90" s="361"/>
      <c r="M90" s="370"/>
      <c r="N90" s="368"/>
    </row>
    <row r="91" spans="1:14" ht="15" customHeight="1">
      <c r="A91" s="620"/>
      <c r="B91" s="351" t="str">
        <f>Idiomas!D151</f>
        <v>4º GRUPO C</v>
      </c>
      <c r="C91" s="342" t="str">
        <f ca="1">IF(OR(SUM(WORLDCUP!$AN$22:$AN$25)=12,WORLDCUP!$AJ$99=144),WORLDCUP!AL25,B91)</f>
        <v>Escocia</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c r="A93" s="620"/>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c r="A94" s="620"/>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c r="A97" s="620"/>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Japón</v>
      </c>
      <c r="D100" s="656"/>
      <c r="E100" s="361"/>
      <c r="F100" s="361"/>
      <c r="G100" s="361"/>
      <c r="H100" s="361"/>
      <c r="I100" s="372"/>
      <c r="J100" s="361"/>
      <c r="K100" s="361"/>
      <c r="L100" s="361"/>
      <c r="M100" s="370"/>
      <c r="N100" s="368"/>
    </row>
    <row r="101" spans="1:14" ht="15" customHeight="1">
      <c r="A101" s="620"/>
      <c r="B101" s="349" t="str">
        <f>Idiomas!D161</f>
        <v>2º GRUPO F</v>
      </c>
      <c r="C101" s="342" t="str">
        <f ca="1">IF(OR(SUM(WORLDCUP!$AN$46:$AN$49)=12,WORLDCUP!$AJ$99=144),WORLDCUP!AL47,B101)</f>
        <v>Países Bajos</v>
      </c>
      <c r="D101" s="656"/>
      <c r="E101" s="361"/>
      <c r="F101" s="361"/>
      <c r="G101" s="361"/>
      <c r="H101" s="361"/>
      <c r="I101" s="372"/>
      <c r="J101" s="361"/>
      <c r="K101" s="361"/>
      <c r="L101" s="361"/>
      <c r="M101" s="370"/>
      <c r="N101" s="368"/>
    </row>
    <row r="102" spans="1:14" ht="15" customHeight="1">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Egipto</v>
      </c>
      <c r="D104" s="656"/>
      <c r="E104" s="361"/>
      <c r="F104" s="361"/>
      <c r="G104" s="361"/>
      <c r="H104" s="361"/>
      <c r="I104" s="372"/>
      <c r="J104" s="361"/>
      <c r="K104" s="361"/>
      <c r="L104" s="361"/>
      <c r="M104" s="370"/>
      <c r="N104" s="368"/>
    </row>
    <row r="105" spans="1:14" ht="15" customHeight="1">
      <c r="A105" s="620"/>
      <c r="B105" s="351" t="str">
        <f>Idiomas!D165</f>
        <v>2º GRUPO G</v>
      </c>
      <c r="C105" s="342" t="str">
        <f ca="1">IF(OR(SUM(WORLDCUP!$AN$54:$AN$57)=12,WORLDCUP!$AJ$99=144),WORLDCUP!AL55,B105)</f>
        <v>Irán</v>
      </c>
      <c r="D105" s="656"/>
      <c r="E105" s="361"/>
      <c r="F105" s="361"/>
      <c r="G105" s="361"/>
      <c r="H105" s="361"/>
      <c r="I105" s="372"/>
      <c r="J105" s="361"/>
      <c r="K105" s="361"/>
      <c r="L105" s="361"/>
      <c r="M105" s="370"/>
      <c r="N105" s="368"/>
    </row>
    <row r="106" spans="1:14" ht="15" customHeight="1">
      <c r="A106" s="620"/>
      <c r="B106" s="351" t="str">
        <f>Idiomas!D166</f>
        <v>3º GRUPO G</v>
      </c>
      <c r="C106" s="342" t="str">
        <f ca="1">IF(OR(SUM(WORLDCUP!$AN$54:$AN$57)=12,WORLDCUP!$AJ$99=144),WORLDCUP!AL56,B106)</f>
        <v>Bélgica</v>
      </c>
      <c r="D106" s="656"/>
      <c r="E106" s="361"/>
      <c r="F106" s="361"/>
      <c r="G106" s="361"/>
      <c r="H106" s="361"/>
      <c r="I106" s="372"/>
      <c r="J106" s="361"/>
      <c r="K106" s="361"/>
      <c r="L106" s="361"/>
      <c r="M106" s="370"/>
      <c r="N106" s="368"/>
    </row>
    <row r="107" spans="1:14" ht="15" customHeight="1">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Uruguay</v>
      </c>
      <c r="D108" s="656"/>
      <c r="E108" s="361"/>
      <c r="F108" s="361"/>
      <c r="G108" s="361"/>
      <c r="H108" s="361"/>
      <c r="I108" s="372"/>
      <c r="J108" s="361"/>
      <c r="K108" s="361"/>
      <c r="L108" s="361"/>
      <c r="M108" s="370"/>
      <c r="N108" s="368"/>
    </row>
    <row r="109" spans="1:14" ht="15" customHeight="1">
      <c r="A109" s="620"/>
      <c r="B109" s="349" t="str">
        <f>Idiomas!D169</f>
        <v>2º GRUPO H</v>
      </c>
      <c r="C109" s="342" t="str">
        <f ca="1">IF(OR(SUM(WORLDCUP!$AN$62:$AN$65)=12,WORLDCUP!$AJ$99=144),WORLDCUP!AL63,B109)</f>
        <v>España</v>
      </c>
      <c r="D109" s="656"/>
      <c r="E109" s="361"/>
      <c r="F109" s="361"/>
      <c r="G109" s="361"/>
      <c r="H109" s="361"/>
      <c r="I109" s="372"/>
      <c r="J109" s="361"/>
      <c r="K109" s="361"/>
      <c r="L109" s="361"/>
      <c r="M109" s="370"/>
      <c r="N109" s="368"/>
    </row>
    <row r="110" spans="1:14" ht="15" customHeight="1">
      <c r="A110" s="620"/>
      <c r="B110" s="349" t="str">
        <f>Idiomas!D170</f>
        <v>3º GRUPO H</v>
      </c>
      <c r="C110" s="342" t="str">
        <f ca="1">IF(OR(SUM(WORLDCUP!$AN$62:$AN$65)=12,WORLDCUP!$AJ$99=144),WORLDCUP!AL64,B110)</f>
        <v>Cabo Verde</v>
      </c>
      <c r="D110" s="656"/>
      <c r="E110" s="361"/>
      <c r="F110" s="361"/>
      <c r="G110" s="361"/>
      <c r="H110" s="361"/>
      <c r="I110" s="372"/>
      <c r="J110" s="361"/>
      <c r="K110" s="361"/>
      <c r="L110" s="361"/>
      <c r="M110" s="370"/>
      <c r="N110" s="368"/>
    </row>
    <row r="111" spans="1:14" ht="15" customHeight="1">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c r="A113" s="620"/>
      <c r="B113" s="351" t="str">
        <f>Idiomas!D173</f>
        <v>2º GRUPO I</v>
      </c>
      <c r="C113" s="342" t="str">
        <f ca="1">IF(OR(SUM(WORLDCUP!$AN$70:$AN$73)=12,WORLDCUP!$AJ$99=144),WORLDCUP!AL71,B113)</f>
        <v>Senegal</v>
      </c>
      <c r="D113" s="656"/>
      <c r="E113" s="361"/>
      <c r="F113" s="361"/>
      <c r="G113" s="361"/>
      <c r="H113" s="361"/>
      <c r="I113" s="372"/>
      <c r="J113" s="361"/>
      <c r="K113" s="361"/>
      <c r="L113" s="361"/>
      <c r="M113" s="370"/>
      <c r="N113" s="368"/>
    </row>
    <row r="114" spans="1:14" ht="15" customHeight="1">
      <c r="A114" s="620"/>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Croacia</v>
      </c>
      <c r="D124" s="656"/>
      <c r="E124" s="361"/>
      <c r="F124" s="361"/>
      <c r="G124" s="361"/>
      <c r="H124" s="361"/>
      <c r="I124" s="372"/>
      <c r="J124" s="361"/>
      <c r="K124" s="361"/>
      <c r="L124" s="361"/>
      <c r="M124" s="370"/>
      <c r="N124" s="368"/>
    </row>
    <row r="125" spans="1:14" ht="15" customHeight="1">
      <c r="A125" s="620"/>
      <c r="B125" s="349" t="str">
        <f>Idiomas!D185</f>
        <v>2º GRUPO L</v>
      </c>
      <c r="C125" s="342" t="str">
        <f ca="1">IF(OR(SUM(WORLDCUP!$AN$94:$AN$97)=12,WORLDCUP!$AJ$99=144),WORLDCUP!AL95,B125)</f>
        <v>Inglaterra</v>
      </c>
      <c r="D125" s="656"/>
      <c r="E125" s="361"/>
      <c r="F125" s="361"/>
      <c r="G125" s="361"/>
      <c r="H125" s="361"/>
      <c r="I125" s="372"/>
      <c r="J125" s="361"/>
      <c r="K125" s="361"/>
      <c r="L125" s="361"/>
      <c r="M125" s="370"/>
      <c r="N125" s="368"/>
    </row>
    <row r="126" spans="1:14" ht="15" customHeight="1">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c r="A133" s="620"/>
      <c r="B133" s="352" t="str">
        <f t="shared" si="0"/>
        <v>Dieciseisavofinalista</v>
      </c>
      <c r="C133" s="342" t="str">
        <f ca="1">WORLDCUP!AA104</f>
        <v>Japón</v>
      </c>
      <c r="D133" s="656"/>
      <c r="E133" s="361"/>
      <c r="F133" s="361"/>
      <c r="G133" s="361"/>
      <c r="H133" s="361"/>
      <c r="I133" s="372"/>
      <c r="J133" s="361"/>
      <c r="K133" s="361"/>
      <c r="L133" s="361"/>
      <c r="M133" s="370"/>
      <c r="N133" s="368"/>
    </row>
    <row r="134" spans="1:14" ht="15" customHeight="1">
      <c r="A134" s="620"/>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c r="A137" s="620"/>
      <c r="B137" s="352" t="str">
        <f t="shared" si="0"/>
        <v>Dieciseisavofinalista</v>
      </c>
      <c r="C137" s="342" t="str">
        <f ca="1">WORLDCUP!AA108</f>
        <v>Croacia</v>
      </c>
      <c r="D137" s="656"/>
      <c r="E137" s="361"/>
      <c r="F137" s="361"/>
      <c r="G137" s="361"/>
      <c r="H137" s="361"/>
      <c r="I137" s="372"/>
      <c r="J137" s="361"/>
      <c r="K137" s="361"/>
      <c r="L137" s="361"/>
      <c r="M137" s="370"/>
      <c r="N137" s="368"/>
    </row>
    <row r="138" spans="1:14" ht="15" customHeight="1">
      <c r="A138" s="620"/>
      <c r="B138" s="352" t="str">
        <f t="shared" si="0"/>
        <v>Dieciseisavofinalista</v>
      </c>
      <c r="C138" s="342" t="str">
        <f ca="1">WORLDCUP!AA109</f>
        <v>Egipto</v>
      </c>
      <c r="D138" s="656"/>
      <c r="E138" s="361"/>
      <c r="F138" s="361"/>
      <c r="G138" s="361"/>
      <c r="H138" s="361"/>
      <c r="I138" s="372"/>
      <c r="J138" s="361"/>
      <c r="K138" s="361"/>
      <c r="L138" s="361"/>
      <c r="M138" s="370"/>
      <c r="N138" s="368"/>
    </row>
    <row r="139" spans="1:14" ht="15" customHeight="1">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c r="A140" s="620"/>
      <c r="B140" s="352" t="str">
        <f t="shared" si="0"/>
        <v>Dieciseisavofinalista</v>
      </c>
      <c r="C140" s="342" t="str">
        <f ca="1">WORLDCUP!AA111</f>
        <v>Uruguay</v>
      </c>
      <c r="D140" s="656"/>
      <c r="E140" s="361"/>
      <c r="F140" s="361"/>
      <c r="G140" s="361"/>
      <c r="H140" s="361"/>
      <c r="I140" s="372"/>
      <c r="J140" s="361"/>
      <c r="K140" s="361"/>
      <c r="L140" s="361"/>
      <c r="M140" s="370"/>
      <c r="N140" s="368"/>
    </row>
    <row r="141" spans="1:14" ht="15" customHeight="1">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c r="A142" s="620"/>
      <c r="B142" s="352" t="str">
        <f t="shared" si="0"/>
        <v>Dieciseisavofinalista</v>
      </c>
      <c r="C142" s="342" t="str">
        <f ca="1">WORLDCUP!AA113</f>
        <v>Bosnia y Herzegovina</v>
      </c>
      <c r="D142" s="656"/>
      <c r="E142" s="361"/>
      <c r="F142" s="361"/>
      <c r="G142" s="361"/>
      <c r="H142" s="361"/>
      <c r="I142" s="372"/>
      <c r="J142" s="361"/>
      <c r="K142" s="361"/>
      <c r="L142" s="361"/>
      <c r="M142" s="370"/>
      <c r="N142" s="368"/>
    </row>
    <row r="143" spans="1:14" ht="15" customHeight="1">
      <c r="A143" s="620"/>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c r="A147" s="620"/>
      <c r="B147" s="352" t="str">
        <f t="shared" ref="B147:B161" si="1">B146</f>
        <v>Dieciseisavofinalista</v>
      </c>
      <c r="C147" s="342" t="str">
        <f ca="1">WORLDCUP!AF102</f>
        <v>Países Bajos</v>
      </c>
      <c r="D147" s="656"/>
      <c r="E147" s="361"/>
      <c r="F147" s="361"/>
      <c r="G147" s="361"/>
      <c r="H147" s="361"/>
      <c r="I147" s="372"/>
      <c r="J147" s="361"/>
      <c r="K147" s="361"/>
      <c r="L147" s="361"/>
      <c r="M147" s="370"/>
      <c r="N147" s="368"/>
    </row>
    <row r="148" spans="1:14" ht="15" customHeight="1">
      <c r="A148" s="620"/>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c r="A150" s="620"/>
      <c r="B150" s="352" t="str">
        <f t="shared" si="1"/>
        <v>Dieciseisavofinalista</v>
      </c>
      <c r="C150" s="342" t="str">
        <f ca="1">WORLDCUP!AF105</f>
        <v>Senegal</v>
      </c>
      <c r="D150" s="656"/>
      <c r="E150" s="361"/>
      <c r="F150" s="361"/>
      <c r="G150" s="361"/>
      <c r="H150" s="361"/>
      <c r="I150" s="372"/>
      <c r="J150" s="361"/>
      <c r="K150" s="361"/>
      <c r="L150" s="361"/>
      <c r="M150" s="370"/>
      <c r="N150" s="368"/>
    </row>
    <row r="151" spans="1:14" ht="15" customHeight="1">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c r="A152" s="620"/>
      <c r="B152" s="352" t="str">
        <f t="shared" si="1"/>
        <v>Dieciseisavofinalista</v>
      </c>
      <c r="C152" s="342" t="str">
        <f ca="1">WORLDCUP!AF107</f>
        <v>Cabo Verde</v>
      </c>
      <c r="D152" s="656"/>
      <c r="E152" s="361"/>
      <c r="F152" s="361"/>
      <c r="G152" s="361"/>
      <c r="H152" s="361"/>
      <c r="I152" s="372"/>
      <c r="J152" s="361"/>
      <c r="K152" s="361"/>
      <c r="L152" s="361"/>
      <c r="M152" s="370"/>
      <c r="N152" s="368"/>
    </row>
    <row r="153" spans="1:14" ht="15" customHeight="1">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c r="A154" s="620"/>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c r="A155" s="620"/>
      <c r="B155" s="352" t="str">
        <f t="shared" si="1"/>
        <v>Dieciseisavofinalista</v>
      </c>
      <c r="C155" s="342" t="str">
        <f ca="1">WORLDCUP!AF110</f>
        <v>Suiza</v>
      </c>
      <c r="D155" s="656"/>
      <c r="E155" s="361"/>
      <c r="F155" s="361"/>
      <c r="G155" s="361"/>
      <c r="H155" s="361"/>
      <c r="I155" s="372"/>
      <c r="J155" s="361"/>
      <c r="K155" s="361"/>
      <c r="L155" s="361"/>
      <c r="M155" s="370"/>
      <c r="N155" s="368"/>
    </row>
    <row r="156" spans="1:14" ht="15" customHeight="1">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c r="A157" s="620"/>
      <c r="B157" s="352" t="str">
        <f t="shared" si="1"/>
        <v>Dieciseisavofinalista</v>
      </c>
      <c r="C157" s="342" t="str">
        <f ca="1">WORLDCUP!AF112</f>
        <v>Inglaterra</v>
      </c>
      <c r="D157" s="656"/>
      <c r="E157" s="361"/>
      <c r="F157" s="361"/>
      <c r="G157" s="361"/>
      <c r="H157" s="361"/>
      <c r="I157" s="372"/>
      <c r="J157" s="361"/>
      <c r="K157" s="361"/>
      <c r="L157" s="361"/>
      <c r="M157" s="370"/>
      <c r="N157" s="368"/>
    </row>
    <row r="158" spans="1:14" ht="15" customHeight="1">
      <c r="A158" s="620"/>
      <c r="B158" s="352" t="str">
        <f t="shared" si="1"/>
        <v>Dieciseisavofinalista</v>
      </c>
      <c r="C158" s="342" t="str">
        <f ca="1">WORLDCUP!AF113</f>
        <v>Bélgica</v>
      </c>
      <c r="D158" s="656"/>
      <c r="E158" s="361"/>
      <c r="F158" s="361"/>
      <c r="G158" s="361"/>
      <c r="H158" s="361"/>
      <c r="I158" s="372"/>
      <c r="J158" s="361"/>
      <c r="K158" s="361"/>
      <c r="L158" s="361"/>
      <c r="M158" s="370"/>
      <c r="N158" s="368"/>
    </row>
    <row r="159" spans="1:14" ht="15" customHeight="1">
      <c r="A159" s="620"/>
      <c r="B159" s="352" t="str">
        <f t="shared" si="1"/>
        <v>Dieciseisavofinalista</v>
      </c>
      <c r="C159" s="342" t="str">
        <f ca="1">WORLDCUP!AF114</f>
        <v>Irán</v>
      </c>
      <c r="D159" s="656"/>
      <c r="E159" s="361"/>
      <c r="F159" s="361"/>
      <c r="G159" s="361"/>
      <c r="H159" s="361"/>
      <c r="I159" s="372"/>
      <c r="J159" s="361"/>
      <c r="K159" s="361"/>
      <c r="L159" s="361"/>
      <c r="M159" s="370"/>
      <c r="N159" s="368"/>
    </row>
    <row r="160" spans="1:14" ht="15" customHeight="1">
      <c r="A160" s="620"/>
      <c r="B160" s="352" t="str">
        <f t="shared" si="1"/>
        <v>Dieciseisavofinalista</v>
      </c>
      <c r="C160" s="342" t="str">
        <f ca="1">WORLDCUP!AF115</f>
        <v>España</v>
      </c>
      <c r="D160" s="656"/>
      <c r="E160" s="361"/>
      <c r="F160" s="361"/>
      <c r="G160" s="361"/>
      <c r="H160" s="361"/>
      <c r="I160" s="372"/>
      <c r="J160" s="361"/>
      <c r="K160" s="361"/>
      <c r="L160" s="361"/>
      <c r="M160" s="370"/>
      <c r="N160" s="368"/>
    </row>
    <row r="161" spans="1:14" ht="15" customHeight="1">
      <c r="A161" s="620"/>
      <c r="B161" s="352" t="str">
        <f t="shared" si="1"/>
        <v>Dieciseisavofinalista</v>
      </c>
      <c r="C161" s="342" t="str">
        <f ca="1">WORLDCUP!AF116</f>
        <v>Austria</v>
      </c>
      <c r="D161" s="662"/>
      <c r="E161" s="363"/>
      <c r="F161" s="363"/>
      <c r="G161" s="363"/>
      <c r="H161" s="363"/>
      <c r="I161" s="373"/>
      <c r="J161" s="374"/>
      <c r="K161" s="363"/>
      <c r="L161" s="363"/>
      <c r="M161" s="375"/>
      <c r="N161" s="368"/>
    </row>
    <row r="162" spans="1:14" ht="19.95"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2.95"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0"/>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0"/>
      <c r="E165" s="656"/>
      <c r="F165" s="656"/>
      <c r="G165" s="656"/>
      <c r="H165" s="656"/>
      <c r="I165" s="345"/>
      <c r="J165" s="361"/>
      <c r="K165" s="361"/>
      <c r="L165" s="361"/>
      <c r="M165" s="377"/>
      <c r="N165" s="368"/>
    </row>
    <row r="166" spans="1:14" ht="15" customHeight="1">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6"/>
      <c r="F166" s="656"/>
      <c r="G166" s="656"/>
      <c r="H166" s="656"/>
      <c r="I166" s="345"/>
      <c r="J166" s="361"/>
      <c r="K166" s="361"/>
      <c r="L166" s="361"/>
      <c r="M166" s="377"/>
      <c r="N166" s="368"/>
    </row>
    <row r="167" spans="1:14" ht="15" customHeight="1">
      <c r="A167" s="620"/>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0"/>
      <c r="E167" s="656"/>
      <c r="F167" s="656"/>
      <c r="G167" s="656"/>
      <c r="H167" s="656"/>
      <c r="I167" s="345"/>
      <c r="J167" s="361"/>
      <c r="K167" s="361"/>
      <c r="L167" s="361"/>
      <c r="M167" s="377"/>
      <c r="N167" s="368"/>
    </row>
    <row r="168" spans="1:14" ht="15" customHeight="1">
      <c r="A168" s="620"/>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0"/>
      <c r="E168" s="361"/>
      <c r="F168" s="361"/>
      <c r="G168" s="361"/>
      <c r="H168" s="361"/>
      <c r="I168" s="345"/>
      <c r="J168" s="361"/>
      <c r="K168" s="361"/>
      <c r="L168" s="361"/>
      <c r="M168" s="377"/>
      <c r="N168" s="368"/>
    </row>
    <row r="169" spans="1:14" ht="15" customHeight="1">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c r="A170" s="620"/>
      <c r="B170" s="352" t="str">
        <f ca="1">CONCATENATE(WORLDCUP!AA107,"-",WORLDCUP!AF107)</f>
        <v>México-Cabo Verde</v>
      </c>
      <c r="C170" s="342" t="str">
        <f ca="1">CONCATENATE(WORLDCUP!AA107,"-",WORLDCUP!AF107,"·",IF(WORLDCUP!AC107&gt;WORLDCUP!AD107,1,IF(WORLDCUP!AC107&lt;WORLDCUP!AD107,2,IF(AND(WORLDCUP!AC107=WORLDCUP!AD107,WORLDCUP!AC107&lt;&gt;"",WORLDCUP!AD107&lt;&gt;""),"X",0))),"|",WORLDCUP!AC107,"-",WORLDCUP!AD107)</f>
        <v>México-Cabo Verde·0|-</v>
      </c>
      <c r="D170" s="620"/>
      <c r="E170" s="361"/>
      <c r="F170" s="361"/>
      <c r="G170" s="361"/>
      <c r="H170" s="361"/>
      <c r="I170" s="345"/>
      <c r="J170" s="361"/>
      <c r="K170" s="361"/>
      <c r="L170" s="361"/>
      <c r="M170" s="377"/>
      <c r="N170" s="368"/>
    </row>
    <row r="171" spans="1:14" ht="15" customHeight="1">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c r="A172" s="620"/>
      <c r="B172" s="352" t="str">
        <f ca="1">CONCATENATE(WORLDCUP!AA109,"-",WORLDCUP!AF109)</f>
        <v>Egipto-República Checa</v>
      </c>
      <c r="C172" s="342" t="str">
        <f ca="1">CONCATENATE(WORLDCUP!AA109,"-",WORLDCUP!AF109,"·",IF(WORLDCUP!AC109&gt;WORLDCUP!AD109,1,IF(WORLDCUP!AC109&lt;WORLDCUP!AD109,2,IF(AND(WORLDCUP!AC109=WORLDCUP!AD109,WORLDCUP!AC109&lt;&gt;"",WORLDCUP!AD109&lt;&gt;""),"X",0))),"|",WORLDCUP!AC109,"-",WORLDCUP!AD109)</f>
        <v>Egipto-República Checa·0|-</v>
      </c>
      <c r="D172" s="620"/>
      <c r="E172" s="361"/>
      <c r="F172" s="361"/>
      <c r="G172" s="361"/>
      <c r="H172" s="361"/>
      <c r="I172" s="345"/>
      <c r="J172" s="361"/>
      <c r="K172" s="361"/>
      <c r="L172" s="361"/>
      <c r="M172" s="377"/>
      <c r="N172" s="368"/>
    </row>
    <row r="173" spans="1:14" ht="15" customHeight="1">
      <c r="A173" s="620"/>
      <c r="B173" s="352" t="str">
        <f ca="1">CONCATENATE(WORLDCUP!AA110,"-",WORLDCUP!AF110)</f>
        <v>Paraguay-Suiza</v>
      </c>
      <c r="C173" s="342" t="str">
        <f ca="1">CONCATENATE(WORLDCUP!AA110,"-",WORLDCUP!AF110,"·",IF(WORLDCUP!AC110&gt;WORLDCUP!AD110,1,IF(WORLDCUP!AC110&lt;WORLDCUP!AD110,2,IF(AND(WORLDCUP!AC110=WORLDCUP!AD110,WORLDCUP!AC110&lt;&gt;"",WORLDCUP!AD110&lt;&gt;""),"X",0))),"|",WORLDCUP!AC110,"-",WORLDCUP!AD110)</f>
        <v>Paraguay-Suiza·0|-</v>
      </c>
      <c r="D173" s="620"/>
      <c r="E173" s="361"/>
      <c r="F173" s="361"/>
      <c r="G173" s="361"/>
      <c r="H173" s="361"/>
      <c r="I173" s="345"/>
      <c r="J173" s="361"/>
      <c r="K173" s="361"/>
      <c r="L173" s="361"/>
      <c r="M173" s="377"/>
      <c r="N173" s="368"/>
    </row>
    <row r="174" spans="1:14" ht="15" customHeight="1">
      <c r="A174" s="620"/>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0"/>
      <c r="E174" s="361"/>
      <c r="F174" s="361"/>
      <c r="G174" s="361"/>
      <c r="H174" s="361"/>
      <c r="I174" s="345"/>
      <c r="J174" s="361"/>
      <c r="K174" s="361"/>
      <c r="L174" s="361"/>
      <c r="M174" s="377"/>
      <c r="N174" s="368"/>
    </row>
    <row r="175" spans="1:14" ht="15" customHeight="1">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c r="A176" s="620"/>
      <c r="B176" s="352" t="str">
        <f ca="1">CONCATENATE(WORLDCUP!AA113,"-",WORLDCUP!AF113)</f>
        <v>Bosnia y Herzegovina-Bélgica</v>
      </c>
      <c r="C176" s="342" t="str">
        <f ca="1">CONCATENATE(WORLDCUP!AA113,"-",WORLDCUP!AF113,"·",IF(WORLDCUP!AC113&gt;WORLDCUP!AD113,1,IF(WORLDCUP!AC113&lt;WORLDCUP!AD113,2,IF(AND(WORLDCUP!AC113=WORLDCUP!AD113,WORLDCUP!AC113&lt;&gt;"",WORLDCUP!AD113&lt;&gt;""),"X",0))),"|",WORLDCUP!AC113,"-",WORLDCUP!AD113)</f>
        <v>Bosnia y Herzegovina-Bélgica·0|-</v>
      </c>
      <c r="D176" s="620"/>
      <c r="E176" s="361"/>
      <c r="F176" s="361"/>
      <c r="G176" s="361"/>
      <c r="H176" s="361"/>
      <c r="I176" s="345"/>
      <c r="J176" s="361"/>
      <c r="K176" s="361"/>
      <c r="L176" s="361"/>
      <c r="M176" s="377"/>
      <c r="N176" s="368"/>
    </row>
    <row r="177" spans="1:14" ht="15" customHeight="1">
      <c r="A177" s="620"/>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0"/>
      <c r="E177" s="361"/>
      <c r="F177" s="361"/>
      <c r="G177" s="361"/>
      <c r="H177" s="361"/>
      <c r="I177" s="345"/>
      <c r="J177" s="361"/>
      <c r="K177" s="361"/>
      <c r="L177" s="361"/>
      <c r="M177" s="377"/>
      <c r="N177" s="368"/>
    </row>
    <row r="178" spans="1:14" ht="15" customHeight="1">
      <c r="A178" s="620"/>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0"/>
      <c r="E178" s="361"/>
      <c r="F178" s="361"/>
      <c r="G178" s="361"/>
      <c r="H178" s="361"/>
      <c r="I178" s="345"/>
      <c r="J178" s="361"/>
      <c r="K178" s="361"/>
      <c r="L178" s="361"/>
      <c r="M178" s="377"/>
      <c r="N178" s="368"/>
    </row>
    <row r="179" spans="1:14" ht="15" customHeight="1">
      <c r="A179" s="620"/>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0"/>
      <c r="E179" s="361"/>
      <c r="F179" s="361"/>
      <c r="G179" s="361"/>
      <c r="H179" s="361"/>
      <c r="I179" s="345"/>
      <c r="J179" s="361"/>
      <c r="K179" s="361"/>
      <c r="L179" s="361"/>
      <c r="M179" s="377"/>
      <c r="N179" s="368"/>
    </row>
    <row r="180" spans="1:14" ht="15" customHeight="1">
      <c r="A180" s="223"/>
      <c r="B180" s="223"/>
      <c r="C180" s="343"/>
      <c r="D180" s="620"/>
      <c r="E180" s="361"/>
      <c r="F180" s="361"/>
      <c r="G180" s="361"/>
      <c r="H180" s="361"/>
      <c r="I180" s="345"/>
      <c r="J180" s="361"/>
      <c r="K180" s="361"/>
      <c r="L180" s="361"/>
      <c r="M180" s="377"/>
      <c r="N180" s="368"/>
    </row>
    <row r="181" spans="1:14" ht="19.05" customHeight="1">
      <c r="A181" s="223"/>
      <c r="B181" s="350" t="str">
        <f>Idiomas!D129</f>
        <v>CLASIFICADOS PARA OCTAVOS</v>
      </c>
      <c r="C181" s="343"/>
      <c r="D181" s="620"/>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c r="A197" s="620"/>
      <c r="B197" s="352" t="str">
        <f t="shared" si="2"/>
        <v>Octavofinalista</v>
      </c>
      <c r="C197" s="342" t="str">
        <f>WORLDCUP!AF127</f>
        <v>W87</v>
      </c>
      <c r="D197" s="620"/>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c r="A208" s="223"/>
      <c r="B208" s="223"/>
      <c r="C208" s="343"/>
      <c r="D208" s="620"/>
      <c r="E208" s="361"/>
      <c r="F208" s="361"/>
      <c r="G208" s="361"/>
      <c r="H208" s="361"/>
      <c r="I208" s="345"/>
      <c r="J208" s="361"/>
      <c r="K208" s="361"/>
      <c r="L208" s="361"/>
      <c r="M208" s="377"/>
      <c r="N208" s="368"/>
    </row>
    <row r="209" spans="1:14" ht="19.05" customHeight="1">
      <c r="A209" s="223"/>
      <c r="B209" s="350" t="str">
        <f>Idiomas!D131</f>
        <v>CLASIFICADOS PARA CUARTOS</v>
      </c>
      <c r="C209" s="343"/>
      <c r="D209" s="620"/>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c r="A217" s="620"/>
      <c r="B217" s="352" t="str">
        <f t="shared" si="3"/>
        <v>Cuartofinalista</v>
      </c>
      <c r="C217" s="342" t="str">
        <f>WORLDCUP!AF134</f>
        <v>W96</v>
      </c>
      <c r="D217" s="620"/>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c r="A224" s="223"/>
      <c r="B224" s="223"/>
      <c r="C224" s="343"/>
      <c r="D224" s="620"/>
      <c r="E224" s="345"/>
      <c r="F224" s="345"/>
      <c r="G224" s="345"/>
      <c r="H224" s="345"/>
      <c r="I224" s="345"/>
      <c r="J224" s="361"/>
      <c r="K224" s="361"/>
      <c r="L224" s="361"/>
      <c r="M224" s="377"/>
      <c r="N224" s="368"/>
    </row>
    <row r="225" spans="1:14" ht="19.05" customHeight="1">
      <c r="A225" s="223"/>
      <c r="B225" s="350" t="str">
        <f>Idiomas!D133</f>
        <v>CLASIFICADOS PARA SEMIFINALES</v>
      </c>
      <c r="C225" s="343"/>
      <c r="D225" s="620"/>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c r="A229" s="620"/>
      <c r="B229" s="352" t="str">
        <f>Idiomas!$D$191</f>
        <v>Semifinalista</v>
      </c>
      <c r="C229" s="342" t="str">
        <f>WORLDCUP!AF139</f>
        <v>W100</v>
      </c>
      <c r="D229" s="620"/>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c r="A234" s="223"/>
      <c r="B234" s="223"/>
      <c r="C234" s="343"/>
      <c r="D234" s="620"/>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c r="A238" s="223"/>
      <c r="B238" s="223"/>
      <c r="C238" s="343"/>
      <c r="D238" s="620"/>
      <c r="E238" s="365"/>
      <c r="F238" s="365"/>
      <c r="G238" s="365"/>
      <c r="H238" s="365"/>
      <c r="I238" s="345"/>
      <c r="J238" s="361"/>
      <c r="K238" s="361"/>
      <c r="L238" s="361"/>
      <c r="M238" s="377"/>
      <c r="N238" s="368"/>
    </row>
    <row r="239" spans="1:14" ht="19.05" customHeight="1">
      <c r="A239" s="223"/>
      <c r="B239" s="350" t="str">
        <f>Idiomas!D136</f>
        <v>CLASIFICADOS PARA LA FINAL</v>
      </c>
      <c r="C239" s="343"/>
      <c r="D239" s="620"/>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c r="A241" s="620"/>
      <c r="B241" s="352" t="str">
        <f>B240</f>
        <v>Finalista</v>
      </c>
      <c r="C241" s="342" t="str">
        <f>WORLDCUP!AF147</f>
        <v>W102</v>
      </c>
      <c r="D241" s="620"/>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0"/>
      <c r="E245" s="656"/>
      <c r="F245" s="656"/>
      <c r="G245" s="656"/>
      <c r="H245" s="656"/>
      <c r="I245" s="372"/>
      <c r="J245" s="361"/>
      <c r="K245" s="361"/>
      <c r="L245" s="361"/>
      <c r="M245" s="377"/>
      <c r="N245" s="368"/>
    </row>
    <row r="246" spans="1:14" ht="21" customHeight="1">
      <c r="A246" s="223"/>
      <c r="B246" s="350" t="str">
        <f>Idiomas!D138</f>
        <v>ENFRENTAMIENTO FINAL</v>
      </c>
      <c r="C246" s="343"/>
      <c r="D246" s="620"/>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c r="A248" s="223"/>
      <c r="B248" s="223"/>
      <c r="C248" s="343"/>
      <c r="D248" s="620"/>
      <c r="E248" s="365"/>
      <c r="F248" s="365"/>
      <c r="G248" s="365"/>
      <c r="H248" s="365"/>
      <c r="I248" s="372"/>
      <c r="J248" s="361"/>
      <c r="K248" s="361"/>
      <c r="L248" s="361"/>
      <c r="M248" s="377"/>
      <c r="N248" s="368"/>
    </row>
    <row r="249" spans="1:14" ht="19.05" customHeight="1">
      <c r="A249" s="223"/>
      <c r="B249" s="350" t="str">
        <f>Idiomas!D139</f>
        <v>CUADRO DE HONOR</v>
      </c>
      <c r="C249" s="343"/>
      <c r="D249" s="620"/>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72" width="10.77734375" style="3" hidden="1" customWidth="1"/>
    <col min="73"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3</v>
      </c>
      <c r="W4" s="439" t="str">
        <f ca="1">+INDEX(WORLDCUP!$AR$6:$AR$97,MATCH(X4,WORLDCUP!$AI$6:$AI$97,0))&amp;"-"&amp;INDEX(WORLDCUP!$AS$6:$AS$97,MATCH(X4,WORLDCUP!$AI$6:$AI$97,0))</f>
        <v>5-2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5</v>
      </c>
      <c r="V5" s="39">
        <f ca="1">+INDEX(WORLDCUP!$AT$6:$AT$97,MATCH(X5,WORLDCUP!$AI$6:$AI$97,0))</f>
        <v>2</v>
      </c>
      <c r="W5" s="43" t="str">
        <f ca="1">+INDEX(WORLDCUP!$AR$6:$AR$97,MATCH(X5,WORLDCUP!$AI$6:$AI$97,0))&amp;"-"&amp;INDEX(WORLDCUP!$AS$6:$AS$97,MATCH(X5,WORLDCUP!$AI$6:$AI$97,0))</f>
        <v>4-2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Bél</v>
      </c>
      <c r="U6" s="38">
        <f ca="1">+INDEX(WORLDCUP!$AM$6:$AM$97,MATCH(X6,WORLDCUP!$AI$6:$AI$97,0))</f>
        <v>4</v>
      </c>
      <c r="V6" s="39">
        <f ca="1">+INDEX(WORLDCUP!$AT$6:$AT$97,MATCH(X6,WORLDCUP!$AI$6:$AI$97,0))</f>
        <v>2</v>
      </c>
      <c r="W6" s="43" t="str">
        <f ca="1">+INDEX(WORLDCUP!$AR$6:$AR$97,MATCH(X6,WORLDCUP!$AI$6:$AI$97,0))&amp;"-"&amp;INDEX(WORLDCUP!$AS$6:$AS$97,MATCH(X6,WORLDCUP!$AI$6:$AI$97,0))</f>
        <v>5-3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Bos</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2</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Sui</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Sui</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Cab</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2</v>
      </c>
      <c r="J38" s="39">
        <f ca="1">+INDEX(WORLDCUP!$AT$6:$AT$97,MATCH(L38,WORLDCUP!$AI$6:$AI$97,0))</f>
        <v>-2</v>
      </c>
      <c r="K38" s="43" t="str">
        <f ca="1">+INDEX(WORLDCUP!$AR$6:$AR$97,MATCH(L38,WORLDCUP!$AI$6:$AI$97,0))&amp;"-"&amp;INDEX(WORLDCUP!$AS$6:$AS$97,MATCH(L38,WORLDCUP!$AI$6:$AI$97,0))</f>
        <v>2-4</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-3</v>
      </c>
      <c r="K39" s="467" t="str">
        <f ca="1">+INDEX(WORLDCUP!$AR$6:$AR$97,MATCH(L39,WORLDCUP!$AI$6:$AI$97,0))&amp;"-"&amp;INDEX(WORLDCUP!$AS$6:$AS$97,MATCH(L39,WORLDCUP!$AI$6:$AI$97,0))</f>
        <v>3-6</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Bos</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Bél</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7734375" defaultRowHeight="14.4"/>
  <cols>
    <col min="1" max="3" width="10.77734375" style="16" customWidth="1"/>
    <col min="4" max="4" width="17.33203125" style="16" bestFit="1" customWidth="1"/>
    <col min="5" max="6" width="10.77734375" style="16" customWidth="1"/>
    <col min="7" max="7" width="17.33203125" style="16" bestFit="1" customWidth="1"/>
    <col min="8" max="8" width="13" style="16" customWidth="1"/>
    <col min="9" max="9" width="10.77734375" style="16" customWidth="1"/>
    <col min="10" max="10" width="13" style="16" bestFit="1" customWidth="1"/>
    <col min="11" max="12" width="12.33203125" style="16" bestFit="1" customWidth="1"/>
    <col min="13" max="15" width="10.77734375" style="16" customWidth="1"/>
    <col min="16" max="16384" width="10.777343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ustomWidth="1"/>
    <col min="14" max="14" width="9.44140625" style="16" bestFit="1" customWidth="1"/>
    <col min="15" max="15" width="6.44140625" style="16" bestFit="1" customWidth="1"/>
    <col min="16" max="18" width="10.77734375" style="16" customWidth="1"/>
    <col min="19" max="16384" width="10.777343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Bélgica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Cabo Verde</v>
      </c>
      <c r="D3" s="9" t="str">
        <f ca="1">+WORLDCUP!BD64</f>
        <v>Bélgica</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Bélgica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Bélgica</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Bélgica</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Bélgica</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Bélgica</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Bélgica</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Cabo Verde</v>
      </c>
      <c r="D11" s="9" t="str">
        <f ca="1">+WORLDCUP!BD64</f>
        <v>Bélgica</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Bélgica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Bélgica</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Bélgica</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Bélgica</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Bélgica</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Bélgica</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Cabo Verde</v>
      </c>
      <c r="D19" s="9" t="str">
        <f ca="1">+WORLDCUP!BD64</f>
        <v>Bélgica</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Haití</v>
      </c>
      <c r="D21" s="9" t="str">
        <f ca="1">+WORLDCUP!BD64</f>
        <v>Bélgica</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Haití</v>
      </c>
      <c r="D22" s="9" t="str">
        <f ca="1">+WORLDCUP!BD64</f>
        <v>Bélgica</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Haití</v>
      </c>
      <c r="D23" s="9" t="str">
        <f ca="1">+WORLDCUP!BD64</f>
        <v>Bélgica</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Haití</v>
      </c>
      <c r="D24" s="9" t="str">
        <f ca="1">+WORLDCUP!BD64</f>
        <v>Bélgica</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Haití</v>
      </c>
      <c r="D25" s="9" t="str">
        <f ca="1">+WORLDCUP!BD64</f>
        <v>Bélgica</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Bélgica</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Bélgica</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Bélgica</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Bélgica</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Bélgica</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Haití</v>
      </c>
      <c r="D37" s="9" t="str">
        <f ca="1">+WORLDCUP!BD64</f>
        <v>Bélgica</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Haití</v>
      </c>
      <c r="D38" s="9" t="str">
        <f ca="1">+WORLDCUP!BD64</f>
        <v>Bélgica</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Haití</v>
      </c>
      <c r="D39" s="9" t="str">
        <f ca="1">+WORLDCUP!BD64</f>
        <v>Bélgica</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Haití</v>
      </c>
      <c r="D40" s="9" t="str">
        <f ca="1">+WORLDCUP!BD64</f>
        <v>Bélgica</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Haití</v>
      </c>
      <c r="D41" s="9" t="str">
        <f ca="1">+WORLDCUP!BD64</f>
        <v>Bélgica</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Haití</v>
      </c>
      <c r="D42" s="9" t="str">
        <f ca="1">+WORLDCUP!BD64</f>
        <v>Bélgica</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Haití</v>
      </c>
      <c r="D43" s="9" t="str">
        <f ca="1">+WORLDCUP!BD64</f>
        <v>Bélgica</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Haití</v>
      </c>
      <c r="D44" s="9" t="str">
        <f ca="1">+WORLDCUP!BD64</f>
        <v>Bélgica</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Haití</v>
      </c>
      <c r="D45" s="9" t="str">
        <f ca="1">+WORLDCUP!BD64</f>
        <v>Bélgica</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Haití</v>
      </c>
      <c r="D46" s="9" t="str">
        <f ca="1">+WORLDCUP!BD64</f>
        <v>Bélgica</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Cabo Verde</v>
      </c>
      <c r="D47" s="9" t="str">
        <f ca="1">+WORLDCUP!BD67</f>
        <v>Austria</v>
      </c>
      <c r="E47" s="9" t="str">
        <f ca="1">+WORLDCUP!BD59</f>
        <v>Suiza</v>
      </c>
      <c r="F47" s="9" t="str">
        <f ca="1">+WORLDCUP!BD63</f>
        <v>Suecia</v>
      </c>
      <c r="G47" s="9" t="str">
        <f ca="1">+WORLDCUP!BD66</f>
        <v>Noruega</v>
      </c>
      <c r="H47" s="9" t="str">
        <f ca="1">+WORLDCUP!BD64</f>
        <v>Bélgica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Austria</v>
      </c>
      <c r="E48" s="9" t="str">
        <f ca="1">+WORLDCUP!BD66</f>
        <v>Noruega</v>
      </c>
      <c r="F48" s="9" t="str">
        <f ca="1">+WORLDCUP!BD59</f>
        <v>Suiza</v>
      </c>
      <c r="G48" s="9" t="str">
        <f ca="1">+WORLDCUP!BD65</f>
        <v>Cabo Verde</v>
      </c>
      <c r="H48" s="9" t="str">
        <f ca="1">+WORLDCUP!BD64</f>
        <v>Bélgica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Austria</v>
      </c>
      <c r="E49" s="9" t="str">
        <f ca="1">+WORLDCUP!BD59</f>
        <v>Suiza</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Austria</v>
      </c>
      <c r="E50" s="9" t="str">
        <f ca="1">+WORLDCUP!BD59</f>
        <v>Suiza</v>
      </c>
      <c r="F50" s="9" t="str">
        <f ca="1">+WORLDCUP!BD63</f>
        <v>Suecia</v>
      </c>
      <c r="G50" s="9" t="str">
        <f ca="1">+WORLDCUP!BD66</f>
        <v>Noruega</v>
      </c>
      <c r="H50" s="9" t="str">
        <f ca="1">+WORLDCUP!BD64</f>
        <v>Bélgica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Austria</v>
      </c>
      <c r="E51" s="9" t="str">
        <f ca="1">+WORLDCUP!BD59</f>
        <v>Suiza</v>
      </c>
      <c r="F51" s="9" t="str">
        <f ca="1">+WORLDCUP!BD63</f>
        <v>Suecia</v>
      </c>
      <c r="G51" s="9" t="str">
        <f ca="1">+WORLDCUP!BD65</f>
        <v>Cabo Verde</v>
      </c>
      <c r="H51" s="9" t="str">
        <f ca="1">+WORLDCUP!BD64</f>
        <v>Bélgica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Bélgica</v>
      </c>
      <c r="E52" s="9" t="str">
        <f ca="1">+WORLDCUP!BD59</f>
        <v>Suiza</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Austria</v>
      </c>
      <c r="E53" s="9" t="str">
        <f ca="1">+WORLDCUP!BD59</f>
        <v>Suiza</v>
      </c>
      <c r="F53" s="9" t="str">
        <f ca="1">+WORLDCUP!BD63</f>
        <v>Suecia</v>
      </c>
      <c r="G53" s="9" t="str">
        <f ca="1">+WORLDCUP!BD65</f>
        <v>Cabo Verde</v>
      </c>
      <c r="H53" s="9" t="str">
        <f ca="1">+WORLDCUP!BD64</f>
        <v>Bélgica</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Austria</v>
      </c>
      <c r="E54" s="9" t="str">
        <f ca="1">+WORLDCUP!BD59</f>
        <v>Suiza</v>
      </c>
      <c r="F54" s="9" t="str">
        <f ca="1">+WORLDCUP!BD63</f>
        <v>Suecia</v>
      </c>
      <c r="G54" s="9" t="str">
        <f ca="1">+WORLDCUP!BD65</f>
        <v>Cabo Verde</v>
      </c>
      <c r="H54" s="9" t="str">
        <f ca="1">+WORLDCUP!BD64</f>
        <v>Bélgica</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Cabo Verde</v>
      </c>
      <c r="D55" s="9" t="str">
        <f ca="1">+WORLDCUP!BD67</f>
        <v>Austria</v>
      </c>
      <c r="E55" s="9" t="str">
        <f ca="1">+WORLDCUP!BD59</f>
        <v>Suiza</v>
      </c>
      <c r="F55" s="9" t="str">
        <f ca="1">+WORLDCUP!BD61</f>
        <v>Turquía</v>
      </c>
      <c r="G55" s="9" t="str">
        <f ca="1">+WORLDCUP!BD66</f>
        <v>Noruega</v>
      </c>
      <c r="H55" s="9" t="str">
        <f ca="1">+WORLDCUP!BD64</f>
        <v>Bélgica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Cabo Verde</v>
      </c>
      <c r="D56" s="9" t="str">
        <f ca="1">+WORLDCUP!BD67</f>
        <v>Austria</v>
      </c>
      <c r="E56" s="9" t="str">
        <f ca="1">+WORLDCUP!BD59</f>
        <v>Suiza</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Noruega</v>
      </c>
      <c r="D57" s="9" t="str">
        <f ca="1">+WORLDCUP!BD64</f>
        <v>Bélgica</v>
      </c>
      <c r="E57" s="9" t="str">
        <f ca="1">+WORLDCUP!BD59</f>
        <v>Suiza</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Cabo Verde</v>
      </c>
      <c r="D58" s="9" t="str">
        <f ca="1">+WORLDCUP!BD64</f>
        <v>Bélgica</v>
      </c>
      <c r="E58" s="9" t="str">
        <f ca="1">+WORLDCUP!BD59</f>
        <v>Suiza</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Cabo Verde</v>
      </c>
      <c r="D59" s="9" t="str">
        <f ca="1">+WORLDCUP!BD64</f>
        <v>Bélgica</v>
      </c>
      <c r="E59" s="9" t="str">
        <f ca="1">+WORLDCUP!BD59</f>
        <v>Suiza</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Cabo Verde</v>
      </c>
      <c r="D60" s="9" t="str">
        <f ca="1">+WORLDCUP!BD64</f>
        <v>Bélgica</v>
      </c>
      <c r="E60" s="9" t="str">
        <f ca="1">+WORLDCUP!BD59</f>
        <v>Suiza</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Cabo Verde</v>
      </c>
      <c r="D61" s="9" t="str">
        <f ca="1">+WORLDCUP!BD64</f>
        <v>Bélgica</v>
      </c>
      <c r="E61" s="9" t="str">
        <f ca="1">+WORLDCUP!BD59</f>
        <v>Suiza</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Austria</v>
      </c>
      <c r="E62" s="9" t="str">
        <f ca="1">+WORLDCUP!BD59</f>
        <v>Suiza</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Austria</v>
      </c>
      <c r="E63" s="9" t="str">
        <f ca="1">+WORLDCUP!BD59</f>
        <v>Suiza</v>
      </c>
      <c r="F63" s="9" t="str">
        <f ca="1">+WORLDCUP!BD61</f>
        <v>Turquía</v>
      </c>
      <c r="G63" s="9" t="str">
        <f ca="1">+WORLDCUP!BD66</f>
        <v>Noruega</v>
      </c>
      <c r="H63" s="9" t="str">
        <f ca="1">+WORLDCUP!BD64</f>
        <v>Bélgica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Austria</v>
      </c>
      <c r="E64" s="9" t="str">
        <f ca="1">+WORLDCUP!BD59</f>
        <v>Suiza</v>
      </c>
      <c r="F64" s="9" t="str">
        <f ca="1">+WORLDCUP!BD61</f>
        <v>Turquía</v>
      </c>
      <c r="G64" s="9" t="str">
        <f ca="1">+WORLDCUP!BD65</f>
        <v>Cabo Verde</v>
      </c>
      <c r="H64" s="9" t="str">
        <f ca="1">+WORLDCUP!BD64</f>
        <v>Bélgica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Bélgica</v>
      </c>
      <c r="E65" s="9" t="str">
        <f ca="1">+WORLDCUP!BD59</f>
        <v>Suiza</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Austria</v>
      </c>
      <c r="E66" s="9" t="str">
        <f ca="1">+WORLDCUP!BD59</f>
        <v>Suiza</v>
      </c>
      <c r="F66" s="9" t="str">
        <f ca="1">+WORLDCUP!BD61</f>
        <v>Turquía</v>
      </c>
      <c r="G66" s="9" t="str">
        <f ca="1">+WORLDCUP!BD65</f>
        <v>Cabo Verde</v>
      </c>
      <c r="H66" s="9" t="str">
        <f ca="1">+WORLDCUP!BD64</f>
        <v>Bélgica</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Austria</v>
      </c>
      <c r="E67" s="9" t="str">
        <f ca="1">+WORLDCUP!BD59</f>
        <v>Suiza</v>
      </c>
      <c r="F67" s="9" t="str">
        <f ca="1">+WORLDCUP!BD61</f>
        <v>Turquía</v>
      </c>
      <c r="G67" s="9" t="str">
        <f ca="1">+WORLDCUP!BD65</f>
        <v>Cabo Verde</v>
      </c>
      <c r="H67" s="9" t="str">
        <f ca="1">+WORLDCUP!BD64</f>
        <v>Bélgica</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Austria</v>
      </c>
      <c r="E68" s="9" t="str">
        <f ca="1">+WORLDCUP!BD59</f>
        <v>Suiza</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Austria</v>
      </c>
      <c r="E69" s="9" t="str">
        <f ca="1">+WORLDCUP!BD59</f>
        <v>Suiza</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Noruega</v>
      </c>
      <c r="E70" s="9" t="str">
        <f ca="1">+WORLDCUP!BD59</f>
        <v>Suiza</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Austria</v>
      </c>
      <c r="E71" s="9" t="str">
        <f ca="1">+WORLDCUP!BD59</f>
        <v>Suiza</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Austria</v>
      </c>
      <c r="E72" s="9" t="str">
        <f ca="1">+WORLDCUP!BD59</f>
        <v>Suiza</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Bélgica</v>
      </c>
      <c r="E73" s="9" t="str">
        <f ca="1">+WORLDCUP!BD59</f>
        <v>Suiza</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Bélgica</v>
      </c>
      <c r="E74" s="9" t="str">
        <f ca="1">+WORLDCUP!BD59</f>
        <v>Suiza</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Bélgica</v>
      </c>
      <c r="E75" s="9" t="str">
        <f ca="1">+WORLDCUP!BD59</f>
        <v>Suiza</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Bélgica</v>
      </c>
      <c r="E76" s="9" t="str">
        <f ca="1">+WORLDCUP!BD59</f>
        <v>Suiza</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Bélgica</v>
      </c>
      <c r="E77" s="9" t="str">
        <f ca="1">+WORLDCUP!BD59</f>
        <v>Suiza</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Cabo Verde</v>
      </c>
      <c r="D78" s="9" t="str">
        <f ca="1">+WORLDCUP!BD64</f>
        <v>Bélgica</v>
      </c>
      <c r="E78" s="9" t="str">
        <f ca="1">+WORLDCUP!BD59</f>
        <v>Suiza</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Cabo Verde</v>
      </c>
      <c r="D79" s="9" t="str">
        <f ca="1">+WORLDCUP!BD64</f>
        <v>Bélgica</v>
      </c>
      <c r="E79" s="9" t="str">
        <f ca="1">+WORLDCUP!BD59</f>
        <v>Suiza</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Bélgica</v>
      </c>
      <c r="E80" s="9" t="str">
        <f ca="1">+WORLDCUP!BD59</f>
        <v>Suiza</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Bélgica</v>
      </c>
      <c r="E81" s="9" t="str">
        <f ca="1">+WORLDCUP!BD59</f>
        <v>Suiza</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Cabo Verde</v>
      </c>
      <c r="D82" s="9" t="str">
        <f ca="1">+WORLDCUP!BD64</f>
        <v>Bélgica</v>
      </c>
      <c r="E82" s="9" t="str">
        <f ca="1">+WORLDCUP!BD59</f>
        <v>Suiza</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Cabo Verde</v>
      </c>
      <c r="D83" s="9" t="str">
        <f ca="1">+WORLDCUP!BD67</f>
        <v>Austria</v>
      </c>
      <c r="E83" s="9" t="str">
        <f ca="1">+WORLDCUP!BD59</f>
        <v>Suiza</v>
      </c>
      <c r="F83" s="9" t="str">
        <f ca="1">+WORLDCUP!BD60</f>
        <v>Haití</v>
      </c>
      <c r="G83" s="9" t="str">
        <f ca="1">+WORLDCUP!BD66</f>
        <v>Noruega</v>
      </c>
      <c r="H83" s="9" t="str">
        <f ca="1">+WORLDCUP!BD64</f>
        <v>Bélgica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Cabo Verde</v>
      </c>
      <c r="D84" s="9" t="str">
        <f ca="1">+WORLDCUP!BD67</f>
        <v>Austria</v>
      </c>
      <c r="E84" s="9" t="str">
        <f ca="1">+WORLDCUP!BD59</f>
        <v>Suiza</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Noruega</v>
      </c>
      <c r="D85" s="9" t="str">
        <f ca="1">+WORLDCUP!BD64</f>
        <v>Bélgica</v>
      </c>
      <c r="E85" s="9" t="str">
        <f ca="1">+WORLDCUP!BD59</f>
        <v>Suiza</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Cabo Verde</v>
      </c>
      <c r="D86" s="9" t="str">
        <f ca="1">+WORLDCUP!BD64</f>
        <v>Bélgica</v>
      </c>
      <c r="E86" s="9" t="str">
        <f ca="1">+WORLDCUP!BD59</f>
        <v>Suiza</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Cabo Verde</v>
      </c>
      <c r="D87" s="9" t="str">
        <f ca="1">+WORLDCUP!BD64</f>
        <v>Bélgica</v>
      </c>
      <c r="E87" s="9" t="str">
        <f ca="1">+WORLDCUP!BD59</f>
        <v>Suiza</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Cabo Verde</v>
      </c>
      <c r="D88" s="9" t="str">
        <f ca="1">+WORLDCUP!BD64</f>
        <v>Bélgica</v>
      </c>
      <c r="E88" s="9" t="str">
        <f ca="1">+WORLDCUP!BD59</f>
        <v>Suiza</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Cabo Verde</v>
      </c>
      <c r="D89" s="9" t="str">
        <f ca="1">+WORLDCUP!BD64</f>
        <v>Bélgica</v>
      </c>
      <c r="E89" s="9" t="str">
        <f ca="1">+WORLDCUP!BD59</f>
        <v>Suiza</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Austria</v>
      </c>
      <c r="E90" s="9" t="str">
        <f ca="1">+WORLDCUP!BD59</f>
        <v>Suiza</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Austria</v>
      </c>
      <c r="E91" s="9" t="str">
        <f ca="1">+WORLDCUP!BD59</f>
        <v>Suiza</v>
      </c>
      <c r="F91" s="9" t="str">
        <f ca="1">+WORLDCUP!BD60</f>
        <v>Haití</v>
      </c>
      <c r="G91" s="9" t="str">
        <f ca="1">+WORLDCUP!BD66</f>
        <v>Noruega</v>
      </c>
      <c r="H91" s="9" t="str">
        <f ca="1">+WORLDCUP!BD64</f>
        <v>Bélgica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Austria</v>
      </c>
      <c r="E92" s="9" t="str">
        <f ca="1">+WORLDCUP!BD59</f>
        <v>Suiza</v>
      </c>
      <c r="F92" s="9" t="str">
        <f ca="1">+WORLDCUP!BD60</f>
        <v>Haití</v>
      </c>
      <c r="G92" s="9" t="str">
        <f ca="1">+WORLDCUP!BD65</f>
        <v>Cabo Verde</v>
      </c>
      <c r="H92" s="9" t="str">
        <f ca="1">+WORLDCUP!BD64</f>
        <v>Bélgica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Bélgica</v>
      </c>
      <c r="E93" s="9" t="str">
        <f ca="1">+WORLDCUP!BD59</f>
        <v>Suiza</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Austria</v>
      </c>
      <c r="E94" s="9" t="str">
        <f ca="1">+WORLDCUP!BD59</f>
        <v>Suiza</v>
      </c>
      <c r="F94" s="9" t="str">
        <f ca="1">+WORLDCUP!BD60</f>
        <v>Haití</v>
      </c>
      <c r="G94" s="9" t="str">
        <f ca="1">+WORLDCUP!BD65</f>
        <v>Cabo Verde</v>
      </c>
      <c r="H94" s="9" t="str">
        <f ca="1">+WORLDCUP!BD64</f>
        <v>Bélgica</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Austria</v>
      </c>
      <c r="E95" s="9" t="str">
        <f ca="1">+WORLDCUP!BD59</f>
        <v>Suiza</v>
      </c>
      <c r="F95" s="9" t="str">
        <f ca="1">+WORLDCUP!BD60</f>
        <v>Haití</v>
      </c>
      <c r="G95" s="9" t="str">
        <f ca="1">+WORLDCUP!BD65</f>
        <v>Cabo Verde</v>
      </c>
      <c r="H95" s="9" t="str">
        <f ca="1">+WORLDCUP!BD64</f>
        <v>Bélgica</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Costa de Marfil</v>
      </c>
      <c r="D96" s="9" t="str">
        <f ca="1">+WORLDCUP!BD67</f>
        <v>Austria</v>
      </c>
      <c r="E96" s="9" t="str">
        <f ca="1">+WORLDCUP!BD59</f>
        <v>Suiza</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Austria</v>
      </c>
      <c r="E97" s="9" t="str">
        <f ca="1">+WORLDCUP!BD59</f>
        <v>Suiza</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Noruega</v>
      </c>
      <c r="E98" s="9" t="str">
        <f ca="1">+WORLDCUP!BD59</f>
        <v>Suiza</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Austria</v>
      </c>
      <c r="E99" s="9" t="str">
        <f ca="1">+WORLDCUP!BD59</f>
        <v>Suiza</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Austria</v>
      </c>
      <c r="E100" s="9" t="str">
        <f ca="1">+WORLDCUP!BD59</f>
        <v>Suiza</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Bélgica</v>
      </c>
      <c r="E101" s="9" t="str">
        <f ca="1">+WORLDCUP!BD59</f>
        <v>Suiza</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Bélgica</v>
      </c>
      <c r="E102" s="9" t="str">
        <f ca="1">+WORLDCUP!BD59</f>
        <v>Suiza</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Bélgica</v>
      </c>
      <c r="E103" s="9" t="str">
        <f ca="1">+WORLDCUP!BD59</f>
        <v>Suiza</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Bélgica</v>
      </c>
      <c r="E104" s="9" t="str">
        <f ca="1">+WORLDCUP!BD59</f>
        <v>Suiza</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Bélgica</v>
      </c>
      <c r="E105" s="9" t="str">
        <f ca="1">+WORLDCUP!BD59</f>
        <v>Suiza</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Cabo Verde</v>
      </c>
      <c r="D106" s="9" t="str">
        <f ca="1">+WORLDCUP!BD64</f>
        <v>Bélgica</v>
      </c>
      <c r="E106" s="9" t="str">
        <f ca="1">+WORLDCUP!BD59</f>
        <v>Suiza</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Cabo Verde</v>
      </c>
      <c r="D107" s="9" t="str">
        <f ca="1">+WORLDCUP!BD64</f>
        <v>Bélgica</v>
      </c>
      <c r="E107" s="9" t="str">
        <f ca="1">+WORLDCUP!BD59</f>
        <v>Suiza</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Bélgica</v>
      </c>
      <c r="E108" s="9" t="str">
        <f ca="1">+WORLDCUP!BD59</f>
        <v>Suiza</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Bélgica</v>
      </c>
      <c r="E109" s="9" t="str">
        <f ca="1">+WORLDCUP!BD59</f>
        <v>Suiza</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Cabo Verde</v>
      </c>
      <c r="D110" s="9" t="str">
        <f ca="1">+WORLDCUP!BD64</f>
        <v>Bélgica</v>
      </c>
      <c r="E110" s="9" t="str">
        <f ca="1">+WORLDCUP!BD59</f>
        <v>Suiza</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Cabo Verde</v>
      </c>
      <c r="D111" s="9" t="str">
        <f ca="1">+WORLDCUP!BD67</f>
        <v>Austria</v>
      </c>
      <c r="E111" s="9" t="str">
        <f ca="1">+WORLDCUP!BD59</f>
        <v>Suiza</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Noruega</v>
      </c>
      <c r="D112" s="9" t="str">
        <f ca="1">+WORLDCUP!BD64</f>
        <v>Bélgica</v>
      </c>
      <c r="E112" s="9" t="str">
        <f ca="1">+WORLDCUP!BD59</f>
        <v>Suiza</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Cabo Verde</v>
      </c>
      <c r="D113" s="9" t="str">
        <f ca="1">+WORLDCUP!BD64</f>
        <v>Bélgica</v>
      </c>
      <c r="E113" s="9" t="str">
        <f ca="1">+WORLDCUP!BD59</f>
        <v>Suiza</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Cabo Verde</v>
      </c>
      <c r="D114" s="9" t="str">
        <f ca="1">+WORLDCUP!BD64</f>
        <v>Bélgica</v>
      </c>
      <c r="E114" s="9" t="str">
        <f ca="1">+WORLDCUP!BD59</f>
        <v>Suiza</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Cabo Verde</v>
      </c>
      <c r="D115" s="9" t="str">
        <f ca="1">+WORLDCUP!BD64</f>
        <v>Bélgica</v>
      </c>
      <c r="E115" s="9" t="str">
        <f ca="1">+WORLDCUP!BD59</f>
        <v>Suiza</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Cabo Verde</v>
      </c>
      <c r="D116" s="9" t="str">
        <f ca="1">+WORLDCUP!BD64</f>
        <v>Bélgica</v>
      </c>
      <c r="E116" s="9" t="str">
        <f ca="1">+WORLDCUP!BD59</f>
        <v>Suiza</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Haití</v>
      </c>
      <c r="D117" s="9" t="str">
        <f ca="1">+WORLDCUP!BD67</f>
        <v>Austria</v>
      </c>
      <c r="E117" s="9" t="str">
        <f ca="1">+WORLDCUP!BD59</f>
        <v>Suiza</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Haití</v>
      </c>
      <c r="D118" s="9" t="str">
        <f ca="1">+WORLDCUP!BD67</f>
        <v>Austria</v>
      </c>
      <c r="E118" s="9" t="str">
        <f ca="1">+WORLDCUP!BD59</f>
        <v>Suiza</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Haití</v>
      </c>
      <c r="D119" s="9" t="str">
        <f ca="1">+WORLDCUP!BD66</f>
        <v>Noruega</v>
      </c>
      <c r="E119" s="9" t="str">
        <f ca="1">+WORLDCUP!BD59</f>
        <v>Suiza</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Haití</v>
      </c>
      <c r="D120" s="9" t="str">
        <f ca="1">+WORLDCUP!BD67</f>
        <v>Austria</v>
      </c>
      <c r="E120" s="9" t="str">
        <f ca="1">+WORLDCUP!BD59</f>
        <v>Suiza</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Haití</v>
      </c>
      <c r="D121" s="9" t="str">
        <f ca="1">+WORLDCUP!BD67</f>
        <v>Austria</v>
      </c>
      <c r="E121" s="9" t="str">
        <f ca="1">+WORLDCUP!BD59</f>
        <v>Suiza</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Haití</v>
      </c>
      <c r="D122" s="9" t="str">
        <f ca="1">+WORLDCUP!BD64</f>
        <v>Bélgica</v>
      </c>
      <c r="E122" s="9" t="str">
        <f ca="1">+WORLDCUP!BD59</f>
        <v>Suiza</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Haití</v>
      </c>
      <c r="D123" s="9" t="str">
        <f ca="1">+WORLDCUP!BD64</f>
        <v>Bélgica</v>
      </c>
      <c r="E123" s="9" t="str">
        <f ca="1">+WORLDCUP!BD59</f>
        <v>Suiza</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Haití</v>
      </c>
      <c r="D124" s="9" t="str">
        <f ca="1">+WORLDCUP!BD64</f>
        <v>Bélgica</v>
      </c>
      <c r="E124" s="9" t="str">
        <f ca="1">+WORLDCUP!BD59</f>
        <v>Suiza</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Haití</v>
      </c>
      <c r="D125" s="9" t="str">
        <f ca="1">+WORLDCUP!BD64</f>
        <v>Bélgica</v>
      </c>
      <c r="E125" s="9" t="str">
        <f ca="1">+WORLDCUP!BD59</f>
        <v>Suiza</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Haití</v>
      </c>
      <c r="D126" s="9" t="str">
        <f ca="1">+WORLDCUP!BD64</f>
        <v>Bélgica</v>
      </c>
      <c r="E126" s="9" t="str">
        <f ca="1">+WORLDCUP!BD59</f>
        <v>Suiza</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Haití</v>
      </c>
      <c r="D127" s="9" t="str">
        <f ca="1">+WORLDCUP!BD64</f>
        <v>Bélgica</v>
      </c>
      <c r="E127" s="9" t="str">
        <f ca="1">+WORLDCUP!BD59</f>
        <v>Suiza</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Cabo Verde</v>
      </c>
      <c r="D128" s="9" t="str">
        <f ca="1">+WORLDCUP!BD64</f>
        <v>Bélgica</v>
      </c>
      <c r="E128" s="9" t="str">
        <f ca="1">+WORLDCUP!BD59</f>
        <v>Suiza</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Haití</v>
      </c>
      <c r="D129" s="9" t="str">
        <f ca="1">+WORLDCUP!BD64</f>
        <v>Bélgica</v>
      </c>
      <c r="E129" s="9" t="str">
        <f ca="1">+WORLDCUP!BD59</f>
        <v>Suiza</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Haití</v>
      </c>
      <c r="D130" s="9" t="str">
        <f ca="1">+WORLDCUP!BD64</f>
        <v>Bélgica</v>
      </c>
      <c r="E130" s="9" t="str">
        <f ca="1">+WORLDCUP!BD59</f>
        <v>Suiza</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Cabo Verde</v>
      </c>
      <c r="D131" s="9" t="str">
        <f ca="1">+WORLDCUP!BD64</f>
        <v>Bélgica</v>
      </c>
      <c r="E131" s="9" t="str">
        <f ca="1">+WORLDCUP!BD59</f>
        <v>Suiza</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Austria</v>
      </c>
      <c r="E132" s="9" t="str">
        <f ca="1">+WORLDCUP!BD59</f>
        <v>Suiza</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Austria</v>
      </c>
      <c r="E133" s="9" t="str">
        <f ca="1">+WORLDCUP!BD59</f>
        <v>Suiza</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Noruega</v>
      </c>
      <c r="E134" s="9" t="str">
        <f ca="1">+WORLDCUP!BD59</f>
        <v>Suiza</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Austria</v>
      </c>
      <c r="E135" s="9" t="str">
        <f ca="1">+WORLDCUP!BD59</f>
        <v>Suiza</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Austria</v>
      </c>
      <c r="E136" s="9" t="str">
        <f ca="1">+WORLDCUP!BD59</f>
        <v>Suiza</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Bélgica</v>
      </c>
      <c r="E137" s="9" t="str">
        <f ca="1">+WORLDCUP!BD59</f>
        <v>Suiza</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Bélgica</v>
      </c>
      <c r="E138" s="9" t="str">
        <f ca="1">+WORLDCUP!BD59</f>
        <v>Suiza</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Bélgica</v>
      </c>
      <c r="E139" s="9" t="str">
        <f ca="1">+WORLDCUP!BD59</f>
        <v>Suiza</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Bélgica</v>
      </c>
      <c r="E140" s="9" t="str">
        <f ca="1">+WORLDCUP!BD59</f>
        <v>Suiza</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Bélgica</v>
      </c>
      <c r="E141" s="9" t="str">
        <f ca="1">+WORLDCUP!BD59</f>
        <v>Suiza</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Cabo Verde</v>
      </c>
      <c r="D142" s="9" t="str">
        <f ca="1">+WORLDCUP!BD64</f>
        <v>Bélgica</v>
      </c>
      <c r="E142" s="9" t="str">
        <f ca="1">+WORLDCUP!BD59</f>
        <v>Suiza</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Cabo Verde</v>
      </c>
      <c r="D143" s="9" t="str">
        <f ca="1">+WORLDCUP!BD64</f>
        <v>Bélgica</v>
      </c>
      <c r="E143" s="9" t="str">
        <f ca="1">+WORLDCUP!BD59</f>
        <v>Suiza</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Bélgica</v>
      </c>
      <c r="E144" s="9" t="str">
        <f ca="1">+WORLDCUP!BD59</f>
        <v>Suiza</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Bélgica</v>
      </c>
      <c r="E145" s="9" t="str">
        <f ca="1">+WORLDCUP!BD59</f>
        <v>Suiza</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Cabo Verde</v>
      </c>
      <c r="D146" s="9" t="str">
        <f ca="1">+WORLDCUP!BD64</f>
        <v>Bélgica</v>
      </c>
      <c r="E146" s="9" t="str">
        <f ca="1">+WORLDCUP!BD59</f>
        <v>Suiza</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Haití</v>
      </c>
      <c r="D147" s="9" t="str">
        <f ca="1">+WORLDCUP!BD67</f>
        <v>Austria</v>
      </c>
      <c r="E147" s="9" t="str">
        <f ca="1">+WORLDCUP!BD59</f>
        <v>Suiza</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Haití</v>
      </c>
      <c r="D148" s="9" t="str">
        <f ca="1">+WORLDCUP!BD62</f>
        <v>Costa de Marfil</v>
      </c>
      <c r="E148" s="9" t="str">
        <f ca="1">+WORLDCUP!BD59</f>
        <v>Suiza</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Haití</v>
      </c>
      <c r="D149" s="9" t="str">
        <f ca="1">+WORLDCUP!BD67</f>
        <v>Austria</v>
      </c>
      <c r="E149" s="9" t="str">
        <f ca="1">+WORLDCUP!BD59</f>
        <v>Suiza</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Haití</v>
      </c>
      <c r="D150" s="9" t="str">
        <f ca="1">+WORLDCUP!BD67</f>
        <v>Austria</v>
      </c>
      <c r="E150" s="9" t="str">
        <f ca="1">+WORLDCUP!BD59</f>
        <v>Suiza</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Haití</v>
      </c>
      <c r="D151" s="9" t="str">
        <f ca="1">+WORLDCUP!BD62</f>
        <v>Costa de Marfil</v>
      </c>
      <c r="E151" s="9" t="str">
        <f ca="1">+WORLDCUP!BD59</f>
        <v>Suiza</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Haití</v>
      </c>
      <c r="D152" s="9" t="str">
        <f ca="1">+WORLDCUP!BD67</f>
        <v>Austria</v>
      </c>
      <c r="E152" s="9" t="str">
        <f ca="1">+WORLDCUP!BD59</f>
        <v>Suiza</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Haití</v>
      </c>
      <c r="D153" s="9" t="str">
        <f ca="1">+WORLDCUP!BD67</f>
        <v>Austria</v>
      </c>
      <c r="E153" s="9" t="str">
        <f ca="1">+WORLDCUP!BD59</f>
        <v>Suiza</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Haití</v>
      </c>
      <c r="D154" s="9" t="str">
        <f ca="1">+WORLDCUP!BD62</f>
        <v>Costa de Marfil</v>
      </c>
      <c r="E154" s="9" t="str">
        <f ca="1">+WORLDCUP!BD59</f>
        <v>Suiza</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Haití</v>
      </c>
      <c r="D155" s="9" t="str">
        <f ca="1">+WORLDCUP!BD62</f>
        <v>Costa de Marfil</v>
      </c>
      <c r="E155" s="9" t="str">
        <f ca="1">+WORLDCUP!BD59</f>
        <v>Suiza</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Haití</v>
      </c>
      <c r="D156" s="9" t="str">
        <f ca="1">+WORLDCUP!BD67</f>
        <v>Austria</v>
      </c>
      <c r="E156" s="9" t="str">
        <f ca="1">+WORLDCUP!BD59</f>
        <v>Suiza</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Haití</v>
      </c>
      <c r="D157" s="9" t="str">
        <f ca="1">+WORLDCUP!BD64</f>
        <v>Bélgica</v>
      </c>
      <c r="E157" s="9" t="str">
        <f ca="1">+WORLDCUP!BD59</f>
        <v>Suiza</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Haití</v>
      </c>
      <c r="D158" s="9" t="str">
        <f ca="1">+WORLDCUP!BD64</f>
        <v>Bélgica</v>
      </c>
      <c r="E158" s="9" t="str">
        <f ca="1">+WORLDCUP!BD59</f>
        <v>Suiza</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Haití</v>
      </c>
      <c r="D159" s="9" t="str">
        <f ca="1">+WORLDCUP!BD64</f>
        <v>Bélgica</v>
      </c>
      <c r="E159" s="9" t="str">
        <f ca="1">+WORLDCUP!BD59</f>
        <v>Suiza</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Haití</v>
      </c>
      <c r="D160" s="9" t="str">
        <f ca="1">+WORLDCUP!BD64</f>
        <v>Bélgica</v>
      </c>
      <c r="E160" s="9" t="str">
        <f ca="1">+WORLDCUP!BD59</f>
        <v>Suiza</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Haití</v>
      </c>
      <c r="D161" s="9" t="str">
        <f ca="1">+WORLDCUP!BD64</f>
        <v>Bélgica</v>
      </c>
      <c r="E161" s="9" t="str">
        <f ca="1">+WORLDCUP!BD59</f>
        <v>Suiza</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Haití</v>
      </c>
      <c r="D162" s="9" t="str">
        <f ca="1">+WORLDCUP!BD64</f>
        <v>Bélgica</v>
      </c>
      <c r="E162" s="9" t="str">
        <f ca="1">+WORLDCUP!BD59</f>
        <v>Suiza</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Haití</v>
      </c>
      <c r="D163" s="9" t="str">
        <f ca="1">+WORLDCUP!BD64</f>
        <v>Bélgica</v>
      </c>
      <c r="E163" s="9" t="str">
        <f ca="1">+WORLDCUP!BD59</f>
        <v>Suiza</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Haití</v>
      </c>
      <c r="D164" s="9" t="str">
        <f ca="1">+WORLDCUP!BD64</f>
        <v>Bélgica</v>
      </c>
      <c r="E164" s="9" t="str">
        <f ca="1">+WORLDCUP!BD59</f>
        <v>Suiza</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Cabo Verde</v>
      </c>
      <c r="D165" s="9" t="str">
        <f ca="1">+WORLDCUP!BD64</f>
        <v>Bélgica</v>
      </c>
      <c r="E165" s="9" t="str">
        <f ca="1">+WORLDCUP!BD59</f>
        <v>Suiza</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Haití</v>
      </c>
      <c r="D166" s="9" t="str">
        <f ca="1">+WORLDCUP!BD64</f>
        <v>Bélgica</v>
      </c>
      <c r="E166" s="9" t="str">
        <f ca="1">+WORLDCUP!BD59</f>
        <v>Suiza</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Bélgica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Bélgica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Bélgica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Bélgica</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Bélgica</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Bélgica</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Bélgica</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Bélgica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Noruega</v>
      </c>
      <c r="D177" s="9" t="str">
        <f ca="1">+WORLDCUP!BD64</f>
        <v>Bélgica</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Cabo Verde</v>
      </c>
      <c r="D178" s="9" t="str">
        <f ca="1">+WORLDCUP!BD64</f>
        <v>Bélgica</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Cabo Verde</v>
      </c>
      <c r="D179" s="9" t="str">
        <f ca="1">+WORLDCUP!BD64</f>
        <v>Bélgica</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Cabo Verde</v>
      </c>
      <c r="D180" s="9" t="str">
        <f ca="1">+WORLDCUP!BD64</f>
        <v>Bélgica</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Cabo Verde</v>
      </c>
      <c r="D181" s="9" t="str">
        <f ca="1">+WORLDCUP!BD64</f>
        <v>Bélgica</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Bélgica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Bélgica</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Bélgica</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Costa de Marfil</v>
      </c>
      <c r="D186" s="9" t="str">
        <f ca="1">+WORLDCUP!BD64</f>
        <v>Bélgica</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Bélgica</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Bélgica</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Bélgica</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Bélgica</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Bélgica</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Cabo Verde</v>
      </c>
      <c r="D197" s="9" t="str">
        <f ca="1">+WORLDCUP!BD64</f>
        <v>Bélgica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Cabo Verde</v>
      </c>
      <c r="D198" s="9" t="str">
        <f ca="1">+WORLDCUP!BD64</f>
        <v>Bélgica</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Cabo Verde</v>
      </c>
      <c r="D199" s="9" t="str">
        <f ca="1">+WORLDCUP!BD64</f>
        <v>Bélgica</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Cabo Verde</v>
      </c>
      <c r="D200" s="9" t="str">
        <f ca="1">+WORLDCUP!BD64</f>
        <v>Bélgica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Cabo Verde</v>
      </c>
      <c r="D201" s="9" t="str">
        <f ca="1">+WORLDCUP!BD64</f>
        <v>Bélgica</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Cabo Verde</v>
      </c>
      <c r="D202" s="9" t="str">
        <f ca="1">+WORLDCUP!BD64</f>
        <v>Bélgica</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Bélgica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Noruega</v>
      </c>
      <c r="D205" s="9" t="str">
        <f ca="1">+WORLDCUP!BD64</f>
        <v>Bélgica</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Cabo Verde</v>
      </c>
      <c r="D206" s="9" t="str">
        <f ca="1">+WORLDCUP!BD64</f>
        <v>Bélgica</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Cabo Verde</v>
      </c>
      <c r="D207" s="9" t="str">
        <f ca="1">+WORLDCUP!BD64</f>
        <v>Bélgica</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Cabo Verde</v>
      </c>
      <c r="D208" s="9" t="str">
        <f ca="1">+WORLDCUP!BD64</f>
        <v>Bélgica</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Cabo Verde</v>
      </c>
      <c r="D209" s="9" t="str">
        <f ca="1">+WORLDCUP!BD64</f>
        <v>Bélgica</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Bélgica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Bélgica</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Bélgica</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Bélgica</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Bélgica</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Bélgica</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Bélgica</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Bélgica</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Bélgica</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Cabo Verde</v>
      </c>
      <c r="D225" s="9" t="str">
        <f ca="1">+WORLDCUP!BD64</f>
        <v>Bélgica</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Cabo Verde</v>
      </c>
      <c r="D226" s="9" t="str">
        <f ca="1">+WORLDCUP!BD64</f>
        <v>Bélgica</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Cabo Verde</v>
      </c>
      <c r="D227" s="9" t="str">
        <f ca="1">+WORLDCUP!BD64</f>
        <v>Bélgica</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Cabo Verde</v>
      </c>
      <c r="D228" s="9" t="str">
        <f ca="1">+WORLDCUP!BD64</f>
        <v>Bélgica</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Cabo Verde</v>
      </c>
      <c r="D229" s="9" t="str">
        <f ca="1">+WORLDCUP!BD64</f>
        <v>Bélgica</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Cabo Verde</v>
      </c>
      <c r="D230" s="9" t="str">
        <f ca="1">+WORLDCUP!BD64</f>
        <v>Bélgica</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Noruega</v>
      </c>
      <c r="D232" s="9" t="str">
        <f ca="1">+WORLDCUP!BD64</f>
        <v>Bélgica</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Cabo Verde</v>
      </c>
      <c r="D233" s="9" t="str">
        <f ca="1">+WORLDCUP!BD64</f>
        <v>Bélgica</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Cabo Verde</v>
      </c>
      <c r="D234" s="9" t="str">
        <f ca="1">+WORLDCUP!BD64</f>
        <v>Bélgica</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Cabo Verde</v>
      </c>
      <c r="D235" s="9" t="str">
        <f ca="1">+WORLDCUP!BD64</f>
        <v>Bélgica</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Cabo Verde</v>
      </c>
      <c r="D236" s="9" t="str">
        <f ca="1">+WORLDCUP!BD64</f>
        <v>Bélgica</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Haití</v>
      </c>
      <c r="D242" s="9" t="str">
        <f ca="1">+WORLDCUP!BD64</f>
        <v>Bélgica</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Haití</v>
      </c>
      <c r="D243" s="9" t="str">
        <f ca="1">+WORLDCUP!BD64</f>
        <v>Bélgica</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Haití</v>
      </c>
      <c r="D244" s="9" t="str">
        <f ca="1">+WORLDCUP!BD64</f>
        <v>Bélgica</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Haití</v>
      </c>
      <c r="D245" s="9" t="str">
        <f ca="1">+WORLDCUP!BD64</f>
        <v>Bélgica</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Cabo Verde</v>
      </c>
      <c r="D246" s="9" t="str">
        <f ca="1">+WORLDCUP!BD64</f>
        <v>Bélgica</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Haití</v>
      </c>
      <c r="D247" s="9" t="str">
        <f ca="1">+WORLDCUP!BD64</f>
        <v>Bélgica</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Cabo Verde</v>
      </c>
      <c r="D248" s="9" t="str">
        <f ca="1">+WORLDCUP!BD64</f>
        <v>Bélgica</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Cabo Verde</v>
      </c>
      <c r="D249" s="9" t="str">
        <f ca="1">+WORLDCUP!BD64</f>
        <v>Bélgica</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Cabo Verde</v>
      </c>
      <c r="D250" s="9" t="str">
        <f ca="1">+WORLDCUP!BD64</f>
        <v>Bélgica</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Cabo Verde</v>
      </c>
      <c r="D251" s="9" t="str">
        <f ca="1">+WORLDCUP!BD64</f>
        <v>Bélgica</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Bélgica</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Bélgica</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Bélgica</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Bélgica</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Cabo Verde</v>
      </c>
      <c r="D261" s="9" t="str">
        <f ca="1">+WORLDCUP!BD64</f>
        <v>Bélgica</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Cabo Verde</v>
      </c>
      <c r="D262" s="9" t="str">
        <f ca="1">+WORLDCUP!BD64</f>
        <v>Bélgica</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Cabo Verde</v>
      </c>
      <c r="D263" s="9" t="str">
        <f ca="1">+WORLDCUP!BD64</f>
        <v>Bélgica</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Cabo Verde</v>
      </c>
      <c r="D264" s="9" t="str">
        <f ca="1">+WORLDCUP!BD64</f>
        <v>Bélgica</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Cabo Verde</v>
      </c>
      <c r="D265" s="9" t="str">
        <f ca="1">+WORLDCUP!BD64</f>
        <v>Bélgica</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Cabo Verde</v>
      </c>
      <c r="D266" s="9" t="str">
        <f ca="1">+WORLDCUP!BD64</f>
        <v>Bélgica</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Haití</v>
      </c>
      <c r="D277" s="9" t="str">
        <f ca="1">+WORLDCUP!BD64</f>
        <v>Bélgica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Haití</v>
      </c>
      <c r="D278" s="9" t="str">
        <f ca="1">+WORLDCUP!BD64</f>
        <v>Bélgica</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Haití</v>
      </c>
      <c r="D279" s="9" t="str">
        <f ca="1">+WORLDCUP!BD64</f>
        <v>Bélgica</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Haití</v>
      </c>
      <c r="D280" s="9" t="str">
        <f ca="1">+WORLDCUP!BD64</f>
        <v>Bélgica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Haití</v>
      </c>
      <c r="D281" s="9" t="str">
        <f ca="1">+WORLDCUP!BD64</f>
        <v>Bélgica</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Haití</v>
      </c>
      <c r="D282" s="9" t="str">
        <f ca="1">+WORLDCUP!BD64</f>
        <v>Bélgica</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Cabo Verde</v>
      </c>
      <c r="D283" s="9" t="str">
        <f ca="1">+WORLDCUP!BD64</f>
        <v>Bélgica</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Cabo Verde</v>
      </c>
      <c r="D284" s="9" t="str">
        <f ca="1">+WORLDCUP!BD64</f>
        <v>Bélgica</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Cabo Verde</v>
      </c>
      <c r="D285" s="9" t="str">
        <f ca="1">+WORLDCUP!BD64</f>
        <v>Bélgica</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Cabo Verde</v>
      </c>
      <c r="D286" s="9" t="str">
        <f ca="1">+WORLDCUP!BD64</f>
        <v>Bélgica</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Cabo Verde</v>
      </c>
      <c r="D287" s="9" t="str">
        <f ca="1">+WORLDCUP!BD67</f>
        <v>Austria</v>
      </c>
      <c r="E287" s="9" t="str">
        <f ca="1">+WORLDCUP!BD59</f>
        <v>Suiza</v>
      </c>
      <c r="F287" s="9" t="str">
        <f ca="1">+WORLDCUP!BD58</f>
        <v>República Checa</v>
      </c>
      <c r="G287" s="9" t="str">
        <f ca="1">+WORLDCUP!BD66</f>
        <v>Noruega</v>
      </c>
      <c r="H287" s="9" t="str">
        <f ca="1">+WORLDCUP!BD64</f>
        <v>Bélgica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Cabo Verde</v>
      </c>
      <c r="D288" s="9" t="str">
        <f ca="1">+WORLDCUP!BD67</f>
        <v>Austria</v>
      </c>
      <c r="E288" s="9" t="str">
        <f ca="1">+WORLDCUP!BD59</f>
        <v>Suiza</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Noruega</v>
      </c>
      <c r="D289" s="9" t="str">
        <f ca="1">+WORLDCUP!BD67</f>
        <v>Austria</v>
      </c>
      <c r="E289" s="9" t="str">
        <f ca="1">+WORLDCUP!BD59</f>
        <v>Suiza</v>
      </c>
      <c r="F289" s="9" t="str">
        <f ca="1">+WORLDCUP!BD63</f>
        <v>Suecia</v>
      </c>
      <c r="G289" s="9" t="str">
        <f ca="1">+WORLDCUP!BD58</f>
        <v>República Checa</v>
      </c>
      <c r="H289" s="9" t="str">
        <f ca="1">+WORLDCUP!BD64</f>
        <v>Bélgica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Cabo Verde</v>
      </c>
      <c r="D290" s="9" t="str">
        <f ca="1">+WORLDCUP!BD67</f>
        <v>Austria</v>
      </c>
      <c r="E290" s="9" t="str">
        <f ca="1">+WORLDCUP!BD59</f>
        <v>Suiza</v>
      </c>
      <c r="F290" s="9" t="str">
        <f ca="1">+WORLDCUP!BD63</f>
        <v>Suecia</v>
      </c>
      <c r="G290" s="9" t="str">
        <f ca="1">+WORLDCUP!BD58</f>
        <v>República Checa</v>
      </c>
      <c r="H290" s="9" t="str">
        <f ca="1">+WORLDCUP!BD64</f>
        <v>Bélgica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Cabo Verde</v>
      </c>
      <c r="D291" s="9" t="str">
        <f ca="1">+WORLDCUP!BD64</f>
        <v>Bélgica</v>
      </c>
      <c r="E291" s="9" t="str">
        <f ca="1">+WORLDCUP!BD59</f>
        <v>Suiza</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Cabo Verde</v>
      </c>
      <c r="D292" s="9" t="str">
        <f ca="1">+WORLDCUP!BD67</f>
        <v>Austria</v>
      </c>
      <c r="E292" s="9" t="str">
        <f ca="1">+WORLDCUP!BD59</f>
        <v>Suiza</v>
      </c>
      <c r="F292" s="9" t="str">
        <f ca="1">+WORLDCUP!BD63</f>
        <v>Suecia</v>
      </c>
      <c r="G292" s="9" t="str">
        <f ca="1">+WORLDCUP!BD58</f>
        <v>República Checa</v>
      </c>
      <c r="H292" s="9" t="str">
        <f ca="1">+WORLDCUP!BD64</f>
        <v>Bélgica</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Cabo Verde</v>
      </c>
      <c r="D293" s="9" t="str">
        <f ca="1">+WORLDCUP!BD67</f>
        <v>Austria</v>
      </c>
      <c r="E293" s="9" t="str">
        <f ca="1">+WORLDCUP!BD59</f>
        <v>Suiza</v>
      </c>
      <c r="F293" s="9" t="str">
        <f ca="1">+WORLDCUP!BD63</f>
        <v>Suecia</v>
      </c>
      <c r="G293" s="9" t="str">
        <f ca="1">+WORLDCUP!BD58</f>
        <v>República Checa</v>
      </c>
      <c r="H293" s="9" t="str">
        <f ca="1">+WORLDCUP!BD64</f>
        <v>Bélgica</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Austria</v>
      </c>
      <c r="E294" s="9" t="str">
        <f ca="1">+WORLDCUP!BD59</f>
        <v>Suiza</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Austria</v>
      </c>
      <c r="E295" s="9" t="str">
        <f ca="1">+WORLDCUP!BD59</f>
        <v>Suiza</v>
      </c>
      <c r="F295" s="9" t="str">
        <f ca="1">+WORLDCUP!BD58</f>
        <v>República Checa</v>
      </c>
      <c r="G295" s="9" t="str">
        <f ca="1">+WORLDCUP!BD66</f>
        <v>Noruega</v>
      </c>
      <c r="H295" s="9" t="str">
        <f ca="1">+WORLDCUP!BD64</f>
        <v>Bélgica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Austria</v>
      </c>
      <c r="E296" s="9" t="str">
        <f ca="1">+WORLDCUP!BD59</f>
        <v>Suiza</v>
      </c>
      <c r="F296" s="9" t="str">
        <f ca="1">+WORLDCUP!BD58</f>
        <v>República Checa</v>
      </c>
      <c r="G296" s="9" t="str">
        <f ca="1">+WORLDCUP!BD65</f>
        <v>Cabo Verde</v>
      </c>
      <c r="H296" s="9" t="str">
        <f ca="1">+WORLDCUP!BD64</f>
        <v>Bélgica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Bélgica</v>
      </c>
      <c r="E297" s="9" t="str">
        <f ca="1">+WORLDCUP!BD59</f>
        <v>Suiza</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Austria</v>
      </c>
      <c r="E298" s="9" t="str">
        <f ca="1">+WORLDCUP!BD59</f>
        <v>Suiza</v>
      </c>
      <c r="F298" s="9" t="str">
        <f ca="1">+WORLDCUP!BD58</f>
        <v>República Checa</v>
      </c>
      <c r="G298" s="9" t="str">
        <f ca="1">+WORLDCUP!BD65</f>
        <v>Cabo Verde</v>
      </c>
      <c r="H298" s="9" t="str">
        <f ca="1">+WORLDCUP!BD64</f>
        <v>Bélgica</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Austria</v>
      </c>
      <c r="E299" s="9" t="str">
        <f ca="1">+WORLDCUP!BD59</f>
        <v>Suiza</v>
      </c>
      <c r="F299" s="9" t="str">
        <f ca="1">+WORLDCUP!BD58</f>
        <v>República Checa</v>
      </c>
      <c r="G299" s="9" t="str">
        <f ca="1">+WORLDCUP!BD65</f>
        <v>Cabo Verde</v>
      </c>
      <c r="H299" s="9" t="str">
        <f ca="1">+WORLDCUP!BD64</f>
        <v>Bélgica</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Austria</v>
      </c>
      <c r="E300" s="9" t="str">
        <f ca="1">+WORLDCUP!BD59</f>
        <v>Suiza</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Austria</v>
      </c>
      <c r="E301" s="9" t="str">
        <f ca="1">+WORLDCUP!BD59</f>
        <v>Suiza</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Noruega</v>
      </c>
      <c r="E302" s="9" t="str">
        <f ca="1">+WORLDCUP!BD59</f>
        <v>Suiza</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Austria</v>
      </c>
      <c r="E303" s="9" t="str">
        <f ca="1">+WORLDCUP!BD59</f>
        <v>Suiza</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Austria</v>
      </c>
      <c r="E304" s="9" t="str">
        <f ca="1">+WORLDCUP!BD59</f>
        <v>Suiza</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Austria</v>
      </c>
      <c r="E305" s="9" t="str">
        <f ca="1">+WORLDCUP!BD59</f>
        <v>Suiza</v>
      </c>
      <c r="F305" s="9" t="str">
        <f ca="1">+WORLDCUP!BD63</f>
        <v>Suecia</v>
      </c>
      <c r="G305" s="9" t="str">
        <f ca="1">+WORLDCUP!BD58</f>
        <v>República Checa</v>
      </c>
      <c r="H305" s="9" t="str">
        <f ca="1">+WORLDCUP!BD64</f>
        <v>Bélgica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Bélgica</v>
      </c>
      <c r="E306" s="9" t="str">
        <f ca="1">+WORLDCUP!BD59</f>
        <v>Suiza</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Austria</v>
      </c>
      <c r="E307" s="9" t="str">
        <f ca="1">+WORLDCUP!BD59</f>
        <v>Suiza</v>
      </c>
      <c r="F307" s="9" t="str">
        <f ca="1">+WORLDCUP!BD63</f>
        <v>Suecia</v>
      </c>
      <c r="G307" s="9" t="str">
        <f ca="1">+WORLDCUP!BD58</f>
        <v>República Checa</v>
      </c>
      <c r="H307" s="9" t="str">
        <f ca="1">+WORLDCUP!BD64</f>
        <v>Bélgica</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Austria</v>
      </c>
      <c r="E308" s="9" t="str">
        <f ca="1">+WORLDCUP!BD59</f>
        <v>Suiza</v>
      </c>
      <c r="F308" s="9" t="str">
        <f ca="1">+WORLDCUP!BD63</f>
        <v>Suecia</v>
      </c>
      <c r="G308" s="9" t="str">
        <f ca="1">+WORLDCUP!BD58</f>
        <v>República Checa</v>
      </c>
      <c r="H308" s="9" t="str">
        <f ca="1">+WORLDCUP!BD64</f>
        <v>Bélgica</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Bélgica</v>
      </c>
      <c r="E309" s="9" t="str">
        <f ca="1">+WORLDCUP!BD59</f>
        <v>Suiza</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Cabo Verde</v>
      </c>
      <c r="D310" s="9" t="str">
        <f ca="1">+WORLDCUP!BD67</f>
        <v>Austria</v>
      </c>
      <c r="E310" s="9" t="str">
        <f ca="1">+WORLDCUP!BD59</f>
        <v>Suiza</v>
      </c>
      <c r="F310" s="9" t="str">
        <f ca="1">+WORLDCUP!BD63</f>
        <v>Suecia</v>
      </c>
      <c r="G310" s="9" t="str">
        <f ca="1">+WORLDCUP!BD58</f>
        <v>República Checa</v>
      </c>
      <c r="H310" s="9" t="str">
        <f ca="1">+WORLDCUP!BD64</f>
        <v>Bélgica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Cabo Verde</v>
      </c>
      <c r="D311" s="9" t="str">
        <f ca="1">+WORLDCUP!BD67</f>
        <v>Austria</v>
      </c>
      <c r="E311" s="9" t="str">
        <f ca="1">+WORLDCUP!BD59</f>
        <v>Suiza</v>
      </c>
      <c r="F311" s="9" t="str">
        <f ca="1">+WORLDCUP!BD63</f>
        <v>Suecia</v>
      </c>
      <c r="G311" s="9" t="str">
        <f ca="1">+WORLDCUP!BD58</f>
        <v>República Checa</v>
      </c>
      <c r="H311" s="9" t="str">
        <f ca="1">+WORLDCUP!BD64</f>
        <v>Bélgica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Bélgica</v>
      </c>
      <c r="E312" s="9" t="str">
        <f ca="1">+WORLDCUP!BD59</f>
        <v>Suiza</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Bélgica</v>
      </c>
      <c r="E313" s="9" t="str">
        <f ca="1">+WORLDCUP!BD59</f>
        <v>Suiza</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Cabo Verde</v>
      </c>
      <c r="D314" s="9" t="str">
        <f ca="1">+WORLDCUP!BD67</f>
        <v>Austria</v>
      </c>
      <c r="E314" s="9" t="str">
        <f ca="1">+WORLDCUP!BD59</f>
        <v>Suiza</v>
      </c>
      <c r="F314" s="9" t="str">
        <f ca="1">+WORLDCUP!BD63</f>
        <v>Suecia</v>
      </c>
      <c r="G314" s="9" t="str">
        <f ca="1">+WORLDCUP!BD58</f>
        <v>República Checa</v>
      </c>
      <c r="H314" s="9" t="str">
        <f ca="1">+WORLDCUP!BD64</f>
        <v>Bélgica</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Noruega</v>
      </c>
      <c r="D315" s="9" t="str">
        <f ca="1">+WORLDCUP!BD67</f>
        <v>Austria</v>
      </c>
      <c r="E315" s="9" t="str">
        <f ca="1">+WORLDCUP!BD59</f>
        <v>Suiza</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Noruega</v>
      </c>
      <c r="D316" s="9" t="str">
        <f ca="1">+WORLDCUP!BD67</f>
        <v>Austria</v>
      </c>
      <c r="E316" s="9" t="str">
        <f ca="1">+WORLDCUP!BD59</f>
        <v>Suiza</v>
      </c>
      <c r="F316" s="9" t="str">
        <f ca="1">+WORLDCUP!BD61</f>
        <v>Turquía</v>
      </c>
      <c r="G316" s="9" t="str">
        <f ca="1">+WORLDCUP!BD58</f>
        <v>República Checa</v>
      </c>
      <c r="H316" s="9" t="str">
        <f ca="1">+WORLDCUP!BD64</f>
        <v>Bélgica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Cabo Verde</v>
      </c>
      <c r="D317" s="9" t="str">
        <f ca="1">+WORLDCUP!BD67</f>
        <v>Austria</v>
      </c>
      <c r="E317" s="9" t="str">
        <f ca="1">+WORLDCUP!BD59</f>
        <v>Suiza</v>
      </c>
      <c r="F317" s="9" t="str">
        <f ca="1">+WORLDCUP!BD61</f>
        <v>Turquía</v>
      </c>
      <c r="G317" s="9" t="str">
        <f ca="1">+WORLDCUP!BD58</f>
        <v>República Checa</v>
      </c>
      <c r="H317" s="9" t="str">
        <f ca="1">+WORLDCUP!BD64</f>
        <v>Bélgica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Noruega</v>
      </c>
      <c r="D318" s="9" t="str">
        <f ca="1">+WORLDCUP!BD64</f>
        <v>Bélgica</v>
      </c>
      <c r="E318" s="9" t="str">
        <f ca="1">+WORLDCUP!BD59</f>
        <v>Suiza</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Cabo Verde</v>
      </c>
      <c r="D319" s="9" t="str">
        <f ca="1">+WORLDCUP!BD67</f>
        <v>Austria</v>
      </c>
      <c r="E319" s="9" t="str">
        <f ca="1">+WORLDCUP!BD59</f>
        <v>Suiza</v>
      </c>
      <c r="F319" s="9" t="str">
        <f ca="1">+WORLDCUP!BD61</f>
        <v>Turquía</v>
      </c>
      <c r="G319" s="9" t="str">
        <f ca="1">+WORLDCUP!BD58</f>
        <v>República Checa</v>
      </c>
      <c r="H319" s="9" t="str">
        <f ca="1">+WORLDCUP!BD64</f>
        <v>Bélgica</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Cabo Verde</v>
      </c>
      <c r="D320" s="9" t="str">
        <f ca="1">+WORLDCUP!BD67</f>
        <v>Austria</v>
      </c>
      <c r="E320" s="9" t="str">
        <f ca="1">+WORLDCUP!BD59</f>
        <v>Suiza</v>
      </c>
      <c r="F320" s="9" t="str">
        <f ca="1">+WORLDCUP!BD61</f>
        <v>Turquía</v>
      </c>
      <c r="G320" s="9" t="str">
        <f ca="1">+WORLDCUP!BD58</f>
        <v>República Checa</v>
      </c>
      <c r="H320" s="9" t="str">
        <f ca="1">+WORLDCUP!BD64</f>
        <v>Bélgica</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Noruega</v>
      </c>
      <c r="D321" s="9" t="str">
        <f ca="1">+WORLDCUP!BD67</f>
        <v>Austria</v>
      </c>
      <c r="E321" s="9" t="str">
        <f ca="1">+WORLDCUP!BD59</f>
        <v>Suiza</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Cabo Verde</v>
      </c>
      <c r="D322" s="9" t="str">
        <f ca="1">+WORLDCUP!BD67</f>
        <v>Austria</v>
      </c>
      <c r="E322" s="9" t="str">
        <f ca="1">+WORLDCUP!BD59</f>
        <v>Suiza</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Cabo Verde</v>
      </c>
      <c r="D323" s="9" t="str">
        <f ca="1">+WORLDCUP!BD66</f>
        <v>Noruega</v>
      </c>
      <c r="E323" s="9" t="str">
        <f ca="1">+WORLDCUP!BD59</f>
        <v>Suiza</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Cabo Verde</v>
      </c>
      <c r="D324" s="9" t="str">
        <f ca="1">+WORLDCUP!BD67</f>
        <v>Austria</v>
      </c>
      <c r="E324" s="9" t="str">
        <f ca="1">+WORLDCUP!BD59</f>
        <v>Suiza</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Cabo Verde</v>
      </c>
      <c r="D325" s="9" t="str">
        <f ca="1">+WORLDCUP!BD67</f>
        <v>Austria</v>
      </c>
      <c r="E325" s="9" t="str">
        <f ca="1">+WORLDCUP!BD59</f>
        <v>Suiza</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Suecia</v>
      </c>
      <c r="D326" s="9" t="str">
        <f ca="1">+WORLDCUP!BD67</f>
        <v>Austria</v>
      </c>
      <c r="E326" s="9" t="str">
        <f ca="1">+WORLDCUP!BD59</f>
        <v>Suiza</v>
      </c>
      <c r="F326" s="9" t="str">
        <f ca="1">+WORLDCUP!BD61</f>
        <v>Turquía</v>
      </c>
      <c r="G326" s="9" t="str">
        <f ca="1">+WORLDCUP!BD58</f>
        <v>República Checa</v>
      </c>
      <c r="H326" s="9" t="str">
        <f ca="1">+WORLDCUP!BD64</f>
        <v>Bélgica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Noruega</v>
      </c>
      <c r="D327" s="9" t="str">
        <f ca="1">+WORLDCUP!BD64</f>
        <v>Bélgica</v>
      </c>
      <c r="E327" s="9" t="str">
        <f ca="1">+WORLDCUP!BD59</f>
        <v>Suiza</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Suecia</v>
      </c>
      <c r="D328" s="9" t="str">
        <f ca="1">+WORLDCUP!BD67</f>
        <v>Austria</v>
      </c>
      <c r="E328" s="9" t="str">
        <f ca="1">+WORLDCUP!BD59</f>
        <v>Suiza</v>
      </c>
      <c r="F328" s="9" t="str">
        <f ca="1">+WORLDCUP!BD61</f>
        <v>Turquía</v>
      </c>
      <c r="G328" s="9" t="str">
        <f ca="1">+WORLDCUP!BD58</f>
        <v>República Checa</v>
      </c>
      <c r="H328" s="9" t="str">
        <f ca="1">+WORLDCUP!BD64</f>
        <v>Bélgica</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Suecia</v>
      </c>
      <c r="D329" s="9" t="str">
        <f ca="1">+WORLDCUP!BD67</f>
        <v>Austria</v>
      </c>
      <c r="E329" s="9" t="str">
        <f ca="1">+WORLDCUP!BD59</f>
        <v>Suiza</v>
      </c>
      <c r="F329" s="9" t="str">
        <f ca="1">+WORLDCUP!BD61</f>
        <v>Turquía</v>
      </c>
      <c r="G329" s="9" t="str">
        <f ca="1">+WORLDCUP!BD58</f>
        <v>República Checa</v>
      </c>
      <c r="H329" s="9" t="str">
        <f ca="1">+WORLDCUP!BD64</f>
        <v>Bélgica</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Cabo Verde</v>
      </c>
      <c r="D330" s="9" t="str">
        <f ca="1">+WORLDCUP!BD64</f>
        <v>Bélgica</v>
      </c>
      <c r="E330" s="9" t="str">
        <f ca="1">+WORLDCUP!BD59</f>
        <v>Suiza</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Cabo Verde</v>
      </c>
      <c r="D331" s="9" t="str">
        <f ca="1">+WORLDCUP!BD64</f>
        <v>Bélgica</v>
      </c>
      <c r="E331" s="9" t="str">
        <f ca="1">+WORLDCUP!BD59</f>
        <v>Suiza</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1</v>
      </c>
      <c r="C332" s="9" t="str">
        <f ca="1">+WORLDCUP!BD65</f>
        <v>Cabo Verde</v>
      </c>
      <c r="D332" s="9" t="str">
        <f ca="1">+WORLDCUP!BD64</f>
        <v>Bélgica</v>
      </c>
      <c r="E332" s="9" t="str">
        <f ca="1">+WORLDCUP!BD59</f>
        <v>Suiza</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Cabo Verde</v>
      </c>
      <c r="D333" s="9" t="str">
        <f ca="1">+WORLDCUP!BD64</f>
        <v>Bélgica</v>
      </c>
      <c r="E333" s="9" t="str">
        <f ca="1">+WORLDCUP!BD59</f>
        <v>Suiza</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Cabo Verde</v>
      </c>
      <c r="D334" s="9" t="str">
        <f ca="1">+WORLDCUP!BD64</f>
        <v>Bélgica</v>
      </c>
      <c r="E334" s="9" t="str">
        <f ca="1">+WORLDCUP!BD59</f>
        <v>Suiza</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Cabo Verde</v>
      </c>
      <c r="D335" s="9" t="str">
        <f ca="1">+WORLDCUP!BD64</f>
        <v>Bélgica</v>
      </c>
      <c r="E335" s="9" t="str">
        <f ca="1">+WORLDCUP!BD59</f>
        <v>Suiza</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Austria</v>
      </c>
      <c r="E336" s="9" t="str">
        <f ca="1">+WORLDCUP!BD59</f>
        <v>Suiza</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Austria</v>
      </c>
      <c r="E337" s="9" t="str">
        <f ca="1">+WORLDCUP!BD59</f>
        <v>Suiza</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Noruega</v>
      </c>
      <c r="E338" s="9" t="str">
        <f ca="1">+WORLDCUP!BD59</f>
        <v>Suiza</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Austria</v>
      </c>
      <c r="E339" s="9" t="str">
        <f ca="1">+WORLDCUP!BD59</f>
        <v>Suiza</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Austria</v>
      </c>
      <c r="E340" s="9" t="str">
        <f ca="1">+WORLDCUP!BD59</f>
        <v>Suiza</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Austria</v>
      </c>
      <c r="E341" s="9" t="str">
        <f ca="1">+WORLDCUP!BD59</f>
        <v>Suiza</v>
      </c>
      <c r="F341" s="9" t="str">
        <f ca="1">+WORLDCUP!BD61</f>
        <v>Turquía</v>
      </c>
      <c r="G341" s="9" t="str">
        <f ca="1">+WORLDCUP!BD58</f>
        <v>República Checa</v>
      </c>
      <c r="H341" s="9" t="str">
        <f ca="1">+WORLDCUP!BD64</f>
        <v>Bélgica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Bélgica</v>
      </c>
      <c r="E342" s="9" t="str">
        <f ca="1">+WORLDCUP!BD59</f>
        <v>Suiza</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Austria</v>
      </c>
      <c r="E343" s="9" t="str">
        <f ca="1">+WORLDCUP!BD59</f>
        <v>Suiza</v>
      </c>
      <c r="F343" s="9" t="str">
        <f ca="1">+WORLDCUP!BD61</f>
        <v>Turquía</v>
      </c>
      <c r="G343" s="9" t="str">
        <f ca="1">+WORLDCUP!BD58</f>
        <v>República Checa</v>
      </c>
      <c r="H343" s="9" t="str">
        <f ca="1">+WORLDCUP!BD64</f>
        <v>Bélgica</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Austria</v>
      </c>
      <c r="E344" s="9" t="str">
        <f ca="1">+WORLDCUP!BD59</f>
        <v>Suiza</v>
      </c>
      <c r="F344" s="9" t="str">
        <f ca="1">+WORLDCUP!BD61</f>
        <v>Turquía</v>
      </c>
      <c r="G344" s="9" t="str">
        <f ca="1">+WORLDCUP!BD58</f>
        <v>República Checa</v>
      </c>
      <c r="H344" s="9" t="str">
        <f ca="1">+WORLDCUP!BD64</f>
        <v>Bélgica</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Bélgica</v>
      </c>
      <c r="E345" s="9" t="str">
        <f ca="1">+WORLDCUP!BD59</f>
        <v>Suiza</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Cabo Verde</v>
      </c>
      <c r="D346" s="9" t="str">
        <f ca="1">+WORLDCUP!BD67</f>
        <v>Austria</v>
      </c>
      <c r="E346" s="9" t="str">
        <f ca="1">+WORLDCUP!BD59</f>
        <v>Suiza</v>
      </c>
      <c r="F346" s="9" t="str">
        <f ca="1">+WORLDCUP!BD61</f>
        <v>Turquía</v>
      </c>
      <c r="G346" s="9" t="str">
        <f ca="1">+WORLDCUP!BD58</f>
        <v>República Checa</v>
      </c>
      <c r="H346" s="9" t="str">
        <f ca="1">+WORLDCUP!BD64</f>
        <v>Bélgica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Cabo Verde</v>
      </c>
      <c r="D347" s="9" t="str">
        <f ca="1">+WORLDCUP!BD67</f>
        <v>Austria</v>
      </c>
      <c r="E347" s="9" t="str">
        <f ca="1">+WORLDCUP!BD59</f>
        <v>Suiza</v>
      </c>
      <c r="F347" s="9" t="str">
        <f ca="1">+WORLDCUP!BD61</f>
        <v>Turquía</v>
      </c>
      <c r="G347" s="9" t="str">
        <f ca="1">+WORLDCUP!BD58</f>
        <v>República Checa</v>
      </c>
      <c r="H347" s="9" t="str">
        <f ca="1">+WORLDCUP!BD64</f>
        <v>Bélgica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Bélgica</v>
      </c>
      <c r="E348" s="9" t="str">
        <f ca="1">+WORLDCUP!BD59</f>
        <v>Suiza</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Bélgica</v>
      </c>
      <c r="E349" s="9" t="str">
        <f ca="1">+WORLDCUP!BD59</f>
        <v>Suiza</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Cabo Verde</v>
      </c>
      <c r="D350" s="9" t="str">
        <f ca="1">+WORLDCUP!BD67</f>
        <v>Austria</v>
      </c>
      <c r="E350" s="9" t="str">
        <f ca="1">+WORLDCUP!BD59</f>
        <v>Suiza</v>
      </c>
      <c r="F350" s="9" t="str">
        <f ca="1">+WORLDCUP!BD61</f>
        <v>Turquía</v>
      </c>
      <c r="G350" s="9" t="str">
        <f ca="1">+WORLDCUP!BD58</f>
        <v>República Checa</v>
      </c>
      <c r="H350" s="9" t="str">
        <f ca="1">+WORLDCUP!BD64</f>
        <v>Bélgica</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Austria</v>
      </c>
      <c r="E351" s="9" t="str">
        <f ca="1">+WORLDCUP!BD59</f>
        <v>Suiza</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Noruega</v>
      </c>
      <c r="E352" s="9" t="str">
        <f ca="1">+WORLDCUP!BD59</f>
        <v>Suiza</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Austria</v>
      </c>
      <c r="E353" s="9" t="str">
        <f ca="1">+WORLDCUP!BD59</f>
        <v>Suiza</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Austria</v>
      </c>
      <c r="E354" s="9" t="str">
        <f ca="1">+WORLDCUP!BD59</f>
        <v>Suiza</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Cabo Verde</v>
      </c>
      <c r="D355" s="9" t="str">
        <f ca="1">+WORLDCUP!BD62</f>
        <v>Costa de Marfil</v>
      </c>
      <c r="E355" s="9" t="str">
        <f ca="1">+WORLDCUP!BD59</f>
        <v>Suiza</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Cabo Verde</v>
      </c>
      <c r="D356" s="9" t="str">
        <f ca="1">+WORLDCUP!BD67</f>
        <v>Austria</v>
      </c>
      <c r="E356" s="9" t="str">
        <f ca="1">+WORLDCUP!BD59</f>
        <v>Suiza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Cabo Verde</v>
      </c>
      <c r="D357" s="9" t="str">
        <f ca="1">+WORLDCUP!BD67</f>
        <v>Austria</v>
      </c>
      <c r="E357" s="9" t="str">
        <f ca="1">+WORLDCUP!BD59</f>
        <v>Suiza</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Cabo Verde</v>
      </c>
      <c r="D358" s="9" t="str">
        <f ca="1">+WORLDCUP!BD62</f>
        <v>Costa de Marfil</v>
      </c>
      <c r="E358" s="9" t="str">
        <f ca="1">+WORLDCUP!BD59</f>
        <v>Suiza</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Cabo Verde</v>
      </c>
      <c r="D359" s="9" t="str">
        <f ca="1">+WORLDCUP!BD62</f>
        <v>Costa de Marfil</v>
      </c>
      <c r="E359" s="9" t="str">
        <f ca="1">+WORLDCUP!BD59</f>
        <v>Suiza</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Cabo Verde</v>
      </c>
      <c r="D360" s="9" t="str">
        <f ca="1">+WORLDCUP!BD67</f>
        <v>Austria</v>
      </c>
      <c r="E360" s="9" t="str">
        <f ca="1">+WORLDCUP!BD59</f>
        <v>Suiza</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Bélgica</v>
      </c>
      <c r="E361" s="9" t="str">
        <f ca="1">+WORLDCUP!BD59</f>
        <v>Suiza</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Bélgica</v>
      </c>
      <c r="E362" s="9" t="str">
        <f ca="1">+WORLDCUP!BD59</f>
        <v>Suiza</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Bélgica</v>
      </c>
      <c r="E363" s="9" t="str">
        <f ca="1">+WORLDCUP!BD59</f>
        <v>Suiza</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Bélgica</v>
      </c>
      <c r="E364" s="9" t="str">
        <f ca="1">+WORLDCUP!BD59</f>
        <v>Suiza</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Bélgica</v>
      </c>
      <c r="E365" s="9" t="str">
        <f ca="1">+WORLDCUP!BD59</f>
        <v>Suiza</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Bélgica</v>
      </c>
      <c r="E366" s="9" t="str">
        <f ca="1">+WORLDCUP!BD59</f>
        <v>Suiza</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Cabo Verde</v>
      </c>
      <c r="D367" s="9" t="str">
        <f ca="1">+WORLDCUP!BD64</f>
        <v>Bélgica</v>
      </c>
      <c r="E367" s="9" t="str">
        <f ca="1">+WORLDCUP!BD59</f>
        <v>Suiza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Cabo Verde</v>
      </c>
      <c r="D368" s="9" t="str">
        <f ca="1">+WORLDCUP!BD64</f>
        <v>Bélgica</v>
      </c>
      <c r="E368" s="9" t="str">
        <f ca="1">+WORLDCUP!BD59</f>
        <v>Suiza</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Cabo Verde</v>
      </c>
      <c r="D369" s="9" t="str">
        <f ca="1">+WORLDCUP!BD64</f>
        <v>Bélgica</v>
      </c>
      <c r="E369" s="9" t="str">
        <f ca="1">+WORLDCUP!BD59</f>
        <v>Suiza</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Cabo Verde</v>
      </c>
      <c r="D370" s="9" t="str">
        <f ca="1">+WORLDCUP!BD64</f>
        <v>Bélgica</v>
      </c>
      <c r="E370" s="9" t="str">
        <f ca="1">+WORLDCUP!BD59</f>
        <v>Suiza</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Noruega</v>
      </c>
      <c r="D371" s="9" t="str">
        <f ca="1">+WORLDCUP!BD67</f>
        <v>Austria</v>
      </c>
      <c r="E371" s="9" t="str">
        <f ca="1">+WORLDCUP!BD59</f>
        <v>Suiza</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Noruega</v>
      </c>
      <c r="D372" s="9" t="str">
        <f ca="1">+WORLDCUP!BD67</f>
        <v>Austria</v>
      </c>
      <c r="E372" s="9" t="str">
        <f ca="1">+WORLDCUP!BD59</f>
        <v>Suiza</v>
      </c>
      <c r="F372" s="9" t="str">
        <f ca="1">+WORLDCUP!BD60</f>
        <v>Haití</v>
      </c>
      <c r="G372" s="9" t="str">
        <f ca="1">+WORLDCUP!BD58</f>
        <v>República Checa</v>
      </c>
      <c r="H372" s="9" t="str">
        <f ca="1">+WORLDCUP!BD64</f>
        <v>Bélgica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Cabo Verde</v>
      </c>
      <c r="D373" s="9" t="str">
        <f ca="1">+WORLDCUP!BD67</f>
        <v>Austria</v>
      </c>
      <c r="E373" s="9" t="str">
        <f ca="1">+WORLDCUP!BD59</f>
        <v>Suiza</v>
      </c>
      <c r="F373" s="9" t="str">
        <f ca="1">+WORLDCUP!BD60</f>
        <v>Haití</v>
      </c>
      <c r="G373" s="9" t="str">
        <f ca="1">+WORLDCUP!BD58</f>
        <v>República Checa</v>
      </c>
      <c r="H373" s="9" t="str">
        <f ca="1">+WORLDCUP!BD64</f>
        <v>Bélgica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Noruega</v>
      </c>
      <c r="D374" s="9" t="str">
        <f ca="1">+WORLDCUP!BD64</f>
        <v>Bélgica</v>
      </c>
      <c r="E374" s="9" t="str">
        <f ca="1">+WORLDCUP!BD59</f>
        <v>Suiza</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Cabo Verde</v>
      </c>
      <c r="D375" s="9" t="str">
        <f ca="1">+WORLDCUP!BD67</f>
        <v>Austria</v>
      </c>
      <c r="E375" s="9" t="str">
        <f ca="1">+WORLDCUP!BD59</f>
        <v>Suiza</v>
      </c>
      <c r="F375" s="9" t="str">
        <f ca="1">+WORLDCUP!BD60</f>
        <v>Haití</v>
      </c>
      <c r="G375" s="9" t="str">
        <f ca="1">+WORLDCUP!BD58</f>
        <v>República Checa</v>
      </c>
      <c r="H375" s="9" t="str">
        <f ca="1">+WORLDCUP!BD64</f>
        <v>Bélgica</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Cabo Verde</v>
      </c>
      <c r="D376" s="9" t="str">
        <f ca="1">+WORLDCUP!BD67</f>
        <v>Austria</v>
      </c>
      <c r="E376" s="9" t="str">
        <f ca="1">+WORLDCUP!BD59</f>
        <v>Suiza</v>
      </c>
      <c r="F376" s="9" t="str">
        <f ca="1">+WORLDCUP!BD60</f>
        <v>Haití</v>
      </c>
      <c r="G376" s="9" t="str">
        <f ca="1">+WORLDCUP!BD58</f>
        <v>República Checa</v>
      </c>
      <c r="H376" s="9" t="str">
        <f ca="1">+WORLDCUP!BD64</f>
        <v>Bélgica</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Noruega</v>
      </c>
      <c r="D377" s="9" t="str">
        <f ca="1">+WORLDCUP!BD67</f>
        <v>Austria</v>
      </c>
      <c r="E377" s="9" t="str">
        <f ca="1">+WORLDCUP!BD59</f>
        <v>Suiza</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Cabo Verde</v>
      </c>
      <c r="D378" s="9" t="str">
        <f ca="1">+WORLDCUP!BD67</f>
        <v>Austria</v>
      </c>
      <c r="E378" s="9" t="str">
        <f ca="1">+WORLDCUP!BD59</f>
        <v>Suiza</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Cabo Verde</v>
      </c>
      <c r="D379" s="9" t="str">
        <f ca="1">+WORLDCUP!BD66</f>
        <v>Noruega</v>
      </c>
      <c r="E379" s="9" t="str">
        <f ca="1">+WORLDCUP!BD59</f>
        <v>Suiza</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Cabo Verde</v>
      </c>
      <c r="D380" s="9" t="str">
        <f ca="1">+WORLDCUP!BD67</f>
        <v>Austria</v>
      </c>
      <c r="E380" s="9" t="str">
        <f ca="1">+WORLDCUP!BD59</f>
        <v>Suiza</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Cabo Verde</v>
      </c>
      <c r="D381" s="9" t="str">
        <f ca="1">+WORLDCUP!BD67</f>
        <v>Austria</v>
      </c>
      <c r="E381" s="9" t="str">
        <f ca="1">+WORLDCUP!BD59</f>
        <v>Suiza</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Haití</v>
      </c>
      <c r="D382" s="9" t="str">
        <f ca="1">+WORLDCUP!BD67</f>
        <v>Austria</v>
      </c>
      <c r="E382" s="9" t="str">
        <f ca="1">+WORLDCUP!BD59</f>
        <v>Suiza</v>
      </c>
      <c r="F382" s="9" t="str">
        <f ca="1">+WORLDCUP!BD63</f>
        <v>Suecia</v>
      </c>
      <c r="G382" s="9" t="str">
        <f ca="1">+WORLDCUP!BD58</f>
        <v>República Checa</v>
      </c>
      <c r="H382" s="9" t="str">
        <f ca="1">+WORLDCUP!BD64</f>
        <v>Bélgica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Noruega</v>
      </c>
      <c r="D383" s="9" t="str">
        <f ca="1">+WORLDCUP!BD64</f>
        <v>Bélgica</v>
      </c>
      <c r="E383" s="9" t="str">
        <f ca="1">+WORLDCUP!BD59</f>
        <v>Suiza</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Haití</v>
      </c>
      <c r="D384" s="9" t="str">
        <f ca="1">+WORLDCUP!BD67</f>
        <v>Austria</v>
      </c>
      <c r="E384" s="9" t="str">
        <f ca="1">+WORLDCUP!BD59</f>
        <v>Suiza</v>
      </c>
      <c r="F384" s="9" t="str">
        <f ca="1">+WORLDCUP!BD63</f>
        <v>Suecia</v>
      </c>
      <c r="G384" s="9" t="str">
        <f ca="1">+WORLDCUP!BD58</f>
        <v>República Checa</v>
      </c>
      <c r="H384" s="9" t="str">
        <f ca="1">+WORLDCUP!BD64</f>
        <v>Bélgica</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Haití</v>
      </c>
      <c r="D385" s="9" t="str">
        <f ca="1">+WORLDCUP!BD67</f>
        <v>Austria</v>
      </c>
      <c r="E385" s="9" t="str">
        <f ca="1">+WORLDCUP!BD59</f>
        <v>Suiza</v>
      </c>
      <c r="F385" s="9" t="str">
        <f ca="1">+WORLDCUP!BD63</f>
        <v>Suecia</v>
      </c>
      <c r="G385" s="9" t="str">
        <f ca="1">+WORLDCUP!BD58</f>
        <v>República Checa</v>
      </c>
      <c r="H385" s="9" t="str">
        <f ca="1">+WORLDCUP!BD64</f>
        <v>Bélgica</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Cabo Verde</v>
      </c>
      <c r="D386" s="9" t="str">
        <f ca="1">+WORLDCUP!BD64</f>
        <v>Bélgica</v>
      </c>
      <c r="E386" s="9" t="str">
        <f ca="1">+WORLDCUP!BD59</f>
        <v>Suiza</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Cabo Verde</v>
      </c>
      <c r="D387" s="9" t="str">
        <f ca="1">+WORLDCUP!BD64</f>
        <v>Bélgica</v>
      </c>
      <c r="E387" s="9" t="str">
        <f ca="1">+WORLDCUP!BD59</f>
        <v>Suiza</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Cabo Verde</v>
      </c>
      <c r="D388" s="9" t="str">
        <f ca="1">+WORLDCUP!BD64</f>
        <v>Bélgica</v>
      </c>
      <c r="E388" s="9" t="str">
        <f ca="1">+WORLDCUP!BD59</f>
        <v>Suiza</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Cabo Verde</v>
      </c>
      <c r="D389" s="9" t="str">
        <f ca="1">+WORLDCUP!BD64</f>
        <v>Bélgica</v>
      </c>
      <c r="E389" s="9" t="str">
        <f ca="1">+WORLDCUP!BD59</f>
        <v>Suiza</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Cabo Verde</v>
      </c>
      <c r="D390" s="9" t="str">
        <f ca="1">+WORLDCUP!BD64</f>
        <v>Bélgica</v>
      </c>
      <c r="E390" s="9" t="str">
        <f ca="1">+WORLDCUP!BD59</f>
        <v>Suiza</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Cabo Verde</v>
      </c>
      <c r="D391" s="9" t="str">
        <f ca="1">+WORLDCUP!BD64</f>
        <v>Bélgica</v>
      </c>
      <c r="E391" s="9" t="str">
        <f ca="1">+WORLDCUP!BD59</f>
        <v>Suiza</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Austria</v>
      </c>
      <c r="E392" s="9" t="str">
        <f ca="1">+WORLDCUP!BD59</f>
        <v>Suiza</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Austria</v>
      </c>
      <c r="E393" s="9" t="str">
        <f ca="1">+WORLDCUP!BD59</f>
        <v>Suiza</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Noruega</v>
      </c>
      <c r="E394" s="9" t="str">
        <f ca="1">+WORLDCUP!BD59</f>
        <v>Suiza</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Austria</v>
      </c>
      <c r="E395" s="9" t="str">
        <f ca="1">+WORLDCUP!BD59</f>
        <v>Suiza</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Austria</v>
      </c>
      <c r="E396" s="9" t="str">
        <f ca="1">+WORLDCUP!BD59</f>
        <v>Suiza</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Austria</v>
      </c>
      <c r="E397" s="9" t="str">
        <f ca="1">+WORLDCUP!BD59</f>
        <v>Suiza</v>
      </c>
      <c r="F397" s="9" t="str">
        <f ca="1">+WORLDCUP!BD60</f>
        <v>Haití</v>
      </c>
      <c r="G397" s="9" t="str">
        <f ca="1">+WORLDCUP!BD58</f>
        <v>República Checa</v>
      </c>
      <c r="H397" s="9" t="str">
        <f ca="1">+WORLDCUP!BD64</f>
        <v>Bélgica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Bélgica</v>
      </c>
      <c r="E398" s="9" t="str">
        <f ca="1">+WORLDCUP!BD59</f>
        <v>Suiza</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Austria</v>
      </c>
      <c r="E399" s="9" t="str">
        <f ca="1">+WORLDCUP!BD59</f>
        <v>Suiza</v>
      </c>
      <c r="F399" s="9" t="str">
        <f ca="1">+WORLDCUP!BD60</f>
        <v>Haití</v>
      </c>
      <c r="G399" s="9" t="str">
        <f ca="1">+WORLDCUP!BD58</f>
        <v>República Checa</v>
      </c>
      <c r="H399" s="9" t="str">
        <f ca="1">+WORLDCUP!BD64</f>
        <v>Bélgica</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Austria</v>
      </c>
      <c r="E400" s="9" t="str">
        <f ca="1">+WORLDCUP!BD59</f>
        <v>Suiza</v>
      </c>
      <c r="F400" s="9" t="str">
        <f ca="1">+WORLDCUP!BD60</f>
        <v>Haití</v>
      </c>
      <c r="G400" s="9" t="str">
        <f ca="1">+WORLDCUP!BD58</f>
        <v>República Checa</v>
      </c>
      <c r="H400" s="9" t="str">
        <f ca="1">+WORLDCUP!BD64</f>
        <v>Bélgica</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Bélgica</v>
      </c>
      <c r="E401" s="9" t="str">
        <f ca="1">+WORLDCUP!BD59</f>
        <v>Suiza</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Cabo Verde</v>
      </c>
      <c r="D402" s="9" t="str">
        <f ca="1">+WORLDCUP!BD67</f>
        <v>Austria</v>
      </c>
      <c r="E402" s="9" t="str">
        <f ca="1">+WORLDCUP!BD59</f>
        <v>Suiza</v>
      </c>
      <c r="F402" s="9" t="str">
        <f ca="1">+WORLDCUP!BD60</f>
        <v>Haití</v>
      </c>
      <c r="G402" s="9" t="str">
        <f ca="1">+WORLDCUP!BD58</f>
        <v>República Checa</v>
      </c>
      <c r="H402" s="9" t="str">
        <f ca="1">+WORLDCUP!BD64</f>
        <v>Bélgica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Cabo Verde</v>
      </c>
      <c r="D403" s="9" t="str">
        <f ca="1">+WORLDCUP!BD67</f>
        <v>Austria</v>
      </c>
      <c r="E403" s="9" t="str">
        <f ca="1">+WORLDCUP!BD59</f>
        <v>Suiza</v>
      </c>
      <c r="F403" s="9" t="str">
        <f ca="1">+WORLDCUP!BD60</f>
        <v>Haití</v>
      </c>
      <c r="G403" s="9" t="str">
        <f ca="1">+WORLDCUP!BD58</f>
        <v>República Checa</v>
      </c>
      <c r="H403" s="9" t="str">
        <f ca="1">+WORLDCUP!BD64</f>
        <v>Bélgica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Bélgica</v>
      </c>
      <c r="E404" s="9" t="str">
        <f ca="1">+WORLDCUP!BD59</f>
        <v>Suiza</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Bélgica</v>
      </c>
      <c r="E405" s="9" t="str">
        <f ca="1">+WORLDCUP!BD59</f>
        <v>Suiza</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Cabo Verde</v>
      </c>
      <c r="D406" s="9" t="str">
        <f ca="1">+WORLDCUP!BD67</f>
        <v>Austria</v>
      </c>
      <c r="E406" s="9" t="str">
        <f ca="1">+WORLDCUP!BD59</f>
        <v>Suiza</v>
      </c>
      <c r="F406" s="9" t="str">
        <f ca="1">+WORLDCUP!BD60</f>
        <v>Haití</v>
      </c>
      <c r="G406" s="9" t="str">
        <f ca="1">+WORLDCUP!BD58</f>
        <v>República Checa</v>
      </c>
      <c r="H406" s="9" t="str">
        <f ca="1">+WORLDCUP!BD64</f>
        <v>Bélgica</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Austria</v>
      </c>
      <c r="E407" s="9" t="str">
        <f ca="1">+WORLDCUP!BD59</f>
        <v>Suiza</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Noruega</v>
      </c>
      <c r="E408" s="9" t="str">
        <f ca="1">+WORLDCUP!BD59</f>
        <v>Suiza</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Austria</v>
      </c>
      <c r="E409" s="9" t="str">
        <f ca="1">+WORLDCUP!BD59</f>
        <v>Suiza</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Austria</v>
      </c>
      <c r="E410" s="9" t="str">
        <f ca="1">+WORLDCUP!BD59</f>
        <v>Suiza</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Cabo Verde</v>
      </c>
      <c r="D411" s="9" t="str">
        <f ca="1">+WORLDCUP!BD62</f>
        <v>Costa de Marfil</v>
      </c>
      <c r="E411" s="9" t="str">
        <f ca="1">+WORLDCUP!BD59</f>
        <v>Suiza</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Cabo Verde</v>
      </c>
      <c r="D412" s="9" t="str">
        <f ca="1">+WORLDCUP!BD67</f>
        <v>Austria</v>
      </c>
      <c r="E412" s="9" t="str">
        <f ca="1">+WORLDCUP!BD59</f>
        <v>Suiza</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Cabo Verde</v>
      </c>
      <c r="D413" s="9" t="str">
        <f ca="1">+WORLDCUP!BD67</f>
        <v>Austria</v>
      </c>
      <c r="E413" s="9" t="str">
        <f ca="1">+WORLDCUP!BD59</f>
        <v>Suiza</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Cabo Verde</v>
      </c>
      <c r="D414" s="9" t="str">
        <f ca="1">+WORLDCUP!BD62</f>
        <v>Costa de Marfil</v>
      </c>
      <c r="E414" s="9" t="str">
        <f ca="1">+WORLDCUP!BD59</f>
        <v>Suiza</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Cabo Verde</v>
      </c>
      <c r="D415" s="9" t="str">
        <f ca="1">+WORLDCUP!BD62</f>
        <v>Costa de Marfil</v>
      </c>
      <c r="E415" s="9" t="str">
        <f ca="1">+WORLDCUP!BD59</f>
        <v>Suiza</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Cabo Verde</v>
      </c>
      <c r="D416" s="9" t="str">
        <f ca="1">+WORLDCUP!BD67</f>
        <v>Austria</v>
      </c>
      <c r="E416" s="9" t="str">
        <f ca="1">+WORLDCUP!BD59</f>
        <v>Suiza</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Bélgica</v>
      </c>
      <c r="E417" s="9" t="str">
        <f ca="1">+WORLDCUP!BD59</f>
        <v>Suiza</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Bélgica</v>
      </c>
      <c r="E418" s="9" t="str">
        <f ca="1">+WORLDCUP!BD59</f>
        <v>Suiza</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Bélgica</v>
      </c>
      <c r="E419" s="9" t="str">
        <f ca="1">+WORLDCUP!BD59</f>
        <v>Suiza</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Bélgica</v>
      </c>
      <c r="E420" s="9" t="str">
        <f ca="1">+WORLDCUP!BD59</f>
        <v>Suiza</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Bélgica</v>
      </c>
      <c r="E421" s="9" t="str">
        <f ca="1">+WORLDCUP!BD59</f>
        <v>Suiza</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Bélgica</v>
      </c>
      <c r="E422" s="9" t="str">
        <f ca="1">+WORLDCUP!BD59</f>
        <v>Suiza</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Cabo Verde</v>
      </c>
      <c r="D423" s="9" t="str">
        <f ca="1">+WORLDCUP!BD64</f>
        <v>Bélgica</v>
      </c>
      <c r="E423" s="9" t="str">
        <f ca="1">+WORLDCUP!BD59</f>
        <v>Suiza</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Cabo Verde</v>
      </c>
      <c r="D424" s="9" t="str">
        <f ca="1">+WORLDCUP!BD64</f>
        <v>Bélgica</v>
      </c>
      <c r="E424" s="9" t="str">
        <f ca="1">+WORLDCUP!BD59</f>
        <v>Suiza</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Cabo Verde</v>
      </c>
      <c r="D425" s="9" t="str">
        <f ca="1">+WORLDCUP!BD64</f>
        <v>Bélgica</v>
      </c>
      <c r="E425" s="9" t="str">
        <f ca="1">+WORLDCUP!BD59</f>
        <v>Suiza</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Cabo Verde</v>
      </c>
      <c r="D426" s="9" t="str">
        <f ca="1">+WORLDCUP!BD64</f>
        <v>Bélgica</v>
      </c>
      <c r="E426" s="9" t="str">
        <f ca="1">+WORLDCUP!BD59</f>
        <v>Suiza</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Noruega</v>
      </c>
      <c r="D427" s="9" t="str">
        <f ca="1">+WORLDCUP!BD67</f>
        <v>Austria</v>
      </c>
      <c r="E427" s="9" t="str">
        <f ca="1">+WORLDCUP!BD59</f>
        <v>Suiza</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Cabo Verde</v>
      </c>
      <c r="D428" s="9" t="str">
        <f ca="1">+WORLDCUP!BD67</f>
        <v>Austria</v>
      </c>
      <c r="E428" s="9" t="str">
        <f ca="1">+WORLDCUP!BD59</f>
        <v>Suiza</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Cabo Verde</v>
      </c>
      <c r="D429" s="9" t="str">
        <f ca="1">+WORLDCUP!BD66</f>
        <v>Noruega</v>
      </c>
      <c r="E429" s="9" t="str">
        <f ca="1">+WORLDCUP!BD59</f>
        <v>Suiza</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Cabo Verde</v>
      </c>
      <c r="D430" s="9" t="str">
        <f ca="1">+WORLDCUP!BD67</f>
        <v>Austria</v>
      </c>
      <c r="E430" s="9" t="str">
        <f ca="1">+WORLDCUP!BD59</f>
        <v>Suiza</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Cabo Verde</v>
      </c>
      <c r="D431" s="9" t="str">
        <f ca="1">+WORLDCUP!BD67</f>
        <v>Austria</v>
      </c>
      <c r="E431" s="9" t="str">
        <f ca="1">+WORLDCUP!BD59</f>
        <v>Suiza</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Haití</v>
      </c>
      <c r="D432" s="9" t="str">
        <f ca="1">+WORLDCUP!BD67</f>
        <v>Austria</v>
      </c>
      <c r="E432" s="9" t="str">
        <f ca="1">+WORLDCUP!BD59</f>
        <v>Suiza</v>
      </c>
      <c r="F432" s="9" t="str">
        <f ca="1">+WORLDCUP!BD61</f>
        <v>Turquía</v>
      </c>
      <c r="G432" s="9" t="str">
        <f ca="1">+WORLDCUP!BD58</f>
        <v>República Checa</v>
      </c>
      <c r="H432" s="9" t="str">
        <f ca="1">+WORLDCUP!BD64</f>
        <v>Bélgica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Noruega</v>
      </c>
      <c r="D433" s="9" t="str">
        <f ca="1">+WORLDCUP!BD64</f>
        <v>Bélgica</v>
      </c>
      <c r="E433" s="9" t="str">
        <f ca="1">+WORLDCUP!BD59</f>
        <v>Suiza</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Haití</v>
      </c>
      <c r="D434" s="9" t="str">
        <f ca="1">+WORLDCUP!BD67</f>
        <v>Austria</v>
      </c>
      <c r="E434" s="9" t="str">
        <f ca="1">+WORLDCUP!BD59</f>
        <v>Suiza</v>
      </c>
      <c r="F434" s="9" t="str">
        <f ca="1">+WORLDCUP!BD61</f>
        <v>Turquía</v>
      </c>
      <c r="G434" s="9" t="str">
        <f ca="1">+WORLDCUP!BD58</f>
        <v>República Checa</v>
      </c>
      <c r="H434" s="9" t="str">
        <f ca="1">+WORLDCUP!BD64</f>
        <v>Bélgica</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Haití</v>
      </c>
      <c r="D435" s="9" t="str">
        <f ca="1">+WORLDCUP!BD67</f>
        <v>Austria</v>
      </c>
      <c r="E435" s="9" t="str">
        <f ca="1">+WORLDCUP!BD59</f>
        <v>Suiza</v>
      </c>
      <c r="F435" s="9" t="str">
        <f ca="1">+WORLDCUP!BD61</f>
        <v>Turquía</v>
      </c>
      <c r="G435" s="9" t="str">
        <f ca="1">+WORLDCUP!BD58</f>
        <v>República Checa</v>
      </c>
      <c r="H435" s="9" t="str">
        <f ca="1">+WORLDCUP!BD64</f>
        <v>Bélgica</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Cabo Verde</v>
      </c>
      <c r="D436" s="9" t="str">
        <f ca="1">+WORLDCUP!BD64</f>
        <v>Bélgica</v>
      </c>
      <c r="E436" s="9" t="str">
        <f ca="1">+WORLDCUP!BD59</f>
        <v>Suiza</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Cabo Verde</v>
      </c>
      <c r="D437" s="9" t="str">
        <f ca="1">+WORLDCUP!BD64</f>
        <v>Bélgica</v>
      </c>
      <c r="E437" s="9" t="str">
        <f ca="1">+WORLDCUP!BD59</f>
        <v>Suiza</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Cabo Verde</v>
      </c>
      <c r="D438" s="9" t="str">
        <f ca="1">+WORLDCUP!BD64</f>
        <v>Bélgica</v>
      </c>
      <c r="E438" s="9" t="str">
        <f ca="1">+WORLDCUP!BD59</f>
        <v>Suiza</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Cabo Verde</v>
      </c>
      <c r="D439" s="9" t="str">
        <f ca="1">+WORLDCUP!BD64</f>
        <v>Bélgica</v>
      </c>
      <c r="E439" s="9" t="str">
        <f ca="1">+WORLDCUP!BD59</f>
        <v>Suiza</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Cabo Verde</v>
      </c>
      <c r="D440" s="9" t="str">
        <f ca="1">+WORLDCUP!BD64</f>
        <v>Bélgica</v>
      </c>
      <c r="E440" s="9" t="str">
        <f ca="1">+WORLDCUP!BD59</f>
        <v>Suiza</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Cabo Verde</v>
      </c>
      <c r="D441" s="9" t="str">
        <f ca="1">+WORLDCUP!BD64</f>
        <v>Bélgica</v>
      </c>
      <c r="E441" s="9" t="str">
        <f ca="1">+WORLDCUP!BD59</f>
        <v>Suiza</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Haití</v>
      </c>
      <c r="D442" s="9" t="str">
        <f ca="1">+WORLDCUP!BD67</f>
        <v>Austria</v>
      </c>
      <c r="E442" s="9" t="str">
        <f ca="1">+WORLDCUP!BD59</f>
        <v>Suiza</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Haití</v>
      </c>
      <c r="D443" s="9" t="str">
        <f ca="1">+WORLDCUP!BD66</f>
        <v>Noruega</v>
      </c>
      <c r="E443" s="9" t="str">
        <f ca="1">+WORLDCUP!BD59</f>
        <v>Suiza</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Haití</v>
      </c>
      <c r="D444" s="9" t="str">
        <f ca="1">+WORLDCUP!BD67</f>
        <v>Austria</v>
      </c>
      <c r="E444" s="9" t="str">
        <f ca="1">+WORLDCUP!BD59</f>
        <v>Suiza</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Haití</v>
      </c>
      <c r="D445" s="9" t="str">
        <f ca="1">+WORLDCUP!BD67</f>
        <v>Austria</v>
      </c>
      <c r="E445" s="9" t="str">
        <f ca="1">+WORLDCUP!BD59</f>
        <v>Suiza</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Cabo Verde</v>
      </c>
      <c r="D446" s="9" t="str">
        <f ca="1">+WORLDCUP!BD63</f>
        <v>Suecia</v>
      </c>
      <c r="E446" s="9" t="str">
        <f ca="1">+WORLDCUP!BD59</f>
        <v>Suiza</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Haití</v>
      </c>
      <c r="D447" s="9" t="str">
        <f ca="1">+WORLDCUP!BD67</f>
        <v>Austria</v>
      </c>
      <c r="E447" s="9" t="str">
        <f ca="1">+WORLDCUP!BD59</f>
        <v>Suiza</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Cabo Verde</v>
      </c>
      <c r="D448" s="9" t="str">
        <f ca="1">+WORLDCUP!BD67</f>
        <v>Austria</v>
      </c>
      <c r="E448" s="9" t="str">
        <f ca="1">+WORLDCUP!BD59</f>
        <v>Suiza</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Cabo Verde</v>
      </c>
      <c r="D449" s="9" t="str">
        <f ca="1">+WORLDCUP!BD63</f>
        <v>Suecia</v>
      </c>
      <c r="E449" s="9" t="str">
        <f ca="1">+WORLDCUP!BD59</f>
        <v>Suiza</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Cabo Verde</v>
      </c>
      <c r="D450" s="9" t="str">
        <f ca="1">+WORLDCUP!BD63</f>
        <v>Suecia</v>
      </c>
      <c r="E450" s="9" t="str">
        <f ca="1">+WORLDCUP!BD59</f>
        <v>Suiza</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Cabo Verde</v>
      </c>
      <c r="D451" s="9" t="str">
        <f ca="1">+WORLDCUP!BD67</f>
        <v>Austria</v>
      </c>
      <c r="E451" s="9" t="str">
        <f ca="1">+WORLDCUP!BD59</f>
        <v>Suiza</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Haití</v>
      </c>
      <c r="D452" s="9" t="str">
        <f ca="1">+WORLDCUP!BD64</f>
        <v>Bélgica</v>
      </c>
      <c r="E452" s="9" t="str">
        <f ca="1">+WORLDCUP!BD59</f>
        <v>Suiza</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Haití</v>
      </c>
      <c r="D453" s="9" t="str">
        <f ca="1">+WORLDCUP!BD64</f>
        <v>Bélgica</v>
      </c>
      <c r="E453" s="9" t="str">
        <f ca="1">+WORLDCUP!BD59</f>
        <v>Suiza</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Haití</v>
      </c>
      <c r="D454" s="9" t="str">
        <f ca="1">+WORLDCUP!BD64</f>
        <v>Bélgica</v>
      </c>
      <c r="E454" s="9" t="str">
        <f ca="1">+WORLDCUP!BD59</f>
        <v>Suiza</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Haití</v>
      </c>
      <c r="D455" s="9" t="str">
        <f ca="1">+WORLDCUP!BD64</f>
        <v>Bélgica</v>
      </c>
      <c r="E455" s="9" t="str">
        <f ca="1">+WORLDCUP!BD59</f>
        <v>Suiza</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Haití</v>
      </c>
      <c r="D456" s="9" t="str">
        <f ca="1">+WORLDCUP!BD64</f>
        <v>Bélgica</v>
      </c>
      <c r="E456" s="9" t="str">
        <f ca="1">+WORLDCUP!BD59</f>
        <v>Suiza</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Haití</v>
      </c>
      <c r="D457" s="9" t="str">
        <f ca="1">+WORLDCUP!BD64</f>
        <v>Bélgica</v>
      </c>
      <c r="E457" s="9" t="str">
        <f ca="1">+WORLDCUP!BD59</f>
        <v>Suiza</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Haití</v>
      </c>
      <c r="D458" s="9" t="str">
        <f ca="1">+WORLDCUP!BD64</f>
        <v>Bélgica</v>
      </c>
      <c r="E458" s="9" t="str">
        <f ca="1">+WORLDCUP!BD59</f>
        <v>Suiza</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Cabo Verde</v>
      </c>
      <c r="D459" s="9" t="str">
        <f ca="1">+WORLDCUP!BD64</f>
        <v>Bélgica</v>
      </c>
      <c r="E459" s="9" t="str">
        <f ca="1">+WORLDCUP!BD59</f>
        <v>Suiza</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Cabo Verde</v>
      </c>
      <c r="D460" s="9" t="str">
        <f ca="1">+WORLDCUP!BD64</f>
        <v>Bélgica</v>
      </c>
      <c r="E460" s="9" t="str">
        <f ca="1">+WORLDCUP!BD59</f>
        <v>Suiza</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Cabo Verde</v>
      </c>
      <c r="D461" s="9" t="str">
        <f ca="1">+WORLDCUP!BD64</f>
        <v>Bélgica</v>
      </c>
      <c r="E461" s="9" t="str">
        <f ca="1">+WORLDCUP!BD59</f>
        <v>Suiza</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Austria</v>
      </c>
      <c r="E462" s="9" t="str">
        <f ca="1">+WORLDCUP!BD59</f>
        <v>Suiza</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Noruega</v>
      </c>
      <c r="E463" s="9" t="str">
        <f ca="1">+WORLDCUP!BD59</f>
        <v>Suiza</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Austria</v>
      </c>
      <c r="E464" s="9" t="str">
        <f ca="1">+WORLDCUP!BD59</f>
        <v>Suiza</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Austria</v>
      </c>
      <c r="E465" s="9" t="str">
        <f ca="1">+WORLDCUP!BD59</f>
        <v>Suiza</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Cabo Verde</v>
      </c>
      <c r="D466" s="9" t="str">
        <f ca="1">+WORLDCUP!BD62</f>
        <v>Costa de Marfil</v>
      </c>
      <c r="E466" s="9" t="str">
        <f ca="1">+WORLDCUP!BD59</f>
        <v>Suiza</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Cabo Verde</v>
      </c>
      <c r="D467" s="9" t="str">
        <f ca="1">+WORLDCUP!BD67</f>
        <v>Austria</v>
      </c>
      <c r="E467" s="9" t="str">
        <f ca="1">+WORLDCUP!BD59</f>
        <v>Suiza</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Cabo Verde</v>
      </c>
      <c r="D468" s="9" t="str">
        <f ca="1">+WORLDCUP!BD67</f>
        <v>Austria</v>
      </c>
      <c r="E468" s="9" t="str">
        <f ca="1">+WORLDCUP!BD59</f>
        <v>Suiza</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Cabo Verde</v>
      </c>
      <c r="D469" s="9" t="str">
        <f ca="1">+WORLDCUP!BD62</f>
        <v>Costa de Marfil</v>
      </c>
      <c r="E469" s="9" t="str">
        <f ca="1">+WORLDCUP!BD59</f>
        <v>Suiza</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Cabo Verde</v>
      </c>
      <c r="D470" s="9" t="str">
        <f ca="1">+WORLDCUP!BD62</f>
        <v>Costa de Marfil</v>
      </c>
      <c r="E470" s="9" t="str">
        <f ca="1">+WORLDCUP!BD59</f>
        <v>Suiza</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Cabo Verde</v>
      </c>
      <c r="D471" s="9" t="str">
        <f ca="1">+WORLDCUP!BD67</f>
        <v>Austria</v>
      </c>
      <c r="E471" s="9" t="str">
        <f ca="1">+WORLDCUP!BD59</f>
        <v>Suiza</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Bélgica</v>
      </c>
      <c r="E472" s="9" t="str">
        <f ca="1">+WORLDCUP!BD59</f>
        <v>Suiza</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Bélgica</v>
      </c>
      <c r="E473" s="9" t="str">
        <f ca="1">+WORLDCUP!BD59</f>
        <v>Suiza</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Bélgica</v>
      </c>
      <c r="E474" s="9" t="str">
        <f ca="1">+WORLDCUP!BD59</f>
        <v>Suiza</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Bélgica</v>
      </c>
      <c r="E475" s="9" t="str">
        <f ca="1">+WORLDCUP!BD59</f>
        <v>Suiza</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Bélgica</v>
      </c>
      <c r="E476" s="9" t="str">
        <f ca="1">+WORLDCUP!BD59</f>
        <v>Suiza</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Bélgica</v>
      </c>
      <c r="E477" s="9" t="str">
        <f ca="1">+WORLDCUP!BD59</f>
        <v>Suiza</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Cabo Verde</v>
      </c>
      <c r="D478" s="9" t="str">
        <f ca="1">+WORLDCUP!BD64</f>
        <v>Bélgica</v>
      </c>
      <c r="E478" s="9" t="str">
        <f ca="1">+WORLDCUP!BD59</f>
        <v>Suiza</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Cabo Verde</v>
      </c>
      <c r="D479" s="9" t="str">
        <f ca="1">+WORLDCUP!BD64</f>
        <v>Bélgica</v>
      </c>
      <c r="E479" s="9" t="str">
        <f ca="1">+WORLDCUP!BD59</f>
        <v>Suiza</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Cabo Verde</v>
      </c>
      <c r="D480" s="9" t="str">
        <f ca="1">+WORLDCUP!BD64</f>
        <v>Bélgica</v>
      </c>
      <c r="E480" s="9" t="str">
        <f ca="1">+WORLDCUP!BD59</f>
        <v>Suiza</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Cabo Verde</v>
      </c>
      <c r="D481" s="9" t="str">
        <f ca="1">+WORLDCUP!BD64</f>
        <v>Bélgica</v>
      </c>
      <c r="E481" s="9" t="str">
        <f ca="1">+WORLDCUP!BD59</f>
        <v>Suiza</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Haití</v>
      </c>
      <c r="D482" s="9" t="str">
        <f ca="1">+WORLDCUP!BD62</f>
        <v>Costa de Marfil</v>
      </c>
      <c r="E482" s="9" t="str">
        <f ca="1">+WORLDCUP!BD59</f>
        <v>Suiza</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Haití</v>
      </c>
      <c r="D483" s="9" t="str">
        <f ca="1">+WORLDCUP!BD67</f>
        <v>Austria</v>
      </c>
      <c r="E483" s="9" t="str">
        <f ca="1">+WORLDCUP!BD59</f>
        <v>Suiza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Haití</v>
      </c>
      <c r="D484" s="9" t="str">
        <f ca="1">+WORLDCUP!BD67</f>
        <v>Austria</v>
      </c>
      <c r="E484" s="9" t="str">
        <f ca="1">+WORLDCUP!BD59</f>
        <v>Suiza</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Haití</v>
      </c>
      <c r="D485" s="9" t="str">
        <f ca="1">+WORLDCUP!BD62</f>
        <v>Costa de Marfil</v>
      </c>
      <c r="E485" s="9" t="str">
        <f ca="1">+WORLDCUP!BD59</f>
        <v>Suiza</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Haití</v>
      </c>
      <c r="D486" s="9" t="str">
        <f ca="1">+WORLDCUP!BD62</f>
        <v>Costa de Marfil</v>
      </c>
      <c r="E486" s="9" t="str">
        <f ca="1">+WORLDCUP!BD59</f>
        <v>Suiza</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Haití</v>
      </c>
      <c r="D487" s="9" t="str">
        <f ca="1">+WORLDCUP!BD67</f>
        <v>Austria</v>
      </c>
      <c r="E487" s="9" t="str">
        <f ca="1">+WORLDCUP!BD59</f>
        <v>Suiza</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Cabo Verde</v>
      </c>
      <c r="D488" s="9" t="str">
        <f ca="1">+WORLDCUP!BD63</f>
        <v>Suecia</v>
      </c>
      <c r="E488" s="9" t="str">
        <f ca="1">+WORLDCUP!BD59</f>
        <v>Suiza</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Cabo Verde</v>
      </c>
      <c r="D489" s="9" t="str">
        <f ca="1">+WORLDCUP!BD62</f>
        <v>Costa de Marfil</v>
      </c>
      <c r="E489" s="9" t="str">
        <f ca="1">+WORLDCUP!BD59</f>
        <v>Suiza</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Cabo Verde</v>
      </c>
      <c r="D490" s="9" t="str">
        <f ca="1">+WORLDCUP!BD67</f>
        <v>Austria</v>
      </c>
      <c r="E490" s="9" t="str">
        <f ca="1">+WORLDCUP!BD59</f>
        <v>Suiza</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Cabo Verde</v>
      </c>
      <c r="D491" s="9" t="str">
        <f ca="1">+WORLDCUP!BD62</f>
        <v>Costa de Marfil</v>
      </c>
      <c r="E491" s="9" t="str">
        <f ca="1">+WORLDCUP!BD59</f>
        <v>Suiza</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Haití</v>
      </c>
      <c r="D492" s="9" t="str">
        <f ca="1">+WORLDCUP!BD64</f>
        <v>Bélgica</v>
      </c>
      <c r="E492" s="9" t="str">
        <f ca="1">+WORLDCUP!BD59</f>
        <v>Suiza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Haití</v>
      </c>
      <c r="D493" s="9" t="str">
        <f ca="1">+WORLDCUP!BD64</f>
        <v>Bélgica</v>
      </c>
      <c r="E493" s="9" t="str">
        <f ca="1">+WORLDCUP!BD59</f>
        <v>Suiza</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Haití</v>
      </c>
      <c r="D494" s="9" t="str">
        <f ca="1">+WORLDCUP!BD64</f>
        <v>Bélgica</v>
      </c>
      <c r="E494" s="9" t="str">
        <f ca="1">+WORLDCUP!BD59</f>
        <v>Suiza</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Haití</v>
      </c>
      <c r="D495" s="9" t="str">
        <f ca="1">+WORLDCUP!BD64</f>
        <v>Bélgica</v>
      </c>
      <c r="E495" s="9" t="str">
        <f ca="1">+WORLDCUP!BD59</f>
        <v>Suiza</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Cabo Verde</v>
      </c>
      <c r="D496" s="9" t="str">
        <f ca="1">+WORLDCUP!BD64</f>
        <v>Bélgica</v>
      </c>
      <c r="E496" s="9" t="str">
        <f ca="1">+WORLDCUP!BD59</f>
        <v>Suiza</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ustomWidth="1"/>
    <col min="6" max="6" width="0.44140625" style="5" customWidth="1"/>
    <col min="7" max="10" width="10.77734375" style="5" customWidth="1"/>
    <col min="11" max="11" width="4" style="5" customWidth="1"/>
    <col min="12" max="12" width="19.109375" style="5" customWidth="1"/>
    <col min="13" max="13" width="10.77734375" style="5" customWidth="1"/>
    <col min="14" max="17" width="15.77734375" style="5" customWidth="1"/>
    <col min="18" max="18" width="22.77734375" style="5" customWidth="1"/>
    <col min="20" max="22" width="10.77734375" style="16" customWidth="1"/>
    <col min="23" max="24" width="10.77734375" style="16" hidden="1" customWidth="1"/>
    <col min="25" max="25" width="10.77734375" style="16" customWidth="1"/>
    <col min="26" max="28" width="10.77734375" style="14" customWidth="1"/>
    <col min="29" max="149" width="10.77734375" style="5" customWidth="1"/>
    <col min="150" max="158" width="10.77734375" style="14" customWidth="1"/>
    <col min="159" max="161" width="10.77734375" style="5" customWidth="1"/>
    <col min="162" max="16384" width="10.777343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c r="A7" s="223"/>
      <c r="B7" s="683"/>
      <c r="C7" s="620"/>
      <c r="D7" s="620"/>
      <c r="E7" s="620"/>
      <c r="F7" s="620"/>
      <c r="G7" s="620"/>
      <c r="H7" s="620"/>
      <c r="I7" s="620"/>
      <c r="J7" s="684"/>
      <c r="K7" s="224"/>
      <c r="L7" s="335"/>
      <c r="M7" s="336"/>
      <c r="N7" s="336"/>
      <c r="O7" s="336"/>
      <c r="P7" s="336"/>
      <c r="Q7" s="336"/>
      <c r="R7" s="337"/>
    </row>
    <row r="8" spans="1:18">
      <c r="A8" s="223"/>
      <c r="B8" s="683"/>
      <c r="C8" s="620"/>
      <c r="D8" s="620"/>
      <c r="E8" s="620"/>
      <c r="F8" s="620"/>
      <c r="G8" s="620"/>
      <c r="H8" s="620"/>
      <c r="I8" s="620"/>
      <c r="J8" s="684"/>
      <c r="K8" s="224"/>
    </row>
    <row r="9" spans="1:18">
      <c r="A9" s="223"/>
      <c r="B9" s="683"/>
      <c r="C9" s="620"/>
      <c r="D9" s="620"/>
      <c r="E9" s="620"/>
      <c r="F9" s="620"/>
      <c r="G9" s="620"/>
      <c r="H9" s="620"/>
      <c r="I9" s="620"/>
      <c r="J9" s="684"/>
      <c r="K9" s="224"/>
      <c r="L9" s="259" t="s">
        <v>309</v>
      </c>
    </row>
    <row r="10" spans="1:18">
      <c r="A10" s="223"/>
      <c r="B10" s="683"/>
      <c r="C10" s="620"/>
      <c r="D10" s="620"/>
      <c r="E10" s="620"/>
      <c r="F10" s="620"/>
      <c r="G10" s="620"/>
      <c r="H10" s="620"/>
      <c r="I10" s="620"/>
      <c r="J10" s="684"/>
      <c r="K10" s="224"/>
      <c r="L10" s="331"/>
      <c r="M10" s="332"/>
      <c r="N10" s="332"/>
      <c r="O10" s="332"/>
      <c r="P10" s="332"/>
      <c r="Q10" s="332"/>
      <c r="R10" s="333"/>
    </row>
    <row r="11" spans="1:18">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19.95"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95"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5"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95"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5"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95"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5"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95"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5"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95"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5"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95"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ustomWidth="1"/>
    <col min="9" max="9" width="13" style="6" customWidth="1"/>
    <col min="10" max="10" width="12" style="6" customWidth="1"/>
    <col min="11" max="11" width="20.44140625" style="6" customWidth="1"/>
    <col min="12" max="13" width="0" style="6" hidden="1"/>
    <col min="14" max="14" width="4.44140625" style="602" customWidth="1"/>
    <col min="15" max="17" width="20.44140625" style="603" customWidth="1"/>
    <col min="18" max="16384" width="20.441406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ustomWidth="1"/>
    <col min="7" max="7" width="12.33203125" style="14" bestFit="1" customWidth="1"/>
    <col min="8" max="9" width="10.77734375" style="14" customWidth="1"/>
    <col min="10" max="10" width="13.44140625" style="14" customWidth="1"/>
    <col min="11" max="15" width="10.77734375" style="14" customWidth="1"/>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ustomWidth="1"/>
    <col min="27" max="27" width="6.44140625" style="14" customWidth="1"/>
    <col min="28" max="33" width="10.77734375" style="14" customWidth="1"/>
    <col min="34" max="34" width="3.33203125" style="14" bestFit="1" customWidth="1"/>
    <col min="35" max="37" width="10.77734375" style="14" customWidth="1"/>
    <col min="38" max="16384" width="10.777343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Dell</cp:lastModifiedBy>
  <cp:lastPrinted>2018-12-06T18:06:35Z</cp:lastPrinted>
  <dcterms:created xsi:type="dcterms:W3CDTF">2015-10-31T09:41:54Z</dcterms:created>
  <dcterms:modified xsi:type="dcterms:W3CDTF">2026-06-05T20:38:16Z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
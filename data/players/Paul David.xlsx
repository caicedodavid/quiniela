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E8EE5AB-17F7-A243-BB24-4BBAA9FD15E8}" xr6:coauthVersionLast="47" xr6:coauthVersionMax="47" xr10:uidLastSave="{00000000-0000-0000-0000-000000000000}"/>
  <bookViews>
    <workbookView xWindow="0" yWindow="660" windowWidth="34560" windowHeight="1988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N133" i="2" s="1"/>
  <c r="AF133" i="2" s="1"/>
  <c r="C216" i="3"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81" i="5" l="1"/>
  <c r="B16" i="7" s="1"/>
  <c r="D113" i="5"/>
  <c r="E162" i="3" s="1"/>
  <c r="D152" i="5"/>
  <c r="B92" i="3" s="1"/>
  <c r="D256" i="5"/>
  <c r="D43" i="5"/>
  <c r="AA160" i="2" s="1"/>
  <c r="C258" i="3" s="1"/>
  <c r="D144" i="5"/>
  <c r="B84" i="3" s="1"/>
  <c r="AG123" i="2"/>
  <c r="D110" i="5"/>
  <c r="E6" i="3" s="1"/>
  <c r="D252" i="5"/>
  <c r="L2" i="9" s="1"/>
  <c r="D203" i="5"/>
  <c r="K3" i="8" s="1"/>
  <c r="D17" i="5"/>
  <c r="X3" i="2" s="1"/>
  <c r="X19" i="2" s="1"/>
  <c r="X35" i="2" s="1"/>
  <c r="D46" i="5"/>
  <c r="C9" i="1" s="1"/>
  <c r="D58" i="5"/>
  <c r="AR5" i="2" s="1"/>
  <c r="AR45" i="2" s="1"/>
  <c r="D61" i="5"/>
  <c r="Z4" i="2" s="1"/>
  <c r="Z13" i="2" s="1"/>
  <c r="D18" i="5"/>
  <c r="Y3" i="2" s="1"/>
  <c r="Y19" i="2" s="1"/>
  <c r="Y35" i="2" s="1"/>
  <c r="D137" i="5"/>
  <c r="B243" i="3" s="1"/>
  <c r="D19" i="5"/>
  <c r="Z3" i="2" s="1"/>
  <c r="Z19" i="2" s="1"/>
  <c r="Z35" i="2" s="1"/>
  <c r="D140" i="5"/>
  <c r="B80" i="3" s="1"/>
  <c r="AG139" i="2"/>
  <c r="AG111" i="2"/>
  <c r="D51" i="5"/>
  <c r="AJ5" i="2" s="1"/>
  <c r="AJ37" i="2" s="1"/>
  <c r="D173" i="5"/>
  <c r="B113" i="3" s="1"/>
  <c r="D108" i="5"/>
  <c r="E4" i="3" s="1"/>
  <c r="C247" i="3"/>
  <c r="D15" i="5"/>
  <c r="C7" i="1" s="1"/>
  <c r="D112" i="5"/>
  <c r="E54" i="3" s="1"/>
  <c r="D207" i="5"/>
  <c r="K7" i="8" s="1"/>
  <c r="AG104" i="2"/>
  <c r="D154" i="5"/>
  <c r="B94" i="3" s="1"/>
  <c r="AG131" i="2"/>
  <c r="D80" i="5"/>
  <c r="B15" i="7" s="1"/>
  <c r="D172" i="5"/>
  <c r="B112" i="3" s="1"/>
  <c r="D228" i="5"/>
  <c r="K28" i="8" s="1"/>
  <c r="AG120" i="2"/>
  <c r="AG125" i="2"/>
  <c r="AG151" i="2"/>
  <c r="AG102" i="2"/>
  <c r="AG113" i="2"/>
  <c r="D204" i="5"/>
  <c r="K4" i="8" s="1"/>
  <c r="D216" i="5"/>
  <c r="AB17" i="9" s="1"/>
  <c r="N126" i="2"/>
  <c r="AF126" i="2" s="1"/>
  <c r="C196" i="3" s="1"/>
  <c r="AG133" i="2"/>
  <c r="N127" i="2"/>
  <c r="AF127" i="2" s="1"/>
  <c r="C197" i="3" s="1"/>
  <c r="AG134" i="2"/>
  <c r="D50" i="5"/>
  <c r="D143" i="5"/>
  <c r="B83" i="3" s="1"/>
  <c r="L27" i="8"/>
  <c r="EU6144" i="7"/>
  <c r="G227" i="5" s="1"/>
  <c r="D227" i="5" s="1"/>
  <c r="M27" i="8"/>
  <c r="AG152" i="2"/>
  <c r="D48" i="5"/>
  <c r="AM148" i="2" s="1"/>
  <c r="D89" i="5"/>
  <c r="L13" i="7" s="1"/>
  <c r="D141" i="5"/>
  <c r="B81" i="3" s="1"/>
  <c r="D180" i="5"/>
  <c r="B120" i="3" s="1"/>
  <c r="D202" i="5"/>
  <c r="K2" i="8" s="1"/>
  <c r="D208" i="5"/>
  <c r="B26" i="8" s="1"/>
  <c r="AG124" i="2"/>
  <c r="M147" i="2"/>
  <c r="D49" i="5"/>
  <c r="D91" i="5"/>
  <c r="L15" i="7" s="1"/>
  <c r="D142" i="5"/>
  <c r="B82" i="3" s="1"/>
  <c r="D182" i="5"/>
  <c r="B122" i="3" s="1"/>
  <c r="AG107" i="2"/>
  <c r="N147" i="2"/>
  <c r="D233" i="5"/>
  <c r="AB34" i="9" s="1"/>
  <c r="C240" i="3"/>
  <c r="BB23" i="4"/>
  <c r="D21" i="5"/>
  <c r="D73" i="5"/>
  <c r="D115" i="5"/>
  <c r="E164" i="3" s="1"/>
  <c r="D166" i="5"/>
  <c r="B106" i="3" s="1"/>
  <c r="D211" i="5"/>
  <c r="AB12" i="9" s="1"/>
  <c r="D229" i="5"/>
  <c r="B41" i="8" s="1"/>
  <c r="AG108" i="2"/>
  <c r="N138" i="2"/>
  <c r="AF138" i="2" s="1"/>
  <c r="C228" i="3" s="1"/>
  <c r="M143" i="2"/>
  <c r="B247" i="3"/>
  <c r="D22" i="5"/>
  <c r="AF3" i="2" s="1"/>
  <c r="AF119" i="2" s="1"/>
  <c r="D75" i="5"/>
  <c r="D116" i="5"/>
  <c r="E200" i="3" s="1"/>
  <c r="D168" i="5"/>
  <c r="B108" i="3" s="1"/>
  <c r="AG126" i="2"/>
  <c r="AG150" i="2"/>
  <c r="D29" i="5"/>
  <c r="W129" i="2" s="1"/>
  <c r="D76" i="5"/>
  <c r="D122" i="5"/>
  <c r="D6" i="3" s="1"/>
  <c r="D169" i="5"/>
  <c r="B109" i="3" s="1"/>
  <c r="D212" i="5"/>
  <c r="B8" i="8" s="1"/>
  <c r="D224" i="5"/>
  <c r="K24" i="8" s="1"/>
  <c r="D31" i="5"/>
  <c r="W141" i="2" s="1"/>
  <c r="D79" i="5"/>
  <c r="B3" i="7" s="1"/>
  <c r="D125" i="5"/>
  <c r="B5" i="3" s="1"/>
  <c r="D219" i="5"/>
  <c r="AB20" i="9" s="1"/>
  <c r="D249" i="5"/>
  <c r="K49" i="8" s="1"/>
  <c r="AZ25" i="4"/>
  <c r="Z53" i="2"/>
  <c r="AR85" i="2"/>
  <c r="AR37" i="2"/>
  <c r="BJ5" i="2"/>
  <c r="BJ57"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B40" i="8"/>
  <c r="AB30"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37" i="2" l="1"/>
  <c r="Z5" i="2"/>
  <c r="Z21" i="2"/>
  <c r="AR77" i="2"/>
  <c r="AR93" i="2"/>
  <c r="AR69" i="2"/>
  <c r="AB5" i="9"/>
  <c r="AR101" i="2"/>
  <c r="Y83" i="2"/>
  <c r="AB8" i="9"/>
  <c r="Z93" i="2"/>
  <c r="Z68" i="2"/>
  <c r="AB4" i="9"/>
  <c r="B47" i="8"/>
  <c r="A94" i="2" s="1"/>
  <c r="AA156" i="2"/>
  <c r="C255" i="3" s="1"/>
  <c r="X137" i="2"/>
  <c r="Z20" i="2"/>
  <c r="Z44" i="2"/>
  <c r="Z52" i="2"/>
  <c r="B32" i="8"/>
  <c r="BD36" i="2" s="1"/>
  <c r="Z84" i="2"/>
  <c r="Z12" i="2"/>
  <c r="K8" i="8"/>
  <c r="Z69" i="2"/>
  <c r="X91" i="2"/>
  <c r="K19" i="8"/>
  <c r="AH154" i="2"/>
  <c r="AG160" i="2" s="1"/>
  <c r="Y100" i="2"/>
  <c r="AM14" i="4"/>
  <c r="K16" i="8"/>
  <c r="Y142" i="2"/>
  <c r="Y67" i="2"/>
  <c r="Y137" i="2"/>
  <c r="Y75" i="2"/>
  <c r="Y91" i="2"/>
  <c r="Y59" i="2"/>
  <c r="B39" i="8"/>
  <c r="BD43" i="2" s="1"/>
  <c r="Y51" i="2"/>
  <c r="Y130" i="2"/>
  <c r="X11" i="2"/>
  <c r="X27" i="2" s="1"/>
  <c r="X43" i="2" s="1"/>
  <c r="K11" i="8"/>
  <c r="Z29" i="2"/>
  <c r="Z85" i="2"/>
  <c r="X75" i="2"/>
  <c r="X51" i="2"/>
  <c r="Z77" i="2"/>
  <c r="X119" i="2"/>
  <c r="Z76" i="2"/>
  <c r="X130" i="2"/>
  <c r="Z92" i="2"/>
  <c r="X142" i="2"/>
  <c r="X100" i="2"/>
  <c r="B6" i="8"/>
  <c r="A13" i="2" s="1"/>
  <c r="X83" i="2"/>
  <c r="X146" i="2"/>
  <c r="X59" i="2"/>
  <c r="AJ21" i="2"/>
  <c r="Y119" i="2"/>
  <c r="AB29" i="9"/>
  <c r="AA159" i="2"/>
  <c r="C257" i="3" s="1"/>
  <c r="AA158" i="2"/>
  <c r="C256" i="3" s="1"/>
  <c r="AA154" i="2"/>
  <c r="C253" i="3" s="1"/>
  <c r="B18" i="8"/>
  <c r="BD22" i="2" s="1"/>
  <c r="AA155" i="2"/>
  <c r="C254" i="3" s="1"/>
  <c r="Z36" i="2"/>
  <c r="AJ61" i="2"/>
  <c r="AB3" i="9"/>
  <c r="AE47" i="4"/>
  <c r="Z61" i="2"/>
  <c r="AJ101" i="2"/>
  <c r="Z51" i="2"/>
  <c r="B23" i="8"/>
  <c r="BD27" i="2" s="1"/>
  <c r="AJ53" i="2"/>
  <c r="Z45" i="2"/>
  <c r="Z67" i="2"/>
  <c r="B27" i="8"/>
  <c r="A54" i="2" s="1"/>
  <c r="X67" i="2"/>
  <c r="Y11" i="2"/>
  <c r="Y27" i="2" s="1"/>
  <c r="Y43" i="2" s="1"/>
  <c r="AB50" i="9"/>
  <c r="AB9" i="9"/>
  <c r="AR29" i="2"/>
  <c r="AJ29" i="2"/>
  <c r="Z11" i="2"/>
  <c r="Z27" i="2" s="1"/>
  <c r="Z43" i="2" s="1"/>
  <c r="AB25" i="9"/>
  <c r="AB13" i="9"/>
  <c r="AR61" i="2"/>
  <c r="Z83" i="2"/>
  <c r="AJ85" i="2"/>
  <c r="B207" i="3"/>
  <c r="AJ45" i="2"/>
  <c r="AJ93" i="2"/>
  <c r="Z75" i="2"/>
  <c r="AE41" i="4"/>
  <c r="Z91" i="2"/>
  <c r="B48" i="8"/>
  <c r="A95" i="2" s="1"/>
  <c r="AJ69" i="2"/>
  <c r="AJ13" i="2"/>
  <c r="AR53" i="2"/>
  <c r="AJ77" i="2"/>
  <c r="AR21" i="2"/>
  <c r="AR13" i="2"/>
  <c r="K29" i="8"/>
  <c r="AE5" i="4"/>
  <c r="K33" i="8"/>
  <c r="Z28" i="2"/>
  <c r="Z60" i="2"/>
  <c r="Z59" i="2"/>
  <c r="Y146" i="2"/>
  <c r="AE29" i="4"/>
  <c r="K12" i="8"/>
  <c r="C207" i="3"/>
  <c r="AF100" i="2"/>
  <c r="B5" i="8"/>
  <c r="BD9" i="2" s="1"/>
  <c r="B29" i="8"/>
  <c r="BD33" i="2" s="1"/>
  <c r="B232" i="3"/>
  <c r="AF67" i="2"/>
  <c r="AF91" i="2"/>
  <c r="AF146" i="2"/>
  <c r="AF51" i="2"/>
  <c r="AF75" i="2"/>
  <c r="AF83" i="2"/>
  <c r="C232" i="3"/>
  <c r="B202" i="3"/>
  <c r="AF19" i="2"/>
  <c r="AF35" i="2" s="1"/>
  <c r="AF11" i="2"/>
  <c r="AF27" i="2" s="1"/>
  <c r="AF43" i="2" s="1"/>
  <c r="AF130" i="2"/>
  <c r="AF59" i="2"/>
  <c r="AF142" i="2"/>
  <c r="AE23" i="4"/>
  <c r="AF137" i="2"/>
  <c r="AD3" i="2"/>
  <c r="AC3" i="2"/>
  <c r="AB35" i="9"/>
  <c r="K34" i="8"/>
  <c r="B22" i="8"/>
  <c r="B17" i="8"/>
  <c r="K48" i="8"/>
  <c r="AB49" i="9"/>
  <c r="AB44" i="9"/>
  <c r="B44" i="8"/>
  <c r="K43" i="8"/>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37" i="2" l="1"/>
  <c r="BD51" i="2"/>
  <c r="AG159" i="2"/>
  <c r="AG156" i="2"/>
  <c r="A78" i="2"/>
  <c r="AF76" i="2" s="1"/>
  <c r="AG158" i="2"/>
  <c r="BD31" i="2"/>
  <c r="BC31" i="2" s="1"/>
  <c r="A46" i="2"/>
  <c r="AF47" i="2" s="1"/>
  <c r="A56" i="2"/>
  <c r="AA57" i="2" s="1"/>
  <c r="A63" i="2"/>
  <c r="AY64" i="2" s="1"/>
  <c r="AG155" i="2"/>
  <c r="BD10" i="2"/>
  <c r="BC10" i="2" s="1"/>
  <c r="A8" i="2"/>
  <c r="AF5" i="2" s="1"/>
  <c r="AG154" i="2"/>
  <c r="BD52" i="2"/>
  <c r="BC52" i="2" s="1"/>
  <c r="AC67" i="2"/>
  <c r="AC51" i="2"/>
  <c r="AC19" i="2"/>
  <c r="AC27" i="2"/>
  <c r="AC142" i="2"/>
  <c r="AC119" i="2"/>
  <c r="AC130" i="2"/>
  <c r="AC75" i="2"/>
  <c r="AC91" i="2"/>
  <c r="AC83" i="2"/>
  <c r="AC59" i="2"/>
  <c r="AC100" i="2"/>
  <c r="AC43" i="2"/>
  <c r="AC35" i="2"/>
  <c r="AC11" i="2"/>
  <c r="AD19" i="2"/>
  <c r="AD11" i="2"/>
  <c r="AD59" i="2"/>
  <c r="AD91" i="2"/>
  <c r="AD130" i="2"/>
  <c r="AD119" i="2"/>
  <c r="AD43" i="2"/>
  <c r="AD83" i="2"/>
  <c r="AD100" i="2"/>
  <c r="AD75" i="2"/>
  <c r="AD35" i="2"/>
  <c r="AD27" i="2"/>
  <c r="AD67" i="2"/>
  <c r="AD142" i="2"/>
  <c r="AD51"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40" i="2"/>
  <c r="BD25" i="2"/>
  <c r="BC22"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72" i="2"/>
  <c r="BD41" i="2"/>
  <c r="BC9" i="2"/>
  <c r="AI50" i="9"/>
  <c r="A70" i="2"/>
  <c r="BD39" i="2"/>
  <c r="AI19" i="9"/>
  <c r="AY54" i="2"/>
  <c r="AF57" i="2"/>
  <c r="AA52" i="2"/>
  <c r="AA54" i="2"/>
  <c r="AI29" i="9"/>
  <c r="AI41" i="9"/>
  <c r="AA80" i="2"/>
  <c r="A71" i="2"/>
  <c r="BD40"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79" i="2" l="1"/>
  <c r="AY47" i="2"/>
  <c r="AF64" i="2"/>
  <c r="AF44" i="2"/>
  <c r="AA55" i="2"/>
  <c r="B43" i="3" s="1"/>
  <c r="AY57" i="2"/>
  <c r="AA48" i="2"/>
  <c r="C47" i="4" s="1"/>
  <c r="AY79" i="2"/>
  <c r="AF53" i="2"/>
  <c r="R4" i="4" s="1"/>
  <c r="AF62" i="2"/>
  <c r="R13" i="4" s="1"/>
  <c r="AY9" i="2"/>
  <c r="AA6" i="2"/>
  <c r="C5" i="4" s="1"/>
  <c r="AA8" i="2"/>
  <c r="C7" i="4" s="1"/>
  <c r="R48" i="4"/>
  <c r="R46" i="4"/>
  <c r="R45" i="4"/>
  <c r="R43" i="4"/>
  <c r="R31" i="4"/>
  <c r="R30" i="4"/>
  <c r="R29" i="4"/>
  <c r="R28" i="4"/>
  <c r="R27" i="4"/>
  <c r="R15" i="4"/>
  <c r="R8" i="4"/>
  <c r="R6" i="4"/>
  <c r="R3" i="4"/>
  <c r="F46" i="4"/>
  <c r="F43" i="4"/>
  <c r="F40" i="4"/>
  <c r="F16" i="4"/>
  <c r="F15" i="4"/>
  <c r="F14" i="4"/>
  <c r="F4" i="4"/>
  <c r="O6" i="4"/>
  <c r="B72" i="3"/>
  <c r="O31"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18" i="3"/>
  <c r="O7" i="4"/>
  <c r="AA21" i="2"/>
  <c r="AF25" i="2"/>
  <c r="AY24" i="2"/>
  <c r="AF23" i="2"/>
  <c r="BC18" i="2"/>
  <c r="AY41" i="2"/>
  <c r="AF37" i="2"/>
  <c r="AA41" i="2"/>
  <c r="AA39" i="2"/>
  <c r="BC8" i="2"/>
  <c r="BC46" i="2"/>
  <c r="BC21" i="2"/>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BV47" i="2" s="1"/>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BU31" i="2" s="1"/>
  <c r="F52" i="2"/>
  <c r="F55" i="2"/>
  <c r="E52" i="2"/>
  <c r="BW31" i="2" s="1"/>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H53" i="2"/>
  <c r="CB33" i="2"/>
  <c r="I53" i="2"/>
  <c r="I52" i="2"/>
  <c r="CB30" i="2" s="1"/>
  <c r="H52" i="2"/>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B32" i="2" l="1"/>
  <c r="CA31" i="2"/>
  <c r="CA32" i="2"/>
  <c r="CA53" i="2"/>
  <c r="CB49" i="2"/>
  <c r="CC52" i="2"/>
  <c r="CB53" i="2"/>
  <c r="CC50" i="2"/>
  <c r="CA49" i="2"/>
  <c r="CA47" i="2"/>
  <c r="CB47" i="2"/>
  <c r="CB42" i="2"/>
  <c r="CA44" i="2"/>
  <c r="CC44" i="2" s="1"/>
  <c r="CC43" i="2"/>
  <c r="CA42" i="2"/>
  <c r="CC40" i="2"/>
  <c r="CC38" i="2"/>
  <c r="CC39" i="2"/>
  <c r="CB35" i="2"/>
  <c r="CA35" i="2"/>
  <c r="CC35" i="2" s="1"/>
  <c r="CA36" i="2"/>
  <c r="CC36" i="2" s="1"/>
  <c r="CC37" i="2"/>
  <c r="CC34" i="2"/>
  <c r="CB31" i="2"/>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32" i="2" l="1"/>
  <c r="CC31" i="2"/>
  <c r="CC53" i="2"/>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L55" i="2"/>
  <c r="K56" i="2"/>
  <c r="CF32" i="2" s="1"/>
  <c r="K53" i="2"/>
  <c r="CF33" i="2" s="1"/>
  <c r="L53" i="2"/>
  <c r="K52"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31" i="2" l="1"/>
  <c r="CF47" i="2"/>
  <c r="CF49" i="2"/>
  <c r="CF42" i="2"/>
  <c r="CF37" i="2"/>
  <c r="CF25" i="2"/>
  <c r="CF15" i="2"/>
  <c r="CF14" i="2"/>
  <c r="CF13" i="2"/>
  <c r="CF10" i="2"/>
  <c r="CG53" i="2" l="1"/>
  <c r="CG50" i="2"/>
  <c r="CG51" i="2"/>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CI47" i="2" s="1"/>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CJ32" i="2" s="1"/>
  <c r="O54" i="2"/>
  <c r="O56" i="2"/>
  <c r="CJ31" i="2" s="1"/>
  <c r="O53" i="2"/>
  <c r="CI32" i="2" s="1"/>
  <c r="N55" i="2"/>
  <c r="CK6" i="2"/>
  <c r="CK32" i="2"/>
  <c r="N53" i="2"/>
  <c r="N52" i="2"/>
  <c r="CK31" i="2" s="1"/>
  <c r="O52" i="2"/>
  <c r="CK30" i="2" s="1"/>
  <c r="N47" i="2"/>
  <c r="N49" i="2"/>
  <c r="N46" i="2"/>
  <c r="O49" i="2"/>
  <c r="O4" i="2"/>
  <c r="O47" i="2"/>
  <c r="N48" i="2"/>
  <c r="O46" i="2"/>
  <c r="O48"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O12" i="2"/>
  <c r="CK10" i="2" s="1"/>
  <c r="CK34" i="2"/>
  <c r="O22" i="2"/>
  <c r="N25" i="2"/>
  <c r="CI46" i="2"/>
  <c r="O14" i="2"/>
  <c r="CK13" i="2" s="1"/>
  <c r="O23" i="2"/>
  <c r="O25" i="2"/>
  <c r="CJ11" i="2"/>
  <c r="CI10" i="2"/>
  <c r="N17" i="2"/>
  <c r="CI34" i="2"/>
  <c r="CL34" i="2" s="1"/>
  <c r="CK44" i="2"/>
  <c r="CJ44" i="2"/>
  <c r="CJ46" i="2"/>
  <c r="N15"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I31" i="2" l="1"/>
  <c r="CL31" i="2" s="1"/>
  <c r="CJ30" i="2"/>
  <c r="CL30" i="2" s="1"/>
  <c r="CK53" i="2"/>
  <c r="CL53" i="2"/>
  <c r="CL52" i="2"/>
  <c r="CL47" i="2"/>
  <c r="CL48" i="2"/>
  <c r="CL49" i="2"/>
  <c r="CL42" i="2"/>
  <c r="CL35" i="2"/>
  <c r="CL27" i="2"/>
  <c r="CL22"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R57" i="2"/>
  <c r="R54" i="2"/>
  <c r="R56" i="2"/>
  <c r="CP31" i="2" s="1"/>
  <c r="R55" i="2"/>
  <c r="Q56" i="2"/>
  <c r="CO32" i="2" s="1"/>
  <c r="R53" i="2"/>
  <c r="Q55" i="2"/>
  <c r="CO11" i="2"/>
  <c r="Q53" i="2"/>
  <c r="R14" i="2"/>
  <c r="Q52"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P32" i="2" l="1"/>
  <c r="CQ32" i="2" s="1"/>
  <c r="CO31" i="2"/>
  <c r="CQ31" i="2" s="1"/>
  <c r="CO47" i="2"/>
  <c r="CQ53" i="2"/>
  <c r="CP49" i="2"/>
  <c r="CQ52" i="2"/>
  <c r="CP47" i="2"/>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7" i="2" l="1"/>
  <c r="CQ49" i="2"/>
  <c r="CQ13" i="2"/>
  <c r="CR33" i="2" s="1"/>
  <c r="CR6" i="2"/>
  <c r="CQ14" i="2"/>
  <c r="CR16" i="2"/>
  <c r="CR9" i="2"/>
  <c r="CR36" i="2"/>
  <c r="CR39" i="2"/>
  <c r="CR41" i="2"/>
  <c r="CR23" i="2"/>
  <c r="CQ15" i="2"/>
  <c r="CR25" i="2" s="1"/>
  <c r="CR47" i="2"/>
  <c r="CR38" i="2"/>
  <c r="CR44" i="2"/>
  <c r="CR32" i="2"/>
  <c r="CR10" i="2"/>
  <c r="CR19" i="2" l="1"/>
  <c r="CR28" i="2"/>
  <c r="CR37" i="2"/>
  <c r="CR40" i="2"/>
  <c r="CR43" i="2"/>
  <c r="CR48" i="2"/>
  <c r="CR35" i="2"/>
  <c r="CR24" i="2"/>
  <c r="CR50" i="2"/>
  <c r="CR45" i="2"/>
  <c r="CR52" i="2"/>
  <c r="CR53" i="2"/>
  <c r="CR21" i="2"/>
  <c r="CR27" i="2"/>
  <c r="CR17" i="2"/>
  <c r="CR7" i="2"/>
  <c r="CR29" i="2"/>
  <c r="CR8" i="2"/>
  <c r="CR20" i="2"/>
  <c r="CR12" i="2"/>
  <c r="CR11" i="2"/>
  <c r="CR26" i="2"/>
  <c r="CR31" i="2"/>
  <c r="CR30" i="2"/>
  <c r="CR34" i="2"/>
  <c r="CR22" i="2"/>
  <c r="CR51" i="2"/>
  <c r="CR13" i="2"/>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CT8" i="2" l="1"/>
  <c r="U23" i="2"/>
  <c r="U94" i="2"/>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T53" i="2"/>
  <c r="T52" i="2"/>
  <c r="U52" i="2"/>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32" i="2" l="1"/>
  <c r="CT31" i="2"/>
  <c r="CT30" i="2"/>
  <c r="CT52" i="2"/>
  <c r="CT49" i="2"/>
  <c r="CT47" i="2"/>
  <c r="CT42" i="2"/>
  <c r="CT44" i="2"/>
  <c r="CT13" i="2"/>
  <c r="CT14" i="2"/>
  <c r="CT25" i="2"/>
  <c r="CT24" i="2"/>
  <c r="CT10" i="2"/>
  <c r="CU52" i="2" l="1"/>
  <c r="CU51" i="2"/>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M52" i="2" l="1"/>
  <c r="DN52" i="2"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15" i="4" l="1"/>
  <c r="K23" i="4"/>
  <c r="W31" i="4"/>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Q69" i="2"/>
  <c r="DJ69" i="2" s="1"/>
  <c r="DL60" i="2" l="1"/>
  <c r="AU104" i="2" s="1"/>
  <c r="DL69" i="2"/>
  <c r="AU113" i="2" s="1"/>
  <c r="DL65" i="2"/>
  <c r="AU109" i="2" s="1"/>
  <c r="DL61" i="2"/>
  <c r="AU105" i="2" s="1"/>
  <c r="DL66" i="2"/>
  <c r="AU110" i="2" s="1"/>
  <c r="DL62" i="2"/>
  <c r="AU106" i="2" s="1"/>
  <c r="DL59" i="2"/>
  <c r="AU103" i="2" s="1"/>
  <c r="DL67" i="2"/>
  <c r="AU111" i="2" s="1"/>
  <c r="DL58" i="2"/>
  <c r="AU102" i="2" s="1"/>
  <c r="DL64" i="2"/>
  <c r="AU108" i="2" s="1"/>
  <c r="DL68" i="2"/>
  <c r="AU112" i="2" s="1"/>
  <c r="DL63" i="2"/>
  <c r="AU107" i="2" s="1"/>
  <c r="CD59" i="2"/>
  <c r="CD58" i="2"/>
  <c r="CD61" i="2"/>
  <c r="CD65" i="2"/>
  <c r="CD62" i="2"/>
  <c r="CD66" i="2"/>
  <c r="CD67" i="2"/>
  <c r="CD68" i="2"/>
  <c r="CD60" i="2"/>
  <c r="CD69" i="2"/>
  <c r="CD64" i="2"/>
  <c r="CD63" i="2"/>
  <c r="DN60" i="2" a="1"/>
  <c r="DN60" i="2" s="1"/>
  <c r="DM60" i="2"/>
  <c r="DM69" i="2" l="1"/>
  <c r="DN66" i="2" a="1"/>
  <c r="DN66" i="2" s="1"/>
  <c r="DN69" i="2" a="1"/>
  <c r="DN69" i="2" s="1"/>
  <c r="DN61" i="2" a="1"/>
  <c r="DN61" i="2" s="1"/>
  <c r="DN65" i="2" a="1"/>
  <c r="DN65" i="2" s="1"/>
  <c r="DM63" i="2"/>
  <c r="DN62" i="2" a="1"/>
  <c r="DN62" i="2" s="1"/>
  <c r="DM62" i="2"/>
  <c r="DN68" i="2" a="1"/>
  <c r="DN68" i="2" s="1"/>
  <c r="DN59" i="2" a="1"/>
  <c r="DN59" i="2" s="1"/>
  <c r="DM68" i="2"/>
  <c r="DM64" i="2"/>
  <c r="DM58" i="2"/>
  <c r="DN64" i="2" a="1"/>
  <c r="DN64" i="2" s="1"/>
  <c r="DN58" i="2" a="1"/>
  <c r="DN58" i="2" s="1"/>
  <c r="DM59" i="2"/>
  <c r="DM67" i="2"/>
  <c r="AU101" i="2"/>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<sst xmlns="http://schemas.openxmlformats.org/spreadsheetml/2006/main" count="6810" uniqueCount="1516">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</sst>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Y46" sqref="AY4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2</v>
      </c>
      <c r="AD53" s="292">
        <v>0</v>
      </c>
    </row>
    <row r="54" spans="1:31" x14ac:dyDescent="0.2">
      <c r="AC54" s="292">
        <v>2</v>
      </c>
      <c r="AD54" s="292">
        <v>1</v>
      </c>
    </row>
    <row r="55" spans="1:31" x14ac:dyDescent="0.2">
      <c r="AC55" s="292">
        <v>0</v>
      </c>
      <c r="AD55" s="292">
        <v>2</v>
      </c>
    </row>
    <row r="56" spans="1:31" x14ac:dyDescent="0.2">
      <c r="AC56" s="292">
        <v>1</v>
      </c>
      <c r="AD56" s="292">
        <v>1</v>
      </c>
    </row>
    <row r="57" spans="1:31" x14ac:dyDescent="0.2">
      <c r="AC57" s="292">
        <v>0</v>
      </c>
      <c r="AD57" s="292">
        <v>3</v>
      </c>
    </row>
    <row r="60" spans="1:31" x14ac:dyDescent="0.2">
      <c r="AC60" s="292">
        <v>3</v>
      </c>
      <c r="AD60" s="292">
        <v>0</v>
      </c>
    </row>
    <row r="61" spans="1:31" x14ac:dyDescent="0.2">
      <c r="AC61" s="292">
        <v>1</v>
      </c>
      <c r="AD61" s="292">
        <v>2</v>
      </c>
    </row>
    <row r="62" spans="1:31" x14ac:dyDescent="0.2">
      <c r="AC62" s="292">
        <v>1</v>
      </c>
      <c r="AD62" s="292">
        <v>0</v>
      </c>
    </row>
    <row r="63" spans="1:31" x14ac:dyDescent="0.2">
      <c r="AC63" s="292">
        <v>0</v>
      </c>
      <c r="AD63" s="292">
        <v>0</v>
      </c>
    </row>
    <row r="64" spans="1:31" x14ac:dyDescent="0.2">
      <c r="AC64" s="292">
        <v>1</v>
      </c>
      <c r="AD64" s="292">
        <v>0</v>
      </c>
    </row>
    <row r="65" spans="29:30" x14ac:dyDescent="0.2">
      <c r="AC65" s="292">
        <v>1</v>
      </c>
      <c r="AD65" s="292">
        <v>0</v>
      </c>
    </row>
    <row r="68" spans="29:30" x14ac:dyDescent="0.2">
      <c r="AC68" s="292">
        <v>2</v>
      </c>
      <c r="AD68" s="292">
        <v>1</v>
      </c>
    </row>
    <row r="69" spans="29:30" x14ac:dyDescent="0.2">
      <c r="AC69" s="292">
        <v>0</v>
      </c>
      <c r="AD69" s="292">
        <v>1</v>
      </c>
    </row>
    <row r="70" spans="29:30" x14ac:dyDescent="0.2">
      <c r="AC70" s="292">
        <v>3</v>
      </c>
      <c r="AD70" s="292">
        <v>1</v>
      </c>
    </row>
    <row r="71" spans="29:30" x14ac:dyDescent="0.2">
      <c r="AC71" s="292">
        <v>1</v>
      </c>
      <c r="AD71" s="292">
        <v>2</v>
      </c>
    </row>
    <row r="72" spans="29:30" x14ac:dyDescent="0.2">
      <c r="AC72" s="292">
        <v>2</v>
      </c>
      <c r="AD72" s="292">
        <v>3</v>
      </c>
    </row>
    <row r="73" spans="29:30" x14ac:dyDescent="0.2">
      <c r="AC73" s="292">
        <v>1</v>
      </c>
      <c r="AD73" s="292">
        <v>0</v>
      </c>
    </row>
    <row r="76" spans="29:30" x14ac:dyDescent="0.2">
      <c r="AC76" s="292">
        <v>3</v>
      </c>
      <c r="AD76" s="292">
        <v>1</v>
      </c>
    </row>
    <row r="77" spans="29:30" x14ac:dyDescent="0.2">
      <c r="AC77" s="292">
        <v>2</v>
      </c>
      <c r="AD77" s="292">
        <v>0</v>
      </c>
    </row>
    <row r="78" spans="29:30" x14ac:dyDescent="0.2">
      <c r="AC78" s="292">
        <v>2</v>
      </c>
      <c r="AD78" s="292">
        <v>2</v>
      </c>
    </row>
    <row r="79" spans="29:30" x14ac:dyDescent="0.2">
      <c r="AC79" s="292">
        <v>1</v>
      </c>
      <c r="AD79" s="292">
        <v>3</v>
      </c>
    </row>
    <row r="80" spans="29:30" x14ac:dyDescent="0.2">
      <c r="AC80" s="292">
        <v>2</v>
      </c>
      <c r="AD80" s="292">
        <v>1</v>
      </c>
    </row>
    <row r="81" spans="29:30" x14ac:dyDescent="0.2">
      <c r="AC81" s="292">
        <v>0</v>
      </c>
      <c r="AD81" s="292">
        <v>4</v>
      </c>
    </row>
    <row r="84" spans="29:30" x14ac:dyDescent="0.2">
      <c r="AC84" s="292">
        <v>2</v>
      </c>
      <c r="AD84" s="292">
        <v>1</v>
      </c>
    </row>
    <row r="85" spans="29:30" x14ac:dyDescent="0.2">
      <c r="AC85" s="292">
        <v>1</v>
      </c>
      <c r="AD85" s="292">
        <v>3</v>
      </c>
    </row>
    <row r="86" spans="29:30" x14ac:dyDescent="0.2">
      <c r="AC86" s="292">
        <v>2</v>
      </c>
      <c r="AD86" s="292">
        <v>1</v>
      </c>
    </row>
    <row r="87" spans="29:30" x14ac:dyDescent="0.2">
      <c r="AC87" s="292">
        <v>1</v>
      </c>
      <c r="AD87" s="292">
        <v>1</v>
      </c>
    </row>
    <row r="88" spans="29:30" x14ac:dyDescent="0.2">
      <c r="AC88" s="292">
        <v>1</v>
      </c>
      <c r="AD88" s="292">
        <v>2</v>
      </c>
    </row>
    <row r="89" spans="29:30" x14ac:dyDescent="0.2">
      <c r="AC89" s="292">
        <v>1</v>
      </c>
      <c r="AD89" s="292">
        <v>0</v>
      </c>
    </row>
    <row r="92" spans="29:30" x14ac:dyDescent="0.2">
      <c r="AC92" s="292">
        <v>1</v>
      </c>
      <c r="AD92" s="292">
        <v>2</v>
      </c>
    </row>
    <row r="93" spans="29:30" x14ac:dyDescent="0.2">
      <c r="AC93" s="292">
        <v>1</v>
      </c>
      <c r="AD93" s="292">
        <v>1</v>
      </c>
    </row>
    <row r="94" spans="29:30" x14ac:dyDescent="0.2">
      <c r="AC94" s="292">
        <v>2</v>
      </c>
      <c r="AD94" s="292">
        <v>0</v>
      </c>
    </row>
    <row r="95" spans="29:30" x14ac:dyDescent="0.2">
      <c r="AC95" s="292">
        <v>1</v>
      </c>
      <c r="AD95" s="292">
        <v>3</v>
      </c>
    </row>
    <row r="96" spans="29:30" x14ac:dyDescent="0.2">
      <c r="AC96" s="292">
        <v>0</v>
      </c>
      <c r="AD96" s="292">
        <v>3</v>
      </c>
    </row>
    <row r="97" spans="29:30" x14ac:dyDescent="0.2">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 zoomScaleNormal="100" workbookViewId="0">
      <selection activeCell="AY46" sqref="AY4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4"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0"/>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0"/>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0"/>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1"/>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6</v>
      </c>
      <c r="BF11" s="16">
        <f t="shared" ca="1" si="17"/>
        <v>3</v>
      </c>
      <c r="BG11" s="16">
        <f t="shared" ca="1" si="18"/>
        <v>2</v>
      </c>
      <c r="BH11" s="16">
        <f t="shared" ca="1" si="19"/>
        <v>0</v>
      </c>
      <c r="BI11" s="16">
        <f t="shared" ca="1" si="20"/>
        <v>1</v>
      </c>
      <c r="BJ11" s="16">
        <f t="shared" ca="1" si="21"/>
        <v>5</v>
      </c>
      <c r="BK11" s="16">
        <f t="shared" ca="1" si="22"/>
        <v>3</v>
      </c>
      <c r="BL11" s="16">
        <f t="shared" ca="1" si="23"/>
        <v>2</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6</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0"/>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0"/>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6</v>
      </c>
      <c r="AN15" s="39">
        <f t="shared" ca="1" si="67"/>
        <v>3</v>
      </c>
      <c r="AO15" s="39">
        <f t="shared" ca="1" si="67"/>
        <v>2</v>
      </c>
      <c r="AP15" s="39">
        <f t="shared" ca="1" si="67"/>
        <v>0</v>
      </c>
      <c r="AQ15" s="39">
        <f t="shared" ca="1" si="67"/>
        <v>1</v>
      </c>
      <c r="AR15" s="39">
        <f t="shared" ca="1" si="67"/>
        <v>5</v>
      </c>
      <c r="AS15" s="39">
        <f t="shared" ca="1" si="67"/>
        <v>3</v>
      </c>
      <c r="AT15" s="74">
        <f t="shared" ca="1" si="67"/>
        <v>2</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0"/>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1"/>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6"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0"/>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30"/>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3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7</v>
      </c>
      <c r="BL23" s="16">
        <f t="shared" ca="1" si="23"/>
        <v>-5</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3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3</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31"/>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0"/>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0"/>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3</v>
      </c>
      <c r="BK31" s="16">
        <f t="shared" ca="1" si="22"/>
        <v>3</v>
      </c>
      <c r="BL31" s="16">
        <f t="shared" ca="1" si="23"/>
        <v>0</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3</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0"/>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0"/>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3</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1"/>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7</v>
      </c>
      <c r="AT41" s="48">
        <f t="shared" ca="1" si="115"/>
        <v>-5</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0"/>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0"/>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0"/>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0"/>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9"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0"/>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0"/>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4</v>
      </c>
      <c r="AN56" s="39">
        <f t="shared" ca="1" si="147"/>
        <v>3</v>
      </c>
      <c r="AO56" s="39">
        <f t="shared" ca="1" si="147"/>
        <v>1</v>
      </c>
      <c r="AP56" s="39">
        <f t="shared" ca="1" si="147"/>
        <v>1</v>
      </c>
      <c r="AQ56" s="39">
        <f t="shared" ca="1" si="147"/>
        <v>1</v>
      </c>
      <c r="AR56" s="39">
        <f t="shared" ca="1" si="147"/>
        <v>3</v>
      </c>
      <c r="AS56" s="39">
        <f t="shared" ca="1" si="147"/>
        <v>3</v>
      </c>
      <c r="AT56" s="43">
        <f t="shared" ca="1" si="147"/>
        <v>0</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1"/>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8</v>
      </c>
      <c r="BN58" s="16">
        <f t="shared" ref="BN58:BN69" ca="1" si="153">CF58</f>
        <v>8</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(9)</v>
      </c>
      <c r="BU58" s="16">
        <f t="shared" ref="BU58:BU69" ca="1" si="158">IF(BT58="-","-",BL58)</f>
        <v>0</v>
      </c>
      <c r="BV58" s="16">
        <f t="shared" ref="BV58:BV69" ca="1" si="159">BS58+COUNTIFS(BT$58:BT$69,BT58,BU$58:BU$69,"&gt;"&amp;BU58)</f>
        <v>5</v>
      </c>
      <c r="BW58" s="16" t="str">
        <f t="shared" ref="BW58:BW69" ca="1" si="160">IF(COUNTIF(BV$58:BV$69,BV58)=1,"-","Pos. "&amp;BV58&amp;" ("&amp;COUNTIF(BV$58:BV$69,BV58)&amp;")")</f>
        <v>Pos. 5 (4)</v>
      </c>
      <c r="BX58" s="16">
        <f t="shared" ref="BX58:BX69" ca="1" si="161">IF(BW58="-","-",BJ58)</f>
        <v>3</v>
      </c>
      <c r="BY58" s="16">
        <f t="shared" ref="BY58:BY69" ca="1" si="162">BV58+COUNTIFS(BW$58:BW$69,BW58,BX$58:BX$69,"&gt;"&amp;BX58)</f>
        <v>5</v>
      </c>
      <c r="BZ58" s="16" t="str">
        <f t="shared" ref="BZ58:BZ69" ca="1" si="163">IF(COUNTIF(BY$58:BY$69,BY58)=1,"-","Pos. "&amp;BY58&amp;" ("&amp;COUNTIF(BY$58:BY$69,BY58)&amp;")")</f>
        <v>Pos. 5 (4)</v>
      </c>
      <c r="CA58" s="16">
        <f t="shared" ref="CA58:CA69" ca="1" si="164">IF(BZ58="-","-",COUNTIF($BD$58:$BD$69,"&gt;"&amp;BD58))</f>
        <v>2</v>
      </c>
      <c r="CB58" s="16">
        <f t="shared" ref="CB58:CB69" ca="1" si="165">BY58+COUNTIFS(BZ$58:BZ$69,BZ58,CA$58:CA$69,"&gt;"&amp;CA58)</f>
        <v>8</v>
      </c>
      <c r="CC58" s="16"/>
      <c r="CD58" s="16">
        <f t="shared" ref="CD58:CD69" ca="1" si="166">IF(OR(INDEX($AW$102:$AW$113,MATCH($BD58,$AV$102:$AV$113,0))="",BZ58="-"),CB58,INDEX($AW$102:$AW$113,MATCH($BD58,$AV$102:$AV$113,0))+CB58/1000)</f>
        <v>8</v>
      </c>
      <c r="CE58" s="16">
        <f t="shared" ref="CE58:CE69" ca="1" si="167">IF(BZ58="-","-",COUNTIF(CD$58:CD$69,"&lt;"&amp;CD58))</f>
        <v>7</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(9)</v>
      </c>
      <c r="BU59" s="16">
        <f t="shared" ca="1" si="158"/>
        <v>1</v>
      </c>
      <c r="BV59" s="16">
        <f t="shared" ca="1" si="159"/>
        <v>1</v>
      </c>
      <c r="BW59" s="16" t="str">
        <f t="shared" ca="1" si="160"/>
        <v>Pos. 1 (4)</v>
      </c>
      <c r="BX59" s="16">
        <f t="shared" ca="1" si="161"/>
        <v>4</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Canadá</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11</v>
      </c>
      <c r="BN60" s="16">
        <f t="shared" ca="1" si="153"/>
        <v>11</v>
      </c>
      <c r="BO60" s="16" t="str">
        <f t="shared" si="154"/>
        <v>4C</v>
      </c>
      <c r="BP60" s="16"/>
      <c r="BQ60" s="16"/>
      <c r="BR60" s="16">
        <f t="shared" ca="1" si="155"/>
        <v>3</v>
      </c>
      <c r="BS60" s="16">
        <f t="shared" ca="1" si="156"/>
        <v>10</v>
      </c>
      <c r="BT60" s="16" t="str">
        <f t="shared" ca="1" si="157"/>
        <v>Pos. 10 (2)</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2</v>
      </c>
      <c r="DK60" s="16"/>
      <c r="DL60" s="16">
        <f t="shared" ca="1" si="170"/>
        <v>2</v>
      </c>
      <c r="DM60" s="16" t="str">
        <f t="shared" ca="1" si="171"/>
        <v>2.2</v>
      </c>
      <c r="DN60" s="16">
        <f t="array" aca="1" ref="DN60" ca="1">OFFSET(Horarios!$P$3,DJ60-1,0,DL60,1)</f>
        <v>2</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1</v>
      </c>
      <c r="BT61" s="16" t="str">
        <f t="shared" ca="1" si="157"/>
        <v>Pos. 1 (9)</v>
      </c>
      <c r="BU61" s="16">
        <f t="shared" ca="1" si="158"/>
        <v>1</v>
      </c>
      <c r="BV61" s="16">
        <f t="shared" ca="1" si="159"/>
        <v>1</v>
      </c>
      <c r="BW61" s="16" t="str">
        <f t="shared" ca="1" si="160"/>
        <v>Pos. 1 (4)</v>
      </c>
      <c r="BX61" s="16">
        <f t="shared" ca="1" si="161"/>
        <v>4</v>
      </c>
      <c r="BY61" s="16">
        <f t="shared" ca="1" si="162"/>
        <v>2</v>
      </c>
      <c r="BZ61" s="16" t="str">
        <f t="shared" ca="1" si="163"/>
        <v>Pos. 2 (2)</v>
      </c>
      <c r="CA61" s="16">
        <f t="shared" ca="1" si="164"/>
        <v>0</v>
      </c>
      <c r="CB61" s="16">
        <f t="shared" ca="1" si="165"/>
        <v>3</v>
      </c>
      <c r="CC61" s="16"/>
      <c r="CD61" s="16">
        <f t="shared" ca="1" si="166"/>
        <v>3</v>
      </c>
      <c r="CE61" s="16">
        <f t="shared" ca="1" si="167"/>
        <v>2</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0"/>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3</v>
      </c>
      <c r="BL62" s="16">
        <f t="shared" ca="1" si="151"/>
        <v>0</v>
      </c>
      <c r="BM62" s="16">
        <f t="shared" ca="1" si="152"/>
        <v>5</v>
      </c>
      <c r="BN62" s="16">
        <f t="shared" ca="1" si="153"/>
        <v>5</v>
      </c>
      <c r="BO62" s="16" t="str">
        <f t="shared" si="154"/>
        <v>4E</v>
      </c>
      <c r="BP62" s="16"/>
      <c r="BQ62" s="16"/>
      <c r="BR62" s="16">
        <f t="shared" ca="1" si="155"/>
        <v>4</v>
      </c>
      <c r="BS62" s="16">
        <f t="shared" ca="1" si="156"/>
        <v>1</v>
      </c>
      <c r="BT62" s="16" t="str">
        <f t="shared" ca="1" si="157"/>
        <v>Pos. 1 (9)</v>
      </c>
      <c r="BU62" s="16">
        <f t="shared" ca="1" si="158"/>
        <v>0</v>
      </c>
      <c r="BV62" s="16">
        <f t="shared" ca="1" si="159"/>
        <v>5</v>
      </c>
      <c r="BW62" s="16" t="str">
        <f t="shared" ca="1" si="160"/>
        <v>Pos. 5 (4)</v>
      </c>
      <c r="BX62" s="16">
        <f t="shared" ca="1" si="161"/>
        <v>3</v>
      </c>
      <c r="BY62" s="16">
        <f t="shared" ca="1" si="162"/>
        <v>5</v>
      </c>
      <c r="BZ62" s="16" t="str">
        <f t="shared" ca="1" si="163"/>
        <v>Pos. 5 (4)</v>
      </c>
      <c r="CA62" s="16">
        <f t="shared" ca="1" si="164"/>
        <v>8</v>
      </c>
      <c r="CB62" s="16">
        <f t="shared" ca="1" si="165"/>
        <v>5</v>
      </c>
      <c r="CC62" s="16"/>
      <c r="CD62" s="16">
        <f t="shared" ca="1" si="166"/>
        <v>5</v>
      </c>
      <c r="CE62" s="16">
        <f t="shared" ca="1" si="167"/>
        <v>4</v>
      </c>
      <c r="CF62" s="16">
        <f t="shared" ca="1" si="168"/>
        <v>5</v>
      </c>
      <c r="DJ62" s="16">
        <f t="shared" ca="1" si="169"/>
        <v>5</v>
      </c>
      <c r="DK62" s="16"/>
      <c r="DL62" s="16">
        <f t="shared" ca="1" si="170"/>
        <v>4</v>
      </c>
      <c r="DM62" s="16" t="str">
        <f t="shared" ca="1" si="171"/>
        <v>5.4</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0"/>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4</v>
      </c>
      <c r="BN63" s="16">
        <f t="shared" ca="1" si="153"/>
        <v>4</v>
      </c>
      <c r="BO63" s="16" t="str">
        <f t="shared" si="154"/>
        <v>4F</v>
      </c>
      <c r="BP63" s="16"/>
      <c r="BQ63" s="16"/>
      <c r="BR63" s="16">
        <f t="shared" ca="1" si="155"/>
        <v>4</v>
      </c>
      <c r="BS63" s="16">
        <f t="shared" ca="1" si="156"/>
        <v>1</v>
      </c>
      <c r="BT63" s="16" t="str">
        <f t="shared" ca="1" si="157"/>
        <v>Pos. 1 (9)</v>
      </c>
      <c r="BU63" s="16">
        <f t="shared" ca="1" si="158"/>
        <v>1</v>
      </c>
      <c r="BV63" s="16">
        <f t="shared" ca="1" si="159"/>
        <v>1</v>
      </c>
      <c r="BW63" s="16" t="str">
        <f t="shared" ca="1" si="160"/>
        <v>Pos. 1 (4)</v>
      </c>
      <c r="BX63" s="16">
        <f t="shared" ca="1" si="161"/>
        <v>3</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5</v>
      </c>
      <c r="DK63" s="16"/>
      <c r="DL63" s="16">
        <f t="shared" ca="1" si="170"/>
        <v>4</v>
      </c>
      <c r="DM63" s="16" t="str">
        <f t="shared" ca="1" si="171"/>
        <v>5.4</v>
      </c>
      <c r="DN63" s="16">
        <f t="array" aca="1" ref="DN63" ca="1">OFFSET(Horarios!$P$3,DJ63-1,0,DL63,1)</f>
        <v>5</v>
      </c>
      <c r="DO63" s="16"/>
      <c r="DP63" s="16">
        <v>6</v>
      </c>
      <c r="DQ63" s="16" t="str">
        <f t="shared" ca="1" si="172"/>
        <v>Egipto</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0"/>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4</v>
      </c>
      <c r="BF64" s="16">
        <f t="shared" ca="1" si="150"/>
        <v>3</v>
      </c>
      <c r="BG64" s="16">
        <f t="shared" ca="1" si="174"/>
        <v>1</v>
      </c>
      <c r="BH64" s="16">
        <f t="shared" ca="1" si="175"/>
        <v>1</v>
      </c>
      <c r="BI64" s="16">
        <f t="shared" ca="1" si="176"/>
        <v>1</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4</v>
      </c>
      <c r="BS64" s="16">
        <f t="shared" ca="1" si="156"/>
        <v>1</v>
      </c>
      <c r="BT64" s="16" t="str">
        <f t="shared" ca="1" si="157"/>
        <v>Pos. 1 (9)</v>
      </c>
      <c r="BU64" s="16">
        <f t="shared" ca="1" si="158"/>
        <v>0</v>
      </c>
      <c r="BV64" s="16">
        <f t="shared" ca="1" si="159"/>
        <v>5</v>
      </c>
      <c r="BW64" s="16" t="str">
        <f t="shared" ca="1" si="160"/>
        <v>Pos. 5 (4)</v>
      </c>
      <c r="BX64" s="16">
        <f t="shared" ca="1" si="161"/>
        <v>3</v>
      </c>
      <c r="BY64" s="16">
        <f t="shared" ca="1" si="162"/>
        <v>5</v>
      </c>
      <c r="BZ64" s="16" t="str">
        <f t="shared" ca="1" si="163"/>
        <v>Pos. 5 (4)</v>
      </c>
      <c r="CA64" s="16">
        <f t="shared" ca="1" si="164"/>
        <v>7</v>
      </c>
      <c r="CB64" s="16">
        <f t="shared" ca="1" si="165"/>
        <v>6</v>
      </c>
      <c r="CC64" s="16"/>
      <c r="CD64" s="16">
        <f t="shared" ca="1" si="166"/>
        <v>6</v>
      </c>
      <c r="CE64" s="16">
        <f t="shared" ca="1" si="167"/>
        <v>5</v>
      </c>
      <c r="CF64" s="16">
        <f t="shared" ca="1" si="168"/>
        <v>6</v>
      </c>
      <c r="DJ64" s="16">
        <f t="shared" ca="1" si="169"/>
        <v>5</v>
      </c>
      <c r="DK64" s="16"/>
      <c r="DL64" s="16">
        <f t="shared" ca="1" si="170"/>
        <v>4</v>
      </c>
      <c r="DM64" s="16" t="str">
        <f t="shared" ca="1" si="171"/>
        <v>5.4</v>
      </c>
      <c r="DN64" s="16">
        <f t="array" aca="1" ref="DN64" ca="1">OFFSET(Horarios!$P$3,DJ64-1,0,DL64,1)</f>
        <v>5</v>
      </c>
      <c r="DO64" s="16"/>
      <c r="DP64" s="16">
        <v>7</v>
      </c>
      <c r="DQ64" s="16" t="str">
        <f t="shared" ca="1" si="172"/>
        <v>RD Congo</v>
      </c>
    </row>
    <row r="65" spans="1:121" ht="16" customHeight="1" thickBot="1" x14ac:dyDescent="0.25">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1"/>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9</v>
      </c>
      <c r="BN65" s="16">
        <f t="shared" ca="1" si="153"/>
        <v>9</v>
      </c>
      <c r="BO65" s="16" t="str">
        <f t="shared" si="154"/>
        <v>4H</v>
      </c>
      <c r="BP65" s="16"/>
      <c r="BQ65" s="16"/>
      <c r="BR65" s="16">
        <f t="shared" ca="1" si="155"/>
        <v>4</v>
      </c>
      <c r="BS65" s="16">
        <f t="shared" ca="1" si="156"/>
        <v>1</v>
      </c>
      <c r="BT65" s="16" t="str">
        <f t="shared" ca="1" si="157"/>
        <v>Pos. 1 (9)</v>
      </c>
      <c r="BU65" s="16">
        <f t="shared" ca="1" si="158"/>
        <v>-2</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5</v>
      </c>
      <c r="DK65" s="16"/>
      <c r="DL65" s="16">
        <f t="shared" ca="1" si="170"/>
        <v>4</v>
      </c>
      <c r="DM65" s="16" t="str">
        <f t="shared" ca="1" si="171"/>
        <v>5.4</v>
      </c>
      <c r="DN65" s="16">
        <f t="array" aca="1" ref="DN65" ca="1">OFFSET(Horarios!$P$3,DJ65-1,0,DL65,1)</f>
        <v>5</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3</v>
      </c>
      <c r="BS66" s="16">
        <f t="shared" ca="1" si="156"/>
        <v>10</v>
      </c>
      <c r="BT66" s="16" t="str">
        <f t="shared" ca="1" si="157"/>
        <v>Pos. 10 (2)</v>
      </c>
      <c r="BU66" s="16">
        <f t="shared" ca="1" si="158"/>
        <v>-1</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(9)</v>
      </c>
      <c r="BU67" s="16">
        <f t="shared" ca="1" si="158"/>
        <v>1</v>
      </c>
      <c r="BV67" s="16">
        <f t="shared" ca="1" si="159"/>
        <v>1</v>
      </c>
      <c r="BW67" s="16" t="str">
        <f t="shared" ca="1" si="160"/>
        <v>Pos. 1 (4)</v>
      </c>
      <c r="BX67" s="16">
        <f t="shared" ca="1" si="161"/>
        <v>5</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Noruega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7</v>
      </c>
      <c r="BN68" s="16">
        <f t="shared" ca="1" si="153"/>
        <v>7</v>
      </c>
      <c r="BO68" s="16" t="str">
        <f t="shared" si="154"/>
        <v>4K</v>
      </c>
      <c r="BP68" s="16"/>
      <c r="BQ68" s="16"/>
      <c r="BR68" s="16">
        <f t="shared" ca="1" si="155"/>
        <v>4</v>
      </c>
      <c r="BS68" s="16">
        <f t="shared" ca="1" si="156"/>
        <v>1</v>
      </c>
      <c r="BT68" s="16" t="str">
        <f t="shared" ca="1" si="157"/>
        <v>Pos. 1 (9)</v>
      </c>
      <c r="BU68" s="16">
        <f t="shared" ca="1" si="158"/>
        <v>0</v>
      </c>
      <c r="BV68" s="16">
        <f t="shared" ca="1" si="159"/>
        <v>5</v>
      </c>
      <c r="BW68" s="16" t="str">
        <f t="shared" ca="1" si="160"/>
        <v>Pos. 5 (4)</v>
      </c>
      <c r="BX68" s="16">
        <f t="shared" ca="1" si="161"/>
        <v>3</v>
      </c>
      <c r="BY68" s="16">
        <f t="shared" ca="1" si="162"/>
        <v>5</v>
      </c>
      <c r="BZ68" s="16" t="str">
        <f t="shared" ca="1" si="163"/>
        <v>Pos. 5 (4)</v>
      </c>
      <c r="CA68" s="16">
        <f t="shared" ca="1" si="164"/>
        <v>3</v>
      </c>
      <c r="CB68" s="16">
        <f t="shared" ca="1" si="165"/>
        <v>7</v>
      </c>
      <c r="CC68" s="16"/>
      <c r="CD68" s="16">
        <f t="shared" ca="1" si="166"/>
        <v>7</v>
      </c>
      <c r="CE68" s="16">
        <f t="shared" ca="1" si="167"/>
        <v>6</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Haití</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0"/>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12</v>
      </c>
      <c r="BN69" s="16">
        <f t="shared" ca="1" si="153"/>
        <v>12</v>
      </c>
      <c r="BO69" s="16" t="str">
        <f t="shared" si="154"/>
        <v>4L</v>
      </c>
      <c r="BP69" s="16"/>
      <c r="BQ69" s="16"/>
      <c r="BR69" s="16">
        <f t="shared" ca="1" si="155"/>
        <v>2</v>
      </c>
      <c r="BS69" s="16">
        <f t="shared" ca="1" si="156"/>
        <v>12</v>
      </c>
      <c r="BT69" s="16" t="str">
        <f t="shared" ca="1" si="157"/>
        <v>-</v>
      </c>
      <c r="BU69" s="16" t="str">
        <f t="shared" ca="1" si="158"/>
        <v>-</v>
      </c>
      <c r="BV69" s="16">
        <f t="shared" ca="1" si="159"/>
        <v>12</v>
      </c>
      <c r="BW69" s="16" t="str">
        <f t="shared" ca="1" si="160"/>
        <v>-</v>
      </c>
      <c r="BX69" s="16" t="str">
        <f t="shared" ca="1" si="161"/>
        <v>-</v>
      </c>
      <c r="BY69" s="16">
        <f t="shared" ca="1" si="162"/>
        <v>12</v>
      </c>
      <c r="BZ69" s="16" t="str">
        <f t="shared" ca="1" si="163"/>
        <v>-</v>
      </c>
      <c r="CA69" s="16" t="str">
        <f t="shared" ca="1" si="164"/>
        <v>-</v>
      </c>
      <c r="CB69" s="16">
        <f t="shared" ca="1" si="165"/>
        <v>12</v>
      </c>
      <c r="CC69" s="16"/>
      <c r="CD69" s="16">
        <f t="shared" ca="1" si="166"/>
        <v>12</v>
      </c>
      <c r="CE69" s="16" t="str">
        <f t="shared" ca="1" si="167"/>
        <v>-</v>
      </c>
      <c r="CF69" s="16">
        <f t="shared" ca="1" si="168"/>
        <v>12</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Ghana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0"/>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0"/>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0"/>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9"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0"/>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0"/>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0"/>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0"/>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1"/>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3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0"/>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30"/>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3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31"/>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0"/>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0"/>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0"/>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0"/>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1"/>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ABDEFGJK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Canadá</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Canadá</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30"/>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Turquía</v>
      </c>
      <c r="AW104" s="215"/>
      <c r="AX104" s="170"/>
      <c r="AY104" s="270"/>
      <c r="AZ104" s="273" t="str">
        <f t="shared" ca="1" si="272"/>
        <v>1B - 3G</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Suecia</v>
      </c>
      <c r="AM105" s="576">
        <f t="shared" ca="1" si="269"/>
        <v>4</v>
      </c>
      <c r="AN105" s="86">
        <f t="shared" ca="1" si="269"/>
        <v>3</v>
      </c>
      <c r="AO105" s="86">
        <f t="shared" ca="1" si="269"/>
        <v>1</v>
      </c>
      <c r="AP105" s="86">
        <f t="shared" ca="1" si="269"/>
        <v>1</v>
      </c>
      <c r="AQ105" s="86">
        <f t="shared" ca="1" si="269"/>
        <v>1</v>
      </c>
      <c r="AR105" s="86">
        <f t="shared" ca="1" si="269"/>
        <v>3</v>
      </c>
      <c r="AS105" s="86">
        <f t="shared" ca="1" si="269"/>
        <v>2</v>
      </c>
      <c r="AT105" s="87">
        <f t="shared" ca="1" si="269"/>
        <v>1</v>
      </c>
      <c r="AU105" s="323">
        <f t="shared" ca="1" si="270"/>
        <v>1</v>
      </c>
      <c r="AV105" s="182" t="str">
        <f t="shared" ca="1" si="271"/>
        <v>Suecia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3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Costa de Marfil</v>
      </c>
      <c r="AM106" s="576">
        <f t="shared" ca="1" si="269"/>
        <v>4</v>
      </c>
      <c r="AN106" s="86">
        <f t="shared" ca="1" si="269"/>
        <v>3</v>
      </c>
      <c r="AO106" s="86">
        <f t="shared" ca="1" si="269"/>
        <v>1</v>
      </c>
      <c r="AP106" s="86">
        <f t="shared" ca="1" si="269"/>
        <v>1</v>
      </c>
      <c r="AQ106" s="86">
        <f t="shared" ca="1" si="269"/>
        <v>1</v>
      </c>
      <c r="AR106" s="86">
        <f t="shared" ca="1" si="269"/>
        <v>3</v>
      </c>
      <c r="AS106" s="86">
        <f t="shared" ca="1" si="269"/>
        <v>3</v>
      </c>
      <c r="AT106" s="87">
        <f t="shared" ca="1" si="269"/>
        <v>0</v>
      </c>
      <c r="AU106" s="323">
        <f t="shared" ca="1" si="270"/>
        <v>4</v>
      </c>
      <c r="AV106" s="182" t="str">
        <f t="shared" ca="1" si="271"/>
        <v>Costa de Marfil</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30"/>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Egipto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4</v>
      </c>
      <c r="AV107" s="182" t="str">
        <f t="shared" ca="1" si="271"/>
        <v>Egipto</v>
      </c>
      <c r="AW107" s="215"/>
      <c r="AX107" s="170"/>
      <c r="AY107" s="270"/>
      <c r="AZ107" s="273" t="str">
        <f t="shared" ca="1" si="272"/>
        <v>1G - 3A</v>
      </c>
      <c r="BA107" s="176"/>
      <c r="BF107" t="str">
        <f t="shared" ca="1" si="273"/>
        <v>E</v>
      </c>
      <c r="BG107">
        <f t="shared" ca="1" si="274"/>
        <v>4</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0"/>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RD Congo</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4</v>
      </c>
      <c r="AV108" s="182" t="str">
        <f t="shared" ca="1" si="271"/>
        <v>RD Congo</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Canadá</v>
      </c>
      <c r="O109" s="16"/>
      <c r="P109" s="16"/>
      <c r="Q109" s="16"/>
      <c r="R109" s="16"/>
      <c r="S109" s="16"/>
      <c r="T109" s="16"/>
      <c r="U109" s="16"/>
      <c r="V109" s="17"/>
      <c r="W109" s="63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República Checa</v>
      </c>
      <c r="AM109" s="576">
        <f t="shared" ca="1" si="269"/>
        <v>4</v>
      </c>
      <c r="AN109" s="86">
        <f t="shared" ca="1" si="269"/>
        <v>3</v>
      </c>
      <c r="AO109" s="86">
        <f t="shared" ca="1" si="269"/>
        <v>1</v>
      </c>
      <c r="AP109" s="86">
        <f t="shared" ca="1" si="269"/>
        <v>1</v>
      </c>
      <c r="AQ109" s="86">
        <f t="shared" ca="1" si="269"/>
        <v>1</v>
      </c>
      <c r="AR109" s="86">
        <f t="shared" ca="1" si="269"/>
        <v>3</v>
      </c>
      <c r="AS109" s="86">
        <f t="shared" ca="1" si="269"/>
        <v>3</v>
      </c>
      <c r="AT109" s="87">
        <f t="shared" ca="1" si="269"/>
        <v>0</v>
      </c>
      <c r="AU109" s="323">
        <f t="shared" ca="1" si="270"/>
        <v>4</v>
      </c>
      <c r="AV109" s="182" t="str">
        <f t="shared" ca="1" si="271"/>
        <v>República Checa</v>
      </c>
      <c r="AW109" s="215"/>
      <c r="AX109" s="170"/>
      <c r="AY109" s="270"/>
      <c r="AZ109" s="273" t="str">
        <f t="shared" ca="1" si="272"/>
        <v>1K - 3J</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Canadá</v>
      </c>
      <c r="AG110" s="320">
        <f t="shared" si="266"/>
        <v>0</v>
      </c>
      <c r="AH110" s="195">
        <v>81</v>
      </c>
      <c r="AI110" s="182">
        <v>9</v>
      </c>
      <c r="AJ110" s="42">
        <v>9</v>
      </c>
      <c r="AK110" s="589" t="str">
        <f t="array" aca="1" ref="AK110" ca="1">Ver_flag_visit</f>
        <v/>
      </c>
      <c r="AL110" s="85" t="str">
        <f t="shared" ca="1" si="268"/>
        <v>Cabo Verde</v>
      </c>
      <c r="AM110" s="576">
        <f t="shared" ca="1" si="269"/>
        <v>4</v>
      </c>
      <c r="AN110" s="86">
        <f t="shared" ca="1" si="269"/>
        <v>3</v>
      </c>
      <c r="AO110" s="86">
        <f t="shared" ca="1" si="269"/>
        <v>1</v>
      </c>
      <c r="AP110" s="86">
        <f t="shared" ca="1" si="269"/>
        <v>1</v>
      </c>
      <c r="AQ110" s="86">
        <f t="shared" ca="1" si="269"/>
        <v>1</v>
      </c>
      <c r="AR110" s="86">
        <f t="shared" ca="1" si="269"/>
        <v>1</v>
      </c>
      <c r="AS110" s="86">
        <f t="shared" ca="1" si="269"/>
        <v>3</v>
      </c>
      <c r="AT110" s="87">
        <f t="shared" ca="1" si="269"/>
        <v>-2</v>
      </c>
      <c r="AU110" s="323">
        <f t="shared" ca="1" si="270"/>
        <v>1</v>
      </c>
      <c r="AV110" s="182" t="str">
        <f t="shared" ca="1" si="271"/>
        <v>Cabo Verde</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0"/>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Noruega</v>
      </c>
      <c r="AM111" s="576">
        <f t="shared" ca="1" si="269"/>
        <v>3</v>
      </c>
      <c r="AN111" s="86">
        <f t="shared" ca="1" si="269"/>
        <v>3</v>
      </c>
      <c r="AO111" s="86">
        <f t="shared" ca="1" si="269"/>
        <v>1</v>
      </c>
      <c r="AP111" s="86">
        <f t="shared" ca="1" si="269"/>
        <v>0</v>
      </c>
      <c r="AQ111" s="86">
        <f t="shared" ca="1" si="269"/>
        <v>2</v>
      </c>
      <c r="AR111" s="86">
        <f t="shared" ca="1" si="269"/>
        <v>4</v>
      </c>
      <c r="AS111" s="86">
        <f t="shared" ca="1" si="269"/>
        <v>5</v>
      </c>
      <c r="AT111" s="87">
        <f t="shared" ca="1" si="269"/>
        <v>-1</v>
      </c>
      <c r="AU111" s="323">
        <f t="shared" ca="1" si="270"/>
        <v>1</v>
      </c>
      <c r="AV111" s="182" t="str">
        <f t="shared" ca="1" si="271"/>
        <v>Noruega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Haití</v>
      </c>
      <c r="AM112" s="576">
        <f t="shared" ca="1" si="269"/>
        <v>3</v>
      </c>
      <c r="AN112" s="86">
        <f t="shared" ca="1" si="269"/>
        <v>3</v>
      </c>
      <c r="AO112" s="86">
        <f t="shared" ca="1" si="269"/>
        <v>1</v>
      </c>
      <c r="AP112" s="86">
        <f t="shared" ca="1" si="269"/>
        <v>0</v>
      </c>
      <c r="AQ112" s="86">
        <f t="shared" ca="1" si="269"/>
        <v>2</v>
      </c>
      <c r="AR112" s="86">
        <f t="shared" ca="1" si="269"/>
        <v>3</v>
      </c>
      <c r="AS112" s="86">
        <f t="shared" ca="1" si="269"/>
        <v>6</v>
      </c>
      <c r="AT112" s="87">
        <f t="shared" ca="1" si="269"/>
        <v>-3</v>
      </c>
      <c r="AU112" s="323">
        <f t="shared" ca="1" si="270"/>
        <v>1</v>
      </c>
      <c r="AV112" s="182" t="str">
        <f t="shared" ca="1" si="271"/>
        <v>Haití</v>
      </c>
      <c r="AW112" s="215"/>
      <c r="AX112" s="170"/>
      <c r="AY112" s="269"/>
      <c r="AZ112" s="269"/>
      <c r="BA112" s="176"/>
      <c r="BI112" t="str">
        <f ca="1">IFERROR(CONCATENATE(BJ103,BJ104,BJ105,BJ106,BJ107,BJ108,BJ109,BJ110),"¿A/B/C/D/E/F/G/H/I/J/K/L?")</f>
        <v>ABDEFGJK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3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Ghana</v>
      </c>
      <c r="AM113" s="577">
        <f t="shared" ca="1" si="269"/>
        <v>2</v>
      </c>
      <c r="AN113" s="47">
        <f t="shared" ca="1" si="269"/>
        <v>3</v>
      </c>
      <c r="AO113" s="47">
        <f t="shared" ca="1" si="269"/>
        <v>0</v>
      </c>
      <c r="AP113" s="47">
        <f t="shared" ca="1" si="269"/>
        <v>2</v>
      </c>
      <c r="AQ113" s="47">
        <f t="shared" ca="1" si="269"/>
        <v>1</v>
      </c>
      <c r="AR113" s="47">
        <f t="shared" ca="1" si="269"/>
        <v>3</v>
      </c>
      <c r="AS113" s="47">
        <f t="shared" ca="1" si="269"/>
        <v>5</v>
      </c>
      <c r="AT113" s="48">
        <f t="shared" ca="1" si="269"/>
        <v>-2</v>
      </c>
      <c r="AU113" s="323">
        <f t="shared" ca="1" si="270"/>
        <v>1</v>
      </c>
      <c r="AV113" s="182" t="str">
        <f t="shared" ca="1" si="271"/>
        <v>Ghana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3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30"/>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3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5"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7703-ABBC-794B-BD5E-82D2B7399651}">
  <dimension ref="A1:D16"/>
  <sheetViews>
    <sheetView workbookViewId="0">
      <selection activeCell="K28" sqref="K28"/>
    </sheetView>
  </sheetViews>
  <sheetFormatPr baseColWidth="10" defaultRowHeight="15" x14ac:dyDescent="0.2"/>
  <sheetData>
    <row r="1" spans="1:4" x14ac:dyDescent="0.2">
      <c r="A1" t="s">
        <v>1381</v>
      </c>
      <c r="B1">
        <v>1</v>
      </c>
      <c r="C1">
        <v>3</v>
      </c>
      <c r="D1" t="s">
        <v>1335</v>
      </c>
    </row>
    <row r="2" spans="1:4" x14ac:dyDescent="0.2">
      <c r="A2" t="s">
        <v>1331</v>
      </c>
      <c r="B2">
        <v>2</v>
      </c>
      <c r="C2">
        <v>1</v>
      </c>
      <c r="D2" t="s">
        <v>1362</v>
      </c>
    </row>
    <row r="3" spans="1:4" x14ac:dyDescent="0.2">
      <c r="A3" t="s">
        <v>1320</v>
      </c>
      <c r="B3">
        <v>1</v>
      </c>
      <c r="C3">
        <v>0</v>
      </c>
      <c r="D3" t="s">
        <v>1378</v>
      </c>
    </row>
    <row r="4" spans="1:4" x14ac:dyDescent="0.2">
      <c r="A4" t="s">
        <v>1374</v>
      </c>
      <c r="B4">
        <v>1</v>
      </c>
      <c r="C4">
        <v>1</v>
      </c>
      <c r="D4" t="s">
        <v>1366</v>
      </c>
    </row>
    <row r="5" spans="1:4" x14ac:dyDescent="0.2">
      <c r="A5" t="s">
        <v>1342</v>
      </c>
      <c r="B5">
        <v>1</v>
      </c>
      <c r="C5">
        <v>3</v>
      </c>
      <c r="D5" t="s">
        <v>1370</v>
      </c>
    </row>
    <row r="6" spans="1:4" x14ac:dyDescent="0.2">
      <c r="A6" t="s">
        <v>1355</v>
      </c>
      <c r="B6">
        <v>2</v>
      </c>
      <c r="C6">
        <v>0</v>
      </c>
      <c r="D6" t="s">
        <v>1396</v>
      </c>
    </row>
    <row r="7" spans="1:4" x14ac:dyDescent="0.2">
      <c r="A7" t="s">
        <v>1368</v>
      </c>
      <c r="B7">
        <v>0</v>
      </c>
      <c r="C7">
        <v>1</v>
      </c>
      <c r="D7" t="s">
        <v>1348</v>
      </c>
    </row>
    <row r="8" spans="1:4" x14ac:dyDescent="0.2">
      <c r="A8" t="s">
        <v>1360</v>
      </c>
      <c r="B8">
        <v>1</v>
      </c>
      <c r="C8">
        <v>0</v>
      </c>
      <c r="D8" t="s">
        <v>1390</v>
      </c>
    </row>
    <row r="9" spans="1:4" x14ac:dyDescent="0.2">
      <c r="A9" t="s">
        <v>1329</v>
      </c>
      <c r="B9">
        <v>1</v>
      </c>
      <c r="C9">
        <v>1</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1</v>
      </c>
      <c r="C14">
        <v>0</v>
      </c>
      <c r="D14" t="s">
        <v>1349</v>
      </c>
    </row>
    <row r="15" spans="1:4" x14ac:dyDescent="0.2">
      <c r="A15" t="s">
        <v>1326</v>
      </c>
      <c r="B15">
        <v>3</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0C8D2-1F99-2741-88EA-B32F9B7F61F5}">
  <dimension ref="A1:D8"/>
  <sheetViews>
    <sheetView workbookViewId="0">
      <selection activeCell="D20" sqref="D20"/>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1</v>
      </c>
      <c r="C3">
        <v>1</v>
      </c>
      <c r="D3" t="s">
        <v>1370</v>
      </c>
    </row>
    <row r="4" spans="1:4" x14ac:dyDescent="0.2">
      <c r="A4" t="s">
        <v>1368</v>
      </c>
      <c r="B4">
        <v>1</v>
      </c>
      <c r="C4">
        <v>0</v>
      </c>
      <c r="D4" t="s">
        <v>1360</v>
      </c>
    </row>
    <row r="5" spans="1:4" x14ac:dyDescent="0.2">
      <c r="A5" t="s">
        <v>1379</v>
      </c>
      <c r="B5">
        <v>1</v>
      </c>
      <c r="C5">
        <v>2</v>
      </c>
      <c r="D5" t="s">
        <v>1353</v>
      </c>
    </row>
    <row r="6" spans="1:4" x14ac:dyDescent="0.2">
      <c r="A6" t="s">
        <v>758</v>
      </c>
      <c r="B6">
        <v>1</v>
      </c>
      <c r="C6">
        <v>1</v>
      </c>
      <c r="D6" t="s">
        <v>1329</v>
      </c>
    </row>
    <row r="7" spans="1:4" x14ac:dyDescent="0.2">
      <c r="A7" t="s">
        <v>1326</v>
      </c>
      <c r="B7">
        <v>1</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348A9-DACB-394D-9D1B-63D6264F42E1}">
  <dimension ref="A1:D4"/>
  <sheetViews>
    <sheetView tabSelected="1" workbookViewId="0">
      <selection activeCell="F10" sqref="F10"/>
    </sheetView>
  </sheetViews>
  <sheetFormatPr baseColWidth="10" defaultRowHeight="15" x14ac:dyDescent="0.2"/>
  <sheetData>
    <row r="1" spans="1:4" x14ac:dyDescent="0.2">
      <c r="A1" t="s">
        <v>1355</v>
      </c>
      <c r="B1">
        <v>1</v>
      </c>
      <c r="C1">
        <v>1</v>
      </c>
      <c r="D1" t="s">
        <v>1366</v>
      </c>
    </row>
    <row r="2" spans="1:4" x14ac:dyDescent="0.2">
      <c r="A2" t="s">
        <v>1353</v>
      </c>
      <c r="B2">
        <v>2</v>
      </c>
      <c r="C2">
        <v>1</v>
      </c>
      <c r="D2" t="s">
        <v>1329</v>
      </c>
    </row>
    <row r="3" spans="1:4" x14ac:dyDescent="0.2">
      <c r="A3" t="s">
        <v>1370</v>
      </c>
      <c r="B3">
        <v>1</v>
      </c>
      <c r="C3">
        <v>0</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Bosnia y Herzegovina</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Canadá</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Haití</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Escocia</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Irán</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Egipto</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Uruguay</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España</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Uruguay</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Bosnia y Herzegovina</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Canadá</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Egipto</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Irán</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España</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Austria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Sur-Bosnia y Herzegovina</v>
      </c>
      <c r="C164" s="342" t="str">
        <f ca="1">CONCATENATE(WORLDCUP!AA101,"-",WORLDCUP!AF101,"·",IF(WORLDCUP!AC101&gt;WORLDCUP!AD101,1,IF(WORLDCUP!AC101&lt;WORLDCUP!AD101,2,IF(AND(WORLDCUP!AC101=WORLDCUP!AD101,WORLDCUP!AC101&lt;&gt;"",WORLDCUP!AD101&lt;&gt;""),"X",0))),"|",WORLDCUP!AC101,"-",WORLDCUP!AD101)</f>
        <v>Corea del Sur-Bosnia y Herzegovina·0|-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Paraguay-Canadá</v>
      </c>
      <c r="C173" s="342" t="str">
        <f ca="1">CONCATENATE(WORLDCUP!AA110,"-",WORLDCUP!AF110,"·",IF(WORLDCUP!AC110&gt;WORLDCUP!AD110,1,IF(WORLDCUP!AC110&lt;WORLDCUP!AD110,2,IF(AND(WORLDCUP!AC110=WORLDCUP!AD110,WORLDCUP!AC110&lt;&gt;"",WORLDCUP!AD110&lt;&gt;""),"X",0))),"|",WORLDCUP!AC110,"-",WORLDCUP!AD110)</f>
        <v>Paraguay-Canadá·0|-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7-1</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Egi</v>
      </c>
      <c r="U6" s="38">
        <f ca="1">+INDEX(WORLDCUP!$AM$6:$AM$97,MATCH(X6,WORLDCUP!$AI$6:$AI$97,0))</f>
        <v>4</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Bos</v>
      </c>
      <c r="I13" s="38">
        <f ca="1">+INDEX(WORLDCUP!$AM$6:$AM$97,MATCH(L13,WORLDCUP!$AI$6:$AI$97,0))</f>
        <v>6</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Can</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Can</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3-3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-5</v>
      </c>
      <c r="K39" s="467" t="str">
        <f ca="1">+INDEX(WORLDCUP!$AR$6:$AR$97,MATCH(L39,WORLDCUP!$AI$6:$AI$97,0))&amp;"-"&amp;INDEX(WORLDCUP!$AS$6:$AS$97,MATCH(L39,WORLDCUP!$AI$6:$AI$97,0))</f>
        <v>2-7</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Egipto</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Egipto</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Egipto</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Egipto</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Egipto</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Egipto</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Egipto</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Egipto</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Egipto</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Egipto</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Egipto</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Egipto</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Egipto</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Egipto</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Egipto</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Egipto</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Egipto</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Egipto</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Canadá</v>
      </c>
      <c r="F47" s="9" t="str">
        <f ca="1">+WORLDCUP!BD63</f>
        <v>Suecia</v>
      </c>
      <c r="G47" s="9" t="str">
        <f ca="1">+WORLDCUP!BD66</f>
        <v>Noruega</v>
      </c>
      <c r="H47" s="9" t="str">
        <f ca="1">+WORLDCUP!BD64</f>
        <v>Egipto</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Canadá</v>
      </c>
      <c r="G48" s="9" t="str">
        <f ca="1">+WORLDCUP!BD65</f>
        <v>Cabo Verde</v>
      </c>
      <c r="H48" s="9" t="str">
        <f ca="1">+WORLDCUP!BD64</f>
        <v>Egipto</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Canadá</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Canadá</v>
      </c>
      <c r="F50" s="9" t="str">
        <f ca="1">+WORLDCUP!BD63</f>
        <v>Suecia</v>
      </c>
      <c r="G50" s="9" t="str">
        <f ca="1">+WORLDCUP!BD66</f>
        <v>Noruega</v>
      </c>
      <c r="H50" s="9" t="str">
        <f ca="1">+WORLDCUP!BD64</f>
        <v>Egipto</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Canadá</v>
      </c>
      <c r="F51" s="9" t="str">
        <f ca="1">+WORLDCUP!BD63</f>
        <v>Suecia</v>
      </c>
      <c r="G51" s="9" t="str">
        <f ca="1">+WORLDCUP!BD65</f>
        <v>Cabo Verde</v>
      </c>
      <c r="H51" s="9" t="str">
        <f ca="1">+WORLDCUP!BD64</f>
        <v>Egipto</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Canadá</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Canadá</v>
      </c>
      <c r="F53" s="9" t="str">
        <f ca="1">+WORLDCUP!BD63</f>
        <v>Suecia</v>
      </c>
      <c r="G53" s="9" t="str">
        <f ca="1">+WORLDCUP!BD65</f>
        <v>Cabo Verde</v>
      </c>
      <c r="H53" s="9" t="str">
        <f ca="1">+WORLDCUP!BD64</f>
        <v>Egipto</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Canadá</v>
      </c>
      <c r="F54" s="9" t="str">
        <f ca="1">+WORLDCUP!BD63</f>
        <v>Suecia</v>
      </c>
      <c r="G54" s="9" t="str">
        <f ca="1">+WORLDCUP!BD65</f>
        <v>Cabo Verde</v>
      </c>
      <c r="H54" s="9" t="str">
        <f ca="1">+WORLDCUP!BD64</f>
        <v>Egipto</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Canadá</v>
      </c>
      <c r="F55" s="9" t="str">
        <f ca="1">+WORLDCUP!BD61</f>
        <v>Turquía</v>
      </c>
      <c r="G55" s="9" t="str">
        <f ca="1">+WORLDCUP!BD66</f>
        <v>Noruega</v>
      </c>
      <c r="H55" s="9" t="str">
        <f ca="1">+WORLDCUP!BD64</f>
        <v>Egipto</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Canadá</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Egipto</v>
      </c>
      <c r="E57" s="9" t="str">
        <f ca="1">+WORLDCUP!BD59</f>
        <v>Canadá</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Canadá</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Canadá</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Canadá</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Canadá</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Canadá</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Canadá</v>
      </c>
      <c r="F63" s="9" t="str">
        <f ca="1">+WORLDCUP!BD61</f>
        <v>Turquía</v>
      </c>
      <c r="G63" s="9" t="str">
        <f ca="1">+WORLDCUP!BD66</f>
        <v>Noruega</v>
      </c>
      <c r="H63" s="9" t="str">
        <f ca="1">+WORLDCUP!BD64</f>
        <v>Egipto</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Canadá</v>
      </c>
      <c r="F64" s="9" t="str">
        <f ca="1">+WORLDCUP!BD61</f>
        <v>Turquía</v>
      </c>
      <c r="G64" s="9" t="str">
        <f ca="1">+WORLDCUP!BD65</f>
        <v>Cabo Verde</v>
      </c>
      <c r="H64" s="9" t="str">
        <f ca="1">+WORLDCUP!BD64</f>
        <v>Egipto</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Canadá</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Canadá</v>
      </c>
      <c r="F66" s="9" t="str">
        <f ca="1">+WORLDCUP!BD61</f>
        <v>Turquía</v>
      </c>
      <c r="G66" s="9" t="str">
        <f ca="1">+WORLDCUP!BD65</f>
        <v>Cabo Verde</v>
      </c>
      <c r="H66" s="9" t="str">
        <f ca="1">+WORLDCUP!BD64</f>
        <v>Egipto</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Canadá</v>
      </c>
      <c r="F67" s="9" t="str">
        <f ca="1">+WORLDCUP!BD61</f>
        <v>Turquía</v>
      </c>
      <c r="G67" s="9" t="str">
        <f ca="1">+WORLDCUP!BD65</f>
        <v>Cabo Verde</v>
      </c>
      <c r="H67" s="9" t="str">
        <f ca="1">+WORLDCUP!BD64</f>
        <v>Egipto</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Canadá</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Canadá</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Canadá</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Canadá</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Canadá</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Canadá</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Canadá</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Canadá</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Canadá</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Canadá</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Canadá</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Canadá</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Canadá</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Canadá</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Canadá</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Canadá</v>
      </c>
      <c r="F83" s="9" t="str">
        <f ca="1">+WORLDCUP!BD60</f>
        <v>Haití</v>
      </c>
      <c r="G83" s="9" t="str">
        <f ca="1">+WORLDCUP!BD66</f>
        <v>Noruega</v>
      </c>
      <c r="H83" s="9" t="str">
        <f ca="1">+WORLDCUP!BD64</f>
        <v>Egipto</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Canadá</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Egipto</v>
      </c>
      <c r="E85" s="9" t="str">
        <f ca="1">+WORLDCUP!BD59</f>
        <v>Canadá</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Canadá</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Canadá</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Canadá</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Canadá</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Canadá</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Canadá</v>
      </c>
      <c r="F91" s="9" t="str">
        <f ca="1">+WORLDCUP!BD60</f>
        <v>Haití</v>
      </c>
      <c r="G91" s="9" t="str">
        <f ca="1">+WORLDCUP!BD66</f>
        <v>Noruega</v>
      </c>
      <c r="H91" s="9" t="str">
        <f ca="1">+WORLDCUP!BD64</f>
        <v>Egipto</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Canadá</v>
      </c>
      <c r="F92" s="9" t="str">
        <f ca="1">+WORLDCUP!BD60</f>
        <v>Haití</v>
      </c>
      <c r="G92" s="9" t="str">
        <f ca="1">+WORLDCUP!BD65</f>
        <v>Cabo Verde</v>
      </c>
      <c r="H92" s="9" t="str">
        <f ca="1">+WORLDCUP!BD64</f>
        <v>Egipto</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Canadá</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Canadá</v>
      </c>
      <c r="F94" s="9" t="str">
        <f ca="1">+WORLDCUP!BD60</f>
        <v>Haití</v>
      </c>
      <c r="G94" s="9" t="str">
        <f ca="1">+WORLDCUP!BD65</f>
        <v>Cabo Verde</v>
      </c>
      <c r="H94" s="9" t="str">
        <f ca="1">+WORLDCUP!BD64</f>
        <v>Egipto</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Canadá</v>
      </c>
      <c r="F95" s="9" t="str">
        <f ca="1">+WORLDCUP!BD60</f>
        <v>Haití</v>
      </c>
      <c r="G95" s="9" t="str">
        <f ca="1">+WORLDCUP!BD65</f>
        <v>Cabo Verde</v>
      </c>
      <c r="H95" s="9" t="str">
        <f ca="1">+WORLDCUP!BD64</f>
        <v>Egipto</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Canadá</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Canadá</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Canadá</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Canadá</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Canadá</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Canadá</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Canadá</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Canadá</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Canadá</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Canadá</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Canadá</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Canadá</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Canadá</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Canadá</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Canadá</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Canadá</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Egipto</v>
      </c>
      <c r="E112" s="9" t="str">
        <f ca="1">+WORLDCUP!BD59</f>
        <v>Canadá</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Canadá</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Canadá</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Canadá</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Canadá</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Canadá</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Canadá</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Noruega</v>
      </c>
      <c r="E119" s="9" t="str">
        <f ca="1">+WORLDCUP!BD59</f>
        <v>Canadá</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Canadá</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Canadá</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Egipto</v>
      </c>
      <c r="E122" s="9" t="str">
        <f ca="1">+WORLDCUP!BD59</f>
        <v>Canadá</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Egipto</v>
      </c>
      <c r="E123" s="9" t="str">
        <f ca="1">+WORLDCUP!BD59</f>
        <v>Canadá</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Egipto</v>
      </c>
      <c r="E124" s="9" t="str">
        <f ca="1">+WORLDCUP!BD59</f>
        <v>Canadá</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Egipto</v>
      </c>
      <c r="E125" s="9" t="str">
        <f ca="1">+WORLDCUP!BD59</f>
        <v>Canadá</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Egipto</v>
      </c>
      <c r="E126" s="9" t="str">
        <f ca="1">+WORLDCUP!BD59</f>
        <v>Canadá</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Egipto</v>
      </c>
      <c r="E127" s="9" t="str">
        <f ca="1">+WORLDCUP!BD59</f>
        <v>Canadá</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Canadá</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Egipto</v>
      </c>
      <c r="E129" s="9" t="str">
        <f ca="1">+WORLDCUP!BD59</f>
        <v>Canadá</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Egipto</v>
      </c>
      <c r="E130" s="9" t="str">
        <f ca="1">+WORLDCUP!BD59</f>
        <v>Canadá</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Canadá</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Canadá</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Canadá</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Canadá</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Canadá</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Canadá</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Canadá</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Canadá</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Canadá</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Canadá</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Canadá</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Canadá</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Canadá</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Canadá</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Canadá</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Canadá</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Canadá</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Canadá</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Canadá</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Canadá</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Canadá</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Canadá</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Canadá</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Canadá</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Egipto</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Egipto</v>
      </c>
      <c r="E158" s="9" t="str">
        <f ca="1">+WORLDCUP!BD59</f>
        <v>Canadá</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Egipto</v>
      </c>
      <c r="E159" s="9" t="str">
        <f ca="1">+WORLDCUP!BD59</f>
        <v>Canadá</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Egipto</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Egipto</v>
      </c>
      <c r="E161" s="9" t="str">
        <f ca="1">+WORLDCUP!BD59</f>
        <v>Canadá</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Egipto</v>
      </c>
      <c r="E162" s="9" t="str">
        <f ca="1">+WORLDCUP!BD59</f>
        <v>Canadá</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Egipto</v>
      </c>
      <c r="E163" s="9" t="str">
        <f ca="1">+WORLDCUP!BD59</f>
        <v>Canadá</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Egipto</v>
      </c>
      <c r="E164" s="9" t="str">
        <f ca="1">+WORLDCUP!BD59</f>
        <v>Canadá</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Canadá</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Egipto</v>
      </c>
      <c r="E166" s="9" t="str">
        <f ca="1">+WORLDCUP!BD59</f>
        <v>Canadá</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Egipto</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Egipto</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Egipto</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Egipto</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Egipto</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Egipto</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Egipto</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Egipto</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Egipto</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Egipto</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Egipto</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Egipto</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Egipto</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Egipto</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Egipto</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Egipto</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Egipto</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Canadá</v>
      </c>
      <c r="F287" s="9" t="str">
        <f ca="1">+WORLDCUP!BD58</f>
        <v>República Checa</v>
      </c>
      <c r="G287" s="9" t="str">
        <f ca="1">+WORLDCUP!BD66</f>
        <v>Noruega</v>
      </c>
      <c r="H287" s="9" t="str">
        <f ca="1">+WORLDCUP!BD64</f>
        <v>Egipto</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Canadá</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Canadá</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Canadá</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Canadá</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Canadá</v>
      </c>
      <c r="F292" s="9" t="str">
        <f ca="1">+WORLDCUP!BD63</f>
        <v>Suecia</v>
      </c>
      <c r="G292" s="9" t="str">
        <f ca="1">+WORLDCUP!BD58</f>
        <v>República Checa</v>
      </c>
      <c r="H292" s="9" t="str">
        <f ca="1">+WORLDCUP!BD64</f>
        <v>Egipto</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Canadá</v>
      </c>
      <c r="F293" s="9" t="str">
        <f ca="1">+WORLDCUP!BD63</f>
        <v>Suecia</v>
      </c>
      <c r="G293" s="9" t="str">
        <f ca="1">+WORLDCUP!BD58</f>
        <v>República Checa</v>
      </c>
      <c r="H293" s="9" t="str">
        <f ca="1">+WORLDCUP!BD64</f>
        <v>Egipto</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Canadá</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Canadá</v>
      </c>
      <c r="F295" s="9" t="str">
        <f ca="1">+WORLDCUP!BD58</f>
        <v>República Checa</v>
      </c>
      <c r="G295" s="9" t="str">
        <f ca="1">+WORLDCUP!BD66</f>
        <v>Noruega</v>
      </c>
      <c r="H295" s="9" t="str">
        <f ca="1">+WORLDCUP!BD64</f>
        <v>Egipto</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Canadá</v>
      </c>
      <c r="F296" s="9" t="str">
        <f ca="1">+WORLDCUP!BD58</f>
        <v>República Checa</v>
      </c>
      <c r="G296" s="9" t="str">
        <f ca="1">+WORLDCUP!BD65</f>
        <v>Cabo Verde</v>
      </c>
      <c r="H296" s="9" t="str">
        <f ca="1">+WORLDCUP!BD64</f>
        <v>Egipto</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Canadá</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Canadá</v>
      </c>
      <c r="F298" s="9" t="str">
        <f ca="1">+WORLDCUP!BD58</f>
        <v>República Checa</v>
      </c>
      <c r="G298" s="9" t="str">
        <f ca="1">+WORLDCUP!BD65</f>
        <v>Cabo Verde</v>
      </c>
      <c r="H298" s="9" t="str">
        <f ca="1">+WORLDCUP!BD64</f>
        <v>Egipto</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Canadá</v>
      </c>
      <c r="F299" s="9" t="str">
        <f ca="1">+WORLDCUP!BD58</f>
        <v>República Checa</v>
      </c>
      <c r="G299" s="9" t="str">
        <f ca="1">+WORLDCUP!BD65</f>
        <v>Cabo Verde</v>
      </c>
      <c r="H299" s="9" t="str">
        <f ca="1">+WORLDCUP!BD64</f>
        <v>Egipto</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Canadá</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Canadá</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Canadá</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Canadá</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Canadá</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Canadá</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Canadá</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Canadá</v>
      </c>
      <c r="F307" s="9" t="str">
        <f ca="1">+WORLDCUP!BD63</f>
        <v>Suecia</v>
      </c>
      <c r="G307" s="9" t="str">
        <f ca="1">+WORLDCUP!BD58</f>
        <v>República Checa</v>
      </c>
      <c r="H307" s="9" t="str">
        <f ca="1">+WORLDCUP!BD64</f>
        <v>Egipto</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Canadá</v>
      </c>
      <c r="F308" s="9" t="str">
        <f ca="1">+WORLDCUP!BD63</f>
        <v>Suecia</v>
      </c>
      <c r="G308" s="9" t="str">
        <f ca="1">+WORLDCUP!BD58</f>
        <v>República Checa</v>
      </c>
      <c r="H308" s="9" t="str">
        <f ca="1">+WORLDCUP!BD64</f>
        <v>Egipto</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Canadá</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Canadá</v>
      </c>
      <c r="F310" s="9" t="str">
        <f ca="1">+WORLDCUP!BD63</f>
        <v>Suecia</v>
      </c>
      <c r="G310" s="9" t="str">
        <f ca="1">+WORLDCUP!BD58</f>
        <v>República Checa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Canadá</v>
      </c>
      <c r="F311" s="9" t="str">
        <f ca="1">+WORLDCUP!BD63</f>
        <v>Suecia</v>
      </c>
      <c r="G311" s="9" t="str">
        <f ca="1">+WORLDCUP!BD58</f>
        <v>República Checa</v>
      </c>
      <c r="H311" s="9" t="str">
        <f ca="1">+WORLDCUP!BD64</f>
        <v>Egipto</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Canadá</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Canadá</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Canadá</v>
      </c>
      <c r="F314" s="9" t="str">
        <f ca="1">+WORLDCUP!BD63</f>
        <v>Suecia</v>
      </c>
      <c r="G314" s="9" t="str">
        <f ca="1">+WORLDCUP!BD58</f>
        <v>República Checa</v>
      </c>
      <c r="H314" s="9" t="str">
        <f ca="1">+WORLDCUP!BD64</f>
        <v>Egipto</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Canadá</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Canadá</v>
      </c>
      <c r="F316" s="9" t="str">
        <f ca="1">+WORLDCUP!BD61</f>
        <v>Turquía</v>
      </c>
      <c r="G316" s="9" t="str">
        <f ca="1">+WORLDCUP!BD58</f>
        <v>República Checa</v>
      </c>
      <c r="H316" s="9" t="str">
        <f ca="1">+WORLDCUP!BD64</f>
        <v>Egipto</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Canadá</v>
      </c>
      <c r="F317" s="9" t="str">
        <f ca="1">+WORLDCUP!BD61</f>
        <v>Turquía</v>
      </c>
      <c r="G317" s="9" t="str">
        <f ca="1">+WORLDCUP!BD58</f>
        <v>República Checa</v>
      </c>
      <c r="H317" s="9" t="str">
        <f ca="1">+WORLDCUP!BD64</f>
        <v>Egipto</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Egipto</v>
      </c>
      <c r="E318" s="9" t="str">
        <f ca="1">+WORLDCUP!BD59</f>
        <v>Canadá</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Canadá</v>
      </c>
      <c r="F319" s="9" t="str">
        <f ca="1">+WORLDCUP!BD61</f>
        <v>Turquía</v>
      </c>
      <c r="G319" s="9" t="str">
        <f ca="1">+WORLDCUP!BD58</f>
        <v>República Checa</v>
      </c>
      <c r="H319" s="9" t="str">
        <f ca="1">+WORLDCUP!BD64</f>
        <v>Egipto</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Canadá</v>
      </c>
      <c r="F320" s="9" t="str">
        <f ca="1">+WORLDCUP!BD61</f>
        <v>Turquía</v>
      </c>
      <c r="G320" s="9" t="str">
        <f ca="1">+WORLDCUP!BD58</f>
        <v>República Checa</v>
      </c>
      <c r="H320" s="9" t="str">
        <f ca="1">+WORLDCUP!BD64</f>
        <v>Egipto</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Canadá</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Canadá</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Noruega</v>
      </c>
      <c r="E323" s="9" t="str">
        <f ca="1">+WORLDCUP!BD59</f>
        <v>Canadá</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Canadá</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Canadá</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Canadá</v>
      </c>
      <c r="F326" s="9" t="str">
        <f ca="1">+WORLDCUP!BD61</f>
        <v>Turquía</v>
      </c>
      <c r="G326" s="9" t="str">
        <f ca="1">+WORLDCUP!BD58</f>
        <v>República Checa</v>
      </c>
      <c r="H326" s="9" t="str">
        <f ca="1">+WORLDCUP!BD64</f>
        <v>Egipto</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Egipto</v>
      </c>
      <c r="E327" s="9" t="str">
        <f ca="1">+WORLDCUP!BD59</f>
        <v>Canadá</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Canadá</v>
      </c>
      <c r="F328" s="9" t="str">
        <f ca="1">+WORLDCUP!BD61</f>
        <v>Turquía</v>
      </c>
      <c r="G328" s="9" t="str">
        <f ca="1">+WORLDCUP!BD58</f>
        <v>República Checa</v>
      </c>
      <c r="H328" s="9" t="str">
        <f ca="1">+WORLDCUP!BD64</f>
        <v>Egipto</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Canadá</v>
      </c>
      <c r="F329" s="9" t="str">
        <f ca="1">+WORLDCUP!BD61</f>
        <v>Turquía</v>
      </c>
      <c r="G329" s="9" t="str">
        <f ca="1">+WORLDCUP!BD58</f>
        <v>República Checa</v>
      </c>
      <c r="H329" s="9" t="str">
        <f ca="1">+WORLDCUP!BD64</f>
        <v>Egipto</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Canadá</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Canadá</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Canadá</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Canadá</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Canadá</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Canadá</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Canadá</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Canadá</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Canadá</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Canadá</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Canadá</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Canadá</v>
      </c>
      <c r="F341" s="9" t="str">
        <f ca="1">+WORLDCUP!BD61</f>
        <v>Turquía</v>
      </c>
      <c r="G341" s="9" t="str">
        <f ca="1">+WORLDCUP!BD58</f>
        <v>República Checa</v>
      </c>
      <c r="H341" s="9" t="str">
        <f ca="1">+WORLDCUP!BD64</f>
        <v>Egipto</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Canadá</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Canadá</v>
      </c>
      <c r="F343" s="9" t="str">
        <f ca="1">+WORLDCUP!BD61</f>
        <v>Turquía</v>
      </c>
      <c r="G343" s="9" t="str">
        <f ca="1">+WORLDCUP!BD58</f>
        <v>República Checa</v>
      </c>
      <c r="H343" s="9" t="str">
        <f ca="1">+WORLDCUP!BD64</f>
        <v>Egipto</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Canadá</v>
      </c>
      <c r="F344" s="9" t="str">
        <f ca="1">+WORLDCUP!BD61</f>
        <v>Turquía</v>
      </c>
      <c r="G344" s="9" t="str">
        <f ca="1">+WORLDCUP!BD58</f>
        <v>República Checa</v>
      </c>
      <c r="H344" s="9" t="str">
        <f ca="1">+WORLDCUP!BD64</f>
        <v>Egipto</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Canadá</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Canadá</v>
      </c>
      <c r="F346" s="9" t="str">
        <f ca="1">+WORLDCUP!BD61</f>
        <v>Turquía</v>
      </c>
      <c r="G346" s="9" t="str">
        <f ca="1">+WORLDCUP!BD58</f>
        <v>República Checa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Canadá</v>
      </c>
      <c r="F347" s="9" t="str">
        <f ca="1">+WORLDCUP!BD61</f>
        <v>Turquía</v>
      </c>
      <c r="G347" s="9" t="str">
        <f ca="1">+WORLDCUP!BD58</f>
        <v>República Checa</v>
      </c>
      <c r="H347" s="9" t="str">
        <f ca="1">+WORLDCUP!BD64</f>
        <v>Egipto</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Canadá</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Canadá</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Canadá</v>
      </c>
      <c r="F350" s="9" t="str">
        <f ca="1">+WORLDCUP!BD61</f>
        <v>Turquía</v>
      </c>
      <c r="G350" s="9" t="str">
        <f ca="1">+WORLDCUP!BD58</f>
        <v>República Checa</v>
      </c>
      <c r="H350" s="9" t="str">
        <f ca="1">+WORLDCUP!BD64</f>
        <v>Egipto</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Canadá</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Canadá</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Canadá</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Canadá</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Canadá</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Canadá</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Canadá</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Canadá</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Canadá</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Canadá</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Canadá</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Canadá</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1</v>
      </c>
      <c r="C363" s="9" t="str">
        <f ca="1">+WORLDCUP!BD62</f>
        <v>Costa de Marfil</v>
      </c>
      <c r="D363" s="9" t="str">
        <f ca="1">+WORLDCUP!BD64</f>
        <v>Egipto</v>
      </c>
      <c r="E363" s="9" t="str">
        <f ca="1">+WORLDCUP!BD59</f>
        <v>Canadá</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Canadá</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Canadá</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Canadá</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Canadá</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Canadá</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Canadá</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Canadá</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Canadá</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Canadá</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Canadá</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Egipto</v>
      </c>
      <c r="E374" s="9" t="str">
        <f ca="1">+WORLDCUP!BD59</f>
        <v>Canadá</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Canadá</v>
      </c>
      <c r="F375" s="9" t="str">
        <f ca="1">+WORLDCUP!BD60</f>
        <v>Haití</v>
      </c>
      <c r="G375" s="9" t="str">
        <f ca="1">+WORLDCUP!BD58</f>
        <v>República Checa</v>
      </c>
      <c r="H375" s="9" t="str">
        <f ca="1">+WORLDCUP!BD64</f>
        <v>Egipto</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Canadá</v>
      </c>
      <c r="F376" s="9" t="str">
        <f ca="1">+WORLDCUP!BD60</f>
        <v>Haití</v>
      </c>
      <c r="G376" s="9" t="str">
        <f ca="1">+WORLDCUP!BD58</f>
        <v>República Checa</v>
      </c>
      <c r="H376" s="9" t="str">
        <f ca="1">+WORLDCUP!BD64</f>
        <v>Egipto</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Canadá</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Canadá</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Noruega</v>
      </c>
      <c r="E379" s="9" t="str">
        <f ca="1">+WORLDCUP!BD59</f>
        <v>Canadá</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Canadá</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Canadá</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Canadá</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Egipto</v>
      </c>
      <c r="E383" s="9" t="str">
        <f ca="1">+WORLDCUP!BD59</f>
        <v>Canadá</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Canadá</v>
      </c>
      <c r="F384" s="9" t="str">
        <f ca="1">+WORLDCUP!BD63</f>
        <v>Suecia</v>
      </c>
      <c r="G384" s="9" t="str">
        <f ca="1">+WORLDCUP!BD58</f>
        <v>República Checa</v>
      </c>
      <c r="H384" s="9" t="str">
        <f ca="1">+WORLDCUP!BD64</f>
        <v>Egipto</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Canadá</v>
      </c>
      <c r="F385" s="9" t="str">
        <f ca="1">+WORLDCUP!BD63</f>
        <v>Suecia</v>
      </c>
      <c r="G385" s="9" t="str">
        <f ca="1">+WORLDCUP!BD58</f>
        <v>República Checa</v>
      </c>
      <c r="H385" s="9" t="str">
        <f ca="1">+WORLDCUP!BD64</f>
        <v>Egipto</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Canadá</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Canadá</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Canadá</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Canadá</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Canadá</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Canadá</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Canadá</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Canadá</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Canadá</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Canadá</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Canadá</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Canadá</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Canadá</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Canadá</v>
      </c>
      <c r="F399" s="9" t="str">
        <f ca="1">+WORLDCUP!BD60</f>
        <v>Haití</v>
      </c>
      <c r="G399" s="9" t="str">
        <f ca="1">+WORLDCUP!BD58</f>
        <v>República Checa</v>
      </c>
      <c r="H399" s="9" t="str">
        <f ca="1">+WORLDCUP!BD64</f>
        <v>Egipto</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Canadá</v>
      </c>
      <c r="F400" s="9" t="str">
        <f ca="1">+WORLDCUP!BD60</f>
        <v>Haití</v>
      </c>
      <c r="G400" s="9" t="str">
        <f ca="1">+WORLDCUP!BD58</f>
        <v>República Checa</v>
      </c>
      <c r="H400" s="9" t="str">
        <f ca="1">+WORLDCUP!BD64</f>
        <v>Egipto</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Canadá</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Canadá</v>
      </c>
      <c r="F402" s="9" t="str">
        <f ca="1">+WORLDCUP!BD60</f>
        <v>Haití</v>
      </c>
      <c r="G402" s="9" t="str">
        <f ca="1">+WORLDCUP!BD58</f>
        <v>República Checa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Canadá</v>
      </c>
      <c r="F403" s="9" t="str">
        <f ca="1">+WORLDCUP!BD60</f>
        <v>Haití</v>
      </c>
      <c r="G403" s="9" t="str">
        <f ca="1">+WORLDCUP!BD58</f>
        <v>República Checa</v>
      </c>
      <c r="H403" s="9" t="str">
        <f ca="1">+WORLDCUP!BD64</f>
        <v>Egipto</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Canadá</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Canadá</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Canadá</v>
      </c>
      <c r="F406" s="9" t="str">
        <f ca="1">+WORLDCUP!BD60</f>
        <v>Haití</v>
      </c>
      <c r="G406" s="9" t="str">
        <f ca="1">+WORLDCUP!BD58</f>
        <v>República Checa</v>
      </c>
      <c r="H406" s="9" t="str">
        <f ca="1">+WORLDCUP!BD64</f>
        <v>Egipto</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Canadá</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Canadá</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Canadá</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Canadá</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Canadá</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Canadá</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Canadá</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Canadá</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Canadá</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Canadá</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Canadá</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Canadá</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Canadá</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Canadá</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Canadá</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Canadá</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Canadá</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Canadá</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Canadá</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Canadá</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Canadá</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Canadá</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Noruega</v>
      </c>
      <c r="E429" s="9" t="str">
        <f ca="1">+WORLDCUP!BD59</f>
        <v>Canadá</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Canadá</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Canadá</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Canadá</v>
      </c>
      <c r="F432" s="9" t="str">
        <f ca="1">+WORLDCUP!BD61</f>
        <v>Turquía</v>
      </c>
      <c r="G432" s="9" t="str">
        <f ca="1">+WORLDCUP!BD58</f>
        <v>República Checa</v>
      </c>
      <c r="H432" s="9" t="str">
        <f ca="1">+WORLDCUP!BD64</f>
        <v>Egipto</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Egipto</v>
      </c>
      <c r="E433" s="9" t="str">
        <f ca="1">+WORLDCUP!BD59</f>
        <v>Canadá</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Canadá</v>
      </c>
      <c r="F434" s="9" t="str">
        <f ca="1">+WORLDCUP!BD61</f>
        <v>Turquía</v>
      </c>
      <c r="G434" s="9" t="str">
        <f ca="1">+WORLDCUP!BD58</f>
        <v>República Checa</v>
      </c>
      <c r="H434" s="9" t="str">
        <f ca="1">+WORLDCUP!BD64</f>
        <v>Egipto</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Canadá</v>
      </c>
      <c r="F435" s="9" t="str">
        <f ca="1">+WORLDCUP!BD61</f>
        <v>Turquía</v>
      </c>
      <c r="G435" s="9" t="str">
        <f ca="1">+WORLDCUP!BD58</f>
        <v>República Checa</v>
      </c>
      <c r="H435" s="9" t="str">
        <f ca="1">+WORLDCUP!BD64</f>
        <v>Egipto</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Canadá</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Canadá</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Canadá</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Canadá</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Canadá</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Canadá</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Canadá</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Noruega</v>
      </c>
      <c r="E443" s="9" t="str">
        <f ca="1">+WORLDCUP!BD59</f>
        <v>Canadá</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Canadá</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Canadá</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Canadá</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Canadá</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Canadá</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Canadá</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Canadá</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Canadá</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Egipto</v>
      </c>
      <c r="E452" s="9" t="str">
        <f ca="1">+WORLDCUP!BD59</f>
        <v>Canadá</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Egipto</v>
      </c>
      <c r="E453" s="9" t="str">
        <f ca="1">+WORLDCUP!BD59</f>
        <v>Canadá</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Egipto</v>
      </c>
      <c r="E454" s="9" t="str">
        <f ca="1">+WORLDCUP!BD59</f>
        <v>Canadá</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Egipto</v>
      </c>
      <c r="E455" s="9" t="str">
        <f ca="1">+WORLDCUP!BD59</f>
        <v>Canadá</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Egipto</v>
      </c>
      <c r="E456" s="9" t="str">
        <f ca="1">+WORLDCUP!BD59</f>
        <v>Canadá</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Egipto</v>
      </c>
      <c r="E457" s="9" t="str">
        <f ca="1">+WORLDCUP!BD59</f>
        <v>Canadá</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Egipto</v>
      </c>
      <c r="E458" s="9" t="str">
        <f ca="1">+WORLDCUP!BD59</f>
        <v>Canadá</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Canadá</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Canadá</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Canadá</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Canadá</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Canadá</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Canadá</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Canadá</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Canadá</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Canadá</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Canadá</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Canadá</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Canadá</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Canadá</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Canadá</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Canadá</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Canadá</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Canadá</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Canadá</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Canadá</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Canadá</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Canadá</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Canadá</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Canadá</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Canadá</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Canadá</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Canadá</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Canadá</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Canadá</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Canadá</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Canadá</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Canadá</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Canadá</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Canadá</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Egipto</v>
      </c>
      <c r="E492" s="9" t="str">
        <f ca="1">+WORLDCUP!BD59</f>
        <v>Canadá</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Egipto</v>
      </c>
      <c r="E493" s="9" t="str">
        <f ca="1">+WORLDCUP!BD59</f>
        <v>Canadá</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Egipto</v>
      </c>
      <c r="E494" s="9" t="str">
        <f ca="1">+WORLDCUP!BD59</f>
        <v>Canadá</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Egipto</v>
      </c>
      <c r="E495" s="9" t="str">
        <f ca="1">+WORLDCUP!BD59</f>
        <v>Canadá</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Canadá</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2026-07-09T20:28:08Z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
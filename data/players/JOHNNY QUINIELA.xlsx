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9"/>
  <workbookPr codeName="ThisWorkbook" defaultThemeVersion="124226"/>
  <mc:AlternateContent xmlns:mc="http://schemas.openxmlformats.org/markup-compatibility/2006">
    <mc:Choice Requires="x15">
      <x15ac:absPath xmlns:x15ac="http://schemas.microsoft.com/office/spreadsheetml/2010/11/ac" url="C:\Users\Alejandro Ortega\Desktop\"/>
    </mc:Choice>
  </mc:AlternateContent>
  <xr:revisionPtr revIDLastSave="0" documentId="8_{8E4A5920-1FF8-3044-A8EE-899CB27EA4A1}" xr6:coauthVersionLast="47" xr6:coauthVersionMax="47" xr10:uidLastSave="{00000000-0000-0000-0000-000000000000}"/>
  <bookViews>
    <workbookView xWindow="-108" yWindow="-108" windowWidth="23256" windowHeight="12456"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c r="EU6165" i="7"/>
  <c r="G248" i="5"/>
  <c r="EV6164" i="7"/>
  <c r="H247" i="5"/>
  <c r="EU6164" i="7"/>
  <c r="G247" i="5"/>
  <c r="EV6163" i="7"/>
  <c r="H246" i="5"/>
  <c r="EU6163" i="7"/>
  <c r="G246" i="5"/>
  <c r="EV6162" i="7"/>
  <c r="H245" i="5"/>
  <c r="EU6162" i="7"/>
  <c r="G245" i="5"/>
  <c r="EV6161" i="7"/>
  <c r="H244" i="5"/>
  <c r="EU6161" i="7"/>
  <c r="G244" i="5"/>
  <c r="EV6160" i="7"/>
  <c r="EU6160" i="7"/>
  <c r="EV6159" i="7"/>
  <c r="EU6159" i="7"/>
  <c r="G242" i="5"/>
  <c r="EV6158" i="7"/>
  <c r="H241" i="5"/>
  <c r="EU6158" i="7"/>
  <c r="G241" i="5"/>
  <c r="EV6157" i="7"/>
  <c r="H240" i="5"/>
  <c r="EU6157" i="7"/>
  <c r="G240" i="5"/>
  <c r="EV6156" i="7"/>
  <c r="H239" i="5"/>
  <c r="EU6156" i="7"/>
  <c r="G239" i="5"/>
  <c r="EV6155" i="7"/>
  <c r="H238" i="5"/>
  <c r="EU6155" i="7"/>
  <c r="G238" i="5"/>
  <c r="EV6154" i="7"/>
  <c r="EU6154" i="7"/>
  <c r="EV6153" i="7"/>
  <c r="H236" i="5"/>
  <c r="EU6153" i="7"/>
  <c r="G236" i="5"/>
  <c r="EV6152" i="7"/>
  <c r="H235" i="5"/>
  <c r="EU6152" i="7"/>
  <c r="G235" i="5"/>
  <c r="EV6151" i="7"/>
  <c r="H234" i="5"/>
  <c r="EU6151" i="7"/>
  <c r="G234" i="5"/>
  <c r="EV6150" i="7"/>
  <c r="H233" i="5"/>
  <c r="EU6150" i="7"/>
  <c r="G233" i="5"/>
  <c r="D233" i="5"/>
  <c r="EV6149" i="7"/>
  <c r="H232" i="5"/>
  <c r="EU6149" i="7"/>
  <c r="G232" i="5"/>
  <c r="EV6148" i="7"/>
  <c r="EU6148" i="7"/>
  <c r="G231" i="5"/>
  <c r="EV6147" i="7"/>
  <c r="H230" i="5"/>
  <c r="EU6147" i="7"/>
  <c r="G230" i="5"/>
  <c r="EV6146" i="7"/>
  <c r="H229" i="5"/>
  <c r="EU6146" i="7"/>
  <c r="G229" i="5"/>
  <c r="D229" i="5"/>
  <c r="EV6145" i="7"/>
  <c r="H228" i="5"/>
  <c r="EU6145" i="7"/>
  <c r="G228" i="5"/>
  <c r="D228" i="5"/>
  <c r="EZ6144" i="7"/>
  <c r="L27" i="8"/>
  <c r="EU6144" i="7"/>
  <c r="G227" i="5"/>
  <c r="EV6143" i="7"/>
  <c r="H226" i="5"/>
  <c r="EU6143" i="7"/>
  <c r="G226" i="5"/>
  <c r="EV6142" i="7"/>
  <c r="H225" i="5"/>
  <c r="EU6142" i="7"/>
  <c r="EV6141" i="7"/>
  <c r="H224" i="5"/>
  <c r="EU6141" i="7"/>
  <c r="G224" i="5"/>
  <c r="D224" i="5"/>
  <c r="EV6140" i="7"/>
  <c r="H223" i="5"/>
  <c r="EU6140" i="7"/>
  <c r="G223" i="5"/>
  <c r="EV6139" i="7"/>
  <c r="H222" i="5"/>
  <c r="EU6139" i="7"/>
  <c r="G222" i="5"/>
  <c r="EV6138" i="7"/>
  <c r="H221" i="5"/>
  <c r="EU6138" i="7"/>
  <c r="G221" i="5"/>
  <c r="EV6137" i="7"/>
  <c r="H220" i="5"/>
  <c r="EU6137" i="7"/>
  <c r="G220" i="5"/>
  <c r="EV6136" i="7"/>
  <c r="H219" i="5"/>
  <c r="EU6136" i="7"/>
  <c r="EV6135" i="7"/>
  <c r="H218" i="5"/>
  <c r="EU6135" i="7"/>
  <c r="G218" i="5"/>
  <c r="EV6134" i="7"/>
  <c r="H217" i="5"/>
  <c r="EU6134" i="7"/>
  <c r="G217" i="5"/>
  <c r="EV6133" i="7"/>
  <c r="H216" i="5"/>
  <c r="EU6133" i="7"/>
  <c r="G216" i="5"/>
  <c r="D216" i="5"/>
  <c r="EV6132" i="7"/>
  <c r="H215" i="5"/>
  <c r="EU6132" i="7"/>
  <c r="G215" i="5"/>
  <c r="EV6131" i="7"/>
  <c r="H214" i="5"/>
  <c r="EU6131" i="7"/>
  <c r="G214" i="5"/>
  <c r="EV6130" i="7"/>
  <c r="H213" i="5"/>
  <c r="EU6130" i="7"/>
  <c r="EV6129" i="7"/>
  <c r="H212" i="5"/>
  <c r="EU6129" i="7"/>
  <c r="G212" i="5"/>
  <c r="D212" i="5"/>
  <c r="EV6128" i="7"/>
  <c r="H211" i="5"/>
  <c r="EU6128" i="7"/>
  <c r="G211" i="5"/>
  <c r="D211" i="5"/>
  <c r="EV6127" i="7"/>
  <c r="H210" i="5"/>
  <c r="EU6127" i="7"/>
  <c r="G210" i="5"/>
  <c r="EV6126" i="7"/>
  <c r="H209" i="5"/>
  <c r="EU6126" i="7"/>
  <c r="G209" i="5"/>
  <c r="EV6125" i="7"/>
  <c r="H208" i="5"/>
  <c r="EU6125" i="7"/>
  <c r="G208" i="5"/>
  <c r="D208" i="5"/>
  <c r="EV6124" i="7"/>
  <c r="H207" i="5"/>
  <c r="EU6124" i="7"/>
  <c r="EV6123" i="7"/>
  <c r="H206" i="5"/>
  <c r="EU6123" i="7"/>
  <c r="G206" i="5"/>
  <c r="EV6122" i="7"/>
  <c r="H205" i="5"/>
  <c r="EU6122" i="7"/>
  <c r="G205" i="5"/>
  <c r="EV6121" i="7"/>
  <c r="H204" i="5"/>
  <c r="EU6121" i="7"/>
  <c r="G204" i="5"/>
  <c r="D204" i="5"/>
  <c r="EV6120" i="7"/>
  <c r="H203" i="5"/>
  <c r="EU6120" i="7"/>
  <c r="G203" i="5"/>
  <c r="D203" i="5"/>
  <c r="EV6119" i="7"/>
  <c r="H202" i="5"/>
  <c r="EU6119" i="7"/>
  <c r="G202" i="5"/>
  <c r="D202" i="5"/>
  <c r="Y91" i="7"/>
  <c r="X91" i="7"/>
  <c r="W91" i="7"/>
  <c r="V91" i="7"/>
  <c r="U91" i="7"/>
  <c r="O87" i="7"/>
  <c r="FA6144" i="7"/>
  <c r="EV6144" i="7"/>
  <c r="H227" i="5"/>
  <c r="N87" i="7"/>
  <c r="L2" i="6"/>
  <c r="D256" i="5"/>
  <c r="D252" i="5"/>
  <c r="L2" i="9"/>
  <c r="D182" i="5"/>
  <c r="B122" i="3"/>
  <c r="D180" i="5"/>
  <c r="D173" i="5"/>
  <c r="D172" i="5"/>
  <c r="B112" i="3"/>
  <c r="D170" i="5"/>
  <c r="B110" i="3"/>
  <c r="D169" i="5"/>
  <c r="D168" i="5"/>
  <c r="D166" i="5"/>
  <c r="B106" i="3"/>
  <c r="D154" i="5"/>
  <c r="D152" i="5"/>
  <c r="B92" i="3"/>
  <c r="D144" i="5"/>
  <c r="D143" i="5"/>
  <c r="D142" i="5"/>
  <c r="B82" i="3"/>
  <c r="D141" i="5"/>
  <c r="B81" i="3"/>
  <c r="D140" i="5"/>
  <c r="D137" i="5"/>
  <c r="B243" i="3"/>
  <c r="D125" i="5"/>
  <c r="B5" i="3"/>
  <c r="D122" i="5"/>
  <c r="D116" i="5"/>
  <c r="D115" i="5"/>
  <c r="D113" i="5"/>
  <c r="D112" i="5"/>
  <c r="E54" i="3"/>
  <c r="D110" i="5"/>
  <c r="D108" i="5"/>
  <c r="E4" i="3"/>
  <c r="D91" i="5"/>
  <c r="L15" i="7"/>
  <c r="D89" i="5"/>
  <c r="L13" i="7"/>
  <c r="D81" i="5"/>
  <c r="B16" i="7"/>
  <c r="D80" i="5"/>
  <c r="B15" i="7"/>
  <c r="D79" i="5"/>
  <c r="B3" i="7"/>
  <c r="D76" i="5"/>
  <c r="D75" i="5"/>
  <c r="D73" i="5"/>
  <c r="D61" i="5"/>
  <c r="D58" i="5"/>
  <c r="D51" i="5"/>
  <c r="D50" i="5"/>
  <c r="D49" i="5"/>
  <c r="D48" i="5"/>
  <c r="AM148" i="2"/>
  <c r="D46" i="5"/>
  <c r="D43" i="5"/>
  <c r="AA160" i="2"/>
  <c r="D31" i="5"/>
  <c r="D29" i="5"/>
  <c r="W129" i="2"/>
  <c r="D22" i="5"/>
  <c r="D21" i="5"/>
  <c r="D19" i="5"/>
  <c r="D18" i="5"/>
  <c r="D17" i="5"/>
  <c r="D15" i="5"/>
  <c r="C7" i="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c r="Q24" i="4"/>
  <c r="P24" i="4"/>
  <c r="E24" i="4"/>
  <c r="D24" i="4"/>
  <c r="AA151" i="2"/>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c r="I27" i="4"/>
  <c r="I35" i="4"/>
  <c r="I43" i="4"/>
  <c r="U3" i="4"/>
  <c r="U11" i="4"/>
  <c r="U19" i="4"/>
  <c r="U27" i="4"/>
  <c r="U35" i="4"/>
  <c r="U43" i="4"/>
  <c r="E11" i="4"/>
  <c r="D11" i="4"/>
  <c r="Q8" i="4"/>
  <c r="P8" i="4"/>
  <c r="E8" i="4"/>
  <c r="D8" i="4"/>
  <c r="Q7" i="4"/>
  <c r="P7" i="4"/>
  <c r="E7" i="4"/>
  <c r="D7" i="4"/>
  <c r="Q6" i="4"/>
  <c r="P6" i="4"/>
  <c r="E6" i="4"/>
  <c r="D6" i="4"/>
  <c r="Q5" i="4"/>
  <c r="P5" i="4"/>
  <c r="E5" i="4"/>
  <c r="D5" i="4"/>
  <c r="Q4" i="4"/>
  <c r="P4" i="4"/>
  <c r="E4" i="4"/>
  <c r="D4" i="4"/>
  <c r="Q3" i="4"/>
  <c r="P3" i="4"/>
  <c r="E3" i="4"/>
  <c r="D3" i="4"/>
  <c r="AA147" i="2"/>
  <c r="AF147" i="2"/>
  <c r="C247" i="3"/>
  <c r="B247" i="3"/>
  <c r="C240" i="3"/>
  <c r="AF143" i="2"/>
  <c r="C237" i="3"/>
  <c r="E200" i="3"/>
  <c r="D113" i="2"/>
  <c r="M127" i="2"/>
  <c r="AA127" i="2"/>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C252" i="3"/>
  <c r="AG151" i="2"/>
  <c r="C251" i="3"/>
  <c r="AA150" i="2"/>
  <c r="AG150" i="2"/>
  <c r="C250" i="3"/>
  <c r="D147" i="2"/>
  <c r="AG147" i="2"/>
  <c r="C241" i="3"/>
  <c r="Z147" i="2"/>
  <c r="D139" i="2"/>
  <c r="N147" i="2"/>
  <c r="D138" i="2"/>
  <c r="M147" i="2"/>
  <c r="H147" i="2"/>
  <c r="AA143" i="2"/>
  <c r="Z143" i="2"/>
  <c r="N143" i="2"/>
  <c r="M143" i="2"/>
  <c r="D143" i="2"/>
  <c r="AG143" i="2"/>
  <c r="W141" i="2"/>
  <c r="AG139" i="2"/>
  <c r="D134" i="2"/>
  <c r="N139" i="2"/>
  <c r="AF139" i="2"/>
  <c r="C229" i="3"/>
  <c r="Z139" i="2"/>
  <c r="H139" i="2"/>
  <c r="AG138" i="2"/>
  <c r="D132" i="2"/>
  <c r="N138" i="2"/>
  <c r="AF138" i="2"/>
  <c r="C228" i="3"/>
  <c r="Z138" i="2"/>
  <c r="H138" i="2"/>
  <c r="AG134" i="2"/>
  <c r="D126" i="2"/>
  <c r="M134" i="2"/>
  <c r="AA134" i="2"/>
  <c r="Z134" i="2"/>
  <c r="D133" i="2"/>
  <c r="AG133" i="2"/>
  <c r="Z133" i="2"/>
  <c r="D123" i="2"/>
  <c r="N133" i="2"/>
  <c r="AF133" i="2"/>
  <c r="C216" i="3"/>
  <c r="M139" i="2"/>
  <c r="AA139" i="2"/>
  <c r="Z132" i="2"/>
  <c r="D125" i="2"/>
  <c r="N132" i="2"/>
  <c r="AF132" i="2"/>
  <c r="C215" i="3"/>
  <c r="D124" i="2"/>
  <c r="M132" i="2"/>
  <c r="AA132" i="2"/>
  <c r="C211" i="3"/>
  <c r="AG132" i="2"/>
  <c r="D131" i="2"/>
  <c r="AG131" i="2"/>
  <c r="Z131" i="2"/>
  <c r="M138" i="2"/>
  <c r="AA138" i="2"/>
  <c r="AF130" i="2"/>
  <c r="Z127" i="2"/>
  <c r="D116" i="2"/>
  <c r="N127" i="2"/>
  <c r="AF127" i="2"/>
  <c r="C197" i="3"/>
  <c r="D127" i="2"/>
  <c r="AG126" i="2"/>
  <c r="Z126" i="2"/>
  <c r="D114" i="2"/>
  <c r="N126" i="2"/>
  <c r="AF126" i="2"/>
  <c r="C196" i="3"/>
  <c r="AG125" i="2"/>
  <c r="Z125" i="2"/>
  <c r="AG124" i="2"/>
  <c r="Z124" i="2"/>
  <c r="AG123" i="2"/>
  <c r="D107" i="2"/>
  <c r="M123" i="2"/>
  <c r="AA123" i="2"/>
  <c r="Z123" i="2"/>
  <c r="D108" i="2"/>
  <c r="N123" i="2"/>
  <c r="AF123" i="2"/>
  <c r="C193" i="3"/>
  <c r="Z122" i="2"/>
  <c r="D122" i="2"/>
  <c r="AG122" i="2"/>
  <c r="Z121" i="2"/>
  <c r="D104" i="2"/>
  <c r="N121" i="2"/>
  <c r="AF120" i="2"/>
  <c r="C190" i="3"/>
  <c r="D121" i="2"/>
  <c r="AG121" i="2"/>
  <c r="D120" i="2"/>
  <c r="AG120" i="2"/>
  <c r="Z120" i="2"/>
  <c r="N131" i="2"/>
  <c r="AF131" i="2"/>
  <c r="C214" i="3"/>
  <c r="AG116" i="2"/>
  <c r="Z116" i="2"/>
  <c r="AL115" i="2"/>
  <c r="Z115" i="2"/>
  <c r="D115" i="2"/>
  <c r="Z114" i="2"/>
  <c r="AG114" i="2"/>
  <c r="AK113" i="2" a="1"/>
  <c r="AK113" i="2"/>
  <c r="AG113" i="2"/>
  <c r="Z113" i="2"/>
  <c r="AK112" i="2" a="1"/>
  <c r="AK112" i="2"/>
  <c r="Z112" i="2"/>
  <c r="D112" i="2"/>
  <c r="AK111" i="2" a="1"/>
  <c r="AK111" i="2"/>
  <c r="D111" i="2"/>
  <c r="AG111" i="2"/>
  <c r="Z111" i="2"/>
  <c r="N124" i="2"/>
  <c r="AF124" i="2"/>
  <c r="C194" i="3"/>
  <c r="AK110" i="2" a="1"/>
  <c r="AK110" i="2"/>
  <c r="Z110" i="2"/>
  <c r="D110" i="2"/>
  <c r="AK109" i="2" a="1"/>
  <c r="AK109" i="2"/>
  <c r="Z109" i="2"/>
  <c r="D109" i="2"/>
  <c r="AK108" i="2" a="1"/>
  <c r="AK108" i="2"/>
  <c r="AG108" i="2"/>
  <c r="Z108" i="2"/>
  <c r="AK107" i="2" a="1"/>
  <c r="AK107" i="2"/>
  <c r="AG107" i="2"/>
  <c r="Z107" i="2"/>
  <c r="AK106" i="2" a="1"/>
  <c r="AK106" i="2"/>
  <c r="Z106" i="2"/>
  <c r="D106" i="2"/>
  <c r="AK105" i="2" a="1"/>
  <c r="AK105" i="2"/>
  <c r="Z105" i="2"/>
  <c r="D105" i="2"/>
  <c r="AK104" i="2" a="1"/>
  <c r="AK104" i="2"/>
  <c r="AG104" i="2"/>
  <c r="Z104" i="2"/>
  <c r="AK103" i="2" a="1"/>
  <c r="AK103" i="2"/>
  <c r="Z103" i="2"/>
  <c r="D103" i="2"/>
  <c r="AK102" i="2" a="1"/>
  <c r="AK102" i="2"/>
  <c r="D102" i="2"/>
  <c r="AG102" i="2"/>
  <c r="Z102" i="2"/>
  <c r="M122" i="2"/>
  <c r="AA122" i="2"/>
  <c r="Z101" i="2"/>
  <c r="D101" i="2"/>
  <c r="AK97" i="2" a="1"/>
  <c r="AK97" i="2"/>
  <c r="AI97" i="2"/>
  <c r="AG97" i="2"/>
  <c r="AE97" i="2" a="1"/>
  <c r="AE97" i="2"/>
  <c r="AB97" i="2" a="1"/>
  <c r="AB97" i="2"/>
  <c r="D97" i="2"/>
  <c r="AK96" i="2" a="1"/>
  <c r="AK96" i="2"/>
  <c r="AI96" i="2"/>
  <c r="AG96" i="2"/>
  <c r="AE96" i="2" a="1"/>
  <c r="AE96" i="2"/>
  <c r="AB96" i="2" a="1"/>
  <c r="AB96" i="2"/>
  <c r="D96" i="2"/>
  <c r="AK95" i="2" a="1"/>
  <c r="AK95" i="2"/>
  <c r="AI95" i="2"/>
  <c r="AG95" i="2"/>
  <c r="AE95" i="2" a="1"/>
  <c r="AE95" i="2"/>
  <c r="AB95" i="2" a="1"/>
  <c r="AB95" i="2"/>
  <c r="D95" i="2"/>
  <c r="AK94" i="2" a="1"/>
  <c r="AK94" i="2"/>
  <c r="AI94" i="2"/>
  <c r="AG94" i="2"/>
  <c r="AE94" i="2" a="1"/>
  <c r="AE94" i="2"/>
  <c r="AB94" i="2" a="1"/>
  <c r="AB94" i="2"/>
  <c r="D94" i="2"/>
  <c r="AG93" i="2"/>
  <c r="AE93" i="2" a="1"/>
  <c r="AE93" i="2"/>
  <c r="AB93" i="2" a="1"/>
  <c r="AB93" i="2"/>
  <c r="D93" i="2"/>
  <c r="AG92" i="2"/>
  <c r="AE92" i="2" a="1"/>
  <c r="AE92" i="2"/>
  <c r="AB92" i="2" a="1"/>
  <c r="AB92" i="2"/>
  <c r="D92" i="2"/>
  <c r="C92" i="2"/>
  <c r="AK89" i="2" a="1"/>
  <c r="AK89" i="2"/>
  <c r="AI89" i="2"/>
  <c r="AG89" i="2"/>
  <c r="AE89" i="2" a="1"/>
  <c r="AE89" i="2"/>
  <c r="AB89" i="2" a="1"/>
  <c r="AB89" i="2"/>
  <c r="D89" i="2"/>
  <c r="AK88" i="2" a="1"/>
  <c r="AK88" i="2"/>
  <c r="AI88" i="2"/>
  <c r="AG88" i="2"/>
  <c r="AE88" i="2" a="1"/>
  <c r="AE88" i="2"/>
  <c r="AB88" i="2" a="1"/>
  <c r="AB88" i="2"/>
  <c r="D88" i="2"/>
  <c r="AK87" i="2" a="1"/>
  <c r="AK87" i="2"/>
  <c r="AI87" i="2"/>
  <c r="AG87" i="2"/>
  <c r="AE87" i="2" a="1"/>
  <c r="AE87" i="2"/>
  <c r="AB87" i="2" a="1"/>
  <c r="AB87" i="2"/>
  <c r="D87" i="2"/>
  <c r="AK86" i="2" a="1"/>
  <c r="AK86" i="2"/>
  <c r="AI86" i="2"/>
  <c r="AG86" i="2"/>
  <c r="AE86" i="2" a="1"/>
  <c r="AE86" i="2"/>
  <c r="AB86" i="2" a="1"/>
  <c r="AB86" i="2"/>
  <c r="D86" i="2"/>
  <c r="AG85" i="2"/>
  <c r="AE85" i="2" a="1"/>
  <c r="AE85" i="2"/>
  <c r="AB85" i="2" a="1"/>
  <c r="AB85" i="2"/>
  <c r="D85" i="2"/>
  <c r="AG84" i="2"/>
  <c r="AE84" i="2" a="1"/>
  <c r="AE84" i="2"/>
  <c r="AB84" i="2" a="1"/>
  <c r="AB84" i="2"/>
  <c r="D84" i="2"/>
  <c r="C84" i="2"/>
  <c r="AK81" i="2" a="1"/>
  <c r="AK81" i="2"/>
  <c r="AI81" i="2"/>
  <c r="AG81" i="2"/>
  <c r="AE81" i="2" a="1"/>
  <c r="AE81" i="2"/>
  <c r="AB81" i="2" a="1"/>
  <c r="AB81" i="2"/>
  <c r="D81" i="2"/>
  <c r="AK80" i="2" a="1"/>
  <c r="AK80" i="2"/>
  <c r="AI80" i="2"/>
  <c r="AG80" i="2"/>
  <c r="AE80" i="2" a="1"/>
  <c r="AE80" i="2"/>
  <c r="AB80" i="2" a="1"/>
  <c r="AB80" i="2"/>
  <c r="D80" i="2"/>
  <c r="AK79" i="2" a="1"/>
  <c r="AK79" i="2"/>
  <c r="AI79" i="2"/>
  <c r="AG79" i="2"/>
  <c r="AE79" i="2" a="1"/>
  <c r="AE79" i="2"/>
  <c r="AB79" i="2" a="1"/>
  <c r="AB79" i="2"/>
  <c r="D79" i="2"/>
  <c r="AK78" i="2" a="1"/>
  <c r="AK78" i="2"/>
  <c r="AI78" i="2"/>
  <c r="AG78" i="2"/>
  <c r="AE78" i="2" a="1"/>
  <c r="AE78" i="2"/>
  <c r="AB78" i="2" a="1"/>
  <c r="AB78" i="2"/>
  <c r="D78" i="2"/>
  <c r="AG77" i="2"/>
  <c r="AE77" i="2" a="1"/>
  <c r="AE77" i="2"/>
  <c r="AB77" i="2" a="1"/>
  <c r="AB77" i="2"/>
  <c r="D77" i="2"/>
  <c r="AG76" i="2"/>
  <c r="AE76" i="2" a="1"/>
  <c r="AE76" i="2"/>
  <c r="AB76" i="2" a="1"/>
  <c r="AB76" i="2"/>
  <c r="D76" i="2"/>
  <c r="C76" i="2"/>
  <c r="AK73" i="2" a="1"/>
  <c r="AK73" i="2"/>
  <c r="AI73" i="2"/>
  <c r="AG73" i="2"/>
  <c r="AE73" i="2" a="1"/>
  <c r="AE73" i="2"/>
  <c r="AB73" i="2" a="1"/>
  <c r="AB73" i="2"/>
  <c r="D73" i="2"/>
  <c r="AK72" i="2" a="1"/>
  <c r="AK72" i="2"/>
  <c r="AI72" i="2"/>
  <c r="AG72" i="2"/>
  <c r="AE72" i="2" a="1"/>
  <c r="AE72" i="2"/>
  <c r="AB72" i="2" a="1"/>
  <c r="AB72" i="2"/>
  <c r="D72" i="2"/>
  <c r="AK71" i="2" a="1"/>
  <c r="AK71" i="2"/>
  <c r="AI71" i="2"/>
  <c r="AG71" i="2"/>
  <c r="AE71" i="2" a="1"/>
  <c r="AE71" i="2"/>
  <c r="AB71" i="2" a="1"/>
  <c r="AB71" i="2"/>
  <c r="D71" i="2"/>
  <c r="AK70" i="2" a="1"/>
  <c r="AK70" i="2"/>
  <c r="AI70" i="2"/>
  <c r="AG70" i="2"/>
  <c r="AE70" i="2" a="1"/>
  <c r="AE70" i="2"/>
  <c r="AB70" i="2" a="1"/>
  <c r="AB70" i="2"/>
  <c r="D70" i="2"/>
  <c r="BO69" i="2"/>
  <c r="BB69" i="2"/>
  <c r="AG69" i="2"/>
  <c r="AE69" i="2" a="1"/>
  <c r="AE69" i="2"/>
  <c r="AB69" i="2" a="1"/>
  <c r="AB69" i="2"/>
  <c r="D69" i="2"/>
  <c r="BO68" i="2"/>
  <c r="BB68" i="2"/>
  <c r="AG68" i="2"/>
  <c r="AE68" i="2" a="1"/>
  <c r="AE68" i="2"/>
  <c r="AB68" i="2" a="1"/>
  <c r="AB68" i="2"/>
  <c r="D68" i="2"/>
  <c r="C68" i="2"/>
  <c r="BO67" i="2"/>
  <c r="BB67" i="2"/>
  <c r="BO66" i="2"/>
  <c r="BB66" i="2"/>
  <c r="BO65" i="2"/>
  <c r="BB65" i="2"/>
  <c r="AK65" i="2" a="1"/>
  <c r="AK65" i="2"/>
  <c r="AI65" i="2"/>
  <c r="AG65" i="2"/>
  <c r="AE65" i="2" a="1"/>
  <c r="AE65" i="2"/>
  <c r="AB65" i="2" a="1"/>
  <c r="AB65" i="2"/>
  <c r="D65" i="2"/>
  <c r="BO64" i="2"/>
  <c r="BB64" i="2"/>
  <c r="AK64" i="2" a="1"/>
  <c r="AK64" i="2"/>
  <c r="AI64" i="2"/>
  <c r="AG64" i="2"/>
  <c r="AE64" i="2" a="1"/>
  <c r="AE64" i="2"/>
  <c r="AB64" i="2" a="1"/>
  <c r="AB64" i="2"/>
  <c r="D64" i="2"/>
  <c r="BO63" i="2"/>
  <c r="BB63" i="2"/>
  <c r="AK63" i="2" a="1"/>
  <c r="AK63" i="2"/>
  <c r="AI63" i="2"/>
  <c r="AG63" i="2"/>
  <c r="AE63" i="2" a="1"/>
  <c r="AE63" i="2"/>
  <c r="AB63" i="2" a="1"/>
  <c r="AB63" i="2"/>
  <c r="D63" i="2"/>
  <c r="BO62" i="2"/>
  <c r="BB62" i="2"/>
  <c r="AK62" i="2" a="1"/>
  <c r="AK62" i="2"/>
  <c r="AI62" i="2"/>
  <c r="AG62" i="2"/>
  <c r="AE62" i="2" a="1"/>
  <c r="AE62" i="2"/>
  <c r="AB62" i="2" a="1"/>
  <c r="AB62" i="2"/>
  <c r="D62" i="2"/>
  <c r="BO61" i="2"/>
  <c r="BB61" i="2"/>
  <c r="AG61" i="2"/>
  <c r="AE61" i="2" a="1"/>
  <c r="AE61" i="2"/>
  <c r="AB61" i="2" a="1"/>
  <c r="AB61" i="2"/>
  <c r="D61" i="2"/>
  <c r="BO60" i="2"/>
  <c r="BB60" i="2"/>
  <c r="AG60" i="2"/>
  <c r="AE60" i="2" a="1"/>
  <c r="AE60" i="2"/>
  <c r="AB60" i="2" a="1"/>
  <c r="AB60" i="2"/>
  <c r="D60" i="2"/>
  <c r="C60" i="2"/>
  <c r="BO59" i="2"/>
  <c r="BB59" i="2"/>
  <c r="BO58" i="2"/>
  <c r="BB58" i="2"/>
  <c r="BN57" i="2"/>
  <c r="BM57" i="2"/>
  <c r="BB57" i="2"/>
  <c r="AK57" i="2" a="1"/>
  <c r="AK57" i="2"/>
  <c r="AI57" i="2"/>
  <c r="AG57" i="2"/>
  <c r="AE57" i="2" a="1"/>
  <c r="AE57" i="2"/>
  <c r="AB57" i="2" a="1"/>
  <c r="AB57" i="2"/>
  <c r="D57" i="2"/>
  <c r="AK56" i="2" a="1"/>
  <c r="AK56" i="2"/>
  <c r="AI56" i="2"/>
  <c r="AG56" i="2"/>
  <c r="AE56" i="2" a="1"/>
  <c r="AE56" i="2"/>
  <c r="AB56" i="2" a="1"/>
  <c r="AB56" i="2"/>
  <c r="D56" i="2"/>
  <c r="AK55" i="2" a="1"/>
  <c r="AK55" i="2"/>
  <c r="AI55" i="2"/>
  <c r="AG55" i="2"/>
  <c r="AE55" i="2" a="1"/>
  <c r="AE55" i="2"/>
  <c r="AB55" i="2" a="1"/>
  <c r="AB55" i="2"/>
  <c r="D55" i="2"/>
  <c r="AK54" i="2" a="1"/>
  <c r="AK54" i="2"/>
  <c r="AI54" i="2"/>
  <c r="AG54" i="2"/>
  <c r="AE54" i="2" a="1"/>
  <c r="AE54" i="2"/>
  <c r="AB54" i="2" a="1"/>
  <c r="AB54" i="2"/>
  <c r="D54" i="2"/>
  <c r="AG53" i="2"/>
  <c r="AE53" i="2" a="1"/>
  <c r="AE53" i="2"/>
  <c r="AB53" i="2" a="1"/>
  <c r="AB53" i="2"/>
  <c r="D53" i="2"/>
  <c r="AG52" i="2"/>
  <c r="AE52" i="2" a="1"/>
  <c r="AE52" i="2"/>
  <c r="AB52" i="2" a="1"/>
  <c r="AB52" i="2"/>
  <c r="D52" i="2"/>
  <c r="C52" i="2"/>
  <c r="AC51" i="2"/>
  <c r="AK49" i="2" a="1"/>
  <c r="AK49" i="2"/>
  <c r="AI49" i="2"/>
  <c r="AG49" i="2"/>
  <c r="AE49" i="2" a="1"/>
  <c r="AE49" i="2"/>
  <c r="AB49" i="2" a="1"/>
  <c r="AB49" i="2"/>
  <c r="D49" i="2"/>
  <c r="AK48" i="2" a="1"/>
  <c r="AK48" i="2"/>
  <c r="AI48" i="2"/>
  <c r="AG48" i="2"/>
  <c r="AE48" i="2" a="1"/>
  <c r="AE48" i="2"/>
  <c r="AB48" i="2" a="1"/>
  <c r="AB48" i="2"/>
  <c r="D48" i="2"/>
  <c r="AK47" i="2" a="1"/>
  <c r="AK47" i="2"/>
  <c r="AI47" i="2"/>
  <c r="AG47" i="2"/>
  <c r="AE47" i="2" a="1"/>
  <c r="AE47" i="2"/>
  <c r="AB47" i="2" a="1"/>
  <c r="AB47" i="2"/>
  <c r="D47" i="2"/>
  <c r="AK46" i="2" a="1"/>
  <c r="AK46" i="2"/>
  <c r="AI46" i="2"/>
  <c r="AG46" i="2"/>
  <c r="AE46" i="2" a="1"/>
  <c r="AE46" i="2"/>
  <c r="AB46" i="2" a="1"/>
  <c r="AB46" i="2"/>
  <c r="D46" i="2"/>
  <c r="AG45" i="2"/>
  <c r="AE45" i="2" a="1"/>
  <c r="AE45" i="2"/>
  <c r="AB45" i="2" a="1"/>
  <c r="AB45" i="2"/>
  <c r="D45" i="2"/>
  <c r="AG44" i="2"/>
  <c r="AE44" i="2" a="1"/>
  <c r="AE44" i="2"/>
  <c r="AB44" i="2" a="1"/>
  <c r="AB44" i="2"/>
  <c r="D44" i="2"/>
  <c r="C44" i="2"/>
  <c r="AK41" i="2" a="1"/>
  <c r="AK41" i="2"/>
  <c r="AI41" i="2"/>
  <c r="AG41" i="2"/>
  <c r="AE41" i="2" a="1"/>
  <c r="AE41" i="2"/>
  <c r="AB41" i="2" a="1"/>
  <c r="AB41" i="2"/>
  <c r="D41" i="2"/>
  <c r="AK40" i="2" a="1"/>
  <c r="AK40" i="2"/>
  <c r="AI40" i="2"/>
  <c r="AG40" i="2"/>
  <c r="AE40" i="2" a="1"/>
  <c r="AE40" i="2"/>
  <c r="AB40" i="2" a="1"/>
  <c r="AB40" i="2"/>
  <c r="D40" i="2"/>
  <c r="AK39" i="2" a="1"/>
  <c r="AK39" i="2"/>
  <c r="AI39" i="2"/>
  <c r="AG39" i="2"/>
  <c r="AE39" i="2" a="1"/>
  <c r="AE39" i="2"/>
  <c r="AB39" i="2" a="1"/>
  <c r="AB39" i="2"/>
  <c r="D39" i="2"/>
  <c r="AK38" i="2" a="1"/>
  <c r="AK38" i="2"/>
  <c r="AI38" i="2"/>
  <c r="AG38" i="2"/>
  <c r="AE38" i="2" a="1"/>
  <c r="AE38" i="2"/>
  <c r="AB38" i="2" a="1"/>
  <c r="AB38" i="2"/>
  <c r="D38" i="2"/>
  <c r="AG37" i="2"/>
  <c r="AE37" i="2" a="1"/>
  <c r="AE37" i="2"/>
  <c r="AB37" i="2" a="1"/>
  <c r="AB37" i="2"/>
  <c r="D37" i="2"/>
  <c r="AG36" i="2"/>
  <c r="AE36" i="2" a="1"/>
  <c r="AE36" i="2"/>
  <c r="AB36" i="2" a="1"/>
  <c r="AB36" i="2"/>
  <c r="D36" i="2"/>
  <c r="C36" i="2"/>
  <c r="AK33" i="2" a="1"/>
  <c r="AK33" i="2"/>
  <c r="AI33" i="2"/>
  <c r="AG33" i="2"/>
  <c r="AE33" i="2" a="1"/>
  <c r="AE33" i="2"/>
  <c r="AB33" i="2" a="1"/>
  <c r="AB33" i="2"/>
  <c r="D33" i="2"/>
  <c r="AK32" i="2" a="1"/>
  <c r="AK32" i="2"/>
  <c r="AI32" i="2"/>
  <c r="AG32" i="2"/>
  <c r="AE32" i="2" a="1"/>
  <c r="AE32" i="2"/>
  <c r="AB32" i="2" a="1"/>
  <c r="AB32" i="2"/>
  <c r="D32" i="2"/>
  <c r="AK31" i="2" a="1"/>
  <c r="AK31" i="2"/>
  <c r="AI31" i="2"/>
  <c r="AG31" i="2"/>
  <c r="AE31" i="2" a="1"/>
  <c r="AE31" i="2"/>
  <c r="AB31" i="2" a="1"/>
  <c r="AB31" i="2"/>
  <c r="D31" i="2"/>
  <c r="AK30" i="2" a="1"/>
  <c r="AK30" i="2"/>
  <c r="AI30" i="2"/>
  <c r="AG30" i="2"/>
  <c r="AE30" i="2" a="1"/>
  <c r="AE30" i="2"/>
  <c r="AB30" i="2" a="1"/>
  <c r="AB30" i="2"/>
  <c r="D30" i="2"/>
  <c r="AG29" i="2"/>
  <c r="AE29" i="2" a="1"/>
  <c r="AE29" i="2"/>
  <c r="AB29" i="2" a="1"/>
  <c r="AB29" i="2"/>
  <c r="D29" i="2"/>
  <c r="AG28" i="2"/>
  <c r="AE28" i="2" a="1"/>
  <c r="AE28" i="2"/>
  <c r="AB28" i="2" a="1"/>
  <c r="AB28" i="2"/>
  <c r="D28" i="2"/>
  <c r="C28" i="2"/>
  <c r="AC27" i="2"/>
  <c r="AK25" i="2" a="1"/>
  <c r="AK25" i="2"/>
  <c r="AI25" i="2"/>
  <c r="AG25" i="2"/>
  <c r="AE25" i="2" a="1"/>
  <c r="AE25" i="2"/>
  <c r="AB25" i="2" a="1"/>
  <c r="AB25" i="2"/>
  <c r="D25" i="2"/>
  <c r="AK24" i="2" a="1"/>
  <c r="AK24" i="2"/>
  <c r="AI24" i="2"/>
  <c r="AG24" i="2"/>
  <c r="AE24" i="2" a="1"/>
  <c r="AE24" i="2"/>
  <c r="AB24" i="2" a="1"/>
  <c r="AB24" i="2"/>
  <c r="D24" i="2"/>
  <c r="AK23" i="2" a="1"/>
  <c r="AK23" i="2"/>
  <c r="AI23" i="2"/>
  <c r="AG23" i="2"/>
  <c r="AE23" i="2" a="1"/>
  <c r="AE23" i="2"/>
  <c r="AB23" i="2" a="1"/>
  <c r="AB23" i="2"/>
  <c r="D23" i="2"/>
  <c r="AK22" i="2" a="1"/>
  <c r="AK22" i="2"/>
  <c r="AI22" i="2"/>
  <c r="AG22" i="2"/>
  <c r="AE22" i="2" a="1"/>
  <c r="AE22" i="2"/>
  <c r="AB22" i="2" a="1"/>
  <c r="AB22" i="2"/>
  <c r="D22" i="2"/>
  <c r="AR21" i="2"/>
  <c r="AG21" i="2"/>
  <c r="AE21" i="2" a="1"/>
  <c r="AE21" i="2"/>
  <c r="AB21" i="2" a="1"/>
  <c r="AB21" i="2"/>
  <c r="D21" i="2"/>
  <c r="AG20" i="2"/>
  <c r="AE20" i="2" a="1"/>
  <c r="AE20" i="2"/>
  <c r="AB20" i="2" a="1"/>
  <c r="AB20" i="2"/>
  <c r="D20" i="2"/>
  <c r="C20" i="2"/>
  <c r="AC19" i="2"/>
  <c r="Z19" i="2"/>
  <c r="Z35" i="2"/>
  <c r="Y19" i="2"/>
  <c r="Y35" i="2"/>
  <c r="X19" i="2"/>
  <c r="X35" i="2"/>
  <c r="AK17" i="2" a="1"/>
  <c r="AK17" i="2"/>
  <c r="AI17" i="2"/>
  <c r="AG17" i="2"/>
  <c r="AE17" i="2" a="1"/>
  <c r="AE17" i="2"/>
  <c r="AB17" i="2" a="1"/>
  <c r="AB17" i="2"/>
  <c r="D17" i="2"/>
  <c r="AK16" i="2" a="1"/>
  <c r="AK16" i="2"/>
  <c r="AI16" i="2"/>
  <c r="AG16" i="2"/>
  <c r="AE16" i="2" a="1"/>
  <c r="AE16" i="2"/>
  <c r="AB16" i="2" a="1"/>
  <c r="AB16" i="2"/>
  <c r="D16" i="2"/>
  <c r="AK15" i="2" a="1"/>
  <c r="AK15" i="2"/>
  <c r="AI15" i="2"/>
  <c r="AG15" i="2"/>
  <c r="AE15" i="2" a="1"/>
  <c r="AE15" i="2"/>
  <c r="AB15" i="2" a="1"/>
  <c r="AB15" i="2"/>
  <c r="D15" i="2"/>
  <c r="AK14" i="2" a="1"/>
  <c r="AK14" i="2"/>
  <c r="AI14" i="2"/>
  <c r="AG14" i="2"/>
  <c r="AE14" i="2" a="1"/>
  <c r="AE14" i="2"/>
  <c r="AB14" i="2" a="1"/>
  <c r="AB14" i="2"/>
  <c r="D14" i="2"/>
  <c r="AG13" i="2"/>
  <c r="AE13" i="2" a="1"/>
  <c r="AE13" i="2"/>
  <c r="AB13" i="2" a="1"/>
  <c r="AB13" i="2"/>
  <c r="D13" i="2"/>
  <c r="AG12" i="2"/>
  <c r="AE12" i="2" a="1"/>
  <c r="AE12" i="2"/>
  <c r="AB12" i="2" a="1"/>
  <c r="AB12" i="2"/>
  <c r="D12" i="2"/>
  <c r="C12" i="2"/>
  <c r="AF11" i="2"/>
  <c r="AF27" i="2"/>
  <c r="AF43" i="2"/>
  <c r="AD11" i="2"/>
  <c r="AK9" i="2" a="1"/>
  <c r="AK9" i="2"/>
  <c r="AI9" i="2"/>
  <c r="AG9" i="2"/>
  <c r="AE9" i="2" a="1"/>
  <c r="AE9" i="2"/>
  <c r="AB9" i="2" a="1"/>
  <c r="AB9" i="2"/>
  <c r="D9" i="2"/>
  <c r="AK8" i="2" a="1"/>
  <c r="AK8" i="2"/>
  <c r="AI8" i="2"/>
  <c r="AG8" i="2"/>
  <c r="AE8" i="2" a="1"/>
  <c r="AE8" i="2"/>
  <c r="AB8" i="2" a="1"/>
  <c r="AB8" i="2"/>
  <c r="D8" i="2"/>
  <c r="AK7" i="2" a="1"/>
  <c r="AK7" i="2"/>
  <c r="AI7" i="2"/>
  <c r="AG7" i="2"/>
  <c r="AE7" i="2" a="1"/>
  <c r="AE7" i="2"/>
  <c r="AB7" i="2" a="1"/>
  <c r="AB7" i="2"/>
  <c r="D7" i="2"/>
  <c r="AK6" i="2" a="1"/>
  <c r="AK6" i="2"/>
  <c r="AI6" i="2"/>
  <c r="AG6" i="2"/>
  <c r="AE6" i="2" a="1"/>
  <c r="AE6" i="2"/>
  <c r="AB6" i="2" a="1"/>
  <c r="AB6" i="2"/>
  <c r="D6" i="2"/>
  <c r="AR5" i="2"/>
  <c r="AR13" i="2"/>
  <c r="AJ5" i="2"/>
  <c r="AG5" i="2"/>
  <c r="AE5" i="2" a="1"/>
  <c r="AE5" i="2"/>
  <c r="AB5" i="2" a="1"/>
  <c r="AB5" i="2"/>
  <c r="D5" i="2"/>
  <c r="AG4" i="2"/>
  <c r="AE4" i="2" a="1"/>
  <c r="AE4" i="2"/>
  <c r="AB4" i="2" a="1"/>
  <c r="AB4" i="2"/>
  <c r="Z4" i="2"/>
  <c r="Z13" i="2"/>
  <c r="D4" i="2"/>
  <c r="C4" i="2"/>
  <c r="AF3" i="2"/>
  <c r="AF19" i="2"/>
  <c r="AF35" i="2"/>
  <c r="AD3" i="2"/>
  <c r="AD19" i="2"/>
  <c r="AC3" i="2"/>
  <c r="AC67" i="2"/>
  <c r="Z3" i="2"/>
  <c r="Y3" i="2"/>
  <c r="X3" i="2"/>
  <c r="G207" i="5"/>
  <c r="D207" i="5"/>
  <c r="H237" i="5"/>
  <c r="G237" i="5"/>
  <c r="H231" i="5"/>
  <c r="H249" i="5"/>
  <c r="G249" i="5"/>
  <c r="D249" i="5"/>
  <c r="H243" i="5"/>
  <c r="G243" i="5"/>
  <c r="H242" i="5"/>
  <c r="G225" i="5"/>
  <c r="G219" i="5"/>
  <c r="D219" i="5"/>
  <c r="G213" i="5"/>
  <c r="Y119" i="2"/>
  <c r="Y142" i="2"/>
  <c r="Y130" i="2"/>
  <c r="Y51" i="2"/>
  <c r="Y146" i="2"/>
  <c r="Y100" i="2"/>
  <c r="Y83" i="2"/>
  <c r="Y59" i="2"/>
  <c r="Y91" i="2"/>
  <c r="Y75" i="2"/>
  <c r="Y137" i="2"/>
  <c r="Y67" i="2"/>
  <c r="Y11" i="2"/>
  <c r="Y27" i="2"/>
  <c r="Y43" i="2"/>
  <c r="Z12" i="2"/>
  <c r="Z91" i="2"/>
  <c r="Z83" i="2"/>
  <c r="Z59" i="2"/>
  <c r="Z75" i="2"/>
  <c r="Z67" i="2"/>
  <c r="Z11" i="2"/>
  <c r="Z27" i="2"/>
  <c r="Z43" i="2"/>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c r="X43" i="2"/>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c r="C184" i="3"/>
  <c r="N122" i="2"/>
  <c r="AF122" i="2"/>
  <c r="B202" i="3"/>
  <c r="AN13" i="4"/>
  <c r="AK31" i="4"/>
  <c r="AF5" i="4"/>
  <c r="AE46" i="4"/>
  <c r="AE29" i="4"/>
  <c r="AC4" i="4"/>
  <c r="AK32" i="4"/>
  <c r="N125" i="2"/>
  <c r="AF125" i="2"/>
  <c r="C195" i="3"/>
  <c r="AG109" i="2"/>
  <c r="AG154" i="2"/>
  <c r="C253" i="3"/>
  <c r="C213" i="3"/>
  <c r="C185" i="3"/>
  <c r="C203" i="3"/>
  <c r="B203" i="3"/>
  <c r="C233" i="3"/>
  <c r="B233" i="3"/>
  <c r="C227" i="3"/>
  <c r="M121" i="2"/>
  <c r="AA120" i="2"/>
  <c r="AG101" i="2"/>
  <c r="N120" i="2"/>
  <c r="AF121" i="2"/>
  <c r="C191" i="3"/>
  <c r="AG106" i="2"/>
  <c r="C226" i="3"/>
  <c r="C232" i="3"/>
  <c r="B232" i="3"/>
  <c r="AB34" i="9"/>
  <c r="K33" i="8"/>
  <c r="B29" i="8"/>
  <c r="C244" i="3"/>
  <c r="B244" i="3"/>
  <c r="C236" i="3"/>
  <c r="C258" i="3"/>
  <c r="AG160" i="2"/>
  <c r="AG103" i="2"/>
  <c r="M120" i="2"/>
  <c r="AA121" i="2"/>
  <c r="M125" i="2"/>
  <c r="AA125" i="2"/>
  <c r="AG110" i="2"/>
  <c r="AG105" i="2"/>
  <c r="C192" i="3"/>
  <c r="M124" i="2"/>
  <c r="AA124" i="2"/>
  <c r="AG112" i="2"/>
  <c r="C207" i="3"/>
  <c r="N134" i="2"/>
  <c r="AF134" i="2"/>
  <c r="C217" i="3"/>
  <c r="AG127" i="2"/>
  <c r="B207" i="3"/>
  <c r="AJ7" i="4"/>
  <c r="AA156" i="2"/>
  <c r="AH154" i="2"/>
  <c r="AA158" i="2"/>
  <c r="AB29" i="9"/>
  <c r="K28" i="8"/>
  <c r="B23" i="8"/>
  <c r="AG115" i="2"/>
  <c r="M126" i="2"/>
  <c r="AA126" i="2"/>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c r="AJ31" i="4"/>
  <c r="AG23" i="4"/>
  <c r="AB16" i="4"/>
  <c r="AB4" i="4"/>
  <c r="AB46" i="4"/>
  <c r="AJ43" i="4"/>
  <c r="AB33" i="4"/>
  <c r="M133" i="2"/>
  <c r="AA133" i="2"/>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c r="AB3" i="9"/>
  <c r="K2" i="8"/>
  <c r="B18" i="8"/>
  <c r="AB13" i="9"/>
  <c r="B8" i="8"/>
  <c r="K12" i="8"/>
  <c r="K24" i="8"/>
  <c r="B48" i="8"/>
  <c r="AB25" i="9"/>
  <c r="K3" i="8"/>
  <c r="AB4" i="9"/>
  <c r="B32" i="8"/>
  <c r="AB9" i="9"/>
  <c r="K8" i="8"/>
  <c r="B26" i="8"/>
  <c r="B41" i="8"/>
  <c r="AB30" i="9"/>
  <c r="K29" i="8"/>
  <c r="D270" i="5"/>
  <c r="D258" i="5"/>
  <c r="D186" i="5"/>
  <c r="B126" i="3"/>
  <c r="D174" i="5"/>
  <c r="B114" i="3"/>
  <c r="D162" i="5"/>
  <c r="B102" i="3"/>
  <c r="D150" i="5"/>
  <c r="B90" i="3"/>
  <c r="D138" i="5"/>
  <c r="B246" i="3"/>
  <c r="D126" i="5"/>
  <c r="B79" i="3"/>
  <c r="D114" i="5"/>
  <c r="E163" i="3"/>
  <c r="D102" i="5"/>
  <c r="C1" i="3"/>
  <c r="D85" i="5"/>
  <c r="L5" i="7"/>
  <c r="D71" i="5"/>
  <c r="D59" i="5"/>
  <c r="AS5" i="2"/>
  <c r="D47" i="5"/>
  <c r="AL148" i="2"/>
  <c r="D35" i="5"/>
  <c r="W151" i="2"/>
  <c r="B251" i="3"/>
  <c r="D23" i="5"/>
  <c r="D9" i="5"/>
  <c r="D269" i="5"/>
  <c r="D257" i="5"/>
  <c r="D247" i="5"/>
  <c r="D239" i="5"/>
  <c r="D235" i="5"/>
  <c r="D231" i="5"/>
  <c r="D227" i="5"/>
  <c r="D223" i="5"/>
  <c r="D268" i="5"/>
  <c r="D267" i="5"/>
  <c r="D255" i="5"/>
  <c r="D183" i="5"/>
  <c r="B123" i="3"/>
  <c r="D171" i="5"/>
  <c r="B111" i="3"/>
  <c r="D159" i="5"/>
  <c r="B99" i="3"/>
  <c r="D147" i="5"/>
  <c r="B87" i="3"/>
  <c r="D135" i="5"/>
  <c r="B235" i="3"/>
  <c r="D123" i="5"/>
  <c r="D30" i="3"/>
  <c r="D111" i="5"/>
  <c r="E30" i="3"/>
  <c r="D94" i="5"/>
  <c r="L20" i="7"/>
  <c r="D82" i="5"/>
  <c r="B2" i="7"/>
  <c r="D68" i="5"/>
  <c r="D56" i="5"/>
  <c r="AP5" i="2"/>
  <c r="D44" i="5"/>
  <c r="D32" i="5"/>
  <c r="W145" i="2"/>
  <c r="D20" i="5"/>
  <c r="AA3" i="2"/>
  <c r="D6" i="5"/>
  <c r="D266" i="5"/>
  <c r="D273" i="5"/>
  <c r="M84" i="7"/>
  <c r="D265" i="5"/>
  <c r="D240" i="5"/>
  <c r="D222" i="5"/>
  <c r="D218" i="5"/>
  <c r="D214" i="5"/>
  <c r="D193" i="5"/>
  <c r="B240" i="3"/>
  <c r="B241" i="3"/>
  <c r="D179" i="5"/>
  <c r="B119" i="3"/>
  <c r="D165" i="5"/>
  <c r="B105" i="3"/>
  <c r="D151" i="5"/>
  <c r="B91" i="3"/>
  <c r="D136" i="5"/>
  <c r="B239" i="3"/>
  <c r="D121" i="5"/>
  <c r="D107" i="5"/>
  <c r="E3" i="3"/>
  <c r="D88" i="5"/>
  <c r="L12" i="7"/>
  <c r="D72" i="5"/>
  <c r="D57" i="5"/>
  <c r="AQ5" i="2"/>
  <c r="D42" i="5"/>
  <c r="W160" i="2"/>
  <c r="B258" i="3"/>
  <c r="D28" i="5"/>
  <c r="W118" i="2"/>
  <c r="D12" i="5"/>
  <c r="L23" i="1"/>
  <c r="D264" i="5"/>
  <c r="D244" i="5"/>
  <c r="D192" i="5"/>
  <c r="D178" i="5"/>
  <c r="B118" i="3"/>
  <c r="D164" i="5"/>
  <c r="B104" i="3"/>
  <c r="D149" i="5"/>
  <c r="B89" i="3"/>
  <c r="D134" i="5"/>
  <c r="B231" i="3"/>
  <c r="D120" i="5"/>
  <c r="E253" i="3"/>
  <c r="D106" i="5"/>
  <c r="E1" i="3"/>
  <c r="D87" i="5"/>
  <c r="L11" i="7"/>
  <c r="D70" i="5"/>
  <c r="D55" i="5"/>
  <c r="AO5" i="2"/>
  <c r="D41" i="5"/>
  <c r="W159" i="2"/>
  <c r="B257" i="3"/>
  <c r="D27" i="5"/>
  <c r="W99" i="2"/>
  <c r="D11" i="5"/>
  <c r="D263" i="5"/>
  <c r="D248" i="5"/>
  <c r="D226" i="5"/>
  <c r="D209" i="5"/>
  <c r="D205" i="5"/>
  <c r="D191" i="5"/>
  <c r="D177" i="5"/>
  <c r="B117" i="3"/>
  <c r="D163" i="5"/>
  <c r="B103" i="3"/>
  <c r="D148" i="5"/>
  <c r="B88" i="3"/>
  <c r="D133" i="5"/>
  <c r="B225" i="3"/>
  <c r="D119" i="5"/>
  <c r="E244" i="3"/>
  <c r="D105" i="5"/>
  <c r="C4" i="3"/>
  <c r="D86" i="5"/>
  <c r="L6" i="7"/>
  <c r="D69" i="5"/>
  <c r="D54" i="5"/>
  <c r="AN5" i="2"/>
  <c r="D40" i="5"/>
  <c r="W158" i="2"/>
  <c r="B256" i="3"/>
  <c r="D26" i="5"/>
  <c r="AJ100" i="2"/>
  <c r="D10" i="5"/>
  <c r="D262" i="5"/>
  <c r="D230" i="5"/>
  <c r="D221" i="5"/>
  <c r="D217" i="5"/>
  <c r="D190" i="5"/>
  <c r="B210" i="3"/>
  <c r="B211" i="3"/>
  <c r="B212" i="3"/>
  <c r="B213" i="3"/>
  <c r="B214" i="3"/>
  <c r="B215" i="3"/>
  <c r="B216" i="3"/>
  <c r="B217" i="3"/>
  <c r="D176" i="5"/>
  <c r="B116" i="3"/>
  <c r="D161" i="5"/>
  <c r="B101" i="3"/>
  <c r="D146" i="5"/>
  <c r="B86" i="3"/>
  <c r="D132" i="5"/>
  <c r="B219" i="3"/>
  <c r="D118" i="5"/>
  <c r="E232" i="3"/>
  <c r="D104" i="5"/>
  <c r="D84" i="5"/>
  <c r="L4" i="7"/>
  <c r="D67" i="5"/>
  <c r="D53" i="5"/>
  <c r="AM5" i="2"/>
  <c r="D39" i="5"/>
  <c r="W156" i="2"/>
  <c r="B255" i="3"/>
  <c r="D25" i="5"/>
  <c r="D8" i="5"/>
  <c r="D261" i="5"/>
  <c r="D234" i="5"/>
  <c r="D189" i="5"/>
  <c r="B182" i="3"/>
  <c r="B183" i="3"/>
  <c r="B184" i="3"/>
  <c r="B185" i="3"/>
  <c r="B186" i="3"/>
  <c r="B187" i="3"/>
  <c r="B188" i="3"/>
  <c r="B189" i="3"/>
  <c r="B190" i="3"/>
  <c r="B191" i="3"/>
  <c r="B192" i="3"/>
  <c r="B193" i="3"/>
  <c r="B194" i="3"/>
  <c r="B195" i="3"/>
  <c r="B196" i="3"/>
  <c r="B197" i="3"/>
  <c r="D175" i="5"/>
  <c r="B115" i="3"/>
  <c r="D160" i="5"/>
  <c r="B100" i="3"/>
  <c r="D145" i="5"/>
  <c r="B85" i="3"/>
  <c r="D131" i="5"/>
  <c r="B209" i="3"/>
  <c r="D117" i="5"/>
  <c r="E220" i="3"/>
  <c r="D103" i="5"/>
  <c r="D83" i="5"/>
  <c r="C19" i="7"/>
  <c r="D66" i="5"/>
  <c r="D52" i="5"/>
  <c r="D38" i="5"/>
  <c r="W155" i="2"/>
  <c r="B254" i="3"/>
  <c r="D24" i="5"/>
  <c r="AV3" i="2"/>
  <c r="D7" i="5"/>
  <c r="C5" i="1"/>
  <c r="D260" i="5"/>
  <c r="D238" i="5"/>
  <c r="D245" i="5"/>
  <c r="D232" i="5"/>
  <c r="D181" i="5"/>
  <c r="B121" i="3"/>
  <c r="D167" i="5"/>
  <c r="B107" i="3"/>
  <c r="D153" i="5"/>
  <c r="B93" i="3"/>
  <c r="D139" i="5"/>
  <c r="B249" i="3"/>
  <c r="D124" i="5"/>
  <c r="D54" i="3"/>
  <c r="D109" i="5"/>
  <c r="E5" i="3"/>
  <c r="D90" i="5"/>
  <c r="L14" i="7"/>
  <c r="D74" i="5"/>
  <c r="D60" i="5"/>
  <c r="AT5" i="2"/>
  <c r="D45" i="5"/>
  <c r="C10" i="1"/>
  <c r="C5" i="3"/>
  <c r="D30" i="5"/>
  <c r="W136" i="2"/>
  <c r="D16" i="5"/>
  <c r="D33" i="5"/>
  <c r="AA149" i="2"/>
  <c r="D62" i="5"/>
  <c r="Z6" i="2"/>
  <c r="D92" i="5"/>
  <c r="D127" i="5"/>
  <c r="B129" i="3"/>
  <c r="D155" i="5"/>
  <c r="B95" i="3"/>
  <c r="D184" i="5"/>
  <c r="B124" i="3"/>
  <c r="D236" i="5"/>
  <c r="D241" i="5"/>
  <c r="D246" i="5"/>
  <c r="D259" i="5"/>
  <c r="D34" i="5"/>
  <c r="W150" i="2"/>
  <c r="B250" i="3"/>
  <c r="D63" i="5"/>
  <c r="Z8" i="2"/>
  <c r="D93" i="5"/>
  <c r="D128" i="5"/>
  <c r="B163" i="3"/>
  <c r="D156" i="5"/>
  <c r="B96" i="3"/>
  <c r="D185" i="5"/>
  <c r="B125" i="3"/>
  <c r="D210" i="5"/>
  <c r="D215" i="5"/>
  <c r="D220" i="5"/>
  <c r="D271" i="5"/>
  <c r="D4" i="5"/>
  <c r="K6" i="1"/>
  <c r="D36" i="5"/>
  <c r="W152" i="2"/>
  <c r="B252" i="3"/>
  <c r="D64" i="5"/>
  <c r="D95" i="5"/>
  <c r="L21" i="7"/>
  <c r="D129" i="5"/>
  <c r="B181" i="3"/>
  <c r="D157" i="5"/>
  <c r="B97" i="3"/>
  <c r="D187" i="5"/>
  <c r="B127" i="3"/>
  <c r="D206" i="5"/>
  <c r="D5" i="5"/>
  <c r="D37" i="5"/>
  <c r="W154" i="2"/>
  <c r="B253" i="3"/>
  <c r="D65" i="5"/>
  <c r="D96" i="5"/>
  <c r="L27" i="7"/>
  <c r="D130" i="5"/>
  <c r="B199" i="3"/>
  <c r="D158" i="5"/>
  <c r="B98" i="3"/>
  <c r="D188" i="5"/>
  <c r="D242" i="5"/>
  <c r="AC28" i="9"/>
  <c r="AB8" i="9"/>
  <c r="B40" i="8"/>
  <c r="K7" i="8"/>
  <c r="AB50" i="9"/>
  <c r="K49" i="8"/>
  <c r="D237" i="5"/>
  <c r="B5" i="8"/>
  <c r="D243" i="5"/>
  <c r="K19" i="8"/>
  <c r="AB20" i="9"/>
  <c r="B27" i="8"/>
  <c r="D213" i="5"/>
  <c r="D225" i="5"/>
  <c r="AB35" i="9"/>
  <c r="K34" i="8"/>
  <c r="B22" i="8"/>
  <c r="B17" i="8"/>
  <c r="K48" i="8"/>
  <c r="AB49" i="9"/>
  <c r="AB44" i="9"/>
  <c r="B44" i="8"/>
  <c r="K43" i="8"/>
  <c r="BD36" i="2"/>
  <c r="A63" i="2"/>
  <c r="C212" i="3"/>
  <c r="C222" i="3"/>
  <c r="B222" i="3"/>
  <c r="C254" i="3"/>
  <c r="AG155" i="2"/>
  <c r="AG156" i="2"/>
  <c r="C255" i="3"/>
  <c r="AJ3" i="2"/>
  <c r="BC5" i="2"/>
  <c r="BC57" i="2"/>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c r="AP13" i="2"/>
  <c r="AP29" i="2"/>
  <c r="AP37" i="2"/>
  <c r="K15" i="8"/>
  <c r="B20" i="8"/>
  <c r="AB16" i="9"/>
  <c r="AB7" i="9"/>
  <c r="B16" i="8"/>
  <c r="K6" i="8"/>
  <c r="BD5" i="2"/>
  <c r="BD57" i="2"/>
  <c r="AL5" i="2"/>
  <c r="AX18" i="4"/>
  <c r="B3" i="1"/>
  <c r="W1" i="2"/>
  <c r="B236" i="3"/>
  <c r="B237" i="3"/>
  <c r="AA142" i="2"/>
  <c r="AA137" i="2"/>
  <c r="AA146" i="2"/>
  <c r="AA119" i="2"/>
  <c r="AA91" i="2"/>
  <c r="AA130" i="2"/>
  <c r="AA51" i="2"/>
  <c r="AA83" i="2"/>
  <c r="AA100" i="2"/>
  <c r="AA75" i="2"/>
  <c r="AA59" i="2"/>
  <c r="AA67" i="2"/>
  <c r="AA19" i="2"/>
  <c r="AA35" i="2"/>
  <c r="AA11" i="2"/>
  <c r="AA27" i="2"/>
  <c r="AA43" i="2"/>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AB24" i="9"/>
  <c r="K23" i="8"/>
  <c r="B34" i="8"/>
  <c r="AM101" i="2"/>
  <c r="AM93" i="2"/>
  <c r="AM61" i="2"/>
  <c r="AM85" i="2"/>
  <c r="AM77" i="2"/>
  <c r="AM29" i="2"/>
  <c r="AM45" i="2"/>
  <c r="AM37" i="2"/>
  <c r="AM53" i="2"/>
  <c r="AM69" i="2"/>
  <c r="AM21" i="2"/>
  <c r="AM13" i="2"/>
  <c r="BE5" i="2"/>
  <c r="BE57" i="2"/>
  <c r="K21" i="8"/>
  <c r="B30" i="8"/>
  <c r="AB22" i="9"/>
  <c r="AO101" i="2"/>
  <c r="AO69" i="2"/>
  <c r="AO93" i="2"/>
  <c r="AO45" i="2"/>
  <c r="AO61" i="2"/>
  <c r="AO77" i="2"/>
  <c r="AO53" i="2"/>
  <c r="AO85" i="2"/>
  <c r="AO21" i="2"/>
  <c r="BG5" i="2"/>
  <c r="BG57" i="2"/>
  <c r="AO29" i="2"/>
  <c r="AO13" i="2"/>
  <c r="AO37" i="2"/>
  <c r="AB46" i="9"/>
  <c r="K45" i="8"/>
  <c r="B36" i="8"/>
  <c r="A46" i="2"/>
  <c r="BD27" i="2"/>
  <c r="B34" i="7"/>
  <c r="E16" i="1"/>
  <c r="B3" i="3"/>
  <c r="E17" i="1"/>
  <c r="B227" i="3"/>
  <c r="B226" i="3"/>
  <c r="B228" i="3"/>
  <c r="B229" i="3"/>
  <c r="AQ69" i="2"/>
  <c r="AQ85" i="2"/>
  <c r="AQ77" i="2"/>
  <c r="AQ45" i="2"/>
  <c r="AQ101" i="2"/>
  <c r="AQ53" i="2"/>
  <c r="AQ61" i="2"/>
  <c r="AQ93" i="2"/>
  <c r="AQ21" i="2"/>
  <c r="BI5" i="2"/>
  <c r="BI57" i="2"/>
  <c r="AQ13" i="2"/>
  <c r="AQ29" i="2"/>
  <c r="AQ37" i="2"/>
  <c r="AB23" i="9"/>
  <c r="B14" i="8"/>
  <c r="K22" i="8"/>
  <c r="K27" i="8"/>
  <c r="AB28" i="9"/>
  <c r="B28" i="8"/>
  <c r="AS101" i="2"/>
  <c r="AS53" i="2"/>
  <c r="AS69" i="2"/>
  <c r="AS85" i="2"/>
  <c r="AS77" i="2"/>
  <c r="AS37" i="2"/>
  <c r="AS61" i="2"/>
  <c r="AS45" i="2"/>
  <c r="AS13" i="2"/>
  <c r="AS29" i="2"/>
  <c r="AS21" i="2"/>
  <c r="AS93" i="2"/>
  <c r="BK5" i="2"/>
  <c r="BK57" i="2"/>
  <c r="A78" i="2"/>
  <c r="BD43" i="2"/>
  <c r="C200" i="3"/>
  <c r="C182" i="3"/>
  <c r="B200" i="3"/>
  <c r="C202" i="3"/>
  <c r="K3" i="4"/>
  <c r="K11" i="4"/>
  <c r="K19" i="4"/>
  <c r="K27" i="4"/>
  <c r="K35" i="4"/>
  <c r="K43" i="4"/>
  <c r="W3" i="4"/>
  <c r="W11" i="4"/>
  <c r="W19" i="4"/>
  <c r="W27" i="4"/>
  <c r="W35" i="4"/>
  <c r="W43" i="4"/>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c r="J19" i="4"/>
  <c r="J27" i="4"/>
  <c r="J35" i="4"/>
  <c r="J43" i="4"/>
  <c r="V3" i="4"/>
  <c r="V11" i="4"/>
  <c r="V19" i="4"/>
  <c r="V27" i="4"/>
  <c r="V35" i="4"/>
  <c r="V43" i="4"/>
  <c r="AT53" i="2"/>
  <c r="AT101" i="2"/>
  <c r="AT61" i="2"/>
  <c r="AT69" i="2"/>
  <c r="AT13" i="2"/>
  <c r="AT29" i="2"/>
  <c r="AT45" i="2"/>
  <c r="BL5" i="2"/>
  <c r="BL57" i="2"/>
  <c r="AT21" i="2"/>
  <c r="AB39" i="9"/>
  <c r="K38" i="8"/>
  <c r="B35" i="8"/>
  <c r="B25" i="8"/>
  <c r="AB42" i="9"/>
  <c r="K41" i="8"/>
  <c r="AB10" i="9"/>
  <c r="K9" i="8"/>
  <c r="B10" i="8"/>
  <c r="AB36" i="9"/>
  <c r="B49" i="8"/>
  <c r="K35" i="8"/>
  <c r="C256" i="3"/>
  <c r="AG158" i="2"/>
  <c r="C183" i="3"/>
  <c r="B201" i="3"/>
  <c r="C201" i="3"/>
  <c r="B33" i="8"/>
  <c r="AB43" i="9"/>
  <c r="K42" i="8"/>
  <c r="K20" i="8"/>
  <c r="AB21" i="9"/>
  <c r="B13" i="8"/>
  <c r="AB37" i="9"/>
  <c r="K36" i="8"/>
  <c r="B15" i="8"/>
  <c r="AN61" i="2"/>
  <c r="AN93" i="2"/>
  <c r="AN101" i="2"/>
  <c r="AN45" i="2"/>
  <c r="AN85" i="2"/>
  <c r="AN77" i="2"/>
  <c r="AN53" i="2"/>
  <c r="AN69" i="2"/>
  <c r="AN21" i="2"/>
  <c r="BF5" i="2"/>
  <c r="BF57" i="2"/>
  <c r="AN29" i="2"/>
  <c r="AN37" i="2"/>
  <c r="AN13" i="2"/>
  <c r="AB27" i="9"/>
  <c r="K26" i="8"/>
  <c r="B46" i="8"/>
  <c r="AB40" i="9"/>
  <c r="B3" i="8"/>
  <c r="K39" i="8"/>
  <c r="A80" i="2"/>
  <c r="BD45" i="2"/>
  <c r="A79" i="2"/>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c r="AL77" i="2"/>
  <c r="AY77" i="2"/>
  <c r="AL101" i="2"/>
  <c r="AL29" i="2"/>
  <c r="AY29" i="2"/>
  <c r="AL61" i="2"/>
  <c r="AY61" i="2"/>
  <c r="H3" i="4"/>
  <c r="H11" i="4"/>
  <c r="H19" i="4"/>
  <c r="H27" i="4"/>
  <c r="H35" i="4"/>
  <c r="H43" i="4"/>
  <c r="T3" i="4"/>
  <c r="T11" i="4"/>
  <c r="T19" i="4"/>
  <c r="T27" i="4"/>
  <c r="T35" i="4"/>
  <c r="T43" i="4"/>
  <c r="AL53" i="2"/>
  <c r="AY53" i="2"/>
  <c r="AL69" i="2"/>
  <c r="AY69" i="2"/>
  <c r="AL37" i="2"/>
  <c r="AY37" i="2"/>
  <c r="AL45" i="2"/>
  <c r="AY45" i="2"/>
  <c r="AL85" i="2"/>
  <c r="AY85" i="2"/>
  <c r="AL21" i="2"/>
  <c r="AY21" i="2"/>
  <c r="AL13" i="2"/>
  <c r="AY13" i="2"/>
  <c r="AY5" i="2"/>
  <c r="A47" i="2"/>
  <c r="BD28" i="2"/>
  <c r="R48" i="4"/>
  <c r="R46" i="4"/>
  <c r="R45" i="4"/>
  <c r="R43" i="4"/>
  <c r="AY80" i="2"/>
  <c r="AF80" i="2"/>
  <c r="AF78" i="2"/>
  <c r="AA77" i="2"/>
  <c r="R30" i="4"/>
  <c r="R29"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c r="R24" i="9"/>
  <c r="M2" i="9"/>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c r="BN31" i="4"/>
  <c r="BM31" i="4"/>
  <c r="BL8" i="2"/>
  <c r="BO5" i="4"/>
  <c r="BN5" i="4"/>
  <c r="BM5" i="4"/>
  <c r="BO4" i="4"/>
  <c r="BN4" i="4"/>
  <c r="BM4" i="4"/>
  <c r="BM6" i="4"/>
  <c r="BO6" i="4"/>
  <c r="BN6" i="4"/>
  <c r="BL32" i="2"/>
  <c r="BL18" i="2"/>
  <c r="BL50" i="2"/>
  <c r="BL36" i="2"/>
  <c r="BL29" i="2"/>
  <c r="BL43" i="2"/>
  <c r="BL9" i="2"/>
  <c r="BL44" i="2"/>
  <c r="BL22" i="2"/>
  <c r="BF15" i="2"/>
  <c r="BO15" i="2"/>
  <c r="BL16" i="2"/>
  <c r="BL14" i="2"/>
  <c r="BL31" i="2"/>
  <c r="BL51" i="2"/>
  <c r="BL23" i="2"/>
  <c r="BL17" i="2"/>
  <c r="BL12" i="2"/>
  <c r="BL35" i="2"/>
  <c r="AF72" i="9"/>
  <c r="AF62" i="9"/>
  <c r="AF52" i="9"/>
  <c r="AF45" i="9"/>
  <c r="AH14" i="9"/>
  <c r="W15" i="9"/>
  <c r="AF83" i="9"/>
  <c r="AH75" i="9"/>
  <c r="AH66" i="9"/>
  <c r="AH57" i="9"/>
  <c r="AF44" i="9"/>
  <c r="AF27" i="9"/>
  <c r="AF18" i="9"/>
  <c r="AH17" i="9"/>
  <c r="W18" i="9"/>
  <c r="AF9" i="9"/>
  <c r="BL24" i="2"/>
  <c r="BL34" i="2"/>
  <c r="BL46" i="2"/>
  <c r="BL15" i="2"/>
  <c r="BL40" i="2"/>
  <c r="AH64" i="9"/>
  <c r="AH54" i="9"/>
  <c r="AF49" i="9"/>
  <c r="AH31" i="9"/>
  <c r="W33" i="9"/>
  <c r="AH85" i="9"/>
  <c r="AF74" i="9"/>
  <c r="AF65" i="9"/>
  <c r="AF55" i="9"/>
  <c r="AH30" i="9"/>
  <c r="W32" i="9"/>
  <c r="AH26" i="9"/>
  <c r="W27" i="9"/>
  <c r="AH13" i="9"/>
  <c r="W14" i="9"/>
  <c r="AF48" i="9"/>
  <c r="BL52" i="2"/>
  <c r="BL53" i="2"/>
  <c r="BL19" i="2"/>
  <c r="BL33" i="2"/>
  <c r="BL48" i="2"/>
  <c r="BL42" i="2"/>
  <c r="BF17" i="2"/>
  <c r="BO17" i="2"/>
  <c r="AH86" i="9"/>
  <c r="BN48" i="4"/>
  <c r="BO48" i="4"/>
  <c r="BM48" i="4"/>
  <c r="BM47" i="4"/>
  <c r="BO47" i="4"/>
  <c r="BN47" i="4"/>
  <c r="BF45" i="2"/>
  <c r="BO45" i="2"/>
  <c r="BE45" i="2"/>
  <c r="BF31" i="2"/>
  <c r="BO31" i="2"/>
  <c r="BE31" i="2"/>
  <c r="BE43" i="2"/>
  <c r="BF43" i="2"/>
  <c r="BO43" i="2"/>
  <c r="BO40" i="4"/>
  <c r="BN40" i="4"/>
  <c r="BM40" i="4"/>
  <c r="BN51" i="4"/>
  <c r="BO51" i="4"/>
  <c r="BM51" i="4"/>
  <c r="BE52" i="2"/>
  <c r="AF84" i="9"/>
  <c r="AH76" i="9"/>
  <c r="AF56" i="9"/>
  <c r="AH47" i="9"/>
  <c r="W10" i="9"/>
  <c r="AH43" i="9"/>
  <c r="W49" i="9"/>
  <c r="AF39" i="9"/>
  <c r="AF35" i="9"/>
  <c r="AH34" i="9"/>
  <c r="W36" i="9"/>
  <c r="AF22" i="9"/>
  <c r="AH8" i="9"/>
  <c r="W8" i="9"/>
  <c r="AF85" i="9"/>
  <c r="AH77" i="9"/>
  <c r="AF75" i="9"/>
  <c r="AH67" i="9"/>
  <c r="AF66" i="9"/>
  <c r="AH58" i="9"/>
  <c r="AF57" i="9"/>
  <c r="AH38" i="9"/>
  <c r="W40" i="9"/>
  <c r="AF30" i="9"/>
  <c r="AF26" i="9"/>
  <c r="AH25" i="9"/>
  <c r="W26" i="9"/>
  <c r="AH21" i="9"/>
  <c r="W22" i="9"/>
  <c r="AF17" i="9"/>
  <c r="AF13" i="9"/>
  <c r="AH83" i="9"/>
  <c r="AF80" i="9"/>
  <c r="AH78" i="9"/>
  <c r="AH70" i="9"/>
  <c r="AH65" i="9"/>
  <c r="AH62" i="9"/>
  <c r="AF59" i="9"/>
  <c r="AH40" i="9"/>
  <c r="W44" i="9"/>
  <c r="AF3" i="9"/>
  <c r="AF86" i="9"/>
  <c r="AF51" i="9"/>
  <c r="AF46" i="9"/>
  <c r="AH41" i="9"/>
  <c r="W46" i="9"/>
  <c r="AF40" i="9"/>
  <c r="AF34" i="9"/>
  <c r="AH27" i="9"/>
  <c r="W28" i="9"/>
  <c r="AF20" i="9"/>
  <c r="AH15" i="9"/>
  <c r="W16" i="9"/>
  <c r="AF7" i="9"/>
  <c r="AH6" i="9"/>
  <c r="W6" i="9"/>
  <c r="AH81" i="9"/>
  <c r="AF78" i="9"/>
  <c r="AH73" i="9"/>
  <c r="AF70" i="9"/>
  <c r="AH68" i="9"/>
  <c r="AF54" i="9"/>
  <c r="AF47" i="9"/>
  <c r="AF21" i="9"/>
  <c r="AH16" i="9"/>
  <c r="W17" i="9"/>
  <c r="AF14" i="9"/>
  <c r="AF8" i="9"/>
  <c r="AF73" i="9"/>
  <c r="AH60" i="9"/>
  <c r="AH48" i="9"/>
  <c r="W45" i="9"/>
  <c r="AH42" i="9"/>
  <c r="W47" i="9"/>
  <c r="AF41" i="9"/>
  <c r="AH35" i="9"/>
  <c r="W37" i="9"/>
  <c r="AH29" i="9"/>
  <c r="W31" i="9"/>
  <c r="AH22" i="9"/>
  <c r="W23" i="9"/>
  <c r="AF15" i="9"/>
  <c r="AH9" i="9"/>
  <c r="W9" i="9"/>
  <c r="AF6" i="9"/>
  <c r="AH84" i="9"/>
  <c r="AF81" i="9"/>
  <c r="AF76" i="9"/>
  <c r="AH71" i="9"/>
  <c r="AF68" i="9"/>
  <c r="AH55" i="9"/>
  <c r="AH52" i="9"/>
  <c r="AF16" i="9"/>
  <c r="AH5" i="9"/>
  <c r="W5" i="9"/>
  <c r="AH79" i="9"/>
  <c r="AH63" i="9"/>
  <c r="AF60" i="9"/>
  <c r="AH49" i="9"/>
  <c r="W48" i="9"/>
  <c r="AH74" i="9"/>
  <c r="AF71" i="9"/>
  <c r="AF63" i="9"/>
  <c r="AF58" i="9"/>
  <c r="AH37" i="9"/>
  <c r="W39" i="9"/>
  <c r="AF82" i="9"/>
  <c r="AH80" i="9"/>
  <c r="AF64" i="9"/>
  <c r="AH59" i="9"/>
  <c r="AF53" i="9"/>
  <c r="AH45" i="9"/>
  <c r="W41" i="9"/>
  <c r="AH39" i="9"/>
  <c r="W43" i="9"/>
  <c r="AF32" i="9"/>
  <c r="AH19" i="9"/>
  <c r="W20" i="9"/>
  <c r="AF12" i="9"/>
  <c r="AH3" i="9"/>
  <c r="W3" i="9"/>
  <c r="AF61" i="9"/>
  <c r="AF50" i="9"/>
  <c r="AH44" i="9"/>
  <c r="W50" i="9"/>
  <c r="AH72" i="9"/>
  <c r="AH36" i="9"/>
  <c r="W38" i="9"/>
  <c r="AH32" i="9"/>
  <c r="W34" i="9"/>
  <c r="AF11" i="9"/>
  <c r="AH53" i="9"/>
  <c r="AF36" i="9"/>
  <c r="AH23" i="9"/>
  <c r="W24" i="9"/>
  <c r="AF5" i="9"/>
  <c r="AF79" i="9"/>
  <c r="AH56" i="9"/>
  <c r="AF23" i="9"/>
  <c r="AH46" i="9"/>
  <c r="W29" i="9"/>
  <c r="AF43" i="9"/>
  <c r="AF19" i="9"/>
  <c r="AF67" i="9"/>
  <c r="AF38" i="9"/>
  <c r="AF29" i="9"/>
  <c r="AF25" i="9"/>
  <c r="AH10" i="9"/>
  <c r="W11" i="9"/>
  <c r="AH12" i="9"/>
  <c r="W13" i="9"/>
  <c r="AF10" i="9"/>
  <c r="AH82" i="9"/>
  <c r="AH33" i="9"/>
  <c r="W35" i="9"/>
  <c r="AH69" i="9"/>
  <c r="AH51" i="9"/>
  <c r="AF42" i="9"/>
  <c r="AF33" i="9"/>
  <c r="AF31" i="9"/>
  <c r="AH18" i="9"/>
  <c r="W19" i="9"/>
  <c r="AF77" i="9"/>
  <c r="AH24" i="9"/>
  <c r="W25" i="9"/>
  <c r="AH20" i="9"/>
  <c r="W21" i="9"/>
  <c r="AH4" i="9"/>
  <c r="W4" i="9"/>
  <c r="AF69" i="9"/>
  <c r="AH61" i="9"/>
  <c r="AH50" i="9"/>
  <c r="W42" i="9"/>
  <c r="AF37" i="9"/>
  <c r="AH7" i="9"/>
  <c r="W7" i="9"/>
  <c r="AF24" i="9"/>
  <c r="AH11" i="9"/>
  <c r="W12" i="9"/>
  <c r="AF4" i="9"/>
  <c r="AH28" i="9"/>
  <c r="W30" i="9"/>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c r="BM12" i="4"/>
  <c r="BO12" i="4"/>
  <c r="BN12" i="4"/>
  <c r="BO17" i="4"/>
  <c r="BN17" i="4"/>
  <c r="BM17" i="4"/>
  <c r="BF10" i="2"/>
  <c r="BE10" i="2"/>
  <c r="BL28" i="2"/>
  <c r="BM11" i="4"/>
  <c r="BO11" i="4"/>
  <c r="BN11" i="4"/>
  <c r="BM36" i="4"/>
  <c r="BO36" i="4"/>
  <c r="BN36" i="4"/>
  <c r="BF39" i="2"/>
  <c r="BO39" i="2"/>
  <c r="BE39" i="2"/>
  <c r="BF30" i="2"/>
  <c r="BE30" i="2"/>
  <c r="BN25" i="4"/>
  <c r="BM25" i="4"/>
  <c r="BO25" i="4"/>
  <c r="BF6" i="2"/>
  <c r="BE6" i="2"/>
  <c r="BL21" i="2"/>
  <c r="BF34" i="2"/>
  <c r="BE34" i="2"/>
  <c r="BE25" i="2"/>
  <c r="BF25" i="2"/>
  <c r="BO25" i="2"/>
  <c r="BL37" i="2"/>
  <c r="BL26" i="2"/>
  <c r="BN14" i="4"/>
  <c r="BM14" i="4"/>
  <c r="BO14" i="4"/>
  <c r="BO42" i="4"/>
  <c r="BN42" i="4"/>
  <c r="BM42" i="4"/>
  <c r="BF27" i="2"/>
  <c r="BO27" i="2"/>
  <c r="BE27" i="2"/>
  <c r="BO34" i="4"/>
  <c r="BN34" i="4"/>
  <c r="BM34" i="4"/>
  <c r="BO15" i="4"/>
  <c r="BN15" i="4"/>
  <c r="BM15" i="4"/>
  <c r="BE46" i="2"/>
  <c r="BF46" i="2"/>
  <c r="BN21" i="4"/>
  <c r="BM21" i="4"/>
  <c r="BO21" i="4"/>
  <c r="BE20" i="2"/>
  <c r="BF20" i="2"/>
  <c r="BO20" i="2"/>
  <c r="BF41" i="2"/>
  <c r="BO41" i="2"/>
  <c r="BE41" i="2"/>
  <c r="BO10" i="4"/>
  <c r="BN10" i="4"/>
  <c r="BM10" i="4"/>
  <c r="BN49" i="4"/>
  <c r="BO49" i="4"/>
  <c r="BM49" i="4"/>
  <c r="BF8" i="2"/>
  <c r="BO8" i="2"/>
  <c r="BE8" i="2"/>
  <c r="BL25" i="2"/>
  <c r="BF42" i="2"/>
  <c r="BE42" i="2"/>
  <c r="BL7" i="2"/>
  <c r="BF11" i="2"/>
  <c r="BO11" i="2"/>
  <c r="BE11" i="2"/>
  <c r="BO7" i="4"/>
  <c r="BN7" i="4"/>
  <c r="BM7" i="4"/>
  <c r="BE51" i="2"/>
  <c r="BF51" i="2"/>
  <c r="BO51" i="2"/>
  <c r="BL10" i="2"/>
  <c r="BL27" i="2"/>
  <c r="BN26" i="4"/>
  <c r="BM26" i="4"/>
  <c r="BO26" i="4"/>
  <c r="BL41" i="2"/>
  <c r="BF49" i="2"/>
  <c r="BO49" i="2"/>
  <c r="BE49" i="2"/>
  <c r="BL38" i="2"/>
  <c r="BM38" i="4"/>
  <c r="BO38" i="4"/>
  <c r="BN38" i="4"/>
  <c r="BF9" i="2"/>
  <c r="BO9" i="2"/>
  <c r="BE9" i="2"/>
  <c r="BO39" i="4"/>
  <c r="BN39" i="4"/>
  <c r="BM39" i="4"/>
  <c r="BO30" i="4"/>
  <c r="BN30" i="4"/>
  <c r="BM30" i="4"/>
  <c r="BL13" i="2"/>
  <c r="BN13" i="4"/>
  <c r="BM13" i="4"/>
  <c r="BO13" i="4"/>
  <c r="BO27" i="4"/>
  <c r="BN27" i="4"/>
  <c r="BM27" i="4"/>
  <c r="BO45" i="4"/>
  <c r="BN45" i="4"/>
  <c r="BM45" i="4"/>
  <c r="BE17" i="2"/>
  <c r="BE44" i="2"/>
  <c r="BF44" i="2"/>
  <c r="BO44" i="2"/>
  <c r="BO16" i="4"/>
  <c r="BM16" i="4"/>
  <c r="BN16" i="4"/>
  <c r="BM19" i="4"/>
  <c r="BO19" i="4"/>
  <c r="BN19" i="4"/>
  <c r="BF38" i="2"/>
  <c r="BE38" i="2"/>
  <c r="BF32" i="2"/>
  <c r="BO32" i="2"/>
  <c r="BE32" i="2"/>
  <c r="BO46" i="4"/>
  <c r="BN46" i="4"/>
  <c r="BM46" i="4"/>
  <c r="BO28" i="4"/>
  <c r="BN28" i="4"/>
  <c r="BM28" i="4"/>
  <c r="BO41" i="4"/>
  <c r="BE50" i="2"/>
  <c r="BF52" i="2"/>
  <c r="BO52" i="2"/>
  <c r="BL30" i="2"/>
  <c r="BL20" i="2"/>
  <c r="BF47" i="2"/>
  <c r="BO47" i="2"/>
  <c r="BE47" i="2"/>
  <c r="BF21" i="2"/>
  <c r="BO21" i="2"/>
  <c r="BE21" i="2"/>
  <c r="BF36" i="2"/>
  <c r="BO36" i="2"/>
  <c r="BE36" i="2"/>
  <c r="BF37" i="2"/>
  <c r="BO37" i="2"/>
  <c r="BE37" i="2"/>
  <c r="BE16" i="2"/>
  <c r="BF40" i="2"/>
  <c r="BO40" i="2"/>
  <c r="BN18" i="4"/>
  <c r="BL45" i="2"/>
  <c r="BE12" i="2"/>
  <c r="BO8" i="4"/>
  <c r="BM8" i="4"/>
  <c r="BF19" i="2"/>
  <c r="BO19" i="2"/>
  <c r="BL47" i="2"/>
  <c r="BE29" i="2"/>
  <c r="BE13" i="2"/>
  <c r="BO50" i="4"/>
  <c r="BE26" i="2"/>
  <c r="BN44" i="4"/>
  <c r="BN9" i="4"/>
  <c r="BO9" i="4"/>
  <c r="BF48" i="2"/>
  <c r="BO48" i="2"/>
  <c r="BF28" i="2"/>
  <c r="BO28" i="2"/>
  <c r="BE28" i="2"/>
  <c r="BM29" i="4"/>
  <c r="BO29" i="4"/>
  <c r="BN29" i="4"/>
  <c r="BE24" i="2"/>
  <c r="BF18" i="2"/>
  <c r="BO37" i="4"/>
  <c r="BO24" i="4"/>
  <c r="BF22" i="2"/>
  <c r="BF33" i="2"/>
  <c r="BO33" i="2"/>
  <c r="BF7" i="2"/>
  <c r="BO7" i="2"/>
  <c r="BN33" i="4"/>
  <c r="BE53" i="2"/>
  <c r="BO32" i="4"/>
  <c r="BM43" i="4"/>
  <c r="BN43" i="4"/>
  <c r="BN23" i="4"/>
  <c r="BO23" i="4"/>
  <c r="BF35" i="2"/>
  <c r="BO35" i="2"/>
  <c r="BL49" i="2"/>
  <c r="BN41" i="4"/>
  <c r="BM41" i="4"/>
  <c r="BE15" i="2"/>
  <c r="BO22" i="4"/>
  <c r="BN22" i="4"/>
  <c r="BM22" i="4"/>
  <c r="BO35" i="4"/>
  <c r="BN35" i="4"/>
  <c r="BM35" i="4"/>
  <c r="BO20" i="4"/>
  <c r="BN20" i="4"/>
  <c r="BM20" i="4"/>
  <c r="BF50" i="2"/>
  <c r="BF16" i="2"/>
  <c r="BO16" i="2"/>
  <c r="BE40" i="2"/>
  <c r="BO18" i="4"/>
  <c r="BM18" i="4"/>
  <c r="BF12" i="2"/>
  <c r="BO12" i="2"/>
  <c r="BN8" i="4"/>
  <c r="BE19" i="2"/>
  <c r="BL39" i="2"/>
  <c r="BF29" i="2"/>
  <c r="BO29" i="2"/>
  <c r="BF13" i="2"/>
  <c r="BO13" i="2"/>
  <c r="BN50" i="4"/>
  <c r="BM50" i="4"/>
  <c r="BF26" i="2"/>
  <c r="BO44" i="4"/>
  <c r="BM44" i="4"/>
  <c r="BM9" i="4"/>
  <c r="BE48" i="2"/>
  <c r="BF24" i="2"/>
  <c r="BO24" i="2"/>
  <c r="BL11" i="2"/>
  <c r="BE18" i="2"/>
  <c r="BN37" i="4"/>
  <c r="BM37" i="4"/>
  <c r="BN24" i="4"/>
  <c r="BM24" i="4"/>
  <c r="BE22" i="2"/>
  <c r="BE33" i="2"/>
  <c r="BE7" i="2"/>
  <c r="BO33" i="4"/>
  <c r="BM33" i="4"/>
  <c r="BF53" i="2"/>
  <c r="BO53" i="2"/>
  <c r="BN32" i="4"/>
  <c r="BM32" i="4"/>
  <c r="BO43" i="4"/>
  <c r="BF14" i="2"/>
  <c r="BE14" i="2"/>
  <c r="BM23" i="4"/>
  <c r="BL6" i="2"/>
  <c r="BE35" i="2"/>
  <c r="BO14" i="2"/>
  <c r="BL31" i="4"/>
  <c r="BK31" i="4"/>
  <c r="BJ31" i="4"/>
  <c r="BL5" i="4"/>
  <c r="BK5" i="4"/>
  <c r="BJ5" i="4"/>
  <c r="BL4" i="4"/>
  <c r="BK4" i="4"/>
  <c r="BJ4" i="4"/>
  <c r="BL6" i="4"/>
  <c r="BK6" i="4"/>
  <c r="BJ6" i="4"/>
  <c r="BO50" i="2"/>
  <c r="U72" i="9"/>
  <c r="AG55" i="9"/>
  <c r="V55" i="9"/>
  <c r="U55" i="9"/>
  <c r="AG48" i="9"/>
  <c r="V45" i="9"/>
  <c r="AG49" i="9"/>
  <c r="V48" i="9"/>
  <c r="U48" i="9"/>
  <c r="AG74" i="9"/>
  <c r="V74" i="9"/>
  <c r="U74" i="9"/>
  <c r="U45" i="9"/>
  <c r="AG65" i="9"/>
  <c r="V65" i="9"/>
  <c r="U65" i="9"/>
  <c r="AG18" i="9"/>
  <c r="V19" i="9"/>
  <c r="U19" i="9"/>
  <c r="AG27" i="9"/>
  <c r="V28" i="9"/>
  <c r="U28" i="9"/>
  <c r="AG44" i="9"/>
  <c r="V50" i="9"/>
  <c r="U50" i="9"/>
  <c r="AG52" i="9"/>
  <c r="V52" i="9"/>
  <c r="U52" i="9"/>
  <c r="AG9" i="9"/>
  <c r="V9" i="9"/>
  <c r="U9" i="9"/>
  <c r="AG83" i="9"/>
  <c r="V83" i="9"/>
  <c r="U83" i="9"/>
  <c r="AG45" i="9"/>
  <c r="V41" i="9"/>
  <c r="U41" i="9"/>
  <c r="AG62" i="9"/>
  <c r="V62" i="9"/>
  <c r="U62" i="9"/>
  <c r="AG72" i="9"/>
  <c r="V72" i="9"/>
  <c r="BL8" i="4"/>
  <c r="BK8" i="4"/>
  <c r="BJ8" i="4"/>
  <c r="BL45" i="4"/>
  <c r="BK45" i="4"/>
  <c r="BJ45" i="4"/>
  <c r="BL17" i="4"/>
  <c r="BK17" i="4"/>
  <c r="BJ17" i="4"/>
  <c r="BL36" i="4"/>
  <c r="BK36" i="4"/>
  <c r="BJ36" i="4"/>
  <c r="BL28" i="4"/>
  <c r="BK28" i="4"/>
  <c r="BJ28" i="4"/>
  <c r="BL7" i="4"/>
  <c r="BK7" i="4"/>
  <c r="BJ7" i="4"/>
  <c r="BL43" i="4"/>
  <c r="BK43" i="4"/>
  <c r="BJ43" i="4"/>
  <c r="BL46" i="4"/>
  <c r="BK46" i="4"/>
  <c r="BJ46" i="4"/>
  <c r="BL30" i="4"/>
  <c r="BK30" i="4"/>
  <c r="BJ30" i="4"/>
  <c r="BL26" i="4"/>
  <c r="BK26" i="4"/>
  <c r="BJ26" i="4"/>
  <c r="BL51" i="4"/>
  <c r="BK51" i="4"/>
  <c r="BJ51" i="4"/>
  <c r="BL24" i="4"/>
  <c r="BK24" i="4"/>
  <c r="BJ24" i="4"/>
  <c r="BL29" i="4"/>
  <c r="BK29" i="4"/>
  <c r="BJ29" i="4"/>
  <c r="BL40" i="4"/>
  <c r="BK40" i="4"/>
  <c r="BJ40" i="4"/>
  <c r="BL47" i="4"/>
  <c r="BK47" i="4"/>
  <c r="BJ47" i="4"/>
  <c r="BO6" i="2"/>
  <c r="H101" i="2"/>
  <c r="DK9" i="2"/>
  <c r="DK7" i="2"/>
  <c r="AG77" i="9"/>
  <c r="V77" i="9"/>
  <c r="U77" i="9"/>
  <c r="DK19" i="2"/>
  <c r="DK18" i="2"/>
  <c r="AG14" i="9"/>
  <c r="V15" i="9"/>
  <c r="U15" i="9"/>
  <c r="DK50" i="2"/>
  <c r="DK52" i="2"/>
  <c r="AG67" i="9"/>
  <c r="V67" i="9"/>
  <c r="U67" i="9"/>
  <c r="DK13" i="2"/>
  <c r="DK11" i="2"/>
  <c r="AG19" i="9"/>
  <c r="V20" i="9"/>
  <c r="U20" i="9"/>
  <c r="AG15" i="9"/>
  <c r="V16" i="9"/>
  <c r="U16" i="9"/>
  <c r="AG37" i="9"/>
  <c r="V39" i="9"/>
  <c r="U39" i="9"/>
  <c r="BL48" i="4"/>
  <c r="BK48" i="4"/>
  <c r="BJ48" i="4"/>
  <c r="AG28" i="9"/>
  <c r="V30" i="9"/>
  <c r="U30" i="9"/>
  <c r="BO42" i="2"/>
  <c r="DK42" i="2"/>
  <c r="DK44" i="2"/>
  <c r="DK45" i="2"/>
  <c r="DK8" i="2"/>
  <c r="DK6" i="2"/>
  <c r="AG25" i="9"/>
  <c r="V26" i="9"/>
  <c r="U26" i="9"/>
  <c r="AG36" i="9"/>
  <c r="V38" i="9"/>
  <c r="U38" i="9"/>
  <c r="BO18" i="2"/>
  <c r="DK21" i="2"/>
  <c r="DK20" i="2"/>
  <c r="AG6" i="9"/>
  <c r="V6" i="9"/>
  <c r="U6" i="9"/>
  <c r="AG39" i="9"/>
  <c r="V43" i="9"/>
  <c r="U43" i="9"/>
  <c r="H112" i="2"/>
  <c r="AG24" i="9"/>
  <c r="V25" i="9"/>
  <c r="U25" i="9"/>
  <c r="AG53" i="9"/>
  <c r="V53" i="9"/>
  <c r="U53" i="9"/>
  <c r="AG57" i="9"/>
  <c r="V57" i="9"/>
  <c r="BO10" i="2"/>
  <c r="DK12" i="2"/>
  <c r="DK10" i="2"/>
  <c r="H102" i="2"/>
  <c r="AG42" i="9"/>
  <c r="V47" i="9"/>
  <c r="U47" i="9"/>
  <c r="H104" i="2"/>
  <c r="BO22" i="2"/>
  <c r="DK23" i="2"/>
  <c r="DK24" i="2"/>
  <c r="H105" i="2"/>
  <c r="DK22" i="2"/>
  <c r="DK25" i="2"/>
  <c r="BO46" i="2"/>
  <c r="DK47" i="2"/>
  <c r="DK49" i="2"/>
  <c r="DK48" i="2"/>
  <c r="H111" i="2"/>
  <c r="DK46" i="2"/>
  <c r="AG4" i="9"/>
  <c r="V4" i="9"/>
  <c r="U4" i="9"/>
  <c r="AG29" i="9"/>
  <c r="V31" i="9"/>
  <c r="U31" i="9"/>
  <c r="AG8" i="9"/>
  <c r="V8" i="9"/>
  <c r="U8" i="9"/>
  <c r="AG7" i="9"/>
  <c r="V7" i="9"/>
  <c r="U7" i="9"/>
  <c r="AG59" i="9"/>
  <c r="V59" i="9"/>
  <c r="U59" i="9"/>
  <c r="AG30" i="9"/>
  <c r="V32" i="9"/>
  <c r="U32" i="9"/>
  <c r="AG35" i="9"/>
  <c r="V37" i="9"/>
  <c r="U37" i="9"/>
  <c r="AG31" i="9"/>
  <c r="V33" i="9"/>
  <c r="U33" i="9"/>
  <c r="AG38" i="9"/>
  <c r="V40" i="9"/>
  <c r="U40" i="9"/>
  <c r="AG11" i="9"/>
  <c r="V12" i="9"/>
  <c r="U12" i="9"/>
  <c r="AG60" i="9"/>
  <c r="V60" i="9"/>
  <c r="U60" i="9"/>
  <c r="DK51" i="2"/>
  <c r="DK53" i="2"/>
  <c r="AG33" i="9"/>
  <c r="V35" i="9"/>
  <c r="U35" i="9"/>
  <c r="AG20" i="9"/>
  <c r="V21" i="9"/>
  <c r="U21" i="9"/>
  <c r="U57" i="9"/>
  <c r="AG21" i="9"/>
  <c r="V22" i="9"/>
  <c r="U22" i="9"/>
  <c r="AG43" i="9"/>
  <c r="V49" i="9"/>
  <c r="AG23" i="9"/>
  <c r="V24" i="9"/>
  <c r="U24" i="9"/>
  <c r="BO34" i="2"/>
  <c r="BO30" i="2"/>
  <c r="H107" i="2"/>
  <c r="DK33" i="2"/>
  <c r="AG10" i="9"/>
  <c r="V11" i="9"/>
  <c r="U11" i="9"/>
  <c r="AG79" i="9"/>
  <c r="V79" i="9"/>
  <c r="U79" i="9"/>
  <c r="DK17" i="2"/>
  <c r="DK14" i="2"/>
  <c r="DK16" i="2"/>
  <c r="H103" i="2"/>
  <c r="DK15" i="2"/>
  <c r="AG5" i="9"/>
  <c r="V5" i="9"/>
  <c r="U5" i="9"/>
  <c r="BL49" i="4"/>
  <c r="BK49" i="4"/>
  <c r="BJ49" i="4"/>
  <c r="BL37" i="4"/>
  <c r="BK37" i="4"/>
  <c r="BJ37" i="4"/>
  <c r="BL22" i="4"/>
  <c r="BK22" i="4"/>
  <c r="BJ22" i="4"/>
  <c r="BL23" i="4"/>
  <c r="BK23" i="4"/>
  <c r="BJ23" i="4"/>
  <c r="BL41" i="4"/>
  <c r="BK41" i="4"/>
  <c r="BJ41" i="4"/>
  <c r="BL11" i="4"/>
  <c r="BK11" i="4"/>
  <c r="BJ11" i="4"/>
  <c r="BL12" i="4"/>
  <c r="BK12" i="4"/>
  <c r="BJ12" i="4"/>
  <c r="BL44" i="4"/>
  <c r="BK44" i="4"/>
  <c r="BJ44" i="4"/>
  <c r="BL18" i="4"/>
  <c r="BK18" i="4"/>
  <c r="BJ18" i="4"/>
  <c r="BL35" i="4"/>
  <c r="BK35" i="4"/>
  <c r="BJ35" i="4"/>
  <c r="BL14" i="4"/>
  <c r="BK14" i="4"/>
  <c r="BJ14" i="4"/>
  <c r="BL25" i="4"/>
  <c r="BK25" i="4"/>
  <c r="BJ25" i="4"/>
  <c r="BL33" i="4"/>
  <c r="BK33" i="4"/>
  <c r="BJ33" i="4"/>
  <c r="BL34" i="4"/>
  <c r="BK34" i="4"/>
  <c r="BJ34" i="4"/>
  <c r="BL19" i="4"/>
  <c r="BK19" i="4"/>
  <c r="BJ19" i="4"/>
  <c r="BL27" i="4"/>
  <c r="BK27" i="4"/>
  <c r="BJ27" i="4"/>
  <c r="BL21" i="4"/>
  <c r="BK21" i="4"/>
  <c r="BJ21" i="4"/>
  <c r="BL42" i="4"/>
  <c r="BK42" i="4"/>
  <c r="BJ42" i="4"/>
  <c r="BL32" i="4"/>
  <c r="BK32" i="4"/>
  <c r="BJ32" i="4"/>
  <c r="BL50" i="4"/>
  <c r="BK50" i="4"/>
  <c r="BJ50" i="4"/>
  <c r="BL16" i="4"/>
  <c r="BK16" i="4"/>
  <c r="BJ16" i="4"/>
  <c r="BL39" i="4"/>
  <c r="BK39" i="4"/>
  <c r="BJ39" i="4"/>
  <c r="BL9" i="4"/>
  <c r="BK9" i="4"/>
  <c r="BJ9" i="4"/>
  <c r="BL20" i="4"/>
  <c r="BK20" i="4"/>
  <c r="BJ20" i="4"/>
  <c r="BL13" i="4"/>
  <c r="BK13" i="4"/>
  <c r="BJ13" i="4"/>
  <c r="BL38" i="4"/>
  <c r="BK38" i="4"/>
  <c r="BJ38" i="4"/>
  <c r="BL10" i="4"/>
  <c r="BK10" i="4"/>
  <c r="BJ10" i="4"/>
  <c r="BL15" i="4"/>
  <c r="BK15" i="4"/>
  <c r="BJ15" i="4"/>
  <c r="AG71" i="9"/>
  <c r="V71" i="9"/>
  <c r="U71" i="9"/>
  <c r="AG76" i="9"/>
  <c r="V76" i="9"/>
  <c r="U76" i="9"/>
  <c r="AG3" i="9"/>
  <c r="V3" i="9"/>
  <c r="U3" i="9"/>
  <c r="AG22" i="9"/>
  <c r="V23" i="9"/>
  <c r="U23" i="9"/>
  <c r="DK43" i="2"/>
  <c r="H110" i="2"/>
  <c r="AG32" i="9"/>
  <c r="V34" i="9"/>
  <c r="U34" i="9"/>
  <c r="AG81" i="9"/>
  <c r="V81" i="9"/>
  <c r="U81" i="9"/>
  <c r="AG73" i="9"/>
  <c r="V73" i="9"/>
  <c r="U73" i="9"/>
  <c r="AG26" i="9"/>
  <c r="V27" i="9"/>
  <c r="U27" i="9"/>
  <c r="U49" i="9"/>
  <c r="AG64" i="9"/>
  <c r="V64" i="9"/>
  <c r="U64" i="9"/>
  <c r="AG47" i="9"/>
  <c r="V10" i="9"/>
  <c r="U10" i="9"/>
  <c r="AG34" i="9"/>
  <c r="V36" i="9"/>
  <c r="U36" i="9"/>
  <c r="AG66" i="9"/>
  <c r="V66" i="9"/>
  <c r="U66" i="9"/>
  <c r="AG56" i="9"/>
  <c r="V56" i="9"/>
  <c r="U56" i="9"/>
  <c r="BO26" i="2"/>
  <c r="H106" i="2"/>
  <c r="DK27" i="2"/>
  <c r="DK26" i="2"/>
  <c r="DK29" i="2"/>
  <c r="DK28" i="2"/>
  <c r="AG16" i="9"/>
  <c r="V17" i="9"/>
  <c r="U17" i="9"/>
  <c r="AG54" i="9"/>
  <c r="V54" i="9"/>
  <c r="U54" i="9"/>
  <c r="AG40" i="9"/>
  <c r="V44" i="9"/>
  <c r="U44" i="9"/>
  <c r="AG80" i="9"/>
  <c r="V80" i="9"/>
  <c r="U80" i="9"/>
  <c r="AG50" i="9"/>
  <c r="V42" i="9"/>
  <c r="U42" i="9"/>
  <c r="AG82" i="9"/>
  <c r="V82" i="9"/>
  <c r="U82" i="9"/>
  <c r="AG75" i="9"/>
  <c r="V75" i="9"/>
  <c r="AG58" i="9"/>
  <c r="V58" i="9"/>
  <c r="AG68" i="9"/>
  <c r="V68" i="9"/>
  <c r="U68" i="9"/>
  <c r="AG51" i="9"/>
  <c r="V51" i="9"/>
  <c r="U51" i="9"/>
  <c r="AG12" i="9"/>
  <c r="V13" i="9"/>
  <c r="U13" i="9"/>
  <c r="AG78" i="9"/>
  <c r="V78" i="9"/>
  <c r="U78" i="9"/>
  <c r="U75" i="9"/>
  <c r="AG84" i="9"/>
  <c r="V84" i="9"/>
  <c r="U84" i="9"/>
  <c r="AG69" i="9"/>
  <c r="V69" i="9"/>
  <c r="U69" i="9"/>
  <c r="AG61" i="9"/>
  <c r="V61" i="9"/>
  <c r="U61" i="9"/>
  <c r="AG41" i="9"/>
  <c r="V46" i="9"/>
  <c r="U46" i="9"/>
  <c r="AG70" i="9"/>
  <c r="V70" i="9"/>
  <c r="U70" i="9"/>
  <c r="AG46" i="9"/>
  <c r="V29" i="9"/>
  <c r="U29" i="9"/>
  <c r="AG13" i="9"/>
  <c r="V14" i="9"/>
  <c r="U14" i="9"/>
  <c r="BO38" i="2"/>
  <c r="H109" i="2"/>
  <c r="DK41" i="2"/>
  <c r="DK38" i="2"/>
  <c r="DK39" i="2"/>
  <c r="DK40" i="2"/>
  <c r="DK36" i="2"/>
  <c r="DK34" i="2"/>
  <c r="DK37" i="2"/>
  <c r="DK35" i="2"/>
  <c r="H108" i="2"/>
  <c r="DK30" i="2"/>
  <c r="DK32" i="2"/>
  <c r="DK31" i="2"/>
  <c r="U58" i="9"/>
  <c r="AG17" i="9"/>
  <c r="V18" i="9"/>
  <c r="U18" i="9"/>
  <c r="AG85" i="9"/>
  <c r="V85" i="9"/>
  <c r="U85" i="9"/>
  <c r="AG63" i="9"/>
  <c r="V63" i="9"/>
  <c r="U63" i="9"/>
  <c r="AG86" i="9"/>
  <c r="V86" i="9"/>
  <c r="U86" i="9"/>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c r="X21" i="2"/>
  <c r="Y57" i="2"/>
  <c r="X57" i="2"/>
  <c r="Y123" i="2"/>
  <c r="BQ12" i="2"/>
  <c r="BR12" i="2"/>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c r="BQ36" i="2"/>
  <c r="BR36" i="2"/>
  <c r="BQ24" i="2"/>
  <c r="BR24" i="2"/>
  <c r="BQ42" i="2"/>
  <c r="BR42" i="2"/>
  <c r="BQ8" i="2"/>
  <c r="BR8" i="2"/>
  <c r="BQ47" i="2"/>
  <c r="BR47" i="2"/>
  <c r="BQ39" i="2"/>
  <c r="BR39" i="2"/>
  <c r="BQ40" i="2"/>
  <c r="BR40" i="2"/>
  <c r="BQ44" i="2"/>
  <c r="BR44" i="2"/>
  <c r="BQ41" i="2"/>
  <c r="BR41" i="2"/>
  <c r="BQ11" i="2"/>
  <c r="BR11" i="2"/>
  <c r="BQ27" i="2"/>
  <c r="BR27" i="2"/>
  <c r="BQ45" i="2"/>
  <c r="BR45" i="2"/>
  <c r="BQ33" i="2"/>
  <c r="BR33" i="2"/>
  <c r="BQ35" i="2"/>
  <c r="BR35" i="2"/>
  <c r="AK99" i="2"/>
  <c r="AY101" i="2"/>
  <c r="BQ26" i="2"/>
  <c r="BR26" i="2"/>
  <c r="BQ7" i="2"/>
  <c r="BR7" i="2"/>
  <c r="BQ38" i="2"/>
  <c r="BR38" i="2"/>
  <c r="BQ51" i="2"/>
  <c r="BR51" i="2"/>
  <c r="BQ6" i="2"/>
  <c r="BR6" i="2"/>
  <c r="BQ20" i="2"/>
  <c r="BR20" i="2"/>
  <c r="BQ53" i="2"/>
  <c r="BR53" i="2"/>
  <c r="BQ18" i="2"/>
  <c r="BR18" i="2"/>
  <c r="BQ48" i="2"/>
  <c r="BR48" i="2"/>
  <c r="BQ22" i="2"/>
  <c r="BR22" i="2"/>
  <c r="BQ50" i="2"/>
  <c r="BR50" i="2"/>
  <c r="BQ16" i="2"/>
  <c r="BR16" i="2"/>
  <c r="BQ52" i="2"/>
  <c r="BR52" i="2"/>
  <c r="BQ17" i="2"/>
  <c r="BR17" i="2"/>
  <c r="BQ29" i="2"/>
  <c r="BR29" i="2"/>
  <c r="BQ9" i="2"/>
  <c r="BR9" i="2"/>
  <c r="BQ25" i="2"/>
  <c r="BR25" i="2"/>
  <c r="BQ32" i="2"/>
  <c r="BR32" i="2"/>
  <c r="BQ23" i="2"/>
  <c r="BR23" i="2"/>
  <c r="BQ43" i="2"/>
  <c r="BR43" i="2"/>
  <c r="BQ34" i="2"/>
  <c r="BQ49" i="2"/>
  <c r="BR49" i="2"/>
  <c r="BQ37" i="2"/>
  <c r="BR37" i="2"/>
  <c r="BQ46" i="2"/>
  <c r="BR46" i="2"/>
  <c r="BQ14" i="2"/>
  <c r="BR14" i="2"/>
  <c r="BQ30" i="2"/>
  <c r="BR30" i="2"/>
  <c r="BQ31" i="2"/>
  <c r="BR31" i="2"/>
  <c r="BQ13" i="2"/>
  <c r="BQ10" i="2"/>
  <c r="BR10" i="2"/>
  <c r="BQ15" i="2"/>
  <c r="BR15" i="2"/>
  <c r="BQ21" i="2"/>
  <c r="BR21" i="2"/>
  <c r="BQ19" i="2"/>
  <c r="BR13" i="2"/>
  <c r="BR34" i="2"/>
  <c r="BR19" i="2"/>
  <c r="BS46" i="2"/>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c r="F33" i="2"/>
  <c r="BT24" i="2"/>
  <c r="F40" i="2"/>
  <c r="BT23" i="2"/>
  <c r="E40" i="2"/>
  <c r="BT22" i="2"/>
  <c r="F41" i="2"/>
  <c r="BT31" i="2"/>
  <c r="E56" i="2"/>
  <c r="BT6" i="2"/>
  <c r="F8" i="2"/>
  <c r="BT10" i="2"/>
  <c r="F16" i="2"/>
  <c r="BT46" i="2"/>
  <c r="F88" i="2"/>
  <c r="BT36" i="2"/>
  <c r="F64" i="2"/>
  <c r="BT40" i="2"/>
  <c r="BT47" i="2"/>
  <c r="E89" i="2"/>
  <c r="BT43" i="2"/>
  <c r="E80" i="2"/>
  <c r="BT51" i="2"/>
  <c r="E97" i="2"/>
  <c r="BT41" i="2"/>
  <c r="E72" i="2"/>
  <c r="BT38" i="2"/>
  <c r="F72" i="2"/>
  <c r="BT44" i="2"/>
  <c r="F80" i="2"/>
  <c r="BT14" i="2"/>
  <c r="F24" i="2"/>
  <c r="BT42" i="2"/>
  <c r="F81" i="2"/>
  <c r="BT9" i="2"/>
  <c r="E8" i="2"/>
  <c r="BT28" i="2"/>
  <c r="F48" i="2"/>
  <c r="BT48" i="2"/>
  <c r="F89" i="2"/>
  <c r="BT49" i="2"/>
  <c r="E88" i="2"/>
  <c r="BT21" i="2"/>
  <c r="E32" i="2"/>
  <c r="BT33" i="2"/>
  <c r="E57" i="2"/>
  <c r="BT12" i="2"/>
  <c r="F17" i="2"/>
  <c r="BT29" i="2"/>
  <c r="E49" i="2"/>
  <c r="BT37" i="2"/>
  <c r="E65" i="2"/>
  <c r="BT8" i="2"/>
  <c r="F9" i="2"/>
  <c r="BT18" i="2"/>
  <c r="F32" i="2"/>
  <c r="BT11" i="2"/>
  <c r="E17" i="2"/>
  <c r="BT25" i="2"/>
  <c r="E41" i="2"/>
  <c r="BT39" i="2"/>
  <c r="E73" i="2"/>
  <c r="BT52" i="2"/>
  <c r="F97" i="2"/>
  <c r="BT16" i="2"/>
  <c r="F25" i="2"/>
  <c r="BT32" i="2"/>
  <c r="F56" i="2"/>
  <c r="BT17" i="2"/>
  <c r="E24" i="2"/>
  <c r="BT35" i="2"/>
  <c r="E64" i="2"/>
  <c r="BT26" i="2"/>
  <c r="F49" i="2"/>
  <c r="BT50" i="2"/>
  <c r="F96" i="2"/>
  <c r="BT30" i="2"/>
  <c r="F57" i="2"/>
  <c r="BT34" i="2"/>
  <c r="F65" i="2"/>
  <c r="BT7" i="2"/>
  <c r="E9" i="2"/>
  <c r="BT27" i="2"/>
  <c r="E48" i="2"/>
  <c r="BT13" i="2"/>
  <c r="E16" i="2"/>
  <c r="BT15" i="2"/>
  <c r="E25" i="2"/>
  <c r="BT45" i="2"/>
  <c r="E81" i="2"/>
  <c r="BT19" i="2"/>
  <c r="E33" i="2"/>
  <c r="BT53" i="2"/>
  <c r="E96" i="2"/>
  <c r="F92" i="2"/>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c r="BX51" i="2"/>
  <c r="BX46" i="2"/>
  <c r="BX49" i="2"/>
  <c r="BX43" i="2"/>
  <c r="BX45" i="2"/>
  <c r="BX39" i="2"/>
  <c r="BX41" i="2"/>
  <c r="BX37" i="2"/>
  <c r="BX34" i="2"/>
  <c r="BX32" i="2"/>
  <c r="BX33" i="2"/>
  <c r="BX26" i="2"/>
  <c r="BX24" i="2"/>
  <c r="BX22" i="2"/>
  <c r="BX19" i="2"/>
  <c r="BX18" i="2"/>
  <c r="BX21" i="2"/>
  <c r="BX15" i="2"/>
  <c r="BX14" i="2"/>
  <c r="BX12" i="2"/>
  <c r="BX10" i="2"/>
  <c r="BX11" i="2"/>
  <c r="BX9" i="2"/>
  <c r="BX13" i="2"/>
  <c r="BX7" i="2"/>
  <c r="BY52" i="2"/>
  <c r="BY53" i="2"/>
  <c r="BY51" i="2"/>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c r="H73" i="2"/>
  <c r="BZ36" i="2"/>
  <c r="I64" i="2"/>
  <c r="BZ27" i="2"/>
  <c r="H48" i="2"/>
  <c r="BZ12" i="2"/>
  <c r="I17" i="2"/>
  <c r="BZ53" i="2"/>
  <c r="BZ25" i="2"/>
  <c r="H41" i="2"/>
  <c r="BZ51" i="2"/>
  <c r="BZ16" i="2"/>
  <c r="I25" i="2"/>
  <c r="BZ29" i="2"/>
  <c r="H49" i="2"/>
  <c r="BZ28" i="2"/>
  <c r="I48" i="2"/>
  <c r="BZ43" i="2"/>
  <c r="H80" i="2"/>
  <c r="BZ40" i="2"/>
  <c r="I73" i="2"/>
  <c r="BZ10" i="2"/>
  <c r="I16" i="2"/>
  <c r="BZ8" i="2"/>
  <c r="BZ31" i="2"/>
  <c r="H56" i="2"/>
  <c r="BZ24" i="2"/>
  <c r="I40" i="2"/>
  <c r="BZ22" i="2"/>
  <c r="BZ45" i="2"/>
  <c r="H81" i="2"/>
  <c r="BZ23" i="2"/>
  <c r="H40" i="2"/>
  <c r="BZ33" i="2"/>
  <c r="H57" i="2"/>
  <c r="BZ21" i="2"/>
  <c r="H32" i="2"/>
  <c r="BZ50" i="2"/>
  <c r="I96" i="2"/>
  <c r="BZ34" i="2"/>
  <c r="BZ42" i="2"/>
  <c r="I81" i="2"/>
  <c r="BZ41" i="2"/>
  <c r="H72" i="2"/>
  <c r="BZ19" i="2"/>
  <c r="BZ30" i="2"/>
  <c r="BZ9" i="2"/>
  <c r="H8" i="2"/>
  <c r="BZ32" i="2"/>
  <c r="I56" i="2"/>
  <c r="BZ17" i="2"/>
  <c r="H24" i="2"/>
  <c r="BZ47" i="2"/>
  <c r="H89" i="2"/>
  <c r="BZ48" i="2"/>
  <c r="I89" i="2"/>
  <c r="BZ6" i="2"/>
  <c r="BZ38" i="2"/>
  <c r="BZ46" i="2"/>
  <c r="BZ15" i="2"/>
  <c r="BZ44" i="2"/>
  <c r="I80" i="2"/>
  <c r="BZ26" i="2"/>
  <c r="BZ20" i="2"/>
  <c r="I33" i="2"/>
  <c r="BZ37" i="2"/>
  <c r="H65" i="2"/>
  <c r="BZ14" i="2"/>
  <c r="I24" i="2"/>
  <c r="BZ52" i="2"/>
  <c r="BZ13" i="2"/>
  <c r="H16" i="2"/>
  <c r="BZ35" i="2"/>
  <c r="H64" i="2"/>
  <c r="BZ18" i="2"/>
  <c r="I32" i="2"/>
  <c r="BZ11" i="2"/>
  <c r="BZ7" i="2"/>
  <c r="H9" i="2"/>
  <c r="BZ49" i="2"/>
  <c r="H88" i="2"/>
  <c r="I95" i="2"/>
  <c r="H97" i="2"/>
  <c r="I94" i="2"/>
  <c r="I97" i="2"/>
  <c r="H95" i="2"/>
  <c r="H96" i="2"/>
  <c r="H92" i="2"/>
  <c r="H94" i="2"/>
  <c r="CA53" i="2"/>
  <c r="I93" i="2"/>
  <c r="CB52" i="2"/>
  <c r="H93" i="2"/>
  <c r="CA51" i="2"/>
  <c r="I92" i="2"/>
  <c r="CA50" i="2"/>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c r="I14" i="2"/>
  <c r="H17" i="2"/>
  <c r="CA36" i="2"/>
  <c r="I15" i="2"/>
  <c r="H13" i="2"/>
  <c r="H15" i="2"/>
  <c r="H12" i="2"/>
  <c r="H5" i="2"/>
  <c r="I13" i="2"/>
  <c r="H14" i="2"/>
  <c r="I12" i="2"/>
  <c r="I9" i="2"/>
  <c r="I8" i="2"/>
  <c r="I7" i="2"/>
  <c r="H7" i="2"/>
  <c r="CA25" i="2"/>
  <c r="CB25" i="2"/>
  <c r="CB53" i="2"/>
  <c r="CC53" i="2"/>
  <c r="CB16" i="2"/>
  <c r="CB40" i="2"/>
  <c r="CA40" i="2"/>
  <c r="CB28" i="2"/>
  <c r="CA29" i="2"/>
  <c r="CA30" i="2"/>
  <c r="I4" i="2"/>
  <c r="I6" i="2"/>
  <c r="I5" i="2"/>
  <c r="CB8" i="2"/>
  <c r="H6" i="2"/>
  <c r="CA52" i="2"/>
  <c r="CC52" i="2"/>
  <c r="CB17" i="2"/>
  <c r="CA17" i="2"/>
  <c r="CB42" i="2"/>
  <c r="CA42" i="2"/>
  <c r="CA20" i="2"/>
  <c r="CC20" i="2"/>
  <c r="CA26" i="2"/>
  <c r="CA15" i="2"/>
  <c r="CA38" i="2"/>
  <c r="H4" i="2"/>
  <c r="CA8" i="2"/>
  <c r="CA6" i="2"/>
  <c r="CB6" i="2"/>
  <c r="CB51" i="2"/>
  <c r="CB50" i="2"/>
  <c r="CC50" i="2"/>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c r="CA13" i="2"/>
  <c r="CA14" i="2"/>
  <c r="CC14" i="2"/>
  <c r="CC15" i="2"/>
  <c r="CC25" i="2"/>
  <c r="CC36" i="2"/>
  <c r="CB10" i="2"/>
  <c r="CA11" i="2"/>
  <c r="CB12" i="2"/>
  <c r="CA12" i="2"/>
  <c r="CC28" i="2"/>
  <c r="CC30" i="2"/>
  <c r="CB11" i="2"/>
  <c r="CB13" i="2"/>
  <c r="CA10" i="2"/>
  <c r="CC40" i="2"/>
  <c r="CC29" i="2"/>
  <c r="CB9" i="2"/>
  <c r="CA9" i="2"/>
  <c r="CB7" i="2"/>
  <c r="CA7" i="2"/>
  <c r="CC42" i="2"/>
  <c r="CC17" i="2"/>
  <c r="CC8" i="2"/>
  <c r="CC6" i="2"/>
  <c r="CC51" i="2"/>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c r="CE44" i="2"/>
  <c r="L80" i="2"/>
  <c r="CE52" i="2"/>
  <c r="CE24" i="2"/>
  <c r="L40" i="2"/>
  <c r="CE36" i="2"/>
  <c r="L64" i="2"/>
  <c r="CE30" i="2"/>
  <c r="CE18" i="2"/>
  <c r="L32" i="2"/>
  <c r="CE46" i="2"/>
  <c r="CE50" i="2"/>
  <c r="L96" i="2"/>
  <c r="CE27" i="2"/>
  <c r="K48" i="2"/>
  <c r="CE39" i="2"/>
  <c r="K73" i="2"/>
  <c r="CE17" i="2"/>
  <c r="K24" i="2"/>
  <c r="CE6" i="2"/>
  <c r="L8" i="2"/>
  <c r="CE19" i="2"/>
  <c r="CE14" i="2"/>
  <c r="L24" i="2"/>
  <c r="CE51" i="2"/>
  <c r="CE42" i="2"/>
  <c r="CE7" i="2"/>
  <c r="CE25" i="2"/>
  <c r="K41" i="2"/>
  <c r="CE20" i="2"/>
  <c r="L33" i="2"/>
  <c r="CE47" i="2"/>
  <c r="K89" i="2"/>
  <c r="CE34" i="2"/>
  <c r="CE43" i="2"/>
  <c r="K80" i="2"/>
  <c r="CE33" i="2"/>
  <c r="K57" i="2"/>
  <c r="CE11" i="2"/>
  <c r="CE15" i="2"/>
  <c r="CE10" i="2"/>
  <c r="L16" i="2"/>
  <c r="CE40" i="2"/>
  <c r="L73" i="2"/>
  <c r="CE12" i="2"/>
  <c r="L17" i="2"/>
  <c r="CE37" i="2"/>
  <c r="K65" i="2"/>
  <c r="CE48" i="2"/>
  <c r="L89" i="2"/>
  <c r="CE41" i="2"/>
  <c r="K72" i="2"/>
  <c r="CE28" i="2"/>
  <c r="L48" i="2"/>
  <c r="CE13" i="2"/>
  <c r="K16" i="2"/>
  <c r="CE16" i="2"/>
  <c r="L25" i="2"/>
  <c r="CE26" i="2"/>
  <c r="CE22" i="2"/>
  <c r="CE21" i="2"/>
  <c r="K32" i="2"/>
  <c r="CE38" i="2"/>
  <c r="CE23" i="2"/>
  <c r="K40" i="2"/>
  <c r="CE32" i="2"/>
  <c r="L56" i="2"/>
  <c r="CE8" i="2"/>
  <c r="L9" i="2"/>
  <c r="CE31" i="2"/>
  <c r="K56" i="2"/>
  <c r="CE45" i="2"/>
  <c r="K81" i="2"/>
  <c r="CE9" i="2"/>
  <c r="CE49" i="2"/>
  <c r="K88" i="2"/>
  <c r="CE35" i="2"/>
  <c r="K64" i="2"/>
  <c r="CE29" i="2"/>
  <c r="K49" i="2"/>
  <c r="L94" i="2"/>
  <c r="L97" i="2"/>
  <c r="L95" i="2"/>
  <c r="K97" i="2"/>
  <c r="K95" i="2"/>
  <c r="K96" i="2"/>
  <c r="K92" i="2"/>
  <c r="K94" i="2"/>
  <c r="CF53" i="2"/>
  <c r="L93" i="2"/>
  <c r="CF52" i="2"/>
  <c r="K93" i="2"/>
  <c r="L92" i="2"/>
  <c r="CF50" i="2"/>
  <c r="K86" i="2"/>
  <c r="L88" i="2"/>
  <c r="L84" i="2"/>
  <c r="L87" i="2"/>
  <c r="L85" i="2"/>
  <c r="K87" i="2"/>
  <c r="K85" i="2"/>
  <c r="L86" i="2"/>
  <c r="K84" i="2"/>
  <c r="K78" i="2"/>
  <c r="L81" i="2"/>
  <c r="L76" i="2"/>
  <c r="L79" i="2"/>
  <c r="L77" i="2"/>
  <c r="K79" i="2"/>
  <c r="K77" i="2"/>
  <c r="L78" i="2"/>
  <c r="CF44" i="2"/>
  <c r="CF42" i="2"/>
  <c r="K76" i="2"/>
  <c r="CF43" i="2"/>
  <c r="K70" i="2"/>
  <c r="L72" i="2"/>
  <c r="L68" i="2"/>
  <c r="L71" i="2"/>
  <c r="L69" i="2"/>
  <c r="K71" i="2"/>
  <c r="K69" i="2"/>
  <c r="L70" i="2"/>
  <c r="CF40" i="2"/>
  <c r="CF38" i="2"/>
  <c r="K68" i="2"/>
  <c r="K62" i="2"/>
  <c r="L65" i="2"/>
  <c r="L61" i="2"/>
  <c r="K63" i="2"/>
  <c r="L60" i="2"/>
  <c r="L63" i="2"/>
  <c r="K61" i="2"/>
  <c r="L62" i="2"/>
  <c r="K60" i="2"/>
  <c r="CF35" i="2"/>
  <c r="K54" i="2"/>
  <c r="L57" i="2"/>
  <c r="L53" i="2"/>
  <c r="K55" i="2"/>
  <c r="L52" i="2"/>
  <c r="L55" i="2"/>
  <c r="K53" i="2"/>
  <c r="L54" i="2"/>
  <c r="CF30" i="2"/>
  <c r="K52" i="2"/>
  <c r="CF31" i="2"/>
  <c r="K46" i="2"/>
  <c r="L49" i="2"/>
  <c r="L44" i="2"/>
  <c r="L47" i="2"/>
  <c r="L45" i="2"/>
  <c r="K47" i="2"/>
  <c r="K45" i="2"/>
  <c r="L46" i="2"/>
  <c r="CF28" i="2"/>
  <c r="CF29" i="2"/>
  <c r="CF26" i="2"/>
  <c r="K44" i="2"/>
  <c r="CF27" i="2"/>
  <c r="K38" i="2"/>
  <c r="L41" i="2"/>
  <c r="L37" i="2"/>
  <c r="K39" i="2"/>
  <c r="L36" i="2"/>
  <c r="L39" i="2"/>
  <c r="K37" i="2"/>
  <c r="L38" i="2"/>
  <c r="CF25" i="2"/>
  <c r="K36" i="2"/>
  <c r="CF23" i="2"/>
  <c r="L31" i="2"/>
  <c r="K33" i="2"/>
  <c r="L29" i="2"/>
  <c r="K31" i="2"/>
  <c r="K28" i="2"/>
  <c r="K30" i="2"/>
  <c r="K29" i="2"/>
  <c r="CF21" i="2"/>
  <c r="L30" i="2"/>
  <c r="CF20" i="2"/>
  <c r="L28" i="2"/>
  <c r="L22" i="2"/>
  <c r="K25" i="2"/>
  <c r="K20" i="2"/>
  <c r="K23" i="2"/>
  <c r="K21" i="2"/>
  <c r="L23" i="2"/>
  <c r="CF17" i="2"/>
  <c r="L21" i="2"/>
  <c r="K22" i="2"/>
  <c r="CF16" i="2"/>
  <c r="CF15" i="2"/>
  <c r="L20" i="2"/>
  <c r="L14" i="2"/>
  <c r="K17" i="2"/>
  <c r="L13" i="2"/>
  <c r="K14" i="2"/>
  <c r="L12" i="2"/>
  <c r="K9" i="2"/>
  <c r="K8" i="2"/>
  <c r="L7" i="2"/>
  <c r="K7" i="2"/>
  <c r="L6" i="2"/>
  <c r="K6" i="2"/>
  <c r="L4" i="2"/>
  <c r="CF6" i="2"/>
  <c r="K4" i="2"/>
  <c r="L5" i="2"/>
  <c r="K5" i="2"/>
  <c r="K12" i="2"/>
  <c r="K15" i="2"/>
  <c r="K13" i="2"/>
  <c r="L15" i="2"/>
  <c r="CF8" i="2"/>
  <c r="CF51" i="2"/>
  <c r="CF49" i="2"/>
  <c r="CF47" i="2"/>
  <c r="CF48" i="2"/>
  <c r="CF46" i="2"/>
  <c r="CF45" i="2"/>
  <c r="CF41" i="2"/>
  <c r="CF39" i="2"/>
  <c r="CF37" i="2"/>
  <c r="CF36" i="2"/>
  <c r="CF34" i="2"/>
  <c r="CF32" i="2"/>
  <c r="CF33" i="2"/>
  <c r="CF24" i="2"/>
  <c r="CF22" i="2"/>
  <c r="CF18" i="2"/>
  <c r="CF19" i="2"/>
  <c r="CF14" i="2"/>
  <c r="CF7" i="2"/>
  <c r="CF12" i="2"/>
  <c r="CF10" i="2"/>
  <c r="CF13" i="2"/>
  <c r="CF9" i="2"/>
  <c r="CF11" i="2"/>
  <c r="CG53" i="2"/>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c r="CH37" i="2"/>
  <c r="N65" i="2"/>
  <c r="CH11" i="2"/>
  <c r="N17" i="2"/>
  <c r="CH34" i="2"/>
  <c r="O65" i="2"/>
  <c r="CH32" i="2"/>
  <c r="O56" i="2"/>
  <c r="CH26" i="2"/>
  <c r="O49" i="2"/>
  <c r="CH38" i="2"/>
  <c r="O72" i="2"/>
  <c r="CH35" i="2"/>
  <c r="CH39" i="2"/>
  <c r="N73" i="2"/>
  <c r="CH9" i="2"/>
  <c r="N8" i="2"/>
  <c r="CH12" i="2"/>
  <c r="O17" i="2"/>
  <c r="CH25" i="2"/>
  <c r="CH28" i="2"/>
  <c r="O48" i="2"/>
  <c r="CH48" i="2"/>
  <c r="CH27" i="2"/>
  <c r="CH16" i="2"/>
  <c r="O25" i="2"/>
  <c r="CH22" i="2"/>
  <c r="O41" i="2"/>
  <c r="CH29" i="2"/>
  <c r="N49" i="2"/>
  <c r="CH51" i="2"/>
  <c r="N97" i="2"/>
  <c r="CH18" i="2"/>
  <c r="O32" i="2"/>
  <c r="CH30" i="2"/>
  <c r="CH47" i="2"/>
  <c r="N89" i="2"/>
  <c r="CH31" i="2"/>
  <c r="N56" i="2"/>
  <c r="CH46" i="2"/>
  <c r="CH6" i="2"/>
  <c r="CH49" i="2"/>
  <c r="N88" i="2"/>
  <c r="CH43" i="2"/>
  <c r="CH50" i="2"/>
  <c r="CH14" i="2"/>
  <c r="O24" i="2"/>
  <c r="CH10" i="2"/>
  <c r="O16" i="2"/>
  <c r="CH40" i="2"/>
  <c r="O73" i="2"/>
  <c r="CH13" i="2"/>
  <c r="N16" i="2"/>
  <c r="CH19" i="2"/>
  <c r="N33" i="2"/>
  <c r="CH36" i="2"/>
  <c r="CH42" i="2"/>
  <c r="CH24" i="2"/>
  <c r="CH17" i="2"/>
  <c r="N24" i="2"/>
  <c r="CH45" i="2"/>
  <c r="N81" i="2"/>
  <c r="CH15" i="2"/>
  <c r="CH33" i="2"/>
  <c r="N57" i="2"/>
  <c r="CH21" i="2"/>
  <c r="N32" i="2"/>
  <c r="CH23" i="2"/>
  <c r="N40" i="2"/>
  <c r="CH20" i="2"/>
  <c r="O33" i="2"/>
  <c r="CH44" i="2"/>
  <c r="O80" i="2"/>
  <c r="CH52" i="2"/>
  <c r="O97" i="2"/>
  <c r="CH7" i="2"/>
  <c r="CH41" i="2"/>
  <c r="N72" i="2"/>
  <c r="CH8" i="2"/>
  <c r="N95" i="2"/>
  <c r="N96" i="2"/>
  <c r="N94" i="2"/>
  <c r="O96" i="2"/>
  <c r="O92" i="2"/>
  <c r="O95" i="2"/>
  <c r="N93" i="2"/>
  <c r="O94" i="2"/>
  <c r="CJ53" i="2"/>
  <c r="O93" i="2"/>
  <c r="CI50"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N37" i="2"/>
  <c r="CJ25" i="2"/>
  <c r="O37" i="2"/>
  <c r="CJ24"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N14" i="2"/>
  <c r="CK11" i="2"/>
  <c r="CI32" i="2"/>
  <c r="N4" i="2"/>
  <c r="CK27" i="2"/>
  <c r="CK30" i="2"/>
  <c r="CJ6" i="2"/>
  <c r="CJ27" i="2"/>
  <c r="CI30" i="2"/>
  <c r="CK25" i="2"/>
  <c r="CJ15" i="2"/>
  <c r="CL15" i="2"/>
  <c r="CK15" i="2"/>
  <c r="CK49" i="2"/>
  <c r="CI28" i="2"/>
  <c r="CK28" i="2"/>
  <c r="CJ28" i="2"/>
  <c r="CI8" i="2"/>
  <c r="CL6" i="2"/>
  <c r="N15" i="2"/>
  <c r="CJ12" i="2"/>
  <c r="N12" i="2"/>
  <c r="CI11" i="2"/>
  <c r="O13" i="2"/>
  <c r="CK12" i="2"/>
  <c r="CJ11" i="2"/>
  <c r="CK44" i="2"/>
  <c r="CI40" i="2"/>
  <c r="CI10" i="2"/>
  <c r="O4" i="2"/>
  <c r="O6" i="2"/>
  <c r="N5" i="2"/>
  <c r="CK41" i="2"/>
  <c r="CJ36" i="2"/>
  <c r="CI52" i="2"/>
  <c r="CK52" i="2"/>
  <c r="CI44" i="2"/>
  <c r="CJ23" i="2"/>
  <c r="CJ8" i="2"/>
  <c r="CK23" i="2"/>
  <c r="CJ21" i="2"/>
  <c r="CK42" i="2"/>
  <c r="CK8" i="2"/>
  <c r="CI45" i="2"/>
  <c r="CJ42" i="2"/>
  <c r="CL42" i="2"/>
  <c r="O7" i="2"/>
  <c r="O9" i="2"/>
  <c r="CJ52" i="2"/>
  <c r="CL8" i="2"/>
  <c r="CJ50" i="2"/>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c r="CL51" i="2"/>
  <c r="CL47" i="2"/>
  <c r="CL46" i="2"/>
  <c r="CL49" i="2"/>
  <c r="CL44" i="2"/>
  <c r="CL39" i="2"/>
  <c r="CL41" i="2"/>
  <c r="CL37" i="2"/>
  <c r="CL34" i="2"/>
  <c r="CL32" i="2"/>
  <c r="CL33" i="2"/>
  <c r="CL19" i="2"/>
  <c r="CL21" i="2"/>
  <c r="CL18" i="2"/>
  <c r="CL14" i="2"/>
  <c r="CL13" i="2"/>
  <c r="CL10" i="2"/>
  <c r="CL7" i="2"/>
  <c r="CL9" i="2"/>
  <c r="CM53" i="2"/>
  <c r="CM50" i="2"/>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c r="R57" i="2"/>
  <c r="CN12" i="2"/>
  <c r="R17" i="2"/>
  <c r="CN27" i="2"/>
  <c r="Q48" i="2"/>
  <c r="CN38" i="2"/>
  <c r="R72" i="2"/>
  <c r="CN6" i="2"/>
  <c r="R8" i="2"/>
  <c r="CN18" i="2"/>
  <c r="R32" i="2"/>
  <c r="CN32" i="2"/>
  <c r="R56" i="2"/>
  <c r="CN14" i="2"/>
  <c r="R24" i="2"/>
  <c r="CN28" i="2"/>
  <c r="R48" i="2"/>
  <c r="CN42" i="2"/>
  <c r="R81" i="2"/>
  <c r="CN52" i="2"/>
  <c r="R97" i="2"/>
  <c r="CN49" i="2"/>
  <c r="Q88" i="2"/>
  <c r="CN29" i="2"/>
  <c r="Q49" i="2"/>
  <c r="CN50" i="2"/>
  <c r="R96" i="2"/>
  <c r="CN25" i="2"/>
  <c r="Q41" i="2"/>
  <c r="CN22" i="2"/>
  <c r="R41" i="2"/>
  <c r="CN47" i="2"/>
  <c r="Q89" i="2"/>
  <c r="CN24" i="2"/>
  <c r="R40" i="2"/>
  <c r="CN23" i="2"/>
  <c r="Q40" i="2"/>
  <c r="CN15" i="2"/>
  <c r="Q25" i="2"/>
  <c r="CN39" i="2"/>
  <c r="Q73" i="2"/>
  <c r="CN16" i="2"/>
  <c r="R25" i="2"/>
  <c r="CN11" i="2"/>
  <c r="Q17" i="2"/>
  <c r="CN51" i="2"/>
  <c r="Q97" i="2"/>
  <c r="CN20" i="2"/>
  <c r="R33" i="2"/>
  <c r="CN19" i="2"/>
  <c r="Q33" i="2"/>
  <c r="CN26" i="2"/>
  <c r="R49" i="2"/>
  <c r="CN17" i="2"/>
  <c r="Q24" i="2"/>
  <c r="CN43" i="2"/>
  <c r="Q80" i="2"/>
  <c r="CN8" i="2"/>
  <c r="CN48" i="2"/>
  <c r="R89" i="2"/>
  <c r="CN44" i="2"/>
  <c r="R80" i="2"/>
  <c r="CN21" i="2"/>
  <c r="Q32" i="2"/>
  <c r="CN53" i="2"/>
  <c r="Q96" i="2"/>
  <c r="CN37" i="2"/>
  <c r="Q65" i="2"/>
  <c r="CN34" i="2"/>
  <c r="R65" i="2"/>
  <c r="CN9" i="2"/>
  <c r="CN33" i="2"/>
  <c r="Q57" i="2"/>
  <c r="CN31" i="2"/>
  <c r="Q56" i="2"/>
  <c r="CN7" i="2"/>
  <c r="Q9" i="2"/>
  <c r="CN41" i="2"/>
  <c r="Q72" i="2"/>
  <c r="CN36" i="2"/>
  <c r="R64" i="2"/>
  <c r="CN13" i="2"/>
  <c r="Q16" i="2"/>
  <c r="CN46" i="2"/>
  <c r="R88" i="2"/>
  <c r="CN35" i="2"/>
  <c r="Q64" i="2"/>
  <c r="CN45" i="2"/>
  <c r="Q81" i="2"/>
  <c r="CN40" i="2"/>
  <c r="R73" i="2"/>
  <c r="CN10" i="2"/>
  <c r="R16" i="2"/>
  <c r="R92" i="2"/>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Q7" i="2"/>
  <c r="CR52" i="2"/>
  <c r="CR53" i="2"/>
  <c r="CR51" i="2"/>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c r="U73" i="2"/>
  <c r="CS51" i="2"/>
  <c r="CS49" i="2"/>
  <c r="T88" i="2"/>
  <c r="CS6" i="2"/>
  <c r="U8" i="2"/>
  <c r="CS17" i="2"/>
  <c r="T24" i="2"/>
  <c r="CS35" i="2"/>
  <c r="T64" i="2"/>
  <c r="CS29" i="2"/>
  <c r="T49" i="2"/>
  <c r="CS26" i="2"/>
  <c r="CS32" i="2"/>
  <c r="U56" i="2"/>
  <c r="CS23" i="2"/>
  <c r="T40" i="2"/>
  <c r="CS31" i="2"/>
  <c r="T56" i="2"/>
  <c r="CS43" i="2"/>
  <c r="T80" i="2"/>
  <c r="CS41" i="2"/>
  <c r="T72" i="2"/>
  <c r="CS21" i="2"/>
  <c r="T32" i="2"/>
  <c r="CS34" i="2"/>
  <c r="CS27" i="2"/>
  <c r="T48" i="2"/>
  <c r="CS15" i="2"/>
  <c r="CS47" i="2"/>
  <c r="T89" i="2"/>
  <c r="CS53" i="2"/>
  <c r="CS38" i="2"/>
  <c r="CS24" i="2"/>
  <c r="U40" i="2"/>
  <c r="CS10" i="2"/>
  <c r="U16" i="2"/>
  <c r="CS12" i="2"/>
  <c r="U17" i="2"/>
  <c r="CS30" i="2"/>
  <c r="U57" i="2"/>
  <c r="CS13" i="2"/>
  <c r="T16" i="2"/>
  <c r="CS46" i="2"/>
  <c r="U88" i="2"/>
  <c r="CS52" i="2"/>
  <c r="U97" i="2"/>
  <c r="CS48" i="2"/>
  <c r="U89" i="2"/>
  <c r="CS50" i="2"/>
  <c r="U96" i="2"/>
  <c r="CS33" i="2"/>
  <c r="T57" i="2"/>
  <c r="CS19" i="2"/>
  <c r="CS39" i="2"/>
  <c r="T73" i="2"/>
  <c r="CS44" i="2"/>
  <c r="U80" i="2"/>
  <c r="CS11" i="2"/>
  <c r="CS28" i="2"/>
  <c r="U48" i="2"/>
  <c r="CS16" i="2"/>
  <c r="U25" i="2"/>
  <c r="CS9" i="2"/>
  <c r="T8" i="2"/>
  <c r="CS7" i="2"/>
  <c r="T9" i="2"/>
  <c r="CS14" i="2"/>
  <c r="U24" i="2"/>
  <c r="CS20" i="2"/>
  <c r="U33" i="2"/>
  <c r="CS36" i="2"/>
  <c r="U64" i="2"/>
  <c r="CS22" i="2"/>
  <c r="CS8" i="2"/>
  <c r="CS37" i="2"/>
  <c r="T65" i="2"/>
  <c r="CS45" i="2"/>
  <c r="T81" i="2"/>
  <c r="CS25" i="2"/>
  <c r="T41" i="2"/>
  <c r="CS18" i="2"/>
  <c r="U32" i="2"/>
  <c r="CS42" i="2"/>
  <c r="U95" i="2"/>
  <c r="T97" i="2"/>
  <c r="T95" i="2"/>
  <c r="T96" i="2"/>
  <c r="T93" i="2"/>
  <c r="U94" i="2"/>
  <c r="T92" i="2"/>
  <c r="T94" i="2"/>
  <c r="CT53" i="2"/>
  <c r="U93" i="2"/>
  <c r="CT51" i="2"/>
  <c r="U92" i="2"/>
  <c r="CT50" i="2"/>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c r="U52" i="2"/>
  <c r="U55" i="2"/>
  <c r="U53" i="2"/>
  <c r="T55" i="2"/>
  <c r="T53" i="2"/>
  <c r="U54" i="2"/>
  <c r="T52" i="2"/>
  <c r="T54" i="2"/>
  <c r="T46" i="2"/>
  <c r="U49" i="2"/>
  <c r="U45" i="2"/>
  <c r="T47" i="2"/>
  <c r="U44" i="2"/>
  <c r="U47" i="2"/>
  <c r="T45" i="2"/>
  <c r="U46" i="2"/>
  <c r="CT29" i="2"/>
  <c r="CT28" i="2"/>
  <c r="CT26" i="2"/>
  <c r="T44" i="2"/>
  <c r="CT27" i="2"/>
  <c r="T38" i="2"/>
  <c r="U41" i="2"/>
  <c r="U36" i="2"/>
  <c r="U39" i="2"/>
  <c r="U37" i="2"/>
  <c r="T39" i="2"/>
  <c r="T37" i="2"/>
  <c r="CT25" i="2"/>
  <c r="U38" i="2"/>
  <c r="T36" i="2"/>
  <c r="CT23" i="2"/>
  <c r="U31" i="2"/>
  <c r="T33" i="2"/>
  <c r="U29" i="2"/>
  <c r="T31" i="2"/>
  <c r="T29" i="2"/>
  <c r="CT21" i="2"/>
  <c r="U30" i="2"/>
  <c r="T28" i="2"/>
  <c r="T30" i="2"/>
  <c r="CT20" i="2"/>
  <c r="U28" i="2"/>
  <c r="U22" i="2"/>
  <c r="T25" i="2"/>
  <c r="T21" i="2"/>
  <c r="U23" i="2"/>
  <c r="T20" i="2"/>
  <c r="T23" i="2"/>
  <c r="T15" i="2"/>
  <c r="CT17" i="2"/>
  <c r="U21" i="2"/>
  <c r="T22" i="2"/>
  <c r="CT16" i="2"/>
  <c r="CT15" i="2"/>
  <c r="U20" i="2"/>
  <c r="CT14" i="2"/>
  <c r="T13" i="2"/>
  <c r="U15" i="2"/>
  <c r="T12" i="2"/>
  <c r="CT6" i="2"/>
  <c r="T4" i="2"/>
  <c r="T7" i="2"/>
  <c r="CT31" i="2"/>
  <c r="T17" i="2"/>
  <c r="U14" i="2"/>
  <c r="U13" i="2"/>
  <c r="T14" i="2"/>
  <c r="CT30" i="2"/>
  <c r="U12" i="2"/>
  <c r="CT52" i="2"/>
  <c r="U5" i="2"/>
  <c r="T6" i="2"/>
  <c r="U4" i="2"/>
  <c r="U6" i="2"/>
  <c r="CT8" i="2"/>
  <c r="U7" i="2"/>
  <c r="U9" i="2"/>
  <c r="T5" i="2"/>
  <c r="CT47" i="2"/>
  <c r="CT48" i="2"/>
  <c r="CT49" i="2"/>
  <c r="CT46" i="2"/>
  <c r="CT44" i="2"/>
  <c r="CT43" i="2"/>
  <c r="CT41" i="2"/>
  <c r="CT39" i="2"/>
  <c r="CT37" i="2"/>
  <c r="CT34" i="2"/>
  <c r="CT36" i="2"/>
  <c r="CT33" i="2"/>
  <c r="CT32" i="2"/>
  <c r="CT24" i="2"/>
  <c r="CT22" i="2"/>
  <c r="CT19" i="2"/>
  <c r="CT18" i="2"/>
  <c r="CT11" i="2"/>
  <c r="CT12" i="2"/>
  <c r="CT10" i="2"/>
  <c r="CT13" i="2"/>
  <c r="CT7" i="2"/>
  <c r="CT9" i="2"/>
  <c r="CU52" i="2"/>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c r="CW51" i="2"/>
  <c r="CV32" i="2"/>
  <c r="CW32" i="2"/>
  <c r="CV38" i="2"/>
  <c r="CW38" i="2"/>
  <c r="CV40" i="2"/>
  <c r="CW40" i="2"/>
  <c r="CV6" i="2"/>
  <c r="CV29" i="2"/>
  <c r="CW29" i="2"/>
  <c r="CV33" i="2"/>
  <c r="CW33" i="2"/>
  <c r="CV27" i="2"/>
  <c r="CV35" i="2"/>
  <c r="CW35" i="2"/>
  <c r="CV36" i="2"/>
  <c r="CW36" i="2"/>
  <c r="CV23" i="2"/>
  <c r="CW23" i="2"/>
  <c r="CV9" i="2"/>
  <c r="CW9" i="2"/>
  <c r="CV18" i="2"/>
  <c r="CW18" i="2"/>
  <c r="CV21" i="2"/>
  <c r="CW21" i="2"/>
  <c r="CV25" i="2"/>
  <c r="CW25" i="2"/>
  <c r="CV47" i="2"/>
  <c r="CW47" i="2"/>
  <c r="CV48" i="2"/>
  <c r="CW48" i="2"/>
  <c r="CV34" i="2"/>
  <c r="CW34" i="2"/>
  <c r="CV52" i="2"/>
  <c r="CW52" i="2"/>
  <c r="CV12" i="2"/>
  <c r="CW12" i="2"/>
  <c r="CV20" i="2"/>
  <c r="CW20" i="2"/>
  <c r="CV15" i="2"/>
  <c r="CV49" i="2"/>
  <c r="CV14" i="2"/>
  <c r="CW14" i="2"/>
  <c r="CV16" i="2"/>
  <c r="CW16" i="2"/>
  <c r="CV50" i="2"/>
  <c r="CW50" i="2"/>
  <c r="CV39" i="2"/>
  <c r="CW39" i="2"/>
  <c r="CV22" i="2"/>
  <c r="CW22" i="2"/>
  <c r="CV43" i="2"/>
  <c r="CW43" i="2"/>
  <c r="CV13" i="2"/>
  <c r="CW13" i="2"/>
  <c r="CV45" i="2"/>
  <c r="CV26" i="2"/>
  <c r="CW26" i="2"/>
  <c r="CV53" i="2"/>
  <c r="CW53" i="2"/>
  <c r="CV30" i="2"/>
  <c r="CW30" i="2"/>
  <c r="CV24" i="2"/>
  <c r="CW24" i="2"/>
  <c r="CV8" i="2"/>
  <c r="CV11" i="2"/>
  <c r="CW11" i="2"/>
  <c r="CV28" i="2"/>
  <c r="CW28" i="2"/>
  <c r="CV46" i="2"/>
  <c r="CW46" i="2"/>
  <c r="CV31" i="2"/>
  <c r="CV41" i="2"/>
  <c r="CW41" i="2"/>
  <c r="CV37" i="2"/>
  <c r="CW37" i="2"/>
  <c r="CV10" i="2"/>
  <c r="CW10" i="2"/>
  <c r="CV17" i="2"/>
  <c r="CW17" i="2"/>
  <c r="CV19" i="2"/>
  <c r="CW19" i="2"/>
  <c r="CV42" i="2"/>
  <c r="CW42" i="2"/>
  <c r="CV7" i="2"/>
  <c r="CW7" i="2"/>
  <c r="CV44" i="2"/>
  <c r="CW6" i="2"/>
  <c r="CW8" i="2"/>
  <c r="CW49" i="2"/>
  <c r="CW15" i="2"/>
  <c r="CW27" i="2"/>
  <c r="CW45" i="2"/>
  <c r="CW31" i="2"/>
  <c r="CW44" i="2"/>
  <c r="CX13" i="2"/>
  <c r="CX12" i="2"/>
  <c r="CX9" i="2"/>
  <c r="CX11" i="2"/>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c r="CZ36" i="2"/>
  <c r="CY50" i="2"/>
  <c r="CZ50" i="2"/>
  <c r="CY49" i="2"/>
  <c r="CZ49" i="2"/>
  <c r="CY53" i="2"/>
  <c r="CZ53" i="2"/>
  <c r="CY7" i="2"/>
  <c r="CZ7" i="2"/>
  <c r="CY30" i="2"/>
  <c r="CZ30" i="2"/>
  <c r="CY52" i="2"/>
  <c r="CZ52" i="2"/>
  <c r="CY16" i="2"/>
  <c r="CZ16" i="2"/>
  <c r="CY9" i="2"/>
  <c r="CZ9" i="2"/>
  <c r="CY27" i="2"/>
  <c r="CZ27" i="2"/>
  <c r="CY38" i="2"/>
  <c r="CZ38" i="2"/>
  <c r="CY23" i="2"/>
  <c r="CZ23" i="2"/>
  <c r="CY25" i="2"/>
  <c r="CZ25" i="2"/>
  <c r="CY22" i="2"/>
  <c r="CZ22" i="2"/>
  <c r="CY13" i="2"/>
  <c r="CZ13" i="2"/>
  <c r="CY20" i="2"/>
  <c r="CZ20" i="2"/>
  <c r="CY8" i="2"/>
  <c r="CZ8" i="2"/>
  <c r="CY15" i="2"/>
  <c r="CZ15" i="2"/>
  <c r="CY39" i="2"/>
  <c r="CZ39" i="2"/>
  <c r="CY33" i="2"/>
  <c r="CZ33" i="2"/>
  <c r="CY29" i="2"/>
  <c r="CZ29" i="2"/>
  <c r="CY17" i="2"/>
  <c r="CZ17" i="2"/>
  <c r="CY12" i="2"/>
  <c r="CZ12" i="2"/>
  <c r="CY24" i="2"/>
  <c r="CZ24" i="2"/>
  <c r="CY46" i="2"/>
  <c r="CZ46" i="2"/>
  <c r="CY19" i="2"/>
  <c r="CZ19" i="2"/>
  <c r="CY32" i="2"/>
  <c r="CZ32" i="2"/>
  <c r="CY21" i="2"/>
  <c r="CZ21" i="2"/>
  <c r="CY34" i="2"/>
  <c r="CZ34" i="2"/>
  <c r="CY26" i="2"/>
  <c r="CZ26" i="2"/>
  <c r="CY47" i="2"/>
  <c r="CZ47" i="2"/>
  <c r="CY51" i="2"/>
  <c r="CZ51" i="2"/>
  <c r="CY48" i="2"/>
  <c r="CZ48" i="2"/>
  <c r="CY10" i="2"/>
  <c r="CZ10" i="2"/>
  <c r="CY31" i="2"/>
  <c r="CZ31" i="2"/>
  <c r="CY28" i="2"/>
  <c r="CZ28" i="2"/>
  <c r="CY45" i="2"/>
  <c r="CZ45" i="2"/>
  <c r="CY18" i="2"/>
  <c r="CZ18" i="2"/>
  <c r="CY40" i="2"/>
  <c r="CZ40" i="2"/>
  <c r="CY37" i="2"/>
  <c r="CZ37" i="2"/>
  <c r="CY41" i="2"/>
  <c r="CY35" i="2"/>
  <c r="CY14" i="2"/>
  <c r="CZ14" i="2"/>
  <c r="CY44" i="2"/>
  <c r="CY11" i="2"/>
  <c r="CZ11" i="2"/>
  <c r="CY6" i="2"/>
  <c r="CZ6" i="2"/>
  <c r="CY42" i="2"/>
  <c r="CZ42" i="2"/>
  <c r="CY43" i="2"/>
  <c r="CZ43" i="2"/>
  <c r="CZ41" i="2"/>
  <c r="CZ35" i="2"/>
  <c r="CZ44" i="2"/>
  <c r="DA7" i="2"/>
  <c r="DA10" i="2"/>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c r="DC34" i="2"/>
  <c r="DB46" i="2"/>
  <c r="DC46" i="2"/>
  <c r="DB44" i="2"/>
  <c r="DC44" i="2"/>
  <c r="DB43" i="2"/>
  <c r="DC43" i="2"/>
  <c r="DB53" i="2"/>
  <c r="DB28" i="2"/>
  <c r="DC28" i="2"/>
  <c r="DB39" i="2"/>
  <c r="DB45" i="2"/>
  <c r="DB12" i="2"/>
  <c r="DC12" i="2"/>
  <c r="DB8" i="2"/>
  <c r="DC8" i="2"/>
  <c r="DB33" i="2"/>
  <c r="DC33" i="2"/>
  <c r="DB51" i="2"/>
  <c r="DC51" i="2"/>
  <c r="DB41" i="2"/>
  <c r="DC41" i="2"/>
  <c r="DB20" i="2"/>
  <c r="DC20" i="2"/>
  <c r="DB14" i="2"/>
  <c r="DC14" i="2"/>
  <c r="DB22" i="2"/>
  <c r="DB32" i="2"/>
  <c r="DC32" i="2"/>
  <c r="DB31" i="2"/>
  <c r="DC31" i="2"/>
  <c r="DB26" i="2"/>
  <c r="DC26" i="2"/>
  <c r="DB27" i="2"/>
  <c r="DC27" i="2"/>
  <c r="DB7" i="2"/>
  <c r="DB11" i="2"/>
  <c r="DC11" i="2"/>
  <c r="DB42" i="2"/>
  <c r="DC42" i="2"/>
  <c r="DB35" i="2"/>
  <c r="DC35" i="2"/>
  <c r="DB23" i="2"/>
  <c r="DC23" i="2"/>
  <c r="DB47" i="2"/>
  <c r="DC47" i="2"/>
  <c r="DB37" i="2"/>
  <c r="DC37" i="2"/>
  <c r="DB16" i="2"/>
  <c r="DC16" i="2"/>
  <c r="DB17" i="2"/>
  <c r="DC17" i="2"/>
  <c r="DB38" i="2"/>
  <c r="DC38" i="2"/>
  <c r="DB52" i="2"/>
  <c r="DC52" i="2"/>
  <c r="DB21" i="2"/>
  <c r="DC21" i="2"/>
  <c r="DB36" i="2"/>
  <c r="DC36" i="2"/>
  <c r="DB19" i="2"/>
  <c r="DC19" i="2"/>
  <c r="DB50" i="2"/>
  <c r="DC50" i="2"/>
  <c r="DB29" i="2"/>
  <c r="DC29" i="2"/>
  <c r="DB15" i="2"/>
  <c r="DC15" i="2"/>
  <c r="DB10" i="2"/>
  <c r="DC10" i="2"/>
  <c r="DB6" i="2"/>
  <c r="DB48" i="2"/>
  <c r="DC48" i="2"/>
  <c r="DB9" i="2"/>
  <c r="DB18" i="2"/>
  <c r="DC18" i="2"/>
  <c r="DB40" i="2"/>
  <c r="DC40" i="2"/>
  <c r="DB24" i="2"/>
  <c r="DC24" i="2"/>
  <c r="DB13" i="2"/>
  <c r="DC13" i="2"/>
  <c r="DB30" i="2"/>
  <c r="DC30" i="2"/>
  <c r="DB25" i="2"/>
  <c r="DC25" i="2"/>
  <c r="DB49" i="2"/>
  <c r="DC49" i="2"/>
  <c r="DC39" i="2"/>
  <c r="DC22" i="2"/>
  <c r="DC45" i="2"/>
  <c r="DC53" i="2"/>
  <c r="DC6" i="2"/>
  <c r="DC9" i="2"/>
  <c r="DD6" i="2"/>
  <c r="BM6" i="2"/>
  <c r="AV6" i="2"/>
  <c r="DC7" i="2"/>
  <c r="DD7" i="2"/>
  <c r="BM7" i="2"/>
  <c r="DD8" i="2"/>
  <c r="BM8" i="2"/>
  <c r="DD9" i="2"/>
  <c r="BM9" i="2"/>
  <c r="AV7" i="2"/>
  <c r="AV8" i="2"/>
  <c r="AV9" i="2"/>
  <c r="DF8" i="2"/>
  <c r="DF6" i="2"/>
  <c r="DF7" i="2"/>
  <c r="DF9" i="2"/>
  <c r="DD10" i="2"/>
  <c r="BM10" i="2"/>
  <c r="DD11" i="2"/>
  <c r="BM11" i="2"/>
  <c r="DD12" i="2"/>
  <c r="BM12" i="2"/>
  <c r="DD13" i="2"/>
  <c r="BM13" i="2"/>
  <c r="DQ10" i="2"/>
  <c r="DJ10" i="2"/>
  <c r="DQ6" i="2"/>
  <c r="DJ6" i="2"/>
  <c r="DQ7" i="2"/>
  <c r="DJ7" i="2"/>
  <c r="DQ8" i="2"/>
  <c r="DJ8" i="2"/>
  <c r="DQ9" i="2"/>
  <c r="DJ9" i="2"/>
  <c r="DQ11" i="2"/>
  <c r="DJ11" i="2"/>
  <c r="DQ12" i="2"/>
  <c r="DJ12" i="2"/>
  <c r="DQ13" i="2"/>
  <c r="DJ13" i="2"/>
  <c r="DD14" i="2"/>
  <c r="BM14" i="2"/>
  <c r="DD15" i="2"/>
  <c r="BM15" i="2"/>
  <c r="DQ14" i="2"/>
  <c r="DJ14" i="2"/>
  <c r="DD16" i="2"/>
  <c r="BM16" i="2"/>
  <c r="DD17" i="2"/>
  <c r="BM17" i="2"/>
  <c r="DQ15" i="2"/>
  <c r="DJ15" i="2"/>
  <c r="DQ16" i="2"/>
  <c r="DJ16" i="2"/>
  <c r="DQ17" i="2"/>
  <c r="DJ17" i="2"/>
  <c r="DD18" i="2"/>
  <c r="BM18" i="2"/>
  <c r="DD19" i="2"/>
  <c r="BM19" i="2"/>
  <c r="DD20" i="2"/>
  <c r="BM20" i="2"/>
  <c r="DD21" i="2"/>
  <c r="BM21" i="2"/>
  <c r="DQ18" i="2"/>
  <c r="DJ18" i="2"/>
  <c r="DQ19" i="2"/>
  <c r="DJ19" i="2"/>
  <c r="DQ20" i="2"/>
  <c r="DJ20" i="2"/>
  <c r="DQ21" i="2"/>
  <c r="DJ21" i="2"/>
  <c r="DD22" i="2"/>
  <c r="BM22" i="2"/>
  <c r="DD23" i="2"/>
  <c r="BM23" i="2"/>
  <c r="DD24" i="2"/>
  <c r="BM24" i="2"/>
  <c r="DD25" i="2"/>
  <c r="BM25" i="2"/>
  <c r="DQ22" i="2"/>
  <c r="DJ22" i="2"/>
  <c r="DQ23" i="2"/>
  <c r="DJ23" i="2"/>
  <c r="DQ24" i="2"/>
  <c r="DJ24" i="2"/>
  <c r="DQ25" i="2"/>
  <c r="DJ25" i="2"/>
  <c r="DD26" i="2"/>
  <c r="BM26" i="2"/>
  <c r="DQ26" i="2"/>
  <c r="DJ26" i="2"/>
  <c r="DD27" i="2"/>
  <c r="BM27" i="2"/>
  <c r="DD28" i="2"/>
  <c r="BM28" i="2"/>
  <c r="DQ27" i="2"/>
  <c r="DJ27" i="2"/>
  <c r="DQ28" i="2"/>
  <c r="DJ28" i="2"/>
  <c r="DD29" i="2"/>
  <c r="BM29" i="2"/>
  <c r="DQ29" i="2"/>
  <c r="DJ29" i="2"/>
  <c r="DD30" i="2"/>
  <c r="BM30" i="2"/>
  <c r="DQ30" i="2"/>
  <c r="DJ30" i="2"/>
  <c r="DD31" i="2"/>
  <c r="BM31" i="2"/>
  <c r="DQ31" i="2"/>
  <c r="DJ31" i="2"/>
  <c r="DD32" i="2"/>
  <c r="BM32" i="2"/>
  <c r="DD33" i="2"/>
  <c r="BM33" i="2"/>
  <c r="DQ32" i="2"/>
  <c r="DJ32" i="2"/>
  <c r="DQ33" i="2"/>
  <c r="DJ33" i="2"/>
  <c r="DD34" i="2"/>
  <c r="BM34" i="2"/>
  <c r="DD35" i="2"/>
  <c r="BM35" i="2"/>
  <c r="DD36" i="2"/>
  <c r="BM36" i="2"/>
  <c r="DD37" i="2"/>
  <c r="BM37" i="2"/>
  <c r="DQ34" i="2"/>
  <c r="DJ34" i="2"/>
  <c r="DQ35" i="2"/>
  <c r="DJ35" i="2"/>
  <c r="DQ36" i="2"/>
  <c r="DJ36" i="2"/>
  <c r="DQ37" i="2"/>
  <c r="DJ37" i="2"/>
  <c r="DD38" i="2"/>
  <c r="BM38" i="2"/>
  <c r="DD39" i="2"/>
  <c r="BM39" i="2"/>
  <c r="DQ38" i="2"/>
  <c r="DJ38" i="2"/>
  <c r="DD40" i="2"/>
  <c r="BM40" i="2"/>
  <c r="DD41" i="2"/>
  <c r="BM41" i="2"/>
  <c r="DQ39" i="2"/>
  <c r="DJ39" i="2"/>
  <c r="DQ40" i="2"/>
  <c r="DJ40" i="2"/>
  <c r="DQ41" i="2"/>
  <c r="DJ41" i="2"/>
  <c r="DD42" i="2"/>
  <c r="BM42" i="2"/>
  <c r="DQ42" i="2"/>
  <c r="DJ42" i="2"/>
  <c r="DD43" i="2"/>
  <c r="BM43" i="2"/>
  <c r="DD44" i="2"/>
  <c r="BM44" i="2"/>
  <c r="DQ43" i="2"/>
  <c r="DJ43" i="2"/>
  <c r="DD45" i="2"/>
  <c r="BM45" i="2"/>
  <c r="DQ44" i="2"/>
  <c r="DJ44" i="2"/>
  <c r="DQ45" i="2"/>
  <c r="DJ45" i="2"/>
  <c r="DD46" i="2"/>
  <c r="BM46" i="2"/>
  <c r="DQ46" i="2"/>
  <c r="DJ46" i="2"/>
  <c r="DD47" i="2"/>
  <c r="BM47" i="2"/>
  <c r="DD48" i="2"/>
  <c r="BM48" i="2"/>
  <c r="DD49" i="2"/>
  <c r="BM49" i="2"/>
  <c r="DQ47" i="2"/>
  <c r="DJ47" i="2"/>
  <c r="DQ48" i="2"/>
  <c r="DJ48" i="2"/>
  <c r="DQ49" i="2"/>
  <c r="DJ49" i="2"/>
  <c r="DD50" i="2"/>
  <c r="BM50" i="2"/>
  <c r="DD51" i="2"/>
  <c r="BM51" i="2"/>
  <c r="DQ50" i="2"/>
  <c r="DJ50" i="2"/>
  <c r="DQ51" i="2"/>
  <c r="DJ51" i="2"/>
  <c r="DD52" i="2"/>
  <c r="BM52" i="2"/>
  <c r="DQ52" i="2"/>
  <c r="DJ52" i="2"/>
  <c r="DD53" i="2"/>
  <c r="BM53" i="2"/>
  <c r="DQ53" i="2"/>
  <c r="DJ53" i="2"/>
  <c r="DL10" i="2"/>
  <c r="AU14" i="2"/>
  <c r="DL11" i="2"/>
  <c r="AU15" i="2"/>
  <c r="DL12" i="2"/>
  <c r="AU16" i="2"/>
  <c r="DL13" i="2"/>
  <c r="AU17" i="2"/>
  <c r="AU13" i="2"/>
  <c r="AV12" i="2"/>
  <c r="AV14" i="2"/>
  <c r="AV15" i="2"/>
  <c r="AV16" i="2"/>
  <c r="AV17" i="2"/>
  <c r="DL14" i="2"/>
  <c r="AU22" i="2"/>
  <c r="DL15" i="2"/>
  <c r="AU23" i="2"/>
  <c r="DL16" i="2"/>
  <c r="AU24" i="2"/>
  <c r="DL17" i="2"/>
  <c r="AU25" i="2"/>
  <c r="AU21" i="2"/>
  <c r="AV20" i="2"/>
  <c r="AV22" i="2"/>
  <c r="AV23" i="2"/>
  <c r="AV24" i="2"/>
  <c r="AV25" i="2"/>
  <c r="DL18" i="2"/>
  <c r="AU30" i="2"/>
  <c r="DL19" i="2"/>
  <c r="AU31" i="2"/>
  <c r="DL20" i="2"/>
  <c r="AU32" i="2"/>
  <c r="DL21" i="2"/>
  <c r="AU33" i="2"/>
  <c r="AU29" i="2"/>
  <c r="AV28" i="2"/>
  <c r="AV30" i="2"/>
  <c r="AV31" i="2"/>
  <c r="AV32" i="2"/>
  <c r="AV33" i="2"/>
  <c r="DL22" i="2"/>
  <c r="AU38" i="2"/>
  <c r="DL23" i="2"/>
  <c r="AU39" i="2"/>
  <c r="DL24" i="2"/>
  <c r="AU40" i="2"/>
  <c r="DL25" i="2"/>
  <c r="AU41" i="2"/>
  <c r="AU37" i="2"/>
  <c r="AV36" i="2"/>
  <c r="AV38" i="2"/>
  <c r="AV39" i="2"/>
  <c r="AV40" i="2"/>
  <c r="AV41" i="2"/>
  <c r="DL26" i="2"/>
  <c r="AU46" i="2"/>
  <c r="DL27" i="2"/>
  <c r="AU47" i="2"/>
  <c r="DL28" i="2"/>
  <c r="AU48" i="2"/>
  <c r="DL29" i="2"/>
  <c r="AU49" i="2"/>
  <c r="AU45" i="2"/>
  <c r="AV44" i="2"/>
  <c r="AV46" i="2"/>
  <c r="AV47" i="2"/>
  <c r="AV48" i="2"/>
  <c r="AV49" i="2"/>
  <c r="DL30" i="2"/>
  <c r="AU54" i="2"/>
  <c r="DL31" i="2"/>
  <c r="AU55" i="2"/>
  <c r="DL32" i="2"/>
  <c r="AU56" i="2"/>
  <c r="DL33" i="2"/>
  <c r="AU57" i="2"/>
  <c r="AU53" i="2"/>
  <c r="AV52" i="2"/>
  <c r="AV54" i="2"/>
  <c r="AV55" i="2"/>
  <c r="AV56" i="2"/>
  <c r="AV57" i="2"/>
  <c r="DL34" i="2"/>
  <c r="AU62" i="2"/>
  <c r="DL35" i="2"/>
  <c r="AU63" i="2"/>
  <c r="DL36" i="2"/>
  <c r="AU64" i="2"/>
  <c r="DL37" i="2"/>
  <c r="AU65" i="2"/>
  <c r="AU61" i="2"/>
  <c r="AV60" i="2"/>
  <c r="AV62" i="2"/>
  <c r="AV63" i="2"/>
  <c r="AV64" i="2"/>
  <c r="AV65" i="2"/>
  <c r="DL38" i="2"/>
  <c r="AU70" i="2"/>
  <c r="DL39" i="2"/>
  <c r="AU71" i="2"/>
  <c r="DL40" i="2"/>
  <c r="AU72" i="2"/>
  <c r="DL41" i="2"/>
  <c r="AU73" i="2"/>
  <c r="AU69" i="2"/>
  <c r="AV68" i="2"/>
  <c r="AV70" i="2"/>
  <c r="AV71" i="2"/>
  <c r="AV72" i="2"/>
  <c r="AV73" i="2"/>
  <c r="DL42" i="2"/>
  <c r="AU78" i="2"/>
  <c r="DL43" i="2"/>
  <c r="AU79" i="2"/>
  <c r="DL44" i="2"/>
  <c r="AU80" i="2"/>
  <c r="DL45" i="2"/>
  <c r="AU81" i="2"/>
  <c r="AU77" i="2"/>
  <c r="AV76" i="2"/>
  <c r="AV78" i="2"/>
  <c r="AV79" i="2"/>
  <c r="AV80" i="2"/>
  <c r="AV81" i="2"/>
  <c r="DL46" i="2"/>
  <c r="AU86" i="2"/>
  <c r="DL47" i="2"/>
  <c r="AU87" i="2"/>
  <c r="DL48" i="2"/>
  <c r="AU88" i="2"/>
  <c r="DL49" i="2"/>
  <c r="AU89" i="2"/>
  <c r="AU85" i="2"/>
  <c r="AV84" i="2"/>
  <c r="AV86" i="2"/>
  <c r="AV87" i="2"/>
  <c r="AV88" i="2"/>
  <c r="AV89" i="2"/>
  <c r="DL50" i="2"/>
  <c r="AU94" i="2"/>
  <c r="DL51" i="2"/>
  <c r="AU95" i="2"/>
  <c r="DL52" i="2"/>
  <c r="AU96" i="2"/>
  <c r="DL53" i="2"/>
  <c r="AU97" i="2"/>
  <c r="AU93" i="2"/>
  <c r="AV92" i="2"/>
  <c r="AV94" i="2"/>
  <c r="AV95" i="2"/>
  <c r="AV96" i="2"/>
  <c r="AV97" i="2"/>
  <c r="DF10" i="2"/>
  <c r="DF11" i="2"/>
  <c r="DF12" i="2"/>
  <c r="DF13" i="2"/>
  <c r="DF14" i="2"/>
  <c r="DF15" i="2"/>
  <c r="DF16" i="2"/>
  <c r="DF17" i="2"/>
  <c r="DF18" i="2"/>
  <c r="DF19" i="2"/>
  <c r="DF20" i="2"/>
  <c r="DF21" i="2"/>
  <c r="DF22" i="2"/>
  <c r="DF23" i="2"/>
  <c r="DF24" i="2"/>
  <c r="DF25" i="2"/>
  <c r="DF26" i="2"/>
  <c r="DF27" i="2"/>
  <c r="DF28" i="2"/>
  <c r="DF29" i="2"/>
  <c r="DF30" i="2"/>
  <c r="DF31" i="2"/>
  <c r="DF32" i="2"/>
  <c r="DF33" i="2"/>
  <c r="DF34" i="2"/>
  <c r="DF35" i="2"/>
  <c r="DF36" i="2"/>
  <c r="DF37" i="2"/>
  <c r="DF38" i="2"/>
  <c r="DF39" i="2"/>
  <c r="DF40" i="2"/>
  <c r="DF41" i="2"/>
  <c r="DF42" i="2"/>
  <c r="DF43" i="2"/>
  <c r="DF44" i="2"/>
  <c r="DF45" i="2"/>
  <c r="DF46" i="2"/>
  <c r="DF47" i="2"/>
  <c r="DF48" i="2"/>
  <c r="DF49" i="2"/>
  <c r="DF50" i="2"/>
  <c r="DF51" i="2"/>
  <c r="DF52" i="2"/>
  <c r="DF53" i="2"/>
  <c r="DG8" i="2"/>
  <c r="DG6" i="2"/>
  <c r="DG9" i="2"/>
  <c r="DG7" i="2"/>
  <c r="DN51" i="2" a="1"/>
  <c r="DN51" i="2"/>
  <c r="DM51" i="2"/>
  <c r="DN53" i="2" a="1"/>
  <c r="DN53" i="2"/>
  <c r="DM53" i="2"/>
  <c r="DM50" i="2"/>
  <c r="DN50" i="2" a="1"/>
  <c r="DN50" i="2"/>
  <c r="DL8" i="2"/>
  <c r="AU8" i="2"/>
  <c r="DL7" i="2"/>
  <c r="AU7" i="2"/>
  <c r="DL6" i="2"/>
  <c r="AU6" i="2"/>
  <c r="DL9" i="2"/>
  <c r="AU9" i="2"/>
  <c r="DG11" i="2"/>
  <c r="DG13" i="2"/>
  <c r="DG10" i="2"/>
  <c r="DG12" i="2"/>
  <c r="DM52" i="2"/>
  <c r="DN52" i="2" a="1"/>
  <c r="DN52" i="2"/>
  <c r="DM49" i="2"/>
  <c r="DN46" i="2" a="1"/>
  <c r="DN46" i="2"/>
  <c r="DN49" i="2" a="1"/>
  <c r="DN49" i="2"/>
  <c r="DM46" i="2"/>
  <c r="DN47" i="2" a="1"/>
  <c r="DN47" i="2"/>
  <c r="DM47" i="2"/>
  <c r="DN48" i="2" a="1"/>
  <c r="DN48" i="2"/>
  <c r="DM48" i="2"/>
  <c r="DM43" i="2"/>
  <c r="DN43" i="2" a="1"/>
  <c r="DN43" i="2"/>
  <c r="DN44" i="2" a="1"/>
  <c r="DN44" i="2"/>
  <c r="DM44" i="2"/>
  <c r="DN42" i="2" a="1"/>
  <c r="DN42" i="2"/>
  <c r="DM42" i="2"/>
  <c r="DN45" i="2" a="1"/>
  <c r="DN45" i="2"/>
  <c r="DM45" i="2"/>
  <c r="DM38" i="2"/>
  <c r="DN38" i="2" a="1"/>
  <c r="DN38" i="2"/>
  <c r="DN41" i="2" a="1"/>
  <c r="DN41" i="2"/>
  <c r="DM41" i="2"/>
  <c r="DM39" i="2"/>
  <c r="DN40" i="2" a="1"/>
  <c r="DN40" i="2"/>
  <c r="DN39" i="2" a="1"/>
  <c r="DN39" i="2"/>
  <c r="DM40" i="2"/>
  <c r="DM36" i="2"/>
  <c r="DN35" i="2" a="1"/>
  <c r="DN35" i="2"/>
  <c r="DM37" i="2"/>
  <c r="DN37" i="2" a="1"/>
  <c r="DN37" i="2"/>
  <c r="DN36" i="2" a="1"/>
  <c r="DN36" i="2"/>
  <c r="DN34" i="2" a="1"/>
  <c r="DN34" i="2"/>
  <c r="DM34" i="2"/>
  <c r="DM35" i="2"/>
  <c r="DM32" i="2"/>
  <c r="DN32" i="2" a="1"/>
  <c r="DN32" i="2"/>
  <c r="DN33" i="2" a="1"/>
  <c r="DN33" i="2"/>
  <c r="DM31" i="2"/>
  <c r="DN31" i="2" a="1"/>
  <c r="DN31" i="2"/>
  <c r="DM30" i="2"/>
  <c r="DM33" i="2"/>
  <c r="DN30" i="2" a="1"/>
  <c r="DN30" i="2"/>
  <c r="DN28" i="2" a="1"/>
  <c r="DN28" i="2"/>
  <c r="DM28" i="2"/>
  <c r="DM26" i="2"/>
  <c r="DN26" i="2" a="1"/>
  <c r="DN26" i="2"/>
  <c r="DM27" i="2"/>
  <c r="DN27" i="2" a="1"/>
  <c r="DN27" i="2"/>
  <c r="DM29" i="2"/>
  <c r="DN29" i="2" a="1"/>
  <c r="DN29" i="2"/>
  <c r="DN22" i="2" a="1"/>
  <c r="DN22" i="2"/>
  <c r="DM22" i="2"/>
  <c r="DN23" i="2" a="1"/>
  <c r="DN23" i="2"/>
  <c r="DM23" i="2"/>
  <c r="DM24" i="2"/>
  <c r="DN25" i="2" a="1"/>
  <c r="DN25" i="2"/>
  <c r="DN24" i="2" a="1"/>
  <c r="DN24" i="2"/>
  <c r="DM25" i="2"/>
  <c r="DM20" i="2"/>
  <c r="DN19" i="2" a="1"/>
  <c r="DN19" i="2"/>
  <c r="DM19" i="2"/>
  <c r="DN18" i="2" a="1"/>
  <c r="DN18" i="2"/>
  <c r="DM18" i="2"/>
  <c r="DN20" i="2" a="1"/>
  <c r="DN20" i="2"/>
  <c r="DN21" i="2" a="1"/>
  <c r="DN21" i="2"/>
  <c r="DM21" i="2"/>
  <c r="DN14" i="2" a="1"/>
  <c r="DN14" i="2"/>
  <c r="DM14" i="2"/>
  <c r="DM17" i="2"/>
  <c r="DN17" i="2" a="1"/>
  <c r="DN17" i="2"/>
  <c r="DM16" i="2"/>
  <c r="DN16" i="2" a="1"/>
  <c r="DN16" i="2"/>
  <c r="DN15" i="2" a="1"/>
  <c r="DN15" i="2"/>
  <c r="DM15" i="2"/>
  <c r="DM7" i="2"/>
  <c r="DN7" i="2" a="1"/>
  <c r="DN7" i="2"/>
  <c r="DN8" i="2" a="1"/>
  <c r="DN8" i="2"/>
  <c r="DM8" i="2"/>
  <c r="DM9" i="2"/>
  <c r="DN9" i="2" a="1"/>
  <c r="DN9" i="2"/>
  <c r="DN12" i="2" a="1"/>
  <c r="DN12" i="2"/>
  <c r="DN10" i="2" a="1"/>
  <c r="DN10" i="2"/>
  <c r="DM12" i="2"/>
  <c r="DN6" i="2" a="1"/>
  <c r="DN6" i="2"/>
  <c r="DM6" i="2"/>
  <c r="AU5" i="2"/>
  <c r="AV4" i="2"/>
  <c r="DN13" i="2" a="1"/>
  <c r="DN13" i="2"/>
  <c r="DM13" i="2"/>
  <c r="DM10" i="2"/>
  <c r="DM11" i="2"/>
  <c r="DN11" i="2" a="1"/>
  <c r="DN11" i="2"/>
  <c r="DG14" i="2"/>
  <c r="DG15" i="2"/>
  <c r="DG43" i="2"/>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c r="BN7" i="2"/>
  <c r="DH12" i="2"/>
  <c r="BN12" i="2"/>
  <c r="DH10" i="2"/>
  <c r="BN10" i="2"/>
  <c r="DH6" i="2"/>
  <c r="BN6" i="2"/>
  <c r="DH13" i="2"/>
  <c r="BN13" i="2"/>
  <c r="DH11" i="2"/>
  <c r="BN11" i="2"/>
  <c r="DH9" i="2"/>
  <c r="BN9" i="2"/>
  <c r="DH8" i="2"/>
  <c r="BN8" i="2"/>
  <c r="DH14" i="2"/>
  <c r="BN14" i="2"/>
  <c r="DH15" i="2"/>
  <c r="BN15" i="2"/>
  <c r="DH32" i="2"/>
  <c r="BN32" i="2"/>
  <c r="DH37" i="2"/>
  <c r="BN37" i="2"/>
  <c r="DH51" i="2"/>
  <c r="BN51" i="2"/>
  <c r="DH33" i="2"/>
  <c r="BN33" i="2"/>
  <c r="DH36" i="2"/>
  <c r="BN36" i="2"/>
  <c r="DH30" i="2"/>
  <c r="BN30" i="2"/>
  <c r="DH45" i="2"/>
  <c r="BN45" i="2"/>
  <c r="DH40" i="2"/>
  <c r="BN40" i="2"/>
  <c r="DH24" i="2"/>
  <c r="BN24" i="2"/>
  <c r="DH27" i="2"/>
  <c r="BN27" i="2"/>
  <c r="DH18" i="2"/>
  <c r="BN18" i="2"/>
  <c r="DH39" i="2"/>
  <c r="BN39" i="2"/>
  <c r="DH17" i="2"/>
  <c r="BN17" i="2"/>
  <c r="DH16" i="2"/>
  <c r="BN16" i="2"/>
  <c r="DH38" i="2"/>
  <c r="BN38" i="2"/>
  <c r="DH25" i="2"/>
  <c r="BN25" i="2"/>
  <c r="DH35" i="2"/>
  <c r="BN35" i="2"/>
  <c r="DH28" i="2"/>
  <c r="BN28" i="2"/>
  <c r="DH42" i="2"/>
  <c r="BN42" i="2"/>
  <c r="DH22" i="2"/>
  <c r="BN22" i="2"/>
  <c r="DH19" i="2"/>
  <c r="BN19" i="2"/>
  <c r="DH31" i="2"/>
  <c r="BN31" i="2"/>
  <c r="DH26" i="2"/>
  <c r="BN26" i="2"/>
  <c r="DH49" i="2"/>
  <c r="BN49" i="2"/>
  <c r="DH53" i="2"/>
  <c r="BN53" i="2"/>
  <c r="DH46" i="2"/>
  <c r="BN46" i="2"/>
  <c r="DH52" i="2"/>
  <c r="BN52" i="2"/>
  <c r="DH23" i="2"/>
  <c r="BN23" i="2"/>
  <c r="DH48" i="2"/>
  <c r="BN48" i="2"/>
  <c r="DH44" i="2"/>
  <c r="BN44" i="2"/>
  <c r="DH29" i="2"/>
  <c r="BN29" i="2"/>
  <c r="DH50" i="2"/>
  <c r="BN50" i="2"/>
  <c r="DH41" i="2"/>
  <c r="BN41" i="2"/>
  <c r="DH20" i="2"/>
  <c r="BN20" i="2"/>
  <c r="DH21" i="2"/>
  <c r="BN21" i="2"/>
  <c r="DH43" i="2"/>
  <c r="BN43" i="2"/>
  <c r="DH47" i="2"/>
  <c r="BN47" i="2"/>
  <c r="DH34" i="2"/>
  <c r="BN34" i="2"/>
  <c r="AL24" i="2"/>
  <c r="AL31" i="2"/>
  <c r="M116" i="2"/>
  <c r="AA114" i="2"/>
  <c r="BD60" i="2"/>
  <c r="AL22" i="2"/>
  <c r="M104" i="2"/>
  <c r="AA102" i="2"/>
  <c r="BK60" i="2"/>
  <c r="AL23" i="2"/>
  <c r="N103" i="2"/>
  <c r="AF104" i="2"/>
  <c r="BH60" i="2"/>
  <c r="BJ60" i="2"/>
  <c r="AL25" i="2"/>
  <c r="AS25" i="2"/>
  <c r="BI60" i="2"/>
  <c r="AL30" i="2"/>
  <c r="M109" i="2"/>
  <c r="AA110" i="2"/>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c r="AF112" i="2"/>
  <c r="AL88" i="2"/>
  <c r="BJ62" i="2"/>
  <c r="AL47" i="2"/>
  <c r="N104" i="2"/>
  <c r="AF102" i="2"/>
  <c r="AL63" i="2"/>
  <c r="N114" i="2"/>
  <c r="AF115" i="2"/>
  <c r="BJ61" i="2"/>
  <c r="BJ65" i="2"/>
  <c r="AL86" i="2"/>
  <c r="M115" i="2"/>
  <c r="AA116" i="2"/>
  <c r="AL70" i="2"/>
  <c r="M105" i="2"/>
  <c r="AA106" i="2"/>
  <c r="BD69" i="2"/>
  <c r="BH68" i="2"/>
  <c r="AL96" i="2"/>
  <c r="BD65" i="2"/>
  <c r="BD61" i="2"/>
  <c r="AL64" i="2"/>
  <c r="BK63" i="2"/>
  <c r="AL39" i="2"/>
  <c r="M106" i="2"/>
  <c r="AA105" i="2"/>
  <c r="BI65" i="2"/>
  <c r="BJ66" i="2"/>
  <c r="BJ63" i="2"/>
  <c r="AL46" i="2"/>
  <c r="M103" i="2"/>
  <c r="AA104" i="2"/>
  <c r="BI69" i="2"/>
  <c r="AL81" i="2"/>
  <c r="BD64" i="2"/>
  <c r="BI62" i="2"/>
  <c r="AL71" i="2"/>
  <c r="N106" i="2"/>
  <c r="AF105" i="2"/>
  <c r="AL38" i="2"/>
  <c r="M102" i="2"/>
  <c r="AA103" i="2"/>
  <c r="BG61" i="2"/>
  <c r="BK68" i="2"/>
  <c r="BH62" i="2"/>
  <c r="AL32" i="2"/>
  <c r="BG63" i="2"/>
  <c r="BH64" i="2"/>
  <c r="BI63" i="2"/>
  <c r="BI66" i="2"/>
  <c r="AL55" i="2"/>
  <c r="N116" i="2"/>
  <c r="AF114" i="2"/>
  <c r="BJ64" i="2"/>
  <c r="BJ67" i="2"/>
  <c r="BD66" i="2"/>
  <c r="BK62" i="2"/>
  <c r="BG62" i="2"/>
  <c r="AL80" i="2"/>
  <c r="BG64" i="2"/>
  <c r="AL94" i="2"/>
  <c r="M108" i="2"/>
  <c r="AA108" i="2"/>
  <c r="BG66" i="2"/>
  <c r="BK69" i="2"/>
  <c r="AL62" i="2"/>
  <c r="M112" i="2"/>
  <c r="AA111" i="2"/>
  <c r="AL33" i="2"/>
  <c r="BK64" i="2"/>
  <c r="BI68" i="2"/>
  <c r="AL48" i="2"/>
  <c r="BH69" i="2"/>
  <c r="AL97" i="2"/>
  <c r="BH65" i="2"/>
  <c r="AL49" i="2"/>
  <c r="BG69" i="2"/>
  <c r="AL54" i="2"/>
  <c r="M110" i="2"/>
  <c r="AA109" i="2"/>
  <c r="AL79" i="2"/>
  <c r="N112" i="2"/>
  <c r="AF111" i="2"/>
  <c r="BH67" i="2"/>
  <c r="BK61" i="2"/>
  <c r="BI61" i="2"/>
  <c r="BD63" i="2"/>
  <c r="BK66" i="2"/>
  <c r="BI64" i="2"/>
  <c r="BK67" i="2"/>
  <c r="BI67" i="2"/>
  <c r="BG68" i="2"/>
  <c r="BH61" i="2"/>
  <c r="AL78" i="2"/>
  <c r="M114" i="2"/>
  <c r="AA115" i="2"/>
  <c r="BK65" i="2"/>
  <c r="BD68" i="2"/>
  <c r="BD62" i="2"/>
  <c r="AL65" i="2"/>
  <c r="AL72" i="2"/>
  <c r="BG67" i="2"/>
  <c r="AL56" i="2"/>
  <c r="AL89" i="2"/>
  <c r="AL87" i="2"/>
  <c r="M111" i="2"/>
  <c r="AA112" i="2"/>
  <c r="AL73" i="2"/>
  <c r="AA16" i="4"/>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c r="AR72" i="2"/>
  <c r="AP72" i="2"/>
  <c r="AN72" i="2"/>
  <c r="T22" i="4"/>
  <c r="AQ72" i="2"/>
  <c r="AS72" i="2"/>
  <c r="AT72" i="2"/>
  <c r="V22" i="4"/>
  <c r="BE67" i="2"/>
  <c r="BR67" i="2"/>
  <c r="BF67" i="2"/>
  <c r="AM56" i="2"/>
  <c r="U6" i="4"/>
  <c r="T6" i="4"/>
  <c r="AS56" i="2"/>
  <c r="AR56" i="2"/>
  <c r="W6" i="4"/>
  <c r="AO56" i="2"/>
  <c r="AT56" i="2"/>
  <c r="V6" i="4"/>
  <c r="AP56" i="2"/>
  <c r="AN56" i="2"/>
  <c r="AQ56" i="2"/>
  <c r="AQ31" i="2"/>
  <c r="AR31" i="2"/>
  <c r="H29" i="4"/>
  <c r="AM31" i="2"/>
  <c r="I29" i="4"/>
  <c r="AS31" i="2"/>
  <c r="AP31" i="2"/>
  <c r="AN31" i="2"/>
  <c r="AT31" i="2"/>
  <c r="J29" i="4"/>
  <c r="AO31" i="2"/>
  <c r="H20" i="4"/>
  <c r="AQ22" i="2"/>
  <c r="AT22" i="2"/>
  <c r="J20" i="4"/>
  <c r="AP22" i="2"/>
  <c r="AR22" i="2"/>
  <c r="AO22" i="2"/>
  <c r="AS22" i="2"/>
  <c r="AM22" i="2"/>
  <c r="I20" i="4"/>
  <c r="AN22" i="2"/>
  <c r="AQ25" i="2"/>
  <c r="AT25" i="2"/>
  <c r="J23" i="4"/>
  <c r="AR25" i="2"/>
  <c r="K23" i="4"/>
  <c r="AP25" i="2"/>
  <c r="H23" i="4"/>
  <c r="BL63" i="2"/>
  <c r="AM24" i="2"/>
  <c r="I22" i="4"/>
  <c r="AT24" i="2"/>
  <c r="J22" i="4"/>
  <c r="AP24" i="2"/>
  <c r="AS24" i="2"/>
  <c r="AO24" i="2"/>
  <c r="AQ24" i="2"/>
  <c r="AN24" i="2"/>
  <c r="AR24" i="2"/>
  <c r="K22" i="4"/>
  <c r="H22" i="4"/>
  <c r="AM25" i="2"/>
  <c r="I23" i="4"/>
  <c r="AO25" i="2"/>
  <c r="AN25" i="2"/>
  <c r="AM23" i="2"/>
  <c r="I21" i="4"/>
  <c r="H21" i="4"/>
  <c r="AR23" i="2"/>
  <c r="AN23" i="2"/>
  <c r="AP23" i="2"/>
  <c r="AO23" i="2"/>
  <c r="AS23" i="2"/>
  <c r="AQ23" i="2"/>
  <c r="AT23" i="2"/>
  <c r="J21" i="4"/>
  <c r="AO30" i="2"/>
  <c r="AM30" i="2"/>
  <c r="I28" i="4"/>
  <c r="AQ30" i="2"/>
  <c r="AS30" i="2"/>
  <c r="AT30" i="2"/>
  <c r="J28" i="4"/>
  <c r="AP30" i="2"/>
  <c r="AR30" i="2"/>
  <c r="K28" i="4"/>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c r="AT41" i="2"/>
  <c r="J39" i="4"/>
  <c r="AQ41" i="2"/>
  <c r="AS41" i="2"/>
  <c r="AR41" i="2"/>
  <c r="AN41" i="2"/>
  <c r="AT40" i="2"/>
  <c r="J38" i="4"/>
  <c r="AO40" i="2"/>
  <c r="AS40" i="2"/>
  <c r="AP40" i="2"/>
  <c r="H38" i="4"/>
  <c r="AM40" i="2"/>
  <c r="I38" i="4"/>
  <c r="AN40" i="2"/>
  <c r="AR40" i="2"/>
  <c r="K38" i="4"/>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c r="AN17" i="2"/>
  <c r="BE60" i="2"/>
  <c r="BR60" i="2"/>
  <c r="AS14" i="2"/>
  <c r="AQ14" i="2"/>
  <c r="AO14" i="2"/>
  <c r="AM14" i="2"/>
  <c r="I12" i="4"/>
  <c r="AT14" i="2"/>
  <c r="J12" i="4"/>
  <c r="M113" i="2"/>
  <c r="AA113" i="2"/>
  <c r="AT16" i="2"/>
  <c r="J14" i="4"/>
  <c r="AR16" i="2"/>
  <c r="AM16" i="2"/>
  <c r="I14" i="4"/>
  <c r="AN16" i="2"/>
  <c r="AP16" i="2"/>
  <c r="H4" i="4"/>
  <c r="BE58" i="2"/>
  <c r="BR58" i="2"/>
  <c r="BF58" i="2"/>
  <c r="H13" i="4"/>
  <c r="AN15" i="2"/>
  <c r="AR15" i="2"/>
  <c r="N101" i="2"/>
  <c r="AF101" i="2"/>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c r="BF60" i="2"/>
  <c r="AN14" i="2"/>
  <c r="AR14" i="2"/>
  <c r="AP14" i="2"/>
  <c r="H12" i="4"/>
  <c r="BF59" i="2"/>
  <c r="BE59" i="2"/>
  <c r="BR59" i="2"/>
  <c r="AS16" i="2"/>
  <c r="H14" i="4"/>
  <c r="AO16" i="2"/>
  <c r="AQ16" i="2"/>
  <c r="AO6" i="2"/>
  <c r="AP6" i="2"/>
  <c r="AQ6" i="2"/>
  <c r="AM6" i="2"/>
  <c r="I4" i="4"/>
  <c r="AS6" i="2"/>
  <c r="AT6" i="2"/>
  <c r="J4" i="4"/>
  <c r="AN6" i="2"/>
  <c r="AR6" i="2"/>
  <c r="K4" i="4"/>
  <c r="M107" i="2"/>
  <c r="AA107" i="2"/>
  <c r="AP15" i="2"/>
  <c r="AO15" i="2"/>
  <c r="AS15" i="2"/>
  <c r="AM15" i="2"/>
  <c r="I13" i="4"/>
  <c r="AQ15" i="2"/>
  <c r="AT15" i="2"/>
  <c r="J13" i="4"/>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c r="AS8" i="2"/>
  <c r="AQ8" i="2"/>
  <c r="AR8" i="2"/>
  <c r="K6" i="4"/>
  <c r="AM8" i="2"/>
  <c r="I6" i="4"/>
  <c r="AN8" i="2"/>
  <c r="AP8" i="2"/>
  <c r="H6" i="4"/>
  <c r="H7" i="4"/>
  <c r="AQ9" i="2"/>
  <c r="AP9" i="2"/>
  <c r="AM9" i="2"/>
  <c r="I7" i="4"/>
  <c r="AS9" i="2"/>
  <c r="AN9" i="2"/>
  <c r="AO9" i="2"/>
  <c r="AT9" i="2"/>
  <c r="J7" i="4"/>
  <c r="AR9" i="2"/>
  <c r="M101" i="2"/>
  <c r="AA101" i="2"/>
  <c r="AT7" i="2"/>
  <c r="J5" i="4"/>
  <c r="AO7" i="2"/>
  <c r="AQ7" i="2"/>
  <c r="H5" i="4"/>
  <c r="AS7" i="2"/>
  <c r="AM7" i="2"/>
  <c r="I5" i="4"/>
  <c r="AP7" i="2"/>
  <c r="AR7" i="2"/>
  <c r="K5" i="4"/>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c r="BF65" i="2"/>
  <c r="AT57" i="2"/>
  <c r="V7" i="4"/>
  <c r="AP57" i="2"/>
  <c r="AO57" i="2"/>
  <c r="AN57" i="2"/>
  <c r="AM57" i="2"/>
  <c r="U7" i="4"/>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c r="AQ95" i="2"/>
  <c r="AN95" i="2"/>
  <c r="AO95" i="2"/>
  <c r="AS95" i="2"/>
  <c r="AM95" i="2"/>
  <c r="U45" i="4"/>
  <c r="AR95" i="2"/>
  <c r="W45" i="4"/>
  <c r="AQ88" i="2"/>
  <c r="AO88" i="2"/>
  <c r="AP88" i="2"/>
  <c r="AM88" i="2"/>
  <c r="U38" i="4"/>
  <c r="AT88" i="2"/>
  <c r="V38" i="4"/>
  <c r="AN88" i="2"/>
  <c r="AS88" i="2"/>
  <c r="AR88" i="2"/>
  <c r="W38" i="4"/>
  <c r="T38" i="4"/>
  <c r="AN47" i="2"/>
  <c r="AR47" i="2"/>
  <c r="AQ47" i="2"/>
  <c r="AO47" i="2"/>
  <c r="AM47" i="2"/>
  <c r="I45" i="4"/>
  <c r="AT47" i="2"/>
  <c r="J45" i="4"/>
  <c r="AS47" i="2"/>
  <c r="AP47" i="2"/>
  <c r="H45" i="4"/>
  <c r="T13" i="4"/>
  <c r="AQ63" i="2"/>
  <c r="AR63" i="2"/>
  <c r="AS63" i="2"/>
  <c r="AP63" i="2"/>
  <c r="AM63" i="2"/>
  <c r="U13" i="4"/>
  <c r="AT63" i="2"/>
  <c r="V13" i="4"/>
  <c r="AO63" i="2"/>
  <c r="AN63" i="2"/>
  <c r="AP86" i="2"/>
  <c r="AM86" i="2"/>
  <c r="U36" i="4"/>
  <c r="AT86" i="2"/>
  <c r="V36" i="4"/>
  <c r="AR86" i="2"/>
  <c r="T36" i="4"/>
  <c r="AO86" i="2"/>
  <c r="AS86" i="2"/>
  <c r="AN86" i="2"/>
  <c r="AQ86" i="2"/>
  <c r="T20" i="4"/>
  <c r="AM70" i="2"/>
  <c r="U20" i="4"/>
  <c r="AT70" i="2"/>
  <c r="V20" i="4"/>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W46" i="4"/>
  <c r="AO96" i="2"/>
  <c r="AQ96" i="2"/>
  <c r="T46" i="4"/>
  <c r="AM96" i="2"/>
  <c r="U46" i="4"/>
  <c r="AP96" i="2"/>
  <c r="AT96" i="2"/>
  <c r="V46" i="4"/>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c r="AR64" i="2"/>
  <c r="AN64" i="2"/>
  <c r="AT64" i="2"/>
  <c r="V14" i="4"/>
  <c r="AQ64" i="2"/>
  <c r="AP64" i="2"/>
  <c r="AO64" i="2"/>
  <c r="AS64" i="2"/>
  <c r="T14" i="4"/>
  <c r="H37" i="4"/>
  <c r="AM39" i="2"/>
  <c r="I37" i="4"/>
  <c r="AP39" i="2"/>
  <c r="AN39" i="2"/>
  <c r="AT39" i="2"/>
  <c r="J37" i="4"/>
  <c r="AQ39" i="2"/>
  <c r="AO39" i="2"/>
  <c r="AR39" i="2"/>
  <c r="AS39" i="2"/>
  <c r="AS46" i="2"/>
  <c r="AQ46" i="2"/>
  <c r="AP46" i="2"/>
  <c r="H44" i="4"/>
  <c r="AR46" i="2"/>
  <c r="K44" i="4"/>
  <c r="AT46" i="2"/>
  <c r="J44" i="4"/>
  <c r="AM46" i="2"/>
  <c r="I44" i="4"/>
  <c r="AN46" i="2"/>
  <c r="AO46" i="2"/>
  <c r="AO81" i="2"/>
  <c r="AM81" i="2"/>
  <c r="U31" i="4"/>
  <c r="AT81" i="2"/>
  <c r="V31" i="4"/>
  <c r="AS81" i="2"/>
  <c r="T31" i="4"/>
  <c r="AP81" i="2"/>
  <c r="AR81" i="2"/>
  <c r="W31" i="4"/>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c r="AM71" i="2"/>
  <c r="U21" i="4"/>
  <c r="AR71" i="2"/>
  <c r="AS71" i="2"/>
  <c r="T21" i="4"/>
  <c r="AO71" i="2"/>
  <c r="AQ71" i="2"/>
  <c r="AP38" i="2"/>
  <c r="AR38" i="2"/>
  <c r="AQ38" i="2"/>
  <c r="AN38" i="2"/>
  <c r="AT38" i="2"/>
  <c r="J36" i="4"/>
  <c r="AO38" i="2"/>
  <c r="AS38" i="2"/>
  <c r="H36" i="4"/>
  <c r="AM38" i="2"/>
  <c r="I36" i="4"/>
  <c r="BE61" i="2"/>
  <c r="BR61" i="2"/>
  <c r="BF61" i="2"/>
  <c r="AT32" i="2"/>
  <c r="J30" i="4"/>
  <c r="AS32" i="2"/>
  <c r="AR32" i="2"/>
  <c r="AP32" i="2"/>
  <c r="AN32" i="2"/>
  <c r="H30" i="4"/>
  <c r="AQ32" i="2"/>
  <c r="AM32" i="2"/>
  <c r="I30" i="4"/>
  <c r="AO32" i="2"/>
  <c r="BF63" i="2"/>
  <c r="BE63" i="2"/>
  <c r="BR63" i="2"/>
  <c r="AT55" i="2"/>
  <c r="V5" i="4"/>
  <c r="AO55" i="2"/>
  <c r="AM55" i="2"/>
  <c r="U5" i="4"/>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c r="BF62" i="2"/>
  <c r="T30" i="4"/>
  <c r="AP80" i="2"/>
  <c r="AO80" i="2"/>
  <c r="AN80" i="2"/>
  <c r="AQ80" i="2"/>
  <c r="AT80" i="2"/>
  <c r="V30" i="4"/>
  <c r="AM80" i="2"/>
  <c r="U30" i="4"/>
  <c r="AS80" i="2"/>
  <c r="AR80" i="2"/>
  <c r="BE64" i="2"/>
  <c r="BR64" i="2"/>
  <c r="BF64" i="2"/>
  <c r="AR94" i="2"/>
  <c r="AQ94" i="2"/>
  <c r="AP94" i="2"/>
  <c r="AN94" i="2"/>
  <c r="AS94" i="2"/>
  <c r="AM94" i="2"/>
  <c r="U44" i="4"/>
  <c r="AT94" i="2"/>
  <c r="V44" i="4"/>
  <c r="AO94" i="2"/>
  <c r="T44" i="4"/>
  <c r="BF66" i="2"/>
  <c r="BE66" i="2"/>
  <c r="BR66" i="2"/>
  <c r="AS62" i="2"/>
  <c r="AP62" i="2"/>
  <c r="AT62" i="2"/>
  <c r="V12" i="4"/>
  <c r="AM62" i="2"/>
  <c r="U12" i="4"/>
  <c r="AO62" i="2"/>
  <c r="AR62" i="2"/>
  <c r="AN62" i="2"/>
  <c r="AQ62" i="2"/>
  <c r="T12" i="4"/>
  <c r="AR33" i="2"/>
  <c r="H31" i="4"/>
  <c r="AM33" i="2"/>
  <c r="I31" i="4"/>
  <c r="AO33" i="2"/>
  <c r="AQ33" i="2"/>
  <c r="AT33" i="2"/>
  <c r="J31" i="4"/>
  <c r="AS33" i="2"/>
  <c r="AP33" i="2"/>
  <c r="AN33" i="2"/>
  <c r="AM48" i="2"/>
  <c r="I46" i="4"/>
  <c r="AR48" i="2"/>
  <c r="AO48" i="2"/>
  <c r="AN48" i="2"/>
  <c r="AP48" i="2"/>
  <c r="AT48" i="2"/>
  <c r="J46" i="4"/>
  <c r="H46" i="4"/>
  <c r="AQ48" i="2"/>
  <c r="AS48" i="2"/>
  <c r="T47" i="4"/>
  <c r="AN97" i="2"/>
  <c r="AS97" i="2"/>
  <c r="AM97" i="2"/>
  <c r="U47" i="4"/>
  <c r="AP97" i="2"/>
  <c r="AR97" i="2"/>
  <c r="AO97" i="2"/>
  <c r="AQ97" i="2"/>
  <c r="AT97" i="2"/>
  <c r="V47" i="4"/>
  <c r="AR49" i="2"/>
  <c r="AM49" i="2"/>
  <c r="I47" i="4"/>
  <c r="AS49" i="2"/>
  <c r="AN49" i="2"/>
  <c r="AP49" i="2"/>
  <c r="AQ49" i="2"/>
  <c r="H47" i="4"/>
  <c r="AT49" i="2"/>
  <c r="J47" i="4"/>
  <c r="AO49" i="2"/>
  <c r="BE69" i="2"/>
  <c r="BR69" i="2"/>
  <c r="BF69" i="2"/>
  <c r="AM54" i="2"/>
  <c r="U4" i="4"/>
  <c r="AQ54" i="2"/>
  <c r="T4" i="4"/>
  <c r="AO54" i="2"/>
  <c r="AT54" i="2"/>
  <c r="V4" i="4"/>
  <c r="AS54" i="2"/>
  <c r="AP54" i="2"/>
  <c r="AN54" i="2"/>
  <c r="AR54" i="2"/>
  <c r="AP79" i="2"/>
  <c r="AQ79" i="2"/>
  <c r="AT79" i="2"/>
  <c r="V29" i="4"/>
  <c r="AN79" i="2"/>
  <c r="AR79" i="2"/>
  <c r="AO79" i="2"/>
  <c r="T29" i="4"/>
  <c r="AM79" i="2"/>
  <c r="U29" i="4"/>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c r="T28" i="4"/>
  <c r="AS78" i="2"/>
  <c r="AQ78" i="2"/>
  <c r="AP78" i="2"/>
  <c r="AR78" i="2"/>
  <c r="W28" i="4"/>
  <c r="AM78" i="2"/>
  <c r="U28" i="4"/>
  <c r="AN78" i="2"/>
  <c r="AO78" i="2"/>
  <c r="AT78" i="2"/>
  <c r="V28" i="4"/>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c r="AS65" i="2"/>
  <c r="AN65" i="2"/>
  <c r="AR65" i="2"/>
  <c r="W15" i="4"/>
  <c r="AO65" i="2"/>
  <c r="AQ65" i="2"/>
  <c r="AP65" i="2"/>
  <c r="AT65" i="2"/>
  <c r="V15" i="4"/>
  <c r="T15" i="4"/>
  <c r="AM89" i="2"/>
  <c r="U39" i="4"/>
  <c r="AP89" i="2"/>
  <c r="AT89" i="2"/>
  <c r="V39" i="4"/>
  <c r="AQ89" i="2"/>
  <c r="AR89" i="2"/>
  <c r="AO89" i="2"/>
  <c r="AS89" i="2"/>
  <c r="T39" i="4"/>
  <c r="AN89" i="2"/>
  <c r="T37" i="4"/>
  <c r="AS87" i="2"/>
  <c r="AP87" i="2"/>
  <c r="AT87" i="2"/>
  <c r="V37" i="4"/>
  <c r="AO87" i="2"/>
  <c r="AM87" i="2"/>
  <c r="U37" i="4"/>
  <c r="AR87" i="2"/>
  <c r="W37" i="4"/>
  <c r="AN87" i="2"/>
  <c r="AQ87" i="2"/>
  <c r="T23" i="4"/>
  <c r="AQ73" i="2"/>
  <c r="AR73" i="2"/>
  <c r="AO73" i="2"/>
  <c r="AS73" i="2"/>
  <c r="AN73" i="2"/>
  <c r="AP73" i="2"/>
  <c r="AT73" i="2"/>
  <c r="V23" i="4"/>
  <c r="AM73" i="2"/>
  <c r="U23" i="4"/>
  <c r="BL65" i="2"/>
  <c r="BL66" i="2"/>
  <c r="BL67" i="2"/>
  <c r="BL62" i="2"/>
  <c r="BL68" i="2"/>
  <c r="BL69" i="2"/>
  <c r="BL61" i="2"/>
  <c r="BL64" i="2"/>
  <c r="W4" i="4"/>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c r="BU59" i="2"/>
  <c r="BT64" i="2"/>
  <c r="BU64" i="2"/>
  <c r="BT58" i="2"/>
  <c r="BU58" i="2"/>
  <c r="BT66" i="2"/>
  <c r="BU66" i="2"/>
  <c r="BT69" i="2"/>
  <c r="BU69" i="2"/>
  <c r="BT63" i="2"/>
  <c r="BU63" i="2"/>
  <c r="BT65" i="2"/>
  <c r="BU65" i="2"/>
  <c r="BT61" i="2"/>
  <c r="BT60" i="2"/>
  <c r="BU60" i="2"/>
  <c r="BT62" i="2"/>
  <c r="BU62" i="2"/>
  <c r="BT68" i="2"/>
  <c r="BU68" i="2"/>
  <c r="BT67" i="2"/>
  <c r="BU67" i="2"/>
  <c r="BU61" i="2"/>
  <c r="BV58" i="2"/>
  <c r="BV59" i="2"/>
  <c r="BV60" i="2"/>
  <c r="BV64" i="2"/>
  <c r="BV65" i="2"/>
  <c r="BV68" i="2"/>
  <c r="BV63" i="2"/>
  <c r="BV67" i="2"/>
  <c r="BV69" i="2"/>
  <c r="BV66" i="2"/>
  <c r="BV62" i="2"/>
  <c r="BV61" i="2"/>
  <c r="BW62" i="2"/>
  <c r="BX62" i="2"/>
  <c r="BW67" i="2"/>
  <c r="BX67" i="2"/>
  <c r="BW68" i="2"/>
  <c r="BW61" i="2"/>
  <c r="BW60" i="2"/>
  <c r="BW69" i="2"/>
  <c r="BX69" i="2"/>
  <c r="BW64" i="2"/>
  <c r="BX64" i="2"/>
  <c r="BW63" i="2"/>
  <c r="BX63" i="2"/>
  <c r="BW66" i="2"/>
  <c r="BW65" i="2"/>
  <c r="BW58" i="2"/>
  <c r="BX58" i="2"/>
  <c r="BW59" i="2"/>
  <c r="BX59" i="2"/>
  <c r="BX61" i="2"/>
  <c r="BX60" i="2"/>
  <c r="BX66" i="2"/>
  <c r="BX65" i="2"/>
  <c r="BX68" i="2"/>
  <c r="BY62" i="2"/>
  <c r="BY69" i="2"/>
  <c r="BY58" i="2"/>
  <c r="BY61" i="2"/>
  <c r="BY63" i="2"/>
  <c r="BY67" i="2"/>
  <c r="BY64" i="2"/>
  <c r="BY66" i="2"/>
  <c r="BY59" i="2"/>
  <c r="BY60" i="2"/>
  <c r="BY65" i="2"/>
  <c r="BY68" i="2"/>
  <c r="BZ58" i="2"/>
  <c r="BZ66" i="2"/>
  <c r="CA66" i="2"/>
  <c r="BZ67" i="2"/>
  <c r="CA67" i="2"/>
  <c r="BZ69" i="2"/>
  <c r="CA69" i="2"/>
  <c r="BZ64" i="2"/>
  <c r="CA64" i="2"/>
  <c r="BZ63" i="2"/>
  <c r="CA63" i="2"/>
  <c r="BZ62" i="2"/>
  <c r="CA62" i="2"/>
  <c r="BZ61" i="2"/>
  <c r="CA61" i="2"/>
  <c r="BZ59" i="2"/>
  <c r="CA59" i="2"/>
  <c r="BZ65" i="2"/>
  <c r="CA65" i="2"/>
  <c r="BZ68" i="2"/>
  <c r="BZ60" i="2"/>
  <c r="CA60" i="2"/>
  <c r="CA68" i="2"/>
  <c r="CA58" i="2"/>
  <c r="CE58" i="2"/>
  <c r="CB69" i="2"/>
  <c r="BM69" i="2"/>
  <c r="CB63" i="2"/>
  <c r="BM63" i="2"/>
  <c r="CB67" i="2"/>
  <c r="BM67" i="2"/>
  <c r="CB66" i="2"/>
  <c r="BM66" i="2"/>
  <c r="CB64" i="2"/>
  <c r="BM64" i="2"/>
  <c r="CB65" i="2"/>
  <c r="BM65" i="2"/>
  <c r="CB61" i="2"/>
  <c r="BM61" i="2"/>
  <c r="CB68" i="2"/>
  <c r="BM68" i="2"/>
  <c r="CB62" i="2"/>
  <c r="BM62" i="2"/>
  <c r="CB58" i="2"/>
  <c r="BM58" i="2"/>
  <c r="CB60" i="2"/>
  <c r="BM60" i="2"/>
  <c r="CB59" i="2"/>
  <c r="BM59" i="2"/>
  <c r="AV102" i="2"/>
  <c r="DQ58" i="2"/>
  <c r="DJ58" i="2"/>
  <c r="DQ61" i="2"/>
  <c r="DJ61" i="2"/>
  <c r="AV104" i="2"/>
  <c r="AV112" i="2"/>
  <c r="AV106" i="2"/>
  <c r="DQ63" i="2"/>
  <c r="DJ63" i="2"/>
  <c r="DQ59" i="2"/>
  <c r="DJ59" i="2"/>
  <c r="DQ60" i="2"/>
  <c r="DJ60" i="2"/>
  <c r="DQ62" i="2"/>
  <c r="DJ62" i="2"/>
  <c r="DQ64" i="2"/>
  <c r="DJ64" i="2"/>
  <c r="DQ65" i="2"/>
  <c r="DJ65" i="2"/>
  <c r="DQ66" i="2"/>
  <c r="DJ66" i="2"/>
  <c r="DQ67" i="2"/>
  <c r="DJ67" i="2"/>
  <c r="DQ68" i="2"/>
  <c r="DJ68" i="2"/>
  <c r="DQ69" i="2"/>
  <c r="DJ69" i="2"/>
  <c r="DL63" i="2"/>
  <c r="AU107" i="2"/>
  <c r="DL59" i="2"/>
  <c r="AU103" i="2"/>
  <c r="AV105" i="2"/>
  <c r="AV110" i="2"/>
  <c r="DL62" i="2"/>
  <c r="AU106" i="2"/>
  <c r="AV103" i="2"/>
  <c r="AV113" i="2"/>
  <c r="AV109" i="2"/>
  <c r="AV107" i="2"/>
  <c r="AV111" i="2"/>
  <c r="DL69" i="2"/>
  <c r="AU113" i="2"/>
  <c r="AV108" i="2"/>
  <c r="DL68" i="2"/>
  <c r="AU112" i="2"/>
  <c r="DL67" i="2"/>
  <c r="AU111" i="2"/>
  <c r="DL66" i="2"/>
  <c r="AU110" i="2"/>
  <c r="DL65" i="2"/>
  <c r="AU109" i="2"/>
  <c r="DL58" i="2"/>
  <c r="AU102" i="2"/>
  <c r="DL60" i="2"/>
  <c r="AU104" i="2"/>
  <c r="DL61" i="2"/>
  <c r="AU105" i="2"/>
  <c r="DL64" i="2"/>
  <c r="AU108" i="2"/>
  <c r="DM63" i="2"/>
  <c r="DN63" i="2" a="1"/>
  <c r="DN63" i="2"/>
  <c r="DN58" i="2" a="1"/>
  <c r="DN58" i="2"/>
  <c r="CD59" i="2"/>
  <c r="CD58" i="2"/>
  <c r="DM58" i="2"/>
  <c r="CD63" i="2"/>
  <c r="DM65" i="2"/>
  <c r="DN65" i="2" a="1"/>
  <c r="DN65" i="2"/>
  <c r="CD65" i="2"/>
  <c r="CD61" i="2"/>
  <c r="CD66" i="2"/>
  <c r="DM62" i="2"/>
  <c r="DN62" i="2" a="1"/>
  <c r="DN62" i="2"/>
  <c r="DM69" i="2"/>
  <c r="CD64" i="2"/>
  <c r="CD60" i="2"/>
  <c r="DN59" i="2" a="1"/>
  <c r="DN59" i="2"/>
  <c r="CD67" i="2"/>
  <c r="CD69" i="2"/>
  <c r="DM59" i="2"/>
  <c r="DN69" i="2" a="1"/>
  <c r="DN69" i="2"/>
  <c r="CD62" i="2"/>
  <c r="CD68" i="2"/>
  <c r="CE60" i="2"/>
  <c r="AU101" i="2"/>
  <c r="AV100" i="2"/>
  <c r="DN61" i="2" a="1"/>
  <c r="DN61" i="2"/>
  <c r="DM61" i="2"/>
  <c r="DM68" i="2"/>
  <c r="DN68" i="2" a="1"/>
  <c r="DN68" i="2"/>
  <c r="DN66" i="2" a="1"/>
  <c r="DN66" i="2"/>
  <c r="DN64" i="2" a="1"/>
  <c r="DN64" i="2"/>
  <c r="DM66" i="2"/>
  <c r="DN67" i="2" a="1"/>
  <c r="DN67" i="2"/>
  <c r="DM64" i="2"/>
  <c r="DM67" i="2"/>
  <c r="DM60" i="2"/>
  <c r="DN60" i="2" a="1"/>
  <c r="DN60" i="2"/>
  <c r="CE59" i="2"/>
  <c r="CE68" i="2"/>
  <c r="CE61" i="2"/>
  <c r="CE65" i="2"/>
  <c r="CE64" i="2"/>
  <c r="CE67" i="2"/>
  <c r="CE63" i="2"/>
  <c r="CE66" i="2"/>
  <c r="CE69" i="2"/>
  <c r="CE62" i="2"/>
  <c r="CF58" i="2"/>
  <c r="BN58" i="2"/>
  <c r="CF59" i="2"/>
  <c r="BN59" i="2"/>
  <c r="CF60" i="2"/>
  <c r="BN60" i="2"/>
  <c r="CF61" i="2"/>
  <c r="BN61" i="2"/>
  <c r="CF64" i="2"/>
  <c r="BN64" i="2"/>
  <c r="CF67" i="2"/>
  <c r="BN67" i="2"/>
  <c r="CF66" i="2"/>
  <c r="BN66" i="2"/>
  <c r="CF62" i="2"/>
  <c r="BN62" i="2"/>
  <c r="CF68" i="2"/>
  <c r="BN68" i="2"/>
  <c r="CF69" i="2"/>
  <c r="BN69" i="2"/>
  <c r="CF65" i="2"/>
  <c r="BN65" i="2"/>
  <c r="CF63" i="2"/>
  <c r="BN63" i="2"/>
  <c r="AL102" i="2"/>
  <c r="AL108" i="2"/>
  <c r="AL104" i="2"/>
  <c r="AL107" i="2"/>
  <c r="AL110" i="2"/>
  <c r="AL109" i="2"/>
  <c r="AL112" i="2"/>
  <c r="AL103" i="2"/>
  <c r="AL111" i="2"/>
  <c r="AL113" i="2"/>
  <c r="AL105" i="2"/>
  <c r="AL106" i="2"/>
  <c r="AT102" i="2"/>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c r="BG104" i="2"/>
  <c r="BG109" i="2"/>
  <c r="BG105" i="2"/>
  <c r="BG108" i="2"/>
  <c r="BG110" i="2"/>
  <c r="BG106" i="2"/>
  <c r="BG107" i="2"/>
  <c r="BJ108" i="2"/>
  <c r="BJ104" i="2"/>
  <c r="BJ107" i="2"/>
  <c r="BJ110" i="2"/>
  <c r="BJ109" i="2"/>
  <c r="BJ103" i="2"/>
  <c r="BJ106" i="2"/>
  <c r="BJ105" i="2"/>
  <c r="BI112" i="2"/>
  <c r="AZ101" i="2"/>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c r="AF116" i="2"/>
  <c r="N108" i="2"/>
  <c r="AF108" i="2"/>
  <c r="N102" i="2"/>
  <c r="AF103" i="2"/>
  <c r="N107" i="2"/>
  <c r="AF107" i="2"/>
  <c r="N105" i="2"/>
  <c r="AF106" i="2"/>
  <c r="N110" i="2"/>
  <c r="AF109" i="2"/>
  <c r="N113" i="2"/>
  <c r="AF113" i="2"/>
  <c r="N109" i="2"/>
  <c r="AF110" i="2"/>
  <c r="BG124" i="2"/>
  <c r="AZ110" i="2"/>
  <c r="BG121" i="2"/>
  <c r="AZ107" i="2"/>
  <c r="BG118" i="2"/>
  <c r="AZ104" i="2"/>
  <c r="BG119" i="2"/>
  <c r="AZ105" i="2"/>
  <c r="BG123" i="2"/>
  <c r="AZ109" i="2"/>
  <c r="BG120" i="2"/>
  <c r="AZ106" i="2"/>
  <c r="BG117" i="2"/>
  <c r="AZ103" i="2"/>
  <c r="B497" i="6"/>
  <c r="BG122" i="2"/>
  <c r="AZ108" i="2"/>
  <c r="B179" i="3"/>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c r="BH37" i="4"/>
  <c r="BI51" i="4"/>
  <c r="BH51" i="4"/>
  <c r="BI47" i="4"/>
  <c r="BH47" i="4"/>
  <c r="BI5" i="4"/>
  <c r="BH5" i="4"/>
  <c r="BI19" i="4"/>
  <c r="BH19" i="4"/>
  <c r="BI17" i="4"/>
  <c r="BH17" i="4"/>
  <c r="BI48" i="4"/>
  <c r="BH48" i="4"/>
  <c r="BI11" i="4"/>
  <c r="BH11" i="4"/>
  <c r="BI24" i="4"/>
  <c r="BH24" i="4"/>
  <c r="BI43" i="4"/>
  <c r="BH43" i="4"/>
  <c r="BI38" i="4"/>
  <c r="BH38" i="4"/>
  <c r="BI8" i="4"/>
  <c r="BH8" i="4"/>
  <c r="BI26" i="4"/>
  <c r="BH26" i="4"/>
  <c r="BI20" i="4"/>
  <c r="BH20" i="4"/>
  <c r="BI40" i="4"/>
  <c r="BH40" i="4"/>
  <c r="BI44" i="4"/>
  <c r="BH44" i="4"/>
  <c r="BI33" i="4"/>
  <c r="BH33" i="4"/>
  <c r="BI21" i="4"/>
  <c r="BH21" i="4"/>
  <c r="BI14" i="4"/>
  <c r="BH14" i="4"/>
  <c r="BI28" i="4"/>
  <c r="BH28" i="4"/>
  <c r="BI49" i="4"/>
  <c r="BH49" i="4"/>
  <c r="BI10" i="4"/>
  <c r="BH10" i="4"/>
  <c r="BI36" i="4"/>
  <c r="BH36" i="4"/>
  <c r="BI13" i="4"/>
  <c r="BH13" i="4"/>
  <c r="BI12" i="4"/>
  <c r="BH12" i="4"/>
  <c r="BI15" i="4"/>
  <c r="BH15" i="4"/>
  <c r="BI35" i="4"/>
  <c r="BH35" i="4"/>
  <c r="BI39" i="4"/>
  <c r="BH39" i="4"/>
  <c r="BI7" i="4"/>
  <c r="BH7" i="4"/>
  <c r="BI16" i="4"/>
  <c r="BH16" i="4"/>
  <c r="BI6" i="4"/>
  <c r="BH6" i="4"/>
  <c r="BI25" i="4"/>
  <c r="BH25" i="4"/>
  <c r="BI30" i="4"/>
  <c r="BH30" i="4"/>
  <c r="BI4" i="4"/>
  <c r="BH4" i="4"/>
  <c r="BI9" i="4"/>
  <c r="BH9" i="4"/>
  <c r="BI46" i="4"/>
  <c r="BH46" i="4"/>
  <c r="BI29" i="4"/>
  <c r="BH29" i="4"/>
  <c r="BI22" i="4"/>
  <c r="BH22" i="4"/>
  <c r="BI45" i="4"/>
  <c r="BH45" i="4"/>
  <c r="BI23" i="4"/>
  <c r="BH23" i="4"/>
  <c r="BI34" i="4"/>
  <c r="BH34" i="4"/>
  <c r="BI32" i="4"/>
  <c r="BH32" i="4"/>
  <c r="BI18" i="4"/>
  <c r="BH18" i="4"/>
  <c r="BI31" i="4"/>
  <c r="BH31" i="4"/>
  <c r="BI50" i="4"/>
  <c r="BH50" i="4"/>
  <c r="BI41" i="4"/>
  <c r="BH41" i="4"/>
  <c r="BI42" i="4"/>
  <c r="BH42" i="4"/>
  <c r="BI27" i="4"/>
  <c r="BH27" i="4"/>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<sst xmlns="http://schemas.openxmlformats.org/spreadsheetml/2006/main" count="6754" uniqueCount="1516">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</sst>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C94" sqref="AC94"/>
    </sheetView>
  </sheetViews>
  <sheetFormatPr defaultColWidth="0" defaultRowHeight="15" x14ac:dyDescent="0.2"/>
  <cols>
    <col min="1" max="1" width="3.765625" style="292" customWidth="1"/>
    <col min="2" max="2" width="15.73828125" style="292" customWidth="1"/>
    <col min="3" max="3" width="26.76953125" style="292" customWidth="1"/>
    <col min="4" max="4" width="5.78125" style="292" customWidth="1"/>
    <col min="5" max="9" width="11.296875" style="312" customWidth="1"/>
    <col min="10" max="10" width="5.78125" style="312" customWidth="1"/>
    <col min="11" max="11" width="26.76953125" style="312" customWidth="1"/>
    <col min="12" max="12" width="15.73828125" style="292" customWidth="1"/>
    <col min="13" max="13" width="10.4921875" style="292" customWidth="1"/>
    <col min="14" max="15" width="10.76171875" style="292" customWidth="1"/>
    <col min="16" max="16" width="12.10546875" style="292" customWidth="1"/>
    <col min="17" max="17" width="6.05078125" style="292" customWidth="1"/>
    <col min="18" max="31" width="10.76171875" style="292" customWidth="1"/>
    <col min="32" max="34" width="10.76171875" hidden="1" customWidth="1"/>
    <col min="35" max="16384" width="10.7617187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4.9"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19.899999999999999"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1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19.899999999999999"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1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19.899999999999999"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1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19.899999999999999"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1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0</v>
      </c>
      <c r="AD12" s="291">
        <v>2</v>
      </c>
      <c r="AE12" s="291"/>
    </row>
    <row r="13" spans="1:52" ht="16.149999999999999"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2</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0</v>
      </c>
      <c r="AD15" s="291">
        <v>0</v>
      </c>
      <c r="AE15" s="291"/>
    </row>
    <row r="16" spans="1:52" ht="40.15"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0</v>
      </c>
      <c r="AE16" s="291"/>
    </row>
    <row r="17" spans="1:31" ht="40.15"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1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19.899999999999999"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X1" zoomScaleNormal="100" workbookViewId="0">
      <selection activeCell="AF15" sqref="AF15"/>
    </sheetView>
  </sheetViews>
  <sheetFormatPr defaultColWidth="0" defaultRowHeight="15" x14ac:dyDescent="0.2"/>
  <cols>
    <col min="1" max="2" width="10.76171875" hidden="1" customWidth="1"/>
    <col min="3" max="3" width="2.15234375" hidden="1" customWidth="1"/>
    <col min="4" max="10" width="8.7421875" hidden="1" customWidth="1"/>
    <col min="11" max="11" width="12.77734375" hidden="1" customWidth="1"/>
    <col min="12" max="14" width="8.7421875" hidden="1" customWidth="1"/>
    <col min="15" max="15" width="16.94921875" hidden="1" customWidth="1"/>
    <col min="16" max="21" width="8.7421875" hidden="1" customWidth="1"/>
    <col min="22" max="22" width="3.49609375" customWidth="1"/>
    <col min="23" max="23" width="6.72265625" customWidth="1"/>
    <col min="24" max="24" width="11.8359375" customWidth="1"/>
    <col min="25" max="25" width="6.72265625" customWidth="1"/>
    <col min="26" max="26" width="5.109375" customWidth="1"/>
    <col min="27" max="27" width="20.71484375" customWidth="1"/>
    <col min="28" max="28" width="3.359375" customWidth="1"/>
    <col min="29" max="30" width="5.37890625" customWidth="1"/>
    <col min="31" max="31" width="3.359375" customWidth="1"/>
    <col min="32" max="32" width="20.71484375" customWidth="1"/>
    <col min="33" max="33" width="3.49609375" customWidth="1"/>
    <col min="34" max="34" width="5.109375" style="187" customWidth="1"/>
    <col min="35" max="35" width="3.359375" style="187" customWidth="1"/>
    <col min="36" max="36" width="4.3046875" customWidth="1"/>
    <col min="37" max="37" width="3.359375" customWidth="1"/>
    <col min="38" max="38" width="20.71484375" customWidth="1"/>
    <col min="39" max="39" width="5.78125" customWidth="1"/>
    <col min="40" max="43" width="4.3046875" customWidth="1"/>
    <col min="44" max="45" width="4.70703125" customWidth="1"/>
    <col min="46" max="46" width="4.83984375" customWidth="1"/>
    <col min="47" max="47" width="3.359375" style="190" customWidth="1"/>
    <col min="48" max="48" width="18.4296875" style="194" customWidth="1"/>
    <col min="49" max="49" width="3.49609375" style="7" customWidth="1"/>
    <col min="50" max="50" width="3.49609375" style="4" customWidth="1"/>
    <col min="51" max="51" width="19.63671875" style="15" customWidth="1"/>
    <col min="52" max="52" width="15.73828125" style="7" customWidth="1"/>
    <col min="53" max="53" width="2.95703125" customWidth="1"/>
    <col min="54" max="54" width="11.02734375" hidden="1" customWidth="1"/>
    <col min="55" max="55" width="6.05078125" hidden="1" customWidth="1"/>
    <col min="56" max="56" width="16.94921875" hidden="1" customWidth="1"/>
    <col min="57" max="57" width="9.28125" hidden="1" customWidth="1"/>
    <col min="58" max="58" width="2.15234375" hidden="1" customWidth="1"/>
    <col min="59" max="59" width="8.33984375" hidden="1" customWidth="1"/>
    <col min="60" max="60" width="2.15234375" hidden="1" customWidth="1"/>
    <col min="61" max="61" width="2.41796875" hidden="1" customWidth="1"/>
    <col min="62" max="62" width="8.0703125" hidden="1" customWidth="1"/>
    <col min="63" max="63" width="4.83984375" hidden="1" customWidth="1"/>
    <col min="64" max="64" width="5.78125" hidden="1" customWidth="1"/>
    <col min="65" max="66" width="5.6484375" hidden="1" customWidth="1"/>
    <col min="67" max="69" width="9.953125" hidden="1" customWidth="1"/>
    <col min="70" max="71" width="7.26171875" hidden="1" customWidth="1"/>
    <col min="72" max="100" width="7.93359375" hidden="1" customWidth="1"/>
    <col min="101" max="101" width="4.16796875" hidden="1" customWidth="1"/>
    <col min="102" max="102" width="7.26171875" hidden="1" customWidth="1"/>
    <col min="104" max="104" width="3.09375" hidden="1" customWidth="1"/>
    <col min="105" max="105" width="8.609375" hidden="1" customWidth="1"/>
    <col min="106" max="106" width="7.93359375" hidden="1" customWidth="1"/>
    <col min="107" max="107" width="15.73828125" hidden="1" customWidth="1"/>
    <col min="108" max="108" width="11.02734375" hidden="1" customWidth="1"/>
    <col min="109" max="109" width="2.6875" hidden="1" customWidth="1"/>
    <col min="110" max="112" width="11.02734375" hidden="1" customWidth="1"/>
    <col min="114" max="116" width="11.02734375" hidden="1" customWidth="1"/>
    <col min="118" max="118" width="17.75390625" hidden="1" customWidth="1"/>
    <col min="119" max="119" width="10.76171875" hidden="1" customWidth="1"/>
    <col min="120" max="120" width="11.02734375" hidden="1" customWidth="1"/>
    <col min="121" max="123" width="10.76171875" hidden="1" customWidth="1"/>
    <col min="125" max="127" width="10.76171875" hidden="1" customWidth="1"/>
    <col min="128" max="16384" width="10.7617187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4"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15"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149999999999999"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149999999999999"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(3)</v>
      </c>
      <c r="G4" s="16"/>
      <c r="H4" s="16" t="str">
        <f t="shared" ref="H4:H9" ca="1" si="3">IF(D4="Pendiente","-",INDEX($BZ$6:$BZ$53,MATCH($AA4,$BD$6:$BD$53,0)))</f>
        <v>-</v>
      </c>
      <c r="I4" s="16" t="str">
        <f t="shared" ref="I4:I9" ca="1" si="4">IF(D4="Pendiente","-",INDEX($BZ$6:$BZ$53,MATCH($AF4,$BD$6:$BD$53,0)))</f>
        <v>P.2 (3)</v>
      </c>
      <c r="J4" s="16"/>
      <c r="K4" s="16" t="str">
        <f t="shared" ref="K4:K9" ca="1" si="5">IF(D4="Pendiente","-",INDEX($CE$6:$CE$53,MATCH($AA4,$BD$6:$BD$53,0)))</f>
        <v>-</v>
      </c>
      <c r="L4" s="16" t="str">
        <f t="shared" ref="L4:L9" ca="1" si="6">IF(D4="Pendiente","-",INDEX($CE$6:$CE$53,MATCH($AF4,$BD$6:$BD$53,0)))</f>
        <v>P.2 (3)</v>
      </c>
      <c r="M4" s="16"/>
      <c r="N4" s="16" t="str">
        <f t="shared" ref="N4:N9" ca="1" si="7">IF(D4="Pendiente","-",INDEX($CH$6:$CH$53,MATCH($AA4,$BD$6:$BD$53,0)))</f>
        <v>-</v>
      </c>
      <c r="O4" s="16" t="str">
        <f t="shared" ref="O4:O9" ca="1" si="8">IF(D4="Pendiente","-",INDEX($CH$6:$CH$53,MATCH($AF4,$BD$6:$BD$53,0)))</f>
        <v>P.2 (3)</v>
      </c>
      <c r="P4" s="16"/>
      <c r="Q4" s="16" t="str">
        <f t="shared" ref="Q4:Q9" ca="1" si="9">IF(D4="Pendiente","-",INDEX($CN$6:$CN$53,MATCH($AA4,$BD$6:$BD$53,0)))</f>
        <v>-</v>
      </c>
      <c r="R4" s="16" t="str">
        <f t="shared" ref="R4:R9" ca="1" si="10">IF(D4="Pendiente","-",INDEX($CN$6:$CN$53,MATCH($AF4,$BD$6:$BD$53,0)))</f>
        <v>P.2 (3)</v>
      </c>
      <c r="S4" s="16"/>
      <c r="T4" s="16" t="str">
        <f t="shared" ref="T4:T9" ca="1" si="11">IF(D4="Pendiente","-",INDEX($CS$6:$CS$53,MATCH($AA4,$BD$6:$BD$53,0)))</f>
        <v>-</v>
      </c>
      <c r="U4" s="16" t="str">
        <f t="shared" ref="U4:U9" ca="1" si="12">IF(D4="Pendiente","-",INDEX($CS$6:$CS$53,MATCH($AF4,$BD$6:$BD$53,0)))</f>
        <v>P.2 (3)</v>
      </c>
      <c r="V4" s="17"/>
      <c r="W4" s="638"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149999999999999" customHeight="1" x14ac:dyDescent="0.2">
      <c r="A5" s="16" t="str">
        <f ca="1">+Equipos!B2</f>
        <v>México</v>
      </c>
      <c r="B5" s="16"/>
      <c r="C5" s="16"/>
      <c r="D5" s="16" t="str">
        <f t="shared" si="0"/>
        <v>Empate</v>
      </c>
      <c r="E5" s="16" t="str">
        <f t="shared" ca="1" si="1"/>
        <v>P.2 (3)</v>
      </c>
      <c r="F5" s="16" t="str">
        <f t="shared" ca="1" si="2"/>
        <v>P.2 (3)</v>
      </c>
      <c r="G5" s="16"/>
      <c r="H5" s="16" t="str">
        <f t="shared" ca="1" si="3"/>
        <v>P.2 (3)</v>
      </c>
      <c r="I5" s="16" t="str">
        <f t="shared" ca="1" si="4"/>
        <v>P.2 (3)</v>
      </c>
      <c r="J5" s="16"/>
      <c r="K5" s="16" t="str">
        <f t="shared" ca="1" si="5"/>
        <v>P.2 (3)</v>
      </c>
      <c r="L5" s="16" t="str">
        <f t="shared" ca="1" si="6"/>
        <v>P.2 (3)</v>
      </c>
      <c r="M5" s="16"/>
      <c r="N5" s="16" t="str">
        <f t="shared" ca="1" si="7"/>
        <v>P.2 (3)</v>
      </c>
      <c r="O5" s="16" t="str">
        <f t="shared" ca="1" si="8"/>
        <v>P.2 (3)</v>
      </c>
      <c r="P5" s="16"/>
      <c r="Q5" s="16" t="str">
        <f t="shared" ca="1" si="9"/>
        <v>P.2 (3)</v>
      </c>
      <c r="R5" s="16" t="str">
        <f t="shared" ca="1" si="10"/>
        <v>P.2 (3)</v>
      </c>
      <c r="S5" s="16"/>
      <c r="T5" s="16" t="str">
        <f t="shared" ca="1" si="11"/>
        <v>P.2 (3)</v>
      </c>
      <c r="U5" s="16" t="str">
        <f t="shared" ca="1" si="12"/>
        <v>P.2 (3)</v>
      </c>
      <c r="V5" s="17"/>
      <c r="W5" s="630"/>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149999999999999" customHeight="1" x14ac:dyDescent="0.2">
      <c r="A6" s="16" t="str">
        <f ca="1">+Equipos!B3</f>
        <v>Sudáfrica</v>
      </c>
      <c r="B6" s="16"/>
      <c r="C6" s="16"/>
      <c r="D6" s="16" t="str">
        <f t="shared" si="0"/>
        <v>Empate</v>
      </c>
      <c r="E6" s="16" t="str">
        <f t="shared" ca="1" si="1"/>
        <v>P.2 (3)</v>
      </c>
      <c r="F6" s="16" t="str">
        <f t="shared" ca="1" si="2"/>
        <v>P.2 (3)</v>
      </c>
      <c r="G6" s="16"/>
      <c r="H6" s="16" t="str">
        <f t="shared" ca="1" si="3"/>
        <v>P.2 (3)</v>
      </c>
      <c r="I6" s="16" t="str">
        <f t="shared" ca="1" si="4"/>
        <v>P.2 (3)</v>
      </c>
      <c r="J6" s="16"/>
      <c r="K6" s="16" t="str">
        <f t="shared" ca="1" si="5"/>
        <v>P.2 (3)</v>
      </c>
      <c r="L6" s="16" t="str">
        <f t="shared" ca="1" si="6"/>
        <v>P.2 (3)</v>
      </c>
      <c r="M6" s="16"/>
      <c r="N6" s="16" t="str">
        <f t="shared" ca="1" si="7"/>
        <v>P.2 (3)</v>
      </c>
      <c r="O6" s="16" t="str">
        <f t="shared" ca="1" si="8"/>
        <v>P.2 (3)</v>
      </c>
      <c r="P6" s="16"/>
      <c r="Q6" s="16" t="str">
        <f t="shared" ca="1" si="9"/>
        <v>P.2 (3)</v>
      </c>
      <c r="R6" s="16" t="str">
        <f t="shared" ca="1" si="10"/>
        <v>P.2 (3)</v>
      </c>
      <c r="S6" s="16"/>
      <c r="T6" s="16" t="str">
        <f t="shared" ca="1" si="11"/>
        <v>P.2 (3)</v>
      </c>
      <c r="U6" s="16" t="str">
        <f t="shared" ca="1" si="12"/>
        <v>P.2 (3)</v>
      </c>
      <c r="V6" s="17"/>
      <c r="W6" s="63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149999999999999" customHeight="1" x14ac:dyDescent="0.2">
      <c r="A7" s="16" t="str">
        <f ca="1">+Equipos!B4</f>
        <v>Corea del Sur</v>
      </c>
      <c r="B7" s="16"/>
      <c r="C7" s="16"/>
      <c r="D7" s="16" t="str">
        <f t="shared" si="0"/>
        <v>Local</v>
      </c>
      <c r="E7" s="16" t="str">
        <f t="shared" ca="1" si="1"/>
        <v>-</v>
      </c>
      <c r="F7" s="16" t="str">
        <f t="shared" ca="1" si="2"/>
        <v>P.2 (3)</v>
      </c>
      <c r="G7" s="16"/>
      <c r="H7" s="16" t="str">
        <f t="shared" ca="1" si="3"/>
        <v>-</v>
      </c>
      <c r="I7" s="16" t="str">
        <f t="shared" ca="1" si="4"/>
        <v>P.2 (3)</v>
      </c>
      <c r="J7" s="16"/>
      <c r="K7" s="16" t="str">
        <f t="shared" ca="1" si="5"/>
        <v>-</v>
      </c>
      <c r="L7" s="16" t="str">
        <f t="shared" ca="1" si="6"/>
        <v>P.2 (3)</v>
      </c>
      <c r="M7" s="16"/>
      <c r="N7" s="16" t="str">
        <f t="shared" ca="1" si="7"/>
        <v>-</v>
      </c>
      <c r="O7" s="16" t="str">
        <f t="shared" ca="1" si="8"/>
        <v>P.2 (3)</v>
      </c>
      <c r="P7" s="16"/>
      <c r="Q7" s="16" t="str">
        <f t="shared" ca="1" si="9"/>
        <v>-</v>
      </c>
      <c r="R7" s="16" t="str">
        <f t="shared" ca="1" si="10"/>
        <v>P.2 (3)</v>
      </c>
      <c r="S7" s="16"/>
      <c r="T7" s="16" t="str">
        <f t="shared" ca="1" si="11"/>
        <v>-</v>
      </c>
      <c r="U7" s="16" t="str">
        <f t="shared" ca="1" si="12"/>
        <v>P.2 (3)</v>
      </c>
      <c r="V7" s="17"/>
      <c r="W7" s="630"/>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2</v>
      </c>
      <c r="AN7" s="39">
        <f t="shared" ca="1" si="15"/>
        <v>3</v>
      </c>
      <c r="AO7" s="39">
        <f t="shared" ca="1" si="15"/>
        <v>0</v>
      </c>
      <c r="AP7" s="39">
        <f t="shared" ca="1" si="15"/>
        <v>2</v>
      </c>
      <c r="AQ7" s="39">
        <f t="shared" ca="1" si="15"/>
        <v>1</v>
      </c>
      <c r="AR7" s="39">
        <f t="shared" ca="1" si="15"/>
        <v>3</v>
      </c>
      <c r="AS7" s="39">
        <f t="shared" ca="1" si="15"/>
        <v>4</v>
      </c>
      <c r="AT7" s="43">
        <f t="shared" ca="1" si="15"/>
        <v>-1</v>
      </c>
      <c r="AU7" s="323">
        <f ca="1">INDEX($DL$6:$DL$53,MATCH(AI7,$DP$6:$DP$53,0))</f>
        <v>2</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2</v>
      </c>
      <c r="BF7" s="16">
        <f t="shared" ca="1" si="17"/>
        <v>3</v>
      </c>
      <c r="BG7" s="16">
        <f t="shared" ca="1" si="18"/>
        <v>0</v>
      </c>
      <c r="BH7" s="16">
        <f t="shared" ca="1" si="19"/>
        <v>2</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2</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(3)</v>
      </c>
      <c r="BU7" s="16">
        <f t="shared" ca="1" si="28"/>
        <v>0</v>
      </c>
      <c r="BV7" s="16">
        <f t="shared" ca="1" si="29"/>
        <v>2</v>
      </c>
      <c r="BW7" s="16">
        <f t="shared" ca="1" si="30"/>
        <v>0</v>
      </c>
      <c r="BX7" s="16">
        <f t="shared" ca="1" si="31"/>
        <v>2</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(3)</v>
      </c>
      <c r="CA7" s="16">
        <f t="shared" ca="1" si="32"/>
        <v>2</v>
      </c>
      <c r="CB7" s="16">
        <f t="shared" ca="1" si="33"/>
        <v>2</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(3)</v>
      </c>
      <c r="CF7" s="16">
        <f t="shared" ca="1" si="35"/>
        <v>2</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(3)</v>
      </c>
      <c r="CI7" s="16">
        <f t="shared" ca="1" si="36"/>
        <v>0</v>
      </c>
      <c r="CJ7" s="16">
        <f t="shared" ca="1" si="37"/>
        <v>2</v>
      </c>
      <c r="CK7" s="16">
        <f t="shared" ca="1" si="38"/>
        <v>0</v>
      </c>
      <c r="CL7" s="16">
        <f t="shared" ca="1" si="39"/>
        <v>2</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(3)</v>
      </c>
      <c r="CO7" s="16">
        <f t="shared" ca="1" si="40"/>
        <v>2</v>
      </c>
      <c r="CP7" s="16">
        <f t="shared" ca="1" si="41"/>
        <v>2</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(3)</v>
      </c>
      <c r="CT7" s="16">
        <f t="shared" ca="1" si="43"/>
        <v>2</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(3)</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(3)</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P.2 (2)</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2</v>
      </c>
      <c r="DK7" s="16">
        <f t="shared" ca="1" si="48"/>
        <v>12</v>
      </c>
      <c r="DL7" s="16">
        <f t="shared" ca="1" si="49"/>
        <v>2</v>
      </c>
      <c r="DM7" s="16" t="str">
        <f t="shared" ca="1" si="50"/>
        <v>2.2</v>
      </c>
      <c r="DN7" s="16">
        <f t="array" aca="1" ref="DN7" ca="1">OFFSET(Horarios!$P$3,DJ7-1,0,DL7,1)</f>
        <v>2</v>
      </c>
      <c r="DO7" s="16"/>
      <c r="DP7" s="16" t="s">
        <v>71</v>
      </c>
      <c r="DQ7" s="16" t="str">
        <f t="shared" ca="1" si="51"/>
        <v>Sudáfrica</v>
      </c>
    </row>
    <row r="8" spans="1:121" ht="16.149999999999999" customHeight="1" x14ac:dyDescent="0.2">
      <c r="A8" s="16" t="str">
        <f ca="1">+Equipos!B5</f>
        <v>República Checa</v>
      </c>
      <c r="B8" s="16"/>
      <c r="C8" s="16"/>
      <c r="D8" s="16" t="str">
        <f t="shared" si="0"/>
        <v>Visitante</v>
      </c>
      <c r="E8" s="16" t="str">
        <f t="shared" ca="1" si="1"/>
        <v>P.2 (3)</v>
      </c>
      <c r="F8" s="16" t="str">
        <f t="shared" ca="1" si="2"/>
        <v>-</v>
      </c>
      <c r="G8" s="16"/>
      <c r="H8" s="16" t="str">
        <f t="shared" ca="1" si="3"/>
        <v>P.2 (3)</v>
      </c>
      <c r="I8" s="16" t="str">
        <f t="shared" ca="1" si="4"/>
        <v>-</v>
      </c>
      <c r="J8" s="16"/>
      <c r="K8" s="16" t="str">
        <f t="shared" ca="1" si="5"/>
        <v>P.2 (3)</v>
      </c>
      <c r="L8" s="16" t="str">
        <f t="shared" ca="1" si="6"/>
        <v>-</v>
      </c>
      <c r="M8" s="16"/>
      <c r="N8" s="16" t="str">
        <f t="shared" ca="1" si="7"/>
        <v>P.2 (3)</v>
      </c>
      <c r="O8" s="16" t="str">
        <f t="shared" ca="1" si="8"/>
        <v>-</v>
      </c>
      <c r="P8" s="16"/>
      <c r="Q8" s="16" t="str">
        <f t="shared" ca="1" si="9"/>
        <v>P.2 (3)</v>
      </c>
      <c r="R8" s="16" t="str">
        <f t="shared" ca="1" si="10"/>
        <v>-</v>
      </c>
      <c r="S8" s="16"/>
      <c r="T8" s="16" t="str">
        <f t="shared" ca="1" si="11"/>
        <v>P.2 (3)</v>
      </c>
      <c r="U8" s="16" t="str">
        <f t="shared" ca="1" si="12"/>
        <v>-</v>
      </c>
      <c r="V8" s="17"/>
      <c r="W8" s="63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2</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(3)</v>
      </c>
      <c r="BU8" s="16">
        <f t="shared" ca="1" si="28"/>
        <v>0</v>
      </c>
      <c r="BV8" s="16">
        <f t="shared" ca="1" si="29"/>
        <v>2</v>
      </c>
      <c r="BW8" s="16">
        <f t="shared" ca="1" si="30"/>
        <v>0</v>
      </c>
      <c r="BX8" s="16">
        <f t="shared" ca="1" si="31"/>
        <v>2</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(3)</v>
      </c>
      <c r="CA8" s="16">
        <f t="shared" ca="1" si="32"/>
        <v>2</v>
      </c>
      <c r="CB8" s="16">
        <f t="shared" ca="1" si="33"/>
        <v>2</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(3)</v>
      </c>
      <c r="CF8" s="16">
        <f t="shared" ca="1" si="35"/>
        <v>2</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(3)</v>
      </c>
      <c r="CI8" s="16">
        <f t="shared" ca="1" si="36"/>
        <v>0</v>
      </c>
      <c r="CJ8" s="16">
        <f t="shared" ca="1" si="37"/>
        <v>2</v>
      </c>
      <c r="CK8" s="16">
        <f t="shared" ca="1" si="38"/>
        <v>0</v>
      </c>
      <c r="CL8" s="16">
        <f t="shared" ca="1" si="39"/>
        <v>2</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(3)</v>
      </c>
      <c r="CO8" s="16">
        <f t="shared" ca="1" si="40"/>
        <v>2</v>
      </c>
      <c r="CP8" s="16">
        <f t="shared" ca="1" si="41"/>
        <v>2</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(3)</v>
      </c>
      <c r="CT8" s="16">
        <f t="shared" ca="1" si="43"/>
        <v>2</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(3)</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P.2 (3)</v>
      </c>
      <c r="CZ8" s="16">
        <f t="shared" ca="1" si="45"/>
        <v>3</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P.2 (2)</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2</v>
      </c>
      <c r="DK8" s="16">
        <f t="shared" ca="1" si="48"/>
        <v>12</v>
      </c>
      <c r="DL8" s="16">
        <f t="shared" ca="1" si="49"/>
        <v>2</v>
      </c>
      <c r="DM8" s="16" t="str">
        <f t="shared" ca="1" si="50"/>
        <v>2.2</v>
      </c>
      <c r="DN8" s="16">
        <f t="array" aca="1" ref="DN8" ca="1">OFFSET(Horarios!$P$3,DJ8-1,0,DL8,1)</f>
        <v>2</v>
      </c>
      <c r="DO8" s="16"/>
      <c r="DP8" s="16" t="s">
        <v>72</v>
      </c>
      <c r="DQ8" s="16" t="str">
        <f t="shared" ca="1" si="51"/>
        <v>Corea del Sur</v>
      </c>
    </row>
    <row r="9" spans="1:121" ht="16.149999999999999" customHeight="1" thickBot="1" x14ac:dyDescent="0.25">
      <c r="A9" s="16"/>
      <c r="B9" s="16"/>
      <c r="C9" s="16"/>
      <c r="D9" s="16" t="str">
        <f t="shared" si="0"/>
        <v>Empate</v>
      </c>
      <c r="E9" s="16" t="str">
        <f t="shared" ca="1" si="1"/>
        <v>P.2 (3)</v>
      </c>
      <c r="F9" s="16" t="str">
        <f t="shared" ca="1" si="2"/>
        <v>P.2 (3)</v>
      </c>
      <c r="G9" s="16"/>
      <c r="H9" s="16" t="str">
        <f t="shared" ca="1" si="3"/>
        <v>P.2 (3)</v>
      </c>
      <c r="I9" s="16" t="str">
        <f t="shared" ca="1" si="4"/>
        <v>P.2 (3)</v>
      </c>
      <c r="J9" s="16"/>
      <c r="K9" s="16" t="str">
        <f t="shared" ca="1" si="5"/>
        <v>P.2 (3)</v>
      </c>
      <c r="L9" s="16" t="str">
        <f t="shared" ca="1" si="6"/>
        <v>P.2 (3)</v>
      </c>
      <c r="M9" s="16"/>
      <c r="N9" s="16" t="str">
        <f t="shared" ca="1" si="7"/>
        <v>P.2 (3)</v>
      </c>
      <c r="O9" s="16" t="str">
        <f t="shared" ca="1" si="8"/>
        <v>P.2 (3)</v>
      </c>
      <c r="P9" s="16"/>
      <c r="Q9" s="16" t="str">
        <f t="shared" ca="1" si="9"/>
        <v>P.2 (3)</v>
      </c>
      <c r="R9" s="16" t="str">
        <f t="shared" ca="1" si="10"/>
        <v>P.2 (3)</v>
      </c>
      <c r="S9" s="16"/>
      <c r="T9" s="16" t="str">
        <f t="shared" ca="1" si="11"/>
        <v>P.2 (3)</v>
      </c>
      <c r="U9" s="16" t="str">
        <f t="shared" ca="1" si="12"/>
        <v>P.2 (3)</v>
      </c>
      <c r="V9" s="17"/>
      <c r="W9" s="631"/>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2</v>
      </c>
      <c r="AN9" s="47">
        <f t="shared" ca="1" si="15"/>
        <v>3</v>
      </c>
      <c r="AO9" s="47">
        <f t="shared" ca="1" si="15"/>
        <v>0</v>
      </c>
      <c r="AP9" s="47">
        <f t="shared" ca="1" si="15"/>
        <v>2</v>
      </c>
      <c r="AQ9" s="47">
        <f t="shared" ca="1" si="15"/>
        <v>1</v>
      </c>
      <c r="AR9" s="47">
        <f t="shared" ca="1" si="15"/>
        <v>2</v>
      </c>
      <c r="AS9" s="47">
        <f t="shared" ca="1" si="15"/>
        <v>3</v>
      </c>
      <c r="AT9" s="48">
        <f t="shared" ca="1" si="15"/>
        <v>-1</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2</v>
      </c>
      <c r="BK9" s="16">
        <f t="shared" ca="1" si="22"/>
        <v>3</v>
      </c>
      <c r="BL9" s="16">
        <f t="shared" ca="1" si="23"/>
        <v>-1</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(3)</v>
      </c>
      <c r="BU9" s="16">
        <f t="shared" ca="1" si="28"/>
        <v>0</v>
      </c>
      <c r="BV9" s="16">
        <f t="shared" ca="1" si="29"/>
        <v>2</v>
      </c>
      <c r="BW9" s="16">
        <f t="shared" ca="1" si="30"/>
        <v>0</v>
      </c>
      <c r="BX9" s="16">
        <f t="shared" ca="1" si="31"/>
        <v>2</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(3)</v>
      </c>
      <c r="CA9" s="16">
        <f t="shared" ca="1" si="32"/>
        <v>2</v>
      </c>
      <c r="CB9" s="16">
        <f t="shared" ca="1" si="33"/>
        <v>2</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(3)</v>
      </c>
      <c r="CF9" s="16">
        <f t="shared" ca="1" si="35"/>
        <v>2</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(3)</v>
      </c>
      <c r="CI9" s="16">
        <f t="shared" ca="1" si="36"/>
        <v>0</v>
      </c>
      <c r="CJ9" s="16">
        <f t="shared" ca="1" si="37"/>
        <v>2</v>
      </c>
      <c r="CK9" s="16">
        <f t="shared" ca="1" si="38"/>
        <v>0</v>
      </c>
      <c r="CL9" s="16">
        <f t="shared" ca="1" si="39"/>
        <v>2</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(3)</v>
      </c>
      <c r="CO9" s="16">
        <f t="shared" ca="1" si="40"/>
        <v>2</v>
      </c>
      <c r="CP9" s="16">
        <f t="shared" ca="1" si="41"/>
        <v>2</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(3)</v>
      </c>
      <c r="CT9" s="16">
        <f t="shared" ca="1" si="43"/>
        <v>2</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(3)</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(3)</v>
      </c>
      <c r="CZ9" s="16">
        <f t="shared" ca="1" si="45"/>
        <v>2</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149999999999999"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4</v>
      </c>
      <c r="BK10" s="16">
        <f t="shared" ca="1" si="22"/>
        <v>1</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149999999999999"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1</v>
      </c>
      <c r="BK11" s="16">
        <f t="shared" ca="1" si="22"/>
        <v>3</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149999999999999"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149999999999999"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30"/>
      <c r="X13" s="24">
        <f ca="1">Horarios!C13</f>
        <v>46186.625</v>
      </c>
      <c r="Y13" s="25">
        <f ca="1">Horarios!C13</f>
        <v>46186.625</v>
      </c>
      <c r="Z13" s="26" t="str">
        <f>$Z$4</f>
        <v>J1</v>
      </c>
      <c r="AA13" s="27" t="str">
        <f ca="1">A15</f>
        <v>Catar</v>
      </c>
      <c r="AB13" s="49" t="str">
        <f t="array" aca="1" ref="AB13" ca="1">Ver_flag_local</f>
        <v/>
      </c>
      <c r="AC13" s="50">
        <v>0</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5</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149999999999999"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3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2</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149999999999999"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30"/>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4</v>
      </c>
      <c r="AS15" s="39">
        <f t="shared" ca="1" si="67"/>
        <v>1</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4</v>
      </c>
      <c r="BK15" s="16">
        <f t="shared" ca="1" si="22"/>
        <v>4</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149999999999999"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30"/>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1</v>
      </c>
      <c r="AS16" s="39">
        <f t="shared" ca="1" si="67"/>
        <v>3</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8</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149999999999999"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4</v>
      </c>
      <c r="BK17" s="16">
        <f t="shared" ca="1" si="22"/>
        <v>3</v>
      </c>
      <c r="BL17" s="16">
        <f t="shared" ca="1" si="23"/>
        <v>1</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1</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149999999999999"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5</v>
      </c>
      <c r="BK18" s="16">
        <f t="shared" ca="1" si="22"/>
        <v>5</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149999999999999"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6</v>
      </c>
      <c r="BF19" s="16">
        <f t="shared" ca="1" si="17"/>
        <v>3</v>
      </c>
      <c r="BG19" s="16">
        <f t="shared" ca="1" si="18"/>
        <v>2</v>
      </c>
      <c r="BH19" s="16">
        <f t="shared" ca="1" si="19"/>
        <v>0</v>
      </c>
      <c r="BI19" s="16">
        <f t="shared" ca="1" si="20"/>
        <v>1</v>
      </c>
      <c r="BJ19" s="16">
        <f t="shared" ca="1" si="21"/>
        <v>5</v>
      </c>
      <c r="BK19" s="16">
        <f t="shared" ca="1" si="22"/>
        <v>3</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6</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149999999999999"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6" t="s">
        <v>85</v>
      </c>
      <c r="X20" s="24">
        <f ca="1">Horarios!C20</f>
        <v>46186.75</v>
      </c>
      <c r="Y20" s="25">
        <f ca="1">Horarios!C20</f>
        <v>46186.75</v>
      </c>
      <c r="Z20" s="26" t="str">
        <f>$Z$4</f>
        <v>J1</v>
      </c>
      <c r="AA20" s="27" t="str">
        <f ca="1">A21</f>
        <v>Brasil</v>
      </c>
      <c r="AB20" s="49" t="str">
        <f t="array" aca="1" ref="AB20" ca="1">Ver_flag_local</f>
        <v/>
      </c>
      <c r="AC20" s="50">
        <v>3</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2</v>
      </c>
      <c r="BK20" s="16">
        <f t="shared" ca="1" si="22"/>
        <v>6</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149999999999999"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30"/>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17"/>
        <v>3</v>
      </c>
      <c r="BG21" s="16">
        <f t="shared" ca="1" si="18"/>
        <v>2</v>
      </c>
      <c r="BH21" s="16">
        <f t="shared" ca="1" si="19"/>
        <v>1</v>
      </c>
      <c r="BI21" s="16">
        <f t="shared" ca="1" si="20"/>
        <v>0</v>
      </c>
      <c r="BJ21" s="16">
        <f t="shared" ca="1" si="21"/>
        <v>6</v>
      </c>
      <c r="BK21" s="16">
        <f t="shared" ca="1" si="22"/>
        <v>4</v>
      </c>
      <c r="BL21" s="16">
        <f t="shared" ca="1" si="23"/>
        <v>2</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149999999999999"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30"/>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2</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4</v>
      </c>
      <c r="BF22" s="16">
        <f t="shared" ca="1" si="17"/>
        <v>3</v>
      </c>
      <c r="BG22" s="16">
        <f t="shared" ca="1" si="18"/>
        <v>1</v>
      </c>
      <c r="BH22" s="16">
        <f t="shared" ca="1" si="19"/>
        <v>1</v>
      </c>
      <c r="BI22" s="16">
        <f t="shared" ca="1" si="20"/>
        <v>1</v>
      </c>
      <c r="BJ22" s="16">
        <f t="shared" ca="1" si="21"/>
        <v>7</v>
      </c>
      <c r="BK22" s="16">
        <f t="shared" ca="1" si="22"/>
        <v>3</v>
      </c>
      <c r="BL22" s="16">
        <f t="shared" ca="1" si="23"/>
        <v>4</v>
      </c>
      <c r="BM22" s="16" t="str">
        <f t="shared" ca="1" si="24"/>
        <v>3E</v>
      </c>
      <c r="BN22" s="16" t="str">
        <f t="shared" ca="1" si="25"/>
        <v>3E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4</v>
      </c>
      <c r="BS22" s="16">
        <f ca="1">BP22+COUNTIFS($BQ$6:$BQ$53,BQ22,$BR$6:BR$53,"&gt;"&amp;BR22,$BC$6:$BC$53,INDEX(T_Equipos[Grupo],MATCH(BD22,T_Equipos[NombreEquipo],0)))</f>
        <v>3</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3</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3</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3</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3</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3</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3</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3</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3</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3</v>
      </c>
      <c r="DE22" s="16"/>
      <c r="DF22" s="16">
        <f t="shared" ca="1" si="46"/>
        <v>3</v>
      </c>
      <c r="DG22" s="16" t="str">
        <f ca="1">IF(DB22="-","-",COUNTIFS(DF$6:DF$53,"&lt;"&amp;DF22,$BC$6:$BC$53,INDEX(T_Equipos[Grupo],MATCH(BD22,T_Equipos[NombreEquipo],0))))</f>
        <v>-</v>
      </c>
      <c r="DH22" s="16">
        <f ca="1">DA22+COUNTIFS(DB$6:DB$53,DB22,DG$6:DG$53,"&lt;"&amp;DG22,$BC$6:$BC$53,INDEX(T_Equipos[Grupo],MATCH(BD22,T_Equipos[NombreEquipo],0)))</f>
        <v>3</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149999999999999"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4</v>
      </c>
      <c r="AS23" s="39">
        <f t="shared" ca="1" si="83"/>
        <v>3</v>
      </c>
      <c r="AT23" s="43">
        <f t="shared" ca="1" si="83"/>
        <v>1</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149999999999999"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30"/>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4</v>
      </c>
      <c r="AS24" s="39">
        <f t="shared" ca="1" si="83"/>
        <v>4</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5</v>
      </c>
      <c r="BK24" s="16">
        <f t="shared" ca="1" si="22"/>
        <v>2</v>
      </c>
      <c r="BL24" s="16">
        <f t="shared" ca="1" si="23"/>
        <v>3</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Alemania</v>
      </c>
    </row>
    <row r="25" spans="1:121" ht="16.149999999999999"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31"/>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8</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5</v>
      </c>
      <c r="BK25" s="16">
        <f t="shared" ca="1" si="22"/>
        <v>2</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149999999999999"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2</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149999999999999"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149999999999999"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-2</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149999999999999"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0"/>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149999999999999"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0"/>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7</v>
      </c>
      <c r="AN30" s="36">
        <f t="shared" ca="1" si="99"/>
        <v>3</v>
      </c>
      <c r="AO30" s="36">
        <f t="shared" ca="1" si="99"/>
        <v>2</v>
      </c>
      <c r="AP30" s="36">
        <f t="shared" ca="1" si="99"/>
        <v>1</v>
      </c>
      <c r="AQ30" s="36">
        <f t="shared" ca="1" si="99"/>
        <v>0</v>
      </c>
      <c r="AR30" s="36">
        <f t="shared" ca="1" si="99"/>
        <v>6</v>
      </c>
      <c r="AS30" s="36">
        <f t="shared" ca="1" si="99"/>
        <v>4</v>
      </c>
      <c r="AT30" s="41">
        <f t="shared" ca="1" si="99"/>
        <v>2</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149999999999999"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0"/>
      <c r="X31" s="24">
        <f ca="1">Horarios!C31</f>
        <v>46192.958333333343</v>
      </c>
      <c r="Y31" s="25">
        <f ca="1">Horarios!C31</f>
        <v>46192.958333333343</v>
      </c>
      <c r="Z31" s="26" t="str">
        <f>$Z$6</f>
        <v>J2</v>
      </c>
      <c r="AA31" s="27" t="str">
        <f ca="1">A32</f>
        <v>Turquía</v>
      </c>
      <c r="AB31" s="49" t="str">
        <f t="array" aca="1" ref="AB31" ca="1">Ver_flag_local</f>
        <v/>
      </c>
      <c r="AC31" s="50">
        <v>2</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6</v>
      </c>
      <c r="AN31" s="39">
        <f t="shared" ca="1" si="99"/>
        <v>3</v>
      </c>
      <c r="AO31" s="39">
        <f t="shared" ca="1" si="99"/>
        <v>2</v>
      </c>
      <c r="AP31" s="39">
        <f t="shared" ca="1" si="99"/>
        <v>0</v>
      </c>
      <c r="AQ31" s="39">
        <f t="shared" ca="1" si="99"/>
        <v>1</v>
      </c>
      <c r="AR31" s="39">
        <f t="shared" ca="1" si="99"/>
        <v>5</v>
      </c>
      <c r="AS31" s="39">
        <f t="shared" ca="1" si="99"/>
        <v>3</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149999999999999"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5</v>
      </c>
      <c r="AS32" s="39">
        <f t="shared" ca="1" si="99"/>
        <v>5</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2</v>
      </c>
      <c r="BK32" s="16">
        <f t="shared" ca="1" si="22"/>
        <v>4</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149999999999999"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1"/>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2</v>
      </c>
      <c r="AS33" s="47">
        <f t="shared" ca="1" si="99"/>
        <v>6</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5</v>
      </c>
      <c r="BL33" s="16">
        <f t="shared" ca="1" si="23"/>
        <v>-5</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149999999999999"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149999999999999"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5</v>
      </c>
      <c r="BL35" s="16">
        <f t="shared" ca="1" si="23"/>
        <v>-5</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149999999999999"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149999999999999"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0"/>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149999999999999"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0"/>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5</v>
      </c>
      <c r="AS38" s="36">
        <f t="shared" ca="1" si="115"/>
        <v>2</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3</v>
      </c>
      <c r="BG38" s="16">
        <f t="shared" ca="1" si="18"/>
        <v>2</v>
      </c>
      <c r="BH38" s="16">
        <f t="shared" ca="1" si="19"/>
        <v>0</v>
      </c>
      <c r="BI38" s="16">
        <f t="shared" ca="1" si="20"/>
        <v>1</v>
      </c>
      <c r="BJ38" s="16">
        <f t="shared" ca="1" si="21"/>
        <v>7</v>
      </c>
      <c r="BK38" s="16">
        <f t="shared" ca="1" si="22"/>
        <v>4</v>
      </c>
      <c r="BL38" s="16">
        <f t="shared" ca="1" si="23"/>
        <v>3</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2</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2</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2</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2</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2</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2</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2</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Senegal</v>
      </c>
    </row>
    <row r="39" spans="1:121" ht="16.149999999999999"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5</v>
      </c>
      <c r="AS39" s="39">
        <f t="shared" ca="1" si="115"/>
        <v>2</v>
      </c>
      <c r="AT39" s="43">
        <f t="shared" ca="1" si="115"/>
        <v>3</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9</v>
      </c>
      <c r="BF39" s="16">
        <f t="shared" ca="1" si="17"/>
        <v>3</v>
      </c>
      <c r="BG39" s="16">
        <f t="shared" ca="1" si="18"/>
        <v>3</v>
      </c>
      <c r="BH39" s="16">
        <f t="shared" ca="1" si="19"/>
        <v>0</v>
      </c>
      <c r="BI39" s="16">
        <f t="shared" ca="1" si="20"/>
        <v>0</v>
      </c>
      <c r="BJ39" s="16">
        <f t="shared" ca="1" si="21"/>
        <v>6</v>
      </c>
      <c r="BK39" s="16">
        <f t="shared" ca="1" si="22"/>
        <v>2</v>
      </c>
      <c r="BL39" s="16">
        <f t="shared" ca="1" si="23"/>
        <v>4</v>
      </c>
      <c r="BM39" s="16" t="str">
        <f t="shared" ca="1" si="24"/>
        <v>1I</v>
      </c>
      <c r="BN39" s="16" t="str">
        <f t="shared" ca="1" si="25"/>
        <v>1I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9</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1</v>
      </c>
      <c r="DE39" s="16"/>
      <c r="DF39" s="16">
        <f t="shared" ca="1" si="46"/>
        <v>1</v>
      </c>
      <c r="DG39" s="16" t="str">
        <f ca="1">IF(DB39="-","-",COUNTIFS(DF$6:DF$53,"&lt;"&amp;DF39,$BC$6:$BC$53,INDEX(T_Equipos[Grupo],MATCH(BD39,T_Equipos[NombreEquipo],0))))</f>
        <v>-</v>
      </c>
      <c r="DH39" s="16">
        <f ca="1">DA39+COUNTIFS(DB$6:DB$53,DB39,DG$6:DG$53,"&lt;"&amp;DG39,$BC$6:$BC$53,INDEX(T_Equipos[Grupo],MATCH(BD39,T_Equipos[NombreEquipo],0)))</f>
        <v>1</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Francia</v>
      </c>
    </row>
    <row r="40" spans="1:121" ht="16.149999999999999"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0"/>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Alemania</v>
      </c>
      <c r="AM40" s="38">
        <f t="shared" ca="1" si="115"/>
        <v>4</v>
      </c>
      <c r="AN40" s="39">
        <f t="shared" ca="1" si="115"/>
        <v>3</v>
      </c>
      <c r="AO40" s="39">
        <f t="shared" ca="1" si="115"/>
        <v>1</v>
      </c>
      <c r="AP40" s="39">
        <f t="shared" ca="1" si="115"/>
        <v>1</v>
      </c>
      <c r="AQ40" s="39">
        <f t="shared" ca="1" si="115"/>
        <v>1</v>
      </c>
      <c r="AR40" s="39">
        <f t="shared" ca="1" si="115"/>
        <v>7</v>
      </c>
      <c r="AS40" s="39">
        <f t="shared" ca="1" si="115"/>
        <v>3</v>
      </c>
      <c r="AT40" s="43">
        <f t="shared" ca="1" si="115"/>
        <v>4</v>
      </c>
      <c r="AU40" s="323">
        <f ca="1">INDEX($DL$6:$DL$53,MATCH(AI40,$DP$6:$DP$53,0))</f>
        <v>1</v>
      </c>
      <c r="AV40" s="182" t="str">
        <f ca="1">INDEX($BD$6:$BD$53,MATCH(AI40,$BM$6:$BM$53,0))</f>
        <v>Alemania</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149999999999999" customHeight="1" thickBot="1" x14ac:dyDescent="0.25">
      <c r="A41" s="16"/>
      <c r="B41" s="16"/>
      <c r="C41" s="16"/>
      <c r="D41" s="16" t="str">
        <f t="shared" si="100"/>
        <v>Local</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5</v>
      </c>
      <c r="BK41" s="16">
        <f t="shared" ca="1" si="22"/>
        <v>5</v>
      </c>
      <c r="BL41" s="16">
        <f t="shared" ca="1" si="23"/>
        <v>0</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149999999999999"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149999999999999"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3</v>
      </c>
      <c r="BK43" s="16">
        <f t="shared" ca="1" si="22"/>
        <v>5</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149999999999999"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4</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149999999999999"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149999999999999"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0"/>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2</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1</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149999999999999"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0"/>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4</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149999999999999"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0"/>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0</v>
      </c>
      <c r="BK48" s="16">
        <f t="shared" ca="1" si="22"/>
        <v>6</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149999999999999"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149999999999999"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9</v>
      </c>
      <c r="BK50" s="16">
        <f t="shared" ca="1" si="22"/>
        <v>2</v>
      </c>
      <c r="BL50" s="16">
        <f t="shared" ca="1" si="23"/>
        <v>7</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149999999999999"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2</v>
      </c>
      <c r="BL51" s="16">
        <f t="shared" ca="1" si="23"/>
        <v>4</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149999999999999"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6</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149999999999999"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0"/>
      <c r="X53" s="24">
        <f ca="1">Horarios!C53</f>
        <v>46188.875</v>
      </c>
      <c r="Y53" s="25">
        <f ca="1">Horarios!C53</f>
        <v>46188.875</v>
      </c>
      <c r="Z53" s="26" t="str">
        <f>$Z$4</f>
        <v>J1</v>
      </c>
      <c r="AA53" s="27" t="str">
        <f ca="1">A55</f>
        <v>Irán</v>
      </c>
      <c r="AB53" s="49" t="str">
        <f t="array" aca="1" ref="AB53" ca="1">Ver_flag_local</f>
        <v/>
      </c>
      <c r="AC53" s="50">
        <v>1</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9</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149999999999999"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0"/>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149999999999999"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0"/>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149999999999999"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0"/>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2</v>
      </c>
      <c r="AS56" s="39">
        <f t="shared" ca="1" si="147"/>
        <v>4</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149999999999999"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1"/>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5</v>
      </c>
      <c r="AT57" s="48">
        <f t="shared" ca="1" si="147"/>
        <v>-5</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149999999999999"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2</v>
      </c>
      <c r="BS58" s="16">
        <f t="shared" ref="BS58:BS69" ca="1" si="156">COUNTIFS(BR$58:BR$69,"&gt;"&amp;BR58)+1</f>
        <v>11</v>
      </c>
      <c r="BT58" s="16" t="str">
        <f t="shared" ref="BT58:BT69" ca="1" si="157">IF(COUNTIF(BS$58:BS$69,BS58)=1,"-","Pos. "&amp;BS58&amp;" ("&amp;COUNTIF(BS$58:BS$69,BS58)&amp;")")</f>
        <v>-</v>
      </c>
      <c r="BU58" s="16" t="str">
        <f t="shared" ref="BU58:BU69" ca="1" si="158">IF(BT58="-","-",BL58)</f>
        <v>-</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Alemania</v>
      </c>
    </row>
    <row r="59" spans="1:121" ht="16.149999999999999"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-2</v>
      </c>
      <c r="BM59" s="16">
        <f t="shared" ca="1" si="152"/>
        <v>9</v>
      </c>
      <c r="BN59" s="16">
        <f t="shared" ca="1" si="153"/>
        <v>9</v>
      </c>
      <c r="BO59" s="16" t="str">
        <f t="shared" si="154"/>
        <v>4B</v>
      </c>
      <c r="BP59" s="16"/>
      <c r="BQ59" s="16"/>
      <c r="BR59" s="16">
        <f t="shared" ca="1" si="155"/>
        <v>3</v>
      </c>
      <c r="BS59" s="16">
        <f t="shared" ca="1" si="156"/>
        <v>4</v>
      </c>
      <c r="BT59" s="16" t="str">
        <f t="shared" ca="1" si="157"/>
        <v>Pos. 4 (7)</v>
      </c>
      <c r="BU59" s="16">
        <f t="shared" ca="1" si="158"/>
        <v>-2</v>
      </c>
      <c r="BV59" s="16">
        <f t="shared" ca="1" si="159"/>
        <v>5</v>
      </c>
      <c r="BW59" s="16" t="str">
        <f t="shared" ca="1" si="160"/>
        <v>Pos. 5 (5)</v>
      </c>
      <c r="BX59" s="16">
        <f t="shared" ca="1" si="161"/>
        <v>1</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Estados Unidos</v>
      </c>
    </row>
    <row r="60" spans="1:121" ht="16.149999999999999"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2"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4</v>
      </c>
      <c r="BS60" s="16">
        <f t="shared" ca="1" si="156"/>
        <v>1</v>
      </c>
      <c r="BT60" s="16" t="str">
        <f t="shared" ca="1" si="157"/>
        <v>Pos. 1 (3)</v>
      </c>
      <c r="BU60" s="16">
        <f t="shared" ca="1" si="158"/>
        <v>0</v>
      </c>
      <c r="BV60" s="16">
        <f t="shared" ca="1" si="159"/>
        <v>2</v>
      </c>
      <c r="BW60" s="16" t="str">
        <f t="shared" ca="1" si="160"/>
        <v>Pos. 2 (2)</v>
      </c>
      <c r="BX60" s="16">
        <f t="shared" ca="1" si="161"/>
        <v>4</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Marruecos</v>
      </c>
    </row>
    <row r="61" spans="1:121" ht="16.149999999999999"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5</v>
      </c>
      <c r="BK61" s="16">
        <f t="shared" ca="1" si="178"/>
        <v>5</v>
      </c>
      <c r="BL61" s="16">
        <f t="shared" ca="1" si="151"/>
        <v>0</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0</v>
      </c>
      <c r="BV61" s="16">
        <f t="shared" ca="1" si="159"/>
        <v>2</v>
      </c>
      <c r="BW61" s="16" t="str">
        <f t="shared" ca="1" si="160"/>
        <v>Pos. 2 (2)</v>
      </c>
      <c r="BX61" s="16">
        <f t="shared" ca="1" si="161"/>
        <v>5</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Noruega</v>
      </c>
    </row>
    <row r="62" spans="1:121" ht="16.149999999999999"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Alemania</v>
      </c>
      <c r="BE62" s="16">
        <f t="shared" ca="1" si="193"/>
        <v>4</v>
      </c>
      <c r="BF62" s="16">
        <f t="shared" ca="1" si="150"/>
        <v>3</v>
      </c>
      <c r="BG62" s="16">
        <f t="shared" ca="1" si="174"/>
        <v>1</v>
      </c>
      <c r="BH62" s="16">
        <f t="shared" ca="1" si="175"/>
        <v>1</v>
      </c>
      <c r="BI62" s="16">
        <f t="shared" ca="1" si="176"/>
        <v>1</v>
      </c>
      <c r="BJ62" s="16">
        <f t="shared" ca="1" si="177"/>
        <v>7</v>
      </c>
      <c r="BK62" s="16">
        <f t="shared" ca="1" si="178"/>
        <v>3</v>
      </c>
      <c r="BL62" s="16">
        <f t="shared" ca="1" si="151"/>
        <v>4</v>
      </c>
      <c r="BM62" s="16">
        <f t="shared" ca="1" si="152"/>
        <v>1</v>
      </c>
      <c r="BN62" s="16">
        <f t="shared" ca="1" si="153"/>
        <v>1</v>
      </c>
      <c r="BO62" s="16" t="str">
        <f t="shared" si="154"/>
        <v>4E</v>
      </c>
      <c r="BP62" s="16"/>
      <c r="BQ62" s="16"/>
      <c r="BR62" s="16">
        <f t="shared" ca="1" si="155"/>
        <v>4</v>
      </c>
      <c r="BS62" s="16">
        <f t="shared" ca="1" si="156"/>
        <v>1</v>
      </c>
      <c r="BT62" s="16" t="str">
        <f t="shared" ca="1" si="157"/>
        <v>Pos. 1 (3)</v>
      </c>
      <c r="BU62" s="16">
        <f t="shared" ca="1" si="158"/>
        <v>4</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Arabia Saudita</v>
      </c>
    </row>
    <row r="63" spans="1:121" ht="16.149999999999999"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3</v>
      </c>
      <c r="BK63" s="16">
        <f t="shared" ca="1" si="178"/>
        <v>5</v>
      </c>
      <c r="BL63" s="16">
        <f t="shared" ca="1" si="151"/>
        <v>-2</v>
      </c>
      <c r="BM63" s="16">
        <f t="shared" ca="1" si="152"/>
        <v>12</v>
      </c>
      <c r="BN63" s="16">
        <f t="shared" ca="1" si="153"/>
        <v>12</v>
      </c>
      <c r="BO63" s="16" t="str">
        <f t="shared" si="154"/>
        <v>4F</v>
      </c>
      <c r="BP63" s="16"/>
      <c r="BQ63" s="16"/>
      <c r="BR63" s="16">
        <f t="shared" ca="1" si="155"/>
        <v>1</v>
      </c>
      <c r="BS63" s="16">
        <f t="shared" ca="1" si="156"/>
        <v>12</v>
      </c>
      <c r="BT63" s="16" t="str">
        <f t="shared" ca="1" si="157"/>
        <v>-</v>
      </c>
      <c r="BU63" s="16" t="str">
        <f t="shared" ca="1" si="158"/>
        <v>-</v>
      </c>
      <c r="BV63" s="16">
        <f t="shared" ca="1" si="159"/>
        <v>12</v>
      </c>
      <c r="BW63" s="16" t="str">
        <f t="shared" ca="1" si="160"/>
        <v>-</v>
      </c>
      <c r="BX63" s="16" t="str">
        <f t="shared" ca="1" si="161"/>
        <v>-</v>
      </c>
      <c r="BY63" s="16">
        <f t="shared" ca="1" si="162"/>
        <v>12</v>
      </c>
      <c r="BZ63" s="16" t="str">
        <f t="shared" ca="1" si="163"/>
        <v>-</v>
      </c>
      <c r="CA63" s="16" t="str">
        <f t="shared" ca="1" si="164"/>
        <v>-</v>
      </c>
      <c r="CB63" s="16">
        <f t="shared" ca="1" si="165"/>
        <v>12</v>
      </c>
      <c r="CC63" s="16"/>
      <c r="CD63" s="16">
        <f t="shared" ca="1" si="166"/>
        <v>12</v>
      </c>
      <c r="CE63" s="16" t="str">
        <f t="shared" ca="1" si="167"/>
        <v>-</v>
      </c>
      <c r="CF63" s="16">
        <f t="shared" ca="1" si="168"/>
        <v>12</v>
      </c>
      <c r="DJ63" s="16">
        <f t="shared" ca="1" si="169"/>
        <v>5</v>
      </c>
      <c r="DK63" s="16"/>
      <c r="DL63" s="16">
        <f t="shared" ca="1" si="170"/>
        <v>2</v>
      </c>
      <c r="DM63" s="16" t="str">
        <f t="shared" ca="1" si="171"/>
        <v>5.2</v>
      </c>
      <c r="DN63" s="16">
        <f t="array" aca="1" ref="DN63" ca="1">OFFSET(Horarios!$P$3,DJ63-1,0,DL63,1)</f>
        <v>5</v>
      </c>
      <c r="DO63" s="16"/>
      <c r="DP63" s="16">
        <v>6</v>
      </c>
      <c r="DQ63" s="16" t="str">
        <f t="shared" ca="1" si="172"/>
        <v>Argelia</v>
      </c>
    </row>
    <row r="64" spans="1:121" ht="16.149999999999999"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0"/>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2</v>
      </c>
      <c r="BK64" s="16">
        <f t="shared" ca="1" si="178"/>
        <v>4</v>
      </c>
      <c r="BL64" s="16">
        <f t="shared" ca="1" si="151"/>
        <v>-2</v>
      </c>
      <c r="BM64" s="16">
        <f t="shared" ca="1" si="152"/>
        <v>7</v>
      </c>
      <c r="BN64" s="16">
        <f t="shared" ca="1" si="153"/>
        <v>7</v>
      </c>
      <c r="BO64" s="16" t="str">
        <f t="shared" si="154"/>
        <v>4G</v>
      </c>
      <c r="BP64" s="16"/>
      <c r="BQ64" s="16"/>
      <c r="BR64" s="16">
        <f t="shared" ca="1" si="155"/>
        <v>3</v>
      </c>
      <c r="BS64" s="16">
        <f t="shared" ca="1" si="156"/>
        <v>4</v>
      </c>
      <c r="BT64" s="16" t="str">
        <f t="shared" ca="1" si="157"/>
        <v>Pos. 4 (7)</v>
      </c>
      <c r="BU64" s="16">
        <f t="shared" ca="1" si="158"/>
        <v>-2</v>
      </c>
      <c r="BV64" s="16">
        <f t="shared" ca="1" si="159"/>
        <v>5</v>
      </c>
      <c r="BW64" s="16" t="str">
        <f t="shared" ca="1" si="160"/>
        <v>Pos. 5 (5)</v>
      </c>
      <c r="BX64" s="16">
        <f t="shared" ca="1" si="161"/>
        <v>2</v>
      </c>
      <c r="BY64" s="16">
        <f t="shared" ca="1" si="162"/>
        <v>7</v>
      </c>
      <c r="BZ64" s="16" t="str">
        <f t="shared" ca="1" si="163"/>
        <v>Pos. 7 (2)</v>
      </c>
      <c r="CA64" s="16">
        <f t="shared" ca="1" si="164"/>
        <v>4</v>
      </c>
      <c r="CB64" s="16">
        <f t="shared" ca="1" si="165"/>
        <v>7</v>
      </c>
      <c r="CC64" s="16"/>
      <c r="CD64" s="16">
        <f t="shared" ca="1" si="166"/>
        <v>7</v>
      </c>
      <c r="CE64" s="16">
        <f t="shared" ca="1" si="167"/>
        <v>6</v>
      </c>
      <c r="CF64" s="16">
        <f t="shared" ca="1" si="168"/>
        <v>7</v>
      </c>
      <c r="DJ64" s="16">
        <f t="shared" ca="1" si="169"/>
        <v>7</v>
      </c>
      <c r="DK64" s="16"/>
      <c r="DL64" s="16">
        <f t="shared" ca="1" si="170"/>
        <v>2</v>
      </c>
      <c r="DM64" s="16" t="str">
        <f t="shared" ca="1" si="171"/>
        <v>7.2</v>
      </c>
      <c r="DN64" s="16">
        <f t="array" aca="1" ref="DN64" ca="1">OFFSET(Horarios!$P$3,DJ64-1,0,DL64,1)</f>
        <v>7</v>
      </c>
      <c r="DO64" s="16"/>
      <c r="DP64" s="16">
        <v>7</v>
      </c>
      <c r="DQ64" s="16" t="str">
        <f t="shared" ca="1" si="172"/>
        <v>Irán</v>
      </c>
    </row>
    <row r="65" spans="1:121" ht="16.149999999999999"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1"/>
      <c r="X65" s="28">
        <f ca="1">Horarios!C65</f>
        <v>46199.833333333343</v>
      </c>
      <c r="Y65" s="29">
        <f ca="1">Horarios!C65</f>
        <v>46199.833333333343</v>
      </c>
      <c r="Z65" s="30" t="str">
        <f>$Z$8</f>
        <v>J3</v>
      </c>
      <c r="AA65" s="31" t="str">
        <f ca="1">A64</f>
        <v>Uruguay</v>
      </c>
      <c r="AB65" s="52" t="str">
        <f t="array" aca="1" ref="AB65" ca="1">Ver_flag_local</f>
        <v/>
      </c>
      <c r="AC65" s="53">
        <v>0</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5</v>
      </c>
      <c r="AT65" s="48">
        <f t="shared" ca="1" si="195"/>
        <v>-5</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5</v>
      </c>
      <c r="BN65" s="16">
        <f t="shared" ca="1" si="153"/>
        <v>5</v>
      </c>
      <c r="BO65" s="16" t="str">
        <f t="shared" si="154"/>
        <v>4H</v>
      </c>
      <c r="BP65" s="16"/>
      <c r="BQ65" s="16"/>
      <c r="BR65" s="16">
        <f t="shared" ca="1" si="155"/>
        <v>3</v>
      </c>
      <c r="BS65" s="16">
        <f t="shared" ca="1" si="156"/>
        <v>4</v>
      </c>
      <c r="BT65" s="16" t="str">
        <f t="shared" ca="1" si="157"/>
        <v>Pos. 4 (7)</v>
      </c>
      <c r="BU65" s="16">
        <f t="shared" ca="1" si="158"/>
        <v>-2</v>
      </c>
      <c r="BV65" s="16">
        <f t="shared" ca="1" si="159"/>
        <v>5</v>
      </c>
      <c r="BW65" s="16" t="str">
        <f t="shared" ca="1" si="160"/>
        <v>Pos. 5 (5)</v>
      </c>
      <c r="BX65" s="16">
        <f t="shared" ca="1" si="161"/>
        <v>3</v>
      </c>
      <c r="BY65" s="16">
        <f t="shared" ca="1" si="162"/>
        <v>5</v>
      </c>
      <c r="BZ65" s="16" t="str">
        <f t="shared" ca="1" si="163"/>
        <v>Pos. 5 (2)</v>
      </c>
      <c r="CA65" s="16">
        <f t="shared" ca="1" si="164"/>
        <v>10</v>
      </c>
      <c r="CB65" s="16">
        <f t="shared" ca="1" si="165"/>
        <v>5</v>
      </c>
      <c r="CC65" s="16"/>
      <c r="CD65" s="16">
        <f t="shared" ca="1" si="166"/>
        <v>5</v>
      </c>
      <c r="CE65" s="16">
        <f t="shared" ca="1" si="167"/>
        <v>4</v>
      </c>
      <c r="CF65" s="16">
        <f t="shared" ca="1" si="168"/>
        <v>5</v>
      </c>
      <c r="DJ65" s="16">
        <f t="shared" ca="1" si="169"/>
        <v>7</v>
      </c>
      <c r="DK65" s="16"/>
      <c r="DL65" s="16">
        <f t="shared" ca="1" si="170"/>
        <v>2</v>
      </c>
      <c r="DM65" s="16" t="str">
        <f t="shared" ca="1" si="171"/>
        <v>7.2</v>
      </c>
      <c r="DN65" s="16">
        <f t="array" aca="1" ref="DN65" ca="1">OFFSET(Horarios!$P$3,DJ65-1,0,DL65,1)</f>
        <v>7</v>
      </c>
      <c r="DO65" s="16"/>
      <c r="DP65" s="16">
        <v>8</v>
      </c>
      <c r="DQ65" s="16" t="str">
        <f t="shared" ca="1" si="172"/>
        <v>RD Congo</v>
      </c>
    </row>
    <row r="66" spans="1:121" ht="16.149999999999999"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5</v>
      </c>
      <c r="BK66" s="16">
        <f t="shared" ca="1" si="178"/>
        <v>5</v>
      </c>
      <c r="BL66" s="16">
        <f t="shared" ca="1" si="151"/>
        <v>0</v>
      </c>
      <c r="BM66" s="16">
        <f t="shared" ca="1" si="152"/>
        <v>4</v>
      </c>
      <c r="BN66" s="16">
        <f t="shared" ca="1" si="153"/>
        <v>4</v>
      </c>
      <c r="BO66" s="16" t="str">
        <f t="shared" si="154"/>
        <v>4I</v>
      </c>
      <c r="BP66" s="16"/>
      <c r="BQ66" s="16"/>
      <c r="BR66" s="16">
        <f t="shared" ca="1" si="155"/>
        <v>3</v>
      </c>
      <c r="BS66" s="16">
        <f t="shared" ca="1" si="156"/>
        <v>4</v>
      </c>
      <c r="BT66" s="16" t="str">
        <f t="shared" ca="1" si="157"/>
        <v>Pos. 4 (7)</v>
      </c>
      <c r="BU66" s="16">
        <f t="shared" ca="1" si="158"/>
        <v>0</v>
      </c>
      <c r="BV66" s="16">
        <f t="shared" ca="1" si="159"/>
        <v>4</v>
      </c>
      <c r="BW66" s="16" t="str">
        <f t="shared" ca="1" si="160"/>
        <v>-</v>
      </c>
      <c r="BX66" s="16" t="str">
        <f t="shared" ca="1" si="161"/>
        <v>-</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149999999999999"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3</v>
      </c>
      <c r="BK67" s="16">
        <f t="shared" ca="1" si="178"/>
        <v>5</v>
      </c>
      <c r="BL67" s="16">
        <f t="shared" ca="1" si="151"/>
        <v>-2</v>
      </c>
      <c r="BM67" s="16">
        <f t="shared" ca="1" si="152"/>
        <v>6</v>
      </c>
      <c r="BN67" s="16">
        <f t="shared" ca="1" si="153"/>
        <v>6</v>
      </c>
      <c r="BO67" s="16" t="str">
        <f t="shared" si="154"/>
        <v>4J</v>
      </c>
      <c r="BP67" s="16"/>
      <c r="BQ67" s="16"/>
      <c r="BR67" s="16">
        <f t="shared" ca="1" si="155"/>
        <v>3</v>
      </c>
      <c r="BS67" s="16">
        <f t="shared" ca="1" si="156"/>
        <v>4</v>
      </c>
      <c r="BT67" s="16" t="str">
        <f t="shared" ca="1" si="157"/>
        <v>Pos. 4 (7)</v>
      </c>
      <c r="BU67" s="16">
        <f t="shared" ca="1" si="158"/>
        <v>-2</v>
      </c>
      <c r="BV67" s="16">
        <f t="shared" ca="1" si="159"/>
        <v>5</v>
      </c>
      <c r="BW67" s="16" t="str">
        <f t="shared" ca="1" si="160"/>
        <v>Pos. 5 (5)</v>
      </c>
      <c r="BX67" s="16">
        <f t="shared" ca="1" si="161"/>
        <v>3</v>
      </c>
      <c r="BY67" s="16">
        <f t="shared" ca="1" si="162"/>
        <v>5</v>
      </c>
      <c r="BZ67" s="16" t="str">
        <f t="shared" ca="1" si="163"/>
        <v>Pos. 5 (2)</v>
      </c>
      <c r="CA67" s="16">
        <f t="shared" ca="1" si="164"/>
        <v>9</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Ghana</v>
      </c>
    </row>
    <row r="68" spans="1:121" ht="16.149999999999999" customHeight="1" thickBot="1" x14ac:dyDescent="0.25">
      <c r="A68" s="16" t="s">
        <v>15</v>
      </c>
      <c r="B68" s="16" t="s">
        <v>127</v>
      </c>
      <c r="C68" s="16">
        <f>COUNTIF(Equipos!$C$2:$C$49,WORLDCUP!B68)</f>
        <v>4</v>
      </c>
      <c r="D68" s="16" t="str">
        <f t="shared" ref="D68:D73" si="196">IF(OR(AC68="",AD68=""),"Pendiente",IF(AC68&gt;AD68,"Local",IF(AC68&lt;AD68,"Visitante","Empate")))</f>
        <v>Visitante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5" t="s">
        <v>127</v>
      </c>
      <c r="X68" s="24">
        <f ca="1">Horarios!C68</f>
        <v>46189.625</v>
      </c>
      <c r="Y68" s="25">
        <f ca="1">Horarios!C68</f>
        <v>46189.625</v>
      </c>
      <c r="Z68" s="26" t="str">
        <f>$Z$4</f>
        <v>J1</v>
      </c>
      <c r="AA68" s="27" t="str">
        <f ca="1">A69</f>
        <v>Francia</v>
      </c>
      <c r="AB68" s="49" t="str">
        <f t="array" aca="1" ref="AB68" ca="1">Ver_flag_local</f>
        <v/>
      </c>
      <c r="AC68" s="50">
        <v>1</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4</v>
      </c>
      <c r="BL68" s="16">
        <f t="shared" ca="1" si="151"/>
        <v>-2</v>
      </c>
      <c r="BM68" s="16">
        <f t="shared" ca="1" si="152"/>
        <v>8</v>
      </c>
      <c r="BN68" s="16">
        <f t="shared" ca="1" si="153"/>
        <v>8</v>
      </c>
      <c r="BO68" s="16" t="str">
        <f t="shared" si="154"/>
        <v>4K</v>
      </c>
      <c r="BP68" s="16"/>
      <c r="BQ68" s="16"/>
      <c r="BR68" s="16">
        <f t="shared" ca="1" si="155"/>
        <v>3</v>
      </c>
      <c r="BS68" s="16">
        <f t="shared" ca="1" si="156"/>
        <v>4</v>
      </c>
      <c r="BT68" s="16" t="str">
        <f t="shared" ca="1" si="157"/>
        <v>Pos. 4 (7)</v>
      </c>
      <c r="BU68" s="16">
        <f t="shared" ca="1" si="158"/>
        <v>-2</v>
      </c>
      <c r="BV68" s="16">
        <f t="shared" ca="1" si="159"/>
        <v>5</v>
      </c>
      <c r="BW68" s="16" t="str">
        <f t="shared" ca="1" si="160"/>
        <v>Pos. 5 (5)</v>
      </c>
      <c r="BX68" s="16">
        <f t="shared" ca="1" si="161"/>
        <v>2</v>
      </c>
      <c r="BY68" s="16">
        <f t="shared" ca="1" si="162"/>
        <v>7</v>
      </c>
      <c r="BZ68" s="16" t="str">
        <f t="shared" ca="1" si="163"/>
        <v>Pos. 7 (2)</v>
      </c>
      <c r="CA68" s="16">
        <f t="shared" ca="1" si="164"/>
        <v>1</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Corea del Sur</v>
      </c>
    </row>
    <row r="69" spans="1:121" ht="16.149999999999999"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6</v>
      </c>
      <c r="BL69" s="16">
        <f t="shared" ca="1" si="151"/>
        <v>-3</v>
      </c>
      <c r="BM69" s="16">
        <f t="shared" ca="1" si="152"/>
        <v>10</v>
      </c>
      <c r="BN69" s="16">
        <f t="shared" ca="1" si="153"/>
        <v>10</v>
      </c>
      <c r="BO69" s="16" t="str">
        <f t="shared" si="154"/>
        <v>4L</v>
      </c>
      <c r="BP69" s="16"/>
      <c r="BQ69" s="16"/>
      <c r="BR69" s="16">
        <f t="shared" ca="1" si="155"/>
        <v>3</v>
      </c>
      <c r="BS69" s="16">
        <f t="shared" ca="1" si="156"/>
        <v>4</v>
      </c>
      <c r="BT69" s="16" t="str">
        <f t="shared" ca="1" si="157"/>
        <v>Pos. 4 (7)</v>
      </c>
      <c r="BU69" s="16">
        <f t="shared" ca="1" si="158"/>
        <v>-3</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Suecia</v>
      </c>
    </row>
    <row r="70" spans="1:121" ht="16.149999999999999"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Senegal</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2</v>
      </c>
      <c r="AT70" s="41">
        <f t="shared" ca="1" si="211"/>
        <v>4</v>
      </c>
      <c r="AU70" s="323">
        <f ca="1">INDEX($DL$6:$DL$53,MATCH(AI70,$DP$6:$DP$53,0))</f>
        <v>1</v>
      </c>
      <c r="AV70" s="182" t="str">
        <f ca="1">INDEX($BD$6:$BD$53,MATCH(AI70,$BM$6:$BM$53,0))</f>
        <v>Senegal</v>
      </c>
      <c r="AW70" s="210"/>
      <c r="AX70" s="171"/>
      <c r="AY70" s="201" t="str">
        <f ca="1">+A69</f>
        <v>Francia</v>
      </c>
      <c r="AZ70" s="202"/>
      <c r="BA70" s="176"/>
      <c r="DN70" s="16"/>
    </row>
    <row r="71" spans="1:121" ht="16.149999999999999"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0"/>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Francia</v>
      </c>
      <c r="AM71" s="38">
        <f t="shared" ca="1" si="211"/>
        <v>6</v>
      </c>
      <c r="AN71" s="39">
        <f t="shared" ca="1" si="211"/>
        <v>3</v>
      </c>
      <c r="AO71" s="39">
        <f t="shared" ca="1" si="211"/>
        <v>2</v>
      </c>
      <c r="AP71" s="39">
        <f t="shared" ca="1" si="211"/>
        <v>0</v>
      </c>
      <c r="AQ71" s="39">
        <f t="shared" ca="1" si="211"/>
        <v>1</v>
      </c>
      <c r="AR71" s="39">
        <f t="shared" ca="1" si="211"/>
        <v>7</v>
      </c>
      <c r="AS71" s="39">
        <f t="shared" ca="1" si="211"/>
        <v>4</v>
      </c>
      <c r="AT71" s="43">
        <f t="shared" ca="1" si="211"/>
        <v>3</v>
      </c>
      <c r="AU71" s="323">
        <f ca="1">INDEX($DL$6:$DL$53,MATCH(AI71,$DP$6:$DP$53,0))</f>
        <v>1</v>
      </c>
      <c r="AV71" s="182" t="str">
        <f ca="1">INDEX($BD$6:$BD$53,MATCH(AI71,$BM$6:$BM$53,0))</f>
        <v>Francia</v>
      </c>
      <c r="AW71" s="210"/>
      <c r="AX71" s="171"/>
      <c r="AY71" s="203" t="str">
        <f ca="1">+A70</f>
        <v>Senegal</v>
      </c>
      <c r="AZ71" s="204"/>
      <c r="BA71" s="176"/>
      <c r="DN71" s="16"/>
    </row>
    <row r="72" spans="1:121" ht="16.149999999999999"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0"/>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5</v>
      </c>
      <c r="AS72" s="39">
        <f t="shared" ca="1" si="211"/>
        <v>5</v>
      </c>
      <c r="AT72" s="43">
        <f t="shared" ca="1" si="211"/>
        <v>0</v>
      </c>
      <c r="AU72" s="323">
        <f ca="1">INDEX($DL$6:$DL$53,MATCH(AI72,$DP$6:$DP$53,0))</f>
        <v>1</v>
      </c>
      <c r="AV72" s="182" t="str">
        <f ca="1">INDEX($BD$6:$BD$53,MATCH(AI72,$BM$6:$BM$53,0))</f>
        <v>Noruega</v>
      </c>
      <c r="AW72" s="210"/>
      <c r="AX72" s="171"/>
      <c r="AY72" s="201" t="str">
        <f ca="1">+A71</f>
        <v>Irak</v>
      </c>
      <c r="AZ72" s="202"/>
      <c r="BA72" s="176"/>
      <c r="DN72" s="16"/>
    </row>
    <row r="73" spans="1:121" ht="16.149999999999999"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1"/>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149999999999999"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149999999999999"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149999999999999"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9"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149999999999999"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0"/>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149999999999999"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0"/>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149999999999999"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149999999999999"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0"/>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3</v>
      </c>
      <c r="AS80" s="39">
        <f t="shared" ca="1" si="227"/>
        <v>5</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149999999999999"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149999999999999"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149999999999999"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149999999999999"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149999999999999"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149999999999999"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1</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149999999999999"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0"/>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149999999999999"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0"/>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4</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149999999999999"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1"/>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0</v>
      </c>
      <c r="AS89" s="47">
        <f t="shared" ca="1" si="243"/>
        <v>6</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149999999999999"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149999999999999"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149999999999999"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149999999999999"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149999999999999"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0"/>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2</v>
      </c>
      <c r="AT94" s="41">
        <f t="shared" ca="1" si="259"/>
        <v>4</v>
      </c>
      <c r="AU94" s="323">
        <f ca="1">INDEX($DL$6:$DL$53,MATCH(AI94,$DP$6:$DP$53,0))</f>
        <v>1</v>
      </c>
      <c r="AV94" s="182" t="str">
        <f ca="1">INDEX($BD$6:$BD$53,MATCH(AI94,$BM$6:$BM$53,0))</f>
        <v>Croacia</v>
      </c>
      <c r="AW94" s="210"/>
      <c r="AX94" s="171"/>
      <c r="AY94" s="201" t="str">
        <f ca="1">+A93</f>
        <v>Inglaterra</v>
      </c>
      <c r="AZ94" s="202"/>
      <c r="BA94" s="176"/>
    </row>
    <row r="95" spans="1:118" ht="16.149999999999999"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9</v>
      </c>
      <c r="AS95" s="39">
        <f t="shared" ca="1" si="259"/>
        <v>2</v>
      </c>
      <c r="AT95" s="43">
        <f t="shared" ca="1" si="259"/>
        <v>7</v>
      </c>
      <c r="AU95" s="323">
        <f ca="1">INDEX($DL$6:$DL$53,MATCH(AI95,$DP$6:$DP$53,0))</f>
        <v>1</v>
      </c>
      <c r="AV95" s="182" t="str">
        <f ca="1">INDEX($BD$6:$BD$53,MATCH(AI95,$BM$6:$BM$53,0))</f>
        <v>Inglaterra</v>
      </c>
      <c r="AW95" s="210"/>
      <c r="AX95" s="171"/>
      <c r="AY95" s="203" t="str">
        <f ca="1">+A94</f>
        <v>Croacia</v>
      </c>
      <c r="AZ95" s="204"/>
      <c r="BA95" s="176"/>
    </row>
    <row r="96" spans="1:118" ht="16.149999999999999"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0"/>
      <c r="X96" s="24">
        <f ca="1">Horarios!C96</f>
        <v>46200.708333333343</v>
      </c>
      <c r="Y96" s="25">
        <f ca="1">Horarios!C96</f>
        <v>46200.708333333343</v>
      </c>
      <c r="Z96" s="26" t="str">
        <f>$Z$8</f>
        <v>J3</v>
      </c>
      <c r="AA96" s="27" t="str">
        <f ca="1">A96</f>
        <v>Panamá</v>
      </c>
      <c r="AB96" s="49" t="str">
        <f t="array" aca="1" ref="AB96" ca="1">Ver_flag_local</f>
        <v/>
      </c>
      <c r="AC96" s="50">
        <v>0</v>
      </c>
      <c r="AD96" s="51">
        <v>5</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6</v>
      </c>
      <c r="AT96" s="43">
        <f t="shared" ca="1" si="259"/>
        <v>-3</v>
      </c>
      <c r="AU96" s="323">
        <f ca="1">INDEX($DL$6:$DL$53,MATCH(AI96,$DP$6:$DP$53,0))</f>
        <v>1</v>
      </c>
      <c r="AV96" s="182" t="str">
        <f ca="1">INDEX($BD$6:$BD$53,MATCH(AI96,$BM$6:$BM$53,0))</f>
        <v>Ghana</v>
      </c>
      <c r="AW96" s="210"/>
      <c r="AX96" s="171"/>
      <c r="AY96" s="201" t="str">
        <f ca="1">+A95</f>
        <v>Ghana</v>
      </c>
      <c r="AZ96" s="202"/>
      <c r="BA96" s="176"/>
    </row>
    <row r="97" spans="1:62" ht="16.149999999999999"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9</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149999999999999"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149999999999999"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149999999999999"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149999999999999"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ca="1"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CDEGHIJK</v>
      </c>
      <c r="BA101" s="176"/>
    </row>
    <row r="102" spans="1:62" ht="16.149999999999999" customHeight="1" x14ac:dyDescent="0.2">
      <c r="A102" s="16" t="s">
        <v>88</v>
      </c>
      <c r="B102" s="16" t="s">
        <v>141</v>
      </c>
      <c r="C102" s="16"/>
      <c r="D102" s="16" t="str">
        <f t="shared" ca="1"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3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ca="1" si="266"/>
        <v>0</v>
      </c>
      <c r="AH102" s="195">
        <v>76</v>
      </c>
      <c r="AI102" s="182">
        <v>1</v>
      </c>
      <c r="AJ102" s="80">
        <v>1</v>
      </c>
      <c r="AK102" s="592" t="str">
        <f t="array" aca="1" ref="AK102" ca="1">Ver_flag_visit</f>
        <v/>
      </c>
      <c r="AL102" s="81" t="str">
        <f t="shared" ref="AL102:AL113" ca="1" si="268">+IF($H$113&gt;=48,INDEX($BD$58:$BD$69,MATCH(AI102,$BN$58:$BN$69,0)),BB58)</f>
        <v>Alemania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3</v>
      </c>
      <c r="AT102" s="84">
        <f t="shared" ca="1" si="269"/>
        <v>4</v>
      </c>
      <c r="AU102" s="323">
        <f t="shared" ref="AU102:AU113" ca="1" si="270">IF($H$113=144,INDEX($DL$58:$DL$69,MATCH(AI102,$DP$58:$DP$69,0)),"")</f>
        <v>1</v>
      </c>
      <c r="AV102" s="182" t="str">
        <f t="shared" ref="AV102:AV113" ca="1" si="271">INDEX($BD$58:$BD$69,MATCH(AI102,$BM$58:$BM$69,0))</f>
        <v>Alemania</v>
      </c>
      <c r="AW102" s="215"/>
      <c r="AX102" s="170"/>
      <c r="AY102" s="154"/>
      <c r="AZ102" s="155"/>
      <c r="BA102" s="176"/>
      <c r="BE102" t="s">
        <v>144</v>
      </c>
      <c r="BF102" t="s">
        <v>145</v>
      </c>
      <c r="BG102" t="s">
        <v>146</v>
      </c>
      <c r="BI102" t="s">
        <v>147</v>
      </c>
    </row>
    <row r="103" spans="1:62" ht="16.149999999999999" customHeight="1" x14ac:dyDescent="0.2">
      <c r="A103" s="16" t="s">
        <v>92</v>
      </c>
      <c r="B103" s="16" t="s">
        <v>80</v>
      </c>
      <c r="C103" s="16"/>
      <c r="D103" s="16" t="str">
        <f t="shared" ca="1"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30"/>
      <c r="X103" s="24">
        <f ca="1">Horarios!C103</f>
        <v>46202.6875</v>
      </c>
      <c r="Y103" s="25">
        <f ca="1">Horarios!C103</f>
        <v>46202.6875</v>
      </c>
      <c r="Z103" s="274">
        <f t="shared" si="263"/>
        <v>74</v>
      </c>
      <c r="AA103" s="88" t="str">
        <f t="shared" ca="1" si="264"/>
        <v>Ecuador</v>
      </c>
      <c r="AB103" s="89"/>
      <c r="AC103" s="92"/>
      <c r="AD103" s="92"/>
      <c r="AE103" s="89"/>
      <c r="AF103" s="91" t="str">
        <f t="shared" ca="1" si="265"/>
        <v>Marruecos</v>
      </c>
      <c r="AG103" s="320">
        <f t="shared" ca="1"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Estados Unidos</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149999999999999" customHeight="1" x14ac:dyDescent="0.2">
      <c r="A104" s="16" t="s">
        <v>79</v>
      </c>
      <c r="B104" s="16" t="s">
        <v>93</v>
      </c>
      <c r="C104" s="16"/>
      <c r="D104" s="16" t="str">
        <f t="shared" ca="1"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0"/>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ca="1"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Marruecos</v>
      </c>
      <c r="AW104" s="215"/>
      <c r="AX104" s="170"/>
      <c r="AY104" s="270"/>
      <c r="AZ104" s="273" t="str">
        <f t="shared" ca="1" si="272"/>
        <v>1B - 3G</v>
      </c>
      <c r="BA104" s="176"/>
      <c r="BF104" t="str">
        <f t="shared" ca="1" si="273"/>
        <v>D</v>
      </c>
      <c r="BG104">
        <f t="shared" ca="1" si="274"/>
        <v>2</v>
      </c>
      <c r="BI104">
        <v>2</v>
      </c>
      <c r="BJ104" t="str">
        <f t="shared" ca="1" si="275"/>
        <v>D</v>
      </c>
    </row>
    <row r="105" spans="1:62" ht="16.149999999999999" customHeight="1" x14ac:dyDescent="0.2">
      <c r="A105" s="16" t="s">
        <v>106</v>
      </c>
      <c r="B105" s="16" t="s">
        <v>150</v>
      </c>
      <c r="C105" s="16"/>
      <c r="D105" s="16" t="str">
        <f t="shared" ca="1" si="260"/>
        <v>W78</v>
      </c>
      <c r="E105" s="16" t="s">
        <v>127</v>
      </c>
      <c r="F105" s="16" t="s">
        <v>142</v>
      </c>
      <c r="G105" s="16" t="s">
        <v>103</v>
      </c>
      <c r="H105" s="16">
        <f t="shared" ca="1" si="261"/>
        <v>12</v>
      </c>
      <c r="I105" s="16"/>
      <c r="J105" s="16">
        <v>77</v>
      </c>
      <c r="K105" s="16">
        <v>46203.75</v>
      </c>
      <c r="L105" s="16" t="s">
        <v>151</v>
      </c>
      <c r="M105" s="16" t="str">
        <f t="shared" ca="1" si="262"/>
        <v>Senegal</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30"/>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Francia</v>
      </c>
      <c r="AG105" s="320">
        <f t="shared" ca="1" si="266"/>
        <v>0</v>
      </c>
      <c r="AH105" s="195">
        <v>78</v>
      </c>
      <c r="AI105" s="182">
        <v>4</v>
      </c>
      <c r="AJ105" s="42">
        <v>4</v>
      </c>
      <c r="AK105" s="589" t="str">
        <f t="array" aca="1" ref="AK105" ca="1">Ver_flag_visit</f>
        <v/>
      </c>
      <c r="AL105" s="85" t="str">
        <f t="shared" ca="1" si="268"/>
        <v>Noruega</v>
      </c>
      <c r="AM105" s="576">
        <f t="shared" ca="1" si="269"/>
        <v>3</v>
      </c>
      <c r="AN105" s="86">
        <f t="shared" ca="1" si="269"/>
        <v>3</v>
      </c>
      <c r="AO105" s="86">
        <f t="shared" ca="1" si="269"/>
        <v>1</v>
      </c>
      <c r="AP105" s="86">
        <f t="shared" ca="1" si="269"/>
        <v>0</v>
      </c>
      <c r="AQ105" s="86">
        <f t="shared" ca="1" si="269"/>
        <v>2</v>
      </c>
      <c r="AR105" s="86">
        <f t="shared" ca="1" si="269"/>
        <v>5</v>
      </c>
      <c r="AS105" s="86">
        <f t="shared" ca="1" si="269"/>
        <v>5</v>
      </c>
      <c r="AT105" s="87">
        <f t="shared" ca="1" si="269"/>
        <v>0</v>
      </c>
      <c r="AU105" s="323">
        <f t="shared" ca="1" si="270"/>
        <v>1</v>
      </c>
      <c r="AV105" s="182" t="str">
        <f t="shared" ca="1" si="271"/>
        <v>Noruega</v>
      </c>
      <c r="AW105" s="215"/>
      <c r="AX105" s="170"/>
      <c r="AY105" s="270"/>
      <c r="AZ105" s="273" t="str">
        <f t="shared" ca="1" si="272"/>
        <v>1D - 3J</v>
      </c>
      <c r="BA105" s="176"/>
      <c r="BF105" t="str">
        <f t="shared" ca="1" si="273"/>
        <v>C</v>
      </c>
      <c r="BG105">
        <f t="shared" ca="1" si="274"/>
        <v>1</v>
      </c>
      <c r="BI105">
        <v>3</v>
      </c>
      <c r="BJ105" t="str">
        <f t="shared" ca="1" si="275"/>
        <v>E</v>
      </c>
    </row>
    <row r="106" spans="1:62" ht="16.149999999999999" customHeight="1" x14ac:dyDescent="0.2">
      <c r="A106" s="16" t="s">
        <v>89</v>
      </c>
      <c r="B106" s="16" t="s">
        <v>107</v>
      </c>
      <c r="C106" s="16"/>
      <c r="D106" s="16" t="str">
        <f t="shared" ca="1"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Francia</v>
      </c>
      <c r="O106" s="16"/>
      <c r="P106" s="16"/>
      <c r="Q106" s="16"/>
      <c r="R106" s="16"/>
      <c r="S106" s="16"/>
      <c r="T106" s="16"/>
      <c r="U106" s="16"/>
      <c r="V106" s="17"/>
      <c r="W106" s="630"/>
      <c r="X106" s="24">
        <f ca="1">Horarios!C106</f>
        <v>46203.708333333343</v>
      </c>
      <c r="Y106" s="25">
        <f ca="1">Horarios!C106</f>
        <v>46203.708333333343</v>
      </c>
      <c r="Z106" s="274">
        <f t="shared" si="263"/>
        <v>77</v>
      </c>
      <c r="AA106" s="88" t="str">
        <f t="shared" ca="1" si="264"/>
        <v>Senegal</v>
      </c>
      <c r="AB106" s="89"/>
      <c r="AC106" s="92"/>
      <c r="AD106" s="92"/>
      <c r="AE106" s="89"/>
      <c r="AF106" s="91" t="str">
        <f t="shared" ca="1" si="265"/>
        <v>Estados Unidos</v>
      </c>
      <c r="AG106" s="320">
        <f t="shared" ca="1" si="266"/>
        <v>0</v>
      </c>
      <c r="AH106" s="195">
        <v>77</v>
      </c>
      <c r="AI106" s="182">
        <v>5</v>
      </c>
      <c r="AJ106" s="42">
        <v>5</v>
      </c>
      <c r="AK106" s="589" t="str">
        <f t="array" aca="1" ref="AK106" ca="1">Ver_flag_visit</f>
        <v/>
      </c>
      <c r="AL106" s="85" t="str">
        <f t="shared" ca="1" si="268"/>
        <v>Arabia Saudita</v>
      </c>
      <c r="AM106" s="576">
        <f t="shared" ca="1" si="269"/>
        <v>3</v>
      </c>
      <c r="AN106" s="86">
        <f t="shared" ca="1" si="269"/>
        <v>3</v>
      </c>
      <c r="AO106" s="86">
        <f t="shared" ca="1" si="269"/>
        <v>1</v>
      </c>
      <c r="AP106" s="86">
        <f t="shared" ca="1" si="269"/>
        <v>0</v>
      </c>
      <c r="AQ106" s="86">
        <f t="shared" ca="1" si="269"/>
        <v>2</v>
      </c>
      <c r="AR106" s="86">
        <f t="shared" ca="1" si="269"/>
        <v>3</v>
      </c>
      <c r="AS106" s="86">
        <f t="shared" ca="1" si="269"/>
        <v>5</v>
      </c>
      <c r="AT106" s="87">
        <f t="shared" ca="1" si="269"/>
        <v>-2</v>
      </c>
      <c r="AU106" s="323">
        <f t="shared" ca="1" si="270"/>
        <v>2</v>
      </c>
      <c r="AV106" s="182" t="str">
        <f t="shared" ca="1" si="271"/>
        <v>Arabia Saudita</v>
      </c>
      <c r="AW106" s="215"/>
      <c r="AX106" s="170"/>
      <c r="AY106" s="270"/>
      <c r="AZ106" s="273" t="str">
        <f t="shared" ca="1" si="272"/>
        <v>1E - 3C</v>
      </c>
      <c r="BA106" s="176"/>
      <c r="BF106" t="str">
        <f t="shared" ca="1" si="273"/>
        <v>I</v>
      </c>
      <c r="BG106">
        <f t="shared" ca="1" si="274"/>
        <v>6</v>
      </c>
      <c r="BI106">
        <v>4</v>
      </c>
      <c r="BJ106" t="str">
        <f t="shared" ca="1" si="275"/>
        <v>G</v>
      </c>
    </row>
    <row r="107" spans="1:62" ht="16.149999999999999" customHeight="1" x14ac:dyDescent="0.2">
      <c r="A107" s="16" t="s">
        <v>70</v>
      </c>
      <c r="B107" s="16" t="s">
        <v>153</v>
      </c>
      <c r="C107" s="16"/>
      <c r="D107" s="16" t="str">
        <f t="shared" ca="1"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Alemania</v>
      </c>
      <c r="O107" s="16"/>
      <c r="P107" s="16"/>
      <c r="Q107" s="16"/>
      <c r="R107" s="16"/>
      <c r="S107" s="16"/>
      <c r="T107" s="16"/>
      <c r="U107" s="16"/>
      <c r="V107" s="17"/>
      <c r="W107" s="630"/>
      <c r="X107" s="24">
        <f ca="1">Horarios!C107</f>
        <v>46203.875</v>
      </c>
      <c r="Y107" s="25">
        <f ca="1">Horarios!C107</f>
        <v>46203.875</v>
      </c>
      <c r="Z107" s="274">
        <f t="shared" si="263"/>
        <v>79</v>
      </c>
      <c r="AA107" s="88" t="str">
        <f t="shared" ca="1" si="264"/>
        <v>México</v>
      </c>
      <c r="AB107" s="89"/>
      <c r="AC107" s="92"/>
      <c r="AD107" s="92"/>
      <c r="AE107" s="89"/>
      <c r="AF107" s="91" t="str">
        <f t="shared" ca="1" si="265"/>
        <v>Alemania</v>
      </c>
      <c r="AG107" s="320">
        <f t="shared" ca="1" si="266"/>
        <v>0</v>
      </c>
      <c r="AH107" s="195">
        <v>79</v>
      </c>
      <c r="AI107" s="182">
        <v>6</v>
      </c>
      <c r="AJ107" s="42">
        <v>6</v>
      </c>
      <c r="AK107" s="589" t="str">
        <f t="array" aca="1" ref="AK107" ca="1">Ver_flag_visit</f>
        <v/>
      </c>
      <c r="AL107" s="85" t="str">
        <f t="shared" ca="1" si="268"/>
        <v>Argelia</v>
      </c>
      <c r="AM107" s="576">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2</v>
      </c>
      <c r="AV107" s="182" t="str">
        <f t="shared" ca="1" si="271"/>
        <v>Argelia</v>
      </c>
      <c r="AW107" s="215"/>
      <c r="AX107" s="170"/>
      <c r="AY107" s="270"/>
      <c r="AZ107" s="273" t="str">
        <f t="shared" ca="1" si="272"/>
        <v>1G - 3H</v>
      </c>
      <c r="BA107" s="176"/>
      <c r="BF107" t="str">
        <f t="shared" ca="1" si="273"/>
        <v>H</v>
      </c>
      <c r="BG107">
        <f t="shared" ca="1" si="274"/>
        <v>5</v>
      </c>
      <c r="BI107">
        <v>5</v>
      </c>
      <c r="BJ107" t="str">
        <f t="shared" ca="1" si="275"/>
        <v>H</v>
      </c>
    </row>
    <row r="108" spans="1:62" ht="16.149999999999999" customHeight="1" x14ac:dyDescent="0.2">
      <c r="A108" s="16" t="s">
        <v>119</v>
      </c>
      <c r="B108" s="16" t="s">
        <v>155</v>
      </c>
      <c r="C108" s="16"/>
      <c r="D108" s="16" t="str">
        <f t="shared" ca="1"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0"/>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ca="1" si="266"/>
        <v>0</v>
      </c>
      <c r="AH108" s="195">
        <v>80</v>
      </c>
      <c r="AI108" s="182">
        <v>7</v>
      </c>
      <c r="AJ108" s="42">
        <v>7</v>
      </c>
      <c r="AK108" s="589" t="str">
        <f t="array" aca="1" ref="AK108" ca="1">Ver_flag_visit</f>
        <v/>
      </c>
      <c r="AL108" s="85" t="str">
        <f t="shared" ca="1" si="268"/>
        <v>Irán</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2</v>
      </c>
      <c r="AV108" s="182" t="str">
        <f t="shared" ca="1" si="271"/>
        <v>Irán</v>
      </c>
      <c r="AW108" s="215"/>
      <c r="AX108" s="170"/>
      <c r="AY108" s="270"/>
      <c r="AZ108" s="273" t="str">
        <f t="shared" ca="1" si="272"/>
        <v>1I - 3D</v>
      </c>
      <c r="BA108" s="176"/>
      <c r="BF108" t="str">
        <f t="shared" ca="1" si="273"/>
        <v>J</v>
      </c>
      <c r="BG108">
        <f t="shared" ca="1" si="274"/>
        <v>7</v>
      </c>
      <c r="BI108">
        <v>6</v>
      </c>
      <c r="BJ108" t="str">
        <f t="shared" ca="1" si="275"/>
        <v>I</v>
      </c>
    </row>
    <row r="109" spans="1:62" ht="16.149999999999999" customHeight="1" x14ac:dyDescent="0.2">
      <c r="A109" s="16" t="s">
        <v>83</v>
      </c>
      <c r="B109" s="16" t="s">
        <v>157</v>
      </c>
      <c r="C109" s="16"/>
      <c r="D109" s="16" t="str">
        <f t="shared" ca="1"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3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ca="1" si="266"/>
        <v>0</v>
      </c>
      <c r="AH109" s="195">
        <v>82</v>
      </c>
      <c r="AI109" s="182">
        <v>8</v>
      </c>
      <c r="AJ109" s="42">
        <v>8</v>
      </c>
      <c r="AK109" s="589" t="str">
        <f t="array" aca="1" ref="AK109" ca="1">Ver_flag_visit</f>
        <v/>
      </c>
      <c r="AL109" s="85" t="str">
        <f t="shared" ca="1" si="268"/>
        <v>RD Congo</v>
      </c>
      <c r="AM109" s="576">
        <f t="shared" ca="1" si="269"/>
        <v>3</v>
      </c>
      <c r="AN109" s="86">
        <f t="shared" ca="1" si="269"/>
        <v>3</v>
      </c>
      <c r="AO109" s="86">
        <f t="shared" ca="1" si="269"/>
        <v>1</v>
      </c>
      <c r="AP109" s="86">
        <f t="shared" ca="1" si="269"/>
        <v>0</v>
      </c>
      <c r="AQ109" s="86">
        <f t="shared" ca="1" si="269"/>
        <v>2</v>
      </c>
      <c r="AR109" s="86">
        <f t="shared" ca="1" si="269"/>
        <v>2</v>
      </c>
      <c r="AS109" s="86">
        <f t="shared" ca="1" si="269"/>
        <v>4</v>
      </c>
      <c r="AT109" s="87">
        <f t="shared" ca="1" si="269"/>
        <v>-2</v>
      </c>
      <c r="AU109" s="323">
        <f t="shared" ca="1" si="270"/>
        <v>2</v>
      </c>
      <c r="AV109" s="182" t="str">
        <f t="shared" ca="1" si="271"/>
        <v>RD Congo</v>
      </c>
      <c r="AW109" s="215"/>
      <c r="AX109" s="170"/>
      <c r="AY109" s="270"/>
      <c r="AZ109" s="273" t="str">
        <f t="shared" ca="1" si="272"/>
        <v>1K - 3I</v>
      </c>
      <c r="BA109" s="176"/>
      <c r="BF109" t="str">
        <f t="shared" ca="1" si="273"/>
        <v>G</v>
      </c>
      <c r="BG109">
        <f t="shared" ca="1" si="274"/>
        <v>4</v>
      </c>
      <c r="BI109">
        <v>7</v>
      </c>
      <c r="BJ109" t="str">
        <f t="shared" ca="1" si="275"/>
        <v>J</v>
      </c>
    </row>
    <row r="110" spans="1:62" ht="16.149999999999999" customHeight="1" x14ac:dyDescent="0.2">
      <c r="A110" s="16" t="s">
        <v>97</v>
      </c>
      <c r="B110" s="16" t="s">
        <v>159</v>
      </c>
      <c r="C110" s="16"/>
      <c r="D110" s="16" t="str">
        <f t="shared" ca="1"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30"/>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Argelia</v>
      </c>
      <c r="AG110" s="320">
        <f t="shared" ca="1"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1</v>
      </c>
      <c r="AS110" s="86">
        <f t="shared" ca="1" si="269"/>
        <v>3</v>
      </c>
      <c r="AT110" s="87">
        <f t="shared" ca="1" si="269"/>
        <v>-2</v>
      </c>
      <c r="AU110" s="323">
        <f t="shared" ca="1" si="270"/>
        <v>1</v>
      </c>
      <c r="AV110" s="182" t="str">
        <f t="shared" ca="1" si="271"/>
        <v>Bosnia y Herzegovina</v>
      </c>
      <c r="AW110" s="215"/>
      <c r="AX110" s="170"/>
      <c r="AY110" s="270"/>
      <c r="AZ110" s="273" t="str">
        <f t="shared" ca="1" si="272"/>
        <v>1L - 3K</v>
      </c>
      <c r="BA110" s="176"/>
      <c r="BF110" t="str">
        <f t="shared" ca="1" si="273"/>
        <v>K</v>
      </c>
      <c r="BG110">
        <f t="shared" ca="1" si="274"/>
        <v>8</v>
      </c>
      <c r="BI110">
        <v>8</v>
      </c>
      <c r="BJ110" t="str">
        <f t="shared" ca="1" si="275"/>
        <v>K</v>
      </c>
    </row>
    <row r="111" spans="1:62" ht="16.149999999999999" customHeight="1" x14ac:dyDescent="0.2">
      <c r="A111" s="16" t="s">
        <v>116</v>
      </c>
      <c r="B111" s="16" t="s">
        <v>120</v>
      </c>
      <c r="C111" s="16"/>
      <c r="D111" s="16" t="str">
        <f t="shared" ca="1"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3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ca="1"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6</v>
      </c>
      <c r="AT111" s="87">
        <f t="shared" ca="1" si="269"/>
        <v>-3</v>
      </c>
      <c r="AU111" s="323">
        <f t="shared" ca="1" si="270"/>
        <v>1</v>
      </c>
      <c r="AV111" s="182" t="str">
        <f t="shared" ca="1" si="271"/>
        <v>Ghana</v>
      </c>
      <c r="AW111" s="215"/>
      <c r="AX111" s="170"/>
      <c r="AY111" s="269"/>
      <c r="AZ111" s="269"/>
      <c r="BA111" s="176"/>
      <c r="BI111" t="s">
        <v>162</v>
      </c>
    </row>
    <row r="112" spans="1:62" ht="16.149999999999999" customHeight="1" x14ac:dyDescent="0.2">
      <c r="A112" s="16" t="s">
        <v>101</v>
      </c>
      <c r="B112" s="16" t="s">
        <v>111</v>
      </c>
      <c r="C112" s="16"/>
      <c r="D112" s="16" t="str">
        <f t="shared" ca="1"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ca="1" si="266"/>
        <v>0</v>
      </c>
      <c r="AH112" s="195">
        <v>83</v>
      </c>
      <c r="AI112" s="182">
        <v>11</v>
      </c>
      <c r="AJ112" s="42">
        <v>11</v>
      </c>
      <c r="AK112" s="589" t="str">
        <f t="array" aca="1" ref="AK112" ca="1">Ver_flag_visit</f>
        <v/>
      </c>
      <c r="AL112" s="85" t="str">
        <f t="shared" ca="1" si="268"/>
        <v>Corea del Sur</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1</v>
      </c>
      <c r="AV112" s="182" t="str">
        <f t="shared" ca="1" si="271"/>
        <v>Corea del Sur</v>
      </c>
      <c r="AW112" s="215"/>
      <c r="AX112" s="170"/>
      <c r="AY112" s="269"/>
      <c r="AZ112" s="269"/>
      <c r="BA112" s="176"/>
      <c r="BI112" t="str">
        <f ca="1">IFERROR(CONCATENATE(BJ103,BJ104,BJ105,BJ106,BJ107,BJ108,BJ109,BJ110),"¿A/B/C/D/E/F/G/H/I/J/K/L?")</f>
        <v>CDEGHIJK</v>
      </c>
    </row>
    <row r="113" spans="1:59" ht="16.149999999999999" customHeight="1" thickBot="1" x14ac:dyDescent="0.25">
      <c r="A113" s="16" t="s">
        <v>74</v>
      </c>
      <c r="B113" s="16" t="s">
        <v>164</v>
      </c>
      <c r="C113" s="16"/>
      <c r="D113" s="16" t="str">
        <f t="shared" ca="1"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ca="1" si="266"/>
        <v>0</v>
      </c>
      <c r="AH113" s="195">
        <v>85</v>
      </c>
      <c r="AI113" s="182">
        <v>12</v>
      </c>
      <c r="AJ113" s="44">
        <v>12</v>
      </c>
      <c r="AK113" s="591" t="str">
        <f t="array" aca="1" ref="AK113" ca="1">Ver_flag_visit</f>
        <v/>
      </c>
      <c r="AL113" s="45" t="str">
        <f t="shared" ca="1" si="268"/>
        <v>Suecia</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Suecia</v>
      </c>
      <c r="AW113" s="215"/>
      <c r="AX113" s="170"/>
      <c r="AY113" s="154"/>
      <c r="AZ113" s="155"/>
      <c r="BA113" s="176"/>
    </row>
    <row r="114" spans="1:59" ht="16.149999999999999" customHeight="1" x14ac:dyDescent="0.2">
      <c r="A114" s="16" t="s">
        <v>110</v>
      </c>
      <c r="B114" s="16" t="s">
        <v>102</v>
      </c>
      <c r="C114" s="16"/>
      <c r="D114" s="16" t="str">
        <f t="shared" ca="1"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0"/>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ca="1"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149999999999999" customHeight="1" x14ac:dyDescent="0.2">
      <c r="A115" s="16" t="s">
        <v>115</v>
      </c>
      <c r="B115" s="16" t="s">
        <v>167</v>
      </c>
      <c r="C115" s="16"/>
      <c r="D115" s="16" t="str">
        <f t="shared" ca="1"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3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ca="1"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149999999999999" customHeight="1" thickBot="1" x14ac:dyDescent="0.25">
      <c r="A116" s="16" t="s">
        <v>84</v>
      </c>
      <c r="B116" s="16" t="s">
        <v>98</v>
      </c>
      <c r="C116" s="16"/>
      <c r="D116" s="16" t="str">
        <f t="shared" ca="1"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ca="1"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149999999999999"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149999999999999"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149999999999999"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149999999999999"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ca="1" si="277">+INDEX($D$101:$D$147,MATCH(E120,$AH$101:$AH$147,0))</f>
        <v>W74</v>
      </c>
      <c r="N120" s="16" t="str">
        <f t="shared" ca="1" si="277"/>
        <v>W77</v>
      </c>
      <c r="O120" s="16"/>
      <c r="P120" s="16"/>
      <c r="Q120" s="16"/>
      <c r="R120" s="16"/>
      <c r="S120" s="16"/>
      <c r="T120" s="16"/>
      <c r="U120" s="16"/>
      <c r="V120" s="17"/>
      <c r="W120" s="626" t="s">
        <v>173</v>
      </c>
      <c r="X120" s="24">
        <f ca="1">Horarios!C120</f>
        <v>46207.541666666657</v>
      </c>
      <c r="Y120" s="25">
        <f ca="1">Horarios!C120</f>
        <v>46207.541666666657</v>
      </c>
      <c r="Z120" s="274">
        <f t="shared" ref="Z120:Z127" si="278">AH120</f>
        <v>90</v>
      </c>
      <c r="AA120" s="88" t="str">
        <f t="shared" ref="AA120:AA127" ca="1" si="279">+INDEX($M$101:$M$147,MATCH(AH120,$J$101:$J$147,0))</f>
        <v>W73</v>
      </c>
      <c r="AB120" s="89"/>
      <c r="AC120" s="96"/>
      <c r="AD120" s="96"/>
      <c r="AE120" s="89"/>
      <c r="AF120" s="91" t="str">
        <f t="shared" ref="AF120:AF127" ca="1" si="280">+INDEX($N$101:$N$147,MATCH(AH120,$J$101:$J$147,0))</f>
        <v>W75</v>
      </c>
      <c r="AG120" s="320">
        <f t="shared" ref="AG120:AG127" ca="1"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149999999999999" customHeight="1" x14ac:dyDescent="0.2">
      <c r="A121" s="16" t="s">
        <v>174</v>
      </c>
      <c r="B121" s="16" t="s">
        <v>175</v>
      </c>
      <c r="C121" s="16"/>
      <c r="D121" s="16" t="str">
        <f t="shared" ca="1" si="276"/>
        <v>W89</v>
      </c>
      <c r="E121" s="16">
        <v>73</v>
      </c>
      <c r="F121" s="16">
        <v>75</v>
      </c>
      <c r="G121" s="16"/>
      <c r="H121" s="16"/>
      <c r="I121" s="16"/>
      <c r="J121" s="16">
        <v>90</v>
      </c>
      <c r="K121" s="16">
        <v>46207.875</v>
      </c>
      <c r="L121" s="16" t="s">
        <v>176</v>
      </c>
      <c r="M121" s="16" t="str">
        <f t="shared" ca="1" si="277"/>
        <v>W73</v>
      </c>
      <c r="N121" s="16" t="str">
        <f t="shared" ca="1"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ca="1" si="279"/>
        <v>W74</v>
      </c>
      <c r="AB121" s="89"/>
      <c r="AC121" s="97"/>
      <c r="AD121" s="97"/>
      <c r="AE121" s="89"/>
      <c r="AF121" s="91" t="str">
        <f t="shared" ca="1" si="280"/>
        <v>W77</v>
      </c>
      <c r="AG121" s="320">
        <f t="shared" ca="1"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149999999999999" customHeight="1" x14ac:dyDescent="0.2">
      <c r="A122" s="16" t="s">
        <v>177</v>
      </c>
      <c r="B122" s="16" t="s">
        <v>178</v>
      </c>
      <c r="C122" s="16"/>
      <c r="D122" s="16" t="str">
        <f t="shared" ca="1" si="276"/>
        <v>W91</v>
      </c>
      <c r="E122" s="16">
        <v>76</v>
      </c>
      <c r="F122" s="16">
        <v>78</v>
      </c>
      <c r="G122" s="16"/>
      <c r="H122" s="16"/>
      <c r="I122" s="16"/>
      <c r="J122" s="16">
        <v>91</v>
      </c>
      <c r="K122" s="16">
        <v>46208.75</v>
      </c>
      <c r="L122" s="16" t="s">
        <v>179</v>
      </c>
      <c r="M122" s="16" t="str">
        <f t="shared" ca="1" si="277"/>
        <v>W76</v>
      </c>
      <c r="N122" s="16" t="str">
        <f t="shared" ca="1"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ca="1" si="279"/>
        <v>W76</v>
      </c>
      <c r="AB122" s="89"/>
      <c r="AC122" s="97"/>
      <c r="AD122" s="97"/>
      <c r="AE122" s="89"/>
      <c r="AF122" s="91" t="str">
        <f t="shared" ca="1" si="280"/>
        <v>W78</v>
      </c>
      <c r="AG122" s="320">
        <f t="shared" ca="1"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149999999999999" customHeight="1" x14ac:dyDescent="0.2">
      <c r="A123" s="16" t="s">
        <v>180</v>
      </c>
      <c r="B123" s="16" t="s">
        <v>181</v>
      </c>
      <c r="C123" s="16"/>
      <c r="D123" s="16" t="str">
        <f t="shared" ca="1" si="276"/>
        <v>W92</v>
      </c>
      <c r="E123" s="16">
        <v>79</v>
      </c>
      <c r="F123" s="16">
        <v>80</v>
      </c>
      <c r="G123" s="16"/>
      <c r="H123" s="16"/>
      <c r="I123" s="16"/>
      <c r="J123" s="16">
        <v>92</v>
      </c>
      <c r="K123" s="16">
        <v>46208.875</v>
      </c>
      <c r="L123" s="16" t="s">
        <v>182</v>
      </c>
      <c r="M123" s="16" t="str">
        <f t="shared" ca="1" si="277"/>
        <v>W79</v>
      </c>
      <c r="N123" s="16" t="str">
        <f t="shared" ca="1"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ca="1" si="279"/>
        <v>W79</v>
      </c>
      <c r="AB123" s="89"/>
      <c r="AC123" s="97"/>
      <c r="AD123" s="97"/>
      <c r="AE123" s="89"/>
      <c r="AF123" s="91" t="str">
        <f t="shared" ca="1" si="280"/>
        <v>W80</v>
      </c>
      <c r="AG123" s="320">
        <f t="shared" ca="1"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149999999999999" customHeight="1" x14ac:dyDescent="0.2">
      <c r="A124" s="16" t="s">
        <v>183</v>
      </c>
      <c r="B124" s="16" t="s">
        <v>184</v>
      </c>
      <c r="C124" s="16"/>
      <c r="D124" s="16" t="str">
        <f t="shared" ca="1" si="276"/>
        <v>W93</v>
      </c>
      <c r="E124" s="16">
        <v>83</v>
      </c>
      <c r="F124" s="16">
        <v>84</v>
      </c>
      <c r="G124" s="16"/>
      <c r="H124" s="16"/>
      <c r="I124" s="16"/>
      <c r="J124" s="16">
        <v>93</v>
      </c>
      <c r="K124" s="16">
        <v>46209.75</v>
      </c>
      <c r="L124" s="16" t="s">
        <v>185</v>
      </c>
      <c r="M124" s="16" t="str">
        <f t="shared" ca="1" si="277"/>
        <v>W83</v>
      </c>
      <c r="N124" s="16" t="str">
        <f t="shared" ca="1" si="277"/>
        <v>W84</v>
      </c>
      <c r="O124" s="16"/>
      <c r="P124" s="16"/>
      <c r="Q124" s="16"/>
      <c r="R124" s="16"/>
      <c r="S124" s="16"/>
      <c r="T124" s="16"/>
      <c r="U124" s="16"/>
      <c r="V124" s="17"/>
      <c r="W124" s="627"/>
      <c r="X124" s="24">
        <f ca="1">Horarios!C124</f>
        <v>46209.625</v>
      </c>
      <c r="Y124" s="25">
        <f ca="1">Horarios!C124</f>
        <v>46209.625</v>
      </c>
      <c r="Z124" s="274">
        <f t="shared" si="278"/>
        <v>93</v>
      </c>
      <c r="AA124" s="88" t="str">
        <f t="shared" ca="1" si="279"/>
        <v>W83</v>
      </c>
      <c r="AB124" s="98"/>
      <c r="AC124" s="97"/>
      <c r="AD124" s="97"/>
      <c r="AE124" s="90"/>
      <c r="AF124" s="91" t="str">
        <f t="shared" ca="1" si="280"/>
        <v>W84</v>
      </c>
      <c r="AG124" s="320">
        <f t="shared" ca="1"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149999999999999" customHeight="1" x14ac:dyDescent="0.2">
      <c r="A125" s="16" t="s">
        <v>186</v>
      </c>
      <c r="B125" s="16" t="s">
        <v>187</v>
      </c>
      <c r="C125" s="16"/>
      <c r="D125" s="16" t="str">
        <f t="shared" ca="1" si="276"/>
        <v>W94</v>
      </c>
      <c r="E125" s="16">
        <v>81</v>
      </c>
      <c r="F125" s="16">
        <v>82</v>
      </c>
      <c r="G125" s="16"/>
      <c r="H125" s="16"/>
      <c r="I125" s="16"/>
      <c r="J125" s="16">
        <v>94</v>
      </c>
      <c r="K125" s="16">
        <v>46209.875</v>
      </c>
      <c r="L125" s="16" t="s">
        <v>188</v>
      </c>
      <c r="M125" s="16" t="str">
        <f t="shared" ca="1" si="277"/>
        <v>W81</v>
      </c>
      <c r="N125" s="16" t="str">
        <f t="shared" ca="1"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ca="1" si="279"/>
        <v>W81</v>
      </c>
      <c r="AB125" s="89"/>
      <c r="AC125" s="99"/>
      <c r="AD125" s="99"/>
      <c r="AE125" s="89"/>
      <c r="AF125" s="91" t="str">
        <f t="shared" ca="1" si="280"/>
        <v>W82</v>
      </c>
      <c r="AG125" s="320">
        <f t="shared" ca="1"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149999999999999" customHeight="1" x14ac:dyDescent="0.2">
      <c r="A126" s="16" t="s">
        <v>189</v>
      </c>
      <c r="B126" s="16" t="s">
        <v>190</v>
      </c>
      <c r="C126" s="16"/>
      <c r="D126" s="16" t="str">
        <f t="shared" ca="1" si="276"/>
        <v>W95</v>
      </c>
      <c r="E126" s="16">
        <v>86</v>
      </c>
      <c r="F126" s="16">
        <v>88</v>
      </c>
      <c r="G126" s="16"/>
      <c r="H126" s="16"/>
      <c r="I126" s="16"/>
      <c r="J126" s="16">
        <v>95</v>
      </c>
      <c r="K126" s="16">
        <v>46210.75</v>
      </c>
      <c r="L126" s="16" t="s">
        <v>191</v>
      </c>
      <c r="M126" s="16" t="str">
        <f t="shared" ca="1" si="277"/>
        <v>W86</v>
      </c>
      <c r="N126" s="16" t="str">
        <f t="shared" ca="1" si="277"/>
        <v>W88</v>
      </c>
      <c r="O126" s="16"/>
      <c r="P126" s="16"/>
      <c r="Q126" s="16"/>
      <c r="R126" s="16"/>
      <c r="S126" s="16"/>
      <c r="T126" s="16"/>
      <c r="U126" s="16"/>
      <c r="V126" s="17"/>
      <c r="W126" s="627"/>
      <c r="X126" s="24">
        <f ca="1">Horarios!C126</f>
        <v>46210.5</v>
      </c>
      <c r="Y126" s="25">
        <f ca="1">Horarios!C126</f>
        <v>46210.5</v>
      </c>
      <c r="Z126" s="274">
        <f t="shared" si="278"/>
        <v>95</v>
      </c>
      <c r="AA126" s="88" t="str">
        <f t="shared" ca="1" si="279"/>
        <v>W86</v>
      </c>
      <c r="AB126" s="89"/>
      <c r="AC126" s="99"/>
      <c r="AD126" s="99"/>
      <c r="AE126" s="89"/>
      <c r="AF126" s="91" t="str">
        <f t="shared" ca="1" si="280"/>
        <v>W88</v>
      </c>
      <c r="AG126" s="320">
        <f t="shared" ca="1"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149999999999999" customHeight="1" thickBot="1" x14ac:dyDescent="0.25">
      <c r="A127" s="16" t="s">
        <v>192</v>
      </c>
      <c r="B127" s="16" t="s">
        <v>193</v>
      </c>
      <c r="C127" s="16"/>
      <c r="D127" s="16" t="str">
        <f t="shared" ca="1" si="276"/>
        <v>W96</v>
      </c>
      <c r="E127" s="16">
        <v>85</v>
      </c>
      <c r="F127" s="16">
        <v>87</v>
      </c>
      <c r="G127" s="16"/>
      <c r="H127" s="16"/>
      <c r="I127" s="16"/>
      <c r="J127" s="16">
        <v>96</v>
      </c>
      <c r="K127" s="16">
        <v>46210.875</v>
      </c>
      <c r="L127" s="16" t="s">
        <v>194</v>
      </c>
      <c r="M127" s="16" t="str">
        <f t="shared" ca="1" si="277"/>
        <v>W85</v>
      </c>
      <c r="N127" s="16" t="str">
        <f t="shared" ca="1"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ca="1" si="279"/>
        <v>W85</v>
      </c>
      <c r="AB127" s="94"/>
      <c r="AC127" s="100"/>
      <c r="AD127" s="100"/>
      <c r="AE127" s="94"/>
      <c r="AF127" s="95" t="str">
        <f t="shared" ca="1" si="280"/>
        <v>W87</v>
      </c>
      <c r="AG127" s="320">
        <f t="shared" ca="1"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149999999999999"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149999999999999"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149999999999999"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149999999999999"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W89</v>
      </c>
      <c r="N131" s="16" t="str">
        <f t="shared" ca="1" si="282"/>
        <v>W90</v>
      </c>
      <c r="O131" s="16"/>
      <c r="P131" s="16"/>
      <c r="Q131" s="16"/>
      <c r="R131" s="16"/>
      <c r="S131" s="16"/>
      <c r="T131" s="16"/>
      <c r="U131" s="16"/>
      <c r="V131" s="17"/>
      <c r="W131" s="635" t="s">
        <v>198</v>
      </c>
      <c r="X131" s="24">
        <f ca="1">Horarios!C131</f>
        <v>46212.666666666657</v>
      </c>
      <c r="Y131" s="25">
        <f ca="1">Horarios!C131</f>
        <v>46212.666666666657</v>
      </c>
      <c r="Z131" s="276">
        <f>AH131</f>
        <v>97</v>
      </c>
      <c r="AA131" s="88" t="str">
        <f ca="1">+INDEX($M$101:$M$147,MATCH(AH131,$J$101:$J$147,0))</f>
        <v>W89</v>
      </c>
      <c r="AB131" s="98"/>
      <c r="AC131" s="96"/>
      <c r="AD131" s="96"/>
      <c r="AE131" s="90"/>
      <c r="AF131" s="116" t="str">
        <f ca="1">+INDEX($N$101:$N$147,MATCH(AH131,$J$101:$J$147,0))</f>
        <v>W90</v>
      </c>
      <c r="AG131" s="320">
        <f ca="1">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149999999999999"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W93</v>
      </c>
      <c r="N132" s="16" t="str">
        <f t="shared" ca="1" si="282"/>
        <v>W94</v>
      </c>
      <c r="O132" s="16"/>
      <c r="P132" s="16"/>
      <c r="Q132" s="16"/>
      <c r="R132" s="16"/>
      <c r="S132" s="16"/>
      <c r="T132" s="16"/>
      <c r="U132" s="16"/>
      <c r="V132" s="17"/>
      <c r="W132" s="627"/>
      <c r="X132" s="24">
        <f ca="1">Horarios!C132</f>
        <v>46213.625</v>
      </c>
      <c r="Y132" s="25">
        <f ca="1">Horarios!C132</f>
        <v>46213.625</v>
      </c>
      <c r="Z132" s="276">
        <f>AH132</f>
        <v>98</v>
      </c>
      <c r="AA132" s="88" t="str">
        <f ca="1">+INDEX($M$101:$M$147,MATCH(AH132,$J$101:$J$147,0))</f>
        <v>W93</v>
      </c>
      <c r="AB132" s="89"/>
      <c r="AC132" s="99"/>
      <c r="AD132" s="99"/>
      <c r="AE132" s="89"/>
      <c r="AF132" s="116" t="str">
        <f ca="1">+INDEX($N$101:$N$147,MATCH(AH132,$J$101:$J$147,0))</f>
        <v>W94</v>
      </c>
      <c r="AG132" s="320">
        <f ca="1">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149999999999999"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W91</v>
      </c>
      <c r="N133" s="16" t="str">
        <f t="shared" ca="1" si="282"/>
        <v>W92</v>
      </c>
      <c r="O133" s="16"/>
      <c r="P133" s="16"/>
      <c r="Q133" s="16"/>
      <c r="R133" s="16"/>
      <c r="S133" s="16"/>
      <c r="T133" s="16"/>
      <c r="U133" s="16"/>
      <c r="V133" s="17"/>
      <c r="W133" s="627"/>
      <c r="X133" s="24">
        <f ca="1">Horarios!C133</f>
        <v>46214.708333333343</v>
      </c>
      <c r="Y133" s="25">
        <f ca="1">Horarios!C133</f>
        <v>46214.708333333343</v>
      </c>
      <c r="Z133" s="276">
        <f>AH133</f>
        <v>99</v>
      </c>
      <c r="AA133" s="88" t="str">
        <f ca="1">+INDEX($M$101:$M$147,MATCH(AH133,$J$101:$J$147,0))</f>
        <v>W91</v>
      </c>
      <c r="AB133" s="89"/>
      <c r="AC133" s="99"/>
      <c r="AD133" s="99"/>
      <c r="AE133" s="89"/>
      <c r="AF133" s="116" t="str">
        <f ca="1">+INDEX($N$101:$N$147,MATCH(AH133,$J$101:$J$147,0))</f>
        <v>W92</v>
      </c>
      <c r="AG133" s="320">
        <f ca="1">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149999999999999"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ca="1" si="282"/>
        <v>W95</v>
      </c>
      <c r="N134" s="16" t="str">
        <f t="shared" ca="1" si="282"/>
        <v>W96</v>
      </c>
      <c r="O134" s="16"/>
      <c r="P134" s="16"/>
      <c r="Q134" s="16"/>
      <c r="R134" s="16"/>
      <c r="S134" s="16"/>
      <c r="T134" s="16"/>
      <c r="U134" s="16"/>
      <c r="V134" s="17"/>
      <c r="W134" s="628"/>
      <c r="X134" s="28">
        <f ca="1">Horarios!C134</f>
        <v>46214.875</v>
      </c>
      <c r="Y134" s="29">
        <f ca="1">Horarios!C134</f>
        <v>46214.875</v>
      </c>
      <c r="Z134" s="277">
        <f>AH134</f>
        <v>100</v>
      </c>
      <c r="AA134" s="93" t="str">
        <f ca="1">+INDEX($M$101:$M$147,MATCH(AH134,$J$101:$J$147,0))</f>
        <v>W95</v>
      </c>
      <c r="AB134" s="94"/>
      <c r="AC134" s="100"/>
      <c r="AD134" s="100"/>
      <c r="AE134" s="94"/>
      <c r="AF134" s="117" t="str">
        <f ca="1">+INDEX($N$101:$N$147,MATCH(AH134,$J$101:$J$147,0))</f>
        <v>W96</v>
      </c>
      <c r="AG134" s="320">
        <f ca="1">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149999999999999"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149999999999999"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149999999999999"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149999999999999"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W101</v>
      </c>
      <c r="E138" s="16">
        <v>97</v>
      </c>
      <c r="F138" s="16">
        <v>98</v>
      </c>
      <c r="G138" s="16"/>
      <c r="H138" s="16" t="str">
        <f ca="1">IF(AND(OR(AC138="",AD138="")),"L101",IF(AC138&gt;AD138,AF138,IF(AC138&lt;AD138,AA138,IF(AND(AC138=AD138,AB138=AE138),"L101",IF(AND(AC138=AD138,OR(AB138="",AE138="")),"L101",IF(AND(AC138=AD138,AB138&gt;AE138),AF138,AA138))))))</f>
        <v>L101</v>
      </c>
      <c r="I138" s="16"/>
      <c r="J138" s="16">
        <v>101</v>
      </c>
      <c r="K138" s="16">
        <v>46217.875</v>
      </c>
      <c r="L138" s="16" t="s">
        <v>213</v>
      </c>
      <c r="M138" s="16" t="str">
        <f ca="1">+INDEX($D$101:$D$147,MATCH(E138,$AH$101:$AH$147,0))</f>
        <v>W97</v>
      </c>
      <c r="N138" s="16" t="str">
        <f ca="1">+INDEX($D$101:$D$147,MATCH(F138,$AH$101:$AH$147,0))</f>
        <v>W98</v>
      </c>
      <c r="O138" s="16"/>
      <c r="P138" s="16"/>
      <c r="Q138" s="16"/>
      <c r="R138" s="16"/>
      <c r="S138" s="16"/>
      <c r="T138" s="16"/>
      <c r="U138" s="16"/>
      <c r="V138" s="17"/>
      <c r="W138" s="632" t="s">
        <v>214</v>
      </c>
      <c r="X138" s="24">
        <f ca="1">Horarios!C138</f>
        <v>46217.625</v>
      </c>
      <c r="Y138" s="25">
        <f ca="1">Horarios!C138</f>
        <v>46217.625</v>
      </c>
      <c r="Z138" s="276">
        <f>AH138</f>
        <v>101</v>
      </c>
      <c r="AA138" s="88" t="str">
        <f ca="1">+INDEX($M$101:$M$147,MATCH(AH138,$J$101:$J$147,0))</f>
        <v>W97</v>
      </c>
      <c r="AB138" s="89"/>
      <c r="AC138" s="101"/>
      <c r="AD138" s="101"/>
      <c r="AE138" s="89"/>
      <c r="AF138" s="116" t="str">
        <f ca="1">+INDEX($N$101:$N$147,MATCH(AH138,$J$101:$J$147,0))</f>
        <v>W98</v>
      </c>
      <c r="AG138" s="320">
        <f ca="1">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149999999999999" customHeight="1" thickBot="1" x14ac:dyDescent="0.25">
      <c r="A139" s="16" t="s">
        <v>215</v>
      </c>
      <c r="B139" s="16" t="s">
        <v>216</v>
      </c>
      <c r="C139" s="16"/>
      <c r="D139" s="16" t="str">
        <f ca="1">IF(AND(OR(AC139="",AD139="")),"W"&amp;AH139,IF(AC139&gt;AD139,AA139,IF(AC139&lt;AD139,AF139,IF(AND(AC139=AD139,AB139=AE139),"W"&amp;AH139,IF(AND(AC139=AD139,OR(AB139="",AE139="")),"W"&amp;AH139,IF(AND(AC139=AD139,AB139&gt;AE139),AA139,AF139))))))</f>
        <v>W102</v>
      </c>
      <c r="E139" s="16">
        <v>99</v>
      </c>
      <c r="F139" s="16">
        <v>100</v>
      </c>
      <c r="G139" s="16"/>
      <c r="H139" s="16" t="str">
        <f ca="1">IF(AND(OR(AC139="",AD139="")),"L102",IF(AC139&gt;AD139,AF139,IF(AC139&lt;AD139,AA139,IF(AND(AC139=AD139,AB139=AE139),"W102",IF(AND(AC139=AD139,OR(AB139="",AE139="")),"L102",IF(AND(AC139=AD139,AB139&gt;AE139),AF139,AA139))))))</f>
        <v>L102</v>
      </c>
      <c r="I139" s="16"/>
      <c r="J139" s="16">
        <v>102</v>
      </c>
      <c r="K139" s="16">
        <v>46218.875</v>
      </c>
      <c r="L139" s="16" t="s">
        <v>217</v>
      </c>
      <c r="M139" s="16" t="str">
        <f ca="1">+INDEX($D$101:$D$147,MATCH(E139,$AH$101:$AH$147,0))</f>
        <v>W99</v>
      </c>
      <c r="N139" s="16" t="str">
        <f ca="1">+INDEX($D$101:$D$147,MATCH(F139,$AH$101:$AH$147,0))</f>
        <v>W100</v>
      </c>
      <c r="O139" s="16"/>
      <c r="P139" s="16"/>
      <c r="Q139" s="16"/>
      <c r="R139" s="16"/>
      <c r="S139" s="16"/>
      <c r="T139" s="16"/>
      <c r="U139" s="16"/>
      <c r="V139" s="17"/>
      <c r="W139" s="633"/>
      <c r="X139" s="123">
        <f ca="1">Horarios!C139</f>
        <v>46218.625</v>
      </c>
      <c r="Y139" s="124">
        <f ca="1">Horarios!C139</f>
        <v>46218.625</v>
      </c>
      <c r="Z139" s="278">
        <f>AH139</f>
        <v>102</v>
      </c>
      <c r="AA139" s="139" t="str">
        <f ca="1">+INDEX($M$101:$M$147,MATCH(AH139,$J$101:$J$147,0))</f>
        <v>W99</v>
      </c>
      <c r="AB139" s="140"/>
      <c r="AC139" s="100"/>
      <c r="AD139" s="100"/>
      <c r="AE139" s="140"/>
      <c r="AF139" s="141" t="str">
        <f ca="1">+INDEX($N$101:$N$147,MATCH(AH139,$J$101:$J$147,0))</f>
        <v>W100</v>
      </c>
      <c r="AG139" s="320">
        <f ca="1">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149999999999999"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149999999999999"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149999999999999"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149999999999999" customHeight="1" thickBot="1" x14ac:dyDescent="0.25">
      <c r="A143" s="16" t="s">
        <v>218</v>
      </c>
      <c r="B143" s="16" t="s">
        <v>219</v>
      </c>
      <c r="C143" s="16"/>
      <c r="D143" s="16" t="str">
        <f ca="1">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 ca="1">+INDEX($D$101:$D$147,MATCH(E143,$AH$101:$AH$147,0))</f>
        <v>W101</v>
      </c>
      <c r="N143" s="16" t="str">
        <f ca="1">+INDEX($D$101:$D$147,MATCH(F143,$AH$101:$AH$147,0))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L101</v>
      </c>
      <c r="AB143" s="216"/>
      <c r="AC143" s="105"/>
      <c r="AD143" s="105"/>
      <c r="AE143" s="216"/>
      <c r="AF143" s="106" t="str">
        <f ca="1">IF(AND(OR(AC139="",AD139="")),"L102",IF(AC139&gt;AD139,AF139,IF(AC139&lt;AD139,AA139,IF(AND(AC139=AD139,AB139=AE139),"L102",IF(AND(AC139=AD139,OR(AB139="",AE139="")),"L102",IF(AND(AC139=AD139,AB139&gt;AE139),AF139,AA139))))))</f>
        <v>L102</v>
      </c>
      <c r="AG143" s="320">
        <f ca="1">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149999999999999"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149999999999999"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149999999999999"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149999999999999" customHeight="1" thickBot="1" x14ac:dyDescent="0.25">
      <c r="A147" s="16" t="s">
        <v>222</v>
      </c>
      <c r="B147" s="16" t="s">
        <v>223</v>
      </c>
      <c r="C147" s="16"/>
      <c r="D147" s="16" t="str">
        <f ca="1">IF(AND(OR(AC147="",AD147="")),"W"&amp;AH147,IF(AC147&gt;AD147,AA147,IF(AC147&lt;AD147,AF147,IF(AND(AC147=AD147,AB147=AE147),"W"&amp;AH147,IF(AND(AC147=AD147,OR(AB147="",AE147="")),"W"&amp;AH147,IF(AND(AC147=AD147,AB147&gt;AE147),AA147,AF147))))))</f>
        <v>W104</v>
      </c>
      <c r="E147" s="16">
        <v>101</v>
      </c>
      <c r="F147" s="16">
        <v>102</v>
      </c>
      <c r="G147" s="16"/>
      <c r="H147" s="16" t="str">
        <f ca="1">IF(AND(OR(AC147="",AD147="")),"LF",IF(AC147&gt;AD147,AF147,IF(AC147&lt;AD147,AA147,IF(AND(AC147=AD147,AB147=AE147),"LF",IF(AND(AC147=AD147,OR(AB147="",AE147="")),"LF",IF(AND(AC147=AD147,AB147&gt;AE147),AF147,AA147))))))</f>
        <v>LF</v>
      </c>
      <c r="I147" s="16"/>
      <c r="J147" s="16">
        <v>104</v>
      </c>
      <c r="K147" s="16">
        <v>46222.875</v>
      </c>
      <c r="L147" s="16" t="s">
        <v>224</v>
      </c>
      <c r="M147" s="16" t="str">
        <f ca="1">+INDEX($D$101:$D$147,MATCH(E147,$AH$101:$AH$147,0))</f>
        <v>W101</v>
      </c>
      <c r="N147" s="16" t="str">
        <f ca="1">+INDEX($D$101:$D$147,MATCH(F147,$AH$101:$AH$147,0))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W101</v>
      </c>
      <c r="AB147" s="216"/>
      <c r="AC147" s="105"/>
      <c r="AD147" s="105"/>
      <c r="AE147" s="216"/>
      <c r="AF147" s="106" t="str">
        <f ca="1">IF(AND(OR(AC139="",AD139="")),"W"&amp;AH139,IF(AC139&gt;AD139,AA139,IF(AC139&lt;AD139,AF139,IF(AND(AC139=AD139,AB139=AE139),"W"&amp;AH139,IF(AND(AC139=AD139,OR(AB139="",AE139="")),"W"&amp;AH139,IF(AND(AC139=AD139,AB139&gt;AE139),AA139,AF139))))))</f>
        <v>W102</v>
      </c>
      <c r="AG147" s="320">
        <f ca="1">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149999999999999"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149999999999999"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149999999999999"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WF</v>
      </c>
      <c r="AB150" s="132"/>
      <c r="AC150" s="132"/>
      <c r="AD150" s="132"/>
      <c r="AE150" s="132"/>
      <c r="AF150" s="133"/>
      <c r="AG150" s="320">
        <f ca="1">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149999999999999"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LF</v>
      </c>
      <c r="AB151" s="111"/>
      <c r="AC151" s="111"/>
      <c r="AD151" s="111"/>
      <c r="AE151" s="111"/>
      <c r="AF151" s="107"/>
      <c r="AG151" s="320">
        <f ca="1">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149999999999999"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W34</v>
      </c>
      <c r="AB152" s="110"/>
      <c r="AC152" s="110"/>
      <c r="AD152" s="110"/>
      <c r="AE152" s="110"/>
      <c r="AF152" s="103"/>
      <c r="AG152" s="320">
        <f ca="1">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149999999999999"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149999999999999"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149999999999999"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149999999999999"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149999999999999"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149999999999999"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149999999999999"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149999999999999"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19.899999999999999"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1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1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149999999999999"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149999999999999"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defaultColWidth="0" defaultRowHeight="15" x14ac:dyDescent="0.2"/>
  <cols>
    <col min="1" max="1" width="10.76171875" style="13" customWidth="1"/>
    <col min="2" max="2" width="29.45703125" customWidth="1"/>
    <col min="3" max="3" width="34.97265625" customWidth="1"/>
    <col min="4" max="4" width="12.64453125" style="224" customWidth="1"/>
    <col min="5" max="8" width="10.76171875" style="224" customWidth="1"/>
    <col min="9" max="9" width="3.09375" style="224" customWidth="1"/>
    <col min="10" max="12" width="10.76171875" style="224" customWidth="1"/>
    <col min="13" max="13" width="3.62890625" style="224" customWidth="1"/>
    <col min="14" max="14" width="4.70703125" style="224" customWidth="1"/>
    <col min="15" max="15" width="4.03515625" customWidth="1"/>
    <col min="16" max="16" width="4.83984375" customWidth="1"/>
    <col min="17" max="19" width="10.76171875" style="1" hidden="1" customWidth="1"/>
    <col min="20" max="16384" width="10.76171875" style="1" hidden="1"/>
  </cols>
  <sheetData>
    <row r="1" spans="1:14" ht="19.899999999999999"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19.899999999999999" customHeight="1" thickBot="1" x14ac:dyDescent="0.3">
      <c r="A2" s="284"/>
      <c r="B2" s="285"/>
      <c r="C2" s="285"/>
      <c r="D2" s="360"/>
      <c r="E2" s="620"/>
      <c r="F2" s="620"/>
      <c r="G2" s="620"/>
      <c r="H2" s="620"/>
      <c r="I2" s="620"/>
      <c r="J2" s="620"/>
      <c r="K2" s="620"/>
      <c r="L2" s="620"/>
      <c r="M2" s="620"/>
      <c r="N2" s="620"/>
    </row>
    <row r="3" spans="1:14" ht="34.9"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14999999999999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2|0-3</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1|1-0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2|1-2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1|2-1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2|0-3</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2|0-5</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14999999999999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Escocia</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Marruecos</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Turquía</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Paraguay</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Ecuador</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Alemania</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Senegal</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Francia</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Croacia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14999999999999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Senegal</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Turquía</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Paraguay</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Marruecos</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Escocia</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Francia</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Estados Unidos</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Alemania</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Argelia</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53"/>
      <c r="E161" s="363"/>
      <c r="F161" s="363"/>
      <c r="G161" s="363"/>
      <c r="H161" s="363"/>
      <c r="I161" s="373"/>
      <c r="J161" s="374"/>
      <c r="K161" s="363"/>
      <c r="L161" s="363"/>
      <c r="M161" s="375"/>
      <c r="N161" s="368"/>
    </row>
    <row r="162" spans="1:14" ht="19.899999999999999"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2.9"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Ecuador-Marruecos</v>
      </c>
      <c r="C166" s="342" t="str">
        <f ca="1">CONCATENATE(WORLDCUP!AA103,"-",WORLDCUP!AF103,"·",IF(WORLDCUP!AC103&gt;WORLDCUP!AD103,1,IF(WORLDCUP!AC103&lt;WORLDCUP!AD103,2,IF(AND(WORLDCUP!AC103=WORLDCUP!AD103,WORLDCUP!AC103&lt;&gt;"",WORLDCUP!AD103&lt;&gt;""),"X",0))),"|",WORLDCUP!AC103,"-",WORLDCUP!AD103)</f>
        <v>Ecuador-Marruecos·0|-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Costa de Marfil-Francia</v>
      </c>
      <c r="C168" s="342" t="str">
        <f ca="1">CONCATENATE(WORLDCUP!AA105,"-",WORLDCUP!AF105,"·",IF(WORLDCUP!AC105&gt;WORLDCUP!AD105,1,IF(WORLDCUP!AC105&lt;WORLDCUP!AD105,2,IF(AND(WORLDCUP!AC105=WORLDCUP!AD105,WORLDCUP!AC105&lt;&gt;"",WORLDCUP!AD105&lt;&gt;""),"X",0))),"|",WORLDCUP!AC105,"-",WORLDCUP!AD105)</f>
        <v>Costa de Marfil-Francia·0|-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Senegal-Estados Unidos</v>
      </c>
      <c r="C169" s="342" t="str">
        <f ca="1">CONCATENATE(WORLDCUP!AA106,"-",WORLDCUP!AF106,"·",IF(WORLDCUP!AC106&gt;WORLDCUP!AD106,1,IF(WORLDCUP!AC106&lt;WORLDCUP!AD106,2,IF(AND(WORLDCUP!AC106=WORLDCUP!AD106,WORLDCUP!AC106&lt;&gt;"",WORLDCUP!AD106&lt;&gt;""),"X",0))),"|",WORLDCUP!AC106,"-",WORLDCUP!AD106)</f>
        <v>Senegal-Estados Unidos·0|-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México-Alemania</v>
      </c>
      <c r="C170" s="342" t="str">
        <f ca="1">CONCATENATE(WORLDCUP!AA107,"-",WORLDCUP!AF107,"·",IF(WORLDCUP!AC107&gt;WORLDCUP!AD107,1,IF(WORLDCUP!AC107&lt;WORLDCUP!AD107,2,IF(AND(WORLDCUP!AC107=WORLDCUP!AD107,WORLDCUP!AC107&lt;&gt;"",WORLDCUP!AD107&lt;&gt;""),"X",0))),"|",WORLDCUP!AC107,"-",WORLDCUP!AD107)</f>
        <v>México-Alemania·0|-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Turquía-Argelia</v>
      </c>
      <c r="C173" s="342" t="str">
        <f ca="1">CONCATENATE(WORLDCUP!AA110,"-",WORLDCUP!AF110,"·",IF(WORLDCUP!AC110&gt;WORLDCUP!AD110,1,IF(WORLDCUP!AC110&lt;WORLDCUP!AD110,2,IF(AND(WORLDCUP!AC110=WORLDCUP!AD110,WORLDCUP!AC110&lt;&gt;"",WORLDCUP!AD110&lt;&gt;""),"X",0))),"|",WORLDCUP!AC110,"-",WORLDCUP!AD110)</f>
        <v>Turquía-Argelia·0|-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14999999999999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 ca="1">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 ca="1">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 ca="1">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 ca="1">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 ca="1">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 ca="1">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 ca="1">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 ca="1">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 ca="1">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 ca="1">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 ca="1">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 ca="1">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 ca="1">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 ca="1">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 ca="1">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14999999999999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W73-W75</v>
      </c>
      <c r="C200" s="344" t="str">
        <f ca="1">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 ca="1">CONCATENATE(WORLDCUP!AA121,"-",WORLDCUP!AF121)</f>
        <v>W74-W77</v>
      </c>
      <c r="C201" s="344" t="str">
        <f ca="1">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 ca="1">CONCATENATE(WORLDCUP!AA122,"-",WORLDCUP!AF122)</f>
        <v>W76-W78</v>
      </c>
      <c r="C202" s="344" t="str">
        <f ca="1">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 ca="1">CONCATENATE(WORLDCUP!AA123,"-",WORLDCUP!AF123)</f>
        <v>W79-W80</v>
      </c>
      <c r="C203" s="344" t="str">
        <f ca="1">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 ca="1">CONCATENATE(WORLDCUP!AA124,"-",WORLDCUP!AF124)</f>
        <v>W83-W84</v>
      </c>
      <c r="C204" s="344" t="str">
        <f ca="1">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 ca="1">CONCATENATE(WORLDCUP!AA125,"-",WORLDCUP!AF125)</f>
        <v>W81-W82</v>
      </c>
      <c r="C205" s="344" t="str">
        <f ca="1">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 ca="1">CONCATENATE(WORLDCUP!AA126,"-",WORLDCUP!AF126)</f>
        <v>W86-W88</v>
      </c>
      <c r="C206" s="344" t="str">
        <f ca="1">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 ca="1">CONCATENATE(WORLDCUP!AA127,"-",WORLDCUP!AF127)</f>
        <v>W85-W87</v>
      </c>
      <c r="C207" s="344" t="str">
        <f ca="1">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14999999999999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 ca="1">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 ca="1">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 ca="1">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 ca="1">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 ca="1">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 ca="1">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 ca="1">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14999999999999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W89-W90</v>
      </c>
      <c r="C220" s="342" t="str">
        <f ca="1">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 ca="1">CONCATENATE(WORLDCUP!AA132,"-",WORLDCUP!AF132)</f>
        <v>W93-W94</v>
      </c>
      <c r="C221" s="342" t="str">
        <f ca="1">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 ca="1">CONCATENATE(WORLDCUP!AA133,"-",WORLDCUP!AF133)</f>
        <v>W91-W92</v>
      </c>
      <c r="C222" s="342" t="str">
        <f ca="1">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 ca="1">CONCATENATE(WORLDCUP!AA134,"-",WORLDCUP!AF134)</f>
        <v>W95-W96</v>
      </c>
      <c r="C223" s="342" t="str">
        <f ca="1">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14999999999999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 ca="1">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 ca="1">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 ca="1">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 ca="1">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14999999999999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 ca="1">CONCATENATE(WORLDCUP!AA138,"-",WORLDCUP!AF138)</f>
        <v>W97-W98</v>
      </c>
      <c r="C232" s="344" t="str">
        <f ca="1">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 ca="1">CONCATENATE(WORLDCUP!AA139,"-",WORLDCUP!AF139)</f>
        <v>W99-W100</v>
      </c>
      <c r="C233" s="344" t="str">
        <f ca="1">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14999999999999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 ca="1">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 ca="1">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14999999999999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 ca="1">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 ca="1">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14999999999999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L101-L102</v>
      </c>
      <c r="C244" s="342" t="str">
        <f ca="1">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 ca="1">CONCATENATE(WORLDCUP!AA147,"-",WORLDCUP!AF147)</f>
        <v>W101-W102</v>
      </c>
      <c r="C247" s="344" t="str">
        <f ca="1">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14999999999999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 ca="1">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 ca="1">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 ca="1">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defaultColWidth="0" defaultRowHeight="15" x14ac:dyDescent="0.2"/>
  <cols>
    <col min="1" max="1" width="3.359375" style="186" customWidth="1"/>
    <col min="2" max="2" width="2.6875" style="9" customWidth="1"/>
    <col min="3" max="3" width="5.6484375" style="3" bestFit="1" customWidth="1"/>
    <col min="4" max="5" width="3.359375" style="3" customWidth="1"/>
    <col min="6" max="6" width="6.05078125" style="3" customWidth="1"/>
    <col min="7" max="7" width="2.41796875" style="3" bestFit="1" customWidth="1"/>
    <col min="8" max="9" width="3.765625" style="3" customWidth="1"/>
    <col min="10" max="10" width="4.4375" style="3" customWidth="1"/>
    <col min="11" max="11" width="5.37890625" style="3" customWidth="1"/>
    <col min="12" max="12" width="3.359375" style="3" hidden="1" customWidth="1"/>
    <col min="13" max="13" width="1.61328125" style="186" customWidth="1"/>
    <col min="14" max="14" width="2.6875" style="9" customWidth="1"/>
    <col min="15" max="15" width="4.3046875" style="3" bestFit="1" customWidth="1"/>
    <col min="16" max="17" width="3.359375" style="3" customWidth="1"/>
    <col min="18" max="18" width="5.109375" style="3" bestFit="1" customWidth="1"/>
    <col min="19" max="19" width="2.41796875" style="3" bestFit="1" customWidth="1"/>
    <col min="20" max="20" width="4.3046875" style="3" bestFit="1" customWidth="1"/>
    <col min="21" max="22" width="3.62890625" style="3" customWidth="1"/>
    <col min="23" max="23" width="4.83984375" style="3" customWidth="1"/>
    <col min="24" max="24" width="4.3046875" style="186" hidden="1" customWidth="1"/>
    <col min="25" max="25" width="2.82421875" style="9" customWidth="1"/>
    <col min="26" max="26" width="7.3984375" style="9" bestFit="1" customWidth="1"/>
    <col min="27" max="27" width="9.81640625" style="3" customWidth="1"/>
    <col min="28" max="29" width="4.3046875" style="3" customWidth="1"/>
    <col min="30" max="30" width="2.82421875" style="9" customWidth="1"/>
    <col min="31" max="31" width="9.81640625" style="3" customWidth="1"/>
    <col min="32" max="33" width="4.3046875" style="3" customWidth="1"/>
    <col min="34" max="34" width="2.82421875" style="9" customWidth="1"/>
    <col min="35" max="35" width="9.81640625" style="3" customWidth="1"/>
    <col min="36" max="37" width="4.3046875" style="3" customWidth="1"/>
    <col min="38" max="38" width="2.82421875" style="9" customWidth="1"/>
    <col min="39" max="39" width="9.81640625" style="3" customWidth="1"/>
    <col min="40" max="41" width="4.3046875" style="3" customWidth="1"/>
    <col min="42" max="42" width="2.82421875" style="9" customWidth="1"/>
    <col min="43" max="43" width="9.81640625" style="3" customWidth="1"/>
    <col min="44" max="45" width="4.3046875" style="3" customWidth="1"/>
    <col min="46" max="46" width="2.82421875" style="9" customWidth="1"/>
    <col min="47" max="47" width="9.81640625" style="3" customWidth="1"/>
    <col min="48" max="49" width="4.3046875" style="3" customWidth="1"/>
    <col min="50" max="50" width="4.03515625" style="3" bestFit="1" customWidth="1"/>
    <col min="51" max="51" width="3.359375" style="3" customWidth="1"/>
    <col min="52" max="54" width="7.80078125" style="3" customWidth="1"/>
    <col min="55" max="55" width="3.359375" style="3" customWidth="1"/>
    <col min="56" max="58" width="2.41796875" style="3" bestFit="1" customWidth="1"/>
    <col min="59" max="59" width="20.71484375" style="3" customWidth="1"/>
    <col min="60" max="67" width="4.83984375" style="3" customWidth="1"/>
    <col min="68" max="69" width="10.76171875" style="3" customWidth="1"/>
    <col min="70" max="72" width="10.76171875" style="3" hidden="1" customWidth="1"/>
    <col min="73" max="16384" width="10.76171875" style="3" hidden="1"/>
  </cols>
  <sheetData>
    <row r="1" spans="1:67" ht="7.9"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15"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149999999999999"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149999999999999"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1</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 ca="1">+MID(INDEX(WORLDCUP!$AA$101:$AA$147,MATCH(AD4,WORLDCUP!$Z$101:$Z$147,0)),1,3)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2</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 ca="1">+MID(INDEX(WORLDCUP!$AF$101:$AF$147,MATCH(AD5,WORLDCUP!$Z$101:$Z$147,0)),1,3)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149999999999999"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2-4</v>
      </c>
      <c r="X6" s="181" t="s">
        <v>99</v>
      </c>
      <c r="Y6" s="181">
        <v>77</v>
      </c>
      <c r="Z6" s="413" t="s">
        <v>106</v>
      </c>
      <c r="AA6" s="414" t="str">
        <f ca="1">+MID(INDEX(WORLDCUP!$AA$101:$AA$147,MATCH(Y6,WORLDCUP!$Z$101:$Z$147,0)),1,3)</f>
        <v>Sen</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149999999999999"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Rep</v>
      </c>
      <c r="I7" s="465">
        <f ca="1">+INDEX(WORLDCUP!$AM$6:$AM$97,MATCH(L7,WORLDCUP!$AI$6:$AI$97,0))</f>
        <v>2</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-5</v>
      </c>
      <c r="W7" s="467" t="str">
        <f ca="1">+INDEX(WORLDCUP!$AR$6:$AR$97,MATCH(X7,WORLDCUP!$AI$6:$AI$97,0))&amp;"-"&amp;INDEX(WORLDCUP!$AS$6:$AS$97,MATCH(X7,WORLDCUP!$AI$6:$AI$97,0))</f>
        <v>0-5</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149999999999999"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149999999999999"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149999999999999"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 ca="1">+MID(INDEX(WORLDCUP!$AA$101:$AA$147,MATCH(AD10,WORLDCUP!$Z$101:$Z$147,0)),1,3)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149999999999999"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149999999999999"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4-1</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 ca="1">+MID(INDEX(WORLDCUP!$AA$101:$AA$147,MATCH(AL13,WORLDCUP!$Z$101:$Z$147,0)),1,3)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1-3</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149999999999999"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-5</v>
      </c>
      <c r="W15" s="467" t="str">
        <f ca="1">+INDEX(WORLDCUP!$AR$6:$AR$97,MATCH(X15,WORLDCUP!$AI$6:$AI$97,0))&amp;"-"&amp;INDEX(WORLDCUP!$AS$6:$AS$97,MATCH(X15,WORLDCUP!$AI$6:$AI$97,0))</f>
        <v>0-5</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149999999999999"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 ca="1">+MID(INDEX(WORLDCUP!$AA$101:$AA$147,MATCH(AD16,WORLDCUP!$Z$101:$Z$147,0)),1,3)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149999999999999"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149999999999999"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9-2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Sen</v>
      </c>
      <c r="U20" s="437">
        <f ca="1">+INDEX(WORLDCUP!$AM$6:$AM$97,MATCH(X20,WORLDCUP!$AI$6:$AI$97,0))</f>
        <v>9</v>
      </c>
      <c r="V20" s="438">
        <f ca="1">+INDEX(WORLDCUP!$AT$6:$AT$97,MATCH(X20,WORLDCUP!$AI$6:$AI$97,0))</f>
        <v>4</v>
      </c>
      <c r="W20" s="439" t="str">
        <f ca="1">+INDEX(WORLDCUP!$AR$6:$AR$97,MATCH(X20,WORLDCUP!$AI$6:$AI$97,0))&amp;"-"&amp;INDEX(WORLDCUP!$AS$6:$AS$97,MATCH(X20,WORLDCUP!$AI$6:$AI$97,0))</f>
        <v>6-2</v>
      </c>
      <c r="X20" s="181" t="s">
        <v>106</v>
      </c>
      <c r="Y20" s="181"/>
      <c r="Z20" s="413"/>
      <c r="AA20" s="482"/>
      <c r="AB20" s="482"/>
      <c r="AC20" s="482"/>
      <c r="AD20" s="181"/>
      <c r="AE20" s="417"/>
      <c r="AF20" s="417"/>
      <c r="AG20" s="463"/>
      <c r="AH20" s="181">
        <v>98</v>
      </c>
      <c r="AI20" s="471" t="str">
        <f ca="1">+MID(INDEX(WORLDCUP!$AF$101:$AF$147,MATCH(AH20,WORLDCUP!$Z$101:$Z$147,0)),1,3)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149999999999999"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Fra</v>
      </c>
      <c r="U21" s="38">
        <f ca="1">+INDEX(WORLDCUP!$AM$6:$AM$97,MATCH(X21,WORLDCUP!$AI$6:$AI$97,0))</f>
        <v>6</v>
      </c>
      <c r="V21" s="39">
        <f ca="1">+INDEX(WORLDCUP!$AT$6:$AT$97,MATCH(X21,WORLDCUP!$AI$6:$AI$97,0))</f>
        <v>3</v>
      </c>
      <c r="W21" s="43" t="str">
        <f ca="1">+INDEX(WORLDCUP!$AR$6:$AR$97,MATCH(X21,WORLDCUP!$AI$6:$AI$97,0))&amp;"-"&amp;INDEX(WORLDCUP!$AS$6:$AS$97,MATCH(X21,WORLDCUP!$AI$6:$AI$97,0))</f>
        <v>7-4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 ca="1">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149999999999999"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 ca="1">+MID(INDEX(WORLDCUP!$AA$101:$AA$147,MATCH(AD22,WORLDCUP!$Z$101:$Z$147,0)),1,3)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0-8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 ca="1">+MID(INDEX(WORLDCUP!$AF$101:$AF$147,MATCH(AD23,WORLDCUP!$Z$101:$Z$147,0)),1,3)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 ca="1">+WORLDCUP!AA151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149999999999999"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149999999999999"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 ca="1">+WORLDCUP!AA152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149999999999999"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 ca="1">+MID(INDEX(WORLDCUP!$AF$101:$AF$147,MATCH(AT26,WORLDCUP!$Z$101:$Z$147,0)),1,4)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149999999999999"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149999999999999"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7</v>
      </c>
      <c r="J28" s="438">
        <f ca="1">+INDEX(WORLDCUP!$AT$6:$AT$97,MATCH(L28,WORLDCUP!$AI$6:$AI$97,0))</f>
        <v>2</v>
      </c>
      <c r="K28" s="439" t="str">
        <f ca="1">+INDEX(WORLDCUP!$AR$6:$AR$97,MATCH(L28,WORLDCUP!$AI$6:$AI$97,0))&amp;"-"&amp;INDEX(WORLDCUP!$AS$6:$AS$97,MATCH(L28,WORLDCUP!$AI$6:$AI$97,0))</f>
        <v>6-4</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 ca="1">+MID(INDEX(WORLDCUP!$AA$101:$AA$147,MATCH(AD28,WORLDCUP!$Z$101:$Z$147,0)),1,3)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6</v>
      </c>
      <c r="J29" s="39">
        <f ca="1">+INDEX(WORLDCUP!$AT$6:$AT$97,MATCH(L29,WORLDCUP!$AI$6:$AI$97,0))</f>
        <v>2</v>
      </c>
      <c r="K29" s="43" t="str">
        <f ca="1">+INDEX(WORLDCUP!$AR$6:$AR$97,MATCH(L29,WORLDCUP!$AI$6:$AI$97,0))&amp;"-"&amp;INDEX(WORLDCUP!$AS$6:$AS$97,MATCH(L29,WORLDCUP!$AI$6:$AI$97,0))</f>
        <v>5-3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 ca="1">+MID(INDEX(WORLDCUP!$AF$101:$AF$147,MATCH(AD29,WORLDCUP!$Z$101:$Z$147,0)),1,3)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149999999999999"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3-5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149999999999999"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2-6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Fra</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149999999999999"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 ca="1">+MID(INDEX(WORLDCUP!$AF$101:$AF$147,MATCH(AP32,WORLDCUP!$Z$101:$Z$147,0)),1,4)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149999999999999"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149999999999999"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Ale</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 ca="1">+MID(INDEX(WORLDCUP!$AA$101:$AA$147,MATCH(AD34,WORLDCUP!$Z$101:$Z$147,0)),1,3)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149999999999999"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5-2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8-1</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149999999999999"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3</v>
      </c>
      <c r="K37" s="43" t="str">
        <f ca="1">+INDEX(WORLDCUP!$AR$6:$AR$97,MATCH(L37,WORLDCUP!$AI$6:$AI$97,0))&amp;"-"&amp;INDEX(WORLDCUP!$AS$6:$AS$97,MATCH(L37,WORLDCUP!$AI$6:$AI$97,0))</f>
        <v>5-2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Ale</v>
      </c>
      <c r="I38" s="38">
        <f ca="1">+INDEX(WORLDCUP!$AM$6:$AM$97,MATCH(L38,WORLDCUP!$AI$6:$AI$97,0))</f>
        <v>4</v>
      </c>
      <c r="J38" s="39">
        <f ca="1">+INDEX(WORLDCUP!$AT$6:$AT$97,MATCH(L38,WORLDCUP!$AI$6:$AI$97,0))</f>
        <v>4</v>
      </c>
      <c r="K38" s="43" t="str">
        <f ca="1">+INDEX(WORLDCUP!$AR$6:$AR$97,MATCH(L38,WORLDCUP!$AI$6:$AI$97,0))&amp;"-"&amp;INDEX(WORLDCUP!$AS$6:$AS$97,MATCH(L38,WORLDCUP!$AI$6:$AI$97,0))</f>
        <v>7-3</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2-4</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149999999999999"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149999999999999"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 ca="1">+MID(INDEX(WORLDCUP!$AA$101:$AA$147,MATCH(AD40,WORLDCUP!$Z$101:$Z$147,0)),1,3)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149999999999999"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149999999999999"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 ca="1">+MID(INDEX(WORLDCUP!$AA$101:$AA$147,MATCH(AH43,WORLDCUP!$Z$101:$Z$147,0)),1,3)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7-2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149999999999999"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7</v>
      </c>
      <c r="W45" s="43" t="str">
        <f ca="1">+INDEX(WORLDCUP!$AR$6:$AR$97,MATCH(X45,WORLDCUP!$AI$6:$AI$97,0))&amp;"-"&amp;INDEX(WORLDCUP!$AS$6:$AS$97,MATCH(X45,WORLDCUP!$AI$6:$AI$97,0))</f>
        <v>9-2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149999999999999"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3-6</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 ca="1">+MID(INDEX(WORLDCUP!$AA$101:$AA$147,MATCH(AD46,WORLDCUP!$Z$101:$Z$147,0)),1,3)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-5</v>
      </c>
      <c r="K47" s="467" t="str">
        <f ca="1">+INDEX(WORLDCUP!$AR$6:$AR$97,MATCH(L47,WORLDCUP!$AI$6:$AI$97,0))&amp;"-"&amp;INDEX(WORLDCUP!$AS$6:$AS$97,MATCH(L47,WORLDCUP!$AI$6:$AI$97,0))</f>
        <v>1-6</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5</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1-9</v>
      </c>
      <c r="X47" s="181" t="s">
        <v>123</v>
      </c>
      <c r="Y47" s="181"/>
      <c r="Z47" s="413"/>
      <c r="AA47" s="457"/>
      <c r="AB47" s="457"/>
      <c r="AC47" s="458"/>
      <c r="AD47" s="181">
        <v>96</v>
      </c>
      <c r="AE47" s="444" t="str">
        <f ca="1">+MID(INDEX(WORLDCUP!$AF$101:$AF$147,MATCH(AD47,WORLDCUP!$Z$101:$Z$147,0)),1,3)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149999999999999"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defaultColWidth="10.76171875" defaultRowHeight="15" x14ac:dyDescent="0.2"/>
  <cols>
    <col min="1" max="3" width="10.76171875" style="16" customWidth="1"/>
    <col min="4" max="4" width="17.3515625" style="16" bestFit="1" customWidth="1"/>
    <col min="5" max="6" width="10.76171875" style="16" customWidth="1"/>
    <col min="7" max="7" width="17.3515625" style="16" bestFit="1" customWidth="1"/>
    <col min="8" max="8" width="13.046875" style="16" customWidth="1"/>
    <col min="9" max="9" width="10.76171875" style="16" customWidth="1"/>
    <col min="10" max="10" width="13.046875" style="16" bestFit="1" customWidth="1"/>
    <col min="11" max="12" width="12.375" style="16" bestFit="1" customWidth="1"/>
    <col min="13" max="15" width="10.76171875" style="16" customWidth="1"/>
    <col min="16" max="16384" width="10.7617187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defaultColWidth="10.76171875" defaultRowHeight="15" x14ac:dyDescent="0.2"/>
  <cols>
    <col min="1" max="1" width="9.4140625" style="16" bestFit="1" customWidth="1"/>
    <col min="2" max="2" width="6.05078125" style="16" bestFit="1" customWidth="1"/>
    <col min="3" max="13" width="10.76171875" style="16" customWidth="1"/>
    <col min="14" max="14" width="9.4140625" style="16" bestFit="1" customWidth="1"/>
    <col min="15" max="15" width="6.45703125" style="16" bestFit="1" customWidth="1"/>
    <col min="16" max="18" width="10.76171875" style="16" customWidth="1"/>
    <col min="19" max="16384" width="10.7617187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Alemania</v>
      </c>
      <c r="D2" s="9" t="str">
        <f ca="1">+WORLDCUP!BD67</f>
        <v>Argelia</v>
      </c>
      <c r="E2" s="9" t="str">
        <f ca="1">+WORLDCUP!BD66</f>
        <v>Noruega</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Alemania</v>
      </c>
      <c r="D4" s="9" t="str">
        <f ca="1">+WORLDCUP!BD67</f>
        <v>Argelia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Alemania</v>
      </c>
      <c r="D5" s="9" t="str">
        <f ca="1">+WORLDCUP!BD67</f>
        <v>Argelia</v>
      </c>
      <c r="E5" s="9" t="str">
        <f ca="1">+WORLDCUP!BD66</f>
        <v>Noruega</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Alemania</v>
      </c>
      <c r="D6" s="9" t="str">
        <f ca="1">+WORLDCUP!BD64</f>
        <v>Irán</v>
      </c>
      <c r="E6" s="9" t="str">
        <f ca="1">+WORLDCUP!BD66</f>
        <v>Noruega</v>
      </c>
      <c r="F6" s="9" t="str">
        <f ca="1">+WORLDCUP!BD61</f>
        <v>Estados Unidos</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Alemania</v>
      </c>
      <c r="D7" s="9" t="str">
        <f ca="1">+WORLDCUP!BD64</f>
        <v>Irán</v>
      </c>
      <c r="E7" s="9" t="str">
        <f ca="1">+WORLDCUP!BD67</f>
        <v>Argelia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Alemania</v>
      </c>
      <c r="D8" s="9" t="str">
        <f ca="1">+WORLDCUP!BD64</f>
        <v>Irán</v>
      </c>
      <c r="E8" s="9" t="str">
        <f ca="1">+WORLDCUP!BD66</f>
        <v>Noruega</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Alemania</v>
      </c>
      <c r="D9" s="9" t="str">
        <f ca="1">+WORLDCUP!BD64</f>
        <v>Irán</v>
      </c>
      <c r="E9" s="9" t="str">
        <f ca="1">+WORLDCUP!BD67</f>
        <v>Argelia</v>
      </c>
      <c r="F9" s="9" t="str">
        <f ca="1">+WORLDCUP!BD61</f>
        <v>Estados Unidos</v>
      </c>
      <c r="G9" s="9" t="str">
        <f ca="1">+WORLDCUP!BD65</f>
        <v>Arabia Saudita</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Alemania</v>
      </c>
      <c r="D10" s="9" t="str">
        <f ca="1">+WORLDCUP!BD64</f>
        <v>Irán</v>
      </c>
      <c r="E10" s="9" t="str">
        <f ca="1">+WORLDCUP!BD67</f>
        <v>Argelia</v>
      </c>
      <c r="F10" s="9" t="str">
        <f ca="1">+WORLDCUP!BD61</f>
        <v>Estados Unidos</v>
      </c>
      <c r="G10" s="9" t="str">
        <f ca="1">+WORLDCUP!BD65</f>
        <v>Arabia Saudita</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Marruecos</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Alemania</v>
      </c>
      <c r="D12" s="9" t="str">
        <f ca="1">+WORLDCUP!BD67</f>
        <v>Argelia</v>
      </c>
      <c r="E12" s="9" t="str">
        <f ca="1">+WORLDCUP!BD66</f>
        <v>Noruega</v>
      </c>
      <c r="F12" s="9" t="str">
        <f ca="1">+WORLDCUP!BD60</f>
        <v>Marruecos</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Alemania</v>
      </c>
      <c r="D13" s="9" t="str">
        <f ca="1">+WORLDCUP!BD67</f>
        <v>Argelia</v>
      </c>
      <c r="E13" s="9" t="str">
        <f ca="1">+WORLDCUP!BD66</f>
        <v>Noruega</v>
      </c>
      <c r="F13" s="9" t="str">
        <f ca="1">+WORLDCUP!BD60</f>
        <v>Marruecos</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Alemania</v>
      </c>
      <c r="D14" s="9" t="str">
        <f ca="1">+WORLDCUP!BD64</f>
        <v>Irán</v>
      </c>
      <c r="E14" s="9" t="str">
        <f ca="1">+WORLDCUP!BD66</f>
        <v>Noruega</v>
      </c>
      <c r="F14" s="9" t="str">
        <f ca="1">+WORLDCUP!BD60</f>
        <v>Marruecos</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Alemania</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Alemania</v>
      </c>
      <c r="D16" s="9" t="str">
        <f ca="1">+WORLDCUP!BD64</f>
        <v>Irán</v>
      </c>
      <c r="E16" s="9" t="str">
        <f ca="1">+WORLDCUP!BD66</f>
        <v>Noruega</v>
      </c>
      <c r="F16" s="9" t="str">
        <f ca="1">+WORLDCUP!BD60</f>
        <v>Marruecos</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Alemania</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Alemania</v>
      </c>
      <c r="D18" s="9" t="str">
        <f ca="1">+WORLDCUP!BD64</f>
        <v>Irán</v>
      </c>
      <c r="E18" s="9" t="str">
        <f ca="1">+WORLDCUP!BD67</f>
        <v>Argelia</v>
      </c>
      <c r="F18" s="9" t="str">
        <f ca="1">+WORLDCUP!BD60</f>
        <v>Marruecos</v>
      </c>
      <c r="G18" s="9" t="str">
        <f ca="1">+WORLDCUP!BD65</f>
        <v>Arabia Saudita</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Marruecos</v>
      </c>
      <c r="G19" s="9" t="str">
        <f ca="1">+WORLDCUP!BD67</f>
        <v>Argelia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Noruega</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Noruega</v>
      </c>
      <c r="F21" s="9" t="str">
        <f ca="1">+WORLDCUP!BD61</f>
        <v>Estados Unidos</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Noruega</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Estados Unidos</v>
      </c>
      <c r="G24" s="9" t="str">
        <f ca="1">+WORLDCUP!BD65</f>
        <v>Arabia Saudita</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Estados Unidos</v>
      </c>
      <c r="G25" s="9" t="str">
        <f ca="1">+WORLDCUP!BD65</f>
        <v>Arabia Saudita</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Alemania</v>
      </c>
      <c r="D26" s="9" t="str">
        <f ca="1">+WORLDCUP!BD67</f>
        <v>Argelia</v>
      </c>
      <c r="E26" s="9" t="str">
        <f ca="1">+WORLDCUP!BD66</f>
        <v>Noruega</v>
      </c>
      <c r="F26" s="9" t="str">
        <f ca="1">+WORLDCUP!BD60</f>
        <v>Marruecos</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Alemania</v>
      </c>
      <c r="D27" s="9" t="str">
        <f ca="1">+WORLDCUP!BD64</f>
        <v>Irán</v>
      </c>
      <c r="E27" s="9" t="str">
        <f ca="1">+WORLDCUP!BD66</f>
        <v>Noruega</v>
      </c>
      <c r="F27" s="9" t="str">
        <f ca="1">+WORLDCUP!BD60</f>
        <v>Marruecos</v>
      </c>
      <c r="G27" s="9" t="str">
        <f ca="1">+WORLDCUP!BD67</f>
        <v>Argelia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Alemania</v>
      </c>
      <c r="D28" s="9" t="str">
        <f ca="1">+WORLDCUP!BD64</f>
        <v>Irán</v>
      </c>
      <c r="E28" s="9" t="str">
        <f ca="1">+WORLDCUP!BD67</f>
        <v>Argelia</v>
      </c>
      <c r="F28" s="9" t="str">
        <f ca="1">+WORLDCUP!BD60</f>
        <v>Marruecos</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Alemania</v>
      </c>
      <c r="D29" s="9" t="str">
        <f ca="1">+WORLDCUP!BD64</f>
        <v>Irán</v>
      </c>
      <c r="E29" s="9" t="str">
        <f ca="1">+WORLDCUP!BD66</f>
        <v>Noruega</v>
      </c>
      <c r="F29" s="9" t="str">
        <f ca="1">+WORLDCUP!BD60</f>
        <v>Marruecos</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Alemania</v>
      </c>
      <c r="D30" s="9" t="str">
        <f ca="1">+WORLDCUP!BD64</f>
        <v>Irán</v>
      </c>
      <c r="E30" s="9" t="str">
        <f ca="1">+WORLDCUP!BD67</f>
        <v>Argelia</v>
      </c>
      <c r="F30" s="9" t="str">
        <f ca="1">+WORLDCUP!BD60</f>
        <v>Marruecos</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1</v>
      </c>
      <c r="C31" s="9" t="str">
        <f ca="1">+WORLDCUP!BD62</f>
        <v>Alemania</v>
      </c>
      <c r="D31" s="9" t="str">
        <f ca="1">+WORLDCUP!BD64</f>
        <v>Irán</v>
      </c>
      <c r="E31" s="9" t="str">
        <f ca="1">+WORLDCUP!BD67</f>
        <v>Argelia</v>
      </c>
      <c r="F31" s="9" t="str">
        <f ca="1">+WORLDCUP!BD60</f>
        <v>Marruecos</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Alemania</v>
      </c>
      <c r="F32" s="9" t="str">
        <f ca="1">+WORLDCUP!BD61</f>
        <v>Estados Unidos</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Alemania</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Alemania</v>
      </c>
      <c r="E34" s="9" t="str">
        <f ca="1">+WORLDCUP!BD66</f>
        <v>Noruega</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Alemania</v>
      </c>
      <c r="F35" s="9" t="str">
        <f ca="1">+WORLDCUP!BD61</f>
        <v>Estados Unidos</v>
      </c>
      <c r="G35" s="9" t="str">
        <f ca="1">+WORLDCUP!BD65</f>
        <v>Arabia Saudita</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Alemania</v>
      </c>
      <c r="F36" s="9" t="str">
        <f ca="1">+WORLDCUP!BD61</f>
        <v>Estados Unidos</v>
      </c>
      <c r="G36" s="9" t="str">
        <f ca="1">+WORLDCUP!BD65</f>
        <v>Arabia Saudita</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Alemania</v>
      </c>
      <c r="F37" s="9" t="str">
        <f ca="1">+WORLDCUP!BD61</f>
        <v>Estados Unidos</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Alemania</v>
      </c>
      <c r="F38" s="9" t="str">
        <f ca="1">+WORLDCUP!BD61</f>
        <v>Estados Unidos</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Alemania</v>
      </c>
      <c r="F39" s="9" t="str">
        <f ca="1">+WORLDCUP!BD61</f>
        <v>Estados Unidos</v>
      </c>
      <c r="G39" s="9" t="str">
        <f ca="1">+WORLDCUP!BD67</f>
        <v>Argelia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Alemania</v>
      </c>
      <c r="F40" s="9" t="str">
        <f ca="1">+WORLDCUP!BD61</f>
        <v>Estados Unidos</v>
      </c>
      <c r="G40" s="9" t="str">
        <f ca="1">+WORLDCUP!BD67</f>
        <v>Argelia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Alemania</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Estados Unidos</v>
      </c>
      <c r="G42" s="9" t="str">
        <f ca="1">+WORLDCUP!BD65</f>
        <v>Arabia Saudita</v>
      </c>
      <c r="H42" s="9" t="str">
        <f ca="1">+WORLDCUP!BD63</f>
        <v>Suecia</v>
      </c>
      <c r="I42" s="9" t="str">
        <f ca="1">+WORLDCUP!BD69</f>
        <v>Ghana</v>
      </c>
      <c r="J42" s="9" t="str">
        <f ca="1">+WORLDCUP!BD62</f>
        <v>Alemania</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Estados Unidos</v>
      </c>
      <c r="G43" s="9" t="str">
        <f ca="1">+WORLDCUP!BD65</f>
        <v>Arabia Saudita</v>
      </c>
      <c r="H43" s="9" t="str">
        <f ca="1">+WORLDCUP!BD63</f>
        <v>Suecia</v>
      </c>
      <c r="I43" s="9" t="str">
        <f ca="1">+WORLDCUP!BD62</f>
        <v>Alemania</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Alemania</v>
      </c>
      <c r="F44" s="9" t="str">
        <f ca="1">+WORLDCUP!BD61</f>
        <v>Estados Unidos</v>
      </c>
      <c r="G44" s="9" t="str">
        <f ca="1">+WORLDCUP!BD65</f>
        <v>Arabia Saudita</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Alemania</v>
      </c>
      <c r="F45" s="9" t="str">
        <f ca="1">+WORLDCUP!BD61</f>
        <v>Estados Unidos</v>
      </c>
      <c r="G45" s="9" t="str">
        <f ca="1">+WORLDCUP!BD65</f>
        <v>Arabia Saudita</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Estados Unidos</v>
      </c>
      <c r="G46" s="9" t="str">
        <f ca="1">+WORLDCUP!BD65</f>
        <v>Arabia Saudita</v>
      </c>
      <c r="H46" s="9" t="str">
        <f ca="1">+WORLDCUP!BD63</f>
        <v>Suecia</v>
      </c>
      <c r="I46" s="9" t="str">
        <f ca="1">+WORLDCUP!BD62</f>
        <v>Alemania</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Alemania</v>
      </c>
      <c r="D48" s="9" t="str">
        <f ca="1">+WORLDCUP!BD67</f>
        <v>Argelia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Alemania</v>
      </c>
      <c r="D49" s="9" t="str">
        <f ca="1">+WORLDCUP!BD67</f>
        <v>Argelia</v>
      </c>
      <c r="E49" s="9" t="str">
        <f ca="1">+WORLDCUP!BD59</f>
        <v>Bosnia y Herzegovina</v>
      </c>
      <c r="F49" s="9" t="str">
        <f ca="1">+WORLDCUP!BD63</f>
        <v>Suecia</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Alemania</v>
      </c>
      <c r="D50" s="9" t="str">
        <f ca="1">+WORLDCUP!BD67</f>
        <v>Argelia</v>
      </c>
      <c r="E50" s="9" t="str">
        <f ca="1">+WORLDCUP!BD59</f>
        <v>Bosnia y Herzegovina</v>
      </c>
      <c r="F50" s="9" t="str">
        <f ca="1">+WORLDCUP!BD63</f>
        <v>Suecia</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Alemania</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Alemania</v>
      </c>
      <c r="D52" s="9" t="str">
        <f ca="1">+WORLDCUP!BD64</f>
        <v>Irán</v>
      </c>
      <c r="E52" s="9" t="str">
        <f ca="1">+WORLDCUP!BD59</f>
        <v>Bosnia y Herzegovina</v>
      </c>
      <c r="F52" s="9" t="str">
        <f ca="1">+WORLDCUP!BD63</f>
        <v>Suecia</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Alemania</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Alemania</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Argelia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Argelia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Alemania</v>
      </c>
      <c r="D62" s="9" t="str">
        <f ca="1">+WORLDCUP!BD67</f>
        <v>Argelia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Alemania</v>
      </c>
      <c r="D63" s="9" t="str">
        <f ca="1">+WORLDCUP!BD67</f>
        <v>Argelia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Alemania</v>
      </c>
      <c r="D64" s="9" t="str">
        <f ca="1">+WORLDCUP!BD67</f>
        <v>Argelia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Alemania</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Alemania</v>
      </c>
      <c r="D66" s="9" t="str">
        <f ca="1">+WORLDCUP!BD67</f>
        <v>Argelia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Alemania</v>
      </c>
      <c r="D67" s="9" t="str">
        <f ca="1">+WORLDCUP!BD67</f>
        <v>Argelia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Alemania</v>
      </c>
      <c r="D68" s="9" t="str">
        <f ca="1">+WORLDCUP!BD67</f>
        <v>Argelia</v>
      </c>
      <c r="E68" s="9" t="str">
        <f ca="1">+WORLDCUP!BD59</f>
        <v>Bosnia y Herzegovina</v>
      </c>
      <c r="F68" s="9" t="str">
        <f ca="1">+WORLDCUP!BD61</f>
        <v>Estados Unidos</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Alemania</v>
      </c>
      <c r="D69" s="9" t="str">
        <f ca="1">+WORLDCUP!BD67</f>
        <v>Argelia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Alemania</v>
      </c>
      <c r="D70" s="9" t="str">
        <f ca="1">+WORLDCUP!BD66</f>
        <v>Noruega</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Alemania</v>
      </c>
      <c r="D71" s="9" t="str">
        <f ca="1">+WORLDCUP!BD67</f>
        <v>Argelia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Alemania</v>
      </c>
      <c r="D72" s="9" t="str">
        <f ca="1">+WORLDCUP!BD67</f>
        <v>Argelia</v>
      </c>
      <c r="E72" s="9" t="str">
        <f ca="1">+WORLDCUP!BD59</f>
        <v>Bosnia y Herzegovina</v>
      </c>
      <c r="F72" s="9" t="str">
        <f ca="1">+WORLDCUP!BD61</f>
        <v>Estados Unidos</v>
      </c>
      <c r="G72" s="9" t="str">
        <f ca="1">+WORLDCUP!BD65</f>
        <v>Arabia Saudita</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Alemania</v>
      </c>
      <c r="D73" s="9" t="str">
        <f ca="1">+WORLDCUP!BD64</f>
        <v>Irán</v>
      </c>
      <c r="E73" s="9" t="str">
        <f ca="1">+WORLDCUP!BD59</f>
        <v>Bosnia y Herzegovina</v>
      </c>
      <c r="F73" s="9" t="str">
        <f ca="1">+WORLDCUP!BD61</f>
        <v>Estados Unidos</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Alemania</v>
      </c>
      <c r="D74" s="9" t="str">
        <f ca="1">+WORLDCUP!BD64</f>
        <v>Irán</v>
      </c>
      <c r="E74" s="9" t="str">
        <f ca="1">+WORLDCUP!BD59</f>
        <v>Bosnia y Herzegovina</v>
      </c>
      <c r="F74" s="9" t="str">
        <f ca="1">+WORLDCUP!BD61</f>
        <v>Estados Unidos</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Alemania</v>
      </c>
      <c r="D75" s="9" t="str">
        <f ca="1">+WORLDCUP!BD64</f>
        <v>Irán</v>
      </c>
      <c r="E75" s="9" t="str">
        <f ca="1">+WORLDCUP!BD59</f>
        <v>Bosnia y Herzegovina</v>
      </c>
      <c r="F75" s="9" t="str">
        <f ca="1">+WORLDCUP!BD61</f>
        <v>Estados Unidos</v>
      </c>
      <c r="G75" s="9" t="str">
        <f ca="1">+WORLDCUP!BD67</f>
        <v>Argelia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Alemania</v>
      </c>
      <c r="D76" s="9" t="str">
        <f ca="1">+WORLDCUP!BD64</f>
        <v>Irán</v>
      </c>
      <c r="E76" s="9" t="str">
        <f ca="1">+WORLDCUP!BD59</f>
        <v>Bosnia y Herzegovina</v>
      </c>
      <c r="F76" s="9" t="str">
        <f ca="1">+WORLDCUP!BD61</f>
        <v>Estados Unidos</v>
      </c>
      <c r="G76" s="9" t="str">
        <f ca="1">+WORLDCUP!BD67</f>
        <v>Argelia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Alemania</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Argelia</v>
      </c>
      <c r="H78" s="9" t="str">
        <f ca="1">+WORLDCUP!BD63</f>
        <v>Suecia</v>
      </c>
      <c r="I78" s="9" t="str">
        <f ca="1">+WORLDCUP!BD69</f>
        <v>Ghana</v>
      </c>
      <c r="J78" s="9" t="str">
        <f ca="1">+WORLDCUP!BD62</f>
        <v>Alemania</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Argelia</v>
      </c>
      <c r="H79" s="9" t="str">
        <f ca="1">+WORLDCUP!BD63</f>
        <v>Suecia</v>
      </c>
      <c r="I79" s="9" t="str">
        <f ca="1">+WORLDCUP!BD62</f>
        <v>Alemania</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Alemania</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Alemania</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Argelia</v>
      </c>
      <c r="H82" s="9" t="str">
        <f ca="1">+WORLDCUP!BD63</f>
        <v>Suecia</v>
      </c>
      <c r="I82" s="9" t="str">
        <f ca="1">+WORLDCUP!BD62</f>
        <v>Alemania</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Alemania</v>
      </c>
      <c r="D90" s="9" t="str">
        <f ca="1">+WORLDCUP!BD67</f>
        <v>Argelia</v>
      </c>
      <c r="E90" s="9" t="str">
        <f ca="1">+WORLDCUP!BD59</f>
        <v>Bosnia y Herzegovina</v>
      </c>
      <c r="F90" s="9" t="str">
        <f ca="1">+WORLDCUP!BD60</f>
        <v>Marruecos</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Alemania</v>
      </c>
      <c r="D91" s="9" t="str">
        <f ca="1">+WORLDCUP!BD67</f>
        <v>Argelia</v>
      </c>
      <c r="E91" s="9" t="str">
        <f ca="1">+WORLDCUP!BD59</f>
        <v>Bosnia y Herzegovina</v>
      </c>
      <c r="F91" s="9" t="str">
        <f ca="1">+WORLDCUP!BD60</f>
        <v>Marruecos</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Alemania</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Alemania</v>
      </c>
      <c r="D93" s="9" t="str">
        <f ca="1">+WORLDCUP!BD64</f>
        <v>Irán</v>
      </c>
      <c r="E93" s="9" t="str">
        <f ca="1">+WORLDCUP!BD59</f>
        <v>Bosnia y Herzegovina</v>
      </c>
      <c r="F93" s="9" t="str">
        <f ca="1">+WORLDCUP!BD60</f>
        <v>Marruecos</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Alemania</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Alemania</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Alemania</v>
      </c>
      <c r="D96" s="9" t="str">
        <f ca="1">+WORLDCUP!BD67</f>
        <v>Argelia</v>
      </c>
      <c r="E96" s="9" t="str">
        <f ca="1">+WORLDCUP!BD59</f>
        <v>Bosnia y Herzegovina</v>
      </c>
      <c r="F96" s="9" t="str">
        <f ca="1">+WORLDCUP!BD60</f>
        <v>Marruecos</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Alemania</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Alemania</v>
      </c>
      <c r="D98" s="9" t="str">
        <f ca="1">+WORLDCUP!BD66</f>
        <v>Noruega</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Alemania</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Alemania</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Alemania</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Alemania</v>
      </c>
      <c r="D102" s="9" t="str">
        <f ca="1">+WORLDCUP!BD64</f>
        <v>Irán</v>
      </c>
      <c r="E102" s="9" t="str">
        <f ca="1">+WORLDCUP!BD59</f>
        <v>Bosnia y Herzegovina</v>
      </c>
      <c r="F102" s="9" t="str">
        <f ca="1">+WORLDCUP!BD60</f>
        <v>Marruecos</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Alemania</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Alemania</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Alemania</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Alemania</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Alemania</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Alemania</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Alemania</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Alemania</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Marruecos</v>
      </c>
      <c r="G112" s="9" t="str">
        <f ca="1">+WORLDCUP!BD67</f>
        <v>Argelia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Estados Unidos</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Noruega</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Estados Unidos</v>
      </c>
      <c r="G121" s="9" t="str">
        <f ca="1">+WORLDCUP!BD65</f>
        <v>Arabia Saudita</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Estados Unidos</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Estados Unidos</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Estados Unidos</v>
      </c>
      <c r="G124" s="9" t="str">
        <f ca="1">+WORLDCUP!BD67</f>
        <v>Argelia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Estados Unidos</v>
      </c>
      <c r="G125" s="9" t="str">
        <f ca="1">+WORLDCUP!BD67</f>
        <v>Argelia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Alemania</v>
      </c>
      <c r="D132" s="9" t="str">
        <f ca="1">+WORLDCUP!BD67</f>
        <v>Argelia</v>
      </c>
      <c r="E132" s="9" t="str">
        <f ca="1">+WORLDCUP!BD59</f>
        <v>Bosnia y Herzegovina</v>
      </c>
      <c r="F132" s="9" t="str">
        <f ca="1">+WORLDCUP!BD60</f>
        <v>Marruecos</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Alemania</v>
      </c>
      <c r="D133" s="9" t="str">
        <f ca="1">+WORLDCUP!BD67</f>
        <v>Argelia</v>
      </c>
      <c r="E133" s="9" t="str">
        <f ca="1">+WORLDCUP!BD59</f>
        <v>Bosnia y Herzegovina</v>
      </c>
      <c r="F133" s="9" t="str">
        <f ca="1">+WORLDCUP!BD60</f>
        <v>Marruecos</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Alemania</v>
      </c>
      <c r="D134" s="9" t="str">
        <f ca="1">+WORLDCUP!BD66</f>
        <v>Noruega</v>
      </c>
      <c r="E134" s="9" t="str">
        <f ca="1">+WORLDCUP!BD59</f>
        <v>Bosnia y Herzegovina</v>
      </c>
      <c r="F134" s="9" t="str">
        <f ca="1">+WORLDCUP!BD60</f>
        <v>Marruecos</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Alemania</v>
      </c>
      <c r="D135" s="9" t="str">
        <f ca="1">+WORLDCUP!BD67</f>
        <v>Argelia</v>
      </c>
      <c r="E135" s="9" t="str">
        <f ca="1">+WORLDCUP!BD59</f>
        <v>Bosnia y Herzegovina</v>
      </c>
      <c r="F135" s="9" t="str">
        <f ca="1">+WORLDCUP!BD60</f>
        <v>Marruecos</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Alemania</v>
      </c>
      <c r="D136" s="9" t="str">
        <f ca="1">+WORLDCUP!BD67</f>
        <v>Argelia</v>
      </c>
      <c r="E136" s="9" t="str">
        <f ca="1">+WORLDCUP!BD59</f>
        <v>Bosnia y Herzegovina</v>
      </c>
      <c r="F136" s="9" t="str">
        <f ca="1">+WORLDCUP!BD60</f>
        <v>Marruecos</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Alemania</v>
      </c>
      <c r="D137" s="9" t="str">
        <f ca="1">+WORLDCUP!BD64</f>
        <v>Irán</v>
      </c>
      <c r="E137" s="9" t="str">
        <f ca="1">+WORLDCUP!BD59</f>
        <v>Bosnia y Herzegovina</v>
      </c>
      <c r="F137" s="9" t="str">
        <f ca="1">+WORLDCUP!BD60</f>
        <v>Marruecos</v>
      </c>
      <c r="G137" s="9" t="str">
        <f ca="1">+WORLDCUP!BD67</f>
        <v>Argelia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Alemania</v>
      </c>
      <c r="D138" s="9" t="str">
        <f ca="1">+WORLDCUP!BD64</f>
        <v>Irán</v>
      </c>
      <c r="E138" s="9" t="str">
        <f ca="1">+WORLDCUP!BD59</f>
        <v>Bosnia y Herzegovina</v>
      </c>
      <c r="F138" s="9" t="str">
        <f ca="1">+WORLDCUP!BD60</f>
        <v>Marruecos</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Alemania</v>
      </c>
      <c r="D139" s="9" t="str">
        <f ca="1">+WORLDCUP!BD64</f>
        <v>Irán</v>
      </c>
      <c r="E139" s="9" t="str">
        <f ca="1">+WORLDCUP!BD59</f>
        <v>Bosnia y Herzegovina</v>
      </c>
      <c r="F139" s="9" t="str">
        <f ca="1">+WORLDCUP!BD60</f>
        <v>Marruecos</v>
      </c>
      <c r="G139" s="9" t="str">
        <f ca="1">+WORLDCUP!BD67</f>
        <v>Argelia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Alemania</v>
      </c>
      <c r="D140" s="9" t="str">
        <f ca="1">+WORLDCUP!BD64</f>
        <v>Irán</v>
      </c>
      <c r="E140" s="9" t="str">
        <f ca="1">+WORLDCUP!BD59</f>
        <v>Bosnia y Herzegovina</v>
      </c>
      <c r="F140" s="9" t="str">
        <f ca="1">+WORLDCUP!BD60</f>
        <v>Marruecos</v>
      </c>
      <c r="G140" s="9" t="str">
        <f ca="1">+WORLDCUP!BD67</f>
        <v>Argelia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Alemania</v>
      </c>
      <c r="D141" s="9" t="str">
        <f ca="1">+WORLDCUP!BD64</f>
        <v>Irán</v>
      </c>
      <c r="E141" s="9" t="str">
        <f ca="1">+WORLDCUP!BD59</f>
        <v>Bosnia y Herzegovina</v>
      </c>
      <c r="F141" s="9" t="str">
        <f ca="1">+WORLDCUP!BD60</f>
        <v>Marruecos</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Estados Unidos</v>
      </c>
      <c r="I142" s="9" t="str">
        <f ca="1">+WORLDCUP!BD69</f>
        <v>Ghana</v>
      </c>
      <c r="J142" s="9" t="str">
        <f ca="1">+WORLDCUP!BD62</f>
        <v>Alemania</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Estados Unidos</v>
      </c>
      <c r="I143" s="9" t="str">
        <f ca="1">+WORLDCUP!BD62</f>
        <v>Alemania</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Alemania</v>
      </c>
      <c r="D144" s="9" t="str">
        <f ca="1">+WORLDCUP!BD64</f>
        <v>Irán</v>
      </c>
      <c r="E144" s="9" t="str">
        <f ca="1">+WORLDCUP!BD59</f>
        <v>Bosnia y Herzegovina</v>
      </c>
      <c r="F144" s="9" t="str">
        <f ca="1">+WORLDCUP!BD60</f>
        <v>Marruecos</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Alemania</v>
      </c>
      <c r="D145" s="9" t="str">
        <f ca="1">+WORLDCUP!BD64</f>
        <v>Irán</v>
      </c>
      <c r="E145" s="9" t="str">
        <f ca="1">+WORLDCUP!BD59</f>
        <v>Bosnia y Herzegovina</v>
      </c>
      <c r="F145" s="9" t="str">
        <f ca="1">+WORLDCUP!BD60</f>
        <v>Marruecos</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Estados Unidos</v>
      </c>
      <c r="I146" s="9" t="str">
        <f ca="1">+WORLDCUP!BD62</f>
        <v>Alemania</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Estados Unidos</v>
      </c>
      <c r="G147" s="9" t="str">
        <f ca="1">+WORLDCUP!BD62</f>
        <v>Alemania</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Alemania</v>
      </c>
      <c r="E148" s="9" t="str">
        <f ca="1">+WORLDCUP!BD59</f>
        <v>Bosnia y Herzegovina</v>
      </c>
      <c r="F148" s="9" t="str">
        <f ca="1">+WORLDCUP!BD61</f>
        <v>Estados Unidos</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Estados Unidos</v>
      </c>
      <c r="G149" s="9" t="str">
        <f ca="1">+WORLDCUP!BD62</f>
        <v>Alemania</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Estados Unidos</v>
      </c>
      <c r="G150" s="9" t="str">
        <f ca="1">+WORLDCUP!BD62</f>
        <v>Alemania</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Alemania</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Alemania</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Estados Unidos</v>
      </c>
      <c r="G153" s="9" t="str">
        <f ca="1">+WORLDCUP!BD65</f>
        <v>Arabia Saudita</v>
      </c>
      <c r="H153" s="9" t="str">
        <f ca="1">+WORLDCUP!BD63</f>
        <v>Suecia</v>
      </c>
      <c r="I153" s="9" t="str">
        <f ca="1">+WORLDCUP!BD62</f>
        <v>Alemania</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Alemania</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Alemania</v>
      </c>
      <c r="E155" s="9" t="str">
        <f ca="1">+WORLDCUP!BD59</f>
        <v>Bosnia y Herzegovina</v>
      </c>
      <c r="F155" s="9" t="str">
        <f ca="1">+WORLDCUP!BD61</f>
        <v>Estados Unidos</v>
      </c>
      <c r="G155" s="9" t="str">
        <f ca="1">+WORLDCUP!BD65</f>
        <v>Arabia Saudita</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Estados Unidos</v>
      </c>
      <c r="G156" s="9" t="str">
        <f ca="1">+WORLDCUP!BD65</f>
        <v>Arabia Saudita</v>
      </c>
      <c r="H156" s="9" t="str">
        <f ca="1">+WORLDCUP!BD63</f>
        <v>Suecia</v>
      </c>
      <c r="I156" s="9" t="str">
        <f ca="1">+WORLDCUP!BD62</f>
        <v>Alemania</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Estados Unidos</v>
      </c>
      <c r="G157" s="9" t="str">
        <f ca="1">+WORLDCUP!BD62</f>
        <v>Alemania</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Estados Unidos</v>
      </c>
      <c r="G158" s="9" t="str">
        <f ca="1">+WORLDCUP!BD67</f>
        <v>Argelia</v>
      </c>
      <c r="H158" s="9" t="str">
        <f ca="1">+WORLDCUP!BD63</f>
        <v>Suecia</v>
      </c>
      <c r="I158" s="9" t="str">
        <f ca="1">+WORLDCUP!BD69</f>
        <v>Ghana</v>
      </c>
      <c r="J158" s="9" t="str">
        <f ca="1">+WORLDCUP!BD62</f>
        <v>Alemania</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Estados Unidos</v>
      </c>
      <c r="G159" s="9" t="str">
        <f ca="1">+WORLDCUP!BD67</f>
        <v>Argelia</v>
      </c>
      <c r="H159" s="9" t="str">
        <f ca="1">+WORLDCUP!BD63</f>
        <v>Suecia</v>
      </c>
      <c r="I159" s="9" t="str">
        <f ca="1">+WORLDCUP!BD62</f>
        <v>Alemania</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Estados Unidos</v>
      </c>
      <c r="G160" s="9" t="str">
        <f ca="1">+WORLDCUP!BD62</f>
        <v>Alemania</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Estados Unidos</v>
      </c>
      <c r="G161" s="9" t="str">
        <f ca="1">+WORLDCUP!BD62</f>
        <v>Alemania</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Estados Unidos</v>
      </c>
      <c r="G162" s="9" t="str">
        <f ca="1">+WORLDCUP!BD67</f>
        <v>Argelia</v>
      </c>
      <c r="H162" s="9" t="str">
        <f ca="1">+WORLDCUP!BD63</f>
        <v>Suecia</v>
      </c>
      <c r="I162" s="9" t="str">
        <f ca="1">+WORLDCUP!BD62</f>
        <v>Alemania</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Alemania</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Alemania</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Estados Unidos</v>
      </c>
      <c r="J165" s="9" t="str">
        <f ca="1">+WORLDCUP!BD62</f>
        <v>Alemania</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Alemania</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Noruega</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Alemania</v>
      </c>
      <c r="D168" s="9" t="str">
        <f ca="1">+WORLDCUP!BD67</f>
        <v>Argelia</v>
      </c>
      <c r="E168" s="9" t="str">
        <f ca="1">+WORLDCUP!BD66</f>
        <v>Noruega</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Alemania</v>
      </c>
      <c r="D169" s="9" t="str">
        <f ca="1">+WORLDCUP!BD67</f>
        <v>Argelia</v>
      </c>
      <c r="E169" s="9" t="str">
        <f ca="1">+WORLDCUP!BD66</f>
        <v>Noruega</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Alemania</v>
      </c>
      <c r="D170" s="9" t="str">
        <f ca="1">+WORLDCUP!BD67</f>
        <v>Argelia</v>
      </c>
      <c r="E170" s="9" t="str">
        <f ca="1">+WORLDCUP!BD66</f>
        <v>Noruega</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Alemania</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Alemania</v>
      </c>
      <c r="D172" s="9" t="str">
        <f ca="1">+WORLDCUP!BD64</f>
        <v>Irán</v>
      </c>
      <c r="E172" s="9" t="str">
        <f ca="1">+WORLDCUP!BD66</f>
        <v>Noruega</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Alemania</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Alemania</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Noruega</v>
      </c>
      <c r="F175" s="9" t="str">
        <f ca="1">+WORLDCUP!BD61</f>
        <v>Estados Unidos</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Noruega</v>
      </c>
      <c r="F176" s="9" t="str">
        <f ca="1">+WORLDCUP!BD61</f>
        <v>Estados Unidos</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Argelia</v>
      </c>
      <c r="F177" s="9" t="str">
        <f ca="1">+WORLDCUP!BD61</f>
        <v>Estados Unidos</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Estados Unidos</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Estados Unidos</v>
      </c>
      <c r="G180" s="9" t="str">
        <f ca="1">+WORLDCUP!BD58</f>
        <v>Corea del Sur</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Estados Unidos</v>
      </c>
      <c r="G181" s="9" t="str">
        <f ca="1">+WORLDCUP!BD58</f>
        <v>Corea del Sur</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Alemania</v>
      </c>
      <c r="D182" s="9" t="str">
        <f ca="1">+WORLDCUP!BD67</f>
        <v>Argelia</v>
      </c>
      <c r="E182" s="9" t="str">
        <f ca="1">+WORLDCUP!BD66</f>
        <v>Noruega</v>
      </c>
      <c r="F182" s="9" t="str">
        <f ca="1">+WORLDCUP!BD61</f>
        <v>Estados Unidos</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Alemania</v>
      </c>
      <c r="D183" s="9" t="str">
        <f ca="1">+WORLDCUP!BD67</f>
        <v>Argelia</v>
      </c>
      <c r="E183" s="9" t="str">
        <f ca="1">+WORLDCUP!BD66</f>
        <v>Noruega</v>
      </c>
      <c r="F183" s="9" t="str">
        <f ca="1">+WORLDCUP!BD61</f>
        <v>Estados Unidos</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Alemania</v>
      </c>
      <c r="D184" s="9" t="str">
        <f ca="1">+WORLDCUP!BD64</f>
        <v>Irán</v>
      </c>
      <c r="E184" s="9" t="str">
        <f ca="1">+WORLDCUP!BD67</f>
        <v>Argelia</v>
      </c>
      <c r="F184" s="9" t="str">
        <f ca="1">+WORLDCUP!BD61</f>
        <v>Estados Unidos</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Alemania</v>
      </c>
      <c r="D185" s="9" t="str">
        <f ca="1">+WORLDCUP!BD64</f>
        <v>Irán</v>
      </c>
      <c r="E185" s="9" t="str">
        <f ca="1">+WORLDCUP!BD66</f>
        <v>Noruega</v>
      </c>
      <c r="F185" s="9" t="str">
        <f ca="1">+WORLDCUP!BD61</f>
        <v>Estados Unidos</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Alemania</v>
      </c>
      <c r="D186" s="9" t="str">
        <f ca="1">+WORLDCUP!BD64</f>
        <v>Irán</v>
      </c>
      <c r="E186" s="9" t="str">
        <f ca="1">+WORLDCUP!BD67</f>
        <v>Argelia</v>
      </c>
      <c r="F186" s="9" t="str">
        <f ca="1">+WORLDCUP!BD61</f>
        <v>Estados Unidos</v>
      </c>
      <c r="G186" s="9" t="str">
        <f ca="1">+WORLDCUP!BD58</f>
        <v>Corea del Sur</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Alemania</v>
      </c>
      <c r="D187" s="9" t="str">
        <f ca="1">+WORLDCUP!BD64</f>
        <v>Irán</v>
      </c>
      <c r="E187" s="9" t="str">
        <f ca="1">+WORLDCUP!BD67</f>
        <v>Argelia</v>
      </c>
      <c r="F187" s="9" t="str">
        <f ca="1">+WORLDCUP!BD61</f>
        <v>Estados Unidos</v>
      </c>
      <c r="G187" s="9" t="str">
        <f ca="1">+WORLDCUP!BD58</f>
        <v>Corea del Sur</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Alemania</v>
      </c>
      <c r="D188" s="9" t="str">
        <f ca="1">+WORLDCUP!BD67</f>
        <v>Argelia</v>
      </c>
      <c r="E188" s="9" t="str">
        <f ca="1">+WORLDCUP!BD66</f>
        <v>Noruega</v>
      </c>
      <c r="F188" s="9" t="str">
        <f ca="1">+WORLDCUP!BD61</f>
        <v>Estados Unidos</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Alemania</v>
      </c>
      <c r="F189" s="9" t="str">
        <f ca="1">+WORLDCUP!BD61</f>
        <v>Estados Unidos</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Alemania</v>
      </c>
      <c r="E190" s="9" t="str">
        <f ca="1">+WORLDCUP!BD66</f>
        <v>Noruega</v>
      </c>
      <c r="F190" s="9" t="str">
        <f ca="1">+WORLDCUP!BD61</f>
        <v>Estados Unidos</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Alemania</v>
      </c>
      <c r="F191" s="9" t="str">
        <f ca="1">+WORLDCUP!BD61</f>
        <v>Estados Unidos</v>
      </c>
      <c r="G191" s="9" t="str">
        <f ca="1">+WORLDCUP!BD58</f>
        <v>Corea del Sur</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Alemania</v>
      </c>
      <c r="F192" s="9" t="str">
        <f ca="1">+WORLDCUP!BD61</f>
        <v>Estados Unidos</v>
      </c>
      <c r="G192" s="9" t="str">
        <f ca="1">+WORLDCUP!BD58</f>
        <v>Corea del Sur</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Alemania</v>
      </c>
      <c r="D193" s="9" t="str">
        <f ca="1">+WORLDCUP!BD64</f>
        <v>Irán</v>
      </c>
      <c r="E193" s="9" t="str">
        <f ca="1">+WORLDCUP!BD67</f>
        <v>Argelia</v>
      </c>
      <c r="F193" s="9" t="str">
        <f ca="1">+WORLDCUP!BD61</f>
        <v>Estados Unidos</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Alemania</v>
      </c>
      <c r="D194" s="9" t="str">
        <f ca="1">+WORLDCUP!BD64</f>
        <v>Irán</v>
      </c>
      <c r="E194" s="9" t="str">
        <f ca="1">+WORLDCUP!BD66</f>
        <v>Noruega</v>
      </c>
      <c r="F194" s="9" t="str">
        <f ca="1">+WORLDCUP!BD61</f>
        <v>Estados Unidos</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Alemania</v>
      </c>
      <c r="D195" s="9" t="str">
        <f ca="1">+WORLDCUP!BD64</f>
        <v>Irán</v>
      </c>
      <c r="E195" s="9" t="str">
        <f ca="1">+WORLDCUP!BD67</f>
        <v>Argelia</v>
      </c>
      <c r="F195" s="9" t="str">
        <f ca="1">+WORLDCUP!BD61</f>
        <v>Estados Unidos</v>
      </c>
      <c r="G195" s="9" t="str">
        <f ca="1">+WORLDCUP!BD58</f>
        <v>Corea del Sur</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Alemania</v>
      </c>
      <c r="D196" s="9" t="str">
        <f ca="1">+WORLDCUP!BD64</f>
        <v>Irán</v>
      </c>
      <c r="E196" s="9" t="str">
        <f ca="1">+WORLDCUP!BD67</f>
        <v>Argelia</v>
      </c>
      <c r="F196" s="9" t="str">
        <f ca="1">+WORLDCUP!BD61</f>
        <v>Estados Unidos</v>
      </c>
      <c r="G196" s="9" t="str">
        <f ca="1">+WORLDCUP!BD58</f>
        <v>Corea del Sur</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Alemania</v>
      </c>
      <c r="F197" s="9" t="str">
        <f ca="1">+WORLDCUP!BD61</f>
        <v>Estados Unidos</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Estados Unidos</v>
      </c>
      <c r="G198" s="9" t="str">
        <f ca="1">+WORLDCUP!BD58</f>
        <v>Corea del Sur</v>
      </c>
      <c r="H198" s="9" t="str">
        <f ca="1">+WORLDCUP!BD63</f>
        <v>Suecia</v>
      </c>
      <c r="I198" s="9" t="str">
        <f ca="1">+WORLDCUP!BD69</f>
        <v>Ghana</v>
      </c>
      <c r="J198" s="9" t="str">
        <f ca="1">+WORLDCUP!BD62</f>
        <v>Alemania</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Estados Unidos</v>
      </c>
      <c r="G199" s="9" t="str">
        <f ca="1">+WORLDCUP!BD58</f>
        <v>Corea del Sur</v>
      </c>
      <c r="H199" s="9" t="str">
        <f ca="1">+WORLDCUP!BD63</f>
        <v>Suecia</v>
      </c>
      <c r="I199" s="9" t="str">
        <f ca="1">+WORLDCUP!BD62</f>
        <v>Alemania</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Alemania</v>
      </c>
      <c r="F200" s="9" t="str">
        <f ca="1">+WORLDCUP!BD61</f>
        <v>Estados Unidos</v>
      </c>
      <c r="G200" s="9" t="str">
        <f ca="1">+WORLDCUP!BD58</f>
        <v>Corea del Sur</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Alemania</v>
      </c>
      <c r="F201" s="9" t="str">
        <f ca="1">+WORLDCUP!BD61</f>
        <v>Estados Unidos</v>
      </c>
      <c r="G201" s="9" t="str">
        <f ca="1">+WORLDCUP!BD58</f>
        <v>Corea del Sur</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Estados Unidos</v>
      </c>
      <c r="G202" s="9" t="str">
        <f ca="1">+WORLDCUP!BD58</f>
        <v>Corea del Sur</v>
      </c>
      <c r="H202" s="9" t="str">
        <f ca="1">+WORLDCUP!BD63</f>
        <v>Suecia</v>
      </c>
      <c r="I202" s="9" t="str">
        <f ca="1">+WORLDCUP!BD62</f>
        <v>Alemania</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Noruega</v>
      </c>
      <c r="F203" s="9" t="str">
        <f ca="1">+WORLDCUP!BD60</f>
        <v>Marruecos</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Noruega</v>
      </c>
      <c r="F204" s="9" t="str">
        <f ca="1">+WORLDCUP!BD60</f>
        <v>Marruecos</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Marruecos</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Alemania</v>
      </c>
      <c r="D210" s="9" t="str">
        <f ca="1">+WORLDCUP!BD67</f>
        <v>Argelia</v>
      </c>
      <c r="E210" s="9" t="str">
        <f ca="1">+WORLDCUP!BD66</f>
        <v>Noruega</v>
      </c>
      <c r="F210" s="9" t="str">
        <f ca="1">+WORLDCUP!BD60</f>
        <v>Marruecos</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Alemania</v>
      </c>
      <c r="D211" s="9" t="str">
        <f ca="1">+WORLDCUP!BD67</f>
        <v>Argelia</v>
      </c>
      <c r="E211" s="9" t="str">
        <f ca="1">+WORLDCUP!BD66</f>
        <v>Noruega</v>
      </c>
      <c r="F211" s="9" t="str">
        <f ca="1">+WORLDCUP!BD60</f>
        <v>Marruecos</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Alemania</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Alemania</v>
      </c>
      <c r="D213" s="9" t="str">
        <f ca="1">+WORLDCUP!BD64</f>
        <v>Irán</v>
      </c>
      <c r="E213" s="9" t="str">
        <f ca="1">+WORLDCUP!BD66</f>
        <v>Noruega</v>
      </c>
      <c r="F213" s="9" t="str">
        <f ca="1">+WORLDCUP!BD60</f>
        <v>Marruecos</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Alemania</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Alemania</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Alemania</v>
      </c>
      <c r="D216" s="9" t="str">
        <f ca="1">+WORLDCUP!BD67</f>
        <v>Argelia</v>
      </c>
      <c r="E216" s="9" t="str">
        <f ca="1">+WORLDCUP!BD66</f>
        <v>Noruega</v>
      </c>
      <c r="F216" s="9" t="str">
        <f ca="1">+WORLDCUP!BD60</f>
        <v>Marruecos</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Alemania</v>
      </c>
      <c r="F217" s="9" t="str">
        <f ca="1">+WORLDCUP!BD60</f>
        <v>Marruecos</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Alemania</v>
      </c>
      <c r="E218" s="9" t="str">
        <f ca="1">+WORLDCUP!BD66</f>
        <v>Noruega</v>
      </c>
      <c r="F218" s="9" t="str">
        <f ca="1">+WORLDCUP!BD60</f>
        <v>Marruecos</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Alemania</v>
      </c>
      <c r="F219" s="9" t="str">
        <f ca="1">+WORLDCUP!BD60</f>
        <v>Marruecos</v>
      </c>
      <c r="G219" s="9" t="str">
        <f ca="1">+WORLDCUP!BD58</f>
        <v>Corea del Sur</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Alemania</v>
      </c>
      <c r="F220" s="9" t="str">
        <f ca="1">+WORLDCUP!BD60</f>
        <v>Marruecos</v>
      </c>
      <c r="G220" s="9" t="str">
        <f ca="1">+WORLDCUP!BD58</f>
        <v>Corea del Sur</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Alemania</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Alemania</v>
      </c>
      <c r="D222" s="9" t="str">
        <f ca="1">+WORLDCUP!BD64</f>
        <v>Irán</v>
      </c>
      <c r="E222" s="9" t="str">
        <f ca="1">+WORLDCUP!BD66</f>
        <v>Noruega</v>
      </c>
      <c r="F222" s="9" t="str">
        <f ca="1">+WORLDCUP!BD60</f>
        <v>Marruecos</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Alemania</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Alemania</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Alemania</v>
      </c>
      <c r="F225" s="9" t="str">
        <f ca="1">+WORLDCUP!BD60</f>
        <v>Marruecos</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Alemania</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Alemania</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Alemania</v>
      </c>
      <c r="F228" s="9" t="str">
        <f ca="1">+WORLDCUP!BD60</f>
        <v>Marruecos</v>
      </c>
      <c r="G228" s="9" t="str">
        <f ca="1">+WORLDCUP!BD58</f>
        <v>Corea del Sur</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Alemania</v>
      </c>
      <c r="F229" s="9" t="str">
        <f ca="1">+WORLDCUP!BD60</f>
        <v>Marruecos</v>
      </c>
      <c r="G229" s="9" t="str">
        <f ca="1">+WORLDCUP!BD58</f>
        <v>Corea del Sur</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Alemania</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Noruega</v>
      </c>
      <c r="F231" s="9" t="str">
        <f ca="1">+WORLDCUP!BD60</f>
        <v>Marruecos</v>
      </c>
      <c r="G231" s="9" t="str">
        <f ca="1">+WORLDCUP!BD58</f>
        <v>Corea del Sur</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Argelia</v>
      </c>
      <c r="F232" s="9" t="str">
        <f ca="1">+WORLDCUP!BD60</f>
        <v>Marruecos</v>
      </c>
      <c r="G232" s="9" t="str">
        <f ca="1">+WORLDCUP!BD58</f>
        <v>Corea del Sur</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Marruecos</v>
      </c>
      <c r="G234" s="9" t="str">
        <f ca="1">+WORLDCUP!BD58</f>
        <v>Corea del Sur</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Noruega</v>
      </c>
      <c r="F237" s="9" t="str">
        <f ca="1">+WORLDCUP!BD61</f>
        <v>Estados Unidos</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Noruega</v>
      </c>
      <c r="F239" s="9" t="str">
        <f ca="1">+WORLDCUP!BD60</f>
        <v>Marruecos</v>
      </c>
      <c r="G239" s="9" t="str">
        <f ca="1">+WORLDCUP!BD58</f>
        <v>Corea del Sur</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Estados Unidos</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Noruega</v>
      </c>
      <c r="F243" s="9" t="str">
        <f ca="1">+WORLDCUP!BD61</f>
        <v>Estados Unidos</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Estados Unidos</v>
      </c>
      <c r="G244" s="9" t="str">
        <f ca="1">+WORLDCUP!BD58</f>
        <v>Corea del Sur</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Estados Unidos</v>
      </c>
      <c r="G245" s="9" t="str">
        <f ca="1">+WORLDCUP!BD58</f>
        <v>Corea del Sur</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Estados Unidos</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Alemania</v>
      </c>
      <c r="D252" s="9" t="str">
        <f ca="1">+WORLDCUP!BD67</f>
        <v>Argelia</v>
      </c>
      <c r="E252" s="9" t="str">
        <f ca="1">+WORLDCUP!BD66</f>
        <v>Noruega</v>
      </c>
      <c r="F252" s="9" t="str">
        <f ca="1">+WORLDCUP!BD60</f>
        <v>Marruecos</v>
      </c>
      <c r="G252" s="9" t="str">
        <f ca="1">+WORLDCUP!BD58</f>
        <v>Corea del Sur</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Alemania</v>
      </c>
      <c r="F253" s="9" t="str">
        <f ca="1">+WORLDCUP!BD60</f>
        <v>Marruecos</v>
      </c>
      <c r="G253" s="9" t="str">
        <f ca="1">+WORLDCUP!BD58</f>
        <v>Corea del Sur</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Alemania</v>
      </c>
      <c r="E254" s="9" t="str">
        <f ca="1">+WORLDCUP!BD66</f>
        <v>Noruega</v>
      </c>
      <c r="F254" s="9" t="str">
        <f ca="1">+WORLDCUP!BD60</f>
        <v>Marruecos</v>
      </c>
      <c r="G254" s="9" t="str">
        <f ca="1">+WORLDCUP!BD58</f>
        <v>Corea del Sur</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Alemania</v>
      </c>
      <c r="F255" s="9" t="str">
        <f ca="1">+WORLDCUP!BD60</f>
        <v>Marruecos</v>
      </c>
      <c r="G255" s="9" t="str">
        <f ca="1">+WORLDCUP!BD58</f>
        <v>Corea del Sur</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Alemania</v>
      </c>
      <c r="F256" s="9" t="str">
        <f ca="1">+WORLDCUP!BD60</f>
        <v>Marruecos</v>
      </c>
      <c r="G256" s="9" t="str">
        <f ca="1">+WORLDCUP!BD58</f>
        <v>Corea del Sur</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Alemania</v>
      </c>
      <c r="D257" s="9" t="str">
        <f ca="1">+WORLDCUP!BD64</f>
        <v>Irán</v>
      </c>
      <c r="E257" s="9" t="str">
        <f ca="1">+WORLDCUP!BD67</f>
        <v>Argelia</v>
      </c>
      <c r="F257" s="9" t="str">
        <f ca="1">+WORLDCUP!BD60</f>
        <v>Marruecos</v>
      </c>
      <c r="G257" s="9" t="str">
        <f ca="1">+WORLDCUP!BD58</f>
        <v>Corea del Sur</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Alemania</v>
      </c>
      <c r="D258" s="9" t="str">
        <f ca="1">+WORLDCUP!BD64</f>
        <v>Irán</v>
      </c>
      <c r="E258" s="9" t="str">
        <f ca="1">+WORLDCUP!BD66</f>
        <v>Noruega</v>
      </c>
      <c r="F258" s="9" t="str">
        <f ca="1">+WORLDCUP!BD60</f>
        <v>Marruecos</v>
      </c>
      <c r="G258" s="9" t="str">
        <f ca="1">+WORLDCUP!BD58</f>
        <v>Corea del Sur</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Alemania</v>
      </c>
      <c r="D259" s="9" t="str">
        <f ca="1">+WORLDCUP!BD64</f>
        <v>Irán</v>
      </c>
      <c r="E259" s="9" t="str">
        <f ca="1">+WORLDCUP!BD67</f>
        <v>Argelia</v>
      </c>
      <c r="F259" s="9" t="str">
        <f ca="1">+WORLDCUP!BD60</f>
        <v>Marruecos</v>
      </c>
      <c r="G259" s="9" t="str">
        <f ca="1">+WORLDCUP!BD58</f>
        <v>Corea del Sur</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Alemania</v>
      </c>
      <c r="D260" s="9" t="str">
        <f ca="1">+WORLDCUP!BD64</f>
        <v>Irán</v>
      </c>
      <c r="E260" s="9" t="str">
        <f ca="1">+WORLDCUP!BD67</f>
        <v>Argelia</v>
      </c>
      <c r="F260" s="9" t="str">
        <f ca="1">+WORLDCUP!BD60</f>
        <v>Marruecos</v>
      </c>
      <c r="G260" s="9" t="str">
        <f ca="1">+WORLDCUP!BD58</f>
        <v>Corea del Sur</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Alemania</v>
      </c>
      <c r="F261" s="9" t="str">
        <f ca="1">+WORLDCUP!BD60</f>
        <v>Marruecos</v>
      </c>
      <c r="G261" s="9" t="str">
        <f ca="1">+WORLDCUP!BD58</f>
        <v>Corea del Sur</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Estados Unidos</v>
      </c>
      <c r="I262" s="9" t="str">
        <f ca="1">+WORLDCUP!BD69</f>
        <v>Ghana</v>
      </c>
      <c r="J262" s="9" t="str">
        <f ca="1">+WORLDCUP!BD62</f>
        <v>Alemania</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Estados Unidos</v>
      </c>
      <c r="I263" s="9" t="str">
        <f ca="1">+WORLDCUP!BD62</f>
        <v>Alemania</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Alemania</v>
      </c>
      <c r="F264" s="9" t="str">
        <f ca="1">+WORLDCUP!BD60</f>
        <v>Marruecos</v>
      </c>
      <c r="G264" s="9" t="str">
        <f ca="1">+WORLDCUP!BD58</f>
        <v>Corea del Sur</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Alemania</v>
      </c>
      <c r="F265" s="9" t="str">
        <f ca="1">+WORLDCUP!BD60</f>
        <v>Marruecos</v>
      </c>
      <c r="G265" s="9" t="str">
        <f ca="1">+WORLDCUP!BD58</f>
        <v>Corea del Sur</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Estados Unidos</v>
      </c>
      <c r="I266" s="9" t="str">
        <f ca="1">+WORLDCUP!BD62</f>
        <v>Alemania</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Alemania</v>
      </c>
      <c r="F267" s="9" t="str">
        <f ca="1">+WORLDCUP!BD61</f>
        <v>Estados Unidos</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Alemania</v>
      </c>
      <c r="E268" s="9" t="str">
        <f ca="1">+WORLDCUP!BD66</f>
        <v>Noruega</v>
      </c>
      <c r="F268" s="9" t="str">
        <f ca="1">+WORLDCUP!BD61</f>
        <v>Estados Unidos</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Alemania</v>
      </c>
      <c r="F269" s="9" t="str">
        <f ca="1">+WORLDCUP!BD61</f>
        <v>Estados Unidos</v>
      </c>
      <c r="G269" s="9" t="str">
        <f ca="1">+WORLDCUP!BD58</f>
        <v>Corea del Sur</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Alemania</v>
      </c>
      <c r="F270" s="9" t="str">
        <f ca="1">+WORLDCUP!BD61</f>
        <v>Estados Unidos</v>
      </c>
      <c r="G270" s="9" t="str">
        <f ca="1">+WORLDCUP!BD58</f>
        <v>Corea del Sur</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Alemania</v>
      </c>
      <c r="E271" s="9" t="str">
        <f ca="1">+WORLDCUP!BD63</f>
        <v>Suecia</v>
      </c>
      <c r="F271" s="9" t="str">
        <f ca="1">+WORLDCUP!BD60</f>
        <v>Marruecos</v>
      </c>
      <c r="G271" s="9" t="str">
        <f ca="1">+WORLDCUP!BD58</f>
        <v>Corea del Sur</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Estados Unidos</v>
      </c>
      <c r="I272" s="9" t="str">
        <f ca="1">+WORLDCUP!BD69</f>
        <v>Ghana</v>
      </c>
      <c r="J272" s="9" t="str">
        <f ca="1">+WORLDCUP!BD62</f>
        <v>Alemania</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Alemania</v>
      </c>
      <c r="F273" s="9" t="str">
        <f ca="1">+WORLDCUP!BD60</f>
        <v>Marruecos</v>
      </c>
      <c r="G273" s="9" t="str">
        <f ca="1">+WORLDCUP!BD58</f>
        <v>Corea del Sur</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Alemania</v>
      </c>
      <c r="E274" s="9" t="str">
        <f ca="1">+WORLDCUP!BD63</f>
        <v>Suecia</v>
      </c>
      <c r="F274" s="9" t="str">
        <f ca="1">+WORLDCUP!BD60</f>
        <v>Marruecos</v>
      </c>
      <c r="G274" s="9" t="str">
        <f ca="1">+WORLDCUP!BD58</f>
        <v>Corea del Sur</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Alemania</v>
      </c>
      <c r="E275" s="9" t="str">
        <f ca="1">+WORLDCUP!BD63</f>
        <v>Suecia</v>
      </c>
      <c r="F275" s="9" t="str">
        <f ca="1">+WORLDCUP!BD60</f>
        <v>Marruecos</v>
      </c>
      <c r="G275" s="9" t="str">
        <f ca="1">+WORLDCUP!BD58</f>
        <v>Corea del Sur</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Alemania</v>
      </c>
      <c r="F276" s="9" t="str">
        <f ca="1">+WORLDCUP!BD60</f>
        <v>Marruecos</v>
      </c>
      <c r="G276" s="9" t="str">
        <f ca="1">+WORLDCUP!BD58</f>
        <v>Corea del Sur</v>
      </c>
      <c r="H276" s="9" t="str">
        <f ca="1">+WORLDCUP!BD63</f>
        <v>Suecia</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Alemania</v>
      </c>
      <c r="F277" s="9" t="str">
        <f ca="1">+WORLDCUP!BD61</f>
        <v>Estados Unidos</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Estados Unidos</v>
      </c>
      <c r="G278" s="9" t="str">
        <f ca="1">+WORLDCUP!BD58</f>
        <v>Corea del Sur</v>
      </c>
      <c r="H278" s="9" t="str">
        <f ca="1">+WORLDCUP!BD63</f>
        <v>Suecia</v>
      </c>
      <c r="I278" s="9" t="str">
        <f ca="1">+WORLDCUP!BD69</f>
        <v>Ghana</v>
      </c>
      <c r="J278" s="9" t="str">
        <f ca="1">+WORLDCUP!BD62</f>
        <v>Alemania</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Estados Unidos</v>
      </c>
      <c r="G279" s="9" t="str">
        <f ca="1">+WORLDCUP!BD58</f>
        <v>Corea del Sur</v>
      </c>
      <c r="H279" s="9" t="str">
        <f ca="1">+WORLDCUP!BD63</f>
        <v>Suecia</v>
      </c>
      <c r="I279" s="9" t="str">
        <f ca="1">+WORLDCUP!BD62</f>
        <v>Alemania</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Alemania</v>
      </c>
      <c r="F280" s="9" t="str">
        <f ca="1">+WORLDCUP!BD61</f>
        <v>Estados Unidos</v>
      </c>
      <c r="G280" s="9" t="str">
        <f ca="1">+WORLDCUP!BD58</f>
        <v>Corea del Sur</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Alemania</v>
      </c>
      <c r="F281" s="9" t="str">
        <f ca="1">+WORLDCUP!BD61</f>
        <v>Estados Unidos</v>
      </c>
      <c r="G281" s="9" t="str">
        <f ca="1">+WORLDCUP!BD58</f>
        <v>Corea del Sur</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Estados Unidos</v>
      </c>
      <c r="G282" s="9" t="str">
        <f ca="1">+WORLDCUP!BD58</f>
        <v>Corea del Sur</v>
      </c>
      <c r="H282" s="9" t="str">
        <f ca="1">+WORLDCUP!BD63</f>
        <v>Suecia</v>
      </c>
      <c r="I282" s="9" t="str">
        <f ca="1">+WORLDCUP!BD62</f>
        <v>Alemania</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Estados Unidos</v>
      </c>
      <c r="I283" s="9" t="str">
        <f ca="1">+WORLDCUP!BD69</f>
        <v>Ghana</v>
      </c>
      <c r="J283" s="9" t="str">
        <f ca="1">+WORLDCUP!BD62</f>
        <v>Alemania</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Alemania</v>
      </c>
      <c r="F284" s="9" t="str">
        <f ca="1">+WORLDCUP!BD60</f>
        <v>Marruecos</v>
      </c>
      <c r="G284" s="9" t="str">
        <f ca="1">+WORLDCUP!BD58</f>
        <v>Corea del Sur</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Estados Unidos</v>
      </c>
      <c r="J285" s="9" t="str">
        <f ca="1">+WORLDCUP!BD62</f>
        <v>Alemania</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Alemania</v>
      </c>
      <c r="F286" s="9" t="str">
        <f ca="1">+WORLDCUP!BD60</f>
        <v>Marruecos</v>
      </c>
      <c r="G286" s="9" t="str">
        <f ca="1">+WORLDCUP!BD58</f>
        <v>Corea del Sur</v>
      </c>
      <c r="H286" s="9" t="str">
        <f ca="1">+WORLDCUP!BD63</f>
        <v>Suecia</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Alemania</v>
      </c>
      <c r="D294" s="9" t="str">
        <f ca="1">+WORLDCUP!BD67</f>
        <v>Argelia</v>
      </c>
      <c r="E294" s="9" t="str">
        <f ca="1">+WORLDCUP!BD59</f>
        <v>Bosnia y Herzegovina</v>
      </c>
      <c r="F294" s="9" t="str">
        <f ca="1">+WORLDCUP!BD58</f>
        <v>Corea del Sur</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Alemania</v>
      </c>
      <c r="D295" s="9" t="str">
        <f ca="1">+WORLDCUP!BD67</f>
        <v>Argelia</v>
      </c>
      <c r="E295" s="9" t="str">
        <f ca="1">+WORLDCUP!BD59</f>
        <v>Bosnia y Herzegovina</v>
      </c>
      <c r="F295" s="9" t="str">
        <f ca="1">+WORLDCUP!BD58</f>
        <v>Corea del Sur</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Alemania</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Alemania</v>
      </c>
      <c r="D297" s="9" t="str">
        <f ca="1">+WORLDCUP!BD64</f>
        <v>Irán</v>
      </c>
      <c r="E297" s="9" t="str">
        <f ca="1">+WORLDCUP!BD59</f>
        <v>Bosnia y Herzegovina</v>
      </c>
      <c r="F297" s="9" t="str">
        <f ca="1">+WORLDCUP!BD58</f>
        <v>Corea del Sur</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Alemania</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Alemania</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Alemania</v>
      </c>
      <c r="D300" s="9" t="str">
        <f ca="1">+WORLDCUP!BD67</f>
        <v>Argelia</v>
      </c>
      <c r="E300" s="9" t="str">
        <f ca="1">+WORLDCUP!BD59</f>
        <v>Bosnia y Herzegovina</v>
      </c>
      <c r="F300" s="9" t="str">
        <f ca="1">+WORLDCUP!BD58</f>
        <v>Corea del Sur</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Alemania</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Alemania</v>
      </c>
      <c r="D302" s="9" t="str">
        <f ca="1">+WORLDCUP!BD66</f>
        <v>Noruega</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Alemania</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Alemania</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Alemania</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Alemania</v>
      </c>
      <c r="D306" s="9" t="str">
        <f ca="1">+WORLDCUP!BD64</f>
        <v>Irán</v>
      </c>
      <c r="E306" s="9" t="str">
        <f ca="1">+WORLDCUP!BD59</f>
        <v>Bosnia y Herzegovina</v>
      </c>
      <c r="F306" s="9" t="str">
        <f ca="1">+WORLDCUP!BD58</f>
        <v>Corea del Sur</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Alemania</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Alemania</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Alemania</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Alemania</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Alemania</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Alemania</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Alemania</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Alemania</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Argelia</v>
      </c>
      <c r="E315" s="9" t="str">
        <f ca="1">+WORLDCUP!BD59</f>
        <v>Bosnia y Herzegovina</v>
      </c>
      <c r="F315" s="9" t="str">
        <f ca="1">+WORLDCUP!BD61</f>
        <v>Estados Unidos</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Argelia</v>
      </c>
      <c r="E316" s="9" t="str">
        <f ca="1">+WORLDCUP!BD59</f>
        <v>Bosnia y Herzegovina</v>
      </c>
      <c r="F316" s="9" t="str">
        <f ca="1">+WORLDCUP!BD61</f>
        <v>Estados Unidos</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Corea del Sur</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Corea del Sur</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Argelia</v>
      </c>
      <c r="E321" s="9" t="str">
        <f ca="1">+WORLDCUP!BD59</f>
        <v>Bosnia y Herzegovina</v>
      </c>
      <c r="F321" s="9" t="str">
        <f ca="1">+WORLDCUP!BD61</f>
        <v>Estados Unidos</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Corea del Sur</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Corea del Sur</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Estados Unidos</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Estados Unidos</v>
      </c>
      <c r="G328" s="9" t="str">
        <f ca="1">+WORLDCUP!BD58</f>
        <v>Corea del Sur</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Estados Unidos</v>
      </c>
      <c r="G329" s="9" t="str">
        <f ca="1">+WORLDCUP!BD58</f>
        <v>Corea del Sur</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Corea del Sur</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Corea del Sur</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Corea del Sur</v>
      </c>
      <c r="H335" s="9" t="str">
        <f ca="1">+WORLDCUP!BD63</f>
        <v>Suecia</v>
      </c>
      <c r="I335" s="9" t="str">
        <f ca="1">+WORLDCUP!BD66</f>
        <v>Noruega</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Alemania</v>
      </c>
      <c r="D336" s="9" t="str">
        <f ca="1">+WORLDCUP!BD67</f>
        <v>Argelia</v>
      </c>
      <c r="E336" s="9" t="str">
        <f ca="1">+WORLDCUP!BD59</f>
        <v>Bosnia y Herzegovina</v>
      </c>
      <c r="F336" s="9" t="str">
        <f ca="1">+WORLDCUP!BD58</f>
        <v>Corea del Sur</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Alemania</v>
      </c>
      <c r="D337" s="9" t="str">
        <f ca="1">+WORLDCUP!BD67</f>
        <v>Argelia</v>
      </c>
      <c r="E337" s="9" t="str">
        <f ca="1">+WORLDCUP!BD59</f>
        <v>Bosnia y Herzegovina</v>
      </c>
      <c r="F337" s="9" t="str">
        <f ca="1">+WORLDCUP!BD61</f>
        <v>Estados Unidos</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Alemania</v>
      </c>
      <c r="D338" s="9" t="str">
        <f ca="1">+WORLDCUP!BD66</f>
        <v>Noruega</v>
      </c>
      <c r="E338" s="9" t="str">
        <f ca="1">+WORLDCUP!BD59</f>
        <v>Bosnia y Herzegovina</v>
      </c>
      <c r="F338" s="9" t="str">
        <f ca="1">+WORLDCUP!BD61</f>
        <v>Estados Unidos</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Alemania</v>
      </c>
      <c r="D339" s="9" t="str">
        <f ca="1">+WORLDCUP!BD67</f>
        <v>Argelia</v>
      </c>
      <c r="E339" s="9" t="str">
        <f ca="1">+WORLDCUP!BD59</f>
        <v>Bosnia y Herzegovina</v>
      </c>
      <c r="F339" s="9" t="str">
        <f ca="1">+WORLDCUP!BD61</f>
        <v>Estados Unidos</v>
      </c>
      <c r="G339" s="9" t="str">
        <f ca="1">+WORLDCUP!BD58</f>
        <v>Corea del Sur</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Alemania</v>
      </c>
      <c r="D340" s="9" t="str">
        <f ca="1">+WORLDCUP!BD67</f>
        <v>Argelia</v>
      </c>
      <c r="E340" s="9" t="str">
        <f ca="1">+WORLDCUP!BD59</f>
        <v>Bosnia y Herzegovina</v>
      </c>
      <c r="F340" s="9" t="str">
        <f ca="1">+WORLDCUP!BD61</f>
        <v>Estados Unidos</v>
      </c>
      <c r="G340" s="9" t="str">
        <f ca="1">+WORLDCUP!BD58</f>
        <v>Corea del Sur</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Alemania</v>
      </c>
      <c r="D341" s="9" t="str">
        <f ca="1">+WORLDCUP!BD67</f>
        <v>Argelia</v>
      </c>
      <c r="E341" s="9" t="str">
        <f ca="1">+WORLDCUP!BD59</f>
        <v>Bosnia y Herzegovina</v>
      </c>
      <c r="F341" s="9" t="str">
        <f ca="1">+WORLDCUP!BD61</f>
        <v>Estados Unidos</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Alemania</v>
      </c>
      <c r="D342" s="9" t="str">
        <f ca="1">+WORLDCUP!BD64</f>
        <v>Irán</v>
      </c>
      <c r="E342" s="9" t="str">
        <f ca="1">+WORLDCUP!BD59</f>
        <v>Bosnia y Herzegovina</v>
      </c>
      <c r="F342" s="9" t="str">
        <f ca="1">+WORLDCUP!BD58</f>
        <v>Corea del Sur</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Alemania</v>
      </c>
      <c r="D343" s="9" t="str">
        <f ca="1">+WORLDCUP!BD67</f>
        <v>Argelia</v>
      </c>
      <c r="E343" s="9" t="str">
        <f ca="1">+WORLDCUP!BD59</f>
        <v>Bosnia y Herzegovina</v>
      </c>
      <c r="F343" s="9" t="str">
        <f ca="1">+WORLDCUP!BD61</f>
        <v>Estados Unidos</v>
      </c>
      <c r="G343" s="9" t="str">
        <f ca="1">+WORLDCUP!BD58</f>
        <v>Corea del Sur</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Alemania</v>
      </c>
      <c r="D344" s="9" t="str">
        <f ca="1">+WORLDCUP!BD67</f>
        <v>Argelia</v>
      </c>
      <c r="E344" s="9" t="str">
        <f ca="1">+WORLDCUP!BD59</f>
        <v>Bosnia y Herzegovina</v>
      </c>
      <c r="F344" s="9" t="str">
        <f ca="1">+WORLDCUP!BD61</f>
        <v>Estados Unidos</v>
      </c>
      <c r="G344" s="9" t="str">
        <f ca="1">+WORLDCUP!BD58</f>
        <v>Corea del Sur</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Alemania</v>
      </c>
      <c r="D345" s="9" t="str">
        <f ca="1">+WORLDCUP!BD64</f>
        <v>Irán</v>
      </c>
      <c r="E345" s="9" t="str">
        <f ca="1">+WORLDCUP!BD59</f>
        <v>Bosnia y Herzegovina</v>
      </c>
      <c r="F345" s="9" t="str">
        <f ca="1">+WORLDCUP!BD61</f>
        <v>Estados Unidos</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Corea del Sur</v>
      </c>
      <c r="H346" s="9" t="str">
        <f ca="1">+WORLDCUP!BD64</f>
        <v>Irán</v>
      </c>
      <c r="I346" s="9" t="str">
        <f ca="1">+WORLDCUP!BD69</f>
        <v>Ghana</v>
      </c>
      <c r="J346" s="9" t="str">
        <f ca="1">+WORLDCUP!BD62</f>
        <v>Alemania</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Corea del Sur</v>
      </c>
      <c r="H347" s="9" t="str">
        <f ca="1">+WORLDCUP!BD64</f>
        <v>Irán</v>
      </c>
      <c r="I347" s="9" t="str">
        <f ca="1">+WORLDCUP!BD62</f>
        <v>Alemania</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Alemania</v>
      </c>
      <c r="D348" s="9" t="str">
        <f ca="1">+WORLDCUP!BD64</f>
        <v>Irán</v>
      </c>
      <c r="E348" s="9" t="str">
        <f ca="1">+WORLDCUP!BD59</f>
        <v>Bosnia y Herzegovina</v>
      </c>
      <c r="F348" s="9" t="str">
        <f ca="1">+WORLDCUP!BD61</f>
        <v>Estados Unidos</v>
      </c>
      <c r="G348" s="9" t="str">
        <f ca="1">+WORLDCUP!BD58</f>
        <v>Corea del Sur</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Alemania</v>
      </c>
      <c r="D349" s="9" t="str">
        <f ca="1">+WORLDCUP!BD64</f>
        <v>Irán</v>
      </c>
      <c r="E349" s="9" t="str">
        <f ca="1">+WORLDCUP!BD59</f>
        <v>Bosnia y Herzegovina</v>
      </c>
      <c r="F349" s="9" t="str">
        <f ca="1">+WORLDCUP!BD61</f>
        <v>Estados Unidos</v>
      </c>
      <c r="G349" s="9" t="str">
        <f ca="1">+WORLDCUP!BD58</f>
        <v>Corea del Sur</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Corea del Sur</v>
      </c>
      <c r="H350" s="9" t="str">
        <f ca="1">+WORLDCUP!BD64</f>
        <v>Irán</v>
      </c>
      <c r="I350" s="9" t="str">
        <f ca="1">+WORLDCUP!BD62</f>
        <v>Alemania</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Alemania</v>
      </c>
      <c r="D351" s="9" t="str">
        <f ca="1">+WORLDCUP!BD67</f>
        <v>Argelia</v>
      </c>
      <c r="E351" s="9" t="str">
        <f ca="1">+WORLDCUP!BD59</f>
        <v>Bosnia y Herzegovina</v>
      </c>
      <c r="F351" s="9" t="str">
        <f ca="1">+WORLDCUP!BD61</f>
        <v>Estados Unidos</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Alemania</v>
      </c>
      <c r="D352" s="9" t="str">
        <f ca="1">+WORLDCUP!BD66</f>
        <v>Noruega</v>
      </c>
      <c r="E352" s="9" t="str">
        <f ca="1">+WORLDCUP!BD59</f>
        <v>Bosnia y Herzegovina</v>
      </c>
      <c r="F352" s="9" t="str">
        <f ca="1">+WORLDCUP!BD61</f>
        <v>Estados Unidos</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Alemania</v>
      </c>
      <c r="D353" s="9" t="str">
        <f ca="1">+WORLDCUP!BD67</f>
        <v>Argelia</v>
      </c>
      <c r="E353" s="9" t="str">
        <f ca="1">+WORLDCUP!BD59</f>
        <v>Bosnia y Herzegovina</v>
      </c>
      <c r="F353" s="9" t="str">
        <f ca="1">+WORLDCUP!BD61</f>
        <v>Estados Unidos</v>
      </c>
      <c r="G353" s="9" t="str">
        <f ca="1">+WORLDCUP!BD58</f>
        <v>Corea del Sur</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Alemania</v>
      </c>
      <c r="D354" s="9" t="str">
        <f ca="1">+WORLDCUP!BD67</f>
        <v>Argelia</v>
      </c>
      <c r="E354" s="9" t="str">
        <f ca="1">+WORLDCUP!BD59</f>
        <v>Bosnia y Herzegovina</v>
      </c>
      <c r="F354" s="9" t="str">
        <f ca="1">+WORLDCUP!BD61</f>
        <v>Estados Unidos</v>
      </c>
      <c r="G354" s="9" t="str">
        <f ca="1">+WORLDCUP!BD58</f>
        <v>Corea del Sur</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Alemania</v>
      </c>
      <c r="E355" s="9" t="str">
        <f ca="1">+WORLDCUP!BD59</f>
        <v>Bosnia y Herzegovina</v>
      </c>
      <c r="F355" s="9" t="str">
        <f ca="1">+WORLDCUP!BD61</f>
        <v>Estados Unidos</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Corea del Sur</v>
      </c>
      <c r="H356" s="9" t="str">
        <f ca="1">+WORLDCUP!BD63</f>
        <v>Suecia</v>
      </c>
      <c r="I356" s="9" t="str">
        <f ca="1">+WORLDCUP!BD69</f>
        <v>Ghana</v>
      </c>
      <c r="J356" s="9" t="str">
        <f ca="1">+WORLDCUP!BD62</f>
        <v>Alemania</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Corea del Sur</v>
      </c>
      <c r="H357" s="9" t="str">
        <f ca="1">+WORLDCUP!BD63</f>
        <v>Suecia</v>
      </c>
      <c r="I357" s="9" t="str">
        <f ca="1">+WORLDCUP!BD62</f>
        <v>Alemania</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Alemania</v>
      </c>
      <c r="E358" s="9" t="str">
        <f ca="1">+WORLDCUP!BD59</f>
        <v>Bosnia y Herzegovina</v>
      </c>
      <c r="F358" s="9" t="str">
        <f ca="1">+WORLDCUP!BD61</f>
        <v>Estados Unidos</v>
      </c>
      <c r="G358" s="9" t="str">
        <f ca="1">+WORLDCUP!BD58</f>
        <v>Corea del Sur</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Alemania</v>
      </c>
      <c r="E359" s="9" t="str">
        <f ca="1">+WORLDCUP!BD59</f>
        <v>Bosnia y Herzegovina</v>
      </c>
      <c r="F359" s="9" t="str">
        <f ca="1">+WORLDCUP!BD61</f>
        <v>Estados Unidos</v>
      </c>
      <c r="G359" s="9" t="str">
        <f ca="1">+WORLDCUP!BD58</f>
        <v>Corea del Sur</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Corea del Sur</v>
      </c>
      <c r="H360" s="9" t="str">
        <f ca="1">+WORLDCUP!BD63</f>
        <v>Suecia</v>
      </c>
      <c r="I360" s="9" t="str">
        <f ca="1">+WORLDCUP!BD62</f>
        <v>Alemania</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Alemania</v>
      </c>
      <c r="D361" s="9" t="str">
        <f ca="1">+WORLDCUP!BD64</f>
        <v>Irán</v>
      </c>
      <c r="E361" s="9" t="str">
        <f ca="1">+WORLDCUP!BD59</f>
        <v>Bosnia y Herzegovina</v>
      </c>
      <c r="F361" s="9" t="str">
        <f ca="1">+WORLDCUP!BD61</f>
        <v>Estados Unidos</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Alemania</v>
      </c>
      <c r="D362" s="9" t="str">
        <f ca="1">+WORLDCUP!BD64</f>
        <v>Irán</v>
      </c>
      <c r="E362" s="9" t="str">
        <f ca="1">+WORLDCUP!BD59</f>
        <v>Bosnia y Herzegovina</v>
      </c>
      <c r="F362" s="9" t="str">
        <f ca="1">+WORLDCUP!BD61</f>
        <v>Estados Unidos</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Alemania</v>
      </c>
      <c r="D363" s="9" t="str">
        <f ca="1">+WORLDCUP!BD64</f>
        <v>Irán</v>
      </c>
      <c r="E363" s="9" t="str">
        <f ca="1">+WORLDCUP!BD59</f>
        <v>Bosnia y Herzegovina</v>
      </c>
      <c r="F363" s="9" t="str">
        <f ca="1">+WORLDCUP!BD61</f>
        <v>Estados Unidos</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Alemania</v>
      </c>
      <c r="D364" s="9" t="str">
        <f ca="1">+WORLDCUP!BD64</f>
        <v>Irán</v>
      </c>
      <c r="E364" s="9" t="str">
        <f ca="1">+WORLDCUP!BD59</f>
        <v>Bosnia y Herzegovina</v>
      </c>
      <c r="F364" s="9" t="str">
        <f ca="1">+WORLDCUP!BD61</f>
        <v>Estados Unidos</v>
      </c>
      <c r="G364" s="9" t="str">
        <f ca="1">+WORLDCUP!BD58</f>
        <v>Corea del Sur</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Alemania</v>
      </c>
      <c r="D365" s="9" t="str">
        <f ca="1">+WORLDCUP!BD64</f>
        <v>Irán</v>
      </c>
      <c r="E365" s="9" t="str">
        <f ca="1">+WORLDCUP!BD59</f>
        <v>Bosnia y Herzegovina</v>
      </c>
      <c r="F365" s="9" t="str">
        <f ca="1">+WORLDCUP!BD61</f>
        <v>Estados Unidos</v>
      </c>
      <c r="G365" s="9" t="str">
        <f ca="1">+WORLDCUP!BD58</f>
        <v>Corea del Sur</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Alemania</v>
      </c>
      <c r="D366" s="9" t="str">
        <f ca="1">+WORLDCUP!BD64</f>
        <v>Irán</v>
      </c>
      <c r="E366" s="9" t="str">
        <f ca="1">+WORLDCUP!BD59</f>
        <v>Bosnia y Herzegovina</v>
      </c>
      <c r="F366" s="9" t="str">
        <f ca="1">+WORLDCUP!BD61</f>
        <v>Estados Unidos</v>
      </c>
      <c r="G366" s="9" t="str">
        <f ca="1">+WORLDCUP!BD58</f>
        <v>Corea del Sur</v>
      </c>
      <c r="H366" s="9" t="str">
        <f ca="1">+WORLDCUP!BD63</f>
        <v>Suecia</v>
      </c>
      <c r="I366" s="9" t="str">
        <f ca="1">+WORLDCUP!BD66</f>
        <v>Noruega</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Corea del Sur</v>
      </c>
      <c r="H367" s="9" t="str">
        <f ca="1">+WORLDCUP!BD63</f>
        <v>Suecia</v>
      </c>
      <c r="I367" s="9" t="str">
        <f ca="1">+WORLDCUP!BD69</f>
        <v>Ghana</v>
      </c>
      <c r="J367" s="9" t="str">
        <f ca="1">+WORLDCUP!BD62</f>
        <v>Alemania</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Corea del Sur</v>
      </c>
      <c r="H368" s="9" t="str">
        <f ca="1">+WORLDCUP!BD63</f>
        <v>Suecia</v>
      </c>
      <c r="I368" s="9" t="str">
        <f ca="1">+WORLDCUP!BD62</f>
        <v>Alemania</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Corea del Sur</v>
      </c>
      <c r="H369" s="9" t="str">
        <f ca="1">+WORLDCUP!BD63</f>
        <v>Suecia</v>
      </c>
      <c r="I369" s="9" t="str">
        <f ca="1">+WORLDCUP!BD62</f>
        <v>Alemania</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Corea del Sur</v>
      </c>
      <c r="H370" s="9" t="str">
        <f ca="1">+WORLDCUP!BD63</f>
        <v>Suecia</v>
      </c>
      <c r="I370" s="9" t="str">
        <f ca="1">+WORLDCUP!BD62</f>
        <v>Alemania</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Noruega</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Alemania</v>
      </c>
      <c r="D392" s="9" t="str">
        <f ca="1">+WORLDCUP!BD67</f>
        <v>Argelia</v>
      </c>
      <c r="E392" s="9" t="str">
        <f ca="1">+WORLDCUP!BD59</f>
        <v>Bosnia y Herzegovina</v>
      </c>
      <c r="F392" s="9" t="str">
        <f ca="1">+WORLDCUP!BD58</f>
        <v>Corea del Sur</v>
      </c>
      <c r="G392" s="9" t="str">
        <f ca="1">+WORLDCUP!BD66</f>
        <v>Noruega</v>
      </c>
      <c r="H392" s="9" t="str">
        <f ca="1">+WORLDCUP!BD60</f>
        <v>Marruecos</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Alemania</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Alemania</v>
      </c>
      <c r="D394" s="9" t="str">
        <f ca="1">+WORLDCUP!BD66</f>
        <v>Noruega</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Alemania</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Alemania</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Alemania</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Alemania</v>
      </c>
      <c r="D398" s="9" t="str">
        <f ca="1">+WORLDCUP!BD64</f>
        <v>Irán</v>
      </c>
      <c r="E398" s="9" t="str">
        <f ca="1">+WORLDCUP!BD59</f>
        <v>Bosnia y Herzegovina</v>
      </c>
      <c r="F398" s="9" t="str">
        <f ca="1">+WORLDCUP!BD58</f>
        <v>Corea del Sur</v>
      </c>
      <c r="G398" s="9" t="str">
        <f ca="1">+WORLDCUP!BD66</f>
        <v>Noruega</v>
      </c>
      <c r="H398" s="9" t="str">
        <f ca="1">+WORLDCUP!BD60</f>
        <v>Marruecos</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Alemania</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Alemania</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Alemania</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Alemania</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Alemania</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Alemania</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Alemania</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Alemania</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Alemania</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Alemania</v>
      </c>
      <c r="D408" s="9" t="str">
        <f ca="1">+WORLDCUP!BD66</f>
        <v>Noruega</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Alemania</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Alemania</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Alemania</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Alemania</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Alemania</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Alemania</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Alemania</v>
      </c>
      <c r="E415" s="9" t="str">
        <f ca="1">+WORLDCUP!BD59</f>
        <v>Bosnia y Herzegovina</v>
      </c>
      <c r="F415" s="9" t="str">
        <f ca="1">+WORLDCUP!BD60</f>
        <v>Marruecos</v>
      </c>
      <c r="G415" s="9" t="str">
        <f ca="1">+WORLDCUP!BD58</f>
        <v>Corea del Sur</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Alemania</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Alemania</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Alemania</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Alemania</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Alemania</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Alemania</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Alemania</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Noruega</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Alemania</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Alemania</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Alemania</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Alemania</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Argelia</v>
      </c>
      <c r="E427" s="9" t="str">
        <f ca="1">+WORLDCUP!BD59</f>
        <v>Bosnia y Herzegovina</v>
      </c>
      <c r="F427" s="9" t="str">
        <f ca="1">+WORLDCUP!BD60</f>
        <v>Marruecos</v>
      </c>
      <c r="G427" s="9" t="str">
        <f ca="1">+WORLDCUP!BD58</f>
        <v>Corea del Sur</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Marruecos</v>
      </c>
      <c r="G429" s="9" t="str">
        <f ca="1">+WORLDCUP!BD58</f>
        <v>Corea del Sur</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Estados Unidos</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Marruecos</v>
      </c>
      <c r="G433" s="9" t="str">
        <f ca="1">+WORLDCUP!BD58</f>
        <v>Corea del Sur</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Estados Unidos</v>
      </c>
      <c r="G434" s="9" t="str">
        <f ca="1">+WORLDCUP!BD58</f>
        <v>Corea del Sur</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Estados Unidos</v>
      </c>
      <c r="G435" s="9" t="str">
        <f ca="1">+WORLDCUP!BD58</f>
        <v>Corea del Sur</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Estados Unidos</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Estados Unidos</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Estados Unidos</v>
      </c>
      <c r="I441" s="9" t="str">
        <f ca="1">+WORLDCUP!BD66</f>
        <v>Noruega</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Estados Unidos</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Noruega</v>
      </c>
      <c r="E443" s="9" t="str">
        <f ca="1">+WORLDCUP!BD59</f>
        <v>Bosnia y Herzegovina</v>
      </c>
      <c r="F443" s="9" t="str">
        <f ca="1">+WORLDCUP!BD61</f>
        <v>Estados Unidos</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Estados Unidos</v>
      </c>
      <c r="G444" s="9" t="str">
        <f ca="1">+WORLDCUP!BD58</f>
        <v>Corea del Sur</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Estados Unidos</v>
      </c>
      <c r="G445" s="9" t="str">
        <f ca="1">+WORLDCUP!BD58</f>
        <v>Corea del Sur</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Estados Unidos</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Estados Unidos</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Estados Unidos</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Estados Unidos</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Estados Unidos</v>
      </c>
      <c r="G455" s="9" t="str">
        <f ca="1">+WORLDCUP!BD58</f>
        <v>Corea del Sur</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Estados Unidos</v>
      </c>
      <c r="G456" s="9" t="str">
        <f ca="1">+WORLDCUP!BD58</f>
        <v>Corea del Sur</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Estados Unidos</v>
      </c>
      <c r="G457" s="9" t="str">
        <f ca="1">+WORLDCUP!BD58</f>
        <v>Corea del Sur</v>
      </c>
      <c r="H457" s="9" t="str">
        <f ca="1">+WORLDCUP!BD63</f>
        <v>Suecia</v>
      </c>
      <c r="I457" s="9" t="str">
        <f ca="1">+WORLDCUP!BD66</f>
        <v>Noruega</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Estados Unidos</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Alemania</v>
      </c>
      <c r="D462" s="9" t="str">
        <f ca="1">+WORLDCUP!BD67</f>
        <v>Argelia</v>
      </c>
      <c r="E462" s="9" t="str">
        <f ca="1">+WORLDCUP!BD59</f>
        <v>Bosnia y Herzegovina</v>
      </c>
      <c r="F462" s="9" t="str">
        <f ca="1">+WORLDCUP!BD60</f>
        <v>Marruecos</v>
      </c>
      <c r="G462" s="9" t="str">
        <f ca="1">+WORLDCUP!BD58</f>
        <v>Corea del Sur</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Alemania</v>
      </c>
      <c r="D463" s="9" t="str">
        <f ca="1">+WORLDCUP!BD66</f>
        <v>Noruega</v>
      </c>
      <c r="E463" s="9" t="str">
        <f ca="1">+WORLDCUP!BD59</f>
        <v>Bosnia y Herzegovina</v>
      </c>
      <c r="F463" s="9" t="str">
        <f ca="1">+WORLDCUP!BD60</f>
        <v>Marruecos</v>
      </c>
      <c r="G463" s="9" t="str">
        <f ca="1">+WORLDCUP!BD58</f>
        <v>Corea del Sur</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Alemania</v>
      </c>
      <c r="D464" s="9" t="str">
        <f ca="1">+WORLDCUP!BD67</f>
        <v>Argelia</v>
      </c>
      <c r="E464" s="9" t="str">
        <f ca="1">+WORLDCUP!BD59</f>
        <v>Bosnia y Herzegovina</v>
      </c>
      <c r="F464" s="9" t="str">
        <f ca="1">+WORLDCUP!BD60</f>
        <v>Marruecos</v>
      </c>
      <c r="G464" s="9" t="str">
        <f ca="1">+WORLDCUP!BD58</f>
        <v>Corea del Sur</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Alemania</v>
      </c>
      <c r="D465" s="9" t="str">
        <f ca="1">+WORLDCUP!BD67</f>
        <v>Argelia</v>
      </c>
      <c r="E465" s="9" t="str">
        <f ca="1">+WORLDCUP!BD59</f>
        <v>Bosnia y Herzegovina</v>
      </c>
      <c r="F465" s="9" t="str">
        <f ca="1">+WORLDCUP!BD60</f>
        <v>Marruecos</v>
      </c>
      <c r="G465" s="9" t="str">
        <f ca="1">+WORLDCUP!BD58</f>
        <v>Corea del Sur</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Alemania</v>
      </c>
      <c r="E466" s="9" t="str">
        <f ca="1">+WORLDCUP!BD59</f>
        <v>Bosnia y Herzegovina</v>
      </c>
      <c r="F466" s="9" t="str">
        <f ca="1">+WORLDCUP!BD60</f>
        <v>Marruecos</v>
      </c>
      <c r="G466" s="9" t="str">
        <f ca="1">+WORLDCUP!BD58</f>
        <v>Corea del Sur</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Estados Unidos</v>
      </c>
      <c r="I467" s="9" t="str">
        <f ca="1">+WORLDCUP!BD69</f>
        <v>Ghana</v>
      </c>
      <c r="J467" s="9" t="str">
        <f ca="1">+WORLDCUP!BD62</f>
        <v>Alemania</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Estados Unidos</v>
      </c>
      <c r="I468" s="9" t="str">
        <f ca="1">+WORLDCUP!BD62</f>
        <v>Alemania</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Alemania</v>
      </c>
      <c r="E469" s="9" t="str">
        <f ca="1">+WORLDCUP!BD59</f>
        <v>Bosnia y Herzegovina</v>
      </c>
      <c r="F469" s="9" t="str">
        <f ca="1">+WORLDCUP!BD60</f>
        <v>Marruecos</v>
      </c>
      <c r="G469" s="9" t="str">
        <f ca="1">+WORLDCUP!BD58</f>
        <v>Corea del Sur</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Alemania</v>
      </c>
      <c r="E470" s="9" t="str">
        <f ca="1">+WORLDCUP!BD59</f>
        <v>Bosnia y Herzegovina</v>
      </c>
      <c r="F470" s="9" t="str">
        <f ca="1">+WORLDCUP!BD60</f>
        <v>Marruecos</v>
      </c>
      <c r="G470" s="9" t="str">
        <f ca="1">+WORLDCUP!BD58</f>
        <v>Corea del Sur</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Estados Unidos</v>
      </c>
      <c r="I471" s="9" t="str">
        <f ca="1">+WORLDCUP!BD62</f>
        <v>Alemania</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Alemania</v>
      </c>
      <c r="D472" s="9" t="str">
        <f ca="1">+WORLDCUP!BD64</f>
        <v>Irán</v>
      </c>
      <c r="E472" s="9" t="str">
        <f ca="1">+WORLDCUP!BD59</f>
        <v>Bosnia y Herzegovina</v>
      </c>
      <c r="F472" s="9" t="str">
        <f ca="1">+WORLDCUP!BD60</f>
        <v>Marruecos</v>
      </c>
      <c r="G472" s="9" t="str">
        <f ca="1">+WORLDCUP!BD58</f>
        <v>Corea del Sur</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Alemania</v>
      </c>
      <c r="D473" s="9" t="str">
        <f ca="1">+WORLDCUP!BD64</f>
        <v>Irán</v>
      </c>
      <c r="E473" s="9" t="str">
        <f ca="1">+WORLDCUP!BD59</f>
        <v>Bosnia y Herzegovina</v>
      </c>
      <c r="F473" s="9" t="str">
        <f ca="1">+WORLDCUP!BD60</f>
        <v>Marruecos</v>
      </c>
      <c r="G473" s="9" t="str">
        <f ca="1">+WORLDCUP!BD58</f>
        <v>Corea del Sur</v>
      </c>
      <c r="H473" s="9" t="str">
        <f ca="1">+WORLDCUP!BD61</f>
        <v>Estados Unidos</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Alemania</v>
      </c>
      <c r="D474" s="9" t="str">
        <f ca="1">+WORLDCUP!BD64</f>
        <v>Irán</v>
      </c>
      <c r="E474" s="9" t="str">
        <f ca="1">+WORLDCUP!BD59</f>
        <v>Bosnia y Herzegovina</v>
      </c>
      <c r="F474" s="9" t="str">
        <f ca="1">+WORLDCUP!BD60</f>
        <v>Marruecos</v>
      </c>
      <c r="G474" s="9" t="str">
        <f ca="1">+WORLDCUP!BD58</f>
        <v>Corea del Sur</v>
      </c>
      <c r="H474" s="9" t="str">
        <f ca="1">+WORLDCUP!BD61</f>
        <v>Estados Unidos</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Alemania</v>
      </c>
      <c r="D475" s="9" t="str">
        <f ca="1">+WORLDCUP!BD64</f>
        <v>Irán</v>
      </c>
      <c r="E475" s="9" t="str">
        <f ca="1">+WORLDCUP!BD59</f>
        <v>Bosnia y Herzegovina</v>
      </c>
      <c r="F475" s="9" t="str">
        <f ca="1">+WORLDCUP!BD60</f>
        <v>Marruecos</v>
      </c>
      <c r="G475" s="9" t="str">
        <f ca="1">+WORLDCUP!BD58</f>
        <v>Corea del Sur</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Alemania</v>
      </c>
      <c r="D476" s="9" t="str">
        <f ca="1">+WORLDCUP!BD64</f>
        <v>Irán</v>
      </c>
      <c r="E476" s="9" t="str">
        <f ca="1">+WORLDCUP!BD59</f>
        <v>Bosnia y Herzegovina</v>
      </c>
      <c r="F476" s="9" t="str">
        <f ca="1">+WORLDCUP!BD60</f>
        <v>Marruecos</v>
      </c>
      <c r="G476" s="9" t="str">
        <f ca="1">+WORLDCUP!BD58</f>
        <v>Corea del Sur</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Alemania</v>
      </c>
      <c r="D477" s="9" t="str">
        <f ca="1">+WORLDCUP!BD64</f>
        <v>Irán</v>
      </c>
      <c r="E477" s="9" t="str">
        <f ca="1">+WORLDCUP!BD59</f>
        <v>Bosnia y Herzegovina</v>
      </c>
      <c r="F477" s="9" t="str">
        <f ca="1">+WORLDCUP!BD60</f>
        <v>Marruecos</v>
      </c>
      <c r="G477" s="9" t="str">
        <f ca="1">+WORLDCUP!BD58</f>
        <v>Corea del Sur</v>
      </c>
      <c r="H477" s="9" t="str">
        <f ca="1">+WORLDCUP!BD61</f>
        <v>Estados Unidos</v>
      </c>
      <c r="I477" s="9" t="str">
        <f ca="1">+WORLDCUP!BD66</f>
        <v>Noruega</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Estados Unidos</v>
      </c>
      <c r="I478" s="9" t="str">
        <f ca="1">+WORLDCUP!BD69</f>
        <v>Ghana</v>
      </c>
      <c r="J478" s="9" t="str">
        <f ca="1">+WORLDCUP!BD62</f>
        <v>Alemania</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Estados Unidos</v>
      </c>
      <c r="I479" s="9" t="str">
        <f ca="1">+WORLDCUP!BD62</f>
        <v>Alemania</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Estados Unidos</v>
      </c>
      <c r="I480" s="9" t="str">
        <f ca="1">+WORLDCUP!BD62</f>
        <v>Alemania</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Estados Unidos</v>
      </c>
      <c r="I481" s="9" t="str">
        <f ca="1">+WORLDCUP!BD62</f>
        <v>Alemania</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Alemania</v>
      </c>
      <c r="E482" s="9" t="str">
        <f ca="1">+WORLDCUP!BD59</f>
        <v>Bosnia y Herzegovina</v>
      </c>
      <c r="F482" s="9" t="str">
        <f ca="1">+WORLDCUP!BD61</f>
        <v>Estados Unidos</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Estados Unidos</v>
      </c>
      <c r="G483" s="9" t="str">
        <f ca="1">+WORLDCUP!BD58</f>
        <v>Corea del Sur</v>
      </c>
      <c r="H483" s="9" t="str">
        <f ca="1">+WORLDCUP!BD63</f>
        <v>Suecia</v>
      </c>
      <c r="I483" s="9" t="str">
        <f ca="1">+WORLDCUP!BD69</f>
        <v>Ghana</v>
      </c>
      <c r="J483" s="9" t="str">
        <f ca="1">+WORLDCUP!BD62</f>
        <v>Alemania</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Estados Unidos</v>
      </c>
      <c r="G484" s="9" t="str">
        <f ca="1">+WORLDCUP!BD58</f>
        <v>Corea del Sur</v>
      </c>
      <c r="H484" s="9" t="str">
        <f ca="1">+WORLDCUP!BD63</f>
        <v>Suecia</v>
      </c>
      <c r="I484" s="9" t="str">
        <f ca="1">+WORLDCUP!BD62</f>
        <v>Alemania</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Alemania</v>
      </c>
      <c r="E485" s="9" t="str">
        <f ca="1">+WORLDCUP!BD59</f>
        <v>Bosnia y Herzegovina</v>
      </c>
      <c r="F485" s="9" t="str">
        <f ca="1">+WORLDCUP!BD61</f>
        <v>Estados Unidos</v>
      </c>
      <c r="G485" s="9" t="str">
        <f ca="1">+WORLDCUP!BD58</f>
        <v>Corea del Sur</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Alemania</v>
      </c>
      <c r="E486" s="9" t="str">
        <f ca="1">+WORLDCUP!BD59</f>
        <v>Bosnia y Herzegovina</v>
      </c>
      <c r="F486" s="9" t="str">
        <f ca="1">+WORLDCUP!BD61</f>
        <v>Estados Unidos</v>
      </c>
      <c r="G486" s="9" t="str">
        <f ca="1">+WORLDCUP!BD58</f>
        <v>Corea del Sur</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Estados Unidos</v>
      </c>
      <c r="G487" s="9" t="str">
        <f ca="1">+WORLDCUP!BD58</f>
        <v>Corea del Sur</v>
      </c>
      <c r="H487" s="9" t="str">
        <f ca="1">+WORLDCUP!BD63</f>
        <v>Suecia</v>
      </c>
      <c r="I487" s="9" t="str">
        <f ca="1">+WORLDCUP!BD62</f>
        <v>Alemania</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Estados Unidos</v>
      </c>
      <c r="I488" s="9" t="str">
        <f ca="1">+WORLDCUP!BD69</f>
        <v>Ghana</v>
      </c>
      <c r="J488" s="9" t="str">
        <f ca="1">+WORLDCUP!BD62</f>
        <v>Alemania</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Alemania</v>
      </c>
      <c r="E489" s="9" t="str">
        <f ca="1">+WORLDCUP!BD59</f>
        <v>Bosnia y Herzegovina</v>
      </c>
      <c r="F489" s="9" t="str">
        <f ca="1">+WORLDCUP!BD60</f>
        <v>Marruecos</v>
      </c>
      <c r="G489" s="9" t="str">
        <f ca="1">+WORLDCUP!BD58</f>
        <v>Corea del Sur</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Estados Unidos</v>
      </c>
      <c r="J490" s="9" t="str">
        <f ca="1">+WORLDCUP!BD62</f>
        <v>Alemania</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Alemania</v>
      </c>
      <c r="E491" s="9" t="str">
        <f ca="1">+WORLDCUP!BD59</f>
        <v>Bosnia y Herzegovina</v>
      </c>
      <c r="F491" s="9" t="str">
        <f ca="1">+WORLDCUP!BD60</f>
        <v>Marruecos</v>
      </c>
      <c r="G491" s="9" t="str">
        <f ca="1">+WORLDCUP!BD58</f>
        <v>Corea del Sur</v>
      </c>
      <c r="H491" s="9" t="str">
        <f ca="1">+WORLDCUP!BD63</f>
        <v>Suecia</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Estados Unidos</v>
      </c>
      <c r="G492" s="9" t="str">
        <f ca="1">+WORLDCUP!BD58</f>
        <v>Corea del Sur</v>
      </c>
      <c r="H492" s="9" t="str">
        <f ca="1">+WORLDCUP!BD63</f>
        <v>Suecia</v>
      </c>
      <c r="I492" s="9" t="str">
        <f ca="1">+WORLDCUP!BD69</f>
        <v>Ghana</v>
      </c>
      <c r="J492" s="9" t="str">
        <f ca="1">+WORLDCUP!BD62</f>
        <v>Alemania</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Estados Unidos</v>
      </c>
      <c r="G493" s="9" t="str">
        <f ca="1">+WORLDCUP!BD58</f>
        <v>Corea del Sur</v>
      </c>
      <c r="H493" s="9" t="str">
        <f ca="1">+WORLDCUP!BD63</f>
        <v>Suecia</v>
      </c>
      <c r="I493" s="9" t="str">
        <f ca="1">+WORLDCUP!BD62</f>
        <v>Alemania</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Estados Unidos</v>
      </c>
      <c r="G494" s="9" t="str">
        <f ca="1">+WORLDCUP!BD58</f>
        <v>Corea del Sur</v>
      </c>
      <c r="H494" s="9" t="str">
        <f ca="1">+WORLDCUP!BD63</f>
        <v>Suecia</v>
      </c>
      <c r="I494" s="9" t="str">
        <f ca="1">+WORLDCUP!BD62</f>
        <v>Alemania</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Estados Unidos</v>
      </c>
      <c r="G495" s="9" t="str">
        <f ca="1">+WORLDCUP!BD58</f>
        <v>Corea del Sur</v>
      </c>
      <c r="H495" s="9" t="str">
        <f ca="1">+WORLDCUP!BD63</f>
        <v>Suecia</v>
      </c>
      <c r="I495" s="9" t="str">
        <f ca="1">+WORLDCUP!BD62</f>
        <v>Alemania</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Estados Unidos</v>
      </c>
      <c r="J496" s="9" t="str">
        <f ca="1">+WORLDCUP!BD62</f>
        <v>Alemania</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defaultColWidth="10.76171875" defaultRowHeight="15" x14ac:dyDescent="0.2"/>
  <cols>
    <col min="1" max="1" width="2.95703125" style="5" customWidth="1"/>
    <col min="2" max="2" width="15.73828125" style="5" customWidth="1"/>
    <col min="3" max="3" width="35.78125" style="5" customWidth="1"/>
    <col min="4" max="4" width="0.40234375" style="5" customWidth="1"/>
    <col min="5" max="5" width="10.76171875" style="5" customWidth="1"/>
    <col min="6" max="6" width="0.40234375" style="5" customWidth="1"/>
    <col min="7" max="10" width="10.76171875" style="5" customWidth="1"/>
    <col min="11" max="11" width="4.03515625" style="5" customWidth="1"/>
    <col min="12" max="12" width="19.1015625" style="5" customWidth="1"/>
    <col min="13" max="13" width="10.76171875" style="5" customWidth="1"/>
    <col min="14" max="17" width="15.73828125" style="5" customWidth="1"/>
    <col min="18" max="18" width="22.734375" style="5" customWidth="1"/>
    <col min="20" max="22" width="10.76171875" style="16" customWidth="1"/>
    <col min="23" max="24" width="10.76171875" style="16" hidden="1" customWidth="1"/>
    <col min="25" max="25" width="10.76171875" style="16" customWidth="1"/>
    <col min="26" max="28" width="10.76171875" style="14" customWidth="1"/>
    <col min="29" max="149" width="10.76171875" style="5" customWidth="1"/>
    <col min="150" max="158" width="10.76171875" style="14" customWidth="1"/>
    <col min="159" max="161" width="10.76171875" style="5" customWidth="1"/>
    <col min="162" max="16384" width="10.7617187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19.899999999999999"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19.899999999999999"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1.9"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19.899999999999999"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1.9"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19.899999999999999"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1.9"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19.899999999999999"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1.9"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19.899999999999999"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1.9"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19.899999999999999"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149999999999999" customHeight="1" thickBot="1" x14ac:dyDescent="0.25">
      <c r="A33" s="224"/>
      <c r="K33" s="224"/>
    </row>
    <row r="34" spans="1:17" ht="28.1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1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15"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149999999999999"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149999999999999"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149999999999999" customHeight="1" x14ac:dyDescent="0.2">
      <c r="L92" s="3"/>
      <c r="M92" s="3"/>
      <c r="N92" s="397" t="s">
        <v>1294</v>
      </c>
      <c r="O92" s="397" t="s">
        <v>1295</v>
      </c>
      <c r="P92" s="397" t="s">
        <v>1315</v>
      </c>
      <c r="Q92" s="397" t="s">
        <v>1316</v>
      </c>
      <c r="R92" s="397" t="s">
        <v>1297</v>
      </c>
      <c r="Z92" s="6"/>
      <c r="AA92" s="6"/>
      <c r="AB92" s="6"/>
    </row>
    <row r="93" spans="12:28" ht="25.1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453125" defaultRowHeight="15" customHeight="1" x14ac:dyDescent="0.2"/>
  <cols>
    <col min="1" max="1" width="6.72265625" style="6" bestFit="1" customWidth="1"/>
    <col min="2" max="2" width="16.8125" style="6" customWidth="1"/>
    <col min="3" max="3" width="11.43359375" style="6" customWidth="1"/>
    <col min="4" max="4" width="8.7421875" style="6" bestFit="1" customWidth="1"/>
    <col min="5" max="5" width="11.296875" style="6" customWidth="1"/>
    <col min="6" max="6" width="15.33203125" style="6" customWidth="1"/>
    <col min="7" max="7" width="4.16796875" style="6" bestFit="1" customWidth="1"/>
    <col min="8" max="8" width="20.4453125" style="6" customWidth="1"/>
    <col min="9" max="9" width="13.046875" style="6" customWidth="1"/>
    <col min="10" max="10" width="11.97265625" style="6" customWidth="1"/>
    <col min="11" max="11" width="20.4453125" style="6" customWidth="1"/>
    <col min="12" max="13" width="0" style="6" hidden="1"/>
    <col min="14" max="14" width="4.4375" style="602" customWidth="1"/>
    <col min="15" max="17" width="20.4453125" style="603" customWidth="1"/>
    <col min="18" max="16384" width="20.445312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defaultColWidth="10.76171875" defaultRowHeight="15" x14ac:dyDescent="0.2"/>
  <cols>
    <col min="1" max="1" width="13.046875" style="14" bestFit="1" customWidth="1"/>
    <col min="2" max="2" width="4.9765625" style="14" customWidth="1"/>
    <col min="3" max="3" width="12.375" style="14" customWidth="1"/>
    <col min="4" max="4" width="13.046875" style="14" customWidth="1"/>
    <col min="5" max="5" width="12.375" style="14" bestFit="1" customWidth="1"/>
    <col min="6" max="6" width="10.76171875" style="14" customWidth="1"/>
    <col min="7" max="7" width="12.375" style="14" bestFit="1" customWidth="1"/>
    <col min="8" max="9" width="10.76171875" style="14" customWidth="1"/>
    <col min="10" max="10" width="13.44921875" style="14" customWidth="1"/>
    <col min="11" max="15" width="10.76171875" style="14" customWidth="1"/>
    <col min="16" max="16" width="4.83984375" style="14" bestFit="1" customWidth="1"/>
    <col min="17" max="17" width="17.75390625" style="14" bestFit="1" customWidth="1"/>
    <col min="18" max="18" width="11.1640625" style="14" bestFit="1" customWidth="1"/>
    <col min="19" max="19" width="11.02734375" style="14" bestFit="1" customWidth="1"/>
    <col min="20" max="20" width="10.35546875" style="14" bestFit="1" customWidth="1"/>
    <col min="21" max="21" width="10.4921875" style="14" customWidth="1"/>
    <col min="22" max="22" width="10.35546875" style="14" customWidth="1"/>
    <col min="23" max="23" width="3.359375" style="14" bestFit="1" customWidth="1"/>
    <col min="24" max="26" width="10.76171875" style="14" customWidth="1"/>
    <col min="27" max="27" width="6.45703125" style="14" customWidth="1"/>
    <col min="28" max="33" width="10.76171875" style="14" customWidth="1"/>
    <col min="34" max="34" width="3.359375" style="14" bestFit="1" customWidth="1"/>
    <col min="35" max="37" width="10.76171875" style="14" customWidth="1"/>
    <col min="38" max="16384" width="10.7617187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149999999999999"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149999999999999"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149999999999999"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149999999999999"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149999999999999"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149999999999999"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149999999999999"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149999999999999"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149999999999999"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149999999999999"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149999999999999"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149999999999999"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149999999999999"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149999999999999"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149999999999999"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149999999999999"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149999999999999"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149999999999999"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149999999999999"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149999999999999"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149999999999999"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149999999999999"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149999999999999"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149999999999999"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149999999999999"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149999999999999"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149999999999999"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149999999999999"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149999999999999"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149999999999999"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149999999999999"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149999999999999"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149999999999999"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149999999999999"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149999999999999"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149999999999999"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149999999999999"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149999999999999"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149999999999999"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149999999999999"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149999999999999"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149999999999999"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alejandro ortega</cp:lastModifiedBy>
  <cp:lastPrinted>2018-12-06T18:06:35Z</cp:lastPrinted>
  <dcterms:created xsi:type="dcterms:W3CDTF">2015-10-31T09:41:54Z</dcterms:created>
  <dcterms:modified xsi:type="dcterms:W3CDTF">2026-06-06T17:51:21Z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
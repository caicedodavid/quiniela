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d0c0b74/worldcup-fantasy/data/players/"/>
    </mc:Choice>
  </mc:AlternateContent>
  <xr:revisionPtr revIDLastSave="0" documentId="13_ncr:1_{EFEDFFAE-8573-E44D-88D6-7CC053B9762B}" xr6:coauthVersionLast="47" xr6:coauthVersionMax="47" xr10:uidLastSave="{00000000-0000-0000-0000-000000000000}"/>
  <bookViews>
    <workbookView xWindow="0" yWindow="660" windowWidth="15960" windowHeight="18080" firstSheet="1" activeTab="8" xr2:uid="{00000000-000D-0000-FFFF-FFFF00000000}"/>
  </bookViews>
  <sheets>
    <sheet name="Home" sheetId="1" r:id="rId1"/>
    <sheet name="WORLDCUP" sheetId="2" r:id="rId2"/>
    <sheet name="Pool" sheetId="3" r:id="rId3"/>
    <sheet name="16" sheetId="6" r:id="rId4"/>
    <sheet name="8" sheetId="7" r:id="rId5"/>
    <sheet name="Fixture" sheetId="4" r:id="rId6"/>
    <sheet name="4" sheetId="9" r:id="rId7"/>
    <sheet name="2" sheetId="10" r:id="rId8"/>
    <sheet name="1" sheetId="11" r:id="rId9"/>
    <sheet name="Credits" sheetId="5"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91" i="5" l="1" a="1"/>
  <c r="Y91" i="5" s="1"/>
  <c r="X91" i="5" a="1"/>
  <c r="X91" i="5" s="1"/>
  <c r="W91" i="5" a="1"/>
  <c r="W91" i="5" s="1"/>
  <c r="V91" i="5" a="1"/>
  <c r="V91" i="5" s="1"/>
  <c r="U91" i="5" a="1"/>
  <c r="U91" i="5" s="1"/>
  <c r="O87" i="5" a="1"/>
  <c r="O87" i="5" s="1"/>
  <c r="FA6144" i="5" s="1" a="1"/>
  <c r="FA6144" i="5" s="1"/>
  <c r="N87" i="5" a="1"/>
  <c r="N87" i="5" s="1"/>
  <c r="EZ6144" i="5" s="1" a="1"/>
  <c r="EZ6144" i="5" s="1"/>
  <c r="Q48" i="4" a="1"/>
  <c r="Q48" i="4" s="1"/>
  <c r="P48" i="4" a="1"/>
  <c r="P48" i="4" s="1"/>
  <c r="E48" i="4" a="1"/>
  <c r="E48" i="4" s="1"/>
  <c r="D48" i="4" a="1"/>
  <c r="D48" i="4" s="1"/>
  <c r="Q47" i="4" a="1"/>
  <c r="Q47" i="4" s="1"/>
  <c r="P47" i="4" a="1"/>
  <c r="P47" i="4" s="1"/>
  <c r="E47" i="4" a="1"/>
  <c r="E47" i="4" s="1"/>
  <c r="D47" i="4" a="1"/>
  <c r="D47" i="4" s="1"/>
  <c r="Q46" i="4" a="1"/>
  <c r="Q46" i="4" s="1"/>
  <c r="P46" i="4" a="1"/>
  <c r="P46" i="4" s="1"/>
  <c r="E46" i="4" a="1"/>
  <c r="E46" i="4" s="1"/>
  <c r="D46" i="4" a="1"/>
  <c r="D46" i="4" s="1"/>
  <c r="Q45" i="4" a="1"/>
  <c r="Q45" i="4" s="1"/>
  <c r="P45" i="4" a="1"/>
  <c r="P45" i="4" s="1"/>
  <c r="E45" i="4" a="1"/>
  <c r="E45" i="4" s="1"/>
  <c r="D45" i="4" a="1"/>
  <c r="D45" i="4" s="1"/>
  <c r="Q44" i="4" a="1"/>
  <c r="Q44" i="4" s="1"/>
  <c r="P44" i="4" a="1"/>
  <c r="P44" i="4" s="1"/>
  <c r="E44" i="4" a="1"/>
  <c r="E44" i="4" s="1"/>
  <c r="D44" i="4" a="1"/>
  <c r="D44" i="4" s="1"/>
  <c r="Q43" i="4" a="1"/>
  <c r="Q43" i="4" s="1"/>
  <c r="P43" i="4" a="1"/>
  <c r="P43" i="4" s="1"/>
  <c r="E43" i="4" a="1"/>
  <c r="E43" i="4" s="1"/>
  <c r="D43" i="4" a="1"/>
  <c r="D43" i="4" s="1"/>
  <c r="Q40" i="4" a="1"/>
  <c r="Q40" i="4" s="1"/>
  <c r="P40" i="4" a="1"/>
  <c r="P40" i="4" s="1"/>
  <c r="E40" i="4" a="1"/>
  <c r="E40" i="4" s="1"/>
  <c r="D40" i="4" a="1"/>
  <c r="D40" i="4" s="1"/>
  <c r="Q39" i="4" a="1"/>
  <c r="Q39" i="4" s="1"/>
  <c r="P39" i="4" a="1"/>
  <c r="P39" i="4" s="1"/>
  <c r="E39" i="4" a="1"/>
  <c r="E39" i="4" s="1"/>
  <c r="D39" i="4" a="1"/>
  <c r="D39" i="4" s="1"/>
  <c r="Q38" i="4" a="1"/>
  <c r="Q38" i="4" s="1"/>
  <c r="P38" i="4" a="1"/>
  <c r="P38" i="4" s="1"/>
  <c r="E38" i="4" a="1"/>
  <c r="E38" i="4" s="1"/>
  <c r="D38" i="4" a="1"/>
  <c r="D38" i="4" s="1"/>
  <c r="Q37" i="4" a="1"/>
  <c r="Q37" i="4" s="1"/>
  <c r="P37" i="4" a="1"/>
  <c r="P37" i="4" s="1"/>
  <c r="E37" i="4" a="1"/>
  <c r="E37" i="4" s="1"/>
  <c r="D37" i="4" a="1"/>
  <c r="D37" i="4" s="1"/>
  <c r="Q36" i="4" a="1"/>
  <c r="Q36" i="4" s="1"/>
  <c r="P36" i="4" a="1"/>
  <c r="P36" i="4" s="1"/>
  <c r="E36" i="4" a="1"/>
  <c r="E36" i="4" s="1"/>
  <c r="D36" i="4" a="1"/>
  <c r="D36" i="4" s="1"/>
  <c r="Q35" i="4" a="1"/>
  <c r="Q35" i="4" s="1"/>
  <c r="P35" i="4" a="1"/>
  <c r="P35" i="4" s="1"/>
  <c r="E35" i="4" a="1"/>
  <c r="E35" i="4" s="1"/>
  <c r="D35" i="4" a="1"/>
  <c r="D35" i="4" s="1"/>
  <c r="Q32" i="4" a="1"/>
  <c r="Q32" i="4" s="1"/>
  <c r="P32" i="4" a="1"/>
  <c r="P32" i="4" s="1"/>
  <c r="E32" i="4" a="1"/>
  <c r="E32" i="4" s="1"/>
  <c r="D32" i="4" a="1"/>
  <c r="D32" i="4" s="1"/>
  <c r="Q31" i="4" a="1"/>
  <c r="Q31" i="4" s="1"/>
  <c r="P31" i="4" a="1"/>
  <c r="P31" i="4" s="1"/>
  <c r="E31" i="4" a="1"/>
  <c r="E31" i="4" s="1"/>
  <c r="D31" i="4" a="1"/>
  <c r="D31" i="4" s="1"/>
  <c r="Q30" i="4" a="1"/>
  <c r="Q30" i="4" s="1"/>
  <c r="P30" i="4" a="1"/>
  <c r="P30" i="4" s="1"/>
  <c r="E30" i="4" a="1"/>
  <c r="E30" i="4" s="1"/>
  <c r="D30" i="4" a="1"/>
  <c r="D30" i="4" s="1"/>
  <c r="Q29" i="4" a="1"/>
  <c r="Q29" i="4" s="1"/>
  <c r="P29" i="4" a="1"/>
  <c r="P29" i="4" s="1"/>
  <c r="E29" i="4" a="1"/>
  <c r="E29" i="4" s="1"/>
  <c r="D29" i="4" a="1"/>
  <c r="D29" i="4" s="1"/>
  <c r="Q28" i="4" a="1"/>
  <c r="Q28" i="4" s="1"/>
  <c r="P28" i="4" a="1"/>
  <c r="P28" i="4" s="1"/>
  <c r="E28" i="4" a="1"/>
  <c r="E28" i="4" s="1"/>
  <c r="D28" i="4" a="1"/>
  <c r="D28" i="4" s="1"/>
  <c r="Q27" i="4" a="1"/>
  <c r="Q27" i="4" s="1"/>
  <c r="P27" i="4" a="1"/>
  <c r="P27" i="4" s="1"/>
  <c r="E27" i="4" a="1"/>
  <c r="E27" i="4" s="1"/>
  <c r="D27" i="4" a="1"/>
  <c r="D27" i="4" s="1"/>
  <c r="Q24" i="4" a="1"/>
  <c r="Q24" i="4" s="1"/>
  <c r="P24" i="4" a="1"/>
  <c r="P24" i="4" s="1"/>
  <c r="E24" i="4" a="1"/>
  <c r="E24" i="4" s="1"/>
  <c r="D24" i="4" a="1"/>
  <c r="D24" i="4" s="1"/>
  <c r="Q23" i="4" a="1"/>
  <c r="Q23" i="4" s="1"/>
  <c r="P23" i="4" a="1"/>
  <c r="P23" i="4" s="1"/>
  <c r="E23" i="4" a="1"/>
  <c r="E23" i="4" s="1"/>
  <c r="D23" i="4" a="1"/>
  <c r="D23" i="4" s="1"/>
  <c r="Q22" i="4" a="1"/>
  <c r="Q22" i="4" s="1"/>
  <c r="P22" i="4" a="1"/>
  <c r="P22" i="4" s="1"/>
  <c r="E22" i="4" a="1"/>
  <c r="E22" i="4" s="1"/>
  <c r="D22" i="4" a="1"/>
  <c r="D22" i="4" s="1"/>
  <c r="Q21" i="4" a="1"/>
  <c r="Q21" i="4" s="1"/>
  <c r="P21" i="4" a="1"/>
  <c r="P21" i="4" s="1"/>
  <c r="E21" i="4" a="1"/>
  <c r="E21" i="4" s="1"/>
  <c r="D21" i="4" a="1"/>
  <c r="D21" i="4" s="1"/>
  <c r="Q20" i="4" a="1"/>
  <c r="Q20" i="4" s="1"/>
  <c r="P20" i="4" a="1"/>
  <c r="P20" i="4" s="1"/>
  <c r="E20" i="4" a="1"/>
  <c r="E20" i="4" s="1"/>
  <c r="D20" i="4" a="1"/>
  <c r="D20" i="4" s="1"/>
  <c r="Q19" i="4" a="1"/>
  <c r="Q19" i="4" s="1"/>
  <c r="P19" i="4" a="1"/>
  <c r="P19" i="4" s="1"/>
  <c r="E19" i="4" a="1"/>
  <c r="E19" i="4" s="1"/>
  <c r="D19" i="4" a="1"/>
  <c r="D19" i="4" s="1"/>
  <c r="Q16" i="4" a="1"/>
  <c r="Q16" i="4" s="1"/>
  <c r="P16" i="4" a="1"/>
  <c r="P16" i="4" s="1"/>
  <c r="E16" i="4" a="1"/>
  <c r="E16" i="4" s="1"/>
  <c r="D16" i="4" a="1"/>
  <c r="D16" i="4" s="1"/>
  <c r="Q15" i="4" a="1"/>
  <c r="Q15" i="4" s="1"/>
  <c r="P15" i="4" a="1"/>
  <c r="P15" i="4" s="1"/>
  <c r="E15" i="4" a="1"/>
  <c r="E15" i="4" s="1"/>
  <c r="D15" i="4" a="1"/>
  <c r="D15" i="4" s="1"/>
  <c r="Q14" i="4" a="1"/>
  <c r="Q14" i="4" s="1"/>
  <c r="P14" i="4" a="1"/>
  <c r="P14" i="4" s="1"/>
  <c r="E14" i="4" a="1"/>
  <c r="E14" i="4" s="1"/>
  <c r="D14" i="4" a="1"/>
  <c r="D14" i="4" s="1"/>
  <c r="Q13" i="4" a="1"/>
  <c r="Q13" i="4" s="1"/>
  <c r="P13" i="4" a="1"/>
  <c r="P13" i="4" s="1"/>
  <c r="E13" i="4" a="1"/>
  <c r="E13" i="4" s="1"/>
  <c r="D13" i="4" a="1"/>
  <c r="D13" i="4" s="1"/>
  <c r="Q12" i="4" a="1"/>
  <c r="Q12" i="4" s="1"/>
  <c r="P12" i="4" a="1"/>
  <c r="P12" i="4" s="1"/>
  <c r="E12" i="4" a="1"/>
  <c r="E12" i="4" s="1"/>
  <c r="D12" i="4" a="1"/>
  <c r="D12" i="4" s="1"/>
  <c r="Q11" i="4" a="1"/>
  <c r="Q11" i="4" s="1"/>
  <c r="P11" i="4" a="1"/>
  <c r="P11" i="4" s="1"/>
  <c r="I11" i="4" a="1"/>
  <c r="I11" i="4" s="1"/>
  <c r="I19" i="4" s="1" a="1"/>
  <c r="I19" i="4" s="1"/>
  <c r="I27" i="4" s="1" a="1"/>
  <c r="I27" i="4" s="1"/>
  <c r="I35" i="4" s="1" a="1"/>
  <c r="I35" i="4" s="1"/>
  <c r="I43" i="4" s="1" a="1"/>
  <c r="I43" i="4" s="1"/>
  <c r="U3" i="4" s="1" a="1"/>
  <c r="U3" i="4" s="1"/>
  <c r="U11" i="4" s="1" a="1"/>
  <c r="U11" i="4" s="1"/>
  <c r="U19" i="4" s="1" a="1"/>
  <c r="U19" i="4" s="1"/>
  <c r="U27" i="4" s="1" a="1"/>
  <c r="U27" i="4" s="1"/>
  <c r="U35" i="4" s="1" a="1"/>
  <c r="U35" i="4" s="1"/>
  <c r="U43" i="4" s="1" a="1"/>
  <c r="U43" i="4" s="1"/>
  <c r="E11" i="4" a="1"/>
  <c r="E11" i="4" s="1"/>
  <c r="D11" i="4" a="1"/>
  <c r="D11" i="4" s="1"/>
  <c r="Q8" i="4" a="1"/>
  <c r="Q8" i="4" s="1"/>
  <c r="P8" i="4" a="1"/>
  <c r="P8" i="4" s="1"/>
  <c r="E8" i="4" a="1"/>
  <c r="E8" i="4" s="1"/>
  <c r="D8" i="4" a="1"/>
  <c r="D8" i="4" s="1"/>
  <c r="Q7" i="4" a="1"/>
  <c r="Q7" i="4" s="1"/>
  <c r="P7" i="4" a="1"/>
  <c r="P7" i="4" s="1"/>
  <c r="E7" i="4" a="1"/>
  <c r="E7" i="4" s="1"/>
  <c r="D7" i="4" a="1"/>
  <c r="D7" i="4" s="1"/>
  <c r="Q6" i="4" a="1"/>
  <c r="Q6" i="4" s="1"/>
  <c r="P6" i="4" a="1"/>
  <c r="P6" i="4" s="1"/>
  <c r="E6" i="4" a="1"/>
  <c r="E6" i="4" s="1"/>
  <c r="D6" i="4" a="1"/>
  <c r="D6" i="4" s="1"/>
  <c r="Q5" i="4" a="1"/>
  <c r="Q5" i="4" s="1"/>
  <c r="P5" i="4" a="1"/>
  <c r="P5" i="4" s="1"/>
  <c r="E5" i="4" a="1"/>
  <c r="E5" i="4" s="1"/>
  <c r="D5" i="4" a="1"/>
  <c r="D5" i="4" s="1"/>
  <c r="Q4" i="4" a="1"/>
  <c r="Q4" i="4" s="1"/>
  <c r="P4" i="4" a="1"/>
  <c r="P4" i="4" s="1"/>
  <c r="E4" i="4" a="1"/>
  <c r="E4" i="4" s="1"/>
  <c r="D4" i="4" a="1"/>
  <c r="D4" i="4" s="1"/>
  <c r="Q3" i="4" a="1"/>
  <c r="Q3" i="4" s="1"/>
  <c r="P3" i="4" a="1"/>
  <c r="P3" i="4" s="1"/>
  <c r="K3" i="4" a="1"/>
  <c r="K3" i="4" s="1"/>
  <c r="K11" i="4" s="1" a="1"/>
  <c r="K11" i="4" s="1"/>
  <c r="K19" i="4" s="1" a="1"/>
  <c r="K19" i="4" s="1"/>
  <c r="K27" i="4" s="1" a="1"/>
  <c r="K27" i="4" s="1"/>
  <c r="K35" i="4" s="1" a="1"/>
  <c r="K35" i="4" s="1"/>
  <c r="K43" i="4" s="1" a="1"/>
  <c r="K43" i="4" s="1"/>
  <c r="W3" i="4" s="1" a="1"/>
  <c r="W3" i="4" s="1"/>
  <c r="W11" i="4" s="1" a="1"/>
  <c r="W11" i="4" s="1"/>
  <c r="W19" i="4" s="1" a="1"/>
  <c r="W19" i="4" s="1"/>
  <c r="W27" i="4" s="1" a="1"/>
  <c r="W27" i="4" s="1"/>
  <c r="W35" i="4" s="1" a="1"/>
  <c r="W35" i="4" s="1"/>
  <c r="W43" i="4" s="1" a="1"/>
  <c r="W43" i="4" s="1"/>
  <c r="J3" i="4" a="1"/>
  <c r="J3" i="4" s="1"/>
  <c r="J11" i="4" s="1" a="1"/>
  <c r="J11" i="4" s="1"/>
  <c r="J19" i="4" s="1" a="1"/>
  <c r="J19" i="4" s="1"/>
  <c r="J27" i="4" s="1" a="1"/>
  <c r="J27" i="4" s="1"/>
  <c r="J35" i="4" s="1" a="1"/>
  <c r="J35" i="4" s="1"/>
  <c r="J43" i="4" s="1" a="1"/>
  <c r="J43" i="4" s="1"/>
  <c r="V3" i="4" s="1" a="1"/>
  <c r="V3" i="4" s="1"/>
  <c r="V11" i="4" s="1" a="1"/>
  <c r="V11" i="4" s="1"/>
  <c r="V19" i="4" s="1" a="1"/>
  <c r="V19" i="4" s="1"/>
  <c r="V27" i="4" s="1" a="1"/>
  <c r="V27" i="4" s="1"/>
  <c r="V35" i="4" s="1" a="1"/>
  <c r="V35" i="4" s="1"/>
  <c r="V43" i="4" s="1" a="1"/>
  <c r="V43" i="4" s="1"/>
  <c r="H3" i="4" a="1"/>
  <c r="H3" i="4" s="1"/>
  <c r="H11" i="4" s="1" a="1"/>
  <c r="H11" i="4" s="1"/>
  <c r="H19" i="4" s="1" a="1"/>
  <c r="H19" i="4" s="1"/>
  <c r="H27" i="4" s="1" a="1"/>
  <c r="H27" i="4" s="1"/>
  <c r="H35" i="4" s="1" a="1"/>
  <c r="H35" i="4" s="1"/>
  <c r="H43" i="4" s="1" a="1"/>
  <c r="H43" i="4" s="1"/>
  <c r="T3" i="4" s="1" a="1"/>
  <c r="T3" i="4" s="1"/>
  <c r="T11" i="4" s="1" a="1"/>
  <c r="T11" i="4" s="1"/>
  <c r="T19" i="4" s="1" a="1"/>
  <c r="T19" i="4" s="1"/>
  <c r="T27" i="4" s="1" a="1"/>
  <c r="T27" i="4" s="1"/>
  <c r="T35" i="4" s="1" a="1"/>
  <c r="T35" i="4" s="1"/>
  <c r="T43" i="4" s="1" a="1"/>
  <c r="T43" i="4" s="1"/>
  <c r="E3" i="4" a="1"/>
  <c r="E3" i="4" s="1"/>
  <c r="D3" i="4" a="1"/>
  <c r="D3" i="4" s="1"/>
  <c r="C258" i="3" a="1"/>
  <c r="C258" i="3" s="1"/>
  <c r="B258" i="3" a="1"/>
  <c r="B258" i="3" s="1"/>
  <c r="C257" i="3" a="1"/>
  <c r="C257" i="3" s="1"/>
  <c r="B257" i="3" a="1"/>
  <c r="B257" i="3" s="1"/>
  <c r="C256" i="3" a="1"/>
  <c r="C256" i="3" s="1"/>
  <c r="B256" i="3" a="1"/>
  <c r="B256" i="3" s="1"/>
  <c r="C255" i="3" a="1"/>
  <c r="C255" i="3" s="1"/>
  <c r="B255" i="3" a="1"/>
  <c r="B255" i="3" s="1"/>
  <c r="C254" i="3" a="1"/>
  <c r="C254" i="3" s="1"/>
  <c r="B254" i="3" a="1"/>
  <c r="B254" i="3" s="1"/>
  <c r="C253" i="3" a="1"/>
  <c r="C253" i="3" s="1"/>
  <c r="B253" i="3" a="1"/>
  <c r="B253" i="3" s="1"/>
  <c r="B252" i="3" a="1"/>
  <c r="B252" i="3" s="1"/>
  <c r="B251" i="3" a="1"/>
  <c r="B251" i="3" s="1"/>
  <c r="B250" i="3" a="1"/>
  <c r="B250" i="3" s="1"/>
  <c r="B241" i="3" a="1"/>
  <c r="B241" i="3" s="1"/>
  <c r="B211" i="3" a="1"/>
  <c r="B211" i="3" s="1"/>
  <c r="B212" i="3" s="1" a="1"/>
  <c r="B212" i="3" s="1"/>
  <c r="B213" i="3" s="1" a="1"/>
  <c r="B213" i="3" s="1"/>
  <c r="B214" i="3" s="1" a="1"/>
  <c r="B214" i="3" s="1"/>
  <c r="B215" i="3" s="1" a="1"/>
  <c r="B215" i="3" s="1"/>
  <c r="B216" i="3" s="1" a="1"/>
  <c r="B216" i="3" s="1"/>
  <c r="B217" i="3" s="1" a="1"/>
  <c r="B217" i="3" s="1"/>
  <c r="B183" i="3" a="1"/>
  <c r="B183" i="3" s="1"/>
  <c r="B184" i="3" s="1" a="1"/>
  <c r="B184" i="3" s="1"/>
  <c r="B185" i="3" s="1" a="1"/>
  <c r="B185" i="3" s="1"/>
  <c r="B186" i="3" s="1" a="1"/>
  <c r="B186" i="3" s="1"/>
  <c r="B187" i="3" s="1" a="1"/>
  <c r="B187" i="3" s="1"/>
  <c r="B188" i="3" s="1" a="1"/>
  <c r="B188" i="3" s="1"/>
  <c r="B189" i="3" s="1" a="1"/>
  <c r="B189" i="3" s="1"/>
  <c r="B190" i="3" s="1" a="1"/>
  <c r="B190" i="3" s="1"/>
  <c r="B191" i="3" s="1" a="1"/>
  <c r="B191" i="3" s="1"/>
  <c r="B192" i="3" s="1" a="1"/>
  <c r="B192" i="3" s="1"/>
  <c r="B193" i="3" s="1" a="1"/>
  <c r="B193" i="3" s="1"/>
  <c r="B194" i="3" s="1" a="1"/>
  <c r="B194" i="3" s="1"/>
  <c r="B195" i="3" s="1" a="1"/>
  <c r="B195" i="3" s="1"/>
  <c r="B196" i="3" s="1" a="1"/>
  <c r="B196" i="3" s="1"/>
  <c r="B197" i="3" s="1" a="1"/>
  <c r="B197" i="3" s="1"/>
  <c r="B147" i="3" a="1"/>
  <c r="B147" i="3" s="1"/>
  <c r="B148" i="3" s="1" a="1"/>
  <c r="B148" i="3" s="1"/>
  <c r="B149" i="3" s="1" a="1"/>
  <c r="B149" i="3" s="1"/>
  <c r="B150" i="3" s="1" a="1"/>
  <c r="B150" i="3" s="1"/>
  <c r="B151" i="3" s="1" a="1"/>
  <c r="B151" i="3" s="1"/>
  <c r="B152" i="3" s="1" a="1"/>
  <c r="B152" i="3" s="1"/>
  <c r="B153" i="3" s="1" a="1"/>
  <c r="B153" i="3" s="1"/>
  <c r="B154" i="3" s="1" a="1"/>
  <c r="B154" i="3" s="1"/>
  <c r="B155" i="3" s="1" a="1"/>
  <c r="B155" i="3" s="1"/>
  <c r="B156" i="3" s="1" a="1"/>
  <c r="B156" i="3" s="1"/>
  <c r="B157" i="3" s="1" a="1"/>
  <c r="B157" i="3" s="1"/>
  <c r="B158" i="3" s="1" a="1"/>
  <c r="B158" i="3" s="1"/>
  <c r="B159" i="3" s="1" a="1"/>
  <c r="B159" i="3" s="1"/>
  <c r="B160" i="3" s="1" a="1"/>
  <c r="B160" i="3" s="1"/>
  <c r="B161" i="3" s="1" a="1"/>
  <c r="B161" i="3" s="1"/>
  <c r="B131" i="3" a="1"/>
  <c r="B131" i="3" s="1"/>
  <c r="B132" i="3" s="1" a="1"/>
  <c r="B132" i="3" s="1"/>
  <c r="B133" i="3" s="1" a="1"/>
  <c r="B133" i="3" s="1"/>
  <c r="B134" i="3" s="1" a="1"/>
  <c r="B134" i="3" s="1"/>
  <c r="B135" i="3" s="1" a="1"/>
  <c r="B135" i="3" s="1"/>
  <c r="B136" i="3" s="1" a="1"/>
  <c r="B136" i="3" s="1"/>
  <c r="B137" i="3" s="1" a="1"/>
  <c r="B137" i="3" s="1"/>
  <c r="B138" i="3" s="1" a="1"/>
  <c r="B138" i="3" s="1"/>
  <c r="B139" i="3" s="1" a="1"/>
  <c r="B139" i="3" s="1"/>
  <c r="B140" i="3" s="1" a="1"/>
  <c r="B140" i="3" s="1"/>
  <c r="B141" i="3" s="1" a="1"/>
  <c r="B141" i="3" s="1"/>
  <c r="B142" i="3" s="1" a="1"/>
  <c r="B142" i="3" s="1"/>
  <c r="B143" i="3" s="1" a="1"/>
  <c r="B143" i="3" s="1"/>
  <c r="B144" i="3" s="1" a="1"/>
  <c r="B144" i="3" s="1"/>
  <c r="B145" i="3" s="1" a="1"/>
  <c r="B145" i="3" s="1"/>
  <c r="C77" i="3" a="1"/>
  <c r="C77" i="3" s="1"/>
  <c r="C76" i="3" a="1"/>
  <c r="C76" i="3" s="1"/>
  <c r="C75" i="3" a="1"/>
  <c r="C75" i="3" s="1"/>
  <c r="C74" i="3" a="1"/>
  <c r="C74" i="3" s="1"/>
  <c r="C73" i="3" a="1"/>
  <c r="C73" i="3" s="1"/>
  <c r="C72" i="3" a="1"/>
  <c r="C72" i="3" s="1"/>
  <c r="C71" i="3" a="1"/>
  <c r="C71" i="3" s="1"/>
  <c r="C70" i="3" a="1"/>
  <c r="C70" i="3" s="1"/>
  <c r="C69" i="3" a="1"/>
  <c r="C69" i="3" s="1"/>
  <c r="C68" i="3" a="1"/>
  <c r="C68" i="3" s="1"/>
  <c r="C67" i="3" a="1"/>
  <c r="C67" i="3" s="1"/>
  <c r="C66" i="3" a="1"/>
  <c r="C66" i="3" s="1"/>
  <c r="C65" i="3" a="1"/>
  <c r="C65" i="3" s="1"/>
  <c r="C64" i="3" a="1"/>
  <c r="C64" i="3" s="1"/>
  <c r="C63" i="3" a="1"/>
  <c r="C63" i="3" s="1"/>
  <c r="C62" i="3" a="1"/>
  <c r="C62" i="3" s="1"/>
  <c r="C61" i="3" a="1"/>
  <c r="C61" i="3" s="1"/>
  <c r="C60" i="3" a="1"/>
  <c r="C60" i="3" s="1"/>
  <c r="C59" i="3" a="1"/>
  <c r="C59" i="3" s="1"/>
  <c r="C58" i="3" a="1"/>
  <c r="C58" i="3" s="1"/>
  <c r="C57" i="3" a="1"/>
  <c r="C57" i="3" s="1"/>
  <c r="C56" i="3" a="1"/>
  <c r="C56" i="3" s="1"/>
  <c r="C55" i="3" a="1"/>
  <c r="C55" i="3" s="1"/>
  <c r="C54" i="3" a="1"/>
  <c r="C54" i="3" s="1"/>
  <c r="C53" i="3" a="1"/>
  <c r="C53" i="3" s="1"/>
  <c r="C52" i="3" a="1"/>
  <c r="C52" i="3" s="1"/>
  <c r="C51" i="3" a="1"/>
  <c r="C51" i="3" s="1"/>
  <c r="C50" i="3" a="1"/>
  <c r="C50" i="3" s="1"/>
  <c r="C49" i="3" a="1"/>
  <c r="C49" i="3" s="1"/>
  <c r="C48" i="3" a="1"/>
  <c r="C48" i="3" s="1"/>
  <c r="C47" i="3" a="1"/>
  <c r="C47" i="3" s="1"/>
  <c r="C46" i="3" a="1"/>
  <c r="C46" i="3" s="1"/>
  <c r="C45" i="3" a="1"/>
  <c r="C45" i="3" s="1"/>
  <c r="C44" i="3" a="1"/>
  <c r="C44" i="3" s="1"/>
  <c r="C43" i="3" a="1"/>
  <c r="C43" i="3" s="1"/>
  <c r="C42" i="3" a="1"/>
  <c r="C42" i="3" s="1"/>
  <c r="C41" i="3" a="1"/>
  <c r="C41" i="3" s="1"/>
  <c r="C40" i="3" a="1"/>
  <c r="C40" i="3" s="1"/>
  <c r="C39" i="3" a="1"/>
  <c r="C39" i="3" s="1"/>
  <c r="C38" i="3" a="1"/>
  <c r="C38" i="3" s="1"/>
  <c r="C37" i="3" a="1"/>
  <c r="C37" i="3" s="1"/>
  <c r="C36" i="3" a="1"/>
  <c r="C36" i="3" s="1"/>
  <c r="C35" i="3" a="1"/>
  <c r="C35" i="3" s="1"/>
  <c r="C34" i="3" a="1"/>
  <c r="C34" i="3" s="1"/>
  <c r="C33" i="3" a="1"/>
  <c r="C33" i="3" s="1"/>
  <c r="C32" i="3" a="1"/>
  <c r="C32" i="3" s="1"/>
  <c r="C31" i="3" a="1"/>
  <c r="C31" i="3" s="1"/>
  <c r="C30" i="3" a="1"/>
  <c r="C30" i="3" s="1"/>
  <c r="C29" i="3" a="1"/>
  <c r="C29" i="3" s="1"/>
  <c r="C28" i="3" a="1"/>
  <c r="C28" i="3" s="1"/>
  <c r="C27" i="3" a="1"/>
  <c r="C27" i="3" s="1"/>
  <c r="C26" i="3" a="1"/>
  <c r="C26" i="3" s="1"/>
  <c r="C25" i="3" a="1"/>
  <c r="C25" i="3" s="1"/>
  <c r="C24" i="3" a="1"/>
  <c r="C24" i="3" s="1"/>
  <c r="C23" i="3" a="1"/>
  <c r="C23" i="3" s="1"/>
  <c r="C22" i="3" a="1"/>
  <c r="C22" i="3" s="1"/>
  <c r="C21" i="3" a="1"/>
  <c r="C21" i="3" s="1"/>
  <c r="C20" i="3" a="1"/>
  <c r="C20" i="3" s="1"/>
  <c r="C19" i="3" a="1"/>
  <c r="C19" i="3" s="1"/>
  <c r="C18" i="3" a="1"/>
  <c r="C18" i="3" s="1"/>
  <c r="C17" i="3" a="1"/>
  <c r="C17" i="3" s="1"/>
  <c r="C16" i="3" a="1"/>
  <c r="C16" i="3" s="1"/>
  <c r="C15" i="3" a="1"/>
  <c r="C15" i="3" s="1"/>
  <c r="C14" i="3" a="1"/>
  <c r="C14" i="3" s="1"/>
  <c r="C13" i="3" a="1"/>
  <c r="C13" i="3" s="1"/>
  <c r="C12" i="3" a="1"/>
  <c r="C12" i="3" s="1"/>
  <c r="C11" i="3" a="1"/>
  <c r="C11" i="3" s="1"/>
  <c r="C10" i="3" a="1"/>
  <c r="C10" i="3" s="1"/>
  <c r="C9" i="3" a="1"/>
  <c r="C9" i="3" s="1"/>
  <c r="C8" i="3" a="1"/>
  <c r="C8" i="3" s="1"/>
  <c r="C7" i="3" a="1"/>
  <c r="C7" i="3" s="1"/>
  <c r="C6" i="3" a="1"/>
  <c r="C6" i="3" s="1"/>
  <c r="C5" i="3" a="1"/>
  <c r="C5" i="3" s="1"/>
  <c r="AG160" i="2" a="1"/>
  <c r="AG160" i="2" s="1"/>
  <c r="AG159" i="2" a="1"/>
  <c r="AG159" i="2" s="1"/>
  <c r="AG158" i="2" a="1"/>
  <c r="AG158" i="2" s="1"/>
  <c r="AG156" i="2" a="1"/>
  <c r="AG156" i="2" s="1"/>
  <c r="AG155" i="2" a="1"/>
  <c r="AG155" i="2" s="1"/>
  <c r="AG154" i="2" a="1"/>
  <c r="AG154" i="2" s="1"/>
  <c r="AA152" i="2" a="1"/>
  <c r="AA152" i="2" s="1"/>
  <c r="AA151" i="2" a="1"/>
  <c r="AA151" i="2" s="1"/>
  <c r="AA150" i="2" a="1"/>
  <c r="AA150" i="2" s="1"/>
  <c r="BA21" i="4" s="1" a="1"/>
  <c r="BA21" i="4" s="1"/>
  <c r="AF147" i="2" a="1"/>
  <c r="AF147" i="2" s="1"/>
  <c r="C241" i="3" s="1" a="1"/>
  <c r="C241" i="3" s="1"/>
  <c r="AA147" i="2" a="1"/>
  <c r="AA147" i="2" s="1"/>
  <c r="Z147" i="2" a="1"/>
  <c r="Z147" i="2" s="1"/>
  <c r="H147" i="2" a="1"/>
  <c r="H147" i="2" s="1"/>
  <c r="D147" i="2" a="1"/>
  <c r="D147" i="2" s="1"/>
  <c r="AG147" i="2" s="1" a="1"/>
  <c r="AG147" i="2" s="1"/>
  <c r="AF146" i="2" a="1"/>
  <c r="AF146" i="2" s="1"/>
  <c r="AA146" i="2" a="1"/>
  <c r="AA146" i="2" s="1"/>
  <c r="Y146" i="2" a="1"/>
  <c r="Y146" i="2" s="1"/>
  <c r="X146" i="2" a="1"/>
  <c r="X146" i="2" s="1"/>
  <c r="AF143" i="2" a="1"/>
  <c r="AF143" i="2" s="1"/>
  <c r="C237" i="3" s="1" a="1"/>
  <c r="C237" i="3" s="1"/>
  <c r="AA143" i="2" a="1"/>
  <c r="AA143" i="2" s="1"/>
  <c r="Z143" i="2" a="1"/>
  <c r="Z143" i="2" s="1"/>
  <c r="D143" i="2" a="1"/>
  <c r="D143" i="2" s="1"/>
  <c r="AG143" i="2" s="1" a="1"/>
  <c r="AG143" i="2" s="1"/>
  <c r="AF142" i="2" a="1"/>
  <c r="AF142" i="2" s="1"/>
  <c r="AD142" i="2" a="1"/>
  <c r="AD142" i="2" s="1"/>
  <c r="AC142" i="2" a="1"/>
  <c r="AC142" i="2" s="1"/>
  <c r="AA142" i="2" a="1"/>
  <c r="AA142" i="2" s="1"/>
  <c r="Y142" i="2" a="1"/>
  <c r="Y142" i="2" s="1"/>
  <c r="X142" i="2" a="1"/>
  <c r="X142" i="2" s="1"/>
  <c r="Z139" i="2" a="1"/>
  <c r="Z139" i="2" s="1"/>
  <c r="H139" i="2" a="1"/>
  <c r="H139" i="2" s="1"/>
  <c r="D139" i="2" a="1"/>
  <c r="D139" i="2" s="1"/>
  <c r="AG139" i="2" s="1" a="1"/>
  <c r="AG139" i="2" s="1"/>
  <c r="Z138" i="2" a="1"/>
  <c r="Z138" i="2" s="1"/>
  <c r="H138" i="2" a="1"/>
  <c r="H138" i="2" s="1"/>
  <c r="D138" i="2" a="1"/>
  <c r="D138" i="2" s="1"/>
  <c r="AF137" i="2" a="1"/>
  <c r="AF137" i="2" s="1"/>
  <c r="AA137" i="2" a="1"/>
  <c r="AA137" i="2" s="1"/>
  <c r="Y137" i="2" a="1"/>
  <c r="Y137" i="2" s="1"/>
  <c r="X137" i="2" a="1"/>
  <c r="X137" i="2" s="1"/>
  <c r="Z134" i="2" a="1"/>
  <c r="Z134" i="2" s="1"/>
  <c r="D134" i="2" a="1"/>
  <c r="D134" i="2" s="1"/>
  <c r="Z133" i="2" a="1"/>
  <c r="Z133" i="2" s="1"/>
  <c r="D133" i="2" a="1"/>
  <c r="D133" i="2" s="1"/>
  <c r="AG133" i="2" s="1" a="1"/>
  <c r="AG133" i="2" s="1"/>
  <c r="Z132" i="2" a="1"/>
  <c r="Z132" i="2" s="1"/>
  <c r="D132" i="2" a="1"/>
  <c r="D132" i="2" s="1"/>
  <c r="Z131" i="2" a="1"/>
  <c r="Z131" i="2" s="1"/>
  <c r="D131" i="2" a="1"/>
  <c r="D131" i="2" s="1"/>
  <c r="AG131" i="2" s="1" a="1"/>
  <c r="AG131" i="2" s="1"/>
  <c r="AF130" i="2" a="1"/>
  <c r="AF130" i="2" s="1"/>
  <c r="AD130" i="2" a="1"/>
  <c r="AD130" i="2" s="1"/>
  <c r="AC130" i="2" a="1"/>
  <c r="AC130" i="2" s="1"/>
  <c r="AA130" i="2" a="1"/>
  <c r="AA130" i="2" s="1"/>
  <c r="Y130" i="2" a="1"/>
  <c r="Y130" i="2" s="1"/>
  <c r="X130" i="2" a="1"/>
  <c r="X130" i="2" s="1"/>
  <c r="Z127" i="2" a="1"/>
  <c r="Z127" i="2" s="1"/>
  <c r="D127" i="2" a="1"/>
  <c r="D127" i="2" s="1"/>
  <c r="Z126" i="2" a="1"/>
  <c r="Z126" i="2" s="1"/>
  <c r="D126" i="2" a="1"/>
  <c r="D126" i="2" s="1"/>
  <c r="M134" i="2" s="1" a="1"/>
  <c r="M134" i="2" s="1"/>
  <c r="AA134" i="2" s="1" a="1"/>
  <c r="AA134" i="2" s="1"/>
  <c r="Z125" i="2" a="1"/>
  <c r="Z125" i="2" s="1"/>
  <c r="D125" i="2" a="1"/>
  <c r="D125" i="2" s="1"/>
  <c r="N132" i="2" s="1" a="1"/>
  <c r="N132" i="2" s="1"/>
  <c r="AF132" i="2" s="1" a="1"/>
  <c r="AF132" i="2" s="1"/>
  <c r="C215" i="3" s="1" a="1"/>
  <c r="C215" i="3" s="1"/>
  <c r="Z124" i="2" a="1"/>
  <c r="Z124" i="2" s="1"/>
  <c r="D124" i="2" a="1"/>
  <c r="D124" i="2" s="1"/>
  <c r="AG124" i="2" s="1" a="1"/>
  <c r="AG124" i="2" s="1"/>
  <c r="Z123" i="2" a="1"/>
  <c r="Z123" i="2" s="1"/>
  <c r="D123" i="2" a="1"/>
  <c r="D123" i="2" s="1"/>
  <c r="Z122" i="2" a="1"/>
  <c r="Z122" i="2" s="1"/>
  <c r="D122" i="2" a="1"/>
  <c r="D122" i="2" s="1"/>
  <c r="AG122" i="2" s="1" a="1"/>
  <c r="AG122" i="2" s="1"/>
  <c r="Z121" i="2" a="1"/>
  <c r="Z121" i="2" s="1"/>
  <c r="D121" i="2" a="1"/>
  <c r="D121" i="2" s="1"/>
  <c r="Z120" i="2" a="1"/>
  <c r="Z120" i="2" s="1"/>
  <c r="D120" i="2" a="1"/>
  <c r="D120" i="2" s="1"/>
  <c r="AF119" i="2" a="1"/>
  <c r="AF119" i="2" s="1"/>
  <c r="AD119" i="2" a="1"/>
  <c r="AD119" i="2" s="1"/>
  <c r="AC119" i="2" a="1"/>
  <c r="AC119" i="2" s="1"/>
  <c r="AA119" i="2" a="1"/>
  <c r="AA119" i="2" s="1"/>
  <c r="Y119" i="2" a="1"/>
  <c r="Y119" i="2" s="1"/>
  <c r="X119" i="2" a="1"/>
  <c r="X119" i="2" s="1"/>
  <c r="AF116" i="2" a="1"/>
  <c r="AF116" i="2" s="1"/>
  <c r="C161" i="3" s="1" a="1"/>
  <c r="C161" i="3" s="1"/>
  <c r="Z116" i="2" a="1"/>
  <c r="Z116" i="2" s="1"/>
  <c r="D116" i="2" a="1"/>
  <c r="D116" i="2" s="1"/>
  <c r="AF115" i="2" a="1"/>
  <c r="AF115" i="2" s="1"/>
  <c r="C160" i="3" s="1" a="1"/>
  <c r="C160" i="3" s="1"/>
  <c r="Z115" i="2" a="1"/>
  <c r="Z115" i="2" s="1"/>
  <c r="D115" i="2" a="1"/>
  <c r="D115" i="2" s="1"/>
  <c r="M126" i="2" s="1" a="1"/>
  <c r="M126" i="2" s="1"/>
  <c r="AA126" i="2" s="1" a="1"/>
  <c r="AA126" i="2" s="1"/>
  <c r="AF114" i="2" a="1"/>
  <c r="AF114" i="2" s="1"/>
  <c r="C159" i="3" s="1" a="1"/>
  <c r="C159" i="3" s="1"/>
  <c r="Z114" i="2" a="1"/>
  <c r="Z114" i="2" s="1"/>
  <c r="D114" i="2" a="1"/>
  <c r="D114" i="2" s="1"/>
  <c r="N126" i="2" s="1" a="1"/>
  <c r="N126" i="2" s="1"/>
  <c r="AF126" i="2" s="1" a="1"/>
  <c r="AF126" i="2" s="1"/>
  <c r="C196" i="3" s="1" a="1"/>
  <c r="C196" i="3" s="1"/>
  <c r="AF113" i="2" a="1"/>
  <c r="AF113" i="2" s="1"/>
  <c r="C158" i="3" s="1" a="1"/>
  <c r="C158" i="3" s="1"/>
  <c r="Z113" i="2" a="1"/>
  <c r="Z113" i="2" s="1"/>
  <c r="D113" i="2" a="1"/>
  <c r="D113" i="2" s="1"/>
  <c r="AF112" i="2" a="1"/>
  <c r="AF112" i="2" s="1"/>
  <c r="C157" i="3" s="1" a="1"/>
  <c r="C157" i="3" s="1"/>
  <c r="Z112" i="2" a="1"/>
  <c r="Z112" i="2" s="1"/>
  <c r="D112" i="2" a="1"/>
  <c r="D112" i="2" s="1"/>
  <c r="AF111" i="2" a="1"/>
  <c r="AF111" i="2" s="1"/>
  <c r="C156" i="3" s="1" a="1"/>
  <c r="C156" i="3" s="1"/>
  <c r="Z111" i="2" a="1"/>
  <c r="Z111" i="2" s="1"/>
  <c r="D111" i="2" a="1"/>
  <c r="D111" i="2" s="1"/>
  <c r="AF110" i="2" a="1"/>
  <c r="AF110" i="2" s="1"/>
  <c r="C155" i="3" s="1" a="1"/>
  <c r="C155" i="3" s="1"/>
  <c r="Z110" i="2" a="1"/>
  <c r="Z110" i="2" s="1"/>
  <c r="D110" i="2" a="1"/>
  <c r="D110" i="2" s="1"/>
  <c r="AF109" i="2" a="1"/>
  <c r="AF109" i="2" s="1"/>
  <c r="C154" i="3" s="1" a="1"/>
  <c r="C154" i="3" s="1"/>
  <c r="Z109" i="2" a="1"/>
  <c r="Z109" i="2" s="1"/>
  <c r="D109" i="2" a="1"/>
  <c r="D109" i="2" s="1"/>
  <c r="AF108" i="2" a="1"/>
  <c r="AF108" i="2" s="1"/>
  <c r="C153" i="3" s="1" a="1"/>
  <c r="C153" i="3" s="1"/>
  <c r="Z108" i="2" a="1"/>
  <c r="Z108" i="2" s="1"/>
  <c r="D108" i="2" a="1"/>
  <c r="D108" i="2" s="1"/>
  <c r="N123" i="2" s="1" a="1"/>
  <c r="N123" i="2" s="1"/>
  <c r="AF123" i="2" s="1" a="1"/>
  <c r="AF123" i="2" s="1"/>
  <c r="C193" i="3" s="1" a="1"/>
  <c r="C193" i="3" s="1"/>
  <c r="AF107" i="2" a="1"/>
  <c r="AF107" i="2" s="1"/>
  <c r="C152" i="3" s="1" a="1"/>
  <c r="C152" i="3" s="1"/>
  <c r="Z107" i="2" a="1"/>
  <c r="Z107" i="2" s="1"/>
  <c r="D107" i="2" a="1"/>
  <c r="D107" i="2" s="1"/>
  <c r="M123" i="2" s="1" a="1"/>
  <c r="M123" i="2" s="1"/>
  <c r="AA123" i="2" s="1" a="1"/>
  <c r="AA123" i="2" s="1"/>
  <c r="AF106" i="2" a="1"/>
  <c r="AF106" i="2" s="1"/>
  <c r="C151" i="3" s="1" a="1"/>
  <c r="C151" i="3" s="1"/>
  <c r="Z106" i="2" a="1"/>
  <c r="Z106" i="2" s="1"/>
  <c r="D106" i="2" a="1"/>
  <c r="D106" i="2" s="1"/>
  <c r="AF105" i="2" a="1"/>
  <c r="AF105" i="2" s="1"/>
  <c r="C150" i="3" s="1" a="1"/>
  <c r="C150" i="3" s="1"/>
  <c r="Z105" i="2" a="1"/>
  <c r="Z105" i="2" s="1"/>
  <c r="D105" i="2" a="1"/>
  <c r="D105" i="2" s="1"/>
  <c r="AF104" i="2" a="1"/>
  <c r="AF104" i="2" s="1"/>
  <c r="C149" i="3" s="1" a="1"/>
  <c r="C149" i="3" s="1"/>
  <c r="Z104" i="2" a="1"/>
  <c r="Z104" i="2" s="1"/>
  <c r="D104" i="2" a="1"/>
  <c r="D104" i="2" s="1"/>
  <c r="AF103" i="2" a="1"/>
  <c r="AF103" i="2" s="1"/>
  <c r="C148" i="3" s="1" a="1"/>
  <c r="C148" i="3" s="1"/>
  <c r="Z103" i="2" a="1"/>
  <c r="Z103" i="2" s="1"/>
  <c r="D103" i="2" a="1"/>
  <c r="D103" i="2" s="1"/>
  <c r="AF102" i="2" a="1"/>
  <c r="AF102" i="2" s="1"/>
  <c r="C147" i="3" s="1" a="1"/>
  <c r="C147" i="3" s="1"/>
  <c r="Z102" i="2" a="1"/>
  <c r="Z102" i="2" s="1"/>
  <c r="D102" i="2" a="1"/>
  <c r="D102" i="2" s="1"/>
  <c r="M122" i="2" s="1" a="1"/>
  <c r="M122" i="2" s="1"/>
  <c r="AA122" i="2" s="1" a="1"/>
  <c r="AA122" i="2" s="1"/>
  <c r="AT101" i="2" a="1"/>
  <c r="AT101" i="2" s="1"/>
  <c r="AS101" i="2" a="1"/>
  <c r="AS101" i="2" s="1"/>
  <c r="AR101" i="2" a="1"/>
  <c r="AR101" i="2" s="1"/>
  <c r="AQ101" i="2" a="1"/>
  <c r="AQ101" i="2" s="1"/>
  <c r="AP101" i="2" a="1"/>
  <c r="AP101" i="2" s="1"/>
  <c r="AO101" i="2" a="1"/>
  <c r="AO101" i="2" s="1"/>
  <c r="AN101" i="2" a="1"/>
  <c r="AN101" i="2" s="1"/>
  <c r="AM101" i="2" a="1"/>
  <c r="AM101" i="2" s="1"/>
  <c r="AL101" i="2" a="1"/>
  <c r="AL101" i="2" s="1"/>
  <c r="AJ101" i="2" a="1"/>
  <c r="AJ101" i="2" s="1"/>
  <c r="AF101" i="2" a="1"/>
  <c r="AF101" i="2" s="1"/>
  <c r="C146" i="3" s="1" a="1"/>
  <c r="C146" i="3" s="1"/>
  <c r="Z101" i="2" a="1"/>
  <c r="Z101" i="2" s="1"/>
  <c r="D101" i="2" a="1"/>
  <c r="D101" i="2" s="1"/>
  <c r="M121" i="2" s="1" a="1"/>
  <c r="M121" i="2" s="1"/>
  <c r="AA120" i="2" s="1" a="1"/>
  <c r="AA120" i="2" s="1"/>
  <c r="AF100" i="2" a="1"/>
  <c r="AF100" i="2" s="1"/>
  <c r="AD100" i="2" a="1"/>
  <c r="AD100" i="2" s="1"/>
  <c r="AC100" i="2" a="1"/>
  <c r="AC100" i="2" s="1"/>
  <c r="AA100" i="2" a="1"/>
  <c r="AA100" i="2" s="1"/>
  <c r="Y100" i="2" a="1"/>
  <c r="Y100" i="2" s="1"/>
  <c r="X100" i="2" a="1"/>
  <c r="X100" i="2" s="1"/>
  <c r="AY97" i="2" a="1"/>
  <c r="AY97" i="2" s="1"/>
  <c r="AI97" i="2" a="1"/>
  <c r="AI97" i="2" s="1"/>
  <c r="AG97" i="2" a="1"/>
  <c r="AG97" i="2" s="1"/>
  <c r="AF97" i="2" a="1"/>
  <c r="AF97" i="2" s="1"/>
  <c r="R48" i="4" s="1" a="1"/>
  <c r="R48" i="4" s="1"/>
  <c r="AA97" i="2" a="1"/>
  <c r="AA97" i="2" s="1"/>
  <c r="Z97" i="2" a="1"/>
  <c r="Z97" i="2" s="1"/>
  <c r="D97" i="2" a="1"/>
  <c r="D97" i="2" s="1"/>
  <c r="AY96" i="2" a="1"/>
  <c r="AY96" i="2" s="1"/>
  <c r="AI96" i="2" a="1"/>
  <c r="AI96" i="2" s="1"/>
  <c r="AG96" i="2" a="1"/>
  <c r="AG96" i="2" s="1"/>
  <c r="AF96" i="2" a="1"/>
  <c r="AF96" i="2" s="1"/>
  <c r="AA96" i="2" a="1"/>
  <c r="AA96" i="2" s="1"/>
  <c r="Z96" i="2" a="1"/>
  <c r="Z96" i="2" s="1"/>
  <c r="D96" i="2" a="1"/>
  <c r="D96" i="2" s="1"/>
  <c r="AY95" i="2" a="1"/>
  <c r="AY95" i="2" s="1"/>
  <c r="AI95" i="2" a="1"/>
  <c r="AI95" i="2" s="1"/>
  <c r="AG95" i="2" a="1"/>
  <c r="AG95" i="2" s="1"/>
  <c r="AF95" i="2" a="1"/>
  <c r="AF95" i="2" s="1"/>
  <c r="R46" i="4" s="1" a="1"/>
  <c r="R46" i="4" s="1"/>
  <c r="AA95" i="2" a="1"/>
  <c r="AA95" i="2" s="1"/>
  <c r="Z95" i="2" a="1"/>
  <c r="Z95" i="2" s="1"/>
  <c r="D95" i="2" a="1"/>
  <c r="D95" i="2" s="1"/>
  <c r="AY94" i="2" a="1"/>
  <c r="AY94" i="2" s="1"/>
  <c r="AI94" i="2" a="1"/>
  <c r="AI94" i="2" s="1"/>
  <c r="AG94" i="2" a="1"/>
  <c r="AG94" i="2" s="1"/>
  <c r="AF94" i="2" a="1"/>
  <c r="AF94" i="2" s="1"/>
  <c r="R45" i="4" s="1" a="1"/>
  <c r="R45" i="4" s="1"/>
  <c r="AA94" i="2" a="1"/>
  <c r="AA94" i="2" s="1"/>
  <c r="Z94" i="2" a="1"/>
  <c r="Z94" i="2" s="1"/>
  <c r="D94" i="2" a="1"/>
  <c r="D94" i="2" s="1"/>
  <c r="AT93" i="2" a="1"/>
  <c r="AT93" i="2" s="1"/>
  <c r="AS93" i="2" a="1"/>
  <c r="AS93" i="2" s="1"/>
  <c r="AR93" i="2" a="1"/>
  <c r="AR93" i="2" s="1"/>
  <c r="AQ93" i="2" a="1"/>
  <c r="AQ93" i="2" s="1"/>
  <c r="AP93" i="2" a="1"/>
  <c r="AP93" i="2" s="1"/>
  <c r="AO93" i="2" a="1"/>
  <c r="AO93" i="2" s="1"/>
  <c r="AN93" i="2" a="1"/>
  <c r="AN93" i="2" s="1"/>
  <c r="AM93" i="2" a="1"/>
  <c r="AM93" i="2" s="1"/>
  <c r="AL93" i="2" a="1"/>
  <c r="AL93" i="2" s="1"/>
  <c r="AY93" i="2" s="1" a="1"/>
  <c r="AY93" i="2" s="1"/>
  <c r="AJ93" i="2" a="1"/>
  <c r="AJ93" i="2" s="1"/>
  <c r="AG93" i="2" a="1"/>
  <c r="AG93" i="2" s="1"/>
  <c r="AF93" i="2" a="1"/>
  <c r="AF93" i="2" s="1"/>
  <c r="AA93" i="2" a="1"/>
  <c r="AA93" i="2" s="1"/>
  <c r="O44" i="4" s="1" a="1"/>
  <c r="O44" i="4" s="1"/>
  <c r="Z93" i="2" a="1"/>
  <c r="Z93" i="2" s="1"/>
  <c r="D93" i="2" a="1"/>
  <c r="D93" i="2" s="1"/>
  <c r="AJ92" i="2" a="1"/>
  <c r="AJ92" i="2" s="1"/>
  <c r="AG92" i="2" a="1"/>
  <c r="AG92" i="2" s="1"/>
  <c r="AF92" i="2" a="1"/>
  <c r="AF92" i="2" s="1"/>
  <c r="R43" i="4" s="1" a="1"/>
  <c r="R43" i="4" s="1"/>
  <c r="AA92" i="2" a="1"/>
  <c r="AA92" i="2" s="1"/>
  <c r="O43" i="4" s="1" a="1"/>
  <c r="O43" i="4" s="1"/>
  <c r="Z92" i="2" a="1"/>
  <c r="Z92" i="2" s="1"/>
  <c r="D92" i="2" a="1"/>
  <c r="D92" i="2" s="1"/>
  <c r="AF91" i="2" a="1"/>
  <c r="AF91" i="2" s="1"/>
  <c r="AD91" i="2" a="1"/>
  <c r="AD91" i="2" s="1"/>
  <c r="AC91" i="2" a="1"/>
  <c r="AC91" i="2" s="1"/>
  <c r="AA91" i="2" a="1"/>
  <c r="AA91" i="2" s="1"/>
  <c r="Z91" i="2" a="1"/>
  <c r="Z91" i="2" s="1"/>
  <c r="Y91" i="2" a="1"/>
  <c r="Y91" i="2" s="1"/>
  <c r="X91" i="2" a="1"/>
  <c r="X91" i="2" s="1"/>
  <c r="AY89" i="2" a="1"/>
  <c r="AY89" i="2" s="1"/>
  <c r="AI89" i="2" a="1"/>
  <c r="AI89" i="2" s="1"/>
  <c r="AG89" i="2" a="1"/>
  <c r="AG89" i="2" s="1"/>
  <c r="AF89" i="2" a="1"/>
  <c r="AF89" i="2" s="1"/>
  <c r="R40" i="4" s="1" a="1"/>
  <c r="R40" i="4" s="1"/>
  <c r="AA89" i="2" a="1"/>
  <c r="AA89" i="2" s="1"/>
  <c r="Z89" i="2" a="1"/>
  <c r="Z89" i="2" s="1"/>
  <c r="D89" i="2" a="1"/>
  <c r="D89" i="2" s="1"/>
  <c r="AY88" i="2" a="1"/>
  <c r="AY88" i="2" s="1"/>
  <c r="AI88" i="2" a="1"/>
  <c r="AI88" i="2" s="1"/>
  <c r="AG88" i="2" a="1"/>
  <c r="AG88" i="2" s="1"/>
  <c r="AF88" i="2" a="1"/>
  <c r="AF88" i="2" s="1"/>
  <c r="R39" i="4" s="1" a="1"/>
  <c r="R39" i="4" s="1"/>
  <c r="AA88" i="2" a="1"/>
  <c r="AA88" i="2" s="1"/>
  <c r="Z88" i="2" a="1"/>
  <c r="Z88" i="2" s="1"/>
  <c r="D88" i="2" a="1"/>
  <c r="D88" i="2" s="1"/>
  <c r="AY87" i="2" a="1"/>
  <c r="AY87" i="2" s="1"/>
  <c r="AI87" i="2" a="1"/>
  <c r="AI87" i="2" s="1"/>
  <c r="AG87" i="2" a="1"/>
  <c r="AG87" i="2" s="1"/>
  <c r="AF87" i="2" a="1"/>
  <c r="AF87" i="2" s="1"/>
  <c r="R38" i="4" s="1" a="1"/>
  <c r="R38" i="4" s="1"/>
  <c r="AA87" i="2" a="1"/>
  <c r="AA87" i="2" s="1"/>
  <c r="Z87" i="2" a="1"/>
  <c r="Z87" i="2" s="1"/>
  <c r="D87" i="2" a="1"/>
  <c r="D87" i="2" s="1"/>
  <c r="AY86" i="2" a="1"/>
  <c r="AY86" i="2" s="1"/>
  <c r="AI86" i="2" a="1"/>
  <c r="AI86" i="2" s="1"/>
  <c r="AG86" i="2" a="1"/>
  <c r="AG86" i="2" s="1"/>
  <c r="AF86" i="2" a="1"/>
  <c r="AF86" i="2" s="1"/>
  <c r="R37" i="4" s="1" a="1"/>
  <c r="R37" i="4" s="1"/>
  <c r="AA86" i="2" a="1"/>
  <c r="AA86" i="2" s="1"/>
  <c r="Z86" i="2" a="1"/>
  <c r="Z86" i="2" s="1"/>
  <c r="D86" i="2" a="1"/>
  <c r="D86" i="2" s="1"/>
  <c r="AT85" i="2" a="1"/>
  <c r="AT85" i="2" s="1"/>
  <c r="AS85" i="2" a="1"/>
  <c r="AS85" i="2" s="1"/>
  <c r="AR85" i="2" a="1"/>
  <c r="AR85" i="2" s="1"/>
  <c r="AQ85" i="2" a="1"/>
  <c r="AQ85" i="2" s="1"/>
  <c r="AP85" i="2" a="1"/>
  <c r="AP85" i="2" s="1"/>
  <c r="AO85" i="2" a="1"/>
  <c r="AO85" i="2" s="1"/>
  <c r="AN85" i="2" a="1"/>
  <c r="AN85" i="2" s="1"/>
  <c r="AM85" i="2" a="1"/>
  <c r="AM85" i="2" s="1"/>
  <c r="AL85" i="2" a="1"/>
  <c r="AL85" i="2" s="1"/>
  <c r="AY85" i="2" s="1" a="1"/>
  <c r="AY85" i="2" s="1"/>
  <c r="AJ85" i="2" a="1"/>
  <c r="AJ85" i="2" s="1"/>
  <c r="AG85" i="2" a="1"/>
  <c r="AG85" i="2" s="1"/>
  <c r="AF85" i="2" a="1"/>
  <c r="AF85" i="2" s="1"/>
  <c r="AA85" i="2" a="1"/>
  <c r="AA85" i="2" s="1"/>
  <c r="Z85" i="2" a="1"/>
  <c r="Z85" i="2" s="1"/>
  <c r="D85" i="2" a="1"/>
  <c r="D85" i="2" s="1"/>
  <c r="AJ84" i="2" a="1"/>
  <c r="AJ84" i="2" s="1"/>
  <c r="AG84" i="2" a="1"/>
  <c r="AG84" i="2" s="1"/>
  <c r="AF84" i="2" a="1"/>
  <c r="AF84" i="2" s="1"/>
  <c r="R35" i="4" s="1" a="1"/>
  <c r="R35" i="4" s="1"/>
  <c r="AA84" i="2" a="1"/>
  <c r="AA84" i="2" s="1"/>
  <c r="Z84" i="2" a="1"/>
  <c r="Z84" i="2" s="1"/>
  <c r="D84" i="2" a="1"/>
  <c r="D84" i="2" s="1"/>
  <c r="AF83" i="2" a="1"/>
  <c r="AF83" i="2" s="1"/>
  <c r="AD83" i="2" a="1"/>
  <c r="AD83" i="2" s="1"/>
  <c r="AC83" i="2" a="1"/>
  <c r="AC83" i="2" s="1"/>
  <c r="AA83" i="2" a="1"/>
  <c r="AA83" i="2" s="1"/>
  <c r="Z83" i="2" a="1"/>
  <c r="Z83" i="2" s="1"/>
  <c r="Y83" i="2" a="1"/>
  <c r="Y83" i="2" s="1"/>
  <c r="X83" i="2" a="1"/>
  <c r="X83" i="2" s="1"/>
  <c r="AY81" i="2" a="1"/>
  <c r="AY81" i="2" s="1"/>
  <c r="AI81" i="2" a="1"/>
  <c r="AI81" i="2" s="1"/>
  <c r="AG81" i="2" a="1"/>
  <c r="AG81" i="2" s="1"/>
  <c r="AF81" i="2" a="1"/>
  <c r="AF81" i="2" s="1"/>
  <c r="R32" i="4" s="1" a="1"/>
  <c r="R32" i="4" s="1"/>
  <c r="AA81" i="2" a="1"/>
  <c r="AA81" i="2" s="1"/>
  <c r="Z81" i="2" a="1"/>
  <c r="Z81" i="2" s="1"/>
  <c r="D81" i="2" a="1"/>
  <c r="D81" i="2" s="1"/>
  <c r="AY80" i="2" a="1"/>
  <c r="AY80" i="2" s="1"/>
  <c r="AI80" i="2" a="1"/>
  <c r="AI80" i="2" s="1"/>
  <c r="AG80" i="2" a="1"/>
  <c r="AG80" i="2" s="1"/>
  <c r="AF80" i="2" a="1"/>
  <c r="AF80" i="2" s="1"/>
  <c r="R31" i="4" s="1" a="1"/>
  <c r="R31" i="4" s="1"/>
  <c r="AA80" i="2" a="1"/>
  <c r="AA80" i="2" s="1"/>
  <c r="Z80" i="2" a="1"/>
  <c r="Z80" i="2" s="1"/>
  <c r="D80" i="2" a="1"/>
  <c r="D80" i="2" s="1"/>
  <c r="AY79" i="2" a="1"/>
  <c r="AY79" i="2" s="1"/>
  <c r="AI79" i="2" a="1"/>
  <c r="AI79" i="2" s="1"/>
  <c r="AG79" i="2" a="1"/>
  <c r="AG79" i="2" s="1"/>
  <c r="AF79" i="2" a="1"/>
  <c r="AF79" i="2" s="1"/>
  <c r="R30" i="4" s="1" a="1"/>
  <c r="R30" i="4" s="1"/>
  <c r="AA79" i="2" a="1"/>
  <c r="AA79" i="2" s="1"/>
  <c r="Z79" i="2" a="1"/>
  <c r="Z79" i="2" s="1"/>
  <c r="D79" i="2" a="1"/>
  <c r="D79" i="2" s="1"/>
  <c r="AY78" i="2" a="1"/>
  <c r="AY78" i="2" s="1"/>
  <c r="AI78" i="2" a="1"/>
  <c r="AI78" i="2" s="1"/>
  <c r="AG78" i="2" a="1"/>
  <c r="AG78" i="2" s="1"/>
  <c r="AF78" i="2" a="1"/>
  <c r="AF78" i="2" s="1"/>
  <c r="AA78" i="2" a="1"/>
  <c r="AA78" i="2" s="1"/>
  <c r="Z78" i="2" a="1"/>
  <c r="Z78" i="2" s="1"/>
  <c r="D78" i="2" a="1"/>
  <c r="D78" i="2" s="1"/>
  <c r="AT77" i="2" a="1"/>
  <c r="AT77" i="2" s="1"/>
  <c r="AS77" i="2" a="1"/>
  <c r="AS77" i="2" s="1"/>
  <c r="AR77" i="2" a="1"/>
  <c r="AR77" i="2" s="1"/>
  <c r="AQ77" i="2" a="1"/>
  <c r="AQ77" i="2" s="1"/>
  <c r="AP77" i="2" a="1"/>
  <c r="AP77" i="2" s="1"/>
  <c r="AO77" i="2" a="1"/>
  <c r="AO77" i="2" s="1"/>
  <c r="AN77" i="2" a="1"/>
  <c r="AN77" i="2" s="1"/>
  <c r="AM77" i="2" a="1"/>
  <c r="AM77" i="2" s="1"/>
  <c r="AL77" i="2" a="1"/>
  <c r="AL77" i="2" s="1"/>
  <c r="AY77" i="2" s="1" a="1"/>
  <c r="AY77" i="2" s="1"/>
  <c r="AJ77" i="2" a="1"/>
  <c r="AJ77" i="2" s="1"/>
  <c r="AG77" i="2" a="1"/>
  <c r="AG77" i="2" s="1"/>
  <c r="AF77" i="2" a="1"/>
  <c r="AF77" i="2" s="1"/>
  <c r="AA77" i="2" a="1"/>
  <c r="AA77" i="2" s="1"/>
  <c r="Z77" i="2" a="1"/>
  <c r="Z77" i="2" s="1"/>
  <c r="D77" i="2" a="1"/>
  <c r="D77" i="2" s="1"/>
  <c r="AJ76" i="2" a="1"/>
  <c r="AJ76" i="2" s="1"/>
  <c r="AG76" i="2" a="1"/>
  <c r="AG76" i="2" s="1"/>
  <c r="AF76" i="2" a="1"/>
  <c r="AF76" i="2" s="1"/>
  <c r="R27" i="4" s="1" a="1"/>
  <c r="R27" i="4" s="1"/>
  <c r="AA76" i="2" a="1"/>
  <c r="AA76" i="2" s="1"/>
  <c r="Z76" i="2" a="1"/>
  <c r="Z76" i="2" s="1"/>
  <c r="D76" i="2" a="1"/>
  <c r="D76" i="2" s="1"/>
  <c r="AF75" i="2" a="1"/>
  <c r="AF75" i="2" s="1"/>
  <c r="AD75" i="2" a="1"/>
  <c r="AD75" i="2" s="1"/>
  <c r="AC75" i="2" a="1"/>
  <c r="AC75" i="2" s="1"/>
  <c r="AA75" i="2" a="1"/>
  <c r="AA75" i="2" s="1"/>
  <c r="Z75" i="2" a="1"/>
  <c r="Z75" i="2" s="1"/>
  <c r="Y75" i="2" a="1"/>
  <c r="Y75" i="2" s="1"/>
  <c r="X75" i="2" a="1"/>
  <c r="X75" i="2" s="1"/>
  <c r="AY73" i="2" a="1"/>
  <c r="AY73" i="2" s="1"/>
  <c r="AI73" i="2" a="1"/>
  <c r="AI73" i="2" s="1"/>
  <c r="AG73" i="2" a="1"/>
  <c r="AG73" i="2" s="1"/>
  <c r="AF73" i="2" a="1"/>
  <c r="AF73" i="2" s="1"/>
  <c r="R24" i="4" s="1" a="1"/>
  <c r="R24" i="4" s="1"/>
  <c r="AA73" i="2" a="1"/>
  <c r="AA73" i="2" s="1"/>
  <c r="Z73" i="2" a="1"/>
  <c r="Z73" i="2" s="1"/>
  <c r="D73" i="2" a="1"/>
  <c r="D73" i="2" s="1"/>
  <c r="AY72" i="2" a="1"/>
  <c r="AY72" i="2" s="1"/>
  <c r="AI72" i="2" a="1"/>
  <c r="AI72" i="2" s="1"/>
  <c r="AG72" i="2" a="1"/>
  <c r="AG72" i="2" s="1"/>
  <c r="AF72" i="2" a="1"/>
  <c r="AF72" i="2" s="1"/>
  <c r="R23" i="4" s="1" a="1"/>
  <c r="R23" i="4" s="1"/>
  <c r="AA72" i="2" a="1"/>
  <c r="AA72" i="2" s="1"/>
  <c r="Z72" i="2" a="1"/>
  <c r="Z72" i="2" s="1"/>
  <c r="D72" i="2" a="1"/>
  <c r="D72" i="2" s="1"/>
  <c r="AY71" i="2" a="1"/>
  <c r="AY71" i="2" s="1"/>
  <c r="AI71" i="2" a="1"/>
  <c r="AI71" i="2" s="1"/>
  <c r="AG71" i="2" a="1"/>
  <c r="AG71" i="2" s="1"/>
  <c r="AF71" i="2" a="1"/>
  <c r="AF71" i="2" s="1"/>
  <c r="R22" i="4" s="1" a="1"/>
  <c r="R22" i="4" s="1"/>
  <c r="AA71" i="2" a="1"/>
  <c r="AA71" i="2" s="1"/>
  <c r="Z71" i="2" a="1"/>
  <c r="Z71" i="2" s="1"/>
  <c r="D71" i="2" a="1"/>
  <c r="D71" i="2" s="1"/>
  <c r="AY70" i="2" a="1"/>
  <c r="AY70" i="2" s="1"/>
  <c r="AI70" i="2" a="1"/>
  <c r="AI70" i="2" s="1"/>
  <c r="AG70" i="2" a="1"/>
  <c r="AG70" i="2" s="1"/>
  <c r="AF70" i="2" a="1"/>
  <c r="AF70" i="2" s="1"/>
  <c r="R21" i="4" s="1" a="1"/>
  <c r="R21" i="4" s="1"/>
  <c r="AA70" i="2" a="1"/>
  <c r="AA70" i="2" s="1"/>
  <c r="Z70" i="2" a="1"/>
  <c r="Z70" i="2" s="1"/>
  <c r="D70" i="2" a="1"/>
  <c r="D70" i="2" s="1"/>
  <c r="BR69" i="2" a="1"/>
  <c r="BR69" i="2" s="1"/>
  <c r="BO69" i="2" a="1"/>
  <c r="BO69" i="2" s="1"/>
  <c r="BB69" i="2" a="1"/>
  <c r="BB69" i="2" s="1"/>
  <c r="AT69" i="2" a="1"/>
  <c r="AT69" i="2" s="1"/>
  <c r="AS69" i="2" a="1"/>
  <c r="AS69" i="2" s="1"/>
  <c r="AR69" i="2" a="1"/>
  <c r="AR69" i="2" s="1"/>
  <c r="AQ69" i="2" a="1"/>
  <c r="AQ69" i="2" s="1"/>
  <c r="AP69" i="2" a="1"/>
  <c r="AP69" i="2" s="1"/>
  <c r="AO69" i="2" a="1"/>
  <c r="AO69" i="2" s="1"/>
  <c r="AN69" i="2" a="1"/>
  <c r="AN69" i="2" s="1"/>
  <c r="AM69" i="2" a="1"/>
  <c r="AM69" i="2" s="1"/>
  <c r="AL69" i="2" a="1"/>
  <c r="AL69" i="2" s="1"/>
  <c r="AY69" i="2" s="1" a="1"/>
  <c r="AY69" i="2" s="1"/>
  <c r="AJ69" i="2" a="1"/>
  <c r="AJ69" i="2" s="1"/>
  <c r="AG69" i="2" a="1"/>
  <c r="AG69" i="2" s="1"/>
  <c r="AF69" i="2" a="1"/>
  <c r="AF69" i="2" s="1"/>
  <c r="R20" i="4" s="1" a="1"/>
  <c r="R20" i="4" s="1"/>
  <c r="AA69" i="2" a="1"/>
  <c r="AA69" i="2" s="1"/>
  <c r="Z69" i="2" a="1"/>
  <c r="Z69" i="2" s="1"/>
  <c r="D69" i="2" a="1"/>
  <c r="D69" i="2" s="1"/>
  <c r="BR68" i="2" a="1"/>
  <c r="BR68" i="2" s="1"/>
  <c r="BO68" i="2" a="1"/>
  <c r="BO68" i="2" s="1"/>
  <c r="BB68" i="2" a="1"/>
  <c r="BB68" i="2" s="1"/>
  <c r="AJ68" i="2" a="1"/>
  <c r="AJ68" i="2" s="1"/>
  <c r="AG68" i="2" a="1"/>
  <c r="AG68" i="2" s="1"/>
  <c r="AF68" i="2" a="1"/>
  <c r="AF68" i="2" s="1"/>
  <c r="R19" i="4" s="1" a="1"/>
  <c r="R19" i="4" s="1"/>
  <c r="AA68" i="2" a="1"/>
  <c r="AA68" i="2" s="1"/>
  <c r="Z68" i="2" a="1"/>
  <c r="Z68" i="2" s="1"/>
  <c r="D68" i="2" a="1"/>
  <c r="D68" i="2" s="1"/>
  <c r="BR67" i="2" a="1"/>
  <c r="BR67" i="2" s="1"/>
  <c r="BO67" i="2" a="1"/>
  <c r="BO67" i="2" s="1"/>
  <c r="BB67" i="2" a="1"/>
  <c r="BB67" i="2" s="1"/>
  <c r="AF67" i="2" a="1"/>
  <c r="AF67" i="2" s="1"/>
  <c r="AD67" i="2" a="1"/>
  <c r="AD67" i="2" s="1"/>
  <c r="AC67" i="2" a="1"/>
  <c r="AC67" i="2" s="1"/>
  <c r="AA67" i="2" a="1"/>
  <c r="AA67" i="2" s="1"/>
  <c r="Z67" i="2" a="1"/>
  <c r="Z67" i="2" s="1"/>
  <c r="Y67" i="2" a="1"/>
  <c r="Y67" i="2" s="1"/>
  <c r="X67" i="2" a="1"/>
  <c r="X67" i="2" s="1"/>
  <c r="BR66" i="2" a="1"/>
  <c r="BR66" i="2" s="1"/>
  <c r="BO66" i="2" a="1"/>
  <c r="BO66" i="2" s="1"/>
  <c r="BB66" i="2" a="1"/>
  <c r="BB66" i="2" s="1"/>
  <c r="BR65" i="2" a="1"/>
  <c r="BR65" i="2" s="1"/>
  <c r="BO65" i="2" a="1"/>
  <c r="BO65" i="2" s="1"/>
  <c r="BB65" i="2" a="1"/>
  <c r="BB65" i="2" s="1"/>
  <c r="AY65" i="2" a="1"/>
  <c r="AY65" i="2" s="1"/>
  <c r="AI65" i="2" a="1"/>
  <c r="AI65" i="2" s="1"/>
  <c r="AG65" i="2" a="1"/>
  <c r="AG65" i="2" s="1"/>
  <c r="AF65" i="2" a="1"/>
  <c r="AF65" i="2" s="1"/>
  <c r="R16" i="4" s="1" a="1"/>
  <c r="R16" i="4" s="1"/>
  <c r="AA65" i="2" a="1"/>
  <c r="AA65" i="2" s="1"/>
  <c r="Z65" i="2" a="1"/>
  <c r="Z65" i="2" s="1"/>
  <c r="D65" i="2" a="1"/>
  <c r="D65" i="2" s="1"/>
  <c r="BR64" i="2" a="1"/>
  <c r="BR64" i="2" s="1"/>
  <c r="BO64" i="2" a="1"/>
  <c r="BO64" i="2" s="1"/>
  <c r="BB64" i="2" a="1"/>
  <c r="BB64" i="2" s="1"/>
  <c r="AY64" i="2" a="1"/>
  <c r="AY64" i="2" s="1"/>
  <c r="AI64" i="2" a="1"/>
  <c r="AI64" i="2" s="1"/>
  <c r="AG64" i="2" a="1"/>
  <c r="AG64" i="2" s="1"/>
  <c r="AF64" i="2" a="1"/>
  <c r="AF64" i="2" s="1"/>
  <c r="AA64" i="2" a="1"/>
  <c r="AA64" i="2" s="1"/>
  <c r="Z64" i="2" a="1"/>
  <c r="Z64" i="2" s="1"/>
  <c r="D64" i="2" a="1"/>
  <c r="D64" i="2" s="1"/>
  <c r="BR63" i="2" a="1"/>
  <c r="BR63" i="2" s="1"/>
  <c r="BO63" i="2" a="1"/>
  <c r="BO63" i="2" s="1"/>
  <c r="BB63" i="2" a="1"/>
  <c r="BB63" i="2" s="1"/>
  <c r="AY63" i="2" a="1"/>
  <c r="AY63" i="2" s="1"/>
  <c r="AI63" i="2" a="1"/>
  <c r="AI63" i="2" s="1"/>
  <c r="AG63" i="2" a="1"/>
  <c r="AG63" i="2" s="1"/>
  <c r="AF63" i="2" a="1"/>
  <c r="AF63" i="2" s="1"/>
  <c r="R14" i="4" s="1" a="1"/>
  <c r="R14" i="4" s="1"/>
  <c r="AA63" i="2" a="1"/>
  <c r="AA63" i="2" s="1"/>
  <c r="Z63" i="2" a="1"/>
  <c r="Z63" i="2" s="1"/>
  <c r="D63" i="2" a="1"/>
  <c r="D63" i="2" s="1"/>
  <c r="BR62" i="2" a="1"/>
  <c r="BR62" i="2" s="1"/>
  <c r="BO62" i="2" a="1"/>
  <c r="BO62" i="2" s="1"/>
  <c r="BB62" i="2" a="1"/>
  <c r="BB62" i="2" s="1"/>
  <c r="AY62" i="2" a="1"/>
  <c r="AY62" i="2" s="1"/>
  <c r="AI62" i="2" a="1"/>
  <c r="AI62" i="2" s="1"/>
  <c r="AG62" i="2" a="1"/>
  <c r="AG62" i="2" s="1"/>
  <c r="AF62" i="2" a="1"/>
  <c r="AF62" i="2" s="1"/>
  <c r="AA62" i="2" a="1"/>
  <c r="AA62" i="2" s="1"/>
  <c r="Z62" i="2" a="1"/>
  <c r="Z62" i="2" s="1"/>
  <c r="D62" i="2" a="1"/>
  <c r="D62" i="2" s="1"/>
  <c r="BR61" i="2" a="1"/>
  <c r="BR61" i="2" s="1"/>
  <c r="BO61" i="2" a="1"/>
  <c r="BO61" i="2" s="1"/>
  <c r="BB61" i="2" a="1"/>
  <c r="BB61" i="2" s="1"/>
  <c r="AT61" i="2" a="1"/>
  <c r="AT61" i="2" s="1"/>
  <c r="AS61" i="2" a="1"/>
  <c r="AS61" i="2" s="1"/>
  <c r="AR61" i="2" a="1"/>
  <c r="AR61" i="2" s="1"/>
  <c r="AQ61" i="2" a="1"/>
  <c r="AQ61" i="2" s="1"/>
  <c r="AP61" i="2" a="1"/>
  <c r="AP61" i="2" s="1"/>
  <c r="AO61" i="2" a="1"/>
  <c r="AO61" i="2" s="1"/>
  <c r="AN61" i="2" a="1"/>
  <c r="AN61" i="2" s="1"/>
  <c r="AM61" i="2" a="1"/>
  <c r="AM61" i="2" s="1"/>
  <c r="AL61" i="2" a="1"/>
  <c r="AL61" i="2" s="1"/>
  <c r="AY61" i="2" s="1" a="1"/>
  <c r="AY61" i="2" s="1"/>
  <c r="AJ61" i="2" a="1"/>
  <c r="AJ61" i="2" s="1"/>
  <c r="AG61" i="2" a="1"/>
  <c r="AG61" i="2" s="1"/>
  <c r="AF61" i="2" a="1"/>
  <c r="AF61" i="2" s="1"/>
  <c r="R12" i="4" s="1" a="1"/>
  <c r="R12" i="4" s="1"/>
  <c r="AA61" i="2" a="1"/>
  <c r="AA61" i="2" s="1"/>
  <c r="Z61" i="2" a="1"/>
  <c r="Z61" i="2" s="1"/>
  <c r="D61" i="2" a="1"/>
  <c r="D61" i="2" s="1"/>
  <c r="BR60" i="2" a="1"/>
  <c r="BR60" i="2" s="1"/>
  <c r="BO60" i="2" a="1"/>
  <c r="BO60" i="2" s="1"/>
  <c r="BB60" i="2" a="1"/>
  <c r="BB60" i="2" s="1"/>
  <c r="AJ60" i="2" a="1"/>
  <c r="AJ60" i="2" s="1"/>
  <c r="AG60" i="2" a="1"/>
  <c r="AG60" i="2" s="1"/>
  <c r="AF60" i="2" a="1"/>
  <c r="AF60" i="2" s="1"/>
  <c r="R11" i="4" s="1" a="1"/>
  <c r="R11" i="4" s="1"/>
  <c r="AA60" i="2" a="1"/>
  <c r="AA60" i="2" s="1"/>
  <c r="Z60" i="2" a="1"/>
  <c r="Z60" i="2" s="1"/>
  <c r="D60" i="2" a="1"/>
  <c r="D60" i="2" s="1"/>
  <c r="BR59" i="2" a="1"/>
  <c r="BR59" i="2" s="1"/>
  <c r="BO59" i="2" a="1"/>
  <c r="BO59" i="2" s="1"/>
  <c r="BB59" i="2" a="1"/>
  <c r="BB59" i="2" s="1"/>
  <c r="AF59" i="2" a="1"/>
  <c r="AF59" i="2" s="1"/>
  <c r="AD59" i="2" a="1"/>
  <c r="AD59" i="2" s="1"/>
  <c r="AC59" i="2" a="1"/>
  <c r="AC59" i="2" s="1"/>
  <c r="AA59" i="2" a="1"/>
  <c r="AA59" i="2" s="1"/>
  <c r="Z59" i="2" a="1"/>
  <c r="Z59" i="2" s="1"/>
  <c r="Y59" i="2" a="1"/>
  <c r="Y59" i="2" s="1"/>
  <c r="X59" i="2" a="1"/>
  <c r="X59" i="2" s="1"/>
  <c r="BR58" i="2" a="1"/>
  <c r="BR58" i="2" s="1"/>
  <c r="BO58" i="2" a="1"/>
  <c r="BO58" i="2" s="1"/>
  <c r="BB58" i="2" a="1"/>
  <c r="BB58" i="2" s="1"/>
  <c r="BN57" i="2" a="1"/>
  <c r="BN57" i="2" s="1"/>
  <c r="BM57" i="2" a="1"/>
  <c r="BM57" i="2" s="1"/>
  <c r="BD57" i="2" a="1"/>
  <c r="BD57" i="2" s="1"/>
  <c r="BC57" i="2" a="1"/>
  <c r="BC57" i="2" s="1"/>
  <c r="AY57" i="2" a="1"/>
  <c r="AY57" i="2" s="1"/>
  <c r="AI57" i="2" a="1"/>
  <c r="AI57" i="2" s="1"/>
  <c r="AG57" i="2" a="1"/>
  <c r="AG57" i="2" s="1"/>
  <c r="AF57" i="2" a="1"/>
  <c r="AF57" i="2" s="1"/>
  <c r="R8" i="4" s="1" a="1"/>
  <c r="R8" i="4" s="1"/>
  <c r="AA57" i="2" a="1"/>
  <c r="AA57" i="2" s="1"/>
  <c r="Z57" i="2" a="1"/>
  <c r="Z57" i="2" s="1"/>
  <c r="D57" i="2" a="1"/>
  <c r="D57" i="2" s="1"/>
  <c r="AY56" i="2" a="1"/>
  <c r="AY56" i="2" s="1"/>
  <c r="AI56" i="2" a="1"/>
  <c r="AI56" i="2" s="1"/>
  <c r="AG56" i="2" a="1"/>
  <c r="AG56" i="2" s="1"/>
  <c r="AF56" i="2" a="1"/>
  <c r="AF56" i="2" s="1"/>
  <c r="R7" i="4" s="1" a="1"/>
  <c r="R7" i="4" s="1"/>
  <c r="AA56" i="2" a="1"/>
  <c r="AA56" i="2" s="1"/>
  <c r="Z56" i="2" a="1"/>
  <c r="Z56" i="2" s="1"/>
  <c r="D56" i="2" a="1"/>
  <c r="D56" i="2" s="1"/>
  <c r="AY55" i="2" a="1"/>
  <c r="AY55" i="2" s="1"/>
  <c r="AI55" i="2" a="1"/>
  <c r="AI55" i="2" s="1"/>
  <c r="AG55" i="2" a="1"/>
  <c r="AG55" i="2" s="1"/>
  <c r="AF55" i="2" a="1"/>
  <c r="AF55" i="2" s="1"/>
  <c r="R6" i="4" s="1" a="1"/>
  <c r="R6" i="4" s="1"/>
  <c r="AA55" i="2" a="1"/>
  <c r="AA55" i="2" s="1"/>
  <c r="Z55" i="2" a="1"/>
  <c r="Z55" i="2" s="1"/>
  <c r="D55" i="2" a="1"/>
  <c r="D55" i="2" s="1"/>
  <c r="AY54" i="2" a="1"/>
  <c r="AY54" i="2" s="1"/>
  <c r="AI54" i="2" a="1"/>
  <c r="AI54" i="2" s="1"/>
  <c r="AG54" i="2" a="1"/>
  <c r="AG54" i="2" s="1"/>
  <c r="AF54" i="2" a="1"/>
  <c r="AF54" i="2" s="1"/>
  <c r="R5" i="4" s="1" a="1"/>
  <c r="R5" i="4" s="1"/>
  <c r="AA54" i="2" a="1"/>
  <c r="AA54" i="2" s="1"/>
  <c r="Z54" i="2" a="1"/>
  <c r="Z54" i="2" s="1"/>
  <c r="D54" i="2" a="1"/>
  <c r="D54" i="2" s="1"/>
  <c r="BN53" i="2" a="1"/>
  <c r="BN53" i="2" s="1"/>
  <c r="BM53" i="2" a="1"/>
  <c r="BM53" i="2" s="1"/>
  <c r="AT53" i="2" a="1"/>
  <c r="AT53" i="2" s="1"/>
  <c r="AS53" i="2" a="1"/>
  <c r="AS53" i="2" s="1"/>
  <c r="AR53" i="2" a="1"/>
  <c r="AR53" i="2" s="1"/>
  <c r="AQ53" i="2" a="1"/>
  <c r="AQ53" i="2" s="1"/>
  <c r="AP53" i="2" a="1"/>
  <c r="AP53" i="2" s="1"/>
  <c r="AO53" i="2" a="1"/>
  <c r="AO53" i="2" s="1"/>
  <c r="AN53" i="2" a="1"/>
  <c r="AN53" i="2" s="1"/>
  <c r="AM53" i="2" a="1"/>
  <c r="AM53" i="2" s="1"/>
  <c r="AL53" i="2" a="1"/>
  <c r="AL53" i="2" s="1"/>
  <c r="AY53" i="2" s="1" a="1"/>
  <c r="AY53" i="2" s="1"/>
  <c r="AJ53" i="2" a="1"/>
  <c r="AJ53" i="2" s="1"/>
  <c r="AG53" i="2" a="1"/>
  <c r="AG53" i="2" s="1"/>
  <c r="AF53" i="2" a="1"/>
  <c r="AF53" i="2" s="1"/>
  <c r="R4" i="4" s="1" a="1"/>
  <c r="R4" i="4" s="1"/>
  <c r="AA53" i="2" a="1"/>
  <c r="AA53" i="2" s="1"/>
  <c r="Z53" i="2" a="1"/>
  <c r="Z53" i="2" s="1"/>
  <c r="D53" i="2" a="1"/>
  <c r="D53" i="2" s="1"/>
  <c r="BN52" i="2" a="1"/>
  <c r="BN52" i="2" s="1"/>
  <c r="BM52" i="2" a="1"/>
  <c r="BM52" i="2" s="1"/>
  <c r="AJ52" i="2" a="1"/>
  <c r="AJ52" i="2" s="1"/>
  <c r="AG52" i="2" a="1"/>
  <c r="AG52" i="2" s="1"/>
  <c r="AF52" i="2" a="1"/>
  <c r="AF52" i="2" s="1"/>
  <c r="R3" i="4" s="1" a="1"/>
  <c r="R3" i="4" s="1"/>
  <c r="AA52" i="2" a="1"/>
  <c r="AA52" i="2" s="1"/>
  <c r="Z52" i="2" a="1"/>
  <c r="Z52" i="2" s="1"/>
  <c r="D52" i="2" a="1"/>
  <c r="D52" i="2" s="1"/>
  <c r="BN51" i="2" a="1"/>
  <c r="BN51" i="2" s="1"/>
  <c r="BM51" i="2" a="1"/>
  <c r="BM51" i="2" s="1"/>
  <c r="AF51" i="2" a="1"/>
  <c r="AF51" i="2" s="1"/>
  <c r="AD51" i="2" a="1"/>
  <c r="AD51" i="2" s="1"/>
  <c r="AC51" i="2" a="1"/>
  <c r="AC51" i="2" s="1"/>
  <c r="AA51" i="2" a="1"/>
  <c r="AA51" i="2" s="1"/>
  <c r="Z51" i="2" a="1"/>
  <c r="Z51" i="2" s="1"/>
  <c r="Y51" i="2" a="1"/>
  <c r="Y51" i="2" s="1"/>
  <c r="X51" i="2" a="1"/>
  <c r="X51" i="2" s="1"/>
  <c r="BN50" i="2" a="1"/>
  <c r="BN50" i="2" s="1"/>
  <c r="BM50" i="2" a="1"/>
  <c r="BM50" i="2" s="1"/>
  <c r="BN49" i="2" a="1"/>
  <c r="BN49" i="2" s="1"/>
  <c r="BM49" i="2" a="1"/>
  <c r="BM49" i="2" s="1"/>
  <c r="AY49" i="2" a="1"/>
  <c r="AY49" i="2" s="1"/>
  <c r="AI49" i="2" a="1"/>
  <c r="AI49" i="2" s="1"/>
  <c r="AG49" i="2" a="1"/>
  <c r="AG49" i="2" s="1"/>
  <c r="AF49" i="2" a="1"/>
  <c r="AF49" i="2" s="1"/>
  <c r="F48" i="4" s="1" a="1"/>
  <c r="F48" i="4" s="1"/>
  <c r="AA49" i="2" a="1"/>
  <c r="AA49" i="2" s="1"/>
  <c r="Z49" i="2" a="1"/>
  <c r="Z49" i="2" s="1"/>
  <c r="D49" i="2" a="1"/>
  <c r="D49" i="2" s="1"/>
  <c r="BN48" i="2" a="1"/>
  <c r="BN48" i="2" s="1"/>
  <c r="BM48" i="2" a="1"/>
  <c r="BM48" i="2" s="1"/>
  <c r="AY48" i="2" a="1"/>
  <c r="AY48" i="2" s="1"/>
  <c r="AI48" i="2" a="1"/>
  <c r="AI48" i="2" s="1"/>
  <c r="AG48" i="2" a="1"/>
  <c r="AG48" i="2" s="1"/>
  <c r="AF48" i="2" a="1"/>
  <c r="AF48" i="2" s="1"/>
  <c r="AA48" i="2" a="1"/>
  <c r="AA48" i="2" s="1"/>
  <c r="Z48" i="2" a="1"/>
  <c r="Z48" i="2" s="1"/>
  <c r="D48" i="2" a="1"/>
  <c r="D48" i="2" s="1"/>
  <c r="BN47" i="2" a="1"/>
  <c r="BN47" i="2" s="1"/>
  <c r="BM47" i="2" a="1"/>
  <c r="BM47" i="2" s="1"/>
  <c r="AY47" i="2" a="1"/>
  <c r="AY47" i="2" s="1"/>
  <c r="AI47" i="2" a="1"/>
  <c r="AI47" i="2" s="1"/>
  <c r="AG47" i="2" a="1"/>
  <c r="AG47" i="2" s="1"/>
  <c r="AF47" i="2" a="1"/>
  <c r="AF47" i="2" s="1"/>
  <c r="F46" i="4" s="1" a="1"/>
  <c r="F46" i="4" s="1"/>
  <c r="AA47" i="2" a="1"/>
  <c r="AA47" i="2" s="1"/>
  <c r="Z47" i="2" a="1"/>
  <c r="Z47" i="2" s="1"/>
  <c r="D47" i="2" a="1"/>
  <c r="D47" i="2" s="1"/>
  <c r="BN46" i="2" a="1"/>
  <c r="BN46" i="2" s="1"/>
  <c r="BM46" i="2" a="1"/>
  <c r="BM46" i="2" s="1"/>
  <c r="AY46" i="2" a="1"/>
  <c r="AY46" i="2" s="1"/>
  <c r="AI46" i="2" a="1"/>
  <c r="AI46" i="2" s="1"/>
  <c r="AG46" i="2" a="1"/>
  <c r="AG46" i="2" s="1"/>
  <c r="AF46" i="2" a="1"/>
  <c r="AF46" i="2" s="1"/>
  <c r="AA46" i="2" a="1"/>
  <c r="AA46" i="2" s="1"/>
  <c r="Z46" i="2" a="1"/>
  <c r="Z46" i="2" s="1"/>
  <c r="D46" i="2" a="1"/>
  <c r="D46" i="2" s="1"/>
  <c r="BN45" i="2" a="1"/>
  <c r="BN45" i="2" s="1"/>
  <c r="BM45" i="2" a="1"/>
  <c r="BM45" i="2" s="1"/>
  <c r="AT45" i="2" a="1"/>
  <c r="AT45" i="2" s="1"/>
  <c r="AS45" i="2" a="1"/>
  <c r="AS45" i="2" s="1"/>
  <c r="AR45" i="2" a="1"/>
  <c r="AR45" i="2" s="1"/>
  <c r="AQ45" i="2" a="1"/>
  <c r="AQ45" i="2" s="1"/>
  <c r="AP45" i="2" a="1"/>
  <c r="AP45" i="2" s="1"/>
  <c r="AO45" i="2" a="1"/>
  <c r="AO45" i="2" s="1"/>
  <c r="AN45" i="2" a="1"/>
  <c r="AN45" i="2" s="1"/>
  <c r="AM45" i="2" a="1"/>
  <c r="AM45" i="2" s="1"/>
  <c r="AL45" i="2" a="1"/>
  <c r="AL45" i="2" s="1"/>
  <c r="AY45" i="2" s="1" a="1"/>
  <c r="AY45" i="2" s="1"/>
  <c r="AJ45" i="2" a="1"/>
  <c r="AJ45" i="2" s="1"/>
  <c r="AG45" i="2" a="1"/>
  <c r="AG45" i="2" s="1"/>
  <c r="AF45" i="2" a="1"/>
  <c r="AF45" i="2" s="1"/>
  <c r="F44" i="4" s="1" a="1"/>
  <c r="F44" i="4" s="1"/>
  <c r="AA45" i="2" a="1"/>
  <c r="AA45" i="2" s="1"/>
  <c r="Z45" i="2" a="1"/>
  <c r="Z45" i="2" s="1"/>
  <c r="D45" i="2" a="1"/>
  <c r="D45" i="2" s="1"/>
  <c r="BN44" i="2" a="1"/>
  <c r="BN44" i="2" s="1"/>
  <c r="BM44" i="2" a="1"/>
  <c r="BM44" i="2" s="1"/>
  <c r="AJ44" i="2" a="1"/>
  <c r="AJ44" i="2" s="1"/>
  <c r="AG44" i="2" a="1"/>
  <c r="AG44" i="2" s="1"/>
  <c r="AF44" i="2" a="1"/>
  <c r="AF44" i="2" s="1"/>
  <c r="F43" i="4" s="1" a="1"/>
  <c r="F43" i="4" s="1"/>
  <c r="AA44" i="2" a="1"/>
  <c r="AA44" i="2" s="1"/>
  <c r="Z44" i="2" a="1"/>
  <c r="Z44" i="2" s="1"/>
  <c r="D44" i="2" a="1"/>
  <c r="D44" i="2" s="1"/>
  <c r="BN43" i="2" a="1"/>
  <c r="BN43" i="2" s="1"/>
  <c r="BM43" i="2" a="1"/>
  <c r="BM43" i="2" s="1"/>
  <c r="AD43" i="2" a="1"/>
  <c r="AD43" i="2" s="1"/>
  <c r="AC43" i="2" a="1"/>
  <c r="AC43" i="2" s="1"/>
  <c r="BN42" i="2" a="1"/>
  <c r="BN42" i="2" s="1"/>
  <c r="BM42" i="2" a="1"/>
  <c r="BM42" i="2" s="1"/>
  <c r="BN41" i="2" a="1"/>
  <c r="BN41" i="2" s="1"/>
  <c r="BM41" i="2" a="1"/>
  <c r="BM41" i="2" s="1"/>
  <c r="AY41" i="2" a="1"/>
  <c r="AY41" i="2" s="1"/>
  <c r="AI41" i="2" a="1"/>
  <c r="AI41" i="2" s="1"/>
  <c r="AG41" i="2" a="1"/>
  <c r="AG41" i="2" s="1"/>
  <c r="AF41" i="2" a="1"/>
  <c r="AF41" i="2" s="1"/>
  <c r="AA41" i="2" a="1"/>
  <c r="AA41" i="2" s="1"/>
  <c r="Z41" i="2" a="1"/>
  <c r="Z41" i="2" s="1"/>
  <c r="D41" i="2" a="1"/>
  <c r="D41" i="2" s="1"/>
  <c r="BN40" i="2" a="1"/>
  <c r="BN40" i="2" s="1"/>
  <c r="BM40" i="2" a="1"/>
  <c r="BM40" i="2" s="1"/>
  <c r="AY40" i="2" a="1"/>
  <c r="AY40" i="2" s="1"/>
  <c r="AI40" i="2" a="1"/>
  <c r="AI40" i="2" s="1"/>
  <c r="AG40" i="2" a="1"/>
  <c r="AG40" i="2" s="1"/>
  <c r="AF40" i="2" a="1"/>
  <c r="AF40" i="2" s="1"/>
  <c r="AA40" i="2" a="1"/>
  <c r="AA40" i="2" s="1"/>
  <c r="Z40" i="2" a="1"/>
  <c r="Z40" i="2" s="1"/>
  <c r="D40" i="2" a="1"/>
  <c r="D40" i="2" s="1"/>
  <c r="BN39" i="2" a="1"/>
  <c r="BN39" i="2" s="1"/>
  <c r="BM39" i="2" a="1"/>
  <c r="BM39" i="2" s="1"/>
  <c r="AY39" i="2" a="1"/>
  <c r="AY39" i="2" s="1"/>
  <c r="AI39" i="2" a="1"/>
  <c r="AI39" i="2" s="1"/>
  <c r="AG39" i="2" a="1"/>
  <c r="AG39" i="2" s="1"/>
  <c r="AF39" i="2" a="1"/>
  <c r="AF39" i="2" s="1"/>
  <c r="F38" i="4" s="1" a="1"/>
  <c r="F38" i="4" s="1"/>
  <c r="AA39" i="2" a="1"/>
  <c r="AA39" i="2" s="1"/>
  <c r="Z39" i="2" a="1"/>
  <c r="Z39" i="2" s="1"/>
  <c r="D39" i="2" a="1"/>
  <c r="D39" i="2" s="1"/>
  <c r="BN38" i="2" a="1"/>
  <c r="BN38" i="2" s="1"/>
  <c r="BM38" i="2" a="1"/>
  <c r="BM38" i="2" s="1"/>
  <c r="AY38" i="2" a="1"/>
  <c r="AY38" i="2" s="1"/>
  <c r="AI38" i="2" a="1"/>
  <c r="AI38" i="2" s="1"/>
  <c r="AG38" i="2" a="1"/>
  <c r="AG38" i="2" s="1"/>
  <c r="AF38" i="2" a="1"/>
  <c r="AF38" i="2" s="1"/>
  <c r="F37" i="4" s="1" a="1"/>
  <c r="F37" i="4" s="1"/>
  <c r="AA38" i="2" a="1"/>
  <c r="AA38" i="2" s="1"/>
  <c r="Z38" i="2" a="1"/>
  <c r="Z38" i="2" s="1"/>
  <c r="D38" i="2" a="1"/>
  <c r="D38" i="2" s="1"/>
  <c r="BN37" i="2" a="1"/>
  <c r="BN37" i="2" s="1"/>
  <c r="BM37" i="2" a="1"/>
  <c r="BM37" i="2" s="1"/>
  <c r="AT37" i="2" a="1"/>
  <c r="AT37" i="2" s="1"/>
  <c r="AS37" i="2" a="1"/>
  <c r="AS37" i="2" s="1"/>
  <c r="AR37" i="2" a="1"/>
  <c r="AR37" i="2" s="1"/>
  <c r="AQ37" i="2" a="1"/>
  <c r="AQ37" i="2" s="1"/>
  <c r="AP37" i="2" a="1"/>
  <c r="AP37" i="2" s="1"/>
  <c r="AO37" i="2" a="1"/>
  <c r="AO37" i="2" s="1"/>
  <c r="AN37" i="2" a="1"/>
  <c r="AN37" i="2" s="1"/>
  <c r="AM37" i="2" a="1"/>
  <c r="AM37" i="2" s="1"/>
  <c r="AL37" i="2" a="1"/>
  <c r="AL37" i="2" s="1"/>
  <c r="AY37" i="2" s="1" a="1"/>
  <c r="AY37" i="2" s="1"/>
  <c r="AJ37" i="2" a="1"/>
  <c r="AJ37" i="2" s="1"/>
  <c r="AG37" i="2" a="1"/>
  <c r="AG37" i="2" s="1"/>
  <c r="AF37" i="2" a="1"/>
  <c r="AF37" i="2" s="1"/>
  <c r="AA37" i="2" a="1"/>
  <c r="AA37" i="2" s="1"/>
  <c r="Z37" i="2" a="1"/>
  <c r="Z37" i="2" s="1"/>
  <c r="D37" i="2" a="1"/>
  <c r="D37" i="2" s="1"/>
  <c r="BN36" i="2" a="1"/>
  <c r="BN36" i="2" s="1"/>
  <c r="BM36" i="2" a="1"/>
  <c r="BM36" i="2" s="1"/>
  <c r="AJ36" i="2" a="1"/>
  <c r="AJ36" i="2" s="1"/>
  <c r="AG36" i="2" a="1"/>
  <c r="AG36" i="2" s="1"/>
  <c r="AF36" i="2" a="1"/>
  <c r="AF36" i="2" s="1"/>
  <c r="F35" i="4" s="1" a="1"/>
  <c r="F35" i="4" s="1"/>
  <c r="AA36" i="2" a="1"/>
  <c r="AA36" i="2" s="1"/>
  <c r="Z36" i="2" a="1"/>
  <c r="Z36" i="2" s="1"/>
  <c r="D36" i="2" a="1"/>
  <c r="D36" i="2" s="1"/>
  <c r="BN35" i="2" a="1"/>
  <c r="BN35" i="2" s="1"/>
  <c r="BM35" i="2" a="1"/>
  <c r="BM35" i="2" s="1"/>
  <c r="AD35" i="2" a="1"/>
  <c r="AD35" i="2" s="1"/>
  <c r="AC35" i="2" a="1"/>
  <c r="AC35" i="2" s="1"/>
  <c r="BN34" i="2" a="1"/>
  <c r="BN34" i="2" s="1"/>
  <c r="BM34" i="2" a="1"/>
  <c r="BM34" i="2" s="1"/>
  <c r="BN33" i="2" a="1"/>
  <c r="BN33" i="2" s="1"/>
  <c r="BM33" i="2" a="1"/>
  <c r="BM33" i="2" s="1"/>
  <c r="AY33" i="2" a="1"/>
  <c r="AY33" i="2" s="1"/>
  <c r="AI33" i="2" a="1"/>
  <c r="AI33" i="2" s="1"/>
  <c r="AG33" i="2" a="1"/>
  <c r="AG33" i="2" s="1"/>
  <c r="AF33" i="2" a="1"/>
  <c r="AF33" i="2" s="1"/>
  <c r="F32" i="4" s="1" a="1"/>
  <c r="F32" i="4" s="1"/>
  <c r="AA33" i="2" a="1"/>
  <c r="AA33" i="2" s="1"/>
  <c r="Z33" i="2" a="1"/>
  <c r="Z33" i="2" s="1"/>
  <c r="D33" i="2" a="1"/>
  <c r="D33" i="2" s="1"/>
  <c r="BN32" i="2" a="1"/>
  <c r="BN32" i="2" s="1"/>
  <c r="BM32" i="2" a="1"/>
  <c r="BM32" i="2" s="1"/>
  <c r="AY32" i="2" a="1"/>
  <c r="AY32" i="2" s="1"/>
  <c r="AI32" i="2" a="1"/>
  <c r="AI32" i="2" s="1"/>
  <c r="AG32" i="2" a="1"/>
  <c r="AG32" i="2" s="1"/>
  <c r="AF32" i="2" a="1"/>
  <c r="AF32" i="2" s="1"/>
  <c r="F31" i="4" s="1" a="1"/>
  <c r="F31" i="4" s="1"/>
  <c r="AA32" i="2" a="1"/>
  <c r="AA32" i="2" s="1"/>
  <c r="Z32" i="2" a="1"/>
  <c r="Z32" i="2" s="1"/>
  <c r="D32" i="2" a="1"/>
  <c r="D32" i="2" s="1"/>
  <c r="BN31" i="2" a="1"/>
  <c r="BN31" i="2" s="1"/>
  <c r="BM31" i="2" a="1"/>
  <c r="BM31" i="2" s="1"/>
  <c r="AY31" i="2" a="1"/>
  <c r="AY31" i="2" s="1"/>
  <c r="AI31" i="2" a="1"/>
  <c r="AI31" i="2" s="1"/>
  <c r="AG31" i="2" a="1"/>
  <c r="AG31" i="2" s="1"/>
  <c r="AF31" i="2" a="1"/>
  <c r="AF31" i="2" s="1"/>
  <c r="F30" i="4" s="1" a="1"/>
  <c r="F30" i="4" s="1"/>
  <c r="AA31" i="2" a="1"/>
  <c r="AA31" i="2" s="1"/>
  <c r="Z31" i="2" a="1"/>
  <c r="Z31" i="2" s="1"/>
  <c r="D31" i="2" a="1"/>
  <c r="D31" i="2" s="1"/>
  <c r="BN30" i="2" a="1"/>
  <c r="BN30" i="2" s="1"/>
  <c r="BM30" i="2" a="1"/>
  <c r="BM30" i="2" s="1"/>
  <c r="AY30" i="2" a="1"/>
  <c r="AY30" i="2" s="1"/>
  <c r="AI30" i="2" a="1"/>
  <c r="AI30" i="2" s="1"/>
  <c r="AG30" i="2" a="1"/>
  <c r="AG30" i="2" s="1"/>
  <c r="AF30" i="2" a="1"/>
  <c r="AF30" i="2" s="1"/>
  <c r="F29" i="4" s="1" a="1"/>
  <c r="F29" i="4" s="1"/>
  <c r="AA30" i="2" a="1"/>
  <c r="AA30" i="2" s="1"/>
  <c r="Z30" i="2" a="1"/>
  <c r="Z30" i="2" s="1"/>
  <c r="D30" i="2" a="1"/>
  <c r="D30" i="2" s="1"/>
  <c r="BN29" i="2" a="1"/>
  <c r="BN29" i="2" s="1"/>
  <c r="BM29" i="2" a="1"/>
  <c r="BM29" i="2" s="1"/>
  <c r="AT29" i="2" a="1"/>
  <c r="AT29" i="2" s="1"/>
  <c r="AS29" i="2" a="1"/>
  <c r="AS29" i="2" s="1"/>
  <c r="AR29" i="2" a="1"/>
  <c r="AR29" i="2" s="1"/>
  <c r="AQ29" i="2" a="1"/>
  <c r="AQ29" i="2" s="1"/>
  <c r="AP29" i="2" a="1"/>
  <c r="AP29" i="2" s="1"/>
  <c r="AO29" i="2" a="1"/>
  <c r="AO29" i="2" s="1"/>
  <c r="AN29" i="2" a="1"/>
  <c r="AN29" i="2" s="1"/>
  <c r="AM29" i="2" a="1"/>
  <c r="AM29" i="2" s="1"/>
  <c r="AL29" i="2" a="1"/>
  <c r="AL29" i="2" s="1"/>
  <c r="AY29" i="2" s="1" a="1"/>
  <c r="AY29" i="2" s="1"/>
  <c r="AJ29" i="2" a="1"/>
  <c r="AJ29" i="2" s="1"/>
  <c r="AG29" i="2" a="1"/>
  <c r="AG29" i="2" s="1"/>
  <c r="AF29" i="2" a="1"/>
  <c r="AF29" i="2" s="1"/>
  <c r="F28" i="4" s="1" a="1"/>
  <c r="F28" i="4" s="1"/>
  <c r="AA29" i="2" a="1"/>
  <c r="AA29" i="2" s="1"/>
  <c r="Z29" i="2" a="1"/>
  <c r="Z29" i="2" s="1"/>
  <c r="D29" i="2" a="1"/>
  <c r="D29" i="2" s="1"/>
  <c r="BN28" i="2" a="1"/>
  <c r="BN28" i="2" s="1"/>
  <c r="BM28" i="2" a="1"/>
  <c r="BM28" i="2" s="1"/>
  <c r="AJ28" i="2" a="1"/>
  <c r="AJ28" i="2" s="1"/>
  <c r="AG28" i="2" a="1"/>
  <c r="AG28" i="2" s="1"/>
  <c r="AF28" i="2" a="1"/>
  <c r="AF28" i="2" s="1"/>
  <c r="F27" i="4" s="1" a="1"/>
  <c r="F27" i="4" s="1"/>
  <c r="AA28" i="2" a="1"/>
  <c r="AA28" i="2" s="1"/>
  <c r="Z28" i="2" a="1"/>
  <c r="Z28" i="2" s="1"/>
  <c r="D28" i="2" a="1"/>
  <c r="D28" i="2" s="1"/>
  <c r="BN27" i="2" a="1"/>
  <c r="BN27" i="2" s="1"/>
  <c r="BM27" i="2" a="1"/>
  <c r="BM27" i="2" s="1"/>
  <c r="AD27" i="2" a="1"/>
  <c r="AD27" i="2" s="1"/>
  <c r="AC27" i="2" a="1"/>
  <c r="AC27" i="2" s="1"/>
  <c r="BN26" i="2" a="1"/>
  <c r="BN26" i="2" s="1"/>
  <c r="BM26" i="2" a="1"/>
  <c r="BM26" i="2" s="1"/>
  <c r="BN25" i="2" a="1"/>
  <c r="BN25" i="2" s="1"/>
  <c r="BM25" i="2" a="1"/>
  <c r="BM25" i="2" s="1"/>
  <c r="AY25" i="2" a="1"/>
  <c r="AY25" i="2" s="1"/>
  <c r="AI25" i="2" a="1"/>
  <c r="AI25" i="2" s="1"/>
  <c r="AG25" i="2" a="1"/>
  <c r="AG25" i="2" s="1"/>
  <c r="AF25" i="2" a="1"/>
  <c r="AF25" i="2" s="1"/>
  <c r="AA25" i="2" a="1"/>
  <c r="AA25" i="2" s="1"/>
  <c r="Z25" i="2" a="1"/>
  <c r="Z25" i="2" s="1"/>
  <c r="D25" i="2" a="1"/>
  <c r="D25" i="2" s="1"/>
  <c r="BN24" i="2" a="1"/>
  <c r="BN24" i="2" s="1"/>
  <c r="BM24" i="2" a="1"/>
  <c r="BM24" i="2" s="1"/>
  <c r="AY24" i="2" a="1"/>
  <c r="AY24" i="2" s="1"/>
  <c r="AI24" i="2" a="1"/>
  <c r="AI24" i="2" s="1"/>
  <c r="AG24" i="2" a="1"/>
  <c r="AG24" i="2" s="1"/>
  <c r="AF24" i="2" a="1"/>
  <c r="AF24" i="2" s="1"/>
  <c r="AA24" i="2" a="1"/>
  <c r="AA24" i="2" s="1"/>
  <c r="Z24" i="2" a="1"/>
  <c r="Z24" i="2" s="1"/>
  <c r="D24" i="2" a="1"/>
  <c r="D24" i="2" s="1"/>
  <c r="BN23" i="2" a="1"/>
  <c r="BN23" i="2" s="1"/>
  <c r="BM23" i="2" a="1"/>
  <c r="BM23" i="2" s="1"/>
  <c r="AY23" i="2" a="1"/>
  <c r="AY23" i="2" s="1"/>
  <c r="AI23" i="2" a="1"/>
  <c r="AI23" i="2" s="1"/>
  <c r="AG23" i="2" a="1"/>
  <c r="AG23" i="2" s="1"/>
  <c r="AF23" i="2" a="1"/>
  <c r="AF23" i="2" s="1"/>
  <c r="AA23" i="2" a="1"/>
  <c r="AA23" i="2" s="1"/>
  <c r="Z23" i="2" a="1"/>
  <c r="Z23" i="2" s="1"/>
  <c r="D23" i="2" a="1"/>
  <c r="D23" i="2" s="1"/>
  <c r="BN22" i="2" a="1"/>
  <c r="BN22" i="2" s="1"/>
  <c r="BM22" i="2" a="1"/>
  <c r="BM22" i="2" s="1"/>
  <c r="AY22" i="2" a="1"/>
  <c r="AY22" i="2" s="1"/>
  <c r="AI22" i="2" a="1"/>
  <c r="AI22" i="2" s="1"/>
  <c r="AG22" i="2" a="1"/>
  <c r="AG22" i="2" s="1"/>
  <c r="AF22" i="2" a="1"/>
  <c r="AF22" i="2" s="1"/>
  <c r="F21" i="4" s="1" a="1"/>
  <c r="F21" i="4" s="1"/>
  <c r="AA22" i="2" a="1"/>
  <c r="AA22" i="2" s="1"/>
  <c r="Z22" i="2" a="1"/>
  <c r="Z22" i="2" s="1"/>
  <c r="D22" i="2" a="1"/>
  <c r="D22" i="2" s="1"/>
  <c r="BN21" i="2" a="1"/>
  <c r="BN21" i="2" s="1"/>
  <c r="BM21" i="2" a="1"/>
  <c r="BM21" i="2" s="1"/>
  <c r="AT21" i="2" a="1"/>
  <c r="AT21" i="2" s="1"/>
  <c r="AS21" i="2" a="1"/>
  <c r="AS21" i="2" s="1"/>
  <c r="AR21" i="2" a="1"/>
  <c r="AR21" i="2" s="1"/>
  <c r="AQ21" i="2" a="1"/>
  <c r="AQ21" i="2" s="1"/>
  <c r="AP21" i="2" a="1"/>
  <c r="AP21" i="2" s="1"/>
  <c r="AO21" i="2" a="1"/>
  <c r="AO21" i="2" s="1"/>
  <c r="AN21" i="2" a="1"/>
  <c r="AN21" i="2" s="1"/>
  <c r="AM21" i="2" a="1"/>
  <c r="AM21" i="2" s="1"/>
  <c r="AL21" i="2" a="1"/>
  <c r="AL21" i="2" s="1"/>
  <c r="AY21" i="2" s="1" a="1"/>
  <c r="AY21" i="2" s="1"/>
  <c r="AJ21" i="2" a="1"/>
  <c r="AJ21" i="2" s="1"/>
  <c r="AG21" i="2" a="1"/>
  <c r="AG21" i="2" s="1"/>
  <c r="AF21" i="2" a="1"/>
  <c r="AF21" i="2" s="1"/>
  <c r="AA21" i="2" a="1"/>
  <c r="AA21" i="2" s="1"/>
  <c r="Z21" i="2" a="1"/>
  <c r="Z21" i="2" s="1"/>
  <c r="D21" i="2" a="1"/>
  <c r="D21" i="2" s="1"/>
  <c r="BN20" i="2" a="1"/>
  <c r="BN20" i="2" s="1"/>
  <c r="BM20" i="2" a="1"/>
  <c r="BM20" i="2" s="1"/>
  <c r="AJ20" i="2" a="1"/>
  <c r="AJ20" i="2" s="1"/>
  <c r="AG20" i="2" a="1"/>
  <c r="AG20" i="2" s="1"/>
  <c r="AF20" i="2" a="1"/>
  <c r="AF20" i="2" s="1"/>
  <c r="F19" i="4" s="1" a="1"/>
  <c r="F19" i="4" s="1"/>
  <c r="AA20" i="2" a="1"/>
  <c r="AA20" i="2" s="1"/>
  <c r="Z20" i="2" a="1"/>
  <c r="Z20" i="2" s="1"/>
  <c r="D20" i="2" a="1"/>
  <c r="D20" i="2" s="1"/>
  <c r="BN19" i="2" a="1"/>
  <c r="BN19" i="2" s="1"/>
  <c r="BM19" i="2" a="1"/>
  <c r="BM19" i="2" s="1"/>
  <c r="AF19" i="2" a="1"/>
  <c r="AF19" i="2" s="1"/>
  <c r="AF35" i="2" s="1" a="1"/>
  <c r="AF35" i="2" s="1"/>
  <c r="AD19" i="2" a="1"/>
  <c r="AD19" i="2" s="1"/>
  <c r="AC19" i="2" a="1"/>
  <c r="AC19" i="2" s="1"/>
  <c r="AA19" i="2" a="1"/>
  <c r="AA19" i="2" s="1"/>
  <c r="AA35" i="2" s="1" a="1"/>
  <c r="AA35" i="2" s="1"/>
  <c r="Z19" i="2" a="1"/>
  <c r="Z19" i="2" s="1"/>
  <c r="Z35" i="2" s="1" a="1"/>
  <c r="Z35" i="2" s="1"/>
  <c r="Y19" i="2" a="1"/>
  <c r="Y19" i="2" s="1"/>
  <c r="Y35" i="2" s="1" a="1"/>
  <c r="Y35" i="2" s="1"/>
  <c r="X19" i="2" a="1"/>
  <c r="X19" i="2" s="1"/>
  <c r="X35" i="2" s="1" a="1"/>
  <c r="X35" i="2" s="1"/>
  <c r="BN18" i="2" a="1"/>
  <c r="BN18" i="2" s="1"/>
  <c r="BM18" i="2" a="1"/>
  <c r="BM18" i="2" s="1"/>
  <c r="BN17" i="2" a="1"/>
  <c r="BN17" i="2" s="1"/>
  <c r="BM17" i="2" a="1"/>
  <c r="BM17" i="2" s="1"/>
  <c r="AY17" i="2" a="1"/>
  <c r="AY17" i="2" s="1"/>
  <c r="AI17" i="2" a="1"/>
  <c r="AI17" i="2" s="1"/>
  <c r="AG17" i="2" a="1"/>
  <c r="AG17" i="2" s="1"/>
  <c r="AF17" i="2" a="1"/>
  <c r="AF17" i="2" s="1"/>
  <c r="F16" i="4" s="1" a="1"/>
  <c r="F16" i="4" s="1"/>
  <c r="AA17" i="2" a="1"/>
  <c r="AA17" i="2" s="1"/>
  <c r="Z17" i="2" a="1"/>
  <c r="Z17" i="2" s="1"/>
  <c r="D17" i="2" a="1"/>
  <c r="D17" i="2" s="1"/>
  <c r="BN16" i="2" a="1"/>
  <c r="BN16" i="2" s="1"/>
  <c r="BM16" i="2" a="1"/>
  <c r="BM16" i="2" s="1"/>
  <c r="AY16" i="2" a="1"/>
  <c r="AY16" i="2" s="1"/>
  <c r="AI16" i="2" a="1"/>
  <c r="AI16" i="2" s="1"/>
  <c r="AG16" i="2" a="1"/>
  <c r="AG16" i="2" s="1"/>
  <c r="AF16" i="2" a="1"/>
  <c r="AF16" i="2" s="1"/>
  <c r="F15" i="4" s="1" a="1"/>
  <c r="F15" i="4" s="1"/>
  <c r="AA16" i="2" a="1"/>
  <c r="AA16" i="2" s="1"/>
  <c r="Z16" i="2" a="1"/>
  <c r="Z16" i="2" s="1"/>
  <c r="D16" i="2" a="1"/>
  <c r="D16" i="2" s="1"/>
  <c r="BN15" i="2" a="1"/>
  <c r="BN15" i="2" s="1"/>
  <c r="BM15" i="2" a="1"/>
  <c r="BM15" i="2" s="1"/>
  <c r="AY15" i="2" a="1"/>
  <c r="AY15" i="2" s="1"/>
  <c r="AI15" i="2" a="1"/>
  <c r="AI15" i="2" s="1"/>
  <c r="AG15" i="2" a="1"/>
  <c r="AG15" i="2" s="1"/>
  <c r="AF15" i="2" a="1"/>
  <c r="AF15" i="2" s="1"/>
  <c r="F14" i="4" s="1" a="1"/>
  <c r="F14" i="4" s="1"/>
  <c r="AA15" i="2" a="1"/>
  <c r="AA15" i="2" s="1"/>
  <c r="Z15" i="2" a="1"/>
  <c r="Z15" i="2" s="1"/>
  <c r="D15" i="2" a="1"/>
  <c r="D15" i="2" s="1"/>
  <c r="BN14" i="2" a="1"/>
  <c r="BN14" i="2" s="1"/>
  <c r="BM14" i="2" a="1"/>
  <c r="BM14" i="2" s="1"/>
  <c r="AY14" i="2" a="1"/>
  <c r="AY14" i="2" s="1"/>
  <c r="AI14" i="2" a="1"/>
  <c r="AI14" i="2" s="1"/>
  <c r="AG14" i="2" a="1"/>
  <c r="AG14" i="2" s="1"/>
  <c r="AF14" i="2" a="1"/>
  <c r="AF14" i="2" s="1"/>
  <c r="F13" i="4" s="1" a="1"/>
  <c r="F13" i="4" s="1"/>
  <c r="AA14" i="2" a="1"/>
  <c r="AA14" i="2" s="1"/>
  <c r="Z14" i="2" a="1"/>
  <c r="Z14" i="2" s="1"/>
  <c r="D14" i="2" a="1"/>
  <c r="D14" i="2" s="1"/>
  <c r="BN13" i="2" a="1"/>
  <c r="BN13" i="2" s="1"/>
  <c r="BM13" i="2" a="1"/>
  <c r="BM13" i="2" s="1"/>
  <c r="AT13" i="2" a="1"/>
  <c r="AT13" i="2" s="1"/>
  <c r="AS13" i="2" a="1"/>
  <c r="AS13" i="2" s="1"/>
  <c r="AR13" i="2" a="1"/>
  <c r="AR13" i="2" s="1"/>
  <c r="AQ13" i="2" a="1"/>
  <c r="AQ13" i="2" s="1"/>
  <c r="AP13" i="2" a="1"/>
  <c r="AP13" i="2" s="1"/>
  <c r="AO13" i="2" a="1"/>
  <c r="AO13" i="2" s="1"/>
  <c r="AN13" i="2" a="1"/>
  <c r="AN13" i="2" s="1"/>
  <c r="AM13" i="2" a="1"/>
  <c r="AM13" i="2" s="1"/>
  <c r="AL13" i="2" a="1"/>
  <c r="AL13" i="2" s="1"/>
  <c r="AY13" i="2" s="1" a="1"/>
  <c r="AY13" i="2" s="1"/>
  <c r="AJ13" i="2" a="1"/>
  <c r="AJ13" i="2" s="1"/>
  <c r="AG13" i="2" a="1"/>
  <c r="AG13" i="2" s="1"/>
  <c r="AF13" i="2" a="1"/>
  <c r="AF13" i="2" s="1"/>
  <c r="F12" i="4" s="1" a="1"/>
  <c r="F12" i="4" s="1"/>
  <c r="AA13" i="2" a="1"/>
  <c r="AA13" i="2" s="1"/>
  <c r="Z13" i="2" a="1"/>
  <c r="Z13" i="2" s="1"/>
  <c r="D13" i="2" a="1"/>
  <c r="D13" i="2" s="1"/>
  <c r="BN12" i="2" a="1"/>
  <c r="BN12" i="2" s="1"/>
  <c r="BM12" i="2" a="1"/>
  <c r="BM12" i="2" s="1"/>
  <c r="AJ12" i="2" a="1"/>
  <c r="AJ12" i="2" s="1"/>
  <c r="AG12" i="2" a="1"/>
  <c r="AG12" i="2" s="1"/>
  <c r="AF12" i="2" a="1"/>
  <c r="AF12" i="2" s="1"/>
  <c r="F11" i="4" s="1" a="1"/>
  <c r="F11" i="4" s="1"/>
  <c r="AA12" i="2" a="1"/>
  <c r="AA12" i="2" s="1"/>
  <c r="Z12" i="2" a="1"/>
  <c r="Z12" i="2" s="1"/>
  <c r="D12" i="2" a="1"/>
  <c r="D12" i="2" s="1"/>
  <c r="BN11" i="2" a="1"/>
  <c r="BN11" i="2" s="1"/>
  <c r="BM11" i="2" a="1"/>
  <c r="BM11" i="2" s="1"/>
  <c r="AF11" i="2" a="1"/>
  <c r="AF11" i="2" s="1"/>
  <c r="AF27" i="2" s="1" a="1"/>
  <c r="AF27" i="2" s="1"/>
  <c r="AF43" i="2" s="1" a="1"/>
  <c r="AF43" i="2" s="1"/>
  <c r="AD11" i="2" a="1"/>
  <c r="AD11" i="2" s="1"/>
  <c r="AC11" i="2" a="1"/>
  <c r="AC11" i="2" s="1"/>
  <c r="AA11" i="2" a="1"/>
  <c r="AA11" i="2" s="1"/>
  <c r="AA27" i="2" s="1" a="1"/>
  <c r="AA27" i="2" s="1"/>
  <c r="AA43" i="2" s="1" a="1"/>
  <c r="AA43" i="2" s="1"/>
  <c r="Z11" i="2" a="1"/>
  <c r="Z11" i="2" s="1"/>
  <c r="Z27" i="2" s="1" a="1"/>
  <c r="Z27" i="2" s="1"/>
  <c r="Z43" i="2" s="1" a="1"/>
  <c r="Z43" i="2" s="1"/>
  <c r="Y11" i="2" a="1"/>
  <c r="Y11" i="2" s="1"/>
  <c r="Y27" i="2" s="1" a="1"/>
  <c r="Y27" i="2" s="1"/>
  <c r="Y43" i="2" s="1" a="1"/>
  <c r="Y43" i="2" s="1"/>
  <c r="X11" i="2" a="1"/>
  <c r="X11" i="2" s="1"/>
  <c r="X27" i="2" s="1" a="1"/>
  <c r="X27" i="2" s="1"/>
  <c r="X43" i="2" s="1" a="1"/>
  <c r="X43" i="2" s="1"/>
  <c r="BN10" i="2" a="1"/>
  <c r="BN10" i="2" s="1"/>
  <c r="BM10" i="2" a="1"/>
  <c r="BM10" i="2" s="1"/>
  <c r="BN9" i="2" a="1"/>
  <c r="BN9" i="2" s="1"/>
  <c r="BM9" i="2" a="1"/>
  <c r="BM9" i="2" s="1"/>
  <c r="AY9" i="2" a="1"/>
  <c r="AY9" i="2" s="1"/>
  <c r="AI9" i="2" a="1"/>
  <c r="AI9" i="2" s="1"/>
  <c r="AG9" i="2" a="1"/>
  <c r="AG9" i="2" s="1"/>
  <c r="AF9" i="2" a="1"/>
  <c r="AF9" i="2" s="1"/>
  <c r="F8" i="4" s="1" a="1"/>
  <c r="F8" i="4" s="1"/>
  <c r="AA9" i="2" a="1"/>
  <c r="AA9" i="2" s="1"/>
  <c r="Z9" i="2" a="1"/>
  <c r="Z9" i="2" s="1"/>
  <c r="D9" i="2" a="1"/>
  <c r="D9" i="2" s="1"/>
  <c r="BN8" i="2" a="1"/>
  <c r="BN8" i="2" s="1"/>
  <c r="BM8" i="2" a="1"/>
  <c r="BM8" i="2" s="1"/>
  <c r="AY8" i="2" a="1"/>
  <c r="AY8" i="2" s="1"/>
  <c r="AI8" i="2" a="1"/>
  <c r="AI8" i="2" s="1"/>
  <c r="AG8" i="2" a="1"/>
  <c r="AG8" i="2" s="1"/>
  <c r="AF8" i="2" a="1"/>
  <c r="AF8" i="2" s="1"/>
  <c r="AA8" i="2" a="1"/>
  <c r="AA8" i="2" s="1"/>
  <c r="D8" i="2" a="1"/>
  <c r="D8" i="2" s="1"/>
  <c r="BN7" i="2" a="1"/>
  <c r="BN7" i="2" s="1"/>
  <c r="BM7" i="2" a="1"/>
  <c r="BM7" i="2" s="1"/>
  <c r="AY7" i="2" a="1"/>
  <c r="AY7" i="2" s="1"/>
  <c r="AI7" i="2" a="1"/>
  <c r="AI7" i="2" s="1"/>
  <c r="AG7" i="2" a="1"/>
  <c r="AG7" i="2" s="1"/>
  <c r="AF7" i="2" a="1"/>
  <c r="AF7" i="2" s="1"/>
  <c r="F6" i="4" s="1" a="1"/>
  <c r="F6" i="4" s="1"/>
  <c r="AA7" i="2" a="1"/>
  <c r="AA7" i="2" s="1"/>
  <c r="Z7" i="2" a="1"/>
  <c r="Z7" i="2" s="1"/>
  <c r="D7" i="2" a="1"/>
  <c r="D7" i="2" s="1"/>
  <c r="BN6" i="2" a="1"/>
  <c r="BN6" i="2" s="1"/>
  <c r="BM6" i="2" a="1"/>
  <c r="BM6" i="2" s="1"/>
  <c r="AY6" i="2" a="1"/>
  <c r="AY6" i="2" s="1"/>
  <c r="AI6" i="2" a="1"/>
  <c r="AI6" i="2" s="1"/>
  <c r="AG6" i="2" a="1"/>
  <c r="AG6" i="2" s="1"/>
  <c r="AF6" i="2" a="1"/>
  <c r="AF6" i="2" s="1"/>
  <c r="AA6" i="2" a="1"/>
  <c r="AA6" i="2" s="1"/>
  <c r="D6" i="2" a="1"/>
  <c r="D6" i="2" s="1"/>
  <c r="BL5" i="2" a="1"/>
  <c r="BL5" i="2" s="1"/>
  <c r="BL57" i="2" s="1" a="1"/>
  <c r="BL57" i="2" s="1"/>
  <c r="BK5" i="2" a="1"/>
  <c r="BK5" i="2" s="1"/>
  <c r="BK57" i="2" s="1" a="1"/>
  <c r="BK57" i="2" s="1"/>
  <c r="BJ5" i="2" a="1"/>
  <c r="BJ5" i="2" s="1"/>
  <c r="BJ57" i="2" s="1" a="1"/>
  <c r="BJ57" i="2" s="1"/>
  <c r="BI5" i="2" a="1"/>
  <c r="BI5" i="2" s="1"/>
  <c r="BI57" i="2" s="1" a="1"/>
  <c r="BI57" i="2" s="1"/>
  <c r="BH5" i="2" a="1"/>
  <c r="BH5" i="2" s="1"/>
  <c r="BH57" i="2" s="1" a="1"/>
  <c r="BH57" i="2" s="1"/>
  <c r="BG5" i="2" a="1"/>
  <c r="BG5" i="2" s="1"/>
  <c r="BG57" i="2" s="1" a="1"/>
  <c r="BG57" i="2" s="1"/>
  <c r="BF5" i="2" a="1"/>
  <c r="BF5" i="2" s="1"/>
  <c r="BF57" i="2" s="1" a="1"/>
  <c r="BF57" i="2" s="1"/>
  <c r="BE5" i="2" a="1"/>
  <c r="BE5" i="2" s="1"/>
  <c r="BE57" i="2" s="1" a="1"/>
  <c r="BE57" i="2" s="1"/>
  <c r="AY5" i="2" a="1"/>
  <c r="AY5" i="2" s="1"/>
  <c r="AG5" i="2" a="1"/>
  <c r="AG5" i="2" s="1"/>
  <c r="AF5" i="2" a="1"/>
  <c r="AF5" i="2" s="1"/>
  <c r="AA5" i="2" a="1"/>
  <c r="AA5" i="2" s="1"/>
  <c r="Z5" i="2" a="1"/>
  <c r="Z5" i="2" s="1"/>
  <c r="D5" i="2" a="1"/>
  <c r="D5" i="2" s="1"/>
  <c r="AJ4" i="2" a="1"/>
  <c r="AJ4" i="2" s="1"/>
  <c r="AG4" i="2" a="1"/>
  <c r="AG4" i="2" s="1"/>
  <c r="AF4" i="2" a="1"/>
  <c r="AF4" i="2" s="1"/>
  <c r="AA4" i="2" a="1"/>
  <c r="AA4" i="2" s="1"/>
  <c r="D4" i="2" a="1"/>
  <c r="D4" i="2" s="1"/>
  <c r="O38" i="2" l="1" a="1"/>
  <c r="O38" i="2" s="1"/>
  <c r="L86" i="2" a="1"/>
  <c r="L86" i="2" s="1"/>
  <c r="U89" i="2" a="1"/>
  <c r="U89" i="2" s="1"/>
  <c r="N17" i="2" a="1"/>
  <c r="N17" i="2" s="1"/>
  <c r="Q7" i="2" a="1"/>
  <c r="Q7" i="2" s="1"/>
  <c r="R46" i="2" a="1"/>
  <c r="R46" i="2" s="1"/>
  <c r="F86" i="2" a="1"/>
  <c r="F86" i="2" s="1"/>
  <c r="I86" i="2" a="1"/>
  <c r="I86" i="2" s="1"/>
  <c r="O70" i="2" a="1"/>
  <c r="O70" i="2" s="1"/>
  <c r="H48" i="2" a="1"/>
  <c r="H48" i="2" s="1"/>
  <c r="T97" i="2" a="1"/>
  <c r="T97" i="2" s="1"/>
  <c r="L37" i="2" a="1"/>
  <c r="L37" i="2" s="1"/>
  <c r="F54" i="2" a="1"/>
  <c r="F54" i="2" s="1"/>
  <c r="Q22" i="2" a="1"/>
  <c r="Q22" i="2" s="1"/>
  <c r="F32" i="2" a="1"/>
  <c r="F32" i="2" s="1"/>
  <c r="O44" i="2" a="1"/>
  <c r="O44" i="2" s="1"/>
  <c r="O47" i="2" a="1"/>
  <c r="O47" i="2" s="1"/>
  <c r="R76" i="2" a="1"/>
  <c r="R76" i="2" s="1"/>
  <c r="E86" i="2" a="1"/>
  <c r="E86" i="2" s="1"/>
  <c r="K22" i="2" a="1"/>
  <c r="K22" i="2" s="1"/>
  <c r="T29" i="2" a="1"/>
  <c r="T29" i="2" s="1"/>
  <c r="K39" i="2" a="1"/>
  <c r="K39" i="2" s="1"/>
  <c r="K77" i="2" a="1"/>
  <c r="K77" i="2" s="1"/>
  <c r="F21" i="2" a="1"/>
  <c r="F21" i="2" s="1"/>
  <c r="O25" i="2" a="1"/>
  <c r="O25" i="2" s="1"/>
  <c r="Q45" i="2" a="1"/>
  <c r="Q45" i="2" s="1"/>
  <c r="R57" i="2" a="1"/>
  <c r="R57" i="2" s="1"/>
  <c r="O54" i="2" a="1"/>
  <c r="O54" i="2" s="1"/>
  <c r="O86" i="2" a="1"/>
  <c r="O86" i="2" s="1"/>
  <c r="N47" i="2" a="1"/>
  <c r="N47" i="2" s="1"/>
  <c r="K86" i="2" a="1"/>
  <c r="K86" i="2" s="1"/>
  <c r="F6" i="2" a="1"/>
  <c r="F6" i="2" s="1"/>
  <c r="BU9" i="2" s="1" a="1"/>
  <c r="BU9" i="2" s="1"/>
  <c r="E41" i="2" a="1"/>
  <c r="E41" i="2" s="1"/>
  <c r="Q63" i="2" a="1"/>
  <c r="Q63" i="2" s="1"/>
  <c r="R86" i="2" a="1"/>
  <c r="R86" i="2" s="1"/>
  <c r="Q49" i="2" a="1"/>
  <c r="Q49" i="2" s="1"/>
  <c r="U73" i="2" a="1"/>
  <c r="U73" i="2" s="1"/>
  <c r="R73" i="2" a="1"/>
  <c r="R73" i="2" s="1"/>
  <c r="Q73" i="2" a="1"/>
  <c r="Q73" i="2" s="1"/>
  <c r="L73" i="2" a="1"/>
  <c r="L73" i="2" s="1"/>
  <c r="I73" i="2" a="1"/>
  <c r="I73" i="2" s="1"/>
  <c r="H73" i="2" a="1"/>
  <c r="H73" i="2" s="1"/>
  <c r="F73" i="2" a="1"/>
  <c r="F73" i="2" s="1"/>
  <c r="F5" i="4" a="1"/>
  <c r="F5" i="4" s="1"/>
  <c r="R6" i="2" a="1"/>
  <c r="R6" i="2" s="1"/>
  <c r="F94" i="2" a="1"/>
  <c r="F94" i="2" s="1"/>
  <c r="R94" i="2" a="1"/>
  <c r="R94" i="2" s="1"/>
  <c r="I94" i="2" a="1"/>
  <c r="I94" i="2" s="1"/>
  <c r="U44" i="2" a="1"/>
  <c r="U44" i="2" s="1"/>
  <c r="R7" i="2" a="1"/>
  <c r="R7" i="2" s="1"/>
  <c r="K17" i="2" a="1"/>
  <c r="K17" i="2" s="1"/>
  <c r="N20" i="2" a="1"/>
  <c r="N20" i="2" s="1"/>
  <c r="T21" i="2" a="1"/>
  <c r="T21" i="2" s="1"/>
  <c r="E65" i="2" a="1"/>
  <c r="E65" i="2" s="1"/>
  <c r="Q69" i="2" a="1"/>
  <c r="Q69" i="2" s="1"/>
  <c r="N143" i="2" a="1"/>
  <c r="N143" i="2" s="1"/>
  <c r="H8" i="2" a="1"/>
  <c r="H8" i="2" s="1"/>
  <c r="R21" i="2" a="1"/>
  <c r="R21" i="2" s="1"/>
  <c r="F25" i="2" a="1"/>
  <c r="F25" i="2" s="1"/>
  <c r="N147" i="2" a="1"/>
  <c r="N147" i="2" s="1"/>
  <c r="U64" i="2" a="1"/>
  <c r="U64" i="2" s="1"/>
  <c r="AL6" i="2" a="1"/>
  <c r="AL6" i="2" s="1"/>
  <c r="H47" i="2" a="1"/>
  <c r="H47" i="2" s="1"/>
  <c r="T40" i="2" a="1"/>
  <c r="T40" i="2" s="1"/>
  <c r="H49" i="2" a="1"/>
  <c r="H49" i="2" s="1"/>
  <c r="AL8" i="2" a="1"/>
  <c r="AL8" i="2" s="1"/>
  <c r="H6" i="4" s="1" a="1"/>
  <c r="H6" i="4" s="1"/>
  <c r="R39" i="2" a="1"/>
  <c r="R39" i="2" s="1"/>
  <c r="E64" i="2" a="1"/>
  <c r="E64" i="2" s="1"/>
  <c r="U39" i="2" a="1"/>
  <c r="U39" i="2" s="1"/>
  <c r="O48" i="2" a="1"/>
  <c r="O48" i="2" s="1"/>
  <c r="H97" i="2" a="1"/>
  <c r="H97" i="2" s="1"/>
  <c r="K64" i="2" a="1"/>
  <c r="K64" i="2" s="1"/>
  <c r="R71" i="2" a="1"/>
  <c r="R71" i="2" s="1"/>
  <c r="C250" i="3" a="1"/>
  <c r="C250" i="3" s="1"/>
  <c r="R13" i="2" a="1"/>
  <c r="R13" i="2" s="1"/>
  <c r="O22" i="2" a="1"/>
  <c r="O22" i="2" s="1"/>
  <c r="Q39" i="2" a="1"/>
  <c r="Q39" i="2" s="1"/>
  <c r="L45" i="2" a="1"/>
  <c r="L45" i="2" s="1"/>
  <c r="Q80" i="2" a="1"/>
  <c r="Q80" i="2" s="1"/>
  <c r="AG107" i="2" a="1"/>
  <c r="AG107" i="2" s="1"/>
  <c r="T6" i="2" a="1"/>
  <c r="T6" i="2" s="1"/>
  <c r="R36" i="2" a="1"/>
  <c r="R36" i="2" s="1"/>
  <c r="N6" i="2" a="1"/>
  <c r="N6" i="2" s="1"/>
  <c r="Q6" i="2" a="1"/>
  <c r="Q6" i="2" s="1"/>
  <c r="R45" i="2" a="1"/>
  <c r="R45" i="2" s="1"/>
  <c r="T80" i="2" a="1"/>
  <c r="T80" i="2" s="1"/>
  <c r="T15" i="2" a="1"/>
  <c r="T15" i="2" s="1"/>
  <c r="N127" i="2" a="1"/>
  <c r="N127" i="2" s="1"/>
  <c r="AF127" i="2" s="1" a="1"/>
  <c r="AF127" i="2" s="1"/>
  <c r="C197" i="3" s="1" a="1"/>
  <c r="C197" i="3" s="1"/>
  <c r="AG116" i="2" a="1"/>
  <c r="AG116" i="2" s="1"/>
  <c r="O87" i="2" a="1"/>
  <c r="O87" i="2" s="1"/>
  <c r="K87" i="2" a="1"/>
  <c r="K87" i="2" s="1"/>
  <c r="R15" i="4" a="1"/>
  <c r="R15" i="4" s="1"/>
  <c r="O64" i="2" a="1"/>
  <c r="O64" i="2" s="1"/>
  <c r="L64" i="2" a="1"/>
  <c r="L64" i="2" s="1"/>
  <c r="F64" i="2" a="1"/>
  <c r="F64" i="2" s="1"/>
  <c r="R95" i="2" a="1"/>
  <c r="R95" i="2" s="1"/>
  <c r="O95" i="2" a="1"/>
  <c r="O95" i="2" s="1"/>
  <c r="F95" i="2" a="1"/>
  <c r="F95" i="2" s="1"/>
  <c r="E95" i="2" a="1"/>
  <c r="E95" i="2" s="1"/>
  <c r="Q53" i="2" a="1"/>
  <c r="Q53" i="2" s="1"/>
  <c r="T5" i="2" a="1"/>
  <c r="T5" i="2" s="1"/>
  <c r="K5" i="2" a="1"/>
  <c r="K5" i="2" s="1"/>
  <c r="E5" i="2" a="1"/>
  <c r="E5" i="2" s="1"/>
  <c r="U5" i="2" a="1"/>
  <c r="U5" i="2" s="1"/>
  <c r="I5" i="2" a="1"/>
  <c r="I5" i="2" s="1"/>
  <c r="H5" i="2" a="1"/>
  <c r="H5" i="2" s="1"/>
  <c r="I79" i="2" a="1"/>
  <c r="I79" i="2" s="1"/>
  <c r="F79" i="2" a="1"/>
  <c r="F79" i="2" s="1"/>
  <c r="T79" i="2" a="1"/>
  <c r="T79" i="2" s="1"/>
  <c r="O79" i="2" a="1"/>
  <c r="O79" i="2" s="1"/>
  <c r="L79" i="2" a="1"/>
  <c r="L79" i="2" s="1"/>
  <c r="Q70" i="2" a="1"/>
  <c r="Q70" i="2" s="1"/>
  <c r="N70" i="2" a="1"/>
  <c r="N70" i="2" s="1"/>
  <c r="H70" i="2" a="1"/>
  <c r="H70" i="2" s="1"/>
  <c r="E70" i="2" a="1"/>
  <c r="E70" i="2" s="1"/>
  <c r="E85" i="2" a="1"/>
  <c r="E85" i="2" s="1"/>
  <c r="T85" i="2" a="1"/>
  <c r="T85" i="2" s="1"/>
  <c r="Q85" i="2" a="1"/>
  <c r="Q85" i="2" s="1"/>
  <c r="K85" i="2" a="1"/>
  <c r="K85" i="2" s="1"/>
  <c r="I85" i="2" a="1"/>
  <c r="I85" i="2" s="1"/>
  <c r="H85" i="2" a="1"/>
  <c r="H85" i="2" s="1"/>
  <c r="R4" i="2" a="1"/>
  <c r="R4" i="2" s="1"/>
  <c r="E4" i="2" a="1"/>
  <c r="E4" i="2" s="1"/>
  <c r="F4" i="2" a="1"/>
  <c r="F4" i="2" s="1"/>
  <c r="Q54" i="2" a="1"/>
  <c r="Q54" i="2" s="1"/>
  <c r="K54" i="2" a="1"/>
  <c r="K54" i="2" s="1"/>
  <c r="H54" i="2" a="1"/>
  <c r="H54" i="2" s="1"/>
  <c r="T60" i="2" a="1"/>
  <c r="T60" i="2" s="1"/>
  <c r="Q60" i="2" a="1"/>
  <c r="Q60" i="2" s="1"/>
  <c r="R60" i="2" a="1"/>
  <c r="R60" i="2" s="1"/>
  <c r="N60" i="2" a="1"/>
  <c r="N60" i="2" s="1"/>
  <c r="R13" i="4" a="1"/>
  <c r="R13" i="4" s="1"/>
  <c r="O62" i="2" a="1"/>
  <c r="O62" i="2" s="1"/>
  <c r="AG123" i="2" a="1"/>
  <c r="AG123" i="2" s="1"/>
  <c r="N133" i="2" a="1"/>
  <c r="N133" i="2" s="1"/>
  <c r="AF133" i="2" s="1" a="1"/>
  <c r="AF133" i="2" s="1"/>
  <c r="C216" i="3" s="1" a="1"/>
  <c r="C216" i="3" s="1"/>
  <c r="AG132" i="2" a="1"/>
  <c r="AG132" i="2" s="1"/>
  <c r="N138" i="2" a="1"/>
  <c r="N138" i="2" s="1"/>
  <c r="AF138" i="2" s="1" a="1"/>
  <c r="AF138" i="2" s="1"/>
  <c r="C228" i="3" s="1" a="1"/>
  <c r="C228" i="3" s="1"/>
  <c r="L68" i="2" a="1"/>
  <c r="L68" i="2" s="1"/>
  <c r="H68" i="2" a="1"/>
  <c r="H68" i="2" s="1"/>
  <c r="R30" i="2" a="1"/>
  <c r="R30" i="2" s="1"/>
  <c r="E30" i="2" a="1"/>
  <c r="E30" i="2" s="1"/>
  <c r="N78" i="2" a="1"/>
  <c r="N78" i="2" s="1"/>
  <c r="T78" i="2" a="1"/>
  <c r="T78" i="2" s="1"/>
  <c r="Q78" i="2" a="1"/>
  <c r="Q78" i="2" s="1"/>
  <c r="K78" i="2" a="1"/>
  <c r="K78" i="2" s="1"/>
  <c r="H78" i="2" a="1"/>
  <c r="H78" i="2" s="1"/>
  <c r="E78" i="2" a="1"/>
  <c r="E78" i="2" s="1"/>
  <c r="L96" i="2" a="1"/>
  <c r="L96" i="2" s="1"/>
  <c r="K96" i="2" a="1"/>
  <c r="K96" i="2" s="1"/>
  <c r="E96" i="2" a="1"/>
  <c r="E96" i="2" s="1"/>
  <c r="T96" i="2" a="1"/>
  <c r="T96" i="2" s="1"/>
  <c r="Q72" i="2" a="1"/>
  <c r="Q72" i="2" s="1"/>
  <c r="O72" i="2" a="1"/>
  <c r="O72" i="2" s="1"/>
  <c r="L72" i="2" a="1"/>
  <c r="L72" i="2" s="1"/>
  <c r="K72" i="2" a="1"/>
  <c r="K72" i="2" s="1"/>
  <c r="H72" i="2" a="1"/>
  <c r="H72" i="2" s="1"/>
  <c r="F72" i="2" a="1"/>
  <c r="F72" i="2" s="1"/>
  <c r="U72" i="2" a="1"/>
  <c r="U72" i="2" s="1"/>
  <c r="R72" i="2" a="1"/>
  <c r="R72" i="2" s="1"/>
  <c r="R55" i="2" a="1"/>
  <c r="R55" i="2" s="1"/>
  <c r="O84" i="2" a="1"/>
  <c r="O84" i="2" s="1"/>
  <c r="H84" i="2" a="1"/>
  <c r="H84" i="2" s="1"/>
  <c r="L84" i="2" a="1"/>
  <c r="L84" i="2" s="1"/>
  <c r="BS62" i="2" a="1"/>
  <c r="BS62" i="2" s="1"/>
  <c r="E46" i="2" a="1"/>
  <c r="E46" i="2" s="1"/>
  <c r="BH11" i="2" a="1"/>
  <c r="BH11" i="2" s="1"/>
  <c r="O9" i="2" a="1"/>
  <c r="O9" i="2" s="1"/>
  <c r="E24" i="2" a="1"/>
  <c r="E24" i="2" s="1"/>
  <c r="I55" i="2" a="1"/>
  <c r="I55" i="2" s="1"/>
  <c r="O7" i="2" a="1"/>
  <c r="O7" i="2" s="1"/>
  <c r="T17" i="2" a="1"/>
  <c r="T17" i="2" s="1"/>
  <c r="T20" i="2" a="1"/>
  <c r="T20" i="2" s="1"/>
  <c r="Q21" i="2" a="1"/>
  <c r="Q21" i="2" s="1"/>
  <c r="Q24" i="2" a="1"/>
  <c r="Q24" i="2" s="1"/>
  <c r="Q44" i="2" a="1"/>
  <c r="Q44" i="2" s="1"/>
  <c r="U46" i="2" a="1"/>
  <c r="U46" i="2" s="1"/>
  <c r="O49" i="2" a="1"/>
  <c r="O49" i="2" s="1"/>
  <c r="N80" i="2" a="1"/>
  <c r="N80" i="2" s="1"/>
  <c r="E94" i="2" a="1"/>
  <c r="E94" i="2" s="1"/>
  <c r="R97" i="2" a="1"/>
  <c r="R97" i="2" s="1"/>
  <c r="M132" i="2" a="1"/>
  <c r="M132" i="2" s="1"/>
  <c r="AA132" i="2" s="1" a="1"/>
  <c r="AA132" i="2" s="1"/>
  <c r="I13" i="2" a="1"/>
  <c r="I13" i="2" s="1"/>
  <c r="H6" i="2" a="1"/>
  <c r="H6" i="2" s="1"/>
  <c r="U17" i="2" a="1"/>
  <c r="U17" i="2" s="1"/>
  <c r="U22" i="2" a="1"/>
  <c r="U22" i="2" s="1"/>
  <c r="O80" i="2" a="1"/>
  <c r="O80" i="2" s="1"/>
  <c r="AG115" i="2" a="1"/>
  <c r="AG115" i="2" s="1"/>
  <c r="AG125" i="2" a="1"/>
  <c r="AG125" i="2" s="1"/>
  <c r="T24" i="2" a="1"/>
  <c r="T24" i="2" s="1"/>
  <c r="R29" i="2" a="1"/>
  <c r="R29" i="2" s="1"/>
  <c r="R44" i="2" a="1"/>
  <c r="R44" i="2" s="1"/>
  <c r="K47" i="2" a="1"/>
  <c r="K47" i="2" s="1"/>
  <c r="U49" i="2" a="1"/>
  <c r="U49" i="2" s="1"/>
  <c r="M139" i="2" a="1"/>
  <c r="M139" i="2" s="1"/>
  <c r="AA139" i="2" s="1" a="1"/>
  <c r="AA139" i="2" s="1"/>
  <c r="I16" i="2" a="1"/>
  <c r="I16" i="2" s="1"/>
  <c r="E37" i="2" a="1"/>
  <c r="E37" i="2" s="1"/>
  <c r="L71" i="2" a="1"/>
  <c r="L71" i="2" s="1"/>
  <c r="E40" i="2" a="1"/>
  <c r="E40" i="2" s="1"/>
  <c r="F55" i="2" a="1"/>
  <c r="F55" i="2" s="1"/>
  <c r="I76" i="2" a="1"/>
  <c r="I76" i="2" s="1"/>
  <c r="L32" i="2" a="1"/>
  <c r="L32" i="2" s="1"/>
  <c r="K40" i="2" a="1"/>
  <c r="K40" i="2" s="1"/>
  <c r="R41" i="2" a="1"/>
  <c r="R41" i="2" s="1"/>
  <c r="H44" i="2" a="1"/>
  <c r="H44" i="2" s="1"/>
  <c r="L46" i="2" a="1"/>
  <c r="L46" i="2" s="1"/>
  <c r="T49" i="2" a="1"/>
  <c r="T49" i="2" s="1"/>
  <c r="K53" i="2" a="1"/>
  <c r="K53" i="2" s="1"/>
  <c r="L55" i="2" a="1"/>
  <c r="L55" i="2" s="1"/>
  <c r="T64" i="2" a="1"/>
  <c r="T64" i="2" s="1"/>
  <c r="N76" i="2" a="1"/>
  <c r="N76" i="2" s="1"/>
  <c r="AG101" i="2" a="1"/>
  <c r="AG101" i="2" s="1"/>
  <c r="AG114" i="2" a="1"/>
  <c r="AG114" i="2" s="1"/>
  <c r="O57" i="2" a="1"/>
  <c r="O57" i="2" s="1"/>
  <c r="U63" i="2" a="1"/>
  <c r="U63" i="2" s="1"/>
  <c r="F41" i="2" a="1"/>
  <c r="F41" i="2" s="1"/>
  <c r="AL17" i="2" a="1"/>
  <c r="AL17" i="2" s="1"/>
  <c r="H15" i="4" s="1" a="1"/>
  <c r="H15" i="4" s="1"/>
  <c r="U24" i="2" a="1"/>
  <c r="U24" i="2" s="1"/>
  <c r="Q41" i="2" a="1"/>
  <c r="Q41" i="2" s="1"/>
  <c r="L63" i="2" a="1"/>
  <c r="L63" i="2" s="1"/>
  <c r="I69" i="2" a="1"/>
  <c r="I69" i="2" s="1"/>
  <c r="N8" i="2" a="1"/>
  <c r="N8" i="2" s="1"/>
  <c r="E17" i="2" a="1"/>
  <c r="E17" i="2" s="1"/>
  <c r="H23" i="2" a="1"/>
  <c r="H23" i="2" s="1"/>
  <c r="BK7" i="2" a="1"/>
  <c r="BK7" i="2" s="1"/>
  <c r="Q8" i="2" a="1"/>
  <c r="Q8" i="2" s="1"/>
  <c r="H17" i="2" a="1"/>
  <c r="H17" i="2" s="1"/>
  <c r="O20" i="2" a="1"/>
  <c r="O20" i="2" s="1"/>
  <c r="E21" i="2" a="1"/>
  <c r="E21" i="2" s="1"/>
  <c r="K24" i="2" a="1"/>
  <c r="K24" i="2" s="1"/>
  <c r="Q25" i="2" a="1"/>
  <c r="Q25" i="2" s="1"/>
  <c r="N40" i="2" a="1"/>
  <c r="N40" i="2" s="1"/>
  <c r="O53" i="2" a="1"/>
  <c r="O53" i="2" s="1"/>
  <c r="U61" i="2" a="1"/>
  <c r="U61" i="2" s="1"/>
  <c r="B28" i="3" a="1"/>
  <c r="B28" i="3" s="1"/>
  <c r="E8" i="2" a="1"/>
  <c r="E8" i="2" s="1"/>
  <c r="I32" i="2" a="1"/>
  <c r="I32" i="2" s="1"/>
  <c r="F20" i="2" a="1"/>
  <c r="F20" i="2" s="1"/>
  <c r="I46" i="2" a="1"/>
  <c r="I46" i="2" s="1"/>
  <c r="H53" i="2" a="1"/>
  <c r="H53" i="2" s="1"/>
  <c r="O6" i="2" a="1"/>
  <c r="O6" i="2" s="1"/>
  <c r="H24" i="2" a="1"/>
  <c r="H24" i="2" s="1"/>
  <c r="T63" i="2" a="1"/>
  <c r="T63" i="2" s="1"/>
  <c r="E6" i="2" a="1"/>
  <c r="E6" i="2" s="1"/>
  <c r="T13" i="2" a="1"/>
  <c r="T13" i="2" s="1"/>
  <c r="N24" i="2" a="1"/>
  <c r="N24" i="2" s="1"/>
  <c r="L39" i="2" a="1"/>
  <c r="L39" i="2" s="1"/>
  <c r="Q40" i="2" a="1"/>
  <c r="Q40" i="2" s="1"/>
  <c r="I44" i="2" a="1"/>
  <c r="I44" i="2" s="1"/>
  <c r="Q46" i="2" a="1"/>
  <c r="Q46" i="2" s="1"/>
  <c r="K49" i="2" a="1"/>
  <c r="K49" i="2" s="1"/>
  <c r="L61" i="2" a="1"/>
  <c r="L61" i="2" s="1"/>
  <c r="U86" i="2" a="1"/>
  <c r="U86" i="2" s="1"/>
  <c r="F37" i="2" a="1"/>
  <c r="F37" i="2" s="1"/>
  <c r="U16" i="2" a="1"/>
  <c r="U16" i="2" s="1"/>
  <c r="U21" i="2" a="1"/>
  <c r="U21" i="2" s="1"/>
  <c r="H40" i="2" a="1"/>
  <c r="H40" i="2" s="1"/>
  <c r="F44" i="2" a="1"/>
  <c r="F44" i="2" s="1"/>
  <c r="K21" i="2" a="1"/>
  <c r="K21" i="2" s="1"/>
  <c r="O24" i="2" a="1"/>
  <c r="O24" i="2" s="1"/>
  <c r="N38" i="2" a="1"/>
  <c r="N38" i="2" s="1"/>
  <c r="F39" i="2" a="1"/>
  <c r="F39" i="2" s="1"/>
  <c r="R40" i="2" a="1"/>
  <c r="R40" i="2" s="1"/>
  <c r="L44" i="2" a="1"/>
  <c r="L44" i="2" s="1"/>
  <c r="L49" i="2" a="1"/>
  <c r="L49" i="2" s="1"/>
  <c r="F7" i="4" a="1"/>
  <c r="F7" i="4" s="1"/>
  <c r="BV7" i="2" a="1"/>
  <c r="BV7" i="2" s="1"/>
  <c r="CJ6" i="2" a="1"/>
  <c r="CJ6" i="2" s="1"/>
  <c r="BI8" i="2" a="1"/>
  <c r="BI8" i="2" s="1"/>
  <c r="I8" i="2" a="1"/>
  <c r="I8" i="2" s="1"/>
  <c r="BV8" i="2" a="1"/>
  <c r="BV8" i="2" s="1"/>
  <c r="BW10" i="2" a="1"/>
  <c r="BW10" i="2" s="1"/>
  <c r="BU11" i="2" a="1"/>
  <c r="BU11" i="2" s="1"/>
  <c r="BW13" i="2" a="1"/>
  <c r="BW13" i="2" s="1"/>
  <c r="AV16" i="2" a="1"/>
  <c r="AV16" i="2" s="1"/>
  <c r="C8" i="4" a="1"/>
  <c r="C8" i="4" s="1"/>
  <c r="B55" i="3" a="1"/>
  <c r="B55" i="3" s="1"/>
  <c r="K14" i="2" a="1"/>
  <c r="K14" i="2" s="1"/>
  <c r="T14" i="2" a="1"/>
  <c r="T14" i="2" s="1"/>
  <c r="I14" i="2" a="1"/>
  <c r="I14" i="2" s="1"/>
  <c r="R14" i="2" a="1"/>
  <c r="R14" i="2" s="1"/>
  <c r="H14" i="2" a="1"/>
  <c r="H14" i="2" s="1"/>
  <c r="Q14" i="2" a="1"/>
  <c r="Q14" i="2" s="1"/>
  <c r="F14" i="2" a="1"/>
  <c r="F14" i="2" s="1"/>
  <c r="O14" i="2" a="1"/>
  <c r="O14" i="2" s="1"/>
  <c r="E14" i="2" a="1"/>
  <c r="E14" i="2" s="1"/>
  <c r="N14" i="2" a="1"/>
  <c r="N14" i="2" s="1"/>
  <c r="L14" i="2" a="1"/>
  <c r="L14" i="2" s="1"/>
  <c r="U14" i="2" a="1"/>
  <c r="U14" i="2" s="1"/>
  <c r="BU7" i="2" a="1"/>
  <c r="BU7" i="2" s="1"/>
  <c r="BI9" i="2" a="1"/>
  <c r="BI9" i="2" s="1"/>
  <c r="CI12" i="2" a="1"/>
  <c r="CI12" i="2" s="1"/>
  <c r="E9" i="2" a="1"/>
  <c r="E9" i="2" s="1"/>
  <c r="AV9" i="2" a="1"/>
  <c r="AV9" i="2" s="1"/>
  <c r="AL9" i="2" a="1"/>
  <c r="AL9" i="2" s="1"/>
  <c r="H7" i="4" s="1" a="1"/>
  <c r="H7" i="4" s="1"/>
  <c r="H4" i="2" a="1"/>
  <c r="H4" i="2" s="1"/>
  <c r="H9" i="2" a="1"/>
  <c r="H9" i="2" s="1"/>
  <c r="BK9" i="2" a="1"/>
  <c r="BK9" i="2" s="1"/>
  <c r="E12" i="2" a="1"/>
  <c r="E12" i="2" s="1"/>
  <c r="N12" i="2" a="1"/>
  <c r="N12" i="2" s="1"/>
  <c r="U12" i="2" a="1"/>
  <c r="U12" i="2" s="1"/>
  <c r="K12" i="2" a="1"/>
  <c r="K12" i="2" s="1"/>
  <c r="T12" i="2" a="1"/>
  <c r="T12" i="2" s="1"/>
  <c r="I12" i="2" a="1"/>
  <c r="I12" i="2" s="1"/>
  <c r="R12" i="2" a="1"/>
  <c r="R12" i="2" s="1"/>
  <c r="H12" i="2" a="1"/>
  <c r="H12" i="2" s="1"/>
  <c r="F12" i="2" a="1"/>
  <c r="F12" i="2" s="1"/>
  <c r="O12" i="2" a="1"/>
  <c r="O12" i="2" s="1"/>
  <c r="AV17" i="2" a="1"/>
  <c r="AV17" i="2" s="1"/>
  <c r="H4" i="4" a="1"/>
  <c r="H4" i="4" s="1"/>
  <c r="AV88" i="2" a="1"/>
  <c r="AV88" i="2" s="1"/>
  <c r="AV94" i="2" a="1"/>
  <c r="AV94" i="2" s="1"/>
  <c r="AV96" i="2" a="1"/>
  <c r="AV96" i="2" s="1"/>
  <c r="DQ53" i="2" a="1"/>
  <c r="DQ53" i="2" s="1"/>
  <c r="DJ53" i="2" s="1" a="1"/>
  <c r="DJ53" i="2" s="1"/>
  <c r="AV54" i="2" a="1"/>
  <c r="AV54" i="2" s="1"/>
  <c r="AV72" i="2" a="1"/>
  <c r="AV72" i="2" s="1"/>
  <c r="DQ46" i="2" a="1"/>
  <c r="DQ46" i="2" s="1"/>
  <c r="DJ46" i="2" s="1" a="1"/>
  <c r="DJ46" i="2" s="1"/>
  <c r="AV63" i="2" a="1"/>
  <c r="AV63" i="2" s="1"/>
  <c r="DQ51" i="2" a="1"/>
  <c r="DQ51" i="2" s="1"/>
  <c r="DJ51" i="2" s="1" a="1"/>
  <c r="DJ51" i="2" s="1"/>
  <c r="DQ50" i="2" a="1"/>
  <c r="DQ50" i="2" s="1"/>
  <c r="DJ50" i="2" s="1" a="1"/>
  <c r="DJ50" i="2" s="1"/>
  <c r="AV62" i="2" a="1"/>
  <c r="AV62" i="2" s="1"/>
  <c r="DQ52" i="2" a="1"/>
  <c r="DQ52" i="2" s="1"/>
  <c r="DJ52" i="2" s="1" a="1"/>
  <c r="DJ52" i="2" s="1"/>
  <c r="AV55" i="2" a="1"/>
  <c r="AV55" i="2" s="1"/>
  <c r="DQ49" i="2" a="1"/>
  <c r="DQ49" i="2" s="1"/>
  <c r="DJ49" i="2" s="1" a="1"/>
  <c r="DJ49" i="2" s="1"/>
  <c r="DQ47" i="2" a="1"/>
  <c r="DQ47" i="2" s="1"/>
  <c r="DJ47" i="2" s="1" a="1"/>
  <c r="DJ47" i="2" s="1"/>
  <c r="DQ48" i="2" a="1"/>
  <c r="DQ48" i="2" s="1"/>
  <c r="DJ48" i="2" s="1" a="1"/>
  <c r="DJ48" i="2" s="1"/>
  <c r="DQ45" i="2" a="1"/>
  <c r="DQ45" i="2" s="1"/>
  <c r="DJ45" i="2" s="1" a="1"/>
  <c r="DJ45" i="2" s="1"/>
  <c r="DQ44" i="2" a="1"/>
  <c r="DQ44" i="2" s="1"/>
  <c r="DJ44" i="2" s="1" a="1"/>
  <c r="DJ44" i="2" s="1"/>
  <c r="DQ40" i="2" a="1"/>
  <c r="DQ40" i="2" s="1"/>
  <c r="DJ40" i="2" s="1" a="1"/>
  <c r="DJ40" i="2" s="1"/>
  <c r="DQ42" i="2" a="1"/>
  <c r="DQ42" i="2" s="1"/>
  <c r="DJ42" i="2" s="1" a="1"/>
  <c r="DJ42" i="2" s="1"/>
  <c r="DQ41" i="2" a="1"/>
  <c r="DQ41" i="2" s="1"/>
  <c r="DJ41" i="2" s="1" a="1"/>
  <c r="DJ41" i="2" s="1"/>
  <c r="DQ36" i="2" a="1"/>
  <c r="DQ36" i="2" s="1"/>
  <c r="DJ36" i="2" s="1" a="1"/>
  <c r="DJ36" i="2" s="1"/>
  <c r="DQ34" i="2" a="1"/>
  <c r="DQ34" i="2" s="1"/>
  <c r="DJ34" i="2" s="1" a="1"/>
  <c r="DJ34" i="2" s="1"/>
  <c r="DQ43" i="2" a="1"/>
  <c r="DQ43" i="2" s="1"/>
  <c r="DJ43" i="2" s="1" a="1"/>
  <c r="DJ43" i="2" s="1"/>
  <c r="DQ37" i="2" a="1"/>
  <c r="DQ37" i="2" s="1"/>
  <c r="DJ37" i="2" s="1" a="1"/>
  <c r="DJ37" i="2" s="1"/>
  <c r="DQ39" i="2" a="1"/>
  <c r="DQ39" i="2" s="1"/>
  <c r="DJ39" i="2" s="1" a="1"/>
  <c r="DJ39" i="2" s="1"/>
  <c r="DQ31" i="2" a="1"/>
  <c r="DQ31" i="2" s="1"/>
  <c r="DJ31" i="2" s="1" a="1"/>
  <c r="DJ31" i="2" s="1"/>
  <c r="DQ33" i="2" a="1"/>
  <c r="DQ33" i="2" s="1"/>
  <c r="DJ33" i="2" s="1" a="1"/>
  <c r="DJ33" i="2" s="1"/>
  <c r="AV33" i="2" a="1"/>
  <c r="AV33" i="2" s="1"/>
  <c r="DQ38" i="2" a="1"/>
  <c r="DQ38" i="2" s="1"/>
  <c r="DJ38" i="2" s="1" a="1"/>
  <c r="DJ38" i="2" s="1"/>
  <c r="DQ35" i="2" a="1"/>
  <c r="DQ35" i="2" s="1"/>
  <c r="DJ35" i="2" s="1" a="1"/>
  <c r="DJ35" i="2" s="1"/>
  <c r="DQ29" i="2" a="1"/>
  <c r="DQ29" i="2" s="1"/>
  <c r="DJ29" i="2" s="1" a="1"/>
  <c r="DJ29" i="2" s="1"/>
  <c r="DQ32" i="2" a="1"/>
  <c r="DQ32" i="2" s="1"/>
  <c r="DJ32" i="2" s="1" a="1"/>
  <c r="DJ32" i="2" s="1"/>
  <c r="AV38" i="2" a="1"/>
  <c r="AV38" i="2" s="1"/>
  <c r="DQ23" i="2" a="1"/>
  <c r="DQ23" i="2" s="1"/>
  <c r="DJ23" i="2" s="1" a="1"/>
  <c r="DJ23" i="2" s="1"/>
  <c r="DQ30" i="2" a="1"/>
  <c r="DQ30" i="2" s="1"/>
  <c r="DJ30" i="2" s="1" a="1"/>
  <c r="DJ30" i="2" s="1"/>
  <c r="DQ21" i="2" a="1"/>
  <c r="DQ21" i="2" s="1"/>
  <c r="DJ21" i="2" s="1" a="1"/>
  <c r="DJ21" i="2" s="1"/>
  <c r="DQ28" i="2" a="1"/>
  <c r="DQ28" i="2" s="1"/>
  <c r="DJ28" i="2" s="1" a="1"/>
  <c r="DJ28" i="2" s="1"/>
  <c r="DQ25" i="2" a="1"/>
  <c r="DQ25" i="2" s="1"/>
  <c r="DJ25" i="2" s="1" a="1"/>
  <c r="DJ25" i="2" s="1"/>
  <c r="DQ24" i="2" a="1"/>
  <c r="DQ24" i="2" s="1"/>
  <c r="DJ24" i="2" s="1" a="1"/>
  <c r="DJ24" i="2" s="1"/>
  <c r="DQ17" i="2" a="1"/>
  <c r="DQ17" i="2" s="1"/>
  <c r="DJ17" i="2" s="1" a="1"/>
  <c r="DJ17" i="2" s="1"/>
  <c r="AV25" i="2" a="1"/>
  <c r="AV25" i="2" s="1"/>
  <c r="DQ19" i="2" a="1"/>
  <c r="DQ19" i="2" s="1"/>
  <c r="DJ19" i="2" s="1" a="1"/>
  <c r="DJ19" i="2" s="1"/>
  <c r="DQ16" i="2" a="1"/>
  <c r="DQ16" i="2" s="1"/>
  <c r="DJ16" i="2" s="1" a="1"/>
  <c r="DJ16" i="2" s="1"/>
  <c r="DQ27" i="2" a="1"/>
  <c r="DQ27" i="2" s="1"/>
  <c r="DJ27" i="2" s="1" a="1"/>
  <c r="DJ27" i="2" s="1"/>
  <c r="AV24" i="2" a="1"/>
  <c r="AV24" i="2" s="1"/>
  <c r="DQ22" i="2" a="1"/>
  <c r="DQ22" i="2" s="1"/>
  <c r="DJ22" i="2" s="1" a="1"/>
  <c r="DJ22" i="2" s="1"/>
  <c r="DQ26" i="2" a="1"/>
  <c r="DQ26" i="2" s="1"/>
  <c r="DJ26" i="2" s="1" a="1"/>
  <c r="DJ26" i="2" s="1"/>
  <c r="DQ11" i="2" a="1"/>
  <c r="DQ11" i="2" s="1"/>
  <c r="DJ11" i="2" s="1" a="1"/>
  <c r="DJ11" i="2" s="1"/>
  <c r="DQ9" i="2" a="1"/>
  <c r="DQ9" i="2" s="1"/>
  <c r="DJ9" i="2" s="1" a="1"/>
  <c r="DJ9" i="2" s="1"/>
  <c r="DQ7" i="2" a="1"/>
  <c r="DQ7" i="2" s="1"/>
  <c r="DJ7" i="2" s="1" a="1"/>
  <c r="DJ7" i="2" s="1"/>
  <c r="DQ8" i="2" a="1"/>
  <c r="DQ8" i="2" s="1"/>
  <c r="DJ8" i="2" s="1" a="1"/>
  <c r="DJ8" i="2" s="1"/>
  <c r="DQ6" i="2" a="1"/>
  <c r="DQ6" i="2" s="1"/>
  <c r="DJ6" i="2" s="1" a="1"/>
  <c r="DJ6" i="2" s="1"/>
  <c r="DQ20" i="2" a="1"/>
  <c r="DQ20" i="2" s="1"/>
  <c r="DJ20" i="2" s="1" a="1"/>
  <c r="DJ20" i="2" s="1"/>
  <c r="DQ15" i="2" a="1"/>
  <c r="DQ15" i="2" s="1"/>
  <c r="DJ15" i="2" s="1" a="1"/>
  <c r="DJ15" i="2" s="1"/>
  <c r="DQ14" i="2" a="1"/>
  <c r="DQ14" i="2" s="1"/>
  <c r="DJ14" i="2" s="1" a="1"/>
  <c r="DJ14" i="2" s="1"/>
  <c r="DQ12" i="2" a="1"/>
  <c r="DQ12" i="2" s="1"/>
  <c r="DJ12" i="2" s="1" a="1"/>
  <c r="DJ12" i="2" s="1"/>
  <c r="DQ10" i="2" a="1"/>
  <c r="DQ10" i="2" s="1"/>
  <c r="DJ10" i="2" s="1" a="1"/>
  <c r="DJ10" i="2" s="1"/>
  <c r="DQ18" i="2" a="1"/>
  <c r="DQ18" i="2" s="1"/>
  <c r="DJ18" i="2" s="1" a="1"/>
  <c r="DJ18" i="2" s="1"/>
  <c r="DQ13" i="2" a="1"/>
  <c r="DQ13" i="2" s="1"/>
  <c r="DJ13" i="2" s="1" a="1"/>
  <c r="DJ13" i="2" s="1"/>
  <c r="AV7" i="2" a="1"/>
  <c r="AV7" i="2" s="1"/>
  <c r="AL7" i="2" a="1"/>
  <c r="AL7" i="2" s="1"/>
  <c r="H5" i="4" s="1" a="1"/>
  <c r="H5" i="4" s="1"/>
  <c r="C3" i="4" a="1"/>
  <c r="C3" i="4" s="1"/>
  <c r="B6" i="3" a="1"/>
  <c r="B6" i="3" s="1"/>
  <c r="BJ53" i="2" a="1"/>
  <c r="BJ53" i="2" s="1"/>
  <c r="BH52" i="2" a="1"/>
  <c r="BH52" i="2" s="1"/>
  <c r="BH53" i="2" a="1"/>
  <c r="BH53" i="2" s="1"/>
  <c r="CJ52" i="2" a="1"/>
  <c r="CJ52" i="2" s="1"/>
  <c r="BV52" i="2" a="1"/>
  <c r="BV52" i="2" s="1"/>
  <c r="BW51" i="2" a="1"/>
  <c r="BW51" i="2" s="1"/>
  <c r="BV53" i="2" a="1"/>
  <c r="BV53" i="2" s="1"/>
  <c r="BJ52" i="2" a="1"/>
  <c r="BJ52" i="2" s="1"/>
  <c r="CJ48" i="2" a="1"/>
  <c r="CJ48" i="2" s="1"/>
  <c r="BG47" i="2" a="1"/>
  <c r="BG47" i="2" s="1"/>
  <c r="CK46" i="2" a="1"/>
  <c r="CK46" i="2" s="1"/>
  <c r="BG53" i="2" a="1"/>
  <c r="BG53" i="2" s="1"/>
  <c r="CI52" i="2" a="1"/>
  <c r="CI52" i="2" s="1"/>
  <c r="BU52" i="2" a="1"/>
  <c r="BU52" i="2" s="1"/>
  <c r="CJ47" i="2" a="1"/>
  <c r="CJ47" i="2" s="1"/>
  <c r="BH50" i="2" a="1"/>
  <c r="BH50" i="2" s="1"/>
  <c r="BV49" i="2" a="1"/>
  <c r="BV49" i="2" s="1"/>
  <c r="CI48" i="2" a="1"/>
  <c r="CI48" i="2" s="1"/>
  <c r="BG52" i="2" a="1"/>
  <c r="BG52" i="2" s="1"/>
  <c r="CK50" i="2" a="1"/>
  <c r="CK50" i="2" s="1"/>
  <c r="CJ53" i="2" a="1"/>
  <c r="CJ53" i="2" s="1"/>
  <c r="BJ51" i="2" a="1"/>
  <c r="BJ51" i="2" s="1"/>
  <c r="BG50" i="2" a="1"/>
  <c r="BG50" i="2" s="1"/>
  <c r="BU48" i="2" a="1"/>
  <c r="BU48" i="2" s="1"/>
  <c r="BJ48" i="2" a="1"/>
  <c r="BJ48" i="2" s="1"/>
  <c r="BH51" i="2" a="1"/>
  <c r="BH51" i="2" s="1"/>
  <c r="BH49" i="2" a="1"/>
  <c r="BH49" i="2" s="1"/>
  <c r="BG51" i="2" a="1"/>
  <c r="BG51" i="2" s="1"/>
  <c r="BH48" i="2" a="1"/>
  <c r="BH48" i="2" s="1"/>
  <c r="CK51" i="2" a="1"/>
  <c r="CK51" i="2" s="1"/>
  <c r="BG48" i="2" a="1"/>
  <c r="BG48" i="2" s="1"/>
  <c r="BG46" i="2" a="1"/>
  <c r="BG46" i="2" s="1"/>
  <c r="BW44" i="2" a="1"/>
  <c r="BW44" i="2" s="1"/>
  <c r="BV47" i="2" a="1"/>
  <c r="BV47" i="2" s="1"/>
  <c r="BJ47" i="2" a="1"/>
  <c r="BJ47" i="2" s="1"/>
  <c r="BW50" i="2" a="1"/>
  <c r="BW50" i="2" s="1"/>
  <c r="BU50" i="2" a="1"/>
  <c r="BU50" i="2" s="1"/>
  <c r="BH47" i="2" a="1"/>
  <c r="BH47" i="2" s="1"/>
  <c r="CI45" i="2" a="1"/>
  <c r="CI45" i="2" s="1"/>
  <c r="BW46" i="2" a="1"/>
  <c r="BW46" i="2" s="1"/>
  <c r="CJ49" i="2" a="1"/>
  <c r="CJ49" i="2" s="1"/>
  <c r="BV46" i="2" a="1"/>
  <c r="BV46" i="2" s="1"/>
  <c r="BJ50" i="2" a="1"/>
  <c r="BJ50" i="2" s="1"/>
  <c r="BV48" i="2" a="1"/>
  <c r="BV48" i="2" s="1"/>
  <c r="BG44" i="2" a="1"/>
  <c r="BG44" i="2" s="1"/>
  <c r="BG42" i="2" a="1"/>
  <c r="BG42" i="2" s="1"/>
  <c r="CP41" i="2" a="1"/>
  <c r="CP41" i="2" s="1"/>
  <c r="BH46" i="2" a="1"/>
  <c r="BH46" i="2" s="1"/>
  <c r="BG45" i="2" a="1"/>
  <c r="BG45" i="2" s="1"/>
  <c r="BG41" i="2" a="1"/>
  <c r="BG41" i="2" s="1"/>
  <c r="BH39" i="2" a="1"/>
  <c r="BH39" i="2" s="1"/>
  <c r="BJ49" i="2" a="1"/>
  <c r="BJ49" i="2" s="1"/>
  <c r="BG49" i="2" a="1"/>
  <c r="BG49" i="2" s="1"/>
  <c r="BV43" i="2" a="1"/>
  <c r="BV43" i="2" s="1"/>
  <c r="CJ41" i="2" a="1"/>
  <c r="CJ41" i="2" s="1"/>
  <c r="BJ43" i="2" a="1"/>
  <c r="BJ43" i="2" s="1"/>
  <c r="CK44" i="2" a="1"/>
  <c r="CK44" i="2" s="1"/>
  <c r="CJ46" i="2" a="1"/>
  <c r="CJ46" i="2" s="1"/>
  <c r="BV45" i="2" a="1"/>
  <c r="BV45" i="2" s="1"/>
  <c r="BU45" i="2" a="1"/>
  <c r="BU45" i="2" s="1"/>
  <c r="CJ45" i="2" a="1"/>
  <c r="CJ45" i="2" s="1"/>
  <c r="BJ46" i="2" a="1"/>
  <c r="BJ46" i="2" s="1"/>
  <c r="BH41" i="2" a="1"/>
  <c r="BH41" i="2" s="1"/>
  <c r="BH45" i="2" a="1"/>
  <c r="BH45" i="2" s="1"/>
  <c r="BH44" i="2" a="1"/>
  <c r="BH44" i="2" s="1"/>
  <c r="CK43" i="2" a="1"/>
  <c r="CK43" i="2" s="1"/>
  <c r="CA40" i="2" a="1"/>
  <c r="CA40" i="2" s="1"/>
  <c r="BH40" i="2" a="1"/>
  <c r="BH40" i="2" s="1"/>
  <c r="BJ44" i="2" a="1"/>
  <c r="BJ44" i="2" s="1"/>
  <c r="BH43" i="2" a="1"/>
  <c r="BH43" i="2" s="1"/>
  <c r="CK38" i="2" a="1"/>
  <c r="CK38" i="2" s="1"/>
  <c r="BH37" i="2" a="1"/>
  <c r="BH37" i="2" s="1"/>
  <c r="BJ35" i="2" a="1"/>
  <c r="BJ35" i="2" s="1"/>
  <c r="CK34" i="2" a="1"/>
  <c r="CK34" i="2" s="1"/>
  <c r="CP33" i="2" a="1"/>
  <c r="CP33" i="2" s="1"/>
  <c r="CK42" i="2" a="1"/>
  <c r="CK42" i="2" s="1"/>
  <c r="BH42" i="2" a="1"/>
  <c r="BH42" i="2" s="1"/>
  <c r="BG36" i="2" a="1"/>
  <c r="BG36" i="2" s="1"/>
  <c r="BG34" i="2" a="1"/>
  <c r="BG34" i="2" s="1"/>
  <c r="BJ33" i="2" a="1"/>
  <c r="BJ33" i="2" s="1"/>
  <c r="BG43" i="2" a="1"/>
  <c r="BG43" i="2" s="1"/>
  <c r="CJ42" i="2" a="1"/>
  <c r="CJ42" i="2" s="1"/>
  <c r="BJ45" i="2" a="1"/>
  <c r="BJ45" i="2" s="1"/>
  <c r="BV44" i="2" a="1"/>
  <c r="BV44" i="2" s="1"/>
  <c r="CJ40" i="2" a="1"/>
  <c r="CJ40" i="2" s="1"/>
  <c r="BV40" i="2" a="1"/>
  <c r="BV40" i="2" s="1"/>
  <c r="BJ40" i="2" a="1"/>
  <c r="BJ40" i="2" s="1"/>
  <c r="BJ39" i="2" a="1"/>
  <c r="BJ39" i="2" s="1"/>
  <c r="BW41" i="2" a="1"/>
  <c r="BW41" i="2" s="1"/>
  <c r="CJ43" i="2" a="1"/>
  <c r="CJ43" i="2" s="1"/>
  <c r="CO41" i="2" a="1"/>
  <c r="CO41" i="2" s="1"/>
  <c r="CQ41" i="2" s="1" a="1"/>
  <c r="CQ41" i="2" s="1"/>
  <c r="BJ41" i="2" a="1"/>
  <c r="BJ41" i="2" s="1"/>
  <c r="CI40" i="2" a="1"/>
  <c r="CI40" i="2" s="1"/>
  <c r="BU40" i="2" a="1"/>
  <c r="BU40" i="2" s="1"/>
  <c r="CJ37" i="2" a="1"/>
  <c r="CJ37" i="2" s="1"/>
  <c r="BV36" i="2" a="1"/>
  <c r="BV36" i="2" s="1"/>
  <c r="CK41" i="2" a="1"/>
  <c r="CK41" i="2" s="1"/>
  <c r="BV41" i="2" a="1"/>
  <c r="BV41" i="2" s="1"/>
  <c r="BG40" i="2" a="1"/>
  <c r="BG40" i="2" s="1"/>
  <c r="BU39" i="2" a="1"/>
  <c r="BU39" i="2" s="1"/>
  <c r="BG39" i="2" a="1"/>
  <c r="BG39" i="2" s="1"/>
  <c r="BG35" i="2" a="1"/>
  <c r="BG35" i="2" s="1"/>
  <c r="BH38" i="2" a="1"/>
  <c r="BH38" i="2" s="1"/>
  <c r="BJ37" i="2" a="1"/>
  <c r="BJ37" i="2" s="1"/>
  <c r="CT35" i="2" a="1"/>
  <c r="CT35" i="2" s="1"/>
  <c r="BG32" i="2" a="1"/>
  <c r="BG32" i="2" s="1"/>
  <c r="CJ44" i="2" a="1"/>
  <c r="CJ44" i="2" s="1"/>
  <c r="BW42" i="2" a="1"/>
  <c r="BW42" i="2" s="1"/>
  <c r="BJ42" i="2" a="1"/>
  <c r="BJ42" i="2" s="1"/>
  <c r="BV42" i="2" a="1"/>
  <c r="BV42" i="2" s="1"/>
  <c r="CB40" i="2" a="1"/>
  <c r="CB40" i="2" s="1"/>
  <c r="BG38" i="2" a="1"/>
  <c r="BG38" i="2" s="1"/>
  <c r="BV35" i="2" a="1"/>
  <c r="BV35" i="2" s="1"/>
  <c r="CI33" i="2" a="1"/>
  <c r="CI33" i="2" s="1"/>
  <c r="CJ31" i="2" a="1"/>
  <c r="CJ31" i="2" s="1"/>
  <c r="BV38" i="2" a="1"/>
  <c r="BV38" i="2" s="1"/>
  <c r="CO33" i="2" a="1"/>
  <c r="CO33" i="2" s="1"/>
  <c r="BJ30" i="2" a="1"/>
  <c r="BJ30" i="2" s="1"/>
  <c r="BU29" i="2" a="1"/>
  <c r="BU29" i="2" s="1"/>
  <c r="BJ28" i="2" a="1"/>
  <c r="BJ28" i="2" s="1"/>
  <c r="CJ27" i="2" a="1"/>
  <c r="CJ27" i="2" s="1"/>
  <c r="BG37" i="2" a="1"/>
  <c r="BG37" i="2" s="1"/>
  <c r="BH36" i="2" a="1"/>
  <c r="BH36" i="2" s="1"/>
  <c r="BU36" i="2" a="1"/>
  <c r="BU36" i="2" s="1"/>
  <c r="CJ32" i="2" a="1"/>
  <c r="CJ32" i="2" s="1"/>
  <c r="BJ32" i="2" a="1"/>
  <c r="BJ32" i="2" s="1"/>
  <c r="CI32" i="2" a="1"/>
  <c r="CI32" i="2" s="1"/>
  <c r="BU32" i="2" a="1"/>
  <c r="BU32" i="2" s="1"/>
  <c r="BH31" i="2" a="1"/>
  <c r="BH31" i="2" s="1"/>
  <c r="CJ39" i="2" a="1"/>
  <c r="CJ39" i="2" s="1"/>
  <c r="BH35" i="2" a="1"/>
  <c r="BH35" i="2" s="1"/>
  <c r="BW34" i="2" a="1"/>
  <c r="BW34" i="2" s="1"/>
  <c r="BH30" i="2" a="1"/>
  <c r="BH30" i="2" s="1"/>
  <c r="BH28" i="2" a="1"/>
  <c r="BH28" i="2" s="1"/>
  <c r="BV39" i="2" a="1"/>
  <c r="BV39" i="2" s="1"/>
  <c r="BV37" i="2" a="1"/>
  <c r="BV37" i="2" s="1"/>
  <c r="BV34" i="2" a="1"/>
  <c r="BV34" i="2" s="1"/>
  <c r="BJ34" i="2" a="1"/>
  <c r="BJ34" i="2" s="1"/>
  <c r="BU33" i="2" a="1"/>
  <c r="BU33" i="2" s="1"/>
  <c r="BJ38" i="2" a="1"/>
  <c r="BJ38" i="2" s="1"/>
  <c r="CJ36" i="2" a="1"/>
  <c r="CJ36" i="2" s="1"/>
  <c r="BU35" i="2" a="1"/>
  <c r="BU35" i="2" s="1"/>
  <c r="BH32" i="2" a="1"/>
  <c r="BH32" i="2" s="1"/>
  <c r="BG30" i="2" a="1"/>
  <c r="BG30" i="2" s="1"/>
  <c r="BG28" i="2" a="1"/>
  <c r="BG28" i="2" s="1"/>
  <c r="CK26" i="2" a="1"/>
  <c r="CK26" i="2" s="1"/>
  <c r="CJ34" i="2" a="1"/>
  <c r="CJ34" i="2" s="1"/>
  <c r="BH34" i="2" a="1"/>
  <c r="BH34" i="2" s="1"/>
  <c r="BH33" i="2" a="1"/>
  <c r="BH33" i="2" s="1"/>
  <c r="CJ30" i="2" a="1"/>
  <c r="CJ30" i="2" s="1"/>
  <c r="BV31" i="2" a="1"/>
  <c r="BV31" i="2" s="1"/>
  <c r="BW30" i="2" a="1"/>
  <c r="BW30" i="2" s="1"/>
  <c r="CJ29" i="2" a="1"/>
  <c r="CJ29" i="2" s="1"/>
  <c r="CJ38" i="2" a="1"/>
  <c r="CJ38" i="2" s="1"/>
  <c r="CJ35" i="2" a="1"/>
  <c r="CJ35" i="2" s="1"/>
  <c r="BG33" i="2" a="1"/>
  <c r="BG33" i="2" s="1"/>
  <c r="CI35" i="2" a="1"/>
  <c r="CI35" i="2" s="1"/>
  <c r="BW38" i="2" a="1"/>
  <c r="BW38" i="2" s="1"/>
  <c r="BJ36" i="2" a="1"/>
  <c r="BJ36" i="2" s="1"/>
  <c r="BJ31" i="2" a="1"/>
  <c r="BJ31" i="2" s="1"/>
  <c r="BV27" i="2" a="1"/>
  <c r="BV27" i="2" s="1"/>
  <c r="CP26" i="2" a="1"/>
  <c r="CP26" i="2" s="1"/>
  <c r="CJ25" i="2" a="1"/>
  <c r="CJ25" i="2" s="1"/>
  <c r="BG24" i="2" a="1"/>
  <c r="BG24" i="2" s="1"/>
  <c r="BJ29" i="2" a="1"/>
  <c r="BJ29" i="2" s="1"/>
  <c r="CB26" i="2" a="1"/>
  <c r="CB26" i="2" s="1"/>
  <c r="BW25" i="2" a="1"/>
  <c r="BW25" i="2" s="1"/>
  <c r="CJ24" i="2" a="1"/>
  <c r="CJ24" i="2" s="1"/>
  <c r="BH27" i="2" a="1"/>
  <c r="BH27" i="2" s="1"/>
  <c r="CO26" i="2" a="1"/>
  <c r="CO26" i="2" s="1"/>
  <c r="CJ23" i="2" a="1"/>
  <c r="CJ23" i="2" s="1"/>
  <c r="BG22" i="2" a="1"/>
  <c r="BG22" i="2" s="1"/>
  <c r="CK21" i="2" a="1"/>
  <c r="CK21" i="2" s="1"/>
  <c r="BH29" i="2" a="1"/>
  <c r="BH29" i="2" s="1"/>
  <c r="BV28" i="2" a="1"/>
  <c r="BV28" i="2" s="1"/>
  <c r="CI27" i="2" a="1"/>
  <c r="CI27" i="2" s="1"/>
  <c r="CA26" i="2" a="1"/>
  <c r="CA26" i="2" s="1"/>
  <c r="BH26" i="2" a="1"/>
  <c r="BH26" i="2" s="1"/>
  <c r="BV25" i="2" a="1"/>
  <c r="BV25" i="2" s="1"/>
  <c r="CI24" i="2" a="1"/>
  <c r="CI24" i="2" s="1"/>
  <c r="CL24" i="2" s="1" a="1"/>
  <c r="CL24" i="2" s="1"/>
  <c r="BV29" i="2" a="1"/>
  <c r="BV29" i="2" s="1"/>
  <c r="BG29" i="2" a="1"/>
  <c r="BG29" i="2" s="1"/>
  <c r="BG27" i="2" a="1"/>
  <c r="BG27" i="2" s="1"/>
  <c r="BV24" i="2" a="1"/>
  <c r="BV24" i="2" s="1"/>
  <c r="BG26" i="2" a="1"/>
  <c r="BG26" i="2" s="1"/>
  <c r="BU25" i="2" a="1"/>
  <c r="BU25" i="2" s="1"/>
  <c r="CK30" i="2" a="1"/>
  <c r="CK30" i="2" s="1"/>
  <c r="CJ28" i="2" a="1"/>
  <c r="CJ28" i="2" s="1"/>
  <c r="BW26" i="2" a="1"/>
  <c r="BW26" i="2" s="1"/>
  <c r="BG31" i="2" a="1"/>
  <c r="BG31" i="2" s="1"/>
  <c r="BV26" i="2" a="1"/>
  <c r="BV26" i="2" s="1"/>
  <c r="BH25" i="2" a="1"/>
  <c r="BH25" i="2" s="1"/>
  <c r="BJ21" i="2" a="1"/>
  <c r="BJ21" i="2" s="1"/>
  <c r="BJ20" i="2" a="1"/>
  <c r="BJ20" i="2" s="1"/>
  <c r="BW19" i="2" a="1"/>
  <c r="BW19" i="2" s="1"/>
  <c r="BV30" i="2" a="1"/>
  <c r="BV30" i="2" s="1"/>
  <c r="CI29" i="2" a="1"/>
  <c r="CI29" i="2" s="1"/>
  <c r="CF26" i="2" a="1"/>
  <c r="CF26" i="2" s="1"/>
  <c r="BH24" i="2" a="1"/>
  <c r="BH24" i="2" s="1"/>
  <c r="BJ27" i="2" a="1"/>
  <c r="BJ27" i="2" s="1"/>
  <c r="BJ26" i="2" a="1"/>
  <c r="BJ26" i="2" s="1"/>
  <c r="BG25" i="2" a="1"/>
  <c r="BG25" i="2" s="1"/>
  <c r="BH23" i="2" a="1"/>
  <c r="BH23" i="2" s="1"/>
  <c r="CK22" i="2" a="1"/>
  <c r="CK22" i="2" s="1"/>
  <c r="CT26" i="2" a="1"/>
  <c r="CT26" i="2" s="1"/>
  <c r="CJ26" i="2" a="1"/>
  <c r="CJ26" i="2" s="1"/>
  <c r="BV20" i="2" a="1"/>
  <c r="BV20" i="2" s="1"/>
  <c r="CK19" i="2" a="1"/>
  <c r="CK19" i="2" s="1"/>
  <c r="CJ17" i="2" a="1"/>
  <c r="CJ17" i="2" s="1"/>
  <c r="BJ24" i="2" a="1"/>
  <c r="BJ24" i="2" s="1"/>
  <c r="BJ62" i="2" s="1" a="1"/>
  <c r="BJ62" i="2" s="1"/>
  <c r="CI20" i="2" a="1"/>
  <c r="CI20" i="2" s="1"/>
  <c r="BJ19" i="2" a="1"/>
  <c r="BJ19" i="2" s="1"/>
  <c r="BJ23" i="2" a="1"/>
  <c r="BJ23" i="2" s="1"/>
  <c r="BG20" i="2" a="1"/>
  <c r="BG20" i="2" s="1"/>
  <c r="CJ16" i="2" a="1"/>
  <c r="CJ16" i="2" s="1"/>
  <c r="BV23" i="2" a="1"/>
  <c r="BV23" i="2" s="1"/>
  <c r="BU24" i="2" a="1"/>
  <c r="BU24" i="2" s="1"/>
  <c r="BG23" i="2" a="1"/>
  <c r="BG23" i="2" s="1"/>
  <c r="BU23" i="2" a="1"/>
  <c r="BU23" i="2" s="1"/>
  <c r="BW22" i="2" a="1"/>
  <c r="BW22" i="2" s="1"/>
  <c r="BJ22" i="2" a="1"/>
  <c r="BJ22" i="2" s="1"/>
  <c r="BJ25" i="2" a="1"/>
  <c r="BJ25" i="2" s="1"/>
  <c r="CI23" i="2" a="1"/>
  <c r="CI23" i="2" s="1"/>
  <c r="CL23" i="2" s="1" a="1"/>
  <c r="CL23" i="2" s="1"/>
  <c r="BV22" i="2" a="1"/>
  <c r="BV22" i="2" s="1"/>
  <c r="BU20" i="2" a="1"/>
  <c r="BU20" i="2" s="1"/>
  <c r="BG18" i="2" a="1"/>
  <c r="BG18" i="2" s="1"/>
  <c r="CJ14" i="2" a="1"/>
  <c r="CJ14" i="2" s="1"/>
  <c r="BG13" i="2" a="1"/>
  <c r="BG13" i="2" s="1"/>
  <c r="AO17" i="2" s="1" a="1"/>
  <c r="AO17" i="2" s="1"/>
  <c r="BJ8" i="2" a="1"/>
  <c r="BJ8" i="2" s="1"/>
  <c r="BJ58" i="2" s="1" a="1"/>
  <c r="BJ58" i="2" s="1"/>
  <c r="CP6" i="2" a="1"/>
  <c r="CP6" i="2" s="1"/>
  <c r="BJ6" i="2" a="1"/>
  <c r="BJ6" i="2" s="1"/>
  <c r="CJ18" i="2" a="1"/>
  <c r="CJ18" i="2" s="1"/>
  <c r="BG17" i="2" a="1"/>
  <c r="BG17" i="2" s="1"/>
  <c r="BW14" i="2" a="1"/>
  <c r="BW14" i="2" s="1"/>
  <c r="BH21" i="2" a="1"/>
  <c r="BH21" i="2" s="1"/>
  <c r="CT17" i="2" a="1"/>
  <c r="CT17" i="2" s="1"/>
  <c r="BV16" i="2" a="1"/>
  <c r="BV16" i="2" s="1"/>
  <c r="BV15" i="2" a="1"/>
  <c r="BV15" i="2" s="1"/>
  <c r="CT13" i="2" a="1"/>
  <c r="CT13" i="2" s="1"/>
  <c r="CI16" i="2" a="1"/>
  <c r="CI16" i="2" s="1"/>
  <c r="BU16" i="2" a="1"/>
  <c r="BU16" i="2" s="1"/>
  <c r="BJ16" i="2" a="1"/>
  <c r="BJ16" i="2" s="1"/>
  <c r="BV14" i="2" a="1"/>
  <c r="BV14" i="2" s="1"/>
  <c r="CI13" i="2" a="1"/>
  <c r="CI13" i="2" s="1"/>
  <c r="BH9" i="2" a="1"/>
  <c r="BH9" i="2" s="1"/>
  <c r="BH7" i="2" a="1"/>
  <c r="BH7" i="2" s="1"/>
  <c r="CJ9" i="2" a="1"/>
  <c r="CJ9" i="2" s="1"/>
  <c r="BW21" i="2" a="1"/>
  <c r="BW21" i="2" s="1"/>
  <c r="BG21" i="2" a="1"/>
  <c r="BG21" i="2" s="1"/>
  <c r="BJ15" i="2" a="1"/>
  <c r="BJ15" i="2" s="1"/>
  <c r="BG11" i="2" a="1"/>
  <c r="BG11" i="2" s="1"/>
  <c r="BH8" i="2" a="1"/>
  <c r="BH8" i="2" s="1"/>
  <c r="AP8" i="2" s="1" a="1"/>
  <c r="AP8" i="2" s="1"/>
  <c r="BH6" i="2" a="1"/>
  <c r="BH6" i="2" s="1"/>
  <c r="AP6" i="2" s="1" a="1"/>
  <c r="AP6" i="2" s="1"/>
  <c r="BJ12" i="2" a="1"/>
  <c r="BJ12" i="2" s="1"/>
  <c r="CJ11" i="2" a="1"/>
  <c r="CJ11" i="2" s="1"/>
  <c r="BJ10" i="2" a="1"/>
  <c r="BJ10" i="2" s="1"/>
  <c r="BG9" i="2" a="1"/>
  <c r="BG9" i="2" s="1"/>
  <c r="BG8" i="2" a="1"/>
  <c r="BG8" i="2" s="1"/>
  <c r="AO8" i="2" s="1" a="1"/>
  <c r="AO8" i="2" s="1"/>
  <c r="CJ7" i="2" a="1"/>
  <c r="CJ7" i="2" s="1"/>
  <c r="CJ20" i="2" a="1"/>
  <c r="CJ20" i="2" s="1"/>
  <c r="BJ14" i="2" a="1"/>
  <c r="BJ14" i="2" s="1"/>
  <c r="BU13" i="2" a="1"/>
  <c r="BU13" i="2" s="1"/>
  <c r="BU12" i="2" a="1"/>
  <c r="BU12" i="2" s="1"/>
  <c r="BG7" i="2" a="1"/>
  <c r="BG7" i="2" s="1"/>
  <c r="CK6" i="2" a="1"/>
  <c r="CK6" i="2" s="1"/>
  <c r="BG6" i="2" a="1"/>
  <c r="BG6" i="2" s="1"/>
  <c r="AO6" i="2" s="1" a="1"/>
  <c r="AO6" i="2" s="1"/>
  <c r="BH20" i="2" a="1"/>
  <c r="BH20" i="2" s="1"/>
  <c r="BH61" i="2" s="1" a="1"/>
  <c r="BH61" i="2" s="1"/>
  <c r="BJ13" i="2" a="1"/>
  <c r="BJ13" i="2" s="1"/>
  <c r="AR17" i="2" s="1" a="1"/>
  <c r="AR17" i="2" s="1"/>
  <c r="CT11" i="2" a="1"/>
  <c r="CT11" i="2" s="1"/>
  <c r="BH22" i="2" a="1"/>
  <c r="BH22" i="2" s="1"/>
  <c r="BH16" i="2" a="1"/>
  <c r="BH16" i="2" s="1"/>
  <c r="BH60" i="2" s="1" a="1"/>
  <c r="BH60" i="2" s="1"/>
  <c r="CI11" i="2" a="1"/>
  <c r="CI11" i="2" s="1"/>
  <c r="CJ8" i="2" a="1"/>
  <c r="CJ8" i="2" s="1"/>
  <c r="BH19" i="2" a="1"/>
  <c r="BH19" i="2" s="1"/>
  <c r="BJ18" i="2" a="1"/>
  <c r="BJ18" i="2" s="1"/>
  <c r="CK17" i="2" a="1"/>
  <c r="CK17" i="2" s="1"/>
  <c r="BV17" i="2" a="1"/>
  <c r="BV17" i="2" s="1"/>
  <c r="BJ17" i="2" a="1"/>
  <c r="BJ17" i="2" s="1"/>
  <c r="BH15" i="2" a="1"/>
  <c r="BH15" i="2" s="1"/>
  <c r="BV11" i="2" a="1"/>
  <c r="BV11" i="2" s="1"/>
  <c r="CI9" i="2" a="1"/>
  <c r="CI9" i="2" s="1"/>
  <c r="BV9" i="2" a="1"/>
  <c r="BV9" i="2" s="1"/>
  <c r="CI7" i="2" a="1"/>
  <c r="CI7" i="2" s="1"/>
  <c r="BG19" i="2" a="1"/>
  <c r="BG19" i="2" s="1"/>
  <c r="BU17" i="2" a="1"/>
  <c r="BU17" i="2" s="1"/>
  <c r="BG16" i="2" a="1"/>
  <c r="BG16" i="2" s="1"/>
  <c r="CK15" i="2" a="1"/>
  <c r="CK15" i="2" s="1"/>
  <c r="BH14" i="2" a="1"/>
  <c r="BH14" i="2" s="1"/>
  <c r="CJ22" i="2" a="1"/>
  <c r="CJ22" i="2" s="1"/>
  <c r="BV18" i="2" a="1"/>
  <c r="BV18" i="2" s="1"/>
  <c r="BH18" i="2" a="1"/>
  <c r="BH18" i="2" s="1"/>
  <c r="BG15" i="2" a="1"/>
  <c r="BG15" i="2" s="1"/>
  <c r="CK14" i="2" a="1"/>
  <c r="CK14" i="2" s="1"/>
  <c r="BH13" i="2" a="1"/>
  <c r="BH13" i="2" s="1"/>
  <c r="AP17" i="2" s="1" a="1"/>
  <c r="AP17" i="2" s="1"/>
  <c r="BJ11" i="2" a="1"/>
  <c r="BJ11" i="2" s="1"/>
  <c r="CK10" i="2" a="1"/>
  <c r="CK10" i="2" s="1"/>
  <c r="BH17" i="2" a="1"/>
  <c r="BH17" i="2" s="1"/>
  <c r="CJ15" i="2" a="1"/>
  <c r="CJ15" i="2" s="1"/>
  <c r="BG14" i="2" a="1"/>
  <c r="BG14" i="2" s="1"/>
  <c r="CK13" i="2" a="1"/>
  <c r="CK13" i="2" s="1"/>
  <c r="BG12" i="2" a="1"/>
  <c r="BG12" i="2" s="1"/>
  <c r="BG59" i="2" s="1" a="1"/>
  <c r="BG59" i="2" s="1"/>
  <c r="BG10" i="2" a="1"/>
  <c r="BG10" i="2" s="1"/>
  <c r="BJ9" i="2" a="1"/>
  <c r="BJ9" i="2" s="1"/>
  <c r="N9" i="2" a="1"/>
  <c r="N9" i="2" s="1"/>
  <c r="BI7" i="2" a="1"/>
  <c r="BI7" i="2" s="1"/>
  <c r="BK8" i="2" a="1"/>
  <c r="BK8" i="2" s="1"/>
  <c r="AS8" i="2" s="1" a="1"/>
  <c r="AS8" i="2" s="1"/>
  <c r="BW6" i="2" a="1"/>
  <c r="BW6" i="2" s="1"/>
  <c r="BH12" i="2" a="1"/>
  <c r="BH12" i="2" s="1"/>
  <c r="BH59" i="2" s="1" a="1"/>
  <c r="BH59" i="2" s="1"/>
  <c r="AL14" i="2" a="1"/>
  <c r="AL14" i="2" s="1"/>
  <c r="H12" i="4" s="1" a="1"/>
  <c r="H12" i="4" s="1"/>
  <c r="AV14" i="2" a="1"/>
  <c r="AV14" i="2" s="1"/>
  <c r="C15" i="4" a="1"/>
  <c r="C15" i="4" s="1"/>
  <c r="B56" i="3" a="1"/>
  <c r="B56" i="3" s="1"/>
  <c r="BH10" i="2" a="1"/>
  <c r="BH10" i="2" s="1"/>
  <c r="L4" i="2" a="1"/>
  <c r="L4" i="2" s="1"/>
  <c r="C4" i="4" a="1"/>
  <c r="C4" i="4" s="1"/>
  <c r="B7" i="3" a="1"/>
  <c r="B7" i="3" s="1"/>
  <c r="Q5" i="2" a="1"/>
  <c r="Q5" i="2" s="1"/>
  <c r="N5" i="2" a="1"/>
  <c r="N5" i="2" s="1"/>
  <c r="F7" i="2" a="1"/>
  <c r="F7" i="2" s="1"/>
  <c r="BU6" i="2" s="1" a="1"/>
  <c r="BU6" i="2" s="1"/>
  <c r="N7" i="2" a="1"/>
  <c r="N7" i="2" s="1"/>
  <c r="CK8" i="2" s="1" a="1"/>
  <c r="CK8" i="2" s="1"/>
  <c r="L7" i="2" a="1"/>
  <c r="L7" i="2" s="1"/>
  <c r="U7" i="2" a="1"/>
  <c r="U7" i="2" s="1"/>
  <c r="K7" i="2" a="1"/>
  <c r="K7" i="2" s="1"/>
  <c r="I7" i="2" a="1"/>
  <c r="I7" i="2" s="1"/>
  <c r="T7" i="2" a="1"/>
  <c r="T7" i="2" s="1"/>
  <c r="BJ7" i="2" a="1"/>
  <c r="BJ7" i="2" s="1"/>
  <c r="BV6" i="2" a="1"/>
  <c r="BV6" i="2" s="1"/>
  <c r="E7" i="2" a="1"/>
  <c r="E7" i="2" s="1"/>
  <c r="BW8" i="2" s="1" a="1"/>
  <c r="BW8" i="2" s="1"/>
  <c r="B30" i="3" a="1"/>
  <c r="B30" i="3" s="1"/>
  <c r="C5" i="4" a="1"/>
  <c r="C5" i="4" s="1"/>
  <c r="C6" i="4" a="1"/>
  <c r="C6" i="4" s="1"/>
  <c r="B31" i="3" a="1"/>
  <c r="B31" i="3" s="1"/>
  <c r="AV8" i="2" a="1"/>
  <c r="AV8" i="2" s="1"/>
  <c r="L12" i="2" a="1"/>
  <c r="L12" i="2" s="1"/>
  <c r="AV6" i="2" a="1"/>
  <c r="AV6" i="2" s="1"/>
  <c r="F9" i="2" a="1"/>
  <c r="F9" i="2" s="1"/>
  <c r="BW7" i="2" s="1" a="1"/>
  <c r="BW7" i="2" s="1"/>
  <c r="L9" i="2" a="1"/>
  <c r="L9" i="2" s="1"/>
  <c r="U9" i="2" a="1"/>
  <c r="U9" i="2" s="1"/>
  <c r="K9" i="2" a="1"/>
  <c r="K9" i="2" s="1"/>
  <c r="T9" i="2" a="1"/>
  <c r="T9" i="2" s="1"/>
  <c r="I9" i="2" a="1"/>
  <c r="I9" i="2" s="1"/>
  <c r="CA7" i="2" s="1" a="1"/>
  <c r="CA7" i="2" s="1"/>
  <c r="Q9" i="2" a="1"/>
  <c r="Q9" i="2" s="1"/>
  <c r="F3" i="4" a="1"/>
  <c r="F3" i="4" s="1"/>
  <c r="BI53" i="2" a="1"/>
  <c r="BI53" i="2" s="1"/>
  <c r="BI50" i="2" a="1"/>
  <c r="BI50" i="2" s="1"/>
  <c r="BI52" i="2" a="1"/>
  <c r="BI52" i="2" s="1"/>
  <c r="BI69" i="2" s="1" a="1"/>
  <c r="BI69" i="2" s="1"/>
  <c r="BK51" i="2" a="1"/>
  <c r="BK51" i="2" s="1"/>
  <c r="BI51" i="2" a="1"/>
  <c r="BI51" i="2" s="1"/>
  <c r="BK53" i="2" a="1"/>
  <c r="BK53" i="2" s="1"/>
  <c r="BK50" i="2" a="1"/>
  <c r="BK50" i="2" s="1"/>
  <c r="BI46" i="2" a="1"/>
  <c r="BI46" i="2" s="1"/>
  <c r="BK52" i="2" a="1"/>
  <c r="BK52" i="2" s="1"/>
  <c r="BK69" i="2" s="1" a="1"/>
  <c r="BK69" i="2" s="1"/>
  <c r="BK47" i="2" a="1"/>
  <c r="BK47" i="2" s="1"/>
  <c r="BK45" i="2" a="1"/>
  <c r="BK45" i="2" s="1"/>
  <c r="BK49" i="2" a="1"/>
  <c r="BK49" i="2" s="1"/>
  <c r="BI49" i="2" a="1"/>
  <c r="BI49" i="2" s="1"/>
  <c r="BK48" i="2" a="1"/>
  <c r="BK48" i="2" s="1"/>
  <c r="BK38" i="2" a="1"/>
  <c r="BK38" i="2" s="1"/>
  <c r="BK43" i="2" a="1"/>
  <c r="BK43" i="2" s="1"/>
  <c r="BK42" i="2" a="1"/>
  <c r="BK42" i="2" s="1"/>
  <c r="BI47" i="2" a="1"/>
  <c r="BI47" i="2" s="1"/>
  <c r="BI48" i="2" a="1"/>
  <c r="BI48" i="2" s="1"/>
  <c r="BI68" i="2" s="1" a="1"/>
  <c r="BI68" i="2" s="1"/>
  <c r="BK46" i="2" a="1"/>
  <c r="BK46" i="2" s="1"/>
  <c r="BI39" i="2" a="1"/>
  <c r="BI39" i="2" s="1"/>
  <c r="BI44" i="2" a="1"/>
  <c r="BI44" i="2" s="1"/>
  <c r="BI67" i="2" s="1" a="1"/>
  <c r="BI67" i="2" s="1"/>
  <c r="BK40" i="2" a="1"/>
  <c r="BK40" i="2" s="1"/>
  <c r="BK66" i="2" s="1" a="1"/>
  <c r="BK66" i="2" s="1"/>
  <c r="BI45" i="2" a="1"/>
  <c r="BI45" i="2" s="1"/>
  <c r="BI40" i="2" a="1"/>
  <c r="BI40" i="2" s="1"/>
  <c r="BI66" i="2" s="1" a="1"/>
  <c r="BI66" i="2" s="1"/>
  <c r="BI38" i="2" a="1"/>
  <c r="BI38" i="2" s="1"/>
  <c r="BK37" i="2" a="1"/>
  <c r="BK37" i="2" s="1"/>
  <c r="BK36" i="2" a="1"/>
  <c r="BK36" i="2" s="1"/>
  <c r="BK65" i="2" s="1" a="1"/>
  <c r="BK65" i="2" s="1"/>
  <c r="BI41" i="2" a="1"/>
  <c r="BI41" i="2" s="1"/>
  <c r="BK44" i="2" a="1"/>
  <c r="BK44" i="2" s="1"/>
  <c r="BK67" i="2" s="1" a="1"/>
  <c r="BK67" i="2" s="1"/>
  <c r="BI43" i="2" a="1"/>
  <c r="BI43" i="2" s="1"/>
  <c r="BI37" i="2" a="1"/>
  <c r="BI37" i="2" s="1"/>
  <c r="BK35" i="2" a="1"/>
  <c r="BK35" i="2" s="1"/>
  <c r="BI42" i="2" a="1"/>
  <c r="BI42" i="2" s="1"/>
  <c r="BI36" i="2" a="1"/>
  <c r="BI36" i="2" s="1"/>
  <c r="BI65" i="2" s="1" a="1"/>
  <c r="BI65" i="2" s="1"/>
  <c r="BK32" i="2" a="1"/>
  <c r="BK32" i="2" s="1"/>
  <c r="BK64" i="2" s="1" a="1"/>
  <c r="BK64" i="2" s="1"/>
  <c r="BI35" i="2" a="1"/>
  <c r="BI35" i="2" s="1"/>
  <c r="BK33" i="2" a="1"/>
  <c r="BK33" i="2" s="1"/>
  <c r="BK34" i="2" a="1"/>
  <c r="BK34" i="2" s="1"/>
  <c r="BI29" i="2" a="1"/>
  <c r="BI29" i="2" s="1"/>
  <c r="BK27" i="2" a="1"/>
  <c r="BK27" i="2" s="1"/>
  <c r="BI32" i="2" a="1"/>
  <c r="BI32" i="2" s="1"/>
  <c r="BI64" i="2" s="1" a="1"/>
  <c r="BI64" i="2" s="1"/>
  <c r="BK41" i="2" a="1"/>
  <c r="BK41" i="2" s="1"/>
  <c r="BI34" i="2" a="1"/>
  <c r="BI34" i="2" s="1"/>
  <c r="BK31" i="2" a="1"/>
  <c r="BK31" i="2" s="1"/>
  <c r="BK39" i="2" a="1"/>
  <c r="BK39" i="2" s="1"/>
  <c r="BK29" i="2" a="1"/>
  <c r="BK29" i="2" s="1"/>
  <c r="BI27" i="2" a="1"/>
  <c r="BI27" i="2" s="1"/>
  <c r="BI26" i="2" a="1"/>
  <c r="BI26" i="2" s="1"/>
  <c r="BI28" i="2" a="1"/>
  <c r="BI28" i="2" s="1"/>
  <c r="BI63" i="2" s="1" a="1"/>
  <c r="BI63" i="2" s="1"/>
  <c r="BK25" i="2" a="1"/>
  <c r="BK25" i="2" s="1"/>
  <c r="BK30" i="2" a="1"/>
  <c r="BK30" i="2" s="1"/>
  <c r="BI31" i="2" a="1"/>
  <c r="BI31" i="2" s="1"/>
  <c r="BI30" i="2" a="1"/>
  <c r="BI30" i="2" s="1"/>
  <c r="BI33" i="2" a="1"/>
  <c r="BI33" i="2" s="1"/>
  <c r="BI23" i="2" a="1"/>
  <c r="BI23" i="2" s="1"/>
  <c r="BK26" i="2" a="1"/>
  <c r="BK26" i="2" s="1"/>
  <c r="BK28" i="2" a="1"/>
  <c r="BK28" i="2" s="1"/>
  <c r="BK63" i="2" s="1" a="1"/>
  <c r="BK63" i="2" s="1"/>
  <c r="BI21" i="2" a="1"/>
  <c r="BI21" i="2" s="1"/>
  <c r="BI25" i="2" a="1"/>
  <c r="BI25" i="2" s="1"/>
  <c r="BK24" i="2" a="1"/>
  <c r="BK24" i="2" s="1"/>
  <c r="BK62" i="2" s="1" a="1"/>
  <c r="BK62" i="2" s="1"/>
  <c r="BK19" i="2" a="1"/>
  <c r="BK19" i="2" s="1"/>
  <c r="BK18" i="2" a="1"/>
  <c r="BK18" i="2" s="1"/>
  <c r="BI20" i="2" a="1"/>
  <c r="BI20" i="2" s="1"/>
  <c r="BI61" i="2" s="1" a="1"/>
  <c r="BI61" i="2" s="1"/>
  <c r="BI24" i="2" a="1"/>
  <c r="BI24" i="2" s="1"/>
  <c r="BI62" i="2" s="1" a="1"/>
  <c r="BI62" i="2" s="1"/>
  <c r="BK23" i="2" a="1"/>
  <c r="BK23" i="2" s="1"/>
  <c r="BI18" i="2" a="1"/>
  <c r="BI18" i="2" s="1"/>
  <c r="BI17" i="2" a="1"/>
  <c r="BI17" i="2" s="1"/>
  <c r="BK21" i="2" a="1"/>
  <c r="BK21" i="2" s="1"/>
  <c r="BI11" i="2" a="1"/>
  <c r="BI11" i="2" s="1"/>
  <c r="BK16" i="2" a="1"/>
  <c r="BK16" i="2" s="1"/>
  <c r="BK60" i="2" s="1" a="1"/>
  <c r="BK60" i="2" s="1"/>
  <c r="BK15" i="2" a="1"/>
  <c r="BK15" i="2" s="1"/>
  <c r="BK14" i="2" a="1"/>
  <c r="BK14" i="2" s="1"/>
  <c r="BK10" i="2" a="1"/>
  <c r="BK10" i="2" s="1"/>
  <c r="BK13" i="2" a="1"/>
  <c r="BK13" i="2" s="1"/>
  <c r="AS17" i="2" s="1" a="1"/>
  <c r="AS17" i="2" s="1"/>
  <c r="BK12" i="2" a="1"/>
  <c r="BK12" i="2" s="1"/>
  <c r="BK59" i="2" s="1" a="1"/>
  <c r="BK59" i="2" s="1"/>
  <c r="BK22" i="2" a="1"/>
  <c r="BK22" i="2" s="1"/>
  <c r="BK20" i="2" a="1"/>
  <c r="BK20" i="2" s="1"/>
  <c r="BK61" i="2" s="1" a="1"/>
  <c r="BK61" i="2" s="1"/>
  <c r="BI16" i="2" a="1"/>
  <c r="BI16" i="2" s="1"/>
  <c r="BI60" i="2" s="1" a="1"/>
  <c r="BI60" i="2" s="1"/>
  <c r="BI22" i="2" a="1"/>
  <c r="BI22" i="2" s="1"/>
  <c r="BK17" i="2" a="1"/>
  <c r="BK17" i="2" s="1"/>
  <c r="BI15" i="2" a="1"/>
  <c r="BI15" i="2" s="1"/>
  <c r="BI19" i="2" a="1"/>
  <c r="BI19" i="2" s="1"/>
  <c r="BI14" i="2" a="1"/>
  <c r="BI14" i="2" s="1"/>
  <c r="BI12" i="2" a="1"/>
  <c r="BI12" i="2" s="1"/>
  <c r="BI59" i="2" s="1" a="1"/>
  <c r="BI59" i="2" s="1"/>
  <c r="BI10" i="2" a="1"/>
  <c r="BI10" i="2" s="1"/>
  <c r="BI13" i="2" a="1"/>
  <c r="BI13" i="2" s="1"/>
  <c r="AQ17" i="2" s="1" a="1"/>
  <c r="AQ17" i="2" s="1"/>
  <c r="BK11" i="2" a="1"/>
  <c r="BK11" i="2" s="1"/>
  <c r="I4" i="2" a="1"/>
  <c r="I4" i="2" s="1"/>
  <c r="CA6" i="2" s="1" a="1"/>
  <c r="CA6" i="2" s="1"/>
  <c r="F4" i="4" a="1"/>
  <c r="F4" i="4" s="1"/>
  <c r="F5" i="2" a="1"/>
  <c r="F5" i="2" s="1"/>
  <c r="BU8" i="2" s="1" a="1"/>
  <c r="BU8" i="2" s="1"/>
  <c r="BX8" i="2" s="1" a="1"/>
  <c r="BX8" i="2" s="1"/>
  <c r="BI6" i="2" a="1"/>
  <c r="BI6" i="2" s="1"/>
  <c r="AQ6" i="2" s="1" a="1"/>
  <c r="AQ6" i="2" s="1"/>
  <c r="O4" i="2" a="1"/>
  <c r="O4" i="2" s="1"/>
  <c r="CI6" i="2" s="1" a="1"/>
  <c r="CI6" i="2" s="1"/>
  <c r="CL6" i="2" s="1" a="1"/>
  <c r="CL6" i="2" s="1"/>
  <c r="O5" i="2" a="1"/>
  <c r="O5" i="2" s="1"/>
  <c r="N4" i="2" a="1"/>
  <c r="N4" i="2" s="1"/>
  <c r="CK7" i="2" s="1" a="1"/>
  <c r="CK7" i="2" s="1"/>
  <c r="U4" i="2" a="1"/>
  <c r="U4" i="2" s="1"/>
  <c r="K4" i="2" a="1"/>
  <c r="K4" i="2" s="1"/>
  <c r="T4" i="2" a="1"/>
  <c r="T4" i="2" s="1"/>
  <c r="Q4" i="2" a="1"/>
  <c r="Q4" i="2" s="1"/>
  <c r="L5" i="2" a="1"/>
  <c r="L5" i="2" s="1"/>
  <c r="I6" i="2" a="1"/>
  <c r="I6" i="2" s="1"/>
  <c r="CB9" i="2" s="1" a="1"/>
  <c r="CB9" i="2" s="1"/>
  <c r="BK6" i="2" a="1"/>
  <c r="BK6" i="2" s="1"/>
  <c r="AS6" i="2" s="1" a="1"/>
  <c r="AS6" i="2" s="1"/>
  <c r="H7" i="2" a="1"/>
  <c r="H7" i="2" s="1"/>
  <c r="CB8" i="2" s="1" a="1"/>
  <c r="CB8" i="2" s="1"/>
  <c r="R5" i="2" a="1"/>
  <c r="R5" i="2" s="1"/>
  <c r="O8" i="2" a="1"/>
  <c r="O8" i="2" s="1"/>
  <c r="L8" i="2" a="1"/>
  <c r="L8" i="2" s="1"/>
  <c r="U8" i="2" a="1"/>
  <c r="U8" i="2" s="1"/>
  <c r="T8" i="2" a="1"/>
  <c r="T8" i="2" s="1"/>
  <c r="K8" i="2" a="1"/>
  <c r="K8" i="2" s="1"/>
  <c r="R8" i="2" a="1"/>
  <c r="R8" i="2" s="1"/>
  <c r="F8" i="2" a="1"/>
  <c r="F8" i="2" s="1"/>
  <c r="BW9" i="2" s="1" a="1"/>
  <c r="BW9" i="2" s="1"/>
  <c r="R9" i="2" a="1"/>
  <c r="R9" i="2" s="1"/>
  <c r="Q12" i="2" a="1"/>
  <c r="Q12" i="2" s="1"/>
  <c r="AV15" i="2" a="1"/>
  <c r="AV15" i="2" s="1"/>
  <c r="K13" i="2" a="1"/>
  <c r="K13" i="2" s="1"/>
  <c r="U13" i="2" a="1"/>
  <c r="U13" i="2" s="1"/>
  <c r="CT12" i="2" s="1" a="1"/>
  <c r="CT12" i="2" s="1"/>
  <c r="K15" i="2" a="1"/>
  <c r="K15" i="2" s="1"/>
  <c r="AL15" i="2" a="1"/>
  <c r="AL15" i="2" s="1"/>
  <c r="T16" i="2" a="1"/>
  <c r="T16" i="2" s="1"/>
  <c r="R17" i="2" a="1"/>
  <c r="R17" i="2" s="1"/>
  <c r="K20" i="2" a="1"/>
  <c r="K20" i="2" s="1"/>
  <c r="L13" i="2" a="1"/>
  <c r="L13" i="2" s="1"/>
  <c r="U15" i="2" a="1"/>
  <c r="U15" i="2" s="1"/>
  <c r="K16" i="2" a="1"/>
  <c r="K16" i="2" s="1"/>
  <c r="AL16" i="2" a="1"/>
  <c r="AL16" i="2" s="1"/>
  <c r="F22" i="4" a="1"/>
  <c r="F22" i="4" s="1"/>
  <c r="L23" i="2" a="1"/>
  <c r="L23" i="2" s="1"/>
  <c r="F23" i="2" a="1"/>
  <c r="F23" i="2" s="1"/>
  <c r="BU14" i="2" s="1" a="1"/>
  <c r="BU14" i="2" s="1"/>
  <c r="BX14" i="2" s="1" a="1"/>
  <c r="BX14" i="2" s="1"/>
  <c r="R23" i="2" a="1"/>
  <c r="R23" i="2" s="1"/>
  <c r="C13" i="4" a="1"/>
  <c r="C13" i="4" s="1"/>
  <c r="B32" i="3" a="1"/>
  <c r="B32" i="3" s="1"/>
  <c r="L15" i="2" a="1"/>
  <c r="L15" i="2" s="1"/>
  <c r="N13" i="2" a="1"/>
  <c r="N13" i="2" s="1"/>
  <c r="C12" i="4" a="1"/>
  <c r="C12" i="4" s="1"/>
  <c r="B9" i="3" a="1"/>
  <c r="B9" i="3" s="1"/>
  <c r="N15" i="2" a="1"/>
  <c r="N15" i="2" s="1"/>
  <c r="CK12" i="2" s="1" a="1"/>
  <c r="CK12" i="2" s="1"/>
  <c r="C14" i="4" a="1"/>
  <c r="C14" i="4" s="1"/>
  <c r="B33" i="3" a="1"/>
  <c r="B33" i="3" s="1"/>
  <c r="L16" i="2" a="1"/>
  <c r="L16" i="2" s="1"/>
  <c r="CF13" i="2" s="1" a="1"/>
  <c r="CF13" i="2" s="1"/>
  <c r="R20" i="2" a="1"/>
  <c r="R20" i="2" s="1"/>
  <c r="AV22" i="2" a="1"/>
  <c r="AV22" i="2" s="1"/>
  <c r="AV23" i="2" a="1"/>
  <c r="AV23" i="2" s="1"/>
  <c r="E13" i="2" a="1"/>
  <c r="E13" i="2" s="1"/>
  <c r="E15" i="2" a="1"/>
  <c r="E15" i="2" s="1"/>
  <c r="BW12" i="2" s="1" a="1"/>
  <c r="BW12" i="2" s="1"/>
  <c r="N16" i="2" a="1"/>
  <c r="N16" i="2" s="1"/>
  <c r="CJ10" i="2" s="1" a="1"/>
  <c r="CJ10" i="2" s="1"/>
  <c r="O13" i="2" a="1"/>
  <c r="O13" i="2" s="1"/>
  <c r="CJ12" i="2" s="1" a="1"/>
  <c r="CJ12" i="2" s="1"/>
  <c r="O15" i="2" a="1"/>
  <c r="O15" i="2" s="1"/>
  <c r="CI10" i="2" s="1" a="1"/>
  <c r="CI10" i="2" s="1"/>
  <c r="E16" i="2" a="1"/>
  <c r="E16" i="2" s="1"/>
  <c r="BV10" i="2" s="1" a="1"/>
  <c r="BV10" i="2" s="1"/>
  <c r="C16" i="4" a="1"/>
  <c r="C16" i="4" s="1"/>
  <c r="B57" i="3" a="1"/>
  <c r="B57" i="3" s="1"/>
  <c r="U20" i="2" a="1"/>
  <c r="U20" i="2" s="1"/>
  <c r="AL22" i="2" a="1"/>
  <c r="AL22" i="2" s="1"/>
  <c r="AL23" i="2" a="1"/>
  <c r="AL23" i="2" s="1"/>
  <c r="AL94" i="2" a="1"/>
  <c r="AL94" i="2" s="1"/>
  <c r="T44" i="4" s="1" a="1"/>
  <c r="T44" i="4" s="1"/>
  <c r="BH68" i="2" a="1"/>
  <c r="BH68" i="2" s="1"/>
  <c r="AL96" i="2" a="1"/>
  <c r="AL96" i="2" s="1"/>
  <c r="T46" i="4" s="1" a="1"/>
  <c r="T46" i="4" s="1"/>
  <c r="AL72" i="2" a="1"/>
  <c r="AL72" i="2" s="1"/>
  <c r="T22" i="4" s="1" a="1"/>
  <c r="T22" i="4" s="1"/>
  <c r="AL88" i="2" a="1"/>
  <c r="AL88" i="2" s="1"/>
  <c r="T38" i="4" s="1" a="1"/>
  <c r="T38" i="4" s="1"/>
  <c r="BJ68" i="2" a="1"/>
  <c r="BJ68" i="2" s="1"/>
  <c r="BJ66" i="2" a="1"/>
  <c r="BJ66" i="2" s="1"/>
  <c r="BG67" i="2" a="1"/>
  <c r="BG67" i="2" s="1"/>
  <c r="AL63" i="2" a="1"/>
  <c r="AL63" i="2" s="1"/>
  <c r="AL54" i="2" a="1"/>
  <c r="AL54" i="2" s="1"/>
  <c r="T4" i="4" s="1" a="1"/>
  <c r="T4" i="4" s="1"/>
  <c r="AL55" i="2" a="1"/>
  <c r="AL55" i="2" s="1"/>
  <c r="T5" i="4" s="1" a="1"/>
  <c r="T5" i="4" s="1"/>
  <c r="BH67" i="2" a="1"/>
  <c r="BH67" i="2" s="1"/>
  <c r="BG68" i="2" a="1"/>
  <c r="BG68" i="2" s="1"/>
  <c r="BH66" i="2" a="1"/>
  <c r="BH66" i="2" s="1"/>
  <c r="BD67" i="2" a="1"/>
  <c r="BD67" i="2" s="1"/>
  <c r="BJ65" i="2" a="1"/>
  <c r="BJ65" i="2" s="1"/>
  <c r="AL47" i="2" a="1"/>
  <c r="AL47" i="2" s="1"/>
  <c r="AL41" i="2" a="1"/>
  <c r="AL41" i="2" s="1"/>
  <c r="F13" i="2" a="1"/>
  <c r="F13" i="2" s="1"/>
  <c r="BV12" i="2" s="1" a="1"/>
  <c r="BV12" i="2" s="1"/>
  <c r="F15" i="2" a="1"/>
  <c r="F15" i="2" s="1"/>
  <c r="BU10" i="2" s="1" a="1"/>
  <c r="BU10" i="2" s="1"/>
  <c r="O16" i="2" a="1"/>
  <c r="O16" i="2" s="1"/>
  <c r="K6" i="2" a="1"/>
  <c r="K6" i="2" s="1"/>
  <c r="U6" i="2" a="1"/>
  <c r="U6" i="2" s="1"/>
  <c r="L6" i="2" a="1"/>
  <c r="L6" i="2" s="1"/>
  <c r="Q13" i="2" a="1"/>
  <c r="Q13" i="2" s="1"/>
  <c r="Q15" i="2" a="1"/>
  <c r="Q15" i="2" s="1"/>
  <c r="F16" i="2" a="1"/>
  <c r="F16" i="2" s="1"/>
  <c r="I17" i="2" a="1"/>
  <c r="I17" i="2" s="1"/>
  <c r="CA11" i="2" s="1" a="1"/>
  <c r="CA11" i="2" s="1"/>
  <c r="L17" i="2" a="1"/>
  <c r="L17" i="2" s="1"/>
  <c r="CF11" i="2" s="1" a="1"/>
  <c r="CF11" i="2" s="1"/>
  <c r="C19" i="4" a="1"/>
  <c r="C19" i="4" s="1"/>
  <c r="B10" i="3" a="1"/>
  <c r="B10" i="3" s="1"/>
  <c r="Q20" i="2" a="1"/>
  <c r="Q20" i="2" s="1"/>
  <c r="I23" i="2" a="1"/>
  <c r="I23" i="2" s="1"/>
  <c r="C7" i="4" a="1"/>
  <c r="C7" i="4" s="1"/>
  <c r="B54" i="3" a="1"/>
  <c r="B54" i="3" s="1"/>
  <c r="H13" i="2" a="1"/>
  <c r="H13" i="2" s="1"/>
  <c r="CB13" i="2" s="1" a="1"/>
  <c r="CB13" i="2" s="1"/>
  <c r="H15" i="2" a="1"/>
  <c r="H15" i="2" s="1"/>
  <c r="CB12" i="2" s="1" a="1"/>
  <c r="CB12" i="2" s="1"/>
  <c r="Q16" i="2" a="1"/>
  <c r="Q16" i="2" s="1"/>
  <c r="O17" i="2" a="1"/>
  <c r="O17" i="2" s="1"/>
  <c r="CK11" i="2" s="1" a="1"/>
  <c r="CK11" i="2" s="1"/>
  <c r="R15" i="2" a="1"/>
  <c r="R15" i="2" s="1"/>
  <c r="H16" i="2" a="1"/>
  <c r="H16" i="2" s="1"/>
  <c r="F20" i="4" a="1"/>
  <c r="F20" i="4" s="1"/>
  <c r="L21" i="2" a="1"/>
  <c r="L21" i="2" s="1"/>
  <c r="C11" i="4" a="1"/>
  <c r="C11" i="4" s="1"/>
  <c r="B8" i="3" a="1"/>
  <c r="B8" i="3" s="1"/>
  <c r="I15" i="2" a="1"/>
  <c r="I15" i="2" s="1"/>
  <c r="R16" i="2" a="1"/>
  <c r="R16" i="2" s="1"/>
  <c r="Q17" i="2" a="1"/>
  <c r="Q17" i="2" s="1"/>
  <c r="L22" i="2" a="1"/>
  <c r="L22" i="2" s="1"/>
  <c r="F22" i="2" a="1"/>
  <c r="F22" i="2" s="1"/>
  <c r="E22" i="2" a="1"/>
  <c r="E22" i="2" s="1"/>
  <c r="BU15" i="2" s="1" a="1"/>
  <c r="BU15" i="2" s="1"/>
  <c r="BX15" i="2" s="1" a="1"/>
  <c r="BX15" i="2" s="1"/>
  <c r="N22" i="2" a="1"/>
  <c r="N22" i="2" s="1"/>
  <c r="CI15" i="2" s="1" a="1"/>
  <c r="CI15" i="2" s="1"/>
  <c r="I22" i="2" a="1"/>
  <c r="I22" i="2" s="1"/>
  <c r="T22" i="2" a="1"/>
  <c r="T22" i="2" s="1"/>
  <c r="H22" i="2" a="1"/>
  <c r="H22" i="2" s="1"/>
  <c r="R22" i="2" a="1"/>
  <c r="R22" i="2" s="1"/>
  <c r="F17" i="2" a="1"/>
  <c r="F17" i="2" s="1"/>
  <c r="BW11" i="2" s="1" a="1"/>
  <c r="BW11" i="2" s="1"/>
  <c r="H21" i="2" a="1"/>
  <c r="H21" i="2" s="1"/>
  <c r="U23" i="2" a="1"/>
  <c r="U23" i="2" s="1"/>
  <c r="L20" i="2" a="1"/>
  <c r="L20" i="2" s="1"/>
  <c r="I21" i="2" a="1"/>
  <c r="I21" i="2" s="1"/>
  <c r="T23" i="2" a="1"/>
  <c r="T23" i="2" s="1"/>
  <c r="R24" i="2" a="1"/>
  <c r="R24" i="2" s="1"/>
  <c r="AL24" i="2" a="1"/>
  <c r="AL24" i="2" s="1"/>
  <c r="T28" i="2" a="1"/>
  <c r="T28" i="2" s="1"/>
  <c r="H28" i="2" a="1"/>
  <c r="H28" i="2" s="1"/>
  <c r="Q28" i="2" a="1"/>
  <c r="Q28" i="2" s="1"/>
  <c r="O28" i="2" a="1"/>
  <c r="O28" i="2" s="1"/>
  <c r="E28" i="2" a="1"/>
  <c r="E28" i="2" s="1"/>
  <c r="K28" i="2" a="1"/>
  <c r="K28" i="2" s="1"/>
  <c r="I28" i="2" a="1"/>
  <c r="I28" i="2" s="1"/>
  <c r="U28" i="2" a="1"/>
  <c r="U28" i="2" s="1"/>
  <c r="F28" i="2" a="1"/>
  <c r="F28" i="2" s="1"/>
  <c r="R28" i="2" a="1"/>
  <c r="R28" i="2" s="1"/>
  <c r="N28" i="2" a="1"/>
  <c r="N28" i="2" s="1"/>
  <c r="L28" i="2" a="1"/>
  <c r="L28" i="2" s="1"/>
  <c r="F24" i="2" a="1"/>
  <c r="F24" i="2" s="1"/>
  <c r="C24" i="4" a="1"/>
  <c r="C24" i="4" s="1"/>
  <c r="B59" i="3" a="1"/>
  <c r="B59" i="3" s="1"/>
  <c r="K25" i="2" a="1"/>
  <c r="K25" i="2" s="1"/>
  <c r="T25" i="2" a="1"/>
  <c r="T25" i="2" s="1"/>
  <c r="H25" i="2" a="1"/>
  <c r="H25" i="2" s="1"/>
  <c r="N25" i="2" a="1"/>
  <c r="N25" i="2" s="1"/>
  <c r="I20" i="2" a="1"/>
  <c r="I20" i="2" s="1"/>
  <c r="H20" i="2" a="1"/>
  <c r="H20" i="2" s="1"/>
  <c r="C20" i="4" a="1"/>
  <c r="C20" i="4" s="1"/>
  <c r="B11" i="3" a="1"/>
  <c r="B11" i="3" s="1"/>
  <c r="C21" i="4" a="1"/>
  <c r="C21" i="4" s="1"/>
  <c r="B34" i="3" a="1"/>
  <c r="B34" i="3" s="1"/>
  <c r="C22" i="4" a="1"/>
  <c r="C22" i="4" s="1"/>
  <c r="B35" i="3" a="1"/>
  <c r="B35" i="3" s="1"/>
  <c r="F24" i="4" a="1"/>
  <c r="F24" i="4" s="1"/>
  <c r="U25" i="2" a="1"/>
  <c r="U25" i="2" s="1"/>
  <c r="R25" i="2" a="1"/>
  <c r="R25" i="2" s="1"/>
  <c r="I25" i="2" a="1"/>
  <c r="I25" i="2" s="1"/>
  <c r="E20" i="2" a="1"/>
  <c r="E20" i="2" s="1"/>
  <c r="BW15" i="2" s="1" a="1"/>
  <c r="BW15" i="2" s="1"/>
  <c r="O21" i="2" a="1"/>
  <c r="O21" i="2" s="1"/>
  <c r="N21" i="2" a="1"/>
  <c r="N21" i="2" s="1"/>
  <c r="CI17" i="2" s="1" a="1"/>
  <c r="CI17" i="2" s="1"/>
  <c r="E25" i="2" a="1"/>
  <c r="E25" i="2" s="1"/>
  <c r="AL25" i="2" a="1"/>
  <c r="AL25" i="2" s="1"/>
  <c r="Q23" i="2" a="1"/>
  <c r="Q23" i="2" s="1"/>
  <c r="CP16" i="2" s="1" a="1"/>
  <c r="CP16" i="2" s="1"/>
  <c r="F23" i="4" a="1"/>
  <c r="F23" i="4" s="1"/>
  <c r="L24" i="2" a="1"/>
  <c r="L24" i="2" s="1"/>
  <c r="I24" i="2" a="1"/>
  <c r="I24" i="2" s="1"/>
  <c r="AV30" i="2" a="1"/>
  <c r="AV30" i="2" s="1"/>
  <c r="AL30" i="2" a="1"/>
  <c r="AL30" i="2" s="1"/>
  <c r="N23" i="2" a="1"/>
  <c r="N23" i="2" s="1"/>
  <c r="L25" i="2" a="1"/>
  <c r="L25" i="2" s="1"/>
  <c r="O30" i="2" a="1"/>
  <c r="O30" i="2" s="1"/>
  <c r="CI18" i="2" s="1" a="1"/>
  <c r="CI18" i="2" s="1"/>
  <c r="E23" i="2" a="1"/>
  <c r="E23" i="2" s="1"/>
  <c r="C23" i="4" a="1"/>
  <c r="C23" i="4" s="1"/>
  <c r="B58" i="3" a="1"/>
  <c r="B58" i="3" s="1"/>
  <c r="O31" i="2" a="1"/>
  <c r="O31" i="2" s="1"/>
  <c r="CJ21" i="2" s="1" a="1"/>
  <c r="CJ21" i="2" s="1"/>
  <c r="O23" i="2" a="1"/>
  <c r="O23" i="2" s="1"/>
  <c r="CI14" i="2" s="1" a="1"/>
  <c r="CI14" i="2" s="1"/>
  <c r="O29" i="2" a="1"/>
  <c r="O29" i="2" s="1"/>
  <c r="U31" i="2" a="1"/>
  <c r="U31" i="2" s="1"/>
  <c r="AL32" i="2" a="1"/>
  <c r="AL32" i="2" s="1"/>
  <c r="H30" i="4" s="1" a="1"/>
  <c r="H30" i="4" s="1"/>
  <c r="Q33" i="2" a="1"/>
  <c r="Q33" i="2" s="1"/>
  <c r="K33" i="2" a="1"/>
  <c r="K33" i="2" s="1"/>
  <c r="I33" i="2" a="1"/>
  <c r="I33" i="2" s="1"/>
  <c r="U33" i="2" a="1"/>
  <c r="U33" i="2" s="1"/>
  <c r="H33" i="2" a="1"/>
  <c r="H33" i="2" s="1"/>
  <c r="T33" i="2" a="1"/>
  <c r="T33" i="2" s="1"/>
  <c r="F33" i="2" a="1"/>
  <c r="F33" i="2" s="1"/>
  <c r="R33" i="2" a="1"/>
  <c r="R33" i="2" s="1"/>
  <c r="E33" i="2" a="1"/>
  <c r="E33" i="2" s="1"/>
  <c r="O33" i="2" a="1"/>
  <c r="O33" i="2" s="1"/>
  <c r="N33" i="2" a="1"/>
  <c r="N33" i="2" s="1"/>
  <c r="L33" i="2" a="1"/>
  <c r="L33" i="2" s="1"/>
  <c r="Q30" i="2" a="1"/>
  <c r="Q30" i="2" s="1"/>
  <c r="CP20" i="2" s="1" a="1"/>
  <c r="CP20" i="2" s="1"/>
  <c r="N30" i="2" a="1"/>
  <c r="N30" i="2" s="1"/>
  <c r="U30" i="2" a="1"/>
  <c r="U30" i="2" s="1"/>
  <c r="T30" i="2" a="1"/>
  <c r="T30" i="2" s="1"/>
  <c r="H30" i="2" a="1"/>
  <c r="H30" i="2" s="1"/>
  <c r="AV32" i="2" a="1"/>
  <c r="AV32" i="2" s="1"/>
  <c r="F29" i="2" a="1"/>
  <c r="F29" i="2" s="1"/>
  <c r="N29" i="2" a="1"/>
  <c r="N29" i="2" s="1"/>
  <c r="L29" i="2" a="1"/>
  <c r="L29" i="2" s="1"/>
  <c r="K29" i="2" a="1"/>
  <c r="K29" i="2" s="1"/>
  <c r="I29" i="2" a="1"/>
  <c r="I29" i="2" s="1"/>
  <c r="Q29" i="2" a="1"/>
  <c r="Q29" i="2" s="1"/>
  <c r="U29" i="2" a="1"/>
  <c r="U29" i="2" s="1"/>
  <c r="E29" i="2" a="1"/>
  <c r="E29" i="2" s="1"/>
  <c r="BU21" i="2" s="1" a="1"/>
  <c r="BU21" i="2" s="1"/>
  <c r="F30" i="2" a="1"/>
  <c r="F30" i="2" s="1"/>
  <c r="BU18" i="2" s="1" a="1"/>
  <c r="BU18" i="2" s="1"/>
  <c r="C28" i="4" a="1"/>
  <c r="C28" i="4" s="1"/>
  <c r="B13" i="3" a="1"/>
  <c r="B13" i="3" s="1"/>
  <c r="AV31" i="2" a="1"/>
  <c r="AV31" i="2" s="1"/>
  <c r="K23" i="2" a="1"/>
  <c r="K23" i="2" s="1"/>
  <c r="H29" i="2" a="1"/>
  <c r="H29" i="2" s="1"/>
  <c r="I30" i="2" a="1"/>
  <c r="I30" i="2" s="1"/>
  <c r="C27" i="4" a="1"/>
  <c r="C27" i="4" s="1"/>
  <c r="B12" i="3" a="1"/>
  <c r="B12" i="3" s="1"/>
  <c r="K30" i="2" a="1"/>
  <c r="K30" i="2" s="1"/>
  <c r="F31" i="2" a="1"/>
  <c r="F31" i="2" s="1"/>
  <c r="BV21" i="2" s="1" a="1"/>
  <c r="BV21" i="2" s="1"/>
  <c r="N31" i="2" a="1"/>
  <c r="N31" i="2" s="1"/>
  <c r="CJ19" i="2" s="1" a="1"/>
  <c r="CJ19" i="2" s="1"/>
  <c r="L31" i="2" a="1"/>
  <c r="L31" i="2" s="1"/>
  <c r="K31" i="2" a="1"/>
  <c r="K31" i="2" s="1"/>
  <c r="T31" i="2" a="1"/>
  <c r="T31" i="2" s="1"/>
  <c r="I31" i="2" a="1"/>
  <c r="I31" i="2" s="1"/>
  <c r="R31" i="2" a="1"/>
  <c r="R31" i="2" s="1"/>
  <c r="H31" i="2" a="1"/>
  <c r="H31" i="2" s="1"/>
  <c r="Q31" i="2" a="1"/>
  <c r="Q31" i="2" s="1"/>
  <c r="L30" i="2" a="1"/>
  <c r="L30" i="2" s="1"/>
  <c r="E31" i="2" a="1"/>
  <c r="E31" i="2" s="1"/>
  <c r="BV19" i="2" s="1" a="1"/>
  <c r="BV19" i="2" s="1"/>
  <c r="B60" i="3" a="1"/>
  <c r="B60" i="3" s="1"/>
  <c r="C31" i="4" a="1"/>
  <c r="C31" i="4" s="1"/>
  <c r="C36" i="4" a="1"/>
  <c r="C36" i="4" s="1"/>
  <c r="B15" i="3" a="1"/>
  <c r="B15" i="3" s="1"/>
  <c r="H37" i="2" a="1"/>
  <c r="H37" i="2" s="1"/>
  <c r="Q37" i="2" a="1"/>
  <c r="Q37" i="2" s="1"/>
  <c r="CO25" i="2" s="1" a="1"/>
  <c r="CO25" i="2" s="1"/>
  <c r="C32" i="4" a="1"/>
  <c r="C32" i="4" s="1"/>
  <c r="B61" i="3" a="1"/>
  <c r="B61" i="3" s="1"/>
  <c r="L36" i="2" a="1"/>
  <c r="L36" i="2" s="1"/>
  <c r="F36" i="4" a="1"/>
  <c r="F36" i="4" s="1"/>
  <c r="I37" i="2" a="1"/>
  <c r="I37" i="2" s="1"/>
  <c r="U38" i="2" a="1"/>
  <c r="U38" i="2" s="1"/>
  <c r="L38" i="2" a="1"/>
  <c r="L38" i="2" s="1"/>
  <c r="Q38" i="2" a="1"/>
  <c r="Q38" i="2" s="1"/>
  <c r="F38" i="2" a="1"/>
  <c r="F38" i="2" s="1"/>
  <c r="K38" i="2" a="1"/>
  <c r="K38" i="2" s="1"/>
  <c r="CF24" i="2" s="1" a="1"/>
  <c r="CF24" i="2" s="1"/>
  <c r="T38" i="2" a="1"/>
  <c r="T38" i="2" s="1"/>
  <c r="I38" i="2" a="1"/>
  <c r="I38" i="2" s="1"/>
  <c r="R38" i="2" a="1"/>
  <c r="R38" i="2" s="1"/>
  <c r="CO22" i="2" s="1" a="1"/>
  <c r="CO22" i="2" s="1"/>
  <c r="H38" i="2" a="1"/>
  <c r="H38" i="2" s="1"/>
  <c r="AV40" i="2" a="1"/>
  <c r="AV40" i="2" s="1"/>
  <c r="AL40" i="2" a="1"/>
  <c r="AL40" i="2" s="1"/>
  <c r="H38" i="4" s="1" a="1"/>
  <c r="H38" i="4" s="1"/>
  <c r="U32" i="2" a="1"/>
  <c r="U32" i="2" s="1"/>
  <c r="T32" i="2" a="1"/>
  <c r="T32" i="2" s="1"/>
  <c r="N32" i="2" a="1"/>
  <c r="N32" i="2" s="1"/>
  <c r="N36" i="2" a="1"/>
  <c r="N36" i="2" s="1"/>
  <c r="O32" i="2" a="1"/>
  <c r="O32" i="2" s="1"/>
  <c r="E38" i="2" a="1"/>
  <c r="E38" i="2" s="1"/>
  <c r="BW24" i="2" s="1" a="1"/>
  <c r="BW24" i="2" s="1"/>
  <c r="Q36" i="2" a="1"/>
  <c r="Q36" i="2" s="1"/>
  <c r="CO23" i="2" s="1" a="1"/>
  <c r="CO23" i="2" s="1"/>
  <c r="AL31" i="2" a="1"/>
  <c r="AL31" i="2" s="1"/>
  <c r="H29" i="4" s="1" a="1"/>
  <c r="H29" i="4" s="1"/>
  <c r="E32" i="2" a="1"/>
  <c r="E32" i="2" s="1"/>
  <c r="Q32" i="2" a="1"/>
  <c r="Q32" i="2" s="1"/>
  <c r="AL33" i="2" a="1"/>
  <c r="AL33" i="2" s="1"/>
  <c r="H31" i="4" s="1" a="1"/>
  <c r="H31" i="4" s="1"/>
  <c r="F36" i="2" a="1"/>
  <c r="F36" i="2" s="1"/>
  <c r="O36" i="2" a="1"/>
  <c r="O36" i="2" s="1"/>
  <c r="K36" i="2" a="1"/>
  <c r="K36" i="2" s="1"/>
  <c r="I36" i="2" a="1"/>
  <c r="I36" i="2" s="1"/>
  <c r="H36" i="2" a="1"/>
  <c r="H36" i="2" s="1"/>
  <c r="T36" i="2" a="1"/>
  <c r="T36" i="2" s="1"/>
  <c r="AV39" i="2" a="1"/>
  <c r="AV39" i="2" s="1"/>
  <c r="R32" i="2" a="1"/>
  <c r="R32" i="2" s="1"/>
  <c r="U36" i="2" a="1"/>
  <c r="U36" i="2" s="1"/>
  <c r="C37" i="4" a="1"/>
  <c r="C37" i="4" s="1"/>
  <c r="B38" i="3" a="1"/>
  <c r="B38" i="3" s="1"/>
  <c r="C29" i="4" a="1"/>
  <c r="C29" i="4" s="1"/>
  <c r="B36" i="3" a="1"/>
  <c r="B36" i="3" s="1"/>
  <c r="H32" i="2" a="1"/>
  <c r="H32" i="2" s="1"/>
  <c r="E36" i="2" a="1"/>
  <c r="E36" i="2" s="1"/>
  <c r="AL39" i="2" a="1"/>
  <c r="AL39" i="2" s="1"/>
  <c r="F40" i="4" a="1"/>
  <c r="F40" i="4" s="1"/>
  <c r="I41" i="2" a="1"/>
  <c r="I41" i="2" s="1"/>
  <c r="U41" i="2" a="1"/>
  <c r="U41" i="2" s="1"/>
  <c r="O41" i="2" a="1"/>
  <c r="O41" i="2" s="1"/>
  <c r="CK25" i="2" s="1" a="1"/>
  <c r="CK25" i="2" s="1"/>
  <c r="C30" i="4" a="1"/>
  <c r="C30" i="4" s="1"/>
  <c r="B37" i="3" a="1"/>
  <c r="B37" i="3" s="1"/>
  <c r="C35" i="4" a="1"/>
  <c r="C35" i="4" s="1"/>
  <c r="B14" i="3" a="1"/>
  <c r="B14" i="3" s="1"/>
  <c r="R37" i="2" a="1"/>
  <c r="R37" i="2" s="1"/>
  <c r="T37" i="2" a="1"/>
  <c r="T37" i="2" s="1"/>
  <c r="F39" i="4" a="1"/>
  <c r="F39" i="4" s="1"/>
  <c r="U40" i="2" a="1"/>
  <c r="U40" i="2" s="1"/>
  <c r="I40" i="2" a="1"/>
  <c r="I40" i="2" s="1"/>
  <c r="F40" i="2" a="1"/>
  <c r="F40" i="2" s="1"/>
  <c r="O40" i="2" a="1"/>
  <c r="O40" i="2" s="1"/>
  <c r="L40" i="2" a="1"/>
  <c r="L40" i="2" s="1"/>
  <c r="K32" i="2" a="1"/>
  <c r="K32" i="2" s="1"/>
  <c r="AV41" i="2" a="1"/>
  <c r="AV41" i="2" s="1"/>
  <c r="AL38" i="2" a="1"/>
  <c r="AL38" i="2" s="1"/>
  <c r="H36" i="4" s="1" a="1"/>
  <c r="H36" i="4" s="1"/>
  <c r="C40" i="4" a="1"/>
  <c r="C40" i="4" s="1"/>
  <c r="B63" i="3" a="1"/>
  <c r="B63" i="3" s="1"/>
  <c r="C43" i="4" a="1"/>
  <c r="C43" i="4" s="1"/>
  <c r="B16" i="3" a="1"/>
  <c r="B16" i="3" s="1"/>
  <c r="N37" i="2" a="1"/>
  <c r="N37" i="2" s="1"/>
  <c r="I39" i="2" a="1"/>
  <c r="I39" i="2" s="1"/>
  <c r="K41" i="2" a="1"/>
  <c r="K41" i="2" s="1"/>
  <c r="AV48" i="2" a="1"/>
  <c r="AV48" i="2" s="1"/>
  <c r="O37" i="2" a="1"/>
  <c r="O37" i="2" s="1"/>
  <c r="CK24" i="2" s="1" a="1"/>
  <c r="CK24" i="2" s="1"/>
  <c r="C38" i="4" a="1"/>
  <c r="C38" i="4" s="1"/>
  <c r="B39" i="3" a="1"/>
  <c r="B39" i="3" s="1"/>
  <c r="L41" i="2" a="1"/>
  <c r="L41" i="2" s="1"/>
  <c r="N39" i="2" a="1"/>
  <c r="N39" i="2" s="1"/>
  <c r="O39" i="2" a="1"/>
  <c r="O39" i="2" s="1"/>
  <c r="E39" i="2" a="1"/>
  <c r="E39" i="2" s="1"/>
  <c r="H41" i="2" a="1"/>
  <c r="H41" i="2" s="1"/>
  <c r="T41" i="2" a="1"/>
  <c r="T41" i="2" s="1"/>
  <c r="T44" i="2" a="1"/>
  <c r="T44" i="2" s="1"/>
  <c r="T45" i="2" a="1"/>
  <c r="T45" i="2" s="1"/>
  <c r="I45" i="2" a="1"/>
  <c r="I45" i="2" s="1"/>
  <c r="F45" i="2" a="1"/>
  <c r="F45" i="2" s="1"/>
  <c r="BU28" i="2" s="1" a="1"/>
  <c r="BU28" i="2" s="1"/>
  <c r="BX28" i="2" s="1" a="1"/>
  <c r="BX28" i="2" s="1"/>
  <c r="U45" i="2" a="1"/>
  <c r="U45" i="2" s="1"/>
  <c r="N45" i="2" a="1"/>
  <c r="N45" i="2" s="1"/>
  <c r="CK29" i="2" s="1" a="1"/>
  <c r="CK29" i="2" s="1"/>
  <c r="K45" i="2" a="1"/>
  <c r="K45" i="2" s="1"/>
  <c r="H45" i="2" a="1"/>
  <c r="H45" i="2" s="1"/>
  <c r="O45" i="2" a="1"/>
  <c r="O45" i="2" s="1"/>
  <c r="CI28" i="2" s="1" a="1"/>
  <c r="CI28" i="2" s="1"/>
  <c r="CL28" i="2" s="1" a="1"/>
  <c r="CL28" i="2" s="1"/>
  <c r="C44" i="4" a="1"/>
  <c r="C44" i="4" s="1"/>
  <c r="B17" i="3" a="1"/>
  <c r="B17" i="3" s="1"/>
  <c r="K37" i="2" a="1"/>
  <c r="K37" i="2" s="1"/>
  <c r="U37" i="2" a="1"/>
  <c r="U37" i="2" s="1"/>
  <c r="H39" i="2" a="1"/>
  <c r="H39" i="2" s="1"/>
  <c r="T39" i="2" a="1"/>
  <c r="T39" i="2" s="1"/>
  <c r="E45" i="2" a="1"/>
  <c r="E45" i="2" s="1"/>
  <c r="C39" i="4" a="1"/>
  <c r="C39" i="4" s="1"/>
  <c r="B62" i="3" a="1"/>
  <c r="B62" i="3" s="1"/>
  <c r="C45" i="4" a="1"/>
  <c r="C45" i="4" s="1"/>
  <c r="B40" i="3" a="1"/>
  <c r="B40" i="3" s="1"/>
  <c r="N46" i="2" a="1"/>
  <c r="N46" i="2" s="1"/>
  <c r="H46" i="2" a="1"/>
  <c r="H46" i="2" s="1"/>
  <c r="N41" i="2" a="1"/>
  <c r="N41" i="2" s="1"/>
  <c r="E44" i="2" a="1"/>
  <c r="E44" i="2" s="1"/>
  <c r="BW27" i="2" s="1" a="1"/>
  <c r="BW27" i="2" s="1"/>
  <c r="K46" i="2" a="1"/>
  <c r="K46" i="2" s="1"/>
  <c r="F45" i="4" a="1"/>
  <c r="F45" i="4" s="1"/>
  <c r="O46" i="2" a="1"/>
  <c r="O46" i="2" s="1"/>
  <c r="F46" i="2" a="1"/>
  <c r="F46" i="2" s="1"/>
  <c r="L47" i="2" a="1"/>
  <c r="L47" i="2" s="1"/>
  <c r="E47" i="2" a="1"/>
  <c r="E47" i="2" s="1"/>
  <c r="U47" i="2" a="1"/>
  <c r="U47" i="2" s="1"/>
  <c r="I47" i="2" a="1"/>
  <c r="I47" i="2" s="1"/>
  <c r="T47" i="2" a="1"/>
  <c r="T47" i="2" s="1"/>
  <c r="R47" i="2" a="1"/>
  <c r="R47" i="2" s="1"/>
  <c r="F47" i="2" a="1"/>
  <c r="F47" i="2" s="1"/>
  <c r="F47" i="4" a="1"/>
  <c r="F47" i="4" s="1"/>
  <c r="R48" i="2" a="1"/>
  <c r="R48" i="2" s="1"/>
  <c r="L48" i="2" a="1"/>
  <c r="L48" i="2" s="1"/>
  <c r="AL49" i="2" a="1"/>
  <c r="AL49" i="2" s="1"/>
  <c r="H47" i="4" s="1" a="1"/>
  <c r="H47" i="4" s="1"/>
  <c r="AV49" i="2" a="1"/>
  <c r="AV49" i="2" s="1"/>
  <c r="AL46" i="2" a="1"/>
  <c r="AL46" i="2" s="1"/>
  <c r="AV46" i="2" a="1"/>
  <c r="AV46" i="2" s="1"/>
  <c r="AL48" i="2" a="1"/>
  <c r="AL48" i="2" s="1"/>
  <c r="H46" i="4" s="1" a="1"/>
  <c r="H46" i="4" s="1"/>
  <c r="K44" i="2" a="1"/>
  <c r="K44" i="2" s="1"/>
  <c r="T46" i="2" a="1"/>
  <c r="T46" i="2" s="1"/>
  <c r="Q47" i="2" a="1"/>
  <c r="Q47" i="2" s="1"/>
  <c r="F48" i="2" a="1"/>
  <c r="F48" i="2" s="1"/>
  <c r="N44" i="2" a="1"/>
  <c r="N44" i="2" s="1"/>
  <c r="CK27" i="2" s="1" a="1"/>
  <c r="CK27" i="2" s="1"/>
  <c r="C46" i="4" a="1"/>
  <c r="C46" i="4" s="1"/>
  <c r="B41" i="3" a="1"/>
  <c r="B41" i="3" s="1"/>
  <c r="I48" i="2" a="1"/>
  <c r="I48" i="2" s="1"/>
  <c r="CA27" i="2" s="1" a="1"/>
  <c r="CA27" i="2" s="1"/>
  <c r="R52" i="2" a="1"/>
  <c r="R52" i="2" s="1"/>
  <c r="Q52" i="2" a="1"/>
  <c r="Q52" i="2" s="1"/>
  <c r="E52" i="2" a="1"/>
  <c r="E52" i="2" s="1"/>
  <c r="BW31" i="2" s="1" a="1"/>
  <c r="BW31" i="2" s="1"/>
  <c r="O52" i="2" a="1"/>
  <c r="O52" i="2" s="1"/>
  <c r="N52" i="2" a="1"/>
  <c r="N52" i="2" s="1"/>
  <c r="CK31" i="2" s="1" a="1"/>
  <c r="CK31" i="2" s="1"/>
  <c r="L52" i="2" a="1"/>
  <c r="L52" i="2" s="1"/>
  <c r="U52" i="2" a="1"/>
  <c r="U52" i="2" s="1"/>
  <c r="I52" i="2" a="1"/>
  <c r="I52" i="2" s="1"/>
  <c r="H52" i="2" a="1"/>
  <c r="H52" i="2" s="1"/>
  <c r="T52" i="2" a="1"/>
  <c r="T52" i="2" s="1"/>
  <c r="F52" i="2" a="1"/>
  <c r="F52" i="2" s="1"/>
  <c r="K52" i="2" a="1"/>
  <c r="K52" i="2" s="1"/>
  <c r="BS61" i="2" a="1"/>
  <c r="BS61" i="2" s="1"/>
  <c r="BS68" i="2" a="1"/>
  <c r="BS68" i="2" s="1"/>
  <c r="BS58" i="2" a="1"/>
  <c r="BS58" i="2" s="1"/>
  <c r="BD60" i="2" a="1"/>
  <c r="BD60" i="2" s="1"/>
  <c r="BJ60" i="2" a="1"/>
  <c r="BJ60" i="2" s="1"/>
  <c r="H56" i="2" a="1"/>
  <c r="H56" i="2" s="1"/>
  <c r="Q56" i="2" a="1"/>
  <c r="Q56" i="2" s="1"/>
  <c r="O56" i="2" a="1"/>
  <c r="O56" i="2" s="1"/>
  <c r="I56" i="2" a="1"/>
  <c r="I56" i="2" s="1"/>
  <c r="U56" i="2" a="1"/>
  <c r="U56" i="2" s="1"/>
  <c r="F56" i="2" a="1"/>
  <c r="F56" i="2" s="1"/>
  <c r="T56" i="2" a="1"/>
  <c r="T56" i="2" s="1"/>
  <c r="E56" i="2" a="1"/>
  <c r="E56" i="2" s="1"/>
  <c r="N56" i="2" a="1"/>
  <c r="N56" i="2" s="1"/>
  <c r="L56" i="2" a="1"/>
  <c r="L56" i="2" s="1"/>
  <c r="K56" i="2" a="1"/>
  <c r="K56" i="2" s="1"/>
  <c r="R56" i="2" a="1"/>
  <c r="R56" i="2" s="1"/>
  <c r="BS64" i="2" a="1"/>
  <c r="BS64" i="2" s="1"/>
  <c r="C48" i="4" a="1"/>
  <c r="C48" i="4" s="1"/>
  <c r="B65" i="3" a="1"/>
  <c r="B65" i="3" s="1"/>
  <c r="AV47" i="2" a="1"/>
  <c r="AV47" i="2" s="1"/>
  <c r="U48" i="2" a="1"/>
  <c r="U48" i="2" s="1"/>
  <c r="K48" i="2" a="1"/>
  <c r="K48" i="2" s="1"/>
  <c r="T48" i="2" a="1"/>
  <c r="T48" i="2" s="1"/>
  <c r="Q48" i="2" a="1"/>
  <c r="Q48" i="2" s="1"/>
  <c r="CO28" i="2" s="1" a="1"/>
  <c r="CO28" i="2" s="1"/>
  <c r="E48" i="2" a="1"/>
  <c r="E48" i="2" s="1"/>
  <c r="BW28" i="2" s="1" a="1"/>
  <c r="BW28" i="2" s="1"/>
  <c r="N48" i="2" a="1"/>
  <c r="N48" i="2" s="1"/>
  <c r="AV57" i="2" a="1"/>
  <c r="AV57" i="2" s="1"/>
  <c r="O6" i="4" a="1"/>
  <c r="O6" i="4" s="1"/>
  <c r="B43" i="3" a="1"/>
  <c r="B43" i="3" s="1"/>
  <c r="H55" i="2" a="1"/>
  <c r="H55" i="2" s="1"/>
  <c r="C47" i="4" a="1"/>
  <c r="C47" i="4" s="1"/>
  <c r="B64" i="3" a="1"/>
  <c r="B64" i="3" s="1"/>
  <c r="I53" i="2" a="1"/>
  <c r="I53" i="2" s="1"/>
  <c r="U53" i="2" a="1"/>
  <c r="U53" i="2" s="1"/>
  <c r="AL57" i="2" a="1"/>
  <c r="AL57" i="2" s="1"/>
  <c r="N49" i="2" a="1"/>
  <c r="N49" i="2" s="1"/>
  <c r="BD58" i="2" a="1"/>
  <c r="BD58" i="2" s="1"/>
  <c r="Q61" i="2" a="1"/>
  <c r="Q61" i="2" s="1"/>
  <c r="Q65" i="2" a="1"/>
  <c r="Q65" i="2" s="1"/>
  <c r="H65" i="2" a="1"/>
  <c r="H65" i="2" s="1"/>
  <c r="T65" i="2" a="1"/>
  <c r="T65" i="2" s="1"/>
  <c r="I65" i="2" a="1"/>
  <c r="I65" i="2" s="1"/>
  <c r="R65" i="2" a="1"/>
  <c r="R65" i="2" s="1"/>
  <c r="F65" i="2" a="1"/>
  <c r="F65" i="2" s="1"/>
  <c r="BW37" i="2" s="1" a="1"/>
  <c r="BW37" i="2" s="1"/>
  <c r="K65" i="2" a="1"/>
  <c r="K65" i="2" s="1"/>
  <c r="O65" i="2" a="1"/>
  <c r="O65" i="2" s="1"/>
  <c r="CK37" i="2" s="1" a="1"/>
  <c r="CK37" i="2" s="1"/>
  <c r="N65" i="2" a="1"/>
  <c r="N65" i="2" s="1"/>
  <c r="AL65" i="2" a="1"/>
  <c r="AL65" i="2" s="1"/>
  <c r="AV65" i="2" a="1"/>
  <c r="AV65" i="2" s="1"/>
  <c r="AL70" i="2" a="1"/>
  <c r="AL70" i="2" s="1"/>
  <c r="T20" i="4" s="1" a="1"/>
  <c r="T20" i="4" s="1"/>
  <c r="AV70" i="2" a="1"/>
  <c r="AV70" i="2" s="1"/>
  <c r="O22" i="4" a="1"/>
  <c r="O22" i="4" s="1"/>
  <c r="B47" i="3" a="1"/>
  <c r="B47" i="3" s="1"/>
  <c r="Q71" i="2" a="1"/>
  <c r="Q71" i="2" s="1"/>
  <c r="K71" i="2" a="1"/>
  <c r="K71" i="2" s="1"/>
  <c r="E49" i="2" a="1"/>
  <c r="E49" i="2" s="1"/>
  <c r="O7" i="4" a="1"/>
  <c r="O7" i="4" s="1"/>
  <c r="B66" i="3" a="1"/>
  <c r="B66" i="3" s="1"/>
  <c r="Q57" i="2" a="1"/>
  <c r="Q57" i="2" s="1"/>
  <c r="O28" i="4" a="1"/>
  <c r="O28" i="4" s="1"/>
  <c r="B25" i="3" a="1"/>
  <c r="B25" i="3" s="1"/>
  <c r="K55" i="2" a="1"/>
  <c r="K55" i="2" s="1"/>
  <c r="BD59" i="2" a="1"/>
  <c r="BD59" i="2" s="1"/>
  <c r="BS59" i="2" a="1"/>
  <c r="BS59" i="2" s="1"/>
  <c r="L65" i="2" a="1"/>
  <c r="L65" i="2" s="1"/>
  <c r="BG69" i="2" a="1"/>
  <c r="BG69" i="2" s="1"/>
  <c r="BJ69" i="2" a="1"/>
  <c r="BJ69" i="2" s="1"/>
  <c r="BH69" i="2" a="1"/>
  <c r="BH69" i="2" s="1"/>
  <c r="BD69" i="2" a="1"/>
  <c r="BD69" i="2" s="1"/>
  <c r="R28" i="4" a="1"/>
  <c r="R28" i="4" s="1"/>
  <c r="L77" i="2" a="1"/>
  <c r="L77" i="2" s="1"/>
  <c r="F49" i="2" a="1"/>
  <c r="F49" i="2" s="1"/>
  <c r="L53" i="2" a="1"/>
  <c r="L53" i="2" s="1"/>
  <c r="BI58" i="2" a="1"/>
  <c r="BI58" i="2" s="1"/>
  <c r="BS60" i="2" a="1"/>
  <c r="BS60" i="2" s="1"/>
  <c r="O13" i="4" a="1"/>
  <c r="O13" i="4" s="1"/>
  <c r="B44" i="3" a="1"/>
  <c r="B44" i="3" s="1"/>
  <c r="BS65" i="2" a="1"/>
  <c r="BS65" i="2" s="1"/>
  <c r="BS67" i="2" a="1"/>
  <c r="BS67" i="2" s="1"/>
  <c r="O19" i="4" a="1"/>
  <c r="O19" i="4" s="1"/>
  <c r="B22" i="3" a="1"/>
  <c r="B22" i="3" s="1"/>
  <c r="Q68" i="2" a="1"/>
  <c r="Q68" i="2" s="1"/>
  <c r="N68" i="2" a="1"/>
  <c r="N68" i="2" s="1"/>
  <c r="AL79" i="2" a="1"/>
  <c r="AL79" i="2" s="1"/>
  <c r="T29" i="4" s="1" a="1"/>
  <c r="T29" i="4" s="1"/>
  <c r="AV79" i="2" a="1"/>
  <c r="AV79" i="2" s="1"/>
  <c r="O3" i="4" a="1"/>
  <c r="O3" i="4" s="1"/>
  <c r="B18" i="3" a="1"/>
  <c r="B18" i="3" s="1"/>
  <c r="Q55" i="2" a="1"/>
  <c r="Q55" i="2" s="1"/>
  <c r="L57" i="2" a="1"/>
  <c r="L57" i="2" s="1"/>
  <c r="CF33" i="2" s="1" a="1"/>
  <c r="CF33" i="2" s="1"/>
  <c r="U57" i="2" a="1"/>
  <c r="U57" i="2" s="1"/>
  <c r="T57" i="2" a="1"/>
  <c r="T57" i="2" s="1"/>
  <c r="I57" i="2" a="1"/>
  <c r="I57" i="2" s="1"/>
  <c r="CA33" i="2" s="1" a="1"/>
  <c r="CA33" i="2" s="1"/>
  <c r="N57" i="2" a="1"/>
  <c r="N57" i="2" s="1"/>
  <c r="K57" i="2" a="1"/>
  <c r="K57" i="2" s="1"/>
  <c r="O60" i="2" a="1"/>
  <c r="O60" i="2" s="1"/>
  <c r="E60" i="2" a="1"/>
  <c r="E60" i="2" s="1"/>
  <c r="L60" i="2" a="1"/>
  <c r="L60" i="2" s="1"/>
  <c r="K60" i="2" a="1"/>
  <c r="K60" i="2" s="1"/>
  <c r="F60" i="2" a="1"/>
  <c r="F60" i="2" s="1"/>
  <c r="U60" i="2" a="1"/>
  <c r="U60" i="2" s="1"/>
  <c r="K61" i="2" a="1"/>
  <c r="K61" i="2" s="1"/>
  <c r="T61" i="2" a="1"/>
  <c r="T61" i="2" s="1"/>
  <c r="R61" i="2" a="1"/>
  <c r="R61" i="2" s="1"/>
  <c r="O61" i="2" a="1"/>
  <c r="O61" i="2" s="1"/>
  <c r="N61" i="2" a="1"/>
  <c r="N61" i="2" s="1"/>
  <c r="H61" i="2" a="1"/>
  <c r="H61" i="2" s="1"/>
  <c r="BG61" i="2" a="1"/>
  <c r="BG61" i="2" s="1"/>
  <c r="BD61" i="2" a="1"/>
  <c r="BD61" i="2" s="1"/>
  <c r="BJ61" i="2" a="1"/>
  <c r="BJ61" i="2" s="1"/>
  <c r="K62" i="2" a="1"/>
  <c r="K62" i="2" s="1"/>
  <c r="CF36" i="2" s="1" a="1"/>
  <c r="CF36" i="2" s="1"/>
  <c r="T62" i="2" a="1"/>
  <c r="T62" i="2" s="1"/>
  <c r="CT36" i="2" s="1" a="1"/>
  <c r="CT36" i="2" s="1"/>
  <c r="R62" i="2" a="1"/>
  <c r="R62" i="2" s="1"/>
  <c r="H62" i="2" a="1"/>
  <c r="H62" i="2" s="1"/>
  <c r="N62" i="2" a="1"/>
  <c r="N62" i="2" s="1"/>
  <c r="L62" i="2" a="1"/>
  <c r="L62" i="2" s="1"/>
  <c r="U62" i="2" a="1"/>
  <c r="U62" i="2" s="1"/>
  <c r="F62" i="2" a="1"/>
  <c r="F62" i="2" s="1"/>
  <c r="Q62" i="2" a="1"/>
  <c r="Q62" i="2" s="1"/>
  <c r="E62" i="2" a="1"/>
  <c r="E62" i="2" s="1"/>
  <c r="O14" i="4" a="1"/>
  <c r="O14" i="4" s="1"/>
  <c r="B45" i="3" a="1"/>
  <c r="B45" i="3" s="1"/>
  <c r="BS63" i="2" a="1"/>
  <c r="BS63" i="2" s="1"/>
  <c r="BS66" i="2" a="1"/>
  <c r="BS66" i="2" s="1"/>
  <c r="AV71" i="2" a="1"/>
  <c r="AV71" i="2" s="1"/>
  <c r="AL71" i="2" a="1"/>
  <c r="AL71" i="2" s="1"/>
  <c r="T21" i="4" s="1" a="1"/>
  <c r="T21" i="4" s="1"/>
  <c r="AL80" i="2" a="1"/>
  <c r="AL80" i="2" s="1"/>
  <c r="AV80" i="2" a="1"/>
  <c r="AV80" i="2" s="1"/>
  <c r="E53" i="2" a="1"/>
  <c r="E53" i="2" s="1"/>
  <c r="BV33" i="2" s="1" a="1"/>
  <c r="BV33" i="2" s="1"/>
  <c r="N53" i="2" a="1"/>
  <c r="N53" i="2" s="1"/>
  <c r="CJ33" i="2" s="1" a="1"/>
  <c r="CJ33" i="2" s="1"/>
  <c r="O12" i="4" a="1"/>
  <c r="O12" i="4" s="1"/>
  <c r="B21" i="3" a="1"/>
  <c r="B21" i="3" s="1"/>
  <c r="I63" i="2" a="1"/>
  <c r="I63" i="2" s="1"/>
  <c r="R63" i="2" a="1"/>
  <c r="R63" i="2" s="1"/>
  <c r="H63" i="2" a="1"/>
  <c r="H63" i="2" s="1"/>
  <c r="F63" i="2" a="1"/>
  <c r="F63" i="2" s="1"/>
  <c r="O63" i="2" a="1"/>
  <c r="O63" i="2" s="1"/>
  <c r="N63" i="2" a="1"/>
  <c r="N63" i="2" s="1"/>
  <c r="CK35" i="2" s="1" a="1"/>
  <c r="CK35" i="2" s="1"/>
  <c r="U65" i="2" a="1"/>
  <c r="U65" i="2" s="1"/>
  <c r="O20" i="4" a="1"/>
  <c r="O20" i="4" s="1"/>
  <c r="B23" i="3" a="1"/>
  <c r="B23" i="3" s="1"/>
  <c r="R49" i="2" a="1"/>
  <c r="R49" i="2" s="1"/>
  <c r="AV56" i="2" a="1"/>
  <c r="AV56" i="2" s="1"/>
  <c r="AL56" i="2" a="1"/>
  <c r="AL56" i="2" s="1"/>
  <c r="T6" i="4" s="1" a="1"/>
  <c r="T6" i="4" s="1"/>
  <c r="E57" i="2" a="1"/>
  <c r="E57" i="2" s="1"/>
  <c r="E61" i="2" a="1"/>
  <c r="E61" i="2" s="1"/>
  <c r="BD62" i="2" a="1"/>
  <c r="BD62" i="2" s="1"/>
  <c r="BH62" i="2" a="1"/>
  <c r="BH62" i="2" s="1"/>
  <c r="BG62" i="2" a="1"/>
  <c r="BG62" i="2" s="1"/>
  <c r="BG64" i="2" a="1"/>
  <c r="BG64" i="2" s="1"/>
  <c r="BH64" i="2" a="1"/>
  <c r="BH64" i="2" s="1"/>
  <c r="BJ64" i="2" a="1"/>
  <c r="BJ64" i="2" s="1"/>
  <c r="BG65" i="2" a="1"/>
  <c r="BG65" i="2" s="1"/>
  <c r="BH65" i="2" a="1"/>
  <c r="BH65" i="2" s="1"/>
  <c r="BD65" i="2" a="1"/>
  <c r="BD65" i="2" s="1"/>
  <c r="BS69" i="2" a="1"/>
  <c r="BS69" i="2" s="1"/>
  <c r="I49" i="2" a="1"/>
  <c r="I49" i="2" s="1"/>
  <c r="R53" i="2" a="1"/>
  <c r="R53" i="2" s="1"/>
  <c r="T54" i="2" a="1"/>
  <c r="T54" i="2" s="1"/>
  <c r="I54" i="2" a="1"/>
  <c r="I54" i="2" s="1"/>
  <c r="R54" i="2" a="1"/>
  <c r="R54" i="2" s="1"/>
  <c r="N54" i="2" a="1"/>
  <c r="N54" i="2" s="1"/>
  <c r="L54" i="2" a="1"/>
  <c r="L54" i="2" s="1"/>
  <c r="T55" i="2" a="1"/>
  <c r="T55" i="2" s="1"/>
  <c r="F57" i="2" a="1"/>
  <c r="F57" i="2" s="1"/>
  <c r="BW33" i="2" s="1" a="1"/>
  <c r="BW33" i="2" s="1"/>
  <c r="E63" i="2" a="1"/>
  <c r="E63" i="2" s="1"/>
  <c r="F53" i="2" a="1"/>
  <c r="F53" i="2" s="1"/>
  <c r="BV32" i="2" s="1" a="1"/>
  <c r="BV32" i="2" s="1"/>
  <c r="E55" i="2" a="1"/>
  <c r="E55" i="2" s="1"/>
  <c r="H60" i="2" a="1"/>
  <c r="H60" i="2" s="1"/>
  <c r="F61" i="2" a="1"/>
  <c r="F61" i="2" s="1"/>
  <c r="I62" i="2" a="1"/>
  <c r="I62" i="2" s="1"/>
  <c r="AL62" i="2" a="1"/>
  <c r="AL62" i="2" s="1"/>
  <c r="BG63" i="2" a="1"/>
  <c r="BG63" i="2" s="1"/>
  <c r="BD63" i="2" a="1"/>
  <c r="BD63" i="2" s="1"/>
  <c r="BH63" i="2" a="1"/>
  <c r="BH63" i="2" s="1"/>
  <c r="BJ63" i="2" a="1"/>
  <c r="BJ63" i="2" s="1"/>
  <c r="BD64" i="2" a="1"/>
  <c r="BD64" i="2" s="1"/>
  <c r="O16" i="4" a="1"/>
  <c r="O16" i="4" s="1"/>
  <c r="B69" i="3" a="1"/>
  <c r="B69" i="3" s="1"/>
  <c r="R29" i="4" a="1"/>
  <c r="R29" i="4" s="1"/>
  <c r="I78" i="2" a="1"/>
  <c r="I78" i="2" s="1"/>
  <c r="R78" i="2" a="1"/>
  <c r="R78" i="2" s="1"/>
  <c r="O78" i="2" a="1"/>
  <c r="O78" i="2" s="1"/>
  <c r="F78" i="2" a="1"/>
  <c r="F78" i="2" s="1"/>
  <c r="U78" i="2" a="1"/>
  <c r="U78" i="2" s="1"/>
  <c r="T53" i="2" a="1"/>
  <c r="T53" i="2" s="1"/>
  <c r="E54" i="2" a="1"/>
  <c r="E54" i="2" s="1"/>
  <c r="U54" i="2" a="1"/>
  <c r="U54" i="2" s="1"/>
  <c r="H57" i="2" a="1"/>
  <c r="H57" i="2" s="1"/>
  <c r="I60" i="2" a="1"/>
  <c r="I60" i="2" s="1"/>
  <c r="I61" i="2" a="1"/>
  <c r="I61" i="2" s="1"/>
  <c r="K63" i="2" a="1"/>
  <c r="K63" i="2" s="1"/>
  <c r="AL73" i="2" a="1"/>
  <c r="AL73" i="2" s="1"/>
  <c r="T23" i="4" s="1" a="1"/>
  <c r="T23" i="4" s="1"/>
  <c r="AV73" i="2" a="1"/>
  <c r="AV73" i="2" s="1"/>
  <c r="N77" i="2" a="1"/>
  <c r="N77" i="2" s="1"/>
  <c r="R92" i="2" a="1"/>
  <c r="R92" i="2" s="1"/>
  <c r="H92" i="2" a="1"/>
  <c r="H92" i="2" s="1"/>
  <c r="F92" i="2" a="1"/>
  <c r="F92" i="2" s="1"/>
  <c r="BV50" i="2" s="1" a="1"/>
  <c r="BV50" i="2" s="1"/>
  <c r="L92" i="2" a="1"/>
  <c r="L92" i="2" s="1"/>
  <c r="K92" i="2" a="1"/>
  <c r="K92" i="2" s="1"/>
  <c r="I92" i="2" a="1"/>
  <c r="I92" i="2" s="1"/>
  <c r="E92" i="2" a="1"/>
  <c r="E92" i="2" s="1"/>
  <c r="BV51" i="2" s="1" a="1"/>
  <c r="BV51" i="2" s="1"/>
  <c r="U92" i="2" a="1"/>
  <c r="U92" i="2" s="1"/>
  <c r="U93" i="2" a="1"/>
  <c r="U93" i="2" s="1"/>
  <c r="K93" i="2" a="1"/>
  <c r="K93" i="2" s="1"/>
  <c r="I93" i="2" a="1"/>
  <c r="I93" i="2" s="1"/>
  <c r="T93" i="2" a="1"/>
  <c r="T93" i="2" s="1"/>
  <c r="H93" i="2" a="1"/>
  <c r="H93" i="2" s="1"/>
  <c r="O93" i="2" a="1"/>
  <c r="O93" i="2" s="1"/>
  <c r="Q93" i="2" a="1"/>
  <c r="Q93" i="2" s="1"/>
  <c r="N93" i="2" a="1"/>
  <c r="N93" i="2" s="1"/>
  <c r="CI53" i="2" s="1" a="1"/>
  <c r="CI53" i="2" s="1"/>
  <c r="CL53" i="2" s="1" a="1"/>
  <c r="CL53" i="2" s="1"/>
  <c r="L93" i="2" a="1"/>
  <c r="L93" i="2" s="1"/>
  <c r="F93" i="2" a="1"/>
  <c r="F93" i="2" s="1"/>
  <c r="AV97" i="2" a="1"/>
  <c r="AV97" i="2" s="1"/>
  <c r="AL97" i="2" a="1"/>
  <c r="AL97" i="2" s="1"/>
  <c r="T47" i="4" s="1" a="1"/>
  <c r="T47" i="4" s="1"/>
  <c r="AL86" i="2" a="1"/>
  <c r="AL86" i="2" s="1"/>
  <c r="T36" i="4" s="1" a="1"/>
  <c r="T36" i="4" s="1"/>
  <c r="U88" i="2" a="1"/>
  <c r="U88" i="2" s="1"/>
  <c r="K88" i="2" a="1"/>
  <c r="K88" i="2" s="1"/>
  <c r="CF46" i="2" s="1" a="1"/>
  <c r="CF46" i="2" s="1"/>
  <c r="L88" i="2" a="1"/>
  <c r="L88" i="2" s="1"/>
  <c r="I88" i="2" a="1"/>
  <c r="I88" i="2" s="1"/>
  <c r="O88" i="2" a="1"/>
  <c r="O88" i="2" s="1"/>
  <c r="CK49" i="2" s="1" a="1"/>
  <c r="CK49" i="2" s="1"/>
  <c r="N88" i="2" a="1"/>
  <c r="N88" i="2" s="1"/>
  <c r="CI46" i="2" s="1" a="1"/>
  <c r="CI46" i="2" s="1"/>
  <c r="CL46" i="2" s="1" a="1"/>
  <c r="CL46" i="2" s="1"/>
  <c r="H88" i="2" a="1"/>
  <c r="H88" i="2" s="1"/>
  <c r="F88" i="2" a="1"/>
  <c r="F88" i="2" s="1"/>
  <c r="BW49" i="2" s="1" a="1"/>
  <c r="BW49" i="2" s="1"/>
  <c r="T88" i="2" a="1"/>
  <c r="T88" i="2" s="1"/>
  <c r="N92" i="2" a="1"/>
  <c r="N92" i="2" s="1"/>
  <c r="CJ51" i="2" s="1" a="1"/>
  <c r="CJ51" i="2" s="1"/>
  <c r="I64" i="2" a="1"/>
  <c r="I64" i="2" s="1"/>
  <c r="K69" i="2" a="1"/>
  <c r="K69" i="2" s="1"/>
  <c r="CF41" i="2" s="1" a="1"/>
  <c r="CF41" i="2" s="1"/>
  <c r="O23" i="4" a="1"/>
  <c r="O23" i="4" s="1"/>
  <c r="B70" i="3" a="1"/>
  <c r="B70" i="3" s="1"/>
  <c r="O92" i="2" a="1"/>
  <c r="O92" i="2" s="1"/>
  <c r="CJ50" i="2" s="1" a="1"/>
  <c r="CJ50" i="2" s="1"/>
  <c r="E93" i="2" a="1"/>
  <c r="E93" i="2" s="1"/>
  <c r="BU53" i="2" s="1" a="1"/>
  <c r="BU53" i="2" s="1"/>
  <c r="BX53" i="2" s="1" a="1"/>
  <c r="BX53" i="2" s="1"/>
  <c r="O24" i="4" a="1"/>
  <c r="O24" i="4" s="1"/>
  <c r="B71" i="3" a="1"/>
  <c r="B71" i="3" s="1"/>
  <c r="L76" i="2" a="1"/>
  <c r="L76" i="2" s="1"/>
  <c r="E88" i="2" a="1"/>
  <c r="E88" i="2" s="1"/>
  <c r="Q92" i="2" a="1"/>
  <c r="Q92" i="2" s="1"/>
  <c r="O69" i="2" a="1"/>
  <c r="O69" i="2" s="1"/>
  <c r="O38" i="4" a="1"/>
  <c r="O38" i="4" s="1"/>
  <c r="B51" i="3" a="1"/>
  <c r="B51" i="3" s="1"/>
  <c r="T87" i="2" a="1"/>
  <c r="T87" i="2" s="1"/>
  <c r="N87" i="2" a="1"/>
  <c r="N87" i="2" s="1"/>
  <c r="O40" i="4" a="1"/>
  <c r="O40" i="4" s="1"/>
  <c r="B75" i="3" a="1"/>
  <c r="B75" i="3" s="1"/>
  <c r="T92" i="2" a="1"/>
  <c r="T92" i="2" s="1"/>
  <c r="R93" i="2" a="1"/>
  <c r="R93" i="2" s="1"/>
  <c r="K73" i="2" a="1"/>
  <c r="K73" i="2" s="1"/>
  <c r="Q88" i="2" a="1"/>
  <c r="Q88" i="2" s="1"/>
  <c r="R88" i="2" a="1"/>
  <c r="R88" i="2" s="1"/>
  <c r="AL95" i="2" a="1"/>
  <c r="AL95" i="2" s="1"/>
  <c r="T45" i="4" s="1" a="1"/>
  <c r="T45" i="4" s="1"/>
  <c r="AV95" i="2" a="1"/>
  <c r="AV95" i="2" s="1"/>
  <c r="N69" i="2" a="1"/>
  <c r="N69" i="2" s="1"/>
  <c r="E69" i="2" a="1"/>
  <c r="E69" i="2" s="1"/>
  <c r="L69" i="2" a="1"/>
  <c r="L69" i="2" s="1"/>
  <c r="R69" i="2" a="1"/>
  <c r="R69" i="2" s="1"/>
  <c r="CO40" i="2" s="1" a="1"/>
  <c r="CO40" i="2" s="1"/>
  <c r="H69" i="2" a="1"/>
  <c r="H69" i="2" s="1"/>
  <c r="H76" i="2" a="1"/>
  <c r="H76" i="2" s="1"/>
  <c r="Q76" i="2" a="1"/>
  <c r="Q76" i="2" s="1"/>
  <c r="O76" i="2" a="1"/>
  <c r="O76" i="2" s="1"/>
  <c r="K76" i="2" a="1"/>
  <c r="K76" i="2" s="1"/>
  <c r="T76" i="2" a="1"/>
  <c r="T76" i="2" s="1"/>
  <c r="R77" i="2" a="1"/>
  <c r="R77" i="2" s="1"/>
  <c r="CP44" i="2" s="1" a="1"/>
  <c r="CP44" i="2" s="1"/>
  <c r="H77" i="2" a="1"/>
  <c r="H77" i="2" s="1"/>
  <c r="Q77" i="2" a="1"/>
  <c r="Q77" i="2" s="1"/>
  <c r="U77" i="2" a="1"/>
  <c r="U77" i="2" s="1"/>
  <c r="CT44" i="2" s="1" a="1"/>
  <c r="CT44" i="2" s="1"/>
  <c r="I77" i="2" a="1"/>
  <c r="I77" i="2" s="1"/>
  <c r="T77" i="2" a="1"/>
  <c r="T77" i="2" s="1"/>
  <c r="F77" i="2" a="1"/>
  <c r="F77" i="2" s="1"/>
  <c r="O77" i="2" a="1"/>
  <c r="O77" i="2" s="1"/>
  <c r="CI44" i="2" s="1" a="1"/>
  <c r="CI44" i="2" s="1"/>
  <c r="CL44" i="2" s="1" a="1"/>
  <c r="CL44" i="2" s="1"/>
  <c r="Q81" i="2" a="1"/>
  <c r="Q81" i="2" s="1"/>
  <c r="F81" i="2" a="1"/>
  <c r="F81" i="2" s="1"/>
  <c r="O81" i="2" a="1"/>
  <c r="O81" i="2" s="1"/>
  <c r="E81" i="2" a="1"/>
  <c r="E81" i="2" s="1"/>
  <c r="T81" i="2" a="1"/>
  <c r="T81" i="2" s="1"/>
  <c r="K81" i="2" a="1"/>
  <c r="K81" i="2" s="1"/>
  <c r="I81" i="2" a="1"/>
  <c r="I81" i="2" s="1"/>
  <c r="U81" i="2" a="1"/>
  <c r="U81" i="2" s="1"/>
  <c r="H81" i="2" a="1"/>
  <c r="H81" i="2" s="1"/>
  <c r="R81" i="2" a="1"/>
  <c r="R81" i="2" s="1"/>
  <c r="AV81" i="2" a="1"/>
  <c r="AV81" i="2" s="1"/>
  <c r="AL81" i="2" a="1"/>
  <c r="AL81" i="2" s="1"/>
  <c r="T31" i="4" s="1" a="1"/>
  <c r="T31" i="4" s="1"/>
  <c r="AV87" i="2" a="1"/>
  <c r="AV87" i="2" s="1"/>
  <c r="AL87" i="2" a="1"/>
  <c r="AL87" i="2" s="1"/>
  <c r="N134" i="2" a="1"/>
  <c r="N134" i="2" s="1"/>
  <c r="AF134" i="2" s="1" a="1"/>
  <c r="AF134" i="2" s="1"/>
  <c r="C217" i="3" s="1" a="1"/>
  <c r="C217" i="3" s="1"/>
  <c r="AG127" i="2" a="1"/>
  <c r="AG127" i="2" s="1"/>
  <c r="O8" i="4" a="1"/>
  <c r="O8" i="4" s="1"/>
  <c r="B67" i="3" a="1"/>
  <c r="B67" i="3" s="1"/>
  <c r="AV64" i="2" a="1"/>
  <c r="AV64" i="2" s="1"/>
  <c r="O68" i="2" a="1"/>
  <c r="O68" i="2" s="1"/>
  <c r="F68" i="2" a="1"/>
  <c r="F68" i="2" s="1"/>
  <c r="U68" i="2" a="1"/>
  <c r="U68" i="2" s="1"/>
  <c r="K68" i="2" a="1"/>
  <c r="K68" i="2" s="1"/>
  <c r="T68" i="2" a="1"/>
  <c r="T68" i="2" s="1"/>
  <c r="I68" i="2" a="1"/>
  <c r="I68" i="2" s="1"/>
  <c r="R68" i="2" a="1"/>
  <c r="R68" i="2" s="1"/>
  <c r="O71" i="2" a="1"/>
  <c r="O71" i="2" s="1"/>
  <c r="E71" i="2" a="1"/>
  <c r="E71" i="2" s="1"/>
  <c r="N71" i="2" a="1"/>
  <c r="N71" i="2" s="1"/>
  <c r="I71" i="2" a="1"/>
  <c r="I71" i="2" s="1"/>
  <c r="T71" i="2" a="1"/>
  <c r="T71" i="2" s="1"/>
  <c r="O30" i="4" a="1"/>
  <c r="O30" i="4" s="1"/>
  <c r="B49" i="3" a="1"/>
  <c r="B49" i="3" s="1"/>
  <c r="N79" i="2" a="1"/>
  <c r="N79" i="2" s="1"/>
  <c r="CI43" i="2" s="1" a="1"/>
  <c r="CI43" i="2" s="1"/>
  <c r="CL43" i="2" s="1" a="1"/>
  <c r="CL43" i="2" s="1"/>
  <c r="K79" i="2" a="1"/>
  <c r="K79" i="2" s="1"/>
  <c r="O4" i="4" a="1"/>
  <c r="O4" i="4" s="1"/>
  <c r="B19" i="3" a="1"/>
  <c r="B19" i="3" s="1"/>
  <c r="O5" i="4" a="1"/>
  <c r="O5" i="4" s="1"/>
  <c r="B42" i="3" a="1"/>
  <c r="B42" i="3" s="1"/>
  <c r="R64" i="2" a="1"/>
  <c r="R64" i="2" s="1"/>
  <c r="CP35" i="2" s="1" a="1"/>
  <c r="CP35" i="2" s="1"/>
  <c r="BG66" i="2" a="1"/>
  <c r="BG66" i="2" s="1"/>
  <c r="BD66" i="2" a="1"/>
  <c r="BD66" i="2" s="1"/>
  <c r="T69" i="2" a="1"/>
  <c r="T69" i="2" s="1"/>
  <c r="U70" i="2" a="1"/>
  <c r="U70" i="2" s="1"/>
  <c r="K70" i="2" a="1"/>
  <c r="K70" i="2" s="1"/>
  <c r="L70" i="2" a="1"/>
  <c r="L70" i="2" s="1"/>
  <c r="CF38" i="2" s="1" a="1"/>
  <c r="CF38" i="2" s="1"/>
  <c r="I70" i="2" a="1"/>
  <c r="I70" i="2" s="1"/>
  <c r="R70" i="2" a="1"/>
  <c r="R70" i="2" s="1"/>
  <c r="F70" i="2" a="1"/>
  <c r="F70" i="2" s="1"/>
  <c r="U71" i="2" a="1"/>
  <c r="U71" i="2" s="1"/>
  <c r="E76" i="2" a="1"/>
  <c r="E76" i="2" s="1"/>
  <c r="U76" i="2" a="1"/>
  <c r="U76" i="2" s="1"/>
  <c r="E77" i="2" a="1"/>
  <c r="E77" i="2" s="1"/>
  <c r="AL78" i="2" a="1"/>
  <c r="AL78" i="2" s="1"/>
  <c r="T28" i="4" s="1" a="1"/>
  <c r="T28" i="4" s="1"/>
  <c r="AV78" i="2" a="1"/>
  <c r="AV78" i="2" s="1"/>
  <c r="L81" i="2" a="1"/>
  <c r="L81" i="2" s="1"/>
  <c r="CF45" i="2" s="1" a="1"/>
  <c r="CF45" i="2" s="1"/>
  <c r="T89" i="2" a="1"/>
  <c r="T89" i="2" s="1"/>
  <c r="I89" i="2" a="1"/>
  <c r="I89" i="2" s="1"/>
  <c r="H89" i="2" a="1"/>
  <c r="H89" i="2" s="1"/>
  <c r="R89" i="2" a="1"/>
  <c r="R89" i="2" s="1"/>
  <c r="E89" i="2" a="1"/>
  <c r="E89" i="2" s="1"/>
  <c r="Q89" i="2" a="1"/>
  <c r="Q89" i="2" s="1"/>
  <c r="O89" i="2" a="1"/>
  <c r="O89" i="2" s="1"/>
  <c r="CI47" i="2" s="1" a="1"/>
  <c r="CI47" i="2" s="1"/>
  <c r="CL47" i="2" s="1" a="1"/>
  <c r="CL47" i="2" s="1"/>
  <c r="K89" i="2" a="1"/>
  <c r="K89" i="2" s="1"/>
  <c r="N89" i="2" a="1"/>
  <c r="N89" i="2" s="1"/>
  <c r="L89" i="2" a="1"/>
  <c r="L89" i="2" s="1"/>
  <c r="F89" i="2" a="1"/>
  <c r="F89" i="2" s="1"/>
  <c r="BU47" i="2" s="1" a="1"/>
  <c r="BU47" i="2" s="1"/>
  <c r="BX47" i="2" s="1" a="1"/>
  <c r="BX47" i="2" s="1"/>
  <c r="N55" i="2" a="1"/>
  <c r="N55" i="2" s="1"/>
  <c r="U55" i="2" a="1"/>
  <c r="U55" i="2" s="1"/>
  <c r="O55" i="2" a="1"/>
  <c r="O55" i="2" s="1"/>
  <c r="CK33" i="2" s="1" a="1"/>
  <c r="CK33" i="2" s="1"/>
  <c r="O11" i="4" a="1"/>
  <c r="O11" i="4" s="1"/>
  <c r="B20" i="3" a="1"/>
  <c r="B20" i="3" s="1"/>
  <c r="BJ67" i="2" a="1"/>
  <c r="BJ67" i="2" s="1"/>
  <c r="F69" i="2" a="1"/>
  <c r="F69" i="2" s="1"/>
  <c r="U69" i="2" a="1"/>
  <c r="U69" i="2" s="1"/>
  <c r="F71" i="2" a="1"/>
  <c r="F71" i="2" s="1"/>
  <c r="E72" i="2" a="1"/>
  <c r="E72" i="2" s="1"/>
  <c r="E73" i="2" a="1"/>
  <c r="E73" i="2" s="1"/>
  <c r="F76" i="2" a="1"/>
  <c r="F76" i="2" s="1"/>
  <c r="E79" i="2" a="1"/>
  <c r="E79" i="2" s="1"/>
  <c r="BU43" i="2" s="1" a="1"/>
  <c r="BU43" i="2" s="1"/>
  <c r="BX43" i="2" s="1" a="1"/>
  <c r="BX43" i="2" s="1"/>
  <c r="L80" i="2" a="1"/>
  <c r="L80" i="2" s="1"/>
  <c r="U80" i="2" a="1"/>
  <c r="U80" i="2" s="1"/>
  <c r="K80" i="2" a="1"/>
  <c r="K80" i="2" s="1"/>
  <c r="F80" i="2" a="1"/>
  <c r="F80" i="2" s="1"/>
  <c r="I80" i="2" a="1"/>
  <c r="I80" i="2" s="1"/>
  <c r="H80" i="2" a="1"/>
  <c r="H80" i="2" s="1"/>
  <c r="E80" i="2" a="1"/>
  <c r="E80" i="2" s="1"/>
  <c r="R80" i="2" a="1"/>
  <c r="R80" i="2" s="1"/>
  <c r="O35" i="4" a="1"/>
  <c r="O35" i="4" s="1"/>
  <c r="B26" i="3" a="1"/>
  <c r="B26" i="3" s="1"/>
  <c r="E84" i="2" a="1"/>
  <c r="E84" i="2" s="1"/>
  <c r="H87" i="2" a="1"/>
  <c r="H87" i="2" s="1"/>
  <c r="AL64" i="2" a="1"/>
  <c r="AL64" i="2" s="1"/>
  <c r="T14" i="4" s="1" a="1"/>
  <c r="T14" i="4" s="1"/>
  <c r="E68" i="2" a="1"/>
  <c r="E68" i="2" s="1"/>
  <c r="T70" i="2" a="1"/>
  <c r="T70" i="2" s="1"/>
  <c r="H71" i="2" a="1"/>
  <c r="H71" i="2" s="1"/>
  <c r="CB39" i="2" s="1" a="1"/>
  <c r="CB39" i="2" s="1"/>
  <c r="T73" i="2" a="1"/>
  <c r="T73" i="2" s="1"/>
  <c r="O27" i="4" a="1"/>
  <c r="O27" i="4" s="1"/>
  <c r="B24" i="3" a="1"/>
  <c r="B24" i="3" s="1"/>
  <c r="N81" i="2" a="1"/>
  <c r="N81" i="2" s="1"/>
  <c r="I87" i="2" a="1"/>
  <c r="I87" i="2" s="1"/>
  <c r="O46" i="4" a="1"/>
  <c r="O46" i="4" s="1"/>
  <c r="B53" i="3" a="1"/>
  <c r="B53" i="3" s="1"/>
  <c r="C184" i="3" a="1"/>
  <c r="C184" i="3" s="1"/>
  <c r="AG106" i="2" a="1"/>
  <c r="AG106" i="2" s="1"/>
  <c r="N120" i="2" a="1"/>
  <c r="N120" i="2" s="1"/>
  <c r="AF121" i="2" s="1" a="1"/>
  <c r="AF121" i="2" s="1"/>
  <c r="C191" i="3" s="1" a="1"/>
  <c r="C191" i="3" s="1"/>
  <c r="M127" i="2" a="1"/>
  <c r="M127" i="2" s="1"/>
  <c r="AA127" i="2" s="1" a="1"/>
  <c r="AA127" i="2" s="1"/>
  <c r="AG113" i="2" a="1"/>
  <c r="AG113" i="2" s="1"/>
  <c r="C211" i="3" a="1"/>
  <c r="C211" i="3" s="1"/>
  <c r="C221" i="3" a="1"/>
  <c r="C221" i="3" s="1"/>
  <c r="B221" i="3" a="1"/>
  <c r="B221" i="3" s="1"/>
  <c r="Q97" i="2" a="1"/>
  <c r="Q97" i="2" s="1"/>
  <c r="E97" i="2" a="1"/>
  <c r="E97" i="2" s="1"/>
  <c r="O97" i="2" a="1"/>
  <c r="O97" i="2" s="1"/>
  <c r="U97" i="2" a="1"/>
  <c r="U97" i="2" s="1"/>
  <c r="I97" i="2" a="1"/>
  <c r="I97" i="2" s="1"/>
  <c r="M124" i="2" a="1"/>
  <c r="M124" i="2" s="1"/>
  <c r="AA124" i="2" s="1" a="1"/>
  <c r="AA124" i="2" s="1"/>
  <c r="AE16" i="4" s="1" a="1"/>
  <c r="AE16" i="4" s="1"/>
  <c r="AG112" i="2" a="1"/>
  <c r="AG112" i="2" s="1"/>
  <c r="C185" i="3" a="1"/>
  <c r="C185" i="3" s="1"/>
  <c r="C203" i="3" a="1"/>
  <c r="C203" i="3" s="1"/>
  <c r="B203" i="3" a="1"/>
  <c r="B203" i="3" s="1"/>
  <c r="R36" i="4" a="1"/>
  <c r="R36" i="4" s="1"/>
  <c r="L85" i="2" a="1"/>
  <c r="L85" i="2" s="1"/>
  <c r="R85" i="2" a="1"/>
  <c r="R85" i="2" s="1"/>
  <c r="O37" i="4" a="1"/>
  <c r="O37" i="4" s="1"/>
  <c r="N86" i="2" a="1"/>
  <c r="N86" i="2" s="1"/>
  <c r="T86" i="2" a="1"/>
  <c r="T86" i="2" s="1"/>
  <c r="H86" i="2" a="1"/>
  <c r="H86" i="2" s="1"/>
  <c r="B50" i="3" a="1"/>
  <c r="B50" i="3" s="1"/>
  <c r="R44" i="4" a="1"/>
  <c r="R44" i="4" s="1"/>
  <c r="B29" i="3" a="1"/>
  <c r="B29" i="3" s="1"/>
  <c r="O45" i="4" a="1"/>
  <c r="O45" i="4" s="1"/>
  <c r="B52" i="3" a="1"/>
  <c r="B52" i="3" s="1"/>
  <c r="N94" i="2" a="1"/>
  <c r="N94" i="2" s="1"/>
  <c r="T94" i="2" a="1"/>
  <c r="T94" i="2" s="1"/>
  <c r="H94" i="2" a="1"/>
  <c r="H94" i="2" s="1"/>
  <c r="L95" i="2" a="1"/>
  <c r="L95" i="2" s="1"/>
  <c r="O48" i="4" a="1"/>
  <c r="O48" i="4" s="1"/>
  <c r="B77" i="3" a="1"/>
  <c r="B77" i="3" s="1"/>
  <c r="C182" i="3" a="1"/>
  <c r="C182" i="3" s="1"/>
  <c r="C206" i="3" a="1"/>
  <c r="C206" i="3" s="1"/>
  <c r="B206" i="3" a="1"/>
  <c r="B206" i="3" s="1"/>
  <c r="C188" i="3" a="1"/>
  <c r="C188" i="3" s="1"/>
  <c r="C227" i="3" a="1"/>
  <c r="C227" i="3" s="1"/>
  <c r="O85" i="2" a="1"/>
  <c r="O85" i="2" s="1"/>
  <c r="F97" i="2" a="1"/>
  <c r="F97" i="2" s="1"/>
  <c r="BU51" i="2" s="1" a="1"/>
  <c r="BU51" i="2" s="1"/>
  <c r="N121" i="2" a="1"/>
  <c r="N121" i="2" s="1"/>
  <c r="AF120" i="2" s="1" a="1"/>
  <c r="AF120" i="2" s="1"/>
  <c r="C190" i="3" s="1" a="1"/>
  <c r="C190" i="3" s="1"/>
  <c r="AG104" i="2" a="1"/>
  <c r="AG104" i="2" s="1"/>
  <c r="AG105" i="2" a="1"/>
  <c r="AG105" i="2" s="1"/>
  <c r="N122" i="2" a="1"/>
  <c r="N122" i="2" s="1"/>
  <c r="AF122" i="2" s="1" a="1"/>
  <c r="AF122" i="2" s="1"/>
  <c r="C192" i="3" s="1" a="1"/>
  <c r="C192" i="3" s="1"/>
  <c r="N84" i="2" a="1"/>
  <c r="N84" i="2" s="1"/>
  <c r="U84" i="2" a="1"/>
  <c r="U84" i="2" s="1"/>
  <c r="K84" i="2" a="1"/>
  <c r="K84" i="2" s="1"/>
  <c r="T84" i="2" a="1"/>
  <c r="T84" i="2" s="1"/>
  <c r="I84" i="2" a="1"/>
  <c r="I84" i="2" s="1"/>
  <c r="Q84" i="2" a="1"/>
  <c r="Q84" i="2" s="1"/>
  <c r="AV86" i="2" a="1"/>
  <c r="AV86" i="2" s="1"/>
  <c r="AL89" i="2" a="1"/>
  <c r="AL89" i="2" s="1"/>
  <c r="AV89" i="2" a="1"/>
  <c r="AV89" i="2" s="1"/>
  <c r="Q95" i="2" a="1"/>
  <c r="Q95" i="2" s="1"/>
  <c r="K97" i="2" a="1"/>
  <c r="K97" i="2" s="1"/>
  <c r="AG109" i="2" a="1"/>
  <c r="AG109" i="2" s="1"/>
  <c r="N125" i="2" a="1"/>
  <c r="N125" i="2" s="1"/>
  <c r="AF125" i="2" s="1" a="1"/>
  <c r="AF125" i="2" s="1"/>
  <c r="C195" i="3" s="1" a="1"/>
  <c r="C195" i="3" s="1"/>
  <c r="AG111" i="2" a="1"/>
  <c r="AG111" i="2" s="1"/>
  <c r="N124" i="2" a="1"/>
  <c r="N124" i="2" s="1"/>
  <c r="AF124" i="2" s="1" a="1"/>
  <c r="AF124" i="2" s="1"/>
  <c r="C194" i="3" s="1" a="1"/>
  <c r="C194" i="3" s="1"/>
  <c r="O31" i="4" a="1"/>
  <c r="O31" i="4" s="1"/>
  <c r="B72" i="3" a="1"/>
  <c r="B72" i="3" s="1"/>
  <c r="R84" i="2" a="1"/>
  <c r="R84" i="2" s="1"/>
  <c r="M125" i="2" a="1"/>
  <c r="M125" i="2" s="1"/>
  <c r="AA125" i="2" s="1" a="1"/>
  <c r="AA125" i="2" s="1"/>
  <c r="AE22" i="4" s="1" a="1"/>
  <c r="AE22" i="4" s="1"/>
  <c r="AG110" i="2" a="1"/>
  <c r="AG110" i="2" s="1"/>
  <c r="Q86" i="2" a="1"/>
  <c r="Q86" i="2" s="1"/>
  <c r="L87" i="2" a="1"/>
  <c r="L87" i="2" s="1"/>
  <c r="R87" i="2" a="1"/>
  <c r="R87" i="2" s="1"/>
  <c r="E87" i="2" a="1"/>
  <c r="E87" i="2" s="1"/>
  <c r="Q87" i="2" a="1"/>
  <c r="Q87" i="2" s="1"/>
  <c r="U87" i="2" a="1"/>
  <c r="U87" i="2" s="1"/>
  <c r="L94" i="2" a="1"/>
  <c r="L94" i="2" s="1"/>
  <c r="L97" i="2" a="1"/>
  <c r="L97" i="2" s="1"/>
  <c r="AG108" i="2" a="1"/>
  <c r="AG108" i="2" s="1"/>
  <c r="Q64" i="2" a="1"/>
  <c r="Q64" i="2" s="1"/>
  <c r="H64" i="2" a="1"/>
  <c r="H64" i="2" s="1"/>
  <c r="O15" i="4" a="1"/>
  <c r="O15" i="4" s="1"/>
  <c r="B68" i="3" a="1"/>
  <c r="B68" i="3" s="1"/>
  <c r="BK68" i="2" a="1"/>
  <c r="BK68" i="2" s="1"/>
  <c r="BD68" i="2" a="1"/>
  <c r="BD68" i="2" s="1"/>
  <c r="O21" i="4" a="1"/>
  <c r="O21" i="4" s="1"/>
  <c r="B46" i="3" a="1"/>
  <c r="B46" i="3" s="1"/>
  <c r="T72" i="2" a="1"/>
  <c r="T72" i="2" s="1"/>
  <c r="I72" i="2" a="1"/>
  <c r="I72" i="2" s="1"/>
  <c r="N72" i="2" a="1"/>
  <c r="N72" i="2" s="1"/>
  <c r="N73" i="2" a="1"/>
  <c r="N73" i="2" s="1"/>
  <c r="R79" i="2" a="1"/>
  <c r="R79" i="2" s="1"/>
  <c r="H79" i="2" a="1"/>
  <c r="H79" i="2" s="1"/>
  <c r="Q79" i="2" a="1"/>
  <c r="Q79" i="2" s="1"/>
  <c r="U79" i="2" a="1"/>
  <c r="U79" i="2" s="1"/>
  <c r="F85" i="2" a="1"/>
  <c r="F85" i="2" s="1"/>
  <c r="T95" i="2" a="1"/>
  <c r="T95" i="2" s="1"/>
  <c r="I95" i="2" a="1"/>
  <c r="I95" i="2" s="1"/>
  <c r="K95" i="2" a="1"/>
  <c r="K95" i="2" s="1"/>
  <c r="U95" i="2" a="1"/>
  <c r="U95" i="2" s="1"/>
  <c r="H95" i="2" a="1"/>
  <c r="H95" i="2" s="1"/>
  <c r="N95" i="2" a="1"/>
  <c r="N95" i="2" s="1"/>
  <c r="O47" i="4" a="1"/>
  <c r="O47" i="4" s="1"/>
  <c r="N96" i="2" a="1"/>
  <c r="N96" i="2" s="1"/>
  <c r="B76" i="3" a="1"/>
  <c r="B76" i="3" s="1"/>
  <c r="N97" i="2" a="1"/>
  <c r="N97" i="2" s="1"/>
  <c r="AB49" i="4" a="1"/>
  <c r="AB49" i="4" s="1"/>
  <c r="AC46" i="4" a="1"/>
  <c r="AC46" i="4" s="1"/>
  <c r="AB42" i="4" a="1"/>
  <c r="AB42" i="4" s="1"/>
  <c r="AA40" i="4" a="1"/>
  <c r="AA40" i="4" s="1"/>
  <c r="AN37" i="4" a="1"/>
  <c r="AN37" i="4" s="1"/>
  <c r="AE34" i="4" a="1"/>
  <c r="AE34" i="4" s="1"/>
  <c r="AB33" i="4" a="1"/>
  <c r="AB33" i="4" s="1"/>
  <c r="AB46" i="4" a="1"/>
  <c r="AB46" i="4" s="1"/>
  <c r="AC45" i="4" a="1"/>
  <c r="AC45" i="4" s="1"/>
  <c r="AA43" i="4" a="1"/>
  <c r="AA43" i="4" s="1"/>
  <c r="AJ32" i="4" a="1"/>
  <c r="AJ32" i="4" s="1"/>
  <c r="AA31" i="4" a="1"/>
  <c r="AA31" i="4" s="1"/>
  <c r="AB30" i="4" a="1"/>
  <c r="AB30" i="4" s="1"/>
  <c r="AB45" i="4" a="1"/>
  <c r="AB45" i="4" s="1"/>
  <c r="AK44" i="4" a="1"/>
  <c r="AK44" i="4" s="1"/>
  <c r="AC48" i="4" a="1"/>
  <c r="AC48" i="4" s="1"/>
  <c r="AJ43" i="4" a="1"/>
  <c r="AJ43" i="4" s="1"/>
  <c r="AF40" i="4" a="1"/>
  <c r="AF40" i="4" s="1"/>
  <c r="AC36" i="4" a="1"/>
  <c r="AC36" i="4" s="1"/>
  <c r="AF47" i="4" a="1"/>
  <c r="AF47" i="4" s="1"/>
  <c r="AC42" i="4" a="1"/>
  <c r="AC42" i="4" s="1"/>
  <c r="AG41" i="4" a="1"/>
  <c r="AG41" i="4" s="1"/>
  <c r="AM37" i="4" a="1"/>
  <c r="AM37" i="4" s="1"/>
  <c r="AK32" i="4" a="1"/>
  <c r="AK32" i="4" s="1"/>
  <c r="AF28" i="4" a="1"/>
  <c r="AF28" i="4" s="1"/>
  <c r="AB43" i="4" a="1"/>
  <c r="AB43" i="4" s="1"/>
  <c r="AG40" i="4" a="1"/>
  <c r="AG40" i="4" s="1"/>
  <c r="AB34" i="4" a="1"/>
  <c r="AB34" i="4" s="1"/>
  <c r="AC31" i="4" a="1"/>
  <c r="AC31" i="4" s="1"/>
  <c r="AG29" i="4" a="1"/>
  <c r="AG29" i="4" s="1"/>
  <c r="AC25" i="4" a="1"/>
  <c r="AC25" i="4" s="1"/>
  <c r="AB24" i="4" a="1"/>
  <c r="AB24" i="4" s="1"/>
  <c r="AB48" i="4" a="1"/>
  <c r="AB48" i="4" s="1"/>
  <c r="AE47" i="4" a="1"/>
  <c r="AE47" i="4" s="1"/>
  <c r="AF41" i="4" a="1"/>
  <c r="AF41" i="4" s="1"/>
  <c r="AC37" i="4" a="1"/>
  <c r="AC37" i="4" s="1"/>
  <c r="AC49" i="4" a="1"/>
  <c r="AC49" i="4" s="1"/>
  <c r="AE41" i="4" a="1"/>
  <c r="AE41" i="4" s="1"/>
  <c r="AB37" i="4" a="1"/>
  <c r="AB37" i="4" s="1"/>
  <c r="AC33" i="4" a="1"/>
  <c r="AC33" i="4" s="1"/>
  <c r="AB31" i="4" a="1"/>
  <c r="AB31" i="4" s="1"/>
  <c r="AF46" i="4" a="1"/>
  <c r="AF46" i="4" s="1"/>
  <c r="AB36" i="4" a="1"/>
  <c r="AB36" i="4" s="1"/>
  <c r="AF34" i="4" a="1"/>
  <c r="AF34" i="4" s="1"/>
  <c r="AS32" i="4" a="1"/>
  <c r="AS32" i="4" s="1"/>
  <c r="AE28" i="4" a="1"/>
  <c r="AE28" i="4" s="1"/>
  <c r="AV25" i="4" a="1"/>
  <c r="AV25" i="4" s="1"/>
  <c r="AI43" i="4" a="1"/>
  <c r="AI43" i="4" s="1"/>
  <c r="AB22" i="4" a="1"/>
  <c r="AB22" i="4" s="1"/>
  <c r="AC19" i="4" a="1"/>
  <c r="AC19" i="4" s="1"/>
  <c r="AA16" i="4" a="1"/>
  <c r="AA16" i="4" s="1"/>
  <c r="AB15" i="4" a="1"/>
  <c r="AB15" i="4" s="1"/>
  <c r="AN13" i="4" a="1"/>
  <c r="AN13" i="4" s="1"/>
  <c r="AC39" i="4" a="1"/>
  <c r="AC39" i="4" s="1"/>
  <c r="AC34" i="4" a="1"/>
  <c r="AC34" i="4" s="1"/>
  <c r="AR32" i="4" a="1"/>
  <c r="AR32" i="4" s="1"/>
  <c r="AS31" i="4" a="1"/>
  <c r="AS31" i="4" s="1"/>
  <c r="AC28" i="4" a="1"/>
  <c r="AC28" i="4" s="1"/>
  <c r="AW26" i="4" a="1"/>
  <c r="AW26" i="4" s="1"/>
  <c r="AU25" i="4" a="1"/>
  <c r="AU25" i="4" s="1"/>
  <c r="AC43" i="4" a="1"/>
  <c r="AC43" i="4" s="1"/>
  <c r="AC21" i="4" a="1"/>
  <c r="AC21" i="4" s="1"/>
  <c r="AJ44" i="4" a="1"/>
  <c r="AJ44" i="4" s="1"/>
  <c r="AB39" i="4" a="1"/>
  <c r="AB39" i="4" s="1"/>
  <c r="AO38" i="4" a="1"/>
  <c r="AO38" i="4" s="1"/>
  <c r="AQ32" i="4" a="1"/>
  <c r="AQ32" i="4" s="1"/>
  <c r="AR31" i="4" a="1"/>
  <c r="AR31" i="4" s="1"/>
  <c r="AG35" i="4" a="1"/>
  <c r="AG35" i="4" s="1"/>
  <c r="AA28" i="4" a="1"/>
  <c r="AA28" i="4" s="1"/>
  <c r="AU26" i="4" a="1"/>
  <c r="AU26" i="4" s="1"/>
  <c r="AW25" i="4" a="1"/>
  <c r="AW25" i="4" s="1"/>
  <c r="AA19" i="4" a="1"/>
  <c r="AA19" i="4" s="1"/>
  <c r="AF16" i="4" a="1"/>
  <c r="AF16" i="4" s="1"/>
  <c r="AC13" i="4" a="1"/>
  <c r="AC13" i="4" s="1"/>
  <c r="AC9" i="4" a="1"/>
  <c r="AC9" i="4" s="1"/>
  <c r="AF4" i="4" a="1"/>
  <c r="AF4" i="4" s="1"/>
  <c r="AK43" i="4" a="1"/>
  <c r="AK43" i="4" s="1"/>
  <c r="AO37" i="4" a="1"/>
  <c r="AO37" i="4" s="1"/>
  <c r="AF35" i="4" a="1"/>
  <c r="AF35" i="4" s="1"/>
  <c r="AI32" i="4" a="1"/>
  <c r="AI32" i="4" s="1"/>
  <c r="AF22" i="4" a="1"/>
  <c r="AF22" i="4" s="1"/>
  <c r="AB3" i="4" a="1"/>
  <c r="AB3" i="4" s="1"/>
  <c r="AE35" i="4" a="1"/>
  <c r="AE35" i="4" s="1"/>
  <c r="AB25" i="4" a="1"/>
  <c r="AB25" i="4" s="1"/>
  <c r="AG23" i="4" a="1"/>
  <c r="AG23" i="4" s="1"/>
  <c r="AK20" i="4" a="1"/>
  <c r="AK20" i="4" s="1"/>
  <c r="AC18" i="4" a="1"/>
  <c r="AC18" i="4" s="1"/>
  <c r="AO14" i="4" a="1"/>
  <c r="AO14" i="4" s="1"/>
  <c r="AB13" i="4" a="1"/>
  <c r="AB13" i="4" s="1"/>
  <c r="AG10" i="4" a="1"/>
  <c r="AG10" i="4" s="1"/>
  <c r="AB9" i="4" a="1"/>
  <c r="AB9" i="4" s="1"/>
  <c r="AK7" i="4" a="1"/>
  <c r="AK7" i="4" s="1"/>
  <c r="AG5" i="4" a="1"/>
  <c r="AG5" i="4" s="1"/>
  <c r="AB21" i="4" a="1"/>
  <c r="AB21" i="4" s="1"/>
  <c r="AF10" i="4" a="1"/>
  <c r="AF10" i="4" s="1"/>
  <c r="AG46" i="4" a="1"/>
  <c r="AG46" i="4" s="1"/>
  <c r="AQ31" i="4" a="1"/>
  <c r="AQ31" i="4" s="1"/>
  <c r="AC24" i="4" a="1"/>
  <c r="AC24" i="4" s="1"/>
  <c r="AC27" i="4" a="1"/>
  <c r="AC27" i="4" s="1"/>
  <c r="AK19" i="4" a="1"/>
  <c r="AK19" i="4" s="1"/>
  <c r="AK31" i="4" a="1"/>
  <c r="AK31" i="4" s="1"/>
  <c r="AF29" i="4" a="1"/>
  <c r="AF29" i="4" s="1"/>
  <c r="AG47" i="4" a="1"/>
  <c r="AG47" i="4" s="1"/>
  <c r="AE40" i="4" a="1"/>
  <c r="AE40" i="4" s="1"/>
  <c r="AJ31" i="4" a="1"/>
  <c r="AJ31" i="4" s="1"/>
  <c r="AB27" i="4" a="1"/>
  <c r="AB27" i="4" s="1"/>
  <c r="AC40" i="4" a="1"/>
  <c r="AC40" i="4" s="1"/>
  <c r="AG34" i="4" a="1"/>
  <c r="AG34" i="4" s="1"/>
  <c r="AC30" i="4" a="1"/>
  <c r="AC30" i="4" s="1"/>
  <c r="AG22" i="4" a="1"/>
  <c r="AG22" i="4" s="1"/>
  <c r="AA10" i="4" a="1"/>
  <c r="AA10" i="4" s="1"/>
  <c r="AF5" i="4" a="1"/>
  <c r="AF5" i="4" s="1"/>
  <c r="AC22" i="4" a="1"/>
  <c r="AC22" i="4" s="1"/>
  <c r="AB7" i="4" a="1"/>
  <c r="AB7" i="4" s="1"/>
  <c r="AJ20" i="4" a="1"/>
  <c r="AJ20" i="4" s="1"/>
  <c r="AI20" i="4" a="1"/>
  <c r="AI20" i="4" s="1"/>
  <c r="AO13" i="4" a="1"/>
  <c r="AO13" i="4" s="1"/>
  <c r="AC12" i="4" a="1"/>
  <c r="AC12" i="4" s="1"/>
  <c r="AC6" i="4" a="1"/>
  <c r="AC6" i="4" s="1"/>
  <c r="AJ19" i="4" a="1"/>
  <c r="AJ19" i="4" s="1"/>
  <c r="AG17" i="4" a="1"/>
  <c r="AG17" i="4" s="1"/>
  <c r="AB40" i="4" a="1"/>
  <c r="AB40" i="4" s="1"/>
  <c r="AF23" i="4" a="1"/>
  <c r="AF23" i="4" s="1"/>
  <c r="AI19" i="4" a="1"/>
  <c r="AI19" i="4" s="1"/>
  <c r="AB28" i="4" a="1"/>
  <c r="AB28" i="4" s="1"/>
  <c r="AB16" i="4" a="1"/>
  <c r="AB16" i="4" s="1"/>
  <c r="AF11" i="4" a="1"/>
  <c r="AF11" i="4" s="1"/>
  <c r="AB10" i="4" a="1"/>
  <c r="AB10" i="4" s="1"/>
  <c r="AM14" i="4" a="1"/>
  <c r="AM14" i="4" s="1"/>
  <c r="AF17" i="4" a="1"/>
  <c r="AF17" i="4" s="1"/>
  <c r="AG4" i="4" a="1"/>
  <c r="AG4" i="4" s="1"/>
  <c r="AB19" i="4" a="1"/>
  <c r="AB19" i="4" s="1"/>
  <c r="AC15" i="4" a="1"/>
  <c r="AC15" i="4" s="1"/>
  <c r="AK8" i="4" a="1"/>
  <c r="AK8" i="4" s="1"/>
  <c r="AJ8" i="4" a="1"/>
  <c r="AJ8" i="4" s="1"/>
  <c r="AC4" i="4" a="1"/>
  <c r="AC4" i="4" s="1"/>
  <c r="AV26" i="4" a="1"/>
  <c r="AV26" i="4" s="1"/>
  <c r="AB6" i="4" a="1"/>
  <c r="AB6" i="4" s="1"/>
  <c r="AJ7" i="4" a="1"/>
  <c r="AJ7" i="4" s="1"/>
  <c r="AB4" i="4" a="1"/>
  <c r="AB4" i="4" s="1"/>
  <c r="AB18" i="4" a="1"/>
  <c r="AB18" i="4" s="1"/>
  <c r="AG16" i="4" a="1"/>
  <c r="AG16" i="4" s="1"/>
  <c r="AE10" i="4" a="1"/>
  <c r="AE10" i="4" s="1"/>
  <c r="AB12" i="4" a="1"/>
  <c r="AB12" i="4" s="1"/>
  <c r="AA13" i="4" a="1"/>
  <c r="AA13" i="4" s="1"/>
  <c r="AG11" i="4" a="1"/>
  <c r="AG11" i="4" s="1"/>
  <c r="AN14" i="4" a="1"/>
  <c r="AN14" i="4" s="1"/>
  <c r="AN38" i="4" a="1"/>
  <c r="AN38" i="4" s="1"/>
  <c r="AC16" i="4" a="1"/>
  <c r="AC16" i="4" s="1"/>
  <c r="AG28" i="4" a="1"/>
  <c r="AG28" i="4" s="1"/>
  <c r="AC10" i="4" a="1"/>
  <c r="AC10" i="4" s="1"/>
  <c r="AC7" i="4" a="1"/>
  <c r="AC7" i="4" s="1"/>
  <c r="AC3" i="4" a="1"/>
  <c r="AC3" i="4" s="1"/>
  <c r="AG102" i="2" a="1"/>
  <c r="AG102" i="2" s="1"/>
  <c r="AG103" i="2" a="1"/>
  <c r="AG103" i="2" s="1"/>
  <c r="M120" i="2" a="1"/>
  <c r="M120" i="2" s="1"/>
  <c r="AA121" i="2" s="1" a="1"/>
  <c r="AA121" i="2" s="1"/>
  <c r="AE4" i="4" s="1" a="1"/>
  <c r="AE4" i="4" s="1"/>
  <c r="AG120" i="2" a="1"/>
  <c r="AG120" i="2" s="1"/>
  <c r="N131" i="2" a="1"/>
  <c r="N131" i="2" s="1"/>
  <c r="AF131" i="2" s="1" a="1"/>
  <c r="AF131" i="2" s="1"/>
  <c r="C214" i="3" s="1" a="1"/>
  <c r="C214" i="3" s="1"/>
  <c r="AG134" i="2" a="1"/>
  <c r="AG134" i="2" s="1"/>
  <c r="N139" i="2" a="1"/>
  <c r="N139" i="2" s="1"/>
  <c r="AF139" i="2" s="1" a="1"/>
  <c r="AF139" i="2" s="1"/>
  <c r="C229" i="3" s="1" a="1"/>
  <c r="C229" i="3" s="1"/>
  <c r="N64" i="2" a="1"/>
  <c r="N64" i="2" s="1"/>
  <c r="CI36" i="2" s="1" a="1"/>
  <c r="CI36" i="2" s="1"/>
  <c r="CL36" i="2" s="1" a="1"/>
  <c r="CL36" i="2" s="1"/>
  <c r="O73" i="2" a="1"/>
  <c r="O73" i="2" s="1"/>
  <c r="CI39" i="2" s="1" a="1"/>
  <c r="CI39" i="2" s="1"/>
  <c r="CL39" i="2" s="1" a="1"/>
  <c r="CL39" i="2" s="1"/>
  <c r="O32" i="4" a="1"/>
  <c r="O32" i="4" s="1"/>
  <c r="B73" i="3" a="1"/>
  <c r="B73" i="3" s="1"/>
  <c r="F84" i="2" a="1"/>
  <c r="F84" i="2" s="1"/>
  <c r="U85" i="2" a="1"/>
  <c r="U85" i="2" s="1"/>
  <c r="F87" i="2" a="1"/>
  <c r="F87" i="2" s="1"/>
  <c r="BU49" i="2" s="1" a="1"/>
  <c r="BU49" i="2" s="1"/>
  <c r="BX49" i="2" s="1" a="1"/>
  <c r="BX49" i="2" s="1"/>
  <c r="R47" i="4" a="1"/>
  <c r="R47" i="4" s="1"/>
  <c r="U96" i="2" a="1"/>
  <c r="U96" i="2" s="1"/>
  <c r="I96" i="2" a="1"/>
  <c r="I96" i="2" s="1"/>
  <c r="C213" i="3" a="1"/>
  <c r="C213" i="3" s="1"/>
  <c r="B247" i="3" a="1"/>
  <c r="B247" i="3" s="1"/>
  <c r="C247" i="3" a="1"/>
  <c r="C247" i="3" s="1"/>
  <c r="C240" i="3" a="1"/>
  <c r="C240" i="3" s="1"/>
  <c r="BO44" i="4" a="1"/>
  <c r="BO44" i="4" s="1"/>
  <c r="BO40" i="4" a="1"/>
  <c r="BO40" i="4" s="1"/>
  <c r="BO51" i="4" a="1"/>
  <c r="BO51" i="4" s="1"/>
  <c r="BO47" i="4" a="1"/>
  <c r="BO47" i="4" s="1"/>
  <c r="BO43" i="4" a="1"/>
  <c r="BO43" i="4" s="1"/>
  <c r="BO48" i="4" a="1"/>
  <c r="BO48" i="4" s="1"/>
  <c r="BO50" i="4" a="1"/>
  <c r="BO50" i="4" s="1"/>
  <c r="BO39" i="4" a="1"/>
  <c r="BO39" i="4" s="1"/>
  <c r="BO42" i="4" a="1"/>
  <c r="BO42" i="4" s="1"/>
  <c r="BO29" i="4" a="1"/>
  <c r="BO29" i="4" s="1"/>
  <c r="BO25" i="4" a="1"/>
  <c r="BO25" i="4" s="1"/>
  <c r="BO41" i="4" a="1"/>
  <c r="BO41" i="4" s="1"/>
  <c r="BO33" i="4" a="1"/>
  <c r="BO33" i="4" s="1"/>
  <c r="BO45" i="4" a="1"/>
  <c r="BO45" i="4" s="1"/>
  <c r="BO49" i="4" a="1"/>
  <c r="BO49" i="4" s="1"/>
  <c r="BO26" i="4" a="1"/>
  <c r="BO26" i="4" s="1"/>
  <c r="BO20" i="4" a="1"/>
  <c r="BO20" i="4" s="1"/>
  <c r="BO17" i="4" a="1"/>
  <c r="BO17" i="4" s="1"/>
  <c r="BO14" i="4" a="1"/>
  <c r="BO14" i="4" s="1"/>
  <c r="BO34" i="4" a="1"/>
  <c r="BO34" i="4" s="1"/>
  <c r="BO32" i="4" a="1"/>
  <c r="BO32" i="4" s="1"/>
  <c r="BO22" i="4" a="1"/>
  <c r="BO22" i="4" s="1"/>
  <c r="BO36" i="4" a="1"/>
  <c r="BO36" i="4" s="1"/>
  <c r="BO46" i="4" a="1"/>
  <c r="BO46" i="4" s="1"/>
  <c r="BO37" i="4" a="1"/>
  <c r="BO37" i="4" s="1"/>
  <c r="BO16" i="4" a="1"/>
  <c r="BO16" i="4" s="1"/>
  <c r="BO10" i="4" a="1"/>
  <c r="BO10" i="4" s="1"/>
  <c r="BO9" i="4" a="1"/>
  <c r="BO9" i="4" s="1"/>
  <c r="BO5" i="4" a="1"/>
  <c r="BO5" i="4" s="1"/>
  <c r="BO30" i="4" a="1"/>
  <c r="BO30" i="4" s="1"/>
  <c r="BO28" i="4" a="1"/>
  <c r="BO28" i="4" s="1"/>
  <c r="BO18" i="4" a="1"/>
  <c r="BO18" i="4" s="1"/>
  <c r="BO7" i="4" a="1"/>
  <c r="BO7" i="4" s="1"/>
  <c r="BO11" i="4" a="1"/>
  <c r="BO11" i="4" s="1"/>
  <c r="BO21" i="4" a="1"/>
  <c r="BO21" i="4" s="1"/>
  <c r="BO24" i="4" a="1"/>
  <c r="BO24" i="4" s="1"/>
  <c r="BO38" i="4" a="1"/>
  <c r="BO38" i="4" s="1"/>
  <c r="BO8" i="4" a="1"/>
  <c r="BO8" i="4" s="1"/>
  <c r="BO23" i="4" a="1"/>
  <c r="BO23" i="4" s="1"/>
  <c r="BO13" i="4" a="1"/>
  <c r="BO13" i="4" s="1"/>
  <c r="BO12" i="4" a="1"/>
  <c r="BO12" i="4" s="1"/>
  <c r="BO35" i="4" a="1"/>
  <c r="BO35" i="4" s="1"/>
  <c r="BO31" i="4" a="1"/>
  <c r="BO31" i="4" s="1"/>
  <c r="BO27" i="4" a="1"/>
  <c r="BO27" i="4" s="1"/>
  <c r="BO6" i="4" a="1"/>
  <c r="BO6" i="4" s="1"/>
  <c r="BO19" i="4" a="1"/>
  <c r="BO19" i="4" s="1"/>
  <c r="BO15" i="4" a="1"/>
  <c r="BO15" i="4" s="1"/>
  <c r="M138" i="2" a="1"/>
  <c r="M138" i="2" s="1"/>
  <c r="AA138" i="2" s="1" a="1"/>
  <c r="AA138" i="2" s="1"/>
  <c r="M133" i="2" a="1"/>
  <c r="M133" i="2" s="1"/>
  <c r="AA133" i="2" s="1" a="1"/>
  <c r="AA133" i="2" s="1"/>
  <c r="AI31" i="4" s="1" a="1"/>
  <c r="AI31" i="4" s="1"/>
  <c r="BO4" i="4" a="1"/>
  <c r="BO4" i="4" s="1"/>
  <c r="L78" i="2" a="1"/>
  <c r="L78" i="2" s="1"/>
  <c r="AZ25" i="4" a="1"/>
  <c r="AZ25" i="4" s="1"/>
  <c r="C252" i="3" a="1"/>
  <c r="C252" i="3" s="1"/>
  <c r="O36" i="4" a="1"/>
  <c r="O36" i="4" s="1"/>
  <c r="B27" i="3" a="1"/>
  <c r="B27" i="3" s="1"/>
  <c r="O39" i="4" a="1"/>
  <c r="O39" i="4" s="1"/>
  <c r="B74" i="3" a="1"/>
  <c r="B74" i="3" s="1"/>
  <c r="U94" i="2" a="1"/>
  <c r="U94" i="2" s="1"/>
  <c r="K94" i="2" a="1"/>
  <c r="K94" i="2" s="1"/>
  <c r="O94" i="2" a="1"/>
  <c r="O94" i="2" s="1"/>
  <c r="R96" i="2" a="1"/>
  <c r="R96" i="2" s="1"/>
  <c r="H96" i="2" a="1"/>
  <c r="H96" i="2" s="1"/>
  <c r="F96" i="2" a="1"/>
  <c r="F96" i="2" s="1"/>
  <c r="BW53" i="2" s="1" a="1"/>
  <c r="BW53" i="2" s="1"/>
  <c r="O96" i="2" a="1"/>
  <c r="O96" i="2" s="1"/>
  <c r="CK53" i="2" s="1" a="1"/>
  <c r="CK53" i="2" s="1"/>
  <c r="M131" i="2" a="1"/>
  <c r="M131" i="2" s="1"/>
  <c r="AA131" i="2" s="1" a="1"/>
  <c r="AA131" i="2" s="1"/>
  <c r="AG121" i="2" a="1"/>
  <c r="AG121" i="2" s="1"/>
  <c r="AG152" i="2" a="1"/>
  <c r="AG152" i="2" s="1"/>
  <c r="O29" i="4" a="1"/>
  <c r="O29" i="4" s="1"/>
  <c r="B48" i="3" a="1"/>
  <c r="B48" i="3" s="1"/>
  <c r="N85" i="2" a="1"/>
  <c r="N85" i="2" s="1"/>
  <c r="CI49" i="2" s="1" a="1"/>
  <c r="CI49" i="2" s="1"/>
  <c r="CL49" i="2" s="1" a="1"/>
  <c r="CL49" i="2" s="1"/>
  <c r="Q94" i="2" a="1"/>
  <c r="Q94" i="2" s="1"/>
  <c r="Q96" i="2" a="1"/>
  <c r="Q96" i="2" s="1"/>
  <c r="AG126" i="2" a="1"/>
  <c r="AG126" i="2" s="1"/>
  <c r="M143" i="2" a="1"/>
  <c r="M143" i="2" s="1"/>
  <c r="AG138" i="2" a="1"/>
  <c r="AG138" i="2" s="1"/>
  <c r="C236" i="3" a="1"/>
  <c r="C236" i="3" s="1"/>
  <c r="B244" i="3" a="1"/>
  <c r="B244" i="3" s="1"/>
  <c r="C244" i="3" a="1"/>
  <c r="C244" i="3" s="1"/>
  <c r="AG150" i="2" a="1"/>
  <c r="AG150" i="2" s="1"/>
  <c r="M147" i="2" a="1"/>
  <c r="M147" i="2" s="1"/>
  <c r="BB23" i="4" a="1"/>
  <c r="BB23" i="4" s="1"/>
  <c r="AG151" i="2" a="1"/>
  <c r="AG151" i="2" s="1"/>
  <c r="C251" i="3" a="1"/>
  <c r="C251" i="3" s="1"/>
  <c r="CL15" i="2" l="1" a="1"/>
  <c r="CL15" i="2" s="1"/>
  <c r="CL18" i="2" a="1"/>
  <c r="CL18" i="2" s="1"/>
  <c r="CP53" i="2" a="1"/>
  <c r="CP53" i="2" s="1"/>
  <c r="AQ8" i="2" a="1"/>
  <c r="AQ8" i="2" s="1"/>
  <c r="CA45" i="2" a="1"/>
  <c r="CA45" i="2" s="1"/>
  <c r="BH58" i="2" a="1"/>
  <c r="BH58" i="2" s="1"/>
  <c r="CF25" i="2" a="1"/>
  <c r="CF25" i="2" s="1"/>
  <c r="BX18" i="2" a="1"/>
  <c r="BX18" i="2" s="1"/>
  <c r="BW36" i="2" a="1"/>
  <c r="BW36" i="2" s="1"/>
  <c r="CO32" i="2" a="1"/>
  <c r="CO32" i="2" s="1"/>
  <c r="CF15" i="2" a="1"/>
  <c r="CF15" i="2" s="1"/>
  <c r="CB14" i="2" a="1"/>
  <c r="CB14" i="2" s="1"/>
  <c r="CI38" i="2" a="1"/>
  <c r="CI38" i="2" s="1"/>
  <c r="CL38" i="2" s="1" a="1"/>
  <c r="CL38" i="2" s="1"/>
  <c r="CL17" i="2" a="1"/>
  <c r="CL17" i="2" s="1"/>
  <c r="CB49" i="2" a="1"/>
  <c r="CB49" i="2" s="1"/>
  <c r="CP31" i="2" a="1"/>
  <c r="CP31" i="2" s="1"/>
  <c r="BX24" i="2" a="1"/>
  <c r="BX24" i="2" s="1"/>
  <c r="CT29" i="2" a="1"/>
  <c r="CT29" i="2" s="1"/>
  <c r="CO10" i="2" a="1"/>
  <c r="CO10" i="2" s="1"/>
  <c r="BX40" i="2" a="1"/>
  <c r="BX40" i="2" s="1"/>
  <c r="AE5" i="4" a="1"/>
  <c r="AE5" i="4" s="1"/>
  <c r="CA48" i="2" a="1"/>
  <c r="CA48" i="2" s="1"/>
  <c r="CI51" i="2" a="1"/>
  <c r="CI51" i="2" s="1"/>
  <c r="CL51" i="2" s="1" a="1"/>
  <c r="CL51" i="2" s="1"/>
  <c r="BL61" i="2" a="1"/>
  <c r="BL61" i="2" s="1"/>
  <c r="AE17" i="4" a="1"/>
  <c r="AE17" i="4" s="1"/>
  <c r="CO21" i="2" a="1"/>
  <c r="CO21" i="2" s="1"/>
  <c r="BU19" i="2" a="1"/>
  <c r="BU19" i="2" s="1"/>
  <c r="CF53" i="2" a="1"/>
  <c r="CF53" i="2" s="1"/>
  <c r="CP49" i="2" a="1"/>
  <c r="CP49" i="2" s="1"/>
  <c r="CF49" i="2" a="1"/>
  <c r="CF49" i="2" s="1"/>
  <c r="BF66" i="2" a="1"/>
  <c r="BF66" i="2" s="1"/>
  <c r="BK58" i="2" a="1"/>
  <c r="BK58" i="2" s="1"/>
  <c r="CP13" i="2" a="1"/>
  <c r="CP13" i="2" s="1"/>
  <c r="BG58" i="2" a="1"/>
  <c r="BG58" i="2" s="1"/>
  <c r="BL58" i="2" a="1"/>
  <c r="BL58" i="2" s="1"/>
  <c r="CK23" i="2" a="1"/>
  <c r="CK23" i="2" s="1"/>
  <c r="CO46" i="2" a="1"/>
  <c r="CO46" i="2" s="1"/>
  <c r="CP38" i="2" a="1"/>
  <c r="CP38" i="2" s="1"/>
  <c r="BW45" i="2" a="1"/>
  <c r="BW45" i="2" s="1"/>
  <c r="CT9" i="2" a="1"/>
  <c r="CT9" i="2" s="1"/>
  <c r="CB6" i="2" a="1"/>
  <c r="CB6" i="2" s="1"/>
  <c r="C202" i="3" a="1"/>
  <c r="C202" i="3" s="1"/>
  <c r="CT33" i="2" a="1"/>
  <c r="CT33" i="2" s="1"/>
  <c r="BU38" i="2" a="1"/>
  <c r="BU38" i="2" s="1"/>
  <c r="BX38" i="2" s="1" a="1"/>
  <c r="BX38" i="2" s="1"/>
  <c r="CB44" i="2" a="1"/>
  <c r="CB44" i="2" s="1"/>
  <c r="CL16" i="2" a="1"/>
  <c r="CL16" i="2" s="1"/>
  <c r="BX45" i="2" a="1"/>
  <c r="BX45" i="2" s="1"/>
  <c r="BX7" i="2" a="1"/>
  <c r="BX7" i="2" s="1"/>
  <c r="CA35" i="2" a="1"/>
  <c r="CA35" i="2" s="1"/>
  <c r="CL40" i="2" a="1"/>
  <c r="CL40" i="2" s="1"/>
  <c r="BU42" i="2" a="1"/>
  <c r="BU42" i="2" s="1"/>
  <c r="BX42" i="2" s="1" a="1"/>
  <c r="BX42" i="2" s="1"/>
  <c r="CF30" i="2" a="1"/>
  <c r="CF30" i="2" s="1"/>
  <c r="BU46" i="2" a="1"/>
  <c r="BU46" i="2" s="1"/>
  <c r="BX46" i="2" s="1" a="1"/>
  <c r="BX46" i="2" s="1"/>
  <c r="BX51" i="2" a="1"/>
  <c r="BX51" i="2" s="1"/>
  <c r="CT22" i="2" a="1"/>
  <c r="CT22" i="2" s="1"/>
  <c r="CA32" i="2" a="1"/>
  <c r="CA32" i="2" s="1"/>
  <c r="CK45" i="2" a="1"/>
  <c r="CK45" i="2" s="1"/>
  <c r="BU34" i="2" a="1"/>
  <c r="BU34" i="2" s="1"/>
  <c r="BX34" i="2" s="1" a="1"/>
  <c r="BX34" i="2" s="1"/>
  <c r="CO30" i="2" a="1"/>
  <c r="CO30" i="2" s="1"/>
  <c r="CF23" i="2" a="1"/>
  <c r="CF23" i="2" s="1"/>
  <c r="CA16" i="2" a="1"/>
  <c r="CA16" i="2" s="1"/>
  <c r="CT7" i="2" a="1"/>
  <c r="CT7" i="2" s="1"/>
  <c r="CP45" i="2" a="1"/>
  <c r="CP45" i="2" s="1"/>
  <c r="CP37" i="2" a="1"/>
  <c r="CP37" i="2" s="1"/>
  <c r="CF35" i="2" a="1"/>
  <c r="CF35" i="2" s="1"/>
  <c r="CA19" i="2" a="1"/>
  <c r="CA19" i="2" s="1"/>
  <c r="CF9" i="2" a="1"/>
  <c r="CF9" i="2" s="1"/>
  <c r="CO11" i="2" a="1"/>
  <c r="CO11" i="2" s="1"/>
  <c r="CA38" i="2" a="1"/>
  <c r="CA38" i="2" s="1"/>
  <c r="BW32" i="2" a="1"/>
  <c r="BW32" i="2" s="1"/>
  <c r="CA31" i="2" a="1"/>
  <c r="CA31" i="2" s="1"/>
  <c r="CF27" i="2" a="1"/>
  <c r="CF27" i="2" s="1"/>
  <c r="BX21" i="2" a="1"/>
  <c r="BX21" i="2" s="1"/>
  <c r="CT6" i="2" a="1"/>
  <c r="CT6" i="2" s="1"/>
  <c r="CT41" i="2" a="1"/>
  <c r="CT41" i="2" s="1"/>
  <c r="CF42" i="2" a="1"/>
  <c r="CF42" i="2" s="1"/>
  <c r="CI34" i="2" a="1"/>
  <c r="CI34" i="2" s="1"/>
  <c r="CL34" i="2" s="1" a="1"/>
  <c r="CL34" i="2" s="1"/>
  <c r="CK9" i="2" a="1"/>
  <c r="CK9" i="2" s="1"/>
  <c r="CI8" i="2" a="1"/>
  <c r="CI8" i="2" s="1"/>
  <c r="CL8" i="2" s="1" a="1"/>
  <c r="CL8" i="2" s="1"/>
  <c r="CF40" i="2" a="1"/>
  <c r="CF40" i="2" s="1"/>
  <c r="CA52" i="2" a="1"/>
  <c r="CA52" i="2" s="1"/>
  <c r="CP29" i="2" a="1"/>
  <c r="CP29" i="2" s="1"/>
  <c r="CI22" i="2" a="1"/>
  <c r="CI22" i="2" s="1"/>
  <c r="CL22" i="2" s="1" a="1"/>
  <c r="CL22" i="2" s="1"/>
  <c r="CA24" i="2" a="1"/>
  <c r="CA24" i="2" s="1"/>
  <c r="CI19" i="2" a="1"/>
  <c r="CI19" i="2" s="1"/>
  <c r="CK20" i="2" a="1"/>
  <c r="CK20" i="2" s="1"/>
  <c r="CF16" i="2" a="1"/>
  <c r="CF16" i="2" s="1"/>
  <c r="CO8" i="2" a="1"/>
  <c r="CO8" i="2" s="1"/>
  <c r="CA46" i="2" a="1"/>
  <c r="CA46" i="2" s="1"/>
  <c r="CF39" i="2" a="1"/>
  <c r="CF39" i="2" s="1"/>
  <c r="CP9" i="2" a="1"/>
  <c r="CP9" i="2" s="1"/>
  <c r="CL7" i="2" a="1"/>
  <c r="CL7" i="2" s="1"/>
  <c r="CK18" i="2" a="1"/>
  <c r="CK18" i="2" s="1"/>
  <c r="CO14" i="2" a="1"/>
  <c r="CO14" i="2" s="1"/>
  <c r="CT30" i="2" a="1"/>
  <c r="CT30" i="2" s="1"/>
  <c r="BW47" i="2" a="1"/>
  <c r="BW47" i="2" s="1"/>
  <c r="CO42" i="2" a="1"/>
  <c r="CO42" i="2" s="1"/>
  <c r="CK36" i="2" a="1"/>
  <c r="CK36" i="2" s="1"/>
  <c r="CK28" i="2" a="1"/>
  <c r="CK28" i="2" s="1"/>
  <c r="CI25" i="2" a="1"/>
  <c r="CI25" i="2" s="1"/>
  <c r="CL25" i="2" s="1" a="1"/>
  <c r="CL25" i="2" s="1"/>
  <c r="CO24" i="2" a="1"/>
  <c r="CO24" i="2" s="1"/>
  <c r="BU22" i="2" a="1"/>
  <c r="BU22" i="2" s="1"/>
  <c r="BX22" i="2" s="1" a="1"/>
  <c r="BX22" i="2" s="1"/>
  <c r="CF20" i="2" a="1"/>
  <c r="CF20" i="2" s="1"/>
  <c r="CL14" i="2" a="1"/>
  <c r="CL14" i="2" s="1"/>
  <c r="BL62" i="2" a="1"/>
  <c r="BL62" i="2" s="1"/>
  <c r="CT37" i="2" a="1"/>
  <c r="CT37" i="2" s="1"/>
  <c r="CA17" i="2" a="1"/>
  <c r="CA17" i="2" s="1"/>
  <c r="CT48" i="2" a="1"/>
  <c r="CT48" i="2" s="1"/>
  <c r="BW48" i="2" a="1"/>
  <c r="BW48" i="2" s="1"/>
  <c r="CP43" i="2" a="1"/>
  <c r="CP43" i="2" s="1"/>
  <c r="CT40" i="2" a="1"/>
  <c r="CT40" i="2" s="1"/>
  <c r="CT42" i="2" a="1"/>
  <c r="CT42" i="2" s="1"/>
  <c r="BW16" i="2" a="1"/>
  <c r="BW16" i="2" s="1"/>
  <c r="CF12" i="2" a="1"/>
  <c r="CF12" i="2" s="1"/>
  <c r="CP7" i="2" a="1"/>
  <c r="CP7" i="2" s="1"/>
  <c r="BW40" i="2" a="1"/>
  <c r="BW40" i="2" s="1"/>
  <c r="CI41" i="2" a="1"/>
  <c r="CI41" i="2" s="1"/>
  <c r="CL41" i="2" s="1" a="1"/>
  <c r="CL41" i="2" s="1"/>
  <c r="BW18" i="2" a="1"/>
  <c r="BW18" i="2" s="1"/>
  <c r="CA37" i="2" a="1"/>
  <c r="CA37" i="2" s="1"/>
  <c r="AE23" i="4" a="1"/>
  <c r="AE23" i="4" s="1"/>
  <c r="AI44" i="4" a="1"/>
  <c r="AI44" i="4" s="1"/>
  <c r="CF51" i="2" a="1"/>
  <c r="CF51" i="2" s="1"/>
  <c r="CT47" i="2" a="1"/>
  <c r="CT47" i="2" s="1"/>
  <c r="BF59" i="2" a="1"/>
  <c r="BF59" i="2" s="1"/>
  <c r="CP15" i="2" a="1"/>
  <c r="CP15" i="2" s="1"/>
  <c r="BX20" i="2" a="1"/>
  <c r="BX20" i="2" s="1"/>
  <c r="CC26" i="2" a="1"/>
  <c r="CC26" i="2" s="1"/>
  <c r="CT53" i="2" a="1"/>
  <c r="CT53" i="2" s="1"/>
  <c r="CT49" i="2" a="1"/>
  <c r="CT49" i="2" s="1"/>
  <c r="CT46" i="2" a="1"/>
  <c r="CT46" i="2" s="1"/>
  <c r="CO47" i="2" a="1"/>
  <c r="CO47" i="2" s="1"/>
  <c r="CT39" i="2" a="1"/>
  <c r="CT39" i="2" s="1"/>
  <c r="CK52" i="2" a="1"/>
  <c r="CK52" i="2" s="1"/>
  <c r="BW35" i="2" a="1"/>
  <c r="BW35" i="2" s="1"/>
  <c r="BF58" i="2" a="1"/>
  <c r="BF58" i="2" s="1"/>
  <c r="CI31" i="2" a="1"/>
  <c r="CI31" i="2" s="1"/>
  <c r="CL31" i="2" s="1" a="1"/>
  <c r="CL31" i="2" s="1"/>
  <c r="CP27" i="2" a="1"/>
  <c r="CP27" i="2" s="1"/>
  <c r="CF28" i="2" a="1"/>
  <c r="CF28" i="2" s="1"/>
  <c r="CT24" i="2" a="1"/>
  <c r="CT24" i="2" s="1"/>
  <c r="CB25" i="2" a="1"/>
  <c r="CB25" i="2" s="1"/>
  <c r="CB23" i="2" a="1"/>
  <c r="CB23" i="2" s="1"/>
  <c r="CT20" i="2" a="1"/>
  <c r="CT20" i="2" s="1"/>
  <c r="CF19" i="2" a="1"/>
  <c r="CF19" i="2" s="1"/>
  <c r="CB10" i="2" a="1"/>
  <c r="CB10" i="2" s="1"/>
  <c r="CA51" i="2" a="1"/>
  <c r="CA51" i="2" s="1"/>
  <c r="BW39" i="2" a="1"/>
  <c r="BW39" i="2" s="1"/>
  <c r="CT43" i="2" a="1"/>
  <c r="CT43" i="2" s="1"/>
  <c r="BU44" i="2" a="1"/>
  <c r="BU44" i="2" s="1"/>
  <c r="BX44" i="2" s="1" a="1"/>
  <c r="BX44" i="2" s="1"/>
  <c r="CO50" i="2" a="1"/>
  <c r="CO50" i="2" s="1"/>
  <c r="CK32" i="2" a="1"/>
  <c r="CK32" i="2" s="1"/>
  <c r="CK39" i="2" a="1"/>
  <c r="CK39" i="2" s="1"/>
  <c r="CF44" i="2" a="1"/>
  <c r="CF44" i="2" s="1"/>
  <c r="CT23" i="2" a="1"/>
  <c r="CT23" i="2" s="1"/>
  <c r="CB22" i="2" a="1"/>
  <c r="CB22" i="2" s="1"/>
  <c r="CT15" i="2" a="1"/>
  <c r="CT15" i="2" s="1"/>
  <c r="CJ13" i="2" a="1"/>
  <c r="CJ13" i="2" s="1"/>
  <c r="CO6" i="2" a="1"/>
  <c r="CO6" i="2" s="1"/>
  <c r="CQ6" i="2" s="1" a="1"/>
  <c r="CQ6" i="2" s="1"/>
  <c r="AM38" i="4" a="1"/>
  <c r="AM38" i="4" s="1"/>
  <c r="CK47" i="2" a="1"/>
  <c r="CK47" i="2" s="1"/>
  <c r="CB53" i="2" a="1"/>
  <c r="CB53" i="2" s="1"/>
  <c r="CT51" i="2" a="1"/>
  <c r="CT51" i="2" s="1"/>
  <c r="B202" i="3" a="1"/>
  <c r="B202" i="3" s="1"/>
  <c r="CF43" i="2" a="1"/>
  <c r="CF43" i="2" s="1"/>
  <c r="CB47" i="2" a="1"/>
  <c r="CB47" i="2" s="1"/>
  <c r="CT38" i="2" a="1"/>
  <c r="CT38" i="2" s="1"/>
  <c r="CO39" i="2" a="1"/>
  <c r="CO39" i="2" s="1"/>
  <c r="CB30" i="2" a="1"/>
  <c r="CB30" i="2" s="1"/>
  <c r="BU27" i="2" a="1"/>
  <c r="BU27" i="2" s="1"/>
  <c r="BX27" i="2" s="1" a="1"/>
  <c r="BX27" i="2" s="1"/>
  <c r="BW29" i="2" a="1"/>
  <c r="BW29" i="2" s="1"/>
  <c r="CB20" i="2" a="1"/>
  <c r="CB20" i="2" s="1"/>
  <c r="CT21" i="2" a="1"/>
  <c r="CT21" i="2" s="1"/>
  <c r="CP17" i="2" a="1"/>
  <c r="CP17" i="2" s="1"/>
  <c r="BX10" i="2" a="1"/>
  <c r="BX10" i="2" s="1"/>
  <c r="CP14" i="2" a="1"/>
  <c r="CP14" i="2" s="1"/>
  <c r="BX6" i="2" a="1"/>
  <c r="BX6" i="2" s="1"/>
  <c r="CP22" i="2" a="1"/>
  <c r="CP22" i="2" s="1"/>
  <c r="CQ22" i="2" s="1" a="1"/>
  <c r="CQ22" i="2" s="1"/>
  <c r="CL32" i="2" a="1"/>
  <c r="CL32" i="2" s="1"/>
  <c r="CA18" i="2" a="1"/>
  <c r="CA18" i="2" s="1"/>
  <c r="CI50" i="2" a="1"/>
  <c r="CI50" i="2" s="1"/>
  <c r="CL50" i="2" s="1" a="1"/>
  <c r="CL50" i="2" s="1"/>
  <c r="CT45" i="2" a="1"/>
  <c r="CT45" i="2" s="1"/>
  <c r="CO48" i="2" a="1"/>
  <c r="CO48" i="2" s="1"/>
  <c r="CT52" i="2" a="1"/>
  <c r="CT52" i="2" s="1"/>
  <c r="CB42" i="2" a="1"/>
  <c r="CB42" i="2" s="1"/>
  <c r="CP36" i="2" a="1"/>
  <c r="CP36" i="2" s="1"/>
  <c r="CF31" i="2" a="1"/>
  <c r="CF31" i="2" s="1"/>
  <c r="CB29" i="2" a="1"/>
  <c r="CB29" i="2" s="1"/>
  <c r="CF22" i="2" a="1"/>
  <c r="CF22" i="2" s="1"/>
  <c r="CO19" i="2" a="1"/>
  <c r="CO19" i="2" s="1"/>
  <c r="BL66" i="2" a="1"/>
  <c r="BL66" i="2" s="1"/>
  <c r="CB7" i="2" a="1"/>
  <c r="CB7" i="2" s="1"/>
  <c r="CC7" i="2" s="1" a="1"/>
  <c r="CC7" i="2" s="1"/>
  <c r="CF48" i="2" a="1"/>
  <c r="CF48" i="2" s="1"/>
  <c r="CF47" i="2" a="1"/>
  <c r="CF47" i="2" s="1"/>
  <c r="CB41" i="2" a="1"/>
  <c r="CB41" i="2" s="1"/>
  <c r="CT50" i="2" a="1"/>
  <c r="CT50" i="2" s="1"/>
  <c r="CT32" i="2" a="1"/>
  <c r="CT32" i="2" s="1"/>
  <c r="CI30" i="2" a="1"/>
  <c r="CI30" i="2" s="1"/>
  <c r="CL30" i="2" s="1" a="1"/>
  <c r="CL30" i="2" s="1"/>
  <c r="BW20" i="2" a="1"/>
  <c r="BW20" i="2" s="1"/>
  <c r="CF18" i="2" a="1"/>
  <c r="CF18" i="2" s="1"/>
  <c r="CA12" i="2" a="1"/>
  <c r="CA12" i="2" s="1"/>
  <c r="CC12" i="2" s="1" a="1"/>
  <c r="CC12" i="2" s="1"/>
  <c r="BX23" i="2" a="1"/>
  <c r="BX23" i="2" s="1"/>
  <c r="CK48" i="2" a="1"/>
  <c r="CK48" i="2" s="1"/>
  <c r="BU41" i="2" a="1"/>
  <c r="BU41" i="2" s="1"/>
  <c r="BX41" i="2" s="1" a="1"/>
  <c r="BX41" i="2" s="1"/>
  <c r="CK40" i="2" a="1"/>
  <c r="CK40" i="2" s="1"/>
  <c r="CA36" i="2" a="1"/>
  <c r="CA36" i="2" s="1"/>
  <c r="CI37" i="2" a="1"/>
  <c r="CI37" i="2" s="1"/>
  <c r="CL37" i="2" s="1" a="1"/>
  <c r="CL37" i="2" s="1"/>
  <c r="CP34" i="2" a="1"/>
  <c r="CP34" i="2" s="1"/>
  <c r="CF37" i="2" a="1"/>
  <c r="CF37" i="2" s="1"/>
  <c r="CB21" i="2" a="1"/>
  <c r="CB21" i="2" s="1"/>
  <c r="BV13" i="2" a="1"/>
  <c r="BV13" i="2" s="1"/>
  <c r="CF6" i="2" a="1"/>
  <c r="CF6" i="2" s="1"/>
  <c r="CO13" i="2" a="1"/>
  <c r="CO13" i="2" s="1"/>
  <c r="CQ13" i="2" s="1" a="1"/>
  <c r="CQ13" i="2" s="1"/>
  <c r="CO51" i="2" a="1"/>
  <c r="CO51" i="2" s="1"/>
  <c r="BW52" i="2" a="1"/>
  <c r="BW52" i="2" s="1"/>
  <c r="CA50" i="2" a="1"/>
  <c r="CA50" i="2" s="1"/>
  <c r="CB34" i="2" a="1"/>
  <c r="CB34" i="2" s="1"/>
  <c r="BU37" i="2" a="1"/>
  <c r="BU37" i="2" s="1"/>
  <c r="BX37" i="2" s="1" a="1"/>
  <c r="BX37" i="2" s="1"/>
  <c r="CT34" i="2" a="1"/>
  <c r="CT34" i="2" s="1"/>
  <c r="CF29" i="2" a="1"/>
  <c r="CF29" i="2" s="1"/>
  <c r="CT28" i="2" a="1"/>
  <c r="CT28" i="2" s="1"/>
  <c r="CO18" i="2" a="1"/>
  <c r="CO18" i="2" s="1"/>
  <c r="CT16" i="2" a="1"/>
  <c r="CT16" i="2" s="1"/>
  <c r="BW17" i="2" a="1"/>
  <c r="BW17" i="2" s="1"/>
  <c r="CP12" i="2" a="1"/>
  <c r="CP12" i="2" s="1"/>
  <c r="CL10" i="2" a="1"/>
  <c r="CL10" i="2" s="1"/>
  <c r="CT10" i="2" a="1"/>
  <c r="CT10" i="2" s="1"/>
  <c r="CO7" i="2" a="1"/>
  <c r="CO7" i="2" s="1"/>
  <c r="CF7" i="2" a="1"/>
  <c r="CF7" i="2" s="1"/>
  <c r="CT8" i="2" a="1"/>
  <c r="CT8" i="2" s="1"/>
  <c r="CA14" i="2" a="1"/>
  <c r="CA14" i="2" s="1"/>
  <c r="CQ26" i="2" a="1"/>
  <c r="CQ26" i="2" s="1"/>
  <c r="C233" i="3" a="1"/>
  <c r="C233" i="3" s="1"/>
  <c r="CF52" i="2" a="1"/>
  <c r="CF52" i="2" s="1"/>
  <c r="BU31" i="2" a="1"/>
  <c r="BU31" i="2" s="1"/>
  <c r="BX31" i="2" s="1" a="1"/>
  <c r="BX31" i="2" s="1"/>
  <c r="BU26" i="2" a="1"/>
  <c r="BU26" i="2" s="1"/>
  <c r="BX26" i="2" s="1" a="1"/>
  <c r="BX26" i="2" s="1"/>
  <c r="CT19" i="2" a="1"/>
  <c r="CT19" i="2" s="1"/>
  <c r="CK16" i="2" a="1"/>
  <c r="CK16" i="2" s="1"/>
  <c r="CB15" i="2" a="1"/>
  <c r="CB15" i="2" s="1"/>
  <c r="CF17" i="2" a="1"/>
  <c r="CF17" i="2" s="1"/>
  <c r="BF68" i="2" a="1"/>
  <c r="BF68" i="2" s="1"/>
  <c r="CC6" i="2" a="1"/>
  <c r="CC6" i="2" s="1"/>
  <c r="CB16" i="2" a="1"/>
  <c r="CB16" i="2" s="1"/>
  <c r="CC16" i="2" s="1" a="1"/>
  <c r="CC16" i="2" s="1"/>
  <c r="CO17" i="2" a="1"/>
  <c r="CO17" i="2" s="1"/>
  <c r="CL52" i="2" a="1"/>
  <c r="CL52" i="2" s="1"/>
  <c r="CI42" i="2" a="1"/>
  <c r="CI42" i="2" s="1"/>
  <c r="CL42" i="2" s="1" a="1"/>
  <c r="CL42" i="2" s="1"/>
  <c r="CF50" i="2" a="1"/>
  <c r="CF50" i="2" s="1"/>
  <c r="CT27" i="2" a="1"/>
  <c r="CT27" i="2" s="1"/>
  <c r="CT31" i="2" a="1"/>
  <c r="CT31" i="2" s="1"/>
  <c r="CI26" i="2" a="1"/>
  <c r="CI26" i="2" s="1"/>
  <c r="CL26" i="2" s="1" a="1"/>
  <c r="CL26" i="2" s="1"/>
  <c r="CA28" i="2" a="1"/>
  <c r="CA28" i="2" s="1"/>
  <c r="CT25" i="2" a="1"/>
  <c r="CT25" i="2" s="1"/>
  <c r="CF21" i="2" a="1"/>
  <c r="CF21" i="2" s="1"/>
  <c r="CB19" i="2" a="1"/>
  <c r="CB19" i="2" s="1"/>
  <c r="CC19" i="2" s="1" a="1"/>
  <c r="CC19" i="2" s="1"/>
  <c r="CT18" i="2" a="1"/>
  <c r="CT18" i="2" s="1"/>
  <c r="CF14" i="2" a="1"/>
  <c r="CF14" i="2" s="1"/>
  <c r="CO9" i="2" a="1"/>
  <c r="CO9" i="2" s="1"/>
  <c r="CQ9" i="2" s="1" a="1"/>
  <c r="CQ9" i="2" s="1"/>
  <c r="CA43" i="2" a="1"/>
  <c r="CA43" i="2" s="1"/>
  <c r="BW43" i="2" a="1"/>
  <c r="BW43" i="2" s="1"/>
  <c r="CO52" i="2" a="1"/>
  <c r="CO52" i="2" s="1"/>
  <c r="CF34" i="2" a="1"/>
  <c r="CF34" i="2" s="1"/>
  <c r="CF32" i="2" a="1"/>
  <c r="CF32" i="2" s="1"/>
  <c r="BU30" i="2" a="1"/>
  <c r="BU30" i="2" s="1"/>
  <c r="BX30" i="2" s="1" a="1"/>
  <c r="BX30" i="2" s="1"/>
  <c r="BW23" i="2" a="1"/>
  <c r="BW23" i="2" s="1"/>
  <c r="CI21" i="2" a="1"/>
  <c r="CI21" i="2" s="1"/>
  <c r="CL21" i="2" s="1" a="1"/>
  <c r="CL21" i="2" s="1"/>
  <c r="CA15" i="2" a="1"/>
  <c r="CA15" i="2" s="1"/>
  <c r="CB18" i="2" a="1"/>
  <c r="CB18" i="2" s="1"/>
  <c r="CT14" i="2" a="1"/>
  <c r="CT14" i="2" s="1"/>
  <c r="CP11" i="2" a="1"/>
  <c r="CP11" i="2" s="1"/>
  <c r="CQ11" i="2" s="1" a="1"/>
  <c r="CQ11" i="2" s="1"/>
  <c r="CF10" i="2" a="1"/>
  <c r="CF10" i="2" s="1"/>
  <c r="CP8" i="2" a="1"/>
  <c r="CP8" i="2" s="1"/>
  <c r="CQ8" i="2" s="1" a="1"/>
  <c r="CQ8" i="2" s="1"/>
  <c r="CO16" i="2" a="1"/>
  <c r="CO16" i="2" s="1"/>
  <c r="CQ16" i="2" s="1" a="1"/>
  <c r="CQ16" i="2" s="1"/>
  <c r="CL19" i="2" a="1"/>
  <c r="CL19" i="2" s="1"/>
  <c r="BX19" i="2" a="1"/>
  <c r="BX19" i="2" s="1"/>
  <c r="K15" i="4" a="1"/>
  <c r="K15" i="4" s="1"/>
  <c r="BF14" i="2" a="1"/>
  <c r="BF14" i="2" s="1"/>
  <c r="AN22" i="2" s="1" a="1"/>
  <c r="AN22" i="2" s="1"/>
  <c r="BE14" i="2" a="1"/>
  <c r="BE14" i="2" s="1"/>
  <c r="BR14" i="2" s="1" a="1"/>
  <c r="BR14" i="2" s="1"/>
  <c r="C223" i="3" a="1"/>
  <c r="C223" i="3" s="1"/>
  <c r="BL63" i="2" a="1"/>
  <c r="BL63" i="2" s="1"/>
  <c r="AS25" i="2" a="1"/>
  <c r="AS25" i="2" s="1"/>
  <c r="AR25" i="2" a="1"/>
  <c r="AR25" i="2" s="1"/>
  <c r="AQ25" i="2" a="1"/>
  <c r="AQ25" i="2" s="1"/>
  <c r="AP25" i="2" a="1"/>
  <c r="AP25" i="2" s="1"/>
  <c r="AO25" i="2" a="1"/>
  <c r="AO25" i="2" s="1"/>
  <c r="AO41" i="2" a="1"/>
  <c r="AO41" i="2" s="1"/>
  <c r="AS41" i="2" a="1"/>
  <c r="AS41" i="2" s="1"/>
  <c r="AR41" i="2" a="1"/>
  <c r="AR41" i="2" s="1"/>
  <c r="AQ41" i="2" a="1"/>
  <c r="AQ41" i="2" s="1"/>
  <c r="AP41" i="2" a="1"/>
  <c r="AP41" i="2" s="1"/>
  <c r="AO63" i="2" a="1"/>
  <c r="AO63" i="2" s="1"/>
  <c r="AR63" i="2" a="1"/>
  <c r="AR63" i="2" s="1"/>
  <c r="AS63" i="2" a="1"/>
  <c r="AS63" i="2" s="1"/>
  <c r="AQ63" i="2" a="1"/>
  <c r="AQ63" i="2" s="1"/>
  <c r="AP63" i="2" a="1"/>
  <c r="AP63" i="2" s="1"/>
  <c r="AS23" i="2" a="1"/>
  <c r="AS23" i="2" s="1"/>
  <c r="AO23" i="2" a="1"/>
  <c r="AO23" i="2" s="1"/>
  <c r="AR23" i="2" a="1"/>
  <c r="AR23" i="2" s="1"/>
  <c r="AQ23" i="2" a="1"/>
  <c r="AQ23" i="2" s="1"/>
  <c r="AP23" i="2" a="1"/>
  <c r="AP23" i="2" s="1"/>
  <c r="CF8" i="2" a="1"/>
  <c r="CF8" i="2" s="1"/>
  <c r="CZ7" i="2" a="1"/>
  <c r="CZ7" i="2" s="1"/>
  <c r="BL7" i="2" a="1"/>
  <c r="BL7" i="2" s="1"/>
  <c r="CW7" i="2" s="1" a="1"/>
  <c r="CW7" i="2" s="1"/>
  <c r="CP18" i="2" a="1"/>
  <c r="CP18" i="2" s="1"/>
  <c r="CL11" i="2" a="1"/>
  <c r="CL11" i="2" s="1"/>
  <c r="BL13" i="2" a="1"/>
  <c r="BL13" i="2" s="1"/>
  <c r="CZ13" i="2" a="1"/>
  <c r="CZ13" i="2" s="1"/>
  <c r="BX13" i="2" a="1"/>
  <c r="BX13" i="2" s="1"/>
  <c r="CP10" i="2" a="1"/>
  <c r="CP10" i="2" s="1"/>
  <c r="CQ10" i="2" s="1" a="1"/>
  <c r="CQ10" i="2" s="1"/>
  <c r="CO20" i="2" a="1"/>
  <c r="CO20" i="2" s="1"/>
  <c r="CQ20" i="2" s="1" a="1"/>
  <c r="CQ20" i="2" s="1"/>
  <c r="CP23" i="2" a="1"/>
  <c r="CP23" i="2" s="1"/>
  <c r="CQ23" i="2" s="1" a="1"/>
  <c r="CQ23" i="2" s="1"/>
  <c r="CA23" i="2" a="1"/>
  <c r="CA23" i="2" s="1"/>
  <c r="CC23" i="2" s="1" a="1"/>
  <c r="CC23" i="2" s="1"/>
  <c r="CO29" i="2" a="1"/>
  <c r="CO29" i="2" s="1"/>
  <c r="CQ29" i="2" s="1" a="1"/>
  <c r="CQ29" i="2" s="1"/>
  <c r="BF29" i="2" a="1"/>
  <c r="BF29" i="2" s="1"/>
  <c r="BO29" i="2" s="1" a="1"/>
  <c r="BO29" i="2" s="1"/>
  <c r="BE29" i="2" a="1"/>
  <c r="BE29" i="2" s="1"/>
  <c r="BR29" i="2" s="1" a="1"/>
  <c r="BR29" i="2" s="1"/>
  <c r="CZ29" i="2" a="1"/>
  <c r="CZ29" i="2" s="1"/>
  <c r="BL29" i="2" a="1"/>
  <c r="BL29" i="2" s="1"/>
  <c r="CW29" i="2" s="1" a="1"/>
  <c r="CW29" i="2" s="1"/>
  <c r="CL35" i="2" a="1"/>
  <c r="CL35" i="2" s="1"/>
  <c r="CZ38" i="2" a="1"/>
  <c r="CZ38" i="2" s="1"/>
  <c r="BL38" i="2" a="1"/>
  <c r="BL38" i="2" s="1"/>
  <c r="CW38" i="2" s="1" a="1"/>
  <c r="CW38" i="2" s="1"/>
  <c r="CA30" i="2" a="1"/>
  <c r="CA30" i="2" s="1"/>
  <c r="CB35" i="2" a="1"/>
  <c r="CB35" i="2" s="1"/>
  <c r="CC35" i="2" s="1" a="1"/>
  <c r="CC35" i="2" s="1"/>
  <c r="CZ42" i="2" a="1"/>
  <c r="CZ42" i="2" s="1"/>
  <c r="BL42" i="2" a="1"/>
  <c r="BL42" i="2" s="1"/>
  <c r="CW42" i="2" s="1" a="1"/>
  <c r="CW42" i="2" s="1"/>
  <c r="CB38" i="2" a="1"/>
  <c r="CB38" i="2" s="1"/>
  <c r="CC38" i="2" s="1" a="1"/>
  <c r="CC38" i="2" s="1"/>
  <c r="BF35" i="2" a="1"/>
  <c r="BF35" i="2" s="1"/>
  <c r="BO35" i="2" s="1" a="1"/>
  <c r="BO35" i="2" s="1"/>
  <c r="BE35" i="2" a="1"/>
  <c r="BE35" i="2" s="1"/>
  <c r="BR35" i="2" s="1" a="1"/>
  <c r="BR35" i="2" s="1"/>
  <c r="CZ40" i="2" a="1"/>
  <c r="CZ40" i="2" s="1"/>
  <c r="BL40" i="2" a="1"/>
  <c r="BL40" i="2" s="1"/>
  <c r="CW40" i="2" s="1" a="1"/>
  <c r="CW40" i="2" s="1"/>
  <c r="CP32" i="2" a="1"/>
  <c r="CP32" i="2" s="1"/>
  <c r="CQ32" i="2" s="1" a="1"/>
  <c r="CQ32" i="2" s="1"/>
  <c r="CA44" i="2" a="1"/>
  <c r="CA44" i="2" s="1"/>
  <c r="CC44" i="2" s="1" a="1"/>
  <c r="CC44" i="2" s="1"/>
  <c r="BL44" i="2" a="1"/>
  <c r="BL44" i="2" s="1"/>
  <c r="CW44" i="2" s="1" a="1"/>
  <c r="CW44" i="2" s="1"/>
  <c r="CZ44" i="2" a="1"/>
  <c r="CZ44" i="2" s="1"/>
  <c r="BL49" i="2" a="1"/>
  <c r="BL49" i="2" s="1"/>
  <c r="CW49" i="2" s="1" a="1"/>
  <c r="CW49" i="2" s="1"/>
  <c r="CZ49" i="2" a="1"/>
  <c r="CZ49" i="2" s="1"/>
  <c r="CZ50" i="2" a="1"/>
  <c r="CZ50" i="2" s="1"/>
  <c r="BL50" i="2" a="1"/>
  <c r="BL50" i="2" s="1"/>
  <c r="CW50" i="2" s="1" a="1"/>
  <c r="CW50" i="2" s="1"/>
  <c r="BE51" i="2" a="1"/>
  <c r="BE51" i="2" s="1"/>
  <c r="BR51" i="2" s="1" a="1"/>
  <c r="BR51" i="2" s="1"/>
  <c r="BF51" i="2" a="1"/>
  <c r="BF51" i="2" s="1"/>
  <c r="BO51" i="2" s="1" a="1"/>
  <c r="BO51" i="2" s="1"/>
  <c r="CP52" i="2" a="1"/>
  <c r="CP52" i="2" s="1"/>
  <c r="CO53" i="2" a="1"/>
  <c r="CO53" i="2" s="1"/>
  <c r="CQ53" i="2" s="1" a="1"/>
  <c r="CQ53" i="2" s="1"/>
  <c r="CA10" i="2" a="1"/>
  <c r="CA10" i="2" s="1"/>
  <c r="CC10" i="2" s="1" a="1"/>
  <c r="CC10" i="2" s="1"/>
  <c r="AS80" i="2" a="1"/>
  <c r="AS80" i="2" s="1"/>
  <c r="AR80" i="2" a="1"/>
  <c r="AR80" i="2" s="1"/>
  <c r="AQ80" i="2" a="1"/>
  <c r="AQ80" i="2" s="1"/>
  <c r="AP80" i="2" a="1"/>
  <c r="AP80" i="2" s="1"/>
  <c r="AO80" i="2" a="1"/>
  <c r="AO80" i="2" s="1"/>
  <c r="AS70" i="2" a="1"/>
  <c r="AS70" i="2" s="1"/>
  <c r="AP70" i="2" a="1"/>
  <c r="AP70" i="2" s="1"/>
  <c r="AO70" i="2" a="1"/>
  <c r="AO70" i="2" s="1"/>
  <c r="AR70" i="2" a="1"/>
  <c r="AR70" i="2" s="1"/>
  <c r="AQ70" i="2" a="1"/>
  <c r="AQ70" i="2" s="1"/>
  <c r="BT58" i="2" a="1"/>
  <c r="BT58" i="2" s="1"/>
  <c r="BU58" i="2" s="1" a="1"/>
  <c r="BU58" i="2" s="1"/>
  <c r="AR24" i="2" a="1"/>
  <c r="AR24" i="2" s="1"/>
  <c r="AS24" i="2" a="1"/>
  <c r="AS24" i="2" s="1"/>
  <c r="AQ24" i="2" a="1"/>
  <c r="AQ24" i="2" s="1"/>
  <c r="AP24" i="2" a="1"/>
  <c r="AP24" i="2" s="1"/>
  <c r="AO24" i="2" a="1"/>
  <c r="AO24" i="2" s="1"/>
  <c r="AS47" i="2" a="1"/>
  <c r="AS47" i="2" s="1"/>
  <c r="AQ47" i="2" a="1"/>
  <c r="AQ47" i="2" s="1"/>
  <c r="AR47" i="2" a="1"/>
  <c r="AR47" i="2" s="1"/>
  <c r="AP47" i="2" a="1"/>
  <c r="AP47" i="2" s="1"/>
  <c r="AO47" i="2" a="1"/>
  <c r="AO47" i="2" s="1"/>
  <c r="BF67" i="2" a="1"/>
  <c r="BF67" i="2" s="1"/>
  <c r="AQ22" i="2" a="1"/>
  <c r="AQ22" i="2" s="1"/>
  <c r="AO22" i="2" a="1"/>
  <c r="AO22" i="2" s="1"/>
  <c r="AS22" i="2" a="1"/>
  <c r="AS22" i="2" s="1"/>
  <c r="AR22" i="2" a="1"/>
  <c r="AR22" i="2" s="1"/>
  <c r="AP22" i="2" a="1"/>
  <c r="AP22" i="2" s="1"/>
  <c r="BF9" i="2" a="1"/>
  <c r="BF9" i="2" s="1"/>
  <c r="BO9" i="2" s="1" a="1"/>
  <c r="BO9" i="2" s="1"/>
  <c r="BE9" i="2" a="1"/>
  <c r="BE9" i="2" s="1"/>
  <c r="BR9" i="2" s="1" a="1"/>
  <c r="BR9" i="2" s="1"/>
  <c r="BF11" i="2" a="1"/>
  <c r="BF11" i="2" s="1"/>
  <c r="BO11" i="2" s="1" a="1"/>
  <c r="BO11" i="2" s="1"/>
  <c r="BE11" i="2" a="1"/>
  <c r="BE11" i="2" s="1"/>
  <c r="BR11" i="2" s="1" a="1"/>
  <c r="BR11" i="2" s="1"/>
  <c r="BL16" i="2" a="1"/>
  <c r="BL16" i="2" s="1"/>
  <c r="CW16" i="2" s="1" a="1"/>
  <c r="CW16" i="2" s="1"/>
  <c r="CZ16" i="2" a="1"/>
  <c r="CZ16" i="2" s="1"/>
  <c r="CZ22" i="2" a="1"/>
  <c r="CZ22" i="2" s="1"/>
  <c r="BL22" i="2" a="1"/>
  <c r="BL22" i="2" s="1"/>
  <c r="CW22" i="2" s="1" a="1"/>
  <c r="CW22" i="2" s="1"/>
  <c r="CZ19" i="2" a="1"/>
  <c r="CZ19" i="2" s="1"/>
  <c r="BL19" i="2" a="1"/>
  <c r="BL19" i="2" s="1"/>
  <c r="CW19" i="2" s="1" a="1"/>
  <c r="CW19" i="2" s="1"/>
  <c r="CA25" i="2" a="1"/>
  <c r="CA25" i="2" s="1"/>
  <c r="CC25" i="2" s="1" a="1"/>
  <c r="CC25" i="2" s="1"/>
  <c r="BF22" i="2" a="1"/>
  <c r="BF22" i="2" s="1"/>
  <c r="AN38" i="2" s="1" a="1"/>
  <c r="AN38" i="2" s="1"/>
  <c r="BE22" i="2" a="1"/>
  <c r="BE22" i="2" s="1"/>
  <c r="BR22" i="2" s="1" a="1"/>
  <c r="BR22" i="2" s="1"/>
  <c r="CA29" i="2" a="1"/>
  <c r="CA29" i="2" s="1"/>
  <c r="CP30" i="2" a="1"/>
  <c r="CP30" i="2" s="1"/>
  <c r="CQ30" i="2" s="1" a="1"/>
  <c r="CQ30" i="2" s="1"/>
  <c r="CB36" i="2" a="1"/>
  <c r="CB36" i="2" s="1"/>
  <c r="BX33" i="2" a="1"/>
  <c r="BX33" i="2" s="1"/>
  <c r="BL33" i="2" a="1"/>
  <c r="BL33" i="2" s="1"/>
  <c r="CW33" i="2" s="1" a="1"/>
  <c r="CW33" i="2" s="1"/>
  <c r="CZ33" i="2" a="1"/>
  <c r="CZ33" i="2" s="1"/>
  <c r="CZ46" i="2" a="1"/>
  <c r="CZ46" i="2" s="1"/>
  <c r="BL46" i="2" a="1"/>
  <c r="BL46" i="2" s="1"/>
  <c r="CW46" i="2" s="1" a="1"/>
  <c r="CW46" i="2" s="1"/>
  <c r="CP47" i="2" a="1"/>
  <c r="CP47" i="2" s="1"/>
  <c r="CQ47" i="2" s="1" a="1"/>
  <c r="CQ47" i="2" s="1"/>
  <c r="CA53" i="2" a="1"/>
  <c r="CA53" i="2" s="1"/>
  <c r="CC53" i="2" s="1" a="1"/>
  <c r="CC53" i="2" s="1"/>
  <c r="H22" i="4" a="1"/>
  <c r="H22" i="4" s="1"/>
  <c r="H45" i="4" a="1"/>
  <c r="H45" i="4" s="1"/>
  <c r="CL12" i="2" a="1"/>
  <c r="CL12" i="2" s="1"/>
  <c r="BF19" i="2" a="1"/>
  <c r="BF19" i="2" s="1"/>
  <c r="BO19" i="2" s="1" a="1"/>
  <c r="BO19" i="2" s="1"/>
  <c r="BE19" i="2" a="1"/>
  <c r="BE19" i="2" s="1"/>
  <c r="BR19" i="2" s="1" a="1"/>
  <c r="BR19" i="2" s="1"/>
  <c r="BM42" i="4" a="1"/>
  <c r="BM42" i="4" s="1"/>
  <c r="BM29" i="4" a="1"/>
  <c r="BM29" i="4" s="1"/>
  <c r="BM45" i="4" a="1"/>
  <c r="BM45" i="4" s="1"/>
  <c r="BM51" i="4" a="1"/>
  <c r="BM51" i="4" s="1"/>
  <c r="BM47" i="4" a="1"/>
  <c r="BM47" i="4" s="1"/>
  <c r="BM43" i="4" a="1"/>
  <c r="BM43" i="4" s="1"/>
  <c r="BM38" i="4" a="1"/>
  <c r="BM38" i="4" s="1"/>
  <c r="BM50" i="4" a="1"/>
  <c r="BM50" i="4" s="1"/>
  <c r="BM44" i="4" a="1"/>
  <c r="BM44" i="4" s="1"/>
  <c r="BM23" i="4" a="1"/>
  <c r="BM23" i="4" s="1"/>
  <c r="BM37" i="4" a="1"/>
  <c r="BM37" i="4" s="1"/>
  <c r="BM35" i="4" a="1"/>
  <c r="BM35" i="4" s="1"/>
  <c r="BM24" i="4" a="1"/>
  <c r="BM24" i="4" s="1"/>
  <c r="BM28" i="4" a="1"/>
  <c r="BM28" i="4" s="1"/>
  <c r="BM40" i="4" a="1"/>
  <c r="BM40" i="4" s="1"/>
  <c r="BM30" i="4" a="1"/>
  <c r="BM30" i="4" s="1"/>
  <c r="BM21" i="4" a="1"/>
  <c r="BM21" i="4" s="1"/>
  <c r="BM49" i="4" a="1"/>
  <c r="BM49" i="4" s="1"/>
  <c r="BM48" i="4" a="1"/>
  <c r="BM48" i="4" s="1"/>
  <c r="BM41" i="4" a="1"/>
  <c r="BM41" i="4" s="1"/>
  <c r="BM33" i="4" a="1"/>
  <c r="BM33" i="4" s="1"/>
  <c r="BM31" i="4" a="1"/>
  <c r="BM31" i="4" s="1"/>
  <c r="BM27" i="4" a="1"/>
  <c r="BM27" i="4" s="1"/>
  <c r="BM13" i="4" a="1"/>
  <c r="BM13" i="4" s="1"/>
  <c r="BM4" i="4" a="1"/>
  <c r="BM4" i="4" s="1"/>
  <c r="BM16" i="4" a="1"/>
  <c r="BM16" i="4" s="1"/>
  <c r="BM15" i="4" a="1"/>
  <c r="BM15" i="4" s="1"/>
  <c r="BM9" i="4" a="1"/>
  <c r="BM9" i="4" s="1"/>
  <c r="BM46" i="4" a="1"/>
  <c r="BM46" i="4" s="1"/>
  <c r="BM34" i="4" a="1"/>
  <c r="BM34" i="4" s="1"/>
  <c r="BM26" i="4" a="1"/>
  <c r="BM26" i="4" s="1"/>
  <c r="BM25" i="4" a="1"/>
  <c r="BM25" i="4" s="1"/>
  <c r="BM36" i="4" a="1"/>
  <c r="BM36" i="4" s="1"/>
  <c r="BM18" i="4" a="1"/>
  <c r="BM18" i="4" s="1"/>
  <c r="BM32" i="4" a="1"/>
  <c r="BM32" i="4" s="1"/>
  <c r="BM39" i="4" a="1"/>
  <c r="BM39" i="4" s="1"/>
  <c r="BM17" i="4" a="1"/>
  <c r="BM17" i="4" s="1"/>
  <c r="BM14" i="4" a="1"/>
  <c r="BM14" i="4" s="1"/>
  <c r="BM5" i="4" a="1"/>
  <c r="BM5" i="4" s="1"/>
  <c r="BM20" i="4" a="1"/>
  <c r="BM20" i="4" s="1"/>
  <c r="BM6" i="4" a="1"/>
  <c r="BM6" i="4" s="1"/>
  <c r="BM22" i="4" a="1"/>
  <c r="BM22" i="4" s="1"/>
  <c r="BM19" i="4" a="1"/>
  <c r="BM19" i="4" s="1"/>
  <c r="BM7" i="4" a="1"/>
  <c r="BM7" i="4" s="1"/>
  <c r="BM10" i="4" a="1"/>
  <c r="BM10" i="4" s="1"/>
  <c r="BM11" i="4" a="1"/>
  <c r="BM11" i="4" s="1"/>
  <c r="BM12" i="4" a="1"/>
  <c r="BM12" i="4" s="1"/>
  <c r="BM8" i="4" a="1"/>
  <c r="BM8" i="4" s="1"/>
  <c r="AI8" i="4" a="1"/>
  <c r="AI8" i="4" s="1"/>
  <c r="BF65" i="2" a="1"/>
  <c r="BF65" i="2" s="1"/>
  <c r="BT68" i="2" a="1"/>
  <c r="BT68" i="2" s="1"/>
  <c r="AO39" i="2" a="1"/>
  <c r="AO39" i="2" s="1"/>
  <c r="AR39" i="2" a="1"/>
  <c r="AR39" i="2" s="1"/>
  <c r="AQ39" i="2" a="1"/>
  <c r="AQ39" i="2" s="1"/>
  <c r="AP39" i="2" a="1"/>
  <c r="AP39" i="2" s="1"/>
  <c r="AS39" i="2" a="1"/>
  <c r="AS39" i="2" s="1"/>
  <c r="AR15" i="2" a="1"/>
  <c r="AR15" i="2" s="1"/>
  <c r="AQ15" i="2" a="1"/>
  <c r="AQ15" i="2" s="1"/>
  <c r="AP15" i="2" a="1"/>
  <c r="AP15" i="2" s="1"/>
  <c r="AO15" i="2" a="1"/>
  <c r="AO15" i="2" s="1"/>
  <c r="AS15" i="2" a="1"/>
  <c r="AS15" i="2" s="1"/>
  <c r="DF9" i="2" a="1"/>
  <c r="DF9" i="2" s="1"/>
  <c r="DF8" i="2" a="1"/>
  <c r="DF8" i="2" s="1"/>
  <c r="DF6" i="2" a="1"/>
  <c r="DF6" i="2" s="1"/>
  <c r="DF7" i="2" a="1"/>
  <c r="DF7" i="2" s="1"/>
  <c r="CO12" i="2" a="1"/>
  <c r="CO12" i="2" s="1"/>
  <c r="BL14" i="2" a="1"/>
  <c r="BL14" i="2" s="1"/>
  <c r="CW14" i="2" s="1" a="1"/>
  <c r="CW14" i="2" s="1"/>
  <c r="CZ14" i="2" a="1"/>
  <c r="CZ14" i="2" s="1"/>
  <c r="CZ10" i="2" a="1"/>
  <c r="CZ10" i="2" s="1"/>
  <c r="BL10" i="2" a="1"/>
  <c r="BL10" i="2" s="1"/>
  <c r="CW10" i="2" s="1" a="1"/>
  <c r="CW10" i="2" s="1"/>
  <c r="BX16" i="2" a="1"/>
  <c r="BX16" i="2" s="1"/>
  <c r="CP24" i="2" a="1"/>
  <c r="CP24" i="2" s="1"/>
  <c r="CQ24" i="2" s="1" a="1"/>
  <c r="CQ24" i="2" s="1"/>
  <c r="CL20" i="2" a="1"/>
  <c r="CL20" i="2" s="1"/>
  <c r="BF25" i="2" a="1"/>
  <c r="BF25" i="2" s="1"/>
  <c r="BO25" i="2" s="1" a="1"/>
  <c r="BO25" i="2" s="1"/>
  <c r="BE25" i="2" a="1"/>
  <c r="BE25" i="2" s="1"/>
  <c r="BR25" i="2" s="1" a="1"/>
  <c r="BR25" i="2" s="1"/>
  <c r="CL29" i="2" a="1"/>
  <c r="CL29" i="2" s="1"/>
  <c r="BX25" i="2" a="1"/>
  <c r="BX25" i="2" s="1"/>
  <c r="CB31" i="2" a="1"/>
  <c r="CB31" i="2" s="1"/>
  <c r="CC31" i="2" s="1" a="1"/>
  <c r="CC31" i="2" s="1"/>
  <c r="CZ31" i="2" a="1"/>
  <c r="CZ31" i="2" s="1"/>
  <c r="BL31" i="2" a="1"/>
  <c r="BL31" i="2" s="1"/>
  <c r="CW31" i="2" s="1" a="1"/>
  <c r="CW31" i="2" s="1"/>
  <c r="BL34" i="2" a="1"/>
  <c r="BL34" i="2" s="1"/>
  <c r="CW34" i="2" s="1" a="1"/>
  <c r="CW34" i="2" s="1"/>
  <c r="CZ34" i="2" a="1"/>
  <c r="CZ34" i="2" s="1"/>
  <c r="BE37" i="2" a="1"/>
  <c r="BE37" i="2" s="1"/>
  <c r="BR37" i="2" s="1" a="1"/>
  <c r="BR37" i="2" s="1"/>
  <c r="BF37" i="2" a="1"/>
  <c r="BF37" i="2" s="1"/>
  <c r="BO37" i="2" s="1" a="1"/>
  <c r="BO37" i="2" s="1"/>
  <c r="CB43" i="2" a="1"/>
  <c r="CB43" i="2" s="1"/>
  <c r="BF34" i="2" a="1"/>
  <c r="BF34" i="2" s="1"/>
  <c r="AN62" i="2" s="1" a="1"/>
  <c r="AN62" i="2" s="1"/>
  <c r="BE34" i="2" a="1"/>
  <c r="BE34" i="2" s="1"/>
  <c r="BR34" i="2" s="1" a="1"/>
  <c r="BR34" i="2" s="1"/>
  <c r="CA47" i="2" a="1"/>
  <c r="CA47" i="2" s="1"/>
  <c r="CC47" i="2" s="1" a="1"/>
  <c r="CC47" i="2" s="1"/>
  <c r="CZ43" i="2" a="1"/>
  <c r="CZ43" i="2" s="1"/>
  <c r="BL43" i="2" a="1"/>
  <c r="BL43" i="2" s="1"/>
  <c r="CW43" i="2" s="1" a="1"/>
  <c r="CW43" i="2" s="1"/>
  <c r="CP46" i="2" a="1"/>
  <c r="CP46" i="2" s="1"/>
  <c r="CQ46" i="2" s="1" a="1"/>
  <c r="CQ46" i="2" s="1"/>
  <c r="BF48" i="2" a="1"/>
  <c r="BF48" i="2" s="1"/>
  <c r="BO48" i="2" s="1" a="1"/>
  <c r="BO48" i="2" s="1"/>
  <c r="BE48" i="2" a="1"/>
  <c r="BE48" i="2" s="1"/>
  <c r="BR48" i="2" s="1" a="1"/>
  <c r="BR48" i="2" s="1"/>
  <c r="H23" i="4" a="1"/>
  <c r="H23" i="4" s="1"/>
  <c r="BL17" i="2" a="1"/>
  <c r="BL17" i="2" s="1"/>
  <c r="CW17" i="2" s="1" a="1"/>
  <c r="CW17" i="2" s="1"/>
  <c r="CZ17" i="2" a="1"/>
  <c r="CZ17" i="2" s="1"/>
  <c r="CZ6" i="2" a="1"/>
  <c r="CZ6" i="2" s="1"/>
  <c r="BL6" i="2" a="1"/>
  <c r="BL6" i="2" s="1"/>
  <c r="CA21" i="2" a="1"/>
  <c r="CA21" i="2" s="1"/>
  <c r="CZ26" i="2" a="1"/>
  <c r="CZ26" i="2" s="1"/>
  <c r="BL26" i="2" a="1"/>
  <c r="BL26" i="2" s="1"/>
  <c r="CW26" i="2" s="1" a="1"/>
  <c r="CW26" i="2" s="1"/>
  <c r="CP25" i="2" a="1"/>
  <c r="CP25" i="2" s="1"/>
  <c r="CQ25" i="2" s="1" a="1"/>
  <c r="CQ25" i="2" s="1"/>
  <c r="CA22" i="2" a="1"/>
  <c r="CA22" i="2" s="1"/>
  <c r="CC22" i="2" s="1" a="1"/>
  <c r="CC22" i="2" s="1"/>
  <c r="CO31" i="2" a="1"/>
  <c r="CO31" i="2" s="1"/>
  <c r="CQ31" i="2" s="1" a="1"/>
  <c r="CQ31" i="2" s="1"/>
  <c r="CL33" i="2" a="1"/>
  <c r="CL33" i="2" s="1"/>
  <c r="CO44" i="2" a="1"/>
  <c r="CO44" i="2" s="1"/>
  <c r="CQ44" i="2" s="1" a="1"/>
  <c r="CQ44" i="2" s="1"/>
  <c r="BF39" i="2" a="1"/>
  <c r="BF39" i="2" s="1"/>
  <c r="BO39" i="2" s="1" a="1"/>
  <c r="BO39" i="2" s="1"/>
  <c r="BE39" i="2" a="1"/>
  <c r="BE39" i="2" s="1"/>
  <c r="BR39" i="2" s="1" a="1"/>
  <c r="BR39" i="2" s="1"/>
  <c r="BL41" i="2" a="1"/>
  <c r="BL41" i="2" s="1"/>
  <c r="CW41" i="2" s="1" a="1"/>
  <c r="CW41" i="2" s="1"/>
  <c r="CZ41" i="2" a="1"/>
  <c r="CZ41" i="2" s="1"/>
  <c r="CO43" i="2" a="1"/>
  <c r="CO43" i="2" s="1"/>
  <c r="CQ43" i="2" s="1" a="1"/>
  <c r="CQ43" i="2" s="1"/>
  <c r="CO35" i="2" a="1"/>
  <c r="CO35" i="2" s="1"/>
  <c r="CQ35" i="2" s="1" a="1"/>
  <c r="CQ35" i="2" s="1"/>
  <c r="CZ35" i="2" a="1"/>
  <c r="CZ35" i="2" s="1"/>
  <c r="BL35" i="2" a="1"/>
  <c r="BL35" i="2" s="1"/>
  <c r="CW35" i="2" s="1" a="1"/>
  <c r="CW35" i="2" s="1"/>
  <c r="CC40" i="2" a="1"/>
  <c r="CC40" i="2" s="1"/>
  <c r="CO37" i="2" a="1"/>
  <c r="CO37" i="2" s="1"/>
  <c r="CQ37" i="2" s="1" a="1"/>
  <c r="CQ37" i="2" s="1"/>
  <c r="BL47" i="2" a="1"/>
  <c r="BL47" i="2" s="1"/>
  <c r="CW47" i="2" s="1" a="1"/>
  <c r="CW47" i="2" s="1"/>
  <c r="CZ47" i="2" a="1"/>
  <c r="CZ47" i="2" s="1"/>
  <c r="CP50" i="2" a="1"/>
  <c r="CP50" i="2" s="1"/>
  <c r="CB50" i="2" a="1"/>
  <c r="CB50" i="2" s="1"/>
  <c r="CC50" i="2" s="1" a="1"/>
  <c r="CC50" i="2" s="1"/>
  <c r="H21" i="4" a="1"/>
  <c r="H21" i="4" s="1"/>
  <c r="BL67" i="2" a="1"/>
  <c r="BL67" i="2" s="1"/>
  <c r="AQ73" i="2" a="1"/>
  <c r="AQ73" i="2" s="1"/>
  <c r="AO73" i="2" a="1"/>
  <c r="AO73" i="2" s="1"/>
  <c r="AS73" i="2" a="1"/>
  <c r="AS73" i="2" s="1"/>
  <c r="AR73" i="2" a="1"/>
  <c r="AR73" i="2" s="1"/>
  <c r="AP73" i="2" a="1"/>
  <c r="AP73" i="2" s="1"/>
  <c r="BL69" i="2" a="1"/>
  <c r="BL69" i="2" s="1"/>
  <c r="CZ9" i="2" a="1"/>
  <c r="CZ9" i="2" s="1"/>
  <c r="BL9" i="2" a="1"/>
  <c r="BL9" i="2" s="1"/>
  <c r="CW9" i="2" s="1" a="1"/>
  <c r="CW9" i="2" s="1"/>
  <c r="BL11" i="2" a="1"/>
  <c r="BL11" i="2" s="1"/>
  <c r="CW11" i="2" s="1" a="1"/>
  <c r="CW11" i="2" s="1"/>
  <c r="CZ11" i="2" a="1"/>
  <c r="CZ11" i="2" s="1"/>
  <c r="BF18" i="2" a="1"/>
  <c r="BF18" i="2" s="1"/>
  <c r="AN30" i="2" s="1" a="1"/>
  <c r="AN30" i="2" s="1"/>
  <c r="BE18" i="2" a="1"/>
  <c r="BE18" i="2" s="1"/>
  <c r="BR18" i="2" s="1" a="1"/>
  <c r="BR18" i="2" s="1"/>
  <c r="BF31" i="2" a="1"/>
  <c r="BF31" i="2" s="1"/>
  <c r="BO31" i="2" s="1" a="1"/>
  <c r="BO31" i="2" s="1"/>
  <c r="BE31" i="2" a="1"/>
  <c r="BE31" i="2" s="1"/>
  <c r="BR31" i="2" s="1" a="1"/>
  <c r="BR31" i="2" s="1"/>
  <c r="BF26" i="2" a="1"/>
  <c r="BF26" i="2" s="1"/>
  <c r="AN46" i="2" s="1" a="1"/>
  <c r="AN46" i="2" s="1"/>
  <c r="BE26" i="2" a="1"/>
  <c r="BE26" i="2" s="1"/>
  <c r="BR26" i="2" s="1" a="1"/>
  <c r="BR26" i="2" s="1"/>
  <c r="CZ36" i="2" a="1"/>
  <c r="CZ36" i="2" s="1"/>
  <c r="BL36" i="2" a="1"/>
  <c r="BL36" i="2" s="1"/>
  <c r="CW36" i="2" s="1" a="1"/>
  <c r="CW36" i="2" s="1"/>
  <c r="CO36" i="2" a="1"/>
  <c r="CO36" i="2" s="1"/>
  <c r="BL32" i="2" a="1"/>
  <c r="BL32" i="2" s="1"/>
  <c r="CW32" i="2" s="1" a="1"/>
  <c r="CW32" i="2" s="1"/>
  <c r="CZ32" i="2" a="1"/>
  <c r="CZ32" i="2" s="1"/>
  <c r="CZ28" i="2" a="1"/>
  <c r="CZ28" i="2" s="1"/>
  <c r="BL28" i="2" a="1"/>
  <c r="BL28" i="2" s="1"/>
  <c r="CW28" i="2" s="1" a="1"/>
  <c r="CW28" i="2" s="1"/>
  <c r="CB37" i="2" a="1"/>
  <c r="CB37" i="2" s="1"/>
  <c r="CC37" i="2" s="1" a="1"/>
  <c r="CC37" i="2" s="1"/>
  <c r="BX39" i="2" a="1"/>
  <c r="BX39" i="2" s="1"/>
  <c r="BF36" i="2" a="1"/>
  <c r="BF36" i="2" s="1"/>
  <c r="BO36" i="2" s="1" a="1"/>
  <c r="BO36" i="2" s="1"/>
  <c r="BE36" i="2" a="1"/>
  <c r="BE36" i="2" s="1"/>
  <c r="BR36" i="2" s="1" a="1"/>
  <c r="BR36" i="2" s="1"/>
  <c r="CA41" i="2" a="1"/>
  <c r="CA41" i="2" s="1"/>
  <c r="CC41" i="2" s="1" a="1"/>
  <c r="CC41" i="2" s="1"/>
  <c r="BF42" i="2" a="1"/>
  <c r="BF42" i="2" s="1"/>
  <c r="AN78" i="2" s="1" a="1"/>
  <c r="AN78" i="2" s="1"/>
  <c r="BE42" i="2" a="1"/>
  <c r="BE42" i="2" s="1"/>
  <c r="BR42" i="2" s="1" a="1"/>
  <c r="BR42" i="2" s="1"/>
  <c r="CB48" i="2" a="1"/>
  <c r="CB48" i="2" s="1"/>
  <c r="CC48" i="2" s="1" a="1"/>
  <c r="CC48" i="2" s="1"/>
  <c r="CZ48" i="2" a="1"/>
  <c r="CZ48" i="2" s="1"/>
  <c r="BL48" i="2" a="1"/>
  <c r="BL48" i="2" s="1"/>
  <c r="CW48" i="2" s="1" a="1"/>
  <c r="CW48" i="2" s="1"/>
  <c r="CB52" i="2" a="1"/>
  <c r="CB52" i="2" s="1"/>
  <c r="CC52" i="2" s="1" a="1"/>
  <c r="CC52" i="2" s="1"/>
  <c r="AS7" i="2" a="1"/>
  <c r="AS7" i="2" s="1"/>
  <c r="AQ7" i="2" a="1"/>
  <c r="AQ7" i="2" s="1"/>
  <c r="AP7" i="2" a="1"/>
  <c r="AP7" i="2" s="1"/>
  <c r="AR7" i="2" a="1"/>
  <c r="AR7" i="2" s="1"/>
  <c r="AO7" i="2" a="1"/>
  <c r="AO7" i="2" s="1"/>
  <c r="T30" i="4" a="1"/>
  <c r="T30" i="4" s="1"/>
  <c r="B200" i="3" a="1"/>
  <c r="B200" i="3" s="1"/>
  <c r="BT67" i="2" a="1"/>
  <c r="BT67" i="2" s="1"/>
  <c r="BT62" i="2" a="1"/>
  <c r="BT62" i="2" s="1"/>
  <c r="BL68" i="2" a="1"/>
  <c r="BL68" i="2" s="1"/>
  <c r="CO15" i="2" a="1"/>
  <c r="CO15" i="2" s="1"/>
  <c r="CQ15" i="2" s="1" a="1"/>
  <c r="CQ15" i="2" s="1"/>
  <c r="CZ12" i="2" a="1"/>
  <c r="CZ12" i="2" s="1"/>
  <c r="BL12" i="2" a="1"/>
  <c r="BL12" i="2" s="1"/>
  <c r="CW12" i="2" s="1" a="1"/>
  <c r="CW12" i="2" s="1"/>
  <c r="AE29" i="4" a="1"/>
  <c r="AE29" i="4" s="1"/>
  <c r="C200" i="3" a="1"/>
  <c r="C200" i="3" s="1"/>
  <c r="C204" i="3" a="1"/>
  <c r="C204" i="3" s="1"/>
  <c r="B204" i="3" a="1"/>
  <c r="B204" i="3" s="1"/>
  <c r="C186" i="3" a="1"/>
  <c r="C186" i="3" s="1"/>
  <c r="AS87" i="2" a="1"/>
  <c r="AS87" i="2" s="1"/>
  <c r="AP87" i="2" a="1"/>
  <c r="AP87" i="2" s="1"/>
  <c r="AR87" i="2" a="1"/>
  <c r="AR87" i="2" s="1"/>
  <c r="AQ87" i="2" a="1"/>
  <c r="AQ87" i="2" s="1"/>
  <c r="AO87" i="2" a="1"/>
  <c r="AO87" i="2" s="1"/>
  <c r="AS95" i="2" a="1"/>
  <c r="AS95" i="2" s="1"/>
  <c r="AP95" i="2" a="1"/>
  <c r="AP95" i="2" s="1"/>
  <c r="AO95" i="2" a="1"/>
  <c r="AO95" i="2" s="1"/>
  <c r="AR95" i="2" a="1"/>
  <c r="AR95" i="2" s="1"/>
  <c r="AQ95" i="2" a="1"/>
  <c r="AQ95" i="2" s="1"/>
  <c r="AO86" i="2" a="1"/>
  <c r="AO86" i="2" s="1"/>
  <c r="AR86" i="2" a="1"/>
  <c r="AR86" i="2" s="1"/>
  <c r="AQ86" i="2" a="1"/>
  <c r="AQ86" i="2" s="1"/>
  <c r="AS86" i="2" a="1"/>
  <c r="AS86" i="2" s="1"/>
  <c r="AP86" i="2" a="1"/>
  <c r="AP86" i="2" s="1"/>
  <c r="AR62" i="2" a="1"/>
  <c r="AR62" i="2" s="1"/>
  <c r="AQ62" i="2" a="1"/>
  <c r="AQ62" i="2" s="1"/>
  <c r="AS62" i="2" a="1"/>
  <c r="AS62" i="2" s="1"/>
  <c r="AP62" i="2" a="1"/>
  <c r="AP62" i="2" s="1"/>
  <c r="AO62" i="2" a="1"/>
  <c r="AO62" i="2" s="1"/>
  <c r="BT66" i="2" a="1"/>
  <c r="BT66" i="2" s="1"/>
  <c r="BT65" i="2" a="1"/>
  <c r="BT65" i="2" s="1"/>
  <c r="BT64" i="2" a="1"/>
  <c r="BT64" i="2" s="1"/>
  <c r="BU64" i="2" s="1" a="1"/>
  <c r="BU64" i="2" s="1"/>
  <c r="BT61" i="2" a="1"/>
  <c r="BT61" i="2" s="1"/>
  <c r="BU61" i="2" s="1" a="1"/>
  <c r="BU61" i="2" s="1"/>
  <c r="AO46" i="2" a="1"/>
  <c r="AO46" i="2" s="1"/>
  <c r="AP46" i="2" a="1"/>
  <c r="AP46" i="2" s="1"/>
  <c r="AS46" i="2" a="1"/>
  <c r="AS46" i="2" s="1"/>
  <c r="AR46" i="2" a="1"/>
  <c r="AR46" i="2" s="1"/>
  <c r="AQ46" i="2" a="1"/>
  <c r="AQ46" i="2" s="1"/>
  <c r="AS32" i="2" a="1"/>
  <c r="AS32" i="2" s="1"/>
  <c r="AR32" i="2" a="1"/>
  <c r="AR32" i="2" s="1"/>
  <c r="AO32" i="2" a="1"/>
  <c r="AO32" i="2" s="1"/>
  <c r="AQ32" i="2" a="1"/>
  <c r="AQ32" i="2" s="1"/>
  <c r="AP32" i="2" a="1"/>
  <c r="AP32" i="2" s="1"/>
  <c r="AP30" i="2" a="1"/>
  <c r="AP30" i="2" s="1"/>
  <c r="AS30" i="2" a="1"/>
  <c r="AS30" i="2" s="1"/>
  <c r="AR30" i="2" a="1"/>
  <c r="AR30" i="2" s="1"/>
  <c r="AQ30" i="2" a="1"/>
  <c r="AQ30" i="2" s="1"/>
  <c r="AO30" i="2" a="1"/>
  <c r="AO30" i="2" s="1"/>
  <c r="AQ88" i="2" a="1"/>
  <c r="AQ88" i="2" s="1"/>
  <c r="AP88" i="2" a="1"/>
  <c r="AP88" i="2" s="1"/>
  <c r="AS88" i="2" a="1"/>
  <c r="AS88" i="2" s="1"/>
  <c r="AR88" i="2" a="1"/>
  <c r="AR88" i="2" s="1"/>
  <c r="AO88" i="2" a="1"/>
  <c r="AO88" i="2" s="1"/>
  <c r="BF10" i="2" a="1"/>
  <c r="BF10" i="2" s="1"/>
  <c r="AN14" i="2" s="1" a="1"/>
  <c r="AN14" i="2" s="1"/>
  <c r="BE10" i="2" a="1"/>
  <c r="BE10" i="2" s="1"/>
  <c r="BR10" i="2" s="1" a="1"/>
  <c r="BR10" i="2" s="1"/>
  <c r="CA9" i="2" a="1"/>
  <c r="CA9" i="2" s="1"/>
  <c r="CC9" i="2" s="1" a="1"/>
  <c r="CC9" i="2" s="1"/>
  <c r="CP19" i="2" a="1"/>
  <c r="CP19" i="2" s="1"/>
  <c r="CQ19" i="2" s="1" a="1"/>
  <c r="CQ19" i="2" s="1"/>
  <c r="BF20" i="2" a="1"/>
  <c r="BF20" i="2" s="1"/>
  <c r="BO20" i="2" s="1" a="1"/>
  <c r="BO20" i="2" s="1"/>
  <c r="BE20" i="2" a="1"/>
  <c r="BE20" i="2" s="1"/>
  <c r="BR20" i="2" s="1" a="1"/>
  <c r="BR20" i="2" s="1"/>
  <c r="BL24" i="2" a="1"/>
  <c r="BL24" i="2" s="1"/>
  <c r="CW24" i="2" s="1" a="1"/>
  <c r="CW24" i="2" s="1"/>
  <c r="CZ24" i="2" a="1"/>
  <c r="CZ24" i="2" s="1"/>
  <c r="CZ27" i="2" a="1"/>
  <c r="CZ27" i="2" s="1"/>
  <c r="BL27" i="2" a="1"/>
  <c r="BL27" i="2" s="1"/>
  <c r="CW27" i="2" s="1" a="1"/>
  <c r="CW27" i="2" s="1"/>
  <c r="CB27" i="2" a="1"/>
  <c r="CB27" i="2" s="1"/>
  <c r="CC27" i="2" s="1" a="1"/>
  <c r="CC27" i="2" s="1"/>
  <c r="BF24" i="2" a="1"/>
  <c r="BF24" i="2" s="1"/>
  <c r="BO24" i="2" s="1" a="1"/>
  <c r="BO24" i="2" s="1"/>
  <c r="BE24" i="2" a="1"/>
  <c r="BE24" i="2" s="1"/>
  <c r="BR24" i="2" s="1" a="1"/>
  <c r="BR24" i="2" s="1"/>
  <c r="CO27" i="2" a="1"/>
  <c r="CO27" i="2" s="1"/>
  <c r="CQ27" i="2" s="1" a="1"/>
  <c r="CQ27" i="2" s="1"/>
  <c r="CP28" i="2" a="1"/>
  <c r="CP28" i="2" s="1"/>
  <c r="CQ28" i="2" s="1" a="1"/>
  <c r="CQ28" i="2" s="1"/>
  <c r="BE38" i="2" a="1"/>
  <c r="BE38" i="2" s="1"/>
  <c r="BR38" i="2" s="1" a="1"/>
  <c r="BR38" i="2" s="1"/>
  <c r="BF38" i="2" a="1"/>
  <c r="BF38" i="2" s="1"/>
  <c r="BF32" i="2" a="1"/>
  <c r="BF32" i="2" s="1"/>
  <c r="BO32" i="2" s="1" a="1"/>
  <c r="BO32" i="2" s="1"/>
  <c r="BE32" i="2" a="1"/>
  <c r="BE32" i="2" s="1"/>
  <c r="BR32" i="2" s="1" a="1"/>
  <c r="BR32" i="2" s="1"/>
  <c r="CZ45" i="2" a="1"/>
  <c r="CZ45" i="2" s="1"/>
  <c r="BL45" i="2" a="1"/>
  <c r="BL45" i="2" s="1"/>
  <c r="CW45" i="2" s="1" a="1"/>
  <c r="CW45" i="2" s="1"/>
  <c r="CA42" i="2" a="1"/>
  <c r="CA42" i="2" s="1"/>
  <c r="CO38" i="2" a="1"/>
  <c r="CO38" i="2" s="1"/>
  <c r="CQ38" i="2" s="1" a="1"/>
  <c r="CQ38" i="2" s="1"/>
  <c r="BE44" i="2" a="1"/>
  <c r="BE44" i="2" s="1"/>
  <c r="BR44" i="2" s="1" a="1"/>
  <c r="BR44" i="2" s="1"/>
  <c r="BF44" i="2" a="1"/>
  <c r="BF44" i="2" s="1"/>
  <c r="BO44" i="2" s="1" a="1"/>
  <c r="BO44" i="2" s="1"/>
  <c r="CB51" i="2" a="1"/>
  <c r="CB51" i="2" s="1"/>
  <c r="CC51" i="2" s="1" a="1"/>
  <c r="CC51" i="2" s="1"/>
  <c r="CA49" i="2" a="1"/>
  <c r="CA49" i="2" s="1"/>
  <c r="CC49" i="2" s="1" a="1"/>
  <c r="CC49" i="2" s="1"/>
  <c r="BX48" i="2" a="1"/>
  <c r="BX48" i="2" s="1"/>
  <c r="BF52" i="2" a="1"/>
  <c r="BF52" i="2" s="1"/>
  <c r="BO52" i="2" s="1" a="1"/>
  <c r="BO52" i="2" s="1"/>
  <c r="BE52" i="2" a="1"/>
  <c r="BE52" i="2" s="1"/>
  <c r="BR52" i="2" s="1" a="1"/>
  <c r="BR52" i="2" s="1"/>
  <c r="BX9" i="2" a="1"/>
  <c r="BX9" i="2" s="1"/>
  <c r="C212" i="3" a="1"/>
  <c r="C212" i="3" s="1"/>
  <c r="B222" i="3" a="1"/>
  <c r="B222" i="3" s="1"/>
  <c r="C222" i="3" a="1"/>
  <c r="C222" i="3" s="1"/>
  <c r="CZ8" i="2" a="1"/>
  <c r="CZ8" i="2" s="1"/>
  <c r="BL8" i="2" a="1"/>
  <c r="BL8" i="2" s="1"/>
  <c r="CZ23" i="2" a="1"/>
  <c r="CZ23" i="2" s="1"/>
  <c r="BL23" i="2" a="1"/>
  <c r="BL23" i="2" s="1"/>
  <c r="CW23" i="2" s="1" a="1"/>
  <c r="CW23" i="2" s="1"/>
  <c r="BL20" i="2" a="1"/>
  <c r="BL20" i="2" s="1"/>
  <c r="CW20" i="2" s="1" a="1"/>
  <c r="CW20" i="2" s="1"/>
  <c r="CZ20" i="2" a="1"/>
  <c r="CZ20" i="2" s="1"/>
  <c r="CB32" i="2" a="1"/>
  <c r="CB32" i="2" s="1"/>
  <c r="CC32" i="2" s="1" a="1"/>
  <c r="CC32" i="2" s="1"/>
  <c r="BF28" i="2" a="1"/>
  <c r="BF28" i="2" s="1"/>
  <c r="BO28" i="2" s="1" a="1"/>
  <c r="BO28" i="2" s="1"/>
  <c r="BE28" i="2" a="1"/>
  <c r="BE28" i="2" s="1"/>
  <c r="BR28" i="2" s="1" a="1"/>
  <c r="BR28" i="2" s="1"/>
  <c r="CA34" i="2" a="1"/>
  <c r="CA34" i="2" s="1"/>
  <c r="BX29" i="2" a="1"/>
  <c r="BX29" i="2" s="1"/>
  <c r="CP40" i="2" a="1"/>
  <c r="CP40" i="2" s="1"/>
  <c r="CQ40" i="2" s="1" a="1"/>
  <c r="CQ40" i="2" s="1"/>
  <c r="BF40" i="2" a="1"/>
  <c r="BF40" i="2" s="1"/>
  <c r="BO40" i="2" s="1" a="1"/>
  <c r="BO40" i="2" s="1"/>
  <c r="BE40" i="2" a="1"/>
  <c r="BE40" i="2" s="1"/>
  <c r="BR40" i="2" s="1" a="1"/>
  <c r="BR40" i="2" s="1"/>
  <c r="CO45" i="2" a="1"/>
  <c r="CO45" i="2" s="1"/>
  <c r="CQ45" i="2" s="1" a="1"/>
  <c r="CQ45" i="2" s="1"/>
  <c r="CL45" i="2" a="1"/>
  <c r="CL45" i="2" s="1"/>
  <c r="CB46" i="2" a="1"/>
  <c r="CB46" i="2" s="1"/>
  <c r="CC46" i="2" s="1" a="1"/>
  <c r="CC46" i="2" s="1"/>
  <c r="CP48" i="2" a="1"/>
  <c r="CP48" i="2" s="1"/>
  <c r="CQ48" i="2" s="1" a="1"/>
  <c r="CQ48" i="2" s="1"/>
  <c r="BX52" i="2" a="1"/>
  <c r="BX52" i="2" s="1"/>
  <c r="CZ52" i="2" a="1"/>
  <c r="CZ52" i="2" s="1"/>
  <c r="BL52" i="2" a="1"/>
  <c r="BL52" i="2" s="1"/>
  <c r="CW52" i="2" s="1" a="1"/>
  <c r="CW52" i="2" s="1"/>
  <c r="H13" i="4" a="1"/>
  <c r="H13" i="4" s="1"/>
  <c r="BF6" i="2" a="1"/>
  <c r="BF6" i="2" s="1"/>
  <c r="BE6" i="2" a="1"/>
  <c r="BE6" i="2" s="1"/>
  <c r="CA20" i="2" a="1"/>
  <c r="CA20" i="2" s="1"/>
  <c r="CC20" i="2" s="1" a="1"/>
  <c r="CC20" i="2" s="1"/>
  <c r="CB28" i="2" a="1"/>
  <c r="CB28" i="2" s="1"/>
  <c r="BL21" i="2" a="1"/>
  <c r="BL21" i="2" s="1"/>
  <c r="CW21" i="2" s="1" a="1"/>
  <c r="CW21" i="2" s="1"/>
  <c r="CZ21" i="2" a="1"/>
  <c r="CZ21" i="2" s="1"/>
  <c r="CL27" i="2" a="1"/>
  <c r="CL27" i="2" s="1"/>
  <c r="BF33" i="2" a="1"/>
  <c r="BF33" i="2" s="1"/>
  <c r="BO33" i="2" s="1" a="1"/>
  <c r="BO33" i="2" s="1"/>
  <c r="BE33" i="2" a="1"/>
  <c r="BE33" i="2" s="1"/>
  <c r="BR33" i="2" s="1" a="1"/>
  <c r="BR33" i="2" s="1"/>
  <c r="CO34" i="2" a="1"/>
  <c r="CO34" i="2" s="1"/>
  <c r="CQ34" i="2" s="1" a="1"/>
  <c r="CQ34" i="2" s="1"/>
  <c r="CA39" i="2" a="1"/>
  <c r="CA39" i="2" s="1"/>
  <c r="CC39" i="2" s="1" a="1"/>
  <c r="CC39" i="2" s="1"/>
  <c r="BL53" i="2" a="1"/>
  <c r="BL53" i="2" s="1"/>
  <c r="CW53" i="2" s="1" a="1"/>
  <c r="CW53" i="2" s="1"/>
  <c r="CZ53" i="2" a="1"/>
  <c r="CZ53" i="2" s="1"/>
  <c r="T12" i="4" a="1"/>
  <c r="T12" i="4" s="1"/>
  <c r="T13" i="4" a="1"/>
  <c r="T13" i="4" s="1"/>
  <c r="T37" i="4" a="1"/>
  <c r="T37" i="4" s="1"/>
  <c r="AR6" i="2" a="1"/>
  <c r="AR6" i="2" s="1"/>
  <c r="K4" i="4" s="1" a="1"/>
  <c r="K4" i="4" s="1"/>
  <c r="BT63" i="2" a="1"/>
  <c r="BT63" i="2" s="1"/>
  <c r="CZ18" i="2" a="1"/>
  <c r="CZ18" i="2" s="1"/>
  <c r="BL18" i="2" a="1"/>
  <c r="BL18" i="2" s="1"/>
  <c r="CW18" i="2" s="1" a="1"/>
  <c r="CW18" i="2" s="1"/>
  <c r="AE11" i="4" a="1"/>
  <c r="AE11" i="4" s="1"/>
  <c r="AS89" i="2" a="1"/>
  <c r="AS89" i="2" s="1"/>
  <c r="AP89" i="2" a="1"/>
  <c r="AP89" i="2" s="1"/>
  <c r="AO89" i="2" a="1"/>
  <c r="AO89" i="2" s="1"/>
  <c r="AQ89" i="2" a="1"/>
  <c r="AQ89" i="2" s="1"/>
  <c r="AR89" i="2" a="1"/>
  <c r="AR89" i="2" s="1"/>
  <c r="CA13" i="2" a="1"/>
  <c r="CA13" i="2" s="1"/>
  <c r="CC13" i="2" s="1" a="1"/>
  <c r="CC13" i="2" s="1"/>
  <c r="BE16" i="2" a="1"/>
  <c r="BE16" i="2" s="1"/>
  <c r="BR16" i="2" s="1" a="1"/>
  <c r="BR16" i="2" s="1"/>
  <c r="BF16" i="2" a="1"/>
  <c r="BF16" i="2" s="1"/>
  <c r="BO16" i="2" s="1" a="1"/>
  <c r="BO16" i="2" s="1"/>
  <c r="CL9" i="2" a="1"/>
  <c r="CL9" i="2" s="1"/>
  <c r="BF30" i="2" a="1"/>
  <c r="BF30" i="2" s="1"/>
  <c r="AN54" i="2" s="1" a="1"/>
  <c r="AN54" i="2" s="1"/>
  <c r="BE30" i="2" a="1"/>
  <c r="BE30" i="2" s="1"/>
  <c r="BR30" i="2" s="1" a="1"/>
  <c r="BR30" i="2" s="1"/>
  <c r="BX36" i="2" a="1"/>
  <c r="BX36" i="2" s="1"/>
  <c r="CZ30" i="2" a="1"/>
  <c r="CZ30" i="2" s="1"/>
  <c r="BL30" i="2" a="1"/>
  <c r="BL30" i="2" s="1"/>
  <c r="CW30" i="2" s="1" a="1"/>
  <c r="CW30" i="2" s="1"/>
  <c r="CP39" i="2" a="1"/>
  <c r="CP39" i="2" s="1"/>
  <c r="CQ39" i="2" s="1" a="1"/>
  <c r="CQ39" i="2" s="1"/>
  <c r="BF49" i="2" a="1"/>
  <c r="BF49" i="2" s="1"/>
  <c r="BO49" i="2" s="1" a="1"/>
  <c r="BO49" i="2" s="1"/>
  <c r="BE49" i="2" a="1"/>
  <c r="BE49" i="2" s="1"/>
  <c r="BR49" i="2" s="1" a="1"/>
  <c r="BR49" i="2" s="1"/>
  <c r="CP51" i="2" a="1"/>
  <c r="CP51" i="2" s="1"/>
  <c r="CQ51" i="2" s="1" a="1"/>
  <c r="CQ51" i="2" s="1"/>
  <c r="CL48" i="2" a="1"/>
  <c r="CL48" i="2" s="1"/>
  <c r="BF53" i="2" a="1"/>
  <c r="BF53" i="2" s="1"/>
  <c r="BO53" i="2" s="1" a="1"/>
  <c r="BO53" i="2" s="1"/>
  <c r="BE53" i="2" a="1"/>
  <c r="BE53" i="2" s="1"/>
  <c r="BR53" i="2" s="1" a="1"/>
  <c r="BR53" i="2" s="1"/>
  <c r="H28" i="4" a="1"/>
  <c r="H28" i="4" s="1"/>
  <c r="H39" i="4" a="1"/>
  <c r="H39" i="4" s="1"/>
  <c r="H37" i="4" a="1"/>
  <c r="H37" i="4" s="1"/>
  <c r="C183" i="3" a="1"/>
  <c r="C183" i="3" s="1"/>
  <c r="C201" i="3" a="1"/>
  <c r="C201" i="3" s="1"/>
  <c r="B201" i="3" a="1"/>
  <c r="B201" i="3" s="1"/>
  <c r="C189" i="3" a="1"/>
  <c r="C189" i="3" s="1"/>
  <c r="C207" i="3" a="1"/>
  <c r="C207" i="3" s="1"/>
  <c r="B207" i="3" a="1"/>
  <c r="B207" i="3" s="1"/>
  <c r="BF63" i="2" a="1"/>
  <c r="BF63" i="2" s="1"/>
  <c r="AO71" i="2" a="1"/>
  <c r="AO71" i="2" s="1"/>
  <c r="AP71" i="2" a="1"/>
  <c r="AP71" i="2" s="1"/>
  <c r="AQ71" i="2" a="1"/>
  <c r="AQ71" i="2" s="1"/>
  <c r="AS71" i="2" a="1"/>
  <c r="AS71" i="2" s="1"/>
  <c r="AR71" i="2" a="1"/>
  <c r="AR71" i="2" s="1"/>
  <c r="AO65" i="2" a="1"/>
  <c r="AO65" i="2" s="1"/>
  <c r="AS65" i="2" a="1"/>
  <c r="AS65" i="2" s="1"/>
  <c r="AQ65" i="2" a="1"/>
  <c r="AQ65" i="2" s="1"/>
  <c r="AP65" i="2" a="1"/>
  <c r="AP65" i="2" s="1"/>
  <c r="AR65" i="2" a="1"/>
  <c r="AR65" i="2" s="1"/>
  <c r="CC14" i="2" a="1"/>
  <c r="CC14" i="2" s="1"/>
  <c r="BF64" i="2" a="1"/>
  <c r="BF64" i="2" s="1"/>
  <c r="AP81" i="2" a="1"/>
  <c r="AP81" i="2" s="1"/>
  <c r="AO81" i="2" a="1"/>
  <c r="AO81" i="2" s="1"/>
  <c r="AR81" i="2" a="1"/>
  <c r="AR81" i="2" s="1"/>
  <c r="AQ81" i="2" a="1"/>
  <c r="AQ81" i="2" s="1"/>
  <c r="AS81" i="2" a="1"/>
  <c r="AS81" i="2" s="1"/>
  <c r="AS57" i="2" a="1"/>
  <c r="AS57" i="2" s="1"/>
  <c r="AR57" i="2" a="1"/>
  <c r="AR57" i="2" s="1"/>
  <c r="AQ57" i="2" a="1"/>
  <c r="AQ57" i="2" s="1"/>
  <c r="AP57" i="2" a="1"/>
  <c r="AP57" i="2" s="1"/>
  <c r="AO57" i="2" a="1"/>
  <c r="AO57" i="2" s="1"/>
  <c r="BE7" i="2" a="1"/>
  <c r="BE7" i="2" s="1"/>
  <c r="BR7" i="2" s="1" a="1"/>
  <c r="BR7" i="2" s="1"/>
  <c r="BF7" i="2" a="1"/>
  <c r="BF7" i="2" s="1"/>
  <c r="BO7" i="2" s="1" a="1"/>
  <c r="BO7" i="2" s="1"/>
  <c r="CA8" i="2" a="1"/>
  <c r="CA8" i="2" s="1"/>
  <c r="CC8" i="2" s="1" a="1"/>
  <c r="CC8" i="2" s="1"/>
  <c r="CL13" i="2" a="1"/>
  <c r="CL13" i="2" s="1"/>
  <c r="CB17" i="2" a="1"/>
  <c r="CB17" i="2" s="1"/>
  <c r="CC17" i="2" s="1" a="1"/>
  <c r="CC17" i="2" s="1"/>
  <c r="BE17" i="2" a="1"/>
  <c r="BE17" i="2" s="1"/>
  <c r="BR17" i="2" s="1" a="1"/>
  <c r="BR17" i="2" s="1"/>
  <c r="BF17" i="2" a="1"/>
  <c r="BF17" i="2" s="1"/>
  <c r="BO17" i="2" s="1" a="1"/>
  <c r="BO17" i="2" s="1"/>
  <c r="CB11" i="2" a="1"/>
  <c r="CB11" i="2" s="1"/>
  <c r="CC11" i="2" s="1" a="1"/>
  <c r="CC11" i="2" s="1"/>
  <c r="CP21" i="2" a="1"/>
  <c r="CP21" i="2" s="1"/>
  <c r="CQ21" i="2" s="1" a="1"/>
  <c r="CQ21" i="2" s="1"/>
  <c r="BF27" i="2" a="1"/>
  <c r="BF27" i="2" s="1"/>
  <c r="BO27" i="2" s="1" a="1"/>
  <c r="BO27" i="2" s="1"/>
  <c r="BE27" i="2" a="1"/>
  <c r="BE27" i="2" s="1"/>
  <c r="BR27" i="2" s="1" a="1"/>
  <c r="BR27" i="2" s="1"/>
  <c r="CB33" i="2" a="1"/>
  <c r="CB33" i="2" s="1"/>
  <c r="CC33" i="2" s="1" a="1"/>
  <c r="CC33" i="2" s="1"/>
  <c r="CP42" i="2" a="1"/>
  <c r="CP42" i="2" s="1"/>
  <c r="CQ42" i="2" s="1" a="1"/>
  <c r="CQ42" i="2" s="1"/>
  <c r="BF43" i="2" a="1"/>
  <c r="BF43" i="2" s="1"/>
  <c r="BO43" i="2" s="1" a="1"/>
  <c r="BO43" i="2" s="1"/>
  <c r="BE43" i="2" a="1"/>
  <c r="BE43" i="2" s="1"/>
  <c r="BR43" i="2" s="1" a="1"/>
  <c r="BR43" i="2" s="1"/>
  <c r="CB45" i="2" a="1"/>
  <c r="CB45" i="2" s="1"/>
  <c r="CC45" i="2" s="1" a="1"/>
  <c r="CC45" i="2" s="1"/>
  <c r="BE41" i="2" a="1"/>
  <c r="BE41" i="2" s="1"/>
  <c r="BR41" i="2" s="1" a="1"/>
  <c r="BR41" i="2" s="1"/>
  <c r="BF41" i="2" a="1"/>
  <c r="BF41" i="2" s="1"/>
  <c r="BO41" i="2" s="1" a="1"/>
  <c r="BO41" i="2" s="1"/>
  <c r="CO49" i="2" a="1"/>
  <c r="CO49" i="2" s="1"/>
  <c r="CQ49" i="2" s="1" a="1"/>
  <c r="CQ49" i="2" s="1"/>
  <c r="BE46" i="2" a="1"/>
  <c r="BE46" i="2" s="1"/>
  <c r="BR46" i="2" s="1" a="1"/>
  <c r="BR46" i="2" s="1"/>
  <c r="BF46" i="2" a="1"/>
  <c r="BF46" i="2" s="1"/>
  <c r="AN86" i="2" s="1" a="1"/>
  <c r="AN86" i="2" s="1"/>
  <c r="H20" i="4" a="1"/>
  <c r="H20" i="4" s="1"/>
  <c r="T15" i="4" a="1"/>
  <c r="T15" i="4" s="1"/>
  <c r="H44" i="4" a="1"/>
  <c r="H44" i="4" s="1"/>
  <c r="T39" i="4" a="1"/>
  <c r="T39" i="4" s="1"/>
  <c r="AR8" i="2" a="1"/>
  <c r="AR8" i="2" s="1"/>
  <c r="K6" i="4" s="1" a="1"/>
  <c r="K6" i="4" s="1"/>
  <c r="BL64" i="2" a="1"/>
  <c r="BL64" i="2" s="1"/>
  <c r="AS48" i="2" a="1"/>
  <c r="AS48" i="2" s="1"/>
  <c r="AP48" i="2" a="1"/>
  <c r="AP48" i="2" s="1"/>
  <c r="AO48" i="2" a="1"/>
  <c r="AO48" i="2" s="1"/>
  <c r="AR48" i="2" a="1"/>
  <c r="AR48" i="2" s="1"/>
  <c r="AQ48" i="2" a="1"/>
  <c r="AQ48" i="2" s="1"/>
  <c r="AQ97" i="2" a="1"/>
  <c r="AQ97" i="2" s="1"/>
  <c r="AO97" i="2" a="1"/>
  <c r="AO97" i="2" s="1"/>
  <c r="AR97" i="2" a="1"/>
  <c r="AR97" i="2" s="1"/>
  <c r="AS97" i="2" a="1"/>
  <c r="AS97" i="2" s="1"/>
  <c r="AP97" i="2" a="1"/>
  <c r="AP97" i="2" s="1"/>
  <c r="AQ56" i="2" a="1"/>
  <c r="AQ56" i="2" s="1"/>
  <c r="AP56" i="2" a="1"/>
  <c r="AP56" i="2" s="1"/>
  <c r="AO56" i="2" a="1"/>
  <c r="AO56" i="2" s="1"/>
  <c r="AR56" i="2" a="1"/>
  <c r="AR56" i="2" s="1"/>
  <c r="AS56" i="2" a="1"/>
  <c r="AS56" i="2" s="1"/>
  <c r="BL15" i="2" a="1"/>
  <c r="BL15" i="2" s="1"/>
  <c r="CW15" i="2" s="1" a="1"/>
  <c r="CW15" i="2" s="1"/>
  <c r="CZ15" i="2" a="1"/>
  <c r="CZ15" i="2" s="1"/>
  <c r="AO64" i="2" a="1"/>
  <c r="AO64" i="2" s="1"/>
  <c r="AS64" i="2" a="1"/>
  <c r="AS64" i="2" s="1"/>
  <c r="AR64" i="2" a="1"/>
  <c r="AR64" i="2" s="1"/>
  <c r="AQ64" i="2" a="1"/>
  <c r="AQ64" i="2" s="1"/>
  <c r="AP64" i="2" a="1"/>
  <c r="AP64" i="2" s="1"/>
  <c r="BL60" i="2" a="1"/>
  <c r="BL60" i="2" s="1"/>
  <c r="AQ16" i="2" a="1"/>
  <c r="AQ16" i="2" s="1"/>
  <c r="AP16" i="2" a="1"/>
  <c r="AP16" i="2" s="1"/>
  <c r="AO16" i="2" a="1"/>
  <c r="AO16" i="2" s="1"/>
  <c r="AS16" i="2" a="1"/>
  <c r="AS16" i="2" s="1"/>
  <c r="AR16" i="2" a="1"/>
  <c r="AR16" i="2" s="1"/>
  <c r="BF12" i="2" a="1"/>
  <c r="BF12" i="2" s="1"/>
  <c r="BO12" i="2" s="1" a="1"/>
  <c r="BO12" i="2" s="1"/>
  <c r="BE12" i="2" a="1"/>
  <c r="BE12" i="2" s="1"/>
  <c r="BR12" i="2" s="1" a="1"/>
  <c r="BR12" i="2" s="1"/>
  <c r="B205" i="3" a="1"/>
  <c r="B205" i="3" s="1"/>
  <c r="C205" i="3" a="1"/>
  <c r="C205" i="3" s="1"/>
  <c r="C187" i="3" a="1"/>
  <c r="C187" i="3" s="1"/>
  <c r="BF62" i="2" a="1"/>
  <c r="BF62" i="2" s="1"/>
  <c r="BT60" i="2" a="1"/>
  <c r="BT60" i="2" s="1"/>
  <c r="AR49" i="2" a="1"/>
  <c r="AR49" i="2" s="1"/>
  <c r="AQ49" i="2" a="1"/>
  <c r="AQ49" i="2" s="1"/>
  <c r="AT49" i="2" a="1"/>
  <c r="AT49" i="2" s="1"/>
  <c r="J47" i="4" s="1" a="1"/>
  <c r="J47" i="4" s="1"/>
  <c r="AS49" i="2" a="1"/>
  <c r="AS49" i="2" s="1"/>
  <c r="AP49" i="2" a="1"/>
  <c r="AP49" i="2" s="1"/>
  <c r="AO49" i="2" a="1"/>
  <c r="AO49" i="2" s="1"/>
  <c r="AP33" i="2" a="1"/>
  <c r="AP33" i="2" s="1"/>
  <c r="AS33" i="2" a="1"/>
  <c r="AS33" i="2" s="1"/>
  <c r="AR33" i="2" a="1"/>
  <c r="AR33" i="2" s="1"/>
  <c r="AQ33" i="2" a="1"/>
  <c r="AQ33" i="2" s="1"/>
  <c r="AO33" i="2" a="1"/>
  <c r="AO33" i="2" s="1"/>
  <c r="AR72" i="2" a="1"/>
  <c r="AR72" i="2" s="1"/>
  <c r="AP72" i="2" a="1"/>
  <c r="AP72" i="2" s="1"/>
  <c r="AO72" i="2" a="1"/>
  <c r="AO72" i="2" s="1"/>
  <c r="AS72" i="2" a="1"/>
  <c r="AS72" i="2" s="1"/>
  <c r="AQ72" i="2" a="1"/>
  <c r="AQ72" i="2" s="1"/>
  <c r="BF61" i="2" a="1"/>
  <c r="BF61" i="2" s="1"/>
  <c r="BG60" i="2" a="1"/>
  <c r="BG60" i="2" s="1"/>
  <c r="BF60" i="2" s="1" a="1"/>
  <c r="BF60" i="2" s="1"/>
  <c r="BF15" i="2" a="1"/>
  <c r="BF15" i="2" s="1"/>
  <c r="BO15" i="2" s="1" a="1"/>
  <c r="BO15" i="2" s="1"/>
  <c r="BE15" i="2" a="1"/>
  <c r="BE15" i="2" s="1"/>
  <c r="BR15" i="2" s="1" a="1"/>
  <c r="BR15" i="2" s="1"/>
  <c r="BX17" i="2" a="1"/>
  <c r="BX17" i="2" s="1"/>
  <c r="BX12" i="2" a="1"/>
  <c r="BX12" i="2" s="1"/>
  <c r="BF8" i="2" a="1"/>
  <c r="BF8" i="2" s="1"/>
  <c r="BE8" i="2" a="1"/>
  <c r="BE8" i="2" s="1"/>
  <c r="BL25" i="2" a="1"/>
  <c r="BL25" i="2" s="1"/>
  <c r="CW25" i="2" s="1" a="1"/>
  <c r="CW25" i="2" s="1"/>
  <c r="CZ25" i="2" a="1"/>
  <c r="CZ25" i="2" s="1"/>
  <c r="BF23" i="2" a="1"/>
  <c r="BF23" i="2" s="1"/>
  <c r="BO23" i="2" s="1" a="1"/>
  <c r="BO23" i="2" s="1"/>
  <c r="BE23" i="2" a="1"/>
  <c r="BE23" i="2" s="1"/>
  <c r="BR23" i="2" s="1" a="1"/>
  <c r="BR23" i="2" s="1"/>
  <c r="BX35" i="2" a="1"/>
  <c r="BX35" i="2" s="1"/>
  <c r="CZ37" i="2" a="1"/>
  <c r="CZ37" i="2" s="1"/>
  <c r="BL37" i="2" a="1"/>
  <c r="BL37" i="2" s="1"/>
  <c r="CW37" i="2" s="1" a="1"/>
  <c r="CW37" i="2" s="1"/>
  <c r="BF45" i="2" a="1"/>
  <c r="BF45" i="2" s="1"/>
  <c r="BO45" i="2" s="1" a="1"/>
  <c r="BO45" i="2" s="1"/>
  <c r="BE45" i="2" a="1"/>
  <c r="BE45" i="2" s="1"/>
  <c r="BR45" i="2" s="1" a="1"/>
  <c r="BR45" i="2" s="1"/>
  <c r="BX50" i="2" a="1"/>
  <c r="BX50" i="2" s="1"/>
  <c r="BE50" i="2" a="1"/>
  <c r="BE50" i="2" s="1"/>
  <c r="BR50" i="2" s="1" a="1"/>
  <c r="BR50" i="2" s="1"/>
  <c r="BF50" i="2" a="1"/>
  <c r="BF50" i="2" s="1"/>
  <c r="AN94" i="2" s="1" a="1"/>
  <c r="AN94" i="2" s="1"/>
  <c r="T7" i="4" a="1"/>
  <c r="T7" i="4" s="1"/>
  <c r="AS9" i="2" a="1"/>
  <c r="AS9" i="2" s="1"/>
  <c r="AR9" i="2" a="1"/>
  <c r="AR9" i="2" s="1"/>
  <c r="AP9" i="2" a="1"/>
  <c r="AP9" i="2" s="1"/>
  <c r="AQ9" i="2" a="1"/>
  <c r="AQ9" i="2" s="1"/>
  <c r="AO9" i="2" a="1"/>
  <c r="AO9" i="2" s="1"/>
  <c r="BX11" i="2" a="1"/>
  <c r="BX11" i="2" s="1"/>
  <c r="B220" i="3" a="1"/>
  <c r="B220" i="3" s="1"/>
  <c r="C210" i="3" a="1"/>
  <c r="C210" i="3" s="1"/>
  <c r="C220" i="3" a="1"/>
  <c r="C220" i="3" s="1"/>
  <c r="BL65" i="2" a="1"/>
  <c r="BL65" i="2" s="1"/>
  <c r="AR38" i="2" a="1"/>
  <c r="AR38" i="2" s="1"/>
  <c r="AQ38" i="2" a="1"/>
  <c r="AQ38" i="2" s="1"/>
  <c r="AS38" i="2" a="1"/>
  <c r="AS38" i="2" s="1"/>
  <c r="AP38" i="2" a="1"/>
  <c r="AP38" i="2" s="1"/>
  <c r="AO38" i="2" a="1"/>
  <c r="AO38" i="2" s="1"/>
  <c r="BN45" i="4" a="1"/>
  <c r="BN45" i="4" s="1"/>
  <c r="BN44" i="4" a="1"/>
  <c r="BN44" i="4" s="1"/>
  <c r="BN40" i="4" a="1"/>
  <c r="BN40" i="4" s="1"/>
  <c r="BN51" i="4" a="1"/>
  <c r="BN51" i="4" s="1"/>
  <c r="BN46" i="4" a="1"/>
  <c r="BN46" i="4" s="1"/>
  <c r="BN32" i="4" a="1"/>
  <c r="BN32" i="4" s="1"/>
  <c r="BN50" i="4" a="1"/>
  <c r="BN50" i="4" s="1"/>
  <c r="BN37" i="4" a="1"/>
  <c r="BN37" i="4" s="1"/>
  <c r="BN47" i="4" a="1"/>
  <c r="BN47" i="4" s="1"/>
  <c r="BN42" i="4" a="1"/>
  <c r="BN42" i="4" s="1"/>
  <c r="BN41" i="4" a="1"/>
  <c r="BN41" i="4" s="1"/>
  <c r="BN48" i="4" a="1"/>
  <c r="BN48" i="4" s="1"/>
  <c r="BN30" i="4" a="1"/>
  <c r="BN30" i="4" s="1"/>
  <c r="BN21" i="4" a="1"/>
  <c r="BN21" i="4" s="1"/>
  <c r="BN49" i="4" a="1"/>
  <c r="BN49" i="4" s="1"/>
  <c r="BN16" i="4" a="1"/>
  <c r="BN16" i="4" s="1"/>
  <c r="BN34" i="4" a="1"/>
  <c r="BN34" i="4" s="1"/>
  <c r="BN26" i="4" a="1"/>
  <c r="BN26" i="4" s="1"/>
  <c r="BN36" i="4" a="1"/>
  <c r="BN36" i="4" s="1"/>
  <c r="BN43" i="4" a="1"/>
  <c r="BN43" i="4" s="1"/>
  <c r="BN15" i="4" a="1"/>
  <c r="BN15" i="4" s="1"/>
  <c r="BN29" i="4" a="1"/>
  <c r="BN29" i="4" s="1"/>
  <c r="BN9" i="4" a="1"/>
  <c r="BN9" i="4" s="1"/>
  <c r="BN28" i="4" a="1"/>
  <c r="BN28" i="4" s="1"/>
  <c r="BN25" i="4" a="1"/>
  <c r="BN25" i="4" s="1"/>
  <c r="BN22" i="4" a="1"/>
  <c r="BN22" i="4" s="1"/>
  <c r="BN10" i="4" a="1"/>
  <c r="BN10" i="4" s="1"/>
  <c r="BN5" i="4" a="1"/>
  <c r="BN5" i="4" s="1"/>
  <c r="BN18" i="4" a="1"/>
  <c r="BN18" i="4" s="1"/>
  <c r="BN14" i="4" a="1"/>
  <c r="BN14" i="4" s="1"/>
  <c r="BN7" i="4" a="1"/>
  <c r="BN7" i="4" s="1"/>
  <c r="BN39" i="4" a="1"/>
  <c r="BN39" i="4" s="1"/>
  <c r="BN23" i="4" a="1"/>
  <c r="BN23" i="4" s="1"/>
  <c r="BN24" i="4" a="1"/>
  <c r="BN24" i="4" s="1"/>
  <c r="BN35" i="4" a="1"/>
  <c r="BN35" i="4" s="1"/>
  <c r="BN31" i="4" a="1"/>
  <c r="BN31" i="4" s="1"/>
  <c r="BN4" i="4" a="1"/>
  <c r="BN4" i="4" s="1"/>
  <c r="BN11" i="4" a="1"/>
  <c r="BN11" i="4" s="1"/>
  <c r="BN8" i="4" a="1"/>
  <c r="BN8" i="4" s="1"/>
  <c r="BN20" i="4" a="1"/>
  <c r="BN20" i="4" s="1"/>
  <c r="BN33" i="4" a="1"/>
  <c r="BN33" i="4" s="1"/>
  <c r="BN19" i="4" a="1"/>
  <c r="BN19" i="4" s="1"/>
  <c r="BN6" i="4" a="1"/>
  <c r="BN6" i="4" s="1"/>
  <c r="BN13" i="4" a="1"/>
  <c r="BN13" i="4" s="1"/>
  <c r="BN12" i="4" a="1"/>
  <c r="BN12" i="4" s="1"/>
  <c r="BN38" i="4" a="1"/>
  <c r="BN38" i="4" s="1"/>
  <c r="BN17" i="4" a="1"/>
  <c r="BN17" i="4" s="1"/>
  <c r="BN27" i="4" a="1"/>
  <c r="BN27" i="4" s="1"/>
  <c r="C232" i="3" a="1"/>
  <c r="C232" i="3" s="1"/>
  <c r="B232" i="3" a="1"/>
  <c r="B232" i="3" s="1"/>
  <c r="C226" i="3" a="1"/>
  <c r="C226" i="3" s="1"/>
  <c r="AI7" i="4" a="1"/>
  <c r="AI7" i="4" s="1"/>
  <c r="BF69" i="2" a="1"/>
  <c r="BF69" i="2" s="1"/>
  <c r="AR40" i="2" a="1"/>
  <c r="AR40" i="2" s="1"/>
  <c r="AQ40" i="2" a="1"/>
  <c r="AQ40" i="2" s="1"/>
  <c r="AP40" i="2" a="1"/>
  <c r="AP40" i="2" s="1"/>
  <c r="AO40" i="2" a="1"/>
  <c r="AO40" i="2" s="1"/>
  <c r="AS40" i="2" a="1"/>
  <c r="AS40" i="2" s="1"/>
  <c r="AS14" i="2" a="1"/>
  <c r="AS14" i="2" s="1"/>
  <c r="AR14" i="2" a="1"/>
  <c r="AR14" i="2" s="1"/>
  <c r="AQ14" i="2" a="1"/>
  <c r="AQ14" i="2" s="1"/>
  <c r="AP14" i="2" a="1"/>
  <c r="AP14" i="2" s="1"/>
  <c r="AO14" i="2" a="1"/>
  <c r="AO14" i="2" s="1"/>
  <c r="AE46" i="4" a="1"/>
  <c r="AE46" i="4" s="1"/>
  <c r="BT59" i="2" a="1"/>
  <c r="BT59" i="2" s="1"/>
  <c r="BU59" i="2" s="1" a="1"/>
  <c r="BU59" i="2" s="1"/>
  <c r="AR96" i="2" a="1"/>
  <c r="AR96" i="2" s="1"/>
  <c r="AS96" i="2" a="1"/>
  <c r="AS96" i="2" s="1"/>
  <c r="AQ96" i="2" a="1"/>
  <c r="AQ96" i="2" s="1"/>
  <c r="AP96" i="2" a="1"/>
  <c r="AP96" i="2" s="1"/>
  <c r="AO96" i="2" a="1"/>
  <c r="AO96" i="2" s="1"/>
  <c r="AM13" i="4" a="1"/>
  <c r="AM13" i="4" s="1"/>
  <c r="BT69" i="2" a="1"/>
  <c r="BT69" i="2" s="1"/>
  <c r="AS55" i="2" a="1"/>
  <c r="AS55" i="2" s="1"/>
  <c r="AR55" i="2" a="1"/>
  <c r="AR55" i="2" s="1"/>
  <c r="AQ55" i="2" a="1"/>
  <c r="AQ55" i="2" s="1"/>
  <c r="AP55" i="2" a="1"/>
  <c r="AP55" i="2" s="1"/>
  <c r="AO55" i="2" a="1"/>
  <c r="AO55" i="2" s="1"/>
  <c r="B223" i="3" a="1"/>
  <c r="B223" i="3" s="1"/>
  <c r="B233" i="3" a="1"/>
  <c r="B233" i="3" s="1"/>
  <c r="AO78" i="2" a="1"/>
  <c r="AO78" i="2" s="1"/>
  <c r="AS78" i="2" a="1"/>
  <c r="AS78" i="2" s="1"/>
  <c r="AP78" i="2" a="1"/>
  <c r="AP78" i="2" s="1"/>
  <c r="AR78" i="2" a="1"/>
  <c r="AR78" i="2" s="1"/>
  <c r="AQ78" i="2" a="1"/>
  <c r="AQ78" i="2" s="1"/>
  <c r="BJ59" i="2" a="1"/>
  <c r="BJ59" i="2" s="1"/>
  <c r="BL59" i="2" s="1" a="1"/>
  <c r="BL59" i="2" s="1"/>
  <c r="AQ79" i="2" a="1"/>
  <c r="AQ79" i="2" s="1"/>
  <c r="AP79" i="2" a="1"/>
  <c r="AP79" i="2" s="1"/>
  <c r="AS79" i="2" a="1"/>
  <c r="AS79" i="2" s="1"/>
  <c r="AR79" i="2" a="1"/>
  <c r="AR79" i="2" s="1"/>
  <c r="AO79" i="2" a="1"/>
  <c r="AO79" i="2" s="1"/>
  <c r="AR31" i="2" a="1"/>
  <c r="AR31" i="2" s="1"/>
  <c r="AQ31" i="2" a="1"/>
  <c r="AQ31" i="2" s="1"/>
  <c r="AP31" i="2" a="1"/>
  <c r="AP31" i="2" s="1"/>
  <c r="AO31" i="2" a="1"/>
  <c r="AO31" i="2" s="1"/>
  <c r="AS31" i="2" a="1"/>
  <c r="AS31" i="2" s="1"/>
  <c r="AR54" i="2" a="1"/>
  <c r="AR54" i="2" s="1"/>
  <c r="AP54" i="2" a="1"/>
  <c r="AP54" i="2" s="1"/>
  <c r="AO54" i="2" a="1"/>
  <c r="AO54" i="2" s="1"/>
  <c r="AS54" i="2" a="1"/>
  <c r="AS54" i="2" s="1"/>
  <c r="AQ54" i="2" a="1"/>
  <c r="AQ54" i="2" s="1"/>
  <c r="AS94" i="2" a="1"/>
  <c r="AS94" i="2" s="1"/>
  <c r="AR94" i="2" a="1"/>
  <c r="AR94" i="2" s="1"/>
  <c r="AO94" i="2" a="1"/>
  <c r="AO94" i="2" s="1"/>
  <c r="AQ94" i="2" a="1"/>
  <c r="AQ94" i="2" s="1"/>
  <c r="AP94" i="2" a="1"/>
  <c r="AP94" i="2" s="1"/>
  <c r="BF21" i="2" a="1"/>
  <c r="BF21" i="2" s="1"/>
  <c r="BO21" i="2" s="1" a="1"/>
  <c r="BO21" i="2" s="1"/>
  <c r="BE21" i="2" a="1"/>
  <c r="BE21" i="2" s="1"/>
  <c r="BR21" i="2" s="1" a="1"/>
  <c r="BR21" i="2" s="1"/>
  <c r="BE13" i="2" a="1"/>
  <c r="BE13" i="2" s="1"/>
  <c r="BF13" i="2" a="1"/>
  <c r="BF13" i="2" s="1"/>
  <c r="CB24" i="2" a="1"/>
  <c r="CB24" i="2" s="1"/>
  <c r="CC24" i="2" s="1" a="1"/>
  <c r="CC24" i="2" s="1"/>
  <c r="BX32" i="2" a="1"/>
  <c r="BX32" i="2" s="1"/>
  <c r="CQ33" i="2" a="1"/>
  <c r="CQ33" i="2" s="1"/>
  <c r="CZ39" i="2" a="1"/>
  <c r="CZ39" i="2" s="1"/>
  <c r="BL39" i="2" a="1"/>
  <c r="BL39" i="2" s="1"/>
  <c r="CW39" i="2" s="1" a="1"/>
  <c r="CW39" i="2" s="1"/>
  <c r="CZ51" i="2" a="1"/>
  <c r="CZ51" i="2" s="1"/>
  <c r="BL51" i="2" a="1"/>
  <c r="BL51" i="2" s="1"/>
  <c r="CW51" i="2" s="1" a="1"/>
  <c r="CW51" i="2" s="1"/>
  <c r="BF47" i="2" a="1"/>
  <c r="BF47" i="2" s="1"/>
  <c r="BO47" i="2" s="1" a="1"/>
  <c r="BO47" i="2" s="1"/>
  <c r="BE47" i="2" a="1"/>
  <c r="BE47" i="2" s="1"/>
  <c r="BR47" i="2" s="1" a="1"/>
  <c r="BR47" i="2" s="1"/>
  <c r="H14" i="4" a="1"/>
  <c r="H14" i="4" s="1"/>
  <c r="CQ50" i="2" l="1" a="1"/>
  <c r="CQ50" i="2" s="1"/>
  <c r="AT14" i="2" a="1"/>
  <c r="AT14" i="2" s="1"/>
  <c r="J12" i="4" s="1" a="1"/>
  <c r="J12" i="4" s="1"/>
  <c r="CC42" i="2" a="1"/>
  <c r="CC42" i="2" s="1"/>
  <c r="CC36" i="2" a="1"/>
  <c r="CC36" i="2" s="1"/>
  <c r="CC29" i="2" a="1"/>
  <c r="CC29" i="2" s="1"/>
  <c r="CQ36" i="2" a="1"/>
  <c r="CQ36" i="2" s="1"/>
  <c r="BU60" i="2" a="1"/>
  <c r="BU60" i="2" s="1"/>
  <c r="CC34" i="2" a="1"/>
  <c r="CC34" i="2" s="1"/>
  <c r="AT48" i="2" a="1"/>
  <c r="AT48" i="2" s="1"/>
  <c r="J46" i="4" s="1" a="1"/>
  <c r="J46" i="4" s="1"/>
  <c r="CQ7" i="2" a="1"/>
  <c r="CQ7" i="2" s="1"/>
  <c r="AT89" i="2" a="1"/>
  <c r="AT89" i="2" s="1"/>
  <c r="V39" i="4" s="1" a="1"/>
  <c r="V39" i="4" s="1"/>
  <c r="AM78" i="2" a="1"/>
  <c r="AM78" i="2" s="1"/>
  <c r="U28" i="4" s="1" a="1"/>
  <c r="U28" i="4" s="1"/>
  <c r="BU66" i="2" a="1"/>
  <c r="BU66" i="2" s="1"/>
  <c r="AN49" i="2" a="1"/>
  <c r="AN49" i="2" s="1"/>
  <c r="CQ18" i="2" a="1"/>
  <c r="CQ18" i="2" s="1"/>
  <c r="AT78" i="2" a="1"/>
  <c r="AT78" i="2" s="1"/>
  <c r="V28" i="4" s="1" a="1"/>
  <c r="V28" i="4" s="1"/>
  <c r="BU63" i="2" a="1"/>
  <c r="BU63" i="2" s="1"/>
  <c r="AM49" i="2" a="1"/>
  <c r="AM49" i="2" s="1"/>
  <c r="I47" i="4" s="1" a="1"/>
  <c r="I47" i="4" s="1"/>
  <c r="AM65" i="2" a="1"/>
  <c r="AM65" i="2" s="1"/>
  <c r="U15" i="4" s="1" a="1"/>
  <c r="U15" i="4" s="1"/>
  <c r="CQ17" i="2" a="1"/>
  <c r="CQ17" i="2" s="1"/>
  <c r="CC18" i="2" a="1"/>
  <c r="CC18" i="2" s="1"/>
  <c r="AM38" i="2" a="1"/>
  <c r="AM38" i="2" s="1"/>
  <c r="I36" i="4" s="1" a="1"/>
  <c r="I36" i="4" s="1"/>
  <c r="AN88" i="2" a="1"/>
  <c r="AN88" i="2" s="1"/>
  <c r="CC43" i="2" a="1"/>
  <c r="CC43" i="2" s="1"/>
  <c r="AT38" i="2" a="1"/>
  <c r="AT38" i="2" s="1"/>
  <c r="J36" i="4" s="1" a="1"/>
  <c r="J36" i="4" s="1"/>
  <c r="AN31" i="2" a="1"/>
  <c r="AN31" i="2" s="1"/>
  <c r="CC30" i="2" a="1"/>
  <c r="CC30" i="2" s="1"/>
  <c r="AM14" i="2" a="1"/>
  <c r="AM14" i="2" s="1"/>
  <c r="I12" i="4" s="1" a="1"/>
  <c r="I12" i="4" s="1"/>
  <c r="AT72" i="2" a="1"/>
  <c r="AT72" i="2" s="1"/>
  <c r="V22" i="4" s="1" a="1"/>
  <c r="V22" i="4" s="1"/>
  <c r="AM15" i="2" a="1"/>
  <c r="AM15" i="2" s="1"/>
  <c r="I13" i="4" s="1" a="1"/>
  <c r="I13" i="4" s="1"/>
  <c r="AM40" i="2" a="1"/>
  <c r="AM40" i="2" s="1"/>
  <c r="I38" i="4" s="1" a="1"/>
  <c r="I38" i="4" s="1"/>
  <c r="AM64" i="2" a="1"/>
  <c r="AM64" i="2" s="1"/>
  <c r="U14" i="4" s="1" a="1"/>
  <c r="U14" i="4" s="1"/>
  <c r="AM22" i="2" a="1"/>
  <c r="AM22" i="2" s="1"/>
  <c r="I20" i="4" s="1" a="1"/>
  <c r="I20" i="4" s="1"/>
  <c r="AM9" i="2" a="1"/>
  <c r="AM9" i="2" s="1"/>
  <c r="I7" i="4" s="1" a="1"/>
  <c r="I7" i="4" s="1"/>
  <c r="AT64" i="2" a="1"/>
  <c r="AT64" i="2" s="1"/>
  <c r="V14" i="4" s="1" a="1"/>
  <c r="V14" i="4" s="1"/>
  <c r="AN55" i="2" a="1"/>
  <c r="AN55" i="2" s="1"/>
  <c r="BU69" i="2" a="1"/>
  <c r="BU69" i="2" s="1"/>
  <c r="CC21" i="2" a="1"/>
  <c r="CC21" i="2" s="1"/>
  <c r="AT80" i="2" a="1"/>
  <c r="AT80" i="2" s="1"/>
  <c r="V30" i="4" s="1" a="1"/>
  <c r="V30" i="4" s="1"/>
  <c r="CC28" i="2" a="1"/>
  <c r="CC28" i="2" s="1"/>
  <c r="AT46" i="2" a="1"/>
  <c r="AT46" i="2" s="1"/>
  <c r="J44" i="4" s="1" a="1"/>
  <c r="J44" i="4" s="1"/>
  <c r="AM72" i="2" a="1"/>
  <c r="AM72" i="2" s="1"/>
  <c r="U22" i="4" s="1" a="1"/>
  <c r="U22" i="4" s="1"/>
  <c r="CQ14" i="2" a="1"/>
  <c r="CQ14" i="2" s="1"/>
  <c r="AM88" i="2" a="1"/>
  <c r="AM88" i="2" s="1"/>
  <c r="U38" i="4" s="1" a="1"/>
  <c r="U38" i="4" s="1"/>
  <c r="AT62" i="2" a="1"/>
  <c r="AT62" i="2" s="1"/>
  <c r="V12" i="4" s="1" a="1"/>
  <c r="V12" i="4" s="1"/>
  <c r="K23" i="4" a="1"/>
  <c r="K23" i="4" s="1"/>
  <c r="AT55" i="2" a="1"/>
  <c r="AT55" i="2" s="1"/>
  <c r="V5" i="4" s="1" a="1"/>
  <c r="V5" i="4" s="1"/>
  <c r="AN40" i="2" a="1"/>
  <c r="AN40" i="2" s="1"/>
  <c r="CC15" i="2" a="1"/>
  <c r="CC15" i="2" s="1"/>
  <c r="AM96" i="2" a="1"/>
  <c r="AM96" i="2" s="1"/>
  <c r="U46" i="4" s="1" a="1"/>
  <c r="U46" i="4" s="1"/>
  <c r="AN57" i="2" a="1"/>
  <c r="AN57" i="2" s="1"/>
  <c r="AM16" i="2" a="1"/>
  <c r="AM16" i="2" s="1"/>
  <c r="I14" i="4" s="1" a="1"/>
  <c r="I14" i="4" s="1"/>
  <c r="AN96" i="2" a="1"/>
  <c r="AN96" i="2" s="1"/>
  <c r="AT16" i="2" a="1"/>
  <c r="AT16" i="2" s="1"/>
  <c r="J14" i="4" s="1" a="1"/>
  <c r="J14" i="4" s="1"/>
  <c r="BU67" i="2" a="1"/>
  <c r="BU67" i="2" s="1"/>
  <c r="BV67" i="2" s="1" a="1"/>
  <c r="BV67" i="2" s="1"/>
  <c r="W47" i="4" a="1"/>
  <c r="W47" i="4" s="1"/>
  <c r="W7" i="4" a="1"/>
  <c r="W7" i="4" s="1"/>
  <c r="AN97" i="2" a="1"/>
  <c r="AN97" i="2" s="1"/>
  <c r="BU65" i="2" a="1"/>
  <c r="BU65" i="2" s="1"/>
  <c r="AT31" i="2" a="1"/>
  <c r="AT31" i="2" s="1"/>
  <c r="J29" i="4" s="1" a="1"/>
  <c r="J29" i="4" s="1"/>
  <c r="AM95" i="2" a="1"/>
  <c r="AM95" i="2" s="1"/>
  <c r="U45" i="4" s="1" a="1"/>
  <c r="U45" i="4" s="1"/>
  <c r="K20" i="4" a="1"/>
  <c r="K20" i="4" s="1"/>
  <c r="W29" i="4" a="1"/>
  <c r="W29" i="4" s="1"/>
  <c r="AT79" i="2" a="1"/>
  <c r="AT79" i="2" s="1"/>
  <c r="V29" i="4" s="1" a="1"/>
  <c r="V29" i="4" s="1"/>
  <c r="AT7" i="2" a="1"/>
  <c r="AT7" i="2" s="1"/>
  <c r="J5" i="4" s="1" a="1"/>
  <c r="J5" i="4" s="1"/>
  <c r="AT40" i="2" a="1"/>
  <c r="AT40" i="2" s="1"/>
  <c r="J38" i="4" s="1" a="1"/>
  <c r="J38" i="4" s="1"/>
  <c r="W4" i="4" a="1"/>
  <c r="W4" i="4" s="1"/>
  <c r="AM55" i="2" a="1"/>
  <c r="AM55" i="2" s="1"/>
  <c r="U5" i="4" s="1" a="1"/>
  <c r="U5" i="4" s="1"/>
  <c r="K36" i="4" a="1"/>
  <c r="K36" i="4" s="1"/>
  <c r="AN9" i="2" a="1"/>
  <c r="AN9" i="2" s="1"/>
  <c r="AN95" i="2" a="1"/>
  <c r="AN95" i="2" s="1"/>
  <c r="AM97" i="2" a="1"/>
  <c r="AM97" i="2" s="1"/>
  <c r="U47" i="4" s="1" a="1"/>
  <c r="U47" i="4" s="1"/>
  <c r="K44" i="4" a="1"/>
  <c r="K44" i="4" s="1"/>
  <c r="AT94" i="2" a="1"/>
  <c r="AT94" i="2" s="1"/>
  <c r="V44" i="4" s="1" a="1"/>
  <c r="V44" i="4" s="1"/>
  <c r="AT57" i="2" a="1"/>
  <c r="AT57" i="2" s="1"/>
  <c r="V7" i="4" s="1" a="1"/>
  <c r="V7" i="4" s="1"/>
  <c r="AN65" i="2" a="1"/>
  <c r="AN65" i="2" s="1"/>
  <c r="K37" i="4" a="1"/>
  <c r="K37" i="4" s="1"/>
  <c r="W30" i="4" a="1"/>
  <c r="W30" i="4" s="1"/>
  <c r="AN15" i="2" a="1"/>
  <c r="AN15" i="2" s="1"/>
  <c r="K29" i="4" a="1"/>
  <c r="K29" i="4" s="1"/>
  <c r="W28" i="4" a="1"/>
  <c r="W28" i="4" s="1"/>
  <c r="AM31" i="2" a="1"/>
  <c r="AM31" i="2" s="1"/>
  <c r="I29" i="4" s="1" a="1"/>
  <c r="I29" i="4" s="1"/>
  <c r="W5" i="4" a="1"/>
  <c r="W5" i="4" s="1"/>
  <c r="W46" i="4" a="1"/>
  <c r="W46" i="4" s="1"/>
  <c r="AN48" i="2" a="1"/>
  <c r="AN48" i="2" s="1"/>
  <c r="AT65" i="2" a="1"/>
  <c r="AT65" i="2" s="1"/>
  <c r="V15" i="4" s="1" a="1"/>
  <c r="V15" i="4" s="1"/>
  <c r="AM62" i="2" a="1"/>
  <c r="AM62" i="2" s="1"/>
  <c r="U12" i="4" s="1" a="1"/>
  <c r="U12" i="4" s="1"/>
  <c r="W45" i="4" a="1"/>
  <c r="W45" i="4" s="1"/>
  <c r="CQ12" i="2" a="1"/>
  <c r="CQ12" i="2" s="1"/>
  <c r="AM54" i="2" a="1"/>
  <c r="AM54" i="2" s="1"/>
  <c r="U4" i="4" s="1" a="1"/>
  <c r="U4" i="4" s="1"/>
  <c r="W22" i="4" a="1"/>
  <c r="W22" i="4" s="1"/>
  <c r="AN64" i="2" a="1"/>
  <c r="AN64" i="2" s="1"/>
  <c r="AT81" i="2" a="1"/>
  <c r="AT81" i="2" s="1"/>
  <c r="V31" i="4" s="1" a="1"/>
  <c r="V31" i="4" s="1"/>
  <c r="K39" i="4" a="1"/>
  <c r="K39" i="4" s="1"/>
  <c r="AT54" i="2" a="1"/>
  <c r="AT54" i="2" s="1"/>
  <c r="V4" i="4" s="1" a="1"/>
  <c r="V4" i="4" s="1"/>
  <c r="K47" i="4" a="1"/>
  <c r="K47" i="4" s="1"/>
  <c r="AN16" i="2" a="1"/>
  <c r="AN16" i="2" s="1"/>
  <c r="AN81" i="2" a="1"/>
  <c r="AN81" i="2" s="1"/>
  <c r="AT22" i="2" a="1"/>
  <c r="AT22" i="2" s="1"/>
  <c r="J20" i="4" s="1" a="1"/>
  <c r="J20" i="4" s="1"/>
  <c r="K21" i="4" a="1"/>
  <c r="K21" i="4" s="1"/>
  <c r="K22" i="4" a="1"/>
  <c r="K22" i="4" s="1"/>
  <c r="W36" i="4" a="1"/>
  <c r="W36" i="4" s="1"/>
  <c r="AT9" i="2" a="1"/>
  <c r="AT9" i="2" s="1"/>
  <c r="J7" i="4" s="1" a="1"/>
  <c r="J7" i="4" s="1"/>
  <c r="AT56" i="2" a="1"/>
  <c r="AT56" i="2" s="1"/>
  <c r="V6" i="4" s="1" a="1"/>
  <c r="V6" i="4" s="1"/>
  <c r="AM71" i="2" a="1"/>
  <c r="AM71" i="2" s="1"/>
  <c r="U21" i="4" s="1" a="1"/>
  <c r="U21" i="4" s="1"/>
  <c r="AM56" i="2" a="1"/>
  <c r="AM56" i="2" s="1"/>
  <c r="U6" i="4" s="1" a="1"/>
  <c r="U6" i="4" s="1"/>
  <c r="AT88" i="2" a="1"/>
  <c r="AT88" i="2" s="1"/>
  <c r="V38" i="4" s="1" a="1"/>
  <c r="V38" i="4" s="1"/>
  <c r="CQ52" i="2" a="1"/>
  <c r="CQ52" i="2" s="1"/>
  <c r="W13" i="4" a="1"/>
  <c r="W13" i="4" s="1"/>
  <c r="K13" i="4" a="1"/>
  <c r="K13" i="4" s="1"/>
  <c r="K45" i="4" a="1"/>
  <c r="K45" i="4" s="1"/>
  <c r="AT70" i="2" a="1"/>
  <c r="AT70" i="2" s="1"/>
  <c r="V20" i="4" s="1" a="1"/>
  <c r="V20" i="4" s="1"/>
  <c r="BR13" i="2" a="1"/>
  <c r="BR13" i="2" s="1"/>
  <c r="AM17" i="2" a="1"/>
  <c r="AM17" i="2" s="1"/>
  <c r="I15" i="4" s="1" a="1"/>
  <c r="I15" i="4" s="1"/>
  <c r="BO8" i="2" a="1"/>
  <c r="BO8" i="2" s="1"/>
  <c r="AN8" i="2" a="1"/>
  <c r="AN8" i="2" s="1"/>
  <c r="H109" i="2" a="1"/>
  <c r="H109" i="2" s="1"/>
  <c r="M105" i="2" s="1" a="1"/>
  <c r="M105" i="2" s="1"/>
  <c r="AA106" i="2" s="1" a="1"/>
  <c r="AA106" i="2" s="1"/>
  <c r="DK40" i="2" a="1"/>
  <c r="DK40" i="2" s="1"/>
  <c r="DL40" i="2" s="1" a="1"/>
  <c r="DL40" i="2" s="1"/>
  <c r="DK39" i="2" a="1"/>
  <c r="DK39" i="2" s="1"/>
  <c r="DL39" i="2" s="1" a="1"/>
  <c r="DL39" i="2" s="1"/>
  <c r="BO38" i="2" a="1"/>
  <c r="BO38" i="2" s="1"/>
  <c r="DK41" i="2" a="1"/>
  <c r="DK41" i="2" s="1"/>
  <c r="DL41" i="2" s="1" a="1"/>
  <c r="DL41" i="2" s="1"/>
  <c r="DK38" i="2" a="1"/>
  <c r="DK38" i="2" s="1"/>
  <c r="DL38" i="2" s="1" a="1"/>
  <c r="DL38" i="2" s="1"/>
  <c r="AM32" i="2" a="1"/>
  <c r="AM32" i="2" s="1"/>
  <c r="I30" i="4" s="1" a="1"/>
  <c r="I30" i="4" s="1"/>
  <c r="W37" i="4" a="1"/>
  <c r="W37" i="4" s="1"/>
  <c r="AT63" i="2" a="1"/>
  <c r="AT63" i="2" s="1"/>
  <c r="V13" i="4" s="1" a="1"/>
  <c r="V13" i="4" s="1"/>
  <c r="AT41" i="2" a="1"/>
  <c r="AT41" i="2" s="1"/>
  <c r="J39" i="4" s="1" a="1"/>
  <c r="J39" i="4" s="1"/>
  <c r="K7" i="4" a="1"/>
  <c r="K7" i="4" s="1"/>
  <c r="AN56" i="2" a="1"/>
  <c r="AN56" i="2" s="1"/>
  <c r="AT71" i="2" a="1"/>
  <c r="AT71" i="2" s="1"/>
  <c r="V21" i="4" s="1" a="1"/>
  <c r="V21" i="4" s="1"/>
  <c r="W39" i="4" a="1"/>
  <c r="W39" i="4" s="1"/>
  <c r="CW8" i="2" a="1"/>
  <c r="CW8" i="2" s="1"/>
  <c r="AT8" i="2" a="1"/>
  <c r="AT8" i="2" s="1"/>
  <c r="J6" i="4" s="1" a="1"/>
  <c r="J6" i="4" s="1"/>
  <c r="AM30" i="2" a="1"/>
  <c r="AM30" i="2" s="1"/>
  <c r="I28" i="4" s="1" a="1"/>
  <c r="I28" i="4" s="1"/>
  <c r="AN32" i="2" a="1"/>
  <c r="AN32" i="2" s="1"/>
  <c r="AT95" i="2" a="1"/>
  <c r="AT95" i="2" s="1"/>
  <c r="V45" i="4" s="1" a="1"/>
  <c r="V45" i="4" s="1"/>
  <c r="K5" i="4" a="1"/>
  <c r="K5" i="4" s="1"/>
  <c r="H110" i="2" a="1"/>
  <c r="H110" i="2" s="1"/>
  <c r="M114" i="2" s="1" a="1"/>
  <c r="M114" i="2" s="1"/>
  <c r="AA115" i="2" s="1" a="1"/>
  <c r="AA115" i="2" s="1"/>
  <c r="DK45" i="2" a="1"/>
  <c r="DK45" i="2" s="1"/>
  <c r="DL45" i="2" s="1" a="1"/>
  <c r="DL45" i="2" s="1"/>
  <c r="DK44" i="2" a="1"/>
  <c r="DK44" i="2" s="1"/>
  <c r="DL44" i="2" s="1" a="1"/>
  <c r="DL44" i="2" s="1"/>
  <c r="BO42" i="2" a="1"/>
  <c r="BO42" i="2" s="1"/>
  <c r="DK42" i="2" a="1"/>
  <c r="DK42" i="2" s="1"/>
  <c r="DL42" i="2" s="1" a="1"/>
  <c r="DL42" i="2" s="1"/>
  <c r="DK43" i="2" a="1"/>
  <c r="DK43" i="2" s="1"/>
  <c r="DL43" i="2" s="1" a="1"/>
  <c r="DL43" i="2" s="1"/>
  <c r="AM63" i="2" a="1"/>
  <c r="AM63" i="2" s="1"/>
  <c r="U13" i="4" s="1" a="1"/>
  <c r="U13" i="4" s="1"/>
  <c r="AN41" i="2" a="1"/>
  <c r="AN41" i="2" s="1"/>
  <c r="AN47" i="2" a="1"/>
  <c r="AN47" i="2" s="1"/>
  <c r="AM41" i="2" a="1"/>
  <c r="AM41" i="2" s="1"/>
  <c r="I39" i="4" s="1" a="1"/>
  <c r="I39" i="4" s="1"/>
  <c r="AN71" i="2" a="1"/>
  <c r="AN71" i="2" s="1"/>
  <c r="AN89" i="2" a="1"/>
  <c r="AN89" i="2" s="1"/>
  <c r="K30" i="4" a="1"/>
  <c r="K30" i="4" s="1"/>
  <c r="AT87" i="2" a="1"/>
  <c r="AT87" i="2" s="1"/>
  <c r="V37" i="4" s="1" a="1"/>
  <c r="V37" i="4" s="1"/>
  <c r="BU62" i="2" a="1"/>
  <c r="BU62" i="2" s="1"/>
  <c r="H106" i="2" a="1"/>
  <c r="H106" i="2" s="1"/>
  <c r="M103" i="2" s="1" a="1"/>
  <c r="M103" i="2" s="1"/>
  <c r="AA104" i="2" s="1" a="1"/>
  <c r="AA104" i="2" s="1"/>
  <c r="DK29" i="2" a="1"/>
  <c r="DK29" i="2" s="1"/>
  <c r="DL29" i="2" s="1" a="1"/>
  <c r="DL29" i="2" s="1"/>
  <c r="DK27" i="2" a="1"/>
  <c r="DK27" i="2" s="1"/>
  <c r="DL27" i="2" s="1" a="1"/>
  <c r="DL27" i="2" s="1"/>
  <c r="DK28" i="2" a="1"/>
  <c r="DK28" i="2" s="1"/>
  <c r="DL28" i="2" s="1" a="1"/>
  <c r="DL28" i="2" s="1"/>
  <c r="DK26" i="2" a="1"/>
  <c r="DK26" i="2" s="1"/>
  <c r="DL26" i="2" s="1" a="1"/>
  <c r="DL26" i="2" s="1"/>
  <c r="BO26" i="2" a="1"/>
  <c r="BO26" i="2" s="1"/>
  <c r="W23" i="4" a="1"/>
  <c r="W23" i="4" s="1"/>
  <c r="CW6" i="2" a="1"/>
  <c r="CW6" i="2" s="1"/>
  <c r="AT6" i="2" a="1"/>
  <c r="AT6" i="2" s="1"/>
  <c r="J4" i="4" s="1" a="1"/>
  <c r="J4" i="4" s="1"/>
  <c r="AT39" i="2" a="1"/>
  <c r="AT39" i="2" s="1"/>
  <c r="J37" i="4" s="1" a="1"/>
  <c r="J37" i="4" s="1"/>
  <c r="AM47" i="2" a="1"/>
  <c r="AM47" i="2" s="1"/>
  <c r="I45" i="4" s="1" a="1"/>
  <c r="I45" i="4" s="1"/>
  <c r="W20" i="4" a="1"/>
  <c r="W20" i="4" s="1"/>
  <c r="AM23" i="2" a="1"/>
  <c r="AM23" i="2" s="1"/>
  <c r="I21" i="4" s="1" a="1"/>
  <c r="I21" i="4" s="1"/>
  <c r="W6" i="4" a="1"/>
  <c r="W6" i="4" s="1"/>
  <c r="AM79" i="2" a="1"/>
  <c r="AM79" i="2" s="1"/>
  <c r="U29" i="4" s="1" a="1"/>
  <c r="U29" i="4" s="1"/>
  <c r="AN79" i="2" a="1"/>
  <c r="AN79" i="2" s="1"/>
  <c r="K12" i="4" a="1"/>
  <c r="K12" i="4" s="1"/>
  <c r="BL49" i="4" a="1"/>
  <c r="BL49" i="4" s="1"/>
  <c r="BK49" i="4" s="1" a="1"/>
  <c r="BK49" i="4" s="1"/>
  <c r="BJ49" i="4" s="1" a="1"/>
  <c r="BJ49" i="4" s="1"/>
  <c r="BL38" i="4" a="1"/>
  <c r="BL38" i="4" s="1"/>
  <c r="BK38" i="4" s="1" a="1"/>
  <c r="BK38" i="4" s="1"/>
  <c r="BJ38" i="4" s="1" a="1"/>
  <c r="BJ38" i="4" s="1"/>
  <c r="BL42" i="4" a="1"/>
  <c r="BL42" i="4" s="1"/>
  <c r="BK42" i="4" s="1" a="1"/>
  <c r="BK42" i="4" s="1"/>
  <c r="BJ42" i="4" s="1" a="1"/>
  <c r="BJ42" i="4" s="1"/>
  <c r="BL37" i="4" a="1"/>
  <c r="BL37" i="4" s="1"/>
  <c r="BK37" i="4" s="1" a="1"/>
  <c r="BK37" i="4" s="1"/>
  <c r="BJ37" i="4" s="1" a="1"/>
  <c r="BJ37" i="4" s="1"/>
  <c r="BL33" i="4" a="1"/>
  <c r="BL33" i="4" s="1"/>
  <c r="BK33" i="4" s="1" a="1"/>
  <c r="BK33" i="4" s="1"/>
  <c r="BJ33" i="4" s="1" a="1"/>
  <c r="BJ33" i="4" s="1"/>
  <c r="BL31" i="4" a="1"/>
  <c r="BL31" i="4" s="1"/>
  <c r="BK31" i="4" s="1" a="1"/>
  <c r="BK31" i="4" s="1"/>
  <c r="BJ31" i="4" s="1" a="1"/>
  <c r="BJ31" i="4" s="1"/>
  <c r="BL44" i="4" a="1"/>
  <c r="BL44" i="4" s="1"/>
  <c r="BK44" i="4" s="1" a="1"/>
  <c r="BK44" i="4" s="1"/>
  <c r="BJ44" i="4" s="1" a="1"/>
  <c r="BJ44" i="4" s="1"/>
  <c r="BL51" i="4" a="1"/>
  <c r="BL51" i="4" s="1"/>
  <c r="BK51" i="4" s="1" a="1"/>
  <c r="BK51" i="4" s="1"/>
  <c r="BJ51" i="4" s="1" a="1"/>
  <c r="BJ51" i="4" s="1"/>
  <c r="BL46" i="4" a="1"/>
  <c r="BL46" i="4" s="1"/>
  <c r="BK46" i="4" s="1" a="1"/>
  <c r="BK46" i="4" s="1"/>
  <c r="BJ46" i="4" s="1" a="1"/>
  <c r="BJ46" i="4" s="1"/>
  <c r="BL43" i="4" a="1"/>
  <c r="BL43" i="4" s="1"/>
  <c r="BK43" i="4" s="1" a="1"/>
  <c r="BK43" i="4" s="1"/>
  <c r="BJ43" i="4" s="1" a="1"/>
  <c r="BJ43" i="4" s="1"/>
  <c r="BL30" i="4" a="1"/>
  <c r="BL30" i="4" s="1"/>
  <c r="BK30" i="4" s="1" a="1"/>
  <c r="BK30" i="4" s="1"/>
  <c r="BJ30" i="4" s="1" a="1"/>
  <c r="BJ30" i="4" s="1"/>
  <c r="BL39" i="4" a="1"/>
  <c r="BL39" i="4" s="1"/>
  <c r="BK39" i="4" s="1" a="1"/>
  <c r="BK39" i="4" s="1"/>
  <c r="BJ39" i="4" s="1" a="1"/>
  <c r="BJ39" i="4" s="1"/>
  <c r="BL34" i="4" a="1"/>
  <c r="BL34" i="4" s="1"/>
  <c r="BK34" i="4" s="1" a="1"/>
  <c r="BK34" i="4" s="1"/>
  <c r="BJ34" i="4" s="1" a="1"/>
  <c r="BJ34" i="4" s="1"/>
  <c r="BL28" i="4" a="1"/>
  <c r="BL28" i="4" s="1"/>
  <c r="BK28" i="4" s="1" a="1"/>
  <c r="BK28" i="4" s="1"/>
  <c r="BJ28" i="4" s="1" a="1"/>
  <c r="BJ28" i="4" s="1"/>
  <c r="BL24" i="4" a="1"/>
  <c r="BL24" i="4" s="1"/>
  <c r="BK24" i="4" s="1" a="1"/>
  <c r="BK24" i="4" s="1"/>
  <c r="BJ24" i="4" s="1" a="1"/>
  <c r="BJ24" i="4" s="1"/>
  <c r="BL50" i="4" a="1"/>
  <c r="BL50" i="4" s="1"/>
  <c r="BK50" i="4" s="1" a="1"/>
  <c r="BK50" i="4" s="1"/>
  <c r="BJ50" i="4" s="1" a="1"/>
  <c r="BJ50" i="4" s="1"/>
  <c r="BL29" i="4" a="1"/>
  <c r="BL29" i="4" s="1"/>
  <c r="BK29" i="4" s="1" a="1"/>
  <c r="BK29" i="4" s="1"/>
  <c r="BJ29" i="4" s="1" a="1"/>
  <c r="BJ29" i="4" s="1"/>
  <c r="BL27" i="4" a="1"/>
  <c r="BL27" i="4" s="1"/>
  <c r="BK27" i="4" s="1" a="1"/>
  <c r="BK27" i="4" s="1"/>
  <c r="BJ27" i="4" s="1" a="1"/>
  <c r="BJ27" i="4" s="1"/>
  <c r="BL25" i="4" a="1"/>
  <c r="BL25" i="4" s="1"/>
  <c r="BK25" i="4" s="1" a="1"/>
  <c r="BK25" i="4" s="1"/>
  <c r="BJ25" i="4" s="1" a="1"/>
  <c r="BJ25" i="4" s="1"/>
  <c r="BL15" i="4" a="1"/>
  <c r="BL15" i="4" s="1"/>
  <c r="BK15" i="4" s="1" a="1"/>
  <c r="BK15" i="4" s="1"/>
  <c r="BJ15" i="4" s="1" a="1"/>
  <c r="BJ15" i="4" s="1"/>
  <c r="BL13" i="4" a="1"/>
  <c r="BL13" i="4" s="1"/>
  <c r="BK13" i="4" s="1" a="1"/>
  <c r="BK13" i="4" s="1"/>
  <c r="BJ13" i="4" s="1" a="1"/>
  <c r="BJ13" i="4" s="1"/>
  <c r="BL35" i="4" a="1"/>
  <c r="BL35" i="4" s="1"/>
  <c r="BK35" i="4" s="1" a="1"/>
  <c r="BK35" i="4" s="1"/>
  <c r="BJ35" i="4" s="1" a="1"/>
  <c r="BJ35" i="4" s="1"/>
  <c r="BL40" i="4" a="1"/>
  <c r="BL40" i="4" s="1"/>
  <c r="BK40" i="4" s="1" a="1"/>
  <c r="BK40" i="4" s="1"/>
  <c r="BJ40" i="4" s="1" a="1"/>
  <c r="BJ40" i="4" s="1"/>
  <c r="BL45" i="4" a="1"/>
  <c r="BL45" i="4" s="1"/>
  <c r="BK45" i="4" s="1" a="1"/>
  <c r="BK45" i="4" s="1"/>
  <c r="BJ45" i="4" s="1" a="1"/>
  <c r="BJ45" i="4" s="1"/>
  <c r="BL48" i="4" a="1"/>
  <c r="BL48" i="4" s="1"/>
  <c r="BK48" i="4" s="1" a="1"/>
  <c r="BK48" i="4" s="1"/>
  <c r="BJ48" i="4" s="1" a="1"/>
  <c r="BJ48" i="4" s="1"/>
  <c r="BL47" i="4" a="1"/>
  <c r="BL47" i="4" s="1"/>
  <c r="BK47" i="4" s="1" a="1"/>
  <c r="BK47" i="4" s="1"/>
  <c r="BJ47" i="4" s="1" a="1"/>
  <c r="BJ47" i="4" s="1"/>
  <c r="BL41" i="4" a="1"/>
  <c r="BL41" i="4" s="1"/>
  <c r="BK41" i="4" s="1" a="1"/>
  <c r="BK41" i="4" s="1"/>
  <c r="BJ41" i="4" s="1" a="1"/>
  <c r="BJ41" i="4" s="1"/>
  <c r="BL4" i="4" a="1"/>
  <c r="BL4" i="4" s="1"/>
  <c r="BK4" i="4" s="1" a="1"/>
  <c r="BK4" i="4" s="1"/>
  <c r="BJ4" i="4" s="1" a="1"/>
  <c r="BJ4" i="4" s="1"/>
  <c r="BL16" i="4" a="1"/>
  <c r="BL16" i="4" s="1"/>
  <c r="BK16" i="4" s="1" a="1"/>
  <c r="BK16" i="4" s="1"/>
  <c r="BJ16" i="4" s="1" a="1"/>
  <c r="BJ16" i="4" s="1"/>
  <c r="BL26" i="4" a="1"/>
  <c r="BL26" i="4" s="1"/>
  <c r="BK26" i="4" s="1" a="1"/>
  <c r="BK26" i="4" s="1"/>
  <c r="BJ26" i="4" s="1" a="1"/>
  <c r="BJ26" i="4" s="1"/>
  <c r="BL22" i="4" a="1"/>
  <c r="BL22" i="4" s="1"/>
  <c r="BK22" i="4" s="1" a="1"/>
  <c r="BK22" i="4" s="1"/>
  <c r="BJ22" i="4" s="1" a="1"/>
  <c r="BJ22" i="4" s="1"/>
  <c r="BL36" i="4" a="1"/>
  <c r="BL36" i="4" s="1"/>
  <c r="BK36" i="4" s="1" a="1"/>
  <c r="BK36" i="4" s="1"/>
  <c r="BJ36" i="4" s="1" a="1"/>
  <c r="BJ36" i="4" s="1"/>
  <c r="BL21" i="4" a="1"/>
  <c r="BL21" i="4" s="1"/>
  <c r="BK21" i="4" s="1" a="1"/>
  <c r="BK21" i="4" s="1"/>
  <c r="BJ21" i="4" s="1" a="1"/>
  <c r="BJ21" i="4" s="1"/>
  <c r="BL32" i="4" a="1"/>
  <c r="BL32" i="4" s="1"/>
  <c r="BK32" i="4" s="1" a="1"/>
  <c r="BK32" i="4" s="1"/>
  <c r="BJ32" i="4" s="1" a="1"/>
  <c r="BJ32" i="4" s="1"/>
  <c r="BL6" i="4" a="1"/>
  <c r="BL6" i="4" s="1"/>
  <c r="BK6" i="4" s="1" a="1"/>
  <c r="BK6" i="4" s="1"/>
  <c r="BJ6" i="4" s="1" a="1"/>
  <c r="BJ6" i="4" s="1"/>
  <c r="BL19" i="4" a="1"/>
  <c r="BL19" i="4" s="1"/>
  <c r="BK19" i="4" s="1" a="1"/>
  <c r="BK19" i="4" s="1"/>
  <c r="BJ19" i="4" s="1" a="1"/>
  <c r="BJ19" i="4" s="1"/>
  <c r="BL7" i="4" a="1"/>
  <c r="BL7" i="4" s="1"/>
  <c r="BK7" i="4" s="1" a="1"/>
  <c r="BK7" i="4" s="1"/>
  <c r="BJ7" i="4" s="1" a="1"/>
  <c r="BJ7" i="4" s="1"/>
  <c r="BL9" i="4" a="1"/>
  <c r="BL9" i="4" s="1"/>
  <c r="BK9" i="4" s="1" a="1"/>
  <c r="BK9" i="4" s="1"/>
  <c r="BJ9" i="4" s="1" a="1"/>
  <c r="BJ9" i="4" s="1"/>
  <c r="BL23" i="4" a="1"/>
  <c r="BL23" i="4" s="1"/>
  <c r="BK23" i="4" s="1" a="1"/>
  <c r="BK23" i="4" s="1"/>
  <c r="BJ23" i="4" s="1" a="1"/>
  <c r="BJ23" i="4" s="1"/>
  <c r="BL18" i="4" a="1"/>
  <c r="BL18" i="4" s="1"/>
  <c r="BK18" i="4" s="1" a="1"/>
  <c r="BK18" i="4" s="1"/>
  <c r="BJ18" i="4" s="1" a="1"/>
  <c r="BJ18" i="4" s="1"/>
  <c r="BL14" i="4" a="1"/>
  <c r="BL14" i="4" s="1"/>
  <c r="BK14" i="4" s="1" a="1"/>
  <c r="BK14" i="4" s="1"/>
  <c r="BJ14" i="4" s="1" a="1"/>
  <c r="BJ14" i="4" s="1"/>
  <c r="BL8" i="4" a="1"/>
  <c r="BL8" i="4" s="1"/>
  <c r="BK8" i="4" s="1" a="1"/>
  <c r="BK8" i="4" s="1"/>
  <c r="BJ8" i="4" s="1" a="1"/>
  <c r="BJ8" i="4" s="1"/>
  <c r="BL5" i="4" a="1"/>
  <c r="BL5" i="4" s="1"/>
  <c r="BK5" i="4" s="1" a="1"/>
  <c r="BK5" i="4" s="1"/>
  <c r="BJ5" i="4" s="1" a="1"/>
  <c r="BJ5" i="4" s="1"/>
  <c r="BL20" i="4" a="1"/>
  <c r="BL20" i="4" s="1"/>
  <c r="BK20" i="4" s="1" a="1"/>
  <c r="BK20" i="4" s="1"/>
  <c r="BJ20" i="4" s="1" a="1"/>
  <c r="BJ20" i="4" s="1"/>
  <c r="BL10" i="4" a="1"/>
  <c r="BL10" i="4" s="1"/>
  <c r="BK10" i="4" s="1" a="1"/>
  <c r="BK10" i="4" s="1"/>
  <c r="BJ10" i="4" s="1" a="1"/>
  <c r="BJ10" i="4" s="1"/>
  <c r="BL11" i="4" a="1"/>
  <c r="BL11" i="4" s="1"/>
  <c r="BK11" i="4" s="1" a="1"/>
  <c r="BK11" i="4" s="1"/>
  <c r="BJ11" i="4" s="1" a="1"/>
  <c r="BJ11" i="4" s="1"/>
  <c r="BL12" i="4" a="1"/>
  <c r="BL12" i="4" s="1"/>
  <c r="BK12" i="4" s="1" a="1"/>
  <c r="BK12" i="4" s="1"/>
  <c r="BJ12" i="4" s="1" a="1"/>
  <c r="BJ12" i="4" s="1"/>
  <c r="BL17" i="4" a="1"/>
  <c r="BL17" i="4" s="1"/>
  <c r="BK17" i="4" s="1" a="1"/>
  <c r="BK17" i="4" s="1"/>
  <c r="BJ17" i="4" s="1" a="1"/>
  <c r="BJ17" i="4" s="1"/>
  <c r="AT33" i="2" a="1"/>
  <c r="AT33" i="2" s="1"/>
  <c r="J31" i="4" s="1" a="1"/>
  <c r="J31" i="4" s="1"/>
  <c r="W14" i="4" a="1"/>
  <c r="W14" i="4" s="1"/>
  <c r="AM57" i="2" a="1"/>
  <c r="AM57" i="2" s="1"/>
  <c r="U7" i="4" s="1" a="1"/>
  <c r="U7" i="4" s="1"/>
  <c r="W15" i="4" a="1"/>
  <c r="W15" i="4" s="1"/>
  <c r="H102" i="2" a="1"/>
  <c r="H102" i="2" s="1"/>
  <c r="M113" i="2" s="1" a="1"/>
  <c r="M113" i="2" s="1"/>
  <c r="AA113" i="2" s="1" a="1"/>
  <c r="AA113" i="2" s="1"/>
  <c r="DK12" i="2" a="1"/>
  <c r="DK12" i="2" s="1"/>
  <c r="DL12" i="2" s="1" a="1"/>
  <c r="DL12" i="2" s="1"/>
  <c r="DK10" i="2" a="1"/>
  <c r="DK10" i="2" s="1"/>
  <c r="DL10" i="2" s="1" a="1"/>
  <c r="DL10" i="2" s="1"/>
  <c r="DK13" i="2" a="1"/>
  <c r="DK13" i="2" s="1"/>
  <c r="DL13" i="2" s="1" a="1"/>
  <c r="DL13" i="2" s="1"/>
  <c r="BO10" i="2" a="1"/>
  <c r="BO10" i="2" s="1"/>
  <c r="DK11" i="2" a="1"/>
  <c r="DK11" i="2" s="1"/>
  <c r="DL11" i="2" s="1" a="1"/>
  <c r="DL11" i="2" s="1"/>
  <c r="AT30" i="2" a="1"/>
  <c r="AT30" i="2" s="1"/>
  <c r="J28" i="4" s="1" a="1"/>
  <c r="J28" i="4" s="1"/>
  <c r="BV64" i="2" a="1"/>
  <c r="BV64" i="2" s="1"/>
  <c r="W12" i="4" a="1"/>
  <c r="W12" i="4" s="1"/>
  <c r="AN87" i="2" a="1"/>
  <c r="AN87" i="2" s="1"/>
  <c r="AM70" i="2" a="1"/>
  <c r="AM70" i="2" s="1"/>
  <c r="U20" i="4" s="1" a="1"/>
  <c r="U20" i="4" s="1"/>
  <c r="AM80" i="2" a="1"/>
  <c r="AM80" i="2" s="1"/>
  <c r="U30" i="4" s="1" a="1"/>
  <c r="U30" i="4" s="1"/>
  <c r="AT96" i="2" a="1"/>
  <c r="AT96" i="2" s="1"/>
  <c r="V46" i="4" s="1" a="1"/>
  <c r="V46" i="4" s="1"/>
  <c r="K14" i="4" a="1"/>
  <c r="K14" i="4" s="1"/>
  <c r="K46" i="4" a="1"/>
  <c r="K46" i="4" s="1"/>
  <c r="K28" i="4" a="1"/>
  <c r="K28" i="4" s="1"/>
  <c r="AM7" i="2" a="1"/>
  <c r="AM7" i="2" s="1"/>
  <c r="I5" i="4" s="1" a="1"/>
  <c r="I5" i="4" s="1"/>
  <c r="AM73" i="2" a="1"/>
  <c r="AM73" i="2" s="1"/>
  <c r="U23" i="4" s="1" a="1"/>
  <c r="U23" i="4" s="1"/>
  <c r="AM25" i="2" a="1"/>
  <c r="AM25" i="2" s="1"/>
  <c r="I23" i="4" s="1" a="1"/>
  <c r="I23" i="4" s="1"/>
  <c r="H103" i="2" a="1"/>
  <c r="H103" i="2" s="1"/>
  <c r="M104" i="2" s="1" a="1"/>
  <c r="M104" i="2" s="1"/>
  <c r="AA102" i="2" s="1" a="1"/>
  <c r="AA102" i="2" s="1"/>
  <c r="DK15" i="2" a="1"/>
  <c r="DK15" i="2" s="1"/>
  <c r="DL15" i="2" s="1" a="1"/>
  <c r="DL15" i="2" s="1"/>
  <c r="DK14" i="2" a="1"/>
  <c r="DK14" i="2" s="1"/>
  <c r="DL14" i="2" s="1" a="1"/>
  <c r="DL14" i="2" s="1"/>
  <c r="DK17" i="2" a="1"/>
  <c r="DK17" i="2" s="1"/>
  <c r="DL17" i="2" s="1" a="1"/>
  <c r="DL17" i="2" s="1"/>
  <c r="BO14" i="2" a="1"/>
  <c r="BO14" i="2" s="1"/>
  <c r="DK16" i="2" a="1"/>
  <c r="DK16" i="2" s="1"/>
  <c r="DL16" i="2" s="1" a="1"/>
  <c r="DL16" i="2" s="1"/>
  <c r="AT25" i="2" a="1"/>
  <c r="AT25" i="2" s="1"/>
  <c r="J23" i="4" s="1" a="1"/>
  <c r="J23" i="4" s="1"/>
  <c r="W44" i="4" a="1"/>
  <c r="W44" i="4" s="1"/>
  <c r="K31" i="4" a="1"/>
  <c r="K31" i="4" s="1"/>
  <c r="AM48" i="2" a="1"/>
  <c r="AM48" i="2" s="1"/>
  <c r="I46" i="4" s="1" a="1"/>
  <c r="I46" i="4" s="1"/>
  <c r="AM81" i="2" a="1"/>
  <c r="AM81" i="2" s="1"/>
  <c r="U31" i="4" s="1" a="1"/>
  <c r="U31" i="4" s="1"/>
  <c r="AM89" i="2" a="1"/>
  <c r="AM89" i="2" s="1"/>
  <c r="U39" i="4" s="1" a="1"/>
  <c r="U39" i="4" s="1"/>
  <c r="W38" i="4" a="1"/>
  <c r="W38" i="4" s="1"/>
  <c r="AN7" i="2" a="1"/>
  <c r="AN7" i="2" s="1"/>
  <c r="H104" i="2" a="1"/>
  <c r="H104" i="2" s="1"/>
  <c r="BO18" i="2" a="1"/>
  <c r="BO18" i="2" s="1"/>
  <c r="DK21" i="2" a="1"/>
  <c r="DK21" i="2" s="1"/>
  <c r="DL21" i="2" s="1" a="1"/>
  <c r="DL21" i="2" s="1"/>
  <c r="DK19" i="2" a="1"/>
  <c r="DK19" i="2" s="1"/>
  <c r="DL19" i="2" s="1" a="1"/>
  <c r="DL19" i="2" s="1"/>
  <c r="DK18" i="2" a="1"/>
  <c r="DK18" i="2" s="1"/>
  <c r="DL18" i="2" s="1" a="1"/>
  <c r="DL18" i="2" s="1"/>
  <c r="DK20" i="2" a="1"/>
  <c r="DK20" i="2" s="1"/>
  <c r="DL20" i="2" s="1" a="1"/>
  <c r="DL20" i="2" s="1"/>
  <c r="AT15" i="2" a="1"/>
  <c r="AT15" i="2" s="1"/>
  <c r="J13" i="4" s="1" a="1"/>
  <c r="J13" i="4" s="1"/>
  <c r="AM39" i="2" a="1"/>
  <c r="AM39" i="2" s="1"/>
  <c r="I37" i="4" s="1" a="1"/>
  <c r="I37" i="4" s="1"/>
  <c r="AN70" i="2" a="1"/>
  <c r="AN70" i="2" s="1"/>
  <c r="AN23" i="2" a="1"/>
  <c r="AN23" i="2" s="1"/>
  <c r="AN25" i="2" a="1"/>
  <c r="AN25" i="2" s="1"/>
  <c r="AM46" i="2" a="1"/>
  <c r="AM46" i="2" s="1"/>
  <c r="I44" i="4" s="1" a="1"/>
  <c r="I44" i="4" s="1"/>
  <c r="AM86" i="2" a="1"/>
  <c r="AM86" i="2" s="1"/>
  <c r="U36" i="4" s="1" a="1"/>
  <c r="U36" i="4" s="1"/>
  <c r="AT73" i="2" a="1"/>
  <c r="AT73" i="2" s="1"/>
  <c r="V23" i="4" s="1" a="1"/>
  <c r="V23" i="4" s="1"/>
  <c r="H108" i="2" a="1"/>
  <c r="H108" i="2" s="1"/>
  <c r="M112" i="2" s="1" a="1"/>
  <c r="M112" i="2" s="1"/>
  <c r="AA111" i="2" s="1" a="1"/>
  <c r="AA111" i="2" s="1"/>
  <c r="DK36" i="2" a="1"/>
  <c r="DK36" i="2" s="1"/>
  <c r="DL36" i="2" s="1" a="1"/>
  <c r="DL36" i="2" s="1"/>
  <c r="DK34" i="2" a="1"/>
  <c r="DK34" i="2" s="1"/>
  <c r="DL34" i="2" s="1" a="1"/>
  <c r="DL34" i="2" s="1"/>
  <c r="BO34" i="2" a="1"/>
  <c r="BO34" i="2" s="1"/>
  <c r="DK37" i="2" a="1"/>
  <c r="DK37" i="2" s="1"/>
  <c r="DL37" i="2" s="1" a="1"/>
  <c r="DL37" i="2" s="1"/>
  <c r="DK35" i="2" a="1"/>
  <c r="DK35" i="2" s="1"/>
  <c r="DL35" i="2" s="1" a="1"/>
  <c r="DL35" i="2" s="1"/>
  <c r="AT24" i="2" a="1"/>
  <c r="AT24" i="2" s="1"/>
  <c r="J22" i="4" s="1" a="1"/>
  <c r="J22" i="4" s="1"/>
  <c r="BV59" i="2" a="1"/>
  <c r="BV59" i="2" s="1"/>
  <c r="AM33" i="2" a="1"/>
  <c r="AM33" i="2" s="1"/>
  <c r="I31" i="4" s="1" a="1"/>
  <c r="I31" i="4" s="1"/>
  <c r="BR6" i="2" a="1"/>
  <c r="BR6" i="2" s="1"/>
  <c r="AM6" i="2" a="1"/>
  <c r="AM6" i="2" s="1"/>
  <c r="I4" i="4" s="1" a="1"/>
  <c r="I4" i="4" s="1"/>
  <c r="AT32" i="2" a="1"/>
  <c r="AT32" i="2" s="1"/>
  <c r="J30" i="4" s="1" a="1"/>
  <c r="J30" i="4" s="1"/>
  <c r="AT86" i="2" a="1"/>
  <c r="AT86" i="2" s="1"/>
  <c r="V36" i="4" s="1" a="1"/>
  <c r="V36" i="4" s="1"/>
  <c r="AM87" i="2" a="1"/>
  <c r="AM87" i="2" s="1"/>
  <c r="U37" i="4" s="1" a="1"/>
  <c r="U37" i="4" s="1"/>
  <c r="AN73" i="2" a="1"/>
  <c r="AN73" i="2" s="1"/>
  <c r="AN39" i="2" a="1"/>
  <c r="AN39" i="2" s="1"/>
  <c r="AN24" i="2" a="1"/>
  <c r="AN24" i="2" s="1"/>
  <c r="CW13" i="2" a="1"/>
  <c r="CW13" i="2" s="1"/>
  <c r="AT17" i="2" a="1"/>
  <c r="AT17" i="2" s="1"/>
  <c r="J15" i="4" s="1" a="1"/>
  <c r="J15" i="4" s="1"/>
  <c r="H107" i="2" a="1"/>
  <c r="H107" i="2" s="1"/>
  <c r="M110" i="2" s="1" a="1"/>
  <c r="M110" i="2" s="1"/>
  <c r="AA109" i="2" s="1" a="1"/>
  <c r="AA109" i="2" s="1"/>
  <c r="DK33" i="2" a="1"/>
  <c r="DK33" i="2" s="1"/>
  <c r="DL33" i="2" s="1" a="1"/>
  <c r="DL33" i="2" s="1"/>
  <c r="DK32" i="2" a="1"/>
  <c r="DK32" i="2" s="1"/>
  <c r="DL32" i="2" s="1" a="1"/>
  <c r="DL32" i="2" s="1"/>
  <c r="DK31" i="2" a="1"/>
  <c r="DK31" i="2" s="1"/>
  <c r="DL31" i="2" s="1" a="1"/>
  <c r="DL31" i="2" s="1"/>
  <c r="BO30" i="2" a="1"/>
  <c r="BO30" i="2" s="1"/>
  <c r="DK30" i="2" a="1"/>
  <c r="DK30" i="2" s="1"/>
  <c r="DL30" i="2" s="1" a="1"/>
  <c r="DL30" i="2" s="1"/>
  <c r="AM94" i="2" a="1"/>
  <c r="AM94" i="2" s="1"/>
  <c r="U44" i="4" s="1" a="1"/>
  <c r="U44" i="4" s="1"/>
  <c r="K38" i="4" a="1"/>
  <c r="K38" i="4" s="1"/>
  <c r="AN33" i="2" a="1"/>
  <c r="AN33" i="2" s="1"/>
  <c r="AT97" i="2" a="1"/>
  <c r="AT97" i="2" s="1"/>
  <c r="V47" i="4" s="1" a="1"/>
  <c r="V47" i="4" s="1"/>
  <c r="W31" i="4" a="1"/>
  <c r="W31" i="4" s="1"/>
  <c r="H101" i="2" a="1"/>
  <c r="H101" i="2" s="1"/>
  <c r="BO6" i="2" a="1"/>
  <c r="BO6" i="2" s="1"/>
  <c r="DK8" i="2" a="1"/>
  <c r="DK8" i="2" s="1"/>
  <c r="DL8" i="2" s="1" a="1"/>
  <c r="DL8" i="2" s="1"/>
  <c r="DK7" i="2" a="1"/>
  <c r="DK7" i="2" s="1"/>
  <c r="DL7" i="2" s="1" a="1"/>
  <c r="DL7" i="2" s="1"/>
  <c r="DK9" i="2" a="1"/>
  <c r="DK9" i="2" s="1"/>
  <c r="DL9" i="2" s="1" a="1"/>
  <c r="DL9" i="2" s="1"/>
  <c r="DK6" i="2" a="1"/>
  <c r="DK6" i="2" s="1"/>
  <c r="DL6" i="2" s="1" a="1"/>
  <c r="DL6" i="2" s="1"/>
  <c r="AN6" i="2" a="1"/>
  <c r="AN6" i="2" s="1"/>
  <c r="BU68" i="2" a="1"/>
  <c r="BU68" i="2" s="1"/>
  <c r="AT23" i="2" a="1"/>
  <c r="AT23" i="2" s="1"/>
  <c r="J21" i="4" s="1" a="1"/>
  <c r="J21" i="4" s="1"/>
  <c r="BO13" i="2" a="1"/>
  <c r="BO13" i="2" s="1"/>
  <c r="AN17" i="2" a="1"/>
  <c r="AN17" i="2" s="1"/>
  <c r="H112" i="2" a="1"/>
  <c r="H112" i="2" s="1"/>
  <c r="M108" i="2" s="1" a="1"/>
  <c r="M108" i="2" s="1"/>
  <c r="AA108" i="2" s="1" a="1"/>
  <c r="AA108" i="2" s="1"/>
  <c r="DK51" i="2" a="1"/>
  <c r="DK51" i="2" s="1"/>
  <c r="DL51" i="2" s="1" a="1"/>
  <c r="DL51" i="2" s="1"/>
  <c r="BO50" i="2" a="1"/>
  <c r="BO50" i="2" s="1"/>
  <c r="DK53" i="2" a="1"/>
  <c r="DK53" i="2" s="1"/>
  <c r="DL53" i="2" s="1" a="1"/>
  <c r="DL53" i="2" s="1"/>
  <c r="DK52" i="2" a="1"/>
  <c r="DK52" i="2" s="1"/>
  <c r="DL52" i="2" s="1" a="1"/>
  <c r="DL52" i="2" s="1"/>
  <c r="DK50" i="2" a="1"/>
  <c r="DK50" i="2" s="1"/>
  <c r="DL50" i="2" s="1" a="1"/>
  <c r="DL50" i="2" s="1"/>
  <c r="BR8" i="2" a="1"/>
  <c r="BR8" i="2" s="1"/>
  <c r="AM8" i="2" a="1"/>
  <c r="AM8" i="2" s="1"/>
  <c r="I6" i="4" s="1" a="1"/>
  <c r="I6" i="4" s="1"/>
  <c r="AN72" i="2" a="1"/>
  <c r="AN72" i="2" s="1"/>
  <c r="H111" i="2" a="1"/>
  <c r="H111" i="2" s="1"/>
  <c r="DK49" i="2" a="1"/>
  <c r="DK49" i="2" s="1"/>
  <c r="DL49" i="2" s="1" a="1"/>
  <c r="DL49" i="2" s="1"/>
  <c r="DK47" i="2" a="1"/>
  <c r="DK47" i="2" s="1"/>
  <c r="DL47" i="2" s="1" a="1"/>
  <c r="DL47" i="2" s="1"/>
  <c r="DK46" i="2" a="1"/>
  <c r="DK46" i="2" s="1"/>
  <c r="DL46" i="2" s="1" a="1"/>
  <c r="DL46" i="2" s="1"/>
  <c r="DK48" i="2" a="1"/>
  <c r="DK48" i="2" s="1"/>
  <c r="DL48" i="2" s="1" a="1"/>
  <c r="DL48" i="2" s="1"/>
  <c r="BO46" i="2" a="1"/>
  <c r="BO46" i="2" s="1"/>
  <c r="W21" i="4" a="1"/>
  <c r="W21" i="4" s="1"/>
  <c r="H105" i="2" a="1"/>
  <c r="H105" i="2" s="1"/>
  <c r="DK25" i="2" a="1"/>
  <c r="DK25" i="2" s="1"/>
  <c r="DL25" i="2" s="1" a="1"/>
  <c r="DL25" i="2" s="1"/>
  <c r="BO22" i="2" a="1"/>
  <c r="BO22" i="2" s="1"/>
  <c r="DK23" i="2" a="1"/>
  <c r="DK23" i="2" s="1"/>
  <c r="DL23" i="2" s="1" a="1"/>
  <c r="DL23" i="2" s="1"/>
  <c r="DK22" i="2" a="1"/>
  <c r="DK22" i="2" s="1"/>
  <c r="DL22" i="2" s="1" a="1"/>
  <c r="DL22" i="2" s="1"/>
  <c r="DK24" i="2" a="1"/>
  <c r="DK24" i="2" s="1"/>
  <c r="DL24" i="2" s="1" a="1"/>
  <c r="DL24" i="2" s="1"/>
  <c r="AT47" i="2" a="1"/>
  <c r="AT47" i="2" s="1"/>
  <c r="J45" i="4" s="1" a="1"/>
  <c r="J45" i="4" s="1"/>
  <c r="AM24" i="2" a="1"/>
  <c r="AM24" i="2" s="1"/>
  <c r="I22" i="4" s="1" a="1"/>
  <c r="I22" i="4" s="1"/>
  <c r="AN80" i="2" a="1"/>
  <c r="AN80" i="2" s="1"/>
  <c r="AN63" i="2" a="1"/>
  <c r="AN63" i="2" s="1"/>
  <c r="BV66" i="2" l="1" a="1"/>
  <c r="BV66" i="2" s="1"/>
  <c r="C100" i="3" a="1"/>
  <c r="C100" i="3" s="1"/>
  <c r="C87" i="3" a="1"/>
  <c r="C87" i="3" s="1"/>
  <c r="BV63" i="2" a="1"/>
  <c r="BV63" i="2" s="1"/>
  <c r="C107" i="3" a="1"/>
  <c r="C107" i="3" s="1"/>
  <c r="C119" i="3" a="1"/>
  <c r="C119" i="3" s="1"/>
  <c r="BV58" i="2" a="1"/>
  <c r="BV58" i="2" s="1"/>
  <c r="C108" i="3" a="1"/>
  <c r="C108" i="3" s="1"/>
  <c r="C94" i="3" a="1"/>
  <c r="C94" i="3" s="1"/>
  <c r="C127" i="3" a="1"/>
  <c r="C127" i="3" s="1"/>
  <c r="C106" i="3" a="1"/>
  <c r="C106" i="3" s="1"/>
  <c r="BV69" i="2" a="1"/>
  <c r="BV69" i="2" s="1"/>
  <c r="C99" i="3" a="1"/>
  <c r="C99" i="3" s="1"/>
  <c r="C102" i="3" a="1"/>
  <c r="C102" i="3" s="1"/>
  <c r="C101" i="3" a="1"/>
  <c r="C101" i="3" s="1"/>
  <c r="C89" i="3" a="1"/>
  <c r="C89" i="3" s="1"/>
  <c r="C93" i="3" a="1"/>
  <c r="C93" i="3" s="1"/>
  <c r="C121" i="3" a="1"/>
  <c r="C121" i="3" s="1"/>
  <c r="C125" i="3" a="1"/>
  <c r="C125" i="3" s="1"/>
  <c r="C126" i="3" a="1"/>
  <c r="C126" i="3" s="1"/>
  <c r="C103" i="3" a="1"/>
  <c r="C103" i="3" s="1"/>
  <c r="C124" i="3" a="1"/>
  <c r="C124" i="3" s="1"/>
  <c r="BV62" i="2" a="1"/>
  <c r="BV62" i="2" s="1"/>
  <c r="C117" i="3" a="1"/>
  <c r="C117" i="3" s="1"/>
  <c r="BV65" i="2" a="1"/>
  <c r="BV65" i="2" s="1"/>
  <c r="AU41" i="2" a="1"/>
  <c r="AU41" i="2" s="1"/>
  <c r="DM25" i="2" a="1"/>
  <c r="DM25" i="2" s="1"/>
  <c r="M107" i="2" a="1"/>
  <c r="M107" i="2" s="1"/>
  <c r="AA107" i="2" s="1" a="1"/>
  <c r="AA107" i="2" s="1"/>
  <c r="H113" i="2" a="1"/>
  <c r="H113" i="2" s="1"/>
  <c r="M101" i="2" a="1"/>
  <c r="M101" i="2" s="1"/>
  <c r="AA101" i="2" s="1" a="1"/>
  <c r="AA101" i="2" s="1"/>
  <c r="AU55" i="2" a="1"/>
  <c r="AU55" i="2" s="1"/>
  <c r="DM31" i="2" a="1"/>
  <c r="DM31" i="2" s="1"/>
  <c r="C90" i="3" a="1"/>
  <c r="C90" i="3" s="1"/>
  <c r="AU78" i="2" a="1"/>
  <c r="AU78" i="2" s="1"/>
  <c r="DM42" i="2" a="1"/>
  <c r="DM42" i="2" s="1"/>
  <c r="C86" i="3" a="1"/>
  <c r="C86" i="3" s="1"/>
  <c r="C104" i="3" a="1"/>
  <c r="C104" i="3" s="1"/>
  <c r="M102" i="2" a="1"/>
  <c r="M102" i="2" s="1"/>
  <c r="AA103" i="2" s="1" a="1"/>
  <c r="AA103" i="2" s="1"/>
  <c r="M106" i="2" a="1"/>
  <c r="M106" i="2" s="1"/>
  <c r="AA105" i="2" s="1" a="1"/>
  <c r="AA105" i="2" s="1"/>
  <c r="AU94" i="2" a="1"/>
  <c r="AU94" i="2" s="1"/>
  <c r="DM50" i="2" a="1"/>
  <c r="DM50" i="2" s="1"/>
  <c r="C116" i="3" a="1"/>
  <c r="C116" i="3" s="1"/>
  <c r="AU56" i="2" a="1"/>
  <c r="AU56" i="2" s="1"/>
  <c r="DM32" i="2" a="1"/>
  <c r="DM32" i="2" s="1"/>
  <c r="C95" i="3" a="1"/>
  <c r="C95" i="3" s="1"/>
  <c r="C91" i="3" a="1"/>
  <c r="C91" i="3" s="1"/>
  <c r="C84" i="3" a="1"/>
  <c r="C84" i="3" s="1"/>
  <c r="C105" i="3" a="1"/>
  <c r="C105" i="3" s="1"/>
  <c r="BV68" i="2" a="1"/>
  <c r="BV68" i="2" s="1"/>
  <c r="AU96" i="2" a="1"/>
  <c r="AU96" i="2" s="1"/>
  <c r="DM52" i="2" a="1"/>
  <c r="DM52" i="2" s="1"/>
  <c r="C118" i="3" a="1"/>
  <c r="C118" i="3" s="1"/>
  <c r="AU57" i="2" a="1"/>
  <c r="AU57" i="2" s="1"/>
  <c r="DM33" i="2" a="1"/>
  <c r="DM33" i="2" s="1"/>
  <c r="C92" i="3" a="1"/>
  <c r="C92" i="3" s="1"/>
  <c r="BV61" i="2" a="1"/>
  <c r="BV61" i="2" s="1"/>
  <c r="AU80" i="2" a="1"/>
  <c r="AU80" i="2" s="1"/>
  <c r="DM44" i="2" a="1"/>
  <c r="DM44" i="2" s="1"/>
  <c r="C85" i="3" a="1"/>
  <c r="C85" i="3" s="1"/>
  <c r="AU97" i="2" a="1"/>
  <c r="AU97" i="2" s="1"/>
  <c r="DM53" i="2" a="1"/>
  <c r="DM53" i="2" s="1"/>
  <c r="C172" i="3" a="1"/>
  <c r="C172" i="3" s="1"/>
  <c r="B172" i="3" a="1"/>
  <c r="B172" i="3" s="1"/>
  <c r="C138" i="3" a="1"/>
  <c r="C138" i="3" s="1"/>
  <c r="AA24" i="4" a="1"/>
  <c r="AA24" i="4" s="1"/>
  <c r="AU63" i="2" a="1"/>
  <c r="AU63" i="2" s="1"/>
  <c r="DM35" i="2" a="1"/>
  <c r="DM35" i="2" s="1"/>
  <c r="C115" i="3" a="1"/>
  <c r="C115" i="3" s="1"/>
  <c r="C114" i="3" a="1"/>
  <c r="C114" i="3" s="1"/>
  <c r="C113" i="3" a="1"/>
  <c r="C113" i="3" s="1"/>
  <c r="C112" i="3" a="1"/>
  <c r="C112" i="3" s="1"/>
  <c r="AU81" i="2" a="1"/>
  <c r="AU81" i="2" s="1"/>
  <c r="DM45" i="2" a="1"/>
  <c r="DM45" i="2" s="1"/>
  <c r="AU65" i="2" a="1"/>
  <c r="AU65" i="2" s="1"/>
  <c r="DM37" i="2" a="1"/>
  <c r="DM37" i="2" s="1"/>
  <c r="AU24" i="2" a="1"/>
  <c r="AU24" i="2" s="1"/>
  <c r="DM16" i="2" a="1"/>
  <c r="DM16" i="2" s="1"/>
  <c r="C178" i="3" a="1"/>
  <c r="C178" i="3" s="1"/>
  <c r="B178" i="3" a="1"/>
  <c r="B178" i="3" s="1"/>
  <c r="C144" i="3" a="1"/>
  <c r="C144" i="3" s="1"/>
  <c r="AA39" i="4" a="1"/>
  <c r="AA39" i="4" s="1"/>
  <c r="AU70" i="2" a="1"/>
  <c r="AU70" i="2" s="1"/>
  <c r="DM38" i="2" a="1"/>
  <c r="DM38" i="2" s="1"/>
  <c r="C109" i="3" a="1"/>
  <c r="C109" i="3" s="1"/>
  <c r="AU88" i="2" a="1"/>
  <c r="AU88" i="2" s="1"/>
  <c r="DM48" i="2" a="1"/>
  <c r="DM48" i="2" s="1"/>
  <c r="AU95" i="2" a="1"/>
  <c r="AU95" i="2" s="1"/>
  <c r="DM51" i="2" a="1"/>
  <c r="DM51" i="2" s="1"/>
  <c r="AU15" i="2" a="1"/>
  <c r="AU15" i="2" s="1"/>
  <c r="DM11" i="2" a="1"/>
  <c r="DM11" i="2" s="1"/>
  <c r="AU73" i="2" a="1"/>
  <c r="AU73" i="2" s="1"/>
  <c r="DM41" i="2" a="1"/>
  <c r="DM41" i="2" s="1"/>
  <c r="C110" i="3" a="1"/>
  <c r="C110" i="3" s="1"/>
  <c r="AU86" i="2" a="1"/>
  <c r="AU86" i="2" s="1"/>
  <c r="DM46" i="2" a="1"/>
  <c r="DM46" i="2" s="1"/>
  <c r="B171" i="3" a="1"/>
  <c r="B171" i="3" s="1"/>
  <c r="C171" i="3" a="1"/>
  <c r="C171" i="3" s="1"/>
  <c r="C137" i="3" a="1"/>
  <c r="C137" i="3" s="1"/>
  <c r="AA36" i="4" a="1"/>
  <c r="AA36" i="4" s="1"/>
  <c r="C80" i="3" a="1"/>
  <c r="C80" i="3" s="1"/>
  <c r="C82" i="3" a="1"/>
  <c r="C82" i="3" s="1"/>
  <c r="C81" i="3" a="1"/>
  <c r="C81" i="3" s="1"/>
  <c r="C83" i="3" a="1"/>
  <c r="C83" i="3" s="1"/>
  <c r="BV60" i="2" a="1"/>
  <c r="BV60" i="2" s="1"/>
  <c r="AU62" i="2" a="1"/>
  <c r="AU62" i="2" s="1"/>
  <c r="DM34" i="2" a="1"/>
  <c r="DM34" i="2" s="1"/>
  <c r="AU32" i="2" a="1"/>
  <c r="AU32" i="2" s="1"/>
  <c r="DM20" i="2" a="1"/>
  <c r="DM20" i="2" s="1"/>
  <c r="AU25" i="2" a="1"/>
  <c r="AU25" i="2" s="1"/>
  <c r="DM17" i="2" a="1"/>
  <c r="DM17" i="2" s="1"/>
  <c r="C111" i="3" a="1"/>
  <c r="C111" i="3" s="1"/>
  <c r="AU87" i="2" a="1"/>
  <c r="AU87" i="2" s="1"/>
  <c r="DM47" i="2" a="1"/>
  <c r="DM47" i="2" s="1"/>
  <c r="AU6" i="2" a="1"/>
  <c r="AU6" i="2" s="1"/>
  <c r="DM6" i="2" a="1"/>
  <c r="DM6" i="2" s="1"/>
  <c r="AU64" i="2" a="1"/>
  <c r="AU64" i="2" s="1"/>
  <c r="DM36" i="2" a="1"/>
  <c r="DM36" i="2" s="1"/>
  <c r="AU30" i="2" a="1"/>
  <c r="AU30" i="2" s="1"/>
  <c r="DM18" i="2" a="1"/>
  <c r="DM18" i="2" s="1"/>
  <c r="AU22" i="2" a="1"/>
  <c r="AU22" i="2" s="1"/>
  <c r="DM14" i="2" a="1"/>
  <c r="DM14" i="2" s="1"/>
  <c r="AU17" i="2" a="1"/>
  <c r="AU17" i="2" s="1"/>
  <c r="DM13" i="2" a="1"/>
  <c r="DM13" i="2" s="1"/>
  <c r="AU46" i="2" a="1"/>
  <c r="AU46" i="2" s="1"/>
  <c r="DM26" i="2" a="1"/>
  <c r="DM26" i="2" s="1"/>
  <c r="AU71" i="2" a="1"/>
  <c r="AU71" i="2" s="1"/>
  <c r="DM39" i="2" a="1"/>
  <c r="DM39" i="2" s="1"/>
  <c r="AU40" i="2" a="1"/>
  <c r="AU40" i="2" s="1"/>
  <c r="DM24" i="2" a="1"/>
  <c r="DM24" i="2" s="1"/>
  <c r="AU89" i="2" a="1"/>
  <c r="AU89" i="2" s="1"/>
  <c r="DM49" i="2" a="1"/>
  <c r="DM49" i="2" s="1"/>
  <c r="AU9" i="2" a="1"/>
  <c r="AU9" i="2" s="1"/>
  <c r="DM9" i="2" a="1"/>
  <c r="DM9" i="2" s="1"/>
  <c r="C140" i="3" a="1"/>
  <c r="C140" i="3" s="1"/>
  <c r="C174" i="3" a="1"/>
  <c r="C174" i="3" s="1"/>
  <c r="B174" i="3" a="1"/>
  <c r="B174" i="3" s="1"/>
  <c r="AA18" i="4" a="1"/>
  <c r="AA18" i="4" s="1"/>
  <c r="AU31" i="2" a="1"/>
  <c r="AU31" i="2" s="1"/>
  <c r="DM19" i="2" a="1"/>
  <c r="DM19" i="2" s="1"/>
  <c r="AU23" i="2" a="1"/>
  <c r="AU23" i="2" s="1"/>
  <c r="DM15" i="2" a="1"/>
  <c r="DM15" i="2" s="1"/>
  <c r="AU14" i="2" a="1"/>
  <c r="AU14" i="2" s="1"/>
  <c r="DM10" i="2" a="1"/>
  <c r="DM10" i="2" s="1"/>
  <c r="AU48" i="2" a="1"/>
  <c r="AU48" i="2" s="1"/>
  <c r="DM28" i="2" a="1"/>
  <c r="DM28" i="2" s="1"/>
  <c r="C97" i="3" a="1"/>
  <c r="C97" i="3" s="1"/>
  <c r="AU72" i="2" a="1"/>
  <c r="AU72" i="2" s="1"/>
  <c r="DM40" i="2" a="1"/>
  <c r="DM40" i="2" s="1"/>
  <c r="C122" i="3" a="1"/>
  <c r="C122" i="3" s="1"/>
  <c r="AU38" i="2" a="1"/>
  <c r="AU38" i="2" s="1"/>
  <c r="DM22" i="2" a="1"/>
  <c r="DM22" i="2" s="1"/>
  <c r="M115" i="2" a="1"/>
  <c r="M115" i="2" s="1"/>
  <c r="AA116" i="2" s="1" a="1"/>
  <c r="AA116" i="2" s="1"/>
  <c r="M111" i="2" a="1"/>
  <c r="M111" i="2" s="1"/>
  <c r="AA112" i="2" s="1" a="1"/>
  <c r="AA112" i="2" s="1"/>
  <c r="AU7" i="2" a="1"/>
  <c r="AU7" i="2" s="1"/>
  <c r="DM7" i="2" a="1"/>
  <c r="DM7" i="2" s="1"/>
  <c r="AU33" i="2" a="1"/>
  <c r="AU33" i="2" s="1"/>
  <c r="DM21" i="2" a="1"/>
  <c r="DM21" i="2" s="1"/>
  <c r="C165" i="3" a="1"/>
  <c r="C165" i="3" s="1"/>
  <c r="C131" i="3" a="1"/>
  <c r="C131" i="3" s="1"/>
  <c r="B165" i="3" a="1"/>
  <c r="B165" i="3" s="1"/>
  <c r="AA27" i="4" a="1"/>
  <c r="AA27" i="4" s="1"/>
  <c r="AU16" i="2" a="1"/>
  <c r="AU16" i="2" s="1"/>
  <c r="DM12" i="2" a="1"/>
  <c r="DM12" i="2" s="1"/>
  <c r="AU47" i="2" a="1"/>
  <c r="AU47" i="2" s="1"/>
  <c r="DM27" i="2" a="1"/>
  <c r="DM27" i="2" s="1"/>
  <c r="C98" i="3" a="1"/>
  <c r="C98" i="3" s="1"/>
  <c r="C169" i="3" a="1"/>
  <c r="C169" i="3" s="1"/>
  <c r="B169" i="3" a="1"/>
  <c r="B169" i="3" s="1"/>
  <c r="C135" i="3" a="1"/>
  <c r="C135" i="3" s="1"/>
  <c r="AA6" i="4" a="1"/>
  <c r="AA6" i="4" s="1"/>
  <c r="C123" i="3" a="1"/>
  <c r="C123" i="3" s="1"/>
  <c r="AU39" i="2" a="1"/>
  <c r="AU39" i="2" s="1"/>
  <c r="DM23" i="2" a="1"/>
  <c r="DM23" i="2" s="1"/>
  <c r="AU8" i="2" a="1"/>
  <c r="AU8" i="2" s="1"/>
  <c r="DM8" i="2" a="1"/>
  <c r="DM8" i="2" s="1"/>
  <c r="AU54" i="2" a="1"/>
  <c r="AU54" i="2" s="1"/>
  <c r="DM30" i="2" a="1"/>
  <c r="DM30" i="2" s="1"/>
  <c r="C142" i="3" a="1"/>
  <c r="C142" i="3" s="1"/>
  <c r="C176" i="3" a="1"/>
  <c r="C176" i="3" s="1"/>
  <c r="B176" i="3" a="1"/>
  <c r="B176" i="3" s="1"/>
  <c r="AA45" i="4" a="1"/>
  <c r="AA45" i="4" s="1"/>
  <c r="C88" i="3" a="1"/>
  <c r="C88" i="3" s="1"/>
  <c r="AU49" i="2" a="1"/>
  <c r="AU49" i="2" s="1"/>
  <c r="DM29" i="2" a="1"/>
  <c r="DM29" i="2" s="1"/>
  <c r="C96" i="3" a="1"/>
  <c r="C96" i="3" s="1"/>
  <c r="C120" i="3" a="1"/>
  <c r="C120" i="3" s="1"/>
  <c r="M116" i="2" a="1"/>
  <c r="M116" i="2" s="1"/>
  <c r="AA114" i="2" s="1" a="1"/>
  <c r="AA114" i="2" s="1"/>
  <c r="M109" i="2" a="1"/>
  <c r="M109" i="2" s="1"/>
  <c r="AA110" i="2" s="1" a="1"/>
  <c r="AA110" i="2" s="1"/>
  <c r="B167" i="3" a="1"/>
  <c r="B167" i="3" s="1"/>
  <c r="C133" i="3" a="1"/>
  <c r="C133" i="3" s="1"/>
  <c r="C167" i="3" a="1"/>
  <c r="C167" i="3" s="1"/>
  <c r="AA12" i="4" a="1"/>
  <c r="AA12" i="4" s="1"/>
  <c r="AU79" i="2" a="1"/>
  <c r="AU79" i="2" s="1"/>
  <c r="DM43" i="2" a="1"/>
  <c r="DM43" i="2" s="1"/>
  <c r="BW69" i="2" l="1" a="1"/>
  <c r="BW69" i="2" s="1"/>
  <c r="BX69" i="2" s="1" a="1"/>
  <c r="BX69" i="2" s="1"/>
  <c r="AU37" i="2" a="1"/>
  <c r="AU37" i="2" s="1"/>
  <c r="AV36" i="2" s="1" a="1"/>
  <c r="AV36" i="2" s="1"/>
  <c r="BW58" i="2" a="1"/>
  <c r="BW58" i="2" s="1"/>
  <c r="BX58" i="2" s="1" a="1"/>
  <c r="BX58" i="2" s="1"/>
  <c r="C177" i="3" a="1"/>
  <c r="C177" i="3" s="1"/>
  <c r="B177" i="3" a="1"/>
  <c r="B177" i="3" s="1"/>
  <c r="C143" i="3" a="1"/>
  <c r="C143" i="3" s="1"/>
  <c r="AA42" i="4" a="1"/>
  <c r="AA42" i="4" s="1"/>
  <c r="C141" i="3" a="1"/>
  <c r="C141" i="3" s="1"/>
  <c r="C175" i="3" a="1"/>
  <c r="C175" i="3" s="1"/>
  <c r="B175" i="3" a="1"/>
  <c r="B175" i="3" s="1"/>
  <c r="AA15" i="4" a="1"/>
  <c r="AA15" i="4" s="1"/>
  <c r="AU61" i="2" a="1"/>
  <c r="AU61" i="2" s="1"/>
  <c r="AV60" i="2" s="1" a="1"/>
  <c r="AV60" i="2" s="1"/>
  <c r="C134" i="3" a="1"/>
  <c r="C134" i="3" s="1"/>
  <c r="C168" i="3" a="1"/>
  <c r="C168" i="3" s="1"/>
  <c r="B168" i="3" a="1"/>
  <c r="B168" i="3" s="1"/>
  <c r="AA30" i="4" a="1"/>
  <c r="AA30" i="4" s="1"/>
  <c r="AU53" i="2" a="1"/>
  <c r="AU53" i="2" s="1"/>
  <c r="AV52" i="2" s="1" a="1"/>
  <c r="AV52" i="2" s="1"/>
  <c r="C145" i="3" a="1"/>
  <c r="C145" i="3" s="1"/>
  <c r="C179" i="3" a="1"/>
  <c r="C179" i="3" s="1"/>
  <c r="B179" i="3" a="1"/>
  <c r="B179" i="3" s="1"/>
  <c r="AA48" i="4" a="1"/>
  <c r="AA48" i="4" s="1"/>
  <c r="BW60" i="2" a="1"/>
  <c r="BW60" i="2" s="1"/>
  <c r="BX60" i="2" s="1" a="1"/>
  <c r="BX60" i="2" s="1"/>
  <c r="C132" i="3" a="1"/>
  <c r="C132" i="3" s="1"/>
  <c r="B166" i="3" a="1"/>
  <c r="B166" i="3" s="1"/>
  <c r="C166" i="3" a="1"/>
  <c r="C166" i="3" s="1"/>
  <c r="AA3" i="4" a="1"/>
  <c r="AA3" i="4" s="1"/>
  <c r="BW61" i="2" a="1"/>
  <c r="BW61" i="2" s="1"/>
  <c r="BX61" i="2" s="1" a="1"/>
  <c r="BX61" i="2" s="1"/>
  <c r="BW65" i="2" a="1"/>
  <c r="BW65" i="2" s="1"/>
  <c r="C164" i="3" a="1"/>
  <c r="C164" i="3" s="1"/>
  <c r="C130" i="3" a="1"/>
  <c r="C130" i="3" s="1"/>
  <c r="B164" i="3" a="1"/>
  <c r="B164" i="3" s="1"/>
  <c r="AA9" i="4" a="1"/>
  <c r="AA9" i="4" s="1"/>
  <c r="AZ109" i="2" a="1"/>
  <c r="AZ109" i="2" s="1"/>
  <c r="AZ106" i="2" a="1"/>
  <c r="AZ106" i="2" s="1"/>
  <c r="AZ108" i="2" a="1"/>
  <c r="AZ108" i="2" s="1"/>
  <c r="AZ103" i="2" a="1"/>
  <c r="AZ103" i="2" s="1"/>
  <c r="AZ105" i="2" a="1"/>
  <c r="AZ105" i="2" s="1"/>
  <c r="AZ110" i="2" a="1"/>
  <c r="AZ110" i="2" s="1"/>
  <c r="AZ107" i="2" a="1"/>
  <c r="AZ107" i="2" s="1"/>
  <c r="AZ104" i="2" a="1"/>
  <c r="AZ104" i="2" s="1"/>
  <c r="AA49" i="4" a="1"/>
  <c r="AA49" i="4" s="1"/>
  <c r="AA22" i="4" a="1"/>
  <c r="AA22" i="4" s="1"/>
  <c r="AA34" i="4" a="1"/>
  <c r="AA34" i="4" s="1"/>
  <c r="AA37" i="4" a="1"/>
  <c r="AA37" i="4" s="1"/>
  <c r="AA25" i="4" a="1"/>
  <c r="AA25" i="4" s="1"/>
  <c r="AA46" i="4" a="1"/>
  <c r="AA46" i="4" s="1"/>
  <c r="AA7" i="4" a="1"/>
  <c r="AA7" i="4" s="1"/>
  <c r="AA4" i="4" a="1"/>
  <c r="AA4" i="4" s="1"/>
  <c r="AU45" i="2" a="1"/>
  <c r="AU45" i="2" s="1"/>
  <c r="AV44" i="2" s="1" a="1"/>
  <c r="AV44" i="2" s="1"/>
  <c r="AU77" i="2" a="1"/>
  <c r="AU77" i="2" s="1"/>
  <c r="AV76" i="2" s="1" a="1"/>
  <c r="AV76" i="2" s="1"/>
  <c r="C136" i="3" a="1"/>
  <c r="C136" i="3" s="1"/>
  <c r="C170" i="3" a="1"/>
  <c r="C170" i="3" s="1"/>
  <c r="B170" i="3" a="1"/>
  <c r="B170" i="3" s="1"/>
  <c r="AA33" i="4" a="1"/>
  <c r="AA33" i="4" s="1"/>
  <c r="BW59" i="2" a="1"/>
  <c r="BW59" i="2" s="1"/>
  <c r="BW62" i="2" a="1"/>
  <c r="BW62" i="2" s="1"/>
  <c r="BW66" i="2" a="1"/>
  <c r="BW66" i="2" s="1"/>
  <c r="AU21" i="2" a="1"/>
  <c r="AU21" i="2" s="1"/>
  <c r="AV20" i="2" s="1" a="1"/>
  <c r="AV20" i="2" s="1"/>
  <c r="BW67" i="2" a="1"/>
  <c r="BW67" i="2" s="1"/>
  <c r="BW64" i="2" a="1"/>
  <c r="BW64" i="2" s="1"/>
  <c r="BW68" i="2" a="1"/>
  <c r="BW68" i="2" s="1"/>
  <c r="BX68" i="2" s="1" a="1"/>
  <c r="BX68" i="2" s="1"/>
  <c r="AU5" i="2" a="1"/>
  <c r="AU5" i="2" s="1"/>
  <c r="AV4" i="2" s="1" a="1"/>
  <c r="AV4" i="2" s="1"/>
  <c r="B173" i="3" a="1"/>
  <c r="B173" i="3" s="1"/>
  <c r="C139" i="3" a="1"/>
  <c r="C139" i="3" s="1"/>
  <c r="C173" i="3" a="1"/>
  <c r="C173" i="3" s="1"/>
  <c r="AA21" i="4" a="1"/>
  <c r="AA21" i="4" s="1"/>
  <c r="AU13" i="2" a="1"/>
  <c r="AU13" i="2" s="1"/>
  <c r="AV12" i="2" s="1" a="1"/>
  <c r="AV12" i="2" s="1"/>
  <c r="AU29" i="2" a="1"/>
  <c r="AU29" i="2" s="1"/>
  <c r="AV28" i="2" s="1" a="1"/>
  <c r="AV28" i="2" s="1"/>
  <c r="AU85" i="2" a="1"/>
  <c r="AU85" i="2" s="1"/>
  <c r="AV84" i="2" s="1" a="1"/>
  <c r="AV84" i="2" s="1"/>
  <c r="AU69" i="2" a="1"/>
  <c r="AU69" i="2" s="1"/>
  <c r="AV68" i="2" s="1" a="1"/>
  <c r="AV68" i="2" s="1"/>
  <c r="AU93" i="2" a="1"/>
  <c r="AU93" i="2" s="1"/>
  <c r="AV92" i="2" s="1" a="1"/>
  <c r="AV92" i="2" s="1"/>
  <c r="BW63" i="2" a="1"/>
  <c r="BW63" i="2" s="1"/>
  <c r="BX66" i="2" l="1" a="1"/>
  <c r="BX66" i="2" s="1"/>
  <c r="BY66" i="2" s="1" a="1"/>
  <c r="BY66" i="2" s="1"/>
  <c r="DF47" i="2" a="1"/>
  <c r="DF47" i="2" s="1"/>
  <c r="DF36" i="2" a="1"/>
  <c r="DF36" i="2" s="1"/>
  <c r="DF28" i="2" a="1"/>
  <c r="DF28" i="2" s="1"/>
  <c r="DF10" i="2" a="1"/>
  <c r="DF10" i="2" s="1"/>
  <c r="DF51" i="2" a="1"/>
  <c r="DF51" i="2" s="1"/>
  <c r="DF32" i="2" a="1"/>
  <c r="DF32" i="2" s="1"/>
  <c r="DF22" i="2" a="1"/>
  <c r="DF22" i="2" s="1"/>
  <c r="DF13" i="2" a="1"/>
  <c r="DF13" i="2" s="1"/>
  <c r="DF46" i="2" a="1"/>
  <c r="DF46" i="2" s="1"/>
  <c r="DF30" i="2" a="1"/>
  <c r="DF30" i="2" s="1"/>
  <c r="DF20" i="2" a="1"/>
  <c r="DF20" i="2" s="1"/>
  <c r="DF12" i="2" a="1"/>
  <c r="DF12" i="2" s="1"/>
  <c r="DF38" i="2" a="1"/>
  <c r="DF38" i="2" s="1"/>
  <c r="DF29" i="2" a="1"/>
  <c r="DF29" i="2" s="1"/>
  <c r="DF25" i="2" a="1"/>
  <c r="DF25" i="2" s="1"/>
  <c r="DF37" i="2" a="1"/>
  <c r="DF37" i="2" s="1"/>
  <c r="DF33" i="2" a="1"/>
  <c r="DF33" i="2" s="1"/>
  <c r="DF19" i="2" a="1"/>
  <c r="DF19" i="2" s="1"/>
  <c r="DF43" i="2" a="1"/>
  <c r="DF43" i="2" s="1"/>
  <c r="DF35" i="2" a="1"/>
  <c r="DF35" i="2" s="1"/>
  <c r="DF21" i="2" a="1"/>
  <c r="DF21" i="2" s="1"/>
  <c r="DF40" i="2" a="1"/>
  <c r="DF40" i="2" s="1"/>
  <c r="DF34" i="2" a="1"/>
  <c r="DF34" i="2" s="1"/>
  <c r="DF18" i="2" a="1"/>
  <c r="DF18" i="2" s="1"/>
  <c r="DF52" i="2" a="1"/>
  <c r="DF52" i="2" s="1"/>
  <c r="DF45" i="2" a="1"/>
  <c r="DF45" i="2" s="1"/>
  <c r="DF27" i="2" a="1"/>
  <c r="DF27" i="2" s="1"/>
  <c r="DF17" i="2" a="1"/>
  <c r="DF17" i="2" s="1"/>
  <c r="DF50" i="2" a="1"/>
  <c r="DF50" i="2" s="1"/>
  <c r="DF42" i="2" a="1"/>
  <c r="DF42" i="2" s="1"/>
  <c r="DF26" i="2" a="1"/>
  <c r="DF26" i="2" s="1"/>
  <c r="DF16" i="2" a="1"/>
  <c r="DF16" i="2" s="1"/>
  <c r="DF53" i="2" a="1"/>
  <c r="DF53" i="2" s="1"/>
  <c r="DF41" i="2" a="1"/>
  <c r="DF41" i="2" s="1"/>
  <c r="DF24" i="2" a="1"/>
  <c r="DF24" i="2" s="1"/>
  <c r="DF11" i="2" a="1"/>
  <c r="DF11" i="2" s="1"/>
  <c r="DF49" i="2" a="1"/>
  <c r="DF49" i="2" s="1"/>
  <c r="DF39" i="2" a="1"/>
  <c r="DF39" i="2" s="1"/>
  <c r="DF31" i="2" a="1"/>
  <c r="DF31" i="2" s="1"/>
  <c r="DF15" i="2" a="1"/>
  <c r="DF15" i="2" s="1"/>
  <c r="DF48" i="2" a="1"/>
  <c r="DF48" i="2" s="1"/>
  <c r="DF44" i="2" a="1"/>
  <c r="DF44" i="2" s="1"/>
  <c r="DF23" i="2" a="1"/>
  <c r="DF23" i="2" s="1"/>
  <c r="DF14" i="2" a="1"/>
  <c r="DF14" i="2" s="1"/>
  <c r="BX62" i="2" a="1"/>
  <c r="BX62" i="2" s="1"/>
  <c r="BX59" i="2" a="1"/>
  <c r="BX59" i="2" s="1"/>
  <c r="BI51" i="4" a="1"/>
  <c r="BI51" i="4" s="1"/>
  <c r="BH51" i="4" s="1" a="1"/>
  <c r="BH51" i="4" s="1"/>
  <c r="BI47" i="4" a="1"/>
  <c r="BI47" i="4" s="1"/>
  <c r="BH47" i="4" s="1" a="1"/>
  <c r="BH47" i="4" s="1"/>
  <c r="BI43" i="4" a="1"/>
  <c r="BI43" i="4" s="1"/>
  <c r="BH43" i="4" s="1" a="1"/>
  <c r="BH43" i="4" s="1"/>
  <c r="BI48" i="4" a="1"/>
  <c r="BI48" i="4" s="1"/>
  <c r="BH48" i="4" s="1" a="1"/>
  <c r="BH48" i="4" s="1"/>
  <c r="BI46" i="4" a="1"/>
  <c r="BI46" i="4" s="1"/>
  <c r="BH46" i="4" s="1" a="1"/>
  <c r="BH46" i="4" s="1"/>
  <c r="BI50" i="4" a="1"/>
  <c r="BI50" i="4" s="1"/>
  <c r="BH50" i="4" s="1" a="1"/>
  <c r="BH50" i="4" s="1"/>
  <c r="BI49" i="4" a="1"/>
  <c r="BI49" i="4" s="1"/>
  <c r="BH49" i="4" s="1" a="1"/>
  <c r="BH49" i="4" s="1"/>
  <c r="BI38" i="4" a="1"/>
  <c r="BI38" i="4" s="1"/>
  <c r="BH38" i="4" s="1" a="1"/>
  <c r="BH38" i="4" s="1"/>
  <c r="BI34" i="4" a="1"/>
  <c r="BI34" i="4" s="1"/>
  <c r="BH34" i="4" s="1" a="1"/>
  <c r="BH34" i="4" s="1"/>
  <c r="BI40" i="4" a="1"/>
  <c r="BI40" i="4" s="1"/>
  <c r="BH40" i="4" s="1" a="1"/>
  <c r="BH40" i="4" s="1"/>
  <c r="BI36" i="4" a="1"/>
  <c r="BI36" i="4" s="1"/>
  <c r="BH36" i="4" s="1" a="1"/>
  <c r="BH36" i="4" s="1"/>
  <c r="BI45" i="4" a="1"/>
  <c r="BI45" i="4" s="1"/>
  <c r="BH45" i="4" s="1" a="1"/>
  <c r="BH45" i="4" s="1"/>
  <c r="BI31" i="4" a="1"/>
  <c r="BI31" i="4" s="1"/>
  <c r="BH31" i="4" s="1" a="1"/>
  <c r="BH31" i="4" s="1"/>
  <c r="BI25" i="4" a="1"/>
  <c r="BI25" i="4" s="1"/>
  <c r="BH25" i="4" s="1" a="1"/>
  <c r="BH25" i="4" s="1"/>
  <c r="BI32" i="4" a="1"/>
  <c r="BI32" i="4" s="1"/>
  <c r="BH32" i="4" s="1" a="1"/>
  <c r="BH32" i="4" s="1"/>
  <c r="BI42" i="4" a="1"/>
  <c r="BI42" i="4" s="1"/>
  <c r="BH42" i="4" s="1" a="1"/>
  <c r="BH42" i="4" s="1"/>
  <c r="BI39" i="4" a="1"/>
  <c r="BI39" i="4" s="1"/>
  <c r="BH39" i="4" s="1" a="1"/>
  <c r="BH39" i="4" s="1"/>
  <c r="BI20" i="4" a="1"/>
  <c r="BI20" i="4" s="1"/>
  <c r="BH20" i="4" s="1" a="1"/>
  <c r="BH20" i="4" s="1"/>
  <c r="BI44" i="4" a="1"/>
  <c r="BI44" i="4" s="1"/>
  <c r="BH44" i="4" s="1" a="1"/>
  <c r="BH44" i="4" s="1"/>
  <c r="BI17" i="4" a="1"/>
  <c r="BI17" i="4" s="1"/>
  <c r="BH17" i="4" s="1" a="1"/>
  <c r="BH17" i="4" s="1"/>
  <c r="BI14" i="4" a="1"/>
  <c r="BI14" i="4" s="1"/>
  <c r="BH14" i="4" s="1" a="1"/>
  <c r="BH14" i="4" s="1"/>
  <c r="BI23" i="4" a="1"/>
  <c r="BI23" i="4" s="1"/>
  <c r="BH23" i="4" s="1" a="1"/>
  <c r="BH23" i="4" s="1"/>
  <c r="BI22" i="4" a="1"/>
  <c r="BI22" i="4" s="1"/>
  <c r="BH22" i="4" s="1" a="1"/>
  <c r="BH22" i="4" s="1"/>
  <c r="BI37" i="4" a="1"/>
  <c r="BI37" i="4" s="1"/>
  <c r="BH37" i="4" s="1" a="1"/>
  <c r="BH37" i="4" s="1"/>
  <c r="BI35" i="4" a="1"/>
  <c r="BI35" i="4" s="1"/>
  <c r="BH35" i="4" s="1" a="1"/>
  <c r="BH35" i="4" s="1"/>
  <c r="BI24" i="4" a="1"/>
  <c r="BI24" i="4" s="1"/>
  <c r="BH24" i="4" s="1" a="1"/>
  <c r="BH24" i="4" s="1"/>
  <c r="BI21" i="4" a="1"/>
  <c r="BI21" i="4" s="1"/>
  <c r="BH21" i="4" s="1" a="1"/>
  <c r="BH21" i="4" s="1"/>
  <c r="BI7" i="4" a="1"/>
  <c r="BI7" i="4" s="1"/>
  <c r="BH7" i="4" s="1" a="1"/>
  <c r="BH7" i="4" s="1"/>
  <c r="BI19" i="4" a="1"/>
  <c r="BI19" i="4" s="1"/>
  <c r="BH19" i="4" s="1" a="1"/>
  <c r="BH19" i="4" s="1"/>
  <c r="BI11" i="4" a="1"/>
  <c r="BI11" i="4" s="1"/>
  <c r="BH11" i="4" s="1" a="1"/>
  <c r="BH11" i="4" s="1"/>
  <c r="BI27" i="4" a="1"/>
  <c r="BI27" i="4" s="1"/>
  <c r="BH27" i="4" s="1" a="1"/>
  <c r="BH27" i="4" s="1"/>
  <c r="BI6" i="4" a="1"/>
  <c r="BI6" i="4" s="1"/>
  <c r="BH6" i="4" s="1" a="1"/>
  <c r="BH6" i="4" s="1"/>
  <c r="BI41" i="4" a="1"/>
  <c r="BI41" i="4" s="1"/>
  <c r="BH41" i="4" s="1" a="1"/>
  <c r="BH41" i="4" s="1"/>
  <c r="BI33" i="4" a="1"/>
  <c r="BI33" i="4" s="1"/>
  <c r="BH33" i="4" s="1" a="1"/>
  <c r="BH33" i="4" s="1"/>
  <c r="BI30" i="4" a="1"/>
  <c r="BI30" i="4" s="1"/>
  <c r="BH30" i="4" s="1" a="1"/>
  <c r="BH30" i="4" s="1"/>
  <c r="BI29" i="4" a="1"/>
  <c r="BI29" i="4" s="1"/>
  <c r="BH29" i="4" s="1" a="1"/>
  <c r="BH29" i="4" s="1"/>
  <c r="BI28" i="4" a="1"/>
  <c r="BI28" i="4" s="1"/>
  <c r="BH28" i="4" s="1" a="1"/>
  <c r="BH28" i="4" s="1"/>
  <c r="BI26" i="4" a="1"/>
  <c r="BI26" i="4" s="1"/>
  <c r="BH26" i="4" s="1" a="1"/>
  <c r="BH26" i="4" s="1"/>
  <c r="BI13" i="4" a="1"/>
  <c r="BI13" i="4" s="1"/>
  <c r="BH13" i="4" s="1" a="1"/>
  <c r="BH13" i="4" s="1"/>
  <c r="BI12" i="4" a="1"/>
  <c r="BI12" i="4" s="1"/>
  <c r="BH12" i="4" s="1" a="1"/>
  <c r="BH12" i="4" s="1"/>
  <c r="BI10" i="4" a="1"/>
  <c r="BI10" i="4" s="1"/>
  <c r="BH10" i="4" s="1" a="1"/>
  <c r="BH10" i="4" s="1"/>
  <c r="BI18" i="4" a="1"/>
  <c r="BI18" i="4" s="1"/>
  <c r="BH18" i="4" s="1" a="1"/>
  <c r="BH18" i="4" s="1"/>
  <c r="BI15" i="4" a="1"/>
  <c r="BI15" i="4" s="1"/>
  <c r="BH15" i="4" s="1" a="1"/>
  <c r="BH15" i="4" s="1"/>
  <c r="BI8" i="4" a="1"/>
  <c r="BI8" i="4" s="1"/>
  <c r="BH8" i="4" s="1" a="1"/>
  <c r="BH8" i="4" s="1"/>
  <c r="BI4" i="4" a="1"/>
  <c r="BI4" i="4" s="1"/>
  <c r="BH4" i="4" s="1" a="1"/>
  <c r="BH4" i="4" s="1"/>
  <c r="BI5" i="4" a="1"/>
  <c r="BI5" i="4" s="1"/>
  <c r="BH5" i="4" s="1" a="1"/>
  <c r="BH5" i="4" s="1"/>
  <c r="BI9" i="4" a="1"/>
  <c r="BI9" i="4" s="1"/>
  <c r="BH9" i="4" s="1" a="1"/>
  <c r="BH9" i="4" s="1"/>
  <c r="BI16" i="4" a="1"/>
  <c r="BI16" i="4" s="1"/>
  <c r="BH16" i="4" s="1" a="1"/>
  <c r="BH16" i="4" s="1"/>
  <c r="BX65" i="2" a="1"/>
  <c r="BX65" i="2" s="1"/>
  <c r="BX63" i="2" a="1"/>
  <c r="BX63" i="2" s="1"/>
  <c r="BY68" i="2" a="1"/>
  <c r="BY68" i="2" s="1"/>
  <c r="BX64" i="2" a="1"/>
  <c r="BX64" i="2" s="1"/>
  <c r="BX67" i="2" a="1"/>
  <c r="BX67" i="2" s="1"/>
  <c r="BY58" i="2" s="1" a="1"/>
  <c r="BY58" i="2" s="1"/>
  <c r="BY63" i="2" l="1" a="1"/>
  <c r="BY63" i="2" s="1"/>
  <c r="BY65" i="2" a="1"/>
  <c r="BY65" i="2" s="1"/>
  <c r="BY59" i="2" a="1"/>
  <c r="BY59" i="2" s="1"/>
  <c r="BY64" i="2" a="1"/>
  <c r="BY64" i="2" s="1"/>
  <c r="BY62" i="2" a="1"/>
  <c r="BY62" i="2" s="1"/>
  <c r="BY61" i="2" a="1"/>
  <c r="BY61" i="2" s="1"/>
  <c r="BY67" i="2" a="1"/>
  <c r="BY67" i="2" s="1"/>
  <c r="BY60" i="2" a="1"/>
  <c r="BY60" i="2" s="1"/>
  <c r="BY69" i="2" a="1"/>
  <c r="BY69" i="2" s="1"/>
  <c r="BZ58" i="2" l="1" a="1"/>
  <c r="BZ58" i="2" s="1"/>
  <c r="CA58" i="2" s="1" a="1"/>
  <c r="CA58" i="2" s="1"/>
  <c r="BZ67" i="2" a="1"/>
  <c r="BZ67" i="2" s="1"/>
  <c r="BZ65" i="2" a="1"/>
  <c r="BZ65" i="2" s="1"/>
  <c r="BZ66" i="2" a="1"/>
  <c r="BZ66" i="2" s="1"/>
  <c r="BZ64" i="2" a="1"/>
  <c r="BZ64" i="2" s="1"/>
  <c r="BZ63" i="2" a="1"/>
  <c r="BZ63" i="2" s="1"/>
  <c r="BZ68" i="2" a="1"/>
  <c r="BZ68" i="2" s="1"/>
  <c r="BZ59" i="2" a="1"/>
  <c r="BZ59" i="2" s="1"/>
  <c r="BZ69" i="2" a="1"/>
  <c r="BZ69" i="2" s="1"/>
  <c r="BZ61" i="2" a="1"/>
  <c r="BZ61" i="2" s="1"/>
  <c r="BZ60" i="2" a="1"/>
  <c r="BZ60" i="2" s="1"/>
  <c r="BZ62" i="2" a="1"/>
  <c r="BZ62" i="2" s="1"/>
  <c r="CE58" i="2" l="1" a="1"/>
  <c r="CE58" i="2" s="1"/>
  <c r="CA68" i="2" a="1"/>
  <c r="CA68" i="2" s="1"/>
  <c r="CA62" i="2" a="1"/>
  <c r="CA62" i="2" s="1"/>
  <c r="CE62" i="2" a="1"/>
  <c r="CE62" i="2" s="1"/>
  <c r="CA63" i="2" a="1"/>
  <c r="CA63" i="2" s="1"/>
  <c r="CE63" i="2" a="1"/>
  <c r="CE63" i="2" s="1"/>
  <c r="CA64" i="2" a="1"/>
  <c r="CA64" i="2" s="1"/>
  <c r="CE64" i="2" a="1"/>
  <c r="CE64" i="2" s="1"/>
  <c r="CA60" i="2" a="1"/>
  <c r="CA60" i="2" s="1"/>
  <c r="CE60" i="2" a="1"/>
  <c r="CE60" i="2" s="1"/>
  <c r="CA66" i="2" a="1"/>
  <c r="CA66" i="2" s="1"/>
  <c r="CB66" i="2" s="1" a="1"/>
  <c r="CB66" i="2" s="1"/>
  <c r="BM66" i="2" s="1" a="1"/>
  <c r="BM66" i="2" s="1"/>
  <c r="CA65" i="2" a="1"/>
  <c r="CA65" i="2" s="1"/>
  <c r="CE65" i="2" a="1"/>
  <c r="CE65" i="2" s="1"/>
  <c r="CA61" i="2" a="1"/>
  <c r="CA61" i="2" s="1"/>
  <c r="CE61" i="2" a="1"/>
  <c r="CE61" i="2" s="1"/>
  <c r="CA67" i="2" a="1"/>
  <c r="CA67" i="2" s="1"/>
  <c r="CE67" i="2" a="1"/>
  <c r="CE67" i="2" s="1"/>
  <c r="CE69" i="2" a="1"/>
  <c r="CE69" i="2" s="1"/>
  <c r="CA69" i="2" a="1"/>
  <c r="CA69" i="2" s="1"/>
  <c r="CA59" i="2" a="1"/>
  <c r="CA59" i="2" s="1"/>
  <c r="CE59" i="2" a="1"/>
  <c r="CE59" i="2" s="1"/>
  <c r="CB64" i="2" l="1" a="1"/>
  <c r="CB64" i="2" s="1"/>
  <c r="BM64" i="2" s="1" a="1"/>
  <c r="BM64" i="2" s="1"/>
  <c r="CF69" i="2" a="1"/>
  <c r="CF69" i="2" s="1"/>
  <c r="BN69" i="2" s="1" a="1"/>
  <c r="BN69" i="2" s="1"/>
  <c r="CB65" i="2" a="1"/>
  <c r="CB65" i="2" s="1"/>
  <c r="BM65" i="2" s="1" a="1"/>
  <c r="BM65" i="2" s="1"/>
  <c r="CB69" i="2" a="1"/>
  <c r="CB69" i="2" s="1"/>
  <c r="BM69" i="2" s="1" a="1"/>
  <c r="BM69" i="2" s="1"/>
  <c r="CF63" i="2" a="1"/>
  <c r="CF63" i="2" s="1"/>
  <c r="BN63" i="2" s="1" a="1"/>
  <c r="BN63" i="2" s="1"/>
  <c r="CF61" i="2" a="1"/>
  <c r="CF61" i="2" s="1"/>
  <c r="BN61" i="2" s="1" a="1"/>
  <c r="BN61" i="2" s="1"/>
  <c r="CB63" i="2" a="1"/>
  <c r="CB63" i="2" s="1"/>
  <c r="BM63" i="2" s="1" a="1"/>
  <c r="BM63" i="2" s="1"/>
  <c r="CB61" i="2" a="1"/>
  <c r="CB61" i="2" s="1"/>
  <c r="BM61" i="2" s="1" a="1"/>
  <c r="BM61" i="2" s="1"/>
  <c r="CF62" i="2" a="1"/>
  <c r="CF62" i="2" s="1"/>
  <c r="BN62" i="2" s="1" a="1"/>
  <c r="BN62" i="2" s="1"/>
  <c r="CB62" i="2" a="1"/>
  <c r="CB62" i="2" s="1"/>
  <c r="BM62" i="2" s="1" a="1"/>
  <c r="BM62" i="2" s="1"/>
  <c r="CB68" i="2" a="1"/>
  <c r="CB68" i="2" s="1"/>
  <c r="BM68" i="2" s="1" a="1"/>
  <c r="BM68" i="2" s="1"/>
  <c r="CB59" i="2" a="1"/>
  <c r="CB59" i="2" s="1"/>
  <c r="BM59" i="2" s="1" a="1"/>
  <c r="BM59" i="2" s="1"/>
  <c r="CB60" i="2" a="1"/>
  <c r="CB60" i="2" s="1"/>
  <c r="BM60" i="2" s="1" a="1"/>
  <c r="BM60" i="2" s="1"/>
  <c r="CF67" i="2" a="1"/>
  <c r="CF67" i="2" s="1"/>
  <c r="BN67" i="2" s="1" a="1"/>
  <c r="BN67" i="2" s="1"/>
  <c r="CB67" i="2" a="1"/>
  <c r="CB67" i="2" s="1"/>
  <c r="BM67" i="2" s="1" a="1"/>
  <c r="BM67" i="2" s="1"/>
  <c r="CF60" i="2" a="1"/>
  <c r="CF60" i="2" s="1"/>
  <c r="BN60" i="2" s="1" a="1"/>
  <c r="BN60" i="2" s="1"/>
  <c r="CF59" i="2" a="1"/>
  <c r="CF59" i="2" s="1"/>
  <c r="BN59" i="2" s="1" a="1"/>
  <c r="BN59" i="2" s="1"/>
  <c r="CF64" i="2" a="1"/>
  <c r="CF64" i="2" s="1"/>
  <c r="BN64" i="2" s="1" a="1"/>
  <c r="BN64" i="2" s="1"/>
  <c r="CF58" i="2" a="1"/>
  <c r="CF58" i="2" s="1"/>
  <c r="BN58" i="2" s="1" a="1"/>
  <c r="BN58" i="2" s="1"/>
  <c r="CF65" i="2" a="1"/>
  <c r="CF65" i="2" s="1"/>
  <c r="BN65" i="2" s="1" a="1"/>
  <c r="BN65" i="2" s="1"/>
  <c r="CB58" i="2" a="1"/>
  <c r="CB58" i="2" s="1"/>
  <c r="BM58" i="2" s="1" a="1"/>
  <c r="BM58" i="2" s="1"/>
  <c r="AV102" i="2" l="1" a="1"/>
  <c r="AV102" i="2" s="1"/>
  <c r="AV113" i="2" a="1"/>
  <c r="AV113" i="2" s="1"/>
  <c r="AV107" i="2" a="1"/>
  <c r="AV107" i="2" s="1"/>
  <c r="DQ69" i="2" a="1"/>
  <c r="DQ69" i="2" s="1"/>
  <c r="DJ69" i="2" s="1" a="1"/>
  <c r="DJ69" i="2" s="1"/>
  <c r="AV112" i="2" a="1"/>
  <c r="AV112" i="2" s="1"/>
  <c r="AV103" i="2" a="1"/>
  <c r="AV103" i="2" s="1"/>
  <c r="AV110" i="2" a="1"/>
  <c r="AV110" i="2" s="1"/>
  <c r="AV109" i="2" a="1"/>
  <c r="AV109" i="2" s="1"/>
  <c r="AV104" i="2" a="1"/>
  <c r="AV104" i="2" s="1"/>
  <c r="DQ68" i="2" a="1"/>
  <c r="DQ68" i="2" s="1"/>
  <c r="DJ68" i="2" s="1" a="1"/>
  <c r="DJ68" i="2" s="1"/>
  <c r="AV105" i="2" a="1"/>
  <c r="AV105" i="2" s="1"/>
  <c r="DQ58" i="2" a="1"/>
  <c r="DQ58" i="2" s="1"/>
  <c r="DJ58" i="2" s="1" a="1"/>
  <c r="DJ58" i="2" s="1"/>
  <c r="AV106" i="2" a="1"/>
  <c r="AV106" i="2" s="1"/>
  <c r="AV108" i="2" a="1"/>
  <c r="AV108" i="2" s="1"/>
  <c r="AV111" i="2" a="1"/>
  <c r="AV111" i="2" s="1"/>
  <c r="DQ61" i="2" a="1"/>
  <c r="DQ61" i="2" s="1"/>
  <c r="DJ61" i="2" s="1" a="1"/>
  <c r="DJ61" i="2" s="1"/>
  <c r="DQ62" i="2" a="1"/>
  <c r="DQ62" i="2" s="1"/>
  <c r="DJ62" i="2" s="1" a="1"/>
  <c r="DJ62" i="2" s="1"/>
  <c r="DQ60" i="2" a="1"/>
  <c r="DQ60" i="2" s="1"/>
  <c r="DJ60" i="2" s="1" a="1"/>
  <c r="DJ60" i="2" s="1"/>
  <c r="DQ66" i="2" a="1"/>
  <c r="DQ66" i="2" s="1"/>
  <c r="DJ66" i="2" s="1" a="1"/>
  <c r="DJ66" i="2" s="1"/>
  <c r="DQ65" i="2" a="1"/>
  <c r="DQ65" i="2" s="1"/>
  <c r="DJ65" i="2" s="1" a="1"/>
  <c r="DJ65" i="2" s="1"/>
  <c r="DQ67" i="2" a="1"/>
  <c r="DQ67" i="2" s="1"/>
  <c r="DJ67" i="2" s="1" a="1"/>
  <c r="DJ67" i="2" s="1"/>
  <c r="DQ63" i="2" a="1"/>
  <c r="DQ63" i="2" s="1"/>
  <c r="DJ63" i="2" s="1" a="1"/>
  <c r="DJ63" i="2" s="1"/>
  <c r="DQ59" i="2" a="1"/>
  <c r="DQ59" i="2" s="1"/>
  <c r="DJ59" i="2" s="1" a="1"/>
  <c r="DJ59" i="2" s="1"/>
  <c r="DQ64" i="2" a="1"/>
  <c r="DQ64" i="2" s="1"/>
  <c r="DJ64" i="2" s="1" a="1"/>
  <c r="DJ64" i="2" s="1"/>
  <c r="AL106" i="2" a="1"/>
  <c r="AL106" i="2" s="1"/>
  <c r="AL102" i="2" a="1"/>
  <c r="AL102" i="2" s="1"/>
  <c r="AL108" i="2" a="1"/>
  <c r="AL108" i="2" s="1"/>
  <c r="AL105" i="2" a="1"/>
  <c r="AL105" i="2" s="1"/>
  <c r="AL107" i="2" a="1"/>
  <c r="AL107" i="2" s="1"/>
  <c r="AL104" i="2" a="1"/>
  <c r="AL104" i="2" s="1"/>
  <c r="AL113" i="2" a="1"/>
  <c r="AL113" i="2" s="1"/>
  <c r="AL110" i="2" a="1"/>
  <c r="AL110" i="2" s="1"/>
  <c r="DL64" i="2" l="1" a="1"/>
  <c r="DL64" i="2" s="1"/>
  <c r="AU108" i="2" s="1" a="1"/>
  <c r="AU108" i="2" s="1"/>
  <c r="BF107" i="2" a="1"/>
  <c r="BF107" i="2" s="1"/>
  <c r="AQ106" i="2" a="1"/>
  <c r="AQ106" i="2" s="1"/>
  <c r="AP106" i="2" a="1"/>
  <c r="AP106" i="2" s="1"/>
  <c r="AM106" i="2" a="1"/>
  <c r="AM106" i="2" s="1"/>
  <c r="AS106" i="2" a="1"/>
  <c r="AS106" i="2" s="1"/>
  <c r="AO106" i="2" a="1"/>
  <c r="AO106" i="2" s="1"/>
  <c r="AN106" i="2" a="1"/>
  <c r="AN106" i="2" s="1"/>
  <c r="AR106" i="2" a="1"/>
  <c r="AR106" i="2" s="1"/>
  <c r="AT106" i="2" a="1"/>
  <c r="AT106" i="2" s="1"/>
  <c r="AS110" i="2" a="1"/>
  <c r="AS110" i="2" s="1"/>
  <c r="AR110" i="2" a="1"/>
  <c r="AR110" i="2" s="1"/>
  <c r="AM110" i="2" a="1"/>
  <c r="AM110" i="2" s="1"/>
  <c r="AQ110" i="2" a="1"/>
  <c r="AQ110" i="2" s="1"/>
  <c r="AO110" i="2" a="1"/>
  <c r="AO110" i="2" s="1"/>
  <c r="AN110" i="2" a="1"/>
  <c r="AN110" i="2" s="1"/>
  <c r="AP110" i="2" a="1"/>
  <c r="AP110" i="2" s="1"/>
  <c r="AT110" i="2" a="1"/>
  <c r="AT110" i="2" s="1"/>
  <c r="DL63" i="2" a="1"/>
  <c r="DL63" i="2" s="1"/>
  <c r="AU107" i="2" s="1" a="1"/>
  <c r="AU107" i="2" s="1"/>
  <c r="DL65" i="2" a="1"/>
  <c r="DL65" i="2" s="1"/>
  <c r="AU109" i="2" s="1" a="1"/>
  <c r="AU109" i="2" s="1"/>
  <c r="BF106" i="2" a="1"/>
  <c r="BF106" i="2" s="1"/>
  <c r="AT105" i="2" a="1"/>
  <c r="AT105" i="2" s="1"/>
  <c r="AP105" i="2" a="1"/>
  <c r="AP105" i="2" s="1"/>
  <c r="AN105" i="2" a="1"/>
  <c r="AN105" i="2" s="1"/>
  <c r="AO105" i="2" a="1"/>
  <c r="AO105" i="2" s="1"/>
  <c r="AS105" i="2" a="1"/>
  <c r="AS105" i="2" s="1"/>
  <c r="AM105" i="2" a="1"/>
  <c r="AM105" i="2" s="1"/>
  <c r="AQ105" i="2" a="1"/>
  <c r="AQ105" i="2" s="1"/>
  <c r="AR105" i="2" a="1"/>
  <c r="AR105" i="2" s="1"/>
  <c r="DL59" i="2" a="1"/>
  <c r="DL59" i="2" s="1"/>
  <c r="AU103" i="2" s="1" a="1"/>
  <c r="AU103" i="2" s="1"/>
  <c r="DL67" i="2" a="1"/>
  <c r="DL67" i="2" s="1"/>
  <c r="AU111" i="2" s="1" a="1"/>
  <c r="AU111" i="2" s="1"/>
  <c r="BF108" i="2" a="1"/>
  <c r="BF108" i="2" s="1"/>
  <c r="AR107" i="2" a="1"/>
  <c r="AR107" i="2" s="1"/>
  <c r="AO107" i="2" a="1"/>
  <c r="AO107" i="2" s="1"/>
  <c r="AP107" i="2" a="1"/>
  <c r="AP107" i="2" s="1"/>
  <c r="AQ107" i="2" a="1"/>
  <c r="AQ107" i="2" s="1"/>
  <c r="AN107" i="2" a="1"/>
  <c r="AN107" i="2" s="1"/>
  <c r="AS107" i="2" a="1"/>
  <c r="AS107" i="2" s="1"/>
  <c r="AM107" i="2" a="1"/>
  <c r="AM107" i="2" s="1"/>
  <c r="AT107" i="2" a="1"/>
  <c r="AT107" i="2" s="1"/>
  <c r="DL66" i="2" a="1"/>
  <c r="DL66" i="2" s="1"/>
  <c r="AU110" i="2" s="1" a="1"/>
  <c r="AU110" i="2" s="1"/>
  <c r="DL60" i="2" a="1"/>
  <c r="DL60" i="2" s="1"/>
  <c r="AU104" i="2" s="1" a="1"/>
  <c r="AU104" i="2" s="1"/>
  <c r="BF109" i="2" a="1"/>
  <c r="BF109" i="2" s="1"/>
  <c r="AT108" i="2" a="1"/>
  <c r="AT108" i="2" s="1"/>
  <c r="AQ108" i="2" a="1"/>
  <c r="AQ108" i="2" s="1"/>
  <c r="AS108" i="2" a="1"/>
  <c r="AS108" i="2" s="1"/>
  <c r="AN108" i="2" a="1"/>
  <c r="AN108" i="2" s="1"/>
  <c r="AP108" i="2" a="1"/>
  <c r="AP108" i="2" s="1"/>
  <c r="AO108" i="2" a="1"/>
  <c r="AO108" i="2" s="1"/>
  <c r="AM108" i="2" a="1"/>
  <c r="AM108" i="2" s="1"/>
  <c r="AR108" i="2" a="1"/>
  <c r="AR108" i="2" s="1"/>
  <c r="DL62" i="2" a="1"/>
  <c r="DL62" i="2" s="1"/>
  <c r="AU106" i="2" s="1" a="1"/>
  <c r="AU106" i="2" s="1"/>
  <c r="AO113" i="2" a="1"/>
  <c r="AO113" i="2" s="1"/>
  <c r="AM113" i="2" a="1"/>
  <c r="AM113" i="2" s="1"/>
  <c r="AP113" i="2" a="1"/>
  <c r="AP113" i="2" s="1"/>
  <c r="AR113" i="2" a="1"/>
  <c r="AR113" i="2" s="1"/>
  <c r="AT113" i="2" a="1"/>
  <c r="AT113" i="2" s="1"/>
  <c r="AS113" i="2" a="1"/>
  <c r="AS113" i="2" s="1"/>
  <c r="AN113" i="2" a="1"/>
  <c r="AN113" i="2" s="1"/>
  <c r="AQ113" i="2" a="1"/>
  <c r="AQ113" i="2" s="1"/>
  <c r="DL69" i="2" a="1"/>
  <c r="DL69" i="2" s="1"/>
  <c r="AU113" i="2" s="1" a="1"/>
  <c r="AU113" i="2" s="1"/>
  <c r="DL58" i="2" a="1"/>
  <c r="DL58" i="2" s="1"/>
  <c r="AU102" i="2" s="1" a="1"/>
  <c r="AU102" i="2" s="1"/>
  <c r="DL68" i="2" a="1"/>
  <c r="DL68" i="2" s="1"/>
  <c r="AU112" i="2" s="1" a="1"/>
  <c r="AU112" i="2" s="1"/>
  <c r="BF105" i="2" a="1"/>
  <c r="BF105" i="2" s="1"/>
  <c r="AQ104" i="2" a="1"/>
  <c r="AQ104" i="2" s="1"/>
  <c r="AP104" i="2" a="1"/>
  <c r="AP104" i="2" s="1"/>
  <c r="AM104" i="2" a="1"/>
  <c r="AM104" i="2" s="1"/>
  <c r="AO104" i="2" a="1"/>
  <c r="AO104" i="2" s="1"/>
  <c r="AS104" i="2" a="1"/>
  <c r="AS104" i="2" s="1"/>
  <c r="AT104" i="2" a="1"/>
  <c r="AT104" i="2" s="1"/>
  <c r="AN104" i="2" a="1"/>
  <c r="AN104" i="2" s="1"/>
  <c r="AR104" i="2" a="1"/>
  <c r="AR104" i="2" s="1"/>
  <c r="DL61" i="2" a="1"/>
  <c r="DL61" i="2" s="1"/>
  <c r="AU105" i="2" s="1" a="1"/>
  <c r="AU105" i="2" s="1"/>
  <c r="BF103" i="2" a="1"/>
  <c r="BF103" i="2" s="1"/>
  <c r="AO102" i="2" a="1"/>
  <c r="AO102" i="2" s="1"/>
  <c r="AR102" i="2" a="1"/>
  <c r="AR102" i="2" s="1"/>
  <c r="AN102" i="2" a="1"/>
  <c r="AN102" i="2" s="1"/>
  <c r="AM102" i="2" a="1"/>
  <c r="AM102" i="2" s="1"/>
  <c r="AT102" i="2" a="1"/>
  <c r="AT102" i="2" s="1"/>
  <c r="AP102" i="2" a="1"/>
  <c r="AP102" i="2" s="1"/>
  <c r="AS102" i="2" a="1"/>
  <c r="AS102" i="2" s="1"/>
  <c r="AQ102" i="2" a="1"/>
  <c r="AQ102" i="2" s="1"/>
  <c r="CD62" i="2" a="1"/>
  <c r="CD62" i="2" s="1"/>
  <c r="CD68" i="2" a="1"/>
  <c r="CD68" i="2" s="1"/>
  <c r="CD61" i="2" a="1"/>
  <c r="CD61" i="2" s="1"/>
  <c r="CD60" i="2" a="1"/>
  <c r="CD60" i="2" s="1"/>
  <c r="CD59" i="2" a="1"/>
  <c r="CD59" i="2" s="1"/>
  <c r="CD58" i="2" a="1"/>
  <c r="CD58" i="2" s="1"/>
  <c r="CD66" i="2" a="1"/>
  <c r="CD66" i="2" s="1"/>
  <c r="CD63" i="2" a="1"/>
  <c r="CD63" i="2" s="1"/>
  <c r="CD65" i="2" a="1"/>
  <c r="CD65" i="2" s="1"/>
  <c r="CD69" i="2" a="1"/>
  <c r="CD69" i="2" s="1"/>
  <c r="CD67" i="2" a="1"/>
  <c r="CD67" i="2" s="1"/>
  <c r="CD64" i="2" a="1"/>
  <c r="CD64" i="2" s="1"/>
  <c r="DM66" i="2" l="1" a="1"/>
  <c r="DM66" i="2" s="1"/>
  <c r="DM61" i="2" a="1"/>
  <c r="DM61" i="2" s="1"/>
  <c r="DM58" i="2" a="1"/>
  <c r="DM58" i="2" s="1"/>
  <c r="DM60" i="2" a="1"/>
  <c r="DM60" i="2" s="1"/>
  <c r="DM62" i="2" a="1"/>
  <c r="DM62" i="2" s="1"/>
  <c r="DM67" i="2" a="1"/>
  <c r="DM67" i="2" s="1"/>
  <c r="DM65" i="2" a="1"/>
  <c r="DM65" i="2" s="1"/>
  <c r="CE68" i="2" a="1"/>
  <c r="CE68" i="2" s="1"/>
  <c r="AU101" i="2" a="1"/>
  <c r="AU101" i="2" s="1"/>
  <c r="AV100" i="2" s="1" a="1"/>
  <c r="AV100" i="2" s="1"/>
  <c r="DM69" i="2" a="1"/>
  <c r="DM69" i="2" s="1"/>
  <c r="DM59" i="2" a="1"/>
  <c r="DM59" i="2" s="1"/>
  <c r="DM63" i="2" a="1"/>
  <c r="DM63" i="2" s="1"/>
  <c r="CE66" i="2" a="1"/>
  <c r="CE66" i="2" s="1"/>
  <c r="DM68" i="2" a="1"/>
  <c r="DM68" i="2" s="1"/>
  <c r="DM64" i="2" a="1"/>
  <c r="DM64" i="2" s="1"/>
  <c r="CF66" i="2" l="1" a="1"/>
  <c r="CF66" i="2" s="1"/>
  <c r="BN66" i="2" s="1" a="1"/>
  <c r="BN66" i="2" s="1"/>
  <c r="AL111" i="2" s="1" a="1"/>
  <c r="AL111" i="2" s="1"/>
  <c r="CF68" i="2" a="1"/>
  <c r="CF68" i="2" s="1"/>
  <c r="BN68" i="2" s="1" a="1"/>
  <c r="BN68" i="2" s="1"/>
  <c r="AL109" i="2" l="1" a="1"/>
  <c r="AL109" i="2" s="1"/>
  <c r="BF110" i="2" s="1" a="1"/>
  <c r="BF110" i="2" s="1"/>
  <c r="AL103" i="2" a="1"/>
  <c r="AL103" i="2" s="1"/>
  <c r="AT103" i="2" s="1" a="1"/>
  <c r="AT103" i="2" s="1"/>
  <c r="AM111" i="2" a="1"/>
  <c r="AM111" i="2" s="1"/>
  <c r="AT111" i="2" a="1"/>
  <c r="AT111" i="2" s="1"/>
  <c r="AO111" i="2" a="1"/>
  <c r="AO111" i="2" s="1"/>
  <c r="AS111" i="2" a="1"/>
  <c r="AS111" i="2" s="1"/>
  <c r="AP111" i="2" a="1"/>
  <c r="AP111" i="2" s="1"/>
  <c r="AN111" i="2" a="1"/>
  <c r="AN111" i="2" s="1"/>
  <c r="AQ111" i="2" a="1"/>
  <c r="AQ111" i="2" s="1"/>
  <c r="AR111" i="2" a="1"/>
  <c r="AR111" i="2" s="1"/>
  <c r="AL112" i="2" a="1"/>
  <c r="AL112" i="2" s="1"/>
  <c r="AQ103" i="2" l="1" a="1"/>
  <c r="AQ103" i="2" s="1"/>
  <c r="BF104" i="2" a="1"/>
  <c r="BF104" i="2" s="1"/>
  <c r="BG108" i="2" s="1" a="1"/>
  <c r="BG108" i="2" s="1"/>
  <c r="AN109" i="2" a="1"/>
  <c r="AN109" i="2" s="1"/>
  <c r="AR109" i="2" a="1"/>
  <c r="AR109" i="2" s="1"/>
  <c r="AP109" i="2" a="1"/>
  <c r="AP109" i="2" s="1"/>
  <c r="AQ109" i="2" a="1"/>
  <c r="AQ109" i="2" s="1"/>
  <c r="AS109" i="2" a="1"/>
  <c r="AS109" i="2" s="1"/>
  <c r="AM109" i="2" a="1"/>
  <c r="AM109" i="2" s="1"/>
  <c r="AT109" i="2" a="1"/>
  <c r="AT109" i="2" s="1"/>
  <c r="AO109" i="2" a="1"/>
  <c r="AO109" i="2" s="1"/>
  <c r="AS103" i="2" a="1"/>
  <c r="AS103" i="2" s="1"/>
  <c r="AM103" i="2" a="1"/>
  <c r="AM103" i="2" s="1"/>
  <c r="AR103" i="2" a="1"/>
  <c r="AR103" i="2" s="1"/>
  <c r="AO103" i="2" a="1"/>
  <c r="AO103" i="2" s="1"/>
  <c r="AP103" i="2" a="1"/>
  <c r="AP103" i="2" s="1"/>
  <c r="AN103" i="2" a="1"/>
  <c r="AN103" i="2" s="1"/>
  <c r="BG104" i="2" a="1"/>
  <c r="BG104" i="2" s="1"/>
  <c r="BG107" i="2" a="1"/>
  <c r="BG107" i="2" s="1"/>
  <c r="BG103" i="2" a="1"/>
  <c r="BG103" i="2" s="1"/>
  <c r="BG106" i="2" a="1"/>
  <c r="BG106" i="2" s="1"/>
  <c r="BG109" i="2" a="1"/>
  <c r="BG109" i="2" s="1"/>
  <c r="BG105" i="2" a="1"/>
  <c r="BG105" i="2" s="1"/>
  <c r="AO112" i="2" a="1"/>
  <c r="AO112" i="2" s="1"/>
  <c r="AR112" i="2" a="1"/>
  <c r="AR112" i="2" s="1"/>
  <c r="AM112" i="2" a="1"/>
  <c r="AM112" i="2" s="1"/>
  <c r="AS112" i="2" a="1"/>
  <c r="AS112" i="2" s="1"/>
  <c r="AQ112" i="2" a="1"/>
  <c r="AQ112" i="2" s="1"/>
  <c r="AT112" i="2" a="1"/>
  <c r="AT112" i="2" s="1"/>
  <c r="AN112" i="2" a="1"/>
  <c r="AN112" i="2" s="1"/>
  <c r="AP112" i="2" a="1"/>
  <c r="AP112" i="2" s="1"/>
  <c r="BG110" i="2" a="1"/>
  <c r="BG110" i="2" s="1"/>
  <c r="BJ104" i="2" l="1" a="1"/>
  <c r="BJ104" i="2" s="1"/>
  <c r="BJ103" i="2" a="1"/>
  <c r="BJ103" i="2" s="1"/>
  <c r="BJ110" i="2" a="1"/>
  <c r="BJ110" i="2" s="1"/>
  <c r="BJ106" i="2" a="1"/>
  <c r="BJ106" i="2" s="1"/>
  <c r="BJ108" i="2" a="1"/>
  <c r="BJ108" i="2" s="1"/>
  <c r="BJ109" i="2" a="1"/>
  <c r="BJ109" i="2" s="1"/>
  <c r="BJ107" i="2" a="1"/>
  <c r="BJ107" i="2" s="1"/>
  <c r="BJ105" i="2" a="1"/>
  <c r="BJ105" i="2" s="1"/>
  <c r="BI112" i="2" l="1" a="1"/>
  <c r="BI112" i="2" s="1"/>
  <c r="AZ101" i="2" s="1" a="1"/>
  <c r="AZ10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<sst xmlns="http://schemas.openxmlformats.org/spreadsheetml/2006/main" count="1771" uniqueCount="552">
  <si>
    <t>XXIII Mundial USA/MEX/CAN 2026</t>
  </si>
  <si>
    <t>📋 Selecciona idioma</t>
  </si>
  <si>
    <t>Español</t>
  </si>
  <si>
    <r>
      <rPr>
        <sz val="14"/>
        <color indexed="9"/>
        <rFont val="Arial"/>
        <family val="2"/>
      </rPr>
      <t>Introducir resultados</t>
    </r>
  </si>
  <si>
    <t>🕒 Selecciona horario</t>
  </si>
  <si>
    <t>UTC -4</t>
  </si>
  <si>
    <r>
      <rPr>
        <sz val="14"/>
        <color indexed="9"/>
        <rFont val="Arial"/>
        <family val="2"/>
      </rPr>
      <t>Fixture</t>
    </r>
  </si>
  <si>
    <t>✍️ Escribe tu nombre</t>
  </si>
  <si>
    <t xml:space="preserve">Gaby </t>
  </si>
  <si>
    <r>
      <rPr>
        <sz val="14"/>
        <color indexed="9"/>
        <rFont val="Arial"/>
        <family val="2"/>
      </rPr>
      <t>Help</t>
    </r>
  </si>
  <si>
    <t>Si quieres organizar una porra (quiniela) con tu grupo puedes descargar el archivo de adminsitrador desde el enlace de abajo</t>
  </si>
  <si>
    <t>▼ Descargar Excel Administrador Porra ▼</t>
  </si>
  <si>
    <r>
      <rPr>
        <sz val="14"/>
        <color indexed="23"/>
        <rFont val="Arial"/>
        <family val="2"/>
      </rPr>
      <t>Video►Tutorial</t>
    </r>
  </si>
  <si>
    <t xml:space="preserve"> </t>
  </si>
  <si>
    <t>Share:</t>
  </si>
  <si>
    <r>
      <rPr>
        <b/>
        <sz val="12"/>
        <color indexed="12"/>
        <rFont val="Arial"/>
        <family val="2"/>
      </rPr>
      <t>Whatsapp</t>
    </r>
  </si>
  <si>
    <r>
      <rPr>
        <b/>
        <sz val="12"/>
        <color indexed="12"/>
        <rFont val="Arial"/>
        <family val="2"/>
      </rPr>
      <t>Telegram</t>
    </r>
  </si>
  <si>
    <r>
      <rPr>
        <b/>
        <sz val="12"/>
        <color indexed="12"/>
        <rFont val="Arial"/>
        <family val="2"/>
      </rPr>
      <t>Mail</t>
    </r>
  </si>
  <si>
    <r>
      <rPr>
        <b/>
        <sz val="12"/>
        <color indexed="12"/>
        <rFont val="Arial"/>
        <family val="2"/>
      </rPr>
      <t>X</t>
    </r>
  </si>
  <si>
    <r>
      <rPr>
        <b/>
        <sz val="12"/>
        <color indexed="12"/>
        <rFont val="Arial"/>
        <family val="2"/>
      </rPr>
      <t>in</t>
    </r>
  </si>
  <si>
    <t>© Miguel Angel Tejero. 2026</t>
  </si>
  <si>
    <r>
      <rPr>
        <b/>
        <sz val="10"/>
        <color indexed="29"/>
        <rFont val="Verdana"/>
        <family val="2"/>
      </rPr>
      <t>Donar</t>
    </r>
  </si>
  <si>
    <t>Horarios!$P$3</t>
  </si>
  <si>
    <t>WINNER</t>
  </si>
  <si>
    <t>Empate1L</t>
  </si>
  <si>
    <t>Empate1V</t>
  </si>
  <si>
    <t>Empate2L</t>
  </si>
  <si>
    <t>Empate2V</t>
  </si>
  <si>
    <t>Empate3L</t>
  </si>
  <si>
    <t>Empate3V</t>
  </si>
  <si>
    <t>Empate4L</t>
  </si>
  <si>
    <t>Empate4V</t>
  </si>
  <si>
    <t>Empate5L</t>
  </si>
  <si>
    <t>Empate5V</t>
  </si>
  <si>
    <t>Empate6L</t>
  </si>
  <si>
    <t>Empate6V</t>
  </si>
  <si>
    <t>Fecha</t>
  </si>
  <si>
    <t>Hora</t>
  </si>
  <si>
    <t>Jor.</t>
  </si>
  <si>
    <t>Casa</t>
  </si>
  <si>
    <t>Gol</t>
  </si>
  <si>
    <t>Fuera</t>
  </si>
  <si>
    <t>Grupo</t>
  </si>
  <si>
    <t>¡EMPATE! Puedes seleccionar el orden de los empatados.</t>
  </si>
  <si>
    <t>No</t>
  </si>
  <si>
    <t>NombreEquipo</t>
  </si>
  <si>
    <t>A</t>
  </si>
  <si>
    <t>J1</t>
  </si>
  <si>
    <t>Grupos: bombo; terceros: orden alfa</t>
  </si>
  <si>
    <t>México</t>
  </si>
  <si>
    <t>Pos</t>
  </si>
  <si>
    <t>Selección</t>
  </si>
  <si>
    <t>Pts</t>
  </si>
  <si>
    <t>J</t>
  </si>
  <si>
    <t>G</t>
  </si>
  <si>
    <t>E</t>
  </si>
  <si>
    <t>P</t>
  </si>
  <si>
    <t>GF</t>
  </si>
  <si>
    <t>GC</t>
  </si>
  <si>
    <t>DG</t>
  </si>
  <si>
    <t>Puntos penalizados</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</si>
  <si>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</si>
  <si>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</si>
  <si>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</si>
  <si>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</si>
  <si>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</si>
  <si>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</si>
  <si>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</si>
  <si>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</si>
  <si>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</si>
  <si>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</si>
  <si>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</si>
  <si>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</si>
  <si>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</si>
  <si>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</si>
  <si>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</si>
  <si>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</si>
  <si>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</si>
  <si>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</si>
  <si>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</si>
  <si>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</si>
  <si>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</si>
  <si>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</si>
  <si>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</si>
  <si>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</si>
  <si>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</si>
  <si>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</si>
  <si>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</si>
  <si>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</si>
  <si>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</si>
  <si>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</si>
  <si>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</si>
  <si>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</si>
  <si>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</si>
  <si>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</si>
  <si>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Posicion8</t>
  </si>
  <si>
    <t>Empate8</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</si>
  <si>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</si>
  <si>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</si>
  <si>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</si>
  <si>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</si>
  <si>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</si>
  <si>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</si>
  <si>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</si>
  <si>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</si>
  <si>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</si>
  <si>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</si>
  <si>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</si>
  <si>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</si>
  <si>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</si>
  <si>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</si>
  <si>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Sudáfrica</t>
  </si>
  <si>
    <t>J2</t>
  </si>
  <si>
    <t>P.1 (4)</t>
  </si>
  <si>
    <t>1A</t>
  </si>
  <si>
    <t>Corea del Sur</t>
  </si>
  <si>
    <t>2A</t>
  </si>
  <si>
    <t>República Checa</t>
  </si>
  <si>
    <t>J3</t>
  </si>
  <si>
    <t>3A</t>
  </si>
  <si>
    <t>4A</t>
  </si>
  <si>
    <t>B</t>
  </si>
  <si>
    <t>Canadá</t>
  </si>
  <si>
    <t>1B</t>
  </si>
  <si>
    <t>Bosnia y Herzegovina</t>
  </si>
  <si>
    <t>2B</t>
  </si>
  <si>
    <t>Catar</t>
  </si>
  <si>
    <t>3B</t>
  </si>
  <si>
    <t>Suiza</t>
  </si>
  <si>
    <t>4B</t>
  </si>
  <si>
    <t>C</t>
  </si>
  <si>
    <t>Brasil</t>
  </si>
  <si>
    <t>1C</t>
  </si>
  <si>
    <t>Marruecos</t>
  </si>
  <si>
    <t>2C</t>
  </si>
  <si>
    <t>Haití</t>
  </si>
  <si>
    <t>3C</t>
  </si>
  <si>
    <t>Escocia</t>
  </si>
  <si>
    <t>4C</t>
  </si>
  <si>
    <t>D</t>
  </si>
  <si>
    <t>Estados Unidos</t>
  </si>
  <si>
    <t>1D</t>
  </si>
  <si>
    <t>Paraguay</t>
  </si>
  <si>
    <t>2D</t>
  </si>
  <si>
    <t>Australia</t>
  </si>
  <si>
    <t>3D</t>
  </si>
  <si>
    <t>Turquía</t>
  </si>
  <si>
    <t>4D</t>
  </si>
  <si>
    <t>Alemania</t>
  </si>
  <si>
    <t>1E</t>
  </si>
  <si>
    <t>Curazao</t>
  </si>
  <si>
    <t>2E</t>
  </si>
  <si>
    <t>Costa de Marfil</t>
  </si>
  <si>
    <t>3E</t>
  </si>
  <si>
    <t>Ecuador</t>
  </si>
  <si>
    <t>4E</t>
  </si>
  <si>
    <t>F</t>
  </si>
  <si>
    <t>Países Bajos</t>
  </si>
  <si>
    <t>1F</t>
  </si>
  <si>
    <t>Japón</t>
  </si>
  <si>
    <t>2F</t>
  </si>
  <si>
    <t>Suecia</t>
  </si>
  <si>
    <t>3F</t>
  </si>
  <si>
    <t>Túnez</t>
  </si>
  <si>
    <t>4F</t>
  </si>
  <si>
    <t>Bélgica</t>
  </si>
  <si>
    <t>1G</t>
  </si>
  <si>
    <t>Egipto</t>
  </si>
  <si>
    <t>2G</t>
  </si>
  <si>
    <t>Irán</t>
  </si>
  <si>
    <t>3G</t>
  </si>
  <si>
    <t>Nueva Zelanda</t>
  </si>
  <si>
    <t>4G</t>
  </si>
  <si>
    <t>H</t>
  </si>
  <si>
    <t>España</t>
  </si>
  <si>
    <t>1H</t>
  </si>
  <si>
    <t>Cabo Verde</t>
  </si>
  <si>
    <t>2H</t>
  </si>
  <si>
    <t>Arabia Saudita</t>
  </si>
  <si>
    <t>3H</t>
  </si>
  <si>
    <t>Uruguay</t>
  </si>
  <si>
    <t>4H</t>
  </si>
  <si>
    <t>I</t>
  </si>
  <si>
    <t>Francia</t>
  </si>
  <si>
    <t>1I</t>
  </si>
  <si>
    <t>Senegal</t>
  </si>
  <si>
    <t>2I</t>
  </si>
  <si>
    <t>Irak</t>
  </si>
  <si>
    <t>3I</t>
  </si>
  <si>
    <t>Noruega</t>
  </si>
  <si>
    <t>4I</t>
  </si>
  <si>
    <t>Argentina</t>
  </si>
  <si>
    <t>1J</t>
  </si>
  <si>
    <t>Argelia</t>
  </si>
  <si>
    <t>2J</t>
  </si>
  <si>
    <t>Austria</t>
  </si>
  <si>
    <t>3J</t>
  </si>
  <si>
    <t>Jordania</t>
  </si>
  <si>
    <t>4J</t>
  </si>
  <si>
    <t>K</t>
  </si>
  <si>
    <t>Portugal</t>
  </si>
  <si>
    <t>1K</t>
  </si>
  <si>
    <t>RD Congo</t>
  </si>
  <si>
    <t>2K</t>
  </si>
  <si>
    <t>Uzbekistán</t>
  </si>
  <si>
    <t>3K</t>
  </si>
  <si>
    <t>Colombia</t>
  </si>
  <si>
    <t>4K</t>
  </si>
  <si>
    <t>L</t>
  </si>
  <si>
    <t>Inglaterra</t>
  </si>
  <si>
    <t>1L</t>
  </si>
  <si>
    <t>Croacia</t>
  </si>
  <si>
    <t>2L</t>
  </si>
  <si>
    <t>Ghana</t>
  </si>
  <si>
    <t>3L</t>
  </si>
  <si>
    <t>Panamá</t>
  </si>
  <si>
    <t>4L</t>
  </si>
  <si>
    <t>1; normal 2; sin ultimo clas, 3, media total</t>
  </si>
  <si>
    <t>OrdenAlfa</t>
  </si>
  <si>
    <t>EN 16 y en el 3ºy4º puesto son diferentes</t>
  </si>
  <si>
    <t>Dieciseisavos de final</t>
  </si>
  <si>
    <t>La clasificación de los mejores terceros aparece al final de la J1</t>
  </si>
  <si>
    <t>NO BORRAR ESTO EN 16S</t>
  </si>
  <si>
    <t>PARTIDO</t>
  </si>
  <si>
    <t>FECHA</t>
  </si>
  <si>
    <t>LOCAL</t>
  </si>
  <si>
    <t>VISITANTE</t>
  </si>
  <si>
    <t>#</t>
  </si>
  <si>
    <t>X</t>
  </si>
  <si>
    <t>Mejores terceros</t>
  </si>
  <si>
    <t>W73</t>
  </si>
  <si>
    <t>2A-2B</t>
  </si>
  <si>
    <t>1/16</t>
  </si>
  <si>
    <t>3ABCDF</t>
  </si>
  <si>
    <t>W76</t>
  </si>
  <si>
    <t>TOTAL</t>
  </si>
  <si>
    <t>1E-3ABCDF</t>
  </si>
  <si>
    <t>Los 8 mejores terceros son…</t>
  </si>
  <si>
    <t>GRUPO</t>
  </si>
  <si>
    <t>ORDEN</t>
  </si>
  <si>
    <t>Por orden alfabetico</t>
  </si>
  <si>
    <t>W74</t>
  </si>
  <si>
    <t>1F-2C</t>
  </si>
  <si>
    <t>W75</t>
  </si>
  <si>
    <t>1C-2F</t>
  </si>
  <si>
    <t>3CDFGH</t>
  </si>
  <si>
    <t>W78</t>
  </si>
  <si>
    <t>1I-3CDFGH</t>
  </si>
  <si>
    <t>W77</t>
  </si>
  <si>
    <t>2E-2I</t>
  </si>
  <si>
    <t>3CEFHI</t>
  </si>
  <si>
    <t>W79</t>
  </si>
  <si>
    <t>1A-3CEFHI</t>
  </si>
  <si>
    <t>3EHIJK</t>
  </si>
  <si>
    <t>W80</t>
  </si>
  <si>
    <t>1L-3EHIJK</t>
  </si>
  <si>
    <t>3BEFIJ</t>
  </si>
  <si>
    <t>W82</t>
  </si>
  <si>
    <t>1D-3BEFIJ</t>
  </si>
  <si>
    <t>3AEHIJ</t>
  </si>
  <si>
    <t>W81</t>
  </si>
  <si>
    <t>1G-3AEHIJ</t>
  </si>
  <si>
    <t>W84</t>
  </si>
  <si>
    <t>2K-2L</t>
  </si>
  <si>
    <t>Corresponde a los grupos…</t>
  </si>
  <si>
    <t>W83</t>
  </si>
  <si>
    <t>1H-2J</t>
  </si>
  <si>
    <t>3EFGIJ</t>
  </si>
  <si>
    <t>W85</t>
  </si>
  <si>
    <t>1B-3EFGIJ</t>
  </si>
  <si>
    <t>W88</t>
  </si>
  <si>
    <t>1J-2H</t>
  </si>
  <si>
    <t>3DEIJL</t>
  </si>
  <si>
    <t>W86</t>
  </si>
  <si>
    <t>1K-3DEIJL</t>
  </si>
  <si>
    <t>W87</t>
  </si>
  <si>
    <t>2D-2G</t>
  </si>
  <si>
    <t>Octavos de final</t>
  </si>
  <si>
    <t>W90</t>
  </si>
  <si>
    <t>W74-W77</t>
  </si>
  <si>
    <t>1/8</t>
  </si>
  <si>
    <t>W89</t>
  </si>
  <si>
    <t>W73-W75</t>
  </si>
  <si>
    <t>W91</t>
  </si>
  <si>
    <t>W76-W78</t>
  </si>
  <si>
    <t>W92</t>
  </si>
  <si>
    <t>W79-W80</t>
  </si>
  <si>
    <t>W93</t>
  </si>
  <si>
    <t>W83-W84</t>
  </si>
  <si>
    <t>W94</t>
  </si>
  <si>
    <t>W81-W82</t>
  </si>
  <si>
    <t>W95</t>
  </si>
  <si>
    <t>W86-W88</t>
  </si>
  <si>
    <t>W96</t>
  </si>
  <si>
    <t>W85-W87</t>
  </si>
  <si>
    <t>Cuartos de final</t>
  </si>
  <si>
    <t>W97</t>
  </si>
  <si>
    <t>W89-W90</t>
  </si>
  <si>
    <t>1/4</t>
  </si>
  <si>
    <t>W98</t>
  </si>
  <si>
    <t>W93-W94</t>
  </si>
  <si>
    <t>W99</t>
  </si>
  <si>
    <t>W91-W92</t>
  </si>
  <si>
    <t>W100</t>
  </si>
  <si>
    <t>W95-W96</t>
  </si>
  <si>
    <t>EL 34 y la FINAL van diferentes como cogen los equipos, van directos, sin formulas previas</t>
  </si>
  <si>
    <t>Semifinales</t>
  </si>
  <si>
    <t>LOOSERS</t>
  </si>
  <si>
    <t>W101</t>
  </si>
  <si>
    <t>L101</t>
  </si>
  <si>
    <t>W97-W98</t>
  </si>
  <si>
    <t>1/2</t>
  </si>
  <si>
    <t>W102</t>
  </si>
  <si>
    <t>L102</t>
  </si>
  <si>
    <t>W99-W100</t>
  </si>
  <si>
    <t>3º y 4º puesto</t>
  </si>
  <si>
    <t>L101-L102</t>
  </si>
  <si>
    <t>3-4</t>
  </si>
  <si>
    <t>Final</t>
  </si>
  <si>
    <t>W101-W102</t>
  </si>
  <si>
    <t>PORRA INCOMPLETA:</t>
  </si>
  <si>
    <t>Aún falta alguna apuesta</t>
  </si>
  <si>
    <t>Cuadro de honor</t>
  </si>
  <si>
    <t>🥇Campeón</t>
  </si>
  <si>
    <t>🥈Subcampeón</t>
  </si>
  <si>
    <t>🥉3º puesto</t>
  </si>
  <si>
    <t>Bota de Oro  (máximo goleador)</t>
  </si>
  <si>
    <t>Escribe un jugador</t>
  </si>
  <si>
    <t>Bota de Plata (2º máximo goleador)</t>
  </si>
  <si>
    <t>Bota de Bronce (3º máximo goleador)</t>
  </si>
  <si>
    <t>Balón de Oro  (mejor jugador)</t>
  </si>
  <si>
    <t>Balón de Plata (2º mejor jugador)</t>
  </si>
  <si>
    <t>Balón de Bronce (3º mejor jugador)</t>
  </si>
  <si>
    <t>Para el administrador de la porra</t>
  </si>
  <si>
    <t>EL ADMINISTRADOR DE LA PORRA SEGUIRÁ LAS INSTRUCCIONES DE AQUÍ ABAJO</t>
  </si>
  <si>
    <t>·Si haceis todo el Mundial de golpe, copiar de la C5 a la C258 y pegar valores en la plantilla de Administrador.</t>
  </si>
  <si>
    <t>¡No tocar nada, se rellena solo!</t>
  </si>
  <si>
    <t>·Si haceis toda la fase de grupos de golpe y las eliminatorias aparte, copiar primero de la C5 a la C161 y pegar valores en la plantilla de Administrador. Y también copiar y pegar valores de la C253 a la C258. En dieciseisavos seguir las instrucciones de abajo.</t>
  </si>
  <si>
    <t>FASE DE GRUPOS</t>
  </si>
  <si>
    <t>·Si haceis jornada a jornada seguir las instrucciones de cada jornada</t>
  </si>
  <si>
    <t>A1</t>
  </si>
  <si>
    <t>·Para la primera jornada copiar de la C5 a la C29 y pega valores en la plantilla de administrador. ¡OJO! COPIAR TAMBIÉN de la C253 a la C258.</t>
  </si>
  <si>
    <t>B1</t>
  </si>
  <si>
    <t>C1</t>
  </si>
  <si>
    <t>D1</t>
  </si>
  <si>
    <t>E1</t>
  </si>
  <si>
    <t>F1</t>
  </si>
  <si>
    <t>G1</t>
  </si>
  <si>
    <t>H1</t>
  </si>
  <si>
    <t>I1</t>
  </si>
  <si>
    <t>K1</t>
  </si>
  <si>
    <t>L1</t>
  </si>
  <si>
    <t>A2</t>
  </si>
  <si>
    <t>·Para la segunda jornada copiar de la C30 a la C53 y pega valores en la plantilla de administrador.</t>
  </si>
  <si>
    <t>B2</t>
  </si>
  <si>
    <t>C2</t>
  </si>
  <si>
    <t>D2</t>
  </si>
  <si>
    <t>E2</t>
  </si>
  <si>
    <t>F2</t>
  </si>
  <si>
    <t>G2</t>
  </si>
  <si>
    <t>H2</t>
  </si>
  <si>
    <t>I2</t>
  </si>
  <si>
    <t>K2</t>
  </si>
  <si>
    <t>L2</t>
  </si>
  <si>
    <t>A3</t>
  </si>
  <si>
    <t>·Para la tercera jornada copiar de la C54 a la C161 y pega valores en la plantilla de administrador.</t>
  </si>
  <si>
    <t>B3</t>
  </si>
  <si>
    <t>C3</t>
  </si>
  <si>
    <t>D3</t>
  </si>
  <si>
    <t>E3</t>
  </si>
  <si>
    <t>F3</t>
  </si>
  <si>
    <t>G3</t>
  </si>
  <si>
    <t>H3</t>
  </si>
  <si>
    <t>I3</t>
  </si>
  <si>
    <t>K3</t>
  </si>
  <si>
    <t>L3</t>
  </si>
  <si>
    <t>POSICIÓN GRUPOS</t>
  </si>
  <si>
    <t>1º GRUPO A</t>
  </si>
  <si>
    <t>2º GRUPO A</t>
  </si>
  <si>
    <t>3º GRUPO A</t>
  </si>
  <si>
    <t>4º GRUPO A</t>
  </si>
  <si>
    <t>1º GRUPO B</t>
  </si>
  <si>
    <t>2º GRUPO B</t>
  </si>
  <si>
    <t>3º GRUPO B</t>
  </si>
  <si>
    <t>4º GRUPO B</t>
  </si>
  <si>
    <t>1º GRUPO C</t>
  </si>
  <si>
    <t>2º GRUPO C</t>
  </si>
  <si>
    <t>3º GRUPO C</t>
  </si>
  <si>
    <t>4º GRUPO C</t>
  </si>
  <si>
    <t>1º GRUPO D</t>
  </si>
  <si>
    <t>2º GRUPO D</t>
  </si>
  <si>
    <t>3º GRUPO D</t>
  </si>
  <si>
    <t>4º GRUPO D</t>
  </si>
  <si>
    <t>1º GRUPO E</t>
  </si>
  <si>
    <t>2º GRUPO E</t>
  </si>
  <si>
    <t>3º GRUPO E</t>
  </si>
  <si>
    <t>4º GRUPO E</t>
  </si>
  <si>
    <t>1º GRUPO F</t>
  </si>
  <si>
    <t>2º GRUPO F</t>
  </si>
  <si>
    <t>3º GRUPO F</t>
  </si>
  <si>
    <t>4º GRUPO F</t>
  </si>
  <si>
    <t>1º GRUPO G</t>
  </si>
  <si>
    <t>2º GRUPO G</t>
  </si>
  <si>
    <t>3º GRUPO G</t>
  </si>
  <si>
    <t>4º GRUPO G</t>
  </si>
  <si>
    <t>1º GRUPO H</t>
  </si>
  <si>
    <t>2º GRUPO H</t>
  </si>
  <si>
    <t>3º GRUPO H</t>
  </si>
  <si>
    <t>4º GRUPO H</t>
  </si>
  <si>
    <t>1º GRUPO I</t>
  </si>
  <si>
    <t>2º GRUPO I</t>
  </si>
  <si>
    <t>3º GRUPO I</t>
  </si>
  <si>
    <t>4º GRUPO I</t>
  </si>
  <si>
    <t>1º GRUPO J</t>
  </si>
  <si>
    <t>2º GRUPO J</t>
  </si>
  <si>
    <t>3º GRUPO J</t>
  </si>
  <si>
    <t>4º GRUPO J</t>
  </si>
  <si>
    <t>1º GRUPO K</t>
  </si>
  <si>
    <t>2º GRUPO K</t>
  </si>
  <si>
    <t>3º GRUPO K</t>
  </si>
  <si>
    <t>4º GRUPO K</t>
  </si>
  <si>
    <t>1º GRUPO L</t>
  </si>
  <si>
    <t>2º GRUPO L</t>
  </si>
  <si>
    <t>3º GRUPO L</t>
  </si>
  <si>
    <t>4º GRUPO L</t>
  </si>
  <si>
    <t>CLASIFICADOS PARA DIECISEISAVOS</t>
  </si>
  <si>
    <t>Dieciseisavofinalista</t>
  </si>
  <si>
    <t>·Si haceis todas las eliminatorias de golpe, copiar de la C164 a la C252 y pegar valores en la plantilla de Administrador.</t>
  </si>
  <si>
    <t>ENFRENTAMIENTOS DIECISEISAVOS</t>
  </si>
  <si>
    <t>·Si haceis eliminatoria a eliminatoria seguir las instrucciones de cada eliminatoria.</t>
  </si>
  <si>
    <t>·Para los dieciseisavos copiar de la C164 a la C197 y pega valores en la plantilla de administrador.</t>
  </si>
  <si>
    <t>CLASIFICADOS PARA OCTAVOS</t>
  </si>
  <si>
    <t>Octavofinalista</t>
  </si>
  <si>
    <t>ENFRENTAMIENTOS OCTAVOS</t>
  </si>
  <si>
    <t>·Para los octavos de final copiar de la C200 a la C217 y pega valores en la plantilla de administrador.</t>
  </si>
  <si>
    <t>CLASIFICADOS PARA CUARTOS</t>
  </si>
  <si>
    <t>Cuartofinalista</t>
  </si>
  <si>
    <t>ENFRENTAMIENTOS CUARTOS</t>
  </si>
  <si>
    <t>·Para los cuartos de final copiar de la C220 a la C229 y pega valores en la plantilla de administrador.</t>
  </si>
  <si>
    <t>CLASIFICADOS PARA SEMIFINALES</t>
  </si>
  <si>
    <t>Semifinalista</t>
  </si>
  <si>
    <t>ENFRENTAMIENTOS SEMIFINALES</t>
  </si>
  <si>
    <t>·Para las semifinales copiar de la C232 a la C241 y pega valores en la plantilla de administrador.</t>
  </si>
  <si>
    <t>CLASIFICADOS PARA EL 3º y 4º PUESTO</t>
  </si>
  <si>
    <t>CLASIFICADOS PARA LA FINAL</t>
  </si>
  <si>
    <t>Finalista</t>
  </si>
  <si>
    <t>3º-4º puesto</t>
  </si>
  <si>
    <t>3-4
&amp;
F</t>
  </si>
  <si>
    <t>·Para el 3º y 4º puesto y la Final copiar de la C244 a la C252 y pega valores en la plantilla de administrador.</t>
  </si>
  <si>
    <t>ENFRENTAMIENTO FINAL</t>
  </si>
  <si>
    <t>CUADRO DE HONOR</t>
  </si>
  <si>
    <t>·Al inicio de la competición si se hace por fases copiar de la C253 a la C258 y pegarla al final del jugador en el archivo de administrador.</t>
  </si>
  <si>
    <t>3º</t>
  </si>
  <si>
    <t>2º</t>
  </si>
  <si>
    <t>1º</t>
  </si>
  <si>
    <t>Limitación de responsabilidad:</t>
  </si>
  <si>
    <t>Home</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</si>
  <si>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</si>
  <si>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 Selecciona el idioma y la zona horaria</t>
  </si>
  <si>
    <t>· Si vas a participar en una porra escribe tu nombre</t>
  </si>
  <si>
    <t>· Si vas a organizar una porra, puedes descargar el archivo excel de administración desde aquí</t>
  </si>
  <si>
    <t>WORLDCUP</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</si>
  <si>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</si>
  <si>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</si>
  <si>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</si>
  <si>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</si>
  <si>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Autor:</t>
  </si>
  <si>
    <r>
      <rPr>
        <sz val="11"/>
        <color indexed="15"/>
        <rFont val="Calibri"/>
        <family val="2"/>
      </rPr>
      <t>Miguel Angel Tejero</t>
    </r>
  </si>
  <si>
    <r>
      <rPr>
        <sz val="11"/>
        <color indexed="15"/>
        <rFont val="Calibri"/>
        <family val="2"/>
      </rPr>
      <t>matejero.es</t>
    </r>
  </si>
  <si>
    <r>
      <rPr>
        <sz val="11"/>
        <color indexed="15"/>
        <rFont val="Calibri"/>
        <family val="2"/>
      </rPr>
      <t>matejero.com</t>
    </r>
  </si>
  <si>
    <t>· Si vas a participar en una porra, rellenar los mejores jugadores y los máximos goleadores</t>
  </si>
  <si>
    <t>Útima versión</t>
  </si>
  <si>
    <t>Pool</t>
  </si>
  <si>
    <t>PARA DESCARGAR, CLICK EN</t>
  </si>
  <si>
    <t>File</t>
  </si>
  <si>
    <t>English</t>
  </si>
  <si>
    <t>· En esta hoja no hay que escribir nada</t>
  </si>
  <si>
    <t>Admin Excel World Cup 2026</t>
  </si>
  <si>
    <t>· Sirve para que el organizador de la porra, copie estos resultados y los pegue en el archivo de administrador</t>
  </si>
  <si>
    <t>Excel Champions League 2025-2026</t>
  </si>
  <si>
    <t>Excel Liga Española 1ª División 2025-2026</t>
  </si>
  <si>
    <t>Fixture</t>
  </si>
  <si>
    <t>Excel Liga Española 2ª División 2025-2026</t>
  </si>
  <si>
    <t>· En esta hoja se muestran de un vistazo todos los resultados introducidos en la hoja WORLDCUP, en esta hoja no se rellena nada.</t>
  </si>
  <si>
    <t>Excel Premier League 2025-2026</t>
  </si>
  <si>
    <t>Excel Libertadores/Sudamericana 2026</t>
  </si>
  <si>
    <t>Si Irán no participa en el mundial y le sustituye otra selección, selecciona el país sustituto en el desplegable. Si no aparece, elige 'Otro/Other' e ingresa manualmente el nombre (español e inglés), su zona UTC y, opcionalmente, la imagen de su bandera.</t>
  </si>
  <si>
    <t>Select Nation</t>
  </si>
  <si>
    <t>ID</t>
  </si>
  <si>
    <t>ESP</t>
  </si>
  <si>
    <t>ENG</t>
  </si>
  <si>
    <t>Emoji (mac)</t>
  </si>
  <si>
    <t>Flag image (Windows)</t>
  </si>
  <si>
    <t>Time (UTC)</t>
  </si>
  <si>
    <t>Irán/Iran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</si>
  <si>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</si>
  <si>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</si>
  <si>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</si>
  <si>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</si>
  <si>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</si>
  <si>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</si>
  <si>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</si>
  <si>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</si>
  <si>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</si>
  <si>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</si>
  <si>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</si>
  <si>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</si>
  <si>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</si>
  <si>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</si>
  <si>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</si>
  <si>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</si>
  <si>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</si>
  <si>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</si>
  <si>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</si>
  <si>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Germany</t>
  </si>
  <si>
    <t>Saudi Arabia</t>
  </si>
  <si>
    <t>Algeria</t>
  </si>
  <si>
    <t>Belgium</t>
  </si>
  <si>
    <t>Brazil</t>
  </si>
  <si>
    <t>Cape Verde</t>
  </si>
  <si>
    <t>Canada</t>
  </si>
  <si>
    <t>Qatar</t>
  </si>
  <si>
    <t>South Korea</t>
  </si>
  <si>
    <t>Ivory Coast</t>
  </si>
  <si>
    <t>Croatia</t>
  </si>
  <si>
    <t>Curaçao</t>
  </si>
  <si>
    <t>Egypt</t>
  </si>
  <si>
    <t>Scotland</t>
  </si>
  <si>
    <t>Spain</t>
  </si>
  <si>
    <t>United States</t>
  </si>
  <si>
    <t>France</t>
  </si>
  <si>
    <t>Haiti</t>
  </si>
  <si>
    <t>England</t>
  </si>
  <si>
    <t>Japan</t>
  </si>
  <si>
    <t>Jordan</t>
  </si>
  <si>
    <t>Morocco</t>
  </si>
  <si>
    <t>Mexico</t>
  </si>
  <si>
    <t>Norway</t>
  </si>
  <si>
    <t>New Zealand</t>
  </si>
  <si>
    <t>Netherlands</t>
  </si>
  <si>
    <t>Panama</t>
  </si>
  <si>
    <t>South Africa</t>
  </si>
  <si>
    <t>Switzerland</t>
  </si>
  <si>
    <t>Tunisia</t>
  </si>
  <si>
    <t>Uzbekistan</t>
  </si>
  <si>
    <t>DR Congo</t>
  </si>
  <si>
    <t>Iraq</t>
  </si>
  <si>
    <t>Bosnia and Herzegovina</t>
  </si>
  <si>
    <t>Sweden</t>
  </si>
  <si>
    <t>Turkey</t>
  </si>
  <si>
    <t>Czech Republic</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</si>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</sst>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 &quot;;&quot; &quot;"/>
  </numFmts>
  <fonts count="89" x14ac:knownFonts="1">
    <font>
      <sz val="11"/>
      <color indexed="8"/>
      <name val="Calibri"/>
    </font>
    <font>
      <sz val="11"/>
      <color indexed="8"/>
      <name val="Arial"/>
      <family val="2"/>
    </font>
    <font>
      <u/>
      <sz val="11"/>
      <color indexed="8"/>
      <name val="Arial"/>
      <family val="2"/>
    </font>
    <font>
      <sz val="26"/>
      <color indexed="11"/>
      <name val="Cambria"/>
      <family val="1"/>
    </font>
    <font>
      <sz val="11"/>
      <color indexed="13"/>
      <name val="Calibri"/>
      <family val="2"/>
    </font>
    <font>
      <u/>
      <sz val="11"/>
      <color indexed="14"/>
      <name val="Arial"/>
      <family val="2"/>
    </font>
    <font>
      <sz val="11"/>
      <color indexed="15"/>
      <name val="Arial"/>
      <family val="2"/>
    </font>
    <font>
      <sz val="14"/>
      <color indexed="17"/>
      <name val="Arial"/>
      <family val="2"/>
    </font>
    <font>
      <sz val="11"/>
      <color indexed="18"/>
      <name val="Arial"/>
      <family val="2"/>
    </font>
    <font>
      <sz val="14"/>
      <color indexed="15"/>
      <name val="Arial"/>
      <family val="2"/>
    </font>
    <font>
      <sz val="14"/>
      <color indexed="9"/>
      <name val="Arial"/>
      <family val="2"/>
    </font>
    <font>
      <sz val="12"/>
      <color indexed="8"/>
      <name val="Arial"/>
      <family val="2"/>
    </font>
    <font>
      <sz val="11"/>
      <color indexed="12"/>
      <name val="Arial"/>
      <family val="2"/>
    </font>
    <font>
      <sz val="11"/>
      <color indexed="20"/>
      <name val="Arial"/>
      <family val="2"/>
    </font>
    <font>
      <b/>
      <sz val="16"/>
      <color indexed="12"/>
      <name val="Arial"/>
      <family val="2"/>
    </font>
    <font>
      <sz val="14"/>
      <color indexed="23"/>
      <name val="Arial"/>
      <family val="2"/>
    </font>
    <font>
      <sz val="26"/>
      <color indexed="23"/>
      <name val="Arial"/>
      <family val="2"/>
    </font>
    <font>
      <sz val="48"/>
      <color indexed="23"/>
      <name val="Arial"/>
      <family val="2"/>
    </font>
    <font>
      <sz val="20"/>
      <color indexed="23"/>
      <name val="Arial"/>
      <family val="2"/>
    </font>
    <font>
      <b/>
      <sz val="12"/>
      <color indexed="12"/>
      <name val="Arial"/>
      <family val="2"/>
    </font>
    <font>
      <sz val="11"/>
      <color indexed="29"/>
      <name val="Arial"/>
      <family val="2"/>
    </font>
    <font>
      <b/>
      <sz val="10"/>
      <color indexed="29"/>
      <name val="Verdana"/>
      <family val="2"/>
    </font>
    <font>
      <sz val="10"/>
      <color indexed="20"/>
      <name val="Arial"/>
      <family val="2"/>
    </font>
    <font>
      <sz val="11"/>
      <color indexed="12"/>
      <name val="Calibri"/>
      <family val="2"/>
    </font>
    <font>
      <sz val="20"/>
      <color indexed="11"/>
      <name val="Cambria"/>
      <family val="1"/>
    </font>
    <font>
      <b/>
      <sz val="11"/>
      <color indexed="8"/>
      <name val="Calibri"/>
      <family val="2"/>
    </font>
    <font>
      <b/>
      <sz val="11"/>
      <color indexed="9"/>
      <name val="Calibri"/>
      <family val="2"/>
    </font>
    <font>
      <sz val="11"/>
      <color indexed="15"/>
      <name val="Cambria"/>
      <family val="1"/>
    </font>
    <font>
      <b/>
      <sz val="11"/>
      <color indexed="32"/>
      <name val="Calibri"/>
      <family val="2"/>
    </font>
    <font>
      <b/>
      <sz val="11"/>
      <color indexed="33"/>
      <name val="Calibri"/>
      <family val="2"/>
    </font>
    <font>
      <sz val="8"/>
      <color indexed="9"/>
      <name val="Calibri"/>
      <family val="2"/>
    </font>
    <font>
      <sz val="10"/>
      <color indexed="15"/>
      <name val="Calibri"/>
      <family val="2"/>
    </font>
    <font>
      <b/>
      <sz val="11"/>
      <color indexed="13"/>
      <name val="Calibri"/>
      <family val="2"/>
    </font>
    <font>
      <b/>
      <sz val="36"/>
      <color indexed="12"/>
      <name val="Calibri"/>
      <family val="2"/>
    </font>
    <font>
      <sz val="11"/>
      <color indexed="15"/>
      <name val="Calibri"/>
      <family val="2"/>
    </font>
    <font>
      <sz val="8"/>
      <color indexed="8"/>
      <name val="Calibri"/>
      <family val="2"/>
    </font>
    <font>
      <sz val="10"/>
      <color indexed="9"/>
      <name val="Calibri"/>
      <family val="2"/>
    </font>
    <font>
      <sz val="8"/>
      <color indexed="15"/>
      <name val="Calibri"/>
      <family val="2"/>
    </font>
    <font>
      <sz val="8"/>
      <color indexed="34"/>
      <name val="Calibri"/>
      <family val="2"/>
    </font>
    <font>
      <sz val="10"/>
      <color indexed="15"/>
      <name val="Cambria"/>
      <family val="1"/>
    </font>
    <font>
      <sz val="11"/>
      <color indexed="9"/>
      <name val="Calibri"/>
      <family val="2"/>
    </font>
    <font>
      <b/>
      <sz val="11"/>
      <color indexed="15"/>
      <name val="Calibri"/>
      <family val="2"/>
    </font>
    <font>
      <b/>
      <sz val="8"/>
      <color indexed="9"/>
      <name val="Calibri"/>
      <family val="2"/>
    </font>
    <font>
      <b/>
      <sz val="10"/>
      <color indexed="9"/>
      <name val="Calibri"/>
      <family val="2"/>
    </font>
    <font>
      <sz val="10"/>
      <color indexed="17"/>
      <name val="Calibri"/>
      <family val="2"/>
    </font>
    <font>
      <b/>
      <sz val="10"/>
      <color indexed="17"/>
      <name val="Calibri"/>
      <family val="2"/>
    </font>
    <font>
      <sz val="8"/>
      <color indexed="12"/>
      <name val="Calibri"/>
      <family val="2"/>
    </font>
    <font>
      <b/>
      <sz val="11"/>
      <color indexed="12"/>
      <name val="Calibri"/>
      <family val="2"/>
    </font>
    <font>
      <b/>
      <sz val="8"/>
      <color indexed="8"/>
      <name val="Calibri"/>
      <family val="2"/>
    </font>
    <font>
      <sz val="11"/>
      <color indexed="17"/>
      <name val="Calibri"/>
      <family val="2"/>
    </font>
    <font>
      <b/>
      <sz val="11"/>
      <color indexed="17"/>
      <name val="Calibri"/>
      <family val="2"/>
    </font>
    <font>
      <sz val="8"/>
      <color indexed="17"/>
      <name val="Calibri"/>
      <family val="2"/>
    </font>
    <font>
      <sz val="10"/>
      <color indexed="12"/>
      <name val="Calibri"/>
      <family val="2"/>
    </font>
    <font>
      <b/>
      <sz val="10"/>
      <color indexed="12"/>
      <name val="Calibri"/>
      <family val="2"/>
    </font>
    <font>
      <b/>
      <sz val="8"/>
      <color indexed="12"/>
      <name val="Calibri"/>
      <family val="2"/>
    </font>
    <font>
      <sz val="11"/>
      <color indexed="33"/>
      <name val="Calibri"/>
      <family val="2"/>
    </font>
    <font>
      <b/>
      <sz val="8"/>
      <color indexed="50"/>
      <name val="Calibri"/>
      <family val="2"/>
    </font>
    <font>
      <b/>
      <sz val="18"/>
      <color indexed="12"/>
      <name val="Calibri"/>
      <family val="2"/>
    </font>
    <font>
      <sz val="10"/>
      <color indexed="8"/>
      <name val="Calibri"/>
      <family val="2"/>
    </font>
    <font>
      <b/>
      <sz val="10"/>
      <color indexed="8"/>
      <name val="Calibri"/>
      <family val="2"/>
    </font>
    <font>
      <b/>
      <sz val="10"/>
      <color indexed="34"/>
      <name val="Calibri"/>
      <family val="2"/>
    </font>
    <font>
      <b/>
      <sz val="11"/>
      <color indexed="34"/>
      <name val="Calibri"/>
      <family val="2"/>
    </font>
    <font>
      <b/>
      <sz val="20"/>
      <color indexed="12"/>
      <name val="Calibri"/>
      <family val="2"/>
    </font>
    <font>
      <u/>
      <sz val="11"/>
      <color indexed="14"/>
      <name val="Calibri"/>
      <family val="2"/>
    </font>
    <font>
      <b/>
      <sz val="16"/>
      <color indexed="12"/>
      <name val="Calibri"/>
      <family val="2"/>
    </font>
    <font>
      <b/>
      <sz val="14"/>
      <color indexed="12"/>
      <name val="Calibri"/>
      <family val="2"/>
    </font>
    <font>
      <sz val="11"/>
      <color indexed="12"/>
      <name val="Cambria"/>
      <family val="1"/>
    </font>
    <font>
      <sz val="11"/>
      <color indexed="17"/>
      <name val="Cambria"/>
      <family val="1"/>
    </font>
    <font>
      <b/>
      <sz val="15"/>
      <color indexed="8"/>
      <name val="Calibri"/>
      <family val="2"/>
    </font>
    <font>
      <sz val="15"/>
      <color indexed="15"/>
      <name val="Cambria"/>
      <family val="1"/>
    </font>
    <font>
      <b/>
      <sz val="15"/>
      <color indexed="15"/>
      <name val="Calibri"/>
      <family val="2"/>
    </font>
    <font>
      <sz val="14"/>
      <color indexed="15"/>
      <name val="Cambria"/>
      <family val="1"/>
    </font>
    <font>
      <b/>
      <sz val="8"/>
      <color indexed="12"/>
      <name val="Arial"/>
      <family val="2"/>
    </font>
    <font>
      <sz val="15"/>
      <color indexed="23"/>
      <name val="Cambria"/>
      <family val="1"/>
    </font>
    <font>
      <b/>
      <sz val="64"/>
      <color indexed="15"/>
      <name val="Calibri"/>
      <family val="2"/>
    </font>
    <font>
      <b/>
      <sz val="14"/>
      <color indexed="15"/>
      <name val="Calibri"/>
      <family val="2"/>
    </font>
    <font>
      <b/>
      <sz val="36"/>
      <color indexed="15"/>
      <name val="Calibri"/>
      <family val="2"/>
    </font>
    <font>
      <b/>
      <sz val="20"/>
      <color indexed="15"/>
      <name val="Calibri"/>
      <family val="2"/>
    </font>
    <font>
      <b/>
      <sz val="16"/>
      <color indexed="15"/>
      <name val="Calibri"/>
      <family val="2"/>
    </font>
    <font>
      <sz val="14"/>
      <color indexed="15"/>
      <name val="Calibri"/>
      <family val="2"/>
    </font>
    <font>
      <sz val="12"/>
      <color indexed="15"/>
      <name val="Calibri"/>
      <family val="2"/>
    </font>
    <font>
      <u/>
      <sz val="11"/>
      <color indexed="15"/>
      <name val="Calibri"/>
      <family val="2"/>
    </font>
    <font>
      <b/>
      <sz val="11"/>
      <color rgb="FF58B771"/>
      <name val="Calibri"/>
      <family val="2"/>
    </font>
    <font>
      <b/>
      <sz val="14"/>
      <color indexed="12"/>
      <name val="Arial"/>
      <family val="2"/>
    </font>
    <font>
      <sz val="11"/>
      <color indexed="8"/>
      <name val="Calibri (Cuerpo)"/>
    </font>
    <font>
      <sz val="11"/>
      <color indexed="12"/>
      <name val="Calibri (Cuerpo)"/>
    </font>
    <font>
      <sz val="12"/>
      <color indexed="12"/>
      <name val="Calibri"/>
      <family val="2"/>
    </font>
    <font>
      <sz val="11"/>
      <color indexed="8"/>
      <name val="Calibri"/>
      <family val="2"/>
    </font>
    <font>
      <sz val="11"/>
      <color rgb="FF000000"/>
      <name val="Calibri"/>
      <family val="2"/>
    </font>
  </fonts>
  <fills count="47">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6"/>
        <bgColor auto="1"/>
      </patternFill>
    </fill>
    <fill>
      <patternFill patternType="solid">
        <fgColor indexed="21"/>
        <bgColor auto="1"/>
      </patternFill>
    </fill>
    <fill>
      <patternFill patternType="solid">
        <fgColor indexed="24"/>
        <bgColor auto="1"/>
      </patternFill>
    </fill>
    <fill>
      <patternFill patternType="solid">
        <fgColor indexed="25"/>
        <bgColor auto="1"/>
      </patternFill>
    </fill>
    <fill>
      <patternFill patternType="solid">
        <fgColor indexed="26"/>
        <bgColor auto="1"/>
      </patternFill>
    </fill>
    <fill>
      <patternFill patternType="solid">
        <fgColor indexed="27"/>
        <bgColor auto="1"/>
      </patternFill>
    </fill>
    <fill>
      <patternFill patternType="solid">
        <fgColor indexed="8"/>
        <bgColor auto="1"/>
      </patternFill>
    </fill>
    <fill>
      <patternFill patternType="solid">
        <fgColor indexed="28"/>
        <bgColor auto="1"/>
      </patternFill>
    </fill>
    <fill>
      <patternFill patternType="solid">
        <fgColor indexed="30"/>
        <bgColor auto="1"/>
      </patternFill>
    </fill>
    <fill>
      <patternFill patternType="solid">
        <fgColor indexed="31"/>
        <bgColor auto="1"/>
      </patternFill>
    </fill>
    <fill>
      <patternFill patternType="solid">
        <fgColor indexed="13"/>
        <bgColor auto="1"/>
      </patternFill>
    </fill>
    <fill>
      <patternFill patternType="solid">
        <fgColor indexed="37"/>
        <bgColor auto="1"/>
      </patternFill>
    </fill>
    <fill>
      <patternFill patternType="solid">
        <fgColor indexed="38"/>
        <bgColor auto="1"/>
      </patternFill>
    </fill>
    <fill>
      <patternFill patternType="solid">
        <fgColor indexed="40"/>
        <bgColor auto="1"/>
      </patternFill>
    </fill>
    <fill>
      <patternFill patternType="solid">
        <fgColor indexed="41"/>
        <bgColor auto="1"/>
      </patternFill>
    </fill>
    <fill>
      <patternFill patternType="solid">
        <fgColor indexed="42"/>
        <bgColor auto="1"/>
      </patternFill>
    </fill>
    <fill>
      <patternFill patternType="solid">
        <fgColor indexed="43"/>
        <bgColor auto="1"/>
      </patternFill>
    </fill>
    <fill>
      <patternFill patternType="solid">
        <fgColor indexed="44"/>
        <bgColor auto="1"/>
      </patternFill>
    </fill>
    <fill>
      <patternFill patternType="solid">
        <fgColor indexed="45"/>
        <bgColor auto="1"/>
      </patternFill>
    </fill>
    <fill>
      <patternFill patternType="solid">
        <fgColor indexed="46"/>
        <bgColor auto="1"/>
      </patternFill>
    </fill>
    <fill>
      <patternFill patternType="solid">
        <fgColor indexed="47"/>
        <bgColor auto="1"/>
      </patternFill>
    </fill>
    <fill>
      <patternFill patternType="solid">
        <fgColor indexed="48"/>
        <bgColor auto="1"/>
      </patternFill>
    </fill>
    <fill>
      <patternFill patternType="solid">
        <fgColor indexed="49"/>
        <bgColor auto="1"/>
      </patternFill>
    </fill>
    <fill>
      <patternFill patternType="solid">
        <fgColor indexed="51"/>
        <bgColor auto="1"/>
      </patternFill>
    </fill>
    <fill>
      <patternFill patternType="solid">
        <fgColor indexed="52"/>
        <bgColor auto="1"/>
      </patternFill>
    </fill>
    <fill>
      <patternFill patternType="solid">
        <fgColor indexed="53"/>
        <bgColor auto="1"/>
      </patternFill>
    </fill>
    <fill>
      <patternFill patternType="solid">
        <fgColor indexed="54"/>
        <bgColor auto="1"/>
      </patternFill>
    </fill>
    <fill>
      <patternFill patternType="solid">
        <fgColor indexed="55"/>
        <bgColor auto="1"/>
      </patternFill>
    </fill>
    <fill>
      <patternFill patternType="solid">
        <fgColor indexed="56"/>
        <bgColor auto="1"/>
      </patternFill>
    </fill>
    <fill>
      <patternFill patternType="solid">
        <fgColor indexed="58"/>
        <bgColor auto="1"/>
      </patternFill>
    </fill>
    <fill>
      <patternFill patternType="solid">
        <fgColor indexed="57"/>
        <bgColor auto="1"/>
      </patternFill>
    </fill>
    <fill>
      <patternFill patternType="solid">
        <fgColor indexed="59"/>
        <bgColor auto="1"/>
      </patternFill>
    </fill>
    <fill>
      <patternFill patternType="solid">
        <fgColor indexed="60"/>
        <bgColor auto="1"/>
      </patternFill>
    </fill>
    <fill>
      <patternFill patternType="solid">
        <fgColor indexed="61"/>
        <bgColor auto="1"/>
      </patternFill>
    </fill>
    <fill>
      <patternFill patternType="solid">
        <fgColor indexed="62"/>
        <bgColor auto="1"/>
      </patternFill>
    </fill>
    <fill>
      <patternFill patternType="solid">
        <fgColor indexed="63"/>
        <bgColor auto="1"/>
      </patternFill>
    </fill>
    <fill>
      <patternFill patternType="solid">
        <fgColor rgb="FFE5DFEC"/>
        <bgColor auto="1"/>
      </patternFill>
    </fill>
    <fill>
      <patternFill patternType="solid">
        <fgColor rgb="FFF2DBDB"/>
        <bgColor auto="1"/>
      </patternFill>
    </fill>
    <fill>
      <patternFill patternType="solid">
        <fgColor rgb="FFFFC7CE"/>
        <bgColor auto="1"/>
      </patternFill>
    </fill>
    <fill>
      <patternFill patternType="solid">
        <fgColor rgb="FFCD7F32"/>
        <bgColor auto="1"/>
      </patternFill>
    </fill>
    <fill>
      <patternFill patternType="solid">
        <fgColor rgb="FFC0C0C0"/>
        <bgColor auto="1"/>
      </patternFill>
    </fill>
    <fill>
      <patternFill patternType="solid">
        <fgColor rgb="FFEFB810"/>
        <bgColor auto="1"/>
      </patternFill>
    </fill>
    <fill>
      <patternFill patternType="solid">
        <fgColor rgb="FFF1E96B"/>
        <bgColor auto="1"/>
      </patternFill>
    </fill>
  </fills>
  <borders count="183">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style="thin">
        <color indexed="10"/>
      </right>
      <top style="thin">
        <color indexed="10"/>
      </top>
      <bottom/>
      <diagonal/>
    </border>
    <border>
      <left style="thin">
        <color indexed="10"/>
      </left>
      <right/>
      <top/>
      <bottom/>
      <diagonal/>
    </border>
    <border>
      <left/>
      <right/>
      <top/>
      <bottom/>
      <diagonal/>
    </border>
    <border>
      <left/>
      <right style="thin">
        <color indexed="10"/>
      </right>
      <top/>
      <bottom/>
      <diagonal/>
    </border>
    <border>
      <left style="thin">
        <color indexed="10"/>
      </left>
      <right style="thin">
        <color indexed="10"/>
      </right>
      <top/>
      <bottom/>
      <diagonal/>
    </border>
    <border>
      <left/>
      <right/>
      <top/>
      <bottom style="thin">
        <color indexed="16"/>
      </bottom>
      <diagonal/>
    </border>
    <border>
      <left/>
      <right/>
      <top/>
      <bottom style="medium">
        <color indexed="12"/>
      </bottom>
      <diagonal/>
    </border>
    <border>
      <left/>
      <right style="thin">
        <color indexed="16"/>
      </right>
      <top/>
      <bottom/>
      <diagonal/>
    </border>
    <border>
      <left style="thin">
        <color indexed="16"/>
      </left>
      <right/>
      <top style="thin">
        <color indexed="16"/>
      </top>
      <bottom/>
      <diagonal/>
    </border>
    <border>
      <left/>
      <right style="medium">
        <color indexed="19"/>
      </right>
      <top style="medium">
        <color indexed="12"/>
      </top>
      <bottom style="medium">
        <color indexed="19"/>
      </bottom>
      <diagonal/>
    </border>
    <border>
      <left style="medium">
        <color indexed="19"/>
      </left>
      <right/>
      <top/>
      <bottom/>
      <diagonal/>
    </border>
    <border>
      <left/>
      <right/>
      <top style="medium">
        <color indexed="19"/>
      </top>
      <bottom style="medium">
        <color indexed="12"/>
      </bottom>
      <diagonal/>
    </border>
    <border>
      <left/>
      <right/>
      <top style="medium">
        <color indexed="19"/>
      </top>
      <bottom/>
      <diagonal/>
    </border>
    <border>
      <left/>
      <right style="medium">
        <color indexed="12"/>
      </right>
      <top/>
      <bottom/>
      <diagonal/>
    </border>
    <border>
      <left style="medium">
        <color indexed="12"/>
      </left>
      <right style="medium">
        <color indexed="22"/>
      </right>
      <top style="medium">
        <color indexed="12"/>
      </top>
      <bottom style="medium">
        <color indexed="22"/>
      </bottom>
      <diagonal/>
    </border>
    <border>
      <left style="medium">
        <color indexed="22"/>
      </left>
      <right/>
      <top style="medium">
        <color indexed="12"/>
      </top>
      <bottom style="medium">
        <color indexed="22"/>
      </bottom>
      <diagonal/>
    </border>
    <border>
      <left/>
      <right/>
      <top style="medium">
        <color indexed="12"/>
      </top>
      <bottom style="medium">
        <color indexed="22"/>
      </bottom>
      <diagonal/>
    </border>
    <border>
      <left/>
      <right style="medium">
        <color indexed="22"/>
      </right>
      <top style="medium">
        <color indexed="12"/>
      </top>
      <bottom style="medium">
        <color indexed="22"/>
      </bottom>
      <diagonal/>
    </border>
    <border>
      <left style="medium">
        <color indexed="22"/>
      </left>
      <right style="medium">
        <color indexed="12"/>
      </right>
      <top/>
      <bottom/>
      <diagonal/>
    </border>
    <border>
      <left style="medium">
        <color indexed="22"/>
      </left>
      <right/>
      <top/>
      <bottom/>
      <diagonal/>
    </border>
    <border>
      <left/>
      <right/>
      <top style="medium">
        <color indexed="22"/>
      </top>
      <bottom/>
      <diagonal/>
    </border>
    <border>
      <left style="medium">
        <color indexed="12"/>
      </left>
      <right style="medium">
        <color indexed="12"/>
      </right>
      <top style="medium">
        <color indexed="12"/>
      </top>
      <bottom style="medium">
        <color indexed="12"/>
      </bottom>
      <diagonal/>
    </border>
    <border>
      <left style="medium">
        <color indexed="12"/>
      </left>
      <right/>
      <top/>
      <bottom/>
      <diagonal/>
    </border>
    <border>
      <left/>
      <right/>
      <top/>
      <bottom style="thin">
        <color indexed="12"/>
      </bottom>
      <diagonal/>
    </border>
    <border>
      <left/>
      <right/>
      <top style="medium">
        <color indexed="12"/>
      </top>
      <bottom/>
      <diagonal/>
    </border>
    <border>
      <left/>
      <right style="thin">
        <color indexed="12"/>
      </right>
      <top/>
      <bottom/>
      <diagonal/>
    </border>
    <border>
      <left style="thin">
        <color indexed="12"/>
      </left>
      <right style="medium">
        <color indexed="12"/>
      </right>
      <top style="thin">
        <color indexed="12"/>
      </top>
      <bottom style="thin">
        <color indexed="12"/>
      </bottom>
      <diagonal/>
    </border>
    <border>
      <left style="medium">
        <color indexed="12"/>
      </left>
      <right style="medium">
        <color indexed="19"/>
      </right>
      <top style="medium">
        <color indexed="12"/>
      </top>
      <bottom style="medium">
        <color indexed="19"/>
      </bottom>
      <diagonal/>
    </border>
    <border>
      <left/>
      <right/>
      <top style="thin">
        <color indexed="12"/>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10"/>
      </left>
      <right style="thin">
        <color indexed="10"/>
      </right>
      <top/>
      <bottom style="thin">
        <color indexed="10"/>
      </bottom>
      <diagonal/>
    </border>
    <border>
      <left/>
      <right/>
      <top/>
      <bottom style="medium">
        <color indexed="31"/>
      </bottom>
      <diagonal/>
    </border>
    <border>
      <left style="thin">
        <color indexed="10"/>
      </left>
      <right style="medium">
        <color indexed="31"/>
      </right>
      <top/>
      <bottom/>
      <diagonal/>
    </border>
    <border>
      <left style="medium">
        <color indexed="31"/>
      </left>
      <right/>
      <top style="medium">
        <color indexed="31"/>
      </top>
      <bottom/>
      <diagonal/>
    </border>
    <border>
      <left/>
      <right/>
      <top style="medium">
        <color indexed="31"/>
      </top>
      <bottom/>
      <diagonal/>
    </border>
    <border>
      <left/>
      <right style="medium">
        <color indexed="31"/>
      </right>
      <top style="medium">
        <color indexed="31"/>
      </top>
      <bottom/>
      <diagonal/>
    </border>
    <border>
      <left style="medium">
        <color indexed="31"/>
      </left>
      <right/>
      <top/>
      <bottom/>
      <diagonal/>
    </border>
    <border>
      <left style="medium">
        <color indexed="31"/>
      </left>
      <right/>
      <top/>
      <bottom style="medium">
        <color indexed="31"/>
      </bottom>
      <diagonal/>
    </border>
    <border>
      <left/>
      <right style="thin">
        <color indexed="31"/>
      </right>
      <top/>
      <bottom/>
      <diagonal/>
    </border>
    <border>
      <left style="thin">
        <color indexed="31"/>
      </left>
      <right/>
      <top/>
      <bottom/>
      <diagonal/>
    </border>
    <border>
      <left style="thin">
        <color indexed="31"/>
      </left>
      <right style="thin">
        <color indexed="31"/>
      </right>
      <top/>
      <bottom style="thin">
        <color indexed="31"/>
      </bottom>
      <diagonal/>
    </border>
    <border>
      <left/>
      <right style="medium">
        <color indexed="31"/>
      </right>
      <top/>
      <bottom/>
      <diagonal/>
    </border>
    <border>
      <left style="thin">
        <color indexed="31"/>
      </left>
      <right style="thin">
        <color indexed="31"/>
      </right>
      <top style="thin">
        <color indexed="31"/>
      </top>
      <bottom style="thin">
        <color indexed="31"/>
      </bottom>
      <diagonal/>
    </border>
    <border>
      <left style="medium">
        <color indexed="31"/>
      </left>
      <right/>
      <top/>
      <bottom style="thin">
        <color indexed="35"/>
      </bottom>
      <diagonal/>
    </border>
    <border>
      <left/>
      <right/>
      <top/>
      <bottom style="thin">
        <color indexed="35"/>
      </bottom>
      <diagonal/>
    </border>
    <border>
      <left/>
      <right style="medium">
        <color indexed="31"/>
      </right>
      <top/>
      <bottom style="thin">
        <color indexed="35"/>
      </bottom>
      <diagonal/>
    </border>
    <border>
      <left style="medium">
        <color indexed="31"/>
      </left>
      <right/>
      <top style="medium">
        <color indexed="31"/>
      </top>
      <bottom style="thin">
        <color indexed="36"/>
      </bottom>
      <diagonal/>
    </border>
    <border>
      <left/>
      <right style="medium">
        <color indexed="31"/>
      </right>
      <top style="medium">
        <color indexed="31"/>
      </top>
      <bottom style="thin">
        <color indexed="36"/>
      </bottom>
      <diagonal/>
    </border>
    <border>
      <left style="medium">
        <color indexed="31"/>
      </left>
      <right/>
      <top style="thin">
        <color indexed="35"/>
      </top>
      <bottom/>
      <diagonal/>
    </border>
    <border>
      <left/>
      <right/>
      <top style="thin">
        <color indexed="35"/>
      </top>
      <bottom/>
      <diagonal/>
    </border>
    <border>
      <left/>
      <right style="medium">
        <color indexed="31"/>
      </right>
      <top style="thin">
        <color indexed="35"/>
      </top>
      <bottom/>
      <diagonal/>
    </border>
    <border>
      <left style="medium">
        <color indexed="31"/>
      </left>
      <right style="thin">
        <color indexed="31"/>
      </right>
      <top style="thin">
        <color indexed="36"/>
      </top>
      <bottom style="thin">
        <color indexed="36"/>
      </bottom>
      <diagonal/>
    </border>
    <border>
      <left style="thin">
        <color indexed="31"/>
      </left>
      <right style="medium">
        <color indexed="31"/>
      </right>
      <top style="thin">
        <color indexed="36"/>
      </top>
      <bottom style="thin">
        <color indexed="36"/>
      </bottom>
      <diagonal/>
    </border>
    <border>
      <left/>
      <right style="thin">
        <color indexed="31"/>
      </right>
      <top/>
      <bottom style="medium">
        <color indexed="31"/>
      </bottom>
      <diagonal/>
    </border>
    <border>
      <left style="thin">
        <color indexed="31"/>
      </left>
      <right/>
      <top/>
      <bottom style="medium">
        <color indexed="31"/>
      </bottom>
      <diagonal/>
    </border>
    <border>
      <left style="thin">
        <color indexed="31"/>
      </left>
      <right style="thin">
        <color indexed="31"/>
      </right>
      <top style="thin">
        <color indexed="31"/>
      </top>
      <bottom style="medium">
        <color indexed="31"/>
      </bottom>
      <diagonal/>
    </border>
    <border>
      <left/>
      <right style="medium">
        <color indexed="31"/>
      </right>
      <top/>
      <bottom style="medium">
        <color indexed="31"/>
      </bottom>
      <diagonal/>
    </border>
    <border>
      <left style="medium">
        <color indexed="31"/>
      </left>
      <right style="thin">
        <color indexed="31"/>
      </right>
      <top style="thin">
        <color indexed="36"/>
      </top>
      <bottom style="medium">
        <color indexed="31"/>
      </bottom>
      <diagonal/>
    </border>
    <border>
      <left style="thin">
        <color indexed="31"/>
      </left>
      <right style="medium">
        <color indexed="31"/>
      </right>
      <top style="thin">
        <color indexed="36"/>
      </top>
      <bottom style="medium">
        <color indexed="31"/>
      </bottom>
      <diagonal/>
    </border>
    <border>
      <left/>
      <right/>
      <top style="medium">
        <color indexed="31"/>
      </top>
      <bottom style="medium">
        <color indexed="31"/>
      </bottom>
      <diagonal/>
    </border>
    <border>
      <left/>
      <right style="medium">
        <color indexed="39"/>
      </right>
      <top/>
      <bottom/>
      <diagonal/>
    </border>
    <border>
      <left style="medium">
        <color indexed="39"/>
      </left>
      <right/>
      <top style="thin">
        <color indexed="35"/>
      </top>
      <bottom/>
      <diagonal/>
    </border>
    <border>
      <left/>
      <right style="medium">
        <color indexed="39"/>
      </right>
      <top style="thin">
        <color indexed="35"/>
      </top>
      <bottom/>
      <diagonal/>
    </border>
    <border>
      <left style="medium">
        <color indexed="39"/>
      </left>
      <right/>
      <top/>
      <bottom/>
      <diagonal/>
    </border>
    <border>
      <left style="medium">
        <color indexed="39"/>
      </left>
      <right/>
      <top/>
      <bottom style="medium">
        <color indexed="39"/>
      </bottom>
      <diagonal/>
    </border>
    <border>
      <left/>
      <right/>
      <top/>
      <bottom style="medium">
        <color indexed="39"/>
      </bottom>
      <diagonal/>
    </border>
    <border>
      <left/>
      <right style="medium">
        <color indexed="39"/>
      </right>
      <top/>
      <bottom style="medium">
        <color indexed="39"/>
      </bottom>
      <diagonal/>
    </border>
    <border>
      <left/>
      <right/>
      <top style="medium">
        <color indexed="39"/>
      </top>
      <bottom/>
      <diagonal/>
    </border>
    <border>
      <left style="medium">
        <color indexed="31"/>
      </left>
      <right/>
      <top style="medium">
        <color indexed="31"/>
      </top>
      <bottom style="medium">
        <color indexed="31"/>
      </bottom>
      <diagonal/>
    </border>
    <border>
      <left/>
      <right style="medium">
        <color indexed="31"/>
      </right>
      <top style="medium">
        <color indexed="31"/>
      </top>
      <bottom style="medium">
        <color indexed="31"/>
      </bottom>
      <diagonal/>
    </border>
    <border>
      <left style="thin">
        <color indexed="31"/>
      </left>
      <right style="thin">
        <color indexed="12"/>
      </right>
      <top/>
      <bottom style="thin">
        <color indexed="31"/>
      </bottom>
      <diagonal/>
    </border>
    <border>
      <left style="thin">
        <color indexed="12"/>
      </left>
      <right/>
      <top/>
      <bottom/>
      <diagonal/>
    </border>
    <border>
      <left style="thin">
        <color indexed="31"/>
      </left>
      <right style="thin">
        <color indexed="12"/>
      </right>
      <top style="thin">
        <color indexed="31"/>
      </top>
      <bottom style="thin">
        <color indexed="31"/>
      </bottom>
      <diagonal/>
    </border>
    <border>
      <left style="medium">
        <color indexed="31"/>
      </left>
      <right style="medium">
        <color indexed="31"/>
      </right>
      <top/>
      <bottom style="medium">
        <color indexed="31"/>
      </bottom>
      <diagonal/>
    </border>
    <border>
      <left style="thin">
        <color indexed="12"/>
      </left>
      <right style="thin">
        <color indexed="12"/>
      </right>
      <top/>
      <bottom style="thin">
        <color indexed="12"/>
      </bottom>
      <diagonal/>
    </border>
    <border>
      <left style="medium">
        <color indexed="31"/>
      </left>
      <right style="medium">
        <color indexed="31"/>
      </right>
      <top style="medium">
        <color indexed="31"/>
      </top>
      <bottom/>
      <diagonal/>
    </border>
    <border>
      <left style="thin">
        <color indexed="12"/>
      </left>
      <right style="thin">
        <color indexed="12"/>
      </right>
      <top style="thin">
        <color indexed="12"/>
      </top>
      <bottom style="thin">
        <color indexed="12"/>
      </bottom>
      <diagonal/>
    </border>
    <border>
      <left style="medium">
        <color indexed="31"/>
      </left>
      <right style="medium">
        <color indexed="31"/>
      </right>
      <top/>
      <bottom/>
      <diagonal/>
    </border>
    <border>
      <left/>
      <right style="thin">
        <color indexed="12"/>
      </right>
      <top/>
      <bottom style="medium">
        <color indexed="31"/>
      </bottom>
      <diagonal/>
    </border>
    <border>
      <left style="thin">
        <color indexed="12"/>
      </left>
      <right style="thin">
        <color indexed="12"/>
      </right>
      <top style="thin">
        <color indexed="12"/>
      </top>
      <bottom style="medium">
        <color indexed="31"/>
      </bottom>
      <diagonal/>
    </border>
    <border>
      <left style="thin">
        <color indexed="12"/>
      </left>
      <right/>
      <top/>
      <bottom style="medium">
        <color indexed="31"/>
      </bottom>
      <diagonal/>
    </border>
    <border>
      <left/>
      <right style="thin">
        <color indexed="24"/>
      </right>
      <top/>
      <bottom/>
      <diagonal/>
    </border>
    <border>
      <left style="thin">
        <color indexed="24"/>
      </left>
      <right/>
      <top/>
      <bottom/>
      <diagonal/>
    </border>
    <border>
      <left/>
      <right style="thin">
        <color indexed="24"/>
      </right>
      <top/>
      <bottom style="medium">
        <color indexed="31"/>
      </bottom>
      <diagonal/>
    </border>
    <border>
      <left style="thin">
        <color indexed="24"/>
      </left>
      <right/>
      <top/>
      <bottom style="medium">
        <color indexed="31"/>
      </bottom>
      <diagonal/>
    </border>
    <border>
      <left style="medium">
        <color indexed="31"/>
      </left>
      <right style="medium">
        <color indexed="31"/>
      </right>
      <top style="medium">
        <color indexed="31"/>
      </top>
      <bottom style="medium">
        <color indexed="31"/>
      </bottom>
      <diagonal/>
    </border>
    <border>
      <left style="thin">
        <color indexed="12"/>
      </left>
      <right style="thin">
        <color indexed="12"/>
      </right>
      <top/>
      <bottom style="medium">
        <color indexed="31"/>
      </bottom>
      <diagonal/>
    </border>
    <border>
      <left style="medium">
        <color indexed="8"/>
      </left>
      <right/>
      <top style="medium">
        <color indexed="8"/>
      </top>
      <bottom/>
      <diagonal/>
    </border>
    <border>
      <left/>
      <right/>
      <top style="medium">
        <color indexed="8"/>
      </top>
      <bottom/>
      <diagonal/>
    </border>
    <border>
      <left style="medium">
        <color indexed="8"/>
      </left>
      <right/>
      <top/>
      <bottom/>
      <diagonal/>
    </border>
    <border>
      <left style="medium">
        <color indexed="8"/>
      </left>
      <right style="medium">
        <color indexed="12"/>
      </right>
      <top/>
      <bottom/>
      <diagonal/>
    </border>
    <border>
      <left/>
      <right style="thin">
        <color indexed="12"/>
      </right>
      <top/>
      <bottom style="thin">
        <color indexed="12"/>
      </bottom>
      <diagonal/>
    </border>
    <border>
      <left style="thin">
        <color indexed="12"/>
      </left>
      <right/>
      <top/>
      <bottom style="thin">
        <color indexed="12"/>
      </bottom>
      <diagonal/>
    </border>
    <border>
      <left/>
      <right/>
      <top/>
      <bottom style="thin">
        <color indexed="31"/>
      </bottom>
      <diagonal/>
    </border>
    <border>
      <left/>
      <right/>
      <top style="thin">
        <color indexed="12"/>
      </top>
      <bottom style="thin">
        <color indexed="12"/>
      </bottom>
      <diagonal/>
    </border>
    <border>
      <left/>
      <right style="thin">
        <color indexed="12"/>
      </right>
      <top style="thin">
        <color indexed="12"/>
      </top>
      <bottom/>
      <diagonal/>
    </border>
    <border>
      <left style="thin">
        <color indexed="12"/>
      </left>
      <right style="thin">
        <color indexed="12"/>
      </right>
      <top/>
      <bottom/>
      <diagonal/>
    </border>
    <border>
      <left/>
      <right style="thin">
        <color indexed="12"/>
      </right>
      <top style="thin">
        <color indexed="12"/>
      </top>
      <bottom style="thin">
        <color indexed="12"/>
      </bottom>
      <diagonal/>
    </border>
    <border>
      <left/>
      <right style="thin">
        <color indexed="31"/>
      </right>
      <top style="thin">
        <color indexed="31"/>
      </top>
      <bottom style="thin">
        <color indexed="31"/>
      </bottom>
      <diagonal/>
    </border>
    <border>
      <left style="thin">
        <color indexed="31"/>
      </left>
      <right/>
      <top/>
      <bottom style="thin">
        <color indexed="12"/>
      </bottom>
      <diagonal/>
    </border>
    <border>
      <left style="thin">
        <color indexed="12"/>
      </left>
      <right/>
      <top style="thin">
        <color indexed="12"/>
      </top>
      <bottom/>
      <diagonal/>
    </border>
    <border>
      <left style="thin">
        <color indexed="31"/>
      </left>
      <right/>
      <top style="thin">
        <color indexed="12"/>
      </top>
      <bottom/>
      <diagonal/>
    </border>
    <border>
      <left/>
      <right/>
      <top style="thin">
        <color indexed="31"/>
      </top>
      <bottom style="thin">
        <color indexed="31"/>
      </bottom>
      <diagonal/>
    </border>
    <border>
      <left/>
      <right/>
      <top style="thin">
        <color indexed="31"/>
      </top>
      <bottom/>
      <diagonal/>
    </border>
    <border>
      <left style="thin">
        <color indexed="12"/>
      </left>
      <right/>
      <top style="thin">
        <color indexed="12"/>
      </top>
      <bottom style="thin">
        <color indexed="12"/>
      </bottom>
      <diagonal/>
    </border>
    <border>
      <left style="thin">
        <color indexed="12"/>
      </left>
      <right style="thin">
        <color indexed="12"/>
      </right>
      <top style="thin">
        <color indexed="12"/>
      </top>
      <bottom/>
      <diagonal/>
    </border>
    <border>
      <left/>
      <right/>
      <top/>
      <bottom style="thin">
        <color indexed="57"/>
      </bottom>
      <diagonal/>
    </border>
    <border>
      <left/>
      <right/>
      <top/>
      <bottom style="thin">
        <color indexed="55"/>
      </bottom>
      <diagonal/>
    </border>
    <border>
      <left/>
      <right/>
      <top style="thin">
        <color indexed="57"/>
      </top>
      <bottom/>
      <diagonal/>
    </border>
    <border>
      <left/>
      <right/>
      <top style="thin">
        <color indexed="55"/>
      </top>
      <bottom/>
      <diagonal/>
    </border>
    <border>
      <left/>
      <right style="thin">
        <color indexed="55"/>
      </right>
      <top/>
      <bottom style="thin">
        <color indexed="55"/>
      </bottom>
      <diagonal/>
    </border>
    <border>
      <left style="thin">
        <color indexed="55"/>
      </left>
      <right/>
      <top/>
      <bottom style="thin">
        <color indexed="55"/>
      </bottom>
      <diagonal/>
    </border>
    <border>
      <left/>
      <right style="thin">
        <color indexed="12"/>
      </right>
      <top/>
      <bottom style="thin">
        <color indexed="10"/>
      </bottom>
      <diagonal/>
    </border>
    <border>
      <left style="thin">
        <color indexed="12"/>
      </left>
      <right style="thin">
        <color indexed="12"/>
      </right>
      <top/>
      <bottom style="thin">
        <color indexed="10"/>
      </bottom>
      <diagonal/>
    </border>
    <border>
      <left/>
      <right/>
      <top/>
      <bottom style="thin">
        <color indexed="18"/>
      </bottom>
      <diagonal/>
    </border>
    <border>
      <left/>
      <right/>
      <top/>
      <bottom style="thin">
        <color indexed="24"/>
      </bottom>
      <diagonal/>
    </border>
    <border>
      <left/>
      <right style="thin">
        <color indexed="10"/>
      </right>
      <top/>
      <bottom style="thin">
        <color indexed="24"/>
      </bottom>
      <diagonal/>
    </border>
    <border>
      <left style="medium">
        <color indexed="31"/>
      </left>
      <right style="thin">
        <color indexed="31"/>
      </right>
      <top style="medium">
        <color indexed="31"/>
      </top>
      <bottom/>
      <diagonal/>
    </border>
    <border>
      <left style="thin">
        <color indexed="31"/>
      </left>
      <right style="thin">
        <color indexed="31"/>
      </right>
      <top style="medium">
        <color indexed="31"/>
      </top>
      <bottom style="thin">
        <color indexed="31"/>
      </bottom>
      <diagonal/>
    </border>
    <border>
      <left style="thin">
        <color indexed="31"/>
      </left>
      <right/>
      <top style="medium">
        <color indexed="31"/>
      </top>
      <bottom style="thin">
        <color indexed="31"/>
      </bottom>
      <diagonal/>
    </border>
    <border>
      <left/>
      <right/>
      <top style="medium">
        <color indexed="31"/>
      </top>
      <bottom style="thin">
        <color indexed="31"/>
      </bottom>
      <diagonal/>
    </border>
    <border>
      <left/>
      <right style="medium">
        <color indexed="31"/>
      </right>
      <top style="medium">
        <color indexed="31"/>
      </top>
      <bottom style="thin">
        <color indexed="31"/>
      </bottom>
      <diagonal/>
    </border>
    <border>
      <left/>
      <right style="thin">
        <color indexed="18"/>
      </right>
      <top/>
      <bottom/>
      <diagonal/>
    </border>
    <border>
      <left style="thin">
        <color indexed="18"/>
      </left>
      <right style="thin">
        <color indexed="18"/>
      </right>
      <top style="thin">
        <color indexed="18"/>
      </top>
      <bottom style="thin">
        <color indexed="18"/>
      </bottom>
      <diagonal/>
    </border>
    <border>
      <left style="thin">
        <color indexed="18"/>
      </left>
      <right/>
      <top/>
      <bottom style="mediumDashed">
        <color indexed="18"/>
      </bottom>
      <diagonal/>
    </border>
    <border>
      <left style="thin">
        <color indexed="24"/>
      </left>
      <right/>
      <top style="thin">
        <color indexed="24"/>
      </top>
      <bottom style="thin">
        <color indexed="13"/>
      </bottom>
      <diagonal/>
    </border>
    <border>
      <left/>
      <right/>
      <top style="thin">
        <color indexed="24"/>
      </top>
      <bottom style="thin">
        <color indexed="13"/>
      </bottom>
      <diagonal/>
    </border>
    <border>
      <left/>
      <right style="thin">
        <color indexed="24"/>
      </right>
      <top style="thin">
        <color indexed="24"/>
      </top>
      <bottom style="thin">
        <color indexed="13"/>
      </bottom>
      <diagonal/>
    </border>
    <border>
      <left style="medium">
        <color indexed="31"/>
      </left>
      <right style="thin">
        <color indexed="31"/>
      </right>
      <top/>
      <bottom/>
      <diagonal/>
    </border>
    <border>
      <left style="thin">
        <color indexed="31"/>
      </left>
      <right/>
      <top style="thin">
        <color indexed="31"/>
      </top>
      <bottom/>
      <diagonal/>
    </border>
    <border>
      <left/>
      <right style="medium">
        <color indexed="31"/>
      </right>
      <top style="thin">
        <color indexed="31"/>
      </top>
      <bottom/>
      <diagonal/>
    </border>
    <border>
      <left style="thin">
        <color indexed="18"/>
      </left>
      <right style="mediumDashed">
        <color indexed="18"/>
      </right>
      <top style="mediumDashed">
        <color indexed="18"/>
      </top>
      <bottom/>
      <diagonal/>
    </border>
    <border>
      <left style="mediumDashed">
        <color indexed="18"/>
      </left>
      <right style="thin">
        <color indexed="18"/>
      </right>
      <top/>
      <bottom style="mediumDashed">
        <color indexed="18"/>
      </bottom>
      <diagonal/>
    </border>
    <border>
      <left style="thin">
        <color indexed="24"/>
      </left>
      <right/>
      <top style="thin">
        <color indexed="13"/>
      </top>
      <bottom style="thin">
        <color indexed="13"/>
      </bottom>
      <diagonal/>
    </border>
    <border>
      <left/>
      <right/>
      <top style="thin">
        <color indexed="13"/>
      </top>
      <bottom style="thin">
        <color indexed="13"/>
      </bottom>
      <diagonal/>
    </border>
    <border>
      <left/>
      <right style="thin">
        <color indexed="24"/>
      </right>
      <top style="thin">
        <color indexed="13"/>
      </top>
      <bottom style="thin">
        <color indexed="13"/>
      </bottom>
      <diagonal/>
    </border>
    <border>
      <left/>
      <right/>
      <top style="thin">
        <color indexed="18"/>
      </top>
      <bottom style="thin">
        <color indexed="18"/>
      </bottom>
      <diagonal/>
    </border>
    <border>
      <left/>
      <right style="mediumDashed">
        <color indexed="18"/>
      </right>
      <top/>
      <bottom/>
      <diagonal/>
    </border>
    <border>
      <left style="mediumDashed">
        <color indexed="18"/>
      </left>
      <right style="thin">
        <color indexed="18"/>
      </right>
      <top style="mediumDashed">
        <color indexed="18"/>
      </top>
      <bottom/>
      <diagonal/>
    </border>
    <border>
      <left style="mediumDashed">
        <color indexed="18"/>
      </left>
      <right/>
      <top/>
      <bottom/>
      <diagonal/>
    </border>
    <border>
      <left style="thin">
        <color indexed="18"/>
      </left>
      <right style="mediumDashed">
        <color indexed="18"/>
      </right>
      <top/>
      <bottom style="mediumDashed">
        <color indexed="18"/>
      </bottom>
      <diagonal/>
    </border>
    <border>
      <left/>
      <right/>
      <top style="thin">
        <color indexed="18"/>
      </top>
      <bottom/>
      <diagonal/>
    </border>
    <border>
      <left/>
      <right style="medium">
        <color indexed="31"/>
      </right>
      <top/>
      <bottom style="thin">
        <color indexed="31"/>
      </bottom>
      <diagonal/>
    </border>
    <border>
      <left style="thin">
        <color indexed="18"/>
      </left>
      <right/>
      <top style="mediumDashed">
        <color indexed="18"/>
      </top>
      <bottom/>
      <diagonal/>
    </border>
    <border>
      <left style="medium">
        <color indexed="31"/>
      </left>
      <right style="thin">
        <color indexed="31"/>
      </right>
      <top/>
      <bottom style="medium">
        <color indexed="31"/>
      </bottom>
      <diagonal/>
    </border>
    <border>
      <left/>
      <right/>
      <top style="thin">
        <color indexed="31"/>
      </top>
      <bottom style="medium">
        <color indexed="31"/>
      </bottom>
      <diagonal/>
    </border>
    <border>
      <left/>
      <right style="medium">
        <color indexed="31"/>
      </right>
      <top style="thin">
        <color indexed="31"/>
      </top>
      <bottom style="medium">
        <color indexed="31"/>
      </bottom>
      <diagonal/>
    </border>
    <border>
      <left/>
      <right/>
      <top/>
      <bottom style="mediumDashed">
        <color indexed="18"/>
      </bottom>
      <diagonal/>
    </border>
    <border>
      <left style="mediumDashed">
        <color indexed="18"/>
      </left>
      <right/>
      <top style="mediumDashed">
        <color indexed="18"/>
      </top>
      <bottom/>
      <diagonal/>
    </border>
    <border>
      <left/>
      <right/>
      <top style="mediumDashed">
        <color indexed="18"/>
      </top>
      <bottom/>
      <diagonal/>
    </border>
    <border>
      <left/>
      <right style="mediumDashed">
        <color indexed="18"/>
      </right>
      <top style="mediumDashed">
        <color indexed="18"/>
      </top>
      <bottom/>
      <diagonal/>
    </border>
    <border>
      <left style="mediumDashed">
        <color indexed="18"/>
      </left>
      <right/>
      <top/>
      <bottom style="mediumDashed">
        <color indexed="18"/>
      </bottom>
      <diagonal/>
    </border>
    <border>
      <left/>
      <right style="thin">
        <color indexed="18"/>
      </right>
      <top/>
      <bottom style="mediumDashed">
        <color indexed="18"/>
      </bottom>
      <diagonal/>
    </border>
    <border>
      <left/>
      <right style="mediumDashed">
        <color indexed="18"/>
      </right>
      <top/>
      <bottom style="mediumDashed">
        <color indexed="18"/>
      </bottom>
      <diagonal/>
    </border>
    <border>
      <left/>
      <right style="thin">
        <color indexed="18"/>
      </right>
      <top style="mediumDashed">
        <color indexed="18"/>
      </top>
      <bottom/>
      <diagonal/>
    </border>
    <border>
      <left style="thin">
        <color indexed="24"/>
      </left>
      <right/>
      <top style="thin">
        <color indexed="13"/>
      </top>
      <bottom style="thin">
        <color indexed="24"/>
      </bottom>
      <diagonal/>
    </border>
    <border>
      <left/>
      <right/>
      <top style="thin">
        <color indexed="13"/>
      </top>
      <bottom style="thin">
        <color indexed="24"/>
      </bottom>
      <diagonal/>
    </border>
    <border>
      <left/>
      <right style="thin">
        <color indexed="24"/>
      </right>
      <top style="thin">
        <color indexed="13"/>
      </top>
      <bottom style="thin">
        <color indexed="24"/>
      </bottom>
      <diagonal/>
    </border>
    <border>
      <left/>
      <right/>
      <top style="thin">
        <color indexed="24"/>
      </top>
      <bottom/>
      <diagonal/>
    </border>
    <border>
      <left/>
      <right style="thin">
        <color indexed="10"/>
      </right>
      <top style="thin">
        <color indexed="24"/>
      </top>
      <bottom/>
      <diagonal/>
    </border>
    <border>
      <left/>
      <right/>
      <top/>
      <bottom/>
      <diagonal/>
    </border>
    <border>
      <left/>
      <right/>
      <top/>
      <bottom style="thin">
        <color indexed="15"/>
      </bottom>
      <diagonal/>
    </border>
    <border>
      <left style="thin">
        <color indexed="10"/>
      </left>
      <right style="thin">
        <color indexed="15"/>
      </right>
      <top/>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bottom/>
      <diagonal/>
    </border>
    <border>
      <left style="thin">
        <color indexed="15"/>
      </left>
      <right/>
      <top style="thin">
        <color indexed="15"/>
      </top>
      <bottom/>
      <diagonal/>
    </border>
    <border>
      <left/>
      <right/>
      <top style="thin">
        <color indexed="15"/>
      </top>
      <bottom/>
      <diagonal/>
    </border>
    <border>
      <left/>
      <right style="thin">
        <color indexed="15"/>
      </right>
      <top style="thin">
        <color indexed="15"/>
      </top>
      <bottom/>
      <diagonal/>
    </border>
    <border>
      <left style="thin">
        <color indexed="15"/>
      </left>
      <right/>
      <top/>
      <bottom/>
      <diagonal/>
    </border>
    <border>
      <left/>
      <right style="thin">
        <color indexed="15"/>
      </right>
      <top/>
      <bottom/>
      <diagonal/>
    </border>
    <border>
      <left style="thin">
        <color indexed="15"/>
      </left>
      <right/>
      <top/>
      <bottom style="thin">
        <color indexed="15"/>
      </bottom>
      <diagonal/>
    </border>
    <border>
      <left/>
      <right style="thin">
        <color indexed="15"/>
      </right>
      <top/>
      <bottom style="thin">
        <color indexed="15"/>
      </bottom>
      <diagonal/>
    </border>
    <border>
      <left/>
      <right/>
      <top style="thin">
        <color indexed="15"/>
      </top>
      <bottom style="thin">
        <color indexed="15"/>
      </bottom>
      <diagonal/>
    </border>
    <border>
      <left style="thin">
        <color indexed="15"/>
      </left>
      <right style="thin">
        <color indexed="31"/>
      </right>
      <top/>
      <bottom/>
      <diagonal/>
    </border>
    <border>
      <left style="thin">
        <color indexed="31"/>
      </left>
      <right style="thin">
        <color indexed="31"/>
      </right>
      <top/>
      <bottom/>
      <diagonal/>
    </border>
    <border>
      <left/>
      <right/>
      <top style="thin">
        <color indexed="31"/>
      </top>
      <bottom style="thin">
        <color indexed="15"/>
      </bottom>
      <diagonal/>
    </border>
    <border>
      <left style="thin">
        <color indexed="10"/>
      </left>
      <right style="medium">
        <color indexed="12"/>
      </right>
      <top/>
      <bottom/>
      <diagonal/>
    </border>
  </borders>
  <cellStyleXfs count="1">
    <xf numFmtId="0" fontId="0" fillId="0" borderId="0" applyNumberFormat="0" applyFill="0" applyBorder="0" applyProtection="0"/>
  </cellStyleXfs>
  <cellXfs count="840">
    <xf numFmtId="0" fontId="0" fillId="0" borderId="0" xfId="0"/>
    <xf numFmtId="0" fontId="0" fillId="0" borderId="0" xfId="0" applyNumberFormat="1"/>
    <xf numFmtId="0" fontId="0" fillId="2" borderId="1" xfId="0" applyFill="1" applyBorder="1"/>
    <xf numFmtId="0" fontId="0" fillId="2" borderId="2" xfId="0" applyFill="1" applyBorder="1"/>
    <xf numFmtId="0" fontId="1" fillId="2" borderId="2" xfId="0" applyFont="1" applyFill="1" applyBorder="1"/>
    <xf numFmtId="0" fontId="0" fillId="2" borderId="3" xfId="0" applyFill="1" applyBorder="1"/>
    <xf numFmtId="0" fontId="0" fillId="0" borderId="4" xfId="0" applyBorder="1"/>
    <xf numFmtId="0" fontId="0" fillId="2" borderId="5" xfId="0" applyFill="1" applyBorder="1"/>
    <xf numFmtId="0" fontId="0" fillId="2" borderId="6" xfId="0" applyFill="1" applyBorder="1"/>
    <xf numFmtId="0" fontId="2" fillId="2" borderId="6" xfId="0" applyFont="1" applyFill="1" applyBorder="1"/>
    <xf numFmtId="0" fontId="0" fillId="2" borderId="6" xfId="0" applyFill="1" applyBorder="1" applyAlignment="1">
      <alignment vertical="center"/>
    </xf>
    <xf numFmtId="0" fontId="0" fillId="2" borderId="7" xfId="0" applyFill="1" applyBorder="1"/>
    <xf numFmtId="0" fontId="0" fillId="0" borderId="8" xfId="0" applyBorder="1"/>
    <xf numFmtId="0" fontId="0" fillId="3" borderId="6" xfId="0" applyFill="1" applyBorder="1"/>
    <xf numFmtId="0" fontId="4" fillId="0" borderId="8" xfId="0" applyFont="1" applyBorder="1"/>
    <xf numFmtId="0" fontId="5" fillId="2" borderId="6" xfId="0" applyFont="1" applyFill="1" applyBorder="1"/>
    <xf numFmtId="49" fontId="6" fillId="2" borderId="9" xfId="0" applyNumberFormat="1" applyFont="1" applyFill="1" applyBorder="1"/>
    <xf numFmtId="0" fontId="0" fillId="2" borderId="10" xfId="0" applyFill="1" applyBorder="1"/>
    <xf numFmtId="0" fontId="7" fillId="2" borderId="6" xfId="0" applyFont="1" applyFill="1" applyBorder="1" applyAlignment="1">
      <alignment horizontal="center"/>
    </xf>
    <xf numFmtId="0" fontId="1" fillId="2" borderId="6" xfId="0" applyFont="1" applyFill="1" applyBorder="1" applyAlignment="1">
      <alignment horizontal="center" wrapText="1"/>
    </xf>
    <xf numFmtId="0" fontId="8" fillId="2" borderId="11" xfId="0" applyFont="1" applyFill="1" applyBorder="1" applyAlignment="1">
      <alignment horizontal="left" vertical="center"/>
    </xf>
    <xf numFmtId="49" fontId="9" fillId="3" borderId="12" xfId="0" applyNumberFormat="1" applyFont="1" applyFill="1" applyBorder="1" applyAlignment="1">
      <alignment horizontal="left" vertical="center"/>
    </xf>
    <xf numFmtId="49" fontId="10" fillId="4" borderId="13" xfId="0" applyNumberFormat="1" applyFont="1" applyFill="1" applyBorder="1" applyAlignment="1">
      <alignment horizontal="center" vertical="center"/>
    </xf>
    <xf numFmtId="0" fontId="0" fillId="2" borderId="14" xfId="0" applyFill="1" applyBorder="1"/>
    <xf numFmtId="0" fontId="8" fillId="2" borderId="6" xfId="0" applyFont="1" applyFill="1" applyBorder="1" applyAlignment="1">
      <alignment horizontal="left"/>
    </xf>
    <xf numFmtId="0" fontId="0" fillId="2" borderId="15" xfId="0" applyFill="1" applyBorder="1" applyAlignment="1">
      <alignment vertical="center"/>
    </xf>
    <xf numFmtId="0" fontId="0" fillId="2" borderId="16" xfId="0" applyFill="1" applyBorder="1" applyAlignment="1">
      <alignment vertical="center"/>
    </xf>
    <xf numFmtId="0" fontId="11" fillId="2" borderId="6" xfId="0" applyFont="1" applyFill="1" applyBorder="1" applyAlignment="1">
      <alignment vertical="center" wrapText="1"/>
    </xf>
    <xf numFmtId="0" fontId="11" fillId="2" borderId="6" xfId="0" applyFont="1" applyFill="1" applyBorder="1" applyAlignment="1">
      <alignment vertical="center"/>
    </xf>
    <xf numFmtId="0" fontId="12" fillId="2" borderId="6" xfId="0" applyFont="1" applyFill="1" applyBorder="1"/>
    <xf numFmtId="0" fontId="0" fillId="2" borderId="10" xfId="0" applyFill="1" applyBorder="1" applyAlignment="1">
      <alignment vertical="center"/>
    </xf>
    <xf numFmtId="0" fontId="0" fillId="2" borderId="17" xfId="0" applyFill="1" applyBorder="1"/>
    <xf numFmtId="0" fontId="0" fillId="2" borderId="22" xfId="0" applyFill="1" applyBorder="1" applyAlignment="1">
      <alignment vertical="center"/>
    </xf>
    <xf numFmtId="49" fontId="15" fillId="6" borderId="18" xfId="0" applyNumberFormat="1" applyFont="1" applyFill="1" applyBorder="1" applyAlignment="1">
      <alignment horizontal="center" vertical="center"/>
    </xf>
    <xf numFmtId="0" fontId="16" fillId="2" borderId="23" xfId="0" applyFont="1" applyFill="1" applyBorder="1" applyAlignment="1">
      <alignment horizontal="center" vertical="center"/>
    </xf>
    <xf numFmtId="0" fontId="17" fillId="2" borderId="6" xfId="0" applyFont="1" applyFill="1" applyBorder="1" applyAlignment="1">
      <alignment horizontal="center" vertical="center"/>
    </xf>
    <xf numFmtId="0" fontId="18" fillId="2" borderId="6" xfId="0" applyFont="1" applyFill="1" applyBorder="1" applyAlignment="1">
      <alignment horizontal="center" vertical="center"/>
    </xf>
    <xf numFmtId="0" fontId="0" fillId="2" borderId="24" xfId="0" applyFill="1" applyBorder="1" applyAlignment="1">
      <alignment vertical="center"/>
    </xf>
    <xf numFmtId="49" fontId="0" fillId="2" borderId="6" xfId="0" applyNumberFormat="1" applyFill="1" applyBorder="1"/>
    <xf numFmtId="49" fontId="13" fillId="2" borderId="10" xfId="0" applyNumberFormat="1" applyFont="1" applyFill="1" applyBorder="1" applyAlignment="1">
      <alignment horizontal="left" vertical="center"/>
    </xf>
    <xf numFmtId="49" fontId="19" fillId="7" borderId="25" xfId="0" applyNumberFormat="1" applyFont="1" applyFill="1" applyBorder="1" applyAlignment="1">
      <alignment horizontal="center" vertical="center"/>
    </xf>
    <xf numFmtId="49" fontId="19" fillId="8" borderId="25" xfId="0" applyNumberFormat="1" applyFont="1" applyFill="1" applyBorder="1" applyAlignment="1">
      <alignment horizontal="center" vertical="center"/>
    </xf>
    <xf numFmtId="49" fontId="19" fillId="9" borderId="25" xfId="0" applyNumberFormat="1" applyFont="1" applyFill="1" applyBorder="1" applyAlignment="1">
      <alignment horizontal="center" vertical="center"/>
    </xf>
    <xf numFmtId="49" fontId="19" fillId="10" borderId="25" xfId="0" applyNumberFormat="1" applyFont="1" applyFill="1" applyBorder="1" applyAlignment="1">
      <alignment horizontal="center" vertical="center"/>
    </xf>
    <xf numFmtId="49" fontId="19" fillId="11" borderId="25" xfId="0" applyNumberFormat="1" applyFont="1" applyFill="1" applyBorder="1" applyAlignment="1">
      <alignment horizontal="center" vertical="center"/>
    </xf>
    <xf numFmtId="0" fontId="0" fillId="2" borderId="26" xfId="0" applyFill="1" applyBorder="1" applyAlignment="1">
      <alignment vertical="center"/>
    </xf>
    <xf numFmtId="0" fontId="0" fillId="2" borderId="27" xfId="0" applyFill="1" applyBorder="1" applyAlignment="1">
      <alignment vertical="center"/>
    </xf>
    <xf numFmtId="0" fontId="0" fillId="2" borderId="28" xfId="0" applyFill="1" applyBorder="1" applyAlignment="1">
      <alignment vertical="center"/>
    </xf>
    <xf numFmtId="0" fontId="0" fillId="2" borderId="29" xfId="0" applyFill="1" applyBorder="1" applyAlignment="1">
      <alignment vertical="center"/>
    </xf>
    <xf numFmtId="49" fontId="20" fillId="2" borderId="30" xfId="0" applyNumberFormat="1" applyFont="1" applyFill="1" applyBorder="1" applyAlignment="1">
      <alignment vertical="center"/>
    </xf>
    <xf numFmtId="49" fontId="21" fillId="12" borderId="31" xfId="0" applyNumberFormat="1" applyFont="1" applyFill="1" applyBorder="1" applyAlignment="1">
      <alignment horizontal="center" vertical="center"/>
    </xf>
    <xf numFmtId="0" fontId="0" fillId="2" borderId="32" xfId="0" applyFill="1" applyBorder="1" applyAlignment="1">
      <alignment vertical="center"/>
    </xf>
    <xf numFmtId="0" fontId="0" fillId="2" borderId="16" xfId="0" applyFill="1" applyBorder="1"/>
    <xf numFmtId="0" fontId="1" fillId="2" borderId="6" xfId="0" applyFont="1" applyFill="1" applyBorder="1"/>
    <xf numFmtId="0" fontId="0" fillId="2" borderId="33" xfId="0" applyFill="1" applyBorder="1"/>
    <xf numFmtId="0" fontId="0" fillId="2" borderId="34" xfId="0" applyFill="1" applyBorder="1"/>
    <xf numFmtId="0" fontId="1" fillId="2" borderId="34" xfId="0" applyFont="1" applyFill="1" applyBorder="1"/>
    <xf numFmtId="0" fontId="0" fillId="2" borderId="35" xfId="0" applyFill="1" applyBorder="1"/>
    <xf numFmtId="0" fontId="0" fillId="0" borderId="36" xfId="0" applyBorder="1"/>
    <xf numFmtId="0" fontId="23" fillId="0" borderId="4" xfId="0" applyFont="1" applyBorder="1"/>
    <xf numFmtId="0" fontId="1" fillId="2" borderId="1" xfId="0" applyFont="1" applyFill="1" applyBorder="1" applyAlignment="1">
      <alignment vertical="center"/>
    </xf>
    <xf numFmtId="0" fontId="0" fillId="0" borderId="2" xfId="0" applyBorder="1"/>
    <xf numFmtId="0" fontId="25" fillId="2" borderId="2" xfId="0" applyFont="1" applyFill="1" applyBorder="1" applyAlignment="1">
      <alignment vertical="center"/>
    </xf>
    <xf numFmtId="0" fontId="26" fillId="2" borderId="2" xfId="0" applyFont="1" applyFill="1" applyBorder="1" applyAlignment="1">
      <alignment vertical="center"/>
    </xf>
    <xf numFmtId="0" fontId="25" fillId="2" borderId="2" xfId="0" applyFont="1" applyFill="1" applyBorder="1"/>
    <xf numFmtId="0" fontId="26" fillId="2" borderId="2" xfId="0" applyFont="1" applyFill="1" applyBorder="1" applyAlignment="1">
      <alignment horizontal="center" vertical="center"/>
    </xf>
    <xf numFmtId="49" fontId="23" fillId="0" borderId="2" xfId="0" applyNumberFormat="1" applyFont="1" applyBorder="1"/>
    <xf numFmtId="0" fontId="0" fillId="0" borderId="3" xfId="0" applyBorder="1"/>
    <xf numFmtId="0" fontId="23" fillId="0" borderId="8" xfId="0" applyFont="1" applyBorder="1"/>
    <xf numFmtId="0" fontId="1" fillId="2" borderId="5" xfId="0" applyFont="1" applyFill="1" applyBorder="1"/>
    <xf numFmtId="0" fontId="25" fillId="2" borderId="37" xfId="0" applyFont="1" applyFill="1" applyBorder="1" applyAlignment="1">
      <alignment horizontal="center" vertical="center"/>
    </xf>
    <xf numFmtId="0" fontId="25" fillId="2" borderId="37" xfId="0" applyFont="1" applyFill="1" applyBorder="1" applyAlignment="1">
      <alignment vertical="center"/>
    </xf>
    <xf numFmtId="0" fontId="25" fillId="2" borderId="6" xfId="0" applyFont="1" applyFill="1" applyBorder="1"/>
    <xf numFmtId="0" fontId="26" fillId="2" borderId="6" xfId="0" applyFont="1" applyFill="1" applyBorder="1"/>
    <xf numFmtId="0" fontId="26" fillId="2" borderId="6" xfId="0" applyFont="1" applyFill="1" applyBorder="1" applyAlignment="1">
      <alignment horizontal="center"/>
    </xf>
    <xf numFmtId="0" fontId="25" fillId="2" borderId="6" xfId="0" applyFont="1" applyFill="1" applyBorder="1" applyAlignment="1">
      <alignment horizontal="left"/>
    </xf>
    <xf numFmtId="0" fontId="25" fillId="2" borderId="6" xfId="0" applyFont="1" applyFill="1" applyBorder="1" applyAlignment="1">
      <alignment horizontal="center"/>
    </xf>
    <xf numFmtId="0" fontId="0" fillId="0" borderId="6" xfId="0" applyBorder="1"/>
    <xf numFmtId="0" fontId="0" fillId="0" borderId="7" xfId="0" applyBorder="1"/>
    <xf numFmtId="49" fontId="23" fillId="0" borderId="8" xfId="0" applyNumberFormat="1" applyFont="1" applyBorder="1"/>
    <xf numFmtId="0" fontId="1" fillId="2" borderId="38" xfId="0" applyFont="1" applyFill="1" applyBorder="1"/>
    <xf numFmtId="0" fontId="25" fillId="13" borderId="39" xfId="0" applyFont="1" applyFill="1" applyBorder="1" applyAlignment="1">
      <alignment horizontal="left" vertical="top"/>
    </xf>
    <xf numFmtId="49" fontId="27" fillId="13" borderId="40" xfId="0" applyNumberFormat="1" applyFont="1" applyFill="1" applyBorder="1" applyAlignment="1">
      <alignment horizontal="center" vertical="top"/>
    </xf>
    <xf numFmtId="49" fontId="27" fillId="13" borderId="40" xfId="0" applyNumberFormat="1" applyFont="1" applyFill="1" applyBorder="1" applyAlignment="1">
      <alignment horizontal="center"/>
    </xf>
    <xf numFmtId="49" fontId="27" fillId="13" borderId="40" xfId="0" applyNumberFormat="1" applyFont="1" applyFill="1" applyBorder="1" applyAlignment="1">
      <alignment horizontal="right"/>
    </xf>
    <xf numFmtId="0" fontId="27" fillId="13" borderId="40" xfId="0" applyFont="1" applyFill="1" applyBorder="1" applyAlignment="1">
      <alignment horizontal="left"/>
    </xf>
    <xf numFmtId="49" fontId="27" fillId="13" borderId="41" xfId="0" applyNumberFormat="1" applyFont="1" applyFill="1" applyBorder="1" applyAlignment="1">
      <alignment horizontal="left"/>
    </xf>
    <xf numFmtId="0" fontId="25" fillId="2" borderId="42" xfId="0" applyFont="1" applyFill="1" applyBorder="1"/>
    <xf numFmtId="49" fontId="26" fillId="2" borderId="37" xfId="0" applyNumberFormat="1" applyFont="1" applyFill="1" applyBorder="1"/>
    <xf numFmtId="0" fontId="28" fillId="2" borderId="37" xfId="0" applyFont="1" applyFill="1" applyBorder="1"/>
    <xf numFmtId="0" fontId="29" fillId="2" borderId="37" xfId="0" applyFont="1" applyFill="1" applyBorder="1"/>
    <xf numFmtId="49" fontId="30" fillId="2" borderId="6" xfId="0" applyNumberFormat="1" applyFont="1" applyFill="1" applyBorder="1" applyAlignment="1">
      <alignment horizontal="left"/>
    </xf>
    <xf numFmtId="0" fontId="29" fillId="2" borderId="6" xfId="0" applyFont="1" applyFill="1" applyBorder="1" applyAlignment="1">
      <alignment horizontal="center"/>
    </xf>
    <xf numFmtId="0" fontId="31" fillId="2" borderId="6" xfId="0" applyFont="1" applyFill="1" applyBorder="1" applyAlignment="1">
      <alignment horizontal="right" vertical="center"/>
    </xf>
    <xf numFmtId="49" fontId="32" fillId="2" borderId="6" xfId="0" applyNumberFormat="1" applyFont="1" applyFill="1" applyBorder="1" applyAlignment="1">
      <alignment vertical="center"/>
    </xf>
    <xf numFmtId="0" fontId="23" fillId="0" borderId="8" xfId="0" applyNumberFormat="1" applyFont="1" applyBorder="1"/>
    <xf numFmtId="14" fontId="31" fillId="14" borderId="6" xfId="0" applyNumberFormat="1" applyFont="1" applyFill="1" applyBorder="1" applyAlignment="1">
      <alignment horizontal="center" vertical="center"/>
    </xf>
    <xf numFmtId="20" fontId="31" fillId="14" borderId="6" xfId="0" applyNumberFormat="1" applyFont="1" applyFill="1" applyBorder="1" applyAlignment="1">
      <alignment horizontal="center" vertical="center"/>
    </xf>
    <xf numFmtId="49" fontId="31" fillId="14" borderId="44" xfId="0" applyNumberFormat="1" applyFont="1" applyFill="1" applyBorder="1" applyAlignment="1">
      <alignment horizontal="center" vertical="center"/>
    </xf>
    <xf numFmtId="0" fontId="34" fillId="14" borderId="45" xfId="0" applyFont="1" applyFill="1" applyBorder="1" applyAlignment="1">
      <alignment horizontal="right"/>
    </xf>
    <xf numFmtId="0" fontId="34" fillId="14" borderId="44" xfId="0" applyFont="1" applyFill="1" applyBorder="1" applyAlignment="1">
      <alignment horizontal="right" wrapText="1"/>
    </xf>
    <xf numFmtId="0" fontId="34" fillId="14" borderId="46" xfId="0" applyNumberFormat="1" applyFont="1" applyFill="1" applyBorder="1" applyAlignment="1">
      <alignment horizontal="center"/>
    </xf>
    <xf numFmtId="0" fontId="34" fillId="14" borderId="45" xfId="0" applyFont="1" applyFill="1" applyBorder="1" applyAlignment="1">
      <alignment horizontal="left" wrapText="1"/>
    </xf>
    <xf numFmtId="0" fontId="34" fillId="14" borderId="47" xfId="0" applyFont="1" applyFill="1" applyBorder="1" applyAlignment="1">
      <alignment horizontal="left"/>
    </xf>
    <xf numFmtId="0" fontId="35" fillId="2" borderId="42" xfId="0" applyNumberFormat="1" applyFont="1" applyFill="1" applyBorder="1" applyAlignment="1">
      <alignment horizontal="center" vertical="center"/>
    </xf>
    <xf numFmtId="0" fontId="36" fillId="2" borderId="6" xfId="0" applyNumberFormat="1" applyFont="1" applyFill="1" applyBorder="1" applyAlignment="1">
      <alignment horizontal="left" vertical="center"/>
    </xf>
    <xf numFmtId="0" fontId="0" fillId="2" borderId="47" xfId="0" applyFill="1" applyBorder="1"/>
    <xf numFmtId="0" fontId="27" fillId="13" borderId="40" xfId="0" applyFont="1" applyFill="1" applyBorder="1" applyAlignment="1">
      <alignment horizontal="center"/>
    </xf>
    <xf numFmtId="0" fontId="26" fillId="2" borderId="42" xfId="0" applyFont="1" applyFill="1" applyBorder="1" applyAlignment="1">
      <alignment horizontal="center"/>
    </xf>
    <xf numFmtId="0" fontId="37" fillId="2" borderId="6" xfId="0" applyFont="1" applyFill="1" applyBorder="1" applyAlignment="1">
      <alignment vertical="center"/>
    </xf>
    <xf numFmtId="0" fontId="38" fillId="2" borderId="6" xfId="0" applyFont="1" applyFill="1" applyBorder="1" applyAlignment="1">
      <alignment vertical="center"/>
    </xf>
    <xf numFmtId="0" fontId="0" fillId="2" borderId="37" xfId="0" applyFill="1" applyBorder="1"/>
    <xf numFmtId="49" fontId="23" fillId="0" borderId="6" xfId="0" applyNumberFormat="1" applyFont="1" applyBorder="1"/>
    <xf numFmtId="0" fontId="31" fillId="14" borderId="44" xfId="0" applyFont="1" applyFill="1" applyBorder="1" applyAlignment="1">
      <alignment horizontal="center" vertical="center"/>
    </xf>
    <xf numFmtId="0" fontId="34" fillId="14" borderId="48" xfId="0" applyNumberFormat="1" applyFont="1" applyFill="1" applyBorder="1" applyAlignment="1">
      <alignment horizontal="center"/>
    </xf>
    <xf numFmtId="49" fontId="27" fillId="13" borderId="49" xfId="0" applyNumberFormat="1" applyFont="1" applyFill="1" applyBorder="1" applyAlignment="1">
      <alignment horizontal="center" vertical="center"/>
    </xf>
    <xf numFmtId="0" fontId="27" fillId="13" borderId="50" xfId="0" applyFont="1" applyFill="1" applyBorder="1" applyAlignment="1">
      <alignment horizontal="center" vertical="center"/>
    </xf>
    <xf numFmtId="49" fontId="27" fillId="13" borderId="50" xfId="0" applyNumberFormat="1" applyFont="1" applyFill="1" applyBorder="1" applyAlignment="1">
      <alignment horizontal="left" vertical="center"/>
    </xf>
    <xf numFmtId="49" fontId="27" fillId="13" borderId="50" xfId="0" applyNumberFormat="1" applyFont="1" applyFill="1" applyBorder="1" applyAlignment="1">
      <alignment horizontal="center" vertical="center"/>
    </xf>
    <xf numFmtId="49" fontId="27" fillId="13" borderId="51" xfId="0" applyNumberFormat="1" applyFont="1" applyFill="1" applyBorder="1" applyAlignment="1">
      <alignment horizontal="center" vertical="center"/>
    </xf>
    <xf numFmtId="0" fontId="26" fillId="2" borderId="42" xfId="0" applyNumberFormat="1" applyFont="1" applyFill="1" applyBorder="1" applyAlignment="1">
      <alignment horizontal="center"/>
    </xf>
    <xf numFmtId="0" fontId="30" fillId="2" borderId="6" xfId="0" applyFont="1" applyFill="1" applyBorder="1" applyAlignment="1">
      <alignment vertical="center"/>
    </xf>
    <xf numFmtId="0" fontId="38" fillId="2" borderId="47" xfId="0" applyFont="1" applyFill="1" applyBorder="1" applyAlignment="1">
      <alignment vertical="center"/>
    </xf>
    <xf numFmtId="0" fontId="39" fillId="13" borderId="52" xfId="0" applyFont="1" applyFill="1" applyBorder="1" applyAlignment="1">
      <alignment horizontal="left" vertical="center"/>
    </xf>
    <xf numFmtId="49" fontId="39" fillId="13" borderId="53" xfId="0" applyNumberFormat="1" applyFont="1" applyFill="1" applyBorder="1" applyAlignment="1">
      <alignment horizontal="center" vertical="center"/>
    </xf>
    <xf numFmtId="0" fontId="0" fillId="2" borderId="42" xfId="0" applyFill="1" applyBorder="1"/>
    <xf numFmtId="0" fontId="23" fillId="0" borderId="6" xfId="0" applyFont="1" applyBorder="1"/>
    <xf numFmtId="0" fontId="34" fillId="14" borderId="54" xfId="0" applyNumberFormat="1" applyFont="1" applyFill="1" applyBorder="1" applyAlignment="1">
      <alignment horizontal="center" vertical="center"/>
    </xf>
    <xf numFmtId="0" fontId="34" fillId="14" borderId="55" xfId="0" applyFont="1" applyFill="1" applyBorder="1" applyAlignment="1">
      <alignment horizontal="center" vertical="center" wrapText="1"/>
    </xf>
    <xf numFmtId="0" fontId="34" fillId="14" borderId="55" xfId="0" applyFont="1" applyFill="1" applyBorder="1" applyAlignment="1">
      <alignment horizontal="left" vertical="center"/>
    </xf>
    <xf numFmtId="0" fontId="41" fillId="14" borderId="55" xfId="0" applyNumberFormat="1" applyFont="1" applyFill="1" applyBorder="1" applyAlignment="1">
      <alignment horizontal="center" vertical="center"/>
    </xf>
    <xf numFmtId="0" fontId="34" fillId="14" borderId="55" xfId="0" applyNumberFormat="1" applyFont="1" applyFill="1" applyBorder="1" applyAlignment="1">
      <alignment horizontal="center" vertical="center"/>
    </xf>
    <xf numFmtId="0" fontId="34" fillId="14" borderId="56" xfId="0" applyNumberFormat="1" applyFont="1" applyFill="1" applyBorder="1" applyAlignment="1">
      <alignment horizontal="center" vertical="center"/>
    </xf>
    <xf numFmtId="0" fontId="42" fillId="2" borderId="42" xfId="0" applyNumberFormat="1" applyFont="1" applyFill="1" applyBorder="1" applyAlignment="1">
      <alignment horizontal="center" vertical="center"/>
    </xf>
    <xf numFmtId="0" fontId="43" fillId="2" borderId="6" xfId="0" applyFont="1" applyFill="1" applyBorder="1" applyAlignment="1">
      <alignment horizontal="left" vertical="center"/>
    </xf>
    <xf numFmtId="0" fontId="44" fillId="2" borderId="6" xfId="0" applyFont="1" applyFill="1" applyBorder="1" applyAlignment="1">
      <alignment horizontal="center" vertical="center"/>
    </xf>
    <xf numFmtId="0" fontId="45" fillId="2" borderId="47" xfId="0" applyFont="1" applyFill="1" applyBorder="1" applyAlignment="1">
      <alignment horizontal="center" vertical="center"/>
    </xf>
    <xf numFmtId="0" fontId="34" fillId="3" borderId="57" xfId="0" applyFont="1" applyFill="1" applyBorder="1" applyAlignment="1">
      <alignment horizontal="left" vertical="center"/>
    </xf>
    <xf numFmtId="0" fontId="34" fillId="3" borderId="58" xfId="0" applyFont="1" applyFill="1" applyBorder="1" applyAlignment="1">
      <alignment horizontal="center" vertical="center"/>
    </xf>
    <xf numFmtId="0" fontId="23" fillId="0" borderId="6" xfId="0" applyNumberFormat="1" applyFont="1" applyBorder="1"/>
    <xf numFmtId="0" fontId="34" fillId="14" borderId="42" xfId="0" applyNumberFormat="1" applyFont="1" applyFill="1" applyBorder="1" applyAlignment="1">
      <alignment horizontal="center" vertical="center"/>
    </xf>
    <xf numFmtId="0" fontId="34" fillId="14" borderId="6" xfId="0" applyFont="1" applyFill="1" applyBorder="1" applyAlignment="1">
      <alignment horizontal="center" vertical="center" wrapText="1"/>
    </xf>
    <xf numFmtId="0" fontId="34" fillId="14" borderId="6" xfId="0" applyFont="1" applyFill="1" applyBorder="1" applyAlignment="1">
      <alignment horizontal="left" vertical="center"/>
    </xf>
    <xf numFmtId="0" fontId="41" fillId="14" borderId="6" xfId="0" applyNumberFormat="1" applyFont="1" applyFill="1" applyBorder="1" applyAlignment="1">
      <alignment horizontal="center" vertical="center"/>
    </xf>
    <xf numFmtId="0" fontId="34" fillId="14" borderId="6" xfId="0" applyNumberFormat="1" applyFont="1" applyFill="1" applyBorder="1" applyAlignment="1">
      <alignment horizontal="center" vertical="center"/>
    </xf>
    <xf numFmtId="0" fontId="34" fillId="14" borderId="47" xfId="0" applyNumberFormat="1" applyFont="1" applyFill="1" applyBorder="1" applyAlignment="1">
      <alignment horizontal="center" vertical="center"/>
    </xf>
    <xf numFmtId="0" fontId="34" fillId="15" borderId="57" xfId="0" applyFont="1" applyFill="1" applyBorder="1" applyAlignment="1">
      <alignment horizontal="left" vertical="center"/>
    </xf>
    <xf numFmtId="0" fontId="34" fillId="15" borderId="58" xfId="0" applyFont="1" applyFill="1" applyBorder="1" applyAlignment="1">
      <alignment horizontal="center" vertical="center"/>
    </xf>
    <xf numFmtId="14" fontId="31" fillId="14" borderId="37" xfId="0" applyNumberFormat="1" applyFont="1" applyFill="1" applyBorder="1" applyAlignment="1">
      <alignment horizontal="center" vertical="center"/>
    </xf>
    <xf numFmtId="20" fontId="31" fillId="14" borderId="37" xfId="0" applyNumberFormat="1" applyFont="1" applyFill="1" applyBorder="1" applyAlignment="1">
      <alignment horizontal="center" vertical="center"/>
    </xf>
    <xf numFmtId="0" fontId="31" fillId="14" borderId="59" xfId="0" applyFont="1" applyFill="1" applyBorder="1" applyAlignment="1">
      <alignment horizontal="center" vertical="center"/>
    </xf>
    <xf numFmtId="0" fontId="34" fillId="14" borderId="60" xfId="0" applyFont="1" applyFill="1" applyBorder="1" applyAlignment="1">
      <alignment horizontal="right"/>
    </xf>
    <xf numFmtId="0" fontId="34" fillId="14" borderId="59" xfId="0" applyFont="1" applyFill="1" applyBorder="1" applyAlignment="1">
      <alignment horizontal="right" wrapText="1"/>
    </xf>
    <xf numFmtId="0" fontId="34" fillId="14" borderId="61" xfId="0" applyNumberFormat="1" applyFont="1" applyFill="1" applyBorder="1" applyAlignment="1">
      <alignment horizontal="center"/>
    </xf>
    <xf numFmtId="0" fontId="34" fillId="14" borderId="60" xfId="0" applyFont="1" applyFill="1" applyBorder="1" applyAlignment="1">
      <alignment horizontal="left" wrapText="1"/>
    </xf>
    <xf numFmtId="0" fontId="34" fillId="14" borderId="62" xfId="0" applyFont="1" applyFill="1" applyBorder="1" applyAlignment="1">
      <alignment horizontal="left"/>
    </xf>
    <xf numFmtId="0" fontId="34" fillId="14" borderId="43" xfId="0" applyNumberFormat="1" applyFont="1" applyFill="1" applyBorder="1" applyAlignment="1">
      <alignment horizontal="center" vertical="center"/>
    </xf>
    <xf numFmtId="0" fontId="34" fillId="14" borderId="37" xfId="0" applyFont="1" applyFill="1" applyBorder="1" applyAlignment="1">
      <alignment horizontal="center" vertical="center" wrapText="1"/>
    </xf>
    <xf numFmtId="0" fontId="34" fillId="14" borderId="37" xfId="0" applyFont="1" applyFill="1" applyBorder="1" applyAlignment="1">
      <alignment horizontal="left" vertical="center"/>
    </xf>
    <xf numFmtId="0" fontId="41" fillId="14" borderId="37" xfId="0" applyNumberFormat="1" applyFont="1" applyFill="1" applyBorder="1" applyAlignment="1">
      <alignment horizontal="center" vertical="center"/>
    </xf>
    <xf numFmtId="0" fontId="34" fillId="14" borderId="37" xfId="0" applyNumberFormat="1" applyFont="1" applyFill="1" applyBorder="1" applyAlignment="1">
      <alignment horizontal="center" vertical="center"/>
    </xf>
    <xf numFmtId="0" fontId="34" fillId="14" borderId="62" xfId="0" applyNumberFormat="1" applyFont="1" applyFill="1" applyBorder="1" applyAlignment="1">
      <alignment horizontal="center" vertical="center"/>
    </xf>
    <xf numFmtId="0" fontId="34" fillId="15" borderId="63" xfId="0" applyFont="1" applyFill="1" applyBorder="1" applyAlignment="1">
      <alignment horizontal="left" vertical="center"/>
    </xf>
    <xf numFmtId="0" fontId="34" fillId="15" borderId="64" xfId="0" applyFont="1" applyFill="1" applyBorder="1" applyAlignment="1">
      <alignment horizontal="center" vertical="center"/>
    </xf>
    <xf numFmtId="14" fontId="23" fillId="2" borderId="65" xfId="0" applyNumberFormat="1" applyFont="1" applyFill="1" applyBorder="1"/>
    <xf numFmtId="14" fontId="46" fillId="2" borderId="65" xfId="0" applyNumberFormat="1" applyFont="1" applyFill="1" applyBorder="1"/>
    <xf numFmtId="14" fontId="23" fillId="2" borderId="65" xfId="0" applyNumberFormat="1" applyFont="1" applyFill="1" applyBorder="1" applyAlignment="1">
      <alignment horizontal="center" vertical="center"/>
    </xf>
    <xf numFmtId="0" fontId="23" fillId="2" borderId="65" xfId="0" applyFont="1" applyFill="1" applyBorder="1" applyAlignment="1">
      <alignment horizontal="right"/>
    </xf>
    <xf numFmtId="0" fontId="23" fillId="2" borderId="65" xfId="0" applyFont="1" applyFill="1" applyBorder="1" applyAlignment="1">
      <alignment wrapText="1"/>
    </xf>
    <xf numFmtId="0" fontId="23" fillId="2" borderId="65" xfId="0" applyFont="1" applyFill="1" applyBorder="1"/>
    <xf numFmtId="0" fontId="23" fillId="2" borderId="65" xfId="0" applyFont="1" applyFill="1" applyBorder="1" applyAlignment="1">
      <alignment horizontal="left"/>
    </xf>
    <xf numFmtId="0" fontId="35" fillId="2" borderId="6" xfId="0" applyFont="1" applyFill="1" applyBorder="1" applyAlignment="1">
      <alignment horizontal="center" vertical="center"/>
    </xf>
    <xf numFmtId="0" fontId="36" fillId="2" borderId="6" xfId="0" applyFont="1" applyFill="1" applyBorder="1" applyAlignment="1">
      <alignment horizontal="left" vertical="center"/>
    </xf>
    <xf numFmtId="0" fontId="23" fillId="2" borderId="40" xfId="0" applyFont="1" applyFill="1" applyBorder="1" applyAlignment="1">
      <alignment horizontal="center" vertical="center"/>
    </xf>
    <xf numFmtId="0" fontId="23" fillId="2" borderId="40" xfId="0" applyFont="1" applyFill="1" applyBorder="1" applyAlignment="1">
      <alignment horizontal="center" vertical="center" wrapText="1"/>
    </xf>
    <xf numFmtId="0" fontId="29" fillId="2" borderId="40" xfId="0" applyFont="1" applyFill="1" applyBorder="1"/>
    <xf numFmtId="0" fontId="47" fillId="2" borderId="40" xfId="0" applyFont="1" applyFill="1" applyBorder="1" applyAlignment="1">
      <alignment horizontal="center" vertical="center"/>
    </xf>
    <xf numFmtId="0" fontId="42" fillId="2" borderId="6" xfId="0" applyFont="1" applyFill="1" applyBorder="1" applyAlignment="1">
      <alignment horizontal="center" vertical="center"/>
    </xf>
    <xf numFmtId="0" fontId="43" fillId="2" borderId="6" xfId="0" applyFont="1" applyFill="1" applyBorder="1" applyAlignment="1">
      <alignment horizontal="center" vertical="center"/>
    </xf>
    <xf numFmtId="0" fontId="45" fillId="2" borderId="6" xfId="0" applyFont="1" applyFill="1" applyBorder="1" applyAlignment="1">
      <alignment horizontal="center" vertical="center"/>
    </xf>
    <xf numFmtId="14" fontId="23" fillId="2" borderId="40" xfId="0" applyNumberFormat="1" applyFont="1" applyFill="1" applyBorder="1"/>
    <xf numFmtId="14" fontId="46" fillId="2" borderId="40" xfId="0" applyNumberFormat="1" applyFont="1" applyFill="1" applyBorder="1"/>
    <xf numFmtId="0" fontId="27" fillId="13" borderId="40" xfId="0" applyFont="1" applyFill="1" applyBorder="1" applyAlignment="1">
      <alignment horizontal="center" vertical="top"/>
    </xf>
    <xf numFmtId="0" fontId="27" fillId="13" borderId="40" xfId="0" applyFont="1" applyFill="1" applyBorder="1" applyAlignment="1">
      <alignment horizontal="right"/>
    </xf>
    <xf numFmtId="0" fontId="27" fillId="13" borderId="41" xfId="0" applyFont="1" applyFill="1" applyBorder="1" applyAlignment="1">
      <alignment horizontal="left"/>
    </xf>
    <xf numFmtId="0" fontId="48" fillId="2" borderId="42" xfId="0" applyFont="1" applyFill="1" applyBorder="1"/>
    <xf numFmtId="0" fontId="29" fillId="2" borderId="37" xfId="0" applyFont="1" applyFill="1" applyBorder="1" applyAlignment="1">
      <alignment horizontal="center" wrapText="1"/>
    </xf>
    <xf numFmtId="0" fontId="42" fillId="2" borderId="6" xfId="0" applyFont="1" applyFill="1" applyBorder="1" applyAlignment="1">
      <alignment horizontal="center"/>
    </xf>
    <xf numFmtId="0" fontId="49" fillId="2" borderId="6" xfId="0" applyFont="1" applyFill="1" applyBorder="1" applyAlignment="1">
      <alignment horizontal="center"/>
    </xf>
    <xf numFmtId="0" fontId="50" fillId="2" borderId="6" xfId="0" applyFont="1" applyFill="1" applyBorder="1" applyAlignment="1">
      <alignment horizontal="center"/>
    </xf>
    <xf numFmtId="14" fontId="23" fillId="2" borderId="6" xfId="0" applyNumberFormat="1" applyFont="1" applyFill="1" applyBorder="1"/>
    <xf numFmtId="14" fontId="46" fillId="2" borderId="6" xfId="0" applyNumberFormat="1" applyFont="1" applyFill="1" applyBorder="1"/>
    <xf numFmtId="0" fontId="42" fillId="2" borderId="42" xfId="0" applyFont="1" applyFill="1" applyBorder="1" applyAlignment="1">
      <alignment horizontal="center"/>
    </xf>
    <xf numFmtId="0" fontId="51" fillId="2" borderId="6" xfId="0" applyFont="1" applyFill="1" applyBorder="1" applyAlignment="1">
      <alignment vertical="center" wrapText="1"/>
    </xf>
    <xf numFmtId="14" fontId="23" fillId="2" borderId="37" xfId="0" applyNumberFormat="1" applyFont="1" applyFill="1" applyBorder="1"/>
    <xf numFmtId="14" fontId="46" fillId="2" borderId="37" xfId="0" applyNumberFormat="1" applyFont="1" applyFill="1" applyBorder="1"/>
    <xf numFmtId="0" fontId="27" fillId="13" borderId="49" xfId="0" applyFont="1" applyFill="1" applyBorder="1" applyAlignment="1">
      <alignment horizontal="center" vertical="center"/>
    </xf>
    <xf numFmtId="0" fontId="27" fillId="13" borderId="50" xfId="0" applyFont="1" applyFill="1" applyBorder="1" applyAlignment="1">
      <alignment horizontal="left" vertical="center"/>
    </xf>
    <xf numFmtId="0" fontId="27" fillId="13" borderId="51" xfId="0" applyFont="1" applyFill="1" applyBorder="1" applyAlignment="1">
      <alignment horizontal="center" vertical="center"/>
    </xf>
    <xf numFmtId="0" fontId="42" fillId="2" borderId="42" xfId="0" applyNumberFormat="1" applyFont="1" applyFill="1" applyBorder="1" applyAlignment="1">
      <alignment horizontal="center"/>
    </xf>
    <xf numFmtId="0" fontId="51" fillId="2" borderId="6" xfId="0" applyFont="1" applyFill="1" applyBorder="1" applyAlignment="1">
      <alignment vertical="center"/>
    </xf>
    <xf numFmtId="0" fontId="51" fillId="2" borderId="47" xfId="0" applyFont="1" applyFill="1" applyBorder="1" applyAlignment="1">
      <alignment vertical="center"/>
    </xf>
    <xf numFmtId="0" fontId="0" fillId="2" borderId="66" xfId="0" applyFill="1" applyBorder="1"/>
    <xf numFmtId="0" fontId="34" fillId="14" borderId="67" xfId="0" applyNumberFormat="1" applyFont="1" applyFill="1" applyBorder="1" applyAlignment="1">
      <alignment horizontal="center" vertical="center"/>
    </xf>
    <xf numFmtId="0" fontId="34" fillId="14" borderId="55" xfId="0" applyFont="1" applyFill="1" applyBorder="1" applyAlignment="1">
      <alignment vertical="center"/>
    </xf>
    <xf numFmtId="0" fontId="34" fillId="14" borderId="68" xfId="0" applyNumberFormat="1" applyFont="1" applyFill="1" applyBorder="1" applyAlignment="1">
      <alignment horizontal="center" vertical="center"/>
    </xf>
    <xf numFmtId="0" fontId="42" fillId="2" borderId="69" xfId="0" applyNumberFormat="1" applyFont="1" applyFill="1" applyBorder="1" applyAlignment="1">
      <alignment horizontal="center" vertical="center"/>
    </xf>
    <xf numFmtId="0" fontId="34" fillId="14" borderId="69" xfId="0" applyNumberFormat="1" applyFont="1" applyFill="1" applyBorder="1" applyAlignment="1">
      <alignment horizontal="center" vertical="center"/>
    </xf>
    <xf numFmtId="0" fontId="34" fillId="14" borderId="6" xfId="0" applyFont="1" applyFill="1" applyBorder="1" applyAlignment="1">
      <alignment vertical="center"/>
    </xf>
    <xf numFmtId="0" fontId="34" fillId="14" borderId="66" xfId="0" applyNumberFormat="1" applyFont="1" applyFill="1" applyBorder="1" applyAlignment="1">
      <alignment horizontal="center" vertical="center"/>
    </xf>
    <xf numFmtId="0" fontId="34" fillId="14" borderId="70" xfId="0" applyNumberFormat="1" applyFont="1" applyFill="1" applyBorder="1" applyAlignment="1">
      <alignment horizontal="center" vertical="center"/>
    </xf>
    <xf numFmtId="0" fontId="34" fillId="14" borderId="71" xfId="0" applyFont="1" applyFill="1" applyBorder="1" applyAlignment="1">
      <alignment vertical="center"/>
    </xf>
    <xf numFmtId="0" fontId="34" fillId="14" borderId="71" xfId="0" applyFont="1" applyFill="1" applyBorder="1" applyAlignment="1">
      <alignment horizontal="left" vertical="center"/>
    </xf>
    <xf numFmtId="0" fontId="41" fillId="14" borderId="71" xfId="0" applyNumberFormat="1" applyFont="1" applyFill="1" applyBorder="1" applyAlignment="1">
      <alignment horizontal="center" vertical="center"/>
    </xf>
    <xf numFmtId="0" fontId="34" fillId="14" borderId="71" xfId="0" applyNumberFormat="1" applyFont="1" applyFill="1" applyBorder="1" applyAlignment="1">
      <alignment horizontal="center" vertical="center"/>
    </xf>
    <xf numFmtId="0" fontId="34" fillId="14" borderId="72" xfId="0" applyNumberFormat="1" applyFont="1" applyFill="1" applyBorder="1" applyAlignment="1">
      <alignment horizontal="center" vertical="center"/>
    </xf>
    <xf numFmtId="0" fontId="48" fillId="2" borderId="6" xfId="0" applyFont="1" applyFill="1" applyBorder="1" applyAlignment="1">
      <alignment vertical="center"/>
    </xf>
    <xf numFmtId="0" fontId="26" fillId="2" borderId="6" xfId="0" applyFont="1" applyFill="1" applyBorder="1" applyAlignment="1">
      <alignment vertical="center"/>
    </xf>
    <xf numFmtId="0" fontId="23" fillId="2" borderId="73" xfId="0" applyFont="1" applyFill="1" applyBorder="1" applyAlignment="1">
      <alignment horizontal="center" vertical="center"/>
    </xf>
    <xf numFmtId="0" fontId="23" fillId="2" borderId="73" xfId="0" applyFont="1" applyFill="1" applyBorder="1" applyAlignment="1">
      <alignment horizontal="center" vertical="center" wrapText="1"/>
    </xf>
    <xf numFmtId="0" fontId="29" fillId="2" borderId="73" xfId="0" applyFont="1" applyFill="1" applyBorder="1"/>
    <xf numFmtId="0" fontId="47" fillId="2" borderId="73" xfId="0" applyFont="1" applyFill="1" applyBorder="1" applyAlignment="1">
      <alignment horizontal="center" vertical="center"/>
    </xf>
    <xf numFmtId="0" fontId="34" fillId="14" borderId="37" xfId="0" applyFont="1" applyFill="1" applyBorder="1" applyAlignment="1">
      <alignment vertical="center"/>
    </xf>
    <xf numFmtId="0" fontId="27" fillId="13" borderId="40" xfId="0" applyFont="1" applyFill="1" applyBorder="1" applyAlignment="1">
      <alignment horizontal="left" vertical="top"/>
    </xf>
    <xf numFmtId="0" fontId="27" fillId="13" borderId="40" xfId="0" applyFont="1" applyFill="1" applyBorder="1" applyAlignment="1">
      <alignment horizontal="right" vertical="top"/>
    </xf>
    <xf numFmtId="0" fontId="27" fillId="13" borderId="41" xfId="0" applyFont="1" applyFill="1" applyBorder="1" applyAlignment="1">
      <alignment horizontal="left" vertical="top"/>
    </xf>
    <xf numFmtId="0" fontId="52" fillId="2" borderId="6" xfId="0" applyFont="1" applyFill="1" applyBorder="1" applyAlignment="1">
      <alignment horizontal="center" vertical="center"/>
    </xf>
    <xf numFmtId="0" fontId="53" fillId="2" borderId="6" xfId="0" applyFont="1" applyFill="1" applyBorder="1" applyAlignment="1">
      <alignment horizontal="center" vertical="center"/>
    </xf>
    <xf numFmtId="0" fontId="48" fillId="2" borderId="42" xfId="0" applyFont="1" applyFill="1" applyBorder="1" applyAlignment="1">
      <alignment horizontal="center" vertical="center"/>
    </xf>
    <xf numFmtId="0" fontId="34" fillId="2" borderId="37" xfId="0" applyFont="1" applyFill="1" applyBorder="1" applyAlignment="1">
      <alignment horizontal="center" vertical="center"/>
    </xf>
    <xf numFmtId="0" fontId="23" fillId="2" borderId="6" xfId="0" applyFont="1" applyFill="1" applyBorder="1" applyAlignment="1">
      <alignment horizontal="center"/>
    </xf>
    <xf numFmtId="0" fontId="47" fillId="2" borderId="6" xfId="0" applyFont="1" applyFill="1" applyBorder="1" applyAlignment="1">
      <alignment horizontal="center"/>
    </xf>
    <xf numFmtId="49" fontId="27" fillId="13" borderId="40" xfId="0" applyNumberFormat="1" applyFont="1" applyFill="1" applyBorder="1" applyAlignment="1">
      <alignment horizontal="left" vertical="top"/>
    </xf>
    <xf numFmtId="0" fontId="56" fillId="2" borderId="42" xfId="0" applyFont="1" applyFill="1" applyBorder="1" applyAlignment="1">
      <alignment horizontal="center" vertical="center"/>
    </xf>
    <xf numFmtId="0" fontId="26" fillId="2" borderId="47" xfId="0" applyFont="1" applyFill="1" applyBorder="1" applyAlignment="1">
      <alignment vertical="center"/>
    </xf>
    <xf numFmtId="0" fontId="30" fillId="2" borderId="42" xfId="0" applyFont="1" applyFill="1" applyBorder="1" applyAlignment="1">
      <alignment horizontal="center"/>
    </xf>
    <xf numFmtId="0" fontId="23" fillId="2" borderId="6" xfId="0" applyFont="1" applyFill="1" applyBorder="1"/>
    <xf numFmtId="0" fontId="31" fillId="14" borderId="44" xfId="0" applyNumberFormat="1" applyFont="1" applyFill="1" applyBorder="1" applyAlignment="1">
      <alignment horizontal="center" vertical="center"/>
    </xf>
    <xf numFmtId="0" fontId="34" fillId="14" borderId="45" xfId="0" applyFont="1" applyFill="1" applyBorder="1" applyAlignment="1">
      <alignment horizontal="right" vertical="center"/>
    </xf>
    <xf numFmtId="0" fontId="34" fillId="14" borderId="44" xfId="0" applyFont="1" applyFill="1" applyBorder="1" applyAlignment="1">
      <alignment horizontal="center"/>
    </xf>
    <xf numFmtId="0" fontId="34" fillId="14" borderId="46" xfId="0" applyFont="1" applyFill="1" applyBorder="1" applyAlignment="1">
      <alignment horizontal="center"/>
    </xf>
    <xf numFmtId="0" fontId="34" fillId="14" borderId="76" xfId="0" applyFont="1" applyFill="1" applyBorder="1" applyAlignment="1">
      <alignment horizontal="center"/>
    </xf>
    <xf numFmtId="0" fontId="34" fillId="14" borderId="77" xfId="0" applyFont="1" applyFill="1" applyBorder="1" applyAlignment="1">
      <alignment horizontal="center"/>
    </xf>
    <xf numFmtId="0" fontId="34" fillId="14" borderId="47" xfId="0" applyFont="1" applyFill="1" applyBorder="1" applyAlignment="1">
      <alignment horizontal="left" vertical="center"/>
    </xf>
    <xf numFmtId="0" fontId="27" fillId="13" borderId="43" xfId="0" applyFont="1" applyFill="1" applyBorder="1" applyAlignment="1">
      <alignment horizontal="center" vertical="center"/>
    </xf>
    <xf numFmtId="0" fontId="27" fillId="13" borderId="37" xfId="0" applyFont="1" applyFill="1" applyBorder="1" applyAlignment="1">
      <alignment horizontal="center" vertical="center"/>
    </xf>
    <xf numFmtId="0" fontId="27" fillId="13" borderId="37" xfId="0" applyFont="1" applyFill="1" applyBorder="1" applyAlignment="1">
      <alignment horizontal="left" vertical="center"/>
    </xf>
    <xf numFmtId="0" fontId="27" fillId="13" borderId="62" xfId="0" applyFont="1" applyFill="1" applyBorder="1" applyAlignment="1">
      <alignment horizontal="center" vertical="center"/>
    </xf>
    <xf numFmtId="0" fontId="41" fillId="2" borderId="6" xfId="0" applyFont="1" applyFill="1" applyBorder="1"/>
    <xf numFmtId="0" fontId="34" fillId="2" borderId="6" xfId="0" applyFont="1" applyFill="1" applyBorder="1" applyAlignment="1">
      <alignment horizontal="center"/>
    </xf>
    <xf numFmtId="0" fontId="34" fillId="14" borderId="48" xfId="0" applyFont="1" applyFill="1" applyBorder="1" applyAlignment="1">
      <alignment horizontal="center"/>
    </xf>
    <xf numFmtId="0" fontId="34" fillId="14" borderId="45" xfId="0" applyFont="1" applyFill="1" applyBorder="1" applyAlignment="1">
      <alignment horizontal="center"/>
    </xf>
    <xf numFmtId="0" fontId="43" fillId="2" borderId="47" xfId="0" applyNumberFormat="1" applyFont="1" applyFill="1" applyBorder="1" applyAlignment="1">
      <alignment horizontal="left" vertical="center"/>
    </xf>
    <xf numFmtId="0" fontId="34" fillId="14" borderId="39" xfId="0" applyNumberFormat="1" applyFont="1" applyFill="1" applyBorder="1" applyAlignment="1">
      <alignment horizontal="center" vertical="center"/>
    </xf>
    <xf numFmtId="0" fontId="0" fillId="14" borderId="40" xfId="0" applyFill="1" applyBorder="1" applyAlignment="1">
      <alignment vertical="center"/>
    </xf>
    <xf numFmtId="0" fontId="34" fillId="14" borderId="40" xfId="0" applyFont="1" applyFill="1" applyBorder="1" applyAlignment="1">
      <alignment horizontal="left" vertical="center"/>
    </xf>
    <xf numFmtId="1" fontId="41" fillId="14" borderId="40" xfId="0" applyNumberFormat="1" applyFont="1" applyFill="1" applyBorder="1" applyAlignment="1">
      <alignment horizontal="center" vertical="center"/>
    </xf>
    <xf numFmtId="0" fontId="34" fillId="14" borderId="40" xfId="0" applyNumberFormat="1" applyFont="1" applyFill="1" applyBorder="1" applyAlignment="1">
      <alignment horizontal="center" vertical="center"/>
    </xf>
    <xf numFmtId="0" fontId="34" fillId="14" borderId="41" xfId="0" applyNumberFormat="1" applyFont="1" applyFill="1" applyBorder="1" applyAlignment="1">
      <alignment horizontal="center" vertical="center"/>
    </xf>
    <xf numFmtId="0" fontId="58" fillId="2" borderId="6" xfId="0" applyFont="1" applyFill="1" applyBorder="1" applyAlignment="1">
      <alignment horizontal="center" vertical="center"/>
    </xf>
    <xf numFmtId="0" fontId="59" fillId="2" borderId="6" xfId="0" applyFont="1" applyFill="1" applyBorder="1" applyAlignment="1">
      <alignment horizontal="center" vertical="center"/>
    </xf>
    <xf numFmtId="49" fontId="0" fillId="0" borderId="6" xfId="0" applyNumberFormat="1" applyBorder="1"/>
    <xf numFmtId="1" fontId="41" fillId="14" borderId="6" xfId="0" applyNumberFormat="1" applyFont="1" applyFill="1" applyBorder="1" applyAlignment="1">
      <alignment horizontal="center" vertical="center"/>
    </xf>
    <xf numFmtId="14" fontId="34" fillId="2" borderId="6" xfId="0" applyNumberFormat="1" applyFont="1" applyFill="1" applyBorder="1" applyAlignment="1">
      <alignment horizontal="right"/>
    </xf>
    <xf numFmtId="0" fontId="34" fillId="2" borderId="6" xfId="0" applyFont="1" applyFill="1" applyBorder="1" applyAlignment="1">
      <alignment horizontal="left"/>
    </xf>
    <xf numFmtId="0" fontId="0" fillId="0" borderId="6" xfId="0" applyNumberFormat="1" applyBorder="1"/>
    <xf numFmtId="14" fontId="34" fillId="2" borderId="6" xfId="0" applyNumberFormat="1" applyFont="1" applyFill="1" applyBorder="1"/>
    <xf numFmtId="0" fontId="34" fillId="14" borderId="78" xfId="0" applyFont="1" applyFill="1" applyBorder="1" applyAlignment="1">
      <alignment horizontal="center"/>
    </xf>
    <xf numFmtId="1" fontId="41" fillId="14" borderId="37" xfId="0" applyNumberFormat="1" applyFont="1" applyFill="1" applyBorder="1" applyAlignment="1">
      <alignment horizontal="center" vertical="center"/>
    </xf>
    <xf numFmtId="0" fontId="60" fillId="2" borderId="6" xfId="0" applyFont="1" applyFill="1" applyBorder="1" applyAlignment="1">
      <alignment horizontal="center" vertical="center"/>
    </xf>
    <xf numFmtId="0" fontId="29" fillId="2" borderId="6" xfId="0" applyFont="1" applyFill="1" applyBorder="1"/>
    <xf numFmtId="0" fontId="29" fillId="2" borderId="6" xfId="0" applyFont="1" applyFill="1" applyBorder="1" applyAlignment="1">
      <alignment wrapText="1"/>
    </xf>
    <xf numFmtId="0" fontId="0" fillId="2" borderId="6" xfId="0" applyFill="1" applyBorder="1" applyAlignment="1">
      <alignment horizontal="left" vertical="center"/>
    </xf>
    <xf numFmtId="0" fontId="61" fillId="2" borderId="6" xfId="0" applyFont="1" applyFill="1" applyBorder="1" applyAlignment="1">
      <alignment horizontal="center"/>
    </xf>
    <xf numFmtId="0" fontId="31" fillId="14" borderId="59" xfId="0" applyNumberFormat="1" applyFont="1" applyFill="1" applyBorder="1" applyAlignment="1">
      <alignment horizontal="center" vertical="center"/>
    </xf>
    <xf numFmtId="0" fontId="34" fillId="14" borderId="60" xfId="0" applyFont="1" applyFill="1" applyBorder="1" applyAlignment="1">
      <alignment horizontal="right" vertical="center"/>
    </xf>
    <xf numFmtId="0" fontId="34" fillId="14" borderId="59" xfId="0" applyFont="1" applyFill="1" applyBorder="1" applyAlignment="1">
      <alignment horizontal="center"/>
    </xf>
    <xf numFmtId="0" fontId="34" fillId="14" borderId="61" xfId="0" applyFont="1" applyFill="1" applyBorder="1" applyAlignment="1">
      <alignment horizontal="center"/>
    </xf>
    <xf numFmtId="0" fontId="34" fillId="14" borderId="60" xfId="0" applyFont="1" applyFill="1" applyBorder="1" applyAlignment="1">
      <alignment horizontal="center"/>
    </xf>
    <xf numFmtId="0" fontId="34" fillId="14" borderId="62" xfId="0" applyFont="1" applyFill="1" applyBorder="1" applyAlignment="1">
      <alignment horizontal="left" vertical="center"/>
    </xf>
    <xf numFmtId="0" fontId="40" fillId="2" borderId="6" xfId="0" applyFont="1" applyFill="1" applyBorder="1" applyAlignment="1">
      <alignment horizontal="left"/>
    </xf>
    <xf numFmtId="0" fontId="40" fillId="2" borderId="6" xfId="0" applyFont="1" applyFill="1" applyBorder="1"/>
    <xf numFmtId="0" fontId="48" fillId="2" borderId="6" xfId="0" applyFont="1" applyFill="1" applyBorder="1" applyAlignment="1">
      <alignment horizontal="center" vertical="center"/>
    </xf>
    <xf numFmtId="14" fontId="31" fillId="14" borderId="42" xfId="0" applyNumberFormat="1" applyFont="1" applyFill="1" applyBorder="1" applyAlignment="1">
      <alignment horizontal="center" vertical="center"/>
    </xf>
    <xf numFmtId="0" fontId="34" fillId="14" borderId="29" xfId="0" applyFont="1" applyFill="1" applyBorder="1" applyAlignment="1">
      <alignment horizontal="center"/>
    </xf>
    <xf numFmtId="0" fontId="34" fillId="14" borderId="80" xfId="0" applyFont="1" applyFill="1" applyBorder="1" applyAlignment="1">
      <alignment horizontal="center"/>
    </xf>
    <xf numFmtId="0" fontId="63" fillId="2" borderId="6" xfId="0" applyFont="1" applyFill="1" applyBorder="1" applyAlignment="1">
      <alignment horizontal="center"/>
    </xf>
    <xf numFmtId="0" fontId="34" fillId="14" borderId="82" xfId="0" applyFont="1" applyFill="1" applyBorder="1" applyAlignment="1">
      <alignment horizontal="center"/>
    </xf>
    <xf numFmtId="14" fontId="31" fillId="14" borderId="43" xfId="0" applyNumberFormat="1" applyFont="1" applyFill="1" applyBorder="1" applyAlignment="1">
      <alignment horizontal="center" vertical="center"/>
    </xf>
    <xf numFmtId="0" fontId="34" fillId="14" borderId="84" xfId="0" applyFont="1" applyFill="1" applyBorder="1" applyAlignment="1">
      <alignment horizontal="center"/>
    </xf>
    <xf numFmtId="0" fontId="34" fillId="14" borderId="85" xfId="0" applyFont="1" applyFill="1" applyBorder="1" applyAlignment="1">
      <alignment horizontal="center"/>
    </xf>
    <xf numFmtId="0" fontId="34" fillId="14" borderId="86" xfId="0" applyFont="1" applyFill="1" applyBorder="1" applyAlignment="1">
      <alignment horizontal="center"/>
    </xf>
    <xf numFmtId="0" fontId="31" fillId="14" borderId="87" xfId="0" applyNumberFormat="1" applyFont="1" applyFill="1" applyBorder="1" applyAlignment="1">
      <alignment horizontal="center" vertical="center"/>
    </xf>
    <xf numFmtId="0" fontId="34" fillId="14" borderId="88" xfId="0" applyFont="1" applyFill="1" applyBorder="1" applyAlignment="1">
      <alignment horizontal="right" vertical="center"/>
    </xf>
    <xf numFmtId="0" fontId="31" fillId="14" borderId="89" xfId="0" applyNumberFormat="1" applyFont="1" applyFill="1" applyBorder="1" applyAlignment="1">
      <alignment horizontal="center" vertical="center"/>
    </xf>
    <xf numFmtId="0" fontId="34" fillId="14" borderId="90" xfId="0" applyFont="1" applyFill="1" applyBorder="1" applyAlignment="1">
      <alignment horizontal="right" vertical="center"/>
    </xf>
    <xf numFmtId="0" fontId="36" fillId="2" borderId="6" xfId="0" applyFont="1" applyFill="1" applyBorder="1" applyAlignment="1">
      <alignment horizontal="center" vertical="center"/>
    </xf>
    <xf numFmtId="0" fontId="50" fillId="13" borderId="39" xfId="0" applyFont="1" applyFill="1" applyBorder="1" applyAlignment="1">
      <alignment horizontal="left" vertical="top"/>
    </xf>
    <xf numFmtId="49" fontId="65" fillId="27" borderId="79" xfId="0" applyNumberFormat="1" applyFont="1" applyFill="1" applyBorder="1" applyAlignment="1">
      <alignment horizontal="center" vertical="center"/>
    </xf>
    <xf numFmtId="0" fontId="34" fillId="14" borderId="84" xfId="0" applyFont="1" applyFill="1" applyBorder="1" applyAlignment="1">
      <alignment horizontal="center" vertical="center"/>
    </xf>
    <xf numFmtId="0" fontId="34" fillId="14" borderId="92" xfId="0" applyFont="1" applyFill="1" applyBorder="1" applyAlignment="1">
      <alignment horizontal="center" vertical="center"/>
    </xf>
    <xf numFmtId="0" fontId="34" fillId="14" borderId="86" xfId="0" applyFont="1" applyFill="1" applyBorder="1" applyAlignment="1">
      <alignment horizontal="center" vertical="center"/>
    </xf>
    <xf numFmtId="0" fontId="34" fillId="14" borderId="62" xfId="0" applyFont="1" applyFill="1" applyBorder="1" applyAlignment="1">
      <alignment vertical="center"/>
    </xf>
    <xf numFmtId="0" fontId="25" fillId="2" borderId="6" xfId="0" applyFont="1" applyFill="1" applyBorder="1" applyAlignment="1">
      <alignment horizontal="center" vertical="center"/>
    </xf>
    <xf numFmtId="49" fontId="64" fillId="27" borderId="79" xfId="0" applyNumberFormat="1" applyFont="1" applyFill="1" applyBorder="1" applyAlignment="1">
      <alignment horizontal="center" vertical="center"/>
    </xf>
    <xf numFmtId="49" fontId="40" fillId="2" borderId="6" xfId="0" applyNumberFormat="1" applyFont="1" applyFill="1" applyBorder="1"/>
    <xf numFmtId="0" fontId="27" fillId="13" borderId="39" xfId="0" applyFont="1" applyFill="1" applyBorder="1" applyAlignment="1">
      <alignment horizontal="left" vertical="center"/>
    </xf>
    <xf numFmtId="0" fontId="50" fillId="13" borderId="40" xfId="0" applyFont="1" applyFill="1" applyBorder="1" applyAlignment="1">
      <alignment horizontal="center"/>
    </xf>
    <xf numFmtId="0" fontId="50" fillId="13" borderId="40" xfId="0" applyFont="1" applyFill="1" applyBorder="1" applyAlignment="1">
      <alignment horizontal="left"/>
    </xf>
    <xf numFmtId="49" fontId="27" fillId="13" borderId="65" xfId="0" applyNumberFormat="1" applyFont="1" applyFill="1" applyBorder="1" applyAlignment="1">
      <alignment horizontal="right"/>
    </xf>
    <xf numFmtId="0" fontId="50" fillId="13" borderId="65" xfId="0" applyFont="1" applyFill="1" applyBorder="1" applyAlignment="1">
      <alignment horizontal="left"/>
    </xf>
    <xf numFmtId="0" fontId="50" fillId="13" borderId="65" xfId="0" applyFont="1" applyFill="1" applyBorder="1" applyAlignment="1">
      <alignment horizontal="center"/>
    </xf>
    <xf numFmtId="0" fontId="50" fillId="13" borderId="75" xfId="0" applyFont="1" applyFill="1" applyBorder="1" applyAlignment="1">
      <alignment horizontal="left"/>
    </xf>
    <xf numFmtId="0" fontId="48" fillId="2" borderId="42" xfId="0" applyFont="1" applyFill="1" applyBorder="1" applyAlignment="1">
      <alignment horizontal="left" vertical="center"/>
    </xf>
    <xf numFmtId="0" fontId="26" fillId="2" borderId="6" xfId="0" applyFont="1" applyFill="1" applyBorder="1" applyAlignment="1">
      <alignment horizontal="center" vertical="center"/>
    </xf>
    <xf numFmtId="49" fontId="39" fillId="13" borderId="42" xfId="0" applyNumberFormat="1" applyFont="1" applyFill="1" applyBorder="1" applyAlignment="1">
      <alignment horizontal="left" vertical="center"/>
    </xf>
    <xf numFmtId="0" fontId="67" fillId="13" borderId="6" xfId="0" applyFont="1" applyFill="1" applyBorder="1" applyAlignment="1">
      <alignment horizontal="left" vertical="center"/>
    </xf>
    <xf numFmtId="0" fontId="50" fillId="13" borderId="6" xfId="0" applyFont="1" applyFill="1" applyBorder="1" applyAlignment="1">
      <alignment horizontal="left" vertical="center"/>
    </xf>
    <xf numFmtId="0" fontId="50" fillId="13" borderId="47" xfId="0" applyFont="1" applyFill="1" applyBorder="1" applyAlignment="1">
      <alignment horizontal="left" vertical="center"/>
    </xf>
    <xf numFmtId="0" fontId="34" fillId="14" borderId="39" xfId="0" applyFont="1" applyFill="1" applyBorder="1" applyAlignment="1">
      <alignment vertical="center"/>
    </xf>
    <xf numFmtId="0" fontId="0" fillId="14" borderId="41" xfId="0" applyFill="1" applyBorder="1" applyAlignment="1">
      <alignment vertical="center"/>
    </xf>
    <xf numFmtId="0" fontId="34" fillId="14" borderId="42" xfId="0" applyFont="1" applyFill="1" applyBorder="1" applyAlignment="1">
      <alignment vertical="center"/>
    </xf>
    <xf numFmtId="0" fontId="0" fillId="14" borderId="6" xfId="0" applyFill="1" applyBorder="1" applyAlignment="1">
      <alignment vertical="center"/>
    </xf>
    <xf numFmtId="0" fontId="0" fillId="14" borderId="47" xfId="0" applyFill="1" applyBorder="1" applyAlignment="1">
      <alignment vertical="center"/>
    </xf>
    <xf numFmtId="14" fontId="40" fillId="2" borderId="6" xfId="0" applyNumberFormat="1" applyFont="1" applyFill="1" applyBorder="1"/>
    <xf numFmtId="14" fontId="23" fillId="2" borderId="6" xfId="0" applyNumberFormat="1" applyFont="1" applyFill="1" applyBorder="1" applyAlignment="1">
      <alignment horizontal="center" vertical="center"/>
    </xf>
    <xf numFmtId="0" fontId="23" fillId="2" borderId="6" xfId="0" applyFont="1" applyFill="1" applyBorder="1" applyAlignment="1">
      <alignment horizontal="right"/>
    </xf>
    <xf numFmtId="49" fontId="39" fillId="13" borderId="43" xfId="0" applyNumberFormat="1" applyFont="1" applyFill="1" applyBorder="1" applyAlignment="1">
      <alignment horizontal="left" vertical="center"/>
    </xf>
    <xf numFmtId="0" fontId="67" fillId="13" borderId="37" xfId="0" applyFont="1" applyFill="1" applyBorder="1" applyAlignment="1">
      <alignment horizontal="left" vertical="center"/>
    </xf>
    <xf numFmtId="0" fontId="50" fillId="13" borderId="37" xfId="0" applyFont="1" applyFill="1" applyBorder="1" applyAlignment="1">
      <alignment horizontal="left" vertical="center"/>
    </xf>
    <xf numFmtId="0" fontId="50" fillId="13" borderId="62" xfId="0" applyFont="1" applyFill="1" applyBorder="1" applyAlignment="1">
      <alignment horizontal="left" vertical="center"/>
    </xf>
    <xf numFmtId="0" fontId="34" fillId="14" borderId="43" xfId="0" applyFont="1" applyFill="1" applyBorder="1" applyAlignment="1">
      <alignment vertical="center"/>
    </xf>
    <xf numFmtId="0" fontId="0" fillId="14" borderId="37" xfId="0" applyFill="1" applyBorder="1" applyAlignment="1">
      <alignment vertical="center"/>
    </xf>
    <xf numFmtId="0" fontId="0" fillId="14" borderId="62" xfId="0" applyFill="1" applyBorder="1" applyAlignment="1">
      <alignment vertical="center"/>
    </xf>
    <xf numFmtId="49" fontId="39" fillId="13" borderId="39" xfId="0" applyNumberFormat="1" applyFont="1" applyFill="1" applyBorder="1" applyAlignment="1">
      <alignment horizontal="left" vertical="center"/>
    </xf>
    <xf numFmtId="0" fontId="50" fillId="13" borderId="40" xfId="0" applyFont="1" applyFill="1" applyBorder="1" applyAlignment="1">
      <alignment horizontal="left" vertical="center"/>
    </xf>
    <xf numFmtId="0" fontId="50" fillId="13" borderId="41" xfId="0" applyFont="1" applyFill="1" applyBorder="1" applyAlignment="1">
      <alignment horizontal="left" vertical="center"/>
    </xf>
    <xf numFmtId="49" fontId="34" fillId="14" borderId="39" xfId="0" applyNumberFormat="1" applyFont="1" applyFill="1" applyBorder="1" applyAlignment="1">
      <alignment vertical="center"/>
    </xf>
    <xf numFmtId="49" fontId="34" fillId="14" borderId="42" xfId="0" applyNumberFormat="1" applyFont="1" applyFill="1" applyBorder="1" applyAlignment="1">
      <alignment vertical="center"/>
    </xf>
    <xf numFmtId="49" fontId="34" fillId="14" borderId="43" xfId="0" applyNumberFormat="1" applyFont="1" applyFill="1" applyBorder="1" applyAlignment="1">
      <alignment vertical="center"/>
    </xf>
    <xf numFmtId="0" fontId="26" fillId="2" borderId="6" xfId="0" applyFont="1" applyFill="1" applyBorder="1" applyAlignment="1">
      <alignment horizontal="left" vertical="center"/>
    </xf>
    <xf numFmtId="14" fontId="23" fillId="2" borderId="40" xfId="0" applyNumberFormat="1" applyFont="1" applyFill="1" applyBorder="1" applyAlignment="1">
      <alignment horizontal="center" vertical="center"/>
    </xf>
    <xf numFmtId="0" fontId="23" fillId="2" borderId="40" xfId="0" applyFont="1" applyFill="1" applyBorder="1" applyAlignment="1">
      <alignment horizontal="right"/>
    </xf>
    <xf numFmtId="0" fontId="23" fillId="2" borderId="40" xfId="0" applyFont="1" applyFill="1" applyBorder="1" applyAlignment="1">
      <alignment wrapText="1"/>
    </xf>
    <xf numFmtId="0" fontId="23" fillId="2" borderId="40" xfId="0" applyFont="1" applyFill="1" applyBorder="1"/>
    <xf numFmtId="0" fontId="23" fillId="2" borderId="6" xfId="0" applyFont="1" applyFill="1" applyBorder="1" applyAlignment="1">
      <alignment wrapText="1"/>
    </xf>
    <xf numFmtId="0" fontId="40" fillId="2" borderId="6" xfId="0" applyFont="1" applyFill="1" applyBorder="1" applyAlignment="1">
      <alignment horizontal="left" vertical="center"/>
    </xf>
    <xf numFmtId="0" fontId="55" fillId="2" borderId="6" xfId="0" applyFont="1" applyFill="1" applyBorder="1"/>
    <xf numFmtId="14" fontId="46" fillId="2" borderId="8" xfId="0" applyNumberFormat="1" applyFont="1" applyFill="1" applyBorder="1"/>
    <xf numFmtId="14" fontId="23" fillId="2" borderId="8" xfId="0" applyNumberFormat="1" applyFont="1" applyFill="1" applyBorder="1"/>
    <xf numFmtId="14" fontId="23" fillId="2" borderId="5" xfId="0" applyNumberFormat="1" applyFont="1" applyFill="1" applyBorder="1"/>
    <xf numFmtId="0" fontId="0" fillId="0" borderId="5" xfId="0" applyBorder="1"/>
    <xf numFmtId="0" fontId="40" fillId="3" borderId="6" xfId="0" applyFont="1" applyFill="1" applyBorder="1"/>
    <xf numFmtId="0" fontId="0" fillId="0" borderId="33" xfId="0" applyBorder="1"/>
    <xf numFmtId="0" fontId="0" fillId="0" borderId="34" xfId="0" applyBorder="1"/>
    <xf numFmtId="0" fontId="0" fillId="3" borderId="34" xfId="0" applyFill="1" applyBorder="1"/>
    <xf numFmtId="0" fontId="0" fillId="0" borderId="35" xfId="0" applyBorder="1"/>
    <xf numFmtId="0" fontId="68" fillId="2" borderId="93" xfId="0" applyFont="1" applyFill="1" applyBorder="1"/>
    <xf numFmtId="0" fontId="68" fillId="2" borderId="94" xfId="0" applyFont="1" applyFill="1" applyBorder="1"/>
    <xf numFmtId="49" fontId="69" fillId="2" borderId="94" xfId="0" applyNumberFormat="1" applyFont="1" applyFill="1" applyBorder="1" applyAlignment="1">
      <alignment horizontal="center"/>
    </xf>
    <xf numFmtId="0" fontId="70" fillId="2" borderId="94" xfId="0" applyFont="1" applyFill="1" applyBorder="1"/>
    <xf numFmtId="0" fontId="0" fillId="3" borderId="2" xfId="0" applyFill="1" applyBorder="1"/>
    <xf numFmtId="0" fontId="0" fillId="3" borderId="3" xfId="0" applyFill="1" applyBorder="1"/>
    <xf numFmtId="0" fontId="68" fillId="2" borderId="95" xfId="0" applyFont="1" applyFill="1" applyBorder="1"/>
    <xf numFmtId="0" fontId="68" fillId="2" borderId="10" xfId="0" applyFont="1" applyFill="1" applyBorder="1"/>
    <xf numFmtId="0" fontId="68" fillId="2" borderId="6" xfId="0" applyFont="1" applyFill="1" applyBorder="1"/>
    <xf numFmtId="0" fontId="70" fillId="2" borderId="6" xfId="0" applyFont="1" applyFill="1" applyBorder="1"/>
    <xf numFmtId="0" fontId="0" fillId="3" borderId="7" xfId="0" applyFill="1" applyBorder="1"/>
    <xf numFmtId="0" fontId="68" fillId="2" borderId="96" xfId="0" applyFont="1" applyFill="1" applyBorder="1"/>
    <xf numFmtId="49" fontId="72" fillId="5" borderId="18" xfId="0" applyNumberFormat="1" applyFont="1" applyFill="1" applyBorder="1" applyAlignment="1">
      <alignment horizontal="center" vertical="center" wrapText="1"/>
    </xf>
    <xf numFmtId="0" fontId="68" fillId="2" borderId="23" xfId="0" applyFont="1" applyFill="1" applyBorder="1"/>
    <xf numFmtId="0" fontId="0" fillId="3" borderId="98" xfId="0" applyFill="1" applyBorder="1"/>
    <xf numFmtId="0" fontId="0" fillId="3" borderId="27" xfId="0" applyFill="1" applyBorder="1"/>
    <xf numFmtId="0" fontId="0" fillId="3" borderId="29" xfId="0" applyFill="1" applyBorder="1"/>
    <xf numFmtId="0" fontId="68" fillId="2" borderId="24" xfId="0" applyFont="1" applyFill="1" applyBorder="1"/>
    <xf numFmtId="49" fontId="73" fillId="2" borderId="99" xfId="0" applyNumberFormat="1" applyFont="1" applyFill="1" applyBorder="1" applyAlignment="1">
      <alignment horizontal="center" vertical="center"/>
    </xf>
    <xf numFmtId="0" fontId="0" fillId="3" borderId="101" xfId="0" applyFill="1" applyBorder="1"/>
    <xf numFmtId="0" fontId="0" fillId="29" borderId="102" xfId="0" applyFill="1" applyBorder="1"/>
    <xf numFmtId="0" fontId="34" fillId="3" borderId="5" xfId="0" applyFont="1" applyFill="1" applyBorder="1"/>
    <xf numFmtId="49" fontId="71" fillId="0" borderId="44" xfId="0" applyNumberFormat="1" applyFont="1" applyBorder="1"/>
    <xf numFmtId="0" fontId="34" fillId="0" borderId="48" xfId="0" applyFont="1" applyBorder="1"/>
    <xf numFmtId="0" fontId="0" fillId="3" borderId="45" xfId="0" applyFill="1" applyBorder="1"/>
    <xf numFmtId="0" fontId="0" fillId="31" borderId="100" xfId="0" applyFill="1" applyBorder="1"/>
    <xf numFmtId="0" fontId="0" fillId="31" borderId="103" xfId="0" applyFill="1" applyBorder="1"/>
    <xf numFmtId="0" fontId="0" fillId="30" borderId="102" xfId="0" applyFill="1" applyBorder="1"/>
    <xf numFmtId="49" fontId="41" fillId="13" borderId="5" xfId="0" applyNumberFormat="1" applyFont="1" applyFill="1" applyBorder="1" applyAlignment="1">
      <alignment horizontal="center" vertical="center"/>
    </xf>
    <xf numFmtId="0" fontId="34" fillId="13" borderId="6" xfId="0" applyFont="1" applyFill="1" applyBorder="1"/>
    <xf numFmtId="0" fontId="34" fillId="0" borderId="104" xfId="0" applyFont="1" applyBorder="1"/>
    <xf numFmtId="0" fontId="0" fillId="3" borderId="32" xfId="0" applyFill="1" applyBorder="1"/>
    <xf numFmtId="0" fontId="34" fillId="31" borderId="101" xfId="0" applyFont="1" applyFill="1" applyBorder="1" applyAlignment="1">
      <alignment horizontal="left" vertical="center" wrapText="1"/>
    </xf>
    <xf numFmtId="0" fontId="0" fillId="3" borderId="106" xfId="0" applyFill="1" applyBorder="1"/>
    <xf numFmtId="0" fontId="34" fillId="31" borderId="29" xfId="0" applyFont="1" applyFill="1" applyBorder="1" applyAlignment="1">
      <alignment horizontal="left" vertical="center" wrapText="1"/>
    </xf>
    <xf numFmtId="0" fontId="0" fillId="3" borderId="77" xfId="0" applyFill="1" applyBorder="1"/>
    <xf numFmtId="49" fontId="41" fillId="14" borderId="5" xfId="0" applyNumberFormat="1" applyFont="1" applyFill="1" applyBorder="1" applyAlignment="1">
      <alignment horizontal="center" vertical="center"/>
    </xf>
    <xf numFmtId="0" fontId="34" fillId="14" borderId="6" xfId="0" applyFont="1" applyFill="1" applyBorder="1"/>
    <xf numFmtId="0" fontId="34" fillId="0" borderId="108" xfId="0" applyFont="1" applyBorder="1"/>
    <xf numFmtId="0" fontId="34" fillId="31" borderId="97" xfId="0" applyFont="1" applyFill="1" applyBorder="1" applyAlignment="1">
      <alignment horizontal="left" vertical="center" wrapText="1"/>
    </xf>
    <xf numFmtId="0" fontId="34" fillId="0" borderId="6" xfId="0" applyFont="1" applyBorder="1"/>
    <xf numFmtId="0" fontId="34" fillId="0" borderId="109" xfId="0" applyFont="1" applyBorder="1"/>
    <xf numFmtId="49" fontId="75" fillId="0" borderId="6" xfId="0" applyNumberFormat="1" applyFont="1" applyBorder="1"/>
    <xf numFmtId="0" fontId="34" fillId="0" borderId="99" xfId="0" applyFont="1" applyBorder="1"/>
    <xf numFmtId="49" fontId="34" fillId="6" borderId="6" xfId="0" applyNumberFormat="1" applyFont="1" applyFill="1" applyBorder="1"/>
    <xf numFmtId="0" fontId="0" fillId="3" borderId="5" xfId="0" applyFill="1" applyBorder="1"/>
    <xf numFmtId="49" fontId="34" fillId="14" borderId="6" xfId="0" applyNumberFormat="1" applyFont="1" applyFill="1" applyBorder="1"/>
    <xf numFmtId="49" fontId="75" fillId="0" borderId="99" xfId="0" applyNumberFormat="1" applyFont="1" applyBorder="1"/>
    <xf numFmtId="49" fontId="34" fillId="0" borderId="108" xfId="0" applyNumberFormat="1" applyFont="1" applyBorder="1"/>
    <xf numFmtId="0" fontId="0" fillId="3" borderId="97" xfId="0" applyFill="1" applyBorder="1"/>
    <xf numFmtId="0" fontId="0" fillId="30" borderId="80" xfId="0" applyFill="1" applyBorder="1"/>
    <xf numFmtId="0" fontId="31" fillId="3" borderId="111" xfId="0" applyFont="1" applyFill="1" applyBorder="1" applyAlignment="1">
      <alignment vertical="center" wrapText="1"/>
    </xf>
    <xf numFmtId="0" fontId="31" fillId="30" borderId="102" xfId="0" applyFont="1" applyFill="1" applyBorder="1" applyAlignment="1">
      <alignment vertical="center" wrapText="1"/>
    </xf>
    <xf numFmtId="0" fontId="34" fillId="31" borderId="32" xfId="0" applyFont="1" applyFill="1" applyBorder="1" applyAlignment="1">
      <alignment horizontal="left" vertical="center" wrapText="1"/>
    </xf>
    <xf numFmtId="0" fontId="31" fillId="30" borderId="29" xfId="0" applyFont="1" applyFill="1" applyBorder="1" applyAlignment="1">
      <alignment vertical="center" wrapText="1"/>
    </xf>
    <xf numFmtId="0" fontId="34" fillId="31" borderId="6" xfId="0" applyFont="1" applyFill="1" applyBorder="1" applyAlignment="1">
      <alignment horizontal="left" vertical="center" wrapText="1"/>
    </xf>
    <xf numFmtId="0" fontId="0" fillId="3" borderId="112" xfId="0" applyFill="1" applyBorder="1"/>
    <xf numFmtId="0" fontId="34" fillId="31" borderId="113" xfId="0" applyFont="1" applyFill="1" applyBorder="1" applyAlignment="1">
      <alignment horizontal="left" vertical="center" wrapText="1"/>
    </xf>
    <xf numFmtId="0" fontId="0" fillId="3" borderId="114" xfId="0" applyFill="1" applyBorder="1"/>
    <xf numFmtId="0" fontId="34" fillId="3" borderId="115" xfId="0" applyFont="1" applyFill="1" applyBorder="1" applyAlignment="1">
      <alignment horizontal="left" vertical="center" wrapText="1"/>
    </xf>
    <xf numFmtId="0" fontId="34" fillId="3" borderId="6" xfId="0" applyFont="1" applyFill="1" applyBorder="1" applyAlignment="1">
      <alignment horizontal="left" vertical="center" wrapText="1"/>
    </xf>
    <xf numFmtId="49" fontId="78" fillId="6" borderId="5" xfId="0" applyNumberFormat="1" applyFont="1" applyFill="1" applyBorder="1" applyAlignment="1">
      <alignment horizontal="center" vertical="center"/>
    </xf>
    <xf numFmtId="0" fontId="0" fillId="3" borderId="6" xfId="0" applyFill="1" applyBorder="1" applyAlignment="1">
      <alignment vertical="center" wrapText="1"/>
    </xf>
    <xf numFmtId="0" fontId="0" fillId="3" borderId="113" xfId="0" applyFill="1" applyBorder="1"/>
    <xf numFmtId="0" fontId="0" fillId="3" borderId="116" xfId="0" applyFill="1" applyBorder="1"/>
    <xf numFmtId="0" fontId="34" fillId="31" borderId="117" xfId="0" applyFont="1" applyFill="1" applyBorder="1" applyAlignment="1">
      <alignment horizontal="left" vertical="center" wrapText="1"/>
    </xf>
    <xf numFmtId="0" fontId="0" fillId="3" borderId="115" xfId="0" applyFill="1" applyBorder="1"/>
    <xf numFmtId="0" fontId="0" fillId="34" borderId="6" xfId="0" applyFill="1" applyBorder="1" applyAlignment="1">
      <alignment vertical="top" wrapText="1"/>
    </xf>
    <xf numFmtId="0" fontId="79" fillId="6" borderId="5" xfId="0" applyFont="1" applyFill="1" applyBorder="1" applyAlignment="1">
      <alignment horizontal="left" vertical="center"/>
    </xf>
    <xf numFmtId="0" fontId="80" fillId="6" borderId="5" xfId="0" applyFont="1" applyFill="1" applyBorder="1" applyAlignment="1">
      <alignment horizontal="left" vertical="center"/>
    </xf>
    <xf numFmtId="0" fontId="31" fillId="30" borderId="97" xfId="0" applyFont="1" applyFill="1" applyBorder="1" applyAlignment="1">
      <alignment vertical="center" wrapText="1"/>
    </xf>
    <xf numFmtId="0" fontId="79" fillId="13" borderId="5" xfId="0" applyFont="1" applyFill="1" applyBorder="1" applyAlignment="1">
      <alignment horizontal="left" vertical="center"/>
    </xf>
    <xf numFmtId="0" fontId="79" fillId="35" borderId="6" xfId="0" applyFont="1" applyFill="1" applyBorder="1" applyAlignment="1">
      <alignment horizontal="left" vertical="center"/>
    </xf>
    <xf numFmtId="0" fontId="0" fillId="35" borderId="6" xfId="0" applyFill="1" applyBorder="1" applyAlignment="1">
      <alignment vertical="center" wrapText="1"/>
    </xf>
    <xf numFmtId="0" fontId="0" fillId="35" borderId="29" xfId="0" applyFill="1" applyBorder="1" applyAlignment="1">
      <alignment vertical="center" wrapText="1"/>
    </xf>
    <xf numFmtId="0" fontId="0" fillId="35" borderId="111" xfId="0" applyFill="1" applyBorder="1" applyAlignment="1">
      <alignment vertical="center" wrapText="1"/>
    </xf>
    <xf numFmtId="0" fontId="80" fillId="13" borderId="5" xfId="0" applyFont="1" applyFill="1" applyBorder="1" applyAlignment="1">
      <alignment horizontal="left" vertical="center"/>
    </xf>
    <xf numFmtId="0" fontId="0" fillId="35" borderId="102" xfId="0" applyFill="1" applyBorder="1" applyAlignment="1">
      <alignment vertical="center" wrapText="1"/>
    </xf>
    <xf numFmtId="0" fontId="80" fillId="6" borderId="33" xfId="0" applyFont="1" applyFill="1" applyBorder="1" applyAlignment="1">
      <alignment horizontal="left" vertical="center"/>
    </xf>
    <xf numFmtId="0" fontId="79" fillId="35" borderId="34" xfId="0" applyFont="1" applyFill="1" applyBorder="1" applyAlignment="1">
      <alignment horizontal="left" vertical="center"/>
    </xf>
    <xf numFmtId="0" fontId="0" fillId="35" borderId="34" xfId="0" applyFill="1" applyBorder="1" applyAlignment="1">
      <alignment vertical="center" wrapText="1"/>
    </xf>
    <xf numFmtId="0" fontId="0" fillId="35" borderId="118" xfId="0" applyFill="1" applyBorder="1" applyAlignment="1">
      <alignment vertical="center" wrapText="1"/>
    </xf>
    <xf numFmtId="0" fontId="0" fillId="35" borderId="119" xfId="0" applyFill="1" applyBorder="1" applyAlignment="1">
      <alignment vertical="center" wrapText="1"/>
    </xf>
    <xf numFmtId="0" fontId="0" fillId="29" borderId="119" xfId="0" applyFill="1" applyBorder="1"/>
    <xf numFmtId="0" fontId="40" fillId="2" borderId="2" xfId="0" applyFont="1" applyFill="1" applyBorder="1"/>
    <xf numFmtId="0" fontId="25" fillId="2" borderId="37" xfId="0" applyFont="1" applyFill="1" applyBorder="1"/>
    <xf numFmtId="0" fontId="47" fillId="2" borderId="37" xfId="0" applyFont="1" applyFill="1" applyBorder="1"/>
    <xf numFmtId="16" fontId="25" fillId="2" borderId="37" xfId="0" applyNumberFormat="1" applyFont="1" applyFill="1" applyBorder="1"/>
    <xf numFmtId="0" fontId="47" fillId="2" borderId="6" xfId="0" applyFont="1" applyFill="1" applyBorder="1"/>
    <xf numFmtId="0" fontId="0" fillId="2" borderId="120" xfId="0" applyFill="1" applyBorder="1"/>
    <xf numFmtId="0" fontId="0" fillId="2" borderId="6" xfId="0" applyFill="1" applyBorder="1" applyAlignment="1">
      <alignment horizontal="center" vertical="center"/>
    </xf>
    <xf numFmtId="0" fontId="40" fillId="2" borderId="6" xfId="0" applyFont="1" applyFill="1" applyBorder="1" applyAlignment="1">
      <alignment horizontal="center" vertical="center"/>
    </xf>
    <xf numFmtId="0" fontId="0" fillId="3" borderId="121" xfId="0" applyFill="1" applyBorder="1"/>
    <xf numFmtId="0" fontId="0" fillId="3" borderId="122" xfId="0" applyFill="1" applyBorder="1"/>
    <xf numFmtId="0" fontId="0" fillId="2" borderId="38" xfId="0" applyNumberFormat="1" applyFill="1" applyBorder="1"/>
    <xf numFmtId="49" fontId="47" fillId="36" borderId="123" xfId="0" applyNumberFormat="1" applyFont="1" applyFill="1" applyBorder="1" applyAlignment="1">
      <alignment horizontal="center" vertical="center"/>
    </xf>
    <xf numFmtId="0" fontId="34" fillId="14" borderId="124" xfId="0" applyFont="1" applyFill="1" applyBorder="1" applyAlignment="1">
      <alignment horizontal="left"/>
    </xf>
    <xf numFmtId="0" fontId="34" fillId="14" borderId="124" xfId="0" applyNumberFormat="1" applyFont="1" applyFill="1" applyBorder="1" applyAlignment="1">
      <alignment horizontal="center"/>
    </xf>
    <xf numFmtId="0" fontId="34" fillId="14" borderId="124" xfId="0" applyFont="1" applyFill="1" applyBorder="1"/>
    <xf numFmtId="0" fontId="41" fillId="6" borderId="125" xfId="0" applyFont="1" applyFill="1" applyBorder="1" applyAlignment="1">
      <alignment horizontal="left" vertical="center"/>
    </xf>
    <xf numFmtId="0" fontId="41" fillId="6" borderId="126" xfId="0" applyFont="1" applyFill="1" applyBorder="1" applyAlignment="1">
      <alignment horizontal="left" vertical="center"/>
    </xf>
    <xf numFmtId="49" fontId="41" fillId="6" borderId="126" xfId="0" applyNumberFormat="1" applyFont="1" applyFill="1" applyBorder="1" applyAlignment="1">
      <alignment horizontal="center" vertical="center"/>
    </xf>
    <xf numFmtId="0" fontId="41" fillId="6" borderId="126" xfId="0" applyFont="1" applyFill="1" applyBorder="1" applyAlignment="1">
      <alignment horizontal="center" vertical="center"/>
    </xf>
    <xf numFmtId="0" fontId="41" fillId="6" borderId="127" xfId="0" applyFont="1" applyFill="1" applyBorder="1" applyAlignment="1">
      <alignment horizontal="center" vertical="center"/>
    </xf>
    <xf numFmtId="0" fontId="40" fillId="2" borderId="83" xfId="0" applyFont="1" applyFill="1" applyBorder="1"/>
    <xf numFmtId="0" fontId="0" fillId="2" borderId="83" xfId="0" applyNumberFormat="1" applyFill="1" applyBorder="1"/>
    <xf numFmtId="49" fontId="47" fillId="21" borderId="123" xfId="0" applyNumberFormat="1" applyFont="1" applyFill="1" applyBorder="1" applyAlignment="1">
      <alignment horizontal="center" vertical="center"/>
    </xf>
    <xf numFmtId="0" fontId="0" fillId="2" borderId="83" xfId="0" applyFill="1" applyBorder="1"/>
    <xf numFmtId="0" fontId="40" fillId="2" borderId="42" xfId="0" applyNumberFormat="1" applyFont="1" applyFill="1" applyBorder="1"/>
    <xf numFmtId="49" fontId="34" fillId="2" borderId="128" xfId="0" applyNumberFormat="1" applyFont="1" applyFill="1" applyBorder="1" applyAlignment="1">
      <alignment horizontal="center"/>
    </xf>
    <xf numFmtId="0" fontId="41" fillId="37" borderId="129" xfId="0" applyFont="1" applyFill="1" applyBorder="1" applyAlignment="1">
      <alignment horizontal="center" vertical="center"/>
    </xf>
    <xf numFmtId="0" fontId="34" fillId="37" borderId="129" xfId="0" applyFont="1" applyFill="1" applyBorder="1" applyAlignment="1">
      <alignment horizontal="center" vertical="center"/>
    </xf>
    <xf numFmtId="0" fontId="34" fillId="37" borderId="130" xfId="0" applyFont="1" applyFill="1" applyBorder="1" applyAlignment="1">
      <alignment horizontal="center" vertical="top"/>
    </xf>
    <xf numFmtId="0" fontId="34" fillId="38" borderId="120" xfId="0" applyFont="1" applyFill="1" applyBorder="1"/>
    <xf numFmtId="0" fontId="34" fillId="38" borderId="6" xfId="0" applyFont="1" applyFill="1" applyBorder="1"/>
    <xf numFmtId="0" fontId="0" fillId="39" borderId="6" xfId="0" applyFill="1" applyBorder="1" applyAlignment="1">
      <alignment horizontal="center" vertical="center"/>
    </xf>
    <xf numFmtId="0" fontId="34" fillId="40" borderId="6" xfId="0" applyFont="1" applyFill="1" applyBorder="1" applyAlignment="1">
      <alignment horizontal="center" vertical="center"/>
    </xf>
    <xf numFmtId="0" fontId="0" fillId="41" borderId="6" xfId="0" applyFill="1" applyBorder="1" applyAlignment="1">
      <alignment horizontal="center" vertical="center"/>
    </xf>
    <xf numFmtId="0" fontId="34" fillId="6" borderId="6" xfId="0" applyFont="1" applyFill="1" applyBorder="1" applyAlignment="1">
      <alignment horizontal="center" vertical="center"/>
    </xf>
    <xf numFmtId="0" fontId="0" fillId="3" borderId="87" xfId="0" applyFill="1" applyBorder="1"/>
    <xf numFmtId="0" fontId="0" fillId="3" borderId="131" xfId="0" applyFill="1" applyBorder="1" applyAlignment="1">
      <alignment horizontal="right"/>
    </xf>
    <xf numFmtId="49" fontId="25" fillId="42" borderId="132" xfId="0" applyNumberFormat="1" applyFont="1" applyFill="1" applyBorder="1" applyAlignment="1">
      <alignment horizontal="center"/>
    </xf>
    <xf numFmtId="49" fontId="25" fillId="37" borderId="132" xfId="0" applyNumberFormat="1" applyFont="1" applyFill="1" applyBorder="1" applyAlignment="1">
      <alignment horizontal="center"/>
    </xf>
    <xf numFmtId="49" fontId="25" fillId="38" borderId="132" xfId="0" applyNumberFormat="1" applyFont="1" applyFill="1" applyBorder="1" applyAlignment="1">
      <alignment horizontal="center"/>
    </xf>
    <xf numFmtId="49" fontId="25" fillId="39" borderId="132" xfId="0" applyNumberFormat="1" applyFont="1" applyFill="1" applyBorder="1" applyAlignment="1">
      <alignment horizontal="center"/>
    </xf>
    <xf numFmtId="49" fontId="25" fillId="40" borderId="132" xfId="0" applyNumberFormat="1" applyFont="1" applyFill="1" applyBorder="1" applyAlignment="1">
      <alignment horizontal="center"/>
    </xf>
    <xf numFmtId="49" fontId="25" fillId="43" borderId="132" xfId="0" applyNumberFormat="1" applyFont="1" applyFill="1" applyBorder="1" applyAlignment="1">
      <alignment horizontal="center"/>
    </xf>
    <xf numFmtId="49" fontId="25" fillId="44" borderId="132" xfId="0" applyNumberFormat="1" applyFont="1" applyFill="1" applyBorder="1" applyAlignment="1">
      <alignment horizontal="center"/>
    </xf>
    <xf numFmtId="49" fontId="25" fillId="45" borderId="133" xfId="0" applyNumberFormat="1" applyFont="1" applyFill="1" applyBorder="1" applyAlignment="1">
      <alignment horizontal="center"/>
    </xf>
    <xf numFmtId="0" fontId="47" fillId="36" borderId="134" xfId="0" applyFont="1" applyFill="1" applyBorder="1" applyAlignment="1">
      <alignment horizontal="center" vertical="center"/>
    </xf>
    <xf numFmtId="0" fontId="34" fillId="14" borderId="48" xfId="0" applyFont="1" applyFill="1" applyBorder="1" applyAlignment="1">
      <alignment horizontal="left"/>
    </xf>
    <xf numFmtId="0" fontId="34" fillId="14" borderId="48" xfId="0" applyFont="1" applyFill="1" applyBorder="1"/>
    <xf numFmtId="0" fontId="34" fillId="14" borderId="135" xfId="0" applyNumberFormat="1" applyFont="1" applyFill="1" applyBorder="1"/>
    <xf numFmtId="0" fontId="41" fillId="14" borderId="109" xfId="0" applyFont="1" applyFill="1" applyBorder="1" applyAlignment="1">
      <alignment horizontal="left"/>
    </xf>
    <xf numFmtId="0" fontId="41" fillId="14" borderId="109" xfId="0" applyNumberFormat="1" applyFont="1" applyFill="1" applyBorder="1" applyAlignment="1">
      <alignment horizontal="center" vertical="center"/>
    </xf>
    <xf numFmtId="0" fontId="34" fillId="14" borderId="109" xfId="0" applyNumberFormat="1" applyFont="1" applyFill="1" applyBorder="1" applyAlignment="1">
      <alignment horizontal="center" vertical="center"/>
    </xf>
    <xf numFmtId="0" fontId="34" fillId="14" borderId="136" xfId="0" applyFont="1" applyFill="1" applyBorder="1" applyAlignment="1">
      <alignment horizontal="center" vertical="center"/>
    </xf>
    <xf numFmtId="49" fontId="40" fillId="2" borderId="83" xfId="0" applyNumberFormat="1" applyFont="1" applyFill="1" applyBorder="1"/>
    <xf numFmtId="0" fontId="47" fillId="21" borderId="134" xfId="0" applyFont="1" applyFill="1" applyBorder="1" applyAlignment="1">
      <alignment horizontal="center" vertical="center"/>
    </xf>
    <xf numFmtId="49" fontId="0" fillId="2" borderId="83" xfId="0" applyNumberFormat="1" applyFill="1" applyBorder="1"/>
    <xf numFmtId="0" fontId="34" fillId="37" borderId="137" xfId="0" applyFont="1" applyFill="1" applyBorder="1" applyAlignment="1">
      <alignment horizontal="center" vertical="center"/>
    </xf>
    <xf numFmtId="0" fontId="40" fillId="2" borderId="138" xfId="0" applyNumberFormat="1" applyFont="1" applyFill="1" applyBorder="1" applyAlignment="1">
      <alignment horizontal="right" vertical="center"/>
    </xf>
    <xf numFmtId="0" fontId="41" fillId="38" borderId="129" xfId="0" applyFont="1" applyFill="1" applyBorder="1" applyAlignment="1">
      <alignment horizontal="center" vertical="center"/>
    </xf>
    <xf numFmtId="0" fontId="34" fillId="38" borderId="129" xfId="0" applyFont="1" applyFill="1" applyBorder="1" applyAlignment="1">
      <alignment horizontal="center" vertical="center"/>
    </xf>
    <xf numFmtId="0" fontId="34" fillId="38" borderId="130" xfId="0" applyFont="1" applyFill="1" applyBorder="1" applyAlignment="1">
      <alignment horizontal="center" vertical="center"/>
    </xf>
    <xf numFmtId="0" fontId="34" fillId="39" borderId="6" xfId="0" applyFont="1" applyFill="1" applyBorder="1" applyAlignment="1">
      <alignment horizontal="center" vertical="center"/>
    </xf>
    <xf numFmtId="0" fontId="34" fillId="41" borderId="6" xfId="0" applyFont="1" applyFill="1" applyBorder="1" applyAlignment="1">
      <alignment horizontal="center" vertical="center"/>
    </xf>
    <xf numFmtId="0" fontId="27" fillId="2" borderId="6" xfId="0" applyFont="1" applyFill="1" applyBorder="1"/>
    <xf numFmtId="49" fontId="0" fillId="3" borderId="139" xfId="0" applyNumberFormat="1" applyFill="1" applyBorder="1" applyAlignment="1">
      <alignment horizontal="right"/>
    </xf>
    <xf numFmtId="164" fontId="0" fillId="3" borderId="140" xfId="0" applyNumberFormat="1" applyFill="1" applyBorder="1"/>
    <xf numFmtId="164" fontId="40" fillId="3" borderId="140" xfId="0" applyNumberFormat="1" applyFont="1" applyFill="1" applyBorder="1"/>
    <xf numFmtId="164" fontId="23" fillId="3" borderId="140" xfId="0" applyNumberFormat="1" applyFont="1" applyFill="1" applyBorder="1"/>
    <xf numFmtId="164" fontId="0" fillId="3" borderId="141" xfId="0" applyNumberFormat="1" applyFill="1" applyBorder="1"/>
    <xf numFmtId="0" fontId="34" fillId="14" borderId="45" xfId="0" applyNumberFormat="1" applyFont="1" applyFill="1" applyBorder="1"/>
    <xf numFmtId="0" fontId="41" fillId="14" borderId="6" xfId="0" applyFont="1" applyFill="1" applyBorder="1" applyAlignment="1">
      <alignment horizontal="left"/>
    </xf>
    <xf numFmtId="0" fontId="34" fillId="14" borderId="47" xfId="0" applyFont="1" applyFill="1" applyBorder="1" applyAlignment="1">
      <alignment horizontal="center" vertical="center"/>
    </xf>
    <xf numFmtId="0" fontId="40" fillId="2" borderId="42" xfId="0" applyFont="1" applyFill="1" applyBorder="1"/>
    <xf numFmtId="0" fontId="34" fillId="37" borderId="142" xfId="0" applyFont="1" applyFill="1" applyBorder="1" applyAlignment="1">
      <alignment horizontal="center" vertical="center"/>
    </xf>
    <xf numFmtId="0" fontId="34" fillId="37" borderId="143" xfId="0" applyFont="1" applyFill="1" applyBorder="1" applyAlignment="1">
      <alignment horizontal="center" vertical="center"/>
    </xf>
    <xf numFmtId="0" fontId="40" fillId="2" borderId="144" xfId="0" applyNumberFormat="1" applyFont="1" applyFill="1" applyBorder="1"/>
    <xf numFmtId="0" fontId="34" fillId="38" borderId="137" xfId="0" applyFont="1" applyFill="1" applyBorder="1" applyAlignment="1">
      <alignment horizontal="center" vertical="center"/>
    </xf>
    <xf numFmtId="0" fontId="40" fillId="2" borderId="145" xfId="0" applyFont="1" applyFill="1" applyBorder="1"/>
    <xf numFmtId="0" fontId="34" fillId="37" borderId="146" xfId="0" applyFont="1" applyFill="1" applyBorder="1" applyAlignment="1">
      <alignment horizontal="center" vertical="top"/>
    </xf>
    <xf numFmtId="0" fontId="34" fillId="38" borderId="147" xfId="0" applyFont="1" applyFill="1" applyBorder="1" applyAlignment="1">
      <alignment horizontal="center" vertical="center"/>
    </xf>
    <xf numFmtId="0" fontId="34" fillId="38" borderId="143" xfId="0" applyFont="1" applyFill="1" applyBorder="1" applyAlignment="1">
      <alignment horizontal="center" vertical="center"/>
    </xf>
    <xf numFmtId="0" fontId="34" fillId="39" borderId="120" xfId="0" applyFont="1" applyFill="1" applyBorder="1" applyAlignment="1">
      <alignment horizontal="center" vertical="center"/>
    </xf>
    <xf numFmtId="0" fontId="41" fillId="14" borderId="99" xfId="0" applyFont="1" applyFill="1" applyBorder="1" applyAlignment="1">
      <alignment horizontal="left"/>
    </xf>
    <xf numFmtId="0" fontId="41" fillId="14" borderId="99" xfId="0" applyNumberFormat="1" applyFont="1" applyFill="1" applyBorder="1" applyAlignment="1">
      <alignment horizontal="center" vertical="center"/>
    </xf>
    <xf numFmtId="0" fontId="34" fillId="14" borderId="99" xfId="0" applyNumberFormat="1" applyFont="1" applyFill="1" applyBorder="1" applyAlignment="1">
      <alignment horizontal="center" vertical="center"/>
    </xf>
    <xf numFmtId="0" fontId="34" fillId="14" borderId="148" xfId="0" applyFont="1" applyFill="1" applyBorder="1" applyAlignment="1">
      <alignment horizontal="center" vertical="center"/>
    </xf>
    <xf numFmtId="0" fontId="34" fillId="37" borderId="149" xfId="0" applyFont="1" applyFill="1" applyBorder="1" applyAlignment="1">
      <alignment horizontal="center"/>
    </xf>
    <xf numFmtId="0" fontId="34" fillId="38" borderId="6" xfId="0" applyFont="1" applyFill="1" applyBorder="1" applyAlignment="1">
      <alignment horizontal="center" vertical="center"/>
    </xf>
    <xf numFmtId="0" fontId="41" fillId="39" borderId="129" xfId="0" applyFont="1" applyFill="1" applyBorder="1" applyAlignment="1">
      <alignment horizontal="center" vertical="center"/>
    </xf>
    <xf numFmtId="0" fontId="34" fillId="39" borderId="129" xfId="0" applyFont="1" applyFill="1" applyBorder="1" applyAlignment="1">
      <alignment horizontal="center" vertical="center"/>
    </xf>
    <xf numFmtId="0" fontId="34" fillId="39" borderId="130" xfId="0" applyFont="1" applyFill="1" applyBorder="1" applyAlignment="1">
      <alignment horizontal="center" vertical="center"/>
    </xf>
    <xf numFmtId="0" fontId="47" fillId="36" borderId="150" xfId="0" applyFont="1" applyFill="1" applyBorder="1" applyAlignment="1">
      <alignment horizontal="center" vertical="center"/>
    </xf>
    <xf numFmtId="0" fontId="34" fillId="14" borderId="61" xfId="0" applyFont="1" applyFill="1" applyBorder="1" applyAlignment="1">
      <alignment horizontal="left"/>
    </xf>
    <xf numFmtId="0" fontId="34" fillId="14" borderId="61" xfId="0" applyFont="1" applyFill="1" applyBorder="1"/>
    <xf numFmtId="0" fontId="34" fillId="6" borderId="60" xfId="0" applyFont="1" applyFill="1" applyBorder="1" applyAlignment="1">
      <alignment horizontal="left"/>
    </xf>
    <xf numFmtId="0" fontId="34" fillId="6" borderId="151" xfId="0" applyFont="1" applyFill="1" applyBorder="1" applyAlignment="1">
      <alignment horizontal="left"/>
    </xf>
    <xf numFmtId="0" fontId="34" fillId="6" borderId="151" xfId="0" applyFont="1" applyFill="1" applyBorder="1"/>
    <xf numFmtId="0" fontId="34" fillId="6" borderId="152" xfId="0" applyFont="1" applyFill="1" applyBorder="1"/>
    <xf numFmtId="0" fontId="47" fillId="21" borderId="150" xfId="0" applyFont="1" applyFill="1" applyBorder="1" applyAlignment="1">
      <alignment horizontal="center" vertical="center"/>
    </xf>
    <xf numFmtId="0" fontId="34" fillId="37" borderId="142" xfId="0" applyFont="1" applyFill="1" applyBorder="1"/>
    <xf numFmtId="0" fontId="34" fillId="37" borderId="6" xfId="0" applyFont="1" applyFill="1" applyBorder="1"/>
    <xf numFmtId="0" fontId="34" fillId="39" borderId="137" xfId="0" applyFont="1" applyFill="1" applyBorder="1" applyAlignment="1">
      <alignment horizontal="center" vertical="center"/>
    </xf>
    <xf numFmtId="0" fontId="40" fillId="2" borderId="145" xfId="0" applyFont="1" applyFill="1" applyBorder="1" applyAlignment="1">
      <alignment horizontal="center" vertical="center"/>
    </xf>
    <xf numFmtId="0" fontId="47" fillId="2" borderId="40" xfId="0" applyFont="1" applyFill="1" applyBorder="1"/>
    <xf numFmtId="0" fontId="0" fillId="2" borderId="40" xfId="0" applyFill="1" applyBorder="1" applyAlignment="1">
      <alignment horizontal="left"/>
    </xf>
    <xf numFmtId="0" fontId="0" fillId="2" borderId="40" xfId="0" applyFill="1" applyBorder="1" applyAlignment="1">
      <alignment horizontal="center"/>
    </xf>
    <xf numFmtId="0" fontId="0" fillId="2" borderId="40" xfId="0" applyFill="1" applyBorder="1"/>
    <xf numFmtId="0" fontId="40" fillId="2" borderId="6" xfId="0" applyNumberFormat="1" applyFont="1" applyFill="1" applyBorder="1"/>
    <xf numFmtId="0" fontId="34" fillId="37" borderId="130" xfId="0" applyFont="1" applyFill="1" applyBorder="1" applyAlignment="1">
      <alignment horizontal="center" vertical="center"/>
    </xf>
    <xf numFmtId="0" fontId="34" fillId="39" borderId="147" xfId="0" applyFont="1" applyFill="1" applyBorder="1" applyAlignment="1">
      <alignment horizontal="center" vertical="center"/>
    </xf>
    <xf numFmtId="0" fontId="34" fillId="39" borderId="143" xfId="0" applyFont="1" applyFill="1" applyBorder="1" applyAlignment="1">
      <alignment horizontal="center" vertical="center"/>
    </xf>
    <xf numFmtId="0" fontId="0" fillId="2" borderId="37" xfId="0" applyFill="1" applyBorder="1" applyAlignment="1">
      <alignment horizontal="left"/>
    </xf>
    <xf numFmtId="0" fontId="0" fillId="2" borderId="37" xfId="0" applyFill="1" applyBorder="1" applyAlignment="1">
      <alignment horizontal="center"/>
    </xf>
    <xf numFmtId="0" fontId="34" fillId="38" borderId="146" xfId="0" applyFont="1" applyFill="1" applyBorder="1" applyAlignment="1">
      <alignment horizontal="center" vertical="center"/>
    </xf>
    <xf numFmtId="0" fontId="0" fillId="2" borderId="6" xfId="0" applyFill="1" applyBorder="1" applyAlignment="1">
      <alignment horizontal="left"/>
    </xf>
    <xf numFmtId="0" fontId="0" fillId="2" borderId="6" xfId="0" applyFill="1" applyBorder="1" applyAlignment="1">
      <alignment horizontal="center"/>
    </xf>
    <xf numFmtId="49" fontId="47" fillId="16" borderId="123" xfId="0" applyNumberFormat="1" applyFont="1" applyFill="1" applyBorder="1" applyAlignment="1">
      <alignment horizontal="center" vertical="center"/>
    </xf>
    <xf numFmtId="49" fontId="47" fillId="22" borderId="123" xfId="0" applyNumberFormat="1" applyFont="1" applyFill="1" applyBorder="1" applyAlignment="1">
      <alignment horizontal="center" vertical="center"/>
    </xf>
    <xf numFmtId="0" fontId="34" fillId="38" borderId="149" xfId="0" applyFont="1" applyFill="1" applyBorder="1" applyAlignment="1">
      <alignment horizontal="center" vertical="center"/>
    </xf>
    <xf numFmtId="0" fontId="47" fillId="16" borderId="134" xfId="0" applyFont="1" applyFill="1" applyBorder="1" applyAlignment="1">
      <alignment horizontal="center" vertical="center"/>
    </xf>
    <xf numFmtId="0" fontId="47" fillId="22" borderId="134" xfId="0" applyFont="1" applyFill="1" applyBorder="1" applyAlignment="1">
      <alignment horizontal="center" vertical="center"/>
    </xf>
    <xf numFmtId="0" fontId="34" fillId="37" borderId="146" xfId="0" applyFont="1" applyFill="1" applyBorder="1" applyAlignment="1">
      <alignment horizontal="center" vertical="center"/>
    </xf>
    <xf numFmtId="0" fontId="34" fillId="38" borderId="147" xfId="0" applyFont="1" applyFill="1" applyBorder="1"/>
    <xf numFmtId="0" fontId="34" fillId="40" borderId="120" xfId="0" applyFont="1" applyFill="1" applyBorder="1" applyAlignment="1">
      <alignment horizontal="center" vertical="center"/>
    </xf>
    <xf numFmtId="0" fontId="34" fillId="37" borderId="149" xfId="0" applyFont="1" applyFill="1" applyBorder="1" applyAlignment="1">
      <alignment horizontal="center" vertical="center"/>
    </xf>
    <xf numFmtId="0" fontId="41" fillId="40" borderId="129" xfId="0" applyFont="1" applyFill="1" applyBorder="1" applyAlignment="1">
      <alignment horizontal="center" vertical="center"/>
    </xf>
    <xf numFmtId="0" fontId="34" fillId="40" borderId="129" xfId="0" applyFont="1" applyFill="1" applyBorder="1" applyAlignment="1">
      <alignment horizontal="center" vertical="center"/>
    </xf>
    <xf numFmtId="0" fontId="34" fillId="40" borderId="130" xfId="0" applyFont="1" applyFill="1" applyBorder="1" applyAlignment="1">
      <alignment horizontal="center" vertical="center"/>
    </xf>
    <xf numFmtId="0" fontId="34" fillId="40" borderId="137" xfId="0" applyFont="1" applyFill="1" applyBorder="1" applyAlignment="1">
      <alignment horizontal="center" vertical="center"/>
    </xf>
    <xf numFmtId="0" fontId="34" fillId="40" borderId="147" xfId="0" applyFont="1" applyFill="1" applyBorder="1" applyAlignment="1">
      <alignment horizontal="center" vertical="center"/>
    </xf>
    <xf numFmtId="0" fontId="34" fillId="40" borderId="143" xfId="0" applyFont="1" applyFill="1" applyBorder="1" applyAlignment="1">
      <alignment horizontal="center" vertical="center"/>
    </xf>
    <xf numFmtId="0" fontId="47" fillId="16" borderId="150" xfId="0" applyFont="1" applyFill="1" applyBorder="1" applyAlignment="1">
      <alignment horizontal="center" vertical="center"/>
    </xf>
    <xf numFmtId="0" fontId="47" fillId="22" borderId="150" xfId="0" applyFont="1" applyFill="1" applyBorder="1" applyAlignment="1">
      <alignment horizontal="center" vertical="center"/>
    </xf>
    <xf numFmtId="49" fontId="47" fillId="46" borderId="123" xfId="0" applyNumberFormat="1" applyFont="1" applyFill="1" applyBorder="1" applyAlignment="1">
      <alignment horizontal="center" vertical="center"/>
    </xf>
    <xf numFmtId="49" fontId="47" fillId="23" borderId="123" xfId="0" applyNumberFormat="1" applyFont="1" applyFill="1" applyBorder="1" applyAlignment="1">
      <alignment horizontal="center" vertical="center"/>
    </xf>
    <xf numFmtId="0" fontId="34" fillId="39" borderId="146" xfId="0" applyFont="1" applyFill="1" applyBorder="1" applyAlignment="1">
      <alignment horizontal="center" vertical="center"/>
    </xf>
    <xf numFmtId="0" fontId="0" fillId="2" borderId="153" xfId="0" applyFill="1" applyBorder="1"/>
    <xf numFmtId="0" fontId="47" fillId="46" borderId="134" xfId="0" applyFont="1" applyFill="1" applyBorder="1" applyAlignment="1">
      <alignment horizontal="center" vertical="center"/>
    </xf>
    <xf numFmtId="0" fontId="47" fillId="23" borderId="134" xfId="0" applyFont="1" applyFill="1" applyBorder="1" applyAlignment="1">
      <alignment horizontal="center" vertical="center"/>
    </xf>
    <xf numFmtId="0" fontId="34" fillId="39" borderId="149" xfId="0" applyFont="1" applyFill="1" applyBorder="1" applyAlignment="1">
      <alignment horizontal="center" vertical="center"/>
    </xf>
    <xf numFmtId="0" fontId="81" fillId="6" borderId="6" xfId="0" applyFont="1" applyFill="1" applyBorder="1" applyAlignment="1">
      <alignment horizontal="center" vertical="center"/>
    </xf>
    <xf numFmtId="0" fontId="34" fillId="6" borderId="6" xfId="0" applyFont="1" applyFill="1" applyBorder="1"/>
    <xf numFmtId="0" fontId="40" fillId="2" borderId="143" xfId="0" applyFont="1" applyFill="1" applyBorder="1"/>
    <xf numFmtId="0" fontId="0" fillId="14" borderId="154" xfId="0" applyFill="1" applyBorder="1" applyAlignment="1">
      <alignment horizontal="center"/>
    </xf>
    <xf numFmtId="0" fontId="0" fillId="14" borderId="155" xfId="0" applyFill="1" applyBorder="1" applyAlignment="1">
      <alignment horizontal="center"/>
    </xf>
    <xf numFmtId="0" fontId="0" fillId="14" borderId="156" xfId="0" applyFill="1" applyBorder="1" applyAlignment="1">
      <alignment horizontal="center"/>
    </xf>
    <xf numFmtId="0" fontId="0" fillId="2" borderId="145" xfId="0" applyFill="1" applyBorder="1"/>
    <xf numFmtId="0" fontId="0" fillId="14" borderId="145" xfId="0" applyFill="1" applyBorder="1" applyAlignment="1">
      <alignment horizontal="center"/>
    </xf>
    <xf numFmtId="0" fontId="34" fillId="14" borderId="6" xfId="0" applyFont="1" applyFill="1" applyBorder="1" applyAlignment="1">
      <alignment horizontal="center"/>
    </xf>
    <xf numFmtId="0" fontId="0" fillId="14" borderId="143" xfId="0" applyFill="1" applyBorder="1" applyAlignment="1">
      <alignment horizontal="center"/>
    </xf>
    <xf numFmtId="0" fontId="34" fillId="45" borderId="6" xfId="0" applyFont="1" applyFill="1" applyBorder="1" applyAlignment="1">
      <alignment horizontal="center"/>
    </xf>
    <xf numFmtId="0" fontId="47" fillId="46" borderId="150" xfId="0" applyFont="1" applyFill="1" applyBorder="1" applyAlignment="1">
      <alignment horizontal="center" vertical="center"/>
    </xf>
    <xf numFmtId="0" fontId="47" fillId="23" borderId="150" xfId="0" applyFont="1" applyFill="1" applyBorder="1" applyAlignment="1">
      <alignment horizontal="center" vertical="center"/>
    </xf>
    <xf numFmtId="0" fontId="34" fillId="6" borderId="120" xfId="0" applyFont="1" applyFill="1" applyBorder="1" applyAlignment="1">
      <alignment horizontal="center" vertical="center"/>
    </xf>
    <xf numFmtId="0" fontId="34" fillId="44" borderId="6" xfId="0" applyFont="1" applyFill="1" applyBorder="1" applyAlignment="1">
      <alignment horizontal="center"/>
    </xf>
    <xf numFmtId="0" fontId="40" fillId="2" borderId="157" xfId="0" applyFont="1" applyFill="1" applyBorder="1"/>
    <xf numFmtId="0" fontId="34" fillId="41" borderId="153" xfId="0" applyFont="1" applyFill="1" applyBorder="1" applyAlignment="1">
      <alignment horizontal="center" vertical="center"/>
    </xf>
    <xf numFmtId="0" fontId="40" fillId="2" borderId="158" xfId="0" applyNumberFormat="1" applyFont="1" applyFill="1" applyBorder="1"/>
    <xf numFmtId="0" fontId="41" fillId="6" borderId="129" xfId="0" applyFont="1" applyFill="1" applyBorder="1" applyAlignment="1">
      <alignment horizontal="center" vertical="center"/>
    </xf>
    <xf numFmtId="0" fontId="34" fillId="6" borderId="129" xfId="0" applyFont="1" applyFill="1" applyBorder="1" applyAlignment="1">
      <alignment horizontal="center" vertical="center"/>
    </xf>
    <xf numFmtId="0" fontId="34" fillId="6" borderId="130" xfId="0" applyFont="1" applyFill="1" applyBorder="1" applyAlignment="1">
      <alignment horizontal="center" vertical="center"/>
    </xf>
    <xf numFmtId="0" fontId="40" fillId="2" borderId="159" xfId="0" applyFont="1" applyFill="1" applyBorder="1"/>
    <xf numFmtId="0" fontId="40" fillId="2" borderId="154" xfId="0" applyFont="1" applyFill="1" applyBorder="1"/>
    <xf numFmtId="0" fontId="34" fillId="41" borderId="155" xfId="0" applyFont="1" applyFill="1" applyBorder="1" applyAlignment="1">
      <alignment horizontal="center" vertical="center"/>
    </xf>
    <xf numFmtId="0" fontId="40" fillId="2" borderId="160" xfId="0" applyNumberFormat="1" applyFont="1" applyFill="1" applyBorder="1"/>
    <xf numFmtId="0" fontId="34" fillId="6" borderId="149" xfId="0" applyFont="1" applyFill="1" applyBorder="1" applyAlignment="1">
      <alignment horizontal="center" vertical="center"/>
    </xf>
    <xf numFmtId="0" fontId="40" fillId="2" borderId="156" xfId="0" applyFont="1" applyFill="1" applyBorder="1"/>
    <xf numFmtId="0" fontId="34" fillId="43" borderId="6" xfId="0" applyFont="1" applyFill="1" applyBorder="1" applyAlignment="1">
      <alignment horizontal="center"/>
    </xf>
    <xf numFmtId="49" fontId="47" fillId="18" borderId="123" xfId="0" applyNumberFormat="1" applyFont="1" applyFill="1" applyBorder="1" applyAlignment="1">
      <alignment horizontal="center" vertical="center"/>
    </xf>
    <xf numFmtId="49" fontId="47" fillId="24" borderId="123" xfId="0" applyNumberFormat="1" applyFont="1" applyFill="1" applyBorder="1" applyAlignment="1">
      <alignment horizontal="center" vertical="center"/>
    </xf>
    <xf numFmtId="0" fontId="34" fillId="6" borderId="147" xfId="0" applyFont="1" applyFill="1" applyBorder="1" applyAlignment="1">
      <alignment horizontal="center" vertical="center"/>
    </xf>
    <xf numFmtId="0" fontId="47" fillId="18" borderId="134" xfId="0" applyFont="1" applyFill="1" applyBorder="1" applyAlignment="1">
      <alignment horizontal="center" vertical="center"/>
    </xf>
    <xf numFmtId="0" fontId="47" fillId="24" borderId="134" xfId="0" applyFont="1" applyFill="1" applyBorder="1" applyAlignment="1">
      <alignment horizontal="center" vertical="center"/>
    </xf>
    <xf numFmtId="0" fontId="34" fillId="41" borderId="120" xfId="0" applyFont="1" applyFill="1" applyBorder="1" applyAlignment="1">
      <alignment horizontal="center" vertical="center"/>
    </xf>
    <xf numFmtId="0" fontId="40" fillId="2" borderId="138" xfId="0" applyNumberFormat="1" applyFont="1" applyFill="1" applyBorder="1" applyAlignment="1">
      <alignment horizontal="center" vertical="center"/>
    </xf>
    <xf numFmtId="0" fontId="41" fillId="41" borderId="129" xfId="0" applyFont="1" applyFill="1" applyBorder="1" applyAlignment="1">
      <alignment horizontal="center" vertical="center"/>
    </xf>
    <xf numFmtId="0" fontId="34" fillId="41" borderId="129" xfId="0" applyFont="1" applyFill="1" applyBorder="1" applyAlignment="1">
      <alignment horizontal="center" vertical="center"/>
    </xf>
    <xf numFmtId="0" fontId="34" fillId="41" borderId="130" xfId="0" applyFont="1" applyFill="1" applyBorder="1" applyAlignment="1">
      <alignment horizontal="center" vertical="center"/>
    </xf>
    <xf numFmtId="0" fontId="40" fillId="2" borderId="153" xfId="0" applyFont="1" applyFill="1" applyBorder="1"/>
    <xf numFmtId="0" fontId="34" fillId="6" borderId="153" xfId="0" applyFont="1" applyFill="1" applyBorder="1" applyAlignment="1">
      <alignment horizontal="center" vertical="center"/>
    </xf>
    <xf numFmtId="0" fontId="0" fillId="14" borderId="157" xfId="0" applyFill="1" applyBorder="1" applyAlignment="1">
      <alignment horizontal="center"/>
    </xf>
    <xf numFmtId="0" fontId="0" fillId="14" borderId="153" xfId="0" applyFill="1" applyBorder="1" applyAlignment="1">
      <alignment horizontal="center"/>
    </xf>
    <xf numFmtId="0" fontId="0" fillId="14" borderId="159" xfId="0" applyFill="1" applyBorder="1" applyAlignment="1">
      <alignment horizontal="center"/>
    </xf>
    <xf numFmtId="0" fontId="47" fillId="18" borderId="150" xfId="0" applyFont="1" applyFill="1" applyBorder="1" applyAlignment="1">
      <alignment horizontal="center" vertical="center"/>
    </xf>
    <xf numFmtId="0" fontId="47" fillId="24" borderId="150" xfId="0" applyFont="1" applyFill="1" applyBorder="1" applyAlignment="1">
      <alignment horizontal="center" vertical="center"/>
    </xf>
    <xf numFmtId="0" fontId="40" fillId="2" borderId="144" xfId="0" applyNumberFormat="1" applyFont="1" applyFill="1" applyBorder="1" applyAlignment="1">
      <alignment horizontal="center" vertical="center"/>
    </xf>
    <xf numFmtId="0" fontId="34" fillId="41" borderId="149" xfId="0" applyFont="1" applyFill="1" applyBorder="1" applyAlignment="1">
      <alignment horizontal="center" vertical="center"/>
    </xf>
    <xf numFmtId="0" fontId="40" fillId="2" borderId="155" xfId="0" applyFont="1" applyFill="1" applyBorder="1"/>
    <xf numFmtId="0" fontId="34" fillId="6" borderId="155" xfId="0" applyFont="1" applyFill="1" applyBorder="1" applyAlignment="1">
      <alignment horizontal="center" vertical="center"/>
    </xf>
    <xf numFmtId="0" fontId="0" fillId="2" borderId="155" xfId="0" applyFill="1" applyBorder="1"/>
    <xf numFmtId="0" fontId="34" fillId="41" borderId="147" xfId="0" applyFont="1" applyFill="1" applyBorder="1" applyAlignment="1">
      <alignment horizontal="center" vertical="center"/>
    </xf>
    <xf numFmtId="49" fontId="47" fillId="19" borderId="123" xfId="0" applyNumberFormat="1" applyFont="1" applyFill="1" applyBorder="1" applyAlignment="1">
      <alignment horizontal="center" vertical="center"/>
    </xf>
    <xf numFmtId="49" fontId="47" fillId="25" borderId="123" xfId="0" applyNumberFormat="1" applyFont="1" applyFill="1" applyBorder="1" applyAlignment="1">
      <alignment horizontal="center" vertical="center"/>
    </xf>
    <xf numFmtId="0" fontId="34" fillId="40" borderId="6" xfId="0" applyFont="1" applyFill="1" applyBorder="1" applyAlignment="1">
      <alignment horizontal="left" vertical="center"/>
    </xf>
    <xf numFmtId="0" fontId="47" fillId="19" borderId="134" xfId="0" applyFont="1" applyFill="1" applyBorder="1" applyAlignment="1">
      <alignment horizontal="center" vertical="center"/>
    </xf>
    <xf numFmtId="0" fontId="47" fillId="25" borderId="134" xfId="0" applyFont="1" applyFill="1" applyBorder="1" applyAlignment="1">
      <alignment horizontal="center" vertical="center"/>
    </xf>
    <xf numFmtId="0" fontId="34" fillId="40" borderId="146" xfId="0" applyFont="1" applyFill="1" applyBorder="1" applyAlignment="1">
      <alignment horizontal="center" vertical="center"/>
    </xf>
    <xf numFmtId="0" fontId="34" fillId="40" borderId="149" xfId="0" applyFont="1" applyFill="1" applyBorder="1" applyAlignment="1">
      <alignment horizontal="center" vertical="center"/>
    </xf>
    <xf numFmtId="0" fontId="47" fillId="19" borderId="150" xfId="0" applyFont="1" applyFill="1" applyBorder="1" applyAlignment="1">
      <alignment horizontal="center" vertical="center"/>
    </xf>
    <xf numFmtId="0" fontId="47" fillId="25" borderId="150" xfId="0" applyFont="1" applyFill="1" applyBorder="1" applyAlignment="1">
      <alignment horizontal="center" vertical="center"/>
    </xf>
    <xf numFmtId="49" fontId="47" fillId="20" borderId="123" xfId="0" applyNumberFormat="1" applyFont="1" applyFill="1" applyBorder="1" applyAlignment="1">
      <alignment horizontal="center" vertical="center"/>
    </xf>
    <xf numFmtId="49" fontId="47" fillId="26" borderId="123" xfId="0" applyNumberFormat="1" applyFont="1" applyFill="1" applyBorder="1" applyAlignment="1">
      <alignment horizontal="center" vertical="center"/>
    </xf>
    <xf numFmtId="0" fontId="47" fillId="20" borderId="134" xfId="0" applyFont="1" applyFill="1" applyBorder="1" applyAlignment="1">
      <alignment horizontal="center" vertical="center"/>
    </xf>
    <xf numFmtId="0" fontId="47" fillId="26" borderId="134" xfId="0" applyFont="1" applyFill="1" applyBorder="1" applyAlignment="1">
      <alignment horizontal="center" vertical="center"/>
    </xf>
    <xf numFmtId="0" fontId="47" fillId="20" borderId="150" xfId="0" applyFont="1" applyFill="1" applyBorder="1" applyAlignment="1">
      <alignment horizontal="center" vertical="center"/>
    </xf>
    <xf numFmtId="0" fontId="47" fillId="26" borderId="150" xfId="0" applyFont="1" applyFill="1" applyBorder="1" applyAlignment="1">
      <alignment horizontal="center" vertical="center"/>
    </xf>
    <xf numFmtId="0" fontId="0" fillId="37" borderId="147" xfId="0" applyFill="1" applyBorder="1"/>
    <xf numFmtId="0" fontId="0" fillId="37" borderId="6" xfId="0" applyFill="1" applyBorder="1"/>
    <xf numFmtId="0" fontId="0" fillId="38" borderId="6" xfId="0" applyFill="1" applyBorder="1"/>
    <xf numFmtId="0" fontId="0" fillId="6" borderId="6" xfId="0" applyFill="1" applyBorder="1" applyAlignment="1">
      <alignment horizontal="center" vertical="center"/>
    </xf>
    <xf numFmtId="49" fontId="0" fillId="3" borderId="161" xfId="0" applyNumberFormat="1" applyFill="1" applyBorder="1" applyAlignment="1">
      <alignment horizontal="right"/>
    </xf>
    <xf numFmtId="164" fontId="0" fillId="3" borderId="162" xfId="0" applyNumberFormat="1" applyFill="1" applyBorder="1"/>
    <xf numFmtId="164" fontId="40" fillId="3" borderId="162" xfId="0" applyNumberFormat="1" applyFont="1" applyFill="1" applyBorder="1"/>
    <xf numFmtId="164" fontId="23" fillId="3" borderId="162" xfId="0" applyNumberFormat="1" applyFont="1" applyFill="1" applyBorder="1"/>
    <xf numFmtId="164" fontId="0" fillId="3" borderId="163" xfId="0" applyNumberFormat="1" applyFill="1" applyBorder="1"/>
    <xf numFmtId="0" fontId="0" fillId="3" borderId="164" xfId="0" applyFill="1" applyBorder="1"/>
    <xf numFmtId="0" fontId="0" fillId="3" borderId="165" xfId="0" applyFill="1" applyBorder="1"/>
    <xf numFmtId="0" fontId="23" fillId="3" borderId="6" xfId="0" applyFont="1" applyFill="1" applyBorder="1"/>
    <xf numFmtId="0" fontId="0" fillId="3" borderId="33" xfId="0" applyFill="1" applyBorder="1"/>
    <xf numFmtId="0" fontId="0" fillId="3" borderId="35" xfId="0" applyFill="1" applyBorder="1"/>
    <xf numFmtId="0" fontId="0" fillId="3" borderId="166" xfId="0" applyNumberFormat="1" applyFill="1" applyBorder="1"/>
    <xf numFmtId="0" fontId="0" fillId="0" borderId="166" xfId="0" applyNumberFormat="1" applyBorder="1"/>
    <xf numFmtId="0" fontId="23" fillId="3" borderId="166" xfId="0" applyNumberFormat="1" applyFont="1" applyFill="1" applyBorder="1"/>
    <xf numFmtId="0" fontId="34" fillId="3" borderId="1" xfId="0" applyFont="1" applyFill="1" applyBorder="1"/>
    <xf numFmtId="0" fontId="34" fillId="3" borderId="2" xfId="0" applyFont="1" applyFill="1" applyBorder="1"/>
    <xf numFmtId="0" fontId="34" fillId="3" borderId="2" xfId="0" applyFont="1" applyFill="1" applyBorder="1" applyAlignment="1">
      <alignment vertical="top" wrapText="1"/>
    </xf>
    <xf numFmtId="49" fontId="27" fillId="3" borderId="167" xfId="0" applyNumberFormat="1" applyFont="1" applyFill="1" applyBorder="1" applyAlignment="1">
      <alignment vertical="top"/>
    </xf>
    <xf numFmtId="0" fontId="41" fillId="3" borderId="167" xfId="0" applyFont="1" applyFill="1" applyBorder="1" applyAlignment="1">
      <alignment vertical="top"/>
    </xf>
    <xf numFmtId="0" fontId="34" fillId="3" borderId="167" xfId="0" applyFont="1" applyFill="1" applyBorder="1" applyAlignment="1">
      <alignment vertical="top"/>
    </xf>
    <xf numFmtId="0" fontId="34" fillId="3" borderId="6" xfId="0" applyFont="1" applyFill="1" applyBorder="1"/>
    <xf numFmtId="0" fontId="34" fillId="3" borderId="167" xfId="0" applyFont="1" applyFill="1" applyBorder="1"/>
    <xf numFmtId="0" fontId="34" fillId="3" borderId="168" xfId="0" applyFont="1" applyFill="1" applyBorder="1"/>
    <xf numFmtId="0" fontId="34" fillId="3" borderId="170" xfId="0" applyFont="1" applyFill="1" applyBorder="1"/>
    <xf numFmtId="0" fontId="34" fillId="2" borderId="171" xfId="0" applyFont="1" applyFill="1" applyBorder="1" applyAlignment="1">
      <alignment vertical="center"/>
    </xf>
    <xf numFmtId="0" fontId="34" fillId="2" borderId="172" xfId="0" applyFont="1" applyFill="1" applyBorder="1" applyAlignment="1">
      <alignment vertical="center"/>
    </xf>
    <xf numFmtId="0" fontId="34" fillId="2" borderId="173" xfId="0" applyFont="1" applyFill="1" applyBorder="1" applyAlignment="1">
      <alignment vertical="center"/>
    </xf>
    <xf numFmtId="49" fontId="34" fillId="2" borderId="174" xfId="0" applyNumberFormat="1" applyFont="1" applyFill="1" applyBorder="1" applyAlignment="1">
      <alignment vertical="center"/>
    </xf>
    <xf numFmtId="0" fontId="34" fillId="2" borderId="6" xfId="0" applyFont="1" applyFill="1" applyBorder="1" applyAlignment="1">
      <alignment vertical="center"/>
    </xf>
    <xf numFmtId="0" fontId="34" fillId="2" borderId="175" xfId="0" applyFont="1" applyFill="1" applyBorder="1" applyAlignment="1">
      <alignment vertical="center"/>
    </xf>
    <xf numFmtId="0" fontId="34" fillId="2" borderId="176" xfId="0" applyFont="1" applyFill="1" applyBorder="1" applyAlignment="1">
      <alignment vertical="center"/>
    </xf>
    <xf numFmtId="0" fontId="34" fillId="2" borderId="167" xfId="0" applyFont="1" applyFill="1" applyBorder="1" applyAlignment="1">
      <alignment vertical="center"/>
    </xf>
    <xf numFmtId="0" fontId="34" fillId="2" borderId="177" xfId="0" applyFont="1" applyFill="1" applyBorder="1" applyAlignment="1">
      <alignment vertical="center"/>
    </xf>
    <xf numFmtId="0" fontId="34" fillId="3" borderId="174" xfId="0" applyFont="1" applyFill="1" applyBorder="1"/>
    <xf numFmtId="0" fontId="34" fillId="3" borderId="178" xfId="0" applyFont="1" applyFill="1" applyBorder="1" applyAlignment="1">
      <alignment vertical="center" wrapText="1"/>
    </xf>
    <xf numFmtId="0" fontId="34" fillId="3" borderId="175" xfId="0" applyFont="1" applyFill="1" applyBorder="1"/>
    <xf numFmtId="0" fontId="0" fillId="2" borderId="171" xfId="0" applyFill="1" applyBorder="1"/>
    <xf numFmtId="0" fontId="0" fillId="2" borderId="172" xfId="0" applyFill="1" applyBorder="1"/>
    <xf numFmtId="0" fontId="0" fillId="2" borderId="173" xfId="0" applyFill="1" applyBorder="1"/>
    <xf numFmtId="49" fontId="27" fillId="2" borderId="174" xfId="0" applyNumberFormat="1" applyFont="1" applyFill="1" applyBorder="1" applyAlignment="1">
      <alignment horizontal="right" vertical="center"/>
    </xf>
    <xf numFmtId="49" fontId="34" fillId="2" borderId="6" xfId="0" applyNumberFormat="1" applyFont="1" applyFill="1" applyBorder="1" applyAlignment="1">
      <alignment vertical="center"/>
    </xf>
    <xf numFmtId="0" fontId="34" fillId="2" borderId="6" xfId="0" applyFont="1" applyFill="1" applyBorder="1" applyAlignment="1">
      <alignment vertical="center" wrapText="1"/>
    </xf>
    <xf numFmtId="0" fontId="34" fillId="2" borderId="175" xfId="0" applyFont="1" applyFill="1" applyBorder="1" applyAlignment="1">
      <alignment vertical="center" wrapText="1"/>
    </xf>
    <xf numFmtId="49" fontId="27" fillId="2" borderId="174" xfId="0" applyNumberFormat="1" applyFont="1" applyFill="1" applyBorder="1" applyAlignment="1">
      <alignment horizontal="right" vertical="top"/>
    </xf>
    <xf numFmtId="14" fontId="34" fillId="2" borderId="6" xfId="0" applyNumberFormat="1" applyFont="1" applyFill="1" applyBorder="1" applyAlignment="1">
      <alignment horizontal="left" vertical="top"/>
    </xf>
    <xf numFmtId="0" fontId="34" fillId="2" borderId="6" xfId="0" applyFont="1" applyFill="1" applyBorder="1" applyAlignment="1">
      <alignment vertical="top"/>
    </xf>
    <xf numFmtId="0" fontId="34" fillId="2" borderId="6" xfId="0" applyFont="1" applyFill="1" applyBorder="1" applyAlignment="1">
      <alignment vertical="top" wrapText="1"/>
    </xf>
    <xf numFmtId="0" fontId="34" fillId="2" borderId="175" xfId="0" applyFont="1" applyFill="1" applyBorder="1"/>
    <xf numFmtId="0" fontId="34" fillId="2" borderId="176" xfId="0" applyFont="1" applyFill="1" applyBorder="1"/>
    <xf numFmtId="0" fontId="34" fillId="2" borderId="167" xfId="0" applyFont="1" applyFill="1" applyBorder="1"/>
    <xf numFmtId="0" fontId="34" fillId="2" borderId="177" xfId="0" applyFont="1" applyFill="1" applyBorder="1"/>
    <xf numFmtId="0" fontId="34" fillId="3" borderId="178" xfId="0" applyFont="1" applyFill="1" applyBorder="1"/>
    <xf numFmtId="0" fontId="34" fillId="2" borderId="171" xfId="0" applyFont="1" applyFill="1" applyBorder="1" applyAlignment="1">
      <alignment horizontal="right"/>
    </xf>
    <xf numFmtId="49" fontId="34" fillId="2" borderId="172" xfId="0" applyNumberFormat="1" applyFont="1" applyFill="1" applyBorder="1" applyAlignment="1">
      <alignment horizontal="right"/>
    </xf>
    <xf numFmtId="0" fontId="34" fillId="2" borderId="172" xfId="0" applyFont="1" applyFill="1" applyBorder="1" applyAlignment="1">
      <alignment horizontal="right"/>
    </xf>
    <xf numFmtId="0" fontId="82" fillId="2" borderId="172" xfId="0" applyNumberFormat="1" applyFont="1" applyFill="1" applyBorder="1" applyAlignment="1">
      <alignment horizontal="left"/>
    </xf>
    <xf numFmtId="0" fontId="34" fillId="2" borderId="172" xfId="0" applyFont="1" applyFill="1" applyBorder="1" applyAlignment="1">
      <alignment horizontal="left"/>
    </xf>
    <xf numFmtId="0" fontId="34" fillId="2" borderId="172" xfId="0" applyFont="1" applyFill="1" applyBorder="1"/>
    <xf numFmtId="0" fontId="34" fillId="2" borderId="173" xfId="0" applyFont="1" applyFill="1" applyBorder="1"/>
    <xf numFmtId="0" fontId="0" fillId="2" borderId="174" xfId="0" applyFill="1" applyBorder="1"/>
    <xf numFmtId="49" fontId="27" fillId="2" borderId="99" xfId="0" applyNumberFormat="1" applyFont="1" applyFill="1" applyBorder="1" applyAlignment="1">
      <alignment horizontal="left" vertical="center"/>
    </xf>
    <xf numFmtId="0" fontId="27" fillId="2" borderId="6" xfId="0" applyFont="1" applyFill="1" applyBorder="1" applyAlignment="1">
      <alignment horizontal="left" vertical="center"/>
    </xf>
    <xf numFmtId="49" fontId="27" fillId="2" borderId="99" xfId="0" applyNumberFormat="1" applyFont="1" applyFill="1" applyBorder="1" applyAlignment="1">
      <alignment horizontal="center" vertical="center"/>
    </xf>
    <xf numFmtId="0" fontId="27" fillId="2" borderId="6" xfId="0" applyFont="1" applyFill="1" applyBorder="1" applyAlignment="1">
      <alignment horizontal="center" vertical="center"/>
    </xf>
    <xf numFmtId="0" fontId="34" fillId="2" borderId="6" xfId="0" applyFont="1" applyFill="1" applyBorder="1"/>
    <xf numFmtId="0" fontId="0" fillId="3" borderId="166" xfId="0" applyNumberFormat="1" applyFill="1" applyBorder="1" applyAlignment="1">
      <alignment vertical="center"/>
    </xf>
    <xf numFmtId="0" fontId="0" fillId="2" borderId="179" xfId="0" applyFill="1" applyBorder="1" applyAlignment="1">
      <alignment vertical="center"/>
    </xf>
    <xf numFmtId="49" fontId="34" fillId="2" borderId="48" xfId="0" applyNumberFormat="1" applyFont="1" applyFill="1" applyBorder="1" applyAlignment="1">
      <alignment vertical="center"/>
    </xf>
    <xf numFmtId="0" fontId="34" fillId="2" borderId="180" xfId="0" applyFont="1" applyFill="1" applyBorder="1" applyAlignment="1">
      <alignment vertical="center"/>
    </xf>
    <xf numFmtId="0" fontId="63" fillId="3" borderId="48" xfId="0" applyNumberFormat="1" applyFont="1" applyFill="1" applyBorder="1" applyAlignment="1">
      <alignment horizontal="center"/>
    </xf>
    <xf numFmtId="0" fontId="34" fillId="2" borderId="45" xfId="0" applyFont="1" applyFill="1" applyBorder="1" applyAlignment="1">
      <alignment vertical="center"/>
    </xf>
    <xf numFmtId="0" fontId="0" fillId="2" borderId="174" xfId="0" applyFill="1" applyBorder="1" applyAlignment="1">
      <alignment vertical="center"/>
    </xf>
    <xf numFmtId="0" fontId="34" fillId="2" borderId="108" xfId="0" applyFont="1" applyFill="1" applyBorder="1" applyAlignment="1">
      <alignment vertical="center"/>
    </xf>
    <xf numFmtId="0" fontId="34" fillId="2" borderId="174" xfId="0" applyFont="1" applyFill="1" applyBorder="1" applyAlignment="1">
      <alignment vertical="center"/>
    </xf>
    <xf numFmtId="0" fontId="81" fillId="3" borderId="48" xfId="0" applyNumberFormat="1" applyFont="1" applyFill="1" applyBorder="1" applyAlignment="1">
      <alignment horizontal="center"/>
    </xf>
    <xf numFmtId="0" fontId="34" fillId="3" borderId="48" xfId="0" applyNumberFormat="1" applyFont="1" applyFill="1" applyBorder="1" applyAlignment="1">
      <alignment horizontal="center"/>
    </xf>
    <xf numFmtId="49" fontId="27" fillId="3" borderId="6" xfId="0" applyNumberFormat="1" applyFont="1" applyFill="1" applyBorder="1"/>
    <xf numFmtId="49" fontId="34" fillId="2" borderId="171" xfId="0" applyNumberFormat="1" applyFont="1" applyFill="1" applyBorder="1" applyAlignment="1">
      <alignment vertical="center"/>
    </xf>
    <xf numFmtId="0" fontId="0" fillId="2" borderId="176" xfId="0" applyFill="1" applyBorder="1" applyAlignment="1">
      <alignment vertical="center"/>
    </xf>
    <xf numFmtId="0" fontId="0" fillId="2" borderId="167" xfId="0" applyFill="1" applyBorder="1" applyAlignment="1">
      <alignment vertical="center"/>
    </xf>
    <xf numFmtId="0" fontId="34" fillId="2" borderId="181" xfId="0" applyFont="1" applyFill="1" applyBorder="1"/>
    <xf numFmtId="0" fontId="0" fillId="3" borderId="6" xfId="0" applyFill="1" applyBorder="1" applyAlignment="1">
      <alignment vertical="center"/>
    </xf>
    <xf numFmtId="0" fontId="34" fillId="3" borderId="182" xfId="0" applyFont="1" applyFill="1" applyBorder="1"/>
    <xf numFmtId="0" fontId="34" fillId="3" borderId="22" xfId="0" applyFont="1" applyFill="1" applyBorder="1"/>
    <xf numFmtId="0" fontId="34" fillId="3" borderId="24" xfId="0" applyFont="1" applyFill="1" applyBorder="1"/>
    <xf numFmtId="0" fontId="84" fillId="3" borderId="6" xfId="0" applyFont="1" applyFill="1" applyBorder="1"/>
    <xf numFmtId="49" fontId="47" fillId="3" borderId="6" xfId="0" applyNumberFormat="1" applyFont="1" applyFill="1" applyBorder="1"/>
    <xf numFmtId="49" fontId="0" fillId="3" borderId="6" xfId="0" applyNumberFormat="1" applyFill="1" applyBorder="1"/>
    <xf numFmtId="49" fontId="23" fillId="3" borderId="6" xfId="0" applyNumberFormat="1" applyFont="1" applyFill="1" applyBorder="1"/>
    <xf numFmtId="1" fontId="0" fillId="3" borderId="6" xfId="0" applyNumberFormat="1" applyFill="1" applyBorder="1"/>
    <xf numFmtId="0" fontId="0" fillId="3" borderId="6" xfId="0" applyNumberFormat="1" applyFill="1" applyBorder="1"/>
    <xf numFmtId="1" fontId="85" fillId="3" borderId="6" xfId="0" applyNumberFormat="1" applyFont="1" applyFill="1" applyBorder="1"/>
    <xf numFmtId="49" fontId="86" fillId="3" borderId="6" xfId="0" applyNumberFormat="1" applyFont="1" applyFill="1" applyBorder="1"/>
    <xf numFmtId="49" fontId="23" fillId="3" borderId="6" xfId="0" applyNumberFormat="1" applyFont="1" applyFill="1" applyBorder="1" applyAlignment="1">
      <alignment horizontal="left" vertical="center"/>
    </xf>
    <xf numFmtId="0" fontId="23" fillId="3" borderId="6" xfId="0" applyFont="1" applyFill="1" applyBorder="1" applyAlignment="1">
      <alignment horizontal="left" vertical="center"/>
    </xf>
    <xf numFmtId="0" fontId="85" fillId="3" borderId="6" xfId="0" applyFont="1" applyFill="1" applyBorder="1"/>
    <xf numFmtId="49" fontId="85" fillId="3" borderId="6" xfId="0" applyNumberFormat="1" applyFont="1" applyFill="1" applyBorder="1"/>
    <xf numFmtId="49" fontId="23" fillId="3" borderId="34" xfId="0" applyNumberFormat="1" applyFont="1" applyFill="1" applyBorder="1"/>
    <xf numFmtId="0" fontId="23" fillId="3" borderId="34" xfId="0" applyFont="1" applyFill="1" applyBorder="1"/>
    <xf numFmtId="0" fontId="87" fillId="0" borderId="0" xfId="0" applyFont="1"/>
    <xf numFmtId="0" fontId="88" fillId="0" borderId="166" xfId="0" applyFont="1" applyBorder="1"/>
    <xf numFmtId="49" fontId="13" fillId="2" borderId="10" xfId="0" applyNumberFormat="1" applyFont="1" applyFill="1" applyBorder="1" applyAlignment="1">
      <alignment horizontal="center" vertical="center" wrapText="1"/>
    </xf>
    <xf numFmtId="0" fontId="0" fillId="3" borderId="10" xfId="0" applyFill="1" applyBorder="1"/>
    <xf numFmtId="0" fontId="22" fillId="2" borderId="6" xfId="0" applyFont="1" applyFill="1" applyBorder="1" applyAlignment="1">
      <alignment horizontal="left" vertical="center" wrapText="1"/>
    </xf>
    <xf numFmtId="0" fontId="0" fillId="3" borderId="6" xfId="0" applyFill="1" applyBorder="1"/>
    <xf numFmtId="49" fontId="14" fillId="5" borderId="18" xfId="0" applyNumberFormat="1" applyFont="1" applyFill="1" applyBorder="1" applyAlignment="1">
      <alignment horizontal="center" vertical="center"/>
    </xf>
    <xf numFmtId="0" fontId="0" fillId="3" borderId="19" xfId="0" applyFill="1" applyBorder="1"/>
    <xf numFmtId="0" fontId="0" fillId="3" borderId="20" xfId="0" applyFill="1" applyBorder="1"/>
    <xf numFmtId="0" fontId="0" fillId="3" borderId="21" xfId="0" applyFill="1" applyBorder="1"/>
    <xf numFmtId="49" fontId="3" fillId="2" borderId="6" xfId="0" applyNumberFormat="1" applyFont="1" applyFill="1" applyBorder="1" applyAlignment="1">
      <alignment horizontal="center" vertical="center"/>
    </xf>
    <xf numFmtId="49" fontId="33" fillId="24" borderId="43" xfId="0" applyNumberFormat="1" applyFont="1" applyFill="1" applyBorder="1" applyAlignment="1">
      <alignment horizontal="center" vertical="center"/>
    </xf>
    <xf numFmtId="0" fontId="0" fillId="0" borderId="39" xfId="0" applyBorder="1"/>
    <xf numFmtId="0" fontId="0" fillId="0" borderId="42" xfId="0" applyBorder="1"/>
    <xf numFmtId="0" fontId="0" fillId="0" borderId="43" xfId="0" applyBorder="1"/>
    <xf numFmtId="49" fontId="64" fillId="28" borderId="79" xfId="0" applyNumberFormat="1" applyFont="1" applyFill="1" applyBorder="1" applyAlignment="1">
      <alignment horizontal="center" vertical="center"/>
    </xf>
    <xf numFmtId="0" fontId="0" fillId="0" borderId="91" xfId="0" applyBorder="1"/>
    <xf numFmtId="49" fontId="24" fillId="2" borderId="2" xfId="0" applyNumberFormat="1" applyFont="1" applyFill="1" applyBorder="1" applyAlignment="1">
      <alignment horizontal="center" vertical="center"/>
    </xf>
    <xf numFmtId="0" fontId="0" fillId="0" borderId="2" xfId="0" applyBorder="1"/>
    <xf numFmtId="49" fontId="62" fillId="27" borderId="79" xfId="0" applyNumberFormat="1" applyFont="1" applyFill="1" applyBorder="1" applyAlignment="1">
      <alignment horizontal="center" vertical="center"/>
    </xf>
    <xf numFmtId="0" fontId="0" fillId="0" borderId="81" xfId="0" applyBorder="1"/>
    <xf numFmtId="0" fontId="0" fillId="0" borderId="83" xfId="0" applyBorder="1"/>
    <xf numFmtId="0" fontId="0" fillId="0" borderId="79" xfId="0" applyBorder="1"/>
    <xf numFmtId="49" fontId="57" fillId="27" borderId="43" xfId="0" applyNumberFormat="1" applyFont="1" applyFill="1" applyBorder="1" applyAlignment="1">
      <alignment horizontal="center" vertical="center"/>
    </xf>
    <xf numFmtId="49" fontId="33" fillId="18" borderId="43" xfId="0" applyNumberFormat="1" applyFont="1" applyFill="1" applyBorder="1" applyAlignment="1">
      <alignment horizontal="center" vertical="center"/>
    </xf>
    <xf numFmtId="49" fontId="33" fillId="13" borderId="43" xfId="0" applyNumberFormat="1" applyFont="1" applyFill="1" applyBorder="1" applyAlignment="1">
      <alignment horizontal="center" vertical="center"/>
    </xf>
    <xf numFmtId="49" fontId="33" fillId="21" borderId="43" xfId="0" applyNumberFormat="1" applyFont="1" applyFill="1" applyBorder="1" applyAlignment="1">
      <alignment horizontal="center" vertical="center"/>
    </xf>
    <xf numFmtId="49" fontId="33" fillId="25" borderId="43" xfId="0" applyNumberFormat="1" applyFont="1" applyFill="1" applyBorder="1" applyAlignment="1">
      <alignment horizontal="center" vertical="center"/>
    </xf>
    <xf numFmtId="49" fontId="33" fillId="19" borderId="43" xfId="0" applyNumberFormat="1" applyFont="1" applyFill="1" applyBorder="1" applyAlignment="1">
      <alignment horizontal="center" vertical="center"/>
    </xf>
    <xf numFmtId="49" fontId="33" fillId="22" borderId="43" xfId="0" applyNumberFormat="1" applyFont="1" applyFill="1" applyBorder="1" applyAlignment="1">
      <alignment horizontal="center" vertical="center"/>
    </xf>
    <xf numFmtId="49" fontId="33" fillId="26" borderId="43" xfId="0" applyNumberFormat="1" applyFont="1" applyFill="1" applyBorder="1" applyAlignment="1">
      <alignment horizontal="center" vertical="center"/>
    </xf>
    <xf numFmtId="49" fontId="33" fillId="20" borderId="43" xfId="0" applyNumberFormat="1" applyFont="1" applyFill="1" applyBorder="1" applyAlignment="1">
      <alignment horizontal="center" vertical="center"/>
    </xf>
    <xf numFmtId="49" fontId="33" fillId="23" borderId="43" xfId="0" applyNumberFormat="1" applyFont="1" applyFill="1" applyBorder="1" applyAlignment="1">
      <alignment horizontal="center" vertical="center"/>
    </xf>
    <xf numFmtId="49" fontId="33" fillId="17" borderId="43" xfId="0" applyNumberFormat="1" applyFont="1" applyFill="1" applyBorder="1" applyAlignment="1">
      <alignment horizontal="center" vertical="center"/>
    </xf>
    <xf numFmtId="49" fontId="33" fillId="16" borderId="43" xfId="0" applyNumberFormat="1" applyFont="1" applyFill="1" applyBorder="1" applyAlignment="1">
      <alignment horizontal="center" vertical="center"/>
    </xf>
    <xf numFmtId="0" fontId="27" fillId="13" borderId="39" xfId="0" applyFont="1" applyFill="1" applyBorder="1" applyAlignment="1">
      <alignment horizontal="center"/>
    </xf>
    <xf numFmtId="0" fontId="27" fillId="13" borderId="40" xfId="0" applyFont="1" applyFill="1" applyBorder="1" applyAlignment="1">
      <alignment horizontal="center"/>
    </xf>
    <xf numFmtId="0" fontId="27" fillId="13" borderId="41" xfId="0" applyFont="1" applyFill="1" applyBorder="1" applyAlignment="1">
      <alignment horizontal="center"/>
    </xf>
    <xf numFmtId="49" fontId="27" fillId="13" borderId="74" xfId="0" applyNumberFormat="1" applyFont="1" applyFill="1" applyBorder="1" applyAlignment="1">
      <alignment horizontal="center" vertical="center"/>
    </xf>
    <xf numFmtId="0" fontId="54" fillId="13" borderId="65" xfId="0" applyFont="1" applyFill="1" applyBorder="1" applyAlignment="1">
      <alignment horizontal="center" vertical="center"/>
    </xf>
    <xf numFmtId="0" fontId="47" fillId="13" borderId="65" xfId="0" applyFont="1" applyFill="1" applyBorder="1" applyAlignment="1">
      <alignment horizontal="center" vertical="center"/>
    </xf>
    <xf numFmtId="0" fontId="47" fillId="13" borderId="75" xfId="0" applyFont="1" applyFill="1" applyBorder="1" applyAlignment="1">
      <alignment horizontal="center" vertical="center"/>
    </xf>
    <xf numFmtId="49" fontId="55" fillId="2" borderId="37" xfId="0" applyNumberFormat="1" applyFont="1" applyFill="1" applyBorder="1" applyAlignment="1">
      <alignment horizontal="center"/>
    </xf>
    <xf numFmtId="0" fontId="29" fillId="2" borderId="37" xfId="0" applyFont="1" applyFill="1" applyBorder="1" applyAlignment="1">
      <alignment horizontal="center"/>
    </xf>
    <xf numFmtId="49" fontId="27" fillId="13" borderId="39" xfId="0" applyNumberFormat="1" applyFont="1" applyFill="1" applyBorder="1" applyAlignment="1">
      <alignment horizontal="center"/>
    </xf>
    <xf numFmtId="49" fontId="40" fillId="2" borderId="6" xfId="0" applyNumberFormat="1" applyFont="1" applyFill="1" applyBorder="1" applyAlignment="1">
      <alignment horizontal="center" vertical="center"/>
    </xf>
    <xf numFmtId="0" fontId="25" fillId="2" borderId="6" xfId="0" applyFont="1" applyFill="1" applyBorder="1" applyAlignment="1">
      <alignment horizontal="center" vertical="center"/>
    </xf>
    <xf numFmtId="0" fontId="66" fillId="13" borderId="65" xfId="0" applyFont="1" applyFill="1" applyBorder="1" applyAlignment="1">
      <alignment horizontal="center" vertical="center"/>
    </xf>
    <xf numFmtId="49" fontId="62" fillId="28" borderId="79" xfId="0" applyNumberFormat="1" applyFont="1" applyFill="1" applyBorder="1" applyAlignment="1">
      <alignment horizontal="center" vertical="center"/>
    </xf>
    <xf numFmtId="49" fontId="78" fillId="6" borderId="5" xfId="0" applyNumberFormat="1" applyFont="1" applyFill="1" applyBorder="1" applyAlignment="1">
      <alignment horizontal="center" vertical="center"/>
    </xf>
    <xf numFmtId="0" fontId="0" fillId="3" borderId="5" xfId="0" applyFill="1" applyBorder="1"/>
    <xf numFmtId="49" fontId="76" fillId="28" borderId="6" xfId="0" applyNumberFormat="1" applyFont="1" applyFill="1" applyBorder="1" applyAlignment="1">
      <alignment horizontal="center" vertical="top"/>
    </xf>
    <xf numFmtId="49" fontId="77" fillId="6" borderId="5" xfId="0" applyNumberFormat="1" applyFont="1" applyFill="1" applyBorder="1" applyAlignment="1">
      <alignment horizontal="center" vertical="center"/>
    </xf>
    <xf numFmtId="49" fontId="76" fillId="13" borderId="5" xfId="0" applyNumberFormat="1" applyFont="1" applyFill="1" applyBorder="1" applyAlignment="1">
      <alignment horizontal="center" vertical="center"/>
    </xf>
    <xf numFmtId="49" fontId="76" fillId="33" borderId="6" xfId="0" applyNumberFormat="1" applyFont="1" applyFill="1" applyBorder="1" applyAlignment="1">
      <alignment horizontal="center" vertical="top" wrapText="1"/>
    </xf>
    <xf numFmtId="49" fontId="76" fillId="6" borderId="5" xfId="0" applyNumberFormat="1" applyFont="1" applyFill="1" applyBorder="1" applyAlignment="1">
      <alignment horizontal="center" vertical="center"/>
    </xf>
    <xf numFmtId="49" fontId="31" fillId="35" borderId="6" xfId="0" applyNumberFormat="1" applyFont="1" applyFill="1" applyBorder="1" applyAlignment="1">
      <alignment horizontal="left" vertical="center" wrapText="1"/>
    </xf>
    <xf numFmtId="49" fontId="31" fillId="31" borderId="6" xfId="0" applyNumberFormat="1" applyFont="1" applyFill="1" applyBorder="1" applyAlignment="1">
      <alignment horizontal="left" vertical="center" wrapText="1"/>
    </xf>
    <xf numFmtId="49" fontId="31" fillId="31" borderId="100" xfId="0" applyNumberFormat="1" applyFont="1" applyFill="1" applyBorder="1" applyAlignment="1">
      <alignment horizontal="left" vertical="center" wrapText="1"/>
    </xf>
    <xf numFmtId="0" fontId="0" fillId="3" borderId="100" xfId="0" applyFill="1" applyBorder="1"/>
    <xf numFmtId="49" fontId="76" fillId="27" borderId="6" xfId="0" applyNumberFormat="1" applyFont="1" applyFill="1" applyBorder="1" applyAlignment="1">
      <alignment horizontal="center" vertical="top"/>
    </xf>
    <xf numFmtId="49" fontId="31" fillId="34" borderId="6" xfId="0" applyNumberFormat="1" applyFont="1" applyFill="1" applyBorder="1" applyAlignment="1">
      <alignment horizontal="center" vertical="center" wrapText="1"/>
    </xf>
    <xf numFmtId="49" fontId="74" fillId="32" borderId="100" xfId="0" applyNumberFormat="1" applyFont="1" applyFill="1" applyBorder="1" applyAlignment="1">
      <alignment horizontal="center" vertical="top"/>
    </xf>
    <xf numFmtId="0" fontId="0" fillId="3" borderId="32" xfId="0" applyFill="1" applyBorder="1"/>
    <xf numFmtId="0" fontId="0" fillId="3" borderId="27" xfId="0" applyFill="1" applyBorder="1"/>
    <xf numFmtId="49" fontId="31" fillId="31" borderId="32" xfId="0" applyNumberFormat="1" applyFont="1" applyFill="1" applyBorder="1" applyAlignment="1">
      <alignment horizontal="left" vertical="center" wrapText="1"/>
    </xf>
    <xf numFmtId="49" fontId="31" fillId="31" borderId="103" xfId="0" applyNumberFormat="1" applyFont="1" applyFill="1" applyBorder="1" applyAlignment="1">
      <alignment horizontal="left" vertical="center" wrapText="1"/>
    </xf>
    <xf numFmtId="0" fontId="0" fillId="3" borderId="110" xfId="0" applyFill="1" applyBorder="1"/>
    <xf numFmtId="0" fontId="0" fillId="3" borderId="103" xfId="0" applyFill="1" applyBorder="1"/>
    <xf numFmtId="49" fontId="74" fillId="6" borderId="100" xfId="0" applyNumberFormat="1" applyFont="1" applyFill="1" applyBorder="1" applyAlignment="1">
      <alignment horizontal="center" vertical="top"/>
    </xf>
    <xf numFmtId="49" fontId="31" fillId="30" borderId="103" xfId="0" applyNumberFormat="1" applyFont="1" applyFill="1" applyBorder="1" applyAlignment="1">
      <alignment horizontal="left" vertical="center" wrapText="1"/>
    </xf>
    <xf numFmtId="49" fontId="71" fillId="2" borderId="2" xfId="0" applyNumberFormat="1" applyFont="1" applyFill="1" applyBorder="1" applyAlignment="1">
      <alignment horizontal="center" vertical="center"/>
    </xf>
    <xf numFmtId="0" fontId="0" fillId="3" borderId="2" xfId="0" applyFill="1" applyBorder="1"/>
    <xf numFmtId="0" fontId="0" fillId="3" borderId="3" xfId="0" applyFill="1" applyBorder="1"/>
    <xf numFmtId="0" fontId="0" fillId="3" borderId="7" xfId="0" applyFill="1" applyBorder="1"/>
    <xf numFmtId="49" fontId="31" fillId="29" borderId="97" xfId="0" applyNumberFormat="1" applyFont="1" applyFill="1" applyBorder="1" applyAlignment="1">
      <alignment horizontal="left" vertical="center" wrapText="1"/>
    </xf>
    <xf numFmtId="0" fontId="0" fillId="3" borderId="98" xfId="0" applyFill="1" applyBorder="1"/>
    <xf numFmtId="0" fontId="0" fillId="3" borderId="29" xfId="0" applyFill="1" applyBorder="1"/>
    <xf numFmtId="49" fontId="34" fillId="31" borderId="32" xfId="0" applyNumberFormat="1" applyFont="1" applyFill="1" applyBorder="1" applyAlignment="1">
      <alignment horizontal="left" vertical="center" wrapText="1"/>
    </xf>
    <xf numFmtId="49" fontId="74" fillId="13" borderId="105" xfId="0" applyNumberFormat="1" applyFont="1" applyFill="1" applyBorder="1" applyAlignment="1">
      <alignment horizontal="center" vertical="top"/>
    </xf>
    <xf numFmtId="0" fontId="0" fillId="3" borderId="107" xfId="0" applyFill="1" applyBorder="1"/>
    <xf numFmtId="0" fontId="0" fillId="3" borderId="45" xfId="0" applyFill="1" applyBorder="1"/>
    <xf numFmtId="49" fontId="31" fillId="30" borderId="100" xfId="0" applyNumberFormat="1" applyFont="1" applyFill="1" applyBorder="1" applyAlignment="1">
      <alignment horizontal="left" vertical="center" wrapText="1"/>
    </xf>
    <xf numFmtId="0" fontId="0" fillId="3" borderId="101" xfId="0" applyFill="1" applyBorder="1"/>
    <xf numFmtId="49" fontId="27" fillId="2" borderId="6" xfId="0" applyNumberFormat="1" applyFont="1" applyFill="1" applyBorder="1" applyAlignment="1">
      <alignment horizontal="center"/>
    </xf>
    <xf numFmtId="0" fontId="27" fillId="2" borderId="6" xfId="0" applyFont="1" applyFill="1" applyBorder="1" applyAlignment="1">
      <alignment horizontal="center"/>
    </xf>
    <xf numFmtId="0" fontId="0" fillId="2" borderId="6" xfId="0" applyFill="1" applyBorder="1" applyAlignment="1">
      <alignment horizontal="center"/>
    </xf>
    <xf numFmtId="49" fontId="23" fillId="3" borderId="6" xfId="0" applyNumberFormat="1" applyFont="1" applyFill="1" applyBorder="1" applyAlignment="1">
      <alignment horizontal="left" vertical="center" wrapText="1"/>
    </xf>
    <xf numFmtId="49" fontId="83" fillId="5" borderId="18" xfId="0" applyNumberFormat="1" applyFont="1" applyFill="1" applyBorder="1" applyAlignment="1">
      <alignment horizontal="center" vertical="center"/>
    </xf>
    <xf numFmtId="0" fontId="0" fillId="0" borderId="166" xfId="0" applyNumberFormat="1" applyBorder="1"/>
    <xf numFmtId="49" fontId="34" fillId="2" borderId="169" xfId="0" applyNumberFormat="1" applyFont="1" applyFill="1" applyBorder="1" applyAlignment="1">
      <alignment horizontal="lef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EEEEEE"/>
      <rgbColor rgb="FFAAAAAA"/>
      <rgbColor rgb="FF133461"/>
      <rgbColor rgb="FFFFFFFF"/>
      <rgbColor rgb="FFF2F2F2"/>
      <rgbColor rgb="FF0000FF"/>
      <rgbColor rgb="FF1B4066"/>
      <rgbColor rgb="FF3E70A6"/>
      <rgbColor rgb="FF3F3F3F"/>
      <rgbColor rgb="FFA5A5A5"/>
      <rgbColor rgb="FF2C4D73"/>
      <rgbColor rgb="FF828081"/>
      <rgbColor rgb="FFFF8800"/>
      <rgbColor rgb="FF7F7F7F"/>
      <rgbColor rgb="FFFF0000"/>
      <rgbColor rgb="FFD8D8D8"/>
      <rgbColor rgb="FF0C9F14"/>
      <rgbColor rgb="FF33A9E8"/>
      <rgbColor rgb="FFE62125"/>
      <rgbColor rgb="FF0077B5"/>
      <rgbColor rgb="FF003087"/>
      <rgbColor rgb="FFFFC439"/>
      <rgbColor rgb="FFBFBFBF"/>
      <rgbColor rgb="FF0056A4"/>
      <rgbColor rgb="FF1F497D"/>
      <rgbColor rgb="FF0056A3"/>
      <rgbColor rgb="FFCACACA"/>
      <rgbColor rgb="FFEEECE1"/>
      <rgbColor rgb="FFE7E6E6"/>
      <rgbColor rgb="FFE50009"/>
      <rgbColor rgb="FFA9A9A9"/>
      <rgbColor rgb="FFF2EB71"/>
      <rgbColor rgb="FF2E5DA6"/>
      <rgbColor rgb="FFF27C0F"/>
      <rgbColor rgb="FF00684E"/>
      <rgbColor rgb="FFB9AFD2"/>
      <rgbColor rgb="FF6DBBB7"/>
      <rgbColor rgb="FF532C92"/>
      <rgbColor rgb="FFF6AB9E"/>
      <rgbColor rgb="FFEA3270"/>
      <rgbColor rgb="FF860020"/>
      <rgbColor rgb="FF002060"/>
      <rgbColor rgb="FFEE7701"/>
      <rgbColor rgb="FF65BBB0"/>
      <rgbColor rgb="FFB6DDE8"/>
      <rgbColor rgb="FF92D050"/>
      <rgbColor rgb="FFB2B1A8"/>
      <rgbColor rgb="FFC2D69B"/>
      <rgbColor rgb="FFC3BC96"/>
      <rgbColor rgb="FFB37836"/>
      <rgbColor rgb="FFFFBE56"/>
      <rgbColor rgb="FF78BB69"/>
      <rgbColor rgb="FFFDE9D9"/>
      <rgbColor rgb="FFDBE5F1"/>
      <rgbColor rgb="FFEAF1DD"/>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heme/theme1.xml><?xml version="1.0" encoding="utf-8"?>
<a:theme xmlns:a="http://schemas.openxmlformats.org/drawingml/2006/main"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me/share/url?url=https://matejero.es/excel-porra-mundial/&amp;text=Te%20env%C3%ADo%20el%20Excel%20del%20Mundial%202026%20para%20descargarlo" TargetMode="External"/><Relationship Id="rId7" Type="http://schemas.openxmlformats.org/officeDocument/2006/relationships/hyperlink" Target="https://www.paypal.com/donate?business=PJ2B6ZBH7ZHR4&amp;currency_code=EUR" TargetMode="External"/><Relationship Id="rId2" Type="http://schemas.openxmlformats.org/officeDocument/2006/relationships/hyperlink" Target="https://wa.me/?text=Te%20env%C3%ADo%20el%20Excel%20del%20Mundial%202026%20para%20descargarlo:%20https://matejero.es/excel-porra-mundial/" TargetMode="External"/><Relationship Id="rId1" Type="http://schemas.openxmlformats.org/officeDocument/2006/relationships/hyperlink" Target="https://youtu.be/Vh--XEkQDFg" TargetMode="External"/><Relationship Id="rId6" Type="http://schemas.openxmlformats.org/officeDocument/2006/relationships/hyperlink" Target="https://www.linkedin.com/sharing/share-offsite/?url=https://matejero.es/excel-porra-mundial/" TargetMode="External"/><Relationship Id="rId5" Type="http://schemas.openxmlformats.org/officeDocument/2006/relationships/hyperlink" Target="https://twitter.com/intent/tweet?text=Acabo%20de%20descargar%20el%20Excel%20del%20Mundial%202026.%20https://matejero.es/excel-porra-mundial/" TargetMode="External"/><Relationship Id="rId4" Type="http://schemas.openxmlformats.org/officeDocument/2006/relationships/hyperlink" Target="mailto:?subject=Excel%20Mundial%202026&amp;body=Te%20env%C3%ADo%20el%20Excel%20del%20Mundial%202026%20para%20descargarlo:%20https://matejero.es/excel-porra-mundial/"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matejero.com/" TargetMode="External"/><Relationship Id="rId2" Type="http://schemas.openxmlformats.org/officeDocument/2006/relationships/hyperlink" Target="https://www.matejero.es/" TargetMode="External"/><Relationship Id="rId1" Type="http://schemas.openxmlformats.org/officeDocument/2006/relationships/hyperlink" Target="https://www.linkedin.com/in/matejero" TargetMode="External"/><Relationship Id="rId4" Type="http://schemas.openxmlformats.org/officeDocument/2006/relationships/hyperlink" Target="https://youtu.be/Vh--XEkQDF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50"/>
  <sheetViews>
    <sheetView showGridLines="0" workbookViewId="0"/>
  </sheetViews>
  <sheetFormatPr baseColWidth="10" defaultColWidth="10.83203125" defaultRowHeight="15" customHeight="1" x14ac:dyDescent="0.2"/>
  <cols>
    <col min="1" max="1" width="3.83203125" style="1" customWidth="1"/>
    <col min="2" max="2" width="15.83203125" style="1" customWidth="1"/>
    <col min="3" max="3" width="26.83203125" style="1" customWidth="1"/>
    <col min="4" max="4" width="5.83203125" style="1" customWidth="1"/>
    <col min="5" max="9" width="11.33203125" style="1" customWidth="1"/>
    <col min="10" max="10" width="5.83203125" style="1" customWidth="1"/>
    <col min="11" max="11" width="26.83203125" style="1" customWidth="1"/>
    <col min="12" max="12" width="15.83203125" style="1" customWidth="1"/>
    <col min="13" max="13" width="10.5" style="1" customWidth="1"/>
    <col min="14" max="15" width="10.83203125" style="1" customWidth="1"/>
    <col min="16" max="16" width="12.1640625" style="1" customWidth="1"/>
    <col min="17" max="17" width="6.1640625" style="1" customWidth="1"/>
    <col min="18" max="31" width="10.83203125" style="1" customWidth="1"/>
    <col min="32" max="52" width="10.83203125" style="1" hidden="1" customWidth="1"/>
    <col min="53" max="53" width="10.83203125" style="1" customWidth="1"/>
    <col min="54" max="16384" width="10.83203125" style="1"/>
  </cols>
  <sheetData>
    <row r="1" spans="1:52" ht="15" customHeight="1" x14ac:dyDescent="0.2">
      <c r="A1" s="2"/>
      <c r="B1" s="3"/>
      <c r="C1" s="3"/>
      <c r="D1" s="3"/>
      <c r="E1" s="4"/>
      <c r="F1" s="4"/>
      <c r="G1" s="4"/>
      <c r="H1" s="4"/>
      <c r="I1" s="4"/>
      <c r="J1" s="4"/>
      <c r="K1" s="4"/>
      <c r="L1" s="3"/>
      <c r="M1" s="3"/>
      <c r="N1" s="3"/>
      <c r="O1" s="3"/>
      <c r="P1" s="3"/>
      <c r="Q1" s="3"/>
      <c r="R1" s="3"/>
      <c r="S1" s="3"/>
      <c r="T1" s="3"/>
      <c r="U1" s="3"/>
      <c r="V1" s="3"/>
      <c r="W1" s="3"/>
      <c r="X1" s="3"/>
      <c r="Y1" s="3"/>
      <c r="Z1" s="3"/>
      <c r="AA1" s="3"/>
      <c r="AB1" s="3"/>
      <c r="AC1" s="3"/>
      <c r="AD1" s="3"/>
      <c r="AE1" s="5"/>
      <c r="AF1" s="6"/>
      <c r="AG1" s="6"/>
      <c r="AH1" s="6"/>
      <c r="AI1" s="6"/>
      <c r="AJ1" s="6"/>
      <c r="AK1" s="6"/>
      <c r="AL1" s="6"/>
      <c r="AM1" s="6"/>
      <c r="AN1" s="6"/>
      <c r="AO1" s="6"/>
      <c r="AP1" s="6"/>
      <c r="AQ1" s="6"/>
      <c r="AR1" s="6"/>
      <c r="AS1" s="6"/>
      <c r="AT1" s="6"/>
      <c r="AU1" s="6"/>
      <c r="AV1" s="6"/>
      <c r="AW1" s="6"/>
      <c r="AX1" s="6"/>
      <c r="AY1" s="6"/>
      <c r="AZ1" s="6"/>
    </row>
    <row r="2" spans="1:52" ht="15" customHeight="1" x14ac:dyDescent="0.2">
      <c r="A2" s="7"/>
      <c r="B2" s="8"/>
      <c r="C2" s="9"/>
      <c r="D2" s="8"/>
      <c r="E2" s="10"/>
      <c r="F2" s="10"/>
      <c r="G2" s="10"/>
      <c r="H2" s="10"/>
      <c r="I2" s="10"/>
      <c r="J2" s="10"/>
      <c r="K2" s="10"/>
      <c r="L2" s="8"/>
      <c r="M2" s="8"/>
      <c r="N2" s="8"/>
      <c r="O2" s="8"/>
      <c r="P2" s="8"/>
      <c r="Q2" s="8"/>
      <c r="R2" s="8"/>
      <c r="S2" s="8"/>
      <c r="T2" s="8"/>
      <c r="U2" s="8"/>
      <c r="V2" s="8"/>
      <c r="W2" s="8"/>
      <c r="X2" s="8"/>
      <c r="Y2" s="8"/>
      <c r="Z2" s="8"/>
      <c r="AA2" s="8"/>
      <c r="AB2" s="8"/>
      <c r="AC2" s="8"/>
      <c r="AD2" s="8"/>
      <c r="AE2" s="11"/>
      <c r="AF2" s="12"/>
      <c r="AG2" s="12"/>
      <c r="AH2" s="12"/>
      <c r="AI2" s="12"/>
      <c r="AJ2" s="12"/>
      <c r="AK2" s="12"/>
      <c r="AL2" s="12"/>
      <c r="AM2" s="12"/>
      <c r="AN2" s="12"/>
      <c r="AO2" s="12"/>
      <c r="AP2" s="12"/>
      <c r="AQ2" s="12"/>
      <c r="AR2" s="12"/>
      <c r="AS2" s="12"/>
      <c r="AT2" s="12"/>
      <c r="AU2" s="12"/>
      <c r="AV2" s="12"/>
      <c r="AW2" s="12"/>
      <c r="AX2" s="12"/>
      <c r="AY2" s="12"/>
      <c r="AZ2" s="12"/>
    </row>
    <row r="3" spans="1:52" ht="35" customHeight="1" x14ac:dyDescent="0.2">
      <c r="A3" s="7"/>
      <c r="B3" s="759" t="s">
        <v>0</v>
      </c>
      <c r="C3" s="754"/>
      <c r="D3" s="754"/>
      <c r="E3" s="754"/>
      <c r="F3" s="754"/>
      <c r="G3" s="754"/>
      <c r="H3" s="754"/>
      <c r="I3" s="754"/>
      <c r="J3" s="754"/>
      <c r="K3" s="754"/>
      <c r="L3" s="754"/>
      <c r="M3" s="8"/>
      <c r="N3" s="8"/>
      <c r="O3" s="8"/>
      <c r="P3" s="8"/>
      <c r="Q3" s="8"/>
      <c r="R3" s="8"/>
      <c r="S3" s="8"/>
      <c r="T3" s="8"/>
      <c r="U3" s="8"/>
      <c r="V3" s="8"/>
      <c r="W3" s="8"/>
      <c r="X3" s="8"/>
      <c r="Y3" s="8"/>
      <c r="Z3" s="8"/>
      <c r="AA3" s="8"/>
      <c r="AB3" s="8"/>
      <c r="AC3" s="8"/>
      <c r="AD3" s="8"/>
      <c r="AE3" s="11"/>
      <c r="AF3" s="12"/>
      <c r="AG3" s="12"/>
      <c r="AH3" s="12"/>
      <c r="AI3" s="12"/>
      <c r="AJ3" s="12"/>
      <c r="AK3" s="12"/>
      <c r="AL3" s="12"/>
      <c r="AM3" s="12"/>
      <c r="AN3" s="12"/>
      <c r="AO3" s="12"/>
      <c r="AP3" s="12"/>
      <c r="AQ3" s="12"/>
      <c r="AR3" s="12"/>
      <c r="AS3" s="12"/>
      <c r="AT3" s="12"/>
      <c r="AU3" s="12"/>
      <c r="AV3" s="12"/>
      <c r="AW3" s="12"/>
      <c r="AX3" s="12"/>
      <c r="AY3" s="12"/>
      <c r="AZ3" s="14"/>
    </row>
    <row r="4" spans="1:52" ht="15" customHeight="1" x14ac:dyDescent="0.2">
      <c r="A4" s="7"/>
      <c r="B4" s="8"/>
      <c r="C4" s="8"/>
      <c r="D4" s="8"/>
      <c r="E4" s="10"/>
      <c r="F4" s="10"/>
      <c r="G4" s="10"/>
      <c r="H4" s="10"/>
      <c r="I4" s="10"/>
      <c r="J4" s="10"/>
      <c r="K4" s="10"/>
      <c r="L4" s="15"/>
      <c r="M4" s="8"/>
      <c r="N4" s="8"/>
      <c r="O4" s="8"/>
      <c r="P4" s="8"/>
      <c r="Q4" s="8"/>
      <c r="R4" s="8"/>
      <c r="S4" s="8"/>
      <c r="T4" s="8"/>
      <c r="U4" s="8"/>
      <c r="V4" s="8"/>
      <c r="W4" s="8"/>
      <c r="X4" s="8"/>
      <c r="Y4" s="8"/>
      <c r="Z4" s="8"/>
      <c r="AA4" s="8"/>
      <c r="AB4" s="8"/>
      <c r="AC4" s="8"/>
      <c r="AD4" s="8"/>
      <c r="AE4" s="11"/>
      <c r="AF4" s="12"/>
      <c r="AG4" s="12"/>
      <c r="AH4" s="12"/>
      <c r="AI4" s="12"/>
      <c r="AJ4" s="12"/>
      <c r="AK4" s="12"/>
      <c r="AL4" s="12"/>
      <c r="AM4" s="12"/>
      <c r="AN4" s="12"/>
      <c r="AO4" s="12"/>
      <c r="AP4" s="12"/>
      <c r="AQ4" s="12"/>
      <c r="AR4" s="12"/>
      <c r="AS4" s="12"/>
      <c r="AT4" s="12"/>
      <c r="AU4" s="12"/>
      <c r="AV4" s="12"/>
      <c r="AW4" s="12"/>
      <c r="AX4" s="12"/>
      <c r="AY4" s="12"/>
      <c r="AZ4" s="12"/>
    </row>
    <row r="5" spans="1:52" ht="20" customHeight="1" x14ac:dyDescent="0.2">
      <c r="A5" s="7"/>
      <c r="B5" s="8"/>
      <c r="C5" s="16" t="s">
        <v>1</v>
      </c>
      <c r="D5" s="8"/>
      <c r="E5" s="8"/>
      <c r="F5" s="8"/>
      <c r="G5" s="8"/>
      <c r="H5" s="8"/>
      <c r="I5" s="8"/>
      <c r="J5" s="8"/>
      <c r="K5" s="17"/>
      <c r="L5" s="18"/>
      <c r="M5" s="19"/>
      <c r="N5" s="19"/>
      <c r="O5" s="19"/>
      <c r="P5" s="8"/>
      <c r="Q5" s="8"/>
      <c r="R5" s="8"/>
      <c r="S5" s="8"/>
      <c r="T5" s="8"/>
      <c r="U5" s="8"/>
      <c r="V5" s="8"/>
      <c r="W5" s="8"/>
      <c r="X5" s="8"/>
      <c r="Y5" s="8"/>
      <c r="Z5" s="8"/>
      <c r="AA5" s="8"/>
      <c r="AB5" s="8"/>
      <c r="AC5" s="8"/>
      <c r="AD5" s="8"/>
      <c r="AE5" s="11"/>
      <c r="AF5" s="12"/>
      <c r="AG5" s="12"/>
      <c r="AH5" s="12"/>
      <c r="AI5" s="12"/>
      <c r="AJ5" s="12"/>
      <c r="AK5" s="12"/>
      <c r="AL5" s="12"/>
      <c r="AM5" s="12"/>
      <c r="AN5" s="12"/>
      <c r="AO5" s="12"/>
      <c r="AP5" s="12"/>
      <c r="AQ5" s="12"/>
      <c r="AR5" s="12"/>
      <c r="AS5" s="12"/>
      <c r="AT5" s="12"/>
      <c r="AU5" s="12"/>
      <c r="AV5" s="12"/>
      <c r="AW5" s="12"/>
      <c r="AX5" s="12"/>
      <c r="AY5" s="12"/>
      <c r="AZ5" s="12"/>
    </row>
    <row r="6" spans="1:52" ht="25" customHeight="1" x14ac:dyDescent="0.2">
      <c r="A6" s="7"/>
      <c r="B6" s="20"/>
      <c r="C6" s="21" t="s">
        <v>2</v>
      </c>
      <c r="D6" s="8"/>
      <c r="E6" s="10"/>
      <c r="F6" s="10"/>
      <c r="G6" s="10"/>
      <c r="H6" s="10"/>
      <c r="I6" s="10"/>
      <c r="J6" s="10"/>
      <c r="K6" s="22" t="s">
        <v>3</v>
      </c>
      <c r="L6" s="23"/>
      <c r="M6" s="8"/>
      <c r="N6" s="8"/>
      <c r="O6" s="8"/>
      <c r="P6" s="8"/>
      <c r="Q6" s="8"/>
      <c r="R6" s="8"/>
      <c r="S6" s="8"/>
      <c r="T6" s="8"/>
      <c r="U6" s="8"/>
      <c r="V6" s="8"/>
      <c r="W6" s="8"/>
      <c r="X6" s="8"/>
      <c r="Y6" s="8"/>
      <c r="Z6" s="8"/>
      <c r="AA6" s="8"/>
      <c r="AB6" s="8"/>
      <c r="AC6" s="8"/>
      <c r="AD6" s="8"/>
      <c r="AE6" s="11"/>
      <c r="AF6" s="12"/>
      <c r="AG6" s="12"/>
      <c r="AH6" s="12"/>
      <c r="AI6" s="12"/>
      <c r="AJ6" s="12"/>
      <c r="AK6" s="12"/>
      <c r="AL6" s="12"/>
      <c r="AM6" s="12"/>
      <c r="AN6" s="12"/>
      <c r="AO6" s="12"/>
      <c r="AP6" s="12"/>
      <c r="AQ6" s="12"/>
      <c r="AR6" s="12"/>
      <c r="AS6" s="12"/>
      <c r="AT6" s="12"/>
      <c r="AU6" s="12"/>
      <c r="AV6" s="12"/>
      <c r="AW6" s="12"/>
      <c r="AX6" s="12"/>
      <c r="AY6" s="12"/>
      <c r="AZ6" s="12"/>
    </row>
    <row r="7" spans="1:52" ht="20" customHeight="1" x14ac:dyDescent="0.2">
      <c r="A7" s="7"/>
      <c r="B7" s="24"/>
      <c r="C7" s="16" t="s">
        <v>4</v>
      </c>
      <c r="D7" s="8"/>
      <c r="E7" s="10"/>
      <c r="F7" s="10"/>
      <c r="G7" s="10"/>
      <c r="H7" s="10"/>
      <c r="I7" s="10"/>
      <c r="J7" s="10"/>
      <c r="K7" s="25"/>
      <c r="L7" s="8"/>
      <c r="M7" s="8"/>
      <c r="N7" s="8"/>
      <c r="O7" s="8"/>
      <c r="P7" s="8"/>
      <c r="Q7" s="8"/>
      <c r="R7" s="8"/>
      <c r="S7" s="8"/>
      <c r="T7" s="8"/>
      <c r="U7" s="8"/>
      <c r="V7" s="8"/>
      <c r="W7" s="8"/>
      <c r="X7" s="8"/>
      <c r="Y7" s="8"/>
      <c r="Z7" s="8"/>
      <c r="AA7" s="8"/>
      <c r="AB7" s="8"/>
      <c r="AC7" s="8"/>
      <c r="AD7" s="8"/>
      <c r="AE7" s="11"/>
      <c r="AF7" s="12"/>
      <c r="AG7" s="12"/>
      <c r="AH7" s="12"/>
      <c r="AI7" s="12"/>
      <c r="AJ7" s="12"/>
      <c r="AK7" s="12"/>
      <c r="AL7" s="12"/>
      <c r="AM7" s="12"/>
      <c r="AN7" s="12"/>
      <c r="AO7" s="12"/>
      <c r="AP7" s="12"/>
      <c r="AQ7" s="12"/>
      <c r="AR7" s="12"/>
      <c r="AS7" s="12"/>
      <c r="AT7" s="12"/>
      <c r="AU7" s="12"/>
      <c r="AV7" s="12"/>
      <c r="AW7" s="12"/>
      <c r="AX7" s="12"/>
      <c r="AY7" s="12"/>
      <c r="AZ7" s="12"/>
    </row>
    <row r="8" spans="1:52" ht="25" customHeight="1" x14ac:dyDescent="0.2">
      <c r="A8" s="7"/>
      <c r="B8" s="20"/>
      <c r="C8" s="21" t="s">
        <v>5</v>
      </c>
      <c r="D8" s="8"/>
      <c r="E8" s="10"/>
      <c r="F8" s="10"/>
      <c r="G8" s="10"/>
      <c r="H8" s="10"/>
      <c r="I8" s="10"/>
      <c r="J8" s="10"/>
      <c r="K8" s="22" t="s">
        <v>6</v>
      </c>
      <c r="L8" s="23"/>
      <c r="M8" s="8"/>
      <c r="N8" s="8"/>
      <c r="O8" s="8"/>
      <c r="P8" s="8"/>
      <c r="Q8" s="8"/>
      <c r="R8" s="8"/>
      <c r="S8" s="8"/>
      <c r="T8" s="8"/>
      <c r="U8" s="8"/>
      <c r="V8" s="8"/>
      <c r="W8" s="8"/>
      <c r="X8" s="8"/>
      <c r="Y8" s="8"/>
      <c r="Z8" s="8"/>
      <c r="AA8" s="8"/>
      <c r="AB8" s="8"/>
      <c r="AC8" s="8"/>
      <c r="AD8" s="8"/>
      <c r="AE8" s="11"/>
      <c r="AF8" s="12"/>
      <c r="AG8" s="12"/>
      <c r="AH8" s="12"/>
      <c r="AI8" s="12"/>
      <c r="AJ8" s="12"/>
      <c r="AK8" s="12"/>
      <c r="AL8" s="12"/>
      <c r="AM8" s="12"/>
      <c r="AN8" s="12"/>
      <c r="AO8" s="12"/>
      <c r="AP8" s="12"/>
      <c r="AQ8" s="12"/>
      <c r="AR8" s="12"/>
      <c r="AS8" s="12"/>
      <c r="AT8" s="12"/>
      <c r="AU8" s="12"/>
      <c r="AV8" s="12"/>
      <c r="AW8" s="12"/>
      <c r="AX8" s="12"/>
      <c r="AY8" s="12"/>
      <c r="AZ8" s="12"/>
    </row>
    <row r="9" spans="1:52" ht="20" customHeight="1" x14ac:dyDescent="0.2">
      <c r="A9" s="7"/>
      <c r="B9" s="24"/>
      <c r="C9" s="16" t="s">
        <v>7</v>
      </c>
      <c r="D9" s="8"/>
      <c r="E9" s="10"/>
      <c r="F9" s="10"/>
      <c r="G9" s="10"/>
      <c r="H9" s="10"/>
      <c r="I9" s="10"/>
      <c r="J9" s="10"/>
      <c r="K9" s="25"/>
      <c r="L9" s="8"/>
      <c r="M9" s="8"/>
      <c r="N9" s="8"/>
      <c r="O9" s="8"/>
      <c r="P9" s="8"/>
      <c r="Q9" s="8"/>
      <c r="R9" s="8"/>
      <c r="S9" s="8"/>
      <c r="T9" s="8"/>
      <c r="U9" s="8"/>
      <c r="V9" s="8"/>
      <c r="W9" s="8"/>
      <c r="X9" s="8"/>
      <c r="Y9" s="8"/>
      <c r="Z9" s="8"/>
      <c r="AA9" s="8"/>
      <c r="AB9" s="8"/>
      <c r="AC9" s="8"/>
      <c r="AD9" s="8"/>
      <c r="AE9" s="11"/>
      <c r="AF9" s="12"/>
      <c r="AG9" s="12"/>
      <c r="AH9" s="12"/>
      <c r="AI9" s="12"/>
      <c r="AJ9" s="12"/>
      <c r="AK9" s="12"/>
      <c r="AL9" s="12"/>
      <c r="AM9" s="12"/>
      <c r="AN9" s="12"/>
      <c r="AO9" s="12"/>
      <c r="AP9" s="12"/>
      <c r="AQ9" s="12"/>
      <c r="AR9" s="12"/>
      <c r="AS9" s="12"/>
      <c r="AT9" s="12"/>
      <c r="AU9" s="12"/>
      <c r="AV9" s="12"/>
      <c r="AW9" s="12"/>
      <c r="AX9" s="12"/>
      <c r="AY9" s="12"/>
      <c r="AZ9" s="12"/>
    </row>
    <row r="10" spans="1:52" ht="25" customHeight="1" x14ac:dyDescent="0.2">
      <c r="A10" s="7"/>
      <c r="B10" s="20"/>
      <c r="C10" s="21" t="s">
        <v>8</v>
      </c>
      <c r="D10" s="8"/>
      <c r="E10" s="10"/>
      <c r="F10" s="10"/>
      <c r="G10" s="10"/>
      <c r="H10" s="10"/>
      <c r="I10" s="10"/>
      <c r="J10" s="10"/>
      <c r="K10" s="22" t="s">
        <v>9</v>
      </c>
      <c r="L10" s="23"/>
      <c r="M10" s="8"/>
      <c r="N10" s="8"/>
      <c r="O10" s="8"/>
      <c r="P10" s="8"/>
      <c r="Q10" s="8"/>
      <c r="R10" s="8"/>
      <c r="S10" s="8"/>
      <c r="T10" s="8"/>
      <c r="U10" s="8"/>
      <c r="V10" s="8"/>
      <c r="W10" s="8"/>
      <c r="X10" s="8"/>
      <c r="Y10" s="8"/>
      <c r="Z10" s="8"/>
      <c r="AA10" s="8"/>
      <c r="AB10" s="8"/>
      <c r="AC10" s="8"/>
      <c r="AD10" s="8"/>
      <c r="AE10" s="11"/>
      <c r="AF10" s="12"/>
      <c r="AG10" s="12"/>
      <c r="AH10" s="12"/>
      <c r="AI10" s="12"/>
      <c r="AJ10" s="12"/>
      <c r="AK10" s="12"/>
      <c r="AL10" s="12"/>
      <c r="AM10" s="12"/>
      <c r="AN10" s="12"/>
      <c r="AO10" s="12"/>
      <c r="AP10" s="12"/>
      <c r="AQ10" s="12"/>
      <c r="AR10" s="12"/>
      <c r="AS10" s="12"/>
      <c r="AT10" s="12"/>
      <c r="AU10" s="12"/>
      <c r="AV10" s="12"/>
      <c r="AW10" s="12"/>
      <c r="AX10" s="12"/>
      <c r="AY10" s="12"/>
      <c r="AZ10" s="12"/>
    </row>
    <row r="11" spans="1:52" ht="20" customHeight="1" x14ac:dyDescent="0.2">
      <c r="A11" s="7"/>
      <c r="B11" s="8"/>
      <c r="C11" s="8"/>
      <c r="D11" s="8"/>
      <c r="E11" s="10"/>
      <c r="F11" s="10"/>
      <c r="G11" s="10"/>
      <c r="H11" s="10"/>
      <c r="I11" s="10"/>
      <c r="J11" s="10"/>
      <c r="K11" s="26"/>
      <c r="L11" s="8"/>
      <c r="M11" s="8"/>
      <c r="N11" s="8"/>
      <c r="O11" s="8"/>
      <c r="P11" s="8"/>
      <c r="Q11" s="8"/>
      <c r="R11" s="8"/>
      <c r="S11" s="8"/>
      <c r="T11" s="8"/>
      <c r="U11" s="8"/>
      <c r="V11" s="8"/>
      <c r="W11" s="8"/>
      <c r="X11" s="8"/>
      <c r="Y11" s="8"/>
      <c r="Z11" s="8"/>
      <c r="AA11" s="8"/>
      <c r="AB11" s="8"/>
      <c r="AC11" s="8"/>
      <c r="AD11" s="8"/>
      <c r="AE11" s="11"/>
      <c r="AF11" s="12"/>
      <c r="AG11" s="12"/>
      <c r="AH11" s="12"/>
      <c r="AI11" s="12"/>
      <c r="AJ11" s="12"/>
      <c r="AK11" s="12"/>
      <c r="AL11" s="12"/>
      <c r="AM11" s="12"/>
      <c r="AN11" s="12"/>
      <c r="AO11" s="12"/>
      <c r="AP11" s="12"/>
      <c r="AQ11" s="12"/>
      <c r="AR11" s="12"/>
      <c r="AS11" s="12"/>
      <c r="AT11" s="12"/>
      <c r="AU11" s="12"/>
      <c r="AV11" s="12"/>
      <c r="AW11" s="12"/>
      <c r="AX11" s="12"/>
      <c r="AY11" s="12"/>
      <c r="AZ11" s="12"/>
    </row>
    <row r="12" spans="1:52" ht="25" customHeight="1" x14ac:dyDescent="0.2">
      <c r="A12" s="7"/>
      <c r="B12" s="8"/>
      <c r="C12" s="8"/>
      <c r="D12" s="8"/>
      <c r="E12" s="10"/>
      <c r="F12" s="10"/>
      <c r="G12" s="10"/>
      <c r="H12" s="10"/>
      <c r="I12" s="10"/>
      <c r="J12" s="10"/>
      <c r="K12" s="10"/>
      <c r="L12" s="8"/>
      <c r="M12" s="8"/>
      <c r="N12" s="8"/>
      <c r="O12" s="8"/>
      <c r="P12" s="8"/>
      <c r="Q12" s="8"/>
      <c r="R12" s="8"/>
      <c r="S12" s="8"/>
      <c r="T12" s="8"/>
      <c r="U12" s="8"/>
      <c r="V12" s="8"/>
      <c r="W12" s="8"/>
      <c r="X12" s="8"/>
      <c r="Y12" s="8"/>
      <c r="Z12" s="8"/>
      <c r="AA12" s="8"/>
      <c r="AB12" s="8"/>
      <c r="AC12" s="8"/>
      <c r="AD12" s="8"/>
      <c r="AE12" s="11"/>
      <c r="AF12" s="12"/>
      <c r="AG12" s="12"/>
      <c r="AH12" s="12"/>
      <c r="AI12" s="12"/>
      <c r="AJ12" s="12"/>
      <c r="AK12" s="12"/>
      <c r="AL12" s="12"/>
      <c r="AM12" s="12"/>
      <c r="AN12" s="12"/>
      <c r="AO12" s="12"/>
      <c r="AP12" s="12"/>
      <c r="AQ12" s="12"/>
      <c r="AR12" s="12"/>
      <c r="AS12" s="12"/>
      <c r="AT12" s="12"/>
      <c r="AU12" s="12"/>
      <c r="AV12" s="12"/>
      <c r="AW12" s="12"/>
      <c r="AX12" s="12"/>
      <c r="AY12" s="12"/>
      <c r="AZ12" s="12"/>
    </row>
    <row r="13" spans="1:52" ht="16" customHeight="1" x14ac:dyDescent="0.2">
      <c r="A13" s="7"/>
      <c r="B13" s="8"/>
      <c r="C13" s="27"/>
      <c r="D13" s="8"/>
      <c r="E13" s="10"/>
      <c r="F13" s="10"/>
      <c r="G13" s="10"/>
      <c r="H13" s="10"/>
      <c r="I13" s="10"/>
      <c r="J13" s="10"/>
      <c r="K13" s="10"/>
      <c r="L13" s="8"/>
      <c r="M13" s="8"/>
      <c r="N13" s="8"/>
      <c r="O13" s="8"/>
      <c r="P13" s="8"/>
      <c r="Q13" s="8"/>
      <c r="R13" s="8"/>
      <c r="S13" s="8"/>
      <c r="T13" s="8"/>
      <c r="U13" s="8"/>
      <c r="V13" s="8"/>
      <c r="W13" s="8"/>
      <c r="X13" s="8"/>
      <c r="Y13" s="8"/>
      <c r="Z13" s="8"/>
      <c r="AA13" s="8"/>
      <c r="AB13" s="8"/>
      <c r="AC13" s="8"/>
      <c r="AD13" s="8"/>
      <c r="AE13" s="11"/>
      <c r="AF13" s="12"/>
      <c r="AG13" s="12"/>
      <c r="AH13" s="12"/>
      <c r="AI13" s="12"/>
      <c r="AJ13" s="12"/>
      <c r="AK13" s="12"/>
      <c r="AL13" s="12"/>
      <c r="AM13" s="12"/>
      <c r="AN13" s="12"/>
      <c r="AO13" s="12"/>
      <c r="AP13" s="12"/>
      <c r="AQ13" s="12"/>
      <c r="AR13" s="12"/>
      <c r="AS13" s="12"/>
      <c r="AT13" s="12"/>
      <c r="AU13" s="12"/>
      <c r="AV13" s="12"/>
      <c r="AW13" s="12"/>
      <c r="AX13" s="12"/>
      <c r="AY13" s="12"/>
      <c r="AZ13" s="12"/>
    </row>
    <row r="14" spans="1:52" ht="15" customHeight="1" x14ac:dyDescent="0.2">
      <c r="A14" s="7"/>
      <c r="B14" s="28"/>
      <c r="C14" s="28"/>
      <c r="D14" s="8"/>
      <c r="E14" s="10"/>
      <c r="F14" s="10"/>
      <c r="G14" s="10"/>
      <c r="H14" s="10"/>
      <c r="I14" s="10"/>
      <c r="J14" s="10"/>
      <c r="K14" s="10"/>
      <c r="L14" s="29"/>
      <c r="M14" s="8"/>
      <c r="N14" s="8"/>
      <c r="O14" s="8"/>
      <c r="P14" s="8"/>
      <c r="Q14" s="8"/>
      <c r="R14" s="8"/>
      <c r="S14" s="8"/>
      <c r="T14" s="8"/>
      <c r="U14" s="8"/>
      <c r="V14" s="8"/>
      <c r="W14" s="8"/>
      <c r="X14" s="8"/>
      <c r="Y14" s="8"/>
      <c r="Z14" s="8"/>
      <c r="AA14" s="8"/>
      <c r="AB14" s="8"/>
      <c r="AC14" s="8"/>
      <c r="AD14" s="8"/>
      <c r="AE14" s="11"/>
      <c r="AF14" s="12"/>
      <c r="AG14" s="12"/>
      <c r="AH14" s="12"/>
      <c r="AI14" s="12"/>
      <c r="AJ14" s="12"/>
      <c r="AK14" s="12"/>
      <c r="AL14" s="12"/>
      <c r="AM14" s="12"/>
      <c r="AN14" s="12"/>
      <c r="AO14" s="12"/>
      <c r="AP14" s="12"/>
      <c r="AQ14" s="12"/>
      <c r="AR14" s="12"/>
      <c r="AS14" s="12"/>
      <c r="AT14" s="12"/>
      <c r="AU14" s="12"/>
      <c r="AV14" s="12"/>
      <c r="AW14" s="12"/>
      <c r="AX14" s="12"/>
      <c r="AY14" s="12"/>
      <c r="AZ14" s="12"/>
    </row>
    <row r="15" spans="1:52" ht="15" customHeight="1" x14ac:dyDescent="0.2">
      <c r="A15" s="7"/>
      <c r="B15" s="28"/>
      <c r="C15" s="28"/>
      <c r="D15" s="8"/>
      <c r="E15" s="10"/>
      <c r="F15" s="10"/>
      <c r="G15" s="10"/>
      <c r="H15" s="10"/>
      <c r="I15" s="10"/>
      <c r="J15" s="10"/>
      <c r="K15" s="10"/>
      <c r="L15" s="8"/>
      <c r="M15" s="8"/>
      <c r="N15" s="8"/>
      <c r="O15" s="8"/>
      <c r="P15" s="8"/>
      <c r="Q15" s="8"/>
      <c r="R15" s="8"/>
      <c r="S15" s="8"/>
      <c r="T15" s="8"/>
      <c r="U15" s="8"/>
      <c r="V15" s="8"/>
      <c r="W15" s="8"/>
      <c r="X15" s="8"/>
      <c r="Y15" s="8"/>
      <c r="Z15" s="8"/>
      <c r="AA15" s="8"/>
      <c r="AB15" s="8"/>
      <c r="AC15" s="8"/>
      <c r="AD15" s="8"/>
      <c r="AE15" s="11"/>
      <c r="AF15" s="12"/>
      <c r="AG15" s="12"/>
      <c r="AH15" s="12"/>
      <c r="AI15" s="12"/>
      <c r="AJ15" s="12"/>
      <c r="AK15" s="12"/>
      <c r="AL15" s="12"/>
      <c r="AM15" s="12"/>
      <c r="AN15" s="12"/>
      <c r="AO15" s="12"/>
      <c r="AP15" s="12"/>
      <c r="AQ15" s="12"/>
      <c r="AR15" s="12"/>
      <c r="AS15" s="12"/>
      <c r="AT15" s="12"/>
      <c r="AU15" s="12"/>
      <c r="AV15" s="12"/>
      <c r="AW15" s="12"/>
      <c r="AX15" s="12"/>
      <c r="AY15" s="12"/>
      <c r="AZ15" s="12"/>
    </row>
    <row r="16" spans="1:52" ht="40" customHeight="1" x14ac:dyDescent="0.2">
      <c r="A16" s="7"/>
      <c r="B16" s="8"/>
      <c r="C16" s="8"/>
      <c r="D16" s="8"/>
      <c r="E16" s="751" t="s">
        <v>10</v>
      </c>
      <c r="F16" s="752"/>
      <c r="G16" s="752"/>
      <c r="H16" s="752"/>
      <c r="I16" s="752"/>
      <c r="J16" s="10"/>
      <c r="K16" s="30"/>
      <c r="L16" s="8"/>
      <c r="M16" s="8"/>
      <c r="N16" s="8"/>
      <c r="O16" s="8"/>
      <c r="P16" s="8"/>
      <c r="Q16" s="8"/>
      <c r="R16" s="8"/>
      <c r="S16" s="8"/>
      <c r="T16" s="8"/>
      <c r="U16" s="8"/>
      <c r="V16" s="8"/>
      <c r="W16" s="8"/>
      <c r="X16" s="8"/>
      <c r="Y16" s="8"/>
      <c r="Z16" s="8"/>
      <c r="AA16" s="8"/>
      <c r="AB16" s="8"/>
      <c r="AC16" s="8"/>
      <c r="AD16" s="8"/>
      <c r="AE16" s="11"/>
      <c r="AF16" s="12"/>
      <c r="AG16" s="12"/>
      <c r="AH16" s="12"/>
      <c r="AI16" s="12"/>
      <c r="AJ16" s="12"/>
      <c r="AK16" s="12"/>
      <c r="AL16" s="12"/>
      <c r="AM16" s="12"/>
      <c r="AN16" s="12"/>
      <c r="AO16" s="12"/>
      <c r="AP16" s="12"/>
      <c r="AQ16" s="12"/>
      <c r="AR16" s="12"/>
      <c r="AS16" s="12"/>
      <c r="AT16" s="12"/>
      <c r="AU16" s="12"/>
      <c r="AV16" s="12"/>
      <c r="AW16" s="12"/>
      <c r="AX16" s="12"/>
      <c r="AY16" s="12"/>
      <c r="AZ16" s="12"/>
    </row>
    <row r="17" spans="1:52" ht="40" customHeight="1" x14ac:dyDescent="0.2">
      <c r="A17" s="7"/>
      <c r="B17" s="8"/>
      <c r="C17" s="8"/>
      <c r="D17" s="31"/>
      <c r="E17" s="755" t="s">
        <v>11</v>
      </c>
      <c r="F17" s="756"/>
      <c r="G17" s="757"/>
      <c r="H17" s="757"/>
      <c r="I17" s="758"/>
      <c r="J17" s="32"/>
      <c r="K17" s="33" t="s">
        <v>12</v>
      </c>
      <c r="L17" s="34"/>
      <c r="M17" s="8"/>
      <c r="N17" s="35"/>
      <c r="O17" s="36"/>
      <c r="P17" s="8"/>
      <c r="Q17" s="8"/>
      <c r="R17" s="8"/>
      <c r="S17" s="8"/>
      <c r="T17" s="8"/>
      <c r="U17" s="8"/>
      <c r="V17" s="8"/>
      <c r="W17" s="8"/>
      <c r="X17" s="8"/>
      <c r="Y17" s="8"/>
      <c r="Z17" s="8"/>
      <c r="AA17" s="8"/>
      <c r="AB17" s="8"/>
      <c r="AC17" s="8"/>
      <c r="AD17" s="8"/>
      <c r="AE17" s="11"/>
      <c r="AF17" s="12"/>
      <c r="AG17" s="12"/>
      <c r="AH17" s="12"/>
      <c r="AI17" s="12"/>
      <c r="AJ17" s="12"/>
      <c r="AK17" s="12"/>
      <c r="AL17" s="12"/>
      <c r="AM17" s="12"/>
      <c r="AN17" s="12"/>
      <c r="AO17" s="12"/>
      <c r="AP17" s="12"/>
      <c r="AQ17" s="12"/>
      <c r="AR17" s="12"/>
      <c r="AS17" s="12"/>
      <c r="AT17" s="12"/>
      <c r="AU17" s="12"/>
      <c r="AV17" s="12"/>
      <c r="AW17" s="12"/>
      <c r="AX17" s="12"/>
      <c r="AY17" s="12"/>
      <c r="AZ17" s="12"/>
    </row>
    <row r="18" spans="1:52" ht="15" customHeight="1" x14ac:dyDescent="0.2">
      <c r="A18" s="7"/>
      <c r="B18" s="8"/>
      <c r="C18" s="8"/>
      <c r="D18" s="8"/>
      <c r="E18" s="37"/>
      <c r="F18" s="37"/>
      <c r="G18" s="37"/>
      <c r="H18" s="37"/>
      <c r="I18" s="37"/>
      <c r="J18" s="10"/>
      <c r="K18" s="37"/>
      <c r="L18" s="8"/>
      <c r="M18" s="8"/>
      <c r="N18" s="8"/>
      <c r="O18" s="8"/>
      <c r="P18" s="8"/>
      <c r="Q18" s="8"/>
      <c r="R18" s="8"/>
      <c r="S18" s="8"/>
      <c r="T18" s="8"/>
      <c r="U18" s="8"/>
      <c r="V18" s="8"/>
      <c r="W18" s="8"/>
      <c r="X18" s="8"/>
      <c r="Y18" s="8"/>
      <c r="Z18" s="8"/>
      <c r="AA18" s="8"/>
      <c r="AB18" s="8"/>
      <c r="AC18" s="8"/>
      <c r="AD18" s="8"/>
      <c r="AE18" s="11"/>
      <c r="AF18" s="12"/>
      <c r="AG18" s="12"/>
      <c r="AH18" s="12"/>
      <c r="AI18" s="12"/>
      <c r="AJ18" s="12"/>
      <c r="AK18" s="12"/>
      <c r="AL18" s="12"/>
      <c r="AM18" s="12"/>
      <c r="AN18" s="12"/>
      <c r="AO18" s="12"/>
      <c r="AP18" s="12"/>
      <c r="AQ18" s="12"/>
      <c r="AR18" s="12"/>
      <c r="AS18" s="12"/>
      <c r="AT18" s="12"/>
      <c r="AU18" s="12"/>
      <c r="AV18" s="12"/>
      <c r="AW18" s="12"/>
      <c r="AX18" s="12"/>
      <c r="AY18" s="12"/>
      <c r="AZ18" s="12"/>
    </row>
    <row r="19" spans="1:52" ht="15" customHeight="1" x14ac:dyDescent="0.2">
      <c r="A19" s="7"/>
      <c r="B19" s="8"/>
      <c r="C19" s="8"/>
      <c r="D19" s="8"/>
      <c r="E19" s="10"/>
      <c r="F19" s="10"/>
      <c r="G19" s="10"/>
      <c r="H19" s="10"/>
      <c r="I19" s="10"/>
      <c r="J19" s="10"/>
      <c r="K19" s="10"/>
      <c r="L19" s="8"/>
      <c r="M19" s="8"/>
      <c r="N19" s="8"/>
      <c r="O19" s="8"/>
      <c r="P19" s="8"/>
      <c r="Q19" s="8"/>
      <c r="R19" s="8"/>
      <c r="S19" s="8"/>
      <c r="T19" s="8"/>
      <c r="U19" s="8"/>
      <c r="V19" s="8"/>
      <c r="W19" s="8"/>
      <c r="X19" s="8"/>
      <c r="Y19" s="8"/>
      <c r="Z19" s="8"/>
      <c r="AA19" s="8"/>
      <c r="AB19" s="8"/>
      <c r="AC19" s="8"/>
      <c r="AD19" s="8"/>
      <c r="AE19" s="11"/>
      <c r="AF19" s="12"/>
      <c r="AG19" s="12"/>
      <c r="AH19" s="12"/>
      <c r="AI19" s="12"/>
      <c r="AJ19" s="12"/>
      <c r="AK19" s="12"/>
      <c r="AL19" s="12"/>
      <c r="AM19" s="12"/>
      <c r="AN19" s="12"/>
      <c r="AO19" s="12"/>
      <c r="AP19" s="12"/>
      <c r="AQ19" s="12"/>
      <c r="AR19" s="12"/>
      <c r="AS19" s="12"/>
      <c r="AT19" s="12"/>
      <c r="AU19" s="12"/>
      <c r="AV19" s="12"/>
      <c r="AW19" s="12"/>
      <c r="AX19" s="12"/>
      <c r="AY19" s="12"/>
      <c r="AZ19" s="12"/>
    </row>
    <row r="20" spans="1:52" ht="15" customHeight="1" x14ac:dyDescent="0.2">
      <c r="A20" s="7"/>
      <c r="B20" s="38" t="s">
        <v>13</v>
      </c>
      <c r="C20" s="8"/>
      <c r="D20" s="8"/>
      <c r="E20" s="10"/>
      <c r="F20" s="10"/>
      <c r="G20" s="10"/>
      <c r="H20" s="10"/>
      <c r="I20" s="10"/>
      <c r="J20" s="10"/>
      <c r="K20" s="10"/>
      <c r="L20" s="8"/>
      <c r="M20" s="8"/>
      <c r="N20" s="8"/>
      <c r="O20" s="8"/>
      <c r="P20" s="8"/>
      <c r="Q20" s="8"/>
      <c r="R20" s="8"/>
      <c r="S20" s="8"/>
      <c r="T20" s="8"/>
      <c r="U20" s="8"/>
      <c r="V20" s="8"/>
      <c r="W20" s="8"/>
      <c r="X20" s="8"/>
      <c r="Y20" s="8"/>
      <c r="Z20" s="8"/>
      <c r="AA20" s="8"/>
      <c r="AB20" s="8"/>
      <c r="AC20" s="8"/>
      <c r="AD20" s="8"/>
      <c r="AE20" s="11"/>
      <c r="AF20" s="12"/>
      <c r="AG20" s="12"/>
      <c r="AH20" s="12"/>
      <c r="AI20" s="12"/>
      <c r="AJ20" s="12"/>
      <c r="AK20" s="12"/>
      <c r="AL20" s="12"/>
      <c r="AM20" s="12"/>
      <c r="AN20" s="12"/>
      <c r="AO20" s="12"/>
      <c r="AP20" s="12"/>
      <c r="AQ20" s="12"/>
      <c r="AR20" s="12"/>
      <c r="AS20" s="12"/>
      <c r="AT20" s="12"/>
      <c r="AU20" s="12"/>
      <c r="AV20" s="12"/>
      <c r="AW20" s="12"/>
      <c r="AX20" s="12"/>
      <c r="AY20" s="12"/>
      <c r="AZ20" s="12"/>
    </row>
    <row r="21" spans="1:52" ht="15" customHeight="1" x14ac:dyDescent="0.2">
      <c r="A21" s="7"/>
      <c r="B21" s="38" t="s">
        <v>13</v>
      </c>
      <c r="C21" s="8"/>
      <c r="D21" s="8"/>
      <c r="E21" s="39" t="s">
        <v>14</v>
      </c>
      <c r="F21" s="30"/>
      <c r="G21" s="30"/>
      <c r="H21" s="30"/>
      <c r="I21" s="30"/>
      <c r="J21" s="10"/>
      <c r="K21" s="10"/>
      <c r="L21" s="8"/>
      <c r="M21" s="8"/>
      <c r="N21" s="8"/>
      <c r="O21" s="8"/>
      <c r="P21" s="8"/>
      <c r="Q21" s="8"/>
      <c r="R21" s="8"/>
      <c r="S21" s="8"/>
      <c r="T21" s="8"/>
      <c r="U21" s="8"/>
      <c r="V21" s="8"/>
      <c r="W21" s="8"/>
      <c r="X21" s="8"/>
      <c r="Y21" s="8"/>
      <c r="Z21" s="8"/>
      <c r="AA21" s="8"/>
      <c r="AB21" s="8"/>
      <c r="AC21" s="8"/>
      <c r="AD21" s="8"/>
      <c r="AE21" s="11"/>
      <c r="AF21" s="12"/>
      <c r="AG21" s="12"/>
      <c r="AH21" s="12"/>
      <c r="AI21" s="12"/>
      <c r="AJ21" s="12"/>
      <c r="AK21" s="12"/>
      <c r="AL21" s="12"/>
      <c r="AM21" s="12"/>
      <c r="AN21" s="12"/>
      <c r="AO21" s="12"/>
      <c r="AP21" s="12"/>
      <c r="AQ21" s="12"/>
      <c r="AR21" s="12"/>
      <c r="AS21" s="12"/>
      <c r="AT21" s="12"/>
      <c r="AU21" s="12"/>
      <c r="AV21" s="12"/>
      <c r="AW21" s="12"/>
      <c r="AX21" s="12"/>
      <c r="AY21" s="12"/>
      <c r="AZ21" s="12"/>
    </row>
    <row r="22" spans="1:52" ht="31" customHeight="1" x14ac:dyDescent="0.2">
      <c r="A22" s="7"/>
      <c r="B22" s="38" t="s">
        <v>13</v>
      </c>
      <c r="C22" s="8"/>
      <c r="D22" s="31"/>
      <c r="E22" s="40" t="s">
        <v>15</v>
      </c>
      <c r="F22" s="41" t="s">
        <v>16</v>
      </c>
      <c r="G22" s="42" t="s">
        <v>17</v>
      </c>
      <c r="H22" s="43" t="s">
        <v>18</v>
      </c>
      <c r="I22" s="44" t="s">
        <v>19</v>
      </c>
      <c r="J22" s="45"/>
      <c r="K22" s="46"/>
      <c r="L22" s="17"/>
      <c r="M22" s="8"/>
      <c r="N22" s="8"/>
      <c r="O22" s="8"/>
      <c r="P22" s="8"/>
      <c r="Q22" s="8"/>
      <c r="R22" s="8"/>
      <c r="S22" s="8"/>
      <c r="T22" s="8"/>
      <c r="U22" s="8"/>
      <c r="V22" s="8"/>
      <c r="W22" s="8"/>
      <c r="X22" s="8"/>
      <c r="Y22" s="8"/>
      <c r="Z22" s="8"/>
      <c r="AA22" s="8"/>
      <c r="AB22" s="8"/>
      <c r="AC22" s="8"/>
      <c r="AD22" s="8"/>
      <c r="AE22" s="11"/>
      <c r="AF22" s="12"/>
      <c r="AG22" s="12"/>
      <c r="AH22" s="12"/>
      <c r="AI22" s="12"/>
      <c r="AJ22" s="12"/>
      <c r="AK22" s="12"/>
      <c r="AL22" s="12"/>
      <c r="AM22" s="12"/>
      <c r="AN22" s="12"/>
      <c r="AO22" s="12"/>
      <c r="AP22" s="12"/>
      <c r="AQ22" s="12"/>
      <c r="AR22" s="12"/>
      <c r="AS22" s="12"/>
      <c r="AT22" s="12"/>
      <c r="AU22" s="12"/>
      <c r="AV22" s="12"/>
      <c r="AW22" s="12"/>
      <c r="AX22" s="12"/>
      <c r="AY22" s="12"/>
      <c r="AZ22" s="12"/>
    </row>
    <row r="23" spans="1:52" ht="20" customHeight="1" x14ac:dyDescent="0.2">
      <c r="A23" s="7"/>
      <c r="B23" s="38" t="s">
        <v>13</v>
      </c>
      <c r="C23" s="8"/>
      <c r="D23" s="8"/>
      <c r="E23" s="47"/>
      <c r="F23" s="47"/>
      <c r="G23" s="47"/>
      <c r="H23" s="47"/>
      <c r="I23" s="47"/>
      <c r="J23" s="48"/>
      <c r="K23" s="49" t="s">
        <v>20</v>
      </c>
      <c r="L23" s="50" t="s">
        <v>21</v>
      </c>
      <c r="M23" s="23"/>
      <c r="N23" s="8"/>
      <c r="O23" s="8"/>
      <c r="P23" s="8"/>
      <c r="Q23" s="8"/>
      <c r="R23" s="8"/>
      <c r="S23" s="8"/>
      <c r="T23" s="8"/>
      <c r="U23" s="8"/>
      <c r="V23" s="8"/>
      <c r="W23" s="8"/>
      <c r="X23" s="8"/>
      <c r="Y23" s="8"/>
      <c r="Z23" s="8"/>
      <c r="AA23" s="8"/>
      <c r="AB23" s="8"/>
      <c r="AC23" s="8"/>
      <c r="AD23" s="8"/>
      <c r="AE23" s="11"/>
      <c r="AF23" s="12"/>
      <c r="AG23" s="12"/>
      <c r="AH23" s="12"/>
      <c r="AI23" s="12"/>
      <c r="AJ23" s="12"/>
      <c r="AK23" s="12"/>
      <c r="AL23" s="12"/>
      <c r="AM23" s="12"/>
      <c r="AN23" s="12"/>
      <c r="AO23" s="12"/>
      <c r="AP23" s="12"/>
      <c r="AQ23" s="12"/>
      <c r="AR23" s="12"/>
      <c r="AS23" s="12"/>
      <c r="AT23" s="12"/>
      <c r="AU23" s="12"/>
      <c r="AV23" s="12"/>
      <c r="AW23" s="12"/>
      <c r="AX23" s="12"/>
      <c r="AY23" s="12"/>
      <c r="AZ23" s="12"/>
    </row>
    <row r="24" spans="1:52" ht="30" customHeight="1" x14ac:dyDescent="0.2">
      <c r="A24" s="7"/>
      <c r="B24" s="753"/>
      <c r="C24" s="754"/>
      <c r="D24" s="8"/>
      <c r="E24" s="10"/>
      <c r="F24" s="10"/>
      <c r="G24" s="10"/>
      <c r="H24" s="10"/>
      <c r="I24" s="10"/>
      <c r="J24" s="10"/>
      <c r="K24" s="51"/>
      <c r="L24" s="52"/>
      <c r="M24" s="8"/>
      <c r="N24" s="8"/>
      <c r="O24" s="8"/>
      <c r="P24" s="8"/>
      <c r="Q24" s="8"/>
      <c r="R24" s="8"/>
      <c r="S24" s="8"/>
      <c r="T24" s="8"/>
      <c r="U24" s="8"/>
      <c r="V24" s="8"/>
      <c r="W24" s="8"/>
      <c r="X24" s="8"/>
      <c r="Y24" s="8"/>
      <c r="Z24" s="8"/>
      <c r="AA24" s="8"/>
      <c r="AB24" s="8"/>
      <c r="AC24" s="8"/>
      <c r="AD24" s="8"/>
      <c r="AE24" s="11"/>
      <c r="AF24" s="12"/>
      <c r="AG24" s="12"/>
      <c r="AH24" s="12"/>
      <c r="AI24" s="12"/>
      <c r="AJ24" s="12"/>
      <c r="AK24" s="12"/>
      <c r="AL24" s="12"/>
      <c r="AM24" s="12"/>
      <c r="AN24" s="12"/>
      <c r="AO24" s="12"/>
      <c r="AP24" s="12"/>
      <c r="AQ24" s="12"/>
      <c r="AR24" s="12"/>
      <c r="AS24" s="12"/>
      <c r="AT24" s="12"/>
      <c r="AU24" s="12"/>
      <c r="AV24" s="12"/>
      <c r="AW24" s="12"/>
      <c r="AX24" s="12"/>
      <c r="AY24" s="12"/>
      <c r="AZ24" s="12"/>
    </row>
    <row r="25" spans="1:52" ht="15" customHeight="1" x14ac:dyDescent="0.2">
      <c r="A25" s="7"/>
      <c r="B25" s="8"/>
      <c r="C25" s="8"/>
      <c r="D25" s="8"/>
      <c r="E25" s="10"/>
      <c r="F25" s="10"/>
      <c r="G25" s="10"/>
      <c r="H25" s="10"/>
      <c r="I25" s="10"/>
      <c r="J25" s="10"/>
      <c r="K25" s="10"/>
      <c r="L25" s="8"/>
      <c r="M25" s="8"/>
      <c r="N25" s="8"/>
      <c r="O25" s="8"/>
      <c r="P25" s="8"/>
      <c r="Q25" s="8"/>
      <c r="R25" s="8"/>
      <c r="S25" s="8"/>
      <c r="T25" s="8"/>
      <c r="U25" s="8"/>
      <c r="V25" s="8"/>
      <c r="W25" s="8"/>
      <c r="X25" s="8"/>
      <c r="Y25" s="8"/>
      <c r="Z25" s="8"/>
      <c r="AA25" s="8"/>
      <c r="AB25" s="8"/>
      <c r="AC25" s="8"/>
      <c r="AD25" s="8"/>
      <c r="AE25" s="11"/>
      <c r="AF25" s="12"/>
      <c r="AG25" s="12"/>
      <c r="AH25" s="12"/>
      <c r="AI25" s="12"/>
      <c r="AJ25" s="12"/>
      <c r="AK25" s="12"/>
      <c r="AL25" s="12"/>
      <c r="AM25" s="12"/>
      <c r="AN25" s="12"/>
      <c r="AO25" s="12"/>
      <c r="AP25" s="12"/>
      <c r="AQ25" s="12"/>
      <c r="AR25" s="12"/>
      <c r="AS25" s="12"/>
      <c r="AT25" s="12"/>
      <c r="AU25" s="12"/>
      <c r="AV25" s="12"/>
      <c r="AW25" s="12"/>
      <c r="AX25" s="12"/>
      <c r="AY25" s="12"/>
      <c r="AZ25" s="12"/>
    </row>
    <row r="26" spans="1:52" ht="15" customHeight="1" x14ac:dyDescent="0.2">
      <c r="A26" s="7"/>
      <c r="B26" s="8"/>
      <c r="C26" s="8"/>
      <c r="D26" s="8"/>
      <c r="E26" s="53"/>
      <c r="F26" s="53"/>
      <c r="G26" s="53"/>
      <c r="H26" s="53"/>
      <c r="I26" s="53"/>
      <c r="J26" s="10"/>
      <c r="K26" s="53"/>
      <c r="L26" s="8"/>
      <c r="M26" s="8"/>
      <c r="N26" s="8"/>
      <c r="O26" s="8"/>
      <c r="P26" s="8"/>
      <c r="Q26" s="8"/>
      <c r="R26" s="8"/>
      <c r="S26" s="8"/>
      <c r="T26" s="8"/>
      <c r="U26" s="8"/>
      <c r="V26" s="8"/>
      <c r="W26" s="8"/>
      <c r="X26" s="8"/>
      <c r="Y26" s="8"/>
      <c r="Z26" s="8"/>
      <c r="AA26" s="8"/>
      <c r="AB26" s="8"/>
      <c r="AC26" s="8"/>
      <c r="AD26" s="8"/>
      <c r="AE26" s="11"/>
      <c r="AF26" s="12"/>
      <c r="AG26" s="12"/>
      <c r="AH26" s="12"/>
      <c r="AI26" s="12"/>
      <c r="AJ26" s="12"/>
      <c r="AK26" s="12"/>
      <c r="AL26" s="12"/>
      <c r="AM26" s="12"/>
      <c r="AN26" s="12"/>
      <c r="AO26" s="12"/>
      <c r="AP26" s="12"/>
      <c r="AQ26" s="12"/>
      <c r="AR26" s="12"/>
      <c r="AS26" s="12"/>
      <c r="AT26" s="12"/>
      <c r="AU26" s="12"/>
      <c r="AV26" s="12"/>
      <c r="AW26" s="12"/>
      <c r="AX26" s="12"/>
      <c r="AY26" s="12"/>
      <c r="AZ26" s="12"/>
    </row>
    <row r="27" spans="1:52" ht="15" customHeight="1" x14ac:dyDescent="0.2">
      <c r="A27" s="7"/>
      <c r="B27" s="8"/>
      <c r="C27" s="8"/>
      <c r="D27" s="8"/>
      <c r="E27" s="53"/>
      <c r="F27" s="53"/>
      <c r="G27" s="53"/>
      <c r="H27" s="53"/>
      <c r="I27" s="53"/>
      <c r="J27" s="10"/>
      <c r="K27" s="53"/>
      <c r="L27" s="8"/>
      <c r="M27" s="8"/>
      <c r="N27" s="8"/>
      <c r="O27" s="8"/>
      <c r="P27" s="8"/>
      <c r="Q27" s="8"/>
      <c r="R27" s="8"/>
      <c r="S27" s="8"/>
      <c r="T27" s="8"/>
      <c r="U27" s="8"/>
      <c r="V27" s="8"/>
      <c r="W27" s="8"/>
      <c r="X27" s="8"/>
      <c r="Y27" s="8"/>
      <c r="Z27" s="8"/>
      <c r="AA27" s="8"/>
      <c r="AB27" s="8"/>
      <c r="AC27" s="8"/>
      <c r="AD27" s="8"/>
      <c r="AE27" s="11"/>
      <c r="AF27" s="12"/>
      <c r="AG27" s="12"/>
      <c r="AH27" s="12"/>
      <c r="AI27" s="12"/>
      <c r="AJ27" s="12"/>
      <c r="AK27" s="12"/>
      <c r="AL27" s="12"/>
      <c r="AM27" s="12"/>
      <c r="AN27" s="12"/>
      <c r="AO27" s="12"/>
      <c r="AP27" s="12"/>
      <c r="AQ27" s="12"/>
      <c r="AR27" s="12"/>
      <c r="AS27" s="12"/>
      <c r="AT27" s="12"/>
      <c r="AU27" s="12"/>
      <c r="AV27" s="12"/>
      <c r="AW27" s="12"/>
      <c r="AX27" s="12"/>
      <c r="AY27" s="12"/>
      <c r="AZ27" s="12"/>
    </row>
    <row r="28" spans="1:52" ht="15" customHeight="1" x14ac:dyDescent="0.2">
      <c r="A28" s="7"/>
      <c r="B28" s="8"/>
      <c r="C28" s="8"/>
      <c r="D28" s="8"/>
      <c r="E28" s="53"/>
      <c r="F28" s="53"/>
      <c r="G28" s="53"/>
      <c r="H28" s="53"/>
      <c r="I28" s="53"/>
      <c r="J28" s="10"/>
      <c r="K28" s="53"/>
      <c r="L28" s="8"/>
      <c r="M28" s="8"/>
      <c r="N28" s="8"/>
      <c r="O28" s="8"/>
      <c r="P28" s="8"/>
      <c r="Q28" s="8"/>
      <c r="R28" s="8"/>
      <c r="S28" s="8"/>
      <c r="T28" s="8"/>
      <c r="U28" s="8"/>
      <c r="V28" s="8"/>
      <c r="W28" s="8"/>
      <c r="X28" s="8"/>
      <c r="Y28" s="8"/>
      <c r="Z28" s="8"/>
      <c r="AA28" s="8"/>
      <c r="AB28" s="8"/>
      <c r="AC28" s="8"/>
      <c r="AD28" s="8"/>
      <c r="AE28" s="11"/>
      <c r="AF28" s="12"/>
      <c r="AG28" s="12"/>
      <c r="AH28" s="12"/>
      <c r="AI28" s="12"/>
      <c r="AJ28" s="12"/>
      <c r="AK28" s="12"/>
      <c r="AL28" s="12"/>
      <c r="AM28" s="12"/>
      <c r="AN28" s="12"/>
      <c r="AO28" s="12"/>
      <c r="AP28" s="12"/>
      <c r="AQ28" s="12"/>
      <c r="AR28" s="12"/>
      <c r="AS28" s="12"/>
      <c r="AT28" s="12"/>
      <c r="AU28" s="12"/>
      <c r="AV28" s="12"/>
      <c r="AW28" s="12"/>
      <c r="AX28" s="12"/>
      <c r="AY28" s="12"/>
      <c r="AZ28" s="12"/>
    </row>
    <row r="29" spans="1:52" ht="15" customHeight="1" x14ac:dyDescent="0.2">
      <c r="A29" s="7"/>
      <c r="B29" s="8"/>
      <c r="C29" s="8"/>
      <c r="D29" s="8"/>
      <c r="E29" s="53"/>
      <c r="F29" s="53"/>
      <c r="G29" s="53"/>
      <c r="H29" s="53"/>
      <c r="I29" s="53"/>
      <c r="J29" s="53"/>
      <c r="K29" s="53"/>
      <c r="L29" s="8"/>
      <c r="M29" s="8"/>
      <c r="N29" s="8"/>
      <c r="O29" s="8"/>
      <c r="P29" s="8"/>
      <c r="Q29" s="8"/>
      <c r="R29" s="8"/>
      <c r="S29" s="8"/>
      <c r="T29" s="8"/>
      <c r="U29" s="8"/>
      <c r="V29" s="8"/>
      <c r="W29" s="8"/>
      <c r="X29" s="8"/>
      <c r="Y29" s="8"/>
      <c r="Z29" s="8"/>
      <c r="AA29" s="8"/>
      <c r="AB29" s="8"/>
      <c r="AC29" s="8"/>
      <c r="AD29" s="8"/>
      <c r="AE29" s="11"/>
      <c r="AF29" s="12"/>
      <c r="AG29" s="12"/>
      <c r="AH29" s="12"/>
      <c r="AI29" s="12"/>
      <c r="AJ29" s="12"/>
      <c r="AK29" s="12"/>
      <c r="AL29" s="12"/>
      <c r="AM29" s="12"/>
      <c r="AN29" s="12"/>
      <c r="AO29" s="12"/>
      <c r="AP29" s="12"/>
      <c r="AQ29" s="12"/>
      <c r="AR29" s="12"/>
      <c r="AS29" s="12"/>
      <c r="AT29" s="12"/>
      <c r="AU29" s="12"/>
      <c r="AV29" s="12"/>
      <c r="AW29" s="12"/>
      <c r="AX29" s="12"/>
      <c r="AY29" s="12"/>
      <c r="AZ29" s="12"/>
    </row>
    <row r="30" spans="1:52" ht="15" customHeight="1" x14ac:dyDescent="0.2">
      <c r="A30" s="7"/>
      <c r="B30" s="8"/>
      <c r="C30" s="8"/>
      <c r="D30" s="8"/>
      <c r="E30" s="53"/>
      <c r="F30" s="53"/>
      <c r="G30" s="53"/>
      <c r="H30" s="53"/>
      <c r="I30" s="53"/>
      <c r="J30" s="53"/>
      <c r="K30" s="53"/>
      <c r="L30" s="8"/>
      <c r="M30" s="8"/>
      <c r="N30" s="8"/>
      <c r="O30" s="8"/>
      <c r="P30" s="8"/>
      <c r="Q30" s="8"/>
      <c r="R30" s="8"/>
      <c r="S30" s="8"/>
      <c r="T30" s="8"/>
      <c r="U30" s="8"/>
      <c r="V30" s="8"/>
      <c r="W30" s="8"/>
      <c r="X30" s="8"/>
      <c r="Y30" s="8"/>
      <c r="Z30" s="8"/>
      <c r="AA30" s="8"/>
      <c r="AB30" s="8"/>
      <c r="AC30" s="8"/>
      <c r="AD30" s="8"/>
      <c r="AE30" s="11"/>
      <c r="AF30" s="12"/>
      <c r="AG30" s="12"/>
      <c r="AH30" s="12"/>
      <c r="AI30" s="12"/>
      <c r="AJ30" s="12"/>
      <c r="AK30" s="12"/>
      <c r="AL30" s="12"/>
      <c r="AM30" s="12"/>
      <c r="AN30" s="12"/>
      <c r="AO30" s="12"/>
      <c r="AP30" s="12"/>
      <c r="AQ30" s="12"/>
      <c r="AR30" s="12"/>
      <c r="AS30" s="12"/>
      <c r="AT30" s="12"/>
      <c r="AU30" s="12"/>
      <c r="AV30" s="12"/>
      <c r="AW30" s="12"/>
      <c r="AX30" s="12"/>
      <c r="AY30" s="12"/>
      <c r="AZ30" s="12"/>
    </row>
    <row r="31" spans="1:52" ht="15" customHeight="1" x14ac:dyDescent="0.2">
      <c r="A31" s="7"/>
      <c r="B31" s="8"/>
      <c r="C31" s="8"/>
      <c r="D31" s="8"/>
      <c r="E31" s="53"/>
      <c r="F31" s="53"/>
      <c r="G31" s="53"/>
      <c r="H31" s="53"/>
      <c r="I31" s="53"/>
      <c r="J31" s="53"/>
      <c r="K31" s="53"/>
      <c r="L31" s="8"/>
      <c r="M31" s="8"/>
      <c r="N31" s="8"/>
      <c r="O31" s="8"/>
      <c r="P31" s="8"/>
      <c r="Q31" s="8"/>
      <c r="R31" s="8"/>
      <c r="S31" s="8"/>
      <c r="T31" s="8"/>
      <c r="U31" s="8"/>
      <c r="V31" s="8"/>
      <c r="W31" s="8"/>
      <c r="X31" s="8"/>
      <c r="Y31" s="8"/>
      <c r="Z31" s="8"/>
      <c r="AA31" s="8"/>
      <c r="AB31" s="8"/>
      <c r="AC31" s="8"/>
      <c r="AD31" s="8"/>
      <c r="AE31" s="11"/>
      <c r="AF31" s="12"/>
      <c r="AG31" s="12"/>
      <c r="AH31" s="12"/>
      <c r="AI31" s="12"/>
      <c r="AJ31" s="12"/>
      <c r="AK31" s="12"/>
      <c r="AL31" s="12"/>
      <c r="AM31" s="12"/>
      <c r="AN31" s="12"/>
      <c r="AO31" s="12"/>
      <c r="AP31" s="12"/>
      <c r="AQ31" s="12"/>
      <c r="AR31" s="12"/>
      <c r="AS31" s="12"/>
      <c r="AT31" s="12"/>
      <c r="AU31" s="12"/>
      <c r="AV31" s="12"/>
      <c r="AW31" s="12"/>
      <c r="AX31" s="12"/>
      <c r="AY31" s="12"/>
      <c r="AZ31" s="12"/>
    </row>
    <row r="32" spans="1:52" ht="15" customHeight="1" x14ac:dyDescent="0.2">
      <c r="A32" s="7"/>
      <c r="B32" s="8"/>
      <c r="C32" s="8"/>
      <c r="D32" s="8"/>
      <c r="E32" s="53"/>
      <c r="F32" s="53"/>
      <c r="G32" s="53"/>
      <c r="H32" s="53"/>
      <c r="I32" s="53"/>
      <c r="J32" s="53"/>
      <c r="K32" s="53"/>
      <c r="L32" s="8"/>
      <c r="M32" s="8"/>
      <c r="N32" s="8"/>
      <c r="O32" s="8"/>
      <c r="P32" s="8"/>
      <c r="Q32" s="8"/>
      <c r="R32" s="8"/>
      <c r="S32" s="8"/>
      <c r="T32" s="8"/>
      <c r="U32" s="8"/>
      <c r="V32" s="8"/>
      <c r="W32" s="8"/>
      <c r="X32" s="8"/>
      <c r="Y32" s="8"/>
      <c r="Z32" s="8"/>
      <c r="AA32" s="8"/>
      <c r="AB32" s="8"/>
      <c r="AC32" s="8"/>
      <c r="AD32" s="8"/>
      <c r="AE32" s="11"/>
      <c r="AF32" s="12"/>
      <c r="AG32" s="12"/>
      <c r="AH32" s="12"/>
      <c r="AI32" s="12"/>
      <c r="AJ32" s="12"/>
      <c r="AK32" s="12"/>
      <c r="AL32" s="12"/>
      <c r="AM32" s="12"/>
      <c r="AN32" s="12"/>
      <c r="AO32" s="12"/>
      <c r="AP32" s="12"/>
      <c r="AQ32" s="12"/>
      <c r="AR32" s="12"/>
      <c r="AS32" s="12"/>
      <c r="AT32" s="12"/>
      <c r="AU32" s="12"/>
      <c r="AV32" s="12"/>
      <c r="AW32" s="12"/>
      <c r="AX32" s="12"/>
      <c r="AY32" s="12"/>
      <c r="AZ32" s="12"/>
    </row>
    <row r="33" spans="1:52" ht="15" customHeight="1" x14ac:dyDescent="0.2">
      <c r="A33" s="7"/>
      <c r="B33" s="8"/>
      <c r="C33" s="8"/>
      <c r="D33" s="8"/>
      <c r="E33" s="53"/>
      <c r="F33" s="53"/>
      <c r="G33" s="53"/>
      <c r="H33" s="53"/>
      <c r="I33" s="53"/>
      <c r="J33" s="53"/>
      <c r="K33" s="53"/>
      <c r="L33" s="8"/>
      <c r="M33" s="8"/>
      <c r="N33" s="8"/>
      <c r="O33" s="8"/>
      <c r="P33" s="8"/>
      <c r="Q33" s="8"/>
      <c r="R33" s="8"/>
      <c r="S33" s="8"/>
      <c r="T33" s="8"/>
      <c r="U33" s="8"/>
      <c r="V33" s="8"/>
      <c r="W33" s="8"/>
      <c r="X33" s="8"/>
      <c r="Y33" s="8"/>
      <c r="Z33" s="8"/>
      <c r="AA33" s="8"/>
      <c r="AB33" s="8"/>
      <c r="AC33" s="8"/>
      <c r="AD33" s="8"/>
      <c r="AE33" s="11"/>
      <c r="AF33" s="12"/>
      <c r="AG33" s="12"/>
      <c r="AH33" s="12"/>
      <c r="AI33" s="12"/>
      <c r="AJ33" s="12"/>
      <c r="AK33" s="12"/>
      <c r="AL33" s="12"/>
      <c r="AM33" s="12"/>
      <c r="AN33" s="12"/>
      <c r="AO33" s="12"/>
      <c r="AP33" s="12"/>
      <c r="AQ33" s="12"/>
      <c r="AR33" s="12"/>
      <c r="AS33" s="12"/>
      <c r="AT33" s="12"/>
      <c r="AU33" s="12"/>
      <c r="AV33" s="12"/>
      <c r="AW33" s="12"/>
      <c r="AX33" s="12"/>
      <c r="AY33" s="12"/>
      <c r="AZ33" s="12"/>
    </row>
    <row r="34" spans="1:52" ht="15" customHeight="1" x14ac:dyDescent="0.2">
      <c r="A34" s="7"/>
      <c r="B34" s="8"/>
      <c r="C34" s="8"/>
      <c r="D34" s="8"/>
      <c r="E34" s="53"/>
      <c r="F34" s="53"/>
      <c r="G34" s="53"/>
      <c r="H34" s="53"/>
      <c r="I34" s="53"/>
      <c r="J34" s="53"/>
      <c r="K34" s="53"/>
      <c r="L34" s="8"/>
      <c r="M34" s="8"/>
      <c r="N34" s="8"/>
      <c r="O34" s="8"/>
      <c r="P34" s="8"/>
      <c r="Q34" s="8"/>
      <c r="R34" s="8"/>
      <c r="S34" s="8"/>
      <c r="T34" s="8"/>
      <c r="U34" s="8"/>
      <c r="V34" s="8"/>
      <c r="W34" s="8"/>
      <c r="X34" s="8"/>
      <c r="Y34" s="8"/>
      <c r="Z34" s="8"/>
      <c r="AA34" s="8"/>
      <c r="AB34" s="8"/>
      <c r="AC34" s="8"/>
      <c r="AD34" s="8"/>
      <c r="AE34" s="11"/>
      <c r="AF34" s="12"/>
      <c r="AG34" s="12"/>
      <c r="AH34" s="12"/>
      <c r="AI34" s="12"/>
      <c r="AJ34" s="12"/>
      <c r="AK34" s="12"/>
      <c r="AL34" s="12"/>
      <c r="AM34" s="12"/>
      <c r="AN34" s="12"/>
      <c r="AO34" s="12"/>
      <c r="AP34" s="12"/>
      <c r="AQ34" s="12"/>
      <c r="AR34" s="12"/>
      <c r="AS34" s="12"/>
      <c r="AT34" s="12"/>
      <c r="AU34" s="12"/>
      <c r="AV34" s="12"/>
      <c r="AW34" s="12"/>
      <c r="AX34" s="12"/>
      <c r="AY34" s="12"/>
      <c r="AZ34" s="12"/>
    </row>
    <row r="35" spans="1:52" ht="15" customHeight="1" x14ac:dyDescent="0.2">
      <c r="A35" s="7"/>
      <c r="B35" s="8"/>
      <c r="C35" s="8"/>
      <c r="D35" s="8"/>
      <c r="E35" s="53"/>
      <c r="F35" s="53"/>
      <c r="G35" s="53"/>
      <c r="H35" s="53"/>
      <c r="I35" s="53"/>
      <c r="J35" s="53"/>
      <c r="K35" s="53"/>
      <c r="L35" s="8"/>
      <c r="M35" s="8"/>
      <c r="N35" s="8"/>
      <c r="O35" s="8"/>
      <c r="P35" s="8"/>
      <c r="Q35" s="8"/>
      <c r="R35" s="8"/>
      <c r="S35" s="8"/>
      <c r="T35" s="8"/>
      <c r="U35" s="8"/>
      <c r="V35" s="8"/>
      <c r="W35" s="8"/>
      <c r="X35" s="8"/>
      <c r="Y35" s="8"/>
      <c r="Z35" s="8"/>
      <c r="AA35" s="8"/>
      <c r="AB35" s="8"/>
      <c r="AC35" s="8"/>
      <c r="AD35" s="8"/>
      <c r="AE35" s="11"/>
      <c r="AF35" s="12"/>
      <c r="AG35" s="12"/>
      <c r="AH35" s="12"/>
      <c r="AI35" s="12"/>
      <c r="AJ35" s="12"/>
      <c r="AK35" s="12"/>
      <c r="AL35" s="12"/>
      <c r="AM35" s="12"/>
      <c r="AN35" s="12"/>
      <c r="AO35" s="12"/>
      <c r="AP35" s="12"/>
      <c r="AQ35" s="12"/>
      <c r="AR35" s="12"/>
      <c r="AS35" s="12"/>
      <c r="AT35" s="12"/>
      <c r="AU35" s="12"/>
      <c r="AV35" s="12"/>
      <c r="AW35" s="12"/>
      <c r="AX35" s="12"/>
      <c r="AY35" s="12"/>
      <c r="AZ35" s="12"/>
    </row>
    <row r="36" spans="1:52" ht="15" customHeight="1" x14ac:dyDescent="0.2">
      <c r="A36" s="7"/>
      <c r="B36" s="8"/>
      <c r="C36" s="8"/>
      <c r="D36" s="8"/>
      <c r="E36" s="53"/>
      <c r="F36" s="53"/>
      <c r="G36" s="53"/>
      <c r="H36" s="53"/>
      <c r="I36" s="53"/>
      <c r="J36" s="53"/>
      <c r="K36" s="53"/>
      <c r="L36" s="8"/>
      <c r="M36" s="8"/>
      <c r="N36" s="8"/>
      <c r="O36" s="8"/>
      <c r="P36" s="8"/>
      <c r="Q36" s="8"/>
      <c r="R36" s="8"/>
      <c r="S36" s="8"/>
      <c r="T36" s="8"/>
      <c r="U36" s="8"/>
      <c r="V36" s="8"/>
      <c r="W36" s="8"/>
      <c r="X36" s="8"/>
      <c r="Y36" s="8"/>
      <c r="Z36" s="8"/>
      <c r="AA36" s="8"/>
      <c r="AB36" s="8"/>
      <c r="AC36" s="8"/>
      <c r="AD36" s="8"/>
      <c r="AE36" s="11"/>
      <c r="AF36" s="12"/>
      <c r="AG36" s="12"/>
      <c r="AH36" s="12"/>
      <c r="AI36" s="12"/>
      <c r="AJ36" s="12"/>
      <c r="AK36" s="12"/>
      <c r="AL36" s="12"/>
      <c r="AM36" s="12"/>
      <c r="AN36" s="12"/>
      <c r="AO36" s="12"/>
      <c r="AP36" s="12"/>
      <c r="AQ36" s="12"/>
      <c r="AR36" s="12"/>
      <c r="AS36" s="12"/>
      <c r="AT36" s="12"/>
      <c r="AU36" s="12"/>
      <c r="AV36" s="12"/>
      <c r="AW36" s="12"/>
      <c r="AX36" s="12"/>
      <c r="AY36" s="12"/>
      <c r="AZ36" s="12"/>
    </row>
    <row r="37" spans="1:52" ht="15" customHeight="1" x14ac:dyDescent="0.2">
      <c r="A37" s="7"/>
      <c r="B37" s="8"/>
      <c r="C37" s="8"/>
      <c r="D37" s="8"/>
      <c r="E37" s="53"/>
      <c r="F37" s="53"/>
      <c r="G37" s="53"/>
      <c r="H37" s="53"/>
      <c r="I37" s="53"/>
      <c r="J37" s="53"/>
      <c r="K37" s="53"/>
      <c r="L37" s="8"/>
      <c r="M37" s="8"/>
      <c r="N37" s="8"/>
      <c r="O37" s="8"/>
      <c r="P37" s="8"/>
      <c r="Q37" s="8"/>
      <c r="R37" s="8"/>
      <c r="S37" s="8"/>
      <c r="T37" s="8"/>
      <c r="U37" s="8"/>
      <c r="V37" s="8"/>
      <c r="W37" s="8"/>
      <c r="X37" s="8"/>
      <c r="Y37" s="8"/>
      <c r="Z37" s="8"/>
      <c r="AA37" s="8"/>
      <c r="AB37" s="8"/>
      <c r="AC37" s="8"/>
      <c r="AD37" s="8"/>
      <c r="AE37" s="11"/>
      <c r="AF37" s="12"/>
      <c r="AG37" s="12"/>
      <c r="AH37" s="12"/>
      <c r="AI37" s="12"/>
      <c r="AJ37" s="12"/>
      <c r="AK37" s="12"/>
      <c r="AL37" s="12"/>
      <c r="AM37" s="12"/>
      <c r="AN37" s="12"/>
      <c r="AO37" s="12"/>
      <c r="AP37" s="12"/>
      <c r="AQ37" s="12"/>
      <c r="AR37" s="12"/>
      <c r="AS37" s="12"/>
      <c r="AT37" s="12"/>
      <c r="AU37" s="12"/>
      <c r="AV37" s="12"/>
      <c r="AW37" s="12"/>
      <c r="AX37" s="12"/>
      <c r="AY37" s="12"/>
      <c r="AZ37" s="12"/>
    </row>
    <row r="38" spans="1:52" ht="15" customHeight="1" x14ac:dyDescent="0.2">
      <c r="A38" s="7"/>
      <c r="B38" s="8"/>
      <c r="C38" s="8"/>
      <c r="D38" s="8"/>
      <c r="E38" s="53"/>
      <c r="F38" s="53"/>
      <c r="G38" s="53"/>
      <c r="H38" s="53"/>
      <c r="I38" s="53"/>
      <c r="J38" s="53"/>
      <c r="K38" s="53"/>
      <c r="L38" s="8"/>
      <c r="M38" s="8"/>
      <c r="N38" s="8"/>
      <c r="O38" s="8"/>
      <c r="P38" s="8"/>
      <c r="Q38" s="8"/>
      <c r="R38" s="8"/>
      <c r="S38" s="8"/>
      <c r="T38" s="8"/>
      <c r="U38" s="8"/>
      <c r="V38" s="8"/>
      <c r="W38" s="8"/>
      <c r="X38" s="8"/>
      <c r="Y38" s="8"/>
      <c r="Z38" s="8"/>
      <c r="AA38" s="8"/>
      <c r="AB38" s="8"/>
      <c r="AC38" s="8"/>
      <c r="AD38" s="8"/>
      <c r="AE38" s="11"/>
      <c r="AF38" s="12"/>
      <c r="AG38" s="12"/>
      <c r="AH38" s="12"/>
      <c r="AI38" s="12"/>
      <c r="AJ38" s="12"/>
      <c r="AK38" s="12"/>
      <c r="AL38" s="12"/>
      <c r="AM38" s="12"/>
      <c r="AN38" s="12"/>
      <c r="AO38" s="12"/>
      <c r="AP38" s="12"/>
      <c r="AQ38" s="12"/>
      <c r="AR38" s="12"/>
      <c r="AS38" s="12"/>
      <c r="AT38" s="12"/>
      <c r="AU38" s="12"/>
      <c r="AV38" s="12"/>
      <c r="AW38" s="12"/>
      <c r="AX38" s="12"/>
      <c r="AY38" s="12"/>
      <c r="AZ38" s="12"/>
    </row>
    <row r="39" spans="1:52" ht="15" customHeight="1" x14ac:dyDescent="0.2">
      <c r="A39" s="7"/>
      <c r="B39" s="8"/>
      <c r="C39" s="8"/>
      <c r="D39" s="8"/>
      <c r="E39" s="53"/>
      <c r="F39" s="53"/>
      <c r="G39" s="53"/>
      <c r="H39" s="53"/>
      <c r="I39" s="53"/>
      <c r="J39" s="53"/>
      <c r="K39" s="53"/>
      <c r="L39" s="8"/>
      <c r="M39" s="8"/>
      <c r="N39" s="8"/>
      <c r="O39" s="8"/>
      <c r="P39" s="8"/>
      <c r="Q39" s="8"/>
      <c r="R39" s="8"/>
      <c r="S39" s="8"/>
      <c r="T39" s="8"/>
      <c r="U39" s="8"/>
      <c r="V39" s="8"/>
      <c r="W39" s="8"/>
      <c r="X39" s="8"/>
      <c r="Y39" s="8"/>
      <c r="Z39" s="8"/>
      <c r="AA39" s="8"/>
      <c r="AB39" s="8"/>
      <c r="AC39" s="8"/>
      <c r="AD39" s="8"/>
      <c r="AE39" s="11"/>
      <c r="AF39" s="12"/>
      <c r="AG39" s="12"/>
      <c r="AH39" s="12"/>
      <c r="AI39" s="12"/>
      <c r="AJ39" s="12"/>
      <c r="AK39" s="12"/>
      <c r="AL39" s="12"/>
      <c r="AM39" s="12"/>
      <c r="AN39" s="12"/>
      <c r="AO39" s="12"/>
      <c r="AP39" s="12"/>
      <c r="AQ39" s="12"/>
      <c r="AR39" s="12"/>
      <c r="AS39" s="12"/>
      <c r="AT39" s="12"/>
      <c r="AU39" s="12"/>
      <c r="AV39" s="12"/>
      <c r="AW39" s="12"/>
      <c r="AX39" s="12"/>
      <c r="AY39" s="12"/>
      <c r="AZ39" s="12"/>
    </row>
    <row r="40" spans="1:52" ht="15" customHeight="1" x14ac:dyDescent="0.2">
      <c r="A40" s="7"/>
      <c r="B40" s="8"/>
      <c r="C40" s="8"/>
      <c r="D40" s="8"/>
      <c r="E40" s="53"/>
      <c r="F40" s="53"/>
      <c r="G40" s="53"/>
      <c r="H40" s="53"/>
      <c r="I40" s="53"/>
      <c r="J40" s="53"/>
      <c r="K40" s="53"/>
      <c r="L40" s="8"/>
      <c r="M40" s="8"/>
      <c r="N40" s="8"/>
      <c r="O40" s="8"/>
      <c r="P40" s="8"/>
      <c r="Q40" s="8"/>
      <c r="R40" s="8"/>
      <c r="S40" s="8"/>
      <c r="T40" s="8"/>
      <c r="U40" s="8"/>
      <c r="V40" s="8"/>
      <c r="W40" s="8"/>
      <c r="X40" s="8"/>
      <c r="Y40" s="8"/>
      <c r="Z40" s="8"/>
      <c r="AA40" s="8"/>
      <c r="AB40" s="8"/>
      <c r="AC40" s="8"/>
      <c r="AD40" s="8"/>
      <c r="AE40" s="11"/>
      <c r="AF40" s="12"/>
      <c r="AG40" s="12"/>
      <c r="AH40" s="12"/>
      <c r="AI40" s="12"/>
      <c r="AJ40" s="12"/>
      <c r="AK40" s="12"/>
      <c r="AL40" s="12"/>
      <c r="AM40" s="12"/>
      <c r="AN40" s="12"/>
      <c r="AO40" s="12"/>
      <c r="AP40" s="12"/>
      <c r="AQ40" s="12"/>
      <c r="AR40" s="12"/>
      <c r="AS40" s="12"/>
      <c r="AT40" s="12"/>
      <c r="AU40" s="12"/>
      <c r="AV40" s="12"/>
      <c r="AW40" s="12"/>
      <c r="AX40" s="12"/>
      <c r="AY40" s="12"/>
      <c r="AZ40" s="12"/>
    </row>
    <row r="41" spans="1:52" ht="15" customHeight="1" x14ac:dyDescent="0.2">
      <c r="A41" s="7"/>
      <c r="B41" s="8"/>
      <c r="C41" s="8"/>
      <c r="D41" s="8"/>
      <c r="E41" s="53"/>
      <c r="F41" s="53"/>
      <c r="G41" s="53"/>
      <c r="H41" s="53"/>
      <c r="I41" s="53"/>
      <c r="J41" s="53"/>
      <c r="K41" s="53"/>
      <c r="L41" s="8"/>
      <c r="M41" s="8"/>
      <c r="N41" s="8"/>
      <c r="O41" s="8"/>
      <c r="P41" s="8"/>
      <c r="Q41" s="8"/>
      <c r="R41" s="8"/>
      <c r="S41" s="8"/>
      <c r="T41" s="8"/>
      <c r="U41" s="8"/>
      <c r="V41" s="8"/>
      <c r="W41" s="8"/>
      <c r="X41" s="8"/>
      <c r="Y41" s="8"/>
      <c r="Z41" s="8"/>
      <c r="AA41" s="8"/>
      <c r="AB41" s="8"/>
      <c r="AC41" s="8"/>
      <c r="AD41" s="8"/>
      <c r="AE41" s="11"/>
      <c r="AF41" s="12"/>
      <c r="AG41" s="12"/>
      <c r="AH41" s="12"/>
      <c r="AI41" s="12"/>
      <c r="AJ41" s="12"/>
      <c r="AK41" s="12"/>
      <c r="AL41" s="12"/>
      <c r="AM41" s="12"/>
      <c r="AN41" s="12"/>
      <c r="AO41" s="12"/>
      <c r="AP41" s="12"/>
      <c r="AQ41" s="12"/>
      <c r="AR41" s="12"/>
      <c r="AS41" s="12"/>
      <c r="AT41" s="12"/>
      <c r="AU41" s="12"/>
      <c r="AV41" s="12"/>
      <c r="AW41" s="12"/>
      <c r="AX41" s="12"/>
      <c r="AY41" s="12"/>
      <c r="AZ41" s="12"/>
    </row>
    <row r="42" spans="1:52" ht="15" customHeight="1" x14ac:dyDescent="0.2">
      <c r="A42" s="7"/>
      <c r="B42" s="8"/>
      <c r="C42" s="8"/>
      <c r="D42" s="8"/>
      <c r="E42" s="53"/>
      <c r="F42" s="53"/>
      <c r="G42" s="53"/>
      <c r="H42" s="53"/>
      <c r="I42" s="53"/>
      <c r="J42" s="53"/>
      <c r="K42" s="53"/>
      <c r="L42" s="8"/>
      <c r="M42" s="8"/>
      <c r="N42" s="8"/>
      <c r="O42" s="8"/>
      <c r="P42" s="8"/>
      <c r="Q42" s="8"/>
      <c r="R42" s="8"/>
      <c r="S42" s="8"/>
      <c r="T42" s="8"/>
      <c r="U42" s="8"/>
      <c r="V42" s="8"/>
      <c r="W42" s="8"/>
      <c r="X42" s="8"/>
      <c r="Y42" s="8"/>
      <c r="Z42" s="8"/>
      <c r="AA42" s="8"/>
      <c r="AB42" s="8"/>
      <c r="AC42" s="8"/>
      <c r="AD42" s="8"/>
      <c r="AE42" s="11"/>
      <c r="AF42" s="12"/>
      <c r="AG42" s="12"/>
      <c r="AH42" s="12"/>
      <c r="AI42" s="12"/>
      <c r="AJ42" s="12"/>
      <c r="AK42" s="12"/>
      <c r="AL42" s="12"/>
      <c r="AM42" s="12"/>
      <c r="AN42" s="12"/>
      <c r="AO42" s="12"/>
      <c r="AP42" s="12"/>
      <c r="AQ42" s="12"/>
      <c r="AR42" s="12"/>
      <c r="AS42" s="12"/>
      <c r="AT42" s="12"/>
      <c r="AU42" s="12"/>
      <c r="AV42" s="12"/>
      <c r="AW42" s="12"/>
      <c r="AX42" s="12"/>
      <c r="AY42" s="12"/>
      <c r="AZ42" s="12"/>
    </row>
    <row r="43" spans="1:52" ht="15" customHeight="1" x14ac:dyDescent="0.2">
      <c r="A43" s="7"/>
      <c r="B43" s="8"/>
      <c r="C43" s="8"/>
      <c r="D43" s="8"/>
      <c r="E43" s="53"/>
      <c r="F43" s="53"/>
      <c r="G43" s="53"/>
      <c r="H43" s="53"/>
      <c r="I43" s="53"/>
      <c r="J43" s="53"/>
      <c r="K43" s="53"/>
      <c r="L43" s="8"/>
      <c r="M43" s="8"/>
      <c r="N43" s="8"/>
      <c r="O43" s="8"/>
      <c r="P43" s="8"/>
      <c r="Q43" s="8"/>
      <c r="R43" s="8"/>
      <c r="S43" s="8"/>
      <c r="T43" s="8"/>
      <c r="U43" s="8"/>
      <c r="V43" s="8"/>
      <c r="W43" s="8"/>
      <c r="X43" s="8"/>
      <c r="Y43" s="8"/>
      <c r="Z43" s="8"/>
      <c r="AA43" s="8"/>
      <c r="AB43" s="8"/>
      <c r="AC43" s="8"/>
      <c r="AD43" s="8"/>
      <c r="AE43" s="11"/>
      <c r="AF43" s="12"/>
      <c r="AG43" s="12"/>
      <c r="AH43" s="12"/>
      <c r="AI43" s="12"/>
      <c r="AJ43" s="12"/>
      <c r="AK43" s="12"/>
      <c r="AL43" s="12"/>
      <c r="AM43" s="12"/>
      <c r="AN43" s="12"/>
      <c r="AO43" s="12"/>
      <c r="AP43" s="12"/>
      <c r="AQ43" s="12"/>
      <c r="AR43" s="12"/>
      <c r="AS43" s="12"/>
      <c r="AT43" s="12"/>
      <c r="AU43" s="12"/>
      <c r="AV43" s="12"/>
      <c r="AW43" s="12"/>
      <c r="AX43" s="12"/>
      <c r="AY43" s="12"/>
      <c r="AZ43" s="12"/>
    </row>
    <row r="44" spans="1:52" ht="15" customHeight="1" x14ac:dyDescent="0.2">
      <c r="A44" s="7"/>
      <c r="B44" s="8"/>
      <c r="C44" s="8"/>
      <c r="D44" s="8"/>
      <c r="E44" s="53"/>
      <c r="F44" s="53"/>
      <c r="G44" s="53"/>
      <c r="H44" s="53"/>
      <c r="I44" s="53"/>
      <c r="J44" s="53"/>
      <c r="K44" s="53"/>
      <c r="L44" s="8"/>
      <c r="M44" s="8"/>
      <c r="N44" s="8"/>
      <c r="O44" s="8"/>
      <c r="P44" s="8"/>
      <c r="Q44" s="8"/>
      <c r="R44" s="8"/>
      <c r="S44" s="8"/>
      <c r="T44" s="8"/>
      <c r="U44" s="8"/>
      <c r="V44" s="8"/>
      <c r="W44" s="8"/>
      <c r="X44" s="8"/>
      <c r="Y44" s="8"/>
      <c r="Z44" s="8"/>
      <c r="AA44" s="8"/>
      <c r="AB44" s="8"/>
      <c r="AC44" s="8"/>
      <c r="AD44" s="8"/>
      <c r="AE44" s="11"/>
      <c r="AF44" s="12"/>
      <c r="AG44" s="12"/>
      <c r="AH44" s="12"/>
      <c r="AI44" s="12"/>
      <c r="AJ44" s="12"/>
      <c r="AK44" s="12"/>
      <c r="AL44" s="12"/>
      <c r="AM44" s="12"/>
      <c r="AN44" s="12"/>
      <c r="AO44" s="12"/>
      <c r="AP44" s="12"/>
      <c r="AQ44" s="12"/>
      <c r="AR44" s="12"/>
      <c r="AS44" s="12"/>
      <c r="AT44" s="12"/>
      <c r="AU44" s="12"/>
      <c r="AV44" s="12"/>
      <c r="AW44" s="12"/>
      <c r="AX44" s="12"/>
      <c r="AY44" s="12"/>
      <c r="AZ44" s="12"/>
    </row>
    <row r="45" spans="1:52" ht="15" customHeight="1" x14ac:dyDescent="0.2">
      <c r="A45" s="7"/>
      <c r="B45" s="8"/>
      <c r="C45" s="8"/>
      <c r="D45" s="8"/>
      <c r="E45" s="53"/>
      <c r="F45" s="53"/>
      <c r="G45" s="53"/>
      <c r="H45" s="53"/>
      <c r="I45" s="53"/>
      <c r="J45" s="53"/>
      <c r="K45" s="53"/>
      <c r="L45" s="8"/>
      <c r="M45" s="8"/>
      <c r="N45" s="8"/>
      <c r="O45" s="8"/>
      <c r="P45" s="8"/>
      <c r="Q45" s="8"/>
      <c r="R45" s="8"/>
      <c r="S45" s="8"/>
      <c r="T45" s="8"/>
      <c r="U45" s="8"/>
      <c r="V45" s="8"/>
      <c r="W45" s="8"/>
      <c r="X45" s="8"/>
      <c r="Y45" s="8"/>
      <c r="Z45" s="8"/>
      <c r="AA45" s="8"/>
      <c r="AB45" s="8"/>
      <c r="AC45" s="8"/>
      <c r="AD45" s="8"/>
      <c r="AE45" s="11"/>
      <c r="AF45" s="12"/>
      <c r="AG45" s="12"/>
      <c r="AH45" s="12"/>
      <c r="AI45" s="12"/>
      <c r="AJ45" s="12"/>
      <c r="AK45" s="12"/>
      <c r="AL45" s="12"/>
      <c r="AM45" s="12"/>
      <c r="AN45" s="12"/>
      <c r="AO45" s="12"/>
      <c r="AP45" s="12"/>
      <c r="AQ45" s="12"/>
      <c r="AR45" s="12"/>
      <c r="AS45" s="12"/>
      <c r="AT45" s="12"/>
      <c r="AU45" s="12"/>
      <c r="AV45" s="12"/>
      <c r="AW45" s="12"/>
      <c r="AX45" s="12"/>
      <c r="AY45" s="12"/>
      <c r="AZ45" s="12"/>
    </row>
    <row r="46" spans="1:52" ht="15" customHeight="1" x14ac:dyDescent="0.2">
      <c r="A46" s="7"/>
      <c r="B46" s="8"/>
      <c r="C46" s="8"/>
      <c r="D46" s="8"/>
      <c r="E46" s="53"/>
      <c r="F46" s="53"/>
      <c r="G46" s="53"/>
      <c r="H46" s="53"/>
      <c r="I46" s="53"/>
      <c r="J46" s="53"/>
      <c r="K46" s="53"/>
      <c r="L46" s="8"/>
      <c r="M46" s="8"/>
      <c r="N46" s="8"/>
      <c r="O46" s="8"/>
      <c r="P46" s="8"/>
      <c r="Q46" s="8"/>
      <c r="R46" s="8"/>
      <c r="S46" s="8"/>
      <c r="T46" s="8"/>
      <c r="U46" s="8"/>
      <c r="V46" s="8"/>
      <c r="W46" s="8"/>
      <c r="X46" s="8"/>
      <c r="Y46" s="8"/>
      <c r="Z46" s="8"/>
      <c r="AA46" s="8"/>
      <c r="AB46" s="8"/>
      <c r="AC46" s="8"/>
      <c r="AD46" s="8"/>
      <c r="AE46" s="11"/>
      <c r="AF46" s="12"/>
      <c r="AG46" s="12"/>
      <c r="AH46" s="12"/>
      <c r="AI46" s="12"/>
      <c r="AJ46" s="12"/>
      <c r="AK46" s="12"/>
      <c r="AL46" s="12"/>
      <c r="AM46" s="12"/>
      <c r="AN46" s="12"/>
      <c r="AO46" s="12"/>
      <c r="AP46" s="12"/>
      <c r="AQ46" s="12"/>
      <c r="AR46" s="12"/>
      <c r="AS46" s="12"/>
      <c r="AT46" s="12"/>
      <c r="AU46" s="12"/>
      <c r="AV46" s="12"/>
      <c r="AW46" s="12"/>
      <c r="AX46" s="12"/>
      <c r="AY46" s="12"/>
      <c r="AZ46" s="12"/>
    </row>
    <row r="47" spans="1:52" ht="15" customHeight="1" x14ac:dyDescent="0.2">
      <c r="A47" s="7"/>
      <c r="B47" s="8"/>
      <c r="C47" s="8"/>
      <c r="D47" s="8"/>
      <c r="E47" s="53"/>
      <c r="F47" s="53"/>
      <c r="G47" s="53"/>
      <c r="H47" s="53"/>
      <c r="I47" s="53"/>
      <c r="J47" s="53"/>
      <c r="K47" s="53"/>
      <c r="L47" s="8"/>
      <c r="M47" s="8"/>
      <c r="N47" s="8"/>
      <c r="O47" s="8"/>
      <c r="P47" s="8"/>
      <c r="Q47" s="8"/>
      <c r="R47" s="8"/>
      <c r="S47" s="8"/>
      <c r="T47" s="8"/>
      <c r="U47" s="8"/>
      <c r="V47" s="8"/>
      <c r="W47" s="8"/>
      <c r="X47" s="8"/>
      <c r="Y47" s="8"/>
      <c r="Z47" s="8"/>
      <c r="AA47" s="8"/>
      <c r="AB47" s="8"/>
      <c r="AC47" s="8"/>
      <c r="AD47" s="8"/>
      <c r="AE47" s="11"/>
      <c r="AF47" s="12"/>
      <c r="AG47" s="12"/>
      <c r="AH47" s="12"/>
      <c r="AI47" s="12"/>
      <c r="AJ47" s="12"/>
      <c r="AK47" s="12"/>
      <c r="AL47" s="12"/>
      <c r="AM47" s="12"/>
      <c r="AN47" s="12"/>
      <c r="AO47" s="12"/>
      <c r="AP47" s="12"/>
      <c r="AQ47" s="12"/>
      <c r="AR47" s="12"/>
      <c r="AS47" s="12"/>
      <c r="AT47" s="12"/>
      <c r="AU47" s="12"/>
      <c r="AV47" s="12"/>
      <c r="AW47" s="12"/>
      <c r="AX47" s="12"/>
      <c r="AY47" s="12"/>
      <c r="AZ47" s="12"/>
    </row>
    <row r="48" spans="1:52" ht="15" customHeight="1" x14ac:dyDescent="0.2">
      <c r="A48" s="7"/>
      <c r="B48" s="8"/>
      <c r="C48" s="8"/>
      <c r="D48" s="8"/>
      <c r="E48" s="53"/>
      <c r="F48" s="53"/>
      <c r="G48" s="53"/>
      <c r="H48" s="53"/>
      <c r="I48" s="53"/>
      <c r="J48" s="53"/>
      <c r="K48" s="53"/>
      <c r="L48" s="8"/>
      <c r="M48" s="8"/>
      <c r="N48" s="8"/>
      <c r="O48" s="8"/>
      <c r="P48" s="8"/>
      <c r="Q48" s="8"/>
      <c r="R48" s="8"/>
      <c r="S48" s="8"/>
      <c r="T48" s="8"/>
      <c r="U48" s="8"/>
      <c r="V48" s="8"/>
      <c r="W48" s="8"/>
      <c r="X48" s="8"/>
      <c r="Y48" s="8"/>
      <c r="Z48" s="8"/>
      <c r="AA48" s="8"/>
      <c r="AB48" s="8"/>
      <c r="AC48" s="8"/>
      <c r="AD48" s="8"/>
      <c r="AE48" s="11"/>
      <c r="AF48" s="12"/>
      <c r="AG48" s="12"/>
      <c r="AH48" s="12"/>
      <c r="AI48" s="12"/>
      <c r="AJ48" s="12"/>
      <c r="AK48" s="12"/>
      <c r="AL48" s="12"/>
      <c r="AM48" s="12"/>
      <c r="AN48" s="12"/>
      <c r="AO48" s="12"/>
      <c r="AP48" s="12"/>
      <c r="AQ48" s="12"/>
      <c r="AR48" s="12"/>
      <c r="AS48" s="12"/>
      <c r="AT48" s="12"/>
      <c r="AU48" s="12"/>
      <c r="AV48" s="12"/>
      <c r="AW48" s="12"/>
      <c r="AX48" s="12"/>
      <c r="AY48" s="12"/>
      <c r="AZ48" s="12"/>
    </row>
    <row r="49" spans="1:52" ht="15" customHeight="1" x14ac:dyDescent="0.2">
      <c r="A49" s="7"/>
      <c r="B49" s="8"/>
      <c r="C49" s="8"/>
      <c r="D49" s="8"/>
      <c r="E49" s="53"/>
      <c r="F49" s="53"/>
      <c r="G49" s="53"/>
      <c r="H49" s="53"/>
      <c r="I49" s="53"/>
      <c r="J49" s="53"/>
      <c r="K49" s="53"/>
      <c r="L49" s="8"/>
      <c r="M49" s="8"/>
      <c r="N49" s="8"/>
      <c r="O49" s="8"/>
      <c r="P49" s="8"/>
      <c r="Q49" s="8"/>
      <c r="R49" s="8"/>
      <c r="S49" s="8"/>
      <c r="T49" s="8"/>
      <c r="U49" s="8"/>
      <c r="V49" s="8"/>
      <c r="W49" s="8"/>
      <c r="X49" s="8"/>
      <c r="Y49" s="8"/>
      <c r="Z49" s="8"/>
      <c r="AA49" s="8"/>
      <c r="AB49" s="8"/>
      <c r="AC49" s="8"/>
      <c r="AD49" s="8"/>
      <c r="AE49" s="11"/>
      <c r="AF49" s="12"/>
      <c r="AG49" s="12"/>
      <c r="AH49" s="12"/>
      <c r="AI49" s="12"/>
      <c r="AJ49" s="12"/>
      <c r="AK49" s="12"/>
      <c r="AL49" s="12"/>
      <c r="AM49" s="12"/>
      <c r="AN49" s="12"/>
      <c r="AO49" s="12"/>
      <c r="AP49" s="12"/>
      <c r="AQ49" s="12"/>
      <c r="AR49" s="12"/>
      <c r="AS49" s="12"/>
      <c r="AT49" s="12"/>
      <c r="AU49" s="12"/>
      <c r="AV49" s="12"/>
      <c r="AW49" s="12"/>
      <c r="AX49" s="12"/>
      <c r="AY49" s="12"/>
      <c r="AZ49" s="12"/>
    </row>
    <row r="50" spans="1:52" ht="15" customHeight="1" x14ac:dyDescent="0.2">
      <c r="A50" s="54"/>
      <c r="B50" s="55"/>
      <c r="C50" s="55"/>
      <c r="D50" s="55"/>
      <c r="E50" s="56"/>
      <c r="F50" s="56"/>
      <c r="G50" s="56"/>
      <c r="H50" s="56"/>
      <c r="I50" s="56"/>
      <c r="J50" s="56"/>
      <c r="K50" s="56"/>
      <c r="L50" s="55"/>
      <c r="M50" s="55"/>
      <c r="N50" s="55"/>
      <c r="O50" s="55"/>
      <c r="P50" s="55"/>
      <c r="Q50" s="55"/>
      <c r="R50" s="55"/>
      <c r="S50" s="55"/>
      <c r="T50" s="55"/>
      <c r="U50" s="55"/>
      <c r="V50" s="55"/>
      <c r="W50" s="55"/>
      <c r="X50" s="55"/>
      <c r="Y50" s="55"/>
      <c r="Z50" s="55"/>
      <c r="AA50" s="55"/>
      <c r="AB50" s="55"/>
      <c r="AC50" s="55"/>
      <c r="AD50" s="55"/>
      <c r="AE50" s="57"/>
      <c r="AF50" s="58"/>
      <c r="AG50" s="58"/>
      <c r="AH50" s="58"/>
      <c r="AI50" s="58"/>
      <c r="AJ50" s="58"/>
      <c r="AK50" s="58"/>
      <c r="AL50" s="58"/>
      <c r="AM50" s="58"/>
      <c r="AN50" s="58"/>
      <c r="AO50" s="58"/>
      <c r="AP50" s="58"/>
      <c r="AQ50" s="58"/>
      <c r="AR50" s="58"/>
      <c r="AS50" s="58"/>
      <c r="AT50" s="58"/>
      <c r="AU50" s="58"/>
      <c r="AV50" s="58"/>
      <c r="AW50" s="58"/>
      <c r="AX50" s="58"/>
      <c r="AY50" s="58"/>
      <c r="AZ50" s="58"/>
    </row>
  </sheetData>
  <mergeCells count="4">
    <mergeCell ref="E16:I16"/>
    <mergeCell ref="B24:C24"/>
    <mergeCell ref="E17:I17"/>
    <mergeCell ref="B3:L3"/>
  </mergeCells>
  <hyperlinks>
    <hyperlink ref="K6" location="'WORLDCUP'!R1C1" display="Introducir resultados" xr:uid="{00000000-0004-0000-0000-000000000000}"/>
    <hyperlink ref="K8" location="'Fixture'!R1C1" display="Fixture" xr:uid="{00000000-0004-0000-0000-000001000000}"/>
    <hyperlink ref="K10" location="'Credits'!R1C1" display="Help" xr:uid="{00000000-0004-0000-0000-000002000000}"/>
    <hyperlink ref="K17" r:id="rId1" xr:uid="{00000000-0004-0000-0000-000003000000}"/>
    <hyperlink ref="E22" r:id="rId2" xr:uid="{00000000-0004-0000-0000-000004000000}"/>
    <hyperlink ref="F22" r:id="rId3" xr:uid="{00000000-0004-0000-0000-000005000000}"/>
    <hyperlink ref="G22" r:id="rId4" xr:uid="{00000000-0004-0000-0000-000006000000}"/>
    <hyperlink ref="H22" r:id="rId5" xr:uid="{00000000-0004-0000-0000-000007000000}"/>
    <hyperlink ref="I22" r:id="rId6" xr:uid="{00000000-0004-0000-0000-000008000000}"/>
    <hyperlink ref="L23" r:id="rId7" xr:uid="{00000000-0004-0000-0000-000009000000}"/>
  </hyperlinks>
  <pageMargins left="0.7" right="0.7" top="0.75" bottom="0.75" header="0.3" footer="0.3"/>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U191"/>
  <sheetViews>
    <sheetView showGridLines="0" topLeftCell="V1" workbookViewId="0"/>
  </sheetViews>
  <sheetFormatPr baseColWidth="10" defaultColWidth="10.83203125" defaultRowHeight="15" customHeight="1" x14ac:dyDescent="0.2"/>
  <cols>
    <col min="1" max="21" width="10.83203125" style="1" hidden="1" customWidth="1"/>
    <col min="22" max="22" width="3.5" style="1" customWidth="1"/>
    <col min="23" max="23" width="6.6640625" style="1" customWidth="1"/>
    <col min="24" max="24" width="11.83203125" style="1" customWidth="1"/>
    <col min="25" max="25" width="6.83203125" style="1" customWidth="1"/>
    <col min="26" max="26" width="5.1640625" style="1" customWidth="1"/>
    <col min="27" max="27" width="20.83203125" style="1" customWidth="1"/>
    <col min="28" max="28" width="3.33203125" style="1" customWidth="1"/>
    <col min="29" max="30" width="5.33203125" style="1" customWidth="1"/>
    <col min="31" max="31" width="3.33203125" style="1" customWidth="1"/>
    <col min="32" max="32" width="20.83203125" style="1" customWidth="1"/>
    <col min="33" max="33" width="3.5" style="1" customWidth="1"/>
    <col min="34" max="34" width="5.1640625" style="1" customWidth="1"/>
    <col min="35" max="35" width="3.33203125" style="1" customWidth="1"/>
    <col min="36" max="36" width="4.33203125" style="1" customWidth="1"/>
    <col min="37" max="37" width="3.33203125" style="1" customWidth="1"/>
    <col min="38" max="38" width="20.83203125" style="1" customWidth="1"/>
    <col min="39" max="39" width="5.83203125" style="1" customWidth="1"/>
    <col min="40" max="43" width="4.33203125" style="1" customWidth="1"/>
    <col min="44" max="45" width="4.6640625" style="1" customWidth="1"/>
    <col min="46" max="46" width="4.83203125" style="1" customWidth="1"/>
    <col min="47" max="47" width="3.33203125" style="1" customWidth="1"/>
    <col min="48" max="48" width="18.5" style="1" customWidth="1"/>
    <col min="49" max="50" width="3.5" style="1" customWidth="1"/>
    <col min="51" max="51" width="19.6640625" style="1" customWidth="1"/>
    <col min="52" max="52" width="15.83203125" style="1" customWidth="1"/>
    <col min="53" max="53" width="3" style="1" customWidth="1"/>
    <col min="54" max="102" width="10.83203125" style="1" hidden="1" customWidth="1"/>
    <col min="103" max="103" width="10.83203125" style="1" customWidth="1"/>
    <col min="104" max="112" width="10.83203125" style="1" hidden="1" customWidth="1"/>
    <col min="113" max="113" width="10.83203125" style="1" customWidth="1"/>
    <col min="114" max="116" width="10.83203125" style="1" hidden="1" customWidth="1"/>
    <col min="117" max="117" width="10.83203125" style="1" customWidth="1"/>
    <col min="118" max="123" width="10.83203125" style="1" hidden="1" customWidth="1"/>
    <col min="124" max="124" width="10.83203125" style="1" customWidth="1"/>
    <col min="125" max="125" width="10.83203125" style="1" hidden="1" customWidth="1"/>
    <col min="126" max="126" width="10.83203125" style="1" customWidth="1"/>
    <col min="127" max="16384" width="10.83203125" style="1"/>
  </cols>
  <sheetData>
    <row r="1" spans="1:125" ht="30" customHeight="1" x14ac:dyDescent="0.2">
      <c r="A1" s="59"/>
      <c r="B1" s="59"/>
      <c r="C1" s="59"/>
      <c r="D1" s="59"/>
      <c r="E1" s="59"/>
      <c r="F1" s="59"/>
      <c r="G1" s="59"/>
      <c r="H1" s="59"/>
      <c r="I1" s="59"/>
      <c r="J1" s="59"/>
      <c r="K1" s="59"/>
      <c r="L1" s="59"/>
      <c r="M1" s="59"/>
      <c r="N1" s="59"/>
      <c r="O1" s="59"/>
      <c r="P1" s="59"/>
      <c r="Q1" s="59"/>
      <c r="R1" s="59"/>
      <c r="S1" s="59"/>
      <c r="T1" s="59"/>
      <c r="U1" s="59"/>
      <c r="V1" s="60"/>
      <c r="W1" s="766" t="s">
        <v>0</v>
      </c>
      <c r="X1" s="767"/>
      <c r="Y1" s="767"/>
      <c r="Z1" s="767"/>
      <c r="AA1" s="767"/>
      <c r="AB1" s="767"/>
      <c r="AC1" s="767"/>
      <c r="AD1" s="767"/>
      <c r="AE1" s="767"/>
      <c r="AF1" s="767"/>
      <c r="AG1" s="62"/>
      <c r="AH1" s="63"/>
      <c r="AI1" s="63"/>
      <c r="AJ1" s="62"/>
      <c r="AK1" s="62"/>
      <c r="AL1" s="64"/>
      <c r="AM1" s="62"/>
      <c r="AN1" s="62"/>
      <c r="AO1" s="62"/>
      <c r="AP1" s="62"/>
      <c r="AQ1" s="62"/>
      <c r="AR1" s="62"/>
      <c r="AS1" s="62"/>
      <c r="AT1" s="62"/>
      <c r="AU1" s="65"/>
      <c r="AV1" s="62"/>
      <c r="AW1" s="62"/>
      <c r="AX1" s="62"/>
      <c r="AY1" s="62"/>
      <c r="AZ1" s="62"/>
      <c r="BA1" s="3"/>
      <c r="BB1" s="61"/>
      <c r="BC1" s="61"/>
      <c r="BD1" s="61"/>
      <c r="BE1" s="61"/>
      <c r="BF1" s="61"/>
      <c r="BG1" s="61"/>
      <c r="BH1" s="61"/>
      <c r="BI1" s="61"/>
      <c r="BJ1" s="61"/>
      <c r="BK1" s="61"/>
      <c r="BL1" s="61"/>
      <c r="BM1" s="61"/>
      <c r="BN1" s="61"/>
      <c r="BO1" s="61"/>
      <c r="BP1" s="61"/>
      <c r="BQ1" s="61"/>
      <c r="BR1" s="61"/>
      <c r="BS1" s="61"/>
      <c r="BT1" s="61"/>
      <c r="BU1" s="61"/>
      <c r="BV1" s="61"/>
      <c r="BW1" s="61"/>
      <c r="BX1" s="61"/>
      <c r="BY1" s="61"/>
      <c r="BZ1" s="61"/>
      <c r="CA1" s="61"/>
      <c r="CB1" s="61"/>
      <c r="CC1" s="61"/>
      <c r="CD1" s="61"/>
      <c r="CE1" s="61"/>
      <c r="CF1" s="61"/>
      <c r="CG1" s="61"/>
      <c r="CH1" s="61"/>
      <c r="CI1" s="61"/>
      <c r="CJ1" s="61"/>
      <c r="CK1" s="61"/>
      <c r="CL1" s="61"/>
      <c r="CM1" s="61"/>
      <c r="CN1" s="61"/>
      <c r="CO1" s="61"/>
      <c r="CP1" s="61"/>
      <c r="CQ1" s="61"/>
      <c r="CR1" s="61"/>
      <c r="CS1" s="61"/>
      <c r="CT1" s="61"/>
      <c r="CU1" s="61"/>
      <c r="CV1" s="61"/>
      <c r="CW1" s="61"/>
      <c r="CX1" s="61"/>
      <c r="CY1" s="61"/>
      <c r="CZ1" s="61"/>
      <c r="DA1" s="61"/>
      <c r="DB1" s="61"/>
      <c r="DC1" s="61"/>
      <c r="DD1" s="61"/>
      <c r="DE1" s="61"/>
      <c r="DF1" s="61"/>
      <c r="DG1" s="61"/>
      <c r="DH1" s="61"/>
      <c r="DI1" s="61"/>
      <c r="DJ1" s="61"/>
      <c r="DK1" s="61"/>
      <c r="DL1" s="61"/>
      <c r="DM1" s="61"/>
      <c r="DN1" s="66" t="s">
        <v>22</v>
      </c>
      <c r="DO1" s="61"/>
      <c r="DP1" s="61"/>
      <c r="DQ1" s="61"/>
      <c r="DR1" s="61"/>
      <c r="DS1" s="61"/>
      <c r="DT1" s="67"/>
      <c r="DU1" s="6"/>
    </row>
    <row r="2" spans="1:125" ht="10" customHeight="1" x14ac:dyDescent="0.2">
      <c r="A2" s="68"/>
      <c r="B2" s="68"/>
      <c r="C2" s="68"/>
      <c r="D2" s="68"/>
      <c r="E2" s="68"/>
      <c r="F2" s="68"/>
      <c r="G2" s="68"/>
      <c r="H2" s="68"/>
      <c r="I2" s="68"/>
      <c r="J2" s="68"/>
      <c r="K2" s="68"/>
      <c r="L2" s="68"/>
      <c r="M2" s="68"/>
      <c r="N2" s="68"/>
      <c r="O2" s="68"/>
      <c r="P2" s="68"/>
      <c r="Q2" s="68"/>
      <c r="R2" s="68"/>
      <c r="S2" s="68"/>
      <c r="T2" s="68"/>
      <c r="U2" s="68"/>
      <c r="V2" s="69"/>
      <c r="W2" s="70"/>
      <c r="X2" s="70"/>
      <c r="Y2" s="71"/>
      <c r="Z2" s="70"/>
      <c r="AA2" s="70"/>
      <c r="AB2" s="70"/>
      <c r="AC2" s="70"/>
      <c r="AD2" s="70"/>
      <c r="AE2" s="70"/>
      <c r="AF2" s="70"/>
      <c r="AG2" s="72"/>
      <c r="AH2" s="73"/>
      <c r="AI2" s="73"/>
      <c r="AJ2" s="72"/>
      <c r="AK2" s="72"/>
      <c r="AL2" s="72"/>
      <c r="AM2" s="72"/>
      <c r="AN2" s="72"/>
      <c r="AO2" s="72"/>
      <c r="AP2" s="72"/>
      <c r="AQ2" s="72"/>
      <c r="AR2" s="72"/>
      <c r="AS2" s="72"/>
      <c r="AT2" s="72"/>
      <c r="AU2" s="74"/>
      <c r="AV2" s="74"/>
      <c r="AW2" s="75"/>
      <c r="AX2" s="75"/>
      <c r="AY2" s="76"/>
      <c r="AZ2" s="76"/>
      <c r="BA2" s="8"/>
      <c r="BB2" s="77"/>
      <c r="BC2" s="77"/>
      <c r="BD2" s="77"/>
      <c r="BE2" s="77"/>
      <c r="BF2" s="77"/>
      <c r="BG2" s="77"/>
      <c r="BH2" s="77"/>
      <c r="BI2" s="77"/>
      <c r="BJ2" s="77"/>
      <c r="BK2" s="77"/>
      <c r="BL2" s="77"/>
      <c r="BM2" s="77"/>
      <c r="BN2" s="77"/>
      <c r="BO2" s="77"/>
      <c r="BP2" s="77"/>
      <c r="BQ2" s="77"/>
      <c r="BR2" s="77"/>
      <c r="BS2" s="77"/>
      <c r="BT2" s="77"/>
      <c r="BU2" s="77"/>
      <c r="BV2" s="77"/>
      <c r="BW2" s="77"/>
      <c r="BX2" s="77"/>
      <c r="BY2" s="77"/>
      <c r="BZ2" s="77"/>
      <c r="CA2" s="77"/>
      <c r="CB2" s="77"/>
      <c r="CC2" s="77"/>
      <c r="CD2" s="77"/>
      <c r="CE2" s="77"/>
      <c r="CF2" s="77"/>
      <c r="CG2" s="77"/>
      <c r="CH2" s="77"/>
      <c r="CI2" s="77"/>
      <c r="CJ2" s="77"/>
      <c r="CK2" s="77"/>
      <c r="CL2" s="77"/>
      <c r="CM2" s="77"/>
      <c r="CN2" s="77"/>
      <c r="CO2" s="77"/>
      <c r="CP2" s="77"/>
      <c r="CQ2" s="77"/>
      <c r="CR2" s="77"/>
      <c r="CS2" s="77"/>
      <c r="CT2" s="77"/>
      <c r="CU2" s="77"/>
      <c r="CV2" s="77"/>
      <c r="CW2" s="77"/>
      <c r="CX2" s="77"/>
      <c r="CY2" s="77"/>
      <c r="CZ2" s="77"/>
      <c r="DA2" s="77"/>
      <c r="DB2" s="77"/>
      <c r="DC2" s="77"/>
      <c r="DD2" s="77"/>
      <c r="DE2" s="77"/>
      <c r="DF2" s="77"/>
      <c r="DG2" s="77"/>
      <c r="DH2" s="77"/>
      <c r="DI2" s="77"/>
      <c r="DJ2" s="77"/>
      <c r="DK2" s="77"/>
      <c r="DL2" s="77"/>
      <c r="DM2" s="77"/>
      <c r="DN2" s="77"/>
      <c r="DO2" s="77"/>
      <c r="DP2" s="77"/>
      <c r="DQ2" s="77"/>
      <c r="DR2" s="77"/>
      <c r="DS2" s="77"/>
      <c r="DT2" s="78"/>
      <c r="DU2" s="12"/>
    </row>
    <row r="3" spans="1:125" ht="16" customHeight="1" x14ac:dyDescent="0.2">
      <c r="A3" s="68"/>
      <c r="B3" s="68"/>
      <c r="C3" s="68"/>
      <c r="D3" s="79" t="s">
        <v>23</v>
      </c>
      <c r="E3" s="79" t="s">
        <v>24</v>
      </c>
      <c r="F3" s="79" t="s">
        <v>25</v>
      </c>
      <c r="G3" s="68"/>
      <c r="H3" s="79" t="s">
        <v>26</v>
      </c>
      <c r="I3" s="79" t="s">
        <v>27</v>
      </c>
      <c r="J3" s="68"/>
      <c r="K3" s="79" t="s">
        <v>28</v>
      </c>
      <c r="L3" s="79" t="s">
        <v>29</v>
      </c>
      <c r="M3" s="68"/>
      <c r="N3" s="79" t="s">
        <v>30</v>
      </c>
      <c r="O3" s="79" t="s">
        <v>31</v>
      </c>
      <c r="P3" s="68"/>
      <c r="Q3" s="79" t="s">
        <v>32</v>
      </c>
      <c r="R3" s="79" t="s">
        <v>33</v>
      </c>
      <c r="S3" s="68"/>
      <c r="T3" s="79" t="s">
        <v>34</v>
      </c>
      <c r="U3" s="79" t="s">
        <v>35</v>
      </c>
      <c r="V3" s="80"/>
      <c r="W3" s="81"/>
      <c r="X3" s="82" t="s">
        <v>36</v>
      </c>
      <c r="Y3" s="82" t="s">
        <v>37</v>
      </c>
      <c r="Z3" s="83" t="s">
        <v>38</v>
      </c>
      <c r="AA3" s="84" t="s">
        <v>39</v>
      </c>
      <c r="AB3" s="85"/>
      <c r="AC3" s="83" t="s">
        <v>40</v>
      </c>
      <c r="AD3" s="83" t="s">
        <v>40</v>
      </c>
      <c r="AE3" s="85"/>
      <c r="AF3" s="86" t="s">
        <v>41</v>
      </c>
      <c r="AG3" s="87"/>
      <c r="AH3" s="73"/>
      <c r="AI3" s="73"/>
      <c r="AJ3" s="88" t="s">
        <v>42</v>
      </c>
      <c r="AK3" s="89"/>
      <c r="AL3" s="90"/>
      <c r="AM3" s="90"/>
      <c r="AN3" s="90"/>
      <c r="AO3" s="90"/>
      <c r="AP3" s="90"/>
      <c r="AQ3" s="90"/>
      <c r="AR3" s="90"/>
      <c r="AS3" s="90"/>
      <c r="AT3" s="90"/>
      <c r="AU3" s="74"/>
      <c r="AV3" s="91" t="s">
        <v>43</v>
      </c>
      <c r="AW3" s="92"/>
      <c r="AX3" s="92"/>
      <c r="AY3" s="93"/>
      <c r="AZ3" s="94" t="s">
        <v>44</v>
      </c>
      <c r="BA3" s="8"/>
      <c r="BB3" s="77"/>
      <c r="BC3" s="77"/>
      <c r="BD3" s="77"/>
      <c r="BE3" s="77"/>
      <c r="BF3" s="77"/>
      <c r="BG3" s="77"/>
      <c r="BH3" s="77"/>
      <c r="BI3" s="77"/>
      <c r="BJ3" s="77"/>
      <c r="BK3" s="77"/>
      <c r="BL3" s="77"/>
      <c r="BM3" s="77"/>
      <c r="BN3" s="77"/>
      <c r="BO3" s="77"/>
      <c r="BP3" s="77"/>
      <c r="BQ3" s="77"/>
      <c r="BR3" s="77"/>
      <c r="BS3" s="77"/>
      <c r="BT3" s="77"/>
      <c r="BU3" s="77"/>
      <c r="BV3" s="77"/>
      <c r="BW3" s="77"/>
      <c r="BX3" s="77"/>
      <c r="BY3" s="77"/>
      <c r="BZ3" s="77"/>
      <c r="CA3" s="77"/>
      <c r="CB3" s="77"/>
      <c r="CC3" s="77"/>
      <c r="CD3" s="77"/>
      <c r="CE3" s="77"/>
      <c r="CF3" s="77"/>
      <c r="CG3" s="77"/>
      <c r="CH3" s="77"/>
      <c r="CI3" s="77"/>
      <c r="CJ3" s="77"/>
      <c r="CK3" s="77"/>
      <c r="CL3" s="77"/>
      <c r="CM3" s="77"/>
      <c r="CN3" s="77"/>
      <c r="CO3" s="77"/>
      <c r="CP3" s="77"/>
      <c r="CQ3" s="77"/>
      <c r="CR3" s="77"/>
      <c r="CS3" s="77"/>
      <c r="CT3" s="77"/>
      <c r="CU3" s="77"/>
      <c r="CV3" s="77"/>
      <c r="CW3" s="77"/>
      <c r="CX3" s="77"/>
      <c r="CY3" s="77"/>
      <c r="CZ3" s="77"/>
      <c r="DA3" s="77"/>
      <c r="DB3" s="77"/>
      <c r="DC3" s="77"/>
      <c r="DD3" s="77"/>
      <c r="DE3" s="77"/>
      <c r="DF3" s="77"/>
      <c r="DG3" s="77"/>
      <c r="DH3" s="77"/>
      <c r="DI3" s="77"/>
      <c r="DJ3" s="77"/>
      <c r="DK3" s="77"/>
      <c r="DL3" s="77"/>
      <c r="DM3" s="77"/>
      <c r="DN3" s="77"/>
      <c r="DO3" s="77"/>
      <c r="DP3" s="77"/>
      <c r="DQ3" s="77"/>
      <c r="DR3" s="77"/>
      <c r="DS3" s="77"/>
      <c r="DT3" s="78"/>
      <c r="DU3" s="12"/>
    </row>
    <row r="4" spans="1:125" ht="16" customHeight="1" x14ac:dyDescent="0.2">
      <c r="A4" s="79" t="s">
        <v>45</v>
      </c>
      <c r="B4" s="79" t="s">
        <v>46</v>
      </c>
      <c r="C4" s="95">
        <v>4</v>
      </c>
      <c r="D4" s="68" t="str" cm="1">
        <f t="array" ref="D4">IF(OR(AC4="",AD4=""),"Pendiente",IF(AC4&gt;AD4,"Local",IF(AC4&lt;AD4,"Visitante","Empate")))</f>
        <v>Local</v>
      </c>
      <c r="E4" s="68" t="str" cm="1">
        <f t="array" ref="E4">IF(D4="Pendiente","-",INDEX($BT$6:$BT$53,MATCH($AA4,$BD$6:$BD$53,0)))</f>
        <v>P.1 (4)</v>
      </c>
      <c r="F4" s="68" t="str" cm="1">
        <f t="array" ref="F4">IF(D4="Pendiente","-",INDEX($BT$6:$BT$53,MATCH($AF4,$BD$6:$BD$53,0)))</f>
        <v>P.1 (4)</v>
      </c>
      <c r="G4" s="68"/>
      <c r="H4" s="68" t="str" cm="1">
        <f t="array" ref="H4">IF(D4="Pendiente","-",INDEX($BZ$6:$BZ$53,MATCH($AA4,$BD$6:$BD$53,0)))</f>
        <v>P.1 (4)</v>
      </c>
      <c r="I4" s="68" t="str" cm="1">
        <f t="array" ref="I4">IF(D4="Pendiente","-",INDEX($BZ$6:$BZ$53,MATCH($AF4,$BD$6:$BD$53,0)))</f>
        <v>P.1 (4)</v>
      </c>
      <c r="J4" s="68"/>
      <c r="K4" s="68" t="str" cm="1">
        <f t="array" ref="K4">IF(D4="Pendiente","-",INDEX($CE$6:$CE$53,MATCH($AA4,$BD$6:$BD$53,0)))</f>
        <v>P.1 (4)</v>
      </c>
      <c r="L4" s="68" t="str" cm="1">
        <f t="array" ref="L4">IF(D4="Pendiente","-",INDEX($CE$6:$CE$53,MATCH($AF4,$BD$6:$BD$53,0)))</f>
        <v>P.1 (4)</v>
      </c>
      <c r="M4" s="68"/>
      <c r="N4" s="68" t="str" cm="1">
        <f t="array" ref="N4">IF(D4="Pendiente","-",INDEX($CH$6:$CH$53,MATCH($AA4,$BD$6:$BD$53,0)))</f>
        <v>P.1 (4)</v>
      </c>
      <c r="O4" s="68" t="str" cm="1">
        <f t="array" ref="O4">IF(D4="Pendiente","-",INDEX($CH$6:$CH$53,MATCH($AF4,$BD$6:$BD$53,0)))</f>
        <v>P.1 (4)</v>
      </c>
      <c r="P4" s="68"/>
      <c r="Q4" s="68" t="str" cm="1">
        <f t="array" ref="Q4">IF(D4="Pendiente","-",INDEX($CN$6:$CN$53,MATCH($AA4,$BD$6:$BD$53,0)))</f>
        <v>P.1 (4)</v>
      </c>
      <c r="R4" s="68" t="str" cm="1">
        <f t="array" ref="R4">IF(D4="Pendiente","-",INDEX($CN$6:$CN$53,MATCH($AF4,$BD$6:$BD$53,0)))</f>
        <v>P.1 (4)</v>
      </c>
      <c r="S4" s="68"/>
      <c r="T4" s="68" t="str" cm="1">
        <f t="array" ref="T4">IF(D4="Pendiente","-",INDEX($CS$6:$CS$53,MATCH($AA4,$BD$6:$BD$53,0)))</f>
        <v>P.1 (4)</v>
      </c>
      <c r="U4" s="68" t="str" cm="1">
        <f t="array" ref="U4">IF(D4="Pendiente","-",INDEX($CS$6:$CS$53,MATCH($AF4,$BD$6:$BD$53,0)))</f>
        <v>P.1 (4)</v>
      </c>
      <c r="V4" s="80"/>
      <c r="W4" s="774" t="s">
        <v>46</v>
      </c>
      <c r="X4" s="96">
        <v>46184.625</v>
      </c>
      <c r="Y4" s="97">
        <v>46184.625</v>
      </c>
      <c r="Z4" s="98" t="s">
        <v>47</v>
      </c>
      <c r="AA4" s="99" t="str" cm="1">
        <f t="array" ref="AA4">A5</f>
        <v>México</v>
      </c>
      <c r="AB4" s="100"/>
      <c r="AC4" s="101">
        <v>2</v>
      </c>
      <c r="AD4" s="101">
        <v>1</v>
      </c>
      <c r="AE4" s="102"/>
      <c r="AF4" s="103" t="str" cm="1">
        <f t="array" ref="AF4">A6</f>
        <v>Sudáfrica</v>
      </c>
      <c r="AG4" s="104" cm="1">
        <f t="array" ref="AG4">IF(NOT(OR(ISBLANK(AC4),ISBLANK(AD4))),1,0)</f>
        <v>1</v>
      </c>
      <c r="AH4" s="105">
        <v>1</v>
      </c>
      <c r="AI4" s="106"/>
      <c r="AJ4" s="784" t="str" cm="1">
        <f t="array" ref="AJ4">CONCATENATE(AJ3," ",B4)</f>
        <v>Grupo A</v>
      </c>
      <c r="AK4" s="785"/>
      <c r="AL4" s="785"/>
      <c r="AM4" s="785"/>
      <c r="AN4" s="785"/>
      <c r="AO4" s="785"/>
      <c r="AP4" s="785"/>
      <c r="AQ4" s="785"/>
      <c r="AR4" s="785"/>
      <c r="AS4" s="785"/>
      <c r="AT4" s="786"/>
      <c r="AU4" s="108"/>
      <c r="AV4" s="109" t="str" cm="1">
        <f t="array" ref="AV4">IF(AU5&gt;0,$AV$3,"")</f>
        <v>¡EMPATE! Puedes seleccionar el orden de los empatados.</v>
      </c>
      <c r="AW4" s="110"/>
      <c r="AX4" s="110"/>
      <c r="AY4" s="111"/>
      <c r="AZ4" s="111"/>
      <c r="BA4" s="8"/>
      <c r="BB4" s="77"/>
      <c r="BC4" s="77"/>
      <c r="BD4" s="77"/>
      <c r="BE4" s="77"/>
      <c r="BF4" s="77"/>
      <c r="BG4" s="77"/>
      <c r="BH4" s="77"/>
      <c r="BI4" s="77"/>
      <c r="BJ4" s="77"/>
      <c r="BK4" s="77"/>
      <c r="BL4" s="77"/>
      <c r="BM4" s="77"/>
      <c r="BN4" s="77"/>
      <c r="BO4" s="77"/>
      <c r="BP4" s="77"/>
      <c r="BQ4" s="77"/>
      <c r="BR4" s="77"/>
      <c r="BS4" s="77"/>
      <c r="BT4" s="77"/>
      <c r="BU4" s="77"/>
      <c r="BV4" s="77"/>
      <c r="BW4" s="77"/>
      <c r="BX4" s="77"/>
      <c r="BY4" s="77"/>
      <c r="BZ4" s="77"/>
      <c r="CA4" s="77"/>
      <c r="CB4" s="77"/>
      <c r="CC4" s="77"/>
      <c r="CD4" s="77"/>
      <c r="CE4" s="77"/>
      <c r="CF4" s="77"/>
      <c r="CG4" s="77"/>
      <c r="CH4" s="77"/>
      <c r="CI4" s="77"/>
      <c r="CJ4" s="77"/>
      <c r="CK4" s="77"/>
      <c r="CL4" s="77"/>
      <c r="CM4" s="77"/>
      <c r="CN4" s="77"/>
      <c r="CO4" s="77"/>
      <c r="CP4" s="77"/>
      <c r="CQ4" s="77"/>
      <c r="CR4" s="77"/>
      <c r="CS4" s="77"/>
      <c r="CT4" s="77"/>
      <c r="CU4" s="77"/>
      <c r="CV4" s="77"/>
      <c r="CW4" s="77"/>
      <c r="CX4" s="77"/>
      <c r="CY4" s="77"/>
      <c r="CZ4" s="77"/>
      <c r="DA4" s="77"/>
      <c r="DB4" s="77"/>
      <c r="DC4" s="112" t="s">
        <v>48</v>
      </c>
      <c r="DD4" s="77"/>
      <c r="DE4" s="77"/>
      <c r="DF4" s="77"/>
      <c r="DG4" s="77"/>
      <c r="DH4" s="77"/>
      <c r="DI4" s="77"/>
      <c r="DJ4" s="77"/>
      <c r="DK4" s="77"/>
      <c r="DL4" s="77"/>
      <c r="DM4" s="77"/>
      <c r="DN4" s="77"/>
      <c r="DO4" s="77"/>
      <c r="DP4" s="77"/>
      <c r="DQ4" s="77"/>
      <c r="DR4" s="77"/>
      <c r="DS4" s="77"/>
      <c r="DT4" s="78"/>
      <c r="DU4" s="12"/>
    </row>
    <row r="5" spans="1:125" ht="16" customHeight="1" x14ac:dyDescent="0.2">
      <c r="A5" s="79" t="s">
        <v>49</v>
      </c>
      <c r="B5" s="68"/>
      <c r="C5" s="68"/>
      <c r="D5" s="68" t="str" cm="1">
        <f t="array" ref="D5">IF(OR(AC5="",AD5=""),"Pendiente",IF(AC5&gt;AD5,"Local",IF(AC5&lt;AD5,"Visitante","Empate")))</f>
        <v>Local</v>
      </c>
      <c r="E5" s="68" t="str" cm="1">
        <f t="array" ref="E5">IF(D5="Pendiente","-",INDEX($BT$6:$BT$53,MATCH($AA5,$BD$6:$BD$53,0)))</f>
        <v>P.1 (4)</v>
      </c>
      <c r="F5" s="68" t="str" cm="1">
        <f t="array" ref="F5">IF(D5="Pendiente","-",INDEX($BT$6:$BT$53,MATCH($AF5,$BD$6:$BD$53,0)))</f>
        <v>P.1 (4)</v>
      </c>
      <c r="G5" s="68"/>
      <c r="H5" s="68" t="str" cm="1">
        <f t="array" ref="H5">IF(D5="Pendiente","-",INDEX($BZ$6:$BZ$53,MATCH($AA5,$BD$6:$BD$53,0)))</f>
        <v>P.1 (4)</v>
      </c>
      <c r="I5" s="68" t="str" cm="1">
        <f t="array" ref="I5">IF(D5="Pendiente","-",INDEX($BZ$6:$BZ$53,MATCH($AF5,$BD$6:$BD$53,0)))</f>
        <v>P.1 (4)</v>
      </c>
      <c r="J5" s="68"/>
      <c r="K5" s="68" t="str" cm="1">
        <f t="array" ref="K5">IF(D5="Pendiente","-",INDEX($CE$6:$CE$53,MATCH($AA5,$BD$6:$BD$53,0)))</f>
        <v>P.1 (4)</v>
      </c>
      <c r="L5" s="68" t="str" cm="1">
        <f t="array" ref="L5">IF(D5="Pendiente","-",INDEX($CE$6:$CE$53,MATCH($AF5,$BD$6:$BD$53,0)))</f>
        <v>P.1 (4)</v>
      </c>
      <c r="M5" s="68"/>
      <c r="N5" s="68" t="str" cm="1">
        <f t="array" ref="N5">IF(D5="Pendiente","-",INDEX($CH$6:$CH$53,MATCH($AA5,$BD$6:$BD$53,0)))</f>
        <v>P.1 (4)</v>
      </c>
      <c r="O5" s="68" t="str" cm="1">
        <f t="array" ref="O5">IF(D5="Pendiente","-",INDEX($CH$6:$CH$53,MATCH($AF5,$BD$6:$BD$53,0)))</f>
        <v>P.1 (4)</v>
      </c>
      <c r="P5" s="68"/>
      <c r="Q5" s="68" t="str" cm="1">
        <f t="array" ref="Q5">IF(D5="Pendiente","-",INDEX($CN$6:$CN$53,MATCH($AA5,$BD$6:$BD$53,0)))</f>
        <v>P.1 (4)</v>
      </c>
      <c r="R5" s="68" t="str" cm="1">
        <f t="array" ref="R5">IF(D5="Pendiente","-",INDEX($CN$6:$CN$53,MATCH($AF5,$BD$6:$BD$53,0)))</f>
        <v>P.1 (4)</v>
      </c>
      <c r="S5" s="68"/>
      <c r="T5" s="68" t="str" cm="1">
        <f t="array" ref="T5">IF(D5="Pendiente","-",INDEX($CS$6:$CS$53,MATCH($AA5,$BD$6:$BD$53,0)))</f>
        <v>P.1 (4)</v>
      </c>
      <c r="U5" s="68" t="str" cm="1">
        <f t="array" ref="U5">IF(D5="Pendiente","-",INDEX($CS$6:$CS$53,MATCH($AF5,$BD$6:$BD$53,0)))</f>
        <v>P.1 (4)</v>
      </c>
      <c r="V5" s="80"/>
      <c r="W5" s="761"/>
      <c r="X5" s="96">
        <v>46184.916666666657</v>
      </c>
      <c r="Y5" s="97">
        <v>46184.916666666657</v>
      </c>
      <c r="Z5" s="113" t="str" cm="1">
        <f t="array" ref="Z5">$Z$4</f>
        <v>J1</v>
      </c>
      <c r="AA5" s="99" t="str" cm="1">
        <f t="array" ref="AA5">A7</f>
        <v>Corea del Sur</v>
      </c>
      <c r="AB5" s="100"/>
      <c r="AC5" s="114">
        <v>2</v>
      </c>
      <c r="AD5" s="114">
        <v>1</v>
      </c>
      <c r="AE5" s="102"/>
      <c r="AF5" s="103" t="str" cm="1">
        <f t="array" ref="AF5">A8</f>
        <v>República Checa</v>
      </c>
      <c r="AG5" s="104" cm="1">
        <f t="array" ref="AG5">IF(NOT(OR(ISBLANK(AC5),ISBLANK(AD5))),1,0)</f>
        <v>1</v>
      </c>
      <c r="AH5" s="105">
        <v>2</v>
      </c>
      <c r="AI5" s="106"/>
      <c r="AJ5" s="115" t="s">
        <v>50</v>
      </c>
      <c r="AK5" s="116"/>
      <c r="AL5" s="117" t="s">
        <v>51</v>
      </c>
      <c r="AM5" s="118" t="s">
        <v>52</v>
      </c>
      <c r="AN5" s="118" t="s">
        <v>53</v>
      </c>
      <c r="AO5" s="118" t="s">
        <v>54</v>
      </c>
      <c r="AP5" s="118" t="s">
        <v>55</v>
      </c>
      <c r="AQ5" s="118" t="s">
        <v>56</v>
      </c>
      <c r="AR5" s="118" t="s">
        <v>57</v>
      </c>
      <c r="AS5" s="118" t="s">
        <v>58</v>
      </c>
      <c r="AT5" s="119" t="s">
        <v>59</v>
      </c>
      <c r="AU5" s="120" cm="1">
        <f t="array" ref="AU5">COUNTIF(AU6:AU9,"&gt;1")</f>
        <v>4</v>
      </c>
      <c r="AV5" s="121"/>
      <c r="AW5" s="110"/>
      <c r="AX5" s="122"/>
      <c r="AY5" s="123" t="str" cm="1">
        <f t="array" ref="AY5">AL5</f>
        <v>Selección</v>
      </c>
      <c r="AZ5" s="124" t="s">
        <v>60</v>
      </c>
      <c r="BA5" s="125"/>
      <c r="BB5" s="77"/>
      <c r="BC5" s="112" t="s">
        <v>42</v>
      </c>
      <c r="BD5" s="112" t="s">
        <v>51</v>
      </c>
      <c r="BE5" s="126" t="str" cm="1">
        <f t="array" ref="BE5">AM5</f>
        <v>Pts</v>
      </c>
      <c r="BF5" s="126" t="str" cm="1">
        <f t="array" ref="BF5">AN5</f>
        <v>J</v>
      </c>
      <c r="BG5" s="126" t="str" cm="1">
        <f t="array" ref="BG5">AO5</f>
        <v>G</v>
      </c>
      <c r="BH5" s="126" t="str" cm="1">
        <f t="array" ref="BH5">AP5</f>
        <v>E</v>
      </c>
      <c r="BI5" s="126" t="str" cm="1">
        <f t="array" ref="BI5">AQ5</f>
        <v>P</v>
      </c>
      <c r="BJ5" s="126" t="str" cm="1">
        <f t="array" ref="BJ5">AR5</f>
        <v>GF</v>
      </c>
      <c r="BK5" s="126" t="str" cm="1">
        <f t="array" ref="BK5">AS5</f>
        <v>GC</v>
      </c>
      <c r="BL5" s="126" t="str" cm="1">
        <f t="array" ref="BL5">AT5</f>
        <v>DG</v>
      </c>
      <c r="BM5" s="112" t="s">
        <v>61</v>
      </c>
      <c r="BN5" s="112" t="s">
        <v>62</v>
      </c>
      <c r="BO5" s="112" t="s">
        <v>63</v>
      </c>
      <c r="BP5" s="112" t="s">
        <v>64</v>
      </c>
      <c r="BQ5" s="112" t="s">
        <v>65</v>
      </c>
      <c r="BR5" s="112" t="s">
        <v>66</v>
      </c>
      <c r="BS5" s="112" t="s">
        <v>67</v>
      </c>
      <c r="BT5" s="112" t="s">
        <v>68</v>
      </c>
      <c r="BU5" s="112" t="s">
        <v>69</v>
      </c>
      <c r="BV5" s="112" t="s">
        <v>70</v>
      </c>
      <c r="BW5" s="112" t="s">
        <v>71</v>
      </c>
      <c r="BX5" s="112" t="s">
        <v>72</v>
      </c>
      <c r="BY5" s="112" t="s">
        <v>73</v>
      </c>
      <c r="BZ5" s="112" t="s">
        <v>74</v>
      </c>
      <c r="CA5" s="112" t="s">
        <v>75</v>
      </c>
      <c r="CB5" s="112" t="s">
        <v>76</v>
      </c>
      <c r="CC5" s="112" t="s">
        <v>77</v>
      </c>
      <c r="CD5" s="112" t="s">
        <v>78</v>
      </c>
      <c r="CE5" s="112" t="s">
        <v>79</v>
      </c>
      <c r="CF5" s="112" t="s">
        <v>75</v>
      </c>
      <c r="CG5" s="112" t="s">
        <v>80</v>
      </c>
      <c r="CH5" s="112" t="s">
        <v>81</v>
      </c>
      <c r="CI5" s="112" t="s">
        <v>82</v>
      </c>
      <c r="CJ5" s="112" t="s">
        <v>83</v>
      </c>
      <c r="CK5" s="112" t="s">
        <v>84</v>
      </c>
      <c r="CL5" s="112" t="s">
        <v>85</v>
      </c>
      <c r="CM5" s="112" t="s">
        <v>86</v>
      </c>
      <c r="CN5" s="112" t="s">
        <v>87</v>
      </c>
      <c r="CO5" s="112" t="s">
        <v>88</v>
      </c>
      <c r="CP5" s="112" t="s">
        <v>89</v>
      </c>
      <c r="CQ5" s="112" t="s">
        <v>90</v>
      </c>
      <c r="CR5" s="112" t="s">
        <v>91</v>
      </c>
      <c r="CS5" s="112" t="s">
        <v>92</v>
      </c>
      <c r="CT5" s="112" t="s">
        <v>88</v>
      </c>
      <c r="CU5" s="112" t="s">
        <v>93</v>
      </c>
      <c r="CV5" s="112" t="s">
        <v>94</v>
      </c>
      <c r="CW5" s="112" t="s">
        <v>59</v>
      </c>
      <c r="CX5" s="112" t="s">
        <v>95</v>
      </c>
      <c r="CY5" s="112" t="s">
        <v>96</v>
      </c>
      <c r="CZ5" s="112" t="s">
        <v>57</v>
      </c>
      <c r="DA5" s="112" t="s">
        <v>97</v>
      </c>
      <c r="DB5" s="112" t="s">
        <v>98</v>
      </c>
      <c r="DC5" s="112" t="s">
        <v>99</v>
      </c>
      <c r="DD5" s="112" t="s">
        <v>100</v>
      </c>
      <c r="DE5" s="126"/>
      <c r="DF5" s="112" t="s">
        <v>101</v>
      </c>
      <c r="DG5" s="112" t="s">
        <v>102</v>
      </c>
      <c r="DH5" s="112" t="s">
        <v>103</v>
      </c>
      <c r="DI5" s="126"/>
      <c r="DJ5" s="112" t="s">
        <v>104</v>
      </c>
      <c r="DK5" s="112" t="s">
        <v>105</v>
      </c>
      <c r="DL5" s="112" t="s">
        <v>106</v>
      </c>
      <c r="DM5" s="112" t="s">
        <v>107</v>
      </c>
      <c r="DN5" s="112" t="s">
        <v>108</v>
      </c>
      <c r="DO5" s="126"/>
      <c r="DP5" s="112" t="s">
        <v>109</v>
      </c>
      <c r="DQ5" s="112" t="s">
        <v>110</v>
      </c>
      <c r="DR5" s="77"/>
      <c r="DS5" s="77"/>
      <c r="DT5" s="78"/>
      <c r="DU5" s="12"/>
    </row>
    <row r="6" spans="1:125" ht="16" customHeight="1" x14ac:dyDescent="0.2">
      <c r="A6" s="79" t="s">
        <v>111</v>
      </c>
      <c r="B6" s="68"/>
      <c r="C6" s="68"/>
      <c r="D6" s="68" t="str" cm="1">
        <f t="array" ref="D6">IF(OR(AC6="",AD6=""),"Pendiente",IF(AC6&gt;AD6,"Local",IF(AC6&lt;AD6,"Visitante","Empate")))</f>
        <v>Local</v>
      </c>
      <c r="E6" s="68" t="str" cm="1">
        <f t="array" ref="E6">IF(D6="Pendiente","-",INDEX($BT$6:$BT$53,MATCH($AA6,$BD$6:$BD$53,0)))</f>
        <v>P.1 (4)</v>
      </c>
      <c r="F6" s="68" t="str" cm="1">
        <f t="array" ref="F6">IF(D6="Pendiente","-",INDEX($BT$6:$BT$53,MATCH($AF6,$BD$6:$BD$53,0)))</f>
        <v>P.1 (4)</v>
      </c>
      <c r="G6" s="68"/>
      <c r="H6" s="68" t="str" cm="1">
        <f t="array" ref="H6">IF(D6="Pendiente","-",INDEX($BZ$6:$BZ$53,MATCH($AA6,$BD$6:$BD$53,0)))</f>
        <v>P.1 (4)</v>
      </c>
      <c r="I6" s="68" t="str" cm="1">
        <f t="array" ref="I6">IF(D6="Pendiente","-",INDEX($BZ$6:$BZ$53,MATCH($AF6,$BD$6:$BD$53,0)))</f>
        <v>P.1 (4)</v>
      </c>
      <c r="J6" s="68"/>
      <c r="K6" s="68" t="str" cm="1">
        <f t="array" ref="K6">IF(D6="Pendiente","-",INDEX($CE$6:$CE$53,MATCH($AA6,$BD$6:$BD$53,0)))</f>
        <v>P.1 (4)</v>
      </c>
      <c r="L6" s="68" t="str" cm="1">
        <f t="array" ref="L6">IF(D6="Pendiente","-",INDEX($CE$6:$CE$53,MATCH($AF6,$BD$6:$BD$53,0)))</f>
        <v>P.1 (4)</v>
      </c>
      <c r="M6" s="68"/>
      <c r="N6" s="68" t="str" cm="1">
        <f t="array" ref="N6">IF(D6="Pendiente","-",INDEX($CH$6:$CH$53,MATCH($AA6,$BD$6:$BD$53,0)))</f>
        <v>P.1 (4)</v>
      </c>
      <c r="O6" s="68" t="str" cm="1">
        <f t="array" ref="O6">IF(D6="Pendiente","-",INDEX($CH$6:$CH$53,MATCH($AF6,$BD$6:$BD$53,0)))</f>
        <v>P.1 (4)</v>
      </c>
      <c r="P6" s="68"/>
      <c r="Q6" s="68" t="str" cm="1">
        <f t="array" ref="Q6">IF(D6="Pendiente","-",INDEX($CN$6:$CN$53,MATCH($AA6,$BD$6:$BD$53,0)))</f>
        <v>P.1 (4)</v>
      </c>
      <c r="R6" s="68" t="str" cm="1">
        <f t="array" ref="R6">IF(D6="Pendiente","-",INDEX($CN$6:$CN$53,MATCH($AF6,$BD$6:$BD$53,0)))</f>
        <v>P.1 (4)</v>
      </c>
      <c r="S6" s="68"/>
      <c r="T6" s="68" t="str" cm="1">
        <f t="array" ref="T6">IF(D6="Pendiente","-",INDEX($CS$6:$CS$53,MATCH($AA6,$BD$6:$BD$53,0)))</f>
        <v>P.1 (4)</v>
      </c>
      <c r="U6" s="68" t="str" cm="1">
        <f t="array" ref="U6">IF(D6="Pendiente","-",INDEX($CS$6:$CS$53,MATCH($AF6,$BD$6:$BD$53,0)))</f>
        <v>P.1 (4)</v>
      </c>
      <c r="V6" s="80"/>
      <c r="W6" s="762"/>
      <c r="X6" s="96">
        <v>46191.5</v>
      </c>
      <c r="Y6" s="97">
        <v>46191.5</v>
      </c>
      <c r="Z6" s="98" t="s">
        <v>112</v>
      </c>
      <c r="AA6" s="99" t="str" cm="1">
        <f t="array" ref="AA6">A8</f>
        <v>República Checa</v>
      </c>
      <c r="AB6" s="100"/>
      <c r="AC6" s="114">
        <v>2</v>
      </c>
      <c r="AD6" s="114">
        <v>1</v>
      </c>
      <c r="AE6" s="102"/>
      <c r="AF6" s="103" t="str" cm="1">
        <f t="array" ref="AF6">A6</f>
        <v>Sudáfrica</v>
      </c>
      <c r="AG6" s="104" cm="1">
        <f t="array" ref="AG6">IF(NOT(OR(ISBLANK(AC6),ISBLANK(AD6))),1,0)</f>
        <v>1</v>
      </c>
      <c r="AH6" s="105">
        <v>25</v>
      </c>
      <c r="AI6" s="106" t="str" cm="1">
        <f t="array" ref="AI6">AJ6&amp;$B$4</f>
        <v>1A</v>
      </c>
      <c r="AJ6" s="127">
        <v>1</v>
      </c>
      <c r="AK6" s="128"/>
      <c r="AL6" s="129" t="str" cm="1">
        <f t="array" ref="AL6">IFERROR(INDEX($BD$6:$BD$53,MATCH(AI6,$BN$6:$BN$53,0)),"")</f>
        <v>México</v>
      </c>
      <c r="AM6" s="130" cm="1">
        <f t="array" ref="AM6">INDEX($BE$6:$BN$53,MATCH($AL6,$BD$6:$BD$53,0),MATCH(AM$5,$BE$5:$BN$5,0))</f>
        <v>9</v>
      </c>
      <c r="AN6" s="131" cm="1">
        <f t="array" ref="AN6">INDEX($BE$6:$BN$53,MATCH($AL6,$BD$6:$BD$53,0),MATCH(AN$5,$BE$5:$BN$5,0))</f>
        <v>3</v>
      </c>
      <c r="AO6" s="131" cm="1">
        <f t="array" ref="AO6">INDEX($BE$6:$BN$53,MATCH($AL6,$BD$6:$BD$53,0),MATCH(AO$5,$BE$5:$BN$5,0))</f>
        <v>3</v>
      </c>
      <c r="AP6" s="131" cm="1">
        <f t="array" ref="AP6">INDEX($BE$6:$BN$53,MATCH($AL6,$BD$6:$BD$53,0),MATCH(AP$5,$BE$5:$BN$5,0))</f>
        <v>0</v>
      </c>
      <c r="AQ6" s="131" cm="1">
        <f t="array" ref="AQ6">INDEX($BE$6:$BN$53,MATCH($AL6,$BD$6:$BD$53,0),MATCH(AQ$5,$BE$5:$BN$5,0))</f>
        <v>0</v>
      </c>
      <c r="AR6" s="131" cm="1">
        <f t="array" ref="AR6">INDEX($BE$6:$BN$53,MATCH($AL6,$BD$6:$BD$53,0),MATCH(AR$5,$BE$5:$BN$5,0))</f>
        <v>7</v>
      </c>
      <c r="AS6" s="131" cm="1">
        <f t="array" ref="AS6">INDEX($BE$6:$BN$53,MATCH($AL6,$BD$6:$BD$53,0),MATCH(AS$5,$BE$5:$BN$5,0))</f>
        <v>2</v>
      </c>
      <c r="AT6" s="132" cm="1">
        <f t="array" ref="AT6">INDEX($BE$6:$BN$53,MATCH($AL6,$BD$6:$BD$53,0),MATCH(AT$5,$BE$5:$BN$5,0))</f>
        <v>5</v>
      </c>
      <c r="AU6" s="133" cm="1">
        <f t="array" ref="AU6">INDEX($DL$6:$DL$53,MATCH(AI6,$DP$6:$DP$53,0))</f>
        <v>4</v>
      </c>
      <c r="AV6" s="134" t="str" cm="1">
        <f t="array" ref="AV6">INDEX($BD$6:$BD$53,MATCH(AI6,$BM$6:$BM$53,0))</f>
        <v>México</v>
      </c>
      <c r="AW6" s="135"/>
      <c r="AX6" s="136"/>
      <c r="AY6" s="137" t="str" cm="1">
        <f t="array" ref="AY6">A5</f>
        <v>México</v>
      </c>
      <c r="AZ6" s="138"/>
      <c r="BA6" s="125"/>
      <c r="BB6" s="77"/>
      <c r="BC6" s="112" t="s">
        <v>46</v>
      </c>
      <c r="BD6" s="112" t="s">
        <v>49</v>
      </c>
      <c r="BE6" s="139" cm="1">
        <f t="array" ref="BE6">BG6*3+BH6+IF($AZ$3="No",0,INDEX($AZ$6:$AZ$97,MATCH(BD6,$AY$6:$AY$97,0)))</f>
        <v>9</v>
      </c>
      <c r="BF6" s="139" cm="1">
        <f t="array" ref="BF6">BG6+BH6+BI6</f>
        <v>3</v>
      </c>
      <c r="BG6" s="139" cm="1">
        <f t="array" ref="BG6">COUNTIFS($AA$4:$AA$97,BD6,$D$4:$D$97,"Local")+COUNTIFS($AF$4:$AF$97,BD6,$D$4:$D$97,"Visitante")</f>
        <v>3</v>
      </c>
      <c r="BH6" s="139" cm="1">
        <f t="array" ref="BH6">COUNTIFS($AA$4:$AA$97,BD6,$D$4:$D$97,"Empate")+COUNTIFS($AF$4:$AF$97,BD6,$D$4:$D$97,"Empate")</f>
        <v>0</v>
      </c>
      <c r="BI6" s="139" cm="1">
        <f t="array" ref="BI6">COUNTIFS($AF$4:$AF$97,BD6,$D$4:$D$97,"Local")+COUNTIFS($AA$4:$AA$97,BD6,$D$4:$D$97,"Visitante")</f>
        <v>0</v>
      </c>
      <c r="BJ6" s="139" cm="1">
        <f t="array" ref="BJ6">SUMIFS($AC$4:$AC$97,$AA$4:$AA$97,BD6,$D$4:$D$97,"&lt;&gt;"&amp;"Pendiente",$AC$4:$AC$97,"&lt;&gt;"&amp;"",$AD$4:$AD$97,"&lt;&gt;"&amp;"")+SUMIFS($AD$4:$AD$97,$AF$4:$AF$97,BD6,$D$4:$D$97,"&lt;&gt;"&amp;"Pendiente",$AC$4:$AC$97,"&lt;&gt;"&amp;"",$AD$4:$AD$97,"&lt;&gt;"&amp;"")</f>
        <v>7</v>
      </c>
      <c r="BK6" s="139" cm="1">
        <f t="array" ref="BK6">SUMIFS($AC$4:$AC$97,$AF$4:$AF$97,BD6,$D$4:$D$97,"&lt;&gt;"&amp;"Pendiente",$AC$4:$AC$97,"&lt;&gt;"&amp;"",$AD$4:$AD$97,"&lt;&gt;"&amp;"")+SUMIFS($AD$4:$AD$97,$AA$4:$AA$97,BD6,$D$4:$D$97,"&lt;&gt;"&amp;"Pendiente",$AC$4:$AC$97,"&lt;&gt;"&amp;"",$AD$4:$AD$97,"&lt;&gt;"&amp;"")</f>
        <v>2</v>
      </c>
      <c r="BL6" s="139" cm="1">
        <f t="array" ref="BL6">BJ6-BK6</f>
        <v>5</v>
      </c>
      <c r="BM6" s="126" t="str" cm="1">
        <f t="array" ref="BM6">DD6&amp;BC6</f>
        <v>1A</v>
      </c>
      <c r="BN6" s="126" t="str" cm="1">
        <f t="array" ref="BN6">DH6&amp;BC6</f>
        <v>1A</v>
      </c>
      <c r="BO6" s="139" cm="1">
        <f t="array" ref="BO6">IF(AND($AJ$99=144,BF6&gt;=1),1,0)</f>
        <v>0</v>
      </c>
      <c r="BP6" s="139">
        <v>1</v>
      </c>
      <c r="BQ6" s="112" t="s">
        <v>113</v>
      </c>
      <c r="BR6" s="139" cm="1">
        <f t="array" ref="BR6">IF($BQ6="-","-",BE6)</f>
        <v>9</v>
      </c>
      <c r="BS6" s="139">
        <v>1</v>
      </c>
      <c r="BT6" s="112" t="s">
        <v>113</v>
      </c>
      <c r="BU6" s="139" cm="1">
        <f t="array" ref="BU6">IF($BT6="-","-",COUNTIFS($AA$4:$AA$97,$BD6,$D$4:$D$97,"Local",$F$4:$F$97,$BT6)+COUNTIFS($AF$4:$AF$97,$BD6,$D$4:$D$97,"Visitante",$E$4:$E$97,$BT6))</f>
        <v>3</v>
      </c>
      <c r="BV6" s="139" cm="1">
        <f t="array" ref="BV6">IF($BT6="-","-",COUNTIFS($AA$4:$AA$97,$BD6,$D$4:$D$97,"Empate",$F$4:$F$97,$BT6)+COUNTIFS($AF$4:$AF$97,$BD6,$D$4:$D$97,"Empate",$E$4:$E$97,$BT6))</f>
        <v>0</v>
      </c>
      <c r="BW6" s="139" cm="1">
        <f t="array" ref="BW6">IF($BT6="-","-",COUNTIFS($AA$4:$AA$97,$BD6,$D$4:$D$97,"Visitante",$F$4:$F$97,$BT6)+COUNTIFS($AF$4:$AF$97,$BD6,$D$4:$D$97,"Local",$E$4:$E$97,$BT6))</f>
        <v>0</v>
      </c>
      <c r="BX6" s="139" cm="1">
        <f t="array" ref="BX6">IF($BT6="-","-",BU6*3+BV6)</f>
        <v>9</v>
      </c>
      <c r="BY6" s="139">
        <v>1</v>
      </c>
      <c r="BZ6" s="112" t="s">
        <v>113</v>
      </c>
      <c r="CA6" s="139" cm="1">
        <f t="array" ref="CA6">IF($BZ6="-","-",SUMIFS($AC$4:$AC$97,$AA$4:$AA$97,$BD6,$I$4:$I$97,$BZ6)+SUMIFS($AD$4:$AD$97,$AF$4:$AF$97,$BD6,$H$4:$H$97,$BZ6))</f>
        <v>7</v>
      </c>
      <c r="CB6" s="139" cm="1">
        <f t="array" ref="CB6">IF($BZ6="-","-",SUMIFS($AD$4:$AD$97,$AA$4:$AA$97,$BD6,$I$4:$I$97,$BZ6)+SUMIFS($AC$4:$AC$97,$AF$4:$AF$97,$BD6,$H$4:$H$97,$BZ6))</f>
        <v>2</v>
      </c>
      <c r="CC6" s="139" cm="1">
        <f t="array" ref="CC6">IF($BZ6="-","-",CA6-CB6)</f>
        <v>5</v>
      </c>
      <c r="CD6" s="139">
        <v>1</v>
      </c>
      <c r="CE6" s="112" t="s">
        <v>113</v>
      </c>
      <c r="CF6" s="139" cm="1">
        <f t="array" ref="CF6">IF($CE6="-","-",SUMIFS($AC$4:$AC$97,$AA$4:$AA$97,$BD6,$L$4:$L$97,$CE6)+SUMIFS($AD$4:$AD$97,$AF$4:$AF$97,$BD6,$K$4:$K$97,$CE6))</f>
        <v>7</v>
      </c>
      <c r="CG6" s="139">
        <v>1</v>
      </c>
      <c r="CH6" s="112" t="s">
        <v>113</v>
      </c>
      <c r="CI6" s="139" cm="1">
        <f t="array" ref="CI6">IF($CH6="-","-",COUNTIFS($AA$4:$AA$97,$BD6,$D$4:$D$97,"Local",$O$4:$O$97,$CH6)+COUNTIFS($AF$4:$AF$97,$BD6,$D$4:$D$97,"Visitante",$N$4:$N$97,$CH6))</f>
        <v>3</v>
      </c>
      <c r="CJ6" s="139" cm="1">
        <f t="array" ref="CJ6">IF($CH6="-","-",COUNTIFS($AA$4:$AA$97,$BD6,$D$4:$D$97,"Empate",$O$4:$O$97,$CH6)+COUNTIFS($AF$4:$AF$97,$BD6,$D$4:$D$97,"Empate",$N$4:$N$97,$CH6))</f>
        <v>0</v>
      </c>
      <c r="CK6" s="139" cm="1">
        <f t="array" ref="CK6">IF($CH6="-","-",COUNTIFS($AA$4:$AA$97,$BD6,$D$4:$D$97,"Visitante",$O$4:$O$97,$CH6)+COUNTIFS($AF$4:$AF$97,$BD6,$D$4:$D$97,"Local",$N$4:$N$97,$CH6))</f>
        <v>0</v>
      </c>
      <c r="CL6" s="139" cm="1">
        <f t="array" ref="CL6">IF($CH6="-","-",CI6*3+CJ6)</f>
        <v>9</v>
      </c>
      <c r="CM6" s="139">
        <v>1</v>
      </c>
      <c r="CN6" s="112" t="s">
        <v>113</v>
      </c>
      <c r="CO6" s="139" cm="1">
        <f t="array" ref="CO6">IF($CN6="-","-",SUMIFS($AC$4:$AC$97,$AA$4:$AA$97,$BD6,$R$4:$R$97,$CN6)+SUMIFS($AD$4:$AD$97,$AF$4:$AF$97,$BD6,$Q$4:$Q$97,$CN6))</f>
        <v>7</v>
      </c>
      <c r="CP6" s="139" cm="1">
        <f t="array" ref="CP6">IF($CN6="-","-",SUMIFS($AD$4:$AD$97,$AA$4:$AA$97,$BD6,$R$4:$R$97,$CN6)+SUMIFS($AC$4:$AC$97,$AF$4:$AF$97,$BD6,$Q$4:$Q$97,$CN6))</f>
        <v>2</v>
      </c>
      <c r="CQ6" s="139" cm="1">
        <f t="array" ref="CQ6">IF($CN6="-","-",CO6-CP6)</f>
        <v>5</v>
      </c>
      <c r="CR6" s="139">
        <v>1</v>
      </c>
      <c r="CS6" s="112" t="s">
        <v>113</v>
      </c>
      <c r="CT6" s="139" cm="1">
        <f t="array" ref="CT6">IF($CS6="-","-",SUMIFS($AC$4:$AC$97,$AA$4:$AA$97,$BD6,$U$4:$U$97,$CS6)+SUMIFS($AD$4:$AD$97,$AF$4:$AF$97,$BD6,$T$4:$T$97,$CS6))</f>
        <v>7</v>
      </c>
      <c r="CU6" s="139">
        <v>1</v>
      </c>
      <c r="CV6" s="112" t="s">
        <v>113</v>
      </c>
      <c r="CW6" s="139" cm="1">
        <f t="array" ref="CW6">IF(CV6="-","-",BL6)</f>
        <v>5</v>
      </c>
      <c r="CX6" s="139">
        <v>1</v>
      </c>
      <c r="CY6" s="112" t="s">
        <v>113</v>
      </c>
      <c r="CZ6" s="139" cm="1">
        <f t="array" ref="CZ6">IF(CY6="-","-",BJ6)</f>
        <v>7</v>
      </c>
      <c r="DA6" s="139">
        <v>1</v>
      </c>
      <c r="DB6" s="112" t="s">
        <v>113</v>
      </c>
      <c r="DC6" s="139">
        <v>1</v>
      </c>
      <c r="DD6" s="139">
        <v>1</v>
      </c>
      <c r="DE6" s="126"/>
      <c r="DF6" s="139" cm="1">
        <f t="array" ref="DF6">IF(OR(INDEX($AW$6:$AW$97,MATCH($BD6,$AV$6:$AV$97,0))="",DB6="-"),DD6,INDEX($AW$6:$AW$97,MATCH($BD6,$AV$6:$AV$97,0))+DD6/1000)</f>
        <v>1</v>
      </c>
      <c r="DG6" s="139">
        <v>0</v>
      </c>
      <c r="DH6" s="139">
        <v>1</v>
      </c>
      <c r="DI6" s="126"/>
      <c r="DJ6" s="139" cm="1">
        <f t="array" ref="DJ6">INDEX($DA$6:$DA$53,MATCH($DQ6,$BD$6:$BD$53,0))</f>
        <v>1</v>
      </c>
      <c r="DK6" s="139" cm="1">
        <f t="array" ref="DK6">SUMIF($BC$6:$BC$53,BC6,$BF$6:$BF$53)</f>
        <v>12</v>
      </c>
      <c r="DL6" s="139" cm="1">
        <f t="array" ref="DL6">IF(OR(DK6=12,$AJ$99=144),COUNTIFS($DJ$6:$DJ$53,DJ6,$BC$6:$BC$53,BC6),1)</f>
        <v>4</v>
      </c>
      <c r="DM6" s="126" t="str" cm="1">
        <f t="array" ref="DM6">DJ6&amp;"."&amp;DL6</f>
        <v>1.4</v>
      </c>
      <c r="DN6" s="139">
        <v>1</v>
      </c>
      <c r="DO6" s="126"/>
      <c r="DP6" s="112" t="s">
        <v>114</v>
      </c>
      <c r="DQ6" s="126" t="str" cm="1">
        <f t="array" ref="DQ6">INDEX($BD$6:$BD$53,MATCH(DP6,$BM$6:$BM$53,0))</f>
        <v>México</v>
      </c>
      <c r="DR6" s="77"/>
      <c r="DS6" s="77"/>
      <c r="DT6" s="78"/>
      <c r="DU6" s="12"/>
    </row>
    <row r="7" spans="1:125" ht="16" customHeight="1" x14ac:dyDescent="0.2">
      <c r="A7" s="79" t="s">
        <v>115</v>
      </c>
      <c r="B7" s="68"/>
      <c r="C7" s="68"/>
      <c r="D7" s="68" t="str" cm="1">
        <f t="array" ref="D7">IF(OR(AC7="",AD7=""),"Pendiente",IF(AC7&gt;AD7,"Local",IF(AC7&lt;AD7,"Visitante","Empate")))</f>
        <v>Local</v>
      </c>
      <c r="E7" s="68" t="str" cm="1">
        <f t="array" ref="E7">IF(D7="Pendiente","-",INDEX($BT$6:$BT$53,MATCH($AA7,$BD$6:$BD$53,0)))</f>
        <v>P.1 (4)</v>
      </c>
      <c r="F7" s="68" t="str" cm="1">
        <f t="array" ref="F7">IF(D7="Pendiente","-",INDEX($BT$6:$BT$53,MATCH($AF7,$BD$6:$BD$53,0)))</f>
        <v>P.1 (4)</v>
      </c>
      <c r="G7" s="68"/>
      <c r="H7" s="68" t="str" cm="1">
        <f t="array" ref="H7">IF(D7="Pendiente","-",INDEX($BZ$6:$BZ$53,MATCH($AA7,$BD$6:$BD$53,0)))</f>
        <v>P.1 (4)</v>
      </c>
      <c r="I7" s="68" t="str" cm="1">
        <f t="array" ref="I7">IF(D7="Pendiente","-",INDEX($BZ$6:$BZ$53,MATCH($AF7,$BD$6:$BD$53,0)))</f>
        <v>P.1 (4)</v>
      </c>
      <c r="J7" s="68"/>
      <c r="K7" s="68" t="str" cm="1">
        <f t="array" ref="K7">IF(D7="Pendiente","-",INDEX($CE$6:$CE$53,MATCH($AA7,$BD$6:$BD$53,0)))</f>
        <v>P.1 (4)</v>
      </c>
      <c r="L7" s="68" t="str" cm="1">
        <f t="array" ref="L7">IF(D7="Pendiente","-",INDEX($CE$6:$CE$53,MATCH($AF7,$BD$6:$BD$53,0)))</f>
        <v>P.1 (4)</v>
      </c>
      <c r="M7" s="68"/>
      <c r="N7" s="68" t="str" cm="1">
        <f t="array" ref="N7">IF(D7="Pendiente","-",INDEX($CH$6:$CH$53,MATCH($AA7,$BD$6:$BD$53,0)))</f>
        <v>P.1 (4)</v>
      </c>
      <c r="O7" s="68" t="str" cm="1">
        <f t="array" ref="O7">IF(D7="Pendiente","-",INDEX($CH$6:$CH$53,MATCH($AF7,$BD$6:$BD$53,0)))</f>
        <v>P.1 (4)</v>
      </c>
      <c r="P7" s="68"/>
      <c r="Q7" s="68" t="str" cm="1">
        <f t="array" ref="Q7">IF(D7="Pendiente","-",INDEX($CN$6:$CN$53,MATCH($AA7,$BD$6:$BD$53,0)))</f>
        <v>P.1 (4)</v>
      </c>
      <c r="R7" s="68" t="str" cm="1">
        <f t="array" ref="R7">IF(D7="Pendiente","-",INDEX($CN$6:$CN$53,MATCH($AF7,$BD$6:$BD$53,0)))</f>
        <v>P.1 (4)</v>
      </c>
      <c r="S7" s="68"/>
      <c r="T7" s="68" t="str" cm="1">
        <f t="array" ref="T7">IF(D7="Pendiente","-",INDEX($CS$6:$CS$53,MATCH($AA7,$BD$6:$BD$53,0)))</f>
        <v>P.1 (4)</v>
      </c>
      <c r="U7" s="68" t="str" cm="1">
        <f t="array" ref="U7">IF(D7="Pendiente","-",INDEX($CS$6:$CS$53,MATCH($AF7,$BD$6:$BD$53,0)))</f>
        <v>P.1 (4)</v>
      </c>
      <c r="V7" s="80"/>
      <c r="W7" s="762"/>
      <c r="X7" s="96">
        <v>46191.875</v>
      </c>
      <c r="Y7" s="97">
        <v>46191.875</v>
      </c>
      <c r="Z7" s="113" t="str" cm="1">
        <f t="array" ref="Z7">$Z$6</f>
        <v>J2</v>
      </c>
      <c r="AA7" s="99" t="str" cm="1">
        <f t="array" ref="AA7">A5</f>
        <v>México</v>
      </c>
      <c r="AB7" s="100"/>
      <c r="AC7" s="114">
        <v>2</v>
      </c>
      <c r="AD7" s="114">
        <v>1</v>
      </c>
      <c r="AE7" s="102"/>
      <c r="AF7" s="103" t="str" cm="1">
        <f t="array" ref="AF7">A7</f>
        <v>Corea del Sur</v>
      </c>
      <c r="AG7" s="104" cm="1">
        <f t="array" ref="AG7">IF(NOT(OR(ISBLANK(AC7),ISBLANK(AD7))),1,0)</f>
        <v>1</v>
      </c>
      <c r="AH7" s="105">
        <v>28</v>
      </c>
      <c r="AI7" s="106" t="str" cm="1">
        <f t="array" ref="AI7">AJ7&amp;$B$4</f>
        <v>2A</v>
      </c>
      <c r="AJ7" s="140">
        <v>2</v>
      </c>
      <c r="AK7" s="141"/>
      <c r="AL7" s="142" t="str" cm="1">
        <f t="array" ref="AL7">IFERROR(INDEX($BD$6:$BD$53,MATCH(AI7,$BN$6:$BN$53,0)),"")</f>
        <v>Sudáfrica</v>
      </c>
      <c r="AM7" s="143" cm="1">
        <f t="array" ref="AM7">INDEX($BE$6:$BN$53,MATCH($AL7,$BD$6:$BD$53,0),MATCH(AM$5,$BE$5:$BN$5,0))</f>
        <v>0</v>
      </c>
      <c r="AN7" s="144" cm="1">
        <f t="array" ref="AN7">INDEX($BE$6:$BN$53,MATCH($AL7,$BD$6:$BD$53,0),MATCH(AN$5,$BE$5:$BN$5,0))</f>
        <v>3</v>
      </c>
      <c r="AO7" s="144" cm="1">
        <f t="array" ref="AO7">INDEX($BE$6:$BN$53,MATCH($AL7,$BD$6:$BD$53,0),MATCH(AO$5,$BE$5:$BN$5,0))</f>
        <v>0</v>
      </c>
      <c r="AP7" s="144" cm="1">
        <f t="array" ref="AP7">INDEX($BE$6:$BN$53,MATCH($AL7,$BD$6:$BD$53,0),MATCH(AP$5,$BE$5:$BN$5,0))</f>
        <v>0</v>
      </c>
      <c r="AQ7" s="144" cm="1">
        <f t="array" ref="AQ7">INDEX($BE$6:$BN$53,MATCH($AL7,$BD$6:$BD$53,0),MATCH(AQ$5,$BE$5:$BN$5,0))</f>
        <v>3</v>
      </c>
      <c r="AR7" s="144" cm="1">
        <f t="array" ref="AR7">INDEX($BE$6:$BN$53,MATCH($AL7,$BD$6:$BD$53,0),MATCH(AR$5,$BE$5:$BN$5,0))</f>
        <v>3</v>
      </c>
      <c r="AS7" s="144" cm="1">
        <f t="array" ref="AS7">INDEX($BE$6:$BN$53,MATCH($AL7,$BD$6:$BD$53,0),MATCH(AS$5,$BE$5:$BN$5,0))</f>
        <v>7</v>
      </c>
      <c r="AT7" s="145" cm="1">
        <f t="array" ref="AT7">INDEX($BE$6:$BN$53,MATCH($AL7,$BD$6:$BD$53,0),MATCH(AT$5,$BE$5:$BN$5,0))</f>
        <v>-4</v>
      </c>
      <c r="AU7" s="133" cm="1">
        <f t="array" ref="AU7">INDEX($DL$6:$DL$53,MATCH(AI7,$DP$6:$DP$53,0))</f>
        <v>4</v>
      </c>
      <c r="AV7" s="134" t="str" cm="1">
        <f t="array" ref="AV7">INDEX($BD$6:$BD$53,MATCH(AI7,$BM$6:$BM$53,0))</f>
        <v>Sudáfrica</v>
      </c>
      <c r="AW7" s="135"/>
      <c r="AX7" s="136"/>
      <c r="AY7" s="146" t="str" cm="1">
        <f t="array" ref="AY7">A6</f>
        <v>Sudáfrica</v>
      </c>
      <c r="AZ7" s="147"/>
      <c r="BA7" s="125"/>
      <c r="BB7" s="77"/>
      <c r="BC7" s="112" t="s">
        <v>46</v>
      </c>
      <c r="BD7" s="112" t="s">
        <v>111</v>
      </c>
      <c r="BE7" s="139" cm="1">
        <f t="array" ref="BE7">BG7*3+BH7+IF($AZ$3="No",0,INDEX($AZ$6:$AZ$97,MATCH(BD7,$AY$6:$AY$97,0)))</f>
        <v>0</v>
      </c>
      <c r="BF7" s="139" cm="1">
        <f t="array" ref="BF7">BG7+BH7+BI7</f>
        <v>3</v>
      </c>
      <c r="BG7" s="139" cm="1">
        <f t="array" ref="BG7">COUNTIFS($AA$4:$AA$97,BD7,$D$4:$D$97,"Local")+COUNTIFS($AF$4:$AF$97,BD7,$D$4:$D$97,"Visitante")</f>
        <v>0</v>
      </c>
      <c r="BH7" s="139" cm="1">
        <f t="array" ref="BH7">COUNTIFS($AA$4:$AA$97,BD7,$D$4:$D$97,"Empate")+COUNTIFS($AF$4:$AF$97,BD7,$D$4:$D$97,"Empate")</f>
        <v>0</v>
      </c>
      <c r="BI7" s="139" cm="1">
        <f t="array" ref="BI7">COUNTIFS($AF$4:$AF$97,BD7,$D$4:$D$97,"Local")+COUNTIFS($AA$4:$AA$97,BD7,$D$4:$D$97,"Visitante")</f>
        <v>3</v>
      </c>
      <c r="BJ7" s="139" cm="1">
        <f t="array" ref="BJ7">SUMIFS($AC$4:$AC$97,$AA$4:$AA$97,BD7,$D$4:$D$97,"&lt;&gt;"&amp;"Pendiente",$AC$4:$AC$97,"&lt;&gt;"&amp;"",$AD$4:$AD$97,"&lt;&gt;"&amp;"")+SUMIFS($AD$4:$AD$97,$AF$4:$AF$97,BD7,$D$4:$D$97,"&lt;&gt;"&amp;"Pendiente",$AC$4:$AC$97,"&lt;&gt;"&amp;"",$AD$4:$AD$97,"&lt;&gt;"&amp;"")</f>
        <v>3</v>
      </c>
      <c r="BK7" s="139" cm="1">
        <f t="array" ref="BK7">SUMIFS($AC$4:$AC$97,$AF$4:$AF$97,BD7,$D$4:$D$97,"&lt;&gt;"&amp;"Pendiente",$AC$4:$AC$97,"&lt;&gt;"&amp;"",$AD$4:$AD$97,"&lt;&gt;"&amp;"")+SUMIFS($AD$4:$AD$97,$AA$4:$AA$97,BD7,$D$4:$D$97,"&lt;&gt;"&amp;"Pendiente",$AC$4:$AC$97,"&lt;&gt;"&amp;"",$AD$4:$AD$97,"&lt;&gt;"&amp;"")</f>
        <v>7</v>
      </c>
      <c r="BL7" s="139" cm="1">
        <f t="array" ref="BL7">BJ7-BK7</f>
        <v>-4</v>
      </c>
      <c r="BM7" s="126" t="str" cm="1">
        <f t="array" ref="BM7">DD7&amp;BC7</f>
        <v>2A</v>
      </c>
      <c r="BN7" s="126" t="str" cm="1">
        <f t="array" ref="BN7">DH7&amp;BC7</f>
        <v>2A</v>
      </c>
      <c r="BO7" s="139" cm="1">
        <f t="array" ref="BO7">IF(AND($AJ$99=144,BF7&gt;=1),1,0)</f>
        <v>0</v>
      </c>
      <c r="BP7" s="139">
        <v>1</v>
      </c>
      <c r="BQ7" s="112" t="s">
        <v>113</v>
      </c>
      <c r="BR7" s="139" cm="1">
        <f t="array" ref="BR7">IF($BQ7="-","-",BE7)</f>
        <v>0</v>
      </c>
      <c r="BS7" s="139">
        <v>1</v>
      </c>
      <c r="BT7" s="112" t="s">
        <v>113</v>
      </c>
      <c r="BU7" s="139" cm="1">
        <f t="array" ref="BU7">IF($BT7="-","-",COUNTIFS($AA$4:$AA$97,$BD7,$D$4:$D$97,"Local",$F$4:$F$97,$BT7)+COUNTIFS($AF$4:$AF$97,$BD7,$D$4:$D$97,"Visitante",$E$4:$E$97,$BT7))</f>
        <v>0</v>
      </c>
      <c r="BV7" s="139" cm="1">
        <f t="array" ref="BV7">IF($BT7="-","-",COUNTIFS($AA$4:$AA$97,$BD7,$D$4:$D$97,"Empate",$F$4:$F$97,$BT7)+COUNTIFS($AF$4:$AF$97,$BD7,$D$4:$D$97,"Empate",$E$4:$E$97,$BT7))</f>
        <v>0</v>
      </c>
      <c r="BW7" s="139" cm="1">
        <f t="array" ref="BW7">IF($BT7="-","-",COUNTIFS($AA$4:$AA$97,$BD7,$D$4:$D$97,"Visitante",$F$4:$F$97,$BT7)+COUNTIFS($AF$4:$AF$97,$BD7,$D$4:$D$97,"Local",$E$4:$E$97,$BT7))</f>
        <v>3</v>
      </c>
      <c r="BX7" s="139" cm="1">
        <f t="array" ref="BX7">IF($BT7="-","-",BU7*3+BV7)</f>
        <v>0</v>
      </c>
      <c r="BY7" s="139">
        <v>1</v>
      </c>
      <c r="BZ7" s="112" t="s">
        <v>113</v>
      </c>
      <c r="CA7" s="139" cm="1">
        <f t="array" ref="CA7">IF($BZ7="-","-",SUMIFS($AC$4:$AC$97,$AA$4:$AA$97,$BD7,$I$4:$I$97,$BZ7)+SUMIFS($AD$4:$AD$97,$AF$4:$AF$97,$BD7,$H$4:$H$97,$BZ7))</f>
        <v>3</v>
      </c>
      <c r="CB7" s="139" cm="1">
        <f t="array" ref="CB7">IF($BZ7="-","-",SUMIFS($AD$4:$AD$97,$AA$4:$AA$97,$BD7,$I$4:$I$97,$BZ7)+SUMIFS($AC$4:$AC$97,$AF$4:$AF$97,$BD7,$H$4:$H$97,$BZ7))</f>
        <v>7</v>
      </c>
      <c r="CC7" s="139" cm="1">
        <f t="array" ref="CC7">IF($BZ7="-","-",CA7-CB7)</f>
        <v>-4</v>
      </c>
      <c r="CD7" s="139">
        <v>1</v>
      </c>
      <c r="CE7" s="112" t="s">
        <v>113</v>
      </c>
      <c r="CF7" s="139" cm="1">
        <f t="array" ref="CF7">IF($CE7="-","-",SUMIFS($AC$4:$AC$97,$AA$4:$AA$97,$BD7,$L$4:$L$97,$CE7)+SUMIFS($AD$4:$AD$97,$AF$4:$AF$97,$BD7,$K$4:$K$97,$CE7))</f>
        <v>3</v>
      </c>
      <c r="CG7" s="139">
        <v>1</v>
      </c>
      <c r="CH7" s="112" t="s">
        <v>113</v>
      </c>
      <c r="CI7" s="139" cm="1">
        <f t="array" ref="CI7">IF($CH7="-","-",COUNTIFS($AA$4:$AA$97,$BD7,$D$4:$D$97,"Local",$O$4:$O$97,$CH7)+COUNTIFS($AF$4:$AF$97,$BD7,$D$4:$D$97,"Visitante",$N$4:$N$97,$CH7))</f>
        <v>0</v>
      </c>
      <c r="CJ7" s="139" cm="1">
        <f t="array" ref="CJ7">IF($CH7="-","-",COUNTIFS($AA$4:$AA$97,$BD7,$D$4:$D$97,"Empate",$O$4:$O$97,$CH7)+COUNTIFS($AF$4:$AF$97,$BD7,$D$4:$D$97,"Empate",$N$4:$N$97,$CH7))</f>
        <v>0</v>
      </c>
      <c r="CK7" s="139" cm="1">
        <f t="array" ref="CK7">IF($CH7="-","-",COUNTIFS($AA$4:$AA$97,$BD7,$D$4:$D$97,"Visitante",$O$4:$O$97,$CH7)+COUNTIFS($AF$4:$AF$97,$BD7,$D$4:$D$97,"Local",$N$4:$N$97,$CH7))</f>
        <v>3</v>
      </c>
      <c r="CL7" s="139" cm="1">
        <f t="array" ref="CL7">IF($CH7="-","-",CI7*3+CJ7)</f>
        <v>0</v>
      </c>
      <c r="CM7" s="139">
        <v>1</v>
      </c>
      <c r="CN7" s="112" t="s">
        <v>113</v>
      </c>
      <c r="CO7" s="139" cm="1">
        <f t="array" ref="CO7">IF($CN7="-","-",SUMIFS($AC$4:$AC$97,$AA$4:$AA$97,$BD7,$R$4:$R$97,$CN7)+SUMIFS($AD$4:$AD$97,$AF$4:$AF$97,$BD7,$Q$4:$Q$97,$CN7))</f>
        <v>3</v>
      </c>
      <c r="CP7" s="139" cm="1">
        <f t="array" ref="CP7">IF($CN7="-","-",SUMIFS($AD$4:$AD$97,$AA$4:$AA$97,$BD7,$R$4:$R$97,$CN7)+SUMIFS($AC$4:$AC$97,$AF$4:$AF$97,$BD7,$Q$4:$Q$97,$CN7))</f>
        <v>7</v>
      </c>
      <c r="CQ7" s="139" cm="1">
        <f t="array" ref="CQ7">IF($CN7="-","-",CO7-CP7)</f>
        <v>-4</v>
      </c>
      <c r="CR7" s="139">
        <v>1</v>
      </c>
      <c r="CS7" s="112" t="s">
        <v>113</v>
      </c>
      <c r="CT7" s="139" cm="1">
        <f t="array" ref="CT7">IF($CS7="-","-",SUMIFS($AC$4:$AC$97,$AA$4:$AA$97,$BD7,$U$4:$U$97,$CS7)+SUMIFS($AD$4:$AD$97,$AF$4:$AF$97,$BD7,$T$4:$T$97,$CS7))</f>
        <v>3</v>
      </c>
      <c r="CU7" s="139">
        <v>1</v>
      </c>
      <c r="CV7" s="112" t="s">
        <v>113</v>
      </c>
      <c r="CW7" s="139" cm="1">
        <f t="array" ref="CW7">IF(CV7="-","-",BL7)</f>
        <v>-4</v>
      </c>
      <c r="CX7" s="139">
        <v>1</v>
      </c>
      <c r="CY7" s="112" t="s">
        <v>113</v>
      </c>
      <c r="CZ7" s="139" cm="1">
        <f t="array" ref="CZ7">IF(CY7="-","-",BJ7)</f>
        <v>3</v>
      </c>
      <c r="DA7" s="139">
        <v>1</v>
      </c>
      <c r="DB7" s="112" t="s">
        <v>113</v>
      </c>
      <c r="DC7" s="139">
        <v>2</v>
      </c>
      <c r="DD7" s="139">
        <v>2</v>
      </c>
      <c r="DE7" s="126"/>
      <c r="DF7" s="139" cm="1">
        <f t="array" ref="DF7">IF(OR(INDEX($AW$6:$AW$97,MATCH($BD7,$AV$6:$AV$97,0))="",DB7="-"),DD7,INDEX($AW$6:$AW$97,MATCH($BD7,$AV$6:$AV$97,0))+DD7/1000)</f>
        <v>2</v>
      </c>
      <c r="DG7" s="139">
        <v>1</v>
      </c>
      <c r="DH7" s="139">
        <v>2</v>
      </c>
      <c r="DI7" s="126"/>
      <c r="DJ7" s="139" cm="1">
        <f t="array" ref="DJ7">INDEX($DA$6:$DA$53,MATCH($DQ7,$BD$6:$BD$53,0))</f>
        <v>1</v>
      </c>
      <c r="DK7" s="139" cm="1">
        <f t="array" ref="DK7">SUMIF($BC$6:$BC$53,BC7,$BF$6:$BF$53)</f>
        <v>12</v>
      </c>
      <c r="DL7" s="139" cm="1">
        <f t="array" ref="DL7">IF(OR(DK7=12,$AJ$99=144),COUNTIFS($DJ$6:$DJ$53,DJ7,$BC$6:$BC$53,BC7),1)</f>
        <v>4</v>
      </c>
      <c r="DM7" s="126" t="str" cm="1">
        <f t="array" ref="DM7">DJ7&amp;"."&amp;DL7</f>
        <v>1.4</v>
      </c>
      <c r="DN7" s="139">
        <v>1</v>
      </c>
      <c r="DO7" s="126"/>
      <c r="DP7" s="112" t="s">
        <v>116</v>
      </c>
      <c r="DQ7" s="126" t="str" cm="1">
        <f t="array" ref="DQ7">INDEX($BD$6:$BD$53,MATCH(DP7,$BM$6:$BM$53,0))</f>
        <v>Sudáfrica</v>
      </c>
      <c r="DR7" s="77"/>
      <c r="DS7" s="77"/>
      <c r="DT7" s="78"/>
      <c r="DU7" s="12"/>
    </row>
    <row r="8" spans="1:125" ht="16" customHeight="1" x14ac:dyDescent="0.2">
      <c r="A8" s="79" t="s">
        <v>117</v>
      </c>
      <c r="B8" s="68"/>
      <c r="C8" s="68"/>
      <c r="D8" s="68" t="str" cm="1">
        <f t="array" ref="D8">IF(OR(AC8="",AD8=""),"Pendiente",IF(AC8&gt;AD8,"Local",IF(AC8&lt;AD8,"Visitante","Empate")))</f>
        <v>Visitante</v>
      </c>
      <c r="E8" s="68" t="str" cm="1">
        <f t="array" ref="E8">IF(D8="Pendiente","-",INDEX($BT$6:$BT$53,MATCH($AA8,$BD$6:$BD$53,0)))</f>
        <v>P.1 (4)</v>
      </c>
      <c r="F8" s="68" t="str" cm="1">
        <f t="array" ref="F8">IF(D8="Pendiente","-",INDEX($BT$6:$BT$53,MATCH($AF8,$BD$6:$BD$53,0)))</f>
        <v>P.1 (4)</v>
      </c>
      <c r="G8" s="68"/>
      <c r="H8" s="68" t="str" cm="1">
        <f t="array" ref="H8">IF(D8="Pendiente","-",INDEX($BZ$6:$BZ$53,MATCH($AA8,$BD$6:$BD$53,0)))</f>
        <v>P.1 (4)</v>
      </c>
      <c r="I8" s="68" t="str" cm="1">
        <f t="array" ref="I8">IF(D8="Pendiente","-",INDEX($BZ$6:$BZ$53,MATCH($AF8,$BD$6:$BD$53,0)))</f>
        <v>P.1 (4)</v>
      </c>
      <c r="J8" s="68"/>
      <c r="K8" s="68" t="str" cm="1">
        <f t="array" ref="K8">IF(D8="Pendiente","-",INDEX($CE$6:$CE$53,MATCH($AA8,$BD$6:$BD$53,0)))</f>
        <v>P.1 (4)</v>
      </c>
      <c r="L8" s="68" t="str" cm="1">
        <f t="array" ref="L8">IF(D8="Pendiente","-",INDEX($CE$6:$CE$53,MATCH($AF8,$BD$6:$BD$53,0)))</f>
        <v>P.1 (4)</v>
      </c>
      <c r="M8" s="68"/>
      <c r="N8" s="68" t="str" cm="1">
        <f t="array" ref="N8">IF(D8="Pendiente","-",INDEX($CH$6:$CH$53,MATCH($AA8,$BD$6:$BD$53,0)))</f>
        <v>P.1 (4)</v>
      </c>
      <c r="O8" s="68" t="str" cm="1">
        <f t="array" ref="O8">IF(D8="Pendiente","-",INDEX($CH$6:$CH$53,MATCH($AF8,$BD$6:$BD$53,0)))</f>
        <v>P.1 (4)</v>
      </c>
      <c r="P8" s="68"/>
      <c r="Q8" s="68" t="str" cm="1">
        <f t="array" ref="Q8">IF(D8="Pendiente","-",INDEX($CN$6:$CN$53,MATCH($AA8,$BD$6:$BD$53,0)))</f>
        <v>P.1 (4)</v>
      </c>
      <c r="R8" s="68" t="str" cm="1">
        <f t="array" ref="R8">IF(D8="Pendiente","-",INDEX($CN$6:$CN$53,MATCH($AF8,$BD$6:$BD$53,0)))</f>
        <v>P.1 (4)</v>
      </c>
      <c r="S8" s="68"/>
      <c r="T8" s="68" t="str" cm="1">
        <f t="array" ref="T8">IF(D8="Pendiente","-",INDEX($CS$6:$CS$53,MATCH($AA8,$BD$6:$BD$53,0)))</f>
        <v>P.1 (4)</v>
      </c>
      <c r="U8" s="68" t="str" cm="1">
        <f t="array" ref="U8">IF(D8="Pendiente","-",INDEX($CS$6:$CS$53,MATCH($AF8,$BD$6:$BD$53,0)))</f>
        <v>P.1 (4)</v>
      </c>
      <c r="V8" s="80"/>
      <c r="W8" s="762"/>
      <c r="X8" s="96">
        <v>46197.875</v>
      </c>
      <c r="Y8" s="97">
        <v>46197.875</v>
      </c>
      <c r="Z8" s="98" t="s">
        <v>118</v>
      </c>
      <c r="AA8" s="99" t="str" cm="1">
        <f t="array" ref="AA8">A8</f>
        <v>República Checa</v>
      </c>
      <c r="AB8" s="100"/>
      <c r="AC8" s="114">
        <v>0</v>
      </c>
      <c r="AD8" s="114">
        <v>3</v>
      </c>
      <c r="AE8" s="102"/>
      <c r="AF8" s="103" t="str" cm="1">
        <f t="array" ref="AF8">A5</f>
        <v>México</v>
      </c>
      <c r="AG8" s="104" cm="1">
        <f t="array" ref="AG8">IF(NOT(OR(ISBLANK(AC8),ISBLANK(AD8))),1,0)</f>
        <v>1</v>
      </c>
      <c r="AH8" s="105">
        <v>53</v>
      </c>
      <c r="AI8" s="106" t="str" cm="1">
        <f t="array" ref="AI8">AJ8&amp;$B$4</f>
        <v>3A</v>
      </c>
      <c r="AJ8" s="140">
        <v>3</v>
      </c>
      <c r="AK8" s="141"/>
      <c r="AL8" s="142" t="str" cm="1">
        <f t="array" ref="AL8">IFERROR(INDEX($BD$6:$BD$53,MATCH(AI8,$BN$6:$BN$53,0)),"")</f>
        <v>Corea del Sur</v>
      </c>
      <c r="AM8" s="143" cm="1">
        <f t="array" ref="AM8">INDEX($BE$6:$BN$53,MATCH($AL8,$BD$6:$BD$53,0),MATCH(AM$5,$BE$5:$BN$5,0))</f>
        <v>6</v>
      </c>
      <c r="AN8" s="144" cm="1">
        <f t="array" ref="AN8">INDEX($BE$6:$BN$53,MATCH($AL8,$BD$6:$BD$53,0),MATCH(AN$5,$BE$5:$BN$5,0))</f>
        <v>3</v>
      </c>
      <c r="AO8" s="144" cm="1">
        <f t="array" ref="AO8">INDEX($BE$6:$BN$53,MATCH($AL8,$BD$6:$BD$53,0),MATCH(AO$5,$BE$5:$BN$5,0))</f>
        <v>2</v>
      </c>
      <c r="AP8" s="144" cm="1">
        <f t="array" ref="AP8">INDEX($BE$6:$BN$53,MATCH($AL8,$BD$6:$BD$53,0),MATCH(AP$5,$BE$5:$BN$5,0))</f>
        <v>0</v>
      </c>
      <c r="AQ8" s="144" cm="1">
        <f t="array" ref="AQ8">INDEX($BE$6:$BN$53,MATCH($AL8,$BD$6:$BD$53,0),MATCH(AQ$5,$BE$5:$BN$5,0))</f>
        <v>1</v>
      </c>
      <c r="AR8" s="144" cm="1">
        <f t="array" ref="AR8">INDEX($BE$6:$BN$53,MATCH($AL8,$BD$6:$BD$53,0),MATCH(AR$5,$BE$5:$BN$5,0))</f>
        <v>6</v>
      </c>
      <c r="AS8" s="144" cm="1">
        <f t="array" ref="AS8">INDEX($BE$6:$BN$53,MATCH($AL8,$BD$6:$BD$53,0),MATCH(AS$5,$BE$5:$BN$5,0))</f>
        <v>4</v>
      </c>
      <c r="AT8" s="145" cm="1">
        <f t="array" ref="AT8">INDEX($BE$6:$BN$53,MATCH($AL8,$BD$6:$BD$53,0),MATCH(AT$5,$BE$5:$BN$5,0))</f>
        <v>2</v>
      </c>
      <c r="AU8" s="133" cm="1">
        <f t="array" ref="AU8">INDEX($DL$6:$DL$53,MATCH(AI8,$DP$6:$DP$53,0))</f>
        <v>4</v>
      </c>
      <c r="AV8" s="134" t="str" cm="1">
        <f t="array" ref="AV8">INDEX($BD$6:$BD$53,MATCH(AI8,$BM$6:$BM$53,0))</f>
        <v>Corea del Sur</v>
      </c>
      <c r="AW8" s="135"/>
      <c r="AX8" s="136"/>
      <c r="AY8" s="137" t="str" cm="1">
        <f t="array" ref="AY8">A7</f>
        <v>Corea del Sur</v>
      </c>
      <c r="AZ8" s="138"/>
      <c r="BA8" s="125"/>
      <c r="BB8" s="77"/>
      <c r="BC8" s="112" t="s">
        <v>46</v>
      </c>
      <c r="BD8" s="112" t="s">
        <v>115</v>
      </c>
      <c r="BE8" s="139" cm="1">
        <f t="array" ref="BE8">BG8*3+BH8+IF($AZ$3="No",0,INDEX($AZ$6:$AZ$97,MATCH(BD8,$AY$6:$AY$97,0)))</f>
        <v>6</v>
      </c>
      <c r="BF8" s="139" cm="1">
        <f t="array" ref="BF8">BG8+BH8+BI8</f>
        <v>3</v>
      </c>
      <c r="BG8" s="139" cm="1">
        <f t="array" ref="BG8">COUNTIFS($AA$4:$AA$97,BD8,$D$4:$D$97,"Local")+COUNTIFS($AF$4:$AF$97,BD8,$D$4:$D$97,"Visitante")</f>
        <v>2</v>
      </c>
      <c r="BH8" s="139" cm="1">
        <f t="array" ref="BH8">COUNTIFS($AA$4:$AA$97,BD8,$D$4:$D$97,"Empate")+COUNTIFS($AF$4:$AF$97,BD8,$D$4:$D$97,"Empate")</f>
        <v>0</v>
      </c>
      <c r="BI8" s="139" cm="1">
        <f t="array" ref="BI8">COUNTIFS($AF$4:$AF$97,BD8,$D$4:$D$97,"Local")+COUNTIFS($AA$4:$AA$97,BD8,$D$4:$D$97,"Visitante")</f>
        <v>1</v>
      </c>
      <c r="BJ8" s="139" cm="1">
        <f t="array" ref="BJ8">SUMIFS($AC$4:$AC$97,$AA$4:$AA$97,BD8,$D$4:$D$97,"&lt;&gt;"&amp;"Pendiente",$AC$4:$AC$97,"&lt;&gt;"&amp;"",$AD$4:$AD$97,"&lt;&gt;"&amp;"")+SUMIFS($AD$4:$AD$97,$AF$4:$AF$97,BD8,$D$4:$D$97,"&lt;&gt;"&amp;"Pendiente",$AC$4:$AC$97,"&lt;&gt;"&amp;"",$AD$4:$AD$97,"&lt;&gt;"&amp;"")</f>
        <v>6</v>
      </c>
      <c r="BK8" s="139" cm="1">
        <f t="array" ref="BK8">SUMIFS($AC$4:$AC$97,$AF$4:$AF$97,BD8,$D$4:$D$97,"&lt;&gt;"&amp;"Pendiente",$AC$4:$AC$97,"&lt;&gt;"&amp;"",$AD$4:$AD$97,"&lt;&gt;"&amp;"")+SUMIFS($AD$4:$AD$97,$AA$4:$AA$97,BD8,$D$4:$D$97,"&lt;&gt;"&amp;"Pendiente",$AC$4:$AC$97,"&lt;&gt;"&amp;"",$AD$4:$AD$97,"&lt;&gt;"&amp;"")</f>
        <v>4</v>
      </c>
      <c r="BL8" s="139" cm="1">
        <f t="array" ref="BL8">BJ8-BK8</f>
        <v>2</v>
      </c>
      <c r="BM8" s="126" t="str" cm="1">
        <f t="array" ref="BM8">DD8&amp;BC8</f>
        <v>3A</v>
      </c>
      <c r="BN8" s="126" t="str" cm="1">
        <f t="array" ref="BN8">DH8&amp;BC8</f>
        <v>3A</v>
      </c>
      <c r="BO8" s="139" cm="1">
        <f t="array" ref="BO8">IF(AND($AJ$99=144,BF8&gt;=1),1,0)</f>
        <v>0</v>
      </c>
      <c r="BP8" s="139">
        <v>1</v>
      </c>
      <c r="BQ8" s="112" t="s">
        <v>113</v>
      </c>
      <c r="BR8" s="139" cm="1">
        <f t="array" ref="BR8">IF($BQ8="-","-",BE8)</f>
        <v>6</v>
      </c>
      <c r="BS8" s="139">
        <v>1</v>
      </c>
      <c r="BT8" s="112" t="s">
        <v>113</v>
      </c>
      <c r="BU8" s="139" cm="1">
        <f t="array" ref="BU8">IF($BT8="-","-",COUNTIFS($AA$4:$AA$97,$BD8,$D$4:$D$97,"Local",$F$4:$F$97,$BT8)+COUNTIFS($AF$4:$AF$97,$BD8,$D$4:$D$97,"Visitante",$E$4:$E$97,$BT8))</f>
        <v>2</v>
      </c>
      <c r="BV8" s="139" cm="1">
        <f t="array" ref="BV8">IF($BT8="-","-",COUNTIFS($AA$4:$AA$97,$BD8,$D$4:$D$97,"Empate",$F$4:$F$97,$BT8)+COUNTIFS($AF$4:$AF$97,$BD8,$D$4:$D$97,"Empate",$E$4:$E$97,$BT8))</f>
        <v>0</v>
      </c>
      <c r="BW8" s="139" cm="1">
        <f t="array" ref="BW8">IF($BT8="-","-",COUNTIFS($AA$4:$AA$97,$BD8,$D$4:$D$97,"Visitante",$F$4:$F$97,$BT8)+COUNTIFS($AF$4:$AF$97,$BD8,$D$4:$D$97,"Local",$E$4:$E$97,$BT8))</f>
        <v>1</v>
      </c>
      <c r="BX8" s="139" cm="1">
        <f t="array" ref="BX8">IF($BT8="-","-",BU8*3+BV8)</f>
        <v>6</v>
      </c>
      <c r="BY8" s="139">
        <v>1</v>
      </c>
      <c r="BZ8" s="112" t="s">
        <v>113</v>
      </c>
      <c r="CA8" s="139" cm="1">
        <f t="array" ref="CA8">IF($BZ8="-","-",SUMIFS($AC$4:$AC$97,$AA$4:$AA$97,$BD8,$I$4:$I$97,$BZ8)+SUMIFS($AD$4:$AD$97,$AF$4:$AF$97,$BD8,$H$4:$H$97,$BZ8))</f>
        <v>6</v>
      </c>
      <c r="CB8" s="139" cm="1">
        <f t="array" ref="CB8">IF($BZ8="-","-",SUMIFS($AD$4:$AD$97,$AA$4:$AA$97,$BD8,$I$4:$I$97,$BZ8)+SUMIFS($AC$4:$AC$97,$AF$4:$AF$97,$BD8,$H$4:$H$97,$BZ8))</f>
        <v>4</v>
      </c>
      <c r="CC8" s="139" cm="1">
        <f t="array" ref="CC8">IF($BZ8="-","-",CA8-CB8)</f>
        <v>2</v>
      </c>
      <c r="CD8" s="139">
        <v>1</v>
      </c>
      <c r="CE8" s="112" t="s">
        <v>113</v>
      </c>
      <c r="CF8" s="139" cm="1">
        <f t="array" ref="CF8">IF($CE8="-","-",SUMIFS($AC$4:$AC$97,$AA$4:$AA$97,$BD8,$L$4:$L$97,$CE8)+SUMIFS($AD$4:$AD$97,$AF$4:$AF$97,$BD8,$K$4:$K$97,$CE8))</f>
        <v>6</v>
      </c>
      <c r="CG8" s="139">
        <v>1</v>
      </c>
      <c r="CH8" s="112" t="s">
        <v>113</v>
      </c>
      <c r="CI8" s="139" cm="1">
        <f t="array" ref="CI8">IF($CH8="-","-",COUNTIFS($AA$4:$AA$97,$BD8,$D$4:$D$97,"Local",$O$4:$O$97,$CH8)+COUNTIFS($AF$4:$AF$97,$BD8,$D$4:$D$97,"Visitante",$N$4:$N$97,$CH8))</f>
        <v>2</v>
      </c>
      <c r="CJ8" s="139" cm="1">
        <f t="array" ref="CJ8">IF($CH8="-","-",COUNTIFS($AA$4:$AA$97,$BD8,$D$4:$D$97,"Empate",$O$4:$O$97,$CH8)+COUNTIFS($AF$4:$AF$97,$BD8,$D$4:$D$97,"Empate",$N$4:$N$97,$CH8))</f>
        <v>0</v>
      </c>
      <c r="CK8" s="139" cm="1">
        <f t="array" ref="CK8">IF($CH8="-","-",COUNTIFS($AA$4:$AA$97,$BD8,$D$4:$D$97,"Visitante",$O$4:$O$97,$CH8)+COUNTIFS($AF$4:$AF$97,$BD8,$D$4:$D$97,"Local",$N$4:$N$97,$CH8))</f>
        <v>1</v>
      </c>
      <c r="CL8" s="139" cm="1">
        <f t="array" ref="CL8">IF($CH8="-","-",CI8*3+CJ8)</f>
        <v>6</v>
      </c>
      <c r="CM8" s="139">
        <v>1</v>
      </c>
      <c r="CN8" s="112" t="s">
        <v>113</v>
      </c>
      <c r="CO8" s="139" cm="1">
        <f t="array" ref="CO8">IF($CN8="-","-",SUMIFS($AC$4:$AC$97,$AA$4:$AA$97,$BD8,$R$4:$R$97,$CN8)+SUMIFS($AD$4:$AD$97,$AF$4:$AF$97,$BD8,$Q$4:$Q$97,$CN8))</f>
        <v>6</v>
      </c>
      <c r="CP8" s="139" cm="1">
        <f t="array" ref="CP8">IF($CN8="-","-",SUMIFS($AD$4:$AD$97,$AA$4:$AA$97,$BD8,$R$4:$R$97,$CN8)+SUMIFS($AC$4:$AC$97,$AF$4:$AF$97,$BD8,$Q$4:$Q$97,$CN8))</f>
        <v>4</v>
      </c>
      <c r="CQ8" s="139" cm="1">
        <f t="array" ref="CQ8">IF($CN8="-","-",CO8-CP8)</f>
        <v>2</v>
      </c>
      <c r="CR8" s="139">
        <v>1</v>
      </c>
      <c r="CS8" s="112" t="s">
        <v>113</v>
      </c>
      <c r="CT8" s="139" cm="1">
        <f t="array" ref="CT8">IF($CS8="-","-",SUMIFS($AC$4:$AC$97,$AA$4:$AA$97,$BD8,$U$4:$U$97,$CS8)+SUMIFS($AD$4:$AD$97,$AF$4:$AF$97,$BD8,$T$4:$T$97,$CS8))</f>
        <v>6</v>
      </c>
      <c r="CU8" s="139">
        <v>1</v>
      </c>
      <c r="CV8" s="112" t="s">
        <v>113</v>
      </c>
      <c r="CW8" s="139" cm="1">
        <f t="array" ref="CW8">IF(CV8="-","-",BL8)</f>
        <v>2</v>
      </c>
      <c r="CX8" s="139">
        <v>1</v>
      </c>
      <c r="CY8" s="112" t="s">
        <v>113</v>
      </c>
      <c r="CZ8" s="139" cm="1">
        <f t="array" ref="CZ8">IF(CY8="-","-",BJ8)</f>
        <v>6</v>
      </c>
      <c r="DA8" s="139">
        <v>1</v>
      </c>
      <c r="DB8" s="112" t="s">
        <v>113</v>
      </c>
      <c r="DC8" s="139">
        <v>3</v>
      </c>
      <c r="DD8" s="139">
        <v>3</v>
      </c>
      <c r="DE8" s="126"/>
      <c r="DF8" s="139" cm="1">
        <f t="array" ref="DF8">IF(OR(INDEX($AW$6:$AW$97,MATCH($BD8,$AV$6:$AV$97,0))="",DB8="-"),DD8,INDEX($AW$6:$AW$97,MATCH($BD8,$AV$6:$AV$97,0))+DD8/1000)</f>
        <v>3</v>
      </c>
      <c r="DG8" s="139">
        <v>2</v>
      </c>
      <c r="DH8" s="139">
        <v>3</v>
      </c>
      <c r="DI8" s="126"/>
      <c r="DJ8" s="139" cm="1">
        <f t="array" ref="DJ8">INDEX($DA$6:$DA$53,MATCH($DQ8,$BD$6:$BD$53,0))</f>
        <v>1</v>
      </c>
      <c r="DK8" s="139" cm="1">
        <f t="array" ref="DK8">SUMIF($BC$6:$BC$53,BC8,$BF$6:$BF$53)</f>
        <v>12</v>
      </c>
      <c r="DL8" s="139" cm="1">
        <f t="array" ref="DL8">IF(OR(DK8=12,$AJ$99=144),COUNTIFS($DJ$6:$DJ$53,DJ8,$BC$6:$BC$53,BC8),1)</f>
        <v>4</v>
      </c>
      <c r="DM8" s="126" t="str" cm="1">
        <f t="array" ref="DM8">DJ8&amp;"."&amp;DL8</f>
        <v>1.4</v>
      </c>
      <c r="DN8" s="139">
        <v>1</v>
      </c>
      <c r="DO8" s="126"/>
      <c r="DP8" s="112" t="s">
        <v>119</v>
      </c>
      <c r="DQ8" s="126" t="str" cm="1">
        <f t="array" ref="DQ8">INDEX($BD$6:$BD$53,MATCH(DP8,$BM$6:$BM$53,0))</f>
        <v>Corea del Sur</v>
      </c>
      <c r="DR8" s="77"/>
      <c r="DS8" s="77"/>
      <c r="DT8" s="78"/>
      <c r="DU8" s="12"/>
    </row>
    <row r="9" spans="1:125" ht="16" customHeight="1" x14ac:dyDescent="0.2">
      <c r="A9" s="68"/>
      <c r="B9" s="68"/>
      <c r="C9" s="68"/>
      <c r="D9" s="68" t="str" cm="1">
        <f t="array" ref="D9">IF(OR(AC9="",AD9=""),"Pendiente",IF(AC9&gt;AD9,"Local",IF(AC9&lt;AD9,"Visitante","Empate")))</f>
        <v>Visitante</v>
      </c>
      <c r="E9" s="68" t="str" cm="1">
        <f t="array" ref="E9">IF(D9="Pendiente","-",INDEX($BT$6:$BT$53,MATCH($AA9,$BD$6:$BD$53,0)))</f>
        <v>P.1 (4)</v>
      </c>
      <c r="F9" s="68" t="str" cm="1">
        <f t="array" ref="F9">IF(D9="Pendiente","-",INDEX($BT$6:$BT$53,MATCH($AF9,$BD$6:$BD$53,0)))</f>
        <v>P.1 (4)</v>
      </c>
      <c r="G9" s="68"/>
      <c r="H9" s="68" t="str" cm="1">
        <f t="array" ref="H9">IF(D9="Pendiente","-",INDEX($BZ$6:$BZ$53,MATCH($AA9,$BD$6:$BD$53,0)))</f>
        <v>P.1 (4)</v>
      </c>
      <c r="I9" s="68" t="str" cm="1">
        <f t="array" ref="I9">IF(D9="Pendiente","-",INDEX($BZ$6:$BZ$53,MATCH($AF9,$BD$6:$BD$53,0)))</f>
        <v>P.1 (4)</v>
      </c>
      <c r="J9" s="68"/>
      <c r="K9" s="68" t="str" cm="1">
        <f t="array" ref="K9">IF(D9="Pendiente","-",INDEX($CE$6:$CE$53,MATCH($AA9,$BD$6:$BD$53,0)))</f>
        <v>P.1 (4)</v>
      </c>
      <c r="L9" s="68" t="str" cm="1">
        <f t="array" ref="L9">IF(D9="Pendiente","-",INDEX($CE$6:$CE$53,MATCH($AF9,$BD$6:$BD$53,0)))</f>
        <v>P.1 (4)</v>
      </c>
      <c r="M9" s="68"/>
      <c r="N9" s="68" t="str" cm="1">
        <f t="array" ref="N9">IF(D9="Pendiente","-",INDEX($CH$6:$CH$53,MATCH($AA9,$BD$6:$BD$53,0)))</f>
        <v>P.1 (4)</v>
      </c>
      <c r="O9" s="68" t="str" cm="1">
        <f t="array" ref="O9">IF(D9="Pendiente","-",INDEX($CH$6:$CH$53,MATCH($AF9,$BD$6:$BD$53,0)))</f>
        <v>P.1 (4)</v>
      </c>
      <c r="P9" s="68"/>
      <c r="Q9" s="68" t="str" cm="1">
        <f t="array" ref="Q9">IF(D9="Pendiente","-",INDEX($CN$6:$CN$53,MATCH($AA9,$BD$6:$BD$53,0)))</f>
        <v>P.1 (4)</v>
      </c>
      <c r="R9" s="68" t="str" cm="1">
        <f t="array" ref="R9">IF(D9="Pendiente","-",INDEX($CN$6:$CN$53,MATCH($AF9,$BD$6:$BD$53,0)))</f>
        <v>P.1 (4)</v>
      </c>
      <c r="S9" s="68"/>
      <c r="T9" s="68" t="str" cm="1">
        <f t="array" ref="T9">IF(D9="Pendiente","-",INDEX($CS$6:$CS$53,MATCH($AA9,$BD$6:$BD$53,0)))</f>
        <v>P.1 (4)</v>
      </c>
      <c r="U9" s="68" t="str" cm="1">
        <f t="array" ref="U9">IF(D9="Pendiente","-",INDEX($CS$6:$CS$53,MATCH($AF9,$BD$6:$BD$53,0)))</f>
        <v>P.1 (4)</v>
      </c>
      <c r="V9" s="80"/>
      <c r="W9" s="763"/>
      <c r="X9" s="148">
        <v>46197.875</v>
      </c>
      <c r="Y9" s="149">
        <v>46197.875</v>
      </c>
      <c r="Z9" s="150" t="str" cm="1">
        <f t="array" ref="Z9">$Z$8</f>
        <v>J3</v>
      </c>
      <c r="AA9" s="151" t="str" cm="1">
        <f t="array" ref="AA9">A6</f>
        <v>Sudáfrica</v>
      </c>
      <c r="AB9" s="152"/>
      <c r="AC9" s="153">
        <v>1</v>
      </c>
      <c r="AD9" s="153">
        <v>3</v>
      </c>
      <c r="AE9" s="154"/>
      <c r="AF9" s="155" t="str" cm="1">
        <f t="array" ref="AF9">A7</f>
        <v>Corea del Sur</v>
      </c>
      <c r="AG9" s="104" cm="1">
        <f t="array" ref="AG9">IF(NOT(OR(ISBLANK(AC9),ISBLANK(AD9))),1,0)</f>
        <v>1</v>
      </c>
      <c r="AH9" s="105">
        <v>54</v>
      </c>
      <c r="AI9" s="106" t="str" cm="1">
        <f t="array" ref="AI9">AJ9&amp;$B$4</f>
        <v>4A</v>
      </c>
      <c r="AJ9" s="156">
        <v>4</v>
      </c>
      <c r="AK9" s="157"/>
      <c r="AL9" s="158" t="str" cm="1">
        <f t="array" ref="AL9">IFERROR(INDEX($BD$6:$BD$53,MATCH(AI9,$BN$6:$BN$53,0)),"")</f>
        <v>República Checa</v>
      </c>
      <c r="AM9" s="159" cm="1">
        <f t="array" ref="AM9">INDEX($BE$6:$BN$53,MATCH($AL9,$BD$6:$BD$53,0),MATCH(AM$5,$BE$5:$BN$5,0))</f>
        <v>3</v>
      </c>
      <c r="AN9" s="160" cm="1">
        <f t="array" ref="AN9">INDEX($BE$6:$BN$53,MATCH($AL9,$BD$6:$BD$53,0),MATCH(AN$5,$BE$5:$BN$5,0))</f>
        <v>3</v>
      </c>
      <c r="AO9" s="160" cm="1">
        <f t="array" ref="AO9">INDEX($BE$6:$BN$53,MATCH($AL9,$BD$6:$BD$53,0),MATCH(AO$5,$BE$5:$BN$5,0))</f>
        <v>1</v>
      </c>
      <c r="AP9" s="160" cm="1">
        <f t="array" ref="AP9">INDEX($BE$6:$BN$53,MATCH($AL9,$BD$6:$BD$53,0),MATCH(AP$5,$BE$5:$BN$5,0))</f>
        <v>0</v>
      </c>
      <c r="AQ9" s="160" cm="1">
        <f t="array" ref="AQ9">INDEX($BE$6:$BN$53,MATCH($AL9,$BD$6:$BD$53,0),MATCH(AQ$5,$BE$5:$BN$5,0))</f>
        <v>2</v>
      </c>
      <c r="AR9" s="160" cm="1">
        <f t="array" ref="AR9">INDEX($BE$6:$BN$53,MATCH($AL9,$BD$6:$BD$53,0),MATCH(AR$5,$BE$5:$BN$5,0))</f>
        <v>3</v>
      </c>
      <c r="AS9" s="160" cm="1">
        <f t="array" ref="AS9">INDEX($BE$6:$BN$53,MATCH($AL9,$BD$6:$BD$53,0),MATCH(AS$5,$BE$5:$BN$5,0))</f>
        <v>6</v>
      </c>
      <c r="AT9" s="161" cm="1">
        <f t="array" ref="AT9">INDEX($BE$6:$BN$53,MATCH($AL9,$BD$6:$BD$53,0),MATCH(AT$5,$BE$5:$BN$5,0))</f>
        <v>-3</v>
      </c>
      <c r="AU9" s="133" cm="1">
        <f t="array" ref="AU9">INDEX($DL$6:$DL$53,MATCH(AI9,$DP$6:$DP$53,0))</f>
        <v>4</v>
      </c>
      <c r="AV9" s="134" t="str" cm="1">
        <f t="array" ref="AV9">INDEX($BD$6:$BD$53,MATCH(AI9,$BM$6:$BM$53,0))</f>
        <v>República Checa</v>
      </c>
      <c r="AW9" s="135"/>
      <c r="AX9" s="136"/>
      <c r="AY9" s="162" t="str" cm="1">
        <f t="array" ref="AY9">A8</f>
        <v>República Checa</v>
      </c>
      <c r="AZ9" s="163"/>
      <c r="BA9" s="125"/>
      <c r="BB9" s="77"/>
      <c r="BC9" s="112" t="s">
        <v>46</v>
      </c>
      <c r="BD9" s="112" t="s">
        <v>117</v>
      </c>
      <c r="BE9" s="139" cm="1">
        <f t="array" ref="BE9">BG9*3+BH9+IF($AZ$3="No",0,INDEX($AZ$6:$AZ$97,MATCH(BD9,$AY$6:$AY$97,0)))</f>
        <v>3</v>
      </c>
      <c r="BF9" s="139" cm="1">
        <f t="array" ref="BF9">BG9+BH9+BI9</f>
        <v>3</v>
      </c>
      <c r="BG9" s="139" cm="1">
        <f t="array" ref="BG9">COUNTIFS($AA$4:$AA$97,BD9,$D$4:$D$97,"Local")+COUNTIFS($AF$4:$AF$97,BD9,$D$4:$D$97,"Visitante")</f>
        <v>1</v>
      </c>
      <c r="BH9" s="139" cm="1">
        <f t="array" ref="BH9">COUNTIFS($AA$4:$AA$97,BD9,$D$4:$D$97,"Empate")+COUNTIFS($AF$4:$AF$97,BD9,$D$4:$D$97,"Empate")</f>
        <v>0</v>
      </c>
      <c r="BI9" s="139" cm="1">
        <f t="array" ref="BI9">COUNTIFS($AF$4:$AF$97,BD9,$D$4:$D$97,"Local")+COUNTIFS($AA$4:$AA$97,BD9,$D$4:$D$97,"Visitante")</f>
        <v>2</v>
      </c>
      <c r="BJ9" s="139" cm="1">
        <f t="array" ref="BJ9">SUMIFS($AC$4:$AC$97,$AA$4:$AA$97,BD9,$D$4:$D$97,"&lt;&gt;"&amp;"Pendiente",$AC$4:$AC$97,"&lt;&gt;"&amp;"",$AD$4:$AD$97,"&lt;&gt;"&amp;"")+SUMIFS($AD$4:$AD$97,$AF$4:$AF$97,BD9,$D$4:$D$97,"&lt;&gt;"&amp;"Pendiente",$AC$4:$AC$97,"&lt;&gt;"&amp;"",$AD$4:$AD$97,"&lt;&gt;"&amp;"")</f>
        <v>3</v>
      </c>
      <c r="BK9" s="139" cm="1">
        <f t="array" ref="BK9">SUMIFS($AC$4:$AC$97,$AF$4:$AF$97,BD9,$D$4:$D$97,"&lt;&gt;"&amp;"Pendiente",$AC$4:$AC$97,"&lt;&gt;"&amp;"",$AD$4:$AD$97,"&lt;&gt;"&amp;"")+SUMIFS($AD$4:$AD$97,$AA$4:$AA$97,BD9,$D$4:$D$97,"&lt;&gt;"&amp;"Pendiente",$AC$4:$AC$97,"&lt;&gt;"&amp;"",$AD$4:$AD$97,"&lt;&gt;"&amp;"")</f>
        <v>6</v>
      </c>
      <c r="BL9" s="139" cm="1">
        <f t="array" ref="BL9">BJ9-BK9</f>
        <v>-3</v>
      </c>
      <c r="BM9" s="126" t="str" cm="1">
        <f t="array" ref="BM9">DD9&amp;BC9</f>
        <v>4A</v>
      </c>
      <c r="BN9" s="126" t="str" cm="1">
        <f t="array" ref="BN9">DH9&amp;BC9</f>
        <v>4A</v>
      </c>
      <c r="BO9" s="139" cm="1">
        <f t="array" ref="BO9">IF(AND($AJ$99=144,BF9&gt;=1),1,0)</f>
        <v>0</v>
      </c>
      <c r="BP9" s="139">
        <v>1</v>
      </c>
      <c r="BQ9" s="112" t="s">
        <v>113</v>
      </c>
      <c r="BR9" s="139" cm="1">
        <f t="array" ref="BR9">IF($BQ9="-","-",BE9)</f>
        <v>3</v>
      </c>
      <c r="BS9" s="139">
        <v>1</v>
      </c>
      <c r="BT9" s="112" t="s">
        <v>113</v>
      </c>
      <c r="BU9" s="139" cm="1">
        <f t="array" ref="BU9">IF($BT9="-","-",COUNTIFS($AA$4:$AA$97,$BD9,$D$4:$D$97,"Local",$F$4:$F$97,$BT9)+COUNTIFS($AF$4:$AF$97,$BD9,$D$4:$D$97,"Visitante",$E$4:$E$97,$BT9))</f>
        <v>1</v>
      </c>
      <c r="BV9" s="139" cm="1">
        <f t="array" ref="BV9">IF($BT9="-","-",COUNTIFS($AA$4:$AA$97,$BD9,$D$4:$D$97,"Empate",$F$4:$F$97,$BT9)+COUNTIFS($AF$4:$AF$97,$BD9,$D$4:$D$97,"Empate",$E$4:$E$97,$BT9))</f>
        <v>0</v>
      </c>
      <c r="BW9" s="139" cm="1">
        <f t="array" ref="BW9">IF($BT9="-","-",COUNTIFS($AA$4:$AA$97,$BD9,$D$4:$D$97,"Visitante",$F$4:$F$97,$BT9)+COUNTIFS($AF$4:$AF$97,$BD9,$D$4:$D$97,"Local",$E$4:$E$97,$BT9))</f>
        <v>2</v>
      </c>
      <c r="BX9" s="139" cm="1">
        <f t="array" ref="BX9">IF($BT9="-","-",BU9*3+BV9)</f>
        <v>3</v>
      </c>
      <c r="BY9" s="139">
        <v>1</v>
      </c>
      <c r="BZ9" s="112" t="s">
        <v>113</v>
      </c>
      <c r="CA9" s="139" cm="1">
        <f t="array" ref="CA9">IF($BZ9="-","-",SUMIFS($AC$4:$AC$97,$AA$4:$AA$97,$BD9,$I$4:$I$97,$BZ9)+SUMIFS($AD$4:$AD$97,$AF$4:$AF$97,$BD9,$H$4:$H$97,$BZ9))</f>
        <v>3</v>
      </c>
      <c r="CB9" s="139" cm="1">
        <f t="array" ref="CB9">IF($BZ9="-","-",SUMIFS($AD$4:$AD$97,$AA$4:$AA$97,$BD9,$I$4:$I$97,$BZ9)+SUMIFS($AC$4:$AC$97,$AF$4:$AF$97,$BD9,$H$4:$H$97,$BZ9))</f>
        <v>6</v>
      </c>
      <c r="CC9" s="139" cm="1">
        <f t="array" ref="CC9">IF($BZ9="-","-",CA9-CB9)</f>
        <v>-3</v>
      </c>
      <c r="CD9" s="139">
        <v>1</v>
      </c>
      <c r="CE9" s="112" t="s">
        <v>113</v>
      </c>
      <c r="CF9" s="139" cm="1">
        <f t="array" ref="CF9">IF($CE9="-","-",SUMIFS($AC$4:$AC$97,$AA$4:$AA$97,$BD9,$L$4:$L$97,$CE9)+SUMIFS($AD$4:$AD$97,$AF$4:$AF$97,$BD9,$K$4:$K$97,$CE9))</f>
        <v>3</v>
      </c>
      <c r="CG9" s="139">
        <v>1</v>
      </c>
      <c r="CH9" s="112" t="s">
        <v>113</v>
      </c>
      <c r="CI9" s="139" cm="1">
        <f t="array" ref="CI9">IF($CH9="-","-",COUNTIFS($AA$4:$AA$97,$BD9,$D$4:$D$97,"Local",$O$4:$O$97,$CH9)+COUNTIFS($AF$4:$AF$97,$BD9,$D$4:$D$97,"Visitante",$N$4:$N$97,$CH9))</f>
        <v>1</v>
      </c>
      <c r="CJ9" s="139" cm="1">
        <f t="array" ref="CJ9">IF($CH9="-","-",COUNTIFS($AA$4:$AA$97,$BD9,$D$4:$D$97,"Empate",$O$4:$O$97,$CH9)+COUNTIFS($AF$4:$AF$97,$BD9,$D$4:$D$97,"Empate",$N$4:$N$97,$CH9))</f>
        <v>0</v>
      </c>
      <c r="CK9" s="139" cm="1">
        <f t="array" ref="CK9">IF($CH9="-","-",COUNTIFS($AA$4:$AA$97,$BD9,$D$4:$D$97,"Visitante",$O$4:$O$97,$CH9)+COUNTIFS($AF$4:$AF$97,$BD9,$D$4:$D$97,"Local",$N$4:$N$97,$CH9))</f>
        <v>2</v>
      </c>
      <c r="CL9" s="139" cm="1">
        <f t="array" ref="CL9">IF($CH9="-","-",CI9*3+CJ9)</f>
        <v>3</v>
      </c>
      <c r="CM9" s="139">
        <v>1</v>
      </c>
      <c r="CN9" s="112" t="s">
        <v>113</v>
      </c>
      <c r="CO9" s="139" cm="1">
        <f t="array" ref="CO9">IF($CN9="-","-",SUMIFS($AC$4:$AC$97,$AA$4:$AA$97,$BD9,$R$4:$R$97,$CN9)+SUMIFS($AD$4:$AD$97,$AF$4:$AF$97,$BD9,$Q$4:$Q$97,$CN9))</f>
        <v>3</v>
      </c>
      <c r="CP9" s="139" cm="1">
        <f t="array" ref="CP9">IF($CN9="-","-",SUMIFS($AD$4:$AD$97,$AA$4:$AA$97,$BD9,$R$4:$R$97,$CN9)+SUMIFS($AC$4:$AC$97,$AF$4:$AF$97,$BD9,$Q$4:$Q$97,$CN9))</f>
        <v>6</v>
      </c>
      <c r="CQ9" s="139" cm="1">
        <f t="array" ref="CQ9">IF($CN9="-","-",CO9-CP9)</f>
        <v>-3</v>
      </c>
      <c r="CR9" s="139">
        <v>1</v>
      </c>
      <c r="CS9" s="112" t="s">
        <v>113</v>
      </c>
      <c r="CT9" s="139" cm="1">
        <f t="array" ref="CT9">IF($CS9="-","-",SUMIFS($AC$4:$AC$97,$AA$4:$AA$97,$BD9,$U$4:$U$97,$CS9)+SUMIFS($AD$4:$AD$97,$AF$4:$AF$97,$BD9,$T$4:$T$97,$CS9))</f>
        <v>3</v>
      </c>
      <c r="CU9" s="139">
        <v>1</v>
      </c>
      <c r="CV9" s="112" t="s">
        <v>113</v>
      </c>
      <c r="CW9" s="139" cm="1">
        <f t="array" ref="CW9">IF(CV9="-","-",BL9)</f>
        <v>-3</v>
      </c>
      <c r="CX9" s="139">
        <v>1</v>
      </c>
      <c r="CY9" s="112" t="s">
        <v>113</v>
      </c>
      <c r="CZ9" s="139" cm="1">
        <f t="array" ref="CZ9">IF(CY9="-","-",BJ9)</f>
        <v>3</v>
      </c>
      <c r="DA9" s="139">
        <v>1</v>
      </c>
      <c r="DB9" s="112" t="s">
        <v>113</v>
      </c>
      <c r="DC9" s="139">
        <v>4</v>
      </c>
      <c r="DD9" s="139">
        <v>4</v>
      </c>
      <c r="DE9" s="126"/>
      <c r="DF9" s="139" cm="1">
        <f t="array" ref="DF9">IF(OR(INDEX($AW$6:$AW$97,MATCH($BD9,$AV$6:$AV$97,0))="",DB9="-"),DD9,INDEX($AW$6:$AW$97,MATCH($BD9,$AV$6:$AV$97,0))+DD9/1000)</f>
        <v>4</v>
      </c>
      <c r="DG9" s="139">
        <v>3</v>
      </c>
      <c r="DH9" s="139">
        <v>4</v>
      </c>
      <c r="DI9" s="126"/>
      <c r="DJ9" s="139" cm="1">
        <f t="array" ref="DJ9">INDEX($DA$6:$DA$53,MATCH($DQ9,$BD$6:$BD$53,0))</f>
        <v>1</v>
      </c>
      <c r="DK9" s="139" cm="1">
        <f t="array" ref="DK9">SUMIF($BC$6:$BC$53,BC9,$BF$6:$BF$53)</f>
        <v>12</v>
      </c>
      <c r="DL9" s="139" cm="1">
        <f t="array" ref="DL9">IF(OR(DK9=12,$AJ$99=144),COUNTIFS($DJ$6:$DJ$53,DJ9,$BC$6:$BC$53,BC9),1)</f>
        <v>4</v>
      </c>
      <c r="DM9" s="126" t="str" cm="1">
        <f t="array" ref="DM9">DJ9&amp;"."&amp;DL9</f>
        <v>1.4</v>
      </c>
      <c r="DN9" s="139">
        <v>1</v>
      </c>
      <c r="DO9" s="126"/>
      <c r="DP9" s="112" t="s">
        <v>120</v>
      </c>
      <c r="DQ9" s="126" t="str" cm="1">
        <f t="array" ref="DQ9">INDEX($BD$6:$BD$53,MATCH(DP9,$BM$6:$BM$53,0))</f>
        <v>República Checa</v>
      </c>
      <c r="DR9" s="77"/>
      <c r="DS9" s="77"/>
      <c r="DT9" s="78"/>
      <c r="DU9" s="12"/>
    </row>
    <row r="10" spans="1:125" ht="16" customHeight="1" x14ac:dyDescent="0.2">
      <c r="A10" s="68"/>
      <c r="B10" s="68"/>
      <c r="C10" s="68"/>
      <c r="D10" s="68"/>
      <c r="E10" s="68"/>
      <c r="F10" s="68"/>
      <c r="G10" s="68"/>
      <c r="H10" s="68"/>
      <c r="I10" s="68"/>
      <c r="J10" s="68"/>
      <c r="K10" s="68"/>
      <c r="L10" s="68"/>
      <c r="M10" s="68"/>
      <c r="N10" s="68"/>
      <c r="O10" s="68"/>
      <c r="P10" s="68"/>
      <c r="Q10" s="68"/>
      <c r="R10" s="68"/>
      <c r="S10" s="68"/>
      <c r="T10" s="68"/>
      <c r="U10" s="68"/>
      <c r="V10" s="69"/>
      <c r="W10" s="164"/>
      <c r="X10" s="165"/>
      <c r="Y10" s="164"/>
      <c r="Z10" s="166"/>
      <c r="AA10" s="167"/>
      <c r="AB10" s="168"/>
      <c r="AC10" s="169"/>
      <c r="AD10" s="169"/>
      <c r="AE10" s="168"/>
      <c r="AF10" s="170"/>
      <c r="AG10" s="171"/>
      <c r="AH10" s="172"/>
      <c r="AI10" s="8"/>
      <c r="AJ10" s="173"/>
      <c r="AK10" s="174"/>
      <c r="AL10" s="175"/>
      <c r="AM10" s="176"/>
      <c r="AN10" s="173"/>
      <c r="AO10" s="173"/>
      <c r="AP10" s="173"/>
      <c r="AQ10" s="173"/>
      <c r="AR10" s="173"/>
      <c r="AS10" s="173"/>
      <c r="AT10" s="173"/>
      <c r="AU10" s="177"/>
      <c r="AV10" s="178"/>
      <c r="AW10" s="135"/>
      <c r="AX10" s="179"/>
      <c r="AY10" s="180"/>
      <c r="AZ10" s="181"/>
      <c r="BA10" s="8"/>
      <c r="BB10" s="77"/>
      <c r="BC10" s="112" t="s">
        <v>121</v>
      </c>
      <c r="BD10" s="112" t="s">
        <v>122</v>
      </c>
      <c r="BE10" s="139" cm="1">
        <f t="array" ref="BE10">BG10*3+BH10+IF($AZ$3="No",0,INDEX($AZ$6:$AZ$97,MATCH(BD10,$AY$6:$AY$97,0)))</f>
        <v>7</v>
      </c>
      <c r="BF10" s="139" cm="1">
        <f t="array" ref="BF10">BG10+BH10+BI10</f>
        <v>3</v>
      </c>
      <c r="BG10" s="139" cm="1">
        <f t="array" ref="BG10">COUNTIFS($AA$4:$AA$97,BD10,$D$4:$D$97,"Local")+COUNTIFS($AF$4:$AF$97,BD10,$D$4:$D$97,"Visitante")</f>
        <v>2</v>
      </c>
      <c r="BH10" s="139" cm="1">
        <f t="array" ref="BH10">COUNTIFS($AA$4:$AA$97,BD10,$D$4:$D$97,"Empate")+COUNTIFS($AF$4:$AF$97,BD10,$D$4:$D$97,"Empate")</f>
        <v>1</v>
      </c>
      <c r="BI10" s="139" cm="1">
        <f t="array" ref="BI10">COUNTIFS($AF$4:$AF$97,BD10,$D$4:$D$97,"Local")+COUNTIFS($AA$4:$AA$97,BD10,$D$4:$D$97,"Visitante")</f>
        <v>0</v>
      </c>
      <c r="BJ10" s="139" cm="1">
        <f t="array" ref="BJ10">SUMIFS($AC$4:$AC$97,$AA$4:$AA$97,BD10,$D$4:$D$97,"&lt;&gt;"&amp;"Pendiente",$AC$4:$AC$97,"&lt;&gt;"&amp;"",$AD$4:$AD$97,"&lt;&gt;"&amp;"")+SUMIFS($AD$4:$AD$97,$AF$4:$AF$97,BD10,$D$4:$D$97,"&lt;&gt;"&amp;"Pendiente",$AC$4:$AC$97,"&lt;&gt;"&amp;"",$AD$4:$AD$97,"&lt;&gt;"&amp;"")</f>
        <v>4</v>
      </c>
      <c r="BK10" s="139" cm="1">
        <f t="array" ref="BK10">SUMIFS($AC$4:$AC$97,$AF$4:$AF$97,BD10,$D$4:$D$97,"&lt;&gt;"&amp;"Pendiente",$AC$4:$AC$97,"&lt;&gt;"&amp;"",$AD$4:$AD$97,"&lt;&gt;"&amp;"")+SUMIFS($AD$4:$AD$97,$AA$4:$AA$97,BD10,$D$4:$D$97,"&lt;&gt;"&amp;"Pendiente",$AC$4:$AC$97,"&lt;&gt;"&amp;"",$AD$4:$AD$97,"&lt;&gt;"&amp;"")</f>
        <v>2</v>
      </c>
      <c r="BL10" s="139" cm="1">
        <f t="array" ref="BL10">BJ10-BK10</f>
        <v>2</v>
      </c>
      <c r="BM10" s="126" t="str" cm="1">
        <f t="array" ref="BM10">DD10&amp;BC10</f>
        <v>1B</v>
      </c>
      <c r="BN10" s="126" t="str" cm="1">
        <f t="array" ref="BN10">DH10&amp;BC10</f>
        <v>1B</v>
      </c>
      <c r="BO10" s="139" cm="1">
        <f t="array" ref="BO10">IF(AND($AJ$99=144,BF10&gt;=1),1,0)</f>
        <v>0</v>
      </c>
      <c r="BP10" s="139">
        <v>1</v>
      </c>
      <c r="BQ10" s="112" t="s">
        <v>113</v>
      </c>
      <c r="BR10" s="139" cm="1">
        <f t="array" ref="BR10">IF($BQ10="-","-",BE10)</f>
        <v>7</v>
      </c>
      <c r="BS10" s="139">
        <v>1</v>
      </c>
      <c r="BT10" s="112" t="s">
        <v>113</v>
      </c>
      <c r="BU10" s="139" cm="1">
        <f t="array" ref="BU10">IF($BT10="-","-",COUNTIFS($AA$4:$AA$97,$BD10,$D$4:$D$97,"Local",$F$4:$F$97,$BT10)+COUNTIFS($AF$4:$AF$97,$BD10,$D$4:$D$97,"Visitante",$E$4:$E$97,$BT10))</f>
        <v>2</v>
      </c>
      <c r="BV10" s="139" cm="1">
        <f t="array" ref="BV10">IF($BT10="-","-",COUNTIFS($AA$4:$AA$97,$BD10,$D$4:$D$97,"Empate",$F$4:$F$97,$BT10)+COUNTIFS($AF$4:$AF$97,$BD10,$D$4:$D$97,"Empate",$E$4:$E$97,$BT10))</f>
        <v>1</v>
      </c>
      <c r="BW10" s="139" cm="1">
        <f t="array" ref="BW10">IF($BT10="-","-",COUNTIFS($AA$4:$AA$97,$BD10,$D$4:$D$97,"Visitante",$F$4:$F$97,$BT10)+COUNTIFS($AF$4:$AF$97,$BD10,$D$4:$D$97,"Local",$E$4:$E$97,$BT10))</f>
        <v>0</v>
      </c>
      <c r="BX10" s="139" cm="1">
        <f t="array" ref="BX10">IF($BT10="-","-",BU10*3+BV10)</f>
        <v>7</v>
      </c>
      <c r="BY10" s="139">
        <v>1</v>
      </c>
      <c r="BZ10" s="112" t="s">
        <v>113</v>
      </c>
      <c r="CA10" s="139" cm="1">
        <f t="array" ref="CA10">IF($BZ10="-","-",SUMIFS($AC$4:$AC$97,$AA$4:$AA$97,$BD10,$I$4:$I$97,$BZ10)+SUMIFS($AD$4:$AD$97,$AF$4:$AF$97,$BD10,$H$4:$H$97,$BZ10))</f>
        <v>4</v>
      </c>
      <c r="CB10" s="139" cm="1">
        <f t="array" ref="CB10">IF($BZ10="-","-",SUMIFS($AD$4:$AD$97,$AA$4:$AA$97,$BD10,$I$4:$I$97,$BZ10)+SUMIFS($AC$4:$AC$97,$AF$4:$AF$97,$BD10,$H$4:$H$97,$BZ10))</f>
        <v>2</v>
      </c>
      <c r="CC10" s="139" cm="1">
        <f t="array" ref="CC10">IF($BZ10="-","-",CA10-CB10)</f>
        <v>2</v>
      </c>
      <c r="CD10" s="139">
        <v>1</v>
      </c>
      <c r="CE10" s="112" t="s">
        <v>113</v>
      </c>
      <c r="CF10" s="139" cm="1">
        <f t="array" ref="CF10">IF($CE10="-","-",SUMIFS($AC$4:$AC$97,$AA$4:$AA$97,$BD10,$L$4:$L$97,$CE10)+SUMIFS($AD$4:$AD$97,$AF$4:$AF$97,$BD10,$K$4:$K$97,$CE10))</f>
        <v>4</v>
      </c>
      <c r="CG10" s="139">
        <v>1</v>
      </c>
      <c r="CH10" s="112" t="s">
        <v>113</v>
      </c>
      <c r="CI10" s="139" cm="1">
        <f t="array" ref="CI10">IF($CH10="-","-",COUNTIFS($AA$4:$AA$97,$BD10,$D$4:$D$97,"Local",$O$4:$O$97,$CH10)+COUNTIFS($AF$4:$AF$97,$BD10,$D$4:$D$97,"Visitante",$N$4:$N$97,$CH10))</f>
        <v>2</v>
      </c>
      <c r="CJ10" s="139" cm="1">
        <f t="array" ref="CJ10">IF($CH10="-","-",COUNTIFS($AA$4:$AA$97,$BD10,$D$4:$D$97,"Empate",$O$4:$O$97,$CH10)+COUNTIFS($AF$4:$AF$97,$BD10,$D$4:$D$97,"Empate",$N$4:$N$97,$CH10))</f>
        <v>1</v>
      </c>
      <c r="CK10" s="139" cm="1">
        <f t="array" ref="CK10">IF($CH10="-","-",COUNTIFS($AA$4:$AA$97,$BD10,$D$4:$D$97,"Visitante",$O$4:$O$97,$CH10)+COUNTIFS($AF$4:$AF$97,$BD10,$D$4:$D$97,"Local",$N$4:$N$97,$CH10))</f>
        <v>0</v>
      </c>
      <c r="CL10" s="139" cm="1">
        <f t="array" ref="CL10">IF($CH10="-","-",CI10*3+CJ10)</f>
        <v>7</v>
      </c>
      <c r="CM10" s="139">
        <v>1</v>
      </c>
      <c r="CN10" s="112" t="s">
        <v>113</v>
      </c>
      <c r="CO10" s="139" cm="1">
        <f t="array" ref="CO10">IF($CN10="-","-",SUMIFS($AC$4:$AC$97,$AA$4:$AA$97,$BD10,$R$4:$R$97,$CN10)+SUMIFS($AD$4:$AD$97,$AF$4:$AF$97,$BD10,$Q$4:$Q$97,$CN10))</f>
        <v>4</v>
      </c>
      <c r="CP10" s="139" cm="1">
        <f t="array" ref="CP10">IF($CN10="-","-",SUMIFS($AD$4:$AD$97,$AA$4:$AA$97,$BD10,$R$4:$R$97,$CN10)+SUMIFS($AC$4:$AC$97,$AF$4:$AF$97,$BD10,$Q$4:$Q$97,$CN10))</f>
        <v>2</v>
      </c>
      <c r="CQ10" s="139" cm="1">
        <f t="array" ref="CQ10">IF($CN10="-","-",CO10-CP10)</f>
        <v>2</v>
      </c>
      <c r="CR10" s="139">
        <v>1</v>
      </c>
      <c r="CS10" s="112" t="s">
        <v>113</v>
      </c>
      <c r="CT10" s="139" cm="1">
        <f t="array" ref="CT10">IF($CS10="-","-",SUMIFS($AC$4:$AC$97,$AA$4:$AA$97,$BD10,$U$4:$U$97,$CS10)+SUMIFS($AD$4:$AD$97,$AF$4:$AF$97,$BD10,$T$4:$T$97,$CS10))</f>
        <v>4</v>
      </c>
      <c r="CU10" s="139">
        <v>1</v>
      </c>
      <c r="CV10" s="112" t="s">
        <v>113</v>
      </c>
      <c r="CW10" s="139" cm="1">
        <f t="array" ref="CW10">IF(CV10="-","-",BL10)</f>
        <v>2</v>
      </c>
      <c r="CX10" s="139">
        <v>1</v>
      </c>
      <c r="CY10" s="112" t="s">
        <v>113</v>
      </c>
      <c r="CZ10" s="139" cm="1">
        <f t="array" ref="CZ10">IF(CY10="-","-",BJ10)</f>
        <v>4</v>
      </c>
      <c r="DA10" s="139">
        <v>1</v>
      </c>
      <c r="DB10" s="112" t="s">
        <v>113</v>
      </c>
      <c r="DC10" s="139">
        <v>1</v>
      </c>
      <c r="DD10" s="139">
        <v>1</v>
      </c>
      <c r="DE10" s="126"/>
      <c r="DF10" s="139" cm="1">
        <f t="array" ref="DF10">IF(OR(INDEX($AW$6:$AW$97,MATCH($BD10,$AV$6:$AV$97,0))="",DB10="-"),DD10,INDEX($AW$6:$AW$97,MATCH($BD10,$AV$6:$AV$97,0))+DD10/1000)</f>
        <v>1</v>
      </c>
      <c r="DG10" s="139">
        <v>0</v>
      </c>
      <c r="DH10" s="139">
        <v>1</v>
      </c>
      <c r="DI10" s="126"/>
      <c r="DJ10" s="139" cm="1">
        <f t="array" ref="DJ10">INDEX($DA$6:$DA$53,MATCH($DQ10,$BD$6:$BD$53,0))</f>
        <v>1</v>
      </c>
      <c r="DK10" s="139" cm="1">
        <f t="array" ref="DK10">SUMIF($BC$6:$BC$53,BC10,$BF$6:$BF$53)</f>
        <v>12</v>
      </c>
      <c r="DL10" s="139" cm="1">
        <f t="array" ref="DL10">IF(OR(DK10=12,$AJ$99=144),COUNTIFS($DJ$6:$DJ$53,DJ10,$BC$6:$BC$53,BC10),1)</f>
        <v>4</v>
      </c>
      <c r="DM10" s="126" t="str" cm="1">
        <f t="array" ref="DM10">DJ10&amp;"."&amp;DL10</f>
        <v>1.4</v>
      </c>
      <c r="DN10" s="139">
        <v>1</v>
      </c>
      <c r="DO10" s="126"/>
      <c r="DP10" s="112" t="s">
        <v>123</v>
      </c>
      <c r="DQ10" s="126" t="str" cm="1">
        <f t="array" ref="DQ10">INDEX($BD$6:$BD$53,MATCH(DP10,$BM$6:$BM$53,0))</f>
        <v>Canadá</v>
      </c>
      <c r="DR10" s="77"/>
      <c r="DS10" s="77"/>
      <c r="DT10" s="78"/>
      <c r="DU10" s="12"/>
    </row>
    <row r="11" spans="1:125" ht="16" customHeight="1" x14ac:dyDescent="0.2">
      <c r="A11" s="68"/>
      <c r="B11" s="68"/>
      <c r="C11" s="68"/>
      <c r="D11" s="68"/>
      <c r="E11" s="68"/>
      <c r="F11" s="68"/>
      <c r="G11" s="68"/>
      <c r="H11" s="68"/>
      <c r="I11" s="68"/>
      <c r="J11" s="68"/>
      <c r="K11" s="68"/>
      <c r="L11" s="68"/>
      <c r="M11" s="68"/>
      <c r="N11" s="68"/>
      <c r="O11" s="68"/>
      <c r="P11" s="68"/>
      <c r="Q11" s="68"/>
      <c r="R11" s="68"/>
      <c r="S11" s="68"/>
      <c r="T11" s="68"/>
      <c r="U11" s="68"/>
      <c r="V11" s="80"/>
      <c r="W11" s="81"/>
      <c r="X11" s="182" t="str" cm="1">
        <f t="array" ref="X11">X3</f>
        <v>Fecha</v>
      </c>
      <c r="Y11" s="182" t="str" cm="1">
        <f t="array" ref="Y11">Y3</f>
        <v>Hora</v>
      </c>
      <c r="Z11" s="107" t="str" cm="1">
        <f t="array" ref="Z11">Z3</f>
        <v>Jor.</v>
      </c>
      <c r="AA11" s="183" t="str" cm="1">
        <f t="array" ref="AA11">AA3</f>
        <v>Casa</v>
      </c>
      <c r="AB11" s="85"/>
      <c r="AC11" s="107" t="str" cm="1">
        <f t="array" ref="AC11">AC3</f>
        <v>Gol</v>
      </c>
      <c r="AD11" s="107" t="str" cm="1">
        <f t="array" ref="AD11">AD3</f>
        <v>Gol</v>
      </c>
      <c r="AE11" s="85"/>
      <c r="AF11" s="184" t="str" cm="1">
        <f t="array" ref="AF11">AF3</f>
        <v>Fuera</v>
      </c>
      <c r="AG11" s="185"/>
      <c r="AH11" s="172"/>
      <c r="AI11" s="73"/>
      <c r="AJ11" s="90"/>
      <c r="AK11" s="186"/>
      <c r="AL11" s="90"/>
      <c r="AM11" s="90"/>
      <c r="AN11" s="90"/>
      <c r="AO11" s="90"/>
      <c r="AP11" s="90"/>
      <c r="AQ11" s="90"/>
      <c r="AR11" s="90"/>
      <c r="AS11" s="90"/>
      <c r="AT11" s="90"/>
      <c r="AU11" s="187"/>
      <c r="AV11" s="74"/>
      <c r="AW11" s="188"/>
      <c r="AX11" s="189"/>
      <c r="AY11" s="190"/>
      <c r="AZ11" s="191"/>
      <c r="BA11" s="8"/>
      <c r="BB11" s="77"/>
      <c r="BC11" s="112" t="s">
        <v>121</v>
      </c>
      <c r="BD11" s="112" t="s">
        <v>124</v>
      </c>
      <c r="BE11" s="139" cm="1">
        <f t="array" ref="BE11">BG11*3+BH11+IF($AZ$3="No",0,INDEX($AZ$6:$AZ$97,MATCH(BD11,$AY$6:$AY$97,0)))</f>
        <v>0</v>
      </c>
      <c r="BF11" s="139" cm="1">
        <f t="array" ref="BF11">BG11+BH11+BI11</f>
        <v>3</v>
      </c>
      <c r="BG11" s="139" cm="1">
        <f t="array" ref="BG11">COUNTIFS($AA$4:$AA$97,BD11,$D$4:$D$97,"Local")+COUNTIFS($AF$4:$AF$97,BD11,$D$4:$D$97,"Visitante")</f>
        <v>0</v>
      </c>
      <c r="BH11" s="139" cm="1">
        <f t="array" ref="BH11">COUNTIFS($AA$4:$AA$97,BD11,$D$4:$D$97,"Empate")+COUNTIFS($AF$4:$AF$97,BD11,$D$4:$D$97,"Empate")</f>
        <v>0</v>
      </c>
      <c r="BI11" s="139" cm="1">
        <f t="array" ref="BI11">COUNTIFS($AF$4:$AF$97,BD11,$D$4:$D$97,"Local")+COUNTIFS($AA$4:$AA$97,BD11,$D$4:$D$97,"Visitante")</f>
        <v>3</v>
      </c>
      <c r="BJ11" s="139" cm="1">
        <f t="array" ref="BJ11">SUMIFS($AC$4:$AC$97,$AA$4:$AA$97,BD11,$D$4:$D$97,"&lt;&gt;"&amp;"Pendiente",$AC$4:$AC$97,"&lt;&gt;"&amp;"",$AD$4:$AD$97,"&lt;&gt;"&amp;"")+SUMIFS($AD$4:$AD$97,$AF$4:$AF$97,BD11,$D$4:$D$97,"&lt;&gt;"&amp;"Pendiente",$AC$4:$AC$97,"&lt;&gt;"&amp;"",$AD$4:$AD$97,"&lt;&gt;"&amp;"")</f>
        <v>1</v>
      </c>
      <c r="BK11" s="139" cm="1">
        <f t="array" ref="BK11">SUMIFS($AC$4:$AC$97,$AF$4:$AF$97,BD11,$D$4:$D$97,"&lt;&gt;"&amp;"Pendiente",$AC$4:$AC$97,"&lt;&gt;"&amp;"",$AD$4:$AD$97,"&lt;&gt;"&amp;"")+SUMIFS($AD$4:$AD$97,$AA$4:$AA$97,BD11,$D$4:$D$97,"&lt;&gt;"&amp;"Pendiente",$AC$4:$AC$97,"&lt;&gt;"&amp;"",$AD$4:$AD$97,"&lt;&gt;"&amp;"")</f>
        <v>5</v>
      </c>
      <c r="BL11" s="139" cm="1">
        <f t="array" ref="BL11">BJ11-BK11</f>
        <v>-4</v>
      </c>
      <c r="BM11" s="126" t="str" cm="1">
        <f t="array" ref="BM11">DD11&amp;BC11</f>
        <v>2B</v>
      </c>
      <c r="BN11" s="126" t="str" cm="1">
        <f t="array" ref="BN11">DH11&amp;BC11</f>
        <v>2B</v>
      </c>
      <c r="BO11" s="139" cm="1">
        <f t="array" ref="BO11">IF(AND($AJ$99=144,BF11&gt;=1),1,0)</f>
        <v>0</v>
      </c>
      <c r="BP11" s="139">
        <v>1</v>
      </c>
      <c r="BQ11" s="112" t="s">
        <v>113</v>
      </c>
      <c r="BR11" s="139" cm="1">
        <f t="array" ref="BR11">IF($BQ11="-","-",BE11)</f>
        <v>0</v>
      </c>
      <c r="BS11" s="139">
        <v>1</v>
      </c>
      <c r="BT11" s="112" t="s">
        <v>113</v>
      </c>
      <c r="BU11" s="139" cm="1">
        <f t="array" ref="BU11">IF($BT11="-","-",COUNTIFS($AA$4:$AA$97,$BD11,$D$4:$D$97,"Local",$F$4:$F$97,$BT11)+COUNTIFS($AF$4:$AF$97,$BD11,$D$4:$D$97,"Visitante",$E$4:$E$97,$BT11))</f>
        <v>0</v>
      </c>
      <c r="BV11" s="139" cm="1">
        <f t="array" ref="BV11">IF($BT11="-","-",COUNTIFS($AA$4:$AA$97,$BD11,$D$4:$D$97,"Empate",$F$4:$F$97,$BT11)+COUNTIFS($AF$4:$AF$97,$BD11,$D$4:$D$97,"Empate",$E$4:$E$97,$BT11))</f>
        <v>0</v>
      </c>
      <c r="BW11" s="139" cm="1">
        <f t="array" ref="BW11">IF($BT11="-","-",COUNTIFS($AA$4:$AA$97,$BD11,$D$4:$D$97,"Visitante",$F$4:$F$97,$BT11)+COUNTIFS($AF$4:$AF$97,$BD11,$D$4:$D$97,"Local",$E$4:$E$97,$BT11))</f>
        <v>3</v>
      </c>
      <c r="BX11" s="139" cm="1">
        <f t="array" ref="BX11">IF($BT11="-","-",BU11*3+BV11)</f>
        <v>0</v>
      </c>
      <c r="BY11" s="139">
        <v>1</v>
      </c>
      <c r="BZ11" s="112" t="s">
        <v>113</v>
      </c>
      <c r="CA11" s="139" cm="1">
        <f t="array" ref="CA11">IF($BZ11="-","-",SUMIFS($AC$4:$AC$97,$AA$4:$AA$97,$BD11,$I$4:$I$97,$BZ11)+SUMIFS($AD$4:$AD$97,$AF$4:$AF$97,$BD11,$H$4:$H$97,$BZ11))</f>
        <v>1</v>
      </c>
      <c r="CB11" s="139" cm="1">
        <f t="array" ref="CB11">IF($BZ11="-","-",SUMIFS($AD$4:$AD$97,$AA$4:$AA$97,$BD11,$I$4:$I$97,$BZ11)+SUMIFS($AC$4:$AC$97,$AF$4:$AF$97,$BD11,$H$4:$H$97,$BZ11))</f>
        <v>5</v>
      </c>
      <c r="CC11" s="139" cm="1">
        <f t="array" ref="CC11">IF($BZ11="-","-",CA11-CB11)</f>
        <v>-4</v>
      </c>
      <c r="CD11" s="139">
        <v>1</v>
      </c>
      <c r="CE11" s="112" t="s">
        <v>113</v>
      </c>
      <c r="CF11" s="139" cm="1">
        <f t="array" ref="CF11">IF($CE11="-","-",SUMIFS($AC$4:$AC$97,$AA$4:$AA$97,$BD11,$L$4:$L$97,$CE11)+SUMIFS($AD$4:$AD$97,$AF$4:$AF$97,$BD11,$K$4:$K$97,$CE11))</f>
        <v>1</v>
      </c>
      <c r="CG11" s="139">
        <v>1</v>
      </c>
      <c r="CH11" s="112" t="s">
        <v>113</v>
      </c>
      <c r="CI11" s="139" cm="1">
        <f t="array" ref="CI11">IF($CH11="-","-",COUNTIFS($AA$4:$AA$97,$BD11,$D$4:$D$97,"Local",$O$4:$O$97,$CH11)+COUNTIFS($AF$4:$AF$97,$BD11,$D$4:$D$97,"Visitante",$N$4:$N$97,$CH11))</f>
        <v>0</v>
      </c>
      <c r="CJ11" s="139" cm="1">
        <f t="array" ref="CJ11">IF($CH11="-","-",COUNTIFS($AA$4:$AA$97,$BD11,$D$4:$D$97,"Empate",$O$4:$O$97,$CH11)+COUNTIFS($AF$4:$AF$97,$BD11,$D$4:$D$97,"Empate",$N$4:$N$97,$CH11))</f>
        <v>0</v>
      </c>
      <c r="CK11" s="139" cm="1">
        <f t="array" ref="CK11">IF($CH11="-","-",COUNTIFS($AA$4:$AA$97,$BD11,$D$4:$D$97,"Visitante",$O$4:$O$97,$CH11)+COUNTIFS($AF$4:$AF$97,$BD11,$D$4:$D$97,"Local",$N$4:$N$97,$CH11))</f>
        <v>3</v>
      </c>
      <c r="CL11" s="139" cm="1">
        <f t="array" ref="CL11">IF($CH11="-","-",CI11*3+CJ11)</f>
        <v>0</v>
      </c>
      <c r="CM11" s="139">
        <v>1</v>
      </c>
      <c r="CN11" s="112" t="s">
        <v>113</v>
      </c>
      <c r="CO11" s="139" cm="1">
        <f t="array" ref="CO11">IF($CN11="-","-",SUMIFS($AC$4:$AC$97,$AA$4:$AA$97,$BD11,$R$4:$R$97,$CN11)+SUMIFS($AD$4:$AD$97,$AF$4:$AF$97,$BD11,$Q$4:$Q$97,$CN11))</f>
        <v>1</v>
      </c>
      <c r="CP11" s="139" cm="1">
        <f t="array" ref="CP11">IF($CN11="-","-",SUMIFS($AD$4:$AD$97,$AA$4:$AA$97,$BD11,$R$4:$R$97,$CN11)+SUMIFS($AC$4:$AC$97,$AF$4:$AF$97,$BD11,$Q$4:$Q$97,$CN11))</f>
        <v>5</v>
      </c>
      <c r="CQ11" s="139" cm="1">
        <f t="array" ref="CQ11">IF($CN11="-","-",CO11-CP11)</f>
        <v>-4</v>
      </c>
      <c r="CR11" s="139">
        <v>1</v>
      </c>
      <c r="CS11" s="112" t="s">
        <v>113</v>
      </c>
      <c r="CT11" s="139" cm="1">
        <f t="array" ref="CT11">IF($CS11="-","-",SUMIFS($AC$4:$AC$97,$AA$4:$AA$97,$BD11,$U$4:$U$97,$CS11)+SUMIFS($AD$4:$AD$97,$AF$4:$AF$97,$BD11,$T$4:$T$97,$CS11))</f>
        <v>1</v>
      </c>
      <c r="CU11" s="139">
        <v>1</v>
      </c>
      <c r="CV11" s="112" t="s">
        <v>113</v>
      </c>
      <c r="CW11" s="139" cm="1">
        <f t="array" ref="CW11">IF(CV11="-","-",BL11)</f>
        <v>-4</v>
      </c>
      <c r="CX11" s="139">
        <v>1</v>
      </c>
      <c r="CY11" s="112" t="s">
        <v>113</v>
      </c>
      <c r="CZ11" s="139" cm="1">
        <f t="array" ref="CZ11">IF(CY11="-","-",BJ11)</f>
        <v>1</v>
      </c>
      <c r="DA11" s="139">
        <v>1</v>
      </c>
      <c r="DB11" s="112" t="s">
        <v>113</v>
      </c>
      <c r="DC11" s="139">
        <v>2</v>
      </c>
      <c r="DD11" s="139">
        <v>2</v>
      </c>
      <c r="DE11" s="126"/>
      <c r="DF11" s="139" cm="1">
        <f t="array" ref="DF11">IF(OR(INDEX($AW$6:$AW$97,MATCH($BD11,$AV$6:$AV$97,0))="",DB11="-"),DD11,INDEX($AW$6:$AW$97,MATCH($BD11,$AV$6:$AV$97,0))+DD11/1000)</f>
        <v>2</v>
      </c>
      <c r="DG11" s="139">
        <v>1</v>
      </c>
      <c r="DH11" s="139">
        <v>2</v>
      </c>
      <c r="DI11" s="126"/>
      <c r="DJ11" s="139" cm="1">
        <f t="array" ref="DJ11">INDEX($DA$6:$DA$53,MATCH($DQ11,$BD$6:$BD$53,0))</f>
        <v>1</v>
      </c>
      <c r="DK11" s="139" cm="1">
        <f t="array" ref="DK11">SUMIF($BC$6:$BC$53,BC11,$BF$6:$BF$53)</f>
        <v>12</v>
      </c>
      <c r="DL11" s="139" cm="1">
        <f t="array" ref="DL11">IF(OR(DK11=12,$AJ$99=144),COUNTIFS($DJ$6:$DJ$53,DJ11,$BC$6:$BC$53,BC11),1)</f>
        <v>4</v>
      </c>
      <c r="DM11" s="126" t="str" cm="1">
        <f t="array" ref="DM11">DJ11&amp;"."&amp;DL11</f>
        <v>1.4</v>
      </c>
      <c r="DN11" s="139">
        <v>1</v>
      </c>
      <c r="DO11" s="126"/>
      <c r="DP11" s="112" t="s">
        <v>125</v>
      </c>
      <c r="DQ11" s="126" t="str" cm="1">
        <f t="array" ref="DQ11">INDEX($BD$6:$BD$53,MATCH(DP11,$BM$6:$BM$53,0))</f>
        <v>Bosnia y Herzegovina</v>
      </c>
      <c r="DR11" s="77"/>
      <c r="DS11" s="77"/>
      <c r="DT11" s="78"/>
      <c r="DU11" s="12"/>
    </row>
    <row r="12" spans="1:125" ht="16" customHeight="1" x14ac:dyDescent="0.2">
      <c r="A12" s="79" t="s">
        <v>45</v>
      </c>
      <c r="B12" s="79" t="s">
        <v>121</v>
      </c>
      <c r="C12" s="95">
        <v>4</v>
      </c>
      <c r="D12" s="68" t="str" cm="1">
        <f t="array" ref="D12">IF(OR(AC12="",AD12=""),"Pendiente",IF(AC12&gt;AD12,"Local",IF(AC12&lt;AD12,"Visitante","Empate")))</f>
        <v>Local</v>
      </c>
      <c r="E12" s="68" t="str" cm="1">
        <f t="array" ref="E12">IF(D12="Pendiente","-",INDEX($BT$6:$BT$53,MATCH($AA12,$BD$6:$BD$53,0)))</f>
        <v>P.1 (4)</v>
      </c>
      <c r="F12" s="68" t="str" cm="1">
        <f t="array" ref="F12">IF(D12="Pendiente","-",INDEX($BT$6:$BT$53,MATCH($AF12,$BD$6:$BD$53,0)))</f>
        <v>P.1 (4)</v>
      </c>
      <c r="G12" s="68"/>
      <c r="H12" s="68" t="str" cm="1">
        <f t="array" ref="H12">IF(D12="Pendiente","-",INDEX($BZ$6:$BZ$53,MATCH($AA12,$BD$6:$BD$53,0)))</f>
        <v>P.1 (4)</v>
      </c>
      <c r="I12" s="68" t="str" cm="1">
        <f t="array" ref="I12">IF(D12="Pendiente","-",INDEX($BZ$6:$BZ$53,MATCH($AF12,$BD$6:$BD$53,0)))</f>
        <v>P.1 (4)</v>
      </c>
      <c r="J12" s="68"/>
      <c r="K12" s="68" t="str" cm="1">
        <f t="array" ref="K12">IF(D12="Pendiente","-",INDEX($CE$6:$CE$53,MATCH($AA12,$BD$6:$BD$53,0)))</f>
        <v>P.1 (4)</v>
      </c>
      <c r="L12" s="68" t="str" cm="1">
        <f t="array" ref="L12">IF(D12="Pendiente","-",INDEX($CE$6:$CE$53,MATCH($AF12,$BD$6:$BD$53,0)))</f>
        <v>P.1 (4)</v>
      </c>
      <c r="M12" s="68"/>
      <c r="N12" s="68" t="str" cm="1">
        <f t="array" ref="N12">IF(D12="Pendiente","-",INDEX($CH$6:$CH$53,MATCH($AA12,$BD$6:$BD$53,0)))</f>
        <v>P.1 (4)</v>
      </c>
      <c r="O12" s="68" t="str" cm="1">
        <f t="array" ref="O12">IF(D12="Pendiente","-",INDEX($CH$6:$CH$53,MATCH($AF12,$BD$6:$BD$53,0)))</f>
        <v>P.1 (4)</v>
      </c>
      <c r="P12" s="68"/>
      <c r="Q12" s="68" t="str" cm="1">
        <f t="array" ref="Q12">IF(D12="Pendiente","-",INDEX($CN$6:$CN$53,MATCH($AA12,$BD$6:$BD$53,0)))</f>
        <v>P.1 (4)</v>
      </c>
      <c r="R12" s="68" t="str" cm="1">
        <f t="array" ref="R12">IF(D12="Pendiente","-",INDEX($CN$6:$CN$53,MATCH($AF12,$BD$6:$BD$53,0)))</f>
        <v>P.1 (4)</v>
      </c>
      <c r="S12" s="68"/>
      <c r="T12" s="68" t="str" cm="1">
        <f t="array" ref="T12">IF(D12="Pendiente","-",INDEX($CS$6:$CS$53,MATCH($AA12,$BD$6:$BD$53,0)))</f>
        <v>P.1 (4)</v>
      </c>
      <c r="U12" s="68" t="str" cm="1">
        <f t="array" ref="U12">IF(D12="Pendiente","-",INDEX($CS$6:$CS$53,MATCH($AF12,$BD$6:$BD$53,0)))</f>
        <v>P.1 (4)</v>
      </c>
      <c r="V12" s="80"/>
      <c r="W12" s="783" t="s">
        <v>121</v>
      </c>
      <c r="X12" s="96">
        <v>46185.625</v>
      </c>
      <c r="Y12" s="97">
        <v>46185.625</v>
      </c>
      <c r="Z12" s="113" t="str" cm="1">
        <f t="array" ref="Z12">$Z$4</f>
        <v>J1</v>
      </c>
      <c r="AA12" s="99" t="str" cm="1">
        <f t="array" ref="AA12">A13</f>
        <v>Canadá</v>
      </c>
      <c r="AB12" s="100"/>
      <c r="AC12" s="101">
        <v>1</v>
      </c>
      <c r="AD12" s="101">
        <v>0</v>
      </c>
      <c r="AE12" s="102"/>
      <c r="AF12" s="103" t="str" cm="1">
        <f t="array" ref="AF12">A14</f>
        <v>Bosnia y Herzegovina</v>
      </c>
      <c r="AG12" s="104" cm="1">
        <f t="array" ref="AG12">IF(NOT(OR(ISBLANK(AC12),ISBLANK(AD12))),1,0)</f>
        <v>1</v>
      </c>
      <c r="AH12" s="105">
        <v>3</v>
      </c>
      <c r="AI12" s="106"/>
      <c r="AJ12" s="784" t="str" cm="1">
        <f t="array" ref="AJ12">CONCATENATE(AJ3," ",B12)</f>
        <v>Grupo B</v>
      </c>
      <c r="AK12" s="785"/>
      <c r="AL12" s="785"/>
      <c r="AM12" s="785"/>
      <c r="AN12" s="785"/>
      <c r="AO12" s="785"/>
      <c r="AP12" s="785"/>
      <c r="AQ12" s="785"/>
      <c r="AR12" s="785"/>
      <c r="AS12" s="785"/>
      <c r="AT12" s="786"/>
      <c r="AU12" s="192"/>
      <c r="AV12" s="109" t="str" cm="1">
        <f t="array" ref="AV12">IF(AU13&gt;0,$AV$3,"")</f>
        <v>¡EMPATE! Puedes seleccionar el orden de los empatados.</v>
      </c>
      <c r="AW12" s="193"/>
      <c r="AX12" s="193"/>
      <c r="AY12" s="194"/>
      <c r="AZ12" s="195"/>
      <c r="BA12" s="8"/>
      <c r="BB12" s="77"/>
      <c r="BC12" s="112" t="s">
        <v>121</v>
      </c>
      <c r="BD12" s="112" t="s">
        <v>126</v>
      </c>
      <c r="BE12" s="139" cm="1">
        <f t="array" ref="BE12">BG12*3+BH12+IF($AZ$3="No",0,INDEX($AZ$6:$AZ$97,MATCH(BD12,$AY$6:$AY$97,0)))</f>
        <v>4</v>
      </c>
      <c r="BF12" s="139" cm="1">
        <f t="array" ref="BF12">BG12+BH12+BI12</f>
        <v>3</v>
      </c>
      <c r="BG12" s="139" cm="1">
        <f t="array" ref="BG12">COUNTIFS($AA$4:$AA$97,BD12,$D$4:$D$97,"Local")+COUNTIFS($AF$4:$AF$97,BD12,$D$4:$D$97,"Visitante")</f>
        <v>1</v>
      </c>
      <c r="BH12" s="139" cm="1">
        <f t="array" ref="BH12">COUNTIFS($AA$4:$AA$97,BD12,$D$4:$D$97,"Empate")+COUNTIFS($AF$4:$AF$97,BD12,$D$4:$D$97,"Empate")</f>
        <v>1</v>
      </c>
      <c r="BI12" s="139" cm="1">
        <f t="array" ref="BI12">COUNTIFS($AF$4:$AF$97,BD12,$D$4:$D$97,"Local")+COUNTIFS($AA$4:$AA$97,BD12,$D$4:$D$97,"Visitante")</f>
        <v>1</v>
      </c>
      <c r="BJ12" s="139" cm="1">
        <f t="array" ref="BJ12">SUMIFS($AC$4:$AC$97,$AA$4:$AA$97,BD12,$D$4:$D$97,"&lt;&gt;"&amp;"Pendiente",$AC$4:$AC$97,"&lt;&gt;"&amp;"",$AD$4:$AD$97,"&lt;&gt;"&amp;"")+SUMIFS($AD$4:$AD$97,$AF$4:$AF$97,BD12,$D$4:$D$97,"&lt;&gt;"&amp;"Pendiente",$AC$4:$AC$97,"&lt;&gt;"&amp;"",$AD$4:$AD$97,"&lt;&gt;"&amp;"")</f>
        <v>3</v>
      </c>
      <c r="BK12" s="139" cm="1">
        <f t="array" ref="BK12">SUMIFS($AC$4:$AC$97,$AF$4:$AF$97,BD12,$D$4:$D$97,"&lt;&gt;"&amp;"Pendiente",$AC$4:$AC$97,"&lt;&gt;"&amp;"",$AD$4:$AD$97,"&lt;&gt;"&amp;"")+SUMIFS($AD$4:$AD$97,$AA$4:$AA$97,BD12,$D$4:$D$97,"&lt;&gt;"&amp;"Pendiente",$AC$4:$AC$97,"&lt;&gt;"&amp;"",$AD$4:$AD$97,"&lt;&gt;"&amp;"")</f>
        <v>3</v>
      </c>
      <c r="BL12" s="139" cm="1">
        <f t="array" ref="BL12">BJ12-BK12</f>
        <v>0</v>
      </c>
      <c r="BM12" s="126" t="str" cm="1">
        <f t="array" ref="BM12">DD12&amp;BC12</f>
        <v>3B</v>
      </c>
      <c r="BN12" s="126" t="str" cm="1">
        <f t="array" ref="BN12">DH12&amp;BC12</f>
        <v>3B</v>
      </c>
      <c r="BO12" s="139" cm="1">
        <f t="array" ref="BO12">IF(AND($AJ$99=144,BF12&gt;=1),1,0)</f>
        <v>0</v>
      </c>
      <c r="BP12" s="139">
        <v>1</v>
      </c>
      <c r="BQ12" s="112" t="s">
        <v>113</v>
      </c>
      <c r="BR12" s="139" cm="1">
        <f t="array" ref="BR12">IF($BQ12="-","-",BE12)</f>
        <v>4</v>
      </c>
      <c r="BS12" s="139">
        <v>1</v>
      </c>
      <c r="BT12" s="112" t="s">
        <v>113</v>
      </c>
      <c r="BU12" s="139" cm="1">
        <f t="array" ref="BU12">IF($BT12="-","-",COUNTIFS($AA$4:$AA$97,$BD12,$D$4:$D$97,"Local",$F$4:$F$97,$BT12)+COUNTIFS($AF$4:$AF$97,$BD12,$D$4:$D$97,"Visitante",$E$4:$E$97,$BT12))</f>
        <v>1</v>
      </c>
      <c r="BV12" s="139" cm="1">
        <f t="array" ref="BV12">IF($BT12="-","-",COUNTIFS($AA$4:$AA$97,$BD12,$D$4:$D$97,"Empate",$F$4:$F$97,$BT12)+COUNTIFS($AF$4:$AF$97,$BD12,$D$4:$D$97,"Empate",$E$4:$E$97,$BT12))</f>
        <v>1</v>
      </c>
      <c r="BW12" s="139" cm="1">
        <f t="array" ref="BW12">IF($BT12="-","-",COUNTIFS($AA$4:$AA$97,$BD12,$D$4:$D$97,"Visitante",$F$4:$F$97,$BT12)+COUNTIFS($AF$4:$AF$97,$BD12,$D$4:$D$97,"Local",$E$4:$E$97,$BT12))</f>
        <v>1</v>
      </c>
      <c r="BX12" s="139" cm="1">
        <f t="array" ref="BX12">IF($BT12="-","-",BU12*3+BV12)</f>
        <v>4</v>
      </c>
      <c r="BY12" s="139">
        <v>1</v>
      </c>
      <c r="BZ12" s="112" t="s">
        <v>113</v>
      </c>
      <c r="CA12" s="139" cm="1">
        <f t="array" ref="CA12">IF($BZ12="-","-",SUMIFS($AC$4:$AC$97,$AA$4:$AA$97,$BD12,$I$4:$I$97,$BZ12)+SUMIFS($AD$4:$AD$97,$AF$4:$AF$97,$BD12,$H$4:$H$97,$BZ12))</f>
        <v>3</v>
      </c>
      <c r="CB12" s="139" cm="1">
        <f t="array" ref="CB12">IF($BZ12="-","-",SUMIFS($AD$4:$AD$97,$AA$4:$AA$97,$BD12,$I$4:$I$97,$BZ12)+SUMIFS($AC$4:$AC$97,$AF$4:$AF$97,$BD12,$H$4:$H$97,$BZ12))</f>
        <v>3</v>
      </c>
      <c r="CC12" s="139" cm="1">
        <f t="array" ref="CC12">IF($BZ12="-","-",CA12-CB12)</f>
        <v>0</v>
      </c>
      <c r="CD12" s="139">
        <v>1</v>
      </c>
      <c r="CE12" s="112" t="s">
        <v>113</v>
      </c>
      <c r="CF12" s="139" cm="1">
        <f t="array" ref="CF12">IF($CE12="-","-",SUMIFS($AC$4:$AC$97,$AA$4:$AA$97,$BD12,$L$4:$L$97,$CE12)+SUMIFS($AD$4:$AD$97,$AF$4:$AF$97,$BD12,$K$4:$K$97,$CE12))</f>
        <v>3</v>
      </c>
      <c r="CG12" s="139">
        <v>1</v>
      </c>
      <c r="CH12" s="112" t="s">
        <v>113</v>
      </c>
      <c r="CI12" s="139" cm="1">
        <f t="array" ref="CI12">IF($CH12="-","-",COUNTIFS($AA$4:$AA$97,$BD12,$D$4:$D$97,"Local",$O$4:$O$97,$CH12)+COUNTIFS($AF$4:$AF$97,$BD12,$D$4:$D$97,"Visitante",$N$4:$N$97,$CH12))</f>
        <v>1</v>
      </c>
      <c r="CJ12" s="139" cm="1">
        <f t="array" ref="CJ12">IF($CH12="-","-",COUNTIFS($AA$4:$AA$97,$BD12,$D$4:$D$97,"Empate",$O$4:$O$97,$CH12)+COUNTIFS($AF$4:$AF$97,$BD12,$D$4:$D$97,"Empate",$N$4:$N$97,$CH12))</f>
        <v>1</v>
      </c>
      <c r="CK12" s="139" cm="1">
        <f t="array" ref="CK12">IF($CH12="-","-",COUNTIFS($AA$4:$AA$97,$BD12,$D$4:$D$97,"Visitante",$O$4:$O$97,$CH12)+COUNTIFS($AF$4:$AF$97,$BD12,$D$4:$D$97,"Local",$N$4:$N$97,$CH12))</f>
        <v>1</v>
      </c>
      <c r="CL12" s="139" cm="1">
        <f t="array" ref="CL12">IF($CH12="-","-",CI12*3+CJ12)</f>
        <v>4</v>
      </c>
      <c r="CM12" s="139">
        <v>1</v>
      </c>
      <c r="CN12" s="112" t="s">
        <v>113</v>
      </c>
      <c r="CO12" s="139" cm="1">
        <f t="array" ref="CO12">IF($CN12="-","-",SUMIFS($AC$4:$AC$97,$AA$4:$AA$97,$BD12,$R$4:$R$97,$CN12)+SUMIFS($AD$4:$AD$97,$AF$4:$AF$97,$BD12,$Q$4:$Q$97,$CN12))</f>
        <v>3</v>
      </c>
      <c r="CP12" s="139" cm="1">
        <f t="array" ref="CP12">IF($CN12="-","-",SUMIFS($AD$4:$AD$97,$AA$4:$AA$97,$BD12,$R$4:$R$97,$CN12)+SUMIFS($AC$4:$AC$97,$AF$4:$AF$97,$BD12,$Q$4:$Q$97,$CN12))</f>
        <v>3</v>
      </c>
      <c r="CQ12" s="139" cm="1">
        <f t="array" ref="CQ12">IF($CN12="-","-",CO12-CP12)</f>
        <v>0</v>
      </c>
      <c r="CR12" s="139">
        <v>1</v>
      </c>
      <c r="CS12" s="112" t="s">
        <v>113</v>
      </c>
      <c r="CT12" s="139" cm="1">
        <f t="array" ref="CT12">IF($CS12="-","-",SUMIFS($AC$4:$AC$97,$AA$4:$AA$97,$BD12,$U$4:$U$97,$CS12)+SUMIFS($AD$4:$AD$97,$AF$4:$AF$97,$BD12,$T$4:$T$97,$CS12))</f>
        <v>3</v>
      </c>
      <c r="CU12" s="139">
        <v>1</v>
      </c>
      <c r="CV12" s="112" t="s">
        <v>113</v>
      </c>
      <c r="CW12" s="139" cm="1">
        <f t="array" ref="CW12">IF(CV12="-","-",BL12)</f>
        <v>0</v>
      </c>
      <c r="CX12" s="139">
        <v>1</v>
      </c>
      <c r="CY12" s="112" t="s">
        <v>113</v>
      </c>
      <c r="CZ12" s="139" cm="1">
        <f t="array" ref="CZ12">IF(CY12="-","-",BJ12)</f>
        <v>3</v>
      </c>
      <c r="DA12" s="139">
        <v>1</v>
      </c>
      <c r="DB12" s="112" t="s">
        <v>113</v>
      </c>
      <c r="DC12" s="139">
        <v>3</v>
      </c>
      <c r="DD12" s="139">
        <v>3</v>
      </c>
      <c r="DE12" s="126"/>
      <c r="DF12" s="139" cm="1">
        <f t="array" ref="DF12">IF(OR(INDEX($AW$6:$AW$97,MATCH($BD12,$AV$6:$AV$97,0))="",DB12="-"),DD12,INDEX($AW$6:$AW$97,MATCH($BD12,$AV$6:$AV$97,0))+DD12/1000)</f>
        <v>3</v>
      </c>
      <c r="DG12" s="139">
        <v>2</v>
      </c>
      <c r="DH12" s="139">
        <v>3</v>
      </c>
      <c r="DI12" s="126"/>
      <c r="DJ12" s="139" cm="1">
        <f t="array" ref="DJ12">INDEX($DA$6:$DA$53,MATCH($DQ12,$BD$6:$BD$53,0))</f>
        <v>1</v>
      </c>
      <c r="DK12" s="139" cm="1">
        <f t="array" ref="DK12">SUMIF($BC$6:$BC$53,BC12,$BF$6:$BF$53)</f>
        <v>12</v>
      </c>
      <c r="DL12" s="139" cm="1">
        <f t="array" ref="DL12">IF(OR(DK12=12,$AJ$99=144),COUNTIFS($DJ$6:$DJ$53,DJ12,$BC$6:$BC$53,BC12),1)</f>
        <v>4</v>
      </c>
      <c r="DM12" s="126" t="str" cm="1">
        <f t="array" ref="DM12">DJ12&amp;"."&amp;DL12</f>
        <v>1.4</v>
      </c>
      <c r="DN12" s="139">
        <v>1</v>
      </c>
      <c r="DO12" s="126"/>
      <c r="DP12" s="112" t="s">
        <v>127</v>
      </c>
      <c r="DQ12" s="126" t="str" cm="1">
        <f t="array" ref="DQ12">INDEX($BD$6:$BD$53,MATCH(DP12,$BM$6:$BM$53,0))</f>
        <v>Catar</v>
      </c>
      <c r="DR12" s="77"/>
      <c r="DS12" s="77"/>
      <c r="DT12" s="78"/>
      <c r="DU12" s="12"/>
    </row>
    <row r="13" spans="1:125" ht="16" customHeight="1" x14ac:dyDescent="0.2">
      <c r="A13" s="79" t="s">
        <v>122</v>
      </c>
      <c r="B13" s="68"/>
      <c r="C13" s="68"/>
      <c r="D13" s="68" t="str" cm="1">
        <f t="array" ref="D13">IF(OR(AC13="",AD13=""),"Pendiente",IF(AC13&gt;AD13,"Local",IF(AC13&lt;AD13,"Visitante","Empate")))</f>
        <v>Empate</v>
      </c>
      <c r="E13" s="68" t="str" cm="1">
        <f t="array" ref="E13">IF(D13="Pendiente","-",INDEX($BT$6:$BT$53,MATCH($AA13,$BD$6:$BD$53,0)))</f>
        <v>P.1 (4)</v>
      </c>
      <c r="F13" s="68" t="str" cm="1">
        <f t="array" ref="F13">IF(D13="Pendiente","-",INDEX($BT$6:$BT$53,MATCH($AF13,$BD$6:$BD$53,0)))</f>
        <v>P.1 (4)</v>
      </c>
      <c r="G13" s="68"/>
      <c r="H13" s="68" t="str" cm="1">
        <f t="array" ref="H13">IF(D13="Pendiente","-",INDEX($BZ$6:$BZ$53,MATCH($AA13,$BD$6:$BD$53,0)))</f>
        <v>P.1 (4)</v>
      </c>
      <c r="I13" s="68" t="str" cm="1">
        <f t="array" ref="I13">IF(D13="Pendiente","-",INDEX($BZ$6:$BZ$53,MATCH($AF13,$BD$6:$BD$53,0)))</f>
        <v>P.1 (4)</v>
      </c>
      <c r="J13" s="68"/>
      <c r="K13" s="68" t="str" cm="1">
        <f t="array" ref="K13">IF(D13="Pendiente","-",INDEX($CE$6:$CE$53,MATCH($AA13,$BD$6:$BD$53,0)))</f>
        <v>P.1 (4)</v>
      </c>
      <c r="L13" s="68" t="str" cm="1">
        <f t="array" ref="L13">IF(D13="Pendiente","-",INDEX($CE$6:$CE$53,MATCH($AF13,$BD$6:$BD$53,0)))</f>
        <v>P.1 (4)</v>
      </c>
      <c r="M13" s="68"/>
      <c r="N13" s="68" t="str" cm="1">
        <f t="array" ref="N13">IF(D13="Pendiente","-",INDEX($CH$6:$CH$53,MATCH($AA13,$BD$6:$BD$53,0)))</f>
        <v>P.1 (4)</v>
      </c>
      <c r="O13" s="68" t="str" cm="1">
        <f t="array" ref="O13">IF(D13="Pendiente","-",INDEX($CH$6:$CH$53,MATCH($AF13,$BD$6:$BD$53,0)))</f>
        <v>P.1 (4)</v>
      </c>
      <c r="P13" s="68"/>
      <c r="Q13" s="68" t="str" cm="1">
        <f t="array" ref="Q13">IF(D13="Pendiente","-",INDEX($CN$6:$CN$53,MATCH($AA13,$BD$6:$BD$53,0)))</f>
        <v>P.1 (4)</v>
      </c>
      <c r="R13" s="68" t="str" cm="1">
        <f t="array" ref="R13">IF(D13="Pendiente","-",INDEX($CN$6:$CN$53,MATCH($AF13,$BD$6:$BD$53,0)))</f>
        <v>P.1 (4)</v>
      </c>
      <c r="S13" s="68"/>
      <c r="T13" s="68" t="str" cm="1">
        <f t="array" ref="T13">IF(D13="Pendiente","-",INDEX($CS$6:$CS$53,MATCH($AA13,$BD$6:$BD$53,0)))</f>
        <v>P.1 (4)</v>
      </c>
      <c r="U13" s="68" t="str" cm="1">
        <f t="array" ref="U13">IF(D13="Pendiente","-",INDEX($CS$6:$CS$53,MATCH($AF13,$BD$6:$BD$53,0)))</f>
        <v>P.1 (4)</v>
      </c>
      <c r="V13" s="80"/>
      <c r="W13" s="761"/>
      <c r="X13" s="96">
        <v>46186.625</v>
      </c>
      <c r="Y13" s="97">
        <v>46186.625</v>
      </c>
      <c r="Z13" s="113" t="str" cm="1">
        <f t="array" ref="Z13">$Z$4</f>
        <v>J1</v>
      </c>
      <c r="AA13" s="99" t="str" cm="1">
        <f t="array" ref="AA13">A15</f>
        <v>Catar</v>
      </c>
      <c r="AB13" s="100"/>
      <c r="AC13" s="114">
        <v>1</v>
      </c>
      <c r="AD13" s="114">
        <v>1</v>
      </c>
      <c r="AE13" s="102"/>
      <c r="AF13" s="103" t="str" cm="1">
        <f t="array" ref="AF13">A16</f>
        <v>Suiza</v>
      </c>
      <c r="AG13" s="104" cm="1">
        <f t="array" ref="AG13">IF(NOT(OR(ISBLANK(AC13),ISBLANK(AD13))),1,0)</f>
        <v>1</v>
      </c>
      <c r="AH13" s="105">
        <v>8</v>
      </c>
      <c r="AI13" s="106"/>
      <c r="AJ13" s="196" t="str" cm="1">
        <f t="array" ref="AJ13">AJ5</f>
        <v>Pos</v>
      </c>
      <c r="AK13" s="116"/>
      <c r="AL13" s="197" t="str" cm="1">
        <f t="array" ref="AL13">AL5</f>
        <v>Selección</v>
      </c>
      <c r="AM13" s="116" t="str" cm="1">
        <f t="array" ref="AM13">AM5</f>
        <v>Pts</v>
      </c>
      <c r="AN13" s="116" t="str" cm="1">
        <f t="array" ref="AN13">AN5</f>
        <v>J</v>
      </c>
      <c r="AO13" s="116" t="str" cm="1">
        <f t="array" ref="AO13">AO5</f>
        <v>G</v>
      </c>
      <c r="AP13" s="116" t="str" cm="1">
        <f t="array" ref="AP13">AP5</f>
        <v>E</v>
      </c>
      <c r="AQ13" s="116" t="str" cm="1">
        <f t="array" ref="AQ13">AQ5</f>
        <v>P</v>
      </c>
      <c r="AR13" s="116" t="str" cm="1">
        <f t="array" ref="AR13">AR5</f>
        <v>GF</v>
      </c>
      <c r="AS13" s="116" t="str" cm="1">
        <f t="array" ref="AS13">AS5</f>
        <v>GC</v>
      </c>
      <c r="AT13" s="198" t="str" cm="1">
        <f t="array" ref="AT13">AT5</f>
        <v>DG</v>
      </c>
      <c r="AU13" s="199" cm="1">
        <f t="array" ref="AU13">COUNTIF(AU14:AU17,"&gt;1")</f>
        <v>4</v>
      </c>
      <c r="AV13" s="121"/>
      <c r="AW13" s="200"/>
      <c r="AX13" s="201"/>
      <c r="AY13" s="123" t="str" cm="1">
        <f t="array" ref="AY13">AL13</f>
        <v>Selección</v>
      </c>
      <c r="AZ13" s="124" t="s">
        <v>60</v>
      </c>
      <c r="BA13" s="125"/>
      <c r="BB13" s="77"/>
      <c r="BC13" s="112" t="s">
        <v>121</v>
      </c>
      <c r="BD13" s="112" t="s">
        <v>128</v>
      </c>
      <c r="BE13" s="139" cm="1">
        <f t="array" ref="BE13">BG13*3+BH13+IF($AZ$3="No",0,INDEX($AZ$6:$AZ$97,MATCH(BD13,$AY$6:$AY$97,0)))</f>
        <v>5</v>
      </c>
      <c r="BF13" s="139" cm="1">
        <f t="array" ref="BF13">BG13+BH13+BI13</f>
        <v>3</v>
      </c>
      <c r="BG13" s="139" cm="1">
        <f t="array" ref="BG13">COUNTIFS($AA$4:$AA$97,BD13,$D$4:$D$97,"Local")+COUNTIFS($AF$4:$AF$97,BD13,$D$4:$D$97,"Visitante")</f>
        <v>1</v>
      </c>
      <c r="BH13" s="139" cm="1">
        <f t="array" ref="BH13">COUNTIFS($AA$4:$AA$97,BD13,$D$4:$D$97,"Empate")+COUNTIFS($AF$4:$AF$97,BD13,$D$4:$D$97,"Empate")</f>
        <v>2</v>
      </c>
      <c r="BI13" s="139" cm="1">
        <f t="array" ref="BI13">COUNTIFS($AF$4:$AF$97,BD13,$D$4:$D$97,"Local")+COUNTIFS($AA$4:$AA$97,BD13,$D$4:$D$97,"Visitante")</f>
        <v>0</v>
      </c>
      <c r="BJ13" s="139" cm="1">
        <f t="array" ref="BJ13">SUMIFS($AC$4:$AC$97,$AA$4:$AA$97,BD13,$D$4:$D$97,"&lt;&gt;"&amp;"Pendiente",$AC$4:$AC$97,"&lt;&gt;"&amp;"",$AD$4:$AD$97,"&lt;&gt;"&amp;"")+SUMIFS($AD$4:$AD$97,$AF$4:$AF$97,BD13,$D$4:$D$97,"&lt;&gt;"&amp;"Pendiente",$AC$4:$AC$97,"&lt;&gt;"&amp;"",$AD$4:$AD$97,"&lt;&gt;"&amp;"")</f>
        <v>5</v>
      </c>
      <c r="BK13" s="139" cm="1">
        <f t="array" ref="BK13">SUMIFS($AC$4:$AC$97,$AF$4:$AF$97,BD13,$D$4:$D$97,"&lt;&gt;"&amp;"Pendiente",$AC$4:$AC$97,"&lt;&gt;"&amp;"",$AD$4:$AD$97,"&lt;&gt;"&amp;"")+SUMIFS($AD$4:$AD$97,$AA$4:$AA$97,BD13,$D$4:$D$97,"&lt;&gt;"&amp;"Pendiente",$AC$4:$AC$97,"&lt;&gt;"&amp;"",$AD$4:$AD$97,"&lt;&gt;"&amp;"")</f>
        <v>3</v>
      </c>
      <c r="BL13" s="139" cm="1">
        <f t="array" ref="BL13">BJ13-BK13</f>
        <v>2</v>
      </c>
      <c r="BM13" s="126" t="str" cm="1">
        <f t="array" ref="BM13">DD13&amp;BC13</f>
        <v>4B</v>
      </c>
      <c r="BN13" s="126" t="str" cm="1">
        <f t="array" ref="BN13">DH13&amp;BC13</f>
        <v>4B</v>
      </c>
      <c r="BO13" s="139" cm="1">
        <f t="array" ref="BO13">IF(AND($AJ$99=144,BF13&gt;=1),1,0)</f>
        <v>0</v>
      </c>
      <c r="BP13" s="139">
        <v>1</v>
      </c>
      <c r="BQ13" s="112" t="s">
        <v>113</v>
      </c>
      <c r="BR13" s="139" cm="1">
        <f t="array" ref="BR13">IF($BQ13="-","-",BE13)</f>
        <v>5</v>
      </c>
      <c r="BS13" s="139">
        <v>1</v>
      </c>
      <c r="BT13" s="112" t="s">
        <v>113</v>
      </c>
      <c r="BU13" s="139" cm="1">
        <f t="array" ref="BU13">IF($BT13="-","-",COUNTIFS($AA$4:$AA$97,$BD13,$D$4:$D$97,"Local",$F$4:$F$97,$BT13)+COUNTIFS($AF$4:$AF$97,$BD13,$D$4:$D$97,"Visitante",$E$4:$E$97,$BT13))</f>
        <v>1</v>
      </c>
      <c r="BV13" s="139" cm="1">
        <f t="array" ref="BV13">IF($BT13="-","-",COUNTIFS($AA$4:$AA$97,$BD13,$D$4:$D$97,"Empate",$F$4:$F$97,$BT13)+COUNTIFS($AF$4:$AF$97,$BD13,$D$4:$D$97,"Empate",$E$4:$E$97,$BT13))</f>
        <v>2</v>
      </c>
      <c r="BW13" s="139" cm="1">
        <f t="array" ref="BW13">IF($BT13="-","-",COUNTIFS($AA$4:$AA$97,$BD13,$D$4:$D$97,"Visitante",$F$4:$F$97,$BT13)+COUNTIFS($AF$4:$AF$97,$BD13,$D$4:$D$97,"Local",$E$4:$E$97,$BT13))</f>
        <v>0</v>
      </c>
      <c r="BX13" s="139" cm="1">
        <f t="array" ref="BX13">IF($BT13="-","-",BU13*3+BV13)</f>
        <v>5</v>
      </c>
      <c r="BY13" s="139">
        <v>1</v>
      </c>
      <c r="BZ13" s="112" t="s">
        <v>113</v>
      </c>
      <c r="CA13" s="139" cm="1">
        <f t="array" ref="CA13">IF($BZ13="-","-",SUMIFS($AC$4:$AC$97,$AA$4:$AA$97,$BD13,$I$4:$I$97,$BZ13)+SUMIFS($AD$4:$AD$97,$AF$4:$AF$97,$BD13,$H$4:$H$97,$BZ13))</f>
        <v>5</v>
      </c>
      <c r="CB13" s="139" cm="1">
        <f t="array" ref="CB13">IF($BZ13="-","-",SUMIFS($AD$4:$AD$97,$AA$4:$AA$97,$BD13,$I$4:$I$97,$BZ13)+SUMIFS($AC$4:$AC$97,$AF$4:$AF$97,$BD13,$H$4:$H$97,$BZ13))</f>
        <v>3</v>
      </c>
      <c r="CC13" s="139" cm="1">
        <f t="array" ref="CC13">IF($BZ13="-","-",CA13-CB13)</f>
        <v>2</v>
      </c>
      <c r="CD13" s="139">
        <v>1</v>
      </c>
      <c r="CE13" s="112" t="s">
        <v>113</v>
      </c>
      <c r="CF13" s="139" cm="1">
        <f t="array" ref="CF13">IF($CE13="-","-",SUMIFS($AC$4:$AC$97,$AA$4:$AA$97,$BD13,$L$4:$L$97,$CE13)+SUMIFS($AD$4:$AD$97,$AF$4:$AF$97,$BD13,$K$4:$K$97,$CE13))</f>
        <v>5</v>
      </c>
      <c r="CG13" s="139">
        <v>1</v>
      </c>
      <c r="CH13" s="112" t="s">
        <v>113</v>
      </c>
      <c r="CI13" s="139" cm="1">
        <f t="array" ref="CI13">IF($CH13="-","-",COUNTIFS($AA$4:$AA$97,$BD13,$D$4:$D$97,"Local",$O$4:$O$97,$CH13)+COUNTIFS($AF$4:$AF$97,$BD13,$D$4:$D$97,"Visitante",$N$4:$N$97,$CH13))</f>
        <v>1</v>
      </c>
      <c r="CJ13" s="139" cm="1">
        <f t="array" ref="CJ13">IF($CH13="-","-",COUNTIFS($AA$4:$AA$97,$BD13,$D$4:$D$97,"Empate",$O$4:$O$97,$CH13)+COUNTIFS($AF$4:$AF$97,$BD13,$D$4:$D$97,"Empate",$N$4:$N$97,$CH13))</f>
        <v>2</v>
      </c>
      <c r="CK13" s="139" cm="1">
        <f t="array" ref="CK13">IF($CH13="-","-",COUNTIFS($AA$4:$AA$97,$BD13,$D$4:$D$97,"Visitante",$O$4:$O$97,$CH13)+COUNTIFS($AF$4:$AF$97,$BD13,$D$4:$D$97,"Local",$N$4:$N$97,$CH13))</f>
        <v>0</v>
      </c>
      <c r="CL13" s="139" cm="1">
        <f t="array" ref="CL13">IF($CH13="-","-",CI13*3+CJ13)</f>
        <v>5</v>
      </c>
      <c r="CM13" s="139">
        <v>1</v>
      </c>
      <c r="CN13" s="112" t="s">
        <v>113</v>
      </c>
      <c r="CO13" s="139" cm="1">
        <f t="array" ref="CO13">IF($CN13="-","-",SUMIFS($AC$4:$AC$97,$AA$4:$AA$97,$BD13,$R$4:$R$97,$CN13)+SUMIFS($AD$4:$AD$97,$AF$4:$AF$97,$BD13,$Q$4:$Q$97,$CN13))</f>
        <v>5</v>
      </c>
      <c r="CP13" s="139" cm="1">
        <f t="array" ref="CP13">IF($CN13="-","-",SUMIFS($AD$4:$AD$97,$AA$4:$AA$97,$BD13,$R$4:$R$97,$CN13)+SUMIFS($AC$4:$AC$97,$AF$4:$AF$97,$BD13,$Q$4:$Q$97,$CN13))</f>
        <v>3</v>
      </c>
      <c r="CQ13" s="139" cm="1">
        <f t="array" ref="CQ13">IF($CN13="-","-",CO13-CP13)</f>
        <v>2</v>
      </c>
      <c r="CR13" s="139">
        <v>1</v>
      </c>
      <c r="CS13" s="112" t="s">
        <v>113</v>
      </c>
      <c r="CT13" s="139" cm="1">
        <f t="array" ref="CT13">IF($CS13="-","-",SUMIFS($AC$4:$AC$97,$AA$4:$AA$97,$BD13,$U$4:$U$97,$CS13)+SUMIFS($AD$4:$AD$97,$AF$4:$AF$97,$BD13,$T$4:$T$97,$CS13))</f>
        <v>5</v>
      </c>
      <c r="CU13" s="139">
        <v>1</v>
      </c>
      <c r="CV13" s="112" t="s">
        <v>113</v>
      </c>
      <c r="CW13" s="139" cm="1">
        <f t="array" ref="CW13">IF(CV13="-","-",BL13)</f>
        <v>2</v>
      </c>
      <c r="CX13" s="139">
        <v>1</v>
      </c>
      <c r="CY13" s="112" t="s">
        <v>113</v>
      </c>
      <c r="CZ13" s="139" cm="1">
        <f t="array" ref="CZ13">IF(CY13="-","-",BJ13)</f>
        <v>5</v>
      </c>
      <c r="DA13" s="139">
        <v>1</v>
      </c>
      <c r="DB13" s="112" t="s">
        <v>113</v>
      </c>
      <c r="DC13" s="139">
        <v>4</v>
      </c>
      <c r="DD13" s="139">
        <v>4</v>
      </c>
      <c r="DE13" s="126"/>
      <c r="DF13" s="139" cm="1">
        <f t="array" ref="DF13">IF(OR(INDEX($AW$6:$AW$97,MATCH($BD13,$AV$6:$AV$97,0))="",DB13="-"),DD13,INDEX($AW$6:$AW$97,MATCH($BD13,$AV$6:$AV$97,0))+DD13/1000)</f>
        <v>4</v>
      </c>
      <c r="DG13" s="139">
        <v>3</v>
      </c>
      <c r="DH13" s="139">
        <v>4</v>
      </c>
      <c r="DI13" s="126"/>
      <c r="DJ13" s="139" cm="1">
        <f t="array" ref="DJ13">INDEX($DA$6:$DA$53,MATCH($DQ13,$BD$6:$BD$53,0))</f>
        <v>1</v>
      </c>
      <c r="DK13" s="139" cm="1">
        <f t="array" ref="DK13">SUMIF($BC$6:$BC$53,BC13,$BF$6:$BF$53)</f>
        <v>12</v>
      </c>
      <c r="DL13" s="139" cm="1">
        <f t="array" ref="DL13">IF(OR(DK13=12,$AJ$99=144),COUNTIFS($DJ$6:$DJ$53,DJ13,$BC$6:$BC$53,BC13),1)</f>
        <v>4</v>
      </c>
      <c r="DM13" s="126" t="str" cm="1">
        <f t="array" ref="DM13">DJ13&amp;"."&amp;DL13</f>
        <v>1.4</v>
      </c>
      <c r="DN13" s="139">
        <v>1</v>
      </c>
      <c r="DO13" s="126"/>
      <c r="DP13" s="112" t="s">
        <v>129</v>
      </c>
      <c r="DQ13" s="126" t="str" cm="1">
        <f t="array" ref="DQ13">INDEX($BD$6:$BD$53,MATCH(DP13,$BM$6:$BM$53,0))</f>
        <v>Suiza</v>
      </c>
      <c r="DR13" s="77"/>
      <c r="DS13" s="77"/>
      <c r="DT13" s="78"/>
      <c r="DU13" s="12"/>
    </row>
    <row r="14" spans="1:125" ht="16" customHeight="1" x14ac:dyDescent="0.2">
      <c r="A14" s="79" t="s">
        <v>124</v>
      </c>
      <c r="B14" s="68"/>
      <c r="C14" s="68"/>
      <c r="D14" s="68" t="str" cm="1">
        <f t="array" ref="D14">IF(OR(AC14="",AD14=""),"Pendiente",IF(AC14&gt;AD14,"Local",IF(AC14&lt;AD14,"Visitante","Empate")))</f>
        <v>Local</v>
      </c>
      <c r="E14" s="68" t="str" cm="1">
        <f t="array" ref="E14">IF(D14="Pendiente","-",INDEX($BT$6:$BT$53,MATCH($AA14,$BD$6:$BD$53,0)))</f>
        <v>P.1 (4)</v>
      </c>
      <c r="F14" s="68" t="str" cm="1">
        <f t="array" ref="F14">IF(D14="Pendiente","-",INDEX($BT$6:$BT$53,MATCH($AF14,$BD$6:$BD$53,0)))</f>
        <v>P.1 (4)</v>
      </c>
      <c r="G14" s="68"/>
      <c r="H14" s="68" t="str" cm="1">
        <f t="array" ref="H14">IF(D14="Pendiente","-",INDEX($BZ$6:$BZ$53,MATCH($AA14,$BD$6:$BD$53,0)))</f>
        <v>P.1 (4)</v>
      </c>
      <c r="I14" s="68" t="str" cm="1">
        <f t="array" ref="I14">IF(D14="Pendiente","-",INDEX($BZ$6:$BZ$53,MATCH($AF14,$BD$6:$BD$53,0)))</f>
        <v>P.1 (4)</v>
      </c>
      <c r="J14" s="68"/>
      <c r="K14" s="68" t="str" cm="1">
        <f t="array" ref="K14">IF(D14="Pendiente","-",INDEX($CE$6:$CE$53,MATCH($AA14,$BD$6:$BD$53,0)))</f>
        <v>P.1 (4)</v>
      </c>
      <c r="L14" s="68" t="str" cm="1">
        <f t="array" ref="L14">IF(D14="Pendiente","-",INDEX($CE$6:$CE$53,MATCH($AF14,$BD$6:$BD$53,0)))</f>
        <v>P.1 (4)</v>
      </c>
      <c r="M14" s="68"/>
      <c r="N14" s="68" t="str" cm="1">
        <f t="array" ref="N14">IF(D14="Pendiente","-",INDEX($CH$6:$CH$53,MATCH($AA14,$BD$6:$BD$53,0)))</f>
        <v>P.1 (4)</v>
      </c>
      <c r="O14" s="68" t="str" cm="1">
        <f t="array" ref="O14">IF(D14="Pendiente","-",INDEX($CH$6:$CH$53,MATCH($AF14,$BD$6:$BD$53,0)))</f>
        <v>P.1 (4)</v>
      </c>
      <c r="P14" s="68"/>
      <c r="Q14" s="68" t="str" cm="1">
        <f t="array" ref="Q14">IF(D14="Pendiente","-",INDEX($CN$6:$CN$53,MATCH($AA14,$BD$6:$BD$53,0)))</f>
        <v>P.1 (4)</v>
      </c>
      <c r="R14" s="68" t="str" cm="1">
        <f t="array" ref="R14">IF(D14="Pendiente","-",INDEX($CN$6:$CN$53,MATCH($AF14,$BD$6:$BD$53,0)))</f>
        <v>P.1 (4)</v>
      </c>
      <c r="S14" s="68"/>
      <c r="T14" s="68" t="str" cm="1">
        <f t="array" ref="T14">IF(D14="Pendiente","-",INDEX($CS$6:$CS$53,MATCH($AA14,$BD$6:$BD$53,0)))</f>
        <v>P.1 (4)</v>
      </c>
      <c r="U14" s="68" t="str" cm="1">
        <f t="array" ref="U14">IF(D14="Pendiente","-",INDEX($CS$6:$CS$53,MATCH($AF14,$BD$6:$BD$53,0)))</f>
        <v>P.1 (4)</v>
      </c>
      <c r="V14" s="80"/>
      <c r="W14" s="762"/>
      <c r="X14" s="96">
        <v>46191.625</v>
      </c>
      <c r="Y14" s="97">
        <v>46191.625</v>
      </c>
      <c r="Z14" s="113" t="str" cm="1">
        <f t="array" ref="Z14">$Z$6</f>
        <v>J2</v>
      </c>
      <c r="AA14" s="99" t="str" cm="1">
        <f t="array" ref="AA14">A16</f>
        <v>Suiza</v>
      </c>
      <c r="AB14" s="100"/>
      <c r="AC14" s="114">
        <v>3</v>
      </c>
      <c r="AD14" s="114">
        <v>1</v>
      </c>
      <c r="AE14" s="102"/>
      <c r="AF14" s="103" t="str" cm="1">
        <f t="array" ref="AF14">A14</f>
        <v>Bosnia y Herzegovina</v>
      </c>
      <c r="AG14" s="104" cm="1">
        <f t="array" ref="AG14">IF(NOT(OR(ISBLANK(AC14),ISBLANK(AD14))),1,0)</f>
        <v>1</v>
      </c>
      <c r="AH14" s="105">
        <v>26</v>
      </c>
      <c r="AI14" s="202" t="str" cm="1">
        <f t="array" ref="AI14">AJ14&amp;$B$12</f>
        <v>1B</v>
      </c>
      <c r="AJ14" s="203">
        <v>1</v>
      </c>
      <c r="AK14" s="204"/>
      <c r="AL14" s="129" t="str" cm="1">
        <f t="array" ref="AL14">IFERROR(INDEX($BD$6:$BD$53,MATCH(AI14,$BN$6:$BN$53,0)),"")</f>
        <v>Canadá</v>
      </c>
      <c r="AM14" s="130" cm="1">
        <f t="array" ref="AM14">INDEX($BE$6:$BN$53,MATCH($AL14,$BD$6:$BD$53,0),MATCH(AM$5,$BE$5:$BN$5,0))</f>
        <v>7</v>
      </c>
      <c r="AN14" s="131" cm="1">
        <f t="array" ref="AN14">INDEX($BE$6:$BN$53,MATCH($AL14,$BD$6:$BD$53,0),MATCH(AN$5,$BE$5:$BN$5,0))</f>
        <v>3</v>
      </c>
      <c r="AO14" s="131" cm="1">
        <f t="array" ref="AO14">INDEX($BE$6:$BN$53,MATCH($AL14,$BD$6:$BD$53,0),MATCH(AO$5,$BE$5:$BN$5,0))</f>
        <v>2</v>
      </c>
      <c r="AP14" s="131" cm="1">
        <f t="array" ref="AP14">INDEX($BE$6:$BN$53,MATCH($AL14,$BD$6:$BD$53,0),MATCH(AP$5,$BE$5:$BN$5,0))</f>
        <v>1</v>
      </c>
      <c r="AQ14" s="131" cm="1">
        <f t="array" ref="AQ14">INDEX($BE$6:$BN$53,MATCH($AL14,$BD$6:$BD$53,0),MATCH(AQ$5,$BE$5:$BN$5,0))</f>
        <v>0</v>
      </c>
      <c r="AR14" s="131" cm="1">
        <f t="array" ref="AR14">INDEX($BE$6:$BN$53,MATCH($AL14,$BD$6:$BD$53,0),MATCH(AR$5,$BE$5:$BN$5,0))</f>
        <v>4</v>
      </c>
      <c r="AS14" s="131" cm="1">
        <f t="array" ref="AS14">INDEX($BE$6:$BN$53,MATCH($AL14,$BD$6:$BD$53,0),MATCH(AS$5,$BE$5:$BN$5,0))</f>
        <v>2</v>
      </c>
      <c r="AT14" s="205" cm="1">
        <f t="array" ref="AT14">INDEX($BE$6:$BN$53,MATCH($AL14,$BD$6:$BD$53,0),MATCH(AT$5,$BE$5:$BN$5,0))</f>
        <v>2</v>
      </c>
      <c r="AU14" s="206" cm="1">
        <f t="array" ref="AU14">INDEX($DL$6:$DL$53,MATCH(AI14,$DP$6:$DP$53,0))</f>
        <v>4</v>
      </c>
      <c r="AV14" s="134" t="str" cm="1">
        <f t="array" ref="AV14">INDEX($BD$6:$BD$53,MATCH(AI14,$BM$6:$BM$53,0))</f>
        <v>Canadá</v>
      </c>
      <c r="AW14" s="135"/>
      <c r="AX14" s="136"/>
      <c r="AY14" s="137" t="str" cm="1">
        <f t="array" ref="AY14">A13</f>
        <v>Canadá</v>
      </c>
      <c r="AZ14" s="138"/>
      <c r="BA14" s="125"/>
      <c r="BB14" s="77"/>
      <c r="BC14" s="112" t="s">
        <v>130</v>
      </c>
      <c r="BD14" s="112" t="s">
        <v>131</v>
      </c>
      <c r="BE14" s="139" cm="1">
        <f t="array" ref="BE14">BG14*3+BH14+IF($AZ$3="No",0,INDEX($AZ$6:$AZ$97,MATCH(BD14,$AY$6:$AY$97,0)))</f>
        <v>9</v>
      </c>
      <c r="BF14" s="139" cm="1">
        <f t="array" ref="BF14">BG14+BH14+BI14</f>
        <v>3</v>
      </c>
      <c r="BG14" s="139" cm="1">
        <f t="array" ref="BG14">COUNTIFS($AA$4:$AA$97,BD14,$D$4:$D$97,"Local")+COUNTIFS($AF$4:$AF$97,BD14,$D$4:$D$97,"Visitante")</f>
        <v>3</v>
      </c>
      <c r="BH14" s="139" cm="1">
        <f t="array" ref="BH14">COUNTIFS($AA$4:$AA$97,BD14,$D$4:$D$97,"Empate")+COUNTIFS($AF$4:$AF$97,BD14,$D$4:$D$97,"Empate")</f>
        <v>0</v>
      </c>
      <c r="BI14" s="139" cm="1">
        <f t="array" ref="BI14">COUNTIFS($AF$4:$AF$97,BD14,$D$4:$D$97,"Local")+COUNTIFS($AA$4:$AA$97,BD14,$D$4:$D$97,"Visitante")</f>
        <v>0</v>
      </c>
      <c r="BJ14" s="139" cm="1">
        <f t="array" ref="BJ14">SUMIFS($AC$4:$AC$97,$AA$4:$AA$97,BD14,$D$4:$D$97,"&lt;&gt;"&amp;"Pendiente",$AC$4:$AC$97,"&lt;&gt;"&amp;"",$AD$4:$AD$97,"&lt;&gt;"&amp;"")+SUMIFS($AD$4:$AD$97,$AF$4:$AF$97,BD14,$D$4:$D$97,"&lt;&gt;"&amp;"Pendiente",$AC$4:$AC$97,"&lt;&gt;"&amp;"",$AD$4:$AD$97,"&lt;&gt;"&amp;"")</f>
        <v>10</v>
      </c>
      <c r="BK14" s="139" cm="1">
        <f t="array" ref="BK14">SUMIFS($AC$4:$AC$97,$AF$4:$AF$97,BD14,$D$4:$D$97,"&lt;&gt;"&amp;"Pendiente",$AC$4:$AC$97,"&lt;&gt;"&amp;"",$AD$4:$AD$97,"&lt;&gt;"&amp;"")+SUMIFS($AD$4:$AD$97,$AA$4:$AA$97,BD14,$D$4:$D$97,"&lt;&gt;"&amp;"Pendiente",$AC$4:$AC$97,"&lt;&gt;"&amp;"",$AD$4:$AD$97,"&lt;&gt;"&amp;"")</f>
        <v>2</v>
      </c>
      <c r="BL14" s="139" cm="1">
        <f t="array" ref="BL14">BJ14-BK14</f>
        <v>8</v>
      </c>
      <c r="BM14" s="126" t="str" cm="1">
        <f t="array" ref="BM14">DD14&amp;BC14</f>
        <v>1C</v>
      </c>
      <c r="BN14" s="126" t="str" cm="1">
        <f t="array" ref="BN14">DH14&amp;BC14</f>
        <v>1C</v>
      </c>
      <c r="BO14" s="139" cm="1">
        <f t="array" ref="BO14">IF(AND($AJ$99=144,BF14&gt;=1),1,0)</f>
        <v>0</v>
      </c>
      <c r="BP14" s="139">
        <v>1</v>
      </c>
      <c r="BQ14" s="112" t="s">
        <v>113</v>
      </c>
      <c r="BR14" s="139" cm="1">
        <f t="array" ref="BR14">IF($BQ14="-","-",BE14)</f>
        <v>9</v>
      </c>
      <c r="BS14" s="139">
        <v>1</v>
      </c>
      <c r="BT14" s="112" t="s">
        <v>113</v>
      </c>
      <c r="BU14" s="139" cm="1">
        <f t="array" ref="BU14">IF($BT14="-","-",COUNTIFS($AA$4:$AA$97,$BD14,$D$4:$D$97,"Local",$F$4:$F$97,$BT14)+COUNTIFS($AF$4:$AF$97,$BD14,$D$4:$D$97,"Visitante",$E$4:$E$97,$BT14))</f>
        <v>3</v>
      </c>
      <c r="BV14" s="139" cm="1">
        <f t="array" ref="BV14">IF($BT14="-","-",COUNTIFS($AA$4:$AA$97,$BD14,$D$4:$D$97,"Empate",$F$4:$F$97,$BT14)+COUNTIFS($AF$4:$AF$97,$BD14,$D$4:$D$97,"Empate",$E$4:$E$97,$BT14))</f>
        <v>0</v>
      </c>
      <c r="BW14" s="139" cm="1">
        <f t="array" ref="BW14">IF($BT14="-","-",COUNTIFS($AA$4:$AA$97,$BD14,$D$4:$D$97,"Visitante",$F$4:$F$97,$BT14)+COUNTIFS($AF$4:$AF$97,$BD14,$D$4:$D$97,"Local",$E$4:$E$97,$BT14))</f>
        <v>0</v>
      </c>
      <c r="BX14" s="139" cm="1">
        <f t="array" ref="BX14">IF($BT14="-","-",BU14*3+BV14)</f>
        <v>9</v>
      </c>
      <c r="BY14" s="139">
        <v>1</v>
      </c>
      <c r="BZ14" s="112" t="s">
        <v>113</v>
      </c>
      <c r="CA14" s="139" cm="1">
        <f t="array" ref="CA14">IF($BZ14="-","-",SUMIFS($AC$4:$AC$97,$AA$4:$AA$97,$BD14,$I$4:$I$97,$BZ14)+SUMIFS($AD$4:$AD$97,$AF$4:$AF$97,$BD14,$H$4:$H$97,$BZ14))</f>
        <v>10</v>
      </c>
      <c r="CB14" s="139" cm="1">
        <f t="array" ref="CB14">IF($BZ14="-","-",SUMIFS($AD$4:$AD$97,$AA$4:$AA$97,$BD14,$I$4:$I$97,$BZ14)+SUMIFS($AC$4:$AC$97,$AF$4:$AF$97,$BD14,$H$4:$H$97,$BZ14))</f>
        <v>2</v>
      </c>
      <c r="CC14" s="139" cm="1">
        <f t="array" ref="CC14">IF($BZ14="-","-",CA14-CB14)</f>
        <v>8</v>
      </c>
      <c r="CD14" s="139">
        <v>1</v>
      </c>
      <c r="CE14" s="112" t="s">
        <v>113</v>
      </c>
      <c r="CF14" s="139" cm="1">
        <f t="array" ref="CF14">IF($CE14="-","-",SUMIFS($AC$4:$AC$97,$AA$4:$AA$97,$BD14,$L$4:$L$97,$CE14)+SUMIFS($AD$4:$AD$97,$AF$4:$AF$97,$BD14,$K$4:$K$97,$CE14))</f>
        <v>10</v>
      </c>
      <c r="CG14" s="139">
        <v>1</v>
      </c>
      <c r="CH14" s="112" t="s">
        <v>113</v>
      </c>
      <c r="CI14" s="139" cm="1">
        <f t="array" ref="CI14">IF($CH14="-","-",COUNTIFS($AA$4:$AA$97,$BD14,$D$4:$D$97,"Local",$O$4:$O$97,$CH14)+COUNTIFS($AF$4:$AF$97,$BD14,$D$4:$D$97,"Visitante",$N$4:$N$97,$CH14))</f>
        <v>3</v>
      </c>
      <c r="CJ14" s="139" cm="1">
        <f t="array" ref="CJ14">IF($CH14="-","-",COUNTIFS($AA$4:$AA$97,$BD14,$D$4:$D$97,"Empate",$O$4:$O$97,$CH14)+COUNTIFS($AF$4:$AF$97,$BD14,$D$4:$D$97,"Empate",$N$4:$N$97,$CH14))</f>
        <v>0</v>
      </c>
      <c r="CK14" s="139" cm="1">
        <f t="array" ref="CK14">IF($CH14="-","-",COUNTIFS($AA$4:$AA$97,$BD14,$D$4:$D$97,"Visitante",$O$4:$O$97,$CH14)+COUNTIFS($AF$4:$AF$97,$BD14,$D$4:$D$97,"Local",$N$4:$N$97,$CH14))</f>
        <v>0</v>
      </c>
      <c r="CL14" s="139" cm="1">
        <f t="array" ref="CL14">IF($CH14="-","-",CI14*3+CJ14)</f>
        <v>9</v>
      </c>
      <c r="CM14" s="139">
        <v>1</v>
      </c>
      <c r="CN14" s="112" t="s">
        <v>113</v>
      </c>
      <c r="CO14" s="139" cm="1">
        <f t="array" ref="CO14">IF($CN14="-","-",SUMIFS($AC$4:$AC$97,$AA$4:$AA$97,$BD14,$R$4:$R$97,$CN14)+SUMIFS($AD$4:$AD$97,$AF$4:$AF$97,$BD14,$Q$4:$Q$97,$CN14))</f>
        <v>10</v>
      </c>
      <c r="CP14" s="139" cm="1">
        <f t="array" ref="CP14">IF($CN14="-","-",SUMIFS($AD$4:$AD$97,$AA$4:$AA$97,$BD14,$R$4:$R$97,$CN14)+SUMIFS($AC$4:$AC$97,$AF$4:$AF$97,$BD14,$Q$4:$Q$97,$CN14))</f>
        <v>2</v>
      </c>
      <c r="CQ14" s="139" cm="1">
        <f t="array" ref="CQ14">IF($CN14="-","-",CO14-CP14)</f>
        <v>8</v>
      </c>
      <c r="CR14" s="139">
        <v>1</v>
      </c>
      <c r="CS14" s="112" t="s">
        <v>113</v>
      </c>
      <c r="CT14" s="139" cm="1">
        <f t="array" ref="CT14">IF($CS14="-","-",SUMIFS($AC$4:$AC$97,$AA$4:$AA$97,$BD14,$U$4:$U$97,$CS14)+SUMIFS($AD$4:$AD$97,$AF$4:$AF$97,$BD14,$T$4:$T$97,$CS14))</f>
        <v>10</v>
      </c>
      <c r="CU14" s="139">
        <v>1</v>
      </c>
      <c r="CV14" s="112" t="s">
        <v>113</v>
      </c>
      <c r="CW14" s="139" cm="1">
        <f t="array" ref="CW14">IF(CV14="-","-",BL14)</f>
        <v>8</v>
      </c>
      <c r="CX14" s="139">
        <v>1</v>
      </c>
      <c r="CY14" s="112" t="s">
        <v>113</v>
      </c>
      <c r="CZ14" s="139" cm="1">
        <f t="array" ref="CZ14">IF(CY14="-","-",BJ14)</f>
        <v>10</v>
      </c>
      <c r="DA14" s="139">
        <v>1</v>
      </c>
      <c r="DB14" s="112" t="s">
        <v>113</v>
      </c>
      <c r="DC14" s="139">
        <v>1</v>
      </c>
      <c r="DD14" s="139">
        <v>1</v>
      </c>
      <c r="DE14" s="126"/>
      <c r="DF14" s="139" cm="1">
        <f t="array" ref="DF14">IF(OR(INDEX($AW$6:$AW$97,MATCH($BD14,$AV$6:$AV$97,0))="",DB14="-"),DD14,INDEX($AW$6:$AW$97,MATCH($BD14,$AV$6:$AV$97,0))+DD14/1000)</f>
        <v>1</v>
      </c>
      <c r="DG14" s="139">
        <v>0</v>
      </c>
      <c r="DH14" s="139">
        <v>1</v>
      </c>
      <c r="DI14" s="126"/>
      <c r="DJ14" s="139" cm="1">
        <f t="array" ref="DJ14">INDEX($DA$6:$DA$53,MATCH($DQ14,$BD$6:$BD$53,0))</f>
        <v>1</v>
      </c>
      <c r="DK14" s="139" cm="1">
        <f t="array" ref="DK14">SUMIF($BC$6:$BC$53,BC14,$BF$6:$BF$53)</f>
        <v>12</v>
      </c>
      <c r="DL14" s="139" cm="1">
        <f t="array" ref="DL14">IF(OR(DK14=12,$AJ$99=144),COUNTIFS($DJ$6:$DJ$53,DJ14,$BC$6:$BC$53,BC14),1)</f>
        <v>4</v>
      </c>
      <c r="DM14" s="126" t="str" cm="1">
        <f t="array" ref="DM14">DJ14&amp;"."&amp;DL14</f>
        <v>1.4</v>
      </c>
      <c r="DN14" s="139">
        <v>1</v>
      </c>
      <c r="DO14" s="126"/>
      <c r="DP14" s="112" t="s">
        <v>132</v>
      </c>
      <c r="DQ14" s="126" t="str" cm="1">
        <f t="array" ref="DQ14">INDEX($BD$6:$BD$53,MATCH(DP14,$BM$6:$BM$53,0))</f>
        <v>Brasil</v>
      </c>
      <c r="DR14" s="77"/>
      <c r="DS14" s="77"/>
      <c r="DT14" s="78"/>
      <c r="DU14" s="12"/>
    </row>
    <row r="15" spans="1:125" ht="16" customHeight="1" x14ac:dyDescent="0.2">
      <c r="A15" s="79" t="s">
        <v>126</v>
      </c>
      <c r="B15" s="68"/>
      <c r="C15" s="68"/>
      <c r="D15" s="68" t="str" cm="1">
        <f t="array" ref="D15">IF(OR(AC15="",AD15=""),"Pendiente",IF(AC15&gt;AD15,"Local",IF(AC15&lt;AD15,"Visitante","Empate")))</f>
        <v>Local</v>
      </c>
      <c r="E15" s="68" t="str" cm="1">
        <f t="array" ref="E15">IF(D15="Pendiente","-",INDEX($BT$6:$BT$53,MATCH($AA15,$BD$6:$BD$53,0)))</f>
        <v>P.1 (4)</v>
      </c>
      <c r="F15" s="68" t="str" cm="1">
        <f t="array" ref="F15">IF(D15="Pendiente","-",INDEX($BT$6:$BT$53,MATCH($AF15,$BD$6:$BD$53,0)))</f>
        <v>P.1 (4)</v>
      </c>
      <c r="G15" s="68"/>
      <c r="H15" s="68" t="str" cm="1">
        <f t="array" ref="H15">IF(D15="Pendiente","-",INDEX($BZ$6:$BZ$53,MATCH($AA15,$BD$6:$BD$53,0)))</f>
        <v>P.1 (4)</v>
      </c>
      <c r="I15" s="68" t="str" cm="1">
        <f t="array" ref="I15">IF(D15="Pendiente","-",INDEX($BZ$6:$BZ$53,MATCH($AF15,$BD$6:$BD$53,0)))</f>
        <v>P.1 (4)</v>
      </c>
      <c r="J15" s="68"/>
      <c r="K15" s="68" t="str" cm="1">
        <f t="array" ref="K15">IF(D15="Pendiente","-",INDEX($CE$6:$CE$53,MATCH($AA15,$BD$6:$BD$53,0)))</f>
        <v>P.1 (4)</v>
      </c>
      <c r="L15" s="68" t="str" cm="1">
        <f t="array" ref="L15">IF(D15="Pendiente","-",INDEX($CE$6:$CE$53,MATCH($AF15,$BD$6:$BD$53,0)))</f>
        <v>P.1 (4)</v>
      </c>
      <c r="M15" s="68"/>
      <c r="N15" s="68" t="str" cm="1">
        <f t="array" ref="N15">IF(D15="Pendiente","-",INDEX($CH$6:$CH$53,MATCH($AA15,$BD$6:$BD$53,0)))</f>
        <v>P.1 (4)</v>
      </c>
      <c r="O15" s="68" t="str" cm="1">
        <f t="array" ref="O15">IF(D15="Pendiente","-",INDEX($CH$6:$CH$53,MATCH($AF15,$BD$6:$BD$53,0)))</f>
        <v>P.1 (4)</v>
      </c>
      <c r="P15" s="68"/>
      <c r="Q15" s="68" t="str" cm="1">
        <f t="array" ref="Q15">IF(D15="Pendiente","-",INDEX($CN$6:$CN$53,MATCH($AA15,$BD$6:$BD$53,0)))</f>
        <v>P.1 (4)</v>
      </c>
      <c r="R15" s="68" t="str" cm="1">
        <f t="array" ref="R15">IF(D15="Pendiente","-",INDEX($CN$6:$CN$53,MATCH($AF15,$BD$6:$BD$53,0)))</f>
        <v>P.1 (4)</v>
      </c>
      <c r="S15" s="68"/>
      <c r="T15" s="68" t="str" cm="1">
        <f t="array" ref="T15">IF(D15="Pendiente","-",INDEX($CS$6:$CS$53,MATCH($AA15,$BD$6:$BD$53,0)))</f>
        <v>P.1 (4)</v>
      </c>
      <c r="U15" s="68" t="str" cm="1">
        <f t="array" ref="U15">IF(D15="Pendiente","-",INDEX($CS$6:$CS$53,MATCH($AF15,$BD$6:$BD$53,0)))</f>
        <v>P.1 (4)</v>
      </c>
      <c r="V15" s="80"/>
      <c r="W15" s="762"/>
      <c r="X15" s="96">
        <v>46191.75</v>
      </c>
      <c r="Y15" s="97">
        <v>46191.75</v>
      </c>
      <c r="Z15" s="113" t="str" cm="1">
        <f t="array" ref="Z15">$Z$6</f>
        <v>J2</v>
      </c>
      <c r="AA15" s="99" t="str" cm="1">
        <f t="array" ref="AA15">A13</f>
        <v>Canadá</v>
      </c>
      <c r="AB15" s="100"/>
      <c r="AC15" s="114">
        <v>2</v>
      </c>
      <c r="AD15" s="114">
        <v>1</v>
      </c>
      <c r="AE15" s="102"/>
      <c r="AF15" s="103" t="str" cm="1">
        <f t="array" ref="AF15">A15</f>
        <v>Catar</v>
      </c>
      <c r="AG15" s="104" cm="1">
        <f t="array" ref="AG15">IF(NOT(OR(ISBLANK(AC15),ISBLANK(AD15))),1,0)</f>
        <v>1</v>
      </c>
      <c r="AH15" s="105">
        <v>27</v>
      </c>
      <c r="AI15" s="202" t="str" cm="1">
        <f t="array" ref="AI15">AJ15&amp;$B$12</f>
        <v>2B</v>
      </c>
      <c r="AJ15" s="207">
        <v>2</v>
      </c>
      <c r="AK15" s="208"/>
      <c r="AL15" s="142" t="str" cm="1">
        <f t="array" ref="AL15">IFERROR(INDEX($BD$6:$BD$53,MATCH(AI15,$BN$6:$BN$53,0)),"")</f>
        <v>Bosnia y Herzegovina</v>
      </c>
      <c r="AM15" s="143" cm="1">
        <f t="array" ref="AM15">INDEX($BE$6:$BN$53,MATCH($AL15,$BD$6:$BD$53,0),MATCH(AM$5,$BE$5:$BN$5,0))</f>
        <v>0</v>
      </c>
      <c r="AN15" s="144" cm="1">
        <f t="array" ref="AN15">INDEX($BE$6:$BN$53,MATCH($AL15,$BD$6:$BD$53,0),MATCH(AN$5,$BE$5:$BN$5,0))</f>
        <v>3</v>
      </c>
      <c r="AO15" s="144" cm="1">
        <f t="array" ref="AO15">INDEX($BE$6:$BN$53,MATCH($AL15,$BD$6:$BD$53,0),MATCH(AO$5,$BE$5:$BN$5,0))</f>
        <v>0</v>
      </c>
      <c r="AP15" s="144" cm="1">
        <f t="array" ref="AP15">INDEX($BE$6:$BN$53,MATCH($AL15,$BD$6:$BD$53,0),MATCH(AP$5,$BE$5:$BN$5,0))</f>
        <v>0</v>
      </c>
      <c r="AQ15" s="144" cm="1">
        <f t="array" ref="AQ15">INDEX($BE$6:$BN$53,MATCH($AL15,$BD$6:$BD$53,0),MATCH(AQ$5,$BE$5:$BN$5,0))</f>
        <v>3</v>
      </c>
      <c r="AR15" s="144" cm="1">
        <f t="array" ref="AR15">INDEX($BE$6:$BN$53,MATCH($AL15,$BD$6:$BD$53,0),MATCH(AR$5,$BE$5:$BN$5,0))</f>
        <v>1</v>
      </c>
      <c r="AS15" s="144" cm="1">
        <f t="array" ref="AS15">INDEX($BE$6:$BN$53,MATCH($AL15,$BD$6:$BD$53,0),MATCH(AS$5,$BE$5:$BN$5,0))</f>
        <v>5</v>
      </c>
      <c r="AT15" s="209" cm="1">
        <f t="array" ref="AT15">INDEX($BE$6:$BN$53,MATCH($AL15,$BD$6:$BD$53,0),MATCH(AT$5,$BE$5:$BN$5,0))</f>
        <v>-4</v>
      </c>
      <c r="AU15" s="206" cm="1">
        <f t="array" ref="AU15">INDEX($DL$6:$DL$53,MATCH(AI15,$DP$6:$DP$53,0))</f>
        <v>4</v>
      </c>
      <c r="AV15" s="134" t="str" cm="1">
        <f t="array" ref="AV15">INDEX($BD$6:$BD$53,MATCH(AI15,$BM$6:$BM$53,0))</f>
        <v>Bosnia y Herzegovina</v>
      </c>
      <c r="AW15" s="135"/>
      <c r="AX15" s="136"/>
      <c r="AY15" s="146" t="str" cm="1">
        <f t="array" ref="AY15">A14</f>
        <v>Bosnia y Herzegovina</v>
      </c>
      <c r="AZ15" s="147"/>
      <c r="BA15" s="125"/>
      <c r="BB15" s="77"/>
      <c r="BC15" s="112" t="s">
        <v>130</v>
      </c>
      <c r="BD15" s="112" t="s">
        <v>133</v>
      </c>
      <c r="BE15" s="139" cm="1">
        <f t="array" ref="BE15">BG15*3+BH15+IF($AZ$3="No",0,INDEX($AZ$6:$AZ$97,MATCH(BD15,$AY$6:$AY$97,0)))</f>
        <v>6</v>
      </c>
      <c r="BF15" s="139" cm="1">
        <f t="array" ref="BF15">BG15+BH15+BI15</f>
        <v>3</v>
      </c>
      <c r="BG15" s="139" cm="1">
        <f t="array" ref="BG15">COUNTIFS($AA$4:$AA$97,BD15,$D$4:$D$97,"Local")+COUNTIFS($AF$4:$AF$97,BD15,$D$4:$D$97,"Visitante")</f>
        <v>2</v>
      </c>
      <c r="BH15" s="139" cm="1">
        <f t="array" ref="BH15">COUNTIFS($AA$4:$AA$97,BD15,$D$4:$D$97,"Empate")+COUNTIFS($AF$4:$AF$97,BD15,$D$4:$D$97,"Empate")</f>
        <v>0</v>
      </c>
      <c r="BI15" s="139" cm="1">
        <f t="array" ref="BI15">COUNTIFS($AF$4:$AF$97,BD15,$D$4:$D$97,"Local")+COUNTIFS($AA$4:$AA$97,BD15,$D$4:$D$97,"Visitante")</f>
        <v>1</v>
      </c>
      <c r="BJ15" s="139" cm="1">
        <f t="array" ref="BJ15">SUMIFS($AC$4:$AC$97,$AA$4:$AA$97,BD15,$D$4:$D$97,"&lt;&gt;"&amp;"Pendiente",$AC$4:$AC$97,"&lt;&gt;"&amp;"",$AD$4:$AD$97,"&lt;&gt;"&amp;"")+SUMIFS($AD$4:$AD$97,$AF$4:$AF$97,BD15,$D$4:$D$97,"&lt;&gt;"&amp;"Pendiente",$AC$4:$AC$97,"&lt;&gt;"&amp;"",$AD$4:$AD$97,"&lt;&gt;"&amp;"")</f>
        <v>8</v>
      </c>
      <c r="BK15" s="139" cm="1">
        <f t="array" ref="BK15">SUMIFS($AC$4:$AC$97,$AF$4:$AF$97,BD15,$D$4:$D$97,"&lt;&gt;"&amp;"Pendiente",$AC$4:$AC$97,"&lt;&gt;"&amp;"",$AD$4:$AD$97,"&lt;&gt;"&amp;"")+SUMIFS($AD$4:$AD$97,$AA$4:$AA$97,BD15,$D$4:$D$97,"&lt;&gt;"&amp;"Pendiente",$AC$4:$AC$97,"&lt;&gt;"&amp;"",$AD$4:$AD$97,"&lt;&gt;"&amp;"")</f>
        <v>2</v>
      </c>
      <c r="BL15" s="139" cm="1">
        <f t="array" ref="BL15">BJ15-BK15</f>
        <v>6</v>
      </c>
      <c r="BM15" s="126" t="str" cm="1">
        <f t="array" ref="BM15">DD15&amp;BC15</f>
        <v>2C</v>
      </c>
      <c r="BN15" s="126" t="str" cm="1">
        <f t="array" ref="BN15">DH15&amp;BC15</f>
        <v>2C</v>
      </c>
      <c r="BO15" s="139" cm="1">
        <f t="array" ref="BO15">IF(AND($AJ$99=144,BF15&gt;=1),1,0)</f>
        <v>0</v>
      </c>
      <c r="BP15" s="139">
        <v>1</v>
      </c>
      <c r="BQ15" s="112" t="s">
        <v>113</v>
      </c>
      <c r="BR15" s="139" cm="1">
        <f t="array" ref="BR15">IF($BQ15="-","-",BE15)</f>
        <v>6</v>
      </c>
      <c r="BS15" s="139">
        <v>1</v>
      </c>
      <c r="BT15" s="112" t="s">
        <v>113</v>
      </c>
      <c r="BU15" s="139" cm="1">
        <f t="array" ref="BU15">IF($BT15="-","-",COUNTIFS($AA$4:$AA$97,$BD15,$D$4:$D$97,"Local",$F$4:$F$97,$BT15)+COUNTIFS($AF$4:$AF$97,$BD15,$D$4:$D$97,"Visitante",$E$4:$E$97,$BT15))</f>
        <v>2</v>
      </c>
      <c r="BV15" s="139" cm="1">
        <f t="array" ref="BV15">IF($BT15="-","-",COUNTIFS($AA$4:$AA$97,$BD15,$D$4:$D$97,"Empate",$F$4:$F$97,$BT15)+COUNTIFS($AF$4:$AF$97,$BD15,$D$4:$D$97,"Empate",$E$4:$E$97,$BT15))</f>
        <v>0</v>
      </c>
      <c r="BW15" s="139" cm="1">
        <f t="array" ref="BW15">IF($BT15="-","-",COUNTIFS($AA$4:$AA$97,$BD15,$D$4:$D$97,"Visitante",$F$4:$F$97,$BT15)+COUNTIFS($AF$4:$AF$97,$BD15,$D$4:$D$97,"Local",$E$4:$E$97,$BT15))</f>
        <v>1</v>
      </c>
      <c r="BX15" s="139" cm="1">
        <f t="array" ref="BX15">IF($BT15="-","-",BU15*3+BV15)</f>
        <v>6</v>
      </c>
      <c r="BY15" s="139">
        <v>1</v>
      </c>
      <c r="BZ15" s="112" t="s">
        <v>113</v>
      </c>
      <c r="CA15" s="139" cm="1">
        <f t="array" ref="CA15">IF($BZ15="-","-",SUMIFS($AC$4:$AC$97,$AA$4:$AA$97,$BD15,$I$4:$I$97,$BZ15)+SUMIFS($AD$4:$AD$97,$AF$4:$AF$97,$BD15,$H$4:$H$97,$BZ15))</f>
        <v>8</v>
      </c>
      <c r="CB15" s="139" cm="1">
        <f t="array" ref="CB15">IF($BZ15="-","-",SUMIFS($AD$4:$AD$97,$AA$4:$AA$97,$BD15,$I$4:$I$97,$BZ15)+SUMIFS($AC$4:$AC$97,$AF$4:$AF$97,$BD15,$H$4:$H$97,$BZ15))</f>
        <v>2</v>
      </c>
      <c r="CC15" s="139" cm="1">
        <f t="array" ref="CC15">IF($BZ15="-","-",CA15-CB15)</f>
        <v>6</v>
      </c>
      <c r="CD15" s="139">
        <v>1</v>
      </c>
      <c r="CE15" s="112" t="s">
        <v>113</v>
      </c>
      <c r="CF15" s="139" cm="1">
        <f t="array" ref="CF15">IF($CE15="-","-",SUMIFS($AC$4:$AC$97,$AA$4:$AA$97,$BD15,$L$4:$L$97,$CE15)+SUMIFS($AD$4:$AD$97,$AF$4:$AF$97,$BD15,$K$4:$K$97,$CE15))</f>
        <v>8</v>
      </c>
      <c r="CG15" s="139">
        <v>1</v>
      </c>
      <c r="CH15" s="112" t="s">
        <v>113</v>
      </c>
      <c r="CI15" s="139" cm="1">
        <f t="array" ref="CI15">IF($CH15="-","-",COUNTIFS($AA$4:$AA$97,$BD15,$D$4:$D$97,"Local",$O$4:$O$97,$CH15)+COUNTIFS($AF$4:$AF$97,$BD15,$D$4:$D$97,"Visitante",$N$4:$N$97,$CH15))</f>
        <v>2</v>
      </c>
      <c r="CJ15" s="139" cm="1">
        <f t="array" ref="CJ15">IF($CH15="-","-",COUNTIFS($AA$4:$AA$97,$BD15,$D$4:$D$97,"Empate",$O$4:$O$97,$CH15)+COUNTIFS($AF$4:$AF$97,$BD15,$D$4:$D$97,"Empate",$N$4:$N$97,$CH15))</f>
        <v>0</v>
      </c>
      <c r="CK15" s="139" cm="1">
        <f t="array" ref="CK15">IF($CH15="-","-",COUNTIFS($AA$4:$AA$97,$BD15,$D$4:$D$97,"Visitante",$O$4:$O$97,$CH15)+COUNTIFS($AF$4:$AF$97,$BD15,$D$4:$D$97,"Local",$N$4:$N$97,$CH15))</f>
        <v>1</v>
      </c>
      <c r="CL15" s="139" cm="1">
        <f t="array" ref="CL15">IF($CH15="-","-",CI15*3+CJ15)</f>
        <v>6</v>
      </c>
      <c r="CM15" s="139">
        <v>1</v>
      </c>
      <c r="CN15" s="112" t="s">
        <v>113</v>
      </c>
      <c r="CO15" s="139" cm="1">
        <f t="array" ref="CO15">IF($CN15="-","-",SUMIFS($AC$4:$AC$97,$AA$4:$AA$97,$BD15,$R$4:$R$97,$CN15)+SUMIFS($AD$4:$AD$97,$AF$4:$AF$97,$BD15,$Q$4:$Q$97,$CN15))</f>
        <v>8</v>
      </c>
      <c r="CP15" s="139" cm="1">
        <f t="array" ref="CP15">IF($CN15="-","-",SUMIFS($AD$4:$AD$97,$AA$4:$AA$97,$BD15,$R$4:$R$97,$CN15)+SUMIFS($AC$4:$AC$97,$AF$4:$AF$97,$BD15,$Q$4:$Q$97,$CN15))</f>
        <v>2</v>
      </c>
      <c r="CQ15" s="139" cm="1">
        <f t="array" ref="CQ15">IF($CN15="-","-",CO15-CP15)</f>
        <v>6</v>
      </c>
      <c r="CR15" s="139">
        <v>1</v>
      </c>
      <c r="CS15" s="112" t="s">
        <v>113</v>
      </c>
      <c r="CT15" s="139" cm="1">
        <f t="array" ref="CT15">IF($CS15="-","-",SUMIFS($AC$4:$AC$97,$AA$4:$AA$97,$BD15,$U$4:$U$97,$CS15)+SUMIFS($AD$4:$AD$97,$AF$4:$AF$97,$BD15,$T$4:$T$97,$CS15))</f>
        <v>8</v>
      </c>
      <c r="CU15" s="139">
        <v>1</v>
      </c>
      <c r="CV15" s="112" t="s">
        <v>113</v>
      </c>
      <c r="CW15" s="139" cm="1">
        <f t="array" ref="CW15">IF(CV15="-","-",BL15)</f>
        <v>6</v>
      </c>
      <c r="CX15" s="139">
        <v>1</v>
      </c>
      <c r="CY15" s="112" t="s">
        <v>113</v>
      </c>
      <c r="CZ15" s="139" cm="1">
        <f t="array" ref="CZ15">IF(CY15="-","-",BJ15)</f>
        <v>8</v>
      </c>
      <c r="DA15" s="139">
        <v>1</v>
      </c>
      <c r="DB15" s="112" t="s">
        <v>113</v>
      </c>
      <c r="DC15" s="139">
        <v>2</v>
      </c>
      <c r="DD15" s="139">
        <v>2</v>
      </c>
      <c r="DE15" s="126"/>
      <c r="DF15" s="139" cm="1">
        <f t="array" ref="DF15">IF(OR(INDEX($AW$6:$AW$97,MATCH($BD15,$AV$6:$AV$97,0))="",DB15="-"),DD15,INDEX($AW$6:$AW$97,MATCH($BD15,$AV$6:$AV$97,0))+DD15/1000)</f>
        <v>2</v>
      </c>
      <c r="DG15" s="139">
        <v>1</v>
      </c>
      <c r="DH15" s="139">
        <v>2</v>
      </c>
      <c r="DI15" s="126"/>
      <c r="DJ15" s="139" cm="1">
        <f t="array" ref="DJ15">INDEX($DA$6:$DA$53,MATCH($DQ15,$BD$6:$BD$53,0))</f>
        <v>1</v>
      </c>
      <c r="DK15" s="139" cm="1">
        <f t="array" ref="DK15">SUMIF($BC$6:$BC$53,BC15,$BF$6:$BF$53)</f>
        <v>12</v>
      </c>
      <c r="DL15" s="139" cm="1">
        <f t="array" ref="DL15">IF(OR(DK15=12,$AJ$99=144),COUNTIFS($DJ$6:$DJ$53,DJ15,$BC$6:$BC$53,BC15),1)</f>
        <v>4</v>
      </c>
      <c r="DM15" s="126" t="str" cm="1">
        <f t="array" ref="DM15">DJ15&amp;"."&amp;DL15</f>
        <v>1.4</v>
      </c>
      <c r="DN15" s="139">
        <v>1</v>
      </c>
      <c r="DO15" s="126"/>
      <c r="DP15" s="112" t="s">
        <v>134</v>
      </c>
      <c r="DQ15" s="126" t="str" cm="1">
        <f t="array" ref="DQ15">INDEX($BD$6:$BD$53,MATCH(DP15,$BM$6:$BM$53,0))</f>
        <v>Marruecos</v>
      </c>
      <c r="DR15" s="77"/>
      <c r="DS15" s="77"/>
      <c r="DT15" s="78"/>
      <c r="DU15" s="12"/>
    </row>
    <row r="16" spans="1:125" ht="16" customHeight="1" x14ac:dyDescent="0.2">
      <c r="A16" s="79" t="s">
        <v>128</v>
      </c>
      <c r="B16" s="68"/>
      <c r="C16" s="68"/>
      <c r="D16" s="68" t="str" cm="1">
        <f t="array" ref="D16">IF(OR(AC16="",AD16=""),"Pendiente",IF(AC16&gt;AD16,"Local",IF(AC16&lt;AD16,"Visitante","Empate")))</f>
        <v>Empate</v>
      </c>
      <c r="E16" s="68" t="str" cm="1">
        <f t="array" ref="E16">IF(D16="Pendiente","-",INDEX($BT$6:$BT$53,MATCH($AA16,$BD$6:$BD$53,0)))</f>
        <v>P.1 (4)</v>
      </c>
      <c r="F16" s="68" t="str" cm="1">
        <f t="array" ref="F16">IF(D16="Pendiente","-",INDEX($BT$6:$BT$53,MATCH($AF16,$BD$6:$BD$53,0)))</f>
        <v>P.1 (4)</v>
      </c>
      <c r="G16" s="68"/>
      <c r="H16" s="68" t="str" cm="1">
        <f t="array" ref="H16">IF(D16="Pendiente","-",INDEX($BZ$6:$BZ$53,MATCH($AA16,$BD$6:$BD$53,0)))</f>
        <v>P.1 (4)</v>
      </c>
      <c r="I16" s="68" t="str" cm="1">
        <f t="array" ref="I16">IF(D16="Pendiente","-",INDEX($BZ$6:$BZ$53,MATCH($AF16,$BD$6:$BD$53,0)))</f>
        <v>P.1 (4)</v>
      </c>
      <c r="J16" s="68"/>
      <c r="K16" s="68" t="str" cm="1">
        <f t="array" ref="K16">IF(D16="Pendiente","-",INDEX($CE$6:$CE$53,MATCH($AA16,$BD$6:$BD$53,0)))</f>
        <v>P.1 (4)</v>
      </c>
      <c r="L16" s="68" t="str" cm="1">
        <f t="array" ref="L16">IF(D16="Pendiente","-",INDEX($CE$6:$CE$53,MATCH($AF16,$BD$6:$BD$53,0)))</f>
        <v>P.1 (4)</v>
      </c>
      <c r="M16" s="68"/>
      <c r="N16" s="68" t="str" cm="1">
        <f t="array" ref="N16">IF(D16="Pendiente","-",INDEX($CH$6:$CH$53,MATCH($AA16,$BD$6:$BD$53,0)))</f>
        <v>P.1 (4)</v>
      </c>
      <c r="O16" s="68" t="str" cm="1">
        <f t="array" ref="O16">IF(D16="Pendiente","-",INDEX($CH$6:$CH$53,MATCH($AF16,$BD$6:$BD$53,0)))</f>
        <v>P.1 (4)</v>
      </c>
      <c r="P16" s="68"/>
      <c r="Q16" s="68" t="str" cm="1">
        <f t="array" ref="Q16">IF(D16="Pendiente","-",INDEX($CN$6:$CN$53,MATCH($AA16,$BD$6:$BD$53,0)))</f>
        <v>P.1 (4)</v>
      </c>
      <c r="R16" s="68" t="str" cm="1">
        <f t="array" ref="R16">IF(D16="Pendiente","-",INDEX($CN$6:$CN$53,MATCH($AF16,$BD$6:$BD$53,0)))</f>
        <v>P.1 (4)</v>
      </c>
      <c r="S16" s="68"/>
      <c r="T16" s="68" t="str" cm="1">
        <f t="array" ref="T16">IF(D16="Pendiente","-",INDEX($CS$6:$CS$53,MATCH($AA16,$BD$6:$BD$53,0)))</f>
        <v>P.1 (4)</v>
      </c>
      <c r="U16" s="68" t="str" cm="1">
        <f t="array" ref="U16">IF(D16="Pendiente","-",INDEX($CS$6:$CS$53,MATCH($AF16,$BD$6:$BD$53,0)))</f>
        <v>P.1 (4)</v>
      </c>
      <c r="V16" s="80"/>
      <c r="W16" s="762"/>
      <c r="X16" s="96">
        <v>46197.625</v>
      </c>
      <c r="Y16" s="97">
        <v>46197.625</v>
      </c>
      <c r="Z16" s="113" t="str" cm="1">
        <f t="array" ref="Z16">$Z$8</f>
        <v>J3</v>
      </c>
      <c r="AA16" s="99" t="str" cm="1">
        <f t="array" ref="AA16">A16</f>
        <v>Suiza</v>
      </c>
      <c r="AB16" s="100"/>
      <c r="AC16" s="114">
        <v>1</v>
      </c>
      <c r="AD16" s="114">
        <v>1</v>
      </c>
      <c r="AE16" s="102"/>
      <c r="AF16" s="103" t="str" cm="1">
        <f t="array" ref="AF16">A13</f>
        <v>Canadá</v>
      </c>
      <c r="AG16" s="104" cm="1">
        <f t="array" ref="AG16">IF(NOT(OR(ISBLANK(AC16),ISBLANK(AD16))),1,0)</f>
        <v>1</v>
      </c>
      <c r="AH16" s="105">
        <v>51</v>
      </c>
      <c r="AI16" s="202" t="str" cm="1">
        <f t="array" ref="AI16">AJ16&amp;$B$12</f>
        <v>3B</v>
      </c>
      <c r="AJ16" s="207">
        <v>3</v>
      </c>
      <c r="AK16" s="208"/>
      <c r="AL16" s="142" t="str" cm="1">
        <f t="array" ref="AL16">IFERROR(INDEX($BD$6:$BD$53,MATCH(AI16,$BN$6:$BN$53,0)),"")</f>
        <v>Catar</v>
      </c>
      <c r="AM16" s="143" cm="1">
        <f t="array" ref="AM16">INDEX($BE$6:$BN$53,MATCH($AL16,$BD$6:$BD$53,0),MATCH(AM$5,$BE$5:$BN$5,0))</f>
        <v>4</v>
      </c>
      <c r="AN16" s="144" cm="1">
        <f t="array" ref="AN16">INDEX($BE$6:$BN$53,MATCH($AL16,$BD$6:$BD$53,0),MATCH(AN$5,$BE$5:$BN$5,0))</f>
        <v>3</v>
      </c>
      <c r="AO16" s="144" cm="1">
        <f t="array" ref="AO16">INDEX($BE$6:$BN$53,MATCH($AL16,$BD$6:$BD$53,0),MATCH(AO$5,$BE$5:$BN$5,0))</f>
        <v>1</v>
      </c>
      <c r="AP16" s="144" cm="1">
        <f t="array" ref="AP16">INDEX($BE$6:$BN$53,MATCH($AL16,$BD$6:$BD$53,0),MATCH(AP$5,$BE$5:$BN$5,0))</f>
        <v>1</v>
      </c>
      <c r="AQ16" s="144" cm="1">
        <f t="array" ref="AQ16">INDEX($BE$6:$BN$53,MATCH($AL16,$BD$6:$BD$53,0),MATCH(AQ$5,$BE$5:$BN$5,0))</f>
        <v>1</v>
      </c>
      <c r="AR16" s="144" cm="1">
        <f t="array" ref="AR16">INDEX($BE$6:$BN$53,MATCH($AL16,$BD$6:$BD$53,0),MATCH(AR$5,$BE$5:$BN$5,0))</f>
        <v>3</v>
      </c>
      <c r="AS16" s="144" cm="1">
        <f t="array" ref="AS16">INDEX($BE$6:$BN$53,MATCH($AL16,$BD$6:$BD$53,0),MATCH(AS$5,$BE$5:$BN$5,0))</f>
        <v>3</v>
      </c>
      <c r="AT16" s="209" cm="1">
        <f t="array" ref="AT16">INDEX($BE$6:$BN$53,MATCH($AL16,$BD$6:$BD$53,0),MATCH(AT$5,$BE$5:$BN$5,0))</f>
        <v>0</v>
      </c>
      <c r="AU16" s="206" cm="1">
        <f t="array" ref="AU16">INDEX($DL$6:$DL$53,MATCH(AI16,$DP$6:$DP$53,0))</f>
        <v>4</v>
      </c>
      <c r="AV16" s="134" t="str" cm="1">
        <f t="array" ref="AV16">INDEX($BD$6:$BD$53,MATCH(AI16,$BM$6:$BM$53,0))</f>
        <v>Catar</v>
      </c>
      <c r="AW16" s="135"/>
      <c r="AX16" s="136"/>
      <c r="AY16" s="137" t="str" cm="1">
        <f t="array" ref="AY16">A15</f>
        <v>Catar</v>
      </c>
      <c r="AZ16" s="138"/>
      <c r="BA16" s="125"/>
      <c r="BB16" s="77"/>
      <c r="BC16" s="112" t="s">
        <v>130</v>
      </c>
      <c r="BD16" s="112" t="s">
        <v>135</v>
      </c>
      <c r="BE16" s="139" cm="1">
        <f t="array" ref="BE16">BG16*3+BH16+IF($AZ$3="No",0,INDEX($AZ$6:$AZ$97,MATCH(BD16,$AY$6:$AY$97,0)))</f>
        <v>0</v>
      </c>
      <c r="BF16" s="139" cm="1">
        <f t="array" ref="BF16">BG16+BH16+BI16</f>
        <v>3</v>
      </c>
      <c r="BG16" s="139" cm="1">
        <f t="array" ref="BG16">COUNTIFS($AA$4:$AA$97,BD16,$D$4:$D$97,"Local")+COUNTIFS($AF$4:$AF$97,BD16,$D$4:$D$97,"Visitante")</f>
        <v>0</v>
      </c>
      <c r="BH16" s="139" cm="1">
        <f t="array" ref="BH16">COUNTIFS($AA$4:$AA$97,BD16,$D$4:$D$97,"Empate")+COUNTIFS($AF$4:$AF$97,BD16,$D$4:$D$97,"Empate")</f>
        <v>0</v>
      </c>
      <c r="BI16" s="139" cm="1">
        <f t="array" ref="BI16">COUNTIFS($AF$4:$AF$97,BD16,$D$4:$D$97,"Local")+COUNTIFS($AA$4:$AA$97,BD16,$D$4:$D$97,"Visitante")</f>
        <v>3</v>
      </c>
      <c r="BJ16" s="139" cm="1">
        <f t="array" ref="BJ16">SUMIFS($AC$4:$AC$97,$AA$4:$AA$97,BD16,$D$4:$D$97,"&lt;&gt;"&amp;"Pendiente",$AC$4:$AC$97,"&lt;&gt;"&amp;"",$AD$4:$AD$97,"&lt;&gt;"&amp;"")+SUMIFS($AD$4:$AD$97,$AF$4:$AF$97,BD16,$D$4:$D$97,"&lt;&gt;"&amp;"Pendiente",$AC$4:$AC$97,"&lt;&gt;"&amp;"",$AD$4:$AD$97,"&lt;&gt;"&amp;"")</f>
        <v>1</v>
      </c>
      <c r="BK16" s="139" cm="1">
        <f t="array" ref="BK16">SUMIFS($AC$4:$AC$97,$AF$4:$AF$97,BD16,$D$4:$D$97,"&lt;&gt;"&amp;"Pendiente",$AC$4:$AC$97,"&lt;&gt;"&amp;"",$AD$4:$AD$97,"&lt;&gt;"&amp;"")+SUMIFS($AD$4:$AD$97,$AA$4:$AA$97,BD16,$D$4:$D$97,"&lt;&gt;"&amp;"Pendiente",$AC$4:$AC$97,"&lt;&gt;"&amp;"",$AD$4:$AD$97,"&lt;&gt;"&amp;"")</f>
        <v>11</v>
      </c>
      <c r="BL16" s="139" cm="1">
        <f t="array" ref="BL16">BJ16-BK16</f>
        <v>-10</v>
      </c>
      <c r="BM16" s="126" t="str" cm="1">
        <f t="array" ref="BM16">DD16&amp;BC16</f>
        <v>3C</v>
      </c>
      <c r="BN16" s="126" t="str" cm="1">
        <f t="array" ref="BN16">DH16&amp;BC16</f>
        <v>3C</v>
      </c>
      <c r="BO16" s="139" cm="1">
        <f t="array" ref="BO16">IF(AND($AJ$99=144,BF16&gt;=1),1,0)</f>
        <v>0</v>
      </c>
      <c r="BP16" s="139">
        <v>1</v>
      </c>
      <c r="BQ16" s="112" t="s">
        <v>113</v>
      </c>
      <c r="BR16" s="139" cm="1">
        <f t="array" ref="BR16">IF($BQ16="-","-",BE16)</f>
        <v>0</v>
      </c>
      <c r="BS16" s="139">
        <v>1</v>
      </c>
      <c r="BT16" s="112" t="s">
        <v>113</v>
      </c>
      <c r="BU16" s="139" cm="1">
        <f t="array" ref="BU16">IF($BT16="-","-",COUNTIFS($AA$4:$AA$97,$BD16,$D$4:$D$97,"Local",$F$4:$F$97,$BT16)+COUNTIFS($AF$4:$AF$97,$BD16,$D$4:$D$97,"Visitante",$E$4:$E$97,$BT16))</f>
        <v>0</v>
      </c>
      <c r="BV16" s="139" cm="1">
        <f t="array" ref="BV16">IF($BT16="-","-",COUNTIFS($AA$4:$AA$97,$BD16,$D$4:$D$97,"Empate",$F$4:$F$97,$BT16)+COUNTIFS($AF$4:$AF$97,$BD16,$D$4:$D$97,"Empate",$E$4:$E$97,$BT16))</f>
        <v>0</v>
      </c>
      <c r="BW16" s="139" cm="1">
        <f t="array" ref="BW16">IF($BT16="-","-",COUNTIFS($AA$4:$AA$97,$BD16,$D$4:$D$97,"Visitante",$F$4:$F$97,$BT16)+COUNTIFS($AF$4:$AF$97,$BD16,$D$4:$D$97,"Local",$E$4:$E$97,$BT16))</f>
        <v>3</v>
      </c>
      <c r="BX16" s="139" cm="1">
        <f t="array" ref="BX16">IF($BT16="-","-",BU16*3+BV16)</f>
        <v>0</v>
      </c>
      <c r="BY16" s="139">
        <v>1</v>
      </c>
      <c r="BZ16" s="112" t="s">
        <v>113</v>
      </c>
      <c r="CA16" s="139" cm="1">
        <f t="array" ref="CA16">IF($BZ16="-","-",SUMIFS($AC$4:$AC$97,$AA$4:$AA$97,$BD16,$I$4:$I$97,$BZ16)+SUMIFS($AD$4:$AD$97,$AF$4:$AF$97,$BD16,$H$4:$H$97,$BZ16))</f>
        <v>1</v>
      </c>
      <c r="CB16" s="139" cm="1">
        <f t="array" ref="CB16">IF($BZ16="-","-",SUMIFS($AD$4:$AD$97,$AA$4:$AA$97,$BD16,$I$4:$I$97,$BZ16)+SUMIFS($AC$4:$AC$97,$AF$4:$AF$97,$BD16,$H$4:$H$97,$BZ16))</f>
        <v>11</v>
      </c>
      <c r="CC16" s="139" cm="1">
        <f t="array" ref="CC16">IF($BZ16="-","-",CA16-CB16)</f>
        <v>-10</v>
      </c>
      <c r="CD16" s="139">
        <v>1</v>
      </c>
      <c r="CE16" s="112" t="s">
        <v>113</v>
      </c>
      <c r="CF16" s="139" cm="1">
        <f t="array" ref="CF16">IF($CE16="-","-",SUMIFS($AC$4:$AC$97,$AA$4:$AA$97,$BD16,$L$4:$L$97,$CE16)+SUMIFS($AD$4:$AD$97,$AF$4:$AF$97,$BD16,$K$4:$K$97,$CE16))</f>
        <v>1</v>
      </c>
      <c r="CG16" s="139">
        <v>1</v>
      </c>
      <c r="CH16" s="112" t="s">
        <v>113</v>
      </c>
      <c r="CI16" s="139" cm="1">
        <f t="array" ref="CI16">IF($CH16="-","-",COUNTIFS($AA$4:$AA$97,$BD16,$D$4:$D$97,"Local",$O$4:$O$97,$CH16)+COUNTIFS($AF$4:$AF$97,$BD16,$D$4:$D$97,"Visitante",$N$4:$N$97,$CH16))</f>
        <v>0</v>
      </c>
      <c r="CJ16" s="139" cm="1">
        <f t="array" ref="CJ16">IF($CH16="-","-",COUNTIFS($AA$4:$AA$97,$BD16,$D$4:$D$97,"Empate",$O$4:$O$97,$CH16)+COUNTIFS($AF$4:$AF$97,$BD16,$D$4:$D$97,"Empate",$N$4:$N$97,$CH16))</f>
        <v>0</v>
      </c>
      <c r="CK16" s="139" cm="1">
        <f t="array" ref="CK16">IF($CH16="-","-",COUNTIFS($AA$4:$AA$97,$BD16,$D$4:$D$97,"Visitante",$O$4:$O$97,$CH16)+COUNTIFS($AF$4:$AF$97,$BD16,$D$4:$D$97,"Local",$N$4:$N$97,$CH16))</f>
        <v>3</v>
      </c>
      <c r="CL16" s="139" cm="1">
        <f t="array" ref="CL16">IF($CH16="-","-",CI16*3+CJ16)</f>
        <v>0</v>
      </c>
      <c r="CM16" s="139">
        <v>1</v>
      </c>
      <c r="CN16" s="112" t="s">
        <v>113</v>
      </c>
      <c r="CO16" s="139" cm="1">
        <f t="array" ref="CO16">IF($CN16="-","-",SUMIFS($AC$4:$AC$97,$AA$4:$AA$97,$BD16,$R$4:$R$97,$CN16)+SUMIFS($AD$4:$AD$97,$AF$4:$AF$97,$BD16,$Q$4:$Q$97,$CN16))</f>
        <v>1</v>
      </c>
      <c r="CP16" s="139" cm="1">
        <f t="array" ref="CP16">IF($CN16="-","-",SUMIFS($AD$4:$AD$97,$AA$4:$AA$97,$BD16,$R$4:$R$97,$CN16)+SUMIFS($AC$4:$AC$97,$AF$4:$AF$97,$BD16,$Q$4:$Q$97,$CN16))</f>
        <v>11</v>
      </c>
      <c r="CQ16" s="139" cm="1">
        <f t="array" ref="CQ16">IF($CN16="-","-",CO16-CP16)</f>
        <v>-10</v>
      </c>
      <c r="CR16" s="139">
        <v>1</v>
      </c>
      <c r="CS16" s="112" t="s">
        <v>113</v>
      </c>
      <c r="CT16" s="139" cm="1">
        <f t="array" ref="CT16">IF($CS16="-","-",SUMIFS($AC$4:$AC$97,$AA$4:$AA$97,$BD16,$U$4:$U$97,$CS16)+SUMIFS($AD$4:$AD$97,$AF$4:$AF$97,$BD16,$T$4:$T$97,$CS16))</f>
        <v>1</v>
      </c>
      <c r="CU16" s="139">
        <v>1</v>
      </c>
      <c r="CV16" s="112" t="s">
        <v>113</v>
      </c>
      <c r="CW16" s="139" cm="1">
        <f t="array" ref="CW16">IF(CV16="-","-",BL16)</f>
        <v>-10</v>
      </c>
      <c r="CX16" s="139">
        <v>1</v>
      </c>
      <c r="CY16" s="112" t="s">
        <v>113</v>
      </c>
      <c r="CZ16" s="139" cm="1">
        <f t="array" ref="CZ16">IF(CY16="-","-",BJ16)</f>
        <v>1</v>
      </c>
      <c r="DA16" s="139">
        <v>1</v>
      </c>
      <c r="DB16" s="112" t="s">
        <v>113</v>
      </c>
      <c r="DC16" s="139">
        <v>3</v>
      </c>
      <c r="DD16" s="139">
        <v>3</v>
      </c>
      <c r="DE16" s="126"/>
      <c r="DF16" s="139" cm="1">
        <f t="array" ref="DF16">IF(OR(INDEX($AW$6:$AW$97,MATCH($BD16,$AV$6:$AV$97,0))="",DB16="-"),DD16,INDEX($AW$6:$AW$97,MATCH($BD16,$AV$6:$AV$97,0))+DD16/1000)</f>
        <v>3</v>
      </c>
      <c r="DG16" s="139">
        <v>2</v>
      </c>
      <c r="DH16" s="139">
        <v>3</v>
      </c>
      <c r="DI16" s="126"/>
      <c r="DJ16" s="139" cm="1">
        <f t="array" ref="DJ16">INDEX($DA$6:$DA$53,MATCH($DQ16,$BD$6:$BD$53,0))</f>
        <v>1</v>
      </c>
      <c r="DK16" s="139" cm="1">
        <f t="array" ref="DK16">SUMIF($BC$6:$BC$53,BC16,$BF$6:$BF$53)</f>
        <v>12</v>
      </c>
      <c r="DL16" s="139" cm="1">
        <f t="array" ref="DL16">IF(OR(DK16=12,$AJ$99=144),COUNTIFS($DJ$6:$DJ$53,DJ16,$BC$6:$BC$53,BC16),1)</f>
        <v>4</v>
      </c>
      <c r="DM16" s="126" t="str" cm="1">
        <f t="array" ref="DM16">DJ16&amp;"."&amp;DL16</f>
        <v>1.4</v>
      </c>
      <c r="DN16" s="139">
        <v>1</v>
      </c>
      <c r="DO16" s="126"/>
      <c r="DP16" s="112" t="s">
        <v>136</v>
      </c>
      <c r="DQ16" s="126" t="str" cm="1">
        <f t="array" ref="DQ16">INDEX($BD$6:$BD$53,MATCH(DP16,$BM$6:$BM$53,0))</f>
        <v>Haití</v>
      </c>
      <c r="DR16" s="77"/>
      <c r="DS16" s="77"/>
      <c r="DT16" s="78"/>
      <c r="DU16" s="12"/>
    </row>
    <row r="17" spans="1:125" ht="16" customHeight="1" x14ac:dyDescent="0.2">
      <c r="A17" s="68"/>
      <c r="B17" s="68"/>
      <c r="C17" s="68"/>
      <c r="D17" s="68" t="str" cm="1">
        <f t="array" ref="D17">IF(OR(AC17="",AD17=""),"Pendiente",IF(AC17&gt;AD17,"Local",IF(AC17&lt;AD17,"Visitante","Empate")))</f>
        <v>Visitante</v>
      </c>
      <c r="E17" s="68" t="str" cm="1">
        <f t="array" ref="E17">IF(D17="Pendiente","-",INDEX($BT$6:$BT$53,MATCH($AA17,$BD$6:$BD$53,0)))</f>
        <v>P.1 (4)</v>
      </c>
      <c r="F17" s="68" t="str" cm="1">
        <f t="array" ref="F17">IF(D17="Pendiente","-",INDEX($BT$6:$BT$53,MATCH($AF17,$BD$6:$BD$53,0)))</f>
        <v>P.1 (4)</v>
      </c>
      <c r="G17" s="68"/>
      <c r="H17" s="68" t="str" cm="1">
        <f t="array" ref="H17">IF(D17="Pendiente","-",INDEX($BZ$6:$BZ$53,MATCH($AA17,$BD$6:$BD$53,0)))</f>
        <v>P.1 (4)</v>
      </c>
      <c r="I17" s="68" t="str" cm="1">
        <f t="array" ref="I17">IF(D17="Pendiente","-",INDEX($BZ$6:$BZ$53,MATCH($AF17,$BD$6:$BD$53,0)))</f>
        <v>P.1 (4)</v>
      </c>
      <c r="J17" s="68"/>
      <c r="K17" s="68" t="str" cm="1">
        <f t="array" ref="K17">IF(D17="Pendiente","-",INDEX($CE$6:$CE$53,MATCH($AA17,$BD$6:$BD$53,0)))</f>
        <v>P.1 (4)</v>
      </c>
      <c r="L17" s="68" t="str" cm="1">
        <f t="array" ref="L17">IF(D17="Pendiente","-",INDEX($CE$6:$CE$53,MATCH($AF17,$BD$6:$BD$53,0)))</f>
        <v>P.1 (4)</v>
      </c>
      <c r="M17" s="68"/>
      <c r="N17" s="68" t="str" cm="1">
        <f t="array" ref="N17">IF(D17="Pendiente","-",INDEX($CH$6:$CH$53,MATCH($AA17,$BD$6:$BD$53,0)))</f>
        <v>P.1 (4)</v>
      </c>
      <c r="O17" s="68" t="str" cm="1">
        <f t="array" ref="O17">IF(D17="Pendiente","-",INDEX($CH$6:$CH$53,MATCH($AF17,$BD$6:$BD$53,0)))</f>
        <v>P.1 (4)</v>
      </c>
      <c r="P17" s="68"/>
      <c r="Q17" s="68" t="str" cm="1">
        <f t="array" ref="Q17">IF(D17="Pendiente","-",INDEX($CN$6:$CN$53,MATCH($AA17,$BD$6:$BD$53,0)))</f>
        <v>P.1 (4)</v>
      </c>
      <c r="R17" s="68" t="str" cm="1">
        <f t="array" ref="R17">IF(D17="Pendiente","-",INDEX($CN$6:$CN$53,MATCH($AF17,$BD$6:$BD$53,0)))</f>
        <v>P.1 (4)</v>
      </c>
      <c r="S17" s="68"/>
      <c r="T17" s="68" t="str" cm="1">
        <f t="array" ref="T17">IF(D17="Pendiente","-",INDEX($CS$6:$CS$53,MATCH($AA17,$BD$6:$BD$53,0)))</f>
        <v>P.1 (4)</v>
      </c>
      <c r="U17" s="68" t="str" cm="1">
        <f t="array" ref="U17">IF(D17="Pendiente","-",INDEX($CS$6:$CS$53,MATCH($AF17,$BD$6:$BD$53,0)))</f>
        <v>P.1 (4)</v>
      </c>
      <c r="V17" s="80"/>
      <c r="W17" s="763"/>
      <c r="X17" s="148">
        <v>46197.625</v>
      </c>
      <c r="Y17" s="149">
        <v>46197.625</v>
      </c>
      <c r="Z17" s="150" t="str" cm="1">
        <f t="array" ref="Z17">$Z$8</f>
        <v>J3</v>
      </c>
      <c r="AA17" s="151" t="str" cm="1">
        <f t="array" ref="AA17">A14</f>
        <v>Bosnia y Herzegovina</v>
      </c>
      <c r="AB17" s="152"/>
      <c r="AC17" s="153">
        <v>0</v>
      </c>
      <c r="AD17" s="153">
        <v>1</v>
      </c>
      <c r="AE17" s="154"/>
      <c r="AF17" s="155" t="str" cm="1">
        <f t="array" ref="AF17">A15</f>
        <v>Catar</v>
      </c>
      <c r="AG17" s="104" cm="1">
        <f t="array" ref="AG17">IF(NOT(OR(ISBLANK(AC17),ISBLANK(AD17))),1,0)</f>
        <v>1</v>
      </c>
      <c r="AH17" s="105">
        <v>52</v>
      </c>
      <c r="AI17" s="202" t="str" cm="1">
        <f t="array" ref="AI17">AJ17&amp;$B$12</f>
        <v>4B</v>
      </c>
      <c r="AJ17" s="210">
        <v>4</v>
      </c>
      <c r="AK17" s="211"/>
      <c r="AL17" s="212" t="str" cm="1">
        <f t="array" ref="AL17">IFERROR(INDEX($BD$6:$BD$53,MATCH(AI17,$BN$6:$BN$53,0)),"")</f>
        <v>Suiza</v>
      </c>
      <c r="AM17" s="213" cm="1">
        <f t="array" ref="AM17">INDEX($BE$6:$BN$53,MATCH($AL17,$BD$6:$BD$53,0),MATCH(AM$5,$BE$5:$BN$5,0))</f>
        <v>5</v>
      </c>
      <c r="AN17" s="214" cm="1">
        <f t="array" ref="AN17">INDEX($BE$6:$BN$53,MATCH($AL17,$BD$6:$BD$53,0),MATCH(AN$5,$BE$5:$BN$5,0))</f>
        <v>3</v>
      </c>
      <c r="AO17" s="214" cm="1">
        <f t="array" ref="AO17">INDEX($BE$6:$BN$53,MATCH($AL17,$BD$6:$BD$53,0),MATCH(AO$5,$BE$5:$BN$5,0))</f>
        <v>1</v>
      </c>
      <c r="AP17" s="214" cm="1">
        <f t="array" ref="AP17">INDEX($BE$6:$BN$53,MATCH($AL17,$BD$6:$BD$53,0),MATCH(AP$5,$BE$5:$BN$5,0))</f>
        <v>2</v>
      </c>
      <c r="AQ17" s="214" cm="1">
        <f t="array" ref="AQ17">INDEX($BE$6:$BN$53,MATCH($AL17,$BD$6:$BD$53,0),MATCH(AQ$5,$BE$5:$BN$5,0))</f>
        <v>0</v>
      </c>
      <c r="AR17" s="214" cm="1">
        <f t="array" ref="AR17">INDEX($BE$6:$BN$53,MATCH($AL17,$BD$6:$BD$53,0),MATCH(AR$5,$BE$5:$BN$5,0))</f>
        <v>5</v>
      </c>
      <c r="AS17" s="214" cm="1">
        <f t="array" ref="AS17">INDEX($BE$6:$BN$53,MATCH($AL17,$BD$6:$BD$53,0),MATCH(AS$5,$BE$5:$BN$5,0))</f>
        <v>3</v>
      </c>
      <c r="AT17" s="215" cm="1">
        <f t="array" ref="AT17">INDEX($BE$6:$BN$53,MATCH($AL17,$BD$6:$BD$53,0),MATCH(AT$5,$BE$5:$BN$5,0))</f>
        <v>2</v>
      </c>
      <c r="AU17" s="206" cm="1">
        <f t="array" ref="AU17">INDEX($DL$6:$DL$53,MATCH(AI17,$DP$6:$DP$53,0))</f>
        <v>4</v>
      </c>
      <c r="AV17" s="134" t="str" cm="1">
        <f t="array" ref="AV17">INDEX($BD$6:$BD$53,MATCH(AI17,$BM$6:$BM$53,0))</f>
        <v>Suiza</v>
      </c>
      <c r="AW17" s="135"/>
      <c r="AX17" s="136"/>
      <c r="AY17" s="162" t="str" cm="1">
        <f t="array" ref="AY17">A16</f>
        <v>Suiza</v>
      </c>
      <c r="AZ17" s="163"/>
      <c r="BA17" s="125"/>
      <c r="BB17" s="77"/>
      <c r="BC17" s="112" t="s">
        <v>130</v>
      </c>
      <c r="BD17" s="112" t="s">
        <v>137</v>
      </c>
      <c r="BE17" s="139" cm="1">
        <f t="array" ref="BE17">BG17*3+BH17+IF($AZ$3="No",0,INDEX($AZ$6:$AZ$97,MATCH(BD17,$AY$6:$AY$97,0)))</f>
        <v>3</v>
      </c>
      <c r="BF17" s="139" cm="1">
        <f t="array" ref="BF17">BG17+BH17+BI17</f>
        <v>3</v>
      </c>
      <c r="BG17" s="139" cm="1">
        <f t="array" ref="BG17">COUNTIFS($AA$4:$AA$97,BD17,$D$4:$D$97,"Local")+COUNTIFS($AF$4:$AF$97,BD17,$D$4:$D$97,"Visitante")</f>
        <v>1</v>
      </c>
      <c r="BH17" s="139" cm="1">
        <f t="array" ref="BH17">COUNTIFS($AA$4:$AA$97,BD17,$D$4:$D$97,"Empate")+COUNTIFS($AF$4:$AF$97,BD17,$D$4:$D$97,"Empate")</f>
        <v>0</v>
      </c>
      <c r="BI17" s="139" cm="1">
        <f t="array" ref="BI17">COUNTIFS($AF$4:$AF$97,BD17,$D$4:$D$97,"Local")+COUNTIFS($AA$4:$AA$97,BD17,$D$4:$D$97,"Visitante")</f>
        <v>2</v>
      </c>
      <c r="BJ17" s="139" cm="1">
        <f t="array" ref="BJ17">SUMIFS($AC$4:$AC$97,$AA$4:$AA$97,BD17,$D$4:$D$97,"&lt;&gt;"&amp;"Pendiente",$AC$4:$AC$97,"&lt;&gt;"&amp;"",$AD$4:$AD$97,"&lt;&gt;"&amp;"")+SUMIFS($AD$4:$AD$97,$AF$4:$AF$97,BD17,$D$4:$D$97,"&lt;&gt;"&amp;"Pendiente",$AC$4:$AC$97,"&lt;&gt;"&amp;"",$AD$4:$AD$97,"&lt;&gt;"&amp;"")</f>
        <v>3</v>
      </c>
      <c r="BK17" s="139" cm="1">
        <f t="array" ref="BK17">SUMIFS($AC$4:$AC$97,$AF$4:$AF$97,BD17,$D$4:$D$97,"&lt;&gt;"&amp;"Pendiente",$AC$4:$AC$97,"&lt;&gt;"&amp;"",$AD$4:$AD$97,"&lt;&gt;"&amp;"")+SUMIFS($AD$4:$AD$97,$AA$4:$AA$97,BD17,$D$4:$D$97,"&lt;&gt;"&amp;"Pendiente",$AC$4:$AC$97,"&lt;&gt;"&amp;"",$AD$4:$AD$97,"&lt;&gt;"&amp;"")</f>
        <v>7</v>
      </c>
      <c r="BL17" s="139" cm="1">
        <f t="array" ref="BL17">BJ17-BK17</f>
        <v>-4</v>
      </c>
      <c r="BM17" s="126" t="str" cm="1">
        <f t="array" ref="BM17">DD17&amp;BC17</f>
        <v>4C</v>
      </c>
      <c r="BN17" s="126" t="str" cm="1">
        <f t="array" ref="BN17">DH17&amp;BC17</f>
        <v>4C</v>
      </c>
      <c r="BO17" s="139" cm="1">
        <f t="array" ref="BO17">IF(AND($AJ$99=144,BF17&gt;=1),1,0)</f>
        <v>0</v>
      </c>
      <c r="BP17" s="139">
        <v>1</v>
      </c>
      <c r="BQ17" s="112" t="s">
        <v>113</v>
      </c>
      <c r="BR17" s="139" cm="1">
        <f t="array" ref="BR17">IF($BQ17="-","-",BE17)</f>
        <v>3</v>
      </c>
      <c r="BS17" s="139">
        <v>1</v>
      </c>
      <c r="BT17" s="112" t="s">
        <v>113</v>
      </c>
      <c r="BU17" s="139" cm="1">
        <f t="array" ref="BU17">IF($BT17="-","-",COUNTIFS($AA$4:$AA$97,$BD17,$D$4:$D$97,"Local",$F$4:$F$97,$BT17)+COUNTIFS($AF$4:$AF$97,$BD17,$D$4:$D$97,"Visitante",$E$4:$E$97,$BT17))</f>
        <v>1</v>
      </c>
      <c r="BV17" s="139" cm="1">
        <f t="array" ref="BV17">IF($BT17="-","-",COUNTIFS($AA$4:$AA$97,$BD17,$D$4:$D$97,"Empate",$F$4:$F$97,$BT17)+COUNTIFS($AF$4:$AF$97,$BD17,$D$4:$D$97,"Empate",$E$4:$E$97,$BT17))</f>
        <v>0</v>
      </c>
      <c r="BW17" s="139" cm="1">
        <f t="array" ref="BW17">IF($BT17="-","-",COUNTIFS($AA$4:$AA$97,$BD17,$D$4:$D$97,"Visitante",$F$4:$F$97,$BT17)+COUNTIFS($AF$4:$AF$97,$BD17,$D$4:$D$97,"Local",$E$4:$E$97,$BT17))</f>
        <v>2</v>
      </c>
      <c r="BX17" s="139" cm="1">
        <f t="array" ref="BX17">IF($BT17="-","-",BU17*3+BV17)</f>
        <v>3</v>
      </c>
      <c r="BY17" s="139">
        <v>1</v>
      </c>
      <c r="BZ17" s="112" t="s">
        <v>113</v>
      </c>
      <c r="CA17" s="139" cm="1">
        <f t="array" ref="CA17">IF($BZ17="-","-",SUMIFS($AC$4:$AC$97,$AA$4:$AA$97,$BD17,$I$4:$I$97,$BZ17)+SUMIFS($AD$4:$AD$97,$AF$4:$AF$97,$BD17,$H$4:$H$97,$BZ17))</f>
        <v>3</v>
      </c>
      <c r="CB17" s="139" cm="1">
        <f t="array" ref="CB17">IF($BZ17="-","-",SUMIFS($AD$4:$AD$97,$AA$4:$AA$97,$BD17,$I$4:$I$97,$BZ17)+SUMIFS($AC$4:$AC$97,$AF$4:$AF$97,$BD17,$H$4:$H$97,$BZ17))</f>
        <v>7</v>
      </c>
      <c r="CC17" s="139" cm="1">
        <f t="array" ref="CC17">IF($BZ17="-","-",CA17-CB17)</f>
        <v>-4</v>
      </c>
      <c r="CD17" s="139">
        <v>1</v>
      </c>
      <c r="CE17" s="112" t="s">
        <v>113</v>
      </c>
      <c r="CF17" s="139" cm="1">
        <f t="array" ref="CF17">IF($CE17="-","-",SUMIFS($AC$4:$AC$97,$AA$4:$AA$97,$BD17,$L$4:$L$97,$CE17)+SUMIFS($AD$4:$AD$97,$AF$4:$AF$97,$BD17,$K$4:$K$97,$CE17))</f>
        <v>3</v>
      </c>
      <c r="CG17" s="139">
        <v>1</v>
      </c>
      <c r="CH17" s="112" t="s">
        <v>113</v>
      </c>
      <c r="CI17" s="139" cm="1">
        <f t="array" ref="CI17">IF($CH17="-","-",COUNTIFS($AA$4:$AA$97,$BD17,$D$4:$D$97,"Local",$O$4:$O$97,$CH17)+COUNTIFS($AF$4:$AF$97,$BD17,$D$4:$D$97,"Visitante",$N$4:$N$97,$CH17))</f>
        <v>1</v>
      </c>
      <c r="CJ17" s="139" cm="1">
        <f t="array" ref="CJ17">IF($CH17="-","-",COUNTIFS($AA$4:$AA$97,$BD17,$D$4:$D$97,"Empate",$O$4:$O$97,$CH17)+COUNTIFS($AF$4:$AF$97,$BD17,$D$4:$D$97,"Empate",$N$4:$N$97,$CH17))</f>
        <v>0</v>
      </c>
      <c r="CK17" s="139" cm="1">
        <f t="array" ref="CK17">IF($CH17="-","-",COUNTIFS($AA$4:$AA$97,$BD17,$D$4:$D$97,"Visitante",$O$4:$O$97,$CH17)+COUNTIFS($AF$4:$AF$97,$BD17,$D$4:$D$97,"Local",$N$4:$N$97,$CH17))</f>
        <v>2</v>
      </c>
      <c r="CL17" s="139" cm="1">
        <f t="array" ref="CL17">IF($CH17="-","-",CI17*3+CJ17)</f>
        <v>3</v>
      </c>
      <c r="CM17" s="139">
        <v>1</v>
      </c>
      <c r="CN17" s="112" t="s">
        <v>113</v>
      </c>
      <c r="CO17" s="139" cm="1">
        <f t="array" ref="CO17">IF($CN17="-","-",SUMIFS($AC$4:$AC$97,$AA$4:$AA$97,$BD17,$R$4:$R$97,$CN17)+SUMIFS($AD$4:$AD$97,$AF$4:$AF$97,$BD17,$Q$4:$Q$97,$CN17))</f>
        <v>3</v>
      </c>
      <c r="CP17" s="139" cm="1">
        <f t="array" ref="CP17">IF($CN17="-","-",SUMIFS($AD$4:$AD$97,$AA$4:$AA$97,$BD17,$R$4:$R$97,$CN17)+SUMIFS($AC$4:$AC$97,$AF$4:$AF$97,$BD17,$Q$4:$Q$97,$CN17))</f>
        <v>7</v>
      </c>
      <c r="CQ17" s="139" cm="1">
        <f t="array" ref="CQ17">IF($CN17="-","-",CO17-CP17)</f>
        <v>-4</v>
      </c>
      <c r="CR17" s="139">
        <v>1</v>
      </c>
      <c r="CS17" s="112" t="s">
        <v>113</v>
      </c>
      <c r="CT17" s="139" cm="1">
        <f t="array" ref="CT17">IF($CS17="-","-",SUMIFS($AC$4:$AC$97,$AA$4:$AA$97,$BD17,$U$4:$U$97,$CS17)+SUMIFS($AD$4:$AD$97,$AF$4:$AF$97,$BD17,$T$4:$T$97,$CS17))</f>
        <v>3</v>
      </c>
      <c r="CU17" s="139">
        <v>1</v>
      </c>
      <c r="CV17" s="112" t="s">
        <v>113</v>
      </c>
      <c r="CW17" s="139" cm="1">
        <f t="array" ref="CW17">IF(CV17="-","-",BL17)</f>
        <v>-4</v>
      </c>
      <c r="CX17" s="139">
        <v>1</v>
      </c>
      <c r="CY17" s="112" t="s">
        <v>113</v>
      </c>
      <c r="CZ17" s="139" cm="1">
        <f t="array" ref="CZ17">IF(CY17="-","-",BJ17)</f>
        <v>3</v>
      </c>
      <c r="DA17" s="139">
        <v>1</v>
      </c>
      <c r="DB17" s="112" t="s">
        <v>113</v>
      </c>
      <c r="DC17" s="139">
        <v>4</v>
      </c>
      <c r="DD17" s="139">
        <v>4</v>
      </c>
      <c r="DE17" s="126"/>
      <c r="DF17" s="139" cm="1">
        <f t="array" ref="DF17">IF(OR(INDEX($AW$6:$AW$97,MATCH($BD17,$AV$6:$AV$97,0))="",DB17="-"),DD17,INDEX($AW$6:$AW$97,MATCH($BD17,$AV$6:$AV$97,0))+DD17/1000)</f>
        <v>4</v>
      </c>
      <c r="DG17" s="139">
        <v>3</v>
      </c>
      <c r="DH17" s="139">
        <v>4</v>
      </c>
      <c r="DI17" s="126"/>
      <c r="DJ17" s="139" cm="1">
        <f t="array" ref="DJ17">INDEX($DA$6:$DA$53,MATCH($DQ17,$BD$6:$BD$53,0))</f>
        <v>1</v>
      </c>
      <c r="DK17" s="139" cm="1">
        <f t="array" ref="DK17">SUMIF($BC$6:$BC$53,BC17,$BF$6:$BF$53)</f>
        <v>12</v>
      </c>
      <c r="DL17" s="139" cm="1">
        <f t="array" ref="DL17">IF(OR(DK17=12,$AJ$99=144),COUNTIFS($DJ$6:$DJ$53,DJ17,$BC$6:$BC$53,BC17),1)</f>
        <v>4</v>
      </c>
      <c r="DM17" s="126" t="str" cm="1">
        <f t="array" ref="DM17">DJ17&amp;"."&amp;DL17</f>
        <v>1.4</v>
      </c>
      <c r="DN17" s="139">
        <v>1</v>
      </c>
      <c r="DO17" s="126"/>
      <c r="DP17" s="112" t="s">
        <v>138</v>
      </c>
      <c r="DQ17" s="126" t="str" cm="1">
        <f t="array" ref="DQ17">INDEX($BD$6:$BD$53,MATCH(DP17,$BM$6:$BM$53,0))</f>
        <v>Escocia</v>
      </c>
      <c r="DR17" s="77"/>
      <c r="DS17" s="77"/>
      <c r="DT17" s="78"/>
      <c r="DU17" s="12"/>
    </row>
    <row r="18" spans="1:125" ht="16" customHeight="1" x14ac:dyDescent="0.2">
      <c r="A18" s="68"/>
      <c r="B18" s="68"/>
      <c r="C18" s="68"/>
      <c r="D18" s="68"/>
      <c r="E18" s="68"/>
      <c r="F18" s="68"/>
      <c r="G18" s="68"/>
      <c r="H18" s="68"/>
      <c r="I18" s="68"/>
      <c r="J18" s="68"/>
      <c r="K18" s="68"/>
      <c r="L18" s="68"/>
      <c r="M18" s="68"/>
      <c r="N18" s="68"/>
      <c r="O18" s="68"/>
      <c r="P18" s="68"/>
      <c r="Q18" s="68"/>
      <c r="R18" s="68"/>
      <c r="S18" s="68"/>
      <c r="T18" s="68"/>
      <c r="U18" s="68"/>
      <c r="V18" s="69"/>
      <c r="W18" s="164"/>
      <c r="X18" s="165"/>
      <c r="Y18" s="164"/>
      <c r="Z18" s="166"/>
      <c r="AA18" s="167"/>
      <c r="AB18" s="168"/>
      <c r="AC18" s="169"/>
      <c r="AD18" s="169"/>
      <c r="AE18" s="168"/>
      <c r="AF18" s="170"/>
      <c r="AG18" s="216"/>
      <c r="AH18" s="172"/>
      <c r="AI18" s="217"/>
      <c r="AJ18" s="218"/>
      <c r="AK18" s="219"/>
      <c r="AL18" s="220"/>
      <c r="AM18" s="221"/>
      <c r="AN18" s="218"/>
      <c r="AO18" s="218"/>
      <c r="AP18" s="218"/>
      <c r="AQ18" s="218"/>
      <c r="AR18" s="218"/>
      <c r="AS18" s="218"/>
      <c r="AT18" s="218"/>
      <c r="AU18" s="177"/>
      <c r="AV18" s="178"/>
      <c r="AW18" s="135"/>
      <c r="AX18" s="179"/>
      <c r="AY18" s="180"/>
      <c r="AZ18" s="181"/>
      <c r="BA18" s="8"/>
      <c r="BB18" s="77"/>
      <c r="BC18" s="112" t="s">
        <v>139</v>
      </c>
      <c r="BD18" s="112" t="s">
        <v>140</v>
      </c>
      <c r="BE18" s="139" cm="1">
        <f t="array" ref="BE18">BG18*3+BH18+IF($AZ$3="No",0,INDEX($AZ$6:$AZ$97,MATCH(BD18,$AY$6:$AY$97,0)))</f>
        <v>3</v>
      </c>
      <c r="BF18" s="139" cm="1">
        <f t="array" ref="BF18">BG18+BH18+BI18</f>
        <v>3</v>
      </c>
      <c r="BG18" s="139" cm="1">
        <f t="array" ref="BG18">COUNTIFS($AA$4:$AA$97,BD18,$D$4:$D$97,"Local")+COUNTIFS($AF$4:$AF$97,BD18,$D$4:$D$97,"Visitante")</f>
        <v>1</v>
      </c>
      <c r="BH18" s="139" cm="1">
        <f t="array" ref="BH18">COUNTIFS($AA$4:$AA$97,BD18,$D$4:$D$97,"Empate")+COUNTIFS($AF$4:$AF$97,BD18,$D$4:$D$97,"Empate")</f>
        <v>0</v>
      </c>
      <c r="BI18" s="139" cm="1">
        <f t="array" ref="BI18">COUNTIFS($AF$4:$AF$97,BD18,$D$4:$D$97,"Local")+COUNTIFS($AA$4:$AA$97,BD18,$D$4:$D$97,"Visitante")</f>
        <v>2</v>
      </c>
      <c r="BJ18" s="139" cm="1">
        <f t="array" ref="BJ18">SUMIFS($AC$4:$AC$97,$AA$4:$AA$97,BD18,$D$4:$D$97,"&lt;&gt;"&amp;"Pendiente",$AC$4:$AC$97,"&lt;&gt;"&amp;"",$AD$4:$AD$97,"&lt;&gt;"&amp;"")+SUMIFS($AD$4:$AD$97,$AF$4:$AF$97,BD18,$D$4:$D$97,"&lt;&gt;"&amp;"Pendiente",$AC$4:$AC$97,"&lt;&gt;"&amp;"",$AD$4:$AD$97,"&lt;&gt;"&amp;"")</f>
        <v>4</v>
      </c>
      <c r="BK18" s="139" cm="1">
        <f t="array" ref="BK18">SUMIFS($AC$4:$AC$97,$AF$4:$AF$97,BD18,$D$4:$D$97,"&lt;&gt;"&amp;"Pendiente",$AC$4:$AC$97,"&lt;&gt;"&amp;"",$AD$4:$AD$97,"&lt;&gt;"&amp;"")+SUMIFS($AD$4:$AD$97,$AA$4:$AA$97,BD18,$D$4:$D$97,"&lt;&gt;"&amp;"Pendiente",$AC$4:$AC$97,"&lt;&gt;"&amp;"",$AD$4:$AD$97,"&lt;&gt;"&amp;"")</f>
        <v>5</v>
      </c>
      <c r="BL18" s="139" cm="1">
        <f t="array" ref="BL18">BJ18-BK18</f>
        <v>-1</v>
      </c>
      <c r="BM18" s="126" t="str" cm="1">
        <f t="array" ref="BM18">DD18&amp;BC18</f>
        <v>1D</v>
      </c>
      <c r="BN18" s="126" t="str" cm="1">
        <f t="array" ref="BN18">DH18&amp;BC18</f>
        <v>1D</v>
      </c>
      <c r="BO18" s="139" cm="1">
        <f t="array" ref="BO18">IF(AND($AJ$99=144,BF18&gt;=1),1,0)</f>
        <v>0</v>
      </c>
      <c r="BP18" s="139">
        <v>1</v>
      </c>
      <c r="BQ18" s="112" t="s">
        <v>113</v>
      </c>
      <c r="BR18" s="139" cm="1">
        <f t="array" ref="BR18">IF($BQ18="-","-",BE18)</f>
        <v>3</v>
      </c>
      <c r="BS18" s="139">
        <v>1</v>
      </c>
      <c r="BT18" s="112" t="s">
        <v>113</v>
      </c>
      <c r="BU18" s="139" cm="1">
        <f t="array" ref="BU18">IF($BT18="-","-",COUNTIFS($AA$4:$AA$97,$BD18,$D$4:$D$97,"Local",$F$4:$F$97,$BT18)+COUNTIFS($AF$4:$AF$97,$BD18,$D$4:$D$97,"Visitante",$E$4:$E$97,$BT18))</f>
        <v>1</v>
      </c>
      <c r="BV18" s="139" cm="1">
        <f t="array" ref="BV18">IF($BT18="-","-",COUNTIFS($AA$4:$AA$97,$BD18,$D$4:$D$97,"Empate",$F$4:$F$97,$BT18)+COUNTIFS($AF$4:$AF$97,$BD18,$D$4:$D$97,"Empate",$E$4:$E$97,$BT18))</f>
        <v>0</v>
      </c>
      <c r="BW18" s="139" cm="1">
        <f t="array" ref="BW18">IF($BT18="-","-",COUNTIFS($AA$4:$AA$97,$BD18,$D$4:$D$97,"Visitante",$F$4:$F$97,$BT18)+COUNTIFS($AF$4:$AF$97,$BD18,$D$4:$D$97,"Local",$E$4:$E$97,$BT18))</f>
        <v>2</v>
      </c>
      <c r="BX18" s="139" cm="1">
        <f t="array" ref="BX18">IF($BT18="-","-",BU18*3+BV18)</f>
        <v>3</v>
      </c>
      <c r="BY18" s="139">
        <v>1</v>
      </c>
      <c r="BZ18" s="112" t="s">
        <v>113</v>
      </c>
      <c r="CA18" s="139" cm="1">
        <f t="array" ref="CA18">IF($BZ18="-","-",SUMIFS($AC$4:$AC$97,$AA$4:$AA$97,$BD18,$I$4:$I$97,$BZ18)+SUMIFS($AD$4:$AD$97,$AF$4:$AF$97,$BD18,$H$4:$H$97,$BZ18))</f>
        <v>4</v>
      </c>
      <c r="CB18" s="139" cm="1">
        <f t="array" ref="CB18">IF($BZ18="-","-",SUMIFS($AD$4:$AD$97,$AA$4:$AA$97,$BD18,$I$4:$I$97,$BZ18)+SUMIFS($AC$4:$AC$97,$AF$4:$AF$97,$BD18,$H$4:$H$97,$BZ18))</f>
        <v>5</v>
      </c>
      <c r="CC18" s="139" cm="1">
        <f t="array" ref="CC18">IF($BZ18="-","-",CA18-CB18)</f>
        <v>-1</v>
      </c>
      <c r="CD18" s="139">
        <v>1</v>
      </c>
      <c r="CE18" s="112" t="s">
        <v>113</v>
      </c>
      <c r="CF18" s="139" cm="1">
        <f t="array" ref="CF18">IF($CE18="-","-",SUMIFS($AC$4:$AC$97,$AA$4:$AA$97,$BD18,$L$4:$L$97,$CE18)+SUMIFS($AD$4:$AD$97,$AF$4:$AF$97,$BD18,$K$4:$K$97,$CE18))</f>
        <v>4</v>
      </c>
      <c r="CG18" s="139">
        <v>1</v>
      </c>
      <c r="CH18" s="112" t="s">
        <v>113</v>
      </c>
      <c r="CI18" s="139" cm="1">
        <f t="array" ref="CI18">IF($CH18="-","-",COUNTIFS($AA$4:$AA$97,$BD18,$D$4:$D$97,"Local",$O$4:$O$97,$CH18)+COUNTIFS($AF$4:$AF$97,$BD18,$D$4:$D$97,"Visitante",$N$4:$N$97,$CH18))</f>
        <v>1</v>
      </c>
      <c r="CJ18" s="139" cm="1">
        <f t="array" ref="CJ18">IF($CH18="-","-",COUNTIFS($AA$4:$AA$97,$BD18,$D$4:$D$97,"Empate",$O$4:$O$97,$CH18)+COUNTIFS($AF$4:$AF$97,$BD18,$D$4:$D$97,"Empate",$N$4:$N$97,$CH18))</f>
        <v>0</v>
      </c>
      <c r="CK18" s="139" cm="1">
        <f t="array" ref="CK18">IF($CH18="-","-",COUNTIFS($AA$4:$AA$97,$BD18,$D$4:$D$97,"Visitante",$O$4:$O$97,$CH18)+COUNTIFS($AF$4:$AF$97,$BD18,$D$4:$D$97,"Local",$N$4:$N$97,$CH18))</f>
        <v>2</v>
      </c>
      <c r="CL18" s="139" cm="1">
        <f t="array" ref="CL18">IF($CH18="-","-",CI18*3+CJ18)</f>
        <v>3</v>
      </c>
      <c r="CM18" s="139">
        <v>1</v>
      </c>
      <c r="CN18" s="112" t="s">
        <v>113</v>
      </c>
      <c r="CO18" s="139" cm="1">
        <f t="array" ref="CO18">IF($CN18="-","-",SUMIFS($AC$4:$AC$97,$AA$4:$AA$97,$BD18,$R$4:$R$97,$CN18)+SUMIFS($AD$4:$AD$97,$AF$4:$AF$97,$BD18,$Q$4:$Q$97,$CN18))</f>
        <v>4</v>
      </c>
      <c r="CP18" s="139" cm="1">
        <f t="array" ref="CP18">IF($CN18="-","-",SUMIFS($AD$4:$AD$97,$AA$4:$AA$97,$BD18,$R$4:$R$97,$CN18)+SUMIFS($AC$4:$AC$97,$AF$4:$AF$97,$BD18,$Q$4:$Q$97,$CN18))</f>
        <v>5</v>
      </c>
      <c r="CQ18" s="139" cm="1">
        <f t="array" ref="CQ18">IF($CN18="-","-",CO18-CP18)</f>
        <v>-1</v>
      </c>
      <c r="CR18" s="139">
        <v>1</v>
      </c>
      <c r="CS18" s="112" t="s">
        <v>113</v>
      </c>
      <c r="CT18" s="139" cm="1">
        <f t="array" ref="CT18">IF($CS18="-","-",SUMIFS($AC$4:$AC$97,$AA$4:$AA$97,$BD18,$U$4:$U$97,$CS18)+SUMIFS($AD$4:$AD$97,$AF$4:$AF$97,$BD18,$T$4:$T$97,$CS18))</f>
        <v>4</v>
      </c>
      <c r="CU18" s="139">
        <v>1</v>
      </c>
      <c r="CV18" s="112" t="s">
        <v>113</v>
      </c>
      <c r="CW18" s="139" cm="1">
        <f t="array" ref="CW18">IF(CV18="-","-",BL18)</f>
        <v>-1</v>
      </c>
      <c r="CX18" s="139">
        <v>1</v>
      </c>
      <c r="CY18" s="112" t="s">
        <v>113</v>
      </c>
      <c r="CZ18" s="139" cm="1">
        <f t="array" ref="CZ18">IF(CY18="-","-",BJ18)</f>
        <v>4</v>
      </c>
      <c r="DA18" s="139">
        <v>1</v>
      </c>
      <c r="DB18" s="112" t="s">
        <v>113</v>
      </c>
      <c r="DC18" s="139">
        <v>1</v>
      </c>
      <c r="DD18" s="139">
        <v>1</v>
      </c>
      <c r="DE18" s="126"/>
      <c r="DF18" s="139" cm="1">
        <f t="array" ref="DF18">IF(OR(INDEX($AW$6:$AW$97,MATCH($BD18,$AV$6:$AV$97,0))="",DB18="-"),DD18,INDEX($AW$6:$AW$97,MATCH($BD18,$AV$6:$AV$97,0))+DD18/1000)</f>
        <v>1</v>
      </c>
      <c r="DG18" s="139">
        <v>0</v>
      </c>
      <c r="DH18" s="139">
        <v>1</v>
      </c>
      <c r="DI18" s="126"/>
      <c r="DJ18" s="139" cm="1">
        <f t="array" ref="DJ18">INDEX($DA$6:$DA$53,MATCH($DQ18,$BD$6:$BD$53,0))</f>
        <v>1</v>
      </c>
      <c r="DK18" s="139" cm="1">
        <f t="array" ref="DK18">SUMIF($BC$6:$BC$53,BC18,$BF$6:$BF$53)</f>
        <v>12</v>
      </c>
      <c r="DL18" s="139" cm="1">
        <f t="array" ref="DL18">IF(OR(DK18=12,$AJ$99=144),COUNTIFS($DJ$6:$DJ$53,DJ18,$BC$6:$BC$53,BC18),1)</f>
        <v>4</v>
      </c>
      <c r="DM18" s="126" t="str" cm="1">
        <f t="array" ref="DM18">DJ18&amp;"."&amp;DL18</f>
        <v>1.4</v>
      </c>
      <c r="DN18" s="139">
        <v>1</v>
      </c>
      <c r="DO18" s="126"/>
      <c r="DP18" s="112" t="s">
        <v>141</v>
      </c>
      <c r="DQ18" s="126" t="str" cm="1">
        <f t="array" ref="DQ18">INDEX($BD$6:$BD$53,MATCH(DP18,$BM$6:$BM$53,0))</f>
        <v>Estados Unidos</v>
      </c>
      <c r="DR18" s="77"/>
      <c r="DS18" s="77"/>
      <c r="DT18" s="78"/>
      <c r="DU18" s="12"/>
    </row>
    <row r="19" spans="1:125" ht="16" customHeight="1" x14ac:dyDescent="0.2">
      <c r="A19" s="68"/>
      <c r="B19" s="68"/>
      <c r="C19" s="68"/>
      <c r="D19" s="68"/>
      <c r="E19" s="68"/>
      <c r="F19" s="68"/>
      <c r="G19" s="68"/>
      <c r="H19" s="68"/>
      <c r="I19" s="68"/>
      <c r="J19" s="68"/>
      <c r="K19" s="68"/>
      <c r="L19" s="68"/>
      <c r="M19" s="68"/>
      <c r="N19" s="68"/>
      <c r="O19" s="68"/>
      <c r="P19" s="68"/>
      <c r="Q19" s="68"/>
      <c r="R19" s="68"/>
      <c r="S19" s="68"/>
      <c r="T19" s="68"/>
      <c r="U19" s="68"/>
      <c r="V19" s="80"/>
      <c r="W19" s="81"/>
      <c r="X19" s="182" t="str" cm="1">
        <f t="array" ref="X19">X3</f>
        <v>Fecha</v>
      </c>
      <c r="Y19" s="182" t="str" cm="1">
        <f t="array" ref="Y19">Y3</f>
        <v>Hora</v>
      </c>
      <c r="Z19" s="107" t="str" cm="1">
        <f t="array" ref="Z19">Z3</f>
        <v>Jor.</v>
      </c>
      <c r="AA19" s="183" t="str" cm="1">
        <f t="array" ref="AA19">AA3</f>
        <v>Casa</v>
      </c>
      <c r="AB19" s="85"/>
      <c r="AC19" s="107" t="str" cm="1">
        <f t="array" ref="AC19">AC3</f>
        <v>Gol</v>
      </c>
      <c r="AD19" s="107" t="str" cm="1">
        <f t="array" ref="AD19">AD3</f>
        <v>Gol</v>
      </c>
      <c r="AE19" s="85"/>
      <c r="AF19" s="184" t="str" cm="1">
        <f t="array" ref="AF19">AF3</f>
        <v>Fuera</v>
      </c>
      <c r="AG19" s="185"/>
      <c r="AH19" s="172"/>
      <c r="AI19" s="73"/>
      <c r="AJ19" s="90"/>
      <c r="AK19" s="186"/>
      <c r="AL19" s="90"/>
      <c r="AM19" s="90"/>
      <c r="AN19" s="90"/>
      <c r="AO19" s="90"/>
      <c r="AP19" s="90"/>
      <c r="AQ19" s="90"/>
      <c r="AR19" s="90"/>
      <c r="AS19" s="90"/>
      <c r="AT19" s="90"/>
      <c r="AU19" s="187"/>
      <c r="AV19" s="74"/>
      <c r="AW19" s="188"/>
      <c r="AX19" s="189"/>
      <c r="AY19" s="190"/>
      <c r="AZ19" s="191"/>
      <c r="BA19" s="8"/>
      <c r="BB19" s="77"/>
      <c r="BC19" s="112" t="s">
        <v>139</v>
      </c>
      <c r="BD19" s="112" t="s">
        <v>142</v>
      </c>
      <c r="BE19" s="139" cm="1">
        <f t="array" ref="BE19">BG19*3+BH19+IF($AZ$3="No",0,INDEX($AZ$6:$AZ$97,MATCH(BD19,$AY$6:$AY$97,0)))</f>
        <v>7</v>
      </c>
      <c r="BF19" s="139" cm="1">
        <f t="array" ref="BF19">BG19+BH19+BI19</f>
        <v>3</v>
      </c>
      <c r="BG19" s="139" cm="1">
        <f t="array" ref="BG19">COUNTIFS($AA$4:$AA$97,BD19,$D$4:$D$97,"Local")+COUNTIFS($AF$4:$AF$97,BD19,$D$4:$D$97,"Visitante")</f>
        <v>2</v>
      </c>
      <c r="BH19" s="139" cm="1">
        <f t="array" ref="BH19">COUNTIFS($AA$4:$AA$97,BD19,$D$4:$D$97,"Empate")+COUNTIFS($AF$4:$AF$97,BD19,$D$4:$D$97,"Empate")</f>
        <v>1</v>
      </c>
      <c r="BI19" s="139" cm="1">
        <f t="array" ref="BI19">COUNTIFS($AF$4:$AF$97,BD19,$D$4:$D$97,"Local")+COUNTIFS($AA$4:$AA$97,BD19,$D$4:$D$97,"Visitante")</f>
        <v>0</v>
      </c>
      <c r="BJ19" s="139" cm="1">
        <f t="array" ref="BJ19">SUMIFS($AC$4:$AC$97,$AA$4:$AA$97,BD19,$D$4:$D$97,"&lt;&gt;"&amp;"Pendiente",$AC$4:$AC$97,"&lt;&gt;"&amp;"",$AD$4:$AD$97,"&lt;&gt;"&amp;"")+SUMIFS($AD$4:$AD$97,$AF$4:$AF$97,BD19,$D$4:$D$97,"&lt;&gt;"&amp;"Pendiente",$AC$4:$AC$97,"&lt;&gt;"&amp;"",$AD$4:$AD$97,"&lt;&gt;"&amp;"")</f>
        <v>4</v>
      </c>
      <c r="BK19" s="139" cm="1">
        <f t="array" ref="BK19">SUMIFS($AC$4:$AC$97,$AF$4:$AF$97,BD19,$D$4:$D$97,"&lt;&gt;"&amp;"Pendiente",$AC$4:$AC$97,"&lt;&gt;"&amp;"",$AD$4:$AD$97,"&lt;&gt;"&amp;"")+SUMIFS($AD$4:$AD$97,$AA$4:$AA$97,BD19,$D$4:$D$97,"&lt;&gt;"&amp;"Pendiente",$AC$4:$AC$97,"&lt;&gt;"&amp;"",$AD$4:$AD$97,"&lt;&gt;"&amp;"")</f>
        <v>2</v>
      </c>
      <c r="BL19" s="139" cm="1">
        <f t="array" ref="BL19">BJ19-BK19</f>
        <v>2</v>
      </c>
      <c r="BM19" s="126" t="str" cm="1">
        <f t="array" ref="BM19">DD19&amp;BC19</f>
        <v>2D</v>
      </c>
      <c r="BN19" s="126" t="str" cm="1">
        <f t="array" ref="BN19">DH19&amp;BC19</f>
        <v>2D</v>
      </c>
      <c r="BO19" s="139" cm="1">
        <f t="array" ref="BO19">IF(AND($AJ$99=144,BF19&gt;=1),1,0)</f>
        <v>0</v>
      </c>
      <c r="BP19" s="139">
        <v>1</v>
      </c>
      <c r="BQ19" s="112" t="s">
        <v>113</v>
      </c>
      <c r="BR19" s="139" cm="1">
        <f t="array" ref="BR19">IF($BQ19="-","-",BE19)</f>
        <v>7</v>
      </c>
      <c r="BS19" s="139">
        <v>1</v>
      </c>
      <c r="BT19" s="112" t="s">
        <v>113</v>
      </c>
      <c r="BU19" s="139" cm="1">
        <f t="array" ref="BU19">IF($BT19="-","-",COUNTIFS($AA$4:$AA$97,$BD19,$D$4:$D$97,"Local",$F$4:$F$97,$BT19)+COUNTIFS($AF$4:$AF$97,$BD19,$D$4:$D$97,"Visitante",$E$4:$E$97,$BT19))</f>
        <v>2</v>
      </c>
      <c r="BV19" s="139" cm="1">
        <f t="array" ref="BV19">IF($BT19="-","-",COUNTIFS($AA$4:$AA$97,$BD19,$D$4:$D$97,"Empate",$F$4:$F$97,$BT19)+COUNTIFS($AF$4:$AF$97,$BD19,$D$4:$D$97,"Empate",$E$4:$E$97,$BT19))</f>
        <v>1</v>
      </c>
      <c r="BW19" s="139" cm="1">
        <f t="array" ref="BW19">IF($BT19="-","-",COUNTIFS($AA$4:$AA$97,$BD19,$D$4:$D$97,"Visitante",$F$4:$F$97,$BT19)+COUNTIFS($AF$4:$AF$97,$BD19,$D$4:$D$97,"Local",$E$4:$E$97,$BT19))</f>
        <v>0</v>
      </c>
      <c r="BX19" s="139" cm="1">
        <f t="array" ref="BX19">IF($BT19="-","-",BU19*3+BV19)</f>
        <v>7</v>
      </c>
      <c r="BY19" s="139">
        <v>1</v>
      </c>
      <c r="BZ19" s="112" t="s">
        <v>113</v>
      </c>
      <c r="CA19" s="139" cm="1">
        <f t="array" ref="CA19">IF($BZ19="-","-",SUMIFS($AC$4:$AC$97,$AA$4:$AA$97,$BD19,$I$4:$I$97,$BZ19)+SUMIFS($AD$4:$AD$97,$AF$4:$AF$97,$BD19,$H$4:$H$97,$BZ19))</f>
        <v>4</v>
      </c>
      <c r="CB19" s="139" cm="1">
        <f t="array" ref="CB19">IF($BZ19="-","-",SUMIFS($AD$4:$AD$97,$AA$4:$AA$97,$BD19,$I$4:$I$97,$BZ19)+SUMIFS($AC$4:$AC$97,$AF$4:$AF$97,$BD19,$H$4:$H$97,$BZ19))</f>
        <v>2</v>
      </c>
      <c r="CC19" s="139" cm="1">
        <f t="array" ref="CC19">IF($BZ19="-","-",CA19-CB19)</f>
        <v>2</v>
      </c>
      <c r="CD19" s="139">
        <v>1</v>
      </c>
      <c r="CE19" s="112" t="s">
        <v>113</v>
      </c>
      <c r="CF19" s="139" cm="1">
        <f t="array" ref="CF19">IF($CE19="-","-",SUMIFS($AC$4:$AC$97,$AA$4:$AA$97,$BD19,$L$4:$L$97,$CE19)+SUMIFS($AD$4:$AD$97,$AF$4:$AF$97,$BD19,$K$4:$K$97,$CE19))</f>
        <v>4</v>
      </c>
      <c r="CG19" s="139">
        <v>1</v>
      </c>
      <c r="CH19" s="112" t="s">
        <v>113</v>
      </c>
      <c r="CI19" s="139" cm="1">
        <f t="array" ref="CI19">IF($CH19="-","-",COUNTIFS($AA$4:$AA$97,$BD19,$D$4:$D$97,"Local",$O$4:$O$97,$CH19)+COUNTIFS($AF$4:$AF$97,$BD19,$D$4:$D$97,"Visitante",$N$4:$N$97,$CH19))</f>
        <v>2</v>
      </c>
      <c r="CJ19" s="139" cm="1">
        <f t="array" ref="CJ19">IF($CH19="-","-",COUNTIFS($AA$4:$AA$97,$BD19,$D$4:$D$97,"Empate",$O$4:$O$97,$CH19)+COUNTIFS($AF$4:$AF$97,$BD19,$D$4:$D$97,"Empate",$N$4:$N$97,$CH19))</f>
        <v>1</v>
      </c>
      <c r="CK19" s="139" cm="1">
        <f t="array" ref="CK19">IF($CH19="-","-",COUNTIFS($AA$4:$AA$97,$BD19,$D$4:$D$97,"Visitante",$O$4:$O$97,$CH19)+COUNTIFS($AF$4:$AF$97,$BD19,$D$4:$D$97,"Local",$N$4:$N$97,$CH19))</f>
        <v>0</v>
      </c>
      <c r="CL19" s="139" cm="1">
        <f t="array" ref="CL19">IF($CH19="-","-",CI19*3+CJ19)</f>
        <v>7</v>
      </c>
      <c r="CM19" s="139">
        <v>1</v>
      </c>
      <c r="CN19" s="112" t="s">
        <v>113</v>
      </c>
      <c r="CO19" s="139" cm="1">
        <f t="array" ref="CO19">IF($CN19="-","-",SUMIFS($AC$4:$AC$97,$AA$4:$AA$97,$BD19,$R$4:$R$97,$CN19)+SUMIFS($AD$4:$AD$97,$AF$4:$AF$97,$BD19,$Q$4:$Q$97,$CN19))</f>
        <v>4</v>
      </c>
      <c r="CP19" s="139" cm="1">
        <f t="array" ref="CP19">IF($CN19="-","-",SUMIFS($AD$4:$AD$97,$AA$4:$AA$97,$BD19,$R$4:$R$97,$CN19)+SUMIFS($AC$4:$AC$97,$AF$4:$AF$97,$BD19,$Q$4:$Q$97,$CN19))</f>
        <v>2</v>
      </c>
      <c r="CQ19" s="139" cm="1">
        <f t="array" ref="CQ19">IF($CN19="-","-",CO19-CP19)</f>
        <v>2</v>
      </c>
      <c r="CR19" s="139">
        <v>1</v>
      </c>
      <c r="CS19" s="112" t="s">
        <v>113</v>
      </c>
      <c r="CT19" s="139" cm="1">
        <f t="array" ref="CT19">IF($CS19="-","-",SUMIFS($AC$4:$AC$97,$AA$4:$AA$97,$BD19,$U$4:$U$97,$CS19)+SUMIFS($AD$4:$AD$97,$AF$4:$AF$97,$BD19,$T$4:$T$97,$CS19))</f>
        <v>4</v>
      </c>
      <c r="CU19" s="139">
        <v>1</v>
      </c>
      <c r="CV19" s="112" t="s">
        <v>113</v>
      </c>
      <c r="CW19" s="139" cm="1">
        <f t="array" ref="CW19">IF(CV19="-","-",BL19)</f>
        <v>2</v>
      </c>
      <c r="CX19" s="139">
        <v>1</v>
      </c>
      <c r="CY19" s="112" t="s">
        <v>113</v>
      </c>
      <c r="CZ19" s="139" cm="1">
        <f t="array" ref="CZ19">IF(CY19="-","-",BJ19)</f>
        <v>4</v>
      </c>
      <c r="DA19" s="139">
        <v>1</v>
      </c>
      <c r="DB19" s="112" t="s">
        <v>113</v>
      </c>
      <c r="DC19" s="139">
        <v>2</v>
      </c>
      <c r="DD19" s="139">
        <v>2</v>
      </c>
      <c r="DE19" s="126"/>
      <c r="DF19" s="139" cm="1">
        <f t="array" ref="DF19">IF(OR(INDEX($AW$6:$AW$97,MATCH($BD19,$AV$6:$AV$97,0))="",DB19="-"),DD19,INDEX($AW$6:$AW$97,MATCH($BD19,$AV$6:$AV$97,0))+DD19/1000)</f>
        <v>2</v>
      </c>
      <c r="DG19" s="139">
        <v>1</v>
      </c>
      <c r="DH19" s="139">
        <v>2</v>
      </c>
      <c r="DI19" s="126"/>
      <c r="DJ19" s="139" cm="1">
        <f t="array" ref="DJ19">INDEX($DA$6:$DA$53,MATCH($DQ19,$BD$6:$BD$53,0))</f>
        <v>1</v>
      </c>
      <c r="DK19" s="139" cm="1">
        <f t="array" ref="DK19">SUMIF($BC$6:$BC$53,BC19,$BF$6:$BF$53)</f>
        <v>12</v>
      </c>
      <c r="DL19" s="139" cm="1">
        <f t="array" ref="DL19">IF(OR(DK19=12,$AJ$99=144),COUNTIFS($DJ$6:$DJ$53,DJ19,$BC$6:$BC$53,BC19),1)</f>
        <v>4</v>
      </c>
      <c r="DM19" s="126" t="str" cm="1">
        <f t="array" ref="DM19">DJ19&amp;"."&amp;DL19</f>
        <v>1.4</v>
      </c>
      <c r="DN19" s="139">
        <v>1</v>
      </c>
      <c r="DO19" s="126"/>
      <c r="DP19" s="112" t="s">
        <v>143</v>
      </c>
      <c r="DQ19" s="126" t="str" cm="1">
        <f t="array" ref="DQ19">INDEX($BD$6:$BD$53,MATCH(DP19,$BM$6:$BM$53,0))</f>
        <v>Paraguay</v>
      </c>
      <c r="DR19" s="77"/>
      <c r="DS19" s="77"/>
      <c r="DT19" s="78"/>
      <c r="DU19" s="12"/>
    </row>
    <row r="20" spans="1:125" ht="16" customHeight="1" x14ac:dyDescent="0.2">
      <c r="A20" s="79" t="s">
        <v>45</v>
      </c>
      <c r="B20" s="79" t="s">
        <v>130</v>
      </c>
      <c r="C20" s="95">
        <v>4</v>
      </c>
      <c r="D20" s="68" t="str" cm="1">
        <f t="array" ref="D20">IF(OR(AC20="",AD20=""),"Pendiente",IF(AC20&gt;AD20,"Local",IF(AC20&lt;AD20,"Visitante","Empate")))</f>
        <v>Local</v>
      </c>
      <c r="E20" s="68" t="str" cm="1">
        <f t="array" ref="E20">IF(D20="Pendiente","-",INDEX($BT$6:$BT$53,MATCH($AA20,$BD$6:$BD$53,0)))</f>
        <v>P.1 (4)</v>
      </c>
      <c r="F20" s="68" t="str" cm="1">
        <f t="array" ref="F20">IF(D20="Pendiente","-",INDEX($BT$6:$BT$53,MATCH($AF20,$BD$6:$BD$53,0)))</f>
        <v>P.1 (4)</v>
      </c>
      <c r="G20" s="68"/>
      <c r="H20" s="68" t="str" cm="1">
        <f t="array" ref="H20">IF(D20="Pendiente","-",INDEX($BZ$6:$BZ$53,MATCH($AA20,$BD$6:$BD$53,0)))</f>
        <v>P.1 (4)</v>
      </c>
      <c r="I20" s="68" t="str" cm="1">
        <f t="array" ref="I20">IF(D20="Pendiente","-",INDEX($BZ$6:$BZ$53,MATCH($AF20,$BD$6:$BD$53,0)))</f>
        <v>P.1 (4)</v>
      </c>
      <c r="J20" s="68"/>
      <c r="K20" s="68" t="str" cm="1">
        <f t="array" ref="K20">IF(D20="Pendiente","-",INDEX($CE$6:$CE$53,MATCH($AA20,$BD$6:$BD$53,0)))</f>
        <v>P.1 (4)</v>
      </c>
      <c r="L20" s="68" t="str" cm="1">
        <f t="array" ref="L20">IF(D20="Pendiente","-",INDEX($CE$6:$CE$53,MATCH($AF20,$BD$6:$BD$53,0)))</f>
        <v>P.1 (4)</v>
      </c>
      <c r="M20" s="68"/>
      <c r="N20" s="68" t="str" cm="1">
        <f t="array" ref="N20">IF(D20="Pendiente","-",INDEX($CH$6:$CH$53,MATCH($AA20,$BD$6:$BD$53,0)))</f>
        <v>P.1 (4)</v>
      </c>
      <c r="O20" s="68" t="str" cm="1">
        <f t="array" ref="O20">IF(D20="Pendiente","-",INDEX($CH$6:$CH$53,MATCH($AF20,$BD$6:$BD$53,0)))</f>
        <v>P.1 (4)</v>
      </c>
      <c r="P20" s="68"/>
      <c r="Q20" s="68" t="str" cm="1">
        <f t="array" ref="Q20">IF(D20="Pendiente","-",INDEX($CN$6:$CN$53,MATCH($AA20,$BD$6:$BD$53,0)))</f>
        <v>P.1 (4)</v>
      </c>
      <c r="R20" s="68" t="str" cm="1">
        <f t="array" ref="R20">IF(D20="Pendiente","-",INDEX($CN$6:$CN$53,MATCH($AF20,$BD$6:$BD$53,0)))</f>
        <v>P.1 (4)</v>
      </c>
      <c r="S20" s="68"/>
      <c r="T20" s="68" t="str" cm="1">
        <f t="array" ref="T20">IF(D20="Pendiente","-",INDEX($CS$6:$CS$53,MATCH($AA20,$BD$6:$BD$53,0)))</f>
        <v>P.1 (4)</v>
      </c>
      <c r="U20" s="68" t="str" cm="1">
        <f t="array" ref="U20">IF(D20="Pendiente","-",INDEX($CS$6:$CS$53,MATCH($AF20,$BD$6:$BD$53,0)))</f>
        <v>P.1 (4)</v>
      </c>
      <c r="V20" s="80"/>
      <c r="W20" s="782" t="s">
        <v>130</v>
      </c>
      <c r="X20" s="96">
        <v>46186.75</v>
      </c>
      <c r="Y20" s="97">
        <v>46186.75</v>
      </c>
      <c r="Z20" s="113" t="str" cm="1">
        <f t="array" ref="Z20">$Z$4</f>
        <v>J1</v>
      </c>
      <c r="AA20" s="99" t="str" cm="1">
        <f t="array" ref="AA20">A21</f>
        <v>Brasil</v>
      </c>
      <c r="AB20" s="100"/>
      <c r="AC20" s="101">
        <v>2</v>
      </c>
      <c r="AD20" s="101">
        <v>1</v>
      </c>
      <c r="AE20" s="102"/>
      <c r="AF20" s="103" t="str" cm="1">
        <f t="array" ref="AF20">A22</f>
        <v>Marruecos</v>
      </c>
      <c r="AG20" s="104" cm="1">
        <f t="array" ref="AG20">IF(NOT(OR(ISBLANK(AC20),ISBLANK(AD20))),1,0)</f>
        <v>1</v>
      </c>
      <c r="AH20" s="105">
        <v>7</v>
      </c>
      <c r="AI20" s="106"/>
      <c r="AJ20" s="784" t="str" cm="1">
        <f t="array" ref="AJ20">CONCATENATE(AJ3," ",B20)</f>
        <v>Grupo C</v>
      </c>
      <c r="AK20" s="785"/>
      <c r="AL20" s="785"/>
      <c r="AM20" s="785"/>
      <c r="AN20" s="785"/>
      <c r="AO20" s="785"/>
      <c r="AP20" s="785"/>
      <c r="AQ20" s="785"/>
      <c r="AR20" s="785"/>
      <c r="AS20" s="785"/>
      <c r="AT20" s="786"/>
      <c r="AU20" s="192"/>
      <c r="AV20" s="109" t="str" cm="1">
        <f t="array" ref="AV20">IF(AU21&gt;0,$AV$3,"")</f>
        <v>¡EMPATE! Puedes seleccionar el orden de los empatados.</v>
      </c>
      <c r="AW20" s="200"/>
      <c r="AX20" s="200"/>
      <c r="AY20" s="194"/>
      <c r="AZ20" s="195"/>
      <c r="BA20" s="8"/>
      <c r="BB20" s="77"/>
      <c r="BC20" s="112" t="s">
        <v>139</v>
      </c>
      <c r="BD20" s="112" t="s">
        <v>144</v>
      </c>
      <c r="BE20" s="139" cm="1">
        <f t="array" ref="BE20">BG20*3+BH20+IF($AZ$3="No",0,INDEX($AZ$6:$AZ$97,MATCH(BD20,$AY$6:$AY$97,0)))</f>
        <v>0</v>
      </c>
      <c r="BF20" s="139" cm="1">
        <f t="array" ref="BF20">BG20+BH20+BI20</f>
        <v>3</v>
      </c>
      <c r="BG20" s="139" cm="1">
        <f t="array" ref="BG20">COUNTIFS($AA$4:$AA$97,BD20,$D$4:$D$97,"Local")+COUNTIFS($AF$4:$AF$97,BD20,$D$4:$D$97,"Visitante")</f>
        <v>0</v>
      </c>
      <c r="BH20" s="139" cm="1">
        <f t="array" ref="BH20">COUNTIFS($AA$4:$AA$97,BD20,$D$4:$D$97,"Empate")+COUNTIFS($AF$4:$AF$97,BD20,$D$4:$D$97,"Empate")</f>
        <v>0</v>
      </c>
      <c r="BI20" s="139" cm="1">
        <f t="array" ref="BI20">COUNTIFS($AF$4:$AF$97,BD20,$D$4:$D$97,"Local")+COUNTIFS($AA$4:$AA$97,BD20,$D$4:$D$97,"Visitante")</f>
        <v>3</v>
      </c>
      <c r="BJ20" s="139" cm="1">
        <f t="array" ref="BJ20">SUMIFS($AC$4:$AC$97,$AA$4:$AA$97,BD20,$D$4:$D$97,"&lt;&gt;"&amp;"Pendiente",$AC$4:$AC$97,"&lt;&gt;"&amp;"",$AD$4:$AD$97,"&lt;&gt;"&amp;"")+SUMIFS($AD$4:$AD$97,$AF$4:$AF$97,BD20,$D$4:$D$97,"&lt;&gt;"&amp;"Pendiente",$AC$4:$AC$97,"&lt;&gt;"&amp;"",$AD$4:$AD$97,"&lt;&gt;"&amp;"")</f>
        <v>1</v>
      </c>
      <c r="BK20" s="139" cm="1">
        <f t="array" ref="BK20">SUMIFS($AC$4:$AC$97,$AF$4:$AF$97,BD20,$D$4:$D$97,"&lt;&gt;"&amp;"Pendiente",$AC$4:$AC$97,"&lt;&gt;"&amp;"",$AD$4:$AD$97,"&lt;&gt;"&amp;"")+SUMIFS($AD$4:$AD$97,$AA$4:$AA$97,BD20,$D$4:$D$97,"&lt;&gt;"&amp;"Pendiente",$AC$4:$AC$97,"&lt;&gt;"&amp;"",$AD$4:$AD$97,"&lt;&gt;"&amp;"")</f>
        <v>7</v>
      </c>
      <c r="BL20" s="139" cm="1">
        <f t="array" ref="BL20">BJ20-BK20</f>
        <v>-6</v>
      </c>
      <c r="BM20" s="126" t="str" cm="1">
        <f t="array" ref="BM20">DD20&amp;BC20</f>
        <v>3D</v>
      </c>
      <c r="BN20" s="126" t="str" cm="1">
        <f t="array" ref="BN20">DH20&amp;BC20</f>
        <v>3D</v>
      </c>
      <c r="BO20" s="139" cm="1">
        <f t="array" ref="BO20">IF(AND($AJ$99=144,BF20&gt;=1),1,0)</f>
        <v>0</v>
      </c>
      <c r="BP20" s="139">
        <v>1</v>
      </c>
      <c r="BQ20" s="112" t="s">
        <v>113</v>
      </c>
      <c r="BR20" s="139" cm="1">
        <f t="array" ref="BR20">IF($BQ20="-","-",BE20)</f>
        <v>0</v>
      </c>
      <c r="BS20" s="139">
        <v>1</v>
      </c>
      <c r="BT20" s="112" t="s">
        <v>113</v>
      </c>
      <c r="BU20" s="139" cm="1">
        <f t="array" ref="BU20">IF($BT20="-","-",COUNTIFS($AA$4:$AA$97,$BD20,$D$4:$D$97,"Local",$F$4:$F$97,$BT20)+COUNTIFS($AF$4:$AF$97,$BD20,$D$4:$D$97,"Visitante",$E$4:$E$97,$BT20))</f>
        <v>0</v>
      </c>
      <c r="BV20" s="139" cm="1">
        <f t="array" ref="BV20">IF($BT20="-","-",COUNTIFS($AA$4:$AA$97,$BD20,$D$4:$D$97,"Empate",$F$4:$F$97,$BT20)+COUNTIFS($AF$4:$AF$97,$BD20,$D$4:$D$97,"Empate",$E$4:$E$97,$BT20))</f>
        <v>0</v>
      </c>
      <c r="BW20" s="139" cm="1">
        <f t="array" ref="BW20">IF($BT20="-","-",COUNTIFS($AA$4:$AA$97,$BD20,$D$4:$D$97,"Visitante",$F$4:$F$97,$BT20)+COUNTIFS($AF$4:$AF$97,$BD20,$D$4:$D$97,"Local",$E$4:$E$97,$BT20))</f>
        <v>3</v>
      </c>
      <c r="BX20" s="139" cm="1">
        <f t="array" ref="BX20">IF($BT20="-","-",BU20*3+BV20)</f>
        <v>0</v>
      </c>
      <c r="BY20" s="139">
        <v>1</v>
      </c>
      <c r="BZ20" s="112" t="s">
        <v>113</v>
      </c>
      <c r="CA20" s="139" cm="1">
        <f t="array" ref="CA20">IF($BZ20="-","-",SUMIFS($AC$4:$AC$97,$AA$4:$AA$97,$BD20,$I$4:$I$97,$BZ20)+SUMIFS($AD$4:$AD$97,$AF$4:$AF$97,$BD20,$H$4:$H$97,$BZ20))</f>
        <v>1</v>
      </c>
      <c r="CB20" s="139" cm="1">
        <f t="array" ref="CB20">IF($BZ20="-","-",SUMIFS($AD$4:$AD$97,$AA$4:$AA$97,$BD20,$I$4:$I$97,$BZ20)+SUMIFS($AC$4:$AC$97,$AF$4:$AF$97,$BD20,$H$4:$H$97,$BZ20))</f>
        <v>7</v>
      </c>
      <c r="CC20" s="139" cm="1">
        <f t="array" ref="CC20">IF($BZ20="-","-",CA20-CB20)</f>
        <v>-6</v>
      </c>
      <c r="CD20" s="139">
        <v>1</v>
      </c>
      <c r="CE20" s="112" t="s">
        <v>113</v>
      </c>
      <c r="CF20" s="139" cm="1">
        <f t="array" ref="CF20">IF($CE20="-","-",SUMIFS($AC$4:$AC$97,$AA$4:$AA$97,$BD20,$L$4:$L$97,$CE20)+SUMIFS($AD$4:$AD$97,$AF$4:$AF$97,$BD20,$K$4:$K$97,$CE20))</f>
        <v>1</v>
      </c>
      <c r="CG20" s="139">
        <v>1</v>
      </c>
      <c r="CH20" s="112" t="s">
        <v>113</v>
      </c>
      <c r="CI20" s="139" cm="1">
        <f t="array" ref="CI20">IF($CH20="-","-",COUNTIFS($AA$4:$AA$97,$BD20,$D$4:$D$97,"Local",$O$4:$O$97,$CH20)+COUNTIFS($AF$4:$AF$97,$BD20,$D$4:$D$97,"Visitante",$N$4:$N$97,$CH20))</f>
        <v>0</v>
      </c>
      <c r="CJ20" s="139" cm="1">
        <f t="array" ref="CJ20">IF($CH20="-","-",COUNTIFS($AA$4:$AA$97,$BD20,$D$4:$D$97,"Empate",$O$4:$O$97,$CH20)+COUNTIFS($AF$4:$AF$97,$BD20,$D$4:$D$97,"Empate",$N$4:$N$97,$CH20))</f>
        <v>0</v>
      </c>
      <c r="CK20" s="139" cm="1">
        <f t="array" ref="CK20">IF($CH20="-","-",COUNTIFS($AA$4:$AA$97,$BD20,$D$4:$D$97,"Visitante",$O$4:$O$97,$CH20)+COUNTIFS($AF$4:$AF$97,$BD20,$D$4:$D$97,"Local",$N$4:$N$97,$CH20))</f>
        <v>3</v>
      </c>
      <c r="CL20" s="139" cm="1">
        <f t="array" ref="CL20">IF($CH20="-","-",CI20*3+CJ20)</f>
        <v>0</v>
      </c>
      <c r="CM20" s="139">
        <v>1</v>
      </c>
      <c r="CN20" s="112" t="s">
        <v>113</v>
      </c>
      <c r="CO20" s="139" cm="1">
        <f t="array" ref="CO20">IF($CN20="-","-",SUMIFS($AC$4:$AC$97,$AA$4:$AA$97,$BD20,$R$4:$R$97,$CN20)+SUMIFS($AD$4:$AD$97,$AF$4:$AF$97,$BD20,$Q$4:$Q$97,$CN20))</f>
        <v>1</v>
      </c>
      <c r="CP20" s="139" cm="1">
        <f t="array" ref="CP20">IF($CN20="-","-",SUMIFS($AD$4:$AD$97,$AA$4:$AA$97,$BD20,$R$4:$R$97,$CN20)+SUMIFS($AC$4:$AC$97,$AF$4:$AF$97,$BD20,$Q$4:$Q$97,$CN20))</f>
        <v>7</v>
      </c>
      <c r="CQ20" s="139" cm="1">
        <f t="array" ref="CQ20">IF($CN20="-","-",CO20-CP20)</f>
        <v>-6</v>
      </c>
      <c r="CR20" s="139">
        <v>1</v>
      </c>
      <c r="CS20" s="112" t="s">
        <v>113</v>
      </c>
      <c r="CT20" s="139" cm="1">
        <f t="array" ref="CT20">IF($CS20="-","-",SUMIFS($AC$4:$AC$97,$AA$4:$AA$97,$BD20,$U$4:$U$97,$CS20)+SUMIFS($AD$4:$AD$97,$AF$4:$AF$97,$BD20,$T$4:$T$97,$CS20))</f>
        <v>1</v>
      </c>
      <c r="CU20" s="139">
        <v>1</v>
      </c>
      <c r="CV20" s="112" t="s">
        <v>113</v>
      </c>
      <c r="CW20" s="139" cm="1">
        <f t="array" ref="CW20">IF(CV20="-","-",BL20)</f>
        <v>-6</v>
      </c>
      <c r="CX20" s="139">
        <v>1</v>
      </c>
      <c r="CY20" s="112" t="s">
        <v>113</v>
      </c>
      <c r="CZ20" s="139" cm="1">
        <f t="array" ref="CZ20">IF(CY20="-","-",BJ20)</f>
        <v>1</v>
      </c>
      <c r="DA20" s="139">
        <v>1</v>
      </c>
      <c r="DB20" s="112" t="s">
        <v>113</v>
      </c>
      <c r="DC20" s="139">
        <v>3</v>
      </c>
      <c r="DD20" s="139">
        <v>3</v>
      </c>
      <c r="DE20" s="126"/>
      <c r="DF20" s="139" cm="1">
        <f t="array" ref="DF20">IF(OR(INDEX($AW$6:$AW$97,MATCH($BD20,$AV$6:$AV$97,0))="",DB20="-"),DD20,INDEX($AW$6:$AW$97,MATCH($BD20,$AV$6:$AV$97,0))+DD20/1000)</f>
        <v>3</v>
      </c>
      <c r="DG20" s="139">
        <v>2</v>
      </c>
      <c r="DH20" s="139">
        <v>3</v>
      </c>
      <c r="DI20" s="126"/>
      <c r="DJ20" s="139" cm="1">
        <f t="array" ref="DJ20">INDEX($DA$6:$DA$53,MATCH($DQ20,$BD$6:$BD$53,0))</f>
        <v>1</v>
      </c>
      <c r="DK20" s="139" cm="1">
        <f t="array" ref="DK20">SUMIF($BC$6:$BC$53,BC20,$BF$6:$BF$53)</f>
        <v>12</v>
      </c>
      <c r="DL20" s="139" cm="1">
        <f t="array" ref="DL20">IF(OR(DK20=12,$AJ$99=144),COUNTIFS($DJ$6:$DJ$53,DJ20,$BC$6:$BC$53,BC20),1)</f>
        <v>4</v>
      </c>
      <c r="DM20" s="126" t="str" cm="1">
        <f t="array" ref="DM20">DJ20&amp;"."&amp;DL20</f>
        <v>1.4</v>
      </c>
      <c r="DN20" s="139">
        <v>1</v>
      </c>
      <c r="DO20" s="126"/>
      <c r="DP20" s="112" t="s">
        <v>145</v>
      </c>
      <c r="DQ20" s="126" t="str" cm="1">
        <f t="array" ref="DQ20">INDEX($BD$6:$BD$53,MATCH(DP20,$BM$6:$BM$53,0))</f>
        <v>Australia</v>
      </c>
      <c r="DR20" s="77"/>
      <c r="DS20" s="77"/>
      <c r="DT20" s="78"/>
      <c r="DU20" s="12"/>
    </row>
    <row r="21" spans="1:125" ht="16" customHeight="1" x14ac:dyDescent="0.2">
      <c r="A21" s="79" t="s">
        <v>131</v>
      </c>
      <c r="B21" s="68"/>
      <c r="C21" s="68"/>
      <c r="D21" s="68" t="str" cm="1">
        <f t="array" ref="D21">IF(OR(AC21="",AD21=""),"Pendiente",IF(AC21&gt;AD21,"Local",IF(AC21&lt;AD21,"Visitante","Empate")))</f>
        <v>Visitante</v>
      </c>
      <c r="E21" s="68" t="str" cm="1">
        <f t="array" ref="E21">IF(D21="Pendiente","-",INDEX($BT$6:$BT$53,MATCH($AA21,$BD$6:$BD$53,0)))</f>
        <v>P.1 (4)</v>
      </c>
      <c r="F21" s="68" t="str" cm="1">
        <f t="array" ref="F21">IF(D21="Pendiente","-",INDEX($BT$6:$BT$53,MATCH($AF21,$BD$6:$BD$53,0)))</f>
        <v>P.1 (4)</v>
      </c>
      <c r="G21" s="68"/>
      <c r="H21" s="68" t="str" cm="1">
        <f t="array" ref="H21">IF(D21="Pendiente","-",INDEX($BZ$6:$BZ$53,MATCH($AA21,$BD$6:$BD$53,0)))</f>
        <v>P.1 (4)</v>
      </c>
      <c r="I21" s="68" t="str" cm="1">
        <f t="array" ref="I21">IF(D21="Pendiente","-",INDEX($BZ$6:$BZ$53,MATCH($AF21,$BD$6:$BD$53,0)))</f>
        <v>P.1 (4)</v>
      </c>
      <c r="J21" s="68"/>
      <c r="K21" s="68" t="str" cm="1">
        <f t="array" ref="K21">IF(D21="Pendiente","-",INDEX($CE$6:$CE$53,MATCH($AA21,$BD$6:$BD$53,0)))</f>
        <v>P.1 (4)</v>
      </c>
      <c r="L21" s="68" t="str" cm="1">
        <f t="array" ref="L21">IF(D21="Pendiente","-",INDEX($CE$6:$CE$53,MATCH($AF21,$BD$6:$BD$53,0)))</f>
        <v>P.1 (4)</v>
      </c>
      <c r="M21" s="68"/>
      <c r="N21" s="68" t="str" cm="1">
        <f t="array" ref="N21">IF(D21="Pendiente","-",INDEX($CH$6:$CH$53,MATCH($AA21,$BD$6:$BD$53,0)))</f>
        <v>P.1 (4)</v>
      </c>
      <c r="O21" s="68" t="str" cm="1">
        <f t="array" ref="O21">IF(D21="Pendiente","-",INDEX($CH$6:$CH$53,MATCH($AF21,$BD$6:$BD$53,0)))</f>
        <v>P.1 (4)</v>
      </c>
      <c r="P21" s="68"/>
      <c r="Q21" s="68" t="str" cm="1">
        <f t="array" ref="Q21">IF(D21="Pendiente","-",INDEX($CN$6:$CN$53,MATCH($AA21,$BD$6:$BD$53,0)))</f>
        <v>P.1 (4)</v>
      </c>
      <c r="R21" s="68" t="str" cm="1">
        <f t="array" ref="R21">IF(D21="Pendiente","-",INDEX($CN$6:$CN$53,MATCH($AF21,$BD$6:$BD$53,0)))</f>
        <v>P.1 (4)</v>
      </c>
      <c r="S21" s="68"/>
      <c r="T21" s="68" t="str" cm="1">
        <f t="array" ref="T21">IF(D21="Pendiente","-",INDEX($CS$6:$CS$53,MATCH($AA21,$BD$6:$BD$53,0)))</f>
        <v>P.1 (4)</v>
      </c>
      <c r="U21" s="68" t="str" cm="1">
        <f t="array" ref="U21">IF(D21="Pendiente","-",INDEX($CS$6:$CS$53,MATCH($AF21,$BD$6:$BD$53,0)))</f>
        <v>P.1 (4)</v>
      </c>
      <c r="V21" s="80"/>
      <c r="W21" s="761"/>
      <c r="X21" s="96">
        <v>46186.875</v>
      </c>
      <c r="Y21" s="97">
        <v>46186.875</v>
      </c>
      <c r="Z21" s="113" t="str" cm="1">
        <f t="array" ref="Z21">$Z$4</f>
        <v>J1</v>
      </c>
      <c r="AA21" s="99" t="str" cm="1">
        <f t="array" ref="AA21">A23</f>
        <v>Haití</v>
      </c>
      <c r="AB21" s="100"/>
      <c r="AC21" s="114">
        <v>1</v>
      </c>
      <c r="AD21" s="114">
        <v>2</v>
      </c>
      <c r="AE21" s="102"/>
      <c r="AF21" s="103" t="str" cm="1">
        <f t="array" ref="AF21">A24</f>
        <v>Escocia</v>
      </c>
      <c r="AG21" s="104" cm="1">
        <f t="array" ref="AG21">IF(NOT(OR(ISBLANK(AC21),ISBLANK(AD21))),1,0)</f>
        <v>1</v>
      </c>
      <c r="AH21" s="105">
        <v>5</v>
      </c>
      <c r="AI21" s="106"/>
      <c r="AJ21" s="196" t="str" cm="1">
        <f t="array" ref="AJ21">AJ5</f>
        <v>Pos</v>
      </c>
      <c r="AK21" s="116"/>
      <c r="AL21" s="197" t="str" cm="1">
        <f t="array" ref="AL21">AL5</f>
        <v>Selección</v>
      </c>
      <c r="AM21" s="116" t="str" cm="1">
        <f t="array" ref="AM21">AM5</f>
        <v>Pts</v>
      </c>
      <c r="AN21" s="116" t="str" cm="1">
        <f t="array" ref="AN21">AN5</f>
        <v>J</v>
      </c>
      <c r="AO21" s="116" t="str" cm="1">
        <f t="array" ref="AO21">AO5</f>
        <v>G</v>
      </c>
      <c r="AP21" s="116" t="str" cm="1">
        <f t="array" ref="AP21">AP5</f>
        <v>E</v>
      </c>
      <c r="AQ21" s="116" t="str" cm="1">
        <f t="array" ref="AQ21">AQ5</f>
        <v>P</v>
      </c>
      <c r="AR21" s="116" t="str" cm="1">
        <f t="array" ref="AR21">AR5</f>
        <v>GF</v>
      </c>
      <c r="AS21" s="116" t="str" cm="1">
        <f t="array" ref="AS21">AS5</f>
        <v>GC</v>
      </c>
      <c r="AT21" s="198" t="str" cm="1">
        <f t="array" ref="AT21">AT5</f>
        <v>DG</v>
      </c>
      <c r="AU21" s="199" cm="1">
        <f t="array" ref="AU21">COUNTIF(AU22:AU25,"&gt;1")</f>
        <v>4</v>
      </c>
      <c r="AV21" s="121"/>
      <c r="AW21" s="200"/>
      <c r="AX21" s="201"/>
      <c r="AY21" s="123" t="str" cm="1">
        <f t="array" ref="AY21">AL21</f>
        <v>Selección</v>
      </c>
      <c r="AZ21" s="124" t="s">
        <v>60</v>
      </c>
      <c r="BA21" s="125"/>
      <c r="BB21" s="77"/>
      <c r="BC21" s="112" t="s">
        <v>139</v>
      </c>
      <c r="BD21" s="112" t="s">
        <v>146</v>
      </c>
      <c r="BE21" s="139" cm="1">
        <f t="array" ref="BE21">BG21*3+BH21+IF($AZ$3="No",0,INDEX($AZ$6:$AZ$97,MATCH(BD21,$AY$6:$AY$97,0)))</f>
        <v>7</v>
      </c>
      <c r="BF21" s="139" cm="1">
        <f t="array" ref="BF21">BG21+BH21+BI21</f>
        <v>3</v>
      </c>
      <c r="BG21" s="139" cm="1">
        <f t="array" ref="BG21">COUNTIFS($AA$4:$AA$97,BD21,$D$4:$D$97,"Local")+COUNTIFS($AF$4:$AF$97,BD21,$D$4:$D$97,"Visitante")</f>
        <v>2</v>
      </c>
      <c r="BH21" s="139" cm="1">
        <f t="array" ref="BH21">COUNTIFS($AA$4:$AA$97,BD21,$D$4:$D$97,"Empate")+COUNTIFS($AF$4:$AF$97,BD21,$D$4:$D$97,"Empate")</f>
        <v>1</v>
      </c>
      <c r="BI21" s="139" cm="1">
        <f t="array" ref="BI21">COUNTIFS($AF$4:$AF$97,BD21,$D$4:$D$97,"Local")+COUNTIFS($AA$4:$AA$97,BD21,$D$4:$D$97,"Visitante")</f>
        <v>0</v>
      </c>
      <c r="BJ21" s="139" cm="1">
        <f t="array" ref="BJ21">SUMIFS($AC$4:$AC$97,$AA$4:$AA$97,BD21,$D$4:$D$97,"&lt;&gt;"&amp;"Pendiente",$AC$4:$AC$97,"&lt;&gt;"&amp;"",$AD$4:$AD$97,"&lt;&gt;"&amp;"")+SUMIFS($AD$4:$AD$97,$AF$4:$AF$97,BD21,$D$4:$D$97,"&lt;&gt;"&amp;"Pendiente",$AC$4:$AC$97,"&lt;&gt;"&amp;"",$AD$4:$AD$97,"&lt;&gt;"&amp;"")</f>
        <v>7</v>
      </c>
      <c r="BK21" s="139" cm="1">
        <f t="array" ref="BK21">SUMIFS($AC$4:$AC$97,$AF$4:$AF$97,BD21,$D$4:$D$97,"&lt;&gt;"&amp;"Pendiente",$AC$4:$AC$97,"&lt;&gt;"&amp;"",$AD$4:$AD$97,"&lt;&gt;"&amp;"")+SUMIFS($AD$4:$AD$97,$AA$4:$AA$97,BD21,$D$4:$D$97,"&lt;&gt;"&amp;"Pendiente",$AC$4:$AC$97,"&lt;&gt;"&amp;"",$AD$4:$AD$97,"&lt;&gt;"&amp;"")</f>
        <v>2</v>
      </c>
      <c r="BL21" s="139" cm="1">
        <f t="array" ref="BL21">BJ21-BK21</f>
        <v>5</v>
      </c>
      <c r="BM21" s="126" t="str" cm="1">
        <f t="array" ref="BM21">DD21&amp;BC21</f>
        <v>4D</v>
      </c>
      <c r="BN21" s="126" t="str" cm="1">
        <f t="array" ref="BN21">DH21&amp;BC21</f>
        <v>4D</v>
      </c>
      <c r="BO21" s="139" cm="1">
        <f t="array" ref="BO21">IF(AND($AJ$99=144,BF21&gt;=1),1,0)</f>
        <v>0</v>
      </c>
      <c r="BP21" s="139">
        <v>1</v>
      </c>
      <c r="BQ21" s="112" t="s">
        <v>113</v>
      </c>
      <c r="BR21" s="139" cm="1">
        <f t="array" ref="BR21">IF($BQ21="-","-",BE21)</f>
        <v>7</v>
      </c>
      <c r="BS21" s="139">
        <v>1</v>
      </c>
      <c r="BT21" s="112" t="s">
        <v>113</v>
      </c>
      <c r="BU21" s="139" cm="1">
        <f t="array" ref="BU21">IF($BT21="-","-",COUNTIFS($AA$4:$AA$97,$BD21,$D$4:$D$97,"Local",$F$4:$F$97,$BT21)+COUNTIFS($AF$4:$AF$97,$BD21,$D$4:$D$97,"Visitante",$E$4:$E$97,$BT21))</f>
        <v>2</v>
      </c>
      <c r="BV21" s="139" cm="1">
        <f t="array" ref="BV21">IF($BT21="-","-",COUNTIFS($AA$4:$AA$97,$BD21,$D$4:$D$97,"Empate",$F$4:$F$97,$BT21)+COUNTIFS($AF$4:$AF$97,$BD21,$D$4:$D$97,"Empate",$E$4:$E$97,$BT21))</f>
        <v>1</v>
      </c>
      <c r="BW21" s="139" cm="1">
        <f t="array" ref="BW21">IF($BT21="-","-",COUNTIFS($AA$4:$AA$97,$BD21,$D$4:$D$97,"Visitante",$F$4:$F$97,$BT21)+COUNTIFS($AF$4:$AF$97,$BD21,$D$4:$D$97,"Local",$E$4:$E$97,$BT21))</f>
        <v>0</v>
      </c>
      <c r="BX21" s="139" cm="1">
        <f t="array" ref="BX21">IF($BT21="-","-",BU21*3+BV21)</f>
        <v>7</v>
      </c>
      <c r="BY21" s="139">
        <v>1</v>
      </c>
      <c r="BZ21" s="112" t="s">
        <v>113</v>
      </c>
      <c r="CA21" s="139" cm="1">
        <f t="array" ref="CA21">IF($BZ21="-","-",SUMIFS($AC$4:$AC$97,$AA$4:$AA$97,$BD21,$I$4:$I$97,$BZ21)+SUMIFS($AD$4:$AD$97,$AF$4:$AF$97,$BD21,$H$4:$H$97,$BZ21))</f>
        <v>7</v>
      </c>
      <c r="CB21" s="139" cm="1">
        <f t="array" ref="CB21">IF($BZ21="-","-",SUMIFS($AD$4:$AD$97,$AA$4:$AA$97,$BD21,$I$4:$I$97,$BZ21)+SUMIFS($AC$4:$AC$97,$AF$4:$AF$97,$BD21,$H$4:$H$97,$BZ21))</f>
        <v>2</v>
      </c>
      <c r="CC21" s="139" cm="1">
        <f t="array" ref="CC21">IF($BZ21="-","-",CA21-CB21)</f>
        <v>5</v>
      </c>
      <c r="CD21" s="139">
        <v>1</v>
      </c>
      <c r="CE21" s="112" t="s">
        <v>113</v>
      </c>
      <c r="CF21" s="139" cm="1">
        <f t="array" ref="CF21">IF($CE21="-","-",SUMIFS($AC$4:$AC$97,$AA$4:$AA$97,$BD21,$L$4:$L$97,$CE21)+SUMIFS($AD$4:$AD$97,$AF$4:$AF$97,$BD21,$K$4:$K$97,$CE21))</f>
        <v>7</v>
      </c>
      <c r="CG21" s="139">
        <v>1</v>
      </c>
      <c r="CH21" s="112" t="s">
        <v>113</v>
      </c>
      <c r="CI21" s="139" cm="1">
        <f t="array" ref="CI21">IF($CH21="-","-",COUNTIFS($AA$4:$AA$97,$BD21,$D$4:$D$97,"Local",$O$4:$O$97,$CH21)+COUNTIFS($AF$4:$AF$97,$BD21,$D$4:$D$97,"Visitante",$N$4:$N$97,$CH21))</f>
        <v>2</v>
      </c>
      <c r="CJ21" s="139" cm="1">
        <f t="array" ref="CJ21">IF($CH21="-","-",COUNTIFS($AA$4:$AA$97,$BD21,$D$4:$D$97,"Empate",$O$4:$O$97,$CH21)+COUNTIFS($AF$4:$AF$97,$BD21,$D$4:$D$97,"Empate",$N$4:$N$97,$CH21))</f>
        <v>1</v>
      </c>
      <c r="CK21" s="139" cm="1">
        <f t="array" ref="CK21">IF($CH21="-","-",COUNTIFS($AA$4:$AA$97,$BD21,$D$4:$D$97,"Visitante",$O$4:$O$97,$CH21)+COUNTIFS($AF$4:$AF$97,$BD21,$D$4:$D$97,"Local",$N$4:$N$97,$CH21))</f>
        <v>0</v>
      </c>
      <c r="CL21" s="139" cm="1">
        <f t="array" ref="CL21">IF($CH21="-","-",CI21*3+CJ21)</f>
        <v>7</v>
      </c>
      <c r="CM21" s="139">
        <v>1</v>
      </c>
      <c r="CN21" s="112" t="s">
        <v>113</v>
      </c>
      <c r="CO21" s="139" cm="1">
        <f t="array" ref="CO21">IF($CN21="-","-",SUMIFS($AC$4:$AC$97,$AA$4:$AA$97,$BD21,$R$4:$R$97,$CN21)+SUMIFS($AD$4:$AD$97,$AF$4:$AF$97,$BD21,$Q$4:$Q$97,$CN21))</f>
        <v>7</v>
      </c>
      <c r="CP21" s="139" cm="1">
        <f t="array" ref="CP21">IF($CN21="-","-",SUMIFS($AD$4:$AD$97,$AA$4:$AA$97,$BD21,$R$4:$R$97,$CN21)+SUMIFS($AC$4:$AC$97,$AF$4:$AF$97,$BD21,$Q$4:$Q$97,$CN21))</f>
        <v>2</v>
      </c>
      <c r="CQ21" s="139" cm="1">
        <f t="array" ref="CQ21">IF($CN21="-","-",CO21-CP21)</f>
        <v>5</v>
      </c>
      <c r="CR21" s="139">
        <v>1</v>
      </c>
      <c r="CS21" s="112" t="s">
        <v>113</v>
      </c>
      <c r="CT21" s="139" cm="1">
        <f t="array" ref="CT21">IF($CS21="-","-",SUMIFS($AC$4:$AC$97,$AA$4:$AA$97,$BD21,$U$4:$U$97,$CS21)+SUMIFS($AD$4:$AD$97,$AF$4:$AF$97,$BD21,$T$4:$T$97,$CS21))</f>
        <v>7</v>
      </c>
      <c r="CU21" s="139">
        <v>1</v>
      </c>
      <c r="CV21" s="112" t="s">
        <v>113</v>
      </c>
      <c r="CW21" s="139" cm="1">
        <f t="array" ref="CW21">IF(CV21="-","-",BL21)</f>
        <v>5</v>
      </c>
      <c r="CX21" s="139">
        <v>1</v>
      </c>
      <c r="CY21" s="112" t="s">
        <v>113</v>
      </c>
      <c r="CZ21" s="139" cm="1">
        <f t="array" ref="CZ21">IF(CY21="-","-",BJ21)</f>
        <v>7</v>
      </c>
      <c r="DA21" s="139">
        <v>1</v>
      </c>
      <c r="DB21" s="112" t="s">
        <v>113</v>
      </c>
      <c r="DC21" s="139">
        <v>4</v>
      </c>
      <c r="DD21" s="139">
        <v>4</v>
      </c>
      <c r="DE21" s="126"/>
      <c r="DF21" s="139" cm="1">
        <f t="array" ref="DF21">IF(OR(INDEX($AW$6:$AW$97,MATCH($BD21,$AV$6:$AV$97,0))="",DB21="-"),DD21,INDEX($AW$6:$AW$97,MATCH($BD21,$AV$6:$AV$97,0))+DD21/1000)</f>
        <v>4</v>
      </c>
      <c r="DG21" s="139">
        <v>3</v>
      </c>
      <c r="DH21" s="139">
        <v>4</v>
      </c>
      <c r="DI21" s="126"/>
      <c r="DJ21" s="139" cm="1">
        <f t="array" ref="DJ21">INDEX($DA$6:$DA$53,MATCH($DQ21,$BD$6:$BD$53,0))</f>
        <v>1</v>
      </c>
      <c r="DK21" s="139" cm="1">
        <f t="array" ref="DK21">SUMIF($BC$6:$BC$53,BC21,$BF$6:$BF$53)</f>
        <v>12</v>
      </c>
      <c r="DL21" s="139" cm="1">
        <f t="array" ref="DL21">IF(OR(DK21=12,$AJ$99=144),COUNTIFS($DJ$6:$DJ$53,DJ21,$BC$6:$BC$53,BC21),1)</f>
        <v>4</v>
      </c>
      <c r="DM21" s="126" t="str" cm="1">
        <f t="array" ref="DM21">DJ21&amp;"."&amp;DL21</f>
        <v>1.4</v>
      </c>
      <c r="DN21" s="139">
        <v>1</v>
      </c>
      <c r="DO21" s="126"/>
      <c r="DP21" s="112" t="s">
        <v>147</v>
      </c>
      <c r="DQ21" s="126" t="str" cm="1">
        <f t="array" ref="DQ21">INDEX($BD$6:$BD$53,MATCH(DP21,$BM$6:$BM$53,0))</f>
        <v>Turquía</v>
      </c>
      <c r="DR21" s="77"/>
      <c r="DS21" s="77"/>
      <c r="DT21" s="78"/>
      <c r="DU21" s="12"/>
    </row>
    <row r="22" spans="1:125" ht="16" customHeight="1" x14ac:dyDescent="0.2">
      <c r="A22" s="79" t="s">
        <v>133</v>
      </c>
      <c r="B22" s="68"/>
      <c r="C22" s="68"/>
      <c r="D22" s="68" t="str" cm="1">
        <f t="array" ref="D22">IF(OR(AC22="",AD22=""),"Pendiente",IF(AC22&gt;AD22,"Local",IF(AC22&lt;AD22,"Visitante","Empate")))</f>
        <v>Visitante</v>
      </c>
      <c r="E22" s="68" t="str" cm="1">
        <f t="array" ref="E22">IF(D22="Pendiente","-",INDEX($BT$6:$BT$53,MATCH($AA22,$BD$6:$BD$53,0)))</f>
        <v>P.1 (4)</v>
      </c>
      <c r="F22" s="68" t="str" cm="1">
        <f t="array" ref="F22">IF(D22="Pendiente","-",INDEX($BT$6:$BT$53,MATCH($AF22,$BD$6:$BD$53,0)))</f>
        <v>P.1 (4)</v>
      </c>
      <c r="G22" s="68"/>
      <c r="H22" s="68" t="str" cm="1">
        <f t="array" ref="H22">IF(D22="Pendiente","-",INDEX($BZ$6:$BZ$53,MATCH($AA22,$BD$6:$BD$53,0)))</f>
        <v>P.1 (4)</v>
      </c>
      <c r="I22" s="68" t="str" cm="1">
        <f t="array" ref="I22">IF(D22="Pendiente","-",INDEX($BZ$6:$BZ$53,MATCH($AF22,$BD$6:$BD$53,0)))</f>
        <v>P.1 (4)</v>
      </c>
      <c r="J22" s="68"/>
      <c r="K22" s="68" t="str" cm="1">
        <f t="array" ref="K22">IF(D22="Pendiente","-",INDEX($CE$6:$CE$53,MATCH($AA22,$BD$6:$BD$53,0)))</f>
        <v>P.1 (4)</v>
      </c>
      <c r="L22" s="68" t="str" cm="1">
        <f t="array" ref="L22">IF(D22="Pendiente","-",INDEX($CE$6:$CE$53,MATCH($AF22,$BD$6:$BD$53,0)))</f>
        <v>P.1 (4)</v>
      </c>
      <c r="M22" s="68"/>
      <c r="N22" s="68" t="str" cm="1">
        <f t="array" ref="N22">IF(D22="Pendiente","-",INDEX($CH$6:$CH$53,MATCH($AA22,$BD$6:$BD$53,0)))</f>
        <v>P.1 (4)</v>
      </c>
      <c r="O22" s="68" t="str" cm="1">
        <f t="array" ref="O22">IF(D22="Pendiente","-",INDEX($CH$6:$CH$53,MATCH($AF22,$BD$6:$BD$53,0)))</f>
        <v>P.1 (4)</v>
      </c>
      <c r="P22" s="68"/>
      <c r="Q22" s="68" t="str" cm="1">
        <f t="array" ref="Q22">IF(D22="Pendiente","-",INDEX($CN$6:$CN$53,MATCH($AA22,$BD$6:$BD$53,0)))</f>
        <v>P.1 (4)</v>
      </c>
      <c r="R22" s="68" t="str" cm="1">
        <f t="array" ref="R22">IF(D22="Pendiente","-",INDEX($CN$6:$CN$53,MATCH($AF22,$BD$6:$BD$53,0)))</f>
        <v>P.1 (4)</v>
      </c>
      <c r="S22" s="68"/>
      <c r="T22" s="68" t="str" cm="1">
        <f t="array" ref="T22">IF(D22="Pendiente","-",INDEX($CS$6:$CS$53,MATCH($AA22,$BD$6:$BD$53,0)))</f>
        <v>P.1 (4)</v>
      </c>
      <c r="U22" s="68" t="str" cm="1">
        <f t="array" ref="U22">IF(D22="Pendiente","-",INDEX($CS$6:$CS$53,MATCH($AF22,$BD$6:$BD$53,0)))</f>
        <v>P.1 (4)</v>
      </c>
      <c r="V22" s="80"/>
      <c r="W22" s="762"/>
      <c r="X22" s="96">
        <v>46192.75</v>
      </c>
      <c r="Y22" s="97">
        <v>46192.75</v>
      </c>
      <c r="Z22" s="113" t="str" cm="1">
        <f t="array" ref="Z22">$Z$6</f>
        <v>J2</v>
      </c>
      <c r="AA22" s="99" t="str" cm="1">
        <f t="array" ref="AA22">A24</f>
        <v>Escocia</v>
      </c>
      <c r="AB22" s="100"/>
      <c r="AC22" s="114">
        <v>0</v>
      </c>
      <c r="AD22" s="114">
        <v>3</v>
      </c>
      <c r="AE22" s="102"/>
      <c r="AF22" s="103" t="str" cm="1">
        <f t="array" ref="AF22">A22</f>
        <v>Marruecos</v>
      </c>
      <c r="AG22" s="104" cm="1">
        <f t="array" ref="AG22">IF(NOT(OR(ISBLANK(AC22),ISBLANK(AD22))),1,0)</f>
        <v>1</v>
      </c>
      <c r="AH22" s="105">
        <v>30</v>
      </c>
      <c r="AI22" s="106" t="str" cm="1">
        <f t="array" ref="AI22">AJ22&amp;$B$20</f>
        <v>1C</v>
      </c>
      <c r="AJ22" s="127">
        <v>1</v>
      </c>
      <c r="AK22" s="204"/>
      <c r="AL22" s="129" t="str" cm="1">
        <f t="array" ref="AL22">IFERROR(INDEX($BD$6:$BD$53,MATCH(AI22,$BN$6:$BN$53,0)),"")</f>
        <v>Brasil</v>
      </c>
      <c r="AM22" s="130" cm="1">
        <f t="array" ref="AM22">INDEX($BE$6:$BN$53,MATCH($AL22,$BD$6:$BD$53,0),MATCH(AM$5,$BE$5:$BN$5,0))</f>
        <v>9</v>
      </c>
      <c r="AN22" s="131" cm="1">
        <f t="array" ref="AN22">INDEX($BE$6:$BN$53,MATCH($AL22,$BD$6:$BD$53,0),MATCH(AN$5,$BE$5:$BN$5,0))</f>
        <v>3</v>
      </c>
      <c r="AO22" s="131" cm="1">
        <f t="array" ref="AO22">INDEX($BE$6:$BN$53,MATCH($AL22,$BD$6:$BD$53,0),MATCH(AO$5,$BE$5:$BN$5,0))</f>
        <v>3</v>
      </c>
      <c r="AP22" s="131" cm="1">
        <f t="array" ref="AP22">INDEX($BE$6:$BN$53,MATCH($AL22,$BD$6:$BD$53,0),MATCH(AP$5,$BE$5:$BN$5,0))</f>
        <v>0</v>
      </c>
      <c r="AQ22" s="131" cm="1">
        <f t="array" ref="AQ22">INDEX($BE$6:$BN$53,MATCH($AL22,$BD$6:$BD$53,0),MATCH(AQ$5,$BE$5:$BN$5,0))</f>
        <v>0</v>
      </c>
      <c r="AR22" s="131" cm="1">
        <f t="array" ref="AR22">INDEX($BE$6:$BN$53,MATCH($AL22,$BD$6:$BD$53,0),MATCH(AR$5,$BE$5:$BN$5,0))</f>
        <v>10</v>
      </c>
      <c r="AS22" s="131" cm="1">
        <f t="array" ref="AS22">INDEX($BE$6:$BN$53,MATCH($AL22,$BD$6:$BD$53,0),MATCH(AS$5,$BE$5:$BN$5,0))</f>
        <v>2</v>
      </c>
      <c r="AT22" s="132" cm="1">
        <f t="array" ref="AT22">INDEX($BE$6:$BN$53,MATCH($AL22,$BD$6:$BD$53,0),MATCH(AT$5,$BE$5:$BN$5,0))</f>
        <v>8</v>
      </c>
      <c r="AU22" s="133" cm="1">
        <f t="array" ref="AU22">INDEX($DL$6:$DL$53,MATCH(AI22,$DP$6:$DP$53,0))</f>
        <v>4</v>
      </c>
      <c r="AV22" s="134" t="str" cm="1">
        <f t="array" ref="AV22">INDEX($BD$6:$BD$53,MATCH(AI22,$BM$6:$BM$53,0))</f>
        <v>Brasil</v>
      </c>
      <c r="AW22" s="135"/>
      <c r="AX22" s="136"/>
      <c r="AY22" s="137" t="str" cm="1">
        <f t="array" ref="AY22">A21</f>
        <v>Brasil</v>
      </c>
      <c r="AZ22" s="138"/>
      <c r="BA22" s="125"/>
      <c r="BB22" s="77"/>
      <c r="BC22" s="112" t="s">
        <v>55</v>
      </c>
      <c r="BD22" s="112" t="s">
        <v>148</v>
      </c>
      <c r="BE22" s="139" cm="1">
        <f t="array" ref="BE22">BG22*3+BH22+IF($AZ$3="No",0,INDEX($AZ$6:$AZ$97,MATCH(BD22,$AY$6:$AY$97,0)))</f>
        <v>9</v>
      </c>
      <c r="BF22" s="139" cm="1">
        <f t="array" ref="BF22">BG22+BH22+BI22</f>
        <v>3</v>
      </c>
      <c r="BG22" s="139" cm="1">
        <f t="array" ref="BG22">COUNTIFS($AA$4:$AA$97,BD22,$D$4:$D$97,"Local")+COUNTIFS($AF$4:$AF$97,BD22,$D$4:$D$97,"Visitante")</f>
        <v>3</v>
      </c>
      <c r="BH22" s="139" cm="1">
        <f t="array" ref="BH22">COUNTIFS($AA$4:$AA$97,BD22,$D$4:$D$97,"Empate")+COUNTIFS($AF$4:$AF$97,BD22,$D$4:$D$97,"Empate")</f>
        <v>0</v>
      </c>
      <c r="BI22" s="139" cm="1">
        <f t="array" ref="BI22">COUNTIFS($AF$4:$AF$97,BD22,$D$4:$D$97,"Local")+COUNTIFS($AA$4:$AA$97,BD22,$D$4:$D$97,"Visitante")</f>
        <v>0</v>
      </c>
      <c r="BJ22" s="139" cm="1">
        <f t="array" ref="BJ22">SUMIFS($AC$4:$AC$97,$AA$4:$AA$97,BD22,$D$4:$D$97,"&lt;&gt;"&amp;"Pendiente",$AC$4:$AC$97,"&lt;&gt;"&amp;"",$AD$4:$AD$97,"&lt;&gt;"&amp;"")+SUMIFS($AD$4:$AD$97,$AF$4:$AF$97,BD22,$D$4:$D$97,"&lt;&gt;"&amp;"Pendiente",$AC$4:$AC$97,"&lt;&gt;"&amp;"",$AD$4:$AD$97,"&lt;&gt;"&amp;"")</f>
        <v>10</v>
      </c>
      <c r="BK22" s="139" cm="1">
        <f t="array" ref="BK22">SUMIFS($AC$4:$AC$97,$AF$4:$AF$97,BD22,$D$4:$D$97,"&lt;&gt;"&amp;"Pendiente",$AC$4:$AC$97,"&lt;&gt;"&amp;"",$AD$4:$AD$97,"&lt;&gt;"&amp;"")+SUMIFS($AD$4:$AD$97,$AA$4:$AA$97,BD22,$D$4:$D$97,"&lt;&gt;"&amp;"Pendiente",$AC$4:$AC$97,"&lt;&gt;"&amp;"",$AD$4:$AD$97,"&lt;&gt;"&amp;"")</f>
        <v>2</v>
      </c>
      <c r="BL22" s="139" cm="1">
        <f t="array" ref="BL22">BJ22-BK22</f>
        <v>8</v>
      </c>
      <c r="BM22" s="126" t="str" cm="1">
        <f t="array" ref="BM22">DD22&amp;BC22</f>
        <v>1E</v>
      </c>
      <c r="BN22" s="126" t="str" cm="1">
        <f t="array" ref="BN22">DH22&amp;BC22</f>
        <v>1E</v>
      </c>
      <c r="BO22" s="139" cm="1">
        <f t="array" ref="BO22">IF(AND($AJ$99=144,BF22&gt;=1),1,0)</f>
        <v>0</v>
      </c>
      <c r="BP22" s="139">
        <v>1</v>
      </c>
      <c r="BQ22" s="112" t="s">
        <v>113</v>
      </c>
      <c r="BR22" s="139" cm="1">
        <f t="array" ref="BR22">IF($BQ22="-","-",BE22)</f>
        <v>9</v>
      </c>
      <c r="BS22" s="139">
        <v>1</v>
      </c>
      <c r="BT22" s="112" t="s">
        <v>113</v>
      </c>
      <c r="BU22" s="139" cm="1">
        <f t="array" ref="BU22">IF($BT22="-","-",COUNTIFS($AA$4:$AA$97,$BD22,$D$4:$D$97,"Local",$F$4:$F$97,$BT22)+COUNTIFS($AF$4:$AF$97,$BD22,$D$4:$D$97,"Visitante",$E$4:$E$97,$BT22))</f>
        <v>3</v>
      </c>
      <c r="BV22" s="139" cm="1">
        <f t="array" ref="BV22">IF($BT22="-","-",COUNTIFS($AA$4:$AA$97,$BD22,$D$4:$D$97,"Empate",$F$4:$F$97,$BT22)+COUNTIFS($AF$4:$AF$97,$BD22,$D$4:$D$97,"Empate",$E$4:$E$97,$BT22))</f>
        <v>0</v>
      </c>
      <c r="BW22" s="139" cm="1">
        <f t="array" ref="BW22">IF($BT22="-","-",COUNTIFS($AA$4:$AA$97,$BD22,$D$4:$D$97,"Visitante",$F$4:$F$97,$BT22)+COUNTIFS($AF$4:$AF$97,$BD22,$D$4:$D$97,"Local",$E$4:$E$97,$BT22))</f>
        <v>0</v>
      </c>
      <c r="BX22" s="139" cm="1">
        <f t="array" ref="BX22">IF($BT22="-","-",BU22*3+BV22)</f>
        <v>9</v>
      </c>
      <c r="BY22" s="139">
        <v>1</v>
      </c>
      <c r="BZ22" s="112" t="s">
        <v>113</v>
      </c>
      <c r="CA22" s="139" cm="1">
        <f t="array" ref="CA22">IF($BZ22="-","-",SUMIFS($AC$4:$AC$97,$AA$4:$AA$97,$BD22,$I$4:$I$97,$BZ22)+SUMIFS($AD$4:$AD$97,$AF$4:$AF$97,$BD22,$H$4:$H$97,$BZ22))</f>
        <v>10</v>
      </c>
      <c r="CB22" s="139" cm="1">
        <f t="array" ref="CB22">IF($BZ22="-","-",SUMIFS($AD$4:$AD$97,$AA$4:$AA$97,$BD22,$I$4:$I$97,$BZ22)+SUMIFS($AC$4:$AC$97,$AF$4:$AF$97,$BD22,$H$4:$H$97,$BZ22))</f>
        <v>2</v>
      </c>
      <c r="CC22" s="139" cm="1">
        <f t="array" ref="CC22">IF($BZ22="-","-",CA22-CB22)</f>
        <v>8</v>
      </c>
      <c r="CD22" s="139">
        <v>1</v>
      </c>
      <c r="CE22" s="112" t="s">
        <v>113</v>
      </c>
      <c r="CF22" s="139" cm="1">
        <f t="array" ref="CF22">IF($CE22="-","-",SUMIFS($AC$4:$AC$97,$AA$4:$AA$97,$BD22,$L$4:$L$97,$CE22)+SUMIFS($AD$4:$AD$97,$AF$4:$AF$97,$BD22,$K$4:$K$97,$CE22))</f>
        <v>10</v>
      </c>
      <c r="CG22" s="139">
        <v>1</v>
      </c>
      <c r="CH22" s="112" t="s">
        <v>113</v>
      </c>
      <c r="CI22" s="139" cm="1">
        <f t="array" ref="CI22">IF($CH22="-","-",COUNTIFS($AA$4:$AA$97,$BD22,$D$4:$D$97,"Local",$O$4:$O$97,$CH22)+COUNTIFS($AF$4:$AF$97,$BD22,$D$4:$D$97,"Visitante",$N$4:$N$97,$CH22))</f>
        <v>3</v>
      </c>
      <c r="CJ22" s="139" cm="1">
        <f t="array" ref="CJ22">IF($CH22="-","-",COUNTIFS($AA$4:$AA$97,$BD22,$D$4:$D$97,"Empate",$O$4:$O$97,$CH22)+COUNTIFS($AF$4:$AF$97,$BD22,$D$4:$D$97,"Empate",$N$4:$N$97,$CH22))</f>
        <v>0</v>
      </c>
      <c r="CK22" s="139" cm="1">
        <f t="array" ref="CK22">IF($CH22="-","-",COUNTIFS($AA$4:$AA$97,$BD22,$D$4:$D$97,"Visitante",$O$4:$O$97,$CH22)+COUNTIFS($AF$4:$AF$97,$BD22,$D$4:$D$97,"Local",$N$4:$N$97,$CH22))</f>
        <v>0</v>
      </c>
      <c r="CL22" s="139" cm="1">
        <f t="array" ref="CL22">IF($CH22="-","-",CI22*3+CJ22)</f>
        <v>9</v>
      </c>
      <c r="CM22" s="139">
        <v>1</v>
      </c>
      <c r="CN22" s="112" t="s">
        <v>113</v>
      </c>
      <c r="CO22" s="139" cm="1">
        <f t="array" ref="CO22">IF($CN22="-","-",SUMIFS($AC$4:$AC$97,$AA$4:$AA$97,$BD22,$R$4:$R$97,$CN22)+SUMIFS($AD$4:$AD$97,$AF$4:$AF$97,$BD22,$Q$4:$Q$97,$CN22))</f>
        <v>10</v>
      </c>
      <c r="CP22" s="139" cm="1">
        <f t="array" ref="CP22">IF($CN22="-","-",SUMIFS($AD$4:$AD$97,$AA$4:$AA$97,$BD22,$R$4:$R$97,$CN22)+SUMIFS($AC$4:$AC$97,$AF$4:$AF$97,$BD22,$Q$4:$Q$97,$CN22))</f>
        <v>2</v>
      </c>
      <c r="CQ22" s="139" cm="1">
        <f t="array" ref="CQ22">IF($CN22="-","-",CO22-CP22)</f>
        <v>8</v>
      </c>
      <c r="CR22" s="139">
        <v>1</v>
      </c>
      <c r="CS22" s="112" t="s">
        <v>113</v>
      </c>
      <c r="CT22" s="139" cm="1">
        <f t="array" ref="CT22">IF($CS22="-","-",SUMIFS($AC$4:$AC$97,$AA$4:$AA$97,$BD22,$U$4:$U$97,$CS22)+SUMIFS($AD$4:$AD$97,$AF$4:$AF$97,$BD22,$T$4:$T$97,$CS22))</f>
        <v>10</v>
      </c>
      <c r="CU22" s="139">
        <v>1</v>
      </c>
      <c r="CV22" s="112" t="s">
        <v>113</v>
      </c>
      <c r="CW22" s="139" cm="1">
        <f t="array" ref="CW22">IF(CV22="-","-",BL22)</f>
        <v>8</v>
      </c>
      <c r="CX22" s="139">
        <v>1</v>
      </c>
      <c r="CY22" s="112" t="s">
        <v>113</v>
      </c>
      <c r="CZ22" s="139" cm="1">
        <f t="array" ref="CZ22">IF(CY22="-","-",BJ22)</f>
        <v>10</v>
      </c>
      <c r="DA22" s="139">
        <v>1</v>
      </c>
      <c r="DB22" s="112" t="s">
        <v>113</v>
      </c>
      <c r="DC22" s="139">
        <v>1</v>
      </c>
      <c r="DD22" s="139">
        <v>1</v>
      </c>
      <c r="DE22" s="126"/>
      <c r="DF22" s="139" cm="1">
        <f t="array" ref="DF22">IF(OR(INDEX($AW$6:$AW$97,MATCH($BD22,$AV$6:$AV$97,0))="",DB22="-"),DD22,INDEX($AW$6:$AW$97,MATCH($BD22,$AV$6:$AV$97,0))+DD22/1000)</f>
        <v>1</v>
      </c>
      <c r="DG22" s="139">
        <v>0</v>
      </c>
      <c r="DH22" s="139">
        <v>1</v>
      </c>
      <c r="DI22" s="126"/>
      <c r="DJ22" s="139" cm="1">
        <f t="array" ref="DJ22">INDEX($DA$6:$DA$53,MATCH($DQ22,$BD$6:$BD$53,0))</f>
        <v>1</v>
      </c>
      <c r="DK22" s="139" cm="1">
        <f t="array" ref="DK22">SUMIF($BC$6:$BC$53,BC22,$BF$6:$BF$53)</f>
        <v>12</v>
      </c>
      <c r="DL22" s="139" cm="1">
        <f t="array" ref="DL22">IF(OR(DK22=12,$AJ$99=144),COUNTIFS($DJ$6:$DJ$53,DJ22,$BC$6:$BC$53,BC22),1)</f>
        <v>4</v>
      </c>
      <c r="DM22" s="126" t="str" cm="1">
        <f t="array" ref="DM22">DJ22&amp;"."&amp;DL22</f>
        <v>1.4</v>
      </c>
      <c r="DN22" s="139">
        <v>1</v>
      </c>
      <c r="DO22" s="126"/>
      <c r="DP22" s="112" t="s">
        <v>149</v>
      </c>
      <c r="DQ22" s="126" t="str" cm="1">
        <f t="array" ref="DQ22">INDEX($BD$6:$BD$53,MATCH(DP22,$BM$6:$BM$53,0))</f>
        <v>Alemania</v>
      </c>
      <c r="DR22" s="77"/>
      <c r="DS22" s="77"/>
      <c r="DT22" s="78"/>
      <c r="DU22" s="12"/>
    </row>
    <row r="23" spans="1:125" ht="16" customHeight="1" x14ac:dyDescent="0.2">
      <c r="A23" s="79" t="s">
        <v>135</v>
      </c>
      <c r="B23" s="68"/>
      <c r="C23" s="68"/>
      <c r="D23" s="68" t="str" cm="1">
        <f t="array" ref="D23">IF(OR(AC23="",AD23=""),"Pendiente",IF(AC23&gt;AD23,"Local",IF(AC23&lt;AD23,"Visitante","Empate")))</f>
        <v>Local</v>
      </c>
      <c r="E23" s="68" t="str" cm="1">
        <f t="array" ref="E23">IF(D23="Pendiente","-",INDEX($BT$6:$BT$53,MATCH($AA23,$BD$6:$BD$53,0)))</f>
        <v>P.1 (4)</v>
      </c>
      <c r="F23" s="68" t="str" cm="1">
        <f t="array" ref="F23">IF(D23="Pendiente","-",INDEX($BT$6:$BT$53,MATCH($AF23,$BD$6:$BD$53,0)))</f>
        <v>P.1 (4)</v>
      </c>
      <c r="G23" s="68"/>
      <c r="H23" s="68" t="str" cm="1">
        <f t="array" ref="H23">IF(D23="Pendiente","-",INDEX($BZ$6:$BZ$53,MATCH($AA23,$BD$6:$BD$53,0)))</f>
        <v>P.1 (4)</v>
      </c>
      <c r="I23" s="68" t="str" cm="1">
        <f t="array" ref="I23">IF(D23="Pendiente","-",INDEX($BZ$6:$BZ$53,MATCH($AF23,$BD$6:$BD$53,0)))</f>
        <v>P.1 (4)</v>
      </c>
      <c r="J23" s="68"/>
      <c r="K23" s="68" t="str" cm="1">
        <f t="array" ref="K23">IF(D23="Pendiente","-",INDEX($CE$6:$CE$53,MATCH($AA23,$BD$6:$BD$53,0)))</f>
        <v>P.1 (4)</v>
      </c>
      <c r="L23" s="68" t="str" cm="1">
        <f t="array" ref="L23">IF(D23="Pendiente","-",INDEX($CE$6:$CE$53,MATCH($AF23,$BD$6:$BD$53,0)))</f>
        <v>P.1 (4)</v>
      </c>
      <c r="M23" s="68"/>
      <c r="N23" s="68" t="str" cm="1">
        <f t="array" ref="N23">IF(D23="Pendiente","-",INDEX($CH$6:$CH$53,MATCH($AA23,$BD$6:$BD$53,0)))</f>
        <v>P.1 (4)</v>
      </c>
      <c r="O23" s="68" t="str" cm="1">
        <f t="array" ref="O23">IF(D23="Pendiente","-",INDEX($CH$6:$CH$53,MATCH($AF23,$BD$6:$BD$53,0)))</f>
        <v>P.1 (4)</v>
      </c>
      <c r="P23" s="68"/>
      <c r="Q23" s="68" t="str" cm="1">
        <f t="array" ref="Q23">IF(D23="Pendiente","-",INDEX($CN$6:$CN$53,MATCH($AA23,$BD$6:$BD$53,0)))</f>
        <v>P.1 (4)</v>
      </c>
      <c r="R23" s="68" t="str" cm="1">
        <f t="array" ref="R23">IF(D23="Pendiente","-",INDEX($CN$6:$CN$53,MATCH($AF23,$BD$6:$BD$53,0)))</f>
        <v>P.1 (4)</v>
      </c>
      <c r="S23" s="68"/>
      <c r="T23" s="68" t="str" cm="1">
        <f t="array" ref="T23">IF(D23="Pendiente","-",INDEX($CS$6:$CS$53,MATCH($AA23,$BD$6:$BD$53,0)))</f>
        <v>P.1 (4)</v>
      </c>
      <c r="U23" s="68" t="str" cm="1">
        <f t="array" ref="U23">IF(D23="Pendiente","-",INDEX($CS$6:$CS$53,MATCH($AF23,$BD$6:$BD$53,0)))</f>
        <v>P.1 (4)</v>
      </c>
      <c r="V23" s="80"/>
      <c r="W23" s="762"/>
      <c r="X23" s="96">
        <v>46192.854166666657</v>
      </c>
      <c r="Y23" s="97">
        <v>46192.854166666657</v>
      </c>
      <c r="Z23" s="113" t="str" cm="1">
        <f t="array" ref="Z23">$Z$6</f>
        <v>J2</v>
      </c>
      <c r="AA23" s="99" t="str" cm="1">
        <f t="array" ref="AA23">A21</f>
        <v>Brasil</v>
      </c>
      <c r="AB23" s="100"/>
      <c r="AC23" s="114">
        <v>5</v>
      </c>
      <c r="AD23" s="114">
        <v>0</v>
      </c>
      <c r="AE23" s="102"/>
      <c r="AF23" s="103" t="str" cm="1">
        <f t="array" ref="AF23">A23</f>
        <v>Haití</v>
      </c>
      <c r="AG23" s="104" cm="1">
        <f t="array" ref="AG23">IF(NOT(OR(ISBLANK(AC23),ISBLANK(AD23))),1,0)</f>
        <v>1</v>
      </c>
      <c r="AH23" s="105">
        <v>29</v>
      </c>
      <c r="AI23" s="106" t="str" cm="1">
        <f t="array" ref="AI23">AJ23&amp;$B$20</f>
        <v>2C</v>
      </c>
      <c r="AJ23" s="140">
        <v>2</v>
      </c>
      <c r="AK23" s="208"/>
      <c r="AL23" s="142" t="str" cm="1">
        <f t="array" ref="AL23">IFERROR(INDEX($BD$6:$BD$53,MATCH(AI23,$BN$6:$BN$53,0)),"")</f>
        <v>Marruecos</v>
      </c>
      <c r="AM23" s="143" cm="1">
        <f t="array" ref="AM23">INDEX($BE$6:$BN$53,MATCH($AL23,$BD$6:$BD$53,0),MATCH(AM$5,$BE$5:$BN$5,0))</f>
        <v>6</v>
      </c>
      <c r="AN23" s="144" cm="1">
        <f t="array" ref="AN23">INDEX($BE$6:$BN$53,MATCH($AL23,$BD$6:$BD$53,0),MATCH(AN$5,$BE$5:$BN$5,0))</f>
        <v>3</v>
      </c>
      <c r="AO23" s="144" cm="1">
        <f t="array" ref="AO23">INDEX($BE$6:$BN$53,MATCH($AL23,$BD$6:$BD$53,0),MATCH(AO$5,$BE$5:$BN$5,0))</f>
        <v>2</v>
      </c>
      <c r="AP23" s="144" cm="1">
        <f t="array" ref="AP23">INDEX($BE$6:$BN$53,MATCH($AL23,$BD$6:$BD$53,0),MATCH(AP$5,$BE$5:$BN$5,0))</f>
        <v>0</v>
      </c>
      <c r="AQ23" s="144" cm="1">
        <f t="array" ref="AQ23">INDEX($BE$6:$BN$53,MATCH($AL23,$BD$6:$BD$53,0),MATCH(AQ$5,$BE$5:$BN$5,0))</f>
        <v>1</v>
      </c>
      <c r="AR23" s="144" cm="1">
        <f t="array" ref="AR23">INDEX($BE$6:$BN$53,MATCH($AL23,$BD$6:$BD$53,0),MATCH(AR$5,$BE$5:$BN$5,0))</f>
        <v>8</v>
      </c>
      <c r="AS23" s="144" cm="1">
        <f t="array" ref="AS23">INDEX($BE$6:$BN$53,MATCH($AL23,$BD$6:$BD$53,0),MATCH(AS$5,$BE$5:$BN$5,0))</f>
        <v>2</v>
      </c>
      <c r="AT23" s="145" cm="1">
        <f t="array" ref="AT23">INDEX($BE$6:$BN$53,MATCH($AL23,$BD$6:$BD$53,0),MATCH(AT$5,$BE$5:$BN$5,0))</f>
        <v>6</v>
      </c>
      <c r="AU23" s="133" cm="1">
        <f t="array" ref="AU23">INDEX($DL$6:$DL$53,MATCH(AI23,$DP$6:$DP$53,0))</f>
        <v>4</v>
      </c>
      <c r="AV23" s="134" t="str" cm="1">
        <f t="array" ref="AV23">INDEX($BD$6:$BD$53,MATCH(AI23,$BM$6:$BM$53,0))</f>
        <v>Marruecos</v>
      </c>
      <c r="AW23" s="135"/>
      <c r="AX23" s="136"/>
      <c r="AY23" s="146" t="str" cm="1">
        <f t="array" ref="AY23">A22</f>
        <v>Marruecos</v>
      </c>
      <c r="AZ23" s="147"/>
      <c r="BA23" s="125"/>
      <c r="BB23" s="77"/>
      <c r="BC23" s="112" t="s">
        <v>55</v>
      </c>
      <c r="BD23" s="112" t="s">
        <v>150</v>
      </c>
      <c r="BE23" s="139" cm="1">
        <f t="array" ref="BE23">BG23*3+BH23+IF($AZ$3="No",0,INDEX($AZ$6:$AZ$97,MATCH(BD23,$AY$6:$AY$97,0)))</f>
        <v>0</v>
      </c>
      <c r="BF23" s="139" cm="1">
        <f t="array" ref="BF23">BG23+BH23+BI23</f>
        <v>3</v>
      </c>
      <c r="BG23" s="139" cm="1">
        <f t="array" ref="BG23">COUNTIFS($AA$4:$AA$97,BD23,$D$4:$D$97,"Local")+COUNTIFS($AF$4:$AF$97,BD23,$D$4:$D$97,"Visitante")</f>
        <v>0</v>
      </c>
      <c r="BH23" s="139" cm="1">
        <f t="array" ref="BH23">COUNTIFS($AA$4:$AA$97,BD23,$D$4:$D$97,"Empate")+COUNTIFS($AF$4:$AF$97,BD23,$D$4:$D$97,"Empate")</f>
        <v>0</v>
      </c>
      <c r="BI23" s="139" cm="1">
        <f t="array" ref="BI23">COUNTIFS($AF$4:$AF$97,BD23,$D$4:$D$97,"Local")+COUNTIFS($AA$4:$AA$97,BD23,$D$4:$D$97,"Visitante")</f>
        <v>3</v>
      </c>
      <c r="BJ23" s="139" cm="1">
        <f t="array" ref="BJ23">SUMIFS($AC$4:$AC$97,$AA$4:$AA$97,BD23,$D$4:$D$97,"&lt;&gt;"&amp;"Pendiente",$AC$4:$AC$97,"&lt;&gt;"&amp;"",$AD$4:$AD$97,"&lt;&gt;"&amp;"")+SUMIFS($AD$4:$AD$97,$AF$4:$AF$97,BD23,$D$4:$D$97,"&lt;&gt;"&amp;"Pendiente",$AC$4:$AC$97,"&lt;&gt;"&amp;"",$AD$4:$AD$97,"&lt;&gt;"&amp;"")</f>
        <v>0</v>
      </c>
      <c r="BK23" s="139" cm="1">
        <f t="array" ref="BK23">SUMIFS($AC$4:$AC$97,$AF$4:$AF$97,BD23,$D$4:$D$97,"&lt;&gt;"&amp;"Pendiente",$AC$4:$AC$97,"&lt;&gt;"&amp;"",$AD$4:$AD$97,"&lt;&gt;"&amp;"")+SUMIFS($AD$4:$AD$97,$AA$4:$AA$97,BD23,$D$4:$D$97,"&lt;&gt;"&amp;"Pendiente",$AC$4:$AC$97,"&lt;&gt;"&amp;"",$AD$4:$AD$97,"&lt;&gt;"&amp;"")</f>
        <v>10</v>
      </c>
      <c r="BL23" s="139" cm="1">
        <f t="array" ref="BL23">BJ23-BK23</f>
        <v>-10</v>
      </c>
      <c r="BM23" s="126" t="str" cm="1">
        <f t="array" ref="BM23">DD23&amp;BC23</f>
        <v>2E</v>
      </c>
      <c r="BN23" s="126" t="str" cm="1">
        <f t="array" ref="BN23">DH23&amp;BC23</f>
        <v>2E</v>
      </c>
      <c r="BO23" s="139" cm="1">
        <f t="array" ref="BO23">IF(AND($AJ$99=144,BF23&gt;=1),1,0)</f>
        <v>0</v>
      </c>
      <c r="BP23" s="139">
        <v>1</v>
      </c>
      <c r="BQ23" s="112" t="s">
        <v>113</v>
      </c>
      <c r="BR23" s="139" cm="1">
        <f t="array" ref="BR23">IF($BQ23="-","-",BE23)</f>
        <v>0</v>
      </c>
      <c r="BS23" s="139">
        <v>1</v>
      </c>
      <c r="BT23" s="112" t="s">
        <v>113</v>
      </c>
      <c r="BU23" s="139" cm="1">
        <f t="array" ref="BU23">IF($BT23="-","-",COUNTIFS($AA$4:$AA$97,$BD23,$D$4:$D$97,"Local",$F$4:$F$97,$BT23)+COUNTIFS($AF$4:$AF$97,$BD23,$D$4:$D$97,"Visitante",$E$4:$E$97,$BT23))</f>
        <v>0</v>
      </c>
      <c r="BV23" s="139" cm="1">
        <f t="array" ref="BV23">IF($BT23="-","-",COUNTIFS($AA$4:$AA$97,$BD23,$D$4:$D$97,"Empate",$F$4:$F$97,$BT23)+COUNTIFS($AF$4:$AF$97,$BD23,$D$4:$D$97,"Empate",$E$4:$E$97,$BT23))</f>
        <v>0</v>
      </c>
      <c r="BW23" s="139" cm="1">
        <f t="array" ref="BW23">IF($BT23="-","-",COUNTIFS($AA$4:$AA$97,$BD23,$D$4:$D$97,"Visitante",$F$4:$F$97,$BT23)+COUNTIFS($AF$4:$AF$97,$BD23,$D$4:$D$97,"Local",$E$4:$E$97,$BT23))</f>
        <v>3</v>
      </c>
      <c r="BX23" s="139" cm="1">
        <f t="array" ref="BX23">IF($BT23="-","-",BU23*3+BV23)</f>
        <v>0</v>
      </c>
      <c r="BY23" s="139">
        <v>1</v>
      </c>
      <c r="BZ23" s="112" t="s">
        <v>113</v>
      </c>
      <c r="CA23" s="139" cm="1">
        <f t="array" ref="CA23">IF($BZ23="-","-",SUMIFS($AC$4:$AC$97,$AA$4:$AA$97,$BD23,$I$4:$I$97,$BZ23)+SUMIFS($AD$4:$AD$97,$AF$4:$AF$97,$BD23,$H$4:$H$97,$BZ23))</f>
        <v>0</v>
      </c>
      <c r="CB23" s="139" cm="1">
        <f t="array" ref="CB23">IF($BZ23="-","-",SUMIFS($AD$4:$AD$97,$AA$4:$AA$97,$BD23,$I$4:$I$97,$BZ23)+SUMIFS($AC$4:$AC$97,$AF$4:$AF$97,$BD23,$H$4:$H$97,$BZ23))</f>
        <v>10</v>
      </c>
      <c r="CC23" s="139" cm="1">
        <f t="array" ref="CC23">IF($BZ23="-","-",CA23-CB23)</f>
        <v>-10</v>
      </c>
      <c r="CD23" s="139">
        <v>1</v>
      </c>
      <c r="CE23" s="112" t="s">
        <v>113</v>
      </c>
      <c r="CF23" s="139" cm="1">
        <f t="array" ref="CF23">IF($CE23="-","-",SUMIFS($AC$4:$AC$97,$AA$4:$AA$97,$BD23,$L$4:$L$97,$CE23)+SUMIFS($AD$4:$AD$97,$AF$4:$AF$97,$BD23,$K$4:$K$97,$CE23))</f>
        <v>0</v>
      </c>
      <c r="CG23" s="139">
        <v>1</v>
      </c>
      <c r="CH23" s="112" t="s">
        <v>113</v>
      </c>
      <c r="CI23" s="139" cm="1">
        <f t="array" ref="CI23">IF($CH23="-","-",COUNTIFS($AA$4:$AA$97,$BD23,$D$4:$D$97,"Local",$O$4:$O$97,$CH23)+COUNTIFS($AF$4:$AF$97,$BD23,$D$4:$D$97,"Visitante",$N$4:$N$97,$CH23))</f>
        <v>0</v>
      </c>
      <c r="CJ23" s="139" cm="1">
        <f t="array" ref="CJ23">IF($CH23="-","-",COUNTIFS($AA$4:$AA$97,$BD23,$D$4:$D$97,"Empate",$O$4:$O$97,$CH23)+COUNTIFS($AF$4:$AF$97,$BD23,$D$4:$D$97,"Empate",$N$4:$N$97,$CH23))</f>
        <v>0</v>
      </c>
      <c r="CK23" s="139" cm="1">
        <f t="array" ref="CK23">IF($CH23="-","-",COUNTIFS($AA$4:$AA$97,$BD23,$D$4:$D$97,"Visitante",$O$4:$O$97,$CH23)+COUNTIFS($AF$4:$AF$97,$BD23,$D$4:$D$97,"Local",$N$4:$N$97,$CH23))</f>
        <v>3</v>
      </c>
      <c r="CL23" s="139" cm="1">
        <f t="array" ref="CL23">IF($CH23="-","-",CI23*3+CJ23)</f>
        <v>0</v>
      </c>
      <c r="CM23" s="139">
        <v>1</v>
      </c>
      <c r="CN23" s="112" t="s">
        <v>113</v>
      </c>
      <c r="CO23" s="139" cm="1">
        <f t="array" ref="CO23">IF($CN23="-","-",SUMIFS($AC$4:$AC$97,$AA$4:$AA$97,$BD23,$R$4:$R$97,$CN23)+SUMIFS($AD$4:$AD$97,$AF$4:$AF$97,$BD23,$Q$4:$Q$97,$CN23))</f>
        <v>0</v>
      </c>
      <c r="CP23" s="139" cm="1">
        <f t="array" ref="CP23">IF($CN23="-","-",SUMIFS($AD$4:$AD$97,$AA$4:$AA$97,$BD23,$R$4:$R$97,$CN23)+SUMIFS($AC$4:$AC$97,$AF$4:$AF$97,$BD23,$Q$4:$Q$97,$CN23))</f>
        <v>10</v>
      </c>
      <c r="CQ23" s="139" cm="1">
        <f t="array" ref="CQ23">IF($CN23="-","-",CO23-CP23)</f>
        <v>-10</v>
      </c>
      <c r="CR23" s="139">
        <v>1</v>
      </c>
      <c r="CS23" s="112" t="s">
        <v>113</v>
      </c>
      <c r="CT23" s="139" cm="1">
        <f t="array" ref="CT23">IF($CS23="-","-",SUMIFS($AC$4:$AC$97,$AA$4:$AA$97,$BD23,$U$4:$U$97,$CS23)+SUMIFS($AD$4:$AD$97,$AF$4:$AF$97,$BD23,$T$4:$T$97,$CS23))</f>
        <v>0</v>
      </c>
      <c r="CU23" s="139">
        <v>1</v>
      </c>
      <c r="CV23" s="112" t="s">
        <v>113</v>
      </c>
      <c r="CW23" s="139" cm="1">
        <f t="array" ref="CW23">IF(CV23="-","-",BL23)</f>
        <v>-10</v>
      </c>
      <c r="CX23" s="139">
        <v>1</v>
      </c>
      <c r="CY23" s="112" t="s">
        <v>113</v>
      </c>
      <c r="CZ23" s="139" cm="1">
        <f t="array" ref="CZ23">IF(CY23="-","-",BJ23)</f>
        <v>0</v>
      </c>
      <c r="DA23" s="139">
        <v>1</v>
      </c>
      <c r="DB23" s="112" t="s">
        <v>113</v>
      </c>
      <c r="DC23" s="139">
        <v>2</v>
      </c>
      <c r="DD23" s="139">
        <v>2</v>
      </c>
      <c r="DE23" s="126"/>
      <c r="DF23" s="139" cm="1">
        <f t="array" ref="DF23">IF(OR(INDEX($AW$6:$AW$97,MATCH($BD23,$AV$6:$AV$97,0))="",DB23="-"),DD23,INDEX($AW$6:$AW$97,MATCH($BD23,$AV$6:$AV$97,0))+DD23/1000)</f>
        <v>2</v>
      </c>
      <c r="DG23" s="139">
        <v>1</v>
      </c>
      <c r="DH23" s="139">
        <v>2</v>
      </c>
      <c r="DI23" s="126"/>
      <c r="DJ23" s="139" cm="1">
        <f t="array" ref="DJ23">INDEX($DA$6:$DA$53,MATCH($DQ23,$BD$6:$BD$53,0))</f>
        <v>1</v>
      </c>
      <c r="DK23" s="139" cm="1">
        <f t="array" ref="DK23">SUMIF($BC$6:$BC$53,BC23,$BF$6:$BF$53)</f>
        <v>12</v>
      </c>
      <c r="DL23" s="139" cm="1">
        <f t="array" ref="DL23">IF(OR(DK23=12,$AJ$99=144),COUNTIFS($DJ$6:$DJ$53,DJ23,$BC$6:$BC$53,BC23),1)</f>
        <v>4</v>
      </c>
      <c r="DM23" s="126" t="str" cm="1">
        <f t="array" ref="DM23">DJ23&amp;"."&amp;DL23</f>
        <v>1.4</v>
      </c>
      <c r="DN23" s="139">
        <v>1</v>
      </c>
      <c r="DO23" s="126"/>
      <c r="DP23" s="112" t="s">
        <v>151</v>
      </c>
      <c r="DQ23" s="126" t="str" cm="1">
        <f t="array" ref="DQ23">INDEX($BD$6:$BD$53,MATCH(DP23,$BM$6:$BM$53,0))</f>
        <v>Curazao</v>
      </c>
      <c r="DR23" s="77"/>
      <c r="DS23" s="77"/>
      <c r="DT23" s="78"/>
      <c r="DU23" s="12"/>
    </row>
    <row r="24" spans="1:125" ht="16" customHeight="1" x14ac:dyDescent="0.2">
      <c r="A24" s="79" t="s">
        <v>137</v>
      </c>
      <c r="B24" s="68"/>
      <c r="C24" s="68"/>
      <c r="D24" s="68" t="str" cm="1">
        <f t="array" ref="D24">IF(OR(AC24="",AD24=""),"Pendiente",IF(AC24&gt;AD24,"Local",IF(AC24&lt;AD24,"Visitante","Empate")))</f>
        <v>Visitante</v>
      </c>
      <c r="E24" s="68" t="str" cm="1">
        <f t="array" ref="E24">IF(D24="Pendiente","-",INDEX($BT$6:$BT$53,MATCH($AA24,$BD$6:$BD$53,0)))</f>
        <v>P.1 (4)</v>
      </c>
      <c r="F24" s="68" t="str" cm="1">
        <f t="array" ref="F24">IF(D24="Pendiente","-",INDEX($BT$6:$BT$53,MATCH($AF24,$BD$6:$BD$53,0)))</f>
        <v>P.1 (4)</v>
      </c>
      <c r="G24" s="68"/>
      <c r="H24" s="68" t="str" cm="1">
        <f t="array" ref="H24">IF(D24="Pendiente","-",INDEX($BZ$6:$BZ$53,MATCH($AA24,$BD$6:$BD$53,0)))</f>
        <v>P.1 (4)</v>
      </c>
      <c r="I24" s="68" t="str" cm="1">
        <f t="array" ref="I24">IF(D24="Pendiente","-",INDEX($BZ$6:$BZ$53,MATCH($AF24,$BD$6:$BD$53,0)))</f>
        <v>P.1 (4)</v>
      </c>
      <c r="J24" s="68"/>
      <c r="K24" s="68" t="str" cm="1">
        <f t="array" ref="K24">IF(D24="Pendiente","-",INDEX($CE$6:$CE$53,MATCH($AA24,$BD$6:$BD$53,0)))</f>
        <v>P.1 (4)</v>
      </c>
      <c r="L24" s="68" t="str" cm="1">
        <f t="array" ref="L24">IF(D24="Pendiente","-",INDEX($CE$6:$CE$53,MATCH($AF24,$BD$6:$BD$53,0)))</f>
        <v>P.1 (4)</v>
      </c>
      <c r="M24" s="68"/>
      <c r="N24" s="68" t="str" cm="1">
        <f t="array" ref="N24">IF(D24="Pendiente","-",INDEX($CH$6:$CH$53,MATCH($AA24,$BD$6:$BD$53,0)))</f>
        <v>P.1 (4)</v>
      </c>
      <c r="O24" s="68" t="str" cm="1">
        <f t="array" ref="O24">IF(D24="Pendiente","-",INDEX($CH$6:$CH$53,MATCH($AF24,$BD$6:$BD$53,0)))</f>
        <v>P.1 (4)</v>
      </c>
      <c r="P24" s="68"/>
      <c r="Q24" s="68" t="str" cm="1">
        <f t="array" ref="Q24">IF(D24="Pendiente","-",INDEX($CN$6:$CN$53,MATCH($AA24,$BD$6:$BD$53,0)))</f>
        <v>P.1 (4)</v>
      </c>
      <c r="R24" s="68" t="str" cm="1">
        <f t="array" ref="R24">IF(D24="Pendiente","-",INDEX($CN$6:$CN$53,MATCH($AF24,$BD$6:$BD$53,0)))</f>
        <v>P.1 (4)</v>
      </c>
      <c r="S24" s="68"/>
      <c r="T24" s="68" t="str" cm="1">
        <f t="array" ref="T24">IF(D24="Pendiente","-",INDEX($CS$6:$CS$53,MATCH($AA24,$BD$6:$BD$53,0)))</f>
        <v>P.1 (4)</v>
      </c>
      <c r="U24" s="68" t="str" cm="1">
        <f t="array" ref="U24">IF(D24="Pendiente","-",INDEX($CS$6:$CS$53,MATCH($AF24,$BD$6:$BD$53,0)))</f>
        <v>P.1 (4)</v>
      </c>
      <c r="V24" s="80"/>
      <c r="W24" s="762"/>
      <c r="X24" s="96">
        <v>46197.75</v>
      </c>
      <c r="Y24" s="97">
        <v>46197.75</v>
      </c>
      <c r="Z24" s="113" t="str" cm="1">
        <f t="array" ref="Z24">$Z$8</f>
        <v>J3</v>
      </c>
      <c r="AA24" s="99" t="str" cm="1">
        <f t="array" ref="AA24">A24</f>
        <v>Escocia</v>
      </c>
      <c r="AB24" s="100"/>
      <c r="AC24" s="114">
        <v>1</v>
      </c>
      <c r="AD24" s="114">
        <v>3</v>
      </c>
      <c r="AE24" s="102"/>
      <c r="AF24" s="103" t="str" cm="1">
        <f t="array" ref="AF24">A21</f>
        <v>Brasil</v>
      </c>
      <c r="AG24" s="104" cm="1">
        <f t="array" ref="AG24">IF(NOT(OR(ISBLANK(AC24),ISBLANK(AD24))),1,0)</f>
        <v>1</v>
      </c>
      <c r="AH24" s="105">
        <v>49</v>
      </c>
      <c r="AI24" s="106" t="str" cm="1">
        <f t="array" ref="AI24">AJ24&amp;$B$20</f>
        <v>3C</v>
      </c>
      <c r="AJ24" s="140">
        <v>3</v>
      </c>
      <c r="AK24" s="208"/>
      <c r="AL24" s="142" t="str" cm="1">
        <f t="array" ref="AL24">IFERROR(INDEX($BD$6:$BD$53,MATCH(AI24,$BN$6:$BN$53,0)),"")</f>
        <v>Haití</v>
      </c>
      <c r="AM24" s="143" cm="1">
        <f t="array" ref="AM24">INDEX($BE$6:$BN$53,MATCH($AL24,$BD$6:$BD$53,0),MATCH(AM$5,$BE$5:$BN$5,0))</f>
        <v>0</v>
      </c>
      <c r="AN24" s="144" cm="1">
        <f t="array" ref="AN24">INDEX($BE$6:$BN$53,MATCH($AL24,$BD$6:$BD$53,0),MATCH(AN$5,$BE$5:$BN$5,0))</f>
        <v>3</v>
      </c>
      <c r="AO24" s="144" cm="1">
        <f t="array" ref="AO24">INDEX($BE$6:$BN$53,MATCH($AL24,$BD$6:$BD$53,0),MATCH(AO$5,$BE$5:$BN$5,0))</f>
        <v>0</v>
      </c>
      <c r="AP24" s="144" cm="1">
        <f t="array" ref="AP24">INDEX($BE$6:$BN$53,MATCH($AL24,$BD$6:$BD$53,0),MATCH(AP$5,$BE$5:$BN$5,0))</f>
        <v>0</v>
      </c>
      <c r="AQ24" s="144" cm="1">
        <f t="array" ref="AQ24">INDEX($BE$6:$BN$53,MATCH($AL24,$BD$6:$BD$53,0),MATCH(AQ$5,$BE$5:$BN$5,0))</f>
        <v>3</v>
      </c>
      <c r="AR24" s="144" cm="1">
        <f t="array" ref="AR24">INDEX($BE$6:$BN$53,MATCH($AL24,$BD$6:$BD$53,0),MATCH(AR$5,$BE$5:$BN$5,0))</f>
        <v>1</v>
      </c>
      <c r="AS24" s="144" cm="1">
        <f t="array" ref="AS24">INDEX($BE$6:$BN$53,MATCH($AL24,$BD$6:$BD$53,0),MATCH(AS$5,$BE$5:$BN$5,0))</f>
        <v>11</v>
      </c>
      <c r="AT24" s="145" cm="1">
        <f t="array" ref="AT24">INDEX($BE$6:$BN$53,MATCH($AL24,$BD$6:$BD$53,0),MATCH(AT$5,$BE$5:$BN$5,0))</f>
        <v>-10</v>
      </c>
      <c r="AU24" s="133" cm="1">
        <f t="array" ref="AU24">INDEX($DL$6:$DL$53,MATCH(AI24,$DP$6:$DP$53,0))</f>
        <v>4</v>
      </c>
      <c r="AV24" s="134" t="str" cm="1">
        <f t="array" ref="AV24">INDEX($BD$6:$BD$53,MATCH(AI24,$BM$6:$BM$53,0))</f>
        <v>Haití</v>
      </c>
      <c r="AW24" s="135"/>
      <c r="AX24" s="136"/>
      <c r="AY24" s="137" t="str" cm="1">
        <f t="array" ref="AY24">A23</f>
        <v>Haití</v>
      </c>
      <c r="AZ24" s="138"/>
      <c r="BA24" s="125"/>
      <c r="BB24" s="77"/>
      <c r="BC24" s="112" t="s">
        <v>55</v>
      </c>
      <c r="BD24" s="112" t="s">
        <v>152</v>
      </c>
      <c r="BE24" s="139" cm="1">
        <f t="array" ref="BE24">BG24*3+BH24+IF($AZ$3="No",0,INDEX($AZ$6:$AZ$97,MATCH(BD24,$AY$6:$AY$97,0)))</f>
        <v>3</v>
      </c>
      <c r="BF24" s="139" cm="1">
        <f t="array" ref="BF24">BG24+BH24+BI24</f>
        <v>3</v>
      </c>
      <c r="BG24" s="139" cm="1">
        <f t="array" ref="BG24">COUNTIFS($AA$4:$AA$97,BD24,$D$4:$D$97,"Local")+COUNTIFS($AF$4:$AF$97,BD24,$D$4:$D$97,"Visitante")</f>
        <v>1</v>
      </c>
      <c r="BH24" s="139" cm="1">
        <f t="array" ref="BH24">COUNTIFS($AA$4:$AA$97,BD24,$D$4:$D$97,"Empate")+COUNTIFS($AF$4:$AF$97,BD24,$D$4:$D$97,"Empate")</f>
        <v>0</v>
      </c>
      <c r="BI24" s="139" cm="1">
        <f t="array" ref="BI24">COUNTIFS($AF$4:$AF$97,BD24,$D$4:$D$97,"Local")+COUNTIFS($AA$4:$AA$97,BD24,$D$4:$D$97,"Visitante")</f>
        <v>2</v>
      </c>
      <c r="BJ24" s="139" cm="1">
        <f t="array" ref="BJ24">SUMIFS($AC$4:$AC$97,$AA$4:$AA$97,BD24,$D$4:$D$97,"&lt;&gt;"&amp;"Pendiente",$AC$4:$AC$97,"&lt;&gt;"&amp;"",$AD$4:$AD$97,"&lt;&gt;"&amp;"")+SUMIFS($AD$4:$AD$97,$AF$4:$AF$97,BD24,$D$4:$D$97,"&lt;&gt;"&amp;"Pendiente",$AC$4:$AC$97,"&lt;&gt;"&amp;"",$AD$4:$AD$97,"&lt;&gt;"&amp;"")</f>
        <v>3</v>
      </c>
      <c r="BK24" s="139" cm="1">
        <f t="array" ref="BK24">SUMIFS($AC$4:$AC$97,$AF$4:$AF$97,BD24,$D$4:$D$97,"&lt;&gt;"&amp;"Pendiente",$AC$4:$AC$97,"&lt;&gt;"&amp;"",$AD$4:$AD$97,"&lt;&gt;"&amp;"")+SUMIFS($AD$4:$AD$97,$AA$4:$AA$97,BD24,$D$4:$D$97,"&lt;&gt;"&amp;"Pendiente",$AC$4:$AC$97,"&lt;&gt;"&amp;"",$AD$4:$AD$97,"&lt;&gt;"&amp;"")</f>
        <v>7</v>
      </c>
      <c r="BL24" s="139" cm="1">
        <f t="array" ref="BL24">BJ24-BK24</f>
        <v>-4</v>
      </c>
      <c r="BM24" s="126" t="str" cm="1">
        <f t="array" ref="BM24">DD24&amp;BC24</f>
        <v>3E</v>
      </c>
      <c r="BN24" s="126" t="str" cm="1">
        <f t="array" ref="BN24">DH24&amp;BC24</f>
        <v>3E</v>
      </c>
      <c r="BO24" s="139" cm="1">
        <f t="array" ref="BO24">IF(AND($AJ$99=144,BF24&gt;=1),1,0)</f>
        <v>0</v>
      </c>
      <c r="BP24" s="139">
        <v>1</v>
      </c>
      <c r="BQ24" s="112" t="s">
        <v>113</v>
      </c>
      <c r="BR24" s="139" cm="1">
        <f t="array" ref="BR24">IF($BQ24="-","-",BE24)</f>
        <v>3</v>
      </c>
      <c r="BS24" s="139">
        <v>1</v>
      </c>
      <c r="BT24" s="112" t="s">
        <v>113</v>
      </c>
      <c r="BU24" s="139" cm="1">
        <f t="array" ref="BU24">IF($BT24="-","-",COUNTIFS($AA$4:$AA$97,$BD24,$D$4:$D$97,"Local",$F$4:$F$97,$BT24)+COUNTIFS($AF$4:$AF$97,$BD24,$D$4:$D$97,"Visitante",$E$4:$E$97,$BT24))</f>
        <v>1</v>
      </c>
      <c r="BV24" s="139" cm="1">
        <f t="array" ref="BV24">IF($BT24="-","-",COUNTIFS($AA$4:$AA$97,$BD24,$D$4:$D$97,"Empate",$F$4:$F$97,$BT24)+COUNTIFS($AF$4:$AF$97,$BD24,$D$4:$D$97,"Empate",$E$4:$E$97,$BT24))</f>
        <v>0</v>
      </c>
      <c r="BW24" s="139" cm="1">
        <f t="array" ref="BW24">IF($BT24="-","-",COUNTIFS($AA$4:$AA$97,$BD24,$D$4:$D$97,"Visitante",$F$4:$F$97,$BT24)+COUNTIFS($AF$4:$AF$97,$BD24,$D$4:$D$97,"Local",$E$4:$E$97,$BT24))</f>
        <v>2</v>
      </c>
      <c r="BX24" s="139" cm="1">
        <f t="array" ref="BX24">IF($BT24="-","-",BU24*3+BV24)</f>
        <v>3</v>
      </c>
      <c r="BY24" s="139">
        <v>1</v>
      </c>
      <c r="BZ24" s="112" t="s">
        <v>113</v>
      </c>
      <c r="CA24" s="139" cm="1">
        <f t="array" ref="CA24">IF($BZ24="-","-",SUMIFS($AC$4:$AC$97,$AA$4:$AA$97,$BD24,$I$4:$I$97,$BZ24)+SUMIFS($AD$4:$AD$97,$AF$4:$AF$97,$BD24,$H$4:$H$97,$BZ24))</f>
        <v>3</v>
      </c>
      <c r="CB24" s="139" cm="1">
        <f t="array" ref="CB24">IF($BZ24="-","-",SUMIFS($AD$4:$AD$97,$AA$4:$AA$97,$BD24,$I$4:$I$97,$BZ24)+SUMIFS($AC$4:$AC$97,$AF$4:$AF$97,$BD24,$H$4:$H$97,$BZ24))</f>
        <v>7</v>
      </c>
      <c r="CC24" s="139" cm="1">
        <f t="array" ref="CC24">IF($BZ24="-","-",CA24-CB24)</f>
        <v>-4</v>
      </c>
      <c r="CD24" s="139">
        <v>1</v>
      </c>
      <c r="CE24" s="112" t="s">
        <v>113</v>
      </c>
      <c r="CF24" s="139" cm="1">
        <f t="array" ref="CF24">IF($CE24="-","-",SUMIFS($AC$4:$AC$97,$AA$4:$AA$97,$BD24,$L$4:$L$97,$CE24)+SUMIFS($AD$4:$AD$97,$AF$4:$AF$97,$BD24,$K$4:$K$97,$CE24))</f>
        <v>3</v>
      </c>
      <c r="CG24" s="139">
        <v>1</v>
      </c>
      <c r="CH24" s="112" t="s">
        <v>113</v>
      </c>
      <c r="CI24" s="139" cm="1">
        <f t="array" ref="CI24">IF($CH24="-","-",COUNTIFS($AA$4:$AA$97,$BD24,$D$4:$D$97,"Local",$O$4:$O$97,$CH24)+COUNTIFS($AF$4:$AF$97,$BD24,$D$4:$D$97,"Visitante",$N$4:$N$97,$CH24))</f>
        <v>1</v>
      </c>
      <c r="CJ24" s="139" cm="1">
        <f t="array" ref="CJ24">IF($CH24="-","-",COUNTIFS($AA$4:$AA$97,$BD24,$D$4:$D$97,"Empate",$O$4:$O$97,$CH24)+COUNTIFS($AF$4:$AF$97,$BD24,$D$4:$D$97,"Empate",$N$4:$N$97,$CH24))</f>
        <v>0</v>
      </c>
      <c r="CK24" s="139" cm="1">
        <f t="array" ref="CK24">IF($CH24="-","-",COUNTIFS($AA$4:$AA$97,$BD24,$D$4:$D$97,"Visitante",$O$4:$O$97,$CH24)+COUNTIFS($AF$4:$AF$97,$BD24,$D$4:$D$97,"Local",$N$4:$N$97,$CH24))</f>
        <v>2</v>
      </c>
      <c r="CL24" s="139" cm="1">
        <f t="array" ref="CL24">IF($CH24="-","-",CI24*3+CJ24)</f>
        <v>3</v>
      </c>
      <c r="CM24" s="139">
        <v>1</v>
      </c>
      <c r="CN24" s="112" t="s">
        <v>113</v>
      </c>
      <c r="CO24" s="139" cm="1">
        <f t="array" ref="CO24">IF($CN24="-","-",SUMIFS($AC$4:$AC$97,$AA$4:$AA$97,$BD24,$R$4:$R$97,$CN24)+SUMIFS($AD$4:$AD$97,$AF$4:$AF$97,$BD24,$Q$4:$Q$97,$CN24))</f>
        <v>3</v>
      </c>
      <c r="CP24" s="139" cm="1">
        <f t="array" ref="CP24">IF($CN24="-","-",SUMIFS($AD$4:$AD$97,$AA$4:$AA$97,$BD24,$R$4:$R$97,$CN24)+SUMIFS($AC$4:$AC$97,$AF$4:$AF$97,$BD24,$Q$4:$Q$97,$CN24))</f>
        <v>7</v>
      </c>
      <c r="CQ24" s="139" cm="1">
        <f t="array" ref="CQ24">IF($CN24="-","-",CO24-CP24)</f>
        <v>-4</v>
      </c>
      <c r="CR24" s="139">
        <v>1</v>
      </c>
      <c r="CS24" s="112" t="s">
        <v>113</v>
      </c>
      <c r="CT24" s="139" cm="1">
        <f t="array" ref="CT24">IF($CS24="-","-",SUMIFS($AC$4:$AC$97,$AA$4:$AA$97,$BD24,$U$4:$U$97,$CS24)+SUMIFS($AD$4:$AD$97,$AF$4:$AF$97,$BD24,$T$4:$T$97,$CS24))</f>
        <v>3</v>
      </c>
      <c r="CU24" s="139">
        <v>1</v>
      </c>
      <c r="CV24" s="112" t="s">
        <v>113</v>
      </c>
      <c r="CW24" s="139" cm="1">
        <f t="array" ref="CW24">IF(CV24="-","-",BL24)</f>
        <v>-4</v>
      </c>
      <c r="CX24" s="139">
        <v>1</v>
      </c>
      <c r="CY24" s="112" t="s">
        <v>113</v>
      </c>
      <c r="CZ24" s="139" cm="1">
        <f t="array" ref="CZ24">IF(CY24="-","-",BJ24)</f>
        <v>3</v>
      </c>
      <c r="DA24" s="139">
        <v>1</v>
      </c>
      <c r="DB24" s="112" t="s">
        <v>113</v>
      </c>
      <c r="DC24" s="139">
        <v>3</v>
      </c>
      <c r="DD24" s="139">
        <v>3</v>
      </c>
      <c r="DE24" s="126"/>
      <c r="DF24" s="139" cm="1">
        <f t="array" ref="DF24">IF(OR(INDEX($AW$6:$AW$97,MATCH($BD24,$AV$6:$AV$97,0))="",DB24="-"),DD24,INDEX($AW$6:$AW$97,MATCH($BD24,$AV$6:$AV$97,0))+DD24/1000)</f>
        <v>3</v>
      </c>
      <c r="DG24" s="139">
        <v>2</v>
      </c>
      <c r="DH24" s="139">
        <v>3</v>
      </c>
      <c r="DI24" s="126"/>
      <c r="DJ24" s="139" cm="1">
        <f t="array" ref="DJ24">INDEX($DA$6:$DA$53,MATCH($DQ24,$BD$6:$BD$53,0))</f>
        <v>1</v>
      </c>
      <c r="DK24" s="139" cm="1">
        <f t="array" ref="DK24">SUMIF($BC$6:$BC$53,BC24,$BF$6:$BF$53)</f>
        <v>12</v>
      </c>
      <c r="DL24" s="139" cm="1">
        <f t="array" ref="DL24">IF(OR(DK24=12,$AJ$99=144),COUNTIFS($DJ$6:$DJ$53,DJ24,$BC$6:$BC$53,BC24),1)</f>
        <v>4</v>
      </c>
      <c r="DM24" s="126" t="str" cm="1">
        <f t="array" ref="DM24">DJ24&amp;"."&amp;DL24</f>
        <v>1.4</v>
      </c>
      <c r="DN24" s="139">
        <v>1</v>
      </c>
      <c r="DO24" s="126"/>
      <c r="DP24" s="112" t="s">
        <v>153</v>
      </c>
      <c r="DQ24" s="126" t="str" cm="1">
        <f t="array" ref="DQ24">INDEX($BD$6:$BD$53,MATCH(DP24,$BM$6:$BM$53,0))</f>
        <v>Costa de Marfil</v>
      </c>
      <c r="DR24" s="77"/>
      <c r="DS24" s="77"/>
      <c r="DT24" s="78"/>
      <c r="DU24" s="12"/>
    </row>
    <row r="25" spans="1:125" ht="16" customHeight="1" x14ac:dyDescent="0.2">
      <c r="A25" s="68"/>
      <c r="B25" s="68"/>
      <c r="C25" s="68"/>
      <c r="D25" s="68" t="str" cm="1">
        <f t="array" ref="D25">IF(OR(AC25="",AD25=""),"Pendiente",IF(AC25&gt;AD25,"Local",IF(AC25&lt;AD25,"Visitante","Empate")))</f>
        <v>Local</v>
      </c>
      <c r="E25" s="68" t="str" cm="1">
        <f t="array" ref="E25">IF(D25="Pendiente","-",INDEX($BT$6:$BT$53,MATCH($AA25,$BD$6:$BD$53,0)))</f>
        <v>P.1 (4)</v>
      </c>
      <c r="F25" s="68" t="str" cm="1">
        <f t="array" ref="F25">IF(D25="Pendiente","-",INDEX($BT$6:$BT$53,MATCH($AF25,$BD$6:$BD$53,0)))</f>
        <v>P.1 (4)</v>
      </c>
      <c r="G25" s="68"/>
      <c r="H25" s="68" t="str" cm="1">
        <f t="array" ref="H25">IF(D25="Pendiente","-",INDEX($BZ$6:$BZ$53,MATCH($AA25,$BD$6:$BD$53,0)))</f>
        <v>P.1 (4)</v>
      </c>
      <c r="I25" s="68" t="str" cm="1">
        <f t="array" ref="I25">IF(D25="Pendiente","-",INDEX($BZ$6:$BZ$53,MATCH($AF25,$BD$6:$BD$53,0)))</f>
        <v>P.1 (4)</v>
      </c>
      <c r="J25" s="68"/>
      <c r="K25" s="68" t="str" cm="1">
        <f t="array" ref="K25">IF(D25="Pendiente","-",INDEX($CE$6:$CE$53,MATCH($AA25,$BD$6:$BD$53,0)))</f>
        <v>P.1 (4)</v>
      </c>
      <c r="L25" s="68" t="str" cm="1">
        <f t="array" ref="L25">IF(D25="Pendiente","-",INDEX($CE$6:$CE$53,MATCH($AF25,$BD$6:$BD$53,0)))</f>
        <v>P.1 (4)</v>
      </c>
      <c r="M25" s="68"/>
      <c r="N25" s="68" t="str" cm="1">
        <f t="array" ref="N25">IF(D25="Pendiente","-",INDEX($CH$6:$CH$53,MATCH($AA25,$BD$6:$BD$53,0)))</f>
        <v>P.1 (4)</v>
      </c>
      <c r="O25" s="68" t="str" cm="1">
        <f t="array" ref="O25">IF(D25="Pendiente","-",INDEX($CH$6:$CH$53,MATCH($AF25,$BD$6:$BD$53,0)))</f>
        <v>P.1 (4)</v>
      </c>
      <c r="P25" s="68"/>
      <c r="Q25" s="68" t="str" cm="1">
        <f t="array" ref="Q25">IF(D25="Pendiente","-",INDEX($CN$6:$CN$53,MATCH($AA25,$BD$6:$BD$53,0)))</f>
        <v>P.1 (4)</v>
      </c>
      <c r="R25" s="68" t="str" cm="1">
        <f t="array" ref="R25">IF(D25="Pendiente","-",INDEX($CN$6:$CN$53,MATCH($AF25,$BD$6:$BD$53,0)))</f>
        <v>P.1 (4)</v>
      </c>
      <c r="S25" s="68"/>
      <c r="T25" s="68" t="str" cm="1">
        <f t="array" ref="T25">IF(D25="Pendiente","-",INDEX($CS$6:$CS$53,MATCH($AA25,$BD$6:$BD$53,0)))</f>
        <v>P.1 (4)</v>
      </c>
      <c r="U25" s="68" t="str" cm="1">
        <f t="array" ref="U25">IF(D25="Pendiente","-",INDEX($CS$6:$CS$53,MATCH($AF25,$BD$6:$BD$53,0)))</f>
        <v>P.1 (4)</v>
      </c>
      <c r="V25" s="80"/>
      <c r="W25" s="763"/>
      <c r="X25" s="148">
        <v>46197.75</v>
      </c>
      <c r="Y25" s="149">
        <v>46197.75</v>
      </c>
      <c r="Z25" s="150" t="str" cm="1">
        <f t="array" ref="Z25">$Z$8</f>
        <v>J3</v>
      </c>
      <c r="AA25" s="151" t="str" cm="1">
        <f t="array" ref="AA25">A22</f>
        <v>Marruecos</v>
      </c>
      <c r="AB25" s="152"/>
      <c r="AC25" s="153">
        <v>4</v>
      </c>
      <c r="AD25" s="153">
        <v>0</v>
      </c>
      <c r="AE25" s="154"/>
      <c r="AF25" s="155" t="str" cm="1">
        <f t="array" ref="AF25">A23</f>
        <v>Haití</v>
      </c>
      <c r="AG25" s="104" cm="1">
        <f t="array" ref="AG25">IF(NOT(OR(ISBLANK(AC25),ISBLANK(AD25))),1,0)</f>
        <v>1</v>
      </c>
      <c r="AH25" s="105">
        <v>50</v>
      </c>
      <c r="AI25" s="106" t="str" cm="1">
        <f t="array" ref="AI25">AJ25&amp;$B$20</f>
        <v>4C</v>
      </c>
      <c r="AJ25" s="156">
        <v>4</v>
      </c>
      <c r="AK25" s="222"/>
      <c r="AL25" s="158" t="str" cm="1">
        <f t="array" ref="AL25">IFERROR(INDEX($BD$6:$BD$53,MATCH(AI25,$BN$6:$BN$53,0)),"")</f>
        <v>Escocia</v>
      </c>
      <c r="AM25" s="159" cm="1">
        <f t="array" ref="AM25">INDEX($BE$6:$BN$53,MATCH($AL25,$BD$6:$BD$53,0),MATCH(AM$5,$BE$5:$BN$5,0))</f>
        <v>3</v>
      </c>
      <c r="AN25" s="160" cm="1">
        <f t="array" ref="AN25">INDEX($BE$6:$BN$53,MATCH($AL25,$BD$6:$BD$53,0),MATCH(AN$5,$BE$5:$BN$5,0))</f>
        <v>3</v>
      </c>
      <c r="AO25" s="160" cm="1">
        <f t="array" ref="AO25">INDEX($BE$6:$BN$53,MATCH($AL25,$BD$6:$BD$53,0),MATCH(AO$5,$BE$5:$BN$5,0))</f>
        <v>1</v>
      </c>
      <c r="AP25" s="160" cm="1">
        <f t="array" ref="AP25">INDEX($BE$6:$BN$53,MATCH($AL25,$BD$6:$BD$53,0),MATCH(AP$5,$BE$5:$BN$5,0))</f>
        <v>0</v>
      </c>
      <c r="AQ25" s="160" cm="1">
        <f t="array" ref="AQ25">INDEX($BE$6:$BN$53,MATCH($AL25,$BD$6:$BD$53,0),MATCH(AQ$5,$BE$5:$BN$5,0))</f>
        <v>2</v>
      </c>
      <c r="AR25" s="160" cm="1">
        <f t="array" ref="AR25">INDEX($BE$6:$BN$53,MATCH($AL25,$BD$6:$BD$53,0),MATCH(AR$5,$BE$5:$BN$5,0))</f>
        <v>3</v>
      </c>
      <c r="AS25" s="160" cm="1">
        <f t="array" ref="AS25">INDEX($BE$6:$BN$53,MATCH($AL25,$BD$6:$BD$53,0),MATCH(AS$5,$BE$5:$BN$5,0))</f>
        <v>7</v>
      </c>
      <c r="AT25" s="161" cm="1">
        <f t="array" ref="AT25">INDEX($BE$6:$BN$53,MATCH($AL25,$BD$6:$BD$53,0),MATCH(AT$5,$BE$5:$BN$5,0))</f>
        <v>-4</v>
      </c>
      <c r="AU25" s="133" cm="1">
        <f t="array" ref="AU25">INDEX($DL$6:$DL$53,MATCH(AI25,$DP$6:$DP$53,0))</f>
        <v>4</v>
      </c>
      <c r="AV25" s="134" t="str" cm="1">
        <f t="array" ref="AV25">INDEX($BD$6:$BD$53,MATCH(AI25,$BM$6:$BM$53,0))</f>
        <v>Escocia</v>
      </c>
      <c r="AW25" s="135"/>
      <c r="AX25" s="136"/>
      <c r="AY25" s="162" t="str" cm="1">
        <f t="array" ref="AY25">A24</f>
        <v>Escocia</v>
      </c>
      <c r="AZ25" s="163"/>
      <c r="BA25" s="125"/>
      <c r="BB25" s="77"/>
      <c r="BC25" s="112" t="s">
        <v>55</v>
      </c>
      <c r="BD25" s="112" t="s">
        <v>154</v>
      </c>
      <c r="BE25" s="139" cm="1">
        <f t="array" ref="BE25">BG25*3+BH25+IF($AZ$3="No",0,INDEX($AZ$6:$AZ$97,MATCH(BD25,$AY$6:$AY$97,0)))</f>
        <v>6</v>
      </c>
      <c r="BF25" s="139" cm="1">
        <f t="array" ref="BF25">BG25+BH25+BI25</f>
        <v>3</v>
      </c>
      <c r="BG25" s="139" cm="1">
        <f t="array" ref="BG25">COUNTIFS($AA$4:$AA$97,BD25,$D$4:$D$97,"Local")+COUNTIFS($AF$4:$AF$97,BD25,$D$4:$D$97,"Visitante")</f>
        <v>2</v>
      </c>
      <c r="BH25" s="139" cm="1">
        <f t="array" ref="BH25">COUNTIFS($AA$4:$AA$97,BD25,$D$4:$D$97,"Empate")+COUNTIFS($AF$4:$AF$97,BD25,$D$4:$D$97,"Empate")</f>
        <v>0</v>
      </c>
      <c r="BI25" s="139" cm="1">
        <f t="array" ref="BI25">COUNTIFS($AF$4:$AF$97,BD25,$D$4:$D$97,"Local")+COUNTIFS($AA$4:$AA$97,BD25,$D$4:$D$97,"Visitante")</f>
        <v>1</v>
      </c>
      <c r="BJ25" s="139" cm="1">
        <f t="array" ref="BJ25">SUMIFS($AC$4:$AC$97,$AA$4:$AA$97,BD25,$D$4:$D$97,"&lt;&gt;"&amp;"Pendiente",$AC$4:$AC$97,"&lt;&gt;"&amp;"",$AD$4:$AD$97,"&lt;&gt;"&amp;"")+SUMIFS($AD$4:$AD$97,$AF$4:$AF$97,BD25,$D$4:$D$97,"&lt;&gt;"&amp;"Pendiente",$AC$4:$AC$97,"&lt;&gt;"&amp;"",$AD$4:$AD$97,"&lt;&gt;"&amp;"")</f>
        <v>8</v>
      </c>
      <c r="BK25" s="139" cm="1">
        <f t="array" ref="BK25">SUMIFS($AC$4:$AC$97,$AF$4:$AF$97,BD25,$D$4:$D$97,"&lt;&gt;"&amp;"Pendiente",$AC$4:$AC$97,"&lt;&gt;"&amp;"",$AD$4:$AD$97,"&lt;&gt;"&amp;"")+SUMIFS($AD$4:$AD$97,$AA$4:$AA$97,BD25,$D$4:$D$97,"&lt;&gt;"&amp;"Pendiente",$AC$4:$AC$97,"&lt;&gt;"&amp;"",$AD$4:$AD$97,"&lt;&gt;"&amp;"")</f>
        <v>2</v>
      </c>
      <c r="BL25" s="139" cm="1">
        <f t="array" ref="BL25">BJ25-BK25</f>
        <v>6</v>
      </c>
      <c r="BM25" s="126" t="str" cm="1">
        <f t="array" ref="BM25">DD25&amp;BC25</f>
        <v>4E</v>
      </c>
      <c r="BN25" s="126" t="str" cm="1">
        <f t="array" ref="BN25">DH25&amp;BC25</f>
        <v>4E</v>
      </c>
      <c r="BO25" s="139" cm="1">
        <f t="array" ref="BO25">IF(AND($AJ$99=144,BF25&gt;=1),1,0)</f>
        <v>0</v>
      </c>
      <c r="BP25" s="139">
        <v>1</v>
      </c>
      <c r="BQ25" s="112" t="s">
        <v>113</v>
      </c>
      <c r="BR25" s="139" cm="1">
        <f t="array" ref="BR25">IF($BQ25="-","-",BE25)</f>
        <v>6</v>
      </c>
      <c r="BS25" s="139">
        <v>1</v>
      </c>
      <c r="BT25" s="112" t="s">
        <v>113</v>
      </c>
      <c r="BU25" s="139" cm="1">
        <f t="array" ref="BU25">IF($BT25="-","-",COUNTIFS($AA$4:$AA$97,$BD25,$D$4:$D$97,"Local",$F$4:$F$97,$BT25)+COUNTIFS($AF$4:$AF$97,$BD25,$D$4:$D$97,"Visitante",$E$4:$E$97,$BT25))</f>
        <v>2</v>
      </c>
      <c r="BV25" s="139" cm="1">
        <f t="array" ref="BV25">IF($BT25="-","-",COUNTIFS($AA$4:$AA$97,$BD25,$D$4:$D$97,"Empate",$F$4:$F$97,$BT25)+COUNTIFS($AF$4:$AF$97,$BD25,$D$4:$D$97,"Empate",$E$4:$E$97,$BT25))</f>
        <v>0</v>
      </c>
      <c r="BW25" s="139" cm="1">
        <f t="array" ref="BW25">IF($BT25="-","-",COUNTIFS($AA$4:$AA$97,$BD25,$D$4:$D$97,"Visitante",$F$4:$F$97,$BT25)+COUNTIFS($AF$4:$AF$97,$BD25,$D$4:$D$97,"Local",$E$4:$E$97,$BT25))</f>
        <v>1</v>
      </c>
      <c r="BX25" s="139" cm="1">
        <f t="array" ref="BX25">IF($BT25="-","-",BU25*3+BV25)</f>
        <v>6</v>
      </c>
      <c r="BY25" s="139">
        <v>1</v>
      </c>
      <c r="BZ25" s="112" t="s">
        <v>113</v>
      </c>
      <c r="CA25" s="139" cm="1">
        <f t="array" ref="CA25">IF($BZ25="-","-",SUMIFS($AC$4:$AC$97,$AA$4:$AA$97,$BD25,$I$4:$I$97,$BZ25)+SUMIFS($AD$4:$AD$97,$AF$4:$AF$97,$BD25,$H$4:$H$97,$BZ25))</f>
        <v>8</v>
      </c>
      <c r="CB25" s="139" cm="1">
        <f t="array" ref="CB25">IF($BZ25="-","-",SUMIFS($AD$4:$AD$97,$AA$4:$AA$97,$BD25,$I$4:$I$97,$BZ25)+SUMIFS($AC$4:$AC$97,$AF$4:$AF$97,$BD25,$H$4:$H$97,$BZ25))</f>
        <v>2</v>
      </c>
      <c r="CC25" s="139" cm="1">
        <f t="array" ref="CC25">IF($BZ25="-","-",CA25-CB25)</f>
        <v>6</v>
      </c>
      <c r="CD25" s="139">
        <v>1</v>
      </c>
      <c r="CE25" s="112" t="s">
        <v>113</v>
      </c>
      <c r="CF25" s="139" cm="1">
        <f t="array" ref="CF25">IF($CE25="-","-",SUMIFS($AC$4:$AC$97,$AA$4:$AA$97,$BD25,$L$4:$L$97,$CE25)+SUMIFS($AD$4:$AD$97,$AF$4:$AF$97,$BD25,$K$4:$K$97,$CE25))</f>
        <v>8</v>
      </c>
      <c r="CG25" s="139">
        <v>1</v>
      </c>
      <c r="CH25" s="112" t="s">
        <v>113</v>
      </c>
      <c r="CI25" s="139" cm="1">
        <f t="array" ref="CI25">IF($CH25="-","-",COUNTIFS($AA$4:$AA$97,$BD25,$D$4:$D$97,"Local",$O$4:$O$97,$CH25)+COUNTIFS($AF$4:$AF$97,$BD25,$D$4:$D$97,"Visitante",$N$4:$N$97,$CH25))</f>
        <v>2</v>
      </c>
      <c r="CJ25" s="139" cm="1">
        <f t="array" ref="CJ25">IF($CH25="-","-",COUNTIFS($AA$4:$AA$97,$BD25,$D$4:$D$97,"Empate",$O$4:$O$97,$CH25)+COUNTIFS($AF$4:$AF$97,$BD25,$D$4:$D$97,"Empate",$N$4:$N$97,$CH25))</f>
        <v>0</v>
      </c>
      <c r="CK25" s="139" cm="1">
        <f t="array" ref="CK25">IF($CH25="-","-",COUNTIFS($AA$4:$AA$97,$BD25,$D$4:$D$97,"Visitante",$O$4:$O$97,$CH25)+COUNTIFS($AF$4:$AF$97,$BD25,$D$4:$D$97,"Local",$N$4:$N$97,$CH25))</f>
        <v>1</v>
      </c>
      <c r="CL25" s="139" cm="1">
        <f t="array" ref="CL25">IF($CH25="-","-",CI25*3+CJ25)</f>
        <v>6</v>
      </c>
      <c r="CM25" s="139">
        <v>1</v>
      </c>
      <c r="CN25" s="112" t="s">
        <v>113</v>
      </c>
      <c r="CO25" s="139" cm="1">
        <f t="array" ref="CO25">IF($CN25="-","-",SUMIFS($AC$4:$AC$97,$AA$4:$AA$97,$BD25,$R$4:$R$97,$CN25)+SUMIFS($AD$4:$AD$97,$AF$4:$AF$97,$BD25,$Q$4:$Q$97,$CN25))</f>
        <v>8</v>
      </c>
      <c r="CP25" s="139" cm="1">
        <f t="array" ref="CP25">IF($CN25="-","-",SUMIFS($AD$4:$AD$97,$AA$4:$AA$97,$BD25,$R$4:$R$97,$CN25)+SUMIFS($AC$4:$AC$97,$AF$4:$AF$97,$BD25,$Q$4:$Q$97,$CN25))</f>
        <v>2</v>
      </c>
      <c r="CQ25" s="139" cm="1">
        <f t="array" ref="CQ25">IF($CN25="-","-",CO25-CP25)</f>
        <v>6</v>
      </c>
      <c r="CR25" s="139">
        <v>1</v>
      </c>
      <c r="CS25" s="112" t="s">
        <v>113</v>
      </c>
      <c r="CT25" s="139" cm="1">
        <f t="array" ref="CT25">IF($CS25="-","-",SUMIFS($AC$4:$AC$97,$AA$4:$AA$97,$BD25,$U$4:$U$97,$CS25)+SUMIFS($AD$4:$AD$97,$AF$4:$AF$97,$BD25,$T$4:$T$97,$CS25))</f>
        <v>8</v>
      </c>
      <c r="CU25" s="139">
        <v>1</v>
      </c>
      <c r="CV25" s="112" t="s">
        <v>113</v>
      </c>
      <c r="CW25" s="139" cm="1">
        <f t="array" ref="CW25">IF(CV25="-","-",BL25)</f>
        <v>6</v>
      </c>
      <c r="CX25" s="139">
        <v>1</v>
      </c>
      <c r="CY25" s="112" t="s">
        <v>113</v>
      </c>
      <c r="CZ25" s="139" cm="1">
        <f t="array" ref="CZ25">IF(CY25="-","-",BJ25)</f>
        <v>8</v>
      </c>
      <c r="DA25" s="139">
        <v>1</v>
      </c>
      <c r="DB25" s="112" t="s">
        <v>113</v>
      </c>
      <c r="DC25" s="139">
        <v>4</v>
      </c>
      <c r="DD25" s="139">
        <v>4</v>
      </c>
      <c r="DE25" s="126"/>
      <c r="DF25" s="139" cm="1">
        <f t="array" ref="DF25">IF(OR(INDEX($AW$6:$AW$97,MATCH($BD25,$AV$6:$AV$97,0))="",DB25="-"),DD25,INDEX($AW$6:$AW$97,MATCH($BD25,$AV$6:$AV$97,0))+DD25/1000)</f>
        <v>4</v>
      </c>
      <c r="DG25" s="139">
        <v>3</v>
      </c>
      <c r="DH25" s="139">
        <v>4</v>
      </c>
      <c r="DI25" s="126"/>
      <c r="DJ25" s="139" cm="1">
        <f t="array" ref="DJ25">INDEX($DA$6:$DA$53,MATCH($DQ25,$BD$6:$BD$53,0))</f>
        <v>1</v>
      </c>
      <c r="DK25" s="139" cm="1">
        <f t="array" ref="DK25">SUMIF($BC$6:$BC$53,BC25,$BF$6:$BF$53)</f>
        <v>12</v>
      </c>
      <c r="DL25" s="139" cm="1">
        <f t="array" ref="DL25">IF(OR(DK25=12,$AJ$99=144),COUNTIFS($DJ$6:$DJ$53,DJ25,$BC$6:$BC$53,BC25),1)</f>
        <v>4</v>
      </c>
      <c r="DM25" s="126" t="str" cm="1">
        <f t="array" ref="DM25">DJ25&amp;"."&amp;DL25</f>
        <v>1.4</v>
      </c>
      <c r="DN25" s="139">
        <v>1</v>
      </c>
      <c r="DO25" s="126"/>
      <c r="DP25" s="112" t="s">
        <v>155</v>
      </c>
      <c r="DQ25" s="126" t="str" cm="1">
        <f t="array" ref="DQ25">INDEX($BD$6:$BD$53,MATCH(DP25,$BM$6:$BM$53,0))</f>
        <v>Ecuador</v>
      </c>
      <c r="DR25" s="77"/>
      <c r="DS25" s="77"/>
      <c r="DT25" s="78"/>
      <c r="DU25" s="12"/>
    </row>
    <row r="26" spans="1:125" ht="16" customHeight="1" x14ac:dyDescent="0.2">
      <c r="A26" s="68"/>
      <c r="B26" s="68"/>
      <c r="C26" s="68"/>
      <c r="D26" s="68"/>
      <c r="E26" s="68"/>
      <c r="F26" s="68"/>
      <c r="G26" s="68"/>
      <c r="H26" s="68"/>
      <c r="I26" s="68"/>
      <c r="J26" s="68"/>
      <c r="K26" s="68"/>
      <c r="L26" s="68"/>
      <c r="M26" s="68"/>
      <c r="N26" s="68"/>
      <c r="O26" s="68"/>
      <c r="P26" s="68"/>
      <c r="Q26" s="68"/>
      <c r="R26" s="68"/>
      <c r="S26" s="68"/>
      <c r="T26" s="68"/>
      <c r="U26" s="68"/>
      <c r="V26" s="69"/>
      <c r="W26" s="164"/>
      <c r="X26" s="165"/>
      <c r="Y26" s="164"/>
      <c r="Z26" s="166"/>
      <c r="AA26" s="167"/>
      <c r="AB26" s="168"/>
      <c r="AC26" s="169"/>
      <c r="AD26" s="169"/>
      <c r="AE26" s="168"/>
      <c r="AF26" s="170"/>
      <c r="AG26" s="216"/>
      <c r="AH26" s="172"/>
      <c r="AI26" s="217"/>
      <c r="AJ26" s="173"/>
      <c r="AK26" s="174"/>
      <c r="AL26" s="175"/>
      <c r="AM26" s="176"/>
      <c r="AN26" s="173"/>
      <c r="AO26" s="173"/>
      <c r="AP26" s="173"/>
      <c r="AQ26" s="173"/>
      <c r="AR26" s="173"/>
      <c r="AS26" s="173"/>
      <c r="AT26" s="173"/>
      <c r="AU26" s="177"/>
      <c r="AV26" s="178"/>
      <c r="AW26" s="135"/>
      <c r="AX26" s="179"/>
      <c r="AY26" s="180"/>
      <c r="AZ26" s="181"/>
      <c r="BA26" s="8"/>
      <c r="BB26" s="77"/>
      <c r="BC26" s="112" t="s">
        <v>156</v>
      </c>
      <c r="BD26" s="112" t="s">
        <v>157</v>
      </c>
      <c r="BE26" s="139" cm="1">
        <f t="array" ref="BE26">BG26*3+BH26+IF($AZ$3="No",0,INDEX($AZ$6:$AZ$97,MATCH(BD26,$AY$6:$AY$97,0)))</f>
        <v>9</v>
      </c>
      <c r="BF26" s="139" cm="1">
        <f t="array" ref="BF26">BG26+BH26+BI26</f>
        <v>3</v>
      </c>
      <c r="BG26" s="139" cm="1">
        <f t="array" ref="BG26">COUNTIFS($AA$4:$AA$97,BD26,$D$4:$D$97,"Local")+COUNTIFS($AF$4:$AF$97,BD26,$D$4:$D$97,"Visitante")</f>
        <v>3</v>
      </c>
      <c r="BH26" s="139" cm="1">
        <f t="array" ref="BH26">COUNTIFS($AA$4:$AA$97,BD26,$D$4:$D$97,"Empate")+COUNTIFS($AF$4:$AF$97,BD26,$D$4:$D$97,"Empate")</f>
        <v>0</v>
      </c>
      <c r="BI26" s="139" cm="1">
        <f t="array" ref="BI26">COUNTIFS($AF$4:$AF$97,BD26,$D$4:$D$97,"Local")+COUNTIFS($AA$4:$AA$97,BD26,$D$4:$D$97,"Visitante")</f>
        <v>0</v>
      </c>
      <c r="BJ26" s="139" cm="1">
        <f t="array" ref="BJ26">SUMIFS($AC$4:$AC$97,$AA$4:$AA$97,BD26,$D$4:$D$97,"&lt;&gt;"&amp;"Pendiente",$AC$4:$AC$97,"&lt;&gt;"&amp;"",$AD$4:$AD$97,"&lt;&gt;"&amp;"")+SUMIFS($AD$4:$AD$97,$AF$4:$AF$97,BD26,$D$4:$D$97,"&lt;&gt;"&amp;"Pendiente",$AC$4:$AC$97,"&lt;&gt;"&amp;"",$AD$4:$AD$97,"&lt;&gt;"&amp;"")</f>
        <v>9</v>
      </c>
      <c r="BK26" s="139" cm="1">
        <f t="array" ref="BK26">SUMIFS($AC$4:$AC$97,$AF$4:$AF$97,BD26,$D$4:$D$97,"&lt;&gt;"&amp;"Pendiente",$AC$4:$AC$97,"&lt;&gt;"&amp;"",$AD$4:$AD$97,"&lt;&gt;"&amp;"")+SUMIFS($AD$4:$AD$97,$AA$4:$AA$97,BD26,$D$4:$D$97,"&lt;&gt;"&amp;"Pendiente",$AC$4:$AC$97,"&lt;&gt;"&amp;"",$AD$4:$AD$97,"&lt;&gt;"&amp;"")</f>
        <v>2</v>
      </c>
      <c r="BL26" s="139" cm="1">
        <f t="array" ref="BL26">BJ26-BK26</f>
        <v>7</v>
      </c>
      <c r="BM26" s="126" t="str" cm="1">
        <f t="array" ref="BM26">DD26&amp;BC26</f>
        <v>1F</v>
      </c>
      <c r="BN26" s="126" t="str" cm="1">
        <f t="array" ref="BN26">DH26&amp;BC26</f>
        <v>1F</v>
      </c>
      <c r="BO26" s="139" cm="1">
        <f t="array" ref="BO26">IF(AND($AJ$99=144,BF26&gt;=1),1,0)</f>
        <v>0</v>
      </c>
      <c r="BP26" s="139">
        <v>1</v>
      </c>
      <c r="BQ26" s="112" t="s">
        <v>113</v>
      </c>
      <c r="BR26" s="139" cm="1">
        <f t="array" ref="BR26">IF($BQ26="-","-",BE26)</f>
        <v>9</v>
      </c>
      <c r="BS26" s="139">
        <v>1</v>
      </c>
      <c r="BT26" s="112" t="s">
        <v>113</v>
      </c>
      <c r="BU26" s="139" cm="1">
        <f t="array" ref="BU26">IF($BT26="-","-",COUNTIFS($AA$4:$AA$97,$BD26,$D$4:$D$97,"Local",$F$4:$F$97,$BT26)+COUNTIFS($AF$4:$AF$97,$BD26,$D$4:$D$97,"Visitante",$E$4:$E$97,$BT26))</f>
        <v>3</v>
      </c>
      <c r="BV26" s="139" cm="1">
        <f t="array" ref="BV26">IF($BT26="-","-",COUNTIFS($AA$4:$AA$97,$BD26,$D$4:$D$97,"Empate",$F$4:$F$97,$BT26)+COUNTIFS($AF$4:$AF$97,$BD26,$D$4:$D$97,"Empate",$E$4:$E$97,$BT26))</f>
        <v>0</v>
      </c>
      <c r="BW26" s="139" cm="1">
        <f t="array" ref="BW26">IF($BT26="-","-",COUNTIFS($AA$4:$AA$97,$BD26,$D$4:$D$97,"Visitante",$F$4:$F$97,$BT26)+COUNTIFS($AF$4:$AF$97,$BD26,$D$4:$D$97,"Local",$E$4:$E$97,$BT26))</f>
        <v>0</v>
      </c>
      <c r="BX26" s="139" cm="1">
        <f t="array" ref="BX26">IF($BT26="-","-",BU26*3+BV26)</f>
        <v>9</v>
      </c>
      <c r="BY26" s="139">
        <v>1</v>
      </c>
      <c r="BZ26" s="112" t="s">
        <v>113</v>
      </c>
      <c r="CA26" s="139" cm="1">
        <f t="array" ref="CA26">IF($BZ26="-","-",SUMIFS($AC$4:$AC$97,$AA$4:$AA$97,$BD26,$I$4:$I$97,$BZ26)+SUMIFS($AD$4:$AD$97,$AF$4:$AF$97,$BD26,$H$4:$H$97,$BZ26))</f>
        <v>9</v>
      </c>
      <c r="CB26" s="139" cm="1">
        <f t="array" ref="CB26">IF($BZ26="-","-",SUMIFS($AD$4:$AD$97,$AA$4:$AA$97,$BD26,$I$4:$I$97,$BZ26)+SUMIFS($AC$4:$AC$97,$AF$4:$AF$97,$BD26,$H$4:$H$97,$BZ26))</f>
        <v>2</v>
      </c>
      <c r="CC26" s="139" cm="1">
        <f t="array" ref="CC26">IF($BZ26="-","-",CA26-CB26)</f>
        <v>7</v>
      </c>
      <c r="CD26" s="139">
        <v>1</v>
      </c>
      <c r="CE26" s="112" t="s">
        <v>113</v>
      </c>
      <c r="CF26" s="139" cm="1">
        <f t="array" ref="CF26">IF($CE26="-","-",SUMIFS($AC$4:$AC$97,$AA$4:$AA$97,$BD26,$L$4:$L$97,$CE26)+SUMIFS($AD$4:$AD$97,$AF$4:$AF$97,$BD26,$K$4:$K$97,$CE26))</f>
        <v>9</v>
      </c>
      <c r="CG26" s="139">
        <v>1</v>
      </c>
      <c r="CH26" s="112" t="s">
        <v>113</v>
      </c>
      <c r="CI26" s="139" cm="1">
        <f t="array" ref="CI26">IF($CH26="-","-",COUNTIFS($AA$4:$AA$97,$BD26,$D$4:$D$97,"Local",$O$4:$O$97,$CH26)+COUNTIFS($AF$4:$AF$97,$BD26,$D$4:$D$97,"Visitante",$N$4:$N$97,$CH26))</f>
        <v>3</v>
      </c>
      <c r="CJ26" s="139" cm="1">
        <f t="array" ref="CJ26">IF($CH26="-","-",COUNTIFS($AA$4:$AA$97,$BD26,$D$4:$D$97,"Empate",$O$4:$O$97,$CH26)+COUNTIFS($AF$4:$AF$97,$BD26,$D$4:$D$97,"Empate",$N$4:$N$97,$CH26))</f>
        <v>0</v>
      </c>
      <c r="CK26" s="139" cm="1">
        <f t="array" ref="CK26">IF($CH26="-","-",COUNTIFS($AA$4:$AA$97,$BD26,$D$4:$D$97,"Visitante",$O$4:$O$97,$CH26)+COUNTIFS($AF$4:$AF$97,$BD26,$D$4:$D$97,"Local",$N$4:$N$97,$CH26))</f>
        <v>0</v>
      </c>
      <c r="CL26" s="139" cm="1">
        <f t="array" ref="CL26">IF($CH26="-","-",CI26*3+CJ26)</f>
        <v>9</v>
      </c>
      <c r="CM26" s="139">
        <v>1</v>
      </c>
      <c r="CN26" s="112" t="s">
        <v>113</v>
      </c>
      <c r="CO26" s="139" cm="1">
        <f t="array" ref="CO26">IF($CN26="-","-",SUMIFS($AC$4:$AC$97,$AA$4:$AA$97,$BD26,$R$4:$R$97,$CN26)+SUMIFS($AD$4:$AD$97,$AF$4:$AF$97,$BD26,$Q$4:$Q$97,$CN26))</f>
        <v>9</v>
      </c>
      <c r="CP26" s="139" cm="1">
        <f t="array" ref="CP26">IF($CN26="-","-",SUMIFS($AD$4:$AD$97,$AA$4:$AA$97,$BD26,$R$4:$R$97,$CN26)+SUMIFS($AC$4:$AC$97,$AF$4:$AF$97,$BD26,$Q$4:$Q$97,$CN26))</f>
        <v>2</v>
      </c>
      <c r="CQ26" s="139" cm="1">
        <f t="array" ref="CQ26">IF($CN26="-","-",CO26-CP26)</f>
        <v>7</v>
      </c>
      <c r="CR26" s="139">
        <v>1</v>
      </c>
      <c r="CS26" s="112" t="s">
        <v>113</v>
      </c>
      <c r="CT26" s="139" cm="1">
        <f t="array" ref="CT26">IF($CS26="-","-",SUMIFS($AC$4:$AC$97,$AA$4:$AA$97,$BD26,$U$4:$U$97,$CS26)+SUMIFS($AD$4:$AD$97,$AF$4:$AF$97,$BD26,$T$4:$T$97,$CS26))</f>
        <v>9</v>
      </c>
      <c r="CU26" s="139">
        <v>1</v>
      </c>
      <c r="CV26" s="112" t="s">
        <v>113</v>
      </c>
      <c r="CW26" s="139" cm="1">
        <f t="array" ref="CW26">IF(CV26="-","-",BL26)</f>
        <v>7</v>
      </c>
      <c r="CX26" s="139">
        <v>1</v>
      </c>
      <c r="CY26" s="112" t="s">
        <v>113</v>
      </c>
      <c r="CZ26" s="139" cm="1">
        <f t="array" ref="CZ26">IF(CY26="-","-",BJ26)</f>
        <v>9</v>
      </c>
      <c r="DA26" s="139">
        <v>1</v>
      </c>
      <c r="DB26" s="112" t="s">
        <v>113</v>
      </c>
      <c r="DC26" s="139">
        <v>1</v>
      </c>
      <c r="DD26" s="139">
        <v>1</v>
      </c>
      <c r="DE26" s="126"/>
      <c r="DF26" s="139" cm="1">
        <f t="array" ref="DF26">IF(OR(INDEX($AW$6:$AW$97,MATCH($BD26,$AV$6:$AV$97,0))="",DB26="-"),DD26,INDEX($AW$6:$AW$97,MATCH($BD26,$AV$6:$AV$97,0))+DD26/1000)</f>
        <v>1</v>
      </c>
      <c r="DG26" s="139">
        <v>0</v>
      </c>
      <c r="DH26" s="139">
        <v>1</v>
      </c>
      <c r="DI26" s="126"/>
      <c r="DJ26" s="139" cm="1">
        <f t="array" ref="DJ26">INDEX($DA$6:$DA$53,MATCH($DQ26,$BD$6:$BD$53,0))</f>
        <v>1</v>
      </c>
      <c r="DK26" s="139" cm="1">
        <f t="array" ref="DK26">SUMIF($BC$6:$BC$53,BC26,$BF$6:$BF$53)</f>
        <v>12</v>
      </c>
      <c r="DL26" s="139" cm="1">
        <f t="array" ref="DL26">IF(OR(DK26=12,$AJ$99=144),COUNTIFS($DJ$6:$DJ$53,DJ26,$BC$6:$BC$53,BC26),1)</f>
        <v>4</v>
      </c>
      <c r="DM26" s="126" t="str" cm="1">
        <f t="array" ref="DM26">DJ26&amp;"."&amp;DL26</f>
        <v>1.4</v>
      </c>
      <c r="DN26" s="139">
        <v>1</v>
      </c>
      <c r="DO26" s="126"/>
      <c r="DP26" s="112" t="s">
        <v>158</v>
      </c>
      <c r="DQ26" s="126" t="str" cm="1">
        <f t="array" ref="DQ26">INDEX($BD$6:$BD$53,MATCH(DP26,$BM$6:$BM$53,0))</f>
        <v>Países Bajos</v>
      </c>
      <c r="DR26" s="77"/>
      <c r="DS26" s="77"/>
      <c r="DT26" s="78"/>
      <c r="DU26" s="12"/>
    </row>
    <row r="27" spans="1:125" ht="16" customHeight="1" x14ac:dyDescent="0.2">
      <c r="A27" s="68"/>
      <c r="B27" s="68"/>
      <c r="C27" s="68"/>
      <c r="D27" s="68"/>
      <c r="E27" s="68"/>
      <c r="F27" s="68"/>
      <c r="G27" s="68"/>
      <c r="H27" s="68"/>
      <c r="I27" s="68"/>
      <c r="J27" s="68"/>
      <c r="K27" s="68"/>
      <c r="L27" s="68"/>
      <c r="M27" s="68"/>
      <c r="N27" s="68"/>
      <c r="O27" s="68"/>
      <c r="P27" s="68"/>
      <c r="Q27" s="68"/>
      <c r="R27" s="68"/>
      <c r="S27" s="68"/>
      <c r="T27" s="68"/>
      <c r="U27" s="68"/>
      <c r="V27" s="80"/>
      <c r="W27" s="81"/>
      <c r="X27" s="182" t="str" cm="1">
        <f t="array" ref="X27">X11</f>
        <v>Fecha</v>
      </c>
      <c r="Y27" s="182" t="str" cm="1">
        <f t="array" ref="Y27">Y11</f>
        <v>Hora</v>
      </c>
      <c r="Z27" s="107" t="str" cm="1">
        <f t="array" ref="Z27">Z11</f>
        <v>Jor.</v>
      </c>
      <c r="AA27" s="183" t="str" cm="1">
        <f t="array" ref="AA27">AA11</f>
        <v>Casa</v>
      </c>
      <c r="AB27" s="85"/>
      <c r="AC27" s="107" t="str" cm="1">
        <f t="array" ref="AC27">AC3</f>
        <v>Gol</v>
      </c>
      <c r="AD27" s="107" t="str" cm="1">
        <f t="array" ref="AD27">AD3</f>
        <v>Gol</v>
      </c>
      <c r="AE27" s="85"/>
      <c r="AF27" s="184" t="str" cm="1">
        <f t="array" ref="AF27">AF11</f>
        <v>Fuera</v>
      </c>
      <c r="AG27" s="185"/>
      <c r="AH27" s="172"/>
      <c r="AI27" s="73"/>
      <c r="AJ27" s="90"/>
      <c r="AK27" s="186"/>
      <c r="AL27" s="90"/>
      <c r="AM27" s="90"/>
      <c r="AN27" s="90"/>
      <c r="AO27" s="90"/>
      <c r="AP27" s="90"/>
      <c r="AQ27" s="90"/>
      <c r="AR27" s="90"/>
      <c r="AS27" s="90"/>
      <c r="AT27" s="90"/>
      <c r="AU27" s="187"/>
      <c r="AV27" s="74"/>
      <c r="AW27" s="188"/>
      <c r="AX27" s="189"/>
      <c r="AY27" s="190"/>
      <c r="AZ27" s="191"/>
      <c r="BA27" s="8"/>
      <c r="BB27" s="77"/>
      <c r="BC27" s="112" t="s">
        <v>156</v>
      </c>
      <c r="BD27" s="112" t="s">
        <v>159</v>
      </c>
      <c r="BE27" s="139" cm="1">
        <f t="array" ref="BE27">BG27*3+BH27+IF($AZ$3="No",0,INDEX($AZ$6:$AZ$97,MATCH(BD27,$AY$6:$AY$97,0)))</f>
        <v>6</v>
      </c>
      <c r="BF27" s="139" cm="1">
        <f t="array" ref="BF27">BG27+BH27+BI27</f>
        <v>3</v>
      </c>
      <c r="BG27" s="139" cm="1">
        <f t="array" ref="BG27">COUNTIFS($AA$4:$AA$97,BD27,$D$4:$D$97,"Local")+COUNTIFS($AF$4:$AF$97,BD27,$D$4:$D$97,"Visitante")</f>
        <v>2</v>
      </c>
      <c r="BH27" s="139" cm="1">
        <f t="array" ref="BH27">COUNTIFS($AA$4:$AA$97,BD27,$D$4:$D$97,"Empate")+COUNTIFS($AF$4:$AF$97,BD27,$D$4:$D$97,"Empate")</f>
        <v>0</v>
      </c>
      <c r="BI27" s="139" cm="1">
        <f t="array" ref="BI27">COUNTIFS($AF$4:$AF$97,BD27,$D$4:$D$97,"Local")+COUNTIFS($AA$4:$AA$97,BD27,$D$4:$D$97,"Visitante")</f>
        <v>1</v>
      </c>
      <c r="BJ27" s="139" cm="1">
        <f t="array" ref="BJ27">SUMIFS($AC$4:$AC$97,$AA$4:$AA$97,BD27,$D$4:$D$97,"&lt;&gt;"&amp;"Pendiente",$AC$4:$AC$97,"&lt;&gt;"&amp;"",$AD$4:$AD$97,"&lt;&gt;"&amp;"")+SUMIFS($AD$4:$AD$97,$AF$4:$AF$97,BD27,$D$4:$D$97,"&lt;&gt;"&amp;"Pendiente",$AC$4:$AC$97,"&lt;&gt;"&amp;"",$AD$4:$AD$97,"&lt;&gt;"&amp;"")</f>
        <v>6</v>
      </c>
      <c r="BK27" s="139" cm="1">
        <f t="array" ref="BK27">SUMIFS($AC$4:$AC$97,$AF$4:$AF$97,BD27,$D$4:$D$97,"&lt;&gt;"&amp;"Pendiente",$AC$4:$AC$97,"&lt;&gt;"&amp;"",$AD$4:$AD$97,"&lt;&gt;"&amp;"")+SUMIFS($AD$4:$AD$97,$AA$4:$AA$97,BD27,$D$4:$D$97,"&lt;&gt;"&amp;"Pendiente",$AC$4:$AC$97,"&lt;&gt;"&amp;"",$AD$4:$AD$97,"&lt;&gt;"&amp;"")</f>
        <v>4</v>
      </c>
      <c r="BL27" s="139" cm="1">
        <f t="array" ref="BL27">BJ27-BK27</f>
        <v>2</v>
      </c>
      <c r="BM27" s="126" t="str" cm="1">
        <f t="array" ref="BM27">DD27&amp;BC27</f>
        <v>2F</v>
      </c>
      <c r="BN27" s="126" t="str" cm="1">
        <f t="array" ref="BN27">DH27&amp;BC27</f>
        <v>2F</v>
      </c>
      <c r="BO27" s="139" cm="1">
        <f t="array" ref="BO27">IF(AND($AJ$99=144,BF27&gt;=1),1,0)</f>
        <v>0</v>
      </c>
      <c r="BP27" s="139">
        <v>1</v>
      </c>
      <c r="BQ27" s="112" t="s">
        <v>113</v>
      </c>
      <c r="BR27" s="139" cm="1">
        <f t="array" ref="BR27">IF($BQ27="-","-",BE27)</f>
        <v>6</v>
      </c>
      <c r="BS27" s="139">
        <v>1</v>
      </c>
      <c r="BT27" s="112" t="s">
        <v>113</v>
      </c>
      <c r="BU27" s="139" cm="1">
        <f t="array" ref="BU27">IF($BT27="-","-",COUNTIFS($AA$4:$AA$97,$BD27,$D$4:$D$97,"Local",$F$4:$F$97,$BT27)+COUNTIFS($AF$4:$AF$97,$BD27,$D$4:$D$97,"Visitante",$E$4:$E$97,$BT27))</f>
        <v>2</v>
      </c>
      <c r="BV27" s="139" cm="1">
        <f t="array" ref="BV27">IF($BT27="-","-",COUNTIFS($AA$4:$AA$97,$BD27,$D$4:$D$97,"Empate",$F$4:$F$97,$BT27)+COUNTIFS($AF$4:$AF$97,$BD27,$D$4:$D$97,"Empate",$E$4:$E$97,$BT27))</f>
        <v>0</v>
      </c>
      <c r="BW27" s="139" cm="1">
        <f t="array" ref="BW27">IF($BT27="-","-",COUNTIFS($AA$4:$AA$97,$BD27,$D$4:$D$97,"Visitante",$F$4:$F$97,$BT27)+COUNTIFS($AF$4:$AF$97,$BD27,$D$4:$D$97,"Local",$E$4:$E$97,$BT27))</f>
        <v>1</v>
      </c>
      <c r="BX27" s="139" cm="1">
        <f t="array" ref="BX27">IF($BT27="-","-",BU27*3+BV27)</f>
        <v>6</v>
      </c>
      <c r="BY27" s="139">
        <v>1</v>
      </c>
      <c r="BZ27" s="112" t="s">
        <v>113</v>
      </c>
      <c r="CA27" s="139" cm="1">
        <f t="array" ref="CA27">IF($BZ27="-","-",SUMIFS($AC$4:$AC$97,$AA$4:$AA$97,$BD27,$I$4:$I$97,$BZ27)+SUMIFS($AD$4:$AD$97,$AF$4:$AF$97,$BD27,$H$4:$H$97,$BZ27))</f>
        <v>6</v>
      </c>
      <c r="CB27" s="139" cm="1">
        <f t="array" ref="CB27">IF($BZ27="-","-",SUMIFS($AD$4:$AD$97,$AA$4:$AA$97,$BD27,$I$4:$I$97,$BZ27)+SUMIFS($AC$4:$AC$97,$AF$4:$AF$97,$BD27,$H$4:$H$97,$BZ27))</f>
        <v>4</v>
      </c>
      <c r="CC27" s="139" cm="1">
        <f t="array" ref="CC27">IF($BZ27="-","-",CA27-CB27)</f>
        <v>2</v>
      </c>
      <c r="CD27" s="139">
        <v>1</v>
      </c>
      <c r="CE27" s="112" t="s">
        <v>113</v>
      </c>
      <c r="CF27" s="139" cm="1">
        <f t="array" ref="CF27">IF($CE27="-","-",SUMIFS($AC$4:$AC$97,$AA$4:$AA$97,$BD27,$L$4:$L$97,$CE27)+SUMIFS($AD$4:$AD$97,$AF$4:$AF$97,$BD27,$K$4:$K$97,$CE27))</f>
        <v>6</v>
      </c>
      <c r="CG27" s="139">
        <v>1</v>
      </c>
      <c r="CH27" s="112" t="s">
        <v>113</v>
      </c>
      <c r="CI27" s="139" cm="1">
        <f t="array" ref="CI27">IF($CH27="-","-",COUNTIFS($AA$4:$AA$97,$BD27,$D$4:$D$97,"Local",$O$4:$O$97,$CH27)+COUNTIFS($AF$4:$AF$97,$BD27,$D$4:$D$97,"Visitante",$N$4:$N$97,$CH27))</f>
        <v>2</v>
      </c>
      <c r="CJ27" s="139" cm="1">
        <f t="array" ref="CJ27">IF($CH27="-","-",COUNTIFS($AA$4:$AA$97,$BD27,$D$4:$D$97,"Empate",$O$4:$O$97,$CH27)+COUNTIFS($AF$4:$AF$97,$BD27,$D$4:$D$97,"Empate",$N$4:$N$97,$CH27))</f>
        <v>0</v>
      </c>
      <c r="CK27" s="139" cm="1">
        <f t="array" ref="CK27">IF($CH27="-","-",COUNTIFS($AA$4:$AA$97,$BD27,$D$4:$D$97,"Visitante",$O$4:$O$97,$CH27)+COUNTIFS($AF$4:$AF$97,$BD27,$D$4:$D$97,"Local",$N$4:$N$97,$CH27))</f>
        <v>1</v>
      </c>
      <c r="CL27" s="139" cm="1">
        <f t="array" ref="CL27">IF($CH27="-","-",CI27*3+CJ27)</f>
        <v>6</v>
      </c>
      <c r="CM27" s="139">
        <v>1</v>
      </c>
      <c r="CN27" s="112" t="s">
        <v>113</v>
      </c>
      <c r="CO27" s="139" cm="1">
        <f t="array" ref="CO27">IF($CN27="-","-",SUMIFS($AC$4:$AC$97,$AA$4:$AA$97,$BD27,$R$4:$R$97,$CN27)+SUMIFS($AD$4:$AD$97,$AF$4:$AF$97,$BD27,$Q$4:$Q$97,$CN27))</f>
        <v>6</v>
      </c>
      <c r="CP27" s="139" cm="1">
        <f t="array" ref="CP27">IF($CN27="-","-",SUMIFS($AD$4:$AD$97,$AA$4:$AA$97,$BD27,$R$4:$R$97,$CN27)+SUMIFS($AC$4:$AC$97,$AF$4:$AF$97,$BD27,$Q$4:$Q$97,$CN27))</f>
        <v>4</v>
      </c>
      <c r="CQ27" s="139" cm="1">
        <f t="array" ref="CQ27">IF($CN27="-","-",CO27-CP27)</f>
        <v>2</v>
      </c>
      <c r="CR27" s="139">
        <v>1</v>
      </c>
      <c r="CS27" s="112" t="s">
        <v>113</v>
      </c>
      <c r="CT27" s="139" cm="1">
        <f t="array" ref="CT27">IF($CS27="-","-",SUMIFS($AC$4:$AC$97,$AA$4:$AA$97,$BD27,$U$4:$U$97,$CS27)+SUMIFS($AD$4:$AD$97,$AF$4:$AF$97,$BD27,$T$4:$T$97,$CS27))</f>
        <v>6</v>
      </c>
      <c r="CU27" s="139">
        <v>1</v>
      </c>
      <c r="CV27" s="112" t="s">
        <v>113</v>
      </c>
      <c r="CW27" s="139" cm="1">
        <f t="array" ref="CW27">IF(CV27="-","-",BL27)</f>
        <v>2</v>
      </c>
      <c r="CX27" s="139">
        <v>1</v>
      </c>
      <c r="CY27" s="112" t="s">
        <v>113</v>
      </c>
      <c r="CZ27" s="139" cm="1">
        <f t="array" ref="CZ27">IF(CY27="-","-",BJ27)</f>
        <v>6</v>
      </c>
      <c r="DA27" s="139">
        <v>1</v>
      </c>
      <c r="DB27" s="112" t="s">
        <v>113</v>
      </c>
      <c r="DC27" s="139">
        <v>2</v>
      </c>
      <c r="DD27" s="139">
        <v>2</v>
      </c>
      <c r="DE27" s="126"/>
      <c r="DF27" s="139" cm="1">
        <f t="array" ref="DF27">IF(OR(INDEX($AW$6:$AW$97,MATCH($BD27,$AV$6:$AV$97,0))="",DB27="-"),DD27,INDEX($AW$6:$AW$97,MATCH($BD27,$AV$6:$AV$97,0))+DD27/1000)</f>
        <v>2</v>
      </c>
      <c r="DG27" s="139">
        <v>1</v>
      </c>
      <c r="DH27" s="139">
        <v>2</v>
      </c>
      <c r="DI27" s="126"/>
      <c r="DJ27" s="139" cm="1">
        <f t="array" ref="DJ27">INDEX($DA$6:$DA$53,MATCH($DQ27,$BD$6:$BD$53,0))</f>
        <v>1</v>
      </c>
      <c r="DK27" s="139" cm="1">
        <f t="array" ref="DK27">SUMIF($BC$6:$BC$53,BC27,$BF$6:$BF$53)</f>
        <v>12</v>
      </c>
      <c r="DL27" s="139" cm="1">
        <f t="array" ref="DL27">IF(OR(DK27=12,$AJ$99=144),COUNTIFS($DJ$6:$DJ$53,DJ27,$BC$6:$BC$53,BC27),1)</f>
        <v>4</v>
      </c>
      <c r="DM27" s="126" t="str" cm="1">
        <f t="array" ref="DM27">DJ27&amp;"."&amp;DL27</f>
        <v>1.4</v>
      </c>
      <c r="DN27" s="139">
        <v>1</v>
      </c>
      <c r="DO27" s="126"/>
      <c r="DP27" s="112" t="s">
        <v>160</v>
      </c>
      <c r="DQ27" s="126" t="str" cm="1">
        <f t="array" ref="DQ27">INDEX($BD$6:$BD$53,MATCH(DP27,$BM$6:$BM$53,0))</f>
        <v>Japón</v>
      </c>
      <c r="DR27" s="77"/>
      <c r="DS27" s="77"/>
      <c r="DT27" s="78"/>
      <c r="DU27" s="12"/>
    </row>
    <row r="28" spans="1:125" ht="16" customHeight="1" x14ac:dyDescent="0.2">
      <c r="A28" s="79" t="s">
        <v>45</v>
      </c>
      <c r="B28" s="79" t="s">
        <v>139</v>
      </c>
      <c r="C28" s="95">
        <v>4</v>
      </c>
      <c r="D28" s="68" t="str" cm="1">
        <f t="array" ref="D28">IF(OR(AC28="",AD28=""),"Pendiente",IF(AC28&gt;AD28,"Local",IF(AC28&lt;AD28,"Visitante","Empate")))</f>
        <v>Visitante</v>
      </c>
      <c r="E28" s="68" t="str" cm="1">
        <f t="array" ref="E28">IF(D28="Pendiente","-",INDEX($BT$6:$BT$53,MATCH($AA28,$BD$6:$BD$53,0)))</f>
        <v>P.1 (4)</v>
      </c>
      <c r="F28" s="68" t="str" cm="1">
        <f t="array" ref="F28">IF(D28="Pendiente","-",INDEX($BT$6:$BT$53,MATCH($AF28,$BD$6:$BD$53,0)))</f>
        <v>P.1 (4)</v>
      </c>
      <c r="G28" s="68"/>
      <c r="H28" s="68" t="str" cm="1">
        <f t="array" ref="H28">IF(D28="Pendiente","-",INDEX($BZ$6:$BZ$53,MATCH($AA28,$BD$6:$BD$53,0)))</f>
        <v>P.1 (4)</v>
      </c>
      <c r="I28" s="68" t="str" cm="1">
        <f t="array" ref="I28">IF(D28="Pendiente","-",INDEX($BZ$6:$BZ$53,MATCH($AF28,$BD$6:$BD$53,0)))</f>
        <v>P.1 (4)</v>
      </c>
      <c r="J28" s="68"/>
      <c r="K28" s="68" t="str" cm="1">
        <f t="array" ref="K28">IF(D28="Pendiente","-",INDEX($CE$6:$CE$53,MATCH($AA28,$BD$6:$BD$53,0)))</f>
        <v>P.1 (4)</v>
      </c>
      <c r="L28" s="68" t="str" cm="1">
        <f t="array" ref="L28">IF(D28="Pendiente","-",INDEX($CE$6:$CE$53,MATCH($AF28,$BD$6:$BD$53,0)))</f>
        <v>P.1 (4)</v>
      </c>
      <c r="M28" s="68"/>
      <c r="N28" s="68" t="str" cm="1">
        <f t="array" ref="N28">IF(D28="Pendiente","-",INDEX($CH$6:$CH$53,MATCH($AA28,$BD$6:$BD$53,0)))</f>
        <v>P.1 (4)</v>
      </c>
      <c r="O28" s="68" t="str" cm="1">
        <f t="array" ref="O28">IF(D28="Pendiente","-",INDEX($CH$6:$CH$53,MATCH($AF28,$BD$6:$BD$53,0)))</f>
        <v>P.1 (4)</v>
      </c>
      <c r="P28" s="68"/>
      <c r="Q28" s="68" t="str" cm="1">
        <f t="array" ref="Q28">IF(D28="Pendiente","-",INDEX($CN$6:$CN$53,MATCH($AA28,$BD$6:$BD$53,0)))</f>
        <v>P.1 (4)</v>
      </c>
      <c r="R28" s="68" t="str" cm="1">
        <f t="array" ref="R28">IF(D28="Pendiente","-",INDEX($CN$6:$CN$53,MATCH($AF28,$BD$6:$BD$53,0)))</f>
        <v>P.1 (4)</v>
      </c>
      <c r="S28" s="68"/>
      <c r="T28" s="68" t="str" cm="1">
        <f t="array" ref="T28">IF(D28="Pendiente","-",INDEX($CS$6:$CS$53,MATCH($AA28,$BD$6:$BD$53,0)))</f>
        <v>P.1 (4)</v>
      </c>
      <c r="U28" s="68" t="str" cm="1">
        <f t="array" ref="U28">IF(D28="Pendiente","-",INDEX($CS$6:$CS$53,MATCH($AF28,$BD$6:$BD$53,0)))</f>
        <v>P.1 (4)</v>
      </c>
      <c r="V28" s="80"/>
      <c r="W28" s="773" t="s">
        <v>139</v>
      </c>
      <c r="X28" s="96">
        <v>46185.875</v>
      </c>
      <c r="Y28" s="97">
        <v>46185.875</v>
      </c>
      <c r="Z28" s="113" t="str" cm="1">
        <f t="array" ref="Z28">$Z$4</f>
        <v>J1</v>
      </c>
      <c r="AA28" s="99" t="str" cm="1">
        <f t="array" ref="AA28">A29</f>
        <v>Estados Unidos</v>
      </c>
      <c r="AB28" s="100"/>
      <c r="AC28" s="101">
        <v>1</v>
      </c>
      <c r="AD28" s="101">
        <v>2</v>
      </c>
      <c r="AE28" s="102"/>
      <c r="AF28" s="103" t="str" cm="1">
        <f t="array" ref="AF28">A30</f>
        <v>Paraguay</v>
      </c>
      <c r="AG28" s="104" cm="1">
        <f t="array" ref="AG28">IF(NOT(OR(ISBLANK(AC28),ISBLANK(AD28))),1,0)</f>
        <v>1</v>
      </c>
      <c r="AH28" s="105">
        <v>4</v>
      </c>
      <c r="AI28" s="106"/>
      <c r="AJ28" s="784" t="str" cm="1">
        <f t="array" ref="AJ28">CONCATENATE(AJ3," ",B28)</f>
        <v>Grupo D</v>
      </c>
      <c r="AK28" s="785"/>
      <c r="AL28" s="785"/>
      <c r="AM28" s="785"/>
      <c r="AN28" s="785"/>
      <c r="AO28" s="785"/>
      <c r="AP28" s="785"/>
      <c r="AQ28" s="785"/>
      <c r="AR28" s="785"/>
      <c r="AS28" s="785"/>
      <c r="AT28" s="786"/>
      <c r="AU28" s="192"/>
      <c r="AV28" s="109" t="str" cm="1">
        <f t="array" ref="AV28">IF(AU29&gt;0,$AV$3,"")</f>
        <v>¡EMPATE! Puedes seleccionar el orden de los empatados.</v>
      </c>
      <c r="AW28" s="200"/>
      <c r="AX28" s="200"/>
      <c r="AY28" s="194"/>
      <c r="AZ28" s="195"/>
      <c r="BA28" s="8"/>
      <c r="BB28" s="77"/>
      <c r="BC28" s="112" t="s">
        <v>156</v>
      </c>
      <c r="BD28" s="112" t="s">
        <v>161</v>
      </c>
      <c r="BE28" s="139" cm="1">
        <f t="array" ref="BE28">BG28*3+BH28+IF($AZ$3="No",0,INDEX($AZ$6:$AZ$97,MATCH(BD28,$AY$6:$AY$97,0)))</f>
        <v>3</v>
      </c>
      <c r="BF28" s="139" cm="1">
        <f t="array" ref="BF28">BG28+BH28+BI28</f>
        <v>3</v>
      </c>
      <c r="BG28" s="139" cm="1">
        <f t="array" ref="BG28">COUNTIFS($AA$4:$AA$97,BD28,$D$4:$D$97,"Local")+COUNTIFS($AF$4:$AF$97,BD28,$D$4:$D$97,"Visitante")</f>
        <v>1</v>
      </c>
      <c r="BH28" s="139" cm="1">
        <f t="array" ref="BH28">COUNTIFS($AA$4:$AA$97,BD28,$D$4:$D$97,"Empate")+COUNTIFS($AF$4:$AF$97,BD28,$D$4:$D$97,"Empate")</f>
        <v>0</v>
      </c>
      <c r="BI28" s="139" cm="1">
        <f t="array" ref="BI28">COUNTIFS($AF$4:$AF$97,BD28,$D$4:$D$97,"Local")+COUNTIFS($AA$4:$AA$97,BD28,$D$4:$D$97,"Visitante")</f>
        <v>2</v>
      </c>
      <c r="BJ28" s="139" cm="1">
        <f t="array" ref="BJ28">SUMIFS($AC$4:$AC$97,$AA$4:$AA$97,BD28,$D$4:$D$97,"&lt;&gt;"&amp;"Pendiente",$AC$4:$AC$97,"&lt;&gt;"&amp;"",$AD$4:$AD$97,"&lt;&gt;"&amp;"")+SUMIFS($AD$4:$AD$97,$AF$4:$AF$97,BD28,$D$4:$D$97,"&lt;&gt;"&amp;"Pendiente",$AC$4:$AC$97,"&lt;&gt;"&amp;"",$AD$4:$AD$97,"&lt;&gt;"&amp;"")</f>
        <v>6</v>
      </c>
      <c r="BK28" s="139" cm="1">
        <f t="array" ref="BK28">SUMIFS($AC$4:$AC$97,$AF$4:$AF$97,BD28,$D$4:$D$97,"&lt;&gt;"&amp;"Pendiente",$AC$4:$AC$97,"&lt;&gt;"&amp;"",$AD$4:$AD$97,"&lt;&gt;"&amp;"")+SUMIFS($AD$4:$AD$97,$AA$4:$AA$97,BD28,$D$4:$D$97,"&lt;&gt;"&amp;"Pendiente",$AC$4:$AC$97,"&lt;&gt;"&amp;"",$AD$4:$AD$97,"&lt;&gt;"&amp;"")</f>
        <v>4</v>
      </c>
      <c r="BL28" s="139" cm="1">
        <f t="array" ref="BL28">BJ28-BK28</f>
        <v>2</v>
      </c>
      <c r="BM28" s="126" t="str" cm="1">
        <f t="array" ref="BM28">DD28&amp;BC28</f>
        <v>3F</v>
      </c>
      <c r="BN28" s="126" t="str" cm="1">
        <f t="array" ref="BN28">DH28&amp;BC28</f>
        <v>3F</v>
      </c>
      <c r="BO28" s="139" cm="1">
        <f t="array" ref="BO28">IF(AND($AJ$99=144,BF28&gt;=1),1,0)</f>
        <v>0</v>
      </c>
      <c r="BP28" s="139">
        <v>1</v>
      </c>
      <c r="BQ28" s="112" t="s">
        <v>113</v>
      </c>
      <c r="BR28" s="139" cm="1">
        <f t="array" ref="BR28">IF($BQ28="-","-",BE28)</f>
        <v>3</v>
      </c>
      <c r="BS28" s="139">
        <v>1</v>
      </c>
      <c r="BT28" s="112" t="s">
        <v>113</v>
      </c>
      <c r="BU28" s="139" cm="1">
        <f t="array" ref="BU28">IF($BT28="-","-",COUNTIFS($AA$4:$AA$97,$BD28,$D$4:$D$97,"Local",$F$4:$F$97,$BT28)+COUNTIFS($AF$4:$AF$97,$BD28,$D$4:$D$97,"Visitante",$E$4:$E$97,$BT28))</f>
        <v>1</v>
      </c>
      <c r="BV28" s="139" cm="1">
        <f t="array" ref="BV28">IF($BT28="-","-",COUNTIFS($AA$4:$AA$97,$BD28,$D$4:$D$97,"Empate",$F$4:$F$97,$BT28)+COUNTIFS($AF$4:$AF$97,$BD28,$D$4:$D$97,"Empate",$E$4:$E$97,$BT28))</f>
        <v>0</v>
      </c>
      <c r="BW28" s="139" cm="1">
        <f t="array" ref="BW28">IF($BT28="-","-",COUNTIFS($AA$4:$AA$97,$BD28,$D$4:$D$97,"Visitante",$F$4:$F$97,$BT28)+COUNTIFS($AF$4:$AF$97,$BD28,$D$4:$D$97,"Local",$E$4:$E$97,$BT28))</f>
        <v>2</v>
      </c>
      <c r="BX28" s="139" cm="1">
        <f t="array" ref="BX28">IF($BT28="-","-",BU28*3+BV28)</f>
        <v>3</v>
      </c>
      <c r="BY28" s="139">
        <v>1</v>
      </c>
      <c r="BZ28" s="112" t="s">
        <v>113</v>
      </c>
      <c r="CA28" s="139" cm="1">
        <f t="array" ref="CA28">IF($BZ28="-","-",SUMIFS($AC$4:$AC$97,$AA$4:$AA$97,$BD28,$I$4:$I$97,$BZ28)+SUMIFS($AD$4:$AD$97,$AF$4:$AF$97,$BD28,$H$4:$H$97,$BZ28))</f>
        <v>6</v>
      </c>
      <c r="CB28" s="139" cm="1">
        <f t="array" ref="CB28">IF($BZ28="-","-",SUMIFS($AD$4:$AD$97,$AA$4:$AA$97,$BD28,$I$4:$I$97,$BZ28)+SUMIFS($AC$4:$AC$97,$AF$4:$AF$97,$BD28,$H$4:$H$97,$BZ28))</f>
        <v>4</v>
      </c>
      <c r="CC28" s="139" cm="1">
        <f t="array" ref="CC28">IF($BZ28="-","-",CA28-CB28)</f>
        <v>2</v>
      </c>
      <c r="CD28" s="139">
        <v>1</v>
      </c>
      <c r="CE28" s="112" t="s">
        <v>113</v>
      </c>
      <c r="CF28" s="139" cm="1">
        <f t="array" ref="CF28">IF($CE28="-","-",SUMIFS($AC$4:$AC$97,$AA$4:$AA$97,$BD28,$L$4:$L$97,$CE28)+SUMIFS($AD$4:$AD$97,$AF$4:$AF$97,$BD28,$K$4:$K$97,$CE28))</f>
        <v>6</v>
      </c>
      <c r="CG28" s="139">
        <v>1</v>
      </c>
      <c r="CH28" s="112" t="s">
        <v>113</v>
      </c>
      <c r="CI28" s="139" cm="1">
        <f t="array" ref="CI28">IF($CH28="-","-",COUNTIFS($AA$4:$AA$97,$BD28,$D$4:$D$97,"Local",$O$4:$O$97,$CH28)+COUNTIFS($AF$4:$AF$97,$BD28,$D$4:$D$97,"Visitante",$N$4:$N$97,$CH28))</f>
        <v>1</v>
      </c>
      <c r="CJ28" s="139" cm="1">
        <f t="array" ref="CJ28">IF($CH28="-","-",COUNTIFS($AA$4:$AA$97,$BD28,$D$4:$D$97,"Empate",$O$4:$O$97,$CH28)+COUNTIFS($AF$4:$AF$97,$BD28,$D$4:$D$97,"Empate",$N$4:$N$97,$CH28))</f>
        <v>0</v>
      </c>
      <c r="CK28" s="139" cm="1">
        <f t="array" ref="CK28">IF($CH28="-","-",COUNTIFS($AA$4:$AA$97,$BD28,$D$4:$D$97,"Visitante",$O$4:$O$97,$CH28)+COUNTIFS($AF$4:$AF$97,$BD28,$D$4:$D$97,"Local",$N$4:$N$97,$CH28))</f>
        <v>2</v>
      </c>
      <c r="CL28" s="139" cm="1">
        <f t="array" ref="CL28">IF($CH28="-","-",CI28*3+CJ28)</f>
        <v>3</v>
      </c>
      <c r="CM28" s="139">
        <v>1</v>
      </c>
      <c r="CN28" s="112" t="s">
        <v>113</v>
      </c>
      <c r="CO28" s="139" cm="1">
        <f t="array" ref="CO28">IF($CN28="-","-",SUMIFS($AC$4:$AC$97,$AA$4:$AA$97,$BD28,$R$4:$R$97,$CN28)+SUMIFS($AD$4:$AD$97,$AF$4:$AF$97,$BD28,$Q$4:$Q$97,$CN28))</f>
        <v>6</v>
      </c>
      <c r="CP28" s="139" cm="1">
        <f t="array" ref="CP28">IF($CN28="-","-",SUMIFS($AD$4:$AD$97,$AA$4:$AA$97,$BD28,$R$4:$R$97,$CN28)+SUMIFS($AC$4:$AC$97,$AF$4:$AF$97,$BD28,$Q$4:$Q$97,$CN28))</f>
        <v>4</v>
      </c>
      <c r="CQ28" s="139" cm="1">
        <f t="array" ref="CQ28">IF($CN28="-","-",CO28-CP28)</f>
        <v>2</v>
      </c>
      <c r="CR28" s="139">
        <v>1</v>
      </c>
      <c r="CS28" s="112" t="s">
        <v>113</v>
      </c>
      <c r="CT28" s="139" cm="1">
        <f t="array" ref="CT28">IF($CS28="-","-",SUMIFS($AC$4:$AC$97,$AA$4:$AA$97,$BD28,$U$4:$U$97,$CS28)+SUMIFS($AD$4:$AD$97,$AF$4:$AF$97,$BD28,$T$4:$T$97,$CS28))</f>
        <v>6</v>
      </c>
      <c r="CU28" s="139">
        <v>1</v>
      </c>
      <c r="CV28" s="112" t="s">
        <v>113</v>
      </c>
      <c r="CW28" s="139" cm="1">
        <f t="array" ref="CW28">IF(CV28="-","-",BL28)</f>
        <v>2</v>
      </c>
      <c r="CX28" s="139">
        <v>1</v>
      </c>
      <c r="CY28" s="112" t="s">
        <v>113</v>
      </c>
      <c r="CZ28" s="139" cm="1">
        <f t="array" ref="CZ28">IF(CY28="-","-",BJ28)</f>
        <v>6</v>
      </c>
      <c r="DA28" s="139">
        <v>1</v>
      </c>
      <c r="DB28" s="112" t="s">
        <v>113</v>
      </c>
      <c r="DC28" s="139">
        <v>3</v>
      </c>
      <c r="DD28" s="139">
        <v>3</v>
      </c>
      <c r="DE28" s="126"/>
      <c r="DF28" s="139" cm="1">
        <f t="array" ref="DF28">IF(OR(INDEX($AW$6:$AW$97,MATCH($BD28,$AV$6:$AV$97,0))="",DB28="-"),DD28,INDEX($AW$6:$AW$97,MATCH($BD28,$AV$6:$AV$97,0))+DD28/1000)</f>
        <v>3</v>
      </c>
      <c r="DG28" s="139">
        <v>2</v>
      </c>
      <c r="DH28" s="139">
        <v>3</v>
      </c>
      <c r="DI28" s="126"/>
      <c r="DJ28" s="139" cm="1">
        <f t="array" ref="DJ28">INDEX($DA$6:$DA$53,MATCH($DQ28,$BD$6:$BD$53,0))</f>
        <v>1</v>
      </c>
      <c r="DK28" s="139" cm="1">
        <f t="array" ref="DK28">SUMIF($BC$6:$BC$53,BC28,$BF$6:$BF$53)</f>
        <v>12</v>
      </c>
      <c r="DL28" s="139" cm="1">
        <f t="array" ref="DL28">IF(OR(DK28=12,$AJ$99=144),COUNTIFS($DJ$6:$DJ$53,DJ28,$BC$6:$BC$53,BC28),1)</f>
        <v>4</v>
      </c>
      <c r="DM28" s="126" t="str" cm="1">
        <f t="array" ref="DM28">DJ28&amp;"."&amp;DL28</f>
        <v>1.4</v>
      </c>
      <c r="DN28" s="139">
        <v>1</v>
      </c>
      <c r="DO28" s="126"/>
      <c r="DP28" s="112" t="s">
        <v>162</v>
      </c>
      <c r="DQ28" s="126" t="str" cm="1">
        <f t="array" ref="DQ28">INDEX($BD$6:$BD$53,MATCH(DP28,$BM$6:$BM$53,0))</f>
        <v>Suecia</v>
      </c>
      <c r="DR28" s="77"/>
      <c r="DS28" s="77"/>
      <c r="DT28" s="78"/>
      <c r="DU28" s="12"/>
    </row>
    <row r="29" spans="1:125" ht="16" customHeight="1" x14ac:dyDescent="0.2">
      <c r="A29" s="79" t="s">
        <v>140</v>
      </c>
      <c r="B29" s="68"/>
      <c r="C29" s="68"/>
      <c r="D29" s="68" t="str" cm="1">
        <f t="array" ref="D29">IF(OR(AC29="",AD29=""),"Pendiente",IF(AC29&gt;AD29,"Local",IF(AC29&lt;AD29,"Visitante","Empate")))</f>
        <v>Visitante</v>
      </c>
      <c r="E29" s="68" t="str" cm="1">
        <f t="array" ref="E29">IF(D29="Pendiente","-",INDEX($BT$6:$BT$53,MATCH($AA29,$BD$6:$BD$53,0)))</f>
        <v>P.1 (4)</v>
      </c>
      <c r="F29" s="68" t="str" cm="1">
        <f t="array" ref="F29">IF(D29="Pendiente","-",INDEX($BT$6:$BT$53,MATCH($AF29,$BD$6:$BD$53,0)))</f>
        <v>P.1 (4)</v>
      </c>
      <c r="G29" s="68"/>
      <c r="H29" s="68" t="str" cm="1">
        <f t="array" ref="H29">IF(D29="Pendiente","-",INDEX($BZ$6:$BZ$53,MATCH($AA29,$BD$6:$BD$53,0)))</f>
        <v>P.1 (4)</v>
      </c>
      <c r="I29" s="68" t="str" cm="1">
        <f t="array" ref="I29">IF(D29="Pendiente","-",INDEX($BZ$6:$BZ$53,MATCH($AF29,$BD$6:$BD$53,0)))</f>
        <v>P.1 (4)</v>
      </c>
      <c r="J29" s="68"/>
      <c r="K29" s="68" t="str" cm="1">
        <f t="array" ref="K29">IF(D29="Pendiente","-",INDEX($CE$6:$CE$53,MATCH($AA29,$BD$6:$BD$53,0)))</f>
        <v>P.1 (4)</v>
      </c>
      <c r="L29" s="68" t="str" cm="1">
        <f t="array" ref="L29">IF(D29="Pendiente","-",INDEX($CE$6:$CE$53,MATCH($AF29,$BD$6:$BD$53,0)))</f>
        <v>P.1 (4)</v>
      </c>
      <c r="M29" s="68"/>
      <c r="N29" s="68" t="str" cm="1">
        <f t="array" ref="N29">IF(D29="Pendiente","-",INDEX($CH$6:$CH$53,MATCH($AA29,$BD$6:$BD$53,0)))</f>
        <v>P.1 (4)</v>
      </c>
      <c r="O29" s="68" t="str" cm="1">
        <f t="array" ref="O29">IF(D29="Pendiente","-",INDEX($CH$6:$CH$53,MATCH($AF29,$BD$6:$BD$53,0)))</f>
        <v>P.1 (4)</v>
      </c>
      <c r="P29" s="68"/>
      <c r="Q29" s="68" t="str" cm="1">
        <f t="array" ref="Q29">IF(D29="Pendiente","-",INDEX($CN$6:$CN$53,MATCH($AA29,$BD$6:$BD$53,0)))</f>
        <v>P.1 (4)</v>
      </c>
      <c r="R29" s="68" t="str" cm="1">
        <f t="array" ref="R29">IF(D29="Pendiente","-",INDEX($CN$6:$CN$53,MATCH($AF29,$BD$6:$BD$53,0)))</f>
        <v>P.1 (4)</v>
      </c>
      <c r="S29" s="68"/>
      <c r="T29" s="68" t="str" cm="1">
        <f t="array" ref="T29">IF(D29="Pendiente","-",INDEX($CS$6:$CS$53,MATCH($AA29,$BD$6:$BD$53,0)))</f>
        <v>P.1 (4)</v>
      </c>
      <c r="U29" s="68" t="str" cm="1">
        <f t="array" ref="U29">IF(D29="Pendiente","-",INDEX($CS$6:$CS$53,MATCH($AF29,$BD$6:$BD$53,0)))</f>
        <v>P.1 (4)</v>
      </c>
      <c r="V29" s="80"/>
      <c r="W29" s="761"/>
      <c r="X29" s="96">
        <v>46187</v>
      </c>
      <c r="Y29" s="97">
        <v>46187</v>
      </c>
      <c r="Z29" s="113" t="str" cm="1">
        <f t="array" ref="Z29">$Z$4</f>
        <v>J1</v>
      </c>
      <c r="AA29" s="99" t="str" cm="1">
        <f t="array" ref="AA29">A31</f>
        <v>Australia</v>
      </c>
      <c r="AB29" s="100"/>
      <c r="AC29" s="114">
        <v>0</v>
      </c>
      <c r="AD29" s="114">
        <v>4</v>
      </c>
      <c r="AE29" s="102"/>
      <c r="AF29" s="103" t="str" cm="1">
        <f t="array" ref="AF29">A32</f>
        <v>Turquía</v>
      </c>
      <c r="AG29" s="104" cm="1">
        <f t="array" ref="AG29">IF(NOT(OR(ISBLANK(AC29),ISBLANK(AD29))),1,0)</f>
        <v>1</v>
      </c>
      <c r="AH29" s="105">
        <v>6</v>
      </c>
      <c r="AI29" s="106"/>
      <c r="AJ29" s="196" t="str" cm="1">
        <f t="array" ref="AJ29">AJ5</f>
        <v>Pos</v>
      </c>
      <c r="AK29" s="116"/>
      <c r="AL29" s="197" t="str" cm="1">
        <f t="array" ref="AL29">AL5</f>
        <v>Selección</v>
      </c>
      <c r="AM29" s="116" t="str" cm="1">
        <f t="array" ref="AM29">AM5</f>
        <v>Pts</v>
      </c>
      <c r="AN29" s="116" t="str" cm="1">
        <f t="array" ref="AN29">AN5</f>
        <v>J</v>
      </c>
      <c r="AO29" s="116" t="str" cm="1">
        <f t="array" ref="AO29">AO5</f>
        <v>G</v>
      </c>
      <c r="AP29" s="116" t="str" cm="1">
        <f t="array" ref="AP29">AP5</f>
        <v>E</v>
      </c>
      <c r="AQ29" s="116" t="str" cm="1">
        <f t="array" ref="AQ29">AQ5</f>
        <v>P</v>
      </c>
      <c r="AR29" s="116" t="str" cm="1">
        <f t="array" ref="AR29">AR5</f>
        <v>GF</v>
      </c>
      <c r="AS29" s="116" t="str" cm="1">
        <f t="array" ref="AS29">AS5</f>
        <v>GC</v>
      </c>
      <c r="AT29" s="198" t="str" cm="1">
        <f t="array" ref="AT29">AT5</f>
        <v>DG</v>
      </c>
      <c r="AU29" s="199" cm="1">
        <f t="array" ref="AU29">COUNTIF(AU30:AU33,"&gt;1")</f>
        <v>4</v>
      </c>
      <c r="AV29" s="121"/>
      <c r="AW29" s="200"/>
      <c r="AX29" s="201"/>
      <c r="AY29" s="123" t="str" cm="1">
        <f t="array" ref="AY29">AL29</f>
        <v>Selección</v>
      </c>
      <c r="AZ29" s="124" t="s">
        <v>60</v>
      </c>
      <c r="BA29" s="125"/>
      <c r="BB29" s="77"/>
      <c r="BC29" s="112" t="s">
        <v>156</v>
      </c>
      <c r="BD29" s="112" t="s">
        <v>163</v>
      </c>
      <c r="BE29" s="139" cm="1">
        <f t="array" ref="BE29">BG29*3+BH29+IF($AZ$3="No",0,INDEX($AZ$6:$AZ$97,MATCH(BD29,$AY$6:$AY$97,0)))</f>
        <v>0</v>
      </c>
      <c r="BF29" s="139" cm="1">
        <f t="array" ref="BF29">BG29+BH29+BI29</f>
        <v>3</v>
      </c>
      <c r="BG29" s="139" cm="1">
        <f t="array" ref="BG29">COUNTIFS($AA$4:$AA$97,BD29,$D$4:$D$97,"Local")+COUNTIFS($AF$4:$AF$97,BD29,$D$4:$D$97,"Visitante")</f>
        <v>0</v>
      </c>
      <c r="BH29" s="139" cm="1">
        <f t="array" ref="BH29">COUNTIFS($AA$4:$AA$97,BD29,$D$4:$D$97,"Empate")+COUNTIFS($AF$4:$AF$97,BD29,$D$4:$D$97,"Empate")</f>
        <v>0</v>
      </c>
      <c r="BI29" s="139" cm="1">
        <f t="array" ref="BI29">COUNTIFS($AF$4:$AF$97,BD29,$D$4:$D$97,"Local")+COUNTIFS($AA$4:$AA$97,BD29,$D$4:$D$97,"Visitante")</f>
        <v>3</v>
      </c>
      <c r="BJ29" s="139" cm="1">
        <f t="array" ref="BJ29">SUMIFS($AC$4:$AC$97,$AA$4:$AA$97,BD29,$D$4:$D$97,"&lt;&gt;"&amp;"Pendiente",$AC$4:$AC$97,"&lt;&gt;"&amp;"",$AD$4:$AD$97,"&lt;&gt;"&amp;"")+SUMIFS($AD$4:$AD$97,$AF$4:$AF$97,BD29,$D$4:$D$97,"&lt;&gt;"&amp;"Pendiente",$AC$4:$AC$97,"&lt;&gt;"&amp;"",$AD$4:$AD$97,"&lt;&gt;"&amp;"")</f>
        <v>0</v>
      </c>
      <c r="BK29" s="139" cm="1">
        <f t="array" ref="BK29">SUMIFS($AC$4:$AC$97,$AF$4:$AF$97,BD29,$D$4:$D$97,"&lt;&gt;"&amp;"Pendiente",$AC$4:$AC$97,"&lt;&gt;"&amp;"",$AD$4:$AD$97,"&lt;&gt;"&amp;"")+SUMIFS($AD$4:$AD$97,$AA$4:$AA$97,BD29,$D$4:$D$97,"&lt;&gt;"&amp;"Pendiente",$AC$4:$AC$97,"&lt;&gt;"&amp;"",$AD$4:$AD$97,"&lt;&gt;"&amp;"")</f>
        <v>11</v>
      </c>
      <c r="BL29" s="139" cm="1">
        <f t="array" ref="BL29">BJ29-BK29</f>
        <v>-11</v>
      </c>
      <c r="BM29" s="126" t="str" cm="1">
        <f t="array" ref="BM29">DD29&amp;BC29</f>
        <v>4F</v>
      </c>
      <c r="BN29" s="126" t="str" cm="1">
        <f t="array" ref="BN29">DH29&amp;BC29</f>
        <v>4F</v>
      </c>
      <c r="BO29" s="139" cm="1">
        <f t="array" ref="BO29">IF(AND($AJ$99=144,BF29&gt;=1),1,0)</f>
        <v>0</v>
      </c>
      <c r="BP29" s="139">
        <v>1</v>
      </c>
      <c r="BQ29" s="112" t="s">
        <v>113</v>
      </c>
      <c r="BR29" s="139" cm="1">
        <f t="array" ref="BR29">IF($BQ29="-","-",BE29)</f>
        <v>0</v>
      </c>
      <c r="BS29" s="139">
        <v>1</v>
      </c>
      <c r="BT29" s="112" t="s">
        <v>113</v>
      </c>
      <c r="BU29" s="139" cm="1">
        <f t="array" ref="BU29">IF($BT29="-","-",COUNTIFS($AA$4:$AA$97,$BD29,$D$4:$D$97,"Local",$F$4:$F$97,$BT29)+COUNTIFS($AF$4:$AF$97,$BD29,$D$4:$D$97,"Visitante",$E$4:$E$97,$BT29))</f>
        <v>0</v>
      </c>
      <c r="BV29" s="139" cm="1">
        <f t="array" ref="BV29">IF($BT29="-","-",COUNTIFS($AA$4:$AA$97,$BD29,$D$4:$D$97,"Empate",$F$4:$F$97,$BT29)+COUNTIFS($AF$4:$AF$97,$BD29,$D$4:$D$97,"Empate",$E$4:$E$97,$BT29))</f>
        <v>0</v>
      </c>
      <c r="BW29" s="139" cm="1">
        <f t="array" ref="BW29">IF($BT29="-","-",COUNTIFS($AA$4:$AA$97,$BD29,$D$4:$D$97,"Visitante",$F$4:$F$97,$BT29)+COUNTIFS($AF$4:$AF$97,$BD29,$D$4:$D$97,"Local",$E$4:$E$97,$BT29))</f>
        <v>3</v>
      </c>
      <c r="BX29" s="139" cm="1">
        <f t="array" ref="BX29">IF($BT29="-","-",BU29*3+BV29)</f>
        <v>0</v>
      </c>
      <c r="BY29" s="139">
        <v>1</v>
      </c>
      <c r="BZ29" s="112" t="s">
        <v>113</v>
      </c>
      <c r="CA29" s="139" cm="1">
        <f t="array" ref="CA29">IF($BZ29="-","-",SUMIFS($AC$4:$AC$97,$AA$4:$AA$97,$BD29,$I$4:$I$97,$BZ29)+SUMIFS($AD$4:$AD$97,$AF$4:$AF$97,$BD29,$H$4:$H$97,$BZ29))</f>
        <v>0</v>
      </c>
      <c r="CB29" s="139" cm="1">
        <f t="array" ref="CB29">IF($BZ29="-","-",SUMIFS($AD$4:$AD$97,$AA$4:$AA$97,$BD29,$I$4:$I$97,$BZ29)+SUMIFS($AC$4:$AC$97,$AF$4:$AF$97,$BD29,$H$4:$H$97,$BZ29))</f>
        <v>11</v>
      </c>
      <c r="CC29" s="139" cm="1">
        <f t="array" ref="CC29">IF($BZ29="-","-",CA29-CB29)</f>
        <v>-11</v>
      </c>
      <c r="CD29" s="139">
        <v>1</v>
      </c>
      <c r="CE29" s="112" t="s">
        <v>113</v>
      </c>
      <c r="CF29" s="139" cm="1">
        <f t="array" ref="CF29">IF($CE29="-","-",SUMIFS($AC$4:$AC$97,$AA$4:$AA$97,$BD29,$L$4:$L$97,$CE29)+SUMIFS($AD$4:$AD$97,$AF$4:$AF$97,$BD29,$K$4:$K$97,$CE29))</f>
        <v>0</v>
      </c>
      <c r="CG29" s="139">
        <v>1</v>
      </c>
      <c r="CH29" s="112" t="s">
        <v>113</v>
      </c>
      <c r="CI29" s="139" cm="1">
        <f t="array" ref="CI29">IF($CH29="-","-",COUNTIFS($AA$4:$AA$97,$BD29,$D$4:$D$97,"Local",$O$4:$O$97,$CH29)+COUNTIFS($AF$4:$AF$97,$BD29,$D$4:$D$97,"Visitante",$N$4:$N$97,$CH29))</f>
        <v>0</v>
      </c>
      <c r="CJ29" s="139" cm="1">
        <f t="array" ref="CJ29">IF($CH29="-","-",COUNTIFS($AA$4:$AA$97,$BD29,$D$4:$D$97,"Empate",$O$4:$O$97,$CH29)+COUNTIFS($AF$4:$AF$97,$BD29,$D$4:$D$97,"Empate",$N$4:$N$97,$CH29))</f>
        <v>0</v>
      </c>
      <c r="CK29" s="139" cm="1">
        <f t="array" ref="CK29">IF($CH29="-","-",COUNTIFS($AA$4:$AA$97,$BD29,$D$4:$D$97,"Visitante",$O$4:$O$97,$CH29)+COUNTIFS($AF$4:$AF$97,$BD29,$D$4:$D$97,"Local",$N$4:$N$97,$CH29))</f>
        <v>3</v>
      </c>
      <c r="CL29" s="139" cm="1">
        <f t="array" ref="CL29">IF($CH29="-","-",CI29*3+CJ29)</f>
        <v>0</v>
      </c>
      <c r="CM29" s="139">
        <v>1</v>
      </c>
      <c r="CN29" s="112" t="s">
        <v>113</v>
      </c>
      <c r="CO29" s="139" cm="1">
        <f t="array" ref="CO29">IF($CN29="-","-",SUMIFS($AC$4:$AC$97,$AA$4:$AA$97,$BD29,$R$4:$R$97,$CN29)+SUMIFS($AD$4:$AD$97,$AF$4:$AF$97,$BD29,$Q$4:$Q$97,$CN29))</f>
        <v>0</v>
      </c>
      <c r="CP29" s="139" cm="1">
        <f t="array" ref="CP29">IF($CN29="-","-",SUMIFS($AD$4:$AD$97,$AA$4:$AA$97,$BD29,$R$4:$R$97,$CN29)+SUMIFS($AC$4:$AC$97,$AF$4:$AF$97,$BD29,$Q$4:$Q$97,$CN29))</f>
        <v>11</v>
      </c>
      <c r="CQ29" s="139" cm="1">
        <f t="array" ref="CQ29">IF($CN29="-","-",CO29-CP29)</f>
        <v>-11</v>
      </c>
      <c r="CR29" s="139">
        <v>1</v>
      </c>
      <c r="CS29" s="112" t="s">
        <v>113</v>
      </c>
      <c r="CT29" s="139" cm="1">
        <f t="array" ref="CT29">IF($CS29="-","-",SUMIFS($AC$4:$AC$97,$AA$4:$AA$97,$BD29,$U$4:$U$97,$CS29)+SUMIFS($AD$4:$AD$97,$AF$4:$AF$97,$BD29,$T$4:$T$97,$CS29))</f>
        <v>0</v>
      </c>
      <c r="CU29" s="139">
        <v>1</v>
      </c>
      <c r="CV29" s="112" t="s">
        <v>113</v>
      </c>
      <c r="CW29" s="139" cm="1">
        <f t="array" ref="CW29">IF(CV29="-","-",BL29)</f>
        <v>-11</v>
      </c>
      <c r="CX29" s="139">
        <v>1</v>
      </c>
      <c r="CY29" s="112" t="s">
        <v>113</v>
      </c>
      <c r="CZ29" s="139" cm="1">
        <f t="array" ref="CZ29">IF(CY29="-","-",BJ29)</f>
        <v>0</v>
      </c>
      <c r="DA29" s="139">
        <v>1</v>
      </c>
      <c r="DB29" s="112" t="s">
        <v>113</v>
      </c>
      <c r="DC29" s="139">
        <v>4</v>
      </c>
      <c r="DD29" s="139">
        <v>4</v>
      </c>
      <c r="DE29" s="126"/>
      <c r="DF29" s="139" cm="1">
        <f t="array" ref="DF29">IF(OR(INDEX($AW$6:$AW$97,MATCH($BD29,$AV$6:$AV$97,0))="",DB29="-"),DD29,INDEX($AW$6:$AW$97,MATCH($BD29,$AV$6:$AV$97,0))+DD29/1000)</f>
        <v>4</v>
      </c>
      <c r="DG29" s="139">
        <v>3</v>
      </c>
      <c r="DH29" s="139">
        <v>4</v>
      </c>
      <c r="DI29" s="126"/>
      <c r="DJ29" s="139" cm="1">
        <f t="array" ref="DJ29">INDEX($DA$6:$DA$53,MATCH($DQ29,$BD$6:$BD$53,0))</f>
        <v>1</v>
      </c>
      <c r="DK29" s="139" cm="1">
        <f t="array" ref="DK29">SUMIF($BC$6:$BC$53,BC29,$BF$6:$BF$53)</f>
        <v>12</v>
      </c>
      <c r="DL29" s="139" cm="1">
        <f t="array" ref="DL29">IF(OR(DK29=12,$AJ$99=144),COUNTIFS($DJ$6:$DJ$53,DJ29,$BC$6:$BC$53,BC29),1)</f>
        <v>4</v>
      </c>
      <c r="DM29" s="126" t="str" cm="1">
        <f t="array" ref="DM29">DJ29&amp;"."&amp;DL29</f>
        <v>1.4</v>
      </c>
      <c r="DN29" s="139">
        <v>1</v>
      </c>
      <c r="DO29" s="126"/>
      <c r="DP29" s="112" t="s">
        <v>164</v>
      </c>
      <c r="DQ29" s="126" t="str" cm="1">
        <f t="array" ref="DQ29">INDEX($BD$6:$BD$53,MATCH(DP29,$BM$6:$BM$53,0))</f>
        <v>Túnez</v>
      </c>
      <c r="DR29" s="77"/>
      <c r="DS29" s="77"/>
      <c r="DT29" s="78"/>
      <c r="DU29" s="12"/>
    </row>
    <row r="30" spans="1:125" ht="16" customHeight="1" x14ac:dyDescent="0.2">
      <c r="A30" s="79" t="s">
        <v>142</v>
      </c>
      <c r="B30" s="68"/>
      <c r="C30" s="68"/>
      <c r="D30" s="68" t="str" cm="1">
        <f t="array" ref="D30">IF(OR(AC30="",AD30=""),"Pendiente",IF(AC30&gt;AD30,"Local",IF(AC30&lt;AD30,"Visitante","Empate")))</f>
        <v>Local</v>
      </c>
      <c r="E30" s="68" t="str" cm="1">
        <f t="array" ref="E30">IF(D30="Pendiente","-",INDEX($BT$6:$BT$53,MATCH($AA30,$BD$6:$BD$53,0)))</f>
        <v>P.1 (4)</v>
      </c>
      <c r="F30" s="68" t="str" cm="1">
        <f t="array" ref="F30">IF(D30="Pendiente","-",INDEX($BT$6:$BT$53,MATCH($AF30,$BD$6:$BD$53,0)))</f>
        <v>P.1 (4)</v>
      </c>
      <c r="G30" s="68"/>
      <c r="H30" s="68" t="str" cm="1">
        <f t="array" ref="H30">IF(D30="Pendiente","-",INDEX($BZ$6:$BZ$53,MATCH($AA30,$BD$6:$BD$53,0)))</f>
        <v>P.1 (4)</v>
      </c>
      <c r="I30" s="68" t="str" cm="1">
        <f t="array" ref="I30">IF(D30="Pendiente","-",INDEX($BZ$6:$BZ$53,MATCH($AF30,$BD$6:$BD$53,0)))</f>
        <v>P.1 (4)</v>
      </c>
      <c r="J30" s="68"/>
      <c r="K30" s="68" t="str" cm="1">
        <f t="array" ref="K30">IF(D30="Pendiente","-",INDEX($CE$6:$CE$53,MATCH($AA30,$BD$6:$BD$53,0)))</f>
        <v>P.1 (4)</v>
      </c>
      <c r="L30" s="68" t="str" cm="1">
        <f t="array" ref="L30">IF(D30="Pendiente","-",INDEX($CE$6:$CE$53,MATCH($AF30,$BD$6:$BD$53,0)))</f>
        <v>P.1 (4)</v>
      </c>
      <c r="M30" s="68"/>
      <c r="N30" s="68" t="str" cm="1">
        <f t="array" ref="N30">IF(D30="Pendiente","-",INDEX($CH$6:$CH$53,MATCH($AA30,$BD$6:$BD$53,0)))</f>
        <v>P.1 (4)</v>
      </c>
      <c r="O30" s="68" t="str" cm="1">
        <f t="array" ref="O30">IF(D30="Pendiente","-",INDEX($CH$6:$CH$53,MATCH($AF30,$BD$6:$BD$53,0)))</f>
        <v>P.1 (4)</v>
      </c>
      <c r="P30" s="68"/>
      <c r="Q30" s="68" t="str" cm="1">
        <f t="array" ref="Q30">IF(D30="Pendiente","-",INDEX($CN$6:$CN$53,MATCH($AA30,$BD$6:$BD$53,0)))</f>
        <v>P.1 (4)</v>
      </c>
      <c r="R30" s="68" t="str" cm="1">
        <f t="array" ref="R30">IF(D30="Pendiente","-",INDEX($CN$6:$CN$53,MATCH($AF30,$BD$6:$BD$53,0)))</f>
        <v>P.1 (4)</v>
      </c>
      <c r="S30" s="68"/>
      <c r="T30" s="68" t="str" cm="1">
        <f t="array" ref="T30">IF(D30="Pendiente","-",INDEX($CS$6:$CS$53,MATCH($AA30,$BD$6:$BD$53,0)))</f>
        <v>P.1 (4)</v>
      </c>
      <c r="U30" s="68" t="str" cm="1">
        <f t="array" ref="U30">IF(D30="Pendiente","-",INDEX($CS$6:$CS$53,MATCH($AF30,$BD$6:$BD$53,0)))</f>
        <v>P.1 (4)</v>
      </c>
      <c r="V30" s="80"/>
      <c r="W30" s="762"/>
      <c r="X30" s="96">
        <v>46192.625</v>
      </c>
      <c r="Y30" s="97">
        <v>46192.625</v>
      </c>
      <c r="Z30" s="113" t="str" cm="1">
        <f t="array" ref="Z30">$Z$6</f>
        <v>J2</v>
      </c>
      <c r="AA30" s="99" t="str" cm="1">
        <f t="array" ref="AA30">A29</f>
        <v>Estados Unidos</v>
      </c>
      <c r="AB30" s="100"/>
      <c r="AC30" s="114">
        <v>2</v>
      </c>
      <c r="AD30" s="114">
        <v>1</v>
      </c>
      <c r="AE30" s="102"/>
      <c r="AF30" s="103" t="str" cm="1">
        <f t="array" ref="AF30">A31</f>
        <v>Australia</v>
      </c>
      <c r="AG30" s="104" cm="1">
        <f t="array" ref="AG30">IF(NOT(OR(ISBLANK(AC30),ISBLANK(AD30))),1,0)</f>
        <v>1</v>
      </c>
      <c r="AH30" s="105">
        <v>32</v>
      </c>
      <c r="AI30" s="106" t="str" cm="1">
        <f t="array" ref="AI30">AJ30&amp;$B$28</f>
        <v>1D</v>
      </c>
      <c r="AJ30" s="127">
        <v>1</v>
      </c>
      <c r="AK30" s="204"/>
      <c r="AL30" s="129" t="str" cm="1">
        <f t="array" ref="AL30">IFERROR(INDEX($BD$6:$BD$53,MATCH(AI30,$BN$6:$BN$53,0)),"")</f>
        <v>Estados Unidos</v>
      </c>
      <c r="AM30" s="130" cm="1">
        <f t="array" ref="AM30">INDEX($BE$6:$BN$53,MATCH($AL30,$BD$6:$BD$53,0),MATCH(AM$5,$BE$5:$BN$5,0))</f>
        <v>3</v>
      </c>
      <c r="AN30" s="131" cm="1">
        <f t="array" ref="AN30">INDEX($BE$6:$BN$53,MATCH($AL30,$BD$6:$BD$53,0),MATCH(AN$5,$BE$5:$BN$5,0))</f>
        <v>3</v>
      </c>
      <c r="AO30" s="131" cm="1">
        <f t="array" ref="AO30">INDEX($BE$6:$BN$53,MATCH($AL30,$BD$6:$BD$53,0),MATCH(AO$5,$BE$5:$BN$5,0))</f>
        <v>1</v>
      </c>
      <c r="AP30" s="131" cm="1">
        <f t="array" ref="AP30">INDEX($BE$6:$BN$53,MATCH($AL30,$BD$6:$BD$53,0),MATCH(AP$5,$BE$5:$BN$5,0))</f>
        <v>0</v>
      </c>
      <c r="AQ30" s="131" cm="1">
        <f t="array" ref="AQ30">INDEX($BE$6:$BN$53,MATCH($AL30,$BD$6:$BD$53,0),MATCH(AQ$5,$BE$5:$BN$5,0))</f>
        <v>2</v>
      </c>
      <c r="AR30" s="131" cm="1">
        <f t="array" ref="AR30">INDEX($BE$6:$BN$53,MATCH($AL30,$BD$6:$BD$53,0),MATCH(AR$5,$BE$5:$BN$5,0))</f>
        <v>4</v>
      </c>
      <c r="AS30" s="131" cm="1">
        <f t="array" ref="AS30">INDEX($BE$6:$BN$53,MATCH($AL30,$BD$6:$BD$53,0),MATCH(AS$5,$BE$5:$BN$5,0))</f>
        <v>5</v>
      </c>
      <c r="AT30" s="132" cm="1">
        <f t="array" ref="AT30">INDEX($BE$6:$BN$53,MATCH($AL30,$BD$6:$BD$53,0),MATCH(AT$5,$BE$5:$BN$5,0))</f>
        <v>-1</v>
      </c>
      <c r="AU30" s="133" cm="1">
        <f t="array" ref="AU30">INDEX($DL$6:$DL$53,MATCH(AI30,$DP$6:$DP$53,0))</f>
        <v>4</v>
      </c>
      <c r="AV30" s="134" t="str" cm="1">
        <f t="array" ref="AV30">INDEX($BD$6:$BD$53,MATCH(AI30,$BM$6:$BM$53,0))</f>
        <v>Estados Unidos</v>
      </c>
      <c r="AW30" s="135"/>
      <c r="AX30" s="136"/>
      <c r="AY30" s="137" t="str" cm="1">
        <f t="array" ref="AY30">A29</f>
        <v>Estados Unidos</v>
      </c>
      <c r="AZ30" s="138"/>
      <c r="BA30" s="125"/>
      <c r="BB30" s="77"/>
      <c r="BC30" s="112" t="s">
        <v>54</v>
      </c>
      <c r="BD30" s="112" t="s">
        <v>165</v>
      </c>
      <c r="BE30" s="139" cm="1">
        <f t="array" ref="BE30">BG30*3+BH30+IF($AZ$3="No",0,INDEX($AZ$6:$AZ$97,MATCH(BD30,$AY$6:$AY$97,0)))</f>
        <v>9</v>
      </c>
      <c r="BF30" s="139" cm="1">
        <f t="array" ref="BF30">BG30+BH30+BI30</f>
        <v>3</v>
      </c>
      <c r="BG30" s="139" cm="1">
        <f t="array" ref="BG30">COUNTIFS($AA$4:$AA$97,BD30,$D$4:$D$97,"Local")+COUNTIFS($AF$4:$AF$97,BD30,$D$4:$D$97,"Visitante")</f>
        <v>3</v>
      </c>
      <c r="BH30" s="139" cm="1">
        <f t="array" ref="BH30">COUNTIFS($AA$4:$AA$97,BD30,$D$4:$D$97,"Empate")+COUNTIFS($AF$4:$AF$97,BD30,$D$4:$D$97,"Empate")</f>
        <v>0</v>
      </c>
      <c r="BI30" s="139" cm="1">
        <f t="array" ref="BI30">COUNTIFS($AF$4:$AF$97,BD30,$D$4:$D$97,"Local")+COUNTIFS($AA$4:$AA$97,BD30,$D$4:$D$97,"Visitante")</f>
        <v>0</v>
      </c>
      <c r="BJ30" s="139" cm="1">
        <f t="array" ref="BJ30">SUMIFS($AC$4:$AC$97,$AA$4:$AA$97,BD30,$D$4:$D$97,"&lt;&gt;"&amp;"Pendiente",$AC$4:$AC$97,"&lt;&gt;"&amp;"",$AD$4:$AD$97,"&lt;&gt;"&amp;"")+SUMIFS($AD$4:$AD$97,$AF$4:$AF$97,BD30,$D$4:$D$97,"&lt;&gt;"&amp;"Pendiente",$AC$4:$AC$97,"&lt;&gt;"&amp;"",$AD$4:$AD$97,"&lt;&gt;"&amp;"")</f>
        <v>9</v>
      </c>
      <c r="BK30" s="139" cm="1">
        <f t="array" ref="BK30">SUMIFS($AC$4:$AC$97,$AF$4:$AF$97,BD30,$D$4:$D$97,"&lt;&gt;"&amp;"Pendiente",$AC$4:$AC$97,"&lt;&gt;"&amp;"",$AD$4:$AD$97,"&lt;&gt;"&amp;"")+SUMIFS($AD$4:$AD$97,$AA$4:$AA$97,BD30,$D$4:$D$97,"&lt;&gt;"&amp;"Pendiente",$AC$4:$AC$97,"&lt;&gt;"&amp;"",$AD$4:$AD$97,"&lt;&gt;"&amp;"")</f>
        <v>1</v>
      </c>
      <c r="BL30" s="139" cm="1">
        <f t="array" ref="BL30">BJ30-BK30</f>
        <v>8</v>
      </c>
      <c r="BM30" s="126" t="str" cm="1">
        <f t="array" ref="BM30">DD30&amp;BC30</f>
        <v>1G</v>
      </c>
      <c r="BN30" s="126" t="str" cm="1">
        <f t="array" ref="BN30">DH30&amp;BC30</f>
        <v>1G</v>
      </c>
      <c r="BO30" s="139" cm="1">
        <f t="array" ref="BO30">IF(AND($AJ$99=144,BF30&gt;=1),1,0)</f>
        <v>0</v>
      </c>
      <c r="BP30" s="139">
        <v>1</v>
      </c>
      <c r="BQ30" s="112" t="s">
        <v>113</v>
      </c>
      <c r="BR30" s="139" cm="1">
        <f t="array" ref="BR30">IF($BQ30="-","-",BE30)</f>
        <v>9</v>
      </c>
      <c r="BS30" s="139">
        <v>1</v>
      </c>
      <c r="BT30" s="112" t="s">
        <v>113</v>
      </c>
      <c r="BU30" s="139" cm="1">
        <f t="array" ref="BU30">IF($BT30="-","-",COUNTIFS($AA$4:$AA$97,$BD30,$D$4:$D$97,"Local",$F$4:$F$97,$BT30)+COUNTIFS($AF$4:$AF$97,$BD30,$D$4:$D$97,"Visitante",$E$4:$E$97,$BT30))</f>
        <v>3</v>
      </c>
      <c r="BV30" s="139" cm="1">
        <f t="array" ref="BV30">IF($BT30="-","-",COUNTIFS($AA$4:$AA$97,$BD30,$D$4:$D$97,"Empate",$F$4:$F$97,$BT30)+COUNTIFS($AF$4:$AF$97,$BD30,$D$4:$D$97,"Empate",$E$4:$E$97,$BT30))</f>
        <v>0</v>
      </c>
      <c r="BW30" s="139" cm="1">
        <f t="array" ref="BW30">IF($BT30="-","-",COUNTIFS($AA$4:$AA$97,$BD30,$D$4:$D$97,"Visitante",$F$4:$F$97,$BT30)+COUNTIFS($AF$4:$AF$97,$BD30,$D$4:$D$97,"Local",$E$4:$E$97,$BT30))</f>
        <v>0</v>
      </c>
      <c r="BX30" s="139" cm="1">
        <f t="array" ref="BX30">IF($BT30="-","-",BU30*3+BV30)</f>
        <v>9</v>
      </c>
      <c r="BY30" s="139">
        <v>1</v>
      </c>
      <c r="BZ30" s="112" t="s">
        <v>113</v>
      </c>
      <c r="CA30" s="139" cm="1">
        <f t="array" ref="CA30">IF($BZ30="-","-",SUMIFS($AC$4:$AC$97,$AA$4:$AA$97,$BD30,$I$4:$I$97,$BZ30)+SUMIFS($AD$4:$AD$97,$AF$4:$AF$97,$BD30,$H$4:$H$97,$BZ30))</f>
        <v>9</v>
      </c>
      <c r="CB30" s="139" cm="1">
        <f t="array" ref="CB30">IF($BZ30="-","-",SUMIFS($AD$4:$AD$97,$AA$4:$AA$97,$BD30,$I$4:$I$97,$BZ30)+SUMIFS($AC$4:$AC$97,$AF$4:$AF$97,$BD30,$H$4:$H$97,$BZ30))</f>
        <v>1</v>
      </c>
      <c r="CC30" s="139" cm="1">
        <f t="array" ref="CC30">IF($BZ30="-","-",CA30-CB30)</f>
        <v>8</v>
      </c>
      <c r="CD30" s="139">
        <v>1</v>
      </c>
      <c r="CE30" s="112" t="s">
        <v>113</v>
      </c>
      <c r="CF30" s="139" cm="1">
        <f t="array" ref="CF30">IF($CE30="-","-",SUMIFS($AC$4:$AC$97,$AA$4:$AA$97,$BD30,$L$4:$L$97,$CE30)+SUMIFS($AD$4:$AD$97,$AF$4:$AF$97,$BD30,$K$4:$K$97,$CE30))</f>
        <v>9</v>
      </c>
      <c r="CG30" s="139">
        <v>1</v>
      </c>
      <c r="CH30" s="112" t="s">
        <v>113</v>
      </c>
      <c r="CI30" s="139" cm="1">
        <f t="array" ref="CI30">IF($CH30="-","-",COUNTIFS($AA$4:$AA$97,$BD30,$D$4:$D$97,"Local",$O$4:$O$97,$CH30)+COUNTIFS($AF$4:$AF$97,$BD30,$D$4:$D$97,"Visitante",$N$4:$N$97,$CH30))</f>
        <v>3</v>
      </c>
      <c r="CJ30" s="139" cm="1">
        <f t="array" ref="CJ30">IF($CH30="-","-",COUNTIFS($AA$4:$AA$97,$BD30,$D$4:$D$97,"Empate",$O$4:$O$97,$CH30)+COUNTIFS($AF$4:$AF$97,$BD30,$D$4:$D$97,"Empate",$N$4:$N$97,$CH30))</f>
        <v>0</v>
      </c>
      <c r="CK30" s="139" cm="1">
        <f t="array" ref="CK30">IF($CH30="-","-",COUNTIFS($AA$4:$AA$97,$BD30,$D$4:$D$97,"Visitante",$O$4:$O$97,$CH30)+COUNTIFS($AF$4:$AF$97,$BD30,$D$4:$D$97,"Local",$N$4:$N$97,$CH30))</f>
        <v>0</v>
      </c>
      <c r="CL30" s="139" cm="1">
        <f t="array" ref="CL30">IF($CH30="-","-",CI30*3+CJ30)</f>
        <v>9</v>
      </c>
      <c r="CM30" s="139">
        <v>1</v>
      </c>
      <c r="CN30" s="112" t="s">
        <v>113</v>
      </c>
      <c r="CO30" s="139" cm="1">
        <f t="array" ref="CO30">IF($CN30="-","-",SUMIFS($AC$4:$AC$97,$AA$4:$AA$97,$BD30,$R$4:$R$97,$CN30)+SUMIFS($AD$4:$AD$97,$AF$4:$AF$97,$BD30,$Q$4:$Q$97,$CN30))</f>
        <v>9</v>
      </c>
      <c r="CP30" s="139" cm="1">
        <f t="array" ref="CP30">IF($CN30="-","-",SUMIFS($AD$4:$AD$97,$AA$4:$AA$97,$BD30,$R$4:$R$97,$CN30)+SUMIFS($AC$4:$AC$97,$AF$4:$AF$97,$BD30,$Q$4:$Q$97,$CN30))</f>
        <v>1</v>
      </c>
      <c r="CQ30" s="139" cm="1">
        <f t="array" ref="CQ30">IF($CN30="-","-",CO30-CP30)</f>
        <v>8</v>
      </c>
      <c r="CR30" s="139">
        <v>1</v>
      </c>
      <c r="CS30" s="112" t="s">
        <v>113</v>
      </c>
      <c r="CT30" s="139" cm="1">
        <f t="array" ref="CT30">IF($CS30="-","-",SUMIFS($AC$4:$AC$97,$AA$4:$AA$97,$BD30,$U$4:$U$97,$CS30)+SUMIFS($AD$4:$AD$97,$AF$4:$AF$97,$BD30,$T$4:$T$97,$CS30))</f>
        <v>9</v>
      </c>
      <c r="CU30" s="139">
        <v>1</v>
      </c>
      <c r="CV30" s="112" t="s">
        <v>113</v>
      </c>
      <c r="CW30" s="139" cm="1">
        <f t="array" ref="CW30">IF(CV30="-","-",BL30)</f>
        <v>8</v>
      </c>
      <c r="CX30" s="139">
        <v>1</v>
      </c>
      <c r="CY30" s="112" t="s">
        <v>113</v>
      </c>
      <c r="CZ30" s="139" cm="1">
        <f t="array" ref="CZ30">IF(CY30="-","-",BJ30)</f>
        <v>9</v>
      </c>
      <c r="DA30" s="139">
        <v>1</v>
      </c>
      <c r="DB30" s="112" t="s">
        <v>113</v>
      </c>
      <c r="DC30" s="139">
        <v>1</v>
      </c>
      <c r="DD30" s="139">
        <v>1</v>
      </c>
      <c r="DE30" s="126"/>
      <c r="DF30" s="139" cm="1">
        <f t="array" ref="DF30">IF(OR(INDEX($AW$6:$AW$97,MATCH($BD30,$AV$6:$AV$97,0))="",DB30="-"),DD30,INDEX($AW$6:$AW$97,MATCH($BD30,$AV$6:$AV$97,0))+DD30/1000)</f>
        <v>1</v>
      </c>
      <c r="DG30" s="139">
        <v>0</v>
      </c>
      <c r="DH30" s="139">
        <v>1</v>
      </c>
      <c r="DI30" s="126"/>
      <c r="DJ30" s="139" cm="1">
        <f t="array" ref="DJ30">INDEX($DA$6:$DA$53,MATCH($DQ30,$BD$6:$BD$53,0))</f>
        <v>1</v>
      </c>
      <c r="DK30" s="139" cm="1">
        <f t="array" ref="DK30">SUMIF($BC$6:$BC$53,BC30,$BF$6:$BF$53)</f>
        <v>12</v>
      </c>
      <c r="DL30" s="139" cm="1">
        <f t="array" ref="DL30">IF(OR(DK30=12,$AJ$99=144),COUNTIFS($DJ$6:$DJ$53,DJ30,$BC$6:$BC$53,BC30),1)</f>
        <v>4</v>
      </c>
      <c r="DM30" s="126" t="str" cm="1">
        <f t="array" ref="DM30">DJ30&amp;"."&amp;DL30</f>
        <v>1.4</v>
      </c>
      <c r="DN30" s="139">
        <v>1</v>
      </c>
      <c r="DO30" s="126"/>
      <c r="DP30" s="112" t="s">
        <v>166</v>
      </c>
      <c r="DQ30" s="126" t="str" cm="1">
        <f t="array" ref="DQ30">INDEX($BD$6:$BD$53,MATCH(DP30,$BM$6:$BM$53,0))</f>
        <v>Bélgica</v>
      </c>
      <c r="DR30" s="77"/>
      <c r="DS30" s="77"/>
      <c r="DT30" s="78"/>
      <c r="DU30" s="12"/>
    </row>
    <row r="31" spans="1:125" ht="16" customHeight="1" x14ac:dyDescent="0.2">
      <c r="A31" s="79" t="s">
        <v>144</v>
      </c>
      <c r="B31" s="68"/>
      <c r="C31" s="68"/>
      <c r="D31" s="68" t="str" cm="1">
        <f t="array" ref="D31">IF(OR(AC31="",AD31=""),"Pendiente",IF(AC31&gt;AD31,"Local",IF(AC31&lt;AD31,"Visitante","Empate")))</f>
        <v>Empate</v>
      </c>
      <c r="E31" s="68" t="str" cm="1">
        <f t="array" ref="E31">IF(D31="Pendiente","-",INDEX($BT$6:$BT$53,MATCH($AA31,$BD$6:$BD$53,0)))</f>
        <v>P.1 (4)</v>
      </c>
      <c r="F31" s="68" t="str" cm="1">
        <f t="array" ref="F31">IF(D31="Pendiente","-",INDEX($BT$6:$BT$53,MATCH($AF31,$BD$6:$BD$53,0)))</f>
        <v>P.1 (4)</v>
      </c>
      <c r="G31" s="68"/>
      <c r="H31" s="68" t="str" cm="1">
        <f t="array" ref="H31">IF(D31="Pendiente","-",INDEX($BZ$6:$BZ$53,MATCH($AA31,$BD$6:$BD$53,0)))</f>
        <v>P.1 (4)</v>
      </c>
      <c r="I31" s="68" t="str" cm="1">
        <f t="array" ref="I31">IF(D31="Pendiente","-",INDEX($BZ$6:$BZ$53,MATCH($AF31,$BD$6:$BD$53,0)))</f>
        <v>P.1 (4)</v>
      </c>
      <c r="J31" s="68"/>
      <c r="K31" s="68" t="str" cm="1">
        <f t="array" ref="K31">IF(D31="Pendiente","-",INDEX($CE$6:$CE$53,MATCH($AA31,$BD$6:$BD$53,0)))</f>
        <v>P.1 (4)</v>
      </c>
      <c r="L31" s="68" t="str" cm="1">
        <f t="array" ref="L31">IF(D31="Pendiente","-",INDEX($CE$6:$CE$53,MATCH($AF31,$BD$6:$BD$53,0)))</f>
        <v>P.1 (4)</v>
      </c>
      <c r="M31" s="68"/>
      <c r="N31" s="68" t="str" cm="1">
        <f t="array" ref="N31">IF(D31="Pendiente","-",INDEX($CH$6:$CH$53,MATCH($AA31,$BD$6:$BD$53,0)))</f>
        <v>P.1 (4)</v>
      </c>
      <c r="O31" s="68" t="str" cm="1">
        <f t="array" ref="O31">IF(D31="Pendiente","-",INDEX($CH$6:$CH$53,MATCH($AF31,$BD$6:$BD$53,0)))</f>
        <v>P.1 (4)</v>
      </c>
      <c r="P31" s="68"/>
      <c r="Q31" s="68" t="str" cm="1">
        <f t="array" ref="Q31">IF(D31="Pendiente","-",INDEX($CN$6:$CN$53,MATCH($AA31,$BD$6:$BD$53,0)))</f>
        <v>P.1 (4)</v>
      </c>
      <c r="R31" s="68" t="str" cm="1">
        <f t="array" ref="R31">IF(D31="Pendiente","-",INDEX($CN$6:$CN$53,MATCH($AF31,$BD$6:$BD$53,0)))</f>
        <v>P.1 (4)</v>
      </c>
      <c r="S31" s="68"/>
      <c r="T31" s="68" t="str" cm="1">
        <f t="array" ref="T31">IF(D31="Pendiente","-",INDEX($CS$6:$CS$53,MATCH($AA31,$BD$6:$BD$53,0)))</f>
        <v>P.1 (4)</v>
      </c>
      <c r="U31" s="68" t="str" cm="1">
        <f t="array" ref="U31">IF(D31="Pendiente","-",INDEX($CS$6:$CS$53,MATCH($AF31,$BD$6:$BD$53,0)))</f>
        <v>P.1 (4)</v>
      </c>
      <c r="V31" s="80"/>
      <c r="W31" s="762"/>
      <c r="X31" s="96">
        <v>46192.958333333343</v>
      </c>
      <c r="Y31" s="97">
        <v>46192.958333333343</v>
      </c>
      <c r="Z31" s="113" t="str" cm="1">
        <f t="array" ref="Z31">$Z$6</f>
        <v>J2</v>
      </c>
      <c r="AA31" s="99" t="str" cm="1">
        <f t="array" ref="AA31">A32</f>
        <v>Turquía</v>
      </c>
      <c r="AB31" s="100"/>
      <c r="AC31" s="114">
        <v>1</v>
      </c>
      <c r="AD31" s="114">
        <v>1</v>
      </c>
      <c r="AE31" s="102"/>
      <c r="AF31" s="103" t="str" cm="1">
        <f t="array" ref="AF31">A30</f>
        <v>Paraguay</v>
      </c>
      <c r="AG31" s="104" cm="1">
        <f t="array" ref="AG31">IF(NOT(OR(ISBLANK(AC31),ISBLANK(AD31))),1,0)</f>
        <v>1</v>
      </c>
      <c r="AH31" s="105">
        <v>31</v>
      </c>
      <c r="AI31" s="106" t="str" cm="1">
        <f t="array" ref="AI31">AJ31&amp;$B$28</f>
        <v>2D</v>
      </c>
      <c r="AJ31" s="140">
        <v>2</v>
      </c>
      <c r="AK31" s="208"/>
      <c r="AL31" s="142" t="str" cm="1">
        <f t="array" ref="AL31">IFERROR(INDEX($BD$6:$BD$53,MATCH(AI31,$BN$6:$BN$53,0)),"")</f>
        <v>Paraguay</v>
      </c>
      <c r="AM31" s="143" cm="1">
        <f t="array" ref="AM31">INDEX($BE$6:$BN$53,MATCH($AL31,$BD$6:$BD$53,0),MATCH(AM$5,$BE$5:$BN$5,0))</f>
        <v>7</v>
      </c>
      <c r="AN31" s="144" cm="1">
        <f t="array" ref="AN31">INDEX($BE$6:$BN$53,MATCH($AL31,$BD$6:$BD$53,0),MATCH(AN$5,$BE$5:$BN$5,0))</f>
        <v>3</v>
      </c>
      <c r="AO31" s="144" cm="1">
        <f t="array" ref="AO31">INDEX($BE$6:$BN$53,MATCH($AL31,$BD$6:$BD$53,0),MATCH(AO$5,$BE$5:$BN$5,0))</f>
        <v>2</v>
      </c>
      <c r="AP31" s="144" cm="1">
        <f t="array" ref="AP31">INDEX($BE$6:$BN$53,MATCH($AL31,$BD$6:$BD$53,0),MATCH(AP$5,$BE$5:$BN$5,0))</f>
        <v>1</v>
      </c>
      <c r="AQ31" s="144" cm="1">
        <f t="array" ref="AQ31">INDEX($BE$6:$BN$53,MATCH($AL31,$BD$6:$BD$53,0),MATCH(AQ$5,$BE$5:$BN$5,0))</f>
        <v>0</v>
      </c>
      <c r="AR31" s="144" cm="1">
        <f t="array" ref="AR31">INDEX($BE$6:$BN$53,MATCH($AL31,$BD$6:$BD$53,0),MATCH(AR$5,$BE$5:$BN$5,0))</f>
        <v>4</v>
      </c>
      <c r="AS31" s="144" cm="1">
        <f t="array" ref="AS31">INDEX($BE$6:$BN$53,MATCH($AL31,$BD$6:$BD$53,0),MATCH(AS$5,$BE$5:$BN$5,0))</f>
        <v>2</v>
      </c>
      <c r="AT31" s="145" cm="1">
        <f t="array" ref="AT31">INDEX($BE$6:$BN$53,MATCH($AL31,$BD$6:$BD$53,0),MATCH(AT$5,$BE$5:$BN$5,0))</f>
        <v>2</v>
      </c>
      <c r="AU31" s="133" cm="1">
        <f t="array" ref="AU31">INDEX($DL$6:$DL$53,MATCH(AI31,$DP$6:$DP$53,0))</f>
        <v>4</v>
      </c>
      <c r="AV31" s="134" t="str" cm="1">
        <f t="array" ref="AV31">INDEX($BD$6:$BD$53,MATCH(AI31,$BM$6:$BM$53,0))</f>
        <v>Paraguay</v>
      </c>
      <c r="AW31" s="135"/>
      <c r="AX31" s="136"/>
      <c r="AY31" s="146" t="str" cm="1">
        <f t="array" ref="AY31">A30</f>
        <v>Paraguay</v>
      </c>
      <c r="AZ31" s="147"/>
      <c r="BA31" s="125"/>
      <c r="BB31" s="77"/>
      <c r="BC31" s="112" t="s">
        <v>54</v>
      </c>
      <c r="BD31" s="112" t="s">
        <v>167</v>
      </c>
      <c r="BE31" s="139" cm="1">
        <f t="array" ref="BE31">BG31*3+BH31+IF($AZ$3="No",0,INDEX($AZ$6:$AZ$97,MATCH(BD31,$AY$6:$AY$97,0)))</f>
        <v>6</v>
      </c>
      <c r="BF31" s="139" cm="1">
        <f t="array" ref="BF31">BG31+BH31+BI31</f>
        <v>3</v>
      </c>
      <c r="BG31" s="139" cm="1">
        <f t="array" ref="BG31">COUNTIFS($AA$4:$AA$97,BD31,$D$4:$D$97,"Local")+COUNTIFS($AF$4:$AF$97,BD31,$D$4:$D$97,"Visitante")</f>
        <v>2</v>
      </c>
      <c r="BH31" s="139" cm="1">
        <f t="array" ref="BH31">COUNTIFS($AA$4:$AA$97,BD31,$D$4:$D$97,"Empate")+COUNTIFS($AF$4:$AF$97,BD31,$D$4:$D$97,"Empate")</f>
        <v>0</v>
      </c>
      <c r="BI31" s="139" cm="1">
        <f t="array" ref="BI31">COUNTIFS($AF$4:$AF$97,BD31,$D$4:$D$97,"Local")+COUNTIFS($AA$4:$AA$97,BD31,$D$4:$D$97,"Visitante")</f>
        <v>1</v>
      </c>
      <c r="BJ31" s="139" cm="1">
        <f t="array" ref="BJ31">SUMIFS($AC$4:$AC$97,$AA$4:$AA$97,BD31,$D$4:$D$97,"&lt;&gt;"&amp;"Pendiente",$AC$4:$AC$97,"&lt;&gt;"&amp;"",$AD$4:$AD$97,"&lt;&gt;"&amp;"")+SUMIFS($AD$4:$AD$97,$AF$4:$AF$97,BD31,$D$4:$D$97,"&lt;&gt;"&amp;"Pendiente",$AC$4:$AC$97,"&lt;&gt;"&amp;"",$AD$4:$AD$97,"&lt;&gt;"&amp;"")</f>
        <v>6</v>
      </c>
      <c r="BK31" s="139" cm="1">
        <f t="array" ref="BK31">SUMIFS($AC$4:$AC$97,$AF$4:$AF$97,BD31,$D$4:$D$97,"&lt;&gt;"&amp;"Pendiente",$AC$4:$AC$97,"&lt;&gt;"&amp;"",$AD$4:$AD$97,"&lt;&gt;"&amp;"")+SUMIFS($AD$4:$AD$97,$AA$4:$AA$97,BD31,$D$4:$D$97,"&lt;&gt;"&amp;"Pendiente",$AC$4:$AC$97,"&lt;&gt;"&amp;"",$AD$4:$AD$97,"&lt;&gt;"&amp;"")</f>
        <v>3</v>
      </c>
      <c r="BL31" s="139" cm="1">
        <f t="array" ref="BL31">BJ31-BK31</f>
        <v>3</v>
      </c>
      <c r="BM31" s="126" t="str" cm="1">
        <f t="array" ref="BM31">DD31&amp;BC31</f>
        <v>2G</v>
      </c>
      <c r="BN31" s="126" t="str" cm="1">
        <f t="array" ref="BN31">DH31&amp;BC31</f>
        <v>2G</v>
      </c>
      <c r="BO31" s="139" cm="1">
        <f t="array" ref="BO31">IF(AND($AJ$99=144,BF31&gt;=1),1,0)</f>
        <v>0</v>
      </c>
      <c r="BP31" s="139">
        <v>1</v>
      </c>
      <c r="BQ31" s="112" t="s">
        <v>113</v>
      </c>
      <c r="BR31" s="139" cm="1">
        <f t="array" ref="BR31">IF($BQ31="-","-",BE31)</f>
        <v>6</v>
      </c>
      <c r="BS31" s="139">
        <v>1</v>
      </c>
      <c r="BT31" s="112" t="s">
        <v>113</v>
      </c>
      <c r="BU31" s="139" cm="1">
        <f t="array" ref="BU31">IF($BT31="-","-",COUNTIFS($AA$4:$AA$97,$BD31,$D$4:$D$97,"Local",$F$4:$F$97,$BT31)+COUNTIFS($AF$4:$AF$97,$BD31,$D$4:$D$97,"Visitante",$E$4:$E$97,$BT31))</f>
        <v>2</v>
      </c>
      <c r="BV31" s="139" cm="1">
        <f t="array" ref="BV31">IF($BT31="-","-",COUNTIFS($AA$4:$AA$97,$BD31,$D$4:$D$97,"Empate",$F$4:$F$97,$BT31)+COUNTIFS($AF$4:$AF$97,$BD31,$D$4:$D$97,"Empate",$E$4:$E$97,$BT31))</f>
        <v>0</v>
      </c>
      <c r="BW31" s="139" cm="1">
        <f t="array" ref="BW31">IF($BT31="-","-",COUNTIFS($AA$4:$AA$97,$BD31,$D$4:$D$97,"Visitante",$F$4:$F$97,$BT31)+COUNTIFS($AF$4:$AF$97,$BD31,$D$4:$D$97,"Local",$E$4:$E$97,$BT31))</f>
        <v>1</v>
      </c>
      <c r="BX31" s="139" cm="1">
        <f t="array" ref="BX31">IF($BT31="-","-",BU31*3+BV31)</f>
        <v>6</v>
      </c>
      <c r="BY31" s="139">
        <v>1</v>
      </c>
      <c r="BZ31" s="112" t="s">
        <v>113</v>
      </c>
      <c r="CA31" s="139" cm="1">
        <f t="array" ref="CA31">IF($BZ31="-","-",SUMIFS($AC$4:$AC$97,$AA$4:$AA$97,$BD31,$I$4:$I$97,$BZ31)+SUMIFS($AD$4:$AD$97,$AF$4:$AF$97,$BD31,$H$4:$H$97,$BZ31))</f>
        <v>6</v>
      </c>
      <c r="CB31" s="139" cm="1">
        <f t="array" ref="CB31">IF($BZ31="-","-",SUMIFS($AD$4:$AD$97,$AA$4:$AA$97,$BD31,$I$4:$I$97,$BZ31)+SUMIFS($AC$4:$AC$97,$AF$4:$AF$97,$BD31,$H$4:$H$97,$BZ31))</f>
        <v>3</v>
      </c>
      <c r="CC31" s="139" cm="1">
        <f t="array" ref="CC31">IF($BZ31="-","-",CA31-CB31)</f>
        <v>3</v>
      </c>
      <c r="CD31" s="139">
        <v>1</v>
      </c>
      <c r="CE31" s="112" t="s">
        <v>113</v>
      </c>
      <c r="CF31" s="139" cm="1">
        <f t="array" ref="CF31">IF($CE31="-","-",SUMIFS($AC$4:$AC$97,$AA$4:$AA$97,$BD31,$L$4:$L$97,$CE31)+SUMIFS($AD$4:$AD$97,$AF$4:$AF$97,$BD31,$K$4:$K$97,$CE31))</f>
        <v>6</v>
      </c>
      <c r="CG31" s="139">
        <v>1</v>
      </c>
      <c r="CH31" s="112" t="s">
        <v>113</v>
      </c>
      <c r="CI31" s="139" cm="1">
        <f t="array" ref="CI31">IF($CH31="-","-",COUNTIFS($AA$4:$AA$97,$BD31,$D$4:$D$97,"Local",$O$4:$O$97,$CH31)+COUNTIFS($AF$4:$AF$97,$BD31,$D$4:$D$97,"Visitante",$N$4:$N$97,$CH31))</f>
        <v>2</v>
      </c>
      <c r="CJ31" s="139" cm="1">
        <f t="array" ref="CJ31">IF($CH31="-","-",COUNTIFS($AA$4:$AA$97,$BD31,$D$4:$D$97,"Empate",$O$4:$O$97,$CH31)+COUNTIFS($AF$4:$AF$97,$BD31,$D$4:$D$97,"Empate",$N$4:$N$97,$CH31))</f>
        <v>0</v>
      </c>
      <c r="CK31" s="139" cm="1">
        <f t="array" ref="CK31">IF($CH31="-","-",COUNTIFS($AA$4:$AA$97,$BD31,$D$4:$D$97,"Visitante",$O$4:$O$97,$CH31)+COUNTIFS($AF$4:$AF$97,$BD31,$D$4:$D$97,"Local",$N$4:$N$97,$CH31))</f>
        <v>1</v>
      </c>
      <c r="CL31" s="139" cm="1">
        <f t="array" ref="CL31">IF($CH31="-","-",CI31*3+CJ31)</f>
        <v>6</v>
      </c>
      <c r="CM31" s="139">
        <v>1</v>
      </c>
      <c r="CN31" s="112" t="s">
        <v>113</v>
      </c>
      <c r="CO31" s="139" cm="1">
        <f t="array" ref="CO31">IF($CN31="-","-",SUMIFS($AC$4:$AC$97,$AA$4:$AA$97,$BD31,$R$4:$R$97,$CN31)+SUMIFS($AD$4:$AD$97,$AF$4:$AF$97,$BD31,$Q$4:$Q$97,$CN31))</f>
        <v>6</v>
      </c>
      <c r="CP31" s="139" cm="1">
        <f t="array" ref="CP31">IF($CN31="-","-",SUMIFS($AD$4:$AD$97,$AA$4:$AA$97,$BD31,$R$4:$R$97,$CN31)+SUMIFS($AC$4:$AC$97,$AF$4:$AF$97,$BD31,$Q$4:$Q$97,$CN31))</f>
        <v>3</v>
      </c>
      <c r="CQ31" s="139" cm="1">
        <f t="array" ref="CQ31">IF($CN31="-","-",CO31-CP31)</f>
        <v>3</v>
      </c>
      <c r="CR31" s="139">
        <v>1</v>
      </c>
      <c r="CS31" s="112" t="s">
        <v>113</v>
      </c>
      <c r="CT31" s="139" cm="1">
        <f t="array" ref="CT31">IF($CS31="-","-",SUMIFS($AC$4:$AC$97,$AA$4:$AA$97,$BD31,$U$4:$U$97,$CS31)+SUMIFS($AD$4:$AD$97,$AF$4:$AF$97,$BD31,$T$4:$T$97,$CS31))</f>
        <v>6</v>
      </c>
      <c r="CU31" s="139">
        <v>1</v>
      </c>
      <c r="CV31" s="112" t="s">
        <v>113</v>
      </c>
      <c r="CW31" s="139" cm="1">
        <f t="array" ref="CW31">IF(CV31="-","-",BL31)</f>
        <v>3</v>
      </c>
      <c r="CX31" s="139">
        <v>1</v>
      </c>
      <c r="CY31" s="112" t="s">
        <v>113</v>
      </c>
      <c r="CZ31" s="139" cm="1">
        <f t="array" ref="CZ31">IF(CY31="-","-",BJ31)</f>
        <v>6</v>
      </c>
      <c r="DA31" s="139">
        <v>1</v>
      </c>
      <c r="DB31" s="112" t="s">
        <v>113</v>
      </c>
      <c r="DC31" s="139">
        <v>2</v>
      </c>
      <c r="DD31" s="139">
        <v>2</v>
      </c>
      <c r="DE31" s="126"/>
      <c r="DF31" s="139" cm="1">
        <f t="array" ref="DF31">IF(OR(INDEX($AW$6:$AW$97,MATCH($BD31,$AV$6:$AV$97,0))="",DB31="-"),DD31,INDEX($AW$6:$AW$97,MATCH($BD31,$AV$6:$AV$97,0))+DD31/1000)</f>
        <v>2</v>
      </c>
      <c r="DG31" s="139">
        <v>1</v>
      </c>
      <c r="DH31" s="139">
        <v>2</v>
      </c>
      <c r="DI31" s="126"/>
      <c r="DJ31" s="139" cm="1">
        <f t="array" ref="DJ31">INDEX($DA$6:$DA$53,MATCH($DQ31,$BD$6:$BD$53,0))</f>
        <v>1</v>
      </c>
      <c r="DK31" s="139" cm="1">
        <f t="array" ref="DK31">SUMIF($BC$6:$BC$53,BC31,$BF$6:$BF$53)</f>
        <v>12</v>
      </c>
      <c r="DL31" s="139" cm="1">
        <f t="array" ref="DL31">IF(OR(DK31=12,$AJ$99=144),COUNTIFS($DJ$6:$DJ$53,DJ31,$BC$6:$BC$53,BC31),1)</f>
        <v>4</v>
      </c>
      <c r="DM31" s="126" t="str" cm="1">
        <f t="array" ref="DM31">DJ31&amp;"."&amp;DL31</f>
        <v>1.4</v>
      </c>
      <c r="DN31" s="139">
        <v>1</v>
      </c>
      <c r="DO31" s="126"/>
      <c r="DP31" s="112" t="s">
        <v>168</v>
      </c>
      <c r="DQ31" s="126" t="str" cm="1">
        <f t="array" ref="DQ31">INDEX($BD$6:$BD$53,MATCH(DP31,$BM$6:$BM$53,0))</f>
        <v>Egipto</v>
      </c>
      <c r="DR31" s="77"/>
      <c r="DS31" s="77"/>
      <c r="DT31" s="78"/>
      <c r="DU31" s="12"/>
    </row>
    <row r="32" spans="1:125" ht="16" customHeight="1" x14ac:dyDescent="0.2">
      <c r="A32" s="79" t="s">
        <v>146</v>
      </c>
      <c r="B32" s="68"/>
      <c r="C32" s="68"/>
      <c r="D32" s="68" t="str" cm="1">
        <f t="array" ref="D32">IF(OR(AC32="",AD32=""),"Pendiente",IF(AC32&gt;AD32,"Local",IF(AC32&lt;AD32,"Visitante","Empate")))</f>
        <v>Local</v>
      </c>
      <c r="E32" s="68" t="str" cm="1">
        <f t="array" ref="E32">IF(D32="Pendiente","-",INDEX($BT$6:$BT$53,MATCH($AA32,$BD$6:$BD$53,0)))</f>
        <v>P.1 (4)</v>
      </c>
      <c r="F32" s="68" t="str" cm="1">
        <f t="array" ref="F32">IF(D32="Pendiente","-",INDEX($BT$6:$BT$53,MATCH($AF32,$BD$6:$BD$53,0)))</f>
        <v>P.1 (4)</v>
      </c>
      <c r="G32" s="68"/>
      <c r="H32" s="68" t="str" cm="1">
        <f t="array" ref="H32">IF(D32="Pendiente","-",INDEX($BZ$6:$BZ$53,MATCH($AA32,$BD$6:$BD$53,0)))</f>
        <v>P.1 (4)</v>
      </c>
      <c r="I32" s="68" t="str" cm="1">
        <f t="array" ref="I32">IF(D32="Pendiente","-",INDEX($BZ$6:$BZ$53,MATCH($AF32,$BD$6:$BD$53,0)))</f>
        <v>P.1 (4)</v>
      </c>
      <c r="J32" s="68"/>
      <c r="K32" s="68" t="str" cm="1">
        <f t="array" ref="K32">IF(D32="Pendiente","-",INDEX($CE$6:$CE$53,MATCH($AA32,$BD$6:$BD$53,0)))</f>
        <v>P.1 (4)</v>
      </c>
      <c r="L32" s="68" t="str" cm="1">
        <f t="array" ref="L32">IF(D32="Pendiente","-",INDEX($CE$6:$CE$53,MATCH($AF32,$BD$6:$BD$53,0)))</f>
        <v>P.1 (4)</v>
      </c>
      <c r="M32" s="68"/>
      <c r="N32" s="68" t="str" cm="1">
        <f t="array" ref="N32">IF(D32="Pendiente","-",INDEX($CH$6:$CH$53,MATCH($AA32,$BD$6:$BD$53,0)))</f>
        <v>P.1 (4)</v>
      </c>
      <c r="O32" s="68" t="str" cm="1">
        <f t="array" ref="O32">IF(D32="Pendiente","-",INDEX($CH$6:$CH$53,MATCH($AF32,$BD$6:$BD$53,0)))</f>
        <v>P.1 (4)</v>
      </c>
      <c r="P32" s="68"/>
      <c r="Q32" s="68" t="str" cm="1">
        <f t="array" ref="Q32">IF(D32="Pendiente","-",INDEX($CN$6:$CN$53,MATCH($AA32,$BD$6:$BD$53,0)))</f>
        <v>P.1 (4)</v>
      </c>
      <c r="R32" s="68" t="str" cm="1">
        <f t="array" ref="R32">IF(D32="Pendiente","-",INDEX($CN$6:$CN$53,MATCH($AF32,$BD$6:$BD$53,0)))</f>
        <v>P.1 (4)</v>
      </c>
      <c r="S32" s="68"/>
      <c r="T32" s="68" t="str" cm="1">
        <f t="array" ref="T32">IF(D32="Pendiente","-",INDEX($CS$6:$CS$53,MATCH($AA32,$BD$6:$BD$53,0)))</f>
        <v>P.1 (4)</v>
      </c>
      <c r="U32" s="68" t="str" cm="1">
        <f t="array" ref="U32">IF(D32="Pendiente","-",INDEX($CS$6:$CS$53,MATCH($AF32,$BD$6:$BD$53,0)))</f>
        <v>P.1 (4)</v>
      </c>
      <c r="V32" s="80"/>
      <c r="W32" s="762"/>
      <c r="X32" s="96">
        <v>46198.916666666657</v>
      </c>
      <c r="Y32" s="97">
        <v>46198.916666666657</v>
      </c>
      <c r="Z32" s="113" t="str" cm="1">
        <f t="array" ref="Z32">$Z$8</f>
        <v>J3</v>
      </c>
      <c r="AA32" s="99" t="str" cm="1">
        <f t="array" ref="AA32">A32</f>
        <v>Turquía</v>
      </c>
      <c r="AB32" s="100"/>
      <c r="AC32" s="114">
        <v>2</v>
      </c>
      <c r="AD32" s="114">
        <v>1</v>
      </c>
      <c r="AE32" s="102"/>
      <c r="AF32" s="103" t="str" cm="1">
        <f t="array" ref="AF32">A29</f>
        <v>Estados Unidos</v>
      </c>
      <c r="AG32" s="104" cm="1">
        <f t="array" ref="AG32">IF(NOT(OR(ISBLANK(AC32),ISBLANK(AD32))),1,0)</f>
        <v>1</v>
      </c>
      <c r="AH32" s="105">
        <v>59</v>
      </c>
      <c r="AI32" s="106" t="str" cm="1">
        <f t="array" ref="AI32">AJ32&amp;$B$28</f>
        <v>3D</v>
      </c>
      <c r="AJ32" s="140">
        <v>3</v>
      </c>
      <c r="AK32" s="208"/>
      <c r="AL32" s="142" t="str" cm="1">
        <f t="array" ref="AL32">IFERROR(INDEX($BD$6:$BD$53,MATCH(AI32,$BN$6:$BN$53,0)),"")</f>
        <v>Australia</v>
      </c>
      <c r="AM32" s="143" cm="1">
        <f t="array" ref="AM32">INDEX($BE$6:$BN$53,MATCH($AL32,$BD$6:$BD$53,0),MATCH(AM$5,$BE$5:$BN$5,0))</f>
        <v>0</v>
      </c>
      <c r="AN32" s="144" cm="1">
        <f t="array" ref="AN32">INDEX($BE$6:$BN$53,MATCH($AL32,$BD$6:$BD$53,0),MATCH(AN$5,$BE$5:$BN$5,0))</f>
        <v>3</v>
      </c>
      <c r="AO32" s="144" cm="1">
        <f t="array" ref="AO32">INDEX($BE$6:$BN$53,MATCH($AL32,$BD$6:$BD$53,0),MATCH(AO$5,$BE$5:$BN$5,0))</f>
        <v>0</v>
      </c>
      <c r="AP32" s="144" cm="1">
        <f t="array" ref="AP32">INDEX($BE$6:$BN$53,MATCH($AL32,$BD$6:$BD$53,0),MATCH(AP$5,$BE$5:$BN$5,0))</f>
        <v>0</v>
      </c>
      <c r="AQ32" s="144" cm="1">
        <f t="array" ref="AQ32">INDEX($BE$6:$BN$53,MATCH($AL32,$BD$6:$BD$53,0),MATCH(AQ$5,$BE$5:$BN$5,0))</f>
        <v>3</v>
      </c>
      <c r="AR32" s="144" cm="1">
        <f t="array" ref="AR32">INDEX($BE$6:$BN$53,MATCH($AL32,$BD$6:$BD$53,0),MATCH(AR$5,$BE$5:$BN$5,0))</f>
        <v>1</v>
      </c>
      <c r="AS32" s="144" cm="1">
        <f t="array" ref="AS32">INDEX($BE$6:$BN$53,MATCH($AL32,$BD$6:$BD$53,0),MATCH(AS$5,$BE$5:$BN$5,0))</f>
        <v>7</v>
      </c>
      <c r="AT32" s="145" cm="1">
        <f t="array" ref="AT32">INDEX($BE$6:$BN$53,MATCH($AL32,$BD$6:$BD$53,0),MATCH(AT$5,$BE$5:$BN$5,0))</f>
        <v>-6</v>
      </c>
      <c r="AU32" s="133" cm="1">
        <f t="array" ref="AU32">INDEX($DL$6:$DL$53,MATCH(AI32,$DP$6:$DP$53,0))</f>
        <v>4</v>
      </c>
      <c r="AV32" s="134" t="str" cm="1">
        <f t="array" ref="AV32">INDEX($BD$6:$BD$53,MATCH(AI32,$BM$6:$BM$53,0))</f>
        <v>Australia</v>
      </c>
      <c r="AW32" s="135"/>
      <c r="AX32" s="136"/>
      <c r="AY32" s="137" t="str" cm="1">
        <f t="array" ref="AY32">A31</f>
        <v>Australia</v>
      </c>
      <c r="AZ32" s="138"/>
      <c r="BA32" s="125"/>
      <c r="BB32" s="77"/>
      <c r="BC32" s="112" t="s">
        <v>54</v>
      </c>
      <c r="BD32" s="112" t="s">
        <v>169</v>
      </c>
      <c r="BE32" s="139" cm="1">
        <f t="array" ref="BE32">BG32*3+BH32+IF($AZ$3="No",0,INDEX($AZ$6:$AZ$97,MATCH(BD32,$AY$6:$AY$97,0)))</f>
        <v>1</v>
      </c>
      <c r="BF32" s="139" cm="1">
        <f t="array" ref="BF32">BG32+BH32+BI32</f>
        <v>3</v>
      </c>
      <c r="BG32" s="139" cm="1">
        <f t="array" ref="BG32">COUNTIFS($AA$4:$AA$97,BD32,$D$4:$D$97,"Local")+COUNTIFS($AF$4:$AF$97,BD32,$D$4:$D$97,"Visitante")</f>
        <v>0</v>
      </c>
      <c r="BH32" s="139" cm="1">
        <f t="array" ref="BH32">COUNTIFS($AA$4:$AA$97,BD32,$D$4:$D$97,"Empate")+COUNTIFS($AF$4:$AF$97,BD32,$D$4:$D$97,"Empate")</f>
        <v>1</v>
      </c>
      <c r="BI32" s="139" cm="1">
        <f t="array" ref="BI32">COUNTIFS($AF$4:$AF$97,BD32,$D$4:$D$97,"Local")+COUNTIFS($AA$4:$AA$97,BD32,$D$4:$D$97,"Visitante")</f>
        <v>2</v>
      </c>
      <c r="BJ32" s="139" cm="1">
        <f t="array" ref="BJ32">SUMIFS($AC$4:$AC$97,$AA$4:$AA$97,BD32,$D$4:$D$97,"&lt;&gt;"&amp;"Pendiente",$AC$4:$AC$97,"&lt;&gt;"&amp;"",$AD$4:$AD$97,"&lt;&gt;"&amp;"")+SUMIFS($AD$4:$AD$97,$AF$4:$AF$97,BD32,$D$4:$D$97,"&lt;&gt;"&amp;"Pendiente",$AC$4:$AC$97,"&lt;&gt;"&amp;"",$AD$4:$AD$97,"&lt;&gt;"&amp;"")</f>
        <v>2</v>
      </c>
      <c r="BK32" s="139" cm="1">
        <f t="array" ref="BK32">SUMIFS($AC$4:$AC$97,$AF$4:$AF$97,BD32,$D$4:$D$97,"&lt;&gt;"&amp;"Pendiente",$AC$4:$AC$97,"&lt;&gt;"&amp;"",$AD$4:$AD$97,"&lt;&gt;"&amp;"")+SUMIFS($AD$4:$AD$97,$AA$4:$AA$97,BD32,$D$4:$D$97,"&lt;&gt;"&amp;"Pendiente",$AC$4:$AC$97,"&lt;&gt;"&amp;"",$AD$4:$AD$97,"&lt;&gt;"&amp;"")</f>
        <v>7</v>
      </c>
      <c r="BL32" s="139" cm="1">
        <f t="array" ref="BL32">BJ32-BK32</f>
        <v>-5</v>
      </c>
      <c r="BM32" s="126" t="str" cm="1">
        <f t="array" ref="BM32">DD32&amp;BC32</f>
        <v>3G</v>
      </c>
      <c r="BN32" s="126" t="str" cm="1">
        <f t="array" ref="BN32">DH32&amp;BC32</f>
        <v>3G</v>
      </c>
      <c r="BO32" s="139" cm="1">
        <f t="array" ref="BO32">IF(AND($AJ$99=144,BF32&gt;=1),1,0)</f>
        <v>0</v>
      </c>
      <c r="BP32" s="139">
        <v>1</v>
      </c>
      <c r="BQ32" s="112" t="s">
        <v>113</v>
      </c>
      <c r="BR32" s="139" cm="1">
        <f t="array" ref="BR32">IF($BQ32="-","-",BE32)</f>
        <v>1</v>
      </c>
      <c r="BS32" s="139">
        <v>1</v>
      </c>
      <c r="BT32" s="112" t="s">
        <v>113</v>
      </c>
      <c r="BU32" s="139" cm="1">
        <f t="array" ref="BU32">IF($BT32="-","-",COUNTIFS($AA$4:$AA$97,$BD32,$D$4:$D$97,"Local",$F$4:$F$97,$BT32)+COUNTIFS($AF$4:$AF$97,$BD32,$D$4:$D$97,"Visitante",$E$4:$E$97,$BT32))</f>
        <v>0</v>
      </c>
      <c r="BV32" s="139" cm="1">
        <f t="array" ref="BV32">IF($BT32="-","-",COUNTIFS($AA$4:$AA$97,$BD32,$D$4:$D$97,"Empate",$F$4:$F$97,$BT32)+COUNTIFS($AF$4:$AF$97,$BD32,$D$4:$D$97,"Empate",$E$4:$E$97,$BT32))</f>
        <v>1</v>
      </c>
      <c r="BW32" s="139" cm="1">
        <f t="array" ref="BW32">IF($BT32="-","-",COUNTIFS($AA$4:$AA$97,$BD32,$D$4:$D$97,"Visitante",$F$4:$F$97,$BT32)+COUNTIFS($AF$4:$AF$97,$BD32,$D$4:$D$97,"Local",$E$4:$E$97,$BT32))</f>
        <v>2</v>
      </c>
      <c r="BX32" s="139" cm="1">
        <f t="array" ref="BX32">IF($BT32="-","-",BU32*3+BV32)</f>
        <v>1</v>
      </c>
      <c r="BY32" s="139">
        <v>1</v>
      </c>
      <c r="BZ32" s="112" t="s">
        <v>113</v>
      </c>
      <c r="CA32" s="139" cm="1">
        <f t="array" ref="CA32">IF($BZ32="-","-",SUMIFS($AC$4:$AC$97,$AA$4:$AA$97,$BD32,$I$4:$I$97,$BZ32)+SUMIFS($AD$4:$AD$97,$AF$4:$AF$97,$BD32,$H$4:$H$97,$BZ32))</f>
        <v>2</v>
      </c>
      <c r="CB32" s="139" cm="1">
        <f t="array" ref="CB32">IF($BZ32="-","-",SUMIFS($AD$4:$AD$97,$AA$4:$AA$97,$BD32,$I$4:$I$97,$BZ32)+SUMIFS($AC$4:$AC$97,$AF$4:$AF$97,$BD32,$H$4:$H$97,$BZ32))</f>
        <v>7</v>
      </c>
      <c r="CC32" s="139" cm="1">
        <f t="array" ref="CC32">IF($BZ32="-","-",CA32-CB32)</f>
        <v>-5</v>
      </c>
      <c r="CD32" s="139">
        <v>1</v>
      </c>
      <c r="CE32" s="112" t="s">
        <v>113</v>
      </c>
      <c r="CF32" s="139" cm="1">
        <f t="array" ref="CF32">IF($CE32="-","-",SUMIFS($AC$4:$AC$97,$AA$4:$AA$97,$BD32,$L$4:$L$97,$CE32)+SUMIFS($AD$4:$AD$97,$AF$4:$AF$97,$BD32,$K$4:$K$97,$CE32))</f>
        <v>2</v>
      </c>
      <c r="CG32" s="139">
        <v>1</v>
      </c>
      <c r="CH32" s="112" t="s">
        <v>113</v>
      </c>
      <c r="CI32" s="139" cm="1">
        <f t="array" ref="CI32">IF($CH32="-","-",COUNTIFS($AA$4:$AA$97,$BD32,$D$4:$D$97,"Local",$O$4:$O$97,$CH32)+COUNTIFS($AF$4:$AF$97,$BD32,$D$4:$D$97,"Visitante",$N$4:$N$97,$CH32))</f>
        <v>0</v>
      </c>
      <c r="CJ32" s="139" cm="1">
        <f t="array" ref="CJ32">IF($CH32="-","-",COUNTIFS($AA$4:$AA$97,$BD32,$D$4:$D$97,"Empate",$O$4:$O$97,$CH32)+COUNTIFS($AF$4:$AF$97,$BD32,$D$4:$D$97,"Empate",$N$4:$N$97,$CH32))</f>
        <v>1</v>
      </c>
      <c r="CK32" s="139" cm="1">
        <f t="array" ref="CK32">IF($CH32="-","-",COUNTIFS($AA$4:$AA$97,$BD32,$D$4:$D$97,"Visitante",$O$4:$O$97,$CH32)+COUNTIFS($AF$4:$AF$97,$BD32,$D$4:$D$97,"Local",$N$4:$N$97,$CH32))</f>
        <v>2</v>
      </c>
      <c r="CL32" s="139" cm="1">
        <f t="array" ref="CL32">IF($CH32="-","-",CI32*3+CJ32)</f>
        <v>1</v>
      </c>
      <c r="CM32" s="139">
        <v>1</v>
      </c>
      <c r="CN32" s="112" t="s">
        <v>113</v>
      </c>
      <c r="CO32" s="139" cm="1">
        <f t="array" ref="CO32">IF($CN32="-","-",SUMIFS($AC$4:$AC$97,$AA$4:$AA$97,$BD32,$R$4:$R$97,$CN32)+SUMIFS($AD$4:$AD$97,$AF$4:$AF$97,$BD32,$Q$4:$Q$97,$CN32))</f>
        <v>2</v>
      </c>
      <c r="CP32" s="139" cm="1">
        <f t="array" ref="CP32">IF($CN32="-","-",SUMIFS($AD$4:$AD$97,$AA$4:$AA$97,$BD32,$R$4:$R$97,$CN32)+SUMIFS($AC$4:$AC$97,$AF$4:$AF$97,$BD32,$Q$4:$Q$97,$CN32))</f>
        <v>7</v>
      </c>
      <c r="CQ32" s="139" cm="1">
        <f t="array" ref="CQ32">IF($CN32="-","-",CO32-CP32)</f>
        <v>-5</v>
      </c>
      <c r="CR32" s="139">
        <v>1</v>
      </c>
      <c r="CS32" s="112" t="s">
        <v>113</v>
      </c>
      <c r="CT32" s="139" cm="1">
        <f t="array" ref="CT32">IF($CS32="-","-",SUMIFS($AC$4:$AC$97,$AA$4:$AA$97,$BD32,$U$4:$U$97,$CS32)+SUMIFS($AD$4:$AD$97,$AF$4:$AF$97,$BD32,$T$4:$T$97,$CS32))</f>
        <v>2</v>
      </c>
      <c r="CU32" s="139">
        <v>1</v>
      </c>
      <c r="CV32" s="112" t="s">
        <v>113</v>
      </c>
      <c r="CW32" s="139" cm="1">
        <f t="array" ref="CW32">IF(CV32="-","-",BL32)</f>
        <v>-5</v>
      </c>
      <c r="CX32" s="139">
        <v>1</v>
      </c>
      <c r="CY32" s="112" t="s">
        <v>113</v>
      </c>
      <c r="CZ32" s="139" cm="1">
        <f t="array" ref="CZ32">IF(CY32="-","-",BJ32)</f>
        <v>2</v>
      </c>
      <c r="DA32" s="139">
        <v>1</v>
      </c>
      <c r="DB32" s="112" t="s">
        <v>113</v>
      </c>
      <c r="DC32" s="139">
        <v>3</v>
      </c>
      <c r="DD32" s="139">
        <v>3</v>
      </c>
      <c r="DE32" s="126"/>
      <c r="DF32" s="139" cm="1">
        <f t="array" ref="DF32">IF(OR(INDEX($AW$6:$AW$97,MATCH($BD32,$AV$6:$AV$97,0))="",DB32="-"),DD32,INDEX($AW$6:$AW$97,MATCH($BD32,$AV$6:$AV$97,0))+DD32/1000)</f>
        <v>3</v>
      </c>
      <c r="DG32" s="139">
        <v>2</v>
      </c>
      <c r="DH32" s="139">
        <v>3</v>
      </c>
      <c r="DI32" s="126"/>
      <c r="DJ32" s="139" cm="1">
        <f t="array" ref="DJ32">INDEX($DA$6:$DA$53,MATCH($DQ32,$BD$6:$BD$53,0))</f>
        <v>1</v>
      </c>
      <c r="DK32" s="139" cm="1">
        <f t="array" ref="DK32">SUMIF($BC$6:$BC$53,BC32,$BF$6:$BF$53)</f>
        <v>12</v>
      </c>
      <c r="DL32" s="139" cm="1">
        <f t="array" ref="DL32">IF(OR(DK32=12,$AJ$99=144),COUNTIFS($DJ$6:$DJ$53,DJ32,$BC$6:$BC$53,BC32),1)</f>
        <v>4</v>
      </c>
      <c r="DM32" s="126" t="str" cm="1">
        <f t="array" ref="DM32">DJ32&amp;"."&amp;DL32</f>
        <v>1.4</v>
      </c>
      <c r="DN32" s="139">
        <v>1</v>
      </c>
      <c r="DO32" s="126"/>
      <c r="DP32" s="112" t="s">
        <v>170</v>
      </c>
      <c r="DQ32" s="126" t="str" cm="1">
        <f t="array" ref="DQ32">INDEX($BD$6:$BD$53,MATCH(DP32,$BM$6:$BM$53,0))</f>
        <v>Irán</v>
      </c>
      <c r="DR32" s="77"/>
      <c r="DS32" s="77"/>
      <c r="DT32" s="78"/>
      <c r="DU32" s="12"/>
    </row>
    <row r="33" spans="1:125" ht="16" customHeight="1" x14ac:dyDescent="0.2">
      <c r="A33" s="68"/>
      <c r="B33" s="68"/>
      <c r="C33" s="68"/>
      <c r="D33" s="68" t="str" cm="1">
        <f t="array" ref="D33">IF(OR(AC33="",AD33=""),"Pendiente",IF(AC33&gt;AD33,"Local",IF(AC33&lt;AD33,"Visitante","Empate")))</f>
        <v>Local</v>
      </c>
      <c r="E33" s="68" t="str" cm="1">
        <f t="array" ref="E33">IF(D33="Pendiente","-",INDEX($BT$6:$BT$53,MATCH($AA33,$BD$6:$BD$53,0)))</f>
        <v>P.1 (4)</v>
      </c>
      <c r="F33" s="68" t="str" cm="1">
        <f t="array" ref="F33">IF(D33="Pendiente","-",INDEX($BT$6:$BT$53,MATCH($AF33,$BD$6:$BD$53,0)))</f>
        <v>P.1 (4)</v>
      </c>
      <c r="G33" s="68"/>
      <c r="H33" s="68" t="str" cm="1">
        <f t="array" ref="H33">IF(D33="Pendiente","-",INDEX($BZ$6:$BZ$53,MATCH($AA33,$BD$6:$BD$53,0)))</f>
        <v>P.1 (4)</v>
      </c>
      <c r="I33" s="68" t="str" cm="1">
        <f t="array" ref="I33">IF(D33="Pendiente","-",INDEX($BZ$6:$BZ$53,MATCH($AF33,$BD$6:$BD$53,0)))</f>
        <v>P.1 (4)</v>
      </c>
      <c r="J33" s="68"/>
      <c r="K33" s="68" t="str" cm="1">
        <f t="array" ref="K33">IF(D33="Pendiente","-",INDEX($CE$6:$CE$53,MATCH($AA33,$BD$6:$BD$53,0)))</f>
        <v>P.1 (4)</v>
      </c>
      <c r="L33" s="68" t="str" cm="1">
        <f t="array" ref="L33">IF(D33="Pendiente","-",INDEX($CE$6:$CE$53,MATCH($AF33,$BD$6:$BD$53,0)))</f>
        <v>P.1 (4)</v>
      </c>
      <c r="M33" s="68"/>
      <c r="N33" s="68" t="str" cm="1">
        <f t="array" ref="N33">IF(D33="Pendiente","-",INDEX($CH$6:$CH$53,MATCH($AA33,$BD$6:$BD$53,0)))</f>
        <v>P.1 (4)</v>
      </c>
      <c r="O33" s="68" t="str" cm="1">
        <f t="array" ref="O33">IF(D33="Pendiente","-",INDEX($CH$6:$CH$53,MATCH($AF33,$BD$6:$BD$53,0)))</f>
        <v>P.1 (4)</v>
      </c>
      <c r="P33" s="68"/>
      <c r="Q33" s="68" t="str" cm="1">
        <f t="array" ref="Q33">IF(D33="Pendiente","-",INDEX($CN$6:$CN$53,MATCH($AA33,$BD$6:$BD$53,0)))</f>
        <v>P.1 (4)</v>
      </c>
      <c r="R33" s="68" t="str" cm="1">
        <f t="array" ref="R33">IF(D33="Pendiente","-",INDEX($CN$6:$CN$53,MATCH($AF33,$BD$6:$BD$53,0)))</f>
        <v>P.1 (4)</v>
      </c>
      <c r="S33" s="68"/>
      <c r="T33" s="68" t="str" cm="1">
        <f t="array" ref="T33">IF(D33="Pendiente","-",INDEX($CS$6:$CS$53,MATCH($AA33,$BD$6:$BD$53,0)))</f>
        <v>P.1 (4)</v>
      </c>
      <c r="U33" s="68" t="str" cm="1">
        <f t="array" ref="U33">IF(D33="Pendiente","-",INDEX($CS$6:$CS$53,MATCH($AF33,$BD$6:$BD$53,0)))</f>
        <v>P.1 (4)</v>
      </c>
      <c r="V33" s="80"/>
      <c r="W33" s="763"/>
      <c r="X33" s="148">
        <v>46198.916666666657</v>
      </c>
      <c r="Y33" s="149">
        <v>46198.916666666657</v>
      </c>
      <c r="Z33" s="150" t="str" cm="1">
        <f t="array" ref="Z33">$Z$8</f>
        <v>J3</v>
      </c>
      <c r="AA33" s="151" t="str" cm="1">
        <f t="array" ref="AA33">A30</f>
        <v>Paraguay</v>
      </c>
      <c r="AB33" s="152"/>
      <c r="AC33" s="153">
        <v>1</v>
      </c>
      <c r="AD33" s="153">
        <v>0</v>
      </c>
      <c r="AE33" s="154"/>
      <c r="AF33" s="155" t="str" cm="1">
        <f t="array" ref="AF33">A31</f>
        <v>Australia</v>
      </c>
      <c r="AG33" s="104" cm="1">
        <f t="array" ref="AG33">IF(NOT(OR(ISBLANK(AC33),ISBLANK(AD33))),1,0)</f>
        <v>1</v>
      </c>
      <c r="AH33" s="105">
        <v>60</v>
      </c>
      <c r="AI33" s="106" t="str" cm="1">
        <f t="array" ref="AI33">AJ33&amp;$B$28</f>
        <v>4D</v>
      </c>
      <c r="AJ33" s="156">
        <v>4</v>
      </c>
      <c r="AK33" s="222"/>
      <c r="AL33" s="158" t="str" cm="1">
        <f t="array" ref="AL33">IFERROR(INDEX($BD$6:$BD$53,MATCH(AI33,$BN$6:$BN$53,0)),"")</f>
        <v>Turquía</v>
      </c>
      <c r="AM33" s="159" cm="1">
        <f t="array" ref="AM33">INDEX($BE$6:$BN$53,MATCH($AL33,$BD$6:$BD$53,0),MATCH(AM$5,$BE$5:$BN$5,0))</f>
        <v>7</v>
      </c>
      <c r="AN33" s="160" cm="1">
        <f t="array" ref="AN33">INDEX($BE$6:$BN$53,MATCH($AL33,$BD$6:$BD$53,0),MATCH(AN$5,$BE$5:$BN$5,0))</f>
        <v>3</v>
      </c>
      <c r="AO33" s="160" cm="1">
        <f t="array" ref="AO33">INDEX($BE$6:$BN$53,MATCH($AL33,$BD$6:$BD$53,0),MATCH(AO$5,$BE$5:$BN$5,0))</f>
        <v>2</v>
      </c>
      <c r="AP33" s="160" cm="1">
        <f t="array" ref="AP33">INDEX($BE$6:$BN$53,MATCH($AL33,$BD$6:$BD$53,0),MATCH(AP$5,$BE$5:$BN$5,0))</f>
        <v>1</v>
      </c>
      <c r="AQ33" s="160" cm="1">
        <f t="array" ref="AQ33">INDEX($BE$6:$BN$53,MATCH($AL33,$BD$6:$BD$53,0),MATCH(AQ$5,$BE$5:$BN$5,0))</f>
        <v>0</v>
      </c>
      <c r="AR33" s="160" cm="1">
        <f t="array" ref="AR33">INDEX($BE$6:$BN$53,MATCH($AL33,$BD$6:$BD$53,0),MATCH(AR$5,$BE$5:$BN$5,0))</f>
        <v>7</v>
      </c>
      <c r="AS33" s="160" cm="1">
        <f t="array" ref="AS33">INDEX($BE$6:$BN$53,MATCH($AL33,$BD$6:$BD$53,0),MATCH(AS$5,$BE$5:$BN$5,0))</f>
        <v>2</v>
      </c>
      <c r="AT33" s="161" cm="1">
        <f t="array" ref="AT33">INDEX($BE$6:$BN$53,MATCH($AL33,$BD$6:$BD$53,0),MATCH(AT$5,$BE$5:$BN$5,0))</f>
        <v>5</v>
      </c>
      <c r="AU33" s="133" cm="1">
        <f t="array" ref="AU33">INDEX($DL$6:$DL$53,MATCH(AI33,$DP$6:$DP$53,0))</f>
        <v>4</v>
      </c>
      <c r="AV33" s="134" t="str" cm="1">
        <f t="array" ref="AV33">INDEX($BD$6:$BD$53,MATCH(AI33,$BM$6:$BM$53,0))</f>
        <v>Turquía</v>
      </c>
      <c r="AW33" s="135"/>
      <c r="AX33" s="136"/>
      <c r="AY33" s="162" t="str" cm="1">
        <f t="array" ref="AY33">A32</f>
        <v>Turquía</v>
      </c>
      <c r="AZ33" s="163"/>
      <c r="BA33" s="125"/>
      <c r="BB33" s="77"/>
      <c r="BC33" s="112" t="s">
        <v>54</v>
      </c>
      <c r="BD33" s="112" t="s">
        <v>171</v>
      </c>
      <c r="BE33" s="139" cm="1">
        <f t="array" ref="BE33">BG33*3+BH33+IF($AZ$3="No",0,INDEX($AZ$6:$AZ$97,MATCH(BD33,$AY$6:$AY$97,0)))</f>
        <v>1</v>
      </c>
      <c r="BF33" s="139" cm="1">
        <f t="array" ref="BF33">BG33+BH33+BI33</f>
        <v>3</v>
      </c>
      <c r="BG33" s="139" cm="1">
        <f t="array" ref="BG33">COUNTIFS($AA$4:$AA$97,BD33,$D$4:$D$97,"Local")+COUNTIFS($AF$4:$AF$97,BD33,$D$4:$D$97,"Visitante")</f>
        <v>0</v>
      </c>
      <c r="BH33" s="139" cm="1">
        <f t="array" ref="BH33">COUNTIFS($AA$4:$AA$97,BD33,$D$4:$D$97,"Empate")+COUNTIFS($AF$4:$AF$97,BD33,$D$4:$D$97,"Empate")</f>
        <v>1</v>
      </c>
      <c r="BI33" s="139" cm="1">
        <f t="array" ref="BI33">COUNTIFS($AF$4:$AF$97,BD33,$D$4:$D$97,"Local")+COUNTIFS($AA$4:$AA$97,BD33,$D$4:$D$97,"Visitante")</f>
        <v>2</v>
      </c>
      <c r="BJ33" s="139" cm="1">
        <f t="array" ref="BJ33">SUMIFS($AC$4:$AC$97,$AA$4:$AA$97,BD33,$D$4:$D$97,"&lt;&gt;"&amp;"Pendiente",$AC$4:$AC$97,"&lt;&gt;"&amp;"",$AD$4:$AD$97,"&lt;&gt;"&amp;"")+SUMIFS($AD$4:$AD$97,$AF$4:$AF$97,BD33,$D$4:$D$97,"&lt;&gt;"&amp;"Pendiente",$AC$4:$AC$97,"&lt;&gt;"&amp;"",$AD$4:$AD$97,"&lt;&gt;"&amp;"")</f>
        <v>1</v>
      </c>
      <c r="BK33" s="139" cm="1">
        <f t="array" ref="BK33">SUMIFS($AC$4:$AC$97,$AF$4:$AF$97,BD33,$D$4:$D$97,"&lt;&gt;"&amp;"Pendiente",$AC$4:$AC$97,"&lt;&gt;"&amp;"",$AD$4:$AD$97,"&lt;&gt;"&amp;"")+SUMIFS($AD$4:$AD$97,$AA$4:$AA$97,BD33,$D$4:$D$97,"&lt;&gt;"&amp;"Pendiente",$AC$4:$AC$97,"&lt;&gt;"&amp;"",$AD$4:$AD$97,"&lt;&gt;"&amp;"")</f>
        <v>7</v>
      </c>
      <c r="BL33" s="139" cm="1">
        <f t="array" ref="BL33">BJ33-BK33</f>
        <v>-6</v>
      </c>
      <c r="BM33" s="126" t="str" cm="1">
        <f t="array" ref="BM33">DD33&amp;BC33</f>
        <v>4G</v>
      </c>
      <c r="BN33" s="126" t="str" cm="1">
        <f t="array" ref="BN33">DH33&amp;BC33</f>
        <v>4G</v>
      </c>
      <c r="BO33" s="139" cm="1">
        <f t="array" ref="BO33">IF(AND($AJ$99=144,BF33&gt;=1),1,0)</f>
        <v>0</v>
      </c>
      <c r="BP33" s="139">
        <v>1</v>
      </c>
      <c r="BQ33" s="112" t="s">
        <v>113</v>
      </c>
      <c r="BR33" s="139" cm="1">
        <f t="array" ref="BR33">IF($BQ33="-","-",BE33)</f>
        <v>1</v>
      </c>
      <c r="BS33" s="139">
        <v>1</v>
      </c>
      <c r="BT33" s="112" t="s">
        <v>113</v>
      </c>
      <c r="BU33" s="139" cm="1">
        <f t="array" ref="BU33">IF($BT33="-","-",COUNTIFS($AA$4:$AA$97,$BD33,$D$4:$D$97,"Local",$F$4:$F$97,$BT33)+COUNTIFS($AF$4:$AF$97,$BD33,$D$4:$D$97,"Visitante",$E$4:$E$97,$BT33))</f>
        <v>0</v>
      </c>
      <c r="BV33" s="139" cm="1">
        <f t="array" ref="BV33">IF($BT33="-","-",COUNTIFS($AA$4:$AA$97,$BD33,$D$4:$D$97,"Empate",$F$4:$F$97,$BT33)+COUNTIFS($AF$4:$AF$97,$BD33,$D$4:$D$97,"Empate",$E$4:$E$97,$BT33))</f>
        <v>1</v>
      </c>
      <c r="BW33" s="139" cm="1">
        <f t="array" ref="BW33">IF($BT33="-","-",COUNTIFS($AA$4:$AA$97,$BD33,$D$4:$D$97,"Visitante",$F$4:$F$97,$BT33)+COUNTIFS($AF$4:$AF$97,$BD33,$D$4:$D$97,"Local",$E$4:$E$97,$BT33))</f>
        <v>2</v>
      </c>
      <c r="BX33" s="139" cm="1">
        <f t="array" ref="BX33">IF($BT33="-","-",BU33*3+BV33)</f>
        <v>1</v>
      </c>
      <c r="BY33" s="139">
        <v>1</v>
      </c>
      <c r="BZ33" s="112" t="s">
        <v>113</v>
      </c>
      <c r="CA33" s="139" cm="1">
        <f t="array" ref="CA33">IF($BZ33="-","-",SUMIFS($AC$4:$AC$97,$AA$4:$AA$97,$BD33,$I$4:$I$97,$BZ33)+SUMIFS($AD$4:$AD$97,$AF$4:$AF$97,$BD33,$H$4:$H$97,$BZ33))</f>
        <v>1</v>
      </c>
      <c r="CB33" s="139" cm="1">
        <f t="array" ref="CB33">IF($BZ33="-","-",SUMIFS($AD$4:$AD$97,$AA$4:$AA$97,$BD33,$I$4:$I$97,$BZ33)+SUMIFS($AC$4:$AC$97,$AF$4:$AF$97,$BD33,$H$4:$H$97,$BZ33))</f>
        <v>7</v>
      </c>
      <c r="CC33" s="139" cm="1">
        <f t="array" ref="CC33">IF($BZ33="-","-",CA33-CB33)</f>
        <v>-6</v>
      </c>
      <c r="CD33" s="139">
        <v>1</v>
      </c>
      <c r="CE33" s="112" t="s">
        <v>113</v>
      </c>
      <c r="CF33" s="139" cm="1">
        <f t="array" ref="CF33">IF($CE33="-","-",SUMIFS($AC$4:$AC$97,$AA$4:$AA$97,$BD33,$L$4:$L$97,$CE33)+SUMIFS($AD$4:$AD$97,$AF$4:$AF$97,$BD33,$K$4:$K$97,$CE33))</f>
        <v>1</v>
      </c>
      <c r="CG33" s="139">
        <v>1</v>
      </c>
      <c r="CH33" s="112" t="s">
        <v>113</v>
      </c>
      <c r="CI33" s="139" cm="1">
        <f t="array" ref="CI33">IF($CH33="-","-",COUNTIFS($AA$4:$AA$97,$BD33,$D$4:$D$97,"Local",$O$4:$O$97,$CH33)+COUNTIFS($AF$4:$AF$97,$BD33,$D$4:$D$97,"Visitante",$N$4:$N$97,$CH33))</f>
        <v>0</v>
      </c>
      <c r="CJ33" s="139" cm="1">
        <f t="array" ref="CJ33">IF($CH33="-","-",COUNTIFS($AA$4:$AA$97,$BD33,$D$4:$D$97,"Empate",$O$4:$O$97,$CH33)+COUNTIFS($AF$4:$AF$97,$BD33,$D$4:$D$97,"Empate",$N$4:$N$97,$CH33))</f>
        <v>1</v>
      </c>
      <c r="CK33" s="139" cm="1">
        <f t="array" ref="CK33">IF($CH33="-","-",COUNTIFS($AA$4:$AA$97,$BD33,$D$4:$D$97,"Visitante",$O$4:$O$97,$CH33)+COUNTIFS($AF$4:$AF$97,$BD33,$D$4:$D$97,"Local",$N$4:$N$97,$CH33))</f>
        <v>2</v>
      </c>
      <c r="CL33" s="139" cm="1">
        <f t="array" ref="CL33">IF($CH33="-","-",CI33*3+CJ33)</f>
        <v>1</v>
      </c>
      <c r="CM33" s="139">
        <v>1</v>
      </c>
      <c r="CN33" s="112" t="s">
        <v>113</v>
      </c>
      <c r="CO33" s="139" cm="1">
        <f t="array" ref="CO33">IF($CN33="-","-",SUMIFS($AC$4:$AC$97,$AA$4:$AA$97,$BD33,$R$4:$R$97,$CN33)+SUMIFS($AD$4:$AD$97,$AF$4:$AF$97,$BD33,$Q$4:$Q$97,$CN33))</f>
        <v>1</v>
      </c>
      <c r="CP33" s="139" cm="1">
        <f t="array" ref="CP33">IF($CN33="-","-",SUMIFS($AD$4:$AD$97,$AA$4:$AA$97,$BD33,$R$4:$R$97,$CN33)+SUMIFS($AC$4:$AC$97,$AF$4:$AF$97,$BD33,$Q$4:$Q$97,$CN33))</f>
        <v>7</v>
      </c>
      <c r="CQ33" s="139" cm="1">
        <f t="array" ref="CQ33">IF($CN33="-","-",CO33-CP33)</f>
        <v>-6</v>
      </c>
      <c r="CR33" s="139">
        <v>1</v>
      </c>
      <c r="CS33" s="112" t="s">
        <v>113</v>
      </c>
      <c r="CT33" s="139" cm="1">
        <f t="array" ref="CT33">IF($CS33="-","-",SUMIFS($AC$4:$AC$97,$AA$4:$AA$97,$BD33,$U$4:$U$97,$CS33)+SUMIFS($AD$4:$AD$97,$AF$4:$AF$97,$BD33,$T$4:$T$97,$CS33))</f>
        <v>1</v>
      </c>
      <c r="CU33" s="139">
        <v>1</v>
      </c>
      <c r="CV33" s="112" t="s">
        <v>113</v>
      </c>
      <c r="CW33" s="139" cm="1">
        <f t="array" ref="CW33">IF(CV33="-","-",BL33)</f>
        <v>-6</v>
      </c>
      <c r="CX33" s="139">
        <v>1</v>
      </c>
      <c r="CY33" s="112" t="s">
        <v>113</v>
      </c>
      <c r="CZ33" s="139" cm="1">
        <f t="array" ref="CZ33">IF(CY33="-","-",BJ33)</f>
        <v>1</v>
      </c>
      <c r="DA33" s="139">
        <v>1</v>
      </c>
      <c r="DB33" s="112" t="s">
        <v>113</v>
      </c>
      <c r="DC33" s="139">
        <v>4</v>
      </c>
      <c r="DD33" s="139">
        <v>4</v>
      </c>
      <c r="DE33" s="126"/>
      <c r="DF33" s="139" cm="1">
        <f t="array" ref="DF33">IF(OR(INDEX($AW$6:$AW$97,MATCH($BD33,$AV$6:$AV$97,0))="",DB33="-"),DD33,INDEX($AW$6:$AW$97,MATCH($BD33,$AV$6:$AV$97,0))+DD33/1000)</f>
        <v>4</v>
      </c>
      <c r="DG33" s="139">
        <v>3</v>
      </c>
      <c r="DH33" s="139">
        <v>4</v>
      </c>
      <c r="DI33" s="126"/>
      <c r="DJ33" s="139" cm="1">
        <f t="array" ref="DJ33">INDEX($DA$6:$DA$53,MATCH($DQ33,$BD$6:$BD$53,0))</f>
        <v>1</v>
      </c>
      <c r="DK33" s="139" cm="1">
        <f t="array" ref="DK33">SUMIF($BC$6:$BC$53,BC33,$BF$6:$BF$53)</f>
        <v>12</v>
      </c>
      <c r="DL33" s="139" cm="1">
        <f t="array" ref="DL33">IF(OR(DK33=12,$AJ$99=144),COUNTIFS($DJ$6:$DJ$53,DJ33,$BC$6:$BC$53,BC33),1)</f>
        <v>4</v>
      </c>
      <c r="DM33" s="126" t="str" cm="1">
        <f t="array" ref="DM33">DJ33&amp;"."&amp;DL33</f>
        <v>1.4</v>
      </c>
      <c r="DN33" s="139">
        <v>1</v>
      </c>
      <c r="DO33" s="126"/>
      <c r="DP33" s="112" t="s">
        <v>172</v>
      </c>
      <c r="DQ33" s="126" t="str" cm="1">
        <f t="array" ref="DQ33">INDEX($BD$6:$BD$53,MATCH(DP33,$BM$6:$BM$53,0))</f>
        <v>Nueva Zelanda</v>
      </c>
      <c r="DR33" s="77"/>
      <c r="DS33" s="77"/>
      <c r="DT33" s="78"/>
      <c r="DU33" s="12"/>
    </row>
    <row r="34" spans="1:125" ht="16" customHeight="1" x14ac:dyDescent="0.2">
      <c r="A34" s="68"/>
      <c r="B34" s="68"/>
      <c r="C34" s="68"/>
      <c r="D34" s="68"/>
      <c r="E34" s="68"/>
      <c r="F34" s="68"/>
      <c r="G34" s="68"/>
      <c r="H34" s="68"/>
      <c r="I34" s="68"/>
      <c r="J34" s="68"/>
      <c r="K34" s="68"/>
      <c r="L34" s="68"/>
      <c r="M34" s="68"/>
      <c r="N34" s="68"/>
      <c r="O34" s="68"/>
      <c r="P34" s="68"/>
      <c r="Q34" s="68"/>
      <c r="R34" s="68"/>
      <c r="S34" s="68"/>
      <c r="T34" s="68"/>
      <c r="U34" s="68"/>
      <c r="V34" s="69"/>
      <c r="W34" s="164"/>
      <c r="X34" s="165"/>
      <c r="Y34" s="164"/>
      <c r="Z34" s="166"/>
      <c r="AA34" s="167"/>
      <c r="AB34" s="168"/>
      <c r="AC34" s="169"/>
      <c r="AD34" s="169"/>
      <c r="AE34" s="168"/>
      <c r="AF34" s="170"/>
      <c r="AG34" s="216"/>
      <c r="AH34" s="172"/>
      <c r="AI34" s="217"/>
      <c r="AJ34" s="173"/>
      <c r="AK34" s="174"/>
      <c r="AL34" s="175"/>
      <c r="AM34" s="176"/>
      <c r="AN34" s="173"/>
      <c r="AO34" s="173"/>
      <c r="AP34" s="173"/>
      <c r="AQ34" s="173"/>
      <c r="AR34" s="173"/>
      <c r="AS34" s="173"/>
      <c r="AT34" s="173"/>
      <c r="AU34" s="177"/>
      <c r="AV34" s="178"/>
      <c r="AW34" s="135"/>
      <c r="AX34" s="179"/>
      <c r="AY34" s="180"/>
      <c r="AZ34" s="181"/>
      <c r="BA34" s="8"/>
      <c r="BB34" s="77"/>
      <c r="BC34" s="112" t="s">
        <v>173</v>
      </c>
      <c r="BD34" s="112" t="s">
        <v>174</v>
      </c>
      <c r="BE34" s="139" cm="1">
        <f t="array" ref="BE34">BG34*3+BH34+IF($AZ$3="No",0,INDEX($AZ$6:$AZ$97,MATCH(BD34,$AY$6:$AY$97,0)))</f>
        <v>9</v>
      </c>
      <c r="BF34" s="139" cm="1">
        <f t="array" ref="BF34">BG34+BH34+BI34</f>
        <v>3</v>
      </c>
      <c r="BG34" s="139" cm="1">
        <f t="array" ref="BG34">COUNTIFS($AA$4:$AA$97,BD34,$D$4:$D$97,"Local")+COUNTIFS($AF$4:$AF$97,BD34,$D$4:$D$97,"Visitante")</f>
        <v>3</v>
      </c>
      <c r="BH34" s="139" cm="1">
        <f t="array" ref="BH34">COUNTIFS($AA$4:$AA$97,BD34,$D$4:$D$97,"Empate")+COUNTIFS($AF$4:$AF$97,BD34,$D$4:$D$97,"Empate")</f>
        <v>0</v>
      </c>
      <c r="BI34" s="139" cm="1">
        <f t="array" ref="BI34">COUNTIFS($AF$4:$AF$97,BD34,$D$4:$D$97,"Local")+COUNTIFS($AA$4:$AA$97,BD34,$D$4:$D$97,"Visitante")</f>
        <v>0</v>
      </c>
      <c r="BJ34" s="139" cm="1">
        <f t="array" ref="BJ34">SUMIFS($AC$4:$AC$97,$AA$4:$AA$97,BD34,$D$4:$D$97,"&lt;&gt;"&amp;"Pendiente",$AC$4:$AC$97,"&lt;&gt;"&amp;"",$AD$4:$AD$97,"&lt;&gt;"&amp;"")+SUMIFS($AD$4:$AD$97,$AF$4:$AF$97,BD34,$D$4:$D$97,"&lt;&gt;"&amp;"Pendiente",$AC$4:$AC$97,"&lt;&gt;"&amp;"",$AD$4:$AD$97,"&lt;&gt;"&amp;"")</f>
        <v>10</v>
      </c>
      <c r="BK34" s="139" cm="1">
        <f t="array" ref="BK34">SUMIFS($AC$4:$AC$97,$AF$4:$AF$97,BD34,$D$4:$D$97,"&lt;&gt;"&amp;"Pendiente",$AC$4:$AC$97,"&lt;&gt;"&amp;"",$AD$4:$AD$97,"&lt;&gt;"&amp;"")+SUMIFS($AD$4:$AD$97,$AA$4:$AA$97,BD34,$D$4:$D$97,"&lt;&gt;"&amp;"Pendiente",$AC$4:$AC$97,"&lt;&gt;"&amp;"",$AD$4:$AD$97,"&lt;&gt;"&amp;"")</f>
        <v>1</v>
      </c>
      <c r="BL34" s="139" cm="1">
        <f t="array" ref="BL34">BJ34-BK34</f>
        <v>9</v>
      </c>
      <c r="BM34" s="126" t="str" cm="1">
        <f t="array" ref="BM34">DD34&amp;BC34</f>
        <v>1H</v>
      </c>
      <c r="BN34" s="126" t="str" cm="1">
        <f t="array" ref="BN34">DH34&amp;BC34</f>
        <v>1H</v>
      </c>
      <c r="BO34" s="139" cm="1">
        <f t="array" ref="BO34">IF(AND($AJ$99=144,BF34&gt;=1),1,0)</f>
        <v>0</v>
      </c>
      <c r="BP34" s="139">
        <v>1</v>
      </c>
      <c r="BQ34" s="112" t="s">
        <v>113</v>
      </c>
      <c r="BR34" s="139" cm="1">
        <f t="array" ref="BR34">IF($BQ34="-","-",BE34)</f>
        <v>9</v>
      </c>
      <c r="BS34" s="139">
        <v>1</v>
      </c>
      <c r="BT34" s="112" t="s">
        <v>113</v>
      </c>
      <c r="BU34" s="139" cm="1">
        <f t="array" ref="BU34">IF($BT34="-","-",COUNTIFS($AA$4:$AA$97,$BD34,$D$4:$D$97,"Local",$F$4:$F$97,$BT34)+COUNTIFS($AF$4:$AF$97,$BD34,$D$4:$D$97,"Visitante",$E$4:$E$97,$BT34))</f>
        <v>3</v>
      </c>
      <c r="BV34" s="139" cm="1">
        <f t="array" ref="BV34">IF($BT34="-","-",COUNTIFS($AA$4:$AA$97,$BD34,$D$4:$D$97,"Empate",$F$4:$F$97,$BT34)+COUNTIFS($AF$4:$AF$97,$BD34,$D$4:$D$97,"Empate",$E$4:$E$97,$BT34))</f>
        <v>0</v>
      </c>
      <c r="BW34" s="139" cm="1">
        <f t="array" ref="BW34">IF($BT34="-","-",COUNTIFS($AA$4:$AA$97,$BD34,$D$4:$D$97,"Visitante",$F$4:$F$97,$BT34)+COUNTIFS($AF$4:$AF$97,$BD34,$D$4:$D$97,"Local",$E$4:$E$97,$BT34))</f>
        <v>0</v>
      </c>
      <c r="BX34" s="139" cm="1">
        <f t="array" ref="BX34">IF($BT34="-","-",BU34*3+BV34)</f>
        <v>9</v>
      </c>
      <c r="BY34" s="139">
        <v>1</v>
      </c>
      <c r="BZ34" s="112" t="s">
        <v>113</v>
      </c>
      <c r="CA34" s="139" cm="1">
        <f t="array" ref="CA34">IF($BZ34="-","-",SUMIFS($AC$4:$AC$97,$AA$4:$AA$97,$BD34,$I$4:$I$97,$BZ34)+SUMIFS($AD$4:$AD$97,$AF$4:$AF$97,$BD34,$H$4:$H$97,$BZ34))</f>
        <v>10</v>
      </c>
      <c r="CB34" s="139" cm="1">
        <f t="array" ref="CB34">IF($BZ34="-","-",SUMIFS($AD$4:$AD$97,$AA$4:$AA$97,$BD34,$I$4:$I$97,$BZ34)+SUMIFS($AC$4:$AC$97,$AF$4:$AF$97,$BD34,$H$4:$H$97,$BZ34))</f>
        <v>1</v>
      </c>
      <c r="CC34" s="139" cm="1">
        <f t="array" ref="CC34">IF($BZ34="-","-",CA34-CB34)</f>
        <v>9</v>
      </c>
      <c r="CD34" s="139">
        <v>1</v>
      </c>
      <c r="CE34" s="112" t="s">
        <v>113</v>
      </c>
      <c r="CF34" s="139" cm="1">
        <f t="array" ref="CF34">IF($CE34="-","-",SUMIFS($AC$4:$AC$97,$AA$4:$AA$97,$BD34,$L$4:$L$97,$CE34)+SUMIFS($AD$4:$AD$97,$AF$4:$AF$97,$BD34,$K$4:$K$97,$CE34))</f>
        <v>10</v>
      </c>
      <c r="CG34" s="139">
        <v>1</v>
      </c>
      <c r="CH34" s="112" t="s">
        <v>113</v>
      </c>
      <c r="CI34" s="139" cm="1">
        <f t="array" ref="CI34">IF($CH34="-","-",COUNTIFS($AA$4:$AA$97,$BD34,$D$4:$D$97,"Local",$O$4:$O$97,$CH34)+COUNTIFS($AF$4:$AF$97,$BD34,$D$4:$D$97,"Visitante",$N$4:$N$97,$CH34))</f>
        <v>3</v>
      </c>
      <c r="CJ34" s="139" cm="1">
        <f t="array" ref="CJ34">IF($CH34="-","-",COUNTIFS($AA$4:$AA$97,$BD34,$D$4:$D$97,"Empate",$O$4:$O$97,$CH34)+COUNTIFS($AF$4:$AF$97,$BD34,$D$4:$D$97,"Empate",$N$4:$N$97,$CH34))</f>
        <v>0</v>
      </c>
      <c r="CK34" s="139" cm="1">
        <f t="array" ref="CK34">IF($CH34="-","-",COUNTIFS($AA$4:$AA$97,$BD34,$D$4:$D$97,"Visitante",$O$4:$O$97,$CH34)+COUNTIFS($AF$4:$AF$97,$BD34,$D$4:$D$97,"Local",$N$4:$N$97,$CH34))</f>
        <v>0</v>
      </c>
      <c r="CL34" s="139" cm="1">
        <f t="array" ref="CL34">IF($CH34="-","-",CI34*3+CJ34)</f>
        <v>9</v>
      </c>
      <c r="CM34" s="139">
        <v>1</v>
      </c>
      <c r="CN34" s="112" t="s">
        <v>113</v>
      </c>
      <c r="CO34" s="139" cm="1">
        <f t="array" ref="CO34">IF($CN34="-","-",SUMIFS($AC$4:$AC$97,$AA$4:$AA$97,$BD34,$R$4:$R$97,$CN34)+SUMIFS($AD$4:$AD$97,$AF$4:$AF$97,$BD34,$Q$4:$Q$97,$CN34))</f>
        <v>10</v>
      </c>
      <c r="CP34" s="139" cm="1">
        <f t="array" ref="CP34">IF($CN34="-","-",SUMIFS($AD$4:$AD$97,$AA$4:$AA$97,$BD34,$R$4:$R$97,$CN34)+SUMIFS($AC$4:$AC$97,$AF$4:$AF$97,$BD34,$Q$4:$Q$97,$CN34))</f>
        <v>1</v>
      </c>
      <c r="CQ34" s="139" cm="1">
        <f t="array" ref="CQ34">IF($CN34="-","-",CO34-CP34)</f>
        <v>9</v>
      </c>
      <c r="CR34" s="139">
        <v>1</v>
      </c>
      <c r="CS34" s="112" t="s">
        <v>113</v>
      </c>
      <c r="CT34" s="139" cm="1">
        <f t="array" ref="CT34">IF($CS34="-","-",SUMIFS($AC$4:$AC$97,$AA$4:$AA$97,$BD34,$U$4:$U$97,$CS34)+SUMIFS($AD$4:$AD$97,$AF$4:$AF$97,$BD34,$T$4:$T$97,$CS34))</f>
        <v>10</v>
      </c>
      <c r="CU34" s="139">
        <v>1</v>
      </c>
      <c r="CV34" s="112" t="s">
        <v>113</v>
      </c>
      <c r="CW34" s="139" cm="1">
        <f t="array" ref="CW34">IF(CV34="-","-",BL34)</f>
        <v>9</v>
      </c>
      <c r="CX34" s="139">
        <v>1</v>
      </c>
      <c r="CY34" s="112" t="s">
        <v>113</v>
      </c>
      <c r="CZ34" s="139" cm="1">
        <f t="array" ref="CZ34">IF(CY34="-","-",BJ34)</f>
        <v>10</v>
      </c>
      <c r="DA34" s="139">
        <v>1</v>
      </c>
      <c r="DB34" s="112" t="s">
        <v>113</v>
      </c>
      <c r="DC34" s="139">
        <v>1</v>
      </c>
      <c r="DD34" s="139">
        <v>1</v>
      </c>
      <c r="DE34" s="126"/>
      <c r="DF34" s="139" cm="1">
        <f t="array" ref="DF34">IF(OR(INDEX($AW$6:$AW$97,MATCH($BD34,$AV$6:$AV$97,0))="",DB34="-"),DD34,INDEX($AW$6:$AW$97,MATCH($BD34,$AV$6:$AV$97,0))+DD34/1000)</f>
        <v>1</v>
      </c>
      <c r="DG34" s="139">
        <v>0</v>
      </c>
      <c r="DH34" s="139">
        <v>1</v>
      </c>
      <c r="DI34" s="126"/>
      <c r="DJ34" s="139" cm="1">
        <f t="array" ref="DJ34">INDEX($DA$6:$DA$53,MATCH($DQ34,$BD$6:$BD$53,0))</f>
        <v>1</v>
      </c>
      <c r="DK34" s="139" cm="1">
        <f t="array" ref="DK34">SUMIF($BC$6:$BC$53,BC34,$BF$6:$BF$53)</f>
        <v>12</v>
      </c>
      <c r="DL34" s="139" cm="1">
        <f t="array" ref="DL34">IF(OR(DK34=12,$AJ$99=144),COUNTIFS($DJ$6:$DJ$53,DJ34,$BC$6:$BC$53,BC34),1)</f>
        <v>4</v>
      </c>
      <c r="DM34" s="126" t="str" cm="1">
        <f t="array" ref="DM34">DJ34&amp;"."&amp;DL34</f>
        <v>1.4</v>
      </c>
      <c r="DN34" s="139">
        <v>1</v>
      </c>
      <c r="DO34" s="126"/>
      <c r="DP34" s="112" t="s">
        <v>175</v>
      </c>
      <c r="DQ34" s="126" t="str" cm="1">
        <f t="array" ref="DQ34">INDEX($BD$6:$BD$53,MATCH(DP34,$BM$6:$BM$53,0))</f>
        <v>España</v>
      </c>
      <c r="DR34" s="77"/>
      <c r="DS34" s="77"/>
      <c r="DT34" s="78"/>
      <c r="DU34" s="12"/>
    </row>
    <row r="35" spans="1:125" ht="16" customHeight="1" x14ac:dyDescent="0.2">
      <c r="A35" s="68"/>
      <c r="B35" s="68"/>
      <c r="C35" s="68"/>
      <c r="D35" s="68"/>
      <c r="E35" s="68"/>
      <c r="F35" s="68"/>
      <c r="G35" s="68"/>
      <c r="H35" s="68"/>
      <c r="I35" s="68"/>
      <c r="J35" s="68"/>
      <c r="K35" s="68"/>
      <c r="L35" s="68"/>
      <c r="M35" s="68"/>
      <c r="N35" s="68"/>
      <c r="O35" s="68"/>
      <c r="P35" s="68"/>
      <c r="Q35" s="68"/>
      <c r="R35" s="68"/>
      <c r="S35" s="68"/>
      <c r="T35" s="68"/>
      <c r="U35" s="68"/>
      <c r="V35" s="80"/>
      <c r="W35" s="81"/>
      <c r="X35" s="182" t="str" cm="1">
        <f t="array" ref="X35">X19</f>
        <v>Fecha</v>
      </c>
      <c r="Y35" s="182" t="str" cm="1">
        <f t="array" ref="Y35">Y19</f>
        <v>Hora</v>
      </c>
      <c r="Z35" s="107" t="str" cm="1">
        <f t="array" ref="Z35">Z19</f>
        <v>Jor.</v>
      </c>
      <c r="AA35" s="183" t="str" cm="1">
        <f t="array" ref="AA35">AA19</f>
        <v>Casa</v>
      </c>
      <c r="AB35" s="85"/>
      <c r="AC35" s="107" t="str" cm="1">
        <f t="array" ref="AC35">AC3</f>
        <v>Gol</v>
      </c>
      <c r="AD35" s="107" t="str" cm="1">
        <f t="array" ref="AD35">AD3</f>
        <v>Gol</v>
      </c>
      <c r="AE35" s="85"/>
      <c r="AF35" s="184" t="str" cm="1">
        <f t="array" ref="AF35">AF19</f>
        <v>Fuera</v>
      </c>
      <c r="AG35" s="185"/>
      <c r="AH35" s="172"/>
      <c r="AI35" s="73"/>
      <c r="AJ35" s="90"/>
      <c r="AK35" s="186"/>
      <c r="AL35" s="90"/>
      <c r="AM35" s="90"/>
      <c r="AN35" s="90"/>
      <c r="AO35" s="90"/>
      <c r="AP35" s="90"/>
      <c r="AQ35" s="90"/>
      <c r="AR35" s="90"/>
      <c r="AS35" s="90"/>
      <c r="AT35" s="90"/>
      <c r="AU35" s="187"/>
      <c r="AV35" s="74"/>
      <c r="AW35" s="188"/>
      <c r="AX35" s="189"/>
      <c r="AY35" s="190"/>
      <c r="AZ35" s="191"/>
      <c r="BA35" s="8"/>
      <c r="BB35" s="77"/>
      <c r="BC35" s="112" t="s">
        <v>173</v>
      </c>
      <c r="BD35" s="112" t="s">
        <v>176</v>
      </c>
      <c r="BE35" s="139" cm="1">
        <f t="array" ref="BE35">BG35*3+BH35+IF($AZ$3="No",0,INDEX($AZ$6:$AZ$97,MATCH(BD35,$AY$6:$AY$97,0)))</f>
        <v>0</v>
      </c>
      <c r="BF35" s="139" cm="1">
        <f t="array" ref="BF35">BG35+BH35+BI35</f>
        <v>3</v>
      </c>
      <c r="BG35" s="139" cm="1">
        <f t="array" ref="BG35">COUNTIFS($AA$4:$AA$97,BD35,$D$4:$D$97,"Local")+COUNTIFS($AF$4:$AF$97,BD35,$D$4:$D$97,"Visitante")</f>
        <v>0</v>
      </c>
      <c r="BH35" s="139" cm="1">
        <f t="array" ref="BH35">COUNTIFS($AA$4:$AA$97,BD35,$D$4:$D$97,"Empate")+COUNTIFS($AF$4:$AF$97,BD35,$D$4:$D$97,"Empate")</f>
        <v>0</v>
      </c>
      <c r="BI35" s="139" cm="1">
        <f t="array" ref="BI35">COUNTIFS($AF$4:$AF$97,BD35,$D$4:$D$97,"Local")+COUNTIFS($AA$4:$AA$97,BD35,$D$4:$D$97,"Visitante")</f>
        <v>3</v>
      </c>
      <c r="BJ35" s="139" cm="1">
        <f t="array" ref="BJ35">SUMIFS($AC$4:$AC$97,$AA$4:$AA$97,BD35,$D$4:$D$97,"&lt;&gt;"&amp;"Pendiente",$AC$4:$AC$97,"&lt;&gt;"&amp;"",$AD$4:$AD$97,"&lt;&gt;"&amp;"")+SUMIFS($AD$4:$AD$97,$AF$4:$AF$97,BD35,$D$4:$D$97,"&lt;&gt;"&amp;"Pendiente",$AC$4:$AC$97,"&lt;&gt;"&amp;"",$AD$4:$AD$97,"&lt;&gt;"&amp;"")</f>
        <v>0</v>
      </c>
      <c r="BK35" s="139" cm="1">
        <f t="array" ref="BK35">SUMIFS($AC$4:$AC$97,$AF$4:$AF$97,BD35,$D$4:$D$97,"&lt;&gt;"&amp;"Pendiente",$AC$4:$AC$97,"&lt;&gt;"&amp;"",$AD$4:$AD$97,"&lt;&gt;"&amp;"")+SUMIFS($AD$4:$AD$97,$AA$4:$AA$97,BD35,$D$4:$D$97,"&lt;&gt;"&amp;"Pendiente",$AC$4:$AC$97,"&lt;&gt;"&amp;"",$AD$4:$AD$97,"&lt;&gt;"&amp;"")</f>
        <v>9</v>
      </c>
      <c r="BL35" s="139" cm="1">
        <f t="array" ref="BL35">BJ35-BK35</f>
        <v>-9</v>
      </c>
      <c r="BM35" s="126" t="str" cm="1">
        <f t="array" ref="BM35">DD35&amp;BC35</f>
        <v>2H</v>
      </c>
      <c r="BN35" s="126" t="str" cm="1">
        <f t="array" ref="BN35">DH35&amp;BC35</f>
        <v>2H</v>
      </c>
      <c r="BO35" s="139" cm="1">
        <f t="array" ref="BO35">IF(AND($AJ$99=144,BF35&gt;=1),1,0)</f>
        <v>0</v>
      </c>
      <c r="BP35" s="139">
        <v>1</v>
      </c>
      <c r="BQ35" s="112" t="s">
        <v>113</v>
      </c>
      <c r="BR35" s="139" cm="1">
        <f t="array" ref="BR35">IF($BQ35="-","-",BE35)</f>
        <v>0</v>
      </c>
      <c r="BS35" s="139">
        <v>1</v>
      </c>
      <c r="BT35" s="112" t="s">
        <v>113</v>
      </c>
      <c r="BU35" s="139" cm="1">
        <f t="array" ref="BU35">IF($BT35="-","-",COUNTIFS($AA$4:$AA$97,$BD35,$D$4:$D$97,"Local",$F$4:$F$97,$BT35)+COUNTIFS($AF$4:$AF$97,$BD35,$D$4:$D$97,"Visitante",$E$4:$E$97,$BT35))</f>
        <v>0</v>
      </c>
      <c r="BV35" s="139" cm="1">
        <f t="array" ref="BV35">IF($BT35="-","-",COUNTIFS($AA$4:$AA$97,$BD35,$D$4:$D$97,"Empate",$F$4:$F$97,$BT35)+COUNTIFS($AF$4:$AF$97,$BD35,$D$4:$D$97,"Empate",$E$4:$E$97,$BT35))</f>
        <v>0</v>
      </c>
      <c r="BW35" s="139" cm="1">
        <f t="array" ref="BW35">IF($BT35="-","-",COUNTIFS($AA$4:$AA$97,$BD35,$D$4:$D$97,"Visitante",$F$4:$F$97,$BT35)+COUNTIFS($AF$4:$AF$97,$BD35,$D$4:$D$97,"Local",$E$4:$E$97,$BT35))</f>
        <v>3</v>
      </c>
      <c r="BX35" s="139" cm="1">
        <f t="array" ref="BX35">IF($BT35="-","-",BU35*3+BV35)</f>
        <v>0</v>
      </c>
      <c r="BY35" s="139">
        <v>1</v>
      </c>
      <c r="BZ35" s="112" t="s">
        <v>113</v>
      </c>
      <c r="CA35" s="139" cm="1">
        <f t="array" ref="CA35">IF($BZ35="-","-",SUMIFS($AC$4:$AC$97,$AA$4:$AA$97,$BD35,$I$4:$I$97,$BZ35)+SUMIFS($AD$4:$AD$97,$AF$4:$AF$97,$BD35,$H$4:$H$97,$BZ35))</f>
        <v>0</v>
      </c>
      <c r="CB35" s="139" cm="1">
        <f t="array" ref="CB35">IF($BZ35="-","-",SUMIFS($AD$4:$AD$97,$AA$4:$AA$97,$BD35,$I$4:$I$97,$BZ35)+SUMIFS($AC$4:$AC$97,$AF$4:$AF$97,$BD35,$H$4:$H$97,$BZ35))</f>
        <v>9</v>
      </c>
      <c r="CC35" s="139" cm="1">
        <f t="array" ref="CC35">IF($BZ35="-","-",CA35-CB35)</f>
        <v>-9</v>
      </c>
      <c r="CD35" s="139">
        <v>1</v>
      </c>
      <c r="CE35" s="112" t="s">
        <v>113</v>
      </c>
      <c r="CF35" s="139" cm="1">
        <f t="array" ref="CF35">IF($CE35="-","-",SUMIFS($AC$4:$AC$97,$AA$4:$AA$97,$BD35,$L$4:$L$97,$CE35)+SUMIFS($AD$4:$AD$97,$AF$4:$AF$97,$BD35,$K$4:$K$97,$CE35))</f>
        <v>0</v>
      </c>
      <c r="CG35" s="139">
        <v>1</v>
      </c>
      <c r="CH35" s="112" t="s">
        <v>113</v>
      </c>
      <c r="CI35" s="139" cm="1">
        <f t="array" ref="CI35">IF($CH35="-","-",COUNTIFS($AA$4:$AA$97,$BD35,$D$4:$D$97,"Local",$O$4:$O$97,$CH35)+COUNTIFS($AF$4:$AF$97,$BD35,$D$4:$D$97,"Visitante",$N$4:$N$97,$CH35))</f>
        <v>0</v>
      </c>
      <c r="CJ35" s="139" cm="1">
        <f t="array" ref="CJ35">IF($CH35="-","-",COUNTIFS($AA$4:$AA$97,$BD35,$D$4:$D$97,"Empate",$O$4:$O$97,$CH35)+COUNTIFS($AF$4:$AF$97,$BD35,$D$4:$D$97,"Empate",$N$4:$N$97,$CH35))</f>
        <v>0</v>
      </c>
      <c r="CK35" s="139" cm="1">
        <f t="array" ref="CK35">IF($CH35="-","-",COUNTIFS($AA$4:$AA$97,$BD35,$D$4:$D$97,"Visitante",$O$4:$O$97,$CH35)+COUNTIFS($AF$4:$AF$97,$BD35,$D$4:$D$97,"Local",$N$4:$N$97,$CH35))</f>
        <v>3</v>
      </c>
      <c r="CL35" s="139" cm="1">
        <f t="array" ref="CL35">IF($CH35="-","-",CI35*3+CJ35)</f>
        <v>0</v>
      </c>
      <c r="CM35" s="139">
        <v>1</v>
      </c>
      <c r="CN35" s="112" t="s">
        <v>113</v>
      </c>
      <c r="CO35" s="139" cm="1">
        <f t="array" ref="CO35">IF($CN35="-","-",SUMIFS($AC$4:$AC$97,$AA$4:$AA$97,$BD35,$R$4:$R$97,$CN35)+SUMIFS($AD$4:$AD$97,$AF$4:$AF$97,$BD35,$Q$4:$Q$97,$CN35))</f>
        <v>0</v>
      </c>
      <c r="CP35" s="139" cm="1">
        <f t="array" ref="CP35">IF($CN35="-","-",SUMIFS($AD$4:$AD$97,$AA$4:$AA$97,$BD35,$R$4:$R$97,$CN35)+SUMIFS($AC$4:$AC$97,$AF$4:$AF$97,$BD35,$Q$4:$Q$97,$CN35))</f>
        <v>9</v>
      </c>
      <c r="CQ35" s="139" cm="1">
        <f t="array" ref="CQ35">IF($CN35="-","-",CO35-CP35)</f>
        <v>-9</v>
      </c>
      <c r="CR35" s="139">
        <v>1</v>
      </c>
      <c r="CS35" s="112" t="s">
        <v>113</v>
      </c>
      <c r="CT35" s="139" cm="1">
        <f t="array" ref="CT35">IF($CS35="-","-",SUMIFS($AC$4:$AC$97,$AA$4:$AA$97,$BD35,$U$4:$U$97,$CS35)+SUMIFS($AD$4:$AD$97,$AF$4:$AF$97,$BD35,$T$4:$T$97,$CS35))</f>
        <v>0</v>
      </c>
      <c r="CU35" s="139">
        <v>1</v>
      </c>
      <c r="CV35" s="112" t="s">
        <v>113</v>
      </c>
      <c r="CW35" s="139" cm="1">
        <f t="array" ref="CW35">IF(CV35="-","-",BL35)</f>
        <v>-9</v>
      </c>
      <c r="CX35" s="139">
        <v>1</v>
      </c>
      <c r="CY35" s="112" t="s">
        <v>113</v>
      </c>
      <c r="CZ35" s="139" cm="1">
        <f t="array" ref="CZ35">IF(CY35="-","-",BJ35)</f>
        <v>0</v>
      </c>
      <c r="DA35" s="139">
        <v>1</v>
      </c>
      <c r="DB35" s="112" t="s">
        <v>113</v>
      </c>
      <c r="DC35" s="139">
        <v>2</v>
      </c>
      <c r="DD35" s="139">
        <v>2</v>
      </c>
      <c r="DE35" s="126"/>
      <c r="DF35" s="139" cm="1">
        <f t="array" ref="DF35">IF(OR(INDEX($AW$6:$AW$97,MATCH($BD35,$AV$6:$AV$97,0))="",DB35="-"),DD35,INDEX($AW$6:$AW$97,MATCH($BD35,$AV$6:$AV$97,0))+DD35/1000)</f>
        <v>2</v>
      </c>
      <c r="DG35" s="139">
        <v>1</v>
      </c>
      <c r="DH35" s="139">
        <v>2</v>
      </c>
      <c r="DI35" s="126"/>
      <c r="DJ35" s="139" cm="1">
        <f t="array" ref="DJ35">INDEX($DA$6:$DA$53,MATCH($DQ35,$BD$6:$BD$53,0))</f>
        <v>1</v>
      </c>
      <c r="DK35" s="139" cm="1">
        <f t="array" ref="DK35">SUMIF($BC$6:$BC$53,BC35,$BF$6:$BF$53)</f>
        <v>12</v>
      </c>
      <c r="DL35" s="139" cm="1">
        <f t="array" ref="DL35">IF(OR(DK35=12,$AJ$99=144),COUNTIFS($DJ$6:$DJ$53,DJ35,$BC$6:$BC$53,BC35),1)</f>
        <v>4</v>
      </c>
      <c r="DM35" s="126" t="str" cm="1">
        <f t="array" ref="DM35">DJ35&amp;"."&amp;DL35</f>
        <v>1.4</v>
      </c>
      <c r="DN35" s="139">
        <v>1</v>
      </c>
      <c r="DO35" s="126"/>
      <c r="DP35" s="112" t="s">
        <v>177</v>
      </c>
      <c r="DQ35" s="126" t="str" cm="1">
        <f t="array" ref="DQ35">INDEX($BD$6:$BD$53,MATCH(DP35,$BM$6:$BM$53,0))</f>
        <v>Cabo Verde</v>
      </c>
      <c r="DR35" s="77"/>
      <c r="DS35" s="77"/>
      <c r="DT35" s="78"/>
      <c r="DU35" s="12"/>
    </row>
    <row r="36" spans="1:125" ht="16" customHeight="1" x14ac:dyDescent="0.2">
      <c r="A36" s="79" t="s">
        <v>45</v>
      </c>
      <c r="B36" s="79" t="s">
        <v>55</v>
      </c>
      <c r="C36" s="95">
        <v>4</v>
      </c>
      <c r="D36" s="68" t="str" cm="1">
        <f t="array" ref="D36">IF(OR(AC36="",AD36=""),"Pendiente",IF(AC36&gt;AD36,"Local",IF(AC36&lt;AD36,"Visitante","Empate")))</f>
        <v>Local</v>
      </c>
      <c r="E36" s="68" t="str" cm="1">
        <f t="array" ref="E36">IF(D36="Pendiente","-",INDEX($BT$6:$BT$53,MATCH($AA36,$BD$6:$BD$53,0)))</f>
        <v>P.1 (4)</v>
      </c>
      <c r="F36" s="68" t="str" cm="1">
        <f t="array" ref="F36">IF(D36="Pendiente","-",INDEX($BT$6:$BT$53,MATCH($AF36,$BD$6:$BD$53,0)))</f>
        <v>P.1 (4)</v>
      </c>
      <c r="G36" s="68"/>
      <c r="H36" s="68" t="str" cm="1">
        <f t="array" ref="H36">IF(D36="Pendiente","-",INDEX($BZ$6:$BZ$53,MATCH($AA36,$BD$6:$BD$53,0)))</f>
        <v>P.1 (4)</v>
      </c>
      <c r="I36" s="68" t="str" cm="1">
        <f t="array" ref="I36">IF(D36="Pendiente","-",INDEX($BZ$6:$BZ$53,MATCH($AF36,$BD$6:$BD$53,0)))</f>
        <v>P.1 (4)</v>
      </c>
      <c r="J36" s="68"/>
      <c r="K36" s="68" t="str" cm="1">
        <f t="array" ref="K36">IF(D36="Pendiente","-",INDEX($CE$6:$CE$53,MATCH($AA36,$BD$6:$BD$53,0)))</f>
        <v>P.1 (4)</v>
      </c>
      <c r="L36" s="68" t="str" cm="1">
        <f t="array" ref="L36">IF(D36="Pendiente","-",INDEX($CE$6:$CE$53,MATCH($AF36,$BD$6:$BD$53,0)))</f>
        <v>P.1 (4)</v>
      </c>
      <c r="M36" s="68"/>
      <c r="N36" s="68" t="str" cm="1">
        <f t="array" ref="N36">IF(D36="Pendiente","-",INDEX($CH$6:$CH$53,MATCH($AA36,$BD$6:$BD$53,0)))</f>
        <v>P.1 (4)</v>
      </c>
      <c r="O36" s="68" t="str" cm="1">
        <f t="array" ref="O36">IF(D36="Pendiente","-",INDEX($CH$6:$CH$53,MATCH($AF36,$BD$6:$BD$53,0)))</f>
        <v>P.1 (4)</v>
      </c>
      <c r="P36" s="68"/>
      <c r="Q36" s="68" t="str" cm="1">
        <f t="array" ref="Q36">IF(D36="Pendiente","-",INDEX($CN$6:$CN$53,MATCH($AA36,$BD$6:$BD$53,0)))</f>
        <v>P.1 (4)</v>
      </c>
      <c r="R36" s="68" t="str" cm="1">
        <f t="array" ref="R36">IF(D36="Pendiente","-",INDEX($CN$6:$CN$53,MATCH($AF36,$BD$6:$BD$53,0)))</f>
        <v>P.1 (4)</v>
      </c>
      <c r="S36" s="68"/>
      <c r="T36" s="68" t="str" cm="1">
        <f t="array" ref="T36">IF(D36="Pendiente","-",INDEX($CS$6:$CS$53,MATCH($AA36,$BD$6:$BD$53,0)))</f>
        <v>P.1 (4)</v>
      </c>
      <c r="U36" s="68" t="str" cm="1">
        <f t="array" ref="U36">IF(D36="Pendiente","-",INDEX($CS$6:$CS$53,MATCH($AF36,$BD$6:$BD$53,0)))</f>
        <v>P.1 (4)</v>
      </c>
      <c r="V36" s="80"/>
      <c r="W36" s="777" t="s">
        <v>55</v>
      </c>
      <c r="X36" s="96">
        <v>46187.541666666657</v>
      </c>
      <c r="Y36" s="97">
        <v>46187.541666666657</v>
      </c>
      <c r="Z36" s="113" t="str" cm="1">
        <f t="array" ref="Z36">$Z$4</f>
        <v>J1</v>
      </c>
      <c r="AA36" s="99" t="str" cm="1">
        <f t="array" ref="AA36">A37</f>
        <v>Alemania</v>
      </c>
      <c r="AB36" s="100"/>
      <c r="AC36" s="101">
        <v>5</v>
      </c>
      <c r="AD36" s="101">
        <v>0</v>
      </c>
      <c r="AE36" s="102"/>
      <c r="AF36" s="103" t="str" cm="1">
        <f t="array" ref="AF36">A38</f>
        <v>Curazao</v>
      </c>
      <c r="AG36" s="104" cm="1">
        <f t="array" ref="AG36">IF(NOT(OR(ISBLANK(AC36),ISBLANK(AD36))),1,0)</f>
        <v>1</v>
      </c>
      <c r="AH36" s="105">
        <v>10</v>
      </c>
      <c r="AI36" s="106"/>
      <c r="AJ36" s="784" t="str" cm="1">
        <f t="array" ref="AJ36">CONCATENATE(AJ3," ",B36)</f>
        <v>Grupo E</v>
      </c>
      <c r="AK36" s="785"/>
      <c r="AL36" s="785"/>
      <c r="AM36" s="785"/>
      <c r="AN36" s="785"/>
      <c r="AO36" s="785"/>
      <c r="AP36" s="785"/>
      <c r="AQ36" s="785"/>
      <c r="AR36" s="785"/>
      <c r="AS36" s="785"/>
      <c r="AT36" s="786"/>
      <c r="AU36" s="192"/>
      <c r="AV36" s="109" t="str" cm="1">
        <f t="array" ref="AV36">IF(AU37&gt;0,$AV$3,"")</f>
        <v>¡EMPATE! Puedes seleccionar el orden de los empatados.</v>
      </c>
      <c r="AW36" s="200"/>
      <c r="AX36" s="200"/>
      <c r="AY36" s="194"/>
      <c r="AZ36" s="195"/>
      <c r="BA36" s="8"/>
      <c r="BB36" s="77"/>
      <c r="BC36" s="112" t="s">
        <v>173</v>
      </c>
      <c r="BD36" s="112" t="s">
        <v>178</v>
      </c>
      <c r="BE36" s="139" cm="1">
        <f t="array" ref="BE36">BG36*3+BH36+IF($AZ$3="No",0,INDEX($AZ$6:$AZ$97,MATCH(BD36,$AY$6:$AY$97,0)))</f>
        <v>3</v>
      </c>
      <c r="BF36" s="139" cm="1">
        <f t="array" ref="BF36">BG36+BH36+BI36</f>
        <v>3</v>
      </c>
      <c r="BG36" s="139" cm="1">
        <f t="array" ref="BG36">COUNTIFS($AA$4:$AA$97,BD36,$D$4:$D$97,"Local")+COUNTIFS($AF$4:$AF$97,BD36,$D$4:$D$97,"Visitante")</f>
        <v>1</v>
      </c>
      <c r="BH36" s="139" cm="1">
        <f t="array" ref="BH36">COUNTIFS($AA$4:$AA$97,BD36,$D$4:$D$97,"Empate")+COUNTIFS($AF$4:$AF$97,BD36,$D$4:$D$97,"Empate")</f>
        <v>0</v>
      </c>
      <c r="BI36" s="139" cm="1">
        <f t="array" ref="BI36">COUNTIFS($AF$4:$AF$97,BD36,$D$4:$D$97,"Local")+COUNTIFS($AA$4:$AA$97,BD36,$D$4:$D$97,"Visitante")</f>
        <v>2</v>
      </c>
      <c r="BJ36" s="139" cm="1">
        <f t="array" ref="BJ36">SUMIFS($AC$4:$AC$97,$AA$4:$AA$97,BD36,$D$4:$D$97,"&lt;&gt;"&amp;"Pendiente",$AC$4:$AC$97,"&lt;&gt;"&amp;"",$AD$4:$AD$97,"&lt;&gt;"&amp;"")+SUMIFS($AD$4:$AD$97,$AF$4:$AF$97,BD36,$D$4:$D$97,"&lt;&gt;"&amp;"Pendiente",$AC$4:$AC$97,"&lt;&gt;"&amp;"",$AD$4:$AD$97,"&lt;&gt;"&amp;"")</f>
        <v>2</v>
      </c>
      <c r="BK36" s="139" cm="1">
        <f t="array" ref="BK36">SUMIFS($AC$4:$AC$97,$AF$4:$AF$97,BD36,$D$4:$D$97,"&lt;&gt;"&amp;"Pendiente",$AC$4:$AC$97,"&lt;&gt;"&amp;"",$AD$4:$AD$97,"&lt;&gt;"&amp;"")+SUMIFS($AD$4:$AD$97,$AA$4:$AA$97,BD36,$D$4:$D$97,"&lt;&gt;"&amp;"Pendiente",$AC$4:$AC$97,"&lt;&gt;"&amp;"",$AD$4:$AD$97,"&lt;&gt;"&amp;"")</f>
        <v>7</v>
      </c>
      <c r="BL36" s="139" cm="1">
        <f t="array" ref="BL36">BJ36-BK36</f>
        <v>-5</v>
      </c>
      <c r="BM36" s="126" t="str" cm="1">
        <f t="array" ref="BM36">DD36&amp;BC36</f>
        <v>3H</v>
      </c>
      <c r="BN36" s="126" t="str" cm="1">
        <f t="array" ref="BN36">DH36&amp;BC36</f>
        <v>3H</v>
      </c>
      <c r="BO36" s="139" cm="1">
        <f t="array" ref="BO36">IF(AND($AJ$99=144,BF36&gt;=1),1,0)</f>
        <v>0</v>
      </c>
      <c r="BP36" s="139">
        <v>1</v>
      </c>
      <c r="BQ36" s="112" t="s">
        <v>113</v>
      </c>
      <c r="BR36" s="139" cm="1">
        <f t="array" ref="BR36">IF($BQ36="-","-",BE36)</f>
        <v>3</v>
      </c>
      <c r="BS36" s="139">
        <v>1</v>
      </c>
      <c r="BT36" s="112" t="s">
        <v>113</v>
      </c>
      <c r="BU36" s="139" cm="1">
        <f t="array" ref="BU36">IF($BT36="-","-",COUNTIFS($AA$4:$AA$97,$BD36,$D$4:$D$97,"Local",$F$4:$F$97,$BT36)+COUNTIFS($AF$4:$AF$97,$BD36,$D$4:$D$97,"Visitante",$E$4:$E$97,$BT36))</f>
        <v>1</v>
      </c>
      <c r="BV36" s="139" cm="1">
        <f t="array" ref="BV36">IF($BT36="-","-",COUNTIFS($AA$4:$AA$97,$BD36,$D$4:$D$97,"Empate",$F$4:$F$97,$BT36)+COUNTIFS($AF$4:$AF$97,$BD36,$D$4:$D$97,"Empate",$E$4:$E$97,$BT36))</f>
        <v>0</v>
      </c>
      <c r="BW36" s="139" cm="1">
        <f t="array" ref="BW36">IF($BT36="-","-",COUNTIFS($AA$4:$AA$97,$BD36,$D$4:$D$97,"Visitante",$F$4:$F$97,$BT36)+COUNTIFS($AF$4:$AF$97,$BD36,$D$4:$D$97,"Local",$E$4:$E$97,$BT36))</f>
        <v>2</v>
      </c>
      <c r="BX36" s="139" cm="1">
        <f t="array" ref="BX36">IF($BT36="-","-",BU36*3+BV36)</f>
        <v>3</v>
      </c>
      <c r="BY36" s="139">
        <v>1</v>
      </c>
      <c r="BZ36" s="112" t="s">
        <v>113</v>
      </c>
      <c r="CA36" s="139" cm="1">
        <f t="array" ref="CA36">IF($BZ36="-","-",SUMIFS($AC$4:$AC$97,$AA$4:$AA$97,$BD36,$I$4:$I$97,$BZ36)+SUMIFS($AD$4:$AD$97,$AF$4:$AF$97,$BD36,$H$4:$H$97,$BZ36))</f>
        <v>2</v>
      </c>
      <c r="CB36" s="139" cm="1">
        <f t="array" ref="CB36">IF($BZ36="-","-",SUMIFS($AD$4:$AD$97,$AA$4:$AA$97,$BD36,$I$4:$I$97,$BZ36)+SUMIFS($AC$4:$AC$97,$AF$4:$AF$97,$BD36,$H$4:$H$97,$BZ36))</f>
        <v>7</v>
      </c>
      <c r="CC36" s="139" cm="1">
        <f t="array" ref="CC36">IF($BZ36="-","-",CA36-CB36)</f>
        <v>-5</v>
      </c>
      <c r="CD36" s="139">
        <v>1</v>
      </c>
      <c r="CE36" s="112" t="s">
        <v>113</v>
      </c>
      <c r="CF36" s="139" cm="1">
        <f t="array" ref="CF36">IF($CE36="-","-",SUMIFS($AC$4:$AC$97,$AA$4:$AA$97,$BD36,$L$4:$L$97,$CE36)+SUMIFS($AD$4:$AD$97,$AF$4:$AF$97,$BD36,$K$4:$K$97,$CE36))</f>
        <v>2</v>
      </c>
      <c r="CG36" s="139">
        <v>1</v>
      </c>
      <c r="CH36" s="112" t="s">
        <v>113</v>
      </c>
      <c r="CI36" s="139" cm="1">
        <f t="array" ref="CI36">IF($CH36="-","-",COUNTIFS($AA$4:$AA$97,$BD36,$D$4:$D$97,"Local",$O$4:$O$97,$CH36)+COUNTIFS($AF$4:$AF$97,$BD36,$D$4:$D$97,"Visitante",$N$4:$N$97,$CH36))</f>
        <v>1</v>
      </c>
      <c r="CJ36" s="139" cm="1">
        <f t="array" ref="CJ36">IF($CH36="-","-",COUNTIFS($AA$4:$AA$97,$BD36,$D$4:$D$97,"Empate",$O$4:$O$97,$CH36)+COUNTIFS($AF$4:$AF$97,$BD36,$D$4:$D$97,"Empate",$N$4:$N$97,$CH36))</f>
        <v>0</v>
      </c>
      <c r="CK36" s="139" cm="1">
        <f t="array" ref="CK36">IF($CH36="-","-",COUNTIFS($AA$4:$AA$97,$BD36,$D$4:$D$97,"Visitante",$O$4:$O$97,$CH36)+COUNTIFS($AF$4:$AF$97,$BD36,$D$4:$D$97,"Local",$N$4:$N$97,$CH36))</f>
        <v>2</v>
      </c>
      <c r="CL36" s="139" cm="1">
        <f t="array" ref="CL36">IF($CH36="-","-",CI36*3+CJ36)</f>
        <v>3</v>
      </c>
      <c r="CM36" s="139">
        <v>1</v>
      </c>
      <c r="CN36" s="112" t="s">
        <v>113</v>
      </c>
      <c r="CO36" s="139" cm="1">
        <f t="array" ref="CO36">IF($CN36="-","-",SUMIFS($AC$4:$AC$97,$AA$4:$AA$97,$BD36,$R$4:$R$97,$CN36)+SUMIFS($AD$4:$AD$97,$AF$4:$AF$97,$BD36,$Q$4:$Q$97,$CN36))</f>
        <v>2</v>
      </c>
      <c r="CP36" s="139" cm="1">
        <f t="array" ref="CP36">IF($CN36="-","-",SUMIFS($AD$4:$AD$97,$AA$4:$AA$97,$BD36,$R$4:$R$97,$CN36)+SUMIFS($AC$4:$AC$97,$AF$4:$AF$97,$BD36,$Q$4:$Q$97,$CN36))</f>
        <v>7</v>
      </c>
      <c r="CQ36" s="139" cm="1">
        <f t="array" ref="CQ36">IF($CN36="-","-",CO36-CP36)</f>
        <v>-5</v>
      </c>
      <c r="CR36" s="139">
        <v>1</v>
      </c>
      <c r="CS36" s="112" t="s">
        <v>113</v>
      </c>
      <c r="CT36" s="139" cm="1">
        <f t="array" ref="CT36">IF($CS36="-","-",SUMIFS($AC$4:$AC$97,$AA$4:$AA$97,$BD36,$U$4:$U$97,$CS36)+SUMIFS($AD$4:$AD$97,$AF$4:$AF$97,$BD36,$T$4:$T$97,$CS36))</f>
        <v>2</v>
      </c>
      <c r="CU36" s="139">
        <v>1</v>
      </c>
      <c r="CV36" s="112" t="s">
        <v>113</v>
      </c>
      <c r="CW36" s="139" cm="1">
        <f t="array" ref="CW36">IF(CV36="-","-",BL36)</f>
        <v>-5</v>
      </c>
      <c r="CX36" s="139">
        <v>1</v>
      </c>
      <c r="CY36" s="112" t="s">
        <v>113</v>
      </c>
      <c r="CZ36" s="139" cm="1">
        <f t="array" ref="CZ36">IF(CY36="-","-",BJ36)</f>
        <v>2</v>
      </c>
      <c r="DA36" s="139">
        <v>1</v>
      </c>
      <c r="DB36" s="112" t="s">
        <v>113</v>
      </c>
      <c r="DC36" s="139">
        <v>3</v>
      </c>
      <c r="DD36" s="139">
        <v>3</v>
      </c>
      <c r="DE36" s="126"/>
      <c r="DF36" s="139" cm="1">
        <f t="array" ref="DF36">IF(OR(INDEX($AW$6:$AW$97,MATCH($BD36,$AV$6:$AV$97,0))="",DB36="-"),DD36,INDEX($AW$6:$AW$97,MATCH($BD36,$AV$6:$AV$97,0))+DD36/1000)</f>
        <v>3</v>
      </c>
      <c r="DG36" s="139">
        <v>2</v>
      </c>
      <c r="DH36" s="139">
        <v>3</v>
      </c>
      <c r="DI36" s="126"/>
      <c r="DJ36" s="139" cm="1">
        <f t="array" ref="DJ36">INDEX($DA$6:$DA$53,MATCH($DQ36,$BD$6:$BD$53,0))</f>
        <v>1</v>
      </c>
      <c r="DK36" s="139" cm="1">
        <f t="array" ref="DK36">SUMIF($BC$6:$BC$53,BC36,$BF$6:$BF$53)</f>
        <v>12</v>
      </c>
      <c r="DL36" s="139" cm="1">
        <f t="array" ref="DL36">IF(OR(DK36=12,$AJ$99=144),COUNTIFS($DJ$6:$DJ$53,DJ36,$BC$6:$BC$53,BC36),1)</f>
        <v>4</v>
      </c>
      <c r="DM36" s="126" t="str" cm="1">
        <f t="array" ref="DM36">DJ36&amp;"."&amp;DL36</f>
        <v>1.4</v>
      </c>
      <c r="DN36" s="139">
        <v>1</v>
      </c>
      <c r="DO36" s="126"/>
      <c r="DP36" s="112" t="s">
        <v>179</v>
      </c>
      <c r="DQ36" s="126" t="str" cm="1">
        <f t="array" ref="DQ36">INDEX($BD$6:$BD$53,MATCH(DP36,$BM$6:$BM$53,0))</f>
        <v>Arabia Saudita</v>
      </c>
      <c r="DR36" s="77"/>
      <c r="DS36" s="77"/>
      <c r="DT36" s="78"/>
      <c r="DU36" s="12"/>
    </row>
    <row r="37" spans="1:125" ht="16" customHeight="1" x14ac:dyDescent="0.2">
      <c r="A37" s="79" t="s">
        <v>148</v>
      </c>
      <c r="B37" s="68"/>
      <c r="C37" s="68"/>
      <c r="D37" s="68" t="str" cm="1">
        <f t="array" ref="D37">IF(OR(AC37="",AD37=""),"Pendiente",IF(AC37&gt;AD37,"Local",IF(AC37&lt;AD37,"Visitante","Empate")))</f>
        <v>Visitante</v>
      </c>
      <c r="E37" s="68" t="str" cm="1">
        <f t="array" ref="E37">IF(D37="Pendiente","-",INDEX($BT$6:$BT$53,MATCH($AA37,$BD$6:$BD$53,0)))</f>
        <v>P.1 (4)</v>
      </c>
      <c r="F37" s="68" t="str" cm="1">
        <f t="array" ref="F37">IF(D37="Pendiente","-",INDEX($BT$6:$BT$53,MATCH($AF37,$BD$6:$BD$53,0)))</f>
        <v>P.1 (4)</v>
      </c>
      <c r="G37" s="68"/>
      <c r="H37" s="68" t="str" cm="1">
        <f t="array" ref="H37">IF(D37="Pendiente","-",INDEX($BZ$6:$BZ$53,MATCH($AA37,$BD$6:$BD$53,0)))</f>
        <v>P.1 (4)</v>
      </c>
      <c r="I37" s="68" t="str" cm="1">
        <f t="array" ref="I37">IF(D37="Pendiente","-",INDEX($BZ$6:$BZ$53,MATCH($AF37,$BD$6:$BD$53,0)))</f>
        <v>P.1 (4)</v>
      </c>
      <c r="J37" s="68"/>
      <c r="K37" s="68" t="str" cm="1">
        <f t="array" ref="K37">IF(D37="Pendiente","-",INDEX($CE$6:$CE$53,MATCH($AA37,$BD$6:$BD$53,0)))</f>
        <v>P.1 (4)</v>
      </c>
      <c r="L37" s="68" t="str" cm="1">
        <f t="array" ref="L37">IF(D37="Pendiente","-",INDEX($CE$6:$CE$53,MATCH($AF37,$BD$6:$BD$53,0)))</f>
        <v>P.1 (4)</v>
      </c>
      <c r="M37" s="68"/>
      <c r="N37" s="68" t="str" cm="1">
        <f t="array" ref="N37">IF(D37="Pendiente","-",INDEX($CH$6:$CH$53,MATCH($AA37,$BD$6:$BD$53,0)))</f>
        <v>P.1 (4)</v>
      </c>
      <c r="O37" s="68" t="str" cm="1">
        <f t="array" ref="O37">IF(D37="Pendiente","-",INDEX($CH$6:$CH$53,MATCH($AF37,$BD$6:$BD$53,0)))</f>
        <v>P.1 (4)</v>
      </c>
      <c r="P37" s="68"/>
      <c r="Q37" s="68" t="str" cm="1">
        <f t="array" ref="Q37">IF(D37="Pendiente","-",INDEX($CN$6:$CN$53,MATCH($AA37,$BD$6:$BD$53,0)))</f>
        <v>P.1 (4)</v>
      </c>
      <c r="R37" s="68" t="str" cm="1">
        <f t="array" ref="R37">IF(D37="Pendiente","-",INDEX($CN$6:$CN$53,MATCH($AF37,$BD$6:$BD$53,0)))</f>
        <v>P.1 (4)</v>
      </c>
      <c r="S37" s="68"/>
      <c r="T37" s="68" t="str" cm="1">
        <f t="array" ref="T37">IF(D37="Pendiente","-",INDEX($CS$6:$CS$53,MATCH($AA37,$BD$6:$BD$53,0)))</f>
        <v>P.1 (4)</v>
      </c>
      <c r="U37" s="68" t="str" cm="1">
        <f t="array" ref="U37">IF(D37="Pendiente","-",INDEX($CS$6:$CS$53,MATCH($AF37,$BD$6:$BD$53,0)))</f>
        <v>P.1 (4)</v>
      </c>
      <c r="V37" s="80"/>
      <c r="W37" s="761"/>
      <c r="X37" s="96">
        <v>46187.791666666657</v>
      </c>
      <c r="Y37" s="97">
        <v>46187.791666666657</v>
      </c>
      <c r="Z37" s="113" t="str" cm="1">
        <f t="array" ref="Z37">$Z$4</f>
        <v>J1</v>
      </c>
      <c r="AA37" s="99" t="str" cm="1">
        <f t="array" ref="AA37">A39</f>
        <v>Costa de Marfil</v>
      </c>
      <c r="AB37" s="100"/>
      <c r="AC37" s="114">
        <v>0</v>
      </c>
      <c r="AD37" s="114">
        <v>4</v>
      </c>
      <c r="AE37" s="102"/>
      <c r="AF37" s="103" t="str" cm="1">
        <f t="array" ref="AF37">A40</f>
        <v>Ecuador</v>
      </c>
      <c r="AG37" s="104" cm="1">
        <f t="array" ref="AG37">IF(NOT(OR(ISBLANK(AC37),ISBLANK(AD37))),1,0)</f>
        <v>1</v>
      </c>
      <c r="AH37" s="105">
        <v>9</v>
      </c>
      <c r="AI37" s="106"/>
      <c r="AJ37" s="196" t="str" cm="1">
        <f t="array" ref="AJ37">AJ5</f>
        <v>Pos</v>
      </c>
      <c r="AK37" s="116"/>
      <c r="AL37" s="197" t="str" cm="1">
        <f t="array" ref="AL37">AL5</f>
        <v>Selección</v>
      </c>
      <c r="AM37" s="116" t="str" cm="1">
        <f t="array" ref="AM37">AM5</f>
        <v>Pts</v>
      </c>
      <c r="AN37" s="116" t="str" cm="1">
        <f t="array" ref="AN37">AN5</f>
        <v>J</v>
      </c>
      <c r="AO37" s="116" t="str" cm="1">
        <f t="array" ref="AO37">AO5</f>
        <v>G</v>
      </c>
      <c r="AP37" s="116" t="str" cm="1">
        <f t="array" ref="AP37">AP5</f>
        <v>E</v>
      </c>
      <c r="AQ37" s="116" t="str" cm="1">
        <f t="array" ref="AQ37">AQ5</f>
        <v>P</v>
      </c>
      <c r="AR37" s="116" t="str" cm="1">
        <f t="array" ref="AR37">AR5</f>
        <v>GF</v>
      </c>
      <c r="AS37" s="116" t="str" cm="1">
        <f t="array" ref="AS37">AS5</f>
        <v>GC</v>
      </c>
      <c r="AT37" s="198" t="str" cm="1">
        <f t="array" ref="AT37">AT5</f>
        <v>DG</v>
      </c>
      <c r="AU37" s="199" cm="1">
        <f t="array" ref="AU37">COUNTIF(AU38:AU41,"&gt;1")</f>
        <v>4</v>
      </c>
      <c r="AV37" s="121"/>
      <c r="AW37" s="200"/>
      <c r="AX37" s="201"/>
      <c r="AY37" s="123" t="str" cm="1">
        <f t="array" ref="AY37">AL37</f>
        <v>Selección</v>
      </c>
      <c r="AZ37" s="124" t="s">
        <v>60</v>
      </c>
      <c r="BA37" s="125"/>
      <c r="BB37" s="77"/>
      <c r="BC37" s="112" t="s">
        <v>173</v>
      </c>
      <c r="BD37" s="112" t="s">
        <v>180</v>
      </c>
      <c r="BE37" s="139" cm="1">
        <f t="array" ref="BE37">BG37*3+BH37+IF($AZ$3="No",0,INDEX($AZ$6:$AZ$97,MATCH(BD37,$AY$6:$AY$97,0)))</f>
        <v>6</v>
      </c>
      <c r="BF37" s="139" cm="1">
        <f t="array" ref="BF37">BG37+BH37+BI37</f>
        <v>3</v>
      </c>
      <c r="BG37" s="139" cm="1">
        <f t="array" ref="BG37">COUNTIFS($AA$4:$AA$97,BD37,$D$4:$D$97,"Local")+COUNTIFS($AF$4:$AF$97,BD37,$D$4:$D$97,"Visitante")</f>
        <v>2</v>
      </c>
      <c r="BH37" s="139" cm="1">
        <f t="array" ref="BH37">COUNTIFS($AA$4:$AA$97,BD37,$D$4:$D$97,"Empate")+COUNTIFS($AF$4:$AF$97,BD37,$D$4:$D$97,"Empate")</f>
        <v>0</v>
      </c>
      <c r="BI37" s="139" cm="1">
        <f t="array" ref="BI37">COUNTIFS($AF$4:$AF$97,BD37,$D$4:$D$97,"Local")+COUNTIFS($AA$4:$AA$97,BD37,$D$4:$D$97,"Visitante")</f>
        <v>1</v>
      </c>
      <c r="BJ37" s="139" cm="1">
        <f t="array" ref="BJ37">SUMIFS($AC$4:$AC$97,$AA$4:$AA$97,BD37,$D$4:$D$97,"&lt;&gt;"&amp;"Pendiente",$AC$4:$AC$97,"&lt;&gt;"&amp;"",$AD$4:$AD$97,"&lt;&gt;"&amp;"")+SUMIFS($AD$4:$AD$97,$AF$4:$AF$97,BD37,$D$4:$D$97,"&lt;&gt;"&amp;"Pendiente",$AC$4:$AC$97,"&lt;&gt;"&amp;"",$AD$4:$AD$97,"&lt;&gt;"&amp;"")</f>
        <v>8</v>
      </c>
      <c r="BK37" s="139" cm="1">
        <f t="array" ref="BK37">SUMIFS($AC$4:$AC$97,$AF$4:$AF$97,BD37,$D$4:$D$97,"&lt;&gt;"&amp;"Pendiente",$AC$4:$AC$97,"&lt;&gt;"&amp;"",$AD$4:$AD$97,"&lt;&gt;"&amp;"")+SUMIFS($AD$4:$AD$97,$AA$4:$AA$97,BD37,$D$4:$D$97,"&lt;&gt;"&amp;"Pendiente",$AC$4:$AC$97,"&lt;&gt;"&amp;"",$AD$4:$AD$97,"&lt;&gt;"&amp;"")</f>
        <v>3</v>
      </c>
      <c r="BL37" s="139" cm="1">
        <f t="array" ref="BL37">BJ37-BK37</f>
        <v>5</v>
      </c>
      <c r="BM37" s="126" t="str" cm="1">
        <f t="array" ref="BM37">DD37&amp;BC37</f>
        <v>4H</v>
      </c>
      <c r="BN37" s="126" t="str" cm="1">
        <f t="array" ref="BN37">DH37&amp;BC37</f>
        <v>4H</v>
      </c>
      <c r="BO37" s="139" cm="1">
        <f t="array" ref="BO37">IF(AND($AJ$99=144,BF37&gt;=1),1,0)</f>
        <v>0</v>
      </c>
      <c r="BP37" s="139">
        <v>1</v>
      </c>
      <c r="BQ37" s="112" t="s">
        <v>113</v>
      </c>
      <c r="BR37" s="139" cm="1">
        <f t="array" ref="BR37">IF($BQ37="-","-",BE37)</f>
        <v>6</v>
      </c>
      <c r="BS37" s="139">
        <v>1</v>
      </c>
      <c r="BT37" s="112" t="s">
        <v>113</v>
      </c>
      <c r="BU37" s="139" cm="1">
        <f t="array" ref="BU37">IF($BT37="-","-",COUNTIFS($AA$4:$AA$97,$BD37,$D$4:$D$97,"Local",$F$4:$F$97,$BT37)+COUNTIFS($AF$4:$AF$97,$BD37,$D$4:$D$97,"Visitante",$E$4:$E$97,$BT37))</f>
        <v>2</v>
      </c>
      <c r="BV37" s="139" cm="1">
        <f t="array" ref="BV37">IF($BT37="-","-",COUNTIFS($AA$4:$AA$97,$BD37,$D$4:$D$97,"Empate",$F$4:$F$97,$BT37)+COUNTIFS($AF$4:$AF$97,$BD37,$D$4:$D$97,"Empate",$E$4:$E$97,$BT37))</f>
        <v>0</v>
      </c>
      <c r="BW37" s="139" cm="1">
        <f t="array" ref="BW37">IF($BT37="-","-",COUNTIFS($AA$4:$AA$97,$BD37,$D$4:$D$97,"Visitante",$F$4:$F$97,$BT37)+COUNTIFS($AF$4:$AF$97,$BD37,$D$4:$D$97,"Local",$E$4:$E$97,$BT37))</f>
        <v>1</v>
      </c>
      <c r="BX37" s="139" cm="1">
        <f t="array" ref="BX37">IF($BT37="-","-",BU37*3+BV37)</f>
        <v>6</v>
      </c>
      <c r="BY37" s="139">
        <v>1</v>
      </c>
      <c r="BZ37" s="112" t="s">
        <v>113</v>
      </c>
      <c r="CA37" s="139" cm="1">
        <f t="array" ref="CA37">IF($BZ37="-","-",SUMIFS($AC$4:$AC$97,$AA$4:$AA$97,$BD37,$I$4:$I$97,$BZ37)+SUMIFS($AD$4:$AD$97,$AF$4:$AF$97,$BD37,$H$4:$H$97,$BZ37))</f>
        <v>8</v>
      </c>
      <c r="CB37" s="139" cm="1">
        <f t="array" ref="CB37">IF($BZ37="-","-",SUMIFS($AD$4:$AD$97,$AA$4:$AA$97,$BD37,$I$4:$I$97,$BZ37)+SUMIFS($AC$4:$AC$97,$AF$4:$AF$97,$BD37,$H$4:$H$97,$BZ37))</f>
        <v>3</v>
      </c>
      <c r="CC37" s="139" cm="1">
        <f t="array" ref="CC37">IF($BZ37="-","-",CA37-CB37)</f>
        <v>5</v>
      </c>
      <c r="CD37" s="139">
        <v>1</v>
      </c>
      <c r="CE37" s="112" t="s">
        <v>113</v>
      </c>
      <c r="CF37" s="139" cm="1">
        <f t="array" ref="CF37">IF($CE37="-","-",SUMIFS($AC$4:$AC$97,$AA$4:$AA$97,$BD37,$L$4:$L$97,$CE37)+SUMIFS($AD$4:$AD$97,$AF$4:$AF$97,$BD37,$K$4:$K$97,$CE37))</f>
        <v>8</v>
      </c>
      <c r="CG37" s="139">
        <v>1</v>
      </c>
      <c r="CH37" s="112" t="s">
        <v>113</v>
      </c>
      <c r="CI37" s="139" cm="1">
        <f t="array" ref="CI37">IF($CH37="-","-",COUNTIFS($AA$4:$AA$97,$BD37,$D$4:$D$97,"Local",$O$4:$O$97,$CH37)+COUNTIFS($AF$4:$AF$97,$BD37,$D$4:$D$97,"Visitante",$N$4:$N$97,$CH37))</f>
        <v>2</v>
      </c>
      <c r="CJ37" s="139" cm="1">
        <f t="array" ref="CJ37">IF($CH37="-","-",COUNTIFS($AA$4:$AA$97,$BD37,$D$4:$D$97,"Empate",$O$4:$O$97,$CH37)+COUNTIFS($AF$4:$AF$97,$BD37,$D$4:$D$97,"Empate",$N$4:$N$97,$CH37))</f>
        <v>0</v>
      </c>
      <c r="CK37" s="139" cm="1">
        <f t="array" ref="CK37">IF($CH37="-","-",COUNTIFS($AA$4:$AA$97,$BD37,$D$4:$D$97,"Visitante",$O$4:$O$97,$CH37)+COUNTIFS($AF$4:$AF$97,$BD37,$D$4:$D$97,"Local",$N$4:$N$97,$CH37))</f>
        <v>1</v>
      </c>
      <c r="CL37" s="139" cm="1">
        <f t="array" ref="CL37">IF($CH37="-","-",CI37*3+CJ37)</f>
        <v>6</v>
      </c>
      <c r="CM37" s="139">
        <v>1</v>
      </c>
      <c r="CN37" s="112" t="s">
        <v>113</v>
      </c>
      <c r="CO37" s="139" cm="1">
        <f t="array" ref="CO37">IF($CN37="-","-",SUMIFS($AC$4:$AC$97,$AA$4:$AA$97,$BD37,$R$4:$R$97,$CN37)+SUMIFS($AD$4:$AD$97,$AF$4:$AF$97,$BD37,$Q$4:$Q$97,$CN37))</f>
        <v>8</v>
      </c>
      <c r="CP37" s="139" cm="1">
        <f t="array" ref="CP37">IF($CN37="-","-",SUMIFS($AD$4:$AD$97,$AA$4:$AA$97,$BD37,$R$4:$R$97,$CN37)+SUMIFS($AC$4:$AC$97,$AF$4:$AF$97,$BD37,$Q$4:$Q$97,$CN37))</f>
        <v>3</v>
      </c>
      <c r="CQ37" s="139" cm="1">
        <f t="array" ref="CQ37">IF($CN37="-","-",CO37-CP37)</f>
        <v>5</v>
      </c>
      <c r="CR37" s="139">
        <v>1</v>
      </c>
      <c r="CS37" s="112" t="s">
        <v>113</v>
      </c>
      <c r="CT37" s="139" cm="1">
        <f t="array" ref="CT37">IF($CS37="-","-",SUMIFS($AC$4:$AC$97,$AA$4:$AA$97,$BD37,$U$4:$U$97,$CS37)+SUMIFS($AD$4:$AD$97,$AF$4:$AF$97,$BD37,$T$4:$T$97,$CS37))</f>
        <v>8</v>
      </c>
      <c r="CU37" s="139">
        <v>1</v>
      </c>
      <c r="CV37" s="112" t="s">
        <v>113</v>
      </c>
      <c r="CW37" s="139" cm="1">
        <f t="array" ref="CW37">IF(CV37="-","-",BL37)</f>
        <v>5</v>
      </c>
      <c r="CX37" s="139">
        <v>1</v>
      </c>
      <c r="CY37" s="112" t="s">
        <v>113</v>
      </c>
      <c r="CZ37" s="139" cm="1">
        <f t="array" ref="CZ37">IF(CY37="-","-",BJ37)</f>
        <v>8</v>
      </c>
      <c r="DA37" s="139">
        <v>1</v>
      </c>
      <c r="DB37" s="112" t="s">
        <v>113</v>
      </c>
      <c r="DC37" s="139">
        <v>4</v>
      </c>
      <c r="DD37" s="139">
        <v>4</v>
      </c>
      <c r="DE37" s="126"/>
      <c r="DF37" s="139" cm="1">
        <f t="array" ref="DF37">IF(OR(INDEX($AW$6:$AW$97,MATCH($BD37,$AV$6:$AV$97,0))="",DB37="-"),DD37,INDEX($AW$6:$AW$97,MATCH($BD37,$AV$6:$AV$97,0))+DD37/1000)</f>
        <v>4</v>
      </c>
      <c r="DG37" s="139">
        <v>3</v>
      </c>
      <c r="DH37" s="139">
        <v>4</v>
      </c>
      <c r="DI37" s="126"/>
      <c r="DJ37" s="139" cm="1">
        <f t="array" ref="DJ37">INDEX($DA$6:$DA$53,MATCH($DQ37,$BD$6:$BD$53,0))</f>
        <v>1</v>
      </c>
      <c r="DK37" s="139" cm="1">
        <f t="array" ref="DK37">SUMIF($BC$6:$BC$53,BC37,$BF$6:$BF$53)</f>
        <v>12</v>
      </c>
      <c r="DL37" s="139" cm="1">
        <f t="array" ref="DL37">IF(OR(DK37=12,$AJ$99=144),COUNTIFS($DJ$6:$DJ$53,DJ37,$BC$6:$BC$53,BC37),1)</f>
        <v>4</v>
      </c>
      <c r="DM37" s="126" t="str" cm="1">
        <f t="array" ref="DM37">DJ37&amp;"."&amp;DL37</f>
        <v>1.4</v>
      </c>
      <c r="DN37" s="139">
        <v>1</v>
      </c>
      <c r="DO37" s="126"/>
      <c r="DP37" s="112" t="s">
        <v>181</v>
      </c>
      <c r="DQ37" s="126" t="str" cm="1">
        <f t="array" ref="DQ37">INDEX($BD$6:$BD$53,MATCH(DP37,$BM$6:$BM$53,0))</f>
        <v>Uruguay</v>
      </c>
      <c r="DR37" s="77"/>
      <c r="DS37" s="77"/>
      <c r="DT37" s="78"/>
      <c r="DU37" s="12"/>
    </row>
    <row r="38" spans="1:125" ht="16" customHeight="1" x14ac:dyDescent="0.2">
      <c r="A38" s="79" t="s">
        <v>150</v>
      </c>
      <c r="B38" s="68"/>
      <c r="C38" s="68"/>
      <c r="D38" s="68" t="str" cm="1">
        <f t="array" ref="D38">IF(OR(AC38="",AD38=""),"Pendiente",IF(AC38&gt;AD38,"Local",IF(AC38&lt;AD38,"Visitante","Empate")))</f>
        <v>Local</v>
      </c>
      <c r="E38" s="68" t="str" cm="1">
        <f t="array" ref="E38">IF(D38="Pendiente","-",INDEX($BT$6:$BT$53,MATCH($AA38,$BD$6:$BD$53,0)))</f>
        <v>P.1 (4)</v>
      </c>
      <c r="F38" s="68" t="str" cm="1">
        <f t="array" ref="F38">IF(D38="Pendiente","-",INDEX($BT$6:$BT$53,MATCH($AF38,$BD$6:$BD$53,0)))</f>
        <v>P.1 (4)</v>
      </c>
      <c r="G38" s="68"/>
      <c r="H38" s="68" t="str" cm="1">
        <f t="array" ref="H38">IF(D38="Pendiente","-",INDEX($BZ$6:$BZ$53,MATCH($AA38,$BD$6:$BD$53,0)))</f>
        <v>P.1 (4)</v>
      </c>
      <c r="I38" s="68" t="str" cm="1">
        <f t="array" ref="I38">IF(D38="Pendiente","-",INDEX($BZ$6:$BZ$53,MATCH($AF38,$BD$6:$BD$53,0)))</f>
        <v>P.1 (4)</v>
      </c>
      <c r="J38" s="68"/>
      <c r="K38" s="68" t="str" cm="1">
        <f t="array" ref="K38">IF(D38="Pendiente","-",INDEX($CE$6:$CE$53,MATCH($AA38,$BD$6:$BD$53,0)))</f>
        <v>P.1 (4)</v>
      </c>
      <c r="L38" s="68" t="str" cm="1">
        <f t="array" ref="L38">IF(D38="Pendiente","-",INDEX($CE$6:$CE$53,MATCH($AF38,$BD$6:$BD$53,0)))</f>
        <v>P.1 (4)</v>
      </c>
      <c r="M38" s="68"/>
      <c r="N38" s="68" t="str" cm="1">
        <f t="array" ref="N38">IF(D38="Pendiente","-",INDEX($CH$6:$CH$53,MATCH($AA38,$BD$6:$BD$53,0)))</f>
        <v>P.1 (4)</v>
      </c>
      <c r="O38" s="68" t="str" cm="1">
        <f t="array" ref="O38">IF(D38="Pendiente","-",INDEX($CH$6:$CH$53,MATCH($AF38,$BD$6:$BD$53,0)))</f>
        <v>P.1 (4)</v>
      </c>
      <c r="P38" s="68"/>
      <c r="Q38" s="68" t="str" cm="1">
        <f t="array" ref="Q38">IF(D38="Pendiente","-",INDEX($CN$6:$CN$53,MATCH($AA38,$BD$6:$BD$53,0)))</f>
        <v>P.1 (4)</v>
      </c>
      <c r="R38" s="68" t="str" cm="1">
        <f t="array" ref="R38">IF(D38="Pendiente","-",INDEX($CN$6:$CN$53,MATCH($AF38,$BD$6:$BD$53,0)))</f>
        <v>P.1 (4)</v>
      </c>
      <c r="S38" s="68"/>
      <c r="T38" s="68" t="str" cm="1">
        <f t="array" ref="T38">IF(D38="Pendiente","-",INDEX($CS$6:$CS$53,MATCH($AA38,$BD$6:$BD$53,0)))</f>
        <v>P.1 (4)</v>
      </c>
      <c r="U38" s="68" t="str" cm="1">
        <f t="array" ref="U38">IF(D38="Pendiente","-",INDEX($CS$6:$CS$53,MATCH($AF38,$BD$6:$BD$53,0)))</f>
        <v>P.1 (4)</v>
      </c>
      <c r="V38" s="80"/>
      <c r="W38" s="762"/>
      <c r="X38" s="96">
        <v>46193.666666666657</v>
      </c>
      <c r="Y38" s="97">
        <v>46193.666666666657</v>
      </c>
      <c r="Z38" s="113" t="str" cm="1">
        <f t="array" ref="Z38">$Z$6</f>
        <v>J2</v>
      </c>
      <c r="AA38" s="99" t="str" cm="1">
        <f t="array" ref="AA38">A37</f>
        <v>Alemania</v>
      </c>
      <c r="AB38" s="100"/>
      <c r="AC38" s="114">
        <v>3</v>
      </c>
      <c r="AD38" s="114">
        <v>1</v>
      </c>
      <c r="AE38" s="102"/>
      <c r="AF38" s="103" t="str" cm="1">
        <f t="array" ref="AF38">A39</f>
        <v>Costa de Marfil</v>
      </c>
      <c r="AG38" s="104" cm="1">
        <f t="array" ref="AG38">IF(NOT(OR(ISBLANK(AC38),ISBLANK(AD38))),1,0)</f>
        <v>1</v>
      </c>
      <c r="AH38" s="105">
        <v>33</v>
      </c>
      <c r="AI38" s="106" t="str" cm="1">
        <f t="array" ref="AI38">AJ38&amp;$B$36</f>
        <v>1E</v>
      </c>
      <c r="AJ38" s="127">
        <v>1</v>
      </c>
      <c r="AK38" s="204"/>
      <c r="AL38" s="129" t="str" cm="1">
        <f t="array" ref="AL38">IFERROR(INDEX($BD$6:$BD$53,MATCH(AI38,$BN$6:$BN$53,0)),"")</f>
        <v>Alemania</v>
      </c>
      <c r="AM38" s="130" cm="1">
        <f t="array" ref="AM38">INDEX($BE$6:$BN$53,MATCH($AL38,$BD$6:$BD$53,0),MATCH(AM$5,$BE$5:$BN$5,0))</f>
        <v>9</v>
      </c>
      <c r="AN38" s="131" cm="1">
        <f t="array" ref="AN38">INDEX($BE$6:$BN$53,MATCH($AL38,$BD$6:$BD$53,0),MATCH(AN$5,$BE$5:$BN$5,0))</f>
        <v>3</v>
      </c>
      <c r="AO38" s="131" cm="1">
        <f t="array" ref="AO38">INDEX($BE$6:$BN$53,MATCH($AL38,$BD$6:$BD$53,0),MATCH(AO$5,$BE$5:$BN$5,0))</f>
        <v>3</v>
      </c>
      <c r="AP38" s="131" cm="1">
        <f t="array" ref="AP38">INDEX($BE$6:$BN$53,MATCH($AL38,$BD$6:$BD$53,0),MATCH(AP$5,$BE$5:$BN$5,0))</f>
        <v>0</v>
      </c>
      <c r="AQ38" s="131" cm="1">
        <f t="array" ref="AQ38">INDEX($BE$6:$BN$53,MATCH($AL38,$BD$6:$BD$53,0),MATCH(AQ$5,$BE$5:$BN$5,0))</f>
        <v>0</v>
      </c>
      <c r="AR38" s="131" cm="1">
        <f t="array" ref="AR38">INDEX($BE$6:$BN$53,MATCH($AL38,$BD$6:$BD$53,0),MATCH(AR$5,$BE$5:$BN$5,0))</f>
        <v>10</v>
      </c>
      <c r="AS38" s="131" cm="1">
        <f t="array" ref="AS38">INDEX($BE$6:$BN$53,MATCH($AL38,$BD$6:$BD$53,0),MATCH(AS$5,$BE$5:$BN$5,0))</f>
        <v>2</v>
      </c>
      <c r="AT38" s="132" cm="1">
        <f t="array" ref="AT38">INDEX($BE$6:$BN$53,MATCH($AL38,$BD$6:$BD$53,0),MATCH(AT$5,$BE$5:$BN$5,0))</f>
        <v>8</v>
      </c>
      <c r="AU38" s="133" cm="1">
        <f t="array" ref="AU38">INDEX($DL$6:$DL$53,MATCH(AI38,$DP$6:$DP$53,0))</f>
        <v>4</v>
      </c>
      <c r="AV38" s="134" t="str" cm="1">
        <f t="array" ref="AV38">INDEX($BD$6:$BD$53,MATCH(AI38,$BM$6:$BM$53,0))</f>
        <v>Alemania</v>
      </c>
      <c r="AW38" s="135"/>
      <c r="AX38" s="136"/>
      <c r="AY38" s="137" t="str" cm="1">
        <f t="array" ref="AY38">A37</f>
        <v>Alemania</v>
      </c>
      <c r="AZ38" s="138"/>
      <c r="BA38" s="125"/>
      <c r="BB38" s="77"/>
      <c r="BC38" s="112" t="s">
        <v>182</v>
      </c>
      <c r="BD38" s="112" t="s">
        <v>183</v>
      </c>
      <c r="BE38" s="139" cm="1">
        <f t="array" ref="BE38">BG38*3+BH38+IF($AZ$3="No",0,INDEX($AZ$6:$AZ$97,MATCH(BD38,$AY$6:$AY$97,0)))</f>
        <v>9</v>
      </c>
      <c r="BF38" s="139" cm="1">
        <f t="array" ref="BF38">BG38+BH38+BI38</f>
        <v>3</v>
      </c>
      <c r="BG38" s="139" cm="1">
        <f t="array" ref="BG38">COUNTIFS($AA$4:$AA$97,BD38,$D$4:$D$97,"Local")+COUNTIFS($AF$4:$AF$97,BD38,$D$4:$D$97,"Visitante")</f>
        <v>3</v>
      </c>
      <c r="BH38" s="139" cm="1">
        <f t="array" ref="BH38">COUNTIFS($AA$4:$AA$97,BD38,$D$4:$D$97,"Empate")+COUNTIFS($AF$4:$AF$97,BD38,$D$4:$D$97,"Empate")</f>
        <v>0</v>
      </c>
      <c r="BI38" s="139" cm="1">
        <f t="array" ref="BI38">COUNTIFS($AF$4:$AF$97,BD38,$D$4:$D$97,"Local")+COUNTIFS($AA$4:$AA$97,BD38,$D$4:$D$97,"Visitante")</f>
        <v>0</v>
      </c>
      <c r="BJ38" s="139" cm="1">
        <f t="array" ref="BJ38">SUMIFS($AC$4:$AC$97,$AA$4:$AA$97,BD38,$D$4:$D$97,"&lt;&gt;"&amp;"Pendiente",$AC$4:$AC$97,"&lt;&gt;"&amp;"",$AD$4:$AD$97,"&lt;&gt;"&amp;"")+SUMIFS($AD$4:$AD$97,$AF$4:$AF$97,BD38,$D$4:$D$97,"&lt;&gt;"&amp;"Pendiente",$AC$4:$AC$97,"&lt;&gt;"&amp;"",$AD$4:$AD$97,"&lt;&gt;"&amp;"")</f>
        <v>12</v>
      </c>
      <c r="BK38" s="139" cm="1">
        <f t="array" ref="BK38">SUMIFS($AC$4:$AC$97,$AF$4:$AF$97,BD38,$D$4:$D$97,"&lt;&gt;"&amp;"Pendiente",$AC$4:$AC$97,"&lt;&gt;"&amp;"",$AD$4:$AD$97,"&lt;&gt;"&amp;"")+SUMIFS($AD$4:$AD$97,$AA$4:$AA$97,BD38,$D$4:$D$97,"&lt;&gt;"&amp;"Pendiente",$AC$4:$AC$97,"&lt;&gt;"&amp;"",$AD$4:$AD$97,"&lt;&gt;"&amp;"")</f>
        <v>2</v>
      </c>
      <c r="BL38" s="139" cm="1">
        <f t="array" ref="BL38">BJ38-BK38</f>
        <v>10</v>
      </c>
      <c r="BM38" s="126" t="str" cm="1">
        <f t="array" ref="BM38">DD38&amp;BC38</f>
        <v>1I</v>
      </c>
      <c r="BN38" s="126" t="str" cm="1">
        <f t="array" ref="BN38">DH38&amp;BC38</f>
        <v>1I</v>
      </c>
      <c r="BO38" s="139" cm="1">
        <f t="array" ref="BO38">IF(AND($AJ$99=144,BF38&gt;=1),1,0)</f>
        <v>0</v>
      </c>
      <c r="BP38" s="139">
        <v>1</v>
      </c>
      <c r="BQ38" s="112" t="s">
        <v>113</v>
      </c>
      <c r="BR38" s="139" cm="1">
        <f t="array" ref="BR38">IF($BQ38="-","-",BE38)</f>
        <v>9</v>
      </c>
      <c r="BS38" s="139">
        <v>1</v>
      </c>
      <c r="BT38" s="112" t="s">
        <v>113</v>
      </c>
      <c r="BU38" s="139" cm="1">
        <f t="array" ref="BU38">IF($BT38="-","-",COUNTIFS($AA$4:$AA$97,$BD38,$D$4:$D$97,"Local",$F$4:$F$97,$BT38)+COUNTIFS($AF$4:$AF$97,$BD38,$D$4:$D$97,"Visitante",$E$4:$E$97,$BT38))</f>
        <v>3</v>
      </c>
      <c r="BV38" s="139" cm="1">
        <f t="array" ref="BV38">IF($BT38="-","-",COUNTIFS($AA$4:$AA$97,$BD38,$D$4:$D$97,"Empate",$F$4:$F$97,$BT38)+COUNTIFS($AF$4:$AF$97,$BD38,$D$4:$D$97,"Empate",$E$4:$E$97,$BT38))</f>
        <v>0</v>
      </c>
      <c r="BW38" s="139" cm="1">
        <f t="array" ref="BW38">IF($BT38="-","-",COUNTIFS($AA$4:$AA$97,$BD38,$D$4:$D$97,"Visitante",$F$4:$F$97,$BT38)+COUNTIFS($AF$4:$AF$97,$BD38,$D$4:$D$97,"Local",$E$4:$E$97,$BT38))</f>
        <v>0</v>
      </c>
      <c r="BX38" s="139" cm="1">
        <f t="array" ref="BX38">IF($BT38="-","-",BU38*3+BV38)</f>
        <v>9</v>
      </c>
      <c r="BY38" s="139">
        <v>1</v>
      </c>
      <c r="BZ38" s="112" t="s">
        <v>113</v>
      </c>
      <c r="CA38" s="139" cm="1">
        <f t="array" ref="CA38">IF($BZ38="-","-",SUMIFS($AC$4:$AC$97,$AA$4:$AA$97,$BD38,$I$4:$I$97,$BZ38)+SUMIFS($AD$4:$AD$97,$AF$4:$AF$97,$BD38,$H$4:$H$97,$BZ38))</f>
        <v>12</v>
      </c>
      <c r="CB38" s="139" cm="1">
        <f t="array" ref="CB38">IF($BZ38="-","-",SUMIFS($AD$4:$AD$97,$AA$4:$AA$97,$BD38,$I$4:$I$97,$BZ38)+SUMIFS($AC$4:$AC$97,$AF$4:$AF$97,$BD38,$H$4:$H$97,$BZ38))</f>
        <v>2</v>
      </c>
      <c r="CC38" s="139" cm="1">
        <f t="array" ref="CC38">IF($BZ38="-","-",CA38-CB38)</f>
        <v>10</v>
      </c>
      <c r="CD38" s="139">
        <v>1</v>
      </c>
      <c r="CE38" s="112" t="s">
        <v>113</v>
      </c>
      <c r="CF38" s="139" cm="1">
        <f t="array" ref="CF38">IF($CE38="-","-",SUMIFS($AC$4:$AC$97,$AA$4:$AA$97,$BD38,$L$4:$L$97,$CE38)+SUMIFS($AD$4:$AD$97,$AF$4:$AF$97,$BD38,$K$4:$K$97,$CE38))</f>
        <v>12</v>
      </c>
      <c r="CG38" s="139">
        <v>1</v>
      </c>
      <c r="CH38" s="112" t="s">
        <v>113</v>
      </c>
      <c r="CI38" s="139" cm="1">
        <f t="array" ref="CI38">IF($CH38="-","-",COUNTIFS($AA$4:$AA$97,$BD38,$D$4:$D$97,"Local",$O$4:$O$97,$CH38)+COUNTIFS($AF$4:$AF$97,$BD38,$D$4:$D$97,"Visitante",$N$4:$N$97,$CH38))</f>
        <v>3</v>
      </c>
      <c r="CJ38" s="139" cm="1">
        <f t="array" ref="CJ38">IF($CH38="-","-",COUNTIFS($AA$4:$AA$97,$BD38,$D$4:$D$97,"Empate",$O$4:$O$97,$CH38)+COUNTIFS($AF$4:$AF$97,$BD38,$D$4:$D$97,"Empate",$N$4:$N$97,$CH38))</f>
        <v>0</v>
      </c>
      <c r="CK38" s="139" cm="1">
        <f t="array" ref="CK38">IF($CH38="-","-",COUNTIFS($AA$4:$AA$97,$BD38,$D$4:$D$97,"Visitante",$O$4:$O$97,$CH38)+COUNTIFS($AF$4:$AF$97,$BD38,$D$4:$D$97,"Local",$N$4:$N$97,$CH38))</f>
        <v>0</v>
      </c>
      <c r="CL38" s="139" cm="1">
        <f t="array" ref="CL38">IF($CH38="-","-",CI38*3+CJ38)</f>
        <v>9</v>
      </c>
      <c r="CM38" s="139">
        <v>1</v>
      </c>
      <c r="CN38" s="112" t="s">
        <v>113</v>
      </c>
      <c r="CO38" s="139" cm="1">
        <f t="array" ref="CO38">IF($CN38="-","-",SUMIFS($AC$4:$AC$97,$AA$4:$AA$97,$BD38,$R$4:$R$97,$CN38)+SUMIFS($AD$4:$AD$97,$AF$4:$AF$97,$BD38,$Q$4:$Q$97,$CN38))</f>
        <v>12</v>
      </c>
      <c r="CP38" s="139" cm="1">
        <f t="array" ref="CP38">IF($CN38="-","-",SUMIFS($AD$4:$AD$97,$AA$4:$AA$97,$BD38,$R$4:$R$97,$CN38)+SUMIFS($AC$4:$AC$97,$AF$4:$AF$97,$BD38,$Q$4:$Q$97,$CN38))</f>
        <v>2</v>
      </c>
      <c r="CQ38" s="139" cm="1">
        <f t="array" ref="CQ38">IF($CN38="-","-",CO38-CP38)</f>
        <v>10</v>
      </c>
      <c r="CR38" s="139">
        <v>1</v>
      </c>
      <c r="CS38" s="112" t="s">
        <v>113</v>
      </c>
      <c r="CT38" s="139" cm="1">
        <f t="array" ref="CT38">IF($CS38="-","-",SUMIFS($AC$4:$AC$97,$AA$4:$AA$97,$BD38,$U$4:$U$97,$CS38)+SUMIFS($AD$4:$AD$97,$AF$4:$AF$97,$BD38,$T$4:$T$97,$CS38))</f>
        <v>12</v>
      </c>
      <c r="CU38" s="139">
        <v>1</v>
      </c>
      <c r="CV38" s="112" t="s">
        <v>113</v>
      </c>
      <c r="CW38" s="139" cm="1">
        <f t="array" ref="CW38">IF(CV38="-","-",BL38)</f>
        <v>10</v>
      </c>
      <c r="CX38" s="139">
        <v>1</v>
      </c>
      <c r="CY38" s="112" t="s">
        <v>113</v>
      </c>
      <c r="CZ38" s="139" cm="1">
        <f t="array" ref="CZ38">IF(CY38="-","-",BJ38)</f>
        <v>12</v>
      </c>
      <c r="DA38" s="139">
        <v>1</v>
      </c>
      <c r="DB38" s="112" t="s">
        <v>113</v>
      </c>
      <c r="DC38" s="139">
        <v>1</v>
      </c>
      <c r="DD38" s="139">
        <v>1</v>
      </c>
      <c r="DE38" s="126"/>
      <c r="DF38" s="139" cm="1">
        <f t="array" ref="DF38">IF(OR(INDEX($AW$6:$AW$97,MATCH($BD38,$AV$6:$AV$97,0))="",DB38="-"),DD38,INDEX($AW$6:$AW$97,MATCH($BD38,$AV$6:$AV$97,0))+DD38/1000)</f>
        <v>1</v>
      </c>
      <c r="DG38" s="139">
        <v>0</v>
      </c>
      <c r="DH38" s="139">
        <v>1</v>
      </c>
      <c r="DI38" s="126"/>
      <c r="DJ38" s="139" cm="1">
        <f t="array" ref="DJ38">INDEX($DA$6:$DA$53,MATCH($DQ38,$BD$6:$BD$53,0))</f>
        <v>1</v>
      </c>
      <c r="DK38" s="139" cm="1">
        <f t="array" ref="DK38">SUMIF($BC$6:$BC$53,BC38,$BF$6:$BF$53)</f>
        <v>12</v>
      </c>
      <c r="DL38" s="139" cm="1">
        <f t="array" ref="DL38">IF(OR(DK38=12,$AJ$99=144),COUNTIFS($DJ$6:$DJ$53,DJ38,$BC$6:$BC$53,BC38),1)</f>
        <v>4</v>
      </c>
      <c r="DM38" s="126" t="str" cm="1">
        <f t="array" ref="DM38">DJ38&amp;"."&amp;DL38</f>
        <v>1.4</v>
      </c>
      <c r="DN38" s="139">
        <v>1</v>
      </c>
      <c r="DO38" s="126"/>
      <c r="DP38" s="112" t="s">
        <v>184</v>
      </c>
      <c r="DQ38" s="126" t="str" cm="1">
        <f t="array" ref="DQ38">INDEX($BD$6:$BD$53,MATCH(DP38,$BM$6:$BM$53,0))</f>
        <v>Francia</v>
      </c>
      <c r="DR38" s="77"/>
      <c r="DS38" s="77"/>
      <c r="DT38" s="78"/>
      <c r="DU38" s="12"/>
    </row>
    <row r="39" spans="1:125" ht="16" customHeight="1" x14ac:dyDescent="0.2">
      <c r="A39" s="79" t="s">
        <v>152</v>
      </c>
      <c r="B39" s="68"/>
      <c r="C39" s="68"/>
      <c r="D39" s="68" t="str" cm="1">
        <f t="array" ref="D39">IF(OR(AC39="",AD39=""),"Pendiente",IF(AC39&gt;AD39,"Local",IF(AC39&lt;AD39,"Visitante","Empate")))</f>
        <v>Local</v>
      </c>
      <c r="E39" s="68" t="str" cm="1">
        <f t="array" ref="E39">IF(D39="Pendiente","-",INDEX($BT$6:$BT$53,MATCH($AA39,$BD$6:$BD$53,0)))</f>
        <v>P.1 (4)</v>
      </c>
      <c r="F39" s="68" t="str" cm="1">
        <f t="array" ref="F39">IF(D39="Pendiente","-",INDEX($BT$6:$BT$53,MATCH($AF39,$BD$6:$BD$53,0)))</f>
        <v>P.1 (4)</v>
      </c>
      <c r="G39" s="68"/>
      <c r="H39" s="68" t="str" cm="1">
        <f t="array" ref="H39">IF(D39="Pendiente","-",INDEX($BZ$6:$BZ$53,MATCH($AA39,$BD$6:$BD$53,0)))</f>
        <v>P.1 (4)</v>
      </c>
      <c r="I39" s="68" t="str" cm="1">
        <f t="array" ref="I39">IF(D39="Pendiente","-",INDEX($BZ$6:$BZ$53,MATCH($AF39,$BD$6:$BD$53,0)))</f>
        <v>P.1 (4)</v>
      </c>
      <c r="J39" s="68"/>
      <c r="K39" s="68" t="str" cm="1">
        <f t="array" ref="K39">IF(D39="Pendiente","-",INDEX($CE$6:$CE$53,MATCH($AA39,$BD$6:$BD$53,0)))</f>
        <v>P.1 (4)</v>
      </c>
      <c r="L39" s="68" t="str" cm="1">
        <f t="array" ref="L39">IF(D39="Pendiente","-",INDEX($CE$6:$CE$53,MATCH($AF39,$BD$6:$BD$53,0)))</f>
        <v>P.1 (4)</v>
      </c>
      <c r="M39" s="68"/>
      <c r="N39" s="68" t="str" cm="1">
        <f t="array" ref="N39">IF(D39="Pendiente","-",INDEX($CH$6:$CH$53,MATCH($AA39,$BD$6:$BD$53,0)))</f>
        <v>P.1 (4)</v>
      </c>
      <c r="O39" s="68" t="str" cm="1">
        <f t="array" ref="O39">IF(D39="Pendiente","-",INDEX($CH$6:$CH$53,MATCH($AF39,$BD$6:$BD$53,0)))</f>
        <v>P.1 (4)</v>
      </c>
      <c r="P39" s="68"/>
      <c r="Q39" s="68" t="str" cm="1">
        <f t="array" ref="Q39">IF(D39="Pendiente","-",INDEX($CN$6:$CN$53,MATCH($AA39,$BD$6:$BD$53,0)))</f>
        <v>P.1 (4)</v>
      </c>
      <c r="R39" s="68" t="str" cm="1">
        <f t="array" ref="R39">IF(D39="Pendiente","-",INDEX($CN$6:$CN$53,MATCH($AF39,$BD$6:$BD$53,0)))</f>
        <v>P.1 (4)</v>
      </c>
      <c r="S39" s="68"/>
      <c r="T39" s="68" t="str" cm="1">
        <f t="array" ref="T39">IF(D39="Pendiente","-",INDEX($CS$6:$CS$53,MATCH($AA39,$BD$6:$BD$53,0)))</f>
        <v>P.1 (4)</v>
      </c>
      <c r="U39" s="68" t="str" cm="1">
        <f t="array" ref="U39">IF(D39="Pendiente","-",INDEX($CS$6:$CS$53,MATCH($AF39,$BD$6:$BD$53,0)))</f>
        <v>P.1 (4)</v>
      </c>
      <c r="V39" s="80"/>
      <c r="W39" s="762"/>
      <c r="X39" s="96">
        <v>46193.833333333343</v>
      </c>
      <c r="Y39" s="97">
        <v>46193.833333333343</v>
      </c>
      <c r="Z39" s="113" t="str" cm="1">
        <f t="array" ref="Z39">$Z$6</f>
        <v>J2</v>
      </c>
      <c r="AA39" s="99" t="str" cm="1">
        <f t="array" ref="AA39">A40</f>
        <v>Ecuador</v>
      </c>
      <c r="AB39" s="100"/>
      <c r="AC39" s="114">
        <v>3</v>
      </c>
      <c r="AD39" s="114">
        <v>0</v>
      </c>
      <c r="AE39" s="102"/>
      <c r="AF39" s="103" t="str" cm="1">
        <f t="array" ref="AF39">A38</f>
        <v>Curazao</v>
      </c>
      <c r="AG39" s="104" cm="1">
        <f t="array" ref="AG39">IF(NOT(OR(ISBLANK(AC39),ISBLANK(AD39))),1,0)</f>
        <v>1</v>
      </c>
      <c r="AH39" s="105">
        <v>34</v>
      </c>
      <c r="AI39" s="106" t="str" cm="1">
        <f t="array" ref="AI39">AJ39&amp;$B$36</f>
        <v>2E</v>
      </c>
      <c r="AJ39" s="140">
        <v>2</v>
      </c>
      <c r="AK39" s="208"/>
      <c r="AL39" s="142" t="str" cm="1">
        <f t="array" ref="AL39">IFERROR(INDEX($BD$6:$BD$53,MATCH(AI39,$BN$6:$BN$53,0)),"")</f>
        <v>Curazao</v>
      </c>
      <c r="AM39" s="143" cm="1">
        <f t="array" ref="AM39">INDEX($BE$6:$BN$53,MATCH($AL39,$BD$6:$BD$53,0),MATCH(AM$5,$BE$5:$BN$5,0))</f>
        <v>0</v>
      </c>
      <c r="AN39" s="144" cm="1">
        <f t="array" ref="AN39">INDEX($BE$6:$BN$53,MATCH($AL39,$BD$6:$BD$53,0),MATCH(AN$5,$BE$5:$BN$5,0))</f>
        <v>3</v>
      </c>
      <c r="AO39" s="144" cm="1">
        <f t="array" ref="AO39">INDEX($BE$6:$BN$53,MATCH($AL39,$BD$6:$BD$53,0),MATCH(AO$5,$BE$5:$BN$5,0))</f>
        <v>0</v>
      </c>
      <c r="AP39" s="144" cm="1">
        <f t="array" ref="AP39">INDEX($BE$6:$BN$53,MATCH($AL39,$BD$6:$BD$53,0),MATCH(AP$5,$BE$5:$BN$5,0))</f>
        <v>0</v>
      </c>
      <c r="AQ39" s="144" cm="1">
        <f t="array" ref="AQ39">INDEX($BE$6:$BN$53,MATCH($AL39,$BD$6:$BD$53,0),MATCH(AQ$5,$BE$5:$BN$5,0))</f>
        <v>3</v>
      </c>
      <c r="AR39" s="144" cm="1">
        <f t="array" ref="AR39">INDEX($BE$6:$BN$53,MATCH($AL39,$BD$6:$BD$53,0),MATCH(AR$5,$BE$5:$BN$5,0))</f>
        <v>0</v>
      </c>
      <c r="AS39" s="144" cm="1">
        <f t="array" ref="AS39">INDEX($BE$6:$BN$53,MATCH($AL39,$BD$6:$BD$53,0),MATCH(AS$5,$BE$5:$BN$5,0))</f>
        <v>10</v>
      </c>
      <c r="AT39" s="145" cm="1">
        <f t="array" ref="AT39">INDEX($BE$6:$BN$53,MATCH($AL39,$BD$6:$BD$53,0),MATCH(AT$5,$BE$5:$BN$5,0))</f>
        <v>-10</v>
      </c>
      <c r="AU39" s="133" cm="1">
        <f t="array" ref="AU39">INDEX($DL$6:$DL$53,MATCH(AI39,$DP$6:$DP$53,0))</f>
        <v>4</v>
      </c>
      <c r="AV39" s="134" t="str" cm="1">
        <f t="array" ref="AV39">INDEX($BD$6:$BD$53,MATCH(AI39,$BM$6:$BM$53,0))</f>
        <v>Curazao</v>
      </c>
      <c r="AW39" s="135"/>
      <c r="AX39" s="136"/>
      <c r="AY39" s="146" t="str" cm="1">
        <f t="array" ref="AY39">A38</f>
        <v>Curazao</v>
      </c>
      <c r="AZ39" s="147"/>
      <c r="BA39" s="125"/>
      <c r="BB39" s="77"/>
      <c r="BC39" s="112" t="s">
        <v>182</v>
      </c>
      <c r="BD39" s="112" t="s">
        <v>185</v>
      </c>
      <c r="BE39" s="139" cm="1">
        <f t="array" ref="BE39">BG39*3+BH39+IF($AZ$3="No",0,INDEX($AZ$6:$AZ$97,MATCH(BD39,$AY$6:$AY$97,0)))</f>
        <v>3</v>
      </c>
      <c r="BF39" s="139" cm="1">
        <f t="array" ref="BF39">BG39+BH39+BI39</f>
        <v>3</v>
      </c>
      <c r="BG39" s="139" cm="1">
        <f t="array" ref="BG39">COUNTIFS($AA$4:$AA$97,BD39,$D$4:$D$97,"Local")+COUNTIFS($AF$4:$AF$97,BD39,$D$4:$D$97,"Visitante")</f>
        <v>1</v>
      </c>
      <c r="BH39" s="139" cm="1">
        <f t="array" ref="BH39">COUNTIFS($AA$4:$AA$97,BD39,$D$4:$D$97,"Empate")+COUNTIFS($AF$4:$AF$97,BD39,$D$4:$D$97,"Empate")</f>
        <v>0</v>
      </c>
      <c r="BI39" s="139" cm="1">
        <f t="array" ref="BI39">COUNTIFS($AF$4:$AF$97,BD39,$D$4:$D$97,"Local")+COUNTIFS($AA$4:$AA$97,BD39,$D$4:$D$97,"Visitante")</f>
        <v>2</v>
      </c>
      <c r="BJ39" s="139" cm="1">
        <f t="array" ref="BJ39">SUMIFS($AC$4:$AC$97,$AA$4:$AA$97,BD39,$D$4:$D$97,"&lt;&gt;"&amp;"Pendiente",$AC$4:$AC$97,"&lt;&gt;"&amp;"",$AD$4:$AD$97,"&lt;&gt;"&amp;"")+SUMIFS($AD$4:$AD$97,$AF$4:$AF$97,BD39,$D$4:$D$97,"&lt;&gt;"&amp;"Pendiente",$AC$4:$AC$97,"&lt;&gt;"&amp;"",$AD$4:$AD$97,"&lt;&gt;"&amp;"")</f>
        <v>4</v>
      </c>
      <c r="BK39" s="139" cm="1">
        <f t="array" ref="BK39">SUMIFS($AC$4:$AC$97,$AF$4:$AF$97,BD39,$D$4:$D$97,"&lt;&gt;"&amp;"Pendiente",$AC$4:$AC$97,"&lt;&gt;"&amp;"",$AD$4:$AD$97,"&lt;&gt;"&amp;"")+SUMIFS($AD$4:$AD$97,$AA$4:$AA$97,BD39,$D$4:$D$97,"&lt;&gt;"&amp;"Pendiente",$AC$4:$AC$97,"&lt;&gt;"&amp;"",$AD$4:$AD$97,"&lt;&gt;"&amp;"")</f>
        <v>6</v>
      </c>
      <c r="BL39" s="139" cm="1">
        <f t="array" ref="BL39">BJ39-BK39</f>
        <v>-2</v>
      </c>
      <c r="BM39" s="126" t="str" cm="1">
        <f t="array" ref="BM39">DD39&amp;BC39</f>
        <v>2I</v>
      </c>
      <c r="BN39" s="126" t="str" cm="1">
        <f t="array" ref="BN39">DH39&amp;BC39</f>
        <v>2I</v>
      </c>
      <c r="BO39" s="139" cm="1">
        <f t="array" ref="BO39">IF(AND($AJ$99=144,BF39&gt;=1),1,0)</f>
        <v>0</v>
      </c>
      <c r="BP39" s="139">
        <v>1</v>
      </c>
      <c r="BQ39" s="112" t="s">
        <v>113</v>
      </c>
      <c r="BR39" s="139" cm="1">
        <f t="array" ref="BR39">IF($BQ39="-","-",BE39)</f>
        <v>3</v>
      </c>
      <c r="BS39" s="139">
        <v>1</v>
      </c>
      <c r="BT39" s="112" t="s">
        <v>113</v>
      </c>
      <c r="BU39" s="139" cm="1">
        <f t="array" ref="BU39">IF($BT39="-","-",COUNTIFS($AA$4:$AA$97,$BD39,$D$4:$D$97,"Local",$F$4:$F$97,$BT39)+COUNTIFS($AF$4:$AF$97,$BD39,$D$4:$D$97,"Visitante",$E$4:$E$97,$BT39))</f>
        <v>1</v>
      </c>
      <c r="BV39" s="139" cm="1">
        <f t="array" ref="BV39">IF($BT39="-","-",COUNTIFS($AA$4:$AA$97,$BD39,$D$4:$D$97,"Empate",$F$4:$F$97,$BT39)+COUNTIFS($AF$4:$AF$97,$BD39,$D$4:$D$97,"Empate",$E$4:$E$97,$BT39))</f>
        <v>0</v>
      </c>
      <c r="BW39" s="139" cm="1">
        <f t="array" ref="BW39">IF($BT39="-","-",COUNTIFS($AA$4:$AA$97,$BD39,$D$4:$D$97,"Visitante",$F$4:$F$97,$BT39)+COUNTIFS($AF$4:$AF$97,$BD39,$D$4:$D$97,"Local",$E$4:$E$97,$BT39))</f>
        <v>2</v>
      </c>
      <c r="BX39" s="139" cm="1">
        <f t="array" ref="BX39">IF($BT39="-","-",BU39*3+BV39)</f>
        <v>3</v>
      </c>
      <c r="BY39" s="139">
        <v>1</v>
      </c>
      <c r="BZ39" s="112" t="s">
        <v>113</v>
      </c>
      <c r="CA39" s="139" cm="1">
        <f t="array" ref="CA39">IF($BZ39="-","-",SUMIFS($AC$4:$AC$97,$AA$4:$AA$97,$BD39,$I$4:$I$97,$BZ39)+SUMIFS($AD$4:$AD$97,$AF$4:$AF$97,$BD39,$H$4:$H$97,$BZ39))</f>
        <v>4</v>
      </c>
      <c r="CB39" s="139" cm="1">
        <f t="array" ref="CB39">IF($BZ39="-","-",SUMIFS($AD$4:$AD$97,$AA$4:$AA$97,$BD39,$I$4:$I$97,$BZ39)+SUMIFS($AC$4:$AC$97,$AF$4:$AF$97,$BD39,$H$4:$H$97,$BZ39))</f>
        <v>6</v>
      </c>
      <c r="CC39" s="139" cm="1">
        <f t="array" ref="CC39">IF($BZ39="-","-",CA39-CB39)</f>
        <v>-2</v>
      </c>
      <c r="CD39" s="139">
        <v>1</v>
      </c>
      <c r="CE39" s="112" t="s">
        <v>113</v>
      </c>
      <c r="CF39" s="139" cm="1">
        <f t="array" ref="CF39">IF($CE39="-","-",SUMIFS($AC$4:$AC$97,$AA$4:$AA$97,$BD39,$L$4:$L$97,$CE39)+SUMIFS($AD$4:$AD$97,$AF$4:$AF$97,$BD39,$K$4:$K$97,$CE39))</f>
        <v>4</v>
      </c>
      <c r="CG39" s="139">
        <v>1</v>
      </c>
      <c r="CH39" s="112" t="s">
        <v>113</v>
      </c>
      <c r="CI39" s="139" cm="1">
        <f t="array" ref="CI39">IF($CH39="-","-",COUNTIFS($AA$4:$AA$97,$BD39,$D$4:$D$97,"Local",$O$4:$O$97,$CH39)+COUNTIFS($AF$4:$AF$97,$BD39,$D$4:$D$97,"Visitante",$N$4:$N$97,$CH39))</f>
        <v>1</v>
      </c>
      <c r="CJ39" s="139" cm="1">
        <f t="array" ref="CJ39">IF($CH39="-","-",COUNTIFS($AA$4:$AA$97,$BD39,$D$4:$D$97,"Empate",$O$4:$O$97,$CH39)+COUNTIFS($AF$4:$AF$97,$BD39,$D$4:$D$97,"Empate",$N$4:$N$97,$CH39))</f>
        <v>0</v>
      </c>
      <c r="CK39" s="139" cm="1">
        <f t="array" ref="CK39">IF($CH39="-","-",COUNTIFS($AA$4:$AA$97,$BD39,$D$4:$D$97,"Visitante",$O$4:$O$97,$CH39)+COUNTIFS($AF$4:$AF$97,$BD39,$D$4:$D$97,"Local",$N$4:$N$97,$CH39))</f>
        <v>2</v>
      </c>
      <c r="CL39" s="139" cm="1">
        <f t="array" ref="CL39">IF($CH39="-","-",CI39*3+CJ39)</f>
        <v>3</v>
      </c>
      <c r="CM39" s="139">
        <v>1</v>
      </c>
      <c r="CN39" s="112" t="s">
        <v>113</v>
      </c>
      <c r="CO39" s="139" cm="1">
        <f t="array" ref="CO39">IF($CN39="-","-",SUMIFS($AC$4:$AC$97,$AA$4:$AA$97,$BD39,$R$4:$R$97,$CN39)+SUMIFS($AD$4:$AD$97,$AF$4:$AF$97,$BD39,$Q$4:$Q$97,$CN39))</f>
        <v>4</v>
      </c>
      <c r="CP39" s="139" cm="1">
        <f t="array" ref="CP39">IF($CN39="-","-",SUMIFS($AD$4:$AD$97,$AA$4:$AA$97,$BD39,$R$4:$R$97,$CN39)+SUMIFS($AC$4:$AC$97,$AF$4:$AF$97,$BD39,$Q$4:$Q$97,$CN39))</f>
        <v>6</v>
      </c>
      <c r="CQ39" s="139" cm="1">
        <f t="array" ref="CQ39">IF($CN39="-","-",CO39-CP39)</f>
        <v>-2</v>
      </c>
      <c r="CR39" s="139">
        <v>1</v>
      </c>
      <c r="CS39" s="112" t="s">
        <v>113</v>
      </c>
      <c r="CT39" s="139" cm="1">
        <f t="array" ref="CT39">IF($CS39="-","-",SUMIFS($AC$4:$AC$97,$AA$4:$AA$97,$BD39,$U$4:$U$97,$CS39)+SUMIFS($AD$4:$AD$97,$AF$4:$AF$97,$BD39,$T$4:$T$97,$CS39))</f>
        <v>4</v>
      </c>
      <c r="CU39" s="139">
        <v>1</v>
      </c>
      <c r="CV39" s="112" t="s">
        <v>113</v>
      </c>
      <c r="CW39" s="139" cm="1">
        <f t="array" ref="CW39">IF(CV39="-","-",BL39)</f>
        <v>-2</v>
      </c>
      <c r="CX39" s="139">
        <v>1</v>
      </c>
      <c r="CY39" s="112" t="s">
        <v>113</v>
      </c>
      <c r="CZ39" s="139" cm="1">
        <f t="array" ref="CZ39">IF(CY39="-","-",BJ39)</f>
        <v>4</v>
      </c>
      <c r="DA39" s="139">
        <v>1</v>
      </c>
      <c r="DB39" s="112" t="s">
        <v>113</v>
      </c>
      <c r="DC39" s="139">
        <v>2</v>
      </c>
      <c r="DD39" s="139">
        <v>2</v>
      </c>
      <c r="DE39" s="126"/>
      <c r="DF39" s="139" cm="1">
        <f t="array" ref="DF39">IF(OR(INDEX($AW$6:$AW$97,MATCH($BD39,$AV$6:$AV$97,0))="",DB39="-"),DD39,INDEX($AW$6:$AW$97,MATCH($BD39,$AV$6:$AV$97,0))+DD39/1000)</f>
        <v>2</v>
      </c>
      <c r="DG39" s="139">
        <v>1</v>
      </c>
      <c r="DH39" s="139">
        <v>2</v>
      </c>
      <c r="DI39" s="126"/>
      <c r="DJ39" s="139" cm="1">
        <f t="array" ref="DJ39">INDEX($DA$6:$DA$53,MATCH($DQ39,$BD$6:$BD$53,0))</f>
        <v>1</v>
      </c>
      <c r="DK39" s="139" cm="1">
        <f t="array" ref="DK39">SUMIF($BC$6:$BC$53,BC39,$BF$6:$BF$53)</f>
        <v>12</v>
      </c>
      <c r="DL39" s="139" cm="1">
        <f t="array" ref="DL39">IF(OR(DK39=12,$AJ$99=144),COUNTIFS($DJ$6:$DJ$53,DJ39,$BC$6:$BC$53,BC39),1)</f>
        <v>4</v>
      </c>
      <c r="DM39" s="126" t="str" cm="1">
        <f t="array" ref="DM39">DJ39&amp;"."&amp;DL39</f>
        <v>1.4</v>
      </c>
      <c r="DN39" s="139">
        <v>1</v>
      </c>
      <c r="DO39" s="126"/>
      <c r="DP39" s="112" t="s">
        <v>186</v>
      </c>
      <c r="DQ39" s="126" t="str" cm="1">
        <f t="array" ref="DQ39">INDEX($BD$6:$BD$53,MATCH(DP39,$BM$6:$BM$53,0))</f>
        <v>Senegal</v>
      </c>
      <c r="DR39" s="77"/>
      <c r="DS39" s="77"/>
      <c r="DT39" s="78"/>
      <c r="DU39" s="12"/>
    </row>
    <row r="40" spans="1:125" ht="16" customHeight="1" x14ac:dyDescent="0.2">
      <c r="A40" s="79" t="s">
        <v>154</v>
      </c>
      <c r="B40" s="68"/>
      <c r="C40" s="68"/>
      <c r="D40" s="68" t="str" cm="1">
        <f t="array" ref="D40">IF(OR(AC40="",AD40=""),"Pendiente",IF(AC40&gt;AD40,"Local",IF(AC40&lt;AD40,"Visitante","Empate")))</f>
        <v>Visitante</v>
      </c>
      <c r="E40" s="68" t="str" cm="1">
        <f t="array" ref="E40">IF(D40="Pendiente","-",INDEX($BT$6:$BT$53,MATCH($AA40,$BD$6:$BD$53,0)))</f>
        <v>P.1 (4)</v>
      </c>
      <c r="F40" s="68" t="str" cm="1">
        <f t="array" ref="F40">IF(D40="Pendiente","-",INDEX($BT$6:$BT$53,MATCH($AF40,$BD$6:$BD$53,0)))</f>
        <v>P.1 (4)</v>
      </c>
      <c r="G40" s="68"/>
      <c r="H40" s="68" t="str" cm="1">
        <f t="array" ref="H40">IF(D40="Pendiente","-",INDEX($BZ$6:$BZ$53,MATCH($AA40,$BD$6:$BD$53,0)))</f>
        <v>P.1 (4)</v>
      </c>
      <c r="I40" s="68" t="str" cm="1">
        <f t="array" ref="I40">IF(D40="Pendiente","-",INDEX($BZ$6:$BZ$53,MATCH($AF40,$BD$6:$BD$53,0)))</f>
        <v>P.1 (4)</v>
      </c>
      <c r="J40" s="68"/>
      <c r="K40" s="68" t="str" cm="1">
        <f t="array" ref="K40">IF(D40="Pendiente","-",INDEX($CE$6:$CE$53,MATCH($AA40,$BD$6:$BD$53,0)))</f>
        <v>P.1 (4)</v>
      </c>
      <c r="L40" s="68" t="str" cm="1">
        <f t="array" ref="L40">IF(D40="Pendiente","-",INDEX($CE$6:$CE$53,MATCH($AF40,$BD$6:$BD$53,0)))</f>
        <v>P.1 (4)</v>
      </c>
      <c r="M40" s="68"/>
      <c r="N40" s="68" t="str" cm="1">
        <f t="array" ref="N40">IF(D40="Pendiente","-",INDEX($CH$6:$CH$53,MATCH($AA40,$BD$6:$BD$53,0)))</f>
        <v>P.1 (4)</v>
      </c>
      <c r="O40" s="68" t="str" cm="1">
        <f t="array" ref="O40">IF(D40="Pendiente","-",INDEX($CH$6:$CH$53,MATCH($AF40,$BD$6:$BD$53,0)))</f>
        <v>P.1 (4)</v>
      </c>
      <c r="P40" s="68"/>
      <c r="Q40" s="68" t="str" cm="1">
        <f t="array" ref="Q40">IF(D40="Pendiente","-",INDEX($CN$6:$CN$53,MATCH($AA40,$BD$6:$BD$53,0)))</f>
        <v>P.1 (4)</v>
      </c>
      <c r="R40" s="68" t="str" cm="1">
        <f t="array" ref="R40">IF(D40="Pendiente","-",INDEX($CN$6:$CN$53,MATCH($AF40,$BD$6:$BD$53,0)))</f>
        <v>P.1 (4)</v>
      </c>
      <c r="S40" s="68"/>
      <c r="T40" s="68" t="str" cm="1">
        <f t="array" ref="T40">IF(D40="Pendiente","-",INDEX($CS$6:$CS$53,MATCH($AA40,$BD$6:$BD$53,0)))</f>
        <v>P.1 (4)</v>
      </c>
      <c r="U40" s="68" t="str" cm="1">
        <f t="array" ref="U40">IF(D40="Pendiente","-",INDEX($CS$6:$CS$53,MATCH($AF40,$BD$6:$BD$53,0)))</f>
        <v>P.1 (4)</v>
      </c>
      <c r="V40" s="80"/>
      <c r="W40" s="762"/>
      <c r="X40" s="96">
        <v>46198.666666666657</v>
      </c>
      <c r="Y40" s="97">
        <v>46198.666666666657</v>
      </c>
      <c r="Z40" s="113" t="str" cm="1">
        <f t="array" ref="Z40">$Z$8</f>
        <v>J3</v>
      </c>
      <c r="AA40" s="99" t="str" cm="1">
        <f t="array" ref="AA40">A38</f>
        <v>Curazao</v>
      </c>
      <c r="AB40" s="100"/>
      <c r="AC40" s="114">
        <v>0</v>
      </c>
      <c r="AD40" s="114">
        <v>2</v>
      </c>
      <c r="AE40" s="102"/>
      <c r="AF40" s="103" t="str" cm="1">
        <f t="array" ref="AF40">A39</f>
        <v>Costa de Marfil</v>
      </c>
      <c r="AG40" s="104" cm="1">
        <f t="array" ref="AG40">IF(NOT(OR(ISBLANK(AC40),ISBLANK(AD40))),1,0)</f>
        <v>1</v>
      </c>
      <c r="AH40" s="105">
        <v>55</v>
      </c>
      <c r="AI40" s="106" t="str" cm="1">
        <f t="array" ref="AI40">AJ40&amp;$B$36</f>
        <v>3E</v>
      </c>
      <c r="AJ40" s="140">
        <v>3</v>
      </c>
      <c r="AK40" s="208"/>
      <c r="AL40" s="142" t="str" cm="1">
        <f t="array" ref="AL40">IFERROR(INDEX($BD$6:$BD$53,MATCH(AI40,$BN$6:$BN$53,0)),"")</f>
        <v>Costa de Marfil</v>
      </c>
      <c r="AM40" s="143" cm="1">
        <f t="array" ref="AM40">INDEX($BE$6:$BN$53,MATCH($AL40,$BD$6:$BD$53,0),MATCH(AM$5,$BE$5:$BN$5,0))</f>
        <v>3</v>
      </c>
      <c r="AN40" s="144" cm="1">
        <f t="array" ref="AN40">INDEX($BE$6:$BN$53,MATCH($AL40,$BD$6:$BD$53,0),MATCH(AN$5,$BE$5:$BN$5,0))</f>
        <v>3</v>
      </c>
      <c r="AO40" s="144" cm="1">
        <f t="array" ref="AO40">INDEX($BE$6:$BN$53,MATCH($AL40,$BD$6:$BD$53,0),MATCH(AO$5,$BE$5:$BN$5,0))</f>
        <v>1</v>
      </c>
      <c r="AP40" s="144" cm="1">
        <f t="array" ref="AP40">INDEX($BE$6:$BN$53,MATCH($AL40,$BD$6:$BD$53,0),MATCH(AP$5,$BE$5:$BN$5,0))</f>
        <v>0</v>
      </c>
      <c r="AQ40" s="144" cm="1">
        <f t="array" ref="AQ40">INDEX($BE$6:$BN$53,MATCH($AL40,$BD$6:$BD$53,0),MATCH(AQ$5,$BE$5:$BN$5,0))</f>
        <v>2</v>
      </c>
      <c r="AR40" s="144" cm="1">
        <f t="array" ref="AR40">INDEX($BE$6:$BN$53,MATCH($AL40,$BD$6:$BD$53,0),MATCH(AR$5,$BE$5:$BN$5,0))</f>
        <v>3</v>
      </c>
      <c r="AS40" s="144" cm="1">
        <f t="array" ref="AS40">INDEX($BE$6:$BN$53,MATCH($AL40,$BD$6:$BD$53,0),MATCH(AS$5,$BE$5:$BN$5,0))</f>
        <v>7</v>
      </c>
      <c r="AT40" s="145" cm="1">
        <f t="array" ref="AT40">INDEX($BE$6:$BN$53,MATCH($AL40,$BD$6:$BD$53,0),MATCH(AT$5,$BE$5:$BN$5,0))</f>
        <v>-4</v>
      </c>
      <c r="AU40" s="133" cm="1">
        <f t="array" ref="AU40">INDEX($DL$6:$DL$53,MATCH(AI40,$DP$6:$DP$53,0))</f>
        <v>4</v>
      </c>
      <c r="AV40" s="134" t="str" cm="1">
        <f t="array" ref="AV40">INDEX($BD$6:$BD$53,MATCH(AI40,$BM$6:$BM$53,0))</f>
        <v>Costa de Marfil</v>
      </c>
      <c r="AW40" s="135"/>
      <c r="AX40" s="136"/>
      <c r="AY40" s="137" t="str" cm="1">
        <f t="array" ref="AY40">A39</f>
        <v>Costa de Marfil</v>
      </c>
      <c r="AZ40" s="138"/>
      <c r="BA40" s="125"/>
      <c r="BB40" s="77"/>
      <c r="BC40" s="112" t="s">
        <v>182</v>
      </c>
      <c r="BD40" s="112" t="s">
        <v>187</v>
      </c>
      <c r="BE40" s="139" cm="1">
        <f t="array" ref="BE40">BG40*3+BH40+IF($AZ$3="No",0,INDEX($AZ$6:$AZ$97,MATCH(BD40,$AY$6:$AY$97,0)))</f>
        <v>0</v>
      </c>
      <c r="BF40" s="139" cm="1">
        <f t="array" ref="BF40">BG40+BH40+BI40</f>
        <v>3</v>
      </c>
      <c r="BG40" s="139" cm="1">
        <f t="array" ref="BG40">COUNTIFS($AA$4:$AA$97,BD40,$D$4:$D$97,"Local")+COUNTIFS($AF$4:$AF$97,BD40,$D$4:$D$97,"Visitante")</f>
        <v>0</v>
      </c>
      <c r="BH40" s="139" cm="1">
        <f t="array" ref="BH40">COUNTIFS($AA$4:$AA$97,BD40,$D$4:$D$97,"Empate")+COUNTIFS($AF$4:$AF$97,BD40,$D$4:$D$97,"Empate")</f>
        <v>0</v>
      </c>
      <c r="BI40" s="139" cm="1">
        <f t="array" ref="BI40">COUNTIFS($AF$4:$AF$97,BD40,$D$4:$D$97,"Local")+COUNTIFS($AA$4:$AA$97,BD40,$D$4:$D$97,"Visitante")</f>
        <v>3</v>
      </c>
      <c r="BJ40" s="139" cm="1">
        <f t="array" ref="BJ40">SUMIFS($AC$4:$AC$97,$AA$4:$AA$97,BD40,$D$4:$D$97,"&lt;&gt;"&amp;"Pendiente",$AC$4:$AC$97,"&lt;&gt;"&amp;"",$AD$4:$AD$97,"&lt;&gt;"&amp;"")+SUMIFS($AD$4:$AD$97,$AF$4:$AF$97,BD40,$D$4:$D$97,"&lt;&gt;"&amp;"Pendiente",$AC$4:$AC$97,"&lt;&gt;"&amp;"",$AD$4:$AD$97,"&lt;&gt;"&amp;"")</f>
        <v>0</v>
      </c>
      <c r="BK40" s="139" cm="1">
        <f t="array" ref="BK40">SUMIFS($AC$4:$AC$97,$AF$4:$AF$97,BD40,$D$4:$D$97,"&lt;&gt;"&amp;"Pendiente",$AC$4:$AC$97,"&lt;&gt;"&amp;"",$AD$4:$AD$97,"&lt;&gt;"&amp;"")+SUMIFS($AD$4:$AD$97,$AA$4:$AA$97,BD40,$D$4:$D$97,"&lt;&gt;"&amp;"Pendiente",$AC$4:$AC$97,"&lt;&gt;"&amp;"",$AD$4:$AD$97,"&lt;&gt;"&amp;"")</f>
        <v>8</v>
      </c>
      <c r="BL40" s="139" cm="1">
        <f t="array" ref="BL40">BJ40-BK40</f>
        <v>-8</v>
      </c>
      <c r="BM40" s="126" t="str" cm="1">
        <f t="array" ref="BM40">DD40&amp;BC40</f>
        <v>3I</v>
      </c>
      <c r="BN40" s="126" t="str" cm="1">
        <f t="array" ref="BN40">DH40&amp;BC40</f>
        <v>3I</v>
      </c>
      <c r="BO40" s="139" cm="1">
        <f t="array" ref="BO40">IF(AND($AJ$99=144,BF40&gt;=1),1,0)</f>
        <v>0</v>
      </c>
      <c r="BP40" s="139">
        <v>1</v>
      </c>
      <c r="BQ40" s="112" t="s">
        <v>113</v>
      </c>
      <c r="BR40" s="139" cm="1">
        <f t="array" ref="BR40">IF($BQ40="-","-",BE40)</f>
        <v>0</v>
      </c>
      <c r="BS40" s="139">
        <v>1</v>
      </c>
      <c r="BT40" s="112" t="s">
        <v>113</v>
      </c>
      <c r="BU40" s="139" cm="1">
        <f t="array" ref="BU40">IF($BT40="-","-",COUNTIFS($AA$4:$AA$97,$BD40,$D$4:$D$97,"Local",$F$4:$F$97,$BT40)+COUNTIFS($AF$4:$AF$97,$BD40,$D$4:$D$97,"Visitante",$E$4:$E$97,$BT40))</f>
        <v>0</v>
      </c>
      <c r="BV40" s="139" cm="1">
        <f t="array" ref="BV40">IF($BT40="-","-",COUNTIFS($AA$4:$AA$97,$BD40,$D$4:$D$97,"Empate",$F$4:$F$97,$BT40)+COUNTIFS($AF$4:$AF$97,$BD40,$D$4:$D$97,"Empate",$E$4:$E$97,$BT40))</f>
        <v>0</v>
      </c>
      <c r="BW40" s="139" cm="1">
        <f t="array" ref="BW40">IF($BT40="-","-",COUNTIFS($AA$4:$AA$97,$BD40,$D$4:$D$97,"Visitante",$F$4:$F$97,$BT40)+COUNTIFS($AF$4:$AF$97,$BD40,$D$4:$D$97,"Local",$E$4:$E$97,$BT40))</f>
        <v>3</v>
      </c>
      <c r="BX40" s="139" cm="1">
        <f t="array" ref="BX40">IF($BT40="-","-",BU40*3+BV40)</f>
        <v>0</v>
      </c>
      <c r="BY40" s="139">
        <v>1</v>
      </c>
      <c r="BZ40" s="112" t="s">
        <v>113</v>
      </c>
      <c r="CA40" s="139" cm="1">
        <f t="array" ref="CA40">IF($BZ40="-","-",SUMIFS($AC$4:$AC$97,$AA$4:$AA$97,$BD40,$I$4:$I$97,$BZ40)+SUMIFS($AD$4:$AD$97,$AF$4:$AF$97,$BD40,$H$4:$H$97,$BZ40))</f>
        <v>0</v>
      </c>
      <c r="CB40" s="139" cm="1">
        <f t="array" ref="CB40">IF($BZ40="-","-",SUMIFS($AD$4:$AD$97,$AA$4:$AA$97,$BD40,$I$4:$I$97,$BZ40)+SUMIFS($AC$4:$AC$97,$AF$4:$AF$97,$BD40,$H$4:$H$97,$BZ40))</f>
        <v>8</v>
      </c>
      <c r="CC40" s="139" cm="1">
        <f t="array" ref="CC40">IF($BZ40="-","-",CA40-CB40)</f>
        <v>-8</v>
      </c>
      <c r="CD40" s="139">
        <v>1</v>
      </c>
      <c r="CE40" s="112" t="s">
        <v>113</v>
      </c>
      <c r="CF40" s="139" cm="1">
        <f t="array" ref="CF40">IF($CE40="-","-",SUMIFS($AC$4:$AC$97,$AA$4:$AA$97,$BD40,$L$4:$L$97,$CE40)+SUMIFS($AD$4:$AD$97,$AF$4:$AF$97,$BD40,$K$4:$K$97,$CE40))</f>
        <v>0</v>
      </c>
      <c r="CG40" s="139">
        <v>1</v>
      </c>
      <c r="CH40" s="112" t="s">
        <v>113</v>
      </c>
      <c r="CI40" s="139" cm="1">
        <f t="array" ref="CI40">IF($CH40="-","-",COUNTIFS($AA$4:$AA$97,$BD40,$D$4:$D$97,"Local",$O$4:$O$97,$CH40)+COUNTIFS($AF$4:$AF$97,$BD40,$D$4:$D$97,"Visitante",$N$4:$N$97,$CH40))</f>
        <v>0</v>
      </c>
      <c r="CJ40" s="139" cm="1">
        <f t="array" ref="CJ40">IF($CH40="-","-",COUNTIFS($AA$4:$AA$97,$BD40,$D$4:$D$97,"Empate",$O$4:$O$97,$CH40)+COUNTIFS($AF$4:$AF$97,$BD40,$D$4:$D$97,"Empate",$N$4:$N$97,$CH40))</f>
        <v>0</v>
      </c>
      <c r="CK40" s="139" cm="1">
        <f t="array" ref="CK40">IF($CH40="-","-",COUNTIFS($AA$4:$AA$97,$BD40,$D$4:$D$97,"Visitante",$O$4:$O$97,$CH40)+COUNTIFS($AF$4:$AF$97,$BD40,$D$4:$D$97,"Local",$N$4:$N$97,$CH40))</f>
        <v>3</v>
      </c>
      <c r="CL40" s="139" cm="1">
        <f t="array" ref="CL40">IF($CH40="-","-",CI40*3+CJ40)</f>
        <v>0</v>
      </c>
      <c r="CM40" s="139">
        <v>1</v>
      </c>
      <c r="CN40" s="112" t="s">
        <v>113</v>
      </c>
      <c r="CO40" s="139" cm="1">
        <f t="array" ref="CO40">IF($CN40="-","-",SUMIFS($AC$4:$AC$97,$AA$4:$AA$97,$BD40,$R$4:$R$97,$CN40)+SUMIFS($AD$4:$AD$97,$AF$4:$AF$97,$BD40,$Q$4:$Q$97,$CN40))</f>
        <v>0</v>
      </c>
      <c r="CP40" s="139" cm="1">
        <f t="array" ref="CP40">IF($CN40="-","-",SUMIFS($AD$4:$AD$97,$AA$4:$AA$97,$BD40,$R$4:$R$97,$CN40)+SUMIFS($AC$4:$AC$97,$AF$4:$AF$97,$BD40,$Q$4:$Q$97,$CN40))</f>
        <v>8</v>
      </c>
      <c r="CQ40" s="139" cm="1">
        <f t="array" ref="CQ40">IF($CN40="-","-",CO40-CP40)</f>
        <v>-8</v>
      </c>
      <c r="CR40" s="139">
        <v>1</v>
      </c>
      <c r="CS40" s="112" t="s">
        <v>113</v>
      </c>
      <c r="CT40" s="139" cm="1">
        <f t="array" ref="CT40">IF($CS40="-","-",SUMIFS($AC$4:$AC$97,$AA$4:$AA$97,$BD40,$U$4:$U$97,$CS40)+SUMIFS($AD$4:$AD$97,$AF$4:$AF$97,$BD40,$T$4:$T$97,$CS40))</f>
        <v>0</v>
      </c>
      <c r="CU40" s="139">
        <v>1</v>
      </c>
      <c r="CV40" s="112" t="s">
        <v>113</v>
      </c>
      <c r="CW40" s="139" cm="1">
        <f t="array" ref="CW40">IF(CV40="-","-",BL40)</f>
        <v>-8</v>
      </c>
      <c r="CX40" s="139">
        <v>1</v>
      </c>
      <c r="CY40" s="112" t="s">
        <v>113</v>
      </c>
      <c r="CZ40" s="139" cm="1">
        <f t="array" ref="CZ40">IF(CY40="-","-",BJ40)</f>
        <v>0</v>
      </c>
      <c r="DA40" s="139">
        <v>1</v>
      </c>
      <c r="DB40" s="112" t="s">
        <v>113</v>
      </c>
      <c r="DC40" s="139">
        <v>3</v>
      </c>
      <c r="DD40" s="139">
        <v>3</v>
      </c>
      <c r="DE40" s="126"/>
      <c r="DF40" s="139" cm="1">
        <f t="array" ref="DF40">IF(OR(INDEX($AW$6:$AW$97,MATCH($BD40,$AV$6:$AV$97,0))="",DB40="-"),DD40,INDEX($AW$6:$AW$97,MATCH($BD40,$AV$6:$AV$97,0))+DD40/1000)</f>
        <v>3</v>
      </c>
      <c r="DG40" s="139">
        <v>2</v>
      </c>
      <c r="DH40" s="139">
        <v>3</v>
      </c>
      <c r="DI40" s="126"/>
      <c r="DJ40" s="139" cm="1">
        <f t="array" ref="DJ40">INDEX($DA$6:$DA$53,MATCH($DQ40,$BD$6:$BD$53,0))</f>
        <v>1</v>
      </c>
      <c r="DK40" s="139" cm="1">
        <f t="array" ref="DK40">SUMIF($BC$6:$BC$53,BC40,$BF$6:$BF$53)</f>
        <v>12</v>
      </c>
      <c r="DL40" s="139" cm="1">
        <f t="array" ref="DL40">IF(OR(DK40=12,$AJ$99=144),COUNTIFS($DJ$6:$DJ$53,DJ40,$BC$6:$BC$53,BC40),1)</f>
        <v>4</v>
      </c>
      <c r="DM40" s="126" t="str" cm="1">
        <f t="array" ref="DM40">DJ40&amp;"."&amp;DL40</f>
        <v>1.4</v>
      </c>
      <c r="DN40" s="139">
        <v>1</v>
      </c>
      <c r="DO40" s="126"/>
      <c r="DP40" s="112" t="s">
        <v>188</v>
      </c>
      <c r="DQ40" s="126" t="str" cm="1">
        <f t="array" ref="DQ40">INDEX($BD$6:$BD$53,MATCH(DP40,$BM$6:$BM$53,0))</f>
        <v>Irak</v>
      </c>
      <c r="DR40" s="77"/>
      <c r="DS40" s="77"/>
      <c r="DT40" s="78"/>
      <c r="DU40" s="12"/>
    </row>
    <row r="41" spans="1:125" ht="16" customHeight="1" x14ac:dyDescent="0.2">
      <c r="A41" s="68"/>
      <c r="B41" s="68"/>
      <c r="C41" s="68"/>
      <c r="D41" s="68" t="str" cm="1">
        <f t="array" ref="D41">IF(OR(AC41="",AD41=""),"Pendiente",IF(AC41&gt;AD41,"Local",IF(AC41&lt;AD41,"Visitante","Empate")))</f>
        <v>Visitante</v>
      </c>
      <c r="E41" s="68" t="str" cm="1">
        <f t="array" ref="E41">IF(D41="Pendiente","-",INDEX($BT$6:$BT$53,MATCH($AA41,$BD$6:$BD$53,0)))</f>
        <v>P.1 (4)</v>
      </c>
      <c r="F41" s="68" t="str" cm="1">
        <f t="array" ref="F41">IF(D41="Pendiente","-",INDEX($BT$6:$BT$53,MATCH($AF41,$BD$6:$BD$53,0)))</f>
        <v>P.1 (4)</v>
      </c>
      <c r="G41" s="68"/>
      <c r="H41" s="68" t="str" cm="1">
        <f t="array" ref="H41">IF(D41="Pendiente","-",INDEX($BZ$6:$BZ$53,MATCH($AA41,$BD$6:$BD$53,0)))</f>
        <v>P.1 (4)</v>
      </c>
      <c r="I41" s="68" t="str" cm="1">
        <f t="array" ref="I41">IF(D41="Pendiente","-",INDEX($BZ$6:$BZ$53,MATCH($AF41,$BD$6:$BD$53,0)))</f>
        <v>P.1 (4)</v>
      </c>
      <c r="J41" s="68"/>
      <c r="K41" s="68" t="str" cm="1">
        <f t="array" ref="K41">IF(D41="Pendiente","-",INDEX($CE$6:$CE$53,MATCH($AA41,$BD$6:$BD$53,0)))</f>
        <v>P.1 (4)</v>
      </c>
      <c r="L41" s="68" t="str" cm="1">
        <f t="array" ref="L41">IF(D41="Pendiente","-",INDEX($CE$6:$CE$53,MATCH($AF41,$BD$6:$BD$53,0)))</f>
        <v>P.1 (4)</v>
      </c>
      <c r="M41" s="68"/>
      <c r="N41" s="68" t="str" cm="1">
        <f t="array" ref="N41">IF(D41="Pendiente","-",INDEX($CH$6:$CH$53,MATCH($AA41,$BD$6:$BD$53,0)))</f>
        <v>P.1 (4)</v>
      </c>
      <c r="O41" s="68" t="str" cm="1">
        <f t="array" ref="O41">IF(D41="Pendiente","-",INDEX($CH$6:$CH$53,MATCH($AF41,$BD$6:$BD$53,0)))</f>
        <v>P.1 (4)</v>
      </c>
      <c r="P41" s="68"/>
      <c r="Q41" s="68" t="str" cm="1">
        <f t="array" ref="Q41">IF(D41="Pendiente","-",INDEX($CN$6:$CN$53,MATCH($AA41,$BD$6:$BD$53,0)))</f>
        <v>P.1 (4)</v>
      </c>
      <c r="R41" s="68" t="str" cm="1">
        <f t="array" ref="R41">IF(D41="Pendiente","-",INDEX($CN$6:$CN$53,MATCH($AF41,$BD$6:$BD$53,0)))</f>
        <v>P.1 (4)</v>
      </c>
      <c r="S41" s="68"/>
      <c r="T41" s="68" t="str" cm="1">
        <f t="array" ref="T41">IF(D41="Pendiente","-",INDEX($CS$6:$CS$53,MATCH($AA41,$BD$6:$BD$53,0)))</f>
        <v>P.1 (4)</v>
      </c>
      <c r="U41" s="68" t="str" cm="1">
        <f t="array" ref="U41">IF(D41="Pendiente","-",INDEX($CS$6:$CS$53,MATCH($AF41,$BD$6:$BD$53,0)))</f>
        <v>P.1 (4)</v>
      </c>
      <c r="V41" s="80"/>
      <c r="W41" s="763"/>
      <c r="X41" s="148">
        <v>46198.666666666657</v>
      </c>
      <c r="Y41" s="149">
        <v>46198.666666666657</v>
      </c>
      <c r="Z41" s="150" t="str" cm="1">
        <f t="array" ref="Z41">$Z$8</f>
        <v>J3</v>
      </c>
      <c r="AA41" s="151" t="str" cm="1">
        <f t="array" ref="AA41">A40</f>
        <v>Ecuador</v>
      </c>
      <c r="AB41" s="152"/>
      <c r="AC41" s="153">
        <v>1</v>
      </c>
      <c r="AD41" s="153">
        <v>2</v>
      </c>
      <c r="AE41" s="154"/>
      <c r="AF41" s="155" t="str" cm="1">
        <f t="array" ref="AF41">A37</f>
        <v>Alemania</v>
      </c>
      <c r="AG41" s="104" cm="1">
        <f t="array" ref="AG41">IF(NOT(OR(ISBLANK(AC41),ISBLANK(AD41))),1,0)</f>
        <v>1</v>
      </c>
      <c r="AH41" s="105">
        <v>56</v>
      </c>
      <c r="AI41" s="106" t="str" cm="1">
        <f t="array" ref="AI41">AJ41&amp;$B$36</f>
        <v>4E</v>
      </c>
      <c r="AJ41" s="156">
        <v>4</v>
      </c>
      <c r="AK41" s="222"/>
      <c r="AL41" s="158" t="str" cm="1">
        <f t="array" ref="AL41">IFERROR(INDEX($BD$6:$BD$53,MATCH(AI41,$BN$6:$BN$53,0)),"")</f>
        <v>Ecuador</v>
      </c>
      <c r="AM41" s="159" cm="1">
        <f t="array" ref="AM41">INDEX($BE$6:$BN$53,MATCH($AL41,$BD$6:$BD$53,0),MATCH(AM$5,$BE$5:$BN$5,0))</f>
        <v>6</v>
      </c>
      <c r="AN41" s="160" cm="1">
        <f t="array" ref="AN41">INDEX($BE$6:$BN$53,MATCH($AL41,$BD$6:$BD$53,0),MATCH(AN$5,$BE$5:$BN$5,0))</f>
        <v>3</v>
      </c>
      <c r="AO41" s="160" cm="1">
        <f t="array" ref="AO41">INDEX($BE$6:$BN$53,MATCH($AL41,$BD$6:$BD$53,0),MATCH(AO$5,$BE$5:$BN$5,0))</f>
        <v>2</v>
      </c>
      <c r="AP41" s="160" cm="1">
        <f t="array" ref="AP41">INDEX($BE$6:$BN$53,MATCH($AL41,$BD$6:$BD$53,0),MATCH(AP$5,$BE$5:$BN$5,0))</f>
        <v>0</v>
      </c>
      <c r="AQ41" s="160" cm="1">
        <f t="array" ref="AQ41">INDEX($BE$6:$BN$53,MATCH($AL41,$BD$6:$BD$53,0),MATCH(AQ$5,$BE$5:$BN$5,0))</f>
        <v>1</v>
      </c>
      <c r="AR41" s="160" cm="1">
        <f t="array" ref="AR41">INDEX($BE$6:$BN$53,MATCH($AL41,$BD$6:$BD$53,0),MATCH(AR$5,$BE$5:$BN$5,0))</f>
        <v>8</v>
      </c>
      <c r="AS41" s="160" cm="1">
        <f t="array" ref="AS41">INDEX($BE$6:$BN$53,MATCH($AL41,$BD$6:$BD$53,0),MATCH(AS$5,$BE$5:$BN$5,0))</f>
        <v>2</v>
      </c>
      <c r="AT41" s="161" cm="1">
        <f t="array" ref="AT41">INDEX($BE$6:$BN$53,MATCH($AL41,$BD$6:$BD$53,0),MATCH(AT$5,$BE$5:$BN$5,0))</f>
        <v>6</v>
      </c>
      <c r="AU41" s="133" cm="1">
        <f t="array" ref="AU41">INDEX($DL$6:$DL$53,MATCH(AI41,$DP$6:$DP$53,0))</f>
        <v>4</v>
      </c>
      <c r="AV41" s="134" t="str" cm="1">
        <f t="array" ref="AV41">INDEX($BD$6:$BD$53,MATCH(AI41,$BM$6:$BM$53,0))</f>
        <v>Ecuador</v>
      </c>
      <c r="AW41" s="135"/>
      <c r="AX41" s="136"/>
      <c r="AY41" s="162" t="str" cm="1">
        <f t="array" ref="AY41">A40</f>
        <v>Ecuador</v>
      </c>
      <c r="AZ41" s="163"/>
      <c r="BA41" s="125"/>
      <c r="BB41" s="77"/>
      <c r="BC41" s="112" t="s">
        <v>182</v>
      </c>
      <c r="BD41" s="112" t="s">
        <v>189</v>
      </c>
      <c r="BE41" s="139" cm="1">
        <f t="array" ref="BE41">BG41*3+BH41+IF($AZ$3="No",0,INDEX($AZ$6:$AZ$97,MATCH(BD41,$AY$6:$AY$97,0)))</f>
        <v>6</v>
      </c>
      <c r="BF41" s="139" cm="1">
        <f t="array" ref="BF41">BG41+BH41+BI41</f>
        <v>3</v>
      </c>
      <c r="BG41" s="139" cm="1">
        <f t="array" ref="BG41">COUNTIFS($AA$4:$AA$97,BD41,$D$4:$D$97,"Local")+COUNTIFS($AF$4:$AF$97,BD41,$D$4:$D$97,"Visitante")</f>
        <v>2</v>
      </c>
      <c r="BH41" s="139" cm="1">
        <f t="array" ref="BH41">COUNTIFS($AA$4:$AA$97,BD41,$D$4:$D$97,"Empate")+COUNTIFS($AF$4:$AF$97,BD41,$D$4:$D$97,"Empate")</f>
        <v>0</v>
      </c>
      <c r="BI41" s="139" cm="1">
        <f t="array" ref="BI41">COUNTIFS($AF$4:$AF$97,BD41,$D$4:$D$97,"Local")+COUNTIFS($AA$4:$AA$97,BD41,$D$4:$D$97,"Visitante")</f>
        <v>1</v>
      </c>
      <c r="BJ41" s="139" cm="1">
        <f t="array" ref="BJ41">SUMIFS($AC$4:$AC$97,$AA$4:$AA$97,BD41,$D$4:$D$97,"&lt;&gt;"&amp;"Pendiente",$AC$4:$AC$97,"&lt;&gt;"&amp;"",$AD$4:$AD$97,"&lt;&gt;"&amp;"")+SUMIFS($AD$4:$AD$97,$AF$4:$AF$97,BD41,$D$4:$D$97,"&lt;&gt;"&amp;"Pendiente",$AC$4:$AC$97,"&lt;&gt;"&amp;"",$AD$4:$AD$97,"&lt;&gt;"&amp;"")</f>
        <v>4</v>
      </c>
      <c r="BK41" s="139" cm="1">
        <f t="array" ref="BK41">SUMIFS($AC$4:$AC$97,$AF$4:$AF$97,BD41,$D$4:$D$97,"&lt;&gt;"&amp;"Pendiente",$AC$4:$AC$97,"&lt;&gt;"&amp;"",$AD$4:$AD$97,"&lt;&gt;"&amp;"")+SUMIFS($AD$4:$AD$97,$AA$4:$AA$97,BD41,$D$4:$D$97,"&lt;&gt;"&amp;"Pendiente",$AC$4:$AC$97,"&lt;&gt;"&amp;"",$AD$4:$AD$97,"&lt;&gt;"&amp;"")</f>
        <v>4</v>
      </c>
      <c r="BL41" s="139" cm="1">
        <f t="array" ref="BL41">BJ41-BK41</f>
        <v>0</v>
      </c>
      <c r="BM41" s="126" t="str" cm="1">
        <f t="array" ref="BM41">DD41&amp;BC41</f>
        <v>4I</v>
      </c>
      <c r="BN41" s="126" t="str" cm="1">
        <f t="array" ref="BN41">DH41&amp;BC41</f>
        <v>4I</v>
      </c>
      <c r="BO41" s="139" cm="1">
        <f t="array" ref="BO41">IF(AND($AJ$99=144,BF41&gt;=1),1,0)</f>
        <v>0</v>
      </c>
      <c r="BP41" s="139">
        <v>1</v>
      </c>
      <c r="BQ41" s="112" t="s">
        <v>113</v>
      </c>
      <c r="BR41" s="139" cm="1">
        <f t="array" ref="BR41">IF($BQ41="-","-",BE41)</f>
        <v>6</v>
      </c>
      <c r="BS41" s="139">
        <v>1</v>
      </c>
      <c r="BT41" s="112" t="s">
        <v>113</v>
      </c>
      <c r="BU41" s="139" cm="1">
        <f t="array" ref="BU41">IF($BT41="-","-",COUNTIFS($AA$4:$AA$97,$BD41,$D$4:$D$97,"Local",$F$4:$F$97,$BT41)+COUNTIFS($AF$4:$AF$97,$BD41,$D$4:$D$97,"Visitante",$E$4:$E$97,$BT41))</f>
        <v>2</v>
      </c>
      <c r="BV41" s="139" cm="1">
        <f t="array" ref="BV41">IF($BT41="-","-",COUNTIFS($AA$4:$AA$97,$BD41,$D$4:$D$97,"Empate",$F$4:$F$97,$BT41)+COUNTIFS($AF$4:$AF$97,$BD41,$D$4:$D$97,"Empate",$E$4:$E$97,$BT41))</f>
        <v>0</v>
      </c>
      <c r="BW41" s="139" cm="1">
        <f t="array" ref="BW41">IF($BT41="-","-",COUNTIFS($AA$4:$AA$97,$BD41,$D$4:$D$97,"Visitante",$F$4:$F$97,$BT41)+COUNTIFS($AF$4:$AF$97,$BD41,$D$4:$D$97,"Local",$E$4:$E$97,$BT41))</f>
        <v>1</v>
      </c>
      <c r="BX41" s="139" cm="1">
        <f t="array" ref="BX41">IF($BT41="-","-",BU41*3+BV41)</f>
        <v>6</v>
      </c>
      <c r="BY41" s="139">
        <v>1</v>
      </c>
      <c r="BZ41" s="112" t="s">
        <v>113</v>
      </c>
      <c r="CA41" s="139" cm="1">
        <f t="array" ref="CA41">IF($BZ41="-","-",SUMIFS($AC$4:$AC$97,$AA$4:$AA$97,$BD41,$I$4:$I$97,$BZ41)+SUMIFS($AD$4:$AD$97,$AF$4:$AF$97,$BD41,$H$4:$H$97,$BZ41))</f>
        <v>4</v>
      </c>
      <c r="CB41" s="139" cm="1">
        <f t="array" ref="CB41">IF($BZ41="-","-",SUMIFS($AD$4:$AD$97,$AA$4:$AA$97,$BD41,$I$4:$I$97,$BZ41)+SUMIFS($AC$4:$AC$97,$AF$4:$AF$97,$BD41,$H$4:$H$97,$BZ41))</f>
        <v>4</v>
      </c>
      <c r="CC41" s="139" cm="1">
        <f t="array" ref="CC41">IF($BZ41="-","-",CA41-CB41)</f>
        <v>0</v>
      </c>
      <c r="CD41" s="139">
        <v>1</v>
      </c>
      <c r="CE41" s="112" t="s">
        <v>113</v>
      </c>
      <c r="CF41" s="139" cm="1">
        <f t="array" ref="CF41">IF($CE41="-","-",SUMIFS($AC$4:$AC$97,$AA$4:$AA$97,$BD41,$L$4:$L$97,$CE41)+SUMIFS($AD$4:$AD$97,$AF$4:$AF$97,$BD41,$K$4:$K$97,$CE41))</f>
        <v>4</v>
      </c>
      <c r="CG41" s="139">
        <v>1</v>
      </c>
      <c r="CH41" s="112" t="s">
        <v>113</v>
      </c>
      <c r="CI41" s="139" cm="1">
        <f t="array" ref="CI41">IF($CH41="-","-",COUNTIFS($AA$4:$AA$97,$BD41,$D$4:$D$97,"Local",$O$4:$O$97,$CH41)+COUNTIFS($AF$4:$AF$97,$BD41,$D$4:$D$97,"Visitante",$N$4:$N$97,$CH41))</f>
        <v>2</v>
      </c>
      <c r="CJ41" s="139" cm="1">
        <f t="array" ref="CJ41">IF($CH41="-","-",COUNTIFS($AA$4:$AA$97,$BD41,$D$4:$D$97,"Empate",$O$4:$O$97,$CH41)+COUNTIFS($AF$4:$AF$97,$BD41,$D$4:$D$97,"Empate",$N$4:$N$97,$CH41))</f>
        <v>0</v>
      </c>
      <c r="CK41" s="139" cm="1">
        <f t="array" ref="CK41">IF($CH41="-","-",COUNTIFS($AA$4:$AA$97,$BD41,$D$4:$D$97,"Visitante",$O$4:$O$97,$CH41)+COUNTIFS($AF$4:$AF$97,$BD41,$D$4:$D$97,"Local",$N$4:$N$97,$CH41))</f>
        <v>1</v>
      </c>
      <c r="CL41" s="139" cm="1">
        <f t="array" ref="CL41">IF($CH41="-","-",CI41*3+CJ41)</f>
        <v>6</v>
      </c>
      <c r="CM41" s="139">
        <v>1</v>
      </c>
      <c r="CN41" s="112" t="s">
        <v>113</v>
      </c>
      <c r="CO41" s="139" cm="1">
        <f t="array" ref="CO41">IF($CN41="-","-",SUMIFS($AC$4:$AC$97,$AA$4:$AA$97,$BD41,$R$4:$R$97,$CN41)+SUMIFS($AD$4:$AD$97,$AF$4:$AF$97,$BD41,$Q$4:$Q$97,$CN41))</f>
        <v>4</v>
      </c>
      <c r="CP41" s="139" cm="1">
        <f t="array" ref="CP41">IF($CN41="-","-",SUMIFS($AD$4:$AD$97,$AA$4:$AA$97,$BD41,$R$4:$R$97,$CN41)+SUMIFS($AC$4:$AC$97,$AF$4:$AF$97,$BD41,$Q$4:$Q$97,$CN41))</f>
        <v>4</v>
      </c>
      <c r="CQ41" s="139" cm="1">
        <f t="array" ref="CQ41">IF($CN41="-","-",CO41-CP41)</f>
        <v>0</v>
      </c>
      <c r="CR41" s="139">
        <v>1</v>
      </c>
      <c r="CS41" s="112" t="s">
        <v>113</v>
      </c>
      <c r="CT41" s="139" cm="1">
        <f t="array" ref="CT41">IF($CS41="-","-",SUMIFS($AC$4:$AC$97,$AA$4:$AA$97,$BD41,$U$4:$U$97,$CS41)+SUMIFS($AD$4:$AD$97,$AF$4:$AF$97,$BD41,$T$4:$T$97,$CS41))</f>
        <v>4</v>
      </c>
      <c r="CU41" s="139">
        <v>1</v>
      </c>
      <c r="CV41" s="112" t="s">
        <v>113</v>
      </c>
      <c r="CW41" s="139" cm="1">
        <f t="array" ref="CW41">IF(CV41="-","-",BL41)</f>
        <v>0</v>
      </c>
      <c r="CX41" s="139">
        <v>1</v>
      </c>
      <c r="CY41" s="112" t="s">
        <v>113</v>
      </c>
      <c r="CZ41" s="139" cm="1">
        <f t="array" ref="CZ41">IF(CY41="-","-",BJ41)</f>
        <v>4</v>
      </c>
      <c r="DA41" s="139">
        <v>1</v>
      </c>
      <c r="DB41" s="112" t="s">
        <v>113</v>
      </c>
      <c r="DC41" s="139">
        <v>4</v>
      </c>
      <c r="DD41" s="139">
        <v>4</v>
      </c>
      <c r="DE41" s="126"/>
      <c r="DF41" s="139" cm="1">
        <f t="array" ref="DF41">IF(OR(INDEX($AW$6:$AW$97,MATCH($BD41,$AV$6:$AV$97,0))="",DB41="-"),DD41,INDEX($AW$6:$AW$97,MATCH($BD41,$AV$6:$AV$97,0))+DD41/1000)</f>
        <v>4</v>
      </c>
      <c r="DG41" s="139">
        <v>3</v>
      </c>
      <c r="DH41" s="139">
        <v>4</v>
      </c>
      <c r="DI41" s="126"/>
      <c r="DJ41" s="139" cm="1">
        <f t="array" ref="DJ41">INDEX($DA$6:$DA$53,MATCH($DQ41,$BD$6:$BD$53,0))</f>
        <v>1</v>
      </c>
      <c r="DK41" s="139" cm="1">
        <f t="array" ref="DK41">SUMIF($BC$6:$BC$53,BC41,$BF$6:$BF$53)</f>
        <v>12</v>
      </c>
      <c r="DL41" s="139" cm="1">
        <f t="array" ref="DL41">IF(OR(DK41=12,$AJ$99=144),COUNTIFS($DJ$6:$DJ$53,DJ41,$BC$6:$BC$53,BC41),1)</f>
        <v>4</v>
      </c>
      <c r="DM41" s="126" t="str" cm="1">
        <f t="array" ref="DM41">DJ41&amp;"."&amp;DL41</f>
        <v>1.4</v>
      </c>
      <c r="DN41" s="139">
        <v>1</v>
      </c>
      <c r="DO41" s="126"/>
      <c r="DP41" s="112" t="s">
        <v>190</v>
      </c>
      <c r="DQ41" s="126" t="str" cm="1">
        <f t="array" ref="DQ41">INDEX($BD$6:$BD$53,MATCH(DP41,$BM$6:$BM$53,0))</f>
        <v>Noruega</v>
      </c>
      <c r="DR41" s="77"/>
      <c r="DS41" s="77"/>
      <c r="DT41" s="78"/>
      <c r="DU41" s="12"/>
    </row>
    <row r="42" spans="1:125" ht="16" customHeight="1" x14ac:dyDescent="0.2">
      <c r="A42" s="68"/>
      <c r="B42" s="68"/>
      <c r="C42" s="68"/>
      <c r="D42" s="68"/>
      <c r="E42" s="68"/>
      <c r="F42" s="68"/>
      <c r="G42" s="68"/>
      <c r="H42" s="68"/>
      <c r="I42" s="68"/>
      <c r="J42" s="68"/>
      <c r="K42" s="68"/>
      <c r="L42" s="68"/>
      <c r="M42" s="68"/>
      <c r="N42" s="68"/>
      <c r="O42" s="68"/>
      <c r="P42" s="68"/>
      <c r="Q42" s="68"/>
      <c r="R42" s="68"/>
      <c r="S42" s="68"/>
      <c r="T42" s="68"/>
      <c r="U42" s="68"/>
      <c r="V42" s="69"/>
      <c r="W42" s="164"/>
      <c r="X42" s="165"/>
      <c r="Y42" s="164"/>
      <c r="Z42" s="166"/>
      <c r="AA42" s="167"/>
      <c r="AB42" s="168"/>
      <c r="AC42" s="169"/>
      <c r="AD42" s="169"/>
      <c r="AE42" s="168"/>
      <c r="AF42" s="170"/>
      <c r="AG42" s="216"/>
      <c r="AH42" s="172"/>
      <c r="AI42" s="217"/>
      <c r="AJ42" s="173"/>
      <c r="AK42" s="174"/>
      <c r="AL42" s="175"/>
      <c r="AM42" s="176"/>
      <c r="AN42" s="173"/>
      <c r="AO42" s="173"/>
      <c r="AP42" s="173"/>
      <c r="AQ42" s="173"/>
      <c r="AR42" s="173"/>
      <c r="AS42" s="173"/>
      <c r="AT42" s="173"/>
      <c r="AU42" s="177"/>
      <c r="AV42" s="178"/>
      <c r="AW42" s="135"/>
      <c r="AX42" s="179"/>
      <c r="AY42" s="180"/>
      <c r="AZ42" s="181"/>
      <c r="BA42" s="8"/>
      <c r="BB42" s="77"/>
      <c r="BC42" s="112" t="s">
        <v>53</v>
      </c>
      <c r="BD42" s="112" t="s">
        <v>191</v>
      </c>
      <c r="BE42" s="139" cm="1">
        <f t="array" ref="BE42">BG42*3+BH42+IF($AZ$3="No",0,INDEX($AZ$6:$AZ$97,MATCH(BD42,$AY$6:$AY$97,0)))</f>
        <v>9</v>
      </c>
      <c r="BF42" s="139" cm="1">
        <f t="array" ref="BF42">BG42+BH42+BI42</f>
        <v>3</v>
      </c>
      <c r="BG42" s="139" cm="1">
        <f t="array" ref="BG42">COUNTIFS($AA$4:$AA$97,BD42,$D$4:$D$97,"Local")+COUNTIFS($AF$4:$AF$97,BD42,$D$4:$D$97,"Visitante")</f>
        <v>3</v>
      </c>
      <c r="BH42" s="139" cm="1">
        <f t="array" ref="BH42">COUNTIFS($AA$4:$AA$97,BD42,$D$4:$D$97,"Empate")+COUNTIFS($AF$4:$AF$97,BD42,$D$4:$D$97,"Empate")</f>
        <v>0</v>
      </c>
      <c r="BI42" s="139" cm="1">
        <f t="array" ref="BI42">COUNTIFS($AF$4:$AF$97,BD42,$D$4:$D$97,"Local")+COUNTIFS($AA$4:$AA$97,BD42,$D$4:$D$97,"Visitante")</f>
        <v>0</v>
      </c>
      <c r="BJ42" s="139" cm="1">
        <f t="array" ref="BJ42">SUMIFS($AC$4:$AC$97,$AA$4:$AA$97,BD42,$D$4:$D$97,"&lt;&gt;"&amp;"Pendiente",$AC$4:$AC$97,"&lt;&gt;"&amp;"",$AD$4:$AD$97,"&lt;&gt;"&amp;"")+SUMIFS($AD$4:$AD$97,$AF$4:$AF$97,BD42,$D$4:$D$97,"&lt;&gt;"&amp;"Pendiente",$AC$4:$AC$97,"&lt;&gt;"&amp;"",$AD$4:$AD$97,"&lt;&gt;"&amp;"")</f>
        <v>11</v>
      </c>
      <c r="BK42" s="139" cm="1">
        <f t="array" ref="BK42">SUMIFS($AC$4:$AC$97,$AF$4:$AF$97,BD42,$D$4:$D$97,"&lt;&gt;"&amp;"Pendiente",$AC$4:$AC$97,"&lt;&gt;"&amp;"",$AD$4:$AD$97,"&lt;&gt;"&amp;"")+SUMIFS($AD$4:$AD$97,$AA$4:$AA$97,BD42,$D$4:$D$97,"&lt;&gt;"&amp;"Pendiente",$AC$4:$AC$97,"&lt;&gt;"&amp;"",$AD$4:$AD$97,"&lt;&gt;"&amp;"")</f>
        <v>2</v>
      </c>
      <c r="BL42" s="139" cm="1">
        <f t="array" ref="BL42">BJ42-BK42</f>
        <v>9</v>
      </c>
      <c r="BM42" s="126" t="str" cm="1">
        <f t="array" ref="BM42">DD42&amp;BC42</f>
        <v>1J</v>
      </c>
      <c r="BN42" s="126" t="str" cm="1">
        <f t="array" ref="BN42">DH42&amp;BC42</f>
        <v>1J</v>
      </c>
      <c r="BO42" s="139" cm="1">
        <f t="array" ref="BO42">IF(AND($AJ$99=144,BF42&gt;=1),1,0)</f>
        <v>0</v>
      </c>
      <c r="BP42" s="139">
        <v>1</v>
      </c>
      <c r="BQ42" s="112" t="s">
        <v>113</v>
      </c>
      <c r="BR42" s="139" cm="1">
        <f t="array" ref="BR42">IF($BQ42="-","-",BE42)</f>
        <v>9</v>
      </c>
      <c r="BS42" s="139">
        <v>1</v>
      </c>
      <c r="BT42" s="112" t="s">
        <v>113</v>
      </c>
      <c r="BU42" s="139" cm="1">
        <f t="array" ref="BU42">IF($BT42="-","-",COUNTIFS($AA$4:$AA$97,$BD42,$D$4:$D$97,"Local",$F$4:$F$97,$BT42)+COUNTIFS($AF$4:$AF$97,$BD42,$D$4:$D$97,"Visitante",$E$4:$E$97,$BT42))</f>
        <v>3</v>
      </c>
      <c r="BV42" s="139" cm="1">
        <f t="array" ref="BV42">IF($BT42="-","-",COUNTIFS($AA$4:$AA$97,$BD42,$D$4:$D$97,"Empate",$F$4:$F$97,$BT42)+COUNTIFS($AF$4:$AF$97,$BD42,$D$4:$D$97,"Empate",$E$4:$E$97,$BT42))</f>
        <v>0</v>
      </c>
      <c r="BW42" s="139" cm="1">
        <f t="array" ref="BW42">IF($BT42="-","-",COUNTIFS($AA$4:$AA$97,$BD42,$D$4:$D$97,"Visitante",$F$4:$F$97,$BT42)+COUNTIFS($AF$4:$AF$97,$BD42,$D$4:$D$97,"Local",$E$4:$E$97,$BT42))</f>
        <v>0</v>
      </c>
      <c r="BX42" s="139" cm="1">
        <f t="array" ref="BX42">IF($BT42="-","-",BU42*3+BV42)</f>
        <v>9</v>
      </c>
      <c r="BY42" s="139">
        <v>1</v>
      </c>
      <c r="BZ42" s="112" t="s">
        <v>113</v>
      </c>
      <c r="CA42" s="139" cm="1">
        <f t="array" ref="CA42">IF($BZ42="-","-",SUMIFS($AC$4:$AC$97,$AA$4:$AA$97,$BD42,$I$4:$I$97,$BZ42)+SUMIFS($AD$4:$AD$97,$AF$4:$AF$97,$BD42,$H$4:$H$97,$BZ42))</f>
        <v>11</v>
      </c>
      <c r="CB42" s="139" cm="1">
        <f t="array" ref="CB42">IF($BZ42="-","-",SUMIFS($AD$4:$AD$97,$AA$4:$AA$97,$BD42,$I$4:$I$97,$BZ42)+SUMIFS($AC$4:$AC$97,$AF$4:$AF$97,$BD42,$H$4:$H$97,$BZ42))</f>
        <v>2</v>
      </c>
      <c r="CC42" s="139" cm="1">
        <f t="array" ref="CC42">IF($BZ42="-","-",CA42-CB42)</f>
        <v>9</v>
      </c>
      <c r="CD42" s="139">
        <v>1</v>
      </c>
      <c r="CE42" s="112" t="s">
        <v>113</v>
      </c>
      <c r="CF42" s="139" cm="1">
        <f t="array" ref="CF42">IF($CE42="-","-",SUMIFS($AC$4:$AC$97,$AA$4:$AA$97,$BD42,$L$4:$L$97,$CE42)+SUMIFS($AD$4:$AD$97,$AF$4:$AF$97,$BD42,$K$4:$K$97,$CE42))</f>
        <v>11</v>
      </c>
      <c r="CG42" s="139">
        <v>1</v>
      </c>
      <c r="CH42" s="112" t="s">
        <v>113</v>
      </c>
      <c r="CI42" s="139" cm="1">
        <f t="array" ref="CI42">IF($CH42="-","-",COUNTIFS($AA$4:$AA$97,$BD42,$D$4:$D$97,"Local",$O$4:$O$97,$CH42)+COUNTIFS($AF$4:$AF$97,$BD42,$D$4:$D$97,"Visitante",$N$4:$N$97,$CH42))</f>
        <v>3</v>
      </c>
      <c r="CJ42" s="139" cm="1">
        <f t="array" ref="CJ42">IF($CH42="-","-",COUNTIFS($AA$4:$AA$97,$BD42,$D$4:$D$97,"Empate",$O$4:$O$97,$CH42)+COUNTIFS($AF$4:$AF$97,$BD42,$D$4:$D$97,"Empate",$N$4:$N$97,$CH42))</f>
        <v>0</v>
      </c>
      <c r="CK42" s="139" cm="1">
        <f t="array" ref="CK42">IF($CH42="-","-",COUNTIFS($AA$4:$AA$97,$BD42,$D$4:$D$97,"Visitante",$O$4:$O$97,$CH42)+COUNTIFS($AF$4:$AF$97,$BD42,$D$4:$D$97,"Local",$N$4:$N$97,$CH42))</f>
        <v>0</v>
      </c>
      <c r="CL42" s="139" cm="1">
        <f t="array" ref="CL42">IF($CH42="-","-",CI42*3+CJ42)</f>
        <v>9</v>
      </c>
      <c r="CM42" s="139">
        <v>1</v>
      </c>
      <c r="CN42" s="112" t="s">
        <v>113</v>
      </c>
      <c r="CO42" s="139" cm="1">
        <f t="array" ref="CO42">IF($CN42="-","-",SUMIFS($AC$4:$AC$97,$AA$4:$AA$97,$BD42,$R$4:$R$97,$CN42)+SUMIFS($AD$4:$AD$97,$AF$4:$AF$97,$BD42,$Q$4:$Q$97,$CN42))</f>
        <v>11</v>
      </c>
      <c r="CP42" s="139" cm="1">
        <f t="array" ref="CP42">IF($CN42="-","-",SUMIFS($AD$4:$AD$97,$AA$4:$AA$97,$BD42,$R$4:$R$97,$CN42)+SUMIFS($AC$4:$AC$97,$AF$4:$AF$97,$BD42,$Q$4:$Q$97,$CN42))</f>
        <v>2</v>
      </c>
      <c r="CQ42" s="139" cm="1">
        <f t="array" ref="CQ42">IF($CN42="-","-",CO42-CP42)</f>
        <v>9</v>
      </c>
      <c r="CR42" s="139">
        <v>1</v>
      </c>
      <c r="CS42" s="112" t="s">
        <v>113</v>
      </c>
      <c r="CT42" s="139" cm="1">
        <f t="array" ref="CT42">IF($CS42="-","-",SUMIFS($AC$4:$AC$97,$AA$4:$AA$97,$BD42,$U$4:$U$97,$CS42)+SUMIFS($AD$4:$AD$97,$AF$4:$AF$97,$BD42,$T$4:$T$97,$CS42))</f>
        <v>11</v>
      </c>
      <c r="CU42" s="139">
        <v>1</v>
      </c>
      <c r="CV42" s="112" t="s">
        <v>113</v>
      </c>
      <c r="CW42" s="139" cm="1">
        <f t="array" ref="CW42">IF(CV42="-","-",BL42)</f>
        <v>9</v>
      </c>
      <c r="CX42" s="139">
        <v>1</v>
      </c>
      <c r="CY42" s="112" t="s">
        <v>113</v>
      </c>
      <c r="CZ42" s="139" cm="1">
        <f t="array" ref="CZ42">IF(CY42="-","-",BJ42)</f>
        <v>11</v>
      </c>
      <c r="DA42" s="139">
        <v>1</v>
      </c>
      <c r="DB42" s="112" t="s">
        <v>113</v>
      </c>
      <c r="DC42" s="139">
        <v>1</v>
      </c>
      <c r="DD42" s="139">
        <v>1</v>
      </c>
      <c r="DE42" s="126"/>
      <c r="DF42" s="139" cm="1">
        <f t="array" ref="DF42">IF(OR(INDEX($AW$6:$AW$97,MATCH($BD42,$AV$6:$AV$97,0))="",DB42="-"),DD42,INDEX($AW$6:$AW$97,MATCH($BD42,$AV$6:$AV$97,0))+DD42/1000)</f>
        <v>1</v>
      </c>
      <c r="DG42" s="139">
        <v>0</v>
      </c>
      <c r="DH42" s="139">
        <v>1</v>
      </c>
      <c r="DI42" s="126"/>
      <c r="DJ42" s="139" cm="1">
        <f t="array" ref="DJ42">INDEX($DA$6:$DA$53,MATCH($DQ42,$BD$6:$BD$53,0))</f>
        <v>1</v>
      </c>
      <c r="DK42" s="139" cm="1">
        <f t="array" ref="DK42">SUMIF($BC$6:$BC$53,BC42,$BF$6:$BF$53)</f>
        <v>12</v>
      </c>
      <c r="DL42" s="139" cm="1">
        <f t="array" ref="DL42">IF(OR(DK42=12,$AJ$99=144),COUNTIFS($DJ$6:$DJ$53,DJ42,$BC$6:$BC$53,BC42),1)</f>
        <v>4</v>
      </c>
      <c r="DM42" s="126" t="str" cm="1">
        <f t="array" ref="DM42">DJ42&amp;"."&amp;DL42</f>
        <v>1.4</v>
      </c>
      <c r="DN42" s="139">
        <v>1</v>
      </c>
      <c r="DO42" s="126"/>
      <c r="DP42" s="112" t="s">
        <v>192</v>
      </c>
      <c r="DQ42" s="126" t="str" cm="1">
        <f t="array" ref="DQ42">INDEX($BD$6:$BD$53,MATCH(DP42,$BM$6:$BM$53,0))</f>
        <v>Argentina</v>
      </c>
      <c r="DR42" s="77"/>
      <c r="DS42" s="77"/>
      <c r="DT42" s="78"/>
      <c r="DU42" s="12"/>
    </row>
    <row r="43" spans="1:125" ht="16" customHeight="1" x14ac:dyDescent="0.2">
      <c r="A43" s="68"/>
      <c r="B43" s="68"/>
      <c r="C43" s="68"/>
      <c r="D43" s="68"/>
      <c r="E43" s="68"/>
      <c r="F43" s="68"/>
      <c r="G43" s="68"/>
      <c r="H43" s="68"/>
      <c r="I43" s="68"/>
      <c r="J43" s="68"/>
      <c r="K43" s="68"/>
      <c r="L43" s="68"/>
      <c r="M43" s="68"/>
      <c r="N43" s="68"/>
      <c r="O43" s="68"/>
      <c r="P43" s="68"/>
      <c r="Q43" s="68"/>
      <c r="R43" s="68"/>
      <c r="S43" s="68"/>
      <c r="T43" s="68"/>
      <c r="U43" s="68"/>
      <c r="V43" s="80"/>
      <c r="W43" s="81"/>
      <c r="X43" s="182" t="str" cm="1">
        <f t="array" ref="X43">X27</f>
        <v>Fecha</v>
      </c>
      <c r="Y43" s="182" t="str" cm="1">
        <f t="array" ref="Y43">Y27</f>
        <v>Hora</v>
      </c>
      <c r="Z43" s="107" t="str" cm="1">
        <f t="array" ref="Z43">Z27</f>
        <v>Jor.</v>
      </c>
      <c r="AA43" s="183" t="str" cm="1">
        <f t="array" ref="AA43">AA27</f>
        <v>Casa</v>
      </c>
      <c r="AB43" s="85"/>
      <c r="AC43" s="107" t="str" cm="1">
        <f t="array" ref="AC43">AC3</f>
        <v>Gol</v>
      </c>
      <c r="AD43" s="107" t="str" cm="1">
        <f t="array" ref="AD43">AD3</f>
        <v>Gol</v>
      </c>
      <c r="AE43" s="85"/>
      <c r="AF43" s="184" t="str" cm="1">
        <f t="array" ref="AF43">AF27</f>
        <v>Fuera</v>
      </c>
      <c r="AG43" s="185"/>
      <c r="AH43" s="172"/>
      <c r="AI43" s="73"/>
      <c r="AJ43" s="90"/>
      <c r="AK43" s="186"/>
      <c r="AL43" s="90"/>
      <c r="AM43" s="90"/>
      <c r="AN43" s="90"/>
      <c r="AO43" s="90"/>
      <c r="AP43" s="90"/>
      <c r="AQ43" s="90"/>
      <c r="AR43" s="90"/>
      <c r="AS43" s="90"/>
      <c r="AT43" s="90"/>
      <c r="AU43" s="187"/>
      <c r="AV43" s="74"/>
      <c r="AW43" s="188"/>
      <c r="AX43" s="189"/>
      <c r="AY43" s="190"/>
      <c r="AZ43" s="191"/>
      <c r="BA43" s="8"/>
      <c r="BB43" s="77"/>
      <c r="BC43" s="112" t="s">
        <v>53</v>
      </c>
      <c r="BD43" s="112" t="s">
        <v>193</v>
      </c>
      <c r="BE43" s="139" cm="1">
        <f t="array" ref="BE43">BG43*3+BH43+IF($AZ$3="No",0,INDEX($AZ$6:$AZ$97,MATCH(BD43,$AY$6:$AY$97,0)))</f>
        <v>3</v>
      </c>
      <c r="BF43" s="139" cm="1">
        <f t="array" ref="BF43">BG43+BH43+BI43</f>
        <v>3</v>
      </c>
      <c r="BG43" s="139" cm="1">
        <f t="array" ref="BG43">COUNTIFS($AA$4:$AA$97,BD43,$D$4:$D$97,"Local")+COUNTIFS($AF$4:$AF$97,BD43,$D$4:$D$97,"Visitante")</f>
        <v>1</v>
      </c>
      <c r="BH43" s="139" cm="1">
        <f t="array" ref="BH43">COUNTIFS($AA$4:$AA$97,BD43,$D$4:$D$97,"Empate")+COUNTIFS($AF$4:$AF$97,BD43,$D$4:$D$97,"Empate")</f>
        <v>0</v>
      </c>
      <c r="BI43" s="139" cm="1">
        <f t="array" ref="BI43">COUNTIFS($AF$4:$AF$97,BD43,$D$4:$D$97,"Local")+COUNTIFS($AA$4:$AA$97,BD43,$D$4:$D$97,"Visitante")</f>
        <v>2</v>
      </c>
      <c r="BJ43" s="139" cm="1">
        <f t="array" ref="BJ43">SUMIFS($AC$4:$AC$97,$AA$4:$AA$97,BD43,$D$4:$D$97,"&lt;&gt;"&amp;"Pendiente",$AC$4:$AC$97,"&lt;&gt;"&amp;"",$AD$4:$AD$97,"&lt;&gt;"&amp;"")+SUMIFS($AD$4:$AD$97,$AF$4:$AF$97,BD43,$D$4:$D$97,"&lt;&gt;"&amp;"Pendiente",$AC$4:$AC$97,"&lt;&gt;"&amp;"",$AD$4:$AD$97,"&lt;&gt;"&amp;"")</f>
        <v>2</v>
      </c>
      <c r="BK43" s="139" cm="1">
        <f t="array" ref="BK43">SUMIFS($AC$4:$AC$97,$AF$4:$AF$97,BD43,$D$4:$D$97,"&lt;&gt;"&amp;"Pendiente",$AC$4:$AC$97,"&lt;&gt;"&amp;"",$AD$4:$AD$97,"&lt;&gt;"&amp;"")+SUMIFS($AD$4:$AD$97,$AA$4:$AA$97,BD43,$D$4:$D$97,"&lt;&gt;"&amp;"Pendiente",$AC$4:$AC$97,"&lt;&gt;"&amp;"",$AD$4:$AD$97,"&lt;&gt;"&amp;"")</f>
        <v>7</v>
      </c>
      <c r="BL43" s="139" cm="1">
        <f t="array" ref="BL43">BJ43-BK43</f>
        <v>-5</v>
      </c>
      <c r="BM43" s="126" t="str" cm="1">
        <f t="array" ref="BM43">DD43&amp;BC43</f>
        <v>2J</v>
      </c>
      <c r="BN43" s="126" t="str" cm="1">
        <f t="array" ref="BN43">DH43&amp;BC43</f>
        <v>2J</v>
      </c>
      <c r="BO43" s="139" cm="1">
        <f t="array" ref="BO43">IF(AND($AJ$99=144,BF43&gt;=1),1,0)</f>
        <v>0</v>
      </c>
      <c r="BP43" s="139">
        <v>1</v>
      </c>
      <c r="BQ43" s="112" t="s">
        <v>113</v>
      </c>
      <c r="BR43" s="139" cm="1">
        <f t="array" ref="BR43">IF($BQ43="-","-",BE43)</f>
        <v>3</v>
      </c>
      <c r="BS43" s="139">
        <v>1</v>
      </c>
      <c r="BT43" s="112" t="s">
        <v>113</v>
      </c>
      <c r="BU43" s="139" cm="1">
        <f t="array" ref="BU43">IF($BT43="-","-",COUNTIFS($AA$4:$AA$97,$BD43,$D$4:$D$97,"Local",$F$4:$F$97,$BT43)+COUNTIFS($AF$4:$AF$97,$BD43,$D$4:$D$97,"Visitante",$E$4:$E$97,$BT43))</f>
        <v>1</v>
      </c>
      <c r="BV43" s="139" cm="1">
        <f t="array" ref="BV43">IF($BT43="-","-",COUNTIFS($AA$4:$AA$97,$BD43,$D$4:$D$97,"Empate",$F$4:$F$97,$BT43)+COUNTIFS($AF$4:$AF$97,$BD43,$D$4:$D$97,"Empate",$E$4:$E$97,$BT43))</f>
        <v>0</v>
      </c>
      <c r="BW43" s="139" cm="1">
        <f t="array" ref="BW43">IF($BT43="-","-",COUNTIFS($AA$4:$AA$97,$BD43,$D$4:$D$97,"Visitante",$F$4:$F$97,$BT43)+COUNTIFS($AF$4:$AF$97,$BD43,$D$4:$D$97,"Local",$E$4:$E$97,$BT43))</f>
        <v>2</v>
      </c>
      <c r="BX43" s="139" cm="1">
        <f t="array" ref="BX43">IF($BT43="-","-",BU43*3+BV43)</f>
        <v>3</v>
      </c>
      <c r="BY43" s="139">
        <v>1</v>
      </c>
      <c r="BZ43" s="112" t="s">
        <v>113</v>
      </c>
      <c r="CA43" s="139" cm="1">
        <f t="array" ref="CA43">IF($BZ43="-","-",SUMIFS($AC$4:$AC$97,$AA$4:$AA$97,$BD43,$I$4:$I$97,$BZ43)+SUMIFS($AD$4:$AD$97,$AF$4:$AF$97,$BD43,$H$4:$H$97,$BZ43))</f>
        <v>2</v>
      </c>
      <c r="CB43" s="139" cm="1">
        <f t="array" ref="CB43">IF($BZ43="-","-",SUMIFS($AD$4:$AD$97,$AA$4:$AA$97,$BD43,$I$4:$I$97,$BZ43)+SUMIFS($AC$4:$AC$97,$AF$4:$AF$97,$BD43,$H$4:$H$97,$BZ43))</f>
        <v>7</v>
      </c>
      <c r="CC43" s="139" cm="1">
        <f t="array" ref="CC43">IF($BZ43="-","-",CA43-CB43)</f>
        <v>-5</v>
      </c>
      <c r="CD43" s="139">
        <v>1</v>
      </c>
      <c r="CE43" s="112" t="s">
        <v>113</v>
      </c>
      <c r="CF43" s="139" cm="1">
        <f t="array" ref="CF43">IF($CE43="-","-",SUMIFS($AC$4:$AC$97,$AA$4:$AA$97,$BD43,$L$4:$L$97,$CE43)+SUMIFS($AD$4:$AD$97,$AF$4:$AF$97,$BD43,$K$4:$K$97,$CE43))</f>
        <v>2</v>
      </c>
      <c r="CG43" s="139">
        <v>1</v>
      </c>
      <c r="CH43" s="112" t="s">
        <v>113</v>
      </c>
      <c r="CI43" s="139" cm="1">
        <f t="array" ref="CI43">IF($CH43="-","-",COUNTIFS($AA$4:$AA$97,$BD43,$D$4:$D$97,"Local",$O$4:$O$97,$CH43)+COUNTIFS($AF$4:$AF$97,$BD43,$D$4:$D$97,"Visitante",$N$4:$N$97,$CH43))</f>
        <v>1</v>
      </c>
      <c r="CJ43" s="139" cm="1">
        <f t="array" ref="CJ43">IF($CH43="-","-",COUNTIFS($AA$4:$AA$97,$BD43,$D$4:$D$97,"Empate",$O$4:$O$97,$CH43)+COUNTIFS($AF$4:$AF$97,$BD43,$D$4:$D$97,"Empate",$N$4:$N$97,$CH43))</f>
        <v>0</v>
      </c>
      <c r="CK43" s="139" cm="1">
        <f t="array" ref="CK43">IF($CH43="-","-",COUNTIFS($AA$4:$AA$97,$BD43,$D$4:$D$97,"Visitante",$O$4:$O$97,$CH43)+COUNTIFS($AF$4:$AF$97,$BD43,$D$4:$D$97,"Local",$N$4:$N$97,$CH43))</f>
        <v>2</v>
      </c>
      <c r="CL43" s="139" cm="1">
        <f t="array" ref="CL43">IF($CH43="-","-",CI43*3+CJ43)</f>
        <v>3</v>
      </c>
      <c r="CM43" s="139">
        <v>1</v>
      </c>
      <c r="CN43" s="112" t="s">
        <v>113</v>
      </c>
      <c r="CO43" s="139" cm="1">
        <f t="array" ref="CO43">IF($CN43="-","-",SUMIFS($AC$4:$AC$97,$AA$4:$AA$97,$BD43,$R$4:$R$97,$CN43)+SUMIFS($AD$4:$AD$97,$AF$4:$AF$97,$BD43,$Q$4:$Q$97,$CN43))</f>
        <v>2</v>
      </c>
      <c r="CP43" s="139" cm="1">
        <f t="array" ref="CP43">IF($CN43="-","-",SUMIFS($AD$4:$AD$97,$AA$4:$AA$97,$BD43,$R$4:$R$97,$CN43)+SUMIFS($AC$4:$AC$97,$AF$4:$AF$97,$BD43,$Q$4:$Q$97,$CN43))</f>
        <v>7</v>
      </c>
      <c r="CQ43" s="139" cm="1">
        <f t="array" ref="CQ43">IF($CN43="-","-",CO43-CP43)</f>
        <v>-5</v>
      </c>
      <c r="CR43" s="139">
        <v>1</v>
      </c>
      <c r="CS43" s="112" t="s">
        <v>113</v>
      </c>
      <c r="CT43" s="139" cm="1">
        <f t="array" ref="CT43">IF($CS43="-","-",SUMIFS($AC$4:$AC$97,$AA$4:$AA$97,$BD43,$U$4:$U$97,$CS43)+SUMIFS($AD$4:$AD$97,$AF$4:$AF$97,$BD43,$T$4:$T$97,$CS43))</f>
        <v>2</v>
      </c>
      <c r="CU43" s="139">
        <v>1</v>
      </c>
      <c r="CV43" s="112" t="s">
        <v>113</v>
      </c>
      <c r="CW43" s="139" cm="1">
        <f t="array" ref="CW43">IF(CV43="-","-",BL43)</f>
        <v>-5</v>
      </c>
      <c r="CX43" s="139">
        <v>1</v>
      </c>
      <c r="CY43" s="112" t="s">
        <v>113</v>
      </c>
      <c r="CZ43" s="139" cm="1">
        <f t="array" ref="CZ43">IF(CY43="-","-",BJ43)</f>
        <v>2</v>
      </c>
      <c r="DA43" s="139">
        <v>1</v>
      </c>
      <c r="DB43" s="112" t="s">
        <v>113</v>
      </c>
      <c r="DC43" s="139">
        <v>2</v>
      </c>
      <c r="DD43" s="139">
        <v>2</v>
      </c>
      <c r="DE43" s="126"/>
      <c r="DF43" s="139" cm="1">
        <f t="array" ref="DF43">IF(OR(INDEX($AW$6:$AW$97,MATCH($BD43,$AV$6:$AV$97,0))="",DB43="-"),DD43,INDEX($AW$6:$AW$97,MATCH($BD43,$AV$6:$AV$97,0))+DD43/1000)</f>
        <v>2</v>
      </c>
      <c r="DG43" s="139">
        <v>1</v>
      </c>
      <c r="DH43" s="139">
        <v>2</v>
      </c>
      <c r="DI43" s="126"/>
      <c r="DJ43" s="139" cm="1">
        <f t="array" ref="DJ43">INDEX($DA$6:$DA$53,MATCH($DQ43,$BD$6:$BD$53,0))</f>
        <v>1</v>
      </c>
      <c r="DK43" s="139" cm="1">
        <f t="array" ref="DK43">SUMIF($BC$6:$BC$53,BC43,$BF$6:$BF$53)</f>
        <v>12</v>
      </c>
      <c r="DL43" s="139" cm="1">
        <f t="array" ref="DL43">IF(OR(DK43=12,$AJ$99=144),COUNTIFS($DJ$6:$DJ$53,DJ43,$BC$6:$BC$53,BC43),1)</f>
        <v>4</v>
      </c>
      <c r="DM43" s="126" t="str" cm="1">
        <f t="array" ref="DM43">DJ43&amp;"."&amp;DL43</f>
        <v>1.4</v>
      </c>
      <c r="DN43" s="139">
        <v>1</v>
      </c>
      <c r="DO43" s="126"/>
      <c r="DP43" s="112" t="s">
        <v>194</v>
      </c>
      <c r="DQ43" s="126" t="str" cm="1">
        <f t="array" ref="DQ43">INDEX($BD$6:$BD$53,MATCH(DP43,$BM$6:$BM$53,0))</f>
        <v>Argelia</v>
      </c>
      <c r="DR43" s="77"/>
      <c r="DS43" s="77"/>
      <c r="DT43" s="78"/>
      <c r="DU43" s="12"/>
    </row>
    <row r="44" spans="1:125" ht="16" customHeight="1" x14ac:dyDescent="0.2">
      <c r="A44" s="79" t="s">
        <v>45</v>
      </c>
      <c r="B44" s="79" t="s">
        <v>156</v>
      </c>
      <c r="C44" s="95">
        <v>4</v>
      </c>
      <c r="D44" s="68" t="str" cm="1">
        <f t="array" ref="D44">IF(OR(AC44="",AD44=""),"Pendiente",IF(AC44&gt;AD44,"Local",IF(AC44&lt;AD44,"Visitante","Empate")))</f>
        <v>Local</v>
      </c>
      <c r="E44" s="68" t="str" cm="1">
        <f t="array" ref="E44">IF(D44="Pendiente","-",INDEX($BT$6:$BT$53,MATCH($AA44,$BD$6:$BD$53,0)))</f>
        <v>P.1 (4)</v>
      </c>
      <c r="F44" s="68" t="str" cm="1">
        <f t="array" ref="F44">IF(D44="Pendiente","-",INDEX($BT$6:$BT$53,MATCH($AF44,$BD$6:$BD$53,0)))</f>
        <v>P.1 (4)</v>
      </c>
      <c r="G44" s="68"/>
      <c r="H44" s="68" t="str" cm="1">
        <f t="array" ref="H44">IF(D44="Pendiente","-",INDEX($BZ$6:$BZ$53,MATCH($AA44,$BD$6:$BD$53,0)))</f>
        <v>P.1 (4)</v>
      </c>
      <c r="I44" s="68" t="str" cm="1">
        <f t="array" ref="I44">IF(D44="Pendiente","-",INDEX($BZ$6:$BZ$53,MATCH($AF44,$BD$6:$BD$53,0)))</f>
        <v>P.1 (4)</v>
      </c>
      <c r="J44" s="68"/>
      <c r="K44" s="68" t="str" cm="1">
        <f t="array" ref="K44">IF(D44="Pendiente","-",INDEX($CE$6:$CE$53,MATCH($AA44,$BD$6:$BD$53,0)))</f>
        <v>P.1 (4)</v>
      </c>
      <c r="L44" s="68" t="str" cm="1">
        <f t="array" ref="L44">IF(D44="Pendiente","-",INDEX($CE$6:$CE$53,MATCH($AF44,$BD$6:$BD$53,0)))</f>
        <v>P.1 (4)</v>
      </c>
      <c r="M44" s="68"/>
      <c r="N44" s="68" t="str" cm="1">
        <f t="array" ref="N44">IF(D44="Pendiente","-",INDEX($CH$6:$CH$53,MATCH($AA44,$BD$6:$BD$53,0)))</f>
        <v>P.1 (4)</v>
      </c>
      <c r="O44" s="68" t="str" cm="1">
        <f t="array" ref="O44">IF(D44="Pendiente","-",INDEX($CH$6:$CH$53,MATCH($AF44,$BD$6:$BD$53,0)))</f>
        <v>P.1 (4)</v>
      </c>
      <c r="P44" s="68"/>
      <c r="Q44" s="68" t="str" cm="1">
        <f t="array" ref="Q44">IF(D44="Pendiente","-",INDEX($CN$6:$CN$53,MATCH($AA44,$BD$6:$BD$53,0)))</f>
        <v>P.1 (4)</v>
      </c>
      <c r="R44" s="68" t="str" cm="1">
        <f t="array" ref="R44">IF(D44="Pendiente","-",INDEX($CN$6:$CN$53,MATCH($AF44,$BD$6:$BD$53,0)))</f>
        <v>P.1 (4)</v>
      </c>
      <c r="S44" s="68"/>
      <c r="T44" s="68" t="str" cm="1">
        <f t="array" ref="T44">IF(D44="Pendiente","-",INDEX($CS$6:$CS$53,MATCH($AA44,$BD$6:$BD$53,0)))</f>
        <v>P.1 (4)</v>
      </c>
      <c r="U44" s="68" t="str" cm="1">
        <f t="array" ref="U44">IF(D44="Pendiente","-",INDEX($CS$6:$CS$53,MATCH($AF44,$BD$6:$BD$53,0)))</f>
        <v>P.1 (4)</v>
      </c>
      <c r="V44" s="80"/>
      <c r="W44" s="780" t="s">
        <v>156</v>
      </c>
      <c r="X44" s="96">
        <v>46187.666666666657</v>
      </c>
      <c r="Y44" s="97">
        <v>46187.666666666657</v>
      </c>
      <c r="Z44" s="113" t="str" cm="1">
        <f t="array" ref="Z44">$Z$4</f>
        <v>J1</v>
      </c>
      <c r="AA44" s="99" t="str" cm="1">
        <f t="array" ref="AA44">A45</f>
        <v>Países Bajos</v>
      </c>
      <c r="AB44" s="100"/>
      <c r="AC44" s="101">
        <v>3</v>
      </c>
      <c r="AD44" s="101">
        <v>1</v>
      </c>
      <c r="AE44" s="102"/>
      <c r="AF44" s="103" t="str" cm="1">
        <f t="array" ref="AF44">A46</f>
        <v>Japón</v>
      </c>
      <c r="AG44" s="104" cm="1">
        <f t="array" ref="AG44">IF(NOT(OR(ISBLANK(AC44),ISBLANK(AD44))),1,0)</f>
        <v>1</v>
      </c>
      <c r="AH44" s="105">
        <v>11</v>
      </c>
      <c r="AI44" s="106"/>
      <c r="AJ44" s="784" t="str" cm="1">
        <f t="array" ref="AJ44">CONCATENATE(AJ3," ",B44)</f>
        <v>Grupo F</v>
      </c>
      <c r="AK44" s="785"/>
      <c r="AL44" s="785"/>
      <c r="AM44" s="785"/>
      <c r="AN44" s="785"/>
      <c r="AO44" s="785"/>
      <c r="AP44" s="785"/>
      <c r="AQ44" s="785"/>
      <c r="AR44" s="785"/>
      <c r="AS44" s="785"/>
      <c r="AT44" s="786"/>
      <c r="AU44" s="192"/>
      <c r="AV44" s="109" t="str" cm="1">
        <f t="array" ref="AV44">IF(AU45&gt;0,$AV$3,"")</f>
        <v>¡EMPATE! Puedes seleccionar el orden de los empatados.</v>
      </c>
      <c r="AW44" s="200"/>
      <c r="AX44" s="200"/>
      <c r="AY44" s="194"/>
      <c r="AZ44" s="195"/>
      <c r="BA44" s="8"/>
      <c r="BB44" s="77"/>
      <c r="BC44" s="112" t="s">
        <v>53</v>
      </c>
      <c r="BD44" s="112" t="s">
        <v>195</v>
      </c>
      <c r="BE44" s="139" cm="1">
        <f t="array" ref="BE44">BG44*3+BH44+IF($AZ$3="No",0,INDEX($AZ$6:$AZ$97,MATCH(BD44,$AY$6:$AY$97,0)))</f>
        <v>6</v>
      </c>
      <c r="BF44" s="139" cm="1">
        <f t="array" ref="BF44">BG44+BH44+BI44</f>
        <v>3</v>
      </c>
      <c r="BG44" s="139" cm="1">
        <f t="array" ref="BG44">COUNTIFS($AA$4:$AA$97,BD44,$D$4:$D$97,"Local")+COUNTIFS($AF$4:$AF$97,BD44,$D$4:$D$97,"Visitante")</f>
        <v>2</v>
      </c>
      <c r="BH44" s="139" cm="1">
        <f t="array" ref="BH44">COUNTIFS($AA$4:$AA$97,BD44,$D$4:$D$97,"Empate")+COUNTIFS($AF$4:$AF$97,BD44,$D$4:$D$97,"Empate")</f>
        <v>0</v>
      </c>
      <c r="BI44" s="139" cm="1">
        <f t="array" ref="BI44">COUNTIFS($AF$4:$AF$97,BD44,$D$4:$D$97,"Local")+COUNTIFS($AA$4:$AA$97,BD44,$D$4:$D$97,"Visitante")</f>
        <v>1</v>
      </c>
      <c r="BJ44" s="139" cm="1">
        <f t="array" ref="BJ44">SUMIFS($AC$4:$AC$97,$AA$4:$AA$97,BD44,$D$4:$D$97,"&lt;&gt;"&amp;"Pendiente",$AC$4:$AC$97,"&lt;&gt;"&amp;"",$AD$4:$AD$97,"&lt;&gt;"&amp;"")+SUMIFS($AD$4:$AD$97,$AF$4:$AF$97,BD44,$D$4:$D$97,"&lt;&gt;"&amp;"Pendiente",$AC$4:$AC$97,"&lt;&gt;"&amp;"",$AD$4:$AD$97,"&lt;&gt;"&amp;"")</f>
        <v>5</v>
      </c>
      <c r="BK44" s="139" cm="1">
        <f t="array" ref="BK44">SUMIFS($AC$4:$AC$97,$AF$4:$AF$97,BD44,$D$4:$D$97,"&lt;&gt;"&amp;"Pendiente",$AC$4:$AC$97,"&lt;&gt;"&amp;"",$AD$4:$AD$97,"&lt;&gt;"&amp;"")+SUMIFS($AD$4:$AD$97,$AA$4:$AA$97,BD44,$D$4:$D$97,"&lt;&gt;"&amp;"Pendiente",$AC$4:$AC$97,"&lt;&gt;"&amp;"",$AD$4:$AD$97,"&lt;&gt;"&amp;"")</f>
        <v>3</v>
      </c>
      <c r="BL44" s="139" cm="1">
        <f t="array" ref="BL44">BJ44-BK44</f>
        <v>2</v>
      </c>
      <c r="BM44" s="126" t="str" cm="1">
        <f t="array" ref="BM44">DD44&amp;BC44</f>
        <v>3J</v>
      </c>
      <c r="BN44" s="126" t="str" cm="1">
        <f t="array" ref="BN44">DH44&amp;BC44</f>
        <v>3J</v>
      </c>
      <c r="BO44" s="139" cm="1">
        <f t="array" ref="BO44">IF(AND($AJ$99=144,BF44&gt;=1),1,0)</f>
        <v>0</v>
      </c>
      <c r="BP44" s="139">
        <v>1</v>
      </c>
      <c r="BQ44" s="112" t="s">
        <v>113</v>
      </c>
      <c r="BR44" s="139" cm="1">
        <f t="array" ref="BR44">IF($BQ44="-","-",BE44)</f>
        <v>6</v>
      </c>
      <c r="BS44" s="139">
        <v>1</v>
      </c>
      <c r="BT44" s="112" t="s">
        <v>113</v>
      </c>
      <c r="BU44" s="139" cm="1">
        <f t="array" ref="BU44">IF($BT44="-","-",COUNTIFS($AA$4:$AA$97,$BD44,$D$4:$D$97,"Local",$F$4:$F$97,$BT44)+COUNTIFS($AF$4:$AF$97,$BD44,$D$4:$D$97,"Visitante",$E$4:$E$97,$BT44))</f>
        <v>2</v>
      </c>
      <c r="BV44" s="139" cm="1">
        <f t="array" ref="BV44">IF($BT44="-","-",COUNTIFS($AA$4:$AA$97,$BD44,$D$4:$D$97,"Empate",$F$4:$F$97,$BT44)+COUNTIFS($AF$4:$AF$97,$BD44,$D$4:$D$97,"Empate",$E$4:$E$97,$BT44))</f>
        <v>0</v>
      </c>
      <c r="BW44" s="139" cm="1">
        <f t="array" ref="BW44">IF($BT44="-","-",COUNTIFS($AA$4:$AA$97,$BD44,$D$4:$D$97,"Visitante",$F$4:$F$97,$BT44)+COUNTIFS($AF$4:$AF$97,$BD44,$D$4:$D$97,"Local",$E$4:$E$97,$BT44))</f>
        <v>1</v>
      </c>
      <c r="BX44" s="139" cm="1">
        <f t="array" ref="BX44">IF($BT44="-","-",BU44*3+BV44)</f>
        <v>6</v>
      </c>
      <c r="BY44" s="139">
        <v>1</v>
      </c>
      <c r="BZ44" s="112" t="s">
        <v>113</v>
      </c>
      <c r="CA44" s="139" cm="1">
        <f t="array" ref="CA44">IF($BZ44="-","-",SUMIFS($AC$4:$AC$97,$AA$4:$AA$97,$BD44,$I$4:$I$97,$BZ44)+SUMIFS($AD$4:$AD$97,$AF$4:$AF$97,$BD44,$H$4:$H$97,$BZ44))</f>
        <v>5</v>
      </c>
      <c r="CB44" s="139" cm="1">
        <f t="array" ref="CB44">IF($BZ44="-","-",SUMIFS($AD$4:$AD$97,$AA$4:$AA$97,$BD44,$I$4:$I$97,$BZ44)+SUMIFS($AC$4:$AC$97,$AF$4:$AF$97,$BD44,$H$4:$H$97,$BZ44))</f>
        <v>3</v>
      </c>
      <c r="CC44" s="139" cm="1">
        <f t="array" ref="CC44">IF($BZ44="-","-",CA44-CB44)</f>
        <v>2</v>
      </c>
      <c r="CD44" s="139">
        <v>1</v>
      </c>
      <c r="CE44" s="112" t="s">
        <v>113</v>
      </c>
      <c r="CF44" s="139" cm="1">
        <f t="array" ref="CF44">IF($CE44="-","-",SUMIFS($AC$4:$AC$97,$AA$4:$AA$97,$BD44,$L$4:$L$97,$CE44)+SUMIFS($AD$4:$AD$97,$AF$4:$AF$97,$BD44,$K$4:$K$97,$CE44))</f>
        <v>5</v>
      </c>
      <c r="CG44" s="139">
        <v>1</v>
      </c>
      <c r="CH44" s="112" t="s">
        <v>113</v>
      </c>
      <c r="CI44" s="139" cm="1">
        <f t="array" ref="CI44">IF($CH44="-","-",COUNTIFS($AA$4:$AA$97,$BD44,$D$4:$D$97,"Local",$O$4:$O$97,$CH44)+COUNTIFS($AF$4:$AF$97,$BD44,$D$4:$D$97,"Visitante",$N$4:$N$97,$CH44))</f>
        <v>2</v>
      </c>
      <c r="CJ44" s="139" cm="1">
        <f t="array" ref="CJ44">IF($CH44="-","-",COUNTIFS($AA$4:$AA$97,$BD44,$D$4:$D$97,"Empate",$O$4:$O$97,$CH44)+COUNTIFS($AF$4:$AF$97,$BD44,$D$4:$D$97,"Empate",$N$4:$N$97,$CH44))</f>
        <v>0</v>
      </c>
      <c r="CK44" s="139" cm="1">
        <f t="array" ref="CK44">IF($CH44="-","-",COUNTIFS($AA$4:$AA$97,$BD44,$D$4:$D$97,"Visitante",$O$4:$O$97,$CH44)+COUNTIFS($AF$4:$AF$97,$BD44,$D$4:$D$97,"Local",$N$4:$N$97,$CH44))</f>
        <v>1</v>
      </c>
      <c r="CL44" s="139" cm="1">
        <f t="array" ref="CL44">IF($CH44="-","-",CI44*3+CJ44)</f>
        <v>6</v>
      </c>
      <c r="CM44" s="139">
        <v>1</v>
      </c>
      <c r="CN44" s="112" t="s">
        <v>113</v>
      </c>
      <c r="CO44" s="139" cm="1">
        <f t="array" ref="CO44">IF($CN44="-","-",SUMIFS($AC$4:$AC$97,$AA$4:$AA$97,$BD44,$R$4:$R$97,$CN44)+SUMIFS($AD$4:$AD$97,$AF$4:$AF$97,$BD44,$Q$4:$Q$97,$CN44))</f>
        <v>5</v>
      </c>
      <c r="CP44" s="139" cm="1">
        <f t="array" ref="CP44">IF($CN44="-","-",SUMIFS($AD$4:$AD$97,$AA$4:$AA$97,$BD44,$R$4:$R$97,$CN44)+SUMIFS($AC$4:$AC$97,$AF$4:$AF$97,$BD44,$Q$4:$Q$97,$CN44))</f>
        <v>3</v>
      </c>
      <c r="CQ44" s="139" cm="1">
        <f t="array" ref="CQ44">IF($CN44="-","-",CO44-CP44)</f>
        <v>2</v>
      </c>
      <c r="CR44" s="139">
        <v>1</v>
      </c>
      <c r="CS44" s="112" t="s">
        <v>113</v>
      </c>
      <c r="CT44" s="139" cm="1">
        <f t="array" ref="CT44">IF($CS44="-","-",SUMIFS($AC$4:$AC$97,$AA$4:$AA$97,$BD44,$U$4:$U$97,$CS44)+SUMIFS($AD$4:$AD$97,$AF$4:$AF$97,$BD44,$T$4:$T$97,$CS44))</f>
        <v>5</v>
      </c>
      <c r="CU44" s="139">
        <v>1</v>
      </c>
      <c r="CV44" s="112" t="s">
        <v>113</v>
      </c>
      <c r="CW44" s="139" cm="1">
        <f t="array" ref="CW44">IF(CV44="-","-",BL44)</f>
        <v>2</v>
      </c>
      <c r="CX44" s="139">
        <v>1</v>
      </c>
      <c r="CY44" s="112" t="s">
        <v>113</v>
      </c>
      <c r="CZ44" s="139" cm="1">
        <f t="array" ref="CZ44">IF(CY44="-","-",BJ44)</f>
        <v>5</v>
      </c>
      <c r="DA44" s="139">
        <v>1</v>
      </c>
      <c r="DB44" s="112" t="s">
        <v>113</v>
      </c>
      <c r="DC44" s="139">
        <v>3</v>
      </c>
      <c r="DD44" s="139">
        <v>3</v>
      </c>
      <c r="DE44" s="126"/>
      <c r="DF44" s="139" cm="1">
        <f t="array" ref="DF44">IF(OR(INDEX($AW$6:$AW$97,MATCH($BD44,$AV$6:$AV$97,0))="",DB44="-"),DD44,INDEX($AW$6:$AW$97,MATCH($BD44,$AV$6:$AV$97,0))+DD44/1000)</f>
        <v>3</v>
      </c>
      <c r="DG44" s="139">
        <v>2</v>
      </c>
      <c r="DH44" s="139">
        <v>3</v>
      </c>
      <c r="DI44" s="126"/>
      <c r="DJ44" s="139" cm="1">
        <f t="array" ref="DJ44">INDEX($DA$6:$DA$53,MATCH($DQ44,$BD$6:$BD$53,0))</f>
        <v>1</v>
      </c>
      <c r="DK44" s="139" cm="1">
        <f t="array" ref="DK44">SUMIF($BC$6:$BC$53,BC44,$BF$6:$BF$53)</f>
        <v>12</v>
      </c>
      <c r="DL44" s="139" cm="1">
        <f t="array" ref="DL44">IF(OR(DK44=12,$AJ$99=144),COUNTIFS($DJ$6:$DJ$53,DJ44,$BC$6:$BC$53,BC44),1)</f>
        <v>4</v>
      </c>
      <c r="DM44" s="126" t="str" cm="1">
        <f t="array" ref="DM44">DJ44&amp;"."&amp;DL44</f>
        <v>1.4</v>
      </c>
      <c r="DN44" s="139">
        <v>1</v>
      </c>
      <c r="DO44" s="126"/>
      <c r="DP44" s="112" t="s">
        <v>196</v>
      </c>
      <c r="DQ44" s="126" t="str" cm="1">
        <f t="array" ref="DQ44">INDEX($BD$6:$BD$53,MATCH(DP44,$BM$6:$BM$53,0))</f>
        <v>Austria</v>
      </c>
      <c r="DR44" s="77"/>
      <c r="DS44" s="77"/>
      <c r="DT44" s="78"/>
      <c r="DU44" s="12"/>
    </row>
    <row r="45" spans="1:125" ht="16" customHeight="1" x14ac:dyDescent="0.2">
      <c r="A45" s="79" t="s">
        <v>157</v>
      </c>
      <c r="B45" s="68"/>
      <c r="C45" s="68"/>
      <c r="D45" s="68" t="str" cm="1">
        <f t="array" ref="D45">IF(OR(AC45="",AD45=""),"Pendiente",IF(AC45&gt;AD45,"Local",IF(AC45&lt;AD45,"Visitante","Empate")))</f>
        <v>Local</v>
      </c>
      <c r="E45" s="68" t="str" cm="1">
        <f t="array" ref="E45">IF(D45="Pendiente","-",INDEX($BT$6:$BT$53,MATCH($AA45,$BD$6:$BD$53,0)))</f>
        <v>P.1 (4)</v>
      </c>
      <c r="F45" s="68" t="str" cm="1">
        <f t="array" ref="F45">IF(D45="Pendiente","-",INDEX($BT$6:$BT$53,MATCH($AF45,$BD$6:$BD$53,0)))</f>
        <v>P.1 (4)</v>
      </c>
      <c r="G45" s="68"/>
      <c r="H45" s="68" t="str" cm="1">
        <f t="array" ref="H45">IF(D45="Pendiente","-",INDEX($BZ$6:$BZ$53,MATCH($AA45,$BD$6:$BD$53,0)))</f>
        <v>P.1 (4)</v>
      </c>
      <c r="I45" s="68" t="str" cm="1">
        <f t="array" ref="I45">IF(D45="Pendiente","-",INDEX($BZ$6:$BZ$53,MATCH($AF45,$BD$6:$BD$53,0)))</f>
        <v>P.1 (4)</v>
      </c>
      <c r="J45" s="68"/>
      <c r="K45" s="68" t="str" cm="1">
        <f t="array" ref="K45">IF(D45="Pendiente","-",INDEX($CE$6:$CE$53,MATCH($AA45,$BD$6:$BD$53,0)))</f>
        <v>P.1 (4)</v>
      </c>
      <c r="L45" s="68" t="str" cm="1">
        <f t="array" ref="L45">IF(D45="Pendiente","-",INDEX($CE$6:$CE$53,MATCH($AF45,$BD$6:$BD$53,0)))</f>
        <v>P.1 (4)</v>
      </c>
      <c r="M45" s="68"/>
      <c r="N45" s="68" t="str" cm="1">
        <f t="array" ref="N45">IF(D45="Pendiente","-",INDEX($CH$6:$CH$53,MATCH($AA45,$BD$6:$BD$53,0)))</f>
        <v>P.1 (4)</v>
      </c>
      <c r="O45" s="68" t="str" cm="1">
        <f t="array" ref="O45">IF(D45="Pendiente","-",INDEX($CH$6:$CH$53,MATCH($AF45,$BD$6:$BD$53,0)))</f>
        <v>P.1 (4)</v>
      </c>
      <c r="P45" s="68"/>
      <c r="Q45" s="68" t="str" cm="1">
        <f t="array" ref="Q45">IF(D45="Pendiente","-",INDEX($CN$6:$CN$53,MATCH($AA45,$BD$6:$BD$53,0)))</f>
        <v>P.1 (4)</v>
      </c>
      <c r="R45" s="68" t="str" cm="1">
        <f t="array" ref="R45">IF(D45="Pendiente","-",INDEX($CN$6:$CN$53,MATCH($AF45,$BD$6:$BD$53,0)))</f>
        <v>P.1 (4)</v>
      </c>
      <c r="S45" s="68"/>
      <c r="T45" s="68" t="str" cm="1">
        <f t="array" ref="T45">IF(D45="Pendiente","-",INDEX($CS$6:$CS$53,MATCH($AA45,$BD$6:$BD$53,0)))</f>
        <v>P.1 (4)</v>
      </c>
      <c r="U45" s="68" t="str" cm="1">
        <f t="array" ref="U45">IF(D45="Pendiente","-",INDEX($CS$6:$CS$53,MATCH($AF45,$BD$6:$BD$53,0)))</f>
        <v>P.1 (4)</v>
      </c>
      <c r="V45" s="80"/>
      <c r="W45" s="761"/>
      <c r="X45" s="96">
        <v>46187.916666666657</v>
      </c>
      <c r="Y45" s="97">
        <v>46187.916666666657</v>
      </c>
      <c r="Z45" s="113" t="str" cm="1">
        <f t="array" ref="Z45">$Z$4</f>
        <v>J1</v>
      </c>
      <c r="AA45" s="99" t="str" cm="1">
        <f t="array" ref="AA45">A47</f>
        <v>Suecia</v>
      </c>
      <c r="AB45" s="100"/>
      <c r="AC45" s="114">
        <v>4</v>
      </c>
      <c r="AD45" s="114">
        <v>0</v>
      </c>
      <c r="AE45" s="102"/>
      <c r="AF45" s="103" t="str" cm="1">
        <f t="array" ref="AF45">A48</f>
        <v>Túnez</v>
      </c>
      <c r="AG45" s="104" cm="1">
        <f t="array" ref="AG45">IF(NOT(OR(ISBLANK(AC45),ISBLANK(AD45))),1,0)</f>
        <v>1</v>
      </c>
      <c r="AH45" s="105">
        <v>12</v>
      </c>
      <c r="AI45" s="106"/>
      <c r="AJ45" s="196" t="str" cm="1">
        <f t="array" ref="AJ45">AJ5</f>
        <v>Pos</v>
      </c>
      <c r="AK45" s="116"/>
      <c r="AL45" s="197" t="str" cm="1">
        <f t="array" ref="AL45">AL5</f>
        <v>Selección</v>
      </c>
      <c r="AM45" s="116" t="str" cm="1">
        <f t="array" ref="AM45">AM5</f>
        <v>Pts</v>
      </c>
      <c r="AN45" s="116" t="str" cm="1">
        <f t="array" ref="AN45">AN5</f>
        <v>J</v>
      </c>
      <c r="AO45" s="116" t="str" cm="1">
        <f t="array" ref="AO45">AO5</f>
        <v>G</v>
      </c>
      <c r="AP45" s="116" t="str" cm="1">
        <f t="array" ref="AP45">AP5</f>
        <v>E</v>
      </c>
      <c r="AQ45" s="116" t="str" cm="1">
        <f t="array" ref="AQ45">AQ5</f>
        <v>P</v>
      </c>
      <c r="AR45" s="116" t="str" cm="1">
        <f t="array" ref="AR45">AR5</f>
        <v>GF</v>
      </c>
      <c r="AS45" s="116" t="str" cm="1">
        <f t="array" ref="AS45">AS5</f>
        <v>GC</v>
      </c>
      <c r="AT45" s="198" t="str" cm="1">
        <f t="array" ref="AT45">AT5</f>
        <v>DG</v>
      </c>
      <c r="AU45" s="199" cm="1">
        <f t="array" ref="AU45">COUNTIF(AU46:AU49,"&gt;1")</f>
        <v>4</v>
      </c>
      <c r="AV45" s="121"/>
      <c r="AW45" s="200"/>
      <c r="AX45" s="201"/>
      <c r="AY45" s="123" t="str" cm="1">
        <f t="array" ref="AY45">AL45</f>
        <v>Selección</v>
      </c>
      <c r="AZ45" s="124" t="s">
        <v>60</v>
      </c>
      <c r="BA45" s="125"/>
      <c r="BB45" s="77"/>
      <c r="BC45" s="112" t="s">
        <v>53</v>
      </c>
      <c r="BD45" s="112" t="s">
        <v>197</v>
      </c>
      <c r="BE45" s="139" cm="1">
        <f t="array" ref="BE45">BG45*3+BH45+IF($AZ$3="No",0,INDEX($AZ$6:$AZ$97,MATCH(BD45,$AY$6:$AY$97,0)))</f>
        <v>0</v>
      </c>
      <c r="BF45" s="139" cm="1">
        <f t="array" ref="BF45">BG45+BH45+BI45</f>
        <v>3</v>
      </c>
      <c r="BG45" s="139" cm="1">
        <f t="array" ref="BG45">COUNTIFS($AA$4:$AA$97,BD45,$D$4:$D$97,"Local")+COUNTIFS($AF$4:$AF$97,BD45,$D$4:$D$97,"Visitante")</f>
        <v>0</v>
      </c>
      <c r="BH45" s="139" cm="1">
        <f t="array" ref="BH45">COUNTIFS($AA$4:$AA$97,BD45,$D$4:$D$97,"Empate")+COUNTIFS($AF$4:$AF$97,BD45,$D$4:$D$97,"Empate")</f>
        <v>0</v>
      </c>
      <c r="BI45" s="139" cm="1">
        <f t="array" ref="BI45">COUNTIFS($AF$4:$AF$97,BD45,$D$4:$D$97,"Local")+COUNTIFS($AA$4:$AA$97,BD45,$D$4:$D$97,"Visitante")</f>
        <v>3</v>
      </c>
      <c r="BJ45" s="139" cm="1">
        <f t="array" ref="BJ45">SUMIFS($AC$4:$AC$97,$AA$4:$AA$97,BD45,$D$4:$D$97,"&lt;&gt;"&amp;"Pendiente",$AC$4:$AC$97,"&lt;&gt;"&amp;"",$AD$4:$AD$97,"&lt;&gt;"&amp;"")+SUMIFS($AD$4:$AD$97,$AF$4:$AF$97,BD45,$D$4:$D$97,"&lt;&gt;"&amp;"Pendiente",$AC$4:$AC$97,"&lt;&gt;"&amp;"",$AD$4:$AD$97,"&lt;&gt;"&amp;"")</f>
        <v>0</v>
      </c>
      <c r="BK45" s="139" cm="1">
        <f t="array" ref="BK45">SUMIFS($AC$4:$AC$97,$AF$4:$AF$97,BD45,$D$4:$D$97,"&lt;&gt;"&amp;"Pendiente",$AC$4:$AC$97,"&lt;&gt;"&amp;"",$AD$4:$AD$97,"&lt;&gt;"&amp;"")+SUMIFS($AD$4:$AD$97,$AA$4:$AA$97,BD45,$D$4:$D$97,"&lt;&gt;"&amp;"Pendiente",$AC$4:$AC$97,"&lt;&gt;"&amp;"",$AD$4:$AD$97,"&lt;&gt;"&amp;"")</f>
        <v>6</v>
      </c>
      <c r="BL45" s="139" cm="1">
        <f t="array" ref="BL45">BJ45-BK45</f>
        <v>-6</v>
      </c>
      <c r="BM45" s="126" t="str" cm="1">
        <f t="array" ref="BM45">DD45&amp;BC45</f>
        <v>4J</v>
      </c>
      <c r="BN45" s="126" t="str" cm="1">
        <f t="array" ref="BN45">DH45&amp;BC45</f>
        <v>4J</v>
      </c>
      <c r="BO45" s="139" cm="1">
        <f t="array" ref="BO45">IF(AND($AJ$99=144,BF45&gt;=1),1,0)</f>
        <v>0</v>
      </c>
      <c r="BP45" s="139">
        <v>1</v>
      </c>
      <c r="BQ45" s="112" t="s">
        <v>113</v>
      </c>
      <c r="BR45" s="139" cm="1">
        <f t="array" ref="BR45">IF($BQ45="-","-",BE45)</f>
        <v>0</v>
      </c>
      <c r="BS45" s="139">
        <v>1</v>
      </c>
      <c r="BT45" s="112" t="s">
        <v>113</v>
      </c>
      <c r="BU45" s="139" cm="1">
        <f t="array" ref="BU45">IF($BT45="-","-",COUNTIFS($AA$4:$AA$97,$BD45,$D$4:$D$97,"Local",$F$4:$F$97,$BT45)+COUNTIFS($AF$4:$AF$97,$BD45,$D$4:$D$97,"Visitante",$E$4:$E$97,$BT45))</f>
        <v>0</v>
      </c>
      <c r="BV45" s="139" cm="1">
        <f t="array" ref="BV45">IF($BT45="-","-",COUNTIFS($AA$4:$AA$97,$BD45,$D$4:$D$97,"Empate",$F$4:$F$97,$BT45)+COUNTIFS($AF$4:$AF$97,$BD45,$D$4:$D$97,"Empate",$E$4:$E$97,$BT45))</f>
        <v>0</v>
      </c>
      <c r="BW45" s="139" cm="1">
        <f t="array" ref="BW45">IF($BT45="-","-",COUNTIFS($AA$4:$AA$97,$BD45,$D$4:$D$97,"Visitante",$F$4:$F$97,$BT45)+COUNTIFS($AF$4:$AF$97,$BD45,$D$4:$D$97,"Local",$E$4:$E$97,$BT45))</f>
        <v>3</v>
      </c>
      <c r="BX45" s="139" cm="1">
        <f t="array" ref="BX45">IF($BT45="-","-",BU45*3+BV45)</f>
        <v>0</v>
      </c>
      <c r="BY45" s="139">
        <v>1</v>
      </c>
      <c r="BZ45" s="112" t="s">
        <v>113</v>
      </c>
      <c r="CA45" s="139" cm="1">
        <f t="array" ref="CA45">IF($BZ45="-","-",SUMIFS($AC$4:$AC$97,$AA$4:$AA$97,$BD45,$I$4:$I$97,$BZ45)+SUMIFS($AD$4:$AD$97,$AF$4:$AF$97,$BD45,$H$4:$H$97,$BZ45))</f>
        <v>0</v>
      </c>
      <c r="CB45" s="139" cm="1">
        <f t="array" ref="CB45">IF($BZ45="-","-",SUMIFS($AD$4:$AD$97,$AA$4:$AA$97,$BD45,$I$4:$I$97,$BZ45)+SUMIFS($AC$4:$AC$97,$AF$4:$AF$97,$BD45,$H$4:$H$97,$BZ45))</f>
        <v>6</v>
      </c>
      <c r="CC45" s="139" cm="1">
        <f t="array" ref="CC45">IF($BZ45="-","-",CA45-CB45)</f>
        <v>-6</v>
      </c>
      <c r="CD45" s="139">
        <v>1</v>
      </c>
      <c r="CE45" s="112" t="s">
        <v>113</v>
      </c>
      <c r="CF45" s="139" cm="1">
        <f t="array" ref="CF45">IF($CE45="-","-",SUMIFS($AC$4:$AC$97,$AA$4:$AA$97,$BD45,$L$4:$L$97,$CE45)+SUMIFS($AD$4:$AD$97,$AF$4:$AF$97,$BD45,$K$4:$K$97,$CE45))</f>
        <v>0</v>
      </c>
      <c r="CG45" s="139">
        <v>1</v>
      </c>
      <c r="CH45" s="112" t="s">
        <v>113</v>
      </c>
      <c r="CI45" s="139" cm="1">
        <f t="array" ref="CI45">IF($CH45="-","-",COUNTIFS($AA$4:$AA$97,$BD45,$D$4:$D$97,"Local",$O$4:$O$97,$CH45)+COUNTIFS($AF$4:$AF$97,$BD45,$D$4:$D$97,"Visitante",$N$4:$N$97,$CH45))</f>
        <v>0</v>
      </c>
      <c r="CJ45" s="139" cm="1">
        <f t="array" ref="CJ45">IF($CH45="-","-",COUNTIFS($AA$4:$AA$97,$BD45,$D$4:$D$97,"Empate",$O$4:$O$97,$CH45)+COUNTIFS($AF$4:$AF$97,$BD45,$D$4:$D$97,"Empate",$N$4:$N$97,$CH45))</f>
        <v>0</v>
      </c>
      <c r="CK45" s="139" cm="1">
        <f t="array" ref="CK45">IF($CH45="-","-",COUNTIFS($AA$4:$AA$97,$BD45,$D$4:$D$97,"Visitante",$O$4:$O$97,$CH45)+COUNTIFS($AF$4:$AF$97,$BD45,$D$4:$D$97,"Local",$N$4:$N$97,$CH45))</f>
        <v>3</v>
      </c>
      <c r="CL45" s="139" cm="1">
        <f t="array" ref="CL45">IF($CH45="-","-",CI45*3+CJ45)</f>
        <v>0</v>
      </c>
      <c r="CM45" s="139">
        <v>1</v>
      </c>
      <c r="CN45" s="112" t="s">
        <v>113</v>
      </c>
      <c r="CO45" s="139" cm="1">
        <f t="array" ref="CO45">IF($CN45="-","-",SUMIFS($AC$4:$AC$97,$AA$4:$AA$97,$BD45,$R$4:$R$97,$CN45)+SUMIFS($AD$4:$AD$97,$AF$4:$AF$97,$BD45,$Q$4:$Q$97,$CN45))</f>
        <v>0</v>
      </c>
      <c r="CP45" s="139" cm="1">
        <f t="array" ref="CP45">IF($CN45="-","-",SUMIFS($AD$4:$AD$97,$AA$4:$AA$97,$BD45,$R$4:$R$97,$CN45)+SUMIFS($AC$4:$AC$97,$AF$4:$AF$97,$BD45,$Q$4:$Q$97,$CN45))</f>
        <v>6</v>
      </c>
      <c r="CQ45" s="139" cm="1">
        <f t="array" ref="CQ45">IF($CN45="-","-",CO45-CP45)</f>
        <v>-6</v>
      </c>
      <c r="CR45" s="139">
        <v>1</v>
      </c>
      <c r="CS45" s="112" t="s">
        <v>113</v>
      </c>
      <c r="CT45" s="139" cm="1">
        <f t="array" ref="CT45">IF($CS45="-","-",SUMIFS($AC$4:$AC$97,$AA$4:$AA$97,$BD45,$U$4:$U$97,$CS45)+SUMIFS($AD$4:$AD$97,$AF$4:$AF$97,$BD45,$T$4:$T$97,$CS45))</f>
        <v>0</v>
      </c>
      <c r="CU45" s="139">
        <v>1</v>
      </c>
      <c r="CV45" s="112" t="s">
        <v>113</v>
      </c>
      <c r="CW45" s="139" cm="1">
        <f t="array" ref="CW45">IF(CV45="-","-",BL45)</f>
        <v>-6</v>
      </c>
      <c r="CX45" s="139">
        <v>1</v>
      </c>
      <c r="CY45" s="112" t="s">
        <v>113</v>
      </c>
      <c r="CZ45" s="139" cm="1">
        <f t="array" ref="CZ45">IF(CY45="-","-",BJ45)</f>
        <v>0</v>
      </c>
      <c r="DA45" s="139">
        <v>1</v>
      </c>
      <c r="DB45" s="112" t="s">
        <v>113</v>
      </c>
      <c r="DC45" s="139">
        <v>4</v>
      </c>
      <c r="DD45" s="139">
        <v>4</v>
      </c>
      <c r="DE45" s="126"/>
      <c r="DF45" s="139" cm="1">
        <f t="array" ref="DF45">IF(OR(INDEX($AW$6:$AW$97,MATCH($BD45,$AV$6:$AV$97,0))="",DB45="-"),DD45,INDEX($AW$6:$AW$97,MATCH($BD45,$AV$6:$AV$97,0))+DD45/1000)</f>
        <v>4</v>
      </c>
      <c r="DG45" s="139">
        <v>3</v>
      </c>
      <c r="DH45" s="139">
        <v>4</v>
      </c>
      <c r="DI45" s="126"/>
      <c r="DJ45" s="139" cm="1">
        <f t="array" ref="DJ45">INDEX($DA$6:$DA$53,MATCH($DQ45,$BD$6:$BD$53,0))</f>
        <v>1</v>
      </c>
      <c r="DK45" s="139" cm="1">
        <f t="array" ref="DK45">SUMIF($BC$6:$BC$53,BC45,$BF$6:$BF$53)</f>
        <v>12</v>
      </c>
      <c r="DL45" s="139" cm="1">
        <f t="array" ref="DL45">IF(OR(DK45=12,$AJ$99=144),COUNTIFS($DJ$6:$DJ$53,DJ45,$BC$6:$BC$53,BC45),1)</f>
        <v>4</v>
      </c>
      <c r="DM45" s="126" t="str" cm="1">
        <f t="array" ref="DM45">DJ45&amp;"."&amp;DL45</f>
        <v>1.4</v>
      </c>
      <c r="DN45" s="139">
        <v>1</v>
      </c>
      <c r="DO45" s="126"/>
      <c r="DP45" s="112" t="s">
        <v>198</v>
      </c>
      <c r="DQ45" s="126" t="str" cm="1">
        <f t="array" ref="DQ45">INDEX($BD$6:$BD$53,MATCH(DP45,$BM$6:$BM$53,0))</f>
        <v>Jordania</v>
      </c>
      <c r="DR45" s="77"/>
      <c r="DS45" s="77"/>
      <c r="DT45" s="78"/>
      <c r="DU45" s="12"/>
    </row>
    <row r="46" spans="1:125" ht="16" customHeight="1" x14ac:dyDescent="0.2">
      <c r="A46" s="79" t="s">
        <v>159</v>
      </c>
      <c r="B46" s="68"/>
      <c r="C46" s="68"/>
      <c r="D46" s="68" t="str" cm="1">
        <f t="array" ref="D46">IF(OR(AC46="",AD46=""),"Pendiente",IF(AC46&gt;AD46,"Local",IF(AC46&lt;AD46,"Visitante","Empate")))</f>
        <v>Local</v>
      </c>
      <c r="E46" s="68" t="str" cm="1">
        <f t="array" ref="E46">IF(D46="Pendiente","-",INDEX($BT$6:$BT$53,MATCH($AA46,$BD$6:$BD$53,0)))</f>
        <v>P.1 (4)</v>
      </c>
      <c r="F46" s="68" t="str" cm="1">
        <f t="array" ref="F46">IF(D46="Pendiente","-",INDEX($BT$6:$BT$53,MATCH($AF46,$BD$6:$BD$53,0)))</f>
        <v>P.1 (4)</v>
      </c>
      <c r="G46" s="68"/>
      <c r="H46" s="68" t="str" cm="1">
        <f t="array" ref="H46">IF(D46="Pendiente","-",INDEX($BZ$6:$BZ$53,MATCH($AA46,$BD$6:$BD$53,0)))</f>
        <v>P.1 (4)</v>
      </c>
      <c r="I46" s="68" t="str" cm="1">
        <f t="array" ref="I46">IF(D46="Pendiente","-",INDEX($BZ$6:$BZ$53,MATCH($AF46,$BD$6:$BD$53,0)))</f>
        <v>P.1 (4)</v>
      </c>
      <c r="J46" s="68"/>
      <c r="K46" s="68" t="str" cm="1">
        <f t="array" ref="K46">IF(D46="Pendiente","-",INDEX($CE$6:$CE$53,MATCH($AA46,$BD$6:$BD$53,0)))</f>
        <v>P.1 (4)</v>
      </c>
      <c r="L46" s="68" t="str" cm="1">
        <f t="array" ref="L46">IF(D46="Pendiente","-",INDEX($CE$6:$CE$53,MATCH($AF46,$BD$6:$BD$53,0)))</f>
        <v>P.1 (4)</v>
      </c>
      <c r="M46" s="68"/>
      <c r="N46" s="68" t="str" cm="1">
        <f t="array" ref="N46">IF(D46="Pendiente","-",INDEX($CH$6:$CH$53,MATCH($AA46,$BD$6:$BD$53,0)))</f>
        <v>P.1 (4)</v>
      </c>
      <c r="O46" s="68" t="str" cm="1">
        <f t="array" ref="O46">IF(D46="Pendiente","-",INDEX($CH$6:$CH$53,MATCH($AF46,$BD$6:$BD$53,0)))</f>
        <v>P.1 (4)</v>
      </c>
      <c r="P46" s="68"/>
      <c r="Q46" s="68" t="str" cm="1">
        <f t="array" ref="Q46">IF(D46="Pendiente","-",INDEX($CN$6:$CN$53,MATCH($AA46,$BD$6:$BD$53,0)))</f>
        <v>P.1 (4)</v>
      </c>
      <c r="R46" s="68" t="str" cm="1">
        <f t="array" ref="R46">IF(D46="Pendiente","-",INDEX($CN$6:$CN$53,MATCH($AF46,$BD$6:$BD$53,0)))</f>
        <v>P.1 (4)</v>
      </c>
      <c r="S46" s="68"/>
      <c r="T46" s="68" t="str" cm="1">
        <f t="array" ref="T46">IF(D46="Pendiente","-",INDEX($CS$6:$CS$53,MATCH($AA46,$BD$6:$BD$53,0)))</f>
        <v>P.1 (4)</v>
      </c>
      <c r="U46" s="68" t="str" cm="1">
        <f t="array" ref="U46">IF(D46="Pendiente","-",INDEX($CS$6:$CS$53,MATCH($AF46,$BD$6:$BD$53,0)))</f>
        <v>P.1 (4)</v>
      </c>
      <c r="V46" s="80"/>
      <c r="W46" s="762"/>
      <c r="X46" s="96">
        <v>46193.541666666657</v>
      </c>
      <c r="Y46" s="97">
        <v>46193.541666666657</v>
      </c>
      <c r="Z46" s="113" t="str" cm="1">
        <f t="array" ref="Z46">$Z$6</f>
        <v>J2</v>
      </c>
      <c r="AA46" s="99" t="str" cm="1">
        <f t="array" ref="AA46">A45</f>
        <v>Países Bajos</v>
      </c>
      <c r="AB46" s="100"/>
      <c r="AC46" s="114">
        <v>2</v>
      </c>
      <c r="AD46" s="114">
        <v>1</v>
      </c>
      <c r="AE46" s="102"/>
      <c r="AF46" s="103" t="str" cm="1">
        <f t="array" ref="AF46">A47</f>
        <v>Suecia</v>
      </c>
      <c r="AG46" s="104" cm="1">
        <f t="array" ref="AG46">IF(NOT(OR(ISBLANK(AC46),ISBLANK(AD46))),1,0)</f>
        <v>1</v>
      </c>
      <c r="AH46" s="105">
        <v>35</v>
      </c>
      <c r="AI46" s="106" t="str" cm="1">
        <f t="array" ref="AI46">AJ46&amp;$B$44</f>
        <v>1F</v>
      </c>
      <c r="AJ46" s="127">
        <v>1</v>
      </c>
      <c r="AK46" s="204"/>
      <c r="AL46" s="129" t="str" cm="1">
        <f t="array" ref="AL46">IFERROR(INDEX($BD$6:$BD$53,MATCH(AI46,$BN$6:$BN$53,0)),"")</f>
        <v>Países Bajos</v>
      </c>
      <c r="AM46" s="130" cm="1">
        <f t="array" ref="AM46">INDEX($BE$6:$BN$53,MATCH($AL46,$BD$6:$BD$53,0),MATCH(AM$5,$BE$5:$BN$5,0))</f>
        <v>9</v>
      </c>
      <c r="AN46" s="131" cm="1">
        <f t="array" ref="AN46">INDEX($BE$6:$BN$53,MATCH($AL46,$BD$6:$BD$53,0),MATCH(AN$5,$BE$5:$BN$5,0))</f>
        <v>3</v>
      </c>
      <c r="AO46" s="131" cm="1">
        <f t="array" ref="AO46">INDEX($BE$6:$BN$53,MATCH($AL46,$BD$6:$BD$53,0),MATCH(AO$5,$BE$5:$BN$5,0))</f>
        <v>3</v>
      </c>
      <c r="AP46" s="131" cm="1">
        <f t="array" ref="AP46">INDEX($BE$6:$BN$53,MATCH($AL46,$BD$6:$BD$53,0),MATCH(AP$5,$BE$5:$BN$5,0))</f>
        <v>0</v>
      </c>
      <c r="AQ46" s="131" cm="1">
        <f t="array" ref="AQ46">INDEX($BE$6:$BN$53,MATCH($AL46,$BD$6:$BD$53,0),MATCH(AQ$5,$BE$5:$BN$5,0))</f>
        <v>0</v>
      </c>
      <c r="AR46" s="131" cm="1">
        <f t="array" ref="AR46">INDEX($BE$6:$BN$53,MATCH($AL46,$BD$6:$BD$53,0),MATCH(AR$5,$BE$5:$BN$5,0))</f>
        <v>9</v>
      </c>
      <c r="AS46" s="131" cm="1">
        <f t="array" ref="AS46">INDEX($BE$6:$BN$53,MATCH($AL46,$BD$6:$BD$53,0),MATCH(AS$5,$BE$5:$BN$5,0))</f>
        <v>2</v>
      </c>
      <c r="AT46" s="132" cm="1">
        <f t="array" ref="AT46">INDEX($BE$6:$BN$53,MATCH($AL46,$BD$6:$BD$53,0),MATCH(AT$5,$BE$5:$BN$5,0))</f>
        <v>7</v>
      </c>
      <c r="AU46" s="133" cm="1">
        <f t="array" ref="AU46">INDEX($DL$6:$DL$53,MATCH(AI46,$DP$6:$DP$53,0))</f>
        <v>4</v>
      </c>
      <c r="AV46" s="134" t="str" cm="1">
        <f t="array" ref="AV46">INDEX($BD$6:$BD$53,MATCH(AI46,$BM$6:$BM$53,0))</f>
        <v>Países Bajos</v>
      </c>
      <c r="AW46" s="135"/>
      <c r="AX46" s="136"/>
      <c r="AY46" s="137" t="str" cm="1">
        <f t="array" ref="AY46">A45</f>
        <v>Países Bajos</v>
      </c>
      <c r="AZ46" s="138"/>
      <c r="BA46" s="125"/>
      <c r="BB46" s="77"/>
      <c r="BC46" s="112" t="s">
        <v>199</v>
      </c>
      <c r="BD46" s="112" t="s">
        <v>200</v>
      </c>
      <c r="BE46" s="139" cm="1">
        <f t="array" ref="BE46">BG46*3+BH46+IF($AZ$3="No",0,INDEX($AZ$6:$AZ$97,MATCH(BD46,$AY$6:$AY$97,0)))</f>
        <v>9</v>
      </c>
      <c r="BF46" s="139" cm="1">
        <f t="array" ref="BF46">BG46+BH46+BI46</f>
        <v>3</v>
      </c>
      <c r="BG46" s="139" cm="1">
        <f t="array" ref="BG46">COUNTIFS($AA$4:$AA$97,BD46,$D$4:$D$97,"Local")+COUNTIFS($AF$4:$AF$97,BD46,$D$4:$D$97,"Visitante")</f>
        <v>3</v>
      </c>
      <c r="BH46" s="139" cm="1">
        <f t="array" ref="BH46">COUNTIFS($AA$4:$AA$97,BD46,$D$4:$D$97,"Empate")+COUNTIFS($AF$4:$AF$97,BD46,$D$4:$D$97,"Empate")</f>
        <v>0</v>
      </c>
      <c r="BI46" s="139" cm="1">
        <f t="array" ref="BI46">COUNTIFS($AF$4:$AF$97,BD46,$D$4:$D$97,"Local")+COUNTIFS($AA$4:$AA$97,BD46,$D$4:$D$97,"Visitante")</f>
        <v>0</v>
      </c>
      <c r="BJ46" s="139" cm="1">
        <f t="array" ref="BJ46">SUMIFS($AC$4:$AC$97,$AA$4:$AA$97,BD46,$D$4:$D$97,"&lt;&gt;"&amp;"Pendiente",$AC$4:$AC$97,"&lt;&gt;"&amp;"",$AD$4:$AD$97,"&lt;&gt;"&amp;"")+SUMIFS($AD$4:$AD$97,$AF$4:$AF$97,BD46,$D$4:$D$97,"&lt;&gt;"&amp;"Pendiente",$AC$4:$AC$97,"&lt;&gt;"&amp;"",$AD$4:$AD$97,"&lt;&gt;"&amp;"")</f>
        <v>10</v>
      </c>
      <c r="BK46" s="139" cm="1">
        <f t="array" ref="BK46">SUMIFS($AC$4:$AC$97,$AF$4:$AF$97,BD46,$D$4:$D$97,"&lt;&gt;"&amp;"Pendiente",$AC$4:$AC$97,"&lt;&gt;"&amp;"",$AD$4:$AD$97,"&lt;&gt;"&amp;"")+SUMIFS($AD$4:$AD$97,$AA$4:$AA$97,BD46,$D$4:$D$97,"&lt;&gt;"&amp;"Pendiente",$AC$4:$AC$97,"&lt;&gt;"&amp;"",$AD$4:$AD$97,"&lt;&gt;"&amp;"")</f>
        <v>1</v>
      </c>
      <c r="BL46" s="139" cm="1">
        <f t="array" ref="BL46">BJ46-BK46</f>
        <v>9</v>
      </c>
      <c r="BM46" s="126" t="str" cm="1">
        <f t="array" ref="BM46">DD46&amp;BC46</f>
        <v>1K</v>
      </c>
      <c r="BN46" s="126" t="str" cm="1">
        <f t="array" ref="BN46">DH46&amp;BC46</f>
        <v>1K</v>
      </c>
      <c r="BO46" s="139" cm="1">
        <f t="array" ref="BO46">IF(AND($AJ$99=144,BF46&gt;=1),1,0)</f>
        <v>0</v>
      </c>
      <c r="BP46" s="139">
        <v>1</v>
      </c>
      <c r="BQ46" s="112" t="s">
        <v>113</v>
      </c>
      <c r="BR46" s="139" cm="1">
        <f t="array" ref="BR46">IF($BQ46="-","-",BE46)</f>
        <v>9</v>
      </c>
      <c r="BS46" s="139">
        <v>1</v>
      </c>
      <c r="BT46" s="112" t="s">
        <v>113</v>
      </c>
      <c r="BU46" s="139" cm="1">
        <f t="array" ref="BU46">IF($BT46="-","-",COUNTIFS($AA$4:$AA$97,$BD46,$D$4:$D$97,"Local",$F$4:$F$97,$BT46)+COUNTIFS($AF$4:$AF$97,$BD46,$D$4:$D$97,"Visitante",$E$4:$E$97,$BT46))</f>
        <v>3</v>
      </c>
      <c r="BV46" s="139" cm="1">
        <f t="array" ref="BV46">IF($BT46="-","-",COUNTIFS($AA$4:$AA$97,$BD46,$D$4:$D$97,"Empate",$F$4:$F$97,$BT46)+COUNTIFS($AF$4:$AF$97,$BD46,$D$4:$D$97,"Empate",$E$4:$E$97,$BT46))</f>
        <v>0</v>
      </c>
      <c r="BW46" s="139" cm="1">
        <f t="array" ref="BW46">IF($BT46="-","-",COUNTIFS($AA$4:$AA$97,$BD46,$D$4:$D$97,"Visitante",$F$4:$F$97,$BT46)+COUNTIFS($AF$4:$AF$97,$BD46,$D$4:$D$97,"Local",$E$4:$E$97,$BT46))</f>
        <v>0</v>
      </c>
      <c r="BX46" s="139" cm="1">
        <f t="array" ref="BX46">IF($BT46="-","-",BU46*3+BV46)</f>
        <v>9</v>
      </c>
      <c r="BY46" s="139">
        <v>1</v>
      </c>
      <c r="BZ46" s="112" t="s">
        <v>113</v>
      </c>
      <c r="CA46" s="139" cm="1">
        <f t="array" ref="CA46">IF($BZ46="-","-",SUMIFS($AC$4:$AC$97,$AA$4:$AA$97,$BD46,$I$4:$I$97,$BZ46)+SUMIFS($AD$4:$AD$97,$AF$4:$AF$97,$BD46,$H$4:$H$97,$BZ46))</f>
        <v>10</v>
      </c>
      <c r="CB46" s="139" cm="1">
        <f t="array" ref="CB46">IF($BZ46="-","-",SUMIFS($AD$4:$AD$97,$AA$4:$AA$97,$BD46,$I$4:$I$97,$BZ46)+SUMIFS($AC$4:$AC$97,$AF$4:$AF$97,$BD46,$H$4:$H$97,$BZ46))</f>
        <v>1</v>
      </c>
      <c r="CC46" s="139" cm="1">
        <f t="array" ref="CC46">IF($BZ46="-","-",CA46-CB46)</f>
        <v>9</v>
      </c>
      <c r="CD46" s="139">
        <v>1</v>
      </c>
      <c r="CE46" s="112" t="s">
        <v>113</v>
      </c>
      <c r="CF46" s="139" cm="1">
        <f t="array" ref="CF46">IF($CE46="-","-",SUMIFS($AC$4:$AC$97,$AA$4:$AA$97,$BD46,$L$4:$L$97,$CE46)+SUMIFS($AD$4:$AD$97,$AF$4:$AF$97,$BD46,$K$4:$K$97,$CE46))</f>
        <v>10</v>
      </c>
      <c r="CG46" s="139">
        <v>1</v>
      </c>
      <c r="CH46" s="112" t="s">
        <v>113</v>
      </c>
      <c r="CI46" s="139" cm="1">
        <f t="array" ref="CI46">IF($CH46="-","-",COUNTIFS($AA$4:$AA$97,$BD46,$D$4:$D$97,"Local",$O$4:$O$97,$CH46)+COUNTIFS($AF$4:$AF$97,$BD46,$D$4:$D$97,"Visitante",$N$4:$N$97,$CH46))</f>
        <v>3</v>
      </c>
      <c r="CJ46" s="139" cm="1">
        <f t="array" ref="CJ46">IF($CH46="-","-",COUNTIFS($AA$4:$AA$97,$BD46,$D$4:$D$97,"Empate",$O$4:$O$97,$CH46)+COUNTIFS($AF$4:$AF$97,$BD46,$D$4:$D$97,"Empate",$N$4:$N$97,$CH46))</f>
        <v>0</v>
      </c>
      <c r="CK46" s="139" cm="1">
        <f t="array" ref="CK46">IF($CH46="-","-",COUNTIFS($AA$4:$AA$97,$BD46,$D$4:$D$97,"Visitante",$O$4:$O$97,$CH46)+COUNTIFS($AF$4:$AF$97,$BD46,$D$4:$D$97,"Local",$N$4:$N$97,$CH46))</f>
        <v>0</v>
      </c>
      <c r="CL46" s="139" cm="1">
        <f t="array" ref="CL46">IF($CH46="-","-",CI46*3+CJ46)</f>
        <v>9</v>
      </c>
      <c r="CM46" s="139">
        <v>1</v>
      </c>
      <c r="CN46" s="112" t="s">
        <v>113</v>
      </c>
      <c r="CO46" s="139" cm="1">
        <f t="array" ref="CO46">IF($CN46="-","-",SUMIFS($AC$4:$AC$97,$AA$4:$AA$97,$BD46,$R$4:$R$97,$CN46)+SUMIFS($AD$4:$AD$97,$AF$4:$AF$97,$BD46,$Q$4:$Q$97,$CN46))</f>
        <v>10</v>
      </c>
      <c r="CP46" s="139" cm="1">
        <f t="array" ref="CP46">IF($CN46="-","-",SUMIFS($AD$4:$AD$97,$AA$4:$AA$97,$BD46,$R$4:$R$97,$CN46)+SUMIFS($AC$4:$AC$97,$AF$4:$AF$97,$BD46,$Q$4:$Q$97,$CN46))</f>
        <v>1</v>
      </c>
      <c r="CQ46" s="139" cm="1">
        <f t="array" ref="CQ46">IF($CN46="-","-",CO46-CP46)</f>
        <v>9</v>
      </c>
      <c r="CR46" s="139">
        <v>1</v>
      </c>
      <c r="CS46" s="112" t="s">
        <v>113</v>
      </c>
      <c r="CT46" s="139" cm="1">
        <f t="array" ref="CT46">IF($CS46="-","-",SUMIFS($AC$4:$AC$97,$AA$4:$AA$97,$BD46,$U$4:$U$97,$CS46)+SUMIFS($AD$4:$AD$97,$AF$4:$AF$97,$BD46,$T$4:$T$97,$CS46))</f>
        <v>10</v>
      </c>
      <c r="CU46" s="139">
        <v>1</v>
      </c>
      <c r="CV46" s="112" t="s">
        <v>113</v>
      </c>
      <c r="CW46" s="139" cm="1">
        <f t="array" ref="CW46">IF(CV46="-","-",BL46)</f>
        <v>9</v>
      </c>
      <c r="CX46" s="139">
        <v>1</v>
      </c>
      <c r="CY46" s="112" t="s">
        <v>113</v>
      </c>
      <c r="CZ46" s="139" cm="1">
        <f t="array" ref="CZ46">IF(CY46="-","-",BJ46)</f>
        <v>10</v>
      </c>
      <c r="DA46" s="139">
        <v>1</v>
      </c>
      <c r="DB46" s="112" t="s">
        <v>113</v>
      </c>
      <c r="DC46" s="139">
        <v>1</v>
      </c>
      <c r="DD46" s="139">
        <v>1</v>
      </c>
      <c r="DE46" s="126"/>
      <c r="DF46" s="139" cm="1">
        <f t="array" ref="DF46">IF(OR(INDEX($AW$6:$AW$97,MATCH($BD46,$AV$6:$AV$97,0))="",DB46="-"),DD46,INDEX($AW$6:$AW$97,MATCH($BD46,$AV$6:$AV$97,0))+DD46/1000)</f>
        <v>1</v>
      </c>
      <c r="DG46" s="139">
        <v>0</v>
      </c>
      <c r="DH46" s="139">
        <v>1</v>
      </c>
      <c r="DI46" s="126"/>
      <c r="DJ46" s="139" cm="1">
        <f t="array" ref="DJ46">INDEX($DA$6:$DA$53,MATCH($DQ46,$BD$6:$BD$53,0))</f>
        <v>1</v>
      </c>
      <c r="DK46" s="139" cm="1">
        <f t="array" ref="DK46">SUMIF($BC$6:$BC$53,BC46,$BF$6:$BF$53)</f>
        <v>12</v>
      </c>
      <c r="DL46" s="139" cm="1">
        <f t="array" ref="DL46">IF(OR(DK46=12,$AJ$99=144),COUNTIFS($DJ$6:$DJ$53,DJ46,$BC$6:$BC$53,BC46),1)</f>
        <v>4</v>
      </c>
      <c r="DM46" s="126" t="str" cm="1">
        <f t="array" ref="DM46">DJ46&amp;"."&amp;DL46</f>
        <v>1.4</v>
      </c>
      <c r="DN46" s="139">
        <v>1</v>
      </c>
      <c r="DO46" s="126"/>
      <c r="DP46" s="112" t="s">
        <v>201</v>
      </c>
      <c r="DQ46" s="126" t="str" cm="1">
        <f t="array" ref="DQ46">INDEX($BD$6:$BD$53,MATCH(DP46,$BM$6:$BM$53,0))</f>
        <v>Portugal</v>
      </c>
      <c r="DR46" s="77"/>
      <c r="DS46" s="77"/>
      <c r="DT46" s="78"/>
      <c r="DU46" s="12"/>
    </row>
    <row r="47" spans="1:125" ht="16" customHeight="1" x14ac:dyDescent="0.2">
      <c r="A47" s="79" t="s">
        <v>161</v>
      </c>
      <c r="B47" s="68"/>
      <c r="C47" s="68"/>
      <c r="D47" s="68" t="str" cm="1">
        <f t="array" ref="D47">IF(OR(AC47="",AD47=""),"Pendiente",IF(AC47&gt;AD47,"Local",IF(AC47&lt;AD47,"Visitante","Empate")))</f>
        <v>Visitante</v>
      </c>
      <c r="E47" s="68" t="str" cm="1">
        <f t="array" ref="E47">IF(D47="Pendiente","-",INDEX($BT$6:$BT$53,MATCH($AA47,$BD$6:$BD$53,0)))</f>
        <v>P.1 (4)</v>
      </c>
      <c r="F47" s="68" t="str" cm="1">
        <f t="array" ref="F47">IF(D47="Pendiente","-",INDEX($BT$6:$BT$53,MATCH($AF47,$BD$6:$BD$53,0)))</f>
        <v>P.1 (4)</v>
      </c>
      <c r="G47" s="68"/>
      <c r="H47" s="68" t="str" cm="1">
        <f t="array" ref="H47">IF(D47="Pendiente","-",INDEX($BZ$6:$BZ$53,MATCH($AA47,$BD$6:$BD$53,0)))</f>
        <v>P.1 (4)</v>
      </c>
      <c r="I47" s="68" t="str" cm="1">
        <f t="array" ref="I47">IF(D47="Pendiente","-",INDEX($BZ$6:$BZ$53,MATCH($AF47,$BD$6:$BD$53,0)))</f>
        <v>P.1 (4)</v>
      </c>
      <c r="J47" s="68"/>
      <c r="K47" s="68" t="str" cm="1">
        <f t="array" ref="K47">IF(D47="Pendiente","-",INDEX($CE$6:$CE$53,MATCH($AA47,$BD$6:$BD$53,0)))</f>
        <v>P.1 (4)</v>
      </c>
      <c r="L47" s="68" t="str" cm="1">
        <f t="array" ref="L47">IF(D47="Pendiente","-",INDEX($CE$6:$CE$53,MATCH($AF47,$BD$6:$BD$53,0)))</f>
        <v>P.1 (4)</v>
      </c>
      <c r="M47" s="68"/>
      <c r="N47" s="68" t="str" cm="1">
        <f t="array" ref="N47">IF(D47="Pendiente","-",INDEX($CH$6:$CH$53,MATCH($AA47,$BD$6:$BD$53,0)))</f>
        <v>P.1 (4)</v>
      </c>
      <c r="O47" s="68" t="str" cm="1">
        <f t="array" ref="O47">IF(D47="Pendiente","-",INDEX($CH$6:$CH$53,MATCH($AF47,$BD$6:$BD$53,0)))</f>
        <v>P.1 (4)</v>
      </c>
      <c r="P47" s="68"/>
      <c r="Q47" s="68" t="str" cm="1">
        <f t="array" ref="Q47">IF(D47="Pendiente","-",INDEX($CN$6:$CN$53,MATCH($AA47,$BD$6:$BD$53,0)))</f>
        <v>P.1 (4)</v>
      </c>
      <c r="R47" s="68" t="str" cm="1">
        <f t="array" ref="R47">IF(D47="Pendiente","-",INDEX($CN$6:$CN$53,MATCH($AF47,$BD$6:$BD$53,0)))</f>
        <v>P.1 (4)</v>
      </c>
      <c r="S47" s="68"/>
      <c r="T47" s="68" t="str" cm="1">
        <f t="array" ref="T47">IF(D47="Pendiente","-",INDEX($CS$6:$CS$53,MATCH($AA47,$BD$6:$BD$53,0)))</f>
        <v>P.1 (4)</v>
      </c>
      <c r="U47" s="68" t="str" cm="1">
        <f t="array" ref="U47">IF(D47="Pendiente","-",INDEX($CS$6:$CS$53,MATCH($AF47,$BD$6:$BD$53,0)))</f>
        <v>P.1 (4)</v>
      </c>
      <c r="V47" s="80"/>
      <c r="W47" s="762"/>
      <c r="X47" s="96">
        <v>46194</v>
      </c>
      <c r="Y47" s="97">
        <v>46194</v>
      </c>
      <c r="Z47" s="113" t="str" cm="1">
        <f t="array" ref="Z47">$Z$6</f>
        <v>J2</v>
      </c>
      <c r="AA47" s="99" t="str" cm="1">
        <f t="array" ref="AA47">A48</f>
        <v>Túnez</v>
      </c>
      <c r="AB47" s="100"/>
      <c r="AC47" s="114">
        <v>0</v>
      </c>
      <c r="AD47" s="114">
        <v>3</v>
      </c>
      <c r="AE47" s="102"/>
      <c r="AF47" s="103" t="str" cm="1">
        <f t="array" ref="AF47">A46</f>
        <v>Japón</v>
      </c>
      <c r="AG47" s="104" cm="1">
        <f t="array" ref="AG47">IF(NOT(OR(ISBLANK(AC47),ISBLANK(AD47))),1,0)</f>
        <v>1</v>
      </c>
      <c r="AH47" s="105">
        <v>36</v>
      </c>
      <c r="AI47" s="106" t="str" cm="1">
        <f t="array" ref="AI47">AJ47&amp;$B$44</f>
        <v>2F</v>
      </c>
      <c r="AJ47" s="140">
        <v>2</v>
      </c>
      <c r="AK47" s="208"/>
      <c r="AL47" s="142" t="str" cm="1">
        <f t="array" ref="AL47">IFERROR(INDEX($BD$6:$BD$53,MATCH(AI47,$BN$6:$BN$53,0)),"")</f>
        <v>Japón</v>
      </c>
      <c r="AM47" s="143" cm="1">
        <f t="array" ref="AM47">INDEX($BE$6:$BN$53,MATCH($AL47,$BD$6:$BD$53,0),MATCH(AM$5,$BE$5:$BN$5,0))</f>
        <v>6</v>
      </c>
      <c r="AN47" s="144" cm="1">
        <f t="array" ref="AN47">INDEX($BE$6:$BN$53,MATCH($AL47,$BD$6:$BD$53,0),MATCH(AN$5,$BE$5:$BN$5,0))</f>
        <v>3</v>
      </c>
      <c r="AO47" s="144" cm="1">
        <f t="array" ref="AO47">INDEX($BE$6:$BN$53,MATCH($AL47,$BD$6:$BD$53,0),MATCH(AO$5,$BE$5:$BN$5,0))</f>
        <v>2</v>
      </c>
      <c r="AP47" s="144" cm="1">
        <f t="array" ref="AP47">INDEX($BE$6:$BN$53,MATCH($AL47,$BD$6:$BD$53,0),MATCH(AP$5,$BE$5:$BN$5,0))</f>
        <v>0</v>
      </c>
      <c r="AQ47" s="144" cm="1">
        <f t="array" ref="AQ47">INDEX($BE$6:$BN$53,MATCH($AL47,$BD$6:$BD$53,0),MATCH(AQ$5,$BE$5:$BN$5,0))</f>
        <v>1</v>
      </c>
      <c r="AR47" s="144" cm="1">
        <f t="array" ref="AR47">INDEX($BE$6:$BN$53,MATCH($AL47,$BD$6:$BD$53,0),MATCH(AR$5,$BE$5:$BN$5,0))</f>
        <v>6</v>
      </c>
      <c r="AS47" s="144" cm="1">
        <f t="array" ref="AS47">INDEX($BE$6:$BN$53,MATCH($AL47,$BD$6:$BD$53,0),MATCH(AS$5,$BE$5:$BN$5,0))</f>
        <v>4</v>
      </c>
      <c r="AT47" s="145" cm="1">
        <f t="array" ref="AT47">INDEX($BE$6:$BN$53,MATCH($AL47,$BD$6:$BD$53,0),MATCH(AT$5,$BE$5:$BN$5,0))</f>
        <v>2</v>
      </c>
      <c r="AU47" s="133" cm="1">
        <f t="array" ref="AU47">INDEX($DL$6:$DL$53,MATCH(AI47,$DP$6:$DP$53,0))</f>
        <v>4</v>
      </c>
      <c r="AV47" s="134" t="str" cm="1">
        <f t="array" ref="AV47">INDEX($BD$6:$BD$53,MATCH(AI47,$BM$6:$BM$53,0))</f>
        <v>Japón</v>
      </c>
      <c r="AW47" s="135"/>
      <c r="AX47" s="136"/>
      <c r="AY47" s="146" t="str" cm="1">
        <f t="array" ref="AY47">A46</f>
        <v>Japón</v>
      </c>
      <c r="AZ47" s="147"/>
      <c r="BA47" s="125"/>
      <c r="BB47" s="77"/>
      <c r="BC47" s="112" t="s">
        <v>199</v>
      </c>
      <c r="BD47" s="112" t="s">
        <v>202</v>
      </c>
      <c r="BE47" s="139" cm="1">
        <f t="array" ref="BE47">BG47*3+BH47+IF($AZ$3="No",0,INDEX($AZ$6:$AZ$97,MATCH(BD47,$AY$6:$AY$97,0)))</f>
        <v>3</v>
      </c>
      <c r="BF47" s="139" cm="1">
        <f t="array" ref="BF47">BG47+BH47+BI47</f>
        <v>3</v>
      </c>
      <c r="BG47" s="139" cm="1">
        <f t="array" ref="BG47">COUNTIFS($AA$4:$AA$97,BD47,$D$4:$D$97,"Local")+COUNTIFS($AF$4:$AF$97,BD47,$D$4:$D$97,"Visitante")</f>
        <v>1</v>
      </c>
      <c r="BH47" s="139" cm="1">
        <f t="array" ref="BH47">COUNTIFS($AA$4:$AA$97,BD47,$D$4:$D$97,"Empate")+COUNTIFS($AF$4:$AF$97,BD47,$D$4:$D$97,"Empate")</f>
        <v>0</v>
      </c>
      <c r="BI47" s="139" cm="1">
        <f t="array" ref="BI47">COUNTIFS($AF$4:$AF$97,BD47,$D$4:$D$97,"Local")+COUNTIFS($AA$4:$AA$97,BD47,$D$4:$D$97,"Visitante")</f>
        <v>2</v>
      </c>
      <c r="BJ47" s="139" cm="1">
        <f t="array" ref="BJ47">SUMIFS($AC$4:$AC$97,$AA$4:$AA$97,BD47,$D$4:$D$97,"&lt;&gt;"&amp;"Pendiente",$AC$4:$AC$97,"&lt;&gt;"&amp;"",$AD$4:$AD$97,"&lt;&gt;"&amp;"")+SUMIFS($AD$4:$AD$97,$AF$4:$AF$97,BD47,$D$4:$D$97,"&lt;&gt;"&amp;"Pendiente",$AC$4:$AC$97,"&lt;&gt;"&amp;"",$AD$4:$AD$97,"&lt;&gt;"&amp;"")</f>
        <v>2</v>
      </c>
      <c r="BK47" s="139" cm="1">
        <f t="array" ref="BK47">SUMIFS($AC$4:$AC$97,$AF$4:$AF$97,BD47,$D$4:$D$97,"&lt;&gt;"&amp;"Pendiente",$AC$4:$AC$97,"&lt;&gt;"&amp;"",$AD$4:$AD$97,"&lt;&gt;"&amp;"")+SUMIFS($AD$4:$AD$97,$AA$4:$AA$97,BD47,$D$4:$D$97,"&lt;&gt;"&amp;"Pendiente",$AC$4:$AC$97,"&lt;&gt;"&amp;"",$AD$4:$AD$97,"&lt;&gt;"&amp;"")</f>
        <v>6</v>
      </c>
      <c r="BL47" s="139" cm="1">
        <f t="array" ref="BL47">BJ47-BK47</f>
        <v>-4</v>
      </c>
      <c r="BM47" s="126" t="str" cm="1">
        <f t="array" ref="BM47">DD47&amp;BC47</f>
        <v>2K</v>
      </c>
      <c r="BN47" s="126" t="str" cm="1">
        <f t="array" ref="BN47">DH47&amp;BC47</f>
        <v>2K</v>
      </c>
      <c r="BO47" s="139" cm="1">
        <f t="array" ref="BO47">IF(AND($AJ$99=144,BF47&gt;=1),1,0)</f>
        <v>0</v>
      </c>
      <c r="BP47" s="139">
        <v>1</v>
      </c>
      <c r="BQ47" s="112" t="s">
        <v>113</v>
      </c>
      <c r="BR47" s="139" cm="1">
        <f t="array" ref="BR47">IF($BQ47="-","-",BE47)</f>
        <v>3</v>
      </c>
      <c r="BS47" s="139">
        <v>1</v>
      </c>
      <c r="BT47" s="112" t="s">
        <v>113</v>
      </c>
      <c r="BU47" s="139" cm="1">
        <f t="array" ref="BU47">IF($BT47="-","-",COUNTIFS($AA$4:$AA$97,$BD47,$D$4:$D$97,"Local",$F$4:$F$97,$BT47)+COUNTIFS($AF$4:$AF$97,$BD47,$D$4:$D$97,"Visitante",$E$4:$E$97,$BT47))</f>
        <v>1</v>
      </c>
      <c r="BV47" s="139" cm="1">
        <f t="array" ref="BV47">IF($BT47="-","-",COUNTIFS($AA$4:$AA$97,$BD47,$D$4:$D$97,"Empate",$F$4:$F$97,$BT47)+COUNTIFS($AF$4:$AF$97,$BD47,$D$4:$D$97,"Empate",$E$4:$E$97,$BT47))</f>
        <v>0</v>
      </c>
      <c r="BW47" s="139" cm="1">
        <f t="array" ref="BW47">IF($BT47="-","-",COUNTIFS($AA$4:$AA$97,$BD47,$D$4:$D$97,"Visitante",$F$4:$F$97,$BT47)+COUNTIFS($AF$4:$AF$97,$BD47,$D$4:$D$97,"Local",$E$4:$E$97,$BT47))</f>
        <v>2</v>
      </c>
      <c r="BX47" s="139" cm="1">
        <f t="array" ref="BX47">IF($BT47="-","-",BU47*3+BV47)</f>
        <v>3</v>
      </c>
      <c r="BY47" s="139">
        <v>1</v>
      </c>
      <c r="BZ47" s="112" t="s">
        <v>113</v>
      </c>
      <c r="CA47" s="139" cm="1">
        <f t="array" ref="CA47">IF($BZ47="-","-",SUMIFS($AC$4:$AC$97,$AA$4:$AA$97,$BD47,$I$4:$I$97,$BZ47)+SUMIFS($AD$4:$AD$97,$AF$4:$AF$97,$BD47,$H$4:$H$97,$BZ47))</f>
        <v>2</v>
      </c>
      <c r="CB47" s="139" cm="1">
        <f t="array" ref="CB47">IF($BZ47="-","-",SUMIFS($AD$4:$AD$97,$AA$4:$AA$97,$BD47,$I$4:$I$97,$BZ47)+SUMIFS($AC$4:$AC$97,$AF$4:$AF$97,$BD47,$H$4:$H$97,$BZ47))</f>
        <v>6</v>
      </c>
      <c r="CC47" s="139" cm="1">
        <f t="array" ref="CC47">IF($BZ47="-","-",CA47-CB47)</f>
        <v>-4</v>
      </c>
      <c r="CD47" s="139">
        <v>1</v>
      </c>
      <c r="CE47" s="112" t="s">
        <v>113</v>
      </c>
      <c r="CF47" s="139" cm="1">
        <f t="array" ref="CF47">IF($CE47="-","-",SUMIFS($AC$4:$AC$97,$AA$4:$AA$97,$BD47,$L$4:$L$97,$CE47)+SUMIFS($AD$4:$AD$97,$AF$4:$AF$97,$BD47,$K$4:$K$97,$CE47))</f>
        <v>2</v>
      </c>
      <c r="CG47" s="139">
        <v>1</v>
      </c>
      <c r="CH47" s="112" t="s">
        <v>113</v>
      </c>
      <c r="CI47" s="139" cm="1">
        <f t="array" ref="CI47">IF($CH47="-","-",COUNTIFS($AA$4:$AA$97,$BD47,$D$4:$D$97,"Local",$O$4:$O$97,$CH47)+COUNTIFS($AF$4:$AF$97,$BD47,$D$4:$D$97,"Visitante",$N$4:$N$97,$CH47))</f>
        <v>1</v>
      </c>
      <c r="CJ47" s="139" cm="1">
        <f t="array" ref="CJ47">IF($CH47="-","-",COUNTIFS($AA$4:$AA$97,$BD47,$D$4:$D$97,"Empate",$O$4:$O$97,$CH47)+COUNTIFS($AF$4:$AF$97,$BD47,$D$4:$D$97,"Empate",$N$4:$N$97,$CH47))</f>
        <v>0</v>
      </c>
      <c r="CK47" s="139" cm="1">
        <f t="array" ref="CK47">IF($CH47="-","-",COUNTIFS($AA$4:$AA$97,$BD47,$D$4:$D$97,"Visitante",$O$4:$O$97,$CH47)+COUNTIFS($AF$4:$AF$97,$BD47,$D$4:$D$97,"Local",$N$4:$N$97,$CH47))</f>
        <v>2</v>
      </c>
      <c r="CL47" s="139" cm="1">
        <f t="array" ref="CL47">IF($CH47="-","-",CI47*3+CJ47)</f>
        <v>3</v>
      </c>
      <c r="CM47" s="139">
        <v>1</v>
      </c>
      <c r="CN47" s="112" t="s">
        <v>113</v>
      </c>
      <c r="CO47" s="139" cm="1">
        <f t="array" ref="CO47">IF($CN47="-","-",SUMIFS($AC$4:$AC$97,$AA$4:$AA$97,$BD47,$R$4:$R$97,$CN47)+SUMIFS($AD$4:$AD$97,$AF$4:$AF$97,$BD47,$Q$4:$Q$97,$CN47))</f>
        <v>2</v>
      </c>
      <c r="CP47" s="139" cm="1">
        <f t="array" ref="CP47">IF($CN47="-","-",SUMIFS($AD$4:$AD$97,$AA$4:$AA$97,$BD47,$R$4:$R$97,$CN47)+SUMIFS($AC$4:$AC$97,$AF$4:$AF$97,$BD47,$Q$4:$Q$97,$CN47))</f>
        <v>6</v>
      </c>
      <c r="CQ47" s="139" cm="1">
        <f t="array" ref="CQ47">IF($CN47="-","-",CO47-CP47)</f>
        <v>-4</v>
      </c>
      <c r="CR47" s="139">
        <v>1</v>
      </c>
      <c r="CS47" s="112" t="s">
        <v>113</v>
      </c>
      <c r="CT47" s="139" cm="1">
        <f t="array" ref="CT47">IF($CS47="-","-",SUMIFS($AC$4:$AC$97,$AA$4:$AA$97,$BD47,$U$4:$U$97,$CS47)+SUMIFS($AD$4:$AD$97,$AF$4:$AF$97,$BD47,$T$4:$T$97,$CS47))</f>
        <v>2</v>
      </c>
      <c r="CU47" s="139">
        <v>1</v>
      </c>
      <c r="CV47" s="112" t="s">
        <v>113</v>
      </c>
      <c r="CW47" s="139" cm="1">
        <f t="array" ref="CW47">IF(CV47="-","-",BL47)</f>
        <v>-4</v>
      </c>
      <c r="CX47" s="139">
        <v>1</v>
      </c>
      <c r="CY47" s="112" t="s">
        <v>113</v>
      </c>
      <c r="CZ47" s="139" cm="1">
        <f t="array" ref="CZ47">IF(CY47="-","-",BJ47)</f>
        <v>2</v>
      </c>
      <c r="DA47" s="139">
        <v>1</v>
      </c>
      <c r="DB47" s="112" t="s">
        <v>113</v>
      </c>
      <c r="DC47" s="139">
        <v>2</v>
      </c>
      <c r="DD47" s="139">
        <v>2</v>
      </c>
      <c r="DE47" s="126"/>
      <c r="DF47" s="139" cm="1">
        <f t="array" ref="DF47">IF(OR(INDEX($AW$6:$AW$97,MATCH($BD47,$AV$6:$AV$97,0))="",DB47="-"),DD47,INDEX($AW$6:$AW$97,MATCH($BD47,$AV$6:$AV$97,0))+DD47/1000)</f>
        <v>2</v>
      </c>
      <c r="DG47" s="139">
        <v>1</v>
      </c>
      <c r="DH47" s="139">
        <v>2</v>
      </c>
      <c r="DI47" s="126"/>
      <c r="DJ47" s="139" cm="1">
        <f t="array" ref="DJ47">INDEX($DA$6:$DA$53,MATCH($DQ47,$BD$6:$BD$53,0))</f>
        <v>1</v>
      </c>
      <c r="DK47" s="139" cm="1">
        <f t="array" ref="DK47">SUMIF($BC$6:$BC$53,BC47,$BF$6:$BF$53)</f>
        <v>12</v>
      </c>
      <c r="DL47" s="139" cm="1">
        <f t="array" ref="DL47">IF(OR(DK47=12,$AJ$99=144),COUNTIFS($DJ$6:$DJ$53,DJ47,$BC$6:$BC$53,BC47),1)</f>
        <v>4</v>
      </c>
      <c r="DM47" s="126" t="str" cm="1">
        <f t="array" ref="DM47">DJ47&amp;"."&amp;DL47</f>
        <v>1.4</v>
      </c>
      <c r="DN47" s="139">
        <v>1</v>
      </c>
      <c r="DO47" s="126"/>
      <c r="DP47" s="112" t="s">
        <v>203</v>
      </c>
      <c r="DQ47" s="126" t="str" cm="1">
        <f t="array" ref="DQ47">INDEX($BD$6:$BD$53,MATCH(DP47,$BM$6:$BM$53,0))</f>
        <v>RD Congo</v>
      </c>
      <c r="DR47" s="77"/>
      <c r="DS47" s="77"/>
      <c r="DT47" s="78"/>
      <c r="DU47" s="12"/>
    </row>
    <row r="48" spans="1:125" ht="16" customHeight="1" x14ac:dyDescent="0.2">
      <c r="A48" s="79" t="s">
        <v>163</v>
      </c>
      <c r="B48" s="68"/>
      <c r="C48" s="68"/>
      <c r="D48" s="68" t="str" cm="1">
        <f t="array" ref="D48">IF(OR(AC48="",AD48=""),"Pendiente",IF(AC48&gt;AD48,"Local",IF(AC48&lt;AD48,"Visitante","Empate")))</f>
        <v>Local</v>
      </c>
      <c r="E48" s="68" t="str" cm="1">
        <f t="array" ref="E48">IF(D48="Pendiente","-",INDEX($BT$6:$BT$53,MATCH($AA48,$BD$6:$BD$53,0)))</f>
        <v>P.1 (4)</v>
      </c>
      <c r="F48" s="68" t="str" cm="1">
        <f t="array" ref="F48">IF(D48="Pendiente","-",INDEX($BT$6:$BT$53,MATCH($AF48,$BD$6:$BD$53,0)))</f>
        <v>P.1 (4)</v>
      </c>
      <c r="G48" s="68"/>
      <c r="H48" s="68" t="str" cm="1">
        <f t="array" ref="H48">IF(D48="Pendiente","-",INDEX($BZ$6:$BZ$53,MATCH($AA48,$BD$6:$BD$53,0)))</f>
        <v>P.1 (4)</v>
      </c>
      <c r="I48" s="68" t="str" cm="1">
        <f t="array" ref="I48">IF(D48="Pendiente","-",INDEX($BZ$6:$BZ$53,MATCH($AF48,$BD$6:$BD$53,0)))</f>
        <v>P.1 (4)</v>
      </c>
      <c r="J48" s="68"/>
      <c r="K48" s="68" t="str" cm="1">
        <f t="array" ref="K48">IF(D48="Pendiente","-",INDEX($CE$6:$CE$53,MATCH($AA48,$BD$6:$BD$53,0)))</f>
        <v>P.1 (4)</v>
      </c>
      <c r="L48" s="68" t="str" cm="1">
        <f t="array" ref="L48">IF(D48="Pendiente","-",INDEX($CE$6:$CE$53,MATCH($AF48,$BD$6:$BD$53,0)))</f>
        <v>P.1 (4)</v>
      </c>
      <c r="M48" s="68"/>
      <c r="N48" s="68" t="str" cm="1">
        <f t="array" ref="N48">IF(D48="Pendiente","-",INDEX($CH$6:$CH$53,MATCH($AA48,$BD$6:$BD$53,0)))</f>
        <v>P.1 (4)</v>
      </c>
      <c r="O48" s="68" t="str" cm="1">
        <f t="array" ref="O48">IF(D48="Pendiente","-",INDEX($CH$6:$CH$53,MATCH($AF48,$BD$6:$BD$53,0)))</f>
        <v>P.1 (4)</v>
      </c>
      <c r="P48" s="68"/>
      <c r="Q48" s="68" t="str" cm="1">
        <f t="array" ref="Q48">IF(D48="Pendiente","-",INDEX($CN$6:$CN$53,MATCH($AA48,$BD$6:$BD$53,0)))</f>
        <v>P.1 (4)</v>
      </c>
      <c r="R48" s="68" t="str" cm="1">
        <f t="array" ref="R48">IF(D48="Pendiente","-",INDEX($CN$6:$CN$53,MATCH($AF48,$BD$6:$BD$53,0)))</f>
        <v>P.1 (4)</v>
      </c>
      <c r="S48" s="68"/>
      <c r="T48" s="68" t="str" cm="1">
        <f t="array" ref="T48">IF(D48="Pendiente","-",INDEX($CS$6:$CS$53,MATCH($AA48,$BD$6:$BD$53,0)))</f>
        <v>P.1 (4)</v>
      </c>
      <c r="U48" s="68" t="str" cm="1">
        <f t="array" ref="U48">IF(D48="Pendiente","-",INDEX($CS$6:$CS$53,MATCH($AF48,$BD$6:$BD$53,0)))</f>
        <v>P.1 (4)</v>
      </c>
      <c r="V48" s="80"/>
      <c r="W48" s="762"/>
      <c r="X48" s="96">
        <v>46198.791666666657</v>
      </c>
      <c r="Y48" s="97">
        <v>46198.791666666657</v>
      </c>
      <c r="Z48" s="113" t="str" cm="1">
        <f t="array" ref="Z48">$Z$8</f>
        <v>J3</v>
      </c>
      <c r="AA48" s="99" t="str" cm="1">
        <f t="array" ref="AA48">A46</f>
        <v>Japón</v>
      </c>
      <c r="AB48" s="100"/>
      <c r="AC48" s="114">
        <v>2</v>
      </c>
      <c r="AD48" s="114">
        <v>1</v>
      </c>
      <c r="AE48" s="102"/>
      <c r="AF48" s="103" t="str" cm="1">
        <f t="array" ref="AF48">A47</f>
        <v>Suecia</v>
      </c>
      <c r="AG48" s="104" cm="1">
        <f t="array" ref="AG48">IF(NOT(OR(ISBLANK(AC48),ISBLANK(AD48))),1,0)</f>
        <v>1</v>
      </c>
      <c r="AH48" s="105">
        <v>57</v>
      </c>
      <c r="AI48" s="106" t="str" cm="1">
        <f t="array" ref="AI48">AJ48&amp;$B$44</f>
        <v>3F</v>
      </c>
      <c r="AJ48" s="140">
        <v>3</v>
      </c>
      <c r="AK48" s="208"/>
      <c r="AL48" s="142" t="str" cm="1">
        <f t="array" ref="AL48">IFERROR(INDEX($BD$6:$BD$53,MATCH(AI48,$BN$6:$BN$53,0)),"")</f>
        <v>Suecia</v>
      </c>
      <c r="AM48" s="143" cm="1">
        <f t="array" ref="AM48">INDEX($BE$6:$BN$53,MATCH($AL48,$BD$6:$BD$53,0),MATCH(AM$5,$BE$5:$BN$5,0))</f>
        <v>3</v>
      </c>
      <c r="AN48" s="144" cm="1">
        <f t="array" ref="AN48">INDEX($BE$6:$BN$53,MATCH($AL48,$BD$6:$BD$53,0),MATCH(AN$5,$BE$5:$BN$5,0))</f>
        <v>3</v>
      </c>
      <c r="AO48" s="144" cm="1">
        <f t="array" ref="AO48">INDEX($BE$6:$BN$53,MATCH($AL48,$BD$6:$BD$53,0),MATCH(AO$5,$BE$5:$BN$5,0))</f>
        <v>1</v>
      </c>
      <c r="AP48" s="144" cm="1">
        <f t="array" ref="AP48">INDEX($BE$6:$BN$53,MATCH($AL48,$BD$6:$BD$53,0),MATCH(AP$5,$BE$5:$BN$5,0))</f>
        <v>0</v>
      </c>
      <c r="AQ48" s="144" cm="1">
        <f t="array" ref="AQ48">INDEX($BE$6:$BN$53,MATCH($AL48,$BD$6:$BD$53,0),MATCH(AQ$5,$BE$5:$BN$5,0))</f>
        <v>2</v>
      </c>
      <c r="AR48" s="144" cm="1">
        <f t="array" ref="AR48">INDEX($BE$6:$BN$53,MATCH($AL48,$BD$6:$BD$53,0),MATCH(AR$5,$BE$5:$BN$5,0))</f>
        <v>6</v>
      </c>
      <c r="AS48" s="144" cm="1">
        <f t="array" ref="AS48">INDEX($BE$6:$BN$53,MATCH($AL48,$BD$6:$BD$53,0),MATCH(AS$5,$BE$5:$BN$5,0))</f>
        <v>4</v>
      </c>
      <c r="AT48" s="145" cm="1">
        <f t="array" ref="AT48">INDEX($BE$6:$BN$53,MATCH($AL48,$BD$6:$BD$53,0),MATCH(AT$5,$BE$5:$BN$5,0))</f>
        <v>2</v>
      </c>
      <c r="AU48" s="133" cm="1">
        <f t="array" ref="AU48">INDEX($DL$6:$DL$53,MATCH(AI48,$DP$6:$DP$53,0))</f>
        <v>4</v>
      </c>
      <c r="AV48" s="134" t="str" cm="1">
        <f t="array" ref="AV48">INDEX($BD$6:$BD$53,MATCH(AI48,$BM$6:$BM$53,0))</f>
        <v>Suecia</v>
      </c>
      <c r="AW48" s="135"/>
      <c r="AX48" s="136"/>
      <c r="AY48" s="137" t="str" cm="1">
        <f t="array" ref="AY48">A47</f>
        <v>Suecia</v>
      </c>
      <c r="AZ48" s="138"/>
      <c r="BA48" s="125"/>
      <c r="BB48" s="77"/>
      <c r="BC48" s="112" t="s">
        <v>199</v>
      </c>
      <c r="BD48" s="112" t="s">
        <v>204</v>
      </c>
      <c r="BE48" s="139" cm="1">
        <f t="array" ref="BE48">BG48*3+BH48+IF($AZ$3="No",0,INDEX($AZ$6:$AZ$97,MATCH(BD48,$AY$6:$AY$97,0)))</f>
        <v>0</v>
      </c>
      <c r="BF48" s="139" cm="1">
        <f t="array" ref="BF48">BG48+BH48+BI48</f>
        <v>3</v>
      </c>
      <c r="BG48" s="139" cm="1">
        <f t="array" ref="BG48">COUNTIFS($AA$4:$AA$97,BD48,$D$4:$D$97,"Local")+COUNTIFS($AF$4:$AF$97,BD48,$D$4:$D$97,"Visitante")</f>
        <v>0</v>
      </c>
      <c r="BH48" s="139" cm="1">
        <f t="array" ref="BH48">COUNTIFS($AA$4:$AA$97,BD48,$D$4:$D$97,"Empate")+COUNTIFS($AF$4:$AF$97,BD48,$D$4:$D$97,"Empate")</f>
        <v>0</v>
      </c>
      <c r="BI48" s="139" cm="1">
        <f t="array" ref="BI48">COUNTIFS($AF$4:$AF$97,BD48,$D$4:$D$97,"Local")+COUNTIFS($AA$4:$AA$97,BD48,$D$4:$D$97,"Visitante")</f>
        <v>3</v>
      </c>
      <c r="BJ48" s="139" cm="1">
        <f t="array" ref="BJ48">SUMIFS($AC$4:$AC$97,$AA$4:$AA$97,BD48,$D$4:$D$97,"&lt;&gt;"&amp;"Pendiente",$AC$4:$AC$97,"&lt;&gt;"&amp;"",$AD$4:$AD$97,"&lt;&gt;"&amp;"")+SUMIFS($AD$4:$AD$97,$AF$4:$AF$97,BD48,$D$4:$D$97,"&lt;&gt;"&amp;"Pendiente",$AC$4:$AC$97,"&lt;&gt;"&amp;"",$AD$4:$AD$97,"&lt;&gt;"&amp;"")</f>
        <v>0</v>
      </c>
      <c r="BK48" s="139" cm="1">
        <f t="array" ref="BK48">SUMIFS($AC$4:$AC$97,$AF$4:$AF$97,BD48,$D$4:$D$97,"&lt;&gt;"&amp;"Pendiente",$AC$4:$AC$97,"&lt;&gt;"&amp;"",$AD$4:$AD$97,"&lt;&gt;"&amp;"")+SUMIFS($AD$4:$AD$97,$AA$4:$AA$97,BD48,$D$4:$D$97,"&lt;&gt;"&amp;"Pendiente",$AC$4:$AC$97,"&lt;&gt;"&amp;"",$AD$4:$AD$97,"&lt;&gt;"&amp;"")</f>
        <v>8</v>
      </c>
      <c r="BL48" s="139" cm="1">
        <f t="array" ref="BL48">BJ48-BK48</f>
        <v>-8</v>
      </c>
      <c r="BM48" s="126" t="str" cm="1">
        <f t="array" ref="BM48">DD48&amp;BC48</f>
        <v>3K</v>
      </c>
      <c r="BN48" s="126" t="str" cm="1">
        <f t="array" ref="BN48">DH48&amp;BC48</f>
        <v>3K</v>
      </c>
      <c r="BO48" s="139" cm="1">
        <f t="array" ref="BO48">IF(AND($AJ$99=144,BF48&gt;=1),1,0)</f>
        <v>0</v>
      </c>
      <c r="BP48" s="139">
        <v>1</v>
      </c>
      <c r="BQ48" s="112" t="s">
        <v>113</v>
      </c>
      <c r="BR48" s="139" cm="1">
        <f t="array" ref="BR48">IF($BQ48="-","-",BE48)</f>
        <v>0</v>
      </c>
      <c r="BS48" s="139">
        <v>1</v>
      </c>
      <c r="BT48" s="112" t="s">
        <v>113</v>
      </c>
      <c r="BU48" s="139" cm="1">
        <f t="array" ref="BU48">IF($BT48="-","-",COUNTIFS($AA$4:$AA$97,$BD48,$D$4:$D$97,"Local",$F$4:$F$97,$BT48)+COUNTIFS($AF$4:$AF$97,$BD48,$D$4:$D$97,"Visitante",$E$4:$E$97,$BT48))</f>
        <v>0</v>
      </c>
      <c r="BV48" s="139" cm="1">
        <f t="array" ref="BV48">IF($BT48="-","-",COUNTIFS($AA$4:$AA$97,$BD48,$D$4:$D$97,"Empate",$F$4:$F$97,$BT48)+COUNTIFS($AF$4:$AF$97,$BD48,$D$4:$D$97,"Empate",$E$4:$E$97,$BT48))</f>
        <v>0</v>
      </c>
      <c r="BW48" s="139" cm="1">
        <f t="array" ref="BW48">IF($BT48="-","-",COUNTIFS($AA$4:$AA$97,$BD48,$D$4:$D$97,"Visitante",$F$4:$F$97,$BT48)+COUNTIFS($AF$4:$AF$97,$BD48,$D$4:$D$97,"Local",$E$4:$E$97,$BT48))</f>
        <v>3</v>
      </c>
      <c r="BX48" s="139" cm="1">
        <f t="array" ref="BX48">IF($BT48="-","-",BU48*3+BV48)</f>
        <v>0</v>
      </c>
      <c r="BY48" s="139">
        <v>1</v>
      </c>
      <c r="BZ48" s="112" t="s">
        <v>113</v>
      </c>
      <c r="CA48" s="139" cm="1">
        <f t="array" ref="CA48">IF($BZ48="-","-",SUMIFS($AC$4:$AC$97,$AA$4:$AA$97,$BD48,$I$4:$I$97,$BZ48)+SUMIFS($AD$4:$AD$97,$AF$4:$AF$97,$BD48,$H$4:$H$97,$BZ48))</f>
        <v>0</v>
      </c>
      <c r="CB48" s="139" cm="1">
        <f t="array" ref="CB48">IF($BZ48="-","-",SUMIFS($AD$4:$AD$97,$AA$4:$AA$97,$BD48,$I$4:$I$97,$BZ48)+SUMIFS($AC$4:$AC$97,$AF$4:$AF$97,$BD48,$H$4:$H$97,$BZ48))</f>
        <v>8</v>
      </c>
      <c r="CC48" s="139" cm="1">
        <f t="array" ref="CC48">IF($BZ48="-","-",CA48-CB48)</f>
        <v>-8</v>
      </c>
      <c r="CD48" s="139">
        <v>1</v>
      </c>
      <c r="CE48" s="112" t="s">
        <v>113</v>
      </c>
      <c r="CF48" s="139" cm="1">
        <f t="array" ref="CF48">IF($CE48="-","-",SUMIFS($AC$4:$AC$97,$AA$4:$AA$97,$BD48,$L$4:$L$97,$CE48)+SUMIFS($AD$4:$AD$97,$AF$4:$AF$97,$BD48,$K$4:$K$97,$CE48))</f>
        <v>0</v>
      </c>
      <c r="CG48" s="139">
        <v>1</v>
      </c>
      <c r="CH48" s="112" t="s">
        <v>113</v>
      </c>
      <c r="CI48" s="139" cm="1">
        <f t="array" ref="CI48">IF($CH48="-","-",COUNTIFS($AA$4:$AA$97,$BD48,$D$4:$D$97,"Local",$O$4:$O$97,$CH48)+COUNTIFS($AF$4:$AF$97,$BD48,$D$4:$D$97,"Visitante",$N$4:$N$97,$CH48))</f>
        <v>0</v>
      </c>
      <c r="CJ48" s="139" cm="1">
        <f t="array" ref="CJ48">IF($CH48="-","-",COUNTIFS($AA$4:$AA$97,$BD48,$D$4:$D$97,"Empate",$O$4:$O$97,$CH48)+COUNTIFS($AF$4:$AF$97,$BD48,$D$4:$D$97,"Empate",$N$4:$N$97,$CH48))</f>
        <v>0</v>
      </c>
      <c r="CK48" s="139" cm="1">
        <f t="array" ref="CK48">IF($CH48="-","-",COUNTIFS($AA$4:$AA$97,$BD48,$D$4:$D$97,"Visitante",$O$4:$O$97,$CH48)+COUNTIFS($AF$4:$AF$97,$BD48,$D$4:$D$97,"Local",$N$4:$N$97,$CH48))</f>
        <v>3</v>
      </c>
      <c r="CL48" s="139" cm="1">
        <f t="array" ref="CL48">IF($CH48="-","-",CI48*3+CJ48)</f>
        <v>0</v>
      </c>
      <c r="CM48" s="139">
        <v>1</v>
      </c>
      <c r="CN48" s="112" t="s">
        <v>113</v>
      </c>
      <c r="CO48" s="139" cm="1">
        <f t="array" ref="CO48">IF($CN48="-","-",SUMIFS($AC$4:$AC$97,$AA$4:$AA$97,$BD48,$R$4:$R$97,$CN48)+SUMIFS($AD$4:$AD$97,$AF$4:$AF$97,$BD48,$Q$4:$Q$97,$CN48))</f>
        <v>0</v>
      </c>
      <c r="CP48" s="139" cm="1">
        <f t="array" ref="CP48">IF($CN48="-","-",SUMIFS($AD$4:$AD$97,$AA$4:$AA$97,$BD48,$R$4:$R$97,$CN48)+SUMIFS($AC$4:$AC$97,$AF$4:$AF$97,$BD48,$Q$4:$Q$97,$CN48))</f>
        <v>8</v>
      </c>
      <c r="CQ48" s="139" cm="1">
        <f t="array" ref="CQ48">IF($CN48="-","-",CO48-CP48)</f>
        <v>-8</v>
      </c>
      <c r="CR48" s="139">
        <v>1</v>
      </c>
      <c r="CS48" s="112" t="s">
        <v>113</v>
      </c>
      <c r="CT48" s="139" cm="1">
        <f t="array" ref="CT48">IF($CS48="-","-",SUMIFS($AC$4:$AC$97,$AA$4:$AA$97,$BD48,$U$4:$U$97,$CS48)+SUMIFS($AD$4:$AD$97,$AF$4:$AF$97,$BD48,$T$4:$T$97,$CS48))</f>
        <v>0</v>
      </c>
      <c r="CU48" s="139">
        <v>1</v>
      </c>
      <c r="CV48" s="112" t="s">
        <v>113</v>
      </c>
      <c r="CW48" s="139" cm="1">
        <f t="array" ref="CW48">IF(CV48="-","-",BL48)</f>
        <v>-8</v>
      </c>
      <c r="CX48" s="139">
        <v>1</v>
      </c>
      <c r="CY48" s="112" t="s">
        <v>113</v>
      </c>
      <c r="CZ48" s="139" cm="1">
        <f t="array" ref="CZ48">IF(CY48="-","-",BJ48)</f>
        <v>0</v>
      </c>
      <c r="DA48" s="139">
        <v>1</v>
      </c>
      <c r="DB48" s="112" t="s">
        <v>113</v>
      </c>
      <c r="DC48" s="139">
        <v>3</v>
      </c>
      <c r="DD48" s="139">
        <v>3</v>
      </c>
      <c r="DE48" s="126"/>
      <c r="DF48" s="139" cm="1">
        <f t="array" ref="DF48">IF(OR(INDEX($AW$6:$AW$97,MATCH($BD48,$AV$6:$AV$97,0))="",DB48="-"),DD48,INDEX($AW$6:$AW$97,MATCH($BD48,$AV$6:$AV$97,0))+DD48/1000)</f>
        <v>3</v>
      </c>
      <c r="DG48" s="139">
        <v>2</v>
      </c>
      <c r="DH48" s="139">
        <v>3</v>
      </c>
      <c r="DI48" s="126"/>
      <c r="DJ48" s="139" cm="1">
        <f t="array" ref="DJ48">INDEX($DA$6:$DA$53,MATCH($DQ48,$BD$6:$BD$53,0))</f>
        <v>1</v>
      </c>
      <c r="DK48" s="139" cm="1">
        <f t="array" ref="DK48">SUMIF($BC$6:$BC$53,BC48,$BF$6:$BF$53)</f>
        <v>12</v>
      </c>
      <c r="DL48" s="139" cm="1">
        <f t="array" ref="DL48">IF(OR(DK48=12,$AJ$99=144),COUNTIFS($DJ$6:$DJ$53,DJ48,$BC$6:$BC$53,BC48),1)</f>
        <v>4</v>
      </c>
      <c r="DM48" s="126" t="str" cm="1">
        <f t="array" ref="DM48">DJ48&amp;"."&amp;DL48</f>
        <v>1.4</v>
      </c>
      <c r="DN48" s="139">
        <v>1</v>
      </c>
      <c r="DO48" s="126"/>
      <c r="DP48" s="112" t="s">
        <v>205</v>
      </c>
      <c r="DQ48" s="126" t="str" cm="1">
        <f t="array" ref="DQ48">INDEX($BD$6:$BD$53,MATCH(DP48,$BM$6:$BM$53,0))</f>
        <v>Uzbekistán</v>
      </c>
      <c r="DR48" s="77"/>
      <c r="DS48" s="77"/>
      <c r="DT48" s="78"/>
      <c r="DU48" s="12"/>
    </row>
    <row r="49" spans="1:125" ht="16" customHeight="1" x14ac:dyDescent="0.2">
      <c r="A49" s="68"/>
      <c r="B49" s="68"/>
      <c r="C49" s="68"/>
      <c r="D49" s="68" t="str" cm="1">
        <f t="array" ref="D49">IF(OR(AC49="",AD49=""),"Pendiente",IF(AC49&gt;AD49,"Local",IF(AC49&lt;AD49,"Visitante","Empate")))</f>
        <v>Visitante</v>
      </c>
      <c r="E49" s="68" t="str" cm="1">
        <f t="array" ref="E49">IF(D49="Pendiente","-",INDEX($BT$6:$BT$53,MATCH($AA49,$BD$6:$BD$53,0)))</f>
        <v>P.1 (4)</v>
      </c>
      <c r="F49" s="68" t="str" cm="1">
        <f t="array" ref="F49">IF(D49="Pendiente","-",INDEX($BT$6:$BT$53,MATCH($AF49,$BD$6:$BD$53,0)))</f>
        <v>P.1 (4)</v>
      </c>
      <c r="G49" s="68"/>
      <c r="H49" s="68" t="str" cm="1">
        <f t="array" ref="H49">IF(D49="Pendiente","-",INDEX($BZ$6:$BZ$53,MATCH($AA49,$BD$6:$BD$53,0)))</f>
        <v>P.1 (4)</v>
      </c>
      <c r="I49" s="68" t="str" cm="1">
        <f t="array" ref="I49">IF(D49="Pendiente","-",INDEX($BZ$6:$BZ$53,MATCH($AF49,$BD$6:$BD$53,0)))</f>
        <v>P.1 (4)</v>
      </c>
      <c r="J49" s="68"/>
      <c r="K49" s="68" t="str" cm="1">
        <f t="array" ref="K49">IF(D49="Pendiente","-",INDEX($CE$6:$CE$53,MATCH($AA49,$BD$6:$BD$53,0)))</f>
        <v>P.1 (4)</v>
      </c>
      <c r="L49" s="68" t="str" cm="1">
        <f t="array" ref="L49">IF(D49="Pendiente","-",INDEX($CE$6:$CE$53,MATCH($AF49,$BD$6:$BD$53,0)))</f>
        <v>P.1 (4)</v>
      </c>
      <c r="M49" s="68"/>
      <c r="N49" s="68" t="str" cm="1">
        <f t="array" ref="N49">IF(D49="Pendiente","-",INDEX($CH$6:$CH$53,MATCH($AA49,$BD$6:$BD$53,0)))</f>
        <v>P.1 (4)</v>
      </c>
      <c r="O49" s="68" t="str" cm="1">
        <f t="array" ref="O49">IF(D49="Pendiente","-",INDEX($CH$6:$CH$53,MATCH($AF49,$BD$6:$BD$53,0)))</f>
        <v>P.1 (4)</v>
      </c>
      <c r="P49" s="68"/>
      <c r="Q49" s="68" t="str" cm="1">
        <f t="array" ref="Q49">IF(D49="Pendiente","-",INDEX($CN$6:$CN$53,MATCH($AA49,$BD$6:$BD$53,0)))</f>
        <v>P.1 (4)</v>
      </c>
      <c r="R49" s="68" t="str" cm="1">
        <f t="array" ref="R49">IF(D49="Pendiente","-",INDEX($CN$6:$CN$53,MATCH($AF49,$BD$6:$BD$53,0)))</f>
        <v>P.1 (4)</v>
      </c>
      <c r="S49" s="68"/>
      <c r="T49" s="68" t="str" cm="1">
        <f t="array" ref="T49">IF(D49="Pendiente","-",INDEX($CS$6:$CS$53,MATCH($AA49,$BD$6:$BD$53,0)))</f>
        <v>P.1 (4)</v>
      </c>
      <c r="U49" s="68" t="str" cm="1">
        <f t="array" ref="U49">IF(D49="Pendiente","-",INDEX($CS$6:$CS$53,MATCH($AF49,$BD$6:$BD$53,0)))</f>
        <v>P.1 (4)</v>
      </c>
      <c r="V49" s="80"/>
      <c r="W49" s="763"/>
      <c r="X49" s="148">
        <v>46198.791666666657</v>
      </c>
      <c r="Y49" s="149">
        <v>46198.791666666657</v>
      </c>
      <c r="Z49" s="150" t="str" cm="1">
        <f t="array" ref="Z49">$Z$8</f>
        <v>J3</v>
      </c>
      <c r="AA49" s="151" t="str" cm="1">
        <f t="array" ref="AA49">A48</f>
        <v>Túnez</v>
      </c>
      <c r="AB49" s="152"/>
      <c r="AC49" s="153">
        <v>0</v>
      </c>
      <c r="AD49" s="153">
        <v>4</v>
      </c>
      <c r="AE49" s="154"/>
      <c r="AF49" s="155" t="str" cm="1">
        <f t="array" ref="AF49">A45</f>
        <v>Países Bajos</v>
      </c>
      <c r="AG49" s="104" cm="1">
        <f t="array" ref="AG49">IF(NOT(OR(ISBLANK(AC49),ISBLANK(AD49))),1,0)</f>
        <v>1</v>
      </c>
      <c r="AH49" s="105">
        <v>58</v>
      </c>
      <c r="AI49" s="106" t="str" cm="1">
        <f t="array" ref="AI49">AJ49&amp;$B$44</f>
        <v>4F</v>
      </c>
      <c r="AJ49" s="156">
        <v>4</v>
      </c>
      <c r="AK49" s="222"/>
      <c r="AL49" s="158" t="str" cm="1">
        <f t="array" ref="AL49">IFERROR(INDEX($BD$6:$BD$53,MATCH(AI49,$BN$6:$BN$53,0)),"")</f>
        <v>Túnez</v>
      </c>
      <c r="AM49" s="159" cm="1">
        <f t="array" ref="AM49">INDEX($BE$6:$BN$53,MATCH($AL49,$BD$6:$BD$53,0),MATCH(AM$5,$BE$5:$BN$5,0))</f>
        <v>0</v>
      </c>
      <c r="AN49" s="160" cm="1">
        <f t="array" ref="AN49">INDEX($BE$6:$BN$53,MATCH($AL49,$BD$6:$BD$53,0),MATCH(AN$5,$BE$5:$BN$5,0))</f>
        <v>3</v>
      </c>
      <c r="AO49" s="160" cm="1">
        <f t="array" ref="AO49">INDEX($BE$6:$BN$53,MATCH($AL49,$BD$6:$BD$53,0),MATCH(AO$5,$BE$5:$BN$5,0))</f>
        <v>0</v>
      </c>
      <c r="AP49" s="160" cm="1">
        <f t="array" ref="AP49">INDEX($BE$6:$BN$53,MATCH($AL49,$BD$6:$BD$53,0),MATCH(AP$5,$BE$5:$BN$5,0))</f>
        <v>0</v>
      </c>
      <c r="AQ49" s="160" cm="1">
        <f t="array" ref="AQ49">INDEX($BE$6:$BN$53,MATCH($AL49,$BD$6:$BD$53,0),MATCH(AQ$5,$BE$5:$BN$5,0))</f>
        <v>3</v>
      </c>
      <c r="AR49" s="160" cm="1">
        <f t="array" ref="AR49">INDEX($BE$6:$BN$53,MATCH($AL49,$BD$6:$BD$53,0),MATCH(AR$5,$BE$5:$BN$5,0))</f>
        <v>0</v>
      </c>
      <c r="AS49" s="160" cm="1">
        <f t="array" ref="AS49">INDEX($BE$6:$BN$53,MATCH($AL49,$BD$6:$BD$53,0),MATCH(AS$5,$BE$5:$BN$5,0))</f>
        <v>11</v>
      </c>
      <c r="AT49" s="161" cm="1">
        <f t="array" ref="AT49">INDEX($BE$6:$BN$53,MATCH($AL49,$BD$6:$BD$53,0),MATCH(AT$5,$BE$5:$BN$5,0))</f>
        <v>-11</v>
      </c>
      <c r="AU49" s="133" cm="1">
        <f t="array" ref="AU49">INDEX($DL$6:$DL$53,MATCH(AI49,$DP$6:$DP$53,0))</f>
        <v>4</v>
      </c>
      <c r="AV49" s="134" t="str" cm="1">
        <f t="array" ref="AV49">INDEX($BD$6:$BD$53,MATCH(AI49,$BM$6:$BM$53,0))</f>
        <v>Túnez</v>
      </c>
      <c r="AW49" s="135"/>
      <c r="AX49" s="136"/>
      <c r="AY49" s="162" t="str" cm="1">
        <f t="array" ref="AY49">A48</f>
        <v>Túnez</v>
      </c>
      <c r="AZ49" s="163"/>
      <c r="BA49" s="125"/>
      <c r="BB49" s="77"/>
      <c r="BC49" s="112" t="s">
        <v>199</v>
      </c>
      <c r="BD49" s="112" t="s">
        <v>206</v>
      </c>
      <c r="BE49" s="139" cm="1">
        <f t="array" ref="BE49">BG49*3+BH49+IF($AZ$3="No",0,INDEX($AZ$6:$AZ$97,MATCH(BD49,$AY$6:$AY$97,0)))</f>
        <v>6</v>
      </c>
      <c r="BF49" s="139" cm="1">
        <f t="array" ref="BF49">BG49+BH49+BI49</f>
        <v>3</v>
      </c>
      <c r="BG49" s="139" cm="1">
        <f t="array" ref="BG49">COUNTIFS($AA$4:$AA$97,BD49,$D$4:$D$97,"Local")+COUNTIFS($AF$4:$AF$97,BD49,$D$4:$D$97,"Visitante")</f>
        <v>2</v>
      </c>
      <c r="BH49" s="139" cm="1">
        <f t="array" ref="BH49">COUNTIFS($AA$4:$AA$97,BD49,$D$4:$D$97,"Empate")+COUNTIFS($AF$4:$AF$97,BD49,$D$4:$D$97,"Empate")</f>
        <v>0</v>
      </c>
      <c r="BI49" s="139" cm="1">
        <f t="array" ref="BI49">COUNTIFS($AF$4:$AF$97,BD49,$D$4:$D$97,"Local")+COUNTIFS($AA$4:$AA$97,BD49,$D$4:$D$97,"Visitante")</f>
        <v>1</v>
      </c>
      <c r="BJ49" s="139" cm="1">
        <f t="array" ref="BJ49">SUMIFS($AC$4:$AC$97,$AA$4:$AA$97,BD49,$D$4:$D$97,"&lt;&gt;"&amp;"Pendiente",$AC$4:$AC$97,"&lt;&gt;"&amp;"",$AD$4:$AD$97,"&lt;&gt;"&amp;"")+SUMIFS($AD$4:$AD$97,$AF$4:$AF$97,BD49,$D$4:$D$97,"&lt;&gt;"&amp;"Pendiente",$AC$4:$AC$97,"&lt;&gt;"&amp;"",$AD$4:$AD$97,"&lt;&gt;"&amp;"")</f>
        <v>6</v>
      </c>
      <c r="BK49" s="139" cm="1">
        <f t="array" ref="BK49">SUMIFS($AC$4:$AC$97,$AF$4:$AF$97,BD49,$D$4:$D$97,"&lt;&gt;"&amp;"Pendiente",$AC$4:$AC$97,"&lt;&gt;"&amp;"",$AD$4:$AD$97,"&lt;&gt;"&amp;"")+SUMIFS($AD$4:$AD$97,$AA$4:$AA$97,BD49,$D$4:$D$97,"&lt;&gt;"&amp;"Pendiente",$AC$4:$AC$97,"&lt;&gt;"&amp;"",$AD$4:$AD$97,"&lt;&gt;"&amp;"")</f>
        <v>3</v>
      </c>
      <c r="BL49" s="139" cm="1">
        <f t="array" ref="BL49">BJ49-BK49</f>
        <v>3</v>
      </c>
      <c r="BM49" s="126" t="str" cm="1">
        <f t="array" ref="BM49">DD49&amp;BC49</f>
        <v>4K</v>
      </c>
      <c r="BN49" s="126" t="str" cm="1">
        <f t="array" ref="BN49">DH49&amp;BC49</f>
        <v>4K</v>
      </c>
      <c r="BO49" s="139" cm="1">
        <f t="array" ref="BO49">IF(AND($AJ$99=144,BF49&gt;=1),1,0)</f>
        <v>0</v>
      </c>
      <c r="BP49" s="139">
        <v>1</v>
      </c>
      <c r="BQ49" s="112" t="s">
        <v>113</v>
      </c>
      <c r="BR49" s="139" cm="1">
        <f t="array" ref="BR49">IF($BQ49="-","-",BE49)</f>
        <v>6</v>
      </c>
      <c r="BS49" s="139">
        <v>1</v>
      </c>
      <c r="BT49" s="112" t="s">
        <v>113</v>
      </c>
      <c r="BU49" s="139" cm="1">
        <f t="array" ref="BU49">IF($BT49="-","-",COUNTIFS($AA$4:$AA$97,$BD49,$D$4:$D$97,"Local",$F$4:$F$97,$BT49)+COUNTIFS($AF$4:$AF$97,$BD49,$D$4:$D$97,"Visitante",$E$4:$E$97,$BT49))</f>
        <v>2</v>
      </c>
      <c r="BV49" s="139" cm="1">
        <f t="array" ref="BV49">IF($BT49="-","-",COUNTIFS($AA$4:$AA$97,$BD49,$D$4:$D$97,"Empate",$F$4:$F$97,$BT49)+COUNTIFS($AF$4:$AF$97,$BD49,$D$4:$D$97,"Empate",$E$4:$E$97,$BT49))</f>
        <v>0</v>
      </c>
      <c r="BW49" s="139" cm="1">
        <f t="array" ref="BW49">IF($BT49="-","-",COUNTIFS($AA$4:$AA$97,$BD49,$D$4:$D$97,"Visitante",$F$4:$F$97,$BT49)+COUNTIFS($AF$4:$AF$97,$BD49,$D$4:$D$97,"Local",$E$4:$E$97,$BT49))</f>
        <v>1</v>
      </c>
      <c r="BX49" s="139" cm="1">
        <f t="array" ref="BX49">IF($BT49="-","-",BU49*3+BV49)</f>
        <v>6</v>
      </c>
      <c r="BY49" s="139">
        <v>1</v>
      </c>
      <c r="BZ49" s="112" t="s">
        <v>113</v>
      </c>
      <c r="CA49" s="139" cm="1">
        <f t="array" ref="CA49">IF($BZ49="-","-",SUMIFS($AC$4:$AC$97,$AA$4:$AA$97,$BD49,$I$4:$I$97,$BZ49)+SUMIFS($AD$4:$AD$97,$AF$4:$AF$97,$BD49,$H$4:$H$97,$BZ49))</f>
        <v>6</v>
      </c>
      <c r="CB49" s="139" cm="1">
        <f t="array" ref="CB49">IF($BZ49="-","-",SUMIFS($AD$4:$AD$97,$AA$4:$AA$97,$BD49,$I$4:$I$97,$BZ49)+SUMIFS($AC$4:$AC$97,$AF$4:$AF$97,$BD49,$H$4:$H$97,$BZ49))</f>
        <v>3</v>
      </c>
      <c r="CC49" s="139" cm="1">
        <f t="array" ref="CC49">IF($BZ49="-","-",CA49-CB49)</f>
        <v>3</v>
      </c>
      <c r="CD49" s="139">
        <v>1</v>
      </c>
      <c r="CE49" s="112" t="s">
        <v>113</v>
      </c>
      <c r="CF49" s="139" cm="1">
        <f t="array" ref="CF49">IF($CE49="-","-",SUMIFS($AC$4:$AC$97,$AA$4:$AA$97,$BD49,$L$4:$L$97,$CE49)+SUMIFS($AD$4:$AD$97,$AF$4:$AF$97,$BD49,$K$4:$K$97,$CE49))</f>
        <v>6</v>
      </c>
      <c r="CG49" s="139">
        <v>1</v>
      </c>
      <c r="CH49" s="112" t="s">
        <v>113</v>
      </c>
      <c r="CI49" s="139" cm="1">
        <f t="array" ref="CI49">IF($CH49="-","-",COUNTIFS($AA$4:$AA$97,$BD49,$D$4:$D$97,"Local",$O$4:$O$97,$CH49)+COUNTIFS($AF$4:$AF$97,$BD49,$D$4:$D$97,"Visitante",$N$4:$N$97,$CH49))</f>
        <v>2</v>
      </c>
      <c r="CJ49" s="139" cm="1">
        <f t="array" ref="CJ49">IF($CH49="-","-",COUNTIFS($AA$4:$AA$97,$BD49,$D$4:$D$97,"Empate",$O$4:$O$97,$CH49)+COUNTIFS($AF$4:$AF$97,$BD49,$D$4:$D$97,"Empate",$N$4:$N$97,$CH49))</f>
        <v>0</v>
      </c>
      <c r="CK49" s="139" cm="1">
        <f t="array" ref="CK49">IF($CH49="-","-",COUNTIFS($AA$4:$AA$97,$BD49,$D$4:$D$97,"Visitante",$O$4:$O$97,$CH49)+COUNTIFS($AF$4:$AF$97,$BD49,$D$4:$D$97,"Local",$N$4:$N$97,$CH49))</f>
        <v>1</v>
      </c>
      <c r="CL49" s="139" cm="1">
        <f t="array" ref="CL49">IF($CH49="-","-",CI49*3+CJ49)</f>
        <v>6</v>
      </c>
      <c r="CM49" s="139">
        <v>1</v>
      </c>
      <c r="CN49" s="112" t="s">
        <v>113</v>
      </c>
      <c r="CO49" s="139" cm="1">
        <f t="array" ref="CO49">IF($CN49="-","-",SUMIFS($AC$4:$AC$97,$AA$4:$AA$97,$BD49,$R$4:$R$97,$CN49)+SUMIFS($AD$4:$AD$97,$AF$4:$AF$97,$BD49,$Q$4:$Q$97,$CN49))</f>
        <v>6</v>
      </c>
      <c r="CP49" s="139" cm="1">
        <f t="array" ref="CP49">IF($CN49="-","-",SUMIFS($AD$4:$AD$97,$AA$4:$AA$97,$BD49,$R$4:$R$97,$CN49)+SUMIFS($AC$4:$AC$97,$AF$4:$AF$97,$BD49,$Q$4:$Q$97,$CN49))</f>
        <v>3</v>
      </c>
      <c r="CQ49" s="139" cm="1">
        <f t="array" ref="CQ49">IF($CN49="-","-",CO49-CP49)</f>
        <v>3</v>
      </c>
      <c r="CR49" s="139">
        <v>1</v>
      </c>
      <c r="CS49" s="112" t="s">
        <v>113</v>
      </c>
      <c r="CT49" s="139" cm="1">
        <f t="array" ref="CT49">IF($CS49="-","-",SUMIFS($AC$4:$AC$97,$AA$4:$AA$97,$BD49,$U$4:$U$97,$CS49)+SUMIFS($AD$4:$AD$97,$AF$4:$AF$97,$BD49,$T$4:$T$97,$CS49))</f>
        <v>6</v>
      </c>
      <c r="CU49" s="139">
        <v>1</v>
      </c>
      <c r="CV49" s="112" t="s">
        <v>113</v>
      </c>
      <c r="CW49" s="139" cm="1">
        <f t="array" ref="CW49">IF(CV49="-","-",BL49)</f>
        <v>3</v>
      </c>
      <c r="CX49" s="139">
        <v>1</v>
      </c>
      <c r="CY49" s="112" t="s">
        <v>113</v>
      </c>
      <c r="CZ49" s="139" cm="1">
        <f t="array" ref="CZ49">IF(CY49="-","-",BJ49)</f>
        <v>6</v>
      </c>
      <c r="DA49" s="139">
        <v>1</v>
      </c>
      <c r="DB49" s="112" t="s">
        <v>113</v>
      </c>
      <c r="DC49" s="139">
        <v>4</v>
      </c>
      <c r="DD49" s="139">
        <v>4</v>
      </c>
      <c r="DE49" s="126"/>
      <c r="DF49" s="139" cm="1">
        <f t="array" ref="DF49">IF(OR(INDEX($AW$6:$AW$97,MATCH($BD49,$AV$6:$AV$97,0))="",DB49="-"),DD49,INDEX($AW$6:$AW$97,MATCH($BD49,$AV$6:$AV$97,0))+DD49/1000)</f>
        <v>4</v>
      </c>
      <c r="DG49" s="139">
        <v>3</v>
      </c>
      <c r="DH49" s="139">
        <v>4</v>
      </c>
      <c r="DI49" s="126"/>
      <c r="DJ49" s="139" cm="1">
        <f t="array" ref="DJ49">INDEX($DA$6:$DA$53,MATCH($DQ49,$BD$6:$BD$53,0))</f>
        <v>1</v>
      </c>
      <c r="DK49" s="139" cm="1">
        <f t="array" ref="DK49">SUMIF($BC$6:$BC$53,BC49,$BF$6:$BF$53)</f>
        <v>12</v>
      </c>
      <c r="DL49" s="139" cm="1">
        <f t="array" ref="DL49">IF(OR(DK49=12,$AJ$99=144),COUNTIFS($DJ$6:$DJ$53,DJ49,$BC$6:$BC$53,BC49),1)</f>
        <v>4</v>
      </c>
      <c r="DM49" s="126" t="str" cm="1">
        <f t="array" ref="DM49">DJ49&amp;"."&amp;DL49</f>
        <v>1.4</v>
      </c>
      <c r="DN49" s="139">
        <v>1</v>
      </c>
      <c r="DO49" s="126"/>
      <c r="DP49" s="112" t="s">
        <v>207</v>
      </c>
      <c r="DQ49" s="126" t="str" cm="1">
        <f t="array" ref="DQ49">INDEX($BD$6:$BD$53,MATCH(DP49,$BM$6:$BM$53,0))</f>
        <v>Colombia</v>
      </c>
      <c r="DR49" s="77"/>
      <c r="DS49" s="77"/>
      <c r="DT49" s="78"/>
      <c r="DU49" s="12"/>
    </row>
    <row r="50" spans="1:125" ht="16" customHeight="1" x14ac:dyDescent="0.2">
      <c r="A50" s="68"/>
      <c r="B50" s="68"/>
      <c r="C50" s="68"/>
      <c r="D50" s="68"/>
      <c r="E50" s="68"/>
      <c r="F50" s="68"/>
      <c r="G50" s="68"/>
      <c r="H50" s="68"/>
      <c r="I50" s="68"/>
      <c r="J50" s="68"/>
      <c r="K50" s="68"/>
      <c r="L50" s="68"/>
      <c r="M50" s="68"/>
      <c r="N50" s="68"/>
      <c r="O50" s="68"/>
      <c r="P50" s="68"/>
      <c r="Q50" s="68"/>
      <c r="R50" s="68"/>
      <c r="S50" s="68"/>
      <c r="T50" s="68"/>
      <c r="U50" s="68"/>
      <c r="V50" s="69"/>
      <c r="W50" s="164"/>
      <c r="X50" s="165"/>
      <c r="Y50" s="164"/>
      <c r="Z50" s="166"/>
      <c r="AA50" s="167"/>
      <c r="AB50" s="168"/>
      <c r="AC50" s="169"/>
      <c r="AD50" s="169"/>
      <c r="AE50" s="168"/>
      <c r="AF50" s="170"/>
      <c r="AG50" s="216"/>
      <c r="AH50" s="172"/>
      <c r="AI50" s="217"/>
      <c r="AJ50" s="173"/>
      <c r="AK50" s="174"/>
      <c r="AL50" s="175"/>
      <c r="AM50" s="176"/>
      <c r="AN50" s="173"/>
      <c r="AO50" s="173"/>
      <c r="AP50" s="173"/>
      <c r="AQ50" s="173"/>
      <c r="AR50" s="173"/>
      <c r="AS50" s="173"/>
      <c r="AT50" s="173"/>
      <c r="AU50" s="177"/>
      <c r="AV50" s="178"/>
      <c r="AW50" s="135"/>
      <c r="AX50" s="179"/>
      <c r="AY50" s="180"/>
      <c r="AZ50" s="181"/>
      <c r="BA50" s="8"/>
      <c r="BB50" s="77"/>
      <c r="BC50" s="112" t="s">
        <v>208</v>
      </c>
      <c r="BD50" s="112" t="s">
        <v>209</v>
      </c>
      <c r="BE50" s="139" cm="1">
        <f t="array" ref="BE50">BG50*3+BH50+IF($AZ$3="No",0,INDEX($AZ$6:$AZ$97,MATCH(BD50,$AY$6:$AY$97,0)))</f>
        <v>7</v>
      </c>
      <c r="BF50" s="139" cm="1">
        <f t="array" ref="BF50">BG50+BH50+BI50</f>
        <v>3</v>
      </c>
      <c r="BG50" s="139" cm="1">
        <f t="array" ref="BG50">COUNTIFS($AA$4:$AA$97,BD50,$D$4:$D$97,"Local")+COUNTIFS($AF$4:$AF$97,BD50,$D$4:$D$97,"Visitante")</f>
        <v>2</v>
      </c>
      <c r="BH50" s="139" cm="1">
        <f t="array" ref="BH50">COUNTIFS($AA$4:$AA$97,BD50,$D$4:$D$97,"Empate")+COUNTIFS($AF$4:$AF$97,BD50,$D$4:$D$97,"Empate")</f>
        <v>1</v>
      </c>
      <c r="BI50" s="139" cm="1">
        <f t="array" ref="BI50">COUNTIFS($AF$4:$AF$97,BD50,$D$4:$D$97,"Local")+COUNTIFS($AA$4:$AA$97,BD50,$D$4:$D$97,"Visitante")</f>
        <v>0</v>
      </c>
      <c r="BJ50" s="139" cm="1">
        <f t="array" ref="BJ50">SUMIFS($AC$4:$AC$97,$AA$4:$AA$97,BD50,$D$4:$D$97,"&lt;&gt;"&amp;"Pendiente",$AC$4:$AC$97,"&lt;&gt;"&amp;"",$AD$4:$AD$97,"&lt;&gt;"&amp;"")+SUMIFS($AD$4:$AD$97,$AF$4:$AF$97,BD50,$D$4:$D$97,"&lt;&gt;"&amp;"Pendiente",$AC$4:$AC$97,"&lt;&gt;"&amp;"",$AD$4:$AD$97,"&lt;&gt;"&amp;"")</f>
        <v>5</v>
      </c>
      <c r="BK50" s="139" cm="1">
        <f t="array" ref="BK50">SUMIFS($AC$4:$AC$97,$AF$4:$AF$97,BD50,$D$4:$D$97,"&lt;&gt;"&amp;"Pendiente",$AC$4:$AC$97,"&lt;&gt;"&amp;"",$AD$4:$AD$97,"&lt;&gt;"&amp;"")+SUMIFS($AD$4:$AD$97,$AA$4:$AA$97,BD50,$D$4:$D$97,"&lt;&gt;"&amp;"Pendiente",$AC$4:$AC$97,"&lt;&gt;"&amp;"",$AD$4:$AD$97,"&lt;&gt;"&amp;"")</f>
        <v>1</v>
      </c>
      <c r="BL50" s="139" cm="1">
        <f t="array" ref="BL50">BJ50-BK50</f>
        <v>4</v>
      </c>
      <c r="BM50" s="126" t="str" cm="1">
        <f t="array" ref="BM50">DD50&amp;BC50</f>
        <v>1L</v>
      </c>
      <c r="BN50" s="126" t="str" cm="1">
        <f t="array" ref="BN50">DH50&amp;BC50</f>
        <v>1L</v>
      </c>
      <c r="BO50" s="139" cm="1">
        <f t="array" ref="BO50">IF(AND($AJ$99=144,BF50&gt;=1),1,0)</f>
        <v>0</v>
      </c>
      <c r="BP50" s="139">
        <v>1</v>
      </c>
      <c r="BQ50" s="112" t="s">
        <v>113</v>
      </c>
      <c r="BR50" s="139" cm="1">
        <f t="array" ref="BR50">IF($BQ50="-","-",BE50)</f>
        <v>7</v>
      </c>
      <c r="BS50" s="139">
        <v>1</v>
      </c>
      <c r="BT50" s="112" t="s">
        <v>113</v>
      </c>
      <c r="BU50" s="139" cm="1">
        <f t="array" ref="BU50">IF($BT50="-","-",COUNTIFS($AA$4:$AA$97,$BD50,$D$4:$D$97,"Local",$F$4:$F$97,$BT50)+COUNTIFS($AF$4:$AF$97,$BD50,$D$4:$D$97,"Visitante",$E$4:$E$97,$BT50))</f>
        <v>2</v>
      </c>
      <c r="BV50" s="139" cm="1">
        <f t="array" ref="BV50">IF($BT50="-","-",COUNTIFS($AA$4:$AA$97,$BD50,$D$4:$D$97,"Empate",$F$4:$F$97,$BT50)+COUNTIFS($AF$4:$AF$97,$BD50,$D$4:$D$97,"Empate",$E$4:$E$97,$BT50))</f>
        <v>1</v>
      </c>
      <c r="BW50" s="139" cm="1">
        <f t="array" ref="BW50">IF($BT50="-","-",COUNTIFS($AA$4:$AA$97,$BD50,$D$4:$D$97,"Visitante",$F$4:$F$97,$BT50)+COUNTIFS($AF$4:$AF$97,$BD50,$D$4:$D$97,"Local",$E$4:$E$97,$BT50))</f>
        <v>0</v>
      </c>
      <c r="BX50" s="139" cm="1">
        <f t="array" ref="BX50">IF($BT50="-","-",BU50*3+BV50)</f>
        <v>7</v>
      </c>
      <c r="BY50" s="139">
        <v>1</v>
      </c>
      <c r="BZ50" s="112" t="s">
        <v>113</v>
      </c>
      <c r="CA50" s="139" cm="1">
        <f t="array" ref="CA50">IF($BZ50="-","-",SUMIFS($AC$4:$AC$97,$AA$4:$AA$97,$BD50,$I$4:$I$97,$BZ50)+SUMIFS($AD$4:$AD$97,$AF$4:$AF$97,$BD50,$H$4:$H$97,$BZ50))</f>
        <v>5</v>
      </c>
      <c r="CB50" s="139" cm="1">
        <f t="array" ref="CB50">IF($BZ50="-","-",SUMIFS($AD$4:$AD$97,$AA$4:$AA$97,$BD50,$I$4:$I$97,$BZ50)+SUMIFS($AC$4:$AC$97,$AF$4:$AF$97,$BD50,$H$4:$H$97,$BZ50))</f>
        <v>1</v>
      </c>
      <c r="CC50" s="139" cm="1">
        <f t="array" ref="CC50">IF($BZ50="-","-",CA50-CB50)</f>
        <v>4</v>
      </c>
      <c r="CD50" s="139">
        <v>1</v>
      </c>
      <c r="CE50" s="112" t="s">
        <v>113</v>
      </c>
      <c r="CF50" s="139" cm="1">
        <f t="array" ref="CF50">IF($CE50="-","-",SUMIFS($AC$4:$AC$97,$AA$4:$AA$97,$BD50,$L$4:$L$97,$CE50)+SUMIFS($AD$4:$AD$97,$AF$4:$AF$97,$BD50,$K$4:$K$97,$CE50))</f>
        <v>5</v>
      </c>
      <c r="CG50" s="139">
        <v>1</v>
      </c>
      <c r="CH50" s="112" t="s">
        <v>113</v>
      </c>
      <c r="CI50" s="139" cm="1">
        <f t="array" ref="CI50">IF($CH50="-","-",COUNTIFS($AA$4:$AA$97,$BD50,$D$4:$D$97,"Local",$O$4:$O$97,$CH50)+COUNTIFS($AF$4:$AF$97,$BD50,$D$4:$D$97,"Visitante",$N$4:$N$97,$CH50))</f>
        <v>2</v>
      </c>
      <c r="CJ50" s="139" cm="1">
        <f t="array" ref="CJ50">IF($CH50="-","-",COUNTIFS($AA$4:$AA$97,$BD50,$D$4:$D$97,"Empate",$O$4:$O$97,$CH50)+COUNTIFS($AF$4:$AF$97,$BD50,$D$4:$D$97,"Empate",$N$4:$N$97,$CH50))</f>
        <v>1</v>
      </c>
      <c r="CK50" s="139" cm="1">
        <f t="array" ref="CK50">IF($CH50="-","-",COUNTIFS($AA$4:$AA$97,$BD50,$D$4:$D$97,"Visitante",$O$4:$O$97,$CH50)+COUNTIFS($AF$4:$AF$97,$BD50,$D$4:$D$97,"Local",$N$4:$N$97,$CH50))</f>
        <v>0</v>
      </c>
      <c r="CL50" s="139" cm="1">
        <f t="array" ref="CL50">IF($CH50="-","-",CI50*3+CJ50)</f>
        <v>7</v>
      </c>
      <c r="CM50" s="139">
        <v>1</v>
      </c>
      <c r="CN50" s="112" t="s">
        <v>113</v>
      </c>
      <c r="CO50" s="139" cm="1">
        <f t="array" ref="CO50">IF($CN50="-","-",SUMIFS($AC$4:$AC$97,$AA$4:$AA$97,$BD50,$R$4:$R$97,$CN50)+SUMIFS($AD$4:$AD$97,$AF$4:$AF$97,$BD50,$Q$4:$Q$97,$CN50))</f>
        <v>5</v>
      </c>
      <c r="CP50" s="139" cm="1">
        <f t="array" ref="CP50">IF($CN50="-","-",SUMIFS($AD$4:$AD$97,$AA$4:$AA$97,$BD50,$R$4:$R$97,$CN50)+SUMIFS($AC$4:$AC$97,$AF$4:$AF$97,$BD50,$Q$4:$Q$97,$CN50))</f>
        <v>1</v>
      </c>
      <c r="CQ50" s="139" cm="1">
        <f t="array" ref="CQ50">IF($CN50="-","-",CO50-CP50)</f>
        <v>4</v>
      </c>
      <c r="CR50" s="139">
        <v>1</v>
      </c>
      <c r="CS50" s="112" t="s">
        <v>113</v>
      </c>
      <c r="CT50" s="139" cm="1">
        <f t="array" ref="CT50">IF($CS50="-","-",SUMIFS($AC$4:$AC$97,$AA$4:$AA$97,$BD50,$U$4:$U$97,$CS50)+SUMIFS($AD$4:$AD$97,$AF$4:$AF$97,$BD50,$T$4:$T$97,$CS50))</f>
        <v>5</v>
      </c>
      <c r="CU50" s="139">
        <v>1</v>
      </c>
      <c r="CV50" s="112" t="s">
        <v>113</v>
      </c>
      <c r="CW50" s="139" cm="1">
        <f t="array" ref="CW50">IF(CV50="-","-",BL50)</f>
        <v>4</v>
      </c>
      <c r="CX50" s="139">
        <v>1</v>
      </c>
      <c r="CY50" s="112" t="s">
        <v>113</v>
      </c>
      <c r="CZ50" s="139" cm="1">
        <f t="array" ref="CZ50">IF(CY50="-","-",BJ50)</f>
        <v>5</v>
      </c>
      <c r="DA50" s="139">
        <v>1</v>
      </c>
      <c r="DB50" s="112" t="s">
        <v>113</v>
      </c>
      <c r="DC50" s="139">
        <v>1</v>
      </c>
      <c r="DD50" s="139">
        <v>1</v>
      </c>
      <c r="DE50" s="126"/>
      <c r="DF50" s="139" cm="1">
        <f t="array" ref="DF50">IF(OR(INDEX($AW$6:$AW$97,MATCH($BD50,$AV$6:$AV$97,0))="",DB50="-"),DD50,INDEX($AW$6:$AW$97,MATCH($BD50,$AV$6:$AV$97,0))+DD50/1000)</f>
        <v>1</v>
      </c>
      <c r="DG50" s="139">
        <v>0</v>
      </c>
      <c r="DH50" s="139">
        <v>1</v>
      </c>
      <c r="DI50" s="126"/>
      <c r="DJ50" s="139" cm="1">
        <f t="array" ref="DJ50">INDEX($DA$6:$DA$53,MATCH($DQ50,$BD$6:$BD$53,0))</f>
        <v>1</v>
      </c>
      <c r="DK50" s="139" cm="1">
        <f t="array" ref="DK50">SUMIF($BC$6:$BC$53,BC50,$BF$6:$BF$53)</f>
        <v>12</v>
      </c>
      <c r="DL50" s="139" cm="1">
        <f t="array" ref="DL50">IF(OR(DK50=12,$AJ$99=144),COUNTIFS($DJ$6:$DJ$53,DJ50,$BC$6:$BC$53,BC50),1)</f>
        <v>4</v>
      </c>
      <c r="DM50" s="126" t="str" cm="1">
        <f t="array" ref="DM50">DJ50&amp;"."&amp;DL50</f>
        <v>1.4</v>
      </c>
      <c r="DN50" s="139">
        <v>1</v>
      </c>
      <c r="DO50" s="126"/>
      <c r="DP50" s="112" t="s">
        <v>210</v>
      </c>
      <c r="DQ50" s="126" t="str" cm="1">
        <f t="array" ref="DQ50">INDEX($BD$6:$BD$53,MATCH(DP50,$BM$6:$BM$53,0))</f>
        <v>Inglaterra</v>
      </c>
      <c r="DR50" s="77"/>
      <c r="DS50" s="77"/>
      <c r="DT50" s="78"/>
      <c r="DU50" s="12"/>
    </row>
    <row r="51" spans="1:125" ht="16" customHeight="1" x14ac:dyDescent="0.2">
      <c r="A51" s="68"/>
      <c r="B51" s="68"/>
      <c r="C51" s="68"/>
      <c r="D51" s="68"/>
      <c r="E51" s="68"/>
      <c r="F51" s="68"/>
      <c r="G51" s="68"/>
      <c r="H51" s="68"/>
      <c r="I51" s="68"/>
      <c r="J51" s="68"/>
      <c r="K51" s="68"/>
      <c r="L51" s="68"/>
      <c r="M51" s="68"/>
      <c r="N51" s="68"/>
      <c r="O51" s="68"/>
      <c r="P51" s="68"/>
      <c r="Q51" s="68"/>
      <c r="R51" s="68"/>
      <c r="S51" s="68"/>
      <c r="T51" s="68"/>
      <c r="U51" s="68"/>
      <c r="V51" s="80"/>
      <c r="W51" s="81"/>
      <c r="X51" s="182" t="str" cm="1">
        <f t="array" ref="X51">X3</f>
        <v>Fecha</v>
      </c>
      <c r="Y51" s="182" t="str" cm="1">
        <f t="array" ref="Y51">Y3</f>
        <v>Hora</v>
      </c>
      <c r="Z51" s="107" t="str" cm="1">
        <f t="array" ref="Z51">Z3</f>
        <v>Jor.</v>
      </c>
      <c r="AA51" s="183" t="str" cm="1">
        <f t="array" ref="AA51">AA3</f>
        <v>Casa</v>
      </c>
      <c r="AB51" s="85"/>
      <c r="AC51" s="107" t="str" cm="1">
        <f t="array" ref="AC51">AC3</f>
        <v>Gol</v>
      </c>
      <c r="AD51" s="107" t="str" cm="1">
        <f t="array" ref="AD51">AD3</f>
        <v>Gol</v>
      </c>
      <c r="AE51" s="85"/>
      <c r="AF51" s="184" t="str" cm="1">
        <f t="array" ref="AF51">AF3</f>
        <v>Fuera</v>
      </c>
      <c r="AG51" s="185"/>
      <c r="AH51" s="172"/>
      <c r="AI51" s="73"/>
      <c r="AJ51" s="90"/>
      <c r="AK51" s="186"/>
      <c r="AL51" s="90"/>
      <c r="AM51" s="90"/>
      <c r="AN51" s="90"/>
      <c r="AO51" s="90"/>
      <c r="AP51" s="90"/>
      <c r="AQ51" s="90"/>
      <c r="AR51" s="90"/>
      <c r="AS51" s="90"/>
      <c r="AT51" s="90"/>
      <c r="AU51" s="187"/>
      <c r="AV51" s="74"/>
      <c r="AW51" s="188"/>
      <c r="AX51" s="189"/>
      <c r="AY51" s="190"/>
      <c r="AZ51" s="191"/>
      <c r="BA51" s="8"/>
      <c r="BB51" s="77"/>
      <c r="BC51" s="112" t="s">
        <v>208</v>
      </c>
      <c r="BD51" s="112" t="s">
        <v>211</v>
      </c>
      <c r="BE51" s="139" cm="1">
        <f t="array" ref="BE51">BG51*3+BH51+IF($AZ$3="No",0,INDEX($AZ$6:$AZ$97,MATCH(BD51,$AY$6:$AY$97,0)))</f>
        <v>7</v>
      </c>
      <c r="BF51" s="139" cm="1">
        <f t="array" ref="BF51">BG51+BH51+BI51</f>
        <v>3</v>
      </c>
      <c r="BG51" s="139" cm="1">
        <f t="array" ref="BG51">COUNTIFS($AA$4:$AA$97,BD51,$D$4:$D$97,"Local")+COUNTIFS($AF$4:$AF$97,BD51,$D$4:$D$97,"Visitante")</f>
        <v>2</v>
      </c>
      <c r="BH51" s="139" cm="1">
        <f t="array" ref="BH51">COUNTIFS($AA$4:$AA$97,BD51,$D$4:$D$97,"Empate")+COUNTIFS($AF$4:$AF$97,BD51,$D$4:$D$97,"Empate")</f>
        <v>1</v>
      </c>
      <c r="BI51" s="139" cm="1">
        <f t="array" ref="BI51">COUNTIFS($AF$4:$AF$97,BD51,$D$4:$D$97,"Local")+COUNTIFS($AA$4:$AA$97,BD51,$D$4:$D$97,"Visitante")</f>
        <v>0</v>
      </c>
      <c r="BJ51" s="139" cm="1">
        <f t="array" ref="BJ51">SUMIFS($AC$4:$AC$97,$AA$4:$AA$97,BD51,$D$4:$D$97,"&lt;&gt;"&amp;"Pendiente",$AC$4:$AC$97,"&lt;&gt;"&amp;"",$AD$4:$AD$97,"&lt;&gt;"&amp;"")+SUMIFS($AD$4:$AD$97,$AF$4:$AF$97,BD51,$D$4:$D$97,"&lt;&gt;"&amp;"Pendiente",$AC$4:$AC$97,"&lt;&gt;"&amp;"",$AD$4:$AD$97,"&lt;&gt;"&amp;"")</f>
        <v>5</v>
      </c>
      <c r="BK51" s="139" cm="1">
        <f t="array" ref="BK51">SUMIFS($AC$4:$AC$97,$AF$4:$AF$97,BD51,$D$4:$D$97,"&lt;&gt;"&amp;"Pendiente",$AC$4:$AC$97,"&lt;&gt;"&amp;"",$AD$4:$AD$97,"&lt;&gt;"&amp;"")+SUMIFS($AD$4:$AD$97,$AA$4:$AA$97,BD51,$D$4:$D$97,"&lt;&gt;"&amp;"Pendiente",$AC$4:$AC$97,"&lt;&gt;"&amp;"",$AD$4:$AD$97,"&lt;&gt;"&amp;"")</f>
        <v>2</v>
      </c>
      <c r="BL51" s="139" cm="1">
        <f t="array" ref="BL51">BJ51-BK51</f>
        <v>3</v>
      </c>
      <c r="BM51" s="126" t="str" cm="1">
        <f t="array" ref="BM51">DD51&amp;BC51</f>
        <v>2L</v>
      </c>
      <c r="BN51" s="126" t="str" cm="1">
        <f t="array" ref="BN51">DH51&amp;BC51</f>
        <v>2L</v>
      </c>
      <c r="BO51" s="139" cm="1">
        <f t="array" ref="BO51">IF(AND($AJ$99=144,BF51&gt;=1),1,0)</f>
        <v>0</v>
      </c>
      <c r="BP51" s="139">
        <v>1</v>
      </c>
      <c r="BQ51" s="112" t="s">
        <v>113</v>
      </c>
      <c r="BR51" s="139" cm="1">
        <f t="array" ref="BR51">IF($BQ51="-","-",BE51)</f>
        <v>7</v>
      </c>
      <c r="BS51" s="139">
        <v>1</v>
      </c>
      <c r="BT51" s="112" t="s">
        <v>113</v>
      </c>
      <c r="BU51" s="139" cm="1">
        <f t="array" ref="BU51">IF($BT51="-","-",COUNTIFS($AA$4:$AA$97,$BD51,$D$4:$D$97,"Local",$F$4:$F$97,$BT51)+COUNTIFS($AF$4:$AF$97,$BD51,$D$4:$D$97,"Visitante",$E$4:$E$97,$BT51))</f>
        <v>2</v>
      </c>
      <c r="BV51" s="139" cm="1">
        <f t="array" ref="BV51">IF($BT51="-","-",COUNTIFS($AA$4:$AA$97,$BD51,$D$4:$D$97,"Empate",$F$4:$F$97,$BT51)+COUNTIFS($AF$4:$AF$97,$BD51,$D$4:$D$97,"Empate",$E$4:$E$97,$BT51))</f>
        <v>1</v>
      </c>
      <c r="BW51" s="139" cm="1">
        <f t="array" ref="BW51">IF($BT51="-","-",COUNTIFS($AA$4:$AA$97,$BD51,$D$4:$D$97,"Visitante",$F$4:$F$97,$BT51)+COUNTIFS($AF$4:$AF$97,$BD51,$D$4:$D$97,"Local",$E$4:$E$97,$BT51))</f>
        <v>0</v>
      </c>
      <c r="BX51" s="139" cm="1">
        <f t="array" ref="BX51">IF($BT51="-","-",BU51*3+BV51)</f>
        <v>7</v>
      </c>
      <c r="BY51" s="139">
        <v>1</v>
      </c>
      <c r="BZ51" s="112" t="s">
        <v>113</v>
      </c>
      <c r="CA51" s="139" cm="1">
        <f t="array" ref="CA51">IF($BZ51="-","-",SUMIFS($AC$4:$AC$97,$AA$4:$AA$97,$BD51,$I$4:$I$97,$BZ51)+SUMIFS($AD$4:$AD$97,$AF$4:$AF$97,$BD51,$H$4:$H$97,$BZ51))</f>
        <v>5</v>
      </c>
      <c r="CB51" s="139" cm="1">
        <f t="array" ref="CB51">IF($BZ51="-","-",SUMIFS($AD$4:$AD$97,$AA$4:$AA$97,$BD51,$I$4:$I$97,$BZ51)+SUMIFS($AC$4:$AC$97,$AF$4:$AF$97,$BD51,$H$4:$H$97,$BZ51))</f>
        <v>2</v>
      </c>
      <c r="CC51" s="139" cm="1">
        <f t="array" ref="CC51">IF($BZ51="-","-",CA51-CB51)</f>
        <v>3</v>
      </c>
      <c r="CD51" s="139">
        <v>1</v>
      </c>
      <c r="CE51" s="112" t="s">
        <v>113</v>
      </c>
      <c r="CF51" s="139" cm="1">
        <f t="array" ref="CF51">IF($CE51="-","-",SUMIFS($AC$4:$AC$97,$AA$4:$AA$97,$BD51,$L$4:$L$97,$CE51)+SUMIFS($AD$4:$AD$97,$AF$4:$AF$97,$BD51,$K$4:$K$97,$CE51))</f>
        <v>5</v>
      </c>
      <c r="CG51" s="139">
        <v>1</v>
      </c>
      <c r="CH51" s="112" t="s">
        <v>113</v>
      </c>
      <c r="CI51" s="139" cm="1">
        <f t="array" ref="CI51">IF($CH51="-","-",COUNTIFS($AA$4:$AA$97,$BD51,$D$4:$D$97,"Local",$O$4:$O$97,$CH51)+COUNTIFS($AF$4:$AF$97,$BD51,$D$4:$D$97,"Visitante",$N$4:$N$97,$CH51))</f>
        <v>2</v>
      </c>
      <c r="CJ51" s="139" cm="1">
        <f t="array" ref="CJ51">IF($CH51="-","-",COUNTIFS($AA$4:$AA$97,$BD51,$D$4:$D$97,"Empate",$O$4:$O$97,$CH51)+COUNTIFS($AF$4:$AF$97,$BD51,$D$4:$D$97,"Empate",$N$4:$N$97,$CH51))</f>
        <v>1</v>
      </c>
      <c r="CK51" s="139" cm="1">
        <f t="array" ref="CK51">IF($CH51="-","-",COUNTIFS($AA$4:$AA$97,$BD51,$D$4:$D$97,"Visitante",$O$4:$O$97,$CH51)+COUNTIFS($AF$4:$AF$97,$BD51,$D$4:$D$97,"Local",$N$4:$N$97,$CH51))</f>
        <v>0</v>
      </c>
      <c r="CL51" s="139" cm="1">
        <f t="array" ref="CL51">IF($CH51="-","-",CI51*3+CJ51)</f>
        <v>7</v>
      </c>
      <c r="CM51" s="139">
        <v>1</v>
      </c>
      <c r="CN51" s="112" t="s">
        <v>113</v>
      </c>
      <c r="CO51" s="139" cm="1">
        <f t="array" ref="CO51">IF($CN51="-","-",SUMIFS($AC$4:$AC$97,$AA$4:$AA$97,$BD51,$R$4:$R$97,$CN51)+SUMIFS($AD$4:$AD$97,$AF$4:$AF$97,$BD51,$Q$4:$Q$97,$CN51))</f>
        <v>5</v>
      </c>
      <c r="CP51" s="139" cm="1">
        <f t="array" ref="CP51">IF($CN51="-","-",SUMIFS($AD$4:$AD$97,$AA$4:$AA$97,$BD51,$R$4:$R$97,$CN51)+SUMIFS($AC$4:$AC$97,$AF$4:$AF$97,$BD51,$Q$4:$Q$97,$CN51))</f>
        <v>2</v>
      </c>
      <c r="CQ51" s="139" cm="1">
        <f t="array" ref="CQ51">IF($CN51="-","-",CO51-CP51)</f>
        <v>3</v>
      </c>
      <c r="CR51" s="139">
        <v>1</v>
      </c>
      <c r="CS51" s="112" t="s">
        <v>113</v>
      </c>
      <c r="CT51" s="139" cm="1">
        <f t="array" ref="CT51">IF($CS51="-","-",SUMIFS($AC$4:$AC$97,$AA$4:$AA$97,$BD51,$U$4:$U$97,$CS51)+SUMIFS($AD$4:$AD$97,$AF$4:$AF$97,$BD51,$T$4:$T$97,$CS51))</f>
        <v>5</v>
      </c>
      <c r="CU51" s="139">
        <v>1</v>
      </c>
      <c r="CV51" s="112" t="s">
        <v>113</v>
      </c>
      <c r="CW51" s="139" cm="1">
        <f t="array" ref="CW51">IF(CV51="-","-",BL51)</f>
        <v>3</v>
      </c>
      <c r="CX51" s="139">
        <v>1</v>
      </c>
      <c r="CY51" s="112" t="s">
        <v>113</v>
      </c>
      <c r="CZ51" s="139" cm="1">
        <f t="array" ref="CZ51">IF(CY51="-","-",BJ51)</f>
        <v>5</v>
      </c>
      <c r="DA51" s="139">
        <v>1</v>
      </c>
      <c r="DB51" s="112" t="s">
        <v>113</v>
      </c>
      <c r="DC51" s="139">
        <v>2</v>
      </c>
      <c r="DD51" s="139">
        <v>2</v>
      </c>
      <c r="DE51" s="126"/>
      <c r="DF51" s="139" cm="1">
        <f t="array" ref="DF51">IF(OR(INDEX($AW$6:$AW$97,MATCH($BD51,$AV$6:$AV$97,0))="",DB51="-"),DD51,INDEX($AW$6:$AW$97,MATCH($BD51,$AV$6:$AV$97,0))+DD51/1000)</f>
        <v>2</v>
      </c>
      <c r="DG51" s="139">
        <v>1</v>
      </c>
      <c r="DH51" s="139">
        <v>2</v>
      </c>
      <c r="DI51" s="126"/>
      <c r="DJ51" s="139" cm="1">
        <f t="array" ref="DJ51">INDEX($DA$6:$DA$53,MATCH($DQ51,$BD$6:$BD$53,0))</f>
        <v>1</v>
      </c>
      <c r="DK51" s="139" cm="1">
        <f t="array" ref="DK51">SUMIF($BC$6:$BC$53,BC51,$BF$6:$BF$53)</f>
        <v>12</v>
      </c>
      <c r="DL51" s="139" cm="1">
        <f t="array" ref="DL51">IF(OR(DK51=12,$AJ$99=144),COUNTIFS($DJ$6:$DJ$53,DJ51,$BC$6:$BC$53,BC51),1)</f>
        <v>4</v>
      </c>
      <c r="DM51" s="126" t="str" cm="1">
        <f t="array" ref="DM51">DJ51&amp;"."&amp;DL51</f>
        <v>1.4</v>
      </c>
      <c r="DN51" s="139">
        <v>1</v>
      </c>
      <c r="DO51" s="126"/>
      <c r="DP51" s="112" t="s">
        <v>212</v>
      </c>
      <c r="DQ51" s="126" t="str" cm="1">
        <f t="array" ref="DQ51">INDEX($BD$6:$BD$53,MATCH(DP51,$BM$6:$BM$53,0))</f>
        <v>Croacia</v>
      </c>
      <c r="DR51" s="77"/>
      <c r="DS51" s="77"/>
      <c r="DT51" s="78"/>
      <c r="DU51" s="12"/>
    </row>
    <row r="52" spans="1:125" ht="16" customHeight="1" x14ac:dyDescent="0.2">
      <c r="A52" s="79" t="s">
        <v>45</v>
      </c>
      <c r="B52" s="79" t="s">
        <v>54</v>
      </c>
      <c r="C52" s="95">
        <v>4</v>
      </c>
      <c r="D52" s="68" t="str" cm="1">
        <f t="array" ref="D52">IF(OR(AC52="",AD52=""),"Pendiente",IF(AC52&gt;AD52,"Local",IF(AC52&lt;AD52,"Visitante","Empate")))</f>
        <v>Local</v>
      </c>
      <c r="E52" s="68" t="str" cm="1">
        <f t="array" ref="E52">IF(D52="Pendiente","-",INDEX($BT$6:$BT$53,MATCH($AA52,$BD$6:$BD$53,0)))</f>
        <v>P.1 (4)</v>
      </c>
      <c r="F52" s="68" t="str" cm="1">
        <f t="array" ref="F52">IF(D52="Pendiente","-",INDEX($BT$6:$BT$53,MATCH($AF52,$BD$6:$BD$53,0)))</f>
        <v>P.1 (4)</v>
      </c>
      <c r="G52" s="68"/>
      <c r="H52" s="68" t="str" cm="1">
        <f t="array" ref="H52">IF(D52="Pendiente","-",INDEX($BZ$6:$BZ$53,MATCH($AA52,$BD$6:$BD$53,0)))</f>
        <v>P.1 (4)</v>
      </c>
      <c r="I52" s="68" t="str" cm="1">
        <f t="array" ref="I52">IF(D52="Pendiente","-",INDEX($BZ$6:$BZ$53,MATCH($AF52,$BD$6:$BD$53,0)))</f>
        <v>P.1 (4)</v>
      </c>
      <c r="J52" s="68"/>
      <c r="K52" s="68" t="str" cm="1">
        <f t="array" ref="K52">IF(D52="Pendiente","-",INDEX($CE$6:$CE$53,MATCH($AA52,$BD$6:$BD$53,0)))</f>
        <v>P.1 (4)</v>
      </c>
      <c r="L52" s="68" t="str" cm="1">
        <f t="array" ref="L52">IF(D52="Pendiente","-",INDEX($CE$6:$CE$53,MATCH($AF52,$BD$6:$BD$53,0)))</f>
        <v>P.1 (4)</v>
      </c>
      <c r="M52" s="68"/>
      <c r="N52" s="68" t="str" cm="1">
        <f t="array" ref="N52">IF(D52="Pendiente","-",INDEX($CH$6:$CH$53,MATCH($AA52,$BD$6:$BD$53,0)))</f>
        <v>P.1 (4)</v>
      </c>
      <c r="O52" s="68" t="str" cm="1">
        <f t="array" ref="O52">IF(D52="Pendiente","-",INDEX($CH$6:$CH$53,MATCH($AF52,$BD$6:$BD$53,0)))</f>
        <v>P.1 (4)</v>
      </c>
      <c r="P52" s="68"/>
      <c r="Q52" s="68" t="str" cm="1">
        <f t="array" ref="Q52">IF(D52="Pendiente","-",INDEX($CN$6:$CN$53,MATCH($AA52,$BD$6:$BD$53,0)))</f>
        <v>P.1 (4)</v>
      </c>
      <c r="R52" s="68" t="str" cm="1">
        <f t="array" ref="R52">IF(D52="Pendiente","-",INDEX($CN$6:$CN$53,MATCH($AF52,$BD$6:$BD$53,0)))</f>
        <v>P.1 (4)</v>
      </c>
      <c r="S52" s="68"/>
      <c r="T52" s="68" t="str" cm="1">
        <f t="array" ref="T52">IF(D52="Pendiente","-",INDEX($CS$6:$CS$53,MATCH($AA52,$BD$6:$BD$53,0)))</f>
        <v>P.1 (4)</v>
      </c>
      <c r="U52" s="68" t="str" cm="1">
        <f t="array" ref="U52">IF(D52="Pendiente","-",INDEX($CS$6:$CS$53,MATCH($AF52,$BD$6:$BD$53,0)))</f>
        <v>P.1 (4)</v>
      </c>
      <c r="V52" s="80"/>
      <c r="W52" s="775" t="s">
        <v>54</v>
      </c>
      <c r="X52" s="96">
        <v>46188.625</v>
      </c>
      <c r="Y52" s="97">
        <v>46188.625</v>
      </c>
      <c r="Z52" s="113" t="str" cm="1">
        <f t="array" ref="Z52">$Z$4</f>
        <v>J1</v>
      </c>
      <c r="AA52" s="99" t="str" cm="1">
        <f t="array" ref="AA52">A53</f>
        <v>Bélgica</v>
      </c>
      <c r="AB52" s="100"/>
      <c r="AC52" s="101">
        <v>2</v>
      </c>
      <c r="AD52" s="101">
        <v>1</v>
      </c>
      <c r="AE52" s="102"/>
      <c r="AF52" s="103" t="str" cm="1">
        <f t="array" ref="AF52">A54</f>
        <v>Egipto</v>
      </c>
      <c r="AG52" s="104" cm="1">
        <f t="array" ref="AG52">IF(NOT(OR(ISBLANK(AC52),ISBLANK(AD52))),1,0)</f>
        <v>1</v>
      </c>
      <c r="AH52" s="105">
        <v>16</v>
      </c>
      <c r="AI52" s="106"/>
      <c r="AJ52" s="784" t="str" cm="1">
        <f t="array" ref="AJ52">CONCATENATE($AJ$3," ",B52)</f>
        <v>Grupo G</v>
      </c>
      <c r="AK52" s="785"/>
      <c r="AL52" s="785"/>
      <c r="AM52" s="785"/>
      <c r="AN52" s="785"/>
      <c r="AO52" s="785"/>
      <c r="AP52" s="785"/>
      <c r="AQ52" s="785"/>
      <c r="AR52" s="785"/>
      <c r="AS52" s="785"/>
      <c r="AT52" s="786"/>
      <c r="AU52" s="192"/>
      <c r="AV52" s="109" t="str" cm="1">
        <f t="array" ref="AV52">IF(AU53&gt;0,$AV$3,"")</f>
        <v>¡EMPATE! Puedes seleccionar el orden de los empatados.</v>
      </c>
      <c r="AW52" s="200"/>
      <c r="AX52" s="200"/>
      <c r="AY52" s="194"/>
      <c r="AZ52" s="195"/>
      <c r="BA52" s="8"/>
      <c r="BB52" s="77"/>
      <c r="BC52" s="112" t="s">
        <v>208</v>
      </c>
      <c r="BD52" s="112" t="s">
        <v>213</v>
      </c>
      <c r="BE52" s="139" cm="1">
        <f t="array" ref="BE52">BG52*3+BH52+IF($AZ$3="No",0,INDEX($AZ$6:$AZ$97,MATCH(BD52,$AY$6:$AY$97,0)))</f>
        <v>0</v>
      </c>
      <c r="BF52" s="139" cm="1">
        <f t="array" ref="BF52">BG52+BH52+BI52</f>
        <v>3</v>
      </c>
      <c r="BG52" s="139" cm="1">
        <f t="array" ref="BG52">COUNTIFS($AA$4:$AA$97,BD52,$D$4:$D$97,"Local")+COUNTIFS($AF$4:$AF$97,BD52,$D$4:$D$97,"Visitante")</f>
        <v>0</v>
      </c>
      <c r="BH52" s="139" cm="1">
        <f t="array" ref="BH52">COUNTIFS($AA$4:$AA$97,BD52,$D$4:$D$97,"Empate")+COUNTIFS($AF$4:$AF$97,BD52,$D$4:$D$97,"Empate")</f>
        <v>0</v>
      </c>
      <c r="BI52" s="139" cm="1">
        <f t="array" ref="BI52">COUNTIFS($AF$4:$AF$97,BD52,$D$4:$D$97,"Local")+COUNTIFS($AA$4:$AA$97,BD52,$D$4:$D$97,"Visitante")</f>
        <v>3</v>
      </c>
      <c r="BJ52" s="139" cm="1">
        <f t="array" ref="BJ52">SUMIFS($AC$4:$AC$97,$AA$4:$AA$97,BD52,$D$4:$D$97,"&lt;&gt;"&amp;"Pendiente",$AC$4:$AC$97,"&lt;&gt;"&amp;"",$AD$4:$AD$97,"&lt;&gt;"&amp;"")+SUMIFS($AD$4:$AD$97,$AF$4:$AF$97,BD52,$D$4:$D$97,"&lt;&gt;"&amp;"Pendiente",$AC$4:$AC$97,"&lt;&gt;"&amp;"",$AD$4:$AD$97,"&lt;&gt;"&amp;"")</f>
        <v>0</v>
      </c>
      <c r="BK52" s="139" cm="1">
        <f t="array" ref="BK52">SUMIFS($AC$4:$AC$97,$AF$4:$AF$97,BD52,$D$4:$D$97,"&lt;&gt;"&amp;"Pendiente",$AC$4:$AC$97,"&lt;&gt;"&amp;"",$AD$4:$AD$97,"&lt;&gt;"&amp;"")+SUMIFS($AD$4:$AD$97,$AA$4:$AA$97,BD52,$D$4:$D$97,"&lt;&gt;"&amp;"Pendiente",$AC$4:$AC$97,"&lt;&gt;"&amp;"",$AD$4:$AD$97,"&lt;&gt;"&amp;"")</f>
        <v>5</v>
      </c>
      <c r="BL52" s="139" cm="1">
        <f t="array" ref="BL52">BJ52-BK52</f>
        <v>-5</v>
      </c>
      <c r="BM52" s="126" t="str" cm="1">
        <f t="array" ref="BM52">DD52&amp;BC52</f>
        <v>3L</v>
      </c>
      <c r="BN52" s="126" t="str" cm="1">
        <f t="array" ref="BN52">DH52&amp;BC52</f>
        <v>3L</v>
      </c>
      <c r="BO52" s="139" cm="1">
        <f t="array" ref="BO52">IF(AND($AJ$99=144,BF52&gt;=1),1,0)</f>
        <v>0</v>
      </c>
      <c r="BP52" s="139">
        <v>1</v>
      </c>
      <c r="BQ52" s="112" t="s">
        <v>113</v>
      </c>
      <c r="BR52" s="139" cm="1">
        <f t="array" ref="BR52">IF($BQ52="-","-",BE52)</f>
        <v>0</v>
      </c>
      <c r="BS52" s="139">
        <v>1</v>
      </c>
      <c r="BT52" s="112" t="s">
        <v>113</v>
      </c>
      <c r="BU52" s="139" cm="1">
        <f t="array" ref="BU52">IF($BT52="-","-",COUNTIFS($AA$4:$AA$97,$BD52,$D$4:$D$97,"Local",$F$4:$F$97,$BT52)+COUNTIFS($AF$4:$AF$97,$BD52,$D$4:$D$97,"Visitante",$E$4:$E$97,$BT52))</f>
        <v>0</v>
      </c>
      <c r="BV52" s="139" cm="1">
        <f t="array" ref="BV52">IF($BT52="-","-",COUNTIFS($AA$4:$AA$97,$BD52,$D$4:$D$97,"Empate",$F$4:$F$97,$BT52)+COUNTIFS($AF$4:$AF$97,$BD52,$D$4:$D$97,"Empate",$E$4:$E$97,$BT52))</f>
        <v>0</v>
      </c>
      <c r="BW52" s="139" cm="1">
        <f t="array" ref="BW52">IF($BT52="-","-",COUNTIFS($AA$4:$AA$97,$BD52,$D$4:$D$97,"Visitante",$F$4:$F$97,$BT52)+COUNTIFS($AF$4:$AF$97,$BD52,$D$4:$D$97,"Local",$E$4:$E$97,$BT52))</f>
        <v>3</v>
      </c>
      <c r="BX52" s="139" cm="1">
        <f t="array" ref="BX52">IF($BT52="-","-",BU52*3+BV52)</f>
        <v>0</v>
      </c>
      <c r="BY52" s="139">
        <v>1</v>
      </c>
      <c r="BZ52" s="112" t="s">
        <v>113</v>
      </c>
      <c r="CA52" s="139" cm="1">
        <f t="array" ref="CA52">IF($BZ52="-","-",SUMIFS($AC$4:$AC$97,$AA$4:$AA$97,$BD52,$I$4:$I$97,$BZ52)+SUMIFS($AD$4:$AD$97,$AF$4:$AF$97,$BD52,$H$4:$H$97,$BZ52))</f>
        <v>0</v>
      </c>
      <c r="CB52" s="139" cm="1">
        <f t="array" ref="CB52">IF($BZ52="-","-",SUMIFS($AD$4:$AD$97,$AA$4:$AA$97,$BD52,$I$4:$I$97,$BZ52)+SUMIFS($AC$4:$AC$97,$AF$4:$AF$97,$BD52,$H$4:$H$97,$BZ52))</f>
        <v>5</v>
      </c>
      <c r="CC52" s="139" cm="1">
        <f t="array" ref="CC52">IF($BZ52="-","-",CA52-CB52)</f>
        <v>-5</v>
      </c>
      <c r="CD52" s="139">
        <v>1</v>
      </c>
      <c r="CE52" s="112" t="s">
        <v>113</v>
      </c>
      <c r="CF52" s="139" cm="1">
        <f t="array" ref="CF52">IF($CE52="-","-",SUMIFS($AC$4:$AC$97,$AA$4:$AA$97,$BD52,$L$4:$L$97,$CE52)+SUMIFS($AD$4:$AD$97,$AF$4:$AF$97,$BD52,$K$4:$K$97,$CE52))</f>
        <v>0</v>
      </c>
      <c r="CG52" s="139">
        <v>1</v>
      </c>
      <c r="CH52" s="112" t="s">
        <v>113</v>
      </c>
      <c r="CI52" s="139" cm="1">
        <f t="array" ref="CI52">IF($CH52="-","-",COUNTIFS($AA$4:$AA$97,$BD52,$D$4:$D$97,"Local",$O$4:$O$97,$CH52)+COUNTIFS($AF$4:$AF$97,$BD52,$D$4:$D$97,"Visitante",$N$4:$N$97,$CH52))</f>
        <v>0</v>
      </c>
      <c r="CJ52" s="139" cm="1">
        <f t="array" ref="CJ52">IF($CH52="-","-",COUNTIFS($AA$4:$AA$97,$BD52,$D$4:$D$97,"Empate",$O$4:$O$97,$CH52)+COUNTIFS($AF$4:$AF$97,$BD52,$D$4:$D$97,"Empate",$N$4:$N$97,$CH52))</f>
        <v>0</v>
      </c>
      <c r="CK52" s="139" cm="1">
        <f t="array" ref="CK52">IF($CH52="-","-",COUNTIFS($AA$4:$AA$97,$BD52,$D$4:$D$97,"Visitante",$O$4:$O$97,$CH52)+COUNTIFS($AF$4:$AF$97,$BD52,$D$4:$D$97,"Local",$N$4:$N$97,$CH52))</f>
        <v>3</v>
      </c>
      <c r="CL52" s="139" cm="1">
        <f t="array" ref="CL52">IF($CH52="-","-",CI52*3+CJ52)</f>
        <v>0</v>
      </c>
      <c r="CM52" s="139">
        <v>1</v>
      </c>
      <c r="CN52" s="112" t="s">
        <v>113</v>
      </c>
      <c r="CO52" s="139" cm="1">
        <f t="array" ref="CO52">IF($CN52="-","-",SUMIFS($AC$4:$AC$97,$AA$4:$AA$97,$BD52,$R$4:$R$97,$CN52)+SUMIFS($AD$4:$AD$97,$AF$4:$AF$97,$BD52,$Q$4:$Q$97,$CN52))</f>
        <v>0</v>
      </c>
      <c r="CP52" s="139" cm="1">
        <f t="array" ref="CP52">IF($CN52="-","-",SUMIFS($AD$4:$AD$97,$AA$4:$AA$97,$BD52,$R$4:$R$97,$CN52)+SUMIFS($AC$4:$AC$97,$AF$4:$AF$97,$BD52,$Q$4:$Q$97,$CN52))</f>
        <v>5</v>
      </c>
      <c r="CQ52" s="139" cm="1">
        <f t="array" ref="CQ52">IF($CN52="-","-",CO52-CP52)</f>
        <v>-5</v>
      </c>
      <c r="CR52" s="139">
        <v>1</v>
      </c>
      <c r="CS52" s="112" t="s">
        <v>113</v>
      </c>
      <c r="CT52" s="139" cm="1">
        <f t="array" ref="CT52">IF($CS52="-","-",SUMIFS($AC$4:$AC$97,$AA$4:$AA$97,$BD52,$U$4:$U$97,$CS52)+SUMIFS($AD$4:$AD$97,$AF$4:$AF$97,$BD52,$T$4:$T$97,$CS52))</f>
        <v>0</v>
      </c>
      <c r="CU52" s="139">
        <v>1</v>
      </c>
      <c r="CV52" s="112" t="s">
        <v>113</v>
      </c>
      <c r="CW52" s="139" cm="1">
        <f t="array" ref="CW52">IF(CV52="-","-",BL52)</f>
        <v>-5</v>
      </c>
      <c r="CX52" s="139">
        <v>1</v>
      </c>
      <c r="CY52" s="112" t="s">
        <v>113</v>
      </c>
      <c r="CZ52" s="139" cm="1">
        <f t="array" ref="CZ52">IF(CY52="-","-",BJ52)</f>
        <v>0</v>
      </c>
      <c r="DA52" s="139">
        <v>1</v>
      </c>
      <c r="DB52" s="112" t="s">
        <v>113</v>
      </c>
      <c r="DC52" s="139">
        <v>3</v>
      </c>
      <c r="DD52" s="139">
        <v>3</v>
      </c>
      <c r="DE52" s="126"/>
      <c r="DF52" s="139" cm="1">
        <f t="array" ref="DF52">IF(OR(INDEX($AW$6:$AW$97,MATCH($BD52,$AV$6:$AV$97,0))="",DB52="-"),DD52,INDEX($AW$6:$AW$97,MATCH($BD52,$AV$6:$AV$97,0))+DD52/1000)</f>
        <v>3</v>
      </c>
      <c r="DG52" s="139">
        <v>2</v>
      </c>
      <c r="DH52" s="139">
        <v>3</v>
      </c>
      <c r="DI52" s="126"/>
      <c r="DJ52" s="139" cm="1">
        <f t="array" ref="DJ52">INDEX($DA$6:$DA$53,MATCH($DQ52,$BD$6:$BD$53,0))</f>
        <v>1</v>
      </c>
      <c r="DK52" s="139" cm="1">
        <f t="array" ref="DK52">SUMIF($BC$6:$BC$53,BC52,$BF$6:$BF$53)</f>
        <v>12</v>
      </c>
      <c r="DL52" s="139" cm="1">
        <f t="array" ref="DL52">IF(OR(DK52=12,$AJ$99=144),COUNTIFS($DJ$6:$DJ$53,DJ52,$BC$6:$BC$53,BC52),1)</f>
        <v>4</v>
      </c>
      <c r="DM52" s="126" t="str" cm="1">
        <f t="array" ref="DM52">DJ52&amp;"."&amp;DL52</f>
        <v>1.4</v>
      </c>
      <c r="DN52" s="139">
        <v>1</v>
      </c>
      <c r="DO52" s="126"/>
      <c r="DP52" s="112" t="s">
        <v>214</v>
      </c>
      <c r="DQ52" s="126" t="str" cm="1">
        <f t="array" ref="DQ52">INDEX($BD$6:$BD$53,MATCH(DP52,$BM$6:$BM$53,0))</f>
        <v>Ghana</v>
      </c>
      <c r="DR52" s="77"/>
      <c r="DS52" s="77"/>
      <c r="DT52" s="78"/>
      <c r="DU52" s="12"/>
    </row>
    <row r="53" spans="1:125" ht="16" customHeight="1" x14ac:dyDescent="0.2">
      <c r="A53" s="79" t="s">
        <v>165</v>
      </c>
      <c r="B53" s="68"/>
      <c r="C53" s="68"/>
      <c r="D53" s="68" t="str" cm="1">
        <f t="array" ref="D53">IF(OR(AC53="",AD53=""),"Pendiente",IF(AC53&gt;AD53,"Local",IF(AC53&lt;AD53,"Visitante","Empate")))</f>
        <v>Empate</v>
      </c>
      <c r="E53" s="68" t="str" cm="1">
        <f t="array" ref="E53">IF(D53="Pendiente","-",INDEX($BT$6:$BT$53,MATCH($AA53,$BD$6:$BD$53,0)))</f>
        <v>P.1 (4)</v>
      </c>
      <c r="F53" s="68" t="str" cm="1">
        <f t="array" ref="F53">IF(D53="Pendiente","-",INDEX($BT$6:$BT$53,MATCH($AF53,$BD$6:$BD$53,0)))</f>
        <v>P.1 (4)</v>
      </c>
      <c r="G53" s="68"/>
      <c r="H53" s="68" t="str" cm="1">
        <f t="array" ref="H53">IF(D53="Pendiente","-",INDEX($BZ$6:$BZ$53,MATCH($AA53,$BD$6:$BD$53,0)))</f>
        <v>P.1 (4)</v>
      </c>
      <c r="I53" s="68" t="str" cm="1">
        <f t="array" ref="I53">IF(D53="Pendiente","-",INDEX($BZ$6:$BZ$53,MATCH($AF53,$BD$6:$BD$53,0)))</f>
        <v>P.1 (4)</v>
      </c>
      <c r="J53" s="68"/>
      <c r="K53" s="68" t="str" cm="1">
        <f t="array" ref="K53">IF(D53="Pendiente","-",INDEX($CE$6:$CE$53,MATCH($AA53,$BD$6:$BD$53,0)))</f>
        <v>P.1 (4)</v>
      </c>
      <c r="L53" s="68" t="str" cm="1">
        <f t="array" ref="L53">IF(D53="Pendiente","-",INDEX($CE$6:$CE$53,MATCH($AF53,$BD$6:$BD$53,0)))</f>
        <v>P.1 (4)</v>
      </c>
      <c r="M53" s="68"/>
      <c r="N53" s="68" t="str" cm="1">
        <f t="array" ref="N53">IF(D53="Pendiente","-",INDEX($CH$6:$CH$53,MATCH($AA53,$BD$6:$BD$53,0)))</f>
        <v>P.1 (4)</v>
      </c>
      <c r="O53" s="68" t="str" cm="1">
        <f t="array" ref="O53">IF(D53="Pendiente","-",INDEX($CH$6:$CH$53,MATCH($AF53,$BD$6:$BD$53,0)))</f>
        <v>P.1 (4)</v>
      </c>
      <c r="P53" s="68"/>
      <c r="Q53" s="68" t="str" cm="1">
        <f t="array" ref="Q53">IF(D53="Pendiente","-",INDEX($CN$6:$CN$53,MATCH($AA53,$BD$6:$BD$53,0)))</f>
        <v>P.1 (4)</v>
      </c>
      <c r="R53" s="68" t="str" cm="1">
        <f t="array" ref="R53">IF(D53="Pendiente","-",INDEX($CN$6:$CN$53,MATCH($AF53,$BD$6:$BD$53,0)))</f>
        <v>P.1 (4)</v>
      </c>
      <c r="S53" s="68"/>
      <c r="T53" s="68" t="str" cm="1">
        <f t="array" ref="T53">IF(D53="Pendiente","-",INDEX($CS$6:$CS$53,MATCH($AA53,$BD$6:$BD$53,0)))</f>
        <v>P.1 (4)</v>
      </c>
      <c r="U53" s="68" t="str" cm="1">
        <f t="array" ref="U53">IF(D53="Pendiente","-",INDEX($CS$6:$CS$53,MATCH($AF53,$BD$6:$BD$53,0)))</f>
        <v>P.1 (4)</v>
      </c>
      <c r="V53" s="80"/>
      <c r="W53" s="761"/>
      <c r="X53" s="96">
        <v>46188.875</v>
      </c>
      <c r="Y53" s="97">
        <v>46188.875</v>
      </c>
      <c r="Z53" s="113" t="str" cm="1">
        <f t="array" ref="Z53">$Z$4</f>
        <v>J1</v>
      </c>
      <c r="AA53" s="99" t="str" cm="1">
        <f t="array" ref="AA53">A55</f>
        <v>Irán</v>
      </c>
      <c r="AB53" s="100"/>
      <c r="AC53" s="114">
        <v>1</v>
      </c>
      <c r="AD53" s="114">
        <v>1</v>
      </c>
      <c r="AE53" s="102"/>
      <c r="AF53" s="103" t="str" cm="1">
        <f t="array" ref="AF53">A56</f>
        <v>Nueva Zelanda</v>
      </c>
      <c r="AG53" s="104" cm="1">
        <f t="array" ref="AG53">IF(NOT(OR(ISBLANK(AC53),ISBLANK(AD53))),1,0)</f>
        <v>1</v>
      </c>
      <c r="AH53" s="105">
        <v>15</v>
      </c>
      <c r="AI53" s="106"/>
      <c r="AJ53" s="196" t="str" cm="1">
        <f t="array" ref="AJ53">AJ5</f>
        <v>Pos</v>
      </c>
      <c r="AK53" s="116"/>
      <c r="AL53" s="197" t="str" cm="1">
        <f t="array" ref="AL53">AL5</f>
        <v>Selección</v>
      </c>
      <c r="AM53" s="116" t="str" cm="1">
        <f t="array" ref="AM53">AM5</f>
        <v>Pts</v>
      </c>
      <c r="AN53" s="116" t="str" cm="1">
        <f t="array" ref="AN53">AN5</f>
        <v>J</v>
      </c>
      <c r="AO53" s="116" t="str" cm="1">
        <f t="array" ref="AO53">AO5</f>
        <v>G</v>
      </c>
      <c r="AP53" s="116" t="str" cm="1">
        <f t="array" ref="AP53">AP5</f>
        <v>E</v>
      </c>
      <c r="AQ53" s="116" t="str" cm="1">
        <f t="array" ref="AQ53">AQ5</f>
        <v>P</v>
      </c>
      <c r="AR53" s="116" t="str" cm="1">
        <f t="array" ref="AR53">AR5</f>
        <v>GF</v>
      </c>
      <c r="AS53" s="116" t="str" cm="1">
        <f t="array" ref="AS53">AS5</f>
        <v>GC</v>
      </c>
      <c r="AT53" s="198" t="str" cm="1">
        <f t="array" ref="AT53">AT5</f>
        <v>DG</v>
      </c>
      <c r="AU53" s="199" cm="1">
        <f t="array" ref="AU53">COUNTIF(AU54:AU57,"&gt;1")</f>
        <v>4</v>
      </c>
      <c r="AV53" s="121"/>
      <c r="AW53" s="200"/>
      <c r="AX53" s="201"/>
      <c r="AY53" s="123" t="str" cm="1">
        <f t="array" ref="AY53">AL53</f>
        <v>Selección</v>
      </c>
      <c r="AZ53" s="124" t="s">
        <v>60</v>
      </c>
      <c r="BA53" s="125"/>
      <c r="BB53" s="77"/>
      <c r="BC53" s="112" t="s">
        <v>208</v>
      </c>
      <c r="BD53" s="112" t="s">
        <v>215</v>
      </c>
      <c r="BE53" s="139" cm="1">
        <f t="array" ref="BE53">BG53*3+BH53+IF($AZ$3="No",0,INDEX($AZ$6:$AZ$97,MATCH(BD53,$AY$6:$AY$97,0)))</f>
        <v>3</v>
      </c>
      <c r="BF53" s="139" cm="1">
        <f t="array" ref="BF53">BG53+BH53+BI53</f>
        <v>3</v>
      </c>
      <c r="BG53" s="139" cm="1">
        <f t="array" ref="BG53">COUNTIFS($AA$4:$AA$97,BD53,$D$4:$D$97,"Local")+COUNTIFS($AF$4:$AF$97,BD53,$D$4:$D$97,"Visitante")</f>
        <v>1</v>
      </c>
      <c r="BH53" s="139" cm="1">
        <f t="array" ref="BH53">COUNTIFS($AA$4:$AA$97,BD53,$D$4:$D$97,"Empate")+COUNTIFS($AF$4:$AF$97,BD53,$D$4:$D$97,"Empate")</f>
        <v>0</v>
      </c>
      <c r="BI53" s="139" cm="1">
        <f t="array" ref="BI53">COUNTIFS($AF$4:$AF$97,BD53,$D$4:$D$97,"Local")+COUNTIFS($AA$4:$AA$97,BD53,$D$4:$D$97,"Visitante")</f>
        <v>2</v>
      </c>
      <c r="BJ53" s="139" cm="1">
        <f t="array" ref="BJ53">SUMIFS($AC$4:$AC$97,$AA$4:$AA$97,BD53,$D$4:$D$97,"&lt;&gt;"&amp;"Pendiente",$AC$4:$AC$97,"&lt;&gt;"&amp;"",$AD$4:$AD$97,"&lt;&gt;"&amp;"")+SUMIFS($AD$4:$AD$97,$AF$4:$AF$97,BD53,$D$4:$D$97,"&lt;&gt;"&amp;"Pendiente",$AC$4:$AC$97,"&lt;&gt;"&amp;"",$AD$4:$AD$97,"&lt;&gt;"&amp;"")</f>
        <v>2</v>
      </c>
      <c r="BK53" s="139" cm="1">
        <f t="array" ref="BK53">SUMIFS($AC$4:$AC$97,$AF$4:$AF$97,BD53,$D$4:$D$97,"&lt;&gt;"&amp;"Pendiente",$AC$4:$AC$97,"&lt;&gt;"&amp;"",$AD$4:$AD$97,"&lt;&gt;"&amp;"")+SUMIFS($AD$4:$AD$97,$AA$4:$AA$97,BD53,$D$4:$D$97,"&lt;&gt;"&amp;"Pendiente",$AC$4:$AC$97,"&lt;&gt;"&amp;"",$AD$4:$AD$97,"&lt;&gt;"&amp;"")</f>
        <v>4</v>
      </c>
      <c r="BL53" s="139" cm="1">
        <f t="array" ref="BL53">BJ53-BK53</f>
        <v>-2</v>
      </c>
      <c r="BM53" s="126" t="str" cm="1">
        <f t="array" ref="BM53">DD53&amp;BC53</f>
        <v>4L</v>
      </c>
      <c r="BN53" s="126" t="str" cm="1">
        <f t="array" ref="BN53">DH53&amp;BC53</f>
        <v>4L</v>
      </c>
      <c r="BO53" s="139" cm="1">
        <f t="array" ref="BO53">IF(AND($AJ$99=144,BF53&gt;=1),1,0)</f>
        <v>0</v>
      </c>
      <c r="BP53" s="139">
        <v>1</v>
      </c>
      <c r="BQ53" s="112" t="s">
        <v>113</v>
      </c>
      <c r="BR53" s="139" cm="1">
        <f t="array" ref="BR53">IF($BQ53="-","-",BE53)</f>
        <v>3</v>
      </c>
      <c r="BS53" s="139">
        <v>1</v>
      </c>
      <c r="BT53" s="112" t="s">
        <v>113</v>
      </c>
      <c r="BU53" s="139" cm="1">
        <f t="array" ref="BU53">IF($BT53="-","-",COUNTIFS($AA$4:$AA$97,$BD53,$D$4:$D$97,"Local",$F$4:$F$97,$BT53)+COUNTIFS($AF$4:$AF$97,$BD53,$D$4:$D$97,"Visitante",$E$4:$E$97,$BT53))</f>
        <v>1</v>
      </c>
      <c r="BV53" s="139" cm="1">
        <f t="array" ref="BV53">IF($BT53="-","-",COUNTIFS($AA$4:$AA$97,$BD53,$D$4:$D$97,"Empate",$F$4:$F$97,$BT53)+COUNTIFS($AF$4:$AF$97,$BD53,$D$4:$D$97,"Empate",$E$4:$E$97,$BT53))</f>
        <v>0</v>
      </c>
      <c r="BW53" s="139" cm="1">
        <f t="array" ref="BW53">IF($BT53="-","-",COUNTIFS($AA$4:$AA$97,$BD53,$D$4:$D$97,"Visitante",$F$4:$F$97,$BT53)+COUNTIFS($AF$4:$AF$97,$BD53,$D$4:$D$97,"Local",$E$4:$E$97,$BT53))</f>
        <v>2</v>
      </c>
      <c r="BX53" s="139" cm="1">
        <f t="array" ref="BX53">IF($BT53="-","-",BU53*3+BV53)</f>
        <v>3</v>
      </c>
      <c r="BY53" s="139">
        <v>1</v>
      </c>
      <c r="BZ53" s="112" t="s">
        <v>113</v>
      </c>
      <c r="CA53" s="139" cm="1">
        <f t="array" ref="CA53">IF($BZ53="-","-",SUMIFS($AC$4:$AC$97,$AA$4:$AA$97,$BD53,$I$4:$I$97,$BZ53)+SUMIFS($AD$4:$AD$97,$AF$4:$AF$97,$BD53,$H$4:$H$97,$BZ53))</f>
        <v>2</v>
      </c>
      <c r="CB53" s="139" cm="1">
        <f t="array" ref="CB53">IF($BZ53="-","-",SUMIFS($AD$4:$AD$97,$AA$4:$AA$97,$BD53,$I$4:$I$97,$BZ53)+SUMIFS($AC$4:$AC$97,$AF$4:$AF$97,$BD53,$H$4:$H$97,$BZ53))</f>
        <v>4</v>
      </c>
      <c r="CC53" s="139" cm="1">
        <f t="array" ref="CC53">IF($BZ53="-","-",CA53-CB53)</f>
        <v>-2</v>
      </c>
      <c r="CD53" s="139">
        <v>1</v>
      </c>
      <c r="CE53" s="112" t="s">
        <v>113</v>
      </c>
      <c r="CF53" s="139" cm="1">
        <f t="array" ref="CF53">IF($CE53="-","-",SUMIFS($AC$4:$AC$97,$AA$4:$AA$97,$BD53,$L$4:$L$97,$CE53)+SUMIFS($AD$4:$AD$97,$AF$4:$AF$97,$BD53,$K$4:$K$97,$CE53))</f>
        <v>2</v>
      </c>
      <c r="CG53" s="139">
        <v>1</v>
      </c>
      <c r="CH53" s="112" t="s">
        <v>113</v>
      </c>
      <c r="CI53" s="139" cm="1">
        <f t="array" ref="CI53">IF($CH53="-","-",COUNTIFS($AA$4:$AA$97,$BD53,$D$4:$D$97,"Local",$O$4:$O$97,$CH53)+COUNTIFS($AF$4:$AF$97,$BD53,$D$4:$D$97,"Visitante",$N$4:$N$97,$CH53))</f>
        <v>1</v>
      </c>
      <c r="CJ53" s="139" cm="1">
        <f t="array" ref="CJ53">IF($CH53="-","-",COUNTIFS($AA$4:$AA$97,$BD53,$D$4:$D$97,"Empate",$O$4:$O$97,$CH53)+COUNTIFS($AF$4:$AF$97,$BD53,$D$4:$D$97,"Empate",$N$4:$N$97,$CH53))</f>
        <v>0</v>
      </c>
      <c r="CK53" s="139" cm="1">
        <f t="array" ref="CK53">IF($CH53="-","-",COUNTIFS($AA$4:$AA$97,$BD53,$D$4:$D$97,"Visitante",$O$4:$O$97,$CH53)+COUNTIFS($AF$4:$AF$97,$BD53,$D$4:$D$97,"Local",$N$4:$N$97,$CH53))</f>
        <v>2</v>
      </c>
      <c r="CL53" s="139" cm="1">
        <f t="array" ref="CL53">IF($CH53="-","-",CI53*3+CJ53)</f>
        <v>3</v>
      </c>
      <c r="CM53" s="139">
        <v>1</v>
      </c>
      <c r="CN53" s="112" t="s">
        <v>113</v>
      </c>
      <c r="CO53" s="139" cm="1">
        <f t="array" ref="CO53">IF($CN53="-","-",SUMIFS($AC$4:$AC$97,$AA$4:$AA$97,$BD53,$R$4:$R$97,$CN53)+SUMIFS($AD$4:$AD$97,$AF$4:$AF$97,$BD53,$Q$4:$Q$97,$CN53))</f>
        <v>2</v>
      </c>
      <c r="CP53" s="139" cm="1">
        <f t="array" ref="CP53">IF($CN53="-","-",SUMIFS($AD$4:$AD$97,$AA$4:$AA$97,$BD53,$R$4:$R$97,$CN53)+SUMIFS($AC$4:$AC$97,$AF$4:$AF$97,$BD53,$Q$4:$Q$97,$CN53))</f>
        <v>4</v>
      </c>
      <c r="CQ53" s="139" cm="1">
        <f t="array" ref="CQ53">IF($CN53="-","-",CO53-CP53)</f>
        <v>-2</v>
      </c>
      <c r="CR53" s="139">
        <v>1</v>
      </c>
      <c r="CS53" s="112" t="s">
        <v>113</v>
      </c>
      <c r="CT53" s="139" cm="1">
        <f t="array" ref="CT53">IF($CS53="-","-",SUMIFS($AC$4:$AC$97,$AA$4:$AA$97,$BD53,$U$4:$U$97,$CS53)+SUMIFS($AD$4:$AD$97,$AF$4:$AF$97,$BD53,$T$4:$T$97,$CS53))</f>
        <v>2</v>
      </c>
      <c r="CU53" s="139">
        <v>1</v>
      </c>
      <c r="CV53" s="112" t="s">
        <v>113</v>
      </c>
      <c r="CW53" s="139" cm="1">
        <f t="array" ref="CW53">IF(CV53="-","-",BL53)</f>
        <v>-2</v>
      </c>
      <c r="CX53" s="139">
        <v>1</v>
      </c>
      <c r="CY53" s="112" t="s">
        <v>113</v>
      </c>
      <c r="CZ53" s="139" cm="1">
        <f t="array" ref="CZ53">IF(CY53="-","-",BJ53)</f>
        <v>2</v>
      </c>
      <c r="DA53" s="139">
        <v>1</v>
      </c>
      <c r="DB53" s="112" t="s">
        <v>113</v>
      </c>
      <c r="DC53" s="139">
        <v>4</v>
      </c>
      <c r="DD53" s="139">
        <v>4</v>
      </c>
      <c r="DE53" s="126"/>
      <c r="DF53" s="139" cm="1">
        <f t="array" ref="DF53">IF(OR(INDEX($AW$6:$AW$97,MATCH($BD53,$AV$6:$AV$97,0))="",DB53="-"),DD53,INDEX($AW$6:$AW$97,MATCH($BD53,$AV$6:$AV$97,0))+DD53/1000)</f>
        <v>4</v>
      </c>
      <c r="DG53" s="139">
        <v>3</v>
      </c>
      <c r="DH53" s="139">
        <v>4</v>
      </c>
      <c r="DI53" s="126"/>
      <c r="DJ53" s="139" cm="1">
        <f t="array" ref="DJ53">INDEX($DA$6:$DA$53,MATCH($DQ53,$BD$6:$BD$53,0))</f>
        <v>1</v>
      </c>
      <c r="DK53" s="139" cm="1">
        <f t="array" ref="DK53">SUMIF($BC$6:$BC$53,BC53,$BF$6:$BF$53)</f>
        <v>12</v>
      </c>
      <c r="DL53" s="139" cm="1">
        <f t="array" ref="DL53">IF(OR(DK53=12,$AJ$99=144),COUNTIFS($DJ$6:$DJ$53,DJ53,$BC$6:$BC$53,BC53),1)</f>
        <v>4</v>
      </c>
      <c r="DM53" s="126" t="str" cm="1">
        <f t="array" ref="DM53">DJ53&amp;"."&amp;DL53</f>
        <v>1.4</v>
      </c>
      <c r="DN53" s="139">
        <v>1</v>
      </c>
      <c r="DO53" s="126"/>
      <c r="DP53" s="112" t="s">
        <v>216</v>
      </c>
      <c r="DQ53" s="126" t="str" cm="1">
        <f t="array" ref="DQ53">INDEX($BD$6:$BD$53,MATCH(DP53,$BM$6:$BM$53,0))</f>
        <v>Panamá</v>
      </c>
      <c r="DR53" s="77"/>
      <c r="DS53" s="77"/>
      <c r="DT53" s="78"/>
      <c r="DU53" s="12"/>
    </row>
    <row r="54" spans="1:125" ht="16" customHeight="1" x14ac:dyDescent="0.2">
      <c r="A54" s="79" t="s">
        <v>167</v>
      </c>
      <c r="B54" s="68"/>
      <c r="C54" s="68"/>
      <c r="D54" s="68" t="str" cm="1">
        <f t="array" ref="D54">IF(OR(AC54="",AD54=""),"Pendiente",IF(AC54&gt;AD54,"Local",IF(AC54&lt;AD54,"Visitante","Empate")))</f>
        <v>Local</v>
      </c>
      <c r="E54" s="68" t="str" cm="1">
        <f t="array" ref="E54">IF(D54="Pendiente","-",INDEX($BT$6:$BT$53,MATCH($AA54,$BD$6:$BD$53,0)))</f>
        <v>P.1 (4)</v>
      </c>
      <c r="F54" s="68" t="str" cm="1">
        <f t="array" ref="F54">IF(D54="Pendiente","-",INDEX($BT$6:$BT$53,MATCH($AF54,$BD$6:$BD$53,0)))</f>
        <v>P.1 (4)</v>
      </c>
      <c r="G54" s="68"/>
      <c r="H54" s="68" t="str" cm="1">
        <f t="array" ref="H54">IF(D54="Pendiente","-",INDEX($BZ$6:$BZ$53,MATCH($AA54,$BD$6:$BD$53,0)))</f>
        <v>P.1 (4)</v>
      </c>
      <c r="I54" s="68" t="str" cm="1">
        <f t="array" ref="I54">IF(D54="Pendiente","-",INDEX($BZ$6:$BZ$53,MATCH($AF54,$BD$6:$BD$53,0)))</f>
        <v>P.1 (4)</v>
      </c>
      <c r="J54" s="68"/>
      <c r="K54" s="68" t="str" cm="1">
        <f t="array" ref="K54">IF(D54="Pendiente","-",INDEX($CE$6:$CE$53,MATCH($AA54,$BD$6:$BD$53,0)))</f>
        <v>P.1 (4)</v>
      </c>
      <c r="L54" s="68" t="str" cm="1">
        <f t="array" ref="L54">IF(D54="Pendiente","-",INDEX($CE$6:$CE$53,MATCH($AF54,$BD$6:$BD$53,0)))</f>
        <v>P.1 (4)</v>
      </c>
      <c r="M54" s="68"/>
      <c r="N54" s="68" t="str" cm="1">
        <f t="array" ref="N54">IF(D54="Pendiente","-",INDEX($CH$6:$CH$53,MATCH($AA54,$BD$6:$BD$53,0)))</f>
        <v>P.1 (4)</v>
      </c>
      <c r="O54" s="68" t="str" cm="1">
        <f t="array" ref="O54">IF(D54="Pendiente","-",INDEX($CH$6:$CH$53,MATCH($AF54,$BD$6:$BD$53,0)))</f>
        <v>P.1 (4)</v>
      </c>
      <c r="P54" s="68"/>
      <c r="Q54" s="68" t="str" cm="1">
        <f t="array" ref="Q54">IF(D54="Pendiente","-",INDEX($CN$6:$CN$53,MATCH($AA54,$BD$6:$BD$53,0)))</f>
        <v>P.1 (4)</v>
      </c>
      <c r="R54" s="68" t="str" cm="1">
        <f t="array" ref="R54">IF(D54="Pendiente","-",INDEX($CN$6:$CN$53,MATCH($AF54,$BD$6:$BD$53,0)))</f>
        <v>P.1 (4)</v>
      </c>
      <c r="S54" s="68"/>
      <c r="T54" s="68" t="str" cm="1">
        <f t="array" ref="T54">IF(D54="Pendiente","-",INDEX($CS$6:$CS$53,MATCH($AA54,$BD$6:$BD$53,0)))</f>
        <v>P.1 (4)</v>
      </c>
      <c r="U54" s="68" t="str" cm="1">
        <f t="array" ref="U54">IF(D54="Pendiente","-",INDEX($CS$6:$CS$53,MATCH($AF54,$BD$6:$BD$53,0)))</f>
        <v>P.1 (4)</v>
      </c>
      <c r="V54" s="80"/>
      <c r="W54" s="762"/>
      <c r="X54" s="96">
        <v>46194.625</v>
      </c>
      <c r="Y54" s="97">
        <v>46194.625</v>
      </c>
      <c r="Z54" s="113" t="str" cm="1">
        <f t="array" ref="Z54">$Z$6</f>
        <v>J2</v>
      </c>
      <c r="AA54" s="99" t="str" cm="1">
        <f t="array" ref="AA54">A53</f>
        <v>Bélgica</v>
      </c>
      <c r="AB54" s="100"/>
      <c r="AC54" s="114">
        <v>4</v>
      </c>
      <c r="AD54" s="114">
        <v>0</v>
      </c>
      <c r="AE54" s="102"/>
      <c r="AF54" s="103" t="str" cm="1">
        <f t="array" ref="AF54">A55</f>
        <v>Irán</v>
      </c>
      <c r="AG54" s="104" cm="1">
        <f t="array" ref="AG54">IF(NOT(OR(ISBLANK(AC54),ISBLANK(AD54))),1,0)</f>
        <v>1</v>
      </c>
      <c r="AH54" s="105">
        <v>39</v>
      </c>
      <c r="AI54" s="106" t="str" cm="1">
        <f t="array" ref="AI54">AJ54&amp;$B$52</f>
        <v>1G</v>
      </c>
      <c r="AJ54" s="127">
        <v>1</v>
      </c>
      <c r="AK54" s="204"/>
      <c r="AL54" s="129" t="str" cm="1">
        <f t="array" ref="AL54">IFERROR(INDEX($BD$6:$BD$53,MATCH(AI54,$BN$6:$BN$53,0)),"")</f>
        <v>Bélgica</v>
      </c>
      <c r="AM54" s="130" cm="1">
        <f t="array" ref="AM54">INDEX($BE$6:$BN$53,MATCH($AL54,$BD$6:$BD$53,0),MATCH(AM$5,$BE$5:$BN$5,0))</f>
        <v>9</v>
      </c>
      <c r="AN54" s="131" cm="1">
        <f t="array" ref="AN54">INDEX($BE$6:$BN$53,MATCH($AL54,$BD$6:$BD$53,0),MATCH(AN$5,$BE$5:$BN$5,0))</f>
        <v>3</v>
      </c>
      <c r="AO54" s="131" cm="1">
        <f t="array" ref="AO54">INDEX($BE$6:$BN$53,MATCH($AL54,$BD$6:$BD$53,0),MATCH(AO$5,$BE$5:$BN$5,0))</f>
        <v>3</v>
      </c>
      <c r="AP54" s="131" cm="1">
        <f t="array" ref="AP54">INDEX($BE$6:$BN$53,MATCH($AL54,$BD$6:$BD$53,0),MATCH(AP$5,$BE$5:$BN$5,0))</f>
        <v>0</v>
      </c>
      <c r="AQ54" s="131" cm="1">
        <f t="array" ref="AQ54">INDEX($BE$6:$BN$53,MATCH($AL54,$BD$6:$BD$53,0),MATCH(AQ$5,$BE$5:$BN$5,0))</f>
        <v>0</v>
      </c>
      <c r="AR54" s="131" cm="1">
        <f t="array" ref="AR54">INDEX($BE$6:$BN$53,MATCH($AL54,$BD$6:$BD$53,0),MATCH(AR$5,$BE$5:$BN$5,0))</f>
        <v>9</v>
      </c>
      <c r="AS54" s="131" cm="1">
        <f t="array" ref="AS54">INDEX($BE$6:$BN$53,MATCH($AL54,$BD$6:$BD$53,0),MATCH(AS$5,$BE$5:$BN$5,0))</f>
        <v>1</v>
      </c>
      <c r="AT54" s="132" cm="1">
        <f t="array" ref="AT54">INDEX($BE$6:$BN$53,MATCH($AL54,$BD$6:$BD$53,0),MATCH(AT$5,$BE$5:$BN$5,0))</f>
        <v>8</v>
      </c>
      <c r="AU54" s="133" cm="1">
        <f t="array" ref="AU54">INDEX($DL$6:$DL$53,MATCH(AI54,$DP$6:$DP$53,0))</f>
        <v>4</v>
      </c>
      <c r="AV54" s="134" t="str" cm="1">
        <f t="array" ref="AV54">INDEX($BD$6:$BD$53,MATCH(AI54,$BM$6:$BM$53,0))</f>
        <v>Bélgica</v>
      </c>
      <c r="AW54" s="135"/>
      <c r="AX54" s="136"/>
      <c r="AY54" s="137" t="str" cm="1">
        <f t="array" ref="AY54">A53</f>
        <v>Bélgica</v>
      </c>
      <c r="AZ54" s="138"/>
      <c r="BA54" s="125"/>
      <c r="BB54" s="77"/>
      <c r="BC54" s="77"/>
      <c r="BD54" s="77"/>
      <c r="BE54" s="77"/>
      <c r="BF54" s="77"/>
      <c r="BG54" s="77"/>
      <c r="BH54" s="77"/>
      <c r="BI54" s="77"/>
      <c r="BJ54" s="77"/>
      <c r="BK54" s="77"/>
      <c r="BL54" s="77"/>
      <c r="BM54" s="77"/>
      <c r="BN54" s="77"/>
      <c r="BO54" s="77"/>
      <c r="BP54" s="77"/>
      <c r="BQ54" s="77"/>
      <c r="BR54" s="77"/>
      <c r="BS54" s="77"/>
      <c r="BT54" s="77"/>
      <c r="BU54" s="77"/>
      <c r="BV54" s="77"/>
      <c r="BW54" s="77"/>
      <c r="BX54" s="77"/>
      <c r="BY54" s="77"/>
      <c r="BZ54" s="77"/>
      <c r="CA54" s="77"/>
      <c r="CB54" s="77"/>
      <c r="CC54" s="77"/>
      <c r="CD54" s="77"/>
      <c r="CE54" s="77"/>
      <c r="CF54" s="77"/>
      <c r="CG54" s="77"/>
      <c r="CH54" s="77"/>
      <c r="CI54" s="77"/>
      <c r="CJ54" s="77"/>
      <c r="CK54" s="77"/>
      <c r="CL54" s="77"/>
      <c r="CM54" s="77"/>
      <c r="CN54" s="77"/>
      <c r="CO54" s="77"/>
      <c r="CP54" s="77"/>
      <c r="CQ54" s="77"/>
      <c r="CR54" s="77"/>
      <c r="CS54" s="77"/>
      <c r="CT54" s="77"/>
      <c r="CU54" s="77"/>
      <c r="CV54" s="77"/>
      <c r="CW54" s="77"/>
      <c r="CX54" s="77"/>
      <c r="CY54" s="77"/>
      <c r="CZ54" s="77"/>
      <c r="DA54" s="77"/>
      <c r="DB54" s="77"/>
      <c r="DC54" s="77"/>
      <c r="DD54" s="77"/>
      <c r="DE54" s="77"/>
      <c r="DF54" s="77"/>
      <c r="DG54" s="77"/>
      <c r="DH54" s="77"/>
      <c r="DI54" s="77"/>
      <c r="DJ54" s="77"/>
      <c r="DK54" s="77"/>
      <c r="DL54" s="77"/>
      <c r="DM54" s="77"/>
      <c r="DN54" s="77"/>
      <c r="DO54" s="77"/>
      <c r="DP54" s="77"/>
      <c r="DQ54" s="77"/>
      <c r="DR54" s="77"/>
      <c r="DS54" s="77"/>
      <c r="DT54" s="78"/>
      <c r="DU54" s="12"/>
    </row>
    <row r="55" spans="1:125" ht="16" customHeight="1" x14ac:dyDescent="0.2">
      <c r="A55" s="79" t="s">
        <v>169</v>
      </c>
      <c r="B55" s="68"/>
      <c r="C55" s="68"/>
      <c r="D55" s="68" t="str" cm="1">
        <f t="array" ref="D55">IF(OR(AC55="",AD55=""),"Pendiente",IF(AC55&gt;AD55,"Local",IF(AC55&lt;AD55,"Visitante","Empate")))</f>
        <v>Visitante</v>
      </c>
      <c r="E55" s="68" t="str" cm="1">
        <f t="array" ref="E55">IF(D55="Pendiente","-",INDEX($BT$6:$BT$53,MATCH($AA55,$BD$6:$BD$53,0)))</f>
        <v>P.1 (4)</v>
      </c>
      <c r="F55" s="68" t="str" cm="1">
        <f t="array" ref="F55">IF(D55="Pendiente","-",INDEX($BT$6:$BT$53,MATCH($AF55,$BD$6:$BD$53,0)))</f>
        <v>P.1 (4)</v>
      </c>
      <c r="G55" s="68"/>
      <c r="H55" s="68" t="str" cm="1">
        <f t="array" ref="H55">IF(D55="Pendiente","-",INDEX($BZ$6:$BZ$53,MATCH($AA55,$BD$6:$BD$53,0)))</f>
        <v>P.1 (4)</v>
      </c>
      <c r="I55" s="68" t="str" cm="1">
        <f t="array" ref="I55">IF(D55="Pendiente","-",INDEX($BZ$6:$BZ$53,MATCH($AF55,$BD$6:$BD$53,0)))</f>
        <v>P.1 (4)</v>
      </c>
      <c r="J55" s="68"/>
      <c r="K55" s="68" t="str" cm="1">
        <f t="array" ref="K55">IF(D55="Pendiente","-",INDEX($CE$6:$CE$53,MATCH($AA55,$BD$6:$BD$53,0)))</f>
        <v>P.1 (4)</v>
      </c>
      <c r="L55" s="68" t="str" cm="1">
        <f t="array" ref="L55">IF(D55="Pendiente","-",INDEX($CE$6:$CE$53,MATCH($AF55,$BD$6:$BD$53,0)))</f>
        <v>P.1 (4)</v>
      </c>
      <c r="M55" s="68"/>
      <c r="N55" s="68" t="str" cm="1">
        <f t="array" ref="N55">IF(D55="Pendiente","-",INDEX($CH$6:$CH$53,MATCH($AA55,$BD$6:$BD$53,0)))</f>
        <v>P.1 (4)</v>
      </c>
      <c r="O55" s="68" t="str" cm="1">
        <f t="array" ref="O55">IF(D55="Pendiente","-",INDEX($CH$6:$CH$53,MATCH($AF55,$BD$6:$BD$53,0)))</f>
        <v>P.1 (4)</v>
      </c>
      <c r="P55" s="68"/>
      <c r="Q55" s="68" t="str" cm="1">
        <f t="array" ref="Q55">IF(D55="Pendiente","-",INDEX($CN$6:$CN$53,MATCH($AA55,$BD$6:$BD$53,0)))</f>
        <v>P.1 (4)</v>
      </c>
      <c r="R55" s="68" t="str" cm="1">
        <f t="array" ref="R55">IF(D55="Pendiente","-",INDEX($CN$6:$CN$53,MATCH($AF55,$BD$6:$BD$53,0)))</f>
        <v>P.1 (4)</v>
      </c>
      <c r="S55" s="68"/>
      <c r="T55" s="68" t="str" cm="1">
        <f t="array" ref="T55">IF(D55="Pendiente","-",INDEX($CS$6:$CS$53,MATCH($AA55,$BD$6:$BD$53,0)))</f>
        <v>P.1 (4)</v>
      </c>
      <c r="U55" s="68" t="str" cm="1">
        <f t="array" ref="U55">IF(D55="Pendiente","-",INDEX($CS$6:$CS$53,MATCH($AF55,$BD$6:$BD$53,0)))</f>
        <v>P.1 (4)</v>
      </c>
      <c r="V55" s="80"/>
      <c r="W55" s="762"/>
      <c r="X55" s="96">
        <v>46194.875</v>
      </c>
      <c r="Y55" s="97">
        <v>46194.875</v>
      </c>
      <c r="Z55" s="113" t="str" cm="1">
        <f t="array" ref="Z55">$Z$6</f>
        <v>J2</v>
      </c>
      <c r="AA55" s="99" t="str" cm="1">
        <f t="array" ref="AA55">A56</f>
        <v>Nueva Zelanda</v>
      </c>
      <c r="AB55" s="100"/>
      <c r="AC55" s="114">
        <v>0</v>
      </c>
      <c r="AD55" s="114">
        <v>3</v>
      </c>
      <c r="AE55" s="102"/>
      <c r="AF55" s="103" t="str" cm="1">
        <f t="array" ref="AF55">A54</f>
        <v>Egipto</v>
      </c>
      <c r="AG55" s="104" cm="1">
        <f t="array" ref="AG55">IF(NOT(OR(ISBLANK(AC55),ISBLANK(AD55))),1,0)</f>
        <v>1</v>
      </c>
      <c r="AH55" s="105">
        <v>40</v>
      </c>
      <c r="AI55" s="106" t="str" cm="1">
        <f t="array" ref="AI55">AJ55&amp;$B$52</f>
        <v>2G</v>
      </c>
      <c r="AJ55" s="140">
        <v>2</v>
      </c>
      <c r="AK55" s="208"/>
      <c r="AL55" s="142" t="str" cm="1">
        <f t="array" ref="AL55">IFERROR(INDEX($BD$6:$BD$53,MATCH(AI55,$BN$6:$BN$53,0)),"")</f>
        <v>Egipto</v>
      </c>
      <c r="AM55" s="143" cm="1">
        <f t="array" ref="AM55">INDEX($BE$6:$BN$53,MATCH($AL55,$BD$6:$BD$53,0),MATCH(AM$5,$BE$5:$BN$5,0))</f>
        <v>6</v>
      </c>
      <c r="AN55" s="144" cm="1">
        <f t="array" ref="AN55">INDEX($BE$6:$BN$53,MATCH($AL55,$BD$6:$BD$53,0),MATCH(AN$5,$BE$5:$BN$5,0))</f>
        <v>3</v>
      </c>
      <c r="AO55" s="144" cm="1">
        <f t="array" ref="AO55">INDEX($BE$6:$BN$53,MATCH($AL55,$BD$6:$BD$53,0),MATCH(AO$5,$BE$5:$BN$5,0))</f>
        <v>2</v>
      </c>
      <c r="AP55" s="144" cm="1">
        <f t="array" ref="AP55">INDEX($BE$6:$BN$53,MATCH($AL55,$BD$6:$BD$53,0),MATCH(AP$5,$BE$5:$BN$5,0))</f>
        <v>0</v>
      </c>
      <c r="AQ55" s="144" cm="1">
        <f t="array" ref="AQ55">INDEX($BE$6:$BN$53,MATCH($AL55,$BD$6:$BD$53,0),MATCH(AQ$5,$BE$5:$BN$5,0))</f>
        <v>1</v>
      </c>
      <c r="AR55" s="144" cm="1">
        <f t="array" ref="AR55">INDEX($BE$6:$BN$53,MATCH($AL55,$BD$6:$BD$53,0),MATCH(AR$5,$BE$5:$BN$5,0))</f>
        <v>6</v>
      </c>
      <c r="AS55" s="144" cm="1">
        <f t="array" ref="AS55">INDEX($BE$6:$BN$53,MATCH($AL55,$BD$6:$BD$53,0),MATCH(AS$5,$BE$5:$BN$5,0))</f>
        <v>3</v>
      </c>
      <c r="AT55" s="145" cm="1">
        <f t="array" ref="AT55">INDEX($BE$6:$BN$53,MATCH($AL55,$BD$6:$BD$53,0),MATCH(AT$5,$BE$5:$BN$5,0))</f>
        <v>3</v>
      </c>
      <c r="AU55" s="133" cm="1">
        <f t="array" ref="AU55">INDEX($DL$6:$DL$53,MATCH(AI55,$DP$6:$DP$53,0))</f>
        <v>4</v>
      </c>
      <c r="AV55" s="134" t="str" cm="1">
        <f t="array" ref="AV55">INDEX($BD$6:$BD$53,MATCH(AI55,$BM$6:$BM$53,0))</f>
        <v>Egipto</v>
      </c>
      <c r="AW55" s="135"/>
      <c r="AX55" s="136"/>
      <c r="AY55" s="146" t="str" cm="1">
        <f t="array" ref="AY55">A54</f>
        <v>Egipto</v>
      </c>
      <c r="AZ55" s="147"/>
      <c r="BA55" s="125"/>
      <c r="BB55" s="77"/>
      <c r="BC55" s="77"/>
      <c r="BD55" s="77"/>
      <c r="BE55" s="77"/>
      <c r="BF55" s="77"/>
      <c r="BG55" s="77"/>
      <c r="BH55" s="77"/>
      <c r="BI55" s="77"/>
      <c r="BJ55" s="77"/>
      <c r="BK55" s="77"/>
      <c r="BL55" s="77"/>
      <c r="BM55" s="77"/>
      <c r="BN55" s="77"/>
      <c r="BO55" s="77"/>
      <c r="BP55" s="77"/>
      <c r="BQ55" s="77"/>
      <c r="BR55" s="77"/>
      <c r="BS55" s="77"/>
      <c r="BT55" s="77"/>
      <c r="BU55" s="77"/>
      <c r="BV55" s="77"/>
      <c r="BW55" s="77"/>
      <c r="BX55" s="77"/>
      <c r="BY55" s="77"/>
      <c r="BZ55" s="77"/>
      <c r="CA55" s="77"/>
      <c r="CB55" s="77"/>
      <c r="CC55" s="77"/>
      <c r="CD55" s="77"/>
      <c r="CE55" s="77"/>
      <c r="CF55" s="77"/>
      <c r="CG55" s="77"/>
      <c r="CH55" s="77"/>
      <c r="CI55" s="77"/>
      <c r="CJ55" s="77"/>
      <c r="CK55" s="77"/>
      <c r="CL55" s="77"/>
      <c r="CM55" s="77"/>
      <c r="CN55" s="77"/>
      <c r="CO55" s="77"/>
      <c r="CP55" s="77"/>
      <c r="CQ55" s="77"/>
      <c r="CR55" s="77"/>
      <c r="CS55" s="77"/>
      <c r="CT55" s="77"/>
      <c r="CU55" s="77"/>
      <c r="CV55" s="77"/>
      <c r="CW55" s="77"/>
      <c r="CX55" s="77"/>
      <c r="CY55" s="77"/>
      <c r="CZ55" s="77"/>
      <c r="DA55" s="77"/>
      <c r="DB55" s="77"/>
      <c r="DC55" s="77"/>
      <c r="DD55" s="77"/>
      <c r="DE55" s="77"/>
      <c r="DF55" s="77"/>
      <c r="DG55" s="77"/>
      <c r="DH55" s="77"/>
      <c r="DI55" s="77"/>
      <c r="DJ55" s="77"/>
      <c r="DK55" s="77"/>
      <c r="DL55" s="77"/>
      <c r="DM55" s="77"/>
      <c r="DN55" s="77"/>
      <c r="DO55" s="77"/>
      <c r="DP55" s="77"/>
      <c r="DQ55" s="77"/>
      <c r="DR55" s="77"/>
      <c r="DS55" s="77"/>
      <c r="DT55" s="78"/>
      <c r="DU55" s="12"/>
    </row>
    <row r="56" spans="1:125" ht="16" customHeight="1" x14ac:dyDescent="0.2">
      <c r="A56" s="79" t="s">
        <v>171</v>
      </c>
      <c r="B56" s="68"/>
      <c r="C56" s="68"/>
      <c r="D56" s="68" t="str" cm="1">
        <f t="array" ref="D56">IF(OR(AC56="",AD56=""),"Pendiente",IF(AC56&gt;AD56,"Local",IF(AC56&lt;AD56,"Visitante","Empate")))</f>
        <v>Local</v>
      </c>
      <c r="E56" s="68" t="str" cm="1">
        <f t="array" ref="E56">IF(D56="Pendiente","-",INDEX($BT$6:$BT$53,MATCH($AA56,$BD$6:$BD$53,0)))</f>
        <v>P.1 (4)</v>
      </c>
      <c r="F56" s="68" t="str" cm="1">
        <f t="array" ref="F56">IF(D56="Pendiente","-",INDEX($BT$6:$BT$53,MATCH($AF56,$BD$6:$BD$53,0)))</f>
        <v>P.1 (4)</v>
      </c>
      <c r="G56" s="68"/>
      <c r="H56" s="68" t="str" cm="1">
        <f t="array" ref="H56">IF(D56="Pendiente","-",INDEX($BZ$6:$BZ$53,MATCH($AA56,$BD$6:$BD$53,0)))</f>
        <v>P.1 (4)</v>
      </c>
      <c r="I56" s="68" t="str" cm="1">
        <f t="array" ref="I56">IF(D56="Pendiente","-",INDEX($BZ$6:$BZ$53,MATCH($AF56,$BD$6:$BD$53,0)))</f>
        <v>P.1 (4)</v>
      </c>
      <c r="J56" s="68"/>
      <c r="K56" s="68" t="str" cm="1">
        <f t="array" ref="K56">IF(D56="Pendiente","-",INDEX($CE$6:$CE$53,MATCH($AA56,$BD$6:$BD$53,0)))</f>
        <v>P.1 (4)</v>
      </c>
      <c r="L56" s="68" t="str" cm="1">
        <f t="array" ref="L56">IF(D56="Pendiente","-",INDEX($CE$6:$CE$53,MATCH($AF56,$BD$6:$BD$53,0)))</f>
        <v>P.1 (4)</v>
      </c>
      <c r="M56" s="68"/>
      <c r="N56" s="68" t="str" cm="1">
        <f t="array" ref="N56">IF(D56="Pendiente","-",INDEX($CH$6:$CH$53,MATCH($AA56,$BD$6:$BD$53,0)))</f>
        <v>P.1 (4)</v>
      </c>
      <c r="O56" s="68" t="str" cm="1">
        <f t="array" ref="O56">IF(D56="Pendiente","-",INDEX($CH$6:$CH$53,MATCH($AF56,$BD$6:$BD$53,0)))</f>
        <v>P.1 (4)</v>
      </c>
      <c r="P56" s="68"/>
      <c r="Q56" s="68" t="str" cm="1">
        <f t="array" ref="Q56">IF(D56="Pendiente","-",INDEX($CN$6:$CN$53,MATCH($AA56,$BD$6:$BD$53,0)))</f>
        <v>P.1 (4)</v>
      </c>
      <c r="R56" s="68" t="str" cm="1">
        <f t="array" ref="R56">IF(D56="Pendiente","-",INDEX($CN$6:$CN$53,MATCH($AF56,$BD$6:$BD$53,0)))</f>
        <v>P.1 (4)</v>
      </c>
      <c r="S56" s="68"/>
      <c r="T56" s="68" t="str" cm="1">
        <f t="array" ref="T56">IF(D56="Pendiente","-",INDEX($CS$6:$CS$53,MATCH($AA56,$BD$6:$BD$53,0)))</f>
        <v>P.1 (4)</v>
      </c>
      <c r="U56" s="68" t="str" cm="1">
        <f t="array" ref="U56">IF(D56="Pendiente","-",INDEX($CS$6:$CS$53,MATCH($AF56,$BD$6:$BD$53,0)))</f>
        <v>P.1 (4)</v>
      </c>
      <c r="V56" s="80"/>
      <c r="W56" s="762"/>
      <c r="X56" s="96">
        <v>46199.958333333343</v>
      </c>
      <c r="Y56" s="97">
        <v>46199.958333333343</v>
      </c>
      <c r="Z56" s="113" t="str" cm="1">
        <f t="array" ref="Z56">$Z$8</f>
        <v>J3</v>
      </c>
      <c r="AA56" s="99" t="str" cm="1">
        <f t="array" ref="AA56">A54</f>
        <v>Egipto</v>
      </c>
      <c r="AB56" s="100"/>
      <c r="AC56" s="114">
        <v>2</v>
      </c>
      <c r="AD56" s="114">
        <v>1</v>
      </c>
      <c r="AE56" s="102"/>
      <c r="AF56" s="103" t="str" cm="1">
        <f t="array" ref="AF56">A55</f>
        <v>Irán</v>
      </c>
      <c r="AG56" s="104" cm="1">
        <f t="array" ref="AG56">IF(NOT(OR(ISBLANK(AC56),ISBLANK(AD56))),1,0)</f>
        <v>1</v>
      </c>
      <c r="AH56" s="105">
        <v>63</v>
      </c>
      <c r="AI56" s="106" t="str" cm="1">
        <f t="array" ref="AI56">AJ56&amp;$B$52</f>
        <v>3G</v>
      </c>
      <c r="AJ56" s="140">
        <v>3</v>
      </c>
      <c r="AK56" s="208"/>
      <c r="AL56" s="142" t="str" cm="1">
        <f t="array" ref="AL56">IFERROR(INDEX($BD$6:$BD$53,MATCH(AI56,$BN$6:$BN$53,0)),"")</f>
        <v>Irán</v>
      </c>
      <c r="AM56" s="143" cm="1">
        <f t="array" ref="AM56">INDEX($BE$6:$BN$53,MATCH($AL56,$BD$6:$BD$53,0),MATCH(AM$5,$BE$5:$BN$5,0))</f>
        <v>1</v>
      </c>
      <c r="AN56" s="144" cm="1">
        <f t="array" ref="AN56">INDEX($BE$6:$BN$53,MATCH($AL56,$BD$6:$BD$53,0),MATCH(AN$5,$BE$5:$BN$5,0))</f>
        <v>3</v>
      </c>
      <c r="AO56" s="144" cm="1">
        <f t="array" ref="AO56">INDEX($BE$6:$BN$53,MATCH($AL56,$BD$6:$BD$53,0),MATCH(AO$5,$BE$5:$BN$5,0))</f>
        <v>0</v>
      </c>
      <c r="AP56" s="144" cm="1">
        <f t="array" ref="AP56">INDEX($BE$6:$BN$53,MATCH($AL56,$BD$6:$BD$53,0),MATCH(AP$5,$BE$5:$BN$5,0))</f>
        <v>1</v>
      </c>
      <c r="AQ56" s="144" cm="1">
        <f t="array" ref="AQ56">INDEX($BE$6:$BN$53,MATCH($AL56,$BD$6:$BD$53,0),MATCH(AQ$5,$BE$5:$BN$5,0))</f>
        <v>2</v>
      </c>
      <c r="AR56" s="144" cm="1">
        <f t="array" ref="AR56">INDEX($BE$6:$BN$53,MATCH($AL56,$BD$6:$BD$53,0),MATCH(AR$5,$BE$5:$BN$5,0))</f>
        <v>2</v>
      </c>
      <c r="AS56" s="144" cm="1">
        <f t="array" ref="AS56">INDEX($BE$6:$BN$53,MATCH($AL56,$BD$6:$BD$53,0),MATCH(AS$5,$BE$5:$BN$5,0))</f>
        <v>7</v>
      </c>
      <c r="AT56" s="145" cm="1">
        <f t="array" ref="AT56">INDEX($BE$6:$BN$53,MATCH($AL56,$BD$6:$BD$53,0),MATCH(AT$5,$BE$5:$BN$5,0))</f>
        <v>-5</v>
      </c>
      <c r="AU56" s="133" cm="1">
        <f t="array" ref="AU56">INDEX($DL$6:$DL$53,MATCH(AI56,$DP$6:$DP$53,0))</f>
        <v>4</v>
      </c>
      <c r="AV56" s="134" t="str" cm="1">
        <f t="array" ref="AV56">INDEX($BD$6:$BD$53,MATCH(AI56,$BM$6:$BM$53,0))</f>
        <v>Irán</v>
      </c>
      <c r="AW56" s="135"/>
      <c r="AX56" s="136"/>
      <c r="AY56" s="137" t="str" cm="1">
        <f t="array" ref="AY56">A55</f>
        <v>Irán</v>
      </c>
      <c r="AZ56" s="138"/>
      <c r="BA56" s="125"/>
      <c r="BB56" s="112" t="s">
        <v>217</v>
      </c>
      <c r="BC56" s="126"/>
      <c r="BD56" s="126"/>
      <c r="BE56" s="126"/>
      <c r="BF56" s="126"/>
      <c r="BG56" s="126"/>
      <c r="BH56" s="126"/>
      <c r="BI56" s="126"/>
      <c r="BJ56" s="126"/>
      <c r="BK56" s="126"/>
      <c r="BL56" s="126"/>
      <c r="BM56" s="126"/>
      <c r="BN56" s="126"/>
      <c r="BO56" s="126"/>
      <c r="BP56" s="126"/>
      <c r="BQ56" s="126"/>
      <c r="BR56" s="126"/>
      <c r="BS56" s="126"/>
      <c r="BT56" s="126"/>
      <c r="BU56" s="126"/>
      <c r="BV56" s="126"/>
      <c r="BW56" s="126"/>
      <c r="BX56" s="126"/>
      <c r="BY56" s="126"/>
      <c r="BZ56" s="126"/>
      <c r="CA56" s="126"/>
      <c r="CB56" s="126"/>
      <c r="CC56" s="126"/>
      <c r="CD56" s="126"/>
      <c r="CE56" s="126"/>
      <c r="CF56" s="126"/>
      <c r="CG56" s="77"/>
      <c r="CH56" s="77"/>
      <c r="CI56" s="77"/>
      <c r="CJ56" s="77"/>
      <c r="CK56" s="77"/>
      <c r="CL56" s="77"/>
      <c r="CM56" s="77"/>
      <c r="CN56" s="77"/>
      <c r="CO56" s="77"/>
      <c r="CP56" s="77"/>
      <c r="CQ56" s="77"/>
      <c r="CR56" s="77"/>
      <c r="CS56" s="77"/>
      <c r="CT56" s="77"/>
      <c r="CU56" s="77"/>
      <c r="CV56" s="77"/>
      <c r="CW56" s="77"/>
      <c r="CX56" s="77"/>
      <c r="CY56" s="77"/>
      <c r="CZ56" s="77"/>
      <c r="DA56" s="77"/>
      <c r="DB56" s="77"/>
      <c r="DC56" s="77"/>
      <c r="DD56" s="77"/>
      <c r="DE56" s="77"/>
      <c r="DF56" s="77"/>
      <c r="DG56" s="77"/>
      <c r="DH56" s="77"/>
      <c r="DI56" s="77"/>
      <c r="DJ56" s="77"/>
      <c r="DK56" s="77"/>
      <c r="DL56" s="77"/>
      <c r="DM56" s="77"/>
      <c r="DN56" s="77"/>
      <c r="DO56" s="77"/>
      <c r="DP56" s="77"/>
      <c r="DQ56" s="77"/>
      <c r="DR56" s="77"/>
      <c r="DS56" s="77"/>
      <c r="DT56" s="78"/>
      <c r="DU56" s="12"/>
    </row>
    <row r="57" spans="1:125" ht="16" customHeight="1" x14ac:dyDescent="0.2">
      <c r="A57" s="68"/>
      <c r="B57" s="68"/>
      <c r="C57" s="68"/>
      <c r="D57" s="68" t="str" cm="1">
        <f t="array" ref="D57">IF(OR(AC57="",AD57=""),"Pendiente",IF(AC57&gt;AD57,"Local",IF(AC57&lt;AD57,"Visitante","Empate")))</f>
        <v>Visitante</v>
      </c>
      <c r="E57" s="68" t="str" cm="1">
        <f t="array" ref="E57">IF(D57="Pendiente","-",INDEX($BT$6:$BT$53,MATCH($AA57,$BD$6:$BD$53,0)))</f>
        <v>P.1 (4)</v>
      </c>
      <c r="F57" s="68" t="str" cm="1">
        <f t="array" ref="F57">IF(D57="Pendiente","-",INDEX($BT$6:$BT$53,MATCH($AF57,$BD$6:$BD$53,0)))</f>
        <v>P.1 (4)</v>
      </c>
      <c r="G57" s="68"/>
      <c r="H57" s="68" t="str" cm="1">
        <f t="array" ref="H57">IF(D57="Pendiente","-",INDEX($BZ$6:$BZ$53,MATCH($AA57,$BD$6:$BD$53,0)))</f>
        <v>P.1 (4)</v>
      </c>
      <c r="I57" s="68" t="str" cm="1">
        <f t="array" ref="I57">IF(D57="Pendiente","-",INDEX($BZ$6:$BZ$53,MATCH($AF57,$BD$6:$BD$53,0)))</f>
        <v>P.1 (4)</v>
      </c>
      <c r="J57" s="68"/>
      <c r="K57" s="68" t="str" cm="1">
        <f t="array" ref="K57">IF(D57="Pendiente","-",INDEX($CE$6:$CE$53,MATCH($AA57,$BD$6:$BD$53,0)))</f>
        <v>P.1 (4)</v>
      </c>
      <c r="L57" s="68" t="str" cm="1">
        <f t="array" ref="L57">IF(D57="Pendiente","-",INDEX($CE$6:$CE$53,MATCH($AF57,$BD$6:$BD$53,0)))</f>
        <v>P.1 (4)</v>
      </c>
      <c r="M57" s="68"/>
      <c r="N57" s="68" t="str" cm="1">
        <f t="array" ref="N57">IF(D57="Pendiente","-",INDEX($CH$6:$CH$53,MATCH($AA57,$BD$6:$BD$53,0)))</f>
        <v>P.1 (4)</v>
      </c>
      <c r="O57" s="68" t="str" cm="1">
        <f t="array" ref="O57">IF(D57="Pendiente","-",INDEX($CH$6:$CH$53,MATCH($AF57,$BD$6:$BD$53,0)))</f>
        <v>P.1 (4)</v>
      </c>
      <c r="P57" s="68"/>
      <c r="Q57" s="68" t="str" cm="1">
        <f t="array" ref="Q57">IF(D57="Pendiente","-",INDEX($CN$6:$CN$53,MATCH($AA57,$BD$6:$BD$53,0)))</f>
        <v>P.1 (4)</v>
      </c>
      <c r="R57" s="68" t="str" cm="1">
        <f t="array" ref="R57">IF(D57="Pendiente","-",INDEX($CN$6:$CN$53,MATCH($AF57,$BD$6:$BD$53,0)))</f>
        <v>P.1 (4)</v>
      </c>
      <c r="S57" s="68"/>
      <c r="T57" s="68" t="str" cm="1">
        <f t="array" ref="T57">IF(D57="Pendiente","-",INDEX($CS$6:$CS$53,MATCH($AA57,$BD$6:$BD$53,0)))</f>
        <v>P.1 (4)</v>
      </c>
      <c r="U57" s="68" t="str" cm="1">
        <f t="array" ref="U57">IF(D57="Pendiente","-",INDEX($CS$6:$CS$53,MATCH($AF57,$BD$6:$BD$53,0)))</f>
        <v>P.1 (4)</v>
      </c>
      <c r="V57" s="80"/>
      <c r="W57" s="763"/>
      <c r="X57" s="148">
        <v>46199.958333333343</v>
      </c>
      <c r="Y57" s="149">
        <v>46199.958333333343</v>
      </c>
      <c r="Z57" s="150" t="str" cm="1">
        <f t="array" ref="Z57">$Z$8</f>
        <v>J3</v>
      </c>
      <c r="AA57" s="151" t="str" cm="1">
        <f t="array" ref="AA57">A56</f>
        <v>Nueva Zelanda</v>
      </c>
      <c r="AB57" s="152"/>
      <c r="AC57" s="153">
        <v>0</v>
      </c>
      <c r="AD57" s="153">
        <v>3</v>
      </c>
      <c r="AE57" s="154"/>
      <c r="AF57" s="155" t="str" cm="1">
        <f t="array" ref="AF57">A53</f>
        <v>Bélgica</v>
      </c>
      <c r="AG57" s="104" cm="1">
        <f t="array" ref="AG57">IF(NOT(OR(ISBLANK(AC57),ISBLANK(AD57))),1,0)</f>
        <v>1</v>
      </c>
      <c r="AH57" s="105">
        <v>64</v>
      </c>
      <c r="AI57" s="106" t="str" cm="1">
        <f t="array" ref="AI57">AJ57&amp;$B$52</f>
        <v>4G</v>
      </c>
      <c r="AJ57" s="156">
        <v>4</v>
      </c>
      <c r="AK57" s="222"/>
      <c r="AL57" s="158" t="str" cm="1">
        <f t="array" ref="AL57">IFERROR(INDEX($BD$6:$BD$53,MATCH(AI57,$BN$6:$BN$53,0)),"")</f>
        <v>Nueva Zelanda</v>
      </c>
      <c r="AM57" s="159" cm="1">
        <f t="array" ref="AM57">INDEX($BE$6:$BN$53,MATCH($AL57,$BD$6:$BD$53,0),MATCH(AM$5,$BE$5:$BN$5,0))</f>
        <v>1</v>
      </c>
      <c r="AN57" s="160" cm="1">
        <f t="array" ref="AN57">INDEX($BE$6:$BN$53,MATCH($AL57,$BD$6:$BD$53,0),MATCH(AN$5,$BE$5:$BN$5,0))</f>
        <v>3</v>
      </c>
      <c r="AO57" s="160" cm="1">
        <f t="array" ref="AO57">INDEX($BE$6:$BN$53,MATCH($AL57,$BD$6:$BD$53,0),MATCH(AO$5,$BE$5:$BN$5,0))</f>
        <v>0</v>
      </c>
      <c r="AP57" s="160" cm="1">
        <f t="array" ref="AP57">INDEX($BE$6:$BN$53,MATCH($AL57,$BD$6:$BD$53,0),MATCH(AP$5,$BE$5:$BN$5,0))</f>
        <v>1</v>
      </c>
      <c r="AQ57" s="160" cm="1">
        <f t="array" ref="AQ57">INDEX($BE$6:$BN$53,MATCH($AL57,$BD$6:$BD$53,0),MATCH(AQ$5,$BE$5:$BN$5,0))</f>
        <v>2</v>
      </c>
      <c r="AR57" s="160" cm="1">
        <f t="array" ref="AR57">INDEX($BE$6:$BN$53,MATCH($AL57,$BD$6:$BD$53,0),MATCH(AR$5,$BE$5:$BN$5,0))</f>
        <v>1</v>
      </c>
      <c r="AS57" s="160" cm="1">
        <f t="array" ref="AS57">INDEX($BE$6:$BN$53,MATCH($AL57,$BD$6:$BD$53,0),MATCH(AS$5,$BE$5:$BN$5,0))</f>
        <v>7</v>
      </c>
      <c r="AT57" s="161" cm="1">
        <f t="array" ref="AT57">INDEX($BE$6:$BN$53,MATCH($AL57,$BD$6:$BD$53,0),MATCH(AT$5,$BE$5:$BN$5,0))</f>
        <v>-6</v>
      </c>
      <c r="AU57" s="133" cm="1">
        <f t="array" ref="AU57">INDEX($DL$6:$DL$53,MATCH(AI57,$DP$6:$DP$53,0))</f>
        <v>4</v>
      </c>
      <c r="AV57" s="134" t="str" cm="1">
        <f t="array" ref="AV57">INDEX($BD$6:$BD$53,MATCH(AI57,$BM$6:$BM$53,0))</f>
        <v>Nueva Zelanda</v>
      </c>
      <c r="AW57" s="135"/>
      <c r="AX57" s="136"/>
      <c r="AY57" s="162" t="str" cm="1">
        <f t="array" ref="AY57">A56</f>
        <v>Nueva Zelanda</v>
      </c>
      <c r="AZ57" s="163"/>
      <c r="BA57" s="125"/>
      <c r="BB57" s="139">
        <v>1</v>
      </c>
      <c r="BC57" s="126" t="str" cm="1">
        <f t="array" ref="BC57">BC5</f>
        <v>Grupo</v>
      </c>
      <c r="BD57" s="126" t="str" cm="1">
        <f t="array" ref="BD57">BD5</f>
        <v>Selección</v>
      </c>
      <c r="BE57" s="126" t="str" cm="1">
        <f t="array" ref="BE57">BE5</f>
        <v>Pts</v>
      </c>
      <c r="BF57" s="126" t="str" cm="1">
        <f t="array" ref="BF57">BF5</f>
        <v>J</v>
      </c>
      <c r="BG57" s="126" t="str" cm="1">
        <f t="array" ref="BG57">BG5</f>
        <v>G</v>
      </c>
      <c r="BH57" s="126" t="str" cm="1">
        <f t="array" ref="BH57">BH5</f>
        <v>E</v>
      </c>
      <c r="BI57" s="126" t="str" cm="1">
        <f t="array" ref="BI57">BI5</f>
        <v>P</v>
      </c>
      <c r="BJ57" s="126" t="str" cm="1">
        <f t="array" ref="BJ57">BJ5</f>
        <v>GF</v>
      </c>
      <c r="BK57" s="126" t="str" cm="1">
        <f t="array" ref="BK57">BK5</f>
        <v>GC</v>
      </c>
      <c r="BL57" s="126" t="str" cm="1">
        <f t="array" ref="BL57">BL5</f>
        <v>DG</v>
      </c>
      <c r="BM57" s="126" t="str" cm="1">
        <f t="array" ref="BM57">BM5</f>
        <v>PosF1</v>
      </c>
      <c r="BN57" s="126" t="str" cm="1">
        <f t="array" ref="BN57">BN5</f>
        <v>PosF3</v>
      </c>
      <c r="BO57" s="126"/>
      <c r="BP57" s="126"/>
      <c r="BQ57" s="126"/>
      <c r="BR57" s="112" t="s">
        <v>66</v>
      </c>
      <c r="BS57" s="112" t="s">
        <v>67</v>
      </c>
      <c r="BT57" s="112" t="s">
        <v>68</v>
      </c>
      <c r="BU57" s="112" t="s">
        <v>59</v>
      </c>
      <c r="BV57" s="112" t="s">
        <v>73</v>
      </c>
      <c r="BW57" s="112" t="s">
        <v>74</v>
      </c>
      <c r="BX57" s="112" t="s">
        <v>57</v>
      </c>
      <c r="BY57" s="112" t="s">
        <v>78</v>
      </c>
      <c r="BZ57" s="112" t="s">
        <v>79</v>
      </c>
      <c r="CA57" s="112" t="s">
        <v>218</v>
      </c>
      <c r="CB57" s="112" t="s">
        <v>100</v>
      </c>
      <c r="CC57" s="126"/>
      <c r="CD57" s="112" t="s">
        <v>101</v>
      </c>
      <c r="CE57" s="112" t="s">
        <v>102</v>
      </c>
      <c r="CF57" s="112" t="s">
        <v>103</v>
      </c>
      <c r="CG57" s="77"/>
      <c r="CH57" s="77"/>
      <c r="CI57" s="77"/>
      <c r="CJ57" s="77"/>
      <c r="CK57" s="77"/>
      <c r="CL57" s="77"/>
      <c r="CM57" s="77"/>
      <c r="CN57" s="77"/>
      <c r="CO57" s="77"/>
      <c r="CP57" s="77"/>
      <c r="CQ57" s="77"/>
      <c r="CR57" s="77"/>
      <c r="CS57" s="77"/>
      <c r="CT57" s="77"/>
      <c r="CU57" s="77"/>
      <c r="CV57" s="77"/>
      <c r="CW57" s="77"/>
      <c r="CX57" s="77"/>
      <c r="CY57" s="77"/>
      <c r="CZ57" s="77"/>
      <c r="DA57" s="77"/>
      <c r="DB57" s="77"/>
      <c r="DC57" s="77"/>
      <c r="DD57" s="77"/>
      <c r="DE57" s="77"/>
      <c r="DF57" s="77"/>
      <c r="DG57" s="77"/>
      <c r="DH57" s="77"/>
      <c r="DI57" s="77"/>
      <c r="DJ57" s="112" t="s">
        <v>104</v>
      </c>
      <c r="DK57" s="126"/>
      <c r="DL57" s="112" t="s">
        <v>106</v>
      </c>
      <c r="DM57" s="112" t="s">
        <v>107</v>
      </c>
      <c r="DN57" s="112" t="s">
        <v>108</v>
      </c>
      <c r="DO57" s="126"/>
      <c r="DP57" s="112" t="s">
        <v>109</v>
      </c>
      <c r="DQ57" s="112" t="s">
        <v>110</v>
      </c>
      <c r="DR57" s="77"/>
      <c r="DS57" s="77"/>
      <c r="DT57" s="78"/>
      <c r="DU57" s="12"/>
    </row>
    <row r="58" spans="1:125" ht="16" customHeight="1" x14ac:dyDescent="0.2">
      <c r="A58" s="68"/>
      <c r="B58" s="68"/>
      <c r="C58" s="68"/>
      <c r="D58" s="68"/>
      <c r="E58" s="68"/>
      <c r="F58" s="68"/>
      <c r="G58" s="68"/>
      <c r="H58" s="68"/>
      <c r="I58" s="68"/>
      <c r="J58" s="68"/>
      <c r="K58" s="68"/>
      <c r="L58" s="68"/>
      <c r="M58" s="68"/>
      <c r="N58" s="68"/>
      <c r="O58" s="68"/>
      <c r="P58" s="68"/>
      <c r="Q58" s="68"/>
      <c r="R58" s="68"/>
      <c r="S58" s="68"/>
      <c r="T58" s="68"/>
      <c r="U58" s="68"/>
      <c r="V58" s="69"/>
      <c r="W58" s="164"/>
      <c r="X58" s="165"/>
      <c r="Y58" s="164"/>
      <c r="Z58" s="166"/>
      <c r="AA58" s="167"/>
      <c r="AB58" s="168"/>
      <c r="AC58" s="169"/>
      <c r="AD58" s="169"/>
      <c r="AE58" s="168"/>
      <c r="AF58" s="170"/>
      <c r="AG58" s="216"/>
      <c r="AH58" s="172"/>
      <c r="AI58" s="8"/>
      <c r="AJ58" s="173"/>
      <c r="AK58" s="174"/>
      <c r="AL58" s="175"/>
      <c r="AM58" s="176"/>
      <c r="AN58" s="173"/>
      <c r="AO58" s="173"/>
      <c r="AP58" s="173"/>
      <c r="AQ58" s="173"/>
      <c r="AR58" s="173"/>
      <c r="AS58" s="173"/>
      <c r="AT58" s="173"/>
      <c r="AU58" s="177"/>
      <c r="AV58" s="178"/>
      <c r="AW58" s="135"/>
      <c r="AX58" s="179"/>
      <c r="AY58" s="180"/>
      <c r="AZ58" s="181"/>
      <c r="BA58" s="8"/>
      <c r="BB58" s="126" t="str" cm="1">
        <f t="array" ref="BB58">3&amp;BC58</f>
        <v>3A</v>
      </c>
      <c r="BC58" s="112" t="s">
        <v>46</v>
      </c>
      <c r="BD58" s="126" t="str" cm="1">
        <f t="array" ref="BD58">INDEX($BD$6:$BN$53,MATCH($BB58,$BN$6:$BN$53,0),MATCH(BD$57,$BD$5:$BN$5,0))</f>
        <v>Corea del Sur</v>
      </c>
      <c r="BE58" s="139">
        <v>6</v>
      </c>
      <c r="BF58" s="139" cm="1">
        <f t="array" ref="BF58">BG58+BH58+BI58</f>
        <v>3</v>
      </c>
      <c r="BG58" s="139" cm="1">
        <f t="array" ref="BG58">CHOOSE(IF($BB$57=2,2,1),INDEX($BG$6:$BG$53,MATCH($BB58,$BN$6:$BN$53,0)),INDEX($BG$6:$BG$53,MATCH($BB58,$BN$6:$BN$53,0))-(COUNTIFS($AA$4:$AA$97,$BD58,$AF$4:$AF$97,INDEX($BD$6:$BD$53,MATCH(BO58,$BN$6:$BN$53,0)),$D$4:$D$97,"Local")+COUNTIFS($AF$4:$AF$97,$BD58,$AA$4:$AA$97,INDEX($BD$6:$BD$53,MATCH(BO58,$BN$6:$BN$53,0)),$D$4:$D$97,"Visitante")))</f>
        <v>2</v>
      </c>
      <c r="BH58" s="139" cm="1">
        <f t="array" ref="BH58">CHOOSE(IF($BB$57=2,2,1),INDEX($BH$6:$BH$53,MATCH($BB58,$BN$6:$BN$53,0)),INDEX($BH$6:$BH$53,MATCH($BB58,$BN$6:$BN$53,0))-(COUNTIFS($AA$4:$AA$97,$BD58,$AF$4:$AF$97,INDEX($BD$6:$BD$53,MATCH(BO58,$BN$6:$BN$53,0)),$D$4:$D$97,"Empate")+COUNTIFS($AF$4:$AF$97,$BD58,$AA$4:$AA$97,INDEX($BD$6:$BD$53,MATCH(BO58,$BN$6:$BN$53,0)),$D$4:$D$97,"Empate")))</f>
        <v>0</v>
      </c>
      <c r="BI58" s="139" cm="1">
        <f t="array" ref="BI58">CHOOSE(IF($BB$57=2,2,1),INDEX($BI$6:$BI$53,MATCH($BB58,$BN$6:$BN$53,0)),INDEX($BI$6:$BI$53,MATCH($BB58,$BN$6:$BN$53,0))-(COUNTIFS($AA$4:$AA$97,$BD58,$AF$4:$AF$97,INDEX($BD$6:$BD$53,MATCH(BO58,$BN$6:$BN$53,0)),$D$4:$D$97,"Visitante")+COUNTIFS($AF$4:$AF$97,$BD58,$AA$4:$AA$97,INDEX($BD$6:$BD$53,MATCH(BO58,$BN$6:$BN$53,0)),$D$4:$D$97,"Local")))</f>
        <v>1</v>
      </c>
      <c r="BJ58" s="139" cm="1">
        <f t="array" ref="BJ58">CHOOSE($BB$57,INDEX($BJ$6:$BJ$53,MATCH($BB58,$BN$6:$BN$53,0)),INDEX($BJ$6:$BJ$53,MATCH($BB58,$BN$6:$BN$53,0))-(SUMIFS($AC$4:$AC$97,$AA$4:$AA$97,$BD58,$AF$4:$AF$97,INDEX($BD$6:$BD$53,MATCH(BO58,$BN$6:$BN$53,0)))+SUMIFS($AD$4:$AD$97,$AF$4:$AF$97,$BD58,$AA$4:$AA$97,INDEX($BD$6:$BD$53,MATCH(BO58,$BN$6:$BN$53,0)))),IFERROR(INDEX($BJ$6:$BJ$53,MATCH($BB58,$BN$6:$BN$53,0))/BF58,0))</f>
        <v>6</v>
      </c>
      <c r="BK58" s="139" cm="1">
        <f t="array" ref="BK58">CHOOSE($BB$57,INDEX($BK$6:$BK$53,MATCH($BB58,$BN$6:$BN$53,0)),INDEX($BK$6:$BK$53,MATCH($BB58,$BN$6:$BN$53,0))-(SUMIFS($AD$4:$AD$97,$AA$4:$AA$97,$BD58,$AF$4:$AF$97,INDEX($BD$6:$BD$53,MATCH(BO58,$BN$6:$BN$53,0)))+SUMIFS($AC$4:$AC$97,$AF$4:$AF$97,$BD58,$AA$4:$AA$97,INDEX($BD$6:$BD$53,MATCH(BO58,$BN$6:$BN$53,0)))),IFERROR(INDEX($BK$6:$BK$53,MATCH($BB58,$BN$6:$BN$53,0))/BF58,0))</f>
        <v>4</v>
      </c>
      <c r="BL58" s="139" cm="1">
        <f t="array" ref="BL58">BJ58-BK58</f>
        <v>2</v>
      </c>
      <c r="BM58" s="139" cm="1">
        <f t="array" ref="BM58">CB58</f>
        <v>1</v>
      </c>
      <c r="BN58" s="139" cm="1">
        <f t="array" ref="BN58">CF58</f>
        <v>1</v>
      </c>
      <c r="BO58" s="126" t="str" cm="1">
        <f t="array" ref="BO58">"4"&amp;BC58</f>
        <v>4A</v>
      </c>
      <c r="BP58" s="126"/>
      <c r="BQ58" s="126"/>
      <c r="BR58" s="139" cm="1">
        <f t="array" ref="BR58">BE58</f>
        <v>6</v>
      </c>
      <c r="BS58" s="139" cm="1">
        <f t="array" ref="BS58">COUNTIFS(BR$58:BR$69,"&gt;"&amp;BR58)+1</f>
        <v>1</v>
      </c>
      <c r="BT58" s="126" t="str" cm="1">
        <f t="array" ref="BT58">IF(COUNTIF(BS$58:BS$69,BS58)=1,"-","Pos. "&amp;BS58&amp;" ("&amp;COUNTIF(BS$58:BS$69,BS58)&amp;")")</f>
        <v>Pos. 1 (2)</v>
      </c>
      <c r="BU58" s="139" cm="1">
        <f t="array" ref="BU58">IF(BT58="-","-",BL58)</f>
        <v>2</v>
      </c>
      <c r="BV58" s="139" cm="1">
        <f t="array" ref="BV58">BS58+COUNTIFS(BT$58:BT$69,BT58,BU$58:BU$69,"&gt;"&amp;BU58)</f>
        <v>1</v>
      </c>
      <c r="BW58" s="126" t="str" cm="1">
        <f t="array" ref="BW58">IF(COUNTIF(BV$58:BV$69,BV58)=1,"-","Pos. "&amp;BV58&amp;" ("&amp;COUNTIF(BV$58:BV$69,BV58)&amp;")")</f>
        <v>Pos. 1 (2)</v>
      </c>
      <c r="BX58" s="139" cm="1">
        <f t="array" ref="BX58">IF(BW58="-","-",BJ58)</f>
        <v>6</v>
      </c>
      <c r="BY58" s="139" cm="1">
        <f t="array" ref="BY58">BV58+COUNTIFS(BW$58:BW$69,BW58,BX$58:BX$69,"&gt;"&amp;BX58)</f>
        <v>1</v>
      </c>
      <c r="BZ58" s="126" t="str" cm="1">
        <f t="array" ref="BZ58">IF(COUNTIF(BY$58:BY$69,BY58)=1,"-","Pos. "&amp;BY58&amp;" ("&amp;COUNTIF(BY$58:BY$69,BY58)&amp;")")</f>
        <v>-</v>
      </c>
      <c r="CA58" s="126" t="str" cm="1">
        <f t="array" ref="CA58">IF(BZ58="-","-",COUNTIF($BD$58:$BD$69,"&gt;"&amp;BD58))</f>
        <v>-</v>
      </c>
      <c r="CB58" s="139" cm="1">
        <f t="array" ref="CB58">BY58+COUNTIFS(BZ$58:BZ$69,BZ58,CA$58:CA$69,"&gt;"&amp;CA58)</f>
        <v>1</v>
      </c>
      <c r="CC58" s="126"/>
      <c r="CD58" s="139" cm="1">
        <f t="array" ref="CD58">IF(OR(INDEX($AW$102:$AW$113,MATCH($BD58,$AV$102:$AV$113,0))="",BZ58="-"),CB58,INDEX($AW$102:$AW$113,MATCH($BD58,$AV$102:$AV$113,0))+CB58/1000)</f>
        <v>1</v>
      </c>
      <c r="CE58" s="126" t="str" cm="1">
        <f t="array" ref="CE58">IF(BZ58="-","-",COUNTIF(CD$58:CD$69,"&lt;"&amp;CD58))</f>
        <v>-</v>
      </c>
      <c r="CF58" s="139" cm="1">
        <f t="array" ref="CF58">BY58+COUNTIFS(BZ$58:BZ$69,BZ58,CE$58:CE$69,"&lt;"&amp;CE58)</f>
        <v>1</v>
      </c>
      <c r="CG58" s="77"/>
      <c r="CH58" s="77"/>
      <c r="CI58" s="77"/>
      <c r="CJ58" s="77"/>
      <c r="CK58" s="77"/>
      <c r="CL58" s="77"/>
      <c r="CM58" s="77"/>
      <c r="CN58" s="77"/>
      <c r="CO58" s="77"/>
      <c r="CP58" s="77"/>
      <c r="CQ58" s="77"/>
      <c r="CR58" s="77"/>
      <c r="CS58" s="77"/>
      <c r="CT58" s="77"/>
      <c r="CU58" s="77"/>
      <c r="CV58" s="77"/>
      <c r="CW58" s="77"/>
      <c r="CX58" s="77"/>
      <c r="CY58" s="77"/>
      <c r="CZ58" s="77"/>
      <c r="DA58" s="77"/>
      <c r="DB58" s="77"/>
      <c r="DC58" s="77"/>
      <c r="DD58" s="77"/>
      <c r="DE58" s="77"/>
      <c r="DF58" s="77"/>
      <c r="DG58" s="77"/>
      <c r="DH58" s="77"/>
      <c r="DI58" s="77"/>
      <c r="DJ58" s="139" cm="1">
        <f t="array" ref="DJ58">INDEX($BY$58:$BY$69,MATCH($DQ58,$BD$58:$BD$69,0))</f>
        <v>1</v>
      </c>
      <c r="DK58" s="126"/>
      <c r="DL58" s="139" cm="1">
        <f t="array" ref="DL58">IF(OR($H$113=144,$AJ$99=144),COUNTIF($DJ$58:$DJ$69,DJ58),1)</f>
        <v>1</v>
      </c>
      <c r="DM58" s="126" t="str" cm="1">
        <f t="array" ref="DM58">DJ58&amp;"."&amp;DL58</f>
        <v>1.1</v>
      </c>
      <c r="DN58" s="139">
        <v>1</v>
      </c>
      <c r="DO58" s="126"/>
      <c r="DP58" s="139">
        <v>1</v>
      </c>
      <c r="DQ58" s="126" t="str" cm="1">
        <f t="array" ref="DQ58">INDEX($BD$58:$BD$69,MATCH(DP58,$BM$58:$BM$69,0))</f>
        <v>Corea del Sur</v>
      </c>
      <c r="DR58" s="77"/>
      <c r="DS58" s="77"/>
      <c r="DT58" s="78"/>
      <c r="DU58" s="12"/>
    </row>
    <row r="59" spans="1:125" ht="16" customHeight="1" x14ac:dyDescent="0.2">
      <c r="A59" s="68"/>
      <c r="B59" s="68"/>
      <c r="C59" s="68"/>
      <c r="D59" s="68"/>
      <c r="E59" s="68"/>
      <c r="F59" s="68"/>
      <c r="G59" s="68"/>
      <c r="H59" s="68"/>
      <c r="I59" s="68"/>
      <c r="J59" s="68"/>
      <c r="K59" s="68"/>
      <c r="L59" s="68"/>
      <c r="M59" s="68"/>
      <c r="N59" s="68"/>
      <c r="O59" s="68"/>
      <c r="P59" s="68"/>
      <c r="Q59" s="68"/>
      <c r="R59" s="68"/>
      <c r="S59" s="68"/>
      <c r="T59" s="68"/>
      <c r="U59" s="68"/>
      <c r="V59" s="80"/>
      <c r="W59" s="81"/>
      <c r="X59" s="182" t="str" cm="1">
        <f t="array" ref="X59">X3</f>
        <v>Fecha</v>
      </c>
      <c r="Y59" s="182" t="str" cm="1">
        <f t="array" ref="Y59">Y3</f>
        <v>Hora</v>
      </c>
      <c r="Z59" s="107" t="str" cm="1">
        <f t="array" ref="Z59">Z3</f>
        <v>Jor.</v>
      </c>
      <c r="AA59" s="183" t="str" cm="1">
        <f t="array" ref="AA59">AA3</f>
        <v>Casa</v>
      </c>
      <c r="AB59" s="85"/>
      <c r="AC59" s="107" t="str" cm="1">
        <f t="array" ref="AC59">AC3</f>
        <v>Gol</v>
      </c>
      <c r="AD59" s="107" t="str" cm="1">
        <f t="array" ref="AD59">AD3</f>
        <v>Gol</v>
      </c>
      <c r="AE59" s="85"/>
      <c r="AF59" s="184" t="str" cm="1">
        <f t="array" ref="AF59">AF3</f>
        <v>Fuera</v>
      </c>
      <c r="AG59" s="185"/>
      <c r="AH59" s="172"/>
      <c r="AI59" s="73"/>
      <c r="AJ59" s="90"/>
      <c r="AK59" s="186"/>
      <c r="AL59" s="90"/>
      <c r="AM59" s="90"/>
      <c r="AN59" s="90"/>
      <c r="AO59" s="90"/>
      <c r="AP59" s="90"/>
      <c r="AQ59" s="90"/>
      <c r="AR59" s="90"/>
      <c r="AS59" s="90"/>
      <c r="AT59" s="90"/>
      <c r="AU59" s="187"/>
      <c r="AV59" s="74"/>
      <c r="AW59" s="188"/>
      <c r="AX59" s="189"/>
      <c r="AY59" s="190"/>
      <c r="AZ59" s="191"/>
      <c r="BA59" s="8"/>
      <c r="BB59" s="126" t="str" cm="1">
        <f t="array" ref="BB59">"3"&amp;BC59</f>
        <v>3B</v>
      </c>
      <c r="BC59" s="112" t="s">
        <v>121</v>
      </c>
      <c r="BD59" s="126" t="str" cm="1">
        <f t="array" ref="BD59">INDEX($BD$6:$BN$53,MATCH($BB59,$BN$6:$BN$53,0),MATCH(BD$57,$BD$5:$BN$5,0))</f>
        <v>Catar</v>
      </c>
      <c r="BE59" s="139">
        <v>4</v>
      </c>
      <c r="BF59" s="139" cm="1">
        <f t="array" ref="BF59">BG59+BH59+BI59</f>
        <v>3</v>
      </c>
      <c r="BG59" s="139" cm="1">
        <f t="array" ref="BG59">CHOOSE(IF($BB$57=2,2,1),INDEX($BG$6:$BG$53,MATCH($BB59,$BN$6:$BN$53,0)),INDEX($BG$6:$BG$53,MATCH($BB59,$BN$6:$BN$53,0))-(COUNTIFS($AA$4:$AA$97,$BD59,$AF$4:$AF$97,INDEX($BD$6:$BD$53,MATCH(BO59,$BN$6:$BN$53,0)),$D$4:$D$97,"Local")+COUNTIFS($AF$4:$AF$97,$BD59,$AA$4:$AA$97,INDEX($BD$6:$BD$53,MATCH(BO59,$BN$6:$BN$53,0)),$D$4:$D$97,"Visitante")))</f>
        <v>1</v>
      </c>
      <c r="BH59" s="139" cm="1">
        <f t="array" ref="BH59">CHOOSE(IF($BB$57=2,2,1),INDEX($BH$6:$BH$53,MATCH($BB59,$BN$6:$BN$53,0)),INDEX($BH$6:$BH$53,MATCH($BB59,$BN$6:$BN$53,0))-(COUNTIFS($AA$4:$AA$97,$BD59,$AF$4:$AF$97,INDEX($BD$6:$BD$53,MATCH(BO59,$BN$6:$BN$53,0)),$D$4:$D$97,"Empate")+COUNTIFS($AF$4:$AF$97,$BD59,$AA$4:$AA$97,INDEX($BD$6:$BD$53,MATCH(BO59,$BN$6:$BN$53,0)),$D$4:$D$97,"Empate")))</f>
        <v>1</v>
      </c>
      <c r="BI59" s="139" cm="1">
        <f t="array" ref="BI59">CHOOSE(IF($BB$57=2,2,1),INDEX($BI$6:$BI$53,MATCH($BB59,$BN$6:$BN$53,0)),INDEX($BI$6:$BI$53,MATCH($BB59,$BN$6:$BN$53,0))-(COUNTIFS($AA$4:$AA$97,$BD59,$AF$4:$AF$97,INDEX($BD$6:$BD$53,MATCH(BO59,$BN$6:$BN$53,0)),$D$4:$D$97,"Visitante")+COUNTIFS($AF$4:$AF$97,$BD59,$AA$4:$AA$97,INDEX($BD$6:$BD$53,MATCH(BO59,$BN$6:$BN$53,0)),$D$4:$D$97,"Local")))</f>
        <v>1</v>
      </c>
      <c r="BJ59" s="139" cm="1">
        <f t="array" ref="BJ59">CHOOSE($BB$57,INDEX($BJ$6:$BJ$53,MATCH($BB59,$BN$6:$BN$53,0)),INDEX($BJ$6:$BJ$53,MATCH($BB59,$BN$6:$BN$53,0))-(SUMIFS($AC$4:$AC$97,$AA$4:$AA$97,$BD59,$AF$4:$AF$97,INDEX($BD$6:$BD$53,MATCH(BO59,$BN$6:$BN$53,0)))+SUMIFS($AD$4:$AD$97,$AF$4:$AF$97,$BD59,$AA$4:$AA$97,INDEX($BD$6:$BD$53,MATCH(BO59,$BN$6:$BN$53,0)))),IFERROR(INDEX($BJ$6:$BJ$53,MATCH($BB59,$BN$6:$BN$53,0))/BF59,0))</f>
        <v>3</v>
      </c>
      <c r="BK59" s="139" cm="1">
        <f t="array" ref="BK59">CHOOSE($BB$57,INDEX($BK$6:$BK$53,MATCH($BB59,$BN$6:$BN$53,0)),INDEX($BK$6:$BK$53,MATCH($BB59,$BN$6:$BN$53,0))-(SUMIFS($AD$4:$AD$97,$AA$4:$AA$97,$BD59,$AF$4:$AF$97,INDEX($BD$6:$BD$53,MATCH(BO59,$BN$6:$BN$53,0)))+SUMIFS($AC$4:$AC$97,$AF$4:$AF$97,$BD59,$AA$4:$AA$97,INDEX($BD$6:$BD$53,MATCH(BO59,$BN$6:$BN$53,0)))),IFERROR(INDEX($BK$6:$BK$53,MATCH($BB59,$BN$6:$BN$53,0))/BF59,0))</f>
        <v>3</v>
      </c>
      <c r="BL59" s="139" cm="1">
        <f t="array" ref="BL59">BJ59-BK59</f>
        <v>0</v>
      </c>
      <c r="BM59" s="139" cm="1">
        <f t="array" ref="BM59">CB59</f>
        <v>3</v>
      </c>
      <c r="BN59" s="139" cm="1">
        <f t="array" ref="BN59">CF59</f>
        <v>3</v>
      </c>
      <c r="BO59" s="126" t="str" cm="1">
        <f t="array" ref="BO59">"4"&amp;BC59</f>
        <v>4B</v>
      </c>
      <c r="BP59" s="126"/>
      <c r="BQ59" s="126"/>
      <c r="BR59" s="139" cm="1">
        <f t="array" ref="BR59">BE59</f>
        <v>4</v>
      </c>
      <c r="BS59" s="139" cm="1">
        <f t="array" ref="BS59">COUNTIFS(BR$58:BR$69,"&gt;"&amp;BR59)+1</f>
        <v>3</v>
      </c>
      <c r="BT59" s="126" t="str" cm="1">
        <f t="array" ref="BT59">IF(COUNTIF(BS$58:BS$69,BS59)=1,"-","Pos. "&amp;BS59&amp;" ("&amp;COUNTIF(BS$58:BS$69,BS59)&amp;")")</f>
        <v>-</v>
      </c>
      <c r="BU59" s="126" t="str" cm="1">
        <f t="array" ref="BU59">IF(BT59="-","-",BL59)</f>
        <v>-</v>
      </c>
      <c r="BV59" s="139" cm="1">
        <f t="array" ref="BV59">BS59+COUNTIFS(BT$58:BT$69,BT59,BU$58:BU$69,"&gt;"&amp;BU59)</f>
        <v>3</v>
      </c>
      <c r="BW59" s="126" t="str" cm="1">
        <f t="array" ref="BW59">IF(COUNTIF(BV$58:BV$69,BV59)=1,"-","Pos. "&amp;BV59&amp;" ("&amp;COUNTIF(BV$58:BV$69,BV59)&amp;")")</f>
        <v>-</v>
      </c>
      <c r="BX59" s="126" t="str" cm="1">
        <f t="array" ref="BX59">IF(BW59="-","-",BJ59)</f>
        <v>-</v>
      </c>
      <c r="BY59" s="139" cm="1">
        <f t="array" ref="BY59">BV59+COUNTIFS(BW$58:BW$69,BW59,BX$58:BX$69,"&gt;"&amp;BX59)</f>
        <v>3</v>
      </c>
      <c r="BZ59" s="126" t="str" cm="1">
        <f t="array" ref="BZ59">IF(COUNTIF(BY$58:BY$69,BY59)=1,"-","Pos. "&amp;BY59&amp;" ("&amp;COUNTIF(BY$58:BY$69,BY59)&amp;")")</f>
        <v>-</v>
      </c>
      <c r="CA59" s="126" t="str" cm="1">
        <f t="array" ref="CA59">IF(BZ59="-","-",COUNTIF($BD$58:$BD$69,"&gt;"&amp;BD59))</f>
        <v>-</v>
      </c>
      <c r="CB59" s="139" cm="1">
        <f t="array" ref="CB59">BY59+COUNTIFS(BZ$58:BZ$69,BZ59,CA$58:CA$69,"&gt;"&amp;CA59)</f>
        <v>3</v>
      </c>
      <c r="CC59" s="126"/>
      <c r="CD59" s="139" cm="1">
        <f t="array" ref="CD59">IF(OR(INDEX($AW$102:$AW$113,MATCH($BD59,$AV$102:$AV$113,0))="",BZ59="-"),CB59,INDEX($AW$102:$AW$113,MATCH($BD59,$AV$102:$AV$113,0))+CB59/1000)</f>
        <v>3</v>
      </c>
      <c r="CE59" s="126" t="str" cm="1">
        <f t="array" ref="CE59">IF(BZ59="-","-",COUNTIF(CD$58:CD$69,"&lt;"&amp;CD59))</f>
        <v>-</v>
      </c>
      <c r="CF59" s="139" cm="1">
        <f t="array" ref="CF59">BY59+COUNTIFS(BZ$58:BZ$69,BZ59,CE$58:CE$69,"&lt;"&amp;CE59)</f>
        <v>3</v>
      </c>
      <c r="CG59" s="77"/>
      <c r="CH59" s="77"/>
      <c r="CI59" s="77"/>
      <c r="CJ59" s="77"/>
      <c r="CK59" s="77"/>
      <c r="CL59" s="77"/>
      <c r="CM59" s="77"/>
      <c r="CN59" s="77"/>
      <c r="CO59" s="77"/>
      <c r="CP59" s="77"/>
      <c r="CQ59" s="77"/>
      <c r="CR59" s="77"/>
      <c r="CS59" s="77"/>
      <c r="CT59" s="77"/>
      <c r="CU59" s="77"/>
      <c r="CV59" s="77"/>
      <c r="CW59" s="77"/>
      <c r="CX59" s="77"/>
      <c r="CY59" s="77"/>
      <c r="CZ59" s="77"/>
      <c r="DA59" s="77"/>
      <c r="DB59" s="77"/>
      <c r="DC59" s="77"/>
      <c r="DD59" s="77"/>
      <c r="DE59" s="77"/>
      <c r="DF59" s="77"/>
      <c r="DG59" s="77"/>
      <c r="DH59" s="77"/>
      <c r="DI59" s="77"/>
      <c r="DJ59" s="139" cm="1">
        <f t="array" ref="DJ59">INDEX($BY$58:$BY$69,MATCH($DQ59,$BD$58:$BD$69,0))</f>
        <v>2</v>
      </c>
      <c r="DK59" s="126"/>
      <c r="DL59" s="139" cm="1">
        <f t="array" ref="DL59">IF(OR($H$113=144,$AJ$99=144),COUNTIF($DJ$58:$DJ$69,DJ59),1)</f>
        <v>1</v>
      </c>
      <c r="DM59" s="126" t="str" cm="1">
        <f t="array" ref="DM59">DJ59&amp;"."&amp;DL59</f>
        <v>2.1</v>
      </c>
      <c r="DN59" s="139">
        <v>1</v>
      </c>
      <c r="DO59" s="126"/>
      <c r="DP59" s="139">
        <v>2</v>
      </c>
      <c r="DQ59" s="126" t="str" cm="1">
        <f t="array" ref="DQ59">INDEX($BD$58:$BD$69,MATCH(DP59,$BM$58:$BM$69,0))</f>
        <v>Austria</v>
      </c>
      <c r="DR59" s="77"/>
      <c r="DS59" s="77"/>
      <c r="DT59" s="78"/>
      <c r="DU59" s="12"/>
    </row>
    <row r="60" spans="1:125" ht="16" customHeight="1" x14ac:dyDescent="0.2">
      <c r="A60" s="79" t="s">
        <v>45</v>
      </c>
      <c r="B60" s="79" t="s">
        <v>173</v>
      </c>
      <c r="C60" s="95">
        <v>4</v>
      </c>
      <c r="D60" s="68" t="str" cm="1">
        <f t="array" ref="D60">IF(OR(AC60="",AD60=""),"Pendiente",IF(AC60&gt;AD60,"Local",IF(AC60&lt;AD60,"Visitante","Empate")))</f>
        <v>Local</v>
      </c>
      <c r="E60" s="68" t="str" cm="1">
        <f t="array" ref="E60">IF(D60="Pendiente","-",INDEX($BT$6:$BT$53,MATCH($AA60,$BD$6:$BD$53,0)))</f>
        <v>P.1 (4)</v>
      </c>
      <c r="F60" s="68" t="str" cm="1">
        <f t="array" ref="F60">IF(D60="Pendiente","-",INDEX($BT$6:$BT$53,MATCH($AF60,$BD$6:$BD$53,0)))</f>
        <v>P.1 (4)</v>
      </c>
      <c r="G60" s="68"/>
      <c r="H60" s="68" t="str" cm="1">
        <f t="array" ref="H60">IF(D60="Pendiente","-",INDEX($BZ$6:$BZ$53,MATCH($AA60,$BD$6:$BD$53,0)))</f>
        <v>P.1 (4)</v>
      </c>
      <c r="I60" s="68" t="str" cm="1">
        <f t="array" ref="I60">IF(D60="Pendiente","-",INDEX($BZ$6:$BZ$53,MATCH($AF60,$BD$6:$BD$53,0)))</f>
        <v>P.1 (4)</v>
      </c>
      <c r="J60" s="68"/>
      <c r="K60" s="68" t="str" cm="1">
        <f t="array" ref="K60">IF(D60="Pendiente","-",INDEX($CE$6:$CE$53,MATCH($AA60,$BD$6:$BD$53,0)))</f>
        <v>P.1 (4)</v>
      </c>
      <c r="L60" s="68" t="str" cm="1">
        <f t="array" ref="L60">IF(D60="Pendiente","-",INDEX($CE$6:$CE$53,MATCH($AF60,$BD$6:$BD$53,0)))</f>
        <v>P.1 (4)</v>
      </c>
      <c r="M60" s="68"/>
      <c r="N60" s="68" t="str" cm="1">
        <f t="array" ref="N60">IF(D60="Pendiente","-",INDEX($CH$6:$CH$53,MATCH($AA60,$BD$6:$BD$53,0)))</f>
        <v>P.1 (4)</v>
      </c>
      <c r="O60" s="68" t="str" cm="1">
        <f t="array" ref="O60">IF(D60="Pendiente","-",INDEX($CH$6:$CH$53,MATCH($AF60,$BD$6:$BD$53,0)))</f>
        <v>P.1 (4)</v>
      </c>
      <c r="P60" s="68"/>
      <c r="Q60" s="68" t="str" cm="1">
        <f t="array" ref="Q60">IF(D60="Pendiente","-",INDEX($CN$6:$CN$53,MATCH($AA60,$BD$6:$BD$53,0)))</f>
        <v>P.1 (4)</v>
      </c>
      <c r="R60" s="68" t="str" cm="1">
        <f t="array" ref="R60">IF(D60="Pendiente","-",INDEX($CN$6:$CN$53,MATCH($AF60,$BD$6:$BD$53,0)))</f>
        <v>P.1 (4)</v>
      </c>
      <c r="S60" s="68"/>
      <c r="T60" s="68" t="str" cm="1">
        <f t="array" ref="T60">IF(D60="Pendiente","-",INDEX($CS$6:$CS$53,MATCH($AA60,$BD$6:$BD$53,0)))</f>
        <v>P.1 (4)</v>
      </c>
      <c r="U60" s="68" t="str" cm="1">
        <f t="array" ref="U60">IF(D60="Pendiente","-",INDEX($CS$6:$CS$53,MATCH($AF60,$BD$6:$BD$53,0)))</f>
        <v>P.1 (4)</v>
      </c>
      <c r="V60" s="80"/>
      <c r="W60" s="778" t="s">
        <v>173</v>
      </c>
      <c r="X60" s="96">
        <v>46188.5</v>
      </c>
      <c r="Y60" s="97">
        <v>46188.5</v>
      </c>
      <c r="Z60" s="113" t="str" cm="1">
        <f t="array" ref="Z60">$Z$4</f>
        <v>J1</v>
      </c>
      <c r="AA60" s="99" t="str" cm="1">
        <f t="array" ref="AA60">A61</f>
        <v>España</v>
      </c>
      <c r="AB60" s="100"/>
      <c r="AC60" s="101">
        <v>5</v>
      </c>
      <c r="AD60" s="101">
        <v>0</v>
      </c>
      <c r="AE60" s="102"/>
      <c r="AF60" s="103" t="str" cm="1">
        <f t="array" ref="AF60">A62</f>
        <v>Cabo Verde</v>
      </c>
      <c r="AG60" s="104" cm="1">
        <f t="array" ref="AG60">IF(NOT(OR(ISBLANK(AC60),ISBLANK(AD60))),1,0)</f>
        <v>1</v>
      </c>
      <c r="AH60" s="105">
        <v>14</v>
      </c>
      <c r="AI60" s="106"/>
      <c r="AJ60" s="784" t="str" cm="1">
        <f t="array" ref="AJ60">CONCATENATE(AJ3," ",B60)</f>
        <v>Grupo H</v>
      </c>
      <c r="AK60" s="785"/>
      <c r="AL60" s="785"/>
      <c r="AM60" s="785"/>
      <c r="AN60" s="785"/>
      <c r="AO60" s="785"/>
      <c r="AP60" s="785"/>
      <c r="AQ60" s="785"/>
      <c r="AR60" s="785"/>
      <c r="AS60" s="785"/>
      <c r="AT60" s="786"/>
      <c r="AU60" s="192"/>
      <c r="AV60" s="109" t="str" cm="1">
        <f t="array" ref="AV60">IF(AU61&gt;0,$AV$3,"")</f>
        <v>¡EMPATE! Puedes seleccionar el orden de los empatados.</v>
      </c>
      <c r="AW60" s="200"/>
      <c r="AX60" s="200"/>
      <c r="AY60" s="194"/>
      <c r="AZ60" s="195"/>
      <c r="BA60" s="8"/>
      <c r="BB60" s="126" t="str" cm="1">
        <f t="array" ref="BB60">"3"&amp;BC60</f>
        <v>3C</v>
      </c>
      <c r="BC60" s="112" t="s">
        <v>130</v>
      </c>
      <c r="BD60" s="126" t="str" cm="1">
        <f t="array" ref="BD60">INDEX($BD$6:$BN$53,MATCH($BB60,$BN$6:$BN$53,0),MATCH(BD$57,$BD$5:$BN$5,0))</f>
        <v>Haití</v>
      </c>
      <c r="BE60" s="139">
        <v>0</v>
      </c>
      <c r="BF60" s="139" cm="1">
        <f t="array" ref="BF60">BG60+BH60+BI60</f>
        <v>3</v>
      </c>
      <c r="BG60" s="139" cm="1">
        <f t="array" ref="BG60">CHOOSE(IF($BB$57=2,2,1),INDEX($BG$6:$BG$53,MATCH($BB60,$BN$6:$BN$53,0)),INDEX($BG$6:$BG$53,MATCH($BB60,$BN$6:$BN$53,0))-(COUNTIFS($AA$4:$AA$97,$BD60,$AF$4:$AF$97,INDEX($BD$6:$BD$53,MATCH(BO60,$BN$6:$BN$53,0)),$D$4:$D$97,"Local")+COUNTIFS($AF$4:$AF$97,$BD60,$AA$4:$AA$97,INDEX($BD$6:$BD$53,MATCH(BO60,$BN$6:$BN$53,0)),$D$4:$D$97,"Visitante")))</f>
        <v>0</v>
      </c>
      <c r="BH60" s="139" cm="1">
        <f t="array" ref="BH60">CHOOSE(IF($BB$57=2,2,1),INDEX($BH$6:$BH$53,MATCH($BB60,$BN$6:$BN$53,0)),INDEX($BH$6:$BH$53,MATCH($BB60,$BN$6:$BN$53,0))-(COUNTIFS($AA$4:$AA$97,$BD60,$AF$4:$AF$97,INDEX($BD$6:$BD$53,MATCH(BO60,$BN$6:$BN$53,0)),$D$4:$D$97,"Empate")+COUNTIFS($AF$4:$AF$97,$BD60,$AA$4:$AA$97,INDEX($BD$6:$BD$53,MATCH(BO60,$BN$6:$BN$53,0)),$D$4:$D$97,"Empate")))</f>
        <v>0</v>
      </c>
      <c r="BI60" s="139" cm="1">
        <f t="array" ref="BI60">CHOOSE(IF($BB$57=2,2,1),INDEX($BI$6:$BI$53,MATCH($BB60,$BN$6:$BN$53,0)),INDEX($BI$6:$BI$53,MATCH($BB60,$BN$6:$BN$53,0))-(COUNTIFS($AA$4:$AA$97,$BD60,$AF$4:$AF$97,INDEX($BD$6:$BD$53,MATCH(BO60,$BN$6:$BN$53,0)),$D$4:$D$97,"Visitante")+COUNTIFS($AF$4:$AF$97,$BD60,$AA$4:$AA$97,INDEX($BD$6:$BD$53,MATCH(BO60,$BN$6:$BN$53,0)),$D$4:$D$97,"Local")))</f>
        <v>3</v>
      </c>
      <c r="BJ60" s="139" cm="1">
        <f t="array" ref="BJ60">CHOOSE($BB$57,INDEX($BJ$6:$BJ$53,MATCH($BB60,$BN$6:$BN$53,0)),INDEX($BJ$6:$BJ$53,MATCH($BB60,$BN$6:$BN$53,0))-(SUMIFS($AC$4:$AC$97,$AA$4:$AA$97,$BD60,$AF$4:$AF$97,INDEX($BD$6:$BD$53,MATCH(BO60,$BN$6:$BN$53,0)))+SUMIFS($AD$4:$AD$97,$AF$4:$AF$97,$BD60,$AA$4:$AA$97,INDEX($BD$6:$BD$53,MATCH(BO60,$BN$6:$BN$53,0)))),IFERROR(INDEX($BJ$6:$BJ$53,MATCH($BB60,$BN$6:$BN$53,0))/BF60,0))</f>
        <v>1</v>
      </c>
      <c r="BK60" s="139" cm="1">
        <f t="array" ref="BK60">CHOOSE($BB$57,INDEX($BK$6:$BK$53,MATCH($BB60,$BN$6:$BN$53,0)),INDEX($BK$6:$BK$53,MATCH($BB60,$BN$6:$BN$53,0))-(SUMIFS($AD$4:$AD$97,$AA$4:$AA$97,$BD60,$AF$4:$AF$97,INDEX($BD$6:$BD$53,MATCH(BO60,$BN$6:$BN$53,0)))+SUMIFS($AC$4:$AC$97,$AF$4:$AF$97,$BD60,$AA$4:$AA$97,INDEX($BD$6:$BD$53,MATCH(BO60,$BN$6:$BN$53,0)))),IFERROR(INDEX($BK$6:$BK$53,MATCH($BB60,$BN$6:$BN$53,0))/BF60,0))</f>
        <v>11</v>
      </c>
      <c r="BL60" s="139" cm="1">
        <f t="array" ref="BL60">BJ60-BK60</f>
        <v>-10</v>
      </c>
      <c r="BM60" s="139" cm="1">
        <f t="array" ref="BM60">CB60</f>
        <v>12</v>
      </c>
      <c r="BN60" s="139" cm="1">
        <f t="array" ref="BN60">CF60</f>
        <v>12</v>
      </c>
      <c r="BO60" s="126" t="str" cm="1">
        <f t="array" ref="BO60">"4"&amp;BC60</f>
        <v>4C</v>
      </c>
      <c r="BP60" s="126"/>
      <c r="BQ60" s="126"/>
      <c r="BR60" s="139" cm="1">
        <f t="array" ref="BR60">BE60</f>
        <v>0</v>
      </c>
      <c r="BS60" s="139" cm="1">
        <f t="array" ref="BS60">COUNTIFS(BR$58:BR$69,"&gt;"&amp;BR60)+1</f>
        <v>8</v>
      </c>
      <c r="BT60" s="126" t="str" cm="1">
        <f t="array" ref="BT60">IF(COUNTIF(BS$58:BS$69,BS60)=1,"-","Pos. "&amp;BS60&amp;" ("&amp;COUNTIF(BS$58:BS$69,BS60)&amp;")")</f>
        <v>Pos. 8 (5)</v>
      </c>
      <c r="BU60" s="139" cm="1">
        <f t="array" ref="BU60">IF(BT60="-","-",BL60)</f>
        <v>-10</v>
      </c>
      <c r="BV60" s="139" cm="1">
        <f t="array" ref="BV60">BS60+COUNTIFS(BT$58:BT$69,BT60,BU$58:BU$69,"&gt;"&amp;BU60)</f>
        <v>12</v>
      </c>
      <c r="BW60" s="126" t="str" cm="1">
        <f t="array" ref="BW60">IF(COUNTIF(BV$58:BV$69,BV60)=1,"-","Pos. "&amp;BV60&amp;" ("&amp;COUNTIF(BV$58:BV$69,BV60)&amp;")")</f>
        <v>-</v>
      </c>
      <c r="BX60" s="126" t="str" cm="1">
        <f t="array" ref="BX60">IF(BW60="-","-",BJ60)</f>
        <v>-</v>
      </c>
      <c r="BY60" s="139" cm="1">
        <f t="array" ref="BY60">BV60+COUNTIFS(BW$58:BW$69,BW60,BX$58:BX$69,"&gt;"&amp;BX60)</f>
        <v>12</v>
      </c>
      <c r="BZ60" s="126" t="str" cm="1">
        <f t="array" ref="BZ60">IF(COUNTIF(BY$58:BY$69,BY60)=1,"-","Pos. "&amp;BY60&amp;" ("&amp;COUNTIF(BY$58:BY$69,BY60)&amp;")")</f>
        <v>-</v>
      </c>
      <c r="CA60" s="126" t="str" cm="1">
        <f t="array" ref="CA60">IF(BZ60="-","-",COUNTIF($BD$58:$BD$69,"&gt;"&amp;BD60))</f>
        <v>-</v>
      </c>
      <c r="CB60" s="139" cm="1">
        <f t="array" ref="CB60">BY60+COUNTIFS(BZ$58:BZ$69,BZ60,CA$58:CA$69,"&gt;"&amp;CA60)</f>
        <v>12</v>
      </c>
      <c r="CC60" s="126"/>
      <c r="CD60" s="139" cm="1">
        <f t="array" ref="CD60">IF(OR(INDEX($AW$102:$AW$113,MATCH($BD60,$AV$102:$AV$113,0))="",BZ60="-"),CB60,INDEX($AW$102:$AW$113,MATCH($BD60,$AV$102:$AV$113,0))+CB60/1000)</f>
        <v>12</v>
      </c>
      <c r="CE60" s="126" t="str" cm="1">
        <f t="array" ref="CE60">IF(BZ60="-","-",COUNTIF(CD$58:CD$69,"&lt;"&amp;CD60))</f>
        <v>-</v>
      </c>
      <c r="CF60" s="139" cm="1">
        <f t="array" ref="CF60">BY60+COUNTIFS(BZ$58:BZ$69,BZ60,CE$58:CE$69,"&lt;"&amp;CE60)</f>
        <v>12</v>
      </c>
      <c r="CG60" s="77"/>
      <c r="CH60" s="77"/>
      <c r="CI60" s="77"/>
      <c r="CJ60" s="77"/>
      <c r="CK60" s="77"/>
      <c r="CL60" s="77"/>
      <c r="CM60" s="77"/>
      <c r="CN60" s="77"/>
      <c r="CO60" s="77"/>
      <c r="CP60" s="77"/>
      <c r="CQ60" s="77"/>
      <c r="CR60" s="77"/>
      <c r="CS60" s="77"/>
      <c r="CT60" s="77"/>
      <c r="CU60" s="77"/>
      <c r="CV60" s="77"/>
      <c r="CW60" s="77"/>
      <c r="CX60" s="77"/>
      <c r="CY60" s="77"/>
      <c r="CZ60" s="77"/>
      <c r="DA60" s="77"/>
      <c r="DB60" s="77"/>
      <c r="DC60" s="77"/>
      <c r="DD60" s="77"/>
      <c r="DE60" s="77"/>
      <c r="DF60" s="77"/>
      <c r="DG60" s="77"/>
      <c r="DH60" s="77"/>
      <c r="DI60" s="77"/>
      <c r="DJ60" s="139" cm="1">
        <f t="array" ref="DJ60">INDEX($BY$58:$BY$69,MATCH($DQ60,$BD$58:$BD$69,0))</f>
        <v>3</v>
      </c>
      <c r="DK60" s="126"/>
      <c r="DL60" s="139" cm="1">
        <f t="array" ref="DL60">IF(OR($H$113=144,$AJ$99=144),COUNTIF($DJ$58:$DJ$69,DJ60),1)</f>
        <v>1</v>
      </c>
      <c r="DM60" s="126" t="str" cm="1">
        <f t="array" ref="DM60">DJ60&amp;"."&amp;DL60</f>
        <v>3.1</v>
      </c>
      <c r="DN60" s="139">
        <v>1</v>
      </c>
      <c r="DO60" s="126"/>
      <c r="DP60" s="139">
        <v>3</v>
      </c>
      <c r="DQ60" s="126" t="str" cm="1">
        <f t="array" ref="DQ60">INDEX($BD$58:$BD$69,MATCH(DP60,$BM$58:$BM$69,0))</f>
        <v>Catar</v>
      </c>
      <c r="DR60" s="77"/>
      <c r="DS60" s="77"/>
      <c r="DT60" s="78"/>
      <c r="DU60" s="12"/>
    </row>
    <row r="61" spans="1:125" ht="16" customHeight="1" x14ac:dyDescent="0.2">
      <c r="A61" s="79" t="s">
        <v>174</v>
      </c>
      <c r="B61" s="68"/>
      <c r="C61" s="68"/>
      <c r="D61" s="68" t="str" cm="1">
        <f t="array" ref="D61">IF(OR(AC61="",AD61=""),"Pendiente",IF(AC61&gt;AD61,"Local",IF(AC61&lt;AD61,"Visitante","Empate")))</f>
        <v>Visitante</v>
      </c>
      <c r="E61" s="68" t="str" cm="1">
        <f t="array" ref="E61">IF(D61="Pendiente","-",INDEX($BT$6:$BT$53,MATCH($AA61,$BD$6:$BD$53,0)))</f>
        <v>P.1 (4)</v>
      </c>
      <c r="F61" s="68" t="str" cm="1">
        <f t="array" ref="F61">IF(D61="Pendiente","-",INDEX($BT$6:$BT$53,MATCH($AF61,$BD$6:$BD$53,0)))</f>
        <v>P.1 (4)</v>
      </c>
      <c r="G61" s="68"/>
      <c r="H61" s="68" t="str" cm="1">
        <f t="array" ref="H61">IF(D61="Pendiente","-",INDEX($BZ$6:$BZ$53,MATCH($AA61,$BD$6:$BD$53,0)))</f>
        <v>P.1 (4)</v>
      </c>
      <c r="I61" s="68" t="str" cm="1">
        <f t="array" ref="I61">IF(D61="Pendiente","-",INDEX($BZ$6:$BZ$53,MATCH($AF61,$BD$6:$BD$53,0)))</f>
        <v>P.1 (4)</v>
      </c>
      <c r="J61" s="68"/>
      <c r="K61" s="68" t="str" cm="1">
        <f t="array" ref="K61">IF(D61="Pendiente","-",INDEX($CE$6:$CE$53,MATCH($AA61,$BD$6:$BD$53,0)))</f>
        <v>P.1 (4)</v>
      </c>
      <c r="L61" s="68" t="str" cm="1">
        <f t="array" ref="L61">IF(D61="Pendiente","-",INDEX($CE$6:$CE$53,MATCH($AF61,$BD$6:$BD$53,0)))</f>
        <v>P.1 (4)</v>
      </c>
      <c r="M61" s="68"/>
      <c r="N61" s="68" t="str" cm="1">
        <f t="array" ref="N61">IF(D61="Pendiente","-",INDEX($CH$6:$CH$53,MATCH($AA61,$BD$6:$BD$53,0)))</f>
        <v>P.1 (4)</v>
      </c>
      <c r="O61" s="68" t="str" cm="1">
        <f t="array" ref="O61">IF(D61="Pendiente","-",INDEX($CH$6:$CH$53,MATCH($AF61,$BD$6:$BD$53,0)))</f>
        <v>P.1 (4)</v>
      </c>
      <c r="P61" s="68"/>
      <c r="Q61" s="68" t="str" cm="1">
        <f t="array" ref="Q61">IF(D61="Pendiente","-",INDEX($CN$6:$CN$53,MATCH($AA61,$BD$6:$BD$53,0)))</f>
        <v>P.1 (4)</v>
      </c>
      <c r="R61" s="68" t="str" cm="1">
        <f t="array" ref="R61">IF(D61="Pendiente","-",INDEX($CN$6:$CN$53,MATCH($AF61,$BD$6:$BD$53,0)))</f>
        <v>P.1 (4)</v>
      </c>
      <c r="S61" s="68"/>
      <c r="T61" s="68" t="str" cm="1">
        <f t="array" ref="T61">IF(D61="Pendiente","-",INDEX($CS$6:$CS$53,MATCH($AA61,$BD$6:$BD$53,0)))</f>
        <v>P.1 (4)</v>
      </c>
      <c r="U61" s="68" t="str" cm="1">
        <f t="array" ref="U61">IF(D61="Pendiente","-",INDEX($CS$6:$CS$53,MATCH($AF61,$BD$6:$BD$53,0)))</f>
        <v>P.1 (4)</v>
      </c>
      <c r="V61" s="80"/>
      <c r="W61" s="761"/>
      <c r="X61" s="96">
        <v>46188.75</v>
      </c>
      <c r="Y61" s="97">
        <v>46188.75</v>
      </c>
      <c r="Z61" s="113" t="str" cm="1">
        <f t="array" ref="Z61">$Z$4</f>
        <v>J1</v>
      </c>
      <c r="AA61" s="99" t="str" cm="1">
        <f t="array" ref="AA61">A63</f>
        <v>Arabia Saudita</v>
      </c>
      <c r="AB61" s="100"/>
      <c r="AC61" s="114">
        <v>1</v>
      </c>
      <c r="AD61" s="114">
        <v>4</v>
      </c>
      <c r="AE61" s="102"/>
      <c r="AF61" s="103" t="str" cm="1">
        <f t="array" ref="AF61">A64</f>
        <v>Uruguay</v>
      </c>
      <c r="AG61" s="104" cm="1">
        <f t="array" ref="AG61">IF(NOT(OR(ISBLANK(AC61),ISBLANK(AD61))),1,0)</f>
        <v>1</v>
      </c>
      <c r="AH61" s="105">
        <v>13</v>
      </c>
      <c r="AI61" s="106"/>
      <c r="AJ61" s="196" t="str" cm="1">
        <f t="array" ref="AJ61">AJ5</f>
        <v>Pos</v>
      </c>
      <c r="AK61" s="116"/>
      <c r="AL61" s="197" t="str" cm="1">
        <f t="array" ref="AL61">AL5</f>
        <v>Selección</v>
      </c>
      <c r="AM61" s="116" t="str" cm="1">
        <f t="array" ref="AM61">AM5</f>
        <v>Pts</v>
      </c>
      <c r="AN61" s="116" t="str" cm="1">
        <f t="array" ref="AN61">AN5</f>
        <v>J</v>
      </c>
      <c r="AO61" s="116" t="str" cm="1">
        <f t="array" ref="AO61">AO5</f>
        <v>G</v>
      </c>
      <c r="AP61" s="116" t="str" cm="1">
        <f t="array" ref="AP61">AP5</f>
        <v>E</v>
      </c>
      <c r="AQ61" s="116" t="str" cm="1">
        <f t="array" ref="AQ61">AQ5</f>
        <v>P</v>
      </c>
      <c r="AR61" s="116" t="str" cm="1">
        <f t="array" ref="AR61">AR5</f>
        <v>GF</v>
      </c>
      <c r="AS61" s="116" t="str" cm="1">
        <f t="array" ref="AS61">AS5</f>
        <v>GC</v>
      </c>
      <c r="AT61" s="198" t="str" cm="1">
        <f t="array" ref="AT61">AT5</f>
        <v>DG</v>
      </c>
      <c r="AU61" s="199" cm="1">
        <f t="array" ref="AU61">COUNTIF(AU62:AU65,"&gt;1")</f>
        <v>4</v>
      </c>
      <c r="AV61" s="121"/>
      <c r="AW61" s="200"/>
      <c r="AX61" s="201"/>
      <c r="AY61" s="123" t="str" cm="1">
        <f t="array" ref="AY61">AL61</f>
        <v>Selección</v>
      </c>
      <c r="AZ61" s="124" t="s">
        <v>60</v>
      </c>
      <c r="BA61" s="125"/>
      <c r="BB61" s="126" t="str" cm="1">
        <f t="array" ref="BB61">"3"&amp;BC61</f>
        <v>3D</v>
      </c>
      <c r="BC61" s="112" t="s">
        <v>139</v>
      </c>
      <c r="BD61" s="126" t="str" cm="1">
        <f t="array" ref="BD61">INDEX($BD$6:$BN$53,MATCH($BB61,$BN$6:$BN$53,0),MATCH(BD$57,$BD$5:$BN$5,0))</f>
        <v>Australia</v>
      </c>
      <c r="BE61" s="139">
        <v>0</v>
      </c>
      <c r="BF61" s="139" cm="1">
        <f t="array" ref="BF61">BG61+BH61+BI61</f>
        <v>3</v>
      </c>
      <c r="BG61" s="139" cm="1">
        <f t="array" ref="BG61">CHOOSE(IF($BB$57=2,2,1),INDEX($BG$6:$BG$53,MATCH($BB61,$BN$6:$BN$53,0)),INDEX($BG$6:$BG$53,MATCH($BB61,$BN$6:$BN$53,0))-(COUNTIFS($AA$4:$AA$97,$BD61,$AF$4:$AF$97,INDEX($BD$6:$BD$53,MATCH(BO61,$BN$6:$BN$53,0)),$D$4:$D$97,"Local")+COUNTIFS($AF$4:$AF$97,$BD61,$AA$4:$AA$97,INDEX($BD$6:$BD$53,MATCH(BO61,$BN$6:$BN$53,0)),$D$4:$D$97,"Visitante")))</f>
        <v>0</v>
      </c>
      <c r="BH61" s="139" cm="1">
        <f t="array" ref="BH61">CHOOSE(IF($BB$57=2,2,1),INDEX($BH$6:$BH$53,MATCH($BB61,$BN$6:$BN$53,0)),INDEX($BH$6:$BH$53,MATCH($BB61,$BN$6:$BN$53,0))-(COUNTIFS($AA$4:$AA$97,$BD61,$AF$4:$AF$97,INDEX($BD$6:$BD$53,MATCH(BO61,$BN$6:$BN$53,0)),$D$4:$D$97,"Empate")+COUNTIFS($AF$4:$AF$97,$BD61,$AA$4:$AA$97,INDEX($BD$6:$BD$53,MATCH(BO61,$BN$6:$BN$53,0)),$D$4:$D$97,"Empate")))</f>
        <v>0</v>
      </c>
      <c r="BI61" s="139" cm="1">
        <f t="array" ref="BI61">CHOOSE(IF($BB$57=2,2,1),INDEX($BI$6:$BI$53,MATCH($BB61,$BN$6:$BN$53,0)),INDEX($BI$6:$BI$53,MATCH($BB61,$BN$6:$BN$53,0))-(COUNTIFS($AA$4:$AA$97,$BD61,$AF$4:$AF$97,INDEX($BD$6:$BD$53,MATCH(BO61,$BN$6:$BN$53,0)),$D$4:$D$97,"Visitante")+COUNTIFS($AF$4:$AF$97,$BD61,$AA$4:$AA$97,INDEX($BD$6:$BD$53,MATCH(BO61,$BN$6:$BN$53,0)),$D$4:$D$97,"Local")))</f>
        <v>3</v>
      </c>
      <c r="BJ61" s="139" cm="1">
        <f t="array" ref="BJ61">CHOOSE($BB$57,INDEX($BJ$6:$BJ$53,MATCH($BB61,$BN$6:$BN$53,0)),INDEX($BJ$6:$BJ$53,MATCH($BB61,$BN$6:$BN$53,0))-(SUMIFS($AC$4:$AC$97,$AA$4:$AA$97,$BD61,$AF$4:$AF$97,INDEX($BD$6:$BD$53,MATCH(BO61,$BN$6:$BN$53,0)))+SUMIFS($AD$4:$AD$97,$AF$4:$AF$97,$BD61,$AA$4:$AA$97,INDEX($BD$6:$BD$53,MATCH(BO61,$BN$6:$BN$53,0)))),IFERROR(INDEX($BJ$6:$BJ$53,MATCH($BB61,$BN$6:$BN$53,0))/BF61,0))</f>
        <v>1</v>
      </c>
      <c r="BK61" s="139" cm="1">
        <f t="array" ref="BK61">CHOOSE($BB$57,INDEX($BK$6:$BK$53,MATCH($BB61,$BN$6:$BN$53,0)),INDEX($BK$6:$BK$53,MATCH($BB61,$BN$6:$BN$53,0))-(SUMIFS($AD$4:$AD$97,$AA$4:$AA$97,$BD61,$AF$4:$AF$97,INDEX($BD$6:$BD$53,MATCH(BO61,$BN$6:$BN$53,0)))+SUMIFS($AC$4:$AC$97,$AF$4:$AF$97,$BD61,$AA$4:$AA$97,INDEX($BD$6:$BD$53,MATCH(BO61,$BN$6:$BN$53,0)))),IFERROR(INDEX($BK$6:$BK$53,MATCH($BB61,$BN$6:$BN$53,0))/BF61,0))</f>
        <v>7</v>
      </c>
      <c r="BL61" s="139" cm="1">
        <f t="array" ref="BL61">BJ61-BK61</f>
        <v>-6</v>
      </c>
      <c r="BM61" s="139" cm="1">
        <f t="array" ref="BM61">CB61</f>
        <v>9</v>
      </c>
      <c r="BN61" s="139" cm="1">
        <f t="array" ref="BN61">CF61</f>
        <v>9</v>
      </c>
      <c r="BO61" s="126" t="str" cm="1">
        <f t="array" ref="BO61">"4"&amp;BC61</f>
        <v>4D</v>
      </c>
      <c r="BP61" s="126"/>
      <c r="BQ61" s="126"/>
      <c r="BR61" s="139" cm="1">
        <f t="array" ref="BR61">BE61</f>
        <v>0</v>
      </c>
      <c r="BS61" s="139" cm="1">
        <f t="array" ref="BS61">COUNTIFS(BR$58:BR$69,"&gt;"&amp;BR61)+1</f>
        <v>8</v>
      </c>
      <c r="BT61" s="126" t="str" cm="1">
        <f t="array" ref="BT61">IF(COUNTIF(BS$58:BS$69,BS61)=1,"-","Pos. "&amp;BS61&amp;" ("&amp;COUNTIF(BS$58:BS$69,BS61)&amp;")")</f>
        <v>Pos. 8 (5)</v>
      </c>
      <c r="BU61" s="139" cm="1">
        <f t="array" ref="BU61">IF(BT61="-","-",BL61)</f>
        <v>-6</v>
      </c>
      <c r="BV61" s="139" cm="1">
        <f t="array" ref="BV61">BS61+COUNTIFS(BT$58:BT$69,BT61,BU$58:BU$69,"&gt;"&amp;BU61)</f>
        <v>9</v>
      </c>
      <c r="BW61" s="126" t="str" cm="1">
        <f t="array" ref="BW61">IF(COUNTIF(BV$58:BV$69,BV61)=1,"-","Pos. "&amp;BV61&amp;" ("&amp;COUNTIF(BV$58:BV$69,BV61)&amp;")")</f>
        <v>-</v>
      </c>
      <c r="BX61" s="126" t="str" cm="1">
        <f t="array" ref="BX61">IF(BW61="-","-",BJ61)</f>
        <v>-</v>
      </c>
      <c r="BY61" s="139" cm="1">
        <f t="array" ref="BY61">BV61+COUNTIFS(BW$58:BW$69,BW61,BX$58:BX$69,"&gt;"&amp;BX61)</f>
        <v>9</v>
      </c>
      <c r="BZ61" s="126" t="str" cm="1">
        <f t="array" ref="BZ61">IF(COUNTIF(BY$58:BY$69,BY61)=1,"-","Pos. "&amp;BY61&amp;" ("&amp;COUNTIF(BY$58:BY$69,BY61)&amp;")")</f>
        <v>-</v>
      </c>
      <c r="CA61" s="126" t="str" cm="1">
        <f t="array" ref="CA61">IF(BZ61="-","-",COUNTIF($BD$58:$BD$69,"&gt;"&amp;BD61))</f>
        <v>-</v>
      </c>
      <c r="CB61" s="139" cm="1">
        <f t="array" ref="CB61">BY61+COUNTIFS(BZ$58:BZ$69,BZ61,CA$58:CA$69,"&gt;"&amp;CA61)</f>
        <v>9</v>
      </c>
      <c r="CC61" s="126"/>
      <c r="CD61" s="139" cm="1">
        <f t="array" ref="CD61">IF(OR(INDEX($AW$102:$AW$113,MATCH($BD61,$AV$102:$AV$113,0))="",BZ61="-"),CB61,INDEX($AW$102:$AW$113,MATCH($BD61,$AV$102:$AV$113,0))+CB61/1000)</f>
        <v>9</v>
      </c>
      <c r="CE61" s="126" t="str" cm="1">
        <f t="array" ref="CE61">IF(BZ61="-","-",COUNTIF(CD$58:CD$69,"&lt;"&amp;CD61))</f>
        <v>-</v>
      </c>
      <c r="CF61" s="139" cm="1">
        <f t="array" ref="CF61">BY61+COUNTIFS(BZ$58:BZ$69,BZ61,CE$58:CE$69,"&lt;"&amp;CE61)</f>
        <v>9</v>
      </c>
      <c r="CG61" s="77"/>
      <c r="CH61" s="77"/>
      <c r="CI61" s="77"/>
      <c r="CJ61" s="77"/>
      <c r="CK61" s="77"/>
      <c r="CL61" s="77"/>
      <c r="CM61" s="77"/>
      <c r="CN61" s="77"/>
      <c r="CO61" s="77"/>
      <c r="CP61" s="77"/>
      <c r="CQ61" s="77"/>
      <c r="CR61" s="77"/>
      <c r="CS61" s="77"/>
      <c r="CT61" s="77"/>
      <c r="CU61" s="77"/>
      <c r="CV61" s="77"/>
      <c r="CW61" s="77"/>
      <c r="CX61" s="77"/>
      <c r="CY61" s="77"/>
      <c r="CZ61" s="77"/>
      <c r="DA61" s="77"/>
      <c r="DB61" s="77"/>
      <c r="DC61" s="77"/>
      <c r="DD61" s="77"/>
      <c r="DE61" s="77"/>
      <c r="DF61" s="77"/>
      <c r="DG61" s="77"/>
      <c r="DH61" s="77"/>
      <c r="DI61" s="77"/>
      <c r="DJ61" s="139" cm="1">
        <f t="array" ref="DJ61">INDEX($BY$58:$BY$69,MATCH($DQ61,$BD$58:$BD$69,0))</f>
        <v>4</v>
      </c>
      <c r="DK61" s="126"/>
      <c r="DL61" s="139" cm="1">
        <f t="array" ref="DL61">IF(OR($H$113=144,$AJ$99=144),COUNTIF($DJ$58:$DJ$69,DJ61),1)</f>
        <v>1</v>
      </c>
      <c r="DM61" s="126" t="str" cm="1">
        <f t="array" ref="DM61">DJ61&amp;"."&amp;DL61</f>
        <v>4.1</v>
      </c>
      <c r="DN61" s="139">
        <v>1</v>
      </c>
      <c r="DO61" s="126"/>
      <c r="DP61" s="139">
        <v>4</v>
      </c>
      <c r="DQ61" s="126" t="str" cm="1">
        <f t="array" ref="DQ61">INDEX($BD$58:$BD$69,MATCH(DP61,$BM$58:$BM$69,0))</f>
        <v>Suecia</v>
      </c>
      <c r="DR61" s="77"/>
      <c r="DS61" s="77"/>
      <c r="DT61" s="78"/>
      <c r="DU61" s="12"/>
    </row>
    <row r="62" spans="1:125" ht="16" customHeight="1" x14ac:dyDescent="0.2">
      <c r="A62" s="79" t="s">
        <v>176</v>
      </c>
      <c r="B62" s="68"/>
      <c r="C62" s="68"/>
      <c r="D62" s="68" t="str" cm="1">
        <f t="array" ref="D62">IF(OR(AC62="",AD62=""),"Pendiente",IF(AC62&gt;AD62,"Local",IF(AC62&lt;AD62,"Visitante","Empate")))</f>
        <v>Local</v>
      </c>
      <c r="E62" s="68" t="str" cm="1">
        <f t="array" ref="E62">IF(D62="Pendiente","-",INDEX($BT$6:$BT$53,MATCH($AA62,$BD$6:$BD$53,0)))</f>
        <v>P.1 (4)</v>
      </c>
      <c r="F62" s="68" t="str" cm="1">
        <f t="array" ref="F62">IF(D62="Pendiente","-",INDEX($BT$6:$BT$53,MATCH($AF62,$BD$6:$BD$53,0)))</f>
        <v>P.1 (4)</v>
      </c>
      <c r="G62" s="68"/>
      <c r="H62" s="68" t="str" cm="1">
        <f t="array" ref="H62">IF(D62="Pendiente","-",INDEX($BZ$6:$BZ$53,MATCH($AA62,$BD$6:$BD$53,0)))</f>
        <v>P.1 (4)</v>
      </c>
      <c r="I62" s="68" t="str" cm="1">
        <f t="array" ref="I62">IF(D62="Pendiente","-",INDEX($BZ$6:$BZ$53,MATCH($AF62,$BD$6:$BD$53,0)))</f>
        <v>P.1 (4)</v>
      </c>
      <c r="J62" s="68"/>
      <c r="K62" s="68" t="str" cm="1">
        <f t="array" ref="K62">IF(D62="Pendiente","-",INDEX($CE$6:$CE$53,MATCH($AA62,$BD$6:$BD$53,0)))</f>
        <v>P.1 (4)</v>
      </c>
      <c r="L62" s="68" t="str" cm="1">
        <f t="array" ref="L62">IF(D62="Pendiente","-",INDEX($CE$6:$CE$53,MATCH($AF62,$BD$6:$BD$53,0)))</f>
        <v>P.1 (4)</v>
      </c>
      <c r="M62" s="68"/>
      <c r="N62" s="68" t="str" cm="1">
        <f t="array" ref="N62">IF(D62="Pendiente","-",INDEX($CH$6:$CH$53,MATCH($AA62,$BD$6:$BD$53,0)))</f>
        <v>P.1 (4)</v>
      </c>
      <c r="O62" s="68" t="str" cm="1">
        <f t="array" ref="O62">IF(D62="Pendiente","-",INDEX($CH$6:$CH$53,MATCH($AF62,$BD$6:$BD$53,0)))</f>
        <v>P.1 (4)</v>
      </c>
      <c r="P62" s="68"/>
      <c r="Q62" s="68" t="str" cm="1">
        <f t="array" ref="Q62">IF(D62="Pendiente","-",INDEX($CN$6:$CN$53,MATCH($AA62,$BD$6:$BD$53,0)))</f>
        <v>P.1 (4)</v>
      </c>
      <c r="R62" s="68" t="str" cm="1">
        <f t="array" ref="R62">IF(D62="Pendiente","-",INDEX($CN$6:$CN$53,MATCH($AF62,$BD$6:$BD$53,0)))</f>
        <v>P.1 (4)</v>
      </c>
      <c r="S62" s="68"/>
      <c r="T62" s="68" t="str" cm="1">
        <f t="array" ref="T62">IF(D62="Pendiente","-",INDEX($CS$6:$CS$53,MATCH($AA62,$BD$6:$BD$53,0)))</f>
        <v>P.1 (4)</v>
      </c>
      <c r="U62" s="68" t="str" cm="1">
        <f t="array" ref="U62">IF(D62="Pendiente","-",INDEX($CS$6:$CS$53,MATCH($AF62,$BD$6:$BD$53,0)))</f>
        <v>P.1 (4)</v>
      </c>
      <c r="V62" s="80"/>
      <c r="W62" s="762"/>
      <c r="X62" s="96">
        <v>46194.5</v>
      </c>
      <c r="Y62" s="97">
        <v>46194.5</v>
      </c>
      <c r="Z62" s="113" t="str" cm="1">
        <f t="array" ref="Z62">$Z$6</f>
        <v>J2</v>
      </c>
      <c r="AA62" s="99" t="str" cm="1">
        <f t="array" ref="AA62">A61</f>
        <v>España</v>
      </c>
      <c r="AB62" s="100"/>
      <c r="AC62" s="114">
        <v>3</v>
      </c>
      <c r="AD62" s="114">
        <v>0</v>
      </c>
      <c r="AE62" s="102"/>
      <c r="AF62" s="103" t="str" cm="1">
        <f t="array" ref="AF62">A63</f>
        <v>Arabia Saudita</v>
      </c>
      <c r="AG62" s="104" cm="1">
        <f t="array" ref="AG62">IF(NOT(OR(ISBLANK(AC62),ISBLANK(AD62))),1,0)</f>
        <v>1</v>
      </c>
      <c r="AH62" s="105">
        <v>38</v>
      </c>
      <c r="AI62" s="106" t="str" cm="1">
        <f t="array" ref="AI62">AJ62&amp;$B$60</f>
        <v>1H</v>
      </c>
      <c r="AJ62" s="127">
        <v>1</v>
      </c>
      <c r="AK62" s="204"/>
      <c r="AL62" s="129" t="str" cm="1">
        <f t="array" ref="AL62">IFERROR(INDEX($BD$6:$BD$53,MATCH(AI62,$BN$6:$BN$53,0)),"")</f>
        <v>España</v>
      </c>
      <c r="AM62" s="130" cm="1">
        <f t="array" ref="AM62">INDEX($BE$6:$BN$53,MATCH($AL62,$BD$6:$BD$53,0),MATCH(AM$5,$BE$5:$BN$5,0))</f>
        <v>9</v>
      </c>
      <c r="AN62" s="131" cm="1">
        <f t="array" ref="AN62">INDEX($BE$6:$BN$53,MATCH($AL62,$BD$6:$BD$53,0),MATCH(AN$5,$BE$5:$BN$5,0))</f>
        <v>3</v>
      </c>
      <c r="AO62" s="131" cm="1">
        <f t="array" ref="AO62">INDEX($BE$6:$BN$53,MATCH($AL62,$BD$6:$BD$53,0),MATCH(AO$5,$BE$5:$BN$5,0))</f>
        <v>3</v>
      </c>
      <c r="AP62" s="131" cm="1">
        <f t="array" ref="AP62">INDEX($BE$6:$BN$53,MATCH($AL62,$BD$6:$BD$53,0),MATCH(AP$5,$BE$5:$BN$5,0))</f>
        <v>0</v>
      </c>
      <c r="AQ62" s="131" cm="1">
        <f t="array" ref="AQ62">INDEX($BE$6:$BN$53,MATCH($AL62,$BD$6:$BD$53,0),MATCH(AQ$5,$BE$5:$BN$5,0))</f>
        <v>0</v>
      </c>
      <c r="AR62" s="131" cm="1">
        <f t="array" ref="AR62">INDEX($BE$6:$BN$53,MATCH($AL62,$BD$6:$BD$53,0),MATCH(AR$5,$BE$5:$BN$5,0))</f>
        <v>10</v>
      </c>
      <c r="AS62" s="131" cm="1">
        <f t="array" ref="AS62">INDEX($BE$6:$BN$53,MATCH($AL62,$BD$6:$BD$53,0),MATCH(AS$5,$BE$5:$BN$5,0))</f>
        <v>1</v>
      </c>
      <c r="AT62" s="132" cm="1">
        <f t="array" ref="AT62">INDEX($BE$6:$BN$53,MATCH($AL62,$BD$6:$BD$53,0),MATCH(AT$5,$BE$5:$BN$5,0))</f>
        <v>9</v>
      </c>
      <c r="AU62" s="133" cm="1">
        <f t="array" ref="AU62">INDEX($DL$6:$DL$53,MATCH(AI62,$DP$6:$DP$53,0))</f>
        <v>4</v>
      </c>
      <c r="AV62" s="134" t="str" cm="1">
        <f t="array" ref="AV62">INDEX($BD$6:$BD$53,MATCH(AI62,$BM$6:$BM$53,0))</f>
        <v>España</v>
      </c>
      <c r="AW62" s="135"/>
      <c r="AX62" s="136"/>
      <c r="AY62" s="137" t="str" cm="1">
        <f t="array" ref="AY62">A61</f>
        <v>España</v>
      </c>
      <c r="AZ62" s="138"/>
      <c r="BA62" s="125"/>
      <c r="BB62" s="126" t="str" cm="1">
        <f t="array" ref="BB62">"3"&amp;BC62</f>
        <v>3E</v>
      </c>
      <c r="BC62" s="112" t="s">
        <v>55</v>
      </c>
      <c r="BD62" s="126" t="str" cm="1">
        <f t="array" ref="BD62">INDEX($BD$6:$BN$53,MATCH($BB62,$BN$6:$BN$53,0),MATCH(BD$57,$BD$5:$BN$5,0))</f>
        <v>Costa de Marfil</v>
      </c>
      <c r="BE62" s="139">
        <v>3</v>
      </c>
      <c r="BF62" s="139" cm="1">
        <f t="array" ref="BF62">BG62+BH62+BI62</f>
        <v>3</v>
      </c>
      <c r="BG62" s="139" cm="1">
        <f t="array" ref="BG62">CHOOSE(IF($BB$57=2,2,1),INDEX($BG$6:$BG$53,MATCH($BB62,$BN$6:$BN$53,0)),INDEX($BG$6:$BG$53,MATCH($BB62,$BN$6:$BN$53,0))-(COUNTIFS($AA$4:$AA$97,$BD62,$AF$4:$AF$97,INDEX($BD$6:$BD$53,MATCH(BO62,$BN$6:$BN$53,0)),$D$4:$D$97,"Local")+COUNTIFS($AF$4:$AF$97,$BD62,$AA$4:$AA$97,INDEX($BD$6:$BD$53,MATCH(BO62,$BN$6:$BN$53,0)),$D$4:$D$97,"Visitante")))</f>
        <v>1</v>
      </c>
      <c r="BH62" s="139" cm="1">
        <f t="array" ref="BH62">CHOOSE(IF($BB$57=2,2,1),INDEX($BH$6:$BH$53,MATCH($BB62,$BN$6:$BN$53,0)),INDEX($BH$6:$BH$53,MATCH($BB62,$BN$6:$BN$53,0))-(COUNTIFS($AA$4:$AA$97,$BD62,$AF$4:$AF$97,INDEX($BD$6:$BD$53,MATCH(BO62,$BN$6:$BN$53,0)),$D$4:$D$97,"Empate")+COUNTIFS($AF$4:$AF$97,$BD62,$AA$4:$AA$97,INDEX($BD$6:$BD$53,MATCH(BO62,$BN$6:$BN$53,0)),$D$4:$D$97,"Empate")))</f>
        <v>0</v>
      </c>
      <c r="BI62" s="139" cm="1">
        <f t="array" ref="BI62">CHOOSE(IF($BB$57=2,2,1),INDEX($BI$6:$BI$53,MATCH($BB62,$BN$6:$BN$53,0)),INDEX($BI$6:$BI$53,MATCH($BB62,$BN$6:$BN$53,0))-(COUNTIFS($AA$4:$AA$97,$BD62,$AF$4:$AF$97,INDEX($BD$6:$BD$53,MATCH(BO62,$BN$6:$BN$53,0)),$D$4:$D$97,"Visitante")+COUNTIFS($AF$4:$AF$97,$BD62,$AA$4:$AA$97,INDEX($BD$6:$BD$53,MATCH(BO62,$BN$6:$BN$53,0)),$D$4:$D$97,"Local")))</f>
        <v>2</v>
      </c>
      <c r="BJ62" s="139" cm="1">
        <f t="array" ref="BJ62">CHOOSE($BB$57,INDEX($BJ$6:$BJ$53,MATCH($BB62,$BN$6:$BN$53,0)),INDEX($BJ$6:$BJ$53,MATCH($BB62,$BN$6:$BN$53,0))-(SUMIFS($AC$4:$AC$97,$AA$4:$AA$97,$BD62,$AF$4:$AF$97,INDEX($BD$6:$BD$53,MATCH(BO62,$BN$6:$BN$53,0)))+SUMIFS($AD$4:$AD$97,$AF$4:$AF$97,$BD62,$AA$4:$AA$97,INDEX($BD$6:$BD$53,MATCH(BO62,$BN$6:$BN$53,0)))),IFERROR(INDEX($BJ$6:$BJ$53,MATCH($BB62,$BN$6:$BN$53,0))/BF62,0))</f>
        <v>3</v>
      </c>
      <c r="BK62" s="139" cm="1">
        <f t="array" ref="BK62">CHOOSE($BB$57,INDEX($BK$6:$BK$53,MATCH($BB62,$BN$6:$BN$53,0)),INDEX($BK$6:$BK$53,MATCH($BB62,$BN$6:$BN$53,0))-(SUMIFS($AD$4:$AD$97,$AA$4:$AA$97,$BD62,$AF$4:$AF$97,INDEX($BD$6:$BD$53,MATCH(BO62,$BN$6:$BN$53,0)))+SUMIFS($AC$4:$AC$97,$AF$4:$AF$97,$BD62,$AA$4:$AA$97,INDEX($BD$6:$BD$53,MATCH(BO62,$BN$6:$BN$53,0)))),IFERROR(INDEX($BK$6:$BK$53,MATCH($BB62,$BN$6:$BN$53,0))/BF62,0))</f>
        <v>7</v>
      </c>
      <c r="BL62" s="139" cm="1">
        <f t="array" ref="BL62">BJ62-BK62</f>
        <v>-4</v>
      </c>
      <c r="BM62" s="139" cm="1">
        <f t="array" ref="BM62">CB62</f>
        <v>5</v>
      </c>
      <c r="BN62" s="139" cm="1">
        <f t="array" ref="BN62">CF62</f>
        <v>5</v>
      </c>
      <c r="BO62" s="126" t="str" cm="1">
        <f t="array" ref="BO62">"4"&amp;BC62</f>
        <v>4E</v>
      </c>
      <c r="BP62" s="126"/>
      <c r="BQ62" s="126"/>
      <c r="BR62" s="139" cm="1">
        <f t="array" ref="BR62">BE62</f>
        <v>3</v>
      </c>
      <c r="BS62" s="139" cm="1">
        <f t="array" ref="BS62">COUNTIFS(BR$58:BR$69,"&gt;"&amp;BR62)+1</f>
        <v>4</v>
      </c>
      <c r="BT62" s="126" t="str" cm="1">
        <f t="array" ref="BT62">IF(COUNTIF(BS$58:BS$69,BS62)=1,"-","Pos. "&amp;BS62&amp;" ("&amp;COUNTIF(BS$58:BS$69,BS62)&amp;")")</f>
        <v>Pos. 4 (3)</v>
      </c>
      <c r="BU62" s="139" cm="1">
        <f t="array" ref="BU62">IF(BT62="-","-",BL62)</f>
        <v>-4</v>
      </c>
      <c r="BV62" s="139" cm="1">
        <f t="array" ref="BV62">BS62+COUNTIFS(BT$58:BT$69,BT62,BU$58:BU$69,"&gt;"&amp;BU62)</f>
        <v>5</v>
      </c>
      <c r="BW62" s="126" t="str" cm="1">
        <f t="array" ref="BW62">IF(COUNTIF(BV$58:BV$69,BV62)=1,"-","Pos. "&amp;BV62&amp;" ("&amp;COUNTIF(BV$58:BV$69,BV62)&amp;")")</f>
        <v>-</v>
      </c>
      <c r="BX62" s="126" t="str" cm="1">
        <f t="array" ref="BX62">IF(BW62="-","-",BJ62)</f>
        <v>-</v>
      </c>
      <c r="BY62" s="139" cm="1">
        <f t="array" ref="BY62">BV62+COUNTIFS(BW$58:BW$69,BW62,BX$58:BX$69,"&gt;"&amp;BX62)</f>
        <v>5</v>
      </c>
      <c r="BZ62" s="126" t="str" cm="1">
        <f t="array" ref="BZ62">IF(COUNTIF(BY$58:BY$69,BY62)=1,"-","Pos. "&amp;BY62&amp;" ("&amp;COUNTIF(BY$58:BY$69,BY62)&amp;")")</f>
        <v>-</v>
      </c>
      <c r="CA62" s="126" t="str" cm="1">
        <f t="array" ref="CA62">IF(BZ62="-","-",COUNTIF($BD$58:$BD$69,"&gt;"&amp;BD62))</f>
        <v>-</v>
      </c>
      <c r="CB62" s="139" cm="1">
        <f t="array" ref="CB62">BY62+COUNTIFS(BZ$58:BZ$69,BZ62,CA$58:CA$69,"&gt;"&amp;CA62)</f>
        <v>5</v>
      </c>
      <c r="CC62" s="126"/>
      <c r="CD62" s="139" cm="1">
        <f t="array" ref="CD62">IF(OR(INDEX($AW$102:$AW$113,MATCH($BD62,$AV$102:$AV$113,0))="",BZ62="-"),CB62,INDEX($AW$102:$AW$113,MATCH($BD62,$AV$102:$AV$113,0))+CB62/1000)</f>
        <v>5</v>
      </c>
      <c r="CE62" s="126" t="str" cm="1">
        <f t="array" ref="CE62">IF(BZ62="-","-",COUNTIF(CD$58:CD$69,"&lt;"&amp;CD62))</f>
        <v>-</v>
      </c>
      <c r="CF62" s="139" cm="1">
        <f t="array" ref="CF62">BY62+COUNTIFS(BZ$58:BZ$69,BZ62,CE$58:CE$69,"&lt;"&amp;CE62)</f>
        <v>5</v>
      </c>
      <c r="CG62" s="77"/>
      <c r="CH62" s="77"/>
      <c r="CI62" s="77"/>
      <c r="CJ62" s="77"/>
      <c r="CK62" s="77"/>
      <c r="CL62" s="77"/>
      <c r="CM62" s="77"/>
      <c r="CN62" s="77"/>
      <c r="CO62" s="77"/>
      <c r="CP62" s="77"/>
      <c r="CQ62" s="77"/>
      <c r="CR62" s="77"/>
      <c r="CS62" s="77"/>
      <c r="CT62" s="77"/>
      <c r="CU62" s="77"/>
      <c r="CV62" s="77"/>
      <c r="CW62" s="77"/>
      <c r="CX62" s="77"/>
      <c r="CY62" s="77"/>
      <c r="CZ62" s="77"/>
      <c r="DA62" s="77"/>
      <c r="DB62" s="77"/>
      <c r="DC62" s="77"/>
      <c r="DD62" s="77"/>
      <c r="DE62" s="77"/>
      <c r="DF62" s="77"/>
      <c r="DG62" s="77"/>
      <c r="DH62" s="77"/>
      <c r="DI62" s="77"/>
      <c r="DJ62" s="139" cm="1">
        <f t="array" ref="DJ62">INDEX($BY$58:$BY$69,MATCH($DQ62,$BD$58:$BD$69,0))</f>
        <v>5</v>
      </c>
      <c r="DK62" s="126"/>
      <c r="DL62" s="139" cm="1">
        <f t="array" ref="DL62">IF(OR($H$113=144,$AJ$99=144),COUNTIF($DJ$58:$DJ$69,DJ62),1)</f>
        <v>1</v>
      </c>
      <c r="DM62" s="126" t="str" cm="1">
        <f t="array" ref="DM62">DJ62&amp;"."&amp;DL62</f>
        <v>5.1</v>
      </c>
      <c r="DN62" s="139">
        <v>1</v>
      </c>
      <c r="DO62" s="126"/>
      <c r="DP62" s="139">
        <v>5</v>
      </c>
      <c r="DQ62" s="126" t="str" cm="1">
        <f t="array" ref="DQ62">INDEX($BD$58:$BD$69,MATCH(DP62,$BM$58:$BM$69,0))</f>
        <v>Costa de Marfil</v>
      </c>
      <c r="DR62" s="77"/>
      <c r="DS62" s="77"/>
      <c r="DT62" s="78"/>
      <c r="DU62" s="12"/>
    </row>
    <row r="63" spans="1:125" ht="16" customHeight="1" x14ac:dyDescent="0.2">
      <c r="A63" s="79" t="s">
        <v>178</v>
      </c>
      <c r="B63" s="68"/>
      <c r="C63" s="68"/>
      <c r="D63" s="68" t="str" cm="1">
        <f t="array" ref="D63">IF(OR(AC63="",AD63=""),"Pendiente",IF(AC63&gt;AD63,"Local",IF(AC63&lt;AD63,"Visitante","Empate")))</f>
        <v>Local</v>
      </c>
      <c r="E63" s="68" t="str" cm="1">
        <f t="array" ref="E63">IF(D63="Pendiente","-",INDEX($BT$6:$BT$53,MATCH($AA63,$BD$6:$BD$53,0)))</f>
        <v>P.1 (4)</v>
      </c>
      <c r="F63" s="68" t="str" cm="1">
        <f t="array" ref="F63">IF(D63="Pendiente","-",INDEX($BT$6:$BT$53,MATCH($AF63,$BD$6:$BD$53,0)))</f>
        <v>P.1 (4)</v>
      </c>
      <c r="G63" s="68"/>
      <c r="H63" s="68" t="str" cm="1">
        <f t="array" ref="H63">IF(D63="Pendiente","-",INDEX($BZ$6:$BZ$53,MATCH($AA63,$BD$6:$BD$53,0)))</f>
        <v>P.1 (4)</v>
      </c>
      <c r="I63" s="68" t="str" cm="1">
        <f t="array" ref="I63">IF(D63="Pendiente","-",INDEX($BZ$6:$BZ$53,MATCH($AF63,$BD$6:$BD$53,0)))</f>
        <v>P.1 (4)</v>
      </c>
      <c r="J63" s="68"/>
      <c r="K63" s="68" t="str" cm="1">
        <f t="array" ref="K63">IF(D63="Pendiente","-",INDEX($CE$6:$CE$53,MATCH($AA63,$BD$6:$BD$53,0)))</f>
        <v>P.1 (4)</v>
      </c>
      <c r="L63" s="68" t="str" cm="1">
        <f t="array" ref="L63">IF(D63="Pendiente","-",INDEX($CE$6:$CE$53,MATCH($AF63,$BD$6:$BD$53,0)))</f>
        <v>P.1 (4)</v>
      </c>
      <c r="M63" s="68"/>
      <c r="N63" s="68" t="str" cm="1">
        <f t="array" ref="N63">IF(D63="Pendiente","-",INDEX($CH$6:$CH$53,MATCH($AA63,$BD$6:$BD$53,0)))</f>
        <v>P.1 (4)</v>
      </c>
      <c r="O63" s="68" t="str" cm="1">
        <f t="array" ref="O63">IF(D63="Pendiente","-",INDEX($CH$6:$CH$53,MATCH($AF63,$BD$6:$BD$53,0)))</f>
        <v>P.1 (4)</v>
      </c>
      <c r="P63" s="68"/>
      <c r="Q63" s="68" t="str" cm="1">
        <f t="array" ref="Q63">IF(D63="Pendiente","-",INDEX($CN$6:$CN$53,MATCH($AA63,$BD$6:$BD$53,0)))</f>
        <v>P.1 (4)</v>
      </c>
      <c r="R63" s="68" t="str" cm="1">
        <f t="array" ref="R63">IF(D63="Pendiente","-",INDEX($CN$6:$CN$53,MATCH($AF63,$BD$6:$BD$53,0)))</f>
        <v>P.1 (4)</v>
      </c>
      <c r="S63" s="68"/>
      <c r="T63" s="68" t="str" cm="1">
        <f t="array" ref="T63">IF(D63="Pendiente","-",INDEX($CS$6:$CS$53,MATCH($AA63,$BD$6:$BD$53,0)))</f>
        <v>P.1 (4)</v>
      </c>
      <c r="U63" s="68" t="str" cm="1">
        <f t="array" ref="U63">IF(D63="Pendiente","-",INDEX($CS$6:$CS$53,MATCH($AF63,$BD$6:$BD$53,0)))</f>
        <v>P.1 (4)</v>
      </c>
      <c r="V63" s="80"/>
      <c r="W63" s="762"/>
      <c r="X63" s="96">
        <v>46194.75</v>
      </c>
      <c r="Y63" s="97">
        <v>46194.75</v>
      </c>
      <c r="Z63" s="113" t="str" cm="1">
        <f t="array" ref="Z63">$Z$6</f>
        <v>J2</v>
      </c>
      <c r="AA63" s="99" t="str" cm="1">
        <f t="array" ref="AA63">A64</f>
        <v>Uruguay</v>
      </c>
      <c r="AB63" s="100"/>
      <c r="AC63" s="114">
        <v>3</v>
      </c>
      <c r="AD63" s="114">
        <v>0</v>
      </c>
      <c r="AE63" s="102"/>
      <c r="AF63" s="103" t="str" cm="1">
        <f t="array" ref="AF63">A62</f>
        <v>Cabo Verde</v>
      </c>
      <c r="AG63" s="104" cm="1">
        <f t="array" ref="AG63">IF(NOT(OR(ISBLANK(AC63),ISBLANK(AD63))),1,0)</f>
        <v>1</v>
      </c>
      <c r="AH63" s="105">
        <v>37</v>
      </c>
      <c r="AI63" s="106" t="str" cm="1">
        <f t="array" ref="AI63">AJ63&amp;$B$60</f>
        <v>2H</v>
      </c>
      <c r="AJ63" s="140">
        <v>2</v>
      </c>
      <c r="AK63" s="208"/>
      <c r="AL63" s="142" t="str" cm="1">
        <f t="array" ref="AL63">IFERROR(INDEX($BD$6:$BD$53,MATCH(AI63,$BN$6:$BN$53,0)),"")</f>
        <v>Cabo Verde</v>
      </c>
      <c r="AM63" s="143" cm="1">
        <f t="array" ref="AM63">INDEX($BE$6:$BN$53,MATCH($AL63,$BD$6:$BD$53,0),MATCH(AM$5,$BE$5:$BN$5,0))</f>
        <v>0</v>
      </c>
      <c r="AN63" s="144" cm="1">
        <f t="array" ref="AN63">INDEX($BE$6:$BN$53,MATCH($AL63,$BD$6:$BD$53,0),MATCH(AN$5,$BE$5:$BN$5,0))</f>
        <v>3</v>
      </c>
      <c r="AO63" s="144" cm="1">
        <f t="array" ref="AO63">INDEX($BE$6:$BN$53,MATCH($AL63,$BD$6:$BD$53,0),MATCH(AO$5,$BE$5:$BN$5,0))</f>
        <v>0</v>
      </c>
      <c r="AP63" s="144" cm="1">
        <f t="array" ref="AP63">INDEX($BE$6:$BN$53,MATCH($AL63,$BD$6:$BD$53,0),MATCH(AP$5,$BE$5:$BN$5,0))</f>
        <v>0</v>
      </c>
      <c r="AQ63" s="144" cm="1">
        <f t="array" ref="AQ63">INDEX($BE$6:$BN$53,MATCH($AL63,$BD$6:$BD$53,0),MATCH(AQ$5,$BE$5:$BN$5,0))</f>
        <v>3</v>
      </c>
      <c r="AR63" s="144" cm="1">
        <f t="array" ref="AR63">INDEX($BE$6:$BN$53,MATCH($AL63,$BD$6:$BD$53,0),MATCH(AR$5,$BE$5:$BN$5,0))</f>
        <v>0</v>
      </c>
      <c r="AS63" s="144" cm="1">
        <f t="array" ref="AS63">INDEX($BE$6:$BN$53,MATCH($AL63,$BD$6:$BD$53,0),MATCH(AS$5,$BE$5:$BN$5,0))</f>
        <v>9</v>
      </c>
      <c r="AT63" s="145" cm="1">
        <f t="array" ref="AT63">INDEX($BE$6:$BN$53,MATCH($AL63,$BD$6:$BD$53,0),MATCH(AT$5,$BE$5:$BN$5,0))</f>
        <v>-9</v>
      </c>
      <c r="AU63" s="133" cm="1">
        <f t="array" ref="AU63">INDEX($DL$6:$DL$53,MATCH(AI63,$DP$6:$DP$53,0))</f>
        <v>4</v>
      </c>
      <c r="AV63" s="134" t="str" cm="1">
        <f t="array" ref="AV63">INDEX($BD$6:$BD$53,MATCH(AI63,$BM$6:$BM$53,0))</f>
        <v>Cabo Verde</v>
      </c>
      <c r="AW63" s="135"/>
      <c r="AX63" s="136"/>
      <c r="AY63" s="146" t="str" cm="1">
        <f t="array" ref="AY63">A62</f>
        <v>Cabo Verde</v>
      </c>
      <c r="AZ63" s="147"/>
      <c r="BA63" s="125"/>
      <c r="BB63" s="126" t="str" cm="1">
        <f t="array" ref="BB63">"3"&amp;BC63</f>
        <v>3F</v>
      </c>
      <c r="BC63" s="112" t="s">
        <v>156</v>
      </c>
      <c r="BD63" s="126" t="str" cm="1">
        <f t="array" ref="BD63">INDEX($BD$6:$BN$53,MATCH($BB63,$BN$6:$BN$53,0),MATCH(BD$57,$BD$5:$BN$5,0))</f>
        <v>Suecia</v>
      </c>
      <c r="BE63" s="139">
        <v>3</v>
      </c>
      <c r="BF63" s="139" cm="1">
        <f t="array" ref="BF63">BG63+BH63+BI63</f>
        <v>3</v>
      </c>
      <c r="BG63" s="139" cm="1">
        <f t="array" ref="BG63">CHOOSE(IF($BB$57=2,2,1),INDEX($BG$6:$BG$53,MATCH($BB63,$BN$6:$BN$53,0)),INDEX($BG$6:$BG$53,MATCH($BB63,$BN$6:$BN$53,0))-(COUNTIFS($AA$4:$AA$97,$BD63,$AF$4:$AF$97,INDEX($BD$6:$BD$53,MATCH(BO63,$BN$6:$BN$53,0)),$D$4:$D$97,"Local")+COUNTIFS($AF$4:$AF$97,$BD63,$AA$4:$AA$97,INDEX($BD$6:$BD$53,MATCH(BO63,$BN$6:$BN$53,0)),$D$4:$D$97,"Visitante")))</f>
        <v>1</v>
      </c>
      <c r="BH63" s="139" cm="1">
        <f t="array" ref="BH63">CHOOSE(IF($BB$57=2,2,1),INDEX($BH$6:$BH$53,MATCH($BB63,$BN$6:$BN$53,0)),INDEX($BH$6:$BH$53,MATCH($BB63,$BN$6:$BN$53,0))-(COUNTIFS($AA$4:$AA$97,$BD63,$AF$4:$AF$97,INDEX($BD$6:$BD$53,MATCH(BO63,$BN$6:$BN$53,0)),$D$4:$D$97,"Empate")+COUNTIFS($AF$4:$AF$97,$BD63,$AA$4:$AA$97,INDEX($BD$6:$BD$53,MATCH(BO63,$BN$6:$BN$53,0)),$D$4:$D$97,"Empate")))</f>
        <v>0</v>
      </c>
      <c r="BI63" s="139" cm="1">
        <f t="array" ref="BI63">CHOOSE(IF($BB$57=2,2,1),INDEX($BI$6:$BI$53,MATCH($BB63,$BN$6:$BN$53,0)),INDEX($BI$6:$BI$53,MATCH($BB63,$BN$6:$BN$53,0))-(COUNTIFS($AA$4:$AA$97,$BD63,$AF$4:$AF$97,INDEX($BD$6:$BD$53,MATCH(BO63,$BN$6:$BN$53,0)),$D$4:$D$97,"Visitante")+COUNTIFS($AF$4:$AF$97,$BD63,$AA$4:$AA$97,INDEX($BD$6:$BD$53,MATCH(BO63,$BN$6:$BN$53,0)),$D$4:$D$97,"Local")))</f>
        <v>2</v>
      </c>
      <c r="BJ63" s="139" cm="1">
        <f t="array" ref="BJ63">CHOOSE($BB$57,INDEX($BJ$6:$BJ$53,MATCH($BB63,$BN$6:$BN$53,0)),INDEX($BJ$6:$BJ$53,MATCH($BB63,$BN$6:$BN$53,0))-(SUMIFS($AC$4:$AC$97,$AA$4:$AA$97,$BD63,$AF$4:$AF$97,INDEX($BD$6:$BD$53,MATCH(BO63,$BN$6:$BN$53,0)))+SUMIFS($AD$4:$AD$97,$AF$4:$AF$97,$BD63,$AA$4:$AA$97,INDEX($BD$6:$BD$53,MATCH(BO63,$BN$6:$BN$53,0)))),IFERROR(INDEX($BJ$6:$BJ$53,MATCH($BB63,$BN$6:$BN$53,0))/BF63,0))</f>
        <v>6</v>
      </c>
      <c r="BK63" s="139" cm="1">
        <f t="array" ref="BK63">CHOOSE($BB$57,INDEX($BK$6:$BK$53,MATCH($BB63,$BN$6:$BN$53,0)),INDEX($BK$6:$BK$53,MATCH($BB63,$BN$6:$BN$53,0))-(SUMIFS($AD$4:$AD$97,$AA$4:$AA$97,$BD63,$AF$4:$AF$97,INDEX($BD$6:$BD$53,MATCH(BO63,$BN$6:$BN$53,0)))+SUMIFS($AC$4:$AC$97,$AF$4:$AF$97,$BD63,$AA$4:$AA$97,INDEX($BD$6:$BD$53,MATCH(BO63,$BN$6:$BN$53,0)))),IFERROR(INDEX($BK$6:$BK$53,MATCH($BB63,$BN$6:$BN$53,0))/BF63,0))</f>
        <v>4</v>
      </c>
      <c r="BL63" s="139" cm="1">
        <f t="array" ref="BL63">BJ63-BK63</f>
        <v>2</v>
      </c>
      <c r="BM63" s="139" cm="1">
        <f t="array" ref="BM63">CB63</f>
        <v>4</v>
      </c>
      <c r="BN63" s="139" cm="1">
        <f t="array" ref="BN63">CF63</f>
        <v>4</v>
      </c>
      <c r="BO63" s="126" t="str" cm="1">
        <f t="array" ref="BO63">"4"&amp;BC63</f>
        <v>4F</v>
      </c>
      <c r="BP63" s="126"/>
      <c r="BQ63" s="126"/>
      <c r="BR63" s="139" cm="1">
        <f t="array" ref="BR63">BE63</f>
        <v>3</v>
      </c>
      <c r="BS63" s="139" cm="1">
        <f t="array" ref="BS63">COUNTIFS(BR$58:BR$69,"&gt;"&amp;BR63)+1</f>
        <v>4</v>
      </c>
      <c r="BT63" s="126" t="str" cm="1">
        <f t="array" ref="BT63">IF(COUNTIF(BS$58:BS$69,BS63)=1,"-","Pos. "&amp;BS63&amp;" ("&amp;COUNTIF(BS$58:BS$69,BS63)&amp;")")</f>
        <v>Pos. 4 (3)</v>
      </c>
      <c r="BU63" s="139" cm="1">
        <f t="array" ref="BU63">IF(BT63="-","-",BL63)</f>
        <v>2</v>
      </c>
      <c r="BV63" s="139" cm="1">
        <f t="array" ref="BV63">BS63+COUNTIFS(BT$58:BT$69,BT63,BU$58:BU$69,"&gt;"&amp;BU63)</f>
        <v>4</v>
      </c>
      <c r="BW63" s="126" t="str" cm="1">
        <f t="array" ref="BW63">IF(COUNTIF(BV$58:BV$69,BV63)=1,"-","Pos. "&amp;BV63&amp;" ("&amp;COUNTIF(BV$58:BV$69,BV63)&amp;")")</f>
        <v>-</v>
      </c>
      <c r="BX63" s="126" t="str" cm="1">
        <f t="array" ref="BX63">IF(BW63="-","-",BJ63)</f>
        <v>-</v>
      </c>
      <c r="BY63" s="139" cm="1">
        <f t="array" ref="BY63">BV63+COUNTIFS(BW$58:BW$69,BW63,BX$58:BX$69,"&gt;"&amp;BX63)</f>
        <v>4</v>
      </c>
      <c r="BZ63" s="126" t="str" cm="1">
        <f t="array" ref="BZ63">IF(COUNTIF(BY$58:BY$69,BY63)=1,"-","Pos. "&amp;BY63&amp;" ("&amp;COUNTIF(BY$58:BY$69,BY63)&amp;")")</f>
        <v>-</v>
      </c>
      <c r="CA63" s="126" t="str" cm="1">
        <f t="array" ref="CA63">IF(BZ63="-","-",COUNTIF($BD$58:$BD$69,"&gt;"&amp;BD63))</f>
        <v>-</v>
      </c>
      <c r="CB63" s="139" cm="1">
        <f t="array" ref="CB63">BY63+COUNTIFS(BZ$58:BZ$69,BZ63,CA$58:CA$69,"&gt;"&amp;CA63)</f>
        <v>4</v>
      </c>
      <c r="CC63" s="126"/>
      <c r="CD63" s="139" cm="1">
        <f t="array" ref="CD63">IF(OR(INDEX($AW$102:$AW$113,MATCH($BD63,$AV$102:$AV$113,0))="",BZ63="-"),CB63,INDEX($AW$102:$AW$113,MATCH($BD63,$AV$102:$AV$113,0))+CB63/1000)</f>
        <v>4</v>
      </c>
      <c r="CE63" s="126" t="str" cm="1">
        <f t="array" ref="CE63">IF(BZ63="-","-",COUNTIF(CD$58:CD$69,"&lt;"&amp;CD63))</f>
        <v>-</v>
      </c>
      <c r="CF63" s="139" cm="1">
        <f t="array" ref="CF63">BY63+COUNTIFS(BZ$58:BZ$69,BZ63,CE$58:CE$69,"&lt;"&amp;CE63)</f>
        <v>4</v>
      </c>
      <c r="CG63" s="77"/>
      <c r="CH63" s="77"/>
      <c r="CI63" s="77"/>
      <c r="CJ63" s="77"/>
      <c r="CK63" s="77"/>
      <c r="CL63" s="77"/>
      <c r="CM63" s="77"/>
      <c r="CN63" s="77"/>
      <c r="CO63" s="77"/>
      <c r="CP63" s="77"/>
      <c r="CQ63" s="77"/>
      <c r="CR63" s="77"/>
      <c r="CS63" s="77"/>
      <c r="CT63" s="77"/>
      <c r="CU63" s="77"/>
      <c r="CV63" s="77"/>
      <c r="CW63" s="77"/>
      <c r="CX63" s="77"/>
      <c r="CY63" s="77"/>
      <c r="CZ63" s="77"/>
      <c r="DA63" s="77"/>
      <c r="DB63" s="77"/>
      <c r="DC63" s="77"/>
      <c r="DD63" s="77"/>
      <c r="DE63" s="77"/>
      <c r="DF63" s="77"/>
      <c r="DG63" s="77"/>
      <c r="DH63" s="77"/>
      <c r="DI63" s="77"/>
      <c r="DJ63" s="139" cm="1">
        <f t="array" ref="DJ63">INDEX($BY$58:$BY$69,MATCH($DQ63,$BD$58:$BD$69,0))</f>
        <v>6</v>
      </c>
      <c r="DK63" s="126"/>
      <c r="DL63" s="139" cm="1">
        <f t="array" ref="DL63">IF(OR($H$113=144,$AJ$99=144),COUNTIF($DJ$58:$DJ$69,DJ63),1)</f>
        <v>1</v>
      </c>
      <c r="DM63" s="126" t="str" cm="1">
        <f t="array" ref="DM63">DJ63&amp;"."&amp;DL63</f>
        <v>6.1</v>
      </c>
      <c r="DN63" s="139">
        <v>1</v>
      </c>
      <c r="DO63" s="126"/>
      <c r="DP63" s="139">
        <v>6</v>
      </c>
      <c r="DQ63" s="126" t="str" cm="1">
        <f t="array" ref="DQ63">INDEX($BD$58:$BD$69,MATCH(DP63,$BM$58:$BM$69,0))</f>
        <v>Arabia Saudita</v>
      </c>
      <c r="DR63" s="77"/>
      <c r="DS63" s="77"/>
      <c r="DT63" s="78"/>
      <c r="DU63" s="12"/>
    </row>
    <row r="64" spans="1:125" ht="16" customHeight="1" x14ac:dyDescent="0.2">
      <c r="A64" s="79" t="s">
        <v>180</v>
      </c>
      <c r="B64" s="68"/>
      <c r="C64" s="68"/>
      <c r="D64" s="68" t="str" cm="1">
        <f t="array" ref="D64">IF(OR(AC64="",AD64=""),"Pendiente",IF(AC64&gt;AD64,"Local",IF(AC64&lt;AD64,"Visitante","Empate")))</f>
        <v>Visitante</v>
      </c>
      <c r="E64" s="68" t="str" cm="1">
        <f t="array" ref="E64">IF(D64="Pendiente","-",INDEX($BT$6:$BT$53,MATCH($AA64,$BD$6:$BD$53,0)))</f>
        <v>P.1 (4)</v>
      </c>
      <c r="F64" s="68" t="str" cm="1">
        <f t="array" ref="F64">IF(D64="Pendiente","-",INDEX($BT$6:$BT$53,MATCH($AF64,$BD$6:$BD$53,0)))</f>
        <v>P.1 (4)</v>
      </c>
      <c r="G64" s="68"/>
      <c r="H64" s="68" t="str" cm="1">
        <f t="array" ref="H64">IF(D64="Pendiente","-",INDEX($BZ$6:$BZ$53,MATCH($AA64,$BD$6:$BD$53,0)))</f>
        <v>P.1 (4)</v>
      </c>
      <c r="I64" s="68" t="str" cm="1">
        <f t="array" ref="I64">IF(D64="Pendiente","-",INDEX($BZ$6:$BZ$53,MATCH($AF64,$BD$6:$BD$53,0)))</f>
        <v>P.1 (4)</v>
      </c>
      <c r="J64" s="68"/>
      <c r="K64" s="68" t="str" cm="1">
        <f t="array" ref="K64">IF(D64="Pendiente","-",INDEX($CE$6:$CE$53,MATCH($AA64,$BD$6:$BD$53,0)))</f>
        <v>P.1 (4)</v>
      </c>
      <c r="L64" s="68" t="str" cm="1">
        <f t="array" ref="L64">IF(D64="Pendiente","-",INDEX($CE$6:$CE$53,MATCH($AF64,$BD$6:$BD$53,0)))</f>
        <v>P.1 (4)</v>
      </c>
      <c r="M64" s="68"/>
      <c r="N64" s="68" t="str" cm="1">
        <f t="array" ref="N64">IF(D64="Pendiente","-",INDEX($CH$6:$CH$53,MATCH($AA64,$BD$6:$BD$53,0)))</f>
        <v>P.1 (4)</v>
      </c>
      <c r="O64" s="68" t="str" cm="1">
        <f t="array" ref="O64">IF(D64="Pendiente","-",INDEX($CH$6:$CH$53,MATCH($AF64,$BD$6:$BD$53,0)))</f>
        <v>P.1 (4)</v>
      </c>
      <c r="P64" s="68"/>
      <c r="Q64" s="68" t="str" cm="1">
        <f t="array" ref="Q64">IF(D64="Pendiente","-",INDEX($CN$6:$CN$53,MATCH($AA64,$BD$6:$BD$53,0)))</f>
        <v>P.1 (4)</v>
      </c>
      <c r="R64" s="68" t="str" cm="1">
        <f t="array" ref="R64">IF(D64="Pendiente","-",INDEX($CN$6:$CN$53,MATCH($AF64,$BD$6:$BD$53,0)))</f>
        <v>P.1 (4)</v>
      </c>
      <c r="S64" s="68"/>
      <c r="T64" s="68" t="str" cm="1">
        <f t="array" ref="T64">IF(D64="Pendiente","-",INDEX($CS$6:$CS$53,MATCH($AA64,$BD$6:$BD$53,0)))</f>
        <v>P.1 (4)</v>
      </c>
      <c r="U64" s="68" t="str" cm="1">
        <f t="array" ref="U64">IF(D64="Pendiente","-",INDEX($CS$6:$CS$53,MATCH($AF64,$BD$6:$BD$53,0)))</f>
        <v>P.1 (4)</v>
      </c>
      <c r="V64" s="80"/>
      <c r="W64" s="762"/>
      <c r="X64" s="96">
        <v>46199.833333333343</v>
      </c>
      <c r="Y64" s="97">
        <v>46199.833333333343</v>
      </c>
      <c r="Z64" s="113" t="str" cm="1">
        <f t="array" ref="Z64">$Z$8</f>
        <v>J3</v>
      </c>
      <c r="AA64" s="99" t="str" cm="1">
        <f t="array" ref="AA64">A62</f>
        <v>Cabo Verde</v>
      </c>
      <c r="AB64" s="100"/>
      <c r="AC64" s="114">
        <v>0</v>
      </c>
      <c r="AD64" s="114">
        <v>1</v>
      </c>
      <c r="AE64" s="102"/>
      <c r="AF64" s="103" t="str" cm="1">
        <f t="array" ref="AF64">A63</f>
        <v>Arabia Saudita</v>
      </c>
      <c r="AG64" s="104" cm="1">
        <f t="array" ref="AG64">IF(NOT(OR(ISBLANK(AC64),ISBLANK(AD64))),1,0)</f>
        <v>1</v>
      </c>
      <c r="AH64" s="105">
        <v>65</v>
      </c>
      <c r="AI64" s="106" t="str" cm="1">
        <f t="array" ref="AI64">AJ64&amp;$B$60</f>
        <v>3H</v>
      </c>
      <c r="AJ64" s="140">
        <v>3</v>
      </c>
      <c r="AK64" s="208"/>
      <c r="AL64" s="142" t="str" cm="1">
        <f t="array" ref="AL64">IFERROR(INDEX($BD$6:$BD$53,MATCH(AI64,$BN$6:$BN$53,0)),"")</f>
        <v>Arabia Saudita</v>
      </c>
      <c r="AM64" s="143" cm="1">
        <f t="array" ref="AM64">INDEX($BE$6:$BN$53,MATCH($AL64,$BD$6:$BD$53,0),MATCH(AM$5,$BE$5:$BN$5,0))</f>
        <v>3</v>
      </c>
      <c r="AN64" s="144" cm="1">
        <f t="array" ref="AN64">INDEX($BE$6:$BN$53,MATCH($AL64,$BD$6:$BD$53,0),MATCH(AN$5,$BE$5:$BN$5,0))</f>
        <v>3</v>
      </c>
      <c r="AO64" s="144" cm="1">
        <f t="array" ref="AO64">INDEX($BE$6:$BN$53,MATCH($AL64,$BD$6:$BD$53,0),MATCH(AO$5,$BE$5:$BN$5,0))</f>
        <v>1</v>
      </c>
      <c r="AP64" s="144" cm="1">
        <f t="array" ref="AP64">INDEX($BE$6:$BN$53,MATCH($AL64,$BD$6:$BD$53,0),MATCH(AP$5,$BE$5:$BN$5,0))</f>
        <v>0</v>
      </c>
      <c r="AQ64" s="144" cm="1">
        <f t="array" ref="AQ64">INDEX($BE$6:$BN$53,MATCH($AL64,$BD$6:$BD$53,0),MATCH(AQ$5,$BE$5:$BN$5,0))</f>
        <v>2</v>
      </c>
      <c r="AR64" s="144" cm="1">
        <f t="array" ref="AR64">INDEX($BE$6:$BN$53,MATCH($AL64,$BD$6:$BD$53,0),MATCH(AR$5,$BE$5:$BN$5,0))</f>
        <v>2</v>
      </c>
      <c r="AS64" s="144" cm="1">
        <f t="array" ref="AS64">INDEX($BE$6:$BN$53,MATCH($AL64,$BD$6:$BD$53,0),MATCH(AS$5,$BE$5:$BN$5,0))</f>
        <v>7</v>
      </c>
      <c r="AT64" s="145" cm="1">
        <f t="array" ref="AT64">INDEX($BE$6:$BN$53,MATCH($AL64,$BD$6:$BD$53,0),MATCH(AT$5,$BE$5:$BN$5,0))</f>
        <v>-5</v>
      </c>
      <c r="AU64" s="133" cm="1">
        <f t="array" ref="AU64">INDEX($DL$6:$DL$53,MATCH(AI64,$DP$6:$DP$53,0))</f>
        <v>4</v>
      </c>
      <c r="AV64" s="134" t="str" cm="1">
        <f t="array" ref="AV64">INDEX($BD$6:$BD$53,MATCH(AI64,$BM$6:$BM$53,0))</f>
        <v>Arabia Saudita</v>
      </c>
      <c r="AW64" s="135"/>
      <c r="AX64" s="136"/>
      <c r="AY64" s="137" t="str" cm="1">
        <f t="array" ref="AY64">A63</f>
        <v>Arabia Saudita</v>
      </c>
      <c r="AZ64" s="138"/>
      <c r="BA64" s="125"/>
      <c r="BB64" s="126" t="str" cm="1">
        <f t="array" ref="BB64">"3"&amp;BC64</f>
        <v>3G</v>
      </c>
      <c r="BC64" s="112" t="s">
        <v>54</v>
      </c>
      <c r="BD64" s="126" t="str" cm="1">
        <f t="array" ref="BD64">INDEX($BD$6:$BN$53,MATCH($BB64,$BN$6:$BN$53,0),MATCH(BD$57,$BD$5:$BN$5,0))</f>
        <v>Irán</v>
      </c>
      <c r="BE64" s="139">
        <v>1</v>
      </c>
      <c r="BF64" s="139" cm="1">
        <f t="array" ref="BF64">BG64+BH64+BI64</f>
        <v>3</v>
      </c>
      <c r="BG64" s="139" cm="1">
        <f t="array" ref="BG64">CHOOSE(IF($BB$57=2,2,1),INDEX($BG$6:$BG$53,MATCH($BB64,$BN$6:$BN$53,0)),INDEX($BG$6:$BG$53,MATCH($BB64,$BN$6:$BN$53,0))-(COUNTIFS($AA$4:$AA$97,$BD64,$AF$4:$AF$97,INDEX($BD$6:$BD$53,MATCH(BO64,$BN$6:$BN$53,0)),$D$4:$D$97,"Local")+COUNTIFS($AF$4:$AF$97,$BD64,$AA$4:$AA$97,INDEX($BD$6:$BD$53,MATCH(BO64,$BN$6:$BN$53,0)),$D$4:$D$97,"Visitante")))</f>
        <v>0</v>
      </c>
      <c r="BH64" s="139" cm="1">
        <f t="array" ref="BH64">CHOOSE(IF($BB$57=2,2,1),INDEX($BH$6:$BH$53,MATCH($BB64,$BN$6:$BN$53,0)),INDEX($BH$6:$BH$53,MATCH($BB64,$BN$6:$BN$53,0))-(COUNTIFS($AA$4:$AA$97,$BD64,$AF$4:$AF$97,INDEX($BD$6:$BD$53,MATCH(BO64,$BN$6:$BN$53,0)),$D$4:$D$97,"Empate")+COUNTIFS($AF$4:$AF$97,$BD64,$AA$4:$AA$97,INDEX($BD$6:$BD$53,MATCH(BO64,$BN$6:$BN$53,0)),$D$4:$D$97,"Empate")))</f>
        <v>1</v>
      </c>
      <c r="BI64" s="139" cm="1">
        <f t="array" ref="BI64">CHOOSE(IF($BB$57=2,2,1),INDEX($BI$6:$BI$53,MATCH($BB64,$BN$6:$BN$53,0)),INDEX($BI$6:$BI$53,MATCH($BB64,$BN$6:$BN$53,0))-(COUNTIFS($AA$4:$AA$97,$BD64,$AF$4:$AF$97,INDEX($BD$6:$BD$53,MATCH(BO64,$BN$6:$BN$53,0)),$D$4:$D$97,"Visitante")+COUNTIFS($AF$4:$AF$97,$BD64,$AA$4:$AA$97,INDEX($BD$6:$BD$53,MATCH(BO64,$BN$6:$BN$53,0)),$D$4:$D$97,"Local")))</f>
        <v>2</v>
      </c>
      <c r="BJ64" s="139" cm="1">
        <f t="array" ref="BJ64">CHOOSE($BB$57,INDEX($BJ$6:$BJ$53,MATCH($BB64,$BN$6:$BN$53,0)),INDEX($BJ$6:$BJ$53,MATCH($BB64,$BN$6:$BN$53,0))-(SUMIFS($AC$4:$AC$97,$AA$4:$AA$97,$BD64,$AF$4:$AF$97,INDEX($BD$6:$BD$53,MATCH(BO64,$BN$6:$BN$53,0)))+SUMIFS($AD$4:$AD$97,$AF$4:$AF$97,$BD64,$AA$4:$AA$97,INDEX($BD$6:$BD$53,MATCH(BO64,$BN$6:$BN$53,0)))),IFERROR(INDEX($BJ$6:$BJ$53,MATCH($BB64,$BN$6:$BN$53,0))/BF64,0))</f>
        <v>2</v>
      </c>
      <c r="BK64" s="139" cm="1">
        <f t="array" ref="BK64">CHOOSE($BB$57,INDEX($BK$6:$BK$53,MATCH($BB64,$BN$6:$BN$53,0)),INDEX($BK$6:$BK$53,MATCH($BB64,$BN$6:$BN$53,0))-(SUMIFS($AD$4:$AD$97,$AA$4:$AA$97,$BD64,$AF$4:$AF$97,INDEX($BD$6:$BD$53,MATCH(BO64,$BN$6:$BN$53,0)))+SUMIFS($AC$4:$AC$97,$AF$4:$AF$97,$BD64,$AA$4:$AA$97,INDEX($BD$6:$BD$53,MATCH(BO64,$BN$6:$BN$53,0)))),IFERROR(INDEX($BK$6:$BK$53,MATCH($BB64,$BN$6:$BN$53,0))/BF64,0))</f>
        <v>7</v>
      </c>
      <c r="BL64" s="139" cm="1">
        <f t="array" ref="BL64">BJ64-BK64</f>
        <v>-5</v>
      </c>
      <c r="BM64" s="139" cm="1">
        <f t="array" ref="BM64">CB64</f>
        <v>7</v>
      </c>
      <c r="BN64" s="139" cm="1">
        <f t="array" ref="BN64">CF64</f>
        <v>7</v>
      </c>
      <c r="BO64" s="126" t="str" cm="1">
        <f t="array" ref="BO64">"4"&amp;BC64</f>
        <v>4G</v>
      </c>
      <c r="BP64" s="126"/>
      <c r="BQ64" s="126"/>
      <c r="BR64" s="139" cm="1">
        <f t="array" ref="BR64">BE64</f>
        <v>1</v>
      </c>
      <c r="BS64" s="139" cm="1">
        <f t="array" ref="BS64">COUNTIFS(BR$58:BR$69,"&gt;"&amp;BR64)+1</f>
        <v>7</v>
      </c>
      <c r="BT64" s="126" t="str" cm="1">
        <f t="array" ref="BT64">IF(COUNTIF(BS$58:BS$69,BS64)=1,"-","Pos. "&amp;BS64&amp;" ("&amp;COUNTIF(BS$58:BS$69,BS64)&amp;")")</f>
        <v>-</v>
      </c>
      <c r="BU64" s="126" t="str" cm="1">
        <f t="array" ref="BU64">IF(BT64="-","-",BL64)</f>
        <v>-</v>
      </c>
      <c r="BV64" s="139" cm="1">
        <f t="array" ref="BV64">BS64+COUNTIFS(BT$58:BT$69,BT64,BU$58:BU$69,"&gt;"&amp;BU64)</f>
        <v>7</v>
      </c>
      <c r="BW64" s="126" t="str" cm="1">
        <f t="array" ref="BW64">IF(COUNTIF(BV$58:BV$69,BV64)=1,"-","Pos. "&amp;BV64&amp;" ("&amp;COUNTIF(BV$58:BV$69,BV64)&amp;")")</f>
        <v>-</v>
      </c>
      <c r="BX64" s="126" t="str" cm="1">
        <f t="array" ref="BX64">IF(BW64="-","-",BJ64)</f>
        <v>-</v>
      </c>
      <c r="BY64" s="139" cm="1">
        <f t="array" ref="BY64">BV64+COUNTIFS(BW$58:BW$69,BW64,BX$58:BX$69,"&gt;"&amp;BX64)</f>
        <v>7</v>
      </c>
      <c r="BZ64" s="126" t="str" cm="1">
        <f t="array" ref="BZ64">IF(COUNTIF(BY$58:BY$69,BY64)=1,"-","Pos. "&amp;BY64&amp;" ("&amp;COUNTIF(BY$58:BY$69,BY64)&amp;")")</f>
        <v>-</v>
      </c>
      <c r="CA64" s="126" t="str" cm="1">
        <f t="array" ref="CA64">IF(BZ64="-","-",COUNTIF($BD$58:$BD$69,"&gt;"&amp;BD64))</f>
        <v>-</v>
      </c>
      <c r="CB64" s="139" cm="1">
        <f t="array" ref="CB64">BY64+COUNTIFS(BZ$58:BZ$69,BZ64,CA$58:CA$69,"&gt;"&amp;CA64)</f>
        <v>7</v>
      </c>
      <c r="CC64" s="126"/>
      <c r="CD64" s="139" cm="1">
        <f t="array" ref="CD64">IF(OR(INDEX($AW$102:$AW$113,MATCH($BD64,$AV$102:$AV$113,0))="",BZ64="-"),CB64,INDEX($AW$102:$AW$113,MATCH($BD64,$AV$102:$AV$113,0))+CB64/1000)</f>
        <v>7</v>
      </c>
      <c r="CE64" s="126" t="str" cm="1">
        <f t="array" ref="CE64">IF(BZ64="-","-",COUNTIF(CD$58:CD$69,"&lt;"&amp;CD64))</f>
        <v>-</v>
      </c>
      <c r="CF64" s="139" cm="1">
        <f t="array" ref="CF64">BY64+COUNTIFS(BZ$58:BZ$69,BZ64,CE$58:CE$69,"&lt;"&amp;CE64)</f>
        <v>7</v>
      </c>
      <c r="CG64" s="77"/>
      <c r="CH64" s="77"/>
      <c r="CI64" s="77"/>
      <c r="CJ64" s="77"/>
      <c r="CK64" s="77"/>
      <c r="CL64" s="77"/>
      <c r="CM64" s="77"/>
      <c r="CN64" s="77"/>
      <c r="CO64" s="77"/>
      <c r="CP64" s="77"/>
      <c r="CQ64" s="77"/>
      <c r="CR64" s="77"/>
      <c r="CS64" s="77"/>
      <c r="CT64" s="77"/>
      <c r="CU64" s="77"/>
      <c r="CV64" s="77"/>
      <c r="CW64" s="77"/>
      <c r="CX64" s="77"/>
      <c r="CY64" s="77"/>
      <c r="CZ64" s="77"/>
      <c r="DA64" s="77"/>
      <c r="DB64" s="77"/>
      <c r="DC64" s="77"/>
      <c r="DD64" s="77"/>
      <c r="DE64" s="77"/>
      <c r="DF64" s="77"/>
      <c r="DG64" s="77"/>
      <c r="DH64" s="77"/>
      <c r="DI64" s="77"/>
      <c r="DJ64" s="139" cm="1">
        <f t="array" ref="DJ64">INDEX($BY$58:$BY$69,MATCH($DQ64,$BD$58:$BD$69,0))</f>
        <v>7</v>
      </c>
      <c r="DK64" s="126"/>
      <c r="DL64" s="139" cm="1">
        <f t="array" ref="DL64">IF(OR($H$113=144,$AJ$99=144),COUNTIF($DJ$58:$DJ$69,DJ64),1)</f>
        <v>1</v>
      </c>
      <c r="DM64" s="126" t="str" cm="1">
        <f t="array" ref="DM64">DJ64&amp;"."&amp;DL64</f>
        <v>7.1</v>
      </c>
      <c r="DN64" s="139">
        <v>1</v>
      </c>
      <c r="DO64" s="126"/>
      <c r="DP64" s="139">
        <v>7</v>
      </c>
      <c r="DQ64" s="126" t="str" cm="1">
        <f t="array" ref="DQ64">INDEX($BD$58:$BD$69,MATCH(DP64,$BM$58:$BM$69,0))</f>
        <v>Irán</v>
      </c>
      <c r="DR64" s="77"/>
      <c r="DS64" s="77"/>
      <c r="DT64" s="78"/>
      <c r="DU64" s="12"/>
    </row>
    <row r="65" spans="1:125" ht="16" customHeight="1" x14ac:dyDescent="0.2">
      <c r="A65" s="68"/>
      <c r="B65" s="68"/>
      <c r="C65" s="68"/>
      <c r="D65" s="68" t="str" cm="1">
        <f t="array" ref="D65">IF(OR(AC65="",AD65=""),"Pendiente",IF(AC65&gt;AD65,"Local",IF(AC65&lt;AD65,"Visitante","Empate")))</f>
        <v>Visitante</v>
      </c>
      <c r="E65" s="68" t="str" cm="1">
        <f t="array" ref="E65">IF(D65="Pendiente","-",INDEX($BT$6:$BT$53,MATCH($AA65,$BD$6:$BD$53,0)))</f>
        <v>P.1 (4)</v>
      </c>
      <c r="F65" s="68" t="str" cm="1">
        <f t="array" ref="F65">IF(D65="Pendiente","-",INDEX($BT$6:$BT$53,MATCH($AF65,$BD$6:$BD$53,0)))</f>
        <v>P.1 (4)</v>
      </c>
      <c r="G65" s="68"/>
      <c r="H65" s="68" t="str" cm="1">
        <f t="array" ref="H65">IF(D65="Pendiente","-",INDEX($BZ$6:$BZ$53,MATCH($AA65,$BD$6:$BD$53,0)))</f>
        <v>P.1 (4)</v>
      </c>
      <c r="I65" s="68" t="str" cm="1">
        <f t="array" ref="I65">IF(D65="Pendiente","-",INDEX($BZ$6:$BZ$53,MATCH($AF65,$BD$6:$BD$53,0)))</f>
        <v>P.1 (4)</v>
      </c>
      <c r="J65" s="68"/>
      <c r="K65" s="68" t="str" cm="1">
        <f t="array" ref="K65">IF(D65="Pendiente","-",INDEX($CE$6:$CE$53,MATCH($AA65,$BD$6:$BD$53,0)))</f>
        <v>P.1 (4)</v>
      </c>
      <c r="L65" s="68" t="str" cm="1">
        <f t="array" ref="L65">IF(D65="Pendiente","-",INDEX($CE$6:$CE$53,MATCH($AF65,$BD$6:$BD$53,0)))</f>
        <v>P.1 (4)</v>
      </c>
      <c r="M65" s="68"/>
      <c r="N65" s="68" t="str" cm="1">
        <f t="array" ref="N65">IF(D65="Pendiente","-",INDEX($CH$6:$CH$53,MATCH($AA65,$BD$6:$BD$53,0)))</f>
        <v>P.1 (4)</v>
      </c>
      <c r="O65" s="68" t="str" cm="1">
        <f t="array" ref="O65">IF(D65="Pendiente","-",INDEX($CH$6:$CH$53,MATCH($AF65,$BD$6:$BD$53,0)))</f>
        <v>P.1 (4)</v>
      </c>
      <c r="P65" s="68"/>
      <c r="Q65" s="68" t="str" cm="1">
        <f t="array" ref="Q65">IF(D65="Pendiente","-",INDEX($CN$6:$CN$53,MATCH($AA65,$BD$6:$BD$53,0)))</f>
        <v>P.1 (4)</v>
      </c>
      <c r="R65" s="68" t="str" cm="1">
        <f t="array" ref="R65">IF(D65="Pendiente","-",INDEX($CN$6:$CN$53,MATCH($AF65,$BD$6:$BD$53,0)))</f>
        <v>P.1 (4)</v>
      </c>
      <c r="S65" s="68"/>
      <c r="T65" s="68" t="str" cm="1">
        <f t="array" ref="T65">IF(D65="Pendiente","-",INDEX($CS$6:$CS$53,MATCH($AA65,$BD$6:$BD$53,0)))</f>
        <v>P.1 (4)</v>
      </c>
      <c r="U65" s="68" t="str" cm="1">
        <f t="array" ref="U65">IF(D65="Pendiente","-",INDEX($CS$6:$CS$53,MATCH($AF65,$BD$6:$BD$53,0)))</f>
        <v>P.1 (4)</v>
      </c>
      <c r="V65" s="80"/>
      <c r="W65" s="763"/>
      <c r="X65" s="148">
        <v>46199.833333333343</v>
      </c>
      <c r="Y65" s="149">
        <v>46199.833333333343</v>
      </c>
      <c r="Z65" s="150" t="str" cm="1">
        <f t="array" ref="Z65">$Z$8</f>
        <v>J3</v>
      </c>
      <c r="AA65" s="151" t="str" cm="1">
        <f t="array" ref="AA65">A64</f>
        <v>Uruguay</v>
      </c>
      <c r="AB65" s="152"/>
      <c r="AC65" s="153">
        <v>1</v>
      </c>
      <c r="AD65" s="153">
        <v>2</v>
      </c>
      <c r="AE65" s="154"/>
      <c r="AF65" s="155" t="str" cm="1">
        <f t="array" ref="AF65">A61</f>
        <v>España</v>
      </c>
      <c r="AG65" s="104" cm="1">
        <f t="array" ref="AG65">IF(NOT(OR(ISBLANK(AC65),ISBLANK(AD65))),1,0)</f>
        <v>1</v>
      </c>
      <c r="AH65" s="105">
        <v>66</v>
      </c>
      <c r="AI65" s="106" t="str" cm="1">
        <f t="array" ref="AI65">AJ65&amp;$B$60</f>
        <v>4H</v>
      </c>
      <c r="AJ65" s="156">
        <v>4</v>
      </c>
      <c r="AK65" s="222"/>
      <c r="AL65" s="158" t="str" cm="1">
        <f t="array" ref="AL65">IFERROR(INDEX($BD$6:$BD$53,MATCH(AI65,$BN$6:$BN$53,0)),"")</f>
        <v>Uruguay</v>
      </c>
      <c r="AM65" s="159" cm="1">
        <f t="array" ref="AM65">INDEX($BE$6:$BN$53,MATCH($AL65,$BD$6:$BD$53,0),MATCH(AM$5,$BE$5:$BN$5,0))</f>
        <v>6</v>
      </c>
      <c r="AN65" s="160" cm="1">
        <f t="array" ref="AN65">INDEX($BE$6:$BN$53,MATCH($AL65,$BD$6:$BD$53,0),MATCH(AN$5,$BE$5:$BN$5,0))</f>
        <v>3</v>
      </c>
      <c r="AO65" s="160" cm="1">
        <f t="array" ref="AO65">INDEX($BE$6:$BN$53,MATCH($AL65,$BD$6:$BD$53,0),MATCH(AO$5,$BE$5:$BN$5,0))</f>
        <v>2</v>
      </c>
      <c r="AP65" s="160" cm="1">
        <f t="array" ref="AP65">INDEX($BE$6:$BN$53,MATCH($AL65,$BD$6:$BD$53,0),MATCH(AP$5,$BE$5:$BN$5,0))</f>
        <v>0</v>
      </c>
      <c r="AQ65" s="160" cm="1">
        <f t="array" ref="AQ65">INDEX($BE$6:$BN$53,MATCH($AL65,$BD$6:$BD$53,0),MATCH(AQ$5,$BE$5:$BN$5,0))</f>
        <v>1</v>
      </c>
      <c r="AR65" s="160" cm="1">
        <f t="array" ref="AR65">INDEX($BE$6:$BN$53,MATCH($AL65,$BD$6:$BD$53,0),MATCH(AR$5,$BE$5:$BN$5,0))</f>
        <v>8</v>
      </c>
      <c r="AS65" s="160" cm="1">
        <f t="array" ref="AS65">INDEX($BE$6:$BN$53,MATCH($AL65,$BD$6:$BD$53,0),MATCH(AS$5,$BE$5:$BN$5,0))</f>
        <v>3</v>
      </c>
      <c r="AT65" s="161" cm="1">
        <f t="array" ref="AT65">INDEX($BE$6:$BN$53,MATCH($AL65,$BD$6:$BD$53,0),MATCH(AT$5,$BE$5:$BN$5,0))</f>
        <v>5</v>
      </c>
      <c r="AU65" s="133" cm="1">
        <f t="array" ref="AU65">INDEX($DL$6:$DL$53,MATCH(AI65,$DP$6:$DP$53,0))</f>
        <v>4</v>
      </c>
      <c r="AV65" s="134" t="str" cm="1">
        <f t="array" ref="AV65">INDEX($BD$6:$BD$53,MATCH(AI65,$BM$6:$BM$53,0))</f>
        <v>Uruguay</v>
      </c>
      <c r="AW65" s="135"/>
      <c r="AX65" s="136"/>
      <c r="AY65" s="162" t="str" cm="1">
        <f t="array" ref="AY65">A64</f>
        <v>Uruguay</v>
      </c>
      <c r="AZ65" s="163"/>
      <c r="BA65" s="125"/>
      <c r="BB65" s="126" t="str" cm="1">
        <f t="array" ref="BB65">"3"&amp;BC65</f>
        <v>3H</v>
      </c>
      <c r="BC65" s="112" t="s">
        <v>173</v>
      </c>
      <c r="BD65" s="126" t="str" cm="1">
        <f t="array" ref="BD65">INDEX($BD$6:$BN$53,MATCH($BB65,$BN$6:$BN$53,0),MATCH(BD$57,$BD$5:$BN$5,0))</f>
        <v>Arabia Saudita</v>
      </c>
      <c r="BE65" s="139">
        <v>3</v>
      </c>
      <c r="BF65" s="139" cm="1">
        <f t="array" ref="BF65">BG65+BH65+BI65</f>
        <v>3</v>
      </c>
      <c r="BG65" s="139" cm="1">
        <f t="array" ref="BG65">CHOOSE(IF($BB$57=2,2,1),INDEX($BG$6:$BG$53,MATCH($BB65,$BN$6:$BN$53,0)),INDEX($BG$6:$BG$53,MATCH($BB65,$BN$6:$BN$53,0))-(COUNTIFS($AA$4:$AA$97,$BD65,$AF$4:$AF$97,INDEX($BD$6:$BD$53,MATCH(BO65,$BN$6:$BN$53,0)),$D$4:$D$97,"Local")+COUNTIFS($AF$4:$AF$97,$BD65,$AA$4:$AA$97,INDEX($BD$6:$BD$53,MATCH(BO65,$BN$6:$BN$53,0)),$D$4:$D$97,"Visitante")))</f>
        <v>1</v>
      </c>
      <c r="BH65" s="139" cm="1">
        <f t="array" ref="BH65">CHOOSE(IF($BB$57=2,2,1),INDEX($BH$6:$BH$53,MATCH($BB65,$BN$6:$BN$53,0)),INDEX($BH$6:$BH$53,MATCH($BB65,$BN$6:$BN$53,0))-(COUNTIFS($AA$4:$AA$97,$BD65,$AF$4:$AF$97,INDEX($BD$6:$BD$53,MATCH(BO65,$BN$6:$BN$53,0)),$D$4:$D$97,"Empate")+COUNTIFS($AF$4:$AF$97,$BD65,$AA$4:$AA$97,INDEX($BD$6:$BD$53,MATCH(BO65,$BN$6:$BN$53,0)),$D$4:$D$97,"Empate")))</f>
        <v>0</v>
      </c>
      <c r="BI65" s="139" cm="1">
        <f t="array" ref="BI65">CHOOSE(IF($BB$57=2,2,1),INDEX($BI$6:$BI$53,MATCH($BB65,$BN$6:$BN$53,0)),INDEX($BI$6:$BI$53,MATCH($BB65,$BN$6:$BN$53,0))-(COUNTIFS($AA$4:$AA$97,$BD65,$AF$4:$AF$97,INDEX($BD$6:$BD$53,MATCH(BO65,$BN$6:$BN$53,0)),$D$4:$D$97,"Visitante")+COUNTIFS($AF$4:$AF$97,$BD65,$AA$4:$AA$97,INDEX($BD$6:$BD$53,MATCH(BO65,$BN$6:$BN$53,0)),$D$4:$D$97,"Local")))</f>
        <v>2</v>
      </c>
      <c r="BJ65" s="139" cm="1">
        <f t="array" ref="BJ65">CHOOSE($BB$57,INDEX($BJ$6:$BJ$53,MATCH($BB65,$BN$6:$BN$53,0)),INDEX($BJ$6:$BJ$53,MATCH($BB65,$BN$6:$BN$53,0))-(SUMIFS($AC$4:$AC$97,$AA$4:$AA$97,$BD65,$AF$4:$AF$97,INDEX($BD$6:$BD$53,MATCH(BO65,$BN$6:$BN$53,0)))+SUMIFS($AD$4:$AD$97,$AF$4:$AF$97,$BD65,$AA$4:$AA$97,INDEX($BD$6:$BD$53,MATCH(BO65,$BN$6:$BN$53,0)))),IFERROR(INDEX($BJ$6:$BJ$53,MATCH($BB65,$BN$6:$BN$53,0))/BF65,0))</f>
        <v>2</v>
      </c>
      <c r="BK65" s="139" cm="1">
        <f t="array" ref="BK65">CHOOSE($BB$57,INDEX($BK$6:$BK$53,MATCH($BB65,$BN$6:$BN$53,0)),INDEX($BK$6:$BK$53,MATCH($BB65,$BN$6:$BN$53,0))-(SUMIFS($AD$4:$AD$97,$AA$4:$AA$97,$BD65,$AF$4:$AF$97,INDEX($BD$6:$BD$53,MATCH(BO65,$BN$6:$BN$53,0)))+SUMIFS($AC$4:$AC$97,$AF$4:$AF$97,$BD65,$AA$4:$AA$97,INDEX($BD$6:$BD$53,MATCH(BO65,$BN$6:$BN$53,0)))),IFERROR(INDEX($BK$6:$BK$53,MATCH($BB65,$BN$6:$BN$53,0))/BF65,0))</f>
        <v>7</v>
      </c>
      <c r="BL65" s="139" cm="1">
        <f t="array" ref="BL65">BJ65-BK65</f>
        <v>-5</v>
      </c>
      <c r="BM65" s="139" cm="1">
        <f t="array" ref="BM65">CB65</f>
        <v>6</v>
      </c>
      <c r="BN65" s="139" cm="1">
        <f t="array" ref="BN65">CF65</f>
        <v>6</v>
      </c>
      <c r="BO65" s="126" t="str" cm="1">
        <f t="array" ref="BO65">"4"&amp;BC65</f>
        <v>4H</v>
      </c>
      <c r="BP65" s="126"/>
      <c r="BQ65" s="126"/>
      <c r="BR65" s="139" cm="1">
        <f t="array" ref="BR65">BE65</f>
        <v>3</v>
      </c>
      <c r="BS65" s="139" cm="1">
        <f t="array" ref="BS65">COUNTIFS(BR$58:BR$69,"&gt;"&amp;BR65)+1</f>
        <v>4</v>
      </c>
      <c r="BT65" s="126" t="str" cm="1">
        <f t="array" ref="BT65">IF(COUNTIF(BS$58:BS$69,BS65)=1,"-","Pos. "&amp;BS65&amp;" ("&amp;COUNTIF(BS$58:BS$69,BS65)&amp;")")</f>
        <v>Pos. 4 (3)</v>
      </c>
      <c r="BU65" s="139" cm="1">
        <f t="array" ref="BU65">IF(BT65="-","-",BL65)</f>
        <v>-5</v>
      </c>
      <c r="BV65" s="139" cm="1">
        <f t="array" ref="BV65">BS65+COUNTIFS(BT$58:BT$69,BT65,BU$58:BU$69,"&gt;"&amp;BU65)</f>
        <v>6</v>
      </c>
      <c r="BW65" s="126" t="str" cm="1">
        <f t="array" ref="BW65">IF(COUNTIF(BV$58:BV$69,BV65)=1,"-","Pos. "&amp;BV65&amp;" ("&amp;COUNTIF(BV$58:BV$69,BV65)&amp;")")</f>
        <v>-</v>
      </c>
      <c r="BX65" s="126" t="str" cm="1">
        <f t="array" ref="BX65">IF(BW65="-","-",BJ65)</f>
        <v>-</v>
      </c>
      <c r="BY65" s="139" cm="1">
        <f t="array" ref="BY65">BV65+COUNTIFS(BW$58:BW$69,BW65,BX$58:BX$69,"&gt;"&amp;BX65)</f>
        <v>6</v>
      </c>
      <c r="BZ65" s="126" t="str" cm="1">
        <f t="array" ref="BZ65">IF(COUNTIF(BY$58:BY$69,BY65)=1,"-","Pos. "&amp;BY65&amp;" ("&amp;COUNTIF(BY$58:BY$69,BY65)&amp;")")</f>
        <v>-</v>
      </c>
      <c r="CA65" s="126" t="str" cm="1">
        <f t="array" ref="CA65">IF(BZ65="-","-",COUNTIF($BD$58:$BD$69,"&gt;"&amp;BD65))</f>
        <v>-</v>
      </c>
      <c r="CB65" s="139" cm="1">
        <f t="array" ref="CB65">BY65+COUNTIFS(BZ$58:BZ$69,BZ65,CA$58:CA$69,"&gt;"&amp;CA65)</f>
        <v>6</v>
      </c>
      <c r="CC65" s="126"/>
      <c r="CD65" s="139" cm="1">
        <f t="array" ref="CD65">IF(OR(INDEX($AW$102:$AW$113,MATCH($BD65,$AV$102:$AV$113,0))="",BZ65="-"),CB65,INDEX($AW$102:$AW$113,MATCH($BD65,$AV$102:$AV$113,0))+CB65/1000)</f>
        <v>6</v>
      </c>
      <c r="CE65" s="126" t="str" cm="1">
        <f t="array" ref="CE65">IF(BZ65="-","-",COUNTIF(CD$58:CD$69,"&lt;"&amp;CD65))</f>
        <v>-</v>
      </c>
      <c r="CF65" s="139" cm="1">
        <f t="array" ref="CF65">BY65+COUNTIFS(BZ$58:BZ$69,BZ65,CE$58:CE$69,"&lt;"&amp;CE65)</f>
        <v>6</v>
      </c>
      <c r="CG65" s="77"/>
      <c r="CH65" s="77"/>
      <c r="CI65" s="77"/>
      <c r="CJ65" s="77"/>
      <c r="CK65" s="77"/>
      <c r="CL65" s="77"/>
      <c r="CM65" s="77"/>
      <c r="CN65" s="77"/>
      <c r="CO65" s="77"/>
      <c r="CP65" s="77"/>
      <c r="CQ65" s="77"/>
      <c r="CR65" s="77"/>
      <c r="CS65" s="77"/>
      <c r="CT65" s="77"/>
      <c r="CU65" s="77"/>
      <c r="CV65" s="77"/>
      <c r="CW65" s="77"/>
      <c r="CX65" s="77"/>
      <c r="CY65" s="77"/>
      <c r="CZ65" s="77"/>
      <c r="DA65" s="77"/>
      <c r="DB65" s="77"/>
      <c r="DC65" s="77"/>
      <c r="DD65" s="77"/>
      <c r="DE65" s="77"/>
      <c r="DF65" s="77"/>
      <c r="DG65" s="77"/>
      <c r="DH65" s="77"/>
      <c r="DI65" s="77"/>
      <c r="DJ65" s="139" cm="1">
        <f t="array" ref="DJ65">INDEX($BY$58:$BY$69,MATCH($DQ65,$BD$58:$BD$69,0))</f>
        <v>8</v>
      </c>
      <c r="DK65" s="126"/>
      <c r="DL65" s="139" cm="1">
        <f t="array" ref="DL65">IF(OR($H$113=144,$AJ$99=144),COUNTIF($DJ$58:$DJ$69,DJ65),1)</f>
        <v>1</v>
      </c>
      <c r="DM65" s="126" t="str" cm="1">
        <f t="array" ref="DM65">DJ65&amp;"."&amp;DL65</f>
        <v>8.1</v>
      </c>
      <c r="DN65" s="139">
        <v>1</v>
      </c>
      <c r="DO65" s="126"/>
      <c r="DP65" s="139">
        <v>8</v>
      </c>
      <c r="DQ65" s="126" t="str" cm="1">
        <f t="array" ref="DQ65">INDEX($BD$58:$BD$69,MATCH(DP65,$BM$58:$BM$69,0))</f>
        <v>Ghana</v>
      </c>
      <c r="DR65" s="77"/>
      <c r="DS65" s="77"/>
      <c r="DT65" s="78"/>
      <c r="DU65" s="12"/>
    </row>
    <row r="66" spans="1:125" ht="16" customHeight="1" x14ac:dyDescent="0.2">
      <c r="A66" s="68"/>
      <c r="B66" s="68"/>
      <c r="C66" s="68"/>
      <c r="D66" s="68"/>
      <c r="E66" s="68"/>
      <c r="F66" s="68"/>
      <c r="G66" s="68"/>
      <c r="H66" s="68"/>
      <c r="I66" s="68"/>
      <c r="J66" s="68"/>
      <c r="K66" s="68"/>
      <c r="L66" s="68"/>
      <c r="M66" s="68"/>
      <c r="N66" s="68"/>
      <c r="O66" s="68"/>
      <c r="P66" s="68"/>
      <c r="Q66" s="68"/>
      <c r="R66" s="68"/>
      <c r="S66" s="68"/>
      <c r="T66" s="68"/>
      <c r="U66" s="68"/>
      <c r="V66" s="69"/>
      <c r="W66" s="164"/>
      <c r="X66" s="165"/>
      <c r="Y66" s="164"/>
      <c r="Z66" s="166"/>
      <c r="AA66" s="167"/>
      <c r="AB66" s="168"/>
      <c r="AC66" s="169"/>
      <c r="AD66" s="169"/>
      <c r="AE66" s="168"/>
      <c r="AF66" s="170"/>
      <c r="AG66" s="216"/>
      <c r="AH66" s="172"/>
      <c r="AI66" s="217"/>
      <c r="AJ66" s="173"/>
      <c r="AK66" s="174"/>
      <c r="AL66" s="175"/>
      <c r="AM66" s="176"/>
      <c r="AN66" s="173"/>
      <c r="AO66" s="173"/>
      <c r="AP66" s="173"/>
      <c r="AQ66" s="173"/>
      <c r="AR66" s="173"/>
      <c r="AS66" s="173"/>
      <c r="AT66" s="173"/>
      <c r="AU66" s="177"/>
      <c r="AV66" s="178"/>
      <c r="AW66" s="135"/>
      <c r="AX66" s="179"/>
      <c r="AY66" s="180"/>
      <c r="AZ66" s="181"/>
      <c r="BA66" s="8"/>
      <c r="BB66" s="126" t="str" cm="1">
        <f t="array" ref="BB66">"3"&amp;BC66</f>
        <v>3I</v>
      </c>
      <c r="BC66" s="112" t="s">
        <v>182</v>
      </c>
      <c r="BD66" s="126" t="str" cm="1">
        <f t="array" ref="BD66">INDEX($BD$6:$BN$53,MATCH($BB66,$BN$6:$BN$53,0),MATCH(BD$57,$BD$5:$BN$5,0))</f>
        <v>Irak</v>
      </c>
      <c r="BE66" s="139">
        <v>0</v>
      </c>
      <c r="BF66" s="139" cm="1">
        <f t="array" ref="BF66">BG66+BH66+BI66</f>
        <v>3</v>
      </c>
      <c r="BG66" s="139" cm="1">
        <f t="array" ref="BG66">CHOOSE(IF($BB$57=2,2,1),INDEX($BG$6:$BG$53,MATCH($BB66,$BN$6:$BN$53,0)),INDEX($BG$6:$BG$53,MATCH($BB66,$BN$6:$BN$53,0))-(COUNTIFS($AA$4:$AA$97,$BD66,$AF$4:$AF$97,INDEX($BD$6:$BD$53,MATCH(BO66,$BN$6:$BN$53,0)),$D$4:$D$97,"Local")+COUNTIFS($AF$4:$AF$97,$BD66,$AA$4:$AA$97,INDEX($BD$6:$BD$53,MATCH(BO66,$BN$6:$BN$53,0)),$D$4:$D$97,"Visitante")))</f>
        <v>0</v>
      </c>
      <c r="BH66" s="139" cm="1">
        <f t="array" ref="BH66">CHOOSE(IF($BB$57=2,2,1),INDEX($BH$6:$BH$53,MATCH($BB66,$BN$6:$BN$53,0)),INDEX($BH$6:$BH$53,MATCH($BB66,$BN$6:$BN$53,0))-(COUNTIFS($AA$4:$AA$97,$BD66,$AF$4:$AF$97,INDEX($BD$6:$BD$53,MATCH(BO66,$BN$6:$BN$53,0)),$D$4:$D$97,"Empate")+COUNTIFS($AF$4:$AF$97,$BD66,$AA$4:$AA$97,INDEX($BD$6:$BD$53,MATCH(BO66,$BN$6:$BN$53,0)),$D$4:$D$97,"Empate")))</f>
        <v>0</v>
      </c>
      <c r="BI66" s="139" cm="1">
        <f t="array" ref="BI66">CHOOSE(IF($BB$57=2,2,1),INDEX($BI$6:$BI$53,MATCH($BB66,$BN$6:$BN$53,0)),INDEX($BI$6:$BI$53,MATCH($BB66,$BN$6:$BN$53,0))-(COUNTIFS($AA$4:$AA$97,$BD66,$AF$4:$AF$97,INDEX($BD$6:$BD$53,MATCH(BO66,$BN$6:$BN$53,0)),$D$4:$D$97,"Visitante")+COUNTIFS($AF$4:$AF$97,$BD66,$AA$4:$AA$97,INDEX($BD$6:$BD$53,MATCH(BO66,$BN$6:$BN$53,0)),$D$4:$D$97,"Local")))</f>
        <v>3</v>
      </c>
      <c r="BJ66" s="139" cm="1">
        <f t="array" ref="BJ66">CHOOSE($BB$57,INDEX($BJ$6:$BJ$53,MATCH($BB66,$BN$6:$BN$53,0)),INDEX($BJ$6:$BJ$53,MATCH($BB66,$BN$6:$BN$53,0))-(SUMIFS($AC$4:$AC$97,$AA$4:$AA$97,$BD66,$AF$4:$AF$97,INDEX($BD$6:$BD$53,MATCH(BO66,$BN$6:$BN$53,0)))+SUMIFS($AD$4:$AD$97,$AF$4:$AF$97,$BD66,$AA$4:$AA$97,INDEX($BD$6:$BD$53,MATCH(BO66,$BN$6:$BN$53,0)))),IFERROR(INDEX($BJ$6:$BJ$53,MATCH($BB66,$BN$6:$BN$53,0))/BF66,0))</f>
        <v>0</v>
      </c>
      <c r="BK66" s="139" cm="1">
        <f t="array" ref="BK66">CHOOSE($BB$57,INDEX($BK$6:$BK$53,MATCH($BB66,$BN$6:$BN$53,0)),INDEX($BK$6:$BK$53,MATCH($BB66,$BN$6:$BN$53,0))-(SUMIFS($AD$4:$AD$97,$AA$4:$AA$97,$BD66,$AF$4:$AF$97,INDEX($BD$6:$BD$53,MATCH(BO66,$BN$6:$BN$53,0)))+SUMIFS($AC$4:$AC$97,$AF$4:$AF$97,$BD66,$AA$4:$AA$97,INDEX($BD$6:$BD$53,MATCH(BO66,$BN$6:$BN$53,0)))),IFERROR(INDEX($BK$6:$BK$53,MATCH($BB66,$BN$6:$BN$53,0))/BF66,0))</f>
        <v>8</v>
      </c>
      <c r="BL66" s="139" cm="1">
        <f t="array" ref="BL66">BJ66-BK66</f>
        <v>-8</v>
      </c>
      <c r="BM66" s="139" cm="1">
        <f t="array" ref="BM66">CB66</f>
        <v>10</v>
      </c>
      <c r="BN66" s="139" cm="1">
        <f t="array" ref="BN66">CF66</f>
        <v>10</v>
      </c>
      <c r="BO66" s="126" t="str" cm="1">
        <f t="array" ref="BO66">"4"&amp;BC66</f>
        <v>4I</v>
      </c>
      <c r="BP66" s="126"/>
      <c r="BQ66" s="126"/>
      <c r="BR66" s="139" cm="1">
        <f t="array" ref="BR66">BE66</f>
        <v>0</v>
      </c>
      <c r="BS66" s="139" cm="1">
        <f t="array" ref="BS66">COUNTIFS(BR$58:BR$69,"&gt;"&amp;BR66)+1</f>
        <v>8</v>
      </c>
      <c r="BT66" s="126" t="str" cm="1">
        <f t="array" ref="BT66">IF(COUNTIF(BS$58:BS$69,BS66)=1,"-","Pos. "&amp;BS66&amp;" ("&amp;COUNTIF(BS$58:BS$69,BS66)&amp;")")</f>
        <v>Pos. 8 (5)</v>
      </c>
      <c r="BU66" s="139" cm="1">
        <f t="array" ref="BU66">IF(BT66="-","-",BL66)</f>
        <v>-8</v>
      </c>
      <c r="BV66" s="139" cm="1">
        <f t="array" ref="BV66">BS66+COUNTIFS(BT$58:BT$69,BT66,BU$58:BU$69,"&gt;"&amp;BU66)</f>
        <v>10</v>
      </c>
      <c r="BW66" s="126" t="str" cm="1">
        <f t="array" ref="BW66">IF(COUNTIF(BV$58:BV$69,BV66)=1,"-","Pos. "&amp;BV66&amp;" ("&amp;COUNTIF(BV$58:BV$69,BV66)&amp;")")</f>
        <v>Pos. 10 (2)</v>
      </c>
      <c r="BX66" s="139" cm="1">
        <f t="array" ref="BX66">IF(BW66="-","-",BJ66)</f>
        <v>0</v>
      </c>
      <c r="BY66" s="139" cm="1">
        <f t="array" ref="BY66">BV66+COUNTIFS(BW$58:BW$69,BW66,BX$58:BX$69,"&gt;"&amp;BX66)</f>
        <v>10</v>
      </c>
      <c r="BZ66" s="126" t="str" cm="1">
        <f t="array" ref="BZ66">IF(COUNTIF(BY$58:BY$69,BY66)=1,"-","Pos. "&amp;BY66&amp;" ("&amp;COUNTIF(BY$58:BY$69,BY66)&amp;")")</f>
        <v>Pos. 10 (2)</v>
      </c>
      <c r="CA66" s="139" cm="1">
        <f t="array" ref="CA66">IF(BZ66="-","-",COUNTIF($BD$58:$BD$69,"&gt;"&amp;BD66))</f>
        <v>3</v>
      </c>
      <c r="CB66" s="139" cm="1">
        <f t="array" ref="CB66">BY66+COUNTIFS(BZ$58:BZ$69,BZ66,CA$58:CA$69,"&gt;"&amp;CA66)</f>
        <v>10</v>
      </c>
      <c r="CC66" s="126"/>
      <c r="CD66" s="139" cm="1">
        <f t="array" ref="CD66">IF(OR(INDEX($AW$102:$AW$113,MATCH($BD66,$AV$102:$AV$113,0))="",BZ66="-"),CB66,INDEX($AW$102:$AW$113,MATCH($BD66,$AV$102:$AV$113,0))+CB66/1000)</f>
        <v>10</v>
      </c>
      <c r="CE66" s="139" cm="1">
        <f t="array" ref="CE66">IF(BZ66="-","-",COUNTIF(CD$58:CD$69,"&lt;"&amp;CD66))</f>
        <v>9</v>
      </c>
      <c r="CF66" s="139" cm="1">
        <f t="array" ref="CF66">BY66+COUNTIFS(BZ$58:BZ$69,BZ66,CE$58:CE$69,"&lt;"&amp;CE66)</f>
        <v>10</v>
      </c>
      <c r="CG66" s="77"/>
      <c r="CH66" s="77"/>
      <c r="CI66" s="77"/>
      <c r="CJ66" s="77"/>
      <c r="CK66" s="77"/>
      <c r="CL66" s="77"/>
      <c r="CM66" s="77"/>
      <c r="CN66" s="77"/>
      <c r="CO66" s="77"/>
      <c r="CP66" s="77"/>
      <c r="CQ66" s="77"/>
      <c r="CR66" s="77"/>
      <c r="CS66" s="77"/>
      <c r="CT66" s="77"/>
      <c r="CU66" s="77"/>
      <c r="CV66" s="77"/>
      <c r="CW66" s="77"/>
      <c r="CX66" s="77"/>
      <c r="CY66" s="77"/>
      <c r="CZ66" s="77"/>
      <c r="DA66" s="77"/>
      <c r="DB66" s="77"/>
      <c r="DC66" s="77"/>
      <c r="DD66" s="77"/>
      <c r="DE66" s="77"/>
      <c r="DF66" s="77"/>
      <c r="DG66" s="77"/>
      <c r="DH66" s="77"/>
      <c r="DI66" s="77"/>
      <c r="DJ66" s="139" cm="1">
        <f t="array" ref="DJ66">INDEX($BY$58:$BY$69,MATCH($DQ66,$BD$58:$BD$69,0))</f>
        <v>9</v>
      </c>
      <c r="DK66" s="126"/>
      <c r="DL66" s="139" cm="1">
        <f t="array" ref="DL66">IF(OR($H$113=144,$AJ$99=144),COUNTIF($DJ$58:$DJ$69,DJ66),1)</f>
        <v>1</v>
      </c>
      <c r="DM66" s="126" t="str" cm="1">
        <f t="array" ref="DM66">DJ66&amp;"."&amp;DL66</f>
        <v>9.1</v>
      </c>
      <c r="DN66" s="139">
        <v>1</v>
      </c>
      <c r="DO66" s="126"/>
      <c r="DP66" s="139">
        <v>9</v>
      </c>
      <c r="DQ66" s="126" t="str" cm="1">
        <f t="array" ref="DQ66">INDEX($BD$58:$BD$69,MATCH(DP66,$BM$58:$BM$69,0))</f>
        <v>Australia</v>
      </c>
      <c r="DR66" s="77"/>
      <c r="DS66" s="77"/>
      <c r="DT66" s="78"/>
      <c r="DU66" s="12"/>
    </row>
    <row r="67" spans="1:125" ht="16" customHeight="1" x14ac:dyDescent="0.2">
      <c r="A67" s="68"/>
      <c r="B67" s="68"/>
      <c r="C67" s="68"/>
      <c r="D67" s="68"/>
      <c r="E67" s="68"/>
      <c r="F67" s="68"/>
      <c r="G67" s="68"/>
      <c r="H67" s="68"/>
      <c r="I67" s="68"/>
      <c r="J67" s="68"/>
      <c r="K67" s="68"/>
      <c r="L67" s="68"/>
      <c r="M67" s="68"/>
      <c r="N67" s="68"/>
      <c r="O67" s="68"/>
      <c r="P67" s="68"/>
      <c r="Q67" s="68"/>
      <c r="R67" s="68"/>
      <c r="S67" s="68"/>
      <c r="T67" s="68"/>
      <c r="U67" s="68"/>
      <c r="V67" s="80"/>
      <c r="W67" s="81"/>
      <c r="X67" s="182" t="str" cm="1">
        <f t="array" ref="X67">X3</f>
        <v>Fecha</v>
      </c>
      <c r="Y67" s="182" t="str" cm="1">
        <f t="array" ref="Y67">Y3</f>
        <v>Hora</v>
      </c>
      <c r="Z67" s="107" t="str" cm="1">
        <f t="array" ref="Z67">Z3</f>
        <v>Jor.</v>
      </c>
      <c r="AA67" s="183" t="str" cm="1">
        <f t="array" ref="AA67">AA3</f>
        <v>Casa</v>
      </c>
      <c r="AB67" s="85"/>
      <c r="AC67" s="107" t="str" cm="1">
        <f t="array" ref="AC67">AC3</f>
        <v>Gol</v>
      </c>
      <c r="AD67" s="107" t="str" cm="1">
        <f t="array" ref="AD67">AD3</f>
        <v>Gol</v>
      </c>
      <c r="AE67" s="85"/>
      <c r="AF67" s="184" t="str" cm="1">
        <f t="array" ref="AF67">AF3</f>
        <v>Fuera</v>
      </c>
      <c r="AG67" s="185"/>
      <c r="AH67" s="172"/>
      <c r="AI67" s="73"/>
      <c r="AJ67" s="90"/>
      <c r="AK67" s="186"/>
      <c r="AL67" s="90"/>
      <c r="AM67" s="90"/>
      <c r="AN67" s="90"/>
      <c r="AO67" s="90"/>
      <c r="AP67" s="90"/>
      <c r="AQ67" s="90"/>
      <c r="AR67" s="90"/>
      <c r="AS67" s="90"/>
      <c r="AT67" s="90"/>
      <c r="AU67" s="187"/>
      <c r="AV67" s="74"/>
      <c r="AW67" s="188"/>
      <c r="AX67" s="189"/>
      <c r="AY67" s="190"/>
      <c r="AZ67" s="191"/>
      <c r="BA67" s="8"/>
      <c r="BB67" s="126" t="str" cm="1">
        <f t="array" ref="BB67">"3"&amp;BC67</f>
        <v>3J</v>
      </c>
      <c r="BC67" s="112" t="s">
        <v>53</v>
      </c>
      <c r="BD67" s="126" t="str" cm="1">
        <f t="array" ref="BD67">INDEX($BD$6:$BN$53,MATCH($BB67,$BN$6:$BN$53,0),MATCH(BD$57,$BD$5:$BN$5,0))</f>
        <v>Austria</v>
      </c>
      <c r="BE67" s="139">
        <v>6</v>
      </c>
      <c r="BF67" s="139" cm="1">
        <f t="array" ref="BF67">BG67+BH67+BI67</f>
        <v>3</v>
      </c>
      <c r="BG67" s="139" cm="1">
        <f t="array" ref="BG67">CHOOSE(IF($BB$57=2,2,1),INDEX($BG$6:$BG$53,MATCH($BB67,$BN$6:$BN$53,0)),INDEX($BG$6:$BG$53,MATCH($BB67,$BN$6:$BN$53,0))-(COUNTIFS($AA$4:$AA$97,$BD67,$AF$4:$AF$97,INDEX($BD$6:$BD$53,MATCH(BO67,$BN$6:$BN$53,0)),$D$4:$D$97,"Local")+COUNTIFS($AF$4:$AF$97,$BD67,$AA$4:$AA$97,INDEX($BD$6:$BD$53,MATCH(BO67,$BN$6:$BN$53,0)),$D$4:$D$97,"Visitante")))</f>
        <v>2</v>
      </c>
      <c r="BH67" s="139" cm="1">
        <f t="array" ref="BH67">CHOOSE(IF($BB$57=2,2,1),INDEX($BH$6:$BH$53,MATCH($BB67,$BN$6:$BN$53,0)),INDEX($BH$6:$BH$53,MATCH($BB67,$BN$6:$BN$53,0))-(COUNTIFS($AA$4:$AA$97,$BD67,$AF$4:$AF$97,INDEX($BD$6:$BD$53,MATCH(BO67,$BN$6:$BN$53,0)),$D$4:$D$97,"Empate")+COUNTIFS($AF$4:$AF$97,$BD67,$AA$4:$AA$97,INDEX($BD$6:$BD$53,MATCH(BO67,$BN$6:$BN$53,0)),$D$4:$D$97,"Empate")))</f>
        <v>0</v>
      </c>
      <c r="BI67" s="139" cm="1">
        <f t="array" ref="BI67">CHOOSE(IF($BB$57=2,2,1),INDEX($BI$6:$BI$53,MATCH($BB67,$BN$6:$BN$53,0)),INDEX($BI$6:$BI$53,MATCH($BB67,$BN$6:$BN$53,0))-(COUNTIFS($AA$4:$AA$97,$BD67,$AF$4:$AF$97,INDEX($BD$6:$BD$53,MATCH(BO67,$BN$6:$BN$53,0)),$D$4:$D$97,"Visitante")+COUNTIFS($AF$4:$AF$97,$BD67,$AA$4:$AA$97,INDEX($BD$6:$BD$53,MATCH(BO67,$BN$6:$BN$53,0)),$D$4:$D$97,"Local")))</f>
        <v>1</v>
      </c>
      <c r="BJ67" s="139" cm="1">
        <f t="array" ref="BJ67">CHOOSE($BB$57,INDEX($BJ$6:$BJ$53,MATCH($BB67,$BN$6:$BN$53,0)),INDEX($BJ$6:$BJ$53,MATCH($BB67,$BN$6:$BN$53,0))-(SUMIFS($AC$4:$AC$97,$AA$4:$AA$97,$BD67,$AF$4:$AF$97,INDEX($BD$6:$BD$53,MATCH(BO67,$BN$6:$BN$53,0)))+SUMIFS($AD$4:$AD$97,$AF$4:$AF$97,$BD67,$AA$4:$AA$97,INDEX($BD$6:$BD$53,MATCH(BO67,$BN$6:$BN$53,0)))),IFERROR(INDEX($BJ$6:$BJ$53,MATCH($BB67,$BN$6:$BN$53,0))/BF67,0))</f>
        <v>5</v>
      </c>
      <c r="BK67" s="139" cm="1">
        <f t="array" ref="BK67">CHOOSE($BB$57,INDEX($BK$6:$BK$53,MATCH($BB67,$BN$6:$BN$53,0)),INDEX($BK$6:$BK$53,MATCH($BB67,$BN$6:$BN$53,0))-(SUMIFS($AD$4:$AD$97,$AA$4:$AA$97,$BD67,$AF$4:$AF$97,INDEX($BD$6:$BD$53,MATCH(BO67,$BN$6:$BN$53,0)))+SUMIFS($AC$4:$AC$97,$AF$4:$AF$97,$BD67,$AA$4:$AA$97,INDEX($BD$6:$BD$53,MATCH(BO67,$BN$6:$BN$53,0)))),IFERROR(INDEX($BK$6:$BK$53,MATCH($BB67,$BN$6:$BN$53,0))/BF67,0))</f>
        <v>3</v>
      </c>
      <c r="BL67" s="139" cm="1">
        <f t="array" ref="BL67">BJ67-BK67</f>
        <v>2</v>
      </c>
      <c r="BM67" s="139" cm="1">
        <f t="array" ref="BM67">CB67</f>
        <v>2</v>
      </c>
      <c r="BN67" s="139" cm="1">
        <f t="array" ref="BN67">CF67</f>
        <v>2</v>
      </c>
      <c r="BO67" s="126" t="str" cm="1">
        <f t="array" ref="BO67">"4"&amp;BC67</f>
        <v>4J</v>
      </c>
      <c r="BP67" s="126"/>
      <c r="BQ67" s="126"/>
      <c r="BR67" s="139" cm="1">
        <f t="array" ref="BR67">BE67</f>
        <v>6</v>
      </c>
      <c r="BS67" s="139" cm="1">
        <f t="array" ref="BS67">COUNTIFS(BR$58:BR$69,"&gt;"&amp;BR67)+1</f>
        <v>1</v>
      </c>
      <c r="BT67" s="126" t="str" cm="1">
        <f t="array" ref="BT67">IF(COUNTIF(BS$58:BS$69,BS67)=1,"-","Pos. "&amp;BS67&amp;" ("&amp;COUNTIF(BS$58:BS$69,BS67)&amp;")")</f>
        <v>Pos. 1 (2)</v>
      </c>
      <c r="BU67" s="139" cm="1">
        <f t="array" ref="BU67">IF(BT67="-","-",BL67)</f>
        <v>2</v>
      </c>
      <c r="BV67" s="139" cm="1">
        <f t="array" ref="BV67">BS67+COUNTIFS(BT$58:BT$69,BT67,BU$58:BU$69,"&gt;"&amp;BU67)</f>
        <v>1</v>
      </c>
      <c r="BW67" s="126" t="str" cm="1">
        <f t="array" ref="BW67">IF(COUNTIF(BV$58:BV$69,BV67)=1,"-","Pos. "&amp;BV67&amp;" ("&amp;COUNTIF(BV$58:BV$69,BV67)&amp;")")</f>
        <v>Pos. 1 (2)</v>
      </c>
      <c r="BX67" s="139" cm="1">
        <f t="array" ref="BX67">IF(BW67="-","-",BJ67)</f>
        <v>5</v>
      </c>
      <c r="BY67" s="139" cm="1">
        <f t="array" ref="BY67">BV67+COUNTIFS(BW$58:BW$69,BW67,BX$58:BX$69,"&gt;"&amp;BX67)</f>
        <v>2</v>
      </c>
      <c r="BZ67" s="126" t="str" cm="1">
        <f t="array" ref="BZ67">IF(COUNTIF(BY$58:BY$69,BY67)=1,"-","Pos. "&amp;BY67&amp;" ("&amp;COUNTIF(BY$58:BY$69,BY67)&amp;")")</f>
        <v>-</v>
      </c>
      <c r="CA67" s="126" t="str" cm="1">
        <f t="array" ref="CA67">IF(BZ67="-","-",COUNTIF($BD$58:$BD$69,"&gt;"&amp;BD67))</f>
        <v>-</v>
      </c>
      <c r="CB67" s="139" cm="1">
        <f t="array" ref="CB67">BY67+COUNTIFS(BZ$58:BZ$69,BZ67,CA$58:CA$69,"&gt;"&amp;CA67)</f>
        <v>2</v>
      </c>
      <c r="CC67" s="126"/>
      <c r="CD67" s="139" cm="1">
        <f t="array" ref="CD67">IF(OR(INDEX($AW$102:$AW$113,MATCH($BD67,$AV$102:$AV$113,0))="",BZ67="-"),CB67,INDEX($AW$102:$AW$113,MATCH($BD67,$AV$102:$AV$113,0))+CB67/1000)</f>
        <v>2</v>
      </c>
      <c r="CE67" s="126" t="str" cm="1">
        <f t="array" ref="CE67">IF(BZ67="-","-",COUNTIF(CD$58:CD$69,"&lt;"&amp;CD67))</f>
        <v>-</v>
      </c>
      <c r="CF67" s="139" cm="1">
        <f t="array" ref="CF67">BY67+COUNTIFS(BZ$58:BZ$69,BZ67,CE$58:CE$69,"&lt;"&amp;CE67)</f>
        <v>2</v>
      </c>
      <c r="CG67" s="77"/>
      <c r="CH67" s="77"/>
      <c r="CI67" s="77"/>
      <c r="CJ67" s="77"/>
      <c r="CK67" s="77"/>
      <c r="CL67" s="77"/>
      <c r="CM67" s="77"/>
      <c r="CN67" s="77"/>
      <c r="CO67" s="77"/>
      <c r="CP67" s="77"/>
      <c r="CQ67" s="77"/>
      <c r="CR67" s="77"/>
      <c r="CS67" s="77"/>
      <c r="CT67" s="77"/>
      <c r="CU67" s="77"/>
      <c r="CV67" s="77"/>
      <c r="CW67" s="77"/>
      <c r="CX67" s="77"/>
      <c r="CY67" s="77"/>
      <c r="CZ67" s="77"/>
      <c r="DA67" s="77"/>
      <c r="DB67" s="77"/>
      <c r="DC67" s="77"/>
      <c r="DD67" s="77"/>
      <c r="DE67" s="77"/>
      <c r="DF67" s="77"/>
      <c r="DG67" s="77"/>
      <c r="DH67" s="77"/>
      <c r="DI67" s="77"/>
      <c r="DJ67" s="139" cm="1">
        <f t="array" ref="DJ67">INDEX($BY$58:$BY$69,MATCH($DQ67,$BD$58:$BD$69,0))</f>
        <v>10</v>
      </c>
      <c r="DK67" s="126"/>
      <c r="DL67" s="139" cm="1">
        <f t="array" ref="DL67">IF(OR($H$113=144,$AJ$99=144),COUNTIF($DJ$58:$DJ$69,DJ67),1)</f>
        <v>2</v>
      </c>
      <c r="DM67" s="126" t="str" cm="1">
        <f t="array" ref="DM67">DJ67&amp;"."&amp;DL67</f>
        <v>10.2</v>
      </c>
      <c r="DN67" s="139">
        <v>1</v>
      </c>
      <c r="DO67" s="126"/>
      <c r="DP67" s="139">
        <v>10</v>
      </c>
      <c r="DQ67" s="126" t="str" cm="1">
        <f t="array" ref="DQ67">INDEX($BD$58:$BD$69,MATCH(DP67,$BM$58:$BM$69,0))</f>
        <v>Irak</v>
      </c>
      <c r="DR67" s="77"/>
      <c r="DS67" s="77"/>
      <c r="DT67" s="78"/>
      <c r="DU67" s="12"/>
    </row>
    <row r="68" spans="1:125" ht="16" customHeight="1" x14ac:dyDescent="0.2">
      <c r="A68" s="79" t="s">
        <v>45</v>
      </c>
      <c r="B68" s="79" t="s">
        <v>182</v>
      </c>
      <c r="C68" s="95">
        <v>4</v>
      </c>
      <c r="D68" s="68" t="str" cm="1">
        <f t="array" ref="D68">IF(OR(AC68="",AD68=""),"Pendiente",IF(AC68&gt;AD68,"Local",IF(AC68&lt;AD68,"Visitante","Empate")))</f>
        <v>Local</v>
      </c>
      <c r="E68" s="68" t="str" cm="1">
        <f t="array" ref="E68">IF(D68="Pendiente","-",INDEX($BT$6:$BT$53,MATCH($AA68,$BD$6:$BD$53,0)))</f>
        <v>P.1 (4)</v>
      </c>
      <c r="F68" s="68" t="str" cm="1">
        <f t="array" ref="F68">IF(D68="Pendiente","-",INDEX($BT$6:$BT$53,MATCH($AF68,$BD$6:$BD$53,0)))</f>
        <v>P.1 (4)</v>
      </c>
      <c r="G68" s="68"/>
      <c r="H68" s="68" t="str" cm="1">
        <f t="array" ref="H68">IF(D68="Pendiente","-",INDEX($BZ$6:$BZ$53,MATCH($AA68,$BD$6:$BD$53,0)))</f>
        <v>P.1 (4)</v>
      </c>
      <c r="I68" s="68" t="str" cm="1">
        <f t="array" ref="I68">IF(D68="Pendiente","-",INDEX($BZ$6:$BZ$53,MATCH($AF68,$BD$6:$BD$53,0)))</f>
        <v>P.1 (4)</v>
      </c>
      <c r="J68" s="68"/>
      <c r="K68" s="68" t="str" cm="1">
        <f t="array" ref="K68">IF(D68="Pendiente","-",INDEX($CE$6:$CE$53,MATCH($AA68,$BD$6:$BD$53,0)))</f>
        <v>P.1 (4)</v>
      </c>
      <c r="L68" s="68" t="str" cm="1">
        <f t="array" ref="L68">IF(D68="Pendiente","-",INDEX($CE$6:$CE$53,MATCH($AF68,$BD$6:$BD$53,0)))</f>
        <v>P.1 (4)</v>
      </c>
      <c r="M68" s="68"/>
      <c r="N68" s="68" t="str" cm="1">
        <f t="array" ref="N68">IF(D68="Pendiente","-",INDEX($CH$6:$CH$53,MATCH($AA68,$BD$6:$BD$53,0)))</f>
        <v>P.1 (4)</v>
      </c>
      <c r="O68" s="68" t="str" cm="1">
        <f t="array" ref="O68">IF(D68="Pendiente","-",INDEX($CH$6:$CH$53,MATCH($AF68,$BD$6:$BD$53,0)))</f>
        <v>P.1 (4)</v>
      </c>
      <c r="P68" s="68"/>
      <c r="Q68" s="68" t="str" cm="1">
        <f t="array" ref="Q68">IF(D68="Pendiente","-",INDEX($CN$6:$CN$53,MATCH($AA68,$BD$6:$BD$53,0)))</f>
        <v>P.1 (4)</v>
      </c>
      <c r="R68" s="68" t="str" cm="1">
        <f t="array" ref="R68">IF(D68="Pendiente","-",INDEX($CN$6:$CN$53,MATCH($AF68,$BD$6:$BD$53,0)))</f>
        <v>P.1 (4)</v>
      </c>
      <c r="S68" s="68"/>
      <c r="T68" s="68" t="str" cm="1">
        <f t="array" ref="T68">IF(D68="Pendiente","-",INDEX($CS$6:$CS$53,MATCH($AA68,$BD$6:$BD$53,0)))</f>
        <v>P.1 (4)</v>
      </c>
      <c r="U68" s="68" t="str" cm="1">
        <f t="array" ref="U68">IF(D68="Pendiente","-",INDEX($CS$6:$CS$53,MATCH($AF68,$BD$6:$BD$53,0)))</f>
        <v>P.1 (4)</v>
      </c>
      <c r="V68" s="80"/>
      <c r="W68" s="781" t="s">
        <v>182</v>
      </c>
      <c r="X68" s="96">
        <v>46189.625</v>
      </c>
      <c r="Y68" s="97">
        <v>46189.625</v>
      </c>
      <c r="Z68" s="113" t="str" cm="1">
        <f t="array" ref="Z68">$Z$4</f>
        <v>J1</v>
      </c>
      <c r="AA68" s="99" t="str" cm="1">
        <f t="array" ref="AA68">A69</f>
        <v>Francia</v>
      </c>
      <c r="AB68" s="100"/>
      <c r="AC68" s="101">
        <v>4</v>
      </c>
      <c r="AD68" s="101">
        <v>1</v>
      </c>
      <c r="AE68" s="102"/>
      <c r="AF68" s="103" t="str" cm="1">
        <f t="array" ref="AF68">A70</f>
        <v>Senegal</v>
      </c>
      <c r="AG68" s="104" cm="1">
        <f t="array" ref="AG68">IF(NOT(OR(ISBLANK(AC68),ISBLANK(AD68))),1,0)</f>
        <v>1</v>
      </c>
      <c r="AH68" s="105">
        <v>17</v>
      </c>
      <c r="AI68" s="106"/>
      <c r="AJ68" s="784" t="str" cm="1">
        <f t="array" ref="AJ68">CONCATENATE(AJ3," ",B68)</f>
        <v>Grupo I</v>
      </c>
      <c r="AK68" s="785"/>
      <c r="AL68" s="785"/>
      <c r="AM68" s="785"/>
      <c r="AN68" s="785"/>
      <c r="AO68" s="785"/>
      <c r="AP68" s="785"/>
      <c r="AQ68" s="785"/>
      <c r="AR68" s="785"/>
      <c r="AS68" s="785"/>
      <c r="AT68" s="786"/>
      <c r="AU68" s="192"/>
      <c r="AV68" s="109" t="str" cm="1">
        <f t="array" ref="AV68">IF(AU69&gt;0,$AV$3,"")</f>
        <v>¡EMPATE! Puedes seleccionar el orden de los empatados.</v>
      </c>
      <c r="AW68" s="200"/>
      <c r="AX68" s="200"/>
      <c r="AY68" s="194"/>
      <c r="AZ68" s="195"/>
      <c r="BA68" s="8"/>
      <c r="BB68" s="126" t="str" cm="1">
        <f t="array" ref="BB68">"3"&amp;BC68</f>
        <v>3K</v>
      </c>
      <c r="BC68" s="112" t="s">
        <v>199</v>
      </c>
      <c r="BD68" s="126" t="str" cm="1">
        <f t="array" ref="BD68">INDEX($BD$6:$BN$53,MATCH($BB68,$BN$6:$BN$53,0),MATCH(BD$57,$BD$5:$BN$5,0))</f>
        <v>Uzbekistán</v>
      </c>
      <c r="BE68" s="139">
        <v>0</v>
      </c>
      <c r="BF68" s="139" cm="1">
        <f t="array" ref="BF68">BG68+BH68+BI68</f>
        <v>3</v>
      </c>
      <c r="BG68" s="139" cm="1">
        <f t="array" ref="BG68">CHOOSE(IF($BB$57=2,2,1),INDEX($BG$6:$BG$53,MATCH($BB68,$BN$6:$BN$53,0)),INDEX($BG$6:$BG$53,MATCH($BB68,$BN$6:$BN$53,0))-(COUNTIFS($AA$4:$AA$97,$BD68,$AF$4:$AF$97,INDEX($BD$6:$BD$53,MATCH(BO68,$BN$6:$BN$53,0)),$D$4:$D$97,"Local")+COUNTIFS($AF$4:$AF$97,$BD68,$AA$4:$AA$97,INDEX($BD$6:$BD$53,MATCH(BO68,$BN$6:$BN$53,0)),$D$4:$D$97,"Visitante")))</f>
        <v>0</v>
      </c>
      <c r="BH68" s="139" cm="1">
        <f t="array" ref="BH68">CHOOSE(IF($BB$57=2,2,1),INDEX($BH$6:$BH$53,MATCH($BB68,$BN$6:$BN$53,0)),INDEX($BH$6:$BH$53,MATCH($BB68,$BN$6:$BN$53,0))-(COUNTIFS($AA$4:$AA$97,$BD68,$AF$4:$AF$97,INDEX($BD$6:$BD$53,MATCH(BO68,$BN$6:$BN$53,0)),$D$4:$D$97,"Empate")+COUNTIFS($AF$4:$AF$97,$BD68,$AA$4:$AA$97,INDEX($BD$6:$BD$53,MATCH(BO68,$BN$6:$BN$53,0)),$D$4:$D$97,"Empate")))</f>
        <v>0</v>
      </c>
      <c r="BI68" s="139" cm="1">
        <f t="array" ref="BI68">CHOOSE(IF($BB$57=2,2,1),INDEX($BI$6:$BI$53,MATCH($BB68,$BN$6:$BN$53,0)),INDEX($BI$6:$BI$53,MATCH($BB68,$BN$6:$BN$53,0))-(COUNTIFS($AA$4:$AA$97,$BD68,$AF$4:$AF$97,INDEX($BD$6:$BD$53,MATCH(BO68,$BN$6:$BN$53,0)),$D$4:$D$97,"Visitante")+COUNTIFS($AF$4:$AF$97,$BD68,$AA$4:$AA$97,INDEX($BD$6:$BD$53,MATCH(BO68,$BN$6:$BN$53,0)),$D$4:$D$97,"Local")))</f>
        <v>3</v>
      </c>
      <c r="BJ68" s="139" cm="1">
        <f t="array" ref="BJ68">CHOOSE($BB$57,INDEX($BJ$6:$BJ$53,MATCH($BB68,$BN$6:$BN$53,0)),INDEX($BJ$6:$BJ$53,MATCH($BB68,$BN$6:$BN$53,0))-(SUMIFS($AC$4:$AC$97,$AA$4:$AA$97,$BD68,$AF$4:$AF$97,INDEX($BD$6:$BD$53,MATCH(BO68,$BN$6:$BN$53,0)))+SUMIFS($AD$4:$AD$97,$AF$4:$AF$97,$BD68,$AA$4:$AA$97,INDEX($BD$6:$BD$53,MATCH(BO68,$BN$6:$BN$53,0)))),IFERROR(INDEX($BJ$6:$BJ$53,MATCH($BB68,$BN$6:$BN$53,0))/BF68,0))</f>
        <v>0</v>
      </c>
      <c r="BK68" s="139" cm="1">
        <f t="array" ref="BK68">CHOOSE($BB$57,INDEX($BK$6:$BK$53,MATCH($BB68,$BN$6:$BN$53,0)),INDEX($BK$6:$BK$53,MATCH($BB68,$BN$6:$BN$53,0))-(SUMIFS($AD$4:$AD$97,$AA$4:$AA$97,$BD68,$AF$4:$AF$97,INDEX($BD$6:$BD$53,MATCH(BO68,$BN$6:$BN$53,0)))+SUMIFS($AC$4:$AC$97,$AF$4:$AF$97,$BD68,$AA$4:$AA$97,INDEX($BD$6:$BD$53,MATCH(BO68,$BN$6:$BN$53,0)))),IFERROR(INDEX($BK$6:$BK$53,MATCH($BB68,$BN$6:$BN$53,0))/BF68,0))</f>
        <v>8</v>
      </c>
      <c r="BL68" s="139" cm="1">
        <f t="array" ref="BL68">BJ68-BK68</f>
        <v>-8</v>
      </c>
      <c r="BM68" s="139" cm="1">
        <f t="array" ref="BM68">CB68</f>
        <v>11</v>
      </c>
      <c r="BN68" s="139" cm="1">
        <f t="array" ref="BN68">CF68</f>
        <v>11</v>
      </c>
      <c r="BO68" s="126" t="str" cm="1">
        <f t="array" ref="BO68">"4"&amp;BC68</f>
        <v>4K</v>
      </c>
      <c r="BP68" s="126"/>
      <c r="BQ68" s="126"/>
      <c r="BR68" s="139" cm="1">
        <f t="array" ref="BR68">BE68</f>
        <v>0</v>
      </c>
      <c r="BS68" s="139" cm="1">
        <f t="array" ref="BS68">COUNTIFS(BR$58:BR$69,"&gt;"&amp;BR68)+1</f>
        <v>8</v>
      </c>
      <c r="BT68" s="126" t="str" cm="1">
        <f t="array" ref="BT68">IF(COUNTIF(BS$58:BS$69,BS68)=1,"-","Pos. "&amp;BS68&amp;" ("&amp;COUNTIF(BS$58:BS$69,BS68)&amp;")")</f>
        <v>Pos. 8 (5)</v>
      </c>
      <c r="BU68" s="139" cm="1">
        <f t="array" ref="BU68">IF(BT68="-","-",BL68)</f>
        <v>-8</v>
      </c>
      <c r="BV68" s="139" cm="1">
        <f t="array" ref="BV68">BS68+COUNTIFS(BT$58:BT$69,BT68,BU$58:BU$69,"&gt;"&amp;BU68)</f>
        <v>10</v>
      </c>
      <c r="BW68" s="126" t="str" cm="1">
        <f t="array" ref="BW68">IF(COUNTIF(BV$58:BV$69,BV68)=1,"-","Pos. "&amp;BV68&amp;" ("&amp;COUNTIF(BV$58:BV$69,BV68)&amp;")")</f>
        <v>Pos. 10 (2)</v>
      </c>
      <c r="BX68" s="139" cm="1">
        <f t="array" ref="BX68">IF(BW68="-","-",BJ68)</f>
        <v>0</v>
      </c>
      <c r="BY68" s="139" cm="1">
        <f t="array" ref="BY68">BV68+COUNTIFS(BW$58:BW$69,BW68,BX$58:BX$69,"&gt;"&amp;BX68)</f>
        <v>10</v>
      </c>
      <c r="BZ68" s="126" t="str" cm="1">
        <f t="array" ref="BZ68">IF(COUNTIF(BY$58:BY$69,BY68)=1,"-","Pos. "&amp;BY68&amp;" ("&amp;COUNTIF(BY$58:BY$69,BY68)&amp;")")</f>
        <v>Pos. 10 (2)</v>
      </c>
      <c r="CA68" s="139" cm="1">
        <f t="array" ref="CA68">IF(BZ68="-","-",COUNTIF($BD$58:$BD$69,"&gt;"&amp;BD68))</f>
        <v>0</v>
      </c>
      <c r="CB68" s="139" cm="1">
        <f t="array" ref="CB68">BY68+COUNTIFS(BZ$58:BZ$69,BZ68,CA$58:CA$69,"&gt;"&amp;CA68)</f>
        <v>11</v>
      </c>
      <c r="CC68" s="126"/>
      <c r="CD68" s="139" cm="1">
        <f t="array" ref="CD68">IF(OR(INDEX($AW$102:$AW$113,MATCH($BD68,$AV$102:$AV$113,0))="",BZ68="-"),CB68,INDEX($AW$102:$AW$113,MATCH($BD68,$AV$102:$AV$113,0))+CB68/1000)</f>
        <v>11</v>
      </c>
      <c r="CE68" s="139" cm="1">
        <f t="array" ref="CE68">IF(BZ68="-","-",COUNTIF(CD$58:CD$69,"&lt;"&amp;CD68))</f>
        <v>10</v>
      </c>
      <c r="CF68" s="139" cm="1">
        <f t="array" ref="CF68">BY68+COUNTIFS(BZ$58:BZ$69,BZ68,CE$58:CE$69,"&lt;"&amp;CE68)</f>
        <v>11</v>
      </c>
      <c r="CG68" s="77"/>
      <c r="CH68" s="77"/>
      <c r="CI68" s="77"/>
      <c r="CJ68" s="77"/>
      <c r="CK68" s="77"/>
      <c r="CL68" s="77"/>
      <c r="CM68" s="77"/>
      <c r="CN68" s="77"/>
      <c r="CO68" s="77"/>
      <c r="CP68" s="77"/>
      <c r="CQ68" s="77"/>
      <c r="CR68" s="77"/>
      <c r="CS68" s="77"/>
      <c r="CT68" s="77"/>
      <c r="CU68" s="77"/>
      <c r="CV68" s="77"/>
      <c r="CW68" s="77"/>
      <c r="CX68" s="77"/>
      <c r="CY68" s="77"/>
      <c r="CZ68" s="77"/>
      <c r="DA68" s="77"/>
      <c r="DB68" s="77"/>
      <c r="DC68" s="77"/>
      <c r="DD68" s="77"/>
      <c r="DE68" s="77"/>
      <c r="DF68" s="77"/>
      <c r="DG68" s="77"/>
      <c r="DH68" s="77"/>
      <c r="DI68" s="77"/>
      <c r="DJ68" s="139" cm="1">
        <f t="array" ref="DJ68">INDEX($BY$58:$BY$69,MATCH($DQ68,$BD$58:$BD$69,0))</f>
        <v>10</v>
      </c>
      <c r="DK68" s="126"/>
      <c r="DL68" s="139" cm="1">
        <f t="array" ref="DL68">IF(OR($H$113=144,$AJ$99=144),COUNTIF($DJ$58:$DJ$69,DJ68),1)</f>
        <v>2</v>
      </c>
      <c r="DM68" s="126" t="str" cm="1">
        <f t="array" ref="DM68">DJ68&amp;"."&amp;DL68</f>
        <v>10.2</v>
      </c>
      <c r="DN68" s="139">
        <v>1</v>
      </c>
      <c r="DO68" s="126"/>
      <c r="DP68" s="139">
        <v>11</v>
      </c>
      <c r="DQ68" s="126" t="str" cm="1">
        <f t="array" ref="DQ68">INDEX($BD$58:$BD$69,MATCH(DP68,$BM$58:$BM$69,0))</f>
        <v>Uzbekistán</v>
      </c>
      <c r="DR68" s="77"/>
      <c r="DS68" s="77"/>
      <c r="DT68" s="78"/>
      <c r="DU68" s="12"/>
    </row>
    <row r="69" spans="1:125" ht="16" customHeight="1" x14ac:dyDescent="0.2">
      <c r="A69" s="79" t="s">
        <v>183</v>
      </c>
      <c r="B69" s="68"/>
      <c r="C69" s="68"/>
      <c r="D69" s="68" t="str" cm="1">
        <f t="array" ref="D69">IF(OR(AC69="",AD69=""),"Pendiente",IF(AC69&gt;AD69,"Local",IF(AC69&lt;AD69,"Visitante","Empate")))</f>
        <v>Visitante</v>
      </c>
      <c r="E69" s="68" t="str" cm="1">
        <f t="array" ref="E69">IF(D69="Pendiente","-",INDEX($BT$6:$BT$53,MATCH($AA69,$BD$6:$BD$53,0)))</f>
        <v>P.1 (4)</v>
      </c>
      <c r="F69" s="68" t="str" cm="1">
        <f t="array" ref="F69">IF(D69="Pendiente","-",INDEX($BT$6:$BT$53,MATCH($AF69,$BD$6:$BD$53,0)))</f>
        <v>P.1 (4)</v>
      </c>
      <c r="G69" s="68"/>
      <c r="H69" s="68" t="str" cm="1">
        <f t="array" ref="H69">IF(D69="Pendiente","-",INDEX($BZ$6:$BZ$53,MATCH($AA69,$BD$6:$BD$53,0)))</f>
        <v>P.1 (4)</v>
      </c>
      <c r="I69" s="68" t="str" cm="1">
        <f t="array" ref="I69">IF(D69="Pendiente","-",INDEX($BZ$6:$BZ$53,MATCH($AF69,$BD$6:$BD$53,0)))</f>
        <v>P.1 (4)</v>
      </c>
      <c r="J69" s="68"/>
      <c r="K69" s="68" t="str" cm="1">
        <f t="array" ref="K69">IF(D69="Pendiente","-",INDEX($CE$6:$CE$53,MATCH($AA69,$BD$6:$BD$53,0)))</f>
        <v>P.1 (4)</v>
      </c>
      <c r="L69" s="68" t="str" cm="1">
        <f t="array" ref="L69">IF(D69="Pendiente","-",INDEX($CE$6:$CE$53,MATCH($AF69,$BD$6:$BD$53,0)))</f>
        <v>P.1 (4)</v>
      </c>
      <c r="M69" s="68"/>
      <c r="N69" s="68" t="str" cm="1">
        <f t="array" ref="N69">IF(D69="Pendiente","-",INDEX($CH$6:$CH$53,MATCH($AA69,$BD$6:$BD$53,0)))</f>
        <v>P.1 (4)</v>
      </c>
      <c r="O69" s="68" t="str" cm="1">
        <f t="array" ref="O69">IF(D69="Pendiente","-",INDEX($CH$6:$CH$53,MATCH($AF69,$BD$6:$BD$53,0)))</f>
        <v>P.1 (4)</v>
      </c>
      <c r="P69" s="68"/>
      <c r="Q69" s="68" t="str" cm="1">
        <f t="array" ref="Q69">IF(D69="Pendiente","-",INDEX($CN$6:$CN$53,MATCH($AA69,$BD$6:$BD$53,0)))</f>
        <v>P.1 (4)</v>
      </c>
      <c r="R69" s="68" t="str" cm="1">
        <f t="array" ref="R69">IF(D69="Pendiente","-",INDEX($CN$6:$CN$53,MATCH($AF69,$BD$6:$BD$53,0)))</f>
        <v>P.1 (4)</v>
      </c>
      <c r="S69" s="68"/>
      <c r="T69" s="68" t="str" cm="1">
        <f t="array" ref="T69">IF(D69="Pendiente","-",INDEX($CS$6:$CS$53,MATCH($AA69,$BD$6:$BD$53,0)))</f>
        <v>P.1 (4)</v>
      </c>
      <c r="U69" s="68" t="str" cm="1">
        <f t="array" ref="U69">IF(D69="Pendiente","-",INDEX($CS$6:$CS$53,MATCH($AF69,$BD$6:$BD$53,0)))</f>
        <v>P.1 (4)</v>
      </c>
      <c r="V69" s="80"/>
      <c r="W69" s="761"/>
      <c r="X69" s="96">
        <v>46189.75</v>
      </c>
      <c r="Y69" s="97">
        <v>46189.75</v>
      </c>
      <c r="Z69" s="113" t="str" cm="1">
        <f t="array" ref="Z69">$Z$4</f>
        <v>J1</v>
      </c>
      <c r="AA69" s="99" t="str" cm="1">
        <f t="array" ref="AA69">A71</f>
        <v>Irak</v>
      </c>
      <c r="AB69" s="100"/>
      <c r="AC69" s="114">
        <v>0</v>
      </c>
      <c r="AD69" s="114">
        <v>1</v>
      </c>
      <c r="AE69" s="102"/>
      <c r="AF69" s="103" t="str" cm="1">
        <f t="array" ref="AF69">A72</f>
        <v>Noruega</v>
      </c>
      <c r="AG69" s="104" cm="1">
        <f t="array" ref="AG69">IF(NOT(OR(ISBLANK(AC69),ISBLANK(AD69))),1,0)</f>
        <v>1</v>
      </c>
      <c r="AH69" s="105">
        <v>18</v>
      </c>
      <c r="AI69" s="106"/>
      <c r="AJ69" s="196" t="str" cm="1">
        <f t="array" ref="AJ69">AJ5</f>
        <v>Pos</v>
      </c>
      <c r="AK69" s="116"/>
      <c r="AL69" s="197" t="str" cm="1">
        <f t="array" ref="AL69">AL5</f>
        <v>Selección</v>
      </c>
      <c r="AM69" s="116" t="str" cm="1">
        <f t="array" ref="AM69">AM5</f>
        <v>Pts</v>
      </c>
      <c r="AN69" s="116" t="str" cm="1">
        <f t="array" ref="AN69">AN5</f>
        <v>J</v>
      </c>
      <c r="AO69" s="116" t="str" cm="1">
        <f t="array" ref="AO69">AO5</f>
        <v>G</v>
      </c>
      <c r="AP69" s="116" t="str" cm="1">
        <f t="array" ref="AP69">AP5</f>
        <v>E</v>
      </c>
      <c r="AQ69" s="116" t="str" cm="1">
        <f t="array" ref="AQ69">AQ5</f>
        <v>P</v>
      </c>
      <c r="AR69" s="116" t="str" cm="1">
        <f t="array" ref="AR69">AR5</f>
        <v>GF</v>
      </c>
      <c r="AS69" s="116" t="str" cm="1">
        <f t="array" ref="AS69">AS5</f>
        <v>GC</v>
      </c>
      <c r="AT69" s="198" t="str" cm="1">
        <f t="array" ref="AT69">AT5</f>
        <v>DG</v>
      </c>
      <c r="AU69" s="199" cm="1">
        <f t="array" ref="AU69">COUNTIF(AU70:AU73,"&gt;1")</f>
        <v>4</v>
      </c>
      <c r="AV69" s="121"/>
      <c r="AW69" s="200"/>
      <c r="AX69" s="201"/>
      <c r="AY69" s="123" t="str" cm="1">
        <f t="array" ref="AY69">AL69</f>
        <v>Selección</v>
      </c>
      <c r="AZ69" s="124" t="s">
        <v>60</v>
      </c>
      <c r="BA69" s="125"/>
      <c r="BB69" s="126" t="str" cm="1">
        <f t="array" ref="BB69">"3"&amp;BC69</f>
        <v>3L</v>
      </c>
      <c r="BC69" s="112" t="s">
        <v>208</v>
      </c>
      <c r="BD69" s="126" t="str" cm="1">
        <f t="array" ref="BD69">INDEX($BD$6:$BN$53,MATCH($BB69,$BN$6:$BN$53,0),MATCH(BD$57,$BD$5:$BN$5,0))</f>
        <v>Ghana</v>
      </c>
      <c r="BE69" s="139">
        <v>0</v>
      </c>
      <c r="BF69" s="139" cm="1">
        <f t="array" ref="BF69">BG69+BH69+BI69</f>
        <v>3</v>
      </c>
      <c r="BG69" s="139" cm="1">
        <f t="array" ref="BG69">CHOOSE(IF($BB$57=2,2,1),INDEX($BG$6:$BG$53,MATCH($BB69,$BN$6:$BN$53,0)),INDEX($BG$6:$BG$53,MATCH($BB69,$BN$6:$BN$53,0))-(COUNTIFS($AA$4:$AA$97,$BD69,$AF$4:$AF$97,INDEX($BD$6:$BD$53,MATCH(BO69,$BN$6:$BN$53,0)),$D$4:$D$97,"Local")+COUNTIFS($AF$4:$AF$97,$BD69,$AA$4:$AA$97,INDEX($BD$6:$BD$53,MATCH(BO69,$BN$6:$BN$53,0)),$D$4:$D$97,"Visitante")))</f>
        <v>0</v>
      </c>
      <c r="BH69" s="139" cm="1">
        <f t="array" ref="BH69">CHOOSE(IF($BB$57=2,2,1),INDEX($BH$6:$BH$53,MATCH($BB69,$BN$6:$BN$53,0)),INDEX($BH$6:$BH$53,MATCH($BB69,$BN$6:$BN$53,0))-(COUNTIFS($AA$4:$AA$97,$BD69,$AF$4:$AF$97,INDEX($BD$6:$BD$53,MATCH(BO69,$BN$6:$BN$53,0)),$D$4:$D$97,"Empate")+COUNTIFS($AF$4:$AF$97,$BD69,$AA$4:$AA$97,INDEX($BD$6:$BD$53,MATCH(BO69,$BN$6:$BN$53,0)),$D$4:$D$97,"Empate")))</f>
        <v>0</v>
      </c>
      <c r="BI69" s="139" cm="1">
        <f t="array" ref="BI69">CHOOSE(IF($BB$57=2,2,1),INDEX($BI$6:$BI$53,MATCH($BB69,$BN$6:$BN$53,0)),INDEX($BI$6:$BI$53,MATCH($BB69,$BN$6:$BN$53,0))-(COUNTIFS($AA$4:$AA$97,$BD69,$AF$4:$AF$97,INDEX($BD$6:$BD$53,MATCH(BO69,$BN$6:$BN$53,0)),$D$4:$D$97,"Visitante")+COUNTIFS($AF$4:$AF$97,$BD69,$AA$4:$AA$97,INDEX($BD$6:$BD$53,MATCH(BO69,$BN$6:$BN$53,0)),$D$4:$D$97,"Local")))</f>
        <v>3</v>
      </c>
      <c r="BJ69" s="139" cm="1">
        <f t="array" ref="BJ69">CHOOSE($BB$57,INDEX($BJ$6:$BJ$53,MATCH($BB69,$BN$6:$BN$53,0)),INDEX($BJ$6:$BJ$53,MATCH($BB69,$BN$6:$BN$53,0))-(SUMIFS($AC$4:$AC$97,$AA$4:$AA$97,$BD69,$AF$4:$AF$97,INDEX($BD$6:$BD$53,MATCH(BO69,$BN$6:$BN$53,0)))+SUMIFS($AD$4:$AD$97,$AF$4:$AF$97,$BD69,$AA$4:$AA$97,INDEX($BD$6:$BD$53,MATCH(BO69,$BN$6:$BN$53,0)))),IFERROR(INDEX($BJ$6:$BJ$53,MATCH($BB69,$BN$6:$BN$53,0))/BF69,0))</f>
        <v>0</v>
      </c>
      <c r="BK69" s="139" cm="1">
        <f t="array" ref="BK69">CHOOSE($BB$57,INDEX($BK$6:$BK$53,MATCH($BB69,$BN$6:$BN$53,0)),INDEX($BK$6:$BK$53,MATCH($BB69,$BN$6:$BN$53,0))-(SUMIFS($AD$4:$AD$97,$AA$4:$AA$97,$BD69,$AF$4:$AF$97,INDEX($BD$6:$BD$53,MATCH(BO69,$BN$6:$BN$53,0)))+SUMIFS($AC$4:$AC$97,$AF$4:$AF$97,$BD69,$AA$4:$AA$97,INDEX($BD$6:$BD$53,MATCH(BO69,$BN$6:$BN$53,0)))),IFERROR(INDEX($BK$6:$BK$53,MATCH($BB69,$BN$6:$BN$53,0))/BF69,0))</f>
        <v>5</v>
      </c>
      <c r="BL69" s="139" cm="1">
        <f t="array" ref="BL69">BJ69-BK69</f>
        <v>-5</v>
      </c>
      <c r="BM69" s="139" cm="1">
        <f t="array" ref="BM69">CB69</f>
        <v>8</v>
      </c>
      <c r="BN69" s="139" cm="1">
        <f t="array" ref="BN69">CF69</f>
        <v>8</v>
      </c>
      <c r="BO69" s="126" t="str" cm="1">
        <f t="array" ref="BO69">"4"&amp;BC69</f>
        <v>4L</v>
      </c>
      <c r="BP69" s="126"/>
      <c r="BQ69" s="126"/>
      <c r="BR69" s="139" cm="1">
        <f t="array" ref="BR69">BE69</f>
        <v>0</v>
      </c>
      <c r="BS69" s="139" cm="1">
        <f t="array" ref="BS69">COUNTIFS(BR$58:BR$69,"&gt;"&amp;BR69)+1</f>
        <v>8</v>
      </c>
      <c r="BT69" s="126" t="str" cm="1">
        <f t="array" ref="BT69">IF(COUNTIF(BS$58:BS$69,BS69)=1,"-","Pos. "&amp;BS69&amp;" ("&amp;COUNTIF(BS$58:BS$69,BS69)&amp;")")</f>
        <v>Pos. 8 (5)</v>
      </c>
      <c r="BU69" s="139" cm="1">
        <f t="array" ref="BU69">IF(BT69="-","-",BL69)</f>
        <v>-5</v>
      </c>
      <c r="BV69" s="139" cm="1">
        <f t="array" ref="BV69">BS69+COUNTIFS(BT$58:BT$69,BT69,BU$58:BU$69,"&gt;"&amp;BU69)</f>
        <v>8</v>
      </c>
      <c r="BW69" s="126" t="str" cm="1">
        <f t="array" ref="BW69">IF(COUNTIF(BV$58:BV$69,BV69)=1,"-","Pos. "&amp;BV69&amp;" ("&amp;COUNTIF(BV$58:BV$69,BV69)&amp;")")</f>
        <v>-</v>
      </c>
      <c r="BX69" s="126" t="str" cm="1">
        <f t="array" ref="BX69">IF(BW69="-","-",BJ69)</f>
        <v>-</v>
      </c>
      <c r="BY69" s="139" cm="1">
        <f t="array" ref="BY69">BV69+COUNTIFS(BW$58:BW$69,BW69,BX$58:BX$69,"&gt;"&amp;BX69)</f>
        <v>8</v>
      </c>
      <c r="BZ69" s="126" t="str" cm="1">
        <f t="array" ref="BZ69">IF(COUNTIF(BY$58:BY$69,BY69)=1,"-","Pos. "&amp;BY69&amp;" ("&amp;COUNTIF(BY$58:BY$69,BY69)&amp;")")</f>
        <v>-</v>
      </c>
      <c r="CA69" s="126" t="str" cm="1">
        <f t="array" ref="CA69">IF(BZ69="-","-",COUNTIF($BD$58:$BD$69,"&gt;"&amp;BD69))</f>
        <v>-</v>
      </c>
      <c r="CB69" s="139" cm="1">
        <f t="array" ref="CB69">BY69+COUNTIFS(BZ$58:BZ$69,BZ69,CA$58:CA$69,"&gt;"&amp;CA69)</f>
        <v>8</v>
      </c>
      <c r="CC69" s="126"/>
      <c r="CD69" s="139" cm="1">
        <f t="array" ref="CD69">IF(OR(INDEX($AW$102:$AW$113,MATCH($BD69,$AV$102:$AV$113,0))="",BZ69="-"),CB69,INDEX($AW$102:$AW$113,MATCH($BD69,$AV$102:$AV$113,0))+CB69/1000)</f>
        <v>8</v>
      </c>
      <c r="CE69" s="126" t="str" cm="1">
        <f t="array" ref="CE69">IF(BZ69="-","-",COUNTIF(CD$58:CD$69,"&lt;"&amp;CD69))</f>
        <v>-</v>
      </c>
      <c r="CF69" s="139" cm="1">
        <f t="array" ref="CF69">BY69+COUNTIFS(BZ$58:BZ$69,BZ69,CE$58:CE$69,"&lt;"&amp;CE69)</f>
        <v>8</v>
      </c>
      <c r="CG69" s="77"/>
      <c r="CH69" s="77"/>
      <c r="CI69" s="77"/>
      <c r="CJ69" s="77"/>
      <c r="CK69" s="77"/>
      <c r="CL69" s="77"/>
      <c r="CM69" s="77"/>
      <c r="CN69" s="77"/>
      <c r="CO69" s="77"/>
      <c r="CP69" s="77"/>
      <c r="CQ69" s="77"/>
      <c r="CR69" s="77"/>
      <c r="CS69" s="77"/>
      <c r="CT69" s="77"/>
      <c r="CU69" s="77"/>
      <c r="CV69" s="77"/>
      <c r="CW69" s="77"/>
      <c r="CX69" s="77"/>
      <c r="CY69" s="77"/>
      <c r="CZ69" s="77"/>
      <c r="DA69" s="77"/>
      <c r="DB69" s="77"/>
      <c r="DC69" s="77"/>
      <c r="DD69" s="77"/>
      <c r="DE69" s="77"/>
      <c r="DF69" s="77"/>
      <c r="DG69" s="77"/>
      <c r="DH69" s="77"/>
      <c r="DI69" s="77"/>
      <c r="DJ69" s="139" cm="1">
        <f t="array" ref="DJ69">INDEX($BY$58:$BY$69,MATCH($DQ69,$BD$58:$BD$69,0))</f>
        <v>12</v>
      </c>
      <c r="DK69" s="126"/>
      <c r="DL69" s="139" cm="1">
        <f t="array" ref="DL69">IF(OR($H$113=144,$AJ$99=144),COUNTIF($DJ$58:$DJ$69,DJ69),1)</f>
        <v>1</v>
      </c>
      <c r="DM69" s="126" t="str" cm="1">
        <f t="array" ref="DM69">DJ69&amp;"."&amp;DL69</f>
        <v>12.1</v>
      </c>
      <c r="DN69" s="139">
        <v>1</v>
      </c>
      <c r="DO69" s="126"/>
      <c r="DP69" s="139">
        <v>12</v>
      </c>
      <c r="DQ69" s="126" t="str" cm="1">
        <f t="array" ref="DQ69">INDEX($BD$58:$BD$69,MATCH(DP69,$BM$58:$BM$69,0))</f>
        <v>Haití</v>
      </c>
      <c r="DR69" s="77"/>
      <c r="DS69" s="77"/>
      <c r="DT69" s="78"/>
      <c r="DU69" s="12"/>
    </row>
    <row r="70" spans="1:125" ht="16" customHeight="1" x14ac:dyDescent="0.2">
      <c r="A70" s="79" t="s">
        <v>185</v>
      </c>
      <c r="B70" s="68"/>
      <c r="C70" s="68"/>
      <c r="D70" s="68" t="str" cm="1">
        <f t="array" ref="D70">IF(OR(AC70="",AD70=""),"Pendiente",IF(AC70&gt;AD70,"Local",IF(AC70&lt;AD70,"Visitante","Empate")))</f>
        <v>Local</v>
      </c>
      <c r="E70" s="68" t="str" cm="1">
        <f t="array" ref="E70">IF(D70="Pendiente","-",INDEX($BT$6:$BT$53,MATCH($AA70,$BD$6:$BD$53,0)))</f>
        <v>P.1 (4)</v>
      </c>
      <c r="F70" s="68" t="str" cm="1">
        <f t="array" ref="F70">IF(D70="Pendiente","-",INDEX($BT$6:$BT$53,MATCH($AF70,$BD$6:$BD$53,0)))</f>
        <v>P.1 (4)</v>
      </c>
      <c r="G70" s="68"/>
      <c r="H70" s="68" t="str" cm="1">
        <f t="array" ref="H70">IF(D70="Pendiente","-",INDEX($BZ$6:$BZ$53,MATCH($AA70,$BD$6:$BD$53,0)))</f>
        <v>P.1 (4)</v>
      </c>
      <c r="I70" s="68" t="str" cm="1">
        <f t="array" ref="I70">IF(D70="Pendiente","-",INDEX($BZ$6:$BZ$53,MATCH($AF70,$BD$6:$BD$53,0)))</f>
        <v>P.1 (4)</v>
      </c>
      <c r="J70" s="68"/>
      <c r="K70" s="68" t="str" cm="1">
        <f t="array" ref="K70">IF(D70="Pendiente","-",INDEX($CE$6:$CE$53,MATCH($AA70,$BD$6:$BD$53,0)))</f>
        <v>P.1 (4)</v>
      </c>
      <c r="L70" s="68" t="str" cm="1">
        <f t="array" ref="L70">IF(D70="Pendiente","-",INDEX($CE$6:$CE$53,MATCH($AF70,$BD$6:$BD$53,0)))</f>
        <v>P.1 (4)</v>
      </c>
      <c r="M70" s="68"/>
      <c r="N70" s="68" t="str" cm="1">
        <f t="array" ref="N70">IF(D70="Pendiente","-",INDEX($CH$6:$CH$53,MATCH($AA70,$BD$6:$BD$53,0)))</f>
        <v>P.1 (4)</v>
      </c>
      <c r="O70" s="68" t="str" cm="1">
        <f t="array" ref="O70">IF(D70="Pendiente","-",INDEX($CH$6:$CH$53,MATCH($AF70,$BD$6:$BD$53,0)))</f>
        <v>P.1 (4)</v>
      </c>
      <c r="P70" s="68"/>
      <c r="Q70" s="68" t="str" cm="1">
        <f t="array" ref="Q70">IF(D70="Pendiente","-",INDEX($CN$6:$CN$53,MATCH($AA70,$BD$6:$BD$53,0)))</f>
        <v>P.1 (4)</v>
      </c>
      <c r="R70" s="68" t="str" cm="1">
        <f t="array" ref="R70">IF(D70="Pendiente","-",INDEX($CN$6:$CN$53,MATCH($AF70,$BD$6:$BD$53,0)))</f>
        <v>P.1 (4)</v>
      </c>
      <c r="S70" s="68"/>
      <c r="T70" s="68" t="str" cm="1">
        <f t="array" ref="T70">IF(D70="Pendiente","-",INDEX($CS$6:$CS$53,MATCH($AA70,$BD$6:$BD$53,0)))</f>
        <v>P.1 (4)</v>
      </c>
      <c r="U70" s="68" t="str" cm="1">
        <f t="array" ref="U70">IF(D70="Pendiente","-",INDEX($CS$6:$CS$53,MATCH($AF70,$BD$6:$BD$53,0)))</f>
        <v>P.1 (4)</v>
      </c>
      <c r="V70" s="80"/>
      <c r="W70" s="762"/>
      <c r="X70" s="96">
        <v>46195.708333333343</v>
      </c>
      <c r="Y70" s="97">
        <v>46195.708333333343</v>
      </c>
      <c r="Z70" s="113" t="str" cm="1">
        <f t="array" ref="Z70">$Z$6</f>
        <v>J2</v>
      </c>
      <c r="AA70" s="99" t="str" cm="1">
        <f t="array" ref="AA70">A69</f>
        <v>Francia</v>
      </c>
      <c r="AB70" s="100"/>
      <c r="AC70" s="114">
        <v>5</v>
      </c>
      <c r="AD70" s="114">
        <v>0</v>
      </c>
      <c r="AE70" s="102"/>
      <c r="AF70" s="103" t="str" cm="1">
        <f t="array" ref="AF70">A71</f>
        <v>Irak</v>
      </c>
      <c r="AG70" s="104" cm="1">
        <f t="array" ref="AG70">IF(NOT(OR(ISBLANK(AC70),ISBLANK(AD70))),1,0)</f>
        <v>1</v>
      </c>
      <c r="AH70" s="105">
        <v>42</v>
      </c>
      <c r="AI70" s="106" t="str" cm="1">
        <f t="array" ref="AI70">AJ70&amp;$B$68</f>
        <v>1I</v>
      </c>
      <c r="AJ70" s="127">
        <v>1</v>
      </c>
      <c r="AK70" s="204"/>
      <c r="AL70" s="129" t="str" cm="1">
        <f t="array" ref="AL70">IFERROR(INDEX($BD$6:$BD$53,MATCH(AI70,$BN$6:$BN$53,0)),"")</f>
        <v>Francia</v>
      </c>
      <c r="AM70" s="130" cm="1">
        <f t="array" ref="AM70">INDEX($BE$6:$BN$53,MATCH($AL70,$BD$6:$BD$53,0),MATCH(AM$5,$BE$5:$BN$5,0))</f>
        <v>9</v>
      </c>
      <c r="AN70" s="131" cm="1">
        <f t="array" ref="AN70">INDEX($BE$6:$BN$53,MATCH($AL70,$BD$6:$BD$53,0),MATCH(AN$5,$BE$5:$BN$5,0))</f>
        <v>3</v>
      </c>
      <c r="AO70" s="131" cm="1">
        <f t="array" ref="AO70">INDEX($BE$6:$BN$53,MATCH($AL70,$BD$6:$BD$53,0),MATCH(AO$5,$BE$5:$BN$5,0))</f>
        <v>3</v>
      </c>
      <c r="AP70" s="131" cm="1">
        <f t="array" ref="AP70">INDEX($BE$6:$BN$53,MATCH($AL70,$BD$6:$BD$53,0),MATCH(AP$5,$BE$5:$BN$5,0))</f>
        <v>0</v>
      </c>
      <c r="AQ70" s="131" cm="1">
        <f t="array" ref="AQ70">INDEX($BE$6:$BN$53,MATCH($AL70,$BD$6:$BD$53,0),MATCH(AQ$5,$BE$5:$BN$5,0))</f>
        <v>0</v>
      </c>
      <c r="AR70" s="131" cm="1">
        <f t="array" ref="AR70">INDEX($BE$6:$BN$53,MATCH($AL70,$BD$6:$BD$53,0),MATCH(AR$5,$BE$5:$BN$5,0))</f>
        <v>12</v>
      </c>
      <c r="AS70" s="131" cm="1">
        <f t="array" ref="AS70">INDEX($BE$6:$BN$53,MATCH($AL70,$BD$6:$BD$53,0),MATCH(AS$5,$BE$5:$BN$5,0))</f>
        <v>2</v>
      </c>
      <c r="AT70" s="132" cm="1">
        <f t="array" ref="AT70">INDEX($BE$6:$BN$53,MATCH($AL70,$BD$6:$BD$53,0),MATCH(AT$5,$BE$5:$BN$5,0))</f>
        <v>10</v>
      </c>
      <c r="AU70" s="133" cm="1">
        <f t="array" ref="AU70">INDEX($DL$6:$DL$53,MATCH(AI70,$DP$6:$DP$53,0))</f>
        <v>4</v>
      </c>
      <c r="AV70" s="134" t="str" cm="1">
        <f t="array" ref="AV70">INDEX($BD$6:$BD$53,MATCH(AI70,$BM$6:$BM$53,0))</f>
        <v>Francia</v>
      </c>
      <c r="AW70" s="135"/>
      <c r="AX70" s="136"/>
      <c r="AY70" s="137" t="str" cm="1">
        <f t="array" ref="AY70">A69</f>
        <v>Francia</v>
      </c>
      <c r="AZ70" s="138"/>
      <c r="BA70" s="125"/>
      <c r="BB70" s="77"/>
      <c r="BC70" s="77"/>
      <c r="BD70" s="77"/>
      <c r="BE70" s="77"/>
      <c r="BF70" s="77"/>
      <c r="BG70" s="77"/>
      <c r="BH70" s="77"/>
      <c r="BI70" s="77"/>
      <c r="BJ70" s="77"/>
      <c r="BK70" s="77"/>
      <c r="BL70" s="77"/>
      <c r="BM70" s="77"/>
      <c r="BN70" s="77"/>
      <c r="BO70" s="77"/>
      <c r="BP70" s="77"/>
      <c r="BQ70" s="77"/>
      <c r="BR70" s="77"/>
      <c r="BS70" s="77"/>
      <c r="BT70" s="77"/>
      <c r="BU70" s="77"/>
      <c r="BV70" s="77"/>
      <c r="BW70" s="77"/>
      <c r="BX70" s="77"/>
      <c r="BY70" s="77"/>
      <c r="BZ70" s="77"/>
      <c r="CA70" s="77"/>
      <c r="CB70" s="77"/>
      <c r="CC70" s="77"/>
      <c r="CD70" s="77"/>
      <c r="CE70" s="77"/>
      <c r="CF70" s="77"/>
      <c r="CG70" s="77"/>
      <c r="CH70" s="77"/>
      <c r="CI70" s="77"/>
      <c r="CJ70" s="77"/>
      <c r="CK70" s="77"/>
      <c r="CL70" s="77"/>
      <c r="CM70" s="77"/>
      <c r="CN70" s="77"/>
      <c r="CO70" s="77"/>
      <c r="CP70" s="77"/>
      <c r="CQ70" s="77"/>
      <c r="CR70" s="77"/>
      <c r="CS70" s="77"/>
      <c r="CT70" s="77"/>
      <c r="CU70" s="77"/>
      <c r="CV70" s="77"/>
      <c r="CW70" s="77"/>
      <c r="CX70" s="77"/>
      <c r="CY70" s="77"/>
      <c r="CZ70" s="77"/>
      <c r="DA70" s="77"/>
      <c r="DB70" s="77"/>
      <c r="DC70" s="77"/>
      <c r="DD70" s="77"/>
      <c r="DE70" s="77"/>
      <c r="DF70" s="77"/>
      <c r="DG70" s="77"/>
      <c r="DH70" s="77"/>
      <c r="DI70" s="77"/>
      <c r="DJ70" s="77"/>
      <c r="DK70" s="77"/>
      <c r="DL70" s="77"/>
      <c r="DM70" s="77"/>
      <c r="DN70" s="126"/>
      <c r="DO70" s="77"/>
      <c r="DP70" s="77"/>
      <c r="DQ70" s="77"/>
      <c r="DR70" s="77"/>
      <c r="DS70" s="77"/>
      <c r="DT70" s="78"/>
      <c r="DU70" s="12"/>
    </row>
    <row r="71" spans="1:125" ht="16" customHeight="1" x14ac:dyDescent="0.2">
      <c r="A71" s="79" t="s">
        <v>187</v>
      </c>
      <c r="B71" s="68"/>
      <c r="C71" s="68"/>
      <c r="D71" s="68" t="str" cm="1">
        <f t="array" ref="D71">IF(OR(AC71="",AD71=""),"Pendiente",IF(AC71&gt;AD71,"Local",IF(AC71&lt;AD71,"Visitante","Empate")))</f>
        <v>Local</v>
      </c>
      <c r="E71" s="68" t="str" cm="1">
        <f t="array" ref="E71">IF(D71="Pendiente","-",INDEX($BT$6:$BT$53,MATCH($AA71,$BD$6:$BD$53,0)))</f>
        <v>P.1 (4)</v>
      </c>
      <c r="F71" s="68" t="str" cm="1">
        <f t="array" ref="F71">IF(D71="Pendiente","-",INDEX($BT$6:$BT$53,MATCH($AF71,$BD$6:$BD$53,0)))</f>
        <v>P.1 (4)</v>
      </c>
      <c r="G71" s="68"/>
      <c r="H71" s="68" t="str" cm="1">
        <f t="array" ref="H71">IF(D71="Pendiente","-",INDEX($BZ$6:$BZ$53,MATCH($AA71,$BD$6:$BD$53,0)))</f>
        <v>P.1 (4)</v>
      </c>
      <c r="I71" s="68" t="str" cm="1">
        <f t="array" ref="I71">IF(D71="Pendiente","-",INDEX($BZ$6:$BZ$53,MATCH($AF71,$BD$6:$BD$53,0)))</f>
        <v>P.1 (4)</v>
      </c>
      <c r="J71" s="68"/>
      <c r="K71" s="68" t="str" cm="1">
        <f t="array" ref="K71">IF(D71="Pendiente","-",INDEX($CE$6:$CE$53,MATCH($AA71,$BD$6:$BD$53,0)))</f>
        <v>P.1 (4)</v>
      </c>
      <c r="L71" s="68" t="str" cm="1">
        <f t="array" ref="L71">IF(D71="Pendiente","-",INDEX($CE$6:$CE$53,MATCH($AF71,$BD$6:$BD$53,0)))</f>
        <v>P.1 (4)</v>
      </c>
      <c r="M71" s="68"/>
      <c r="N71" s="68" t="str" cm="1">
        <f t="array" ref="N71">IF(D71="Pendiente","-",INDEX($CH$6:$CH$53,MATCH($AA71,$BD$6:$BD$53,0)))</f>
        <v>P.1 (4)</v>
      </c>
      <c r="O71" s="68" t="str" cm="1">
        <f t="array" ref="O71">IF(D71="Pendiente","-",INDEX($CH$6:$CH$53,MATCH($AF71,$BD$6:$BD$53,0)))</f>
        <v>P.1 (4)</v>
      </c>
      <c r="P71" s="68"/>
      <c r="Q71" s="68" t="str" cm="1">
        <f t="array" ref="Q71">IF(D71="Pendiente","-",INDEX($CN$6:$CN$53,MATCH($AA71,$BD$6:$BD$53,0)))</f>
        <v>P.1 (4)</v>
      </c>
      <c r="R71" s="68" t="str" cm="1">
        <f t="array" ref="R71">IF(D71="Pendiente","-",INDEX($CN$6:$CN$53,MATCH($AF71,$BD$6:$BD$53,0)))</f>
        <v>P.1 (4)</v>
      </c>
      <c r="S71" s="68"/>
      <c r="T71" s="68" t="str" cm="1">
        <f t="array" ref="T71">IF(D71="Pendiente","-",INDEX($CS$6:$CS$53,MATCH($AA71,$BD$6:$BD$53,0)))</f>
        <v>P.1 (4)</v>
      </c>
      <c r="U71" s="68" t="str" cm="1">
        <f t="array" ref="U71">IF(D71="Pendiente","-",INDEX($CS$6:$CS$53,MATCH($AF71,$BD$6:$BD$53,0)))</f>
        <v>P.1 (4)</v>
      </c>
      <c r="V71" s="80"/>
      <c r="W71" s="762"/>
      <c r="X71" s="96">
        <v>46195.833333333343</v>
      </c>
      <c r="Y71" s="97">
        <v>46195.833333333343</v>
      </c>
      <c r="Z71" s="113" t="str" cm="1">
        <f t="array" ref="Z71">$Z$6</f>
        <v>J2</v>
      </c>
      <c r="AA71" s="99" t="str" cm="1">
        <f t="array" ref="AA71">A72</f>
        <v>Noruega</v>
      </c>
      <c r="AB71" s="100"/>
      <c r="AC71" s="114">
        <v>2</v>
      </c>
      <c r="AD71" s="114">
        <v>1</v>
      </c>
      <c r="AE71" s="102"/>
      <c r="AF71" s="103" t="str" cm="1">
        <f t="array" ref="AF71">A70</f>
        <v>Senegal</v>
      </c>
      <c r="AG71" s="104" cm="1">
        <f t="array" ref="AG71">IF(NOT(OR(ISBLANK(AC71),ISBLANK(AD71))),1,0)</f>
        <v>1</v>
      </c>
      <c r="AH71" s="105">
        <v>41</v>
      </c>
      <c r="AI71" s="106" t="str" cm="1">
        <f t="array" ref="AI71">AJ71&amp;$B$68</f>
        <v>2I</v>
      </c>
      <c r="AJ71" s="140">
        <v>2</v>
      </c>
      <c r="AK71" s="208"/>
      <c r="AL71" s="142" t="str" cm="1">
        <f t="array" ref="AL71">IFERROR(INDEX($BD$6:$BD$53,MATCH(AI71,$BN$6:$BN$53,0)),"")</f>
        <v>Senegal</v>
      </c>
      <c r="AM71" s="143" cm="1">
        <f t="array" ref="AM71">INDEX($BE$6:$BN$53,MATCH($AL71,$BD$6:$BD$53,0),MATCH(AM$5,$BE$5:$BN$5,0))</f>
        <v>3</v>
      </c>
      <c r="AN71" s="144" cm="1">
        <f t="array" ref="AN71">INDEX($BE$6:$BN$53,MATCH($AL71,$BD$6:$BD$53,0),MATCH(AN$5,$BE$5:$BN$5,0))</f>
        <v>3</v>
      </c>
      <c r="AO71" s="144" cm="1">
        <f t="array" ref="AO71">INDEX($BE$6:$BN$53,MATCH($AL71,$BD$6:$BD$53,0),MATCH(AO$5,$BE$5:$BN$5,0))</f>
        <v>1</v>
      </c>
      <c r="AP71" s="144" cm="1">
        <f t="array" ref="AP71">INDEX($BE$6:$BN$53,MATCH($AL71,$BD$6:$BD$53,0),MATCH(AP$5,$BE$5:$BN$5,0))</f>
        <v>0</v>
      </c>
      <c r="AQ71" s="144" cm="1">
        <f t="array" ref="AQ71">INDEX($BE$6:$BN$53,MATCH($AL71,$BD$6:$BD$53,0),MATCH(AQ$5,$BE$5:$BN$5,0))</f>
        <v>2</v>
      </c>
      <c r="AR71" s="144" cm="1">
        <f t="array" ref="AR71">INDEX($BE$6:$BN$53,MATCH($AL71,$BD$6:$BD$53,0),MATCH(AR$5,$BE$5:$BN$5,0))</f>
        <v>4</v>
      </c>
      <c r="AS71" s="144" cm="1">
        <f t="array" ref="AS71">INDEX($BE$6:$BN$53,MATCH($AL71,$BD$6:$BD$53,0),MATCH(AS$5,$BE$5:$BN$5,0))</f>
        <v>6</v>
      </c>
      <c r="AT71" s="145" cm="1">
        <f t="array" ref="AT71">INDEX($BE$6:$BN$53,MATCH($AL71,$BD$6:$BD$53,0),MATCH(AT$5,$BE$5:$BN$5,0))</f>
        <v>-2</v>
      </c>
      <c r="AU71" s="133" cm="1">
        <f t="array" ref="AU71">INDEX($DL$6:$DL$53,MATCH(AI71,$DP$6:$DP$53,0))</f>
        <v>4</v>
      </c>
      <c r="AV71" s="134" t="str" cm="1">
        <f t="array" ref="AV71">INDEX($BD$6:$BD$53,MATCH(AI71,$BM$6:$BM$53,0))</f>
        <v>Senegal</v>
      </c>
      <c r="AW71" s="135"/>
      <c r="AX71" s="136"/>
      <c r="AY71" s="146" t="str" cm="1">
        <f t="array" ref="AY71">A70</f>
        <v>Senegal</v>
      </c>
      <c r="AZ71" s="147"/>
      <c r="BA71" s="125"/>
      <c r="BB71" s="77"/>
      <c r="BC71" s="77"/>
      <c r="BD71" s="77"/>
      <c r="BE71" s="77"/>
      <c r="BF71" s="77"/>
      <c r="BG71" s="77"/>
      <c r="BH71" s="77"/>
      <c r="BI71" s="77"/>
      <c r="BJ71" s="77"/>
      <c r="BK71" s="77"/>
      <c r="BL71" s="77"/>
      <c r="BM71" s="77"/>
      <c r="BN71" s="77"/>
      <c r="BO71" s="77"/>
      <c r="BP71" s="77"/>
      <c r="BQ71" s="77"/>
      <c r="BR71" s="77"/>
      <c r="BS71" s="77"/>
      <c r="BT71" s="77"/>
      <c r="BU71" s="77"/>
      <c r="BV71" s="77"/>
      <c r="BW71" s="77"/>
      <c r="BX71" s="77"/>
      <c r="BY71" s="77"/>
      <c r="BZ71" s="77"/>
      <c r="CA71" s="77"/>
      <c r="CB71" s="77"/>
      <c r="CC71" s="77"/>
      <c r="CD71" s="77"/>
      <c r="CE71" s="77"/>
      <c r="CF71" s="77"/>
      <c r="CG71" s="77"/>
      <c r="CH71" s="77"/>
      <c r="CI71" s="77"/>
      <c r="CJ71" s="77"/>
      <c r="CK71" s="77"/>
      <c r="CL71" s="77"/>
      <c r="CM71" s="77"/>
      <c r="CN71" s="77"/>
      <c r="CO71" s="77"/>
      <c r="CP71" s="77"/>
      <c r="CQ71" s="77"/>
      <c r="CR71" s="77"/>
      <c r="CS71" s="77"/>
      <c r="CT71" s="77"/>
      <c r="CU71" s="77"/>
      <c r="CV71" s="77"/>
      <c r="CW71" s="77"/>
      <c r="CX71" s="77"/>
      <c r="CY71" s="77"/>
      <c r="CZ71" s="77"/>
      <c r="DA71" s="77"/>
      <c r="DB71" s="77"/>
      <c r="DC71" s="77"/>
      <c r="DD71" s="77"/>
      <c r="DE71" s="77"/>
      <c r="DF71" s="77"/>
      <c r="DG71" s="77"/>
      <c r="DH71" s="77"/>
      <c r="DI71" s="77"/>
      <c r="DJ71" s="77"/>
      <c r="DK71" s="77"/>
      <c r="DL71" s="77"/>
      <c r="DM71" s="77"/>
      <c r="DN71" s="126"/>
      <c r="DO71" s="77"/>
      <c r="DP71" s="77"/>
      <c r="DQ71" s="77"/>
      <c r="DR71" s="77"/>
      <c r="DS71" s="77"/>
      <c r="DT71" s="78"/>
      <c r="DU71" s="12"/>
    </row>
    <row r="72" spans="1:125" ht="16" customHeight="1" x14ac:dyDescent="0.2">
      <c r="A72" s="79" t="s">
        <v>189</v>
      </c>
      <c r="B72" s="68"/>
      <c r="C72" s="68"/>
      <c r="D72" s="68" t="str" cm="1">
        <f t="array" ref="D72">IF(OR(AC72="",AD72=""),"Pendiente",IF(AC72&gt;AD72,"Local",IF(AC72&lt;AD72,"Visitante","Empate")))</f>
        <v>Visitante</v>
      </c>
      <c r="E72" s="68" t="str" cm="1">
        <f t="array" ref="E72">IF(D72="Pendiente","-",INDEX($BT$6:$BT$53,MATCH($AA72,$BD$6:$BD$53,0)))</f>
        <v>P.1 (4)</v>
      </c>
      <c r="F72" s="68" t="str" cm="1">
        <f t="array" ref="F72">IF(D72="Pendiente","-",INDEX($BT$6:$BT$53,MATCH($AF72,$BD$6:$BD$53,0)))</f>
        <v>P.1 (4)</v>
      </c>
      <c r="G72" s="68"/>
      <c r="H72" s="68" t="str" cm="1">
        <f t="array" ref="H72">IF(D72="Pendiente","-",INDEX($BZ$6:$BZ$53,MATCH($AA72,$BD$6:$BD$53,0)))</f>
        <v>P.1 (4)</v>
      </c>
      <c r="I72" s="68" t="str" cm="1">
        <f t="array" ref="I72">IF(D72="Pendiente","-",INDEX($BZ$6:$BZ$53,MATCH($AF72,$BD$6:$BD$53,0)))</f>
        <v>P.1 (4)</v>
      </c>
      <c r="J72" s="68"/>
      <c r="K72" s="68" t="str" cm="1">
        <f t="array" ref="K72">IF(D72="Pendiente","-",INDEX($CE$6:$CE$53,MATCH($AA72,$BD$6:$BD$53,0)))</f>
        <v>P.1 (4)</v>
      </c>
      <c r="L72" s="68" t="str" cm="1">
        <f t="array" ref="L72">IF(D72="Pendiente","-",INDEX($CE$6:$CE$53,MATCH($AF72,$BD$6:$BD$53,0)))</f>
        <v>P.1 (4)</v>
      </c>
      <c r="M72" s="68"/>
      <c r="N72" s="68" t="str" cm="1">
        <f t="array" ref="N72">IF(D72="Pendiente","-",INDEX($CH$6:$CH$53,MATCH($AA72,$BD$6:$BD$53,0)))</f>
        <v>P.1 (4)</v>
      </c>
      <c r="O72" s="68" t="str" cm="1">
        <f t="array" ref="O72">IF(D72="Pendiente","-",INDEX($CH$6:$CH$53,MATCH($AF72,$BD$6:$BD$53,0)))</f>
        <v>P.1 (4)</v>
      </c>
      <c r="P72" s="68"/>
      <c r="Q72" s="68" t="str" cm="1">
        <f t="array" ref="Q72">IF(D72="Pendiente","-",INDEX($CN$6:$CN$53,MATCH($AA72,$BD$6:$BD$53,0)))</f>
        <v>P.1 (4)</v>
      </c>
      <c r="R72" s="68" t="str" cm="1">
        <f t="array" ref="R72">IF(D72="Pendiente","-",INDEX($CN$6:$CN$53,MATCH($AF72,$BD$6:$BD$53,0)))</f>
        <v>P.1 (4)</v>
      </c>
      <c r="S72" s="68"/>
      <c r="T72" s="68" t="str" cm="1">
        <f t="array" ref="T72">IF(D72="Pendiente","-",INDEX($CS$6:$CS$53,MATCH($AA72,$BD$6:$BD$53,0)))</f>
        <v>P.1 (4)</v>
      </c>
      <c r="U72" s="68" t="str" cm="1">
        <f t="array" ref="U72">IF(D72="Pendiente","-",INDEX($CS$6:$CS$53,MATCH($AF72,$BD$6:$BD$53,0)))</f>
        <v>P.1 (4)</v>
      </c>
      <c r="V72" s="80"/>
      <c r="W72" s="762"/>
      <c r="X72" s="96">
        <v>46199.625</v>
      </c>
      <c r="Y72" s="97">
        <v>46199.625</v>
      </c>
      <c r="Z72" s="113" t="str" cm="1">
        <f t="array" ref="Z72">$Z$8</f>
        <v>J3</v>
      </c>
      <c r="AA72" s="99" t="str" cm="1">
        <f t="array" ref="AA72">A72</f>
        <v>Noruega</v>
      </c>
      <c r="AB72" s="100"/>
      <c r="AC72" s="114">
        <v>1</v>
      </c>
      <c r="AD72" s="114">
        <v>3</v>
      </c>
      <c r="AE72" s="102"/>
      <c r="AF72" s="103" t="str" cm="1">
        <f t="array" ref="AF72">A69</f>
        <v>Francia</v>
      </c>
      <c r="AG72" s="104" cm="1">
        <f t="array" ref="AG72">IF(NOT(OR(ISBLANK(AC72),ISBLANK(AD72))),1,0)</f>
        <v>1</v>
      </c>
      <c r="AH72" s="105">
        <v>61</v>
      </c>
      <c r="AI72" s="106" t="str" cm="1">
        <f t="array" ref="AI72">AJ72&amp;$B$68</f>
        <v>3I</v>
      </c>
      <c r="AJ72" s="140">
        <v>3</v>
      </c>
      <c r="AK72" s="208"/>
      <c r="AL72" s="142" t="str" cm="1">
        <f t="array" ref="AL72">IFERROR(INDEX($BD$6:$BD$53,MATCH(AI72,$BN$6:$BN$53,0)),"")</f>
        <v>Irak</v>
      </c>
      <c r="AM72" s="143" cm="1">
        <f t="array" ref="AM72">INDEX($BE$6:$BN$53,MATCH($AL72,$BD$6:$BD$53,0),MATCH(AM$5,$BE$5:$BN$5,0))</f>
        <v>0</v>
      </c>
      <c r="AN72" s="144" cm="1">
        <f t="array" ref="AN72">INDEX($BE$6:$BN$53,MATCH($AL72,$BD$6:$BD$53,0),MATCH(AN$5,$BE$5:$BN$5,0))</f>
        <v>3</v>
      </c>
      <c r="AO72" s="144" cm="1">
        <f t="array" ref="AO72">INDEX($BE$6:$BN$53,MATCH($AL72,$BD$6:$BD$53,0),MATCH(AO$5,$BE$5:$BN$5,0))</f>
        <v>0</v>
      </c>
      <c r="AP72" s="144" cm="1">
        <f t="array" ref="AP72">INDEX($BE$6:$BN$53,MATCH($AL72,$BD$6:$BD$53,0),MATCH(AP$5,$BE$5:$BN$5,0))</f>
        <v>0</v>
      </c>
      <c r="AQ72" s="144" cm="1">
        <f t="array" ref="AQ72">INDEX($BE$6:$BN$53,MATCH($AL72,$BD$6:$BD$53,0),MATCH(AQ$5,$BE$5:$BN$5,0))</f>
        <v>3</v>
      </c>
      <c r="AR72" s="144" cm="1">
        <f t="array" ref="AR72">INDEX($BE$6:$BN$53,MATCH($AL72,$BD$6:$BD$53,0),MATCH(AR$5,$BE$5:$BN$5,0))</f>
        <v>0</v>
      </c>
      <c r="AS72" s="144" cm="1">
        <f t="array" ref="AS72">INDEX($BE$6:$BN$53,MATCH($AL72,$BD$6:$BD$53,0),MATCH(AS$5,$BE$5:$BN$5,0))</f>
        <v>8</v>
      </c>
      <c r="AT72" s="145" cm="1">
        <f t="array" ref="AT72">INDEX($BE$6:$BN$53,MATCH($AL72,$BD$6:$BD$53,0),MATCH(AT$5,$BE$5:$BN$5,0))</f>
        <v>-8</v>
      </c>
      <c r="AU72" s="133" cm="1">
        <f t="array" ref="AU72">INDEX($DL$6:$DL$53,MATCH(AI72,$DP$6:$DP$53,0))</f>
        <v>4</v>
      </c>
      <c r="AV72" s="134" t="str" cm="1">
        <f t="array" ref="AV72">INDEX($BD$6:$BD$53,MATCH(AI72,$BM$6:$BM$53,0))</f>
        <v>Irak</v>
      </c>
      <c r="AW72" s="135"/>
      <c r="AX72" s="136"/>
      <c r="AY72" s="137" t="str" cm="1">
        <f t="array" ref="AY72">A71</f>
        <v>Irak</v>
      </c>
      <c r="AZ72" s="138"/>
      <c r="BA72" s="125"/>
      <c r="BB72" s="77"/>
      <c r="BC72" s="77"/>
      <c r="BD72" s="77"/>
      <c r="BE72" s="77"/>
      <c r="BF72" s="77"/>
      <c r="BG72" s="77"/>
      <c r="BH72" s="77"/>
      <c r="BI72" s="77"/>
      <c r="BJ72" s="77"/>
      <c r="BK72" s="77"/>
      <c r="BL72" s="77"/>
      <c r="BM72" s="77"/>
      <c r="BN72" s="77"/>
      <c r="BO72" s="77"/>
      <c r="BP72" s="77"/>
      <c r="BQ72" s="77"/>
      <c r="BR72" s="77"/>
      <c r="BS72" s="77"/>
      <c r="BT72" s="77"/>
      <c r="BU72" s="77"/>
      <c r="BV72" s="77"/>
      <c r="BW72" s="77"/>
      <c r="BX72" s="77"/>
      <c r="BY72" s="77"/>
      <c r="BZ72" s="77"/>
      <c r="CA72" s="77"/>
      <c r="CB72" s="77"/>
      <c r="CC72" s="77"/>
      <c r="CD72" s="77"/>
      <c r="CE72" s="77"/>
      <c r="CF72" s="77"/>
      <c r="CG72" s="77"/>
      <c r="CH72" s="77"/>
      <c r="CI72" s="77"/>
      <c r="CJ72" s="77"/>
      <c r="CK72" s="77"/>
      <c r="CL72" s="77"/>
      <c r="CM72" s="77"/>
      <c r="CN72" s="77"/>
      <c r="CO72" s="77"/>
      <c r="CP72" s="77"/>
      <c r="CQ72" s="77"/>
      <c r="CR72" s="77"/>
      <c r="CS72" s="77"/>
      <c r="CT72" s="77"/>
      <c r="CU72" s="77"/>
      <c r="CV72" s="77"/>
      <c r="CW72" s="77"/>
      <c r="CX72" s="77"/>
      <c r="CY72" s="77"/>
      <c r="CZ72" s="77"/>
      <c r="DA72" s="77"/>
      <c r="DB72" s="77"/>
      <c r="DC72" s="77"/>
      <c r="DD72" s="77"/>
      <c r="DE72" s="77"/>
      <c r="DF72" s="77"/>
      <c r="DG72" s="77"/>
      <c r="DH72" s="77"/>
      <c r="DI72" s="77"/>
      <c r="DJ72" s="77"/>
      <c r="DK72" s="77"/>
      <c r="DL72" s="77"/>
      <c r="DM72" s="77"/>
      <c r="DN72" s="126"/>
      <c r="DO72" s="77"/>
      <c r="DP72" s="77"/>
      <c r="DQ72" s="77"/>
      <c r="DR72" s="77"/>
      <c r="DS72" s="77"/>
      <c r="DT72" s="78"/>
      <c r="DU72" s="12"/>
    </row>
    <row r="73" spans="1:125" ht="16" customHeight="1" x14ac:dyDescent="0.2">
      <c r="A73" s="68"/>
      <c r="B73" s="68"/>
      <c r="C73" s="68"/>
      <c r="D73" s="68" t="str" cm="1">
        <f t="array" ref="D73">IF(OR(AC73="",AD73=""),"Pendiente",IF(AC73&gt;AD73,"Local",IF(AC73&lt;AD73,"Visitante","Empate")))</f>
        <v>Local</v>
      </c>
      <c r="E73" s="68" t="str" cm="1">
        <f t="array" ref="E73">IF(D73="Pendiente","-",INDEX($BT$6:$BT$53,MATCH($AA73,$BD$6:$BD$53,0)))</f>
        <v>P.1 (4)</v>
      </c>
      <c r="F73" s="68" t="str" cm="1">
        <f t="array" ref="F73">IF(D73="Pendiente","-",INDEX($BT$6:$BT$53,MATCH($AF73,$BD$6:$BD$53,0)))</f>
        <v>P.1 (4)</v>
      </c>
      <c r="G73" s="68"/>
      <c r="H73" s="68" t="str" cm="1">
        <f t="array" ref="H73">IF(D73="Pendiente","-",INDEX($BZ$6:$BZ$53,MATCH($AA73,$BD$6:$BD$53,0)))</f>
        <v>P.1 (4)</v>
      </c>
      <c r="I73" s="68" t="str" cm="1">
        <f t="array" ref="I73">IF(D73="Pendiente","-",INDEX($BZ$6:$BZ$53,MATCH($AF73,$BD$6:$BD$53,0)))</f>
        <v>P.1 (4)</v>
      </c>
      <c r="J73" s="68"/>
      <c r="K73" s="68" t="str" cm="1">
        <f t="array" ref="K73">IF(D73="Pendiente","-",INDEX($CE$6:$CE$53,MATCH($AA73,$BD$6:$BD$53,0)))</f>
        <v>P.1 (4)</v>
      </c>
      <c r="L73" s="68" t="str" cm="1">
        <f t="array" ref="L73">IF(D73="Pendiente","-",INDEX($CE$6:$CE$53,MATCH($AF73,$BD$6:$BD$53,0)))</f>
        <v>P.1 (4)</v>
      </c>
      <c r="M73" s="68"/>
      <c r="N73" s="68" t="str" cm="1">
        <f t="array" ref="N73">IF(D73="Pendiente","-",INDEX($CH$6:$CH$53,MATCH($AA73,$BD$6:$BD$53,0)))</f>
        <v>P.1 (4)</v>
      </c>
      <c r="O73" s="68" t="str" cm="1">
        <f t="array" ref="O73">IF(D73="Pendiente","-",INDEX($CH$6:$CH$53,MATCH($AF73,$BD$6:$BD$53,0)))</f>
        <v>P.1 (4)</v>
      </c>
      <c r="P73" s="68"/>
      <c r="Q73" s="68" t="str" cm="1">
        <f t="array" ref="Q73">IF(D73="Pendiente","-",INDEX($CN$6:$CN$53,MATCH($AA73,$BD$6:$BD$53,0)))</f>
        <v>P.1 (4)</v>
      </c>
      <c r="R73" s="68" t="str" cm="1">
        <f t="array" ref="R73">IF(D73="Pendiente","-",INDEX($CN$6:$CN$53,MATCH($AF73,$BD$6:$BD$53,0)))</f>
        <v>P.1 (4)</v>
      </c>
      <c r="S73" s="68"/>
      <c r="T73" s="68" t="str" cm="1">
        <f t="array" ref="T73">IF(D73="Pendiente","-",INDEX($CS$6:$CS$53,MATCH($AA73,$BD$6:$BD$53,0)))</f>
        <v>P.1 (4)</v>
      </c>
      <c r="U73" s="68" t="str" cm="1">
        <f t="array" ref="U73">IF(D73="Pendiente","-",INDEX($CS$6:$CS$53,MATCH($AF73,$BD$6:$BD$53,0)))</f>
        <v>P.1 (4)</v>
      </c>
      <c r="V73" s="80"/>
      <c r="W73" s="763"/>
      <c r="X73" s="148">
        <v>46199.625</v>
      </c>
      <c r="Y73" s="149">
        <v>46199.625</v>
      </c>
      <c r="Z73" s="150" t="str" cm="1">
        <f t="array" ref="Z73">$Z$8</f>
        <v>J3</v>
      </c>
      <c r="AA73" s="151" t="str" cm="1">
        <f t="array" ref="AA73">A70</f>
        <v>Senegal</v>
      </c>
      <c r="AB73" s="152"/>
      <c r="AC73" s="153">
        <v>2</v>
      </c>
      <c r="AD73" s="153">
        <v>0</v>
      </c>
      <c r="AE73" s="154"/>
      <c r="AF73" s="155" t="str" cm="1">
        <f t="array" ref="AF73">A71</f>
        <v>Irak</v>
      </c>
      <c r="AG73" s="104" cm="1">
        <f t="array" ref="AG73">IF(NOT(OR(ISBLANK(AC73),ISBLANK(AD73))),1,0)</f>
        <v>1</v>
      </c>
      <c r="AH73" s="105">
        <v>62</v>
      </c>
      <c r="AI73" s="106" t="str" cm="1">
        <f t="array" ref="AI73">AJ73&amp;$B$68</f>
        <v>4I</v>
      </c>
      <c r="AJ73" s="156">
        <v>4</v>
      </c>
      <c r="AK73" s="222"/>
      <c r="AL73" s="158" t="str" cm="1">
        <f t="array" ref="AL73">IFERROR(INDEX($BD$6:$BD$53,MATCH(AI73,$BN$6:$BN$53,0)),"")</f>
        <v>Noruega</v>
      </c>
      <c r="AM73" s="159" cm="1">
        <f t="array" ref="AM73">INDEX($BE$6:$BN$53,MATCH($AL73,$BD$6:$BD$53,0),MATCH(AM$5,$BE$5:$BN$5,0))</f>
        <v>6</v>
      </c>
      <c r="AN73" s="160" cm="1">
        <f t="array" ref="AN73">INDEX($BE$6:$BN$53,MATCH($AL73,$BD$6:$BD$53,0),MATCH(AN$5,$BE$5:$BN$5,0))</f>
        <v>3</v>
      </c>
      <c r="AO73" s="160" cm="1">
        <f t="array" ref="AO73">INDEX($BE$6:$BN$53,MATCH($AL73,$BD$6:$BD$53,0),MATCH(AO$5,$BE$5:$BN$5,0))</f>
        <v>2</v>
      </c>
      <c r="AP73" s="160" cm="1">
        <f t="array" ref="AP73">INDEX($BE$6:$BN$53,MATCH($AL73,$BD$6:$BD$53,0),MATCH(AP$5,$BE$5:$BN$5,0))</f>
        <v>0</v>
      </c>
      <c r="AQ73" s="160" cm="1">
        <f t="array" ref="AQ73">INDEX($BE$6:$BN$53,MATCH($AL73,$BD$6:$BD$53,0),MATCH(AQ$5,$BE$5:$BN$5,0))</f>
        <v>1</v>
      </c>
      <c r="AR73" s="160" cm="1">
        <f t="array" ref="AR73">INDEX($BE$6:$BN$53,MATCH($AL73,$BD$6:$BD$53,0),MATCH(AR$5,$BE$5:$BN$5,0))</f>
        <v>4</v>
      </c>
      <c r="AS73" s="160" cm="1">
        <f t="array" ref="AS73">INDEX($BE$6:$BN$53,MATCH($AL73,$BD$6:$BD$53,0),MATCH(AS$5,$BE$5:$BN$5,0))</f>
        <v>4</v>
      </c>
      <c r="AT73" s="161" cm="1">
        <f t="array" ref="AT73">INDEX($BE$6:$BN$53,MATCH($AL73,$BD$6:$BD$53,0),MATCH(AT$5,$BE$5:$BN$5,0))</f>
        <v>0</v>
      </c>
      <c r="AU73" s="133" cm="1">
        <f t="array" ref="AU73">INDEX($DL$6:$DL$53,MATCH(AI73,$DP$6:$DP$53,0))</f>
        <v>4</v>
      </c>
      <c r="AV73" s="134" t="str" cm="1">
        <f t="array" ref="AV73">INDEX($BD$6:$BD$53,MATCH(AI73,$BM$6:$BM$53,0))</f>
        <v>Noruega</v>
      </c>
      <c r="AW73" s="135"/>
      <c r="AX73" s="136"/>
      <c r="AY73" s="162" t="str" cm="1">
        <f t="array" ref="AY73">A72</f>
        <v>Noruega</v>
      </c>
      <c r="AZ73" s="163"/>
      <c r="BA73" s="125"/>
      <c r="BB73" s="77"/>
      <c r="BC73" s="77"/>
      <c r="BD73" s="77"/>
      <c r="BE73" s="77"/>
      <c r="BF73" s="77"/>
      <c r="BG73" s="77"/>
      <c r="BH73" s="77"/>
      <c r="BI73" s="77"/>
      <c r="BJ73" s="77"/>
      <c r="BK73" s="77"/>
      <c r="BL73" s="77"/>
      <c r="BM73" s="77"/>
      <c r="BN73" s="77"/>
      <c r="BO73" s="77"/>
      <c r="BP73" s="77"/>
      <c r="BQ73" s="77"/>
      <c r="BR73" s="77"/>
      <c r="BS73" s="77"/>
      <c r="BT73" s="77"/>
      <c r="BU73" s="77"/>
      <c r="BV73" s="77"/>
      <c r="BW73" s="77"/>
      <c r="BX73" s="77"/>
      <c r="BY73" s="77"/>
      <c r="BZ73" s="77"/>
      <c r="CA73" s="77"/>
      <c r="CB73" s="77"/>
      <c r="CC73" s="77"/>
      <c r="CD73" s="77"/>
      <c r="CE73" s="77"/>
      <c r="CF73" s="77"/>
      <c r="CG73" s="77"/>
      <c r="CH73" s="77"/>
      <c r="CI73" s="77"/>
      <c r="CJ73" s="77"/>
      <c r="CK73" s="77"/>
      <c r="CL73" s="77"/>
      <c r="CM73" s="77"/>
      <c r="CN73" s="77"/>
      <c r="CO73" s="77"/>
      <c r="CP73" s="77"/>
      <c r="CQ73" s="77"/>
      <c r="CR73" s="77"/>
      <c r="CS73" s="77"/>
      <c r="CT73" s="77"/>
      <c r="CU73" s="77"/>
      <c r="CV73" s="77"/>
      <c r="CW73" s="77"/>
      <c r="CX73" s="77"/>
      <c r="CY73" s="77"/>
      <c r="CZ73" s="77"/>
      <c r="DA73" s="77"/>
      <c r="DB73" s="77"/>
      <c r="DC73" s="77"/>
      <c r="DD73" s="77"/>
      <c r="DE73" s="77"/>
      <c r="DF73" s="77"/>
      <c r="DG73" s="77"/>
      <c r="DH73" s="77"/>
      <c r="DI73" s="77"/>
      <c r="DJ73" s="77"/>
      <c r="DK73" s="77"/>
      <c r="DL73" s="77"/>
      <c r="DM73" s="77"/>
      <c r="DN73" s="126"/>
      <c r="DO73" s="77"/>
      <c r="DP73" s="77"/>
      <c r="DQ73" s="77"/>
      <c r="DR73" s="77"/>
      <c r="DS73" s="77"/>
      <c r="DT73" s="78"/>
      <c r="DU73" s="12"/>
    </row>
    <row r="74" spans="1:125" ht="16" customHeight="1" x14ac:dyDescent="0.2">
      <c r="A74" s="68"/>
      <c r="B74" s="68"/>
      <c r="C74" s="68"/>
      <c r="D74" s="68"/>
      <c r="E74" s="68"/>
      <c r="F74" s="68"/>
      <c r="G74" s="68"/>
      <c r="H74" s="68"/>
      <c r="I74" s="68"/>
      <c r="J74" s="68"/>
      <c r="K74" s="68"/>
      <c r="L74" s="68"/>
      <c r="M74" s="68"/>
      <c r="N74" s="68"/>
      <c r="O74" s="68"/>
      <c r="P74" s="68"/>
      <c r="Q74" s="68"/>
      <c r="R74" s="68"/>
      <c r="S74" s="68"/>
      <c r="T74" s="68"/>
      <c r="U74" s="68"/>
      <c r="V74" s="69"/>
      <c r="W74" s="164"/>
      <c r="X74" s="165"/>
      <c r="Y74" s="164"/>
      <c r="Z74" s="166"/>
      <c r="AA74" s="167"/>
      <c r="AB74" s="168"/>
      <c r="AC74" s="169"/>
      <c r="AD74" s="169"/>
      <c r="AE74" s="168"/>
      <c r="AF74" s="170"/>
      <c r="AG74" s="216"/>
      <c r="AH74" s="172"/>
      <c r="AI74" s="217"/>
      <c r="AJ74" s="173"/>
      <c r="AK74" s="174"/>
      <c r="AL74" s="175"/>
      <c r="AM74" s="176"/>
      <c r="AN74" s="173"/>
      <c r="AO74" s="173"/>
      <c r="AP74" s="173"/>
      <c r="AQ74" s="173"/>
      <c r="AR74" s="173"/>
      <c r="AS74" s="173"/>
      <c r="AT74" s="173"/>
      <c r="AU74" s="177"/>
      <c r="AV74" s="178"/>
      <c r="AW74" s="135"/>
      <c r="AX74" s="179"/>
      <c r="AY74" s="180"/>
      <c r="AZ74" s="181"/>
      <c r="BA74" s="8"/>
      <c r="BB74" s="77"/>
      <c r="BC74" s="77"/>
      <c r="BD74" s="77"/>
      <c r="BE74" s="77"/>
      <c r="BF74" s="77"/>
      <c r="BG74" s="77"/>
      <c r="BH74" s="77"/>
      <c r="BI74" s="77"/>
      <c r="BJ74" s="77"/>
      <c r="BK74" s="77"/>
      <c r="BL74" s="77"/>
      <c r="BM74" s="77"/>
      <c r="BN74" s="77"/>
      <c r="BO74" s="77"/>
      <c r="BP74" s="77"/>
      <c r="BQ74" s="77"/>
      <c r="BR74" s="77"/>
      <c r="BS74" s="77"/>
      <c r="BT74" s="77"/>
      <c r="BU74" s="77"/>
      <c r="BV74" s="77"/>
      <c r="BW74" s="77"/>
      <c r="BX74" s="77"/>
      <c r="BY74" s="77"/>
      <c r="BZ74" s="77"/>
      <c r="CA74" s="77"/>
      <c r="CB74" s="77"/>
      <c r="CC74" s="77"/>
      <c r="CD74" s="77"/>
      <c r="CE74" s="77"/>
      <c r="CF74" s="77"/>
      <c r="CG74" s="77"/>
      <c r="CH74" s="77"/>
      <c r="CI74" s="77"/>
      <c r="CJ74" s="77"/>
      <c r="CK74" s="77"/>
      <c r="CL74" s="77"/>
      <c r="CM74" s="77"/>
      <c r="CN74" s="77"/>
      <c r="CO74" s="77"/>
      <c r="CP74" s="77"/>
      <c r="CQ74" s="77"/>
      <c r="CR74" s="77"/>
      <c r="CS74" s="77"/>
      <c r="CT74" s="77"/>
      <c r="CU74" s="77"/>
      <c r="CV74" s="77"/>
      <c r="CW74" s="77"/>
      <c r="CX74" s="77"/>
      <c r="CY74" s="77"/>
      <c r="CZ74" s="77"/>
      <c r="DA74" s="77"/>
      <c r="DB74" s="77"/>
      <c r="DC74" s="77"/>
      <c r="DD74" s="77"/>
      <c r="DE74" s="77"/>
      <c r="DF74" s="77"/>
      <c r="DG74" s="77"/>
      <c r="DH74" s="77"/>
      <c r="DI74" s="77"/>
      <c r="DJ74" s="77"/>
      <c r="DK74" s="77"/>
      <c r="DL74" s="77"/>
      <c r="DM74" s="77"/>
      <c r="DN74" s="126"/>
      <c r="DO74" s="77"/>
      <c r="DP74" s="77"/>
      <c r="DQ74" s="77"/>
      <c r="DR74" s="77"/>
      <c r="DS74" s="77"/>
      <c r="DT74" s="78"/>
      <c r="DU74" s="12"/>
    </row>
    <row r="75" spans="1:125" ht="16" customHeight="1" x14ac:dyDescent="0.2">
      <c r="A75" s="68"/>
      <c r="B75" s="68"/>
      <c r="C75" s="68"/>
      <c r="D75" s="68"/>
      <c r="E75" s="68"/>
      <c r="F75" s="68"/>
      <c r="G75" s="68"/>
      <c r="H75" s="68"/>
      <c r="I75" s="68"/>
      <c r="J75" s="68"/>
      <c r="K75" s="68"/>
      <c r="L75" s="68"/>
      <c r="M75" s="68"/>
      <c r="N75" s="68"/>
      <c r="O75" s="68"/>
      <c r="P75" s="68"/>
      <c r="Q75" s="68"/>
      <c r="R75" s="68"/>
      <c r="S75" s="68"/>
      <c r="T75" s="68"/>
      <c r="U75" s="68"/>
      <c r="V75" s="80"/>
      <c r="W75" s="81"/>
      <c r="X75" s="182" t="str" cm="1">
        <f t="array" ref="X75">X3</f>
        <v>Fecha</v>
      </c>
      <c r="Y75" s="182" t="str" cm="1">
        <f t="array" ref="Y75">Y3</f>
        <v>Hora</v>
      </c>
      <c r="Z75" s="107" t="str" cm="1">
        <f t="array" ref="Z75">Z3</f>
        <v>Jor.</v>
      </c>
      <c r="AA75" s="183" t="str" cm="1">
        <f t="array" ref="AA75">AA3</f>
        <v>Casa</v>
      </c>
      <c r="AB75" s="85"/>
      <c r="AC75" s="107" t="str" cm="1">
        <f t="array" ref="AC75">AC3</f>
        <v>Gol</v>
      </c>
      <c r="AD75" s="107" t="str" cm="1">
        <f t="array" ref="AD75">AD3</f>
        <v>Gol</v>
      </c>
      <c r="AE75" s="85"/>
      <c r="AF75" s="184" t="str" cm="1">
        <f t="array" ref="AF75">AF3</f>
        <v>Fuera</v>
      </c>
      <c r="AG75" s="185"/>
      <c r="AH75" s="172"/>
      <c r="AI75" s="73"/>
      <c r="AJ75" s="90"/>
      <c r="AK75" s="186"/>
      <c r="AL75" s="90"/>
      <c r="AM75" s="90"/>
      <c r="AN75" s="90"/>
      <c r="AO75" s="90"/>
      <c r="AP75" s="90"/>
      <c r="AQ75" s="90"/>
      <c r="AR75" s="90"/>
      <c r="AS75" s="90"/>
      <c r="AT75" s="90"/>
      <c r="AU75" s="187"/>
      <c r="AV75" s="74"/>
      <c r="AW75" s="188"/>
      <c r="AX75" s="189"/>
      <c r="AY75" s="190"/>
      <c r="AZ75" s="191"/>
      <c r="BA75" s="8"/>
      <c r="BB75" s="77"/>
      <c r="BC75" s="77"/>
      <c r="BD75" s="77"/>
      <c r="BE75" s="77"/>
      <c r="BF75" s="77"/>
      <c r="BG75" s="77"/>
      <c r="BH75" s="77"/>
      <c r="BI75" s="77"/>
      <c r="BJ75" s="77"/>
      <c r="BK75" s="77"/>
      <c r="BL75" s="77"/>
      <c r="BM75" s="77"/>
      <c r="BN75" s="77"/>
      <c r="BO75" s="77"/>
      <c r="BP75" s="77"/>
      <c r="BQ75" s="77"/>
      <c r="BR75" s="77"/>
      <c r="BS75" s="77"/>
      <c r="BT75" s="77"/>
      <c r="BU75" s="77"/>
      <c r="BV75" s="77"/>
      <c r="BW75" s="77"/>
      <c r="BX75" s="77"/>
      <c r="BY75" s="77"/>
      <c r="BZ75" s="77"/>
      <c r="CA75" s="77"/>
      <c r="CB75" s="77"/>
      <c r="CC75" s="77"/>
      <c r="CD75" s="77"/>
      <c r="CE75" s="77"/>
      <c r="CF75" s="77"/>
      <c r="CG75" s="77"/>
      <c r="CH75" s="77"/>
      <c r="CI75" s="77"/>
      <c r="CJ75" s="77"/>
      <c r="CK75" s="77"/>
      <c r="CL75" s="77"/>
      <c r="CM75" s="77"/>
      <c r="CN75" s="77"/>
      <c r="CO75" s="77"/>
      <c r="CP75" s="77"/>
      <c r="CQ75" s="77"/>
      <c r="CR75" s="77"/>
      <c r="CS75" s="77"/>
      <c r="CT75" s="77"/>
      <c r="CU75" s="77"/>
      <c r="CV75" s="77"/>
      <c r="CW75" s="77"/>
      <c r="CX75" s="77"/>
      <c r="CY75" s="77"/>
      <c r="CZ75" s="77"/>
      <c r="DA75" s="77"/>
      <c r="DB75" s="77"/>
      <c r="DC75" s="77"/>
      <c r="DD75" s="77"/>
      <c r="DE75" s="77"/>
      <c r="DF75" s="77"/>
      <c r="DG75" s="77"/>
      <c r="DH75" s="77"/>
      <c r="DI75" s="77"/>
      <c r="DJ75" s="77"/>
      <c r="DK75" s="77"/>
      <c r="DL75" s="77"/>
      <c r="DM75" s="77"/>
      <c r="DN75" s="126"/>
      <c r="DO75" s="77"/>
      <c r="DP75" s="77"/>
      <c r="DQ75" s="77"/>
      <c r="DR75" s="77"/>
      <c r="DS75" s="77"/>
      <c r="DT75" s="78"/>
      <c r="DU75" s="12"/>
    </row>
    <row r="76" spans="1:125" ht="16" customHeight="1" x14ac:dyDescent="0.2">
      <c r="A76" s="79" t="s">
        <v>45</v>
      </c>
      <c r="B76" s="79" t="s">
        <v>53</v>
      </c>
      <c r="C76" s="95">
        <v>4</v>
      </c>
      <c r="D76" s="68" t="str" cm="1">
        <f t="array" ref="D76">IF(OR(AC76="",AD76=""),"Pendiente",IF(AC76&gt;AD76,"Local",IF(AC76&lt;AD76,"Visitante","Empate")))</f>
        <v>Local</v>
      </c>
      <c r="E76" s="68" t="str" cm="1">
        <f t="array" ref="E76">IF(D76="Pendiente","-",INDEX($BT$6:$BT$53,MATCH($AA76,$BD$6:$BD$53,0)))</f>
        <v>P.1 (4)</v>
      </c>
      <c r="F76" s="68" t="str" cm="1">
        <f t="array" ref="F76">IF(D76="Pendiente","-",INDEX($BT$6:$BT$53,MATCH($AF76,$BD$6:$BD$53,0)))</f>
        <v>P.1 (4)</v>
      </c>
      <c r="G76" s="68"/>
      <c r="H76" s="68" t="str" cm="1">
        <f t="array" ref="H76">IF(D76="Pendiente","-",INDEX($BZ$6:$BZ$53,MATCH($AA76,$BD$6:$BD$53,0)))</f>
        <v>P.1 (4)</v>
      </c>
      <c r="I76" s="68" t="str" cm="1">
        <f t="array" ref="I76">IF(D76="Pendiente","-",INDEX($BZ$6:$BZ$53,MATCH($AF76,$BD$6:$BD$53,0)))</f>
        <v>P.1 (4)</v>
      </c>
      <c r="J76" s="68"/>
      <c r="K76" s="68" t="str" cm="1">
        <f t="array" ref="K76">IF(D76="Pendiente","-",INDEX($CE$6:$CE$53,MATCH($AA76,$BD$6:$BD$53,0)))</f>
        <v>P.1 (4)</v>
      </c>
      <c r="L76" s="68" t="str" cm="1">
        <f t="array" ref="L76">IF(D76="Pendiente","-",INDEX($CE$6:$CE$53,MATCH($AF76,$BD$6:$BD$53,0)))</f>
        <v>P.1 (4)</v>
      </c>
      <c r="M76" s="68"/>
      <c r="N76" s="68" t="str" cm="1">
        <f t="array" ref="N76">IF(D76="Pendiente","-",INDEX($CH$6:$CH$53,MATCH($AA76,$BD$6:$BD$53,0)))</f>
        <v>P.1 (4)</v>
      </c>
      <c r="O76" s="68" t="str" cm="1">
        <f t="array" ref="O76">IF(D76="Pendiente","-",INDEX($CH$6:$CH$53,MATCH($AF76,$BD$6:$BD$53,0)))</f>
        <v>P.1 (4)</v>
      </c>
      <c r="P76" s="68"/>
      <c r="Q76" s="68" t="str" cm="1">
        <f t="array" ref="Q76">IF(D76="Pendiente","-",INDEX($CN$6:$CN$53,MATCH($AA76,$BD$6:$BD$53,0)))</f>
        <v>P.1 (4)</v>
      </c>
      <c r="R76" s="68" t="str" cm="1">
        <f t="array" ref="R76">IF(D76="Pendiente","-",INDEX($CN$6:$CN$53,MATCH($AF76,$BD$6:$BD$53,0)))</f>
        <v>P.1 (4)</v>
      </c>
      <c r="S76" s="68"/>
      <c r="T76" s="68" t="str" cm="1">
        <f t="array" ref="T76">IF(D76="Pendiente","-",INDEX($CS$6:$CS$53,MATCH($AA76,$BD$6:$BD$53,0)))</f>
        <v>P.1 (4)</v>
      </c>
      <c r="U76" s="68" t="str" cm="1">
        <f t="array" ref="U76">IF(D76="Pendiente","-",INDEX($CS$6:$CS$53,MATCH($AF76,$BD$6:$BD$53,0)))</f>
        <v>P.1 (4)</v>
      </c>
      <c r="V76" s="80"/>
      <c r="W76" s="760" t="s">
        <v>53</v>
      </c>
      <c r="X76" s="96">
        <v>46189.875</v>
      </c>
      <c r="Y76" s="97">
        <v>46189.875</v>
      </c>
      <c r="Z76" s="113" t="str" cm="1">
        <f t="array" ref="Z76">$Z$4</f>
        <v>J1</v>
      </c>
      <c r="AA76" s="99" t="str" cm="1">
        <f t="array" ref="AA76">A77</f>
        <v>Argentina</v>
      </c>
      <c r="AB76" s="100"/>
      <c r="AC76" s="101">
        <v>5</v>
      </c>
      <c r="AD76" s="101">
        <v>1</v>
      </c>
      <c r="AE76" s="102"/>
      <c r="AF76" s="103" t="str" cm="1">
        <f t="array" ref="AF76">A78</f>
        <v>Argelia</v>
      </c>
      <c r="AG76" s="104" cm="1">
        <f t="array" ref="AG76">IF(NOT(OR(ISBLANK(AC76),ISBLANK(AD76))),1,0)</f>
        <v>1</v>
      </c>
      <c r="AH76" s="105">
        <v>19</v>
      </c>
      <c r="AI76" s="106"/>
      <c r="AJ76" s="784" t="str" cm="1">
        <f t="array" ref="AJ76">CONCATENATE(AJ3," ",B76)</f>
        <v>Grupo J</v>
      </c>
      <c r="AK76" s="785"/>
      <c r="AL76" s="785"/>
      <c r="AM76" s="785"/>
      <c r="AN76" s="785"/>
      <c r="AO76" s="785"/>
      <c r="AP76" s="785"/>
      <c r="AQ76" s="785"/>
      <c r="AR76" s="785"/>
      <c r="AS76" s="785"/>
      <c r="AT76" s="786"/>
      <c r="AU76" s="192"/>
      <c r="AV76" s="109" t="str" cm="1">
        <f t="array" ref="AV76">IF(AU77&gt;0,$AV$3,"")</f>
        <v>¡EMPATE! Puedes seleccionar el orden de los empatados.</v>
      </c>
      <c r="AW76" s="200"/>
      <c r="AX76" s="200"/>
      <c r="AY76" s="194"/>
      <c r="AZ76" s="195"/>
      <c r="BA76" s="8"/>
      <c r="BB76" s="77"/>
      <c r="BC76" s="77"/>
      <c r="BD76" s="77"/>
      <c r="BE76" s="77"/>
      <c r="BF76" s="77"/>
      <c r="BG76" s="77"/>
      <c r="BH76" s="77"/>
      <c r="BI76" s="77"/>
      <c r="BJ76" s="77"/>
      <c r="BK76" s="77"/>
      <c r="BL76" s="77"/>
      <c r="BM76" s="77"/>
      <c r="BN76" s="77"/>
      <c r="BO76" s="77"/>
      <c r="BP76" s="77"/>
      <c r="BQ76" s="77"/>
      <c r="BR76" s="77"/>
      <c r="BS76" s="77"/>
      <c r="BT76" s="77"/>
      <c r="BU76" s="77"/>
      <c r="BV76" s="77"/>
      <c r="BW76" s="77"/>
      <c r="BX76" s="77"/>
      <c r="BY76" s="77"/>
      <c r="BZ76" s="77"/>
      <c r="CA76" s="77"/>
      <c r="CB76" s="77"/>
      <c r="CC76" s="77"/>
      <c r="CD76" s="77"/>
      <c r="CE76" s="77"/>
      <c r="CF76" s="77"/>
      <c r="CG76" s="77"/>
      <c r="CH76" s="77"/>
      <c r="CI76" s="77"/>
      <c r="CJ76" s="77"/>
      <c r="CK76" s="77"/>
      <c r="CL76" s="77"/>
      <c r="CM76" s="77"/>
      <c r="CN76" s="77"/>
      <c r="CO76" s="77"/>
      <c r="CP76" s="77"/>
      <c r="CQ76" s="77"/>
      <c r="CR76" s="77"/>
      <c r="CS76" s="77"/>
      <c r="CT76" s="77"/>
      <c r="CU76" s="77"/>
      <c r="CV76" s="77"/>
      <c r="CW76" s="77"/>
      <c r="CX76" s="77"/>
      <c r="CY76" s="77"/>
      <c r="CZ76" s="77"/>
      <c r="DA76" s="77"/>
      <c r="DB76" s="77"/>
      <c r="DC76" s="77"/>
      <c r="DD76" s="77"/>
      <c r="DE76" s="77"/>
      <c r="DF76" s="77"/>
      <c r="DG76" s="77"/>
      <c r="DH76" s="77"/>
      <c r="DI76" s="77"/>
      <c r="DJ76" s="77"/>
      <c r="DK76" s="77"/>
      <c r="DL76" s="77"/>
      <c r="DM76" s="77"/>
      <c r="DN76" s="126"/>
      <c r="DO76" s="77"/>
      <c r="DP76" s="77"/>
      <c r="DQ76" s="77"/>
      <c r="DR76" s="77"/>
      <c r="DS76" s="77"/>
      <c r="DT76" s="78"/>
      <c r="DU76" s="12"/>
    </row>
    <row r="77" spans="1:125" ht="16" customHeight="1" x14ac:dyDescent="0.2">
      <c r="A77" s="79" t="s">
        <v>191</v>
      </c>
      <c r="B77" s="68"/>
      <c r="C77" s="68"/>
      <c r="D77" s="68" t="str" cm="1">
        <f t="array" ref="D77">IF(OR(AC77="",AD77=""),"Pendiente",IF(AC77&gt;AD77,"Local",IF(AC77&lt;AD77,"Visitante","Empate")))</f>
        <v>Local</v>
      </c>
      <c r="E77" s="68" t="str" cm="1">
        <f t="array" ref="E77">IF(D77="Pendiente","-",INDEX($BT$6:$BT$53,MATCH($AA77,$BD$6:$BD$53,0)))</f>
        <v>P.1 (4)</v>
      </c>
      <c r="F77" s="68" t="str" cm="1">
        <f t="array" ref="F77">IF(D77="Pendiente","-",INDEX($BT$6:$BT$53,MATCH($AF77,$BD$6:$BD$53,0)))</f>
        <v>P.1 (4)</v>
      </c>
      <c r="G77" s="68"/>
      <c r="H77" s="68" t="str" cm="1">
        <f t="array" ref="H77">IF(D77="Pendiente","-",INDEX($BZ$6:$BZ$53,MATCH($AA77,$BD$6:$BD$53,0)))</f>
        <v>P.1 (4)</v>
      </c>
      <c r="I77" s="68" t="str" cm="1">
        <f t="array" ref="I77">IF(D77="Pendiente","-",INDEX($BZ$6:$BZ$53,MATCH($AF77,$BD$6:$BD$53,0)))</f>
        <v>P.1 (4)</v>
      </c>
      <c r="J77" s="68"/>
      <c r="K77" s="68" t="str" cm="1">
        <f t="array" ref="K77">IF(D77="Pendiente","-",INDEX($CE$6:$CE$53,MATCH($AA77,$BD$6:$BD$53,0)))</f>
        <v>P.1 (4)</v>
      </c>
      <c r="L77" s="68" t="str" cm="1">
        <f t="array" ref="L77">IF(D77="Pendiente","-",INDEX($CE$6:$CE$53,MATCH($AF77,$BD$6:$BD$53,0)))</f>
        <v>P.1 (4)</v>
      </c>
      <c r="M77" s="68"/>
      <c r="N77" s="68" t="str" cm="1">
        <f t="array" ref="N77">IF(D77="Pendiente","-",INDEX($CH$6:$CH$53,MATCH($AA77,$BD$6:$BD$53,0)))</f>
        <v>P.1 (4)</v>
      </c>
      <c r="O77" s="68" t="str" cm="1">
        <f t="array" ref="O77">IF(D77="Pendiente","-",INDEX($CH$6:$CH$53,MATCH($AF77,$BD$6:$BD$53,0)))</f>
        <v>P.1 (4)</v>
      </c>
      <c r="P77" s="68"/>
      <c r="Q77" s="68" t="str" cm="1">
        <f t="array" ref="Q77">IF(D77="Pendiente","-",INDEX($CN$6:$CN$53,MATCH($AA77,$BD$6:$BD$53,0)))</f>
        <v>P.1 (4)</v>
      </c>
      <c r="R77" s="68" t="str" cm="1">
        <f t="array" ref="R77">IF(D77="Pendiente","-",INDEX($CN$6:$CN$53,MATCH($AF77,$BD$6:$BD$53,0)))</f>
        <v>P.1 (4)</v>
      </c>
      <c r="S77" s="68"/>
      <c r="T77" s="68" t="str" cm="1">
        <f t="array" ref="T77">IF(D77="Pendiente","-",INDEX($CS$6:$CS$53,MATCH($AA77,$BD$6:$BD$53,0)))</f>
        <v>P.1 (4)</v>
      </c>
      <c r="U77" s="68" t="str" cm="1">
        <f t="array" ref="U77">IF(D77="Pendiente","-",INDEX($CS$6:$CS$53,MATCH($AF77,$BD$6:$BD$53,0)))</f>
        <v>P.1 (4)</v>
      </c>
      <c r="V77" s="80"/>
      <c r="W77" s="761"/>
      <c r="X77" s="96">
        <v>46190</v>
      </c>
      <c r="Y77" s="97">
        <v>46190</v>
      </c>
      <c r="Z77" s="113" t="str" cm="1">
        <f t="array" ref="Z77">$Z$4</f>
        <v>J1</v>
      </c>
      <c r="AA77" s="99" t="str" cm="1">
        <f t="array" ref="AA77">A79</f>
        <v>Austria</v>
      </c>
      <c r="AB77" s="100"/>
      <c r="AC77" s="114">
        <v>2</v>
      </c>
      <c r="AD77" s="114">
        <v>0</v>
      </c>
      <c r="AE77" s="102"/>
      <c r="AF77" s="103" t="str" cm="1">
        <f t="array" ref="AF77">A80</f>
        <v>Jordania</v>
      </c>
      <c r="AG77" s="104" cm="1">
        <f t="array" ref="AG77">IF(NOT(OR(ISBLANK(AC77),ISBLANK(AD77))),1,0)</f>
        <v>1</v>
      </c>
      <c r="AH77" s="105">
        <v>20</v>
      </c>
      <c r="AI77" s="106"/>
      <c r="AJ77" s="196" t="str" cm="1">
        <f t="array" ref="AJ77">AJ5</f>
        <v>Pos</v>
      </c>
      <c r="AK77" s="116"/>
      <c r="AL77" s="197" t="str" cm="1">
        <f t="array" ref="AL77">AL5</f>
        <v>Selección</v>
      </c>
      <c r="AM77" s="116" t="str" cm="1">
        <f t="array" ref="AM77">AM5</f>
        <v>Pts</v>
      </c>
      <c r="AN77" s="116" t="str" cm="1">
        <f t="array" ref="AN77">AN5</f>
        <v>J</v>
      </c>
      <c r="AO77" s="116" t="str" cm="1">
        <f t="array" ref="AO77">AO5</f>
        <v>G</v>
      </c>
      <c r="AP77" s="116" t="str" cm="1">
        <f t="array" ref="AP77">AP5</f>
        <v>E</v>
      </c>
      <c r="AQ77" s="116" t="str" cm="1">
        <f t="array" ref="AQ77">AQ5</f>
        <v>P</v>
      </c>
      <c r="AR77" s="116" t="str" cm="1">
        <f t="array" ref="AR77">AR5</f>
        <v>GF</v>
      </c>
      <c r="AS77" s="116" t="str" cm="1">
        <f t="array" ref="AS77">AS5</f>
        <v>GC</v>
      </c>
      <c r="AT77" s="198" t="str" cm="1">
        <f t="array" ref="AT77">AT5</f>
        <v>DG</v>
      </c>
      <c r="AU77" s="199" cm="1">
        <f t="array" ref="AU77">COUNTIF(AU78:AU81,"&gt;1")</f>
        <v>4</v>
      </c>
      <c r="AV77" s="121"/>
      <c r="AW77" s="200"/>
      <c r="AX77" s="201"/>
      <c r="AY77" s="123" t="str" cm="1">
        <f t="array" ref="AY77">AL77</f>
        <v>Selección</v>
      </c>
      <c r="AZ77" s="124" t="s">
        <v>60</v>
      </c>
      <c r="BA77" s="125"/>
      <c r="BB77" s="77"/>
      <c r="BC77" s="77"/>
      <c r="BD77" s="77"/>
      <c r="BE77" s="77"/>
      <c r="BF77" s="77"/>
      <c r="BG77" s="77"/>
      <c r="BH77" s="77"/>
      <c r="BI77" s="77"/>
      <c r="BJ77" s="77"/>
      <c r="BK77" s="77"/>
      <c r="BL77" s="77"/>
      <c r="BM77" s="77"/>
      <c r="BN77" s="77"/>
      <c r="BO77" s="77"/>
      <c r="BP77" s="77"/>
      <c r="BQ77" s="77"/>
      <c r="BR77" s="77"/>
      <c r="BS77" s="77"/>
      <c r="BT77" s="77"/>
      <c r="BU77" s="77"/>
      <c r="BV77" s="77"/>
      <c r="BW77" s="77"/>
      <c r="BX77" s="77"/>
      <c r="BY77" s="77"/>
      <c r="BZ77" s="77"/>
      <c r="CA77" s="77"/>
      <c r="CB77" s="77"/>
      <c r="CC77" s="77"/>
      <c r="CD77" s="77"/>
      <c r="CE77" s="77"/>
      <c r="CF77" s="77"/>
      <c r="CG77" s="77"/>
      <c r="CH77" s="77"/>
      <c r="CI77" s="77"/>
      <c r="CJ77" s="77"/>
      <c r="CK77" s="77"/>
      <c r="CL77" s="77"/>
      <c r="CM77" s="77"/>
      <c r="CN77" s="77"/>
      <c r="CO77" s="77"/>
      <c r="CP77" s="77"/>
      <c r="CQ77" s="77"/>
      <c r="CR77" s="77"/>
      <c r="CS77" s="77"/>
      <c r="CT77" s="77"/>
      <c r="CU77" s="77"/>
      <c r="CV77" s="77"/>
      <c r="CW77" s="77"/>
      <c r="CX77" s="77"/>
      <c r="CY77" s="77"/>
      <c r="CZ77" s="77"/>
      <c r="DA77" s="77"/>
      <c r="DB77" s="77"/>
      <c r="DC77" s="77"/>
      <c r="DD77" s="77"/>
      <c r="DE77" s="77"/>
      <c r="DF77" s="77"/>
      <c r="DG77" s="77"/>
      <c r="DH77" s="77"/>
      <c r="DI77" s="77"/>
      <c r="DJ77" s="77"/>
      <c r="DK77" s="77"/>
      <c r="DL77" s="77"/>
      <c r="DM77" s="77"/>
      <c r="DN77" s="126"/>
      <c r="DO77" s="77"/>
      <c r="DP77" s="77"/>
      <c r="DQ77" s="77"/>
      <c r="DR77" s="77"/>
      <c r="DS77" s="77"/>
      <c r="DT77" s="78"/>
      <c r="DU77" s="12"/>
    </row>
    <row r="78" spans="1:125" ht="16" customHeight="1" x14ac:dyDescent="0.2">
      <c r="A78" s="79" t="s">
        <v>193</v>
      </c>
      <c r="B78" s="68"/>
      <c r="C78" s="68"/>
      <c r="D78" s="68" t="str" cm="1">
        <f t="array" ref="D78">IF(OR(AC78="",AD78=""),"Pendiente",IF(AC78&gt;AD78,"Local",IF(AC78&lt;AD78,"Visitante","Empate")))</f>
        <v>Local</v>
      </c>
      <c r="E78" s="68" t="str" cm="1">
        <f t="array" ref="E78">IF(D78="Pendiente","-",INDEX($BT$6:$BT$53,MATCH($AA78,$BD$6:$BD$53,0)))</f>
        <v>P.1 (4)</v>
      </c>
      <c r="F78" s="68" t="str" cm="1">
        <f t="array" ref="F78">IF(D78="Pendiente","-",INDEX($BT$6:$BT$53,MATCH($AF78,$BD$6:$BD$53,0)))</f>
        <v>P.1 (4)</v>
      </c>
      <c r="G78" s="68"/>
      <c r="H78" s="68" t="str" cm="1">
        <f t="array" ref="H78">IF(D78="Pendiente","-",INDEX($BZ$6:$BZ$53,MATCH($AA78,$BD$6:$BD$53,0)))</f>
        <v>P.1 (4)</v>
      </c>
      <c r="I78" s="68" t="str" cm="1">
        <f t="array" ref="I78">IF(D78="Pendiente","-",INDEX($BZ$6:$BZ$53,MATCH($AF78,$BD$6:$BD$53,0)))</f>
        <v>P.1 (4)</v>
      </c>
      <c r="J78" s="68"/>
      <c r="K78" s="68" t="str" cm="1">
        <f t="array" ref="K78">IF(D78="Pendiente","-",INDEX($CE$6:$CE$53,MATCH($AA78,$BD$6:$BD$53,0)))</f>
        <v>P.1 (4)</v>
      </c>
      <c r="L78" s="68" t="str" cm="1">
        <f t="array" ref="L78">IF(D78="Pendiente","-",INDEX($CE$6:$CE$53,MATCH($AF78,$BD$6:$BD$53,0)))</f>
        <v>P.1 (4)</v>
      </c>
      <c r="M78" s="68"/>
      <c r="N78" s="68" t="str" cm="1">
        <f t="array" ref="N78">IF(D78="Pendiente","-",INDEX($CH$6:$CH$53,MATCH($AA78,$BD$6:$BD$53,0)))</f>
        <v>P.1 (4)</v>
      </c>
      <c r="O78" s="68" t="str" cm="1">
        <f t="array" ref="O78">IF(D78="Pendiente","-",INDEX($CH$6:$CH$53,MATCH($AF78,$BD$6:$BD$53,0)))</f>
        <v>P.1 (4)</v>
      </c>
      <c r="P78" s="68"/>
      <c r="Q78" s="68" t="str" cm="1">
        <f t="array" ref="Q78">IF(D78="Pendiente","-",INDEX($CN$6:$CN$53,MATCH($AA78,$BD$6:$BD$53,0)))</f>
        <v>P.1 (4)</v>
      </c>
      <c r="R78" s="68" t="str" cm="1">
        <f t="array" ref="R78">IF(D78="Pendiente","-",INDEX($CN$6:$CN$53,MATCH($AF78,$BD$6:$BD$53,0)))</f>
        <v>P.1 (4)</v>
      </c>
      <c r="S78" s="68"/>
      <c r="T78" s="68" t="str" cm="1">
        <f t="array" ref="T78">IF(D78="Pendiente","-",INDEX($CS$6:$CS$53,MATCH($AA78,$BD$6:$BD$53,0)))</f>
        <v>P.1 (4)</v>
      </c>
      <c r="U78" s="68" t="str" cm="1">
        <f t="array" ref="U78">IF(D78="Pendiente","-",INDEX($CS$6:$CS$53,MATCH($AF78,$BD$6:$BD$53,0)))</f>
        <v>P.1 (4)</v>
      </c>
      <c r="V78" s="80"/>
      <c r="W78" s="762"/>
      <c r="X78" s="96">
        <v>46195.541666666657</v>
      </c>
      <c r="Y78" s="97">
        <v>46195.541666666657</v>
      </c>
      <c r="Z78" s="113" t="str" cm="1">
        <f t="array" ref="Z78">$Z$6</f>
        <v>J2</v>
      </c>
      <c r="AA78" s="99" t="str" cm="1">
        <f t="array" ref="AA78">A77</f>
        <v>Argentina</v>
      </c>
      <c r="AB78" s="100"/>
      <c r="AC78" s="114">
        <v>3</v>
      </c>
      <c r="AD78" s="114">
        <v>1</v>
      </c>
      <c r="AE78" s="102"/>
      <c r="AF78" s="103" t="str" cm="1">
        <f t="array" ref="AF78">A79</f>
        <v>Austria</v>
      </c>
      <c r="AG78" s="104" cm="1">
        <f t="array" ref="AG78">IF(NOT(OR(ISBLANK(AC78),ISBLANK(AD78))),1,0)</f>
        <v>1</v>
      </c>
      <c r="AH78" s="105">
        <v>43</v>
      </c>
      <c r="AI78" s="106" t="str" cm="1">
        <f t="array" ref="AI78">AJ78&amp;$B$76</f>
        <v>1J</v>
      </c>
      <c r="AJ78" s="127">
        <v>1</v>
      </c>
      <c r="AK78" s="204"/>
      <c r="AL78" s="129" t="str" cm="1">
        <f t="array" ref="AL78">IFERROR(INDEX($BD$6:$BD$53,MATCH(AI78,$BN$6:$BN$53,0)),"")</f>
        <v>Argentina</v>
      </c>
      <c r="AM78" s="130" cm="1">
        <f t="array" ref="AM78">INDEX($BE$6:$BN$53,MATCH($AL78,$BD$6:$BD$53,0),MATCH(AM$5,$BE$5:$BN$5,0))</f>
        <v>9</v>
      </c>
      <c r="AN78" s="131" cm="1">
        <f t="array" ref="AN78">INDEX($BE$6:$BN$53,MATCH($AL78,$BD$6:$BD$53,0),MATCH(AN$5,$BE$5:$BN$5,0))</f>
        <v>3</v>
      </c>
      <c r="AO78" s="131" cm="1">
        <f t="array" ref="AO78">INDEX($BE$6:$BN$53,MATCH($AL78,$BD$6:$BD$53,0),MATCH(AO$5,$BE$5:$BN$5,0))</f>
        <v>3</v>
      </c>
      <c r="AP78" s="131" cm="1">
        <f t="array" ref="AP78">INDEX($BE$6:$BN$53,MATCH($AL78,$BD$6:$BD$53,0),MATCH(AP$5,$BE$5:$BN$5,0))</f>
        <v>0</v>
      </c>
      <c r="AQ78" s="131" cm="1">
        <f t="array" ref="AQ78">INDEX($BE$6:$BN$53,MATCH($AL78,$BD$6:$BD$53,0),MATCH(AQ$5,$BE$5:$BN$5,0))</f>
        <v>0</v>
      </c>
      <c r="AR78" s="131" cm="1">
        <f t="array" ref="AR78">INDEX($BE$6:$BN$53,MATCH($AL78,$BD$6:$BD$53,0),MATCH(AR$5,$BE$5:$BN$5,0))</f>
        <v>11</v>
      </c>
      <c r="AS78" s="131" cm="1">
        <f t="array" ref="AS78">INDEX($BE$6:$BN$53,MATCH($AL78,$BD$6:$BD$53,0),MATCH(AS$5,$BE$5:$BN$5,0))</f>
        <v>2</v>
      </c>
      <c r="AT78" s="132" cm="1">
        <f t="array" ref="AT78">INDEX($BE$6:$BN$53,MATCH($AL78,$BD$6:$BD$53,0),MATCH(AT$5,$BE$5:$BN$5,0))</f>
        <v>9</v>
      </c>
      <c r="AU78" s="133" cm="1">
        <f t="array" ref="AU78">INDEX($DL$6:$DL$53,MATCH(AI78,$DP$6:$DP$53,0))</f>
        <v>4</v>
      </c>
      <c r="AV78" s="134" t="str" cm="1">
        <f t="array" ref="AV78">INDEX($BD$6:$BD$53,MATCH(AI78,$BM$6:$BM$53,0))</f>
        <v>Argentina</v>
      </c>
      <c r="AW78" s="135"/>
      <c r="AX78" s="136"/>
      <c r="AY78" s="137" t="str" cm="1">
        <f t="array" ref="AY78">A77</f>
        <v>Argentina</v>
      </c>
      <c r="AZ78" s="138"/>
      <c r="BA78" s="125"/>
      <c r="BB78" s="77"/>
      <c r="BC78" s="77"/>
      <c r="BD78" s="77"/>
      <c r="BE78" s="77"/>
      <c r="BF78" s="77"/>
      <c r="BG78" s="77"/>
      <c r="BH78" s="77"/>
      <c r="BI78" s="77"/>
      <c r="BJ78" s="77"/>
      <c r="BK78" s="77"/>
      <c r="BL78" s="77"/>
      <c r="BM78" s="77"/>
      <c r="BN78" s="77"/>
      <c r="BO78" s="77"/>
      <c r="BP78" s="77"/>
      <c r="BQ78" s="77"/>
      <c r="BR78" s="77"/>
      <c r="BS78" s="77"/>
      <c r="BT78" s="77"/>
      <c r="BU78" s="77"/>
      <c r="BV78" s="77"/>
      <c r="BW78" s="77"/>
      <c r="BX78" s="77"/>
      <c r="BY78" s="77"/>
      <c r="BZ78" s="77"/>
      <c r="CA78" s="77"/>
      <c r="CB78" s="77"/>
      <c r="CC78" s="77"/>
      <c r="CD78" s="77"/>
      <c r="CE78" s="77"/>
      <c r="CF78" s="77"/>
      <c r="CG78" s="77"/>
      <c r="CH78" s="77"/>
      <c r="CI78" s="77"/>
      <c r="CJ78" s="77"/>
      <c r="CK78" s="77"/>
      <c r="CL78" s="77"/>
      <c r="CM78" s="77"/>
      <c r="CN78" s="77"/>
      <c r="CO78" s="77"/>
      <c r="CP78" s="77"/>
      <c r="CQ78" s="77"/>
      <c r="CR78" s="77"/>
      <c r="CS78" s="77"/>
      <c r="CT78" s="77"/>
      <c r="CU78" s="77"/>
      <c r="CV78" s="77"/>
      <c r="CW78" s="77"/>
      <c r="CX78" s="77"/>
      <c r="CY78" s="77"/>
      <c r="CZ78" s="77"/>
      <c r="DA78" s="77"/>
      <c r="DB78" s="77"/>
      <c r="DC78" s="77"/>
      <c r="DD78" s="77"/>
      <c r="DE78" s="77"/>
      <c r="DF78" s="77"/>
      <c r="DG78" s="77"/>
      <c r="DH78" s="77"/>
      <c r="DI78" s="77"/>
      <c r="DJ78" s="77"/>
      <c r="DK78" s="77"/>
      <c r="DL78" s="77"/>
      <c r="DM78" s="77"/>
      <c r="DN78" s="126"/>
      <c r="DO78" s="77"/>
      <c r="DP78" s="77"/>
      <c r="DQ78" s="77"/>
      <c r="DR78" s="77"/>
      <c r="DS78" s="77"/>
      <c r="DT78" s="78"/>
      <c r="DU78" s="12"/>
    </row>
    <row r="79" spans="1:125" ht="16" customHeight="1" x14ac:dyDescent="0.2">
      <c r="A79" s="79" t="s">
        <v>195</v>
      </c>
      <c r="B79" s="68"/>
      <c r="C79" s="68"/>
      <c r="D79" s="68" t="str" cm="1">
        <f t="array" ref="D79">IF(OR(AC79="",AD79=""),"Pendiente",IF(AC79&gt;AD79,"Local",IF(AC79&lt;AD79,"Visitante","Empate")))</f>
        <v>Visitante</v>
      </c>
      <c r="E79" s="68" t="str" cm="1">
        <f t="array" ref="E79">IF(D79="Pendiente","-",INDEX($BT$6:$BT$53,MATCH($AA79,$BD$6:$BD$53,0)))</f>
        <v>P.1 (4)</v>
      </c>
      <c r="F79" s="68" t="str" cm="1">
        <f t="array" ref="F79">IF(D79="Pendiente","-",INDEX($BT$6:$BT$53,MATCH($AF79,$BD$6:$BD$53,0)))</f>
        <v>P.1 (4)</v>
      </c>
      <c r="G79" s="68"/>
      <c r="H79" s="68" t="str" cm="1">
        <f t="array" ref="H79">IF(D79="Pendiente","-",INDEX($BZ$6:$BZ$53,MATCH($AA79,$BD$6:$BD$53,0)))</f>
        <v>P.1 (4)</v>
      </c>
      <c r="I79" s="68" t="str" cm="1">
        <f t="array" ref="I79">IF(D79="Pendiente","-",INDEX($BZ$6:$BZ$53,MATCH($AF79,$BD$6:$BD$53,0)))</f>
        <v>P.1 (4)</v>
      </c>
      <c r="J79" s="68"/>
      <c r="K79" s="68" t="str" cm="1">
        <f t="array" ref="K79">IF(D79="Pendiente","-",INDEX($CE$6:$CE$53,MATCH($AA79,$BD$6:$BD$53,0)))</f>
        <v>P.1 (4)</v>
      </c>
      <c r="L79" s="68" t="str" cm="1">
        <f t="array" ref="L79">IF(D79="Pendiente","-",INDEX($CE$6:$CE$53,MATCH($AF79,$BD$6:$BD$53,0)))</f>
        <v>P.1 (4)</v>
      </c>
      <c r="M79" s="68"/>
      <c r="N79" s="68" t="str" cm="1">
        <f t="array" ref="N79">IF(D79="Pendiente","-",INDEX($CH$6:$CH$53,MATCH($AA79,$BD$6:$BD$53,0)))</f>
        <v>P.1 (4)</v>
      </c>
      <c r="O79" s="68" t="str" cm="1">
        <f t="array" ref="O79">IF(D79="Pendiente","-",INDEX($CH$6:$CH$53,MATCH($AF79,$BD$6:$BD$53,0)))</f>
        <v>P.1 (4)</v>
      </c>
      <c r="P79" s="68"/>
      <c r="Q79" s="68" t="str" cm="1">
        <f t="array" ref="Q79">IF(D79="Pendiente","-",INDEX($CN$6:$CN$53,MATCH($AA79,$BD$6:$BD$53,0)))</f>
        <v>P.1 (4)</v>
      </c>
      <c r="R79" s="68" t="str" cm="1">
        <f t="array" ref="R79">IF(D79="Pendiente","-",INDEX($CN$6:$CN$53,MATCH($AF79,$BD$6:$BD$53,0)))</f>
        <v>P.1 (4)</v>
      </c>
      <c r="S79" s="68"/>
      <c r="T79" s="68" t="str" cm="1">
        <f t="array" ref="T79">IF(D79="Pendiente","-",INDEX($CS$6:$CS$53,MATCH($AA79,$BD$6:$BD$53,0)))</f>
        <v>P.1 (4)</v>
      </c>
      <c r="U79" s="68" t="str" cm="1">
        <f t="array" ref="U79">IF(D79="Pendiente","-",INDEX($CS$6:$CS$53,MATCH($AF79,$BD$6:$BD$53,0)))</f>
        <v>P.1 (4)</v>
      </c>
      <c r="V79" s="80"/>
      <c r="W79" s="762"/>
      <c r="X79" s="96">
        <v>46195.958333333343</v>
      </c>
      <c r="Y79" s="97">
        <v>46195.958333333343</v>
      </c>
      <c r="Z79" s="113" t="str" cm="1">
        <f t="array" ref="Z79">$Z$6</f>
        <v>J2</v>
      </c>
      <c r="AA79" s="99" t="str" cm="1">
        <f t="array" ref="AA79">A80</f>
        <v>Jordania</v>
      </c>
      <c r="AB79" s="100"/>
      <c r="AC79" s="114">
        <v>0</v>
      </c>
      <c r="AD79" s="114">
        <v>1</v>
      </c>
      <c r="AE79" s="102"/>
      <c r="AF79" s="103" t="str" cm="1">
        <f t="array" ref="AF79">A78</f>
        <v>Argelia</v>
      </c>
      <c r="AG79" s="104" cm="1">
        <f t="array" ref="AG79">IF(NOT(OR(ISBLANK(AC79),ISBLANK(AD79))),1,0)</f>
        <v>1</v>
      </c>
      <c r="AH79" s="105">
        <v>44</v>
      </c>
      <c r="AI79" s="106" t="str" cm="1">
        <f t="array" ref="AI79">AJ79&amp;$B$76</f>
        <v>2J</v>
      </c>
      <c r="AJ79" s="140">
        <v>2</v>
      </c>
      <c r="AK79" s="208"/>
      <c r="AL79" s="142" t="str" cm="1">
        <f t="array" ref="AL79">IFERROR(INDEX($BD$6:$BD$53,MATCH(AI79,$BN$6:$BN$53,0)),"")</f>
        <v>Argelia</v>
      </c>
      <c r="AM79" s="143" cm="1">
        <f t="array" ref="AM79">INDEX($BE$6:$BN$53,MATCH($AL79,$BD$6:$BD$53,0),MATCH(AM$5,$BE$5:$BN$5,0))</f>
        <v>3</v>
      </c>
      <c r="AN79" s="144" cm="1">
        <f t="array" ref="AN79">INDEX($BE$6:$BN$53,MATCH($AL79,$BD$6:$BD$53,0),MATCH(AN$5,$BE$5:$BN$5,0))</f>
        <v>3</v>
      </c>
      <c r="AO79" s="144" cm="1">
        <f t="array" ref="AO79">INDEX($BE$6:$BN$53,MATCH($AL79,$BD$6:$BD$53,0),MATCH(AO$5,$BE$5:$BN$5,0))</f>
        <v>1</v>
      </c>
      <c r="AP79" s="144" cm="1">
        <f t="array" ref="AP79">INDEX($BE$6:$BN$53,MATCH($AL79,$BD$6:$BD$53,0),MATCH(AP$5,$BE$5:$BN$5,0))</f>
        <v>0</v>
      </c>
      <c r="AQ79" s="144" cm="1">
        <f t="array" ref="AQ79">INDEX($BE$6:$BN$53,MATCH($AL79,$BD$6:$BD$53,0),MATCH(AQ$5,$BE$5:$BN$5,0))</f>
        <v>2</v>
      </c>
      <c r="AR79" s="144" cm="1">
        <f t="array" ref="AR79">INDEX($BE$6:$BN$53,MATCH($AL79,$BD$6:$BD$53,0),MATCH(AR$5,$BE$5:$BN$5,0))</f>
        <v>2</v>
      </c>
      <c r="AS79" s="144" cm="1">
        <f t="array" ref="AS79">INDEX($BE$6:$BN$53,MATCH($AL79,$BD$6:$BD$53,0),MATCH(AS$5,$BE$5:$BN$5,0))</f>
        <v>7</v>
      </c>
      <c r="AT79" s="145" cm="1">
        <f t="array" ref="AT79">INDEX($BE$6:$BN$53,MATCH($AL79,$BD$6:$BD$53,0),MATCH(AT$5,$BE$5:$BN$5,0))</f>
        <v>-5</v>
      </c>
      <c r="AU79" s="133" cm="1">
        <f t="array" ref="AU79">INDEX($DL$6:$DL$53,MATCH(AI79,$DP$6:$DP$53,0))</f>
        <v>4</v>
      </c>
      <c r="AV79" s="134" t="str" cm="1">
        <f t="array" ref="AV79">INDEX($BD$6:$BD$53,MATCH(AI79,$BM$6:$BM$53,0))</f>
        <v>Argelia</v>
      </c>
      <c r="AW79" s="135"/>
      <c r="AX79" s="136"/>
      <c r="AY79" s="146" t="str" cm="1">
        <f t="array" ref="AY79">A78</f>
        <v>Argelia</v>
      </c>
      <c r="AZ79" s="147"/>
      <c r="BA79" s="125"/>
      <c r="BB79" s="77"/>
      <c r="BC79" s="77"/>
      <c r="BD79" s="77"/>
      <c r="BE79" s="77"/>
      <c r="BF79" s="77"/>
      <c r="BG79" s="77"/>
      <c r="BH79" s="77"/>
      <c r="BI79" s="77"/>
      <c r="BJ79" s="77"/>
      <c r="BK79" s="77"/>
      <c r="BL79" s="77"/>
      <c r="BM79" s="77"/>
      <c r="BN79" s="77"/>
      <c r="BO79" s="77"/>
      <c r="BP79" s="77"/>
      <c r="BQ79" s="77"/>
      <c r="BR79" s="77"/>
      <c r="BS79" s="77"/>
      <c r="BT79" s="77"/>
      <c r="BU79" s="77"/>
      <c r="BV79" s="77"/>
      <c r="BW79" s="77"/>
      <c r="BX79" s="77"/>
      <c r="BY79" s="77"/>
      <c r="BZ79" s="77"/>
      <c r="CA79" s="77"/>
      <c r="CB79" s="77"/>
      <c r="CC79" s="77"/>
      <c r="CD79" s="77"/>
      <c r="CE79" s="77"/>
      <c r="CF79" s="77"/>
      <c r="CG79" s="77"/>
      <c r="CH79" s="77"/>
      <c r="CI79" s="77"/>
      <c r="CJ79" s="77"/>
      <c r="CK79" s="77"/>
      <c r="CL79" s="77"/>
      <c r="CM79" s="77"/>
      <c r="CN79" s="77"/>
      <c r="CO79" s="77"/>
      <c r="CP79" s="77"/>
      <c r="CQ79" s="77"/>
      <c r="CR79" s="77"/>
      <c r="CS79" s="77"/>
      <c r="CT79" s="77"/>
      <c r="CU79" s="77"/>
      <c r="CV79" s="77"/>
      <c r="CW79" s="77"/>
      <c r="CX79" s="77"/>
      <c r="CY79" s="77"/>
      <c r="CZ79" s="77"/>
      <c r="DA79" s="77"/>
      <c r="DB79" s="77"/>
      <c r="DC79" s="77"/>
      <c r="DD79" s="77"/>
      <c r="DE79" s="77"/>
      <c r="DF79" s="77"/>
      <c r="DG79" s="77"/>
      <c r="DH79" s="77"/>
      <c r="DI79" s="77"/>
      <c r="DJ79" s="77"/>
      <c r="DK79" s="77"/>
      <c r="DL79" s="77"/>
      <c r="DM79" s="77"/>
      <c r="DN79" s="126"/>
      <c r="DO79" s="77"/>
      <c r="DP79" s="77"/>
      <c r="DQ79" s="77"/>
      <c r="DR79" s="77"/>
      <c r="DS79" s="77"/>
      <c r="DT79" s="78"/>
      <c r="DU79" s="12"/>
    </row>
    <row r="80" spans="1:125" ht="16" customHeight="1" x14ac:dyDescent="0.2">
      <c r="A80" s="79" t="s">
        <v>197</v>
      </c>
      <c r="B80" s="68"/>
      <c r="C80" s="68"/>
      <c r="D80" s="68" t="str" cm="1">
        <f t="array" ref="D80">IF(OR(AC80="",AD80=""),"Pendiente",IF(AC80&gt;AD80,"Local",IF(AC80&lt;AD80,"Visitante","Empate")))</f>
        <v>Visitante</v>
      </c>
      <c r="E80" s="68" t="str" cm="1">
        <f t="array" ref="E80">IF(D80="Pendiente","-",INDEX($BT$6:$BT$53,MATCH($AA80,$BD$6:$BD$53,0)))</f>
        <v>P.1 (4)</v>
      </c>
      <c r="F80" s="68" t="str" cm="1">
        <f t="array" ref="F80">IF(D80="Pendiente","-",INDEX($BT$6:$BT$53,MATCH($AF80,$BD$6:$BD$53,0)))</f>
        <v>P.1 (4)</v>
      </c>
      <c r="G80" s="68"/>
      <c r="H80" s="68" t="str" cm="1">
        <f t="array" ref="H80">IF(D80="Pendiente","-",INDEX($BZ$6:$BZ$53,MATCH($AA80,$BD$6:$BD$53,0)))</f>
        <v>P.1 (4)</v>
      </c>
      <c r="I80" s="68" t="str" cm="1">
        <f t="array" ref="I80">IF(D80="Pendiente","-",INDEX($BZ$6:$BZ$53,MATCH($AF80,$BD$6:$BD$53,0)))</f>
        <v>P.1 (4)</v>
      </c>
      <c r="J80" s="68"/>
      <c r="K80" s="68" t="str" cm="1">
        <f t="array" ref="K80">IF(D80="Pendiente","-",INDEX($CE$6:$CE$53,MATCH($AA80,$BD$6:$BD$53,0)))</f>
        <v>P.1 (4)</v>
      </c>
      <c r="L80" s="68" t="str" cm="1">
        <f t="array" ref="L80">IF(D80="Pendiente","-",INDEX($CE$6:$CE$53,MATCH($AF80,$BD$6:$BD$53,0)))</f>
        <v>P.1 (4)</v>
      </c>
      <c r="M80" s="68"/>
      <c r="N80" s="68" t="str" cm="1">
        <f t="array" ref="N80">IF(D80="Pendiente","-",INDEX($CH$6:$CH$53,MATCH($AA80,$BD$6:$BD$53,0)))</f>
        <v>P.1 (4)</v>
      </c>
      <c r="O80" s="68" t="str" cm="1">
        <f t="array" ref="O80">IF(D80="Pendiente","-",INDEX($CH$6:$CH$53,MATCH($AF80,$BD$6:$BD$53,0)))</f>
        <v>P.1 (4)</v>
      </c>
      <c r="P80" s="68"/>
      <c r="Q80" s="68" t="str" cm="1">
        <f t="array" ref="Q80">IF(D80="Pendiente","-",INDEX($CN$6:$CN$53,MATCH($AA80,$BD$6:$BD$53,0)))</f>
        <v>P.1 (4)</v>
      </c>
      <c r="R80" s="68" t="str" cm="1">
        <f t="array" ref="R80">IF(D80="Pendiente","-",INDEX($CN$6:$CN$53,MATCH($AF80,$BD$6:$BD$53,0)))</f>
        <v>P.1 (4)</v>
      </c>
      <c r="S80" s="68"/>
      <c r="T80" s="68" t="str" cm="1">
        <f t="array" ref="T80">IF(D80="Pendiente","-",INDEX($CS$6:$CS$53,MATCH($AA80,$BD$6:$BD$53,0)))</f>
        <v>P.1 (4)</v>
      </c>
      <c r="U80" s="68" t="str" cm="1">
        <f t="array" ref="U80">IF(D80="Pendiente","-",INDEX($CS$6:$CS$53,MATCH($AF80,$BD$6:$BD$53,0)))</f>
        <v>P.1 (4)</v>
      </c>
      <c r="V80" s="80"/>
      <c r="W80" s="762"/>
      <c r="X80" s="96">
        <v>46200.916666666657</v>
      </c>
      <c r="Y80" s="97">
        <v>46200.916666666657</v>
      </c>
      <c r="Z80" s="113" t="str" cm="1">
        <f t="array" ref="Z80">$Z$8</f>
        <v>J3</v>
      </c>
      <c r="AA80" s="99" t="str" cm="1">
        <f t="array" ref="AA80">A78</f>
        <v>Argelia</v>
      </c>
      <c r="AB80" s="100"/>
      <c r="AC80" s="114">
        <v>0</v>
      </c>
      <c r="AD80" s="114">
        <v>2</v>
      </c>
      <c r="AE80" s="102"/>
      <c r="AF80" s="103" t="str" cm="1">
        <f t="array" ref="AF80">A79</f>
        <v>Austria</v>
      </c>
      <c r="AG80" s="104" cm="1">
        <f t="array" ref="AG80">IF(NOT(OR(ISBLANK(AC80),ISBLANK(AD80))),1,0)</f>
        <v>1</v>
      </c>
      <c r="AH80" s="105">
        <v>69</v>
      </c>
      <c r="AI80" s="106" t="str" cm="1">
        <f t="array" ref="AI80">AJ80&amp;$B$76</f>
        <v>3J</v>
      </c>
      <c r="AJ80" s="140">
        <v>3</v>
      </c>
      <c r="AK80" s="208"/>
      <c r="AL80" s="142" t="str" cm="1">
        <f t="array" ref="AL80">IFERROR(INDEX($BD$6:$BD$53,MATCH(AI80,$BN$6:$BN$53,0)),"")</f>
        <v>Austria</v>
      </c>
      <c r="AM80" s="143" cm="1">
        <f t="array" ref="AM80">INDEX($BE$6:$BN$53,MATCH($AL80,$BD$6:$BD$53,0),MATCH(AM$5,$BE$5:$BN$5,0))</f>
        <v>6</v>
      </c>
      <c r="AN80" s="144" cm="1">
        <f t="array" ref="AN80">INDEX($BE$6:$BN$53,MATCH($AL80,$BD$6:$BD$53,0),MATCH(AN$5,$BE$5:$BN$5,0))</f>
        <v>3</v>
      </c>
      <c r="AO80" s="144" cm="1">
        <f t="array" ref="AO80">INDEX($BE$6:$BN$53,MATCH($AL80,$BD$6:$BD$53,0),MATCH(AO$5,$BE$5:$BN$5,0))</f>
        <v>2</v>
      </c>
      <c r="AP80" s="144" cm="1">
        <f t="array" ref="AP80">INDEX($BE$6:$BN$53,MATCH($AL80,$BD$6:$BD$53,0),MATCH(AP$5,$BE$5:$BN$5,0))</f>
        <v>0</v>
      </c>
      <c r="AQ80" s="144" cm="1">
        <f t="array" ref="AQ80">INDEX($BE$6:$BN$53,MATCH($AL80,$BD$6:$BD$53,0),MATCH(AQ$5,$BE$5:$BN$5,0))</f>
        <v>1</v>
      </c>
      <c r="AR80" s="144" cm="1">
        <f t="array" ref="AR80">INDEX($BE$6:$BN$53,MATCH($AL80,$BD$6:$BD$53,0),MATCH(AR$5,$BE$5:$BN$5,0))</f>
        <v>5</v>
      </c>
      <c r="AS80" s="144" cm="1">
        <f t="array" ref="AS80">INDEX($BE$6:$BN$53,MATCH($AL80,$BD$6:$BD$53,0),MATCH(AS$5,$BE$5:$BN$5,0))</f>
        <v>3</v>
      </c>
      <c r="AT80" s="145" cm="1">
        <f t="array" ref="AT80">INDEX($BE$6:$BN$53,MATCH($AL80,$BD$6:$BD$53,0),MATCH(AT$5,$BE$5:$BN$5,0))</f>
        <v>2</v>
      </c>
      <c r="AU80" s="133" cm="1">
        <f t="array" ref="AU80">INDEX($DL$6:$DL$53,MATCH(AI80,$DP$6:$DP$53,0))</f>
        <v>4</v>
      </c>
      <c r="AV80" s="134" t="str" cm="1">
        <f t="array" ref="AV80">INDEX($BD$6:$BD$53,MATCH(AI80,$BM$6:$BM$53,0))</f>
        <v>Austria</v>
      </c>
      <c r="AW80" s="135"/>
      <c r="AX80" s="136"/>
      <c r="AY80" s="137" t="str" cm="1">
        <f t="array" ref="AY80">A79</f>
        <v>Austria</v>
      </c>
      <c r="AZ80" s="138"/>
      <c r="BA80" s="125"/>
      <c r="BB80" s="77"/>
      <c r="BC80" s="77"/>
      <c r="BD80" s="77"/>
      <c r="BE80" s="77"/>
      <c r="BF80" s="77"/>
      <c r="BG80" s="77"/>
      <c r="BH80" s="77"/>
      <c r="BI80" s="77"/>
      <c r="BJ80" s="77"/>
      <c r="BK80" s="77"/>
      <c r="BL80" s="77"/>
      <c r="BM80" s="77"/>
      <c r="BN80" s="77"/>
      <c r="BO80" s="77"/>
      <c r="BP80" s="77"/>
      <c r="BQ80" s="77"/>
      <c r="BR80" s="77"/>
      <c r="BS80" s="77"/>
      <c r="BT80" s="77"/>
      <c r="BU80" s="77"/>
      <c r="BV80" s="77"/>
      <c r="BW80" s="77"/>
      <c r="BX80" s="77"/>
      <c r="BY80" s="77"/>
      <c r="BZ80" s="77"/>
      <c r="CA80" s="77"/>
      <c r="CB80" s="77"/>
      <c r="CC80" s="77"/>
      <c r="CD80" s="77"/>
      <c r="CE80" s="77"/>
      <c r="CF80" s="77"/>
      <c r="CG80" s="77"/>
      <c r="CH80" s="77"/>
      <c r="CI80" s="77"/>
      <c r="CJ80" s="77"/>
      <c r="CK80" s="77"/>
      <c r="CL80" s="77"/>
      <c r="CM80" s="77"/>
      <c r="CN80" s="77"/>
      <c r="CO80" s="77"/>
      <c r="CP80" s="77"/>
      <c r="CQ80" s="77"/>
      <c r="CR80" s="77"/>
      <c r="CS80" s="77"/>
      <c r="CT80" s="77"/>
      <c r="CU80" s="77"/>
      <c r="CV80" s="77"/>
      <c r="CW80" s="77"/>
      <c r="CX80" s="77"/>
      <c r="CY80" s="77"/>
      <c r="CZ80" s="77"/>
      <c r="DA80" s="77"/>
      <c r="DB80" s="77"/>
      <c r="DC80" s="77"/>
      <c r="DD80" s="77"/>
      <c r="DE80" s="77"/>
      <c r="DF80" s="77"/>
      <c r="DG80" s="77"/>
      <c r="DH80" s="77"/>
      <c r="DI80" s="77"/>
      <c r="DJ80" s="77"/>
      <c r="DK80" s="77"/>
      <c r="DL80" s="77"/>
      <c r="DM80" s="77"/>
      <c r="DN80" s="126"/>
      <c r="DO80" s="77"/>
      <c r="DP80" s="77"/>
      <c r="DQ80" s="77"/>
      <c r="DR80" s="77"/>
      <c r="DS80" s="77"/>
      <c r="DT80" s="78"/>
      <c r="DU80" s="12"/>
    </row>
    <row r="81" spans="1:125" ht="16" customHeight="1" x14ac:dyDescent="0.2">
      <c r="A81" s="68"/>
      <c r="B81" s="68"/>
      <c r="C81" s="68"/>
      <c r="D81" s="68" t="str" cm="1">
        <f t="array" ref="D81">IF(OR(AC81="",AD81=""),"Pendiente",IF(AC81&gt;AD81,"Local",IF(AC81&lt;AD81,"Visitante","Empate")))</f>
        <v>Visitante</v>
      </c>
      <c r="E81" s="68" t="str" cm="1">
        <f t="array" ref="E81">IF(D81="Pendiente","-",INDEX($BT$6:$BT$53,MATCH($AA81,$BD$6:$BD$53,0)))</f>
        <v>P.1 (4)</v>
      </c>
      <c r="F81" s="68" t="str" cm="1">
        <f t="array" ref="F81">IF(D81="Pendiente","-",INDEX($BT$6:$BT$53,MATCH($AF81,$BD$6:$BD$53,0)))</f>
        <v>P.1 (4)</v>
      </c>
      <c r="G81" s="68"/>
      <c r="H81" s="68" t="str" cm="1">
        <f t="array" ref="H81">IF(D81="Pendiente","-",INDEX($BZ$6:$BZ$53,MATCH($AA81,$BD$6:$BD$53,0)))</f>
        <v>P.1 (4)</v>
      </c>
      <c r="I81" s="68" t="str" cm="1">
        <f t="array" ref="I81">IF(D81="Pendiente","-",INDEX($BZ$6:$BZ$53,MATCH($AF81,$BD$6:$BD$53,0)))</f>
        <v>P.1 (4)</v>
      </c>
      <c r="J81" s="68"/>
      <c r="K81" s="68" t="str" cm="1">
        <f t="array" ref="K81">IF(D81="Pendiente","-",INDEX($CE$6:$CE$53,MATCH($AA81,$BD$6:$BD$53,0)))</f>
        <v>P.1 (4)</v>
      </c>
      <c r="L81" s="68" t="str" cm="1">
        <f t="array" ref="L81">IF(D81="Pendiente","-",INDEX($CE$6:$CE$53,MATCH($AF81,$BD$6:$BD$53,0)))</f>
        <v>P.1 (4)</v>
      </c>
      <c r="M81" s="68"/>
      <c r="N81" s="68" t="str" cm="1">
        <f t="array" ref="N81">IF(D81="Pendiente","-",INDEX($CH$6:$CH$53,MATCH($AA81,$BD$6:$BD$53,0)))</f>
        <v>P.1 (4)</v>
      </c>
      <c r="O81" s="68" t="str" cm="1">
        <f t="array" ref="O81">IF(D81="Pendiente","-",INDEX($CH$6:$CH$53,MATCH($AF81,$BD$6:$BD$53,0)))</f>
        <v>P.1 (4)</v>
      </c>
      <c r="P81" s="68"/>
      <c r="Q81" s="68" t="str" cm="1">
        <f t="array" ref="Q81">IF(D81="Pendiente","-",INDEX($CN$6:$CN$53,MATCH($AA81,$BD$6:$BD$53,0)))</f>
        <v>P.1 (4)</v>
      </c>
      <c r="R81" s="68" t="str" cm="1">
        <f t="array" ref="R81">IF(D81="Pendiente","-",INDEX($CN$6:$CN$53,MATCH($AF81,$BD$6:$BD$53,0)))</f>
        <v>P.1 (4)</v>
      </c>
      <c r="S81" s="68"/>
      <c r="T81" s="68" t="str" cm="1">
        <f t="array" ref="T81">IF(D81="Pendiente","-",INDEX($CS$6:$CS$53,MATCH($AA81,$BD$6:$BD$53,0)))</f>
        <v>P.1 (4)</v>
      </c>
      <c r="U81" s="68" t="str" cm="1">
        <f t="array" ref="U81">IF(D81="Pendiente","-",INDEX($CS$6:$CS$53,MATCH($AF81,$BD$6:$BD$53,0)))</f>
        <v>P.1 (4)</v>
      </c>
      <c r="V81" s="80"/>
      <c r="W81" s="763"/>
      <c r="X81" s="148">
        <v>46200.916666666657</v>
      </c>
      <c r="Y81" s="149">
        <v>46200.916666666657</v>
      </c>
      <c r="Z81" s="150" t="str" cm="1">
        <f t="array" ref="Z81">$Z$8</f>
        <v>J3</v>
      </c>
      <c r="AA81" s="151" t="str" cm="1">
        <f t="array" ref="AA81">A80</f>
        <v>Jordania</v>
      </c>
      <c r="AB81" s="152"/>
      <c r="AC81" s="153">
        <v>0</v>
      </c>
      <c r="AD81" s="153">
        <v>3</v>
      </c>
      <c r="AE81" s="154"/>
      <c r="AF81" s="155" t="str" cm="1">
        <f t="array" ref="AF81">A77</f>
        <v>Argentina</v>
      </c>
      <c r="AG81" s="104" cm="1">
        <f t="array" ref="AG81">IF(NOT(OR(ISBLANK(AC81),ISBLANK(AD81))),1,0)</f>
        <v>1</v>
      </c>
      <c r="AH81" s="105">
        <v>70</v>
      </c>
      <c r="AI81" s="106" t="str" cm="1">
        <f t="array" ref="AI81">AJ81&amp;$B$76</f>
        <v>4J</v>
      </c>
      <c r="AJ81" s="156">
        <v>4</v>
      </c>
      <c r="AK81" s="222"/>
      <c r="AL81" s="158" t="str" cm="1">
        <f t="array" ref="AL81">IFERROR(INDEX($BD$6:$BD$53,MATCH(AI81,$BN$6:$BN$53,0)),"")</f>
        <v>Jordania</v>
      </c>
      <c r="AM81" s="159" cm="1">
        <f t="array" ref="AM81">INDEX($BE$6:$BN$53,MATCH($AL81,$BD$6:$BD$53,0),MATCH(AM$5,$BE$5:$BN$5,0))</f>
        <v>0</v>
      </c>
      <c r="AN81" s="160" cm="1">
        <f t="array" ref="AN81">INDEX($BE$6:$BN$53,MATCH($AL81,$BD$6:$BD$53,0),MATCH(AN$5,$BE$5:$BN$5,0))</f>
        <v>3</v>
      </c>
      <c r="AO81" s="160" cm="1">
        <f t="array" ref="AO81">INDEX($BE$6:$BN$53,MATCH($AL81,$BD$6:$BD$53,0),MATCH(AO$5,$BE$5:$BN$5,0))</f>
        <v>0</v>
      </c>
      <c r="AP81" s="160" cm="1">
        <f t="array" ref="AP81">INDEX($BE$6:$BN$53,MATCH($AL81,$BD$6:$BD$53,0),MATCH(AP$5,$BE$5:$BN$5,0))</f>
        <v>0</v>
      </c>
      <c r="AQ81" s="160" cm="1">
        <f t="array" ref="AQ81">INDEX($BE$6:$BN$53,MATCH($AL81,$BD$6:$BD$53,0),MATCH(AQ$5,$BE$5:$BN$5,0))</f>
        <v>3</v>
      </c>
      <c r="AR81" s="160" cm="1">
        <f t="array" ref="AR81">INDEX($BE$6:$BN$53,MATCH($AL81,$BD$6:$BD$53,0),MATCH(AR$5,$BE$5:$BN$5,0))</f>
        <v>0</v>
      </c>
      <c r="AS81" s="160" cm="1">
        <f t="array" ref="AS81">INDEX($BE$6:$BN$53,MATCH($AL81,$BD$6:$BD$53,0),MATCH(AS$5,$BE$5:$BN$5,0))</f>
        <v>6</v>
      </c>
      <c r="AT81" s="161" cm="1">
        <f t="array" ref="AT81">INDEX($BE$6:$BN$53,MATCH($AL81,$BD$6:$BD$53,0),MATCH(AT$5,$BE$5:$BN$5,0))</f>
        <v>-6</v>
      </c>
      <c r="AU81" s="133" cm="1">
        <f t="array" ref="AU81">INDEX($DL$6:$DL$53,MATCH(AI81,$DP$6:$DP$53,0))</f>
        <v>4</v>
      </c>
      <c r="AV81" s="134" t="str" cm="1">
        <f t="array" ref="AV81">INDEX($BD$6:$BD$53,MATCH(AI81,$BM$6:$BM$53,0))</f>
        <v>Jordania</v>
      </c>
      <c r="AW81" s="135"/>
      <c r="AX81" s="136"/>
      <c r="AY81" s="162" t="str" cm="1">
        <f t="array" ref="AY81">A80</f>
        <v>Jordania</v>
      </c>
      <c r="AZ81" s="163"/>
      <c r="BA81" s="125"/>
      <c r="BB81" s="77"/>
      <c r="BC81" s="77"/>
      <c r="BD81" s="77"/>
      <c r="BE81" s="77"/>
      <c r="BF81" s="77"/>
      <c r="BG81" s="77"/>
      <c r="BH81" s="77"/>
      <c r="BI81" s="77"/>
      <c r="BJ81" s="77"/>
      <c r="BK81" s="77"/>
      <c r="BL81" s="77"/>
      <c r="BM81" s="77"/>
      <c r="BN81" s="77"/>
      <c r="BO81" s="77"/>
      <c r="BP81" s="77"/>
      <c r="BQ81" s="77"/>
      <c r="BR81" s="77"/>
      <c r="BS81" s="77"/>
      <c r="BT81" s="77"/>
      <c r="BU81" s="77"/>
      <c r="BV81" s="77"/>
      <c r="BW81" s="77"/>
      <c r="BX81" s="77"/>
      <c r="BY81" s="77"/>
      <c r="BZ81" s="77"/>
      <c r="CA81" s="77"/>
      <c r="CB81" s="77"/>
      <c r="CC81" s="77"/>
      <c r="CD81" s="77"/>
      <c r="CE81" s="77"/>
      <c r="CF81" s="77"/>
      <c r="CG81" s="77"/>
      <c r="CH81" s="77"/>
      <c r="CI81" s="77"/>
      <c r="CJ81" s="77"/>
      <c r="CK81" s="77"/>
      <c r="CL81" s="77"/>
      <c r="CM81" s="77"/>
      <c r="CN81" s="77"/>
      <c r="CO81" s="77"/>
      <c r="CP81" s="77"/>
      <c r="CQ81" s="77"/>
      <c r="CR81" s="77"/>
      <c r="CS81" s="77"/>
      <c r="CT81" s="77"/>
      <c r="CU81" s="77"/>
      <c r="CV81" s="77"/>
      <c r="CW81" s="77"/>
      <c r="CX81" s="77"/>
      <c r="CY81" s="77"/>
      <c r="CZ81" s="77"/>
      <c r="DA81" s="77"/>
      <c r="DB81" s="77"/>
      <c r="DC81" s="77"/>
      <c r="DD81" s="77"/>
      <c r="DE81" s="77"/>
      <c r="DF81" s="77"/>
      <c r="DG81" s="77"/>
      <c r="DH81" s="77"/>
      <c r="DI81" s="77"/>
      <c r="DJ81" s="77"/>
      <c r="DK81" s="77"/>
      <c r="DL81" s="77"/>
      <c r="DM81" s="77"/>
      <c r="DN81" s="126"/>
      <c r="DO81" s="77"/>
      <c r="DP81" s="77"/>
      <c r="DQ81" s="77"/>
      <c r="DR81" s="77"/>
      <c r="DS81" s="77"/>
      <c r="DT81" s="78"/>
      <c r="DU81" s="12"/>
    </row>
    <row r="82" spans="1:125" ht="16" customHeight="1" x14ac:dyDescent="0.2">
      <c r="A82" s="68"/>
      <c r="B82" s="68"/>
      <c r="C82" s="68"/>
      <c r="D82" s="68"/>
      <c r="E82" s="68"/>
      <c r="F82" s="68"/>
      <c r="G82" s="68"/>
      <c r="H82" s="68"/>
      <c r="I82" s="68"/>
      <c r="J82" s="68"/>
      <c r="K82" s="68"/>
      <c r="L82" s="68"/>
      <c r="M82" s="68"/>
      <c r="N82" s="68"/>
      <c r="O82" s="68"/>
      <c r="P82" s="68"/>
      <c r="Q82" s="68"/>
      <c r="R82" s="68"/>
      <c r="S82" s="68"/>
      <c r="T82" s="68"/>
      <c r="U82" s="68"/>
      <c r="V82" s="69"/>
      <c r="W82" s="164"/>
      <c r="X82" s="165"/>
      <c r="Y82" s="164"/>
      <c r="Z82" s="166"/>
      <c r="AA82" s="167"/>
      <c r="AB82" s="168"/>
      <c r="AC82" s="169"/>
      <c r="AD82" s="169"/>
      <c r="AE82" s="168"/>
      <c r="AF82" s="170"/>
      <c r="AG82" s="216"/>
      <c r="AH82" s="172"/>
      <c r="AI82" s="217"/>
      <c r="AJ82" s="173"/>
      <c r="AK82" s="174"/>
      <c r="AL82" s="175"/>
      <c r="AM82" s="176"/>
      <c r="AN82" s="173"/>
      <c r="AO82" s="173"/>
      <c r="AP82" s="173"/>
      <c r="AQ82" s="173"/>
      <c r="AR82" s="173"/>
      <c r="AS82" s="173"/>
      <c r="AT82" s="173"/>
      <c r="AU82" s="177"/>
      <c r="AV82" s="178"/>
      <c r="AW82" s="135"/>
      <c r="AX82" s="179"/>
      <c r="AY82" s="180"/>
      <c r="AZ82" s="181"/>
      <c r="BA82" s="8"/>
      <c r="BB82" s="77"/>
      <c r="BC82" s="77"/>
      <c r="BD82" s="77"/>
      <c r="BE82" s="77"/>
      <c r="BF82" s="77"/>
      <c r="BG82" s="77"/>
      <c r="BH82" s="77"/>
      <c r="BI82" s="77"/>
      <c r="BJ82" s="77"/>
      <c r="BK82" s="77"/>
      <c r="BL82" s="77"/>
      <c r="BM82" s="77"/>
      <c r="BN82" s="77"/>
      <c r="BO82" s="77"/>
      <c r="BP82" s="77"/>
      <c r="BQ82" s="77"/>
      <c r="BR82" s="77"/>
      <c r="BS82" s="77"/>
      <c r="BT82" s="77"/>
      <c r="BU82" s="77"/>
      <c r="BV82" s="77"/>
      <c r="BW82" s="77"/>
      <c r="BX82" s="77"/>
      <c r="BY82" s="77"/>
      <c r="BZ82" s="77"/>
      <c r="CA82" s="77"/>
      <c r="CB82" s="77"/>
      <c r="CC82" s="77"/>
      <c r="CD82" s="77"/>
      <c r="CE82" s="77"/>
      <c r="CF82" s="77"/>
      <c r="CG82" s="77"/>
      <c r="CH82" s="77"/>
      <c r="CI82" s="77"/>
      <c r="CJ82" s="77"/>
      <c r="CK82" s="77"/>
      <c r="CL82" s="77"/>
      <c r="CM82" s="77"/>
      <c r="CN82" s="77"/>
      <c r="CO82" s="77"/>
      <c r="CP82" s="77"/>
      <c r="CQ82" s="77"/>
      <c r="CR82" s="77"/>
      <c r="CS82" s="77"/>
      <c r="CT82" s="77"/>
      <c r="CU82" s="77"/>
      <c r="CV82" s="77"/>
      <c r="CW82" s="77"/>
      <c r="CX82" s="77"/>
      <c r="CY82" s="77"/>
      <c r="CZ82" s="77"/>
      <c r="DA82" s="77"/>
      <c r="DB82" s="77"/>
      <c r="DC82" s="77"/>
      <c r="DD82" s="77"/>
      <c r="DE82" s="77"/>
      <c r="DF82" s="77"/>
      <c r="DG82" s="77"/>
      <c r="DH82" s="77"/>
      <c r="DI82" s="77"/>
      <c r="DJ82" s="77"/>
      <c r="DK82" s="77"/>
      <c r="DL82" s="77"/>
      <c r="DM82" s="77"/>
      <c r="DN82" s="126"/>
      <c r="DO82" s="77"/>
      <c r="DP82" s="77"/>
      <c r="DQ82" s="77"/>
      <c r="DR82" s="77"/>
      <c r="DS82" s="77"/>
      <c r="DT82" s="78"/>
      <c r="DU82" s="12"/>
    </row>
    <row r="83" spans="1:125" ht="16" customHeight="1" x14ac:dyDescent="0.2">
      <c r="A83" s="68"/>
      <c r="B83" s="68"/>
      <c r="C83" s="68"/>
      <c r="D83" s="68"/>
      <c r="E83" s="68"/>
      <c r="F83" s="68"/>
      <c r="G83" s="68"/>
      <c r="H83" s="68"/>
      <c r="I83" s="68"/>
      <c r="J83" s="68"/>
      <c r="K83" s="68"/>
      <c r="L83" s="68"/>
      <c r="M83" s="68"/>
      <c r="N83" s="68"/>
      <c r="O83" s="68"/>
      <c r="P83" s="68"/>
      <c r="Q83" s="68"/>
      <c r="R83" s="68"/>
      <c r="S83" s="68"/>
      <c r="T83" s="68"/>
      <c r="U83" s="68"/>
      <c r="V83" s="80"/>
      <c r="W83" s="81"/>
      <c r="X83" s="182" t="str" cm="1">
        <f t="array" ref="X83">X3</f>
        <v>Fecha</v>
      </c>
      <c r="Y83" s="182" t="str" cm="1">
        <f t="array" ref="Y83">Y3</f>
        <v>Hora</v>
      </c>
      <c r="Z83" s="107" t="str" cm="1">
        <f t="array" ref="Z83">Z3</f>
        <v>Jor.</v>
      </c>
      <c r="AA83" s="183" t="str" cm="1">
        <f t="array" ref="AA83">AA3</f>
        <v>Casa</v>
      </c>
      <c r="AB83" s="85"/>
      <c r="AC83" s="107" t="str" cm="1">
        <f t="array" ref="AC83">AC3</f>
        <v>Gol</v>
      </c>
      <c r="AD83" s="107" t="str" cm="1">
        <f t="array" ref="AD83">AD3</f>
        <v>Gol</v>
      </c>
      <c r="AE83" s="85"/>
      <c r="AF83" s="184" t="str" cm="1">
        <f t="array" ref="AF83">AF3</f>
        <v>Fuera</v>
      </c>
      <c r="AG83" s="185"/>
      <c r="AH83" s="172"/>
      <c r="AI83" s="73"/>
      <c r="AJ83" s="90"/>
      <c r="AK83" s="186"/>
      <c r="AL83" s="90"/>
      <c r="AM83" s="90"/>
      <c r="AN83" s="90"/>
      <c r="AO83" s="90"/>
      <c r="AP83" s="90"/>
      <c r="AQ83" s="90"/>
      <c r="AR83" s="90"/>
      <c r="AS83" s="90"/>
      <c r="AT83" s="90"/>
      <c r="AU83" s="187"/>
      <c r="AV83" s="74"/>
      <c r="AW83" s="188"/>
      <c r="AX83" s="189"/>
      <c r="AY83" s="190"/>
      <c r="AZ83" s="191"/>
      <c r="BA83" s="8"/>
      <c r="BB83" s="77"/>
      <c r="BC83" s="77"/>
      <c r="BD83" s="77"/>
      <c r="BE83" s="77"/>
      <c r="BF83" s="77"/>
      <c r="BG83" s="77"/>
      <c r="BH83" s="77"/>
      <c r="BI83" s="77"/>
      <c r="BJ83" s="77"/>
      <c r="BK83" s="77"/>
      <c r="BL83" s="77"/>
      <c r="BM83" s="77"/>
      <c r="BN83" s="77"/>
      <c r="BO83" s="77"/>
      <c r="BP83" s="77"/>
      <c r="BQ83" s="77"/>
      <c r="BR83" s="77"/>
      <c r="BS83" s="77"/>
      <c r="BT83" s="77"/>
      <c r="BU83" s="77"/>
      <c r="BV83" s="77"/>
      <c r="BW83" s="77"/>
      <c r="BX83" s="77"/>
      <c r="BY83" s="77"/>
      <c r="BZ83" s="77"/>
      <c r="CA83" s="77"/>
      <c r="CB83" s="77"/>
      <c r="CC83" s="77"/>
      <c r="CD83" s="77"/>
      <c r="CE83" s="77"/>
      <c r="CF83" s="77"/>
      <c r="CG83" s="77"/>
      <c r="CH83" s="77"/>
      <c r="CI83" s="77"/>
      <c r="CJ83" s="77"/>
      <c r="CK83" s="77"/>
      <c r="CL83" s="77"/>
      <c r="CM83" s="77"/>
      <c r="CN83" s="77"/>
      <c r="CO83" s="77"/>
      <c r="CP83" s="77"/>
      <c r="CQ83" s="77"/>
      <c r="CR83" s="77"/>
      <c r="CS83" s="77"/>
      <c r="CT83" s="77"/>
      <c r="CU83" s="77"/>
      <c r="CV83" s="77"/>
      <c r="CW83" s="77"/>
      <c r="CX83" s="77"/>
      <c r="CY83" s="77"/>
      <c r="CZ83" s="77"/>
      <c r="DA83" s="77"/>
      <c r="DB83" s="77"/>
      <c r="DC83" s="77"/>
      <c r="DD83" s="77"/>
      <c r="DE83" s="77"/>
      <c r="DF83" s="77"/>
      <c r="DG83" s="77"/>
      <c r="DH83" s="77"/>
      <c r="DI83" s="77"/>
      <c r="DJ83" s="77"/>
      <c r="DK83" s="77"/>
      <c r="DL83" s="77"/>
      <c r="DM83" s="77"/>
      <c r="DN83" s="126"/>
      <c r="DO83" s="77"/>
      <c r="DP83" s="77"/>
      <c r="DQ83" s="77"/>
      <c r="DR83" s="77"/>
      <c r="DS83" s="77"/>
      <c r="DT83" s="78"/>
      <c r="DU83" s="12"/>
    </row>
    <row r="84" spans="1:125" ht="16" customHeight="1" x14ac:dyDescent="0.2">
      <c r="A84" s="79" t="s">
        <v>45</v>
      </c>
      <c r="B84" s="79" t="s">
        <v>199</v>
      </c>
      <c r="C84" s="95">
        <v>4</v>
      </c>
      <c r="D84" s="68" t="str" cm="1">
        <f t="array" ref="D84">IF(OR(AC84="",AD84=""),"Pendiente",IF(AC84&gt;AD84,"Local",IF(AC84&lt;AD84,"Visitante","Empate")))</f>
        <v>Local</v>
      </c>
      <c r="E84" s="68" t="str" cm="1">
        <f t="array" ref="E84">IF(D84="Pendiente","-",INDEX($BT$6:$BT$53,MATCH($AA84,$BD$6:$BD$53,0)))</f>
        <v>P.1 (4)</v>
      </c>
      <c r="F84" s="68" t="str" cm="1">
        <f t="array" ref="F84">IF(D84="Pendiente","-",INDEX($BT$6:$BT$53,MATCH($AF84,$BD$6:$BD$53,0)))</f>
        <v>P.1 (4)</v>
      </c>
      <c r="G84" s="68"/>
      <c r="H84" s="68" t="str" cm="1">
        <f t="array" ref="H84">IF(D84="Pendiente","-",INDEX($BZ$6:$BZ$53,MATCH($AA84,$BD$6:$BD$53,0)))</f>
        <v>P.1 (4)</v>
      </c>
      <c r="I84" s="68" t="str" cm="1">
        <f t="array" ref="I84">IF(D84="Pendiente","-",INDEX($BZ$6:$BZ$53,MATCH($AF84,$BD$6:$BD$53,0)))</f>
        <v>P.1 (4)</v>
      </c>
      <c r="J84" s="68"/>
      <c r="K84" s="68" t="str" cm="1">
        <f t="array" ref="K84">IF(D84="Pendiente","-",INDEX($CE$6:$CE$53,MATCH($AA84,$BD$6:$BD$53,0)))</f>
        <v>P.1 (4)</v>
      </c>
      <c r="L84" s="68" t="str" cm="1">
        <f t="array" ref="L84">IF(D84="Pendiente","-",INDEX($CE$6:$CE$53,MATCH($AF84,$BD$6:$BD$53,0)))</f>
        <v>P.1 (4)</v>
      </c>
      <c r="M84" s="68"/>
      <c r="N84" s="68" t="str" cm="1">
        <f t="array" ref="N84">IF(D84="Pendiente","-",INDEX($CH$6:$CH$53,MATCH($AA84,$BD$6:$BD$53,0)))</f>
        <v>P.1 (4)</v>
      </c>
      <c r="O84" s="68" t="str" cm="1">
        <f t="array" ref="O84">IF(D84="Pendiente","-",INDEX($CH$6:$CH$53,MATCH($AF84,$BD$6:$BD$53,0)))</f>
        <v>P.1 (4)</v>
      </c>
      <c r="P84" s="68"/>
      <c r="Q84" s="68" t="str" cm="1">
        <f t="array" ref="Q84">IF(D84="Pendiente","-",INDEX($CN$6:$CN$53,MATCH($AA84,$BD$6:$BD$53,0)))</f>
        <v>P.1 (4)</v>
      </c>
      <c r="R84" s="68" t="str" cm="1">
        <f t="array" ref="R84">IF(D84="Pendiente","-",INDEX($CN$6:$CN$53,MATCH($AF84,$BD$6:$BD$53,0)))</f>
        <v>P.1 (4)</v>
      </c>
      <c r="S84" s="68"/>
      <c r="T84" s="68" t="str" cm="1">
        <f t="array" ref="T84">IF(D84="Pendiente","-",INDEX($CS$6:$CS$53,MATCH($AA84,$BD$6:$BD$53,0)))</f>
        <v>P.1 (4)</v>
      </c>
      <c r="U84" s="68" t="str" cm="1">
        <f t="array" ref="U84">IF(D84="Pendiente","-",INDEX($CS$6:$CS$53,MATCH($AF84,$BD$6:$BD$53,0)))</f>
        <v>P.1 (4)</v>
      </c>
      <c r="V84" s="80"/>
      <c r="W84" s="776" t="s">
        <v>199</v>
      </c>
      <c r="X84" s="96">
        <v>46190.541666666657</v>
      </c>
      <c r="Y84" s="97">
        <v>46190.541666666657</v>
      </c>
      <c r="Z84" s="113" t="str" cm="1">
        <f t="array" ref="Z84">$Z$4</f>
        <v>J1</v>
      </c>
      <c r="AA84" s="99" t="str" cm="1">
        <f t="array" ref="AA84">A85</f>
        <v>Portugal</v>
      </c>
      <c r="AB84" s="100"/>
      <c r="AC84" s="101">
        <v>3</v>
      </c>
      <c r="AD84" s="101">
        <v>0</v>
      </c>
      <c r="AE84" s="102"/>
      <c r="AF84" s="103" t="str" cm="1">
        <f t="array" ref="AF84">A86</f>
        <v>RD Congo</v>
      </c>
      <c r="AG84" s="104" cm="1">
        <f t="array" ref="AG84">IF(NOT(OR(ISBLANK(AC84),ISBLANK(AD84))),1,0)</f>
        <v>1</v>
      </c>
      <c r="AH84" s="105">
        <v>23</v>
      </c>
      <c r="AI84" s="106"/>
      <c r="AJ84" s="784" t="str" cm="1">
        <f t="array" ref="AJ84">CONCATENATE(AJ3," ",B84)</f>
        <v>Grupo K</v>
      </c>
      <c r="AK84" s="785"/>
      <c r="AL84" s="785"/>
      <c r="AM84" s="785"/>
      <c r="AN84" s="785"/>
      <c r="AO84" s="785"/>
      <c r="AP84" s="785"/>
      <c r="AQ84" s="785"/>
      <c r="AR84" s="785"/>
      <c r="AS84" s="785"/>
      <c r="AT84" s="786"/>
      <c r="AU84" s="192"/>
      <c r="AV84" s="109" t="str" cm="1">
        <f t="array" ref="AV84">IF(AU85&gt;0,$AV$3,"")</f>
        <v>¡EMPATE! Puedes seleccionar el orden de los empatados.</v>
      </c>
      <c r="AW84" s="200"/>
      <c r="AX84" s="200"/>
      <c r="AY84" s="194"/>
      <c r="AZ84" s="195"/>
      <c r="BA84" s="8"/>
      <c r="BB84" s="77"/>
      <c r="BC84" s="77"/>
      <c r="BD84" s="77"/>
      <c r="BE84" s="77"/>
      <c r="BF84" s="77"/>
      <c r="BG84" s="77"/>
      <c r="BH84" s="77"/>
      <c r="BI84" s="77"/>
      <c r="BJ84" s="77"/>
      <c r="BK84" s="77"/>
      <c r="BL84" s="77"/>
      <c r="BM84" s="77"/>
      <c r="BN84" s="77"/>
      <c r="BO84" s="77"/>
      <c r="BP84" s="77"/>
      <c r="BQ84" s="77"/>
      <c r="BR84" s="77"/>
      <c r="BS84" s="77"/>
      <c r="BT84" s="77"/>
      <c r="BU84" s="77"/>
      <c r="BV84" s="77"/>
      <c r="BW84" s="77"/>
      <c r="BX84" s="77"/>
      <c r="BY84" s="77"/>
      <c r="BZ84" s="77"/>
      <c r="CA84" s="77"/>
      <c r="CB84" s="77"/>
      <c r="CC84" s="77"/>
      <c r="CD84" s="77"/>
      <c r="CE84" s="77"/>
      <c r="CF84" s="77"/>
      <c r="CG84" s="77"/>
      <c r="CH84" s="77"/>
      <c r="CI84" s="77"/>
      <c r="CJ84" s="77"/>
      <c r="CK84" s="77"/>
      <c r="CL84" s="77"/>
      <c r="CM84" s="77"/>
      <c r="CN84" s="77"/>
      <c r="CO84" s="77"/>
      <c r="CP84" s="77"/>
      <c r="CQ84" s="77"/>
      <c r="CR84" s="77"/>
      <c r="CS84" s="77"/>
      <c r="CT84" s="77"/>
      <c r="CU84" s="77"/>
      <c r="CV84" s="77"/>
      <c r="CW84" s="77"/>
      <c r="CX84" s="77"/>
      <c r="CY84" s="77"/>
      <c r="CZ84" s="77"/>
      <c r="DA84" s="77"/>
      <c r="DB84" s="77"/>
      <c r="DC84" s="77"/>
      <c r="DD84" s="77"/>
      <c r="DE84" s="77"/>
      <c r="DF84" s="77"/>
      <c r="DG84" s="77"/>
      <c r="DH84" s="77"/>
      <c r="DI84" s="77"/>
      <c r="DJ84" s="77"/>
      <c r="DK84" s="77"/>
      <c r="DL84" s="77"/>
      <c r="DM84" s="77"/>
      <c r="DN84" s="126"/>
      <c r="DO84" s="77"/>
      <c r="DP84" s="77"/>
      <c r="DQ84" s="77"/>
      <c r="DR84" s="77"/>
      <c r="DS84" s="77"/>
      <c r="DT84" s="78"/>
      <c r="DU84" s="12"/>
    </row>
    <row r="85" spans="1:125" ht="16" customHeight="1" x14ac:dyDescent="0.2">
      <c r="A85" s="79" t="s">
        <v>200</v>
      </c>
      <c r="B85" s="68"/>
      <c r="C85" s="68"/>
      <c r="D85" s="68" t="str" cm="1">
        <f t="array" ref="D85">IF(OR(AC85="",AD85=""),"Pendiente",IF(AC85&gt;AD85,"Local",IF(AC85&lt;AD85,"Visitante","Empate")))</f>
        <v>Visitante</v>
      </c>
      <c r="E85" s="68" t="str" cm="1">
        <f t="array" ref="E85">IF(D85="Pendiente","-",INDEX($BT$6:$BT$53,MATCH($AA85,$BD$6:$BD$53,0)))</f>
        <v>P.1 (4)</v>
      </c>
      <c r="F85" s="68" t="str" cm="1">
        <f t="array" ref="F85">IF(D85="Pendiente","-",INDEX($BT$6:$BT$53,MATCH($AF85,$BD$6:$BD$53,0)))</f>
        <v>P.1 (4)</v>
      </c>
      <c r="G85" s="68"/>
      <c r="H85" s="68" t="str" cm="1">
        <f t="array" ref="H85">IF(D85="Pendiente","-",INDEX($BZ$6:$BZ$53,MATCH($AA85,$BD$6:$BD$53,0)))</f>
        <v>P.1 (4)</v>
      </c>
      <c r="I85" s="68" t="str" cm="1">
        <f t="array" ref="I85">IF(D85="Pendiente","-",INDEX($BZ$6:$BZ$53,MATCH($AF85,$BD$6:$BD$53,0)))</f>
        <v>P.1 (4)</v>
      </c>
      <c r="J85" s="68"/>
      <c r="K85" s="68" t="str" cm="1">
        <f t="array" ref="K85">IF(D85="Pendiente","-",INDEX($CE$6:$CE$53,MATCH($AA85,$BD$6:$BD$53,0)))</f>
        <v>P.1 (4)</v>
      </c>
      <c r="L85" s="68" t="str" cm="1">
        <f t="array" ref="L85">IF(D85="Pendiente","-",INDEX($CE$6:$CE$53,MATCH($AF85,$BD$6:$BD$53,0)))</f>
        <v>P.1 (4)</v>
      </c>
      <c r="M85" s="68"/>
      <c r="N85" s="68" t="str" cm="1">
        <f t="array" ref="N85">IF(D85="Pendiente","-",INDEX($CH$6:$CH$53,MATCH($AA85,$BD$6:$BD$53,0)))</f>
        <v>P.1 (4)</v>
      </c>
      <c r="O85" s="68" t="str" cm="1">
        <f t="array" ref="O85">IF(D85="Pendiente","-",INDEX($CH$6:$CH$53,MATCH($AF85,$BD$6:$BD$53,0)))</f>
        <v>P.1 (4)</v>
      </c>
      <c r="P85" s="68"/>
      <c r="Q85" s="68" t="str" cm="1">
        <f t="array" ref="Q85">IF(D85="Pendiente","-",INDEX($CN$6:$CN$53,MATCH($AA85,$BD$6:$BD$53,0)))</f>
        <v>P.1 (4)</v>
      </c>
      <c r="R85" s="68" t="str" cm="1">
        <f t="array" ref="R85">IF(D85="Pendiente","-",INDEX($CN$6:$CN$53,MATCH($AF85,$BD$6:$BD$53,0)))</f>
        <v>P.1 (4)</v>
      </c>
      <c r="S85" s="68"/>
      <c r="T85" s="68" t="str" cm="1">
        <f t="array" ref="T85">IF(D85="Pendiente","-",INDEX($CS$6:$CS$53,MATCH($AA85,$BD$6:$BD$53,0)))</f>
        <v>P.1 (4)</v>
      </c>
      <c r="U85" s="68" t="str" cm="1">
        <f t="array" ref="U85">IF(D85="Pendiente","-",INDEX($CS$6:$CS$53,MATCH($AF85,$BD$6:$BD$53,0)))</f>
        <v>P.1 (4)</v>
      </c>
      <c r="V85" s="80"/>
      <c r="W85" s="761"/>
      <c r="X85" s="96">
        <v>46190.916666666657</v>
      </c>
      <c r="Y85" s="97">
        <v>46190.916666666657</v>
      </c>
      <c r="Z85" s="113" t="str" cm="1">
        <f t="array" ref="Z85">$Z$4</f>
        <v>J1</v>
      </c>
      <c r="AA85" s="99" t="str" cm="1">
        <f t="array" ref="AA85">A87</f>
        <v>Uzbekistán</v>
      </c>
      <c r="AB85" s="100"/>
      <c r="AC85" s="114">
        <v>0</v>
      </c>
      <c r="AD85" s="114">
        <v>2</v>
      </c>
      <c r="AE85" s="102"/>
      <c r="AF85" s="103" t="str" cm="1">
        <f t="array" ref="AF85">A88</f>
        <v>Colombia</v>
      </c>
      <c r="AG85" s="104" cm="1">
        <f t="array" ref="AG85">IF(NOT(OR(ISBLANK(AC85),ISBLANK(AD85))),1,0)</f>
        <v>1</v>
      </c>
      <c r="AH85" s="105">
        <v>24</v>
      </c>
      <c r="AI85" s="106"/>
      <c r="AJ85" s="196" t="str" cm="1">
        <f t="array" ref="AJ85">AJ5</f>
        <v>Pos</v>
      </c>
      <c r="AK85" s="116"/>
      <c r="AL85" s="197" t="str" cm="1">
        <f t="array" ref="AL85">AL5</f>
        <v>Selección</v>
      </c>
      <c r="AM85" s="116" t="str" cm="1">
        <f t="array" ref="AM85">AM5</f>
        <v>Pts</v>
      </c>
      <c r="AN85" s="116" t="str" cm="1">
        <f t="array" ref="AN85">AN5</f>
        <v>J</v>
      </c>
      <c r="AO85" s="116" t="str" cm="1">
        <f t="array" ref="AO85">AO5</f>
        <v>G</v>
      </c>
      <c r="AP85" s="116" t="str" cm="1">
        <f t="array" ref="AP85">AP5</f>
        <v>E</v>
      </c>
      <c r="AQ85" s="116" t="str" cm="1">
        <f t="array" ref="AQ85">AQ5</f>
        <v>P</v>
      </c>
      <c r="AR85" s="116" t="str" cm="1">
        <f t="array" ref="AR85">AR5</f>
        <v>GF</v>
      </c>
      <c r="AS85" s="116" t="str" cm="1">
        <f t="array" ref="AS85">AS5</f>
        <v>GC</v>
      </c>
      <c r="AT85" s="198" t="str" cm="1">
        <f t="array" ref="AT85">AT5</f>
        <v>DG</v>
      </c>
      <c r="AU85" s="199" cm="1">
        <f t="array" ref="AU85">COUNTIF(AU86:AU89,"&gt;1")</f>
        <v>4</v>
      </c>
      <c r="AV85" s="121"/>
      <c r="AW85" s="200"/>
      <c r="AX85" s="201"/>
      <c r="AY85" s="123" t="str" cm="1">
        <f t="array" ref="AY85">AL85</f>
        <v>Selección</v>
      </c>
      <c r="AZ85" s="124" t="s">
        <v>60</v>
      </c>
      <c r="BA85" s="125"/>
      <c r="BB85" s="77"/>
      <c r="BC85" s="77"/>
      <c r="BD85" s="77"/>
      <c r="BE85" s="77"/>
      <c r="BF85" s="77"/>
      <c r="BG85" s="77"/>
      <c r="BH85" s="77"/>
      <c r="BI85" s="77"/>
      <c r="BJ85" s="77"/>
      <c r="BK85" s="77"/>
      <c r="BL85" s="77"/>
      <c r="BM85" s="77"/>
      <c r="BN85" s="77"/>
      <c r="BO85" s="77"/>
      <c r="BP85" s="77"/>
      <c r="BQ85" s="77"/>
      <c r="BR85" s="77"/>
      <c r="BS85" s="77"/>
      <c r="BT85" s="77"/>
      <c r="BU85" s="77"/>
      <c r="BV85" s="77"/>
      <c r="BW85" s="77"/>
      <c r="BX85" s="77"/>
      <c r="BY85" s="77"/>
      <c r="BZ85" s="77"/>
      <c r="CA85" s="77"/>
      <c r="CB85" s="77"/>
      <c r="CC85" s="77"/>
      <c r="CD85" s="77"/>
      <c r="CE85" s="77"/>
      <c r="CF85" s="77"/>
      <c r="CG85" s="77"/>
      <c r="CH85" s="77"/>
      <c r="CI85" s="77"/>
      <c r="CJ85" s="77"/>
      <c r="CK85" s="77"/>
      <c r="CL85" s="77"/>
      <c r="CM85" s="77"/>
      <c r="CN85" s="77"/>
      <c r="CO85" s="77"/>
      <c r="CP85" s="77"/>
      <c r="CQ85" s="77"/>
      <c r="CR85" s="77"/>
      <c r="CS85" s="77"/>
      <c r="CT85" s="77"/>
      <c r="CU85" s="77"/>
      <c r="CV85" s="77"/>
      <c r="CW85" s="77"/>
      <c r="CX85" s="77"/>
      <c r="CY85" s="77"/>
      <c r="CZ85" s="77"/>
      <c r="DA85" s="77"/>
      <c r="DB85" s="77"/>
      <c r="DC85" s="77"/>
      <c r="DD85" s="77"/>
      <c r="DE85" s="77"/>
      <c r="DF85" s="77"/>
      <c r="DG85" s="77"/>
      <c r="DH85" s="77"/>
      <c r="DI85" s="77"/>
      <c r="DJ85" s="77"/>
      <c r="DK85" s="77"/>
      <c r="DL85" s="77"/>
      <c r="DM85" s="77"/>
      <c r="DN85" s="126"/>
      <c r="DO85" s="77"/>
      <c r="DP85" s="77"/>
      <c r="DQ85" s="77"/>
      <c r="DR85" s="77"/>
      <c r="DS85" s="77"/>
      <c r="DT85" s="78"/>
      <c r="DU85" s="12"/>
    </row>
    <row r="86" spans="1:125" ht="16" customHeight="1" x14ac:dyDescent="0.2">
      <c r="A86" s="79" t="s">
        <v>202</v>
      </c>
      <c r="B86" s="68"/>
      <c r="C86" s="68"/>
      <c r="D86" s="68" t="str" cm="1">
        <f t="array" ref="D86">IF(OR(AC86="",AD86=""),"Pendiente",IF(AC86&gt;AD86,"Local",IF(AC86&lt;AD86,"Visitante","Empate")))</f>
        <v>Local</v>
      </c>
      <c r="E86" s="68" t="str" cm="1">
        <f t="array" ref="E86">IF(D86="Pendiente","-",INDEX($BT$6:$BT$53,MATCH($AA86,$BD$6:$BD$53,0)))</f>
        <v>P.1 (4)</v>
      </c>
      <c r="F86" s="68" t="str" cm="1">
        <f t="array" ref="F86">IF(D86="Pendiente","-",INDEX($BT$6:$BT$53,MATCH($AF86,$BD$6:$BD$53,0)))</f>
        <v>P.1 (4)</v>
      </c>
      <c r="G86" s="68"/>
      <c r="H86" s="68" t="str" cm="1">
        <f t="array" ref="H86">IF(D86="Pendiente","-",INDEX($BZ$6:$BZ$53,MATCH($AA86,$BD$6:$BD$53,0)))</f>
        <v>P.1 (4)</v>
      </c>
      <c r="I86" s="68" t="str" cm="1">
        <f t="array" ref="I86">IF(D86="Pendiente","-",INDEX($BZ$6:$BZ$53,MATCH($AF86,$BD$6:$BD$53,0)))</f>
        <v>P.1 (4)</v>
      </c>
      <c r="J86" s="68"/>
      <c r="K86" s="68" t="str" cm="1">
        <f t="array" ref="K86">IF(D86="Pendiente","-",INDEX($CE$6:$CE$53,MATCH($AA86,$BD$6:$BD$53,0)))</f>
        <v>P.1 (4)</v>
      </c>
      <c r="L86" s="68" t="str" cm="1">
        <f t="array" ref="L86">IF(D86="Pendiente","-",INDEX($CE$6:$CE$53,MATCH($AF86,$BD$6:$BD$53,0)))</f>
        <v>P.1 (4)</v>
      </c>
      <c r="M86" s="68"/>
      <c r="N86" s="68" t="str" cm="1">
        <f t="array" ref="N86">IF(D86="Pendiente","-",INDEX($CH$6:$CH$53,MATCH($AA86,$BD$6:$BD$53,0)))</f>
        <v>P.1 (4)</v>
      </c>
      <c r="O86" s="68" t="str" cm="1">
        <f t="array" ref="O86">IF(D86="Pendiente","-",INDEX($CH$6:$CH$53,MATCH($AF86,$BD$6:$BD$53,0)))</f>
        <v>P.1 (4)</v>
      </c>
      <c r="P86" s="68"/>
      <c r="Q86" s="68" t="str" cm="1">
        <f t="array" ref="Q86">IF(D86="Pendiente","-",INDEX($CN$6:$CN$53,MATCH($AA86,$BD$6:$BD$53,0)))</f>
        <v>P.1 (4)</v>
      </c>
      <c r="R86" s="68" t="str" cm="1">
        <f t="array" ref="R86">IF(D86="Pendiente","-",INDEX($CN$6:$CN$53,MATCH($AF86,$BD$6:$BD$53,0)))</f>
        <v>P.1 (4)</v>
      </c>
      <c r="S86" s="68"/>
      <c r="T86" s="68" t="str" cm="1">
        <f t="array" ref="T86">IF(D86="Pendiente","-",INDEX($CS$6:$CS$53,MATCH($AA86,$BD$6:$BD$53,0)))</f>
        <v>P.1 (4)</v>
      </c>
      <c r="U86" s="68" t="str" cm="1">
        <f t="array" ref="U86">IF(D86="Pendiente","-",INDEX($CS$6:$CS$53,MATCH($AF86,$BD$6:$BD$53,0)))</f>
        <v>P.1 (4)</v>
      </c>
      <c r="V86" s="80"/>
      <c r="W86" s="762"/>
      <c r="X86" s="96">
        <v>46196.541666666657</v>
      </c>
      <c r="Y86" s="97">
        <v>46196.541666666657</v>
      </c>
      <c r="Z86" s="113" t="str" cm="1">
        <f t="array" ref="Z86">$Z$6</f>
        <v>J2</v>
      </c>
      <c r="AA86" s="99" t="str" cm="1">
        <f t="array" ref="AA86">A85</f>
        <v>Portugal</v>
      </c>
      <c r="AB86" s="100"/>
      <c r="AC86" s="114">
        <v>5</v>
      </c>
      <c r="AD86" s="114">
        <v>0</v>
      </c>
      <c r="AE86" s="102"/>
      <c r="AF86" s="103" t="str" cm="1">
        <f t="array" ref="AF86">A87</f>
        <v>Uzbekistán</v>
      </c>
      <c r="AG86" s="104" cm="1">
        <f t="array" ref="AG86">IF(NOT(OR(ISBLANK(AC86),ISBLANK(AD86))),1,0)</f>
        <v>1</v>
      </c>
      <c r="AH86" s="105">
        <v>47</v>
      </c>
      <c r="AI86" s="106" t="str" cm="1">
        <f t="array" ref="AI86">AJ86&amp;$B$84</f>
        <v>1K</v>
      </c>
      <c r="AJ86" s="127">
        <v>1</v>
      </c>
      <c r="AK86" s="204"/>
      <c r="AL86" s="129" t="str" cm="1">
        <f t="array" ref="AL86">IFERROR(INDEX($BD$6:$BD$53,MATCH(AI86,$BN$6:$BN$53,0)),"")</f>
        <v>Portugal</v>
      </c>
      <c r="AM86" s="130" cm="1">
        <f t="array" ref="AM86">INDEX($BE$6:$BN$53,MATCH($AL86,$BD$6:$BD$53,0),MATCH(AM$5,$BE$5:$BN$5,0))</f>
        <v>9</v>
      </c>
      <c r="AN86" s="131" cm="1">
        <f t="array" ref="AN86">INDEX($BE$6:$BN$53,MATCH($AL86,$BD$6:$BD$53,0),MATCH(AN$5,$BE$5:$BN$5,0))</f>
        <v>3</v>
      </c>
      <c r="AO86" s="131" cm="1">
        <f t="array" ref="AO86">INDEX($BE$6:$BN$53,MATCH($AL86,$BD$6:$BD$53,0),MATCH(AO$5,$BE$5:$BN$5,0))</f>
        <v>3</v>
      </c>
      <c r="AP86" s="131" cm="1">
        <f t="array" ref="AP86">INDEX($BE$6:$BN$53,MATCH($AL86,$BD$6:$BD$53,0),MATCH(AP$5,$BE$5:$BN$5,0))</f>
        <v>0</v>
      </c>
      <c r="AQ86" s="131" cm="1">
        <f t="array" ref="AQ86">INDEX($BE$6:$BN$53,MATCH($AL86,$BD$6:$BD$53,0),MATCH(AQ$5,$BE$5:$BN$5,0))</f>
        <v>0</v>
      </c>
      <c r="AR86" s="131" cm="1">
        <f t="array" ref="AR86">INDEX($BE$6:$BN$53,MATCH($AL86,$BD$6:$BD$53,0),MATCH(AR$5,$BE$5:$BN$5,0))</f>
        <v>10</v>
      </c>
      <c r="AS86" s="131" cm="1">
        <f t="array" ref="AS86">INDEX($BE$6:$BN$53,MATCH($AL86,$BD$6:$BD$53,0),MATCH(AS$5,$BE$5:$BN$5,0))</f>
        <v>1</v>
      </c>
      <c r="AT86" s="132" cm="1">
        <f t="array" ref="AT86">INDEX($BE$6:$BN$53,MATCH($AL86,$BD$6:$BD$53,0),MATCH(AT$5,$BE$5:$BN$5,0))</f>
        <v>9</v>
      </c>
      <c r="AU86" s="133" cm="1">
        <f t="array" ref="AU86">INDEX($DL$6:$DL$53,MATCH(AI86,$DP$6:$DP$53,0))</f>
        <v>4</v>
      </c>
      <c r="AV86" s="134" t="str" cm="1">
        <f t="array" ref="AV86">INDEX($BD$6:$BD$53,MATCH(AI86,$BM$6:$BM$53,0))</f>
        <v>Portugal</v>
      </c>
      <c r="AW86" s="135"/>
      <c r="AX86" s="136"/>
      <c r="AY86" s="137" t="str" cm="1">
        <f t="array" ref="AY86">A85</f>
        <v>Portugal</v>
      </c>
      <c r="AZ86" s="138"/>
      <c r="BA86" s="125"/>
      <c r="BB86" s="77"/>
      <c r="BC86" s="77"/>
      <c r="BD86" s="77"/>
      <c r="BE86" s="77"/>
      <c r="BF86" s="77"/>
      <c r="BG86" s="77"/>
      <c r="BH86" s="77"/>
      <c r="BI86" s="77"/>
      <c r="BJ86" s="77"/>
      <c r="BK86" s="77"/>
      <c r="BL86" s="77"/>
      <c r="BM86" s="77"/>
      <c r="BN86" s="77"/>
      <c r="BO86" s="77"/>
      <c r="BP86" s="77"/>
      <c r="BQ86" s="77"/>
      <c r="BR86" s="77"/>
      <c r="BS86" s="77"/>
      <c r="BT86" s="77"/>
      <c r="BU86" s="77"/>
      <c r="BV86" s="77"/>
      <c r="BW86" s="77"/>
      <c r="BX86" s="77"/>
      <c r="BY86" s="77"/>
      <c r="BZ86" s="77"/>
      <c r="CA86" s="77"/>
      <c r="CB86" s="77"/>
      <c r="CC86" s="77"/>
      <c r="CD86" s="77"/>
      <c r="CE86" s="77"/>
      <c r="CF86" s="77"/>
      <c r="CG86" s="77"/>
      <c r="CH86" s="77"/>
      <c r="CI86" s="77"/>
      <c r="CJ86" s="77"/>
      <c r="CK86" s="77"/>
      <c r="CL86" s="77"/>
      <c r="CM86" s="77"/>
      <c r="CN86" s="77"/>
      <c r="CO86" s="77"/>
      <c r="CP86" s="77"/>
      <c r="CQ86" s="77"/>
      <c r="CR86" s="77"/>
      <c r="CS86" s="77"/>
      <c r="CT86" s="77"/>
      <c r="CU86" s="77"/>
      <c r="CV86" s="77"/>
      <c r="CW86" s="77"/>
      <c r="CX86" s="77"/>
      <c r="CY86" s="77"/>
      <c r="CZ86" s="77"/>
      <c r="DA86" s="77"/>
      <c r="DB86" s="77"/>
      <c r="DC86" s="77"/>
      <c r="DD86" s="77"/>
      <c r="DE86" s="77"/>
      <c r="DF86" s="77"/>
      <c r="DG86" s="77"/>
      <c r="DH86" s="77"/>
      <c r="DI86" s="77"/>
      <c r="DJ86" s="77"/>
      <c r="DK86" s="77"/>
      <c r="DL86" s="77"/>
      <c r="DM86" s="77"/>
      <c r="DN86" s="126"/>
      <c r="DO86" s="77"/>
      <c r="DP86" s="77"/>
      <c r="DQ86" s="77"/>
      <c r="DR86" s="77"/>
      <c r="DS86" s="77"/>
      <c r="DT86" s="78"/>
      <c r="DU86" s="12"/>
    </row>
    <row r="87" spans="1:125" ht="16" customHeight="1" x14ac:dyDescent="0.2">
      <c r="A87" s="79" t="s">
        <v>204</v>
      </c>
      <c r="B87" s="68"/>
      <c r="C87" s="68"/>
      <c r="D87" s="68" t="str" cm="1">
        <f t="array" ref="D87">IF(OR(AC87="",AD87=""),"Pendiente",IF(AC87&gt;AD87,"Local",IF(AC87&lt;AD87,"Visitante","Empate")))</f>
        <v>Local</v>
      </c>
      <c r="E87" s="68" t="str" cm="1">
        <f t="array" ref="E87">IF(D87="Pendiente","-",INDEX($BT$6:$BT$53,MATCH($AA87,$BD$6:$BD$53,0)))</f>
        <v>P.1 (4)</v>
      </c>
      <c r="F87" s="68" t="str" cm="1">
        <f t="array" ref="F87">IF(D87="Pendiente","-",INDEX($BT$6:$BT$53,MATCH($AF87,$BD$6:$BD$53,0)))</f>
        <v>P.1 (4)</v>
      </c>
      <c r="G87" s="68"/>
      <c r="H87" s="68" t="str" cm="1">
        <f t="array" ref="H87">IF(D87="Pendiente","-",INDEX($BZ$6:$BZ$53,MATCH($AA87,$BD$6:$BD$53,0)))</f>
        <v>P.1 (4)</v>
      </c>
      <c r="I87" s="68" t="str" cm="1">
        <f t="array" ref="I87">IF(D87="Pendiente","-",INDEX($BZ$6:$BZ$53,MATCH($AF87,$BD$6:$BD$53,0)))</f>
        <v>P.1 (4)</v>
      </c>
      <c r="J87" s="68"/>
      <c r="K87" s="68" t="str" cm="1">
        <f t="array" ref="K87">IF(D87="Pendiente","-",INDEX($CE$6:$CE$53,MATCH($AA87,$BD$6:$BD$53,0)))</f>
        <v>P.1 (4)</v>
      </c>
      <c r="L87" s="68" t="str" cm="1">
        <f t="array" ref="L87">IF(D87="Pendiente","-",INDEX($CE$6:$CE$53,MATCH($AF87,$BD$6:$BD$53,0)))</f>
        <v>P.1 (4)</v>
      </c>
      <c r="M87" s="68"/>
      <c r="N87" s="68" t="str" cm="1">
        <f t="array" ref="N87">IF(D87="Pendiente","-",INDEX($CH$6:$CH$53,MATCH($AA87,$BD$6:$BD$53,0)))</f>
        <v>P.1 (4)</v>
      </c>
      <c r="O87" s="68" t="str" cm="1">
        <f t="array" ref="O87">IF(D87="Pendiente","-",INDEX($CH$6:$CH$53,MATCH($AF87,$BD$6:$BD$53,0)))</f>
        <v>P.1 (4)</v>
      </c>
      <c r="P87" s="68"/>
      <c r="Q87" s="68" t="str" cm="1">
        <f t="array" ref="Q87">IF(D87="Pendiente","-",INDEX($CN$6:$CN$53,MATCH($AA87,$BD$6:$BD$53,0)))</f>
        <v>P.1 (4)</v>
      </c>
      <c r="R87" s="68" t="str" cm="1">
        <f t="array" ref="R87">IF(D87="Pendiente","-",INDEX($CN$6:$CN$53,MATCH($AF87,$BD$6:$BD$53,0)))</f>
        <v>P.1 (4)</v>
      </c>
      <c r="S87" s="68"/>
      <c r="T87" s="68" t="str" cm="1">
        <f t="array" ref="T87">IF(D87="Pendiente","-",INDEX($CS$6:$CS$53,MATCH($AA87,$BD$6:$BD$53,0)))</f>
        <v>P.1 (4)</v>
      </c>
      <c r="U87" s="68" t="str" cm="1">
        <f t="array" ref="U87">IF(D87="Pendiente","-",INDEX($CS$6:$CS$53,MATCH($AF87,$BD$6:$BD$53,0)))</f>
        <v>P.1 (4)</v>
      </c>
      <c r="V87" s="80"/>
      <c r="W87" s="762"/>
      <c r="X87" s="96">
        <v>46196.916666666657</v>
      </c>
      <c r="Y87" s="97">
        <v>46196.916666666657</v>
      </c>
      <c r="Z87" s="113" t="str" cm="1">
        <f t="array" ref="Z87">$Z$6</f>
        <v>J2</v>
      </c>
      <c r="AA87" s="99" t="str" cm="1">
        <f t="array" ref="AA87">A88</f>
        <v>Colombia</v>
      </c>
      <c r="AB87" s="100"/>
      <c r="AC87" s="114">
        <v>3</v>
      </c>
      <c r="AD87" s="114">
        <v>1</v>
      </c>
      <c r="AE87" s="102"/>
      <c r="AF87" s="103" t="str" cm="1">
        <f t="array" ref="AF87">A86</f>
        <v>RD Congo</v>
      </c>
      <c r="AG87" s="104" cm="1">
        <f t="array" ref="AG87">IF(NOT(OR(ISBLANK(AC87),ISBLANK(AD87))),1,0)</f>
        <v>1</v>
      </c>
      <c r="AH87" s="105">
        <v>48</v>
      </c>
      <c r="AI87" s="106" t="str" cm="1">
        <f t="array" ref="AI87">AJ87&amp;$B$84</f>
        <v>2K</v>
      </c>
      <c r="AJ87" s="140">
        <v>2</v>
      </c>
      <c r="AK87" s="208"/>
      <c r="AL87" s="142" t="str" cm="1">
        <f t="array" ref="AL87">IFERROR(INDEX($BD$6:$BD$53,MATCH(AI87,$BN$6:$BN$53,0)),"")</f>
        <v>RD Congo</v>
      </c>
      <c r="AM87" s="143" cm="1">
        <f t="array" ref="AM87">INDEX($BE$6:$BN$53,MATCH($AL87,$BD$6:$BD$53,0),MATCH(AM$5,$BE$5:$BN$5,0))</f>
        <v>3</v>
      </c>
      <c r="AN87" s="144" cm="1">
        <f t="array" ref="AN87">INDEX($BE$6:$BN$53,MATCH($AL87,$BD$6:$BD$53,0),MATCH(AN$5,$BE$5:$BN$5,0))</f>
        <v>3</v>
      </c>
      <c r="AO87" s="144" cm="1">
        <f t="array" ref="AO87">INDEX($BE$6:$BN$53,MATCH($AL87,$BD$6:$BD$53,0),MATCH(AO$5,$BE$5:$BN$5,0))</f>
        <v>1</v>
      </c>
      <c r="AP87" s="144" cm="1">
        <f t="array" ref="AP87">INDEX($BE$6:$BN$53,MATCH($AL87,$BD$6:$BD$53,0),MATCH(AP$5,$BE$5:$BN$5,0))</f>
        <v>0</v>
      </c>
      <c r="AQ87" s="144" cm="1">
        <f t="array" ref="AQ87">INDEX($BE$6:$BN$53,MATCH($AL87,$BD$6:$BD$53,0),MATCH(AQ$5,$BE$5:$BN$5,0))</f>
        <v>2</v>
      </c>
      <c r="AR87" s="144" cm="1">
        <f t="array" ref="AR87">INDEX($BE$6:$BN$53,MATCH($AL87,$BD$6:$BD$53,0),MATCH(AR$5,$BE$5:$BN$5,0))</f>
        <v>2</v>
      </c>
      <c r="AS87" s="144" cm="1">
        <f t="array" ref="AS87">INDEX($BE$6:$BN$53,MATCH($AL87,$BD$6:$BD$53,0),MATCH(AS$5,$BE$5:$BN$5,0))</f>
        <v>6</v>
      </c>
      <c r="AT87" s="145" cm="1">
        <f t="array" ref="AT87">INDEX($BE$6:$BN$53,MATCH($AL87,$BD$6:$BD$53,0),MATCH(AT$5,$BE$5:$BN$5,0))</f>
        <v>-4</v>
      </c>
      <c r="AU87" s="133" cm="1">
        <f t="array" ref="AU87">INDEX($DL$6:$DL$53,MATCH(AI87,$DP$6:$DP$53,0))</f>
        <v>4</v>
      </c>
      <c r="AV87" s="134" t="str" cm="1">
        <f t="array" ref="AV87">INDEX($BD$6:$BD$53,MATCH(AI87,$BM$6:$BM$53,0))</f>
        <v>RD Congo</v>
      </c>
      <c r="AW87" s="135"/>
      <c r="AX87" s="136"/>
      <c r="AY87" s="146" t="str" cm="1">
        <f t="array" ref="AY87">A86</f>
        <v>RD Congo</v>
      </c>
      <c r="AZ87" s="147"/>
      <c r="BA87" s="125"/>
      <c r="BB87" s="77"/>
      <c r="BC87" s="77"/>
      <c r="BD87" s="77"/>
      <c r="BE87" s="77"/>
      <c r="BF87" s="77"/>
      <c r="BG87" s="77"/>
      <c r="BH87" s="77"/>
      <c r="BI87" s="77"/>
      <c r="BJ87" s="77"/>
      <c r="BK87" s="77"/>
      <c r="BL87" s="77"/>
      <c r="BM87" s="77"/>
      <c r="BN87" s="77"/>
      <c r="BO87" s="77"/>
      <c r="BP87" s="77"/>
      <c r="BQ87" s="77"/>
      <c r="BR87" s="77"/>
      <c r="BS87" s="77"/>
      <c r="BT87" s="77"/>
      <c r="BU87" s="77"/>
      <c r="BV87" s="77"/>
      <c r="BW87" s="77"/>
      <c r="BX87" s="77"/>
      <c r="BY87" s="77"/>
      <c r="BZ87" s="77"/>
      <c r="CA87" s="77"/>
      <c r="CB87" s="77"/>
      <c r="CC87" s="77"/>
      <c r="CD87" s="77"/>
      <c r="CE87" s="77"/>
      <c r="CF87" s="77"/>
      <c r="CG87" s="77"/>
      <c r="CH87" s="77"/>
      <c r="CI87" s="77"/>
      <c r="CJ87" s="77"/>
      <c r="CK87" s="77"/>
      <c r="CL87" s="77"/>
      <c r="CM87" s="77"/>
      <c r="CN87" s="77"/>
      <c r="CO87" s="77"/>
      <c r="CP87" s="77"/>
      <c r="CQ87" s="77"/>
      <c r="CR87" s="77"/>
      <c r="CS87" s="77"/>
      <c r="CT87" s="77"/>
      <c r="CU87" s="77"/>
      <c r="CV87" s="77"/>
      <c r="CW87" s="77"/>
      <c r="CX87" s="77"/>
      <c r="CY87" s="77"/>
      <c r="CZ87" s="77"/>
      <c r="DA87" s="77"/>
      <c r="DB87" s="77"/>
      <c r="DC87" s="77"/>
      <c r="DD87" s="77"/>
      <c r="DE87" s="77"/>
      <c r="DF87" s="77"/>
      <c r="DG87" s="77"/>
      <c r="DH87" s="77"/>
      <c r="DI87" s="77"/>
      <c r="DJ87" s="77"/>
      <c r="DK87" s="77"/>
      <c r="DL87" s="77"/>
      <c r="DM87" s="77"/>
      <c r="DN87" s="126"/>
      <c r="DO87" s="77"/>
      <c r="DP87" s="77"/>
      <c r="DQ87" s="77"/>
      <c r="DR87" s="77"/>
      <c r="DS87" s="77"/>
      <c r="DT87" s="78"/>
      <c r="DU87" s="12"/>
    </row>
    <row r="88" spans="1:125" ht="16" customHeight="1" x14ac:dyDescent="0.2">
      <c r="A88" s="79" t="s">
        <v>206</v>
      </c>
      <c r="B88" s="68"/>
      <c r="C88" s="68"/>
      <c r="D88" s="68" t="str" cm="1">
        <f t="array" ref="D88">IF(OR(AC88="",AD88=""),"Pendiente",IF(AC88&gt;AD88,"Local",IF(AC88&lt;AD88,"Visitante","Empate")))</f>
        <v>Visitante</v>
      </c>
      <c r="E88" s="68" t="str" cm="1">
        <f t="array" ref="E88">IF(D88="Pendiente","-",INDEX($BT$6:$BT$53,MATCH($AA88,$BD$6:$BD$53,0)))</f>
        <v>P.1 (4)</v>
      </c>
      <c r="F88" s="68" t="str" cm="1">
        <f t="array" ref="F88">IF(D88="Pendiente","-",INDEX($BT$6:$BT$53,MATCH($AF88,$BD$6:$BD$53,0)))</f>
        <v>P.1 (4)</v>
      </c>
      <c r="G88" s="68"/>
      <c r="H88" s="68" t="str" cm="1">
        <f t="array" ref="H88">IF(D88="Pendiente","-",INDEX($BZ$6:$BZ$53,MATCH($AA88,$BD$6:$BD$53,0)))</f>
        <v>P.1 (4)</v>
      </c>
      <c r="I88" s="68" t="str" cm="1">
        <f t="array" ref="I88">IF(D88="Pendiente","-",INDEX($BZ$6:$BZ$53,MATCH($AF88,$BD$6:$BD$53,0)))</f>
        <v>P.1 (4)</v>
      </c>
      <c r="J88" s="68"/>
      <c r="K88" s="68" t="str" cm="1">
        <f t="array" ref="K88">IF(D88="Pendiente","-",INDEX($CE$6:$CE$53,MATCH($AA88,$BD$6:$BD$53,0)))</f>
        <v>P.1 (4)</v>
      </c>
      <c r="L88" s="68" t="str" cm="1">
        <f t="array" ref="L88">IF(D88="Pendiente","-",INDEX($CE$6:$CE$53,MATCH($AF88,$BD$6:$BD$53,0)))</f>
        <v>P.1 (4)</v>
      </c>
      <c r="M88" s="68"/>
      <c r="N88" s="68" t="str" cm="1">
        <f t="array" ref="N88">IF(D88="Pendiente","-",INDEX($CH$6:$CH$53,MATCH($AA88,$BD$6:$BD$53,0)))</f>
        <v>P.1 (4)</v>
      </c>
      <c r="O88" s="68" t="str" cm="1">
        <f t="array" ref="O88">IF(D88="Pendiente","-",INDEX($CH$6:$CH$53,MATCH($AF88,$BD$6:$BD$53,0)))</f>
        <v>P.1 (4)</v>
      </c>
      <c r="P88" s="68"/>
      <c r="Q88" s="68" t="str" cm="1">
        <f t="array" ref="Q88">IF(D88="Pendiente","-",INDEX($CN$6:$CN$53,MATCH($AA88,$BD$6:$BD$53,0)))</f>
        <v>P.1 (4)</v>
      </c>
      <c r="R88" s="68" t="str" cm="1">
        <f t="array" ref="R88">IF(D88="Pendiente","-",INDEX($CN$6:$CN$53,MATCH($AF88,$BD$6:$BD$53,0)))</f>
        <v>P.1 (4)</v>
      </c>
      <c r="S88" s="68"/>
      <c r="T88" s="68" t="str" cm="1">
        <f t="array" ref="T88">IF(D88="Pendiente","-",INDEX($CS$6:$CS$53,MATCH($AA88,$BD$6:$BD$53,0)))</f>
        <v>P.1 (4)</v>
      </c>
      <c r="U88" s="68" t="str" cm="1">
        <f t="array" ref="U88">IF(D88="Pendiente","-",INDEX($CS$6:$CS$53,MATCH($AF88,$BD$6:$BD$53,0)))</f>
        <v>P.1 (4)</v>
      </c>
      <c r="V88" s="80"/>
      <c r="W88" s="762"/>
      <c r="X88" s="96">
        <v>46200.8125</v>
      </c>
      <c r="Y88" s="97">
        <v>46200.8125</v>
      </c>
      <c r="Z88" s="113" t="str" cm="1">
        <f t="array" ref="Z88">$Z$8</f>
        <v>J3</v>
      </c>
      <c r="AA88" s="99" t="str" cm="1">
        <f t="array" ref="AA88">A88</f>
        <v>Colombia</v>
      </c>
      <c r="AB88" s="100"/>
      <c r="AC88" s="114">
        <v>1</v>
      </c>
      <c r="AD88" s="114">
        <v>2</v>
      </c>
      <c r="AE88" s="102"/>
      <c r="AF88" s="103" t="str" cm="1">
        <f t="array" ref="AF88">A85</f>
        <v>Portugal</v>
      </c>
      <c r="AG88" s="104" cm="1">
        <f t="array" ref="AG88">IF(NOT(OR(ISBLANK(AC88),ISBLANK(AD88))),1,0)</f>
        <v>1</v>
      </c>
      <c r="AH88" s="105">
        <v>71</v>
      </c>
      <c r="AI88" s="106" t="str" cm="1">
        <f t="array" ref="AI88">AJ88&amp;$B$84</f>
        <v>3K</v>
      </c>
      <c r="AJ88" s="140">
        <v>3</v>
      </c>
      <c r="AK88" s="208"/>
      <c r="AL88" s="142" t="str" cm="1">
        <f t="array" ref="AL88">IFERROR(INDEX($BD$6:$BD$53,MATCH(AI88,$BN$6:$BN$53,0)),"")</f>
        <v>Uzbekistán</v>
      </c>
      <c r="AM88" s="143" cm="1">
        <f t="array" ref="AM88">INDEX($BE$6:$BN$53,MATCH($AL88,$BD$6:$BD$53,0),MATCH(AM$5,$BE$5:$BN$5,0))</f>
        <v>0</v>
      </c>
      <c r="AN88" s="144" cm="1">
        <f t="array" ref="AN88">INDEX($BE$6:$BN$53,MATCH($AL88,$BD$6:$BD$53,0),MATCH(AN$5,$BE$5:$BN$5,0))</f>
        <v>3</v>
      </c>
      <c r="AO88" s="144" cm="1">
        <f t="array" ref="AO88">INDEX($BE$6:$BN$53,MATCH($AL88,$BD$6:$BD$53,0),MATCH(AO$5,$BE$5:$BN$5,0))</f>
        <v>0</v>
      </c>
      <c r="AP88" s="144" cm="1">
        <f t="array" ref="AP88">INDEX($BE$6:$BN$53,MATCH($AL88,$BD$6:$BD$53,0),MATCH(AP$5,$BE$5:$BN$5,0))</f>
        <v>0</v>
      </c>
      <c r="AQ88" s="144" cm="1">
        <f t="array" ref="AQ88">INDEX($BE$6:$BN$53,MATCH($AL88,$BD$6:$BD$53,0),MATCH(AQ$5,$BE$5:$BN$5,0))</f>
        <v>3</v>
      </c>
      <c r="AR88" s="144" cm="1">
        <f t="array" ref="AR88">INDEX($BE$6:$BN$53,MATCH($AL88,$BD$6:$BD$53,0),MATCH(AR$5,$BE$5:$BN$5,0))</f>
        <v>0</v>
      </c>
      <c r="AS88" s="144" cm="1">
        <f t="array" ref="AS88">INDEX($BE$6:$BN$53,MATCH($AL88,$BD$6:$BD$53,0),MATCH(AS$5,$BE$5:$BN$5,0))</f>
        <v>8</v>
      </c>
      <c r="AT88" s="145" cm="1">
        <f t="array" ref="AT88">INDEX($BE$6:$BN$53,MATCH($AL88,$BD$6:$BD$53,0),MATCH(AT$5,$BE$5:$BN$5,0))</f>
        <v>-8</v>
      </c>
      <c r="AU88" s="133" cm="1">
        <f t="array" ref="AU88">INDEX($DL$6:$DL$53,MATCH(AI88,$DP$6:$DP$53,0))</f>
        <v>4</v>
      </c>
      <c r="AV88" s="134" t="str" cm="1">
        <f t="array" ref="AV88">INDEX($BD$6:$BD$53,MATCH(AI88,$BM$6:$BM$53,0))</f>
        <v>Uzbekistán</v>
      </c>
      <c r="AW88" s="135"/>
      <c r="AX88" s="136"/>
      <c r="AY88" s="137" t="str" cm="1">
        <f t="array" ref="AY88">A87</f>
        <v>Uzbekistán</v>
      </c>
      <c r="AZ88" s="138"/>
      <c r="BA88" s="125"/>
      <c r="BB88" s="77"/>
      <c r="BC88" s="77"/>
      <c r="BD88" s="77"/>
      <c r="BE88" s="77"/>
      <c r="BF88" s="77"/>
      <c r="BG88" s="77"/>
      <c r="BH88" s="77"/>
      <c r="BI88" s="77"/>
      <c r="BJ88" s="77"/>
      <c r="BK88" s="77"/>
      <c r="BL88" s="77"/>
      <c r="BM88" s="77"/>
      <c r="BN88" s="77"/>
      <c r="BO88" s="77"/>
      <c r="BP88" s="77"/>
      <c r="BQ88" s="77"/>
      <c r="BR88" s="77"/>
      <c r="BS88" s="77"/>
      <c r="BT88" s="77"/>
      <c r="BU88" s="77"/>
      <c r="BV88" s="77"/>
      <c r="BW88" s="77"/>
      <c r="BX88" s="77"/>
      <c r="BY88" s="77"/>
      <c r="BZ88" s="77"/>
      <c r="CA88" s="77"/>
      <c r="CB88" s="77"/>
      <c r="CC88" s="77"/>
      <c r="CD88" s="77"/>
      <c r="CE88" s="77"/>
      <c r="CF88" s="77"/>
      <c r="CG88" s="77"/>
      <c r="CH88" s="77"/>
      <c r="CI88" s="77"/>
      <c r="CJ88" s="77"/>
      <c r="CK88" s="77"/>
      <c r="CL88" s="77"/>
      <c r="CM88" s="77"/>
      <c r="CN88" s="77"/>
      <c r="CO88" s="77"/>
      <c r="CP88" s="77"/>
      <c r="CQ88" s="77"/>
      <c r="CR88" s="77"/>
      <c r="CS88" s="77"/>
      <c r="CT88" s="77"/>
      <c r="CU88" s="77"/>
      <c r="CV88" s="77"/>
      <c r="CW88" s="77"/>
      <c r="CX88" s="77"/>
      <c r="CY88" s="77"/>
      <c r="CZ88" s="77"/>
      <c r="DA88" s="77"/>
      <c r="DB88" s="77"/>
      <c r="DC88" s="77"/>
      <c r="DD88" s="77"/>
      <c r="DE88" s="77"/>
      <c r="DF88" s="77"/>
      <c r="DG88" s="77"/>
      <c r="DH88" s="77"/>
      <c r="DI88" s="77"/>
      <c r="DJ88" s="77"/>
      <c r="DK88" s="77"/>
      <c r="DL88" s="77"/>
      <c r="DM88" s="77"/>
      <c r="DN88" s="77"/>
      <c r="DO88" s="77"/>
      <c r="DP88" s="77"/>
      <c r="DQ88" s="77"/>
      <c r="DR88" s="77"/>
      <c r="DS88" s="77"/>
      <c r="DT88" s="78"/>
      <c r="DU88" s="12"/>
    </row>
    <row r="89" spans="1:125" ht="16" customHeight="1" x14ac:dyDescent="0.2">
      <c r="A89" s="68"/>
      <c r="B89" s="68"/>
      <c r="C89" s="68"/>
      <c r="D89" s="68" t="str" cm="1">
        <f t="array" ref="D89">IF(OR(AC89="",AD89=""),"Pendiente",IF(AC89&gt;AD89,"Local",IF(AC89&lt;AD89,"Visitante","Empate")))</f>
        <v>Local</v>
      </c>
      <c r="E89" s="68" t="str" cm="1">
        <f t="array" ref="E89">IF(D89="Pendiente","-",INDEX($BT$6:$BT$53,MATCH($AA89,$BD$6:$BD$53,0)))</f>
        <v>P.1 (4)</v>
      </c>
      <c r="F89" s="68" t="str" cm="1">
        <f t="array" ref="F89">IF(D89="Pendiente","-",INDEX($BT$6:$BT$53,MATCH($AF89,$BD$6:$BD$53,0)))</f>
        <v>P.1 (4)</v>
      </c>
      <c r="G89" s="68"/>
      <c r="H89" s="68" t="str" cm="1">
        <f t="array" ref="H89">IF(D89="Pendiente","-",INDEX($BZ$6:$BZ$53,MATCH($AA89,$BD$6:$BD$53,0)))</f>
        <v>P.1 (4)</v>
      </c>
      <c r="I89" s="68" t="str" cm="1">
        <f t="array" ref="I89">IF(D89="Pendiente","-",INDEX($BZ$6:$BZ$53,MATCH($AF89,$BD$6:$BD$53,0)))</f>
        <v>P.1 (4)</v>
      </c>
      <c r="J89" s="68"/>
      <c r="K89" s="68" t="str" cm="1">
        <f t="array" ref="K89">IF(D89="Pendiente","-",INDEX($CE$6:$CE$53,MATCH($AA89,$BD$6:$BD$53,0)))</f>
        <v>P.1 (4)</v>
      </c>
      <c r="L89" s="68" t="str" cm="1">
        <f t="array" ref="L89">IF(D89="Pendiente","-",INDEX($CE$6:$CE$53,MATCH($AF89,$BD$6:$BD$53,0)))</f>
        <v>P.1 (4)</v>
      </c>
      <c r="M89" s="68"/>
      <c r="N89" s="68" t="str" cm="1">
        <f t="array" ref="N89">IF(D89="Pendiente","-",INDEX($CH$6:$CH$53,MATCH($AA89,$BD$6:$BD$53,0)))</f>
        <v>P.1 (4)</v>
      </c>
      <c r="O89" s="68" t="str" cm="1">
        <f t="array" ref="O89">IF(D89="Pendiente","-",INDEX($CH$6:$CH$53,MATCH($AF89,$BD$6:$BD$53,0)))</f>
        <v>P.1 (4)</v>
      </c>
      <c r="P89" s="68"/>
      <c r="Q89" s="68" t="str" cm="1">
        <f t="array" ref="Q89">IF(D89="Pendiente","-",INDEX($CN$6:$CN$53,MATCH($AA89,$BD$6:$BD$53,0)))</f>
        <v>P.1 (4)</v>
      </c>
      <c r="R89" s="68" t="str" cm="1">
        <f t="array" ref="R89">IF(D89="Pendiente","-",INDEX($CN$6:$CN$53,MATCH($AF89,$BD$6:$BD$53,0)))</f>
        <v>P.1 (4)</v>
      </c>
      <c r="S89" s="68"/>
      <c r="T89" s="68" t="str" cm="1">
        <f t="array" ref="T89">IF(D89="Pendiente","-",INDEX($CS$6:$CS$53,MATCH($AA89,$BD$6:$BD$53,0)))</f>
        <v>P.1 (4)</v>
      </c>
      <c r="U89" s="68" t="str" cm="1">
        <f t="array" ref="U89">IF(D89="Pendiente","-",INDEX($CS$6:$CS$53,MATCH($AF89,$BD$6:$BD$53,0)))</f>
        <v>P.1 (4)</v>
      </c>
      <c r="V89" s="80"/>
      <c r="W89" s="763"/>
      <c r="X89" s="148">
        <v>46200.8125</v>
      </c>
      <c r="Y89" s="149">
        <v>46200.8125</v>
      </c>
      <c r="Z89" s="150" t="str" cm="1">
        <f t="array" ref="Z89">$Z$8</f>
        <v>J3</v>
      </c>
      <c r="AA89" s="151" t="str" cm="1">
        <f t="array" ref="AA89">A86</f>
        <v>RD Congo</v>
      </c>
      <c r="AB89" s="152"/>
      <c r="AC89" s="153">
        <v>1</v>
      </c>
      <c r="AD89" s="153">
        <v>0</v>
      </c>
      <c r="AE89" s="154"/>
      <c r="AF89" s="155" t="str" cm="1">
        <f t="array" ref="AF89">A87</f>
        <v>Uzbekistán</v>
      </c>
      <c r="AG89" s="104" cm="1">
        <f t="array" ref="AG89">IF(NOT(OR(ISBLANK(AC89),ISBLANK(AD89))),1,0)</f>
        <v>1</v>
      </c>
      <c r="AH89" s="105">
        <v>72</v>
      </c>
      <c r="AI89" s="106" t="str" cm="1">
        <f t="array" ref="AI89">AJ89&amp;$B$84</f>
        <v>4K</v>
      </c>
      <c r="AJ89" s="156">
        <v>4</v>
      </c>
      <c r="AK89" s="222"/>
      <c r="AL89" s="158" t="str" cm="1">
        <f t="array" ref="AL89">IFERROR(INDEX($BD$6:$BD$53,MATCH(AI89,$BN$6:$BN$53,0)),"")</f>
        <v>Colombia</v>
      </c>
      <c r="AM89" s="159" cm="1">
        <f t="array" ref="AM89">INDEX($BE$6:$BN$53,MATCH($AL89,$BD$6:$BD$53,0),MATCH(AM$5,$BE$5:$BN$5,0))</f>
        <v>6</v>
      </c>
      <c r="AN89" s="160" cm="1">
        <f t="array" ref="AN89">INDEX($BE$6:$BN$53,MATCH($AL89,$BD$6:$BD$53,0),MATCH(AN$5,$BE$5:$BN$5,0))</f>
        <v>3</v>
      </c>
      <c r="AO89" s="160" cm="1">
        <f t="array" ref="AO89">INDEX($BE$6:$BN$53,MATCH($AL89,$BD$6:$BD$53,0),MATCH(AO$5,$BE$5:$BN$5,0))</f>
        <v>2</v>
      </c>
      <c r="AP89" s="160" cm="1">
        <f t="array" ref="AP89">INDEX($BE$6:$BN$53,MATCH($AL89,$BD$6:$BD$53,0),MATCH(AP$5,$BE$5:$BN$5,0))</f>
        <v>0</v>
      </c>
      <c r="AQ89" s="160" cm="1">
        <f t="array" ref="AQ89">INDEX($BE$6:$BN$53,MATCH($AL89,$BD$6:$BD$53,0),MATCH(AQ$5,$BE$5:$BN$5,0))</f>
        <v>1</v>
      </c>
      <c r="AR89" s="160" cm="1">
        <f t="array" ref="AR89">INDEX($BE$6:$BN$53,MATCH($AL89,$BD$6:$BD$53,0),MATCH(AR$5,$BE$5:$BN$5,0))</f>
        <v>6</v>
      </c>
      <c r="AS89" s="160" cm="1">
        <f t="array" ref="AS89">INDEX($BE$6:$BN$53,MATCH($AL89,$BD$6:$BD$53,0),MATCH(AS$5,$BE$5:$BN$5,0))</f>
        <v>3</v>
      </c>
      <c r="AT89" s="161" cm="1">
        <f t="array" ref="AT89">INDEX($BE$6:$BN$53,MATCH($AL89,$BD$6:$BD$53,0),MATCH(AT$5,$BE$5:$BN$5,0))</f>
        <v>3</v>
      </c>
      <c r="AU89" s="133" cm="1">
        <f t="array" ref="AU89">INDEX($DL$6:$DL$53,MATCH(AI89,$DP$6:$DP$53,0))</f>
        <v>4</v>
      </c>
      <c r="AV89" s="134" t="str" cm="1">
        <f t="array" ref="AV89">INDEX($BD$6:$BD$53,MATCH(AI89,$BM$6:$BM$53,0))</f>
        <v>Colombia</v>
      </c>
      <c r="AW89" s="135"/>
      <c r="AX89" s="136"/>
      <c r="AY89" s="162" t="str" cm="1">
        <f t="array" ref="AY89">A88</f>
        <v>Colombia</v>
      </c>
      <c r="AZ89" s="163"/>
      <c r="BA89" s="125"/>
      <c r="BB89" s="77"/>
      <c r="BC89" s="77"/>
      <c r="BD89" s="77"/>
      <c r="BE89" s="77"/>
      <c r="BF89" s="77"/>
      <c r="BG89" s="77"/>
      <c r="BH89" s="77"/>
      <c r="BI89" s="77"/>
      <c r="BJ89" s="77"/>
      <c r="BK89" s="77"/>
      <c r="BL89" s="77"/>
      <c r="BM89" s="77"/>
      <c r="BN89" s="77"/>
      <c r="BO89" s="77"/>
      <c r="BP89" s="77"/>
      <c r="BQ89" s="77"/>
      <c r="BR89" s="77"/>
      <c r="BS89" s="77"/>
      <c r="BT89" s="77"/>
      <c r="BU89" s="77"/>
      <c r="BV89" s="77"/>
      <c r="BW89" s="77"/>
      <c r="BX89" s="77"/>
      <c r="BY89" s="77"/>
      <c r="BZ89" s="77"/>
      <c r="CA89" s="77"/>
      <c r="CB89" s="77"/>
      <c r="CC89" s="77"/>
      <c r="CD89" s="77"/>
      <c r="CE89" s="77"/>
      <c r="CF89" s="77"/>
      <c r="CG89" s="77"/>
      <c r="CH89" s="77"/>
      <c r="CI89" s="77"/>
      <c r="CJ89" s="77"/>
      <c r="CK89" s="77"/>
      <c r="CL89" s="77"/>
      <c r="CM89" s="77"/>
      <c r="CN89" s="77"/>
      <c r="CO89" s="77"/>
      <c r="CP89" s="77"/>
      <c r="CQ89" s="77"/>
      <c r="CR89" s="77"/>
      <c r="CS89" s="77"/>
      <c r="CT89" s="77"/>
      <c r="CU89" s="77"/>
      <c r="CV89" s="77"/>
      <c r="CW89" s="77"/>
      <c r="CX89" s="77"/>
      <c r="CY89" s="77"/>
      <c r="CZ89" s="77"/>
      <c r="DA89" s="77"/>
      <c r="DB89" s="77"/>
      <c r="DC89" s="77"/>
      <c r="DD89" s="77"/>
      <c r="DE89" s="77"/>
      <c r="DF89" s="77"/>
      <c r="DG89" s="77"/>
      <c r="DH89" s="77"/>
      <c r="DI89" s="77"/>
      <c r="DJ89" s="77"/>
      <c r="DK89" s="77"/>
      <c r="DL89" s="77"/>
      <c r="DM89" s="77"/>
      <c r="DN89" s="77"/>
      <c r="DO89" s="77"/>
      <c r="DP89" s="77"/>
      <c r="DQ89" s="77"/>
      <c r="DR89" s="77"/>
      <c r="DS89" s="77"/>
      <c r="DT89" s="78"/>
      <c r="DU89" s="12"/>
    </row>
    <row r="90" spans="1:125" ht="16" customHeight="1" x14ac:dyDescent="0.2">
      <c r="A90" s="68"/>
      <c r="B90" s="68"/>
      <c r="C90" s="68"/>
      <c r="D90" s="68"/>
      <c r="E90" s="68"/>
      <c r="F90" s="68"/>
      <c r="G90" s="68"/>
      <c r="H90" s="68"/>
      <c r="I90" s="68"/>
      <c r="J90" s="68"/>
      <c r="K90" s="68"/>
      <c r="L90" s="68"/>
      <c r="M90" s="68"/>
      <c r="N90" s="68"/>
      <c r="O90" s="68"/>
      <c r="P90" s="68"/>
      <c r="Q90" s="68"/>
      <c r="R90" s="68"/>
      <c r="S90" s="68"/>
      <c r="T90" s="68"/>
      <c r="U90" s="68"/>
      <c r="V90" s="69"/>
      <c r="W90" s="164"/>
      <c r="X90" s="165"/>
      <c r="Y90" s="164"/>
      <c r="Z90" s="166"/>
      <c r="AA90" s="167"/>
      <c r="AB90" s="168"/>
      <c r="AC90" s="169"/>
      <c r="AD90" s="169"/>
      <c r="AE90" s="168"/>
      <c r="AF90" s="170"/>
      <c r="AG90" s="216"/>
      <c r="AH90" s="172"/>
      <c r="AI90" s="217"/>
      <c r="AJ90" s="173"/>
      <c r="AK90" s="174"/>
      <c r="AL90" s="175"/>
      <c r="AM90" s="176"/>
      <c r="AN90" s="173"/>
      <c r="AO90" s="173"/>
      <c r="AP90" s="173"/>
      <c r="AQ90" s="173"/>
      <c r="AR90" s="173"/>
      <c r="AS90" s="173"/>
      <c r="AT90" s="173"/>
      <c r="AU90" s="177"/>
      <c r="AV90" s="178"/>
      <c r="AW90" s="135"/>
      <c r="AX90" s="179"/>
      <c r="AY90" s="180"/>
      <c r="AZ90" s="181"/>
      <c r="BA90" s="8"/>
      <c r="BB90" s="77"/>
      <c r="BC90" s="77"/>
      <c r="BD90" s="77"/>
      <c r="BE90" s="77"/>
      <c r="BF90" s="77"/>
      <c r="BG90" s="77"/>
      <c r="BH90" s="77"/>
      <c r="BI90" s="77"/>
      <c r="BJ90" s="77"/>
      <c r="BK90" s="77"/>
      <c r="BL90" s="77"/>
      <c r="BM90" s="77"/>
      <c r="BN90" s="77"/>
      <c r="BO90" s="77"/>
      <c r="BP90" s="77"/>
      <c r="BQ90" s="77"/>
      <c r="BR90" s="77"/>
      <c r="BS90" s="77"/>
      <c r="BT90" s="77"/>
      <c r="BU90" s="77"/>
      <c r="BV90" s="77"/>
      <c r="BW90" s="77"/>
      <c r="BX90" s="77"/>
      <c r="BY90" s="77"/>
      <c r="BZ90" s="77"/>
      <c r="CA90" s="77"/>
      <c r="CB90" s="77"/>
      <c r="CC90" s="77"/>
      <c r="CD90" s="77"/>
      <c r="CE90" s="77"/>
      <c r="CF90" s="77"/>
      <c r="CG90" s="77"/>
      <c r="CH90" s="77"/>
      <c r="CI90" s="77"/>
      <c r="CJ90" s="77"/>
      <c r="CK90" s="77"/>
      <c r="CL90" s="77"/>
      <c r="CM90" s="77"/>
      <c r="CN90" s="77"/>
      <c r="CO90" s="77"/>
      <c r="CP90" s="77"/>
      <c r="CQ90" s="77"/>
      <c r="CR90" s="77"/>
      <c r="CS90" s="77"/>
      <c r="CT90" s="77"/>
      <c r="CU90" s="77"/>
      <c r="CV90" s="77"/>
      <c r="CW90" s="77"/>
      <c r="CX90" s="77"/>
      <c r="CY90" s="77"/>
      <c r="CZ90" s="77"/>
      <c r="DA90" s="77"/>
      <c r="DB90" s="77"/>
      <c r="DC90" s="77"/>
      <c r="DD90" s="77"/>
      <c r="DE90" s="77"/>
      <c r="DF90" s="77"/>
      <c r="DG90" s="77"/>
      <c r="DH90" s="77"/>
      <c r="DI90" s="77"/>
      <c r="DJ90" s="77"/>
      <c r="DK90" s="77"/>
      <c r="DL90" s="77"/>
      <c r="DM90" s="77"/>
      <c r="DN90" s="77"/>
      <c r="DO90" s="77"/>
      <c r="DP90" s="77"/>
      <c r="DQ90" s="77"/>
      <c r="DR90" s="77"/>
      <c r="DS90" s="77"/>
      <c r="DT90" s="78"/>
      <c r="DU90" s="12"/>
    </row>
    <row r="91" spans="1:125" ht="16" customHeight="1" x14ac:dyDescent="0.2">
      <c r="A91" s="68"/>
      <c r="B91" s="68"/>
      <c r="C91" s="68"/>
      <c r="D91" s="68"/>
      <c r="E91" s="68"/>
      <c r="F91" s="68"/>
      <c r="G91" s="68"/>
      <c r="H91" s="68"/>
      <c r="I91" s="68"/>
      <c r="J91" s="68"/>
      <c r="K91" s="68"/>
      <c r="L91" s="68"/>
      <c r="M91" s="68"/>
      <c r="N91" s="68"/>
      <c r="O91" s="68"/>
      <c r="P91" s="68"/>
      <c r="Q91" s="68"/>
      <c r="R91" s="68"/>
      <c r="S91" s="68"/>
      <c r="T91" s="68"/>
      <c r="U91" s="68"/>
      <c r="V91" s="80"/>
      <c r="W91" s="81"/>
      <c r="X91" s="182" t="str" cm="1">
        <f t="array" ref="X91">X3</f>
        <v>Fecha</v>
      </c>
      <c r="Y91" s="182" t="str" cm="1">
        <f t="array" ref="Y91">Y3</f>
        <v>Hora</v>
      </c>
      <c r="Z91" s="223" t="str" cm="1">
        <f t="array" ref="Z91">Z3</f>
        <v>Jor.</v>
      </c>
      <c r="AA91" s="224" t="str" cm="1">
        <f t="array" ref="AA91">AA3</f>
        <v>Casa</v>
      </c>
      <c r="AB91" s="223"/>
      <c r="AC91" s="182" t="str" cm="1">
        <f t="array" ref="AC91">AC3</f>
        <v>Gol</v>
      </c>
      <c r="AD91" s="182" t="str" cm="1">
        <f t="array" ref="AD91">AD3</f>
        <v>Gol</v>
      </c>
      <c r="AE91" s="223"/>
      <c r="AF91" s="225" t="str" cm="1">
        <f t="array" ref="AF91">AF3</f>
        <v>Fuera</v>
      </c>
      <c r="AG91" s="185"/>
      <c r="AH91" s="172"/>
      <c r="AI91" s="73"/>
      <c r="AJ91" s="90"/>
      <c r="AK91" s="186"/>
      <c r="AL91" s="90"/>
      <c r="AM91" s="90"/>
      <c r="AN91" s="90"/>
      <c r="AO91" s="90"/>
      <c r="AP91" s="90"/>
      <c r="AQ91" s="90"/>
      <c r="AR91" s="90"/>
      <c r="AS91" s="90"/>
      <c r="AT91" s="90"/>
      <c r="AU91" s="187"/>
      <c r="AV91" s="74"/>
      <c r="AW91" s="188"/>
      <c r="AX91" s="189"/>
      <c r="AY91" s="190"/>
      <c r="AZ91" s="191"/>
      <c r="BA91" s="8"/>
      <c r="BB91" s="77"/>
      <c r="BC91" s="77"/>
      <c r="BD91" s="77"/>
      <c r="BE91" s="77"/>
      <c r="BF91" s="77"/>
      <c r="BG91" s="77"/>
      <c r="BH91" s="77"/>
      <c r="BI91" s="77"/>
      <c r="BJ91" s="77"/>
      <c r="BK91" s="77"/>
      <c r="BL91" s="77"/>
      <c r="BM91" s="77"/>
      <c r="BN91" s="77"/>
      <c r="BO91" s="77"/>
      <c r="BP91" s="77"/>
      <c r="BQ91" s="77"/>
      <c r="BR91" s="77"/>
      <c r="BS91" s="77"/>
      <c r="BT91" s="77"/>
      <c r="BU91" s="77"/>
      <c r="BV91" s="77"/>
      <c r="BW91" s="77"/>
      <c r="BX91" s="77"/>
      <c r="BY91" s="77"/>
      <c r="BZ91" s="77"/>
      <c r="CA91" s="77"/>
      <c r="CB91" s="77"/>
      <c r="CC91" s="77"/>
      <c r="CD91" s="77"/>
      <c r="CE91" s="77"/>
      <c r="CF91" s="77"/>
      <c r="CG91" s="77"/>
      <c r="CH91" s="77"/>
      <c r="CI91" s="77"/>
      <c r="CJ91" s="77"/>
      <c r="CK91" s="77"/>
      <c r="CL91" s="77"/>
      <c r="CM91" s="77"/>
      <c r="CN91" s="77"/>
      <c r="CO91" s="77"/>
      <c r="CP91" s="77"/>
      <c r="CQ91" s="77"/>
      <c r="CR91" s="77"/>
      <c r="CS91" s="77"/>
      <c r="CT91" s="77"/>
      <c r="CU91" s="77"/>
      <c r="CV91" s="77"/>
      <c r="CW91" s="77"/>
      <c r="CX91" s="77"/>
      <c r="CY91" s="77"/>
      <c r="CZ91" s="77"/>
      <c r="DA91" s="77"/>
      <c r="DB91" s="77"/>
      <c r="DC91" s="77"/>
      <c r="DD91" s="77"/>
      <c r="DE91" s="77"/>
      <c r="DF91" s="77"/>
      <c r="DG91" s="77"/>
      <c r="DH91" s="77"/>
      <c r="DI91" s="77"/>
      <c r="DJ91" s="77"/>
      <c r="DK91" s="77"/>
      <c r="DL91" s="77"/>
      <c r="DM91" s="77"/>
      <c r="DN91" s="77"/>
      <c r="DO91" s="77"/>
      <c r="DP91" s="77"/>
      <c r="DQ91" s="77"/>
      <c r="DR91" s="77"/>
      <c r="DS91" s="77"/>
      <c r="DT91" s="78"/>
      <c r="DU91" s="12"/>
    </row>
    <row r="92" spans="1:125" ht="16" customHeight="1" x14ac:dyDescent="0.2">
      <c r="A92" s="79" t="s">
        <v>45</v>
      </c>
      <c r="B92" s="79" t="s">
        <v>208</v>
      </c>
      <c r="C92" s="95">
        <v>4</v>
      </c>
      <c r="D92" s="68" t="str" cm="1">
        <f t="array" ref="D92">IF(OR(AC92="",AD92=""),"Pendiente",IF(AC92&gt;AD92,"Local",IF(AC92&lt;AD92,"Visitante","Empate")))</f>
        <v>Empate</v>
      </c>
      <c r="E92" s="68" t="str" cm="1">
        <f t="array" ref="E92">IF(D92="Pendiente","-",INDEX($BT$6:$BT$53,MATCH($AA92,$BD$6:$BD$53,0)))</f>
        <v>P.1 (4)</v>
      </c>
      <c r="F92" s="68" t="str" cm="1">
        <f t="array" ref="F92">IF(D92="Pendiente","-",INDEX($BT$6:$BT$53,MATCH($AF92,$BD$6:$BD$53,0)))</f>
        <v>P.1 (4)</v>
      </c>
      <c r="G92" s="68"/>
      <c r="H92" s="68" t="str" cm="1">
        <f t="array" ref="H92">IF(D92="Pendiente","-",INDEX($BZ$6:$BZ$53,MATCH($AA92,$BD$6:$BD$53,0)))</f>
        <v>P.1 (4)</v>
      </c>
      <c r="I92" s="68" t="str" cm="1">
        <f t="array" ref="I92">IF(D92="Pendiente","-",INDEX($BZ$6:$BZ$53,MATCH($AF92,$BD$6:$BD$53,0)))</f>
        <v>P.1 (4)</v>
      </c>
      <c r="J92" s="68"/>
      <c r="K92" s="68" t="str" cm="1">
        <f t="array" ref="K92">IF(D92="Pendiente","-",INDEX($CE$6:$CE$53,MATCH($AA92,$BD$6:$BD$53,0)))</f>
        <v>P.1 (4)</v>
      </c>
      <c r="L92" s="68" t="str" cm="1">
        <f t="array" ref="L92">IF(D92="Pendiente","-",INDEX($CE$6:$CE$53,MATCH($AF92,$BD$6:$BD$53,0)))</f>
        <v>P.1 (4)</v>
      </c>
      <c r="M92" s="68"/>
      <c r="N92" s="68" t="str" cm="1">
        <f t="array" ref="N92">IF(D92="Pendiente","-",INDEX($CH$6:$CH$53,MATCH($AA92,$BD$6:$BD$53,0)))</f>
        <v>P.1 (4)</v>
      </c>
      <c r="O92" s="68" t="str" cm="1">
        <f t="array" ref="O92">IF(D92="Pendiente","-",INDEX($CH$6:$CH$53,MATCH($AF92,$BD$6:$BD$53,0)))</f>
        <v>P.1 (4)</v>
      </c>
      <c r="P92" s="68"/>
      <c r="Q92" s="68" t="str" cm="1">
        <f t="array" ref="Q92">IF(D92="Pendiente","-",INDEX($CN$6:$CN$53,MATCH($AA92,$BD$6:$BD$53,0)))</f>
        <v>P.1 (4)</v>
      </c>
      <c r="R92" s="68" t="str" cm="1">
        <f t="array" ref="R92">IF(D92="Pendiente","-",INDEX($CN$6:$CN$53,MATCH($AF92,$BD$6:$BD$53,0)))</f>
        <v>P.1 (4)</v>
      </c>
      <c r="S92" s="68"/>
      <c r="T92" s="68" t="str" cm="1">
        <f t="array" ref="T92">IF(D92="Pendiente","-",INDEX($CS$6:$CS$53,MATCH($AA92,$BD$6:$BD$53,0)))</f>
        <v>P.1 (4)</v>
      </c>
      <c r="U92" s="68" t="str" cm="1">
        <f t="array" ref="U92">IF(D92="Pendiente","-",INDEX($CS$6:$CS$53,MATCH($AF92,$BD$6:$BD$53,0)))</f>
        <v>P.1 (4)</v>
      </c>
      <c r="V92" s="80"/>
      <c r="W92" s="779" t="s">
        <v>208</v>
      </c>
      <c r="X92" s="96">
        <v>46190.666666666657</v>
      </c>
      <c r="Y92" s="97">
        <v>46190.666666666657</v>
      </c>
      <c r="Z92" s="113" t="str" cm="1">
        <f t="array" ref="Z92">$Z$4</f>
        <v>J1</v>
      </c>
      <c r="AA92" s="99" t="str" cm="1">
        <f t="array" ref="AA92">A93</f>
        <v>Inglaterra</v>
      </c>
      <c r="AB92" s="100"/>
      <c r="AC92" s="101">
        <v>1</v>
      </c>
      <c r="AD92" s="101">
        <v>1</v>
      </c>
      <c r="AE92" s="102"/>
      <c r="AF92" s="103" t="str" cm="1">
        <f t="array" ref="AF92">A94</f>
        <v>Croacia</v>
      </c>
      <c r="AG92" s="104" cm="1">
        <f t="array" ref="AG92">IF(NOT(OR(ISBLANK(AC92),ISBLANK(AD92))),1,0)</f>
        <v>1</v>
      </c>
      <c r="AH92" s="105">
        <v>22</v>
      </c>
      <c r="AI92" s="106"/>
      <c r="AJ92" s="784" t="str" cm="1">
        <f t="array" ref="AJ92">CONCATENATE(AJ3," ",B92)</f>
        <v>Grupo L</v>
      </c>
      <c r="AK92" s="785"/>
      <c r="AL92" s="785"/>
      <c r="AM92" s="785"/>
      <c r="AN92" s="785"/>
      <c r="AO92" s="785"/>
      <c r="AP92" s="785"/>
      <c r="AQ92" s="785"/>
      <c r="AR92" s="785"/>
      <c r="AS92" s="785"/>
      <c r="AT92" s="786"/>
      <c r="AU92" s="192"/>
      <c r="AV92" s="109" t="str" cm="1">
        <f t="array" ref="AV92">IF(AU93&gt;0,$AV$3,"")</f>
        <v>¡EMPATE! Puedes seleccionar el orden de los empatados.</v>
      </c>
      <c r="AW92" s="200"/>
      <c r="AX92" s="200"/>
      <c r="AY92" s="194"/>
      <c r="AZ92" s="195"/>
      <c r="BA92" s="8"/>
      <c r="BB92" s="77"/>
      <c r="BC92" s="77"/>
      <c r="BD92" s="77"/>
      <c r="BE92" s="77"/>
      <c r="BF92" s="77"/>
      <c r="BG92" s="77"/>
      <c r="BH92" s="77"/>
      <c r="BI92" s="77"/>
      <c r="BJ92" s="77"/>
      <c r="BK92" s="77"/>
      <c r="BL92" s="77"/>
      <c r="BM92" s="77"/>
      <c r="BN92" s="77"/>
      <c r="BO92" s="77"/>
      <c r="BP92" s="77"/>
      <c r="BQ92" s="77"/>
      <c r="BR92" s="77"/>
      <c r="BS92" s="77"/>
      <c r="BT92" s="77"/>
      <c r="BU92" s="77"/>
      <c r="BV92" s="77"/>
      <c r="BW92" s="77"/>
      <c r="BX92" s="77"/>
      <c r="BY92" s="77"/>
      <c r="BZ92" s="77"/>
      <c r="CA92" s="77"/>
      <c r="CB92" s="77"/>
      <c r="CC92" s="77"/>
      <c r="CD92" s="77"/>
      <c r="CE92" s="77"/>
      <c r="CF92" s="77"/>
      <c r="CG92" s="77"/>
      <c r="CH92" s="77"/>
      <c r="CI92" s="77"/>
      <c r="CJ92" s="77"/>
      <c r="CK92" s="77"/>
      <c r="CL92" s="77"/>
      <c r="CM92" s="77"/>
      <c r="CN92" s="77"/>
      <c r="CO92" s="77"/>
      <c r="CP92" s="77"/>
      <c r="CQ92" s="77"/>
      <c r="CR92" s="77"/>
      <c r="CS92" s="77"/>
      <c r="CT92" s="77"/>
      <c r="CU92" s="77"/>
      <c r="CV92" s="77"/>
      <c r="CW92" s="77"/>
      <c r="CX92" s="77"/>
      <c r="CY92" s="77"/>
      <c r="CZ92" s="77"/>
      <c r="DA92" s="77"/>
      <c r="DB92" s="77"/>
      <c r="DC92" s="77"/>
      <c r="DD92" s="77"/>
      <c r="DE92" s="77"/>
      <c r="DF92" s="77"/>
      <c r="DG92" s="77"/>
      <c r="DH92" s="77"/>
      <c r="DI92" s="77"/>
      <c r="DJ92" s="77"/>
      <c r="DK92" s="77"/>
      <c r="DL92" s="77"/>
      <c r="DM92" s="77"/>
      <c r="DN92" s="77"/>
      <c r="DO92" s="77"/>
      <c r="DP92" s="77"/>
      <c r="DQ92" s="77"/>
      <c r="DR92" s="77"/>
      <c r="DS92" s="77"/>
      <c r="DT92" s="78"/>
      <c r="DU92" s="12"/>
    </row>
    <row r="93" spans="1:125" ht="16" customHeight="1" x14ac:dyDescent="0.2">
      <c r="A93" s="79" t="s">
        <v>209</v>
      </c>
      <c r="B93" s="68"/>
      <c r="C93" s="68"/>
      <c r="D93" s="68" t="str" cm="1">
        <f t="array" ref="D93">IF(OR(AC93="",AD93=""),"Pendiente",IF(AC93&gt;AD93,"Local",IF(AC93&lt;AD93,"Visitante","Empate")))</f>
        <v>Visitante</v>
      </c>
      <c r="E93" s="68" t="str" cm="1">
        <f t="array" ref="E93">IF(D93="Pendiente","-",INDEX($BT$6:$BT$53,MATCH($AA93,$BD$6:$BD$53,0)))</f>
        <v>P.1 (4)</v>
      </c>
      <c r="F93" s="68" t="str" cm="1">
        <f t="array" ref="F93">IF(D93="Pendiente","-",INDEX($BT$6:$BT$53,MATCH($AF93,$BD$6:$BD$53,0)))</f>
        <v>P.1 (4)</v>
      </c>
      <c r="G93" s="68"/>
      <c r="H93" s="68" t="str" cm="1">
        <f t="array" ref="H93">IF(D93="Pendiente","-",INDEX($BZ$6:$BZ$53,MATCH($AA93,$BD$6:$BD$53,0)))</f>
        <v>P.1 (4)</v>
      </c>
      <c r="I93" s="68" t="str" cm="1">
        <f t="array" ref="I93">IF(D93="Pendiente","-",INDEX($BZ$6:$BZ$53,MATCH($AF93,$BD$6:$BD$53,0)))</f>
        <v>P.1 (4)</v>
      </c>
      <c r="J93" s="68"/>
      <c r="K93" s="68" t="str" cm="1">
        <f t="array" ref="K93">IF(D93="Pendiente","-",INDEX($CE$6:$CE$53,MATCH($AA93,$BD$6:$BD$53,0)))</f>
        <v>P.1 (4)</v>
      </c>
      <c r="L93" s="68" t="str" cm="1">
        <f t="array" ref="L93">IF(D93="Pendiente","-",INDEX($CE$6:$CE$53,MATCH($AF93,$BD$6:$BD$53,0)))</f>
        <v>P.1 (4)</v>
      </c>
      <c r="M93" s="68"/>
      <c r="N93" s="68" t="str" cm="1">
        <f t="array" ref="N93">IF(D93="Pendiente","-",INDEX($CH$6:$CH$53,MATCH($AA93,$BD$6:$BD$53,0)))</f>
        <v>P.1 (4)</v>
      </c>
      <c r="O93" s="68" t="str" cm="1">
        <f t="array" ref="O93">IF(D93="Pendiente","-",INDEX($CH$6:$CH$53,MATCH($AF93,$BD$6:$BD$53,0)))</f>
        <v>P.1 (4)</v>
      </c>
      <c r="P93" s="68"/>
      <c r="Q93" s="68" t="str" cm="1">
        <f t="array" ref="Q93">IF(D93="Pendiente","-",INDEX($CN$6:$CN$53,MATCH($AA93,$BD$6:$BD$53,0)))</f>
        <v>P.1 (4)</v>
      </c>
      <c r="R93" s="68" t="str" cm="1">
        <f t="array" ref="R93">IF(D93="Pendiente","-",INDEX($CN$6:$CN$53,MATCH($AF93,$BD$6:$BD$53,0)))</f>
        <v>P.1 (4)</v>
      </c>
      <c r="S93" s="68"/>
      <c r="T93" s="68" t="str" cm="1">
        <f t="array" ref="T93">IF(D93="Pendiente","-",INDEX($CS$6:$CS$53,MATCH($AA93,$BD$6:$BD$53,0)))</f>
        <v>P.1 (4)</v>
      </c>
      <c r="U93" s="68" t="str" cm="1">
        <f t="array" ref="U93">IF(D93="Pendiente","-",INDEX($CS$6:$CS$53,MATCH($AF93,$BD$6:$BD$53,0)))</f>
        <v>P.1 (4)</v>
      </c>
      <c r="V93" s="80"/>
      <c r="W93" s="761"/>
      <c r="X93" s="96">
        <v>46190.791666666657</v>
      </c>
      <c r="Y93" s="97">
        <v>46190.791666666657</v>
      </c>
      <c r="Z93" s="113" t="str" cm="1">
        <f t="array" ref="Z93">$Z$4</f>
        <v>J1</v>
      </c>
      <c r="AA93" s="99" t="str" cm="1">
        <f t="array" ref="AA93">A95</f>
        <v>Ghana</v>
      </c>
      <c r="AB93" s="100"/>
      <c r="AC93" s="114">
        <v>0</v>
      </c>
      <c r="AD93" s="114">
        <v>1</v>
      </c>
      <c r="AE93" s="102"/>
      <c r="AF93" s="103" t="str" cm="1">
        <f t="array" ref="AF93">A96</f>
        <v>Panamá</v>
      </c>
      <c r="AG93" s="104" cm="1">
        <f t="array" ref="AG93">IF(NOT(OR(ISBLANK(AC93),ISBLANK(AD93))),1,0)</f>
        <v>1</v>
      </c>
      <c r="AH93" s="105">
        <v>21</v>
      </c>
      <c r="AI93" s="106"/>
      <c r="AJ93" s="196" t="str" cm="1">
        <f t="array" ref="AJ93">AJ5</f>
        <v>Pos</v>
      </c>
      <c r="AK93" s="116"/>
      <c r="AL93" s="197" t="str" cm="1">
        <f t="array" ref="AL93">AL5</f>
        <v>Selección</v>
      </c>
      <c r="AM93" s="116" t="str" cm="1">
        <f t="array" ref="AM93">AM5</f>
        <v>Pts</v>
      </c>
      <c r="AN93" s="116" t="str" cm="1">
        <f t="array" ref="AN93">AN5</f>
        <v>J</v>
      </c>
      <c r="AO93" s="116" t="str" cm="1">
        <f t="array" ref="AO93">AO5</f>
        <v>G</v>
      </c>
      <c r="AP93" s="116" t="str" cm="1">
        <f t="array" ref="AP93">AP5</f>
        <v>E</v>
      </c>
      <c r="AQ93" s="116" t="str" cm="1">
        <f t="array" ref="AQ93">AQ5</f>
        <v>P</v>
      </c>
      <c r="AR93" s="116" t="str" cm="1">
        <f t="array" ref="AR93">AR5</f>
        <v>GF</v>
      </c>
      <c r="AS93" s="116" t="str" cm="1">
        <f t="array" ref="AS93">AS5</f>
        <v>GC</v>
      </c>
      <c r="AT93" s="198" t="str" cm="1">
        <f t="array" ref="AT93">AT5</f>
        <v>DG</v>
      </c>
      <c r="AU93" s="199" cm="1">
        <f t="array" ref="AU93">COUNTIF(AU94:AU97,"&gt;1")</f>
        <v>4</v>
      </c>
      <c r="AV93" s="121"/>
      <c r="AW93" s="200"/>
      <c r="AX93" s="201"/>
      <c r="AY93" s="123" t="str" cm="1">
        <f t="array" ref="AY93">AL93</f>
        <v>Selección</v>
      </c>
      <c r="AZ93" s="124" t="s">
        <v>60</v>
      </c>
      <c r="BA93" s="125"/>
      <c r="BB93" s="77"/>
      <c r="BC93" s="77"/>
      <c r="BD93" s="77"/>
      <c r="BE93" s="77"/>
      <c r="BF93" s="77"/>
      <c r="BG93" s="77"/>
      <c r="BH93" s="77"/>
      <c r="BI93" s="77"/>
      <c r="BJ93" s="77"/>
      <c r="BK93" s="77"/>
      <c r="BL93" s="77"/>
      <c r="BM93" s="77"/>
      <c r="BN93" s="77"/>
      <c r="BO93" s="77"/>
      <c r="BP93" s="77"/>
      <c r="BQ93" s="77"/>
      <c r="BR93" s="77"/>
      <c r="BS93" s="77"/>
      <c r="BT93" s="77"/>
      <c r="BU93" s="77"/>
      <c r="BV93" s="77"/>
      <c r="BW93" s="77"/>
      <c r="BX93" s="77"/>
      <c r="BY93" s="77"/>
      <c r="BZ93" s="77"/>
      <c r="CA93" s="77"/>
      <c r="CB93" s="77"/>
      <c r="CC93" s="77"/>
      <c r="CD93" s="77"/>
      <c r="CE93" s="77"/>
      <c r="CF93" s="77"/>
      <c r="CG93" s="77"/>
      <c r="CH93" s="77"/>
      <c r="CI93" s="77"/>
      <c r="CJ93" s="77"/>
      <c r="CK93" s="77"/>
      <c r="CL93" s="77"/>
      <c r="CM93" s="77"/>
      <c r="CN93" s="77"/>
      <c r="CO93" s="77"/>
      <c r="CP93" s="77"/>
      <c r="CQ93" s="77"/>
      <c r="CR93" s="77"/>
      <c r="CS93" s="77"/>
      <c r="CT93" s="77"/>
      <c r="CU93" s="77"/>
      <c r="CV93" s="77"/>
      <c r="CW93" s="77"/>
      <c r="CX93" s="77"/>
      <c r="CY93" s="77"/>
      <c r="CZ93" s="77"/>
      <c r="DA93" s="77"/>
      <c r="DB93" s="77"/>
      <c r="DC93" s="77"/>
      <c r="DD93" s="77"/>
      <c r="DE93" s="77"/>
      <c r="DF93" s="77"/>
      <c r="DG93" s="77"/>
      <c r="DH93" s="77"/>
      <c r="DI93" s="77"/>
      <c r="DJ93" s="77"/>
      <c r="DK93" s="77"/>
      <c r="DL93" s="77"/>
      <c r="DM93" s="77"/>
      <c r="DN93" s="77"/>
      <c r="DO93" s="77"/>
      <c r="DP93" s="77"/>
      <c r="DQ93" s="77"/>
      <c r="DR93" s="77"/>
      <c r="DS93" s="77"/>
      <c r="DT93" s="78"/>
      <c r="DU93" s="12"/>
    </row>
    <row r="94" spans="1:125" ht="16" customHeight="1" x14ac:dyDescent="0.2">
      <c r="A94" s="79" t="s">
        <v>211</v>
      </c>
      <c r="B94" s="68"/>
      <c r="C94" s="68"/>
      <c r="D94" s="68" t="str" cm="1">
        <f t="array" ref="D94">IF(OR(AC94="",AD94=""),"Pendiente",IF(AC94&gt;AD94,"Local",IF(AC94&lt;AD94,"Visitante","Empate")))</f>
        <v>Local</v>
      </c>
      <c r="E94" s="68" t="str" cm="1">
        <f t="array" ref="E94">IF(D94="Pendiente","-",INDEX($BT$6:$BT$53,MATCH($AA94,$BD$6:$BD$53,0)))</f>
        <v>P.1 (4)</v>
      </c>
      <c r="F94" s="68" t="str" cm="1">
        <f t="array" ref="F94">IF(D94="Pendiente","-",INDEX($BT$6:$BT$53,MATCH($AF94,$BD$6:$BD$53,0)))</f>
        <v>P.1 (4)</v>
      </c>
      <c r="G94" s="68"/>
      <c r="H94" s="68" t="str" cm="1">
        <f t="array" ref="H94">IF(D94="Pendiente","-",INDEX($BZ$6:$BZ$53,MATCH($AA94,$BD$6:$BD$53,0)))</f>
        <v>P.1 (4)</v>
      </c>
      <c r="I94" s="68" t="str" cm="1">
        <f t="array" ref="I94">IF(D94="Pendiente","-",INDEX($BZ$6:$BZ$53,MATCH($AF94,$BD$6:$BD$53,0)))</f>
        <v>P.1 (4)</v>
      </c>
      <c r="J94" s="68"/>
      <c r="K94" s="68" t="str" cm="1">
        <f t="array" ref="K94">IF(D94="Pendiente","-",INDEX($CE$6:$CE$53,MATCH($AA94,$BD$6:$BD$53,0)))</f>
        <v>P.1 (4)</v>
      </c>
      <c r="L94" s="68" t="str" cm="1">
        <f t="array" ref="L94">IF(D94="Pendiente","-",INDEX($CE$6:$CE$53,MATCH($AF94,$BD$6:$BD$53,0)))</f>
        <v>P.1 (4)</v>
      </c>
      <c r="M94" s="68"/>
      <c r="N94" s="68" t="str" cm="1">
        <f t="array" ref="N94">IF(D94="Pendiente","-",INDEX($CH$6:$CH$53,MATCH($AA94,$BD$6:$BD$53,0)))</f>
        <v>P.1 (4)</v>
      </c>
      <c r="O94" s="68" t="str" cm="1">
        <f t="array" ref="O94">IF(D94="Pendiente","-",INDEX($CH$6:$CH$53,MATCH($AF94,$BD$6:$BD$53,0)))</f>
        <v>P.1 (4)</v>
      </c>
      <c r="P94" s="68"/>
      <c r="Q94" s="68" t="str" cm="1">
        <f t="array" ref="Q94">IF(D94="Pendiente","-",INDEX($CN$6:$CN$53,MATCH($AA94,$BD$6:$BD$53,0)))</f>
        <v>P.1 (4)</v>
      </c>
      <c r="R94" s="68" t="str" cm="1">
        <f t="array" ref="R94">IF(D94="Pendiente","-",INDEX($CN$6:$CN$53,MATCH($AF94,$BD$6:$BD$53,0)))</f>
        <v>P.1 (4)</v>
      </c>
      <c r="S94" s="68"/>
      <c r="T94" s="68" t="str" cm="1">
        <f t="array" ref="T94">IF(D94="Pendiente","-",INDEX($CS$6:$CS$53,MATCH($AA94,$BD$6:$BD$53,0)))</f>
        <v>P.1 (4)</v>
      </c>
      <c r="U94" s="68" t="str" cm="1">
        <f t="array" ref="U94">IF(D94="Pendiente","-",INDEX($CS$6:$CS$53,MATCH($AF94,$BD$6:$BD$53,0)))</f>
        <v>P.1 (4)</v>
      </c>
      <c r="V94" s="80"/>
      <c r="W94" s="762"/>
      <c r="X94" s="96">
        <v>46196.666666666657</v>
      </c>
      <c r="Y94" s="97">
        <v>46196.666666666657</v>
      </c>
      <c r="Z94" s="113" t="str" cm="1">
        <f t="array" ref="Z94">$Z$6</f>
        <v>J2</v>
      </c>
      <c r="AA94" s="99" t="str" cm="1">
        <f t="array" ref="AA94">A93</f>
        <v>Inglaterra</v>
      </c>
      <c r="AB94" s="100"/>
      <c r="AC94" s="114">
        <v>2</v>
      </c>
      <c r="AD94" s="114">
        <v>0</v>
      </c>
      <c r="AE94" s="102"/>
      <c r="AF94" s="103" t="str" cm="1">
        <f t="array" ref="AF94">A95</f>
        <v>Ghana</v>
      </c>
      <c r="AG94" s="104" cm="1">
        <f t="array" ref="AG94">IF(NOT(OR(ISBLANK(AC94),ISBLANK(AD94))),1,0)</f>
        <v>1</v>
      </c>
      <c r="AH94" s="105">
        <v>45</v>
      </c>
      <c r="AI94" s="106" t="str" cm="1">
        <f t="array" ref="AI94">AJ94&amp;$B$92</f>
        <v>1L</v>
      </c>
      <c r="AJ94" s="127">
        <v>1</v>
      </c>
      <c r="AK94" s="204"/>
      <c r="AL94" s="129" t="str" cm="1">
        <f t="array" ref="AL94">IFERROR(INDEX($BD$6:$BD$53,MATCH(AI94,$BN$6:$BN$53,0)),"")</f>
        <v>Inglaterra</v>
      </c>
      <c r="AM94" s="130" cm="1">
        <f t="array" ref="AM94">INDEX($BE$6:$BN$53,MATCH($AL94,$BD$6:$BD$53,0),MATCH(AM$5,$BE$5:$BN$5,0))</f>
        <v>7</v>
      </c>
      <c r="AN94" s="131" cm="1">
        <f t="array" ref="AN94">INDEX($BE$6:$BN$53,MATCH($AL94,$BD$6:$BD$53,0),MATCH(AN$5,$BE$5:$BN$5,0))</f>
        <v>3</v>
      </c>
      <c r="AO94" s="131" cm="1">
        <f t="array" ref="AO94">INDEX($BE$6:$BN$53,MATCH($AL94,$BD$6:$BD$53,0),MATCH(AO$5,$BE$5:$BN$5,0))</f>
        <v>2</v>
      </c>
      <c r="AP94" s="131" cm="1">
        <f t="array" ref="AP94">INDEX($BE$6:$BN$53,MATCH($AL94,$BD$6:$BD$53,0),MATCH(AP$5,$BE$5:$BN$5,0))</f>
        <v>1</v>
      </c>
      <c r="AQ94" s="131" cm="1">
        <f t="array" ref="AQ94">INDEX($BE$6:$BN$53,MATCH($AL94,$BD$6:$BD$53,0),MATCH(AQ$5,$BE$5:$BN$5,0))</f>
        <v>0</v>
      </c>
      <c r="AR94" s="131" cm="1">
        <f t="array" ref="AR94">INDEX($BE$6:$BN$53,MATCH($AL94,$BD$6:$BD$53,0),MATCH(AR$5,$BE$5:$BN$5,0))</f>
        <v>5</v>
      </c>
      <c r="AS94" s="131" cm="1">
        <f t="array" ref="AS94">INDEX($BE$6:$BN$53,MATCH($AL94,$BD$6:$BD$53,0),MATCH(AS$5,$BE$5:$BN$5,0))</f>
        <v>1</v>
      </c>
      <c r="AT94" s="132" cm="1">
        <f t="array" ref="AT94">INDEX($BE$6:$BN$53,MATCH($AL94,$BD$6:$BD$53,0),MATCH(AT$5,$BE$5:$BN$5,0))</f>
        <v>4</v>
      </c>
      <c r="AU94" s="133" cm="1">
        <f t="array" ref="AU94">INDEX($DL$6:$DL$53,MATCH(AI94,$DP$6:$DP$53,0))</f>
        <v>4</v>
      </c>
      <c r="AV94" s="134" t="str" cm="1">
        <f t="array" ref="AV94">INDEX($BD$6:$BD$53,MATCH(AI94,$BM$6:$BM$53,0))</f>
        <v>Inglaterra</v>
      </c>
      <c r="AW94" s="135"/>
      <c r="AX94" s="136"/>
      <c r="AY94" s="137" t="str" cm="1">
        <f t="array" ref="AY94">A93</f>
        <v>Inglaterra</v>
      </c>
      <c r="AZ94" s="138"/>
      <c r="BA94" s="125"/>
      <c r="BB94" s="77"/>
      <c r="BC94" s="77"/>
      <c r="BD94" s="77"/>
      <c r="BE94" s="77"/>
      <c r="BF94" s="77"/>
      <c r="BG94" s="77"/>
      <c r="BH94" s="77"/>
      <c r="BI94" s="77"/>
      <c r="BJ94" s="77"/>
      <c r="BK94" s="77"/>
      <c r="BL94" s="77"/>
      <c r="BM94" s="77"/>
      <c r="BN94" s="77"/>
      <c r="BO94" s="77"/>
      <c r="BP94" s="77"/>
      <c r="BQ94" s="77"/>
      <c r="BR94" s="77"/>
      <c r="BS94" s="77"/>
      <c r="BT94" s="77"/>
      <c r="BU94" s="77"/>
      <c r="BV94" s="77"/>
      <c r="BW94" s="77"/>
      <c r="BX94" s="77"/>
      <c r="BY94" s="77"/>
      <c r="BZ94" s="77"/>
      <c r="CA94" s="77"/>
      <c r="CB94" s="77"/>
      <c r="CC94" s="77"/>
      <c r="CD94" s="77"/>
      <c r="CE94" s="77"/>
      <c r="CF94" s="77"/>
      <c r="CG94" s="77"/>
      <c r="CH94" s="77"/>
      <c r="CI94" s="77"/>
      <c r="CJ94" s="77"/>
      <c r="CK94" s="77"/>
      <c r="CL94" s="77"/>
      <c r="CM94" s="77"/>
      <c r="CN94" s="77"/>
      <c r="CO94" s="77"/>
      <c r="CP94" s="77"/>
      <c r="CQ94" s="77"/>
      <c r="CR94" s="77"/>
      <c r="CS94" s="77"/>
      <c r="CT94" s="77"/>
      <c r="CU94" s="77"/>
      <c r="CV94" s="77"/>
      <c r="CW94" s="77"/>
      <c r="CX94" s="77"/>
      <c r="CY94" s="77"/>
      <c r="CZ94" s="77"/>
      <c r="DA94" s="77"/>
      <c r="DB94" s="77"/>
      <c r="DC94" s="77"/>
      <c r="DD94" s="77"/>
      <c r="DE94" s="77"/>
      <c r="DF94" s="77"/>
      <c r="DG94" s="77"/>
      <c r="DH94" s="77"/>
      <c r="DI94" s="77"/>
      <c r="DJ94" s="77"/>
      <c r="DK94" s="77"/>
      <c r="DL94" s="77"/>
      <c r="DM94" s="77"/>
      <c r="DN94" s="77"/>
      <c r="DO94" s="77"/>
      <c r="DP94" s="77"/>
      <c r="DQ94" s="77"/>
      <c r="DR94" s="77"/>
      <c r="DS94" s="77"/>
      <c r="DT94" s="78"/>
      <c r="DU94" s="12"/>
    </row>
    <row r="95" spans="1:125" ht="16" customHeight="1" x14ac:dyDescent="0.2">
      <c r="A95" s="79" t="s">
        <v>213</v>
      </c>
      <c r="B95" s="68"/>
      <c r="C95" s="68"/>
      <c r="D95" s="68" t="str" cm="1">
        <f t="array" ref="D95">IF(OR(AC95="",AD95=""),"Pendiente",IF(AC95&gt;AD95,"Local",IF(AC95&lt;AD95,"Visitante","Empate")))</f>
        <v>Visitante</v>
      </c>
      <c r="E95" s="68" t="str" cm="1">
        <f t="array" ref="E95">IF(D95="Pendiente","-",INDEX($BT$6:$BT$53,MATCH($AA95,$BD$6:$BD$53,0)))</f>
        <v>P.1 (4)</v>
      </c>
      <c r="F95" s="68" t="str" cm="1">
        <f t="array" ref="F95">IF(D95="Pendiente","-",INDEX($BT$6:$BT$53,MATCH($AF95,$BD$6:$BD$53,0)))</f>
        <v>P.1 (4)</v>
      </c>
      <c r="G95" s="68"/>
      <c r="H95" s="68" t="str" cm="1">
        <f t="array" ref="H95">IF(D95="Pendiente","-",INDEX($BZ$6:$BZ$53,MATCH($AA95,$BD$6:$BD$53,0)))</f>
        <v>P.1 (4)</v>
      </c>
      <c r="I95" s="68" t="str" cm="1">
        <f t="array" ref="I95">IF(D95="Pendiente","-",INDEX($BZ$6:$BZ$53,MATCH($AF95,$BD$6:$BD$53,0)))</f>
        <v>P.1 (4)</v>
      </c>
      <c r="J95" s="68"/>
      <c r="K95" s="68" t="str" cm="1">
        <f t="array" ref="K95">IF(D95="Pendiente","-",INDEX($CE$6:$CE$53,MATCH($AA95,$BD$6:$BD$53,0)))</f>
        <v>P.1 (4)</v>
      </c>
      <c r="L95" s="68" t="str" cm="1">
        <f t="array" ref="L95">IF(D95="Pendiente","-",INDEX($CE$6:$CE$53,MATCH($AF95,$BD$6:$BD$53,0)))</f>
        <v>P.1 (4)</v>
      </c>
      <c r="M95" s="68"/>
      <c r="N95" s="68" t="str" cm="1">
        <f t="array" ref="N95">IF(D95="Pendiente","-",INDEX($CH$6:$CH$53,MATCH($AA95,$BD$6:$BD$53,0)))</f>
        <v>P.1 (4)</v>
      </c>
      <c r="O95" s="68" t="str" cm="1">
        <f t="array" ref="O95">IF(D95="Pendiente","-",INDEX($CH$6:$CH$53,MATCH($AF95,$BD$6:$BD$53,0)))</f>
        <v>P.1 (4)</v>
      </c>
      <c r="P95" s="68"/>
      <c r="Q95" s="68" t="str" cm="1">
        <f t="array" ref="Q95">IF(D95="Pendiente","-",INDEX($CN$6:$CN$53,MATCH($AA95,$BD$6:$BD$53,0)))</f>
        <v>P.1 (4)</v>
      </c>
      <c r="R95" s="68" t="str" cm="1">
        <f t="array" ref="R95">IF(D95="Pendiente","-",INDEX($CN$6:$CN$53,MATCH($AF95,$BD$6:$BD$53,0)))</f>
        <v>P.1 (4)</v>
      </c>
      <c r="S95" s="68"/>
      <c r="T95" s="68" t="str" cm="1">
        <f t="array" ref="T95">IF(D95="Pendiente","-",INDEX($CS$6:$CS$53,MATCH($AA95,$BD$6:$BD$53,0)))</f>
        <v>P.1 (4)</v>
      </c>
      <c r="U95" s="68" t="str" cm="1">
        <f t="array" ref="U95">IF(D95="Pendiente","-",INDEX($CS$6:$CS$53,MATCH($AF95,$BD$6:$BD$53,0)))</f>
        <v>P.1 (4)</v>
      </c>
      <c r="V95" s="80"/>
      <c r="W95" s="762"/>
      <c r="X95" s="96">
        <v>46196.791666666657</v>
      </c>
      <c r="Y95" s="97">
        <v>46196.791666666657</v>
      </c>
      <c r="Z95" s="113" t="str" cm="1">
        <f t="array" ref="Z95">$Z$6</f>
        <v>J2</v>
      </c>
      <c r="AA95" s="99" t="str" cm="1">
        <f t="array" ref="AA95">A96</f>
        <v>Panamá</v>
      </c>
      <c r="AB95" s="100"/>
      <c r="AC95" s="114">
        <v>1</v>
      </c>
      <c r="AD95" s="114">
        <v>2</v>
      </c>
      <c r="AE95" s="102"/>
      <c r="AF95" s="103" t="str" cm="1">
        <f t="array" ref="AF95">A94</f>
        <v>Croacia</v>
      </c>
      <c r="AG95" s="104" cm="1">
        <f t="array" ref="AG95">IF(NOT(OR(ISBLANK(AC95),ISBLANK(AD95))),1,0)</f>
        <v>1</v>
      </c>
      <c r="AH95" s="105">
        <v>46</v>
      </c>
      <c r="AI95" s="106" t="str" cm="1">
        <f t="array" ref="AI95">AJ95&amp;$B$92</f>
        <v>2L</v>
      </c>
      <c r="AJ95" s="140">
        <v>2</v>
      </c>
      <c r="AK95" s="208"/>
      <c r="AL95" s="142" t="str" cm="1">
        <f t="array" ref="AL95">IFERROR(INDEX($BD$6:$BD$53,MATCH(AI95,$BN$6:$BN$53,0)),"")</f>
        <v>Croacia</v>
      </c>
      <c r="AM95" s="143" cm="1">
        <f t="array" ref="AM95">INDEX($BE$6:$BN$53,MATCH($AL95,$BD$6:$BD$53,0),MATCH(AM$5,$BE$5:$BN$5,0))</f>
        <v>7</v>
      </c>
      <c r="AN95" s="144" cm="1">
        <f t="array" ref="AN95">INDEX($BE$6:$BN$53,MATCH($AL95,$BD$6:$BD$53,0),MATCH(AN$5,$BE$5:$BN$5,0))</f>
        <v>3</v>
      </c>
      <c r="AO95" s="144" cm="1">
        <f t="array" ref="AO95">INDEX($BE$6:$BN$53,MATCH($AL95,$BD$6:$BD$53,0),MATCH(AO$5,$BE$5:$BN$5,0))</f>
        <v>2</v>
      </c>
      <c r="AP95" s="144" cm="1">
        <f t="array" ref="AP95">INDEX($BE$6:$BN$53,MATCH($AL95,$BD$6:$BD$53,0),MATCH(AP$5,$BE$5:$BN$5,0))</f>
        <v>1</v>
      </c>
      <c r="AQ95" s="144" cm="1">
        <f t="array" ref="AQ95">INDEX($BE$6:$BN$53,MATCH($AL95,$BD$6:$BD$53,0),MATCH(AQ$5,$BE$5:$BN$5,0))</f>
        <v>0</v>
      </c>
      <c r="AR95" s="144" cm="1">
        <f t="array" ref="AR95">INDEX($BE$6:$BN$53,MATCH($AL95,$BD$6:$BD$53,0),MATCH(AR$5,$BE$5:$BN$5,0))</f>
        <v>5</v>
      </c>
      <c r="AS95" s="144" cm="1">
        <f t="array" ref="AS95">INDEX($BE$6:$BN$53,MATCH($AL95,$BD$6:$BD$53,0),MATCH(AS$5,$BE$5:$BN$5,0))</f>
        <v>2</v>
      </c>
      <c r="AT95" s="145" cm="1">
        <f t="array" ref="AT95">INDEX($BE$6:$BN$53,MATCH($AL95,$BD$6:$BD$53,0),MATCH(AT$5,$BE$5:$BN$5,0))</f>
        <v>3</v>
      </c>
      <c r="AU95" s="133" cm="1">
        <f t="array" ref="AU95">INDEX($DL$6:$DL$53,MATCH(AI95,$DP$6:$DP$53,0))</f>
        <v>4</v>
      </c>
      <c r="AV95" s="134" t="str" cm="1">
        <f t="array" ref="AV95">INDEX($BD$6:$BD$53,MATCH(AI95,$BM$6:$BM$53,0))</f>
        <v>Croacia</v>
      </c>
      <c r="AW95" s="135"/>
      <c r="AX95" s="136"/>
      <c r="AY95" s="146" t="str" cm="1">
        <f t="array" ref="AY95">A94</f>
        <v>Croacia</v>
      </c>
      <c r="AZ95" s="147"/>
      <c r="BA95" s="125"/>
      <c r="BB95" s="77"/>
      <c r="BC95" s="77"/>
      <c r="BD95" s="77"/>
      <c r="BE95" s="77"/>
      <c r="BF95" s="77"/>
      <c r="BG95" s="77"/>
      <c r="BH95" s="77"/>
      <c r="BI95" s="77"/>
      <c r="BJ95" s="77"/>
      <c r="BK95" s="77"/>
      <c r="BL95" s="77"/>
      <c r="BM95" s="77"/>
      <c r="BN95" s="77"/>
      <c r="BO95" s="77"/>
      <c r="BP95" s="77"/>
      <c r="BQ95" s="77"/>
      <c r="BR95" s="77"/>
      <c r="BS95" s="77"/>
      <c r="BT95" s="77"/>
      <c r="BU95" s="77"/>
      <c r="BV95" s="77"/>
      <c r="BW95" s="77"/>
      <c r="BX95" s="77"/>
      <c r="BY95" s="77"/>
      <c r="BZ95" s="77"/>
      <c r="CA95" s="77"/>
      <c r="CB95" s="77"/>
      <c r="CC95" s="77"/>
      <c r="CD95" s="77"/>
      <c r="CE95" s="77"/>
      <c r="CF95" s="77"/>
      <c r="CG95" s="77"/>
      <c r="CH95" s="77"/>
      <c r="CI95" s="77"/>
      <c r="CJ95" s="77"/>
      <c r="CK95" s="77"/>
      <c r="CL95" s="77"/>
      <c r="CM95" s="77"/>
      <c r="CN95" s="77"/>
      <c r="CO95" s="77"/>
      <c r="CP95" s="77"/>
      <c r="CQ95" s="77"/>
      <c r="CR95" s="77"/>
      <c r="CS95" s="77"/>
      <c r="CT95" s="77"/>
      <c r="CU95" s="77"/>
      <c r="CV95" s="77"/>
      <c r="CW95" s="77"/>
      <c r="CX95" s="77"/>
      <c r="CY95" s="77"/>
      <c r="CZ95" s="77"/>
      <c r="DA95" s="77"/>
      <c r="DB95" s="77"/>
      <c r="DC95" s="77"/>
      <c r="DD95" s="77"/>
      <c r="DE95" s="77"/>
      <c r="DF95" s="77"/>
      <c r="DG95" s="77"/>
      <c r="DH95" s="77"/>
      <c r="DI95" s="77"/>
      <c r="DJ95" s="77"/>
      <c r="DK95" s="77"/>
      <c r="DL95" s="77"/>
      <c r="DM95" s="77"/>
      <c r="DN95" s="77"/>
      <c r="DO95" s="77"/>
      <c r="DP95" s="77"/>
      <c r="DQ95" s="77"/>
      <c r="DR95" s="77"/>
      <c r="DS95" s="77"/>
      <c r="DT95" s="78"/>
      <c r="DU95" s="12"/>
    </row>
    <row r="96" spans="1:125" ht="16" customHeight="1" x14ac:dyDescent="0.2">
      <c r="A96" s="79" t="s">
        <v>215</v>
      </c>
      <c r="B96" s="68"/>
      <c r="C96" s="68"/>
      <c r="D96" s="68" t="str" cm="1">
        <f t="array" ref="D96">IF(OR(AC96="",AD96=""),"Pendiente",IF(AC96&gt;AD96,"Local",IF(AC96&lt;AD96,"Visitante","Empate")))</f>
        <v>Visitante</v>
      </c>
      <c r="E96" s="68" t="str" cm="1">
        <f t="array" ref="E96">IF(D96="Pendiente","-",INDEX($BT$6:$BT$53,MATCH($AA96,$BD$6:$BD$53,0)))</f>
        <v>P.1 (4)</v>
      </c>
      <c r="F96" s="68" t="str" cm="1">
        <f t="array" ref="F96">IF(D96="Pendiente","-",INDEX($BT$6:$BT$53,MATCH($AF96,$BD$6:$BD$53,0)))</f>
        <v>P.1 (4)</v>
      </c>
      <c r="G96" s="68"/>
      <c r="H96" s="68" t="str" cm="1">
        <f t="array" ref="H96">IF(D96="Pendiente","-",INDEX($BZ$6:$BZ$53,MATCH($AA96,$BD$6:$BD$53,0)))</f>
        <v>P.1 (4)</v>
      </c>
      <c r="I96" s="68" t="str" cm="1">
        <f t="array" ref="I96">IF(D96="Pendiente","-",INDEX($BZ$6:$BZ$53,MATCH($AF96,$BD$6:$BD$53,0)))</f>
        <v>P.1 (4)</v>
      </c>
      <c r="J96" s="68"/>
      <c r="K96" s="68" t="str" cm="1">
        <f t="array" ref="K96">IF(D96="Pendiente","-",INDEX($CE$6:$CE$53,MATCH($AA96,$BD$6:$BD$53,0)))</f>
        <v>P.1 (4)</v>
      </c>
      <c r="L96" s="68" t="str" cm="1">
        <f t="array" ref="L96">IF(D96="Pendiente","-",INDEX($CE$6:$CE$53,MATCH($AF96,$BD$6:$BD$53,0)))</f>
        <v>P.1 (4)</v>
      </c>
      <c r="M96" s="68"/>
      <c r="N96" s="68" t="str" cm="1">
        <f t="array" ref="N96">IF(D96="Pendiente","-",INDEX($CH$6:$CH$53,MATCH($AA96,$BD$6:$BD$53,0)))</f>
        <v>P.1 (4)</v>
      </c>
      <c r="O96" s="68" t="str" cm="1">
        <f t="array" ref="O96">IF(D96="Pendiente","-",INDEX($CH$6:$CH$53,MATCH($AF96,$BD$6:$BD$53,0)))</f>
        <v>P.1 (4)</v>
      </c>
      <c r="P96" s="68"/>
      <c r="Q96" s="68" t="str" cm="1">
        <f t="array" ref="Q96">IF(D96="Pendiente","-",INDEX($CN$6:$CN$53,MATCH($AA96,$BD$6:$BD$53,0)))</f>
        <v>P.1 (4)</v>
      </c>
      <c r="R96" s="68" t="str" cm="1">
        <f t="array" ref="R96">IF(D96="Pendiente","-",INDEX($CN$6:$CN$53,MATCH($AF96,$BD$6:$BD$53,0)))</f>
        <v>P.1 (4)</v>
      </c>
      <c r="S96" s="68"/>
      <c r="T96" s="68" t="str" cm="1">
        <f t="array" ref="T96">IF(D96="Pendiente","-",INDEX($CS$6:$CS$53,MATCH($AA96,$BD$6:$BD$53,0)))</f>
        <v>P.1 (4)</v>
      </c>
      <c r="U96" s="68" t="str" cm="1">
        <f t="array" ref="U96">IF(D96="Pendiente","-",INDEX($CS$6:$CS$53,MATCH($AF96,$BD$6:$BD$53,0)))</f>
        <v>P.1 (4)</v>
      </c>
      <c r="V96" s="80"/>
      <c r="W96" s="762"/>
      <c r="X96" s="96">
        <v>46200.708333333343</v>
      </c>
      <c r="Y96" s="97">
        <v>46200.708333333343</v>
      </c>
      <c r="Z96" s="113" t="str" cm="1">
        <f t="array" ref="Z96">$Z$8</f>
        <v>J3</v>
      </c>
      <c r="AA96" s="99" t="str" cm="1">
        <f t="array" ref="AA96">A96</f>
        <v>Panamá</v>
      </c>
      <c r="AB96" s="100"/>
      <c r="AC96" s="114">
        <v>0</v>
      </c>
      <c r="AD96" s="114">
        <v>2</v>
      </c>
      <c r="AE96" s="102"/>
      <c r="AF96" s="103" t="str" cm="1">
        <f t="array" ref="AF96">A93</f>
        <v>Inglaterra</v>
      </c>
      <c r="AG96" s="104" cm="1">
        <f t="array" ref="AG96">IF(NOT(OR(ISBLANK(AC96),ISBLANK(AD96))),1,0)</f>
        <v>1</v>
      </c>
      <c r="AH96" s="105">
        <v>67</v>
      </c>
      <c r="AI96" s="106" t="str" cm="1">
        <f t="array" ref="AI96">AJ96&amp;$B$92</f>
        <v>3L</v>
      </c>
      <c r="AJ96" s="140">
        <v>3</v>
      </c>
      <c r="AK96" s="208"/>
      <c r="AL96" s="142" t="str" cm="1">
        <f t="array" ref="AL96">IFERROR(INDEX($BD$6:$BD$53,MATCH(AI96,$BN$6:$BN$53,0)),"")</f>
        <v>Ghana</v>
      </c>
      <c r="AM96" s="143" cm="1">
        <f t="array" ref="AM96">INDEX($BE$6:$BN$53,MATCH($AL96,$BD$6:$BD$53,0),MATCH(AM$5,$BE$5:$BN$5,0))</f>
        <v>0</v>
      </c>
      <c r="AN96" s="144" cm="1">
        <f t="array" ref="AN96">INDEX($BE$6:$BN$53,MATCH($AL96,$BD$6:$BD$53,0),MATCH(AN$5,$BE$5:$BN$5,0))</f>
        <v>3</v>
      </c>
      <c r="AO96" s="144" cm="1">
        <f t="array" ref="AO96">INDEX($BE$6:$BN$53,MATCH($AL96,$BD$6:$BD$53,0),MATCH(AO$5,$BE$5:$BN$5,0))</f>
        <v>0</v>
      </c>
      <c r="AP96" s="144" cm="1">
        <f t="array" ref="AP96">INDEX($BE$6:$BN$53,MATCH($AL96,$BD$6:$BD$53,0),MATCH(AP$5,$BE$5:$BN$5,0))</f>
        <v>0</v>
      </c>
      <c r="AQ96" s="144" cm="1">
        <f t="array" ref="AQ96">INDEX($BE$6:$BN$53,MATCH($AL96,$BD$6:$BD$53,0),MATCH(AQ$5,$BE$5:$BN$5,0))</f>
        <v>3</v>
      </c>
      <c r="AR96" s="144" cm="1">
        <f t="array" ref="AR96">INDEX($BE$6:$BN$53,MATCH($AL96,$BD$6:$BD$53,0),MATCH(AR$5,$BE$5:$BN$5,0))</f>
        <v>0</v>
      </c>
      <c r="AS96" s="144" cm="1">
        <f t="array" ref="AS96">INDEX($BE$6:$BN$53,MATCH($AL96,$BD$6:$BD$53,0),MATCH(AS$5,$BE$5:$BN$5,0))</f>
        <v>5</v>
      </c>
      <c r="AT96" s="145" cm="1">
        <f t="array" ref="AT96">INDEX($BE$6:$BN$53,MATCH($AL96,$BD$6:$BD$53,0),MATCH(AT$5,$BE$5:$BN$5,0))</f>
        <v>-5</v>
      </c>
      <c r="AU96" s="133" cm="1">
        <f t="array" ref="AU96">INDEX($DL$6:$DL$53,MATCH(AI96,$DP$6:$DP$53,0))</f>
        <v>4</v>
      </c>
      <c r="AV96" s="134" t="str" cm="1">
        <f t="array" ref="AV96">INDEX($BD$6:$BD$53,MATCH(AI96,$BM$6:$BM$53,0))</f>
        <v>Ghana</v>
      </c>
      <c r="AW96" s="135"/>
      <c r="AX96" s="136"/>
      <c r="AY96" s="137" t="str" cm="1">
        <f t="array" ref="AY96">A95</f>
        <v>Ghana</v>
      </c>
      <c r="AZ96" s="138"/>
      <c r="BA96" s="125"/>
      <c r="BB96" s="77"/>
      <c r="BC96" s="77"/>
      <c r="BD96" s="77"/>
      <c r="BE96" s="77"/>
      <c r="BF96" s="77"/>
      <c r="BG96" s="77"/>
      <c r="BH96" s="77"/>
      <c r="BI96" s="77"/>
      <c r="BJ96" s="77"/>
      <c r="BK96" s="77"/>
      <c r="BL96" s="77"/>
      <c r="BM96" s="77"/>
      <c r="BN96" s="77"/>
      <c r="BO96" s="77"/>
      <c r="BP96" s="77"/>
      <c r="BQ96" s="77"/>
      <c r="BR96" s="77"/>
      <c r="BS96" s="77"/>
      <c r="BT96" s="77"/>
      <c r="BU96" s="77"/>
      <c r="BV96" s="77"/>
      <c r="BW96" s="77"/>
      <c r="BX96" s="77"/>
      <c r="BY96" s="77"/>
      <c r="BZ96" s="77"/>
      <c r="CA96" s="77"/>
      <c r="CB96" s="77"/>
      <c r="CC96" s="77"/>
      <c r="CD96" s="77"/>
      <c r="CE96" s="77"/>
      <c r="CF96" s="77"/>
      <c r="CG96" s="77"/>
      <c r="CH96" s="77"/>
      <c r="CI96" s="77"/>
      <c r="CJ96" s="77"/>
      <c r="CK96" s="77"/>
      <c r="CL96" s="77"/>
      <c r="CM96" s="77"/>
      <c r="CN96" s="77"/>
      <c r="CO96" s="77"/>
      <c r="CP96" s="77"/>
      <c r="CQ96" s="77"/>
      <c r="CR96" s="77"/>
      <c r="CS96" s="77"/>
      <c r="CT96" s="77"/>
      <c r="CU96" s="77"/>
      <c r="CV96" s="77"/>
      <c r="CW96" s="77"/>
      <c r="CX96" s="77"/>
      <c r="CY96" s="77"/>
      <c r="CZ96" s="77"/>
      <c r="DA96" s="77"/>
      <c r="DB96" s="77"/>
      <c r="DC96" s="77"/>
      <c r="DD96" s="77"/>
      <c r="DE96" s="77"/>
      <c r="DF96" s="77"/>
      <c r="DG96" s="77"/>
      <c r="DH96" s="77"/>
      <c r="DI96" s="77"/>
      <c r="DJ96" s="77"/>
      <c r="DK96" s="77"/>
      <c r="DL96" s="77"/>
      <c r="DM96" s="77"/>
      <c r="DN96" s="77"/>
      <c r="DO96" s="77"/>
      <c r="DP96" s="77"/>
      <c r="DQ96" s="77"/>
      <c r="DR96" s="77"/>
      <c r="DS96" s="77"/>
      <c r="DT96" s="78"/>
      <c r="DU96" s="12"/>
    </row>
    <row r="97" spans="1:125" ht="16" customHeight="1" x14ac:dyDescent="0.2">
      <c r="A97" s="68"/>
      <c r="B97" s="68"/>
      <c r="C97" s="68"/>
      <c r="D97" s="68" t="str" cm="1">
        <f t="array" ref="D97">IF(OR(AC97="",AD97=""),"Pendiente",IF(AC97&gt;AD97,"Local",IF(AC97&lt;AD97,"Visitante","Empate")))</f>
        <v>Local</v>
      </c>
      <c r="E97" s="68" t="str" cm="1">
        <f t="array" ref="E97">IF(D97="Pendiente","-",INDEX($BT$6:$BT$53,MATCH($AA97,$BD$6:$BD$53,0)))</f>
        <v>P.1 (4)</v>
      </c>
      <c r="F97" s="68" t="str" cm="1">
        <f t="array" ref="F97">IF(D97="Pendiente","-",INDEX($BT$6:$BT$53,MATCH($AF97,$BD$6:$BD$53,0)))</f>
        <v>P.1 (4)</v>
      </c>
      <c r="G97" s="68"/>
      <c r="H97" s="68" t="str" cm="1">
        <f t="array" ref="H97">IF(D97="Pendiente","-",INDEX($BZ$6:$BZ$53,MATCH($AA97,$BD$6:$BD$53,0)))</f>
        <v>P.1 (4)</v>
      </c>
      <c r="I97" s="68" t="str" cm="1">
        <f t="array" ref="I97">IF(D97="Pendiente","-",INDEX($BZ$6:$BZ$53,MATCH($AF97,$BD$6:$BD$53,0)))</f>
        <v>P.1 (4)</v>
      </c>
      <c r="J97" s="68"/>
      <c r="K97" s="68" t="str" cm="1">
        <f t="array" ref="K97">IF(D97="Pendiente","-",INDEX($CE$6:$CE$53,MATCH($AA97,$BD$6:$BD$53,0)))</f>
        <v>P.1 (4)</v>
      </c>
      <c r="L97" s="68" t="str" cm="1">
        <f t="array" ref="L97">IF(D97="Pendiente","-",INDEX($CE$6:$CE$53,MATCH($AF97,$BD$6:$BD$53,0)))</f>
        <v>P.1 (4)</v>
      </c>
      <c r="M97" s="68"/>
      <c r="N97" s="68" t="str" cm="1">
        <f t="array" ref="N97">IF(D97="Pendiente","-",INDEX($CH$6:$CH$53,MATCH($AA97,$BD$6:$BD$53,0)))</f>
        <v>P.1 (4)</v>
      </c>
      <c r="O97" s="68" t="str" cm="1">
        <f t="array" ref="O97">IF(D97="Pendiente","-",INDEX($CH$6:$CH$53,MATCH($AF97,$BD$6:$BD$53,0)))</f>
        <v>P.1 (4)</v>
      </c>
      <c r="P97" s="68"/>
      <c r="Q97" s="68" t="str" cm="1">
        <f t="array" ref="Q97">IF(D97="Pendiente","-",INDEX($CN$6:$CN$53,MATCH($AA97,$BD$6:$BD$53,0)))</f>
        <v>P.1 (4)</v>
      </c>
      <c r="R97" s="68" t="str" cm="1">
        <f t="array" ref="R97">IF(D97="Pendiente","-",INDEX($CN$6:$CN$53,MATCH($AF97,$BD$6:$BD$53,0)))</f>
        <v>P.1 (4)</v>
      </c>
      <c r="S97" s="68"/>
      <c r="T97" s="68" t="str" cm="1">
        <f t="array" ref="T97">IF(D97="Pendiente","-",INDEX($CS$6:$CS$53,MATCH($AA97,$BD$6:$BD$53,0)))</f>
        <v>P.1 (4)</v>
      </c>
      <c r="U97" s="68" t="str" cm="1">
        <f t="array" ref="U97">IF(D97="Pendiente","-",INDEX($CS$6:$CS$53,MATCH($AF97,$BD$6:$BD$53,0)))</f>
        <v>P.1 (4)</v>
      </c>
      <c r="V97" s="80"/>
      <c r="W97" s="763"/>
      <c r="X97" s="148">
        <v>46200.708333333343</v>
      </c>
      <c r="Y97" s="149">
        <v>46200.708333333343</v>
      </c>
      <c r="Z97" s="150" t="str" cm="1">
        <f t="array" ref="Z97">$Z$8</f>
        <v>J3</v>
      </c>
      <c r="AA97" s="151" t="str" cm="1">
        <f t="array" ref="AA97">A94</f>
        <v>Croacia</v>
      </c>
      <c r="AB97" s="152"/>
      <c r="AC97" s="153">
        <v>2</v>
      </c>
      <c r="AD97" s="153">
        <v>0</v>
      </c>
      <c r="AE97" s="154"/>
      <c r="AF97" s="155" t="str" cm="1">
        <f t="array" ref="AF97">A95</f>
        <v>Ghana</v>
      </c>
      <c r="AG97" s="104" cm="1">
        <f t="array" ref="AG97">IF(NOT(OR(ISBLANK(AC97),ISBLANK(AD97))),1,0)</f>
        <v>1</v>
      </c>
      <c r="AH97" s="105">
        <v>68</v>
      </c>
      <c r="AI97" s="106" t="str" cm="1">
        <f t="array" ref="AI97">AJ97&amp;$B$92</f>
        <v>4L</v>
      </c>
      <c r="AJ97" s="156">
        <v>4</v>
      </c>
      <c r="AK97" s="222"/>
      <c r="AL97" s="158" t="str" cm="1">
        <f t="array" ref="AL97">IFERROR(INDEX($BD$6:$BD$53,MATCH(AI97,$BN$6:$BN$53,0)),"")</f>
        <v>Panamá</v>
      </c>
      <c r="AM97" s="159" cm="1">
        <f t="array" ref="AM97">INDEX($BE$6:$BN$53,MATCH($AL97,$BD$6:$BD$53,0),MATCH(AM$5,$BE$5:$BN$5,0))</f>
        <v>3</v>
      </c>
      <c r="AN97" s="160" cm="1">
        <f t="array" ref="AN97">INDEX($BE$6:$BN$53,MATCH($AL97,$BD$6:$BD$53,0),MATCH(AN$5,$BE$5:$BN$5,0))</f>
        <v>3</v>
      </c>
      <c r="AO97" s="160" cm="1">
        <f t="array" ref="AO97">INDEX($BE$6:$BN$53,MATCH($AL97,$BD$6:$BD$53,0),MATCH(AO$5,$BE$5:$BN$5,0))</f>
        <v>1</v>
      </c>
      <c r="AP97" s="160" cm="1">
        <f t="array" ref="AP97">INDEX($BE$6:$BN$53,MATCH($AL97,$BD$6:$BD$53,0),MATCH(AP$5,$BE$5:$BN$5,0))</f>
        <v>0</v>
      </c>
      <c r="AQ97" s="160" cm="1">
        <f t="array" ref="AQ97">INDEX($BE$6:$BN$53,MATCH($AL97,$BD$6:$BD$53,0),MATCH(AQ$5,$BE$5:$BN$5,0))</f>
        <v>2</v>
      </c>
      <c r="AR97" s="160" cm="1">
        <f t="array" ref="AR97">INDEX($BE$6:$BN$53,MATCH($AL97,$BD$6:$BD$53,0),MATCH(AR$5,$BE$5:$BN$5,0))</f>
        <v>2</v>
      </c>
      <c r="AS97" s="160" cm="1">
        <f t="array" ref="AS97">INDEX($BE$6:$BN$53,MATCH($AL97,$BD$6:$BD$53,0),MATCH(AS$5,$BE$5:$BN$5,0))</f>
        <v>4</v>
      </c>
      <c r="AT97" s="161" cm="1">
        <f t="array" ref="AT97">INDEX($BE$6:$BN$53,MATCH($AL97,$BD$6:$BD$53,0),MATCH(AT$5,$BE$5:$BN$5,0))</f>
        <v>-2</v>
      </c>
      <c r="AU97" s="133" cm="1">
        <f t="array" ref="AU97">INDEX($DL$6:$DL$53,MATCH(AI97,$DP$6:$DP$53,0))</f>
        <v>4</v>
      </c>
      <c r="AV97" s="134" t="str" cm="1">
        <f t="array" ref="AV97">INDEX($BD$6:$BD$53,MATCH(AI97,$BM$6:$BM$53,0))</f>
        <v>Panamá</v>
      </c>
      <c r="AW97" s="135"/>
      <c r="AX97" s="136"/>
      <c r="AY97" s="162" t="str" cm="1">
        <f t="array" ref="AY97">A96</f>
        <v>Panamá</v>
      </c>
      <c r="AZ97" s="163"/>
      <c r="BA97" s="125"/>
      <c r="BB97" s="77"/>
      <c r="BC97" s="77"/>
      <c r="BD97" s="77"/>
      <c r="BE97" s="77"/>
      <c r="BF97" s="77"/>
      <c r="BG97" s="77"/>
      <c r="BH97" s="77"/>
      <c r="BI97" s="77"/>
      <c r="BJ97" s="77"/>
      <c r="BK97" s="77"/>
      <c r="BL97" s="77"/>
      <c r="BM97" s="77"/>
      <c r="BN97" s="77"/>
      <c r="BO97" s="77"/>
      <c r="BP97" s="77"/>
      <c r="BQ97" s="77"/>
      <c r="BR97" s="77"/>
      <c r="BS97" s="77"/>
      <c r="BT97" s="77"/>
      <c r="BU97" s="77"/>
      <c r="BV97" s="77"/>
      <c r="BW97" s="77"/>
      <c r="BX97" s="77"/>
      <c r="BY97" s="77"/>
      <c r="BZ97" s="77"/>
      <c r="CA97" s="77"/>
      <c r="CB97" s="77"/>
      <c r="CC97" s="77"/>
      <c r="CD97" s="77"/>
      <c r="CE97" s="77"/>
      <c r="CF97" s="77"/>
      <c r="CG97" s="77"/>
      <c r="CH97" s="77"/>
      <c r="CI97" s="77"/>
      <c r="CJ97" s="77"/>
      <c r="CK97" s="77"/>
      <c r="CL97" s="77"/>
      <c r="CM97" s="77"/>
      <c r="CN97" s="77"/>
      <c r="CO97" s="77"/>
      <c r="CP97" s="77"/>
      <c r="CQ97" s="77"/>
      <c r="CR97" s="77"/>
      <c r="CS97" s="77"/>
      <c r="CT97" s="77"/>
      <c r="CU97" s="77"/>
      <c r="CV97" s="77"/>
      <c r="CW97" s="77"/>
      <c r="CX97" s="77"/>
      <c r="CY97" s="77"/>
      <c r="CZ97" s="77"/>
      <c r="DA97" s="77"/>
      <c r="DB97" s="77"/>
      <c r="DC97" s="77"/>
      <c r="DD97" s="77"/>
      <c r="DE97" s="77"/>
      <c r="DF97" s="77"/>
      <c r="DG97" s="77"/>
      <c r="DH97" s="77"/>
      <c r="DI97" s="77"/>
      <c r="DJ97" s="77"/>
      <c r="DK97" s="77"/>
      <c r="DL97" s="77"/>
      <c r="DM97" s="77"/>
      <c r="DN97" s="77"/>
      <c r="DO97" s="77"/>
      <c r="DP97" s="77"/>
      <c r="DQ97" s="77"/>
      <c r="DR97" s="77"/>
      <c r="DS97" s="77"/>
      <c r="DT97" s="78"/>
      <c r="DU97" s="12"/>
    </row>
    <row r="98" spans="1:125" ht="16" customHeight="1" x14ac:dyDescent="0.2">
      <c r="A98" s="68"/>
      <c r="B98" s="68"/>
      <c r="C98" s="68"/>
      <c r="D98" s="68"/>
      <c r="E98" s="68"/>
      <c r="F98" s="68"/>
      <c r="G98" s="68"/>
      <c r="H98" s="68"/>
      <c r="I98" s="68"/>
      <c r="J98" s="68"/>
      <c r="K98" s="68"/>
      <c r="L98" s="68"/>
      <c r="M98" s="68"/>
      <c r="N98" s="68"/>
      <c r="O98" s="68"/>
      <c r="P98" s="68"/>
      <c r="Q98" s="68"/>
      <c r="R98" s="68"/>
      <c r="S98" s="68"/>
      <c r="T98" s="68"/>
      <c r="U98" s="68"/>
      <c r="V98" s="69"/>
      <c r="W98" s="164"/>
      <c r="X98" s="165"/>
      <c r="Y98" s="164"/>
      <c r="Z98" s="166"/>
      <c r="AA98" s="167"/>
      <c r="AB98" s="168"/>
      <c r="AC98" s="169"/>
      <c r="AD98" s="169"/>
      <c r="AE98" s="168"/>
      <c r="AF98" s="170"/>
      <c r="AG98" s="216"/>
      <c r="AH98" s="217"/>
      <c r="AI98" s="217"/>
      <c r="AJ98" s="173"/>
      <c r="AK98" s="174"/>
      <c r="AL98" s="175"/>
      <c r="AM98" s="176"/>
      <c r="AN98" s="173"/>
      <c r="AO98" s="173"/>
      <c r="AP98" s="173"/>
      <c r="AQ98" s="173"/>
      <c r="AR98" s="173"/>
      <c r="AS98" s="173"/>
      <c r="AT98" s="173"/>
      <c r="AU98" s="177"/>
      <c r="AV98" s="178"/>
      <c r="AW98" s="226"/>
      <c r="AX98" s="227"/>
      <c r="AY98" s="180"/>
      <c r="AZ98" s="181"/>
      <c r="BA98" s="8"/>
      <c r="BB98" s="77"/>
      <c r="BC98" s="77"/>
      <c r="BD98" s="77"/>
      <c r="BE98" s="77"/>
      <c r="BF98" s="77"/>
      <c r="BG98" s="77"/>
      <c r="BH98" s="77"/>
      <c r="BI98" s="77"/>
      <c r="BJ98" s="77"/>
      <c r="BK98" s="77"/>
      <c r="BL98" s="77"/>
      <c r="BM98" s="77"/>
      <c r="BN98" s="77"/>
      <c r="BO98" s="77"/>
      <c r="BP98" s="77"/>
      <c r="BQ98" s="77"/>
      <c r="BR98" s="77"/>
      <c r="BS98" s="77"/>
      <c r="BT98" s="77"/>
      <c r="BU98" s="77"/>
      <c r="BV98" s="77"/>
      <c r="BW98" s="77"/>
      <c r="BX98" s="77"/>
      <c r="BY98" s="77"/>
      <c r="BZ98" s="77"/>
      <c r="CA98" s="77"/>
      <c r="CB98" s="77"/>
      <c r="CC98" s="77"/>
      <c r="CD98" s="77"/>
      <c r="CE98" s="77"/>
      <c r="CF98" s="77"/>
      <c r="CG98" s="77"/>
      <c r="CH98" s="77"/>
      <c r="CI98" s="77"/>
      <c r="CJ98" s="77"/>
      <c r="CK98" s="77"/>
      <c r="CL98" s="77"/>
      <c r="CM98" s="77"/>
      <c r="CN98" s="77"/>
      <c r="CO98" s="77"/>
      <c r="CP98" s="77"/>
      <c r="CQ98" s="77"/>
      <c r="CR98" s="77"/>
      <c r="CS98" s="77"/>
      <c r="CT98" s="77"/>
      <c r="CU98" s="77"/>
      <c r="CV98" s="77"/>
      <c r="CW98" s="77"/>
      <c r="CX98" s="77"/>
      <c r="CY98" s="77"/>
      <c r="CZ98" s="77"/>
      <c r="DA98" s="77"/>
      <c r="DB98" s="77"/>
      <c r="DC98" s="77"/>
      <c r="DD98" s="77"/>
      <c r="DE98" s="77"/>
      <c r="DF98" s="77"/>
      <c r="DG98" s="77"/>
      <c r="DH98" s="77"/>
      <c r="DI98" s="77"/>
      <c r="DJ98" s="77"/>
      <c r="DK98" s="77"/>
      <c r="DL98" s="77"/>
      <c r="DM98" s="77"/>
      <c r="DN98" s="77"/>
      <c r="DO98" s="77"/>
      <c r="DP98" s="77"/>
      <c r="DQ98" s="77"/>
      <c r="DR98" s="77"/>
      <c r="DS98" s="77"/>
      <c r="DT98" s="78"/>
      <c r="DU98" s="12"/>
    </row>
    <row r="99" spans="1:125" ht="16" customHeight="1" x14ac:dyDescent="0.2">
      <c r="A99" s="68"/>
      <c r="B99" s="68"/>
      <c r="C99" s="68"/>
      <c r="D99" s="68"/>
      <c r="E99" s="68"/>
      <c r="F99" s="68"/>
      <c r="G99" s="68"/>
      <c r="H99" s="68"/>
      <c r="I99" s="68"/>
      <c r="J99" s="79" t="s">
        <v>219</v>
      </c>
      <c r="K99" s="68"/>
      <c r="L99" s="68"/>
      <c r="M99" s="68"/>
      <c r="N99" s="68"/>
      <c r="O99" s="68"/>
      <c r="P99" s="68"/>
      <c r="Q99" s="68"/>
      <c r="R99" s="68"/>
      <c r="S99" s="68"/>
      <c r="T99" s="68"/>
      <c r="U99" s="68"/>
      <c r="V99" s="80"/>
      <c r="W99" s="787" t="s">
        <v>220</v>
      </c>
      <c r="X99" s="788"/>
      <c r="Y99" s="789"/>
      <c r="Z99" s="789"/>
      <c r="AA99" s="789"/>
      <c r="AB99" s="789"/>
      <c r="AC99" s="789"/>
      <c r="AD99" s="789"/>
      <c r="AE99" s="789"/>
      <c r="AF99" s="790"/>
      <c r="AG99" s="228"/>
      <c r="AH99" s="134"/>
      <c r="AI99" s="217"/>
      <c r="AJ99" s="229"/>
      <c r="AK99" s="791" t="s">
        <v>221</v>
      </c>
      <c r="AL99" s="792"/>
      <c r="AM99" s="792"/>
      <c r="AN99" s="792"/>
      <c r="AO99" s="792"/>
      <c r="AP99" s="792"/>
      <c r="AQ99" s="792"/>
      <c r="AR99" s="792"/>
      <c r="AS99" s="792"/>
      <c r="AT99" s="792"/>
      <c r="AU99" s="187"/>
      <c r="AV99" s="74"/>
      <c r="AW99" s="230"/>
      <c r="AX99" s="231"/>
      <c r="AY99" s="190"/>
      <c r="AZ99" s="191"/>
      <c r="BA99" s="8"/>
      <c r="BB99" s="77"/>
      <c r="BC99" s="77"/>
      <c r="BD99" s="77"/>
      <c r="BE99" s="77"/>
      <c r="BF99" s="77"/>
      <c r="BG99" s="77"/>
      <c r="BH99" s="77"/>
      <c r="BI99" s="77"/>
      <c r="BJ99" s="77"/>
      <c r="BK99" s="77"/>
      <c r="BL99" s="77"/>
      <c r="BM99" s="77"/>
      <c r="BN99" s="77"/>
      <c r="BO99" s="77"/>
      <c r="BP99" s="77"/>
      <c r="BQ99" s="77"/>
      <c r="BR99" s="77"/>
      <c r="BS99" s="77"/>
      <c r="BT99" s="77"/>
      <c r="BU99" s="77"/>
      <c r="BV99" s="77"/>
      <c r="BW99" s="77"/>
      <c r="BX99" s="77"/>
      <c r="BY99" s="77"/>
      <c r="BZ99" s="77"/>
      <c r="CA99" s="77"/>
      <c r="CB99" s="77"/>
      <c r="CC99" s="77"/>
      <c r="CD99" s="77"/>
      <c r="CE99" s="77"/>
      <c r="CF99" s="77"/>
      <c r="CG99" s="77"/>
      <c r="CH99" s="77"/>
      <c r="CI99" s="77"/>
      <c r="CJ99" s="77"/>
      <c r="CK99" s="77"/>
      <c r="CL99" s="77"/>
      <c r="CM99" s="77"/>
      <c r="CN99" s="77"/>
      <c r="CO99" s="77"/>
      <c r="CP99" s="77"/>
      <c r="CQ99" s="77"/>
      <c r="CR99" s="77"/>
      <c r="CS99" s="77"/>
      <c r="CT99" s="77"/>
      <c r="CU99" s="77"/>
      <c r="CV99" s="77"/>
      <c r="CW99" s="77"/>
      <c r="CX99" s="77"/>
      <c r="CY99" s="77"/>
      <c r="CZ99" s="77"/>
      <c r="DA99" s="77"/>
      <c r="DB99" s="77"/>
      <c r="DC99" s="77"/>
      <c r="DD99" s="77"/>
      <c r="DE99" s="77"/>
      <c r="DF99" s="77"/>
      <c r="DG99" s="77"/>
      <c r="DH99" s="77"/>
      <c r="DI99" s="77"/>
      <c r="DJ99" s="77"/>
      <c r="DK99" s="77"/>
      <c r="DL99" s="77"/>
      <c r="DM99" s="77"/>
      <c r="DN99" s="77"/>
      <c r="DO99" s="77"/>
      <c r="DP99" s="77"/>
      <c r="DQ99" s="77"/>
      <c r="DR99" s="77"/>
      <c r="DS99" s="77"/>
      <c r="DT99" s="78"/>
      <c r="DU99" s="12"/>
    </row>
    <row r="100" spans="1:125" ht="16" customHeight="1" x14ac:dyDescent="0.2">
      <c r="A100" s="79" t="s">
        <v>222</v>
      </c>
      <c r="B100" s="68"/>
      <c r="C100" s="68"/>
      <c r="D100" s="68"/>
      <c r="E100" s="68"/>
      <c r="F100" s="68"/>
      <c r="G100" s="68"/>
      <c r="H100" s="68"/>
      <c r="I100" s="68"/>
      <c r="J100" s="79" t="s">
        <v>223</v>
      </c>
      <c r="K100" s="79" t="s">
        <v>224</v>
      </c>
      <c r="L100" s="68"/>
      <c r="M100" s="79" t="s">
        <v>225</v>
      </c>
      <c r="N100" s="79" t="s">
        <v>226</v>
      </c>
      <c r="O100" s="68"/>
      <c r="P100" s="68"/>
      <c r="Q100" s="68"/>
      <c r="R100" s="68"/>
      <c r="S100" s="68"/>
      <c r="T100" s="68"/>
      <c r="U100" s="68"/>
      <c r="V100" s="80"/>
      <c r="W100" s="81"/>
      <c r="X100" s="182" t="str" cm="1">
        <f t="array" ref="X100">X3</f>
        <v>Fecha</v>
      </c>
      <c r="Y100" s="182" t="str" cm="1">
        <f t="array" ref="Y100">Y3</f>
        <v>Hora</v>
      </c>
      <c r="Z100" s="82" t="s">
        <v>227</v>
      </c>
      <c r="AA100" s="224" t="str" cm="1">
        <f t="array" ref="AA100">AA3</f>
        <v>Casa</v>
      </c>
      <c r="AB100" s="232" t="s">
        <v>228</v>
      </c>
      <c r="AC100" s="182" t="str" cm="1">
        <f t="array" ref="AC100">AC3</f>
        <v>Gol</v>
      </c>
      <c r="AD100" s="182" t="str" cm="1">
        <f t="array" ref="AD100">AD3</f>
        <v>Gol</v>
      </c>
      <c r="AE100" s="232" t="s">
        <v>228</v>
      </c>
      <c r="AF100" s="225" t="str" cm="1">
        <f t="array" ref="AF100">AF3</f>
        <v>Fuera</v>
      </c>
      <c r="AG100" s="233"/>
      <c r="AH100" s="134"/>
      <c r="AI100" s="234"/>
      <c r="AJ100" s="793" t="s">
        <v>229</v>
      </c>
      <c r="AK100" s="785"/>
      <c r="AL100" s="785"/>
      <c r="AM100" s="785"/>
      <c r="AN100" s="785"/>
      <c r="AO100" s="785"/>
      <c r="AP100" s="785"/>
      <c r="AQ100" s="785"/>
      <c r="AR100" s="785"/>
      <c r="AS100" s="785"/>
      <c r="AT100" s="786"/>
      <c r="AU100" s="235"/>
      <c r="AV100" s="109" t="str" cm="1">
        <f t="array" ref="AV100">IF(AU101&gt;0,$AV$3,"")</f>
        <v>¡EMPATE! Puedes seleccionar el orden de los empatados.</v>
      </c>
      <c r="AW100" s="236"/>
      <c r="AX100" s="236"/>
      <c r="AY100" s="190"/>
      <c r="AZ100" s="191"/>
      <c r="BA100" s="8"/>
      <c r="BB100" s="77"/>
      <c r="BC100" s="77"/>
      <c r="BD100" s="77"/>
      <c r="BE100" s="77"/>
      <c r="BF100" s="77"/>
      <c r="BG100" s="77"/>
      <c r="BH100" s="77"/>
      <c r="BI100" s="77"/>
      <c r="BJ100" s="77"/>
      <c r="BK100" s="77"/>
      <c r="BL100" s="77"/>
      <c r="BM100" s="77"/>
      <c r="BN100" s="77"/>
      <c r="BO100" s="77"/>
      <c r="BP100" s="77"/>
      <c r="BQ100" s="77"/>
      <c r="BR100" s="77"/>
      <c r="BS100" s="77"/>
      <c r="BT100" s="77"/>
      <c r="BU100" s="77"/>
      <c r="BV100" s="77"/>
      <c r="BW100" s="77"/>
      <c r="BX100" s="77"/>
      <c r="BY100" s="77"/>
      <c r="BZ100" s="77"/>
      <c r="CA100" s="77"/>
      <c r="CB100" s="77"/>
      <c r="CC100" s="77"/>
      <c r="CD100" s="77"/>
      <c r="CE100" s="77"/>
      <c r="CF100" s="77"/>
      <c r="CG100" s="77"/>
      <c r="CH100" s="77"/>
      <c r="CI100" s="77"/>
      <c r="CJ100" s="77"/>
      <c r="CK100" s="77"/>
      <c r="CL100" s="77"/>
      <c r="CM100" s="77"/>
      <c r="CN100" s="77"/>
      <c r="CO100" s="77"/>
      <c r="CP100" s="77"/>
      <c r="CQ100" s="77"/>
      <c r="CR100" s="77"/>
      <c r="CS100" s="77"/>
      <c r="CT100" s="77"/>
      <c r="CU100" s="77"/>
      <c r="CV100" s="77"/>
      <c r="CW100" s="77"/>
      <c r="CX100" s="77"/>
      <c r="CY100" s="77"/>
      <c r="CZ100" s="77"/>
      <c r="DA100" s="77"/>
      <c r="DB100" s="77"/>
      <c r="DC100" s="77"/>
      <c r="DD100" s="77"/>
      <c r="DE100" s="77"/>
      <c r="DF100" s="77"/>
      <c r="DG100" s="77"/>
      <c r="DH100" s="77"/>
      <c r="DI100" s="77"/>
      <c r="DJ100" s="77"/>
      <c r="DK100" s="77"/>
      <c r="DL100" s="77"/>
      <c r="DM100" s="77"/>
      <c r="DN100" s="77"/>
      <c r="DO100" s="77"/>
      <c r="DP100" s="77"/>
      <c r="DQ100" s="77"/>
      <c r="DR100" s="77"/>
      <c r="DS100" s="77"/>
      <c r="DT100" s="78"/>
      <c r="DU100" s="12"/>
    </row>
    <row r="101" spans="1:125" ht="16" customHeight="1" x14ac:dyDescent="0.2">
      <c r="A101" s="79" t="s">
        <v>116</v>
      </c>
      <c r="B101" s="79" t="s">
        <v>125</v>
      </c>
      <c r="C101" s="68"/>
      <c r="D101" s="68" t="str" cm="1">
        <f t="array" ref="D101">IF(AND(OR(AC101="",AD101="")),"W"&amp;AH101,IF(AC101&gt;AD101,AA101,IF(AC101&lt;AD101,AF101,IF(AND(AC101=AD101,AB101=AE101),"W"&amp;AH101,IF(AND(AC101=AD101,OR(AB101="",AE101="")),"W"&amp;AH101,IF(AND(AC101=AD101,AB101&gt;AE101),AA101,AF101))))))</f>
        <v>W73</v>
      </c>
      <c r="E101" s="79" t="s">
        <v>46</v>
      </c>
      <c r="F101" s="79" t="s">
        <v>121</v>
      </c>
      <c r="G101" s="79" t="s">
        <v>46</v>
      </c>
      <c r="H101" s="95" cm="1">
        <f t="array" ref="H101">SUMIF($BC$6:$BC$53,G101,$BF$6:$BF$53)</f>
        <v>12</v>
      </c>
      <c r="I101" s="68"/>
      <c r="J101" s="95">
        <v>73</v>
      </c>
      <c r="K101" s="95">
        <v>46201.75</v>
      </c>
      <c r="L101" s="79" t="s">
        <v>231</v>
      </c>
      <c r="M101" s="68" t="str" cm="1">
        <f t="array" ref="M101">IF(OR(INDEX($H$101:$H$113,MATCH(E101,$G$101:$G$113,0))=12,$AJ$99=144),INDEX($AL$6:$AL$97,MATCH(A101,$AI$6:$AI$97,0)),A101)</f>
        <v>Sudáfrica</v>
      </c>
      <c r="N101" s="79" t="s">
        <v>125</v>
      </c>
      <c r="O101" s="68"/>
      <c r="P101" s="68"/>
      <c r="Q101" s="68"/>
      <c r="R101" s="68"/>
      <c r="S101" s="68"/>
      <c r="T101" s="68"/>
      <c r="U101" s="68"/>
      <c r="V101" s="80"/>
      <c r="W101" s="772" t="s">
        <v>232</v>
      </c>
      <c r="X101" s="96">
        <v>46201.625</v>
      </c>
      <c r="Y101" s="97">
        <v>46201.625</v>
      </c>
      <c r="Z101" s="237" cm="1">
        <f t="array" ref="Z101">AH101</f>
        <v>73</v>
      </c>
      <c r="AA101" s="238" t="str" cm="1">
        <f t="array" ref="AA101">INDEX($M$101:$M$147,MATCH(AH101,$J$101:$J$147,0))</f>
        <v>Sudáfrica</v>
      </c>
      <c r="AB101" s="239"/>
      <c r="AC101" s="240"/>
      <c r="AD101" s="241"/>
      <c r="AE101" s="242"/>
      <c r="AF101" s="243" t="str" cm="1">
        <f t="array" ref="AF101">INDEX($N$101:$N$147,MATCH(AH101,$J$101:$J$147,0))</f>
        <v>2B</v>
      </c>
      <c r="AG101" s="104" cm="1">
        <f t="array" ref="AG101">IF(D101="W"&amp;AH101,0,1)</f>
        <v>0</v>
      </c>
      <c r="AH101" s="105">
        <v>73</v>
      </c>
      <c r="AI101" s="234"/>
      <c r="AJ101" s="244" t="str" cm="1">
        <f t="array" ref="AJ101">AJ5</f>
        <v>Pos</v>
      </c>
      <c r="AK101" s="245"/>
      <c r="AL101" s="246" t="str" cm="1">
        <f t="array" ref="AL101">AL5</f>
        <v>Selección</v>
      </c>
      <c r="AM101" s="245" t="str" cm="1">
        <f t="array" ref="AM101">AM5</f>
        <v>Pts</v>
      </c>
      <c r="AN101" s="245" t="str" cm="1">
        <f t="array" ref="AN101">AN5</f>
        <v>J</v>
      </c>
      <c r="AO101" s="245" t="str" cm="1">
        <f t="array" ref="AO101">AO5</f>
        <v>G</v>
      </c>
      <c r="AP101" s="245" t="str" cm="1">
        <f t="array" ref="AP101">AP5</f>
        <v>E</v>
      </c>
      <c r="AQ101" s="245" t="str" cm="1">
        <f t="array" ref="AQ101">AQ5</f>
        <v>P</v>
      </c>
      <c r="AR101" s="245" t="str" cm="1">
        <f t="array" ref="AR101">AR5</f>
        <v>GF</v>
      </c>
      <c r="AS101" s="245" t="str" cm="1">
        <f t="array" ref="AS101">AS5</f>
        <v>GC</v>
      </c>
      <c r="AT101" s="247" t="str" cm="1">
        <f t="array" ref="AT101">AT5</f>
        <v>DG</v>
      </c>
      <c r="AU101" s="199" cm="1">
        <f t="array" ref="AU101">COUNTIF(AU102:AU113,"&gt;1")</f>
        <v>2</v>
      </c>
      <c r="AV101" s="74"/>
      <c r="AW101" s="230"/>
      <c r="AX101" s="230"/>
      <c r="AY101" s="248"/>
      <c r="AZ101" s="249" t="str" cm="1">
        <f t="array" ref="AZ101">IF(OR($H$113&gt;=48,$AJ$99=144),BI112,"")</f>
        <v>ABEFGHJL</v>
      </c>
      <c r="BA101" s="8"/>
      <c r="BB101" s="77"/>
      <c r="BC101" s="77"/>
      <c r="BD101" s="77"/>
      <c r="BE101" s="77"/>
      <c r="BF101" s="77"/>
      <c r="BG101" s="77"/>
      <c r="BH101" s="77"/>
      <c r="BI101" s="77"/>
      <c r="BJ101" s="77"/>
      <c r="BK101" s="77"/>
      <c r="BL101" s="77"/>
      <c r="BM101" s="77"/>
      <c r="BN101" s="77"/>
      <c r="BO101" s="77"/>
      <c r="BP101" s="77"/>
      <c r="BQ101" s="77"/>
      <c r="BR101" s="77"/>
      <c r="BS101" s="77"/>
      <c r="BT101" s="77"/>
      <c r="BU101" s="77"/>
      <c r="BV101" s="77"/>
      <c r="BW101" s="77"/>
      <c r="BX101" s="77"/>
      <c r="BY101" s="77"/>
      <c r="BZ101" s="77"/>
      <c r="CA101" s="77"/>
      <c r="CB101" s="77"/>
      <c r="CC101" s="77"/>
      <c r="CD101" s="77"/>
      <c r="CE101" s="77"/>
      <c r="CF101" s="77"/>
      <c r="CG101" s="77"/>
      <c r="CH101" s="77"/>
      <c r="CI101" s="77"/>
      <c r="CJ101" s="77"/>
      <c r="CK101" s="77"/>
      <c r="CL101" s="77"/>
      <c r="CM101" s="77"/>
      <c r="CN101" s="77"/>
      <c r="CO101" s="77"/>
      <c r="CP101" s="77"/>
      <c r="CQ101" s="77"/>
      <c r="CR101" s="77"/>
      <c r="CS101" s="77"/>
      <c r="CT101" s="77"/>
      <c r="CU101" s="77"/>
      <c r="CV101" s="77"/>
      <c r="CW101" s="77"/>
      <c r="CX101" s="77"/>
      <c r="CY101" s="77"/>
      <c r="CZ101" s="77"/>
      <c r="DA101" s="77"/>
      <c r="DB101" s="77"/>
      <c r="DC101" s="77"/>
      <c r="DD101" s="77"/>
      <c r="DE101" s="77"/>
      <c r="DF101" s="77"/>
      <c r="DG101" s="77"/>
      <c r="DH101" s="77"/>
      <c r="DI101" s="77"/>
      <c r="DJ101" s="77"/>
      <c r="DK101" s="77"/>
      <c r="DL101" s="77"/>
      <c r="DM101" s="77"/>
      <c r="DN101" s="77"/>
      <c r="DO101" s="77"/>
      <c r="DP101" s="77"/>
      <c r="DQ101" s="77"/>
      <c r="DR101" s="77"/>
      <c r="DS101" s="77"/>
      <c r="DT101" s="78"/>
      <c r="DU101" s="12"/>
    </row>
    <row r="102" spans="1:125" ht="16" customHeight="1" x14ac:dyDescent="0.2">
      <c r="A102" s="79" t="s">
        <v>149</v>
      </c>
      <c r="B102" s="79" t="s">
        <v>233</v>
      </c>
      <c r="C102" s="68"/>
      <c r="D102" s="68" t="str" cm="1">
        <f t="array" ref="D102">IF(AND(OR(AC102="",AD102="")),"W"&amp;AH102,IF(AC102&gt;AD102,AA102,IF(AC102&lt;AD102,AF102,IF(AND(AC102=AD102,AB102=AE102),"W"&amp;AH102,IF(AND(AC102=AD102,OR(AB102="",AE102="")),"W"&amp;AH102,IF(AND(AC102=AD102,AB102&gt;AE102),AA102,AF102))))))</f>
        <v>W76</v>
      </c>
      <c r="E102" s="79" t="s">
        <v>55</v>
      </c>
      <c r="F102" s="79" t="s">
        <v>235</v>
      </c>
      <c r="G102" s="79" t="s">
        <v>121</v>
      </c>
      <c r="H102" s="95" cm="1">
        <f t="array" ref="H102">SUMIF($BC$6:$BC$53,G102,$BF$6:$BF$53)</f>
        <v>12</v>
      </c>
      <c r="I102" s="68"/>
      <c r="J102" s="95">
        <v>74</v>
      </c>
      <c r="K102" s="95">
        <v>46202.75</v>
      </c>
      <c r="L102" s="79" t="s">
        <v>236</v>
      </c>
      <c r="M102" s="68" t="str" cm="1">
        <f t="array" ref="M102">IF(OR(INDEX($H$101:$H$113,MATCH(E102,$G$101:$G$113,0))=12,$AJ$99=144),INDEX($AL$6:$AL$97,MATCH(A102,$AI$6:$AI$97,0)),A102)</f>
        <v>Alemania</v>
      </c>
      <c r="N102" s="79" t="s">
        <v>233</v>
      </c>
      <c r="O102" s="68"/>
      <c r="P102" s="68"/>
      <c r="Q102" s="68"/>
      <c r="R102" s="68"/>
      <c r="S102" s="68"/>
      <c r="T102" s="68"/>
      <c r="U102" s="68"/>
      <c r="V102" s="80"/>
      <c r="W102" s="761"/>
      <c r="X102" s="96">
        <v>46202.541666666657</v>
      </c>
      <c r="Y102" s="97">
        <v>46202.541666666657</v>
      </c>
      <c r="Z102" s="237" cm="1">
        <f t="array" ref="Z102">AH102</f>
        <v>76</v>
      </c>
      <c r="AA102" s="238" t="str" cm="1">
        <f t="array" ref="AA102">INDEX($M$101:$M$147,MATCH(AH102,$J$101:$J$147,0))</f>
        <v>Brasil</v>
      </c>
      <c r="AB102" s="239"/>
      <c r="AC102" s="250"/>
      <c r="AD102" s="250"/>
      <c r="AE102" s="251"/>
      <c r="AF102" s="243" t="str" cm="1">
        <f t="array" ref="AF102">INDEX($N$101:$N$147,MATCH(AH102,$J$101:$J$147,0))</f>
        <v>2F</v>
      </c>
      <c r="AG102" s="104" cm="1">
        <f t="array" ref="AG102">IF(D102="W"&amp;AH102,0,1)</f>
        <v>0</v>
      </c>
      <c r="AH102" s="105">
        <v>76</v>
      </c>
      <c r="AI102" s="252">
        <v>1</v>
      </c>
      <c r="AJ102" s="253">
        <v>1</v>
      </c>
      <c r="AK102" s="254"/>
      <c r="AL102" s="255" t="str" cm="1">
        <f t="array" ref="AL102">IF($H$113&gt;=48,INDEX($BD$58:$BD$69,MATCH(AI102,$BN$58:$BN$69,0)),BB58)</f>
        <v>Corea del Sur</v>
      </c>
      <c r="AM102" s="256" cm="1">
        <f t="array" ref="AM102">IF($H$113&gt;=48,INDEX($BE$58:$BN$69,MATCH($AL102,$BD$58:$BD$69,0),MATCH(AM$5,$BE$57:$BN$57,0)),$BB58)</f>
        <v>6</v>
      </c>
      <c r="AN102" s="257" cm="1">
        <f t="array" ref="AN102">IF($H$113&gt;=48,INDEX($BE$58:$BN$69,MATCH($AL102,$BD$58:$BD$69,0),MATCH(AN$5,$BE$57:$BN$57,0)),$BB58)</f>
        <v>3</v>
      </c>
      <c r="AO102" s="257" cm="1">
        <f t="array" ref="AO102">IF($H$113&gt;=48,INDEX($BE$58:$BN$69,MATCH($AL102,$BD$58:$BD$69,0),MATCH(AO$5,$BE$57:$BN$57,0)),$BB58)</f>
        <v>2</v>
      </c>
      <c r="AP102" s="257" cm="1">
        <f t="array" ref="AP102">IF($H$113&gt;=48,INDEX($BE$58:$BN$69,MATCH($AL102,$BD$58:$BD$69,0),MATCH(AP$5,$BE$57:$BN$57,0)),$BB58)</f>
        <v>0</v>
      </c>
      <c r="AQ102" s="257" cm="1">
        <f t="array" ref="AQ102">IF($H$113&gt;=48,INDEX($BE$58:$BN$69,MATCH($AL102,$BD$58:$BD$69,0),MATCH(AQ$5,$BE$57:$BN$57,0)),$BB58)</f>
        <v>1</v>
      </c>
      <c r="AR102" s="257" cm="1">
        <f t="array" ref="AR102">IF($H$113&gt;=48,INDEX($BE$58:$BN$69,MATCH($AL102,$BD$58:$BD$69,0),MATCH(AR$5,$BE$57:$BN$57,0)),$BB58)</f>
        <v>6</v>
      </c>
      <c r="AS102" s="257" cm="1">
        <f t="array" ref="AS102">IF($H$113&gt;=48,INDEX($BE$58:$BN$69,MATCH($AL102,$BD$58:$BD$69,0),MATCH(AS$5,$BE$57:$BN$57,0)),$BB58)</f>
        <v>4</v>
      </c>
      <c r="AT102" s="258" cm="1">
        <f t="array" ref="AT102">IF($H$113&gt;=48,INDEX($BE$58:$BN$69,MATCH($AL102,$BD$58:$BD$69,0),MATCH(AT$5,$BE$57:$BN$57,0)),$BB58)</f>
        <v>2</v>
      </c>
      <c r="AU102" s="133" cm="1">
        <f t="array" ref="AU102">IF($H$113=144,INDEX($DL$58:$DL$69,MATCH(AI102,$DP$58:$DP$69,0)),"")</f>
        <v>1</v>
      </c>
      <c r="AV102" s="134" t="str" cm="1">
        <f t="array" ref="AV102">INDEX($BD$58:$BD$69,MATCH(AI102,$BM$58:$BM$69,0))</f>
        <v>Corea del Sur</v>
      </c>
      <c r="AW102" s="259"/>
      <c r="AX102" s="260"/>
      <c r="AY102" s="190"/>
      <c r="AZ102" s="191"/>
      <c r="BA102" s="8"/>
      <c r="BB102" s="77"/>
      <c r="BC102" s="77"/>
      <c r="BD102" s="77"/>
      <c r="BE102" s="261" t="s">
        <v>237</v>
      </c>
      <c r="BF102" s="261" t="s">
        <v>238</v>
      </c>
      <c r="BG102" s="261" t="s">
        <v>239</v>
      </c>
      <c r="BH102" s="77"/>
      <c r="BI102" s="261" t="s">
        <v>240</v>
      </c>
      <c r="BJ102" s="77"/>
      <c r="BK102" s="77"/>
      <c r="BL102" s="77"/>
      <c r="BM102" s="77"/>
      <c r="BN102" s="77"/>
      <c r="BO102" s="77"/>
      <c r="BP102" s="77"/>
      <c r="BQ102" s="77"/>
      <c r="BR102" s="77"/>
      <c r="BS102" s="77"/>
      <c r="BT102" s="77"/>
      <c r="BU102" s="77"/>
      <c r="BV102" s="77"/>
      <c r="BW102" s="77"/>
      <c r="BX102" s="77"/>
      <c r="BY102" s="77"/>
      <c r="BZ102" s="77"/>
      <c r="CA102" s="77"/>
      <c r="CB102" s="77"/>
      <c r="CC102" s="77"/>
      <c r="CD102" s="77"/>
      <c r="CE102" s="77"/>
      <c r="CF102" s="77"/>
      <c r="CG102" s="77"/>
      <c r="CH102" s="77"/>
      <c r="CI102" s="77"/>
      <c r="CJ102" s="77"/>
      <c r="CK102" s="77"/>
      <c r="CL102" s="77"/>
      <c r="CM102" s="77"/>
      <c r="CN102" s="77"/>
      <c r="CO102" s="77"/>
      <c r="CP102" s="77"/>
      <c r="CQ102" s="77"/>
      <c r="CR102" s="77"/>
      <c r="CS102" s="77"/>
      <c r="CT102" s="77"/>
      <c r="CU102" s="77"/>
      <c r="CV102" s="77"/>
      <c r="CW102" s="77"/>
      <c r="CX102" s="77"/>
      <c r="CY102" s="77"/>
      <c r="CZ102" s="77"/>
      <c r="DA102" s="77"/>
      <c r="DB102" s="77"/>
      <c r="DC102" s="77"/>
      <c r="DD102" s="77"/>
      <c r="DE102" s="77"/>
      <c r="DF102" s="77"/>
      <c r="DG102" s="77"/>
      <c r="DH102" s="77"/>
      <c r="DI102" s="77"/>
      <c r="DJ102" s="77"/>
      <c r="DK102" s="77"/>
      <c r="DL102" s="77"/>
      <c r="DM102" s="77"/>
      <c r="DN102" s="77"/>
      <c r="DO102" s="77"/>
      <c r="DP102" s="77"/>
      <c r="DQ102" s="77"/>
      <c r="DR102" s="77"/>
      <c r="DS102" s="77"/>
      <c r="DT102" s="78"/>
      <c r="DU102" s="12"/>
    </row>
    <row r="103" spans="1:125" ht="16" customHeight="1" x14ac:dyDescent="0.2">
      <c r="A103" s="79" t="s">
        <v>158</v>
      </c>
      <c r="B103" s="79" t="s">
        <v>134</v>
      </c>
      <c r="C103" s="68"/>
      <c r="D103" s="68" t="str" cm="1">
        <f t="array" ref="D103">IF(AND(OR(AC103="",AD103="")),"W"&amp;AH103,IF(AC103&gt;AD103,AA103,IF(AC103&lt;AD103,AF103,IF(AND(AC103=AD103,AB103=AE103),"W"&amp;AH103,IF(AND(AC103=AD103,OR(AB103="",AE103="")),"W"&amp;AH103,IF(AND(AC103=AD103,AB103&gt;AE103),AA103,AF103))))))</f>
        <v>W74</v>
      </c>
      <c r="E103" s="79" t="s">
        <v>156</v>
      </c>
      <c r="F103" s="79" t="s">
        <v>130</v>
      </c>
      <c r="G103" s="79" t="s">
        <v>130</v>
      </c>
      <c r="H103" s="95" cm="1">
        <f t="array" ref="H103">SUMIF($BC$6:$BC$53,G103,$BF$6:$BF$53)</f>
        <v>12</v>
      </c>
      <c r="I103" s="68"/>
      <c r="J103" s="95">
        <v>75</v>
      </c>
      <c r="K103" s="95">
        <v>46202.75</v>
      </c>
      <c r="L103" s="79" t="s">
        <v>242</v>
      </c>
      <c r="M103" s="68" t="str" cm="1">
        <f t="array" ref="M103">IF(OR(INDEX($H$101:$H$113,MATCH(E103,$G$101:$G$113,0))=12,$AJ$99=144),INDEX($AL$6:$AL$97,MATCH(A103,$AI$6:$AI$97,0)),A103)</f>
        <v>Países Bajos</v>
      </c>
      <c r="N103" s="79" t="s">
        <v>134</v>
      </c>
      <c r="O103" s="68"/>
      <c r="P103" s="68"/>
      <c r="Q103" s="68"/>
      <c r="R103" s="68"/>
      <c r="S103" s="68"/>
      <c r="T103" s="68"/>
      <c r="U103" s="68"/>
      <c r="V103" s="80"/>
      <c r="W103" s="762"/>
      <c r="X103" s="96">
        <v>46202.6875</v>
      </c>
      <c r="Y103" s="97">
        <v>46202.6875</v>
      </c>
      <c r="Z103" s="237" cm="1">
        <f t="array" ref="Z103">AH103</f>
        <v>74</v>
      </c>
      <c r="AA103" s="238" t="str" cm="1">
        <f t="array" ref="AA103">INDEX($M$101:$M$147,MATCH(AH103,$J$101:$J$147,0))</f>
        <v>Alemania</v>
      </c>
      <c r="AB103" s="239"/>
      <c r="AC103" s="250"/>
      <c r="AD103" s="250"/>
      <c r="AE103" s="251"/>
      <c r="AF103" s="243" t="str" cm="1">
        <f t="array" ref="AF103">INDEX($N$101:$N$147,MATCH(AH103,$J$101:$J$147,0))</f>
        <v>3ABCDF</v>
      </c>
      <c r="AG103" s="104" cm="1">
        <f t="array" ref="AG103">IF(D103="W"&amp;AH103,0,1)</f>
        <v>0</v>
      </c>
      <c r="AH103" s="105">
        <v>74</v>
      </c>
      <c r="AI103" s="252">
        <v>2</v>
      </c>
      <c r="AJ103" s="140">
        <v>2</v>
      </c>
      <c r="AK103" s="208"/>
      <c r="AL103" s="142" t="str" cm="1">
        <f t="array" ref="AL103">IF($H$113&gt;=48,INDEX($BD$58:$BD$69,MATCH(AI103,$BN$58:$BN$69,0)),BB59)</f>
        <v>Austria</v>
      </c>
      <c r="AM103" s="262" cm="1">
        <f t="array" ref="AM103">IF($H$113&gt;=48,INDEX($BE$58:$BN$69,MATCH($AL103,$BD$58:$BD$69,0),MATCH(AM$5,$BE$57:$BN$57,0)),$BB59)</f>
        <v>6</v>
      </c>
      <c r="AN103" s="144" cm="1">
        <f t="array" ref="AN103">IF($H$113&gt;=48,INDEX($BE$58:$BN$69,MATCH($AL103,$BD$58:$BD$69,0),MATCH(AN$5,$BE$57:$BN$57,0)),$BB59)</f>
        <v>3</v>
      </c>
      <c r="AO103" s="144" cm="1">
        <f t="array" ref="AO103">IF($H$113&gt;=48,INDEX($BE$58:$BN$69,MATCH($AL103,$BD$58:$BD$69,0),MATCH(AO$5,$BE$57:$BN$57,0)),$BB59)</f>
        <v>2</v>
      </c>
      <c r="AP103" s="144" cm="1">
        <f t="array" ref="AP103">IF($H$113&gt;=48,INDEX($BE$58:$BN$69,MATCH($AL103,$BD$58:$BD$69,0),MATCH(AP$5,$BE$57:$BN$57,0)),$BB59)</f>
        <v>0</v>
      </c>
      <c r="AQ103" s="144" cm="1">
        <f t="array" ref="AQ103">IF($H$113&gt;=48,INDEX($BE$58:$BN$69,MATCH($AL103,$BD$58:$BD$69,0),MATCH(AQ$5,$BE$57:$BN$57,0)),$BB59)</f>
        <v>1</v>
      </c>
      <c r="AR103" s="144" cm="1">
        <f t="array" ref="AR103">IF($H$113&gt;=48,INDEX($BE$58:$BN$69,MATCH($AL103,$BD$58:$BD$69,0),MATCH(AR$5,$BE$57:$BN$57,0)),$BB59)</f>
        <v>5</v>
      </c>
      <c r="AS103" s="144" cm="1">
        <f t="array" ref="AS103">IF($H$113&gt;=48,INDEX($BE$58:$BN$69,MATCH($AL103,$BD$58:$BD$69,0),MATCH(AS$5,$BE$57:$BN$57,0)),$BB59)</f>
        <v>3</v>
      </c>
      <c r="AT103" s="145" cm="1">
        <f t="array" ref="AT103">IF($H$113&gt;=48,INDEX($BE$58:$BN$69,MATCH($AL103,$BD$58:$BD$69,0),MATCH(AT$5,$BE$57:$BN$57,0)),$BB59)</f>
        <v>2</v>
      </c>
      <c r="AU103" s="133" cm="1">
        <f t="array" ref="AU103">IF($H$113=144,INDEX($DL$58:$DL$69,MATCH(AI103,$DP$58:$DP$69,0)),"")</f>
        <v>1</v>
      </c>
      <c r="AV103" s="134" t="str" cm="1">
        <f t="array" ref="AV103">INDEX($BD$58:$BD$69,MATCH(AI103,$BM$58:$BM$69,0))</f>
        <v>Austria</v>
      </c>
      <c r="AW103" s="259"/>
      <c r="AX103" s="260"/>
      <c r="AY103" s="263"/>
      <c r="AZ103" s="264" t="str" cm="1">
        <f t="array" ref="AZ103">IF(OR($H$113&gt;=48,$AJ$99=144),BF117&amp;" - "&amp;BG117,"")</f>
        <v xml:space="preserve">1A - </v>
      </c>
      <c r="BA103" s="8"/>
      <c r="BB103" s="77"/>
      <c r="BC103" s="77"/>
      <c r="BD103" s="77"/>
      <c r="BE103" s="77"/>
      <c r="BF103" s="77" t="str" cm="1">
        <f t="array" ref="BF103">IFERROR(INDEX($BC$6:$BC$53,MATCH(AL102,$BD$6:$BD$53,0)),"")</f>
        <v>A</v>
      </c>
      <c r="BG103" s="265" cm="1">
        <f t="array" ref="BG103">COUNTIF($BF$103:$BF$110,"&lt;="&amp;BF103)</f>
        <v>1</v>
      </c>
      <c r="BH103" s="77"/>
      <c r="BI103" s="265">
        <v>1</v>
      </c>
      <c r="BJ103" s="77" t="str" cm="1">
        <f t="array" ref="BJ103">IFERROR(INDEX($BF$103:$BF$110,MATCH(BI103,$BG$103:$BG$110,0)),"Grupo")</f>
        <v>A</v>
      </c>
      <c r="BK103" s="77"/>
      <c r="BL103" s="77"/>
      <c r="BM103" s="77"/>
      <c r="BN103" s="77"/>
      <c r="BO103" s="77"/>
      <c r="BP103" s="77"/>
      <c r="BQ103" s="77"/>
      <c r="BR103" s="77"/>
      <c r="BS103" s="77"/>
      <c r="BT103" s="77"/>
      <c r="BU103" s="77"/>
      <c r="BV103" s="77"/>
      <c r="BW103" s="77"/>
      <c r="BX103" s="77"/>
      <c r="BY103" s="77"/>
      <c r="BZ103" s="77"/>
      <c r="CA103" s="77"/>
      <c r="CB103" s="77"/>
      <c r="CC103" s="77"/>
      <c r="CD103" s="77"/>
      <c r="CE103" s="77"/>
      <c r="CF103" s="77"/>
      <c r="CG103" s="77"/>
      <c r="CH103" s="77"/>
      <c r="CI103" s="77"/>
      <c r="CJ103" s="77"/>
      <c r="CK103" s="77"/>
      <c r="CL103" s="77"/>
      <c r="CM103" s="77"/>
      <c r="CN103" s="77"/>
      <c r="CO103" s="77"/>
      <c r="CP103" s="77"/>
      <c r="CQ103" s="77"/>
      <c r="CR103" s="77"/>
      <c r="CS103" s="77"/>
      <c r="CT103" s="77"/>
      <c r="CU103" s="77"/>
      <c r="CV103" s="77"/>
      <c r="CW103" s="77"/>
      <c r="CX103" s="77"/>
      <c r="CY103" s="77"/>
      <c r="CZ103" s="77"/>
      <c r="DA103" s="77"/>
      <c r="DB103" s="77"/>
      <c r="DC103" s="77"/>
      <c r="DD103" s="77"/>
      <c r="DE103" s="77"/>
      <c r="DF103" s="77"/>
      <c r="DG103" s="77"/>
      <c r="DH103" s="77"/>
      <c r="DI103" s="77"/>
      <c r="DJ103" s="77"/>
      <c r="DK103" s="77"/>
      <c r="DL103" s="77"/>
      <c r="DM103" s="77"/>
      <c r="DN103" s="77"/>
      <c r="DO103" s="77"/>
      <c r="DP103" s="77"/>
      <c r="DQ103" s="77"/>
      <c r="DR103" s="77"/>
      <c r="DS103" s="77"/>
      <c r="DT103" s="78"/>
      <c r="DU103" s="12"/>
    </row>
    <row r="104" spans="1:125" ht="16" customHeight="1" x14ac:dyDescent="0.2">
      <c r="A104" s="79" t="s">
        <v>132</v>
      </c>
      <c r="B104" s="79" t="s">
        <v>160</v>
      </c>
      <c r="C104" s="68"/>
      <c r="D104" s="68" t="str" cm="1">
        <f t="array" ref="D104">IF(AND(OR(AC104="",AD104="")),"W"&amp;AH104,IF(AC104&gt;AD104,AA104,IF(AC104&lt;AD104,AF104,IF(AND(AC104=AD104,AB104=AE104),"W"&amp;AH104,IF(AND(AC104=AD104,OR(AB104="",AE104="")),"W"&amp;AH104,IF(AND(AC104=AD104,AB104&gt;AE104),AA104,AF104))))))</f>
        <v>W75</v>
      </c>
      <c r="E104" s="79" t="s">
        <v>130</v>
      </c>
      <c r="F104" s="79" t="s">
        <v>156</v>
      </c>
      <c r="G104" s="79" t="s">
        <v>139</v>
      </c>
      <c r="H104" s="95" cm="1">
        <f t="array" ref="H104">SUMIF($BC$6:$BC$53,G104,$BF$6:$BF$53)</f>
        <v>12</v>
      </c>
      <c r="I104" s="68"/>
      <c r="J104" s="95">
        <v>76</v>
      </c>
      <c r="K104" s="95">
        <v>46202.75</v>
      </c>
      <c r="L104" s="79" t="s">
        <v>244</v>
      </c>
      <c r="M104" s="68" t="str" cm="1">
        <f t="array" ref="M104">IF(OR(INDEX($H$101:$H$113,MATCH(E104,$G$101:$G$113,0))=12,$AJ$99=144),INDEX($AL$6:$AL$97,MATCH(A104,$AI$6:$AI$97,0)),A104)</f>
        <v>Brasil</v>
      </c>
      <c r="N104" s="79" t="s">
        <v>160</v>
      </c>
      <c r="O104" s="68"/>
      <c r="P104" s="68"/>
      <c r="Q104" s="68"/>
      <c r="R104" s="68"/>
      <c r="S104" s="68"/>
      <c r="T104" s="68"/>
      <c r="U104" s="68"/>
      <c r="V104" s="80"/>
      <c r="W104" s="762"/>
      <c r="X104" s="96">
        <v>46202.875</v>
      </c>
      <c r="Y104" s="97">
        <v>46202.875</v>
      </c>
      <c r="Z104" s="237" cm="1">
        <f t="array" ref="Z104">AH104</f>
        <v>75</v>
      </c>
      <c r="AA104" s="238" t="str" cm="1">
        <f t="array" ref="AA104">INDEX($M$101:$M$147,MATCH(AH104,$J$101:$J$147,0))</f>
        <v>Países Bajos</v>
      </c>
      <c r="AB104" s="239"/>
      <c r="AC104" s="250"/>
      <c r="AD104" s="250"/>
      <c r="AE104" s="251"/>
      <c r="AF104" s="243" t="str" cm="1">
        <f t="array" ref="AF104">INDEX($N$101:$N$147,MATCH(AH104,$J$101:$J$147,0))</f>
        <v>2C</v>
      </c>
      <c r="AG104" s="104" cm="1">
        <f t="array" ref="AG104">IF(D104="W"&amp;AH104,0,1)</f>
        <v>0</v>
      </c>
      <c r="AH104" s="105">
        <v>75</v>
      </c>
      <c r="AI104" s="252">
        <v>3</v>
      </c>
      <c r="AJ104" s="140">
        <v>3</v>
      </c>
      <c r="AK104" s="208"/>
      <c r="AL104" s="142" t="str" cm="1">
        <f t="array" ref="AL104">IF($H$113&gt;=48,INDEX($BD$58:$BD$69,MATCH(AI104,$BN$58:$BN$69,0)),BB60)</f>
        <v>Catar</v>
      </c>
      <c r="AM104" s="262" cm="1">
        <f t="array" ref="AM104">IF($H$113&gt;=48,INDEX($BE$58:$BN$69,MATCH($AL104,$BD$58:$BD$69,0),MATCH(AM$5,$BE$57:$BN$57,0)),$BB60)</f>
        <v>4</v>
      </c>
      <c r="AN104" s="144" cm="1">
        <f t="array" ref="AN104">IF($H$113&gt;=48,INDEX($BE$58:$BN$69,MATCH($AL104,$BD$58:$BD$69,0),MATCH(AN$5,$BE$57:$BN$57,0)),$BB60)</f>
        <v>3</v>
      </c>
      <c r="AO104" s="144" cm="1">
        <f t="array" ref="AO104">IF($H$113&gt;=48,INDEX($BE$58:$BN$69,MATCH($AL104,$BD$58:$BD$69,0),MATCH(AO$5,$BE$57:$BN$57,0)),$BB60)</f>
        <v>1</v>
      </c>
      <c r="AP104" s="144" cm="1">
        <f t="array" ref="AP104">IF($H$113&gt;=48,INDEX($BE$58:$BN$69,MATCH($AL104,$BD$58:$BD$69,0),MATCH(AP$5,$BE$57:$BN$57,0)),$BB60)</f>
        <v>1</v>
      </c>
      <c r="AQ104" s="144" cm="1">
        <f t="array" ref="AQ104">IF($H$113&gt;=48,INDEX($BE$58:$BN$69,MATCH($AL104,$BD$58:$BD$69,0),MATCH(AQ$5,$BE$57:$BN$57,0)),$BB60)</f>
        <v>1</v>
      </c>
      <c r="AR104" s="144" cm="1">
        <f t="array" ref="AR104">IF($H$113&gt;=48,INDEX($BE$58:$BN$69,MATCH($AL104,$BD$58:$BD$69,0),MATCH(AR$5,$BE$57:$BN$57,0)),$BB60)</f>
        <v>3</v>
      </c>
      <c r="AS104" s="144" cm="1">
        <f t="array" ref="AS104">IF($H$113&gt;=48,INDEX($BE$58:$BN$69,MATCH($AL104,$BD$58:$BD$69,0),MATCH(AS$5,$BE$57:$BN$57,0)),$BB60)</f>
        <v>3</v>
      </c>
      <c r="AT104" s="145" cm="1">
        <f t="array" ref="AT104">IF($H$113&gt;=48,INDEX($BE$58:$BN$69,MATCH($AL104,$BD$58:$BD$69,0),MATCH(AT$5,$BE$57:$BN$57,0)),$BB60)</f>
        <v>0</v>
      </c>
      <c r="AU104" s="133" cm="1">
        <f t="array" ref="AU104">IF($H$113=144,INDEX($DL$58:$DL$69,MATCH(AI104,$DP$58:$DP$69,0)),"")</f>
        <v>1</v>
      </c>
      <c r="AV104" s="134" t="str" cm="1">
        <f t="array" ref="AV104">INDEX($BD$58:$BD$69,MATCH(AI104,$BM$58:$BM$69,0))</f>
        <v>Catar</v>
      </c>
      <c r="AW104" s="259"/>
      <c r="AX104" s="260"/>
      <c r="AY104" s="263"/>
      <c r="AZ104" s="264" t="str" cm="1">
        <f t="array" ref="AZ104">IF(OR($H$113&gt;=48,$AJ$99=144),BF118&amp;" - "&amp;BG118,"")</f>
        <v xml:space="preserve">1B - </v>
      </c>
      <c r="BA104" s="8"/>
      <c r="BB104" s="77"/>
      <c r="BC104" s="77"/>
      <c r="BD104" s="77"/>
      <c r="BE104" s="77"/>
      <c r="BF104" s="77" t="str" cm="1">
        <f t="array" ref="BF104">IFERROR(INDEX($BC$6:$BC$53,MATCH(AL103,$BD$6:$BD$53,0)),"")</f>
        <v>J</v>
      </c>
      <c r="BG104" s="265" cm="1">
        <f t="array" ref="BG104">COUNTIF($BF$103:$BF$110,"&lt;="&amp;BF104)</f>
        <v>7</v>
      </c>
      <c r="BH104" s="77"/>
      <c r="BI104" s="265">
        <v>2</v>
      </c>
      <c r="BJ104" s="77" t="str" cm="1">
        <f t="array" ref="BJ104">IFERROR(INDEX($BF$103:$BF$110,MATCH(BI104,$BG$103:$BG$110,0)),"Grupo")</f>
        <v>B</v>
      </c>
      <c r="BK104" s="77"/>
      <c r="BL104" s="77"/>
      <c r="BM104" s="77"/>
      <c r="BN104" s="77"/>
      <c r="BO104" s="77"/>
      <c r="BP104" s="77"/>
      <c r="BQ104" s="77"/>
      <c r="BR104" s="77"/>
      <c r="BS104" s="77"/>
      <c r="BT104" s="77"/>
      <c r="BU104" s="77"/>
      <c r="BV104" s="77"/>
      <c r="BW104" s="77"/>
      <c r="BX104" s="77"/>
      <c r="BY104" s="77"/>
      <c r="BZ104" s="77"/>
      <c r="CA104" s="77"/>
      <c r="CB104" s="77"/>
      <c r="CC104" s="77"/>
      <c r="CD104" s="77"/>
      <c r="CE104" s="77"/>
      <c r="CF104" s="77"/>
      <c r="CG104" s="77"/>
      <c r="CH104" s="77"/>
      <c r="CI104" s="77"/>
      <c r="CJ104" s="77"/>
      <c r="CK104" s="77"/>
      <c r="CL104" s="77"/>
      <c r="CM104" s="77"/>
      <c r="CN104" s="77"/>
      <c r="CO104" s="77"/>
      <c r="CP104" s="77"/>
      <c r="CQ104" s="77"/>
      <c r="CR104" s="77"/>
      <c r="CS104" s="77"/>
      <c r="CT104" s="77"/>
      <c r="CU104" s="77"/>
      <c r="CV104" s="77"/>
      <c r="CW104" s="77"/>
      <c r="CX104" s="77"/>
      <c r="CY104" s="77"/>
      <c r="CZ104" s="77"/>
      <c r="DA104" s="77"/>
      <c r="DB104" s="77"/>
      <c r="DC104" s="77"/>
      <c r="DD104" s="77"/>
      <c r="DE104" s="77"/>
      <c r="DF104" s="77"/>
      <c r="DG104" s="77"/>
      <c r="DH104" s="77"/>
      <c r="DI104" s="77"/>
      <c r="DJ104" s="77"/>
      <c r="DK104" s="77"/>
      <c r="DL104" s="77"/>
      <c r="DM104" s="77"/>
      <c r="DN104" s="77"/>
      <c r="DO104" s="77"/>
      <c r="DP104" s="77"/>
      <c r="DQ104" s="77"/>
      <c r="DR104" s="77"/>
      <c r="DS104" s="77"/>
      <c r="DT104" s="78"/>
      <c r="DU104" s="12"/>
    </row>
    <row r="105" spans="1:125" ht="16" customHeight="1" x14ac:dyDescent="0.2">
      <c r="A105" s="79" t="s">
        <v>184</v>
      </c>
      <c r="B105" s="79" t="s">
        <v>245</v>
      </c>
      <c r="C105" s="68"/>
      <c r="D105" s="68" t="str" cm="1">
        <f t="array" ref="D105">IF(AND(OR(AC105="",AD105="")),"W"&amp;AH105,IF(AC105&gt;AD105,AA105,IF(AC105&lt;AD105,AF105,IF(AND(AC105=AD105,AB105=AE105),"W"&amp;AH105,IF(AND(AC105=AD105,OR(AB105="",AE105="")),"W"&amp;AH105,IF(AND(AC105=AD105,AB105&gt;AE105),AA105,AF105))))))</f>
        <v>W78</v>
      </c>
      <c r="E105" s="79" t="s">
        <v>182</v>
      </c>
      <c r="F105" s="79" t="s">
        <v>235</v>
      </c>
      <c r="G105" s="79" t="s">
        <v>55</v>
      </c>
      <c r="H105" s="95" cm="1">
        <f t="array" ref="H105">SUMIF($BC$6:$BC$53,G105,$BF$6:$BF$53)</f>
        <v>12</v>
      </c>
      <c r="I105" s="68"/>
      <c r="J105" s="95">
        <v>77</v>
      </c>
      <c r="K105" s="95">
        <v>46203.75</v>
      </c>
      <c r="L105" s="79" t="s">
        <v>247</v>
      </c>
      <c r="M105" s="68" t="str" cm="1">
        <f t="array" ref="M105">IF(OR(INDEX($H$101:$H$113,MATCH(E105,$G$101:$G$113,0))=12,$AJ$99=144),INDEX($AL$6:$AL$97,MATCH(A105,$AI$6:$AI$97,0)),A105)</f>
        <v>Francia</v>
      </c>
      <c r="N105" s="79" t="s">
        <v>245</v>
      </c>
      <c r="O105" s="68"/>
      <c r="P105" s="68"/>
      <c r="Q105" s="68"/>
      <c r="R105" s="68"/>
      <c r="S105" s="68"/>
      <c r="T105" s="68"/>
      <c r="U105" s="68"/>
      <c r="V105" s="80"/>
      <c r="W105" s="762"/>
      <c r="X105" s="96">
        <v>46203.541666666657</v>
      </c>
      <c r="Y105" s="97">
        <v>46203.541666666657</v>
      </c>
      <c r="Z105" s="237" cm="1">
        <f t="array" ref="Z105">AH105</f>
        <v>78</v>
      </c>
      <c r="AA105" s="238" t="str" cm="1">
        <f t="array" ref="AA105">INDEX($M$101:$M$147,MATCH(AH105,$J$101:$J$147,0))</f>
        <v>Curazao</v>
      </c>
      <c r="AB105" s="239"/>
      <c r="AC105" s="250"/>
      <c r="AD105" s="250"/>
      <c r="AE105" s="251"/>
      <c r="AF105" s="243" t="str" cm="1">
        <f t="array" ref="AF105">INDEX($N$101:$N$147,MATCH(AH105,$J$101:$J$147,0))</f>
        <v>2I</v>
      </c>
      <c r="AG105" s="104" cm="1">
        <f t="array" ref="AG105">IF(D105="W"&amp;AH105,0,1)</f>
        <v>0</v>
      </c>
      <c r="AH105" s="105">
        <v>78</v>
      </c>
      <c r="AI105" s="252">
        <v>4</v>
      </c>
      <c r="AJ105" s="140">
        <v>4</v>
      </c>
      <c r="AK105" s="208"/>
      <c r="AL105" s="142" t="str" cm="1">
        <f t="array" ref="AL105">IF($H$113&gt;=48,INDEX($BD$58:$BD$69,MATCH(AI105,$BN$58:$BN$69,0)),BB61)</f>
        <v>Suecia</v>
      </c>
      <c r="AM105" s="262" cm="1">
        <f t="array" ref="AM105">IF($H$113&gt;=48,INDEX($BE$58:$BN$69,MATCH($AL105,$BD$58:$BD$69,0),MATCH(AM$5,$BE$57:$BN$57,0)),$BB61)</f>
        <v>3</v>
      </c>
      <c r="AN105" s="144" cm="1">
        <f t="array" ref="AN105">IF($H$113&gt;=48,INDEX($BE$58:$BN$69,MATCH($AL105,$BD$58:$BD$69,0),MATCH(AN$5,$BE$57:$BN$57,0)),$BB61)</f>
        <v>3</v>
      </c>
      <c r="AO105" s="144" cm="1">
        <f t="array" ref="AO105">IF($H$113&gt;=48,INDEX($BE$58:$BN$69,MATCH($AL105,$BD$58:$BD$69,0),MATCH(AO$5,$BE$57:$BN$57,0)),$BB61)</f>
        <v>1</v>
      </c>
      <c r="AP105" s="144" cm="1">
        <f t="array" ref="AP105">IF($H$113&gt;=48,INDEX($BE$58:$BN$69,MATCH($AL105,$BD$58:$BD$69,0),MATCH(AP$5,$BE$57:$BN$57,0)),$BB61)</f>
        <v>0</v>
      </c>
      <c r="AQ105" s="144" cm="1">
        <f t="array" ref="AQ105">IF($H$113&gt;=48,INDEX($BE$58:$BN$69,MATCH($AL105,$BD$58:$BD$69,0),MATCH(AQ$5,$BE$57:$BN$57,0)),$BB61)</f>
        <v>2</v>
      </c>
      <c r="AR105" s="144" cm="1">
        <f t="array" ref="AR105">IF($H$113&gt;=48,INDEX($BE$58:$BN$69,MATCH($AL105,$BD$58:$BD$69,0),MATCH(AR$5,$BE$57:$BN$57,0)),$BB61)</f>
        <v>6</v>
      </c>
      <c r="AS105" s="144" cm="1">
        <f t="array" ref="AS105">IF($H$113&gt;=48,INDEX($BE$58:$BN$69,MATCH($AL105,$BD$58:$BD$69,0),MATCH(AS$5,$BE$57:$BN$57,0)),$BB61)</f>
        <v>4</v>
      </c>
      <c r="AT105" s="145" cm="1">
        <f t="array" ref="AT105">IF($H$113&gt;=48,INDEX($BE$58:$BN$69,MATCH($AL105,$BD$58:$BD$69,0),MATCH(AT$5,$BE$57:$BN$57,0)),$BB61)</f>
        <v>2</v>
      </c>
      <c r="AU105" s="133" cm="1">
        <f t="array" ref="AU105">IF($H$113=144,INDEX($DL$58:$DL$69,MATCH(AI105,$DP$58:$DP$69,0)),"")</f>
        <v>1</v>
      </c>
      <c r="AV105" s="134" t="str" cm="1">
        <f t="array" ref="AV105">INDEX($BD$58:$BD$69,MATCH(AI105,$BM$58:$BM$69,0))</f>
        <v>Suecia</v>
      </c>
      <c r="AW105" s="259"/>
      <c r="AX105" s="260"/>
      <c r="AY105" s="263"/>
      <c r="AZ105" s="264" t="str" cm="1">
        <f t="array" ref="AZ105">IF(OR($H$113&gt;=48,$AJ$99=144),BF119&amp;" - "&amp;BG119,"")</f>
        <v xml:space="preserve">1D - </v>
      </c>
      <c r="BA105" s="8"/>
      <c r="BB105" s="77"/>
      <c r="BC105" s="77"/>
      <c r="BD105" s="77"/>
      <c r="BE105" s="77"/>
      <c r="BF105" s="77" t="str" cm="1">
        <f t="array" ref="BF105">IFERROR(INDEX($BC$6:$BC$53,MATCH(AL104,$BD$6:$BD$53,0)),"")</f>
        <v>B</v>
      </c>
      <c r="BG105" s="265" cm="1">
        <f t="array" ref="BG105">COUNTIF($BF$103:$BF$110,"&lt;="&amp;BF105)</f>
        <v>2</v>
      </c>
      <c r="BH105" s="77"/>
      <c r="BI105" s="265">
        <v>3</v>
      </c>
      <c r="BJ105" s="77" t="str" cm="1">
        <f t="array" ref="BJ105">IFERROR(INDEX($BF$103:$BF$110,MATCH(BI105,$BG$103:$BG$110,0)),"Grupo")</f>
        <v>E</v>
      </c>
      <c r="BK105" s="77"/>
      <c r="BL105" s="77"/>
      <c r="BM105" s="77"/>
      <c r="BN105" s="77"/>
      <c r="BO105" s="77"/>
      <c r="BP105" s="77"/>
      <c r="BQ105" s="77"/>
      <c r="BR105" s="77"/>
      <c r="BS105" s="77"/>
      <c r="BT105" s="77"/>
      <c r="BU105" s="77"/>
      <c r="BV105" s="77"/>
      <c r="BW105" s="77"/>
      <c r="BX105" s="77"/>
      <c r="BY105" s="77"/>
      <c r="BZ105" s="77"/>
      <c r="CA105" s="77"/>
      <c r="CB105" s="77"/>
      <c r="CC105" s="77"/>
      <c r="CD105" s="77"/>
      <c r="CE105" s="77"/>
      <c r="CF105" s="77"/>
      <c r="CG105" s="77"/>
      <c r="CH105" s="77"/>
      <c r="CI105" s="77"/>
      <c r="CJ105" s="77"/>
      <c r="CK105" s="77"/>
      <c r="CL105" s="77"/>
      <c r="CM105" s="77"/>
      <c r="CN105" s="77"/>
      <c r="CO105" s="77"/>
      <c r="CP105" s="77"/>
      <c r="CQ105" s="77"/>
      <c r="CR105" s="77"/>
      <c r="CS105" s="77"/>
      <c r="CT105" s="77"/>
      <c r="CU105" s="77"/>
      <c r="CV105" s="77"/>
      <c r="CW105" s="77"/>
      <c r="CX105" s="77"/>
      <c r="CY105" s="77"/>
      <c r="CZ105" s="77"/>
      <c r="DA105" s="77"/>
      <c r="DB105" s="77"/>
      <c r="DC105" s="77"/>
      <c r="DD105" s="77"/>
      <c r="DE105" s="77"/>
      <c r="DF105" s="77"/>
      <c r="DG105" s="77"/>
      <c r="DH105" s="77"/>
      <c r="DI105" s="77"/>
      <c r="DJ105" s="77"/>
      <c r="DK105" s="77"/>
      <c r="DL105" s="77"/>
      <c r="DM105" s="77"/>
      <c r="DN105" s="77"/>
      <c r="DO105" s="77"/>
      <c r="DP105" s="77"/>
      <c r="DQ105" s="77"/>
      <c r="DR105" s="77"/>
      <c r="DS105" s="77"/>
      <c r="DT105" s="78"/>
      <c r="DU105" s="12"/>
    </row>
    <row r="106" spans="1:125" ht="16" customHeight="1" x14ac:dyDescent="0.2">
      <c r="A106" s="79" t="s">
        <v>151</v>
      </c>
      <c r="B106" s="79" t="s">
        <v>186</v>
      </c>
      <c r="C106" s="68"/>
      <c r="D106" s="68" t="str" cm="1">
        <f t="array" ref="D106">IF(AND(OR(AC106="",AD106="")),"W"&amp;AH106,IF(AC106&gt;AD106,AA106,IF(AC106&lt;AD106,AF106,IF(AND(AC106=AD106,AB106=AE106),"W"&amp;AH106,IF(AND(AC106=AD106,OR(AB106="",AE106="")),"W"&amp;AH106,IF(AND(AC106=AD106,AB106&gt;AE106),AA106,AF106))))))</f>
        <v>W77</v>
      </c>
      <c r="E106" s="79" t="s">
        <v>55</v>
      </c>
      <c r="F106" s="79" t="s">
        <v>182</v>
      </c>
      <c r="G106" s="79" t="s">
        <v>156</v>
      </c>
      <c r="H106" s="95" cm="1">
        <f t="array" ref="H106">SUMIF($BC$6:$BC$53,G106,$BF$6:$BF$53)</f>
        <v>12</v>
      </c>
      <c r="I106" s="68"/>
      <c r="J106" s="95">
        <v>78</v>
      </c>
      <c r="K106" s="95">
        <v>46203.75</v>
      </c>
      <c r="L106" s="79" t="s">
        <v>249</v>
      </c>
      <c r="M106" s="68" t="str" cm="1">
        <f t="array" ref="M106">IF(OR(INDEX($H$101:$H$113,MATCH(E106,$G$101:$G$113,0))=12,$AJ$99=144),INDEX($AL$6:$AL$97,MATCH(A106,$AI$6:$AI$97,0)),A106)</f>
        <v>Curazao</v>
      </c>
      <c r="N106" s="79" t="s">
        <v>186</v>
      </c>
      <c r="O106" s="68"/>
      <c r="P106" s="68"/>
      <c r="Q106" s="68"/>
      <c r="R106" s="68"/>
      <c r="S106" s="68"/>
      <c r="T106" s="68"/>
      <c r="U106" s="68"/>
      <c r="V106" s="80"/>
      <c r="W106" s="762"/>
      <c r="X106" s="96">
        <v>46203.708333333343</v>
      </c>
      <c r="Y106" s="97">
        <v>46203.708333333343</v>
      </c>
      <c r="Z106" s="237" cm="1">
        <f t="array" ref="Z106">AH106</f>
        <v>77</v>
      </c>
      <c r="AA106" s="238" t="str" cm="1">
        <f t="array" ref="AA106">INDEX($M$101:$M$147,MATCH(AH106,$J$101:$J$147,0))</f>
        <v>Francia</v>
      </c>
      <c r="AB106" s="239"/>
      <c r="AC106" s="250"/>
      <c r="AD106" s="250"/>
      <c r="AE106" s="251"/>
      <c r="AF106" s="243" t="str" cm="1">
        <f t="array" ref="AF106">INDEX($N$101:$N$147,MATCH(AH106,$J$101:$J$147,0))</f>
        <v>3CDFGH</v>
      </c>
      <c r="AG106" s="104" cm="1">
        <f t="array" ref="AG106">IF(D106="W"&amp;AH106,0,1)</f>
        <v>0</v>
      </c>
      <c r="AH106" s="105">
        <v>77</v>
      </c>
      <c r="AI106" s="252">
        <v>5</v>
      </c>
      <c r="AJ106" s="140">
        <v>5</v>
      </c>
      <c r="AK106" s="208"/>
      <c r="AL106" s="142" t="str" cm="1">
        <f t="array" ref="AL106">IF($H$113&gt;=48,INDEX($BD$58:$BD$69,MATCH(AI106,$BN$58:$BN$69,0)),BB62)</f>
        <v>Costa de Marfil</v>
      </c>
      <c r="AM106" s="262" cm="1">
        <f t="array" ref="AM106">IF($H$113&gt;=48,INDEX($BE$58:$BN$69,MATCH($AL106,$BD$58:$BD$69,0),MATCH(AM$5,$BE$57:$BN$57,0)),$BB62)</f>
        <v>3</v>
      </c>
      <c r="AN106" s="144" cm="1">
        <f t="array" ref="AN106">IF($H$113&gt;=48,INDEX($BE$58:$BN$69,MATCH($AL106,$BD$58:$BD$69,0),MATCH(AN$5,$BE$57:$BN$57,0)),$BB62)</f>
        <v>3</v>
      </c>
      <c r="AO106" s="144" cm="1">
        <f t="array" ref="AO106">IF($H$113&gt;=48,INDEX($BE$58:$BN$69,MATCH($AL106,$BD$58:$BD$69,0),MATCH(AO$5,$BE$57:$BN$57,0)),$BB62)</f>
        <v>1</v>
      </c>
      <c r="AP106" s="144" cm="1">
        <f t="array" ref="AP106">IF($H$113&gt;=48,INDEX($BE$58:$BN$69,MATCH($AL106,$BD$58:$BD$69,0),MATCH(AP$5,$BE$57:$BN$57,0)),$BB62)</f>
        <v>0</v>
      </c>
      <c r="AQ106" s="144" cm="1">
        <f t="array" ref="AQ106">IF($H$113&gt;=48,INDEX($BE$58:$BN$69,MATCH($AL106,$BD$58:$BD$69,0),MATCH(AQ$5,$BE$57:$BN$57,0)),$BB62)</f>
        <v>2</v>
      </c>
      <c r="AR106" s="144" cm="1">
        <f t="array" ref="AR106">IF($H$113&gt;=48,INDEX($BE$58:$BN$69,MATCH($AL106,$BD$58:$BD$69,0),MATCH(AR$5,$BE$57:$BN$57,0)),$BB62)</f>
        <v>3</v>
      </c>
      <c r="AS106" s="144" cm="1">
        <f t="array" ref="AS106">IF($H$113&gt;=48,INDEX($BE$58:$BN$69,MATCH($AL106,$BD$58:$BD$69,0),MATCH(AS$5,$BE$57:$BN$57,0)),$BB62)</f>
        <v>7</v>
      </c>
      <c r="AT106" s="145" cm="1">
        <f t="array" ref="AT106">IF($H$113&gt;=48,INDEX($BE$58:$BN$69,MATCH($AL106,$BD$58:$BD$69,0),MATCH(AT$5,$BE$57:$BN$57,0)),$BB62)</f>
        <v>-4</v>
      </c>
      <c r="AU106" s="133" cm="1">
        <f t="array" ref="AU106">IF($H$113=144,INDEX($DL$58:$DL$69,MATCH(AI106,$DP$58:$DP$69,0)),"")</f>
        <v>1</v>
      </c>
      <c r="AV106" s="134" t="str" cm="1">
        <f t="array" ref="AV106">INDEX($BD$58:$BD$69,MATCH(AI106,$BM$58:$BM$69,0))</f>
        <v>Costa de Marfil</v>
      </c>
      <c r="AW106" s="259"/>
      <c r="AX106" s="260"/>
      <c r="AY106" s="263"/>
      <c r="AZ106" s="264" t="str" cm="1">
        <f t="array" ref="AZ106">IF(OR($H$113&gt;=48,$AJ$99=144),BF120&amp;" - "&amp;BG120,"")</f>
        <v xml:space="preserve">1E - </v>
      </c>
      <c r="BA106" s="8"/>
      <c r="BB106" s="77"/>
      <c r="BC106" s="77"/>
      <c r="BD106" s="77"/>
      <c r="BE106" s="77"/>
      <c r="BF106" s="77" t="str" cm="1">
        <f t="array" ref="BF106">IFERROR(INDEX($BC$6:$BC$53,MATCH(AL105,$BD$6:$BD$53,0)),"")</f>
        <v>F</v>
      </c>
      <c r="BG106" s="265" cm="1">
        <f t="array" ref="BG106">COUNTIF($BF$103:$BF$110,"&lt;="&amp;BF106)</f>
        <v>4</v>
      </c>
      <c r="BH106" s="77"/>
      <c r="BI106" s="265">
        <v>4</v>
      </c>
      <c r="BJ106" s="77" t="str" cm="1">
        <f t="array" ref="BJ106">IFERROR(INDEX($BF$103:$BF$110,MATCH(BI106,$BG$103:$BG$110,0)),"Grupo")</f>
        <v>F</v>
      </c>
      <c r="BK106" s="77"/>
      <c r="BL106" s="77"/>
      <c r="BM106" s="77"/>
      <c r="BN106" s="77"/>
      <c r="BO106" s="77"/>
      <c r="BP106" s="77"/>
      <c r="BQ106" s="77"/>
      <c r="BR106" s="77"/>
      <c r="BS106" s="77"/>
      <c r="BT106" s="77"/>
      <c r="BU106" s="77"/>
      <c r="BV106" s="77"/>
      <c r="BW106" s="77"/>
      <c r="BX106" s="77"/>
      <c r="BY106" s="77"/>
      <c r="BZ106" s="77"/>
      <c r="CA106" s="77"/>
      <c r="CB106" s="77"/>
      <c r="CC106" s="77"/>
      <c r="CD106" s="77"/>
      <c r="CE106" s="77"/>
      <c r="CF106" s="77"/>
      <c r="CG106" s="77"/>
      <c r="CH106" s="77"/>
      <c r="CI106" s="77"/>
      <c r="CJ106" s="77"/>
      <c r="CK106" s="77"/>
      <c r="CL106" s="77"/>
      <c r="CM106" s="77"/>
      <c r="CN106" s="77"/>
      <c r="CO106" s="77"/>
      <c r="CP106" s="77"/>
      <c r="CQ106" s="77"/>
      <c r="CR106" s="77"/>
      <c r="CS106" s="77"/>
      <c r="CT106" s="77"/>
      <c r="CU106" s="77"/>
      <c r="CV106" s="77"/>
      <c r="CW106" s="77"/>
      <c r="CX106" s="77"/>
      <c r="CY106" s="77"/>
      <c r="CZ106" s="77"/>
      <c r="DA106" s="77"/>
      <c r="DB106" s="77"/>
      <c r="DC106" s="77"/>
      <c r="DD106" s="77"/>
      <c r="DE106" s="77"/>
      <c r="DF106" s="77"/>
      <c r="DG106" s="77"/>
      <c r="DH106" s="77"/>
      <c r="DI106" s="77"/>
      <c r="DJ106" s="77"/>
      <c r="DK106" s="77"/>
      <c r="DL106" s="77"/>
      <c r="DM106" s="77"/>
      <c r="DN106" s="77"/>
      <c r="DO106" s="77"/>
      <c r="DP106" s="77"/>
      <c r="DQ106" s="77"/>
      <c r="DR106" s="77"/>
      <c r="DS106" s="77"/>
      <c r="DT106" s="78"/>
      <c r="DU106" s="12"/>
    </row>
    <row r="107" spans="1:125" ht="16" customHeight="1" x14ac:dyDescent="0.2">
      <c r="A107" s="79" t="s">
        <v>114</v>
      </c>
      <c r="B107" s="79" t="s">
        <v>250</v>
      </c>
      <c r="C107" s="68"/>
      <c r="D107" s="68" t="str" cm="1">
        <f t="array" ref="D107">IF(AND(OR(AC107="",AD107="")),"W"&amp;AH107,IF(AC107&gt;AD107,AA107,IF(AC107&lt;AD107,AF107,IF(AND(AC107=AD107,AB107=AE107),"W"&amp;AH107,IF(AND(AC107=AD107,OR(AB107="",AE107="")),"W"&amp;AH107,IF(AND(AC107=AD107,AB107&gt;AE107),AA107,AF107))))))</f>
        <v>W79</v>
      </c>
      <c r="E107" s="79" t="s">
        <v>46</v>
      </c>
      <c r="F107" s="79" t="s">
        <v>235</v>
      </c>
      <c r="G107" s="79" t="s">
        <v>54</v>
      </c>
      <c r="H107" s="95" cm="1">
        <f t="array" ref="H107">SUMIF($BC$6:$BC$53,G107,$BF$6:$BF$53)</f>
        <v>12</v>
      </c>
      <c r="I107" s="68"/>
      <c r="J107" s="95">
        <v>79</v>
      </c>
      <c r="K107" s="95">
        <v>46203.75</v>
      </c>
      <c r="L107" s="79" t="s">
        <v>252</v>
      </c>
      <c r="M107" s="68" t="str" cm="1">
        <f t="array" ref="M107">IF(OR(INDEX($H$101:$H$113,MATCH(E107,$G$101:$G$113,0))=12,$AJ$99=144),INDEX($AL$6:$AL$97,MATCH(A107,$AI$6:$AI$97,0)),A107)</f>
        <v>México</v>
      </c>
      <c r="N107" s="79" t="s">
        <v>250</v>
      </c>
      <c r="O107" s="68"/>
      <c r="P107" s="68"/>
      <c r="Q107" s="68"/>
      <c r="R107" s="68"/>
      <c r="S107" s="68"/>
      <c r="T107" s="68"/>
      <c r="U107" s="68"/>
      <c r="V107" s="80"/>
      <c r="W107" s="762"/>
      <c r="X107" s="96">
        <v>46203.875</v>
      </c>
      <c r="Y107" s="97">
        <v>46203.875</v>
      </c>
      <c r="Z107" s="237" cm="1">
        <f t="array" ref="Z107">AH107</f>
        <v>79</v>
      </c>
      <c r="AA107" s="238" t="str" cm="1">
        <f t="array" ref="AA107">INDEX($M$101:$M$147,MATCH(AH107,$J$101:$J$147,0))</f>
        <v>México</v>
      </c>
      <c r="AB107" s="239"/>
      <c r="AC107" s="250"/>
      <c r="AD107" s="250"/>
      <c r="AE107" s="251"/>
      <c r="AF107" s="243" t="str" cm="1">
        <f t="array" ref="AF107">INDEX($N$101:$N$147,MATCH(AH107,$J$101:$J$147,0))</f>
        <v>3CEFHI</v>
      </c>
      <c r="AG107" s="104" cm="1">
        <f t="array" ref="AG107">IF(D107="W"&amp;AH107,0,1)</f>
        <v>0</v>
      </c>
      <c r="AH107" s="105">
        <v>79</v>
      </c>
      <c r="AI107" s="252">
        <v>6</v>
      </c>
      <c r="AJ107" s="140">
        <v>6</v>
      </c>
      <c r="AK107" s="208"/>
      <c r="AL107" s="142" t="str" cm="1">
        <f t="array" ref="AL107">IF($H$113&gt;=48,INDEX($BD$58:$BD$69,MATCH(AI107,$BN$58:$BN$69,0)),BB63)</f>
        <v>Arabia Saudita</v>
      </c>
      <c r="AM107" s="262" cm="1">
        <f t="array" ref="AM107">IF($H$113&gt;=48,INDEX($BE$58:$BN$69,MATCH($AL107,$BD$58:$BD$69,0),MATCH(AM$5,$BE$57:$BN$57,0)),$BB63)</f>
        <v>3</v>
      </c>
      <c r="AN107" s="144" cm="1">
        <f t="array" ref="AN107">IF($H$113&gt;=48,INDEX($BE$58:$BN$69,MATCH($AL107,$BD$58:$BD$69,0),MATCH(AN$5,$BE$57:$BN$57,0)),$BB63)</f>
        <v>3</v>
      </c>
      <c r="AO107" s="144" cm="1">
        <f t="array" ref="AO107">IF($H$113&gt;=48,INDEX($BE$58:$BN$69,MATCH($AL107,$BD$58:$BD$69,0),MATCH(AO$5,$BE$57:$BN$57,0)),$BB63)</f>
        <v>1</v>
      </c>
      <c r="AP107" s="144" cm="1">
        <f t="array" ref="AP107">IF($H$113&gt;=48,INDEX($BE$58:$BN$69,MATCH($AL107,$BD$58:$BD$69,0),MATCH(AP$5,$BE$57:$BN$57,0)),$BB63)</f>
        <v>0</v>
      </c>
      <c r="AQ107" s="144" cm="1">
        <f t="array" ref="AQ107">IF($H$113&gt;=48,INDEX($BE$58:$BN$69,MATCH($AL107,$BD$58:$BD$69,0),MATCH(AQ$5,$BE$57:$BN$57,0)),$BB63)</f>
        <v>2</v>
      </c>
      <c r="AR107" s="144" cm="1">
        <f t="array" ref="AR107">IF($H$113&gt;=48,INDEX($BE$58:$BN$69,MATCH($AL107,$BD$58:$BD$69,0),MATCH(AR$5,$BE$57:$BN$57,0)),$BB63)</f>
        <v>2</v>
      </c>
      <c r="AS107" s="144" cm="1">
        <f t="array" ref="AS107">IF($H$113&gt;=48,INDEX($BE$58:$BN$69,MATCH($AL107,$BD$58:$BD$69,0),MATCH(AS$5,$BE$57:$BN$57,0)),$BB63)</f>
        <v>7</v>
      </c>
      <c r="AT107" s="145" cm="1">
        <f t="array" ref="AT107">IF($H$113&gt;=48,INDEX($BE$58:$BN$69,MATCH($AL107,$BD$58:$BD$69,0),MATCH(AT$5,$BE$57:$BN$57,0)),$BB63)</f>
        <v>-5</v>
      </c>
      <c r="AU107" s="133" cm="1">
        <f t="array" ref="AU107">IF($H$113=144,INDEX($DL$58:$DL$69,MATCH(AI107,$DP$58:$DP$69,0)),"")</f>
        <v>1</v>
      </c>
      <c r="AV107" s="134" t="str" cm="1">
        <f t="array" ref="AV107">INDEX($BD$58:$BD$69,MATCH(AI107,$BM$58:$BM$69,0))</f>
        <v>Arabia Saudita</v>
      </c>
      <c r="AW107" s="259"/>
      <c r="AX107" s="260"/>
      <c r="AY107" s="263"/>
      <c r="AZ107" s="264" t="str" cm="1">
        <f t="array" ref="AZ107">IF(OR($H$113&gt;=48,$AJ$99=144),BF121&amp;" - "&amp;BG121,"")</f>
        <v xml:space="preserve">1G - </v>
      </c>
      <c r="BA107" s="8"/>
      <c r="BB107" s="77"/>
      <c r="BC107" s="77"/>
      <c r="BD107" s="77"/>
      <c r="BE107" s="77"/>
      <c r="BF107" s="77" t="str" cm="1">
        <f t="array" ref="BF107">IFERROR(INDEX($BC$6:$BC$53,MATCH(AL106,$BD$6:$BD$53,0)),"")</f>
        <v>E</v>
      </c>
      <c r="BG107" s="265" cm="1">
        <f t="array" ref="BG107">COUNTIF($BF$103:$BF$110,"&lt;="&amp;BF107)</f>
        <v>3</v>
      </c>
      <c r="BH107" s="77"/>
      <c r="BI107" s="265">
        <v>5</v>
      </c>
      <c r="BJ107" s="77" t="str" cm="1">
        <f t="array" ref="BJ107">IFERROR(INDEX($BF$103:$BF$110,MATCH(BI107,$BG$103:$BG$110,0)),"Grupo")</f>
        <v>G</v>
      </c>
      <c r="BK107" s="77"/>
      <c r="BL107" s="77"/>
      <c r="BM107" s="77"/>
      <c r="BN107" s="77"/>
      <c r="BO107" s="77"/>
      <c r="BP107" s="77"/>
      <c r="BQ107" s="77"/>
      <c r="BR107" s="77"/>
      <c r="BS107" s="77"/>
      <c r="BT107" s="77"/>
      <c r="BU107" s="77"/>
      <c r="BV107" s="77"/>
      <c r="BW107" s="77"/>
      <c r="BX107" s="77"/>
      <c r="BY107" s="77"/>
      <c r="BZ107" s="77"/>
      <c r="CA107" s="77"/>
      <c r="CB107" s="77"/>
      <c r="CC107" s="77"/>
      <c r="CD107" s="77"/>
      <c r="CE107" s="77"/>
      <c r="CF107" s="77"/>
      <c r="CG107" s="77"/>
      <c r="CH107" s="77"/>
      <c r="CI107" s="77"/>
      <c r="CJ107" s="77"/>
      <c r="CK107" s="77"/>
      <c r="CL107" s="77"/>
      <c r="CM107" s="77"/>
      <c r="CN107" s="77"/>
      <c r="CO107" s="77"/>
      <c r="CP107" s="77"/>
      <c r="CQ107" s="77"/>
      <c r="CR107" s="77"/>
      <c r="CS107" s="77"/>
      <c r="CT107" s="77"/>
      <c r="CU107" s="77"/>
      <c r="CV107" s="77"/>
      <c r="CW107" s="77"/>
      <c r="CX107" s="77"/>
      <c r="CY107" s="77"/>
      <c r="CZ107" s="77"/>
      <c r="DA107" s="77"/>
      <c r="DB107" s="77"/>
      <c r="DC107" s="77"/>
      <c r="DD107" s="77"/>
      <c r="DE107" s="77"/>
      <c r="DF107" s="77"/>
      <c r="DG107" s="77"/>
      <c r="DH107" s="77"/>
      <c r="DI107" s="77"/>
      <c r="DJ107" s="77"/>
      <c r="DK107" s="77"/>
      <c r="DL107" s="77"/>
      <c r="DM107" s="77"/>
      <c r="DN107" s="77"/>
      <c r="DO107" s="77"/>
      <c r="DP107" s="77"/>
      <c r="DQ107" s="77"/>
      <c r="DR107" s="77"/>
      <c r="DS107" s="77"/>
      <c r="DT107" s="78"/>
      <c r="DU107" s="12"/>
    </row>
    <row r="108" spans="1:125" ht="16" customHeight="1" x14ac:dyDescent="0.2">
      <c r="A108" s="79" t="s">
        <v>210</v>
      </c>
      <c r="B108" s="79" t="s">
        <v>253</v>
      </c>
      <c r="C108" s="68"/>
      <c r="D108" s="68" t="str" cm="1">
        <f t="array" ref="D108">IF(AND(OR(AC108="",AD108="")),"W"&amp;AH108,IF(AC108&gt;AD108,AA108,IF(AC108&lt;AD108,AF108,IF(AND(AC108=AD108,AB108=AE108),"W"&amp;AH108,IF(AND(AC108=AD108,OR(AB108="",AE108="")),"W"&amp;AH108,IF(AND(AC108=AD108,AB108&gt;AE108),AA108,AF108))))))</f>
        <v>W80</v>
      </c>
      <c r="E108" s="79" t="s">
        <v>208</v>
      </c>
      <c r="F108" s="79" t="s">
        <v>235</v>
      </c>
      <c r="G108" s="79" t="s">
        <v>173</v>
      </c>
      <c r="H108" s="95" cm="1">
        <f t="array" ref="H108">SUMIF($BC$6:$BC$53,G108,$BF$6:$BF$53)</f>
        <v>12</v>
      </c>
      <c r="I108" s="68"/>
      <c r="J108" s="95">
        <v>80</v>
      </c>
      <c r="K108" s="95">
        <v>46204.75</v>
      </c>
      <c r="L108" s="79" t="s">
        <v>255</v>
      </c>
      <c r="M108" s="68" t="str" cm="1">
        <f t="array" ref="M108">IF(OR(INDEX($H$101:$H$113,MATCH(E108,$G$101:$G$113,0))=12,$AJ$99=144),INDEX($AL$6:$AL$97,MATCH(A108,$AI$6:$AI$97,0)),A108)</f>
        <v>Inglaterra</v>
      </c>
      <c r="N108" s="79" t="s">
        <v>253</v>
      </c>
      <c r="O108" s="68"/>
      <c r="P108" s="68"/>
      <c r="Q108" s="68"/>
      <c r="R108" s="68"/>
      <c r="S108" s="68"/>
      <c r="T108" s="68"/>
      <c r="U108" s="68"/>
      <c r="V108" s="80"/>
      <c r="W108" s="762"/>
      <c r="X108" s="96">
        <v>46204.5</v>
      </c>
      <c r="Y108" s="97">
        <v>46204.5</v>
      </c>
      <c r="Z108" s="237" cm="1">
        <f t="array" ref="Z108">AH108</f>
        <v>80</v>
      </c>
      <c r="AA108" s="238" t="str" cm="1">
        <f t="array" ref="AA108">INDEX($M$101:$M$147,MATCH(AH108,$J$101:$J$147,0))</f>
        <v>Inglaterra</v>
      </c>
      <c r="AB108" s="239"/>
      <c r="AC108" s="250"/>
      <c r="AD108" s="250"/>
      <c r="AE108" s="251"/>
      <c r="AF108" s="243" t="str" cm="1">
        <f t="array" ref="AF108">INDEX($N$101:$N$147,MATCH(AH108,$J$101:$J$147,0))</f>
        <v>3EHIJK</v>
      </c>
      <c r="AG108" s="104" cm="1">
        <f t="array" ref="AG108">IF(D108="W"&amp;AH108,0,1)</f>
        <v>0</v>
      </c>
      <c r="AH108" s="105">
        <v>80</v>
      </c>
      <c r="AI108" s="252">
        <v>7</v>
      </c>
      <c r="AJ108" s="140">
        <v>7</v>
      </c>
      <c r="AK108" s="208"/>
      <c r="AL108" s="142" t="str" cm="1">
        <f t="array" ref="AL108">IF($H$113&gt;=48,INDEX($BD$58:$BD$69,MATCH(AI108,$BN$58:$BN$69,0)),BB64)</f>
        <v>Irán</v>
      </c>
      <c r="AM108" s="262" cm="1">
        <f t="array" ref="AM108">IF($H$113&gt;=48,INDEX($BE$58:$BN$69,MATCH($AL108,$BD$58:$BD$69,0),MATCH(AM$5,$BE$57:$BN$57,0)),$BB64)</f>
        <v>1</v>
      </c>
      <c r="AN108" s="144" cm="1">
        <f t="array" ref="AN108">IF($H$113&gt;=48,INDEX($BE$58:$BN$69,MATCH($AL108,$BD$58:$BD$69,0),MATCH(AN$5,$BE$57:$BN$57,0)),$BB64)</f>
        <v>3</v>
      </c>
      <c r="AO108" s="144" cm="1">
        <f t="array" ref="AO108">IF($H$113&gt;=48,INDEX($BE$58:$BN$69,MATCH($AL108,$BD$58:$BD$69,0),MATCH(AO$5,$BE$57:$BN$57,0)),$BB64)</f>
        <v>0</v>
      </c>
      <c r="AP108" s="144" cm="1">
        <f t="array" ref="AP108">IF($H$113&gt;=48,INDEX($BE$58:$BN$69,MATCH($AL108,$BD$58:$BD$69,0),MATCH(AP$5,$BE$57:$BN$57,0)),$BB64)</f>
        <v>1</v>
      </c>
      <c r="AQ108" s="144" cm="1">
        <f t="array" ref="AQ108">IF($H$113&gt;=48,INDEX($BE$58:$BN$69,MATCH($AL108,$BD$58:$BD$69,0),MATCH(AQ$5,$BE$57:$BN$57,0)),$BB64)</f>
        <v>2</v>
      </c>
      <c r="AR108" s="144" cm="1">
        <f t="array" ref="AR108">IF($H$113&gt;=48,INDEX($BE$58:$BN$69,MATCH($AL108,$BD$58:$BD$69,0),MATCH(AR$5,$BE$57:$BN$57,0)),$BB64)</f>
        <v>2</v>
      </c>
      <c r="AS108" s="144" cm="1">
        <f t="array" ref="AS108">IF($H$113&gt;=48,INDEX($BE$58:$BN$69,MATCH($AL108,$BD$58:$BD$69,0),MATCH(AS$5,$BE$57:$BN$57,0)),$BB64)</f>
        <v>7</v>
      </c>
      <c r="AT108" s="145" cm="1">
        <f t="array" ref="AT108">IF($H$113&gt;=48,INDEX($BE$58:$BN$69,MATCH($AL108,$BD$58:$BD$69,0),MATCH(AT$5,$BE$57:$BN$57,0)),$BB64)</f>
        <v>-5</v>
      </c>
      <c r="AU108" s="133" cm="1">
        <f t="array" ref="AU108">IF($H$113=144,INDEX($DL$58:$DL$69,MATCH(AI108,$DP$58:$DP$69,0)),"")</f>
        <v>1</v>
      </c>
      <c r="AV108" s="134" t="str" cm="1">
        <f t="array" ref="AV108">INDEX($BD$58:$BD$69,MATCH(AI108,$BM$58:$BM$69,0))</f>
        <v>Irán</v>
      </c>
      <c r="AW108" s="259"/>
      <c r="AX108" s="260"/>
      <c r="AY108" s="263"/>
      <c r="AZ108" s="264" t="str" cm="1">
        <f t="array" ref="AZ108">IF(OR($H$113&gt;=48,$AJ$99=144),BF122&amp;" - "&amp;BG122,"")</f>
        <v xml:space="preserve">1I - </v>
      </c>
      <c r="BA108" s="8"/>
      <c r="BB108" s="77"/>
      <c r="BC108" s="77"/>
      <c r="BD108" s="77"/>
      <c r="BE108" s="77"/>
      <c r="BF108" s="77" t="str" cm="1">
        <f t="array" ref="BF108">IFERROR(INDEX($BC$6:$BC$53,MATCH(AL107,$BD$6:$BD$53,0)),"")</f>
        <v>H</v>
      </c>
      <c r="BG108" s="265" cm="1">
        <f t="array" ref="BG108">COUNTIF($BF$103:$BF$110,"&lt;="&amp;BF108)</f>
        <v>6</v>
      </c>
      <c r="BH108" s="77"/>
      <c r="BI108" s="265">
        <v>6</v>
      </c>
      <c r="BJ108" s="77" t="str" cm="1">
        <f t="array" ref="BJ108">IFERROR(INDEX($BF$103:$BF$110,MATCH(BI108,$BG$103:$BG$110,0)),"Grupo")</f>
        <v>H</v>
      </c>
      <c r="BK108" s="77"/>
      <c r="BL108" s="77"/>
      <c r="BM108" s="77"/>
      <c r="BN108" s="77"/>
      <c r="BO108" s="77"/>
      <c r="BP108" s="77"/>
      <c r="BQ108" s="77"/>
      <c r="BR108" s="77"/>
      <c r="BS108" s="77"/>
      <c r="BT108" s="77"/>
      <c r="BU108" s="77"/>
      <c r="BV108" s="77"/>
      <c r="BW108" s="77"/>
      <c r="BX108" s="77"/>
      <c r="BY108" s="77"/>
      <c r="BZ108" s="77"/>
      <c r="CA108" s="77"/>
      <c r="CB108" s="77"/>
      <c r="CC108" s="77"/>
      <c r="CD108" s="77"/>
      <c r="CE108" s="77"/>
      <c r="CF108" s="77"/>
      <c r="CG108" s="77"/>
      <c r="CH108" s="77"/>
      <c r="CI108" s="77"/>
      <c r="CJ108" s="77"/>
      <c r="CK108" s="77"/>
      <c r="CL108" s="77"/>
      <c r="CM108" s="77"/>
      <c r="CN108" s="77"/>
      <c r="CO108" s="77"/>
      <c r="CP108" s="77"/>
      <c r="CQ108" s="77"/>
      <c r="CR108" s="77"/>
      <c r="CS108" s="77"/>
      <c r="CT108" s="77"/>
      <c r="CU108" s="77"/>
      <c r="CV108" s="77"/>
      <c r="CW108" s="77"/>
      <c r="CX108" s="77"/>
      <c r="CY108" s="77"/>
      <c r="CZ108" s="77"/>
      <c r="DA108" s="77"/>
      <c r="DB108" s="77"/>
      <c r="DC108" s="77"/>
      <c r="DD108" s="77"/>
      <c r="DE108" s="77"/>
      <c r="DF108" s="77"/>
      <c r="DG108" s="77"/>
      <c r="DH108" s="77"/>
      <c r="DI108" s="77"/>
      <c r="DJ108" s="77"/>
      <c r="DK108" s="77"/>
      <c r="DL108" s="77"/>
      <c r="DM108" s="77"/>
      <c r="DN108" s="77"/>
      <c r="DO108" s="77"/>
      <c r="DP108" s="77"/>
      <c r="DQ108" s="77"/>
      <c r="DR108" s="77"/>
      <c r="DS108" s="77"/>
      <c r="DT108" s="78"/>
      <c r="DU108" s="12"/>
    </row>
    <row r="109" spans="1:125" ht="16" customHeight="1" x14ac:dyDescent="0.2">
      <c r="A109" s="79" t="s">
        <v>141</v>
      </c>
      <c r="B109" s="79" t="s">
        <v>256</v>
      </c>
      <c r="C109" s="68"/>
      <c r="D109" s="68" t="str" cm="1">
        <f t="array" ref="D109">IF(AND(OR(AC109="",AD109="")),"W"&amp;AH109,IF(AC109&gt;AD109,AA109,IF(AC109&lt;AD109,AF109,IF(AND(AC109=AD109,AB109=AE109),"W"&amp;AH109,IF(AND(AC109=AD109,OR(AB109="",AE109="")),"W"&amp;AH109,IF(AND(AC109=AD109,AB109&gt;AE109),AA109,AF109))))))</f>
        <v>W82</v>
      </c>
      <c r="E109" s="79" t="s">
        <v>139</v>
      </c>
      <c r="F109" s="79" t="s">
        <v>235</v>
      </c>
      <c r="G109" s="79" t="s">
        <v>182</v>
      </c>
      <c r="H109" s="95" cm="1">
        <f t="array" ref="H109">SUMIF($BC$6:$BC$53,G109,$BF$6:$BF$53)</f>
        <v>12</v>
      </c>
      <c r="I109" s="68"/>
      <c r="J109" s="95">
        <v>81</v>
      </c>
      <c r="K109" s="95">
        <v>46204.75</v>
      </c>
      <c r="L109" s="79" t="s">
        <v>258</v>
      </c>
      <c r="M109" s="68" t="str" cm="1">
        <f t="array" ref="M109">IF(OR(INDEX($H$101:$H$113,MATCH(E109,$G$101:$G$113,0))=12,$AJ$99=144),INDEX($AL$6:$AL$97,MATCH(A109,$AI$6:$AI$97,0)),A109)</f>
        <v>Estados Unidos</v>
      </c>
      <c r="N109" s="79" t="s">
        <v>256</v>
      </c>
      <c r="O109" s="68"/>
      <c r="P109" s="68"/>
      <c r="Q109" s="68"/>
      <c r="R109" s="68"/>
      <c r="S109" s="68"/>
      <c r="T109" s="68"/>
      <c r="U109" s="68"/>
      <c r="V109" s="80"/>
      <c r="W109" s="762"/>
      <c r="X109" s="96">
        <v>46204.666666666657</v>
      </c>
      <c r="Y109" s="97">
        <v>46204.666666666657</v>
      </c>
      <c r="Z109" s="237" cm="1">
        <f t="array" ref="Z109">AH109</f>
        <v>82</v>
      </c>
      <c r="AA109" s="238" t="str" cm="1">
        <f t="array" ref="AA109">INDEX($M$101:$M$147,MATCH(AH109,$J$101:$J$147,0))</f>
        <v>Bélgica</v>
      </c>
      <c r="AB109" s="239"/>
      <c r="AC109" s="250"/>
      <c r="AD109" s="250"/>
      <c r="AE109" s="251"/>
      <c r="AF109" s="243" t="str" cm="1">
        <f t="array" ref="AF109">INDEX($N$101:$N$147,MATCH(AH109,$J$101:$J$147,0))</f>
        <v>3AEHIJ</v>
      </c>
      <c r="AG109" s="104" cm="1">
        <f t="array" ref="AG109">IF(D109="W"&amp;AH109,0,1)</f>
        <v>0</v>
      </c>
      <c r="AH109" s="105">
        <v>82</v>
      </c>
      <c r="AI109" s="252">
        <v>8</v>
      </c>
      <c r="AJ109" s="140">
        <v>8</v>
      </c>
      <c r="AK109" s="208"/>
      <c r="AL109" s="142" t="str" cm="1">
        <f t="array" ref="AL109">IF($H$113&gt;=48,INDEX($BD$58:$BD$69,MATCH(AI109,$BN$58:$BN$69,0)),BB65)</f>
        <v>Ghana</v>
      </c>
      <c r="AM109" s="262" cm="1">
        <f t="array" ref="AM109">IF($H$113&gt;=48,INDEX($BE$58:$BN$69,MATCH($AL109,$BD$58:$BD$69,0),MATCH(AM$5,$BE$57:$BN$57,0)),$BB65)</f>
        <v>0</v>
      </c>
      <c r="AN109" s="144" cm="1">
        <f t="array" ref="AN109">IF($H$113&gt;=48,INDEX($BE$58:$BN$69,MATCH($AL109,$BD$58:$BD$69,0),MATCH(AN$5,$BE$57:$BN$57,0)),$BB65)</f>
        <v>3</v>
      </c>
      <c r="AO109" s="144" cm="1">
        <f t="array" ref="AO109">IF($H$113&gt;=48,INDEX($BE$58:$BN$69,MATCH($AL109,$BD$58:$BD$69,0),MATCH(AO$5,$BE$57:$BN$57,0)),$BB65)</f>
        <v>0</v>
      </c>
      <c r="AP109" s="144" cm="1">
        <f t="array" ref="AP109">IF($H$113&gt;=48,INDEX($BE$58:$BN$69,MATCH($AL109,$BD$58:$BD$69,0),MATCH(AP$5,$BE$57:$BN$57,0)),$BB65)</f>
        <v>0</v>
      </c>
      <c r="AQ109" s="144" cm="1">
        <f t="array" ref="AQ109">IF($H$113&gt;=48,INDEX($BE$58:$BN$69,MATCH($AL109,$BD$58:$BD$69,0),MATCH(AQ$5,$BE$57:$BN$57,0)),$BB65)</f>
        <v>3</v>
      </c>
      <c r="AR109" s="144" cm="1">
        <f t="array" ref="AR109">IF($H$113&gt;=48,INDEX($BE$58:$BN$69,MATCH($AL109,$BD$58:$BD$69,0),MATCH(AR$5,$BE$57:$BN$57,0)),$BB65)</f>
        <v>0</v>
      </c>
      <c r="AS109" s="144" cm="1">
        <f t="array" ref="AS109">IF($H$113&gt;=48,INDEX($BE$58:$BN$69,MATCH($AL109,$BD$58:$BD$69,0),MATCH(AS$5,$BE$57:$BN$57,0)),$BB65)</f>
        <v>5</v>
      </c>
      <c r="AT109" s="145" cm="1">
        <f t="array" ref="AT109">IF($H$113&gt;=48,INDEX($BE$58:$BN$69,MATCH($AL109,$BD$58:$BD$69,0),MATCH(AT$5,$BE$57:$BN$57,0)),$BB65)</f>
        <v>-5</v>
      </c>
      <c r="AU109" s="133" cm="1">
        <f t="array" ref="AU109">IF($H$113=144,INDEX($DL$58:$DL$69,MATCH(AI109,$DP$58:$DP$69,0)),"")</f>
        <v>1</v>
      </c>
      <c r="AV109" s="134" t="str" cm="1">
        <f t="array" ref="AV109">INDEX($BD$58:$BD$69,MATCH(AI109,$BM$58:$BM$69,0))</f>
        <v>Ghana</v>
      </c>
      <c r="AW109" s="259"/>
      <c r="AX109" s="260"/>
      <c r="AY109" s="263"/>
      <c r="AZ109" s="264" t="str" cm="1">
        <f t="array" ref="AZ109">IF(OR($H$113&gt;=48,$AJ$99=144),BF123&amp;" - "&amp;BG123,"")</f>
        <v xml:space="preserve">1K - </v>
      </c>
      <c r="BA109" s="8"/>
      <c r="BB109" s="77"/>
      <c r="BC109" s="77"/>
      <c r="BD109" s="77"/>
      <c r="BE109" s="77"/>
      <c r="BF109" s="77" t="str" cm="1">
        <f t="array" ref="BF109">IFERROR(INDEX($BC$6:$BC$53,MATCH(AL108,$BD$6:$BD$53,0)),"")</f>
        <v>G</v>
      </c>
      <c r="BG109" s="265" cm="1">
        <f t="array" ref="BG109">COUNTIF($BF$103:$BF$110,"&lt;="&amp;BF109)</f>
        <v>5</v>
      </c>
      <c r="BH109" s="77"/>
      <c r="BI109" s="265">
        <v>7</v>
      </c>
      <c r="BJ109" s="77" t="str" cm="1">
        <f t="array" ref="BJ109">IFERROR(INDEX($BF$103:$BF$110,MATCH(BI109,$BG$103:$BG$110,0)),"Grupo")</f>
        <v>J</v>
      </c>
      <c r="BK109" s="77"/>
      <c r="BL109" s="77"/>
      <c r="BM109" s="77"/>
      <c r="BN109" s="77"/>
      <c r="BO109" s="77"/>
      <c r="BP109" s="77"/>
      <c r="BQ109" s="77"/>
      <c r="BR109" s="77"/>
      <c r="BS109" s="77"/>
      <c r="BT109" s="77"/>
      <c r="BU109" s="77"/>
      <c r="BV109" s="77"/>
      <c r="BW109" s="77"/>
      <c r="BX109" s="77"/>
      <c r="BY109" s="77"/>
      <c r="BZ109" s="77"/>
      <c r="CA109" s="77"/>
      <c r="CB109" s="77"/>
      <c r="CC109" s="77"/>
      <c r="CD109" s="77"/>
      <c r="CE109" s="77"/>
      <c r="CF109" s="77"/>
      <c r="CG109" s="77"/>
      <c r="CH109" s="77"/>
      <c r="CI109" s="77"/>
      <c r="CJ109" s="77"/>
      <c r="CK109" s="77"/>
      <c r="CL109" s="77"/>
      <c r="CM109" s="77"/>
      <c r="CN109" s="77"/>
      <c r="CO109" s="77"/>
      <c r="CP109" s="77"/>
      <c r="CQ109" s="77"/>
      <c r="CR109" s="77"/>
      <c r="CS109" s="77"/>
      <c r="CT109" s="77"/>
      <c r="CU109" s="77"/>
      <c r="CV109" s="77"/>
      <c r="CW109" s="77"/>
      <c r="CX109" s="77"/>
      <c r="CY109" s="77"/>
      <c r="CZ109" s="77"/>
      <c r="DA109" s="77"/>
      <c r="DB109" s="77"/>
      <c r="DC109" s="77"/>
      <c r="DD109" s="77"/>
      <c r="DE109" s="77"/>
      <c r="DF109" s="77"/>
      <c r="DG109" s="77"/>
      <c r="DH109" s="77"/>
      <c r="DI109" s="77"/>
      <c r="DJ109" s="77"/>
      <c r="DK109" s="77"/>
      <c r="DL109" s="77"/>
      <c r="DM109" s="77"/>
      <c r="DN109" s="77"/>
      <c r="DO109" s="77"/>
      <c r="DP109" s="77"/>
      <c r="DQ109" s="77"/>
      <c r="DR109" s="77"/>
      <c r="DS109" s="77"/>
      <c r="DT109" s="78"/>
      <c r="DU109" s="12"/>
    </row>
    <row r="110" spans="1:125" ht="16" customHeight="1" x14ac:dyDescent="0.2">
      <c r="A110" s="79" t="s">
        <v>166</v>
      </c>
      <c r="B110" s="79" t="s">
        <v>259</v>
      </c>
      <c r="C110" s="68"/>
      <c r="D110" s="68" t="str" cm="1">
        <f t="array" ref="D110">IF(AND(OR(AC110="",AD110="")),"W"&amp;AH110,IF(AC110&gt;AD110,AA110,IF(AC110&lt;AD110,AF110,IF(AND(AC110=AD110,AB110=AE110),"W"&amp;AH110,IF(AND(AC110=AD110,OR(AB110="",AE110="")),"W"&amp;AH110,IF(AND(AC110=AD110,AB110&gt;AE110),AA110,AF110))))))</f>
        <v>W81</v>
      </c>
      <c r="E110" s="79" t="s">
        <v>54</v>
      </c>
      <c r="F110" s="79" t="s">
        <v>235</v>
      </c>
      <c r="G110" s="79" t="s">
        <v>53</v>
      </c>
      <c r="H110" s="95" cm="1">
        <f t="array" ref="H110">SUMIF($BC$6:$BC$53,G110,$BF$6:$BF$53)</f>
        <v>12</v>
      </c>
      <c r="I110" s="68"/>
      <c r="J110" s="95">
        <v>82</v>
      </c>
      <c r="K110" s="95">
        <v>46204.75</v>
      </c>
      <c r="L110" s="79" t="s">
        <v>261</v>
      </c>
      <c r="M110" s="68" t="str" cm="1">
        <f t="array" ref="M110">IF(OR(INDEX($H$101:$H$113,MATCH(E110,$G$101:$G$113,0))=12,$AJ$99=144),INDEX($AL$6:$AL$97,MATCH(A110,$AI$6:$AI$97,0)),A110)</f>
        <v>Bélgica</v>
      </c>
      <c r="N110" s="79" t="s">
        <v>259</v>
      </c>
      <c r="O110" s="68"/>
      <c r="P110" s="68"/>
      <c r="Q110" s="68"/>
      <c r="R110" s="68"/>
      <c r="S110" s="68"/>
      <c r="T110" s="68"/>
      <c r="U110" s="68"/>
      <c r="V110" s="80"/>
      <c r="W110" s="762"/>
      <c r="X110" s="96">
        <v>46204.833333333343</v>
      </c>
      <c r="Y110" s="97">
        <v>46204.833333333343</v>
      </c>
      <c r="Z110" s="237" cm="1">
        <f t="array" ref="Z110">AH110</f>
        <v>81</v>
      </c>
      <c r="AA110" s="238" t="str" cm="1">
        <f t="array" ref="AA110">INDEX($M$101:$M$147,MATCH(AH110,$J$101:$J$147,0))</f>
        <v>Estados Unidos</v>
      </c>
      <c r="AB110" s="239"/>
      <c r="AC110" s="250"/>
      <c r="AD110" s="250"/>
      <c r="AE110" s="251"/>
      <c r="AF110" s="243" t="str" cm="1">
        <f t="array" ref="AF110">INDEX($N$101:$N$147,MATCH(AH110,$J$101:$J$147,0))</f>
        <v>3BEFIJ</v>
      </c>
      <c r="AG110" s="104" cm="1">
        <f t="array" ref="AG110">IF(D110="W"&amp;AH110,0,1)</f>
        <v>0</v>
      </c>
      <c r="AH110" s="105">
        <v>81</v>
      </c>
      <c r="AI110" s="252">
        <v>9</v>
      </c>
      <c r="AJ110" s="140">
        <v>9</v>
      </c>
      <c r="AK110" s="208"/>
      <c r="AL110" s="142" t="str" cm="1">
        <f t="array" ref="AL110">IF($H$113&gt;=48,INDEX($BD$58:$BD$69,MATCH(AI110,$BN$58:$BN$69,0)),BB66)</f>
        <v>Australia</v>
      </c>
      <c r="AM110" s="262" cm="1">
        <f t="array" ref="AM110">IF($H$113&gt;=48,INDEX($BE$58:$BN$69,MATCH($AL110,$BD$58:$BD$69,0),MATCH(AM$5,$BE$57:$BN$57,0)),$BB66)</f>
        <v>0</v>
      </c>
      <c r="AN110" s="144" cm="1">
        <f t="array" ref="AN110">IF($H$113&gt;=48,INDEX($BE$58:$BN$69,MATCH($AL110,$BD$58:$BD$69,0),MATCH(AN$5,$BE$57:$BN$57,0)),$BB66)</f>
        <v>3</v>
      </c>
      <c r="AO110" s="144" cm="1">
        <f t="array" ref="AO110">IF($H$113&gt;=48,INDEX($BE$58:$BN$69,MATCH($AL110,$BD$58:$BD$69,0),MATCH(AO$5,$BE$57:$BN$57,0)),$BB66)</f>
        <v>0</v>
      </c>
      <c r="AP110" s="144" cm="1">
        <f t="array" ref="AP110">IF($H$113&gt;=48,INDEX($BE$58:$BN$69,MATCH($AL110,$BD$58:$BD$69,0),MATCH(AP$5,$BE$57:$BN$57,0)),$BB66)</f>
        <v>0</v>
      </c>
      <c r="AQ110" s="144" cm="1">
        <f t="array" ref="AQ110">IF($H$113&gt;=48,INDEX($BE$58:$BN$69,MATCH($AL110,$BD$58:$BD$69,0),MATCH(AQ$5,$BE$57:$BN$57,0)),$BB66)</f>
        <v>3</v>
      </c>
      <c r="AR110" s="144" cm="1">
        <f t="array" ref="AR110">IF($H$113&gt;=48,INDEX($BE$58:$BN$69,MATCH($AL110,$BD$58:$BD$69,0),MATCH(AR$5,$BE$57:$BN$57,0)),$BB66)</f>
        <v>1</v>
      </c>
      <c r="AS110" s="144" cm="1">
        <f t="array" ref="AS110">IF($H$113&gt;=48,INDEX($BE$58:$BN$69,MATCH($AL110,$BD$58:$BD$69,0),MATCH(AS$5,$BE$57:$BN$57,0)),$BB66)</f>
        <v>7</v>
      </c>
      <c r="AT110" s="145" cm="1">
        <f t="array" ref="AT110">IF($H$113&gt;=48,INDEX($BE$58:$BN$69,MATCH($AL110,$BD$58:$BD$69,0),MATCH(AT$5,$BE$57:$BN$57,0)),$BB66)</f>
        <v>-6</v>
      </c>
      <c r="AU110" s="133" cm="1">
        <f t="array" ref="AU110">IF($H$113=144,INDEX($DL$58:$DL$69,MATCH(AI110,$DP$58:$DP$69,0)),"")</f>
        <v>1</v>
      </c>
      <c r="AV110" s="134" t="str" cm="1">
        <f t="array" ref="AV110">INDEX($BD$58:$BD$69,MATCH(AI110,$BM$58:$BM$69,0))</f>
        <v>Australia</v>
      </c>
      <c r="AW110" s="259"/>
      <c r="AX110" s="260"/>
      <c r="AY110" s="263"/>
      <c r="AZ110" s="264" t="str" cm="1">
        <f t="array" ref="AZ110">IF(OR($H$113&gt;=48,$AJ$99=144),BF124&amp;" - "&amp;BG124,"")</f>
        <v xml:space="preserve">1L - </v>
      </c>
      <c r="BA110" s="8"/>
      <c r="BB110" s="77"/>
      <c r="BC110" s="77"/>
      <c r="BD110" s="77"/>
      <c r="BE110" s="77"/>
      <c r="BF110" s="77" t="str" cm="1">
        <f t="array" ref="BF110">IFERROR(INDEX($BC$6:$BC$53,MATCH(AL109,$BD$6:$BD$53,0)),"")</f>
        <v>L</v>
      </c>
      <c r="BG110" s="265" cm="1">
        <f t="array" ref="BG110">COUNTIF($BF$103:$BF$110,"&lt;="&amp;BF110)</f>
        <v>8</v>
      </c>
      <c r="BH110" s="77"/>
      <c r="BI110" s="265">
        <v>8</v>
      </c>
      <c r="BJ110" s="77" t="str" cm="1">
        <f t="array" ref="BJ110">IFERROR(INDEX($BF$103:$BF$110,MATCH(BI110,$BG$103:$BG$110,0)),"Grupo")</f>
        <v>L</v>
      </c>
      <c r="BK110" s="77"/>
      <c r="BL110" s="77"/>
      <c r="BM110" s="77"/>
      <c r="BN110" s="77"/>
      <c r="BO110" s="77"/>
      <c r="BP110" s="77"/>
      <c r="BQ110" s="77"/>
      <c r="BR110" s="77"/>
      <c r="BS110" s="77"/>
      <c r="BT110" s="77"/>
      <c r="BU110" s="77"/>
      <c r="BV110" s="77"/>
      <c r="BW110" s="77"/>
      <c r="BX110" s="77"/>
      <c r="BY110" s="77"/>
      <c r="BZ110" s="77"/>
      <c r="CA110" s="77"/>
      <c r="CB110" s="77"/>
      <c r="CC110" s="77"/>
      <c r="CD110" s="77"/>
      <c r="CE110" s="77"/>
      <c r="CF110" s="77"/>
      <c r="CG110" s="77"/>
      <c r="CH110" s="77"/>
      <c r="CI110" s="77"/>
      <c r="CJ110" s="77"/>
      <c r="CK110" s="77"/>
      <c r="CL110" s="77"/>
      <c r="CM110" s="77"/>
      <c r="CN110" s="77"/>
      <c r="CO110" s="77"/>
      <c r="CP110" s="77"/>
      <c r="CQ110" s="77"/>
      <c r="CR110" s="77"/>
      <c r="CS110" s="77"/>
      <c r="CT110" s="77"/>
      <c r="CU110" s="77"/>
      <c r="CV110" s="77"/>
      <c r="CW110" s="77"/>
      <c r="CX110" s="77"/>
      <c r="CY110" s="77"/>
      <c r="CZ110" s="77"/>
      <c r="DA110" s="77"/>
      <c r="DB110" s="77"/>
      <c r="DC110" s="77"/>
      <c r="DD110" s="77"/>
      <c r="DE110" s="77"/>
      <c r="DF110" s="77"/>
      <c r="DG110" s="77"/>
      <c r="DH110" s="77"/>
      <c r="DI110" s="77"/>
      <c r="DJ110" s="77"/>
      <c r="DK110" s="77"/>
      <c r="DL110" s="77"/>
      <c r="DM110" s="77"/>
      <c r="DN110" s="77"/>
      <c r="DO110" s="77"/>
      <c r="DP110" s="77"/>
      <c r="DQ110" s="77"/>
      <c r="DR110" s="77"/>
      <c r="DS110" s="77"/>
      <c r="DT110" s="78"/>
      <c r="DU110" s="12"/>
    </row>
    <row r="111" spans="1:125" ht="16" customHeight="1" x14ac:dyDescent="0.2">
      <c r="A111" s="79" t="s">
        <v>203</v>
      </c>
      <c r="B111" s="79" t="s">
        <v>212</v>
      </c>
      <c r="C111" s="68"/>
      <c r="D111" s="68" t="str" cm="1">
        <f t="array" ref="D111">IF(AND(OR(AC111="",AD111="")),"W"&amp;AH111,IF(AC111&gt;AD111,AA111,IF(AC111&lt;AD111,AF111,IF(AND(AC111=AD111,AB111=AE111),"W"&amp;AH111,IF(AND(AC111=AD111,OR(AB111="",AE111="")),"W"&amp;AH111,IF(AND(AC111=AD111,AB111&gt;AE111),AA111,AF111))))))</f>
        <v>W84</v>
      </c>
      <c r="E111" s="79" t="s">
        <v>199</v>
      </c>
      <c r="F111" s="79" t="s">
        <v>208</v>
      </c>
      <c r="G111" s="79" t="s">
        <v>199</v>
      </c>
      <c r="H111" s="95" cm="1">
        <f t="array" ref="H111">SUMIF($BC$6:$BC$53,G111,$BF$6:$BF$53)</f>
        <v>12</v>
      </c>
      <c r="I111" s="68"/>
      <c r="J111" s="95">
        <v>83</v>
      </c>
      <c r="K111" s="95">
        <v>46205.75</v>
      </c>
      <c r="L111" s="79" t="s">
        <v>263</v>
      </c>
      <c r="M111" s="68" t="str" cm="1">
        <f t="array" ref="M111">IF(OR(INDEX($H$101:$H$113,MATCH(E111,$G$101:$G$113,0))=12,$AJ$99=144),INDEX($AL$6:$AL$97,MATCH(A111,$AI$6:$AI$97,0)),A111)</f>
        <v>RD Congo</v>
      </c>
      <c r="N111" s="79" t="s">
        <v>212</v>
      </c>
      <c r="O111" s="68"/>
      <c r="P111" s="68"/>
      <c r="Q111" s="68"/>
      <c r="R111" s="68"/>
      <c r="S111" s="68"/>
      <c r="T111" s="68"/>
      <c r="U111" s="68"/>
      <c r="V111" s="80"/>
      <c r="W111" s="762"/>
      <c r="X111" s="96">
        <v>46205.625</v>
      </c>
      <c r="Y111" s="97">
        <v>46205.625</v>
      </c>
      <c r="Z111" s="237" cm="1">
        <f t="array" ref="Z111">AH111</f>
        <v>84</v>
      </c>
      <c r="AA111" s="238" t="str" cm="1">
        <f t="array" ref="AA111">INDEX($M$101:$M$147,MATCH(AH111,$J$101:$J$147,0))</f>
        <v>España</v>
      </c>
      <c r="AB111" s="239"/>
      <c r="AC111" s="250"/>
      <c r="AD111" s="250"/>
      <c r="AE111" s="251"/>
      <c r="AF111" s="243" t="str" cm="1">
        <f t="array" ref="AF111">INDEX($N$101:$N$147,MATCH(AH111,$J$101:$J$147,0))</f>
        <v>2J</v>
      </c>
      <c r="AG111" s="104" cm="1">
        <f t="array" ref="AG111">IF(D111="W"&amp;AH111,0,1)</f>
        <v>0</v>
      </c>
      <c r="AH111" s="105">
        <v>84</v>
      </c>
      <c r="AI111" s="252">
        <v>10</v>
      </c>
      <c r="AJ111" s="140">
        <v>10</v>
      </c>
      <c r="AK111" s="208"/>
      <c r="AL111" s="142" t="str" cm="1">
        <f t="array" ref="AL111">IF($H$113&gt;=48,INDEX($BD$58:$BD$69,MATCH(AI111,$BN$58:$BN$69,0)),BB67)</f>
        <v>Irak</v>
      </c>
      <c r="AM111" s="262" cm="1">
        <f t="array" ref="AM111">IF($H$113&gt;=48,INDEX($BE$58:$BN$69,MATCH($AL111,$BD$58:$BD$69,0),MATCH(AM$5,$BE$57:$BN$57,0)),$BB67)</f>
        <v>0</v>
      </c>
      <c r="AN111" s="144" cm="1">
        <f t="array" ref="AN111">IF($H$113&gt;=48,INDEX($BE$58:$BN$69,MATCH($AL111,$BD$58:$BD$69,0),MATCH(AN$5,$BE$57:$BN$57,0)),$BB67)</f>
        <v>3</v>
      </c>
      <c r="AO111" s="144" cm="1">
        <f t="array" ref="AO111">IF($H$113&gt;=48,INDEX($BE$58:$BN$69,MATCH($AL111,$BD$58:$BD$69,0),MATCH(AO$5,$BE$57:$BN$57,0)),$BB67)</f>
        <v>0</v>
      </c>
      <c r="AP111" s="144" cm="1">
        <f t="array" ref="AP111">IF($H$113&gt;=48,INDEX($BE$58:$BN$69,MATCH($AL111,$BD$58:$BD$69,0),MATCH(AP$5,$BE$57:$BN$57,0)),$BB67)</f>
        <v>0</v>
      </c>
      <c r="AQ111" s="144" cm="1">
        <f t="array" ref="AQ111">IF($H$113&gt;=48,INDEX($BE$58:$BN$69,MATCH($AL111,$BD$58:$BD$69,0),MATCH(AQ$5,$BE$57:$BN$57,0)),$BB67)</f>
        <v>3</v>
      </c>
      <c r="AR111" s="144" cm="1">
        <f t="array" ref="AR111">IF($H$113&gt;=48,INDEX($BE$58:$BN$69,MATCH($AL111,$BD$58:$BD$69,0),MATCH(AR$5,$BE$57:$BN$57,0)),$BB67)</f>
        <v>0</v>
      </c>
      <c r="AS111" s="144" cm="1">
        <f t="array" ref="AS111">IF($H$113&gt;=48,INDEX($BE$58:$BN$69,MATCH($AL111,$BD$58:$BD$69,0),MATCH(AS$5,$BE$57:$BN$57,0)),$BB67)</f>
        <v>8</v>
      </c>
      <c r="AT111" s="145" cm="1">
        <f t="array" ref="AT111">IF($H$113&gt;=48,INDEX($BE$58:$BN$69,MATCH($AL111,$BD$58:$BD$69,0),MATCH(AT$5,$BE$57:$BN$57,0)),$BB67)</f>
        <v>-8</v>
      </c>
      <c r="AU111" s="133" cm="1">
        <f t="array" ref="AU111">IF($H$113=144,INDEX($DL$58:$DL$69,MATCH(AI111,$DP$58:$DP$69,0)),"")</f>
        <v>2</v>
      </c>
      <c r="AV111" s="134" t="str" cm="1">
        <f t="array" ref="AV111">INDEX($BD$58:$BD$69,MATCH(AI111,$BM$58:$BM$69,0))</f>
        <v>Irak</v>
      </c>
      <c r="AW111" s="259"/>
      <c r="AX111" s="260"/>
      <c r="AY111" s="266"/>
      <c r="AZ111" s="266"/>
      <c r="BA111" s="8"/>
      <c r="BB111" s="77"/>
      <c r="BC111" s="77"/>
      <c r="BD111" s="77"/>
      <c r="BE111" s="77"/>
      <c r="BF111" s="77"/>
      <c r="BG111" s="77"/>
      <c r="BH111" s="77"/>
      <c r="BI111" s="261" t="s">
        <v>264</v>
      </c>
      <c r="BJ111" s="77"/>
      <c r="BK111" s="77"/>
      <c r="BL111" s="77"/>
      <c r="BM111" s="77"/>
      <c r="BN111" s="77"/>
      <c r="BO111" s="77"/>
      <c r="BP111" s="77"/>
      <c r="BQ111" s="77"/>
      <c r="BR111" s="77"/>
      <c r="BS111" s="77"/>
      <c r="BT111" s="77"/>
      <c r="BU111" s="77"/>
      <c r="BV111" s="77"/>
      <c r="BW111" s="77"/>
      <c r="BX111" s="77"/>
      <c r="BY111" s="77"/>
      <c r="BZ111" s="77"/>
      <c r="CA111" s="77"/>
      <c r="CB111" s="77"/>
      <c r="CC111" s="77"/>
      <c r="CD111" s="77"/>
      <c r="CE111" s="77"/>
      <c r="CF111" s="77"/>
      <c r="CG111" s="77"/>
      <c r="CH111" s="77"/>
      <c r="CI111" s="77"/>
      <c r="CJ111" s="77"/>
      <c r="CK111" s="77"/>
      <c r="CL111" s="77"/>
      <c r="CM111" s="77"/>
      <c r="CN111" s="77"/>
      <c r="CO111" s="77"/>
      <c r="CP111" s="77"/>
      <c r="CQ111" s="77"/>
      <c r="CR111" s="77"/>
      <c r="CS111" s="77"/>
      <c r="CT111" s="77"/>
      <c r="CU111" s="77"/>
      <c r="CV111" s="77"/>
      <c r="CW111" s="77"/>
      <c r="CX111" s="77"/>
      <c r="CY111" s="77"/>
      <c r="CZ111" s="77"/>
      <c r="DA111" s="77"/>
      <c r="DB111" s="77"/>
      <c r="DC111" s="77"/>
      <c r="DD111" s="77"/>
      <c r="DE111" s="77"/>
      <c r="DF111" s="77"/>
      <c r="DG111" s="77"/>
      <c r="DH111" s="77"/>
      <c r="DI111" s="77"/>
      <c r="DJ111" s="77"/>
      <c r="DK111" s="77"/>
      <c r="DL111" s="77"/>
      <c r="DM111" s="77"/>
      <c r="DN111" s="77"/>
      <c r="DO111" s="77"/>
      <c r="DP111" s="77"/>
      <c r="DQ111" s="77"/>
      <c r="DR111" s="77"/>
      <c r="DS111" s="77"/>
      <c r="DT111" s="78"/>
      <c r="DU111" s="12"/>
    </row>
    <row r="112" spans="1:125" ht="16" customHeight="1" x14ac:dyDescent="0.2">
      <c r="A112" s="79" t="s">
        <v>175</v>
      </c>
      <c r="B112" s="79" t="s">
        <v>194</v>
      </c>
      <c r="C112" s="68"/>
      <c r="D112" s="68" t="str" cm="1">
        <f t="array" ref="D112">IF(AND(OR(AC112="",AD112="")),"W"&amp;AH112,IF(AC112&gt;AD112,AA112,IF(AC112&lt;AD112,AF112,IF(AND(AC112=AD112,AB112=AE112),"W"&amp;AH112,IF(AND(AC112=AD112,OR(AB112="",AE112="")),"W"&amp;AH112,IF(AND(AC112=AD112,AB112&gt;AE112),AA112,AF112))))))</f>
        <v>W83</v>
      </c>
      <c r="E112" s="79" t="s">
        <v>173</v>
      </c>
      <c r="F112" s="79" t="s">
        <v>53</v>
      </c>
      <c r="G112" s="79" t="s">
        <v>208</v>
      </c>
      <c r="H112" s="95" cm="1">
        <f t="array" ref="H112">SUMIF($BC$6:$BC$53,G112,$BF$6:$BF$53)</f>
        <v>12</v>
      </c>
      <c r="I112" s="68"/>
      <c r="J112" s="95">
        <v>84</v>
      </c>
      <c r="K112" s="95">
        <v>46205.75</v>
      </c>
      <c r="L112" s="79" t="s">
        <v>266</v>
      </c>
      <c r="M112" s="68" t="str" cm="1">
        <f t="array" ref="M112">IF(OR(INDEX($H$101:$H$113,MATCH(E112,$G$101:$G$113,0))=12,$AJ$99=144),INDEX($AL$6:$AL$97,MATCH(A112,$AI$6:$AI$97,0)),A112)</f>
        <v>España</v>
      </c>
      <c r="N112" s="79" t="s">
        <v>194</v>
      </c>
      <c r="O112" s="68"/>
      <c r="P112" s="68"/>
      <c r="Q112" s="68"/>
      <c r="R112" s="68"/>
      <c r="S112" s="68"/>
      <c r="T112" s="68"/>
      <c r="U112" s="68"/>
      <c r="V112" s="80"/>
      <c r="W112" s="762"/>
      <c r="X112" s="96">
        <v>46205.791666666657</v>
      </c>
      <c r="Y112" s="97">
        <v>46205.791666666657</v>
      </c>
      <c r="Z112" s="237" cm="1">
        <f t="array" ref="Z112">AH112</f>
        <v>83</v>
      </c>
      <c r="AA112" s="238" t="str" cm="1">
        <f t="array" ref="AA112">INDEX($M$101:$M$147,MATCH(AH112,$J$101:$J$147,0))</f>
        <v>RD Congo</v>
      </c>
      <c r="AB112" s="239"/>
      <c r="AC112" s="250"/>
      <c r="AD112" s="250"/>
      <c r="AE112" s="251"/>
      <c r="AF112" s="243" t="str" cm="1">
        <f t="array" ref="AF112">INDEX($N$101:$N$147,MATCH(AH112,$J$101:$J$147,0))</f>
        <v>2L</v>
      </c>
      <c r="AG112" s="104" cm="1">
        <f t="array" ref="AG112">IF(D112="W"&amp;AH112,0,1)</f>
        <v>0</v>
      </c>
      <c r="AH112" s="105">
        <v>83</v>
      </c>
      <c r="AI112" s="252">
        <v>11</v>
      </c>
      <c r="AJ112" s="140">
        <v>11</v>
      </c>
      <c r="AK112" s="208"/>
      <c r="AL112" s="142" t="str" cm="1">
        <f t="array" ref="AL112">IF($H$113&gt;=48,INDEX($BD$58:$BD$69,MATCH(AI112,$BN$58:$BN$69,0)),BB68)</f>
        <v>Uzbekistán</v>
      </c>
      <c r="AM112" s="262" cm="1">
        <f t="array" ref="AM112">IF($H$113&gt;=48,INDEX($BE$58:$BN$69,MATCH($AL112,$BD$58:$BD$69,0),MATCH(AM$5,$BE$57:$BN$57,0)),$BB68)</f>
        <v>0</v>
      </c>
      <c r="AN112" s="144" cm="1">
        <f t="array" ref="AN112">IF($H$113&gt;=48,INDEX($BE$58:$BN$69,MATCH($AL112,$BD$58:$BD$69,0),MATCH(AN$5,$BE$57:$BN$57,0)),$BB68)</f>
        <v>3</v>
      </c>
      <c r="AO112" s="144" cm="1">
        <f t="array" ref="AO112">IF($H$113&gt;=48,INDEX($BE$58:$BN$69,MATCH($AL112,$BD$58:$BD$69,0),MATCH(AO$5,$BE$57:$BN$57,0)),$BB68)</f>
        <v>0</v>
      </c>
      <c r="AP112" s="144" cm="1">
        <f t="array" ref="AP112">IF($H$113&gt;=48,INDEX($BE$58:$BN$69,MATCH($AL112,$BD$58:$BD$69,0),MATCH(AP$5,$BE$57:$BN$57,0)),$BB68)</f>
        <v>0</v>
      </c>
      <c r="AQ112" s="144" cm="1">
        <f t="array" ref="AQ112">IF($H$113&gt;=48,INDEX($BE$58:$BN$69,MATCH($AL112,$BD$58:$BD$69,0),MATCH(AQ$5,$BE$57:$BN$57,0)),$BB68)</f>
        <v>3</v>
      </c>
      <c r="AR112" s="144" cm="1">
        <f t="array" ref="AR112">IF($H$113&gt;=48,INDEX($BE$58:$BN$69,MATCH($AL112,$BD$58:$BD$69,0),MATCH(AR$5,$BE$57:$BN$57,0)),$BB68)</f>
        <v>0</v>
      </c>
      <c r="AS112" s="144" cm="1">
        <f t="array" ref="AS112">IF($H$113&gt;=48,INDEX($BE$58:$BN$69,MATCH($AL112,$BD$58:$BD$69,0),MATCH(AS$5,$BE$57:$BN$57,0)),$BB68)</f>
        <v>8</v>
      </c>
      <c r="AT112" s="145" cm="1">
        <f t="array" ref="AT112">IF($H$113&gt;=48,INDEX($BE$58:$BN$69,MATCH($AL112,$BD$58:$BD$69,0),MATCH(AT$5,$BE$57:$BN$57,0)),$BB68)</f>
        <v>-8</v>
      </c>
      <c r="AU112" s="133" cm="1">
        <f t="array" ref="AU112">IF($H$113=144,INDEX($DL$58:$DL$69,MATCH(AI112,$DP$58:$DP$69,0)),"")</f>
        <v>2</v>
      </c>
      <c r="AV112" s="134" t="str" cm="1">
        <f t="array" ref="AV112">INDEX($BD$58:$BD$69,MATCH(AI112,$BM$58:$BM$69,0))</f>
        <v>Uzbekistán</v>
      </c>
      <c r="AW112" s="259"/>
      <c r="AX112" s="260"/>
      <c r="AY112" s="266"/>
      <c r="AZ112" s="266"/>
      <c r="BA112" s="8"/>
      <c r="BB112" s="77"/>
      <c r="BC112" s="77"/>
      <c r="BD112" s="77"/>
      <c r="BE112" s="77"/>
      <c r="BF112" s="77"/>
      <c r="BG112" s="77"/>
      <c r="BH112" s="77"/>
      <c r="BI112" s="77" t="str" cm="1">
        <f t="array" ref="BI112">IFERROR(CONCATENATE(BJ103,BJ104,BJ105,BJ106,BJ107,BJ108,BJ109,BJ110),"¿A/B/C/D/E/F/G/H/I/J/K/L?")</f>
        <v>ABEFGHJL</v>
      </c>
      <c r="BJ112" s="77"/>
      <c r="BK112" s="77"/>
      <c r="BL112" s="77"/>
      <c r="BM112" s="77"/>
      <c r="BN112" s="77"/>
      <c r="BO112" s="77"/>
      <c r="BP112" s="77"/>
      <c r="BQ112" s="77"/>
      <c r="BR112" s="77"/>
      <c r="BS112" s="77"/>
      <c r="BT112" s="77"/>
      <c r="BU112" s="77"/>
      <c r="BV112" s="77"/>
      <c r="BW112" s="77"/>
      <c r="BX112" s="77"/>
      <c r="BY112" s="77"/>
      <c r="BZ112" s="77"/>
      <c r="CA112" s="77"/>
      <c r="CB112" s="77"/>
      <c r="CC112" s="77"/>
      <c r="CD112" s="77"/>
      <c r="CE112" s="77"/>
      <c r="CF112" s="77"/>
      <c r="CG112" s="77"/>
      <c r="CH112" s="77"/>
      <c r="CI112" s="77"/>
      <c r="CJ112" s="77"/>
      <c r="CK112" s="77"/>
      <c r="CL112" s="77"/>
      <c r="CM112" s="77"/>
      <c r="CN112" s="77"/>
      <c r="CO112" s="77"/>
      <c r="CP112" s="77"/>
      <c r="CQ112" s="77"/>
      <c r="CR112" s="77"/>
      <c r="CS112" s="77"/>
      <c r="CT112" s="77"/>
      <c r="CU112" s="77"/>
      <c r="CV112" s="77"/>
      <c r="CW112" s="77"/>
      <c r="CX112" s="77"/>
      <c r="CY112" s="77"/>
      <c r="CZ112" s="77"/>
      <c r="DA112" s="77"/>
      <c r="DB112" s="77"/>
      <c r="DC112" s="77"/>
      <c r="DD112" s="77"/>
      <c r="DE112" s="77"/>
      <c r="DF112" s="77"/>
      <c r="DG112" s="77"/>
      <c r="DH112" s="77"/>
      <c r="DI112" s="77"/>
      <c r="DJ112" s="77"/>
      <c r="DK112" s="77"/>
      <c r="DL112" s="77"/>
      <c r="DM112" s="77"/>
      <c r="DN112" s="77"/>
      <c r="DO112" s="77"/>
      <c r="DP112" s="77"/>
      <c r="DQ112" s="77"/>
      <c r="DR112" s="77"/>
      <c r="DS112" s="77"/>
      <c r="DT112" s="78"/>
      <c r="DU112" s="12"/>
    </row>
    <row r="113" spans="1:125" ht="16" customHeight="1" x14ac:dyDescent="0.2">
      <c r="A113" s="79" t="s">
        <v>123</v>
      </c>
      <c r="B113" s="79" t="s">
        <v>267</v>
      </c>
      <c r="C113" s="68"/>
      <c r="D113" s="68" t="str" cm="1">
        <f t="array" ref="D113">IF(AND(OR(AC113="",AD113="")),"W"&amp;AH113,IF(AC113&gt;AD113,AA113,IF(AC113&lt;AD113,AF113,IF(AND(AC113=AD113,AB113=AE113),"W"&amp;AH113,IF(AND(AC113=AD113,OR(AB113="",AE113="")),"W"&amp;AH113,IF(AND(AC113=AD113,AB113&gt;AE113),AA113,AF113))))))</f>
        <v>W85</v>
      </c>
      <c r="E113" s="79" t="s">
        <v>121</v>
      </c>
      <c r="F113" s="79" t="s">
        <v>235</v>
      </c>
      <c r="G113" s="79" t="s">
        <v>235</v>
      </c>
      <c r="H113" s="95" cm="1">
        <f t="array" ref="H113">IF($AJ$99&lt;&gt;144,SUM(H101:H112),$AJ$99)</f>
        <v>144</v>
      </c>
      <c r="I113" s="68"/>
      <c r="J113" s="95">
        <v>85</v>
      </c>
      <c r="K113" s="95">
        <v>46205.75</v>
      </c>
      <c r="L113" s="79" t="s">
        <v>269</v>
      </c>
      <c r="M113" s="68" t="str" cm="1">
        <f t="array" ref="M113">IF(OR(INDEX($H$101:$H$113,MATCH(E113,$G$101:$G$113,0))=12,$AJ$99=144),INDEX($AL$6:$AL$97,MATCH(A113,$AI$6:$AI$97,0)),A113)</f>
        <v>Canadá</v>
      </c>
      <c r="N113" s="79" t="s">
        <v>267</v>
      </c>
      <c r="O113" s="68"/>
      <c r="P113" s="68"/>
      <c r="Q113" s="68"/>
      <c r="R113" s="68"/>
      <c r="S113" s="68"/>
      <c r="T113" s="68"/>
      <c r="U113" s="68"/>
      <c r="V113" s="80"/>
      <c r="W113" s="762"/>
      <c r="X113" s="96">
        <v>46205.958333333343</v>
      </c>
      <c r="Y113" s="97">
        <v>46205.958333333343</v>
      </c>
      <c r="Z113" s="237" cm="1">
        <f t="array" ref="Z113">AH113</f>
        <v>85</v>
      </c>
      <c r="AA113" s="238" t="str" cm="1">
        <f t="array" ref="AA113">INDEX($M$101:$M$147,MATCH(AH113,$J$101:$J$147,0))</f>
        <v>Canadá</v>
      </c>
      <c r="AB113" s="239"/>
      <c r="AC113" s="250"/>
      <c r="AD113" s="267"/>
      <c r="AE113" s="242"/>
      <c r="AF113" s="243" t="str" cm="1">
        <f t="array" ref="AF113">INDEX($N$101:$N$147,MATCH(AH113,$J$101:$J$147,0))</f>
        <v>3EFGIJ</v>
      </c>
      <c r="AG113" s="104" cm="1">
        <f t="array" ref="AG113">IF(D113="W"&amp;AH113,0,1)</f>
        <v>0</v>
      </c>
      <c r="AH113" s="105">
        <v>85</v>
      </c>
      <c r="AI113" s="252">
        <v>12</v>
      </c>
      <c r="AJ113" s="156">
        <v>12</v>
      </c>
      <c r="AK113" s="222"/>
      <c r="AL113" s="158" t="str" cm="1">
        <f t="array" ref="AL113">IF($H$113&gt;=48,INDEX($BD$58:$BD$69,MATCH(AI113,$BN$58:$BN$69,0)),BB69)</f>
        <v>Haití</v>
      </c>
      <c r="AM113" s="268" cm="1">
        <f t="array" ref="AM113">IF($H$113&gt;=48,INDEX($BE$58:$BN$69,MATCH($AL113,$BD$58:$BD$69,0),MATCH(AM$5,$BE$57:$BN$57,0)),$BB69)</f>
        <v>0</v>
      </c>
      <c r="AN113" s="160" cm="1">
        <f t="array" ref="AN113">IF($H$113&gt;=48,INDEX($BE$58:$BN$69,MATCH($AL113,$BD$58:$BD$69,0),MATCH(AN$5,$BE$57:$BN$57,0)),$BB69)</f>
        <v>3</v>
      </c>
      <c r="AO113" s="160" cm="1">
        <f t="array" ref="AO113">IF($H$113&gt;=48,INDEX($BE$58:$BN$69,MATCH($AL113,$BD$58:$BD$69,0),MATCH(AO$5,$BE$57:$BN$57,0)),$BB69)</f>
        <v>0</v>
      </c>
      <c r="AP113" s="160" cm="1">
        <f t="array" ref="AP113">IF($H$113&gt;=48,INDEX($BE$58:$BN$69,MATCH($AL113,$BD$58:$BD$69,0),MATCH(AP$5,$BE$57:$BN$57,0)),$BB69)</f>
        <v>0</v>
      </c>
      <c r="AQ113" s="160" cm="1">
        <f t="array" ref="AQ113">IF($H$113&gt;=48,INDEX($BE$58:$BN$69,MATCH($AL113,$BD$58:$BD$69,0),MATCH(AQ$5,$BE$57:$BN$57,0)),$BB69)</f>
        <v>3</v>
      </c>
      <c r="AR113" s="160" cm="1">
        <f t="array" ref="AR113">IF($H$113&gt;=48,INDEX($BE$58:$BN$69,MATCH($AL113,$BD$58:$BD$69,0),MATCH(AR$5,$BE$57:$BN$57,0)),$BB69)</f>
        <v>1</v>
      </c>
      <c r="AS113" s="160" cm="1">
        <f t="array" ref="AS113">IF($H$113&gt;=48,INDEX($BE$58:$BN$69,MATCH($AL113,$BD$58:$BD$69,0),MATCH(AS$5,$BE$57:$BN$57,0)),$BB69)</f>
        <v>11</v>
      </c>
      <c r="AT113" s="161" cm="1">
        <f t="array" ref="AT113">IF($H$113&gt;=48,INDEX($BE$58:$BN$69,MATCH($AL113,$BD$58:$BD$69,0),MATCH(AT$5,$BE$57:$BN$57,0)),$BB69)</f>
        <v>-10</v>
      </c>
      <c r="AU113" s="133" cm="1">
        <f t="array" ref="AU113">IF($H$113=144,INDEX($DL$58:$DL$69,MATCH(AI113,$DP$58:$DP$69,0)),"")</f>
        <v>1</v>
      </c>
      <c r="AV113" s="134" t="str" cm="1">
        <f t="array" ref="AV113">INDEX($BD$58:$BD$69,MATCH(AI113,$BM$58:$BM$69,0))</f>
        <v>Haití</v>
      </c>
      <c r="AW113" s="259"/>
      <c r="AX113" s="260"/>
      <c r="AY113" s="190"/>
      <c r="AZ113" s="191"/>
      <c r="BA113" s="8"/>
      <c r="BB113" s="77"/>
      <c r="BC113" s="77"/>
      <c r="BD113" s="77"/>
      <c r="BE113" s="77"/>
      <c r="BF113" s="77"/>
      <c r="BG113" s="77"/>
      <c r="BH113" s="77"/>
      <c r="BI113" s="77"/>
      <c r="BJ113" s="77"/>
      <c r="BK113" s="77"/>
      <c r="BL113" s="77"/>
      <c r="BM113" s="77"/>
      <c r="BN113" s="77"/>
      <c r="BO113" s="77"/>
      <c r="BP113" s="77"/>
      <c r="BQ113" s="77"/>
      <c r="BR113" s="77"/>
      <c r="BS113" s="77"/>
      <c r="BT113" s="77"/>
      <c r="BU113" s="77"/>
      <c r="BV113" s="77"/>
      <c r="BW113" s="77"/>
      <c r="BX113" s="77"/>
      <c r="BY113" s="77"/>
      <c r="BZ113" s="77"/>
      <c r="CA113" s="77"/>
      <c r="CB113" s="77"/>
      <c r="CC113" s="77"/>
      <c r="CD113" s="77"/>
      <c r="CE113" s="77"/>
      <c r="CF113" s="77"/>
      <c r="CG113" s="77"/>
      <c r="CH113" s="77"/>
      <c r="CI113" s="77"/>
      <c r="CJ113" s="77"/>
      <c r="CK113" s="77"/>
      <c r="CL113" s="77"/>
      <c r="CM113" s="77"/>
      <c r="CN113" s="77"/>
      <c r="CO113" s="77"/>
      <c r="CP113" s="77"/>
      <c r="CQ113" s="77"/>
      <c r="CR113" s="77"/>
      <c r="CS113" s="77"/>
      <c r="CT113" s="77"/>
      <c r="CU113" s="77"/>
      <c r="CV113" s="77"/>
      <c r="CW113" s="77"/>
      <c r="CX113" s="77"/>
      <c r="CY113" s="77"/>
      <c r="CZ113" s="77"/>
      <c r="DA113" s="77"/>
      <c r="DB113" s="77"/>
      <c r="DC113" s="77"/>
      <c r="DD113" s="77"/>
      <c r="DE113" s="77"/>
      <c r="DF113" s="77"/>
      <c r="DG113" s="77"/>
      <c r="DH113" s="77"/>
      <c r="DI113" s="77"/>
      <c r="DJ113" s="77"/>
      <c r="DK113" s="77"/>
      <c r="DL113" s="77"/>
      <c r="DM113" s="77"/>
      <c r="DN113" s="77"/>
      <c r="DO113" s="77"/>
      <c r="DP113" s="77"/>
      <c r="DQ113" s="77"/>
      <c r="DR113" s="77"/>
      <c r="DS113" s="77"/>
      <c r="DT113" s="78"/>
      <c r="DU113" s="12"/>
    </row>
    <row r="114" spans="1:125" ht="16" customHeight="1" x14ac:dyDescent="0.2">
      <c r="A114" s="79" t="s">
        <v>192</v>
      </c>
      <c r="B114" s="79" t="s">
        <v>177</v>
      </c>
      <c r="C114" s="68"/>
      <c r="D114" s="68" t="str" cm="1">
        <f t="array" ref="D114">IF(AND(OR(AC114="",AD114="")),"W"&amp;AH114,IF(AC114&gt;AD114,AA114,IF(AC114&lt;AD114,AF114,IF(AND(AC114=AD114,AB114=AE114),"W"&amp;AH114,IF(AND(AC114=AD114,OR(AB114="",AE114="")),"W"&amp;AH114,IF(AND(AC114=AD114,AB114&gt;AE114),AA114,AF114))))))</f>
        <v>W88</v>
      </c>
      <c r="E114" s="79" t="s">
        <v>53</v>
      </c>
      <c r="F114" s="79" t="s">
        <v>173</v>
      </c>
      <c r="G114" s="68"/>
      <c r="H114" s="68"/>
      <c r="I114" s="68"/>
      <c r="J114" s="95">
        <v>86</v>
      </c>
      <c r="K114" s="95">
        <v>46206.75</v>
      </c>
      <c r="L114" s="79" t="s">
        <v>271</v>
      </c>
      <c r="M114" s="68" t="str" cm="1">
        <f t="array" ref="M114">IF(OR(INDEX($H$101:$H$113,MATCH(E114,$G$101:$G$113,0))=12,$AJ$99=144),INDEX($AL$6:$AL$97,MATCH(A114,$AI$6:$AI$97,0)),A114)</f>
        <v>Argentina</v>
      </c>
      <c r="N114" s="79" t="s">
        <v>177</v>
      </c>
      <c r="O114" s="68"/>
      <c r="P114" s="68"/>
      <c r="Q114" s="68"/>
      <c r="R114" s="68"/>
      <c r="S114" s="68"/>
      <c r="T114" s="68"/>
      <c r="U114" s="68"/>
      <c r="V114" s="80"/>
      <c r="W114" s="762"/>
      <c r="X114" s="96">
        <v>46206.583333333343</v>
      </c>
      <c r="Y114" s="97">
        <v>46206.583333333343</v>
      </c>
      <c r="Z114" s="237" cm="1">
        <f t="array" ref="Z114">AH114</f>
        <v>88</v>
      </c>
      <c r="AA114" s="238" t="str" cm="1">
        <f t="array" ref="AA114">INDEX($M$101:$M$147,MATCH(AH114,$J$101:$J$147,0))</f>
        <v>Paraguay</v>
      </c>
      <c r="AB114" s="239"/>
      <c r="AC114" s="250"/>
      <c r="AD114" s="250"/>
      <c r="AE114" s="251"/>
      <c r="AF114" s="243" t="str" cm="1">
        <f t="array" ref="AF114">INDEX($N$101:$N$147,MATCH(AH114,$J$101:$J$147,0))</f>
        <v>2G</v>
      </c>
      <c r="AG114" s="104" cm="1">
        <f t="array" ref="AG114">IF(D114="W"&amp;AH114,0,1)</f>
        <v>0</v>
      </c>
      <c r="AH114" s="105">
        <v>88</v>
      </c>
      <c r="AI114" s="134"/>
      <c r="AJ114" s="173"/>
      <c r="AK114" s="174"/>
      <c r="AL114" s="175"/>
      <c r="AM114" s="176"/>
      <c r="AN114" s="173"/>
      <c r="AO114" s="173"/>
      <c r="AP114" s="173"/>
      <c r="AQ114" s="173"/>
      <c r="AR114" s="173"/>
      <c r="AS114" s="173"/>
      <c r="AT114" s="173"/>
      <c r="AU114" s="178"/>
      <c r="AV114" s="178"/>
      <c r="AW114" s="269"/>
      <c r="AX114" s="269"/>
      <c r="AY114" s="190"/>
      <c r="AZ114" s="191"/>
      <c r="BA114" s="8"/>
      <c r="BB114" s="77"/>
      <c r="BC114" s="77"/>
      <c r="BD114" s="77"/>
      <c r="BE114" s="77"/>
      <c r="BF114" s="77"/>
      <c r="BG114" s="77"/>
      <c r="BH114" s="77"/>
      <c r="BI114" s="77"/>
      <c r="BJ114" s="77"/>
      <c r="BK114" s="77"/>
      <c r="BL114" s="77"/>
      <c r="BM114" s="77"/>
      <c r="BN114" s="77"/>
      <c r="BO114" s="77"/>
      <c r="BP114" s="77"/>
      <c r="BQ114" s="77"/>
      <c r="BR114" s="77"/>
      <c r="BS114" s="77"/>
      <c r="BT114" s="77"/>
      <c r="BU114" s="77"/>
      <c r="BV114" s="77"/>
      <c r="BW114" s="77"/>
      <c r="BX114" s="77"/>
      <c r="BY114" s="77"/>
      <c r="BZ114" s="77"/>
      <c r="CA114" s="77"/>
      <c r="CB114" s="77"/>
      <c r="CC114" s="77"/>
      <c r="CD114" s="77"/>
      <c r="CE114" s="77"/>
      <c r="CF114" s="77"/>
      <c r="CG114" s="77"/>
      <c r="CH114" s="77"/>
      <c r="CI114" s="77"/>
      <c r="CJ114" s="77"/>
      <c r="CK114" s="77"/>
      <c r="CL114" s="77"/>
      <c r="CM114" s="77"/>
      <c r="CN114" s="77"/>
      <c r="CO114" s="77"/>
      <c r="CP114" s="77"/>
      <c r="CQ114" s="77"/>
      <c r="CR114" s="77"/>
      <c r="CS114" s="77"/>
      <c r="CT114" s="77"/>
      <c r="CU114" s="77"/>
      <c r="CV114" s="77"/>
      <c r="CW114" s="77"/>
      <c r="CX114" s="77"/>
      <c r="CY114" s="77"/>
      <c r="CZ114" s="77"/>
      <c r="DA114" s="77"/>
      <c r="DB114" s="77"/>
      <c r="DC114" s="77"/>
      <c r="DD114" s="77"/>
      <c r="DE114" s="77"/>
      <c r="DF114" s="77"/>
      <c r="DG114" s="77"/>
      <c r="DH114" s="77"/>
      <c r="DI114" s="77"/>
      <c r="DJ114" s="77"/>
      <c r="DK114" s="77"/>
      <c r="DL114" s="77"/>
      <c r="DM114" s="77"/>
      <c r="DN114" s="77"/>
      <c r="DO114" s="77"/>
      <c r="DP114" s="77"/>
      <c r="DQ114" s="77"/>
      <c r="DR114" s="77"/>
      <c r="DS114" s="77"/>
      <c r="DT114" s="78"/>
      <c r="DU114" s="12"/>
    </row>
    <row r="115" spans="1:125" ht="16" customHeight="1" x14ac:dyDescent="0.2">
      <c r="A115" s="79" t="s">
        <v>201</v>
      </c>
      <c r="B115" s="79" t="s">
        <v>272</v>
      </c>
      <c r="C115" s="68"/>
      <c r="D115" s="68" t="str" cm="1">
        <f t="array" ref="D115">IF(AND(OR(AC115="",AD115="")),"W"&amp;AH115,IF(AC115&gt;AD115,AA115,IF(AC115&lt;AD115,AF115,IF(AND(AC115=AD115,AB115=AE115),"W"&amp;AH115,IF(AND(AC115=AD115,OR(AB115="",AE115="")),"W"&amp;AH115,IF(AND(AC115=AD115,AB115&gt;AE115),AA115,AF115))))))</f>
        <v>W86</v>
      </c>
      <c r="E115" s="79" t="s">
        <v>199</v>
      </c>
      <c r="F115" s="79" t="s">
        <v>235</v>
      </c>
      <c r="G115" s="68"/>
      <c r="H115" s="68"/>
      <c r="I115" s="68"/>
      <c r="J115" s="95">
        <v>87</v>
      </c>
      <c r="K115" s="95">
        <v>46206.75</v>
      </c>
      <c r="L115" s="79" t="s">
        <v>274</v>
      </c>
      <c r="M115" s="68" t="str" cm="1">
        <f t="array" ref="M115">IF(OR(INDEX($H$101:$H$113,MATCH(E115,$G$101:$G$113,0))=12,$AJ$99=144),INDEX($AL$6:$AL$97,MATCH(A115,$AI$6:$AI$97,0)),A115)</f>
        <v>Portugal</v>
      </c>
      <c r="N115" s="79" t="s">
        <v>272</v>
      </c>
      <c r="O115" s="68"/>
      <c r="P115" s="68"/>
      <c r="Q115" s="68"/>
      <c r="R115" s="68"/>
      <c r="S115" s="68"/>
      <c r="T115" s="68"/>
      <c r="U115" s="68"/>
      <c r="V115" s="80"/>
      <c r="W115" s="762"/>
      <c r="X115" s="96">
        <v>46206.75</v>
      </c>
      <c r="Y115" s="97">
        <v>46206.75</v>
      </c>
      <c r="Z115" s="237" cm="1">
        <f t="array" ref="Z115">AH115</f>
        <v>86</v>
      </c>
      <c r="AA115" s="238" t="str" cm="1">
        <f t="array" ref="AA115">INDEX($M$101:$M$147,MATCH(AH115,$J$101:$J$147,0))</f>
        <v>Argentina</v>
      </c>
      <c r="AB115" s="239"/>
      <c r="AC115" s="250"/>
      <c r="AD115" s="250"/>
      <c r="AE115" s="251"/>
      <c r="AF115" s="243" t="str" cm="1">
        <f t="array" ref="AF115">INDEX($N$101:$N$147,MATCH(AH115,$J$101:$J$147,0))</f>
        <v>2H</v>
      </c>
      <c r="AG115" s="104" cm="1">
        <f t="array" ref="AG115">IF(D115="W"&amp;AH115,0,1)</f>
        <v>0</v>
      </c>
      <c r="AH115" s="105">
        <v>86</v>
      </c>
      <c r="AI115" s="134"/>
      <c r="AJ115" s="270"/>
      <c r="AK115" s="271"/>
      <c r="AL115" s="272"/>
      <c r="AM115" s="270"/>
      <c r="AN115" s="270"/>
      <c r="AO115" s="270"/>
      <c r="AP115" s="270"/>
      <c r="AQ115" s="270"/>
      <c r="AR115" s="270"/>
      <c r="AS115" s="270"/>
      <c r="AT115" s="270"/>
      <c r="AU115" s="74"/>
      <c r="AV115" s="74"/>
      <c r="AW115" s="273"/>
      <c r="AX115" s="273"/>
      <c r="AY115" s="190"/>
      <c r="AZ115" s="191"/>
      <c r="BA115" s="8"/>
      <c r="BB115" s="77"/>
      <c r="BC115" s="77"/>
      <c r="BD115" s="77"/>
      <c r="BE115" s="77"/>
      <c r="BF115" s="77"/>
      <c r="BG115" s="77"/>
      <c r="BH115" s="77"/>
      <c r="BI115" s="77"/>
      <c r="BJ115" s="77"/>
      <c r="BK115" s="77"/>
      <c r="BL115" s="77"/>
      <c r="BM115" s="77"/>
      <c r="BN115" s="77"/>
      <c r="BO115" s="77"/>
      <c r="BP115" s="77"/>
      <c r="BQ115" s="77"/>
      <c r="BR115" s="77"/>
      <c r="BS115" s="77"/>
      <c r="BT115" s="77"/>
      <c r="BU115" s="77"/>
      <c r="BV115" s="77"/>
      <c r="BW115" s="77"/>
      <c r="BX115" s="77"/>
      <c r="BY115" s="77"/>
      <c r="BZ115" s="77"/>
      <c r="CA115" s="77"/>
      <c r="CB115" s="77"/>
      <c r="CC115" s="77"/>
      <c r="CD115" s="77"/>
      <c r="CE115" s="77"/>
      <c r="CF115" s="77"/>
      <c r="CG115" s="77"/>
      <c r="CH115" s="77"/>
      <c r="CI115" s="77"/>
      <c r="CJ115" s="77"/>
      <c r="CK115" s="77"/>
      <c r="CL115" s="77"/>
      <c r="CM115" s="77"/>
      <c r="CN115" s="77"/>
      <c r="CO115" s="77"/>
      <c r="CP115" s="77"/>
      <c r="CQ115" s="77"/>
      <c r="CR115" s="77"/>
      <c r="CS115" s="77"/>
      <c r="CT115" s="77"/>
      <c r="CU115" s="77"/>
      <c r="CV115" s="77"/>
      <c r="CW115" s="77"/>
      <c r="CX115" s="77"/>
      <c r="CY115" s="77"/>
      <c r="CZ115" s="77"/>
      <c r="DA115" s="77"/>
      <c r="DB115" s="77"/>
      <c r="DC115" s="77"/>
      <c r="DD115" s="77"/>
      <c r="DE115" s="77"/>
      <c r="DF115" s="77"/>
      <c r="DG115" s="77"/>
      <c r="DH115" s="77"/>
      <c r="DI115" s="77"/>
      <c r="DJ115" s="77"/>
      <c r="DK115" s="77"/>
      <c r="DL115" s="77"/>
      <c r="DM115" s="77"/>
      <c r="DN115" s="77"/>
      <c r="DO115" s="77"/>
      <c r="DP115" s="77"/>
      <c r="DQ115" s="77"/>
      <c r="DR115" s="77"/>
      <c r="DS115" s="77"/>
      <c r="DT115" s="78"/>
      <c r="DU115" s="12"/>
    </row>
    <row r="116" spans="1:125" ht="16" customHeight="1" x14ac:dyDescent="0.2">
      <c r="A116" s="79" t="s">
        <v>143</v>
      </c>
      <c r="B116" s="79" t="s">
        <v>168</v>
      </c>
      <c r="C116" s="68"/>
      <c r="D116" s="68" t="str" cm="1">
        <f t="array" ref="D116">IF(AND(OR(AC116="",AD116="")),"W"&amp;AH116,IF(AC116&gt;AD116,AA116,IF(AC116&lt;AD116,AF116,IF(AND(AC116=AD116,AB116=AE116),"W"&amp;AH116,IF(AND(AC116=AD116,OR(AB116="",AE116="")),"W"&amp;AH116,IF(AND(AC116=AD116,AB116&gt;AE116),AA116,AF116))))))</f>
        <v>W87</v>
      </c>
      <c r="E116" s="79" t="s">
        <v>139</v>
      </c>
      <c r="F116" s="79" t="s">
        <v>54</v>
      </c>
      <c r="G116" s="68"/>
      <c r="H116" s="68"/>
      <c r="I116" s="68"/>
      <c r="J116" s="95">
        <v>88</v>
      </c>
      <c r="K116" s="95">
        <v>46206.75</v>
      </c>
      <c r="L116" s="79" t="s">
        <v>276</v>
      </c>
      <c r="M116" s="68" t="str" cm="1">
        <f t="array" ref="M116">IF(OR(INDEX($H$101:$H$113,MATCH(E116,$G$101:$G$113,0))=12,$AJ$99=144),INDEX($AL$6:$AL$97,MATCH(A116,$AI$6:$AI$97,0)),A116)</f>
        <v>Paraguay</v>
      </c>
      <c r="N116" s="79" t="s">
        <v>168</v>
      </c>
      <c r="O116" s="68"/>
      <c r="P116" s="68"/>
      <c r="Q116" s="68"/>
      <c r="R116" s="68"/>
      <c r="S116" s="68"/>
      <c r="T116" s="68"/>
      <c r="U116" s="68"/>
      <c r="V116" s="80"/>
      <c r="W116" s="763"/>
      <c r="X116" s="148">
        <v>46206.895833333343</v>
      </c>
      <c r="Y116" s="149">
        <v>46206.895833333343</v>
      </c>
      <c r="Z116" s="274" cm="1">
        <f t="array" ref="Z116">AH116</f>
        <v>87</v>
      </c>
      <c r="AA116" s="275" t="str" cm="1">
        <f t="array" ref="AA116">INDEX($M$101:$M$147,MATCH(AH116,$J$101:$J$147,0))</f>
        <v>Portugal</v>
      </c>
      <c r="AB116" s="276"/>
      <c r="AC116" s="277"/>
      <c r="AD116" s="277"/>
      <c r="AE116" s="278"/>
      <c r="AF116" s="279" t="str" cm="1">
        <f t="array" ref="AF116">INDEX($N$101:$N$147,MATCH(AH116,$J$101:$J$147,0))</f>
        <v>3DEIJL</v>
      </c>
      <c r="AG116" s="104" cm="1">
        <f t="array" ref="AG116">IF(D116="W"&amp;AH116,0,1)</f>
        <v>0</v>
      </c>
      <c r="AH116" s="105">
        <v>87</v>
      </c>
      <c r="AI116" s="134"/>
      <c r="AJ116" s="76"/>
      <c r="AK116" s="76"/>
      <c r="AL116" s="280"/>
      <c r="AM116" s="8"/>
      <c r="AN116" s="8"/>
      <c r="AO116" s="8"/>
      <c r="AP116" s="8"/>
      <c r="AQ116" s="8"/>
      <c r="AR116" s="8"/>
      <c r="AS116" s="8"/>
      <c r="AT116" s="8"/>
      <c r="AU116" s="8"/>
      <c r="AV116" s="281"/>
      <c r="AW116" s="8"/>
      <c r="AX116" s="8"/>
      <c r="AY116" s="190"/>
      <c r="AZ116" s="191"/>
      <c r="BA116" s="8"/>
      <c r="BB116" s="77"/>
      <c r="BC116" s="77"/>
      <c r="BD116" s="77"/>
      <c r="BE116" s="77"/>
      <c r="BF116" s="77"/>
      <c r="BG116" s="77"/>
      <c r="BH116" s="77"/>
      <c r="BI116" s="77"/>
      <c r="BJ116" s="77"/>
      <c r="BK116" s="77"/>
      <c r="BL116" s="77"/>
      <c r="BM116" s="77"/>
      <c r="BN116" s="77"/>
      <c r="BO116" s="77"/>
      <c r="BP116" s="77"/>
      <c r="BQ116" s="77"/>
      <c r="BR116" s="77"/>
      <c r="BS116" s="77"/>
      <c r="BT116" s="77"/>
      <c r="BU116" s="77"/>
      <c r="BV116" s="77"/>
      <c r="BW116" s="77"/>
      <c r="BX116" s="77"/>
      <c r="BY116" s="77"/>
      <c r="BZ116" s="77"/>
      <c r="CA116" s="77"/>
      <c r="CB116" s="77"/>
      <c r="CC116" s="77"/>
      <c r="CD116" s="77"/>
      <c r="CE116" s="77"/>
      <c r="CF116" s="77"/>
      <c r="CG116" s="77"/>
      <c r="CH116" s="77"/>
      <c r="CI116" s="77"/>
      <c r="CJ116" s="77"/>
      <c r="CK116" s="77"/>
      <c r="CL116" s="77"/>
      <c r="CM116" s="77"/>
      <c r="CN116" s="77"/>
      <c r="CO116" s="77"/>
      <c r="CP116" s="77"/>
      <c r="CQ116" s="77"/>
      <c r="CR116" s="77"/>
      <c r="CS116" s="77"/>
      <c r="CT116" s="77"/>
      <c r="CU116" s="77"/>
      <c r="CV116" s="77"/>
      <c r="CW116" s="77"/>
      <c r="CX116" s="77"/>
      <c r="CY116" s="77"/>
      <c r="CZ116" s="77"/>
      <c r="DA116" s="77"/>
      <c r="DB116" s="77"/>
      <c r="DC116" s="77"/>
      <c r="DD116" s="77"/>
      <c r="DE116" s="77"/>
      <c r="DF116" s="77"/>
      <c r="DG116" s="77"/>
      <c r="DH116" s="77"/>
      <c r="DI116" s="77"/>
      <c r="DJ116" s="77"/>
      <c r="DK116" s="77"/>
      <c r="DL116" s="77"/>
      <c r="DM116" s="77"/>
      <c r="DN116" s="77"/>
      <c r="DO116" s="77"/>
      <c r="DP116" s="77"/>
      <c r="DQ116" s="77"/>
      <c r="DR116" s="77"/>
      <c r="DS116" s="77"/>
      <c r="DT116" s="78"/>
      <c r="DU116" s="12"/>
    </row>
    <row r="117" spans="1:125" ht="16" customHeight="1" x14ac:dyDescent="0.2">
      <c r="A117" s="68"/>
      <c r="B117" s="68"/>
      <c r="C117" s="68"/>
      <c r="D117" s="68"/>
      <c r="E117" s="68"/>
      <c r="F117" s="68"/>
      <c r="G117" s="68"/>
      <c r="H117" s="68"/>
      <c r="I117" s="68"/>
      <c r="J117" s="68"/>
      <c r="K117" s="68"/>
      <c r="L117" s="68"/>
      <c r="M117" s="68"/>
      <c r="N117" s="68"/>
      <c r="O117" s="68"/>
      <c r="P117" s="68"/>
      <c r="Q117" s="68"/>
      <c r="R117" s="68"/>
      <c r="S117" s="68"/>
      <c r="T117" s="68"/>
      <c r="U117" s="68"/>
      <c r="V117" s="69"/>
      <c r="W117" s="164"/>
      <c r="X117" s="165"/>
      <c r="Y117" s="164"/>
      <c r="Z117" s="166"/>
      <c r="AA117" s="167"/>
      <c r="AB117" s="168"/>
      <c r="AC117" s="169"/>
      <c r="AD117" s="169"/>
      <c r="AE117" s="168"/>
      <c r="AF117" s="170"/>
      <c r="AG117" s="282"/>
      <c r="AH117" s="172"/>
      <c r="AI117" s="134"/>
      <c r="AJ117" s="76"/>
      <c r="AK117" s="76"/>
      <c r="AL117" s="264"/>
      <c r="AM117" s="8"/>
      <c r="AN117" s="8"/>
      <c r="AO117" s="8"/>
      <c r="AP117" s="8"/>
      <c r="AQ117" s="8"/>
      <c r="AR117" s="8"/>
      <c r="AS117" s="8"/>
      <c r="AT117" s="8"/>
      <c r="AU117" s="8"/>
      <c r="AV117" s="281"/>
      <c r="AW117" s="8"/>
      <c r="AX117" s="8"/>
      <c r="AY117" s="190"/>
      <c r="AZ117" s="191"/>
      <c r="BA117" s="8"/>
      <c r="BB117" s="77"/>
      <c r="BC117" s="77"/>
      <c r="BD117" s="77"/>
      <c r="BE117" s="77"/>
      <c r="BF117" s="261" t="s">
        <v>114</v>
      </c>
      <c r="BG117" s="77"/>
      <c r="BH117" s="77"/>
      <c r="BI117" s="77"/>
      <c r="BJ117" s="77"/>
      <c r="BK117" s="77"/>
      <c r="BL117" s="77"/>
      <c r="BM117" s="77"/>
      <c r="BN117" s="77"/>
      <c r="BO117" s="77"/>
      <c r="BP117" s="77"/>
      <c r="BQ117" s="77"/>
      <c r="BR117" s="77"/>
      <c r="BS117" s="77"/>
      <c r="BT117" s="77"/>
      <c r="BU117" s="77"/>
      <c r="BV117" s="77"/>
      <c r="BW117" s="77"/>
      <c r="BX117" s="77"/>
      <c r="BY117" s="77"/>
      <c r="BZ117" s="77"/>
      <c r="CA117" s="77"/>
      <c r="CB117" s="77"/>
      <c r="CC117" s="77"/>
      <c r="CD117" s="77"/>
      <c r="CE117" s="77"/>
      <c r="CF117" s="77"/>
      <c r="CG117" s="77"/>
      <c r="CH117" s="77"/>
      <c r="CI117" s="77"/>
      <c r="CJ117" s="77"/>
      <c r="CK117" s="77"/>
      <c r="CL117" s="77"/>
      <c r="CM117" s="77"/>
      <c r="CN117" s="77"/>
      <c r="CO117" s="77"/>
      <c r="CP117" s="77"/>
      <c r="CQ117" s="77"/>
      <c r="CR117" s="77"/>
      <c r="CS117" s="77"/>
      <c r="CT117" s="77"/>
      <c r="CU117" s="77"/>
      <c r="CV117" s="77"/>
      <c r="CW117" s="77"/>
      <c r="CX117" s="77"/>
      <c r="CY117" s="77"/>
      <c r="CZ117" s="77"/>
      <c r="DA117" s="77"/>
      <c r="DB117" s="77"/>
      <c r="DC117" s="77"/>
      <c r="DD117" s="77"/>
      <c r="DE117" s="77"/>
      <c r="DF117" s="77"/>
      <c r="DG117" s="77"/>
      <c r="DH117" s="77"/>
      <c r="DI117" s="77"/>
      <c r="DJ117" s="77"/>
      <c r="DK117" s="77"/>
      <c r="DL117" s="77"/>
      <c r="DM117" s="77"/>
      <c r="DN117" s="77"/>
      <c r="DO117" s="77"/>
      <c r="DP117" s="77"/>
      <c r="DQ117" s="77"/>
      <c r="DR117" s="77"/>
      <c r="DS117" s="77"/>
      <c r="DT117" s="78"/>
      <c r="DU117" s="12"/>
    </row>
    <row r="118" spans="1:125" ht="16" customHeight="1" x14ac:dyDescent="0.2">
      <c r="A118" s="68"/>
      <c r="B118" s="68"/>
      <c r="C118" s="68"/>
      <c r="D118" s="68"/>
      <c r="E118" s="68"/>
      <c r="F118" s="68"/>
      <c r="G118" s="68"/>
      <c r="H118" s="68"/>
      <c r="I118" s="68"/>
      <c r="J118" s="68"/>
      <c r="K118" s="68"/>
      <c r="L118" s="68"/>
      <c r="M118" s="68"/>
      <c r="N118" s="68"/>
      <c r="O118" s="68"/>
      <c r="P118" s="68"/>
      <c r="Q118" s="68"/>
      <c r="R118" s="68"/>
      <c r="S118" s="68"/>
      <c r="T118" s="68"/>
      <c r="U118" s="68"/>
      <c r="V118" s="80"/>
      <c r="W118" s="787" t="s">
        <v>277</v>
      </c>
      <c r="X118" s="788"/>
      <c r="Y118" s="789"/>
      <c r="Z118" s="789"/>
      <c r="AA118" s="789"/>
      <c r="AB118" s="789"/>
      <c r="AC118" s="789"/>
      <c r="AD118" s="789"/>
      <c r="AE118" s="789"/>
      <c r="AF118" s="790"/>
      <c r="AG118" s="228"/>
      <c r="AH118" s="172"/>
      <c r="AI118" s="134"/>
      <c r="AJ118" s="8"/>
      <c r="AK118" s="76"/>
      <c r="AL118" s="264"/>
      <c r="AM118" s="8"/>
      <c r="AN118" s="8"/>
      <c r="AO118" s="8"/>
      <c r="AP118" s="8"/>
      <c r="AQ118" s="8"/>
      <c r="AR118" s="8"/>
      <c r="AS118" s="8"/>
      <c r="AT118" s="8"/>
      <c r="AU118" s="8"/>
      <c r="AV118" s="281"/>
      <c r="AW118" s="8"/>
      <c r="AX118" s="8"/>
      <c r="AY118" s="190"/>
      <c r="AZ118" s="191"/>
      <c r="BA118" s="8"/>
      <c r="BB118" s="77"/>
      <c r="BC118" s="77"/>
      <c r="BD118" s="77"/>
      <c r="BE118" s="77"/>
      <c r="BF118" s="261" t="s">
        <v>123</v>
      </c>
      <c r="BG118" s="77"/>
      <c r="BH118" s="77"/>
      <c r="BI118" s="77"/>
      <c r="BJ118" s="77"/>
      <c r="BK118" s="77"/>
      <c r="BL118" s="77"/>
      <c r="BM118" s="77"/>
      <c r="BN118" s="77"/>
      <c r="BO118" s="77"/>
      <c r="BP118" s="77"/>
      <c r="BQ118" s="77"/>
      <c r="BR118" s="77"/>
      <c r="BS118" s="77"/>
      <c r="BT118" s="77"/>
      <c r="BU118" s="77"/>
      <c r="BV118" s="77"/>
      <c r="BW118" s="77"/>
      <c r="BX118" s="77"/>
      <c r="BY118" s="77"/>
      <c r="BZ118" s="77"/>
      <c r="CA118" s="77"/>
      <c r="CB118" s="77"/>
      <c r="CC118" s="77"/>
      <c r="CD118" s="77"/>
      <c r="CE118" s="77"/>
      <c r="CF118" s="77"/>
      <c r="CG118" s="77"/>
      <c r="CH118" s="77"/>
      <c r="CI118" s="77"/>
      <c r="CJ118" s="77"/>
      <c r="CK118" s="77"/>
      <c r="CL118" s="77"/>
      <c r="CM118" s="77"/>
      <c r="CN118" s="77"/>
      <c r="CO118" s="77"/>
      <c r="CP118" s="77"/>
      <c r="CQ118" s="77"/>
      <c r="CR118" s="77"/>
      <c r="CS118" s="77"/>
      <c r="CT118" s="77"/>
      <c r="CU118" s="77"/>
      <c r="CV118" s="77"/>
      <c r="CW118" s="77"/>
      <c r="CX118" s="77"/>
      <c r="CY118" s="77"/>
      <c r="CZ118" s="77"/>
      <c r="DA118" s="77"/>
      <c r="DB118" s="77"/>
      <c r="DC118" s="77"/>
      <c r="DD118" s="77"/>
      <c r="DE118" s="77"/>
      <c r="DF118" s="77"/>
      <c r="DG118" s="77"/>
      <c r="DH118" s="77"/>
      <c r="DI118" s="77"/>
      <c r="DJ118" s="77"/>
      <c r="DK118" s="77"/>
      <c r="DL118" s="77"/>
      <c r="DM118" s="77"/>
      <c r="DN118" s="77"/>
      <c r="DO118" s="77"/>
      <c r="DP118" s="77"/>
      <c r="DQ118" s="77"/>
      <c r="DR118" s="77"/>
      <c r="DS118" s="77"/>
      <c r="DT118" s="78"/>
      <c r="DU118" s="12"/>
    </row>
    <row r="119" spans="1:125" ht="16" customHeight="1" x14ac:dyDescent="0.2">
      <c r="A119" s="68"/>
      <c r="B119" s="68"/>
      <c r="C119" s="68"/>
      <c r="D119" s="68"/>
      <c r="E119" s="68"/>
      <c r="F119" s="68"/>
      <c r="G119" s="68"/>
      <c r="H119" s="68"/>
      <c r="I119" s="68"/>
      <c r="J119" s="68"/>
      <c r="K119" s="68"/>
      <c r="L119" s="68"/>
      <c r="M119" s="68"/>
      <c r="N119" s="68"/>
      <c r="O119" s="68"/>
      <c r="P119" s="68"/>
      <c r="Q119" s="68"/>
      <c r="R119" s="68"/>
      <c r="S119" s="68"/>
      <c r="T119" s="68"/>
      <c r="U119" s="68"/>
      <c r="V119" s="80"/>
      <c r="W119" s="81"/>
      <c r="X119" s="182" t="str" cm="1">
        <f t="array" ref="X119">X3</f>
        <v>Fecha</v>
      </c>
      <c r="Y119" s="182" t="str" cm="1">
        <f t="array" ref="Y119">Y3</f>
        <v>Hora</v>
      </c>
      <c r="Z119" s="223"/>
      <c r="AA119" s="224" t="str" cm="1">
        <f t="array" ref="AA119">AA3</f>
        <v>Casa</v>
      </c>
      <c r="AB119" s="232" t="s">
        <v>228</v>
      </c>
      <c r="AC119" s="182" t="str" cm="1">
        <f t="array" ref="AC119">AC3</f>
        <v>Gol</v>
      </c>
      <c r="AD119" s="182" t="str" cm="1">
        <f t="array" ref="AD119">AD3</f>
        <v>Gol</v>
      </c>
      <c r="AE119" s="232" t="s">
        <v>228</v>
      </c>
      <c r="AF119" s="225" t="str" cm="1">
        <f t="array" ref="AF119">AF3</f>
        <v>Fuera</v>
      </c>
      <c r="AG119" s="228"/>
      <c r="AH119" s="172"/>
      <c r="AI119" s="134"/>
      <c r="AJ119" s="76"/>
      <c r="AK119" s="76"/>
      <c r="AL119" s="76"/>
      <c r="AM119" s="8"/>
      <c r="AN119" s="8"/>
      <c r="AO119" s="8"/>
      <c r="AP119" s="8"/>
      <c r="AQ119" s="8"/>
      <c r="AR119" s="8"/>
      <c r="AS119" s="8"/>
      <c r="AT119" s="8"/>
      <c r="AU119" s="8"/>
      <c r="AV119" s="281"/>
      <c r="AW119" s="8"/>
      <c r="AX119" s="8"/>
      <c r="AY119" s="190"/>
      <c r="AZ119" s="191"/>
      <c r="BA119" s="8"/>
      <c r="BB119" s="77"/>
      <c r="BC119" s="77"/>
      <c r="BD119" s="77"/>
      <c r="BE119" s="77"/>
      <c r="BF119" s="261" t="s">
        <v>141</v>
      </c>
      <c r="BG119" s="77"/>
      <c r="BH119" s="77"/>
      <c r="BI119" s="77"/>
      <c r="BJ119" s="77"/>
      <c r="BK119" s="77"/>
      <c r="BL119" s="77"/>
      <c r="BM119" s="77"/>
      <c r="BN119" s="77"/>
      <c r="BO119" s="77"/>
      <c r="BP119" s="77"/>
      <c r="BQ119" s="77"/>
      <c r="BR119" s="77"/>
      <c r="BS119" s="77"/>
      <c r="BT119" s="77"/>
      <c r="BU119" s="77"/>
      <c r="BV119" s="77"/>
      <c r="BW119" s="77"/>
      <c r="BX119" s="77"/>
      <c r="BY119" s="77"/>
      <c r="BZ119" s="77"/>
      <c r="CA119" s="77"/>
      <c r="CB119" s="77"/>
      <c r="CC119" s="77"/>
      <c r="CD119" s="77"/>
      <c r="CE119" s="77"/>
      <c r="CF119" s="77"/>
      <c r="CG119" s="77"/>
      <c r="CH119" s="77"/>
      <c r="CI119" s="77"/>
      <c r="CJ119" s="77"/>
      <c r="CK119" s="77"/>
      <c r="CL119" s="77"/>
      <c r="CM119" s="77"/>
      <c r="CN119" s="77"/>
      <c r="CO119" s="77"/>
      <c r="CP119" s="77"/>
      <c r="CQ119" s="77"/>
      <c r="CR119" s="77"/>
      <c r="CS119" s="77"/>
      <c r="CT119" s="77"/>
      <c r="CU119" s="77"/>
      <c r="CV119" s="77"/>
      <c r="CW119" s="77"/>
      <c r="CX119" s="77"/>
      <c r="CY119" s="77"/>
      <c r="CZ119" s="77"/>
      <c r="DA119" s="77"/>
      <c r="DB119" s="77"/>
      <c r="DC119" s="77"/>
      <c r="DD119" s="77"/>
      <c r="DE119" s="77"/>
      <c r="DF119" s="77"/>
      <c r="DG119" s="77"/>
      <c r="DH119" s="77"/>
      <c r="DI119" s="77"/>
      <c r="DJ119" s="77"/>
      <c r="DK119" s="77"/>
      <c r="DL119" s="77"/>
      <c r="DM119" s="77"/>
      <c r="DN119" s="77"/>
      <c r="DO119" s="77"/>
      <c r="DP119" s="77"/>
      <c r="DQ119" s="77"/>
      <c r="DR119" s="77"/>
      <c r="DS119" s="77"/>
      <c r="DT119" s="78"/>
      <c r="DU119" s="12"/>
    </row>
    <row r="120" spans="1:125" ht="16" customHeight="1" x14ac:dyDescent="0.2">
      <c r="A120" s="79" t="s">
        <v>241</v>
      </c>
      <c r="B120" s="79" t="s">
        <v>248</v>
      </c>
      <c r="C120" s="68"/>
      <c r="D120" s="68" t="str" cm="1">
        <f t="array" ref="D120">IF(AND(OR(AC120="",AD120="")),"W"&amp;AH120,IF(AC120&gt;AD120,AA120,IF(AC120&lt;AD120,AF120,IF(AND(AC120=AD120,AB120=AE120),"W"&amp;AH120,IF(AND(AC120=AD120,OR(AB120="",AE120="")),"W"&amp;AH120,IF(AND(AC120=AD120,AB120&gt;AE120),AA120,AF120))))))</f>
        <v>W90</v>
      </c>
      <c r="E120" s="95">
        <v>74</v>
      </c>
      <c r="F120" s="95">
        <v>77</v>
      </c>
      <c r="G120" s="68"/>
      <c r="H120" s="68"/>
      <c r="I120" s="68"/>
      <c r="J120" s="95">
        <v>89</v>
      </c>
      <c r="K120" s="95">
        <v>46207.75</v>
      </c>
      <c r="L120" s="79" t="s">
        <v>279</v>
      </c>
      <c r="M120" s="68" t="str" cm="1">
        <f t="array" ref="M120">INDEX($D$101:$D$147,MATCH(E120,$AH$101:$AH$147,0))</f>
        <v>W74</v>
      </c>
      <c r="N120" s="68" t="str" cm="1">
        <f t="array" ref="N120">INDEX($D$101:$D$147,MATCH(F120,$AH$101:$AH$147,0))</f>
        <v>W77</v>
      </c>
      <c r="O120" s="68"/>
      <c r="P120" s="68"/>
      <c r="Q120" s="68"/>
      <c r="R120" s="68"/>
      <c r="S120" s="68"/>
      <c r="T120" s="68"/>
      <c r="U120" s="68"/>
      <c r="V120" s="80"/>
      <c r="W120" s="797" t="s">
        <v>280</v>
      </c>
      <c r="X120" s="283">
        <v>46207.541666666657</v>
      </c>
      <c r="Y120" s="97">
        <v>46207.541666666657</v>
      </c>
      <c r="Z120" s="237" cm="1">
        <f t="array" ref="Z120">AH120</f>
        <v>90</v>
      </c>
      <c r="AA120" s="238" t="str" cm="1">
        <f t="array" ref="AA120">INDEX($M$101:$M$147,MATCH(AH120,$J$101:$J$147,0))</f>
        <v>W73</v>
      </c>
      <c r="AB120" s="284"/>
      <c r="AC120" s="285"/>
      <c r="AD120" s="285"/>
      <c r="AE120" s="242"/>
      <c r="AF120" s="243" t="str" cm="1">
        <f t="array" ref="AF120">INDEX($N$101:$N$147,MATCH(AH120,$J$101:$J$147,0))</f>
        <v>W75</v>
      </c>
      <c r="AG120" s="104" cm="1">
        <f t="array" ref="AG120">IF(D120="W"&amp;AH120,0,1)</f>
        <v>0</v>
      </c>
      <c r="AH120" s="105">
        <v>90</v>
      </c>
      <c r="AI120" s="134"/>
      <c r="AJ120" s="76"/>
      <c r="AK120" s="76"/>
      <c r="AL120" s="286"/>
      <c r="AM120" s="8"/>
      <c r="AN120" s="8"/>
      <c r="AO120" s="8"/>
      <c r="AP120" s="8"/>
      <c r="AQ120" s="8"/>
      <c r="AR120" s="8"/>
      <c r="AS120" s="8"/>
      <c r="AT120" s="8"/>
      <c r="AU120" s="8"/>
      <c r="AV120" s="281"/>
      <c r="AW120" s="8"/>
      <c r="AX120" s="8"/>
      <c r="AY120" s="190"/>
      <c r="AZ120" s="191"/>
      <c r="BA120" s="8"/>
      <c r="BB120" s="77"/>
      <c r="BC120" s="77"/>
      <c r="BD120" s="77"/>
      <c r="BE120" s="77"/>
      <c r="BF120" s="261" t="s">
        <v>149</v>
      </c>
      <c r="BG120" s="77"/>
      <c r="BH120" s="77"/>
      <c r="BI120" s="77"/>
      <c r="BJ120" s="77"/>
      <c r="BK120" s="77"/>
      <c r="BL120" s="77"/>
      <c r="BM120" s="77"/>
      <c r="BN120" s="77"/>
      <c r="BO120" s="77"/>
      <c r="BP120" s="77"/>
      <c r="BQ120" s="77"/>
      <c r="BR120" s="77"/>
      <c r="BS120" s="77"/>
      <c r="BT120" s="77"/>
      <c r="BU120" s="77"/>
      <c r="BV120" s="77"/>
      <c r="BW120" s="77"/>
      <c r="BX120" s="77"/>
      <c r="BY120" s="77"/>
      <c r="BZ120" s="77"/>
      <c r="CA120" s="77"/>
      <c r="CB120" s="77"/>
      <c r="CC120" s="77"/>
      <c r="CD120" s="77"/>
      <c r="CE120" s="77"/>
      <c r="CF120" s="77"/>
      <c r="CG120" s="77"/>
      <c r="CH120" s="77"/>
      <c r="CI120" s="77"/>
      <c r="CJ120" s="77"/>
      <c r="CK120" s="77"/>
      <c r="CL120" s="77"/>
      <c r="CM120" s="77"/>
      <c r="CN120" s="77"/>
      <c r="CO120" s="77"/>
      <c r="CP120" s="77"/>
      <c r="CQ120" s="77"/>
      <c r="CR120" s="77"/>
      <c r="CS120" s="77"/>
      <c r="CT120" s="77"/>
      <c r="CU120" s="77"/>
      <c r="CV120" s="77"/>
      <c r="CW120" s="77"/>
      <c r="CX120" s="77"/>
      <c r="CY120" s="77"/>
      <c r="CZ120" s="77"/>
      <c r="DA120" s="77"/>
      <c r="DB120" s="77"/>
      <c r="DC120" s="77"/>
      <c r="DD120" s="77"/>
      <c r="DE120" s="77"/>
      <c r="DF120" s="77"/>
      <c r="DG120" s="77"/>
      <c r="DH120" s="77"/>
      <c r="DI120" s="77"/>
      <c r="DJ120" s="77"/>
      <c r="DK120" s="77"/>
      <c r="DL120" s="77"/>
      <c r="DM120" s="77"/>
      <c r="DN120" s="77"/>
      <c r="DO120" s="77"/>
      <c r="DP120" s="77"/>
      <c r="DQ120" s="77"/>
      <c r="DR120" s="77"/>
      <c r="DS120" s="77"/>
      <c r="DT120" s="78"/>
      <c r="DU120" s="12"/>
    </row>
    <row r="121" spans="1:125" ht="16" customHeight="1" x14ac:dyDescent="0.2">
      <c r="A121" s="79" t="s">
        <v>230</v>
      </c>
      <c r="B121" s="79" t="s">
        <v>243</v>
      </c>
      <c r="C121" s="68"/>
      <c r="D121" s="68" t="str" cm="1">
        <f t="array" ref="D121">IF(AND(OR(AC121="",AD121="")),"W"&amp;AH121,IF(AC121&gt;AD121,AA121,IF(AC121&lt;AD121,AF121,IF(AND(AC121=AD121,AB121=AE121),"W"&amp;AH121,IF(AND(AC121=AD121,OR(AB121="",AE121="")),"W"&amp;AH121,IF(AND(AC121=AD121,AB121&gt;AE121),AA121,AF121))))))</f>
        <v>W89</v>
      </c>
      <c r="E121" s="95">
        <v>73</v>
      </c>
      <c r="F121" s="95">
        <v>75</v>
      </c>
      <c r="G121" s="68"/>
      <c r="H121" s="68"/>
      <c r="I121" s="68"/>
      <c r="J121" s="95">
        <v>90</v>
      </c>
      <c r="K121" s="95">
        <v>46207.875</v>
      </c>
      <c r="L121" s="79" t="s">
        <v>282</v>
      </c>
      <c r="M121" s="68" t="str" cm="1">
        <f t="array" ref="M121">INDEX($D$101:$D$147,MATCH(E121,$AH$101:$AH$147,0))</f>
        <v>W73</v>
      </c>
      <c r="N121" s="68" t="str" cm="1">
        <f t="array" ref="N121">INDEX($D$101:$D$147,MATCH(F121,$AH$101:$AH$147,0))</f>
        <v>W75</v>
      </c>
      <c r="O121" s="68"/>
      <c r="P121" s="68"/>
      <c r="Q121" s="68"/>
      <c r="R121" s="68"/>
      <c r="S121" s="68"/>
      <c r="T121" s="68"/>
      <c r="U121" s="68"/>
      <c r="V121" s="80"/>
      <c r="W121" s="769"/>
      <c r="X121" s="283">
        <v>46207.708333333343</v>
      </c>
      <c r="Y121" s="97">
        <v>46207.708333333343</v>
      </c>
      <c r="Z121" s="237" cm="1">
        <f t="array" ref="Z121">AH121</f>
        <v>89</v>
      </c>
      <c r="AA121" s="238" t="str" cm="1">
        <f t="array" ref="AA121">INDEX($M$101:$M$147,MATCH(AH121,$J$101:$J$147,0))</f>
        <v>W74</v>
      </c>
      <c r="AB121" s="284"/>
      <c r="AC121" s="287"/>
      <c r="AD121" s="287"/>
      <c r="AE121" s="242"/>
      <c r="AF121" s="243" t="str" cm="1">
        <f t="array" ref="AF121">INDEX($N$101:$N$147,MATCH(AH121,$J$101:$J$147,0))</f>
        <v>W77</v>
      </c>
      <c r="AG121" s="104" cm="1">
        <f t="array" ref="AG121">IF(D121="W"&amp;AH121,0,1)</f>
        <v>0</v>
      </c>
      <c r="AH121" s="105">
        <v>89</v>
      </c>
      <c r="AI121" s="134"/>
      <c r="AJ121" s="76"/>
      <c r="AK121" s="76"/>
      <c r="AL121" s="76"/>
      <c r="AM121" s="8"/>
      <c r="AN121" s="8"/>
      <c r="AO121" s="8"/>
      <c r="AP121" s="8"/>
      <c r="AQ121" s="8"/>
      <c r="AR121" s="8"/>
      <c r="AS121" s="8"/>
      <c r="AT121" s="8"/>
      <c r="AU121" s="8"/>
      <c r="AV121" s="281"/>
      <c r="AW121" s="8"/>
      <c r="AX121" s="8"/>
      <c r="AY121" s="190"/>
      <c r="AZ121" s="191"/>
      <c r="BA121" s="8"/>
      <c r="BB121" s="77"/>
      <c r="BC121" s="77"/>
      <c r="BD121" s="77"/>
      <c r="BE121" s="77"/>
      <c r="BF121" s="261" t="s">
        <v>166</v>
      </c>
      <c r="BG121" s="77"/>
      <c r="BH121" s="77"/>
      <c r="BI121" s="77"/>
      <c r="BJ121" s="77"/>
      <c r="BK121" s="77"/>
      <c r="BL121" s="77"/>
      <c r="BM121" s="77"/>
      <c r="BN121" s="77"/>
      <c r="BO121" s="77"/>
      <c r="BP121" s="77"/>
      <c r="BQ121" s="77"/>
      <c r="BR121" s="77"/>
      <c r="BS121" s="77"/>
      <c r="BT121" s="77"/>
      <c r="BU121" s="77"/>
      <c r="BV121" s="77"/>
      <c r="BW121" s="77"/>
      <c r="BX121" s="77"/>
      <c r="BY121" s="77"/>
      <c r="BZ121" s="77"/>
      <c r="CA121" s="77"/>
      <c r="CB121" s="77"/>
      <c r="CC121" s="77"/>
      <c r="CD121" s="77"/>
      <c r="CE121" s="77"/>
      <c r="CF121" s="77"/>
      <c r="CG121" s="77"/>
      <c r="CH121" s="77"/>
      <c r="CI121" s="77"/>
      <c r="CJ121" s="77"/>
      <c r="CK121" s="77"/>
      <c r="CL121" s="77"/>
      <c r="CM121" s="77"/>
      <c r="CN121" s="77"/>
      <c r="CO121" s="77"/>
      <c r="CP121" s="77"/>
      <c r="CQ121" s="77"/>
      <c r="CR121" s="77"/>
      <c r="CS121" s="77"/>
      <c r="CT121" s="77"/>
      <c r="CU121" s="77"/>
      <c r="CV121" s="77"/>
      <c r="CW121" s="77"/>
      <c r="CX121" s="77"/>
      <c r="CY121" s="77"/>
      <c r="CZ121" s="77"/>
      <c r="DA121" s="77"/>
      <c r="DB121" s="77"/>
      <c r="DC121" s="77"/>
      <c r="DD121" s="77"/>
      <c r="DE121" s="77"/>
      <c r="DF121" s="77"/>
      <c r="DG121" s="77"/>
      <c r="DH121" s="77"/>
      <c r="DI121" s="77"/>
      <c r="DJ121" s="77"/>
      <c r="DK121" s="77"/>
      <c r="DL121" s="77"/>
      <c r="DM121" s="77"/>
      <c r="DN121" s="77"/>
      <c r="DO121" s="77"/>
      <c r="DP121" s="77"/>
      <c r="DQ121" s="77"/>
      <c r="DR121" s="77"/>
      <c r="DS121" s="77"/>
      <c r="DT121" s="78"/>
      <c r="DU121" s="12"/>
    </row>
    <row r="122" spans="1:125" ht="16" customHeight="1" x14ac:dyDescent="0.2">
      <c r="A122" s="79" t="s">
        <v>234</v>
      </c>
      <c r="B122" s="79" t="s">
        <v>246</v>
      </c>
      <c r="C122" s="68"/>
      <c r="D122" s="68" t="str" cm="1">
        <f t="array" ref="D122">IF(AND(OR(AC122="",AD122="")),"W"&amp;AH122,IF(AC122&gt;AD122,AA122,IF(AC122&lt;AD122,AF122,IF(AND(AC122=AD122,AB122=AE122),"W"&amp;AH122,IF(AND(AC122=AD122,OR(AB122="",AE122="")),"W"&amp;AH122,IF(AND(AC122=AD122,AB122&gt;AE122),AA122,AF122))))))</f>
        <v>W91</v>
      </c>
      <c r="E122" s="95">
        <v>76</v>
      </c>
      <c r="F122" s="95">
        <v>78</v>
      </c>
      <c r="G122" s="68"/>
      <c r="H122" s="68"/>
      <c r="I122" s="68"/>
      <c r="J122" s="95">
        <v>91</v>
      </c>
      <c r="K122" s="95">
        <v>46208.75</v>
      </c>
      <c r="L122" s="79" t="s">
        <v>284</v>
      </c>
      <c r="M122" s="68" t="str" cm="1">
        <f t="array" ref="M122">INDEX($D$101:$D$147,MATCH(E122,$AH$101:$AH$147,0))</f>
        <v>W76</v>
      </c>
      <c r="N122" s="68" t="str" cm="1">
        <f t="array" ref="N122">INDEX($D$101:$D$147,MATCH(F122,$AH$101:$AH$147,0))</f>
        <v>W78</v>
      </c>
      <c r="O122" s="68"/>
      <c r="P122" s="68"/>
      <c r="Q122" s="68"/>
      <c r="R122" s="68"/>
      <c r="S122" s="68"/>
      <c r="T122" s="68"/>
      <c r="U122" s="68"/>
      <c r="V122" s="80"/>
      <c r="W122" s="770"/>
      <c r="X122" s="283">
        <v>46208.666666666657</v>
      </c>
      <c r="Y122" s="97">
        <v>46208.666666666657</v>
      </c>
      <c r="Z122" s="237" cm="1">
        <f t="array" ref="Z122">AH122</f>
        <v>91</v>
      </c>
      <c r="AA122" s="238" t="str" cm="1">
        <f t="array" ref="AA122">INDEX($M$101:$M$147,MATCH(AH122,$J$101:$J$147,0))</f>
        <v>W76</v>
      </c>
      <c r="AB122" s="284"/>
      <c r="AC122" s="287"/>
      <c r="AD122" s="287"/>
      <c r="AE122" s="242"/>
      <c r="AF122" s="243" t="str" cm="1">
        <f t="array" ref="AF122">INDEX($N$101:$N$147,MATCH(AH122,$J$101:$J$147,0))</f>
        <v>W78</v>
      </c>
      <c r="AG122" s="104" cm="1">
        <f t="array" ref="AG122">IF(D122="W"&amp;AH122,0,1)</f>
        <v>0</v>
      </c>
      <c r="AH122" s="105">
        <v>91</v>
      </c>
      <c r="AI122" s="134"/>
      <c r="AJ122" s="76"/>
      <c r="AK122" s="76"/>
      <c r="AL122" s="76"/>
      <c r="AM122" s="8"/>
      <c r="AN122" s="8"/>
      <c r="AO122" s="8"/>
      <c r="AP122" s="8"/>
      <c r="AQ122" s="8"/>
      <c r="AR122" s="8"/>
      <c r="AS122" s="8"/>
      <c r="AT122" s="8"/>
      <c r="AU122" s="8"/>
      <c r="AV122" s="281"/>
      <c r="AW122" s="8"/>
      <c r="AX122" s="8"/>
      <c r="AY122" s="190"/>
      <c r="AZ122" s="191"/>
      <c r="BA122" s="8"/>
      <c r="BB122" s="77"/>
      <c r="BC122" s="77"/>
      <c r="BD122" s="77"/>
      <c r="BE122" s="77"/>
      <c r="BF122" s="261" t="s">
        <v>184</v>
      </c>
      <c r="BG122" s="77"/>
      <c r="BH122" s="77"/>
      <c r="BI122" s="77"/>
      <c r="BJ122" s="77"/>
      <c r="BK122" s="77"/>
      <c r="BL122" s="77"/>
      <c r="BM122" s="77"/>
      <c r="BN122" s="77"/>
      <c r="BO122" s="77"/>
      <c r="BP122" s="77"/>
      <c r="BQ122" s="77"/>
      <c r="BR122" s="77"/>
      <c r="BS122" s="77"/>
      <c r="BT122" s="77"/>
      <c r="BU122" s="77"/>
      <c r="BV122" s="77"/>
      <c r="BW122" s="77"/>
      <c r="BX122" s="77"/>
      <c r="BY122" s="77"/>
      <c r="BZ122" s="77"/>
      <c r="CA122" s="77"/>
      <c r="CB122" s="77"/>
      <c r="CC122" s="77"/>
      <c r="CD122" s="77"/>
      <c r="CE122" s="77"/>
      <c r="CF122" s="77"/>
      <c r="CG122" s="77"/>
      <c r="CH122" s="77"/>
      <c r="CI122" s="77"/>
      <c r="CJ122" s="77"/>
      <c r="CK122" s="77"/>
      <c r="CL122" s="77"/>
      <c r="CM122" s="77"/>
      <c r="CN122" s="77"/>
      <c r="CO122" s="77"/>
      <c r="CP122" s="77"/>
      <c r="CQ122" s="77"/>
      <c r="CR122" s="77"/>
      <c r="CS122" s="77"/>
      <c r="CT122" s="77"/>
      <c r="CU122" s="77"/>
      <c r="CV122" s="77"/>
      <c r="CW122" s="77"/>
      <c r="CX122" s="77"/>
      <c r="CY122" s="77"/>
      <c r="CZ122" s="77"/>
      <c r="DA122" s="77"/>
      <c r="DB122" s="77"/>
      <c r="DC122" s="77"/>
      <c r="DD122" s="77"/>
      <c r="DE122" s="77"/>
      <c r="DF122" s="77"/>
      <c r="DG122" s="77"/>
      <c r="DH122" s="77"/>
      <c r="DI122" s="77"/>
      <c r="DJ122" s="77"/>
      <c r="DK122" s="77"/>
      <c r="DL122" s="77"/>
      <c r="DM122" s="77"/>
      <c r="DN122" s="77"/>
      <c r="DO122" s="77"/>
      <c r="DP122" s="77"/>
      <c r="DQ122" s="77"/>
      <c r="DR122" s="77"/>
      <c r="DS122" s="77"/>
      <c r="DT122" s="78"/>
      <c r="DU122" s="12"/>
    </row>
    <row r="123" spans="1:125" ht="16" customHeight="1" x14ac:dyDescent="0.2">
      <c r="A123" s="79" t="s">
        <v>251</v>
      </c>
      <c r="B123" s="79" t="s">
        <v>254</v>
      </c>
      <c r="C123" s="68"/>
      <c r="D123" s="68" t="str" cm="1">
        <f t="array" ref="D123">IF(AND(OR(AC123="",AD123="")),"W"&amp;AH123,IF(AC123&gt;AD123,AA123,IF(AC123&lt;AD123,AF123,IF(AND(AC123=AD123,AB123=AE123),"W"&amp;AH123,IF(AND(AC123=AD123,OR(AB123="",AE123="")),"W"&amp;AH123,IF(AND(AC123=AD123,AB123&gt;AE123),AA123,AF123))))))</f>
        <v>W92</v>
      </c>
      <c r="E123" s="95">
        <v>79</v>
      </c>
      <c r="F123" s="95">
        <v>80</v>
      </c>
      <c r="G123" s="68"/>
      <c r="H123" s="68"/>
      <c r="I123" s="68"/>
      <c r="J123" s="95">
        <v>92</v>
      </c>
      <c r="K123" s="95">
        <v>46208.875</v>
      </c>
      <c r="L123" s="79" t="s">
        <v>286</v>
      </c>
      <c r="M123" s="68" t="str" cm="1">
        <f t="array" ref="M123">INDEX($D$101:$D$147,MATCH(E123,$AH$101:$AH$147,0))</f>
        <v>W79</v>
      </c>
      <c r="N123" s="68" t="str" cm="1">
        <f t="array" ref="N123">INDEX($D$101:$D$147,MATCH(F123,$AH$101:$AH$147,0))</f>
        <v>W80</v>
      </c>
      <c r="O123" s="68"/>
      <c r="P123" s="68"/>
      <c r="Q123" s="68"/>
      <c r="R123" s="68"/>
      <c r="S123" s="68"/>
      <c r="T123" s="68"/>
      <c r="U123" s="68"/>
      <c r="V123" s="80"/>
      <c r="W123" s="770"/>
      <c r="X123" s="283">
        <v>46208.833333333343</v>
      </c>
      <c r="Y123" s="97">
        <v>46208.833333333343</v>
      </c>
      <c r="Z123" s="237" cm="1">
        <f t="array" ref="Z123">AH123</f>
        <v>92</v>
      </c>
      <c r="AA123" s="238" t="str" cm="1">
        <f t="array" ref="AA123">INDEX($M$101:$M$147,MATCH(AH123,$J$101:$J$147,0))</f>
        <v>W79</v>
      </c>
      <c r="AB123" s="284"/>
      <c r="AC123" s="287"/>
      <c r="AD123" s="287"/>
      <c r="AE123" s="242"/>
      <c r="AF123" s="243" t="str" cm="1">
        <f t="array" ref="AF123">INDEX($N$101:$N$147,MATCH(AH123,$J$101:$J$147,0))</f>
        <v>W80</v>
      </c>
      <c r="AG123" s="104" cm="1">
        <f t="array" ref="AG123">IF(D123="W"&amp;AH123,0,1)</f>
        <v>0</v>
      </c>
      <c r="AH123" s="105">
        <v>92</v>
      </c>
      <c r="AI123" s="134"/>
      <c r="AJ123" s="76"/>
      <c r="AK123" s="76"/>
      <c r="AL123" s="76"/>
      <c r="AM123" s="8"/>
      <c r="AN123" s="8"/>
      <c r="AO123" s="8"/>
      <c r="AP123" s="8"/>
      <c r="AQ123" s="8"/>
      <c r="AR123" s="8"/>
      <c r="AS123" s="8"/>
      <c r="AT123" s="8"/>
      <c r="AU123" s="8"/>
      <c r="AV123" s="281"/>
      <c r="AW123" s="8"/>
      <c r="AX123" s="8"/>
      <c r="AY123" s="190"/>
      <c r="AZ123" s="191"/>
      <c r="BA123" s="8"/>
      <c r="BB123" s="77"/>
      <c r="BC123" s="77"/>
      <c r="BD123" s="77"/>
      <c r="BE123" s="77"/>
      <c r="BF123" s="261" t="s">
        <v>201</v>
      </c>
      <c r="BG123" s="77"/>
      <c r="BH123" s="77"/>
      <c r="BI123" s="77"/>
      <c r="BJ123" s="77"/>
      <c r="BK123" s="77"/>
      <c r="BL123" s="77"/>
      <c r="BM123" s="77"/>
      <c r="BN123" s="77"/>
      <c r="BO123" s="77"/>
      <c r="BP123" s="77"/>
      <c r="BQ123" s="77"/>
      <c r="BR123" s="77"/>
      <c r="BS123" s="77"/>
      <c r="BT123" s="77"/>
      <c r="BU123" s="77"/>
      <c r="BV123" s="77"/>
      <c r="BW123" s="77"/>
      <c r="BX123" s="77"/>
      <c r="BY123" s="77"/>
      <c r="BZ123" s="77"/>
      <c r="CA123" s="77"/>
      <c r="CB123" s="77"/>
      <c r="CC123" s="77"/>
      <c r="CD123" s="77"/>
      <c r="CE123" s="77"/>
      <c r="CF123" s="77"/>
      <c r="CG123" s="77"/>
      <c r="CH123" s="77"/>
      <c r="CI123" s="77"/>
      <c r="CJ123" s="77"/>
      <c r="CK123" s="77"/>
      <c r="CL123" s="77"/>
      <c r="CM123" s="77"/>
      <c r="CN123" s="77"/>
      <c r="CO123" s="77"/>
      <c r="CP123" s="77"/>
      <c r="CQ123" s="77"/>
      <c r="CR123" s="77"/>
      <c r="CS123" s="77"/>
      <c r="CT123" s="77"/>
      <c r="CU123" s="77"/>
      <c r="CV123" s="77"/>
      <c r="CW123" s="77"/>
      <c r="CX123" s="77"/>
      <c r="CY123" s="77"/>
      <c r="CZ123" s="77"/>
      <c r="DA123" s="77"/>
      <c r="DB123" s="77"/>
      <c r="DC123" s="77"/>
      <c r="DD123" s="77"/>
      <c r="DE123" s="77"/>
      <c r="DF123" s="77"/>
      <c r="DG123" s="77"/>
      <c r="DH123" s="77"/>
      <c r="DI123" s="77"/>
      <c r="DJ123" s="77"/>
      <c r="DK123" s="77"/>
      <c r="DL123" s="77"/>
      <c r="DM123" s="77"/>
      <c r="DN123" s="77"/>
      <c r="DO123" s="77"/>
      <c r="DP123" s="77"/>
      <c r="DQ123" s="77"/>
      <c r="DR123" s="77"/>
      <c r="DS123" s="77"/>
      <c r="DT123" s="78"/>
      <c r="DU123" s="12"/>
    </row>
    <row r="124" spans="1:125" ht="16" customHeight="1" x14ac:dyDescent="0.2">
      <c r="A124" s="79" t="s">
        <v>265</v>
      </c>
      <c r="B124" s="79" t="s">
        <v>262</v>
      </c>
      <c r="C124" s="68"/>
      <c r="D124" s="68" t="str" cm="1">
        <f t="array" ref="D124">IF(AND(OR(AC124="",AD124="")),"W"&amp;AH124,IF(AC124&gt;AD124,AA124,IF(AC124&lt;AD124,AF124,IF(AND(AC124=AD124,AB124=AE124),"W"&amp;AH124,IF(AND(AC124=AD124,OR(AB124="",AE124="")),"W"&amp;AH124,IF(AND(AC124=AD124,AB124&gt;AE124),AA124,AF124))))))</f>
        <v>W93</v>
      </c>
      <c r="E124" s="95">
        <v>83</v>
      </c>
      <c r="F124" s="95">
        <v>84</v>
      </c>
      <c r="G124" s="68"/>
      <c r="H124" s="68"/>
      <c r="I124" s="68"/>
      <c r="J124" s="95">
        <v>93</v>
      </c>
      <c r="K124" s="95">
        <v>46209.75</v>
      </c>
      <c r="L124" s="79" t="s">
        <v>288</v>
      </c>
      <c r="M124" s="68" t="str" cm="1">
        <f t="array" ref="M124">INDEX($D$101:$D$147,MATCH(E124,$AH$101:$AH$147,0))</f>
        <v>W83</v>
      </c>
      <c r="N124" s="68" t="str" cm="1">
        <f t="array" ref="N124">INDEX($D$101:$D$147,MATCH(F124,$AH$101:$AH$147,0))</f>
        <v>W84</v>
      </c>
      <c r="O124" s="68"/>
      <c r="P124" s="68"/>
      <c r="Q124" s="68"/>
      <c r="R124" s="68"/>
      <c r="S124" s="68"/>
      <c r="T124" s="68"/>
      <c r="U124" s="68"/>
      <c r="V124" s="80"/>
      <c r="W124" s="770"/>
      <c r="X124" s="283">
        <v>46209.625</v>
      </c>
      <c r="Y124" s="97">
        <v>46209.625</v>
      </c>
      <c r="Z124" s="237" cm="1">
        <f t="array" ref="Z124">AH124</f>
        <v>93</v>
      </c>
      <c r="AA124" s="238" t="str" cm="1">
        <f t="array" ref="AA124">INDEX($M$101:$M$147,MATCH(AH124,$J$101:$J$147,0))</f>
        <v>W83</v>
      </c>
      <c r="AB124" s="284"/>
      <c r="AC124" s="287"/>
      <c r="AD124" s="287"/>
      <c r="AE124" s="242"/>
      <c r="AF124" s="243" t="str" cm="1">
        <f t="array" ref="AF124">INDEX($N$101:$N$147,MATCH(AH124,$J$101:$J$147,0))</f>
        <v>W84</v>
      </c>
      <c r="AG124" s="104" cm="1">
        <f t="array" ref="AG124">IF(D124="W"&amp;AH124,0,1)</f>
        <v>0</v>
      </c>
      <c r="AH124" s="105">
        <v>93</v>
      </c>
      <c r="AI124" s="134"/>
      <c r="AJ124" s="76"/>
      <c r="AK124" s="76"/>
      <c r="AL124" s="76"/>
      <c r="AM124" s="8"/>
      <c r="AN124" s="8"/>
      <c r="AO124" s="8"/>
      <c r="AP124" s="8"/>
      <c r="AQ124" s="8"/>
      <c r="AR124" s="8"/>
      <c r="AS124" s="8"/>
      <c r="AT124" s="8"/>
      <c r="AU124" s="8"/>
      <c r="AV124" s="281"/>
      <c r="AW124" s="8"/>
      <c r="AX124" s="8"/>
      <c r="AY124" s="190"/>
      <c r="AZ124" s="191"/>
      <c r="BA124" s="8"/>
      <c r="BB124" s="77"/>
      <c r="BC124" s="77"/>
      <c r="BD124" s="77"/>
      <c r="BE124" s="77"/>
      <c r="BF124" s="261" t="s">
        <v>210</v>
      </c>
      <c r="BG124" s="77"/>
      <c r="BH124" s="77"/>
      <c r="BI124" s="77"/>
      <c r="BJ124" s="77"/>
      <c r="BK124" s="77"/>
      <c r="BL124" s="77"/>
      <c r="BM124" s="77"/>
      <c r="BN124" s="77"/>
      <c r="BO124" s="77"/>
      <c r="BP124" s="77"/>
      <c r="BQ124" s="77"/>
      <c r="BR124" s="77"/>
      <c r="BS124" s="77"/>
      <c r="BT124" s="77"/>
      <c r="BU124" s="77"/>
      <c r="BV124" s="77"/>
      <c r="BW124" s="77"/>
      <c r="BX124" s="77"/>
      <c r="BY124" s="77"/>
      <c r="BZ124" s="77"/>
      <c r="CA124" s="77"/>
      <c r="CB124" s="77"/>
      <c r="CC124" s="77"/>
      <c r="CD124" s="77"/>
      <c r="CE124" s="77"/>
      <c r="CF124" s="77"/>
      <c r="CG124" s="77"/>
      <c r="CH124" s="77"/>
      <c r="CI124" s="77"/>
      <c r="CJ124" s="77"/>
      <c r="CK124" s="77"/>
      <c r="CL124" s="77"/>
      <c r="CM124" s="77"/>
      <c r="CN124" s="77"/>
      <c r="CO124" s="77"/>
      <c r="CP124" s="77"/>
      <c r="CQ124" s="77"/>
      <c r="CR124" s="77"/>
      <c r="CS124" s="77"/>
      <c r="CT124" s="77"/>
      <c r="CU124" s="77"/>
      <c r="CV124" s="77"/>
      <c r="CW124" s="77"/>
      <c r="CX124" s="77"/>
      <c r="CY124" s="77"/>
      <c r="CZ124" s="77"/>
      <c r="DA124" s="77"/>
      <c r="DB124" s="77"/>
      <c r="DC124" s="77"/>
      <c r="DD124" s="77"/>
      <c r="DE124" s="77"/>
      <c r="DF124" s="77"/>
      <c r="DG124" s="77"/>
      <c r="DH124" s="77"/>
      <c r="DI124" s="77"/>
      <c r="DJ124" s="77"/>
      <c r="DK124" s="77"/>
      <c r="DL124" s="77"/>
      <c r="DM124" s="77"/>
      <c r="DN124" s="77"/>
      <c r="DO124" s="77"/>
      <c r="DP124" s="77"/>
      <c r="DQ124" s="77"/>
      <c r="DR124" s="77"/>
      <c r="DS124" s="77"/>
      <c r="DT124" s="78"/>
      <c r="DU124" s="12"/>
    </row>
    <row r="125" spans="1:125" ht="16" customHeight="1" x14ac:dyDescent="0.2">
      <c r="A125" s="79" t="s">
        <v>260</v>
      </c>
      <c r="B125" s="79" t="s">
        <v>257</v>
      </c>
      <c r="C125" s="68"/>
      <c r="D125" s="68" t="str" cm="1">
        <f t="array" ref="D125">IF(AND(OR(AC125="",AD125="")),"W"&amp;AH125,IF(AC125&gt;AD125,AA125,IF(AC125&lt;AD125,AF125,IF(AND(AC125=AD125,AB125=AE125),"W"&amp;AH125,IF(AND(AC125=AD125,OR(AB125="",AE125="")),"W"&amp;AH125,IF(AND(AC125=AD125,AB125&gt;AE125),AA125,AF125))))))</f>
        <v>W94</v>
      </c>
      <c r="E125" s="95">
        <v>81</v>
      </c>
      <c r="F125" s="95">
        <v>82</v>
      </c>
      <c r="G125" s="68"/>
      <c r="H125" s="68"/>
      <c r="I125" s="68"/>
      <c r="J125" s="95">
        <v>94</v>
      </c>
      <c r="K125" s="95">
        <v>46209.875</v>
      </c>
      <c r="L125" s="79" t="s">
        <v>290</v>
      </c>
      <c r="M125" s="68" t="str" cm="1">
        <f t="array" ref="M125">INDEX($D$101:$D$147,MATCH(E125,$AH$101:$AH$147,0))</f>
        <v>W81</v>
      </c>
      <c r="N125" s="68" t="str" cm="1">
        <f t="array" ref="N125">INDEX($D$101:$D$147,MATCH(F125,$AH$101:$AH$147,0))</f>
        <v>W82</v>
      </c>
      <c r="O125" s="68"/>
      <c r="P125" s="68"/>
      <c r="Q125" s="68"/>
      <c r="R125" s="68"/>
      <c r="S125" s="68"/>
      <c r="T125" s="68"/>
      <c r="U125" s="68"/>
      <c r="V125" s="80"/>
      <c r="W125" s="770"/>
      <c r="X125" s="283">
        <v>46209.833333333343</v>
      </c>
      <c r="Y125" s="97">
        <v>46209.833333333343</v>
      </c>
      <c r="Z125" s="237" cm="1">
        <f t="array" ref="Z125">AH125</f>
        <v>94</v>
      </c>
      <c r="AA125" s="238" t="str" cm="1">
        <f t="array" ref="AA125">INDEX($M$101:$M$147,MATCH(AH125,$J$101:$J$147,0))</f>
        <v>W81</v>
      </c>
      <c r="AB125" s="284"/>
      <c r="AC125" s="287"/>
      <c r="AD125" s="287"/>
      <c r="AE125" s="242"/>
      <c r="AF125" s="243" t="str" cm="1">
        <f t="array" ref="AF125">INDEX($N$101:$N$147,MATCH(AH125,$J$101:$J$147,0))</f>
        <v>W82</v>
      </c>
      <c r="AG125" s="104" cm="1">
        <f t="array" ref="AG125">IF(D125="W"&amp;AH125,0,1)</f>
        <v>0</v>
      </c>
      <c r="AH125" s="105">
        <v>94</v>
      </c>
      <c r="AI125" s="134"/>
      <c r="AJ125" s="76"/>
      <c r="AK125" s="76"/>
      <c r="AL125" s="76"/>
      <c r="AM125" s="8"/>
      <c r="AN125" s="8"/>
      <c r="AO125" s="8"/>
      <c r="AP125" s="8"/>
      <c r="AQ125" s="8"/>
      <c r="AR125" s="8"/>
      <c r="AS125" s="8"/>
      <c r="AT125" s="8"/>
      <c r="AU125" s="8"/>
      <c r="AV125" s="281"/>
      <c r="AW125" s="8"/>
      <c r="AX125" s="8"/>
      <c r="AY125" s="190"/>
      <c r="AZ125" s="191"/>
      <c r="BA125" s="8"/>
      <c r="BB125" s="77"/>
      <c r="BC125" s="77"/>
      <c r="BD125" s="77"/>
      <c r="BE125" s="77"/>
      <c r="BF125" s="77"/>
      <c r="BG125" s="77"/>
      <c r="BH125" s="77"/>
      <c r="BI125" s="77"/>
      <c r="BJ125" s="77"/>
      <c r="BK125" s="77"/>
      <c r="BL125" s="77"/>
      <c r="BM125" s="77"/>
      <c r="BN125" s="77"/>
      <c r="BO125" s="77"/>
      <c r="BP125" s="77"/>
      <c r="BQ125" s="77"/>
      <c r="BR125" s="77"/>
      <c r="BS125" s="77"/>
      <c r="BT125" s="77"/>
      <c r="BU125" s="77"/>
      <c r="BV125" s="77"/>
      <c r="BW125" s="77"/>
      <c r="BX125" s="77"/>
      <c r="BY125" s="77"/>
      <c r="BZ125" s="77"/>
      <c r="CA125" s="77"/>
      <c r="CB125" s="77"/>
      <c r="CC125" s="77"/>
      <c r="CD125" s="77"/>
      <c r="CE125" s="77"/>
      <c r="CF125" s="77"/>
      <c r="CG125" s="77"/>
      <c r="CH125" s="77"/>
      <c r="CI125" s="77"/>
      <c r="CJ125" s="77"/>
      <c r="CK125" s="77"/>
      <c r="CL125" s="77"/>
      <c r="CM125" s="77"/>
      <c r="CN125" s="77"/>
      <c r="CO125" s="77"/>
      <c r="CP125" s="77"/>
      <c r="CQ125" s="77"/>
      <c r="CR125" s="77"/>
      <c r="CS125" s="77"/>
      <c r="CT125" s="77"/>
      <c r="CU125" s="77"/>
      <c r="CV125" s="77"/>
      <c r="CW125" s="77"/>
      <c r="CX125" s="77"/>
      <c r="CY125" s="77"/>
      <c r="CZ125" s="77"/>
      <c r="DA125" s="77"/>
      <c r="DB125" s="77"/>
      <c r="DC125" s="77"/>
      <c r="DD125" s="77"/>
      <c r="DE125" s="77"/>
      <c r="DF125" s="77"/>
      <c r="DG125" s="77"/>
      <c r="DH125" s="77"/>
      <c r="DI125" s="77"/>
      <c r="DJ125" s="77"/>
      <c r="DK125" s="77"/>
      <c r="DL125" s="77"/>
      <c r="DM125" s="77"/>
      <c r="DN125" s="77"/>
      <c r="DO125" s="77"/>
      <c r="DP125" s="77"/>
      <c r="DQ125" s="77"/>
      <c r="DR125" s="77"/>
      <c r="DS125" s="77"/>
      <c r="DT125" s="78"/>
      <c r="DU125" s="12"/>
    </row>
    <row r="126" spans="1:125" ht="16" customHeight="1" x14ac:dyDescent="0.2">
      <c r="A126" s="79" t="s">
        <v>273</v>
      </c>
      <c r="B126" s="79" t="s">
        <v>270</v>
      </c>
      <c r="C126" s="68"/>
      <c r="D126" s="68" t="str" cm="1">
        <f t="array" ref="D126">IF(AND(OR(AC126="",AD126="")),"W"&amp;AH126,IF(AC126&gt;AD126,AA126,IF(AC126&lt;AD126,AF126,IF(AND(AC126=AD126,AB126=AE126),"W"&amp;AH126,IF(AND(AC126=AD126,OR(AB126="",AE126="")),"W"&amp;AH126,IF(AND(AC126=AD126,AB126&gt;AE126),AA126,AF126))))))</f>
        <v>W95</v>
      </c>
      <c r="E126" s="95">
        <v>86</v>
      </c>
      <c r="F126" s="95">
        <v>88</v>
      </c>
      <c r="G126" s="68"/>
      <c r="H126" s="68"/>
      <c r="I126" s="68"/>
      <c r="J126" s="95">
        <v>95</v>
      </c>
      <c r="K126" s="95">
        <v>46210.75</v>
      </c>
      <c r="L126" s="79" t="s">
        <v>292</v>
      </c>
      <c r="M126" s="68" t="str" cm="1">
        <f t="array" ref="M126">INDEX($D$101:$D$147,MATCH(E126,$AH$101:$AH$147,0))</f>
        <v>W86</v>
      </c>
      <c r="N126" s="68" t="str" cm="1">
        <f t="array" ref="N126">INDEX($D$101:$D$147,MATCH(F126,$AH$101:$AH$147,0))</f>
        <v>W88</v>
      </c>
      <c r="O126" s="68"/>
      <c r="P126" s="68"/>
      <c r="Q126" s="68"/>
      <c r="R126" s="68"/>
      <c r="S126" s="68"/>
      <c r="T126" s="68"/>
      <c r="U126" s="68"/>
      <c r="V126" s="80"/>
      <c r="W126" s="770"/>
      <c r="X126" s="283">
        <v>46210.5</v>
      </c>
      <c r="Y126" s="97">
        <v>46210.5</v>
      </c>
      <c r="Z126" s="237" cm="1">
        <f t="array" ref="Z126">AH126</f>
        <v>95</v>
      </c>
      <c r="AA126" s="238" t="str" cm="1">
        <f t="array" ref="AA126">INDEX($M$101:$M$147,MATCH(AH126,$J$101:$J$147,0))</f>
        <v>W86</v>
      </c>
      <c r="AB126" s="284"/>
      <c r="AC126" s="287"/>
      <c r="AD126" s="287"/>
      <c r="AE126" s="242"/>
      <c r="AF126" s="243" t="str" cm="1">
        <f t="array" ref="AF126">INDEX($N$101:$N$147,MATCH(AH126,$J$101:$J$147,0))</f>
        <v>W88</v>
      </c>
      <c r="AG126" s="104" cm="1">
        <f t="array" ref="AG126">IF(D126="W"&amp;AH126,0,1)</f>
        <v>0</v>
      </c>
      <c r="AH126" s="105">
        <v>95</v>
      </c>
      <c r="AI126" s="134"/>
      <c r="AJ126" s="76"/>
      <c r="AK126" s="76"/>
      <c r="AL126" s="76"/>
      <c r="AM126" s="8"/>
      <c r="AN126" s="8"/>
      <c r="AO126" s="8"/>
      <c r="AP126" s="8"/>
      <c r="AQ126" s="8"/>
      <c r="AR126" s="8"/>
      <c r="AS126" s="8"/>
      <c r="AT126" s="8"/>
      <c r="AU126" s="8"/>
      <c r="AV126" s="281"/>
      <c r="AW126" s="8"/>
      <c r="AX126" s="8"/>
      <c r="AY126" s="190"/>
      <c r="AZ126" s="191"/>
      <c r="BA126" s="8"/>
      <c r="BB126" s="77"/>
      <c r="BC126" s="77"/>
      <c r="BD126" s="77"/>
      <c r="BE126" s="77"/>
      <c r="BF126" s="77"/>
      <c r="BG126" s="77"/>
      <c r="BH126" s="77"/>
      <c r="BI126" s="77"/>
      <c r="BJ126" s="77"/>
      <c r="BK126" s="77"/>
      <c r="BL126" s="77"/>
      <c r="BM126" s="77"/>
      <c r="BN126" s="77"/>
      <c r="BO126" s="77"/>
      <c r="BP126" s="77"/>
      <c r="BQ126" s="77"/>
      <c r="BR126" s="77"/>
      <c r="BS126" s="77"/>
      <c r="BT126" s="77"/>
      <c r="BU126" s="77"/>
      <c r="BV126" s="77"/>
      <c r="BW126" s="77"/>
      <c r="BX126" s="77"/>
      <c r="BY126" s="77"/>
      <c r="BZ126" s="77"/>
      <c r="CA126" s="77"/>
      <c r="CB126" s="77"/>
      <c r="CC126" s="77"/>
      <c r="CD126" s="77"/>
      <c r="CE126" s="77"/>
      <c r="CF126" s="77"/>
      <c r="CG126" s="77"/>
      <c r="CH126" s="77"/>
      <c r="CI126" s="77"/>
      <c r="CJ126" s="77"/>
      <c r="CK126" s="77"/>
      <c r="CL126" s="77"/>
      <c r="CM126" s="77"/>
      <c r="CN126" s="77"/>
      <c r="CO126" s="77"/>
      <c r="CP126" s="77"/>
      <c r="CQ126" s="77"/>
      <c r="CR126" s="77"/>
      <c r="CS126" s="77"/>
      <c r="CT126" s="77"/>
      <c r="CU126" s="77"/>
      <c r="CV126" s="77"/>
      <c r="CW126" s="77"/>
      <c r="CX126" s="77"/>
      <c r="CY126" s="77"/>
      <c r="CZ126" s="77"/>
      <c r="DA126" s="77"/>
      <c r="DB126" s="77"/>
      <c r="DC126" s="77"/>
      <c r="DD126" s="77"/>
      <c r="DE126" s="77"/>
      <c r="DF126" s="77"/>
      <c r="DG126" s="77"/>
      <c r="DH126" s="77"/>
      <c r="DI126" s="77"/>
      <c r="DJ126" s="77"/>
      <c r="DK126" s="77"/>
      <c r="DL126" s="77"/>
      <c r="DM126" s="77"/>
      <c r="DN126" s="77"/>
      <c r="DO126" s="77"/>
      <c r="DP126" s="77"/>
      <c r="DQ126" s="77"/>
      <c r="DR126" s="77"/>
      <c r="DS126" s="77"/>
      <c r="DT126" s="78"/>
      <c r="DU126" s="12"/>
    </row>
    <row r="127" spans="1:125" ht="16" customHeight="1" x14ac:dyDescent="0.2">
      <c r="A127" s="79" t="s">
        <v>268</v>
      </c>
      <c r="B127" s="79" t="s">
        <v>275</v>
      </c>
      <c r="C127" s="68"/>
      <c r="D127" s="68" t="str" cm="1">
        <f t="array" ref="D127">IF(AND(OR(AC127="",AD127="")),"W"&amp;AH127,IF(AC127&gt;AD127,AA127,IF(AC127&lt;AD127,AF127,IF(AND(AC127=AD127,AB127=AE127),"W"&amp;AH127,IF(AND(AC127=AD127,OR(AB127="",AE127="")),"W"&amp;AH127,IF(AND(AC127=AD127,AB127&gt;AE127),AA127,AF127))))))</f>
        <v>W96</v>
      </c>
      <c r="E127" s="95">
        <v>85</v>
      </c>
      <c r="F127" s="95">
        <v>87</v>
      </c>
      <c r="G127" s="68"/>
      <c r="H127" s="68"/>
      <c r="I127" s="68"/>
      <c r="J127" s="95">
        <v>96</v>
      </c>
      <c r="K127" s="95">
        <v>46210.875</v>
      </c>
      <c r="L127" s="79" t="s">
        <v>294</v>
      </c>
      <c r="M127" s="68" t="str" cm="1">
        <f t="array" ref="M127">INDEX($D$101:$D$147,MATCH(E127,$AH$101:$AH$147,0))</f>
        <v>W85</v>
      </c>
      <c r="N127" s="68" t="str" cm="1">
        <f t="array" ref="N127">INDEX($D$101:$D$147,MATCH(F127,$AH$101:$AH$147,0))</f>
        <v>W87</v>
      </c>
      <c r="O127" s="68"/>
      <c r="P127" s="68"/>
      <c r="Q127" s="68"/>
      <c r="R127" s="68"/>
      <c r="S127" s="68"/>
      <c r="T127" s="68"/>
      <c r="U127" s="68"/>
      <c r="V127" s="80"/>
      <c r="W127" s="771"/>
      <c r="X127" s="288">
        <v>46210.666666666657</v>
      </c>
      <c r="Y127" s="149">
        <v>46210.666666666657</v>
      </c>
      <c r="Z127" s="274" cm="1">
        <f t="array" ref="Z127">AH127</f>
        <v>96</v>
      </c>
      <c r="AA127" s="275" t="str" cm="1">
        <f t="array" ref="AA127">INDEX($M$101:$M$147,MATCH(AH127,$J$101:$J$147,0))</f>
        <v>W85</v>
      </c>
      <c r="AB127" s="289"/>
      <c r="AC127" s="290"/>
      <c r="AD127" s="290"/>
      <c r="AE127" s="291"/>
      <c r="AF127" s="279" t="str" cm="1">
        <f t="array" ref="AF127">INDEX($N$101:$N$147,MATCH(AH127,$J$101:$J$147,0))</f>
        <v>W87</v>
      </c>
      <c r="AG127" s="104" cm="1">
        <f t="array" ref="AG127">IF(D127="W"&amp;AH127,0,1)</f>
        <v>0</v>
      </c>
      <c r="AH127" s="105">
        <v>96</v>
      </c>
      <c r="AI127" s="134"/>
      <c r="AJ127" s="76"/>
      <c r="AK127" s="76"/>
      <c r="AL127" s="76"/>
      <c r="AM127" s="8"/>
      <c r="AN127" s="8"/>
      <c r="AO127" s="8"/>
      <c r="AP127" s="8"/>
      <c r="AQ127" s="8"/>
      <c r="AR127" s="8"/>
      <c r="AS127" s="8"/>
      <c r="AT127" s="8"/>
      <c r="AU127" s="8"/>
      <c r="AV127" s="281"/>
      <c r="AW127" s="8"/>
      <c r="AX127" s="8"/>
      <c r="AY127" s="190"/>
      <c r="AZ127" s="191"/>
      <c r="BA127" s="8"/>
      <c r="BB127" s="77"/>
      <c r="BC127" s="77"/>
      <c r="BD127" s="77"/>
      <c r="BE127" s="77"/>
      <c r="BF127" s="77"/>
      <c r="BG127" s="77"/>
      <c r="BH127" s="77"/>
      <c r="BI127" s="77"/>
      <c r="BJ127" s="77"/>
      <c r="BK127" s="77"/>
      <c r="BL127" s="77"/>
      <c r="BM127" s="77"/>
      <c r="BN127" s="77"/>
      <c r="BO127" s="77"/>
      <c r="BP127" s="77"/>
      <c r="BQ127" s="77"/>
      <c r="BR127" s="77"/>
      <c r="BS127" s="77"/>
      <c r="BT127" s="77"/>
      <c r="BU127" s="77"/>
      <c r="BV127" s="77"/>
      <c r="BW127" s="77"/>
      <c r="BX127" s="77"/>
      <c r="BY127" s="77"/>
      <c r="BZ127" s="77"/>
      <c r="CA127" s="77"/>
      <c r="CB127" s="77"/>
      <c r="CC127" s="77"/>
      <c r="CD127" s="77"/>
      <c r="CE127" s="77"/>
      <c r="CF127" s="77"/>
      <c r="CG127" s="77"/>
      <c r="CH127" s="77"/>
      <c r="CI127" s="77"/>
      <c r="CJ127" s="77"/>
      <c r="CK127" s="77"/>
      <c r="CL127" s="77"/>
      <c r="CM127" s="77"/>
      <c r="CN127" s="77"/>
      <c r="CO127" s="77"/>
      <c r="CP127" s="77"/>
      <c r="CQ127" s="77"/>
      <c r="CR127" s="77"/>
      <c r="CS127" s="77"/>
      <c r="CT127" s="77"/>
      <c r="CU127" s="77"/>
      <c r="CV127" s="77"/>
      <c r="CW127" s="77"/>
      <c r="CX127" s="77"/>
      <c r="CY127" s="77"/>
      <c r="CZ127" s="77"/>
      <c r="DA127" s="77"/>
      <c r="DB127" s="77"/>
      <c r="DC127" s="77"/>
      <c r="DD127" s="77"/>
      <c r="DE127" s="77"/>
      <c r="DF127" s="77"/>
      <c r="DG127" s="77"/>
      <c r="DH127" s="77"/>
      <c r="DI127" s="77"/>
      <c r="DJ127" s="77"/>
      <c r="DK127" s="77"/>
      <c r="DL127" s="77"/>
      <c r="DM127" s="77"/>
      <c r="DN127" s="77"/>
      <c r="DO127" s="77"/>
      <c r="DP127" s="77"/>
      <c r="DQ127" s="77"/>
      <c r="DR127" s="77"/>
      <c r="DS127" s="77"/>
      <c r="DT127" s="78"/>
      <c r="DU127" s="12"/>
    </row>
    <row r="128" spans="1:125" ht="16" customHeight="1" x14ac:dyDescent="0.2">
      <c r="A128" s="68"/>
      <c r="B128" s="68"/>
      <c r="C128" s="68"/>
      <c r="D128" s="68"/>
      <c r="E128" s="68"/>
      <c r="F128" s="68"/>
      <c r="G128" s="68"/>
      <c r="H128" s="68"/>
      <c r="I128" s="68"/>
      <c r="J128" s="68"/>
      <c r="K128" s="68"/>
      <c r="L128" s="68"/>
      <c r="M128" s="68"/>
      <c r="N128" s="68"/>
      <c r="O128" s="68"/>
      <c r="P128" s="68"/>
      <c r="Q128" s="68"/>
      <c r="R128" s="68"/>
      <c r="S128" s="68"/>
      <c r="T128" s="68"/>
      <c r="U128" s="68"/>
      <c r="V128" s="69"/>
      <c r="W128" s="164"/>
      <c r="X128" s="165"/>
      <c r="Y128" s="164"/>
      <c r="Z128" s="166"/>
      <c r="AA128" s="167"/>
      <c r="AB128" s="168"/>
      <c r="AC128" s="169"/>
      <c r="AD128" s="169"/>
      <c r="AE128" s="168"/>
      <c r="AF128" s="170"/>
      <c r="AG128" s="282"/>
      <c r="AH128" s="172"/>
      <c r="AI128" s="134"/>
      <c r="AJ128" s="76"/>
      <c r="AK128" s="76"/>
      <c r="AL128" s="76"/>
      <c r="AM128" s="8"/>
      <c r="AN128" s="8"/>
      <c r="AO128" s="8"/>
      <c r="AP128" s="8"/>
      <c r="AQ128" s="8"/>
      <c r="AR128" s="8"/>
      <c r="AS128" s="8"/>
      <c r="AT128" s="8"/>
      <c r="AU128" s="8"/>
      <c r="AV128" s="281"/>
      <c r="AW128" s="8"/>
      <c r="AX128" s="8"/>
      <c r="AY128" s="190"/>
      <c r="AZ128" s="191"/>
      <c r="BA128" s="8"/>
      <c r="BB128" s="77"/>
      <c r="BC128" s="77"/>
      <c r="BD128" s="77"/>
      <c r="BE128" s="77"/>
      <c r="BF128" s="77"/>
      <c r="BG128" s="77"/>
      <c r="BH128" s="77"/>
      <c r="BI128" s="77"/>
      <c r="BJ128" s="77"/>
      <c r="BK128" s="77"/>
      <c r="BL128" s="77"/>
      <c r="BM128" s="77"/>
      <c r="BN128" s="77"/>
      <c r="BO128" s="77"/>
      <c r="BP128" s="77"/>
      <c r="BQ128" s="77"/>
      <c r="BR128" s="77"/>
      <c r="BS128" s="77"/>
      <c r="BT128" s="77"/>
      <c r="BU128" s="77"/>
      <c r="BV128" s="77"/>
      <c r="BW128" s="77"/>
      <c r="BX128" s="77"/>
      <c r="BY128" s="77"/>
      <c r="BZ128" s="77"/>
      <c r="CA128" s="77"/>
      <c r="CB128" s="77"/>
      <c r="CC128" s="77"/>
      <c r="CD128" s="77"/>
      <c r="CE128" s="77"/>
      <c r="CF128" s="77"/>
      <c r="CG128" s="77"/>
      <c r="CH128" s="77"/>
      <c r="CI128" s="77"/>
      <c r="CJ128" s="77"/>
      <c r="CK128" s="77"/>
      <c r="CL128" s="77"/>
      <c r="CM128" s="77"/>
      <c r="CN128" s="77"/>
      <c r="CO128" s="77"/>
      <c r="CP128" s="77"/>
      <c r="CQ128" s="77"/>
      <c r="CR128" s="77"/>
      <c r="CS128" s="77"/>
      <c r="CT128" s="77"/>
      <c r="CU128" s="77"/>
      <c r="CV128" s="77"/>
      <c r="CW128" s="77"/>
      <c r="CX128" s="77"/>
      <c r="CY128" s="77"/>
      <c r="CZ128" s="77"/>
      <c r="DA128" s="77"/>
      <c r="DB128" s="77"/>
      <c r="DC128" s="77"/>
      <c r="DD128" s="77"/>
      <c r="DE128" s="77"/>
      <c r="DF128" s="77"/>
      <c r="DG128" s="77"/>
      <c r="DH128" s="77"/>
      <c r="DI128" s="77"/>
      <c r="DJ128" s="77"/>
      <c r="DK128" s="77"/>
      <c r="DL128" s="77"/>
      <c r="DM128" s="77"/>
      <c r="DN128" s="77"/>
      <c r="DO128" s="77"/>
      <c r="DP128" s="77"/>
      <c r="DQ128" s="77"/>
      <c r="DR128" s="77"/>
      <c r="DS128" s="77"/>
      <c r="DT128" s="78"/>
      <c r="DU128" s="12"/>
    </row>
    <row r="129" spans="1:125" ht="16" customHeight="1" x14ac:dyDescent="0.2">
      <c r="A129" s="68"/>
      <c r="B129" s="68"/>
      <c r="C129" s="68"/>
      <c r="D129" s="68"/>
      <c r="E129" s="68"/>
      <c r="F129" s="68"/>
      <c r="G129" s="68"/>
      <c r="H129" s="68"/>
      <c r="I129" s="68"/>
      <c r="J129" s="68"/>
      <c r="K129" s="68"/>
      <c r="L129" s="68"/>
      <c r="M129" s="68"/>
      <c r="N129" s="68"/>
      <c r="O129" s="68"/>
      <c r="P129" s="68"/>
      <c r="Q129" s="68"/>
      <c r="R129" s="68"/>
      <c r="S129" s="68"/>
      <c r="T129" s="68"/>
      <c r="U129" s="68"/>
      <c r="V129" s="80"/>
      <c r="W129" s="787" t="s">
        <v>295</v>
      </c>
      <c r="X129" s="788"/>
      <c r="Y129" s="789"/>
      <c r="Z129" s="789"/>
      <c r="AA129" s="789"/>
      <c r="AB129" s="789"/>
      <c r="AC129" s="789"/>
      <c r="AD129" s="789"/>
      <c r="AE129" s="789"/>
      <c r="AF129" s="790"/>
      <c r="AG129" s="185"/>
      <c r="AH129" s="8"/>
      <c r="AI129" s="134"/>
      <c r="AJ129" s="76"/>
      <c r="AK129" s="76"/>
      <c r="AL129" s="76"/>
      <c r="AM129" s="8"/>
      <c r="AN129" s="8"/>
      <c r="AO129" s="8"/>
      <c r="AP129" s="8"/>
      <c r="AQ129" s="8"/>
      <c r="AR129" s="8"/>
      <c r="AS129" s="8"/>
      <c r="AT129" s="8"/>
      <c r="AU129" s="8"/>
      <c r="AV129" s="281"/>
      <c r="AW129" s="8"/>
      <c r="AX129" s="8"/>
      <c r="AY129" s="190"/>
      <c r="AZ129" s="191"/>
      <c r="BA129" s="8"/>
      <c r="BB129" s="77"/>
      <c r="BC129" s="77"/>
      <c r="BD129" s="77"/>
      <c r="BE129" s="77"/>
      <c r="BF129" s="77"/>
      <c r="BG129" s="77"/>
      <c r="BH129" s="77"/>
      <c r="BI129" s="77"/>
      <c r="BJ129" s="77"/>
      <c r="BK129" s="77"/>
      <c r="BL129" s="77"/>
      <c r="BM129" s="77"/>
      <c r="BN129" s="77"/>
      <c r="BO129" s="77"/>
      <c r="BP129" s="77"/>
      <c r="BQ129" s="77"/>
      <c r="BR129" s="77"/>
      <c r="BS129" s="77"/>
      <c r="BT129" s="77"/>
      <c r="BU129" s="77"/>
      <c r="BV129" s="77"/>
      <c r="BW129" s="77"/>
      <c r="BX129" s="77"/>
      <c r="BY129" s="77"/>
      <c r="BZ129" s="77"/>
      <c r="CA129" s="77"/>
      <c r="CB129" s="77"/>
      <c r="CC129" s="77"/>
      <c r="CD129" s="77"/>
      <c r="CE129" s="77"/>
      <c r="CF129" s="77"/>
      <c r="CG129" s="77"/>
      <c r="CH129" s="77"/>
      <c r="CI129" s="77"/>
      <c r="CJ129" s="77"/>
      <c r="CK129" s="77"/>
      <c r="CL129" s="77"/>
      <c r="CM129" s="77"/>
      <c r="CN129" s="77"/>
      <c r="CO129" s="77"/>
      <c r="CP129" s="77"/>
      <c r="CQ129" s="77"/>
      <c r="CR129" s="77"/>
      <c r="CS129" s="77"/>
      <c r="CT129" s="77"/>
      <c r="CU129" s="77"/>
      <c r="CV129" s="77"/>
      <c r="CW129" s="77"/>
      <c r="CX129" s="77"/>
      <c r="CY129" s="77"/>
      <c r="CZ129" s="77"/>
      <c r="DA129" s="77"/>
      <c r="DB129" s="77"/>
      <c r="DC129" s="77"/>
      <c r="DD129" s="77"/>
      <c r="DE129" s="77"/>
      <c r="DF129" s="77"/>
      <c r="DG129" s="77"/>
      <c r="DH129" s="77"/>
      <c r="DI129" s="77"/>
      <c r="DJ129" s="77"/>
      <c r="DK129" s="77"/>
      <c r="DL129" s="77"/>
      <c r="DM129" s="77"/>
      <c r="DN129" s="77"/>
      <c r="DO129" s="77"/>
      <c r="DP129" s="77"/>
      <c r="DQ129" s="77"/>
      <c r="DR129" s="77"/>
      <c r="DS129" s="77"/>
      <c r="DT129" s="78"/>
      <c r="DU129" s="12"/>
    </row>
    <row r="130" spans="1:125" ht="16" customHeight="1" x14ac:dyDescent="0.2">
      <c r="A130" s="68"/>
      <c r="B130" s="68"/>
      <c r="C130" s="68"/>
      <c r="D130" s="68"/>
      <c r="E130" s="68"/>
      <c r="F130" s="68"/>
      <c r="G130" s="68"/>
      <c r="H130" s="68"/>
      <c r="I130" s="68"/>
      <c r="J130" s="68"/>
      <c r="K130" s="68"/>
      <c r="L130" s="68"/>
      <c r="M130" s="68"/>
      <c r="N130" s="68"/>
      <c r="O130" s="68"/>
      <c r="P130" s="68"/>
      <c r="Q130" s="68"/>
      <c r="R130" s="68"/>
      <c r="S130" s="68"/>
      <c r="T130" s="68"/>
      <c r="U130" s="68"/>
      <c r="V130" s="80"/>
      <c r="W130" s="81"/>
      <c r="X130" s="182" t="str" cm="1">
        <f t="array" ref="X130">X3</f>
        <v>Fecha</v>
      </c>
      <c r="Y130" s="182" t="str" cm="1">
        <f t="array" ref="Y130">Y3</f>
        <v>Hora</v>
      </c>
      <c r="Z130" s="223"/>
      <c r="AA130" s="224" t="str" cm="1">
        <f t="array" ref="AA130">AA3</f>
        <v>Casa</v>
      </c>
      <c r="AB130" s="232" t="s">
        <v>228</v>
      </c>
      <c r="AC130" s="182" t="str" cm="1">
        <f t="array" ref="AC130">AC3</f>
        <v>Gol</v>
      </c>
      <c r="AD130" s="182" t="str" cm="1">
        <f t="array" ref="AD130">AD3</f>
        <v>Gol</v>
      </c>
      <c r="AE130" s="232" t="s">
        <v>228</v>
      </c>
      <c r="AF130" s="225" t="str" cm="1">
        <f t="array" ref="AF130">AF3</f>
        <v>Fuera</v>
      </c>
      <c r="AG130" s="185"/>
      <c r="AH130" s="8"/>
      <c r="AI130" s="134"/>
      <c r="AJ130" s="76"/>
      <c r="AK130" s="76"/>
      <c r="AL130" s="76"/>
      <c r="AM130" s="8"/>
      <c r="AN130" s="8"/>
      <c r="AO130" s="8"/>
      <c r="AP130" s="8"/>
      <c r="AQ130" s="8"/>
      <c r="AR130" s="8"/>
      <c r="AS130" s="8"/>
      <c r="AT130" s="8"/>
      <c r="AU130" s="8"/>
      <c r="AV130" s="281"/>
      <c r="AW130" s="8"/>
      <c r="AX130" s="8"/>
      <c r="AY130" s="190"/>
      <c r="AZ130" s="191"/>
      <c r="BA130" s="8"/>
      <c r="BB130" s="77"/>
      <c r="BC130" s="77"/>
      <c r="BD130" s="77"/>
      <c r="BE130" s="77"/>
      <c r="BF130" s="77"/>
      <c r="BG130" s="77"/>
      <c r="BH130" s="77"/>
      <c r="BI130" s="77"/>
      <c r="BJ130" s="77"/>
      <c r="BK130" s="77"/>
      <c r="BL130" s="77"/>
      <c r="BM130" s="77"/>
      <c r="BN130" s="77"/>
      <c r="BO130" s="77"/>
      <c r="BP130" s="77"/>
      <c r="BQ130" s="77"/>
      <c r="BR130" s="77"/>
      <c r="BS130" s="77"/>
      <c r="BT130" s="77"/>
      <c r="BU130" s="77"/>
      <c r="BV130" s="77"/>
      <c r="BW130" s="77"/>
      <c r="BX130" s="77"/>
      <c r="BY130" s="77"/>
      <c r="BZ130" s="77"/>
      <c r="CA130" s="77"/>
      <c r="CB130" s="77"/>
      <c r="CC130" s="77"/>
      <c r="CD130" s="77"/>
      <c r="CE130" s="77"/>
      <c r="CF130" s="77"/>
      <c r="CG130" s="77"/>
      <c r="CH130" s="77"/>
      <c r="CI130" s="77"/>
      <c r="CJ130" s="77"/>
      <c r="CK130" s="77"/>
      <c r="CL130" s="77"/>
      <c r="CM130" s="77"/>
      <c r="CN130" s="77"/>
      <c r="CO130" s="77"/>
      <c r="CP130" s="77"/>
      <c r="CQ130" s="77"/>
      <c r="CR130" s="77"/>
      <c r="CS130" s="77"/>
      <c r="CT130" s="77"/>
      <c r="CU130" s="77"/>
      <c r="CV130" s="77"/>
      <c r="CW130" s="77"/>
      <c r="CX130" s="77"/>
      <c r="CY130" s="77"/>
      <c r="CZ130" s="77"/>
      <c r="DA130" s="77"/>
      <c r="DB130" s="77"/>
      <c r="DC130" s="77"/>
      <c r="DD130" s="77"/>
      <c r="DE130" s="77"/>
      <c r="DF130" s="77"/>
      <c r="DG130" s="77"/>
      <c r="DH130" s="77"/>
      <c r="DI130" s="77"/>
      <c r="DJ130" s="77"/>
      <c r="DK130" s="77"/>
      <c r="DL130" s="77"/>
      <c r="DM130" s="77"/>
      <c r="DN130" s="77"/>
      <c r="DO130" s="77"/>
      <c r="DP130" s="77"/>
      <c r="DQ130" s="77"/>
      <c r="DR130" s="77"/>
      <c r="DS130" s="77"/>
      <c r="DT130" s="78"/>
      <c r="DU130" s="12"/>
    </row>
    <row r="131" spans="1:125" ht="16" customHeight="1" x14ac:dyDescent="0.2">
      <c r="A131" s="79" t="s">
        <v>281</v>
      </c>
      <c r="B131" s="79" t="s">
        <v>278</v>
      </c>
      <c r="C131" s="68"/>
      <c r="D131" s="68" t="str" cm="1">
        <f t="array" ref="D131">IF(AND(OR(AC131="",AD131="")),"W"&amp;AH131,IF(AC131&gt;AD131,AA131,IF(AC131&lt;AD131,AF131,IF(AND(AC131=AD131,AB131=AE131),"W"&amp;AH131,IF(AND(AC131=AD131,OR(AB131="",AE131="")),"W"&amp;AH131,IF(AND(AC131=AD131,AB131&gt;AE131),AA131,AF131))))))</f>
        <v>W97</v>
      </c>
      <c r="E131" s="95">
        <v>89</v>
      </c>
      <c r="F131" s="95">
        <v>90</v>
      </c>
      <c r="G131" s="68"/>
      <c r="H131" s="68"/>
      <c r="I131" s="68"/>
      <c r="J131" s="95">
        <v>97</v>
      </c>
      <c r="K131" s="95">
        <v>46212.75</v>
      </c>
      <c r="L131" s="79" t="s">
        <v>297</v>
      </c>
      <c r="M131" s="68" t="str" cm="1">
        <f t="array" ref="M131">INDEX($D$101:$D$147,MATCH(E131,$AH$101:$AH$147,0))</f>
        <v>W89</v>
      </c>
      <c r="N131" s="68" t="str" cm="1">
        <f t="array" ref="N131">INDEX($D$101:$D$147,MATCH(F131,$AH$101:$AH$147,0))</f>
        <v>W90</v>
      </c>
      <c r="O131" s="68"/>
      <c r="P131" s="68"/>
      <c r="Q131" s="68"/>
      <c r="R131" s="68"/>
      <c r="S131" s="68"/>
      <c r="T131" s="68"/>
      <c r="U131" s="68"/>
      <c r="V131" s="80"/>
      <c r="W131" s="768" t="s">
        <v>298</v>
      </c>
      <c r="X131" s="283">
        <v>46212.666666666657</v>
      </c>
      <c r="Y131" s="97">
        <v>46212.666666666657</v>
      </c>
      <c r="Z131" s="292" cm="1">
        <f t="array" ref="Z131">AH131</f>
        <v>97</v>
      </c>
      <c r="AA131" s="293" t="str" cm="1">
        <f t="array" ref="AA131">INDEX($M$101:$M$147,MATCH(AH131,$J$101:$J$147,0))</f>
        <v>W89</v>
      </c>
      <c r="AB131" s="284"/>
      <c r="AC131" s="285"/>
      <c r="AD131" s="285"/>
      <c r="AE131" s="242"/>
      <c r="AF131" s="243" t="str" cm="1">
        <f t="array" ref="AF131">INDEX($N$101:$N$147,MATCH(AH131,$J$101:$J$147,0))</f>
        <v>W90</v>
      </c>
      <c r="AG131" s="104" cm="1">
        <f t="array" ref="AG131">IF(D131="W"&amp;AH131,0,1)</f>
        <v>0</v>
      </c>
      <c r="AH131" s="105">
        <v>97</v>
      </c>
      <c r="AI131" s="134"/>
      <c r="AJ131" s="76"/>
      <c r="AK131" s="76"/>
      <c r="AL131" s="76"/>
      <c r="AM131" s="8"/>
      <c r="AN131" s="8"/>
      <c r="AO131" s="8"/>
      <c r="AP131" s="8"/>
      <c r="AQ131" s="8"/>
      <c r="AR131" s="8"/>
      <c r="AS131" s="8"/>
      <c r="AT131" s="8"/>
      <c r="AU131" s="8"/>
      <c r="AV131" s="281"/>
      <c r="AW131" s="8"/>
      <c r="AX131" s="8"/>
      <c r="AY131" s="190"/>
      <c r="AZ131" s="191"/>
      <c r="BA131" s="8"/>
      <c r="BB131" s="77"/>
      <c r="BC131" s="77"/>
      <c r="BD131" s="77"/>
      <c r="BE131" s="77"/>
      <c r="BF131" s="77"/>
      <c r="BG131" s="77"/>
      <c r="BH131" s="77"/>
      <c r="BI131" s="77"/>
      <c r="BJ131" s="77"/>
      <c r="BK131" s="77"/>
      <c r="BL131" s="77"/>
      <c r="BM131" s="77"/>
      <c r="BN131" s="77"/>
      <c r="BO131" s="77"/>
      <c r="BP131" s="77"/>
      <c r="BQ131" s="77"/>
      <c r="BR131" s="77"/>
      <c r="BS131" s="77"/>
      <c r="BT131" s="77"/>
      <c r="BU131" s="77"/>
      <c r="BV131" s="77"/>
      <c r="BW131" s="77"/>
      <c r="BX131" s="77"/>
      <c r="BY131" s="77"/>
      <c r="BZ131" s="77"/>
      <c r="CA131" s="77"/>
      <c r="CB131" s="77"/>
      <c r="CC131" s="77"/>
      <c r="CD131" s="77"/>
      <c r="CE131" s="77"/>
      <c r="CF131" s="77"/>
      <c r="CG131" s="77"/>
      <c r="CH131" s="77"/>
      <c r="CI131" s="77"/>
      <c r="CJ131" s="77"/>
      <c r="CK131" s="77"/>
      <c r="CL131" s="77"/>
      <c r="CM131" s="77"/>
      <c r="CN131" s="77"/>
      <c r="CO131" s="77"/>
      <c r="CP131" s="77"/>
      <c r="CQ131" s="77"/>
      <c r="CR131" s="77"/>
      <c r="CS131" s="77"/>
      <c r="CT131" s="77"/>
      <c r="CU131" s="77"/>
      <c r="CV131" s="77"/>
      <c r="CW131" s="77"/>
      <c r="CX131" s="77"/>
      <c r="CY131" s="77"/>
      <c r="CZ131" s="77"/>
      <c r="DA131" s="77"/>
      <c r="DB131" s="77"/>
      <c r="DC131" s="77"/>
      <c r="DD131" s="77"/>
      <c r="DE131" s="77"/>
      <c r="DF131" s="77"/>
      <c r="DG131" s="77"/>
      <c r="DH131" s="77"/>
      <c r="DI131" s="77"/>
      <c r="DJ131" s="77"/>
      <c r="DK131" s="77"/>
      <c r="DL131" s="77"/>
      <c r="DM131" s="77"/>
      <c r="DN131" s="77"/>
      <c r="DO131" s="77"/>
      <c r="DP131" s="77"/>
      <c r="DQ131" s="77"/>
      <c r="DR131" s="77"/>
      <c r="DS131" s="77"/>
      <c r="DT131" s="78"/>
      <c r="DU131" s="12"/>
    </row>
    <row r="132" spans="1:125" ht="16" customHeight="1" x14ac:dyDescent="0.2">
      <c r="A132" s="79" t="s">
        <v>287</v>
      </c>
      <c r="B132" s="79" t="s">
        <v>289</v>
      </c>
      <c r="C132" s="68"/>
      <c r="D132" s="68" t="str" cm="1">
        <f t="array" ref="D132">IF(AND(OR(AC132="",AD132="")),"W"&amp;AH132,IF(AC132&gt;AD132,AA132,IF(AC132&lt;AD132,AF132,IF(AND(AC132=AD132,AB132=AE132),"W"&amp;AH132,IF(AND(AC132=AD132,OR(AB132="",AE132="")),"W"&amp;AH132,IF(AND(AC132=AD132,AB132&gt;AE132),AA132,AF132))))))</f>
        <v>W98</v>
      </c>
      <c r="E132" s="95">
        <v>93</v>
      </c>
      <c r="F132" s="95">
        <v>94</v>
      </c>
      <c r="G132" s="68"/>
      <c r="H132" s="68"/>
      <c r="I132" s="68"/>
      <c r="J132" s="95">
        <v>98</v>
      </c>
      <c r="K132" s="95">
        <v>46213.875</v>
      </c>
      <c r="L132" s="79" t="s">
        <v>300</v>
      </c>
      <c r="M132" s="68" t="str" cm="1">
        <f t="array" ref="M132">INDEX($D$101:$D$147,MATCH(E132,$AH$101:$AH$147,0))</f>
        <v>W93</v>
      </c>
      <c r="N132" s="68" t="str" cm="1">
        <f t="array" ref="N132">INDEX($D$101:$D$147,MATCH(F132,$AH$101:$AH$147,0))</f>
        <v>W94</v>
      </c>
      <c r="O132" s="68"/>
      <c r="P132" s="68"/>
      <c r="Q132" s="68"/>
      <c r="R132" s="68"/>
      <c r="S132" s="68"/>
      <c r="T132" s="68"/>
      <c r="U132" s="68"/>
      <c r="V132" s="80"/>
      <c r="W132" s="769"/>
      <c r="X132" s="283">
        <v>46213.625</v>
      </c>
      <c r="Y132" s="97">
        <v>46213.625</v>
      </c>
      <c r="Z132" s="292" cm="1">
        <f t="array" ref="Z132">AH132</f>
        <v>98</v>
      </c>
      <c r="AA132" s="293" t="str" cm="1">
        <f t="array" ref="AA132">INDEX($M$101:$M$147,MATCH(AH132,$J$101:$J$147,0))</f>
        <v>W93</v>
      </c>
      <c r="AB132" s="284"/>
      <c r="AC132" s="287"/>
      <c r="AD132" s="287"/>
      <c r="AE132" s="242"/>
      <c r="AF132" s="243" t="str" cm="1">
        <f t="array" ref="AF132">INDEX($N$101:$N$147,MATCH(AH132,$J$101:$J$147,0))</f>
        <v>W94</v>
      </c>
      <c r="AG132" s="104" cm="1">
        <f t="array" ref="AG132">IF(D132="W"&amp;AH132,0,1)</f>
        <v>0</v>
      </c>
      <c r="AH132" s="105">
        <v>98</v>
      </c>
      <c r="AI132" s="134"/>
      <c r="AJ132" s="76"/>
      <c r="AK132" s="76"/>
      <c r="AL132" s="76"/>
      <c r="AM132" s="8"/>
      <c r="AN132" s="8"/>
      <c r="AO132" s="8"/>
      <c r="AP132" s="8"/>
      <c r="AQ132" s="8"/>
      <c r="AR132" s="8"/>
      <c r="AS132" s="8"/>
      <c r="AT132" s="8"/>
      <c r="AU132" s="8"/>
      <c r="AV132" s="281"/>
      <c r="AW132" s="8"/>
      <c r="AX132" s="8"/>
      <c r="AY132" s="190"/>
      <c r="AZ132" s="191"/>
      <c r="BA132" s="8"/>
      <c r="BB132" s="77"/>
      <c r="BC132" s="77"/>
      <c r="BD132" s="77"/>
      <c r="BE132" s="77"/>
      <c r="BF132" s="77"/>
      <c r="BG132" s="77"/>
      <c r="BH132" s="77"/>
      <c r="BI132" s="77"/>
      <c r="BJ132" s="77"/>
      <c r="BK132" s="77"/>
      <c r="BL132" s="77"/>
      <c r="BM132" s="77"/>
      <c r="BN132" s="77"/>
      <c r="BO132" s="77"/>
      <c r="BP132" s="77"/>
      <c r="BQ132" s="77"/>
      <c r="BR132" s="77"/>
      <c r="BS132" s="77"/>
      <c r="BT132" s="77"/>
      <c r="BU132" s="77"/>
      <c r="BV132" s="77"/>
      <c r="BW132" s="77"/>
      <c r="BX132" s="77"/>
      <c r="BY132" s="77"/>
      <c r="BZ132" s="77"/>
      <c r="CA132" s="77"/>
      <c r="CB132" s="77"/>
      <c r="CC132" s="77"/>
      <c r="CD132" s="77"/>
      <c r="CE132" s="77"/>
      <c r="CF132" s="77"/>
      <c r="CG132" s="77"/>
      <c r="CH132" s="77"/>
      <c r="CI132" s="77"/>
      <c r="CJ132" s="77"/>
      <c r="CK132" s="77"/>
      <c r="CL132" s="77"/>
      <c r="CM132" s="77"/>
      <c r="CN132" s="77"/>
      <c r="CO132" s="77"/>
      <c r="CP132" s="77"/>
      <c r="CQ132" s="77"/>
      <c r="CR132" s="77"/>
      <c r="CS132" s="77"/>
      <c r="CT132" s="77"/>
      <c r="CU132" s="77"/>
      <c r="CV132" s="77"/>
      <c r="CW132" s="77"/>
      <c r="CX132" s="77"/>
      <c r="CY132" s="77"/>
      <c r="CZ132" s="77"/>
      <c r="DA132" s="77"/>
      <c r="DB132" s="77"/>
      <c r="DC132" s="77"/>
      <c r="DD132" s="77"/>
      <c r="DE132" s="77"/>
      <c r="DF132" s="77"/>
      <c r="DG132" s="77"/>
      <c r="DH132" s="77"/>
      <c r="DI132" s="77"/>
      <c r="DJ132" s="77"/>
      <c r="DK132" s="77"/>
      <c r="DL132" s="77"/>
      <c r="DM132" s="77"/>
      <c r="DN132" s="77"/>
      <c r="DO132" s="77"/>
      <c r="DP132" s="77"/>
      <c r="DQ132" s="77"/>
      <c r="DR132" s="77"/>
      <c r="DS132" s="77"/>
      <c r="DT132" s="78"/>
      <c r="DU132" s="12"/>
    </row>
    <row r="133" spans="1:125" ht="16" customHeight="1" x14ac:dyDescent="0.2">
      <c r="A133" s="79" t="s">
        <v>283</v>
      </c>
      <c r="B133" s="79" t="s">
        <v>285</v>
      </c>
      <c r="C133" s="68"/>
      <c r="D133" s="68" t="str" cm="1">
        <f t="array" ref="D133">IF(AND(OR(AC133="",AD133="")),"W"&amp;AH133,IF(AC133&gt;AD133,AA133,IF(AC133&lt;AD133,AF133,IF(AND(AC133=AD133,AB133=AE133),"W"&amp;AH133,IF(AND(AC133=AD133,OR(AB133="",AE133="")),"W"&amp;AH133,IF(AND(AC133=AD133,AB133&gt;AE133),AA133,AF133))))))</f>
        <v>W99</v>
      </c>
      <c r="E133" s="95">
        <v>91</v>
      </c>
      <c r="F133" s="95">
        <v>92</v>
      </c>
      <c r="G133" s="68"/>
      <c r="H133" s="68"/>
      <c r="I133" s="68"/>
      <c r="J133" s="95">
        <v>99</v>
      </c>
      <c r="K133" s="95">
        <v>46214.75</v>
      </c>
      <c r="L133" s="79" t="s">
        <v>302</v>
      </c>
      <c r="M133" s="68" t="str" cm="1">
        <f t="array" ref="M133">INDEX($D$101:$D$147,MATCH(E133,$AH$101:$AH$147,0))</f>
        <v>W91</v>
      </c>
      <c r="N133" s="68" t="str" cm="1">
        <f t="array" ref="N133">INDEX($D$101:$D$147,MATCH(F133,$AH$101:$AH$147,0))</f>
        <v>W92</v>
      </c>
      <c r="O133" s="68"/>
      <c r="P133" s="68"/>
      <c r="Q133" s="68"/>
      <c r="R133" s="68"/>
      <c r="S133" s="68"/>
      <c r="T133" s="68"/>
      <c r="U133" s="68"/>
      <c r="V133" s="80"/>
      <c r="W133" s="770"/>
      <c r="X133" s="283">
        <v>46214.708333333343</v>
      </c>
      <c r="Y133" s="97">
        <v>46214.708333333343</v>
      </c>
      <c r="Z133" s="292" cm="1">
        <f t="array" ref="Z133">AH133</f>
        <v>99</v>
      </c>
      <c r="AA133" s="293" t="str" cm="1">
        <f t="array" ref="AA133">INDEX($M$101:$M$147,MATCH(AH133,$J$101:$J$147,0))</f>
        <v>W91</v>
      </c>
      <c r="AB133" s="284"/>
      <c r="AC133" s="287"/>
      <c r="AD133" s="287"/>
      <c r="AE133" s="242"/>
      <c r="AF133" s="243" t="str" cm="1">
        <f t="array" ref="AF133">INDEX($N$101:$N$147,MATCH(AH133,$J$101:$J$147,0))</f>
        <v>W92</v>
      </c>
      <c r="AG133" s="104" cm="1">
        <f t="array" ref="AG133">IF(D133="W"&amp;AH133,0,1)</f>
        <v>0</v>
      </c>
      <c r="AH133" s="105">
        <v>99</v>
      </c>
      <c r="AI133" s="134"/>
      <c r="AJ133" s="76"/>
      <c r="AK133" s="76"/>
      <c r="AL133" s="76"/>
      <c r="AM133" s="8"/>
      <c r="AN133" s="8"/>
      <c r="AO133" s="8"/>
      <c r="AP133" s="8"/>
      <c r="AQ133" s="8"/>
      <c r="AR133" s="8"/>
      <c r="AS133" s="8"/>
      <c r="AT133" s="8"/>
      <c r="AU133" s="8"/>
      <c r="AV133" s="281"/>
      <c r="AW133" s="8"/>
      <c r="AX133" s="8"/>
      <c r="AY133" s="190"/>
      <c r="AZ133" s="191"/>
      <c r="BA133" s="8"/>
      <c r="BB133" s="77"/>
      <c r="BC133" s="77"/>
      <c r="BD133" s="77"/>
      <c r="BE133" s="77"/>
      <c r="BF133" s="77"/>
      <c r="BG133" s="77"/>
      <c r="BH133" s="77"/>
      <c r="BI133" s="77"/>
      <c r="BJ133" s="77"/>
      <c r="BK133" s="77"/>
      <c r="BL133" s="77"/>
      <c r="BM133" s="77"/>
      <c r="BN133" s="77"/>
      <c r="BO133" s="77"/>
      <c r="BP133" s="77"/>
      <c r="BQ133" s="77"/>
      <c r="BR133" s="77"/>
      <c r="BS133" s="77"/>
      <c r="BT133" s="77"/>
      <c r="BU133" s="77"/>
      <c r="BV133" s="77"/>
      <c r="BW133" s="77"/>
      <c r="BX133" s="77"/>
      <c r="BY133" s="77"/>
      <c r="BZ133" s="77"/>
      <c r="CA133" s="77"/>
      <c r="CB133" s="77"/>
      <c r="CC133" s="77"/>
      <c r="CD133" s="77"/>
      <c r="CE133" s="77"/>
      <c r="CF133" s="77"/>
      <c r="CG133" s="77"/>
      <c r="CH133" s="77"/>
      <c r="CI133" s="77"/>
      <c r="CJ133" s="77"/>
      <c r="CK133" s="77"/>
      <c r="CL133" s="77"/>
      <c r="CM133" s="77"/>
      <c r="CN133" s="77"/>
      <c r="CO133" s="77"/>
      <c r="CP133" s="77"/>
      <c r="CQ133" s="77"/>
      <c r="CR133" s="77"/>
      <c r="CS133" s="77"/>
      <c r="CT133" s="77"/>
      <c r="CU133" s="77"/>
      <c r="CV133" s="77"/>
      <c r="CW133" s="77"/>
      <c r="CX133" s="77"/>
      <c r="CY133" s="77"/>
      <c r="CZ133" s="77"/>
      <c r="DA133" s="77"/>
      <c r="DB133" s="77"/>
      <c r="DC133" s="77"/>
      <c r="DD133" s="77"/>
      <c r="DE133" s="77"/>
      <c r="DF133" s="77"/>
      <c r="DG133" s="77"/>
      <c r="DH133" s="77"/>
      <c r="DI133" s="77"/>
      <c r="DJ133" s="77"/>
      <c r="DK133" s="77"/>
      <c r="DL133" s="77"/>
      <c r="DM133" s="77"/>
      <c r="DN133" s="77"/>
      <c r="DO133" s="77"/>
      <c r="DP133" s="77"/>
      <c r="DQ133" s="77"/>
      <c r="DR133" s="77"/>
      <c r="DS133" s="77"/>
      <c r="DT133" s="78"/>
      <c r="DU133" s="12"/>
    </row>
    <row r="134" spans="1:125" ht="16" customHeight="1" x14ac:dyDescent="0.2">
      <c r="A134" s="79" t="s">
        <v>291</v>
      </c>
      <c r="B134" s="79" t="s">
        <v>293</v>
      </c>
      <c r="C134" s="68"/>
      <c r="D134" s="68" t="str" cm="1">
        <f t="array" ref="D134">IF(AND(OR(AC134="",AD134="")),"W"&amp;AH134,IF(AC134&gt;AD134,AA134,IF(AC134&lt;AD134,AF134,IF(AND(AC134=AD134,AB134=AE134),"W"&amp;AH134,IF(AND(AC134=AD134,OR(AB134="",AE134="")),"W"&amp;AH134,IF(AND(AC134=AD134,AB134&gt;AE134),AA134,AF134))))))</f>
        <v>W100</v>
      </c>
      <c r="E134" s="95">
        <v>95</v>
      </c>
      <c r="F134" s="95">
        <v>96</v>
      </c>
      <c r="G134" s="68"/>
      <c r="H134" s="68"/>
      <c r="I134" s="68"/>
      <c r="J134" s="95">
        <v>100</v>
      </c>
      <c r="K134" s="95">
        <v>46214.875</v>
      </c>
      <c r="L134" s="79" t="s">
        <v>304</v>
      </c>
      <c r="M134" s="68" t="str" cm="1">
        <f t="array" ref="M134">INDEX($D$101:$D$147,MATCH(E134,$AH$101:$AH$147,0))</f>
        <v>W95</v>
      </c>
      <c r="N134" s="68" t="str" cm="1">
        <f t="array" ref="N134">INDEX($D$101:$D$147,MATCH(F134,$AH$101:$AH$147,0))</f>
        <v>W96</v>
      </c>
      <c r="O134" s="68"/>
      <c r="P134" s="68"/>
      <c r="Q134" s="68"/>
      <c r="R134" s="68"/>
      <c r="S134" s="68"/>
      <c r="T134" s="68"/>
      <c r="U134" s="68"/>
      <c r="V134" s="80"/>
      <c r="W134" s="771"/>
      <c r="X134" s="288">
        <v>46214.875</v>
      </c>
      <c r="Y134" s="149">
        <v>46214.875</v>
      </c>
      <c r="Z134" s="294" cm="1">
        <f t="array" ref="Z134">AH134</f>
        <v>100</v>
      </c>
      <c r="AA134" s="295" t="str" cm="1">
        <f t="array" ref="AA134">INDEX($M$101:$M$147,MATCH(AH134,$J$101:$J$147,0))</f>
        <v>W95</v>
      </c>
      <c r="AB134" s="289"/>
      <c r="AC134" s="290"/>
      <c r="AD134" s="290"/>
      <c r="AE134" s="291"/>
      <c r="AF134" s="279" t="str" cm="1">
        <f t="array" ref="AF134">INDEX($N$101:$N$147,MATCH(AH134,$J$101:$J$147,0))</f>
        <v>W96</v>
      </c>
      <c r="AG134" s="104" cm="1">
        <f t="array" ref="AG134">IF(D134="W"&amp;AH134,0,1)</f>
        <v>0</v>
      </c>
      <c r="AH134" s="105">
        <v>100</v>
      </c>
      <c r="AI134" s="134"/>
      <c r="AJ134" s="76"/>
      <c r="AK134" s="76"/>
      <c r="AL134" s="76"/>
      <c r="AM134" s="8"/>
      <c r="AN134" s="8"/>
      <c r="AO134" s="8"/>
      <c r="AP134" s="8"/>
      <c r="AQ134" s="8"/>
      <c r="AR134" s="8"/>
      <c r="AS134" s="8"/>
      <c r="AT134" s="8"/>
      <c r="AU134" s="8"/>
      <c r="AV134" s="281"/>
      <c r="AW134" s="8"/>
      <c r="AX134" s="8"/>
      <c r="AY134" s="190"/>
      <c r="AZ134" s="191"/>
      <c r="BA134" s="8"/>
      <c r="BB134" s="77"/>
      <c r="BC134" s="77"/>
      <c r="BD134" s="77"/>
      <c r="BE134" s="77"/>
      <c r="BF134" s="77"/>
      <c r="BG134" s="77"/>
      <c r="BH134" s="77"/>
      <c r="BI134" s="77"/>
      <c r="BJ134" s="77"/>
      <c r="BK134" s="77"/>
      <c r="BL134" s="77"/>
      <c r="BM134" s="77"/>
      <c r="BN134" s="77"/>
      <c r="BO134" s="77"/>
      <c r="BP134" s="77"/>
      <c r="BQ134" s="77"/>
      <c r="BR134" s="77"/>
      <c r="BS134" s="77"/>
      <c r="BT134" s="77"/>
      <c r="BU134" s="77"/>
      <c r="BV134" s="77"/>
      <c r="BW134" s="77"/>
      <c r="BX134" s="77"/>
      <c r="BY134" s="77"/>
      <c r="BZ134" s="77"/>
      <c r="CA134" s="77"/>
      <c r="CB134" s="77"/>
      <c r="CC134" s="77"/>
      <c r="CD134" s="77"/>
      <c r="CE134" s="77"/>
      <c r="CF134" s="77"/>
      <c r="CG134" s="77"/>
      <c r="CH134" s="77"/>
      <c r="CI134" s="77"/>
      <c r="CJ134" s="77"/>
      <c r="CK134" s="77"/>
      <c r="CL134" s="77"/>
      <c r="CM134" s="77"/>
      <c r="CN134" s="77"/>
      <c r="CO134" s="77"/>
      <c r="CP134" s="77"/>
      <c r="CQ134" s="77"/>
      <c r="CR134" s="77"/>
      <c r="CS134" s="77"/>
      <c r="CT134" s="77"/>
      <c r="CU134" s="77"/>
      <c r="CV134" s="77"/>
      <c r="CW134" s="77"/>
      <c r="CX134" s="77"/>
      <c r="CY134" s="77"/>
      <c r="CZ134" s="77"/>
      <c r="DA134" s="77"/>
      <c r="DB134" s="77"/>
      <c r="DC134" s="77"/>
      <c r="DD134" s="77"/>
      <c r="DE134" s="77"/>
      <c r="DF134" s="77"/>
      <c r="DG134" s="77"/>
      <c r="DH134" s="77"/>
      <c r="DI134" s="77"/>
      <c r="DJ134" s="77"/>
      <c r="DK134" s="77"/>
      <c r="DL134" s="77"/>
      <c r="DM134" s="77"/>
      <c r="DN134" s="77"/>
      <c r="DO134" s="77"/>
      <c r="DP134" s="77"/>
      <c r="DQ134" s="77"/>
      <c r="DR134" s="77"/>
      <c r="DS134" s="77"/>
      <c r="DT134" s="78"/>
      <c r="DU134" s="12"/>
    </row>
    <row r="135" spans="1:125" ht="16" customHeight="1" x14ac:dyDescent="0.2">
      <c r="A135" s="68"/>
      <c r="B135" s="68"/>
      <c r="C135" s="68"/>
      <c r="D135" s="68"/>
      <c r="E135" s="68"/>
      <c r="F135" s="68"/>
      <c r="G135" s="68"/>
      <c r="H135" s="68"/>
      <c r="I135" s="68"/>
      <c r="J135" s="68"/>
      <c r="K135" s="68"/>
      <c r="L135" s="68"/>
      <c r="M135" s="68"/>
      <c r="N135" s="68"/>
      <c r="O135" s="68"/>
      <c r="P135" s="68"/>
      <c r="Q135" s="68"/>
      <c r="R135" s="68"/>
      <c r="S135" s="68"/>
      <c r="T135" s="68"/>
      <c r="U135" s="68"/>
      <c r="V135" s="69"/>
      <c r="W135" s="164"/>
      <c r="X135" s="165"/>
      <c r="Y135" s="164"/>
      <c r="Z135" s="166"/>
      <c r="AA135" s="167"/>
      <c r="AB135" s="168"/>
      <c r="AC135" s="169"/>
      <c r="AD135" s="169"/>
      <c r="AE135" s="168"/>
      <c r="AF135" s="170"/>
      <c r="AG135" s="282"/>
      <c r="AH135" s="296"/>
      <c r="AI135" s="134"/>
      <c r="AJ135" s="76"/>
      <c r="AK135" s="76"/>
      <c r="AL135" s="76"/>
      <c r="AM135" s="8"/>
      <c r="AN135" s="8"/>
      <c r="AO135" s="8"/>
      <c r="AP135" s="8"/>
      <c r="AQ135" s="8"/>
      <c r="AR135" s="8"/>
      <c r="AS135" s="8"/>
      <c r="AT135" s="8"/>
      <c r="AU135" s="8"/>
      <c r="AV135" s="281"/>
      <c r="AW135" s="8"/>
      <c r="AX135" s="8"/>
      <c r="AY135" s="190"/>
      <c r="AZ135" s="191"/>
      <c r="BA135" s="8"/>
      <c r="BB135" s="77"/>
      <c r="BC135" s="77"/>
      <c r="BD135" s="77"/>
      <c r="BE135" s="77"/>
      <c r="BF135" s="77"/>
      <c r="BG135" s="77"/>
      <c r="BH135" s="77"/>
      <c r="BI135" s="77"/>
      <c r="BJ135" s="77"/>
      <c r="BK135" s="77"/>
      <c r="BL135" s="77"/>
      <c r="BM135" s="77"/>
      <c r="BN135" s="77"/>
      <c r="BO135" s="77"/>
      <c r="BP135" s="77"/>
      <c r="BQ135" s="77"/>
      <c r="BR135" s="77"/>
      <c r="BS135" s="77"/>
      <c r="BT135" s="77"/>
      <c r="BU135" s="77"/>
      <c r="BV135" s="77"/>
      <c r="BW135" s="77"/>
      <c r="BX135" s="77"/>
      <c r="BY135" s="77"/>
      <c r="BZ135" s="77"/>
      <c r="CA135" s="77"/>
      <c r="CB135" s="77"/>
      <c r="CC135" s="77"/>
      <c r="CD135" s="77"/>
      <c r="CE135" s="77"/>
      <c r="CF135" s="77"/>
      <c r="CG135" s="77"/>
      <c r="CH135" s="77"/>
      <c r="CI135" s="77"/>
      <c r="CJ135" s="77"/>
      <c r="CK135" s="77"/>
      <c r="CL135" s="77"/>
      <c r="CM135" s="77"/>
      <c r="CN135" s="77"/>
      <c r="CO135" s="77"/>
      <c r="CP135" s="77"/>
      <c r="CQ135" s="77"/>
      <c r="CR135" s="77"/>
      <c r="CS135" s="77"/>
      <c r="CT135" s="77"/>
      <c r="CU135" s="77"/>
      <c r="CV135" s="77"/>
      <c r="CW135" s="77"/>
      <c r="CX135" s="77"/>
      <c r="CY135" s="77"/>
      <c r="CZ135" s="77"/>
      <c r="DA135" s="77"/>
      <c r="DB135" s="77"/>
      <c r="DC135" s="77"/>
      <c r="DD135" s="77"/>
      <c r="DE135" s="77"/>
      <c r="DF135" s="77"/>
      <c r="DG135" s="77"/>
      <c r="DH135" s="77"/>
      <c r="DI135" s="77"/>
      <c r="DJ135" s="77"/>
      <c r="DK135" s="77"/>
      <c r="DL135" s="77"/>
      <c r="DM135" s="77"/>
      <c r="DN135" s="77"/>
      <c r="DO135" s="77"/>
      <c r="DP135" s="77"/>
      <c r="DQ135" s="77"/>
      <c r="DR135" s="77"/>
      <c r="DS135" s="77"/>
      <c r="DT135" s="78"/>
      <c r="DU135" s="12"/>
    </row>
    <row r="136" spans="1:125" ht="16" customHeight="1" x14ac:dyDescent="0.2">
      <c r="A136" s="68"/>
      <c r="B136" s="68"/>
      <c r="C136" s="68"/>
      <c r="D136" s="68"/>
      <c r="E136" s="68"/>
      <c r="F136" s="79" t="s">
        <v>305</v>
      </c>
      <c r="G136" s="68"/>
      <c r="H136" s="68"/>
      <c r="I136" s="68"/>
      <c r="J136" s="68"/>
      <c r="K136" s="68"/>
      <c r="L136" s="68"/>
      <c r="M136" s="68"/>
      <c r="N136" s="68"/>
      <c r="O136" s="68"/>
      <c r="P136" s="68"/>
      <c r="Q136" s="68"/>
      <c r="R136" s="68"/>
      <c r="S136" s="68"/>
      <c r="T136" s="68"/>
      <c r="U136" s="68"/>
      <c r="V136" s="80"/>
      <c r="W136" s="787" t="s">
        <v>306</v>
      </c>
      <c r="X136" s="788"/>
      <c r="Y136" s="789"/>
      <c r="Z136" s="789"/>
      <c r="AA136" s="789"/>
      <c r="AB136" s="789"/>
      <c r="AC136" s="789"/>
      <c r="AD136" s="789"/>
      <c r="AE136" s="789"/>
      <c r="AF136" s="790"/>
      <c r="AG136" s="228"/>
      <c r="AH136" s="296"/>
      <c r="AI136" s="134"/>
      <c r="AJ136" s="76"/>
      <c r="AK136" s="76"/>
      <c r="AL136" s="76"/>
      <c r="AM136" s="8"/>
      <c r="AN136" s="8"/>
      <c r="AO136" s="8"/>
      <c r="AP136" s="8"/>
      <c r="AQ136" s="8"/>
      <c r="AR136" s="8"/>
      <c r="AS136" s="8"/>
      <c r="AT136" s="8"/>
      <c r="AU136" s="8"/>
      <c r="AV136" s="281"/>
      <c r="AW136" s="8"/>
      <c r="AX136" s="8"/>
      <c r="AY136" s="190"/>
      <c r="AZ136" s="191"/>
      <c r="BA136" s="8"/>
      <c r="BB136" s="77"/>
      <c r="BC136" s="77"/>
      <c r="BD136" s="77"/>
      <c r="BE136" s="77"/>
      <c r="BF136" s="77"/>
      <c r="BG136" s="77"/>
      <c r="BH136" s="77"/>
      <c r="BI136" s="77"/>
      <c r="BJ136" s="77"/>
      <c r="BK136" s="77"/>
      <c r="BL136" s="77"/>
      <c r="BM136" s="77"/>
      <c r="BN136" s="77"/>
      <c r="BO136" s="77"/>
      <c r="BP136" s="77"/>
      <c r="BQ136" s="77"/>
      <c r="BR136" s="77"/>
      <c r="BS136" s="77"/>
      <c r="BT136" s="77"/>
      <c r="BU136" s="77"/>
      <c r="BV136" s="77"/>
      <c r="BW136" s="77"/>
      <c r="BX136" s="77"/>
      <c r="BY136" s="77"/>
      <c r="BZ136" s="77"/>
      <c r="CA136" s="77"/>
      <c r="CB136" s="77"/>
      <c r="CC136" s="77"/>
      <c r="CD136" s="77"/>
      <c r="CE136" s="77"/>
      <c r="CF136" s="77"/>
      <c r="CG136" s="77"/>
      <c r="CH136" s="77"/>
      <c r="CI136" s="77"/>
      <c r="CJ136" s="77"/>
      <c r="CK136" s="77"/>
      <c r="CL136" s="77"/>
      <c r="CM136" s="77"/>
      <c r="CN136" s="77"/>
      <c r="CO136" s="77"/>
      <c r="CP136" s="77"/>
      <c r="CQ136" s="77"/>
      <c r="CR136" s="77"/>
      <c r="CS136" s="77"/>
      <c r="CT136" s="77"/>
      <c r="CU136" s="77"/>
      <c r="CV136" s="77"/>
      <c r="CW136" s="77"/>
      <c r="CX136" s="77"/>
      <c r="CY136" s="77"/>
      <c r="CZ136" s="77"/>
      <c r="DA136" s="77"/>
      <c r="DB136" s="77"/>
      <c r="DC136" s="77"/>
      <c r="DD136" s="77"/>
      <c r="DE136" s="77"/>
      <c r="DF136" s="77"/>
      <c r="DG136" s="77"/>
      <c r="DH136" s="77"/>
      <c r="DI136" s="77"/>
      <c r="DJ136" s="77"/>
      <c r="DK136" s="77"/>
      <c r="DL136" s="77"/>
      <c r="DM136" s="77"/>
      <c r="DN136" s="77"/>
      <c r="DO136" s="77"/>
      <c r="DP136" s="77"/>
      <c r="DQ136" s="77"/>
      <c r="DR136" s="77"/>
      <c r="DS136" s="77"/>
      <c r="DT136" s="78"/>
      <c r="DU136" s="12"/>
    </row>
    <row r="137" spans="1:125" ht="16" customHeight="1" x14ac:dyDescent="0.2">
      <c r="A137" s="68"/>
      <c r="B137" s="68"/>
      <c r="C137" s="68"/>
      <c r="D137" s="68"/>
      <c r="E137" s="68"/>
      <c r="F137" s="68"/>
      <c r="G137" s="68"/>
      <c r="H137" s="79" t="s">
        <v>307</v>
      </c>
      <c r="I137" s="68"/>
      <c r="J137" s="68"/>
      <c r="K137" s="68"/>
      <c r="L137" s="68"/>
      <c r="M137" s="68"/>
      <c r="N137" s="68"/>
      <c r="O137" s="68"/>
      <c r="P137" s="68"/>
      <c r="Q137" s="68"/>
      <c r="R137" s="68"/>
      <c r="S137" s="68"/>
      <c r="T137" s="68"/>
      <c r="U137" s="68"/>
      <c r="V137" s="80"/>
      <c r="W137" s="81"/>
      <c r="X137" s="182" t="str" cm="1">
        <f t="array" ref="X137">X3</f>
        <v>Fecha</v>
      </c>
      <c r="Y137" s="182" t="str" cm="1">
        <f t="array" ref="Y137">Y3</f>
        <v>Hora</v>
      </c>
      <c r="Z137" s="223"/>
      <c r="AA137" s="224" t="str" cm="1">
        <f t="array" ref="AA137">AA3</f>
        <v>Casa</v>
      </c>
      <c r="AB137" s="232" t="s">
        <v>228</v>
      </c>
      <c r="AC137" s="82" t="s">
        <v>40</v>
      </c>
      <c r="AD137" s="82" t="s">
        <v>40</v>
      </c>
      <c r="AE137" s="232" t="s">
        <v>228</v>
      </c>
      <c r="AF137" s="225" t="str" cm="1">
        <f t="array" ref="AF137">AF3</f>
        <v>Fuera</v>
      </c>
      <c r="AG137" s="228"/>
      <c r="AH137" s="296"/>
      <c r="AI137" s="134"/>
      <c r="AJ137" s="76"/>
      <c r="AK137" s="76"/>
      <c r="AL137" s="76"/>
      <c r="AM137" s="8"/>
      <c r="AN137" s="8"/>
      <c r="AO137" s="8"/>
      <c r="AP137" s="8"/>
      <c r="AQ137" s="8"/>
      <c r="AR137" s="8"/>
      <c r="AS137" s="8"/>
      <c r="AT137" s="8"/>
      <c r="AU137" s="8"/>
      <c r="AV137" s="281"/>
      <c r="AW137" s="8"/>
      <c r="AX137" s="8"/>
      <c r="AY137" s="190"/>
      <c r="AZ137" s="191"/>
      <c r="BA137" s="8"/>
      <c r="BB137" s="77"/>
      <c r="BC137" s="77"/>
      <c r="BD137" s="77"/>
      <c r="BE137" s="77"/>
      <c r="BF137" s="77"/>
      <c r="BG137" s="77"/>
      <c r="BH137" s="77"/>
      <c r="BI137" s="77"/>
      <c r="BJ137" s="77"/>
      <c r="BK137" s="77"/>
      <c r="BL137" s="77"/>
      <c r="BM137" s="77"/>
      <c r="BN137" s="77"/>
      <c r="BO137" s="77"/>
      <c r="BP137" s="77"/>
      <c r="BQ137" s="77"/>
      <c r="BR137" s="77"/>
      <c r="BS137" s="77"/>
      <c r="BT137" s="77"/>
      <c r="BU137" s="77"/>
      <c r="BV137" s="77"/>
      <c r="BW137" s="77"/>
      <c r="BX137" s="77"/>
      <c r="BY137" s="77"/>
      <c r="BZ137" s="77"/>
      <c r="CA137" s="77"/>
      <c r="CB137" s="77"/>
      <c r="CC137" s="77"/>
      <c r="CD137" s="77"/>
      <c r="CE137" s="77"/>
      <c r="CF137" s="77"/>
      <c r="CG137" s="77"/>
      <c r="CH137" s="77"/>
      <c r="CI137" s="77"/>
      <c r="CJ137" s="77"/>
      <c r="CK137" s="77"/>
      <c r="CL137" s="77"/>
      <c r="CM137" s="77"/>
      <c r="CN137" s="77"/>
      <c r="CO137" s="77"/>
      <c r="CP137" s="77"/>
      <c r="CQ137" s="77"/>
      <c r="CR137" s="77"/>
      <c r="CS137" s="77"/>
      <c r="CT137" s="77"/>
      <c r="CU137" s="77"/>
      <c r="CV137" s="77"/>
      <c r="CW137" s="77"/>
      <c r="CX137" s="77"/>
      <c r="CY137" s="77"/>
      <c r="CZ137" s="77"/>
      <c r="DA137" s="77"/>
      <c r="DB137" s="77"/>
      <c r="DC137" s="77"/>
      <c r="DD137" s="77"/>
      <c r="DE137" s="77"/>
      <c r="DF137" s="77"/>
      <c r="DG137" s="77"/>
      <c r="DH137" s="77"/>
      <c r="DI137" s="77"/>
      <c r="DJ137" s="77"/>
      <c r="DK137" s="77"/>
      <c r="DL137" s="77"/>
      <c r="DM137" s="77"/>
      <c r="DN137" s="77"/>
      <c r="DO137" s="77"/>
      <c r="DP137" s="77"/>
      <c r="DQ137" s="77"/>
      <c r="DR137" s="77"/>
      <c r="DS137" s="77"/>
      <c r="DT137" s="78"/>
      <c r="DU137" s="12"/>
    </row>
    <row r="138" spans="1:125" ht="16" customHeight="1" x14ac:dyDescent="0.2">
      <c r="A138" s="79" t="s">
        <v>296</v>
      </c>
      <c r="B138" s="79" t="s">
        <v>299</v>
      </c>
      <c r="C138" s="68"/>
      <c r="D138" s="68" t="str" cm="1">
        <f t="array" ref="D138">IF(AND(OR(AC138="",AD138="")),"W"&amp;AH138,IF(AC138&gt;AD138,AA138,IF(AC138&lt;AD138,AF138,IF(AND(AC138=AD138,AB138=AE138),"W"&amp;AH138,IF(AND(AC138=AD138,OR(AB138="",AE138="")),"W"&amp;AH138,IF(AND(AC138=AD138,AB138&gt;AE138),AA138,AF138))))))</f>
        <v>W101</v>
      </c>
      <c r="E138" s="95">
        <v>97</v>
      </c>
      <c r="F138" s="95">
        <v>98</v>
      </c>
      <c r="G138" s="68"/>
      <c r="H138" s="68" t="str" cm="1">
        <f t="array" ref="H138">IF(AND(OR(AC138="",AD138="")),"L101",IF(AC138&gt;AD138,AF138,IF(AC138&lt;AD138,AA138,IF(AND(AC138=AD138,AB138=AE138),"L101",IF(AND(AC138=AD138,OR(AB138="",AE138="")),"L101",IF(AND(AC138=AD138,AB138&gt;AE138),AF138,AA138))))))</f>
        <v>L101</v>
      </c>
      <c r="I138" s="68"/>
      <c r="J138" s="95">
        <v>101</v>
      </c>
      <c r="K138" s="95">
        <v>46217.875</v>
      </c>
      <c r="L138" s="79" t="s">
        <v>310</v>
      </c>
      <c r="M138" s="68" t="str" cm="1">
        <f t="array" ref="M138">INDEX($D$101:$D$147,MATCH(E138,$AH$101:$AH$147,0))</f>
        <v>W97</v>
      </c>
      <c r="N138" s="68" t="str" cm="1">
        <f t="array" ref="N138">INDEX($D$101:$D$147,MATCH(F138,$AH$101:$AH$147,0))</f>
        <v>W98</v>
      </c>
      <c r="O138" s="68"/>
      <c r="P138" s="68"/>
      <c r="Q138" s="68"/>
      <c r="R138" s="68"/>
      <c r="S138" s="68"/>
      <c r="T138" s="68"/>
      <c r="U138" s="68"/>
      <c r="V138" s="80"/>
      <c r="W138" s="764" t="s">
        <v>311</v>
      </c>
      <c r="X138" s="283">
        <v>46217.625</v>
      </c>
      <c r="Y138" s="97">
        <v>46217.625</v>
      </c>
      <c r="Z138" s="292" cm="1">
        <f t="array" ref="Z138">AH138</f>
        <v>101</v>
      </c>
      <c r="AA138" s="293" t="str" cm="1">
        <f t="array" ref="AA138">INDEX($M$101:$M$147,MATCH(AH138,$J$101:$J$147,0))</f>
        <v>W97</v>
      </c>
      <c r="AB138" s="284"/>
      <c r="AC138" s="285"/>
      <c r="AD138" s="285"/>
      <c r="AE138" s="242"/>
      <c r="AF138" s="243" t="str" cm="1">
        <f t="array" ref="AF138">INDEX($N$101:$N$147,MATCH(AH138,$J$101:$J$147,0))</f>
        <v>W98</v>
      </c>
      <c r="AG138" s="104" cm="1">
        <f t="array" ref="AG138">IF(D138="W"&amp;AH138,0,1)</f>
        <v>0</v>
      </c>
      <c r="AH138" s="105">
        <v>101</v>
      </c>
      <c r="AI138" s="134"/>
      <c r="AJ138" s="76"/>
      <c r="AK138" s="76"/>
      <c r="AL138" s="76"/>
      <c r="AM138" s="8"/>
      <c r="AN138" s="8"/>
      <c r="AO138" s="8"/>
      <c r="AP138" s="8"/>
      <c r="AQ138" s="8"/>
      <c r="AR138" s="8"/>
      <c r="AS138" s="8"/>
      <c r="AT138" s="8"/>
      <c r="AU138" s="8"/>
      <c r="AV138" s="281"/>
      <c r="AW138" s="8"/>
      <c r="AX138" s="8"/>
      <c r="AY138" s="190"/>
      <c r="AZ138" s="191"/>
      <c r="BA138" s="8"/>
      <c r="BB138" s="77"/>
      <c r="BC138" s="77"/>
      <c r="BD138" s="77"/>
      <c r="BE138" s="77"/>
      <c r="BF138" s="77"/>
      <c r="BG138" s="77"/>
      <c r="BH138" s="77"/>
      <c r="BI138" s="77"/>
      <c r="BJ138" s="77"/>
      <c r="BK138" s="77"/>
      <c r="BL138" s="77"/>
      <c r="BM138" s="77"/>
      <c r="BN138" s="77"/>
      <c r="BO138" s="77"/>
      <c r="BP138" s="77"/>
      <c r="BQ138" s="77"/>
      <c r="BR138" s="77"/>
      <c r="BS138" s="77"/>
      <c r="BT138" s="77"/>
      <c r="BU138" s="77"/>
      <c r="BV138" s="77"/>
      <c r="BW138" s="77"/>
      <c r="BX138" s="77"/>
      <c r="BY138" s="77"/>
      <c r="BZ138" s="77"/>
      <c r="CA138" s="77"/>
      <c r="CB138" s="77"/>
      <c r="CC138" s="77"/>
      <c r="CD138" s="77"/>
      <c r="CE138" s="77"/>
      <c r="CF138" s="77"/>
      <c r="CG138" s="77"/>
      <c r="CH138" s="77"/>
      <c r="CI138" s="77"/>
      <c r="CJ138" s="77"/>
      <c r="CK138" s="77"/>
      <c r="CL138" s="77"/>
      <c r="CM138" s="77"/>
      <c r="CN138" s="77"/>
      <c r="CO138" s="77"/>
      <c r="CP138" s="77"/>
      <c r="CQ138" s="77"/>
      <c r="CR138" s="77"/>
      <c r="CS138" s="77"/>
      <c r="CT138" s="77"/>
      <c r="CU138" s="77"/>
      <c r="CV138" s="77"/>
      <c r="CW138" s="77"/>
      <c r="CX138" s="77"/>
      <c r="CY138" s="77"/>
      <c r="CZ138" s="77"/>
      <c r="DA138" s="77"/>
      <c r="DB138" s="77"/>
      <c r="DC138" s="77"/>
      <c r="DD138" s="77"/>
      <c r="DE138" s="77"/>
      <c r="DF138" s="77"/>
      <c r="DG138" s="77"/>
      <c r="DH138" s="77"/>
      <c r="DI138" s="77"/>
      <c r="DJ138" s="77"/>
      <c r="DK138" s="77"/>
      <c r="DL138" s="77"/>
      <c r="DM138" s="77"/>
      <c r="DN138" s="77"/>
      <c r="DO138" s="77"/>
      <c r="DP138" s="77"/>
      <c r="DQ138" s="77"/>
      <c r="DR138" s="77"/>
      <c r="DS138" s="77"/>
      <c r="DT138" s="78"/>
      <c r="DU138" s="12"/>
    </row>
    <row r="139" spans="1:125" ht="16" customHeight="1" x14ac:dyDescent="0.2">
      <c r="A139" s="79" t="s">
        <v>301</v>
      </c>
      <c r="B139" s="79" t="s">
        <v>303</v>
      </c>
      <c r="C139" s="68"/>
      <c r="D139" s="68" t="str" cm="1">
        <f t="array" ref="D139">IF(AND(OR(AC139="",AD139="")),"W"&amp;AH139,IF(AC139&gt;AD139,AA139,IF(AC139&lt;AD139,AF139,IF(AND(AC139=AD139,AB139=AE139),"W"&amp;AH139,IF(AND(AC139=AD139,OR(AB139="",AE139="")),"W"&amp;AH139,IF(AND(AC139=AD139,AB139&gt;AE139),AA139,AF139))))))</f>
        <v>W102</v>
      </c>
      <c r="E139" s="95">
        <v>99</v>
      </c>
      <c r="F139" s="95">
        <v>100</v>
      </c>
      <c r="G139" s="68"/>
      <c r="H139" s="68" t="str" cm="1">
        <f t="array" ref="H139">IF(AND(OR(AC139="",AD139="")),"L102",IF(AC139&gt;AD139,AF139,IF(AC139&lt;AD139,AA139,IF(AND(AC139=AD139,AB139=AE139),"W102",IF(AND(AC139=AD139,OR(AB139="",AE139="")),"L102",IF(AND(AC139=AD139,AB139&gt;AE139),AF139,AA139))))))</f>
        <v>L102</v>
      </c>
      <c r="I139" s="68"/>
      <c r="J139" s="95">
        <v>102</v>
      </c>
      <c r="K139" s="95">
        <v>46218.875</v>
      </c>
      <c r="L139" s="79" t="s">
        <v>314</v>
      </c>
      <c r="M139" s="68" t="str" cm="1">
        <f t="array" ref="M139">INDEX($D$101:$D$147,MATCH(E139,$AH$101:$AH$147,0))</f>
        <v>W99</v>
      </c>
      <c r="N139" s="68" t="str" cm="1">
        <f t="array" ref="N139">INDEX($D$101:$D$147,MATCH(F139,$AH$101:$AH$147,0))</f>
        <v>W100</v>
      </c>
      <c r="O139" s="68"/>
      <c r="P139" s="68"/>
      <c r="Q139" s="68"/>
      <c r="R139" s="68"/>
      <c r="S139" s="68"/>
      <c r="T139" s="68"/>
      <c r="U139" s="68"/>
      <c r="V139" s="80"/>
      <c r="W139" s="765"/>
      <c r="X139" s="288">
        <v>46218.625</v>
      </c>
      <c r="Y139" s="149">
        <v>46218.625</v>
      </c>
      <c r="Z139" s="294" cm="1">
        <f t="array" ref="Z139">AH139</f>
        <v>102</v>
      </c>
      <c r="AA139" s="295" t="str" cm="1">
        <f t="array" ref="AA139">INDEX($M$101:$M$147,MATCH(AH139,$J$101:$J$147,0))</f>
        <v>W99</v>
      </c>
      <c r="AB139" s="289"/>
      <c r="AC139" s="290"/>
      <c r="AD139" s="290"/>
      <c r="AE139" s="291"/>
      <c r="AF139" s="279" t="str" cm="1">
        <f t="array" ref="AF139">INDEX($N$101:$N$147,MATCH(AH139,$J$101:$J$147,0))</f>
        <v>W100</v>
      </c>
      <c r="AG139" s="104" cm="1">
        <f t="array" ref="AG139">IF(D139="W"&amp;AH139,0,1)</f>
        <v>0</v>
      </c>
      <c r="AH139" s="105">
        <v>102</v>
      </c>
      <c r="AI139" s="134"/>
      <c r="AJ139" s="76"/>
      <c r="AK139" s="76"/>
      <c r="AL139" s="76"/>
      <c r="AM139" s="8"/>
      <c r="AN139" s="8"/>
      <c r="AO139" s="8"/>
      <c r="AP139" s="8"/>
      <c r="AQ139" s="8"/>
      <c r="AR139" s="8"/>
      <c r="AS139" s="8"/>
      <c r="AT139" s="8"/>
      <c r="AU139" s="8"/>
      <c r="AV139" s="281"/>
      <c r="AW139" s="8"/>
      <c r="AX139" s="8"/>
      <c r="AY139" s="190"/>
      <c r="AZ139" s="191"/>
      <c r="BA139" s="8"/>
      <c r="BB139" s="77"/>
      <c r="BC139" s="77"/>
      <c r="BD139" s="77"/>
      <c r="BE139" s="77"/>
      <c r="BF139" s="77"/>
      <c r="BG139" s="77"/>
      <c r="BH139" s="77"/>
      <c r="BI139" s="77"/>
      <c r="BJ139" s="77"/>
      <c r="BK139" s="77"/>
      <c r="BL139" s="77"/>
      <c r="BM139" s="77"/>
      <c r="BN139" s="77"/>
      <c r="BO139" s="77"/>
      <c r="BP139" s="77"/>
      <c r="BQ139" s="77"/>
      <c r="BR139" s="77"/>
      <c r="BS139" s="77"/>
      <c r="BT139" s="77"/>
      <c r="BU139" s="77"/>
      <c r="BV139" s="77"/>
      <c r="BW139" s="77"/>
      <c r="BX139" s="77"/>
      <c r="BY139" s="77"/>
      <c r="BZ139" s="77"/>
      <c r="CA139" s="77"/>
      <c r="CB139" s="77"/>
      <c r="CC139" s="77"/>
      <c r="CD139" s="77"/>
      <c r="CE139" s="77"/>
      <c r="CF139" s="77"/>
      <c r="CG139" s="77"/>
      <c r="CH139" s="77"/>
      <c r="CI139" s="77"/>
      <c r="CJ139" s="77"/>
      <c r="CK139" s="77"/>
      <c r="CL139" s="77"/>
      <c r="CM139" s="77"/>
      <c r="CN139" s="77"/>
      <c r="CO139" s="77"/>
      <c r="CP139" s="77"/>
      <c r="CQ139" s="77"/>
      <c r="CR139" s="77"/>
      <c r="CS139" s="77"/>
      <c r="CT139" s="77"/>
      <c r="CU139" s="77"/>
      <c r="CV139" s="77"/>
      <c r="CW139" s="77"/>
      <c r="CX139" s="77"/>
      <c r="CY139" s="77"/>
      <c r="CZ139" s="77"/>
      <c r="DA139" s="77"/>
      <c r="DB139" s="77"/>
      <c r="DC139" s="77"/>
      <c r="DD139" s="77"/>
      <c r="DE139" s="77"/>
      <c r="DF139" s="77"/>
      <c r="DG139" s="77"/>
      <c r="DH139" s="77"/>
      <c r="DI139" s="77"/>
      <c r="DJ139" s="77"/>
      <c r="DK139" s="77"/>
      <c r="DL139" s="77"/>
      <c r="DM139" s="77"/>
      <c r="DN139" s="77"/>
      <c r="DO139" s="77"/>
      <c r="DP139" s="77"/>
      <c r="DQ139" s="77"/>
      <c r="DR139" s="77"/>
      <c r="DS139" s="77"/>
      <c r="DT139" s="78"/>
      <c r="DU139" s="12"/>
    </row>
    <row r="140" spans="1:125" ht="16" customHeight="1" x14ac:dyDescent="0.2">
      <c r="A140" s="68"/>
      <c r="B140" s="68"/>
      <c r="C140" s="68"/>
      <c r="D140" s="68"/>
      <c r="E140" s="68"/>
      <c r="F140" s="68"/>
      <c r="G140" s="68"/>
      <c r="H140" s="68"/>
      <c r="I140" s="68"/>
      <c r="J140" s="68"/>
      <c r="K140" s="68"/>
      <c r="L140" s="68"/>
      <c r="M140" s="68"/>
      <c r="N140" s="68"/>
      <c r="O140" s="68"/>
      <c r="P140" s="68"/>
      <c r="Q140" s="68"/>
      <c r="R140" s="68"/>
      <c r="S140" s="68"/>
      <c r="T140" s="68"/>
      <c r="U140" s="68"/>
      <c r="V140" s="69"/>
      <c r="W140" s="164"/>
      <c r="X140" s="165"/>
      <c r="Y140" s="164"/>
      <c r="Z140" s="166"/>
      <c r="AA140" s="167"/>
      <c r="AB140" s="168"/>
      <c r="AC140" s="169"/>
      <c r="AD140" s="169"/>
      <c r="AE140" s="168"/>
      <c r="AF140" s="170"/>
      <c r="AG140" s="282"/>
      <c r="AH140" s="296"/>
      <c r="AI140" s="134"/>
      <c r="AJ140" s="76"/>
      <c r="AK140" s="76"/>
      <c r="AL140" s="76"/>
      <c r="AM140" s="8"/>
      <c r="AN140" s="8"/>
      <c r="AO140" s="8"/>
      <c r="AP140" s="8"/>
      <c r="AQ140" s="8"/>
      <c r="AR140" s="8"/>
      <c r="AS140" s="8"/>
      <c r="AT140" s="8"/>
      <c r="AU140" s="8"/>
      <c r="AV140" s="281"/>
      <c r="AW140" s="8"/>
      <c r="AX140" s="8"/>
      <c r="AY140" s="190"/>
      <c r="AZ140" s="191"/>
      <c r="BA140" s="8"/>
      <c r="BB140" s="77"/>
      <c r="BC140" s="77"/>
      <c r="BD140" s="77"/>
      <c r="BE140" s="77"/>
      <c r="BF140" s="77"/>
      <c r="BG140" s="77"/>
      <c r="BH140" s="77"/>
      <c r="BI140" s="77"/>
      <c r="BJ140" s="77"/>
      <c r="BK140" s="77"/>
      <c r="BL140" s="77"/>
      <c r="BM140" s="77"/>
      <c r="BN140" s="77"/>
      <c r="BO140" s="77"/>
      <c r="BP140" s="77"/>
      <c r="BQ140" s="77"/>
      <c r="BR140" s="77"/>
      <c r="BS140" s="77"/>
      <c r="BT140" s="77"/>
      <c r="BU140" s="77"/>
      <c r="BV140" s="77"/>
      <c r="BW140" s="77"/>
      <c r="BX140" s="77"/>
      <c r="BY140" s="77"/>
      <c r="BZ140" s="77"/>
      <c r="CA140" s="77"/>
      <c r="CB140" s="77"/>
      <c r="CC140" s="77"/>
      <c r="CD140" s="77"/>
      <c r="CE140" s="77"/>
      <c r="CF140" s="77"/>
      <c r="CG140" s="77"/>
      <c r="CH140" s="77"/>
      <c r="CI140" s="77"/>
      <c r="CJ140" s="77"/>
      <c r="CK140" s="77"/>
      <c r="CL140" s="77"/>
      <c r="CM140" s="77"/>
      <c r="CN140" s="77"/>
      <c r="CO140" s="77"/>
      <c r="CP140" s="77"/>
      <c r="CQ140" s="77"/>
      <c r="CR140" s="77"/>
      <c r="CS140" s="77"/>
      <c r="CT140" s="77"/>
      <c r="CU140" s="77"/>
      <c r="CV140" s="77"/>
      <c r="CW140" s="77"/>
      <c r="CX140" s="77"/>
      <c r="CY140" s="77"/>
      <c r="CZ140" s="77"/>
      <c r="DA140" s="77"/>
      <c r="DB140" s="77"/>
      <c r="DC140" s="77"/>
      <c r="DD140" s="77"/>
      <c r="DE140" s="77"/>
      <c r="DF140" s="77"/>
      <c r="DG140" s="77"/>
      <c r="DH140" s="77"/>
      <c r="DI140" s="77"/>
      <c r="DJ140" s="77"/>
      <c r="DK140" s="77"/>
      <c r="DL140" s="77"/>
      <c r="DM140" s="77"/>
      <c r="DN140" s="77"/>
      <c r="DO140" s="77"/>
      <c r="DP140" s="77"/>
      <c r="DQ140" s="77"/>
      <c r="DR140" s="77"/>
      <c r="DS140" s="77"/>
      <c r="DT140" s="78"/>
      <c r="DU140" s="12"/>
    </row>
    <row r="141" spans="1:125" ht="16" customHeight="1" x14ac:dyDescent="0.2">
      <c r="A141" s="68"/>
      <c r="B141" s="68"/>
      <c r="C141" s="68"/>
      <c r="D141" s="68"/>
      <c r="E141" s="68"/>
      <c r="F141" s="68"/>
      <c r="G141" s="68"/>
      <c r="H141" s="68"/>
      <c r="I141" s="68"/>
      <c r="J141" s="68"/>
      <c r="K141" s="68"/>
      <c r="L141" s="68"/>
      <c r="M141" s="68"/>
      <c r="N141" s="68"/>
      <c r="O141" s="68"/>
      <c r="P141" s="68"/>
      <c r="Q141" s="68"/>
      <c r="R141" s="68"/>
      <c r="S141" s="68"/>
      <c r="T141" s="68"/>
      <c r="U141" s="68"/>
      <c r="V141" s="80"/>
      <c r="W141" s="787" t="s">
        <v>315</v>
      </c>
      <c r="X141" s="788"/>
      <c r="Y141" s="789"/>
      <c r="Z141" s="789"/>
      <c r="AA141" s="789"/>
      <c r="AB141" s="789"/>
      <c r="AC141" s="789"/>
      <c r="AD141" s="789"/>
      <c r="AE141" s="789"/>
      <c r="AF141" s="790"/>
      <c r="AG141" s="228"/>
      <c r="AH141" s="296"/>
      <c r="AI141" s="134"/>
      <c r="AJ141" s="76"/>
      <c r="AK141" s="76"/>
      <c r="AL141" s="76"/>
      <c r="AM141" s="8"/>
      <c r="AN141" s="8"/>
      <c r="AO141" s="8"/>
      <c r="AP141" s="8"/>
      <c r="AQ141" s="8"/>
      <c r="AR141" s="8"/>
      <c r="AS141" s="8"/>
      <c r="AT141" s="8"/>
      <c r="AU141" s="8"/>
      <c r="AV141" s="281"/>
      <c r="AW141" s="8"/>
      <c r="AX141" s="8"/>
      <c r="AY141" s="190"/>
      <c r="AZ141" s="191"/>
      <c r="BA141" s="8"/>
      <c r="BB141" s="77"/>
      <c r="BC141" s="77"/>
      <c r="BD141" s="77"/>
      <c r="BE141" s="77"/>
      <c r="BF141" s="77"/>
      <c r="BG141" s="77"/>
      <c r="BH141" s="77"/>
      <c r="BI141" s="77"/>
      <c r="BJ141" s="77"/>
      <c r="BK141" s="77"/>
      <c r="BL141" s="77"/>
      <c r="BM141" s="77"/>
      <c r="BN141" s="77"/>
      <c r="BO141" s="77"/>
      <c r="BP141" s="77"/>
      <c r="BQ141" s="77"/>
      <c r="BR141" s="77"/>
      <c r="BS141" s="77"/>
      <c r="BT141" s="77"/>
      <c r="BU141" s="77"/>
      <c r="BV141" s="77"/>
      <c r="BW141" s="77"/>
      <c r="BX141" s="77"/>
      <c r="BY141" s="77"/>
      <c r="BZ141" s="77"/>
      <c r="CA141" s="77"/>
      <c r="CB141" s="77"/>
      <c r="CC141" s="77"/>
      <c r="CD141" s="77"/>
      <c r="CE141" s="77"/>
      <c r="CF141" s="77"/>
      <c r="CG141" s="77"/>
      <c r="CH141" s="77"/>
      <c r="CI141" s="77"/>
      <c r="CJ141" s="77"/>
      <c r="CK141" s="77"/>
      <c r="CL141" s="77"/>
      <c r="CM141" s="77"/>
      <c r="CN141" s="77"/>
      <c r="CO141" s="77"/>
      <c r="CP141" s="77"/>
      <c r="CQ141" s="77"/>
      <c r="CR141" s="77"/>
      <c r="CS141" s="77"/>
      <c r="CT141" s="77"/>
      <c r="CU141" s="77"/>
      <c r="CV141" s="77"/>
      <c r="CW141" s="77"/>
      <c r="CX141" s="77"/>
      <c r="CY141" s="77"/>
      <c r="CZ141" s="77"/>
      <c r="DA141" s="77"/>
      <c r="DB141" s="77"/>
      <c r="DC141" s="77"/>
      <c r="DD141" s="77"/>
      <c r="DE141" s="77"/>
      <c r="DF141" s="77"/>
      <c r="DG141" s="77"/>
      <c r="DH141" s="77"/>
      <c r="DI141" s="77"/>
      <c r="DJ141" s="77"/>
      <c r="DK141" s="77"/>
      <c r="DL141" s="77"/>
      <c r="DM141" s="77"/>
      <c r="DN141" s="77"/>
      <c r="DO141" s="77"/>
      <c r="DP141" s="77"/>
      <c r="DQ141" s="77"/>
      <c r="DR141" s="77"/>
      <c r="DS141" s="77"/>
      <c r="DT141" s="78"/>
      <c r="DU141" s="12"/>
    </row>
    <row r="142" spans="1:125" ht="16" customHeight="1" x14ac:dyDescent="0.2">
      <c r="A142" s="68"/>
      <c r="B142" s="68"/>
      <c r="C142" s="68"/>
      <c r="D142" s="68"/>
      <c r="E142" s="68"/>
      <c r="F142" s="68"/>
      <c r="G142" s="68"/>
      <c r="H142" s="68"/>
      <c r="I142" s="68"/>
      <c r="J142" s="68"/>
      <c r="K142" s="68"/>
      <c r="L142" s="68"/>
      <c r="M142" s="68"/>
      <c r="N142" s="68"/>
      <c r="O142" s="68"/>
      <c r="P142" s="68"/>
      <c r="Q142" s="68"/>
      <c r="R142" s="68"/>
      <c r="S142" s="68"/>
      <c r="T142" s="68"/>
      <c r="U142" s="68"/>
      <c r="V142" s="80"/>
      <c r="W142" s="297"/>
      <c r="X142" s="182" t="str" cm="1">
        <f t="array" ref="X142">X3</f>
        <v>Fecha</v>
      </c>
      <c r="Y142" s="182" t="str" cm="1">
        <f t="array" ref="Y142">Y3</f>
        <v>Hora</v>
      </c>
      <c r="Z142" s="223"/>
      <c r="AA142" s="224" t="str" cm="1">
        <f t="array" ref="AA142">AA3</f>
        <v>Casa</v>
      </c>
      <c r="AB142" s="232" t="s">
        <v>228</v>
      </c>
      <c r="AC142" s="182" t="str" cm="1">
        <f t="array" ref="AC142">AC3</f>
        <v>Gol</v>
      </c>
      <c r="AD142" s="182" t="str" cm="1">
        <f t="array" ref="AD142">AD3</f>
        <v>Gol</v>
      </c>
      <c r="AE142" s="232" t="s">
        <v>228</v>
      </c>
      <c r="AF142" s="225" t="str" cm="1">
        <f t="array" ref="AF142">AF3</f>
        <v>Fuera</v>
      </c>
      <c r="AG142" s="228"/>
      <c r="AH142" s="296"/>
      <c r="AI142" s="134"/>
      <c r="AJ142" s="76"/>
      <c r="AK142" s="76"/>
      <c r="AL142" s="76"/>
      <c r="AM142" s="8"/>
      <c r="AN142" s="8"/>
      <c r="AO142" s="8"/>
      <c r="AP142" s="8"/>
      <c r="AQ142" s="8"/>
      <c r="AR142" s="8"/>
      <c r="AS142" s="8"/>
      <c r="AT142" s="8"/>
      <c r="AU142" s="8"/>
      <c r="AV142" s="281"/>
      <c r="AW142" s="8"/>
      <c r="AX142" s="8"/>
      <c r="AY142" s="190"/>
      <c r="AZ142" s="191"/>
      <c r="BA142" s="8"/>
      <c r="BB142" s="77"/>
      <c r="BC142" s="77"/>
      <c r="BD142" s="77"/>
      <c r="BE142" s="77"/>
      <c r="BF142" s="77"/>
      <c r="BG142" s="77"/>
      <c r="BH142" s="77"/>
      <c r="BI142" s="77"/>
      <c r="BJ142" s="77"/>
      <c r="BK142" s="77"/>
      <c r="BL142" s="77"/>
      <c r="BM142" s="77"/>
      <c r="BN142" s="77"/>
      <c r="BO142" s="77"/>
      <c r="BP142" s="77"/>
      <c r="BQ142" s="77"/>
      <c r="BR142" s="77"/>
      <c r="BS142" s="77"/>
      <c r="BT142" s="77"/>
      <c r="BU142" s="77"/>
      <c r="BV142" s="77"/>
      <c r="BW142" s="77"/>
      <c r="BX142" s="77"/>
      <c r="BY142" s="77"/>
      <c r="BZ142" s="77"/>
      <c r="CA142" s="77"/>
      <c r="CB142" s="77"/>
      <c r="CC142" s="77"/>
      <c r="CD142" s="77"/>
      <c r="CE142" s="77"/>
      <c r="CF142" s="77"/>
      <c r="CG142" s="77"/>
      <c r="CH142" s="77"/>
      <c r="CI142" s="77"/>
      <c r="CJ142" s="77"/>
      <c r="CK142" s="77"/>
      <c r="CL142" s="77"/>
      <c r="CM142" s="77"/>
      <c r="CN142" s="77"/>
      <c r="CO142" s="77"/>
      <c r="CP142" s="77"/>
      <c r="CQ142" s="77"/>
      <c r="CR142" s="77"/>
      <c r="CS142" s="77"/>
      <c r="CT142" s="77"/>
      <c r="CU142" s="77"/>
      <c r="CV142" s="77"/>
      <c r="CW142" s="77"/>
      <c r="CX142" s="77"/>
      <c r="CY142" s="77"/>
      <c r="CZ142" s="77"/>
      <c r="DA142" s="77"/>
      <c r="DB142" s="77"/>
      <c r="DC142" s="77"/>
      <c r="DD142" s="77"/>
      <c r="DE142" s="77"/>
      <c r="DF142" s="77"/>
      <c r="DG142" s="77"/>
      <c r="DH142" s="77"/>
      <c r="DI142" s="77"/>
      <c r="DJ142" s="77"/>
      <c r="DK142" s="77"/>
      <c r="DL142" s="77"/>
      <c r="DM142" s="77"/>
      <c r="DN142" s="77"/>
      <c r="DO142" s="77"/>
      <c r="DP142" s="77"/>
      <c r="DQ142" s="77"/>
      <c r="DR142" s="77"/>
      <c r="DS142" s="77"/>
      <c r="DT142" s="78"/>
      <c r="DU142" s="12"/>
    </row>
    <row r="143" spans="1:125" ht="16" customHeight="1" x14ac:dyDescent="0.2">
      <c r="A143" s="79" t="s">
        <v>309</v>
      </c>
      <c r="B143" s="79" t="s">
        <v>313</v>
      </c>
      <c r="C143" s="68"/>
      <c r="D143" s="68" t="str" cm="1">
        <f t="array" ref="D143">IF(AND(OR(AC143="",AD143="")),"W"&amp;AH143,IF(AC143&gt;AD143,AA143,IF(AC143&lt;AD143,AF143,IF(AND(AC143=AD143,AB143=AE143),"W"&amp;AH143,IF(AND(AC143=AD143,OR(AB143="",AE143="")),"W"&amp;AH143,IF(AND(AC143=AD143,AB143&gt;AE143),AA143,AF143))))))</f>
        <v>W103</v>
      </c>
      <c r="E143" s="95">
        <v>101</v>
      </c>
      <c r="F143" s="95">
        <v>102</v>
      </c>
      <c r="G143" s="68"/>
      <c r="H143" s="68"/>
      <c r="I143" s="68"/>
      <c r="J143" s="95">
        <v>103</v>
      </c>
      <c r="K143" s="95">
        <v>46221.875</v>
      </c>
      <c r="L143" s="79" t="s">
        <v>316</v>
      </c>
      <c r="M143" s="68" t="str" cm="1">
        <f t="array" ref="M143">INDEX($D$101:$D$147,MATCH(E143,$AH$101:$AH$147,0))</f>
        <v>W101</v>
      </c>
      <c r="N143" s="68" t="str" cm="1">
        <f t="array" ref="N143">INDEX($D$101:$D$147,MATCH(F143,$AH$101:$AH$147,0))</f>
        <v>W102</v>
      </c>
      <c r="O143" s="68"/>
      <c r="P143" s="68"/>
      <c r="Q143" s="68"/>
      <c r="R143" s="68"/>
      <c r="S143" s="68"/>
      <c r="T143" s="68"/>
      <c r="U143" s="68"/>
      <c r="V143" s="80"/>
      <c r="W143" s="298" t="s">
        <v>317</v>
      </c>
      <c r="X143" s="288">
        <v>46221.708333333343</v>
      </c>
      <c r="Y143" s="149">
        <v>46221.708333333343</v>
      </c>
      <c r="Z143" s="294" cm="1">
        <f t="array" ref="Z143">AH143</f>
        <v>103</v>
      </c>
      <c r="AA143" s="295" t="str" cm="1">
        <f t="array" ref="AA143">IF(AND(OR(AC138="",AD138="")),"L101",IF(AC138&gt;AD138,AF138,IF(AC138&lt;AD138,AA138,IF(AND(AC138=AD138,AB138=AE138),"L101",IF(AND(AC138=AD138,OR(AB138="",AE138="")),"L101",IF(AND(AC138=AD138,AB138&gt;AE138),AF138,AA138))))))</f>
        <v>L101</v>
      </c>
      <c r="AB143" s="299"/>
      <c r="AC143" s="300"/>
      <c r="AD143" s="300"/>
      <c r="AE143" s="301"/>
      <c r="AF143" s="302" t="str" cm="1">
        <f t="array" ref="AF143">IF(AND(OR(AC139="",AD139="")),"L102",IF(AC139&gt;AD139,AF139,IF(AC139&lt;AD139,AA139,IF(AND(AC139=AD139,AB139=AE139),"L102",IF(AND(AC139=AD139,OR(AB139="",AE139="")),"L102",IF(AND(AC139=AD139,AB139&gt;AE139),AF139,AA139))))))</f>
        <v>L102</v>
      </c>
      <c r="AG143" s="104" cm="1">
        <f t="array" ref="AG143">IF(D143="W"&amp;AH143,0,1)</f>
        <v>0</v>
      </c>
      <c r="AH143" s="105">
        <v>103</v>
      </c>
      <c r="AI143" s="134"/>
      <c r="AJ143" s="76"/>
      <c r="AK143" s="76"/>
      <c r="AL143" s="76"/>
      <c r="AM143" s="8"/>
      <c r="AN143" s="8"/>
      <c r="AO143" s="8"/>
      <c r="AP143" s="8"/>
      <c r="AQ143" s="8"/>
      <c r="AR143" s="8"/>
      <c r="AS143" s="8"/>
      <c r="AT143" s="8"/>
      <c r="AU143" s="8"/>
      <c r="AV143" s="281"/>
      <c r="AW143" s="8"/>
      <c r="AX143" s="8"/>
      <c r="AY143" s="190"/>
      <c r="AZ143" s="191"/>
      <c r="BA143" s="8"/>
      <c r="BB143" s="77"/>
      <c r="BC143" s="77"/>
      <c r="BD143" s="77"/>
      <c r="BE143" s="77"/>
      <c r="BF143" s="77"/>
      <c r="BG143" s="77"/>
      <c r="BH143" s="77"/>
      <c r="BI143" s="77"/>
      <c r="BJ143" s="77"/>
      <c r="BK143" s="77"/>
      <c r="BL143" s="77"/>
      <c r="BM143" s="77"/>
      <c r="BN143" s="77"/>
      <c r="BO143" s="77"/>
      <c r="BP143" s="77"/>
      <c r="BQ143" s="77"/>
      <c r="BR143" s="77"/>
      <c r="BS143" s="77"/>
      <c r="BT143" s="77"/>
      <c r="BU143" s="77"/>
      <c r="BV143" s="77"/>
      <c r="BW143" s="77"/>
      <c r="BX143" s="77"/>
      <c r="BY143" s="77"/>
      <c r="BZ143" s="77"/>
      <c r="CA143" s="77"/>
      <c r="CB143" s="77"/>
      <c r="CC143" s="77"/>
      <c r="CD143" s="77"/>
      <c r="CE143" s="77"/>
      <c r="CF143" s="77"/>
      <c r="CG143" s="77"/>
      <c r="CH143" s="77"/>
      <c r="CI143" s="77"/>
      <c r="CJ143" s="77"/>
      <c r="CK143" s="77"/>
      <c r="CL143" s="77"/>
      <c r="CM143" s="77"/>
      <c r="CN143" s="77"/>
      <c r="CO143" s="77"/>
      <c r="CP143" s="77"/>
      <c r="CQ143" s="77"/>
      <c r="CR143" s="77"/>
      <c r="CS143" s="77"/>
      <c r="CT143" s="77"/>
      <c r="CU143" s="77"/>
      <c r="CV143" s="77"/>
      <c r="CW143" s="77"/>
      <c r="CX143" s="77"/>
      <c r="CY143" s="77"/>
      <c r="CZ143" s="77"/>
      <c r="DA143" s="77"/>
      <c r="DB143" s="77"/>
      <c r="DC143" s="77"/>
      <c r="DD143" s="77"/>
      <c r="DE143" s="77"/>
      <c r="DF143" s="77"/>
      <c r="DG143" s="77"/>
      <c r="DH143" s="77"/>
      <c r="DI143" s="77"/>
      <c r="DJ143" s="77"/>
      <c r="DK143" s="77"/>
      <c r="DL143" s="77"/>
      <c r="DM143" s="77"/>
      <c r="DN143" s="77"/>
      <c r="DO143" s="77"/>
      <c r="DP143" s="77"/>
      <c r="DQ143" s="77"/>
      <c r="DR143" s="77"/>
      <c r="DS143" s="77"/>
      <c r="DT143" s="78"/>
      <c r="DU143" s="12"/>
    </row>
    <row r="144" spans="1:125" ht="16" customHeight="1" x14ac:dyDescent="0.2">
      <c r="A144" s="68"/>
      <c r="B144" s="68"/>
      <c r="C144" s="68"/>
      <c r="D144" s="68"/>
      <c r="E144" s="68"/>
      <c r="F144" s="68"/>
      <c r="G144" s="68"/>
      <c r="H144" s="68"/>
      <c r="I144" s="68"/>
      <c r="J144" s="68"/>
      <c r="K144" s="68"/>
      <c r="L144" s="68"/>
      <c r="M144" s="68"/>
      <c r="N144" s="68"/>
      <c r="O144" s="68"/>
      <c r="P144" s="68"/>
      <c r="Q144" s="68"/>
      <c r="R144" s="68"/>
      <c r="S144" s="68"/>
      <c r="T144" s="68"/>
      <c r="U144" s="68"/>
      <c r="V144" s="69"/>
      <c r="W144" s="164"/>
      <c r="X144" s="165"/>
      <c r="Y144" s="164"/>
      <c r="Z144" s="166"/>
      <c r="AA144" s="167"/>
      <c r="AB144" s="168"/>
      <c r="AC144" s="169"/>
      <c r="AD144" s="169"/>
      <c r="AE144" s="168"/>
      <c r="AF144" s="170"/>
      <c r="AG144" s="282"/>
      <c r="AH144" s="172"/>
      <c r="AI144" s="134"/>
      <c r="AJ144" s="76"/>
      <c r="AK144" s="76"/>
      <c r="AL144" s="76"/>
      <c r="AM144" s="8"/>
      <c r="AN144" s="8"/>
      <c r="AO144" s="8"/>
      <c r="AP144" s="8"/>
      <c r="AQ144" s="8"/>
      <c r="AR144" s="8"/>
      <c r="AS144" s="8"/>
      <c r="AT144" s="8"/>
      <c r="AU144" s="8"/>
      <c r="AV144" s="281"/>
      <c r="AW144" s="8"/>
      <c r="AX144" s="8"/>
      <c r="AY144" s="190"/>
      <c r="AZ144" s="191"/>
      <c r="BA144" s="8"/>
      <c r="BB144" s="77"/>
      <c r="BC144" s="77"/>
      <c r="BD144" s="77"/>
      <c r="BE144" s="77"/>
      <c r="BF144" s="77"/>
      <c r="BG144" s="77"/>
      <c r="BH144" s="77"/>
      <c r="BI144" s="77"/>
      <c r="BJ144" s="77"/>
      <c r="BK144" s="77"/>
      <c r="BL144" s="77"/>
      <c r="BM144" s="77"/>
      <c r="BN144" s="77"/>
      <c r="BO144" s="77"/>
      <c r="BP144" s="77"/>
      <c r="BQ144" s="77"/>
      <c r="BR144" s="77"/>
      <c r="BS144" s="77"/>
      <c r="BT144" s="77"/>
      <c r="BU144" s="77"/>
      <c r="BV144" s="77"/>
      <c r="BW144" s="77"/>
      <c r="BX144" s="77"/>
      <c r="BY144" s="77"/>
      <c r="BZ144" s="77"/>
      <c r="CA144" s="77"/>
      <c r="CB144" s="77"/>
      <c r="CC144" s="77"/>
      <c r="CD144" s="77"/>
      <c r="CE144" s="77"/>
      <c r="CF144" s="77"/>
      <c r="CG144" s="77"/>
      <c r="CH144" s="77"/>
      <c r="CI144" s="77"/>
      <c r="CJ144" s="77"/>
      <c r="CK144" s="77"/>
      <c r="CL144" s="77"/>
      <c r="CM144" s="77"/>
      <c r="CN144" s="77"/>
      <c r="CO144" s="77"/>
      <c r="CP144" s="77"/>
      <c r="CQ144" s="77"/>
      <c r="CR144" s="77"/>
      <c r="CS144" s="77"/>
      <c r="CT144" s="77"/>
      <c r="CU144" s="77"/>
      <c r="CV144" s="77"/>
      <c r="CW144" s="77"/>
      <c r="CX144" s="77"/>
      <c r="CY144" s="77"/>
      <c r="CZ144" s="77"/>
      <c r="DA144" s="77"/>
      <c r="DB144" s="77"/>
      <c r="DC144" s="77"/>
      <c r="DD144" s="77"/>
      <c r="DE144" s="77"/>
      <c r="DF144" s="77"/>
      <c r="DG144" s="77"/>
      <c r="DH144" s="77"/>
      <c r="DI144" s="77"/>
      <c r="DJ144" s="77"/>
      <c r="DK144" s="77"/>
      <c r="DL144" s="77"/>
      <c r="DM144" s="77"/>
      <c r="DN144" s="77"/>
      <c r="DO144" s="77"/>
      <c r="DP144" s="77"/>
      <c r="DQ144" s="77"/>
      <c r="DR144" s="77"/>
      <c r="DS144" s="77"/>
      <c r="DT144" s="78"/>
      <c r="DU144" s="12"/>
    </row>
    <row r="145" spans="1:125" ht="16" customHeight="1" x14ac:dyDescent="0.2">
      <c r="A145" s="68"/>
      <c r="B145" s="68"/>
      <c r="C145" s="68"/>
      <c r="D145" s="68"/>
      <c r="E145" s="68"/>
      <c r="F145" s="68"/>
      <c r="G145" s="68"/>
      <c r="H145" s="68"/>
      <c r="I145" s="68"/>
      <c r="J145" s="68"/>
      <c r="K145" s="68"/>
      <c r="L145" s="68"/>
      <c r="M145" s="68"/>
      <c r="N145" s="68"/>
      <c r="O145" s="68"/>
      <c r="P145" s="68"/>
      <c r="Q145" s="68"/>
      <c r="R145" s="68"/>
      <c r="S145" s="68"/>
      <c r="T145" s="68"/>
      <c r="U145" s="68"/>
      <c r="V145" s="80"/>
      <c r="W145" s="787" t="s">
        <v>318</v>
      </c>
      <c r="X145" s="788"/>
      <c r="Y145" s="789"/>
      <c r="Z145" s="789"/>
      <c r="AA145" s="796"/>
      <c r="AB145" s="789"/>
      <c r="AC145" s="789"/>
      <c r="AD145" s="789"/>
      <c r="AE145" s="789"/>
      <c r="AF145" s="790"/>
      <c r="AG145" s="228"/>
      <c r="AH145" s="172"/>
      <c r="AI145" s="134"/>
      <c r="AJ145" s="76"/>
      <c r="AK145" s="76"/>
      <c r="AL145" s="76"/>
      <c r="AM145" s="8"/>
      <c r="AN145" s="8"/>
      <c r="AO145" s="8"/>
      <c r="AP145" s="8"/>
      <c r="AQ145" s="8"/>
      <c r="AR145" s="8"/>
      <c r="AS145" s="8"/>
      <c r="AT145" s="8"/>
      <c r="AU145" s="8"/>
      <c r="AV145" s="281"/>
      <c r="AW145" s="8"/>
      <c r="AX145" s="8"/>
      <c r="AY145" s="190"/>
      <c r="AZ145" s="191"/>
      <c r="BA145" s="8"/>
      <c r="BB145" s="77"/>
      <c r="BC145" s="77"/>
      <c r="BD145" s="77"/>
      <c r="BE145" s="77"/>
      <c r="BF145" s="77"/>
      <c r="BG145" s="77"/>
      <c r="BH145" s="77"/>
      <c r="BI145" s="77"/>
      <c r="BJ145" s="77"/>
      <c r="BK145" s="77"/>
      <c r="BL145" s="77"/>
      <c r="BM145" s="77"/>
      <c r="BN145" s="77"/>
      <c r="BO145" s="77"/>
      <c r="BP145" s="77"/>
      <c r="BQ145" s="77"/>
      <c r="BR145" s="77"/>
      <c r="BS145" s="77"/>
      <c r="BT145" s="77"/>
      <c r="BU145" s="77"/>
      <c r="BV145" s="77"/>
      <c r="BW145" s="77"/>
      <c r="BX145" s="77"/>
      <c r="BY145" s="77"/>
      <c r="BZ145" s="77"/>
      <c r="CA145" s="77"/>
      <c r="CB145" s="77"/>
      <c r="CC145" s="77"/>
      <c r="CD145" s="77"/>
      <c r="CE145" s="77"/>
      <c r="CF145" s="77"/>
      <c r="CG145" s="77"/>
      <c r="CH145" s="77"/>
      <c r="CI145" s="77"/>
      <c r="CJ145" s="77"/>
      <c r="CK145" s="77"/>
      <c r="CL145" s="77"/>
      <c r="CM145" s="77"/>
      <c r="CN145" s="77"/>
      <c r="CO145" s="77"/>
      <c r="CP145" s="77"/>
      <c r="CQ145" s="77"/>
      <c r="CR145" s="77"/>
      <c r="CS145" s="77"/>
      <c r="CT145" s="77"/>
      <c r="CU145" s="77"/>
      <c r="CV145" s="77"/>
      <c r="CW145" s="77"/>
      <c r="CX145" s="77"/>
      <c r="CY145" s="77"/>
      <c r="CZ145" s="77"/>
      <c r="DA145" s="77"/>
      <c r="DB145" s="77"/>
      <c r="DC145" s="77"/>
      <c r="DD145" s="77"/>
      <c r="DE145" s="77"/>
      <c r="DF145" s="77"/>
      <c r="DG145" s="77"/>
      <c r="DH145" s="77"/>
      <c r="DI145" s="77"/>
      <c r="DJ145" s="77"/>
      <c r="DK145" s="77"/>
      <c r="DL145" s="77"/>
      <c r="DM145" s="77"/>
      <c r="DN145" s="77"/>
      <c r="DO145" s="77"/>
      <c r="DP145" s="77"/>
      <c r="DQ145" s="77"/>
      <c r="DR145" s="77"/>
      <c r="DS145" s="77"/>
      <c r="DT145" s="78"/>
      <c r="DU145" s="12"/>
    </row>
    <row r="146" spans="1:125" ht="16" customHeight="1" x14ac:dyDescent="0.2">
      <c r="A146" s="68"/>
      <c r="B146" s="68"/>
      <c r="C146" s="68"/>
      <c r="D146" s="68"/>
      <c r="E146" s="68"/>
      <c r="F146" s="68"/>
      <c r="G146" s="68"/>
      <c r="H146" s="68"/>
      <c r="I146" s="68"/>
      <c r="J146" s="68"/>
      <c r="K146" s="68"/>
      <c r="L146" s="68"/>
      <c r="M146" s="68"/>
      <c r="N146" s="68"/>
      <c r="O146" s="68"/>
      <c r="P146" s="68"/>
      <c r="Q146" s="68"/>
      <c r="R146" s="68"/>
      <c r="S146" s="68"/>
      <c r="T146" s="68"/>
      <c r="U146" s="68"/>
      <c r="V146" s="80"/>
      <c r="W146" s="81"/>
      <c r="X146" s="182" t="str" cm="1">
        <f t="array" ref="X146">X3</f>
        <v>Fecha</v>
      </c>
      <c r="Y146" s="182" t="str" cm="1">
        <f t="array" ref="Y146">Y3</f>
        <v>Hora</v>
      </c>
      <c r="Z146" s="223"/>
      <c r="AA146" s="224" t="str" cm="1">
        <f t="array" ref="AA146">AA3</f>
        <v>Casa</v>
      </c>
      <c r="AB146" s="232" t="s">
        <v>228</v>
      </c>
      <c r="AC146" s="82" t="s">
        <v>40</v>
      </c>
      <c r="AD146" s="82" t="s">
        <v>40</v>
      </c>
      <c r="AE146" s="232" t="s">
        <v>228</v>
      </c>
      <c r="AF146" s="225" t="str" cm="1">
        <f t="array" ref="AF146">AF3</f>
        <v>Fuera</v>
      </c>
      <c r="AG146" s="228"/>
      <c r="AH146" s="172"/>
      <c r="AI146" s="73"/>
      <c r="AJ146" s="303"/>
      <c r="AK146" s="303"/>
      <c r="AL146" s="76"/>
      <c r="AM146" s="8"/>
      <c r="AN146" s="8"/>
      <c r="AO146" s="8"/>
      <c r="AP146" s="8"/>
      <c r="AQ146" s="8"/>
      <c r="AR146" s="8"/>
      <c r="AS146" s="8"/>
      <c r="AT146" s="8"/>
      <c r="AU146" s="8"/>
      <c r="AV146" s="281"/>
      <c r="AW146" s="8"/>
      <c r="AX146" s="8"/>
      <c r="AY146" s="190"/>
      <c r="AZ146" s="191"/>
      <c r="BA146" s="8"/>
      <c r="BB146" s="77"/>
      <c r="BC146" s="77"/>
      <c r="BD146" s="77"/>
      <c r="BE146" s="77"/>
      <c r="BF146" s="77"/>
      <c r="BG146" s="77"/>
      <c r="BH146" s="77"/>
      <c r="BI146" s="77"/>
      <c r="BJ146" s="77"/>
      <c r="BK146" s="77"/>
      <c r="BL146" s="77"/>
      <c r="BM146" s="77"/>
      <c r="BN146" s="77"/>
      <c r="BO146" s="77"/>
      <c r="BP146" s="77"/>
      <c r="BQ146" s="77"/>
      <c r="BR146" s="77"/>
      <c r="BS146" s="77"/>
      <c r="BT146" s="77"/>
      <c r="BU146" s="77"/>
      <c r="BV146" s="77"/>
      <c r="BW146" s="77"/>
      <c r="BX146" s="77"/>
      <c r="BY146" s="77"/>
      <c r="BZ146" s="77"/>
      <c r="CA146" s="77"/>
      <c r="CB146" s="77"/>
      <c r="CC146" s="77"/>
      <c r="CD146" s="77"/>
      <c r="CE146" s="77"/>
      <c r="CF146" s="77"/>
      <c r="CG146" s="77"/>
      <c r="CH146" s="77"/>
      <c r="CI146" s="77"/>
      <c r="CJ146" s="77"/>
      <c r="CK146" s="77"/>
      <c r="CL146" s="77"/>
      <c r="CM146" s="77"/>
      <c r="CN146" s="77"/>
      <c r="CO146" s="77"/>
      <c r="CP146" s="77"/>
      <c r="CQ146" s="77"/>
      <c r="CR146" s="77"/>
      <c r="CS146" s="77"/>
      <c r="CT146" s="77"/>
      <c r="CU146" s="77"/>
      <c r="CV146" s="77"/>
      <c r="CW146" s="77"/>
      <c r="CX146" s="77"/>
      <c r="CY146" s="77"/>
      <c r="CZ146" s="77"/>
      <c r="DA146" s="77"/>
      <c r="DB146" s="77"/>
      <c r="DC146" s="77"/>
      <c r="DD146" s="77"/>
      <c r="DE146" s="77"/>
      <c r="DF146" s="77"/>
      <c r="DG146" s="77"/>
      <c r="DH146" s="77"/>
      <c r="DI146" s="77"/>
      <c r="DJ146" s="77"/>
      <c r="DK146" s="77"/>
      <c r="DL146" s="77"/>
      <c r="DM146" s="77"/>
      <c r="DN146" s="77"/>
      <c r="DO146" s="77"/>
      <c r="DP146" s="77"/>
      <c r="DQ146" s="77"/>
      <c r="DR146" s="77"/>
      <c r="DS146" s="77"/>
      <c r="DT146" s="78"/>
      <c r="DU146" s="12"/>
    </row>
    <row r="147" spans="1:125" ht="16" customHeight="1" x14ac:dyDescent="0.2">
      <c r="A147" s="79" t="s">
        <v>308</v>
      </c>
      <c r="B147" s="79" t="s">
        <v>312</v>
      </c>
      <c r="C147" s="68"/>
      <c r="D147" s="68" t="str" cm="1">
        <f t="array" ref="D147">IF(AND(OR(AC147="",AD147="")),"W"&amp;AH147,IF(AC147&gt;AD147,AA147,IF(AC147&lt;AD147,AF147,IF(AND(AC147=AD147,AB147=AE147),"W"&amp;AH147,IF(AND(AC147=AD147,OR(AB147="",AE147="")),"W"&amp;AH147,IF(AND(AC147=AD147,AB147&gt;AE147),AA147,AF147))))))</f>
        <v>W104</v>
      </c>
      <c r="E147" s="95">
        <v>101</v>
      </c>
      <c r="F147" s="95">
        <v>102</v>
      </c>
      <c r="G147" s="68"/>
      <c r="H147" s="68" t="str" cm="1">
        <f t="array" ref="H147">IF(AND(OR(AC147="",AD147="")),"LF",IF(AC147&gt;AD147,AF147,IF(AC147&lt;AD147,AA147,IF(AND(AC147=AD147,AB147=AE147),"LF",IF(AND(AC147=AD147,OR(AB147="",AE147="")),"LF",IF(AND(AC147=AD147,AB147&gt;AE147),AF147,AA147))))))</f>
        <v>LF</v>
      </c>
      <c r="I147" s="68"/>
      <c r="J147" s="95">
        <v>104</v>
      </c>
      <c r="K147" s="95">
        <v>46222.875</v>
      </c>
      <c r="L147" s="79" t="s">
        <v>319</v>
      </c>
      <c r="M147" s="68" t="str" cm="1">
        <f t="array" ref="M147">INDEX($D$101:$D$147,MATCH(E147,$AH$101:$AH$147,0))</f>
        <v>W101</v>
      </c>
      <c r="N147" s="68" t="str" cm="1">
        <f t="array" ref="N147">INDEX($D$101:$D$147,MATCH(F147,$AH$101:$AH$147,0))</f>
        <v>W102</v>
      </c>
      <c r="O147" s="68"/>
      <c r="P147" s="68"/>
      <c r="Q147" s="68"/>
      <c r="R147" s="68"/>
      <c r="S147" s="68"/>
      <c r="T147" s="68"/>
      <c r="U147" s="68"/>
      <c r="V147" s="80"/>
      <c r="W147" s="304" t="s">
        <v>156</v>
      </c>
      <c r="X147" s="288">
        <v>46222.625</v>
      </c>
      <c r="Y147" s="149">
        <v>46222.625</v>
      </c>
      <c r="Z147" s="294" cm="1">
        <f t="array" ref="Z147">AH147</f>
        <v>104</v>
      </c>
      <c r="AA147" s="295" t="str" cm="1">
        <f t="array" ref="AA147">IF(AND(OR(AC138="",AD138="")),"W"&amp;AH138,IF(AC138&gt;AD138,AA138,IF(AC138&lt;AD138,AF138,IF(AND(AC138=AD138,AB138=AE138),"W"&amp;AH138,IF(AND(AC138=AD138,OR(AB138="",AE138="")),"W"&amp;AH138,IF(AND(AC138=AD138,AB138&gt;AE138),AA138,AF138))))))</f>
        <v>W101</v>
      </c>
      <c r="AB147" s="299"/>
      <c r="AC147" s="300"/>
      <c r="AD147" s="300"/>
      <c r="AE147" s="301"/>
      <c r="AF147" s="302" t="str" cm="1">
        <f t="array" ref="AF147">IF(AND(OR(AC139="",AD139="")),"W"&amp;AH139,IF(AC139&gt;AD139,AA139,IF(AC139&lt;AD139,AF139,IF(AND(AC139=AD139,AB139=AE139),"W"&amp;AH139,IF(AND(AC139=AD139,OR(AB139="",AE139="")),"W"&amp;AH139,IF(AND(AC139=AD139,AB139&gt;AE139),AA139,AF139))))))</f>
        <v>W102</v>
      </c>
      <c r="AG147" s="104" cm="1">
        <f t="array" ref="AG147">IF(D147="W"&amp;AH147,0,1)</f>
        <v>0</v>
      </c>
      <c r="AH147" s="105">
        <v>104</v>
      </c>
      <c r="AI147" s="73"/>
      <c r="AJ147" s="303"/>
      <c r="AK147" s="303"/>
      <c r="AL147" s="76"/>
      <c r="AM147" s="303"/>
      <c r="AN147" s="303"/>
      <c r="AO147" s="303"/>
      <c r="AP147" s="303"/>
      <c r="AQ147" s="303"/>
      <c r="AR147" s="303"/>
      <c r="AS147" s="303"/>
      <c r="AT147" s="303"/>
      <c r="AU147" s="74"/>
      <c r="AV147" s="74"/>
      <c r="AW147" s="76"/>
      <c r="AX147" s="76"/>
      <c r="AY147" s="190"/>
      <c r="AZ147" s="191"/>
      <c r="BA147" s="8"/>
      <c r="BB147" s="77"/>
      <c r="BC147" s="77"/>
      <c r="BD147" s="77"/>
      <c r="BE147" s="77"/>
      <c r="BF147" s="77"/>
      <c r="BG147" s="77"/>
      <c r="BH147" s="77"/>
      <c r="BI147" s="77"/>
      <c r="BJ147" s="77"/>
      <c r="BK147" s="77"/>
      <c r="BL147" s="77"/>
      <c r="BM147" s="77"/>
      <c r="BN147" s="77"/>
      <c r="BO147" s="77"/>
      <c r="BP147" s="77"/>
      <c r="BQ147" s="77"/>
      <c r="BR147" s="77"/>
      <c r="BS147" s="77"/>
      <c r="BT147" s="77"/>
      <c r="BU147" s="77"/>
      <c r="BV147" s="77"/>
      <c r="BW147" s="77"/>
      <c r="BX147" s="77"/>
      <c r="BY147" s="77"/>
      <c r="BZ147" s="77"/>
      <c r="CA147" s="77"/>
      <c r="CB147" s="77"/>
      <c r="CC147" s="77"/>
      <c r="CD147" s="77"/>
      <c r="CE147" s="77"/>
      <c r="CF147" s="77"/>
      <c r="CG147" s="77"/>
      <c r="CH147" s="77"/>
      <c r="CI147" s="77"/>
      <c r="CJ147" s="77"/>
      <c r="CK147" s="77"/>
      <c r="CL147" s="77"/>
      <c r="CM147" s="77"/>
      <c r="CN147" s="77"/>
      <c r="CO147" s="77"/>
      <c r="CP147" s="77"/>
      <c r="CQ147" s="77"/>
      <c r="CR147" s="77"/>
      <c r="CS147" s="77"/>
      <c r="CT147" s="77"/>
      <c r="CU147" s="77"/>
      <c r="CV147" s="77"/>
      <c r="CW147" s="77"/>
      <c r="CX147" s="77"/>
      <c r="CY147" s="77"/>
      <c r="CZ147" s="77"/>
      <c r="DA147" s="77"/>
      <c r="DB147" s="77"/>
      <c r="DC147" s="77"/>
      <c r="DD147" s="77"/>
      <c r="DE147" s="77"/>
      <c r="DF147" s="77"/>
      <c r="DG147" s="77"/>
      <c r="DH147" s="77"/>
      <c r="DI147" s="77"/>
      <c r="DJ147" s="77"/>
      <c r="DK147" s="77"/>
      <c r="DL147" s="77"/>
      <c r="DM147" s="77"/>
      <c r="DN147" s="77"/>
      <c r="DO147" s="77"/>
      <c r="DP147" s="77"/>
      <c r="DQ147" s="77"/>
      <c r="DR147" s="77"/>
      <c r="DS147" s="77"/>
      <c r="DT147" s="78"/>
      <c r="DU147" s="12"/>
    </row>
    <row r="148" spans="1:125" ht="16" customHeight="1" x14ac:dyDescent="0.2">
      <c r="A148" s="68"/>
      <c r="B148" s="68"/>
      <c r="C148" s="68"/>
      <c r="D148" s="68"/>
      <c r="E148" s="68"/>
      <c r="F148" s="68"/>
      <c r="G148" s="68"/>
      <c r="H148" s="68"/>
      <c r="I148" s="68"/>
      <c r="J148" s="68"/>
      <c r="K148" s="68"/>
      <c r="L148" s="68"/>
      <c r="M148" s="68"/>
      <c r="N148" s="68"/>
      <c r="O148" s="68"/>
      <c r="P148" s="68"/>
      <c r="Q148" s="68"/>
      <c r="R148" s="68"/>
      <c r="S148" s="68"/>
      <c r="T148" s="68"/>
      <c r="U148" s="68"/>
      <c r="V148" s="69"/>
      <c r="W148" s="164"/>
      <c r="X148" s="165"/>
      <c r="Y148" s="164"/>
      <c r="Z148" s="166"/>
      <c r="AA148" s="167"/>
      <c r="AB148" s="168"/>
      <c r="AC148" s="169"/>
      <c r="AD148" s="169"/>
      <c r="AE148" s="168"/>
      <c r="AF148" s="170"/>
      <c r="AG148" s="282"/>
      <c r="AH148" s="178"/>
      <c r="AI148" s="178"/>
      <c r="AJ148" s="8"/>
      <c r="AK148" s="8"/>
      <c r="AL148" s="305" t="s">
        <v>320</v>
      </c>
      <c r="AM148" s="305" t="s">
        <v>321</v>
      </c>
      <c r="AN148" s="8"/>
      <c r="AO148" s="8"/>
      <c r="AP148" s="8"/>
      <c r="AQ148" s="8"/>
      <c r="AR148" s="8"/>
      <c r="AS148" s="8"/>
      <c r="AT148" s="8"/>
      <c r="AU148" s="8"/>
      <c r="AV148" s="281"/>
      <c r="AW148" s="8"/>
      <c r="AX148" s="8"/>
      <c r="AY148" s="190"/>
      <c r="AZ148" s="191"/>
      <c r="BA148" s="8"/>
      <c r="BB148" s="77"/>
      <c r="BC148" s="77"/>
      <c r="BD148" s="77"/>
      <c r="BE148" s="77"/>
      <c r="BF148" s="77"/>
      <c r="BG148" s="77"/>
      <c r="BH148" s="77"/>
      <c r="BI148" s="77"/>
      <c r="BJ148" s="77"/>
      <c r="BK148" s="77"/>
      <c r="BL148" s="77"/>
      <c r="BM148" s="77"/>
      <c r="BN148" s="77"/>
      <c r="BO148" s="77"/>
      <c r="BP148" s="77"/>
      <c r="BQ148" s="77"/>
      <c r="BR148" s="77"/>
      <c r="BS148" s="77"/>
      <c r="BT148" s="77"/>
      <c r="BU148" s="77"/>
      <c r="BV148" s="77"/>
      <c r="BW148" s="77"/>
      <c r="BX148" s="77"/>
      <c r="BY148" s="77"/>
      <c r="BZ148" s="77"/>
      <c r="CA148" s="77"/>
      <c r="CB148" s="77"/>
      <c r="CC148" s="77"/>
      <c r="CD148" s="77"/>
      <c r="CE148" s="77"/>
      <c r="CF148" s="77"/>
      <c r="CG148" s="77"/>
      <c r="CH148" s="77"/>
      <c r="CI148" s="77"/>
      <c r="CJ148" s="77"/>
      <c r="CK148" s="77"/>
      <c r="CL148" s="77"/>
      <c r="CM148" s="77"/>
      <c r="CN148" s="77"/>
      <c r="CO148" s="77"/>
      <c r="CP148" s="77"/>
      <c r="CQ148" s="77"/>
      <c r="CR148" s="77"/>
      <c r="CS148" s="77"/>
      <c r="CT148" s="77"/>
      <c r="CU148" s="77"/>
      <c r="CV148" s="77"/>
      <c r="CW148" s="77"/>
      <c r="CX148" s="77"/>
      <c r="CY148" s="77"/>
      <c r="CZ148" s="77"/>
      <c r="DA148" s="77"/>
      <c r="DB148" s="77"/>
      <c r="DC148" s="77"/>
      <c r="DD148" s="77"/>
      <c r="DE148" s="77"/>
      <c r="DF148" s="77"/>
      <c r="DG148" s="77"/>
      <c r="DH148" s="77"/>
      <c r="DI148" s="77"/>
      <c r="DJ148" s="77"/>
      <c r="DK148" s="77"/>
      <c r="DL148" s="77"/>
      <c r="DM148" s="77"/>
      <c r="DN148" s="77"/>
      <c r="DO148" s="77"/>
      <c r="DP148" s="77"/>
      <c r="DQ148" s="77"/>
      <c r="DR148" s="77"/>
      <c r="DS148" s="77"/>
      <c r="DT148" s="78"/>
      <c r="DU148" s="12"/>
    </row>
    <row r="149" spans="1:125" ht="16" customHeight="1" x14ac:dyDescent="0.2">
      <c r="A149" s="68"/>
      <c r="B149" s="68"/>
      <c r="C149" s="68"/>
      <c r="D149" s="68"/>
      <c r="E149" s="68"/>
      <c r="F149" s="68"/>
      <c r="G149" s="68"/>
      <c r="H149" s="68"/>
      <c r="I149" s="68"/>
      <c r="J149" s="68"/>
      <c r="K149" s="68"/>
      <c r="L149" s="68"/>
      <c r="M149" s="68"/>
      <c r="N149" s="68"/>
      <c r="O149" s="68"/>
      <c r="P149" s="68"/>
      <c r="Q149" s="68"/>
      <c r="R149" s="68"/>
      <c r="S149" s="68"/>
      <c r="T149" s="68"/>
      <c r="U149" s="68"/>
      <c r="V149" s="80"/>
      <c r="W149" s="306"/>
      <c r="X149" s="307"/>
      <c r="Y149" s="308"/>
      <c r="Z149" s="308"/>
      <c r="AA149" s="309" t="s">
        <v>322</v>
      </c>
      <c r="AB149" s="310"/>
      <c r="AC149" s="311"/>
      <c r="AD149" s="311"/>
      <c r="AE149" s="310"/>
      <c r="AF149" s="312"/>
      <c r="AG149" s="313"/>
      <c r="AH149" s="314"/>
      <c r="AI149" s="303"/>
      <c r="AJ149" s="303"/>
      <c r="AK149" s="303"/>
      <c r="AL149" s="303"/>
      <c r="AM149" s="303"/>
      <c r="AN149" s="303"/>
      <c r="AO149" s="303"/>
      <c r="AP149" s="303"/>
      <c r="AQ149" s="303"/>
      <c r="AR149" s="303"/>
      <c r="AS149" s="303"/>
      <c r="AT149" s="303"/>
      <c r="AU149" s="303"/>
      <c r="AV149" s="281"/>
      <c r="AW149" s="8"/>
      <c r="AX149" s="8"/>
      <c r="AY149" s="190"/>
      <c r="AZ149" s="191"/>
      <c r="BA149" s="8"/>
      <c r="BB149" s="77"/>
      <c r="BC149" s="77"/>
      <c r="BD149" s="77"/>
      <c r="BE149" s="77"/>
      <c r="BF149" s="77"/>
      <c r="BG149" s="77"/>
      <c r="BH149" s="77"/>
      <c r="BI149" s="77"/>
      <c r="BJ149" s="77"/>
      <c r="BK149" s="77"/>
      <c r="BL149" s="77"/>
      <c r="BM149" s="77"/>
      <c r="BN149" s="77"/>
      <c r="BO149" s="77"/>
      <c r="BP149" s="77"/>
      <c r="BQ149" s="77"/>
      <c r="BR149" s="77"/>
      <c r="BS149" s="77"/>
      <c r="BT149" s="77"/>
      <c r="BU149" s="77"/>
      <c r="BV149" s="77"/>
      <c r="BW149" s="77"/>
      <c r="BX149" s="77"/>
      <c r="BY149" s="77"/>
      <c r="BZ149" s="77"/>
      <c r="CA149" s="77"/>
      <c r="CB149" s="77"/>
      <c r="CC149" s="77"/>
      <c r="CD149" s="77"/>
      <c r="CE149" s="77"/>
      <c r="CF149" s="77"/>
      <c r="CG149" s="77"/>
      <c r="CH149" s="77"/>
      <c r="CI149" s="77"/>
      <c r="CJ149" s="77"/>
      <c r="CK149" s="77"/>
      <c r="CL149" s="77"/>
      <c r="CM149" s="77"/>
      <c r="CN149" s="77"/>
      <c r="CO149" s="77"/>
      <c r="CP149" s="77"/>
      <c r="CQ149" s="77"/>
      <c r="CR149" s="77"/>
      <c r="CS149" s="77"/>
      <c r="CT149" s="77"/>
      <c r="CU149" s="77"/>
      <c r="CV149" s="77"/>
      <c r="CW149" s="77"/>
      <c r="CX149" s="77"/>
      <c r="CY149" s="77"/>
      <c r="CZ149" s="77"/>
      <c r="DA149" s="77"/>
      <c r="DB149" s="77"/>
      <c r="DC149" s="77"/>
      <c r="DD149" s="77"/>
      <c r="DE149" s="77"/>
      <c r="DF149" s="77"/>
      <c r="DG149" s="77"/>
      <c r="DH149" s="77"/>
      <c r="DI149" s="77"/>
      <c r="DJ149" s="77"/>
      <c r="DK149" s="77"/>
      <c r="DL149" s="77"/>
      <c r="DM149" s="77"/>
      <c r="DN149" s="77"/>
      <c r="DO149" s="77"/>
      <c r="DP149" s="77"/>
      <c r="DQ149" s="77"/>
      <c r="DR149" s="77"/>
      <c r="DS149" s="77"/>
      <c r="DT149" s="78"/>
      <c r="DU149" s="12"/>
    </row>
    <row r="150" spans="1:125" ht="16" customHeight="1" x14ac:dyDescent="0.2">
      <c r="A150" s="68"/>
      <c r="B150" s="68"/>
      <c r="C150" s="68"/>
      <c r="D150" s="68"/>
      <c r="E150" s="68"/>
      <c r="F150" s="68"/>
      <c r="G150" s="68"/>
      <c r="H150" s="68"/>
      <c r="I150" s="68"/>
      <c r="J150" s="68"/>
      <c r="K150" s="68"/>
      <c r="L150" s="68"/>
      <c r="M150" s="68"/>
      <c r="N150" s="68"/>
      <c r="O150" s="68"/>
      <c r="P150" s="68"/>
      <c r="Q150" s="68"/>
      <c r="R150" s="68"/>
      <c r="S150" s="68"/>
      <c r="T150" s="68"/>
      <c r="U150" s="68"/>
      <c r="V150" s="80"/>
      <c r="W150" s="315" t="s">
        <v>323</v>
      </c>
      <c r="X150" s="316"/>
      <c r="Y150" s="317"/>
      <c r="Z150" s="318"/>
      <c r="AA150" s="319" t="str" cm="1">
        <f t="array" ref="AA150">IF(AND(OR(AC147="",AD147="")),"WF",IF(AC147&gt;AD147,AA147,IF(AC147&lt;AD147,AF147,IF(AND(AC147=AD147,AB147=AE147),"WF",IF(AND(AC147=AD147,OR(AB147="",AE147="")),"WF",IF(AND(AC147=AD147,AB147&gt;AE147),AA147,AF147))))))</f>
        <v>WF</v>
      </c>
      <c r="AB150" s="254"/>
      <c r="AC150" s="254"/>
      <c r="AD150" s="254"/>
      <c r="AE150" s="254"/>
      <c r="AF150" s="320"/>
      <c r="AG150" s="104" cm="1">
        <f t="array" ref="AG150">IF(AA150="WF",0,1)</f>
        <v>0</v>
      </c>
      <c r="AH150" s="314"/>
      <c r="AI150" s="303"/>
      <c r="AJ150" s="303"/>
      <c r="AK150" s="303"/>
      <c r="AL150" s="303"/>
      <c r="AM150" s="303"/>
      <c r="AN150" s="303"/>
      <c r="AO150" s="303"/>
      <c r="AP150" s="303"/>
      <c r="AQ150" s="303"/>
      <c r="AR150" s="303"/>
      <c r="AS150" s="303"/>
      <c r="AT150" s="303"/>
      <c r="AU150" s="303"/>
      <c r="AV150" s="314"/>
      <c r="AW150" s="303"/>
      <c r="AX150" s="303"/>
      <c r="AY150" s="190"/>
      <c r="AZ150" s="191"/>
      <c r="BA150" s="8"/>
      <c r="BB150" s="77"/>
      <c r="BC150" s="77"/>
      <c r="BD150" s="77"/>
      <c r="BE150" s="77"/>
      <c r="BF150" s="77"/>
      <c r="BG150" s="77"/>
      <c r="BH150" s="77"/>
      <c r="BI150" s="77"/>
      <c r="BJ150" s="77"/>
      <c r="BK150" s="77"/>
      <c r="BL150" s="77"/>
      <c r="BM150" s="77"/>
      <c r="BN150" s="77"/>
      <c r="BO150" s="77"/>
      <c r="BP150" s="77"/>
      <c r="BQ150" s="77"/>
      <c r="BR150" s="77"/>
      <c r="BS150" s="77"/>
      <c r="BT150" s="77"/>
      <c r="BU150" s="77"/>
      <c r="BV150" s="77"/>
      <c r="BW150" s="77"/>
      <c r="BX150" s="77"/>
      <c r="BY150" s="77"/>
      <c r="BZ150" s="77"/>
      <c r="CA150" s="77"/>
      <c r="CB150" s="77"/>
      <c r="CC150" s="77"/>
      <c r="CD150" s="77"/>
      <c r="CE150" s="77"/>
      <c r="CF150" s="77"/>
      <c r="CG150" s="77"/>
      <c r="CH150" s="77"/>
      <c r="CI150" s="77"/>
      <c r="CJ150" s="77"/>
      <c r="CK150" s="77"/>
      <c r="CL150" s="77"/>
      <c r="CM150" s="77"/>
      <c r="CN150" s="77"/>
      <c r="CO150" s="77"/>
      <c r="CP150" s="77"/>
      <c r="CQ150" s="77"/>
      <c r="CR150" s="77"/>
      <c r="CS150" s="77"/>
      <c r="CT150" s="77"/>
      <c r="CU150" s="77"/>
      <c r="CV150" s="77"/>
      <c r="CW150" s="77"/>
      <c r="CX150" s="77"/>
      <c r="CY150" s="77"/>
      <c r="CZ150" s="77"/>
      <c r="DA150" s="77"/>
      <c r="DB150" s="77"/>
      <c r="DC150" s="77"/>
      <c r="DD150" s="77"/>
      <c r="DE150" s="77"/>
      <c r="DF150" s="77"/>
      <c r="DG150" s="77"/>
      <c r="DH150" s="77"/>
      <c r="DI150" s="77"/>
      <c r="DJ150" s="77"/>
      <c r="DK150" s="77"/>
      <c r="DL150" s="77"/>
      <c r="DM150" s="77"/>
      <c r="DN150" s="77"/>
      <c r="DO150" s="77"/>
      <c r="DP150" s="77"/>
      <c r="DQ150" s="77"/>
      <c r="DR150" s="77"/>
      <c r="DS150" s="77"/>
      <c r="DT150" s="78"/>
      <c r="DU150" s="12"/>
    </row>
    <row r="151" spans="1:125" ht="16" customHeight="1" x14ac:dyDescent="0.2">
      <c r="A151" s="68"/>
      <c r="B151" s="68"/>
      <c r="C151" s="68"/>
      <c r="D151" s="68"/>
      <c r="E151" s="68"/>
      <c r="F151" s="68"/>
      <c r="G151" s="68"/>
      <c r="H151" s="68"/>
      <c r="I151" s="68"/>
      <c r="J151" s="68"/>
      <c r="K151" s="68"/>
      <c r="L151" s="68"/>
      <c r="M151" s="68"/>
      <c r="N151" s="68"/>
      <c r="O151" s="68"/>
      <c r="P151" s="68"/>
      <c r="Q151" s="68"/>
      <c r="R151" s="68"/>
      <c r="S151" s="68"/>
      <c r="T151" s="68"/>
      <c r="U151" s="68"/>
      <c r="V151" s="80"/>
      <c r="W151" s="315" t="s">
        <v>324</v>
      </c>
      <c r="X151" s="316"/>
      <c r="Y151" s="317"/>
      <c r="Z151" s="318"/>
      <c r="AA151" s="321" t="str" cm="1">
        <f t="array" ref="AA151">IF(AND(OR(AC147="",AD147="")),"LF",IF(AC147&gt;AD147,AF147,IF(AC147&lt;AD147,AA147,IF(AND(AC147=AD147,AB147=AE147),"LF",IF(AND(AC147=AD147,OR(AB147="",AE147="")),"LF",IF(AND(AC147=AD147,AB147&gt;AE147),AF147,AA147))))))</f>
        <v>LF</v>
      </c>
      <c r="AB151" s="322"/>
      <c r="AC151" s="322"/>
      <c r="AD151" s="322"/>
      <c r="AE151" s="322"/>
      <c r="AF151" s="323"/>
      <c r="AG151" s="104" cm="1">
        <f t="array" ref="AG151">IF(AA151="LF",0,1)</f>
        <v>0</v>
      </c>
      <c r="AH151" s="314"/>
      <c r="AI151" s="303"/>
      <c r="AJ151" s="303"/>
      <c r="AK151" s="303"/>
      <c r="AL151" s="303"/>
      <c r="AM151" s="303"/>
      <c r="AN151" s="303"/>
      <c r="AO151" s="303"/>
      <c r="AP151" s="303"/>
      <c r="AQ151" s="303"/>
      <c r="AR151" s="303"/>
      <c r="AS151" s="303"/>
      <c r="AT151" s="303"/>
      <c r="AU151" s="303"/>
      <c r="AV151" s="324"/>
      <c r="AW151" s="191"/>
      <c r="AX151" s="190"/>
      <c r="AY151" s="325"/>
      <c r="AZ151" s="326"/>
      <c r="BA151" s="8"/>
      <c r="BB151" s="77"/>
      <c r="BC151" s="77"/>
      <c r="BD151" s="77"/>
      <c r="BE151" s="77"/>
      <c r="BF151" s="77"/>
      <c r="BG151" s="77"/>
      <c r="BH151" s="77"/>
      <c r="BI151" s="77"/>
      <c r="BJ151" s="77"/>
      <c r="BK151" s="77"/>
      <c r="BL151" s="77"/>
      <c r="BM151" s="77"/>
      <c r="BN151" s="77"/>
      <c r="BO151" s="77"/>
      <c r="BP151" s="77"/>
      <c r="BQ151" s="77"/>
      <c r="BR151" s="77"/>
      <c r="BS151" s="77"/>
      <c r="BT151" s="77"/>
      <c r="BU151" s="77"/>
      <c r="BV151" s="77"/>
      <c r="BW151" s="77"/>
      <c r="BX151" s="77"/>
      <c r="BY151" s="77"/>
      <c r="BZ151" s="77"/>
      <c r="CA151" s="77"/>
      <c r="CB151" s="77"/>
      <c r="CC151" s="77"/>
      <c r="CD151" s="77"/>
      <c r="CE151" s="77"/>
      <c r="CF151" s="77"/>
      <c r="CG151" s="77"/>
      <c r="CH151" s="77"/>
      <c r="CI151" s="77"/>
      <c r="CJ151" s="77"/>
      <c r="CK151" s="77"/>
      <c r="CL151" s="77"/>
      <c r="CM151" s="77"/>
      <c r="CN151" s="77"/>
      <c r="CO151" s="77"/>
      <c r="CP151" s="77"/>
      <c r="CQ151" s="77"/>
      <c r="CR151" s="77"/>
      <c r="CS151" s="77"/>
      <c r="CT151" s="77"/>
      <c r="CU151" s="77"/>
      <c r="CV151" s="77"/>
      <c r="CW151" s="77"/>
      <c r="CX151" s="77"/>
      <c r="CY151" s="77"/>
      <c r="CZ151" s="77"/>
      <c r="DA151" s="77"/>
      <c r="DB151" s="77"/>
      <c r="DC151" s="77"/>
      <c r="DD151" s="77"/>
      <c r="DE151" s="77"/>
      <c r="DF151" s="77"/>
      <c r="DG151" s="77"/>
      <c r="DH151" s="77"/>
      <c r="DI151" s="77"/>
      <c r="DJ151" s="77"/>
      <c r="DK151" s="77"/>
      <c r="DL151" s="77"/>
      <c r="DM151" s="77"/>
      <c r="DN151" s="77"/>
      <c r="DO151" s="77"/>
      <c r="DP151" s="77"/>
      <c r="DQ151" s="77"/>
      <c r="DR151" s="77"/>
      <c r="DS151" s="77"/>
      <c r="DT151" s="78"/>
      <c r="DU151" s="12"/>
    </row>
    <row r="152" spans="1:125" ht="16" customHeight="1" x14ac:dyDescent="0.2">
      <c r="A152" s="68"/>
      <c r="B152" s="68"/>
      <c r="C152" s="68"/>
      <c r="D152" s="68"/>
      <c r="E152" s="68"/>
      <c r="F152" s="68"/>
      <c r="G152" s="68"/>
      <c r="H152" s="68"/>
      <c r="I152" s="68"/>
      <c r="J152" s="68"/>
      <c r="K152" s="68"/>
      <c r="L152" s="68"/>
      <c r="M152" s="68"/>
      <c r="N152" s="68"/>
      <c r="O152" s="68"/>
      <c r="P152" s="68"/>
      <c r="Q152" s="68"/>
      <c r="R152" s="68"/>
      <c r="S152" s="68"/>
      <c r="T152" s="68"/>
      <c r="U152" s="68"/>
      <c r="V152" s="80"/>
      <c r="W152" s="327" t="s">
        <v>325</v>
      </c>
      <c r="X152" s="328"/>
      <c r="Y152" s="329"/>
      <c r="Z152" s="330"/>
      <c r="AA152" s="331" t="str" cm="1">
        <f t="array" ref="AA152">IF(AND(OR(AC143="",AD143="")),"W34",IF(AC143&gt;AD143,AA143,IF(AC143&lt;AD143,AF143,IF(AND(AC143=AD143,AB143=AE143),"W34",IF(AND(AC143=AD143,OR(AB143="",AE143="")),"W34",IF(AND(AC143=AD143,AB143&gt;AE143),AA143,AF143))))))</f>
        <v>W34</v>
      </c>
      <c r="AB152" s="332"/>
      <c r="AC152" s="332"/>
      <c r="AD152" s="332"/>
      <c r="AE152" s="332"/>
      <c r="AF152" s="333"/>
      <c r="AG152" s="104" cm="1">
        <f t="array" ref="AG152">IF(AA152="W34",0,1)</f>
        <v>0</v>
      </c>
      <c r="AH152" s="314"/>
      <c r="AI152" s="303"/>
      <c r="AJ152" s="303"/>
      <c r="AK152" s="303"/>
      <c r="AL152" s="303"/>
      <c r="AM152" s="303"/>
      <c r="AN152" s="303"/>
      <c r="AO152" s="303"/>
      <c r="AP152" s="303"/>
      <c r="AQ152" s="303"/>
      <c r="AR152" s="303"/>
      <c r="AS152" s="303"/>
      <c r="AT152" s="303"/>
      <c r="AU152" s="303"/>
      <c r="AV152" s="324"/>
      <c r="AW152" s="191"/>
      <c r="AX152" s="190"/>
      <c r="AY152" s="325"/>
      <c r="AZ152" s="326"/>
      <c r="BA152" s="8"/>
      <c r="BB152" s="77"/>
      <c r="BC152" s="77"/>
      <c r="BD152" s="77"/>
      <c r="BE152" s="77"/>
      <c r="BF152" s="77"/>
      <c r="BG152" s="77"/>
      <c r="BH152" s="77"/>
      <c r="BI152" s="77"/>
      <c r="BJ152" s="77"/>
      <c r="BK152" s="77"/>
      <c r="BL152" s="77"/>
      <c r="BM152" s="77"/>
      <c r="BN152" s="77"/>
      <c r="BO152" s="77"/>
      <c r="BP152" s="77"/>
      <c r="BQ152" s="77"/>
      <c r="BR152" s="77"/>
      <c r="BS152" s="77"/>
      <c r="BT152" s="77"/>
      <c r="BU152" s="77"/>
      <c r="BV152" s="77"/>
      <c r="BW152" s="77"/>
      <c r="BX152" s="77"/>
      <c r="BY152" s="77"/>
      <c r="BZ152" s="77"/>
      <c r="CA152" s="77"/>
      <c r="CB152" s="77"/>
      <c r="CC152" s="77"/>
      <c r="CD152" s="77"/>
      <c r="CE152" s="77"/>
      <c r="CF152" s="77"/>
      <c r="CG152" s="77"/>
      <c r="CH152" s="77"/>
      <c r="CI152" s="77"/>
      <c r="CJ152" s="77"/>
      <c r="CK152" s="77"/>
      <c r="CL152" s="77"/>
      <c r="CM152" s="77"/>
      <c r="CN152" s="77"/>
      <c r="CO152" s="77"/>
      <c r="CP152" s="77"/>
      <c r="CQ152" s="77"/>
      <c r="CR152" s="77"/>
      <c r="CS152" s="77"/>
      <c r="CT152" s="77"/>
      <c r="CU152" s="77"/>
      <c r="CV152" s="77"/>
      <c r="CW152" s="77"/>
      <c r="CX152" s="77"/>
      <c r="CY152" s="77"/>
      <c r="CZ152" s="77"/>
      <c r="DA152" s="77"/>
      <c r="DB152" s="77"/>
      <c r="DC152" s="77"/>
      <c r="DD152" s="77"/>
      <c r="DE152" s="77"/>
      <c r="DF152" s="77"/>
      <c r="DG152" s="77"/>
      <c r="DH152" s="77"/>
      <c r="DI152" s="77"/>
      <c r="DJ152" s="77"/>
      <c r="DK152" s="77"/>
      <c r="DL152" s="77"/>
      <c r="DM152" s="77"/>
      <c r="DN152" s="77"/>
      <c r="DO152" s="77"/>
      <c r="DP152" s="77"/>
      <c r="DQ152" s="77"/>
      <c r="DR152" s="77"/>
      <c r="DS152" s="77"/>
      <c r="DT152" s="78"/>
      <c r="DU152" s="12"/>
    </row>
    <row r="153" spans="1:125" ht="16" customHeight="1" x14ac:dyDescent="0.2">
      <c r="A153" s="68"/>
      <c r="B153" s="68"/>
      <c r="C153" s="68"/>
      <c r="D153" s="68"/>
      <c r="E153" s="68"/>
      <c r="F153" s="68"/>
      <c r="G153" s="68"/>
      <c r="H153" s="68"/>
      <c r="I153" s="68"/>
      <c r="J153" s="68"/>
      <c r="K153" s="68"/>
      <c r="L153" s="68"/>
      <c r="M153" s="68"/>
      <c r="N153" s="68"/>
      <c r="O153" s="68"/>
      <c r="P153" s="68"/>
      <c r="Q153" s="68"/>
      <c r="R153" s="68"/>
      <c r="S153" s="68"/>
      <c r="T153" s="68"/>
      <c r="U153" s="68"/>
      <c r="V153" s="69"/>
      <c r="W153" s="164"/>
      <c r="X153" s="165"/>
      <c r="Y153" s="164"/>
      <c r="Z153" s="166"/>
      <c r="AA153" s="167"/>
      <c r="AB153" s="168"/>
      <c r="AC153" s="169"/>
      <c r="AD153" s="169"/>
      <c r="AE153" s="168"/>
      <c r="AF153" s="170"/>
      <c r="AG153" s="216"/>
      <c r="AH153" s="314"/>
      <c r="AI153" s="303"/>
      <c r="AJ153" s="303"/>
      <c r="AK153" s="303"/>
      <c r="AL153" s="303"/>
      <c r="AM153" s="303"/>
      <c r="AN153" s="303"/>
      <c r="AO153" s="303"/>
      <c r="AP153" s="303"/>
      <c r="AQ153" s="303"/>
      <c r="AR153" s="303"/>
      <c r="AS153" s="303"/>
      <c r="AT153" s="303"/>
      <c r="AU153" s="303"/>
      <c r="AV153" s="324"/>
      <c r="AW153" s="191"/>
      <c r="AX153" s="190"/>
      <c r="AY153" s="325"/>
      <c r="AZ153" s="326"/>
      <c r="BA153" s="8"/>
      <c r="BB153" s="77"/>
      <c r="BC153" s="77"/>
      <c r="BD153" s="77"/>
      <c r="BE153" s="77"/>
      <c r="BF153" s="77"/>
      <c r="BG153" s="77"/>
      <c r="BH153" s="77"/>
      <c r="BI153" s="77"/>
      <c r="BJ153" s="77"/>
      <c r="BK153" s="77"/>
      <c r="BL153" s="77"/>
      <c r="BM153" s="77"/>
      <c r="BN153" s="77"/>
      <c r="BO153" s="77"/>
      <c r="BP153" s="77"/>
      <c r="BQ153" s="77"/>
      <c r="BR153" s="77"/>
      <c r="BS153" s="77"/>
      <c r="BT153" s="77"/>
      <c r="BU153" s="77"/>
      <c r="BV153" s="77"/>
      <c r="BW153" s="77"/>
      <c r="BX153" s="77"/>
      <c r="BY153" s="77"/>
      <c r="BZ153" s="77"/>
      <c r="CA153" s="77"/>
      <c r="CB153" s="77"/>
      <c r="CC153" s="77"/>
      <c r="CD153" s="77"/>
      <c r="CE153" s="77"/>
      <c r="CF153" s="77"/>
      <c r="CG153" s="77"/>
      <c r="CH153" s="77"/>
      <c r="CI153" s="77"/>
      <c r="CJ153" s="77"/>
      <c r="CK153" s="77"/>
      <c r="CL153" s="77"/>
      <c r="CM153" s="77"/>
      <c r="CN153" s="77"/>
      <c r="CO153" s="77"/>
      <c r="CP153" s="77"/>
      <c r="CQ153" s="77"/>
      <c r="CR153" s="77"/>
      <c r="CS153" s="77"/>
      <c r="CT153" s="77"/>
      <c r="CU153" s="77"/>
      <c r="CV153" s="77"/>
      <c r="CW153" s="77"/>
      <c r="CX153" s="77"/>
      <c r="CY153" s="77"/>
      <c r="CZ153" s="77"/>
      <c r="DA153" s="77"/>
      <c r="DB153" s="77"/>
      <c r="DC153" s="77"/>
      <c r="DD153" s="77"/>
      <c r="DE153" s="77"/>
      <c r="DF153" s="77"/>
      <c r="DG153" s="77"/>
      <c r="DH153" s="77"/>
      <c r="DI153" s="77"/>
      <c r="DJ153" s="77"/>
      <c r="DK153" s="77"/>
      <c r="DL153" s="77"/>
      <c r="DM153" s="77"/>
      <c r="DN153" s="77"/>
      <c r="DO153" s="77"/>
      <c r="DP153" s="77"/>
      <c r="DQ153" s="77"/>
      <c r="DR153" s="77"/>
      <c r="DS153" s="77"/>
      <c r="DT153" s="78"/>
      <c r="DU153" s="12"/>
    </row>
    <row r="154" spans="1:125" ht="16" customHeight="1" x14ac:dyDescent="0.2">
      <c r="A154" s="68"/>
      <c r="B154" s="68"/>
      <c r="C154" s="68"/>
      <c r="D154" s="68"/>
      <c r="E154" s="68"/>
      <c r="F154" s="68"/>
      <c r="G154" s="68"/>
      <c r="H154" s="68"/>
      <c r="I154" s="68"/>
      <c r="J154" s="68"/>
      <c r="K154" s="68"/>
      <c r="L154" s="68"/>
      <c r="M154" s="68"/>
      <c r="N154" s="68"/>
      <c r="O154" s="68"/>
      <c r="P154" s="68"/>
      <c r="Q154" s="68"/>
      <c r="R154" s="68"/>
      <c r="S154" s="68"/>
      <c r="T154" s="68"/>
      <c r="U154" s="68"/>
      <c r="V154" s="80"/>
      <c r="W154" s="334" t="s">
        <v>326</v>
      </c>
      <c r="X154" s="335"/>
      <c r="Y154" s="335"/>
      <c r="Z154" s="336"/>
      <c r="AA154" s="337" t="s">
        <v>327</v>
      </c>
      <c r="AB154" s="254"/>
      <c r="AC154" s="254"/>
      <c r="AD154" s="254"/>
      <c r="AE154" s="254"/>
      <c r="AF154" s="320"/>
      <c r="AG154" s="104" cm="1">
        <f t="array" ref="AG154">IF(AA154=$AH$154,0,IF(AA154="",0,1))</f>
        <v>0</v>
      </c>
      <c r="AH154" s="794" t="s">
        <v>327</v>
      </c>
      <c r="AI154" s="795"/>
      <c r="AJ154" s="795"/>
      <c r="AK154" s="795"/>
      <c r="AL154" s="795"/>
      <c r="AM154" s="795"/>
      <c r="AN154" s="795"/>
      <c r="AO154" s="795"/>
      <c r="AP154" s="795"/>
      <c r="AQ154" s="795"/>
      <c r="AR154" s="795"/>
      <c r="AS154" s="795"/>
      <c r="AT154" s="795"/>
      <c r="AU154" s="795"/>
      <c r="AV154" s="324"/>
      <c r="AW154" s="191"/>
      <c r="AX154" s="190"/>
      <c r="AY154" s="325"/>
      <c r="AZ154" s="326"/>
      <c r="BA154" s="8"/>
      <c r="BB154" s="77"/>
      <c r="BC154" s="77"/>
      <c r="BD154" s="77"/>
      <c r="BE154" s="77"/>
      <c r="BF154" s="77"/>
      <c r="BG154" s="77"/>
      <c r="BH154" s="77"/>
      <c r="BI154" s="77"/>
      <c r="BJ154" s="77"/>
      <c r="BK154" s="77"/>
      <c r="BL154" s="77"/>
      <c r="BM154" s="77"/>
      <c r="BN154" s="77"/>
      <c r="BO154" s="77"/>
      <c r="BP154" s="77"/>
      <c r="BQ154" s="77"/>
      <c r="BR154" s="77"/>
      <c r="BS154" s="77"/>
      <c r="BT154" s="77"/>
      <c r="BU154" s="77"/>
      <c r="BV154" s="77"/>
      <c r="BW154" s="77"/>
      <c r="BX154" s="77"/>
      <c r="BY154" s="77"/>
      <c r="BZ154" s="77"/>
      <c r="CA154" s="77"/>
      <c r="CB154" s="77"/>
      <c r="CC154" s="77"/>
      <c r="CD154" s="77"/>
      <c r="CE154" s="77"/>
      <c r="CF154" s="77"/>
      <c r="CG154" s="77"/>
      <c r="CH154" s="77"/>
      <c r="CI154" s="77"/>
      <c r="CJ154" s="77"/>
      <c r="CK154" s="77"/>
      <c r="CL154" s="77"/>
      <c r="CM154" s="77"/>
      <c r="CN154" s="77"/>
      <c r="CO154" s="77"/>
      <c r="CP154" s="77"/>
      <c r="CQ154" s="77"/>
      <c r="CR154" s="77"/>
      <c r="CS154" s="77"/>
      <c r="CT154" s="77"/>
      <c r="CU154" s="77"/>
      <c r="CV154" s="77"/>
      <c r="CW154" s="77"/>
      <c r="CX154" s="77"/>
      <c r="CY154" s="77"/>
      <c r="CZ154" s="77"/>
      <c r="DA154" s="77"/>
      <c r="DB154" s="77"/>
      <c r="DC154" s="77"/>
      <c r="DD154" s="77"/>
      <c r="DE154" s="77"/>
      <c r="DF154" s="77"/>
      <c r="DG154" s="77"/>
      <c r="DH154" s="77"/>
      <c r="DI154" s="77"/>
      <c r="DJ154" s="77"/>
      <c r="DK154" s="77"/>
      <c r="DL154" s="77"/>
      <c r="DM154" s="77"/>
      <c r="DN154" s="77"/>
      <c r="DO154" s="77"/>
      <c r="DP154" s="77"/>
      <c r="DQ154" s="77"/>
      <c r="DR154" s="77"/>
      <c r="DS154" s="77"/>
      <c r="DT154" s="78"/>
      <c r="DU154" s="12"/>
    </row>
    <row r="155" spans="1:125" ht="16" customHeight="1" x14ac:dyDescent="0.2">
      <c r="A155" s="68"/>
      <c r="B155" s="68"/>
      <c r="C155" s="68"/>
      <c r="D155" s="68"/>
      <c r="E155" s="68"/>
      <c r="F155" s="68"/>
      <c r="G155" s="68"/>
      <c r="H155" s="68"/>
      <c r="I155" s="68"/>
      <c r="J155" s="68"/>
      <c r="K155" s="68"/>
      <c r="L155" s="68"/>
      <c r="M155" s="68"/>
      <c r="N155" s="68"/>
      <c r="O155" s="68"/>
      <c r="P155" s="68"/>
      <c r="Q155" s="68"/>
      <c r="R155" s="68"/>
      <c r="S155" s="68"/>
      <c r="T155" s="68"/>
      <c r="U155" s="68"/>
      <c r="V155" s="80"/>
      <c r="W155" s="315" t="s">
        <v>328</v>
      </c>
      <c r="X155" s="317"/>
      <c r="Y155" s="317"/>
      <c r="Z155" s="318"/>
      <c r="AA155" s="338" t="s">
        <v>327</v>
      </c>
      <c r="AB155" s="322"/>
      <c r="AC155" s="322"/>
      <c r="AD155" s="322"/>
      <c r="AE155" s="322"/>
      <c r="AF155" s="323"/>
      <c r="AG155" s="104" cm="1">
        <f t="array" ref="AG155">IF(AA155=$AH$154,0,IF(AA155="",0,1))</f>
        <v>0</v>
      </c>
      <c r="AH155" s="314"/>
      <c r="AI155" s="303"/>
      <c r="AJ155" s="303"/>
      <c r="AK155" s="303"/>
      <c r="AL155" s="303"/>
      <c r="AM155" s="303"/>
      <c r="AN155" s="303"/>
      <c r="AO155" s="303"/>
      <c r="AP155" s="303"/>
      <c r="AQ155" s="303"/>
      <c r="AR155" s="303"/>
      <c r="AS155" s="303"/>
      <c r="AT155" s="303"/>
      <c r="AU155" s="303"/>
      <c r="AV155" s="324"/>
      <c r="AW155" s="191"/>
      <c r="AX155" s="190"/>
      <c r="AY155" s="325"/>
      <c r="AZ155" s="326"/>
      <c r="BA155" s="8"/>
      <c r="BB155" s="77"/>
      <c r="BC155" s="77"/>
      <c r="BD155" s="77"/>
      <c r="BE155" s="77"/>
      <c r="BF155" s="77"/>
      <c r="BG155" s="77"/>
      <c r="BH155" s="77"/>
      <c r="BI155" s="77"/>
      <c r="BJ155" s="77"/>
      <c r="BK155" s="77"/>
      <c r="BL155" s="77"/>
      <c r="BM155" s="77"/>
      <c r="BN155" s="77"/>
      <c r="BO155" s="77"/>
      <c r="BP155" s="77"/>
      <c r="BQ155" s="77"/>
      <c r="BR155" s="77"/>
      <c r="BS155" s="77"/>
      <c r="BT155" s="77"/>
      <c r="BU155" s="77"/>
      <c r="BV155" s="77"/>
      <c r="BW155" s="77"/>
      <c r="BX155" s="77"/>
      <c r="BY155" s="77"/>
      <c r="BZ155" s="77"/>
      <c r="CA155" s="77"/>
      <c r="CB155" s="77"/>
      <c r="CC155" s="77"/>
      <c r="CD155" s="77"/>
      <c r="CE155" s="77"/>
      <c r="CF155" s="77"/>
      <c r="CG155" s="77"/>
      <c r="CH155" s="77"/>
      <c r="CI155" s="77"/>
      <c r="CJ155" s="77"/>
      <c r="CK155" s="77"/>
      <c r="CL155" s="77"/>
      <c r="CM155" s="77"/>
      <c r="CN155" s="77"/>
      <c r="CO155" s="77"/>
      <c r="CP155" s="77"/>
      <c r="CQ155" s="77"/>
      <c r="CR155" s="77"/>
      <c r="CS155" s="77"/>
      <c r="CT155" s="77"/>
      <c r="CU155" s="77"/>
      <c r="CV155" s="77"/>
      <c r="CW155" s="77"/>
      <c r="CX155" s="77"/>
      <c r="CY155" s="77"/>
      <c r="CZ155" s="77"/>
      <c r="DA155" s="77"/>
      <c r="DB155" s="77"/>
      <c r="DC155" s="77"/>
      <c r="DD155" s="77"/>
      <c r="DE155" s="77"/>
      <c r="DF155" s="77"/>
      <c r="DG155" s="77"/>
      <c r="DH155" s="77"/>
      <c r="DI155" s="77"/>
      <c r="DJ155" s="77"/>
      <c r="DK155" s="77"/>
      <c r="DL155" s="77"/>
      <c r="DM155" s="77"/>
      <c r="DN155" s="77"/>
      <c r="DO155" s="77"/>
      <c r="DP155" s="77"/>
      <c r="DQ155" s="77"/>
      <c r="DR155" s="77"/>
      <c r="DS155" s="77"/>
      <c r="DT155" s="78"/>
      <c r="DU155" s="12"/>
    </row>
    <row r="156" spans="1:125" ht="16" customHeight="1" x14ac:dyDescent="0.2">
      <c r="A156" s="68"/>
      <c r="B156" s="68"/>
      <c r="C156" s="68"/>
      <c r="D156" s="68"/>
      <c r="E156" s="68"/>
      <c r="F156" s="68"/>
      <c r="G156" s="68"/>
      <c r="H156" s="68"/>
      <c r="I156" s="68"/>
      <c r="J156" s="68"/>
      <c r="K156" s="68"/>
      <c r="L156" s="68"/>
      <c r="M156" s="68"/>
      <c r="N156" s="68"/>
      <c r="O156" s="68"/>
      <c r="P156" s="68"/>
      <c r="Q156" s="68"/>
      <c r="R156" s="68"/>
      <c r="S156" s="68"/>
      <c r="T156" s="68"/>
      <c r="U156" s="68"/>
      <c r="V156" s="80"/>
      <c r="W156" s="327" t="s">
        <v>329</v>
      </c>
      <c r="X156" s="329"/>
      <c r="Y156" s="329"/>
      <c r="Z156" s="330"/>
      <c r="AA156" s="339" t="s">
        <v>327</v>
      </c>
      <c r="AB156" s="332"/>
      <c r="AC156" s="332"/>
      <c r="AD156" s="332"/>
      <c r="AE156" s="332"/>
      <c r="AF156" s="333"/>
      <c r="AG156" s="104" cm="1">
        <f t="array" ref="AG156">IF(AA156=$AH$154,0,IF(AA156="",0,1))</f>
        <v>0</v>
      </c>
      <c r="AH156" s="314"/>
      <c r="AI156" s="303"/>
      <c r="AJ156" s="303"/>
      <c r="AK156" s="303"/>
      <c r="AL156" s="303"/>
      <c r="AM156" s="303"/>
      <c r="AN156" s="303"/>
      <c r="AO156" s="303"/>
      <c r="AP156" s="303"/>
      <c r="AQ156" s="303"/>
      <c r="AR156" s="303"/>
      <c r="AS156" s="303"/>
      <c r="AT156" s="303"/>
      <c r="AU156" s="303"/>
      <c r="AV156" s="324"/>
      <c r="AW156" s="191"/>
      <c r="AX156" s="190"/>
      <c r="AY156" s="325"/>
      <c r="AZ156" s="326"/>
      <c r="BA156" s="8"/>
      <c r="BB156" s="77"/>
      <c r="BC156" s="77"/>
      <c r="BD156" s="77"/>
      <c r="BE156" s="77"/>
      <c r="BF156" s="77"/>
      <c r="BG156" s="77"/>
      <c r="BH156" s="77"/>
      <c r="BI156" s="77"/>
      <c r="BJ156" s="77"/>
      <c r="BK156" s="77"/>
      <c r="BL156" s="77"/>
      <c r="BM156" s="77"/>
      <c r="BN156" s="77"/>
      <c r="BO156" s="77"/>
      <c r="BP156" s="77"/>
      <c r="BQ156" s="77"/>
      <c r="BR156" s="77"/>
      <c r="BS156" s="77"/>
      <c r="BT156" s="77"/>
      <c r="BU156" s="77"/>
      <c r="BV156" s="77"/>
      <c r="BW156" s="77"/>
      <c r="BX156" s="77"/>
      <c r="BY156" s="77"/>
      <c r="BZ156" s="77"/>
      <c r="CA156" s="77"/>
      <c r="CB156" s="77"/>
      <c r="CC156" s="77"/>
      <c r="CD156" s="77"/>
      <c r="CE156" s="77"/>
      <c r="CF156" s="77"/>
      <c r="CG156" s="77"/>
      <c r="CH156" s="77"/>
      <c r="CI156" s="77"/>
      <c r="CJ156" s="77"/>
      <c r="CK156" s="77"/>
      <c r="CL156" s="77"/>
      <c r="CM156" s="77"/>
      <c r="CN156" s="77"/>
      <c r="CO156" s="77"/>
      <c r="CP156" s="77"/>
      <c r="CQ156" s="77"/>
      <c r="CR156" s="77"/>
      <c r="CS156" s="77"/>
      <c r="CT156" s="77"/>
      <c r="CU156" s="77"/>
      <c r="CV156" s="77"/>
      <c r="CW156" s="77"/>
      <c r="CX156" s="77"/>
      <c r="CY156" s="77"/>
      <c r="CZ156" s="77"/>
      <c r="DA156" s="77"/>
      <c r="DB156" s="77"/>
      <c r="DC156" s="77"/>
      <c r="DD156" s="77"/>
      <c r="DE156" s="77"/>
      <c r="DF156" s="77"/>
      <c r="DG156" s="77"/>
      <c r="DH156" s="77"/>
      <c r="DI156" s="77"/>
      <c r="DJ156" s="77"/>
      <c r="DK156" s="77"/>
      <c r="DL156" s="77"/>
      <c r="DM156" s="77"/>
      <c r="DN156" s="77"/>
      <c r="DO156" s="77"/>
      <c r="DP156" s="77"/>
      <c r="DQ156" s="77"/>
      <c r="DR156" s="77"/>
      <c r="DS156" s="77"/>
      <c r="DT156" s="78"/>
      <c r="DU156" s="12"/>
    </row>
    <row r="157" spans="1:125" ht="16" customHeight="1" x14ac:dyDescent="0.2">
      <c r="A157" s="68"/>
      <c r="B157" s="68"/>
      <c r="C157" s="68"/>
      <c r="D157" s="68"/>
      <c r="E157" s="68"/>
      <c r="F157" s="68"/>
      <c r="G157" s="68"/>
      <c r="H157" s="68"/>
      <c r="I157" s="68"/>
      <c r="J157" s="68"/>
      <c r="K157" s="68"/>
      <c r="L157" s="68"/>
      <c r="M157" s="68"/>
      <c r="N157" s="68"/>
      <c r="O157" s="68"/>
      <c r="P157" s="68"/>
      <c r="Q157" s="68"/>
      <c r="R157" s="68"/>
      <c r="S157" s="68"/>
      <c r="T157" s="68"/>
      <c r="U157" s="68"/>
      <c r="V157" s="69"/>
      <c r="W157" s="164"/>
      <c r="X157" s="165"/>
      <c r="Y157" s="164"/>
      <c r="Z157" s="166"/>
      <c r="AA157" s="167"/>
      <c r="AB157" s="168"/>
      <c r="AC157" s="169"/>
      <c r="AD157" s="169"/>
      <c r="AE157" s="168"/>
      <c r="AF157" s="170"/>
      <c r="AG157" s="216"/>
      <c r="AH157" s="314"/>
      <c r="AI157" s="303"/>
      <c r="AJ157" s="303"/>
      <c r="AK157" s="303"/>
      <c r="AL157" s="303"/>
      <c r="AM157" s="303"/>
      <c r="AN157" s="303"/>
      <c r="AO157" s="303"/>
      <c r="AP157" s="303"/>
      <c r="AQ157" s="303"/>
      <c r="AR157" s="303"/>
      <c r="AS157" s="303"/>
      <c r="AT157" s="303"/>
      <c r="AU157" s="303"/>
      <c r="AV157" s="324"/>
      <c r="AW157" s="191"/>
      <c r="AX157" s="190"/>
      <c r="AY157" s="325"/>
      <c r="AZ157" s="326"/>
      <c r="BA157" s="8"/>
      <c r="BB157" s="77"/>
      <c r="BC157" s="77"/>
      <c r="BD157" s="77"/>
      <c r="BE157" s="77"/>
      <c r="BF157" s="77"/>
      <c r="BG157" s="77"/>
      <c r="BH157" s="77"/>
      <c r="BI157" s="77"/>
      <c r="BJ157" s="77"/>
      <c r="BK157" s="77"/>
      <c r="BL157" s="77"/>
      <c r="BM157" s="77"/>
      <c r="BN157" s="77"/>
      <c r="BO157" s="77"/>
      <c r="BP157" s="77"/>
      <c r="BQ157" s="77"/>
      <c r="BR157" s="77"/>
      <c r="BS157" s="77"/>
      <c r="BT157" s="77"/>
      <c r="BU157" s="77"/>
      <c r="BV157" s="77"/>
      <c r="BW157" s="77"/>
      <c r="BX157" s="77"/>
      <c r="BY157" s="77"/>
      <c r="BZ157" s="77"/>
      <c r="CA157" s="77"/>
      <c r="CB157" s="77"/>
      <c r="CC157" s="77"/>
      <c r="CD157" s="77"/>
      <c r="CE157" s="77"/>
      <c r="CF157" s="77"/>
      <c r="CG157" s="77"/>
      <c r="CH157" s="77"/>
      <c r="CI157" s="77"/>
      <c r="CJ157" s="77"/>
      <c r="CK157" s="77"/>
      <c r="CL157" s="77"/>
      <c r="CM157" s="77"/>
      <c r="CN157" s="77"/>
      <c r="CO157" s="77"/>
      <c r="CP157" s="77"/>
      <c r="CQ157" s="77"/>
      <c r="CR157" s="77"/>
      <c r="CS157" s="77"/>
      <c r="CT157" s="77"/>
      <c r="CU157" s="77"/>
      <c r="CV157" s="77"/>
      <c r="CW157" s="77"/>
      <c r="CX157" s="77"/>
      <c r="CY157" s="77"/>
      <c r="CZ157" s="77"/>
      <c r="DA157" s="77"/>
      <c r="DB157" s="77"/>
      <c r="DC157" s="77"/>
      <c r="DD157" s="77"/>
      <c r="DE157" s="77"/>
      <c r="DF157" s="77"/>
      <c r="DG157" s="77"/>
      <c r="DH157" s="77"/>
      <c r="DI157" s="77"/>
      <c r="DJ157" s="77"/>
      <c r="DK157" s="77"/>
      <c r="DL157" s="77"/>
      <c r="DM157" s="77"/>
      <c r="DN157" s="77"/>
      <c r="DO157" s="77"/>
      <c r="DP157" s="77"/>
      <c r="DQ157" s="77"/>
      <c r="DR157" s="77"/>
      <c r="DS157" s="77"/>
      <c r="DT157" s="78"/>
      <c r="DU157" s="12"/>
    </row>
    <row r="158" spans="1:125" ht="16" customHeight="1" x14ac:dyDescent="0.2">
      <c r="A158" s="68"/>
      <c r="B158" s="68"/>
      <c r="C158" s="68"/>
      <c r="D158" s="68"/>
      <c r="E158" s="68"/>
      <c r="F158" s="68"/>
      <c r="G158" s="68"/>
      <c r="H158" s="68"/>
      <c r="I158" s="68"/>
      <c r="J158" s="68"/>
      <c r="K158" s="68"/>
      <c r="L158" s="68"/>
      <c r="M158" s="68"/>
      <c r="N158" s="68"/>
      <c r="O158" s="68"/>
      <c r="P158" s="68"/>
      <c r="Q158" s="68"/>
      <c r="R158" s="68"/>
      <c r="S158" s="68"/>
      <c r="T158" s="68"/>
      <c r="U158" s="68"/>
      <c r="V158" s="80"/>
      <c r="W158" s="334" t="s">
        <v>330</v>
      </c>
      <c r="X158" s="335"/>
      <c r="Y158" s="335"/>
      <c r="Z158" s="336"/>
      <c r="AA158" s="337" t="s">
        <v>327</v>
      </c>
      <c r="AB158" s="254"/>
      <c r="AC158" s="254"/>
      <c r="AD158" s="254"/>
      <c r="AE158" s="254"/>
      <c r="AF158" s="320"/>
      <c r="AG158" s="104" cm="1">
        <f t="array" ref="AG158">IF(AA158=$AH$154,0,IF(AA158="",0,1))</f>
        <v>0</v>
      </c>
      <c r="AH158" s="8"/>
      <c r="AI158" s="303"/>
      <c r="AJ158" s="303"/>
      <c r="AK158" s="303"/>
      <c r="AL158" s="303"/>
      <c r="AM158" s="303"/>
      <c r="AN158" s="303"/>
      <c r="AO158" s="303"/>
      <c r="AP158" s="303"/>
      <c r="AQ158" s="303"/>
      <c r="AR158" s="303"/>
      <c r="AS158" s="303"/>
      <c r="AT158" s="303"/>
      <c r="AU158" s="303"/>
      <c r="AV158" s="324"/>
      <c r="AW158" s="191"/>
      <c r="AX158" s="190"/>
      <c r="AY158" s="325"/>
      <c r="AZ158" s="326"/>
      <c r="BA158" s="8"/>
      <c r="BB158" s="77"/>
      <c r="BC158" s="77"/>
      <c r="BD158" s="77"/>
      <c r="BE158" s="77"/>
      <c r="BF158" s="77"/>
      <c r="BG158" s="77"/>
      <c r="BH158" s="77"/>
      <c r="BI158" s="77"/>
      <c r="BJ158" s="77"/>
      <c r="BK158" s="77"/>
      <c r="BL158" s="77"/>
      <c r="BM158" s="77"/>
      <c r="BN158" s="77"/>
      <c r="BO158" s="77"/>
      <c r="BP158" s="77"/>
      <c r="BQ158" s="77"/>
      <c r="BR158" s="77"/>
      <c r="BS158" s="77"/>
      <c r="BT158" s="77"/>
      <c r="BU158" s="77"/>
      <c r="BV158" s="77"/>
      <c r="BW158" s="77"/>
      <c r="BX158" s="77"/>
      <c r="BY158" s="77"/>
      <c r="BZ158" s="77"/>
      <c r="CA158" s="77"/>
      <c r="CB158" s="77"/>
      <c r="CC158" s="77"/>
      <c r="CD158" s="77"/>
      <c r="CE158" s="77"/>
      <c r="CF158" s="77"/>
      <c r="CG158" s="77"/>
      <c r="CH158" s="77"/>
      <c r="CI158" s="77"/>
      <c r="CJ158" s="77"/>
      <c r="CK158" s="77"/>
      <c r="CL158" s="77"/>
      <c r="CM158" s="77"/>
      <c r="CN158" s="77"/>
      <c r="CO158" s="77"/>
      <c r="CP158" s="77"/>
      <c r="CQ158" s="77"/>
      <c r="CR158" s="77"/>
      <c r="CS158" s="77"/>
      <c r="CT158" s="77"/>
      <c r="CU158" s="77"/>
      <c r="CV158" s="77"/>
      <c r="CW158" s="77"/>
      <c r="CX158" s="77"/>
      <c r="CY158" s="77"/>
      <c r="CZ158" s="77"/>
      <c r="DA158" s="77"/>
      <c r="DB158" s="77"/>
      <c r="DC158" s="77"/>
      <c r="DD158" s="77"/>
      <c r="DE158" s="77"/>
      <c r="DF158" s="77"/>
      <c r="DG158" s="77"/>
      <c r="DH158" s="77"/>
      <c r="DI158" s="77"/>
      <c r="DJ158" s="77"/>
      <c r="DK158" s="77"/>
      <c r="DL158" s="77"/>
      <c r="DM158" s="77"/>
      <c r="DN158" s="77"/>
      <c r="DO158" s="77"/>
      <c r="DP158" s="77"/>
      <c r="DQ158" s="77"/>
      <c r="DR158" s="77"/>
      <c r="DS158" s="77"/>
      <c r="DT158" s="78"/>
      <c r="DU158" s="12"/>
    </row>
    <row r="159" spans="1:125" ht="16" customHeight="1" x14ac:dyDescent="0.2">
      <c r="A159" s="68"/>
      <c r="B159" s="68"/>
      <c r="C159" s="68"/>
      <c r="D159" s="68"/>
      <c r="E159" s="68"/>
      <c r="F159" s="68"/>
      <c r="G159" s="68"/>
      <c r="H159" s="68"/>
      <c r="I159" s="68"/>
      <c r="J159" s="68"/>
      <c r="K159" s="68"/>
      <c r="L159" s="68"/>
      <c r="M159" s="68"/>
      <c r="N159" s="68"/>
      <c r="O159" s="68"/>
      <c r="P159" s="68"/>
      <c r="Q159" s="68"/>
      <c r="R159" s="68"/>
      <c r="S159" s="68"/>
      <c r="T159" s="68"/>
      <c r="U159" s="68"/>
      <c r="V159" s="80"/>
      <c r="W159" s="315" t="s">
        <v>331</v>
      </c>
      <c r="X159" s="317"/>
      <c r="Y159" s="317"/>
      <c r="Z159" s="318"/>
      <c r="AA159" s="338" t="s">
        <v>327</v>
      </c>
      <c r="AB159" s="322"/>
      <c r="AC159" s="322"/>
      <c r="AD159" s="322"/>
      <c r="AE159" s="322"/>
      <c r="AF159" s="323"/>
      <c r="AG159" s="104" cm="1">
        <f t="array" ref="AG159">IF(AA159=$AH$154,0,IF(AA159="",0,1))</f>
        <v>0</v>
      </c>
      <c r="AH159" s="314"/>
      <c r="AI159" s="340"/>
      <c r="AJ159" s="303"/>
      <c r="AK159" s="303"/>
      <c r="AL159" s="303"/>
      <c r="AM159" s="303"/>
      <c r="AN159" s="303"/>
      <c r="AO159" s="303"/>
      <c r="AP159" s="303"/>
      <c r="AQ159" s="303"/>
      <c r="AR159" s="303"/>
      <c r="AS159" s="303"/>
      <c r="AT159" s="303"/>
      <c r="AU159" s="314"/>
      <c r="AV159" s="324"/>
      <c r="AW159" s="191"/>
      <c r="AX159" s="190"/>
      <c r="AY159" s="325"/>
      <c r="AZ159" s="326"/>
      <c r="BA159" s="8"/>
      <c r="BB159" s="77"/>
      <c r="BC159" s="77"/>
      <c r="BD159" s="77"/>
      <c r="BE159" s="77"/>
      <c r="BF159" s="77"/>
      <c r="BG159" s="77"/>
      <c r="BH159" s="77"/>
      <c r="BI159" s="77"/>
      <c r="BJ159" s="77"/>
      <c r="BK159" s="77"/>
      <c r="BL159" s="77"/>
      <c r="BM159" s="77"/>
      <c r="BN159" s="77"/>
      <c r="BO159" s="77"/>
      <c r="BP159" s="77"/>
      <c r="BQ159" s="77"/>
      <c r="BR159" s="77"/>
      <c r="BS159" s="77"/>
      <c r="BT159" s="77"/>
      <c r="BU159" s="77"/>
      <c r="BV159" s="77"/>
      <c r="BW159" s="77"/>
      <c r="BX159" s="77"/>
      <c r="BY159" s="77"/>
      <c r="BZ159" s="77"/>
      <c r="CA159" s="77"/>
      <c r="CB159" s="77"/>
      <c r="CC159" s="77"/>
      <c r="CD159" s="77"/>
      <c r="CE159" s="77"/>
      <c r="CF159" s="77"/>
      <c r="CG159" s="77"/>
      <c r="CH159" s="77"/>
      <c r="CI159" s="77"/>
      <c r="CJ159" s="77"/>
      <c r="CK159" s="77"/>
      <c r="CL159" s="77"/>
      <c r="CM159" s="77"/>
      <c r="CN159" s="77"/>
      <c r="CO159" s="77"/>
      <c r="CP159" s="77"/>
      <c r="CQ159" s="77"/>
      <c r="CR159" s="77"/>
      <c r="CS159" s="77"/>
      <c r="CT159" s="77"/>
      <c r="CU159" s="77"/>
      <c r="CV159" s="77"/>
      <c r="CW159" s="77"/>
      <c r="CX159" s="77"/>
      <c r="CY159" s="77"/>
      <c r="CZ159" s="77"/>
      <c r="DA159" s="77"/>
      <c r="DB159" s="77"/>
      <c r="DC159" s="77"/>
      <c r="DD159" s="77"/>
      <c r="DE159" s="77"/>
      <c r="DF159" s="77"/>
      <c r="DG159" s="77"/>
      <c r="DH159" s="77"/>
      <c r="DI159" s="77"/>
      <c r="DJ159" s="77"/>
      <c r="DK159" s="77"/>
      <c r="DL159" s="77"/>
      <c r="DM159" s="77"/>
      <c r="DN159" s="77"/>
      <c r="DO159" s="77"/>
      <c r="DP159" s="77"/>
      <c r="DQ159" s="77"/>
      <c r="DR159" s="77"/>
      <c r="DS159" s="77"/>
      <c r="DT159" s="78"/>
      <c r="DU159" s="12"/>
    </row>
    <row r="160" spans="1:125" ht="16" customHeight="1" x14ac:dyDescent="0.2">
      <c r="A160" s="68"/>
      <c r="B160" s="68"/>
      <c r="C160" s="68"/>
      <c r="D160" s="68"/>
      <c r="E160" s="68"/>
      <c r="F160" s="68"/>
      <c r="G160" s="68"/>
      <c r="H160" s="68"/>
      <c r="I160" s="68"/>
      <c r="J160" s="68"/>
      <c r="K160" s="68"/>
      <c r="L160" s="68"/>
      <c r="M160" s="68"/>
      <c r="N160" s="68"/>
      <c r="O160" s="68"/>
      <c r="P160" s="68"/>
      <c r="Q160" s="68"/>
      <c r="R160" s="68"/>
      <c r="S160" s="68"/>
      <c r="T160" s="68"/>
      <c r="U160" s="68"/>
      <c r="V160" s="80"/>
      <c r="W160" s="327" t="s">
        <v>332</v>
      </c>
      <c r="X160" s="329"/>
      <c r="Y160" s="329"/>
      <c r="Z160" s="330"/>
      <c r="AA160" s="339" t="s">
        <v>327</v>
      </c>
      <c r="AB160" s="332"/>
      <c r="AC160" s="332"/>
      <c r="AD160" s="332"/>
      <c r="AE160" s="332"/>
      <c r="AF160" s="333"/>
      <c r="AG160" s="104" cm="1">
        <f t="array" ref="AG160">IF(AA160=$AH$154,0,IF(AA160="",0,1))</f>
        <v>0</v>
      </c>
      <c r="AH160" s="314"/>
      <c r="AI160" s="314"/>
      <c r="AJ160" s="303"/>
      <c r="AK160" s="303"/>
      <c r="AL160" s="303"/>
      <c r="AM160" s="303"/>
      <c r="AN160" s="303"/>
      <c r="AO160" s="303"/>
      <c r="AP160" s="303"/>
      <c r="AQ160" s="303"/>
      <c r="AR160" s="303"/>
      <c r="AS160" s="303"/>
      <c r="AT160" s="303"/>
      <c r="AU160" s="314"/>
      <c r="AV160" s="324"/>
      <c r="AW160" s="191"/>
      <c r="AX160" s="190"/>
      <c r="AY160" s="325"/>
      <c r="AZ160" s="326"/>
      <c r="BA160" s="8"/>
      <c r="BB160" s="77"/>
      <c r="BC160" s="77"/>
      <c r="BD160" s="77"/>
      <c r="BE160" s="77"/>
      <c r="BF160" s="77"/>
      <c r="BG160" s="77"/>
      <c r="BH160" s="77"/>
      <c r="BI160" s="77"/>
      <c r="BJ160" s="77"/>
      <c r="BK160" s="77"/>
      <c r="BL160" s="77"/>
      <c r="BM160" s="77"/>
      <c r="BN160" s="77"/>
      <c r="BO160" s="77"/>
      <c r="BP160" s="77"/>
      <c r="BQ160" s="77"/>
      <c r="BR160" s="77"/>
      <c r="BS160" s="77"/>
      <c r="BT160" s="77"/>
      <c r="BU160" s="77"/>
      <c r="BV160" s="77"/>
      <c r="BW160" s="77"/>
      <c r="BX160" s="77"/>
      <c r="BY160" s="77"/>
      <c r="BZ160" s="77"/>
      <c r="CA160" s="77"/>
      <c r="CB160" s="77"/>
      <c r="CC160" s="77"/>
      <c r="CD160" s="77"/>
      <c r="CE160" s="77"/>
      <c r="CF160" s="77"/>
      <c r="CG160" s="77"/>
      <c r="CH160" s="77"/>
      <c r="CI160" s="77"/>
      <c r="CJ160" s="77"/>
      <c r="CK160" s="77"/>
      <c r="CL160" s="77"/>
      <c r="CM160" s="77"/>
      <c r="CN160" s="77"/>
      <c r="CO160" s="77"/>
      <c r="CP160" s="77"/>
      <c r="CQ160" s="77"/>
      <c r="CR160" s="77"/>
      <c r="CS160" s="77"/>
      <c r="CT160" s="77"/>
      <c r="CU160" s="77"/>
      <c r="CV160" s="77"/>
      <c r="CW160" s="77"/>
      <c r="CX160" s="77"/>
      <c r="CY160" s="77"/>
      <c r="CZ160" s="77"/>
      <c r="DA160" s="77"/>
      <c r="DB160" s="77"/>
      <c r="DC160" s="77"/>
      <c r="DD160" s="77"/>
      <c r="DE160" s="77"/>
      <c r="DF160" s="77"/>
      <c r="DG160" s="77"/>
      <c r="DH160" s="77"/>
      <c r="DI160" s="77"/>
      <c r="DJ160" s="77"/>
      <c r="DK160" s="77"/>
      <c r="DL160" s="77"/>
      <c r="DM160" s="77"/>
      <c r="DN160" s="77"/>
      <c r="DO160" s="77"/>
      <c r="DP160" s="77"/>
      <c r="DQ160" s="77"/>
      <c r="DR160" s="77"/>
      <c r="DS160" s="77"/>
      <c r="DT160" s="78"/>
      <c r="DU160" s="12"/>
    </row>
    <row r="161" spans="1:125" ht="20" customHeight="1" x14ac:dyDescent="0.2">
      <c r="A161" s="68"/>
      <c r="B161" s="68"/>
      <c r="C161" s="68"/>
      <c r="D161" s="68"/>
      <c r="E161" s="68"/>
      <c r="F161" s="68"/>
      <c r="G161" s="68"/>
      <c r="H161" s="68"/>
      <c r="I161" s="68"/>
      <c r="J161" s="68"/>
      <c r="K161" s="68"/>
      <c r="L161" s="68"/>
      <c r="M161" s="68"/>
      <c r="N161" s="68"/>
      <c r="O161" s="68"/>
      <c r="P161" s="68"/>
      <c r="Q161" s="68"/>
      <c r="R161" s="68"/>
      <c r="S161" s="68"/>
      <c r="T161" s="68"/>
      <c r="U161" s="68"/>
      <c r="V161" s="69"/>
      <c r="W161" s="180"/>
      <c r="X161" s="180"/>
      <c r="Y161" s="181"/>
      <c r="Z161" s="180"/>
      <c r="AA161" s="341"/>
      <c r="AB161" s="342"/>
      <c r="AC161" s="343"/>
      <c r="AD161" s="344"/>
      <c r="AE161" s="344"/>
      <c r="AF161" s="343"/>
      <c r="AG161" s="303"/>
      <c r="AH161" s="314"/>
      <c r="AI161" s="314"/>
      <c r="AJ161" s="303"/>
      <c r="AK161" s="303"/>
      <c r="AL161" s="303"/>
      <c r="AM161" s="303"/>
      <c r="AN161" s="303"/>
      <c r="AO161" s="303"/>
      <c r="AP161" s="303"/>
      <c r="AQ161" s="303"/>
      <c r="AR161" s="303"/>
      <c r="AS161" s="303"/>
      <c r="AT161" s="303"/>
      <c r="AU161" s="314"/>
      <c r="AV161" s="324"/>
      <c r="AW161" s="191"/>
      <c r="AX161" s="190"/>
      <c r="AY161" s="325"/>
      <c r="AZ161" s="326"/>
      <c r="BA161" s="8"/>
      <c r="BB161" s="77"/>
      <c r="BC161" s="77"/>
      <c r="BD161" s="77"/>
      <c r="BE161" s="77"/>
      <c r="BF161" s="77"/>
      <c r="BG161" s="77"/>
      <c r="BH161" s="77"/>
      <c r="BI161" s="77"/>
      <c r="BJ161" s="77"/>
      <c r="BK161" s="77"/>
      <c r="BL161" s="77"/>
      <c r="BM161" s="77"/>
      <c r="BN161" s="77"/>
      <c r="BO161" s="77"/>
      <c r="BP161" s="77"/>
      <c r="BQ161" s="77"/>
      <c r="BR161" s="77"/>
      <c r="BS161" s="77"/>
      <c r="BT161" s="77"/>
      <c r="BU161" s="77"/>
      <c r="BV161" s="77"/>
      <c r="BW161" s="77"/>
      <c r="BX161" s="77"/>
      <c r="BY161" s="77"/>
      <c r="BZ161" s="77"/>
      <c r="CA161" s="77"/>
      <c r="CB161" s="77"/>
      <c r="CC161" s="77"/>
      <c r="CD161" s="77"/>
      <c r="CE161" s="77"/>
      <c r="CF161" s="77"/>
      <c r="CG161" s="77"/>
      <c r="CH161" s="77"/>
      <c r="CI161" s="77"/>
      <c r="CJ161" s="77"/>
      <c r="CK161" s="77"/>
      <c r="CL161" s="77"/>
      <c r="CM161" s="77"/>
      <c r="CN161" s="77"/>
      <c r="CO161" s="77"/>
      <c r="CP161" s="77"/>
      <c r="CQ161" s="77"/>
      <c r="CR161" s="77"/>
      <c r="CS161" s="77"/>
      <c r="CT161" s="77"/>
      <c r="CU161" s="77"/>
      <c r="CV161" s="77"/>
      <c r="CW161" s="77"/>
      <c r="CX161" s="77"/>
      <c r="CY161" s="77"/>
      <c r="CZ161" s="77"/>
      <c r="DA161" s="77"/>
      <c r="DB161" s="77"/>
      <c r="DC161" s="77"/>
      <c r="DD161" s="77"/>
      <c r="DE161" s="77"/>
      <c r="DF161" s="77"/>
      <c r="DG161" s="77"/>
      <c r="DH161" s="77"/>
      <c r="DI161" s="77"/>
      <c r="DJ161" s="77"/>
      <c r="DK161" s="77"/>
      <c r="DL161" s="77"/>
      <c r="DM161" s="77"/>
      <c r="DN161" s="77"/>
      <c r="DO161" s="77"/>
      <c r="DP161" s="77"/>
      <c r="DQ161" s="77"/>
      <c r="DR161" s="77"/>
      <c r="DS161" s="77"/>
      <c r="DT161" s="78"/>
      <c r="DU161" s="12"/>
    </row>
    <row r="162" spans="1:125" ht="28" customHeight="1" x14ac:dyDescent="0.2">
      <c r="A162" s="68"/>
      <c r="B162" s="68"/>
      <c r="C162" s="68"/>
      <c r="D162" s="68"/>
      <c r="E162" s="68"/>
      <c r="F162" s="68"/>
      <c r="G162" s="68"/>
      <c r="H162" s="68"/>
      <c r="I162" s="68"/>
      <c r="J162" s="68"/>
      <c r="K162" s="68"/>
      <c r="L162" s="68"/>
      <c r="M162" s="68"/>
      <c r="N162" s="68"/>
      <c r="O162" s="68"/>
      <c r="P162" s="68"/>
      <c r="Q162" s="68"/>
      <c r="R162" s="68"/>
      <c r="S162" s="68"/>
      <c r="T162" s="68"/>
      <c r="U162" s="68"/>
      <c r="V162" s="69"/>
      <c r="W162" s="190"/>
      <c r="X162" s="190"/>
      <c r="Y162" s="191"/>
      <c r="Z162" s="190"/>
      <c r="AA162" s="325"/>
      <c r="AB162" s="326"/>
      <c r="AC162" s="345"/>
      <c r="AD162" s="236"/>
      <c r="AE162" s="236"/>
      <c r="AF162" s="345"/>
      <c r="AG162" s="10"/>
      <c r="AH162" s="346"/>
      <c r="AI162" s="314"/>
      <c r="AJ162" s="303"/>
      <c r="AK162" s="303"/>
      <c r="AL162" s="303"/>
      <c r="AM162" s="303"/>
      <c r="AN162" s="303"/>
      <c r="AO162" s="303"/>
      <c r="AP162" s="303"/>
      <c r="AQ162" s="303"/>
      <c r="AR162" s="303"/>
      <c r="AS162" s="303"/>
      <c r="AT162" s="303"/>
      <c r="AU162" s="314"/>
      <c r="AV162" s="324"/>
      <c r="AW162" s="191"/>
      <c r="AX162" s="190"/>
      <c r="AY162" s="325"/>
      <c r="AZ162" s="326"/>
      <c r="BA162" s="8"/>
      <c r="BB162" s="77"/>
      <c r="BC162" s="77"/>
      <c r="BD162" s="77"/>
      <c r="BE162" s="77"/>
      <c r="BF162" s="77"/>
      <c r="BG162" s="77"/>
      <c r="BH162" s="77"/>
      <c r="BI162" s="77"/>
      <c r="BJ162" s="77"/>
      <c r="BK162" s="77"/>
      <c r="BL162" s="77"/>
      <c r="BM162" s="77"/>
      <c r="BN162" s="77"/>
      <c r="BO162" s="77"/>
      <c r="BP162" s="77"/>
      <c r="BQ162" s="77"/>
      <c r="BR162" s="77"/>
      <c r="BS162" s="77"/>
      <c r="BT162" s="77"/>
      <c r="BU162" s="77"/>
      <c r="BV162" s="77"/>
      <c r="BW162" s="77"/>
      <c r="BX162" s="77"/>
      <c r="BY162" s="77"/>
      <c r="BZ162" s="77"/>
      <c r="CA162" s="77"/>
      <c r="CB162" s="77"/>
      <c r="CC162" s="77"/>
      <c r="CD162" s="77"/>
      <c r="CE162" s="77"/>
      <c r="CF162" s="77"/>
      <c r="CG162" s="77"/>
      <c r="CH162" s="77"/>
      <c r="CI162" s="77"/>
      <c r="CJ162" s="77"/>
      <c r="CK162" s="77"/>
      <c r="CL162" s="77"/>
      <c r="CM162" s="77"/>
      <c r="CN162" s="77"/>
      <c r="CO162" s="77"/>
      <c r="CP162" s="77"/>
      <c r="CQ162" s="77"/>
      <c r="CR162" s="77"/>
      <c r="CS162" s="77"/>
      <c r="CT162" s="77"/>
      <c r="CU162" s="77"/>
      <c r="CV162" s="77"/>
      <c r="CW162" s="77"/>
      <c r="CX162" s="77"/>
      <c r="CY162" s="77"/>
      <c r="CZ162" s="77"/>
      <c r="DA162" s="77"/>
      <c r="DB162" s="77"/>
      <c r="DC162" s="77"/>
      <c r="DD162" s="77"/>
      <c r="DE162" s="77"/>
      <c r="DF162" s="77"/>
      <c r="DG162" s="77"/>
      <c r="DH162" s="77"/>
      <c r="DI162" s="77"/>
      <c r="DJ162" s="77"/>
      <c r="DK162" s="77"/>
      <c r="DL162" s="77"/>
      <c r="DM162" s="77"/>
      <c r="DN162" s="77"/>
      <c r="DO162" s="77"/>
      <c r="DP162" s="77"/>
      <c r="DQ162" s="77"/>
      <c r="DR162" s="77"/>
      <c r="DS162" s="77"/>
      <c r="DT162" s="78"/>
      <c r="DU162" s="12"/>
    </row>
    <row r="163" spans="1:125" ht="28" customHeight="1" x14ac:dyDescent="0.2">
      <c r="A163" s="68"/>
      <c r="B163" s="68"/>
      <c r="C163" s="68"/>
      <c r="D163" s="68"/>
      <c r="E163" s="68"/>
      <c r="F163" s="68"/>
      <c r="G163" s="68"/>
      <c r="H163" s="68"/>
      <c r="I163" s="68"/>
      <c r="J163" s="68"/>
      <c r="K163" s="68"/>
      <c r="L163" s="68"/>
      <c r="M163" s="68"/>
      <c r="N163" s="68"/>
      <c r="O163" s="68"/>
      <c r="P163" s="68"/>
      <c r="Q163" s="68"/>
      <c r="R163" s="68"/>
      <c r="S163" s="68"/>
      <c r="T163" s="68"/>
      <c r="U163" s="68"/>
      <c r="V163" s="69"/>
      <c r="W163" s="347"/>
      <c r="X163" s="190"/>
      <c r="Y163" s="191"/>
      <c r="Z163" s="190"/>
      <c r="AA163" s="190"/>
      <c r="AB163" s="326"/>
      <c r="AC163" s="345"/>
      <c r="AD163" s="236"/>
      <c r="AE163" s="236"/>
      <c r="AF163" s="345"/>
      <c r="AG163" s="303"/>
      <c r="AH163" s="314"/>
      <c r="AI163" s="314"/>
      <c r="AJ163" s="303"/>
      <c r="AK163" s="303"/>
      <c r="AL163" s="303"/>
      <c r="AM163" s="303"/>
      <c r="AN163" s="303"/>
      <c r="AO163" s="303"/>
      <c r="AP163" s="303"/>
      <c r="AQ163" s="303"/>
      <c r="AR163" s="303"/>
      <c r="AS163" s="303"/>
      <c r="AT163" s="303"/>
      <c r="AU163" s="314"/>
      <c r="AV163" s="324"/>
      <c r="AW163" s="191"/>
      <c r="AX163" s="190"/>
      <c r="AY163" s="325"/>
      <c r="AZ163" s="326"/>
      <c r="BA163" s="8"/>
      <c r="BB163" s="77"/>
      <c r="BC163" s="77"/>
      <c r="BD163" s="77"/>
      <c r="BE163" s="77"/>
      <c r="BF163" s="77"/>
      <c r="BG163" s="77"/>
      <c r="BH163" s="77"/>
      <c r="BI163" s="77"/>
      <c r="BJ163" s="77"/>
      <c r="BK163" s="77"/>
      <c r="BL163" s="77"/>
      <c r="BM163" s="77"/>
      <c r="BN163" s="77"/>
      <c r="BO163" s="77"/>
      <c r="BP163" s="77"/>
      <c r="BQ163" s="77"/>
      <c r="BR163" s="77"/>
      <c r="BS163" s="77"/>
      <c r="BT163" s="77"/>
      <c r="BU163" s="77"/>
      <c r="BV163" s="77"/>
      <c r="BW163" s="77"/>
      <c r="BX163" s="77"/>
      <c r="BY163" s="77"/>
      <c r="BZ163" s="77"/>
      <c r="CA163" s="77"/>
      <c r="CB163" s="77"/>
      <c r="CC163" s="77"/>
      <c r="CD163" s="77"/>
      <c r="CE163" s="77"/>
      <c r="CF163" s="77"/>
      <c r="CG163" s="77"/>
      <c r="CH163" s="77"/>
      <c r="CI163" s="77"/>
      <c r="CJ163" s="77"/>
      <c r="CK163" s="77"/>
      <c r="CL163" s="77"/>
      <c r="CM163" s="77"/>
      <c r="CN163" s="77"/>
      <c r="CO163" s="77"/>
      <c r="CP163" s="77"/>
      <c r="CQ163" s="77"/>
      <c r="CR163" s="77"/>
      <c r="CS163" s="77"/>
      <c r="CT163" s="77"/>
      <c r="CU163" s="77"/>
      <c r="CV163" s="77"/>
      <c r="CW163" s="77"/>
      <c r="CX163" s="77"/>
      <c r="CY163" s="77"/>
      <c r="CZ163" s="77"/>
      <c r="DA163" s="77"/>
      <c r="DB163" s="77"/>
      <c r="DC163" s="77"/>
      <c r="DD163" s="77"/>
      <c r="DE163" s="77"/>
      <c r="DF163" s="77"/>
      <c r="DG163" s="77"/>
      <c r="DH163" s="77"/>
      <c r="DI163" s="77"/>
      <c r="DJ163" s="77"/>
      <c r="DK163" s="77"/>
      <c r="DL163" s="77"/>
      <c r="DM163" s="77"/>
      <c r="DN163" s="77"/>
      <c r="DO163" s="77"/>
      <c r="DP163" s="77"/>
      <c r="DQ163" s="77"/>
      <c r="DR163" s="77"/>
      <c r="DS163" s="77"/>
      <c r="DT163" s="78"/>
      <c r="DU163" s="12"/>
    </row>
    <row r="164" spans="1:125" ht="16" customHeight="1" x14ac:dyDescent="0.2">
      <c r="A164" s="68"/>
      <c r="B164" s="68"/>
      <c r="C164" s="68"/>
      <c r="D164" s="68"/>
      <c r="E164" s="68"/>
      <c r="F164" s="68"/>
      <c r="G164" s="68"/>
      <c r="H164" s="68"/>
      <c r="I164" s="68"/>
      <c r="J164" s="68"/>
      <c r="K164" s="68"/>
      <c r="L164" s="68"/>
      <c r="M164" s="68"/>
      <c r="N164" s="68"/>
      <c r="O164" s="68"/>
      <c r="P164" s="68"/>
      <c r="Q164" s="68"/>
      <c r="R164" s="68"/>
      <c r="S164" s="68"/>
      <c r="T164" s="68"/>
      <c r="U164" s="68"/>
      <c r="V164" s="69"/>
      <c r="W164" s="190"/>
      <c r="X164" s="190"/>
      <c r="Y164" s="191"/>
      <c r="Z164" s="190"/>
      <c r="AA164" s="325"/>
      <c r="AB164" s="326"/>
      <c r="AC164" s="345"/>
      <c r="AD164" s="236"/>
      <c r="AE164" s="236"/>
      <c r="AF164" s="345"/>
      <c r="AG164" s="8"/>
      <c r="AH164" s="8"/>
      <c r="AI164" s="8"/>
      <c r="AJ164" s="8"/>
      <c r="AK164" s="8"/>
      <c r="AL164" s="8"/>
      <c r="AM164" s="8"/>
      <c r="AN164" s="8"/>
      <c r="AO164" s="8"/>
      <c r="AP164" s="8"/>
      <c r="AQ164" s="8"/>
      <c r="AR164" s="8"/>
      <c r="AS164" s="8"/>
      <c r="AT164" s="8"/>
      <c r="AU164" s="8"/>
      <c r="AV164" s="324"/>
      <c r="AW164" s="191"/>
      <c r="AX164" s="190"/>
      <c r="AY164" s="325"/>
      <c r="AZ164" s="326"/>
      <c r="BA164" s="8"/>
      <c r="BB164" s="77"/>
      <c r="BC164" s="77"/>
      <c r="BD164" s="77"/>
      <c r="BE164" s="77"/>
      <c r="BF164" s="77"/>
      <c r="BG164" s="77"/>
      <c r="BH164" s="77"/>
      <c r="BI164" s="77"/>
      <c r="BJ164" s="77"/>
      <c r="BK164" s="77"/>
      <c r="BL164" s="77"/>
      <c r="BM164" s="77"/>
      <c r="BN164" s="77"/>
      <c r="BO164" s="77"/>
      <c r="BP164" s="77"/>
      <c r="BQ164" s="77"/>
      <c r="BR164" s="77"/>
      <c r="BS164" s="77"/>
      <c r="BT164" s="77"/>
      <c r="BU164" s="77"/>
      <c r="BV164" s="77"/>
      <c r="BW164" s="77"/>
      <c r="BX164" s="77"/>
      <c r="BY164" s="77"/>
      <c r="BZ164" s="77"/>
      <c r="CA164" s="77"/>
      <c r="CB164" s="77"/>
      <c r="CC164" s="77"/>
      <c r="CD164" s="77"/>
      <c r="CE164" s="77"/>
      <c r="CF164" s="77"/>
      <c r="CG164" s="77"/>
      <c r="CH164" s="77"/>
      <c r="CI164" s="77"/>
      <c r="CJ164" s="77"/>
      <c r="CK164" s="77"/>
      <c r="CL164" s="77"/>
      <c r="CM164" s="77"/>
      <c r="CN164" s="77"/>
      <c r="CO164" s="77"/>
      <c r="CP164" s="77"/>
      <c r="CQ164" s="77"/>
      <c r="CR164" s="77"/>
      <c r="CS164" s="77"/>
      <c r="CT164" s="77"/>
      <c r="CU164" s="77"/>
      <c r="CV164" s="77"/>
      <c r="CW164" s="77"/>
      <c r="CX164" s="77"/>
      <c r="CY164" s="77"/>
      <c r="CZ164" s="77"/>
      <c r="DA164" s="77"/>
      <c r="DB164" s="77"/>
      <c r="DC164" s="77"/>
      <c r="DD164" s="77"/>
      <c r="DE164" s="77"/>
      <c r="DF164" s="77"/>
      <c r="DG164" s="77"/>
      <c r="DH164" s="77"/>
      <c r="DI164" s="77"/>
      <c r="DJ164" s="77"/>
      <c r="DK164" s="77"/>
      <c r="DL164" s="77"/>
      <c r="DM164" s="77"/>
      <c r="DN164" s="77"/>
      <c r="DO164" s="77"/>
      <c r="DP164" s="77"/>
      <c r="DQ164" s="77"/>
      <c r="DR164" s="77"/>
      <c r="DS164" s="77"/>
      <c r="DT164" s="78"/>
      <c r="DU164" s="12"/>
    </row>
    <row r="165" spans="1:125" ht="16" customHeight="1" x14ac:dyDescent="0.2">
      <c r="A165" s="68"/>
      <c r="B165" s="68"/>
      <c r="C165" s="68"/>
      <c r="D165" s="68"/>
      <c r="E165" s="68"/>
      <c r="F165" s="68"/>
      <c r="G165" s="68"/>
      <c r="H165" s="68"/>
      <c r="I165" s="68"/>
      <c r="J165" s="68"/>
      <c r="K165" s="68"/>
      <c r="L165" s="68"/>
      <c r="M165" s="68"/>
      <c r="N165" s="68"/>
      <c r="O165" s="68"/>
      <c r="P165" s="68"/>
      <c r="Q165" s="68"/>
      <c r="R165" s="68"/>
      <c r="S165" s="68"/>
      <c r="T165" s="68"/>
      <c r="U165" s="68"/>
      <c r="V165" s="69"/>
      <c r="W165" s="190"/>
      <c r="X165" s="190"/>
      <c r="Y165" s="191"/>
      <c r="Z165" s="190"/>
      <c r="AA165" s="325"/>
      <c r="AB165" s="326"/>
      <c r="AC165" s="345"/>
      <c r="AD165" s="236"/>
      <c r="AE165" s="236"/>
      <c r="AF165" s="345"/>
      <c r="AG165" s="8"/>
      <c r="AH165" s="8"/>
      <c r="AI165" s="8"/>
      <c r="AJ165" s="8"/>
      <c r="AK165" s="8"/>
      <c r="AL165" s="8"/>
      <c r="AM165" s="8"/>
      <c r="AN165" s="8"/>
      <c r="AO165" s="8"/>
      <c r="AP165" s="8"/>
      <c r="AQ165" s="8"/>
      <c r="AR165" s="8"/>
      <c r="AS165" s="8"/>
      <c r="AT165" s="8"/>
      <c r="AU165" s="8"/>
      <c r="AV165" s="324"/>
      <c r="AW165" s="191"/>
      <c r="AX165" s="190"/>
      <c r="AY165" s="325"/>
      <c r="AZ165" s="326"/>
      <c r="BA165" s="8"/>
      <c r="BB165" s="77"/>
      <c r="BC165" s="77"/>
      <c r="BD165" s="77"/>
      <c r="BE165" s="77"/>
      <c r="BF165" s="77"/>
      <c r="BG165" s="77"/>
      <c r="BH165" s="77"/>
      <c r="BI165" s="77"/>
      <c r="BJ165" s="77"/>
      <c r="BK165" s="77"/>
      <c r="BL165" s="77"/>
      <c r="BM165" s="77"/>
      <c r="BN165" s="77"/>
      <c r="BO165" s="77"/>
      <c r="BP165" s="77"/>
      <c r="BQ165" s="77"/>
      <c r="BR165" s="77"/>
      <c r="BS165" s="77"/>
      <c r="BT165" s="77"/>
      <c r="BU165" s="77"/>
      <c r="BV165" s="77"/>
      <c r="BW165" s="77"/>
      <c r="BX165" s="77"/>
      <c r="BY165" s="77"/>
      <c r="BZ165" s="77"/>
      <c r="CA165" s="77"/>
      <c r="CB165" s="77"/>
      <c r="CC165" s="77"/>
      <c r="CD165" s="77"/>
      <c r="CE165" s="77"/>
      <c r="CF165" s="77"/>
      <c r="CG165" s="77"/>
      <c r="CH165" s="77"/>
      <c r="CI165" s="77"/>
      <c r="CJ165" s="77"/>
      <c r="CK165" s="77"/>
      <c r="CL165" s="77"/>
      <c r="CM165" s="77"/>
      <c r="CN165" s="77"/>
      <c r="CO165" s="77"/>
      <c r="CP165" s="77"/>
      <c r="CQ165" s="77"/>
      <c r="CR165" s="77"/>
      <c r="CS165" s="77"/>
      <c r="CT165" s="77"/>
      <c r="CU165" s="77"/>
      <c r="CV165" s="77"/>
      <c r="CW165" s="77"/>
      <c r="CX165" s="77"/>
      <c r="CY165" s="77"/>
      <c r="CZ165" s="77"/>
      <c r="DA165" s="77"/>
      <c r="DB165" s="77"/>
      <c r="DC165" s="77"/>
      <c r="DD165" s="77"/>
      <c r="DE165" s="77"/>
      <c r="DF165" s="77"/>
      <c r="DG165" s="77"/>
      <c r="DH165" s="77"/>
      <c r="DI165" s="77"/>
      <c r="DJ165" s="77"/>
      <c r="DK165" s="77"/>
      <c r="DL165" s="77"/>
      <c r="DM165" s="77"/>
      <c r="DN165" s="77"/>
      <c r="DO165" s="77"/>
      <c r="DP165" s="77"/>
      <c r="DQ165" s="77"/>
      <c r="DR165" s="77"/>
      <c r="DS165" s="77"/>
      <c r="DT165" s="78"/>
      <c r="DU165" s="12"/>
    </row>
    <row r="166" spans="1:125" ht="15" customHeight="1" x14ac:dyDescent="0.2">
      <c r="A166" s="68"/>
      <c r="B166" s="68"/>
      <c r="C166" s="68"/>
      <c r="D166" s="68"/>
      <c r="E166" s="68"/>
      <c r="F166" s="68"/>
      <c r="G166" s="68"/>
      <c r="H166" s="68"/>
      <c r="I166" s="68"/>
      <c r="J166" s="68"/>
      <c r="K166" s="68"/>
      <c r="L166" s="68"/>
      <c r="M166" s="68"/>
      <c r="N166" s="68"/>
      <c r="O166" s="68"/>
      <c r="P166" s="68"/>
      <c r="Q166" s="68"/>
      <c r="R166" s="68"/>
      <c r="S166" s="68"/>
      <c r="T166" s="68"/>
      <c r="U166" s="68"/>
      <c r="V166" s="69"/>
      <c r="W166" s="190"/>
      <c r="X166" s="190"/>
      <c r="Y166" s="191"/>
      <c r="Z166" s="190"/>
      <c r="AA166" s="325"/>
      <c r="AB166" s="326"/>
      <c r="AC166" s="345"/>
      <c r="AD166" s="236"/>
      <c r="AE166" s="236"/>
      <c r="AF166" s="345"/>
      <c r="AG166" s="8"/>
      <c r="AH166" s="8"/>
      <c r="AI166" s="8"/>
      <c r="AJ166" s="8"/>
      <c r="AK166" s="8"/>
      <c r="AL166" s="8"/>
      <c r="AM166" s="8"/>
      <c r="AN166" s="8"/>
      <c r="AO166" s="8"/>
      <c r="AP166" s="8"/>
      <c r="AQ166" s="8"/>
      <c r="AR166" s="8"/>
      <c r="AS166" s="8"/>
      <c r="AT166" s="8"/>
      <c r="AU166" s="8"/>
      <c r="AV166" s="324"/>
      <c r="AW166" s="191"/>
      <c r="AX166" s="190"/>
      <c r="AY166" s="325"/>
      <c r="AZ166" s="326"/>
      <c r="BA166" s="8"/>
      <c r="BB166" s="77"/>
      <c r="BC166" s="77"/>
      <c r="BD166" s="77"/>
      <c r="BE166" s="77"/>
      <c r="BF166" s="77"/>
      <c r="BG166" s="77"/>
      <c r="BH166" s="77"/>
      <c r="BI166" s="77"/>
      <c r="BJ166" s="77"/>
      <c r="BK166" s="77"/>
      <c r="BL166" s="77"/>
      <c r="BM166" s="77"/>
      <c r="BN166" s="77"/>
      <c r="BO166" s="77"/>
      <c r="BP166" s="77"/>
      <c r="BQ166" s="77"/>
      <c r="BR166" s="77"/>
      <c r="BS166" s="77"/>
      <c r="BT166" s="77"/>
      <c r="BU166" s="77"/>
      <c r="BV166" s="77"/>
      <c r="BW166" s="77"/>
      <c r="BX166" s="77"/>
      <c r="BY166" s="77"/>
      <c r="BZ166" s="77"/>
      <c r="CA166" s="77"/>
      <c r="CB166" s="77"/>
      <c r="CC166" s="77"/>
      <c r="CD166" s="77"/>
      <c r="CE166" s="77"/>
      <c r="CF166" s="77"/>
      <c r="CG166" s="77"/>
      <c r="CH166" s="77"/>
      <c r="CI166" s="77"/>
      <c r="CJ166" s="77"/>
      <c r="CK166" s="77"/>
      <c r="CL166" s="77"/>
      <c r="CM166" s="77"/>
      <c r="CN166" s="77"/>
      <c r="CO166" s="77"/>
      <c r="CP166" s="77"/>
      <c r="CQ166" s="77"/>
      <c r="CR166" s="77"/>
      <c r="CS166" s="77"/>
      <c r="CT166" s="77"/>
      <c r="CU166" s="77"/>
      <c r="CV166" s="77"/>
      <c r="CW166" s="77"/>
      <c r="CX166" s="77"/>
      <c r="CY166" s="77"/>
      <c r="CZ166" s="77"/>
      <c r="DA166" s="77"/>
      <c r="DB166" s="77"/>
      <c r="DC166" s="77"/>
      <c r="DD166" s="77"/>
      <c r="DE166" s="77"/>
      <c r="DF166" s="77"/>
      <c r="DG166" s="77"/>
      <c r="DH166" s="77"/>
      <c r="DI166" s="77"/>
      <c r="DJ166" s="77"/>
      <c r="DK166" s="77"/>
      <c r="DL166" s="77"/>
      <c r="DM166" s="77"/>
      <c r="DN166" s="77"/>
      <c r="DO166" s="77"/>
      <c r="DP166" s="77"/>
      <c r="DQ166" s="77"/>
      <c r="DR166" s="77"/>
      <c r="DS166" s="77"/>
      <c r="DT166" s="78"/>
      <c r="DU166" s="12"/>
    </row>
    <row r="167" spans="1:125" ht="15" customHeight="1" x14ac:dyDescent="0.2">
      <c r="A167" s="68"/>
      <c r="B167" s="68"/>
      <c r="C167" s="68"/>
      <c r="D167" s="68"/>
      <c r="E167" s="68"/>
      <c r="F167" s="68"/>
      <c r="G167" s="68"/>
      <c r="H167" s="68"/>
      <c r="I167" s="68"/>
      <c r="J167" s="68"/>
      <c r="K167" s="68"/>
      <c r="L167" s="68"/>
      <c r="M167" s="68"/>
      <c r="N167" s="68"/>
      <c r="O167" s="68"/>
      <c r="P167" s="68"/>
      <c r="Q167" s="68"/>
      <c r="R167" s="68"/>
      <c r="S167" s="68"/>
      <c r="T167" s="68"/>
      <c r="U167" s="68"/>
      <c r="V167" s="69"/>
      <c r="W167" s="190"/>
      <c r="X167" s="190"/>
      <c r="Y167" s="191"/>
      <c r="Z167" s="190"/>
      <c r="AA167" s="325"/>
      <c r="AB167" s="326"/>
      <c r="AC167" s="345"/>
      <c r="AD167" s="236"/>
      <c r="AE167" s="236"/>
      <c r="AF167" s="345"/>
      <c r="AG167" s="8"/>
      <c r="AH167" s="8"/>
      <c r="AI167" s="8"/>
      <c r="AJ167" s="8"/>
      <c r="AK167" s="8"/>
      <c r="AL167" s="8"/>
      <c r="AM167" s="8"/>
      <c r="AN167" s="8"/>
      <c r="AO167" s="8"/>
      <c r="AP167" s="8"/>
      <c r="AQ167" s="8"/>
      <c r="AR167" s="8"/>
      <c r="AS167" s="8"/>
      <c r="AT167" s="8"/>
      <c r="AU167" s="8"/>
      <c r="AV167" s="324"/>
      <c r="AW167" s="191"/>
      <c r="AX167" s="190"/>
      <c r="AY167" s="325"/>
      <c r="AZ167" s="326"/>
      <c r="BA167" s="8"/>
      <c r="BB167" s="77"/>
      <c r="BC167" s="77"/>
      <c r="BD167" s="77"/>
      <c r="BE167" s="77"/>
      <c r="BF167" s="77"/>
      <c r="BG167" s="77"/>
      <c r="BH167" s="77"/>
      <c r="BI167" s="77"/>
      <c r="BJ167" s="77"/>
      <c r="BK167" s="77"/>
      <c r="BL167" s="77"/>
      <c r="BM167" s="77"/>
      <c r="BN167" s="77"/>
      <c r="BO167" s="77"/>
      <c r="BP167" s="77"/>
      <c r="BQ167" s="77"/>
      <c r="BR167" s="77"/>
      <c r="BS167" s="77"/>
      <c r="BT167" s="77"/>
      <c r="BU167" s="77"/>
      <c r="BV167" s="77"/>
      <c r="BW167" s="77"/>
      <c r="BX167" s="77"/>
      <c r="BY167" s="77"/>
      <c r="BZ167" s="77"/>
      <c r="CA167" s="77"/>
      <c r="CB167" s="77"/>
      <c r="CC167" s="77"/>
      <c r="CD167" s="77"/>
      <c r="CE167" s="77"/>
      <c r="CF167" s="77"/>
      <c r="CG167" s="77"/>
      <c r="CH167" s="77"/>
      <c r="CI167" s="77"/>
      <c r="CJ167" s="77"/>
      <c r="CK167" s="77"/>
      <c r="CL167" s="77"/>
      <c r="CM167" s="77"/>
      <c r="CN167" s="77"/>
      <c r="CO167" s="77"/>
      <c r="CP167" s="77"/>
      <c r="CQ167" s="77"/>
      <c r="CR167" s="77"/>
      <c r="CS167" s="77"/>
      <c r="CT167" s="77"/>
      <c r="CU167" s="77"/>
      <c r="CV167" s="77"/>
      <c r="CW167" s="77"/>
      <c r="CX167" s="77"/>
      <c r="CY167" s="77"/>
      <c r="CZ167" s="77"/>
      <c r="DA167" s="77"/>
      <c r="DB167" s="77"/>
      <c r="DC167" s="77"/>
      <c r="DD167" s="77"/>
      <c r="DE167" s="77"/>
      <c r="DF167" s="77"/>
      <c r="DG167" s="77"/>
      <c r="DH167" s="77"/>
      <c r="DI167" s="77"/>
      <c r="DJ167" s="77"/>
      <c r="DK167" s="77"/>
      <c r="DL167" s="77"/>
      <c r="DM167" s="77"/>
      <c r="DN167" s="77"/>
      <c r="DO167" s="77"/>
      <c r="DP167" s="77"/>
      <c r="DQ167" s="77"/>
      <c r="DR167" s="77"/>
      <c r="DS167" s="77"/>
      <c r="DT167" s="78"/>
      <c r="DU167" s="12"/>
    </row>
    <row r="168" spans="1:125" ht="15" customHeight="1" x14ac:dyDescent="0.2">
      <c r="A168" s="348"/>
      <c r="B168" s="349"/>
      <c r="C168" s="348"/>
      <c r="D168" s="349"/>
      <c r="E168" s="348"/>
      <c r="F168" s="349"/>
      <c r="G168" s="348"/>
      <c r="H168" s="349"/>
      <c r="I168" s="348"/>
      <c r="J168" s="349"/>
      <c r="K168" s="348"/>
      <c r="L168" s="349"/>
      <c r="M168" s="348"/>
      <c r="N168" s="349"/>
      <c r="O168" s="348"/>
      <c r="P168" s="349"/>
      <c r="Q168" s="348"/>
      <c r="R168" s="349"/>
      <c r="S168" s="348"/>
      <c r="T168" s="349"/>
      <c r="U168" s="348"/>
      <c r="V168" s="350"/>
      <c r="W168" s="191"/>
      <c r="X168" s="190"/>
      <c r="Y168" s="191"/>
      <c r="Z168" s="190"/>
      <c r="AA168" s="191"/>
      <c r="AB168" s="190"/>
      <c r="AC168" s="191"/>
      <c r="AD168" s="190"/>
      <c r="AE168" s="191"/>
      <c r="AF168" s="190"/>
      <c r="AG168" s="191"/>
      <c r="AH168" s="190"/>
      <c r="AI168" s="191"/>
      <c r="AJ168" s="190"/>
      <c r="AK168" s="191"/>
      <c r="AL168" s="190"/>
      <c r="AM168" s="191"/>
      <c r="AN168" s="190"/>
      <c r="AO168" s="191"/>
      <c r="AP168" s="190"/>
      <c r="AQ168" s="191"/>
      <c r="AR168" s="190"/>
      <c r="AS168" s="191"/>
      <c r="AT168" s="190"/>
      <c r="AU168" s="191"/>
      <c r="AV168" s="190"/>
      <c r="AW168" s="191"/>
      <c r="AX168" s="190"/>
      <c r="AY168" s="325"/>
      <c r="AZ168" s="326"/>
      <c r="BA168" s="8"/>
      <c r="BB168" s="77"/>
      <c r="BC168" s="77"/>
      <c r="BD168" s="77"/>
      <c r="BE168" s="77"/>
      <c r="BF168" s="77"/>
      <c r="BG168" s="77"/>
      <c r="BH168" s="77"/>
      <c r="BI168" s="77"/>
      <c r="BJ168" s="77"/>
      <c r="BK168" s="77"/>
      <c r="BL168" s="77"/>
      <c r="BM168" s="77"/>
      <c r="BN168" s="77"/>
      <c r="BO168" s="77"/>
      <c r="BP168" s="77"/>
      <c r="BQ168" s="77"/>
      <c r="BR168" s="77"/>
      <c r="BS168" s="77"/>
      <c r="BT168" s="77"/>
      <c r="BU168" s="77"/>
      <c r="BV168" s="77"/>
      <c r="BW168" s="77"/>
      <c r="BX168" s="77"/>
      <c r="BY168" s="77"/>
      <c r="BZ168" s="77"/>
      <c r="CA168" s="77"/>
      <c r="CB168" s="77"/>
      <c r="CC168" s="77"/>
      <c r="CD168" s="77"/>
      <c r="CE168" s="77"/>
      <c r="CF168" s="77"/>
      <c r="CG168" s="77"/>
      <c r="CH168" s="77"/>
      <c r="CI168" s="77"/>
      <c r="CJ168" s="77"/>
      <c r="CK168" s="77"/>
      <c r="CL168" s="77"/>
      <c r="CM168" s="77"/>
      <c r="CN168" s="77"/>
      <c r="CO168" s="77"/>
      <c r="CP168" s="77"/>
      <c r="CQ168" s="77"/>
      <c r="CR168" s="77"/>
      <c r="CS168" s="77"/>
      <c r="CT168" s="77"/>
      <c r="CU168" s="77"/>
      <c r="CV168" s="77"/>
      <c r="CW168" s="77"/>
      <c r="CX168" s="77"/>
      <c r="CY168" s="77"/>
      <c r="CZ168" s="77"/>
      <c r="DA168" s="77"/>
      <c r="DB168" s="77"/>
      <c r="DC168" s="77"/>
      <c r="DD168" s="77"/>
      <c r="DE168" s="77"/>
      <c r="DF168" s="77"/>
      <c r="DG168" s="77"/>
      <c r="DH168" s="77"/>
      <c r="DI168" s="77"/>
      <c r="DJ168" s="77"/>
      <c r="DK168" s="77"/>
      <c r="DL168" s="77"/>
      <c r="DM168" s="77"/>
      <c r="DN168" s="77"/>
      <c r="DO168" s="77"/>
      <c r="DP168" s="77"/>
      <c r="DQ168" s="77"/>
      <c r="DR168" s="77"/>
      <c r="DS168" s="77"/>
      <c r="DT168" s="78"/>
      <c r="DU168" s="12"/>
    </row>
    <row r="169" spans="1:125" ht="15" customHeight="1" x14ac:dyDescent="0.2">
      <c r="A169" s="12"/>
      <c r="B169" s="12"/>
      <c r="C169" s="12"/>
      <c r="D169" s="12"/>
      <c r="E169" s="12"/>
      <c r="F169" s="12"/>
      <c r="G169" s="12"/>
      <c r="H169" s="12"/>
      <c r="I169" s="12"/>
      <c r="J169" s="12"/>
      <c r="K169" s="12"/>
      <c r="L169" s="12"/>
      <c r="M169" s="12"/>
      <c r="N169" s="12"/>
      <c r="O169" s="12"/>
      <c r="P169" s="12"/>
      <c r="Q169" s="12"/>
      <c r="R169" s="12"/>
      <c r="S169" s="12"/>
      <c r="T169" s="12"/>
      <c r="U169" s="12"/>
      <c r="V169" s="351"/>
      <c r="W169" s="77"/>
      <c r="X169" s="77"/>
      <c r="Y169" s="77"/>
      <c r="Z169" s="77"/>
      <c r="AA169" s="77"/>
      <c r="AB169" s="77"/>
      <c r="AC169" s="77"/>
      <c r="AD169" s="77"/>
      <c r="AE169" s="77"/>
      <c r="AF169" s="77"/>
      <c r="AG169" s="77"/>
      <c r="AH169" s="13"/>
      <c r="AI169" s="13"/>
      <c r="AJ169" s="77"/>
      <c r="AK169" s="77"/>
      <c r="AL169" s="77"/>
      <c r="AM169" s="77"/>
      <c r="AN169" s="77"/>
      <c r="AO169" s="77"/>
      <c r="AP169" s="77"/>
      <c r="AQ169" s="77"/>
      <c r="AR169" s="77"/>
      <c r="AS169" s="77"/>
      <c r="AT169" s="77"/>
      <c r="AU169" s="13"/>
      <c r="AV169" s="352"/>
      <c r="AW169" s="13"/>
      <c r="AX169" s="13"/>
      <c r="AY169" s="13"/>
      <c r="AZ169" s="13"/>
      <c r="BA169" s="77"/>
      <c r="BB169" s="77"/>
      <c r="BC169" s="77"/>
      <c r="BD169" s="77"/>
      <c r="BE169" s="77"/>
      <c r="BF169" s="77"/>
      <c r="BG169" s="77"/>
      <c r="BH169" s="77"/>
      <c r="BI169" s="77"/>
      <c r="BJ169" s="77"/>
      <c r="BK169" s="77"/>
      <c r="BL169" s="77"/>
      <c r="BM169" s="77"/>
      <c r="BN169" s="77"/>
      <c r="BO169" s="77"/>
      <c r="BP169" s="77"/>
      <c r="BQ169" s="77"/>
      <c r="BR169" s="77"/>
      <c r="BS169" s="77"/>
      <c r="BT169" s="77"/>
      <c r="BU169" s="77"/>
      <c r="BV169" s="77"/>
      <c r="BW169" s="77"/>
      <c r="BX169" s="77"/>
      <c r="BY169" s="77"/>
      <c r="BZ169" s="77"/>
      <c r="CA169" s="77"/>
      <c r="CB169" s="77"/>
      <c r="CC169" s="77"/>
      <c r="CD169" s="77"/>
      <c r="CE169" s="77"/>
      <c r="CF169" s="77"/>
      <c r="CG169" s="77"/>
      <c r="CH169" s="77"/>
      <c r="CI169" s="77"/>
      <c r="CJ169" s="77"/>
      <c r="CK169" s="77"/>
      <c r="CL169" s="77"/>
      <c r="CM169" s="77"/>
      <c r="CN169" s="77"/>
      <c r="CO169" s="77"/>
      <c r="CP169" s="77"/>
      <c r="CQ169" s="77"/>
      <c r="CR169" s="77"/>
      <c r="CS169" s="77"/>
      <c r="CT169" s="77"/>
      <c r="CU169" s="77"/>
      <c r="CV169" s="77"/>
      <c r="CW169" s="77"/>
      <c r="CX169" s="77"/>
      <c r="CY169" s="77"/>
      <c r="CZ169" s="77"/>
      <c r="DA169" s="77"/>
      <c r="DB169" s="77"/>
      <c r="DC169" s="77"/>
      <c r="DD169" s="77"/>
      <c r="DE169" s="77"/>
      <c r="DF169" s="77"/>
      <c r="DG169" s="77"/>
      <c r="DH169" s="77"/>
      <c r="DI169" s="77"/>
      <c r="DJ169" s="77"/>
      <c r="DK169" s="77"/>
      <c r="DL169" s="77"/>
      <c r="DM169" s="77"/>
      <c r="DN169" s="77"/>
      <c r="DO169" s="77"/>
      <c r="DP169" s="77"/>
      <c r="DQ169" s="77"/>
      <c r="DR169" s="77"/>
      <c r="DS169" s="77"/>
      <c r="DT169" s="78"/>
      <c r="DU169" s="12"/>
    </row>
    <row r="170" spans="1:125" ht="15" customHeight="1" x14ac:dyDescent="0.2">
      <c r="A170" s="12"/>
      <c r="B170" s="12"/>
      <c r="C170" s="12"/>
      <c r="D170" s="12"/>
      <c r="E170" s="12"/>
      <c r="F170" s="12"/>
      <c r="G170" s="12"/>
      <c r="H170" s="12"/>
      <c r="I170" s="12"/>
      <c r="J170" s="12"/>
      <c r="K170" s="12"/>
      <c r="L170" s="12"/>
      <c r="M170" s="12"/>
      <c r="N170" s="12"/>
      <c r="O170" s="12"/>
      <c r="P170" s="12"/>
      <c r="Q170" s="12"/>
      <c r="R170" s="12"/>
      <c r="S170" s="12"/>
      <c r="T170" s="12"/>
      <c r="U170" s="12"/>
      <c r="V170" s="351"/>
      <c r="W170" s="77"/>
      <c r="X170" s="77"/>
      <c r="Y170" s="77"/>
      <c r="Z170" s="77"/>
      <c r="AA170" s="77"/>
      <c r="AB170" s="77"/>
      <c r="AC170" s="77"/>
      <c r="AD170" s="77"/>
      <c r="AE170" s="77"/>
      <c r="AF170" s="77"/>
      <c r="AG170" s="77"/>
      <c r="AH170" s="13"/>
      <c r="AI170" s="13"/>
      <c r="AJ170" s="77"/>
      <c r="AK170" s="77"/>
      <c r="AL170" s="77"/>
      <c r="AM170" s="77"/>
      <c r="AN170" s="77"/>
      <c r="AO170" s="77"/>
      <c r="AP170" s="77"/>
      <c r="AQ170" s="77"/>
      <c r="AR170" s="77"/>
      <c r="AS170" s="77"/>
      <c r="AT170" s="77"/>
      <c r="AU170" s="13"/>
      <c r="AV170" s="352"/>
      <c r="AW170" s="13"/>
      <c r="AX170" s="13"/>
      <c r="AY170" s="13"/>
      <c r="AZ170" s="13"/>
      <c r="BA170" s="77"/>
      <c r="BB170" s="77"/>
      <c r="BC170" s="77"/>
      <c r="BD170" s="77"/>
      <c r="BE170" s="77"/>
      <c r="BF170" s="77"/>
      <c r="BG170" s="77"/>
      <c r="BH170" s="77"/>
      <c r="BI170" s="77"/>
      <c r="BJ170" s="77"/>
      <c r="BK170" s="77"/>
      <c r="BL170" s="77"/>
      <c r="BM170" s="77"/>
      <c r="BN170" s="77"/>
      <c r="BO170" s="77"/>
      <c r="BP170" s="77"/>
      <c r="BQ170" s="77"/>
      <c r="BR170" s="77"/>
      <c r="BS170" s="77"/>
      <c r="BT170" s="77"/>
      <c r="BU170" s="77"/>
      <c r="BV170" s="77"/>
      <c r="BW170" s="77"/>
      <c r="BX170" s="77"/>
      <c r="BY170" s="77"/>
      <c r="BZ170" s="77"/>
      <c r="CA170" s="77"/>
      <c r="CB170" s="77"/>
      <c r="CC170" s="77"/>
      <c r="CD170" s="77"/>
      <c r="CE170" s="77"/>
      <c r="CF170" s="77"/>
      <c r="CG170" s="77"/>
      <c r="CH170" s="77"/>
      <c r="CI170" s="77"/>
      <c r="CJ170" s="77"/>
      <c r="CK170" s="77"/>
      <c r="CL170" s="77"/>
      <c r="CM170" s="77"/>
      <c r="CN170" s="77"/>
      <c r="CO170" s="77"/>
      <c r="CP170" s="77"/>
      <c r="CQ170" s="77"/>
      <c r="CR170" s="77"/>
      <c r="CS170" s="77"/>
      <c r="CT170" s="77"/>
      <c r="CU170" s="77"/>
      <c r="CV170" s="77"/>
      <c r="CW170" s="77"/>
      <c r="CX170" s="77"/>
      <c r="CY170" s="77"/>
      <c r="CZ170" s="77"/>
      <c r="DA170" s="77"/>
      <c r="DB170" s="77"/>
      <c r="DC170" s="77"/>
      <c r="DD170" s="77"/>
      <c r="DE170" s="77"/>
      <c r="DF170" s="77"/>
      <c r="DG170" s="77"/>
      <c r="DH170" s="77"/>
      <c r="DI170" s="77"/>
      <c r="DJ170" s="77"/>
      <c r="DK170" s="77"/>
      <c r="DL170" s="77"/>
      <c r="DM170" s="77"/>
      <c r="DN170" s="77"/>
      <c r="DO170" s="77"/>
      <c r="DP170" s="77"/>
      <c r="DQ170" s="77"/>
      <c r="DR170" s="77"/>
      <c r="DS170" s="77"/>
      <c r="DT170" s="78"/>
      <c r="DU170" s="12"/>
    </row>
    <row r="171" spans="1:125" ht="15" customHeight="1" x14ac:dyDescent="0.2">
      <c r="A171" s="12"/>
      <c r="B171" s="12"/>
      <c r="C171" s="12"/>
      <c r="D171" s="12"/>
      <c r="E171" s="12"/>
      <c r="F171" s="12"/>
      <c r="G171" s="12"/>
      <c r="H171" s="12"/>
      <c r="I171" s="12"/>
      <c r="J171" s="12"/>
      <c r="K171" s="12"/>
      <c r="L171" s="12"/>
      <c r="M171" s="12"/>
      <c r="N171" s="12"/>
      <c r="O171" s="12"/>
      <c r="P171" s="12"/>
      <c r="Q171" s="12"/>
      <c r="R171" s="12"/>
      <c r="S171" s="12"/>
      <c r="T171" s="12"/>
      <c r="U171" s="12"/>
      <c r="V171" s="351"/>
      <c r="W171" s="77"/>
      <c r="X171" s="77"/>
      <c r="Y171" s="77"/>
      <c r="Z171" s="77"/>
      <c r="AA171" s="77"/>
      <c r="AB171" s="77"/>
      <c r="AC171" s="77"/>
      <c r="AD171" s="77"/>
      <c r="AE171" s="77"/>
      <c r="AF171" s="77"/>
      <c r="AG171" s="77"/>
      <c r="AH171" s="13"/>
      <c r="AI171" s="13"/>
      <c r="AJ171" s="77"/>
      <c r="AK171" s="77"/>
      <c r="AL171" s="77"/>
      <c r="AM171" s="77"/>
      <c r="AN171" s="77"/>
      <c r="AO171" s="77"/>
      <c r="AP171" s="77"/>
      <c r="AQ171" s="77"/>
      <c r="AR171" s="77"/>
      <c r="AS171" s="77"/>
      <c r="AT171" s="77"/>
      <c r="AU171" s="13"/>
      <c r="AV171" s="352"/>
      <c r="AW171" s="13"/>
      <c r="AX171" s="13"/>
      <c r="AY171" s="13"/>
      <c r="AZ171" s="13"/>
      <c r="BA171" s="77"/>
      <c r="BB171" s="77"/>
      <c r="BC171" s="77"/>
      <c r="BD171" s="77"/>
      <c r="BE171" s="77"/>
      <c r="BF171" s="77"/>
      <c r="BG171" s="77"/>
      <c r="BH171" s="77"/>
      <c r="BI171" s="77"/>
      <c r="BJ171" s="77"/>
      <c r="BK171" s="77"/>
      <c r="BL171" s="77"/>
      <c r="BM171" s="77"/>
      <c r="BN171" s="77"/>
      <c r="BO171" s="77"/>
      <c r="BP171" s="77"/>
      <c r="BQ171" s="77"/>
      <c r="BR171" s="77"/>
      <c r="BS171" s="77"/>
      <c r="BT171" s="77"/>
      <c r="BU171" s="77"/>
      <c r="BV171" s="77"/>
      <c r="BW171" s="77"/>
      <c r="BX171" s="77"/>
      <c r="BY171" s="77"/>
      <c r="BZ171" s="77"/>
      <c r="CA171" s="77"/>
      <c r="CB171" s="77"/>
      <c r="CC171" s="77"/>
      <c r="CD171" s="77"/>
      <c r="CE171" s="77"/>
      <c r="CF171" s="77"/>
      <c r="CG171" s="77"/>
      <c r="CH171" s="77"/>
      <c r="CI171" s="77"/>
      <c r="CJ171" s="77"/>
      <c r="CK171" s="77"/>
      <c r="CL171" s="77"/>
      <c r="CM171" s="77"/>
      <c r="CN171" s="77"/>
      <c r="CO171" s="77"/>
      <c r="CP171" s="77"/>
      <c r="CQ171" s="77"/>
      <c r="CR171" s="77"/>
      <c r="CS171" s="77"/>
      <c r="CT171" s="77"/>
      <c r="CU171" s="77"/>
      <c r="CV171" s="77"/>
      <c r="CW171" s="77"/>
      <c r="CX171" s="77"/>
      <c r="CY171" s="77"/>
      <c r="CZ171" s="77"/>
      <c r="DA171" s="77"/>
      <c r="DB171" s="77"/>
      <c r="DC171" s="77"/>
      <c r="DD171" s="77"/>
      <c r="DE171" s="77"/>
      <c r="DF171" s="77"/>
      <c r="DG171" s="77"/>
      <c r="DH171" s="77"/>
      <c r="DI171" s="77"/>
      <c r="DJ171" s="77"/>
      <c r="DK171" s="77"/>
      <c r="DL171" s="77"/>
      <c r="DM171" s="77"/>
      <c r="DN171" s="77"/>
      <c r="DO171" s="77"/>
      <c r="DP171" s="77"/>
      <c r="DQ171" s="77"/>
      <c r="DR171" s="77"/>
      <c r="DS171" s="77"/>
      <c r="DT171" s="78"/>
      <c r="DU171" s="12"/>
    </row>
    <row r="172" spans="1:125" ht="15" customHeight="1" x14ac:dyDescent="0.2">
      <c r="A172" s="12"/>
      <c r="B172" s="12"/>
      <c r="C172" s="12"/>
      <c r="D172" s="12"/>
      <c r="E172" s="12"/>
      <c r="F172" s="12"/>
      <c r="G172" s="12"/>
      <c r="H172" s="12"/>
      <c r="I172" s="12"/>
      <c r="J172" s="12"/>
      <c r="K172" s="12"/>
      <c r="L172" s="12"/>
      <c r="M172" s="12"/>
      <c r="N172" s="12"/>
      <c r="O172" s="12"/>
      <c r="P172" s="12"/>
      <c r="Q172" s="12"/>
      <c r="R172" s="12"/>
      <c r="S172" s="12"/>
      <c r="T172" s="12"/>
      <c r="U172" s="12"/>
      <c r="V172" s="351"/>
      <c r="W172" s="77"/>
      <c r="X172" s="77"/>
      <c r="Y172" s="77"/>
      <c r="Z172" s="77"/>
      <c r="AA172" s="77"/>
      <c r="AB172" s="77"/>
      <c r="AC172" s="77"/>
      <c r="AD172" s="77"/>
      <c r="AE172" s="77"/>
      <c r="AF172" s="77"/>
      <c r="AG172" s="77"/>
      <c r="AH172" s="13"/>
      <c r="AI172" s="13"/>
      <c r="AJ172" s="77"/>
      <c r="AK172" s="77"/>
      <c r="AL172" s="77"/>
      <c r="AM172" s="77"/>
      <c r="AN172" s="77"/>
      <c r="AO172" s="77"/>
      <c r="AP172" s="77"/>
      <c r="AQ172" s="77"/>
      <c r="AR172" s="77"/>
      <c r="AS172" s="77"/>
      <c r="AT172" s="77"/>
      <c r="AU172" s="13"/>
      <c r="AV172" s="352"/>
      <c r="AW172" s="13"/>
      <c r="AX172" s="13"/>
      <c r="AY172" s="13"/>
      <c r="AZ172" s="13"/>
      <c r="BA172" s="77"/>
      <c r="BB172" s="77"/>
      <c r="BC172" s="77"/>
      <c r="BD172" s="77"/>
      <c r="BE172" s="77"/>
      <c r="BF172" s="77"/>
      <c r="BG172" s="77"/>
      <c r="BH172" s="77"/>
      <c r="BI172" s="77"/>
      <c r="BJ172" s="77"/>
      <c r="BK172" s="77"/>
      <c r="BL172" s="77"/>
      <c r="BM172" s="77"/>
      <c r="BN172" s="77"/>
      <c r="BO172" s="77"/>
      <c r="BP172" s="77"/>
      <c r="BQ172" s="77"/>
      <c r="BR172" s="77"/>
      <c r="BS172" s="77"/>
      <c r="BT172" s="77"/>
      <c r="BU172" s="77"/>
      <c r="BV172" s="77"/>
      <c r="BW172" s="77"/>
      <c r="BX172" s="77"/>
      <c r="BY172" s="77"/>
      <c r="BZ172" s="77"/>
      <c r="CA172" s="77"/>
      <c r="CB172" s="77"/>
      <c r="CC172" s="77"/>
      <c r="CD172" s="77"/>
      <c r="CE172" s="77"/>
      <c r="CF172" s="77"/>
      <c r="CG172" s="77"/>
      <c r="CH172" s="77"/>
      <c r="CI172" s="77"/>
      <c r="CJ172" s="77"/>
      <c r="CK172" s="77"/>
      <c r="CL172" s="77"/>
      <c r="CM172" s="77"/>
      <c r="CN172" s="77"/>
      <c r="CO172" s="77"/>
      <c r="CP172" s="77"/>
      <c r="CQ172" s="77"/>
      <c r="CR172" s="77"/>
      <c r="CS172" s="77"/>
      <c r="CT172" s="77"/>
      <c r="CU172" s="77"/>
      <c r="CV172" s="77"/>
      <c r="CW172" s="77"/>
      <c r="CX172" s="77"/>
      <c r="CY172" s="77"/>
      <c r="CZ172" s="77"/>
      <c r="DA172" s="77"/>
      <c r="DB172" s="77"/>
      <c r="DC172" s="77"/>
      <c r="DD172" s="77"/>
      <c r="DE172" s="77"/>
      <c r="DF172" s="77"/>
      <c r="DG172" s="77"/>
      <c r="DH172" s="77"/>
      <c r="DI172" s="77"/>
      <c r="DJ172" s="77"/>
      <c r="DK172" s="77"/>
      <c r="DL172" s="77"/>
      <c r="DM172" s="77"/>
      <c r="DN172" s="77"/>
      <c r="DO172" s="77"/>
      <c r="DP172" s="77"/>
      <c r="DQ172" s="77"/>
      <c r="DR172" s="77"/>
      <c r="DS172" s="77"/>
      <c r="DT172" s="78"/>
      <c r="DU172" s="12"/>
    </row>
    <row r="173" spans="1:125" ht="15" customHeight="1" x14ac:dyDescent="0.2">
      <c r="A173" s="12"/>
      <c r="B173" s="12"/>
      <c r="C173" s="12"/>
      <c r="D173" s="12"/>
      <c r="E173" s="12"/>
      <c r="F173" s="12"/>
      <c r="G173" s="12"/>
      <c r="H173" s="12"/>
      <c r="I173" s="12"/>
      <c r="J173" s="12"/>
      <c r="K173" s="12"/>
      <c r="L173" s="12"/>
      <c r="M173" s="12"/>
      <c r="N173" s="12"/>
      <c r="O173" s="12"/>
      <c r="P173" s="12"/>
      <c r="Q173" s="12"/>
      <c r="R173" s="12"/>
      <c r="S173" s="12"/>
      <c r="T173" s="12"/>
      <c r="U173" s="12"/>
      <c r="V173" s="351"/>
      <c r="W173" s="77"/>
      <c r="X173" s="77"/>
      <c r="Y173" s="77"/>
      <c r="Z173" s="77"/>
      <c r="AA173" s="77"/>
      <c r="AB173" s="77"/>
      <c r="AC173" s="77"/>
      <c r="AD173" s="77"/>
      <c r="AE173" s="77"/>
      <c r="AF173" s="77"/>
      <c r="AG173" s="77"/>
      <c r="AH173" s="13"/>
      <c r="AI173" s="13"/>
      <c r="AJ173" s="77"/>
      <c r="AK173" s="77"/>
      <c r="AL173" s="77"/>
      <c r="AM173" s="77"/>
      <c r="AN173" s="77"/>
      <c r="AO173" s="77"/>
      <c r="AP173" s="77"/>
      <c r="AQ173" s="77"/>
      <c r="AR173" s="77"/>
      <c r="AS173" s="77"/>
      <c r="AT173" s="77"/>
      <c r="AU173" s="13"/>
      <c r="AV173" s="352"/>
      <c r="AW173" s="13"/>
      <c r="AX173" s="13"/>
      <c r="AY173" s="13"/>
      <c r="AZ173" s="13"/>
      <c r="BA173" s="77"/>
      <c r="BB173" s="77"/>
      <c r="BC173" s="77"/>
      <c r="BD173" s="77"/>
      <c r="BE173" s="77"/>
      <c r="BF173" s="77"/>
      <c r="BG173" s="77"/>
      <c r="BH173" s="77"/>
      <c r="BI173" s="77"/>
      <c r="BJ173" s="77"/>
      <c r="BK173" s="77"/>
      <c r="BL173" s="77"/>
      <c r="BM173" s="77"/>
      <c r="BN173" s="77"/>
      <c r="BO173" s="77"/>
      <c r="BP173" s="77"/>
      <c r="BQ173" s="77"/>
      <c r="BR173" s="77"/>
      <c r="BS173" s="77"/>
      <c r="BT173" s="77"/>
      <c r="BU173" s="77"/>
      <c r="BV173" s="77"/>
      <c r="BW173" s="77"/>
      <c r="BX173" s="77"/>
      <c r="BY173" s="77"/>
      <c r="BZ173" s="77"/>
      <c r="CA173" s="77"/>
      <c r="CB173" s="77"/>
      <c r="CC173" s="77"/>
      <c r="CD173" s="77"/>
      <c r="CE173" s="77"/>
      <c r="CF173" s="77"/>
      <c r="CG173" s="77"/>
      <c r="CH173" s="77"/>
      <c r="CI173" s="77"/>
      <c r="CJ173" s="77"/>
      <c r="CK173" s="77"/>
      <c r="CL173" s="77"/>
      <c r="CM173" s="77"/>
      <c r="CN173" s="77"/>
      <c r="CO173" s="77"/>
      <c r="CP173" s="77"/>
      <c r="CQ173" s="77"/>
      <c r="CR173" s="77"/>
      <c r="CS173" s="77"/>
      <c r="CT173" s="77"/>
      <c r="CU173" s="77"/>
      <c r="CV173" s="77"/>
      <c r="CW173" s="77"/>
      <c r="CX173" s="77"/>
      <c r="CY173" s="77"/>
      <c r="CZ173" s="77"/>
      <c r="DA173" s="77"/>
      <c r="DB173" s="77"/>
      <c r="DC173" s="77"/>
      <c r="DD173" s="77"/>
      <c r="DE173" s="77"/>
      <c r="DF173" s="77"/>
      <c r="DG173" s="77"/>
      <c r="DH173" s="77"/>
      <c r="DI173" s="77"/>
      <c r="DJ173" s="77"/>
      <c r="DK173" s="77"/>
      <c r="DL173" s="77"/>
      <c r="DM173" s="77"/>
      <c r="DN173" s="77"/>
      <c r="DO173" s="77"/>
      <c r="DP173" s="77"/>
      <c r="DQ173" s="77"/>
      <c r="DR173" s="77"/>
      <c r="DS173" s="77"/>
      <c r="DT173" s="78"/>
      <c r="DU173" s="12"/>
    </row>
    <row r="174" spans="1:125" ht="15" customHeight="1" x14ac:dyDescent="0.2">
      <c r="A174" s="12"/>
      <c r="B174" s="12"/>
      <c r="C174" s="12"/>
      <c r="D174" s="12"/>
      <c r="E174" s="12"/>
      <c r="F174" s="12"/>
      <c r="G174" s="12"/>
      <c r="H174" s="12"/>
      <c r="I174" s="12"/>
      <c r="J174" s="12"/>
      <c r="K174" s="12"/>
      <c r="L174" s="12"/>
      <c r="M174" s="12"/>
      <c r="N174" s="12"/>
      <c r="O174" s="12"/>
      <c r="P174" s="12"/>
      <c r="Q174" s="12"/>
      <c r="R174" s="12"/>
      <c r="S174" s="12"/>
      <c r="T174" s="12"/>
      <c r="U174" s="12"/>
      <c r="V174" s="351"/>
      <c r="W174" s="77"/>
      <c r="X174" s="77"/>
      <c r="Y174" s="77"/>
      <c r="Z174" s="77"/>
      <c r="AA174" s="77"/>
      <c r="AB174" s="77"/>
      <c r="AC174" s="77"/>
      <c r="AD174" s="77"/>
      <c r="AE174" s="77"/>
      <c r="AF174" s="77"/>
      <c r="AG174" s="77"/>
      <c r="AH174" s="13"/>
      <c r="AI174" s="13"/>
      <c r="AJ174" s="77"/>
      <c r="AK174" s="77"/>
      <c r="AL174" s="77"/>
      <c r="AM174" s="77"/>
      <c r="AN174" s="77"/>
      <c r="AO174" s="77"/>
      <c r="AP174" s="77"/>
      <c r="AQ174" s="77"/>
      <c r="AR174" s="77"/>
      <c r="AS174" s="77"/>
      <c r="AT174" s="77"/>
      <c r="AU174" s="13"/>
      <c r="AV174" s="352"/>
      <c r="AW174" s="13"/>
      <c r="AX174" s="13"/>
      <c r="AY174" s="13"/>
      <c r="AZ174" s="13"/>
      <c r="BA174" s="77"/>
      <c r="BB174" s="77"/>
      <c r="BC174" s="77"/>
      <c r="BD174" s="77"/>
      <c r="BE174" s="77"/>
      <c r="BF174" s="77"/>
      <c r="BG174" s="77"/>
      <c r="BH174" s="77"/>
      <c r="BI174" s="77"/>
      <c r="BJ174" s="77"/>
      <c r="BK174" s="77"/>
      <c r="BL174" s="77"/>
      <c r="BM174" s="77"/>
      <c r="BN174" s="77"/>
      <c r="BO174" s="77"/>
      <c r="BP174" s="77"/>
      <c r="BQ174" s="77"/>
      <c r="BR174" s="77"/>
      <c r="BS174" s="77"/>
      <c r="BT174" s="77"/>
      <c r="BU174" s="77"/>
      <c r="BV174" s="77"/>
      <c r="BW174" s="77"/>
      <c r="BX174" s="77"/>
      <c r="BY174" s="77"/>
      <c r="BZ174" s="77"/>
      <c r="CA174" s="77"/>
      <c r="CB174" s="77"/>
      <c r="CC174" s="77"/>
      <c r="CD174" s="77"/>
      <c r="CE174" s="77"/>
      <c r="CF174" s="77"/>
      <c r="CG174" s="77"/>
      <c r="CH174" s="77"/>
      <c r="CI174" s="77"/>
      <c r="CJ174" s="77"/>
      <c r="CK174" s="77"/>
      <c r="CL174" s="77"/>
      <c r="CM174" s="77"/>
      <c r="CN174" s="77"/>
      <c r="CO174" s="77"/>
      <c r="CP174" s="77"/>
      <c r="CQ174" s="77"/>
      <c r="CR174" s="77"/>
      <c r="CS174" s="77"/>
      <c r="CT174" s="77"/>
      <c r="CU174" s="77"/>
      <c r="CV174" s="77"/>
      <c r="CW174" s="77"/>
      <c r="CX174" s="77"/>
      <c r="CY174" s="77"/>
      <c r="CZ174" s="77"/>
      <c r="DA174" s="77"/>
      <c r="DB174" s="77"/>
      <c r="DC174" s="77"/>
      <c r="DD174" s="77"/>
      <c r="DE174" s="77"/>
      <c r="DF174" s="77"/>
      <c r="DG174" s="77"/>
      <c r="DH174" s="77"/>
      <c r="DI174" s="77"/>
      <c r="DJ174" s="77"/>
      <c r="DK174" s="77"/>
      <c r="DL174" s="77"/>
      <c r="DM174" s="77"/>
      <c r="DN174" s="77"/>
      <c r="DO174" s="77"/>
      <c r="DP174" s="77"/>
      <c r="DQ174" s="77"/>
      <c r="DR174" s="77"/>
      <c r="DS174" s="77"/>
      <c r="DT174" s="78"/>
      <c r="DU174" s="12"/>
    </row>
    <row r="175" spans="1:125" ht="15" customHeight="1" x14ac:dyDescent="0.2">
      <c r="A175" s="12"/>
      <c r="B175" s="12"/>
      <c r="C175" s="12"/>
      <c r="D175" s="12"/>
      <c r="E175" s="12"/>
      <c r="F175" s="12"/>
      <c r="G175" s="12"/>
      <c r="H175" s="12"/>
      <c r="I175" s="12"/>
      <c r="J175" s="12"/>
      <c r="K175" s="12"/>
      <c r="L175" s="12"/>
      <c r="M175" s="12"/>
      <c r="N175" s="12"/>
      <c r="O175" s="12"/>
      <c r="P175" s="12"/>
      <c r="Q175" s="12"/>
      <c r="R175" s="12"/>
      <c r="S175" s="12"/>
      <c r="T175" s="12"/>
      <c r="U175" s="12"/>
      <c r="V175" s="351"/>
      <c r="W175" s="77"/>
      <c r="X175" s="77"/>
      <c r="Y175" s="77"/>
      <c r="Z175" s="77"/>
      <c r="AA175" s="77"/>
      <c r="AB175" s="77"/>
      <c r="AC175" s="77"/>
      <c r="AD175" s="77"/>
      <c r="AE175" s="77"/>
      <c r="AF175" s="77"/>
      <c r="AG175" s="77"/>
      <c r="AH175" s="13"/>
      <c r="AI175" s="13"/>
      <c r="AJ175" s="77"/>
      <c r="AK175" s="77"/>
      <c r="AL175" s="77"/>
      <c r="AM175" s="77"/>
      <c r="AN175" s="77"/>
      <c r="AO175" s="77"/>
      <c r="AP175" s="77"/>
      <c r="AQ175" s="77"/>
      <c r="AR175" s="77"/>
      <c r="AS175" s="77"/>
      <c r="AT175" s="77"/>
      <c r="AU175" s="13"/>
      <c r="AV175" s="352"/>
      <c r="AW175" s="13"/>
      <c r="AX175" s="13"/>
      <c r="AY175" s="13"/>
      <c r="AZ175" s="13"/>
      <c r="BA175" s="77"/>
      <c r="BB175" s="77"/>
      <c r="BC175" s="77"/>
      <c r="BD175" s="77"/>
      <c r="BE175" s="77"/>
      <c r="BF175" s="77"/>
      <c r="BG175" s="77"/>
      <c r="BH175" s="77"/>
      <c r="BI175" s="77"/>
      <c r="BJ175" s="77"/>
      <c r="BK175" s="77"/>
      <c r="BL175" s="77"/>
      <c r="BM175" s="77"/>
      <c r="BN175" s="77"/>
      <c r="BO175" s="77"/>
      <c r="BP175" s="77"/>
      <c r="BQ175" s="77"/>
      <c r="BR175" s="77"/>
      <c r="BS175" s="77"/>
      <c r="BT175" s="77"/>
      <c r="BU175" s="77"/>
      <c r="BV175" s="77"/>
      <c r="BW175" s="77"/>
      <c r="BX175" s="77"/>
      <c r="BY175" s="77"/>
      <c r="BZ175" s="77"/>
      <c r="CA175" s="77"/>
      <c r="CB175" s="77"/>
      <c r="CC175" s="77"/>
      <c r="CD175" s="77"/>
      <c r="CE175" s="77"/>
      <c r="CF175" s="77"/>
      <c r="CG175" s="77"/>
      <c r="CH175" s="77"/>
      <c r="CI175" s="77"/>
      <c r="CJ175" s="77"/>
      <c r="CK175" s="77"/>
      <c r="CL175" s="77"/>
      <c r="CM175" s="77"/>
      <c r="CN175" s="77"/>
      <c r="CO175" s="77"/>
      <c r="CP175" s="77"/>
      <c r="CQ175" s="77"/>
      <c r="CR175" s="77"/>
      <c r="CS175" s="77"/>
      <c r="CT175" s="77"/>
      <c r="CU175" s="77"/>
      <c r="CV175" s="77"/>
      <c r="CW175" s="77"/>
      <c r="CX175" s="77"/>
      <c r="CY175" s="77"/>
      <c r="CZ175" s="77"/>
      <c r="DA175" s="77"/>
      <c r="DB175" s="77"/>
      <c r="DC175" s="77"/>
      <c r="DD175" s="77"/>
      <c r="DE175" s="77"/>
      <c r="DF175" s="77"/>
      <c r="DG175" s="77"/>
      <c r="DH175" s="77"/>
      <c r="DI175" s="77"/>
      <c r="DJ175" s="77"/>
      <c r="DK175" s="77"/>
      <c r="DL175" s="77"/>
      <c r="DM175" s="77"/>
      <c r="DN175" s="77"/>
      <c r="DO175" s="77"/>
      <c r="DP175" s="77"/>
      <c r="DQ175" s="77"/>
      <c r="DR175" s="77"/>
      <c r="DS175" s="77"/>
      <c r="DT175" s="78"/>
      <c r="DU175" s="12"/>
    </row>
    <row r="176" spans="1:125" ht="15" customHeight="1" x14ac:dyDescent="0.2">
      <c r="A176" s="12"/>
      <c r="B176" s="12"/>
      <c r="C176" s="12"/>
      <c r="D176" s="12"/>
      <c r="E176" s="12"/>
      <c r="F176" s="12"/>
      <c r="G176" s="12"/>
      <c r="H176" s="12"/>
      <c r="I176" s="12"/>
      <c r="J176" s="12"/>
      <c r="K176" s="12"/>
      <c r="L176" s="12"/>
      <c r="M176" s="12"/>
      <c r="N176" s="12"/>
      <c r="O176" s="12"/>
      <c r="P176" s="12"/>
      <c r="Q176" s="12"/>
      <c r="R176" s="12"/>
      <c r="S176" s="12"/>
      <c r="T176" s="12"/>
      <c r="U176" s="12"/>
      <c r="V176" s="351"/>
      <c r="W176" s="77"/>
      <c r="X176" s="77"/>
      <c r="Y176" s="77"/>
      <c r="Z176" s="77"/>
      <c r="AA176" s="77"/>
      <c r="AB176" s="77"/>
      <c r="AC176" s="77"/>
      <c r="AD176" s="77"/>
      <c r="AE176" s="77"/>
      <c r="AF176" s="77"/>
      <c r="AG176" s="77"/>
      <c r="AH176" s="13"/>
      <c r="AI176" s="13"/>
      <c r="AJ176" s="77"/>
      <c r="AK176" s="77"/>
      <c r="AL176" s="77"/>
      <c r="AM176" s="77"/>
      <c r="AN176" s="77"/>
      <c r="AO176" s="77"/>
      <c r="AP176" s="77"/>
      <c r="AQ176" s="77"/>
      <c r="AR176" s="77"/>
      <c r="AS176" s="77"/>
      <c r="AT176" s="77"/>
      <c r="AU176" s="13"/>
      <c r="AV176" s="352"/>
      <c r="AW176" s="13"/>
      <c r="AX176" s="13"/>
      <c r="AY176" s="13"/>
      <c r="AZ176" s="13"/>
      <c r="BA176" s="77"/>
      <c r="BB176" s="77"/>
      <c r="BC176" s="77"/>
      <c r="BD176" s="77"/>
      <c r="BE176" s="77"/>
      <c r="BF176" s="77"/>
      <c r="BG176" s="77"/>
      <c r="BH176" s="77"/>
      <c r="BI176" s="77"/>
      <c r="BJ176" s="77"/>
      <c r="BK176" s="77"/>
      <c r="BL176" s="77"/>
      <c r="BM176" s="77"/>
      <c r="BN176" s="77"/>
      <c r="BO176" s="77"/>
      <c r="BP176" s="77"/>
      <c r="BQ176" s="77"/>
      <c r="BR176" s="77"/>
      <c r="BS176" s="77"/>
      <c r="BT176" s="77"/>
      <c r="BU176" s="77"/>
      <c r="BV176" s="77"/>
      <c r="BW176" s="77"/>
      <c r="BX176" s="77"/>
      <c r="BY176" s="77"/>
      <c r="BZ176" s="77"/>
      <c r="CA176" s="77"/>
      <c r="CB176" s="77"/>
      <c r="CC176" s="77"/>
      <c r="CD176" s="77"/>
      <c r="CE176" s="77"/>
      <c r="CF176" s="77"/>
      <c r="CG176" s="77"/>
      <c r="CH176" s="77"/>
      <c r="CI176" s="77"/>
      <c r="CJ176" s="77"/>
      <c r="CK176" s="77"/>
      <c r="CL176" s="77"/>
      <c r="CM176" s="77"/>
      <c r="CN176" s="77"/>
      <c r="CO176" s="77"/>
      <c r="CP176" s="77"/>
      <c r="CQ176" s="77"/>
      <c r="CR176" s="77"/>
      <c r="CS176" s="77"/>
      <c r="CT176" s="77"/>
      <c r="CU176" s="77"/>
      <c r="CV176" s="77"/>
      <c r="CW176" s="77"/>
      <c r="CX176" s="77"/>
      <c r="CY176" s="77"/>
      <c r="CZ176" s="77"/>
      <c r="DA176" s="77"/>
      <c r="DB176" s="77"/>
      <c r="DC176" s="77"/>
      <c r="DD176" s="77"/>
      <c r="DE176" s="77"/>
      <c r="DF176" s="77"/>
      <c r="DG176" s="77"/>
      <c r="DH176" s="77"/>
      <c r="DI176" s="77"/>
      <c r="DJ176" s="77"/>
      <c r="DK176" s="77"/>
      <c r="DL176" s="77"/>
      <c r="DM176" s="77"/>
      <c r="DN176" s="77"/>
      <c r="DO176" s="77"/>
      <c r="DP176" s="77"/>
      <c r="DQ176" s="77"/>
      <c r="DR176" s="77"/>
      <c r="DS176" s="77"/>
      <c r="DT176" s="78"/>
      <c r="DU176" s="12"/>
    </row>
    <row r="177" spans="1:125" ht="15" customHeight="1" x14ac:dyDescent="0.2">
      <c r="A177" s="12"/>
      <c r="B177" s="12"/>
      <c r="C177" s="12"/>
      <c r="D177" s="12"/>
      <c r="E177" s="12"/>
      <c r="F177" s="12"/>
      <c r="G177" s="12"/>
      <c r="H177" s="12"/>
      <c r="I177" s="12"/>
      <c r="J177" s="12"/>
      <c r="K177" s="12"/>
      <c r="L177" s="12"/>
      <c r="M177" s="12"/>
      <c r="N177" s="12"/>
      <c r="O177" s="12"/>
      <c r="P177" s="12"/>
      <c r="Q177" s="12"/>
      <c r="R177" s="12"/>
      <c r="S177" s="12"/>
      <c r="T177" s="12"/>
      <c r="U177" s="12"/>
      <c r="V177" s="351"/>
      <c r="W177" s="77"/>
      <c r="X177" s="77"/>
      <c r="Y177" s="77"/>
      <c r="Z177" s="77"/>
      <c r="AA177" s="77"/>
      <c r="AB177" s="77"/>
      <c r="AC177" s="77"/>
      <c r="AD177" s="77"/>
      <c r="AE177" s="77"/>
      <c r="AF177" s="77"/>
      <c r="AG177" s="77"/>
      <c r="AH177" s="13"/>
      <c r="AI177" s="13"/>
      <c r="AJ177" s="77"/>
      <c r="AK177" s="77"/>
      <c r="AL177" s="77"/>
      <c r="AM177" s="77"/>
      <c r="AN177" s="77"/>
      <c r="AO177" s="77"/>
      <c r="AP177" s="77"/>
      <c r="AQ177" s="77"/>
      <c r="AR177" s="77"/>
      <c r="AS177" s="77"/>
      <c r="AT177" s="77"/>
      <c r="AU177" s="13"/>
      <c r="AV177" s="352"/>
      <c r="AW177" s="13"/>
      <c r="AX177" s="13"/>
      <c r="AY177" s="13"/>
      <c r="AZ177" s="13"/>
      <c r="BA177" s="77"/>
      <c r="BB177" s="77"/>
      <c r="BC177" s="77"/>
      <c r="BD177" s="77"/>
      <c r="BE177" s="77"/>
      <c r="BF177" s="77"/>
      <c r="BG177" s="77"/>
      <c r="BH177" s="77"/>
      <c r="BI177" s="77"/>
      <c r="BJ177" s="77"/>
      <c r="BK177" s="77"/>
      <c r="BL177" s="77"/>
      <c r="BM177" s="77"/>
      <c r="BN177" s="77"/>
      <c r="BO177" s="77"/>
      <c r="BP177" s="77"/>
      <c r="BQ177" s="77"/>
      <c r="BR177" s="77"/>
      <c r="BS177" s="77"/>
      <c r="BT177" s="77"/>
      <c r="BU177" s="77"/>
      <c r="BV177" s="77"/>
      <c r="BW177" s="77"/>
      <c r="BX177" s="77"/>
      <c r="BY177" s="77"/>
      <c r="BZ177" s="77"/>
      <c r="CA177" s="77"/>
      <c r="CB177" s="77"/>
      <c r="CC177" s="77"/>
      <c r="CD177" s="77"/>
      <c r="CE177" s="77"/>
      <c r="CF177" s="77"/>
      <c r="CG177" s="77"/>
      <c r="CH177" s="77"/>
      <c r="CI177" s="77"/>
      <c r="CJ177" s="77"/>
      <c r="CK177" s="77"/>
      <c r="CL177" s="77"/>
      <c r="CM177" s="77"/>
      <c r="CN177" s="77"/>
      <c r="CO177" s="77"/>
      <c r="CP177" s="77"/>
      <c r="CQ177" s="77"/>
      <c r="CR177" s="77"/>
      <c r="CS177" s="77"/>
      <c r="CT177" s="77"/>
      <c r="CU177" s="77"/>
      <c r="CV177" s="77"/>
      <c r="CW177" s="77"/>
      <c r="CX177" s="77"/>
      <c r="CY177" s="77"/>
      <c r="CZ177" s="77"/>
      <c r="DA177" s="77"/>
      <c r="DB177" s="77"/>
      <c r="DC177" s="77"/>
      <c r="DD177" s="77"/>
      <c r="DE177" s="77"/>
      <c r="DF177" s="77"/>
      <c r="DG177" s="77"/>
      <c r="DH177" s="77"/>
      <c r="DI177" s="77"/>
      <c r="DJ177" s="77"/>
      <c r="DK177" s="77"/>
      <c r="DL177" s="77"/>
      <c r="DM177" s="77"/>
      <c r="DN177" s="77"/>
      <c r="DO177" s="77"/>
      <c r="DP177" s="77"/>
      <c r="DQ177" s="77"/>
      <c r="DR177" s="77"/>
      <c r="DS177" s="77"/>
      <c r="DT177" s="78"/>
      <c r="DU177" s="12"/>
    </row>
    <row r="178" spans="1:125" ht="15" customHeight="1" x14ac:dyDescent="0.2">
      <c r="A178" s="12"/>
      <c r="B178" s="12"/>
      <c r="C178" s="12"/>
      <c r="D178" s="12"/>
      <c r="E178" s="12"/>
      <c r="F178" s="12"/>
      <c r="G178" s="12"/>
      <c r="H178" s="12"/>
      <c r="I178" s="12"/>
      <c r="J178" s="12"/>
      <c r="K178" s="12"/>
      <c r="L178" s="12"/>
      <c r="M178" s="12"/>
      <c r="N178" s="12"/>
      <c r="O178" s="12"/>
      <c r="P178" s="12"/>
      <c r="Q178" s="12"/>
      <c r="R178" s="12"/>
      <c r="S178" s="12"/>
      <c r="T178" s="12"/>
      <c r="U178" s="12"/>
      <c r="V178" s="351"/>
      <c r="W178" s="77"/>
      <c r="X178" s="77"/>
      <c r="Y178" s="77"/>
      <c r="Z178" s="77"/>
      <c r="AA178" s="77"/>
      <c r="AB178" s="77"/>
      <c r="AC178" s="77"/>
      <c r="AD178" s="77"/>
      <c r="AE178" s="77"/>
      <c r="AF178" s="77"/>
      <c r="AG178" s="77"/>
      <c r="AH178" s="13"/>
      <c r="AI178" s="13"/>
      <c r="AJ178" s="77"/>
      <c r="AK178" s="77"/>
      <c r="AL178" s="77"/>
      <c r="AM178" s="77"/>
      <c r="AN178" s="77"/>
      <c r="AO178" s="77"/>
      <c r="AP178" s="77"/>
      <c r="AQ178" s="77"/>
      <c r="AR178" s="77"/>
      <c r="AS178" s="77"/>
      <c r="AT178" s="77"/>
      <c r="AU178" s="13"/>
      <c r="AV178" s="352"/>
      <c r="AW178" s="13"/>
      <c r="AX178" s="13"/>
      <c r="AY178" s="13"/>
      <c r="AZ178" s="13"/>
      <c r="BA178" s="77"/>
      <c r="BB178" s="77"/>
      <c r="BC178" s="77"/>
      <c r="BD178" s="77"/>
      <c r="BE178" s="77"/>
      <c r="BF178" s="77"/>
      <c r="BG178" s="77"/>
      <c r="BH178" s="77"/>
      <c r="BI178" s="77"/>
      <c r="BJ178" s="77"/>
      <c r="BK178" s="77"/>
      <c r="BL178" s="77"/>
      <c r="BM178" s="77"/>
      <c r="BN178" s="77"/>
      <c r="BO178" s="77"/>
      <c r="BP178" s="77"/>
      <c r="BQ178" s="77"/>
      <c r="BR178" s="77"/>
      <c r="BS178" s="77"/>
      <c r="BT178" s="77"/>
      <c r="BU178" s="77"/>
      <c r="BV178" s="77"/>
      <c r="BW178" s="77"/>
      <c r="BX178" s="77"/>
      <c r="BY178" s="77"/>
      <c r="BZ178" s="77"/>
      <c r="CA178" s="77"/>
      <c r="CB178" s="77"/>
      <c r="CC178" s="77"/>
      <c r="CD178" s="77"/>
      <c r="CE178" s="77"/>
      <c r="CF178" s="77"/>
      <c r="CG178" s="77"/>
      <c r="CH178" s="77"/>
      <c r="CI178" s="77"/>
      <c r="CJ178" s="77"/>
      <c r="CK178" s="77"/>
      <c r="CL178" s="77"/>
      <c r="CM178" s="77"/>
      <c r="CN178" s="77"/>
      <c r="CO178" s="77"/>
      <c r="CP178" s="77"/>
      <c r="CQ178" s="77"/>
      <c r="CR178" s="77"/>
      <c r="CS178" s="77"/>
      <c r="CT178" s="77"/>
      <c r="CU178" s="77"/>
      <c r="CV178" s="77"/>
      <c r="CW178" s="77"/>
      <c r="CX178" s="77"/>
      <c r="CY178" s="77"/>
      <c r="CZ178" s="77"/>
      <c r="DA178" s="77"/>
      <c r="DB178" s="77"/>
      <c r="DC178" s="77"/>
      <c r="DD178" s="77"/>
      <c r="DE178" s="77"/>
      <c r="DF178" s="77"/>
      <c r="DG178" s="77"/>
      <c r="DH178" s="77"/>
      <c r="DI178" s="77"/>
      <c r="DJ178" s="77"/>
      <c r="DK178" s="77"/>
      <c r="DL178" s="77"/>
      <c r="DM178" s="77"/>
      <c r="DN178" s="77"/>
      <c r="DO178" s="77"/>
      <c r="DP178" s="77"/>
      <c r="DQ178" s="77"/>
      <c r="DR178" s="77"/>
      <c r="DS178" s="77"/>
      <c r="DT178" s="78"/>
      <c r="DU178" s="12"/>
    </row>
    <row r="179" spans="1:125" ht="15" customHeight="1" x14ac:dyDescent="0.2">
      <c r="A179" s="12"/>
      <c r="B179" s="12"/>
      <c r="C179" s="12"/>
      <c r="D179" s="12"/>
      <c r="E179" s="12"/>
      <c r="F179" s="12"/>
      <c r="G179" s="12"/>
      <c r="H179" s="12"/>
      <c r="I179" s="12"/>
      <c r="J179" s="12"/>
      <c r="K179" s="12"/>
      <c r="L179" s="12"/>
      <c r="M179" s="12"/>
      <c r="N179" s="12"/>
      <c r="O179" s="12"/>
      <c r="P179" s="12"/>
      <c r="Q179" s="12"/>
      <c r="R179" s="12"/>
      <c r="S179" s="12"/>
      <c r="T179" s="12"/>
      <c r="U179" s="12"/>
      <c r="V179" s="351"/>
      <c r="W179" s="77"/>
      <c r="X179" s="77"/>
      <c r="Y179" s="77"/>
      <c r="Z179" s="77"/>
      <c r="AA179" s="77"/>
      <c r="AB179" s="77"/>
      <c r="AC179" s="77"/>
      <c r="AD179" s="77"/>
      <c r="AE179" s="77"/>
      <c r="AF179" s="77"/>
      <c r="AG179" s="77"/>
      <c r="AH179" s="13"/>
      <c r="AI179" s="13"/>
      <c r="AJ179" s="77"/>
      <c r="AK179" s="77"/>
      <c r="AL179" s="77"/>
      <c r="AM179" s="77"/>
      <c r="AN179" s="77"/>
      <c r="AO179" s="77"/>
      <c r="AP179" s="77"/>
      <c r="AQ179" s="77"/>
      <c r="AR179" s="77"/>
      <c r="AS179" s="77"/>
      <c r="AT179" s="77"/>
      <c r="AU179" s="13"/>
      <c r="AV179" s="352"/>
      <c r="AW179" s="13"/>
      <c r="AX179" s="13"/>
      <c r="AY179" s="13"/>
      <c r="AZ179" s="13"/>
      <c r="BA179" s="77"/>
      <c r="BB179" s="77"/>
      <c r="BC179" s="77"/>
      <c r="BD179" s="77"/>
      <c r="BE179" s="77"/>
      <c r="BF179" s="77"/>
      <c r="BG179" s="77"/>
      <c r="BH179" s="77"/>
      <c r="BI179" s="77"/>
      <c r="BJ179" s="77"/>
      <c r="BK179" s="77"/>
      <c r="BL179" s="77"/>
      <c r="BM179" s="77"/>
      <c r="BN179" s="77"/>
      <c r="BO179" s="77"/>
      <c r="BP179" s="77"/>
      <c r="BQ179" s="77"/>
      <c r="BR179" s="77"/>
      <c r="BS179" s="77"/>
      <c r="BT179" s="77"/>
      <c r="BU179" s="77"/>
      <c r="BV179" s="77"/>
      <c r="BW179" s="77"/>
      <c r="BX179" s="77"/>
      <c r="BY179" s="77"/>
      <c r="BZ179" s="77"/>
      <c r="CA179" s="77"/>
      <c r="CB179" s="77"/>
      <c r="CC179" s="77"/>
      <c r="CD179" s="77"/>
      <c r="CE179" s="77"/>
      <c r="CF179" s="77"/>
      <c r="CG179" s="77"/>
      <c r="CH179" s="77"/>
      <c r="CI179" s="77"/>
      <c r="CJ179" s="77"/>
      <c r="CK179" s="77"/>
      <c r="CL179" s="77"/>
      <c r="CM179" s="77"/>
      <c r="CN179" s="77"/>
      <c r="CO179" s="77"/>
      <c r="CP179" s="77"/>
      <c r="CQ179" s="77"/>
      <c r="CR179" s="77"/>
      <c r="CS179" s="77"/>
      <c r="CT179" s="77"/>
      <c r="CU179" s="77"/>
      <c r="CV179" s="77"/>
      <c r="CW179" s="77"/>
      <c r="CX179" s="77"/>
      <c r="CY179" s="77"/>
      <c r="CZ179" s="77"/>
      <c r="DA179" s="77"/>
      <c r="DB179" s="77"/>
      <c r="DC179" s="77"/>
      <c r="DD179" s="77"/>
      <c r="DE179" s="77"/>
      <c r="DF179" s="77"/>
      <c r="DG179" s="77"/>
      <c r="DH179" s="77"/>
      <c r="DI179" s="77"/>
      <c r="DJ179" s="77"/>
      <c r="DK179" s="77"/>
      <c r="DL179" s="77"/>
      <c r="DM179" s="77"/>
      <c r="DN179" s="77"/>
      <c r="DO179" s="77"/>
      <c r="DP179" s="77"/>
      <c r="DQ179" s="77"/>
      <c r="DR179" s="77"/>
      <c r="DS179" s="77"/>
      <c r="DT179" s="78"/>
      <c r="DU179" s="12"/>
    </row>
    <row r="180" spans="1:125" ht="15" customHeight="1" x14ac:dyDescent="0.2">
      <c r="A180" s="12"/>
      <c r="B180" s="12"/>
      <c r="C180" s="12"/>
      <c r="D180" s="12"/>
      <c r="E180" s="12"/>
      <c r="F180" s="12"/>
      <c r="G180" s="12"/>
      <c r="H180" s="12"/>
      <c r="I180" s="12"/>
      <c r="J180" s="12"/>
      <c r="K180" s="12"/>
      <c r="L180" s="12"/>
      <c r="M180" s="12"/>
      <c r="N180" s="12"/>
      <c r="O180" s="12"/>
      <c r="P180" s="12"/>
      <c r="Q180" s="12"/>
      <c r="R180" s="12"/>
      <c r="S180" s="12"/>
      <c r="T180" s="12"/>
      <c r="U180" s="12"/>
      <c r="V180" s="351"/>
      <c r="W180" s="77"/>
      <c r="X180" s="77"/>
      <c r="Y180" s="77"/>
      <c r="Z180" s="77"/>
      <c r="AA180" s="77"/>
      <c r="AB180" s="77"/>
      <c r="AC180" s="77"/>
      <c r="AD180" s="77"/>
      <c r="AE180" s="77"/>
      <c r="AF180" s="77"/>
      <c r="AG180" s="77"/>
      <c r="AH180" s="13"/>
      <c r="AI180" s="13"/>
      <c r="AJ180" s="77"/>
      <c r="AK180" s="77"/>
      <c r="AL180" s="77"/>
      <c r="AM180" s="77"/>
      <c r="AN180" s="77"/>
      <c r="AO180" s="77"/>
      <c r="AP180" s="77"/>
      <c r="AQ180" s="77"/>
      <c r="AR180" s="77"/>
      <c r="AS180" s="77"/>
      <c r="AT180" s="77"/>
      <c r="AU180" s="13"/>
      <c r="AV180" s="352"/>
      <c r="AW180" s="13"/>
      <c r="AX180" s="13"/>
      <c r="AY180" s="13"/>
      <c r="AZ180" s="13"/>
      <c r="BA180" s="77"/>
      <c r="BB180" s="77"/>
      <c r="BC180" s="77"/>
      <c r="BD180" s="77"/>
      <c r="BE180" s="77"/>
      <c r="BF180" s="77"/>
      <c r="BG180" s="77"/>
      <c r="BH180" s="77"/>
      <c r="BI180" s="77"/>
      <c r="BJ180" s="77"/>
      <c r="BK180" s="77"/>
      <c r="BL180" s="77"/>
      <c r="BM180" s="77"/>
      <c r="BN180" s="77"/>
      <c r="BO180" s="77"/>
      <c r="BP180" s="77"/>
      <c r="BQ180" s="77"/>
      <c r="BR180" s="77"/>
      <c r="BS180" s="77"/>
      <c r="BT180" s="77"/>
      <c r="BU180" s="77"/>
      <c r="BV180" s="77"/>
      <c r="BW180" s="77"/>
      <c r="BX180" s="77"/>
      <c r="BY180" s="77"/>
      <c r="BZ180" s="77"/>
      <c r="CA180" s="77"/>
      <c r="CB180" s="77"/>
      <c r="CC180" s="77"/>
      <c r="CD180" s="77"/>
      <c r="CE180" s="77"/>
      <c r="CF180" s="77"/>
      <c r="CG180" s="77"/>
      <c r="CH180" s="77"/>
      <c r="CI180" s="77"/>
      <c r="CJ180" s="77"/>
      <c r="CK180" s="77"/>
      <c r="CL180" s="77"/>
      <c r="CM180" s="77"/>
      <c r="CN180" s="77"/>
      <c r="CO180" s="77"/>
      <c r="CP180" s="77"/>
      <c r="CQ180" s="77"/>
      <c r="CR180" s="77"/>
      <c r="CS180" s="77"/>
      <c r="CT180" s="77"/>
      <c r="CU180" s="77"/>
      <c r="CV180" s="77"/>
      <c r="CW180" s="77"/>
      <c r="CX180" s="77"/>
      <c r="CY180" s="77"/>
      <c r="CZ180" s="77"/>
      <c r="DA180" s="77"/>
      <c r="DB180" s="77"/>
      <c r="DC180" s="77"/>
      <c r="DD180" s="77"/>
      <c r="DE180" s="77"/>
      <c r="DF180" s="77"/>
      <c r="DG180" s="77"/>
      <c r="DH180" s="77"/>
      <c r="DI180" s="77"/>
      <c r="DJ180" s="77"/>
      <c r="DK180" s="77"/>
      <c r="DL180" s="77"/>
      <c r="DM180" s="77"/>
      <c r="DN180" s="77"/>
      <c r="DO180" s="77"/>
      <c r="DP180" s="77"/>
      <c r="DQ180" s="77"/>
      <c r="DR180" s="77"/>
      <c r="DS180" s="77"/>
      <c r="DT180" s="78"/>
      <c r="DU180" s="12"/>
    </row>
    <row r="181" spans="1:125" ht="15" customHeight="1" x14ac:dyDescent="0.2">
      <c r="A181" s="12"/>
      <c r="B181" s="12"/>
      <c r="C181" s="12"/>
      <c r="D181" s="12"/>
      <c r="E181" s="12"/>
      <c r="F181" s="12"/>
      <c r="G181" s="12"/>
      <c r="H181" s="12"/>
      <c r="I181" s="12"/>
      <c r="J181" s="12"/>
      <c r="K181" s="12"/>
      <c r="L181" s="12"/>
      <c r="M181" s="12"/>
      <c r="N181" s="12"/>
      <c r="O181" s="12"/>
      <c r="P181" s="12"/>
      <c r="Q181" s="12"/>
      <c r="R181" s="12"/>
      <c r="S181" s="12"/>
      <c r="T181" s="12"/>
      <c r="U181" s="12"/>
      <c r="V181" s="351"/>
      <c r="W181" s="77"/>
      <c r="X181" s="77"/>
      <c r="Y181" s="77"/>
      <c r="Z181" s="77"/>
      <c r="AA181" s="77"/>
      <c r="AB181" s="77"/>
      <c r="AC181" s="77"/>
      <c r="AD181" s="77"/>
      <c r="AE181" s="77"/>
      <c r="AF181" s="77"/>
      <c r="AG181" s="77"/>
      <c r="AH181" s="13"/>
      <c r="AI181" s="13"/>
      <c r="AJ181" s="77"/>
      <c r="AK181" s="77"/>
      <c r="AL181" s="77"/>
      <c r="AM181" s="77"/>
      <c r="AN181" s="77"/>
      <c r="AO181" s="77"/>
      <c r="AP181" s="77"/>
      <c r="AQ181" s="77"/>
      <c r="AR181" s="77"/>
      <c r="AS181" s="77"/>
      <c r="AT181" s="77"/>
      <c r="AU181" s="13"/>
      <c r="AV181" s="352"/>
      <c r="AW181" s="13"/>
      <c r="AX181" s="13"/>
      <c r="AY181" s="13"/>
      <c r="AZ181" s="13"/>
      <c r="BA181" s="77"/>
      <c r="BB181" s="77"/>
      <c r="BC181" s="77"/>
      <c r="BD181" s="77"/>
      <c r="BE181" s="77"/>
      <c r="BF181" s="77"/>
      <c r="BG181" s="77"/>
      <c r="BH181" s="77"/>
      <c r="BI181" s="77"/>
      <c r="BJ181" s="77"/>
      <c r="BK181" s="77"/>
      <c r="BL181" s="77"/>
      <c r="BM181" s="77"/>
      <c r="BN181" s="77"/>
      <c r="BO181" s="77"/>
      <c r="BP181" s="77"/>
      <c r="BQ181" s="77"/>
      <c r="BR181" s="77"/>
      <c r="BS181" s="77"/>
      <c r="BT181" s="77"/>
      <c r="BU181" s="77"/>
      <c r="BV181" s="77"/>
      <c r="BW181" s="77"/>
      <c r="BX181" s="77"/>
      <c r="BY181" s="77"/>
      <c r="BZ181" s="77"/>
      <c r="CA181" s="77"/>
      <c r="CB181" s="77"/>
      <c r="CC181" s="77"/>
      <c r="CD181" s="77"/>
      <c r="CE181" s="77"/>
      <c r="CF181" s="77"/>
      <c r="CG181" s="77"/>
      <c r="CH181" s="77"/>
      <c r="CI181" s="77"/>
      <c r="CJ181" s="77"/>
      <c r="CK181" s="77"/>
      <c r="CL181" s="77"/>
      <c r="CM181" s="77"/>
      <c r="CN181" s="77"/>
      <c r="CO181" s="77"/>
      <c r="CP181" s="77"/>
      <c r="CQ181" s="77"/>
      <c r="CR181" s="77"/>
      <c r="CS181" s="77"/>
      <c r="CT181" s="77"/>
      <c r="CU181" s="77"/>
      <c r="CV181" s="77"/>
      <c r="CW181" s="77"/>
      <c r="CX181" s="77"/>
      <c r="CY181" s="77"/>
      <c r="CZ181" s="77"/>
      <c r="DA181" s="77"/>
      <c r="DB181" s="77"/>
      <c r="DC181" s="77"/>
      <c r="DD181" s="77"/>
      <c r="DE181" s="77"/>
      <c r="DF181" s="77"/>
      <c r="DG181" s="77"/>
      <c r="DH181" s="77"/>
      <c r="DI181" s="77"/>
      <c r="DJ181" s="77"/>
      <c r="DK181" s="77"/>
      <c r="DL181" s="77"/>
      <c r="DM181" s="77"/>
      <c r="DN181" s="77"/>
      <c r="DO181" s="77"/>
      <c r="DP181" s="77"/>
      <c r="DQ181" s="77"/>
      <c r="DR181" s="77"/>
      <c r="DS181" s="77"/>
      <c r="DT181" s="78"/>
      <c r="DU181" s="12"/>
    </row>
    <row r="182" spans="1:125" ht="15" customHeight="1" x14ac:dyDescent="0.2">
      <c r="A182" s="12"/>
      <c r="B182" s="12"/>
      <c r="C182" s="12"/>
      <c r="D182" s="12"/>
      <c r="E182" s="12"/>
      <c r="F182" s="12"/>
      <c r="G182" s="12"/>
      <c r="H182" s="12"/>
      <c r="I182" s="12"/>
      <c r="J182" s="12"/>
      <c r="K182" s="12"/>
      <c r="L182" s="12"/>
      <c r="M182" s="12"/>
      <c r="N182" s="12"/>
      <c r="O182" s="12"/>
      <c r="P182" s="12"/>
      <c r="Q182" s="12"/>
      <c r="R182" s="12"/>
      <c r="S182" s="12"/>
      <c r="T182" s="12"/>
      <c r="U182" s="12"/>
      <c r="V182" s="351"/>
      <c r="W182" s="77"/>
      <c r="X182" s="77"/>
      <c r="Y182" s="77"/>
      <c r="Z182" s="77"/>
      <c r="AA182" s="77"/>
      <c r="AB182" s="77"/>
      <c r="AC182" s="77"/>
      <c r="AD182" s="77"/>
      <c r="AE182" s="77"/>
      <c r="AF182" s="77"/>
      <c r="AG182" s="77"/>
      <c r="AH182" s="13"/>
      <c r="AI182" s="13"/>
      <c r="AJ182" s="77"/>
      <c r="AK182" s="77"/>
      <c r="AL182" s="77"/>
      <c r="AM182" s="77"/>
      <c r="AN182" s="77"/>
      <c r="AO182" s="77"/>
      <c r="AP182" s="77"/>
      <c r="AQ182" s="77"/>
      <c r="AR182" s="77"/>
      <c r="AS182" s="77"/>
      <c r="AT182" s="77"/>
      <c r="AU182" s="13"/>
      <c r="AV182" s="352"/>
      <c r="AW182" s="13"/>
      <c r="AX182" s="13"/>
      <c r="AY182" s="13"/>
      <c r="AZ182" s="13"/>
      <c r="BA182" s="77"/>
      <c r="BB182" s="77"/>
      <c r="BC182" s="77"/>
      <c r="BD182" s="77"/>
      <c r="BE182" s="77"/>
      <c r="BF182" s="77"/>
      <c r="BG182" s="77"/>
      <c r="BH182" s="77"/>
      <c r="BI182" s="77"/>
      <c r="BJ182" s="77"/>
      <c r="BK182" s="77"/>
      <c r="BL182" s="77"/>
      <c r="BM182" s="77"/>
      <c r="BN182" s="77"/>
      <c r="BO182" s="77"/>
      <c r="BP182" s="77"/>
      <c r="BQ182" s="77"/>
      <c r="BR182" s="77"/>
      <c r="BS182" s="77"/>
      <c r="BT182" s="77"/>
      <c r="BU182" s="77"/>
      <c r="BV182" s="77"/>
      <c r="BW182" s="77"/>
      <c r="BX182" s="77"/>
      <c r="BY182" s="77"/>
      <c r="BZ182" s="77"/>
      <c r="CA182" s="77"/>
      <c r="CB182" s="77"/>
      <c r="CC182" s="77"/>
      <c r="CD182" s="77"/>
      <c r="CE182" s="77"/>
      <c r="CF182" s="77"/>
      <c r="CG182" s="77"/>
      <c r="CH182" s="77"/>
      <c r="CI182" s="77"/>
      <c r="CJ182" s="77"/>
      <c r="CK182" s="77"/>
      <c r="CL182" s="77"/>
      <c r="CM182" s="77"/>
      <c r="CN182" s="77"/>
      <c r="CO182" s="77"/>
      <c r="CP182" s="77"/>
      <c r="CQ182" s="77"/>
      <c r="CR182" s="77"/>
      <c r="CS182" s="77"/>
      <c r="CT182" s="77"/>
      <c r="CU182" s="77"/>
      <c r="CV182" s="77"/>
      <c r="CW182" s="77"/>
      <c r="CX182" s="77"/>
      <c r="CY182" s="77"/>
      <c r="CZ182" s="77"/>
      <c r="DA182" s="77"/>
      <c r="DB182" s="77"/>
      <c r="DC182" s="77"/>
      <c r="DD182" s="77"/>
      <c r="DE182" s="77"/>
      <c r="DF182" s="77"/>
      <c r="DG182" s="77"/>
      <c r="DH182" s="77"/>
      <c r="DI182" s="77"/>
      <c r="DJ182" s="77"/>
      <c r="DK182" s="77"/>
      <c r="DL182" s="77"/>
      <c r="DM182" s="77"/>
      <c r="DN182" s="77"/>
      <c r="DO182" s="77"/>
      <c r="DP182" s="77"/>
      <c r="DQ182" s="77"/>
      <c r="DR182" s="77"/>
      <c r="DS182" s="77"/>
      <c r="DT182" s="78"/>
      <c r="DU182" s="12"/>
    </row>
    <row r="183" spans="1:125" ht="15" customHeight="1" x14ac:dyDescent="0.2">
      <c r="A183" s="12"/>
      <c r="B183" s="12"/>
      <c r="C183" s="12"/>
      <c r="D183" s="12"/>
      <c r="E183" s="12"/>
      <c r="F183" s="12"/>
      <c r="G183" s="12"/>
      <c r="H183" s="12"/>
      <c r="I183" s="12"/>
      <c r="J183" s="12"/>
      <c r="K183" s="12"/>
      <c r="L183" s="12"/>
      <c r="M183" s="12"/>
      <c r="N183" s="12"/>
      <c r="O183" s="12"/>
      <c r="P183" s="12"/>
      <c r="Q183" s="12"/>
      <c r="R183" s="12"/>
      <c r="S183" s="12"/>
      <c r="T183" s="12"/>
      <c r="U183" s="12"/>
      <c r="V183" s="351"/>
      <c r="W183" s="77"/>
      <c r="X183" s="77"/>
      <c r="Y183" s="77"/>
      <c r="Z183" s="77"/>
      <c r="AA183" s="77"/>
      <c r="AB183" s="77"/>
      <c r="AC183" s="77"/>
      <c r="AD183" s="77"/>
      <c r="AE183" s="77"/>
      <c r="AF183" s="77"/>
      <c r="AG183" s="77"/>
      <c r="AH183" s="13"/>
      <c r="AI183" s="13"/>
      <c r="AJ183" s="77"/>
      <c r="AK183" s="77"/>
      <c r="AL183" s="77"/>
      <c r="AM183" s="77"/>
      <c r="AN183" s="77"/>
      <c r="AO183" s="77"/>
      <c r="AP183" s="77"/>
      <c r="AQ183" s="77"/>
      <c r="AR183" s="77"/>
      <c r="AS183" s="77"/>
      <c r="AT183" s="77"/>
      <c r="AU183" s="13"/>
      <c r="AV183" s="13"/>
      <c r="AW183" s="13"/>
      <c r="AX183" s="13"/>
      <c r="AY183" s="13"/>
      <c r="AZ183" s="13"/>
      <c r="BA183" s="77"/>
      <c r="BB183" s="77"/>
      <c r="BC183" s="77"/>
      <c r="BD183" s="77"/>
      <c r="BE183" s="77"/>
      <c r="BF183" s="77"/>
      <c r="BG183" s="77"/>
      <c r="BH183" s="77"/>
      <c r="BI183" s="77"/>
      <c r="BJ183" s="77"/>
      <c r="BK183" s="77"/>
      <c r="BL183" s="77"/>
      <c r="BM183" s="77"/>
      <c r="BN183" s="77"/>
      <c r="BO183" s="77"/>
      <c r="BP183" s="77"/>
      <c r="BQ183" s="77"/>
      <c r="BR183" s="77"/>
      <c r="BS183" s="77"/>
      <c r="BT183" s="77"/>
      <c r="BU183" s="77"/>
      <c r="BV183" s="77"/>
      <c r="BW183" s="77"/>
      <c r="BX183" s="77"/>
      <c r="BY183" s="77"/>
      <c r="BZ183" s="77"/>
      <c r="CA183" s="77"/>
      <c r="CB183" s="77"/>
      <c r="CC183" s="77"/>
      <c r="CD183" s="77"/>
      <c r="CE183" s="77"/>
      <c r="CF183" s="77"/>
      <c r="CG183" s="77"/>
      <c r="CH183" s="77"/>
      <c r="CI183" s="77"/>
      <c r="CJ183" s="77"/>
      <c r="CK183" s="77"/>
      <c r="CL183" s="77"/>
      <c r="CM183" s="77"/>
      <c r="CN183" s="77"/>
      <c r="CO183" s="77"/>
      <c r="CP183" s="77"/>
      <c r="CQ183" s="77"/>
      <c r="CR183" s="77"/>
      <c r="CS183" s="77"/>
      <c r="CT183" s="77"/>
      <c r="CU183" s="77"/>
      <c r="CV183" s="77"/>
      <c r="CW183" s="77"/>
      <c r="CX183" s="77"/>
      <c r="CY183" s="77"/>
      <c r="CZ183" s="77"/>
      <c r="DA183" s="77"/>
      <c r="DB183" s="77"/>
      <c r="DC183" s="77"/>
      <c r="DD183" s="77"/>
      <c r="DE183" s="77"/>
      <c r="DF183" s="77"/>
      <c r="DG183" s="77"/>
      <c r="DH183" s="77"/>
      <c r="DI183" s="77"/>
      <c r="DJ183" s="77"/>
      <c r="DK183" s="77"/>
      <c r="DL183" s="77"/>
      <c r="DM183" s="77"/>
      <c r="DN183" s="77"/>
      <c r="DO183" s="77"/>
      <c r="DP183" s="77"/>
      <c r="DQ183" s="77"/>
      <c r="DR183" s="77"/>
      <c r="DS183" s="77"/>
      <c r="DT183" s="78"/>
      <c r="DU183" s="12"/>
    </row>
    <row r="184" spans="1:125" ht="15" customHeight="1" x14ac:dyDescent="0.2">
      <c r="A184" s="12"/>
      <c r="B184" s="12"/>
      <c r="C184" s="12"/>
      <c r="D184" s="12"/>
      <c r="E184" s="12"/>
      <c r="F184" s="12"/>
      <c r="G184" s="12"/>
      <c r="H184" s="12"/>
      <c r="I184" s="12"/>
      <c r="J184" s="12"/>
      <c r="K184" s="12"/>
      <c r="L184" s="12"/>
      <c r="M184" s="12"/>
      <c r="N184" s="12"/>
      <c r="O184" s="12"/>
      <c r="P184" s="12"/>
      <c r="Q184" s="12"/>
      <c r="R184" s="12"/>
      <c r="S184" s="12"/>
      <c r="T184" s="12"/>
      <c r="U184" s="12"/>
      <c r="V184" s="351"/>
      <c r="W184" s="77"/>
      <c r="X184" s="77"/>
      <c r="Y184" s="77"/>
      <c r="Z184" s="77"/>
      <c r="AA184" s="77"/>
      <c r="AB184" s="77"/>
      <c r="AC184" s="77"/>
      <c r="AD184" s="77"/>
      <c r="AE184" s="77"/>
      <c r="AF184" s="77"/>
      <c r="AG184" s="77"/>
      <c r="AH184" s="13"/>
      <c r="AI184" s="13"/>
      <c r="AJ184" s="77"/>
      <c r="AK184" s="77"/>
      <c r="AL184" s="77"/>
      <c r="AM184" s="77"/>
      <c r="AN184" s="77"/>
      <c r="AO184" s="77"/>
      <c r="AP184" s="77"/>
      <c r="AQ184" s="77"/>
      <c r="AR184" s="77"/>
      <c r="AS184" s="77"/>
      <c r="AT184" s="77"/>
      <c r="AU184" s="13"/>
      <c r="AV184" s="13"/>
      <c r="AW184" s="13"/>
      <c r="AX184" s="13"/>
      <c r="AY184" s="13"/>
      <c r="AZ184" s="13"/>
      <c r="BA184" s="77"/>
      <c r="BB184" s="77"/>
      <c r="BC184" s="77"/>
      <c r="BD184" s="77"/>
      <c r="BE184" s="77"/>
      <c r="BF184" s="77"/>
      <c r="BG184" s="77"/>
      <c r="BH184" s="77"/>
      <c r="BI184" s="77"/>
      <c r="BJ184" s="77"/>
      <c r="BK184" s="77"/>
      <c r="BL184" s="77"/>
      <c r="BM184" s="77"/>
      <c r="BN184" s="77"/>
      <c r="BO184" s="77"/>
      <c r="BP184" s="77"/>
      <c r="BQ184" s="77"/>
      <c r="BR184" s="77"/>
      <c r="BS184" s="77"/>
      <c r="BT184" s="77"/>
      <c r="BU184" s="77"/>
      <c r="BV184" s="77"/>
      <c r="BW184" s="77"/>
      <c r="BX184" s="77"/>
      <c r="BY184" s="77"/>
      <c r="BZ184" s="77"/>
      <c r="CA184" s="77"/>
      <c r="CB184" s="77"/>
      <c r="CC184" s="77"/>
      <c r="CD184" s="77"/>
      <c r="CE184" s="77"/>
      <c r="CF184" s="77"/>
      <c r="CG184" s="77"/>
      <c r="CH184" s="77"/>
      <c r="CI184" s="77"/>
      <c r="CJ184" s="77"/>
      <c r="CK184" s="77"/>
      <c r="CL184" s="77"/>
      <c r="CM184" s="77"/>
      <c r="CN184" s="77"/>
      <c r="CO184" s="77"/>
      <c r="CP184" s="77"/>
      <c r="CQ184" s="77"/>
      <c r="CR184" s="77"/>
      <c r="CS184" s="77"/>
      <c r="CT184" s="77"/>
      <c r="CU184" s="77"/>
      <c r="CV184" s="77"/>
      <c r="CW184" s="77"/>
      <c r="CX184" s="77"/>
      <c r="CY184" s="77"/>
      <c r="CZ184" s="77"/>
      <c r="DA184" s="77"/>
      <c r="DB184" s="77"/>
      <c r="DC184" s="77"/>
      <c r="DD184" s="77"/>
      <c r="DE184" s="77"/>
      <c r="DF184" s="77"/>
      <c r="DG184" s="77"/>
      <c r="DH184" s="77"/>
      <c r="DI184" s="77"/>
      <c r="DJ184" s="77"/>
      <c r="DK184" s="77"/>
      <c r="DL184" s="77"/>
      <c r="DM184" s="77"/>
      <c r="DN184" s="77"/>
      <c r="DO184" s="77"/>
      <c r="DP184" s="77"/>
      <c r="DQ184" s="77"/>
      <c r="DR184" s="77"/>
      <c r="DS184" s="77"/>
      <c r="DT184" s="78"/>
      <c r="DU184" s="12"/>
    </row>
    <row r="185" spans="1:125" ht="15" customHeight="1" x14ac:dyDescent="0.2">
      <c r="A185" s="12"/>
      <c r="B185" s="12"/>
      <c r="C185" s="12"/>
      <c r="D185" s="12"/>
      <c r="E185" s="12"/>
      <c r="F185" s="12"/>
      <c r="G185" s="12"/>
      <c r="H185" s="12"/>
      <c r="I185" s="12"/>
      <c r="J185" s="12"/>
      <c r="K185" s="12"/>
      <c r="L185" s="12"/>
      <c r="M185" s="12"/>
      <c r="N185" s="12"/>
      <c r="O185" s="12"/>
      <c r="P185" s="12"/>
      <c r="Q185" s="12"/>
      <c r="R185" s="12"/>
      <c r="S185" s="12"/>
      <c r="T185" s="12"/>
      <c r="U185" s="12"/>
      <c r="V185" s="351"/>
      <c r="W185" s="77"/>
      <c r="X185" s="77"/>
      <c r="Y185" s="77"/>
      <c r="Z185" s="77"/>
      <c r="AA185" s="77"/>
      <c r="AB185" s="77"/>
      <c r="AC185" s="77"/>
      <c r="AD185" s="77"/>
      <c r="AE185" s="77"/>
      <c r="AF185" s="77"/>
      <c r="AG185" s="77"/>
      <c r="AH185" s="13"/>
      <c r="AI185" s="13"/>
      <c r="AJ185" s="77"/>
      <c r="AK185" s="77"/>
      <c r="AL185" s="77"/>
      <c r="AM185" s="77"/>
      <c r="AN185" s="77"/>
      <c r="AO185" s="77"/>
      <c r="AP185" s="77"/>
      <c r="AQ185" s="77"/>
      <c r="AR185" s="77"/>
      <c r="AS185" s="77"/>
      <c r="AT185" s="77"/>
      <c r="AU185" s="13"/>
      <c r="AV185" s="13"/>
      <c r="AW185" s="13"/>
      <c r="AX185" s="13"/>
      <c r="AY185" s="13"/>
      <c r="AZ185" s="13"/>
      <c r="BA185" s="77"/>
      <c r="BB185" s="77"/>
      <c r="BC185" s="77"/>
      <c r="BD185" s="77"/>
      <c r="BE185" s="77"/>
      <c r="BF185" s="77"/>
      <c r="BG185" s="77"/>
      <c r="BH185" s="77"/>
      <c r="BI185" s="77"/>
      <c r="BJ185" s="77"/>
      <c r="BK185" s="77"/>
      <c r="BL185" s="77"/>
      <c r="BM185" s="77"/>
      <c r="BN185" s="77"/>
      <c r="BO185" s="77"/>
      <c r="BP185" s="77"/>
      <c r="BQ185" s="77"/>
      <c r="BR185" s="77"/>
      <c r="BS185" s="77"/>
      <c r="BT185" s="77"/>
      <c r="BU185" s="77"/>
      <c r="BV185" s="77"/>
      <c r="BW185" s="77"/>
      <c r="BX185" s="77"/>
      <c r="BY185" s="77"/>
      <c r="BZ185" s="77"/>
      <c r="CA185" s="77"/>
      <c r="CB185" s="77"/>
      <c r="CC185" s="77"/>
      <c r="CD185" s="77"/>
      <c r="CE185" s="77"/>
      <c r="CF185" s="77"/>
      <c r="CG185" s="77"/>
      <c r="CH185" s="77"/>
      <c r="CI185" s="77"/>
      <c r="CJ185" s="77"/>
      <c r="CK185" s="77"/>
      <c r="CL185" s="77"/>
      <c r="CM185" s="77"/>
      <c r="CN185" s="77"/>
      <c r="CO185" s="77"/>
      <c r="CP185" s="77"/>
      <c r="CQ185" s="77"/>
      <c r="CR185" s="77"/>
      <c r="CS185" s="77"/>
      <c r="CT185" s="77"/>
      <c r="CU185" s="77"/>
      <c r="CV185" s="77"/>
      <c r="CW185" s="77"/>
      <c r="CX185" s="77"/>
      <c r="CY185" s="77"/>
      <c r="CZ185" s="77"/>
      <c r="DA185" s="77"/>
      <c r="DB185" s="77"/>
      <c r="DC185" s="77"/>
      <c r="DD185" s="77"/>
      <c r="DE185" s="77"/>
      <c r="DF185" s="77"/>
      <c r="DG185" s="77"/>
      <c r="DH185" s="77"/>
      <c r="DI185" s="77"/>
      <c r="DJ185" s="77"/>
      <c r="DK185" s="77"/>
      <c r="DL185" s="77"/>
      <c r="DM185" s="77"/>
      <c r="DN185" s="77"/>
      <c r="DO185" s="77"/>
      <c r="DP185" s="77"/>
      <c r="DQ185" s="77"/>
      <c r="DR185" s="77"/>
      <c r="DS185" s="77"/>
      <c r="DT185" s="78"/>
      <c r="DU185" s="12"/>
    </row>
    <row r="186" spans="1:125" ht="15" customHeight="1" x14ac:dyDescent="0.2">
      <c r="A186" s="12"/>
      <c r="B186" s="12"/>
      <c r="C186" s="12"/>
      <c r="D186" s="12"/>
      <c r="E186" s="12"/>
      <c r="F186" s="12"/>
      <c r="G186" s="12"/>
      <c r="H186" s="12"/>
      <c r="I186" s="12"/>
      <c r="J186" s="12"/>
      <c r="K186" s="12"/>
      <c r="L186" s="12"/>
      <c r="M186" s="12"/>
      <c r="N186" s="12"/>
      <c r="O186" s="12"/>
      <c r="P186" s="12"/>
      <c r="Q186" s="12"/>
      <c r="R186" s="12"/>
      <c r="S186" s="12"/>
      <c r="T186" s="12"/>
      <c r="U186" s="12"/>
      <c r="V186" s="351"/>
      <c r="W186" s="77"/>
      <c r="X186" s="77"/>
      <c r="Y186" s="77"/>
      <c r="Z186" s="77"/>
      <c r="AA186" s="77"/>
      <c r="AB186" s="77"/>
      <c r="AC186" s="77"/>
      <c r="AD186" s="77"/>
      <c r="AE186" s="77"/>
      <c r="AF186" s="77"/>
      <c r="AG186" s="77"/>
      <c r="AH186" s="13"/>
      <c r="AI186" s="13"/>
      <c r="AJ186" s="77"/>
      <c r="AK186" s="77"/>
      <c r="AL186" s="77"/>
      <c r="AM186" s="77"/>
      <c r="AN186" s="77"/>
      <c r="AO186" s="77"/>
      <c r="AP186" s="77"/>
      <c r="AQ186" s="77"/>
      <c r="AR186" s="77"/>
      <c r="AS186" s="77"/>
      <c r="AT186" s="77"/>
      <c r="AU186" s="13"/>
      <c r="AV186" s="13"/>
      <c r="AW186" s="13"/>
      <c r="AX186" s="13"/>
      <c r="AY186" s="13"/>
      <c r="AZ186" s="13"/>
      <c r="BA186" s="77"/>
      <c r="BB186" s="77"/>
      <c r="BC186" s="77"/>
      <c r="BD186" s="77"/>
      <c r="BE186" s="77"/>
      <c r="BF186" s="77"/>
      <c r="BG186" s="77"/>
      <c r="BH186" s="77"/>
      <c r="BI186" s="77"/>
      <c r="BJ186" s="77"/>
      <c r="BK186" s="77"/>
      <c r="BL186" s="77"/>
      <c r="BM186" s="77"/>
      <c r="BN186" s="77"/>
      <c r="BO186" s="77"/>
      <c r="BP186" s="77"/>
      <c r="BQ186" s="77"/>
      <c r="BR186" s="77"/>
      <c r="BS186" s="77"/>
      <c r="BT186" s="77"/>
      <c r="BU186" s="77"/>
      <c r="BV186" s="77"/>
      <c r="BW186" s="77"/>
      <c r="BX186" s="77"/>
      <c r="BY186" s="77"/>
      <c r="BZ186" s="77"/>
      <c r="CA186" s="77"/>
      <c r="CB186" s="77"/>
      <c r="CC186" s="77"/>
      <c r="CD186" s="77"/>
      <c r="CE186" s="77"/>
      <c r="CF186" s="77"/>
      <c r="CG186" s="77"/>
      <c r="CH186" s="77"/>
      <c r="CI186" s="77"/>
      <c r="CJ186" s="77"/>
      <c r="CK186" s="77"/>
      <c r="CL186" s="77"/>
      <c r="CM186" s="77"/>
      <c r="CN186" s="77"/>
      <c r="CO186" s="77"/>
      <c r="CP186" s="77"/>
      <c r="CQ186" s="77"/>
      <c r="CR186" s="77"/>
      <c r="CS186" s="77"/>
      <c r="CT186" s="77"/>
      <c r="CU186" s="77"/>
      <c r="CV186" s="77"/>
      <c r="CW186" s="77"/>
      <c r="CX186" s="77"/>
      <c r="CY186" s="77"/>
      <c r="CZ186" s="77"/>
      <c r="DA186" s="77"/>
      <c r="DB186" s="77"/>
      <c r="DC186" s="77"/>
      <c r="DD186" s="77"/>
      <c r="DE186" s="77"/>
      <c r="DF186" s="77"/>
      <c r="DG186" s="77"/>
      <c r="DH186" s="77"/>
      <c r="DI186" s="77"/>
      <c r="DJ186" s="77"/>
      <c r="DK186" s="77"/>
      <c r="DL186" s="77"/>
      <c r="DM186" s="77"/>
      <c r="DN186" s="77"/>
      <c r="DO186" s="77"/>
      <c r="DP186" s="77"/>
      <c r="DQ186" s="77"/>
      <c r="DR186" s="77"/>
      <c r="DS186" s="77"/>
      <c r="DT186" s="78"/>
      <c r="DU186" s="12"/>
    </row>
    <row r="187" spans="1:125" ht="15" customHeight="1" x14ac:dyDescent="0.2">
      <c r="A187" s="12"/>
      <c r="B187" s="12"/>
      <c r="C187" s="12"/>
      <c r="D187" s="12"/>
      <c r="E187" s="12"/>
      <c r="F187" s="12"/>
      <c r="G187" s="12"/>
      <c r="H187" s="12"/>
      <c r="I187" s="12"/>
      <c r="J187" s="12"/>
      <c r="K187" s="12"/>
      <c r="L187" s="12"/>
      <c r="M187" s="12"/>
      <c r="N187" s="12"/>
      <c r="O187" s="12"/>
      <c r="P187" s="12"/>
      <c r="Q187" s="12"/>
      <c r="R187" s="12"/>
      <c r="S187" s="12"/>
      <c r="T187" s="12"/>
      <c r="U187" s="12"/>
      <c r="V187" s="351"/>
      <c r="W187" s="77"/>
      <c r="X187" s="77"/>
      <c r="Y187" s="77"/>
      <c r="Z187" s="77"/>
      <c r="AA187" s="77"/>
      <c r="AB187" s="77"/>
      <c r="AC187" s="77"/>
      <c r="AD187" s="77"/>
      <c r="AE187" s="77"/>
      <c r="AF187" s="77"/>
      <c r="AG187" s="77"/>
      <c r="AH187" s="13"/>
      <c r="AI187" s="13"/>
      <c r="AJ187" s="77"/>
      <c r="AK187" s="77"/>
      <c r="AL187" s="77"/>
      <c r="AM187" s="77"/>
      <c r="AN187" s="77"/>
      <c r="AO187" s="77"/>
      <c r="AP187" s="77"/>
      <c r="AQ187" s="77"/>
      <c r="AR187" s="77"/>
      <c r="AS187" s="77"/>
      <c r="AT187" s="77"/>
      <c r="AU187" s="13"/>
      <c r="AV187" s="13"/>
      <c r="AW187" s="13"/>
      <c r="AX187" s="13"/>
      <c r="AY187" s="13"/>
      <c r="AZ187" s="13"/>
      <c r="BA187" s="77"/>
      <c r="BB187" s="77"/>
      <c r="BC187" s="77"/>
      <c r="BD187" s="77"/>
      <c r="BE187" s="77"/>
      <c r="BF187" s="77"/>
      <c r="BG187" s="77"/>
      <c r="BH187" s="77"/>
      <c r="BI187" s="77"/>
      <c r="BJ187" s="77"/>
      <c r="BK187" s="77"/>
      <c r="BL187" s="77"/>
      <c r="BM187" s="77"/>
      <c r="BN187" s="77"/>
      <c r="BO187" s="77"/>
      <c r="BP187" s="77"/>
      <c r="BQ187" s="77"/>
      <c r="BR187" s="77"/>
      <c r="BS187" s="77"/>
      <c r="BT187" s="77"/>
      <c r="BU187" s="77"/>
      <c r="BV187" s="77"/>
      <c r="BW187" s="77"/>
      <c r="BX187" s="77"/>
      <c r="BY187" s="77"/>
      <c r="BZ187" s="77"/>
      <c r="CA187" s="77"/>
      <c r="CB187" s="77"/>
      <c r="CC187" s="77"/>
      <c r="CD187" s="77"/>
      <c r="CE187" s="77"/>
      <c r="CF187" s="77"/>
      <c r="CG187" s="77"/>
      <c r="CH187" s="77"/>
      <c r="CI187" s="77"/>
      <c r="CJ187" s="77"/>
      <c r="CK187" s="77"/>
      <c r="CL187" s="77"/>
      <c r="CM187" s="77"/>
      <c r="CN187" s="77"/>
      <c r="CO187" s="77"/>
      <c r="CP187" s="77"/>
      <c r="CQ187" s="77"/>
      <c r="CR187" s="77"/>
      <c r="CS187" s="77"/>
      <c r="CT187" s="77"/>
      <c r="CU187" s="77"/>
      <c r="CV187" s="77"/>
      <c r="CW187" s="77"/>
      <c r="CX187" s="77"/>
      <c r="CY187" s="77"/>
      <c r="CZ187" s="77"/>
      <c r="DA187" s="77"/>
      <c r="DB187" s="77"/>
      <c r="DC187" s="77"/>
      <c r="DD187" s="77"/>
      <c r="DE187" s="77"/>
      <c r="DF187" s="77"/>
      <c r="DG187" s="77"/>
      <c r="DH187" s="77"/>
      <c r="DI187" s="77"/>
      <c r="DJ187" s="77"/>
      <c r="DK187" s="77"/>
      <c r="DL187" s="77"/>
      <c r="DM187" s="77"/>
      <c r="DN187" s="77"/>
      <c r="DO187" s="77"/>
      <c r="DP187" s="77"/>
      <c r="DQ187" s="77"/>
      <c r="DR187" s="77"/>
      <c r="DS187" s="77"/>
      <c r="DT187" s="78"/>
      <c r="DU187" s="12"/>
    </row>
    <row r="188" spans="1:125" ht="15" customHeight="1" x14ac:dyDescent="0.2">
      <c r="A188" s="12"/>
      <c r="B188" s="12"/>
      <c r="C188" s="12"/>
      <c r="D188" s="12"/>
      <c r="E188" s="12"/>
      <c r="F188" s="12"/>
      <c r="G188" s="12"/>
      <c r="H188" s="12"/>
      <c r="I188" s="12"/>
      <c r="J188" s="12"/>
      <c r="K188" s="12"/>
      <c r="L188" s="12"/>
      <c r="M188" s="12"/>
      <c r="N188" s="12"/>
      <c r="O188" s="12"/>
      <c r="P188" s="12"/>
      <c r="Q188" s="12"/>
      <c r="R188" s="12"/>
      <c r="S188" s="12"/>
      <c r="T188" s="12"/>
      <c r="U188" s="12"/>
      <c r="V188" s="351"/>
      <c r="W188" s="77"/>
      <c r="X188" s="77"/>
      <c r="Y188" s="77"/>
      <c r="Z188" s="77"/>
      <c r="AA188" s="77"/>
      <c r="AB188" s="77"/>
      <c r="AC188" s="77"/>
      <c r="AD188" s="77"/>
      <c r="AE188" s="77"/>
      <c r="AF188" s="77"/>
      <c r="AG188" s="77"/>
      <c r="AH188" s="13"/>
      <c r="AI188" s="13"/>
      <c r="AJ188" s="77"/>
      <c r="AK188" s="77"/>
      <c r="AL188" s="77"/>
      <c r="AM188" s="77"/>
      <c r="AN188" s="77"/>
      <c r="AO188" s="77"/>
      <c r="AP188" s="77"/>
      <c r="AQ188" s="77"/>
      <c r="AR188" s="77"/>
      <c r="AS188" s="77"/>
      <c r="AT188" s="77"/>
      <c r="AU188" s="13"/>
      <c r="AV188" s="13"/>
      <c r="AW188" s="13"/>
      <c r="AX188" s="13"/>
      <c r="AY188" s="13"/>
      <c r="AZ188" s="13"/>
      <c r="BA188" s="77"/>
      <c r="BB188" s="77"/>
      <c r="BC188" s="77"/>
      <c r="BD188" s="77"/>
      <c r="BE188" s="77"/>
      <c r="BF188" s="77"/>
      <c r="BG188" s="77"/>
      <c r="BH188" s="77"/>
      <c r="BI188" s="77"/>
      <c r="BJ188" s="77"/>
      <c r="BK188" s="77"/>
      <c r="BL188" s="77"/>
      <c r="BM188" s="77"/>
      <c r="BN188" s="77"/>
      <c r="BO188" s="77"/>
      <c r="BP188" s="77"/>
      <c r="BQ188" s="77"/>
      <c r="BR188" s="77"/>
      <c r="BS188" s="77"/>
      <c r="BT188" s="77"/>
      <c r="BU188" s="77"/>
      <c r="BV188" s="77"/>
      <c r="BW188" s="77"/>
      <c r="BX188" s="77"/>
      <c r="BY188" s="77"/>
      <c r="BZ188" s="77"/>
      <c r="CA188" s="77"/>
      <c r="CB188" s="77"/>
      <c r="CC188" s="77"/>
      <c r="CD188" s="77"/>
      <c r="CE188" s="77"/>
      <c r="CF188" s="77"/>
      <c r="CG188" s="77"/>
      <c r="CH188" s="77"/>
      <c r="CI188" s="77"/>
      <c r="CJ188" s="77"/>
      <c r="CK188" s="77"/>
      <c r="CL188" s="77"/>
      <c r="CM188" s="77"/>
      <c r="CN188" s="77"/>
      <c r="CO188" s="77"/>
      <c r="CP188" s="77"/>
      <c r="CQ188" s="77"/>
      <c r="CR188" s="77"/>
      <c r="CS188" s="77"/>
      <c r="CT188" s="77"/>
      <c r="CU188" s="77"/>
      <c r="CV188" s="77"/>
      <c r="CW188" s="77"/>
      <c r="CX188" s="77"/>
      <c r="CY188" s="77"/>
      <c r="CZ188" s="77"/>
      <c r="DA188" s="77"/>
      <c r="DB188" s="77"/>
      <c r="DC188" s="77"/>
      <c r="DD188" s="77"/>
      <c r="DE188" s="77"/>
      <c r="DF188" s="77"/>
      <c r="DG188" s="77"/>
      <c r="DH188" s="77"/>
      <c r="DI188" s="77"/>
      <c r="DJ188" s="77"/>
      <c r="DK188" s="77"/>
      <c r="DL188" s="77"/>
      <c r="DM188" s="77"/>
      <c r="DN188" s="77"/>
      <c r="DO188" s="77"/>
      <c r="DP188" s="77"/>
      <c r="DQ188" s="77"/>
      <c r="DR188" s="77"/>
      <c r="DS188" s="77"/>
      <c r="DT188" s="78"/>
      <c r="DU188" s="12"/>
    </row>
    <row r="189" spans="1:125" ht="15" customHeight="1" x14ac:dyDescent="0.2">
      <c r="A189" s="12"/>
      <c r="B189" s="12"/>
      <c r="C189" s="12"/>
      <c r="D189" s="12"/>
      <c r="E189" s="12"/>
      <c r="F189" s="12"/>
      <c r="G189" s="12"/>
      <c r="H189" s="12"/>
      <c r="I189" s="12"/>
      <c r="J189" s="12"/>
      <c r="K189" s="12"/>
      <c r="L189" s="12"/>
      <c r="M189" s="12"/>
      <c r="N189" s="12"/>
      <c r="O189" s="12"/>
      <c r="P189" s="12"/>
      <c r="Q189" s="12"/>
      <c r="R189" s="12"/>
      <c r="S189" s="12"/>
      <c r="T189" s="12"/>
      <c r="U189" s="12"/>
      <c r="V189" s="351"/>
      <c r="W189" s="77"/>
      <c r="X189" s="77"/>
      <c r="Y189" s="77"/>
      <c r="Z189" s="77"/>
      <c r="AA189" s="77"/>
      <c r="AB189" s="77"/>
      <c r="AC189" s="77"/>
      <c r="AD189" s="77"/>
      <c r="AE189" s="77"/>
      <c r="AF189" s="77"/>
      <c r="AG189" s="77"/>
      <c r="AH189" s="13"/>
      <c r="AI189" s="13"/>
      <c r="AJ189" s="77"/>
      <c r="AK189" s="77"/>
      <c r="AL189" s="77"/>
      <c r="AM189" s="77"/>
      <c r="AN189" s="77"/>
      <c r="AO189" s="77"/>
      <c r="AP189" s="77"/>
      <c r="AQ189" s="77"/>
      <c r="AR189" s="77"/>
      <c r="AS189" s="77"/>
      <c r="AT189" s="77"/>
      <c r="AU189" s="13"/>
      <c r="AV189" s="13"/>
      <c r="AW189" s="13"/>
      <c r="AX189" s="13"/>
      <c r="AY189" s="13"/>
      <c r="AZ189" s="13"/>
      <c r="BA189" s="77"/>
      <c r="BB189" s="77"/>
      <c r="BC189" s="77"/>
      <c r="BD189" s="77"/>
      <c r="BE189" s="77"/>
      <c r="BF189" s="77"/>
      <c r="BG189" s="77"/>
      <c r="BH189" s="77"/>
      <c r="BI189" s="77"/>
      <c r="BJ189" s="77"/>
      <c r="BK189" s="77"/>
      <c r="BL189" s="77"/>
      <c r="BM189" s="77"/>
      <c r="BN189" s="77"/>
      <c r="BO189" s="77"/>
      <c r="BP189" s="77"/>
      <c r="BQ189" s="77"/>
      <c r="BR189" s="77"/>
      <c r="BS189" s="77"/>
      <c r="BT189" s="77"/>
      <c r="BU189" s="77"/>
      <c r="BV189" s="77"/>
      <c r="BW189" s="77"/>
      <c r="BX189" s="77"/>
      <c r="BY189" s="77"/>
      <c r="BZ189" s="77"/>
      <c r="CA189" s="77"/>
      <c r="CB189" s="77"/>
      <c r="CC189" s="77"/>
      <c r="CD189" s="77"/>
      <c r="CE189" s="77"/>
      <c r="CF189" s="77"/>
      <c r="CG189" s="77"/>
      <c r="CH189" s="77"/>
      <c r="CI189" s="77"/>
      <c r="CJ189" s="77"/>
      <c r="CK189" s="77"/>
      <c r="CL189" s="77"/>
      <c r="CM189" s="77"/>
      <c r="CN189" s="77"/>
      <c r="CO189" s="77"/>
      <c r="CP189" s="77"/>
      <c r="CQ189" s="77"/>
      <c r="CR189" s="77"/>
      <c r="CS189" s="77"/>
      <c r="CT189" s="77"/>
      <c r="CU189" s="77"/>
      <c r="CV189" s="77"/>
      <c r="CW189" s="77"/>
      <c r="CX189" s="77"/>
      <c r="CY189" s="77"/>
      <c r="CZ189" s="77"/>
      <c r="DA189" s="77"/>
      <c r="DB189" s="77"/>
      <c r="DC189" s="77"/>
      <c r="DD189" s="77"/>
      <c r="DE189" s="77"/>
      <c r="DF189" s="77"/>
      <c r="DG189" s="77"/>
      <c r="DH189" s="77"/>
      <c r="DI189" s="77"/>
      <c r="DJ189" s="77"/>
      <c r="DK189" s="77"/>
      <c r="DL189" s="77"/>
      <c r="DM189" s="77"/>
      <c r="DN189" s="77"/>
      <c r="DO189" s="77"/>
      <c r="DP189" s="77"/>
      <c r="DQ189" s="77"/>
      <c r="DR189" s="77"/>
      <c r="DS189" s="77"/>
      <c r="DT189" s="78"/>
      <c r="DU189" s="12"/>
    </row>
    <row r="190" spans="1:125" ht="15" customHeight="1" x14ac:dyDescent="0.2">
      <c r="A190" s="12"/>
      <c r="B190" s="12"/>
      <c r="C190" s="12"/>
      <c r="D190" s="12"/>
      <c r="E190" s="12"/>
      <c r="F190" s="12"/>
      <c r="G190" s="12"/>
      <c r="H190" s="12"/>
      <c r="I190" s="12"/>
      <c r="J190" s="12"/>
      <c r="K190" s="12"/>
      <c r="L190" s="12"/>
      <c r="M190" s="12"/>
      <c r="N190" s="12"/>
      <c r="O190" s="12"/>
      <c r="P190" s="12"/>
      <c r="Q190" s="12"/>
      <c r="R190" s="12"/>
      <c r="S190" s="12"/>
      <c r="T190" s="12"/>
      <c r="U190" s="12"/>
      <c r="V190" s="351"/>
      <c r="W190" s="77"/>
      <c r="X190" s="77"/>
      <c r="Y190" s="77"/>
      <c r="Z190" s="77"/>
      <c r="AA190" s="77"/>
      <c r="AB190" s="77"/>
      <c r="AC190" s="77"/>
      <c r="AD190" s="77"/>
      <c r="AE190" s="77"/>
      <c r="AF190" s="77"/>
      <c r="AG190" s="77"/>
      <c r="AH190" s="13"/>
      <c r="AI190" s="13"/>
      <c r="AJ190" s="77"/>
      <c r="AK190" s="77"/>
      <c r="AL190" s="77"/>
      <c r="AM190" s="77"/>
      <c r="AN190" s="77"/>
      <c r="AO190" s="77"/>
      <c r="AP190" s="77"/>
      <c r="AQ190" s="77"/>
      <c r="AR190" s="77"/>
      <c r="AS190" s="77"/>
      <c r="AT190" s="77"/>
      <c r="AU190" s="13"/>
      <c r="AV190" s="13"/>
      <c r="AW190" s="13"/>
      <c r="AX190" s="13"/>
      <c r="AY190" s="13"/>
      <c r="AZ190" s="13"/>
      <c r="BA190" s="77"/>
      <c r="BB190" s="77"/>
      <c r="BC190" s="77"/>
      <c r="BD190" s="77"/>
      <c r="BE190" s="77"/>
      <c r="BF190" s="77"/>
      <c r="BG190" s="77"/>
      <c r="BH190" s="77"/>
      <c r="BI190" s="77"/>
      <c r="BJ190" s="77"/>
      <c r="BK190" s="77"/>
      <c r="BL190" s="77"/>
      <c r="BM190" s="77"/>
      <c r="BN190" s="77"/>
      <c r="BO190" s="77"/>
      <c r="BP190" s="77"/>
      <c r="BQ190" s="77"/>
      <c r="BR190" s="77"/>
      <c r="BS190" s="77"/>
      <c r="BT190" s="77"/>
      <c r="BU190" s="77"/>
      <c r="BV190" s="77"/>
      <c r="BW190" s="77"/>
      <c r="BX190" s="77"/>
      <c r="BY190" s="77"/>
      <c r="BZ190" s="77"/>
      <c r="CA190" s="77"/>
      <c r="CB190" s="77"/>
      <c r="CC190" s="77"/>
      <c r="CD190" s="77"/>
      <c r="CE190" s="77"/>
      <c r="CF190" s="77"/>
      <c r="CG190" s="77"/>
      <c r="CH190" s="77"/>
      <c r="CI190" s="77"/>
      <c r="CJ190" s="77"/>
      <c r="CK190" s="77"/>
      <c r="CL190" s="77"/>
      <c r="CM190" s="77"/>
      <c r="CN190" s="77"/>
      <c r="CO190" s="77"/>
      <c r="CP190" s="77"/>
      <c r="CQ190" s="77"/>
      <c r="CR190" s="77"/>
      <c r="CS190" s="77"/>
      <c r="CT190" s="77"/>
      <c r="CU190" s="77"/>
      <c r="CV190" s="77"/>
      <c r="CW190" s="77"/>
      <c r="CX190" s="77"/>
      <c r="CY190" s="77"/>
      <c r="CZ190" s="77"/>
      <c r="DA190" s="77"/>
      <c r="DB190" s="77"/>
      <c r="DC190" s="77"/>
      <c r="DD190" s="77"/>
      <c r="DE190" s="77"/>
      <c r="DF190" s="77"/>
      <c r="DG190" s="77"/>
      <c r="DH190" s="77"/>
      <c r="DI190" s="77"/>
      <c r="DJ190" s="77"/>
      <c r="DK190" s="77"/>
      <c r="DL190" s="77"/>
      <c r="DM190" s="77"/>
      <c r="DN190" s="77"/>
      <c r="DO190" s="77"/>
      <c r="DP190" s="77"/>
      <c r="DQ190" s="77"/>
      <c r="DR190" s="77"/>
      <c r="DS190" s="77"/>
      <c r="DT190" s="78"/>
      <c r="DU190" s="12"/>
    </row>
    <row r="191" spans="1:125" ht="15" customHeight="1" x14ac:dyDescent="0.2">
      <c r="A191" s="58"/>
      <c r="B191" s="58"/>
      <c r="C191" s="58"/>
      <c r="D191" s="58"/>
      <c r="E191" s="58"/>
      <c r="F191" s="58"/>
      <c r="G191" s="58"/>
      <c r="H191" s="58"/>
      <c r="I191" s="58"/>
      <c r="J191" s="58"/>
      <c r="K191" s="58"/>
      <c r="L191" s="58"/>
      <c r="M191" s="58"/>
      <c r="N191" s="58"/>
      <c r="O191" s="58"/>
      <c r="P191" s="58"/>
      <c r="Q191" s="58"/>
      <c r="R191" s="58"/>
      <c r="S191" s="58"/>
      <c r="T191" s="58"/>
      <c r="U191" s="58"/>
      <c r="V191" s="353"/>
      <c r="W191" s="354"/>
      <c r="X191" s="354"/>
      <c r="Y191" s="354"/>
      <c r="Z191" s="354"/>
      <c r="AA191" s="354"/>
      <c r="AB191" s="354"/>
      <c r="AC191" s="354"/>
      <c r="AD191" s="354"/>
      <c r="AE191" s="354"/>
      <c r="AF191" s="354"/>
      <c r="AG191" s="354"/>
      <c r="AH191" s="355"/>
      <c r="AI191" s="355"/>
      <c r="AJ191" s="354"/>
      <c r="AK191" s="354"/>
      <c r="AL191" s="354"/>
      <c r="AM191" s="354"/>
      <c r="AN191" s="354"/>
      <c r="AO191" s="354"/>
      <c r="AP191" s="354"/>
      <c r="AQ191" s="354"/>
      <c r="AR191" s="354"/>
      <c r="AS191" s="354"/>
      <c r="AT191" s="354"/>
      <c r="AU191" s="355"/>
      <c r="AV191" s="355"/>
      <c r="AW191" s="355"/>
      <c r="AX191" s="355"/>
      <c r="AY191" s="355"/>
      <c r="AZ191" s="355"/>
      <c r="BA191" s="354"/>
      <c r="BB191" s="354"/>
      <c r="BC191" s="354"/>
      <c r="BD191" s="354"/>
      <c r="BE191" s="354"/>
      <c r="BF191" s="354"/>
      <c r="BG191" s="354"/>
      <c r="BH191" s="354"/>
      <c r="BI191" s="354"/>
      <c r="BJ191" s="354"/>
      <c r="BK191" s="354"/>
      <c r="BL191" s="354"/>
      <c r="BM191" s="354"/>
      <c r="BN191" s="354"/>
      <c r="BO191" s="354"/>
      <c r="BP191" s="354"/>
      <c r="BQ191" s="354"/>
      <c r="BR191" s="354"/>
      <c r="BS191" s="354"/>
      <c r="BT191" s="354"/>
      <c r="BU191" s="354"/>
      <c r="BV191" s="354"/>
      <c r="BW191" s="354"/>
      <c r="BX191" s="354"/>
      <c r="BY191" s="354"/>
      <c r="BZ191" s="354"/>
      <c r="CA191" s="354"/>
      <c r="CB191" s="354"/>
      <c r="CC191" s="354"/>
      <c r="CD191" s="354"/>
      <c r="CE191" s="354"/>
      <c r="CF191" s="354"/>
      <c r="CG191" s="354"/>
      <c r="CH191" s="354"/>
      <c r="CI191" s="354"/>
      <c r="CJ191" s="354"/>
      <c r="CK191" s="354"/>
      <c r="CL191" s="354"/>
      <c r="CM191" s="354"/>
      <c r="CN191" s="354"/>
      <c r="CO191" s="354"/>
      <c r="CP191" s="354"/>
      <c r="CQ191" s="354"/>
      <c r="CR191" s="354"/>
      <c r="CS191" s="354"/>
      <c r="CT191" s="354"/>
      <c r="CU191" s="354"/>
      <c r="CV191" s="354"/>
      <c r="CW191" s="354"/>
      <c r="CX191" s="354"/>
      <c r="CY191" s="354"/>
      <c r="CZ191" s="354"/>
      <c r="DA191" s="354"/>
      <c r="DB191" s="354"/>
      <c r="DC191" s="354"/>
      <c r="DD191" s="354"/>
      <c r="DE191" s="354"/>
      <c r="DF191" s="354"/>
      <c r="DG191" s="354"/>
      <c r="DH191" s="354"/>
      <c r="DI191" s="354"/>
      <c r="DJ191" s="354"/>
      <c r="DK191" s="354"/>
      <c r="DL191" s="354"/>
      <c r="DM191" s="354"/>
      <c r="DN191" s="354"/>
      <c r="DO191" s="354"/>
      <c r="DP191" s="354"/>
      <c r="DQ191" s="354"/>
      <c r="DR191" s="354"/>
      <c r="DS191" s="354"/>
      <c r="DT191" s="356"/>
      <c r="DU191" s="58"/>
    </row>
  </sheetData>
  <mergeCells count="38">
    <mergeCell ref="AH154:AU154"/>
    <mergeCell ref="W118:AF118"/>
    <mergeCell ref="W129:AF129"/>
    <mergeCell ref="W136:AF136"/>
    <mergeCell ref="W141:AF141"/>
    <mergeCell ref="W145:AF145"/>
    <mergeCell ref="W120:W127"/>
    <mergeCell ref="AJ4:AT4"/>
    <mergeCell ref="AJ12:AT12"/>
    <mergeCell ref="AJ20:AT20"/>
    <mergeCell ref="AJ28:AT28"/>
    <mergeCell ref="AJ36:AT36"/>
    <mergeCell ref="AJ44:AT44"/>
    <mergeCell ref="AJ52:AT52"/>
    <mergeCell ref="AJ60:AT60"/>
    <mergeCell ref="AJ68:AT68"/>
    <mergeCell ref="AJ76:AT76"/>
    <mergeCell ref="AJ84:AT84"/>
    <mergeCell ref="AJ92:AT92"/>
    <mergeCell ref="W99:AF99"/>
    <mergeCell ref="AK99:AT99"/>
    <mergeCell ref="AJ100:AT100"/>
    <mergeCell ref="W76:W81"/>
    <mergeCell ref="W138:W139"/>
    <mergeCell ref="W1:AF1"/>
    <mergeCell ref="W131:W134"/>
    <mergeCell ref="W101:W116"/>
    <mergeCell ref="W28:W33"/>
    <mergeCell ref="W4:W9"/>
    <mergeCell ref="W52:W57"/>
    <mergeCell ref="W84:W89"/>
    <mergeCell ref="W36:W41"/>
    <mergeCell ref="W60:W65"/>
    <mergeCell ref="W92:W97"/>
    <mergeCell ref="W44:W49"/>
    <mergeCell ref="W68:W73"/>
    <mergeCell ref="W20:W25"/>
    <mergeCell ref="W12:W17"/>
  </mergeCells>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8"/>
  <sheetViews>
    <sheetView showGridLines="0" workbookViewId="0"/>
  </sheetViews>
  <sheetFormatPr baseColWidth="10" defaultColWidth="10.83203125" defaultRowHeight="15" customHeight="1" x14ac:dyDescent="0.2"/>
  <cols>
    <col min="1" max="1" width="10.83203125" style="1" customWidth="1"/>
    <col min="2" max="2" width="29.5" style="1" customWidth="1"/>
    <col min="3" max="3" width="35" style="1" customWidth="1"/>
    <col min="4" max="4" width="12.6640625" style="1" customWidth="1"/>
    <col min="5" max="8" width="10.83203125" style="1" customWidth="1"/>
    <col min="9" max="9" width="3.1640625" style="1" customWidth="1"/>
    <col min="10" max="12" width="10.83203125" style="1" customWidth="1"/>
    <col min="13" max="13" width="3.6640625" style="1" customWidth="1"/>
    <col min="14" max="14" width="4.6640625" style="1" customWidth="1"/>
    <col min="15" max="15" width="10.83203125" style="1" customWidth="1"/>
    <col min="16" max="16384" width="10.83203125" style="1"/>
  </cols>
  <sheetData>
    <row r="1" spans="1:14" ht="20" customHeight="1" x14ac:dyDescent="0.25">
      <c r="A1" s="357"/>
      <c r="B1" s="358"/>
      <c r="C1" s="359" t="s">
        <v>333</v>
      </c>
      <c r="D1" s="360"/>
      <c r="E1" s="820" t="s">
        <v>334</v>
      </c>
      <c r="F1" s="821"/>
      <c r="G1" s="821"/>
      <c r="H1" s="821"/>
      <c r="I1" s="821"/>
      <c r="J1" s="821"/>
      <c r="K1" s="821"/>
      <c r="L1" s="821"/>
      <c r="M1" s="821"/>
      <c r="N1" s="822"/>
    </row>
    <row r="2" spans="1:14" ht="20" customHeight="1" x14ac:dyDescent="0.25">
      <c r="A2" s="363"/>
      <c r="B2" s="364"/>
      <c r="C2" s="365"/>
      <c r="D2" s="366"/>
      <c r="E2" s="754"/>
      <c r="F2" s="754"/>
      <c r="G2" s="754"/>
      <c r="H2" s="754"/>
      <c r="I2" s="754"/>
      <c r="J2" s="754"/>
      <c r="K2" s="754"/>
      <c r="L2" s="754"/>
      <c r="M2" s="754"/>
      <c r="N2" s="823"/>
    </row>
    <row r="3" spans="1:14" ht="35" customHeight="1" x14ac:dyDescent="0.25">
      <c r="A3" s="368"/>
      <c r="B3" s="369" t="s">
        <v>11</v>
      </c>
      <c r="C3" s="370"/>
      <c r="D3" s="366"/>
      <c r="E3" s="824" t="s">
        <v>335</v>
      </c>
      <c r="F3" s="825"/>
      <c r="G3" s="813"/>
      <c r="H3" s="813"/>
      <c r="I3" s="813"/>
      <c r="J3" s="813"/>
      <c r="K3" s="813"/>
      <c r="L3" s="813"/>
      <c r="M3" s="813"/>
      <c r="N3" s="826"/>
    </row>
    <row r="4" spans="1:14" ht="45" customHeight="1" x14ac:dyDescent="0.25">
      <c r="A4" s="363"/>
      <c r="B4" s="374"/>
      <c r="C4" s="375" t="s">
        <v>336</v>
      </c>
      <c r="D4" s="366"/>
      <c r="E4" s="831" t="s">
        <v>337</v>
      </c>
      <c r="F4" s="808"/>
      <c r="G4" s="808"/>
      <c r="H4" s="808"/>
      <c r="I4" s="808"/>
      <c r="J4" s="808"/>
      <c r="K4" s="808"/>
      <c r="L4" s="808"/>
      <c r="M4" s="832"/>
      <c r="N4" s="377"/>
    </row>
    <row r="5" spans="1:14" ht="19" customHeight="1" x14ac:dyDescent="0.2">
      <c r="A5" s="378"/>
      <c r="B5" s="379" t="s">
        <v>338</v>
      </c>
      <c r="C5" s="380" t="str" cm="1">
        <f t="array" ref="C5">Home!C10</f>
        <v xml:space="preserve">Gaby </v>
      </c>
      <c r="D5" s="381"/>
      <c r="E5" s="807" t="s">
        <v>339</v>
      </c>
      <c r="F5" s="808"/>
      <c r="G5" s="808"/>
      <c r="H5" s="808"/>
      <c r="I5" s="808"/>
      <c r="J5" s="382"/>
      <c r="K5" s="382"/>
      <c r="L5" s="383"/>
      <c r="M5" s="384"/>
      <c r="N5" s="377"/>
    </row>
    <row r="6" spans="1:14" ht="15" customHeight="1" x14ac:dyDescent="0.2">
      <c r="A6" s="385" t="s">
        <v>340</v>
      </c>
      <c r="B6" s="386" t="str" cm="1">
        <f t="array" ref="B6">CONCATENATE(WORLDCUP!AA4,"-",WORLDCUP!AF4)</f>
        <v>México-Sudáfrica</v>
      </c>
      <c r="C6" s="387" t="str" cm="1">
        <f t="array" ref="C6">CONCATENATE(IF(WORLDCUP!AC4&gt;WORLDCUP!AD4,1,IF(WORLDCUP!AC4&lt;WORLDCUP!AD4,2,IF(AND(WORLDCUP!AC4=WORLDCUP!AD4,WORLDCUP!AC4&lt;&gt;"",WORLDCUP!AD4&lt;&gt;""),"X",0))),"|",WORLDCUP!AC4,"-",WORLDCUP!AD4)</f>
        <v>1|2-1</v>
      </c>
      <c r="D6" s="828" t="s">
        <v>47</v>
      </c>
      <c r="E6" s="814" t="s">
        <v>341</v>
      </c>
      <c r="F6" s="812"/>
      <c r="G6" s="812"/>
      <c r="H6" s="812"/>
      <c r="I6" s="389"/>
      <c r="J6" s="390"/>
      <c r="K6" s="388"/>
      <c r="L6" s="376"/>
      <c r="M6" s="384"/>
      <c r="N6" s="377"/>
    </row>
    <row r="7" spans="1:14" ht="15" customHeight="1" x14ac:dyDescent="0.2">
      <c r="A7" s="385" t="s">
        <v>340</v>
      </c>
      <c r="B7" s="386" t="str" cm="1">
        <f t="array" ref="B7">CONCATENATE(WORLDCUP!AA5,"-",WORLDCUP!AF5)</f>
        <v>Corea del Sur-República Checa</v>
      </c>
      <c r="C7" s="387" t="str" cm="1">
        <f t="array" ref="C7">CONCATENATE(IF(WORLDCUP!AC5&gt;WORLDCUP!AD5,1,IF(WORLDCUP!AC5&lt;WORLDCUP!AD5,2,IF(AND(WORLDCUP!AC5=WORLDCUP!AD5,WORLDCUP!AC5&lt;&gt;"",WORLDCUP!AD5&lt;&gt;""),"X",0))),"|",WORLDCUP!AC5,"-",WORLDCUP!AD5)</f>
        <v>1|2-1</v>
      </c>
      <c r="D7" s="829"/>
      <c r="E7" s="754"/>
      <c r="F7" s="754"/>
      <c r="G7" s="754"/>
      <c r="H7" s="754"/>
      <c r="I7" s="391"/>
      <c r="J7" s="392"/>
      <c r="K7" s="13"/>
      <c r="L7" s="373"/>
      <c r="M7" s="384"/>
      <c r="N7" s="377"/>
    </row>
    <row r="8" spans="1:14" ht="15" customHeight="1" x14ac:dyDescent="0.2">
      <c r="A8" s="393" t="s">
        <v>342</v>
      </c>
      <c r="B8" s="394" t="str" cm="1">
        <f t="array" ref="B8">CONCATENATE(WORLDCUP!AA12,"-",WORLDCUP!AF12)</f>
        <v>Canadá-Bosnia y Herzegovina</v>
      </c>
      <c r="C8" s="387" t="str" cm="1">
        <f t="array" ref="C8">CONCATENATE(IF(WORLDCUP!AC12&gt;WORLDCUP!AD12,1,IF(WORLDCUP!AC12&lt;WORLDCUP!AD12,2,IF(AND(WORLDCUP!AC12=WORLDCUP!AD12,WORLDCUP!AC12&lt;&gt;"",WORLDCUP!AD12&lt;&gt;""),"X",0))),"|",WORLDCUP!AC12,"-",WORLDCUP!AD12)</f>
        <v>1|1-0</v>
      </c>
      <c r="D8" s="830"/>
      <c r="E8" s="754"/>
      <c r="F8" s="754"/>
      <c r="G8" s="754"/>
      <c r="H8" s="754"/>
      <c r="I8" s="391"/>
      <c r="J8" s="392"/>
      <c r="K8" s="13"/>
      <c r="L8" s="373"/>
      <c r="M8" s="384"/>
      <c r="N8" s="377"/>
    </row>
    <row r="9" spans="1:14" ht="15" customHeight="1" x14ac:dyDescent="0.2">
      <c r="A9" s="393" t="s">
        <v>342</v>
      </c>
      <c r="B9" s="394" t="str" cm="1">
        <f t="array" ref="B9">CONCATENATE(WORLDCUP!AA13,"-",WORLDCUP!AF13)</f>
        <v>Catar-Suiza</v>
      </c>
      <c r="C9" s="395" t="str" cm="1">
        <f t="array" ref="C9">CONCATENATE(IF(WORLDCUP!AC13&gt;WORLDCUP!AD13,1,IF(WORLDCUP!AC13&lt;WORLDCUP!AD13,2,IF(AND(WORLDCUP!AC13=WORLDCUP!AD13,WORLDCUP!AC13&lt;&gt;"",WORLDCUP!AD13&lt;&gt;""),"X",0))),"|",WORLDCUP!AC13,"-",WORLDCUP!AD13)</f>
        <v>X|1-1</v>
      </c>
      <c r="D9" s="754"/>
      <c r="E9" s="754"/>
      <c r="F9" s="754"/>
      <c r="G9" s="754"/>
      <c r="H9" s="754"/>
      <c r="I9" s="391"/>
      <c r="J9" s="392"/>
      <c r="K9" s="13"/>
      <c r="L9" s="373"/>
      <c r="M9" s="384"/>
      <c r="N9" s="377"/>
    </row>
    <row r="10" spans="1:14" ht="15" customHeight="1" x14ac:dyDescent="0.2">
      <c r="A10" s="385" t="s">
        <v>343</v>
      </c>
      <c r="B10" s="386" t="str" cm="1">
        <f t="array" ref="B10">CONCATENATE(WORLDCUP!AA20,"-",WORLDCUP!AF20)</f>
        <v>Brasil-Marruecos</v>
      </c>
      <c r="C10" s="395" t="str" cm="1">
        <f t="array" ref="C10">CONCATENATE(IF(WORLDCUP!AC20&gt;WORLDCUP!AD20,1,IF(WORLDCUP!AC20&lt;WORLDCUP!AD20,2,IF(AND(WORLDCUP!AC20=WORLDCUP!AD20,WORLDCUP!AC20&lt;&gt;"",WORLDCUP!AD20&lt;&gt;""),"X",0))),"|",WORLDCUP!AC20,"-",WORLDCUP!AD20)</f>
        <v>1|2-1</v>
      </c>
      <c r="D10" s="754"/>
      <c r="E10" s="13"/>
      <c r="F10" s="13"/>
      <c r="G10" s="13"/>
      <c r="H10" s="13"/>
      <c r="I10" s="391"/>
      <c r="J10" s="392"/>
      <c r="K10" s="13"/>
      <c r="L10" s="373"/>
      <c r="M10" s="384"/>
      <c r="N10" s="377"/>
    </row>
    <row r="11" spans="1:14" ht="15" customHeight="1" x14ac:dyDescent="0.2">
      <c r="A11" s="385" t="s">
        <v>343</v>
      </c>
      <c r="B11" s="386" t="str" cm="1">
        <f t="array" ref="B11">CONCATENATE(WORLDCUP!AA21,"-",WORLDCUP!AF21)</f>
        <v>Haití-Escocia</v>
      </c>
      <c r="C11" s="395" t="str" cm="1">
        <f t="array" ref="C11">CONCATENATE(IF(WORLDCUP!AC21&gt;WORLDCUP!AD21,1,IF(WORLDCUP!AC21&lt;WORLDCUP!AD21,2,IF(AND(WORLDCUP!AC21=WORLDCUP!AD21,WORLDCUP!AC21&lt;&gt;"",WORLDCUP!AD21&lt;&gt;""),"X",0))),"|",WORLDCUP!AC21,"-",WORLDCUP!AD21)</f>
        <v>2|1-2</v>
      </c>
      <c r="D11" s="754"/>
      <c r="E11" s="13"/>
      <c r="F11" s="13"/>
      <c r="G11" s="13"/>
      <c r="H11" s="13"/>
      <c r="I11" s="391"/>
      <c r="J11" s="392"/>
      <c r="K11" s="13"/>
      <c r="L11" s="373"/>
      <c r="M11" s="384"/>
      <c r="N11" s="377"/>
    </row>
    <row r="12" spans="1:14" ht="15" customHeight="1" x14ac:dyDescent="0.2">
      <c r="A12" s="393" t="s">
        <v>344</v>
      </c>
      <c r="B12" s="394" t="str" cm="1">
        <f t="array" ref="B12">CONCATENATE(WORLDCUP!AA28,"-",WORLDCUP!AF28)</f>
        <v>Estados Unidos-Paraguay</v>
      </c>
      <c r="C12" s="395" t="str" cm="1">
        <f t="array" ref="C12">CONCATENATE(IF(WORLDCUP!AC28&gt;WORLDCUP!AD28,1,IF(WORLDCUP!AC28&lt;WORLDCUP!AD28,2,IF(AND(WORLDCUP!AC28=WORLDCUP!AD28,WORLDCUP!AC28&lt;&gt;"",WORLDCUP!AD28&lt;&gt;""),"X",0))),"|",WORLDCUP!AC28,"-",WORLDCUP!AD28)</f>
        <v>2|1-2</v>
      </c>
      <c r="D12" s="754"/>
      <c r="E12" s="13"/>
      <c r="F12" s="13"/>
      <c r="G12" s="13"/>
      <c r="H12" s="13"/>
      <c r="I12" s="391"/>
      <c r="J12" s="392"/>
      <c r="K12" s="13"/>
      <c r="L12" s="373"/>
      <c r="M12" s="384"/>
      <c r="N12" s="377"/>
    </row>
    <row r="13" spans="1:14" ht="15" customHeight="1" x14ac:dyDescent="0.2">
      <c r="A13" s="393" t="s">
        <v>344</v>
      </c>
      <c r="B13" s="394" t="str" cm="1">
        <f t="array" ref="B13">CONCATENATE(WORLDCUP!AA29,"-",WORLDCUP!AF29)</f>
        <v>Australia-Turquía</v>
      </c>
      <c r="C13" s="395" t="str" cm="1">
        <f t="array" ref="C13">CONCATENATE(IF(WORLDCUP!AC29&gt;WORLDCUP!AD29,1,IF(WORLDCUP!AC29&lt;WORLDCUP!AD29,2,IF(AND(WORLDCUP!AC29=WORLDCUP!AD29,WORLDCUP!AC29&lt;&gt;"",WORLDCUP!AD29&lt;&gt;""),"X",0))),"|",WORLDCUP!AC29,"-",WORLDCUP!AD29)</f>
        <v>2|0-4</v>
      </c>
      <c r="D13" s="754"/>
      <c r="E13" s="13"/>
      <c r="F13" s="13"/>
      <c r="G13" s="13"/>
      <c r="H13" s="13"/>
      <c r="I13" s="391"/>
      <c r="J13" s="392"/>
      <c r="K13" s="13"/>
      <c r="L13" s="373"/>
      <c r="M13" s="384"/>
      <c r="N13" s="377"/>
    </row>
    <row r="14" spans="1:14" ht="15" customHeight="1" x14ac:dyDescent="0.2">
      <c r="A14" s="385" t="s">
        <v>345</v>
      </c>
      <c r="B14" s="386" t="str" cm="1">
        <f t="array" ref="B14">CONCATENATE(WORLDCUP!AA36,"-",WORLDCUP!AF36)</f>
        <v>Alemania-Curazao</v>
      </c>
      <c r="C14" s="395" t="str" cm="1">
        <f t="array" ref="C14">CONCATENATE(IF(WORLDCUP!AC36&gt;WORLDCUP!AD36,1,IF(WORLDCUP!AC36&lt;WORLDCUP!AD36,2,IF(AND(WORLDCUP!AC36=WORLDCUP!AD36,WORLDCUP!AC36&lt;&gt;"",WORLDCUP!AD36&lt;&gt;""),"X",0))),"|",WORLDCUP!AC36,"-",WORLDCUP!AD36)</f>
        <v>1|5-0</v>
      </c>
      <c r="D14" s="754"/>
      <c r="E14" s="13"/>
      <c r="F14" s="13"/>
      <c r="G14" s="13"/>
      <c r="H14" s="13"/>
      <c r="I14" s="391"/>
      <c r="J14" s="392"/>
      <c r="K14" s="13"/>
      <c r="L14" s="373"/>
      <c r="M14" s="384"/>
      <c r="N14" s="377"/>
    </row>
    <row r="15" spans="1:14" ht="15" customHeight="1" x14ac:dyDescent="0.2">
      <c r="A15" s="385" t="s">
        <v>345</v>
      </c>
      <c r="B15" s="386" t="str" cm="1">
        <f t="array" ref="B15">CONCATENATE(WORLDCUP!AA37,"-",WORLDCUP!AF37)</f>
        <v>Costa de Marfil-Ecuador</v>
      </c>
      <c r="C15" s="395" t="str" cm="1">
        <f t="array" ref="C15">CONCATENATE(IF(WORLDCUP!AC37&gt;WORLDCUP!AD37,1,IF(WORLDCUP!AC37&lt;WORLDCUP!AD37,2,IF(AND(WORLDCUP!AC37=WORLDCUP!AD37,WORLDCUP!AC37&lt;&gt;"",WORLDCUP!AD37&lt;&gt;""),"X",0))),"|",WORLDCUP!AC37,"-",WORLDCUP!AD37)</f>
        <v>2|0-4</v>
      </c>
      <c r="D15" s="754"/>
      <c r="E15" s="13"/>
      <c r="F15" s="13"/>
      <c r="G15" s="13"/>
      <c r="H15" s="13"/>
      <c r="I15" s="391"/>
      <c r="J15" s="392"/>
      <c r="K15" s="13"/>
      <c r="L15" s="373"/>
      <c r="M15" s="384"/>
      <c r="N15" s="377"/>
    </row>
    <row r="16" spans="1:14" ht="15" customHeight="1" x14ac:dyDescent="0.2">
      <c r="A16" s="393" t="s">
        <v>346</v>
      </c>
      <c r="B16" s="394" t="str" cm="1">
        <f t="array" ref="B16">CONCATENATE(WORLDCUP!AA44,"-",WORLDCUP!AF44)</f>
        <v>Países Bajos-Japón</v>
      </c>
      <c r="C16" s="395" t="str" cm="1">
        <f t="array" ref="C16">CONCATENATE(IF(WORLDCUP!AC44&gt;WORLDCUP!AD44,1,IF(WORLDCUP!AC44&lt;WORLDCUP!AD44,2,IF(AND(WORLDCUP!AC44=WORLDCUP!AD44,WORLDCUP!AC44&lt;&gt;"",WORLDCUP!AD44&lt;&gt;""),"X",0))),"|",WORLDCUP!AC44,"-",WORLDCUP!AD44)</f>
        <v>1|3-1</v>
      </c>
      <c r="D16" s="754"/>
      <c r="E16" s="13"/>
      <c r="F16" s="13"/>
      <c r="G16" s="13"/>
      <c r="H16" s="13"/>
      <c r="I16" s="391"/>
      <c r="J16" s="392"/>
      <c r="K16" s="13"/>
      <c r="L16" s="373"/>
      <c r="M16" s="384"/>
      <c r="N16" s="377"/>
    </row>
    <row r="17" spans="1:14" ht="15" customHeight="1" x14ac:dyDescent="0.2">
      <c r="A17" s="393" t="s">
        <v>346</v>
      </c>
      <c r="B17" s="394" t="str" cm="1">
        <f t="array" ref="B17">CONCATENATE(WORLDCUP!AA45,"-",WORLDCUP!AF45)</f>
        <v>Suecia-Túnez</v>
      </c>
      <c r="C17" s="395" t="str" cm="1">
        <f t="array" ref="C17">CONCATENATE(IF(WORLDCUP!AC45&gt;WORLDCUP!AD45,1,IF(WORLDCUP!AC45&lt;WORLDCUP!AD45,2,IF(AND(WORLDCUP!AC45=WORLDCUP!AD45,WORLDCUP!AC45&lt;&gt;"",WORLDCUP!AD45&lt;&gt;""),"X",0))),"|",WORLDCUP!AC45,"-",WORLDCUP!AD45)</f>
        <v>1|4-0</v>
      </c>
      <c r="D17" s="754"/>
      <c r="E17" s="13"/>
      <c r="F17" s="13"/>
      <c r="G17" s="13"/>
      <c r="H17" s="13"/>
      <c r="I17" s="391"/>
      <c r="J17" s="392"/>
      <c r="K17" s="13"/>
      <c r="L17" s="373"/>
      <c r="M17" s="384"/>
      <c r="N17" s="377"/>
    </row>
    <row r="18" spans="1:14" ht="15" customHeight="1" x14ac:dyDescent="0.2">
      <c r="A18" s="385" t="s">
        <v>347</v>
      </c>
      <c r="B18" s="386" t="str" cm="1">
        <f t="array" ref="B18">CONCATENATE(WORLDCUP!AA52,"-",WORLDCUP!AF52)</f>
        <v>Bélgica-Egipto</v>
      </c>
      <c r="C18" s="395" t="str" cm="1">
        <f t="array" ref="C18">CONCATENATE(IF(WORLDCUP!AC52&gt;WORLDCUP!AD52,1,IF(WORLDCUP!AC52&lt;WORLDCUP!AD52,2,IF(AND(WORLDCUP!AC52=WORLDCUP!AD52,WORLDCUP!AC52&lt;&gt;"",WORLDCUP!AD52&lt;&gt;""),"X",0))),"|",WORLDCUP!AC52,"-",WORLDCUP!AD52)</f>
        <v>1|2-1</v>
      </c>
      <c r="D18" s="754"/>
      <c r="E18" s="13"/>
      <c r="F18" s="13"/>
      <c r="G18" s="13"/>
      <c r="H18" s="13"/>
      <c r="I18" s="391"/>
      <c r="J18" s="392"/>
      <c r="K18" s="13"/>
      <c r="L18" s="373"/>
      <c r="M18" s="384"/>
      <c r="N18" s="377"/>
    </row>
    <row r="19" spans="1:14" ht="15" customHeight="1" x14ac:dyDescent="0.2">
      <c r="A19" s="385" t="s">
        <v>347</v>
      </c>
      <c r="B19" s="386" t="str" cm="1">
        <f t="array" ref="B19">CONCATENATE(WORLDCUP!AA53,"-",WORLDCUP!AF53)</f>
        <v>Irán-Nueva Zelanda</v>
      </c>
      <c r="C19" s="395" t="str" cm="1">
        <f t="array" ref="C19">CONCATENATE(IF(WORLDCUP!AC53&gt;WORLDCUP!AD53,1,IF(WORLDCUP!AC53&lt;WORLDCUP!AD53,2,IF(AND(WORLDCUP!AC53=WORLDCUP!AD53,WORLDCUP!AC53&lt;&gt;"",WORLDCUP!AD53&lt;&gt;""),"X",0))),"|",WORLDCUP!AC53,"-",WORLDCUP!AD53)</f>
        <v>X|1-1</v>
      </c>
      <c r="D19" s="754"/>
      <c r="E19" s="13"/>
      <c r="F19" s="13"/>
      <c r="G19" s="13"/>
      <c r="H19" s="13"/>
      <c r="I19" s="391"/>
      <c r="J19" s="392"/>
      <c r="K19" s="13"/>
      <c r="L19" s="373"/>
      <c r="M19" s="384"/>
      <c r="N19" s="377"/>
    </row>
    <row r="20" spans="1:14" ht="15" customHeight="1" x14ac:dyDescent="0.2">
      <c r="A20" s="393" t="s">
        <v>348</v>
      </c>
      <c r="B20" s="394" t="str" cm="1">
        <f t="array" ref="B20">CONCATENATE(WORLDCUP!AA60,"-",WORLDCUP!AF60)</f>
        <v>España-Cabo Verde</v>
      </c>
      <c r="C20" s="395" t="str" cm="1">
        <f t="array" ref="C20">CONCATENATE(IF(WORLDCUP!AC60&gt;WORLDCUP!AD60,1,IF(WORLDCUP!AC60&lt;WORLDCUP!AD60,2,IF(AND(WORLDCUP!AC60=WORLDCUP!AD60,WORLDCUP!AC60&lt;&gt;"",WORLDCUP!AD60&lt;&gt;""),"X",0))),"|",WORLDCUP!AC60,"-",WORLDCUP!AD60)</f>
        <v>1|5-0</v>
      </c>
      <c r="D20" s="754"/>
      <c r="E20" s="13"/>
      <c r="F20" s="13"/>
      <c r="G20" s="13"/>
      <c r="H20" s="13"/>
      <c r="I20" s="391"/>
      <c r="J20" s="392"/>
      <c r="K20" s="13"/>
      <c r="L20" s="373"/>
      <c r="M20" s="384"/>
      <c r="N20" s="377"/>
    </row>
    <row r="21" spans="1:14" ht="15" customHeight="1" x14ac:dyDescent="0.2">
      <c r="A21" s="393" t="s">
        <v>348</v>
      </c>
      <c r="B21" s="394" t="str" cm="1">
        <f t="array" ref="B21">CONCATENATE(WORLDCUP!AA61,"-",WORLDCUP!AF61)</f>
        <v>Arabia Saudita-Uruguay</v>
      </c>
      <c r="C21" s="395" t="str" cm="1">
        <f t="array" ref="C21">CONCATENATE(IF(WORLDCUP!AC61&gt;WORLDCUP!AD61,1,IF(WORLDCUP!AC61&lt;WORLDCUP!AD61,2,IF(AND(WORLDCUP!AC61=WORLDCUP!AD61,WORLDCUP!AC61&lt;&gt;"",WORLDCUP!AD61&lt;&gt;""),"X",0))),"|",WORLDCUP!AC61,"-",WORLDCUP!AD61)</f>
        <v>2|1-4</v>
      </c>
      <c r="D21" s="754"/>
      <c r="E21" s="13"/>
      <c r="F21" s="13"/>
      <c r="G21" s="13"/>
      <c r="H21" s="13"/>
      <c r="I21" s="391"/>
      <c r="J21" s="392"/>
      <c r="K21" s="13"/>
      <c r="L21" s="373"/>
      <c r="M21" s="384"/>
      <c r="N21" s="377"/>
    </row>
    <row r="22" spans="1:14" ht="15" customHeight="1" x14ac:dyDescent="0.2">
      <c r="A22" s="385" t="s">
        <v>349</v>
      </c>
      <c r="B22" s="386" t="str" cm="1">
        <f t="array" ref="B22">CONCATENATE(WORLDCUP!AA68,"-",WORLDCUP!AF68)</f>
        <v>Francia-Senegal</v>
      </c>
      <c r="C22" s="395" t="str" cm="1">
        <f t="array" ref="C22">CONCATENATE(IF(WORLDCUP!AC68&gt;WORLDCUP!AD68,1,IF(WORLDCUP!AC68&lt;WORLDCUP!AD68,2,IF(AND(WORLDCUP!AC68=WORLDCUP!AD68,WORLDCUP!AC68&lt;&gt;"",WORLDCUP!AD68&lt;&gt;""),"X",0))),"|",WORLDCUP!AC68,"-",WORLDCUP!AD68)</f>
        <v>1|4-1</v>
      </c>
      <c r="D22" s="754"/>
      <c r="E22" s="13"/>
      <c r="F22" s="13"/>
      <c r="G22" s="13"/>
      <c r="H22" s="13"/>
      <c r="I22" s="391"/>
      <c r="J22" s="392"/>
      <c r="K22" s="13"/>
      <c r="L22" s="373"/>
      <c r="M22" s="384"/>
      <c r="N22" s="377"/>
    </row>
    <row r="23" spans="1:14" ht="15" customHeight="1" x14ac:dyDescent="0.2">
      <c r="A23" s="385" t="s">
        <v>349</v>
      </c>
      <c r="B23" s="386" t="str" cm="1">
        <f t="array" ref="B23">CONCATENATE(WORLDCUP!AA69,"-",WORLDCUP!AF69)</f>
        <v>Irak-Noruega</v>
      </c>
      <c r="C23" s="395" t="str" cm="1">
        <f t="array" ref="C23">CONCATENATE(IF(WORLDCUP!AC69&gt;WORLDCUP!AD69,1,IF(WORLDCUP!AC69&lt;WORLDCUP!AD69,2,IF(AND(WORLDCUP!AC69=WORLDCUP!AD69,WORLDCUP!AC69&lt;&gt;"",WORLDCUP!AD69&lt;&gt;""),"X",0))),"|",WORLDCUP!AC69,"-",WORLDCUP!AD69)</f>
        <v>2|0-1</v>
      </c>
      <c r="D23" s="754"/>
      <c r="E23" s="13"/>
      <c r="F23" s="13"/>
      <c r="G23" s="13"/>
      <c r="H23" s="13"/>
      <c r="I23" s="391"/>
      <c r="J23" s="392"/>
      <c r="K23" s="13"/>
      <c r="L23" s="373"/>
      <c r="M23" s="384"/>
      <c r="N23" s="377"/>
    </row>
    <row r="24" spans="1:14" ht="15" customHeight="1" x14ac:dyDescent="0.2">
      <c r="A24" s="393" t="s">
        <v>47</v>
      </c>
      <c r="B24" s="394" t="str" cm="1">
        <f t="array" ref="B24">CONCATENATE(WORLDCUP!AA76,"-",WORLDCUP!AF76)</f>
        <v>Argentina-Argelia</v>
      </c>
      <c r="C24" s="395" t="str" cm="1">
        <f t="array" ref="C24">CONCATENATE(IF(WORLDCUP!AC76&gt;WORLDCUP!AD76,1,IF(WORLDCUP!AC76&lt;WORLDCUP!AD76,2,IF(AND(WORLDCUP!AC76=WORLDCUP!AD76,WORLDCUP!AC76&lt;&gt;"",WORLDCUP!AD76&lt;&gt;""),"X",0))),"|",WORLDCUP!AC76,"-",WORLDCUP!AD76)</f>
        <v>1|5-1</v>
      </c>
      <c r="D24" s="754"/>
      <c r="E24" s="13"/>
      <c r="F24" s="13"/>
      <c r="G24" s="13"/>
      <c r="H24" s="13"/>
      <c r="I24" s="391"/>
      <c r="J24" s="392"/>
      <c r="K24" s="13"/>
      <c r="L24" s="373"/>
      <c r="M24" s="384"/>
      <c r="N24" s="377"/>
    </row>
    <row r="25" spans="1:14" ht="15" customHeight="1" x14ac:dyDescent="0.2">
      <c r="A25" s="393" t="s">
        <v>47</v>
      </c>
      <c r="B25" s="394" t="str" cm="1">
        <f t="array" ref="B25">CONCATENATE(WORLDCUP!AA77,"-",WORLDCUP!AF77)</f>
        <v>Austria-Jordania</v>
      </c>
      <c r="C25" s="395" t="str" cm="1">
        <f t="array" ref="C25">CONCATENATE(IF(WORLDCUP!AC77&gt;WORLDCUP!AD77,1,IF(WORLDCUP!AC77&lt;WORLDCUP!AD77,2,IF(AND(WORLDCUP!AC77=WORLDCUP!AD77,WORLDCUP!AC77&lt;&gt;"",WORLDCUP!AD77&lt;&gt;""),"X",0))),"|",WORLDCUP!AC77,"-",WORLDCUP!AD77)</f>
        <v>1|2-0</v>
      </c>
      <c r="D25" s="754"/>
      <c r="E25" s="13"/>
      <c r="F25" s="13"/>
      <c r="G25" s="13"/>
      <c r="H25" s="13"/>
      <c r="I25" s="391"/>
      <c r="J25" s="392"/>
      <c r="K25" s="13"/>
      <c r="L25" s="373"/>
      <c r="M25" s="384"/>
      <c r="N25" s="377"/>
    </row>
    <row r="26" spans="1:14" ht="15" customHeight="1" x14ac:dyDescent="0.2">
      <c r="A26" s="385" t="s">
        <v>350</v>
      </c>
      <c r="B26" s="386" t="str" cm="1">
        <f t="array" ref="B26">CONCATENATE(WORLDCUP!AA84,"-",WORLDCUP!AF84)</f>
        <v>Portugal-RD Congo</v>
      </c>
      <c r="C26" s="395" t="str" cm="1">
        <f t="array" ref="C26">CONCATENATE(IF(WORLDCUP!AC84&gt;WORLDCUP!AD84,1,IF(WORLDCUP!AC84&lt;WORLDCUP!AD84,2,IF(AND(WORLDCUP!AC84=WORLDCUP!AD84,WORLDCUP!AC84&lt;&gt;"",WORLDCUP!AD84&lt;&gt;""),"X",0))),"|",WORLDCUP!AC84,"-",WORLDCUP!AD84)</f>
        <v>1|3-0</v>
      </c>
      <c r="D26" s="754"/>
      <c r="E26" s="13"/>
      <c r="F26" s="13"/>
      <c r="G26" s="13"/>
      <c r="H26" s="13"/>
      <c r="I26" s="391"/>
      <c r="J26" s="392"/>
      <c r="K26" s="13"/>
      <c r="L26" s="373"/>
      <c r="M26" s="384"/>
      <c r="N26" s="377"/>
    </row>
    <row r="27" spans="1:14" ht="15" customHeight="1" x14ac:dyDescent="0.2">
      <c r="A27" s="385" t="s">
        <v>350</v>
      </c>
      <c r="B27" s="386" t="str" cm="1">
        <f t="array" ref="B27">CONCATENATE(WORLDCUP!AA85,"-",WORLDCUP!AF85)</f>
        <v>Uzbekistán-Colombia</v>
      </c>
      <c r="C27" s="395" t="str" cm="1">
        <f t="array" ref="C27">CONCATENATE(IF(WORLDCUP!AC85&gt;WORLDCUP!AD85,1,IF(WORLDCUP!AC85&lt;WORLDCUP!AD85,2,IF(AND(WORLDCUP!AC85=WORLDCUP!AD85,WORLDCUP!AC85&lt;&gt;"",WORLDCUP!AD85&lt;&gt;""),"X",0))),"|",WORLDCUP!AC85,"-",WORLDCUP!AD85)</f>
        <v>2|0-2</v>
      </c>
      <c r="D27" s="754"/>
      <c r="E27" s="13"/>
      <c r="F27" s="13"/>
      <c r="G27" s="13"/>
      <c r="H27" s="13"/>
      <c r="I27" s="391"/>
      <c r="J27" s="392"/>
      <c r="K27" s="13"/>
      <c r="L27" s="373"/>
      <c r="M27" s="384"/>
      <c r="N27" s="377"/>
    </row>
    <row r="28" spans="1:14" ht="15" customHeight="1" x14ac:dyDescent="0.2">
      <c r="A28" s="393" t="s">
        <v>351</v>
      </c>
      <c r="B28" s="394" t="str" cm="1">
        <f t="array" ref="B28">CONCATENATE(WORLDCUP!AA92,"-",WORLDCUP!AF92)</f>
        <v>Inglaterra-Croacia</v>
      </c>
      <c r="C28" s="395" t="str" cm="1">
        <f t="array" ref="C28">CONCATENATE(IF(WORLDCUP!AC92&gt;WORLDCUP!AD92,1,IF(WORLDCUP!AC92&lt;WORLDCUP!AD92,2,IF(AND(WORLDCUP!AC92=WORLDCUP!AD92,WORLDCUP!AC92&lt;&gt;"",WORLDCUP!AD92&lt;&gt;""),"X",0))),"|",WORLDCUP!AC92,"-",WORLDCUP!AD92)</f>
        <v>X|1-1</v>
      </c>
      <c r="D28" s="754"/>
      <c r="E28" s="13"/>
      <c r="F28" s="13"/>
      <c r="G28" s="13"/>
      <c r="H28" s="13"/>
      <c r="I28" s="391"/>
      <c r="J28" s="392"/>
      <c r="K28" s="13"/>
      <c r="L28" s="373"/>
      <c r="M28" s="384"/>
      <c r="N28" s="377"/>
    </row>
    <row r="29" spans="1:14" ht="15" customHeight="1" x14ac:dyDescent="0.2">
      <c r="A29" s="393" t="s">
        <v>351</v>
      </c>
      <c r="B29" s="394" t="str" cm="1">
        <f t="array" ref="B29">CONCATENATE(WORLDCUP!AA93,"-",WORLDCUP!AF93)</f>
        <v>Ghana-Panamá</v>
      </c>
      <c r="C29" s="395" t="str" cm="1">
        <f t="array" ref="C29">CONCATENATE(IF(WORLDCUP!AC93&gt;WORLDCUP!AD93,1,IF(WORLDCUP!AC93&lt;WORLDCUP!AD93,2,IF(AND(WORLDCUP!AC93=WORLDCUP!AD93,WORLDCUP!AC93&lt;&gt;"",WORLDCUP!AD93&lt;&gt;""),"X",0))),"|",WORLDCUP!AC93,"-",WORLDCUP!AD93)</f>
        <v>2|0-1</v>
      </c>
      <c r="D29" s="813"/>
      <c r="E29" s="372"/>
      <c r="F29" s="372"/>
      <c r="G29" s="372"/>
      <c r="H29" s="372"/>
      <c r="I29" s="396"/>
      <c r="J29" s="392"/>
      <c r="K29" s="13"/>
      <c r="L29" s="373"/>
      <c r="M29" s="384"/>
      <c r="N29" s="377"/>
    </row>
    <row r="30" spans="1:14" ht="15" customHeight="1" x14ac:dyDescent="0.2">
      <c r="A30" s="385" t="s">
        <v>352</v>
      </c>
      <c r="B30" s="386" t="str" cm="1">
        <f t="array" ref="B30">CONCATENATE(WORLDCUP!AA6,"-",WORLDCUP!AF6)</f>
        <v>República Checa-Sudáfrica</v>
      </c>
      <c r="C30" s="395" t="str" cm="1">
        <f t="array" ref="C30">CONCATENATE(IF(WORLDCUP!AC6&gt;WORLDCUP!AD6,1,IF(WORLDCUP!AC6&lt;WORLDCUP!AD6,2,IF(AND(WORLDCUP!AC6=WORLDCUP!AD6,WORLDCUP!AC6&lt;&gt;"",WORLDCUP!AD6&lt;&gt;""),"X",0))),"|",WORLDCUP!AC6,"-",WORLDCUP!AD6)</f>
        <v>1|2-1</v>
      </c>
      <c r="D30" s="818" t="s">
        <v>112</v>
      </c>
      <c r="E30" s="814" t="s">
        <v>353</v>
      </c>
      <c r="F30" s="812"/>
      <c r="G30" s="812"/>
      <c r="H30" s="812"/>
      <c r="I30" s="389"/>
      <c r="J30" s="392"/>
      <c r="K30" s="13"/>
      <c r="L30" s="373"/>
      <c r="M30" s="384"/>
      <c r="N30" s="377"/>
    </row>
    <row r="31" spans="1:14" ht="15" customHeight="1" x14ac:dyDescent="0.2">
      <c r="A31" s="385" t="s">
        <v>352</v>
      </c>
      <c r="B31" s="386" t="str" cm="1">
        <f t="array" ref="B31">CONCATENATE(WORLDCUP!AA7,"-",WORLDCUP!AF7)</f>
        <v>México-Corea del Sur</v>
      </c>
      <c r="C31" s="395" t="str" cm="1">
        <f t="array" ref="C31">CONCATENATE(IF(WORLDCUP!AC7&gt;WORLDCUP!AD7,1,IF(WORLDCUP!AC7&lt;WORLDCUP!AD7,2,IF(AND(WORLDCUP!AC7=WORLDCUP!AD7,WORLDCUP!AC7&lt;&gt;"",WORLDCUP!AD7&lt;&gt;""),"X",0))),"|",WORLDCUP!AC7,"-",WORLDCUP!AD7)</f>
        <v>1|2-1</v>
      </c>
      <c r="D31" s="812"/>
      <c r="E31" s="754"/>
      <c r="F31" s="754"/>
      <c r="G31" s="754"/>
      <c r="H31" s="754"/>
      <c r="I31" s="391"/>
      <c r="J31" s="392"/>
      <c r="K31" s="13"/>
      <c r="L31" s="373"/>
      <c r="M31" s="384"/>
      <c r="N31" s="377"/>
    </row>
    <row r="32" spans="1:14" ht="15" customHeight="1" x14ac:dyDescent="0.2">
      <c r="A32" s="393" t="s">
        <v>354</v>
      </c>
      <c r="B32" s="394" t="str" cm="1">
        <f t="array" ref="B32">CONCATENATE(WORLDCUP!AA14,"-",WORLDCUP!AF14)</f>
        <v>Suiza-Bosnia y Herzegovina</v>
      </c>
      <c r="C32" s="395" t="str" cm="1">
        <f t="array" ref="C32">CONCATENATE(IF(WORLDCUP!AC14&gt;WORLDCUP!AD14,1,IF(WORLDCUP!AC14&lt;WORLDCUP!AD14,2,IF(AND(WORLDCUP!AC14=WORLDCUP!AD14,WORLDCUP!AC14&lt;&gt;"",WORLDCUP!AD14&lt;&gt;""),"X",0))),"|",WORLDCUP!AC14,"-",WORLDCUP!AD14)</f>
        <v>1|3-1</v>
      </c>
      <c r="D32" s="754"/>
      <c r="E32" s="754"/>
      <c r="F32" s="754"/>
      <c r="G32" s="754"/>
      <c r="H32" s="754"/>
      <c r="I32" s="391"/>
      <c r="J32" s="392"/>
      <c r="K32" s="13"/>
      <c r="L32" s="373"/>
      <c r="M32" s="384"/>
      <c r="N32" s="377"/>
    </row>
    <row r="33" spans="1:14" ht="15" customHeight="1" x14ac:dyDescent="0.2">
      <c r="A33" s="393" t="s">
        <v>354</v>
      </c>
      <c r="B33" s="394" t="str" cm="1">
        <f t="array" ref="B33">CONCATENATE(WORLDCUP!AA15,"-",WORLDCUP!AF15)</f>
        <v>Canadá-Catar</v>
      </c>
      <c r="C33" s="395" t="str" cm="1">
        <f t="array" ref="C33">CONCATENATE(IF(WORLDCUP!AC15&gt;WORLDCUP!AD15,1,IF(WORLDCUP!AC15&lt;WORLDCUP!AD15,2,IF(AND(WORLDCUP!AC15=WORLDCUP!AD15,WORLDCUP!AC15&lt;&gt;"",WORLDCUP!AD15&lt;&gt;""),"X",0))),"|",WORLDCUP!AC15,"-",WORLDCUP!AD15)</f>
        <v>1|2-1</v>
      </c>
      <c r="D33" s="754"/>
      <c r="E33" s="754"/>
      <c r="F33" s="754"/>
      <c r="G33" s="754"/>
      <c r="H33" s="754"/>
      <c r="I33" s="391"/>
      <c r="J33" s="392"/>
      <c r="K33" s="13"/>
      <c r="L33" s="373"/>
      <c r="M33" s="384"/>
      <c r="N33" s="377"/>
    </row>
    <row r="34" spans="1:14" ht="15" customHeight="1" x14ac:dyDescent="0.2">
      <c r="A34" s="385" t="s">
        <v>355</v>
      </c>
      <c r="B34" s="386" t="str" cm="1">
        <f t="array" ref="B34">CONCATENATE(WORLDCUP!AA22,"-",WORLDCUP!AF22)</f>
        <v>Escocia-Marruecos</v>
      </c>
      <c r="C34" s="395" t="str" cm="1">
        <f t="array" ref="C34">CONCATENATE(IF(WORLDCUP!AC22&gt;WORLDCUP!AD22,1,IF(WORLDCUP!AC22&lt;WORLDCUP!AD22,2,IF(AND(WORLDCUP!AC22=WORLDCUP!AD22,WORLDCUP!AC22&lt;&gt;"",WORLDCUP!AD22&lt;&gt;""),"X",0))),"|",WORLDCUP!AC22,"-",WORLDCUP!AD22)</f>
        <v>2|0-3</v>
      </c>
      <c r="D34" s="754"/>
      <c r="E34" s="13"/>
      <c r="F34" s="13"/>
      <c r="G34" s="13"/>
      <c r="H34" s="13"/>
      <c r="I34" s="391"/>
      <c r="J34" s="392"/>
      <c r="K34" s="13"/>
      <c r="L34" s="373"/>
      <c r="M34" s="384"/>
      <c r="N34" s="377"/>
    </row>
    <row r="35" spans="1:14" ht="15" customHeight="1" x14ac:dyDescent="0.2">
      <c r="A35" s="385" t="s">
        <v>355</v>
      </c>
      <c r="B35" s="386" t="str" cm="1">
        <f t="array" ref="B35">CONCATENATE(WORLDCUP!AA23,"-",WORLDCUP!AF23)</f>
        <v>Brasil-Haití</v>
      </c>
      <c r="C35" s="395" t="str" cm="1">
        <f t="array" ref="C35">CONCATENATE(IF(WORLDCUP!AC23&gt;WORLDCUP!AD23,1,IF(WORLDCUP!AC23&lt;WORLDCUP!AD23,2,IF(AND(WORLDCUP!AC23=WORLDCUP!AD23,WORLDCUP!AC23&lt;&gt;"",WORLDCUP!AD23&lt;&gt;""),"X",0))),"|",WORLDCUP!AC23,"-",WORLDCUP!AD23)</f>
        <v>1|5-0</v>
      </c>
      <c r="D35" s="754"/>
      <c r="E35" s="13"/>
      <c r="F35" s="13"/>
      <c r="G35" s="13"/>
      <c r="H35" s="13"/>
      <c r="I35" s="391"/>
      <c r="J35" s="392"/>
      <c r="K35" s="13"/>
      <c r="L35" s="373"/>
      <c r="M35" s="384"/>
      <c r="N35" s="377"/>
    </row>
    <row r="36" spans="1:14" ht="15" customHeight="1" x14ac:dyDescent="0.2">
      <c r="A36" s="393" t="s">
        <v>356</v>
      </c>
      <c r="B36" s="394" t="str" cm="1">
        <f t="array" ref="B36">CONCATENATE(WORLDCUP!AA30,"-",WORLDCUP!AF30)</f>
        <v>Estados Unidos-Australia</v>
      </c>
      <c r="C36" s="395" t="str" cm="1">
        <f t="array" ref="C36">CONCATENATE(IF(WORLDCUP!AC30&gt;WORLDCUP!AD30,1,IF(WORLDCUP!AC30&lt;WORLDCUP!AD30,2,IF(AND(WORLDCUP!AC30=WORLDCUP!AD30,WORLDCUP!AC30&lt;&gt;"",WORLDCUP!AD30&lt;&gt;""),"X",0))),"|",WORLDCUP!AC30,"-",WORLDCUP!AD30)</f>
        <v>1|2-1</v>
      </c>
      <c r="D36" s="754"/>
      <c r="E36" s="13"/>
      <c r="F36" s="13"/>
      <c r="G36" s="13"/>
      <c r="H36" s="13"/>
      <c r="I36" s="391"/>
      <c r="J36" s="392"/>
      <c r="K36" s="13"/>
      <c r="L36" s="373"/>
      <c r="M36" s="384"/>
      <c r="N36" s="377"/>
    </row>
    <row r="37" spans="1:14" ht="15" customHeight="1" x14ac:dyDescent="0.2">
      <c r="A37" s="393" t="s">
        <v>356</v>
      </c>
      <c r="B37" s="394" t="str" cm="1">
        <f t="array" ref="B37">CONCATENATE(WORLDCUP!AA31,"-",WORLDCUP!AF31)</f>
        <v>Turquía-Paraguay</v>
      </c>
      <c r="C37" s="395" t="str" cm="1">
        <f t="array" ref="C37">CONCATENATE(IF(WORLDCUP!AC31&gt;WORLDCUP!AD31,1,IF(WORLDCUP!AC31&lt;WORLDCUP!AD31,2,IF(AND(WORLDCUP!AC31=WORLDCUP!AD31,WORLDCUP!AC31&lt;&gt;"",WORLDCUP!AD31&lt;&gt;""),"X",0))),"|",WORLDCUP!AC31,"-",WORLDCUP!AD31)</f>
        <v>X|1-1</v>
      </c>
      <c r="D37" s="754"/>
      <c r="E37" s="13"/>
      <c r="F37" s="13"/>
      <c r="G37" s="13"/>
      <c r="H37" s="13"/>
      <c r="I37" s="391"/>
      <c r="J37" s="392"/>
      <c r="K37" s="13"/>
      <c r="L37" s="373"/>
      <c r="M37" s="384"/>
      <c r="N37" s="377"/>
    </row>
    <row r="38" spans="1:14" ht="15" customHeight="1" x14ac:dyDescent="0.2">
      <c r="A38" s="385" t="s">
        <v>357</v>
      </c>
      <c r="B38" s="386" t="str" cm="1">
        <f t="array" ref="B38">CONCATENATE(WORLDCUP!AA38,"-",WORLDCUP!AF38)</f>
        <v>Alemania-Costa de Marfil</v>
      </c>
      <c r="C38" s="395" t="str" cm="1">
        <f t="array" ref="C38">CONCATENATE(IF(WORLDCUP!AC38&gt;WORLDCUP!AD38,1,IF(WORLDCUP!AC38&lt;WORLDCUP!AD38,2,IF(AND(WORLDCUP!AC38=WORLDCUP!AD38,WORLDCUP!AC38&lt;&gt;"",WORLDCUP!AD38&lt;&gt;""),"X",0))),"|",WORLDCUP!AC38,"-",WORLDCUP!AD38)</f>
        <v>1|3-1</v>
      </c>
      <c r="D38" s="754"/>
      <c r="E38" s="13"/>
      <c r="F38" s="13"/>
      <c r="G38" s="13"/>
      <c r="H38" s="13"/>
      <c r="I38" s="391"/>
      <c r="J38" s="392"/>
      <c r="K38" s="13"/>
      <c r="L38" s="373"/>
      <c r="M38" s="384"/>
      <c r="N38" s="377"/>
    </row>
    <row r="39" spans="1:14" ht="15" customHeight="1" x14ac:dyDescent="0.2">
      <c r="A39" s="385" t="s">
        <v>357</v>
      </c>
      <c r="B39" s="386" t="str" cm="1">
        <f t="array" ref="B39">CONCATENATE(WORLDCUP!AA39,"-",WORLDCUP!AF39)</f>
        <v>Ecuador-Curazao</v>
      </c>
      <c r="C39" s="395" t="str" cm="1">
        <f t="array" ref="C39">CONCATENATE(IF(WORLDCUP!AC39&gt;WORLDCUP!AD39,1,IF(WORLDCUP!AC39&lt;WORLDCUP!AD39,2,IF(AND(WORLDCUP!AC39=WORLDCUP!AD39,WORLDCUP!AC39&lt;&gt;"",WORLDCUP!AD39&lt;&gt;""),"X",0))),"|",WORLDCUP!AC39,"-",WORLDCUP!AD39)</f>
        <v>1|3-0</v>
      </c>
      <c r="D39" s="754"/>
      <c r="E39" s="13"/>
      <c r="F39" s="13"/>
      <c r="G39" s="13"/>
      <c r="H39" s="13"/>
      <c r="I39" s="391"/>
      <c r="J39" s="392"/>
      <c r="K39" s="13"/>
      <c r="L39" s="373"/>
      <c r="M39" s="384"/>
      <c r="N39" s="377"/>
    </row>
    <row r="40" spans="1:14" ht="15" customHeight="1" x14ac:dyDescent="0.2">
      <c r="A40" s="393" t="s">
        <v>358</v>
      </c>
      <c r="B40" s="394" t="str" cm="1">
        <f t="array" ref="B40">CONCATENATE(WORLDCUP!AA46,"-",WORLDCUP!AF46)</f>
        <v>Países Bajos-Suecia</v>
      </c>
      <c r="C40" s="395" t="str" cm="1">
        <f t="array" ref="C40">CONCATENATE(IF(WORLDCUP!AC46&gt;WORLDCUP!AD46,1,IF(WORLDCUP!AC46&lt;WORLDCUP!AD46,2,IF(AND(WORLDCUP!AC46=WORLDCUP!AD46,WORLDCUP!AC46&lt;&gt;"",WORLDCUP!AD46&lt;&gt;""),"X",0))),"|",WORLDCUP!AC46,"-",WORLDCUP!AD46)</f>
        <v>1|2-1</v>
      </c>
      <c r="D40" s="754"/>
      <c r="E40" s="13"/>
      <c r="F40" s="13"/>
      <c r="G40" s="13"/>
      <c r="H40" s="13"/>
      <c r="I40" s="391"/>
      <c r="J40" s="392"/>
      <c r="K40" s="13"/>
      <c r="L40" s="373"/>
      <c r="M40" s="384"/>
      <c r="N40" s="377"/>
    </row>
    <row r="41" spans="1:14" ht="15" customHeight="1" x14ac:dyDescent="0.2">
      <c r="A41" s="393" t="s">
        <v>358</v>
      </c>
      <c r="B41" s="394" t="str" cm="1">
        <f t="array" ref="B41">CONCATENATE(WORLDCUP!AA47,"-",WORLDCUP!AF47)</f>
        <v>Túnez-Japón</v>
      </c>
      <c r="C41" s="395" t="str" cm="1">
        <f t="array" ref="C41">CONCATENATE(IF(WORLDCUP!AC47&gt;WORLDCUP!AD47,1,IF(WORLDCUP!AC47&lt;WORLDCUP!AD47,2,IF(AND(WORLDCUP!AC47=WORLDCUP!AD47,WORLDCUP!AC47&lt;&gt;"",WORLDCUP!AD47&lt;&gt;""),"X",0))),"|",WORLDCUP!AC47,"-",WORLDCUP!AD47)</f>
        <v>2|0-3</v>
      </c>
      <c r="D41" s="754"/>
      <c r="E41" s="13"/>
      <c r="F41" s="13"/>
      <c r="G41" s="13"/>
      <c r="H41" s="13"/>
      <c r="I41" s="391"/>
      <c r="J41" s="392"/>
      <c r="K41" s="13"/>
      <c r="L41" s="373"/>
      <c r="M41" s="384"/>
      <c r="N41" s="377"/>
    </row>
    <row r="42" spans="1:14" ht="15" customHeight="1" x14ac:dyDescent="0.2">
      <c r="A42" s="385" t="s">
        <v>359</v>
      </c>
      <c r="B42" s="386" t="str" cm="1">
        <f t="array" ref="B42">CONCATENATE(WORLDCUP!AA54,"-",WORLDCUP!AF54)</f>
        <v>Bélgica-Irán</v>
      </c>
      <c r="C42" s="395" t="str" cm="1">
        <f t="array" ref="C42">CONCATENATE(IF(WORLDCUP!AC54&gt;WORLDCUP!AD54,1,IF(WORLDCUP!AC54&lt;WORLDCUP!AD54,2,IF(AND(WORLDCUP!AC54=WORLDCUP!AD54,WORLDCUP!AC54&lt;&gt;"",WORLDCUP!AD54&lt;&gt;""),"X",0))),"|",WORLDCUP!AC54,"-",WORLDCUP!AD54)</f>
        <v>1|4-0</v>
      </c>
      <c r="D42" s="754"/>
      <c r="E42" s="13"/>
      <c r="F42" s="13"/>
      <c r="G42" s="13"/>
      <c r="H42" s="13"/>
      <c r="I42" s="391"/>
      <c r="J42" s="392"/>
      <c r="K42" s="13"/>
      <c r="L42" s="373"/>
      <c r="M42" s="384"/>
      <c r="N42" s="377"/>
    </row>
    <row r="43" spans="1:14" ht="15" customHeight="1" x14ac:dyDescent="0.2">
      <c r="A43" s="385" t="s">
        <v>359</v>
      </c>
      <c r="B43" s="386" t="str" cm="1">
        <f t="array" ref="B43">CONCATENATE(WORLDCUP!AA55,"-",WORLDCUP!AF55)</f>
        <v>Nueva Zelanda-Egipto</v>
      </c>
      <c r="C43" s="395" t="str" cm="1">
        <f t="array" ref="C43">CONCATENATE(IF(WORLDCUP!AC55&gt;WORLDCUP!AD55,1,IF(WORLDCUP!AC55&lt;WORLDCUP!AD55,2,IF(AND(WORLDCUP!AC55=WORLDCUP!AD55,WORLDCUP!AC55&lt;&gt;"",WORLDCUP!AD55&lt;&gt;""),"X",0))),"|",WORLDCUP!AC55,"-",WORLDCUP!AD55)</f>
        <v>2|0-3</v>
      </c>
      <c r="D43" s="754"/>
      <c r="E43" s="13"/>
      <c r="F43" s="13"/>
      <c r="G43" s="13"/>
      <c r="H43" s="13"/>
      <c r="I43" s="391"/>
      <c r="J43" s="392"/>
      <c r="K43" s="13"/>
      <c r="L43" s="373"/>
      <c r="M43" s="384"/>
      <c r="N43" s="377"/>
    </row>
    <row r="44" spans="1:14" ht="15" customHeight="1" x14ac:dyDescent="0.2">
      <c r="A44" s="393" t="s">
        <v>360</v>
      </c>
      <c r="B44" s="394" t="str" cm="1">
        <f t="array" ref="B44">CONCATENATE(WORLDCUP!AA62,"-",WORLDCUP!AF62)</f>
        <v>España-Arabia Saudita</v>
      </c>
      <c r="C44" s="395" t="str" cm="1">
        <f t="array" ref="C44">CONCATENATE(IF(WORLDCUP!AC62&gt;WORLDCUP!AD62,1,IF(WORLDCUP!AC62&lt;WORLDCUP!AD62,2,IF(AND(WORLDCUP!AC62=WORLDCUP!AD62,WORLDCUP!AC62&lt;&gt;"",WORLDCUP!AD62&lt;&gt;""),"X",0))),"|",WORLDCUP!AC62,"-",WORLDCUP!AD62)</f>
        <v>1|3-0</v>
      </c>
      <c r="D44" s="754"/>
      <c r="E44" s="13"/>
      <c r="F44" s="13"/>
      <c r="G44" s="13"/>
      <c r="H44" s="13"/>
      <c r="I44" s="391"/>
      <c r="J44" s="392"/>
      <c r="K44" s="13"/>
      <c r="L44" s="373"/>
      <c r="M44" s="384"/>
      <c r="N44" s="377"/>
    </row>
    <row r="45" spans="1:14" ht="15" customHeight="1" x14ac:dyDescent="0.2">
      <c r="A45" s="393" t="s">
        <v>360</v>
      </c>
      <c r="B45" s="394" t="str" cm="1">
        <f t="array" ref="B45">CONCATENATE(WORLDCUP!AA63,"-",WORLDCUP!AF63)</f>
        <v>Uruguay-Cabo Verde</v>
      </c>
      <c r="C45" s="395" t="str" cm="1">
        <f t="array" ref="C45">CONCATENATE(IF(WORLDCUP!AC63&gt;WORLDCUP!AD63,1,IF(WORLDCUP!AC63&lt;WORLDCUP!AD63,2,IF(AND(WORLDCUP!AC63=WORLDCUP!AD63,WORLDCUP!AC63&lt;&gt;"",WORLDCUP!AD63&lt;&gt;""),"X",0))),"|",WORLDCUP!AC63,"-",WORLDCUP!AD63)</f>
        <v>1|3-0</v>
      </c>
      <c r="D45" s="754"/>
      <c r="E45" s="13"/>
      <c r="F45" s="13"/>
      <c r="G45" s="13"/>
      <c r="H45" s="13"/>
      <c r="I45" s="391"/>
      <c r="J45" s="392"/>
      <c r="K45" s="13"/>
      <c r="L45" s="373"/>
      <c r="M45" s="384"/>
      <c r="N45" s="377"/>
    </row>
    <row r="46" spans="1:14" ht="15" customHeight="1" x14ac:dyDescent="0.2">
      <c r="A46" s="385" t="s">
        <v>361</v>
      </c>
      <c r="B46" s="386" t="str" cm="1">
        <f t="array" ref="B46">CONCATENATE(WORLDCUP!AA70,"-",WORLDCUP!AF70)</f>
        <v>Francia-Irak</v>
      </c>
      <c r="C46" s="395" t="str" cm="1">
        <f t="array" ref="C46">CONCATENATE(IF(WORLDCUP!AC70&gt;WORLDCUP!AD70,1,IF(WORLDCUP!AC70&lt;WORLDCUP!AD70,2,IF(AND(WORLDCUP!AC70=WORLDCUP!AD70,WORLDCUP!AC70&lt;&gt;"",WORLDCUP!AD70&lt;&gt;""),"X",0))),"|",WORLDCUP!AC70,"-",WORLDCUP!AD70)</f>
        <v>1|5-0</v>
      </c>
      <c r="D46" s="754"/>
      <c r="E46" s="13"/>
      <c r="F46" s="13"/>
      <c r="G46" s="13"/>
      <c r="H46" s="13"/>
      <c r="I46" s="391"/>
      <c r="J46" s="392"/>
      <c r="K46" s="13"/>
      <c r="L46" s="373"/>
      <c r="M46" s="384"/>
      <c r="N46" s="377"/>
    </row>
    <row r="47" spans="1:14" ht="15" customHeight="1" x14ac:dyDescent="0.2">
      <c r="A47" s="385" t="s">
        <v>361</v>
      </c>
      <c r="B47" s="386" t="str" cm="1">
        <f t="array" ref="B47">CONCATENATE(WORLDCUP!AA71,"-",WORLDCUP!AF71)</f>
        <v>Noruega-Senegal</v>
      </c>
      <c r="C47" s="395" t="str" cm="1">
        <f t="array" ref="C47">CONCATENATE(IF(WORLDCUP!AC71&gt;WORLDCUP!AD71,1,IF(WORLDCUP!AC71&lt;WORLDCUP!AD71,2,IF(AND(WORLDCUP!AC71=WORLDCUP!AD71,WORLDCUP!AC71&lt;&gt;"",WORLDCUP!AD71&lt;&gt;""),"X",0))),"|",WORLDCUP!AC71,"-",WORLDCUP!AD71)</f>
        <v>1|2-1</v>
      </c>
      <c r="D47" s="754"/>
      <c r="E47" s="13"/>
      <c r="F47" s="13"/>
      <c r="G47" s="13"/>
      <c r="H47" s="13"/>
      <c r="I47" s="391"/>
      <c r="J47" s="392"/>
      <c r="K47" s="13"/>
      <c r="L47" s="373"/>
      <c r="M47" s="384"/>
      <c r="N47" s="377"/>
    </row>
    <row r="48" spans="1:14" ht="15" customHeight="1" x14ac:dyDescent="0.2">
      <c r="A48" s="393" t="s">
        <v>112</v>
      </c>
      <c r="B48" s="394" t="str" cm="1">
        <f t="array" ref="B48">CONCATENATE(WORLDCUP!AA78,"-",WORLDCUP!AF78)</f>
        <v>Argentina-Austria</v>
      </c>
      <c r="C48" s="395" t="str" cm="1">
        <f t="array" ref="C48">CONCATENATE(IF(WORLDCUP!AC78&gt;WORLDCUP!AD78,1,IF(WORLDCUP!AC78&lt;WORLDCUP!AD78,2,IF(AND(WORLDCUP!AC78=WORLDCUP!AD78,WORLDCUP!AC78&lt;&gt;"",WORLDCUP!AD78&lt;&gt;""),"X",0))),"|",WORLDCUP!AC78,"-",WORLDCUP!AD78)</f>
        <v>1|3-1</v>
      </c>
      <c r="D48" s="754"/>
      <c r="E48" s="13"/>
      <c r="F48" s="13"/>
      <c r="G48" s="13"/>
      <c r="H48" s="13"/>
      <c r="I48" s="391"/>
      <c r="J48" s="392"/>
      <c r="K48" s="13"/>
      <c r="L48" s="373"/>
      <c r="M48" s="384"/>
      <c r="N48" s="377"/>
    </row>
    <row r="49" spans="1:14" ht="15" customHeight="1" x14ac:dyDescent="0.2">
      <c r="A49" s="393" t="s">
        <v>112</v>
      </c>
      <c r="B49" s="394" t="str" cm="1">
        <f t="array" ref="B49">CONCATENATE(WORLDCUP!AA79,"-",WORLDCUP!AF79)</f>
        <v>Jordania-Argelia</v>
      </c>
      <c r="C49" s="395" t="str" cm="1">
        <f t="array" ref="C49">CONCATENATE(IF(WORLDCUP!AC79&gt;WORLDCUP!AD79,1,IF(WORLDCUP!AC79&lt;WORLDCUP!AD79,2,IF(AND(WORLDCUP!AC79=WORLDCUP!AD79,WORLDCUP!AC79&lt;&gt;"",WORLDCUP!AD79&lt;&gt;""),"X",0))),"|",WORLDCUP!AC79,"-",WORLDCUP!AD79)</f>
        <v>2|0-1</v>
      </c>
      <c r="D49" s="754"/>
      <c r="E49" s="13"/>
      <c r="F49" s="13"/>
      <c r="G49" s="13"/>
      <c r="H49" s="13"/>
      <c r="I49" s="391"/>
      <c r="J49" s="392"/>
      <c r="K49" s="13"/>
      <c r="L49" s="373"/>
      <c r="M49" s="384"/>
      <c r="N49" s="377"/>
    </row>
    <row r="50" spans="1:14" ht="15" customHeight="1" x14ac:dyDescent="0.2">
      <c r="A50" s="385" t="s">
        <v>362</v>
      </c>
      <c r="B50" s="386" t="str" cm="1">
        <f t="array" ref="B50">CONCATENATE(WORLDCUP!AA86,"-",WORLDCUP!AF86)</f>
        <v>Portugal-Uzbekistán</v>
      </c>
      <c r="C50" s="395" t="str" cm="1">
        <f t="array" ref="C50">CONCATENATE(IF(WORLDCUP!AC86&gt;WORLDCUP!AD86,1,IF(WORLDCUP!AC86&lt;WORLDCUP!AD86,2,IF(AND(WORLDCUP!AC86=WORLDCUP!AD86,WORLDCUP!AC86&lt;&gt;"",WORLDCUP!AD86&lt;&gt;""),"X",0))),"|",WORLDCUP!AC86,"-",WORLDCUP!AD86)</f>
        <v>1|5-0</v>
      </c>
      <c r="D50" s="754"/>
      <c r="E50" s="13"/>
      <c r="F50" s="13"/>
      <c r="G50" s="13"/>
      <c r="H50" s="13"/>
      <c r="I50" s="391"/>
      <c r="J50" s="392"/>
      <c r="K50" s="13"/>
      <c r="L50" s="373"/>
      <c r="M50" s="384"/>
      <c r="N50" s="377"/>
    </row>
    <row r="51" spans="1:14" ht="15" customHeight="1" x14ac:dyDescent="0.2">
      <c r="A51" s="385" t="s">
        <v>362</v>
      </c>
      <c r="B51" s="386" t="str" cm="1">
        <f t="array" ref="B51">CONCATENATE(WORLDCUP!AA87,"-",WORLDCUP!AF87)</f>
        <v>Colombia-RD Congo</v>
      </c>
      <c r="C51" s="395" t="str" cm="1">
        <f t="array" ref="C51">CONCATENATE(IF(WORLDCUP!AC87&gt;WORLDCUP!AD87,1,IF(WORLDCUP!AC87&lt;WORLDCUP!AD87,2,IF(AND(WORLDCUP!AC87=WORLDCUP!AD87,WORLDCUP!AC87&lt;&gt;"",WORLDCUP!AD87&lt;&gt;""),"X",0))),"|",WORLDCUP!AC87,"-",WORLDCUP!AD87)</f>
        <v>1|3-1</v>
      </c>
      <c r="D51" s="754"/>
      <c r="E51" s="13"/>
      <c r="F51" s="13"/>
      <c r="G51" s="13"/>
      <c r="H51" s="13"/>
      <c r="I51" s="391"/>
      <c r="J51" s="392"/>
      <c r="K51" s="13"/>
      <c r="L51" s="373"/>
      <c r="M51" s="384"/>
      <c r="N51" s="377"/>
    </row>
    <row r="52" spans="1:14" ht="15" customHeight="1" x14ac:dyDescent="0.2">
      <c r="A52" s="393" t="s">
        <v>363</v>
      </c>
      <c r="B52" s="394" t="str" cm="1">
        <f t="array" ref="B52">CONCATENATE(WORLDCUP!AA94,"-",WORLDCUP!AF94)</f>
        <v>Inglaterra-Ghana</v>
      </c>
      <c r="C52" s="395" t="str" cm="1">
        <f t="array" ref="C52">CONCATENATE(IF(WORLDCUP!AC94&gt;WORLDCUP!AD94,1,IF(WORLDCUP!AC94&lt;WORLDCUP!AD94,2,IF(AND(WORLDCUP!AC94=WORLDCUP!AD94,WORLDCUP!AC94&lt;&gt;"",WORLDCUP!AD94&lt;&gt;""),"X",0))),"|",WORLDCUP!AC94,"-",WORLDCUP!AD94)</f>
        <v>1|2-0</v>
      </c>
      <c r="D52" s="754"/>
      <c r="E52" s="13"/>
      <c r="F52" s="13"/>
      <c r="G52" s="13"/>
      <c r="H52" s="13"/>
      <c r="I52" s="391"/>
      <c r="J52" s="392"/>
      <c r="K52" s="13"/>
      <c r="L52" s="373"/>
      <c r="M52" s="384"/>
      <c r="N52" s="377"/>
    </row>
    <row r="53" spans="1:14" ht="15" customHeight="1" x14ac:dyDescent="0.2">
      <c r="A53" s="393" t="s">
        <v>363</v>
      </c>
      <c r="B53" s="394" t="str" cm="1">
        <f t="array" ref="B53">CONCATENATE(WORLDCUP!AA95,"-",WORLDCUP!AF95)</f>
        <v>Panamá-Croacia</v>
      </c>
      <c r="C53" s="395" t="str" cm="1">
        <f t="array" ref="C53">CONCATENATE(IF(WORLDCUP!AC95&gt;WORLDCUP!AD95,1,IF(WORLDCUP!AC95&lt;WORLDCUP!AD95,2,IF(AND(WORLDCUP!AC95=WORLDCUP!AD95,WORLDCUP!AC95&lt;&gt;"",WORLDCUP!AD95&lt;&gt;""),"X",0))),"|",WORLDCUP!AC95,"-",WORLDCUP!AD95)</f>
        <v>2|1-2</v>
      </c>
      <c r="D53" s="813"/>
      <c r="E53" s="372"/>
      <c r="F53" s="372"/>
      <c r="G53" s="372"/>
      <c r="H53" s="372"/>
      <c r="I53" s="396"/>
      <c r="J53" s="392"/>
      <c r="K53" s="13"/>
      <c r="L53" s="373"/>
      <c r="M53" s="384"/>
      <c r="N53" s="377"/>
    </row>
    <row r="54" spans="1:14" ht="15" customHeight="1" x14ac:dyDescent="0.2">
      <c r="A54" s="385" t="s">
        <v>364</v>
      </c>
      <c r="B54" s="386" t="str" cm="1">
        <f t="array" ref="B54">CONCATENATE(WORLDCUP!AA8,"-",WORLDCUP!AF8)</f>
        <v>República Checa-México</v>
      </c>
      <c r="C54" s="395" t="str" cm="1">
        <f t="array" ref="C54">CONCATENATE(IF(WORLDCUP!AC8&gt;WORLDCUP!AD8,1,IF(WORLDCUP!AC8&lt;WORLDCUP!AD8,2,IF(AND(WORLDCUP!AC8=WORLDCUP!AD8,WORLDCUP!AC8&lt;&gt;"",WORLDCUP!AD8&lt;&gt;""),"X",0))),"|",WORLDCUP!AC8,"-",WORLDCUP!AD8)</f>
        <v>2|0-3</v>
      </c>
      <c r="D54" s="811" t="s">
        <v>118</v>
      </c>
      <c r="E54" s="814" t="s">
        <v>365</v>
      </c>
      <c r="F54" s="812"/>
      <c r="G54" s="812"/>
      <c r="H54" s="812"/>
      <c r="I54" s="389"/>
      <c r="J54" s="392"/>
      <c r="K54" s="13"/>
      <c r="L54" s="373"/>
      <c r="M54" s="384"/>
      <c r="N54" s="377"/>
    </row>
    <row r="55" spans="1:14" ht="15" customHeight="1" x14ac:dyDescent="0.2">
      <c r="A55" s="385" t="s">
        <v>364</v>
      </c>
      <c r="B55" s="386" t="str" cm="1">
        <f t="array" ref="B55">CONCATENATE(WORLDCUP!AA9,"-",WORLDCUP!AF9)</f>
        <v>Sudáfrica-Corea del Sur</v>
      </c>
      <c r="C55" s="395" t="str" cm="1">
        <f t="array" ref="C55">CONCATENATE(IF(WORLDCUP!AC9&gt;WORLDCUP!AD9,1,IF(WORLDCUP!AC9&lt;WORLDCUP!AD9,2,IF(AND(WORLDCUP!AC9=WORLDCUP!AD9,WORLDCUP!AC9&lt;&gt;"",WORLDCUP!AD9&lt;&gt;""),"X",0))),"|",WORLDCUP!AC9,"-",WORLDCUP!AD9)</f>
        <v>2|1-3</v>
      </c>
      <c r="D55" s="812"/>
      <c r="E55" s="754"/>
      <c r="F55" s="754"/>
      <c r="G55" s="754"/>
      <c r="H55" s="754"/>
      <c r="I55" s="391"/>
      <c r="J55" s="392"/>
      <c r="K55" s="13"/>
      <c r="L55" s="373"/>
      <c r="M55" s="384"/>
      <c r="N55" s="377"/>
    </row>
    <row r="56" spans="1:14" ht="15" customHeight="1" x14ac:dyDescent="0.2">
      <c r="A56" s="393" t="s">
        <v>366</v>
      </c>
      <c r="B56" s="394" t="str" cm="1">
        <f t="array" ref="B56">CONCATENATE(WORLDCUP!AA16,"-",WORLDCUP!AF16)</f>
        <v>Suiza-Canadá</v>
      </c>
      <c r="C56" s="395" t="str" cm="1">
        <f t="array" ref="C56">CONCATENATE(IF(WORLDCUP!AC16&gt;WORLDCUP!AD16,1,IF(WORLDCUP!AC16&lt;WORLDCUP!AD16,2,IF(AND(WORLDCUP!AC16=WORLDCUP!AD16,WORLDCUP!AC16&lt;&gt;"",WORLDCUP!AD16&lt;&gt;""),"X",0))),"|",WORLDCUP!AC16,"-",WORLDCUP!AD16)</f>
        <v>X|1-1</v>
      </c>
      <c r="D56" s="754"/>
      <c r="E56" s="754"/>
      <c r="F56" s="754"/>
      <c r="G56" s="754"/>
      <c r="H56" s="754"/>
      <c r="I56" s="391"/>
      <c r="J56" s="392"/>
      <c r="K56" s="13"/>
      <c r="L56" s="373"/>
      <c r="M56" s="384"/>
      <c r="N56" s="377"/>
    </row>
    <row r="57" spans="1:14" ht="15" customHeight="1" x14ac:dyDescent="0.2">
      <c r="A57" s="393" t="s">
        <v>366</v>
      </c>
      <c r="B57" s="394" t="str" cm="1">
        <f t="array" ref="B57">CONCATENATE(WORLDCUP!AA17,"-",WORLDCUP!AF17)</f>
        <v>Bosnia y Herzegovina-Catar</v>
      </c>
      <c r="C57" s="395" t="str" cm="1">
        <f t="array" ref="C57">CONCATENATE(IF(WORLDCUP!AC17&gt;WORLDCUP!AD17,1,IF(WORLDCUP!AC17&lt;WORLDCUP!AD17,2,IF(AND(WORLDCUP!AC17=WORLDCUP!AD17,WORLDCUP!AC17&lt;&gt;"",WORLDCUP!AD17&lt;&gt;""),"X",0))),"|",WORLDCUP!AC17,"-",WORLDCUP!AD17)</f>
        <v>2|0-1</v>
      </c>
      <c r="D57" s="754"/>
      <c r="E57" s="754"/>
      <c r="F57" s="754"/>
      <c r="G57" s="754"/>
      <c r="H57" s="754"/>
      <c r="I57" s="391"/>
      <c r="J57" s="392"/>
      <c r="K57" s="13"/>
      <c r="L57" s="373"/>
      <c r="M57" s="384"/>
      <c r="N57" s="377"/>
    </row>
    <row r="58" spans="1:14" ht="15" customHeight="1" x14ac:dyDescent="0.2">
      <c r="A58" s="385" t="s">
        <v>367</v>
      </c>
      <c r="B58" s="386" t="str" cm="1">
        <f t="array" ref="B58">CONCATENATE(WORLDCUP!AA24,"-",WORLDCUP!AF24)</f>
        <v>Escocia-Brasil</v>
      </c>
      <c r="C58" s="395" t="str" cm="1">
        <f t="array" ref="C58">CONCATENATE(IF(WORLDCUP!AC24&gt;WORLDCUP!AD24,1,IF(WORLDCUP!AC24&lt;WORLDCUP!AD24,2,IF(AND(WORLDCUP!AC24=WORLDCUP!AD24,WORLDCUP!AC24&lt;&gt;"",WORLDCUP!AD24&lt;&gt;""),"X",0))),"|",WORLDCUP!AC24,"-",WORLDCUP!AD24)</f>
        <v>2|1-3</v>
      </c>
      <c r="D58" s="754"/>
      <c r="E58" s="13"/>
      <c r="F58" s="13"/>
      <c r="G58" s="13"/>
      <c r="H58" s="13"/>
      <c r="I58" s="391"/>
      <c r="J58" s="392"/>
      <c r="K58" s="13"/>
      <c r="L58" s="373"/>
      <c r="M58" s="384"/>
      <c r="N58" s="377"/>
    </row>
    <row r="59" spans="1:14" ht="15" customHeight="1" x14ac:dyDescent="0.2">
      <c r="A59" s="385" t="s">
        <v>367</v>
      </c>
      <c r="B59" s="386" t="str" cm="1">
        <f t="array" ref="B59">CONCATENATE(WORLDCUP!AA25,"-",WORLDCUP!AF25)</f>
        <v>Marruecos-Haití</v>
      </c>
      <c r="C59" s="395" t="str" cm="1">
        <f t="array" ref="C59">CONCATENATE(IF(WORLDCUP!AC25&gt;WORLDCUP!AD25,1,IF(WORLDCUP!AC25&lt;WORLDCUP!AD25,2,IF(AND(WORLDCUP!AC25=WORLDCUP!AD25,WORLDCUP!AC25&lt;&gt;"",WORLDCUP!AD25&lt;&gt;""),"X",0))),"|",WORLDCUP!AC25,"-",WORLDCUP!AD25)</f>
        <v>1|4-0</v>
      </c>
      <c r="D59" s="754"/>
      <c r="E59" s="13"/>
      <c r="F59" s="13"/>
      <c r="G59" s="13"/>
      <c r="H59" s="13"/>
      <c r="I59" s="391"/>
      <c r="J59" s="392"/>
      <c r="K59" s="13"/>
      <c r="L59" s="373"/>
      <c r="M59" s="384"/>
      <c r="N59" s="377"/>
    </row>
    <row r="60" spans="1:14" ht="15" customHeight="1" x14ac:dyDescent="0.2">
      <c r="A60" s="393" t="s">
        <v>368</v>
      </c>
      <c r="B60" s="394" t="str" cm="1">
        <f t="array" ref="B60">CONCATENATE(WORLDCUP!AA32,"-",WORLDCUP!AF32)</f>
        <v>Turquía-Estados Unidos</v>
      </c>
      <c r="C60" s="395" t="str" cm="1">
        <f t="array" ref="C60">CONCATENATE(IF(WORLDCUP!AC32&gt;WORLDCUP!AD32,1,IF(WORLDCUP!AC32&lt;WORLDCUP!AD32,2,IF(AND(WORLDCUP!AC32=WORLDCUP!AD32,WORLDCUP!AC32&lt;&gt;"",WORLDCUP!AD32&lt;&gt;""),"X",0))),"|",WORLDCUP!AC32,"-",WORLDCUP!AD32)</f>
        <v>1|2-1</v>
      </c>
      <c r="D60" s="754"/>
      <c r="E60" s="13"/>
      <c r="F60" s="13"/>
      <c r="G60" s="13"/>
      <c r="H60" s="13"/>
      <c r="I60" s="391"/>
      <c r="J60" s="392"/>
      <c r="K60" s="13"/>
      <c r="L60" s="373"/>
      <c r="M60" s="384"/>
      <c r="N60" s="377"/>
    </row>
    <row r="61" spans="1:14" ht="15" customHeight="1" x14ac:dyDescent="0.2">
      <c r="A61" s="393" t="s">
        <v>368</v>
      </c>
      <c r="B61" s="394" t="str" cm="1">
        <f t="array" ref="B61">CONCATENATE(WORLDCUP!AA33,"-",WORLDCUP!AF33)</f>
        <v>Paraguay-Australia</v>
      </c>
      <c r="C61" s="395" t="str" cm="1">
        <f t="array" ref="C61">CONCATENATE(IF(WORLDCUP!AC33&gt;WORLDCUP!AD33,1,IF(WORLDCUP!AC33&lt;WORLDCUP!AD33,2,IF(AND(WORLDCUP!AC33=WORLDCUP!AD33,WORLDCUP!AC33&lt;&gt;"",WORLDCUP!AD33&lt;&gt;""),"X",0))),"|",WORLDCUP!AC33,"-",WORLDCUP!AD33)</f>
        <v>1|1-0</v>
      </c>
      <c r="D61" s="754"/>
      <c r="E61" s="13"/>
      <c r="F61" s="13"/>
      <c r="G61" s="13"/>
      <c r="H61" s="13"/>
      <c r="I61" s="391"/>
      <c r="J61" s="392"/>
      <c r="K61" s="13"/>
      <c r="L61" s="373"/>
      <c r="M61" s="384"/>
      <c r="N61" s="377"/>
    </row>
    <row r="62" spans="1:14" ht="15" customHeight="1" x14ac:dyDescent="0.2">
      <c r="A62" s="385" t="s">
        <v>369</v>
      </c>
      <c r="B62" s="386" t="str" cm="1">
        <f t="array" ref="B62">CONCATENATE(WORLDCUP!AA40,"-",WORLDCUP!AF40)</f>
        <v>Curazao-Costa de Marfil</v>
      </c>
      <c r="C62" s="395" t="str" cm="1">
        <f t="array" ref="C62">CONCATENATE(IF(WORLDCUP!AC40&gt;WORLDCUP!AD40,1,IF(WORLDCUP!AC40&lt;WORLDCUP!AD40,2,IF(AND(WORLDCUP!AC40=WORLDCUP!AD40,WORLDCUP!AC40&lt;&gt;"",WORLDCUP!AD40&lt;&gt;""),"X",0))),"|",WORLDCUP!AC40,"-",WORLDCUP!AD40)</f>
        <v>2|0-2</v>
      </c>
      <c r="D62" s="754"/>
      <c r="E62" s="13"/>
      <c r="F62" s="13"/>
      <c r="G62" s="13"/>
      <c r="H62" s="13"/>
      <c r="I62" s="391"/>
      <c r="J62" s="392"/>
      <c r="K62" s="13"/>
      <c r="L62" s="373"/>
      <c r="M62" s="384"/>
      <c r="N62" s="377"/>
    </row>
    <row r="63" spans="1:14" ht="15" customHeight="1" x14ac:dyDescent="0.2">
      <c r="A63" s="385" t="s">
        <v>369</v>
      </c>
      <c r="B63" s="386" t="str" cm="1">
        <f t="array" ref="B63">CONCATENATE(WORLDCUP!AA41,"-",WORLDCUP!AF41)</f>
        <v>Ecuador-Alemania</v>
      </c>
      <c r="C63" s="395" t="str" cm="1">
        <f t="array" ref="C63">CONCATENATE(IF(WORLDCUP!AC41&gt;WORLDCUP!AD41,1,IF(WORLDCUP!AC41&lt;WORLDCUP!AD41,2,IF(AND(WORLDCUP!AC41=WORLDCUP!AD41,WORLDCUP!AC41&lt;&gt;"",WORLDCUP!AD41&lt;&gt;""),"X",0))),"|",WORLDCUP!AC41,"-",WORLDCUP!AD41)</f>
        <v>2|1-2</v>
      </c>
      <c r="D63" s="754"/>
      <c r="E63" s="13"/>
      <c r="F63" s="13"/>
      <c r="G63" s="13"/>
      <c r="H63" s="13"/>
      <c r="I63" s="391"/>
      <c r="J63" s="392"/>
      <c r="K63" s="13"/>
      <c r="L63" s="373"/>
      <c r="M63" s="384"/>
      <c r="N63" s="377"/>
    </row>
    <row r="64" spans="1:14" ht="15" customHeight="1" x14ac:dyDescent="0.2">
      <c r="A64" s="393" t="s">
        <v>370</v>
      </c>
      <c r="B64" s="394" t="str" cm="1">
        <f t="array" ref="B64">CONCATENATE(WORLDCUP!AA48,"-",WORLDCUP!AF48)</f>
        <v>Japón-Suecia</v>
      </c>
      <c r="C64" s="395" t="str" cm="1">
        <f t="array" ref="C64">CONCATENATE(IF(WORLDCUP!AC48&gt;WORLDCUP!AD48,1,IF(WORLDCUP!AC48&lt;WORLDCUP!AD48,2,IF(AND(WORLDCUP!AC48=WORLDCUP!AD48,WORLDCUP!AC48&lt;&gt;"",WORLDCUP!AD48&lt;&gt;""),"X",0))),"|",WORLDCUP!AC48,"-",WORLDCUP!AD48)</f>
        <v>1|2-1</v>
      </c>
      <c r="D64" s="754"/>
      <c r="E64" s="13"/>
      <c r="F64" s="13"/>
      <c r="G64" s="13"/>
      <c r="H64" s="13"/>
      <c r="I64" s="391"/>
      <c r="J64" s="392"/>
      <c r="K64" s="13"/>
      <c r="L64" s="373"/>
      <c r="M64" s="384"/>
      <c r="N64" s="377"/>
    </row>
    <row r="65" spans="1:14" ht="15" customHeight="1" x14ac:dyDescent="0.2">
      <c r="A65" s="393" t="s">
        <v>370</v>
      </c>
      <c r="B65" s="394" t="str" cm="1">
        <f t="array" ref="B65">CONCATENATE(WORLDCUP!AA49,"-",WORLDCUP!AF49)</f>
        <v>Túnez-Países Bajos</v>
      </c>
      <c r="C65" s="395" t="str" cm="1">
        <f t="array" ref="C65">CONCATENATE(IF(WORLDCUP!AC49&gt;WORLDCUP!AD49,1,IF(WORLDCUP!AC49&lt;WORLDCUP!AD49,2,IF(AND(WORLDCUP!AC49=WORLDCUP!AD49,WORLDCUP!AC49&lt;&gt;"",WORLDCUP!AD49&lt;&gt;""),"X",0))),"|",WORLDCUP!AC49,"-",WORLDCUP!AD49)</f>
        <v>2|0-4</v>
      </c>
      <c r="D65" s="754"/>
      <c r="E65" s="13"/>
      <c r="F65" s="13"/>
      <c r="G65" s="13"/>
      <c r="H65" s="13"/>
      <c r="I65" s="391"/>
      <c r="J65" s="392"/>
      <c r="K65" s="13"/>
      <c r="L65" s="373"/>
      <c r="M65" s="384"/>
      <c r="N65" s="377"/>
    </row>
    <row r="66" spans="1:14" ht="15" customHeight="1" x14ac:dyDescent="0.2">
      <c r="A66" s="385" t="s">
        <v>371</v>
      </c>
      <c r="B66" s="386" t="str" cm="1">
        <f t="array" ref="B66">CONCATENATE(WORLDCUP!AA56,"-",WORLDCUP!AF56)</f>
        <v>Egipto-Irán</v>
      </c>
      <c r="C66" s="395" t="str" cm="1">
        <f t="array" ref="C66">CONCATENATE(IF(WORLDCUP!AC56&gt;WORLDCUP!AD56,1,IF(WORLDCUP!AC56&lt;WORLDCUP!AD56,2,IF(AND(WORLDCUP!AC56=WORLDCUP!AD56,WORLDCUP!AC56&lt;&gt;"",WORLDCUP!AD56&lt;&gt;""),"X",0))),"|",WORLDCUP!AC56,"-",WORLDCUP!AD56)</f>
        <v>1|2-1</v>
      </c>
      <c r="D66" s="754"/>
      <c r="E66" s="13"/>
      <c r="F66" s="13"/>
      <c r="G66" s="13"/>
      <c r="H66" s="13"/>
      <c r="I66" s="391"/>
      <c r="J66" s="392"/>
      <c r="K66" s="13"/>
      <c r="L66" s="373"/>
      <c r="M66" s="384"/>
      <c r="N66" s="377"/>
    </row>
    <row r="67" spans="1:14" ht="15" customHeight="1" x14ac:dyDescent="0.2">
      <c r="A67" s="385" t="s">
        <v>371</v>
      </c>
      <c r="B67" s="386" t="str" cm="1">
        <f t="array" ref="B67">CONCATENATE(WORLDCUP!AA57,"-",WORLDCUP!AF57)</f>
        <v>Nueva Zelanda-Bélgica</v>
      </c>
      <c r="C67" s="395" t="str" cm="1">
        <f t="array" ref="C67">CONCATENATE(IF(WORLDCUP!AC57&gt;WORLDCUP!AD57,1,IF(WORLDCUP!AC57&lt;WORLDCUP!AD57,2,IF(AND(WORLDCUP!AC57=WORLDCUP!AD57,WORLDCUP!AC57&lt;&gt;"",WORLDCUP!AD57&lt;&gt;""),"X",0))),"|",WORLDCUP!AC57,"-",WORLDCUP!AD57)</f>
        <v>2|0-3</v>
      </c>
      <c r="D67" s="754"/>
      <c r="E67" s="13"/>
      <c r="F67" s="13"/>
      <c r="G67" s="13"/>
      <c r="H67" s="13"/>
      <c r="I67" s="391"/>
      <c r="J67" s="392"/>
      <c r="K67" s="13"/>
      <c r="L67" s="373"/>
      <c r="M67" s="384"/>
      <c r="N67" s="377"/>
    </row>
    <row r="68" spans="1:14" ht="15" customHeight="1" x14ac:dyDescent="0.2">
      <c r="A68" s="393" t="s">
        <v>372</v>
      </c>
      <c r="B68" s="394" t="str" cm="1">
        <f t="array" ref="B68">CONCATENATE(WORLDCUP!AA64,"-",WORLDCUP!AF64)</f>
        <v>Cabo Verde-Arabia Saudita</v>
      </c>
      <c r="C68" s="395" t="str" cm="1">
        <f t="array" ref="C68">CONCATENATE(IF(WORLDCUP!AC64&gt;WORLDCUP!AD64,1,IF(WORLDCUP!AC64&lt;WORLDCUP!AD64,2,IF(AND(WORLDCUP!AC64=WORLDCUP!AD64,WORLDCUP!AC64&lt;&gt;"",WORLDCUP!AD64&lt;&gt;""),"X",0))),"|",WORLDCUP!AC64,"-",WORLDCUP!AD64)</f>
        <v>2|0-1</v>
      </c>
      <c r="D68" s="754"/>
      <c r="E68" s="13"/>
      <c r="F68" s="13"/>
      <c r="G68" s="13"/>
      <c r="H68" s="13"/>
      <c r="I68" s="391"/>
      <c r="J68" s="392"/>
      <c r="K68" s="13"/>
      <c r="L68" s="373"/>
      <c r="M68" s="384"/>
      <c r="N68" s="377"/>
    </row>
    <row r="69" spans="1:14" ht="15" customHeight="1" x14ac:dyDescent="0.2">
      <c r="A69" s="393" t="s">
        <v>372</v>
      </c>
      <c r="B69" s="394" t="str" cm="1">
        <f t="array" ref="B69">CONCATENATE(WORLDCUP!AA65,"-",WORLDCUP!AF65)</f>
        <v>Uruguay-España</v>
      </c>
      <c r="C69" s="395" t="str" cm="1">
        <f t="array" ref="C69">CONCATENATE(IF(WORLDCUP!AC65&gt;WORLDCUP!AD65,1,IF(WORLDCUP!AC65&lt;WORLDCUP!AD65,2,IF(AND(WORLDCUP!AC65=WORLDCUP!AD65,WORLDCUP!AC65&lt;&gt;"",WORLDCUP!AD65&lt;&gt;""),"X",0))),"|",WORLDCUP!AC65,"-",WORLDCUP!AD65)</f>
        <v>2|1-2</v>
      </c>
      <c r="D69" s="754"/>
      <c r="E69" s="13"/>
      <c r="F69" s="13"/>
      <c r="G69" s="13"/>
      <c r="H69" s="13"/>
      <c r="I69" s="391"/>
      <c r="J69" s="392"/>
      <c r="K69" s="13"/>
      <c r="L69" s="373"/>
      <c r="M69" s="384"/>
      <c r="N69" s="377"/>
    </row>
    <row r="70" spans="1:14" ht="15" customHeight="1" x14ac:dyDescent="0.2">
      <c r="A70" s="385" t="s">
        <v>373</v>
      </c>
      <c r="B70" s="386" t="str" cm="1">
        <f t="array" ref="B70">CONCATENATE(WORLDCUP!AA72,"-",WORLDCUP!AF72)</f>
        <v>Noruega-Francia</v>
      </c>
      <c r="C70" s="395" t="str" cm="1">
        <f t="array" ref="C70">CONCATENATE(IF(WORLDCUP!AC72&gt;WORLDCUP!AD72,1,IF(WORLDCUP!AC72&lt;WORLDCUP!AD72,2,IF(AND(WORLDCUP!AC72=WORLDCUP!AD72,WORLDCUP!AC72&lt;&gt;"",WORLDCUP!AD72&lt;&gt;""),"X",0))),"|",WORLDCUP!AC72,"-",WORLDCUP!AD72)</f>
        <v>2|1-3</v>
      </c>
      <c r="D70" s="754"/>
      <c r="E70" s="13"/>
      <c r="F70" s="13"/>
      <c r="G70" s="13"/>
      <c r="H70" s="13"/>
      <c r="I70" s="391"/>
      <c r="J70" s="392"/>
      <c r="K70" s="13"/>
      <c r="L70" s="373"/>
      <c r="M70" s="384"/>
      <c r="N70" s="377"/>
    </row>
    <row r="71" spans="1:14" ht="15" customHeight="1" x14ac:dyDescent="0.2">
      <c r="A71" s="385" t="s">
        <v>373</v>
      </c>
      <c r="B71" s="386" t="str" cm="1">
        <f t="array" ref="B71">CONCATENATE(WORLDCUP!AA73,"-",WORLDCUP!AF73)</f>
        <v>Senegal-Irak</v>
      </c>
      <c r="C71" s="395" t="str" cm="1">
        <f t="array" ref="C71">CONCATENATE(IF(WORLDCUP!AC73&gt;WORLDCUP!AD73,1,IF(WORLDCUP!AC73&lt;WORLDCUP!AD73,2,IF(AND(WORLDCUP!AC73=WORLDCUP!AD73,WORLDCUP!AC73&lt;&gt;"",WORLDCUP!AD73&lt;&gt;""),"X",0))),"|",WORLDCUP!AC73,"-",WORLDCUP!AD73)</f>
        <v>1|2-0</v>
      </c>
      <c r="D71" s="754"/>
      <c r="E71" s="13"/>
      <c r="F71" s="13"/>
      <c r="G71" s="13"/>
      <c r="H71" s="13"/>
      <c r="I71" s="391"/>
      <c r="J71" s="392"/>
      <c r="K71" s="13"/>
      <c r="L71" s="373"/>
      <c r="M71" s="384"/>
      <c r="N71" s="377"/>
    </row>
    <row r="72" spans="1:14" ht="15" customHeight="1" x14ac:dyDescent="0.2">
      <c r="A72" s="393" t="s">
        <v>118</v>
      </c>
      <c r="B72" s="394" t="str" cm="1">
        <f t="array" ref="B72">CONCATENATE(WORLDCUP!AA80,"-",WORLDCUP!AF80)</f>
        <v>Argelia-Austria</v>
      </c>
      <c r="C72" s="395" t="str" cm="1">
        <f t="array" ref="C72">CONCATENATE(IF(WORLDCUP!AC80&gt;WORLDCUP!AD80,1,IF(WORLDCUP!AC80&lt;WORLDCUP!AD80,2,IF(AND(WORLDCUP!AC80=WORLDCUP!AD80,WORLDCUP!AC80&lt;&gt;"",WORLDCUP!AD80&lt;&gt;""),"X",0))),"|",WORLDCUP!AC80,"-",WORLDCUP!AD80)</f>
        <v>2|0-2</v>
      </c>
      <c r="D72" s="754"/>
      <c r="E72" s="13"/>
      <c r="F72" s="13"/>
      <c r="G72" s="13"/>
      <c r="H72" s="13"/>
      <c r="I72" s="391"/>
      <c r="J72" s="392"/>
      <c r="K72" s="13"/>
      <c r="L72" s="373"/>
      <c r="M72" s="384"/>
      <c r="N72" s="377"/>
    </row>
    <row r="73" spans="1:14" ht="15" customHeight="1" x14ac:dyDescent="0.2">
      <c r="A73" s="393" t="s">
        <v>118</v>
      </c>
      <c r="B73" s="394" t="str" cm="1">
        <f t="array" ref="B73">CONCATENATE(WORLDCUP!AA81,"-",WORLDCUP!AF81)</f>
        <v>Jordania-Argentina</v>
      </c>
      <c r="C73" s="395" t="str" cm="1">
        <f t="array" ref="C73">CONCATENATE(IF(WORLDCUP!AC81&gt;WORLDCUP!AD81,1,IF(WORLDCUP!AC81&lt;WORLDCUP!AD81,2,IF(AND(WORLDCUP!AC81=WORLDCUP!AD81,WORLDCUP!AC81&lt;&gt;"",WORLDCUP!AD81&lt;&gt;""),"X",0))),"|",WORLDCUP!AC81,"-",WORLDCUP!AD81)</f>
        <v>2|0-3</v>
      </c>
      <c r="D73" s="754"/>
      <c r="E73" s="13"/>
      <c r="F73" s="13"/>
      <c r="G73" s="13"/>
      <c r="H73" s="13"/>
      <c r="I73" s="391"/>
      <c r="J73" s="392"/>
      <c r="K73" s="13"/>
      <c r="L73" s="373"/>
      <c r="M73" s="384"/>
      <c r="N73" s="377"/>
    </row>
    <row r="74" spans="1:14" ht="15" customHeight="1" x14ac:dyDescent="0.2">
      <c r="A74" s="385" t="s">
        <v>374</v>
      </c>
      <c r="B74" s="386" t="str" cm="1">
        <f t="array" ref="B74">CONCATENATE(WORLDCUP!AA88,"-",WORLDCUP!AF88)</f>
        <v>Colombia-Portugal</v>
      </c>
      <c r="C74" s="395" t="str" cm="1">
        <f t="array" ref="C74">CONCATENATE(IF(WORLDCUP!AC88&gt;WORLDCUP!AD88,1,IF(WORLDCUP!AC88&lt;WORLDCUP!AD88,2,IF(AND(WORLDCUP!AC88=WORLDCUP!AD88,WORLDCUP!AC88&lt;&gt;"",WORLDCUP!AD88&lt;&gt;""),"X",0))),"|",WORLDCUP!AC88,"-",WORLDCUP!AD88)</f>
        <v>2|1-2</v>
      </c>
      <c r="D74" s="754"/>
      <c r="E74" s="13"/>
      <c r="F74" s="13"/>
      <c r="G74" s="13"/>
      <c r="H74" s="13"/>
      <c r="I74" s="391"/>
      <c r="J74" s="392"/>
      <c r="K74" s="13"/>
      <c r="L74" s="373"/>
      <c r="M74" s="384"/>
      <c r="N74" s="377"/>
    </row>
    <row r="75" spans="1:14" ht="15" customHeight="1" x14ac:dyDescent="0.2">
      <c r="A75" s="385" t="s">
        <v>374</v>
      </c>
      <c r="B75" s="386" t="str" cm="1">
        <f t="array" ref="B75">CONCATENATE(WORLDCUP!AA89,"-",WORLDCUP!AF89)</f>
        <v>RD Congo-Uzbekistán</v>
      </c>
      <c r="C75" s="395" t="str" cm="1">
        <f t="array" ref="C75">CONCATENATE(IF(WORLDCUP!AC89&gt;WORLDCUP!AD89,1,IF(WORLDCUP!AC89&lt;WORLDCUP!AD89,2,IF(AND(WORLDCUP!AC89=WORLDCUP!AD89,WORLDCUP!AC89&lt;&gt;"",WORLDCUP!AD89&lt;&gt;""),"X",0))),"|",WORLDCUP!AC89,"-",WORLDCUP!AD89)</f>
        <v>1|1-0</v>
      </c>
      <c r="D75" s="754"/>
      <c r="E75" s="13"/>
      <c r="F75" s="13"/>
      <c r="G75" s="13"/>
      <c r="H75" s="13"/>
      <c r="I75" s="391"/>
      <c r="J75" s="392"/>
      <c r="K75" s="13"/>
      <c r="L75" s="373"/>
      <c r="M75" s="384"/>
      <c r="N75" s="377"/>
    </row>
    <row r="76" spans="1:14" ht="15" customHeight="1" x14ac:dyDescent="0.2">
      <c r="A76" s="393" t="s">
        <v>375</v>
      </c>
      <c r="B76" s="394" t="str" cm="1">
        <f t="array" ref="B76">CONCATENATE(WORLDCUP!AA96,"-",WORLDCUP!AF96)</f>
        <v>Panamá-Inglaterra</v>
      </c>
      <c r="C76" s="395" t="str" cm="1">
        <f t="array" ref="C76">CONCATENATE(IF(WORLDCUP!AC96&gt;WORLDCUP!AD96,1,IF(WORLDCUP!AC96&lt;WORLDCUP!AD96,2,IF(AND(WORLDCUP!AC96=WORLDCUP!AD96,WORLDCUP!AC96&lt;&gt;"",WORLDCUP!AD96&lt;&gt;""),"X",0))),"|",WORLDCUP!AC96,"-",WORLDCUP!AD96)</f>
        <v>2|0-2</v>
      </c>
      <c r="D76" s="754"/>
      <c r="E76" s="13"/>
      <c r="F76" s="13"/>
      <c r="G76" s="13"/>
      <c r="H76" s="13"/>
      <c r="I76" s="391"/>
      <c r="J76" s="392"/>
      <c r="K76" s="13"/>
      <c r="L76" s="373"/>
      <c r="M76" s="384"/>
      <c r="N76" s="377"/>
    </row>
    <row r="77" spans="1:14" ht="15" customHeight="1" x14ac:dyDescent="0.2">
      <c r="A77" s="393" t="s">
        <v>375</v>
      </c>
      <c r="B77" s="394" t="str" cm="1">
        <f t="array" ref="B77">CONCATENATE(WORLDCUP!AA97,"-",WORLDCUP!AF97)</f>
        <v>Croacia-Ghana</v>
      </c>
      <c r="C77" s="395" t="str" cm="1">
        <f t="array" ref="C77">CONCATENATE(IF(WORLDCUP!AC97&gt;WORLDCUP!AD97,1,IF(WORLDCUP!AC97&lt;WORLDCUP!AD97,2,IF(AND(WORLDCUP!AC97=WORLDCUP!AD97,WORLDCUP!AC97&lt;&gt;"",WORLDCUP!AD97&lt;&gt;""),"X",0))),"|",WORLDCUP!AC97,"-",WORLDCUP!AD97)</f>
        <v>1|2-0</v>
      </c>
      <c r="D77" s="754"/>
      <c r="E77" s="13"/>
      <c r="F77" s="13"/>
      <c r="G77" s="13"/>
      <c r="H77" s="13"/>
      <c r="I77" s="391"/>
      <c r="J77" s="392"/>
      <c r="K77" s="13"/>
      <c r="L77" s="373"/>
      <c r="M77" s="384"/>
      <c r="N77" s="377"/>
    </row>
    <row r="78" spans="1:14" ht="15" customHeight="1" x14ac:dyDescent="0.2">
      <c r="A78" s="378"/>
      <c r="B78" s="397"/>
      <c r="C78" s="398"/>
      <c r="D78" s="754"/>
      <c r="E78" s="13"/>
      <c r="F78" s="13"/>
      <c r="G78" s="13"/>
      <c r="H78" s="13"/>
      <c r="I78" s="391"/>
      <c r="J78" s="392"/>
      <c r="K78" s="13"/>
      <c r="L78" s="373"/>
      <c r="M78" s="384"/>
      <c r="N78" s="377"/>
    </row>
    <row r="79" spans="1:14" ht="19" customHeight="1" x14ac:dyDescent="0.25">
      <c r="A79" s="378"/>
      <c r="B79" s="399" t="s">
        <v>376</v>
      </c>
      <c r="C79" s="400"/>
      <c r="D79" s="754"/>
      <c r="E79" s="13"/>
      <c r="F79" s="13"/>
      <c r="G79" s="13"/>
      <c r="H79" s="13"/>
      <c r="I79" s="391"/>
      <c r="J79" s="392"/>
      <c r="K79" s="13"/>
      <c r="L79" s="373"/>
      <c r="M79" s="384"/>
      <c r="N79" s="377"/>
    </row>
    <row r="80" spans="1:14" ht="15" customHeight="1" x14ac:dyDescent="0.2">
      <c r="A80" s="802" t="s">
        <v>46</v>
      </c>
      <c r="B80" s="401" t="s">
        <v>377</v>
      </c>
      <c r="C80" s="395" t="str" cm="1">
        <f t="array" ref="C80">IF(OR(SUM(WORLDCUP!$AN$6:$AN$9)=12,WORLDCUP!$AJ$99=144),WORLDCUP!AL6,B80)</f>
        <v>México</v>
      </c>
      <c r="D80" s="754"/>
      <c r="E80" s="13"/>
      <c r="F80" s="13"/>
      <c r="G80" s="13"/>
      <c r="H80" s="13"/>
      <c r="I80" s="391"/>
      <c r="J80" s="392"/>
      <c r="K80" s="13"/>
      <c r="L80" s="373"/>
      <c r="M80" s="384"/>
      <c r="N80" s="377"/>
    </row>
    <row r="81" spans="1:14" ht="15" customHeight="1" x14ac:dyDescent="0.2">
      <c r="A81" s="799"/>
      <c r="B81" s="401" t="s">
        <v>378</v>
      </c>
      <c r="C81" s="395" t="str" cm="1">
        <f t="array" ref="C81">IF(OR(SUM(WORLDCUP!$AN$6:$AN$9)=12,WORLDCUP!$AJ$99=144),WORLDCUP!AL7,B81)</f>
        <v>Sudáfrica</v>
      </c>
      <c r="D81" s="754"/>
      <c r="E81" s="13"/>
      <c r="F81" s="13"/>
      <c r="G81" s="13"/>
      <c r="H81" s="13"/>
      <c r="I81" s="391"/>
      <c r="J81" s="392"/>
      <c r="K81" s="13"/>
      <c r="L81" s="373"/>
      <c r="M81" s="384"/>
      <c r="N81" s="377"/>
    </row>
    <row r="82" spans="1:14" ht="15" customHeight="1" x14ac:dyDescent="0.2">
      <c r="A82" s="799"/>
      <c r="B82" s="401" t="s">
        <v>379</v>
      </c>
      <c r="C82" s="395" t="str" cm="1">
        <f t="array" ref="C82">IF(OR(SUM(WORLDCUP!$AN$6:$AN$9)=12,WORLDCUP!$AJ$99=144),WORLDCUP!AL8,B82)</f>
        <v>Corea del Sur</v>
      </c>
      <c r="D82" s="754"/>
      <c r="E82" s="13"/>
      <c r="F82" s="13"/>
      <c r="G82" s="13"/>
      <c r="H82" s="13"/>
      <c r="I82" s="391"/>
      <c r="J82" s="392"/>
      <c r="K82" s="13"/>
      <c r="L82" s="373"/>
      <c r="M82" s="384"/>
      <c r="N82" s="377"/>
    </row>
    <row r="83" spans="1:14" ht="15" customHeight="1" x14ac:dyDescent="0.2">
      <c r="A83" s="799"/>
      <c r="B83" s="401" t="s">
        <v>380</v>
      </c>
      <c r="C83" s="395" t="str" cm="1">
        <f t="array" ref="C83">IF(OR(SUM(WORLDCUP!$AN$6:$AN$9)=12,WORLDCUP!$AJ$99=144),WORLDCUP!AL9,B83)</f>
        <v>República Checa</v>
      </c>
      <c r="D83" s="754"/>
      <c r="E83" s="13"/>
      <c r="F83" s="13"/>
      <c r="G83" s="13"/>
      <c r="H83" s="13"/>
      <c r="I83" s="391"/>
      <c r="J83" s="392"/>
      <c r="K83" s="13"/>
      <c r="L83" s="373"/>
      <c r="M83" s="384"/>
      <c r="N83" s="377"/>
    </row>
    <row r="84" spans="1:14" ht="15" customHeight="1" x14ac:dyDescent="0.2">
      <c r="A84" s="804" t="s">
        <v>121</v>
      </c>
      <c r="B84" s="403" t="s">
        <v>381</v>
      </c>
      <c r="C84" s="395" t="str" cm="1">
        <f t="array" ref="C84">IF(OR(SUM(WORLDCUP!$AN$14:$AN$17)=12,WORLDCUP!$AJ$99=144),WORLDCUP!AL14,B84)</f>
        <v>Canadá</v>
      </c>
      <c r="D84" s="754"/>
      <c r="E84" s="13"/>
      <c r="F84" s="13"/>
      <c r="G84" s="13"/>
      <c r="H84" s="13"/>
      <c r="I84" s="391"/>
      <c r="J84" s="392"/>
      <c r="K84" s="13"/>
      <c r="L84" s="373"/>
      <c r="M84" s="384"/>
      <c r="N84" s="377"/>
    </row>
    <row r="85" spans="1:14" ht="15" customHeight="1" x14ac:dyDescent="0.2">
      <c r="A85" s="799"/>
      <c r="B85" s="403" t="s">
        <v>382</v>
      </c>
      <c r="C85" s="395" t="str" cm="1">
        <f t="array" ref="C85">IF(OR(SUM(WORLDCUP!$AN$14:$AN$17)=12,WORLDCUP!$AJ$99=144),WORLDCUP!AL15,B85)</f>
        <v>Bosnia y Herzegovina</v>
      </c>
      <c r="D85" s="754"/>
      <c r="E85" s="13"/>
      <c r="F85" s="13"/>
      <c r="G85" s="13"/>
      <c r="H85" s="13"/>
      <c r="I85" s="391"/>
      <c r="J85" s="392"/>
      <c r="K85" s="13"/>
      <c r="L85" s="373"/>
      <c r="M85" s="384"/>
      <c r="N85" s="377"/>
    </row>
    <row r="86" spans="1:14" ht="15" customHeight="1" x14ac:dyDescent="0.2">
      <c r="A86" s="799"/>
      <c r="B86" s="403" t="s">
        <v>383</v>
      </c>
      <c r="C86" s="395" t="str" cm="1">
        <f t="array" ref="C86">IF(OR(SUM(WORLDCUP!$AN$14:$AN$17)=12,WORLDCUP!$AJ$99=144),WORLDCUP!AL16,B86)</f>
        <v>Catar</v>
      </c>
      <c r="D86" s="754"/>
      <c r="E86" s="13"/>
      <c r="F86" s="13"/>
      <c r="G86" s="13"/>
      <c r="H86" s="13"/>
      <c r="I86" s="391"/>
      <c r="J86" s="392"/>
      <c r="K86" s="13"/>
      <c r="L86" s="373"/>
      <c r="M86" s="384"/>
      <c r="N86" s="377"/>
    </row>
    <row r="87" spans="1:14" ht="15" customHeight="1" x14ac:dyDescent="0.2">
      <c r="A87" s="799"/>
      <c r="B87" s="403" t="s">
        <v>384</v>
      </c>
      <c r="C87" s="395" t="str" cm="1">
        <f t="array" ref="C87">IF(OR(SUM(WORLDCUP!$AN$14:$AN$17)=12,WORLDCUP!$AJ$99=144),WORLDCUP!AL17,B87)</f>
        <v>Suiza</v>
      </c>
      <c r="D87" s="754"/>
      <c r="E87" s="13"/>
      <c r="F87" s="13"/>
      <c r="G87" s="13"/>
      <c r="H87" s="13"/>
      <c r="I87" s="391"/>
      <c r="J87" s="392"/>
      <c r="K87" s="13"/>
      <c r="L87" s="373"/>
      <c r="M87" s="384"/>
      <c r="N87" s="377"/>
    </row>
    <row r="88" spans="1:14" ht="15" customHeight="1" x14ac:dyDescent="0.2">
      <c r="A88" s="802" t="s">
        <v>130</v>
      </c>
      <c r="B88" s="401" t="s">
        <v>385</v>
      </c>
      <c r="C88" s="395" t="str" cm="1">
        <f t="array" ref="C88">IF(OR(SUM(WORLDCUP!$AN$22:$AN$25)=12,WORLDCUP!$AJ$99=144),WORLDCUP!AL22,B88)</f>
        <v>Brasil</v>
      </c>
      <c r="D88" s="754"/>
      <c r="E88" s="13"/>
      <c r="F88" s="13"/>
      <c r="G88" s="13"/>
      <c r="H88" s="13"/>
      <c r="I88" s="391"/>
      <c r="J88" s="392"/>
      <c r="K88" s="13"/>
      <c r="L88" s="373"/>
      <c r="M88" s="384"/>
      <c r="N88" s="377"/>
    </row>
    <row r="89" spans="1:14" ht="15" customHeight="1" x14ac:dyDescent="0.2">
      <c r="A89" s="799"/>
      <c r="B89" s="401" t="s">
        <v>386</v>
      </c>
      <c r="C89" s="395" t="str" cm="1">
        <f t="array" ref="C89">IF(OR(SUM(WORLDCUP!$AN$22:$AN$25)=12,WORLDCUP!$AJ$99=144),WORLDCUP!AL23,B89)</f>
        <v>Marruecos</v>
      </c>
      <c r="D89" s="754"/>
      <c r="E89" s="13"/>
      <c r="F89" s="13"/>
      <c r="G89" s="13"/>
      <c r="H89" s="13"/>
      <c r="I89" s="391"/>
      <c r="J89" s="392"/>
      <c r="K89" s="13"/>
      <c r="L89" s="373"/>
      <c r="M89" s="384"/>
      <c r="N89" s="377"/>
    </row>
    <row r="90" spans="1:14" ht="15" customHeight="1" x14ac:dyDescent="0.2">
      <c r="A90" s="799"/>
      <c r="B90" s="401" t="s">
        <v>387</v>
      </c>
      <c r="C90" s="395" t="str" cm="1">
        <f t="array" ref="C90">IF(OR(SUM(WORLDCUP!$AN$22:$AN$25)=12,WORLDCUP!$AJ$99=144),WORLDCUP!AL24,B90)</f>
        <v>Haití</v>
      </c>
      <c r="D90" s="754"/>
      <c r="E90" s="13"/>
      <c r="F90" s="13"/>
      <c r="G90" s="13"/>
      <c r="H90" s="13"/>
      <c r="I90" s="391"/>
      <c r="J90" s="392"/>
      <c r="K90" s="13"/>
      <c r="L90" s="373"/>
      <c r="M90" s="384"/>
      <c r="N90" s="377"/>
    </row>
    <row r="91" spans="1:14" ht="15" customHeight="1" x14ac:dyDescent="0.2">
      <c r="A91" s="799"/>
      <c r="B91" s="401" t="s">
        <v>388</v>
      </c>
      <c r="C91" s="395" t="str" cm="1">
        <f t="array" ref="C91">IF(OR(SUM(WORLDCUP!$AN$22:$AN$25)=12,WORLDCUP!$AJ$99=144),WORLDCUP!AL25,B91)</f>
        <v>Escocia</v>
      </c>
      <c r="D91" s="754"/>
      <c r="E91" s="13"/>
      <c r="F91" s="13"/>
      <c r="G91" s="13"/>
      <c r="H91" s="13"/>
      <c r="I91" s="391"/>
      <c r="J91" s="392"/>
      <c r="K91" s="13"/>
      <c r="L91" s="373"/>
      <c r="M91" s="384"/>
      <c r="N91" s="377"/>
    </row>
    <row r="92" spans="1:14" ht="15" customHeight="1" x14ac:dyDescent="0.2">
      <c r="A92" s="804" t="s">
        <v>139</v>
      </c>
      <c r="B92" s="403" t="s">
        <v>389</v>
      </c>
      <c r="C92" s="395" t="str" cm="1">
        <f t="array" ref="C92">IF(OR(SUM(WORLDCUP!$AN$30:$AN$33)=12,WORLDCUP!$AJ$99=144),WORLDCUP!AL30,B92)</f>
        <v>Estados Unidos</v>
      </c>
      <c r="D92" s="754"/>
      <c r="E92" s="13"/>
      <c r="F92" s="13"/>
      <c r="G92" s="13"/>
      <c r="H92" s="13"/>
      <c r="I92" s="391"/>
      <c r="J92" s="392"/>
      <c r="K92" s="13"/>
      <c r="L92" s="373"/>
      <c r="M92" s="384"/>
      <c r="N92" s="377"/>
    </row>
    <row r="93" spans="1:14" ht="15" customHeight="1" x14ac:dyDescent="0.2">
      <c r="A93" s="799"/>
      <c r="B93" s="403" t="s">
        <v>390</v>
      </c>
      <c r="C93" s="395" t="str" cm="1">
        <f t="array" ref="C93">IF(OR(SUM(WORLDCUP!$AN$30:$AN$33)=12,WORLDCUP!$AJ$99=144),WORLDCUP!AL31,B93)</f>
        <v>Paraguay</v>
      </c>
      <c r="D93" s="754"/>
      <c r="E93" s="13"/>
      <c r="F93" s="13"/>
      <c r="G93" s="13"/>
      <c r="H93" s="13"/>
      <c r="I93" s="391"/>
      <c r="J93" s="392"/>
      <c r="K93" s="13"/>
      <c r="L93" s="373"/>
      <c r="M93" s="384"/>
      <c r="N93" s="377"/>
    </row>
    <row r="94" spans="1:14" ht="15" customHeight="1" x14ac:dyDescent="0.2">
      <c r="A94" s="799"/>
      <c r="B94" s="403" t="s">
        <v>391</v>
      </c>
      <c r="C94" s="395" t="str" cm="1">
        <f t="array" ref="C94">IF(OR(SUM(WORLDCUP!$AN$30:$AN$33)=12,WORLDCUP!$AJ$99=144),WORLDCUP!AL32,B94)</f>
        <v>Australia</v>
      </c>
      <c r="D94" s="754"/>
      <c r="E94" s="13"/>
      <c r="F94" s="13"/>
      <c r="G94" s="13"/>
      <c r="H94" s="13"/>
      <c r="I94" s="391"/>
      <c r="J94" s="392"/>
      <c r="K94" s="13"/>
      <c r="L94" s="373"/>
      <c r="M94" s="384"/>
      <c r="N94" s="377"/>
    </row>
    <row r="95" spans="1:14" ht="15" customHeight="1" x14ac:dyDescent="0.2">
      <c r="A95" s="799"/>
      <c r="B95" s="403" t="s">
        <v>392</v>
      </c>
      <c r="C95" s="395" t="str" cm="1">
        <f t="array" ref="C95">IF(OR(SUM(WORLDCUP!$AN$30:$AN$33)=12,WORLDCUP!$AJ$99=144),WORLDCUP!AL33,B95)</f>
        <v>Turquía</v>
      </c>
      <c r="D95" s="754"/>
      <c r="E95" s="13"/>
      <c r="F95" s="13"/>
      <c r="G95" s="13"/>
      <c r="H95" s="13"/>
      <c r="I95" s="391"/>
      <c r="J95" s="392"/>
      <c r="K95" s="13"/>
      <c r="L95" s="373"/>
      <c r="M95" s="384"/>
      <c r="N95" s="377"/>
    </row>
    <row r="96" spans="1:14" ht="15" customHeight="1" x14ac:dyDescent="0.2">
      <c r="A96" s="802" t="s">
        <v>55</v>
      </c>
      <c r="B96" s="401" t="s">
        <v>393</v>
      </c>
      <c r="C96" s="395" t="str" cm="1">
        <f t="array" ref="C96">IF(OR(SUM(WORLDCUP!$AN$38:$AN$41)=12,WORLDCUP!$AJ$99=144),WORLDCUP!AL38,B96)</f>
        <v>Alemania</v>
      </c>
      <c r="D96" s="754"/>
      <c r="E96" s="13"/>
      <c r="F96" s="13"/>
      <c r="G96" s="13"/>
      <c r="H96" s="13"/>
      <c r="I96" s="391"/>
      <c r="J96" s="392"/>
      <c r="K96" s="13"/>
      <c r="L96" s="373"/>
      <c r="M96" s="384"/>
      <c r="N96" s="377"/>
    </row>
    <row r="97" spans="1:14" ht="15" customHeight="1" x14ac:dyDescent="0.2">
      <c r="A97" s="799"/>
      <c r="B97" s="401" t="s">
        <v>394</v>
      </c>
      <c r="C97" s="395" t="str" cm="1">
        <f t="array" ref="C97">IF(OR(SUM(WORLDCUP!$AN$38:$AN$41)=12,WORLDCUP!$AJ$99=144),WORLDCUP!AL39,B97)</f>
        <v>Curazao</v>
      </c>
      <c r="D97" s="754"/>
      <c r="E97" s="13"/>
      <c r="F97" s="13"/>
      <c r="G97" s="13"/>
      <c r="H97" s="13"/>
      <c r="I97" s="391"/>
      <c r="J97" s="392"/>
      <c r="K97" s="13"/>
      <c r="L97" s="373"/>
      <c r="M97" s="384"/>
      <c r="N97" s="377"/>
    </row>
    <row r="98" spans="1:14" ht="15" customHeight="1" x14ac:dyDescent="0.2">
      <c r="A98" s="799"/>
      <c r="B98" s="401" t="s">
        <v>395</v>
      </c>
      <c r="C98" s="395" t="str" cm="1">
        <f t="array" ref="C98">IF(OR(SUM(WORLDCUP!$AN$38:$AN$41)=12,WORLDCUP!$AJ$99=144),WORLDCUP!AL40,B98)</f>
        <v>Costa de Marfil</v>
      </c>
      <c r="D98" s="754"/>
      <c r="E98" s="13"/>
      <c r="F98" s="13"/>
      <c r="G98" s="13"/>
      <c r="H98" s="13"/>
      <c r="I98" s="391"/>
      <c r="J98" s="392"/>
      <c r="K98" s="13"/>
      <c r="L98" s="373"/>
      <c r="M98" s="384"/>
      <c r="N98" s="377"/>
    </row>
    <row r="99" spans="1:14" ht="15" customHeight="1" x14ac:dyDescent="0.2">
      <c r="A99" s="799"/>
      <c r="B99" s="401" t="s">
        <v>396</v>
      </c>
      <c r="C99" s="395" t="str" cm="1">
        <f t="array" ref="C99">IF(OR(SUM(WORLDCUP!$AN$38:$AN$41)=12,WORLDCUP!$AJ$99=144),WORLDCUP!AL41,B99)</f>
        <v>Ecuador</v>
      </c>
      <c r="D99" s="754"/>
      <c r="E99" s="13"/>
      <c r="F99" s="13"/>
      <c r="G99" s="13"/>
      <c r="H99" s="13"/>
      <c r="I99" s="391"/>
      <c r="J99" s="392"/>
      <c r="K99" s="13"/>
      <c r="L99" s="373"/>
      <c r="M99" s="384"/>
      <c r="N99" s="377"/>
    </row>
    <row r="100" spans="1:14" ht="15" customHeight="1" x14ac:dyDescent="0.2">
      <c r="A100" s="804" t="s">
        <v>156</v>
      </c>
      <c r="B100" s="403" t="s">
        <v>397</v>
      </c>
      <c r="C100" s="395" t="str" cm="1">
        <f t="array" ref="C100">IF(OR(SUM(WORLDCUP!$AN$46:$AN$49)=12,WORLDCUP!$AJ$99=144),WORLDCUP!AL46,B100)</f>
        <v>Países Bajos</v>
      </c>
      <c r="D100" s="754"/>
      <c r="E100" s="13"/>
      <c r="F100" s="13"/>
      <c r="G100" s="13"/>
      <c r="H100" s="13"/>
      <c r="I100" s="391"/>
      <c r="J100" s="392"/>
      <c r="K100" s="13"/>
      <c r="L100" s="373"/>
      <c r="M100" s="384"/>
      <c r="N100" s="377"/>
    </row>
    <row r="101" spans="1:14" ht="15" customHeight="1" x14ac:dyDescent="0.2">
      <c r="A101" s="799"/>
      <c r="B101" s="403" t="s">
        <v>398</v>
      </c>
      <c r="C101" s="395" t="str" cm="1">
        <f t="array" ref="C101">IF(OR(SUM(WORLDCUP!$AN$46:$AN$49)=12,WORLDCUP!$AJ$99=144),WORLDCUP!AL47,B101)</f>
        <v>Japón</v>
      </c>
      <c r="D101" s="754"/>
      <c r="E101" s="13"/>
      <c r="F101" s="13"/>
      <c r="G101" s="13"/>
      <c r="H101" s="13"/>
      <c r="I101" s="391"/>
      <c r="J101" s="392"/>
      <c r="K101" s="13"/>
      <c r="L101" s="373"/>
      <c r="M101" s="384"/>
      <c r="N101" s="377"/>
    </row>
    <row r="102" spans="1:14" ht="15" customHeight="1" x14ac:dyDescent="0.2">
      <c r="A102" s="799"/>
      <c r="B102" s="403" t="s">
        <v>399</v>
      </c>
      <c r="C102" s="395" t="str" cm="1">
        <f t="array" ref="C102">IF(OR(SUM(WORLDCUP!$AN$46:$AN$49)=12,WORLDCUP!$AJ$99=144),WORLDCUP!AL48,B102)</f>
        <v>Suecia</v>
      </c>
      <c r="D102" s="754"/>
      <c r="E102" s="13"/>
      <c r="F102" s="13"/>
      <c r="G102" s="13"/>
      <c r="H102" s="13"/>
      <c r="I102" s="391"/>
      <c r="J102" s="392"/>
      <c r="K102" s="13"/>
      <c r="L102" s="373"/>
      <c r="M102" s="384"/>
      <c r="N102" s="377"/>
    </row>
    <row r="103" spans="1:14" ht="15" customHeight="1" x14ac:dyDescent="0.2">
      <c r="A103" s="799"/>
      <c r="B103" s="403" t="s">
        <v>400</v>
      </c>
      <c r="C103" s="395" t="str" cm="1">
        <f t="array" ref="C103">IF(OR(SUM(WORLDCUP!$AN$46:$AN$49)=12,WORLDCUP!$AJ$99=144),WORLDCUP!AL49,B103)</f>
        <v>Túnez</v>
      </c>
      <c r="D103" s="754"/>
      <c r="E103" s="13"/>
      <c r="F103" s="13"/>
      <c r="G103" s="13"/>
      <c r="H103" s="13"/>
      <c r="I103" s="391"/>
      <c r="J103" s="392"/>
      <c r="K103" s="13"/>
      <c r="L103" s="373"/>
      <c r="M103" s="384"/>
      <c r="N103" s="377"/>
    </row>
    <row r="104" spans="1:14" ht="15" customHeight="1" x14ac:dyDescent="0.2">
      <c r="A104" s="802" t="s">
        <v>54</v>
      </c>
      <c r="B104" s="401" t="s">
        <v>401</v>
      </c>
      <c r="C104" s="395" t="str" cm="1">
        <f t="array" ref="C104">IF(OR(SUM(WORLDCUP!$AN$54:$AN$57)=12,WORLDCUP!$AJ$99=144),WORLDCUP!AL54,B104)</f>
        <v>Bélgica</v>
      </c>
      <c r="D104" s="754"/>
      <c r="E104" s="13"/>
      <c r="F104" s="13"/>
      <c r="G104" s="13"/>
      <c r="H104" s="13"/>
      <c r="I104" s="391"/>
      <c r="J104" s="392"/>
      <c r="K104" s="13"/>
      <c r="L104" s="373"/>
      <c r="M104" s="384"/>
      <c r="N104" s="377"/>
    </row>
    <row r="105" spans="1:14" ht="15" customHeight="1" x14ac:dyDescent="0.2">
      <c r="A105" s="799"/>
      <c r="B105" s="401" t="s">
        <v>402</v>
      </c>
      <c r="C105" s="395" t="str" cm="1">
        <f t="array" ref="C105">IF(OR(SUM(WORLDCUP!$AN$54:$AN$57)=12,WORLDCUP!$AJ$99=144),WORLDCUP!AL55,B105)</f>
        <v>Egipto</v>
      </c>
      <c r="D105" s="754"/>
      <c r="E105" s="13"/>
      <c r="F105" s="13"/>
      <c r="G105" s="13"/>
      <c r="H105" s="13"/>
      <c r="I105" s="391"/>
      <c r="J105" s="392"/>
      <c r="K105" s="13"/>
      <c r="L105" s="373"/>
      <c r="M105" s="384"/>
      <c r="N105" s="377"/>
    </row>
    <row r="106" spans="1:14" ht="15" customHeight="1" x14ac:dyDescent="0.2">
      <c r="A106" s="799"/>
      <c r="B106" s="401" t="s">
        <v>403</v>
      </c>
      <c r="C106" s="395" t="str" cm="1">
        <f t="array" ref="C106">IF(OR(SUM(WORLDCUP!$AN$54:$AN$57)=12,WORLDCUP!$AJ$99=144),WORLDCUP!AL56,B106)</f>
        <v>Irán</v>
      </c>
      <c r="D106" s="754"/>
      <c r="E106" s="13"/>
      <c r="F106" s="13"/>
      <c r="G106" s="13"/>
      <c r="H106" s="13"/>
      <c r="I106" s="391"/>
      <c r="J106" s="392"/>
      <c r="K106" s="13"/>
      <c r="L106" s="373"/>
      <c r="M106" s="384"/>
      <c r="N106" s="377"/>
    </row>
    <row r="107" spans="1:14" ht="15" customHeight="1" x14ac:dyDescent="0.2">
      <c r="A107" s="799"/>
      <c r="B107" s="401" t="s">
        <v>404</v>
      </c>
      <c r="C107" s="395" t="str" cm="1">
        <f t="array" ref="C107">IF(OR(SUM(WORLDCUP!$AN$54:$AN$57)=12,WORLDCUP!$AJ$99=144),WORLDCUP!AL57,B107)</f>
        <v>Nueva Zelanda</v>
      </c>
      <c r="D107" s="754"/>
      <c r="E107" s="13"/>
      <c r="F107" s="13"/>
      <c r="G107" s="13"/>
      <c r="H107" s="13"/>
      <c r="I107" s="391"/>
      <c r="J107" s="392"/>
      <c r="K107" s="13"/>
      <c r="L107" s="373"/>
      <c r="M107" s="384"/>
      <c r="N107" s="377"/>
    </row>
    <row r="108" spans="1:14" ht="15" customHeight="1" x14ac:dyDescent="0.2">
      <c r="A108" s="804" t="s">
        <v>173</v>
      </c>
      <c r="B108" s="403" t="s">
        <v>405</v>
      </c>
      <c r="C108" s="395" t="str" cm="1">
        <f t="array" ref="C108">IF(OR(SUM(WORLDCUP!$AN$62:$AN$65)=12,WORLDCUP!$AJ$99=144),WORLDCUP!AL62,B108)</f>
        <v>España</v>
      </c>
      <c r="D108" s="754"/>
      <c r="E108" s="13"/>
      <c r="F108" s="13"/>
      <c r="G108" s="13"/>
      <c r="H108" s="13"/>
      <c r="I108" s="391"/>
      <c r="J108" s="392"/>
      <c r="K108" s="13"/>
      <c r="L108" s="373"/>
      <c r="M108" s="384"/>
      <c r="N108" s="377"/>
    </row>
    <row r="109" spans="1:14" ht="15" customHeight="1" x14ac:dyDescent="0.2">
      <c r="A109" s="799"/>
      <c r="B109" s="403" t="s">
        <v>406</v>
      </c>
      <c r="C109" s="395" t="str" cm="1">
        <f t="array" ref="C109">IF(OR(SUM(WORLDCUP!$AN$62:$AN$65)=12,WORLDCUP!$AJ$99=144),WORLDCUP!AL63,B109)</f>
        <v>Cabo Verde</v>
      </c>
      <c r="D109" s="754"/>
      <c r="E109" s="13"/>
      <c r="F109" s="13"/>
      <c r="G109" s="13"/>
      <c r="H109" s="13"/>
      <c r="I109" s="391"/>
      <c r="J109" s="392"/>
      <c r="K109" s="13"/>
      <c r="L109" s="373"/>
      <c r="M109" s="384"/>
      <c r="N109" s="377"/>
    </row>
    <row r="110" spans="1:14" ht="15" customHeight="1" x14ac:dyDescent="0.2">
      <c r="A110" s="799"/>
      <c r="B110" s="403" t="s">
        <v>407</v>
      </c>
      <c r="C110" s="395" t="str" cm="1">
        <f t="array" ref="C110">IF(OR(SUM(WORLDCUP!$AN$62:$AN$65)=12,WORLDCUP!$AJ$99=144),WORLDCUP!AL64,B110)</f>
        <v>Arabia Saudita</v>
      </c>
      <c r="D110" s="754"/>
      <c r="E110" s="13"/>
      <c r="F110" s="13"/>
      <c r="G110" s="13"/>
      <c r="H110" s="13"/>
      <c r="I110" s="391"/>
      <c r="J110" s="392"/>
      <c r="K110" s="13"/>
      <c r="L110" s="373"/>
      <c r="M110" s="384"/>
      <c r="N110" s="377"/>
    </row>
    <row r="111" spans="1:14" ht="15" customHeight="1" x14ac:dyDescent="0.2">
      <c r="A111" s="799"/>
      <c r="B111" s="403" t="s">
        <v>408</v>
      </c>
      <c r="C111" s="395" t="str" cm="1">
        <f t="array" ref="C111">IF(OR(SUM(WORLDCUP!$AN$62:$AN$65)=12,WORLDCUP!$AJ$99=144),WORLDCUP!AL65,B111)</f>
        <v>Uruguay</v>
      </c>
      <c r="D111" s="754"/>
      <c r="E111" s="13"/>
      <c r="F111" s="13"/>
      <c r="G111" s="13"/>
      <c r="H111" s="13"/>
      <c r="I111" s="391"/>
      <c r="J111" s="392"/>
      <c r="K111" s="13"/>
      <c r="L111" s="373"/>
      <c r="M111" s="384"/>
      <c r="N111" s="377"/>
    </row>
    <row r="112" spans="1:14" ht="15" customHeight="1" x14ac:dyDescent="0.2">
      <c r="A112" s="802" t="s">
        <v>182</v>
      </c>
      <c r="B112" s="401" t="s">
        <v>409</v>
      </c>
      <c r="C112" s="395" t="str" cm="1">
        <f t="array" ref="C112">IF(OR(SUM(WORLDCUP!$AN$70:$AN$73)=12,WORLDCUP!$AJ$99=144),WORLDCUP!AL70,B112)</f>
        <v>Francia</v>
      </c>
      <c r="D112" s="754"/>
      <c r="E112" s="13"/>
      <c r="F112" s="13"/>
      <c r="G112" s="13"/>
      <c r="H112" s="13"/>
      <c r="I112" s="391"/>
      <c r="J112" s="392"/>
      <c r="K112" s="13"/>
      <c r="L112" s="373"/>
      <c r="M112" s="384"/>
      <c r="N112" s="377"/>
    </row>
    <row r="113" spans="1:14" ht="15" customHeight="1" x14ac:dyDescent="0.2">
      <c r="A113" s="799"/>
      <c r="B113" s="401" t="s">
        <v>410</v>
      </c>
      <c r="C113" s="395" t="str" cm="1">
        <f t="array" ref="C113">IF(OR(SUM(WORLDCUP!$AN$70:$AN$73)=12,WORLDCUP!$AJ$99=144),WORLDCUP!AL71,B113)</f>
        <v>Senegal</v>
      </c>
      <c r="D113" s="754"/>
      <c r="E113" s="13"/>
      <c r="F113" s="13"/>
      <c r="G113" s="13"/>
      <c r="H113" s="13"/>
      <c r="I113" s="391"/>
      <c r="J113" s="392"/>
      <c r="K113" s="13"/>
      <c r="L113" s="373"/>
      <c r="M113" s="384"/>
      <c r="N113" s="377"/>
    </row>
    <row r="114" spans="1:14" ht="15" customHeight="1" x14ac:dyDescent="0.2">
      <c r="A114" s="799"/>
      <c r="B114" s="401" t="s">
        <v>411</v>
      </c>
      <c r="C114" s="395" t="str" cm="1">
        <f t="array" ref="C114">IF(OR(SUM(WORLDCUP!$AN$70:$AN$73)=12,WORLDCUP!$AJ$99=144),WORLDCUP!AL72,B114)</f>
        <v>Irak</v>
      </c>
      <c r="D114" s="754"/>
      <c r="E114" s="13"/>
      <c r="F114" s="13"/>
      <c r="G114" s="13"/>
      <c r="H114" s="13"/>
      <c r="I114" s="391"/>
      <c r="J114" s="392"/>
      <c r="K114" s="13"/>
      <c r="L114" s="373"/>
      <c r="M114" s="384"/>
      <c r="N114" s="377"/>
    </row>
    <row r="115" spans="1:14" ht="15" customHeight="1" x14ac:dyDescent="0.2">
      <c r="A115" s="799"/>
      <c r="B115" s="401" t="s">
        <v>412</v>
      </c>
      <c r="C115" s="395" t="str" cm="1">
        <f t="array" ref="C115">IF(OR(SUM(WORLDCUP!$AN$70:$AN$73)=12,WORLDCUP!$AJ$99=144),WORLDCUP!AL73,B115)</f>
        <v>Noruega</v>
      </c>
      <c r="D115" s="754"/>
      <c r="E115" s="13"/>
      <c r="F115" s="13"/>
      <c r="G115" s="13"/>
      <c r="H115" s="13"/>
      <c r="I115" s="391"/>
      <c r="J115" s="392"/>
      <c r="K115" s="13"/>
      <c r="L115" s="373"/>
      <c r="M115" s="384"/>
      <c r="N115" s="377"/>
    </row>
    <row r="116" spans="1:14" ht="15" customHeight="1" x14ac:dyDescent="0.2">
      <c r="A116" s="804" t="s">
        <v>53</v>
      </c>
      <c r="B116" s="403" t="s">
        <v>413</v>
      </c>
      <c r="C116" s="395" t="str" cm="1">
        <f t="array" ref="C116">IF(OR(SUM(WORLDCUP!$AN$78:$AN$81)=12,WORLDCUP!$AJ$99=144),WORLDCUP!AL78,B116)</f>
        <v>Argentina</v>
      </c>
      <c r="D116" s="754"/>
      <c r="E116" s="13"/>
      <c r="F116" s="13"/>
      <c r="G116" s="13"/>
      <c r="H116" s="13"/>
      <c r="I116" s="391"/>
      <c r="J116" s="392"/>
      <c r="K116" s="13"/>
      <c r="L116" s="373"/>
      <c r="M116" s="384"/>
      <c r="N116" s="377"/>
    </row>
    <row r="117" spans="1:14" ht="15" customHeight="1" x14ac:dyDescent="0.2">
      <c r="A117" s="799"/>
      <c r="B117" s="403" t="s">
        <v>414</v>
      </c>
      <c r="C117" s="395" t="str" cm="1">
        <f t="array" ref="C117">IF(OR(SUM(WORLDCUP!$AN$78:$AN$81)=12,WORLDCUP!$AJ$99=144),WORLDCUP!AL79,B117)</f>
        <v>Argelia</v>
      </c>
      <c r="D117" s="754"/>
      <c r="E117" s="13"/>
      <c r="F117" s="13"/>
      <c r="G117" s="13"/>
      <c r="H117" s="13"/>
      <c r="I117" s="391"/>
      <c r="J117" s="392"/>
      <c r="K117" s="13"/>
      <c r="L117" s="373"/>
      <c r="M117" s="384"/>
      <c r="N117" s="377"/>
    </row>
    <row r="118" spans="1:14" ht="15" customHeight="1" x14ac:dyDescent="0.2">
      <c r="A118" s="799"/>
      <c r="B118" s="403" t="s">
        <v>415</v>
      </c>
      <c r="C118" s="395" t="str" cm="1">
        <f t="array" ref="C118">IF(OR(SUM(WORLDCUP!$AN$78:$AN$81)=12,WORLDCUP!$AJ$99=144),WORLDCUP!AL80,B118)</f>
        <v>Austria</v>
      </c>
      <c r="D118" s="754"/>
      <c r="E118" s="13"/>
      <c r="F118" s="13"/>
      <c r="G118" s="13"/>
      <c r="H118" s="13"/>
      <c r="I118" s="391"/>
      <c r="J118" s="392"/>
      <c r="K118" s="13"/>
      <c r="L118" s="373"/>
      <c r="M118" s="384"/>
      <c r="N118" s="377"/>
    </row>
    <row r="119" spans="1:14" ht="15" customHeight="1" x14ac:dyDescent="0.2">
      <c r="A119" s="799"/>
      <c r="B119" s="403" t="s">
        <v>416</v>
      </c>
      <c r="C119" s="395" t="str" cm="1">
        <f t="array" ref="C119">IF(OR(SUM(WORLDCUP!$AN$78:$AN$81)=12,WORLDCUP!$AJ$99=144),WORLDCUP!AL81,B119)</f>
        <v>Jordania</v>
      </c>
      <c r="D119" s="754"/>
      <c r="E119" s="13"/>
      <c r="F119" s="13"/>
      <c r="G119" s="13"/>
      <c r="H119" s="13"/>
      <c r="I119" s="391"/>
      <c r="J119" s="392"/>
      <c r="K119" s="13"/>
      <c r="L119" s="373"/>
      <c r="M119" s="384"/>
      <c r="N119" s="377"/>
    </row>
    <row r="120" spans="1:14" ht="15" customHeight="1" x14ac:dyDescent="0.2">
      <c r="A120" s="802" t="s">
        <v>199</v>
      </c>
      <c r="B120" s="401" t="s">
        <v>417</v>
      </c>
      <c r="C120" s="395" t="str" cm="1">
        <f t="array" ref="C120">IF(OR(SUM(WORLDCUP!$AN$86:$AN$89)=12,WORLDCUP!$AJ$99=144),WORLDCUP!AL86,B120)</f>
        <v>Portugal</v>
      </c>
      <c r="D120" s="754"/>
      <c r="E120" s="13"/>
      <c r="F120" s="13"/>
      <c r="G120" s="13"/>
      <c r="H120" s="13"/>
      <c r="I120" s="391"/>
      <c r="J120" s="392"/>
      <c r="K120" s="13"/>
      <c r="L120" s="373"/>
      <c r="M120" s="384"/>
      <c r="N120" s="377"/>
    </row>
    <row r="121" spans="1:14" ht="15" customHeight="1" x14ac:dyDescent="0.2">
      <c r="A121" s="799"/>
      <c r="B121" s="401" t="s">
        <v>418</v>
      </c>
      <c r="C121" s="395" t="str" cm="1">
        <f t="array" ref="C121">IF(OR(SUM(WORLDCUP!$AN$86:$AN$89)=12,WORLDCUP!$AJ$99=144),WORLDCUP!AL87,B121)</f>
        <v>RD Congo</v>
      </c>
      <c r="D121" s="754"/>
      <c r="E121" s="13"/>
      <c r="F121" s="13"/>
      <c r="G121" s="13"/>
      <c r="H121" s="13"/>
      <c r="I121" s="391"/>
      <c r="J121" s="392"/>
      <c r="K121" s="13"/>
      <c r="L121" s="373"/>
      <c r="M121" s="384"/>
      <c r="N121" s="377"/>
    </row>
    <row r="122" spans="1:14" ht="15" customHeight="1" x14ac:dyDescent="0.2">
      <c r="A122" s="799"/>
      <c r="B122" s="401" t="s">
        <v>419</v>
      </c>
      <c r="C122" s="395" t="str" cm="1">
        <f t="array" ref="C122">IF(OR(SUM(WORLDCUP!$AN$86:$AN$89)=12,WORLDCUP!$AJ$99=144),WORLDCUP!AL88,B122)</f>
        <v>Uzbekistán</v>
      </c>
      <c r="D122" s="754"/>
      <c r="E122" s="13"/>
      <c r="F122" s="13"/>
      <c r="G122" s="13"/>
      <c r="H122" s="13"/>
      <c r="I122" s="391"/>
      <c r="J122" s="392"/>
      <c r="K122" s="13"/>
      <c r="L122" s="373"/>
      <c r="M122" s="384"/>
      <c r="N122" s="377"/>
    </row>
    <row r="123" spans="1:14" ht="15" customHeight="1" x14ac:dyDescent="0.2">
      <c r="A123" s="799"/>
      <c r="B123" s="401" t="s">
        <v>420</v>
      </c>
      <c r="C123" s="395" t="str" cm="1">
        <f t="array" ref="C123">IF(OR(SUM(WORLDCUP!$AN$86:$AN$89)=12,WORLDCUP!$AJ$99=144),WORLDCUP!AL89,B123)</f>
        <v>Colombia</v>
      </c>
      <c r="D123" s="754"/>
      <c r="E123" s="13"/>
      <c r="F123" s="13"/>
      <c r="G123" s="13"/>
      <c r="H123" s="13"/>
      <c r="I123" s="391"/>
      <c r="J123" s="392"/>
      <c r="K123" s="13"/>
      <c r="L123" s="373"/>
      <c r="M123" s="384"/>
      <c r="N123" s="377"/>
    </row>
    <row r="124" spans="1:14" ht="15" customHeight="1" x14ac:dyDescent="0.2">
      <c r="A124" s="804" t="s">
        <v>208</v>
      </c>
      <c r="B124" s="403" t="s">
        <v>421</v>
      </c>
      <c r="C124" s="395" t="str" cm="1">
        <f t="array" ref="C124">IF(OR(SUM(WORLDCUP!$AN$94:$AN$97)=12,WORLDCUP!$AJ$99=144),WORLDCUP!AL94,B124)</f>
        <v>Inglaterra</v>
      </c>
      <c r="D124" s="754"/>
      <c r="E124" s="13"/>
      <c r="F124" s="13"/>
      <c r="G124" s="13"/>
      <c r="H124" s="13"/>
      <c r="I124" s="391"/>
      <c r="J124" s="392"/>
      <c r="K124" s="13"/>
      <c r="L124" s="373"/>
      <c r="M124" s="384"/>
      <c r="N124" s="377"/>
    </row>
    <row r="125" spans="1:14" ht="15" customHeight="1" x14ac:dyDescent="0.2">
      <c r="A125" s="799"/>
      <c r="B125" s="403" t="s">
        <v>422</v>
      </c>
      <c r="C125" s="395" t="str" cm="1">
        <f t="array" ref="C125">IF(OR(SUM(WORLDCUP!$AN$94:$AN$97)=12,WORLDCUP!$AJ$99=144),WORLDCUP!AL95,B125)</f>
        <v>Croacia</v>
      </c>
      <c r="D125" s="754"/>
      <c r="E125" s="13"/>
      <c r="F125" s="13"/>
      <c r="G125" s="13"/>
      <c r="H125" s="13"/>
      <c r="I125" s="391"/>
      <c r="J125" s="392"/>
      <c r="K125" s="13"/>
      <c r="L125" s="373"/>
      <c r="M125" s="384"/>
      <c r="N125" s="377"/>
    </row>
    <row r="126" spans="1:14" ht="15" customHeight="1" x14ac:dyDescent="0.2">
      <c r="A126" s="799"/>
      <c r="B126" s="403" t="s">
        <v>423</v>
      </c>
      <c r="C126" s="395" t="str" cm="1">
        <f t="array" ref="C126">IF(OR(SUM(WORLDCUP!$AN$94:$AN$97)=12,WORLDCUP!$AJ$99=144),WORLDCUP!AL96,B126)</f>
        <v>Ghana</v>
      </c>
      <c r="D126" s="754"/>
      <c r="E126" s="13"/>
      <c r="F126" s="13"/>
      <c r="G126" s="13"/>
      <c r="H126" s="13"/>
      <c r="I126" s="391"/>
      <c r="J126" s="392"/>
      <c r="K126" s="13"/>
      <c r="L126" s="373"/>
      <c r="M126" s="384"/>
      <c r="N126" s="377"/>
    </row>
    <row r="127" spans="1:14" ht="15" customHeight="1" x14ac:dyDescent="0.2">
      <c r="A127" s="799"/>
      <c r="B127" s="403" t="s">
        <v>424</v>
      </c>
      <c r="C127" s="395" t="str" cm="1">
        <f t="array" ref="C127">IF(OR(SUM(WORLDCUP!$AN$94:$AN$97)=12,WORLDCUP!$AJ$99=144),WORLDCUP!AL97,B127)</f>
        <v>Panamá</v>
      </c>
      <c r="D127" s="754"/>
      <c r="E127" s="13"/>
      <c r="F127" s="13"/>
      <c r="G127" s="13"/>
      <c r="H127" s="13"/>
      <c r="I127" s="391"/>
      <c r="J127" s="392"/>
      <c r="K127" s="13"/>
      <c r="L127" s="373"/>
      <c r="M127" s="384"/>
      <c r="N127" s="377"/>
    </row>
    <row r="128" spans="1:14" ht="15" customHeight="1" x14ac:dyDescent="0.2">
      <c r="A128" s="378"/>
      <c r="B128" s="397"/>
      <c r="C128" s="398"/>
      <c r="D128" s="754"/>
      <c r="E128" s="13"/>
      <c r="F128" s="13"/>
      <c r="G128" s="13"/>
      <c r="H128" s="13"/>
      <c r="I128" s="391"/>
      <c r="J128" s="392"/>
      <c r="K128" s="13"/>
      <c r="L128" s="373"/>
      <c r="M128" s="384"/>
      <c r="N128" s="377"/>
    </row>
    <row r="129" spans="1:14" ht="19" customHeight="1" x14ac:dyDescent="0.25">
      <c r="A129" s="378"/>
      <c r="B129" s="404" t="s">
        <v>425</v>
      </c>
      <c r="C129" s="400"/>
      <c r="D129" s="754"/>
      <c r="E129" s="13"/>
      <c r="F129" s="13"/>
      <c r="G129" s="13"/>
      <c r="H129" s="13"/>
      <c r="I129" s="391"/>
      <c r="J129" s="392"/>
      <c r="K129" s="13"/>
      <c r="L129" s="373"/>
      <c r="M129" s="384"/>
      <c r="N129" s="377"/>
    </row>
    <row r="130" spans="1:14" ht="15" customHeight="1" x14ac:dyDescent="0.2">
      <c r="A130" s="801" t="s">
        <v>232</v>
      </c>
      <c r="B130" s="405" t="s">
        <v>426</v>
      </c>
      <c r="C130" s="395" t="str" cm="1">
        <f t="array" ref="C130">WORLDCUP!AA101</f>
        <v>Sudáfrica</v>
      </c>
      <c r="D130" s="754"/>
      <c r="E130" s="13"/>
      <c r="F130" s="13"/>
      <c r="G130" s="13"/>
      <c r="H130" s="13"/>
      <c r="I130" s="391"/>
      <c r="J130" s="392"/>
      <c r="K130" s="13"/>
      <c r="L130" s="373"/>
      <c r="M130" s="384"/>
      <c r="N130" s="377"/>
    </row>
    <row r="131" spans="1:14" ht="15" customHeight="1" x14ac:dyDescent="0.2">
      <c r="A131" s="799"/>
      <c r="B131" s="395" t="str" cm="1">
        <f t="array" ref="B131">B130</f>
        <v>Dieciseisavofinalista</v>
      </c>
      <c r="C131" s="395" t="str" cm="1">
        <f t="array" ref="C131">WORLDCUP!AA102</f>
        <v>Brasil</v>
      </c>
      <c r="D131" s="754"/>
      <c r="E131" s="13"/>
      <c r="F131" s="13"/>
      <c r="G131" s="13"/>
      <c r="H131" s="13"/>
      <c r="I131" s="391"/>
      <c r="J131" s="392"/>
      <c r="K131" s="13"/>
      <c r="L131" s="373"/>
      <c r="M131" s="384"/>
      <c r="N131" s="377"/>
    </row>
    <row r="132" spans="1:14" ht="15" customHeight="1" x14ac:dyDescent="0.2">
      <c r="A132" s="799"/>
      <c r="B132" s="395" t="str" cm="1">
        <f t="array" ref="B132">B131</f>
        <v>Dieciseisavofinalista</v>
      </c>
      <c r="C132" s="395" t="str" cm="1">
        <f t="array" ref="C132">WORLDCUP!AA103</f>
        <v>Alemania</v>
      </c>
      <c r="D132" s="754"/>
      <c r="E132" s="13"/>
      <c r="F132" s="13"/>
      <c r="G132" s="13"/>
      <c r="H132" s="13"/>
      <c r="I132" s="391"/>
      <c r="J132" s="392"/>
      <c r="K132" s="13"/>
      <c r="L132" s="373"/>
      <c r="M132" s="384"/>
      <c r="N132" s="377"/>
    </row>
    <row r="133" spans="1:14" ht="15" customHeight="1" x14ac:dyDescent="0.2">
      <c r="A133" s="799"/>
      <c r="B133" s="395" t="str" cm="1">
        <f t="array" ref="B133">B132</f>
        <v>Dieciseisavofinalista</v>
      </c>
      <c r="C133" s="395" t="str" cm="1">
        <f t="array" ref="C133">WORLDCUP!AA104</f>
        <v>Países Bajos</v>
      </c>
      <c r="D133" s="754"/>
      <c r="E133" s="13"/>
      <c r="F133" s="13"/>
      <c r="G133" s="13"/>
      <c r="H133" s="13"/>
      <c r="I133" s="391"/>
      <c r="J133" s="392"/>
      <c r="K133" s="13"/>
      <c r="L133" s="373"/>
      <c r="M133" s="384"/>
      <c r="N133" s="377"/>
    </row>
    <row r="134" spans="1:14" ht="15" customHeight="1" x14ac:dyDescent="0.2">
      <c r="A134" s="799"/>
      <c r="B134" s="395" t="str" cm="1">
        <f t="array" ref="B134">B133</f>
        <v>Dieciseisavofinalista</v>
      </c>
      <c r="C134" s="395" t="str" cm="1">
        <f t="array" ref="C134">WORLDCUP!AA105</f>
        <v>Curazao</v>
      </c>
      <c r="D134" s="754"/>
      <c r="E134" s="13"/>
      <c r="F134" s="13"/>
      <c r="G134" s="13"/>
      <c r="H134" s="13"/>
      <c r="I134" s="391"/>
      <c r="J134" s="392"/>
      <c r="K134" s="13"/>
      <c r="L134" s="373"/>
      <c r="M134" s="384"/>
      <c r="N134" s="377"/>
    </row>
    <row r="135" spans="1:14" ht="15" customHeight="1" x14ac:dyDescent="0.2">
      <c r="A135" s="799"/>
      <c r="B135" s="395" t="str" cm="1">
        <f t="array" ref="B135">B134</f>
        <v>Dieciseisavofinalista</v>
      </c>
      <c r="C135" s="395" t="str" cm="1">
        <f t="array" ref="C135">WORLDCUP!AA106</f>
        <v>Francia</v>
      </c>
      <c r="D135" s="754"/>
      <c r="E135" s="13"/>
      <c r="F135" s="13"/>
      <c r="G135" s="13"/>
      <c r="H135" s="13"/>
      <c r="I135" s="391"/>
      <c r="J135" s="392"/>
      <c r="K135" s="13"/>
      <c r="L135" s="373"/>
      <c r="M135" s="384"/>
      <c r="N135" s="377"/>
    </row>
    <row r="136" spans="1:14" ht="15" customHeight="1" x14ac:dyDescent="0.2">
      <c r="A136" s="799"/>
      <c r="B136" s="395" t="str" cm="1">
        <f t="array" ref="B136">B135</f>
        <v>Dieciseisavofinalista</v>
      </c>
      <c r="C136" s="395" t="str" cm="1">
        <f t="array" ref="C136">WORLDCUP!AA107</f>
        <v>México</v>
      </c>
      <c r="D136" s="754"/>
      <c r="E136" s="13"/>
      <c r="F136" s="13"/>
      <c r="G136" s="13"/>
      <c r="H136" s="13"/>
      <c r="I136" s="391"/>
      <c r="J136" s="392"/>
      <c r="K136" s="13"/>
      <c r="L136" s="373"/>
      <c r="M136" s="384"/>
      <c r="N136" s="377"/>
    </row>
    <row r="137" spans="1:14" ht="15" customHeight="1" x14ac:dyDescent="0.2">
      <c r="A137" s="799"/>
      <c r="B137" s="395" t="str" cm="1">
        <f t="array" ref="B137">B136</f>
        <v>Dieciseisavofinalista</v>
      </c>
      <c r="C137" s="395" t="str" cm="1">
        <f t="array" ref="C137">WORLDCUP!AA108</f>
        <v>Inglaterra</v>
      </c>
      <c r="D137" s="754"/>
      <c r="E137" s="13"/>
      <c r="F137" s="13"/>
      <c r="G137" s="13"/>
      <c r="H137" s="13"/>
      <c r="I137" s="391"/>
      <c r="J137" s="392"/>
      <c r="K137" s="13"/>
      <c r="L137" s="373"/>
      <c r="M137" s="384"/>
      <c r="N137" s="377"/>
    </row>
    <row r="138" spans="1:14" ht="15" customHeight="1" x14ac:dyDescent="0.2">
      <c r="A138" s="799"/>
      <c r="B138" s="395" t="str" cm="1">
        <f t="array" ref="B138">B137</f>
        <v>Dieciseisavofinalista</v>
      </c>
      <c r="C138" s="395" t="str" cm="1">
        <f t="array" ref="C138">WORLDCUP!AA109</f>
        <v>Bélgica</v>
      </c>
      <c r="D138" s="754"/>
      <c r="E138" s="13"/>
      <c r="F138" s="13"/>
      <c r="G138" s="13"/>
      <c r="H138" s="13"/>
      <c r="I138" s="391"/>
      <c r="J138" s="392"/>
      <c r="K138" s="13"/>
      <c r="L138" s="373"/>
      <c r="M138" s="384"/>
      <c r="N138" s="377"/>
    </row>
    <row r="139" spans="1:14" ht="15" customHeight="1" x14ac:dyDescent="0.2">
      <c r="A139" s="799"/>
      <c r="B139" s="395" t="str" cm="1">
        <f t="array" ref="B139">B138</f>
        <v>Dieciseisavofinalista</v>
      </c>
      <c r="C139" s="395" t="str" cm="1">
        <f t="array" ref="C139">WORLDCUP!AA110</f>
        <v>Estados Unidos</v>
      </c>
      <c r="D139" s="754"/>
      <c r="E139" s="13"/>
      <c r="F139" s="13"/>
      <c r="G139" s="13"/>
      <c r="H139" s="13"/>
      <c r="I139" s="391"/>
      <c r="J139" s="392"/>
      <c r="K139" s="13"/>
      <c r="L139" s="373"/>
      <c r="M139" s="384"/>
      <c r="N139" s="377"/>
    </row>
    <row r="140" spans="1:14" ht="15" customHeight="1" x14ac:dyDescent="0.2">
      <c r="A140" s="799"/>
      <c r="B140" s="395" t="str" cm="1">
        <f t="array" ref="B140">B139</f>
        <v>Dieciseisavofinalista</v>
      </c>
      <c r="C140" s="395" t="str" cm="1">
        <f t="array" ref="C140">WORLDCUP!AA111</f>
        <v>España</v>
      </c>
      <c r="D140" s="754"/>
      <c r="E140" s="13"/>
      <c r="F140" s="13"/>
      <c r="G140" s="13"/>
      <c r="H140" s="13"/>
      <c r="I140" s="391"/>
      <c r="J140" s="392"/>
      <c r="K140" s="13"/>
      <c r="L140" s="373"/>
      <c r="M140" s="384"/>
      <c r="N140" s="377"/>
    </row>
    <row r="141" spans="1:14" ht="15" customHeight="1" x14ac:dyDescent="0.2">
      <c r="A141" s="799"/>
      <c r="B141" s="395" t="str" cm="1">
        <f t="array" ref="B141">B140</f>
        <v>Dieciseisavofinalista</v>
      </c>
      <c r="C141" s="395" t="str" cm="1">
        <f t="array" ref="C141">WORLDCUP!AA112</f>
        <v>RD Congo</v>
      </c>
      <c r="D141" s="754"/>
      <c r="E141" s="13"/>
      <c r="F141" s="13"/>
      <c r="G141" s="13"/>
      <c r="H141" s="13"/>
      <c r="I141" s="391"/>
      <c r="J141" s="392"/>
      <c r="K141" s="13"/>
      <c r="L141" s="373"/>
      <c r="M141" s="384"/>
      <c r="N141" s="377"/>
    </row>
    <row r="142" spans="1:14" ht="15" customHeight="1" x14ac:dyDescent="0.2">
      <c r="A142" s="799"/>
      <c r="B142" s="395" t="str" cm="1">
        <f t="array" ref="B142">B141</f>
        <v>Dieciseisavofinalista</v>
      </c>
      <c r="C142" s="395" t="str" cm="1">
        <f t="array" ref="C142">WORLDCUP!AA113</f>
        <v>Canadá</v>
      </c>
      <c r="D142" s="754"/>
      <c r="E142" s="13"/>
      <c r="F142" s="13"/>
      <c r="G142" s="13"/>
      <c r="H142" s="13"/>
      <c r="I142" s="391"/>
      <c r="J142" s="392"/>
      <c r="K142" s="13"/>
      <c r="L142" s="373"/>
      <c r="M142" s="384"/>
      <c r="N142" s="377"/>
    </row>
    <row r="143" spans="1:14" ht="15" customHeight="1" x14ac:dyDescent="0.2">
      <c r="A143" s="799"/>
      <c r="B143" s="395" t="str" cm="1">
        <f t="array" ref="B143">B142</f>
        <v>Dieciseisavofinalista</v>
      </c>
      <c r="C143" s="395" t="str" cm="1">
        <f t="array" ref="C143">WORLDCUP!AA114</f>
        <v>Paraguay</v>
      </c>
      <c r="D143" s="754"/>
      <c r="E143" s="13"/>
      <c r="F143" s="13"/>
      <c r="G143" s="13"/>
      <c r="H143" s="13"/>
      <c r="I143" s="391"/>
      <c r="J143" s="392"/>
      <c r="K143" s="13"/>
      <c r="L143" s="373"/>
      <c r="M143" s="384"/>
      <c r="N143" s="377"/>
    </row>
    <row r="144" spans="1:14" ht="15" customHeight="1" x14ac:dyDescent="0.2">
      <c r="A144" s="799"/>
      <c r="B144" s="395" t="str" cm="1">
        <f t="array" ref="B144">B143</f>
        <v>Dieciseisavofinalista</v>
      </c>
      <c r="C144" s="395" t="str" cm="1">
        <f t="array" ref="C144">WORLDCUP!AA115</f>
        <v>Argentina</v>
      </c>
      <c r="D144" s="754"/>
      <c r="E144" s="13"/>
      <c r="F144" s="13"/>
      <c r="G144" s="13"/>
      <c r="H144" s="13"/>
      <c r="I144" s="391"/>
      <c r="J144" s="392"/>
      <c r="K144" s="13"/>
      <c r="L144" s="373"/>
      <c r="M144" s="384"/>
      <c r="N144" s="377"/>
    </row>
    <row r="145" spans="1:14" ht="15" customHeight="1" x14ac:dyDescent="0.2">
      <c r="A145" s="799"/>
      <c r="B145" s="395" t="str" cm="1">
        <f t="array" ref="B145">B144</f>
        <v>Dieciseisavofinalista</v>
      </c>
      <c r="C145" s="395" t="str" cm="1">
        <f t="array" ref="C145">WORLDCUP!AA116</f>
        <v>Portugal</v>
      </c>
      <c r="D145" s="754"/>
      <c r="E145" s="13"/>
      <c r="F145" s="13"/>
      <c r="G145" s="13"/>
      <c r="H145" s="13"/>
      <c r="I145" s="391"/>
      <c r="J145" s="392"/>
      <c r="K145" s="13"/>
      <c r="L145" s="373"/>
      <c r="M145" s="384"/>
      <c r="N145" s="377"/>
    </row>
    <row r="146" spans="1:14" ht="15" customHeight="1" x14ac:dyDescent="0.2">
      <c r="A146" s="799"/>
      <c r="B146" s="405" t="s">
        <v>426</v>
      </c>
      <c r="C146" s="395" t="str" cm="1">
        <f t="array" ref="C146">WORLDCUP!AF101</f>
        <v>2B</v>
      </c>
      <c r="D146" s="754"/>
      <c r="E146" s="13"/>
      <c r="F146" s="13"/>
      <c r="G146" s="13"/>
      <c r="H146" s="13"/>
      <c r="I146" s="391"/>
      <c r="J146" s="392"/>
      <c r="K146" s="13"/>
      <c r="L146" s="373"/>
      <c r="M146" s="384"/>
      <c r="N146" s="377"/>
    </row>
    <row r="147" spans="1:14" ht="15" customHeight="1" x14ac:dyDescent="0.2">
      <c r="A147" s="799"/>
      <c r="B147" s="395" t="str" cm="1">
        <f t="array" ref="B147">B146</f>
        <v>Dieciseisavofinalista</v>
      </c>
      <c r="C147" s="395" t="str" cm="1">
        <f t="array" ref="C147">WORLDCUP!AF102</f>
        <v>2F</v>
      </c>
      <c r="D147" s="754"/>
      <c r="E147" s="13"/>
      <c r="F147" s="13"/>
      <c r="G147" s="13"/>
      <c r="H147" s="13"/>
      <c r="I147" s="391"/>
      <c r="J147" s="392"/>
      <c r="K147" s="13"/>
      <c r="L147" s="373"/>
      <c r="M147" s="384"/>
      <c r="N147" s="377"/>
    </row>
    <row r="148" spans="1:14" ht="15" customHeight="1" x14ac:dyDescent="0.2">
      <c r="A148" s="799"/>
      <c r="B148" s="395" t="str" cm="1">
        <f t="array" ref="B148">B147</f>
        <v>Dieciseisavofinalista</v>
      </c>
      <c r="C148" s="395" t="str" cm="1">
        <f t="array" ref="C148">WORLDCUP!AF103</f>
        <v>3ABCDF</v>
      </c>
      <c r="D148" s="754"/>
      <c r="E148" s="13"/>
      <c r="F148" s="13"/>
      <c r="G148" s="13"/>
      <c r="H148" s="13"/>
      <c r="I148" s="391"/>
      <c r="J148" s="392"/>
      <c r="K148" s="13"/>
      <c r="L148" s="373"/>
      <c r="M148" s="384"/>
      <c r="N148" s="377"/>
    </row>
    <row r="149" spans="1:14" ht="15" customHeight="1" x14ac:dyDescent="0.2">
      <c r="A149" s="799"/>
      <c r="B149" s="395" t="str" cm="1">
        <f t="array" ref="B149">B148</f>
        <v>Dieciseisavofinalista</v>
      </c>
      <c r="C149" s="395" t="str" cm="1">
        <f t="array" ref="C149">WORLDCUP!AF104</f>
        <v>2C</v>
      </c>
      <c r="D149" s="754"/>
      <c r="E149" s="13"/>
      <c r="F149" s="13"/>
      <c r="G149" s="13"/>
      <c r="H149" s="13"/>
      <c r="I149" s="391"/>
      <c r="J149" s="392"/>
      <c r="K149" s="13"/>
      <c r="L149" s="373"/>
      <c r="M149" s="384"/>
      <c r="N149" s="377"/>
    </row>
    <row r="150" spans="1:14" ht="15" customHeight="1" x14ac:dyDescent="0.2">
      <c r="A150" s="799"/>
      <c r="B150" s="395" t="str" cm="1">
        <f t="array" ref="B150">B149</f>
        <v>Dieciseisavofinalista</v>
      </c>
      <c r="C150" s="395" t="str" cm="1">
        <f t="array" ref="C150">WORLDCUP!AF105</f>
        <v>2I</v>
      </c>
      <c r="D150" s="754"/>
      <c r="E150" s="13"/>
      <c r="F150" s="13"/>
      <c r="G150" s="13"/>
      <c r="H150" s="13"/>
      <c r="I150" s="391"/>
      <c r="J150" s="392"/>
      <c r="K150" s="13"/>
      <c r="L150" s="373"/>
      <c r="M150" s="384"/>
      <c r="N150" s="377"/>
    </row>
    <row r="151" spans="1:14" ht="15" customHeight="1" x14ac:dyDescent="0.2">
      <c r="A151" s="799"/>
      <c r="B151" s="395" t="str" cm="1">
        <f t="array" ref="B151">B150</f>
        <v>Dieciseisavofinalista</v>
      </c>
      <c r="C151" s="395" t="str" cm="1">
        <f t="array" ref="C151">WORLDCUP!AF106</f>
        <v>3CDFGH</v>
      </c>
      <c r="D151" s="754"/>
      <c r="E151" s="13"/>
      <c r="F151" s="13"/>
      <c r="G151" s="13"/>
      <c r="H151" s="13"/>
      <c r="I151" s="391"/>
      <c r="J151" s="392"/>
      <c r="K151" s="13"/>
      <c r="L151" s="373"/>
      <c r="M151" s="384"/>
      <c r="N151" s="377"/>
    </row>
    <row r="152" spans="1:14" ht="15" customHeight="1" x14ac:dyDescent="0.2">
      <c r="A152" s="799"/>
      <c r="B152" s="395" t="str" cm="1">
        <f t="array" ref="B152">B151</f>
        <v>Dieciseisavofinalista</v>
      </c>
      <c r="C152" s="395" t="str" cm="1">
        <f t="array" ref="C152">WORLDCUP!AF107</f>
        <v>3CEFHI</v>
      </c>
      <c r="D152" s="754"/>
      <c r="E152" s="13"/>
      <c r="F152" s="13"/>
      <c r="G152" s="13"/>
      <c r="H152" s="13"/>
      <c r="I152" s="391"/>
      <c r="J152" s="392"/>
      <c r="K152" s="13"/>
      <c r="L152" s="373"/>
      <c r="M152" s="384"/>
      <c r="N152" s="377"/>
    </row>
    <row r="153" spans="1:14" ht="15" customHeight="1" x14ac:dyDescent="0.2">
      <c r="A153" s="799"/>
      <c r="B153" s="395" t="str" cm="1">
        <f t="array" ref="B153">B152</f>
        <v>Dieciseisavofinalista</v>
      </c>
      <c r="C153" s="395" t="str" cm="1">
        <f t="array" ref="C153">WORLDCUP!AF108</f>
        <v>3EHIJK</v>
      </c>
      <c r="D153" s="754"/>
      <c r="E153" s="13"/>
      <c r="F153" s="13"/>
      <c r="G153" s="13"/>
      <c r="H153" s="13"/>
      <c r="I153" s="391"/>
      <c r="J153" s="392"/>
      <c r="K153" s="13"/>
      <c r="L153" s="373"/>
      <c r="M153" s="384"/>
      <c r="N153" s="377"/>
    </row>
    <row r="154" spans="1:14" ht="15" customHeight="1" x14ac:dyDescent="0.2">
      <c r="A154" s="799"/>
      <c r="B154" s="395" t="str" cm="1">
        <f t="array" ref="B154">B153</f>
        <v>Dieciseisavofinalista</v>
      </c>
      <c r="C154" s="395" t="str" cm="1">
        <f t="array" ref="C154">WORLDCUP!AF109</f>
        <v>3AEHIJ</v>
      </c>
      <c r="D154" s="754"/>
      <c r="E154" s="13"/>
      <c r="F154" s="13"/>
      <c r="G154" s="13"/>
      <c r="H154" s="13"/>
      <c r="I154" s="391"/>
      <c r="J154" s="392"/>
      <c r="K154" s="13"/>
      <c r="L154" s="373"/>
      <c r="M154" s="384"/>
      <c r="N154" s="377"/>
    </row>
    <row r="155" spans="1:14" ht="15" customHeight="1" x14ac:dyDescent="0.2">
      <c r="A155" s="799"/>
      <c r="B155" s="395" t="str" cm="1">
        <f t="array" ref="B155">B154</f>
        <v>Dieciseisavofinalista</v>
      </c>
      <c r="C155" s="395" t="str" cm="1">
        <f t="array" ref="C155">WORLDCUP!AF110</f>
        <v>3BEFIJ</v>
      </c>
      <c r="D155" s="754"/>
      <c r="E155" s="13"/>
      <c r="F155" s="13"/>
      <c r="G155" s="13"/>
      <c r="H155" s="13"/>
      <c r="I155" s="391"/>
      <c r="J155" s="392"/>
      <c r="K155" s="13"/>
      <c r="L155" s="373"/>
      <c r="M155" s="384"/>
      <c r="N155" s="377"/>
    </row>
    <row r="156" spans="1:14" ht="15" customHeight="1" x14ac:dyDescent="0.2">
      <c r="A156" s="799"/>
      <c r="B156" s="395" t="str" cm="1">
        <f t="array" ref="B156">B155</f>
        <v>Dieciseisavofinalista</v>
      </c>
      <c r="C156" s="395" t="str" cm="1">
        <f t="array" ref="C156">WORLDCUP!AF111</f>
        <v>2J</v>
      </c>
      <c r="D156" s="754"/>
      <c r="E156" s="13"/>
      <c r="F156" s="13"/>
      <c r="G156" s="13"/>
      <c r="H156" s="13"/>
      <c r="I156" s="391"/>
      <c r="J156" s="392"/>
      <c r="K156" s="13"/>
      <c r="L156" s="373"/>
      <c r="M156" s="384"/>
      <c r="N156" s="377"/>
    </row>
    <row r="157" spans="1:14" ht="15" customHeight="1" x14ac:dyDescent="0.2">
      <c r="A157" s="799"/>
      <c r="B157" s="395" t="str" cm="1">
        <f t="array" ref="B157">B156</f>
        <v>Dieciseisavofinalista</v>
      </c>
      <c r="C157" s="395" t="str" cm="1">
        <f t="array" ref="C157">WORLDCUP!AF112</f>
        <v>2L</v>
      </c>
      <c r="D157" s="754"/>
      <c r="E157" s="13"/>
      <c r="F157" s="13"/>
      <c r="G157" s="13"/>
      <c r="H157" s="13"/>
      <c r="I157" s="391"/>
      <c r="J157" s="392"/>
      <c r="K157" s="13"/>
      <c r="L157" s="373"/>
      <c r="M157" s="384"/>
      <c r="N157" s="377"/>
    </row>
    <row r="158" spans="1:14" ht="15" customHeight="1" x14ac:dyDescent="0.2">
      <c r="A158" s="799"/>
      <c r="B158" s="395" t="str" cm="1">
        <f t="array" ref="B158">B157</f>
        <v>Dieciseisavofinalista</v>
      </c>
      <c r="C158" s="395" t="str" cm="1">
        <f t="array" ref="C158">WORLDCUP!AF113</f>
        <v>3EFGIJ</v>
      </c>
      <c r="D158" s="754"/>
      <c r="E158" s="13"/>
      <c r="F158" s="13"/>
      <c r="G158" s="13"/>
      <c r="H158" s="13"/>
      <c r="I158" s="391"/>
      <c r="J158" s="392"/>
      <c r="K158" s="13"/>
      <c r="L158" s="373"/>
      <c r="M158" s="384"/>
      <c r="N158" s="377"/>
    </row>
    <row r="159" spans="1:14" ht="15" customHeight="1" x14ac:dyDescent="0.2">
      <c r="A159" s="799"/>
      <c r="B159" s="395" t="str" cm="1">
        <f t="array" ref="B159">B158</f>
        <v>Dieciseisavofinalista</v>
      </c>
      <c r="C159" s="395" t="str" cm="1">
        <f t="array" ref="C159">WORLDCUP!AF114</f>
        <v>2G</v>
      </c>
      <c r="D159" s="754"/>
      <c r="E159" s="13"/>
      <c r="F159" s="13"/>
      <c r="G159" s="13"/>
      <c r="H159" s="13"/>
      <c r="I159" s="391"/>
      <c r="J159" s="392"/>
      <c r="K159" s="13"/>
      <c r="L159" s="373"/>
      <c r="M159" s="384"/>
      <c r="N159" s="377"/>
    </row>
    <row r="160" spans="1:14" ht="15" customHeight="1" x14ac:dyDescent="0.2">
      <c r="A160" s="799"/>
      <c r="B160" s="395" t="str" cm="1">
        <f t="array" ref="B160">B159</f>
        <v>Dieciseisavofinalista</v>
      </c>
      <c r="C160" s="395" t="str" cm="1">
        <f t="array" ref="C160">WORLDCUP!AF115</f>
        <v>2H</v>
      </c>
      <c r="D160" s="754"/>
      <c r="E160" s="13"/>
      <c r="F160" s="13"/>
      <c r="G160" s="13"/>
      <c r="H160" s="13"/>
      <c r="I160" s="391"/>
      <c r="J160" s="392"/>
      <c r="K160" s="13"/>
      <c r="L160" s="373"/>
      <c r="M160" s="384"/>
      <c r="N160" s="377"/>
    </row>
    <row r="161" spans="1:14" ht="15" customHeight="1" x14ac:dyDescent="0.2">
      <c r="A161" s="799"/>
      <c r="B161" s="395" t="str" cm="1">
        <f t="array" ref="B161">B160</f>
        <v>Dieciseisavofinalista</v>
      </c>
      <c r="C161" s="395" t="str" cm="1">
        <f t="array" ref="C161">WORLDCUP!AF116</f>
        <v>3DEIJL</v>
      </c>
      <c r="D161" s="813"/>
      <c r="E161" s="372"/>
      <c r="F161" s="372"/>
      <c r="G161" s="372"/>
      <c r="H161" s="372"/>
      <c r="I161" s="396"/>
      <c r="J161" s="371"/>
      <c r="K161" s="372"/>
      <c r="L161" s="406"/>
      <c r="M161" s="407"/>
      <c r="N161" s="377"/>
    </row>
    <row r="162" spans="1:14" ht="20" customHeight="1" x14ac:dyDescent="0.2">
      <c r="A162" s="378"/>
      <c r="B162" s="398"/>
      <c r="C162" s="398"/>
      <c r="D162" s="388"/>
      <c r="E162" s="819" t="s">
        <v>427</v>
      </c>
      <c r="F162" s="816"/>
      <c r="G162" s="808"/>
      <c r="H162" s="808"/>
      <c r="I162" s="808"/>
      <c r="J162" s="808"/>
      <c r="K162" s="808"/>
      <c r="L162" s="817"/>
      <c r="M162" s="408"/>
      <c r="N162" s="377"/>
    </row>
    <row r="163" spans="1:14" ht="23" customHeight="1" x14ac:dyDescent="0.25">
      <c r="A163" s="378"/>
      <c r="B163" s="404" t="s">
        <v>428</v>
      </c>
      <c r="C163" s="400"/>
      <c r="D163" s="13"/>
      <c r="E163" s="815" t="s">
        <v>429</v>
      </c>
      <c r="F163" s="816"/>
      <c r="G163" s="808"/>
      <c r="H163" s="808"/>
      <c r="I163" s="808"/>
      <c r="J163" s="808"/>
      <c r="K163" s="808"/>
      <c r="L163" s="817"/>
      <c r="M163" s="409"/>
      <c r="N163" s="377"/>
    </row>
    <row r="164" spans="1:14" ht="15" customHeight="1" x14ac:dyDescent="0.2">
      <c r="A164" s="801" t="s">
        <v>232</v>
      </c>
      <c r="B164" s="395" t="str" cm="1">
        <f t="array" ref="B164">CONCATENATE(WORLDCUP!AA101,"-",WORLDCUP!AF101)</f>
        <v>Sudáfrica-2B</v>
      </c>
      <c r="C164" s="395" t="str" cm="1">
        <f t="array" ref="C164">CONCATENATE(WORLDCUP!AA101,"-",WORLDCUP!AF101,"·",IF(WORLDCUP!AC101&gt;WORLDCUP!AD101,1,IF(WORLDCUP!AC101&lt;WORLDCUP!AD101,2,IF(AND(WORLDCUP!AC101=WORLDCUP!AD101,WORLDCUP!AC101&lt;&gt;"",WORLDCUP!AD101&lt;&gt;""),"X",0))),"|",WORLDCUP!AC101,"-",WORLDCUP!AD101)</f>
        <v>Sudáfrica-2B·0|-</v>
      </c>
      <c r="D164" s="809" t="s">
        <v>232</v>
      </c>
      <c r="E164" s="827" t="s">
        <v>430</v>
      </c>
      <c r="F164" s="812"/>
      <c r="G164" s="812"/>
      <c r="H164" s="812"/>
      <c r="I164" s="410"/>
      <c r="J164" s="388"/>
      <c r="K164" s="388"/>
      <c r="L164" s="388"/>
      <c r="M164" s="411"/>
      <c r="N164" s="377"/>
    </row>
    <row r="165" spans="1:14" ht="15" customHeight="1" x14ac:dyDescent="0.2">
      <c r="A165" s="799"/>
      <c r="B165" s="395" t="str" cm="1">
        <f t="array" ref="B165">CONCATENATE(WORLDCUP!AA102,"-",WORLDCUP!AF102)</f>
        <v>Brasil-2F</v>
      </c>
      <c r="C165" s="395" t="str" cm="1">
        <f t="array" ref="C165">CONCATENATE(WORLDCUP!AA102,"-",WORLDCUP!AF102,"·",IF(WORLDCUP!AC102&gt;WORLDCUP!AD102,1,IF(WORLDCUP!AC102&lt;WORLDCUP!AD102,2,IF(AND(WORLDCUP!AC102=WORLDCUP!AD102,WORLDCUP!AC102&lt;&gt;"",WORLDCUP!AD102&lt;&gt;""),"X",0))),"|",WORLDCUP!AC102,"-",WORLDCUP!AD102)</f>
        <v>Brasil-2F·0|-</v>
      </c>
      <c r="D165" s="754"/>
      <c r="E165" s="754"/>
      <c r="F165" s="754"/>
      <c r="G165" s="754"/>
      <c r="H165" s="754"/>
      <c r="I165" s="412"/>
      <c r="J165" s="13"/>
      <c r="K165" s="13"/>
      <c r="L165" s="13"/>
      <c r="M165" s="411"/>
      <c r="N165" s="377"/>
    </row>
    <row r="166" spans="1:14" ht="15" customHeight="1" x14ac:dyDescent="0.2">
      <c r="A166" s="799"/>
      <c r="B166" s="395" t="str" cm="1">
        <f t="array" ref="B166">CONCATENATE(WORLDCUP!AA103,"-",WORLDCUP!AF103)</f>
        <v>Alemania-3ABCDF</v>
      </c>
      <c r="C166" s="395" t="str" cm="1">
        <f t="array" ref="C166">CONCATENATE(WORLDCUP!AA103,"-",WORLDCUP!AF103,"·",IF(WORLDCUP!AC103&gt;WORLDCUP!AD103,1,IF(WORLDCUP!AC103&lt;WORLDCUP!AD103,2,IF(AND(WORLDCUP!AC103=WORLDCUP!AD103,WORLDCUP!AC103&lt;&gt;"",WORLDCUP!AD103&lt;&gt;""),"X",0))),"|",WORLDCUP!AC103,"-",WORLDCUP!AD103)</f>
        <v>Alemania-3ABCDF·0|-</v>
      </c>
      <c r="D166" s="754"/>
      <c r="E166" s="754"/>
      <c r="F166" s="754"/>
      <c r="G166" s="754"/>
      <c r="H166" s="754"/>
      <c r="I166" s="412"/>
      <c r="J166" s="13"/>
      <c r="K166" s="13"/>
      <c r="L166" s="13"/>
      <c r="M166" s="411"/>
      <c r="N166" s="377"/>
    </row>
    <row r="167" spans="1:14" ht="15" customHeight="1" x14ac:dyDescent="0.2">
      <c r="A167" s="799"/>
      <c r="B167" s="395" t="str" cm="1">
        <f t="array" ref="B167">CONCATENATE(WORLDCUP!AA104,"-",WORLDCUP!AF104)</f>
        <v>Países Bajos-2C</v>
      </c>
      <c r="C167" s="395" t="str" cm="1">
        <f t="array" ref="C167">CONCATENATE(WORLDCUP!AA104,"-",WORLDCUP!AF104,"·",IF(WORLDCUP!AC104&gt;WORLDCUP!AD104,1,IF(WORLDCUP!AC104&lt;WORLDCUP!AD104,2,IF(AND(WORLDCUP!AC104=WORLDCUP!AD104,WORLDCUP!AC104&lt;&gt;"",WORLDCUP!AD104&lt;&gt;""),"X",0))),"|",WORLDCUP!AC104,"-",WORLDCUP!AD104)</f>
        <v>Países Bajos-2C·0|-</v>
      </c>
      <c r="D167" s="754"/>
      <c r="E167" s="754"/>
      <c r="F167" s="754"/>
      <c r="G167" s="754"/>
      <c r="H167" s="754"/>
      <c r="I167" s="412"/>
      <c r="J167" s="13"/>
      <c r="K167" s="13"/>
      <c r="L167" s="13"/>
      <c r="M167" s="411"/>
      <c r="N167" s="377"/>
    </row>
    <row r="168" spans="1:14" ht="15" customHeight="1" x14ac:dyDescent="0.2">
      <c r="A168" s="799"/>
      <c r="B168" s="395" t="str" cm="1">
        <f t="array" ref="B168">CONCATENATE(WORLDCUP!AA105,"-",WORLDCUP!AF105)</f>
        <v>Curazao-2I</v>
      </c>
      <c r="C168" s="395" t="str" cm="1">
        <f t="array" ref="C168">CONCATENATE(WORLDCUP!AA105,"-",WORLDCUP!AF105,"·",IF(WORLDCUP!AC105&gt;WORLDCUP!AD105,1,IF(WORLDCUP!AC105&lt;WORLDCUP!AD105,2,IF(AND(WORLDCUP!AC105=WORLDCUP!AD105,WORLDCUP!AC105&lt;&gt;"",WORLDCUP!AD105&lt;&gt;""),"X",0))),"|",WORLDCUP!AC105,"-",WORLDCUP!AD105)</f>
        <v>Curazao-2I·0|-</v>
      </c>
      <c r="D168" s="754"/>
      <c r="E168" s="13"/>
      <c r="F168" s="13"/>
      <c r="G168" s="13"/>
      <c r="H168" s="13"/>
      <c r="I168" s="412"/>
      <c r="J168" s="13"/>
      <c r="K168" s="13"/>
      <c r="L168" s="13"/>
      <c r="M168" s="411"/>
      <c r="N168" s="377"/>
    </row>
    <row r="169" spans="1:14" ht="15" customHeight="1" x14ac:dyDescent="0.2">
      <c r="A169" s="799"/>
      <c r="B169" s="395" t="str" cm="1">
        <f t="array" ref="B169">CONCATENATE(WORLDCUP!AA106,"-",WORLDCUP!AF106)</f>
        <v>Francia-3CDFGH</v>
      </c>
      <c r="C169" s="395" t="str" cm="1">
        <f t="array" ref="C169">CONCATENATE(WORLDCUP!AA106,"-",WORLDCUP!AF106,"·",IF(WORLDCUP!AC106&gt;WORLDCUP!AD106,1,IF(WORLDCUP!AC106&lt;WORLDCUP!AD106,2,IF(AND(WORLDCUP!AC106=WORLDCUP!AD106,WORLDCUP!AC106&lt;&gt;"",WORLDCUP!AD106&lt;&gt;""),"X",0))),"|",WORLDCUP!AC106,"-",WORLDCUP!AD106)</f>
        <v>Francia-3CDFGH·0|-</v>
      </c>
      <c r="D169" s="754"/>
      <c r="E169" s="13"/>
      <c r="F169" s="13"/>
      <c r="G169" s="13"/>
      <c r="H169" s="13"/>
      <c r="I169" s="412"/>
      <c r="J169" s="13"/>
      <c r="K169" s="13"/>
      <c r="L169" s="13"/>
      <c r="M169" s="411"/>
      <c r="N169" s="377"/>
    </row>
    <row r="170" spans="1:14" ht="15" customHeight="1" x14ac:dyDescent="0.2">
      <c r="A170" s="799"/>
      <c r="B170" s="395" t="str" cm="1">
        <f t="array" ref="B170">CONCATENATE(WORLDCUP!AA107,"-",WORLDCUP!AF107)</f>
        <v>México-3CEFHI</v>
      </c>
      <c r="C170" s="395" t="str" cm="1">
        <f t="array" ref="C170">CONCATENATE(WORLDCUP!AA107,"-",WORLDCUP!AF107,"·",IF(WORLDCUP!AC107&gt;WORLDCUP!AD107,1,IF(WORLDCUP!AC107&lt;WORLDCUP!AD107,2,IF(AND(WORLDCUP!AC107=WORLDCUP!AD107,WORLDCUP!AC107&lt;&gt;"",WORLDCUP!AD107&lt;&gt;""),"X",0))),"|",WORLDCUP!AC107,"-",WORLDCUP!AD107)</f>
        <v>México-3CEFHI·0|-</v>
      </c>
      <c r="D170" s="754"/>
      <c r="E170" s="13"/>
      <c r="F170" s="13"/>
      <c r="G170" s="13"/>
      <c r="H170" s="13"/>
      <c r="I170" s="412"/>
      <c r="J170" s="13"/>
      <c r="K170" s="13"/>
      <c r="L170" s="13"/>
      <c r="M170" s="411"/>
      <c r="N170" s="377"/>
    </row>
    <row r="171" spans="1:14" ht="15" customHeight="1" x14ac:dyDescent="0.2">
      <c r="A171" s="799"/>
      <c r="B171" s="395" t="str" cm="1">
        <f t="array" ref="B171">CONCATENATE(WORLDCUP!AA108,"-",WORLDCUP!AF108)</f>
        <v>Inglaterra-3EHIJK</v>
      </c>
      <c r="C171" s="395" t="str" cm="1">
        <f t="array" ref="C171">CONCATENATE(WORLDCUP!AA108,"-",WORLDCUP!AF108,"·",IF(WORLDCUP!AC108&gt;WORLDCUP!AD108,1,IF(WORLDCUP!AC108&lt;WORLDCUP!AD108,2,IF(AND(WORLDCUP!AC108=WORLDCUP!AD108,WORLDCUP!AC108&lt;&gt;"",WORLDCUP!AD108&lt;&gt;""),"X",0))),"|",WORLDCUP!AC108,"-",WORLDCUP!AD108)</f>
        <v>Inglaterra-3EHIJK·0|-</v>
      </c>
      <c r="D171" s="754"/>
      <c r="E171" s="13"/>
      <c r="F171" s="13"/>
      <c r="G171" s="13"/>
      <c r="H171" s="13"/>
      <c r="I171" s="412"/>
      <c r="J171" s="13"/>
      <c r="K171" s="13"/>
      <c r="L171" s="13"/>
      <c r="M171" s="411"/>
      <c r="N171" s="377"/>
    </row>
    <row r="172" spans="1:14" ht="15" customHeight="1" x14ac:dyDescent="0.2">
      <c r="A172" s="799"/>
      <c r="B172" s="395" t="str" cm="1">
        <f t="array" ref="B172">CONCATENATE(WORLDCUP!AA109,"-",WORLDCUP!AF109)</f>
        <v>Bélgica-3AEHIJ</v>
      </c>
      <c r="C172" s="395" t="str" cm="1">
        <f t="array" ref="C172">CONCATENATE(WORLDCUP!AA109,"-",WORLDCUP!AF109,"·",IF(WORLDCUP!AC109&gt;WORLDCUP!AD109,1,IF(WORLDCUP!AC109&lt;WORLDCUP!AD109,2,IF(AND(WORLDCUP!AC109=WORLDCUP!AD109,WORLDCUP!AC109&lt;&gt;"",WORLDCUP!AD109&lt;&gt;""),"X",0))),"|",WORLDCUP!AC109,"-",WORLDCUP!AD109)</f>
        <v>Bélgica-3AEHIJ·0|-</v>
      </c>
      <c r="D172" s="754"/>
      <c r="E172" s="13"/>
      <c r="F172" s="13"/>
      <c r="G172" s="13"/>
      <c r="H172" s="13"/>
      <c r="I172" s="412"/>
      <c r="J172" s="13"/>
      <c r="K172" s="13"/>
      <c r="L172" s="13"/>
      <c r="M172" s="411"/>
      <c r="N172" s="377"/>
    </row>
    <row r="173" spans="1:14" ht="15" customHeight="1" x14ac:dyDescent="0.2">
      <c r="A173" s="799"/>
      <c r="B173" s="395" t="str" cm="1">
        <f t="array" ref="B173">CONCATENATE(WORLDCUP!AA110,"-",WORLDCUP!AF110)</f>
        <v>Estados Unidos-3BEFIJ</v>
      </c>
      <c r="C173" s="395" t="str" cm="1">
        <f t="array" ref="C173">CONCATENATE(WORLDCUP!AA110,"-",WORLDCUP!AF110,"·",IF(WORLDCUP!AC110&gt;WORLDCUP!AD110,1,IF(WORLDCUP!AC110&lt;WORLDCUP!AD110,2,IF(AND(WORLDCUP!AC110=WORLDCUP!AD110,WORLDCUP!AC110&lt;&gt;"",WORLDCUP!AD110&lt;&gt;""),"X",0))),"|",WORLDCUP!AC110,"-",WORLDCUP!AD110)</f>
        <v>Estados Unidos-3BEFIJ·0|-</v>
      </c>
      <c r="D173" s="754"/>
      <c r="E173" s="13"/>
      <c r="F173" s="13"/>
      <c r="G173" s="13"/>
      <c r="H173" s="13"/>
      <c r="I173" s="412"/>
      <c r="J173" s="13"/>
      <c r="K173" s="13"/>
      <c r="L173" s="13"/>
      <c r="M173" s="411"/>
      <c r="N173" s="377"/>
    </row>
    <row r="174" spans="1:14" ht="15" customHeight="1" x14ac:dyDescent="0.2">
      <c r="A174" s="799"/>
      <c r="B174" s="395" t="str" cm="1">
        <f t="array" ref="B174">CONCATENATE(WORLDCUP!AA111,"-",WORLDCUP!AF111)</f>
        <v>España-2J</v>
      </c>
      <c r="C174" s="395" t="str" cm="1">
        <f t="array" ref="C174">CONCATENATE(WORLDCUP!AA111,"-",WORLDCUP!AF111,"·",IF(WORLDCUP!AC111&gt;WORLDCUP!AD111,1,IF(WORLDCUP!AC111&lt;WORLDCUP!AD111,2,IF(AND(WORLDCUP!AC111=WORLDCUP!AD111,WORLDCUP!AC111&lt;&gt;"",WORLDCUP!AD111&lt;&gt;""),"X",0))),"|",WORLDCUP!AC111,"-",WORLDCUP!AD111)</f>
        <v>España-2J·0|-</v>
      </c>
      <c r="D174" s="754"/>
      <c r="E174" s="13"/>
      <c r="F174" s="13"/>
      <c r="G174" s="13"/>
      <c r="H174" s="13"/>
      <c r="I174" s="412"/>
      <c r="J174" s="13"/>
      <c r="K174" s="13"/>
      <c r="L174" s="13"/>
      <c r="M174" s="411"/>
      <c r="N174" s="377"/>
    </row>
    <row r="175" spans="1:14" ht="15" customHeight="1" x14ac:dyDescent="0.2">
      <c r="A175" s="799"/>
      <c r="B175" s="395" t="str" cm="1">
        <f t="array" ref="B175">CONCATENATE(WORLDCUP!AA112,"-",WORLDCUP!AF112)</f>
        <v>RD Congo-2L</v>
      </c>
      <c r="C175" s="395" t="str" cm="1">
        <f t="array" ref="C175">CONCATENATE(WORLDCUP!AA112,"-",WORLDCUP!AF112,"·",IF(WORLDCUP!AC112&gt;WORLDCUP!AD112,1,IF(WORLDCUP!AC112&lt;WORLDCUP!AD112,2,IF(AND(WORLDCUP!AC112=WORLDCUP!AD112,WORLDCUP!AC112&lt;&gt;"",WORLDCUP!AD112&lt;&gt;""),"X",0))),"|",WORLDCUP!AC112,"-",WORLDCUP!AD112)</f>
        <v>RD Congo-2L·0|-</v>
      </c>
      <c r="D175" s="754"/>
      <c r="E175" s="13"/>
      <c r="F175" s="13"/>
      <c r="G175" s="13"/>
      <c r="H175" s="13"/>
      <c r="I175" s="412"/>
      <c r="J175" s="13"/>
      <c r="K175" s="13"/>
      <c r="L175" s="13"/>
      <c r="M175" s="411"/>
      <c r="N175" s="377"/>
    </row>
    <row r="176" spans="1:14" ht="15" customHeight="1" x14ac:dyDescent="0.2">
      <c r="A176" s="799"/>
      <c r="B176" s="395" t="str" cm="1">
        <f t="array" ref="B176">CONCATENATE(WORLDCUP!AA113,"-",WORLDCUP!AF113)</f>
        <v>Canadá-3EFGIJ</v>
      </c>
      <c r="C176" s="395" t="str" cm="1">
        <f t="array" ref="C176">CONCATENATE(WORLDCUP!AA113,"-",WORLDCUP!AF113,"·",IF(WORLDCUP!AC113&gt;WORLDCUP!AD113,1,IF(WORLDCUP!AC113&lt;WORLDCUP!AD113,2,IF(AND(WORLDCUP!AC113=WORLDCUP!AD113,WORLDCUP!AC113&lt;&gt;"",WORLDCUP!AD113&lt;&gt;""),"X",0))),"|",WORLDCUP!AC113,"-",WORLDCUP!AD113)</f>
        <v>Canadá-3EFGIJ·0|-</v>
      </c>
      <c r="D176" s="754"/>
      <c r="E176" s="13"/>
      <c r="F176" s="13"/>
      <c r="G176" s="13"/>
      <c r="H176" s="13"/>
      <c r="I176" s="412"/>
      <c r="J176" s="13"/>
      <c r="K176" s="13"/>
      <c r="L176" s="13"/>
      <c r="M176" s="411"/>
      <c r="N176" s="377"/>
    </row>
    <row r="177" spans="1:14" ht="15" customHeight="1" x14ac:dyDescent="0.2">
      <c r="A177" s="799"/>
      <c r="B177" s="395" t="str" cm="1">
        <f t="array" ref="B177">CONCATENATE(WORLDCUP!AA114,"-",WORLDCUP!AF114)</f>
        <v>Paraguay-2G</v>
      </c>
      <c r="C177" s="395" t="str" cm="1">
        <f t="array" ref="C177">CONCATENATE(WORLDCUP!AA114,"-",WORLDCUP!AF114,"·",IF(WORLDCUP!AC114&gt;WORLDCUP!AD114,1,IF(WORLDCUP!AC114&lt;WORLDCUP!AD114,2,IF(AND(WORLDCUP!AC114=WORLDCUP!AD114,WORLDCUP!AC114&lt;&gt;"",WORLDCUP!AD114&lt;&gt;""),"X",0))),"|",WORLDCUP!AC114,"-",WORLDCUP!AD114)</f>
        <v>Paraguay-2G·0|-</v>
      </c>
      <c r="D177" s="754"/>
      <c r="E177" s="13"/>
      <c r="F177" s="13"/>
      <c r="G177" s="13"/>
      <c r="H177" s="13"/>
      <c r="I177" s="412"/>
      <c r="J177" s="13"/>
      <c r="K177" s="13"/>
      <c r="L177" s="13"/>
      <c r="M177" s="411"/>
      <c r="N177" s="377"/>
    </row>
    <row r="178" spans="1:14" ht="15" customHeight="1" x14ac:dyDescent="0.2">
      <c r="A178" s="799"/>
      <c r="B178" s="395" t="str" cm="1">
        <f t="array" ref="B178">CONCATENATE(WORLDCUP!AA115,"-",WORLDCUP!AF115)</f>
        <v>Argentina-2H</v>
      </c>
      <c r="C178" s="395" t="str" cm="1">
        <f t="array" ref="C178">CONCATENATE(WORLDCUP!AA115,"-",WORLDCUP!AF115,"·",IF(WORLDCUP!AC115&gt;WORLDCUP!AD115,1,IF(WORLDCUP!AC115&lt;WORLDCUP!AD115,2,IF(AND(WORLDCUP!AC115=WORLDCUP!AD115,WORLDCUP!AC115&lt;&gt;"",WORLDCUP!AD115&lt;&gt;""),"X",0))),"|",WORLDCUP!AC115,"-",WORLDCUP!AD115)</f>
        <v>Argentina-2H·0|-</v>
      </c>
      <c r="D178" s="754"/>
      <c r="E178" s="13"/>
      <c r="F178" s="13"/>
      <c r="G178" s="13"/>
      <c r="H178" s="13"/>
      <c r="I178" s="412"/>
      <c r="J178" s="13"/>
      <c r="K178" s="13"/>
      <c r="L178" s="13"/>
      <c r="M178" s="411"/>
      <c r="N178" s="377"/>
    </row>
    <row r="179" spans="1:14" ht="15" customHeight="1" x14ac:dyDescent="0.2">
      <c r="A179" s="799"/>
      <c r="B179" s="395" t="str" cm="1">
        <f t="array" ref="B179">CONCATENATE(WORLDCUP!AA116,"-",WORLDCUP!AF116)</f>
        <v>Portugal-3DEIJL</v>
      </c>
      <c r="C179" s="395" t="str" cm="1">
        <f t="array" ref="C179">CONCATENATE(WORLDCUP!AA116,"-",WORLDCUP!AF116,"·",IF(WORLDCUP!AC116&gt;WORLDCUP!AD116,1,IF(WORLDCUP!AC116&lt;WORLDCUP!AD116,2,IF(AND(WORLDCUP!AC116=WORLDCUP!AD116,WORLDCUP!AC116&lt;&gt;"",WORLDCUP!AD116&lt;&gt;""),"X",0))),"|",WORLDCUP!AC116,"-",WORLDCUP!AD116)</f>
        <v>Portugal-3DEIJL·0|-</v>
      </c>
      <c r="D179" s="754"/>
      <c r="E179" s="13"/>
      <c r="F179" s="13"/>
      <c r="G179" s="13"/>
      <c r="H179" s="13"/>
      <c r="I179" s="412"/>
      <c r="J179" s="13"/>
      <c r="K179" s="13"/>
      <c r="L179" s="13"/>
      <c r="M179" s="411"/>
      <c r="N179" s="377"/>
    </row>
    <row r="180" spans="1:14" ht="15" customHeight="1" x14ac:dyDescent="0.2">
      <c r="A180" s="378"/>
      <c r="B180" s="398"/>
      <c r="C180" s="398"/>
      <c r="D180" s="754"/>
      <c r="E180" s="13"/>
      <c r="F180" s="13"/>
      <c r="G180" s="13"/>
      <c r="H180" s="13"/>
      <c r="I180" s="412"/>
      <c r="J180" s="13"/>
      <c r="K180" s="13"/>
      <c r="L180" s="13"/>
      <c r="M180" s="411"/>
      <c r="N180" s="377"/>
    </row>
    <row r="181" spans="1:14" ht="19" customHeight="1" x14ac:dyDescent="0.25">
      <c r="A181" s="378"/>
      <c r="B181" s="404" t="s">
        <v>431</v>
      </c>
      <c r="C181" s="400"/>
      <c r="D181" s="754"/>
      <c r="E181" s="13"/>
      <c r="F181" s="13"/>
      <c r="G181" s="13"/>
      <c r="H181" s="13"/>
      <c r="I181" s="412"/>
      <c r="J181" s="13"/>
      <c r="K181" s="13"/>
      <c r="L181" s="13"/>
      <c r="M181" s="411"/>
      <c r="N181" s="377"/>
    </row>
    <row r="182" spans="1:14" ht="15" customHeight="1" x14ac:dyDescent="0.2">
      <c r="A182" s="801" t="s">
        <v>280</v>
      </c>
      <c r="B182" s="405" t="s">
        <v>432</v>
      </c>
      <c r="C182" s="395" t="str" cm="1">
        <f t="array" ref="C182">WORLDCUP!AA120</f>
        <v>W73</v>
      </c>
      <c r="D182" s="754"/>
      <c r="E182" s="13"/>
      <c r="F182" s="13"/>
      <c r="G182" s="13"/>
      <c r="H182" s="13"/>
      <c r="I182" s="412"/>
      <c r="J182" s="13"/>
      <c r="K182" s="13"/>
      <c r="L182" s="13"/>
      <c r="M182" s="411"/>
      <c r="N182" s="377"/>
    </row>
    <row r="183" spans="1:14" ht="15" customHeight="1" x14ac:dyDescent="0.2">
      <c r="A183" s="799"/>
      <c r="B183" s="395" t="str" cm="1">
        <f t="array" ref="B183">B182</f>
        <v>Octavofinalista</v>
      </c>
      <c r="C183" s="395" t="str" cm="1">
        <f t="array" ref="C183">WORLDCUP!AA121</f>
        <v>W74</v>
      </c>
      <c r="D183" s="754"/>
      <c r="E183" s="13"/>
      <c r="F183" s="13"/>
      <c r="G183" s="13"/>
      <c r="H183" s="13"/>
      <c r="I183" s="412"/>
      <c r="J183" s="13"/>
      <c r="K183" s="13"/>
      <c r="L183" s="13"/>
      <c r="M183" s="411"/>
      <c r="N183" s="377"/>
    </row>
    <row r="184" spans="1:14" ht="15" customHeight="1" x14ac:dyDescent="0.2">
      <c r="A184" s="799"/>
      <c r="B184" s="395" t="str" cm="1">
        <f t="array" ref="B184">B183</f>
        <v>Octavofinalista</v>
      </c>
      <c r="C184" s="395" t="str" cm="1">
        <f t="array" ref="C184">WORLDCUP!AA122</f>
        <v>W76</v>
      </c>
      <c r="D184" s="754"/>
      <c r="E184" s="13"/>
      <c r="F184" s="13"/>
      <c r="G184" s="13"/>
      <c r="H184" s="13"/>
      <c r="I184" s="412"/>
      <c r="J184" s="13"/>
      <c r="K184" s="13"/>
      <c r="L184" s="13"/>
      <c r="M184" s="411"/>
      <c r="N184" s="377"/>
    </row>
    <row r="185" spans="1:14" ht="15" customHeight="1" x14ac:dyDescent="0.2">
      <c r="A185" s="799"/>
      <c r="B185" s="395" t="str" cm="1">
        <f t="array" ref="B185">B184</f>
        <v>Octavofinalista</v>
      </c>
      <c r="C185" s="395" t="str" cm="1">
        <f t="array" ref="C185">WORLDCUP!AA123</f>
        <v>W79</v>
      </c>
      <c r="D185" s="754"/>
      <c r="E185" s="13"/>
      <c r="F185" s="13"/>
      <c r="G185" s="13"/>
      <c r="H185" s="13"/>
      <c r="I185" s="412"/>
      <c r="J185" s="13"/>
      <c r="K185" s="13"/>
      <c r="L185" s="13"/>
      <c r="M185" s="411"/>
      <c r="N185" s="377"/>
    </row>
    <row r="186" spans="1:14" ht="15" customHeight="1" x14ac:dyDescent="0.2">
      <c r="A186" s="799"/>
      <c r="B186" s="395" t="str" cm="1">
        <f t="array" ref="B186">B185</f>
        <v>Octavofinalista</v>
      </c>
      <c r="C186" s="395" t="str" cm="1">
        <f t="array" ref="C186">WORLDCUP!AA124</f>
        <v>W83</v>
      </c>
      <c r="D186" s="754"/>
      <c r="E186" s="13"/>
      <c r="F186" s="13"/>
      <c r="G186" s="13"/>
      <c r="H186" s="13"/>
      <c r="I186" s="412"/>
      <c r="J186" s="13"/>
      <c r="K186" s="13"/>
      <c r="L186" s="13"/>
      <c r="M186" s="411"/>
      <c r="N186" s="377"/>
    </row>
    <row r="187" spans="1:14" ht="15" customHeight="1" x14ac:dyDescent="0.2">
      <c r="A187" s="799"/>
      <c r="B187" s="395" t="str" cm="1">
        <f t="array" ref="B187">B186</f>
        <v>Octavofinalista</v>
      </c>
      <c r="C187" s="395" t="str" cm="1">
        <f t="array" ref="C187">WORLDCUP!AA125</f>
        <v>W81</v>
      </c>
      <c r="D187" s="754"/>
      <c r="E187" s="13"/>
      <c r="F187" s="13"/>
      <c r="G187" s="13"/>
      <c r="H187" s="13"/>
      <c r="I187" s="412"/>
      <c r="J187" s="13"/>
      <c r="K187" s="13"/>
      <c r="L187" s="13"/>
      <c r="M187" s="411"/>
      <c r="N187" s="377"/>
    </row>
    <row r="188" spans="1:14" ht="15" customHeight="1" x14ac:dyDescent="0.2">
      <c r="A188" s="799"/>
      <c r="B188" s="395" t="str" cm="1">
        <f t="array" ref="B188">B187</f>
        <v>Octavofinalista</v>
      </c>
      <c r="C188" s="395" t="str" cm="1">
        <f t="array" ref="C188">WORLDCUP!AA126</f>
        <v>W86</v>
      </c>
      <c r="D188" s="754"/>
      <c r="E188" s="13"/>
      <c r="F188" s="13"/>
      <c r="G188" s="13"/>
      <c r="H188" s="13"/>
      <c r="I188" s="412"/>
      <c r="J188" s="13"/>
      <c r="K188" s="13"/>
      <c r="L188" s="13"/>
      <c r="M188" s="411"/>
      <c r="N188" s="377"/>
    </row>
    <row r="189" spans="1:14" ht="15" customHeight="1" x14ac:dyDescent="0.2">
      <c r="A189" s="799"/>
      <c r="B189" s="395" t="str" cm="1">
        <f t="array" ref="B189">B188</f>
        <v>Octavofinalista</v>
      </c>
      <c r="C189" s="395" t="str" cm="1">
        <f t="array" ref="C189">WORLDCUP!AA127</f>
        <v>W85</v>
      </c>
      <c r="D189" s="754"/>
      <c r="E189" s="13"/>
      <c r="F189" s="13"/>
      <c r="G189" s="13"/>
      <c r="H189" s="13"/>
      <c r="I189" s="412"/>
      <c r="J189" s="13"/>
      <c r="K189" s="13"/>
      <c r="L189" s="13"/>
      <c r="M189" s="411"/>
      <c r="N189" s="377"/>
    </row>
    <row r="190" spans="1:14" ht="15" customHeight="1" x14ac:dyDescent="0.2">
      <c r="A190" s="799"/>
      <c r="B190" s="395" t="str" cm="1">
        <f t="array" ref="B190">B189</f>
        <v>Octavofinalista</v>
      </c>
      <c r="C190" s="395" t="str" cm="1">
        <f t="array" ref="C190">WORLDCUP!AF120</f>
        <v>W75</v>
      </c>
      <c r="D190" s="754"/>
      <c r="E190" s="13"/>
      <c r="F190" s="13"/>
      <c r="G190" s="13"/>
      <c r="H190" s="13"/>
      <c r="I190" s="412"/>
      <c r="J190" s="13"/>
      <c r="K190" s="13"/>
      <c r="L190" s="13"/>
      <c r="M190" s="411"/>
      <c r="N190" s="377"/>
    </row>
    <row r="191" spans="1:14" ht="15" customHeight="1" x14ac:dyDescent="0.2">
      <c r="A191" s="799"/>
      <c r="B191" s="395" t="str" cm="1">
        <f t="array" ref="B191">B190</f>
        <v>Octavofinalista</v>
      </c>
      <c r="C191" s="395" t="str" cm="1">
        <f t="array" ref="C191">WORLDCUP!AF121</f>
        <v>W77</v>
      </c>
      <c r="D191" s="754"/>
      <c r="E191" s="13"/>
      <c r="F191" s="13"/>
      <c r="G191" s="13"/>
      <c r="H191" s="13"/>
      <c r="I191" s="412"/>
      <c r="J191" s="13"/>
      <c r="K191" s="13"/>
      <c r="L191" s="13"/>
      <c r="M191" s="411"/>
      <c r="N191" s="377"/>
    </row>
    <row r="192" spans="1:14" ht="15" customHeight="1" x14ac:dyDescent="0.2">
      <c r="A192" s="799"/>
      <c r="B192" s="395" t="str" cm="1">
        <f t="array" ref="B192">B191</f>
        <v>Octavofinalista</v>
      </c>
      <c r="C192" s="395" t="str" cm="1">
        <f t="array" ref="C192">WORLDCUP!AF122</f>
        <v>W78</v>
      </c>
      <c r="D192" s="754"/>
      <c r="E192" s="13"/>
      <c r="F192" s="13"/>
      <c r="G192" s="13"/>
      <c r="H192" s="13"/>
      <c r="I192" s="412"/>
      <c r="J192" s="13"/>
      <c r="K192" s="13"/>
      <c r="L192" s="13"/>
      <c r="M192" s="411"/>
      <c r="N192" s="377"/>
    </row>
    <row r="193" spans="1:14" ht="15" customHeight="1" x14ac:dyDescent="0.2">
      <c r="A193" s="799"/>
      <c r="B193" s="395" t="str" cm="1">
        <f t="array" ref="B193">B192</f>
        <v>Octavofinalista</v>
      </c>
      <c r="C193" s="395" t="str" cm="1">
        <f t="array" ref="C193">WORLDCUP!AF123</f>
        <v>W80</v>
      </c>
      <c r="D193" s="754"/>
      <c r="E193" s="13"/>
      <c r="F193" s="13"/>
      <c r="G193" s="13"/>
      <c r="H193" s="13"/>
      <c r="I193" s="412"/>
      <c r="J193" s="13"/>
      <c r="K193" s="13"/>
      <c r="L193" s="13"/>
      <c r="M193" s="411"/>
      <c r="N193" s="377"/>
    </row>
    <row r="194" spans="1:14" ht="15" customHeight="1" x14ac:dyDescent="0.2">
      <c r="A194" s="799"/>
      <c r="B194" s="395" t="str" cm="1">
        <f t="array" ref="B194">B193</f>
        <v>Octavofinalista</v>
      </c>
      <c r="C194" s="395" t="str" cm="1">
        <f t="array" ref="C194">WORLDCUP!AF124</f>
        <v>W84</v>
      </c>
      <c r="D194" s="754"/>
      <c r="E194" s="13"/>
      <c r="F194" s="13"/>
      <c r="G194" s="13"/>
      <c r="H194" s="13"/>
      <c r="I194" s="412"/>
      <c r="J194" s="13"/>
      <c r="K194" s="13"/>
      <c r="L194" s="13"/>
      <c r="M194" s="411"/>
      <c r="N194" s="377"/>
    </row>
    <row r="195" spans="1:14" ht="15" customHeight="1" x14ac:dyDescent="0.2">
      <c r="A195" s="799"/>
      <c r="B195" s="395" t="str" cm="1">
        <f t="array" ref="B195">B194</f>
        <v>Octavofinalista</v>
      </c>
      <c r="C195" s="395" t="str" cm="1">
        <f t="array" ref="C195">WORLDCUP!AF125</f>
        <v>W82</v>
      </c>
      <c r="D195" s="754"/>
      <c r="E195" s="13"/>
      <c r="F195" s="13"/>
      <c r="G195" s="13"/>
      <c r="H195" s="13"/>
      <c r="I195" s="412"/>
      <c r="J195" s="13"/>
      <c r="K195" s="13"/>
      <c r="L195" s="13"/>
      <c r="M195" s="411"/>
      <c r="N195" s="377"/>
    </row>
    <row r="196" spans="1:14" ht="15" customHeight="1" x14ac:dyDescent="0.2">
      <c r="A196" s="799"/>
      <c r="B196" s="395" t="str" cm="1">
        <f t="array" ref="B196">B195</f>
        <v>Octavofinalista</v>
      </c>
      <c r="C196" s="395" t="str" cm="1">
        <f t="array" ref="C196">WORLDCUP!AF126</f>
        <v>W88</v>
      </c>
      <c r="D196" s="754"/>
      <c r="E196" s="13"/>
      <c r="F196" s="13"/>
      <c r="G196" s="13"/>
      <c r="H196" s="13"/>
      <c r="I196" s="412"/>
      <c r="J196" s="13"/>
      <c r="K196" s="13"/>
      <c r="L196" s="13"/>
      <c r="M196" s="411"/>
      <c r="N196" s="377"/>
    </row>
    <row r="197" spans="1:14" ht="15" customHeight="1" x14ac:dyDescent="0.2">
      <c r="A197" s="799"/>
      <c r="B197" s="395" t="str" cm="1">
        <f t="array" ref="B197">B196</f>
        <v>Octavofinalista</v>
      </c>
      <c r="C197" s="395" t="str" cm="1">
        <f t="array" ref="C197">WORLDCUP!AF127</f>
        <v>W87</v>
      </c>
      <c r="D197" s="754"/>
      <c r="E197" s="413"/>
      <c r="F197" s="413"/>
      <c r="G197" s="413"/>
      <c r="H197" s="413"/>
      <c r="I197" s="414"/>
      <c r="J197" s="13"/>
      <c r="K197" s="13"/>
      <c r="L197" s="13"/>
      <c r="M197" s="411"/>
      <c r="N197" s="377"/>
    </row>
    <row r="198" spans="1:14" ht="15" customHeight="1" x14ac:dyDescent="0.2">
      <c r="A198" s="378"/>
      <c r="B198" s="398"/>
      <c r="C198" s="398"/>
      <c r="D198" s="13"/>
      <c r="E198" s="415"/>
      <c r="F198" s="415"/>
      <c r="G198" s="415"/>
      <c r="H198" s="415"/>
      <c r="I198" s="416"/>
      <c r="J198" s="13"/>
      <c r="K198" s="13"/>
      <c r="L198" s="13"/>
      <c r="M198" s="411"/>
      <c r="N198" s="377"/>
    </row>
    <row r="199" spans="1:14" ht="19" customHeight="1" x14ac:dyDescent="0.25">
      <c r="A199" s="378"/>
      <c r="B199" s="404" t="s">
        <v>433</v>
      </c>
      <c r="C199" s="400"/>
      <c r="D199" s="13"/>
      <c r="E199" s="13"/>
      <c r="F199" s="13"/>
      <c r="G199" s="13"/>
      <c r="H199" s="13"/>
      <c r="I199" s="417"/>
      <c r="J199" s="13"/>
      <c r="K199" s="13"/>
      <c r="L199" s="13"/>
      <c r="M199" s="411"/>
      <c r="N199" s="377"/>
    </row>
    <row r="200" spans="1:14" ht="15" customHeight="1" x14ac:dyDescent="0.2">
      <c r="A200" s="801" t="s">
        <v>280</v>
      </c>
      <c r="B200" s="395" t="str" cm="1">
        <f t="array" ref="B200">CONCATENATE(WORLDCUP!AA120,"-",WORLDCUP!AF120)</f>
        <v>W73-W75</v>
      </c>
      <c r="C200" s="395" t="str" cm="1">
        <f t="array" ref="C200">CONCATENATE(WORLDCUP!AA120,"-",WORLDCUP!AF120,"·",IF(WORLDCUP!AC120&gt;WORLDCUP!AD120,1,IF(WORLDCUP!AC120&lt;WORLDCUP!AD120,2,IF(AND(WORLDCUP!AC120=WORLDCUP!AD120,WORLDCUP!AC120&lt;&gt;"",WORLDCUP!AD120&lt;&gt;""),"X",0))),"|",WORLDCUP!AC120,"-",WORLDCUP!AD120)</f>
        <v>W73-W75·0|-</v>
      </c>
      <c r="D200" s="800" t="s">
        <v>280</v>
      </c>
      <c r="E200" s="806" t="s">
        <v>434</v>
      </c>
      <c r="F200" s="754"/>
      <c r="G200" s="754"/>
      <c r="H200" s="754"/>
      <c r="I200" s="412"/>
      <c r="J200" s="13"/>
      <c r="K200" s="13"/>
      <c r="L200" s="13"/>
      <c r="M200" s="411"/>
      <c r="N200" s="377"/>
    </row>
    <row r="201" spans="1:14" ht="15" customHeight="1" x14ac:dyDescent="0.2">
      <c r="A201" s="799"/>
      <c r="B201" s="395" t="str" cm="1">
        <f t="array" ref="B201">CONCATENATE(WORLDCUP!AA121,"-",WORLDCUP!AF121)</f>
        <v>W74-W77</v>
      </c>
      <c r="C201" s="395" t="str" cm="1">
        <f t="array" ref="C201">CONCATENATE(WORLDCUP!AA121,"-",WORLDCUP!AF121,"·",IF(WORLDCUP!AC121&gt;WORLDCUP!AD121,1,IF(WORLDCUP!AC121&lt;WORLDCUP!AD121,2,IF(AND(WORLDCUP!AC121=WORLDCUP!AD121,WORLDCUP!AC121&lt;&gt;"",WORLDCUP!AD121&lt;&gt;""),"X",0))),"|",WORLDCUP!AC121,"-",WORLDCUP!AD121)</f>
        <v>W74-W77·0|-</v>
      </c>
      <c r="D201" s="754"/>
      <c r="E201" s="754"/>
      <c r="F201" s="754"/>
      <c r="G201" s="754"/>
      <c r="H201" s="754"/>
      <c r="I201" s="412"/>
      <c r="J201" s="13"/>
      <c r="K201" s="13"/>
      <c r="L201" s="13"/>
      <c r="M201" s="411"/>
      <c r="N201" s="377"/>
    </row>
    <row r="202" spans="1:14" ht="15" customHeight="1" x14ac:dyDescent="0.2">
      <c r="A202" s="799"/>
      <c r="B202" s="395" t="str" cm="1">
        <f t="array" ref="B202">CONCATENATE(WORLDCUP!AA122,"-",WORLDCUP!AF122)</f>
        <v>W76-W78</v>
      </c>
      <c r="C202" s="395" t="str" cm="1">
        <f t="array" ref="C202">CONCATENATE(WORLDCUP!AA122,"-",WORLDCUP!AF122,"·",IF(WORLDCUP!AC122&gt;WORLDCUP!AD122,1,IF(WORLDCUP!AC122&lt;WORLDCUP!AD122,2,IF(AND(WORLDCUP!AC122=WORLDCUP!AD122,WORLDCUP!AC122&lt;&gt;"",WORLDCUP!AD122&lt;&gt;""),"X",0))),"|",WORLDCUP!AC122,"-",WORLDCUP!AD122)</f>
        <v>W76-W78·0|-</v>
      </c>
      <c r="D202" s="754"/>
      <c r="E202" s="754"/>
      <c r="F202" s="754"/>
      <c r="G202" s="754"/>
      <c r="H202" s="754"/>
      <c r="I202" s="412"/>
      <c r="J202" s="13"/>
      <c r="K202" s="13"/>
      <c r="L202" s="13"/>
      <c r="M202" s="411"/>
      <c r="N202" s="377"/>
    </row>
    <row r="203" spans="1:14" ht="15" customHeight="1" x14ac:dyDescent="0.2">
      <c r="A203" s="799"/>
      <c r="B203" s="395" t="str" cm="1">
        <f t="array" ref="B203">CONCATENATE(WORLDCUP!AA123,"-",WORLDCUP!AF123)</f>
        <v>W79-W80</v>
      </c>
      <c r="C203" s="395" t="str" cm="1">
        <f t="array" ref="C203">CONCATENATE(WORLDCUP!AA123,"-",WORLDCUP!AF123,"·",IF(WORLDCUP!AC123&gt;WORLDCUP!AD123,1,IF(WORLDCUP!AC123&lt;WORLDCUP!AD123,2,IF(AND(WORLDCUP!AC123=WORLDCUP!AD123,WORLDCUP!AC123&lt;&gt;"",WORLDCUP!AD123&lt;&gt;""),"X",0))),"|",WORLDCUP!AC123,"-",WORLDCUP!AD123)</f>
        <v>W79-W80·0|-</v>
      </c>
      <c r="D203" s="754"/>
      <c r="E203" s="754"/>
      <c r="F203" s="754"/>
      <c r="G203" s="754"/>
      <c r="H203" s="754"/>
      <c r="I203" s="412"/>
      <c r="J203" s="13"/>
      <c r="K203" s="13"/>
      <c r="L203" s="13"/>
      <c r="M203" s="411"/>
      <c r="N203" s="377"/>
    </row>
    <row r="204" spans="1:14" ht="15" customHeight="1" x14ac:dyDescent="0.2">
      <c r="A204" s="799"/>
      <c r="B204" s="395" t="str" cm="1">
        <f t="array" ref="B204">CONCATENATE(WORLDCUP!AA124,"-",WORLDCUP!AF124)</f>
        <v>W83-W84</v>
      </c>
      <c r="C204" s="395" t="str" cm="1">
        <f t="array" ref="C204">CONCATENATE(WORLDCUP!AA124,"-",WORLDCUP!AF124,"·",IF(WORLDCUP!AC124&gt;WORLDCUP!AD124,1,IF(WORLDCUP!AC124&lt;WORLDCUP!AD124,2,IF(AND(WORLDCUP!AC124=WORLDCUP!AD124,WORLDCUP!AC124&lt;&gt;"",WORLDCUP!AD124&lt;&gt;""),"X",0))),"|",WORLDCUP!AC124,"-",WORLDCUP!AD124)</f>
        <v>W83-W84·0|-</v>
      </c>
      <c r="D204" s="754"/>
      <c r="E204" s="412"/>
      <c r="F204" s="412"/>
      <c r="G204" s="412"/>
      <c r="H204" s="412"/>
      <c r="I204" s="412"/>
      <c r="J204" s="13"/>
      <c r="K204" s="13"/>
      <c r="L204" s="13"/>
      <c r="M204" s="411"/>
      <c r="N204" s="377"/>
    </row>
    <row r="205" spans="1:14" ht="15" customHeight="1" x14ac:dyDescent="0.2">
      <c r="A205" s="799"/>
      <c r="B205" s="395" t="str" cm="1">
        <f t="array" ref="B205">CONCATENATE(WORLDCUP!AA125,"-",WORLDCUP!AF125)</f>
        <v>W81-W82</v>
      </c>
      <c r="C205" s="395" t="str" cm="1">
        <f t="array" ref="C205">CONCATENATE(WORLDCUP!AA125,"-",WORLDCUP!AF125,"·",IF(WORLDCUP!AC125&gt;WORLDCUP!AD125,1,IF(WORLDCUP!AC125&lt;WORLDCUP!AD125,2,IF(AND(WORLDCUP!AC125=WORLDCUP!AD125,WORLDCUP!AC125&lt;&gt;"",WORLDCUP!AD125&lt;&gt;""),"X",0))),"|",WORLDCUP!AC125,"-",WORLDCUP!AD125)</f>
        <v>W81-W82·0|-</v>
      </c>
      <c r="D205" s="754"/>
      <c r="E205" s="412"/>
      <c r="F205" s="412"/>
      <c r="G205" s="412"/>
      <c r="H205" s="412"/>
      <c r="I205" s="412"/>
      <c r="J205" s="13"/>
      <c r="K205" s="13"/>
      <c r="L205" s="13"/>
      <c r="M205" s="411"/>
      <c r="N205" s="377"/>
    </row>
    <row r="206" spans="1:14" ht="15" customHeight="1" x14ac:dyDescent="0.2">
      <c r="A206" s="799"/>
      <c r="B206" s="395" t="str" cm="1">
        <f t="array" ref="B206">CONCATENATE(WORLDCUP!AA126,"-",WORLDCUP!AF126)</f>
        <v>W86-W88</v>
      </c>
      <c r="C206" s="395" t="str" cm="1">
        <f t="array" ref="C206">CONCATENATE(WORLDCUP!AA126,"-",WORLDCUP!AF126,"·",IF(WORLDCUP!AC126&gt;WORLDCUP!AD126,1,IF(WORLDCUP!AC126&lt;WORLDCUP!AD126,2,IF(AND(WORLDCUP!AC126=WORLDCUP!AD126,WORLDCUP!AC126&lt;&gt;"",WORLDCUP!AD126&lt;&gt;""),"X",0))),"|",WORLDCUP!AC126,"-",WORLDCUP!AD126)</f>
        <v>W86-W88·0|-</v>
      </c>
      <c r="D206" s="754"/>
      <c r="E206" s="412"/>
      <c r="F206" s="412"/>
      <c r="G206" s="412"/>
      <c r="H206" s="412"/>
      <c r="I206" s="412"/>
      <c r="J206" s="13"/>
      <c r="K206" s="13"/>
      <c r="L206" s="13"/>
      <c r="M206" s="411"/>
      <c r="N206" s="377"/>
    </row>
    <row r="207" spans="1:14" ht="15" customHeight="1" x14ac:dyDescent="0.2">
      <c r="A207" s="799"/>
      <c r="B207" s="395" t="str" cm="1">
        <f t="array" ref="B207">CONCATENATE(WORLDCUP!AA127,"-",WORLDCUP!AF127)</f>
        <v>W85-W87</v>
      </c>
      <c r="C207" s="395" t="str" cm="1">
        <f t="array" ref="C207">CONCATENATE(WORLDCUP!AA127,"-",WORLDCUP!AF127,"·",IF(WORLDCUP!AC127&gt;WORLDCUP!AD127,1,IF(WORLDCUP!AC127&lt;WORLDCUP!AD127,2,IF(AND(WORLDCUP!AC127=WORLDCUP!AD127,WORLDCUP!AC127&lt;&gt;"",WORLDCUP!AD127&lt;&gt;""),"X",0))),"|",WORLDCUP!AC127,"-",WORLDCUP!AD127)</f>
        <v>W85-W87·0|-</v>
      </c>
      <c r="D207" s="754"/>
      <c r="E207" s="412"/>
      <c r="F207" s="412"/>
      <c r="G207" s="412"/>
      <c r="H207" s="412"/>
      <c r="I207" s="412"/>
      <c r="J207" s="13"/>
      <c r="K207" s="13"/>
      <c r="L207" s="13"/>
      <c r="M207" s="411"/>
      <c r="N207" s="377"/>
    </row>
    <row r="208" spans="1:14" ht="15" customHeight="1" x14ac:dyDescent="0.2">
      <c r="A208" s="378"/>
      <c r="B208" s="398"/>
      <c r="C208" s="398"/>
      <c r="D208" s="754"/>
      <c r="E208" s="13"/>
      <c r="F208" s="13"/>
      <c r="G208" s="13"/>
      <c r="H208" s="13"/>
      <c r="I208" s="412"/>
      <c r="J208" s="13"/>
      <c r="K208" s="13"/>
      <c r="L208" s="13"/>
      <c r="M208" s="411"/>
      <c r="N208" s="377"/>
    </row>
    <row r="209" spans="1:14" ht="19" customHeight="1" x14ac:dyDescent="0.25">
      <c r="A209" s="378"/>
      <c r="B209" s="404" t="s">
        <v>435</v>
      </c>
      <c r="C209" s="400"/>
      <c r="D209" s="754"/>
      <c r="E209" s="13"/>
      <c r="F209" s="13"/>
      <c r="G209" s="13"/>
      <c r="H209" s="13"/>
      <c r="I209" s="412"/>
      <c r="J209" s="13"/>
      <c r="K209" s="13"/>
      <c r="L209" s="13"/>
      <c r="M209" s="411"/>
      <c r="N209" s="377"/>
    </row>
    <row r="210" spans="1:14" ht="15" customHeight="1" x14ac:dyDescent="0.2">
      <c r="A210" s="801" t="s">
        <v>298</v>
      </c>
      <c r="B210" s="405" t="s">
        <v>436</v>
      </c>
      <c r="C210" s="395" t="str" cm="1">
        <f t="array" ref="C210">WORLDCUP!AA131</f>
        <v>W89</v>
      </c>
      <c r="D210" s="754"/>
      <c r="E210" s="13"/>
      <c r="F210" s="13"/>
      <c r="G210" s="13"/>
      <c r="H210" s="13"/>
      <c r="I210" s="412"/>
      <c r="J210" s="13"/>
      <c r="K210" s="13"/>
      <c r="L210" s="13"/>
      <c r="M210" s="411"/>
      <c r="N210" s="377"/>
    </row>
    <row r="211" spans="1:14" ht="15" customHeight="1" x14ac:dyDescent="0.2">
      <c r="A211" s="799"/>
      <c r="B211" s="395" t="str" cm="1">
        <f t="array" ref="B211">B210</f>
        <v>Cuartofinalista</v>
      </c>
      <c r="C211" s="395" t="str" cm="1">
        <f t="array" ref="C211">WORLDCUP!AA132</f>
        <v>W93</v>
      </c>
      <c r="D211" s="754"/>
      <c r="E211" s="13"/>
      <c r="F211" s="13"/>
      <c r="G211" s="13"/>
      <c r="H211" s="13"/>
      <c r="I211" s="412"/>
      <c r="J211" s="13"/>
      <c r="K211" s="13"/>
      <c r="L211" s="13"/>
      <c r="M211" s="411"/>
      <c r="N211" s="377"/>
    </row>
    <row r="212" spans="1:14" ht="15" customHeight="1" x14ac:dyDescent="0.2">
      <c r="A212" s="799"/>
      <c r="B212" s="395" t="str" cm="1">
        <f t="array" ref="B212">B211</f>
        <v>Cuartofinalista</v>
      </c>
      <c r="C212" s="395" t="str" cm="1">
        <f t="array" ref="C212">WORLDCUP!AA133</f>
        <v>W91</v>
      </c>
      <c r="D212" s="754"/>
      <c r="E212" s="13"/>
      <c r="F212" s="13"/>
      <c r="G212" s="13"/>
      <c r="H212" s="13"/>
      <c r="I212" s="412"/>
      <c r="J212" s="13"/>
      <c r="K212" s="13"/>
      <c r="L212" s="13"/>
      <c r="M212" s="411"/>
      <c r="N212" s="377"/>
    </row>
    <row r="213" spans="1:14" ht="15" customHeight="1" x14ac:dyDescent="0.2">
      <c r="A213" s="799"/>
      <c r="B213" s="395" t="str" cm="1">
        <f t="array" ref="B213">B212</f>
        <v>Cuartofinalista</v>
      </c>
      <c r="C213" s="395" t="str" cm="1">
        <f t="array" ref="C213">WORLDCUP!AA134</f>
        <v>W95</v>
      </c>
      <c r="D213" s="754"/>
      <c r="E213" s="13"/>
      <c r="F213" s="13"/>
      <c r="G213" s="13"/>
      <c r="H213" s="13"/>
      <c r="I213" s="412"/>
      <c r="J213" s="13"/>
      <c r="K213" s="13"/>
      <c r="L213" s="13"/>
      <c r="M213" s="411"/>
      <c r="N213" s="377"/>
    </row>
    <row r="214" spans="1:14" ht="15" customHeight="1" x14ac:dyDescent="0.2">
      <c r="A214" s="799"/>
      <c r="B214" s="395" t="str" cm="1">
        <f t="array" ref="B214">B213</f>
        <v>Cuartofinalista</v>
      </c>
      <c r="C214" s="395" t="str" cm="1">
        <f t="array" ref="C214">WORLDCUP!AF131</f>
        <v>W90</v>
      </c>
      <c r="D214" s="754"/>
      <c r="E214" s="13"/>
      <c r="F214" s="13"/>
      <c r="G214" s="13"/>
      <c r="H214" s="13"/>
      <c r="I214" s="412"/>
      <c r="J214" s="13"/>
      <c r="K214" s="13"/>
      <c r="L214" s="13"/>
      <c r="M214" s="411"/>
      <c r="N214" s="377"/>
    </row>
    <row r="215" spans="1:14" ht="15" customHeight="1" x14ac:dyDescent="0.2">
      <c r="A215" s="799"/>
      <c r="B215" s="395" t="str" cm="1">
        <f t="array" ref="B215">B214</f>
        <v>Cuartofinalista</v>
      </c>
      <c r="C215" s="395" t="str" cm="1">
        <f t="array" ref="C215">WORLDCUP!AF132</f>
        <v>W94</v>
      </c>
      <c r="D215" s="754"/>
      <c r="E215" s="13"/>
      <c r="F215" s="13"/>
      <c r="G215" s="13"/>
      <c r="H215" s="13"/>
      <c r="I215" s="412"/>
      <c r="J215" s="13"/>
      <c r="K215" s="13"/>
      <c r="L215" s="13"/>
      <c r="M215" s="411"/>
      <c r="N215" s="377"/>
    </row>
    <row r="216" spans="1:14" ht="15" customHeight="1" x14ac:dyDescent="0.2">
      <c r="A216" s="799"/>
      <c r="B216" s="395" t="str" cm="1">
        <f t="array" ref="B216">B215</f>
        <v>Cuartofinalista</v>
      </c>
      <c r="C216" s="395" t="str" cm="1">
        <f t="array" ref="C216">WORLDCUP!AF133</f>
        <v>W92</v>
      </c>
      <c r="D216" s="754"/>
      <c r="E216" s="13"/>
      <c r="F216" s="13"/>
      <c r="G216" s="13"/>
      <c r="H216" s="13"/>
      <c r="I216" s="412"/>
      <c r="J216" s="13"/>
      <c r="K216" s="13"/>
      <c r="L216" s="13"/>
      <c r="M216" s="411"/>
      <c r="N216" s="377"/>
    </row>
    <row r="217" spans="1:14" ht="15" customHeight="1" x14ac:dyDescent="0.2">
      <c r="A217" s="799"/>
      <c r="B217" s="395" t="str" cm="1">
        <f t="array" ref="B217">B216</f>
        <v>Cuartofinalista</v>
      </c>
      <c r="C217" s="395" t="str" cm="1">
        <f t="array" ref="C217">WORLDCUP!AF134</f>
        <v>W96</v>
      </c>
      <c r="D217" s="754"/>
      <c r="E217" s="413"/>
      <c r="F217" s="413"/>
      <c r="G217" s="413"/>
      <c r="H217" s="413"/>
      <c r="I217" s="414"/>
      <c r="J217" s="13"/>
      <c r="K217" s="13"/>
      <c r="L217" s="13"/>
      <c r="M217" s="411"/>
      <c r="N217" s="377"/>
    </row>
    <row r="218" spans="1:14" ht="15" customHeight="1" x14ac:dyDescent="0.2">
      <c r="A218" s="378"/>
      <c r="B218" s="398"/>
      <c r="C218" s="398"/>
      <c r="D218" s="13"/>
      <c r="E218" s="415"/>
      <c r="F218" s="415"/>
      <c r="G218" s="415"/>
      <c r="H218" s="415"/>
      <c r="I218" s="416"/>
      <c r="J218" s="13"/>
      <c r="K218" s="13"/>
      <c r="L218" s="13"/>
      <c r="M218" s="411"/>
      <c r="N218" s="377"/>
    </row>
    <row r="219" spans="1:14" ht="19" customHeight="1" x14ac:dyDescent="0.25">
      <c r="A219" s="378"/>
      <c r="B219" s="404" t="s">
        <v>437</v>
      </c>
      <c r="C219" s="400"/>
      <c r="D219" s="13"/>
      <c r="E219" s="13"/>
      <c r="F219" s="13"/>
      <c r="G219" s="13"/>
      <c r="H219" s="13"/>
      <c r="I219" s="417"/>
      <c r="J219" s="13"/>
      <c r="K219" s="13"/>
      <c r="L219" s="13"/>
      <c r="M219" s="411"/>
      <c r="N219" s="377"/>
    </row>
    <row r="220" spans="1:14" ht="15" customHeight="1" x14ac:dyDescent="0.2">
      <c r="A220" s="801" t="s">
        <v>298</v>
      </c>
      <c r="B220" s="395" t="str" cm="1">
        <f t="array" ref="B220">CONCATENATE(WORLDCUP!AA131,"-",WORLDCUP!AF131)</f>
        <v>W89-W90</v>
      </c>
      <c r="C220" s="395" t="str" cm="1">
        <f t="array" ref="C220">CONCATENATE(WORLDCUP!AA131,"-",WORLDCUP!AF131,"·",IF(WORLDCUP!AC131&gt;WORLDCUP!AD131,1,IF(WORLDCUP!AC131&lt;WORLDCUP!AD131,2,IF(AND(WORLDCUP!AC131=WORLDCUP!AD131,WORLDCUP!AC131&lt;&gt;"",WORLDCUP!AD131&lt;&gt;""),"X",0))),"|",WORLDCUP!AC131,"-",WORLDCUP!AD131)</f>
        <v>W89-W90·0|-</v>
      </c>
      <c r="D220" s="809" t="s">
        <v>298</v>
      </c>
      <c r="E220" s="806" t="s">
        <v>438</v>
      </c>
      <c r="F220" s="754"/>
      <c r="G220" s="754"/>
      <c r="H220" s="754"/>
      <c r="I220" s="412"/>
      <c r="J220" s="13"/>
      <c r="K220" s="13"/>
      <c r="L220" s="13"/>
      <c r="M220" s="411"/>
      <c r="N220" s="377"/>
    </row>
    <row r="221" spans="1:14" ht="15" customHeight="1" x14ac:dyDescent="0.2">
      <c r="A221" s="799"/>
      <c r="B221" s="395" t="str" cm="1">
        <f t="array" ref="B221">CONCATENATE(WORLDCUP!AA132,"-",WORLDCUP!AF132)</f>
        <v>W93-W94</v>
      </c>
      <c r="C221" s="395" t="str" cm="1">
        <f t="array" ref="C221">CONCATENATE(WORLDCUP!AA132,"-",WORLDCUP!AF132,"·",IF(WORLDCUP!AC132&gt;WORLDCUP!AD132,1,IF(WORLDCUP!AC132&lt;WORLDCUP!AD132,2,IF(AND(WORLDCUP!AC132=WORLDCUP!AD132,WORLDCUP!AC132&lt;&gt;"",WORLDCUP!AD132&lt;&gt;""),"X",0))),"|",WORLDCUP!AC132,"-",WORLDCUP!AD132)</f>
        <v>W93-W94·0|-</v>
      </c>
      <c r="D221" s="754"/>
      <c r="E221" s="754"/>
      <c r="F221" s="754"/>
      <c r="G221" s="754"/>
      <c r="H221" s="754"/>
      <c r="I221" s="412"/>
      <c r="J221" s="13"/>
      <c r="K221" s="13"/>
      <c r="L221" s="13"/>
      <c r="M221" s="411"/>
      <c r="N221" s="377"/>
    </row>
    <row r="222" spans="1:14" ht="15" customHeight="1" x14ac:dyDescent="0.2">
      <c r="A222" s="799"/>
      <c r="B222" s="395" t="str" cm="1">
        <f t="array" ref="B222">CONCATENATE(WORLDCUP!AA133,"-",WORLDCUP!AF133)</f>
        <v>W91-W92</v>
      </c>
      <c r="C222" s="395" t="str" cm="1">
        <f t="array" ref="C222">CONCATENATE(WORLDCUP!AA133,"-",WORLDCUP!AF133,"·",IF(WORLDCUP!AC133&gt;WORLDCUP!AD133,1,IF(WORLDCUP!AC133&lt;WORLDCUP!AD133,2,IF(AND(WORLDCUP!AC133=WORLDCUP!AD133,WORLDCUP!AC133&lt;&gt;"",WORLDCUP!AD133&lt;&gt;""),"X",0))),"|",WORLDCUP!AC133,"-",WORLDCUP!AD133)</f>
        <v>W91-W92·0|-</v>
      </c>
      <c r="D222" s="754"/>
      <c r="E222" s="754"/>
      <c r="F222" s="754"/>
      <c r="G222" s="754"/>
      <c r="H222" s="754"/>
      <c r="I222" s="412"/>
      <c r="J222" s="13"/>
      <c r="K222" s="13"/>
      <c r="L222" s="13"/>
      <c r="M222" s="411"/>
      <c r="N222" s="377"/>
    </row>
    <row r="223" spans="1:14" ht="15" customHeight="1" x14ac:dyDescent="0.2">
      <c r="A223" s="799"/>
      <c r="B223" s="395" t="str" cm="1">
        <f t="array" ref="B223">CONCATENATE(WORLDCUP!AA134,"-",WORLDCUP!AF134)</f>
        <v>W95-W96</v>
      </c>
      <c r="C223" s="395" t="str" cm="1">
        <f t="array" ref="C223">CONCATENATE(WORLDCUP!AA134,"-",WORLDCUP!AF134,"·",IF(WORLDCUP!AC134&gt;WORLDCUP!AD134,1,IF(WORLDCUP!AC134&lt;WORLDCUP!AD134,2,IF(AND(WORLDCUP!AC134=WORLDCUP!AD134,WORLDCUP!AC134&lt;&gt;"",WORLDCUP!AD134&lt;&gt;""),"X",0))),"|",WORLDCUP!AC134,"-",WORLDCUP!AD134)</f>
        <v>W95-W96·0|-</v>
      </c>
      <c r="D223" s="754"/>
      <c r="E223" s="754"/>
      <c r="F223" s="754"/>
      <c r="G223" s="754"/>
      <c r="H223" s="754"/>
      <c r="I223" s="412"/>
      <c r="J223" s="13"/>
      <c r="K223" s="13"/>
      <c r="L223" s="13"/>
      <c r="M223" s="411"/>
      <c r="N223" s="377"/>
    </row>
    <row r="224" spans="1:14" ht="15" customHeight="1" x14ac:dyDescent="0.2">
      <c r="A224" s="378"/>
      <c r="B224" s="398"/>
      <c r="C224" s="398"/>
      <c r="D224" s="754"/>
      <c r="E224" s="412"/>
      <c r="F224" s="412"/>
      <c r="G224" s="412"/>
      <c r="H224" s="412"/>
      <c r="I224" s="412"/>
      <c r="J224" s="13"/>
      <c r="K224" s="13"/>
      <c r="L224" s="13"/>
      <c r="M224" s="411"/>
      <c r="N224" s="377"/>
    </row>
    <row r="225" spans="1:14" ht="19" customHeight="1" x14ac:dyDescent="0.25">
      <c r="A225" s="378"/>
      <c r="B225" s="404" t="s">
        <v>439</v>
      </c>
      <c r="C225" s="400"/>
      <c r="D225" s="754"/>
      <c r="E225" s="13"/>
      <c r="F225" s="13"/>
      <c r="G225" s="13"/>
      <c r="H225" s="13"/>
      <c r="I225" s="412"/>
      <c r="J225" s="13"/>
      <c r="K225" s="13"/>
      <c r="L225" s="13"/>
      <c r="M225" s="411"/>
      <c r="N225" s="377"/>
    </row>
    <row r="226" spans="1:14" ht="15" customHeight="1" x14ac:dyDescent="0.2">
      <c r="A226" s="801" t="s">
        <v>311</v>
      </c>
      <c r="B226" s="405" t="s">
        <v>440</v>
      </c>
      <c r="C226" s="395" t="str" cm="1">
        <f t="array" ref="C226">WORLDCUP!AA138</f>
        <v>W97</v>
      </c>
      <c r="D226" s="754"/>
      <c r="E226" s="13"/>
      <c r="F226" s="13"/>
      <c r="G226" s="13"/>
      <c r="H226" s="13"/>
      <c r="I226" s="412"/>
      <c r="J226" s="13"/>
      <c r="K226" s="13"/>
      <c r="L226" s="13"/>
      <c r="M226" s="411"/>
      <c r="N226" s="377"/>
    </row>
    <row r="227" spans="1:14" ht="15" customHeight="1" x14ac:dyDescent="0.2">
      <c r="A227" s="799"/>
      <c r="B227" s="405" t="s">
        <v>440</v>
      </c>
      <c r="C227" s="395" t="str" cm="1">
        <f t="array" ref="C227">WORLDCUP!AA139</f>
        <v>W99</v>
      </c>
      <c r="D227" s="754"/>
      <c r="E227" s="13"/>
      <c r="F227" s="13"/>
      <c r="G227" s="13"/>
      <c r="H227" s="13"/>
      <c r="I227" s="412"/>
      <c r="J227" s="13"/>
      <c r="K227" s="13"/>
      <c r="L227" s="13"/>
      <c r="M227" s="411"/>
      <c r="N227" s="377"/>
    </row>
    <row r="228" spans="1:14" ht="15" customHeight="1" x14ac:dyDescent="0.2">
      <c r="A228" s="799"/>
      <c r="B228" s="405" t="s">
        <v>440</v>
      </c>
      <c r="C228" s="395" t="str" cm="1">
        <f t="array" ref="C228">WORLDCUP!AF138</f>
        <v>W98</v>
      </c>
      <c r="D228" s="754"/>
      <c r="E228" s="13"/>
      <c r="F228" s="13"/>
      <c r="G228" s="13"/>
      <c r="H228" s="13"/>
      <c r="I228" s="412"/>
      <c r="J228" s="13"/>
      <c r="K228" s="13"/>
      <c r="L228" s="13"/>
      <c r="M228" s="411"/>
      <c r="N228" s="377"/>
    </row>
    <row r="229" spans="1:14" ht="15" customHeight="1" x14ac:dyDescent="0.2">
      <c r="A229" s="799"/>
      <c r="B229" s="405" t="s">
        <v>440</v>
      </c>
      <c r="C229" s="395" t="str" cm="1">
        <f t="array" ref="C229">WORLDCUP!AF139</f>
        <v>W100</v>
      </c>
      <c r="D229" s="754"/>
      <c r="E229" s="413"/>
      <c r="F229" s="413"/>
      <c r="G229" s="413"/>
      <c r="H229" s="413"/>
      <c r="I229" s="412"/>
      <c r="J229" s="13"/>
      <c r="K229" s="13"/>
      <c r="L229" s="13"/>
      <c r="M229" s="411"/>
      <c r="N229" s="377"/>
    </row>
    <row r="230" spans="1:14" ht="15" customHeight="1" x14ac:dyDescent="0.2">
      <c r="A230" s="378"/>
      <c r="B230" s="398"/>
      <c r="C230" s="398"/>
      <c r="D230" s="13"/>
      <c r="E230" s="415"/>
      <c r="F230" s="415"/>
      <c r="G230" s="415"/>
      <c r="H230" s="415"/>
      <c r="I230" s="417"/>
      <c r="J230" s="13"/>
      <c r="K230" s="13"/>
      <c r="L230" s="13"/>
      <c r="M230" s="411"/>
      <c r="N230" s="377"/>
    </row>
    <row r="231" spans="1:14" ht="19" customHeight="1" x14ac:dyDescent="0.25">
      <c r="A231" s="378"/>
      <c r="B231" s="404" t="s">
        <v>441</v>
      </c>
      <c r="C231" s="400"/>
      <c r="D231" s="13"/>
      <c r="E231" s="13"/>
      <c r="F231" s="13"/>
      <c r="G231" s="13"/>
      <c r="H231" s="13"/>
      <c r="I231" s="417"/>
      <c r="J231" s="13"/>
      <c r="K231" s="13"/>
      <c r="L231" s="13"/>
      <c r="M231" s="411"/>
      <c r="N231" s="377"/>
    </row>
    <row r="232" spans="1:14" ht="15" customHeight="1" x14ac:dyDescent="0.2">
      <c r="A232" s="798" t="s">
        <v>311</v>
      </c>
      <c r="B232" s="395" t="str" cm="1">
        <f t="array" ref="B232">CONCATENATE(WORLDCUP!AA138,"-",WORLDCUP!AF138)</f>
        <v>W97-W98</v>
      </c>
      <c r="C232" s="395" t="str" cm="1">
        <f t="array" ref="C232">CONCATENATE(WORLDCUP!AA138,"-",WORLDCUP!AF138,"·",IF(WORLDCUP!AC138&gt;WORLDCUP!AD138,1,IF(WORLDCUP!AC138&lt;WORLDCUP!AD138,2,IF(AND(WORLDCUP!AC138=WORLDCUP!AD138,WORLDCUP!AC138&lt;&gt;"",WORLDCUP!AD138&lt;&gt;""),"X",0))),"|",WORLDCUP!AC138,"-",WORLDCUP!AD138)</f>
        <v>W97-W98·0|-</v>
      </c>
      <c r="D232" s="800" t="s">
        <v>311</v>
      </c>
      <c r="E232" s="806" t="s">
        <v>442</v>
      </c>
      <c r="F232" s="754"/>
      <c r="G232" s="754"/>
      <c r="H232" s="754"/>
      <c r="I232" s="412"/>
      <c r="J232" s="13"/>
      <c r="K232" s="13"/>
      <c r="L232" s="13"/>
      <c r="M232" s="411"/>
      <c r="N232" s="377"/>
    </row>
    <row r="233" spans="1:14" ht="15" customHeight="1" x14ac:dyDescent="0.2">
      <c r="A233" s="799"/>
      <c r="B233" s="395" t="str" cm="1">
        <f t="array" ref="B233">CONCATENATE(WORLDCUP!AA139,"-",WORLDCUP!AF139)</f>
        <v>W99-W100</v>
      </c>
      <c r="C233" s="395" t="str" cm="1">
        <f t="array" ref="C233">CONCATENATE(WORLDCUP!AA139,"-",WORLDCUP!AF139,"·",IF(WORLDCUP!AC139&gt;WORLDCUP!AD139,1,IF(WORLDCUP!AC139&lt;WORLDCUP!AD139,2,IF(AND(WORLDCUP!AC139=WORLDCUP!AD139,WORLDCUP!AC139&lt;&gt;"",WORLDCUP!AD139&lt;&gt;""),"X",0))),"|",WORLDCUP!AC139,"-",WORLDCUP!AD139)</f>
        <v>W99-W100·0|-</v>
      </c>
      <c r="D233" s="754"/>
      <c r="E233" s="754"/>
      <c r="F233" s="754"/>
      <c r="G233" s="754"/>
      <c r="H233" s="754"/>
      <c r="I233" s="412"/>
      <c r="J233" s="13"/>
      <c r="K233" s="13"/>
      <c r="L233" s="13"/>
      <c r="M233" s="411"/>
      <c r="N233" s="377"/>
    </row>
    <row r="234" spans="1:14" ht="15" customHeight="1" x14ac:dyDescent="0.2">
      <c r="A234" s="378"/>
      <c r="B234" s="398"/>
      <c r="C234" s="398"/>
      <c r="D234" s="754"/>
      <c r="E234" s="754"/>
      <c r="F234" s="754"/>
      <c r="G234" s="754"/>
      <c r="H234" s="754"/>
      <c r="I234" s="412"/>
      <c r="J234" s="13"/>
      <c r="K234" s="13"/>
      <c r="L234" s="13"/>
      <c r="M234" s="411"/>
      <c r="N234" s="377"/>
    </row>
    <row r="235" spans="1:14" ht="19" customHeight="1" x14ac:dyDescent="0.25">
      <c r="A235" s="378"/>
      <c r="B235" s="404" t="s">
        <v>443</v>
      </c>
      <c r="C235" s="400"/>
      <c r="D235" s="754"/>
      <c r="E235" s="754"/>
      <c r="F235" s="754"/>
      <c r="G235" s="754"/>
      <c r="H235" s="754"/>
      <c r="I235" s="412"/>
      <c r="J235" s="13"/>
      <c r="K235" s="13"/>
      <c r="L235" s="13"/>
      <c r="M235" s="411"/>
      <c r="N235" s="377"/>
    </row>
    <row r="236" spans="1:14" ht="15" customHeight="1" x14ac:dyDescent="0.2">
      <c r="A236" s="798" t="s">
        <v>317</v>
      </c>
      <c r="B236" s="405" t="s">
        <v>315</v>
      </c>
      <c r="C236" s="395" t="str" cm="1">
        <f t="array" ref="C236">WORLDCUP!AA143</f>
        <v>L101</v>
      </c>
      <c r="D236" s="754"/>
      <c r="E236" s="419"/>
      <c r="F236" s="419"/>
      <c r="G236" s="419"/>
      <c r="H236" s="419"/>
      <c r="I236" s="412"/>
      <c r="J236" s="13"/>
      <c r="K236" s="13"/>
      <c r="L236" s="13"/>
      <c r="M236" s="411"/>
      <c r="N236" s="377"/>
    </row>
    <row r="237" spans="1:14" ht="15" customHeight="1" x14ac:dyDescent="0.2">
      <c r="A237" s="799"/>
      <c r="B237" s="405" t="s">
        <v>315</v>
      </c>
      <c r="C237" s="395" t="str" cm="1">
        <f t="array" ref="C237">WORLDCUP!AF143</f>
        <v>L102</v>
      </c>
      <c r="D237" s="754"/>
      <c r="E237" s="419"/>
      <c r="F237" s="419"/>
      <c r="G237" s="419"/>
      <c r="H237" s="419"/>
      <c r="I237" s="412"/>
      <c r="J237" s="13"/>
      <c r="K237" s="13"/>
      <c r="L237" s="13"/>
      <c r="M237" s="411"/>
      <c r="N237" s="377"/>
    </row>
    <row r="238" spans="1:14" ht="15" customHeight="1" x14ac:dyDescent="0.2">
      <c r="A238" s="378"/>
      <c r="B238" s="398"/>
      <c r="C238" s="398"/>
      <c r="D238" s="754"/>
      <c r="E238" s="419"/>
      <c r="F238" s="419"/>
      <c r="G238" s="419"/>
      <c r="H238" s="419"/>
      <c r="I238" s="412"/>
      <c r="J238" s="13"/>
      <c r="K238" s="13"/>
      <c r="L238" s="13"/>
      <c r="M238" s="411"/>
      <c r="N238" s="377"/>
    </row>
    <row r="239" spans="1:14" ht="19" customHeight="1" x14ac:dyDescent="0.25">
      <c r="A239" s="378"/>
      <c r="B239" s="404" t="s">
        <v>444</v>
      </c>
      <c r="C239" s="400"/>
      <c r="D239" s="754"/>
      <c r="E239" s="419"/>
      <c r="F239" s="419"/>
      <c r="G239" s="419"/>
      <c r="H239" s="419"/>
      <c r="I239" s="412"/>
      <c r="J239" s="13"/>
      <c r="K239" s="13"/>
      <c r="L239" s="13"/>
      <c r="M239" s="411"/>
      <c r="N239" s="377"/>
    </row>
    <row r="240" spans="1:14" ht="15" customHeight="1" x14ac:dyDescent="0.2">
      <c r="A240" s="798" t="s">
        <v>156</v>
      </c>
      <c r="B240" s="405" t="s">
        <v>445</v>
      </c>
      <c r="C240" s="395" t="str" cm="1">
        <f t="array" ref="C240">WORLDCUP!AA147</f>
        <v>W101</v>
      </c>
      <c r="D240" s="754"/>
      <c r="E240" s="13"/>
      <c r="F240" s="13"/>
      <c r="G240" s="13"/>
      <c r="H240" s="13"/>
      <c r="I240" s="412"/>
      <c r="J240" s="13"/>
      <c r="K240" s="13"/>
      <c r="L240" s="13"/>
      <c r="M240" s="411"/>
      <c r="N240" s="377"/>
    </row>
    <row r="241" spans="1:14" ht="15" customHeight="1" x14ac:dyDescent="0.2">
      <c r="A241" s="799"/>
      <c r="B241" s="395" t="str" cm="1">
        <f t="array" ref="B241">B240</f>
        <v>Finalista</v>
      </c>
      <c r="C241" s="395" t="str" cm="1">
        <f t="array" ref="C241">WORLDCUP!AF147</f>
        <v>W102</v>
      </c>
      <c r="D241" s="754"/>
      <c r="E241" s="420"/>
      <c r="F241" s="420"/>
      <c r="G241" s="420"/>
      <c r="H241" s="421"/>
      <c r="I241" s="422"/>
      <c r="J241" s="13"/>
      <c r="K241" s="13"/>
      <c r="L241" s="13"/>
      <c r="M241" s="411"/>
      <c r="N241" s="377"/>
    </row>
    <row r="242" spans="1:14" ht="15" customHeight="1" x14ac:dyDescent="0.2">
      <c r="A242" s="378"/>
      <c r="B242" s="398"/>
      <c r="C242" s="398"/>
      <c r="D242" s="13"/>
      <c r="E242" s="423"/>
      <c r="F242" s="423"/>
      <c r="G242" s="423"/>
      <c r="H242" s="423"/>
      <c r="I242" s="416"/>
      <c r="J242" s="13"/>
      <c r="K242" s="13"/>
      <c r="L242" s="13"/>
      <c r="M242" s="411"/>
      <c r="N242" s="377"/>
    </row>
    <row r="243" spans="1:14" ht="19" customHeight="1" x14ac:dyDescent="0.25">
      <c r="A243" s="378"/>
      <c r="B243" s="404" t="s">
        <v>446</v>
      </c>
      <c r="C243" s="400"/>
      <c r="D243" s="13"/>
      <c r="E243" s="13"/>
      <c r="F243" s="13"/>
      <c r="G243" s="13"/>
      <c r="H243" s="13"/>
      <c r="I243" s="417"/>
      <c r="J243" s="13"/>
      <c r="K243" s="13"/>
      <c r="L243" s="13"/>
      <c r="M243" s="411"/>
      <c r="N243" s="377"/>
    </row>
    <row r="244" spans="1:14" ht="15" customHeight="1" x14ac:dyDescent="0.2">
      <c r="A244" s="418" t="s">
        <v>317</v>
      </c>
      <c r="B244" s="395" t="str" cm="1">
        <f t="array" ref="B244">CONCATENATE(WORLDCUP!AA143,"-",WORLDCUP!AF143)</f>
        <v>L101-L102</v>
      </c>
      <c r="C244" s="395" t="str" cm="1">
        <f t="array" ref="C244">CONCATENATE(WORLDCUP!AA143,"-",WORLDCUP!AF143,"·",IF(WORLDCUP!AC143&gt;WORLDCUP!AD143,1,IF(WORLDCUP!AC143&lt;WORLDCUP!AD143,2,IF(AND(WORLDCUP!AC143=WORLDCUP!AD143,WORLDCUP!AC143&lt;&gt;"",WORLDCUP!AD143&lt;&gt;""),"X",0))),"|",WORLDCUP!AC143,"-",WORLDCUP!AD143)</f>
        <v>L101-L102·0|-</v>
      </c>
      <c r="D244" s="803" t="s">
        <v>447</v>
      </c>
      <c r="E244" s="810" t="s">
        <v>448</v>
      </c>
      <c r="F244" s="754"/>
      <c r="G244" s="754"/>
      <c r="H244" s="754"/>
      <c r="I244" s="391"/>
      <c r="J244" s="392"/>
      <c r="K244" s="13"/>
      <c r="L244" s="13"/>
      <c r="M244" s="411"/>
      <c r="N244" s="377"/>
    </row>
    <row r="245" spans="1:14" ht="15" customHeight="1" x14ac:dyDescent="0.2">
      <c r="A245" s="378"/>
      <c r="B245" s="398"/>
      <c r="C245" s="398"/>
      <c r="D245" s="754"/>
      <c r="E245" s="754"/>
      <c r="F245" s="754"/>
      <c r="G245" s="754"/>
      <c r="H245" s="754"/>
      <c r="I245" s="391"/>
      <c r="J245" s="392"/>
      <c r="K245" s="13"/>
      <c r="L245" s="13"/>
      <c r="M245" s="411"/>
      <c r="N245" s="377"/>
    </row>
    <row r="246" spans="1:14" ht="21" customHeight="1" x14ac:dyDescent="0.25">
      <c r="A246" s="378"/>
      <c r="B246" s="404" t="s">
        <v>449</v>
      </c>
      <c r="C246" s="400"/>
      <c r="D246" s="754"/>
      <c r="E246" s="754"/>
      <c r="F246" s="754"/>
      <c r="G246" s="754"/>
      <c r="H246" s="754"/>
      <c r="I246" s="391"/>
      <c r="J246" s="392"/>
      <c r="K246" s="13"/>
      <c r="L246" s="13"/>
      <c r="M246" s="411"/>
      <c r="N246" s="377"/>
    </row>
    <row r="247" spans="1:14" ht="15" customHeight="1" x14ac:dyDescent="0.2">
      <c r="A247" s="418" t="s">
        <v>156</v>
      </c>
      <c r="B247" s="395" t="str" cm="1">
        <f t="array" ref="B247">CONCATENATE(WORLDCUP!AA147,"-",WORLDCUP!AF147)</f>
        <v>W101-W102</v>
      </c>
      <c r="C247" s="395" t="str" cm="1">
        <f t="array" ref="C247">CONCATENATE(WORLDCUP!AA147,"-",WORLDCUP!AF147,"·",IF(WORLDCUP!AC147&gt;WORLDCUP!AD147,1,IF(WORLDCUP!AC147&lt;WORLDCUP!AD147,2,IF(AND(WORLDCUP!AC147=WORLDCUP!AD147,WORLDCUP!AC147&lt;&gt;"",WORLDCUP!AD147&lt;&gt;""),"X",0))),"|",WORLDCUP!AC147,"-",WORLDCUP!AD147)</f>
        <v>W101-W102·0|-</v>
      </c>
      <c r="D247" s="754"/>
      <c r="E247" s="424"/>
      <c r="F247" s="424"/>
      <c r="G247" s="424"/>
      <c r="H247" s="424"/>
      <c r="I247" s="391"/>
      <c r="J247" s="392"/>
      <c r="K247" s="13"/>
      <c r="L247" s="13"/>
      <c r="M247" s="411"/>
      <c r="N247" s="377"/>
    </row>
    <row r="248" spans="1:14" ht="15" customHeight="1" x14ac:dyDescent="0.2">
      <c r="A248" s="378"/>
      <c r="B248" s="398"/>
      <c r="C248" s="398"/>
      <c r="D248" s="754"/>
      <c r="E248" s="419"/>
      <c r="F248" s="419"/>
      <c r="G248" s="419"/>
      <c r="H248" s="419"/>
      <c r="I248" s="391"/>
      <c r="J248" s="392"/>
      <c r="K248" s="13"/>
      <c r="L248" s="13"/>
      <c r="M248" s="411"/>
      <c r="N248" s="377"/>
    </row>
    <row r="249" spans="1:14" ht="19" customHeight="1" x14ac:dyDescent="0.25">
      <c r="A249" s="378"/>
      <c r="B249" s="404" t="s">
        <v>450</v>
      </c>
      <c r="C249" s="400"/>
      <c r="D249" s="754"/>
      <c r="E249" s="419"/>
      <c r="F249" s="419"/>
      <c r="G249" s="419"/>
      <c r="H249" s="419"/>
      <c r="I249" s="391"/>
      <c r="J249" s="392"/>
      <c r="K249" s="13"/>
      <c r="L249" s="13"/>
      <c r="M249" s="411"/>
      <c r="N249" s="377"/>
    </row>
    <row r="250" spans="1:14" ht="15" customHeight="1" x14ac:dyDescent="0.2">
      <c r="A250" s="425"/>
      <c r="B250" s="395" t="str" cm="1">
        <f t="array" ref="B250">WORLDCUP!W150</f>
        <v>🥇Campeón</v>
      </c>
      <c r="C250" s="395" t="str" cm="1">
        <f t="array" ref="C250">WORLDCUP!AA150</f>
        <v>WF</v>
      </c>
      <c r="D250" s="754"/>
      <c r="E250" s="419"/>
      <c r="F250" s="419"/>
      <c r="G250" s="419"/>
      <c r="H250" s="419"/>
      <c r="I250" s="391"/>
      <c r="J250" s="392"/>
      <c r="K250" s="13"/>
      <c r="L250" s="13"/>
      <c r="M250" s="411"/>
      <c r="N250" s="377"/>
    </row>
    <row r="251" spans="1:14" ht="15" customHeight="1" x14ac:dyDescent="0.2">
      <c r="A251" s="426"/>
      <c r="B251" s="395" t="str" cm="1">
        <f t="array" ref="B251">WORLDCUP!W151</f>
        <v>🥈Subcampeón</v>
      </c>
      <c r="C251" s="395" t="str" cm="1">
        <f t="array" ref="C251">WORLDCUP!AA151</f>
        <v>LF</v>
      </c>
      <c r="D251" s="754"/>
      <c r="E251" s="419"/>
      <c r="F251" s="419"/>
      <c r="G251" s="419"/>
      <c r="H251" s="419"/>
      <c r="I251" s="391"/>
      <c r="J251" s="371"/>
      <c r="K251" s="372"/>
      <c r="L251" s="372"/>
      <c r="M251" s="411"/>
      <c r="N251" s="377"/>
    </row>
    <row r="252" spans="1:14" ht="15" customHeight="1" x14ac:dyDescent="0.2">
      <c r="A252" s="426"/>
      <c r="B252" s="395" t="str" cm="1">
        <f t="array" ref="B252">WORLDCUP!W152</f>
        <v>🥉3º puesto</v>
      </c>
      <c r="C252" s="395" t="str" cm="1">
        <f t="array" ref="C252">WORLDCUP!AA152</f>
        <v>W34</v>
      </c>
      <c r="D252" s="754"/>
      <c r="E252" s="13"/>
      <c r="F252" s="13"/>
      <c r="G252" s="13"/>
      <c r="H252" s="13"/>
      <c r="I252" s="412"/>
      <c r="J252" s="388"/>
      <c r="K252" s="388"/>
      <c r="L252" s="388"/>
      <c r="M252" s="427"/>
      <c r="N252" s="377"/>
    </row>
    <row r="253" spans="1:14" ht="15" customHeight="1" x14ac:dyDescent="0.2">
      <c r="A253" s="428"/>
      <c r="B253" s="395" t="str" cm="1">
        <f t="array" ref="B253">WORLDCUP!W154</f>
        <v>Bota de Oro  (máximo goleador)</v>
      </c>
      <c r="C253" s="395" t="str" cm="1">
        <f t="array" ref="C253">WORLDCUP!AA154</f>
        <v>Escribe un jugador</v>
      </c>
      <c r="D253" s="429"/>
      <c r="E253" s="805" t="s">
        <v>451</v>
      </c>
      <c r="F253" s="754"/>
      <c r="G253" s="754"/>
      <c r="H253" s="754"/>
      <c r="I253" s="430"/>
      <c r="J253" s="430"/>
      <c r="K253" s="430"/>
      <c r="L253" s="431"/>
      <c r="M253" s="432"/>
      <c r="N253" s="377"/>
    </row>
    <row r="254" spans="1:14" ht="15" customHeight="1" x14ac:dyDescent="0.2">
      <c r="A254" s="433"/>
      <c r="B254" s="395" t="str" cm="1">
        <f t="array" ref="B254">WORLDCUP!W155</f>
        <v>Bota de Plata (2º máximo goleador)</v>
      </c>
      <c r="C254" s="395" t="str" cm="1">
        <f t="array" ref="C254">WORLDCUP!AA155</f>
        <v>Escribe un jugador</v>
      </c>
      <c r="D254" s="429"/>
      <c r="E254" s="754"/>
      <c r="F254" s="754"/>
      <c r="G254" s="754"/>
      <c r="H254" s="754"/>
      <c r="I254" s="430"/>
      <c r="J254" s="430"/>
      <c r="K254" s="430"/>
      <c r="L254" s="431"/>
      <c r="M254" s="434"/>
      <c r="N254" s="377"/>
    </row>
    <row r="255" spans="1:14" ht="15" customHeight="1" x14ac:dyDescent="0.2">
      <c r="A255" s="433"/>
      <c r="B255" s="395" t="str" cm="1">
        <f t="array" ref="B255">WORLDCUP!W156</f>
        <v>Bota de Bronce (3º máximo goleador)</v>
      </c>
      <c r="C255" s="395" t="str" cm="1">
        <f t="array" ref="C255">WORLDCUP!AA156</f>
        <v>Escribe un jugador</v>
      </c>
      <c r="D255" s="429"/>
      <c r="E255" s="754"/>
      <c r="F255" s="754"/>
      <c r="G255" s="754"/>
      <c r="H255" s="754"/>
      <c r="I255" s="430"/>
      <c r="J255" s="430"/>
      <c r="K255" s="430"/>
      <c r="L255" s="431"/>
      <c r="M255" s="434"/>
      <c r="N255" s="377"/>
    </row>
    <row r="256" spans="1:14" ht="15" customHeight="1" x14ac:dyDescent="0.2">
      <c r="A256" s="425"/>
      <c r="B256" s="395" t="str" cm="1">
        <f t="array" ref="B256">WORLDCUP!W158</f>
        <v>Balón de Oro  (mejor jugador)</v>
      </c>
      <c r="C256" s="395" t="str" cm="1">
        <f t="array" ref="C256">WORLDCUP!AA158</f>
        <v>Escribe un jugador</v>
      </c>
      <c r="D256" s="429"/>
      <c r="E256" s="754"/>
      <c r="F256" s="754"/>
      <c r="G256" s="754"/>
      <c r="H256" s="754"/>
      <c r="I256" s="430"/>
      <c r="J256" s="430"/>
      <c r="K256" s="430"/>
      <c r="L256" s="431"/>
      <c r="M256" s="434"/>
      <c r="N256" s="377"/>
    </row>
    <row r="257" spans="1:14" ht="15" customHeight="1" x14ac:dyDescent="0.2">
      <c r="A257" s="426"/>
      <c r="B257" s="395" t="str" cm="1">
        <f t="array" ref="B257">WORLDCUP!W159</f>
        <v>Balón de Plata (2º mejor jugador)</v>
      </c>
      <c r="C257" s="395" t="str" cm="1">
        <f t="array" ref="C257">WORLDCUP!AA159</f>
        <v>Escribe un jugador</v>
      </c>
      <c r="D257" s="429"/>
      <c r="E257" s="429"/>
      <c r="F257" s="430"/>
      <c r="G257" s="430"/>
      <c r="H257" s="430"/>
      <c r="I257" s="430"/>
      <c r="J257" s="430"/>
      <c r="K257" s="430"/>
      <c r="L257" s="431"/>
      <c r="M257" s="434"/>
      <c r="N257" s="377"/>
    </row>
    <row r="258" spans="1:14" ht="15" customHeight="1" x14ac:dyDescent="0.2">
      <c r="A258" s="435"/>
      <c r="B258" s="395" t="str" cm="1">
        <f t="array" ref="B258">WORLDCUP!W160</f>
        <v>Balón de Bronce (3º mejor jugador)</v>
      </c>
      <c r="C258" s="395" t="str" cm="1">
        <f t="array" ref="C258">WORLDCUP!AA160</f>
        <v>Escribe un jugador</v>
      </c>
      <c r="D258" s="436"/>
      <c r="E258" s="436"/>
      <c r="F258" s="437"/>
      <c r="G258" s="437"/>
      <c r="H258" s="437"/>
      <c r="I258" s="437"/>
      <c r="J258" s="437"/>
      <c r="K258" s="437"/>
      <c r="L258" s="438"/>
      <c r="M258" s="439"/>
      <c r="N258" s="440"/>
    </row>
  </sheetData>
  <mergeCells count="45">
    <mergeCell ref="E164:H167"/>
    <mergeCell ref="A226:A229"/>
    <mergeCell ref="D6:D29"/>
    <mergeCell ref="A220:A223"/>
    <mergeCell ref="E4:M4"/>
    <mergeCell ref="D220:D229"/>
    <mergeCell ref="E1:N2"/>
    <mergeCell ref="A84:A87"/>
    <mergeCell ref="A236:A237"/>
    <mergeCell ref="E220:H223"/>
    <mergeCell ref="E3:N3"/>
    <mergeCell ref="A108:A111"/>
    <mergeCell ref="A124:A127"/>
    <mergeCell ref="A80:A83"/>
    <mergeCell ref="E6:H9"/>
    <mergeCell ref="A120:A123"/>
    <mergeCell ref="E232:H235"/>
    <mergeCell ref="E30:H33"/>
    <mergeCell ref="A104:A107"/>
    <mergeCell ref="A182:A197"/>
    <mergeCell ref="A100:A103"/>
    <mergeCell ref="A116:A119"/>
    <mergeCell ref="E253:H256"/>
    <mergeCell ref="D200:D217"/>
    <mergeCell ref="A130:A161"/>
    <mergeCell ref="E200:H203"/>
    <mergeCell ref="E5:I5"/>
    <mergeCell ref="D164:D197"/>
    <mergeCell ref="E244:H246"/>
    <mergeCell ref="A240:A241"/>
    <mergeCell ref="D54:D161"/>
    <mergeCell ref="E54:H57"/>
    <mergeCell ref="A112:A115"/>
    <mergeCell ref="E163:L163"/>
    <mergeCell ref="D30:D53"/>
    <mergeCell ref="E162:L162"/>
    <mergeCell ref="A210:A217"/>
    <mergeCell ref="A96:A99"/>
    <mergeCell ref="A232:A233"/>
    <mergeCell ref="D232:D241"/>
    <mergeCell ref="A164:A179"/>
    <mergeCell ref="A88:A91"/>
    <mergeCell ref="D244:D252"/>
    <mergeCell ref="A200:A207"/>
    <mergeCell ref="A92:A95"/>
  </mergeCells>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64876-5211-4942-9386-CEA268764F3A}">
  <dimension ref="A1:D16"/>
  <sheetViews>
    <sheetView workbookViewId="0">
      <selection activeCell="D16" sqref="A1:D16"/>
    </sheetView>
  </sheetViews>
  <sheetFormatPr baseColWidth="10" defaultRowHeight="15" x14ac:dyDescent="0.2"/>
  <sheetData>
    <row r="1" spans="1:4" x14ac:dyDescent="0.2">
      <c r="A1" s="749" t="s">
        <v>111</v>
      </c>
      <c r="B1">
        <v>0</v>
      </c>
      <c r="C1">
        <v>2</v>
      </c>
      <c r="D1" s="749" t="s">
        <v>122</v>
      </c>
    </row>
    <row r="2" spans="1:4" x14ac:dyDescent="0.2">
      <c r="A2" s="749" t="s">
        <v>131</v>
      </c>
      <c r="B2">
        <v>2</v>
      </c>
      <c r="C2">
        <v>1</v>
      </c>
      <c r="D2" s="749" t="s">
        <v>159</v>
      </c>
    </row>
    <row r="3" spans="1:4" x14ac:dyDescent="0.2">
      <c r="A3" s="749" t="s">
        <v>148</v>
      </c>
      <c r="B3">
        <v>3</v>
      </c>
      <c r="C3">
        <v>1</v>
      </c>
      <c r="D3" s="749" t="s">
        <v>142</v>
      </c>
    </row>
    <row r="4" spans="1:4" x14ac:dyDescent="0.2">
      <c r="A4" s="749" t="s">
        <v>157</v>
      </c>
      <c r="B4">
        <v>3</v>
      </c>
      <c r="C4">
        <v>1</v>
      </c>
      <c r="D4" s="749" t="s">
        <v>133</v>
      </c>
    </row>
    <row r="5" spans="1:4" x14ac:dyDescent="0.2">
      <c r="A5" s="749" t="s">
        <v>152</v>
      </c>
      <c r="B5">
        <v>0</v>
      </c>
      <c r="C5">
        <v>2</v>
      </c>
      <c r="D5" s="749" t="s">
        <v>189</v>
      </c>
    </row>
    <row r="6" spans="1:4" x14ac:dyDescent="0.2">
      <c r="A6" s="749" t="s">
        <v>183</v>
      </c>
      <c r="B6">
        <v>3</v>
      </c>
      <c r="C6">
        <v>1</v>
      </c>
      <c r="D6" s="749" t="s">
        <v>161</v>
      </c>
    </row>
    <row r="7" spans="1:4" x14ac:dyDescent="0.2">
      <c r="A7" s="749" t="s">
        <v>49</v>
      </c>
      <c r="B7">
        <v>2</v>
      </c>
      <c r="C7">
        <v>1</v>
      </c>
      <c r="D7" s="749" t="s">
        <v>154</v>
      </c>
    </row>
    <row r="8" spans="1:4" x14ac:dyDescent="0.2">
      <c r="A8" s="749" t="s">
        <v>209</v>
      </c>
      <c r="B8">
        <v>2</v>
      </c>
      <c r="C8">
        <v>0</v>
      </c>
      <c r="D8" s="749" t="s">
        <v>202</v>
      </c>
    </row>
    <row r="9" spans="1:4" x14ac:dyDescent="0.2">
      <c r="A9" s="749" t="s">
        <v>165</v>
      </c>
      <c r="B9">
        <v>1</v>
      </c>
      <c r="C9">
        <v>1</v>
      </c>
      <c r="D9" s="749" t="s">
        <v>185</v>
      </c>
    </row>
    <row r="10" spans="1:4" x14ac:dyDescent="0.2">
      <c r="A10" s="749" t="s">
        <v>140</v>
      </c>
      <c r="B10">
        <v>1</v>
      </c>
      <c r="C10">
        <v>0</v>
      </c>
      <c r="D10" s="749" t="s">
        <v>124</v>
      </c>
    </row>
    <row r="11" spans="1:4" x14ac:dyDescent="0.2">
      <c r="A11" s="749" t="s">
        <v>174</v>
      </c>
      <c r="B11">
        <v>2</v>
      </c>
      <c r="C11">
        <v>1</v>
      </c>
      <c r="D11" s="749" t="s">
        <v>195</v>
      </c>
    </row>
    <row r="12" spans="1:4" x14ac:dyDescent="0.2">
      <c r="A12" s="749" t="s">
        <v>200</v>
      </c>
      <c r="B12">
        <v>1</v>
      </c>
      <c r="C12">
        <v>1</v>
      </c>
      <c r="D12" s="749" t="s">
        <v>211</v>
      </c>
    </row>
    <row r="13" spans="1:4" x14ac:dyDescent="0.2">
      <c r="A13" s="749" t="s">
        <v>128</v>
      </c>
      <c r="B13">
        <v>1</v>
      </c>
      <c r="C13">
        <v>0</v>
      </c>
      <c r="D13" s="749" t="s">
        <v>193</v>
      </c>
    </row>
    <row r="14" spans="1:4" x14ac:dyDescent="0.2">
      <c r="A14" s="749" t="s">
        <v>144</v>
      </c>
      <c r="B14">
        <v>1</v>
      </c>
      <c r="C14">
        <v>1</v>
      </c>
      <c r="D14" s="749" t="s">
        <v>167</v>
      </c>
    </row>
    <row r="15" spans="1:4" x14ac:dyDescent="0.2">
      <c r="A15" s="749" t="s">
        <v>191</v>
      </c>
      <c r="B15">
        <v>2</v>
      </c>
      <c r="C15">
        <v>0</v>
      </c>
      <c r="D15" s="749" t="s">
        <v>176</v>
      </c>
    </row>
    <row r="16" spans="1:4" x14ac:dyDescent="0.2">
      <c r="A16" s="749" t="s">
        <v>206</v>
      </c>
      <c r="B16">
        <v>2</v>
      </c>
      <c r="C16">
        <v>0</v>
      </c>
      <c r="D16" s="749" t="s">
        <v>213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977AA-D67B-A54C-9B95-FEA7ED01CB83}">
  <dimension ref="A1:D14"/>
  <sheetViews>
    <sheetView workbookViewId="0">
      <selection activeCell="D19" sqref="D19"/>
    </sheetView>
  </sheetViews>
  <sheetFormatPr baseColWidth="10" defaultRowHeight="15" x14ac:dyDescent="0.2"/>
  <sheetData>
    <row r="1" spans="1:4" x14ac:dyDescent="0.2">
      <c r="A1" s="750" t="s">
        <v>122</v>
      </c>
      <c r="B1">
        <v>1</v>
      </c>
      <c r="C1">
        <v>2</v>
      </c>
      <c r="D1" s="750" t="s">
        <v>133</v>
      </c>
    </row>
    <row r="2" spans="1:4" x14ac:dyDescent="0.2">
      <c r="A2" s="750" t="s">
        <v>142</v>
      </c>
      <c r="B2">
        <v>1</v>
      </c>
      <c r="C2">
        <v>2</v>
      </c>
      <c r="D2" s="750" t="s">
        <v>183</v>
      </c>
    </row>
    <row r="3" spans="1:4" x14ac:dyDescent="0.2">
      <c r="A3" s="750" t="s">
        <v>131</v>
      </c>
      <c r="B3">
        <v>2</v>
      </c>
      <c r="C3">
        <v>1</v>
      </c>
      <c r="D3" s="750" t="s">
        <v>189</v>
      </c>
    </row>
    <row r="4" spans="1:4" x14ac:dyDescent="0.2">
      <c r="A4" s="750" t="s">
        <v>49</v>
      </c>
      <c r="B4">
        <v>1</v>
      </c>
      <c r="C4">
        <v>1</v>
      </c>
      <c r="D4" s="750" t="s">
        <v>209</v>
      </c>
    </row>
    <row r="5" spans="1:4" x14ac:dyDescent="0.2">
      <c r="A5" s="750" t="s">
        <v>200</v>
      </c>
      <c r="B5">
        <v>2</v>
      </c>
      <c r="C5">
        <v>1</v>
      </c>
      <c r="D5" s="750" t="s">
        <v>174</v>
      </c>
    </row>
    <row r="6" spans="1:4" x14ac:dyDescent="0.2">
      <c r="A6" s="750" t="s">
        <v>140</v>
      </c>
      <c r="B6">
        <v>1</v>
      </c>
      <c r="C6">
        <v>0</v>
      </c>
      <c r="D6" s="750" t="s">
        <v>165</v>
      </c>
    </row>
    <row r="7" spans="1:4" x14ac:dyDescent="0.2">
      <c r="A7" s="750" t="s">
        <v>191</v>
      </c>
      <c r="B7">
        <v>3</v>
      </c>
      <c r="C7">
        <v>0</v>
      </c>
      <c r="D7" s="750" t="s">
        <v>167</v>
      </c>
    </row>
    <row r="8" spans="1:4" x14ac:dyDescent="0.2">
      <c r="A8" s="750" t="s">
        <v>128</v>
      </c>
      <c r="B8">
        <v>1</v>
      </c>
      <c r="C8">
        <v>2</v>
      </c>
      <c r="D8" s="750" t="s">
        <v>206</v>
      </c>
    </row>
    <row r="14" spans="1:4" x14ac:dyDescent="0.2">
      <c r="D14" s="749" t="s">
        <v>551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O134"/>
  <sheetViews>
    <sheetView showGridLines="0" workbookViewId="0"/>
  </sheetViews>
  <sheetFormatPr baseColWidth="10" defaultColWidth="10.83203125" defaultRowHeight="15" customHeight="1" x14ac:dyDescent="0.2"/>
  <cols>
    <col min="1" max="1" width="3.33203125" style="1" customWidth="1"/>
    <col min="2" max="2" width="2.6640625" style="1" customWidth="1"/>
    <col min="3" max="3" width="5.6640625" style="1" customWidth="1"/>
    <col min="4" max="5" width="3.33203125" style="1" customWidth="1"/>
    <col min="6" max="6" width="6.1640625" style="1" customWidth="1"/>
    <col min="7" max="7" width="2.5" style="1" customWidth="1"/>
    <col min="8" max="9" width="3.83203125" style="1" customWidth="1"/>
    <col min="10" max="10" width="4.5" style="1" customWidth="1"/>
    <col min="11" max="11" width="5.33203125" style="1" customWidth="1"/>
    <col min="12" max="12" width="10.83203125" style="1" hidden="1" customWidth="1"/>
    <col min="13" max="13" width="1.6640625" style="1" customWidth="1"/>
    <col min="14" max="14" width="2.6640625" style="1" customWidth="1"/>
    <col min="15" max="15" width="4.33203125" style="1" customWidth="1"/>
    <col min="16" max="17" width="3.33203125" style="1" customWidth="1"/>
    <col min="18" max="18" width="5.1640625" style="1" customWidth="1"/>
    <col min="19" max="19" width="2.5" style="1" customWidth="1"/>
    <col min="20" max="20" width="4.33203125" style="1" customWidth="1"/>
    <col min="21" max="22" width="3.6640625" style="1" customWidth="1"/>
    <col min="23" max="23" width="4.83203125" style="1" customWidth="1"/>
    <col min="24" max="24" width="10.83203125" style="1" hidden="1" customWidth="1"/>
    <col min="25" max="25" width="2.83203125" style="1" customWidth="1"/>
    <col min="26" max="26" width="7.5" style="1" customWidth="1"/>
    <col min="27" max="27" width="9.83203125" style="1" customWidth="1"/>
    <col min="28" max="29" width="4.33203125" style="1" customWidth="1"/>
    <col min="30" max="30" width="2.83203125" style="1" customWidth="1"/>
    <col min="31" max="31" width="9.83203125" style="1" customWidth="1"/>
    <col min="32" max="33" width="4.33203125" style="1" customWidth="1"/>
    <col min="34" max="34" width="2.83203125" style="1" customWidth="1"/>
    <col min="35" max="35" width="9.83203125" style="1" customWidth="1"/>
    <col min="36" max="37" width="4.33203125" style="1" customWidth="1"/>
    <col min="38" max="38" width="2.83203125" style="1" customWidth="1"/>
    <col min="39" max="39" width="9.83203125" style="1" customWidth="1"/>
    <col min="40" max="41" width="4.33203125" style="1" customWidth="1"/>
    <col min="42" max="42" width="2.83203125" style="1" customWidth="1"/>
    <col min="43" max="43" width="9.83203125" style="1" customWidth="1"/>
    <col min="44" max="45" width="4.33203125" style="1" customWidth="1"/>
    <col min="46" max="46" width="2.83203125" style="1" customWidth="1"/>
    <col min="47" max="47" width="9.83203125" style="1" customWidth="1"/>
    <col min="48" max="49" width="4.33203125" style="1" customWidth="1"/>
    <col min="50" max="50" width="4" style="1" customWidth="1"/>
    <col min="51" max="51" width="3.33203125" style="1" customWidth="1"/>
    <col min="52" max="54" width="7.83203125" style="1" customWidth="1"/>
    <col min="55" max="55" width="3.33203125" style="1" customWidth="1"/>
    <col min="56" max="58" width="2.5" style="1" customWidth="1"/>
    <col min="59" max="59" width="20.83203125" style="1" customWidth="1"/>
    <col min="60" max="67" width="4.83203125" style="1" customWidth="1"/>
    <col min="68" max="68" width="10.83203125" style="1" customWidth="1"/>
    <col min="69" max="16384" width="10.83203125" style="1"/>
  </cols>
  <sheetData>
    <row r="1" spans="1:67" ht="8" customHeight="1" x14ac:dyDescent="0.2">
      <c r="A1" s="2"/>
      <c r="B1" s="3"/>
      <c r="C1" s="3"/>
      <c r="D1" s="3"/>
      <c r="E1" s="3"/>
      <c r="F1" s="3"/>
      <c r="G1" s="3"/>
      <c r="H1" s="3"/>
      <c r="I1" s="3"/>
      <c r="J1" s="3"/>
      <c r="K1" s="3"/>
      <c r="L1" s="3"/>
      <c r="M1" s="3"/>
      <c r="N1" s="3"/>
      <c r="O1" s="3"/>
      <c r="P1" s="3"/>
      <c r="Q1" s="3"/>
      <c r="R1" s="3"/>
      <c r="S1" s="3"/>
      <c r="T1" s="3"/>
      <c r="U1" s="3"/>
      <c r="V1" s="3"/>
      <c r="W1" s="3"/>
      <c r="X1" s="3"/>
      <c r="Y1" s="3"/>
      <c r="Z1" s="3"/>
      <c r="AA1" s="3"/>
      <c r="AB1" s="3"/>
      <c r="AC1" s="3"/>
      <c r="AD1" s="441"/>
      <c r="AE1" s="3"/>
      <c r="AF1" s="3"/>
      <c r="AG1" s="3"/>
      <c r="AH1" s="3"/>
      <c r="AI1" s="3"/>
      <c r="AJ1" s="3"/>
      <c r="AK1" s="3"/>
      <c r="AL1" s="441"/>
      <c r="AM1" s="3"/>
      <c r="AN1" s="3"/>
      <c r="AO1" s="3"/>
      <c r="AP1" s="3"/>
      <c r="AQ1" s="3"/>
      <c r="AR1" s="3"/>
      <c r="AS1" s="3"/>
      <c r="AT1" s="441"/>
      <c r="AU1" s="3"/>
      <c r="AV1" s="3"/>
      <c r="AW1" s="3"/>
      <c r="AX1" s="3"/>
      <c r="AY1" s="3"/>
      <c r="AZ1" s="3"/>
      <c r="BA1" s="3"/>
      <c r="BB1" s="3"/>
      <c r="BC1" s="3"/>
      <c r="BD1" s="3"/>
      <c r="BE1" s="3"/>
      <c r="BF1" s="361"/>
      <c r="BG1" s="361"/>
      <c r="BH1" s="361"/>
      <c r="BI1" s="361"/>
      <c r="BJ1" s="361"/>
      <c r="BK1" s="361"/>
      <c r="BL1" s="361"/>
      <c r="BM1" s="361"/>
      <c r="BN1" s="361"/>
      <c r="BO1" s="362"/>
    </row>
    <row r="2" spans="1:67" ht="10" customHeight="1" x14ac:dyDescent="0.2">
      <c r="A2" s="7"/>
      <c r="B2" s="111"/>
      <c r="C2" s="442"/>
      <c r="D2" s="442"/>
      <c r="E2" s="442"/>
      <c r="F2" s="442"/>
      <c r="G2" s="442"/>
      <c r="H2" s="442"/>
      <c r="I2" s="442"/>
      <c r="J2" s="442"/>
      <c r="K2" s="442"/>
      <c r="L2" s="72"/>
      <c r="M2" s="73"/>
      <c r="N2" s="443"/>
      <c r="O2" s="444"/>
      <c r="P2" s="442"/>
      <c r="Q2" s="111"/>
      <c r="R2" s="111"/>
      <c r="S2" s="442"/>
      <c r="T2" s="111"/>
      <c r="U2" s="442"/>
      <c r="V2" s="442"/>
      <c r="W2" s="442"/>
      <c r="X2" s="73"/>
      <c r="Y2" s="445"/>
      <c r="Z2" s="445"/>
      <c r="AA2" s="446"/>
      <c r="AB2" s="446"/>
      <c r="AC2" s="8"/>
      <c r="AD2" s="73"/>
      <c r="AE2" s="8"/>
      <c r="AF2" s="8"/>
      <c r="AG2" s="8"/>
      <c r="AH2" s="8"/>
      <c r="AI2" s="447"/>
      <c r="AJ2" s="447"/>
      <c r="AK2" s="447"/>
      <c r="AL2" s="448"/>
      <c r="AM2" s="447"/>
      <c r="AN2" s="447"/>
      <c r="AO2" s="447"/>
      <c r="AP2" s="281"/>
      <c r="AQ2" s="447"/>
      <c r="AR2" s="447"/>
      <c r="AS2" s="447"/>
      <c r="AT2" s="281"/>
      <c r="AU2" s="447"/>
      <c r="AV2" s="447"/>
      <c r="AW2" s="447"/>
      <c r="AX2" s="8"/>
      <c r="AY2" s="8"/>
      <c r="AZ2" s="8"/>
      <c r="BA2" s="8"/>
      <c r="BB2" s="8"/>
      <c r="BC2" s="8"/>
      <c r="BD2" s="8"/>
      <c r="BE2" s="8"/>
      <c r="BF2" s="13"/>
      <c r="BG2" s="449"/>
      <c r="BH2" s="449"/>
      <c r="BI2" s="449"/>
      <c r="BJ2" s="449"/>
      <c r="BK2" s="449"/>
      <c r="BL2" s="449"/>
      <c r="BM2" s="449"/>
      <c r="BN2" s="449"/>
      <c r="BO2" s="450"/>
    </row>
    <row r="3" spans="1:67" ht="16" customHeight="1" x14ac:dyDescent="0.2">
      <c r="A3" s="451">
        <v>1</v>
      </c>
      <c r="B3" s="452" t="s">
        <v>46</v>
      </c>
      <c r="C3" s="453" t="str" cm="1">
        <f t="array" ref="C3">MID(INDEX(WORLDCUP!$AA$4:$AA$147,MATCH(A3,WORLDCUP!$AH$4:$AH$147,0)),1,3)</f>
        <v>Méx</v>
      </c>
      <c r="D3" s="454" cm="1">
        <f t="array" ref="D3">IF(ISBLANK(INDEX(WORLDCUP!$AC$4:$AC$147,MATCH(A3,WORLDCUP!$AH$4:$AH$147,0))),"",INDEX(WORLDCUP!$AC$4:$AC$147,MATCH(A3,WORLDCUP!$AH$4:$AH$147,0)))</f>
        <v>2</v>
      </c>
      <c r="E3" s="454" cm="1">
        <f t="array" ref="E3">IF(ISBLANK(INDEX(WORLDCUP!$AD$4:$AD$147,MATCH(A3,WORLDCUP!$AH$4:$AH$147,0))),"",INDEX(WORLDCUP!$AD$4:$AD$147,MATCH(A3,WORLDCUP!$AH$4:$AH$147,0)))</f>
        <v>1</v>
      </c>
      <c r="F3" s="455" t="str" cm="1">
        <f t="array" ref="F3">MID(INDEX(WORLDCUP!$AF$4:$AF$147,MATCH(A3,WORLDCUP!$AH$4:$AH$147,0)),1,3)</f>
        <v>Sud</v>
      </c>
      <c r="G3" s="456"/>
      <c r="H3" s="457" t="str" cm="1">
        <f t="array" ref="H3">MID(WORLDCUP!AL5,1,3)</f>
        <v>Sel</v>
      </c>
      <c r="I3" s="458" t="s">
        <v>52</v>
      </c>
      <c r="J3" s="459" t="str" cm="1">
        <f t="array" ref="J3">WORLDCUP!AT5</f>
        <v>DG</v>
      </c>
      <c r="K3" s="460" t="str" cm="1">
        <f t="array" ref="K3">WORLDCUP!AR5&amp;"-"&amp;WORLDCUP!AS5</f>
        <v>GF-GC</v>
      </c>
      <c r="L3" s="461"/>
      <c r="M3" s="462">
        <v>16</v>
      </c>
      <c r="N3" s="463" t="s">
        <v>54</v>
      </c>
      <c r="O3" s="453" t="str" cm="1">
        <f t="array" ref="O3">MID(INDEX(WORLDCUP!$AA$4:$AA$147,MATCH(M3,WORLDCUP!$AH$4:$AH$147,0)),1,3)</f>
        <v>Bél</v>
      </c>
      <c r="P3" s="454" cm="1">
        <f t="array" ref="P3">IF(ISBLANK(INDEX(WORLDCUP!$AC$4:$AC$147,MATCH(M3,WORLDCUP!$AH$4:$AH$147,0))),"",INDEX(WORLDCUP!$AC$4:$AC$147,MATCH(M3,WORLDCUP!$AH$4:$AH$147,0)))</f>
        <v>2</v>
      </c>
      <c r="Q3" s="454" cm="1">
        <f t="array" ref="Q3">IF(ISBLANK(INDEX(WORLDCUP!$AD$4:$AD$147,MATCH(M3,WORLDCUP!$AH$4:$AH$147,0))),"",INDEX(WORLDCUP!$AD$4:$AD$147,MATCH(M3,WORLDCUP!$AH$4:$AH$147,0)))</f>
        <v>1</v>
      </c>
      <c r="R3" s="455" t="str" cm="1">
        <f t="array" ref="R3">MID(INDEX(WORLDCUP!$AF$4:$AF$147,MATCH(M3,WORLDCUP!$AH$4:$AH$147,0)),1,3)</f>
        <v>Egi</v>
      </c>
      <c r="S3" s="456"/>
      <c r="T3" s="457" t="str" cm="1">
        <f t="array" ref="T3">H43</f>
        <v>Sel</v>
      </c>
      <c r="U3" s="459" t="str" cm="1">
        <f t="array" ref="U3">I43</f>
        <v>Pts</v>
      </c>
      <c r="V3" s="459" t="str" cm="1">
        <f t="array" ref="V3">J43</f>
        <v>DG</v>
      </c>
      <c r="W3" s="460" t="str" cm="1">
        <f t="array" ref="W3">K43</f>
        <v>GF-GC</v>
      </c>
      <c r="X3" s="464"/>
      <c r="Y3" s="465">
        <v>74</v>
      </c>
      <c r="Z3" s="466" t="s">
        <v>149</v>
      </c>
      <c r="AA3" s="467" t="str" cm="1">
        <f t="array" ref="AA3">MID(INDEX(WORLDCUP!$AA$101:$AA$147,MATCH(Y3,WORLDCUP!$Z$101:$Z$147,0)),1,3)</f>
        <v>Ale</v>
      </c>
      <c r="AB3" s="468" t="str" cm="1">
        <f t="array" ref="AB3">IF(ISBLANK(INDEX(WORLDCUP!$AC$101:$AC$147,MATCH(Y3,WORLDCUP!$Z$101:$Z$147,0))),"",INDEX(WORLDCUP!$AC$101:$AC$147,MATCH(Y3,WORLDCUP!$Z$101:$Z$147,0)))</f>
        <v/>
      </c>
      <c r="AC3" s="469" t="str" cm="1">
        <f t="array" ref="AC3">IF(ISBLANK(INDEX(WORLDCUP!$AB$101:$AB$147,MATCH(Y3,WORLDCUP!$Z$101:$Z$147,0))),"","( "&amp;INDEX(WORLDCUP!$AB$101:$AB$147,MATCH(Y3,WORLDCUP!$Z$101:$Z$147,0))&amp;" )")</f>
        <v/>
      </c>
      <c r="AD3" s="73"/>
      <c r="AE3" s="470"/>
      <c r="AF3" s="470"/>
      <c r="AG3" s="471"/>
      <c r="AH3" s="281"/>
      <c r="AI3" s="472"/>
      <c r="AJ3" s="472"/>
      <c r="AK3" s="472"/>
      <c r="AL3" s="448"/>
      <c r="AM3" s="473"/>
      <c r="AN3" s="473"/>
      <c r="AO3" s="473"/>
      <c r="AP3" s="281"/>
      <c r="AQ3" s="474"/>
      <c r="AR3" s="474"/>
      <c r="AS3" s="474"/>
      <c r="AT3" s="281"/>
      <c r="AU3" s="475"/>
      <c r="AV3" s="475"/>
      <c r="AW3" s="475"/>
      <c r="AX3" s="281"/>
      <c r="AY3" s="8"/>
      <c r="AZ3" s="8"/>
      <c r="BA3" s="8"/>
      <c r="BB3" s="8"/>
      <c r="BC3" s="8"/>
      <c r="BD3" s="8"/>
      <c r="BE3" s="8"/>
      <c r="BF3" s="476"/>
      <c r="BG3" s="477"/>
      <c r="BH3" s="478" t="s">
        <v>54</v>
      </c>
      <c r="BI3" s="479" t="s">
        <v>232</v>
      </c>
      <c r="BJ3" s="480" t="s">
        <v>280</v>
      </c>
      <c r="BK3" s="481" t="s">
        <v>298</v>
      </c>
      <c r="BL3" s="482" t="s">
        <v>311</v>
      </c>
      <c r="BM3" s="483" t="s">
        <v>452</v>
      </c>
      <c r="BN3" s="484" t="s">
        <v>453</v>
      </c>
      <c r="BO3" s="485" t="s">
        <v>454</v>
      </c>
    </row>
    <row r="4" spans="1:67" ht="16" customHeight="1" x14ac:dyDescent="0.2">
      <c r="A4" s="451">
        <v>2</v>
      </c>
      <c r="B4" s="486"/>
      <c r="C4" s="487" t="str" cm="1">
        <f t="array" ref="C4">MID(INDEX(WORLDCUP!$AA$4:$AA$147,MATCH(A4,WORLDCUP!$AH$4:$AH$147,0)),1,3)</f>
        <v>Cor</v>
      </c>
      <c r="D4" s="114" cm="1">
        <f t="array" ref="D4">IF(ISBLANK(INDEX(WORLDCUP!$AC$4:$AC$147,MATCH(A4,WORLDCUP!$AH$4:$AH$147,0))),"",INDEX(WORLDCUP!$AC$4:$AC$147,MATCH(A4,WORLDCUP!$AH$4:$AH$147,0)))</f>
        <v>2</v>
      </c>
      <c r="E4" s="114" cm="1">
        <f t="array" ref="E4">IF(ISBLANK(INDEX(WORLDCUP!$AD$4:$AD$147,MATCH(A4,WORLDCUP!$AH$4:$AH$147,0))),"",INDEX(WORLDCUP!$AD$4:$AD$147,MATCH(A4,WORLDCUP!$AH$4:$AH$147,0)))</f>
        <v>1</v>
      </c>
      <c r="F4" s="488" t="str" cm="1">
        <f t="array" ref="F4">MID(INDEX(WORLDCUP!$AF$4:$AF$147,MATCH(A4,WORLDCUP!$AH$4:$AH$147,0)),1,3)</f>
        <v>Rep</v>
      </c>
      <c r="G4" s="489">
        <v>1</v>
      </c>
      <c r="H4" s="490" t="str" cm="1">
        <f t="array" ref="H4">MID(INDEX(WORLDCUP!$AL$6:$AL$97,MATCH(L4,WORLDCUP!$AI$6:$AI$97,0)),1,3)</f>
        <v>Méx</v>
      </c>
      <c r="I4" s="491" cm="1">
        <f t="array" ref="I4">INDEX(WORLDCUP!$AM$6:$AM$97,MATCH(L4,WORLDCUP!$AI$6:$AI$97,0))</f>
        <v>9</v>
      </c>
      <c r="J4" s="492" cm="1">
        <f t="array" ref="J4">INDEX(WORLDCUP!$AT$6:$AT$97,MATCH(L4,WORLDCUP!$AI$6:$AI$97,0))</f>
        <v>5</v>
      </c>
      <c r="K4" s="493" t="str" cm="1">
        <f t="array" ref="K4">INDEX(WORLDCUP!$AR$6:$AR$97,MATCH(L4,WORLDCUP!$AI$6:$AI$97,0))&amp;"-"&amp;INDEX(WORLDCUP!$AS$6:$AS$97,MATCH(L4,WORLDCUP!$AI$6:$AI$97,0))</f>
        <v>7-2</v>
      </c>
      <c r="L4" s="494" t="s">
        <v>114</v>
      </c>
      <c r="M4" s="462">
        <v>15</v>
      </c>
      <c r="N4" s="495"/>
      <c r="O4" s="487" t="str" cm="1">
        <f t="array" ref="O4">MID(INDEX(WORLDCUP!$AA$4:$AA$147,MATCH(M4,WORLDCUP!$AH$4:$AH$147,0)),1,3)</f>
        <v>Irá</v>
      </c>
      <c r="P4" s="114" cm="1">
        <f t="array" ref="P4">IF(ISBLANK(INDEX(WORLDCUP!$AC$4:$AC$147,MATCH(M4,WORLDCUP!$AH$4:$AH$147,0))),"",INDEX(WORLDCUP!$AC$4:$AC$147,MATCH(M4,WORLDCUP!$AH$4:$AH$147,0)))</f>
        <v>1</v>
      </c>
      <c r="Q4" s="114" cm="1">
        <f t="array" ref="Q4">IF(ISBLANK(INDEX(WORLDCUP!$AD$4:$AD$147,MATCH(M4,WORLDCUP!$AH$4:$AH$147,0))),"",INDEX(WORLDCUP!$AD$4:$AD$147,MATCH(M4,WORLDCUP!$AH$4:$AH$147,0)))</f>
        <v>1</v>
      </c>
      <c r="R4" s="488" t="str" cm="1">
        <f t="array" ref="R4">MID(INDEX(WORLDCUP!$AF$4:$AF$147,MATCH(M4,WORLDCUP!$AH$4:$AH$147,0)),1,3)</f>
        <v>Nue</v>
      </c>
      <c r="S4" s="489">
        <v>1</v>
      </c>
      <c r="T4" s="490" t="str" cm="1">
        <f t="array" ref="T4">MID(INDEX(WORLDCUP!$AL$6:$AL$97,MATCH(X4,WORLDCUP!$AI$6:$AI$97,0)),1,3)</f>
        <v>Bél</v>
      </c>
      <c r="U4" s="491" cm="1">
        <f t="array" ref="U4">INDEX(WORLDCUP!$AM$6:$AM$97,MATCH(X4,WORLDCUP!$AI$6:$AI$97,0))</f>
        <v>9</v>
      </c>
      <c r="V4" s="492" cm="1">
        <f t="array" ref="V4">INDEX(WORLDCUP!$AT$6:$AT$97,MATCH(X4,WORLDCUP!$AI$6:$AI$97,0))</f>
        <v>8</v>
      </c>
      <c r="W4" s="493" t="str" cm="1">
        <f t="array" ref="W4">INDEX(WORLDCUP!$AR$6:$AR$97,MATCH(X4,WORLDCUP!$AI$6:$AI$97,0))&amp;"-"&amp;INDEX(WORLDCUP!$AS$6:$AS$97,MATCH(X4,WORLDCUP!$AI$6:$AI$97,0))</f>
        <v>9-1</v>
      </c>
      <c r="X4" s="496" t="s">
        <v>166</v>
      </c>
      <c r="Y4" s="465">
        <v>74</v>
      </c>
      <c r="Z4" s="466" t="s">
        <v>233</v>
      </c>
      <c r="AA4" s="467" t="str" cm="1">
        <f t="array" ref="AA4">MID(INDEX(WORLDCUP!$AF$101:$AF$147,MATCH(Y4,WORLDCUP!$Z$101:$Z$147,0)),1,IF(WORLDCUP!$H$113&lt;144,6,3))</f>
        <v>3AB</v>
      </c>
      <c r="AB4" s="468" t="str" cm="1">
        <f t="array" ref="AB4">IF(ISBLANK(INDEX(WORLDCUP!$AD$101:$AD$147,MATCH(Y4,WORLDCUP!$Z$101:$Z$147,0))),"",INDEX(WORLDCUP!$AD$101:$AD$147,MATCH(Y4,WORLDCUP!$Z$101:$Z$147,0)))</f>
        <v/>
      </c>
      <c r="AC4" s="497" t="str" cm="1">
        <f t="array" ref="AC4">IF(ISBLANK(INDEX(WORLDCUP!$AE$101:$AE$147,MATCH(Y4,WORLDCUP!$Z$101:$Z$147,0))),"","( "&amp;INDEX(WORLDCUP!$AE$101:$AE$147,MATCH(Y4,WORLDCUP!$Z$101:$Z$147,0))&amp;" )")</f>
        <v/>
      </c>
      <c r="AD4" s="498">
        <v>89</v>
      </c>
      <c r="AE4" s="499" t="str" cm="1">
        <f t="array" ref="AE4">MID(INDEX(WORLDCUP!$AA$101:$AA$147,MATCH(AD4,WORLDCUP!$Z$101:$Z$147,0)),1,3)</f>
        <v>W74</v>
      </c>
      <c r="AF4" s="500" t="str" cm="1">
        <f t="array" ref="AF4">IF(ISBLANK(INDEX(WORLDCUP!$AC$101:$AC$147,MATCH(AD4,WORLDCUP!$Z$101:$Z$147,0))),"",INDEX(WORLDCUP!$AC$101:$AC$147,MATCH(AD4,WORLDCUP!$Z$101:$Z$147,0)))</f>
        <v/>
      </c>
      <c r="AG4" s="501" t="str" cm="1">
        <f t="array" ref="AG4">IF(ISBLANK(INDEX(WORLDCUP!$AB$101:$AB$147,MATCH(AD4,WORLDCUP!$Z$101:$Z$147,0))),"","( "&amp;INDEX(WORLDCUP!$AB$101:$AB$147,MATCH(AD4,WORLDCUP!$Z$101:$Z$147,0))&amp;" )")</f>
        <v/>
      </c>
      <c r="AH4" s="281"/>
      <c r="AI4" s="502"/>
      <c r="AJ4" s="502"/>
      <c r="AK4" s="502"/>
      <c r="AL4" s="448"/>
      <c r="AM4" s="473"/>
      <c r="AN4" s="473"/>
      <c r="AO4" s="473"/>
      <c r="AP4" s="281"/>
      <c r="AQ4" s="503"/>
      <c r="AR4" s="503"/>
      <c r="AS4" s="503"/>
      <c r="AT4" s="281"/>
      <c r="AU4" s="475"/>
      <c r="AV4" s="475"/>
      <c r="AW4" s="475"/>
      <c r="AX4" s="281"/>
      <c r="AY4" s="504"/>
      <c r="AZ4" s="8"/>
      <c r="BA4" s="8"/>
      <c r="BB4" s="8"/>
      <c r="BC4" s="8"/>
      <c r="BD4" s="8"/>
      <c r="BE4" s="8"/>
      <c r="BF4" s="476"/>
      <c r="BG4" s="505" t="s">
        <v>148</v>
      </c>
      <c r="BH4" s="506" cm="1">
        <f t="array" ref="BH4">1-SUM(BI4:BO4)</f>
        <v>0</v>
      </c>
      <c r="BI4" s="506" cm="1">
        <f t="array" ref="BI4">COUNTIF(Pool!$C$130:$C$161,BG4)-BJ4-BK4-BL4-BM4-BN4-BO4</f>
        <v>1</v>
      </c>
      <c r="BJ4" s="507" cm="1">
        <f t="array" ref="BJ4">COUNTIF(Pool!$C$182:$C$197,BG4)-BK4-BL4-BM4-BN4-BO4</f>
        <v>0</v>
      </c>
      <c r="BK4" s="508" cm="1">
        <f t="array" ref="BK4">COUNTIF(Pool!$C$210:$C$217,BG4)-BL4-BM4-BN4-BO4</f>
        <v>0</v>
      </c>
      <c r="BL4" s="508" cm="1">
        <f t="array" ref="BL4">COUNTIF(Pool!$C$226:$C$229,BG4)-BM4-BN4-BO4</f>
        <v>0</v>
      </c>
      <c r="BM4" s="506" cm="1">
        <f t="array" ref="BM4">COUNTIF(Pool!$C$252,BG4)</f>
        <v>0</v>
      </c>
      <c r="BN4" s="506" cm="1">
        <f t="array" ref="BN4">COUNTIF(Pool!$C$251,BG4)</f>
        <v>0</v>
      </c>
      <c r="BO4" s="509" cm="1">
        <f t="array" ref="BO4">COUNTIF(Pool!$C$250,BG4)</f>
        <v>0</v>
      </c>
    </row>
    <row r="5" spans="1:67" ht="15" customHeight="1" x14ac:dyDescent="0.2">
      <c r="A5" s="451">
        <v>25</v>
      </c>
      <c r="B5" s="486"/>
      <c r="C5" s="487" t="str" cm="1">
        <f t="array" ref="C5">MID(INDEX(WORLDCUP!$AA$4:$AA$147,MATCH(A5,WORLDCUP!$AH$4:$AH$147,0)),1,3)</f>
        <v>Rep</v>
      </c>
      <c r="D5" s="114" cm="1">
        <f t="array" ref="D5">IF(ISBLANK(INDEX(WORLDCUP!$AC$4:$AC$147,MATCH(A5,WORLDCUP!$AH$4:$AH$147,0))),"",INDEX(WORLDCUP!$AC$4:$AC$147,MATCH(A5,WORLDCUP!$AH$4:$AH$147,0)))</f>
        <v>2</v>
      </c>
      <c r="E5" s="114" cm="1">
        <f t="array" ref="E5">IF(ISBLANK(INDEX(WORLDCUP!$AD$4:$AD$147,MATCH(A5,WORLDCUP!$AH$4:$AH$147,0))),"",INDEX(WORLDCUP!$AD$4:$AD$147,MATCH(A5,WORLDCUP!$AH$4:$AH$147,0)))</f>
        <v>1</v>
      </c>
      <c r="F5" s="488" t="str" cm="1">
        <f t="array" ref="F5">MID(INDEX(WORLDCUP!$AF$4:$AF$147,MATCH(A5,WORLDCUP!$AH$4:$AH$147,0)),1,3)</f>
        <v>Sud</v>
      </c>
      <c r="G5" s="510">
        <v>2</v>
      </c>
      <c r="H5" s="511" t="str" cm="1">
        <f t="array" ref="H5">MID(INDEX(WORLDCUP!$AL$6:$AL$97,MATCH(L5,WORLDCUP!$AI$6:$AI$97,0)),1,3)</f>
        <v>Sud</v>
      </c>
      <c r="I5" s="143" cm="1">
        <f t="array" ref="I5">INDEX(WORLDCUP!$AM$6:$AM$97,MATCH(L5,WORLDCUP!$AI$6:$AI$97,0))</f>
        <v>0</v>
      </c>
      <c r="J5" s="144" cm="1">
        <f t="array" ref="J5">INDEX(WORLDCUP!$AT$6:$AT$97,MATCH(L5,WORLDCUP!$AI$6:$AI$97,0))</f>
        <v>-4</v>
      </c>
      <c r="K5" s="512" t="str" cm="1">
        <f t="array" ref="K5">INDEX(WORLDCUP!$AR$6:$AR$97,MATCH(L5,WORLDCUP!$AI$6:$AI$97,0))&amp;"-"&amp;INDEX(WORLDCUP!$AS$6:$AS$97,MATCH(L5,WORLDCUP!$AI$6:$AI$97,0))</f>
        <v>3-7</v>
      </c>
      <c r="L5" s="494" t="s">
        <v>116</v>
      </c>
      <c r="M5" s="462">
        <v>39</v>
      </c>
      <c r="N5" s="495"/>
      <c r="O5" s="487" t="str" cm="1">
        <f t="array" ref="O5">MID(INDEX(WORLDCUP!$AA$4:$AA$147,MATCH(M5,WORLDCUP!$AH$4:$AH$147,0)),1,3)</f>
        <v>Bél</v>
      </c>
      <c r="P5" s="114" cm="1">
        <f t="array" ref="P5">IF(ISBLANK(INDEX(WORLDCUP!$AC$4:$AC$147,MATCH(M5,WORLDCUP!$AH$4:$AH$147,0))),"",INDEX(WORLDCUP!$AC$4:$AC$147,MATCH(M5,WORLDCUP!$AH$4:$AH$147,0)))</f>
        <v>4</v>
      </c>
      <c r="Q5" s="114" cm="1">
        <f t="array" ref="Q5">IF(ISBLANK(INDEX(WORLDCUP!$AD$4:$AD$147,MATCH(M5,WORLDCUP!$AH$4:$AH$147,0))),"",INDEX(WORLDCUP!$AD$4:$AD$147,MATCH(M5,WORLDCUP!$AH$4:$AH$147,0)))</f>
        <v>0</v>
      </c>
      <c r="R5" s="488" t="str" cm="1">
        <f t="array" ref="R5">MID(INDEX(WORLDCUP!$AF$4:$AF$147,MATCH(M5,WORLDCUP!$AH$4:$AH$147,0)),1,3)</f>
        <v>Irá</v>
      </c>
      <c r="S5" s="510">
        <v>2</v>
      </c>
      <c r="T5" s="511" t="str" cm="1">
        <f t="array" ref="T5">MID(INDEX(WORLDCUP!$AL$6:$AL$97,MATCH(X5,WORLDCUP!$AI$6:$AI$97,0)),1,3)</f>
        <v>Egi</v>
      </c>
      <c r="U5" s="143" cm="1">
        <f t="array" ref="U5">INDEX(WORLDCUP!$AM$6:$AM$97,MATCH(X5,WORLDCUP!$AI$6:$AI$97,0))</f>
        <v>6</v>
      </c>
      <c r="V5" s="144" cm="1">
        <f t="array" ref="V5">INDEX(WORLDCUP!$AT$6:$AT$97,MATCH(X5,WORLDCUP!$AI$6:$AI$97,0))</f>
        <v>3</v>
      </c>
      <c r="W5" s="512" t="str" cm="1">
        <f t="array" ref="W5">INDEX(WORLDCUP!$AR$6:$AR$97,MATCH(X5,WORLDCUP!$AI$6:$AI$97,0))&amp;"-"&amp;INDEX(WORLDCUP!$AS$6:$AS$97,MATCH(X5,WORLDCUP!$AI$6:$AI$97,0))</f>
        <v>6-3</v>
      </c>
      <c r="X5" s="496" t="s">
        <v>168</v>
      </c>
      <c r="Y5" s="513"/>
      <c r="Z5" s="249"/>
      <c r="AA5" s="514"/>
      <c r="AB5" s="514"/>
      <c r="AC5" s="515"/>
      <c r="AD5" s="516">
        <v>89</v>
      </c>
      <c r="AE5" s="499" t="str" cm="1">
        <f t="array" ref="AE5">MID(INDEX(WORLDCUP!$AF$101:$AF$147,MATCH(AD5,WORLDCUP!$Z$101:$Z$147,0)),1,3)</f>
        <v>W77</v>
      </c>
      <c r="AF5" s="500" t="str" cm="1">
        <f t="array" ref="AF5">IF(ISBLANK(INDEX(WORLDCUP!$AD$101:$AD$147,MATCH(AD5,WORLDCUP!$Z$101:$Z$147,0))),"",INDEX(WORLDCUP!$AD$101:$AD$147,MATCH(AD5,WORLDCUP!$Z$101:$Z$147,0)))</f>
        <v/>
      </c>
      <c r="AG5" s="517" t="str" cm="1">
        <f t="array" ref="AG5">IF(ISBLANK(INDEX(WORLDCUP!$AE$101:$AE$147,MATCH(AD5,WORLDCUP!$Z$101:$Z$147,0))),"","( "&amp;INDEX(WORLDCUP!$AE$101:$AE$147,MATCH(AD5,WORLDCUP!$Z$101:$Z$147,0))&amp;" )")</f>
        <v/>
      </c>
      <c r="AH5" s="518"/>
      <c r="AI5" s="502"/>
      <c r="AJ5" s="502"/>
      <c r="AK5" s="502"/>
      <c r="AL5" s="448"/>
      <c r="AM5" s="473"/>
      <c r="AN5" s="473"/>
      <c r="AO5" s="473"/>
      <c r="AP5" s="281"/>
      <c r="AQ5" s="503"/>
      <c r="AR5" s="503"/>
      <c r="AS5" s="503"/>
      <c r="AT5" s="281"/>
      <c r="AU5" s="475"/>
      <c r="AV5" s="475"/>
      <c r="AW5" s="475"/>
      <c r="AX5" s="281"/>
      <c r="AY5" s="8"/>
      <c r="AZ5" s="8"/>
      <c r="BA5" s="8"/>
      <c r="BB5" s="8"/>
      <c r="BC5" s="8"/>
      <c r="BD5" s="8"/>
      <c r="BE5" s="8"/>
      <c r="BF5" s="476"/>
      <c r="BG5" s="505" t="s">
        <v>178</v>
      </c>
      <c r="BH5" s="506" cm="1">
        <f t="array" ref="BH5">1-SUM(BI5:BO5)</f>
        <v>1</v>
      </c>
      <c r="BI5" s="506" cm="1">
        <f t="array" ref="BI5">COUNTIF(Pool!$C$130:$C$161,BG5)-BJ5-BK5-BL5-BM5-BN5-BO5</f>
        <v>0</v>
      </c>
      <c r="BJ5" s="507" cm="1">
        <f t="array" ref="BJ5">COUNTIF(Pool!$C$182:$C$197,BG5)-BK5-BL5-BM5-BN5-BO5</f>
        <v>0</v>
      </c>
      <c r="BK5" s="508" cm="1">
        <f t="array" ref="BK5">COUNTIF(Pool!$C$210:$C$217,BG5)-BL5-BM5-BN5-BO5</f>
        <v>0</v>
      </c>
      <c r="BL5" s="508" cm="1">
        <f t="array" ref="BL5">COUNTIF(Pool!$C$226:$C$229,BG5)-BM5-BN5-BO5</f>
        <v>0</v>
      </c>
      <c r="BM5" s="506" cm="1">
        <f t="array" ref="BM5">COUNTIF(Pool!$C$252,BG5)</f>
        <v>0</v>
      </c>
      <c r="BN5" s="506" cm="1">
        <f t="array" ref="BN5">COUNTIF(Pool!$C$251,BG5)</f>
        <v>0</v>
      </c>
      <c r="BO5" s="509" cm="1">
        <f t="array" ref="BO5">COUNTIF(Pool!$C$250,BG5)</f>
        <v>0</v>
      </c>
    </row>
    <row r="6" spans="1:67" ht="16" customHeight="1" x14ac:dyDescent="0.2">
      <c r="A6" s="451">
        <v>28</v>
      </c>
      <c r="B6" s="486"/>
      <c r="C6" s="487" t="str" cm="1">
        <f t="array" ref="C6">MID(INDEX(WORLDCUP!$AA$4:$AA$147,MATCH(A6,WORLDCUP!$AH$4:$AH$147,0)),1,3)</f>
        <v>Méx</v>
      </c>
      <c r="D6" s="114" cm="1">
        <f t="array" ref="D6">IF(ISBLANK(INDEX(WORLDCUP!$AC$4:$AC$147,MATCH(A6,WORLDCUP!$AH$4:$AH$147,0))),"",INDEX(WORLDCUP!$AC$4:$AC$147,MATCH(A6,WORLDCUP!$AH$4:$AH$147,0)))</f>
        <v>2</v>
      </c>
      <c r="E6" s="114" cm="1">
        <f t="array" ref="E6">IF(ISBLANK(INDEX(WORLDCUP!$AD$4:$AD$147,MATCH(A6,WORLDCUP!$AH$4:$AH$147,0))),"",INDEX(WORLDCUP!$AD$4:$AD$147,MATCH(A6,WORLDCUP!$AH$4:$AH$147,0)))</f>
        <v>1</v>
      </c>
      <c r="F6" s="488" t="str" cm="1">
        <f t="array" ref="F6">MID(INDEX(WORLDCUP!$AF$4:$AF$147,MATCH(A6,WORLDCUP!$AH$4:$AH$147,0)),1,3)</f>
        <v>Cor</v>
      </c>
      <c r="G6" s="510">
        <v>3</v>
      </c>
      <c r="H6" s="511" t="str" cm="1">
        <f t="array" ref="H6">MID(INDEX(WORLDCUP!$AL$6:$AL$97,MATCH(L6,WORLDCUP!$AI$6:$AI$97,0)),1,3)</f>
        <v>Cor</v>
      </c>
      <c r="I6" s="143" cm="1">
        <f t="array" ref="I6">INDEX(WORLDCUP!$AM$6:$AM$97,MATCH(L6,WORLDCUP!$AI$6:$AI$97,0))</f>
        <v>6</v>
      </c>
      <c r="J6" s="144" cm="1">
        <f t="array" ref="J6">INDEX(WORLDCUP!$AT$6:$AT$97,MATCH(L6,WORLDCUP!$AI$6:$AI$97,0))</f>
        <v>2</v>
      </c>
      <c r="K6" s="512" t="str" cm="1">
        <f t="array" ref="K6">INDEX(WORLDCUP!$AR$6:$AR$97,MATCH(L6,WORLDCUP!$AI$6:$AI$97,0))&amp;"-"&amp;INDEX(WORLDCUP!$AS$6:$AS$97,MATCH(L6,WORLDCUP!$AI$6:$AI$97,0))</f>
        <v>6-4</v>
      </c>
      <c r="L6" s="494" t="s">
        <v>119</v>
      </c>
      <c r="M6" s="462">
        <v>40</v>
      </c>
      <c r="N6" s="495"/>
      <c r="O6" s="487" t="str" cm="1">
        <f t="array" ref="O6">MID(INDEX(WORLDCUP!$AA$4:$AA$147,MATCH(M6,WORLDCUP!$AH$4:$AH$147,0)),1,3)</f>
        <v>Nue</v>
      </c>
      <c r="P6" s="114" cm="1">
        <f t="array" ref="P6">IF(ISBLANK(INDEX(WORLDCUP!$AC$4:$AC$147,MATCH(M6,WORLDCUP!$AH$4:$AH$147,0))),"",INDEX(WORLDCUP!$AC$4:$AC$147,MATCH(M6,WORLDCUP!$AH$4:$AH$147,0)))</f>
        <v>0</v>
      </c>
      <c r="Q6" s="114" cm="1">
        <f t="array" ref="Q6">IF(ISBLANK(INDEX(WORLDCUP!$AD$4:$AD$147,MATCH(M6,WORLDCUP!$AH$4:$AH$147,0))),"",INDEX(WORLDCUP!$AD$4:$AD$147,MATCH(M6,WORLDCUP!$AH$4:$AH$147,0)))</f>
        <v>3</v>
      </c>
      <c r="R6" s="488" t="str" cm="1">
        <f t="array" ref="R6">MID(INDEX(WORLDCUP!$AF$4:$AF$147,MATCH(M6,WORLDCUP!$AH$4:$AH$147,0)),1,3)</f>
        <v>Egi</v>
      </c>
      <c r="S6" s="510">
        <v>3</v>
      </c>
      <c r="T6" s="511" t="str" cm="1">
        <f t="array" ref="T6">MID(INDEX(WORLDCUP!$AL$6:$AL$97,MATCH(X6,WORLDCUP!$AI$6:$AI$97,0)),1,3)</f>
        <v>Irá</v>
      </c>
      <c r="U6" s="143" cm="1">
        <f t="array" ref="U6">INDEX(WORLDCUP!$AM$6:$AM$97,MATCH(X6,WORLDCUP!$AI$6:$AI$97,0))</f>
        <v>1</v>
      </c>
      <c r="V6" s="144" cm="1">
        <f t="array" ref="V6">INDEX(WORLDCUP!$AT$6:$AT$97,MATCH(X6,WORLDCUP!$AI$6:$AI$97,0))</f>
        <v>-5</v>
      </c>
      <c r="W6" s="512" t="str" cm="1">
        <f t="array" ref="W6">INDEX(WORLDCUP!$AR$6:$AR$97,MATCH(X6,WORLDCUP!$AI$6:$AI$97,0))&amp;"-"&amp;INDEX(WORLDCUP!$AS$6:$AS$97,MATCH(X6,WORLDCUP!$AI$6:$AI$97,0))</f>
        <v>2-7</v>
      </c>
      <c r="X6" s="496" t="s">
        <v>170</v>
      </c>
      <c r="Y6" s="465">
        <v>77</v>
      </c>
      <c r="Z6" s="466" t="s">
        <v>184</v>
      </c>
      <c r="AA6" s="467" t="str" cm="1">
        <f t="array" ref="AA6">MID(INDEX(WORLDCUP!$AA$101:$AA$147,MATCH(Y6,WORLDCUP!$Z$101:$Z$147,0)),1,3)</f>
        <v>Fra</v>
      </c>
      <c r="AB6" s="468" t="str" cm="1">
        <f t="array" ref="AB6">IF(ISBLANK(INDEX(WORLDCUP!$AC$101:$AC$147,MATCH(Y6,WORLDCUP!$Z$101:$Z$147,0))),"",INDEX(WORLDCUP!$AC$101:$AC$147,MATCH(Y6,WORLDCUP!$Z$101:$Z$147,0)))</f>
        <v/>
      </c>
      <c r="AC6" s="519" t="str" cm="1">
        <f t="array" ref="AC6">IF(ISBLANK(INDEX(WORLDCUP!$AB$101:$AB$147,MATCH(Y6,WORLDCUP!$Z$101:$Z$147,0))),"","( "&amp;INDEX(WORLDCUP!$AB$101:$AB$147,MATCH(Y6,WORLDCUP!$Z$101:$Z$147,0))&amp;" )")</f>
        <v/>
      </c>
      <c r="AD6" s="518"/>
      <c r="AE6" s="520"/>
      <c r="AF6" s="520"/>
      <c r="AG6" s="521"/>
      <c r="AH6" s="518"/>
      <c r="AI6" s="522"/>
      <c r="AJ6" s="522"/>
      <c r="AK6" s="502"/>
      <c r="AL6" s="448"/>
      <c r="AM6" s="473"/>
      <c r="AN6" s="473"/>
      <c r="AO6" s="473"/>
      <c r="AP6" s="281"/>
      <c r="AQ6" s="503"/>
      <c r="AR6" s="503"/>
      <c r="AS6" s="503"/>
      <c r="AT6" s="281"/>
      <c r="AU6" s="475"/>
      <c r="AV6" s="475"/>
      <c r="AW6" s="475"/>
      <c r="AX6" s="281"/>
      <c r="AY6" s="8"/>
      <c r="AZ6" s="8"/>
      <c r="BA6" s="8"/>
      <c r="BB6" s="8"/>
      <c r="BC6" s="8"/>
      <c r="BD6" s="8"/>
      <c r="BE6" s="8"/>
      <c r="BF6" s="476"/>
      <c r="BG6" s="505" t="s">
        <v>193</v>
      </c>
      <c r="BH6" s="506" cm="1">
        <f t="array" ref="BH6">1-SUM(BI6:BO6)</f>
        <v>1</v>
      </c>
      <c r="BI6" s="506" cm="1">
        <f t="array" ref="BI6">COUNTIF(Pool!$C$130:$C$161,BG6)-BJ6-BK6-BL6-BM6-BN6-BO6</f>
        <v>0</v>
      </c>
      <c r="BJ6" s="507" cm="1">
        <f t="array" ref="BJ6">COUNTIF(Pool!$C$182:$C$197,BG6)-BK6-BL6-BM6-BN6-BO6</f>
        <v>0</v>
      </c>
      <c r="BK6" s="508" cm="1">
        <f t="array" ref="BK6">COUNTIF(Pool!$C$210:$C$217,BG6)-BL6-BM6-BN6-BO6</f>
        <v>0</v>
      </c>
      <c r="BL6" s="508" cm="1">
        <f t="array" ref="BL6">COUNTIF(Pool!$C$226:$C$229,BG6)-BM6-BN6-BO6</f>
        <v>0</v>
      </c>
      <c r="BM6" s="506" cm="1">
        <f t="array" ref="BM6">COUNTIF(Pool!$C$252,BG6)</f>
        <v>0</v>
      </c>
      <c r="BN6" s="506" cm="1">
        <f t="array" ref="BN6">COUNTIF(Pool!$C$251,BG6)</f>
        <v>0</v>
      </c>
      <c r="BO6" s="509" cm="1">
        <f t="array" ref="BO6">COUNTIF(Pool!$C$250,BG6)</f>
        <v>0</v>
      </c>
    </row>
    <row r="7" spans="1:67" ht="16" customHeight="1" x14ac:dyDescent="0.2">
      <c r="A7" s="451">
        <v>53</v>
      </c>
      <c r="B7" s="486"/>
      <c r="C7" s="487" t="str" cm="1">
        <f t="array" ref="C7">MID(INDEX(WORLDCUP!$AA$4:$AA$147,MATCH(A7,WORLDCUP!$AH$4:$AH$147,0)),1,3)</f>
        <v>Rep</v>
      </c>
      <c r="D7" s="114" cm="1">
        <f t="array" ref="D7">IF(ISBLANK(INDEX(WORLDCUP!$AC$4:$AC$147,MATCH(A7,WORLDCUP!$AH$4:$AH$147,0))),"",INDEX(WORLDCUP!$AC$4:$AC$147,MATCH(A7,WORLDCUP!$AH$4:$AH$147,0)))</f>
        <v>0</v>
      </c>
      <c r="E7" s="114" cm="1">
        <f t="array" ref="E7">IF(ISBLANK(INDEX(WORLDCUP!$AD$4:$AD$147,MATCH(A7,WORLDCUP!$AH$4:$AH$147,0))),"",INDEX(WORLDCUP!$AD$4:$AD$147,MATCH(A7,WORLDCUP!$AH$4:$AH$147,0)))</f>
        <v>3</v>
      </c>
      <c r="F7" s="488" t="str" cm="1">
        <f t="array" ref="F7">MID(INDEX(WORLDCUP!$AF$4:$AF$147,MATCH(A7,WORLDCUP!$AH$4:$AH$147,0)),1,3)</f>
        <v>Méx</v>
      </c>
      <c r="G7" s="510">
        <v>4</v>
      </c>
      <c r="H7" s="523" t="str" cm="1">
        <f t="array" ref="H7">MID(INDEX(WORLDCUP!$AL$6:$AL$97,MATCH(L7,WORLDCUP!$AI$6:$AI$97,0)),1,3)</f>
        <v>Rep</v>
      </c>
      <c r="I7" s="524" cm="1">
        <f t="array" ref="I7">INDEX(WORLDCUP!$AM$6:$AM$97,MATCH(L7,WORLDCUP!$AI$6:$AI$97,0))</f>
        <v>3</v>
      </c>
      <c r="J7" s="525" cm="1">
        <f t="array" ref="J7">INDEX(WORLDCUP!$AT$6:$AT$97,MATCH(L7,WORLDCUP!$AI$6:$AI$97,0))</f>
        <v>-3</v>
      </c>
      <c r="K7" s="526" t="str" cm="1">
        <f t="array" ref="K7">INDEX(WORLDCUP!$AR$6:$AR$97,MATCH(L7,WORLDCUP!$AI$6:$AI$97,0))&amp;"-"&amp;INDEX(WORLDCUP!$AS$6:$AS$97,MATCH(L7,WORLDCUP!$AI$6:$AI$97,0))</f>
        <v>3-6</v>
      </c>
      <c r="L7" s="494" t="s">
        <v>120</v>
      </c>
      <c r="M7" s="462">
        <v>63</v>
      </c>
      <c r="N7" s="495"/>
      <c r="O7" s="487" t="str" cm="1">
        <f t="array" ref="O7">MID(INDEX(WORLDCUP!$AA$4:$AA$147,MATCH(M7,WORLDCUP!$AH$4:$AH$147,0)),1,3)</f>
        <v>Egi</v>
      </c>
      <c r="P7" s="114" cm="1">
        <f t="array" ref="P7">IF(ISBLANK(INDEX(WORLDCUP!$AC$4:$AC$147,MATCH(M7,WORLDCUP!$AH$4:$AH$147,0))),"",INDEX(WORLDCUP!$AC$4:$AC$147,MATCH(M7,WORLDCUP!$AH$4:$AH$147,0)))</f>
        <v>2</v>
      </c>
      <c r="Q7" s="114" cm="1">
        <f t="array" ref="Q7">IF(ISBLANK(INDEX(WORLDCUP!$AD$4:$AD$147,MATCH(M7,WORLDCUP!$AH$4:$AH$147,0))),"",INDEX(WORLDCUP!$AD$4:$AD$147,MATCH(M7,WORLDCUP!$AH$4:$AH$147,0)))</f>
        <v>1</v>
      </c>
      <c r="R7" s="488" t="str" cm="1">
        <f t="array" ref="R7">MID(INDEX(WORLDCUP!$AF$4:$AF$147,MATCH(M7,WORLDCUP!$AH$4:$AH$147,0)),1,3)</f>
        <v>Irá</v>
      </c>
      <c r="S7" s="510">
        <v>4</v>
      </c>
      <c r="T7" s="523" t="str" cm="1">
        <f t="array" ref="T7">MID(INDEX(WORLDCUP!$AL$6:$AL$97,MATCH(X7,WORLDCUP!$AI$6:$AI$97,0)),1,3)</f>
        <v>Nue</v>
      </c>
      <c r="U7" s="524" cm="1">
        <f t="array" ref="U7">INDEX(WORLDCUP!$AM$6:$AM$97,MATCH(X7,WORLDCUP!$AI$6:$AI$97,0))</f>
        <v>1</v>
      </c>
      <c r="V7" s="525" cm="1">
        <f t="array" ref="V7">INDEX(WORLDCUP!$AT$6:$AT$97,MATCH(X7,WORLDCUP!$AI$6:$AI$97,0))</f>
        <v>-6</v>
      </c>
      <c r="W7" s="526" t="str" cm="1">
        <f t="array" ref="W7">INDEX(WORLDCUP!$AR$6:$AR$97,MATCH(X7,WORLDCUP!$AI$6:$AI$97,0))&amp;"-"&amp;INDEX(WORLDCUP!$AS$6:$AS$97,MATCH(X7,WORLDCUP!$AI$6:$AI$97,0))</f>
        <v>1-7</v>
      </c>
      <c r="X7" s="496" t="s">
        <v>172</v>
      </c>
      <c r="Y7" s="465">
        <v>77</v>
      </c>
      <c r="Z7" s="466" t="s">
        <v>245</v>
      </c>
      <c r="AA7" s="467" t="str" cm="1">
        <f t="array" ref="AA7">MID(INDEX(WORLDCUP!$AF$101:$AF$147,MATCH(Y7,WORLDCUP!$Z$101:$Z$147,0)),1,IF(WORLDCUP!$H$113&lt;144,6,3))</f>
        <v>3CD</v>
      </c>
      <c r="AB7" s="468" t="str" cm="1">
        <f t="array" ref="AB7">IF(ISBLANK(INDEX(WORLDCUP!$AD$101:$AD$147,MATCH(Y7,WORLDCUP!$Z$101:$Z$147,0))),"",INDEX(WORLDCUP!$AD$101:$AD$147,MATCH(Y7,WORLDCUP!$Z$101:$Z$147,0)))</f>
        <v/>
      </c>
      <c r="AC7" s="527" t="str" cm="1">
        <f t="array" ref="AC7">IF(ISBLANK(INDEX(WORLDCUP!$AE$101:$AE$147,MATCH(Y7,WORLDCUP!$Z$101:$Z$147,0))),"","( "&amp;INDEX(WORLDCUP!$AE$101:$AE$147,MATCH(Y7,WORLDCUP!$Z$101:$Z$147,0))&amp;" )")</f>
        <v/>
      </c>
      <c r="AD7" s="281"/>
      <c r="AE7" s="528"/>
      <c r="AF7" s="528"/>
      <c r="AG7" s="521"/>
      <c r="AH7" s="498">
        <v>97</v>
      </c>
      <c r="AI7" s="529" t="str" cm="1">
        <f t="array" ref="AI7">MID(INDEX(WORLDCUP!$AA$101:$AA$147,MATCH(AH7,WORLDCUP!$Z$101:$Z$147,0)),1,3)</f>
        <v>W89</v>
      </c>
      <c r="AJ7" s="530" t="str" cm="1">
        <f t="array" ref="AJ7">IF(ISBLANK(INDEX(WORLDCUP!$AC$101:$AC$147,MATCH(AH7,WORLDCUP!$Z$101:$Z$147,0))),"",INDEX(WORLDCUP!$AC$101:$AC$147,MATCH(AH7,WORLDCUP!$Z$101:$Z$147,0)))</f>
        <v/>
      </c>
      <c r="AK7" s="531" t="str" cm="1">
        <f t="array" ref="AK7">IF(ISBLANK(INDEX(WORLDCUP!$AB$101:$AB$147,MATCH(AH7,WORLDCUP!$Z$101:$Z$147,0))),"","( "&amp;INDEX(WORLDCUP!$AB$101:$AB$147,MATCH(AH7,WORLDCUP!$Z$101:$Z$147,0))&amp;" )")</f>
        <v/>
      </c>
      <c r="AL7" s="448"/>
      <c r="AM7" s="473"/>
      <c r="AN7" s="473"/>
      <c r="AO7" s="473"/>
      <c r="AP7" s="281"/>
      <c r="AQ7" s="503"/>
      <c r="AR7" s="503"/>
      <c r="AS7" s="503"/>
      <c r="AT7" s="281"/>
      <c r="AU7" s="475"/>
      <c r="AV7" s="475"/>
      <c r="AW7" s="475"/>
      <c r="AX7" s="281"/>
      <c r="AY7" s="8"/>
      <c r="AZ7" s="8"/>
      <c r="BA7" s="8"/>
      <c r="BB7" s="8"/>
      <c r="BC7" s="8"/>
      <c r="BD7" s="8"/>
      <c r="BE7" s="8"/>
      <c r="BF7" s="476"/>
      <c r="BG7" s="505" t="s">
        <v>191</v>
      </c>
      <c r="BH7" s="506" cm="1">
        <f t="array" ref="BH7">1-SUM(BI7:BO7)</f>
        <v>0</v>
      </c>
      <c r="BI7" s="506" cm="1">
        <f t="array" ref="BI7">COUNTIF(Pool!$C$130:$C$161,BG7)-BJ7-BK7-BL7-BM7-BN7-BO7</f>
        <v>1</v>
      </c>
      <c r="BJ7" s="507" cm="1">
        <f t="array" ref="BJ7">COUNTIF(Pool!$C$182:$C$197,BG7)-BK7-BL7-BM7-BN7-BO7</f>
        <v>0</v>
      </c>
      <c r="BK7" s="508" cm="1">
        <f t="array" ref="BK7">COUNTIF(Pool!$C$210:$C$217,BG7)-BL7-BM7-BN7-BO7</f>
        <v>0</v>
      </c>
      <c r="BL7" s="508" cm="1">
        <f t="array" ref="BL7">COUNTIF(Pool!$C$226:$C$229,BG7)-BM7-BN7-BO7</f>
        <v>0</v>
      </c>
      <c r="BM7" s="506" cm="1">
        <f t="array" ref="BM7">COUNTIF(Pool!$C$252,BG7)</f>
        <v>0</v>
      </c>
      <c r="BN7" s="506" cm="1">
        <f t="array" ref="BN7">COUNTIF(Pool!$C$251,BG7)</f>
        <v>0</v>
      </c>
      <c r="BO7" s="509" cm="1">
        <f t="array" ref="BO7">COUNTIF(Pool!$C$250,BG7)</f>
        <v>0</v>
      </c>
    </row>
    <row r="8" spans="1:67" ht="16" customHeight="1" x14ac:dyDescent="0.2">
      <c r="A8" s="451">
        <v>54</v>
      </c>
      <c r="B8" s="532"/>
      <c r="C8" s="533" t="str" cm="1">
        <f t="array" ref="C8">MID(INDEX(WORLDCUP!$AA$4:$AA$147,MATCH(A8,WORLDCUP!$AH$4:$AH$147,0)),1,3)</f>
        <v>Sud</v>
      </c>
      <c r="D8" s="153" cm="1">
        <f t="array" ref="D8">IF(ISBLANK(INDEX(WORLDCUP!$AC$4:$AC$147,MATCH(A8,WORLDCUP!$AH$4:$AH$147,0))),"",INDEX(WORLDCUP!$AC$4:$AC$147,MATCH(A8,WORLDCUP!$AH$4:$AH$147,0)))</f>
        <v>1</v>
      </c>
      <c r="E8" s="153" cm="1">
        <f t="array" ref="E8">IF(ISBLANK(INDEX(WORLDCUP!$AD$4:$AD$147,MATCH(A8,WORLDCUP!$AH$4:$AH$147,0))),"",INDEX(WORLDCUP!$AD$4:$AD$147,MATCH(A8,WORLDCUP!$AH$4:$AH$147,0)))</f>
        <v>3</v>
      </c>
      <c r="F8" s="534" t="str" cm="1">
        <f t="array" ref="F8">MID(INDEX(WORLDCUP!$AF$4:$AF$147,MATCH(A8,WORLDCUP!$AH$4:$AH$147,0)),1,3)</f>
        <v>Cor</v>
      </c>
      <c r="G8" s="535"/>
      <c r="H8" s="536"/>
      <c r="I8" s="537"/>
      <c r="J8" s="537"/>
      <c r="K8" s="538"/>
      <c r="L8" s="461"/>
      <c r="M8" s="462">
        <v>64</v>
      </c>
      <c r="N8" s="539"/>
      <c r="O8" s="533" t="str" cm="1">
        <f t="array" ref="O8">MID(INDEX(WORLDCUP!$AA$4:$AA$147,MATCH(M8,WORLDCUP!$AH$4:$AH$147,0)),1,3)</f>
        <v>Nue</v>
      </c>
      <c r="P8" s="153" cm="1">
        <f t="array" ref="P8">IF(ISBLANK(INDEX(WORLDCUP!$AC$4:$AC$147,MATCH(M8,WORLDCUP!$AH$4:$AH$147,0))),"",INDEX(WORLDCUP!$AC$4:$AC$147,MATCH(M8,WORLDCUP!$AH$4:$AH$147,0)))</f>
        <v>0</v>
      </c>
      <c r="Q8" s="153" cm="1">
        <f t="array" ref="Q8">IF(ISBLANK(INDEX(WORLDCUP!$AD$4:$AD$147,MATCH(M8,WORLDCUP!$AH$4:$AH$147,0))),"",INDEX(WORLDCUP!$AD$4:$AD$147,MATCH(M8,WORLDCUP!$AH$4:$AH$147,0)))</f>
        <v>3</v>
      </c>
      <c r="R8" s="534" t="str" cm="1">
        <f t="array" ref="R8">MID(INDEX(WORLDCUP!$AF$4:$AF$147,MATCH(M8,WORLDCUP!$AH$4:$AH$147,0)),1,3)</f>
        <v>Bél</v>
      </c>
      <c r="S8" s="535"/>
      <c r="T8" s="536"/>
      <c r="U8" s="537"/>
      <c r="V8" s="537"/>
      <c r="W8" s="538"/>
      <c r="X8" s="464"/>
      <c r="Y8" s="513"/>
      <c r="Z8" s="249"/>
      <c r="AA8" s="540"/>
      <c r="AB8" s="540"/>
      <c r="AC8" s="541"/>
      <c r="AD8" s="281"/>
      <c r="AE8" s="471"/>
      <c r="AF8" s="471"/>
      <c r="AG8" s="521"/>
      <c r="AH8" s="516">
        <v>97</v>
      </c>
      <c r="AI8" s="529" t="str" cm="1">
        <f t="array" ref="AI8">MID(INDEX(WORLDCUP!$AF$101:$AF$147,MATCH(AH8,WORLDCUP!$Z$101:$Z$147,0)),1,3)</f>
        <v>W90</v>
      </c>
      <c r="AJ8" s="530" t="str" cm="1">
        <f t="array" ref="AJ8">IF(ISBLANK(INDEX(WORLDCUP!$AD$101:$AD$147,MATCH(AH8,WORLDCUP!$Z$101:$Z$147,0))),"",INDEX(WORLDCUP!$AD$101:$AD$147,MATCH(AH8,WORLDCUP!$Z$101:$Z$147,0)))</f>
        <v/>
      </c>
      <c r="AK8" s="542" t="str" cm="1">
        <f t="array" ref="AK8">IF(ISBLANK(INDEX(WORLDCUP!$AE$101:$AE$147,MATCH(AH8,WORLDCUP!$Z$101:$Z$147,0))),"","( "&amp;INDEX(WORLDCUP!$AE$101:$AE$147,MATCH(AH8,WORLDCUP!$Z$101:$Z$147,0))&amp;" )")</f>
        <v/>
      </c>
      <c r="AL8" s="543"/>
      <c r="AM8" s="473"/>
      <c r="AN8" s="473"/>
      <c r="AO8" s="473"/>
      <c r="AP8" s="281"/>
      <c r="AQ8" s="503"/>
      <c r="AR8" s="503"/>
      <c r="AS8" s="503"/>
      <c r="AT8" s="281"/>
      <c r="AU8" s="475"/>
      <c r="AV8" s="475"/>
      <c r="AW8" s="475"/>
      <c r="AX8" s="281"/>
      <c r="AY8" s="8"/>
      <c r="AZ8" s="8"/>
      <c r="BA8" s="8"/>
      <c r="BB8" s="8"/>
      <c r="BC8" s="8"/>
      <c r="BD8" s="8"/>
      <c r="BE8" s="8"/>
      <c r="BF8" s="476"/>
      <c r="BG8" s="505" t="s">
        <v>144</v>
      </c>
      <c r="BH8" s="506" cm="1">
        <f t="array" ref="BH8">1-SUM(BI8:BO8)</f>
        <v>1</v>
      </c>
      <c r="BI8" s="506" cm="1">
        <f t="array" ref="BI8">COUNTIF(Pool!$C$130:$C$161,BG8)-BJ8-BK8-BL8-BM8-BN8-BO8</f>
        <v>0</v>
      </c>
      <c r="BJ8" s="507" cm="1">
        <f t="array" ref="BJ8">COUNTIF(Pool!$C$182:$C$197,BG8)-BK8-BL8-BM8-BN8-BO8</f>
        <v>0</v>
      </c>
      <c r="BK8" s="508" cm="1">
        <f t="array" ref="BK8">COUNTIF(Pool!$C$210:$C$217,BG8)-BL8-BM8-BN8-BO8</f>
        <v>0</v>
      </c>
      <c r="BL8" s="508" cm="1">
        <f t="array" ref="BL8">COUNTIF(Pool!$C$226:$C$229,BG8)-BM8-BN8-BO8</f>
        <v>0</v>
      </c>
      <c r="BM8" s="506" cm="1">
        <f t="array" ref="BM8">COUNTIF(Pool!$C$252,BG8)</f>
        <v>0</v>
      </c>
      <c r="BN8" s="506" cm="1">
        <f t="array" ref="BN8">COUNTIF(Pool!$C$251,BG8)</f>
        <v>0</v>
      </c>
      <c r="BO8" s="509" cm="1">
        <f t="array" ref="BO8">COUNTIF(Pool!$C$250,BG8)</f>
        <v>0</v>
      </c>
    </row>
    <row r="9" spans="1:67" ht="16" customHeight="1" x14ac:dyDescent="0.2">
      <c r="A9" s="7"/>
      <c r="B9" s="544"/>
      <c r="C9" s="545"/>
      <c r="D9" s="546"/>
      <c r="E9" s="546"/>
      <c r="F9" s="547"/>
      <c r="G9" s="547"/>
      <c r="H9" s="545"/>
      <c r="I9" s="547"/>
      <c r="J9" s="547"/>
      <c r="K9" s="547"/>
      <c r="L9" s="281"/>
      <c r="M9" s="8"/>
      <c r="N9" s="547"/>
      <c r="O9" s="545"/>
      <c r="P9" s="546"/>
      <c r="Q9" s="546"/>
      <c r="R9" s="547"/>
      <c r="S9" s="547"/>
      <c r="T9" s="545"/>
      <c r="U9" s="547"/>
      <c r="V9" s="547"/>
      <c r="W9" s="547"/>
      <c r="X9" s="8"/>
      <c r="Y9" s="548">
        <v>73</v>
      </c>
      <c r="Z9" s="466" t="s">
        <v>116</v>
      </c>
      <c r="AA9" s="467" t="str" cm="1">
        <f t="array" ref="AA9">MID(INDEX(WORLDCUP!$AA$101:$AA$147,MATCH(Y9,WORLDCUP!$Z$101:$Z$147,0)),1,3)</f>
        <v>Sud</v>
      </c>
      <c r="AB9" s="468" t="str" cm="1">
        <f t="array" ref="AB9">IF(ISBLANK(INDEX(WORLDCUP!$AC$101:$AC$147,MATCH(Y9,WORLDCUP!$Z$101:$Z$147,0))),"",INDEX(WORLDCUP!$AC$101:$AC$147,MATCH(Y9,WORLDCUP!$Z$101:$Z$147,0)))</f>
        <v/>
      </c>
      <c r="AC9" s="549" t="str" cm="1">
        <f t="array" ref="AC9">IF(ISBLANK(INDEX(WORLDCUP!$AB$101:$AB$147,MATCH(Y9,WORLDCUP!$Z$101:$Z$147,0))),"","( "&amp;INDEX(WORLDCUP!$AB$101:$AB$147,MATCH(Y9,WORLDCUP!$Z$101:$Z$147,0))&amp;" )")</f>
        <v/>
      </c>
      <c r="AD9" s="73"/>
      <c r="AE9" s="470"/>
      <c r="AF9" s="470"/>
      <c r="AG9" s="521"/>
      <c r="AH9" s="518"/>
      <c r="AI9" s="550"/>
      <c r="AJ9" s="550"/>
      <c r="AK9" s="551"/>
      <c r="AL9" s="543"/>
      <c r="AM9" s="473"/>
      <c r="AN9" s="473"/>
      <c r="AO9" s="473"/>
      <c r="AP9" s="281"/>
      <c r="AQ9" s="503"/>
      <c r="AR9" s="503"/>
      <c r="AS9" s="503"/>
      <c r="AT9" s="281"/>
      <c r="AU9" s="475"/>
      <c r="AV9" s="475"/>
      <c r="AW9" s="475"/>
      <c r="AX9" s="281"/>
      <c r="AY9" s="8"/>
      <c r="AZ9" s="8"/>
      <c r="BA9" s="8"/>
      <c r="BB9" s="8"/>
      <c r="BC9" s="8"/>
      <c r="BD9" s="8"/>
      <c r="BE9" s="8"/>
      <c r="BF9" s="476"/>
      <c r="BG9" s="505" t="s">
        <v>195</v>
      </c>
      <c r="BH9" s="506" cm="1">
        <f t="array" ref="BH9">1-SUM(BI9:BO9)</f>
        <v>1</v>
      </c>
      <c r="BI9" s="506" cm="1">
        <f t="array" ref="BI9">COUNTIF(Pool!$C$130:$C$161,BG9)-BJ9-BK9-BL9-BM9-BN9-BO9</f>
        <v>0</v>
      </c>
      <c r="BJ9" s="507" cm="1">
        <f t="array" ref="BJ9">COUNTIF(Pool!$C$182:$C$197,BG9)-BK9-BL9-BM9-BN9-BO9</f>
        <v>0</v>
      </c>
      <c r="BK9" s="508" cm="1">
        <f t="array" ref="BK9">COUNTIF(Pool!$C$210:$C$217,BG9)-BL9-BM9-BN9-BO9</f>
        <v>0</v>
      </c>
      <c r="BL9" s="508" cm="1">
        <f t="array" ref="BL9">COUNTIF(Pool!$C$226:$C$229,BG9)-BM9-BN9-BO9</f>
        <v>0</v>
      </c>
      <c r="BM9" s="506" cm="1">
        <f t="array" ref="BM9">COUNTIF(Pool!$C$252,BG9)</f>
        <v>0</v>
      </c>
      <c r="BN9" s="506" cm="1">
        <f t="array" ref="BN9">COUNTIF(Pool!$C$251,BG9)</f>
        <v>0</v>
      </c>
      <c r="BO9" s="509" cm="1">
        <f t="array" ref="BO9">COUNTIF(Pool!$C$250,BG9)</f>
        <v>0</v>
      </c>
    </row>
    <row r="10" spans="1:67" ht="16" customHeight="1" x14ac:dyDescent="0.2">
      <c r="A10" s="7"/>
      <c r="B10" s="443"/>
      <c r="C10" s="552"/>
      <c r="D10" s="553"/>
      <c r="E10" s="553"/>
      <c r="F10" s="111"/>
      <c r="G10" s="111"/>
      <c r="H10" s="552"/>
      <c r="I10" s="111"/>
      <c r="J10" s="111"/>
      <c r="K10" s="111"/>
      <c r="L10" s="281"/>
      <c r="M10" s="8"/>
      <c r="N10" s="111"/>
      <c r="O10" s="552"/>
      <c r="P10" s="553"/>
      <c r="Q10" s="553"/>
      <c r="R10" s="111"/>
      <c r="S10" s="111"/>
      <c r="T10" s="552"/>
      <c r="U10" s="111"/>
      <c r="V10" s="111"/>
      <c r="W10" s="111"/>
      <c r="X10" s="8"/>
      <c r="Y10" s="548">
        <v>73</v>
      </c>
      <c r="Z10" s="466" t="s">
        <v>125</v>
      </c>
      <c r="AA10" s="467" t="str" cm="1">
        <f t="array" ref="AA10">MID(INDEX(WORLDCUP!$AF$101:$AF$147,MATCH(Y10,WORLDCUP!$Z$101:$Z$147,0)),1,3)</f>
        <v>2B</v>
      </c>
      <c r="AB10" s="468" t="str" cm="1">
        <f t="array" ref="AB10">IF(ISBLANK(INDEX(WORLDCUP!$AD$101:$AD$147,MATCH(Y10,WORLDCUP!$Z$101:$Z$147,0))),"",INDEX(WORLDCUP!$AD$101:$AD$147,MATCH(Y10,WORLDCUP!$Z$101:$Z$147,0)))</f>
        <v/>
      </c>
      <c r="AC10" s="497" t="str" cm="1">
        <f t="array" ref="AC10">IF(ISBLANK(INDEX(WORLDCUP!$AE$101:$AE$147,MATCH(Y10,WORLDCUP!$Z$101:$Z$147,0))),"","( "&amp;INDEX(WORLDCUP!$AE$101:$AE$147,MATCH(Y10,WORLDCUP!$Z$101:$Z$147,0))&amp;" )")</f>
        <v/>
      </c>
      <c r="AD10" s="498">
        <v>90</v>
      </c>
      <c r="AE10" s="499" t="str" cm="1">
        <f t="array" ref="AE10">MID(INDEX(WORLDCUP!$AA$101:$AA$147,MATCH(AD10,WORLDCUP!$Z$101:$Z$147,0)),1,3)</f>
        <v>W73</v>
      </c>
      <c r="AF10" s="500" t="str" cm="1">
        <f t="array" ref="AF10">IF(ISBLANK(INDEX(WORLDCUP!$AC$101:$AC$147,MATCH(AD10,WORLDCUP!$Z$101:$Z$147,0))),"",INDEX(WORLDCUP!$AC$101:$AC$147,MATCH(AD10,WORLDCUP!$Z$101:$Z$147,0)))</f>
        <v/>
      </c>
      <c r="AG10" s="554" t="str" cm="1">
        <f t="array" ref="AG10">IF(ISBLANK(INDEX(WORLDCUP!$AB$101:$AB$147,MATCH(AD10,WORLDCUP!$Z$101:$Z$147,0))),"","( "&amp;INDEX(WORLDCUP!$AB$101:$AB$147,MATCH(AD10,WORLDCUP!$Z$101:$Z$147,0))&amp;" )")</f>
        <v/>
      </c>
      <c r="AH10" s="518"/>
      <c r="AI10" s="502"/>
      <c r="AJ10" s="502"/>
      <c r="AK10" s="551"/>
      <c r="AL10" s="543"/>
      <c r="AM10" s="473"/>
      <c r="AN10" s="473"/>
      <c r="AO10" s="473"/>
      <c r="AP10" s="281"/>
      <c r="AQ10" s="503"/>
      <c r="AR10" s="503"/>
      <c r="AS10" s="503"/>
      <c r="AT10" s="281"/>
      <c r="AU10" s="475"/>
      <c r="AV10" s="475"/>
      <c r="AW10" s="475"/>
      <c r="AX10" s="281"/>
      <c r="AY10" s="8"/>
      <c r="AZ10" s="236"/>
      <c r="BA10" s="236"/>
      <c r="BB10" s="72"/>
      <c r="BC10" s="555"/>
      <c r="BD10" s="556"/>
      <c r="BE10" s="556"/>
      <c r="BF10" s="476"/>
      <c r="BG10" s="505" t="s">
        <v>165</v>
      </c>
      <c r="BH10" s="506" cm="1">
        <f t="array" ref="BH10">1-SUM(BI10:BO10)</f>
        <v>0</v>
      </c>
      <c r="BI10" s="506" cm="1">
        <f t="array" ref="BI10">COUNTIF(Pool!$C$130:$C$161,BG10)-BJ10-BK10-BL10-BM10-BN10-BO10</f>
        <v>1</v>
      </c>
      <c r="BJ10" s="507" cm="1">
        <f t="array" ref="BJ10">COUNTIF(Pool!$C$182:$C$197,BG10)-BK10-BL10-BM10-BN10-BO10</f>
        <v>0</v>
      </c>
      <c r="BK10" s="508" cm="1">
        <f t="array" ref="BK10">COUNTIF(Pool!$C$210:$C$217,BG10)-BL10-BM10-BN10-BO10</f>
        <v>0</v>
      </c>
      <c r="BL10" s="508" cm="1">
        <f t="array" ref="BL10">COUNTIF(Pool!$C$226:$C$229,BG10)-BM10-BN10-BO10</f>
        <v>0</v>
      </c>
      <c r="BM10" s="506" cm="1">
        <f t="array" ref="BM10">COUNTIF(Pool!$C$252,BG10)</f>
        <v>0</v>
      </c>
      <c r="BN10" s="506" cm="1">
        <f t="array" ref="BN10">COUNTIF(Pool!$C$251,BG10)</f>
        <v>0</v>
      </c>
      <c r="BO10" s="509" cm="1">
        <f t="array" ref="BO10">COUNTIF(Pool!$C$250,BG10)</f>
        <v>0</v>
      </c>
    </row>
    <row r="11" spans="1:67" ht="15" customHeight="1" x14ac:dyDescent="0.2">
      <c r="A11" s="451">
        <v>3</v>
      </c>
      <c r="B11" s="557" t="s">
        <v>121</v>
      </c>
      <c r="C11" s="453" t="str" cm="1">
        <f t="array" ref="C11">MID(INDEX(WORLDCUP!$AA$4:$AA$147,MATCH(A11,WORLDCUP!$AH$4:$AH$147,0)),1,3)</f>
        <v>Can</v>
      </c>
      <c r="D11" s="454" cm="1">
        <f t="array" ref="D11">IF(ISBLANK(INDEX(WORLDCUP!$AC$4:$AC$147,MATCH(A11,WORLDCUP!$AH$4:$AH$147,0))),"",INDEX(WORLDCUP!$AC$4:$AC$147,MATCH(A11,WORLDCUP!$AH$4:$AH$147,0)))</f>
        <v>1</v>
      </c>
      <c r="E11" s="454" cm="1">
        <f t="array" ref="E11">IF(ISBLANK(INDEX(WORLDCUP!$AD$4:$AD$147,MATCH(A11,WORLDCUP!$AH$4:$AH$147,0))),"",INDEX(WORLDCUP!$AD$4:$AD$147,MATCH(A11,WORLDCUP!$AH$4:$AH$147,0)))</f>
        <v>0</v>
      </c>
      <c r="F11" s="455" t="str" cm="1">
        <f t="array" ref="F11">MID(INDEX(WORLDCUP!$AF$4:$AF$147,MATCH(A11,WORLDCUP!$AH$4:$AH$147,0)),1,3)</f>
        <v>Bos</v>
      </c>
      <c r="G11" s="456"/>
      <c r="H11" s="457" t="str" cm="1">
        <f t="array" ref="H11">H3</f>
        <v>Sel</v>
      </c>
      <c r="I11" s="459" t="str" cm="1">
        <f t="array" ref="I11">I3</f>
        <v>Pts</v>
      </c>
      <c r="J11" s="459" t="str" cm="1">
        <f t="array" ref="J11">J3</f>
        <v>DG</v>
      </c>
      <c r="K11" s="460" t="str" cm="1">
        <f t="array" ref="K11">K3</f>
        <v>GF-GC</v>
      </c>
      <c r="L11" s="461"/>
      <c r="M11" s="462">
        <v>14</v>
      </c>
      <c r="N11" s="558" t="s">
        <v>173</v>
      </c>
      <c r="O11" s="453" t="str" cm="1">
        <f t="array" ref="O11">MID(INDEX(WORLDCUP!$AA$4:$AA$147,MATCH(M11,WORLDCUP!$AH$4:$AH$147,0)),1,3)</f>
        <v>Esp</v>
      </c>
      <c r="P11" s="454" cm="1">
        <f t="array" ref="P11">IF(ISBLANK(INDEX(WORLDCUP!$AC$4:$AC$147,MATCH(M11,WORLDCUP!$AH$4:$AH$147,0))),"",INDEX(WORLDCUP!$AC$4:$AC$147,MATCH(M11,WORLDCUP!$AH$4:$AH$147,0)))</f>
        <v>5</v>
      </c>
      <c r="Q11" s="454" cm="1">
        <f t="array" ref="Q11">IF(ISBLANK(INDEX(WORLDCUP!$AD$4:$AD$147,MATCH(M11,WORLDCUP!$AH$4:$AH$147,0))),"",INDEX(WORLDCUP!$AD$4:$AD$147,MATCH(M11,WORLDCUP!$AH$4:$AH$147,0)))</f>
        <v>0</v>
      </c>
      <c r="R11" s="455" t="str" cm="1">
        <f t="array" ref="R11">MID(INDEX(WORLDCUP!$AF$4:$AF$147,MATCH(M11,WORLDCUP!$AH$4:$AH$147,0)),1,3)</f>
        <v>Cab</v>
      </c>
      <c r="S11" s="456"/>
      <c r="T11" s="457" t="str" cm="1">
        <f t="array" ref="T11">T3</f>
        <v>Sel</v>
      </c>
      <c r="U11" s="459" t="str" cm="1">
        <f t="array" ref="U11">U3</f>
        <v>Pts</v>
      </c>
      <c r="V11" s="459" t="str" cm="1">
        <f t="array" ref="V11">V3</f>
        <v>DG</v>
      </c>
      <c r="W11" s="460" t="str" cm="1">
        <f t="array" ref="W11">W3</f>
        <v>GF-GC</v>
      </c>
      <c r="X11" s="464"/>
      <c r="Y11" s="513"/>
      <c r="Z11" s="249"/>
      <c r="AA11" s="514"/>
      <c r="AB11" s="514"/>
      <c r="AC11" s="515"/>
      <c r="AD11" s="516">
        <v>90</v>
      </c>
      <c r="AE11" s="499" t="str" cm="1">
        <f t="array" ref="AE11">MID(INDEX(WORLDCUP!$AF$101:$AF$147,MATCH(AD11,WORLDCUP!$Z$101:$Z$147,0)),1,3)</f>
        <v>W75</v>
      </c>
      <c r="AF11" s="500" t="str" cm="1">
        <f t="array" ref="AF11">IF(ISBLANK(INDEX(WORLDCUP!$AD$101:$AD$147,MATCH(AD11,WORLDCUP!$Z$101:$Z$147,0))),"",INDEX(WORLDCUP!$AD$101:$AD$147,MATCH(AD11,WORLDCUP!$Z$101:$Z$147,0)))</f>
        <v/>
      </c>
      <c r="AG11" s="559" t="str" cm="1">
        <f t="array" ref="AG11">IF(ISBLANK(INDEX(WORLDCUP!$AE$101:$AE$147,MATCH(AD11,WORLDCUP!$Z$101:$Z$147,0))),"","( "&amp;INDEX(WORLDCUP!$AE$101:$AE$147,MATCH(AD11,WORLDCUP!$Z$101:$Z$147,0))&amp;" )")</f>
        <v/>
      </c>
      <c r="AH11" s="281"/>
      <c r="AI11" s="502"/>
      <c r="AJ11" s="502"/>
      <c r="AK11" s="551"/>
      <c r="AL11" s="543"/>
      <c r="AM11" s="473"/>
      <c r="AN11" s="473"/>
      <c r="AO11" s="473"/>
      <c r="AP11" s="281"/>
      <c r="AQ11" s="503"/>
      <c r="AR11" s="503"/>
      <c r="AS11" s="503"/>
      <c r="AT11" s="281"/>
      <c r="AU11" s="475"/>
      <c r="AV11" s="475"/>
      <c r="AW11" s="475"/>
      <c r="AX11" s="281"/>
      <c r="AY11" s="8"/>
      <c r="AZ11" s="8"/>
      <c r="BA11" s="8"/>
      <c r="BB11" s="8"/>
      <c r="BC11" s="8"/>
      <c r="BD11" s="8"/>
      <c r="BE11" s="8"/>
      <c r="BF11" s="476"/>
      <c r="BG11" s="505" t="s">
        <v>124</v>
      </c>
      <c r="BH11" s="506" cm="1">
        <f t="array" ref="BH11">1-SUM(BI11:BO11)</f>
        <v>1</v>
      </c>
      <c r="BI11" s="506" cm="1">
        <f t="array" ref="BI11">COUNTIF(Pool!$C$130:$C$161,BG11)-BJ11-BK11-BL11-BM11-BN11-BO11</f>
        <v>0</v>
      </c>
      <c r="BJ11" s="507" cm="1">
        <f t="array" ref="BJ11">COUNTIF(Pool!$C$182:$C$197,BG11)-BK11-BL11-BM11-BN11-BO11</f>
        <v>0</v>
      </c>
      <c r="BK11" s="508" cm="1">
        <f t="array" ref="BK11">COUNTIF(Pool!$C$210:$C$217,BG11)-BL11-BM11-BN11-BO11</f>
        <v>0</v>
      </c>
      <c r="BL11" s="508" cm="1">
        <f t="array" ref="BL11">COUNTIF(Pool!$C$226:$C$229,BG11)-BM11-BN11-BO11</f>
        <v>0</v>
      </c>
      <c r="BM11" s="506" cm="1">
        <f t="array" ref="BM11">COUNTIF(Pool!$C$252,BG11)</f>
        <v>0</v>
      </c>
      <c r="BN11" s="506" cm="1">
        <f t="array" ref="BN11">COUNTIF(Pool!$C$251,BG11)</f>
        <v>0</v>
      </c>
      <c r="BO11" s="509" cm="1">
        <f t="array" ref="BO11">COUNTIF(Pool!$C$250,BG11)</f>
        <v>0</v>
      </c>
    </row>
    <row r="12" spans="1:67" ht="16" customHeight="1" x14ac:dyDescent="0.2">
      <c r="A12" s="451">
        <v>8</v>
      </c>
      <c r="B12" s="560"/>
      <c r="C12" s="487" t="str" cm="1">
        <f t="array" ref="C12">MID(INDEX(WORLDCUP!$AA$4:$AA$147,MATCH(A12,WORLDCUP!$AH$4:$AH$147,0)),1,3)</f>
        <v>Cat</v>
      </c>
      <c r="D12" s="114" cm="1">
        <f t="array" ref="D12">IF(ISBLANK(INDEX(WORLDCUP!$AC$4:$AC$147,MATCH(A12,WORLDCUP!$AH$4:$AH$147,0))),"",INDEX(WORLDCUP!$AC$4:$AC$147,MATCH(A12,WORLDCUP!$AH$4:$AH$147,0)))</f>
        <v>1</v>
      </c>
      <c r="E12" s="114" cm="1">
        <f t="array" ref="E12">IF(ISBLANK(INDEX(WORLDCUP!$AD$4:$AD$147,MATCH(A12,WORLDCUP!$AH$4:$AH$147,0))),"",INDEX(WORLDCUP!$AD$4:$AD$147,MATCH(A12,WORLDCUP!$AH$4:$AH$147,0)))</f>
        <v>1</v>
      </c>
      <c r="F12" s="488" t="str" cm="1">
        <f t="array" ref="F12">MID(INDEX(WORLDCUP!$AF$4:$AF$147,MATCH(A12,WORLDCUP!$AH$4:$AH$147,0)),1,3)</f>
        <v>Sui</v>
      </c>
      <c r="G12" s="489">
        <v>1</v>
      </c>
      <c r="H12" s="490" t="str" cm="1">
        <f t="array" ref="H12">MID(INDEX(WORLDCUP!$AL$6:$AL$97,MATCH(L12,WORLDCUP!$AI$6:$AI$97,0)),1,3)</f>
        <v>Can</v>
      </c>
      <c r="I12" s="491" cm="1">
        <f t="array" ref="I12">INDEX(WORLDCUP!$AM$6:$AM$97,MATCH(L12,WORLDCUP!$AI$6:$AI$97,0))</f>
        <v>7</v>
      </c>
      <c r="J12" s="492" cm="1">
        <f t="array" ref="J12">INDEX(WORLDCUP!$AT$6:$AT$97,MATCH(L12,WORLDCUP!$AI$6:$AI$97,0))</f>
        <v>2</v>
      </c>
      <c r="K12" s="493" t="str" cm="1">
        <f t="array" ref="K12">INDEX(WORLDCUP!$AR$6:$AR$97,MATCH(L12,WORLDCUP!$AI$6:$AI$97,0))&amp;"-"&amp;INDEX(WORLDCUP!$AS$6:$AS$97,MATCH(L12,WORLDCUP!$AI$6:$AI$97,0))</f>
        <v>4-2</v>
      </c>
      <c r="L12" s="494" t="s">
        <v>123</v>
      </c>
      <c r="M12" s="462">
        <v>13</v>
      </c>
      <c r="N12" s="561"/>
      <c r="O12" s="487" t="str" cm="1">
        <f t="array" ref="O12">MID(INDEX(WORLDCUP!$AA$4:$AA$147,MATCH(M12,WORLDCUP!$AH$4:$AH$147,0)),1,3)</f>
        <v>Ara</v>
      </c>
      <c r="P12" s="114" cm="1">
        <f t="array" ref="P12">IF(ISBLANK(INDEX(WORLDCUP!$AC$4:$AC$147,MATCH(M12,WORLDCUP!$AH$4:$AH$147,0))),"",INDEX(WORLDCUP!$AC$4:$AC$147,MATCH(M12,WORLDCUP!$AH$4:$AH$147,0)))</f>
        <v>1</v>
      </c>
      <c r="Q12" s="114" cm="1">
        <f t="array" ref="Q12">IF(ISBLANK(INDEX(WORLDCUP!$AD$4:$AD$147,MATCH(M12,WORLDCUP!$AH$4:$AH$147,0))),"",INDEX(WORLDCUP!$AD$4:$AD$147,MATCH(M12,WORLDCUP!$AH$4:$AH$147,0)))</f>
        <v>4</v>
      </c>
      <c r="R12" s="488" t="str" cm="1">
        <f t="array" ref="R12">MID(INDEX(WORLDCUP!$AF$4:$AF$147,MATCH(M12,WORLDCUP!$AH$4:$AH$147,0)),1,3)</f>
        <v>Uru</v>
      </c>
      <c r="S12" s="489">
        <v>1</v>
      </c>
      <c r="T12" s="490" t="str" cm="1">
        <f t="array" ref="T12">MID(INDEX(WORLDCUP!$AL$6:$AL$97,MATCH(X12,WORLDCUP!$AI$6:$AI$97,0)),1,3)</f>
        <v>Esp</v>
      </c>
      <c r="U12" s="491" cm="1">
        <f t="array" ref="U12">INDEX(WORLDCUP!$AM$6:$AM$97,MATCH(X12,WORLDCUP!$AI$6:$AI$97,0))</f>
        <v>9</v>
      </c>
      <c r="V12" s="492" cm="1">
        <f t="array" ref="V12">INDEX(WORLDCUP!$AT$6:$AT$97,MATCH(X12,WORLDCUP!$AI$6:$AI$97,0))</f>
        <v>9</v>
      </c>
      <c r="W12" s="493" t="str" cm="1">
        <f t="array" ref="W12">INDEX(WORLDCUP!$AR$6:$AR$97,MATCH(X12,WORLDCUP!$AI$6:$AI$97,0))&amp;"-"&amp;INDEX(WORLDCUP!$AS$6:$AS$97,MATCH(X12,WORLDCUP!$AI$6:$AI$97,0))</f>
        <v>10-1</v>
      </c>
      <c r="X12" s="496" t="s">
        <v>175</v>
      </c>
      <c r="Y12" s="465">
        <v>75</v>
      </c>
      <c r="Z12" s="466" t="s">
        <v>158</v>
      </c>
      <c r="AA12" s="467" t="str" cm="1">
        <f t="array" ref="AA12">MID(INDEX(WORLDCUP!$AA$101:$AA$147,MATCH(Y12,WORLDCUP!$Z$101:$Z$147,0)),1,3)</f>
        <v>Paí</v>
      </c>
      <c r="AB12" s="468" t="str" cm="1">
        <f t="array" ref="AB12">IF(ISBLANK(INDEX(WORLDCUP!$AC$101:$AC$147,MATCH(Y12,WORLDCUP!$Z$101:$Z$147,0))),"",INDEX(WORLDCUP!$AC$101:$AC$147,MATCH(Y12,WORLDCUP!$Z$101:$Z$147,0)))</f>
        <v/>
      </c>
      <c r="AC12" s="562" t="str" cm="1">
        <f t="array" ref="AC12">IF(ISBLANK(INDEX(WORLDCUP!$AB$101:$AB$147,MATCH(Y12,WORLDCUP!$Z$101:$Z$147,0))),"","( "&amp;INDEX(WORLDCUP!$AB$101:$AB$147,MATCH(Y12,WORLDCUP!$Z$101:$Z$147,0))&amp;" )")</f>
        <v/>
      </c>
      <c r="AD12" s="518"/>
      <c r="AE12" s="563"/>
      <c r="AF12" s="563"/>
      <c r="AG12" s="471"/>
      <c r="AH12" s="281"/>
      <c r="AI12" s="502"/>
      <c r="AJ12" s="502"/>
      <c r="AK12" s="551"/>
      <c r="AL12" s="543"/>
      <c r="AM12" s="564"/>
      <c r="AN12" s="564"/>
      <c r="AO12" s="473"/>
      <c r="AP12" s="281"/>
      <c r="AQ12" s="503"/>
      <c r="AR12" s="503"/>
      <c r="AS12" s="503"/>
      <c r="AT12" s="281"/>
      <c r="AU12" s="475"/>
      <c r="AV12" s="475"/>
      <c r="AW12" s="475"/>
      <c r="AX12" s="281"/>
      <c r="AY12" s="8"/>
      <c r="AZ12" s="8"/>
      <c r="BA12" s="8"/>
      <c r="BB12" s="8"/>
      <c r="BC12" s="8"/>
      <c r="BD12" s="8"/>
      <c r="BE12" s="8"/>
      <c r="BF12" s="476"/>
      <c r="BG12" s="505" t="s">
        <v>131</v>
      </c>
      <c r="BH12" s="506" cm="1">
        <f t="array" ref="BH12">1-SUM(BI12:BO12)</f>
        <v>0</v>
      </c>
      <c r="BI12" s="506" cm="1">
        <f t="array" ref="BI12">COUNTIF(Pool!$C$130:$C$161,BG12)-BJ12-BK12-BL12-BM12-BN12-BO12</f>
        <v>1</v>
      </c>
      <c r="BJ12" s="507" cm="1">
        <f t="array" ref="BJ12">COUNTIF(Pool!$C$182:$C$197,BG12)-BK12-BL12-BM12-BN12-BO12</f>
        <v>0</v>
      </c>
      <c r="BK12" s="508" cm="1">
        <f t="array" ref="BK12">COUNTIF(Pool!$C$210:$C$217,BG12)-BL12-BM12-BN12-BO12</f>
        <v>0</v>
      </c>
      <c r="BL12" s="508" cm="1">
        <f t="array" ref="BL12">COUNTIF(Pool!$C$226:$C$229,BG12)-BM12-BN12-BO12</f>
        <v>0</v>
      </c>
      <c r="BM12" s="506" cm="1">
        <f t="array" ref="BM12">COUNTIF(Pool!$C$252,BG12)</f>
        <v>0</v>
      </c>
      <c r="BN12" s="506" cm="1">
        <f t="array" ref="BN12">COUNTIF(Pool!$C$251,BG12)</f>
        <v>0</v>
      </c>
      <c r="BO12" s="509" cm="1">
        <f t="array" ref="BO12">COUNTIF(Pool!$C$250,BG12)</f>
        <v>0</v>
      </c>
    </row>
    <row r="13" spans="1:67" ht="16" customHeight="1" x14ac:dyDescent="0.2">
      <c r="A13" s="451">
        <v>26</v>
      </c>
      <c r="B13" s="560"/>
      <c r="C13" s="487" t="str" cm="1">
        <f t="array" ref="C13">MID(INDEX(WORLDCUP!$AA$4:$AA$147,MATCH(A13,WORLDCUP!$AH$4:$AH$147,0)),1,3)</f>
        <v>Sui</v>
      </c>
      <c r="D13" s="114" cm="1">
        <f t="array" ref="D13">IF(ISBLANK(INDEX(WORLDCUP!$AC$4:$AC$147,MATCH(A13,WORLDCUP!$AH$4:$AH$147,0))),"",INDEX(WORLDCUP!$AC$4:$AC$147,MATCH(A13,WORLDCUP!$AH$4:$AH$147,0)))</f>
        <v>3</v>
      </c>
      <c r="E13" s="114" cm="1">
        <f t="array" ref="E13">IF(ISBLANK(INDEX(WORLDCUP!$AD$4:$AD$147,MATCH(A13,WORLDCUP!$AH$4:$AH$147,0))),"",INDEX(WORLDCUP!$AD$4:$AD$147,MATCH(A13,WORLDCUP!$AH$4:$AH$147,0)))</f>
        <v>1</v>
      </c>
      <c r="F13" s="488" t="str" cm="1">
        <f t="array" ref="F13">MID(INDEX(WORLDCUP!$AF$4:$AF$147,MATCH(A13,WORLDCUP!$AH$4:$AH$147,0)),1,3)</f>
        <v>Bos</v>
      </c>
      <c r="G13" s="510">
        <v>2</v>
      </c>
      <c r="H13" s="511" t="str" cm="1">
        <f t="array" ref="H13">MID(INDEX(WORLDCUP!$AL$6:$AL$97,MATCH(L13,WORLDCUP!$AI$6:$AI$97,0)),1,3)</f>
        <v>Bos</v>
      </c>
      <c r="I13" s="143" cm="1">
        <f t="array" ref="I13">INDEX(WORLDCUP!$AM$6:$AM$97,MATCH(L13,WORLDCUP!$AI$6:$AI$97,0))</f>
        <v>0</v>
      </c>
      <c r="J13" s="144" cm="1">
        <f t="array" ref="J13">INDEX(WORLDCUP!$AT$6:$AT$97,MATCH(L13,WORLDCUP!$AI$6:$AI$97,0))</f>
        <v>-4</v>
      </c>
      <c r="K13" s="512" t="str" cm="1">
        <f t="array" ref="K13">INDEX(WORLDCUP!$AR$6:$AR$97,MATCH(L13,WORLDCUP!$AI$6:$AI$97,0))&amp;"-"&amp;INDEX(WORLDCUP!$AS$6:$AS$97,MATCH(L13,WORLDCUP!$AI$6:$AI$97,0))</f>
        <v>1-5</v>
      </c>
      <c r="L13" s="494" t="s">
        <v>125</v>
      </c>
      <c r="M13" s="462">
        <v>38</v>
      </c>
      <c r="N13" s="561"/>
      <c r="O13" s="487" t="str" cm="1">
        <f t="array" ref="O13">MID(INDEX(WORLDCUP!$AA$4:$AA$147,MATCH(M13,WORLDCUP!$AH$4:$AH$147,0)),1,3)</f>
        <v>Esp</v>
      </c>
      <c r="P13" s="114" cm="1">
        <f t="array" ref="P13">IF(ISBLANK(INDEX(WORLDCUP!$AC$4:$AC$147,MATCH(M13,WORLDCUP!$AH$4:$AH$147,0))),"",INDEX(WORLDCUP!$AC$4:$AC$147,MATCH(M13,WORLDCUP!$AH$4:$AH$147,0)))</f>
        <v>3</v>
      </c>
      <c r="Q13" s="114" cm="1">
        <f t="array" ref="Q13">IF(ISBLANK(INDEX(WORLDCUP!$AD$4:$AD$147,MATCH(M13,WORLDCUP!$AH$4:$AH$147,0))),"",INDEX(WORLDCUP!$AD$4:$AD$147,MATCH(M13,WORLDCUP!$AH$4:$AH$147,0)))</f>
        <v>0</v>
      </c>
      <c r="R13" s="488" t="str" cm="1">
        <f t="array" ref="R13">MID(INDEX(WORLDCUP!$AF$4:$AF$147,MATCH(M13,WORLDCUP!$AH$4:$AH$147,0)),1,3)</f>
        <v>Ara</v>
      </c>
      <c r="S13" s="510">
        <v>2</v>
      </c>
      <c r="T13" s="511" t="str" cm="1">
        <f t="array" ref="T13">MID(INDEX(WORLDCUP!$AL$6:$AL$97,MATCH(X13,WORLDCUP!$AI$6:$AI$97,0)),1,3)</f>
        <v>Cab</v>
      </c>
      <c r="U13" s="143" cm="1">
        <f t="array" ref="U13">INDEX(WORLDCUP!$AM$6:$AM$97,MATCH(X13,WORLDCUP!$AI$6:$AI$97,0))</f>
        <v>0</v>
      </c>
      <c r="V13" s="144" cm="1">
        <f t="array" ref="V13">INDEX(WORLDCUP!$AT$6:$AT$97,MATCH(X13,WORLDCUP!$AI$6:$AI$97,0))</f>
        <v>-9</v>
      </c>
      <c r="W13" s="512" t="str" cm="1">
        <f t="array" ref="W13">INDEX(WORLDCUP!$AR$6:$AR$97,MATCH(X13,WORLDCUP!$AI$6:$AI$97,0))&amp;"-"&amp;INDEX(WORLDCUP!$AS$6:$AS$97,MATCH(X13,WORLDCUP!$AI$6:$AI$97,0))</f>
        <v>0-9</v>
      </c>
      <c r="X13" s="496" t="s">
        <v>177</v>
      </c>
      <c r="Y13" s="465">
        <v>75</v>
      </c>
      <c r="Z13" s="466" t="s">
        <v>134</v>
      </c>
      <c r="AA13" s="467" t="str" cm="1">
        <f t="array" ref="AA13">MID(INDEX(WORLDCUP!$AF$101:$AF$147,MATCH(Y13,WORLDCUP!$Z$101:$Z$147,0)),1,3)</f>
        <v>2C</v>
      </c>
      <c r="AB13" s="468" t="str" cm="1">
        <f t="array" ref="AB13">IF(ISBLANK(INDEX(WORLDCUP!$AD$101:$AD$147,MATCH(Y13,WORLDCUP!$Z$101:$Z$147,0))),"",INDEX(WORLDCUP!$AD$101:$AD$147,MATCH(Y13,WORLDCUP!$Z$101:$Z$147,0)))</f>
        <v/>
      </c>
      <c r="AC13" s="565" t="str" cm="1">
        <f t="array" ref="AC13">IF(ISBLANK(INDEX(WORLDCUP!$AE$101:$AE$147,MATCH(Y13,WORLDCUP!$Z$101:$Z$147,0))),"","( "&amp;INDEX(WORLDCUP!$AE$101:$AE$147,MATCH(Y13,WORLDCUP!$Z$101:$Z$147,0))&amp;" )")</f>
        <v/>
      </c>
      <c r="AD13" s="281"/>
      <c r="AE13" s="471"/>
      <c r="AF13" s="471"/>
      <c r="AG13" s="471"/>
      <c r="AH13" s="281"/>
      <c r="AI13" s="502"/>
      <c r="AJ13" s="502"/>
      <c r="AK13" s="551"/>
      <c r="AL13" s="498">
        <v>101</v>
      </c>
      <c r="AM13" s="566" t="str" cm="1">
        <f t="array" ref="AM13">MID(INDEX(WORLDCUP!$AA$101:$AA$147,MATCH(AL13,WORLDCUP!$Z$101:$Z$147,0)),1,3)</f>
        <v>W97</v>
      </c>
      <c r="AN13" s="567" t="str" cm="1">
        <f t="array" ref="AN13">IF(ISBLANK(INDEX(WORLDCUP!$AC$101:$AC$147,MATCH(AL13,WORLDCUP!$Z$101:$Z$147,0))),"",INDEX(WORLDCUP!$AC$101:$AC$147,MATCH(AL13,WORLDCUP!$Z$101:$Z$147,0)))</f>
        <v/>
      </c>
      <c r="AO13" s="568" t="str" cm="1">
        <f t="array" ref="AO13">IF(ISBLANK(INDEX(WORLDCUP!$AB$101:$AB$147,MATCH(AL13,WORLDCUP!$Z$101:$Z$147,0))),"","( "&amp;INDEX(WORLDCUP!$AB$101:$AB$147,MATCH(AL13,WORLDCUP!$Z$101:$Z$147,0))&amp;" )")</f>
        <v/>
      </c>
      <c r="AP13" s="281"/>
      <c r="AQ13" s="503"/>
      <c r="AR13" s="503"/>
      <c r="AS13" s="503"/>
      <c r="AT13" s="281"/>
      <c r="AU13" s="475"/>
      <c r="AV13" s="475"/>
      <c r="AW13" s="475"/>
      <c r="AX13" s="281"/>
      <c r="AY13" s="8"/>
      <c r="AZ13" s="8"/>
      <c r="BA13" s="8"/>
      <c r="BB13" s="8"/>
      <c r="BC13" s="8"/>
      <c r="BD13" s="8"/>
      <c r="BE13" s="8"/>
      <c r="BF13" s="476"/>
      <c r="BG13" s="505" t="s">
        <v>176</v>
      </c>
      <c r="BH13" s="506" cm="1">
        <f t="array" ref="BH13">1-SUM(BI13:BO13)</f>
        <v>1</v>
      </c>
      <c r="BI13" s="506" cm="1">
        <f t="array" ref="BI13">COUNTIF(Pool!$C$130:$C$161,BG13)-BJ13-BK13-BL13-BM13-BN13-BO13</f>
        <v>0</v>
      </c>
      <c r="BJ13" s="507" cm="1">
        <f t="array" ref="BJ13">COUNTIF(Pool!$C$182:$C$197,BG13)-BK13-BL13-BM13-BN13-BO13</f>
        <v>0</v>
      </c>
      <c r="BK13" s="508" cm="1">
        <f t="array" ref="BK13">COUNTIF(Pool!$C$210:$C$217,BG13)-BL13-BM13-BN13-BO13</f>
        <v>0</v>
      </c>
      <c r="BL13" s="508" cm="1">
        <f t="array" ref="BL13">COUNTIF(Pool!$C$226:$C$229,BG13)-BM13-BN13-BO13</f>
        <v>0</v>
      </c>
      <c r="BM13" s="506" cm="1">
        <f t="array" ref="BM13">COUNTIF(Pool!$C$252,BG13)</f>
        <v>0</v>
      </c>
      <c r="BN13" s="506" cm="1">
        <f t="array" ref="BN13">COUNTIF(Pool!$C$251,BG13)</f>
        <v>0</v>
      </c>
      <c r="BO13" s="509" cm="1">
        <f t="array" ref="BO13">COUNTIF(Pool!$C$250,BG13)</f>
        <v>0</v>
      </c>
    </row>
    <row r="14" spans="1:67" ht="15" customHeight="1" x14ac:dyDescent="0.2">
      <c r="A14" s="451">
        <v>27</v>
      </c>
      <c r="B14" s="560"/>
      <c r="C14" s="487" t="str" cm="1">
        <f t="array" ref="C14">MID(INDEX(WORLDCUP!$AA$4:$AA$147,MATCH(A14,WORLDCUP!$AH$4:$AH$147,0)),1,3)</f>
        <v>Can</v>
      </c>
      <c r="D14" s="114" cm="1">
        <f t="array" ref="D14">IF(ISBLANK(INDEX(WORLDCUP!$AC$4:$AC$147,MATCH(A14,WORLDCUP!$AH$4:$AH$147,0))),"",INDEX(WORLDCUP!$AC$4:$AC$147,MATCH(A14,WORLDCUP!$AH$4:$AH$147,0)))</f>
        <v>2</v>
      </c>
      <c r="E14" s="114" cm="1">
        <f t="array" ref="E14">IF(ISBLANK(INDEX(WORLDCUP!$AD$4:$AD$147,MATCH(A14,WORLDCUP!$AH$4:$AH$147,0))),"",INDEX(WORLDCUP!$AD$4:$AD$147,MATCH(A14,WORLDCUP!$AH$4:$AH$147,0)))</f>
        <v>1</v>
      </c>
      <c r="F14" s="488" t="str" cm="1">
        <f t="array" ref="F14">MID(INDEX(WORLDCUP!$AF$4:$AF$147,MATCH(A14,WORLDCUP!$AH$4:$AH$147,0)),1,3)</f>
        <v>Cat</v>
      </c>
      <c r="G14" s="510">
        <v>3</v>
      </c>
      <c r="H14" s="511" t="str" cm="1">
        <f t="array" ref="H14">MID(INDEX(WORLDCUP!$AL$6:$AL$97,MATCH(L14,WORLDCUP!$AI$6:$AI$97,0)),1,3)</f>
        <v>Cat</v>
      </c>
      <c r="I14" s="143" cm="1">
        <f t="array" ref="I14">INDEX(WORLDCUP!$AM$6:$AM$97,MATCH(L14,WORLDCUP!$AI$6:$AI$97,0))</f>
        <v>4</v>
      </c>
      <c r="J14" s="144" cm="1">
        <f t="array" ref="J14">INDEX(WORLDCUP!$AT$6:$AT$97,MATCH(L14,WORLDCUP!$AI$6:$AI$97,0))</f>
        <v>0</v>
      </c>
      <c r="K14" s="512" t="str" cm="1">
        <f t="array" ref="K14">INDEX(WORLDCUP!$AR$6:$AR$97,MATCH(L14,WORLDCUP!$AI$6:$AI$97,0))&amp;"-"&amp;INDEX(WORLDCUP!$AS$6:$AS$97,MATCH(L14,WORLDCUP!$AI$6:$AI$97,0))</f>
        <v>3-3</v>
      </c>
      <c r="L14" s="494" t="s">
        <v>127</v>
      </c>
      <c r="M14" s="462">
        <v>37</v>
      </c>
      <c r="N14" s="561"/>
      <c r="O14" s="487" t="str" cm="1">
        <f t="array" ref="O14">MID(INDEX(WORLDCUP!$AA$4:$AA$147,MATCH(M14,WORLDCUP!$AH$4:$AH$147,0)),1,3)</f>
        <v>Uru</v>
      </c>
      <c r="P14" s="114" cm="1">
        <f t="array" ref="P14">IF(ISBLANK(INDEX(WORLDCUP!$AC$4:$AC$147,MATCH(M14,WORLDCUP!$AH$4:$AH$147,0))),"",INDEX(WORLDCUP!$AC$4:$AC$147,MATCH(M14,WORLDCUP!$AH$4:$AH$147,0)))</f>
        <v>3</v>
      </c>
      <c r="Q14" s="114" cm="1">
        <f t="array" ref="Q14">IF(ISBLANK(INDEX(WORLDCUP!$AD$4:$AD$147,MATCH(M14,WORLDCUP!$AH$4:$AH$147,0))),"",INDEX(WORLDCUP!$AD$4:$AD$147,MATCH(M14,WORLDCUP!$AH$4:$AH$147,0)))</f>
        <v>0</v>
      </c>
      <c r="R14" s="488" t="str" cm="1">
        <f t="array" ref="R14">MID(INDEX(WORLDCUP!$AF$4:$AF$147,MATCH(M14,WORLDCUP!$AH$4:$AH$147,0)),1,3)</f>
        <v>Cab</v>
      </c>
      <c r="S14" s="510">
        <v>3</v>
      </c>
      <c r="T14" s="511" t="str" cm="1">
        <f t="array" ref="T14">MID(INDEX(WORLDCUP!$AL$6:$AL$97,MATCH(X14,WORLDCUP!$AI$6:$AI$97,0)),1,3)</f>
        <v>Ara</v>
      </c>
      <c r="U14" s="143" cm="1">
        <f t="array" ref="U14">INDEX(WORLDCUP!$AM$6:$AM$97,MATCH(X14,WORLDCUP!$AI$6:$AI$97,0))</f>
        <v>3</v>
      </c>
      <c r="V14" s="144" cm="1">
        <f t="array" ref="V14">INDEX(WORLDCUP!$AT$6:$AT$97,MATCH(X14,WORLDCUP!$AI$6:$AI$97,0))</f>
        <v>-5</v>
      </c>
      <c r="W14" s="512" t="str" cm="1">
        <f t="array" ref="W14">INDEX(WORLDCUP!$AR$6:$AR$97,MATCH(X14,WORLDCUP!$AI$6:$AI$97,0))&amp;"-"&amp;INDEX(WORLDCUP!$AS$6:$AS$97,MATCH(X14,WORLDCUP!$AI$6:$AI$97,0))</f>
        <v>2-7</v>
      </c>
      <c r="X14" s="496" t="s">
        <v>179</v>
      </c>
      <c r="Y14" s="513"/>
      <c r="Z14" s="249"/>
      <c r="AA14" s="540"/>
      <c r="AB14" s="540"/>
      <c r="AC14" s="541"/>
      <c r="AD14" s="281"/>
      <c r="AE14" s="471"/>
      <c r="AF14" s="471"/>
      <c r="AG14" s="471"/>
      <c r="AH14" s="281"/>
      <c r="AI14" s="502"/>
      <c r="AJ14" s="502"/>
      <c r="AK14" s="551"/>
      <c r="AL14" s="516">
        <v>101</v>
      </c>
      <c r="AM14" s="566" t="str" cm="1">
        <f t="array" ref="AM14">MID(INDEX(WORLDCUP!$AF$101:$AF$147,MATCH(AL14,WORLDCUP!$Z$101:$Z$147,0)),1,3)</f>
        <v>W98</v>
      </c>
      <c r="AN14" s="567" t="str" cm="1">
        <f t="array" ref="AN14">IF(ISBLANK(INDEX(WORLDCUP!$AD$101:$AD$147,MATCH(AL14,WORLDCUP!$Z$101:$Z$147,0))),"",INDEX(WORLDCUP!$AD$101:$AD$147,MATCH(AL14,WORLDCUP!$Z$101:$Z$147,0)))</f>
        <v/>
      </c>
      <c r="AO14" s="569" t="str" cm="1">
        <f t="array" ref="AO14">IF(ISBLANK(INDEX(WORLDCUP!$AE$101:$AE$147,MATCH(AL14,WORLDCUP!$Z$101:$Z$147,0))),"","( "&amp;INDEX(WORLDCUP!$AE$101:$AE$147,MATCH(AL14,WORLDCUP!$Z$101:$Z$147,0))&amp;" )")</f>
        <v/>
      </c>
      <c r="AP14" s="518"/>
      <c r="AQ14" s="503"/>
      <c r="AR14" s="503"/>
      <c r="AS14" s="503"/>
      <c r="AT14" s="281"/>
      <c r="AU14" s="475"/>
      <c r="AV14" s="475"/>
      <c r="AW14" s="475"/>
      <c r="AX14" s="281"/>
      <c r="AY14" s="8"/>
      <c r="AZ14" s="8"/>
      <c r="BA14" s="8"/>
      <c r="BB14" s="8"/>
      <c r="BC14" s="8"/>
      <c r="BD14" s="8"/>
      <c r="BE14" s="8"/>
      <c r="BF14" s="476"/>
      <c r="BG14" s="505" t="s">
        <v>122</v>
      </c>
      <c r="BH14" s="506" cm="1">
        <f t="array" ref="BH14">1-SUM(BI14:BO14)</f>
        <v>0</v>
      </c>
      <c r="BI14" s="506" cm="1">
        <f t="array" ref="BI14">COUNTIF(Pool!$C$130:$C$161,BG14)-BJ14-BK14-BL14-BM14-BN14-BO14</f>
        <v>1</v>
      </c>
      <c r="BJ14" s="507" cm="1">
        <f t="array" ref="BJ14">COUNTIF(Pool!$C$182:$C$197,BG14)-BK14-BL14-BM14-BN14-BO14</f>
        <v>0</v>
      </c>
      <c r="BK14" s="508" cm="1">
        <f t="array" ref="BK14">COUNTIF(Pool!$C$210:$C$217,BG14)-BL14-BM14-BN14-BO14</f>
        <v>0</v>
      </c>
      <c r="BL14" s="508" cm="1">
        <f t="array" ref="BL14">COUNTIF(Pool!$C$226:$C$229,BG14)-BM14-BN14-BO14</f>
        <v>0</v>
      </c>
      <c r="BM14" s="506" cm="1">
        <f t="array" ref="BM14">COUNTIF(Pool!$C$252,BG14)</f>
        <v>0</v>
      </c>
      <c r="BN14" s="506" cm="1">
        <f t="array" ref="BN14">COUNTIF(Pool!$C$251,BG14)</f>
        <v>0</v>
      </c>
      <c r="BO14" s="509" cm="1">
        <f t="array" ref="BO14">COUNTIF(Pool!$C$250,BG14)</f>
        <v>0</v>
      </c>
    </row>
    <row r="15" spans="1:67" ht="16" customHeight="1" x14ac:dyDescent="0.2">
      <c r="A15" s="451">
        <v>51</v>
      </c>
      <c r="B15" s="560"/>
      <c r="C15" s="487" t="str" cm="1">
        <f t="array" ref="C15">MID(INDEX(WORLDCUP!$AA$4:$AA$147,MATCH(A15,WORLDCUP!$AH$4:$AH$147,0)),1,3)</f>
        <v>Sui</v>
      </c>
      <c r="D15" s="114" cm="1">
        <f t="array" ref="D15">IF(ISBLANK(INDEX(WORLDCUP!$AC$4:$AC$147,MATCH(A15,WORLDCUP!$AH$4:$AH$147,0))),"",INDEX(WORLDCUP!$AC$4:$AC$147,MATCH(A15,WORLDCUP!$AH$4:$AH$147,0)))</f>
        <v>1</v>
      </c>
      <c r="E15" s="114" cm="1">
        <f t="array" ref="E15">IF(ISBLANK(INDEX(WORLDCUP!$AD$4:$AD$147,MATCH(A15,WORLDCUP!$AH$4:$AH$147,0))),"",INDEX(WORLDCUP!$AD$4:$AD$147,MATCH(A15,WORLDCUP!$AH$4:$AH$147,0)))</f>
        <v>1</v>
      </c>
      <c r="F15" s="488" t="str" cm="1">
        <f t="array" ref="F15">MID(INDEX(WORLDCUP!$AF$4:$AF$147,MATCH(A15,WORLDCUP!$AH$4:$AH$147,0)),1,3)</f>
        <v>Can</v>
      </c>
      <c r="G15" s="510">
        <v>4</v>
      </c>
      <c r="H15" s="523" t="str" cm="1">
        <f t="array" ref="H15">MID(INDEX(WORLDCUP!$AL$6:$AL$97,MATCH(L15,WORLDCUP!$AI$6:$AI$97,0)),1,3)</f>
        <v>Sui</v>
      </c>
      <c r="I15" s="524" cm="1">
        <f t="array" ref="I15">INDEX(WORLDCUP!$AM$6:$AM$97,MATCH(L15,WORLDCUP!$AI$6:$AI$97,0))</f>
        <v>5</v>
      </c>
      <c r="J15" s="525" cm="1">
        <f t="array" ref="J15">INDEX(WORLDCUP!$AT$6:$AT$97,MATCH(L15,WORLDCUP!$AI$6:$AI$97,0))</f>
        <v>2</v>
      </c>
      <c r="K15" s="526" t="str" cm="1">
        <f t="array" ref="K15">INDEX(WORLDCUP!$AR$6:$AR$97,MATCH(L15,WORLDCUP!$AI$6:$AI$97,0))&amp;"-"&amp;INDEX(WORLDCUP!$AS$6:$AS$97,MATCH(L15,WORLDCUP!$AI$6:$AI$97,0))</f>
        <v>5-3</v>
      </c>
      <c r="L15" s="494" t="s">
        <v>129</v>
      </c>
      <c r="M15" s="462">
        <v>65</v>
      </c>
      <c r="N15" s="561"/>
      <c r="O15" s="487" t="str" cm="1">
        <f t="array" ref="O15">MID(INDEX(WORLDCUP!$AA$4:$AA$147,MATCH(M15,WORLDCUP!$AH$4:$AH$147,0)),1,3)</f>
        <v>Cab</v>
      </c>
      <c r="P15" s="114" cm="1">
        <f t="array" ref="P15">IF(ISBLANK(INDEX(WORLDCUP!$AC$4:$AC$147,MATCH(M15,WORLDCUP!$AH$4:$AH$147,0))),"",INDEX(WORLDCUP!$AC$4:$AC$147,MATCH(M15,WORLDCUP!$AH$4:$AH$147,0)))</f>
        <v>0</v>
      </c>
      <c r="Q15" s="114" cm="1">
        <f t="array" ref="Q15">IF(ISBLANK(INDEX(WORLDCUP!$AD$4:$AD$147,MATCH(M15,WORLDCUP!$AH$4:$AH$147,0))),"",INDEX(WORLDCUP!$AD$4:$AD$147,MATCH(M15,WORLDCUP!$AH$4:$AH$147,0)))</f>
        <v>1</v>
      </c>
      <c r="R15" s="488" t="str" cm="1">
        <f t="array" ref="R15">MID(INDEX(WORLDCUP!$AF$4:$AF$147,MATCH(M15,WORLDCUP!$AH$4:$AH$147,0)),1,3)</f>
        <v>Ara</v>
      </c>
      <c r="S15" s="510">
        <v>4</v>
      </c>
      <c r="T15" s="523" t="str" cm="1">
        <f t="array" ref="T15">MID(INDEX(WORLDCUP!$AL$6:$AL$97,MATCH(X15,WORLDCUP!$AI$6:$AI$97,0)),1,3)</f>
        <v>Uru</v>
      </c>
      <c r="U15" s="524" cm="1">
        <f t="array" ref="U15">INDEX(WORLDCUP!$AM$6:$AM$97,MATCH(X15,WORLDCUP!$AI$6:$AI$97,0))</f>
        <v>6</v>
      </c>
      <c r="V15" s="525" cm="1">
        <f t="array" ref="V15">INDEX(WORLDCUP!$AT$6:$AT$97,MATCH(X15,WORLDCUP!$AI$6:$AI$97,0))</f>
        <v>5</v>
      </c>
      <c r="W15" s="526" t="str" cm="1">
        <f t="array" ref="W15">INDEX(WORLDCUP!$AR$6:$AR$97,MATCH(X15,WORLDCUP!$AI$6:$AI$97,0))&amp;"-"&amp;INDEX(WORLDCUP!$AS$6:$AS$97,MATCH(X15,WORLDCUP!$AI$6:$AI$97,0))</f>
        <v>8-3</v>
      </c>
      <c r="X15" s="496" t="s">
        <v>181</v>
      </c>
      <c r="Y15" s="465">
        <v>83</v>
      </c>
      <c r="Z15" s="466" t="s">
        <v>203</v>
      </c>
      <c r="AA15" s="467" t="str" cm="1">
        <f t="array" ref="AA15">MID(INDEX(WORLDCUP!$AA$101:$AA$147,MATCH(Y15,WORLDCUP!$Z$101:$Z$147,0)),1,3)</f>
        <v xml:space="preserve">RD </v>
      </c>
      <c r="AB15" s="468" t="str" cm="1">
        <f t="array" ref="AB15">IF(ISBLANK(INDEX(WORLDCUP!$AC$101:$AC$147,MATCH(Y15,WORLDCUP!$Z$101:$Z$147,0))),"",INDEX(WORLDCUP!$AC$101:$AC$147,MATCH(Y15,WORLDCUP!$Z$101:$Z$147,0)))</f>
        <v/>
      </c>
      <c r="AC15" s="549" t="str" cm="1">
        <f t="array" ref="AC15">IF(ISBLANK(INDEX(WORLDCUP!$AB$101:$AB$147,MATCH(Y15,WORLDCUP!$Z$101:$Z$147,0))),"","( "&amp;INDEX(WORLDCUP!$AB$101:$AB$147,MATCH(Y15,WORLDCUP!$Z$101:$Z$147,0))&amp;" )")</f>
        <v/>
      </c>
      <c r="AD15" s="73"/>
      <c r="AE15" s="470"/>
      <c r="AF15" s="470"/>
      <c r="AG15" s="471"/>
      <c r="AH15" s="281"/>
      <c r="AI15" s="502"/>
      <c r="AJ15" s="502"/>
      <c r="AK15" s="551"/>
      <c r="AL15" s="543"/>
      <c r="AM15" s="570"/>
      <c r="AN15" s="570"/>
      <c r="AO15" s="571"/>
      <c r="AP15" s="543"/>
      <c r="AQ15" s="503"/>
      <c r="AR15" s="503"/>
      <c r="AS15" s="503"/>
      <c r="AT15" s="281"/>
      <c r="AU15" s="475"/>
      <c r="AV15" s="475"/>
      <c r="AW15" s="475"/>
      <c r="AX15" s="281"/>
      <c r="AY15" s="8"/>
      <c r="AZ15" s="8"/>
      <c r="BA15" s="8"/>
      <c r="BB15" s="8"/>
      <c r="BC15" s="8"/>
      <c r="BD15" s="8"/>
      <c r="BE15" s="8"/>
      <c r="BF15" s="476"/>
      <c r="BG15" s="505" t="s">
        <v>126</v>
      </c>
      <c r="BH15" s="506" cm="1">
        <f t="array" ref="BH15">1-SUM(BI15:BO15)</f>
        <v>1</v>
      </c>
      <c r="BI15" s="506" cm="1">
        <f t="array" ref="BI15">COUNTIF(Pool!$C$130:$C$161,BG15)-BJ15-BK15-BL15-BM15-BN15-BO15</f>
        <v>0</v>
      </c>
      <c r="BJ15" s="507" cm="1">
        <f t="array" ref="BJ15">COUNTIF(Pool!$C$182:$C$197,BG15)-BK15-BL15-BM15-BN15-BO15</f>
        <v>0</v>
      </c>
      <c r="BK15" s="508" cm="1">
        <f t="array" ref="BK15">COUNTIF(Pool!$C$210:$C$217,BG15)-BL15-BM15-BN15-BO15</f>
        <v>0</v>
      </c>
      <c r="BL15" s="508" cm="1">
        <f t="array" ref="BL15">COUNTIF(Pool!$C$226:$C$229,BG15)-BM15-BN15-BO15</f>
        <v>0</v>
      </c>
      <c r="BM15" s="506" cm="1">
        <f t="array" ref="BM15">COUNTIF(Pool!$C$252,BG15)</f>
        <v>0</v>
      </c>
      <c r="BN15" s="506" cm="1">
        <f t="array" ref="BN15">COUNTIF(Pool!$C$251,BG15)</f>
        <v>0</v>
      </c>
      <c r="BO15" s="509" cm="1">
        <f t="array" ref="BO15">COUNTIF(Pool!$C$250,BG15)</f>
        <v>0</v>
      </c>
    </row>
    <row r="16" spans="1:67" ht="16" customHeight="1" x14ac:dyDescent="0.2">
      <c r="A16" s="451">
        <v>52</v>
      </c>
      <c r="B16" s="572"/>
      <c r="C16" s="533" t="str" cm="1">
        <f t="array" ref="C16">MID(INDEX(WORLDCUP!$AA$4:$AA$147,MATCH(A16,WORLDCUP!$AH$4:$AH$147,0)),1,3)</f>
        <v>Bos</v>
      </c>
      <c r="D16" s="153" cm="1">
        <f t="array" ref="D16">IF(ISBLANK(INDEX(WORLDCUP!$AC$4:$AC$147,MATCH(A16,WORLDCUP!$AH$4:$AH$147,0))),"",INDEX(WORLDCUP!$AC$4:$AC$147,MATCH(A16,WORLDCUP!$AH$4:$AH$147,0)))</f>
        <v>0</v>
      </c>
      <c r="E16" s="153" cm="1">
        <f t="array" ref="E16">IF(ISBLANK(INDEX(WORLDCUP!$AD$4:$AD$147,MATCH(A16,WORLDCUP!$AH$4:$AH$147,0))),"",INDEX(WORLDCUP!$AD$4:$AD$147,MATCH(A16,WORLDCUP!$AH$4:$AH$147,0)))</f>
        <v>1</v>
      </c>
      <c r="F16" s="534" t="str" cm="1">
        <f t="array" ref="F16">MID(INDEX(WORLDCUP!$AF$4:$AF$147,MATCH(A16,WORLDCUP!$AH$4:$AH$147,0)),1,3)</f>
        <v>Cat</v>
      </c>
      <c r="G16" s="535"/>
      <c r="H16" s="536"/>
      <c r="I16" s="537"/>
      <c r="J16" s="537"/>
      <c r="K16" s="538"/>
      <c r="L16" s="461"/>
      <c r="M16" s="462">
        <v>66</v>
      </c>
      <c r="N16" s="573"/>
      <c r="O16" s="533" t="str" cm="1">
        <f t="array" ref="O16">MID(INDEX(WORLDCUP!$AA$4:$AA$147,MATCH(M16,WORLDCUP!$AH$4:$AH$147,0)),1,3)</f>
        <v>Uru</v>
      </c>
      <c r="P16" s="153" cm="1">
        <f t="array" ref="P16">IF(ISBLANK(INDEX(WORLDCUP!$AC$4:$AC$147,MATCH(M16,WORLDCUP!$AH$4:$AH$147,0))),"",INDEX(WORLDCUP!$AC$4:$AC$147,MATCH(M16,WORLDCUP!$AH$4:$AH$147,0)))</f>
        <v>1</v>
      </c>
      <c r="Q16" s="153" cm="1">
        <f t="array" ref="Q16">IF(ISBLANK(INDEX(WORLDCUP!$AD$4:$AD$147,MATCH(M16,WORLDCUP!$AH$4:$AH$147,0))),"",INDEX(WORLDCUP!$AD$4:$AD$147,MATCH(M16,WORLDCUP!$AH$4:$AH$147,0)))</f>
        <v>2</v>
      </c>
      <c r="R16" s="534" t="str" cm="1">
        <f t="array" ref="R16">MID(INDEX(WORLDCUP!$AF$4:$AF$147,MATCH(M16,WORLDCUP!$AH$4:$AH$147,0)),1,3)</f>
        <v>Esp</v>
      </c>
      <c r="S16" s="535"/>
      <c r="T16" s="536"/>
      <c r="U16" s="537"/>
      <c r="V16" s="537"/>
      <c r="W16" s="538"/>
      <c r="X16" s="464"/>
      <c r="Y16" s="465">
        <v>83</v>
      </c>
      <c r="Z16" s="466" t="s">
        <v>212</v>
      </c>
      <c r="AA16" s="467" t="str" cm="1">
        <f t="array" ref="AA16">MID(INDEX(WORLDCUP!$AF$101:$AF$147,MATCH(Y16,WORLDCUP!$Z$101:$Z$147,0)),1,3)</f>
        <v>2L</v>
      </c>
      <c r="AB16" s="468" t="str" cm="1">
        <f t="array" ref="AB16">IF(ISBLANK(INDEX(WORLDCUP!$AD$101:$AD$147,MATCH(Y16,WORLDCUP!$Z$101:$Z$147,0))),"",INDEX(WORLDCUP!$AD$101:$AD$147,MATCH(Y16,WORLDCUP!$Z$101:$Z$147,0)))</f>
        <v/>
      </c>
      <c r="AC16" s="497" t="str" cm="1">
        <f t="array" ref="AC16">IF(ISBLANK(INDEX(WORLDCUP!$AE$101:$AE$147,MATCH(Y16,WORLDCUP!$Z$101:$Z$147,0))),"","( "&amp;INDEX(WORLDCUP!$AE$101:$AE$147,MATCH(Y16,WORLDCUP!$Z$101:$Z$147,0))&amp;" )")</f>
        <v/>
      </c>
      <c r="AD16" s="498">
        <v>93</v>
      </c>
      <c r="AE16" s="499" t="str" cm="1">
        <f t="array" ref="AE16">MID(INDEX(WORLDCUP!$AA$101:$AA$147,MATCH(AD16,WORLDCUP!$Z$101:$Z$147,0)),1,3)</f>
        <v>W83</v>
      </c>
      <c r="AF16" s="500" t="str" cm="1">
        <f t="array" ref="AF16">IF(ISBLANK(INDEX(WORLDCUP!$AC$101:$AC$147,MATCH(AD16,WORLDCUP!$Z$101:$Z$147,0))),"",INDEX(WORLDCUP!$AC$101:$AC$147,MATCH(AD16,WORLDCUP!$Z$101:$Z$147,0)))</f>
        <v/>
      </c>
      <c r="AG16" s="501" t="str" cm="1">
        <f t="array" ref="AG16">IF(ISBLANK(INDEX(WORLDCUP!$AB$101:$AB$147,MATCH(AD16,WORLDCUP!$Z$101:$Z$147,0))),"","( "&amp;INDEX(WORLDCUP!$AB$101:$AB$147,MATCH(AD16,WORLDCUP!$Z$101:$Z$147,0))&amp;" )")</f>
        <v/>
      </c>
      <c r="AH16" s="281"/>
      <c r="AI16" s="502"/>
      <c r="AJ16" s="502"/>
      <c r="AK16" s="551"/>
      <c r="AL16" s="518"/>
      <c r="AM16" s="473"/>
      <c r="AN16" s="473"/>
      <c r="AO16" s="571"/>
      <c r="AP16" s="543"/>
      <c r="AQ16" s="503"/>
      <c r="AR16" s="503"/>
      <c r="AS16" s="503"/>
      <c r="AT16" s="281"/>
      <c r="AU16" s="475"/>
      <c r="AV16" s="475"/>
      <c r="AW16" s="475"/>
      <c r="AX16" s="281"/>
      <c r="AY16" s="8"/>
      <c r="AZ16" s="8"/>
      <c r="BA16" s="8"/>
      <c r="BB16" s="8"/>
      <c r="BC16" s="8"/>
      <c r="BD16" s="8"/>
      <c r="BE16" s="8"/>
      <c r="BF16" s="476"/>
      <c r="BG16" s="505" t="s">
        <v>206</v>
      </c>
      <c r="BH16" s="506" cm="1">
        <f t="array" ref="BH16">1-SUM(BI16:BO16)</f>
        <v>1</v>
      </c>
      <c r="BI16" s="506" cm="1">
        <f t="array" ref="BI16">COUNTIF(Pool!$C$130:$C$161,BG16)-BJ16-BK16-BL16-BM16-BN16-BO16</f>
        <v>0</v>
      </c>
      <c r="BJ16" s="507" cm="1">
        <f t="array" ref="BJ16">COUNTIF(Pool!$C$182:$C$197,BG16)-BK16-BL16-BM16-BN16-BO16</f>
        <v>0</v>
      </c>
      <c r="BK16" s="508" cm="1">
        <f t="array" ref="BK16">COUNTIF(Pool!$C$210:$C$217,BG16)-BL16-BM16-BN16-BO16</f>
        <v>0</v>
      </c>
      <c r="BL16" s="508" cm="1">
        <f t="array" ref="BL16">COUNTIF(Pool!$C$226:$C$229,BG16)-BM16-BN16-BO16</f>
        <v>0</v>
      </c>
      <c r="BM16" s="506" cm="1">
        <f t="array" ref="BM16">COUNTIF(Pool!$C$252,BG16)</f>
        <v>0</v>
      </c>
      <c r="BN16" s="506" cm="1">
        <f t="array" ref="BN16">COUNTIF(Pool!$C$251,BG16)</f>
        <v>0</v>
      </c>
      <c r="BO16" s="509" cm="1">
        <f t="array" ref="BO16">COUNTIF(Pool!$C$250,BG16)</f>
        <v>0</v>
      </c>
    </row>
    <row r="17" spans="1:67" ht="15" customHeight="1" x14ac:dyDescent="0.2">
      <c r="A17" s="7"/>
      <c r="B17" s="544"/>
      <c r="C17" s="545"/>
      <c r="D17" s="546"/>
      <c r="E17" s="546"/>
      <c r="F17" s="547"/>
      <c r="G17" s="547"/>
      <c r="H17" s="545"/>
      <c r="I17" s="547"/>
      <c r="J17" s="547"/>
      <c r="K17" s="547"/>
      <c r="L17" s="281"/>
      <c r="M17" s="8"/>
      <c r="N17" s="547"/>
      <c r="O17" s="545"/>
      <c r="P17" s="546"/>
      <c r="Q17" s="546"/>
      <c r="R17" s="547"/>
      <c r="S17" s="547"/>
      <c r="T17" s="545"/>
      <c r="U17" s="547"/>
      <c r="V17" s="547"/>
      <c r="W17" s="547"/>
      <c r="X17" s="8"/>
      <c r="Y17" s="281"/>
      <c r="Z17" s="249"/>
      <c r="AA17" s="514"/>
      <c r="AB17" s="514"/>
      <c r="AC17" s="515"/>
      <c r="AD17" s="516">
        <v>93</v>
      </c>
      <c r="AE17" s="499" t="str" cm="1">
        <f t="array" ref="AE17">MID(INDEX(WORLDCUP!$AF$101:$AF$147,MATCH(AD17,WORLDCUP!$Z$101:$Z$147,0)),1,3)</f>
        <v>W84</v>
      </c>
      <c r="AF17" s="500" t="str" cm="1">
        <f t="array" ref="AF17">IF(ISBLANK(INDEX(WORLDCUP!$AD$101:$AD$147,MATCH(AD17,WORLDCUP!$Z$101:$Z$147,0))),"",INDEX(WORLDCUP!$AD$101:$AD$147,MATCH(AD17,WORLDCUP!$Z$101:$Z$147,0)))</f>
        <v/>
      </c>
      <c r="AG17" s="517" t="str" cm="1">
        <f t="array" ref="AG17">IF(ISBLANK(INDEX(WORLDCUP!$AE$101:$AE$147,MATCH(AD17,WORLDCUP!$Z$101:$Z$147,0))),"","( "&amp;INDEX(WORLDCUP!$AE$101:$AE$147,MATCH(AD17,WORLDCUP!$Z$101:$Z$147,0))&amp;" )")</f>
        <v/>
      </c>
      <c r="AH17" s="518"/>
      <c r="AI17" s="502"/>
      <c r="AJ17" s="502"/>
      <c r="AK17" s="551"/>
      <c r="AL17" s="518"/>
      <c r="AM17" s="473"/>
      <c r="AN17" s="473"/>
      <c r="AO17" s="571"/>
      <c r="AP17" s="543"/>
      <c r="AQ17" s="503"/>
      <c r="AR17" s="503"/>
      <c r="AS17" s="503"/>
      <c r="AT17" s="281"/>
      <c r="AU17" s="475"/>
      <c r="AV17" s="475"/>
      <c r="AW17" s="475"/>
      <c r="AX17" s="281"/>
      <c r="AY17" s="8"/>
      <c r="AZ17" s="8"/>
      <c r="BA17" s="8"/>
      <c r="BB17" s="8"/>
      <c r="BC17" s="8"/>
      <c r="BD17" s="8"/>
      <c r="BE17" s="8"/>
      <c r="BF17" s="476"/>
      <c r="BG17" s="505" t="s">
        <v>115</v>
      </c>
      <c r="BH17" s="506" cm="1">
        <f t="array" ref="BH17">1-SUM(BI17:BO17)</f>
        <v>1</v>
      </c>
      <c r="BI17" s="506" cm="1">
        <f t="array" ref="BI17">COUNTIF(Pool!$C$130:$C$161,BG17)-BJ17-BK17-BL17-BM17-BN17-BO17</f>
        <v>0</v>
      </c>
      <c r="BJ17" s="507" cm="1">
        <f t="array" ref="BJ17">COUNTIF(Pool!$C$182:$C$197,BG17)-BK17-BL17-BM17-BN17-BO17</f>
        <v>0</v>
      </c>
      <c r="BK17" s="508" cm="1">
        <f t="array" ref="BK17">COUNTIF(Pool!$C$210:$C$217,BG17)-BL17-BM17-BN17-BO17</f>
        <v>0</v>
      </c>
      <c r="BL17" s="508" cm="1">
        <f t="array" ref="BL17">COUNTIF(Pool!$C$226:$C$229,BG17)-BM17-BN17-BO17</f>
        <v>0</v>
      </c>
      <c r="BM17" s="506" cm="1">
        <f t="array" ref="BM17">COUNTIF(Pool!$C$252,BG17)</f>
        <v>0</v>
      </c>
      <c r="BN17" s="506" cm="1">
        <f t="array" ref="BN17">COUNTIF(Pool!$C$251,BG17)</f>
        <v>0</v>
      </c>
      <c r="BO17" s="509" cm="1">
        <f t="array" ref="BO17">COUNTIF(Pool!$C$250,BG17)</f>
        <v>0</v>
      </c>
    </row>
    <row r="18" spans="1:67" ht="16" customHeight="1" x14ac:dyDescent="0.2">
      <c r="A18" s="7"/>
      <c r="B18" s="443"/>
      <c r="C18" s="552"/>
      <c r="D18" s="553"/>
      <c r="E18" s="553"/>
      <c r="F18" s="111"/>
      <c r="G18" s="111"/>
      <c r="H18" s="552"/>
      <c r="I18" s="111"/>
      <c r="J18" s="111"/>
      <c r="K18" s="111"/>
      <c r="L18" s="281"/>
      <c r="M18" s="8"/>
      <c r="N18" s="111"/>
      <c r="O18" s="552"/>
      <c r="P18" s="553"/>
      <c r="Q18" s="553"/>
      <c r="R18" s="111"/>
      <c r="S18" s="111"/>
      <c r="T18" s="552"/>
      <c r="U18" s="111"/>
      <c r="V18" s="111"/>
      <c r="W18" s="111"/>
      <c r="X18" s="8"/>
      <c r="Y18" s="548">
        <v>84</v>
      </c>
      <c r="Z18" s="466" t="s">
        <v>175</v>
      </c>
      <c r="AA18" s="467" t="str" cm="1">
        <f t="array" ref="AA18">MID(INDEX(WORLDCUP!$AA$101:$AA$147,MATCH(Y18,WORLDCUP!$Z$101:$Z$147,0)),1,3)</f>
        <v>Esp</v>
      </c>
      <c r="AB18" s="468" t="str" cm="1">
        <f t="array" ref="AB18">IF(ISBLANK(INDEX(WORLDCUP!$AC$101:$AC$147,MATCH(Y18,WORLDCUP!$Z$101:$Z$147,0))),"",INDEX(WORLDCUP!$AC$101:$AC$147,MATCH(Y18,WORLDCUP!$Z$101:$Z$147,0)))</f>
        <v/>
      </c>
      <c r="AC18" s="562" t="str" cm="1">
        <f t="array" ref="AC18">IF(ISBLANK(INDEX(WORLDCUP!$AB$101:$AB$147,MATCH(Y18,WORLDCUP!$Z$101:$Z$147,0))),"","( "&amp;INDEX(WORLDCUP!$AB$101:$AB$147,MATCH(Y18,WORLDCUP!$Z$101:$Z$147,0))&amp;" )")</f>
        <v/>
      </c>
      <c r="AD18" s="518"/>
      <c r="AE18" s="520"/>
      <c r="AF18" s="520"/>
      <c r="AG18" s="521"/>
      <c r="AH18" s="518"/>
      <c r="AI18" s="522"/>
      <c r="AJ18" s="522"/>
      <c r="AK18" s="551"/>
      <c r="AL18" s="518"/>
      <c r="AM18" s="473"/>
      <c r="AN18" s="473"/>
      <c r="AO18" s="571"/>
      <c r="AP18" s="543"/>
      <c r="AQ18" s="503"/>
      <c r="AR18" s="503"/>
      <c r="AS18" s="503"/>
      <c r="AT18" s="281"/>
      <c r="AU18" s="475"/>
      <c r="AV18" s="475"/>
      <c r="AW18" s="475"/>
      <c r="AX18" s="833" t="s">
        <v>0</v>
      </c>
      <c r="AY18" s="834"/>
      <c r="AZ18" s="835"/>
      <c r="BA18" s="835"/>
      <c r="BB18" s="835"/>
      <c r="BC18" s="835"/>
      <c r="BD18" s="835"/>
      <c r="BE18" s="835"/>
      <c r="BF18" s="476"/>
      <c r="BG18" s="505" t="s">
        <v>152</v>
      </c>
      <c r="BH18" s="506" cm="1">
        <f t="array" ref="BH18">1-SUM(BI18:BO18)</f>
        <v>1</v>
      </c>
      <c r="BI18" s="506" cm="1">
        <f t="array" ref="BI18">COUNTIF(Pool!$C$130:$C$161,BG18)-BJ18-BK18-BL18-BM18-BN18-BO18</f>
        <v>0</v>
      </c>
      <c r="BJ18" s="507" cm="1">
        <f t="array" ref="BJ18">COUNTIF(Pool!$C$182:$C$197,BG18)-BK18-BL18-BM18-BN18-BO18</f>
        <v>0</v>
      </c>
      <c r="BK18" s="508" cm="1">
        <f t="array" ref="BK18">COUNTIF(Pool!$C$210:$C$217,BG18)-BL18-BM18-BN18-BO18</f>
        <v>0</v>
      </c>
      <c r="BL18" s="508" cm="1">
        <f t="array" ref="BL18">COUNTIF(Pool!$C$226:$C$229,BG18)-BM18-BN18-BO18</f>
        <v>0</v>
      </c>
      <c r="BM18" s="506" cm="1">
        <f t="array" ref="BM18">COUNTIF(Pool!$C$252,BG18)</f>
        <v>0</v>
      </c>
      <c r="BN18" s="506" cm="1">
        <f t="array" ref="BN18">COUNTIF(Pool!$C$251,BG18)</f>
        <v>0</v>
      </c>
      <c r="BO18" s="509" cm="1">
        <f t="array" ref="BO18">COUNTIF(Pool!$C$250,BG18)</f>
        <v>0</v>
      </c>
    </row>
    <row r="19" spans="1:67" ht="16" customHeight="1" x14ac:dyDescent="0.2">
      <c r="A19" s="451">
        <v>7</v>
      </c>
      <c r="B19" s="574" t="s">
        <v>130</v>
      </c>
      <c r="C19" s="453" t="str" cm="1">
        <f t="array" ref="C19">MID(INDEX(WORLDCUP!$AA$4:$AA$147,MATCH(A19,WORLDCUP!$AH$4:$AH$147,0)),1,3)</f>
        <v>Bra</v>
      </c>
      <c r="D19" s="454" cm="1">
        <f t="array" ref="D19">IF(ISBLANK(INDEX(WORLDCUP!$AC$4:$AC$147,MATCH(A19,WORLDCUP!$AH$4:$AH$147,0))),"",INDEX(WORLDCUP!$AC$4:$AC$147,MATCH(A19,WORLDCUP!$AH$4:$AH$147,0)))</f>
        <v>2</v>
      </c>
      <c r="E19" s="454" cm="1">
        <f t="array" ref="E19">IF(ISBLANK(INDEX(WORLDCUP!$AD$4:$AD$147,MATCH(A19,WORLDCUP!$AH$4:$AH$147,0))),"",INDEX(WORLDCUP!$AD$4:$AD$147,MATCH(A19,WORLDCUP!$AH$4:$AH$147,0)))</f>
        <v>1</v>
      </c>
      <c r="F19" s="455" t="str" cm="1">
        <f t="array" ref="F19">MID(INDEX(WORLDCUP!$AF$4:$AF$147,MATCH(A19,WORLDCUP!$AH$4:$AH$147,0)),1,3)</f>
        <v>Mar</v>
      </c>
      <c r="G19" s="456"/>
      <c r="H19" s="457" t="str" cm="1">
        <f t="array" ref="H19">H11</f>
        <v>Sel</v>
      </c>
      <c r="I19" s="459" t="str" cm="1">
        <f t="array" ref="I19">I11</f>
        <v>Pts</v>
      </c>
      <c r="J19" s="459" t="str" cm="1">
        <f t="array" ref="J19">J11</f>
        <v>DG</v>
      </c>
      <c r="K19" s="460" t="str" cm="1">
        <f t="array" ref="K19">K11</f>
        <v>GF-GC</v>
      </c>
      <c r="L19" s="461"/>
      <c r="M19" s="462">
        <v>17</v>
      </c>
      <c r="N19" s="575" t="s">
        <v>182</v>
      </c>
      <c r="O19" s="453" t="str" cm="1">
        <f t="array" ref="O19">MID(INDEX(WORLDCUP!$AA$4:$AA$147,MATCH(M19,WORLDCUP!$AH$4:$AH$147,0)),1,3)</f>
        <v>Fra</v>
      </c>
      <c r="P19" s="454" cm="1">
        <f t="array" ref="P19">IF(ISBLANK(INDEX(WORLDCUP!$AC$4:$AC$147,MATCH(M19,WORLDCUP!$AH$4:$AH$147,0))),"",INDEX(WORLDCUP!$AC$4:$AC$147,MATCH(M19,WORLDCUP!$AH$4:$AH$147,0)))</f>
        <v>4</v>
      </c>
      <c r="Q19" s="454" cm="1">
        <f t="array" ref="Q19">IF(ISBLANK(INDEX(WORLDCUP!$AD$4:$AD$147,MATCH(M19,WORLDCUP!$AH$4:$AH$147,0))),"",INDEX(WORLDCUP!$AD$4:$AD$147,MATCH(M19,WORLDCUP!$AH$4:$AH$147,0)))</f>
        <v>1</v>
      </c>
      <c r="R19" s="455" t="str" cm="1">
        <f t="array" ref="R19">MID(INDEX(WORLDCUP!$AF$4:$AF$147,MATCH(M19,WORLDCUP!$AH$4:$AH$147,0)),1,3)</f>
        <v>Sen</v>
      </c>
      <c r="S19" s="456"/>
      <c r="T19" s="457" t="str" cm="1">
        <f t="array" ref="T19">T11</f>
        <v>Sel</v>
      </c>
      <c r="U19" s="459" t="str" cm="1">
        <f t="array" ref="U19">U11</f>
        <v>Pts</v>
      </c>
      <c r="V19" s="459" t="str" cm="1">
        <f t="array" ref="V19">V11</f>
        <v>DG</v>
      </c>
      <c r="W19" s="460" t="str" cm="1">
        <f t="array" ref="W19">W11</f>
        <v>GF-GC</v>
      </c>
      <c r="X19" s="464"/>
      <c r="Y19" s="465">
        <v>84</v>
      </c>
      <c r="Z19" s="466" t="s">
        <v>194</v>
      </c>
      <c r="AA19" s="467" t="str" cm="1">
        <f t="array" ref="AA19">MID(INDEX(WORLDCUP!$AF$101:$AF$147,MATCH(Y19,WORLDCUP!$Z$101:$Z$147,0)),1,3)</f>
        <v>2J</v>
      </c>
      <c r="AB19" s="468" t="str" cm="1">
        <f t="array" ref="AB19">IF(ISBLANK(INDEX(WORLDCUP!$AD$101:$AD$147,MATCH(Y19,WORLDCUP!$Z$101:$Z$147,0))),"",INDEX(WORLDCUP!$AD$101:$AD$147,MATCH(Y19,WORLDCUP!$Z$101:$Z$147,0)))</f>
        <v/>
      </c>
      <c r="AC19" s="565" t="str" cm="1">
        <f t="array" ref="AC19">IF(ISBLANK(INDEX(WORLDCUP!$AE$101:$AE$147,MATCH(Y19,WORLDCUP!$Z$101:$Z$147,0))),"","( "&amp;INDEX(WORLDCUP!$AE$101:$AE$147,MATCH(Y19,WORLDCUP!$Z$101:$Z$147,0))&amp;" )")</f>
        <v/>
      </c>
      <c r="AD19" s="281"/>
      <c r="AE19" s="528"/>
      <c r="AF19" s="528"/>
      <c r="AG19" s="521"/>
      <c r="AH19" s="498">
        <v>98</v>
      </c>
      <c r="AI19" s="529" t="str" cm="1">
        <f t="array" ref="AI19">MID(INDEX(WORLDCUP!$AA$101:$AA$147,MATCH(AH19,WORLDCUP!$Z$101:$Z$147,0)),1,3)</f>
        <v>W93</v>
      </c>
      <c r="AJ19" s="530" t="str" cm="1">
        <f t="array" ref="AJ19">IF(ISBLANK(INDEX(WORLDCUP!$AC$101:$AC$147,MATCH(AH19,WORLDCUP!$Z$101:$Z$147,0))),"",INDEX(WORLDCUP!$AC$101:$AC$147,MATCH(AH19,WORLDCUP!$Z$101:$Z$147,0)))</f>
        <v/>
      </c>
      <c r="AK19" s="576" t="str" cm="1">
        <f t="array" ref="AK19">IF(ISBLANK(INDEX(WORLDCUP!$AB$101:$AB$147,MATCH(AH19,WORLDCUP!$Z$101:$Z$147,0))),"","( "&amp;INDEX(WORLDCUP!$AB$101:$AB$147,MATCH(AH19,WORLDCUP!$Z$101:$Z$147,0))&amp;" )")</f>
        <v/>
      </c>
      <c r="AL19" s="518"/>
      <c r="AM19" s="473"/>
      <c r="AN19" s="473"/>
      <c r="AO19" s="571"/>
      <c r="AP19" s="543"/>
      <c r="AQ19" s="503"/>
      <c r="AR19" s="503"/>
      <c r="AS19" s="503"/>
      <c r="AT19" s="281"/>
      <c r="AU19" s="475"/>
      <c r="AV19" s="475"/>
      <c r="AW19" s="475"/>
      <c r="AX19" s="281"/>
      <c r="AY19" s="577"/>
      <c r="AZ19" s="577"/>
      <c r="BA19" s="577"/>
      <c r="BB19" s="577"/>
      <c r="BC19" s="577"/>
      <c r="BD19" s="8"/>
      <c r="BE19" s="8"/>
      <c r="BF19" s="476"/>
      <c r="BG19" s="505" t="s">
        <v>211</v>
      </c>
      <c r="BH19" s="506" cm="1">
        <f t="array" ref="BH19">1-SUM(BI19:BO19)</f>
        <v>1</v>
      </c>
      <c r="BI19" s="506" cm="1">
        <f t="array" ref="BI19">COUNTIF(Pool!$C$130:$C$161,BG19)-BJ19-BK19-BL19-BM19-BN19-BO19</f>
        <v>0</v>
      </c>
      <c r="BJ19" s="507" cm="1">
        <f t="array" ref="BJ19">COUNTIF(Pool!$C$182:$C$197,BG19)-BK19-BL19-BM19-BN19-BO19</f>
        <v>0</v>
      </c>
      <c r="BK19" s="508" cm="1">
        <f t="array" ref="BK19">COUNTIF(Pool!$C$210:$C$217,BG19)-BL19-BM19-BN19-BO19</f>
        <v>0</v>
      </c>
      <c r="BL19" s="508" cm="1">
        <f t="array" ref="BL19">COUNTIF(Pool!$C$226:$C$229,BG19)-BM19-BN19-BO19</f>
        <v>0</v>
      </c>
      <c r="BM19" s="506" cm="1">
        <f t="array" ref="BM19">COUNTIF(Pool!$C$252,BG19)</f>
        <v>0</v>
      </c>
      <c r="BN19" s="506" cm="1">
        <f t="array" ref="BN19">COUNTIF(Pool!$C$251,BG19)</f>
        <v>0</v>
      </c>
      <c r="BO19" s="509" cm="1">
        <f t="array" ref="BO19">COUNTIF(Pool!$C$250,BG19)</f>
        <v>0</v>
      </c>
    </row>
    <row r="20" spans="1:67" ht="15" customHeight="1" x14ac:dyDescent="0.2">
      <c r="A20" s="451">
        <v>5</v>
      </c>
      <c r="B20" s="578"/>
      <c r="C20" s="487" t="str" cm="1">
        <f t="array" ref="C20">MID(INDEX(WORLDCUP!$AA$4:$AA$147,MATCH(A20,WORLDCUP!$AH$4:$AH$147,0)),1,3)</f>
        <v>Hai</v>
      </c>
      <c r="D20" s="114" cm="1">
        <f t="array" ref="D20">IF(ISBLANK(INDEX(WORLDCUP!$AC$4:$AC$147,MATCH(A20,WORLDCUP!$AH$4:$AH$147,0))),"",INDEX(WORLDCUP!$AC$4:$AC$147,MATCH(A20,WORLDCUP!$AH$4:$AH$147,0)))</f>
        <v>1</v>
      </c>
      <c r="E20" s="114" cm="1">
        <f t="array" ref="E20">IF(ISBLANK(INDEX(WORLDCUP!$AD$4:$AD$147,MATCH(A20,WORLDCUP!$AH$4:$AH$147,0))),"",INDEX(WORLDCUP!$AD$4:$AD$147,MATCH(A20,WORLDCUP!$AH$4:$AH$147,0)))</f>
        <v>2</v>
      </c>
      <c r="F20" s="488" t="str" cm="1">
        <f t="array" ref="F20">MID(INDEX(WORLDCUP!$AF$4:$AF$147,MATCH(A20,WORLDCUP!$AH$4:$AH$147,0)),1,3)</f>
        <v>Esc</v>
      </c>
      <c r="G20" s="489">
        <v>1</v>
      </c>
      <c r="H20" s="490" t="str" cm="1">
        <f t="array" ref="H20">MID(INDEX(WORLDCUP!$AL$6:$AL$97,MATCH(L20,WORLDCUP!$AI$6:$AI$97,0)),1,3)</f>
        <v>Bra</v>
      </c>
      <c r="I20" s="491" cm="1">
        <f t="array" ref="I20">INDEX(WORLDCUP!$AM$6:$AM$97,MATCH(L20,WORLDCUP!$AI$6:$AI$97,0))</f>
        <v>9</v>
      </c>
      <c r="J20" s="492" cm="1">
        <f t="array" ref="J20">INDEX(WORLDCUP!$AT$6:$AT$97,MATCH(L20,WORLDCUP!$AI$6:$AI$97,0))</f>
        <v>8</v>
      </c>
      <c r="K20" s="493" t="str" cm="1">
        <f t="array" ref="K20">INDEX(WORLDCUP!$AR$6:$AR$97,MATCH(L20,WORLDCUP!$AI$6:$AI$97,0))&amp;"-"&amp;INDEX(WORLDCUP!$AS$6:$AS$97,MATCH(L20,WORLDCUP!$AI$6:$AI$97,0))</f>
        <v>10-2</v>
      </c>
      <c r="L20" s="494" t="s">
        <v>132</v>
      </c>
      <c r="M20" s="462">
        <v>18</v>
      </c>
      <c r="N20" s="579"/>
      <c r="O20" s="487" t="str" cm="1">
        <f t="array" ref="O20">MID(INDEX(WORLDCUP!$AA$4:$AA$147,MATCH(M20,WORLDCUP!$AH$4:$AH$147,0)),1,3)</f>
        <v>Ira</v>
      </c>
      <c r="P20" s="114" cm="1">
        <f t="array" ref="P20">IF(ISBLANK(INDEX(WORLDCUP!$AC$4:$AC$147,MATCH(M20,WORLDCUP!$AH$4:$AH$147,0))),"",INDEX(WORLDCUP!$AC$4:$AC$147,MATCH(M20,WORLDCUP!$AH$4:$AH$147,0)))</f>
        <v>0</v>
      </c>
      <c r="Q20" s="114" cm="1">
        <f t="array" ref="Q20">IF(ISBLANK(INDEX(WORLDCUP!$AD$4:$AD$147,MATCH(M20,WORLDCUP!$AH$4:$AH$147,0))),"",INDEX(WORLDCUP!$AD$4:$AD$147,MATCH(M20,WORLDCUP!$AH$4:$AH$147,0)))</f>
        <v>1</v>
      </c>
      <c r="R20" s="488" t="str" cm="1">
        <f t="array" ref="R20">MID(INDEX(WORLDCUP!$AF$4:$AF$147,MATCH(M20,WORLDCUP!$AH$4:$AH$147,0)),1,3)</f>
        <v>Nor</v>
      </c>
      <c r="S20" s="489">
        <v>1</v>
      </c>
      <c r="T20" s="490" t="str" cm="1">
        <f t="array" ref="T20">MID(INDEX(WORLDCUP!$AL$6:$AL$97,MATCH(X20,WORLDCUP!$AI$6:$AI$97,0)),1,3)</f>
        <v>Fra</v>
      </c>
      <c r="U20" s="491" cm="1">
        <f t="array" ref="U20">INDEX(WORLDCUP!$AM$6:$AM$97,MATCH(X20,WORLDCUP!$AI$6:$AI$97,0))</f>
        <v>9</v>
      </c>
      <c r="V20" s="492" cm="1">
        <f t="array" ref="V20">INDEX(WORLDCUP!$AT$6:$AT$97,MATCH(X20,WORLDCUP!$AI$6:$AI$97,0))</f>
        <v>10</v>
      </c>
      <c r="W20" s="493" t="str" cm="1">
        <f t="array" ref="W20">INDEX(WORLDCUP!$AR$6:$AR$97,MATCH(X20,WORLDCUP!$AI$6:$AI$97,0))&amp;"-"&amp;INDEX(WORLDCUP!$AS$6:$AS$97,MATCH(X20,WORLDCUP!$AI$6:$AI$97,0))</f>
        <v>12-2</v>
      </c>
      <c r="X20" s="496" t="s">
        <v>184</v>
      </c>
      <c r="Y20" s="513"/>
      <c r="Z20" s="249"/>
      <c r="AA20" s="540"/>
      <c r="AB20" s="540"/>
      <c r="AC20" s="541"/>
      <c r="AD20" s="281"/>
      <c r="AE20" s="471"/>
      <c r="AF20" s="471"/>
      <c r="AG20" s="521"/>
      <c r="AH20" s="516">
        <v>98</v>
      </c>
      <c r="AI20" s="529" t="str" cm="1">
        <f t="array" ref="AI20">MID(INDEX(WORLDCUP!$AF$101:$AF$147,MATCH(AH20,WORLDCUP!$Z$101:$Z$147,0)),1,3)</f>
        <v>W94</v>
      </c>
      <c r="AJ20" s="530" t="str" cm="1">
        <f t="array" ref="AJ20">IF(ISBLANK(INDEX(WORLDCUP!$AD$101:$AD$147,MATCH(AH20,WORLDCUP!$Z$101:$Z$147,0))),"",INDEX(WORLDCUP!$AD$101:$AD$147,MATCH(AH20,WORLDCUP!$Z$101:$Z$147,0)))</f>
        <v/>
      </c>
      <c r="AK20" s="580" t="str" cm="1">
        <f t="array" ref="AK20">IF(ISBLANK(INDEX(WORLDCUP!$AE$101:$AE$147,MATCH(AH20,WORLDCUP!$Z$101:$Z$147,0))),"","( "&amp;INDEX(WORLDCUP!$AE$101:$AE$147,MATCH(AH20,WORLDCUP!$Z$101:$Z$147,0))&amp;" )")</f>
        <v/>
      </c>
      <c r="AL20" s="281"/>
      <c r="AM20" s="473"/>
      <c r="AN20" s="473"/>
      <c r="AO20" s="571"/>
      <c r="AP20" s="518"/>
      <c r="AQ20" s="503"/>
      <c r="AR20" s="503"/>
      <c r="AS20" s="503"/>
      <c r="AT20" s="281"/>
      <c r="AU20" s="581"/>
      <c r="AV20" s="582"/>
      <c r="AW20" s="475"/>
      <c r="AX20" s="583"/>
      <c r="AY20" s="584"/>
      <c r="AZ20" s="585"/>
      <c r="BA20" s="585"/>
      <c r="BB20" s="585"/>
      <c r="BC20" s="586"/>
      <c r="BD20" s="587"/>
      <c r="BE20" s="8"/>
      <c r="BF20" s="476"/>
      <c r="BG20" s="505" t="s">
        <v>150</v>
      </c>
      <c r="BH20" s="506" cm="1">
        <f t="array" ref="BH20">1-SUM(BI20:BO20)</f>
        <v>0</v>
      </c>
      <c r="BI20" s="506" cm="1">
        <f t="array" ref="BI20">COUNTIF(Pool!$C$130:$C$161,BG20)-BJ20-BK20-BL20-BM20-BN20-BO20</f>
        <v>1</v>
      </c>
      <c r="BJ20" s="507" cm="1">
        <f t="array" ref="BJ20">COUNTIF(Pool!$C$182:$C$197,BG20)-BK20-BL20-BM20-BN20-BO20</f>
        <v>0</v>
      </c>
      <c r="BK20" s="508" cm="1">
        <f t="array" ref="BK20">COUNTIF(Pool!$C$210:$C$217,BG20)-BL20-BM20-BN20-BO20</f>
        <v>0</v>
      </c>
      <c r="BL20" s="508" cm="1">
        <f t="array" ref="BL20">COUNTIF(Pool!$C$226:$C$229,BG20)-BM20-BN20-BO20</f>
        <v>0</v>
      </c>
      <c r="BM20" s="506" cm="1">
        <f t="array" ref="BM20">COUNTIF(Pool!$C$252,BG20)</f>
        <v>0</v>
      </c>
      <c r="BN20" s="506" cm="1">
        <f t="array" ref="BN20">COUNTIF(Pool!$C$251,BG20)</f>
        <v>0</v>
      </c>
      <c r="BO20" s="509" cm="1">
        <f t="array" ref="BO20">COUNTIF(Pool!$C$250,BG20)</f>
        <v>0</v>
      </c>
    </row>
    <row r="21" spans="1:67" ht="16" customHeight="1" x14ac:dyDescent="0.2">
      <c r="A21" s="451">
        <v>30</v>
      </c>
      <c r="B21" s="578"/>
      <c r="C21" s="487" t="str" cm="1">
        <f t="array" ref="C21">MID(INDEX(WORLDCUP!$AA$4:$AA$147,MATCH(A21,WORLDCUP!$AH$4:$AH$147,0)),1,3)</f>
        <v>Esc</v>
      </c>
      <c r="D21" s="114" cm="1">
        <f t="array" ref="D21">IF(ISBLANK(INDEX(WORLDCUP!$AC$4:$AC$147,MATCH(A21,WORLDCUP!$AH$4:$AH$147,0))),"",INDEX(WORLDCUP!$AC$4:$AC$147,MATCH(A21,WORLDCUP!$AH$4:$AH$147,0)))</f>
        <v>0</v>
      </c>
      <c r="E21" s="114" cm="1">
        <f t="array" ref="E21">IF(ISBLANK(INDEX(WORLDCUP!$AD$4:$AD$147,MATCH(A21,WORLDCUP!$AH$4:$AH$147,0))),"",INDEX(WORLDCUP!$AD$4:$AD$147,MATCH(A21,WORLDCUP!$AH$4:$AH$147,0)))</f>
        <v>3</v>
      </c>
      <c r="F21" s="488" t="str" cm="1">
        <f t="array" ref="F21">MID(INDEX(WORLDCUP!$AF$4:$AF$147,MATCH(A21,WORLDCUP!$AH$4:$AH$147,0)),1,3)</f>
        <v>Mar</v>
      </c>
      <c r="G21" s="510">
        <v>2</v>
      </c>
      <c r="H21" s="511" t="str" cm="1">
        <f t="array" ref="H21">MID(INDEX(WORLDCUP!$AL$6:$AL$97,MATCH(L21,WORLDCUP!$AI$6:$AI$97,0)),1,3)</f>
        <v>Mar</v>
      </c>
      <c r="I21" s="143" cm="1">
        <f t="array" ref="I21">INDEX(WORLDCUP!$AM$6:$AM$97,MATCH(L21,WORLDCUP!$AI$6:$AI$97,0))</f>
        <v>6</v>
      </c>
      <c r="J21" s="144" cm="1">
        <f t="array" ref="J21">INDEX(WORLDCUP!$AT$6:$AT$97,MATCH(L21,WORLDCUP!$AI$6:$AI$97,0))</f>
        <v>6</v>
      </c>
      <c r="K21" s="512" t="str" cm="1">
        <f t="array" ref="K21">INDEX(WORLDCUP!$AR$6:$AR$97,MATCH(L21,WORLDCUP!$AI$6:$AI$97,0))&amp;"-"&amp;INDEX(WORLDCUP!$AS$6:$AS$97,MATCH(L21,WORLDCUP!$AI$6:$AI$97,0))</f>
        <v>8-2</v>
      </c>
      <c r="L21" s="494" t="s">
        <v>134</v>
      </c>
      <c r="M21" s="462">
        <v>42</v>
      </c>
      <c r="N21" s="579"/>
      <c r="O21" s="487" t="str" cm="1">
        <f t="array" ref="O21">MID(INDEX(WORLDCUP!$AA$4:$AA$147,MATCH(M21,WORLDCUP!$AH$4:$AH$147,0)),1,3)</f>
        <v>Fra</v>
      </c>
      <c r="P21" s="114" cm="1">
        <f t="array" ref="P21">IF(ISBLANK(INDEX(WORLDCUP!$AC$4:$AC$147,MATCH(M21,WORLDCUP!$AH$4:$AH$147,0))),"",INDEX(WORLDCUP!$AC$4:$AC$147,MATCH(M21,WORLDCUP!$AH$4:$AH$147,0)))</f>
        <v>5</v>
      </c>
      <c r="Q21" s="114" cm="1">
        <f t="array" ref="Q21">IF(ISBLANK(INDEX(WORLDCUP!$AD$4:$AD$147,MATCH(M21,WORLDCUP!$AH$4:$AH$147,0))),"",INDEX(WORLDCUP!$AD$4:$AD$147,MATCH(M21,WORLDCUP!$AH$4:$AH$147,0)))</f>
        <v>0</v>
      </c>
      <c r="R21" s="488" t="str" cm="1">
        <f t="array" ref="R21">MID(INDEX(WORLDCUP!$AF$4:$AF$147,MATCH(M21,WORLDCUP!$AH$4:$AH$147,0)),1,3)</f>
        <v>Ira</v>
      </c>
      <c r="S21" s="510">
        <v>2</v>
      </c>
      <c r="T21" s="511" t="str" cm="1">
        <f t="array" ref="T21">MID(INDEX(WORLDCUP!$AL$6:$AL$97,MATCH(X21,WORLDCUP!$AI$6:$AI$97,0)),1,3)</f>
        <v>Sen</v>
      </c>
      <c r="U21" s="143" cm="1">
        <f t="array" ref="U21">INDEX(WORLDCUP!$AM$6:$AM$97,MATCH(X21,WORLDCUP!$AI$6:$AI$97,0))</f>
        <v>3</v>
      </c>
      <c r="V21" s="144" cm="1">
        <f t="array" ref="V21">INDEX(WORLDCUP!$AT$6:$AT$97,MATCH(X21,WORLDCUP!$AI$6:$AI$97,0))</f>
        <v>-2</v>
      </c>
      <c r="W21" s="512" t="str" cm="1">
        <f t="array" ref="W21">INDEX(WORLDCUP!$AR$6:$AR$97,MATCH(X21,WORLDCUP!$AI$6:$AI$97,0))&amp;"-"&amp;INDEX(WORLDCUP!$AS$6:$AS$97,MATCH(X21,WORLDCUP!$AI$6:$AI$97,0))</f>
        <v>4-6</v>
      </c>
      <c r="X21" s="496" t="s">
        <v>186</v>
      </c>
      <c r="Y21" s="465">
        <v>81</v>
      </c>
      <c r="Z21" s="466" t="s">
        <v>141</v>
      </c>
      <c r="AA21" s="467" t="str" cm="1">
        <f t="array" ref="AA21">MID(INDEX(WORLDCUP!$AA$101:$AA$147,MATCH(Y21,WORLDCUP!$Z$101:$Z$147,0)),1,3)</f>
        <v>Est</v>
      </c>
      <c r="AB21" s="468" t="str" cm="1">
        <f t="array" ref="AB21">IF(ISBLANK(INDEX(WORLDCUP!$AC$101:$AC$147,MATCH(Y21,WORLDCUP!$Z$101:$Z$147,0))),"",INDEX(WORLDCUP!$AC$101:$AC$147,MATCH(Y21,WORLDCUP!$Z$101:$Z$147,0)))</f>
        <v/>
      </c>
      <c r="AC21" s="549" t="str" cm="1">
        <f t="array" ref="AC21">IF(ISBLANK(INDEX(WORLDCUP!$AB$101:$AB$147,MATCH(Y21,WORLDCUP!$Z$101:$Z$147,0))),"","( "&amp;INDEX(WORLDCUP!$AB$101:$AB$147,MATCH(Y21,WORLDCUP!$Z$101:$Z$147,0))&amp;" )")</f>
        <v/>
      </c>
      <c r="AD21" s="73"/>
      <c r="AE21" s="470"/>
      <c r="AF21" s="470"/>
      <c r="AG21" s="521"/>
      <c r="AH21" s="518"/>
      <c r="AI21" s="550"/>
      <c r="AJ21" s="550"/>
      <c r="AK21" s="502"/>
      <c r="AL21" s="281"/>
      <c r="AM21" s="473"/>
      <c r="AN21" s="473"/>
      <c r="AO21" s="571"/>
      <c r="AP21" s="518"/>
      <c r="AQ21" s="503"/>
      <c r="AR21" s="503"/>
      <c r="AS21" s="503"/>
      <c r="AT21" s="281"/>
      <c r="AU21" s="581"/>
      <c r="AV21" s="582"/>
      <c r="AW21" s="475"/>
      <c r="AX21" s="583"/>
      <c r="AY21" s="588"/>
      <c r="AZ21" s="589"/>
      <c r="BA21" s="589" t="str" cm="1">
        <f t="array" ref="BA21">WORLDCUP!AA150</f>
        <v>WF</v>
      </c>
      <c r="BB21" s="589"/>
      <c r="BC21" s="590"/>
      <c r="BD21" s="587"/>
      <c r="BE21" s="8"/>
      <c r="BF21" s="476"/>
      <c r="BG21" s="505" t="s">
        <v>154</v>
      </c>
      <c r="BH21" s="506" cm="1">
        <f t="array" ref="BH21">1-SUM(BI21:BO21)</f>
        <v>1</v>
      </c>
      <c r="BI21" s="506" cm="1">
        <f t="array" ref="BI21">COUNTIF(Pool!$C$130:$C$161,BG21)-BJ21-BK21-BL21-BM21-BN21-BO21</f>
        <v>0</v>
      </c>
      <c r="BJ21" s="507" cm="1">
        <f t="array" ref="BJ21">COUNTIF(Pool!$C$182:$C$197,BG21)-BK21-BL21-BM21-BN21-BO21</f>
        <v>0</v>
      </c>
      <c r="BK21" s="508" cm="1">
        <f t="array" ref="BK21">COUNTIF(Pool!$C$210:$C$217,BG21)-BL21-BM21-BN21-BO21</f>
        <v>0</v>
      </c>
      <c r="BL21" s="508" cm="1">
        <f t="array" ref="BL21">COUNTIF(Pool!$C$226:$C$229,BG21)-BM21-BN21-BO21</f>
        <v>0</v>
      </c>
      <c r="BM21" s="506" cm="1">
        <f t="array" ref="BM21">COUNTIF(Pool!$C$252,BG21)</f>
        <v>0</v>
      </c>
      <c r="BN21" s="506" cm="1">
        <f t="array" ref="BN21">COUNTIF(Pool!$C$251,BG21)</f>
        <v>0</v>
      </c>
      <c r="BO21" s="509" cm="1">
        <f t="array" ref="BO21">COUNTIF(Pool!$C$250,BG21)</f>
        <v>0</v>
      </c>
    </row>
    <row r="22" spans="1:67" ht="16" customHeight="1" x14ac:dyDescent="0.2">
      <c r="A22" s="451">
        <v>29</v>
      </c>
      <c r="B22" s="578"/>
      <c r="C22" s="487" t="str" cm="1">
        <f t="array" ref="C22">MID(INDEX(WORLDCUP!$AA$4:$AA$147,MATCH(A22,WORLDCUP!$AH$4:$AH$147,0)),1,3)</f>
        <v>Bra</v>
      </c>
      <c r="D22" s="114" cm="1">
        <f t="array" ref="D22">IF(ISBLANK(INDEX(WORLDCUP!$AC$4:$AC$147,MATCH(A22,WORLDCUP!$AH$4:$AH$147,0))),"",INDEX(WORLDCUP!$AC$4:$AC$147,MATCH(A22,WORLDCUP!$AH$4:$AH$147,0)))</f>
        <v>5</v>
      </c>
      <c r="E22" s="114" cm="1">
        <f t="array" ref="E22">IF(ISBLANK(INDEX(WORLDCUP!$AD$4:$AD$147,MATCH(A22,WORLDCUP!$AH$4:$AH$147,0))),"",INDEX(WORLDCUP!$AD$4:$AD$147,MATCH(A22,WORLDCUP!$AH$4:$AH$147,0)))</f>
        <v>0</v>
      </c>
      <c r="F22" s="488" t="str" cm="1">
        <f t="array" ref="F22">MID(INDEX(WORLDCUP!$AF$4:$AF$147,MATCH(A22,WORLDCUP!$AH$4:$AH$147,0)),1,3)</f>
        <v>Hai</v>
      </c>
      <c r="G22" s="510">
        <v>3</v>
      </c>
      <c r="H22" s="511" t="str" cm="1">
        <f t="array" ref="H22">MID(INDEX(WORLDCUP!$AL$6:$AL$97,MATCH(L22,WORLDCUP!$AI$6:$AI$97,0)),1,3)</f>
        <v>Hai</v>
      </c>
      <c r="I22" s="143" cm="1">
        <f t="array" ref="I22">INDEX(WORLDCUP!$AM$6:$AM$97,MATCH(L22,WORLDCUP!$AI$6:$AI$97,0))</f>
        <v>0</v>
      </c>
      <c r="J22" s="144" cm="1">
        <f t="array" ref="J22">INDEX(WORLDCUP!$AT$6:$AT$97,MATCH(L22,WORLDCUP!$AI$6:$AI$97,0))</f>
        <v>-10</v>
      </c>
      <c r="K22" s="512" t="str" cm="1">
        <f t="array" ref="K22">INDEX(WORLDCUP!$AR$6:$AR$97,MATCH(L22,WORLDCUP!$AI$6:$AI$97,0))&amp;"-"&amp;INDEX(WORLDCUP!$AS$6:$AS$97,MATCH(L22,WORLDCUP!$AI$6:$AI$97,0))</f>
        <v>1-11</v>
      </c>
      <c r="L22" s="494" t="s">
        <v>136</v>
      </c>
      <c r="M22" s="462">
        <v>41</v>
      </c>
      <c r="N22" s="579"/>
      <c r="O22" s="487" t="str" cm="1">
        <f t="array" ref="O22">MID(INDEX(WORLDCUP!$AA$4:$AA$147,MATCH(M22,WORLDCUP!$AH$4:$AH$147,0)),1,3)</f>
        <v>Nor</v>
      </c>
      <c r="P22" s="114" cm="1">
        <f t="array" ref="P22">IF(ISBLANK(INDEX(WORLDCUP!$AC$4:$AC$147,MATCH(M22,WORLDCUP!$AH$4:$AH$147,0))),"",INDEX(WORLDCUP!$AC$4:$AC$147,MATCH(M22,WORLDCUP!$AH$4:$AH$147,0)))</f>
        <v>2</v>
      </c>
      <c r="Q22" s="114" cm="1">
        <f t="array" ref="Q22">IF(ISBLANK(INDEX(WORLDCUP!$AD$4:$AD$147,MATCH(M22,WORLDCUP!$AH$4:$AH$147,0))),"",INDEX(WORLDCUP!$AD$4:$AD$147,MATCH(M22,WORLDCUP!$AH$4:$AH$147,0)))</f>
        <v>1</v>
      </c>
      <c r="R22" s="488" t="str" cm="1">
        <f t="array" ref="R22">MID(INDEX(WORLDCUP!$AF$4:$AF$147,MATCH(M22,WORLDCUP!$AH$4:$AH$147,0)),1,3)</f>
        <v>Sen</v>
      </c>
      <c r="S22" s="510">
        <v>3</v>
      </c>
      <c r="T22" s="511" t="str" cm="1">
        <f t="array" ref="T22">MID(INDEX(WORLDCUP!$AL$6:$AL$97,MATCH(X22,WORLDCUP!$AI$6:$AI$97,0)),1,3)</f>
        <v>Ira</v>
      </c>
      <c r="U22" s="143" cm="1">
        <f t="array" ref="U22">INDEX(WORLDCUP!$AM$6:$AM$97,MATCH(X22,WORLDCUP!$AI$6:$AI$97,0))</f>
        <v>0</v>
      </c>
      <c r="V22" s="144" cm="1">
        <f t="array" ref="V22">INDEX(WORLDCUP!$AT$6:$AT$97,MATCH(X22,WORLDCUP!$AI$6:$AI$97,0))</f>
        <v>-8</v>
      </c>
      <c r="W22" s="512" t="str" cm="1">
        <f t="array" ref="W22">INDEX(WORLDCUP!$AR$6:$AR$97,MATCH(X22,WORLDCUP!$AI$6:$AI$97,0))&amp;"-"&amp;INDEX(WORLDCUP!$AS$6:$AS$97,MATCH(X22,WORLDCUP!$AI$6:$AI$97,0))</f>
        <v>0-8</v>
      </c>
      <c r="X22" s="496" t="s">
        <v>188</v>
      </c>
      <c r="Y22" s="465">
        <v>81</v>
      </c>
      <c r="Z22" s="466" t="s">
        <v>256</v>
      </c>
      <c r="AA22" s="467" t="str" cm="1">
        <f t="array" ref="AA22">MID(INDEX(WORLDCUP!$AF$101:$AF$147,MATCH(Y22,WORLDCUP!$Z$101:$Z$147,0)),1,IF(WORLDCUP!$H$113&lt;144,6,3))</f>
        <v>3BE</v>
      </c>
      <c r="AB22" s="468" t="str" cm="1">
        <f t="array" ref="AB22">IF(ISBLANK(INDEX(WORLDCUP!$AD$101:$AD$147,MATCH(Y22,WORLDCUP!$Z$101:$Z$147,0))),"",INDEX(WORLDCUP!$AD$101:$AD$147,MATCH(Y22,WORLDCUP!$Z$101:$Z$147,0)))</f>
        <v/>
      </c>
      <c r="AC22" s="497" t="str" cm="1">
        <f t="array" ref="AC22">IF(ISBLANK(INDEX(WORLDCUP!$AE$101:$AE$147,MATCH(Y22,WORLDCUP!$Z$101:$Z$147,0))),"","( "&amp;INDEX(WORLDCUP!$AE$101:$AE$147,MATCH(Y22,WORLDCUP!$Z$101:$Z$147,0))&amp;" )")</f>
        <v/>
      </c>
      <c r="AD22" s="498">
        <v>94</v>
      </c>
      <c r="AE22" s="499" t="str" cm="1">
        <f t="array" ref="AE22">MID(INDEX(WORLDCUP!$AA$101:$AA$147,MATCH(AD22,WORLDCUP!$Z$101:$Z$147,0)),1,3)</f>
        <v>W81</v>
      </c>
      <c r="AF22" s="500" t="str" cm="1">
        <f t="array" ref="AF22">IF(ISBLANK(INDEX(WORLDCUP!$AC$101:$AC$147,MATCH(AD22,WORLDCUP!$Z$101:$Z$147,0))),"",INDEX(WORLDCUP!$AC$101:$AC$147,MATCH(AD22,WORLDCUP!$Z$101:$Z$147,0)))</f>
        <v/>
      </c>
      <c r="AG22" s="554" t="str" cm="1">
        <f t="array" ref="AG22">IF(ISBLANK(INDEX(WORLDCUP!$AB$101:$AB$147,MATCH(AD22,WORLDCUP!$Z$101:$Z$147,0))),"","( "&amp;INDEX(WORLDCUP!$AB$101:$AB$147,MATCH(AD22,WORLDCUP!$Z$101:$Z$147,0))&amp;" )")</f>
        <v/>
      </c>
      <c r="AH22" s="518"/>
      <c r="AI22" s="502"/>
      <c r="AJ22" s="502"/>
      <c r="AK22" s="502"/>
      <c r="AL22" s="281"/>
      <c r="AM22" s="473"/>
      <c r="AN22" s="473"/>
      <c r="AO22" s="571"/>
      <c r="AP22" s="518"/>
      <c r="AQ22" s="503"/>
      <c r="AR22" s="503"/>
      <c r="AS22" s="503"/>
      <c r="AT22" s="281"/>
      <c r="AU22" s="581"/>
      <c r="AV22" s="582"/>
      <c r="AW22" s="475"/>
      <c r="AX22" s="583"/>
      <c r="AY22" s="588"/>
      <c r="AZ22" s="589"/>
      <c r="BA22" s="591"/>
      <c r="BB22" s="589"/>
      <c r="BC22" s="590"/>
      <c r="BD22" s="587"/>
      <c r="BE22" s="8"/>
      <c r="BF22" s="476"/>
      <c r="BG22" s="505" t="s">
        <v>167</v>
      </c>
      <c r="BH22" s="506" cm="1">
        <f t="array" ref="BH22">1-SUM(BI22:BO22)</f>
        <v>1</v>
      </c>
      <c r="BI22" s="506" cm="1">
        <f t="array" ref="BI22">COUNTIF(Pool!$C$130:$C$161,BG22)-BJ22-BK22-BL22-BM22-BN22-BO22</f>
        <v>0</v>
      </c>
      <c r="BJ22" s="507" cm="1">
        <f t="array" ref="BJ22">COUNTIF(Pool!$C$182:$C$197,BG22)-BK22-BL22-BM22-BN22-BO22</f>
        <v>0</v>
      </c>
      <c r="BK22" s="508" cm="1">
        <f t="array" ref="BK22">COUNTIF(Pool!$C$210:$C$217,BG22)-BL22-BM22-BN22-BO22</f>
        <v>0</v>
      </c>
      <c r="BL22" s="508" cm="1">
        <f t="array" ref="BL22">COUNTIF(Pool!$C$226:$C$229,BG22)-BM22-BN22-BO22</f>
        <v>0</v>
      </c>
      <c r="BM22" s="506" cm="1">
        <f t="array" ref="BM22">COUNTIF(Pool!$C$252,BG22)</f>
        <v>0</v>
      </c>
      <c r="BN22" s="506" cm="1">
        <f t="array" ref="BN22">COUNTIF(Pool!$C$251,BG22)</f>
        <v>0</v>
      </c>
      <c r="BO22" s="509" cm="1">
        <f t="array" ref="BO22">COUNTIF(Pool!$C$250,BG22)</f>
        <v>0</v>
      </c>
    </row>
    <row r="23" spans="1:67" ht="15" customHeight="1" x14ac:dyDescent="0.2">
      <c r="A23" s="451">
        <v>49</v>
      </c>
      <c r="B23" s="578"/>
      <c r="C23" s="487" t="str" cm="1">
        <f t="array" ref="C23">MID(INDEX(WORLDCUP!$AA$4:$AA$147,MATCH(A23,WORLDCUP!$AH$4:$AH$147,0)),1,3)</f>
        <v>Esc</v>
      </c>
      <c r="D23" s="114" cm="1">
        <f t="array" ref="D23">IF(ISBLANK(INDEX(WORLDCUP!$AC$4:$AC$147,MATCH(A23,WORLDCUP!$AH$4:$AH$147,0))),"",INDEX(WORLDCUP!$AC$4:$AC$147,MATCH(A23,WORLDCUP!$AH$4:$AH$147,0)))</f>
        <v>1</v>
      </c>
      <c r="E23" s="114" cm="1">
        <f t="array" ref="E23">IF(ISBLANK(INDEX(WORLDCUP!$AD$4:$AD$147,MATCH(A23,WORLDCUP!$AH$4:$AH$147,0))),"",INDEX(WORLDCUP!$AD$4:$AD$147,MATCH(A23,WORLDCUP!$AH$4:$AH$147,0)))</f>
        <v>3</v>
      </c>
      <c r="F23" s="488" t="str" cm="1">
        <f t="array" ref="F23">MID(INDEX(WORLDCUP!$AF$4:$AF$147,MATCH(A23,WORLDCUP!$AH$4:$AH$147,0)),1,3)</f>
        <v>Bra</v>
      </c>
      <c r="G23" s="510">
        <v>4</v>
      </c>
      <c r="H23" s="523" t="str" cm="1">
        <f t="array" ref="H23">MID(INDEX(WORLDCUP!$AL$6:$AL$97,MATCH(L23,WORLDCUP!$AI$6:$AI$97,0)),1,3)</f>
        <v>Esc</v>
      </c>
      <c r="I23" s="524" cm="1">
        <f t="array" ref="I23">INDEX(WORLDCUP!$AM$6:$AM$97,MATCH(L23,WORLDCUP!$AI$6:$AI$97,0))</f>
        <v>3</v>
      </c>
      <c r="J23" s="525" cm="1">
        <f t="array" ref="J23">INDEX(WORLDCUP!$AT$6:$AT$97,MATCH(L23,WORLDCUP!$AI$6:$AI$97,0))</f>
        <v>-4</v>
      </c>
      <c r="K23" s="526" t="str" cm="1">
        <f t="array" ref="K23">INDEX(WORLDCUP!$AR$6:$AR$97,MATCH(L23,WORLDCUP!$AI$6:$AI$97,0))&amp;"-"&amp;INDEX(WORLDCUP!$AS$6:$AS$97,MATCH(L23,WORLDCUP!$AI$6:$AI$97,0))</f>
        <v>3-7</v>
      </c>
      <c r="L23" s="494" t="s">
        <v>138</v>
      </c>
      <c r="M23" s="462">
        <v>61</v>
      </c>
      <c r="N23" s="579"/>
      <c r="O23" s="487" t="str" cm="1">
        <f t="array" ref="O23">MID(INDEX(WORLDCUP!$AA$4:$AA$147,MATCH(M23,WORLDCUP!$AH$4:$AH$147,0)),1,3)</f>
        <v>Nor</v>
      </c>
      <c r="P23" s="114" cm="1">
        <f t="array" ref="P23">IF(ISBLANK(INDEX(WORLDCUP!$AC$4:$AC$147,MATCH(M23,WORLDCUP!$AH$4:$AH$147,0))),"",INDEX(WORLDCUP!$AC$4:$AC$147,MATCH(M23,WORLDCUP!$AH$4:$AH$147,0)))</f>
        <v>1</v>
      </c>
      <c r="Q23" s="114" cm="1">
        <f t="array" ref="Q23">IF(ISBLANK(INDEX(WORLDCUP!$AD$4:$AD$147,MATCH(M23,WORLDCUP!$AH$4:$AH$147,0))),"",INDEX(WORLDCUP!$AD$4:$AD$147,MATCH(M23,WORLDCUP!$AH$4:$AH$147,0)))</f>
        <v>3</v>
      </c>
      <c r="R23" s="488" t="str" cm="1">
        <f t="array" ref="R23">MID(INDEX(WORLDCUP!$AF$4:$AF$147,MATCH(M23,WORLDCUP!$AH$4:$AH$147,0)),1,3)</f>
        <v>Fra</v>
      </c>
      <c r="S23" s="510">
        <v>4</v>
      </c>
      <c r="T23" s="523" t="str" cm="1">
        <f t="array" ref="T23">MID(INDEX(WORLDCUP!$AL$6:$AL$97,MATCH(X23,WORLDCUP!$AI$6:$AI$97,0)),1,3)</f>
        <v>Nor</v>
      </c>
      <c r="U23" s="524" cm="1">
        <f t="array" ref="U23">INDEX(WORLDCUP!$AM$6:$AM$97,MATCH(X23,WORLDCUP!$AI$6:$AI$97,0))</f>
        <v>6</v>
      </c>
      <c r="V23" s="525" cm="1">
        <f t="array" ref="V23">INDEX(WORLDCUP!$AT$6:$AT$97,MATCH(X23,WORLDCUP!$AI$6:$AI$97,0))</f>
        <v>0</v>
      </c>
      <c r="W23" s="526" t="str" cm="1">
        <f t="array" ref="W23">INDEX(WORLDCUP!$AR$6:$AR$97,MATCH(X23,WORLDCUP!$AI$6:$AI$97,0))&amp;"-"&amp;INDEX(WORLDCUP!$AS$6:$AS$97,MATCH(X23,WORLDCUP!$AI$6:$AI$97,0))</f>
        <v>4-4</v>
      </c>
      <c r="X23" s="496" t="s">
        <v>190</v>
      </c>
      <c r="Y23" s="513"/>
      <c r="Z23" s="249"/>
      <c r="AA23" s="514"/>
      <c r="AB23" s="514"/>
      <c r="AC23" s="515"/>
      <c r="AD23" s="516">
        <v>94</v>
      </c>
      <c r="AE23" s="499" t="str" cm="1">
        <f t="array" ref="AE23">MID(INDEX(WORLDCUP!$AF$101:$AF$147,MATCH(AD23,WORLDCUP!$Z$101:$Z$147,0)),1,3)</f>
        <v>W82</v>
      </c>
      <c r="AF23" s="500" t="str" cm="1">
        <f t="array" ref="AF23">IF(ISBLANK(INDEX(WORLDCUP!$AD$101:$AD$147,MATCH(AD23,WORLDCUP!$Z$101:$Z$147,0))),"",INDEX(WORLDCUP!$AD$101:$AD$147,MATCH(AD23,WORLDCUP!$Z$101:$Z$147,0)))</f>
        <v/>
      </c>
      <c r="AG23" s="559" t="str" cm="1">
        <f t="array" ref="AG23">IF(ISBLANK(INDEX(WORLDCUP!$AE$101:$AE$147,MATCH(AD23,WORLDCUP!$Z$101:$Z$147,0))),"","( "&amp;INDEX(WORLDCUP!$AE$101:$AE$147,MATCH(AD23,WORLDCUP!$Z$101:$Z$147,0))&amp;" )")</f>
        <v/>
      </c>
      <c r="AH23" s="281"/>
      <c r="AI23" s="502"/>
      <c r="AJ23" s="502"/>
      <c r="AK23" s="502"/>
      <c r="AL23" s="281"/>
      <c r="AM23" s="473"/>
      <c r="AN23" s="473"/>
      <c r="AO23" s="571"/>
      <c r="AP23" s="543"/>
      <c r="AQ23" s="503"/>
      <c r="AR23" s="503"/>
      <c r="AS23" s="503"/>
      <c r="AT23" s="281"/>
      <c r="AU23" s="475"/>
      <c r="AV23" s="475"/>
      <c r="AW23" s="475"/>
      <c r="AX23" s="583"/>
      <c r="AY23" s="588"/>
      <c r="AZ23" s="589"/>
      <c r="BA23" s="591"/>
      <c r="BB23" s="589" t="str" cm="1">
        <f t="array" ref="BB23">WORLDCUP!AA151</f>
        <v>LF</v>
      </c>
      <c r="BC23" s="590"/>
      <c r="BD23" s="587"/>
      <c r="BE23" s="8"/>
      <c r="BF23" s="476"/>
      <c r="BG23" s="505" t="s">
        <v>137</v>
      </c>
      <c r="BH23" s="506" cm="1">
        <f t="array" ref="BH23">1-SUM(BI23:BO23)</f>
        <v>1</v>
      </c>
      <c r="BI23" s="506" cm="1">
        <f t="array" ref="BI23">COUNTIF(Pool!$C$130:$C$161,BG23)-BJ23-BK23-BL23-BM23-BN23-BO23</f>
        <v>0</v>
      </c>
      <c r="BJ23" s="507" cm="1">
        <f t="array" ref="BJ23">COUNTIF(Pool!$C$182:$C$197,BG23)-BK23-BL23-BM23-BN23-BO23</f>
        <v>0</v>
      </c>
      <c r="BK23" s="508" cm="1">
        <f t="array" ref="BK23">COUNTIF(Pool!$C$210:$C$217,BG23)-BL23-BM23-BN23-BO23</f>
        <v>0</v>
      </c>
      <c r="BL23" s="508" cm="1">
        <f t="array" ref="BL23">COUNTIF(Pool!$C$226:$C$229,BG23)-BM23-BN23-BO23</f>
        <v>0</v>
      </c>
      <c r="BM23" s="506" cm="1">
        <f t="array" ref="BM23">COUNTIF(Pool!$C$252,BG23)</f>
        <v>0</v>
      </c>
      <c r="BN23" s="506" cm="1">
        <f t="array" ref="BN23">COUNTIF(Pool!$C$251,BG23)</f>
        <v>0</v>
      </c>
      <c r="BO23" s="509" cm="1">
        <f t="array" ref="BO23">COUNTIF(Pool!$C$250,BG23)</f>
        <v>0</v>
      </c>
    </row>
    <row r="24" spans="1:67" ht="16" customHeight="1" x14ac:dyDescent="0.2">
      <c r="A24" s="451">
        <v>50</v>
      </c>
      <c r="B24" s="592"/>
      <c r="C24" s="533" t="str" cm="1">
        <f t="array" ref="C24">MID(INDEX(WORLDCUP!$AA$4:$AA$147,MATCH(A24,WORLDCUP!$AH$4:$AH$147,0)),1,3)</f>
        <v>Mar</v>
      </c>
      <c r="D24" s="153" cm="1">
        <f t="array" ref="D24">IF(ISBLANK(INDEX(WORLDCUP!$AC$4:$AC$147,MATCH(A24,WORLDCUP!$AH$4:$AH$147,0))),"",INDEX(WORLDCUP!$AC$4:$AC$147,MATCH(A24,WORLDCUP!$AH$4:$AH$147,0)))</f>
        <v>4</v>
      </c>
      <c r="E24" s="153" cm="1">
        <f t="array" ref="E24">IF(ISBLANK(INDEX(WORLDCUP!$AD$4:$AD$147,MATCH(A24,WORLDCUP!$AH$4:$AH$147,0))),"",INDEX(WORLDCUP!$AD$4:$AD$147,MATCH(A24,WORLDCUP!$AH$4:$AH$147,0)))</f>
        <v>0</v>
      </c>
      <c r="F24" s="534" t="str" cm="1">
        <f t="array" ref="F24">MID(INDEX(WORLDCUP!$AF$4:$AF$147,MATCH(A24,WORLDCUP!$AH$4:$AH$147,0)),1,3)</f>
        <v>Hai</v>
      </c>
      <c r="G24" s="535"/>
      <c r="H24" s="536"/>
      <c r="I24" s="537"/>
      <c r="J24" s="537"/>
      <c r="K24" s="538"/>
      <c r="L24" s="461"/>
      <c r="M24" s="462">
        <v>62</v>
      </c>
      <c r="N24" s="593"/>
      <c r="O24" s="533" t="str" cm="1">
        <f t="array" ref="O24">MID(INDEX(WORLDCUP!$AA$4:$AA$147,MATCH(M24,WORLDCUP!$AH$4:$AH$147,0)),1,3)</f>
        <v>Sen</v>
      </c>
      <c r="P24" s="153" cm="1">
        <f t="array" ref="P24">IF(ISBLANK(INDEX(WORLDCUP!$AC$4:$AC$147,MATCH(M24,WORLDCUP!$AH$4:$AH$147,0))),"",INDEX(WORLDCUP!$AC$4:$AC$147,MATCH(M24,WORLDCUP!$AH$4:$AH$147,0)))</f>
        <v>2</v>
      </c>
      <c r="Q24" s="153" cm="1">
        <f t="array" ref="Q24">IF(ISBLANK(INDEX(WORLDCUP!$AD$4:$AD$147,MATCH(M24,WORLDCUP!$AH$4:$AH$147,0))),"",INDEX(WORLDCUP!$AD$4:$AD$147,MATCH(M24,WORLDCUP!$AH$4:$AH$147,0)))</f>
        <v>0</v>
      </c>
      <c r="R24" s="534" t="str" cm="1">
        <f t="array" ref="R24">MID(INDEX(WORLDCUP!$AF$4:$AF$147,MATCH(M24,WORLDCUP!$AH$4:$AH$147,0)),1,3)</f>
        <v>Ira</v>
      </c>
      <c r="S24" s="535"/>
      <c r="T24" s="536"/>
      <c r="U24" s="537"/>
      <c r="V24" s="537"/>
      <c r="W24" s="538"/>
      <c r="X24" s="464"/>
      <c r="Y24" s="465">
        <v>82</v>
      </c>
      <c r="Z24" s="466" t="s">
        <v>166</v>
      </c>
      <c r="AA24" s="467" t="str" cm="1">
        <f t="array" ref="AA24">MID(INDEX(WORLDCUP!$AA$101:$AA$147,MATCH(Y24,WORLDCUP!$Z$101:$Z$147,0)),1,3)</f>
        <v>Bél</v>
      </c>
      <c r="AB24" s="468" t="str" cm="1">
        <f t="array" ref="AB24">IF(ISBLANK(INDEX(WORLDCUP!$AC$101:$AC$147,MATCH(Y24,WORLDCUP!$Z$101:$Z$147,0))),"",INDEX(WORLDCUP!$AC$101:$AC$147,MATCH(Y24,WORLDCUP!$Z$101:$Z$147,0)))</f>
        <v/>
      </c>
      <c r="AC24" s="562" t="str" cm="1">
        <f t="array" ref="AC24">IF(ISBLANK(INDEX(WORLDCUP!$AB$101:$AB$147,MATCH(Y24,WORLDCUP!$Z$101:$Z$147,0))),"","( "&amp;INDEX(WORLDCUP!$AB$101:$AB$147,MATCH(Y24,WORLDCUP!$Z$101:$Z$147,0))&amp;" )")</f>
        <v/>
      </c>
      <c r="AD24" s="518"/>
      <c r="AE24" s="563"/>
      <c r="AF24" s="563"/>
      <c r="AG24" s="471"/>
      <c r="AH24" s="281"/>
      <c r="AI24" s="502"/>
      <c r="AJ24" s="502"/>
      <c r="AK24" s="502"/>
      <c r="AL24" s="281"/>
      <c r="AM24" s="473"/>
      <c r="AN24" s="473"/>
      <c r="AO24" s="571"/>
      <c r="AP24" s="543"/>
      <c r="AQ24" s="503"/>
      <c r="AR24" s="503"/>
      <c r="AS24" s="503"/>
      <c r="AT24" s="281"/>
      <c r="AU24" s="594"/>
      <c r="AV24" s="594"/>
      <c r="AW24" s="475"/>
      <c r="AX24" s="583"/>
      <c r="AY24" s="588"/>
      <c r="AZ24" s="589"/>
      <c r="BA24" s="591"/>
      <c r="BB24" s="595"/>
      <c r="BC24" s="590"/>
      <c r="BD24" s="587"/>
      <c r="BE24" s="8"/>
      <c r="BF24" s="476"/>
      <c r="BG24" s="505" t="s">
        <v>174</v>
      </c>
      <c r="BH24" s="506" cm="1">
        <f t="array" ref="BH24">1-SUM(BI24:BO24)</f>
        <v>0</v>
      </c>
      <c r="BI24" s="506" cm="1">
        <f t="array" ref="BI24">COUNTIF(Pool!$C$130:$C$161,BG24)-BJ24-BK24-BL24-BM24-BN24-BO24</f>
        <v>1</v>
      </c>
      <c r="BJ24" s="507" cm="1">
        <f t="array" ref="BJ24">COUNTIF(Pool!$C$182:$C$197,BG24)-BK24-BL24-BM24-BN24-BO24</f>
        <v>0</v>
      </c>
      <c r="BK24" s="508" cm="1">
        <f t="array" ref="BK24">COUNTIF(Pool!$C$210:$C$217,BG24)-BL24-BM24-BN24-BO24</f>
        <v>0</v>
      </c>
      <c r="BL24" s="508" cm="1">
        <f t="array" ref="BL24">COUNTIF(Pool!$C$226:$C$229,BG24)-BM24-BN24-BO24</f>
        <v>0</v>
      </c>
      <c r="BM24" s="506" cm="1">
        <f t="array" ref="BM24">COUNTIF(Pool!$C$252,BG24)</f>
        <v>0</v>
      </c>
      <c r="BN24" s="506" cm="1">
        <f t="array" ref="BN24">COUNTIF(Pool!$C$251,BG24)</f>
        <v>0</v>
      </c>
      <c r="BO24" s="509" cm="1">
        <f t="array" ref="BO24">COUNTIF(Pool!$C$250,BG24)</f>
        <v>0</v>
      </c>
    </row>
    <row r="25" spans="1:67" ht="16" customHeight="1" x14ac:dyDescent="0.2">
      <c r="A25" s="7"/>
      <c r="B25" s="544"/>
      <c r="C25" s="545"/>
      <c r="D25" s="546"/>
      <c r="E25" s="546"/>
      <c r="F25" s="547"/>
      <c r="G25" s="547"/>
      <c r="H25" s="545"/>
      <c r="I25" s="547"/>
      <c r="J25" s="547"/>
      <c r="K25" s="547"/>
      <c r="L25" s="281"/>
      <c r="M25" s="8"/>
      <c r="N25" s="547"/>
      <c r="O25" s="547"/>
      <c r="P25" s="547"/>
      <c r="Q25" s="547"/>
      <c r="R25" s="547"/>
      <c r="S25" s="547"/>
      <c r="T25" s="547"/>
      <c r="U25" s="547"/>
      <c r="V25" s="547"/>
      <c r="W25" s="547"/>
      <c r="X25" s="8"/>
      <c r="Y25" s="548">
        <v>82</v>
      </c>
      <c r="Z25" s="466" t="s">
        <v>259</v>
      </c>
      <c r="AA25" s="467" t="str" cm="1">
        <f t="array" ref="AA25">MID(INDEX(WORLDCUP!$AF$101:$AF$147,MATCH(Y25,WORLDCUP!$Z$101:$Z$147,0)),1,IF(WORLDCUP!$H$113&lt;144,6,3))</f>
        <v>3AE</v>
      </c>
      <c r="AB25" s="468" t="str" cm="1">
        <f t="array" ref="AB25">IF(ISBLANK(INDEX(WORLDCUP!$AD$101:$AD$147,MATCH(Y25,WORLDCUP!$Z$101:$Z$147,0))),"",INDEX(WORLDCUP!$AD$101:$AD$147,MATCH(Y25,WORLDCUP!$Z$101:$Z$147,0)))</f>
        <v/>
      </c>
      <c r="AC25" s="565" t="str" cm="1">
        <f t="array" ref="AC25">IF(ISBLANK(INDEX(WORLDCUP!$AE$101:$AE$147,MATCH(Y25,WORLDCUP!$Z$101:$Z$147,0))),"","( "&amp;INDEX(WORLDCUP!$AE$101:$AE$147,MATCH(Y25,WORLDCUP!$Z$101:$Z$147,0))&amp;" )")</f>
        <v/>
      </c>
      <c r="AD25" s="281"/>
      <c r="AE25" s="471"/>
      <c r="AF25" s="471"/>
      <c r="AG25" s="471"/>
      <c r="AH25" s="281"/>
      <c r="AI25" s="502"/>
      <c r="AJ25" s="502"/>
      <c r="AK25" s="502"/>
      <c r="AL25" s="281"/>
      <c r="AM25" s="473"/>
      <c r="AN25" s="473"/>
      <c r="AO25" s="571"/>
      <c r="AP25" s="596"/>
      <c r="AQ25" s="597"/>
      <c r="AR25" s="597"/>
      <c r="AS25" s="597"/>
      <c r="AT25" s="598">
        <v>104</v>
      </c>
      <c r="AU25" s="599" t="str" cm="1">
        <f t="array" ref="AU25">MID(INDEX(WORLDCUP!$AA$101:$AA$147,MATCH(AT25,WORLDCUP!$Z$101:$Z$147,0)),1,4)</f>
        <v>W101</v>
      </c>
      <c r="AV25" s="600" t="str" cm="1">
        <f t="array" ref="AV25">IF(ISBLANK(INDEX(WORLDCUP!$AC$101:$AC$147,MATCH(AT25,WORLDCUP!$Z$101:$Z$147,0))),"",INDEX(WORLDCUP!$AC$101:$AC$147,MATCH(AT25,WORLDCUP!$Z$101:$Z$147,0)))</f>
        <v/>
      </c>
      <c r="AW25" s="601" t="str" cm="1">
        <f t="array" ref="AW25">IF(ISBLANK(INDEX(WORLDCUP!$AB$101:$AB$147,MATCH(AT25,WORLDCUP!$Z$101:$Z$147,0))),"","( "&amp;INDEX(WORLDCUP!$AB$101:$AB$147,MATCH(AT25,WORLDCUP!$Z$101:$Z$147,0))&amp;" )")</f>
        <v/>
      </c>
      <c r="AX25" s="602"/>
      <c r="AY25" s="588"/>
      <c r="AZ25" s="589" t="str" cm="1">
        <f t="array" ref="AZ25">WORLDCUP!AA152</f>
        <v>W34</v>
      </c>
      <c r="BA25" s="591"/>
      <c r="BB25" s="595"/>
      <c r="BC25" s="590"/>
      <c r="BD25" s="587"/>
      <c r="BE25" s="8"/>
      <c r="BF25" s="476"/>
      <c r="BG25" s="505" t="s">
        <v>140</v>
      </c>
      <c r="BH25" s="506" cm="1">
        <f t="array" ref="BH25">1-SUM(BI25:BO25)</f>
        <v>0</v>
      </c>
      <c r="BI25" s="506" cm="1">
        <f t="array" ref="BI25">COUNTIF(Pool!$C$130:$C$161,BG25)-BJ25-BK25-BL25-BM25-BN25-BO25</f>
        <v>1</v>
      </c>
      <c r="BJ25" s="507" cm="1">
        <f t="array" ref="BJ25">COUNTIF(Pool!$C$182:$C$197,BG25)-BK25-BL25-BM25-BN25-BO25</f>
        <v>0</v>
      </c>
      <c r="BK25" s="508" cm="1">
        <f t="array" ref="BK25">COUNTIF(Pool!$C$210:$C$217,BG25)-BL25-BM25-BN25-BO25</f>
        <v>0</v>
      </c>
      <c r="BL25" s="508" cm="1">
        <f t="array" ref="BL25">COUNTIF(Pool!$C$226:$C$229,BG25)-BM25-BN25-BO25</f>
        <v>0</v>
      </c>
      <c r="BM25" s="506" cm="1">
        <f t="array" ref="BM25">COUNTIF(Pool!$C$252,BG25)</f>
        <v>0</v>
      </c>
      <c r="BN25" s="506" cm="1">
        <f t="array" ref="BN25">COUNTIF(Pool!$C$251,BG25)</f>
        <v>0</v>
      </c>
      <c r="BO25" s="509" cm="1">
        <f t="array" ref="BO25">COUNTIF(Pool!$C$250,BG25)</f>
        <v>0</v>
      </c>
    </row>
    <row r="26" spans="1:67" ht="16" customHeight="1" x14ac:dyDescent="0.2">
      <c r="A26" s="7"/>
      <c r="B26" s="443"/>
      <c r="C26" s="552"/>
      <c r="D26" s="553"/>
      <c r="E26" s="553"/>
      <c r="F26" s="111"/>
      <c r="G26" s="111"/>
      <c r="H26" s="552"/>
      <c r="I26" s="111"/>
      <c r="J26" s="111"/>
      <c r="K26" s="111"/>
      <c r="L26" s="281"/>
      <c r="M26" s="8"/>
      <c r="N26" s="111"/>
      <c r="O26" s="111"/>
      <c r="P26" s="111"/>
      <c r="Q26" s="111"/>
      <c r="R26" s="111"/>
      <c r="S26" s="111"/>
      <c r="T26" s="111"/>
      <c r="U26" s="111"/>
      <c r="V26" s="111"/>
      <c r="W26" s="111"/>
      <c r="X26" s="8"/>
      <c r="Y26" s="281"/>
      <c r="Z26" s="249"/>
      <c r="AA26" s="540"/>
      <c r="AB26" s="540"/>
      <c r="AC26" s="541"/>
      <c r="AD26" s="281"/>
      <c r="AE26" s="471"/>
      <c r="AF26" s="471"/>
      <c r="AG26" s="528"/>
      <c r="AH26" s="281"/>
      <c r="AI26" s="502"/>
      <c r="AJ26" s="502"/>
      <c r="AK26" s="502"/>
      <c r="AL26" s="281"/>
      <c r="AM26" s="473"/>
      <c r="AN26" s="473"/>
      <c r="AO26" s="571"/>
      <c r="AP26" s="603"/>
      <c r="AQ26" s="604"/>
      <c r="AR26" s="604"/>
      <c r="AS26" s="604"/>
      <c r="AT26" s="605">
        <v>104</v>
      </c>
      <c r="AU26" s="599" t="str" cm="1">
        <f t="array" ref="AU26">MID(INDEX(WORLDCUP!$AF$101:$AF$147,MATCH(AT26,WORLDCUP!$Z$101:$Z$147,0)),1,4)</f>
        <v>W102</v>
      </c>
      <c r="AV26" s="600" t="str" cm="1">
        <f t="array" ref="AV26">IF(ISBLANK(INDEX(WORLDCUP!$AD$101:$AD$147,MATCH(AT26,WORLDCUP!$Z$101:$Z$147,0))),"",INDEX(WORLDCUP!$AD$101:$AD$147,MATCH(AT26,WORLDCUP!$Z$101:$Z$147,0)))</f>
        <v/>
      </c>
      <c r="AW26" s="606" t="str" cm="1">
        <f t="array" ref="AW26">IF(ISBLANK(INDEX(WORLDCUP!$AE$101:$AE$147,MATCH(AT26,WORLDCUP!$Z$101:$Z$147,0))),"","( "&amp;INDEX(WORLDCUP!$AE$101:$AE$147,MATCH(AT26,WORLDCUP!$Z$101:$Z$147,0))&amp;" )")</f>
        <v/>
      </c>
      <c r="AX26" s="607"/>
      <c r="AY26" s="588"/>
      <c r="AZ26" s="608"/>
      <c r="BA26" s="591"/>
      <c r="BB26" s="595"/>
      <c r="BC26" s="590"/>
      <c r="BD26" s="587"/>
      <c r="BE26" s="8"/>
      <c r="BF26" s="476"/>
      <c r="BG26" s="505" t="s">
        <v>183</v>
      </c>
      <c r="BH26" s="506" cm="1">
        <f t="array" ref="BH26">1-SUM(BI26:BO26)</f>
        <v>0</v>
      </c>
      <c r="BI26" s="506" cm="1">
        <f t="array" ref="BI26">COUNTIF(Pool!$C$130:$C$161,BG26)-BJ26-BK26-BL26-BM26-BN26-BO26</f>
        <v>1</v>
      </c>
      <c r="BJ26" s="507" cm="1">
        <f t="array" ref="BJ26">COUNTIF(Pool!$C$182:$C$197,BG26)-BK26-BL26-BM26-BN26-BO26</f>
        <v>0</v>
      </c>
      <c r="BK26" s="508" cm="1">
        <f t="array" ref="BK26">COUNTIF(Pool!$C$210:$C$217,BG26)-BL26-BM26-BN26-BO26</f>
        <v>0</v>
      </c>
      <c r="BL26" s="508" cm="1">
        <f t="array" ref="BL26">COUNTIF(Pool!$C$226:$C$229,BG26)-BM26-BN26-BO26</f>
        <v>0</v>
      </c>
      <c r="BM26" s="506" cm="1">
        <f t="array" ref="BM26">COUNTIF(Pool!$C$252,BG26)</f>
        <v>0</v>
      </c>
      <c r="BN26" s="506" cm="1">
        <f t="array" ref="BN26">COUNTIF(Pool!$C$251,BG26)</f>
        <v>0</v>
      </c>
      <c r="BO26" s="509" cm="1">
        <f t="array" ref="BO26">COUNTIF(Pool!$C$250,BG26)</f>
        <v>0</v>
      </c>
    </row>
    <row r="27" spans="1:67" ht="16" customHeight="1" x14ac:dyDescent="0.2">
      <c r="A27" s="451">
        <v>4</v>
      </c>
      <c r="B27" s="609" t="s">
        <v>139</v>
      </c>
      <c r="C27" s="453" t="str" cm="1">
        <f t="array" ref="C27">MID(INDEX(WORLDCUP!$AA$4:$AA$147,MATCH(A27,WORLDCUP!$AH$4:$AH$147,0)),1,3)</f>
        <v>Est</v>
      </c>
      <c r="D27" s="454" cm="1">
        <f t="array" ref="D27">IF(ISBLANK(INDEX(WORLDCUP!$AC$4:$AC$147,MATCH(A27,WORLDCUP!$AH$4:$AH$147,0))),"",INDEX(WORLDCUP!$AC$4:$AC$147,MATCH(A27,WORLDCUP!$AH$4:$AH$147,0)))</f>
        <v>1</v>
      </c>
      <c r="E27" s="454" cm="1">
        <f t="array" ref="E27">IF(ISBLANK(INDEX(WORLDCUP!$AD$4:$AD$147,MATCH(A27,WORLDCUP!$AH$4:$AH$147,0))),"",INDEX(WORLDCUP!$AD$4:$AD$147,MATCH(A27,WORLDCUP!$AH$4:$AH$147,0)))</f>
        <v>2</v>
      </c>
      <c r="F27" s="455" t="str" cm="1">
        <f t="array" ref="F27">MID(INDEX(WORLDCUP!$AF$4:$AF$147,MATCH(A27,WORLDCUP!$AH$4:$AH$147,0)),1,3)</f>
        <v>Par</v>
      </c>
      <c r="G27" s="456"/>
      <c r="H27" s="457" t="str" cm="1">
        <f t="array" ref="H27">H19</f>
        <v>Sel</v>
      </c>
      <c r="I27" s="459" t="str" cm="1">
        <f t="array" ref="I27">I19</f>
        <v>Pts</v>
      </c>
      <c r="J27" s="459" t="str" cm="1">
        <f t="array" ref="J27">J19</f>
        <v>DG</v>
      </c>
      <c r="K27" s="460" t="str" cm="1">
        <f t="array" ref="K27">K19</f>
        <v>GF-GC</v>
      </c>
      <c r="L27" s="461"/>
      <c r="M27" s="462">
        <v>19</v>
      </c>
      <c r="N27" s="610" t="s">
        <v>53</v>
      </c>
      <c r="O27" s="453" t="str" cm="1">
        <f t="array" ref="O27">MID(INDEX(WORLDCUP!$AA$4:$AA$147,MATCH(M27,WORLDCUP!$AH$4:$AH$147,0)),1,3)</f>
        <v>Arg</v>
      </c>
      <c r="P27" s="454" cm="1">
        <f t="array" ref="P27">IF(ISBLANK(INDEX(WORLDCUP!$AC$4:$AC$147,MATCH(M27,WORLDCUP!$AH$4:$AH$147,0))),"",INDEX(WORLDCUP!$AC$4:$AC$147,MATCH(M27,WORLDCUP!$AH$4:$AH$147,0)))</f>
        <v>5</v>
      </c>
      <c r="Q27" s="454" cm="1">
        <f t="array" ref="Q27">IF(ISBLANK(INDEX(WORLDCUP!$AD$4:$AD$147,MATCH(M27,WORLDCUP!$AH$4:$AH$147,0))),"",INDEX(WORLDCUP!$AD$4:$AD$147,MATCH(M27,WORLDCUP!$AH$4:$AH$147,0)))</f>
        <v>1</v>
      </c>
      <c r="R27" s="455" t="str" cm="1">
        <f t="array" ref="R27">MID(INDEX(WORLDCUP!$AF$4:$AF$147,MATCH(M27,WORLDCUP!$AH$4:$AH$147,0)),1,3)</f>
        <v>Arg</v>
      </c>
      <c r="S27" s="456"/>
      <c r="T27" s="457" t="str" cm="1">
        <f t="array" ref="T27">T19</f>
        <v>Sel</v>
      </c>
      <c r="U27" s="459" t="str" cm="1">
        <f t="array" ref="U27">U19</f>
        <v>Pts</v>
      </c>
      <c r="V27" s="459" t="str" cm="1">
        <f t="array" ref="V27">V19</f>
        <v>DG</v>
      </c>
      <c r="W27" s="460" t="str" cm="1">
        <f t="array" ref="W27">W19</f>
        <v>GF-GC</v>
      </c>
      <c r="X27" s="464"/>
      <c r="Y27" s="465">
        <v>76</v>
      </c>
      <c r="Z27" s="466" t="s">
        <v>132</v>
      </c>
      <c r="AA27" s="467" t="str" cm="1">
        <f t="array" ref="AA27">MID(INDEX(WORLDCUP!$AA$101:$AA$147,MATCH(Y27,WORLDCUP!$Z$101:$Z$147,0)),1,3)</f>
        <v>Bra</v>
      </c>
      <c r="AB27" s="468" t="str" cm="1">
        <f t="array" ref="AB27">IF(ISBLANK(INDEX(WORLDCUP!$AC$101:$AC$147,MATCH(Y27,WORLDCUP!$Z$101:$Z$147,0))),"",INDEX(WORLDCUP!$AC$101:$AC$147,MATCH(Y27,WORLDCUP!$Z$101:$Z$147,0)))</f>
        <v/>
      </c>
      <c r="AC27" s="549" t="str" cm="1">
        <f t="array" ref="AC27">IF(ISBLANK(INDEX(WORLDCUP!$AB$101:$AB$147,MATCH(Y27,WORLDCUP!$Z$101:$Z$147,0))),"","( "&amp;INDEX(WORLDCUP!$AB$101:$AB$147,MATCH(Y27,WORLDCUP!$Z$101:$Z$147,0))&amp;" )")</f>
        <v/>
      </c>
      <c r="AD27" s="73"/>
      <c r="AE27" s="470"/>
      <c r="AF27" s="470"/>
      <c r="AG27" s="471"/>
      <c r="AH27" s="281"/>
      <c r="AI27" s="502"/>
      <c r="AJ27" s="502"/>
      <c r="AK27" s="502"/>
      <c r="AL27" s="281"/>
      <c r="AM27" s="473"/>
      <c r="AN27" s="473"/>
      <c r="AO27" s="571"/>
      <c r="AP27" s="543"/>
      <c r="AQ27" s="503"/>
      <c r="AR27" s="503"/>
      <c r="AS27" s="503"/>
      <c r="AT27" s="281"/>
      <c r="AU27" s="611"/>
      <c r="AV27" s="611"/>
      <c r="AW27" s="475"/>
      <c r="AX27" s="583"/>
      <c r="AY27" s="588"/>
      <c r="AZ27" s="608"/>
      <c r="BA27" s="591"/>
      <c r="BB27" s="595"/>
      <c r="BC27" s="590"/>
      <c r="BD27" s="587"/>
      <c r="BE27" s="8"/>
      <c r="BF27" s="476"/>
      <c r="BG27" s="505" t="s">
        <v>213</v>
      </c>
      <c r="BH27" s="506" cm="1">
        <f t="array" ref="BH27">1-SUM(BI27:BO27)</f>
        <v>1</v>
      </c>
      <c r="BI27" s="506" cm="1">
        <f t="array" ref="BI27">COUNTIF(Pool!$C$130:$C$161,BG27)-BJ27-BK27-BL27-BM27-BN27-BO27</f>
        <v>0</v>
      </c>
      <c r="BJ27" s="507" cm="1">
        <f t="array" ref="BJ27">COUNTIF(Pool!$C$182:$C$197,BG27)-BK27-BL27-BM27-BN27-BO27</f>
        <v>0</v>
      </c>
      <c r="BK27" s="508" cm="1">
        <f t="array" ref="BK27">COUNTIF(Pool!$C$210:$C$217,BG27)-BL27-BM27-BN27-BO27</f>
        <v>0</v>
      </c>
      <c r="BL27" s="508" cm="1">
        <f t="array" ref="BL27">COUNTIF(Pool!$C$226:$C$229,BG27)-BM27-BN27-BO27</f>
        <v>0</v>
      </c>
      <c r="BM27" s="506" cm="1">
        <f t="array" ref="BM27">COUNTIF(Pool!$C$252,BG27)</f>
        <v>0</v>
      </c>
      <c r="BN27" s="506" cm="1">
        <f t="array" ref="BN27">COUNTIF(Pool!$C$251,BG27)</f>
        <v>0</v>
      </c>
      <c r="BO27" s="509" cm="1">
        <f t="array" ref="BO27">COUNTIF(Pool!$C$250,BG27)</f>
        <v>0</v>
      </c>
    </row>
    <row r="28" spans="1:67" ht="16" customHeight="1" x14ac:dyDescent="0.2">
      <c r="A28" s="451">
        <v>6</v>
      </c>
      <c r="B28" s="612"/>
      <c r="C28" s="487" t="str" cm="1">
        <f t="array" ref="C28">MID(INDEX(WORLDCUP!$AA$4:$AA$147,MATCH(A28,WORLDCUP!$AH$4:$AH$147,0)),1,3)</f>
        <v>Aus</v>
      </c>
      <c r="D28" s="114" cm="1">
        <f t="array" ref="D28">IF(ISBLANK(INDEX(WORLDCUP!$AC$4:$AC$147,MATCH(A28,WORLDCUP!$AH$4:$AH$147,0))),"",INDEX(WORLDCUP!$AC$4:$AC$147,MATCH(A28,WORLDCUP!$AH$4:$AH$147,0)))</f>
        <v>0</v>
      </c>
      <c r="E28" s="114" cm="1">
        <f t="array" ref="E28">IF(ISBLANK(INDEX(WORLDCUP!$AD$4:$AD$147,MATCH(A28,WORLDCUP!$AH$4:$AH$147,0))),"",INDEX(WORLDCUP!$AD$4:$AD$147,MATCH(A28,WORLDCUP!$AH$4:$AH$147,0)))</f>
        <v>4</v>
      </c>
      <c r="F28" s="488" t="str" cm="1">
        <f t="array" ref="F28">MID(INDEX(WORLDCUP!$AF$4:$AF$147,MATCH(A28,WORLDCUP!$AH$4:$AH$147,0)),1,3)</f>
        <v>Tur</v>
      </c>
      <c r="G28" s="489">
        <v>1</v>
      </c>
      <c r="H28" s="490" t="str" cm="1">
        <f t="array" ref="H28">MID(INDEX(WORLDCUP!$AL$6:$AL$97,MATCH(L28,WORLDCUP!$AI$6:$AI$97,0)),1,3)</f>
        <v>Est</v>
      </c>
      <c r="I28" s="491" cm="1">
        <f t="array" ref="I28">INDEX(WORLDCUP!$AM$6:$AM$97,MATCH(L28,WORLDCUP!$AI$6:$AI$97,0))</f>
        <v>3</v>
      </c>
      <c r="J28" s="492" cm="1">
        <f t="array" ref="J28">INDEX(WORLDCUP!$AT$6:$AT$97,MATCH(L28,WORLDCUP!$AI$6:$AI$97,0))</f>
        <v>-1</v>
      </c>
      <c r="K28" s="493" t="str" cm="1">
        <f t="array" ref="K28">INDEX(WORLDCUP!$AR$6:$AR$97,MATCH(L28,WORLDCUP!$AI$6:$AI$97,0))&amp;"-"&amp;INDEX(WORLDCUP!$AS$6:$AS$97,MATCH(L28,WORLDCUP!$AI$6:$AI$97,0))</f>
        <v>4-5</v>
      </c>
      <c r="L28" s="494" t="s">
        <v>141</v>
      </c>
      <c r="M28" s="462">
        <v>20</v>
      </c>
      <c r="N28" s="613"/>
      <c r="O28" s="487" t="str" cm="1">
        <f t="array" ref="O28">MID(INDEX(WORLDCUP!$AA$4:$AA$147,MATCH(M28,WORLDCUP!$AH$4:$AH$147,0)),1,3)</f>
        <v>Aus</v>
      </c>
      <c r="P28" s="114" cm="1">
        <f t="array" ref="P28">IF(ISBLANK(INDEX(WORLDCUP!$AC$4:$AC$147,MATCH(M28,WORLDCUP!$AH$4:$AH$147,0))),"",INDEX(WORLDCUP!$AC$4:$AC$147,MATCH(M28,WORLDCUP!$AH$4:$AH$147,0)))</f>
        <v>2</v>
      </c>
      <c r="Q28" s="114" cm="1">
        <f t="array" ref="Q28">IF(ISBLANK(INDEX(WORLDCUP!$AD$4:$AD$147,MATCH(M28,WORLDCUP!$AH$4:$AH$147,0))),"",INDEX(WORLDCUP!$AD$4:$AD$147,MATCH(M28,WORLDCUP!$AH$4:$AH$147,0)))</f>
        <v>0</v>
      </c>
      <c r="R28" s="488" t="str" cm="1">
        <f t="array" ref="R28">MID(INDEX(WORLDCUP!$AF$4:$AF$147,MATCH(M28,WORLDCUP!$AH$4:$AH$147,0)),1,3)</f>
        <v>Jor</v>
      </c>
      <c r="S28" s="489">
        <v>1</v>
      </c>
      <c r="T28" s="490" t="str" cm="1">
        <f t="array" ref="T28">MID(INDEX(WORLDCUP!$AL$6:$AL$97,MATCH(X28,WORLDCUP!$AI$6:$AI$97,0)),1,3)</f>
        <v>Arg</v>
      </c>
      <c r="U28" s="491" cm="1">
        <f t="array" ref="U28">INDEX(WORLDCUP!$AM$6:$AM$97,MATCH(X28,WORLDCUP!$AI$6:$AI$97,0))</f>
        <v>9</v>
      </c>
      <c r="V28" s="492" cm="1">
        <f t="array" ref="V28">INDEX(WORLDCUP!$AT$6:$AT$97,MATCH(X28,WORLDCUP!$AI$6:$AI$97,0))</f>
        <v>9</v>
      </c>
      <c r="W28" s="493" t="str" cm="1">
        <f t="array" ref="W28">INDEX(WORLDCUP!$AR$6:$AR$97,MATCH(X28,WORLDCUP!$AI$6:$AI$97,0))&amp;"-"&amp;INDEX(WORLDCUP!$AS$6:$AS$97,MATCH(X28,WORLDCUP!$AI$6:$AI$97,0))</f>
        <v>11-2</v>
      </c>
      <c r="X28" s="496" t="s">
        <v>192</v>
      </c>
      <c r="Y28" s="465">
        <v>76</v>
      </c>
      <c r="Z28" s="466" t="s">
        <v>160</v>
      </c>
      <c r="AA28" s="467" t="str" cm="1">
        <f t="array" ref="AA28">MID(INDEX(WORLDCUP!$AF$101:$AF$147,MATCH(Y28,WORLDCUP!$Z$101:$Z$147,0)),1,3)</f>
        <v>2F</v>
      </c>
      <c r="AB28" s="468" t="str" cm="1">
        <f t="array" ref="AB28">IF(ISBLANK(INDEX(WORLDCUP!$AD$101:$AD$147,MATCH(Y28,WORLDCUP!$Z$101:$Z$147,0))),"",INDEX(WORLDCUP!$AD$101:$AD$147,MATCH(Y28,WORLDCUP!$Z$101:$Z$147,0)))</f>
        <v/>
      </c>
      <c r="AC28" s="497" t="str" cm="1">
        <f t="array" ref="AC28">IF(ISBLANK(INDEX(WORLDCUP!$AE$101:$AE$147,MATCH(Y28,WORLDCUP!$Z$101:$Z$147,0))),"","( "&amp;INDEX(WORLDCUP!$AE$101:$AE$147,MATCH(Y28,WORLDCUP!$Z$101:$Z$147,0))&amp;" )")</f>
        <v/>
      </c>
      <c r="AD28" s="498">
        <v>91</v>
      </c>
      <c r="AE28" s="499" t="str" cm="1">
        <f t="array" ref="AE28">MID(INDEX(WORLDCUP!$AA$101:$AA$147,MATCH(AD28,WORLDCUP!$Z$101:$Z$147,0)),1,3)</f>
        <v>W76</v>
      </c>
      <c r="AF28" s="500" t="str" cm="1">
        <f t="array" ref="AF28">IF(ISBLANK(INDEX(WORLDCUP!$AC$101:$AC$147,MATCH(AD28,WORLDCUP!$Z$101:$Z$147,0))),"",INDEX(WORLDCUP!$AC$101:$AC$147,MATCH(AD28,WORLDCUP!$Z$101:$Z$147,0)))</f>
        <v/>
      </c>
      <c r="AG28" s="501" t="str" cm="1">
        <f t="array" ref="AG28">IF(ISBLANK(INDEX(WORLDCUP!$AB$101:$AB$147,MATCH(AD28,WORLDCUP!$Z$101:$Z$147,0))),"","( "&amp;INDEX(WORLDCUP!$AB$101:$AB$147,MATCH(AD28,WORLDCUP!$Z$101:$Z$147,0))&amp;" )")</f>
        <v/>
      </c>
      <c r="AH28" s="281"/>
      <c r="AI28" s="502"/>
      <c r="AJ28" s="502"/>
      <c r="AK28" s="502"/>
      <c r="AL28" s="281"/>
      <c r="AM28" s="473"/>
      <c r="AN28" s="473"/>
      <c r="AO28" s="571"/>
      <c r="AP28" s="543"/>
      <c r="AQ28" s="503"/>
      <c r="AR28" s="503"/>
      <c r="AS28" s="503"/>
      <c r="AT28" s="281"/>
      <c r="AU28" s="475"/>
      <c r="AV28" s="475"/>
      <c r="AW28" s="475"/>
      <c r="AX28" s="583"/>
      <c r="AY28" s="588"/>
      <c r="AZ28" s="608"/>
      <c r="BA28" s="591"/>
      <c r="BB28" s="595"/>
      <c r="BC28" s="590"/>
      <c r="BD28" s="587"/>
      <c r="BE28" s="8"/>
      <c r="BF28" s="476"/>
      <c r="BG28" s="505" t="s">
        <v>135</v>
      </c>
      <c r="BH28" s="506" cm="1">
        <f t="array" ref="BH28">1-SUM(BI28:BO28)</f>
        <v>1</v>
      </c>
      <c r="BI28" s="506" cm="1">
        <f t="array" ref="BI28">COUNTIF(Pool!$C$130:$C$161,BG28)-BJ28-BK28-BL28-BM28-BN28-BO28</f>
        <v>0</v>
      </c>
      <c r="BJ28" s="507" cm="1">
        <f t="array" ref="BJ28">COUNTIF(Pool!$C$182:$C$197,BG28)-BK28-BL28-BM28-BN28-BO28</f>
        <v>0</v>
      </c>
      <c r="BK28" s="508" cm="1">
        <f t="array" ref="BK28">COUNTIF(Pool!$C$210:$C$217,BG28)-BL28-BM28-BN28-BO28</f>
        <v>0</v>
      </c>
      <c r="BL28" s="508" cm="1">
        <f t="array" ref="BL28">COUNTIF(Pool!$C$226:$C$229,BG28)-BM28-BN28-BO28</f>
        <v>0</v>
      </c>
      <c r="BM28" s="506" cm="1">
        <f t="array" ref="BM28">COUNTIF(Pool!$C$252,BG28)</f>
        <v>0</v>
      </c>
      <c r="BN28" s="506" cm="1">
        <f t="array" ref="BN28">COUNTIF(Pool!$C$251,BG28)</f>
        <v>0</v>
      </c>
      <c r="BO28" s="509" cm="1">
        <f t="array" ref="BO28">COUNTIF(Pool!$C$250,BG28)</f>
        <v>0</v>
      </c>
    </row>
    <row r="29" spans="1:67" ht="15" customHeight="1" x14ac:dyDescent="0.2">
      <c r="A29" s="451">
        <v>32</v>
      </c>
      <c r="B29" s="612"/>
      <c r="C29" s="487" t="str" cm="1">
        <f t="array" ref="C29">MID(INDEX(WORLDCUP!$AA$4:$AA$147,MATCH(A29,WORLDCUP!$AH$4:$AH$147,0)),1,3)</f>
        <v>Est</v>
      </c>
      <c r="D29" s="114" cm="1">
        <f t="array" ref="D29">IF(ISBLANK(INDEX(WORLDCUP!$AC$4:$AC$147,MATCH(A29,WORLDCUP!$AH$4:$AH$147,0))),"",INDEX(WORLDCUP!$AC$4:$AC$147,MATCH(A29,WORLDCUP!$AH$4:$AH$147,0)))</f>
        <v>2</v>
      </c>
      <c r="E29" s="114" cm="1">
        <f t="array" ref="E29">IF(ISBLANK(INDEX(WORLDCUP!$AD$4:$AD$147,MATCH(A29,WORLDCUP!$AH$4:$AH$147,0))),"",INDEX(WORLDCUP!$AD$4:$AD$147,MATCH(A29,WORLDCUP!$AH$4:$AH$147,0)))</f>
        <v>1</v>
      </c>
      <c r="F29" s="488" t="str" cm="1">
        <f t="array" ref="F29">MID(INDEX(WORLDCUP!$AF$4:$AF$147,MATCH(A29,WORLDCUP!$AH$4:$AH$147,0)),1,3)</f>
        <v>Aus</v>
      </c>
      <c r="G29" s="510">
        <v>2</v>
      </c>
      <c r="H29" s="511" t="str" cm="1">
        <f t="array" ref="H29">MID(INDEX(WORLDCUP!$AL$6:$AL$97,MATCH(L29,WORLDCUP!$AI$6:$AI$97,0)),1,3)</f>
        <v>Par</v>
      </c>
      <c r="I29" s="143" cm="1">
        <f t="array" ref="I29">INDEX(WORLDCUP!$AM$6:$AM$97,MATCH(L29,WORLDCUP!$AI$6:$AI$97,0))</f>
        <v>7</v>
      </c>
      <c r="J29" s="144" cm="1">
        <f t="array" ref="J29">INDEX(WORLDCUP!$AT$6:$AT$97,MATCH(L29,WORLDCUP!$AI$6:$AI$97,0))</f>
        <v>2</v>
      </c>
      <c r="K29" s="512" t="str" cm="1">
        <f t="array" ref="K29">INDEX(WORLDCUP!$AR$6:$AR$97,MATCH(L29,WORLDCUP!$AI$6:$AI$97,0))&amp;"-"&amp;INDEX(WORLDCUP!$AS$6:$AS$97,MATCH(L29,WORLDCUP!$AI$6:$AI$97,0))</f>
        <v>4-2</v>
      </c>
      <c r="L29" s="494" t="s">
        <v>143</v>
      </c>
      <c r="M29" s="462">
        <v>43</v>
      </c>
      <c r="N29" s="613"/>
      <c r="O29" s="487" t="str" cm="1">
        <f t="array" ref="O29">MID(INDEX(WORLDCUP!$AA$4:$AA$147,MATCH(M29,WORLDCUP!$AH$4:$AH$147,0)),1,3)</f>
        <v>Arg</v>
      </c>
      <c r="P29" s="114" cm="1">
        <f t="array" ref="P29">IF(ISBLANK(INDEX(WORLDCUP!$AC$4:$AC$147,MATCH(M29,WORLDCUP!$AH$4:$AH$147,0))),"",INDEX(WORLDCUP!$AC$4:$AC$147,MATCH(M29,WORLDCUP!$AH$4:$AH$147,0)))</f>
        <v>3</v>
      </c>
      <c r="Q29" s="114" cm="1">
        <f t="array" ref="Q29">IF(ISBLANK(INDEX(WORLDCUP!$AD$4:$AD$147,MATCH(M29,WORLDCUP!$AH$4:$AH$147,0))),"",INDEX(WORLDCUP!$AD$4:$AD$147,MATCH(M29,WORLDCUP!$AH$4:$AH$147,0)))</f>
        <v>1</v>
      </c>
      <c r="R29" s="488" t="str" cm="1">
        <f t="array" ref="R29">MID(INDEX(WORLDCUP!$AF$4:$AF$147,MATCH(M29,WORLDCUP!$AH$4:$AH$147,0)),1,3)</f>
        <v>Aus</v>
      </c>
      <c r="S29" s="510">
        <v>2</v>
      </c>
      <c r="T29" s="511" t="str" cm="1">
        <f t="array" ref="T29">MID(INDEX(WORLDCUP!$AL$6:$AL$97,MATCH(X29,WORLDCUP!$AI$6:$AI$97,0)),1,3)</f>
        <v>Arg</v>
      </c>
      <c r="U29" s="143" cm="1">
        <f t="array" ref="U29">INDEX(WORLDCUP!$AM$6:$AM$97,MATCH(X29,WORLDCUP!$AI$6:$AI$97,0))</f>
        <v>3</v>
      </c>
      <c r="V29" s="144" cm="1">
        <f t="array" ref="V29">INDEX(WORLDCUP!$AT$6:$AT$97,MATCH(X29,WORLDCUP!$AI$6:$AI$97,0))</f>
        <v>-5</v>
      </c>
      <c r="W29" s="512" t="str" cm="1">
        <f t="array" ref="W29">INDEX(WORLDCUP!$AR$6:$AR$97,MATCH(X29,WORLDCUP!$AI$6:$AI$97,0))&amp;"-"&amp;INDEX(WORLDCUP!$AS$6:$AS$97,MATCH(X29,WORLDCUP!$AI$6:$AI$97,0))</f>
        <v>2-7</v>
      </c>
      <c r="X29" s="496" t="s">
        <v>194</v>
      </c>
      <c r="Y29" s="513"/>
      <c r="Z29" s="249"/>
      <c r="AA29" s="514"/>
      <c r="AB29" s="514"/>
      <c r="AC29" s="515"/>
      <c r="AD29" s="516">
        <v>91</v>
      </c>
      <c r="AE29" s="499" t="str" cm="1">
        <f t="array" ref="AE29">MID(INDEX(WORLDCUP!$AF$101:$AF$147,MATCH(AD29,WORLDCUP!$Z$101:$Z$147,0)),1,3)</f>
        <v>W78</v>
      </c>
      <c r="AF29" s="500" t="str" cm="1">
        <f t="array" ref="AF29">IF(ISBLANK(INDEX(WORLDCUP!$AD$101:$AD$147,MATCH(AD29,WORLDCUP!$Z$101:$Z$147,0))),"",INDEX(WORLDCUP!$AD$101:$AD$147,MATCH(AD29,WORLDCUP!$Z$101:$Z$147,0)))</f>
        <v/>
      </c>
      <c r="AG29" s="517" t="str" cm="1">
        <f t="array" ref="AG29">IF(ISBLANK(INDEX(WORLDCUP!$AE$101:$AE$147,MATCH(AD29,WORLDCUP!$Z$101:$Z$147,0))),"","( "&amp;INDEX(WORLDCUP!$AE$101:$AE$147,MATCH(AD29,WORLDCUP!$Z$101:$Z$147,0))&amp;" )")</f>
        <v/>
      </c>
      <c r="AH29" s="518"/>
      <c r="AI29" s="502"/>
      <c r="AJ29" s="502"/>
      <c r="AK29" s="502"/>
      <c r="AL29" s="281"/>
      <c r="AM29" s="473"/>
      <c r="AN29" s="473"/>
      <c r="AO29" s="571"/>
      <c r="AP29" s="543"/>
      <c r="AQ29" s="503"/>
      <c r="AR29" s="503"/>
      <c r="AS29" s="503"/>
      <c r="AT29" s="281"/>
      <c r="AU29" s="475"/>
      <c r="AV29" s="475"/>
      <c r="AW29" s="475"/>
      <c r="AX29" s="583"/>
      <c r="AY29" s="588"/>
      <c r="AZ29" s="608"/>
      <c r="BA29" s="591"/>
      <c r="BB29" s="595"/>
      <c r="BC29" s="590"/>
      <c r="BD29" s="587"/>
      <c r="BE29" s="8"/>
      <c r="BF29" s="476"/>
      <c r="BG29" s="505" t="s">
        <v>209</v>
      </c>
      <c r="BH29" s="506" cm="1">
        <f t="array" ref="BH29">1-SUM(BI29:BO29)</f>
        <v>0</v>
      </c>
      <c r="BI29" s="506" cm="1">
        <f t="array" ref="BI29">COUNTIF(Pool!$C$130:$C$161,BG29)-BJ29-BK29-BL29-BM29-BN29-BO29</f>
        <v>1</v>
      </c>
      <c r="BJ29" s="507" cm="1">
        <f t="array" ref="BJ29">COUNTIF(Pool!$C$182:$C$197,BG29)-BK29-BL29-BM29-BN29-BO29</f>
        <v>0</v>
      </c>
      <c r="BK29" s="508" cm="1">
        <f t="array" ref="BK29">COUNTIF(Pool!$C$210:$C$217,BG29)-BL29-BM29-BN29-BO29</f>
        <v>0</v>
      </c>
      <c r="BL29" s="508" cm="1">
        <f t="array" ref="BL29">COUNTIF(Pool!$C$226:$C$229,BG29)-BM29-BN29-BO29</f>
        <v>0</v>
      </c>
      <c r="BM29" s="506" cm="1">
        <f t="array" ref="BM29">COUNTIF(Pool!$C$252,BG29)</f>
        <v>0</v>
      </c>
      <c r="BN29" s="506" cm="1">
        <f t="array" ref="BN29">COUNTIF(Pool!$C$251,BG29)</f>
        <v>0</v>
      </c>
      <c r="BO29" s="509" cm="1">
        <f t="array" ref="BO29">COUNTIF(Pool!$C$250,BG29)</f>
        <v>0</v>
      </c>
    </row>
    <row r="30" spans="1:67" ht="16" customHeight="1" x14ac:dyDescent="0.2">
      <c r="A30" s="451">
        <v>31</v>
      </c>
      <c r="B30" s="612"/>
      <c r="C30" s="487" t="str" cm="1">
        <f t="array" ref="C30">MID(INDEX(WORLDCUP!$AA$4:$AA$147,MATCH(A30,WORLDCUP!$AH$4:$AH$147,0)),1,3)</f>
        <v>Tur</v>
      </c>
      <c r="D30" s="114" cm="1">
        <f t="array" ref="D30">IF(ISBLANK(INDEX(WORLDCUP!$AC$4:$AC$147,MATCH(A30,WORLDCUP!$AH$4:$AH$147,0))),"",INDEX(WORLDCUP!$AC$4:$AC$147,MATCH(A30,WORLDCUP!$AH$4:$AH$147,0)))</f>
        <v>1</v>
      </c>
      <c r="E30" s="114" cm="1">
        <f t="array" ref="E30">IF(ISBLANK(INDEX(WORLDCUP!$AD$4:$AD$147,MATCH(A30,WORLDCUP!$AH$4:$AH$147,0))),"",INDEX(WORLDCUP!$AD$4:$AD$147,MATCH(A30,WORLDCUP!$AH$4:$AH$147,0)))</f>
        <v>1</v>
      </c>
      <c r="F30" s="488" t="str" cm="1">
        <f t="array" ref="F30">MID(INDEX(WORLDCUP!$AF$4:$AF$147,MATCH(A30,WORLDCUP!$AH$4:$AH$147,0)),1,3)</f>
        <v>Par</v>
      </c>
      <c r="G30" s="510">
        <v>3</v>
      </c>
      <c r="H30" s="511" t="str" cm="1">
        <f t="array" ref="H30">MID(INDEX(WORLDCUP!$AL$6:$AL$97,MATCH(L30,WORLDCUP!$AI$6:$AI$97,0)),1,3)</f>
        <v>Aus</v>
      </c>
      <c r="I30" s="143" cm="1">
        <f t="array" ref="I30">INDEX(WORLDCUP!$AM$6:$AM$97,MATCH(L30,WORLDCUP!$AI$6:$AI$97,0))</f>
        <v>0</v>
      </c>
      <c r="J30" s="144" cm="1">
        <f t="array" ref="J30">INDEX(WORLDCUP!$AT$6:$AT$97,MATCH(L30,WORLDCUP!$AI$6:$AI$97,0))</f>
        <v>-6</v>
      </c>
      <c r="K30" s="512" t="str" cm="1">
        <f t="array" ref="K30">INDEX(WORLDCUP!$AR$6:$AR$97,MATCH(L30,WORLDCUP!$AI$6:$AI$97,0))&amp;"-"&amp;INDEX(WORLDCUP!$AS$6:$AS$97,MATCH(L30,WORLDCUP!$AI$6:$AI$97,0))</f>
        <v>1-7</v>
      </c>
      <c r="L30" s="494" t="s">
        <v>145</v>
      </c>
      <c r="M30" s="462">
        <v>44</v>
      </c>
      <c r="N30" s="613"/>
      <c r="O30" s="487" t="str" cm="1">
        <f t="array" ref="O30">MID(INDEX(WORLDCUP!$AA$4:$AA$147,MATCH(M30,WORLDCUP!$AH$4:$AH$147,0)),1,3)</f>
        <v>Jor</v>
      </c>
      <c r="P30" s="114" cm="1">
        <f t="array" ref="P30">IF(ISBLANK(INDEX(WORLDCUP!$AC$4:$AC$147,MATCH(M30,WORLDCUP!$AH$4:$AH$147,0))),"",INDEX(WORLDCUP!$AC$4:$AC$147,MATCH(M30,WORLDCUP!$AH$4:$AH$147,0)))</f>
        <v>0</v>
      </c>
      <c r="Q30" s="114" cm="1">
        <f t="array" ref="Q30">IF(ISBLANK(INDEX(WORLDCUP!$AD$4:$AD$147,MATCH(M30,WORLDCUP!$AH$4:$AH$147,0))),"",INDEX(WORLDCUP!$AD$4:$AD$147,MATCH(M30,WORLDCUP!$AH$4:$AH$147,0)))</f>
        <v>1</v>
      </c>
      <c r="R30" s="488" t="str" cm="1">
        <f t="array" ref="R30">MID(INDEX(WORLDCUP!$AF$4:$AF$147,MATCH(M30,WORLDCUP!$AH$4:$AH$147,0)),1,3)</f>
        <v>Arg</v>
      </c>
      <c r="S30" s="510">
        <v>3</v>
      </c>
      <c r="T30" s="511" t="str" cm="1">
        <f t="array" ref="T30">MID(INDEX(WORLDCUP!$AL$6:$AL$97,MATCH(X30,WORLDCUP!$AI$6:$AI$97,0)),1,3)</f>
        <v>Aus</v>
      </c>
      <c r="U30" s="143" cm="1">
        <f t="array" ref="U30">INDEX(WORLDCUP!$AM$6:$AM$97,MATCH(X30,WORLDCUP!$AI$6:$AI$97,0))</f>
        <v>6</v>
      </c>
      <c r="V30" s="144" cm="1">
        <f t="array" ref="V30">INDEX(WORLDCUP!$AT$6:$AT$97,MATCH(X30,WORLDCUP!$AI$6:$AI$97,0))</f>
        <v>2</v>
      </c>
      <c r="W30" s="512" t="str" cm="1">
        <f t="array" ref="W30">INDEX(WORLDCUP!$AR$6:$AR$97,MATCH(X30,WORLDCUP!$AI$6:$AI$97,0))&amp;"-"&amp;INDEX(WORLDCUP!$AS$6:$AS$97,MATCH(X30,WORLDCUP!$AI$6:$AI$97,0))</f>
        <v>5-3</v>
      </c>
      <c r="X30" s="496" t="s">
        <v>196</v>
      </c>
      <c r="Y30" s="465">
        <v>78</v>
      </c>
      <c r="Z30" s="466" t="s">
        <v>151</v>
      </c>
      <c r="AA30" s="467" t="str" cm="1">
        <f t="array" ref="AA30">MID(INDEX(WORLDCUP!$AA$101:$AA$147,MATCH(Y30,WORLDCUP!$Z$101:$Z$147,0)),1,3)</f>
        <v>Cur</v>
      </c>
      <c r="AB30" s="468" t="str" cm="1">
        <f t="array" ref="AB30">IF(ISBLANK(INDEX(WORLDCUP!$AC$101:$AC$147,MATCH(Y30,WORLDCUP!$Z$101:$Z$147,0))),"",INDEX(WORLDCUP!$AC$101:$AC$147,MATCH(Y30,WORLDCUP!$Z$101:$Z$147,0)))</f>
        <v/>
      </c>
      <c r="AC30" s="562" t="str" cm="1">
        <f t="array" ref="AC30">IF(ISBLANK(INDEX(WORLDCUP!$AB$101:$AB$147,MATCH(Y30,WORLDCUP!$Z$101:$Z$147,0))),"","( "&amp;INDEX(WORLDCUP!$AB$101:$AB$147,MATCH(Y30,WORLDCUP!$Z$101:$Z$147,0))&amp;" )")</f>
        <v/>
      </c>
      <c r="AD30" s="518"/>
      <c r="AE30" s="520"/>
      <c r="AF30" s="520"/>
      <c r="AG30" s="521"/>
      <c r="AH30" s="518"/>
      <c r="AI30" s="522"/>
      <c r="AJ30" s="522"/>
      <c r="AK30" s="502"/>
      <c r="AL30" s="281"/>
      <c r="AM30" s="473"/>
      <c r="AN30" s="473"/>
      <c r="AO30" s="571"/>
      <c r="AP30" s="518"/>
      <c r="AQ30" s="614"/>
      <c r="AR30" s="614"/>
      <c r="AS30" s="503"/>
      <c r="AT30" s="281"/>
      <c r="AU30" s="475"/>
      <c r="AV30" s="475"/>
      <c r="AW30" s="475"/>
      <c r="AX30" s="583"/>
      <c r="AY30" s="588"/>
      <c r="AZ30" s="608"/>
      <c r="BA30" s="591"/>
      <c r="BB30" s="595"/>
      <c r="BC30" s="590"/>
      <c r="BD30" s="587"/>
      <c r="BE30" s="8"/>
      <c r="BF30" s="476"/>
      <c r="BG30" s="505" t="s">
        <v>187</v>
      </c>
      <c r="BH30" s="506" cm="1">
        <f t="array" ref="BH30">1-SUM(BI30:BO30)</f>
        <v>1</v>
      </c>
      <c r="BI30" s="506" cm="1">
        <f t="array" ref="BI30">COUNTIF(Pool!$C$130:$C$161,BG30)-BJ30-BK30-BL30-BM30-BN30-BO30</f>
        <v>0</v>
      </c>
      <c r="BJ30" s="507" cm="1">
        <f t="array" ref="BJ30">COUNTIF(Pool!$C$182:$C$197,BG30)-BK30-BL30-BM30-BN30-BO30</f>
        <v>0</v>
      </c>
      <c r="BK30" s="508" cm="1">
        <f t="array" ref="BK30">COUNTIF(Pool!$C$210:$C$217,BG30)-BL30-BM30-BN30-BO30</f>
        <v>0</v>
      </c>
      <c r="BL30" s="508" cm="1">
        <f t="array" ref="BL30">COUNTIF(Pool!$C$226:$C$229,BG30)-BM30-BN30-BO30</f>
        <v>0</v>
      </c>
      <c r="BM30" s="506" cm="1">
        <f t="array" ref="BM30">COUNTIF(Pool!$C$252,BG30)</f>
        <v>0</v>
      </c>
      <c r="BN30" s="506" cm="1">
        <f t="array" ref="BN30">COUNTIF(Pool!$C$251,BG30)</f>
        <v>0</v>
      </c>
      <c r="BO30" s="509" cm="1">
        <f t="array" ref="BO30">COUNTIF(Pool!$C$250,BG30)</f>
        <v>0</v>
      </c>
    </row>
    <row r="31" spans="1:67" ht="16" customHeight="1" x14ac:dyDescent="0.2">
      <c r="A31" s="451">
        <v>59</v>
      </c>
      <c r="B31" s="612"/>
      <c r="C31" s="487" t="str" cm="1">
        <f t="array" ref="C31">MID(INDEX(WORLDCUP!$AA$4:$AA$147,MATCH(A31,WORLDCUP!$AH$4:$AH$147,0)),1,3)</f>
        <v>Tur</v>
      </c>
      <c r="D31" s="114" cm="1">
        <f t="array" ref="D31">IF(ISBLANK(INDEX(WORLDCUP!$AC$4:$AC$147,MATCH(A31,WORLDCUP!$AH$4:$AH$147,0))),"",INDEX(WORLDCUP!$AC$4:$AC$147,MATCH(A31,WORLDCUP!$AH$4:$AH$147,0)))</f>
        <v>2</v>
      </c>
      <c r="E31" s="114" cm="1">
        <f t="array" ref="E31">IF(ISBLANK(INDEX(WORLDCUP!$AD$4:$AD$147,MATCH(A31,WORLDCUP!$AH$4:$AH$147,0))),"",INDEX(WORLDCUP!$AD$4:$AD$147,MATCH(A31,WORLDCUP!$AH$4:$AH$147,0)))</f>
        <v>1</v>
      </c>
      <c r="F31" s="488" t="str" cm="1">
        <f t="array" ref="F31">MID(INDEX(WORLDCUP!$AF$4:$AF$147,MATCH(A31,WORLDCUP!$AH$4:$AH$147,0)),1,3)</f>
        <v>Est</v>
      </c>
      <c r="G31" s="510">
        <v>4</v>
      </c>
      <c r="H31" s="523" t="str" cm="1">
        <f t="array" ref="H31">MID(INDEX(WORLDCUP!$AL$6:$AL$97,MATCH(L31,WORLDCUP!$AI$6:$AI$97,0)),1,3)</f>
        <v>Tur</v>
      </c>
      <c r="I31" s="524" cm="1">
        <f t="array" ref="I31">INDEX(WORLDCUP!$AM$6:$AM$97,MATCH(L31,WORLDCUP!$AI$6:$AI$97,0))</f>
        <v>7</v>
      </c>
      <c r="J31" s="525" cm="1">
        <f t="array" ref="J31">INDEX(WORLDCUP!$AT$6:$AT$97,MATCH(L31,WORLDCUP!$AI$6:$AI$97,0))</f>
        <v>5</v>
      </c>
      <c r="K31" s="526" t="str" cm="1">
        <f t="array" ref="K31">INDEX(WORLDCUP!$AR$6:$AR$97,MATCH(L31,WORLDCUP!$AI$6:$AI$97,0))&amp;"-"&amp;INDEX(WORLDCUP!$AS$6:$AS$97,MATCH(L31,WORLDCUP!$AI$6:$AI$97,0))</f>
        <v>7-2</v>
      </c>
      <c r="L31" s="494" t="s">
        <v>147</v>
      </c>
      <c r="M31" s="462">
        <v>69</v>
      </c>
      <c r="N31" s="613"/>
      <c r="O31" s="487" t="str" cm="1">
        <f t="array" ref="O31">MID(INDEX(WORLDCUP!$AA$4:$AA$147,MATCH(M31,WORLDCUP!$AH$4:$AH$147,0)),1,3)</f>
        <v>Arg</v>
      </c>
      <c r="P31" s="114" cm="1">
        <f t="array" ref="P31">IF(ISBLANK(INDEX(WORLDCUP!$AC$4:$AC$147,MATCH(M31,WORLDCUP!$AH$4:$AH$147,0))),"",INDEX(WORLDCUP!$AC$4:$AC$147,MATCH(M31,WORLDCUP!$AH$4:$AH$147,0)))</f>
        <v>0</v>
      </c>
      <c r="Q31" s="114" cm="1">
        <f t="array" ref="Q31">IF(ISBLANK(INDEX(WORLDCUP!$AD$4:$AD$147,MATCH(M31,WORLDCUP!$AH$4:$AH$147,0))),"",INDEX(WORLDCUP!$AD$4:$AD$147,MATCH(M31,WORLDCUP!$AH$4:$AH$147,0)))</f>
        <v>2</v>
      </c>
      <c r="R31" s="488" t="str" cm="1">
        <f t="array" ref="R31">MID(INDEX(WORLDCUP!$AF$4:$AF$147,MATCH(M31,WORLDCUP!$AH$4:$AH$147,0)),1,3)</f>
        <v>Aus</v>
      </c>
      <c r="S31" s="510">
        <v>4</v>
      </c>
      <c r="T31" s="523" t="str" cm="1">
        <f t="array" ref="T31">MID(INDEX(WORLDCUP!$AL$6:$AL$97,MATCH(X31,WORLDCUP!$AI$6:$AI$97,0)),1,3)</f>
        <v>Jor</v>
      </c>
      <c r="U31" s="524" cm="1">
        <f t="array" ref="U31">INDEX(WORLDCUP!$AM$6:$AM$97,MATCH(X31,WORLDCUP!$AI$6:$AI$97,0))</f>
        <v>0</v>
      </c>
      <c r="V31" s="525" cm="1">
        <f t="array" ref="V31">INDEX(WORLDCUP!$AT$6:$AT$97,MATCH(X31,WORLDCUP!$AI$6:$AI$97,0))</f>
        <v>-6</v>
      </c>
      <c r="W31" s="526" t="str" cm="1">
        <f t="array" ref="W31">INDEX(WORLDCUP!$AR$6:$AR$97,MATCH(X31,WORLDCUP!$AI$6:$AI$97,0))&amp;"-"&amp;INDEX(WORLDCUP!$AS$6:$AS$97,MATCH(X31,WORLDCUP!$AI$6:$AI$97,0))</f>
        <v>0-6</v>
      </c>
      <c r="X31" s="496" t="s">
        <v>198</v>
      </c>
      <c r="Y31" s="465">
        <v>78</v>
      </c>
      <c r="Z31" s="466" t="s">
        <v>186</v>
      </c>
      <c r="AA31" s="467" t="str" cm="1">
        <f t="array" ref="AA31">MID(INDEX(WORLDCUP!$AF$101:$AF$147,MATCH(Y31,WORLDCUP!$Z$101:$Z$147,0)),1,3)</f>
        <v>2I</v>
      </c>
      <c r="AB31" s="468" t="str" cm="1">
        <f t="array" ref="AB31">IF(ISBLANK(INDEX(WORLDCUP!$AD$101:$AD$147,MATCH(Y31,WORLDCUP!$Z$101:$Z$147,0))),"",INDEX(WORLDCUP!$AD$101:$AD$147,MATCH(Y31,WORLDCUP!$Z$101:$Z$147,0)))</f>
        <v/>
      </c>
      <c r="AC31" s="565" t="str" cm="1">
        <f t="array" ref="AC31">IF(ISBLANK(INDEX(WORLDCUP!$AE$101:$AE$147,MATCH(Y31,WORLDCUP!$Z$101:$Z$147,0))),"","( "&amp;INDEX(WORLDCUP!$AE$101:$AE$147,MATCH(Y31,WORLDCUP!$Z$101:$Z$147,0))&amp;" )")</f>
        <v/>
      </c>
      <c r="AD31" s="281"/>
      <c r="AE31" s="528"/>
      <c r="AF31" s="528"/>
      <c r="AG31" s="521"/>
      <c r="AH31" s="498">
        <v>99</v>
      </c>
      <c r="AI31" s="529" t="str" cm="1">
        <f t="array" ref="AI31">MID(INDEX(WORLDCUP!$AA$101:$AA$147,MATCH(AH31,WORLDCUP!$Z$101:$Z$147,0)),1,3)</f>
        <v>W91</v>
      </c>
      <c r="AJ31" s="530" t="str" cm="1">
        <f t="array" ref="AJ31">IF(ISBLANK(INDEX(WORLDCUP!$AC$101:$AC$147,MATCH(AH31,WORLDCUP!$Z$101:$Z$147,0))),"",INDEX(WORLDCUP!$AC$101:$AC$147,MATCH(AH31,WORLDCUP!$Z$101:$Z$147,0)))</f>
        <v/>
      </c>
      <c r="AK31" s="531" t="str" cm="1">
        <f t="array" ref="AK31">IF(ISBLANK(INDEX(WORLDCUP!$AB$101:$AB$147,MATCH(AH31,WORLDCUP!$Z$101:$Z$147,0))),"","( "&amp;INDEX(WORLDCUP!$AB$101:$AB$147,MATCH(AH31,WORLDCUP!$Z$101:$Z$147,0))&amp;" )")</f>
        <v/>
      </c>
      <c r="AL31" s="281"/>
      <c r="AM31" s="473"/>
      <c r="AN31" s="473"/>
      <c r="AO31" s="571"/>
      <c r="AP31" s="615">
        <v>103</v>
      </c>
      <c r="AQ31" s="616" t="str" cm="1">
        <f t="array" ref="AQ31">MID(INDEX(WORLDCUP!$AA$101:$AA$147,MATCH(AP31,WORLDCUP!$Z$101:$Z$147,0)),1,4)</f>
        <v>L101</v>
      </c>
      <c r="AR31" s="617" t="str" cm="1">
        <f t="array" ref="AR31">IF(ISBLANK(INDEX(WORLDCUP!$AC$101:$AC$147,MATCH(AP31,WORLDCUP!$Z$101:$Z$147,0))),"",INDEX(WORLDCUP!$AC$101:$AC$147,MATCH(AP31,WORLDCUP!$Z$101:$Z$147,0)))</f>
        <v/>
      </c>
      <c r="AS31" s="618" t="str" cm="1">
        <f t="array" ref="AS31">IF(ISBLANK(INDEX(WORLDCUP!$AB$101:$AB$147,MATCH(AP31,WORLDCUP!$Z$101:$Z$147,0))),"","( "&amp;INDEX(WORLDCUP!$AB$101:$AB$147,MATCH(AP31,WORLDCUP!$Z$101:$Z$147,0))&amp;" )")</f>
        <v/>
      </c>
      <c r="AT31" s="619"/>
      <c r="AU31" s="620"/>
      <c r="AV31" s="620"/>
      <c r="AW31" s="620"/>
      <c r="AX31" s="602"/>
      <c r="AY31" s="621"/>
      <c r="AZ31" s="622"/>
      <c r="BA31" s="622"/>
      <c r="BB31" s="622"/>
      <c r="BC31" s="623"/>
      <c r="BD31" s="587"/>
      <c r="BE31" s="8"/>
      <c r="BF31" s="476"/>
      <c r="BG31" s="505" t="s">
        <v>169</v>
      </c>
      <c r="BH31" s="506" cm="1">
        <f t="array" ref="BH31">1-SUM(BI31:BO31)</f>
        <v>1</v>
      </c>
      <c r="BI31" s="506" cm="1">
        <f t="array" ref="BI31">COUNTIF(Pool!$C$130:$C$161,BG31)-BJ31-BK31-BL31-BM31-BN31-BO31</f>
        <v>0</v>
      </c>
      <c r="BJ31" s="507" cm="1">
        <f t="array" ref="BJ31">COUNTIF(Pool!$C$182:$C$197,BG31)-BK31-BL31-BM31-BN31-BO31</f>
        <v>0</v>
      </c>
      <c r="BK31" s="508" cm="1">
        <f t="array" ref="BK31">COUNTIF(Pool!$C$210:$C$217,BG31)-BL31-BM31-BN31-BO31</f>
        <v>0</v>
      </c>
      <c r="BL31" s="508" cm="1">
        <f t="array" ref="BL31">COUNTIF(Pool!$C$226:$C$229,BG31)-BM31-BN31-BO31</f>
        <v>0</v>
      </c>
      <c r="BM31" s="506" cm="1">
        <f t="array" ref="BM31">COUNTIF(Pool!$C$252,BG31)</f>
        <v>0</v>
      </c>
      <c r="BN31" s="506" cm="1">
        <f t="array" ref="BN31">COUNTIF(Pool!$C$251,BG31)</f>
        <v>0</v>
      </c>
      <c r="BO31" s="509" cm="1">
        <f t="array" ref="BO31">COUNTIF(Pool!$C$250,BG31)</f>
        <v>0</v>
      </c>
    </row>
    <row r="32" spans="1:67" ht="16" customHeight="1" x14ac:dyDescent="0.2">
      <c r="A32" s="451">
        <v>60</v>
      </c>
      <c r="B32" s="624"/>
      <c r="C32" s="533" t="str" cm="1">
        <f t="array" ref="C32">MID(INDEX(WORLDCUP!$AA$4:$AA$147,MATCH(A32,WORLDCUP!$AH$4:$AH$147,0)),1,3)</f>
        <v>Par</v>
      </c>
      <c r="D32" s="153" cm="1">
        <f t="array" ref="D32">IF(ISBLANK(INDEX(WORLDCUP!$AC$4:$AC$147,MATCH(A32,WORLDCUP!$AH$4:$AH$147,0))),"",INDEX(WORLDCUP!$AC$4:$AC$147,MATCH(A32,WORLDCUP!$AH$4:$AH$147,0)))</f>
        <v>1</v>
      </c>
      <c r="E32" s="153" cm="1">
        <f t="array" ref="E32">IF(ISBLANK(INDEX(WORLDCUP!$AD$4:$AD$147,MATCH(A32,WORLDCUP!$AH$4:$AH$147,0))),"",INDEX(WORLDCUP!$AD$4:$AD$147,MATCH(A32,WORLDCUP!$AH$4:$AH$147,0)))</f>
        <v>0</v>
      </c>
      <c r="F32" s="534" t="str" cm="1">
        <f t="array" ref="F32">MID(INDEX(WORLDCUP!$AF$4:$AF$147,MATCH(A32,WORLDCUP!$AH$4:$AH$147,0)),1,3)</f>
        <v>Aus</v>
      </c>
      <c r="G32" s="535"/>
      <c r="H32" s="536"/>
      <c r="I32" s="537"/>
      <c r="J32" s="537"/>
      <c r="K32" s="538"/>
      <c r="L32" s="461"/>
      <c r="M32" s="462">
        <v>70</v>
      </c>
      <c r="N32" s="625"/>
      <c r="O32" s="533" t="str" cm="1">
        <f t="array" ref="O32">MID(INDEX(WORLDCUP!$AA$4:$AA$147,MATCH(M32,WORLDCUP!$AH$4:$AH$147,0)),1,3)</f>
        <v>Jor</v>
      </c>
      <c r="P32" s="153" cm="1">
        <f t="array" ref="P32">IF(ISBLANK(INDEX(WORLDCUP!$AC$4:$AC$147,MATCH(M32,WORLDCUP!$AH$4:$AH$147,0))),"",INDEX(WORLDCUP!$AC$4:$AC$147,MATCH(M32,WORLDCUP!$AH$4:$AH$147,0)))</f>
        <v>0</v>
      </c>
      <c r="Q32" s="153" cm="1">
        <f t="array" ref="Q32">IF(ISBLANK(INDEX(WORLDCUP!$AD$4:$AD$147,MATCH(M32,WORLDCUP!$AH$4:$AH$147,0))),"",INDEX(WORLDCUP!$AD$4:$AD$147,MATCH(M32,WORLDCUP!$AH$4:$AH$147,0)))</f>
        <v>3</v>
      </c>
      <c r="R32" s="534" t="str" cm="1">
        <f t="array" ref="R32">MID(INDEX(WORLDCUP!$AF$4:$AF$147,MATCH(M32,WORLDCUP!$AH$4:$AH$147,0)),1,3)</f>
        <v>Arg</v>
      </c>
      <c r="S32" s="535"/>
      <c r="T32" s="536"/>
      <c r="U32" s="537"/>
      <c r="V32" s="537"/>
      <c r="W32" s="538"/>
      <c r="X32" s="464"/>
      <c r="Y32" s="513"/>
      <c r="Z32" s="249"/>
      <c r="AA32" s="540"/>
      <c r="AB32" s="540"/>
      <c r="AC32" s="541"/>
      <c r="AD32" s="281"/>
      <c r="AE32" s="471"/>
      <c r="AF32" s="471"/>
      <c r="AG32" s="521"/>
      <c r="AH32" s="516">
        <v>99</v>
      </c>
      <c r="AI32" s="529" t="str" cm="1">
        <f t="array" ref="AI32">MID(INDEX(WORLDCUP!$AF$101:$AF$147,MATCH(AH32,WORLDCUP!$Z$101:$Z$147,0)),1,3)</f>
        <v>W92</v>
      </c>
      <c r="AJ32" s="530" t="str" cm="1">
        <f t="array" ref="AJ32">IF(ISBLANK(INDEX(WORLDCUP!$AD$101:$AD$147,MATCH(AH32,WORLDCUP!$Z$101:$Z$147,0))),"",INDEX(WORLDCUP!$AD$101:$AD$147,MATCH(AH32,WORLDCUP!$Z$101:$Z$147,0)))</f>
        <v/>
      </c>
      <c r="AK32" s="542" t="str" cm="1">
        <f t="array" ref="AK32">IF(ISBLANK(INDEX(WORLDCUP!$AE$101:$AE$147,MATCH(AH32,WORLDCUP!$Z$101:$Z$147,0))),"","( "&amp;INDEX(WORLDCUP!$AE$101:$AE$147,MATCH(AH32,WORLDCUP!$Z$101:$Z$147,0))&amp;" )")</f>
        <v/>
      </c>
      <c r="AL32" s="518"/>
      <c r="AM32" s="473"/>
      <c r="AN32" s="473"/>
      <c r="AO32" s="571"/>
      <c r="AP32" s="626">
        <v>103</v>
      </c>
      <c r="AQ32" s="616" t="str" cm="1">
        <f t="array" ref="AQ32">MID(INDEX(WORLDCUP!$AF$101:$AF$147,MATCH(AP32,WORLDCUP!$Z$101:$Z$147,0)),1,4)</f>
        <v>L102</v>
      </c>
      <c r="AR32" s="617" t="str" cm="1">
        <f t="array" ref="AR32">IF(ISBLANK(INDEX(WORLDCUP!$AD$101:$AD$147,MATCH(AP32,WORLDCUP!$Z$101:$Z$147,0))),"",INDEX(WORLDCUP!$AD$101:$AD$147,MATCH(AP32,WORLDCUP!$Z$101:$Z$147,0)))</f>
        <v/>
      </c>
      <c r="AS32" s="627" t="str" cm="1">
        <f t="array" ref="AS32">IF(ISBLANK(INDEX(WORLDCUP!$AE$101:$AE$147,MATCH(AP32,WORLDCUP!$Z$101:$Z$147,0))),"","( "&amp;INDEX(WORLDCUP!$AE$101:$AE$147,MATCH(AP32,WORLDCUP!$Z$101:$Z$147,0))&amp;" )")</f>
        <v/>
      </c>
      <c r="AT32" s="628"/>
      <c r="AU32" s="629"/>
      <c r="AV32" s="629"/>
      <c r="AW32" s="629"/>
      <c r="AX32" s="628"/>
      <c r="AY32" s="630"/>
      <c r="AZ32" s="630"/>
      <c r="BA32" s="630"/>
      <c r="BB32" s="630"/>
      <c r="BC32" s="630"/>
      <c r="BD32" s="8"/>
      <c r="BE32" s="8"/>
      <c r="BF32" s="476"/>
      <c r="BG32" s="505" t="s">
        <v>159</v>
      </c>
      <c r="BH32" s="506" cm="1">
        <f t="array" ref="BH32">1-SUM(BI32:BO32)</f>
        <v>1</v>
      </c>
      <c r="BI32" s="506" cm="1">
        <f t="array" ref="BI32">COUNTIF(Pool!$C$130:$C$161,BG32)-BJ32-BK32-BL32-BM32-BN32-BO32</f>
        <v>0</v>
      </c>
      <c r="BJ32" s="507" cm="1">
        <f t="array" ref="BJ32">COUNTIF(Pool!$C$182:$C$197,BG32)-BK32-BL32-BM32-BN32-BO32</f>
        <v>0</v>
      </c>
      <c r="BK32" s="508" cm="1">
        <f t="array" ref="BK32">COUNTIF(Pool!$C$210:$C$217,BG32)-BL32-BM32-BN32-BO32</f>
        <v>0</v>
      </c>
      <c r="BL32" s="508" cm="1">
        <f t="array" ref="BL32">COUNTIF(Pool!$C$226:$C$229,BG32)-BM32-BN32-BO32</f>
        <v>0</v>
      </c>
      <c r="BM32" s="506" cm="1">
        <f t="array" ref="BM32">COUNTIF(Pool!$C$252,BG32)</f>
        <v>0</v>
      </c>
      <c r="BN32" s="506" cm="1">
        <f t="array" ref="BN32">COUNTIF(Pool!$C$251,BG32)</f>
        <v>0</v>
      </c>
      <c r="BO32" s="509" cm="1">
        <f t="array" ref="BO32">COUNTIF(Pool!$C$250,BG32)</f>
        <v>0</v>
      </c>
    </row>
    <row r="33" spans="1:67" ht="16" customHeight="1" x14ac:dyDescent="0.2">
      <c r="A33" s="7"/>
      <c r="B33" s="544"/>
      <c r="C33" s="545"/>
      <c r="D33" s="546"/>
      <c r="E33" s="546"/>
      <c r="F33" s="547"/>
      <c r="G33" s="547"/>
      <c r="H33" s="545"/>
      <c r="I33" s="547"/>
      <c r="J33" s="547"/>
      <c r="K33" s="547"/>
      <c r="L33" s="281"/>
      <c r="M33" s="8"/>
      <c r="N33" s="547"/>
      <c r="O33" s="545"/>
      <c r="P33" s="546"/>
      <c r="Q33" s="546"/>
      <c r="R33" s="547"/>
      <c r="S33" s="547"/>
      <c r="T33" s="545"/>
      <c r="U33" s="547"/>
      <c r="V33" s="547"/>
      <c r="W33" s="547"/>
      <c r="X33" s="8"/>
      <c r="Y33" s="548">
        <v>79</v>
      </c>
      <c r="Z33" s="466" t="s">
        <v>114</v>
      </c>
      <c r="AA33" s="467" t="str" cm="1">
        <f t="array" ref="AA33">MID(INDEX(WORLDCUP!$AA$101:$AA$147,MATCH(Y33,WORLDCUP!$Z$101:$Z$147,0)),1,3)</f>
        <v>Méx</v>
      </c>
      <c r="AB33" s="468" t="str" cm="1">
        <f t="array" ref="AB33">IF(ISBLANK(INDEX(WORLDCUP!$AC$101:$AC$147,MATCH(Y33,WORLDCUP!$Z$101:$Z$147,0))),"",INDEX(WORLDCUP!$AC$101:$AC$147,MATCH(Y33,WORLDCUP!$Z$101:$Z$147,0)))</f>
        <v/>
      </c>
      <c r="AC33" s="549" t="str" cm="1">
        <f t="array" ref="AC33">IF(ISBLANK(INDEX(WORLDCUP!$AB$101:$AB$147,MATCH(Y33,WORLDCUP!$Z$101:$Z$147,0))),"","( "&amp;INDEX(WORLDCUP!$AB$101:$AB$147,MATCH(Y33,WORLDCUP!$Z$101:$Z$147,0))&amp;" )")</f>
        <v/>
      </c>
      <c r="AD33" s="73"/>
      <c r="AE33" s="470"/>
      <c r="AF33" s="470"/>
      <c r="AG33" s="521"/>
      <c r="AH33" s="518"/>
      <c r="AI33" s="550"/>
      <c r="AJ33" s="550"/>
      <c r="AK33" s="551"/>
      <c r="AL33" s="543"/>
      <c r="AM33" s="473"/>
      <c r="AN33" s="473"/>
      <c r="AO33" s="571"/>
      <c r="AP33" s="518"/>
      <c r="AQ33" s="631"/>
      <c r="AR33" s="631"/>
      <c r="AS33" s="503"/>
      <c r="AT33" s="281"/>
      <c r="AU33" s="475"/>
      <c r="AV33" s="475"/>
      <c r="AW33" s="475"/>
      <c r="AX33" s="281"/>
      <c r="AY33" s="8"/>
      <c r="AZ33" s="8"/>
      <c r="BA33" s="8"/>
      <c r="BB33" s="8"/>
      <c r="BC33" s="8"/>
      <c r="BD33" s="8"/>
      <c r="BE33" s="8"/>
      <c r="BF33" s="476"/>
      <c r="BG33" s="505" t="s">
        <v>197</v>
      </c>
      <c r="BH33" s="506" cm="1">
        <f t="array" ref="BH33">1-SUM(BI33:BO33)</f>
        <v>1</v>
      </c>
      <c r="BI33" s="506" cm="1">
        <f t="array" ref="BI33">COUNTIF(Pool!$C$130:$C$161,BG33)-BJ33-BK33-BL33-BM33-BN33-BO33</f>
        <v>0</v>
      </c>
      <c r="BJ33" s="507" cm="1">
        <f t="array" ref="BJ33">COUNTIF(Pool!$C$182:$C$197,BG33)-BK33-BL33-BM33-BN33-BO33</f>
        <v>0</v>
      </c>
      <c r="BK33" s="508" cm="1">
        <f t="array" ref="BK33">COUNTIF(Pool!$C$210:$C$217,BG33)-BL33-BM33-BN33-BO33</f>
        <v>0</v>
      </c>
      <c r="BL33" s="508" cm="1">
        <f t="array" ref="BL33">COUNTIF(Pool!$C$226:$C$229,BG33)-BM33-BN33-BO33</f>
        <v>0</v>
      </c>
      <c r="BM33" s="506" cm="1">
        <f t="array" ref="BM33">COUNTIF(Pool!$C$252,BG33)</f>
        <v>0</v>
      </c>
      <c r="BN33" s="506" cm="1">
        <f t="array" ref="BN33">COUNTIF(Pool!$C$251,BG33)</f>
        <v>0</v>
      </c>
      <c r="BO33" s="509" cm="1">
        <f t="array" ref="BO33">COUNTIF(Pool!$C$250,BG33)</f>
        <v>0</v>
      </c>
    </row>
    <row r="34" spans="1:67" ht="16" customHeight="1" x14ac:dyDescent="0.2">
      <c r="A34" s="7"/>
      <c r="B34" s="443"/>
      <c r="C34" s="552"/>
      <c r="D34" s="553"/>
      <c r="E34" s="553"/>
      <c r="F34" s="111"/>
      <c r="G34" s="111"/>
      <c r="H34" s="552"/>
      <c r="I34" s="111"/>
      <c r="J34" s="111"/>
      <c r="K34" s="111"/>
      <c r="L34" s="281"/>
      <c r="M34" s="8"/>
      <c r="N34" s="111"/>
      <c r="O34" s="552"/>
      <c r="P34" s="553"/>
      <c r="Q34" s="553"/>
      <c r="R34" s="111"/>
      <c r="S34" s="111"/>
      <c r="T34" s="552"/>
      <c r="U34" s="111"/>
      <c r="V34" s="111"/>
      <c r="W34" s="111"/>
      <c r="X34" s="8"/>
      <c r="Y34" s="548">
        <v>79</v>
      </c>
      <c r="Z34" s="466" t="s">
        <v>250</v>
      </c>
      <c r="AA34" s="467" t="str" cm="1">
        <f t="array" ref="AA34">MID(INDEX(WORLDCUP!$AF$101:$AF$147,MATCH(Y34,WORLDCUP!$Z$101:$Z$147,0)),1,IF(WORLDCUP!$H$113&lt;144,6,3))</f>
        <v>3CE</v>
      </c>
      <c r="AB34" s="468" t="str" cm="1">
        <f t="array" ref="AB34">IF(ISBLANK(INDEX(WORLDCUP!$AD$101:$AD$147,MATCH(Y34,WORLDCUP!$Z$101:$Z$147,0))),"",INDEX(WORLDCUP!$AD$101:$AD$147,MATCH(Y34,WORLDCUP!$Z$101:$Z$147,0)))</f>
        <v/>
      </c>
      <c r="AC34" s="497" t="str" cm="1">
        <f t="array" ref="AC34">IF(ISBLANK(INDEX(WORLDCUP!$AE$101:$AE$147,MATCH(Y34,WORLDCUP!$Z$101:$Z$147,0))),"","( "&amp;INDEX(WORLDCUP!$AE$101:$AE$147,MATCH(Y34,WORLDCUP!$Z$101:$Z$147,0))&amp;" )")</f>
        <v/>
      </c>
      <c r="AD34" s="498">
        <v>92</v>
      </c>
      <c r="AE34" s="499" t="str" cm="1">
        <f t="array" ref="AE34">MID(INDEX(WORLDCUP!$AA$101:$AA$147,MATCH(AD34,WORLDCUP!$Z$101:$Z$147,0)),1,3)</f>
        <v>W79</v>
      </c>
      <c r="AF34" s="500" t="str" cm="1">
        <f t="array" ref="AF34">IF(ISBLANK(INDEX(WORLDCUP!$AC$101:$AC$147,MATCH(AD34,WORLDCUP!$Z$101:$Z$147,0))),"",INDEX(WORLDCUP!$AC$101:$AC$147,MATCH(AD34,WORLDCUP!$Z$101:$Z$147,0)))</f>
        <v/>
      </c>
      <c r="AG34" s="554" t="str" cm="1">
        <f t="array" ref="AG34">IF(ISBLANK(INDEX(WORLDCUP!$AB$101:$AB$147,MATCH(AD34,WORLDCUP!$Z$101:$Z$147,0))),"","( "&amp;INDEX(WORLDCUP!$AB$101:$AB$147,MATCH(AD34,WORLDCUP!$Z$101:$Z$147,0))&amp;" )")</f>
        <v/>
      </c>
      <c r="AH34" s="518"/>
      <c r="AI34" s="502"/>
      <c r="AJ34" s="502"/>
      <c r="AK34" s="551"/>
      <c r="AL34" s="543"/>
      <c r="AM34" s="473"/>
      <c r="AN34" s="473"/>
      <c r="AO34" s="571"/>
      <c r="AP34" s="518"/>
      <c r="AQ34" s="503"/>
      <c r="AR34" s="503"/>
      <c r="AS34" s="503"/>
      <c r="AT34" s="281"/>
      <c r="AU34" s="475"/>
      <c r="AV34" s="475"/>
      <c r="AW34" s="475"/>
      <c r="AX34" s="281"/>
      <c r="AY34" s="8"/>
      <c r="AZ34" s="8"/>
      <c r="BA34" s="8"/>
      <c r="BB34" s="8"/>
      <c r="BC34" s="8"/>
      <c r="BD34" s="8"/>
      <c r="BE34" s="8"/>
      <c r="BF34" s="476"/>
      <c r="BG34" s="505" t="s">
        <v>133</v>
      </c>
      <c r="BH34" s="506" cm="1">
        <f t="array" ref="BH34">1-SUM(BI34:BO34)</f>
        <v>1</v>
      </c>
      <c r="BI34" s="506" cm="1">
        <f t="array" ref="BI34">COUNTIF(Pool!$C$130:$C$161,BG34)-BJ34-BK34-BL34-BM34-BN34-BO34</f>
        <v>0</v>
      </c>
      <c r="BJ34" s="507" cm="1">
        <f t="array" ref="BJ34">COUNTIF(Pool!$C$182:$C$197,BG34)-BK34-BL34-BM34-BN34-BO34</f>
        <v>0</v>
      </c>
      <c r="BK34" s="508" cm="1">
        <f t="array" ref="BK34">COUNTIF(Pool!$C$210:$C$217,BG34)-BL34-BM34-BN34-BO34</f>
        <v>0</v>
      </c>
      <c r="BL34" s="508" cm="1">
        <f t="array" ref="BL34">COUNTIF(Pool!$C$226:$C$229,BG34)-BM34-BN34-BO34</f>
        <v>0</v>
      </c>
      <c r="BM34" s="506" cm="1">
        <f t="array" ref="BM34">COUNTIF(Pool!$C$252,BG34)</f>
        <v>0</v>
      </c>
      <c r="BN34" s="506" cm="1">
        <f t="array" ref="BN34">COUNTIF(Pool!$C$251,BG34)</f>
        <v>0</v>
      </c>
      <c r="BO34" s="509" cm="1">
        <f t="array" ref="BO34">COUNTIF(Pool!$C$250,BG34)</f>
        <v>0</v>
      </c>
    </row>
    <row r="35" spans="1:67" ht="15" customHeight="1" x14ac:dyDescent="0.2">
      <c r="A35" s="451">
        <v>10</v>
      </c>
      <c r="B35" s="632" t="s">
        <v>55</v>
      </c>
      <c r="C35" s="453" t="str" cm="1">
        <f t="array" ref="C35">MID(INDEX(WORLDCUP!$AA$4:$AA$147,MATCH(A35,WORLDCUP!$AH$4:$AH$147,0)),1,3)</f>
        <v>Ale</v>
      </c>
      <c r="D35" s="454" cm="1">
        <f t="array" ref="D35">IF(ISBLANK(INDEX(WORLDCUP!$AC$4:$AC$147,MATCH(A35,WORLDCUP!$AH$4:$AH$147,0))),"",INDEX(WORLDCUP!$AC$4:$AC$147,MATCH(A35,WORLDCUP!$AH$4:$AH$147,0)))</f>
        <v>5</v>
      </c>
      <c r="E35" s="454" cm="1">
        <f t="array" ref="E35">IF(ISBLANK(INDEX(WORLDCUP!$AD$4:$AD$147,MATCH(A35,WORLDCUP!$AH$4:$AH$147,0))),"",INDEX(WORLDCUP!$AD$4:$AD$147,MATCH(A35,WORLDCUP!$AH$4:$AH$147,0)))</f>
        <v>0</v>
      </c>
      <c r="F35" s="455" t="str" cm="1">
        <f t="array" ref="F35">MID(INDEX(WORLDCUP!$AF$4:$AF$147,MATCH(A35,WORLDCUP!$AH$4:$AH$147,0)),1,3)</f>
        <v>Cur</v>
      </c>
      <c r="G35" s="456"/>
      <c r="H35" s="457" t="str" cm="1">
        <f t="array" ref="H35">H27</f>
        <v>Sel</v>
      </c>
      <c r="I35" s="459" t="str" cm="1">
        <f t="array" ref="I35">I27</f>
        <v>Pts</v>
      </c>
      <c r="J35" s="459" t="str" cm="1">
        <f t="array" ref="J35">J27</f>
        <v>DG</v>
      </c>
      <c r="K35" s="460" t="str" cm="1">
        <f t="array" ref="K35">K27</f>
        <v>GF-GC</v>
      </c>
      <c r="L35" s="461"/>
      <c r="M35" s="462">
        <v>23</v>
      </c>
      <c r="N35" s="633" t="s">
        <v>199</v>
      </c>
      <c r="O35" s="453" t="str" cm="1">
        <f t="array" ref="O35">MID(INDEX(WORLDCUP!$AA$4:$AA$147,MATCH(M35,WORLDCUP!$AH$4:$AH$147,0)),1,3)</f>
        <v>Por</v>
      </c>
      <c r="P35" s="454" cm="1">
        <f t="array" ref="P35">IF(ISBLANK(INDEX(WORLDCUP!$AC$4:$AC$147,MATCH(M35,WORLDCUP!$AH$4:$AH$147,0))),"",INDEX(WORLDCUP!$AC$4:$AC$147,MATCH(M35,WORLDCUP!$AH$4:$AH$147,0)))</f>
        <v>3</v>
      </c>
      <c r="Q35" s="454" cm="1">
        <f t="array" ref="Q35">IF(ISBLANK(INDEX(WORLDCUP!$AD$4:$AD$147,MATCH(M35,WORLDCUP!$AH$4:$AH$147,0))),"",INDEX(WORLDCUP!$AD$4:$AD$147,MATCH(M35,WORLDCUP!$AH$4:$AH$147,0)))</f>
        <v>0</v>
      </c>
      <c r="R35" s="455" t="str" cm="1">
        <f t="array" ref="R35">MID(INDEX(WORLDCUP!$AF$4:$AF$147,MATCH(M35,WORLDCUP!$AH$4:$AH$147,0)),1,3)</f>
        <v xml:space="preserve">RD </v>
      </c>
      <c r="S35" s="456"/>
      <c r="T35" s="457" t="str" cm="1">
        <f t="array" ref="T35">T27</f>
        <v>Sel</v>
      </c>
      <c r="U35" s="459" t="str" cm="1">
        <f t="array" ref="U35">U27</f>
        <v>Pts</v>
      </c>
      <c r="V35" s="459" t="str" cm="1">
        <f t="array" ref="V35">V27</f>
        <v>DG</v>
      </c>
      <c r="W35" s="460" t="str" cm="1">
        <f t="array" ref="W35">W27</f>
        <v>GF-GC</v>
      </c>
      <c r="X35" s="464"/>
      <c r="Y35" s="513"/>
      <c r="Z35" s="249"/>
      <c r="AA35" s="514"/>
      <c r="AB35" s="514"/>
      <c r="AC35" s="515"/>
      <c r="AD35" s="516">
        <v>92</v>
      </c>
      <c r="AE35" s="499" t="str" cm="1">
        <f t="array" ref="AE35">MID(INDEX(WORLDCUP!$AF$101:$AF$147,MATCH(AD35,WORLDCUP!$Z$101:$Z$147,0)),1,3)</f>
        <v>W80</v>
      </c>
      <c r="AF35" s="500" t="str" cm="1">
        <f t="array" ref="AF35">IF(ISBLANK(INDEX(WORLDCUP!$AD$101:$AD$147,MATCH(AD35,WORLDCUP!$Z$101:$Z$147,0))),"",INDEX(WORLDCUP!$AD$101:$AD$147,MATCH(AD35,WORLDCUP!$Z$101:$Z$147,0)))</f>
        <v/>
      </c>
      <c r="AG35" s="559" t="str" cm="1">
        <f t="array" ref="AG35">IF(ISBLANK(INDEX(WORLDCUP!$AE$101:$AE$147,MATCH(AD35,WORLDCUP!$Z$101:$Z$147,0))),"","( "&amp;INDEX(WORLDCUP!$AE$101:$AE$147,MATCH(AD35,WORLDCUP!$Z$101:$Z$147,0))&amp;" )")</f>
        <v/>
      </c>
      <c r="AH35" s="281"/>
      <c r="AI35" s="502"/>
      <c r="AJ35" s="502"/>
      <c r="AK35" s="551"/>
      <c r="AL35" s="543"/>
      <c r="AM35" s="473"/>
      <c r="AN35" s="634"/>
      <c r="AO35" s="571"/>
      <c r="AP35" s="543"/>
      <c r="AQ35" s="503"/>
      <c r="AR35" s="503"/>
      <c r="AS35" s="503"/>
      <c r="AT35" s="281"/>
      <c r="AU35" s="475"/>
      <c r="AV35" s="475"/>
      <c r="AW35" s="475"/>
      <c r="AX35" s="281"/>
      <c r="AY35" s="8"/>
      <c r="AZ35" s="8"/>
      <c r="BA35" s="8"/>
      <c r="BB35" s="8"/>
      <c r="BC35" s="8"/>
      <c r="BD35" s="8"/>
      <c r="BE35" s="8"/>
      <c r="BF35" s="476"/>
      <c r="BG35" s="505" t="s">
        <v>49</v>
      </c>
      <c r="BH35" s="506" cm="1">
        <f t="array" ref="BH35">1-SUM(BI35:BO35)</f>
        <v>0</v>
      </c>
      <c r="BI35" s="506" cm="1">
        <f t="array" ref="BI35">COUNTIF(Pool!$C$130:$C$161,BG35)-BJ35-BK35-BL35-BM35-BN35-BO35</f>
        <v>1</v>
      </c>
      <c r="BJ35" s="507" cm="1">
        <f t="array" ref="BJ35">COUNTIF(Pool!$C$182:$C$197,BG35)-BK35-BL35-BM35-BN35-BO35</f>
        <v>0</v>
      </c>
      <c r="BK35" s="508" cm="1">
        <f t="array" ref="BK35">COUNTIF(Pool!$C$210:$C$217,BG35)-BL35-BM35-BN35-BO35</f>
        <v>0</v>
      </c>
      <c r="BL35" s="508" cm="1">
        <f t="array" ref="BL35">COUNTIF(Pool!$C$226:$C$229,BG35)-BM35-BN35-BO35</f>
        <v>0</v>
      </c>
      <c r="BM35" s="506" cm="1">
        <f t="array" ref="BM35">COUNTIF(Pool!$C$252,BG35)</f>
        <v>0</v>
      </c>
      <c r="BN35" s="506" cm="1">
        <f t="array" ref="BN35">COUNTIF(Pool!$C$251,BG35)</f>
        <v>0</v>
      </c>
      <c r="BO35" s="509" cm="1">
        <f t="array" ref="BO35">COUNTIF(Pool!$C$250,BG35)</f>
        <v>0</v>
      </c>
    </row>
    <row r="36" spans="1:67" ht="16" customHeight="1" x14ac:dyDescent="0.2">
      <c r="A36" s="451">
        <v>9</v>
      </c>
      <c r="B36" s="635"/>
      <c r="C36" s="487" t="str" cm="1">
        <f t="array" ref="C36">MID(INDEX(WORLDCUP!$AA$4:$AA$147,MATCH(A36,WORLDCUP!$AH$4:$AH$147,0)),1,3)</f>
        <v>Cos</v>
      </c>
      <c r="D36" s="114" cm="1">
        <f t="array" ref="D36">IF(ISBLANK(INDEX(WORLDCUP!$AC$4:$AC$147,MATCH(A36,WORLDCUP!$AH$4:$AH$147,0))),"",INDEX(WORLDCUP!$AC$4:$AC$147,MATCH(A36,WORLDCUP!$AH$4:$AH$147,0)))</f>
        <v>0</v>
      </c>
      <c r="E36" s="114" cm="1">
        <f t="array" ref="E36">IF(ISBLANK(INDEX(WORLDCUP!$AD$4:$AD$147,MATCH(A36,WORLDCUP!$AH$4:$AH$147,0))),"",INDEX(WORLDCUP!$AD$4:$AD$147,MATCH(A36,WORLDCUP!$AH$4:$AH$147,0)))</f>
        <v>4</v>
      </c>
      <c r="F36" s="488" t="str" cm="1">
        <f t="array" ref="F36">MID(INDEX(WORLDCUP!$AF$4:$AF$147,MATCH(A36,WORLDCUP!$AH$4:$AH$147,0)),1,3)</f>
        <v>Ecu</v>
      </c>
      <c r="G36" s="489">
        <v>1</v>
      </c>
      <c r="H36" s="490" t="str" cm="1">
        <f t="array" ref="H36">MID(INDEX(WORLDCUP!$AL$6:$AL$97,MATCH(L36,WORLDCUP!$AI$6:$AI$97,0)),1,3)</f>
        <v>Ale</v>
      </c>
      <c r="I36" s="491" cm="1">
        <f t="array" ref="I36">INDEX(WORLDCUP!$AM$6:$AM$97,MATCH(L36,WORLDCUP!$AI$6:$AI$97,0))</f>
        <v>9</v>
      </c>
      <c r="J36" s="492" cm="1">
        <f t="array" ref="J36">INDEX(WORLDCUP!$AT$6:$AT$97,MATCH(L36,WORLDCUP!$AI$6:$AI$97,0))</f>
        <v>8</v>
      </c>
      <c r="K36" s="493" t="str" cm="1">
        <f t="array" ref="K36">INDEX(WORLDCUP!$AR$6:$AR$97,MATCH(L36,WORLDCUP!$AI$6:$AI$97,0))&amp;"-"&amp;INDEX(WORLDCUP!$AS$6:$AS$97,MATCH(L36,WORLDCUP!$AI$6:$AI$97,0))</f>
        <v>10-2</v>
      </c>
      <c r="L36" s="494" t="s">
        <v>149</v>
      </c>
      <c r="M36" s="462">
        <v>24</v>
      </c>
      <c r="N36" s="636"/>
      <c r="O36" s="487" t="str" cm="1">
        <f t="array" ref="O36">MID(INDEX(WORLDCUP!$AA$4:$AA$147,MATCH(M36,WORLDCUP!$AH$4:$AH$147,0)),1,3)</f>
        <v>Uzb</v>
      </c>
      <c r="P36" s="114" cm="1">
        <f t="array" ref="P36">IF(ISBLANK(INDEX(WORLDCUP!$AC$4:$AC$147,MATCH(M36,WORLDCUP!$AH$4:$AH$147,0))),"",INDEX(WORLDCUP!$AC$4:$AC$147,MATCH(M36,WORLDCUP!$AH$4:$AH$147,0)))</f>
        <v>0</v>
      </c>
      <c r="Q36" s="114" cm="1">
        <f t="array" ref="Q36">IF(ISBLANK(INDEX(WORLDCUP!$AD$4:$AD$147,MATCH(M36,WORLDCUP!$AH$4:$AH$147,0))),"",INDEX(WORLDCUP!$AD$4:$AD$147,MATCH(M36,WORLDCUP!$AH$4:$AH$147,0)))</f>
        <v>2</v>
      </c>
      <c r="R36" s="488" t="str" cm="1">
        <f t="array" ref="R36">MID(INDEX(WORLDCUP!$AF$4:$AF$147,MATCH(M36,WORLDCUP!$AH$4:$AH$147,0)),1,3)</f>
        <v>Col</v>
      </c>
      <c r="S36" s="489">
        <v>1</v>
      </c>
      <c r="T36" s="490" t="str" cm="1">
        <f t="array" ref="T36">MID(INDEX(WORLDCUP!$AL$6:$AL$97,MATCH(X36,WORLDCUP!$AI$6:$AI$97,0)),1,3)</f>
        <v>Por</v>
      </c>
      <c r="U36" s="491" cm="1">
        <f t="array" ref="U36">INDEX(WORLDCUP!$AM$6:$AM$97,MATCH(X36,WORLDCUP!$AI$6:$AI$97,0))</f>
        <v>9</v>
      </c>
      <c r="V36" s="492" cm="1">
        <f t="array" ref="V36">INDEX(WORLDCUP!$AT$6:$AT$97,MATCH(X36,WORLDCUP!$AI$6:$AI$97,0))</f>
        <v>9</v>
      </c>
      <c r="W36" s="493" t="str" cm="1">
        <f t="array" ref="W36">INDEX(WORLDCUP!$AR$6:$AR$97,MATCH(X36,WORLDCUP!$AI$6:$AI$97,0))&amp;"-"&amp;INDEX(WORLDCUP!$AS$6:$AS$97,MATCH(X36,WORLDCUP!$AI$6:$AI$97,0))</f>
        <v>10-1</v>
      </c>
      <c r="X36" s="496" t="s">
        <v>201</v>
      </c>
      <c r="Y36" s="465">
        <v>80</v>
      </c>
      <c r="Z36" s="466" t="s">
        <v>210</v>
      </c>
      <c r="AA36" s="467" t="str" cm="1">
        <f t="array" ref="AA36">MID(INDEX(WORLDCUP!$AA$101:$AA$147,MATCH(Y36,WORLDCUP!$Z$101:$Z$147,0)),1,3)</f>
        <v>Ing</v>
      </c>
      <c r="AB36" s="468" t="str" cm="1">
        <f t="array" ref="AB36">IF(ISBLANK(INDEX(WORLDCUP!$AC$101:$AC$147,MATCH(Y36,WORLDCUP!$Z$101:$Z$147,0))),"",INDEX(WORLDCUP!$AC$101:$AC$147,MATCH(Y36,WORLDCUP!$Z$101:$Z$147,0)))</f>
        <v/>
      </c>
      <c r="AC36" s="562" t="str" cm="1">
        <f t="array" ref="AC36">IF(ISBLANK(INDEX(WORLDCUP!$AB$101:$AB$147,MATCH(Y36,WORLDCUP!$Z$101:$Z$147,0))),"","( "&amp;INDEX(WORLDCUP!$AB$101:$AB$147,MATCH(Y36,WORLDCUP!$Z$101:$Z$147,0))&amp;" )")</f>
        <v/>
      </c>
      <c r="AD36" s="518"/>
      <c r="AE36" s="563"/>
      <c r="AF36" s="563"/>
      <c r="AG36" s="471"/>
      <c r="AH36" s="281"/>
      <c r="AI36" s="502"/>
      <c r="AJ36" s="502"/>
      <c r="AK36" s="551"/>
      <c r="AL36" s="543"/>
      <c r="AM36" s="564"/>
      <c r="AN36" s="564"/>
      <c r="AO36" s="571"/>
      <c r="AP36" s="543"/>
      <c r="AQ36" s="503"/>
      <c r="AR36" s="503"/>
      <c r="AS36" s="503"/>
      <c r="AT36" s="281"/>
      <c r="AU36" s="475"/>
      <c r="AV36" s="475"/>
      <c r="AW36" s="475"/>
      <c r="AX36" s="281"/>
      <c r="AY36" s="8"/>
      <c r="AZ36" s="8"/>
      <c r="BA36" s="8"/>
      <c r="BB36" s="8"/>
      <c r="BC36" s="8"/>
      <c r="BD36" s="8"/>
      <c r="BE36" s="8"/>
      <c r="BF36" s="476"/>
      <c r="BG36" s="505" t="s">
        <v>189</v>
      </c>
      <c r="BH36" s="506" cm="1">
        <f t="array" ref="BH36">1-SUM(BI36:BO36)</f>
        <v>1</v>
      </c>
      <c r="BI36" s="506" cm="1">
        <f t="array" ref="BI36">COUNTIF(Pool!$C$130:$C$161,BG36)-BJ36-BK36-BL36-BM36-BN36-BO36</f>
        <v>0</v>
      </c>
      <c r="BJ36" s="507" cm="1">
        <f t="array" ref="BJ36">COUNTIF(Pool!$C$182:$C$197,BG36)-BK36-BL36-BM36-BN36-BO36</f>
        <v>0</v>
      </c>
      <c r="BK36" s="508" cm="1">
        <f t="array" ref="BK36">COUNTIF(Pool!$C$210:$C$217,BG36)-BL36-BM36-BN36-BO36</f>
        <v>0</v>
      </c>
      <c r="BL36" s="508" cm="1">
        <f t="array" ref="BL36">COUNTIF(Pool!$C$226:$C$229,BG36)-BM36-BN36-BO36</f>
        <v>0</v>
      </c>
      <c r="BM36" s="506" cm="1">
        <f t="array" ref="BM36">COUNTIF(Pool!$C$252,BG36)</f>
        <v>0</v>
      </c>
      <c r="BN36" s="506" cm="1">
        <f t="array" ref="BN36">COUNTIF(Pool!$C$251,BG36)</f>
        <v>0</v>
      </c>
      <c r="BO36" s="509" cm="1">
        <f t="array" ref="BO36">COUNTIF(Pool!$C$250,BG36)</f>
        <v>0</v>
      </c>
    </row>
    <row r="37" spans="1:67" ht="16" customHeight="1" x14ac:dyDescent="0.2">
      <c r="A37" s="451">
        <v>33</v>
      </c>
      <c r="B37" s="635"/>
      <c r="C37" s="487" t="str" cm="1">
        <f t="array" ref="C37">MID(INDEX(WORLDCUP!$AA$4:$AA$147,MATCH(A37,WORLDCUP!$AH$4:$AH$147,0)),1,3)</f>
        <v>Ale</v>
      </c>
      <c r="D37" s="114" cm="1">
        <f t="array" ref="D37">IF(ISBLANK(INDEX(WORLDCUP!$AC$4:$AC$147,MATCH(A37,WORLDCUP!$AH$4:$AH$147,0))),"",INDEX(WORLDCUP!$AC$4:$AC$147,MATCH(A37,WORLDCUP!$AH$4:$AH$147,0)))</f>
        <v>3</v>
      </c>
      <c r="E37" s="114" cm="1">
        <f t="array" ref="E37">IF(ISBLANK(INDEX(WORLDCUP!$AD$4:$AD$147,MATCH(A37,WORLDCUP!$AH$4:$AH$147,0))),"",INDEX(WORLDCUP!$AD$4:$AD$147,MATCH(A37,WORLDCUP!$AH$4:$AH$147,0)))</f>
        <v>1</v>
      </c>
      <c r="F37" s="488" t="str" cm="1">
        <f t="array" ref="F37">MID(INDEX(WORLDCUP!$AF$4:$AF$147,MATCH(A37,WORLDCUP!$AH$4:$AH$147,0)),1,3)</f>
        <v>Cos</v>
      </c>
      <c r="G37" s="510">
        <v>2</v>
      </c>
      <c r="H37" s="511" t="str" cm="1">
        <f t="array" ref="H37">MID(INDEX(WORLDCUP!$AL$6:$AL$97,MATCH(L37,WORLDCUP!$AI$6:$AI$97,0)),1,3)</f>
        <v>Cur</v>
      </c>
      <c r="I37" s="143" cm="1">
        <f t="array" ref="I37">INDEX(WORLDCUP!$AM$6:$AM$97,MATCH(L37,WORLDCUP!$AI$6:$AI$97,0))</f>
        <v>0</v>
      </c>
      <c r="J37" s="144" cm="1">
        <f t="array" ref="J37">INDEX(WORLDCUP!$AT$6:$AT$97,MATCH(L37,WORLDCUP!$AI$6:$AI$97,0))</f>
        <v>-10</v>
      </c>
      <c r="K37" s="512" t="str" cm="1">
        <f t="array" ref="K37">INDEX(WORLDCUP!$AR$6:$AR$97,MATCH(L37,WORLDCUP!$AI$6:$AI$97,0))&amp;"-"&amp;INDEX(WORLDCUP!$AS$6:$AS$97,MATCH(L37,WORLDCUP!$AI$6:$AI$97,0))</f>
        <v>0-10</v>
      </c>
      <c r="L37" s="494" t="s">
        <v>151</v>
      </c>
      <c r="M37" s="462">
        <v>47</v>
      </c>
      <c r="N37" s="636"/>
      <c r="O37" s="487" t="str" cm="1">
        <f t="array" ref="O37">MID(INDEX(WORLDCUP!$AA$4:$AA$147,MATCH(M37,WORLDCUP!$AH$4:$AH$147,0)),1,3)</f>
        <v>Por</v>
      </c>
      <c r="P37" s="114" cm="1">
        <f t="array" ref="P37">IF(ISBLANK(INDEX(WORLDCUP!$AC$4:$AC$147,MATCH(M37,WORLDCUP!$AH$4:$AH$147,0))),"",INDEX(WORLDCUP!$AC$4:$AC$147,MATCH(M37,WORLDCUP!$AH$4:$AH$147,0)))</f>
        <v>5</v>
      </c>
      <c r="Q37" s="114" cm="1">
        <f t="array" ref="Q37">IF(ISBLANK(INDEX(WORLDCUP!$AD$4:$AD$147,MATCH(M37,WORLDCUP!$AH$4:$AH$147,0))),"",INDEX(WORLDCUP!$AD$4:$AD$147,MATCH(M37,WORLDCUP!$AH$4:$AH$147,0)))</f>
        <v>0</v>
      </c>
      <c r="R37" s="488" t="str" cm="1">
        <f t="array" ref="R37">MID(INDEX(WORLDCUP!$AF$4:$AF$147,MATCH(M37,WORLDCUP!$AH$4:$AH$147,0)),1,3)</f>
        <v>Uzb</v>
      </c>
      <c r="S37" s="510">
        <v>2</v>
      </c>
      <c r="T37" s="511" t="str" cm="1">
        <f t="array" ref="T37">MID(INDEX(WORLDCUP!$AL$6:$AL$97,MATCH(X37,WORLDCUP!$AI$6:$AI$97,0)),1,3)</f>
        <v xml:space="preserve">RD </v>
      </c>
      <c r="U37" s="143" cm="1">
        <f t="array" ref="U37">INDEX(WORLDCUP!$AM$6:$AM$97,MATCH(X37,WORLDCUP!$AI$6:$AI$97,0))</f>
        <v>3</v>
      </c>
      <c r="V37" s="144" cm="1">
        <f t="array" ref="V37">INDEX(WORLDCUP!$AT$6:$AT$97,MATCH(X37,WORLDCUP!$AI$6:$AI$97,0))</f>
        <v>-4</v>
      </c>
      <c r="W37" s="512" t="str" cm="1">
        <f t="array" ref="W37">INDEX(WORLDCUP!$AR$6:$AR$97,MATCH(X37,WORLDCUP!$AI$6:$AI$97,0))&amp;"-"&amp;INDEX(WORLDCUP!$AS$6:$AS$97,MATCH(X37,WORLDCUP!$AI$6:$AI$97,0))</f>
        <v>2-6</v>
      </c>
      <c r="X37" s="496" t="s">
        <v>203</v>
      </c>
      <c r="Y37" s="465">
        <v>80</v>
      </c>
      <c r="Z37" s="466" t="s">
        <v>253</v>
      </c>
      <c r="AA37" s="467" t="str" cm="1">
        <f t="array" ref="AA37">MID(INDEX(WORLDCUP!$AF$101:$AF$147,MATCH(Y37,WORLDCUP!$Z$101:$Z$147,0)),1,IF(WORLDCUP!$H$113&lt;144,6,3))</f>
        <v>3EH</v>
      </c>
      <c r="AB37" s="468" t="str" cm="1">
        <f t="array" ref="AB37">IF(ISBLANK(INDEX(WORLDCUP!$AD$101:$AD$147,MATCH(Y37,WORLDCUP!$Z$101:$Z$147,0))),"",INDEX(WORLDCUP!$AD$101:$AD$147,MATCH(Y37,WORLDCUP!$Z$101:$Z$147,0)))</f>
        <v/>
      </c>
      <c r="AC37" s="565" t="str" cm="1">
        <f t="array" ref="AC37">IF(ISBLANK(INDEX(WORLDCUP!$AE$101:$AE$147,MATCH(Y37,WORLDCUP!$Z$101:$Z$147,0))),"","( "&amp;INDEX(WORLDCUP!$AE$101:$AE$147,MATCH(Y37,WORLDCUP!$Z$101:$Z$147,0))&amp;" )")</f>
        <v/>
      </c>
      <c r="AD37" s="281"/>
      <c r="AE37" s="471"/>
      <c r="AF37" s="471"/>
      <c r="AG37" s="471"/>
      <c r="AH37" s="281"/>
      <c r="AI37" s="502"/>
      <c r="AJ37" s="502"/>
      <c r="AK37" s="551"/>
      <c r="AL37" s="498">
        <v>102</v>
      </c>
      <c r="AM37" s="566" t="str" cm="1">
        <f t="array" ref="AM37">MID(INDEX(WORLDCUP!$AA$101:$AA$147,MATCH(AL37,WORLDCUP!$Z$101:$Z$147,0)),1,3)</f>
        <v>W99</v>
      </c>
      <c r="AN37" s="567" t="str" cm="1">
        <f t="array" ref="AN37">IF(ISBLANK(INDEX(WORLDCUP!$AC$101:$AC$147,MATCH(AL37,WORLDCUP!$Z$101:$Z$147,0))),"",INDEX(WORLDCUP!$AC$101:$AC$147,MATCH(AL37,WORLDCUP!$Z$101:$Z$147,0)))</f>
        <v/>
      </c>
      <c r="AO37" s="637" t="str" cm="1">
        <f t="array" ref="AO37">IF(ISBLANK(INDEX(WORLDCUP!$AB$101:$AB$147,MATCH(AL37,WORLDCUP!$Z$101:$Z$147,0))),"","( "&amp;INDEX(WORLDCUP!$AB$101:$AB$147,MATCH(AL37,WORLDCUP!$Z$101:$Z$147,0))&amp;" )")</f>
        <v/>
      </c>
      <c r="AP37" s="518"/>
      <c r="AQ37" s="503"/>
      <c r="AR37" s="503"/>
      <c r="AS37" s="503"/>
      <c r="AT37" s="281"/>
      <c r="AU37" s="475"/>
      <c r="AV37" s="475"/>
      <c r="AW37" s="475"/>
      <c r="AX37" s="281"/>
      <c r="AY37" s="8"/>
      <c r="AZ37" s="8"/>
      <c r="BA37" s="8"/>
      <c r="BB37" s="8"/>
      <c r="BC37" s="8"/>
      <c r="BD37" s="8"/>
      <c r="BE37" s="8"/>
      <c r="BF37" s="476"/>
      <c r="BG37" s="505" t="s">
        <v>171</v>
      </c>
      <c r="BH37" s="506" cm="1">
        <f t="array" ref="BH37">1-SUM(BI37:BO37)</f>
        <v>1</v>
      </c>
      <c r="BI37" s="506" cm="1">
        <f t="array" ref="BI37">COUNTIF(Pool!$C$130:$C$161,BG37)-BJ37-BK37-BL37-BM37-BN37-BO37</f>
        <v>0</v>
      </c>
      <c r="BJ37" s="507" cm="1">
        <f t="array" ref="BJ37">COUNTIF(Pool!$C$182:$C$197,BG37)-BK37-BL37-BM37-BN37-BO37</f>
        <v>0</v>
      </c>
      <c r="BK37" s="508" cm="1">
        <f t="array" ref="BK37">COUNTIF(Pool!$C$210:$C$217,BG37)-BL37-BM37-BN37-BO37</f>
        <v>0</v>
      </c>
      <c r="BL37" s="508" cm="1">
        <f t="array" ref="BL37">COUNTIF(Pool!$C$226:$C$229,BG37)-BM37-BN37-BO37</f>
        <v>0</v>
      </c>
      <c r="BM37" s="506" cm="1">
        <f t="array" ref="BM37">COUNTIF(Pool!$C$252,BG37)</f>
        <v>0</v>
      </c>
      <c r="BN37" s="506" cm="1">
        <f t="array" ref="BN37">COUNTIF(Pool!$C$251,BG37)</f>
        <v>0</v>
      </c>
      <c r="BO37" s="509" cm="1">
        <f t="array" ref="BO37">COUNTIF(Pool!$C$250,BG37)</f>
        <v>0</v>
      </c>
    </row>
    <row r="38" spans="1:67" ht="15" customHeight="1" x14ac:dyDescent="0.2">
      <c r="A38" s="451">
        <v>34</v>
      </c>
      <c r="B38" s="635"/>
      <c r="C38" s="487" t="str" cm="1">
        <f t="array" ref="C38">MID(INDEX(WORLDCUP!$AA$4:$AA$147,MATCH(A38,WORLDCUP!$AH$4:$AH$147,0)),1,3)</f>
        <v>Ecu</v>
      </c>
      <c r="D38" s="114" cm="1">
        <f t="array" ref="D38">IF(ISBLANK(INDEX(WORLDCUP!$AC$4:$AC$147,MATCH(A38,WORLDCUP!$AH$4:$AH$147,0))),"",INDEX(WORLDCUP!$AC$4:$AC$147,MATCH(A38,WORLDCUP!$AH$4:$AH$147,0)))</f>
        <v>3</v>
      </c>
      <c r="E38" s="114" cm="1">
        <f t="array" ref="E38">IF(ISBLANK(INDEX(WORLDCUP!$AD$4:$AD$147,MATCH(A38,WORLDCUP!$AH$4:$AH$147,0))),"",INDEX(WORLDCUP!$AD$4:$AD$147,MATCH(A38,WORLDCUP!$AH$4:$AH$147,0)))</f>
        <v>0</v>
      </c>
      <c r="F38" s="488" t="str" cm="1">
        <f t="array" ref="F38">MID(INDEX(WORLDCUP!$AF$4:$AF$147,MATCH(A38,WORLDCUP!$AH$4:$AH$147,0)),1,3)</f>
        <v>Cur</v>
      </c>
      <c r="G38" s="510">
        <v>3</v>
      </c>
      <c r="H38" s="511" t="str" cm="1">
        <f t="array" ref="H38">MID(INDEX(WORLDCUP!$AL$6:$AL$97,MATCH(L38,WORLDCUP!$AI$6:$AI$97,0)),1,3)</f>
        <v>Cos</v>
      </c>
      <c r="I38" s="143" cm="1">
        <f t="array" ref="I38">INDEX(WORLDCUP!$AM$6:$AM$97,MATCH(L38,WORLDCUP!$AI$6:$AI$97,0))</f>
        <v>3</v>
      </c>
      <c r="J38" s="144" cm="1">
        <f t="array" ref="J38">INDEX(WORLDCUP!$AT$6:$AT$97,MATCH(L38,WORLDCUP!$AI$6:$AI$97,0))</f>
        <v>-4</v>
      </c>
      <c r="K38" s="512" t="str" cm="1">
        <f t="array" ref="K38">INDEX(WORLDCUP!$AR$6:$AR$97,MATCH(L38,WORLDCUP!$AI$6:$AI$97,0))&amp;"-"&amp;INDEX(WORLDCUP!$AS$6:$AS$97,MATCH(L38,WORLDCUP!$AI$6:$AI$97,0))</f>
        <v>3-7</v>
      </c>
      <c r="L38" s="494" t="s">
        <v>153</v>
      </c>
      <c r="M38" s="462">
        <v>48</v>
      </c>
      <c r="N38" s="636"/>
      <c r="O38" s="487" t="str" cm="1">
        <f t="array" ref="O38">MID(INDEX(WORLDCUP!$AA$4:$AA$147,MATCH(M38,WORLDCUP!$AH$4:$AH$147,0)),1,3)</f>
        <v>Col</v>
      </c>
      <c r="P38" s="114" cm="1">
        <f t="array" ref="P38">IF(ISBLANK(INDEX(WORLDCUP!$AC$4:$AC$147,MATCH(M38,WORLDCUP!$AH$4:$AH$147,0))),"",INDEX(WORLDCUP!$AC$4:$AC$147,MATCH(M38,WORLDCUP!$AH$4:$AH$147,0)))</f>
        <v>3</v>
      </c>
      <c r="Q38" s="114" cm="1">
        <f t="array" ref="Q38">IF(ISBLANK(INDEX(WORLDCUP!$AD$4:$AD$147,MATCH(M38,WORLDCUP!$AH$4:$AH$147,0))),"",INDEX(WORLDCUP!$AD$4:$AD$147,MATCH(M38,WORLDCUP!$AH$4:$AH$147,0)))</f>
        <v>1</v>
      </c>
      <c r="R38" s="488" t="str" cm="1">
        <f t="array" ref="R38">MID(INDEX(WORLDCUP!$AF$4:$AF$147,MATCH(M38,WORLDCUP!$AH$4:$AH$147,0)),1,3)</f>
        <v xml:space="preserve">RD </v>
      </c>
      <c r="S38" s="510">
        <v>3</v>
      </c>
      <c r="T38" s="511" t="str" cm="1">
        <f t="array" ref="T38">MID(INDEX(WORLDCUP!$AL$6:$AL$97,MATCH(X38,WORLDCUP!$AI$6:$AI$97,0)),1,3)</f>
        <v>Uzb</v>
      </c>
      <c r="U38" s="143" cm="1">
        <f t="array" ref="U38">INDEX(WORLDCUP!$AM$6:$AM$97,MATCH(X38,WORLDCUP!$AI$6:$AI$97,0))</f>
        <v>0</v>
      </c>
      <c r="V38" s="144" cm="1">
        <f t="array" ref="V38">INDEX(WORLDCUP!$AT$6:$AT$97,MATCH(X38,WORLDCUP!$AI$6:$AI$97,0))</f>
        <v>-8</v>
      </c>
      <c r="W38" s="512" t="str" cm="1">
        <f t="array" ref="W38">INDEX(WORLDCUP!$AR$6:$AR$97,MATCH(X38,WORLDCUP!$AI$6:$AI$97,0))&amp;"-"&amp;INDEX(WORLDCUP!$AS$6:$AS$97,MATCH(X38,WORLDCUP!$AI$6:$AI$97,0))</f>
        <v>0-8</v>
      </c>
      <c r="X38" s="496" t="s">
        <v>205</v>
      </c>
      <c r="Y38" s="513"/>
      <c r="Z38" s="249"/>
      <c r="AA38" s="540"/>
      <c r="AB38" s="540"/>
      <c r="AC38" s="541"/>
      <c r="AD38" s="281"/>
      <c r="AE38" s="471"/>
      <c r="AF38" s="471"/>
      <c r="AG38" s="471"/>
      <c r="AH38" s="281"/>
      <c r="AI38" s="502"/>
      <c r="AJ38" s="502"/>
      <c r="AK38" s="551"/>
      <c r="AL38" s="516">
        <v>102</v>
      </c>
      <c r="AM38" s="566" t="str" cm="1">
        <f t="array" ref="AM38">MID(INDEX(WORLDCUP!$AF$101:$AF$147,MATCH(AL38,WORLDCUP!$Z$101:$Z$147,0)),1,IF(OR(ISBLANK(AC134:AD134)),4,3))</f>
        <v>W100</v>
      </c>
      <c r="AN38" s="567" t="str" cm="1">
        <f t="array" ref="AN38">IF(ISBLANK(INDEX(WORLDCUP!$AD$101:$AD$147,MATCH(AL38,WORLDCUP!$Z$101:$Z$147,0))),"",INDEX(WORLDCUP!$AD$101:$AD$147,MATCH(AL38,WORLDCUP!$Z$101:$Z$147,0)))</f>
        <v/>
      </c>
      <c r="AO38" s="638" t="str" cm="1">
        <f t="array" ref="AO38">IF(ISBLANK(INDEX(WORLDCUP!$AE$101:$AE$147,MATCH(AL38,WORLDCUP!$Z$101:$Z$147,0))),"","( "&amp;INDEX(WORLDCUP!$AE$101:$AE$147,MATCH(AL38,WORLDCUP!$Z$101:$Z$147,0))&amp;" )")</f>
        <v/>
      </c>
      <c r="AP38" s="281"/>
      <c r="AQ38" s="503"/>
      <c r="AR38" s="503"/>
      <c r="AS38" s="503"/>
      <c r="AT38" s="281"/>
      <c r="AU38" s="475"/>
      <c r="AV38" s="475"/>
      <c r="AW38" s="475"/>
      <c r="AX38" s="281"/>
      <c r="AY38" s="8"/>
      <c r="AZ38" s="8"/>
      <c r="BA38" s="8"/>
      <c r="BB38" s="8"/>
      <c r="BC38" s="8"/>
      <c r="BD38" s="8"/>
      <c r="BE38" s="8"/>
      <c r="BF38" s="476"/>
      <c r="BG38" s="505" t="s">
        <v>157</v>
      </c>
      <c r="BH38" s="506" cm="1">
        <f t="array" ref="BH38">1-SUM(BI38:BO38)</f>
        <v>0</v>
      </c>
      <c r="BI38" s="506" cm="1">
        <f t="array" ref="BI38">COUNTIF(Pool!$C$130:$C$161,BG38)-BJ38-BK38-BL38-BM38-BN38-BO38</f>
        <v>1</v>
      </c>
      <c r="BJ38" s="507" cm="1">
        <f t="array" ref="BJ38">COUNTIF(Pool!$C$182:$C$197,BG38)-BK38-BL38-BM38-BN38-BO38</f>
        <v>0</v>
      </c>
      <c r="BK38" s="508" cm="1">
        <f t="array" ref="BK38">COUNTIF(Pool!$C$210:$C$217,BG38)-BL38-BM38-BN38-BO38</f>
        <v>0</v>
      </c>
      <c r="BL38" s="508" cm="1">
        <f t="array" ref="BL38">COUNTIF(Pool!$C$226:$C$229,BG38)-BM38-BN38-BO38</f>
        <v>0</v>
      </c>
      <c r="BM38" s="506" cm="1">
        <f t="array" ref="BM38">COUNTIF(Pool!$C$252,BG38)</f>
        <v>0</v>
      </c>
      <c r="BN38" s="506" cm="1">
        <f t="array" ref="BN38">COUNTIF(Pool!$C$251,BG38)</f>
        <v>0</v>
      </c>
      <c r="BO38" s="509" cm="1">
        <f t="array" ref="BO38">COUNTIF(Pool!$C$250,BG38)</f>
        <v>0</v>
      </c>
    </row>
    <row r="39" spans="1:67" ht="16" customHeight="1" x14ac:dyDescent="0.2">
      <c r="A39" s="451">
        <v>55</v>
      </c>
      <c r="B39" s="635"/>
      <c r="C39" s="487" t="str" cm="1">
        <f t="array" ref="C39">MID(INDEX(WORLDCUP!$AA$4:$AA$147,MATCH(A39,WORLDCUP!$AH$4:$AH$147,0)),1,3)</f>
        <v>Cur</v>
      </c>
      <c r="D39" s="114" cm="1">
        <f t="array" ref="D39">IF(ISBLANK(INDEX(WORLDCUP!$AC$4:$AC$147,MATCH(A39,WORLDCUP!$AH$4:$AH$147,0))),"",INDEX(WORLDCUP!$AC$4:$AC$147,MATCH(A39,WORLDCUP!$AH$4:$AH$147,0)))</f>
        <v>0</v>
      </c>
      <c r="E39" s="114" cm="1">
        <f t="array" ref="E39">IF(ISBLANK(INDEX(WORLDCUP!$AD$4:$AD$147,MATCH(A39,WORLDCUP!$AH$4:$AH$147,0))),"",INDEX(WORLDCUP!$AD$4:$AD$147,MATCH(A39,WORLDCUP!$AH$4:$AH$147,0)))</f>
        <v>2</v>
      </c>
      <c r="F39" s="488" t="str" cm="1">
        <f t="array" ref="F39">MID(INDEX(WORLDCUP!$AF$4:$AF$147,MATCH(A39,WORLDCUP!$AH$4:$AH$147,0)),1,3)</f>
        <v>Cos</v>
      </c>
      <c r="G39" s="510">
        <v>4</v>
      </c>
      <c r="H39" s="523" t="str" cm="1">
        <f t="array" ref="H39">MID(INDEX(WORLDCUP!$AL$6:$AL$97,MATCH(L39,WORLDCUP!$AI$6:$AI$97,0)),1,3)</f>
        <v>Ecu</v>
      </c>
      <c r="I39" s="524" cm="1">
        <f t="array" ref="I39">INDEX(WORLDCUP!$AM$6:$AM$97,MATCH(L39,WORLDCUP!$AI$6:$AI$97,0))</f>
        <v>6</v>
      </c>
      <c r="J39" s="525" cm="1">
        <f t="array" ref="J39">INDEX(WORLDCUP!$AT$6:$AT$97,MATCH(L39,WORLDCUP!$AI$6:$AI$97,0))</f>
        <v>6</v>
      </c>
      <c r="K39" s="526" t="str" cm="1">
        <f t="array" ref="K39">INDEX(WORLDCUP!$AR$6:$AR$97,MATCH(L39,WORLDCUP!$AI$6:$AI$97,0))&amp;"-"&amp;INDEX(WORLDCUP!$AS$6:$AS$97,MATCH(L39,WORLDCUP!$AI$6:$AI$97,0))</f>
        <v>8-2</v>
      </c>
      <c r="L39" s="494" t="s">
        <v>155</v>
      </c>
      <c r="M39" s="462">
        <v>71</v>
      </c>
      <c r="N39" s="636"/>
      <c r="O39" s="487" t="str" cm="1">
        <f t="array" ref="O39">MID(INDEX(WORLDCUP!$AA$4:$AA$147,MATCH(M39,WORLDCUP!$AH$4:$AH$147,0)),1,3)</f>
        <v>Col</v>
      </c>
      <c r="P39" s="114" cm="1">
        <f t="array" ref="P39">IF(ISBLANK(INDEX(WORLDCUP!$AC$4:$AC$147,MATCH(M39,WORLDCUP!$AH$4:$AH$147,0))),"",INDEX(WORLDCUP!$AC$4:$AC$147,MATCH(M39,WORLDCUP!$AH$4:$AH$147,0)))</f>
        <v>1</v>
      </c>
      <c r="Q39" s="114" cm="1">
        <f t="array" ref="Q39">IF(ISBLANK(INDEX(WORLDCUP!$AD$4:$AD$147,MATCH(M39,WORLDCUP!$AH$4:$AH$147,0))),"",INDEX(WORLDCUP!$AD$4:$AD$147,MATCH(M39,WORLDCUP!$AH$4:$AH$147,0)))</f>
        <v>2</v>
      </c>
      <c r="R39" s="488" t="str" cm="1">
        <f t="array" ref="R39">MID(INDEX(WORLDCUP!$AF$4:$AF$147,MATCH(M39,WORLDCUP!$AH$4:$AH$147,0)),1,3)</f>
        <v>Por</v>
      </c>
      <c r="S39" s="510">
        <v>4</v>
      </c>
      <c r="T39" s="523" t="str" cm="1">
        <f t="array" ref="T39">MID(INDEX(WORLDCUP!$AL$6:$AL$97,MATCH(X39,WORLDCUP!$AI$6:$AI$97,0)),1,3)</f>
        <v>Col</v>
      </c>
      <c r="U39" s="524" cm="1">
        <f t="array" ref="U39">INDEX(WORLDCUP!$AM$6:$AM$97,MATCH(X39,WORLDCUP!$AI$6:$AI$97,0))</f>
        <v>6</v>
      </c>
      <c r="V39" s="525" cm="1">
        <f t="array" ref="V39">INDEX(WORLDCUP!$AT$6:$AT$97,MATCH(X39,WORLDCUP!$AI$6:$AI$97,0))</f>
        <v>3</v>
      </c>
      <c r="W39" s="526" t="str" cm="1">
        <f t="array" ref="W39">INDEX(WORLDCUP!$AR$6:$AR$97,MATCH(X39,WORLDCUP!$AI$6:$AI$97,0))&amp;"-"&amp;INDEX(WORLDCUP!$AS$6:$AS$97,MATCH(X39,WORLDCUP!$AI$6:$AI$97,0))</f>
        <v>6-3</v>
      </c>
      <c r="X39" s="496" t="s">
        <v>207</v>
      </c>
      <c r="Y39" s="465">
        <v>86</v>
      </c>
      <c r="Z39" s="466" t="s">
        <v>192</v>
      </c>
      <c r="AA39" s="467" t="str" cm="1">
        <f t="array" ref="AA39">MID(INDEX(WORLDCUP!$AA$101:$AA$147,MATCH(Y39,WORLDCUP!$Z$101:$Z$147,0)),1,3)</f>
        <v>Arg</v>
      </c>
      <c r="AB39" s="468" t="str" cm="1">
        <f t="array" ref="AB39">IF(ISBLANK(INDEX(WORLDCUP!$AC$101:$AC$147,MATCH(Y39,WORLDCUP!$Z$101:$Z$147,0))),"",INDEX(WORLDCUP!$AC$101:$AC$147,MATCH(Y39,WORLDCUP!$Z$101:$Z$147,0)))</f>
        <v/>
      </c>
      <c r="AC39" s="549" t="str" cm="1">
        <f t="array" ref="AC39">IF(ISBLANK(INDEX(WORLDCUP!$AB$101:$AB$147,MATCH(Y39,WORLDCUP!$Z$101:$Z$147,0))),"","( "&amp;INDEX(WORLDCUP!$AB$101:$AB$147,MATCH(Y39,WORLDCUP!$Z$101:$Z$147,0))&amp;" )")</f>
        <v/>
      </c>
      <c r="AD39" s="73"/>
      <c r="AE39" s="470"/>
      <c r="AF39" s="470"/>
      <c r="AG39" s="471"/>
      <c r="AH39" s="281"/>
      <c r="AI39" s="502"/>
      <c r="AJ39" s="502"/>
      <c r="AK39" s="551"/>
      <c r="AL39" s="543"/>
      <c r="AM39" s="570"/>
      <c r="AN39" s="570"/>
      <c r="AO39" s="473"/>
      <c r="AP39" s="281"/>
      <c r="AQ39" s="503"/>
      <c r="AR39" s="503"/>
      <c r="AS39" s="503"/>
      <c r="AT39" s="281"/>
      <c r="AU39" s="475"/>
      <c r="AV39" s="475"/>
      <c r="AW39" s="475"/>
      <c r="AX39" s="281"/>
      <c r="AY39" s="8"/>
      <c r="AZ39" s="8"/>
      <c r="BA39" s="8"/>
      <c r="BB39" s="8"/>
      <c r="BC39" s="8"/>
      <c r="BD39" s="8"/>
      <c r="BE39" s="8"/>
      <c r="BF39" s="476"/>
      <c r="BG39" s="505" t="s">
        <v>215</v>
      </c>
      <c r="BH39" s="506" cm="1">
        <f t="array" ref="BH39">1-SUM(BI39:BO39)</f>
        <v>1</v>
      </c>
      <c r="BI39" s="506" cm="1">
        <f t="array" ref="BI39">COUNTIF(Pool!$C$130:$C$161,BG39)-BJ39-BK39-BL39-BM39-BN39-BO39</f>
        <v>0</v>
      </c>
      <c r="BJ39" s="507" cm="1">
        <f t="array" ref="BJ39">COUNTIF(Pool!$C$182:$C$197,BG39)-BK39-BL39-BM39-BN39-BO39</f>
        <v>0</v>
      </c>
      <c r="BK39" s="508" cm="1">
        <f t="array" ref="BK39">COUNTIF(Pool!$C$210:$C$217,BG39)-BL39-BM39-BN39-BO39</f>
        <v>0</v>
      </c>
      <c r="BL39" s="508" cm="1">
        <f t="array" ref="BL39">COUNTIF(Pool!$C$226:$C$229,BG39)-BM39-BN39-BO39</f>
        <v>0</v>
      </c>
      <c r="BM39" s="506" cm="1">
        <f t="array" ref="BM39">COUNTIF(Pool!$C$252,BG39)</f>
        <v>0</v>
      </c>
      <c r="BN39" s="506" cm="1">
        <f t="array" ref="BN39">COUNTIF(Pool!$C$251,BG39)</f>
        <v>0</v>
      </c>
      <c r="BO39" s="509" cm="1">
        <f t="array" ref="BO39">COUNTIF(Pool!$C$250,BG39)</f>
        <v>0</v>
      </c>
    </row>
    <row r="40" spans="1:67" ht="16" customHeight="1" x14ac:dyDescent="0.2">
      <c r="A40" s="451">
        <v>56</v>
      </c>
      <c r="B40" s="639"/>
      <c r="C40" s="533" t="str" cm="1">
        <f t="array" ref="C40">MID(INDEX(WORLDCUP!$AA$4:$AA$147,MATCH(A40,WORLDCUP!$AH$4:$AH$147,0)),1,3)</f>
        <v>Ecu</v>
      </c>
      <c r="D40" s="153" cm="1">
        <f t="array" ref="D40">IF(ISBLANK(INDEX(WORLDCUP!$AC$4:$AC$147,MATCH(A40,WORLDCUP!$AH$4:$AH$147,0))),"",INDEX(WORLDCUP!$AC$4:$AC$147,MATCH(A40,WORLDCUP!$AH$4:$AH$147,0)))</f>
        <v>1</v>
      </c>
      <c r="E40" s="153" cm="1">
        <f t="array" ref="E40">IF(ISBLANK(INDEX(WORLDCUP!$AD$4:$AD$147,MATCH(A40,WORLDCUP!$AH$4:$AH$147,0))),"",INDEX(WORLDCUP!$AD$4:$AD$147,MATCH(A40,WORLDCUP!$AH$4:$AH$147,0)))</f>
        <v>2</v>
      </c>
      <c r="F40" s="534" t="str" cm="1">
        <f t="array" ref="F40">MID(INDEX(WORLDCUP!$AF$4:$AF$147,MATCH(A40,WORLDCUP!$AH$4:$AH$147,0)),1,3)</f>
        <v>Ale</v>
      </c>
      <c r="G40" s="535"/>
      <c r="H40" s="536"/>
      <c r="I40" s="537"/>
      <c r="J40" s="537"/>
      <c r="K40" s="538"/>
      <c r="L40" s="461"/>
      <c r="M40" s="462">
        <v>72</v>
      </c>
      <c r="N40" s="640"/>
      <c r="O40" s="533" t="str" cm="1">
        <f t="array" ref="O40">MID(INDEX(WORLDCUP!$AA$4:$AA$147,MATCH(M40,WORLDCUP!$AH$4:$AH$147,0)),1,3)</f>
        <v xml:space="preserve">RD </v>
      </c>
      <c r="P40" s="153" cm="1">
        <f t="array" ref="P40">IF(ISBLANK(INDEX(WORLDCUP!$AC$4:$AC$147,MATCH(M40,WORLDCUP!$AH$4:$AH$147,0))),"",INDEX(WORLDCUP!$AC$4:$AC$147,MATCH(M40,WORLDCUP!$AH$4:$AH$147,0)))</f>
        <v>1</v>
      </c>
      <c r="Q40" s="153" cm="1">
        <f t="array" ref="Q40">IF(ISBLANK(INDEX(WORLDCUP!$AD$4:$AD$147,MATCH(M40,WORLDCUP!$AH$4:$AH$147,0))),"",INDEX(WORLDCUP!$AD$4:$AD$147,MATCH(M40,WORLDCUP!$AH$4:$AH$147,0)))</f>
        <v>0</v>
      </c>
      <c r="R40" s="534" t="str" cm="1">
        <f t="array" ref="R40">MID(INDEX(WORLDCUP!$AF$4:$AF$147,MATCH(M40,WORLDCUP!$AH$4:$AH$147,0)),1,3)</f>
        <v>Uzb</v>
      </c>
      <c r="S40" s="535"/>
      <c r="T40" s="536"/>
      <c r="U40" s="537"/>
      <c r="V40" s="537"/>
      <c r="W40" s="538"/>
      <c r="X40" s="464"/>
      <c r="Y40" s="465">
        <v>86</v>
      </c>
      <c r="Z40" s="466" t="s">
        <v>177</v>
      </c>
      <c r="AA40" s="467" t="str" cm="1">
        <f t="array" ref="AA40">MID(INDEX(WORLDCUP!$AF$101:$AF$147,MATCH(Y40,WORLDCUP!$Z$101:$Z$147,0)),1,3)</f>
        <v>2H</v>
      </c>
      <c r="AB40" s="468" t="str" cm="1">
        <f t="array" ref="AB40">IF(ISBLANK(INDEX(WORLDCUP!$AD$101:$AD$147,MATCH(Y40,WORLDCUP!$Z$101:$Z$147,0))),"",INDEX(WORLDCUP!$AD$101:$AD$147,MATCH(Y40,WORLDCUP!$Z$101:$Z$147,0)))</f>
        <v/>
      </c>
      <c r="AC40" s="497" t="str" cm="1">
        <f t="array" ref="AC40">IF(ISBLANK(INDEX(WORLDCUP!$AE$101:$AE$147,MATCH(Y40,WORLDCUP!$Z$101:$Z$147,0))),"","( "&amp;INDEX(WORLDCUP!$AE$101:$AE$147,MATCH(Y40,WORLDCUP!$Z$101:$Z$147,0))&amp;" )")</f>
        <v/>
      </c>
      <c r="AD40" s="498">
        <v>95</v>
      </c>
      <c r="AE40" s="499" t="str" cm="1">
        <f t="array" ref="AE40">MID(INDEX(WORLDCUP!$AA$101:$AA$147,MATCH(AD40,WORLDCUP!$Z$101:$Z$147,0)),1,3)</f>
        <v>W86</v>
      </c>
      <c r="AF40" s="500" t="str" cm="1">
        <f t="array" ref="AF40">IF(ISBLANK(INDEX(WORLDCUP!$AC$101:$AC$147,MATCH(AD40,WORLDCUP!$Z$101:$Z$147,0))),"",INDEX(WORLDCUP!$AC$101:$AC$147,MATCH(AD40,WORLDCUP!$Z$101:$Z$147,0)))</f>
        <v/>
      </c>
      <c r="AG40" s="501" t="str" cm="1">
        <f t="array" ref="AG40">IF(ISBLANK(INDEX(WORLDCUP!$AB$101:$AB$147,MATCH(AD40,WORLDCUP!$Z$101:$Z$147,0))),"","( "&amp;INDEX(WORLDCUP!$AB$101:$AB$147,MATCH(AD40,WORLDCUP!$Z$101:$Z$147,0))&amp;" )")</f>
        <v/>
      </c>
      <c r="AH40" s="281"/>
      <c r="AI40" s="502"/>
      <c r="AJ40" s="502"/>
      <c r="AK40" s="551"/>
      <c r="AL40" s="543"/>
      <c r="AM40" s="473"/>
      <c r="AN40" s="473"/>
      <c r="AO40" s="473"/>
      <c r="AP40" s="281"/>
      <c r="AQ40" s="503"/>
      <c r="AR40" s="503"/>
      <c r="AS40" s="503"/>
      <c r="AT40" s="281"/>
      <c r="AU40" s="475"/>
      <c r="AV40" s="475"/>
      <c r="AW40" s="475"/>
      <c r="AX40" s="281"/>
      <c r="AY40" s="8"/>
      <c r="AZ40" s="8"/>
      <c r="BA40" s="8"/>
      <c r="BB40" s="8"/>
      <c r="BC40" s="8"/>
      <c r="BD40" s="8"/>
      <c r="BE40" s="8"/>
      <c r="BF40" s="476"/>
      <c r="BG40" s="505" t="s">
        <v>142</v>
      </c>
      <c r="BH40" s="506" cm="1">
        <f t="array" ref="BH40">1-SUM(BI40:BO40)</f>
        <v>0</v>
      </c>
      <c r="BI40" s="506" cm="1">
        <f t="array" ref="BI40">COUNTIF(Pool!$C$130:$C$161,BG40)-BJ40-BK40-BL40-BM40-BN40-BO40</f>
        <v>1</v>
      </c>
      <c r="BJ40" s="507" cm="1">
        <f t="array" ref="BJ40">COUNTIF(Pool!$C$182:$C$197,BG40)-BK40-BL40-BM40-BN40-BO40</f>
        <v>0</v>
      </c>
      <c r="BK40" s="508" cm="1">
        <f t="array" ref="BK40">COUNTIF(Pool!$C$210:$C$217,BG40)-BL40-BM40-BN40-BO40</f>
        <v>0</v>
      </c>
      <c r="BL40" s="508" cm="1">
        <f t="array" ref="BL40">COUNTIF(Pool!$C$226:$C$229,BG40)-BM40-BN40-BO40</f>
        <v>0</v>
      </c>
      <c r="BM40" s="506" cm="1">
        <f t="array" ref="BM40">COUNTIF(Pool!$C$252,BG40)</f>
        <v>0</v>
      </c>
      <c r="BN40" s="506" cm="1">
        <f t="array" ref="BN40">COUNTIF(Pool!$C$251,BG40)</f>
        <v>0</v>
      </c>
      <c r="BO40" s="509" cm="1">
        <f t="array" ref="BO40">COUNTIF(Pool!$C$250,BG40)</f>
        <v>0</v>
      </c>
    </row>
    <row r="41" spans="1:67" ht="15" customHeight="1" x14ac:dyDescent="0.2">
      <c r="A41" s="7"/>
      <c r="B41" s="544"/>
      <c r="C41" s="545"/>
      <c r="D41" s="546"/>
      <c r="E41" s="546"/>
      <c r="F41" s="547"/>
      <c r="G41" s="547"/>
      <c r="H41" s="545"/>
      <c r="I41" s="547"/>
      <c r="J41" s="547"/>
      <c r="K41" s="547"/>
      <c r="L41" s="281"/>
      <c r="M41" s="8"/>
      <c r="N41" s="547"/>
      <c r="O41" s="545"/>
      <c r="P41" s="546"/>
      <c r="Q41" s="546"/>
      <c r="R41" s="547"/>
      <c r="S41" s="547"/>
      <c r="T41" s="545"/>
      <c r="U41" s="547"/>
      <c r="V41" s="547"/>
      <c r="W41" s="547"/>
      <c r="X41" s="8"/>
      <c r="Y41" s="281"/>
      <c r="Z41" s="249"/>
      <c r="AA41" s="514"/>
      <c r="AB41" s="514"/>
      <c r="AC41" s="515"/>
      <c r="AD41" s="516">
        <v>95</v>
      </c>
      <c r="AE41" s="499" t="str" cm="1">
        <f t="array" ref="AE41">MID(INDEX(WORLDCUP!$AF$101:$AF$147,MATCH(AD41,WORLDCUP!$Z$101:$Z$147,0)),1,3)</f>
        <v>W88</v>
      </c>
      <c r="AF41" s="500" t="str" cm="1">
        <f t="array" ref="AF41">IF(ISBLANK(INDEX(WORLDCUP!$AD$101:$AD$147,MATCH(AD41,WORLDCUP!$Z$101:$Z$147,0))),"",INDEX(WORLDCUP!$AD$101:$AD$147,MATCH(AD41,WORLDCUP!$Z$101:$Z$147,0)))</f>
        <v/>
      </c>
      <c r="AG41" s="517" t="str" cm="1">
        <f t="array" ref="AG41">IF(ISBLANK(INDEX(WORLDCUP!$AE$101:$AE$147,MATCH(AD41,WORLDCUP!$Z$101:$Z$147,0))),"","( "&amp;INDEX(WORLDCUP!$AE$101:$AE$147,MATCH(AD41,WORLDCUP!$Z$101:$Z$147,0))&amp;" )")</f>
        <v/>
      </c>
      <c r="AH41" s="518"/>
      <c r="AI41" s="502"/>
      <c r="AJ41" s="502"/>
      <c r="AK41" s="551"/>
      <c r="AL41" s="543"/>
      <c r="AM41" s="473"/>
      <c r="AN41" s="473"/>
      <c r="AO41" s="473"/>
      <c r="AP41" s="281"/>
      <c r="AQ41" s="503"/>
      <c r="AR41" s="503"/>
      <c r="AS41" s="503"/>
      <c r="AT41" s="281"/>
      <c r="AU41" s="475"/>
      <c r="AV41" s="475"/>
      <c r="AW41" s="475"/>
      <c r="AX41" s="281"/>
      <c r="AY41" s="8"/>
      <c r="AZ41" s="8"/>
      <c r="BA41" s="8"/>
      <c r="BB41" s="8"/>
      <c r="BC41" s="8"/>
      <c r="BD41" s="8"/>
      <c r="BE41" s="8"/>
      <c r="BF41" s="476"/>
      <c r="BG41" s="505" t="s">
        <v>200</v>
      </c>
      <c r="BH41" s="506" cm="1">
        <f t="array" ref="BH41">1-SUM(BI41:BO41)</f>
        <v>0</v>
      </c>
      <c r="BI41" s="506" cm="1">
        <f t="array" ref="BI41">COUNTIF(Pool!$C$130:$C$161,BG41)-BJ41-BK41-BL41-BM41-BN41-BO41</f>
        <v>1</v>
      </c>
      <c r="BJ41" s="507" cm="1">
        <f t="array" ref="BJ41">COUNTIF(Pool!$C$182:$C$197,BG41)-BK41-BL41-BM41-BN41-BO41</f>
        <v>0</v>
      </c>
      <c r="BK41" s="508" cm="1">
        <f t="array" ref="BK41">COUNTIF(Pool!$C$210:$C$217,BG41)-BL41-BM41-BN41-BO41</f>
        <v>0</v>
      </c>
      <c r="BL41" s="508" cm="1">
        <f t="array" ref="BL41">COUNTIF(Pool!$C$226:$C$229,BG41)-BM41-BN41-BO41</f>
        <v>0</v>
      </c>
      <c r="BM41" s="506" cm="1">
        <f t="array" ref="BM41">COUNTIF(Pool!$C$252,BG41)</f>
        <v>0</v>
      </c>
      <c r="BN41" s="506" cm="1">
        <f t="array" ref="BN41">COUNTIF(Pool!$C$251,BG41)</f>
        <v>0</v>
      </c>
      <c r="BO41" s="509" cm="1">
        <f t="array" ref="BO41">COUNTIF(Pool!$C$250,BG41)</f>
        <v>0</v>
      </c>
    </row>
    <row r="42" spans="1:67" ht="16" customHeight="1" x14ac:dyDescent="0.2">
      <c r="A42" s="7"/>
      <c r="B42" s="443"/>
      <c r="C42" s="552"/>
      <c r="D42" s="553"/>
      <c r="E42" s="553"/>
      <c r="F42" s="111"/>
      <c r="G42" s="111"/>
      <c r="H42" s="552"/>
      <c r="I42" s="111"/>
      <c r="J42" s="111"/>
      <c r="K42" s="111"/>
      <c r="L42" s="281"/>
      <c r="M42" s="8"/>
      <c r="N42" s="111"/>
      <c r="O42" s="552"/>
      <c r="P42" s="553"/>
      <c r="Q42" s="553"/>
      <c r="R42" s="111"/>
      <c r="S42" s="111"/>
      <c r="T42" s="552"/>
      <c r="U42" s="111"/>
      <c r="V42" s="111"/>
      <c r="W42" s="111"/>
      <c r="X42" s="8"/>
      <c r="Y42" s="548">
        <v>88</v>
      </c>
      <c r="Z42" s="466" t="s">
        <v>143</v>
      </c>
      <c r="AA42" s="467" t="str" cm="1">
        <f t="array" ref="AA42">MID(INDEX(WORLDCUP!$AA$101:$AA$147,MATCH(Y42,WORLDCUP!$Z$101:$Z$147,0)),1,3)</f>
        <v>Par</v>
      </c>
      <c r="AB42" s="468" t="str" cm="1">
        <f t="array" ref="AB42">IF(ISBLANK(INDEX(WORLDCUP!$AC$101:$AC$147,MATCH(Y42,WORLDCUP!$Z$101:$Z$147,0))),"",INDEX(WORLDCUP!$AC$101:$AC$147,MATCH(Y42,WORLDCUP!$Z$101:$Z$147,0)))</f>
        <v/>
      </c>
      <c r="AC42" s="562" t="str" cm="1">
        <f t="array" ref="AC42">IF(ISBLANK(INDEX(WORLDCUP!$AB$101:$AB$147,MATCH(Y42,WORLDCUP!$Z$101:$Z$147,0))),"","( "&amp;INDEX(WORLDCUP!$AB$101:$AB$147,MATCH(Y42,WORLDCUP!$Z$101:$Z$147,0))&amp;" )")</f>
        <v/>
      </c>
      <c r="AD42" s="518"/>
      <c r="AE42" s="520"/>
      <c r="AF42" s="520"/>
      <c r="AG42" s="521"/>
      <c r="AH42" s="518"/>
      <c r="AI42" s="522"/>
      <c r="AJ42" s="522"/>
      <c r="AK42" s="551"/>
      <c r="AL42" s="543"/>
      <c r="AM42" s="473"/>
      <c r="AN42" s="473"/>
      <c r="AO42" s="473"/>
      <c r="AP42" s="281"/>
      <c r="AQ42" s="503"/>
      <c r="AR42" s="503"/>
      <c r="AS42" s="503"/>
      <c r="AT42" s="281"/>
      <c r="AU42" s="475"/>
      <c r="AV42" s="475"/>
      <c r="AW42" s="475"/>
      <c r="AX42" s="281"/>
      <c r="AY42" s="8"/>
      <c r="AZ42" s="8"/>
      <c r="BA42" s="8"/>
      <c r="BB42" s="8"/>
      <c r="BC42" s="8"/>
      <c r="BD42" s="8"/>
      <c r="BE42" s="8"/>
      <c r="BF42" s="476"/>
      <c r="BG42" s="505" t="s">
        <v>202</v>
      </c>
      <c r="BH42" s="506" cm="1">
        <f t="array" ref="BH42">1-SUM(BI42:BO42)</f>
        <v>0</v>
      </c>
      <c r="BI42" s="506" cm="1">
        <f t="array" ref="BI42">COUNTIF(Pool!$C$130:$C$161,BG42)-BJ42-BK42-BL42-BM42-BN42-BO42</f>
        <v>1</v>
      </c>
      <c r="BJ42" s="507" cm="1">
        <f t="array" ref="BJ42">COUNTIF(Pool!$C$182:$C$197,BG42)-BK42-BL42-BM42-BN42-BO42</f>
        <v>0</v>
      </c>
      <c r="BK42" s="508" cm="1">
        <f t="array" ref="BK42">COUNTIF(Pool!$C$210:$C$217,BG42)-BL42-BM42-BN42-BO42</f>
        <v>0</v>
      </c>
      <c r="BL42" s="508" cm="1">
        <f t="array" ref="BL42">COUNTIF(Pool!$C$226:$C$229,BG42)-BM42-BN42-BO42</f>
        <v>0</v>
      </c>
      <c r="BM42" s="506" cm="1">
        <f t="array" ref="BM42">COUNTIF(Pool!$C$252,BG42)</f>
        <v>0</v>
      </c>
      <c r="BN42" s="506" cm="1">
        <f t="array" ref="BN42">COUNTIF(Pool!$C$251,BG42)</f>
        <v>0</v>
      </c>
      <c r="BO42" s="509" cm="1">
        <f t="array" ref="BO42">COUNTIF(Pool!$C$250,BG42)</f>
        <v>0</v>
      </c>
    </row>
    <row r="43" spans="1:67" ht="16" customHeight="1" x14ac:dyDescent="0.2">
      <c r="A43" s="451">
        <v>11</v>
      </c>
      <c r="B43" s="641" t="s">
        <v>156</v>
      </c>
      <c r="C43" s="453" t="str" cm="1">
        <f t="array" ref="C43">MID(INDEX(WORLDCUP!$AA$4:$AA$147,MATCH(A43,WORLDCUP!$AH$4:$AH$147,0)),1,3)</f>
        <v>Paí</v>
      </c>
      <c r="D43" s="454" cm="1">
        <f t="array" ref="D43">IF(ISBLANK(INDEX(WORLDCUP!$AC$4:$AC$147,MATCH(A43,WORLDCUP!$AH$4:$AH$147,0))),"",INDEX(WORLDCUP!$AC$4:$AC$147,MATCH(A43,WORLDCUP!$AH$4:$AH$147,0)))</f>
        <v>3</v>
      </c>
      <c r="E43" s="454" cm="1">
        <f t="array" ref="E43">IF(ISBLANK(INDEX(WORLDCUP!$AD$4:$AD$147,MATCH(A43,WORLDCUP!$AH$4:$AH$147,0))),"",INDEX(WORLDCUP!$AD$4:$AD$147,MATCH(A43,WORLDCUP!$AH$4:$AH$147,0)))</f>
        <v>1</v>
      </c>
      <c r="F43" s="455" t="str" cm="1">
        <f t="array" ref="F43">MID(INDEX(WORLDCUP!$AF$4:$AF$147,MATCH(A43,WORLDCUP!$AH$4:$AH$147,0)),1,3)</f>
        <v>Jap</v>
      </c>
      <c r="G43" s="456"/>
      <c r="H43" s="457" t="str" cm="1">
        <f t="array" ref="H43">H35</f>
        <v>Sel</v>
      </c>
      <c r="I43" s="459" t="str" cm="1">
        <f t="array" ref="I43">I35</f>
        <v>Pts</v>
      </c>
      <c r="J43" s="459" t="str" cm="1">
        <f t="array" ref="J43">J35</f>
        <v>DG</v>
      </c>
      <c r="K43" s="460" t="str" cm="1">
        <f t="array" ref="K43">K35</f>
        <v>GF-GC</v>
      </c>
      <c r="L43" s="461"/>
      <c r="M43" s="462">
        <v>22</v>
      </c>
      <c r="N43" s="642" t="s">
        <v>208</v>
      </c>
      <c r="O43" s="453" t="str" cm="1">
        <f t="array" ref="O43">MID(INDEX(WORLDCUP!$AA$4:$AA$147,MATCH(M43,WORLDCUP!$AH$4:$AH$147,0)),1,3)</f>
        <v>Ing</v>
      </c>
      <c r="P43" s="454" cm="1">
        <f t="array" ref="P43">IF(ISBLANK(INDEX(WORLDCUP!$AC$4:$AC$147,MATCH(M43,WORLDCUP!$AH$4:$AH$147,0))),"",INDEX(WORLDCUP!$AC$4:$AC$147,MATCH(M43,WORLDCUP!$AH$4:$AH$147,0)))</f>
        <v>1</v>
      </c>
      <c r="Q43" s="454" cm="1">
        <f t="array" ref="Q43">IF(ISBLANK(INDEX(WORLDCUP!$AD$4:$AD$147,MATCH(M43,WORLDCUP!$AH$4:$AH$147,0))),"",INDEX(WORLDCUP!$AD$4:$AD$147,MATCH(M43,WORLDCUP!$AH$4:$AH$147,0)))</f>
        <v>1</v>
      </c>
      <c r="R43" s="455" t="str" cm="1">
        <f t="array" ref="R43">MID(INDEX(WORLDCUP!$AF$4:$AF$147,MATCH(M43,WORLDCUP!$AH$4:$AH$147,0)),1,3)</f>
        <v>Cro</v>
      </c>
      <c r="S43" s="456"/>
      <c r="T43" s="457" t="str" cm="1">
        <f t="array" ref="T43">T35</f>
        <v>Sel</v>
      </c>
      <c r="U43" s="459" t="str" cm="1">
        <f t="array" ref="U43">U35</f>
        <v>Pts</v>
      </c>
      <c r="V43" s="459" t="str" cm="1">
        <f t="array" ref="V43">V35</f>
        <v>DG</v>
      </c>
      <c r="W43" s="460" t="str" cm="1">
        <f t="array" ref="W43">W35</f>
        <v>GF-GC</v>
      </c>
      <c r="X43" s="464"/>
      <c r="Y43" s="465">
        <v>88</v>
      </c>
      <c r="Z43" s="466" t="s">
        <v>168</v>
      </c>
      <c r="AA43" s="467" t="str" cm="1">
        <f t="array" ref="AA43">MID(INDEX(WORLDCUP!$AF$101:$AF$147,MATCH(Y43,WORLDCUP!$Z$101:$Z$147,0)),1,3)</f>
        <v>2G</v>
      </c>
      <c r="AB43" s="468" t="str" cm="1">
        <f t="array" ref="AB43">IF(ISBLANK(INDEX(WORLDCUP!$AD$101:$AD$147,MATCH(Y43,WORLDCUP!$Z$101:$Z$147,0))),"",INDEX(WORLDCUP!$AD$101:$AD$147,MATCH(Y43,WORLDCUP!$Z$101:$Z$147,0)))</f>
        <v/>
      </c>
      <c r="AC43" s="565" t="str" cm="1">
        <f t="array" ref="AC43">IF(ISBLANK(INDEX(WORLDCUP!$AE$101:$AE$147,MATCH(Y43,WORLDCUP!$Z$101:$Z$147,0))),"","( "&amp;INDEX(WORLDCUP!$AE$101:$AE$147,MATCH(Y43,WORLDCUP!$Z$101:$Z$147,0))&amp;" )")</f>
        <v/>
      </c>
      <c r="AD43" s="281"/>
      <c r="AE43" s="528"/>
      <c r="AF43" s="528"/>
      <c r="AG43" s="521"/>
      <c r="AH43" s="498">
        <v>100</v>
      </c>
      <c r="AI43" s="529" t="str" cm="1">
        <f t="array" ref="AI43">MID(INDEX(WORLDCUP!$AA$101:$AA$147,MATCH(AH43,WORLDCUP!$Z$101:$Z$147,0)),1,3)</f>
        <v>W95</v>
      </c>
      <c r="AJ43" s="530" t="str" cm="1">
        <f t="array" ref="AJ43">IF(ISBLANK(INDEX(WORLDCUP!$AC$101:$AC$147,MATCH(AH43,WORLDCUP!$Z$101:$Z$147,0))),"",INDEX(WORLDCUP!$AC$101:$AC$147,MATCH(AH43,WORLDCUP!$Z$101:$Z$147,0)))</f>
        <v/>
      </c>
      <c r="AK43" s="576" t="str" cm="1">
        <f t="array" ref="AK43">IF(ISBLANK(INDEX(WORLDCUP!$AB$101:$AB$147,MATCH(AH43,WORLDCUP!$Z$101:$Z$147,0))),"","( "&amp;INDEX(WORLDCUP!$AB$101:$AB$147,MATCH(AH43,WORLDCUP!$Z$101:$Z$147,0))&amp;" )")</f>
        <v/>
      </c>
      <c r="AL43" s="543"/>
      <c r="AM43" s="473"/>
      <c r="AN43" s="473"/>
      <c r="AO43" s="473"/>
      <c r="AP43" s="281"/>
      <c r="AQ43" s="503"/>
      <c r="AR43" s="503"/>
      <c r="AS43" s="503"/>
      <c r="AT43" s="281"/>
      <c r="AU43" s="475"/>
      <c r="AV43" s="475"/>
      <c r="AW43" s="475"/>
      <c r="AX43" s="281"/>
      <c r="AY43" s="8"/>
      <c r="AZ43" s="8"/>
      <c r="BA43" s="8"/>
      <c r="BB43" s="8"/>
      <c r="BC43" s="8"/>
      <c r="BD43" s="8"/>
      <c r="BE43" s="8"/>
      <c r="BF43" s="476"/>
      <c r="BG43" s="505" t="s">
        <v>117</v>
      </c>
      <c r="BH43" s="506" cm="1">
        <f t="array" ref="BH43">1-SUM(BI43:BO43)</f>
        <v>1</v>
      </c>
      <c r="BI43" s="506" cm="1">
        <f t="array" ref="BI43">COUNTIF(Pool!$C$130:$C$161,BG43)-BJ43-BK43-BL43-BM43-BN43-BO43</f>
        <v>0</v>
      </c>
      <c r="BJ43" s="507" cm="1">
        <f t="array" ref="BJ43">COUNTIF(Pool!$C$182:$C$197,BG43)-BK43-BL43-BM43-BN43-BO43</f>
        <v>0</v>
      </c>
      <c r="BK43" s="508" cm="1">
        <f t="array" ref="BK43">COUNTIF(Pool!$C$210:$C$217,BG43)-BL43-BM43-BN43-BO43</f>
        <v>0</v>
      </c>
      <c r="BL43" s="508" cm="1">
        <f t="array" ref="BL43">COUNTIF(Pool!$C$226:$C$229,BG43)-BM43-BN43-BO43</f>
        <v>0</v>
      </c>
      <c r="BM43" s="506" cm="1">
        <f t="array" ref="BM43">COUNTIF(Pool!$C$252,BG43)</f>
        <v>0</v>
      </c>
      <c r="BN43" s="506" cm="1">
        <f t="array" ref="BN43">COUNTIF(Pool!$C$251,BG43)</f>
        <v>0</v>
      </c>
      <c r="BO43" s="509" cm="1">
        <f t="array" ref="BO43">COUNTIF(Pool!$C$250,BG43)</f>
        <v>0</v>
      </c>
    </row>
    <row r="44" spans="1:67" ht="15" customHeight="1" x14ac:dyDescent="0.2">
      <c r="A44" s="451">
        <v>12</v>
      </c>
      <c r="B44" s="643"/>
      <c r="C44" s="487" t="str" cm="1">
        <f t="array" ref="C44">MID(INDEX(WORLDCUP!$AA$4:$AA$147,MATCH(A44,WORLDCUP!$AH$4:$AH$147,0)),1,3)</f>
        <v>Sue</v>
      </c>
      <c r="D44" s="114" cm="1">
        <f t="array" ref="D44">IF(ISBLANK(INDEX(WORLDCUP!$AC$4:$AC$147,MATCH(A44,WORLDCUP!$AH$4:$AH$147,0))),"",INDEX(WORLDCUP!$AC$4:$AC$147,MATCH(A44,WORLDCUP!$AH$4:$AH$147,0)))</f>
        <v>4</v>
      </c>
      <c r="E44" s="114" cm="1">
        <f t="array" ref="E44">IF(ISBLANK(INDEX(WORLDCUP!$AD$4:$AD$147,MATCH(A44,WORLDCUP!$AH$4:$AH$147,0))),"",INDEX(WORLDCUP!$AD$4:$AD$147,MATCH(A44,WORLDCUP!$AH$4:$AH$147,0)))</f>
        <v>0</v>
      </c>
      <c r="F44" s="488" t="str" cm="1">
        <f t="array" ref="F44">MID(INDEX(WORLDCUP!$AF$4:$AF$147,MATCH(A44,WORLDCUP!$AH$4:$AH$147,0)),1,3)</f>
        <v>Tún</v>
      </c>
      <c r="G44" s="489">
        <v>1</v>
      </c>
      <c r="H44" s="490" t="str" cm="1">
        <f t="array" ref="H44">MID(INDEX(WORLDCUP!$AL$6:$AL$97,MATCH(L44,WORLDCUP!$AI$6:$AI$97,0)),1,3)</f>
        <v>Paí</v>
      </c>
      <c r="I44" s="491" cm="1">
        <f t="array" ref="I44">INDEX(WORLDCUP!$AM$6:$AM$97,MATCH(L44,WORLDCUP!$AI$6:$AI$97,0))</f>
        <v>9</v>
      </c>
      <c r="J44" s="492" cm="1">
        <f t="array" ref="J44">INDEX(WORLDCUP!$AT$6:$AT$97,MATCH(L44,WORLDCUP!$AI$6:$AI$97,0))</f>
        <v>7</v>
      </c>
      <c r="K44" s="493" t="str" cm="1">
        <f t="array" ref="K44">INDEX(WORLDCUP!$AR$6:$AR$97,MATCH(L44,WORLDCUP!$AI$6:$AI$97,0))&amp;"-"&amp;INDEX(WORLDCUP!$AS$6:$AS$97,MATCH(L44,WORLDCUP!$AI$6:$AI$97,0))</f>
        <v>9-2</v>
      </c>
      <c r="L44" s="494" t="s">
        <v>158</v>
      </c>
      <c r="M44" s="462">
        <v>21</v>
      </c>
      <c r="N44" s="644"/>
      <c r="O44" s="487" t="str" cm="1">
        <f t="array" ref="O44">MID(INDEX(WORLDCUP!$AA$4:$AA$147,MATCH(M44,WORLDCUP!$AH$4:$AH$147,0)),1,3)</f>
        <v>Gha</v>
      </c>
      <c r="P44" s="114" cm="1">
        <f t="array" ref="P44">IF(ISBLANK(INDEX(WORLDCUP!$AC$4:$AC$147,MATCH(M44,WORLDCUP!$AH$4:$AH$147,0))),"",INDEX(WORLDCUP!$AC$4:$AC$147,MATCH(M44,WORLDCUP!$AH$4:$AH$147,0)))</f>
        <v>0</v>
      </c>
      <c r="Q44" s="114" cm="1">
        <f t="array" ref="Q44">IF(ISBLANK(INDEX(WORLDCUP!$AD$4:$AD$147,MATCH(M44,WORLDCUP!$AH$4:$AH$147,0))),"",INDEX(WORLDCUP!$AD$4:$AD$147,MATCH(M44,WORLDCUP!$AH$4:$AH$147,0)))</f>
        <v>1</v>
      </c>
      <c r="R44" s="488" t="str" cm="1">
        <f t="array" ref="R44">MID(INDEX(WORLDCUP!$AF$4:$AF$147,MATCH(M44,WORLDCUP!$AH$4:$AH$147,0)),1,3)</f>
        <v>Pan</v>
      </c>
      <c r="S44" s="489">
        <v>1</v>
      </c>
      <c r="T44" s="490" t="str" cm="1">
        <f t="array" ref="T44">MID(INDEX(WORLDCUP!$AL$6:$AL$97,MATCH(X44,WORLDCUP!$AI$6:$AI$97,0)),1,3)</f>
        <v>Ing</v>
      </c>
      <c r="U44" s="491" cm="1">
        <f t="array" ref="U44">INDEX(WORLDCUP!$AM$6:$AM$97,MATCH(X44,WORLDCUP!$AI$6:$AI$97,0))</f>
        <v>7</v>
      </c>
      <c r="V44" s="492" cm="1">
        <f t="array" ref="V44">INDEX(WORLDCUP!$AT$6:$AT$97,MATCH(X44,WORLDCUP!$AI$6:$AI$97,0))</f>
        <v>4</v>
      </c>
      <c r="W44" s="493" t="str" cm="1">
        <f t="array" ref="W44">INDEX(WORLDCUP!$AR$6:$AR$97,MATCH(X44,WORLDCUP!$AI$6:$AI$97,0))&amp;"-"&amp;INDEX(WORLDCUP!$AS$6:$AS$97,MATCH(X44,WORLDCUP!$AI$6:$AI$97,0))</f>
        <v>5-1</v>
      </c>
      <c r="X44" s="496" t="s">
        <v>210</v>
      </c>
      <c r="Y44" s="513"/>
      <c r="Z44" s="249"/>
      <c r="AA44" s="540"/>
      <c r="AB44" s="540"/>
      <c r="AC44" s="541"/>
      <c r="AD44" s="281"/>
      <c r="AE44" s="471"/>
      <c r="AF44" s="471"/>
      <c r="AG44" s="521"/>
      <c r="AH44" s="516">
        <v>100</v>
      </c>
      <c r="AI44" s="529" t="str" cm="1">
        <f t="array" ref="AI44">MID(INDEX(WORLDCUP!$AF$101:$AF$147,MATCH(AH44,WORLDCUP!$Z$101:$Z$147,0)),1,3)</f>
        <v>W96</v>
      </c>
      <c r="AJ44" s="530" t="str" cm="1">
        <f t="array" ref="AJ44">IF(ISBLANK(INDEX(WORLDCUP!$AD$101:$AD$147,MATCH(AH44,WORLDCUP!$Z$101:$Z$147,0))),"",INDEX(WORLDCUP!$AD$101:$AD$147,MATCH(AH44,WORLDCUP!$Z$101:$Z$147,0)))</f>
        <v/>
      </c>
      <c r="AK44" s="580" t="str" cm="1">
        <f t="array" ref="AK44">IF(ISBLANK(INDEX(WORLDCUP!$AE$101:$AE$147,MATCH(AH44,WORLDCUP!$Z$101:$Z$147,0))),"","( "&amp;INDEX(WORLDCUP!$AE$101:$AE$147,MATCH(AH44,WORLDCUP!$Z$101:$Z$147,0))&amp;" )")</f>
        <v/>
      </c>
      <c r="AL44" s="448"/>
      <c r="AM44" s="473"/>
      <c r="AN44" s="473"/>
      <c r="AO44" s="473"/>
      <c r="AP44" s="281"/>
      <c r="AQ44" s="503"/>
      <c r="AR44" s="503"/>
      <c r="AS44" s="503"/>
      <c r="AT44" s="281"/>
      <c r="AU44" s="475"/>
      <c r="AV44" s="475"/>
      <c r="AW44" s="475"/>
      <c r="AX44" s="281"/>
      <c r="AY44" s="8"/>
      <c r="AZ44" s="8"/>
      <c r="BA44" s="8"/>
      <c r="BB44" s="8"/>
      <c r="BC44" s="8"/>
      <c r="BD44" s="8"/>
      <c r="BE44" s="8"/>
      <c r="BF44" s="476"/>
      <c r="BG44" s="505" t="s">
        <v>185</v>
      </c>
      <c r="BH44" s="506" cm="1">
        <f t="array" ref="BH44">1-SUM(BI44:BO44)</f>
        <v>1</v>
      </c>
      <c r="BI44" s="506" cm="1">
        <f t="array" ref="BI44">COUNTIF(Pool!$C$130:$C$161,BG44)-BJ44-BK44-BL44-BM44-BN44-BO44</f>
        <v>0</v>
      </c>
      <c r="BJ44" s="507" cm="1">
        <f t="array" ref="BJ44">COUNTIF(Pool!$C$182:$C$197,BG44)-BK44-BL44-BM44-BN44-BO44</f>
        <v>0</v>
      </c>
      <c r="BK44" s="508" cm="1">
        <f t="array" ref="BK44">COUNTIF(Pool!$C$210:$C$217,BG44)-BL44-BM44-BN44-BO44</f>
        <v>0</v>
      </c>
      <c r="BL44" s="508" cm="1">
        <f t="array" ref="BL44">COUNTIF(Pool!$C$226:$C$229,BG44)-BM44-BN44-BO44</f>
        <v>0</v>
      </c>
      <c r="BM44" s="506" cm="1">
        <f t="array" ref="BM44">COUNTIF(Pool!$C$252,BG44)</f>
        <v>0</v>
      </c>
      <c r="BN44" s="506" cm="1">
        <f t="array" ref="BN44">COUNTIF(Pool!$C$251,BG44)</f>
        <v>0</v>
      </c>
      <c r="BO44" s="509" cm="1">
        <f t="array" ref="BO44">COUNTIF(Pool!$C$250,BG44)</f>
        <v>0</v>
      </c>
    </row>
    <row r="45" spans="1:67" ht="16" customHeight="1" x14ac:dyDescent="0.2">
      <c r="A45" s="451">
        <v>35</v>
      </c>
      <c r="B45" s="643"/>
      <c r="C45" s="487" t="str" cm="1">
        <f t="array" ref="C45">MID(INDEX(WORLDCUP!$AA$4:$AA$147,MATCH(A45,WORLDCUP!$AH$4:$AH$147,0)),1,3)</f>
        <v>Paí</v>
      </c>
      <c r="D45" s="114" cm="1">
        <f t="array" ref="D45">IF(ISBLANK(INDEX(WORLDCUP!$AC$4:$AC$147,MATCH(A45,WORLDCUP!$AH$4:$AH$147,0))),"",INDEX(WORLDCUP!$AC$4:$AC$147,MATCH(A45,WORLDCUP!$AH$4:$AH$147,0)))</f>
        <v>2</v>
      </c>
      <c r="E45" s="114" cm="1">
        <f t="array" ref="E45">IF(ISBLANK(INDEX(WORLDCUP!$AD$4:$AD$147,MATCH(A45,WORLDCUP!$AH$4:$AH$147,0))),"",INDEX(WORLDCUP!$AD$4:$AD$147,MATCH(A45,WORLDCUP!$AH$4:$AH$147,0)))</f>
        <v>1</v>
      </c>
      <c r="F45" s="488" t="str" cm="1">
        <f t="array" ref="F45">MID(INDEX(WORLDCUP!$AF$4:$AF$147,MATCH(A45,WORLDCUP!$AH$4:$AH$147,0)),1,3)</f>
        <v>Sue</v>
      </c>
      <c r="G45" s="510">
        <v>2</v>
      </c>
      <c r="H45" s="511" t="str" cm="1">
        <f t="array" ref="H45">MID(INDEX(WORLDCUP!$AL$6:$AL$97,MATCH(L45,WORLDCUP!$AI$6:$AI$97,0)),1,3)</f>
        <v>Jap</v>
      </c>
      <c r="I45" s="143" cm="1">
        <f t="array" ref="I45">INDEX(WORLDCUP!$AM$6:$AM$97,MATCH(L45,WORLDCUP!$AI$6:$AI$97,0))</f>
        <v>6</v>
      </c>
      <c r="J45" s="144" cm="1">
        <f t="array" ref="J45">INDEX(WORLDCUP!$AT$6:$AT$97,MATCH(L45,WORLDCUP!$AI$6:$AI$97,0))</f>
        <v>2</v>
      </c>
      <c r="K45" s="512" t="str" cm="1">
        <f t="array" ref="K45">INDEX(WORLDCUP!$AR$6:$AR$97,MATCH(L45,WORLDCUP!$AI$6:$AI$97,0))&amp;"-"&amp;INDEX(WORLDCUP!$AS$6:$AS$97,MATCH(L45,WORLDCUP!$AI$6:$AI$97,0))</f>
        <v>6-4</v>
      </c>
      <c r="L45" s="494" t="s">
        <v>160</v>
      </c>
      <c r="M45" s="462">
        <v>45</v>
      </c>
      <c r="N45" s="644"/>
      <c r="O45" s="487" t="str" cm="1">
        <f t="array" ref="O45">MID(INDEX(WORLDCUP!$AA$4:$AA$147,MATCH(M45,WORLDCUP!$AH$4:$AH$147,0)),1,3)</f>
        <v>Ing</v>
      </c>
      <c r="P45" s="114" cm="1">
        <f t="array" ref="P45">IF(ISBLANK(INDEX(WORLDCUP!$AC$4:$AC$147,MATCH(M45,WORLDCUP!$AH$4:$AH$147,0))),"",INDEX(WORLDCUP!$AC$4:$AC$147,MATCH(M45,WORLDCUP!$AH$4:$AH$147,0)))</f>
        <v>2</v>
      </c>
      <c r="Q45" s="114" cm="1">
        <f t="array" ref="Q45">IF(ISBLANK(INDEX(WORLDCUP!$AD$4:$AD$147,MATCH(M45,WORLDCUP!$AH$4:$AH$147,0))),"",INDEX(WORLDCUP!$AD$4:$AD$147,MATCH(M45,WORLDCUP!$AH$4:$AH$147,0)))</f>
        <v>0</v>
      </c>
      <c r="R45" s="488" t="str" cm="1">
        <f t="array" ref="R45">MID(INDEX(WORLDCUP!$AF$4:$AF$147,MATCH(M45,WORLDCUP!$AH$4:$AH$147,0)),1,3)</f>
        <v>Gha</v>
      </c>
      <c r="S45" s="510">
        <v>2</v>
      </c>
      <c r="T45" s="511" t="str" cm="1">
        <f t="array" ref="T45">MID(INDEX(WORLDCUP!$AL$6:$AL$97,MATCH(X45,WORLDCUP!$AI$6:$AI$97,0)),1,3)</f>
        <v>Cro</v>
      </c>
      <c r="U45" s="143" cm="1">
        <f t="array" ref="U45">INDEX(WORLDCUP!$AM$6:$AM$97,MATCH(X45,WORLDCUP!$AI$6:$AI$97,0))</f>
        <v>7</v>
      </c>
      <c r="V45" s="144" cm="1">
        <f t="array" ref="V45">INDEX(WORLDCUP!$AT$6:$AT$97,MATCH(X45,WORLDCUP!$AI$6:$AI$97,0))</f>
        <v>3</v>
      </c>
      <c r="W45" s="512" t="str" cm="1">
        <f t="array" ref="W45">INDEX(WORLDCUP!$AR$6:$AR$97,MATCH(X45,WORLDCUP!$AI$6:$AI$97,0))&amp;"-"&amp;INDEX(WORLDCUP!$AS$6:$AS$97,MATCH(X45,WORLDCUP!$AI$6:$AI$97,0))</f>
        <v>5-2</v>
      </c>
      <c r="X45" s="496" t="s">
        <v>212</v>
      </c>
      <c r="Y45" s="465">
        <v>85</v>
      </c>
      <c r="Z45" s="466" t="s">
        <v>123</v>
      </c>
      <c r="AA45" s="467" t="str" cm="1">
        <f t="array" ref="AA45">MID(INDEX(WORLDCUP!$AA$101:$AA$147,MATCH(Y45,WORLDCUP!$Z$101:$Z$147,0)),1,3)</f>
        <v>Can</v>
      </c>
      <c r="AB45" s="468" t="str" cm="1">
        <f t="array" ref="AB45">IF(ISBLANK(INDEX(WORLDCUP!$AC$101:$AC$147,MATCH(Y45,WORLDCUP!$Z$101:$Z$147,0))),"",INDEX(WORLDCUP!$AC$101:$AC$147,MATCH(Y45,WORLDCUP!$Z$101:$Z$147,0)))</f>
        <v/>
      </c>
      <c r="AC45" s="549" t="str" cm="1">
        <f t="array" ref="AC45">IF(ISBLANK(INDEX(WORLDCUP!$AB$101:$AB$147,MATCH(Y45,WORLDCUP!$Z$101:$Z$147,0))),"","( "&amp;INDEX(WORLDCUP!$AB$101:$AB$147,MATCH(Y45,WORLDCUP!$Z$101:$Z$147,0))&amp;" )")</f>
        <v/>
      </c>
      <c r="AD45" s="73"/>
      <c r="AE45" s="470"/>
      <c r="AF45" s="470"/>
      <c r="AG45" s="521"/>
      <c r="AH45" s="518"/>
      <c r="AI45" s="550"/>
      <c r="AJ45" s="550"/>
      <c r="AK45" s="502"/>
      <c r="AL45" s="448"/>
      <c r="AM45" s="473"/>
      <c r="AN45" s="473"/>
      <c r="AO45" s="473"/>
      <c r="AP45" s="281"/>
      <c r="AQ45" s="503"/>
      <c r="AR45" s="503"/>
      <c r="AS45" s="503"/>
      <c r="AT45" s="281"/>
      <c r="AU45" s="475"/>
      <c r="AV45" s="475"/>
      <c r="AW45" s="475"/>
      <c r="AX45" s="281"/>
      <c r="AY45" s="8"/>
      <c r="AZ45" s="8"/>
      <c r="BA45" s="8"/>
      <c r="BB45" s="8"/>
      <c r="BC45" s="8"/>
      <c r="BD45" s="8"/>
      <c r="BE45" s="8"/>
      <c r="BF45" s="476"/>
      <c r="BG45" s="505" t="s">
        <v>111</v>
      </c>
      <c r="BH45" s="506" cm="1">
        <f t="array" ref="BH45">1-SUM(BI45:BO45)</f>
        <v>0</v>
      </c>
      <c r="BI45" s="506" cm="1">
        <f t="array" ref="BI45">COUNTIF(Pool!$C$130:$C$161,BG45)-BJ45-BK45-BL45-BM45-BN45-BO45</f>
        <v>1</v>
      </c>
      <c r="BJ45" s="507" cm="1">
        <f t="array" ref="BJ45">COUNTIF(Pool!$C$182:$C$197,BG45)-BK45-BL45-BM45-BN45-BO45</f>
        <v>0</v>
      </c>
      <c r="BK45" s="508" cm="1">
        <f t="array" ref="BK45">COUNTIF(Pool!$C$210:$C$217,BG45)-BL45-BM45-BN45-BO45</f>
        <v>0</v>
      </c>
      <c r="BL45" s="508" cm="1">
        <f t="array" ref="BL45">COUNTIF(Pool!$C$226:$C$229,BG45)-BM45-BN45-BO45</f>
        <v>0</v>
      </c>
      <c r="BM45" s="506" cm="1">
        <f t="array" ref="BM45">COUNTIF(Pool!$C$252,BG45)</f>
        <v>0</v>
      </c>
      <c r="BN45" s="506" cm="1">
        <f t="array" ref="BN45">COUNTIF(Pool!$C$251,BG45)</f>
        <v>0</v>
      </c>
      <c r="BO45" s="509" cm="1">
        <f t="array" ref="BO45">COUNTIF(Pool!$C$250,BG45)</f>
        <v>0</v>
      </c>
    </row>
    <row r="46" spans="1:67" ht="16" customHeight="1" x14ac:dyDescent="0.2">
      <c r="A46" s="451">
        <v>36</v>
      </c>
      <c r="B46" s="643"/>
      <c r="C46" s="487" t="str" cm="1">
        <f t="array" ref="C46">MID(INDEX(WORLDCUP!$AA$4:$AA$147,MATCH(A46,WORLDCUP!$AH$4:$AH$147,0)),1,3)</f>
        <v>Tún</v>
      </c>
      <c r="D46" s="114" cm="1">
        <f t="array" ref="D46">IF(ISBLANK(INDEX(WORLDCUP!$AC$4:$AC$147,MATCH(A46,WORLDCUP!$AH$4:$AH$147,0))),"",INDEX(WORLDCUP!$AC$4:$AC$147,MATCH(A46,WORLDCUP!$AH$4:$AH$147,0)))</f>
        <v>0</v>
      </c>
      <c r="E46" s="114" cm="1">
        <f t="array" ref="E46">IF(ISBLANK(INDEX(WORLDCUP!$AD$4:$AD$147,MATCH(A46,WORLDCUP!$AH$4:$AH$147,0))),"",INDEX(WORLDCUP!$AD$4:$AD$147,MATCH(A46,WORLDCUP!$AH$4:$AH$147,0)))</f>
        <v>3</v>
      </c>
      <c r="F46" s="488" t="str" cm="1">
        <f t="array" ref="F46">MID(INDEX(WORLDCUP!$AF$4:$AF$147,MATCH(A46,WORLDCUP!$AH$4:$AH$147,0)),1,3)</f>
        <v>Jap</v>
      </c>
      <c r="G46" s="510">
        <v>3</v>
      </c>
      <c r="H46" s="511" t="str" cm="1">
        <f t="array" ref="H46">MID(INDEX(WORLDCUP!$AL$6:$AL$97,MATCH(L46,WORLDCUP!$AI$6:$AI$97,0)),1,3)</f>
        <v>Sue</v>
      </c>
      <c r="I46" s="143" cm="1">
        <f t="array" ref="I46">INDEX(WORLDCUP!$AM$6:$AM$97,MATCH(L46,WORLDCUP!$AI$6:$AI$97,0))</f>
        <v>3</v>
      </c>
      <c r="J46" s="144" cm="1">
        <f t="array" ref="J46">INDEX(WORLDCUP!$AT$6:$AT$97,MATCH(L46,WORLDCUP!$AI$6:$AI$97,0))</f>
        <v>2</v>
      </c>
      <c r="K46" s="512" t="str" cm="1">
        <f t="array" ref="K46">INDEX(WORLDCUP!$AR$6:$AR$97,MATCH(L46,WORLDCUP!$AI$6:$AI$97,0))&amp;"-"&amp;INDEX(WORLDCUP!$AS$6:$AS$97,MATCH(L46,WORLDCUP!$AI$6:$AI$97,0))</f>
        <v>6-4</v>
      </c>
      <c r="L46" s="494" t="s">
        <v>162</v>
      </c>
      <c r="M46" s="462">
        <v>46</v>
      </c>
      <c r="N46" s="644"/>
      <c r="O46" s="487" t="str" cm="1">
        <f t="array" ref="O46">MID(INDEX(WORLDCUP!$AA$4:$AA$147,MATCH(M46,WORLDCUP!$AH$4:$AH$147,0)),1,3)</f>
        <v>Pan</v>
      </c>
      <c r="P46" s="114" cm="1">
        <f t="array" ref="P46">IF(ISBLANK(INDEX(WORLDCUP!$AC$4:$AC$147,MATCH(M46,WORLDCUP!$AH$4:$AH$147,0))),"",INDEX(WORLDCUP!$AC$4:$AC$147,MATCH(M46,WORLDCUP!$AH$4:$AH$147,0)))</f>
        <v>1</v>
      </c>
      <c r="Q46" s="114" cm="1">
        <f t="array" ref="Q46">IF(ISBLANK(INDEX(WORLDCUP!$AD$4:$AD$147,MATCH(M46,WORLDCUP!$AH$4:$AH$147,0))),"",INDEX(WORLDCUP!$AD$4:$AD$147,MATCH(M46,WORLDCUP!$AH$4:$AH$147,0)))</f>
        <v>2</v>
      </c>
      <c r="R46" s="488" t="str" cm="1">
        <f t="array" ref="R46">MID(INDEX(WORLDCUP!$AF$4:$AF$147,MATCH(M46,WORLDCUP!$AH$4:$AH$147,0)),1,3)</f>
        <v>Cro</v>
      </c>
      <c r="S46" s="510">
        <v>3</v>
      </c>
      <c r="T46" s="511" t="str" cm="1">
        <f t="array" ref="T46">MID(INDEX(WORLDCUP!$AL$6:$AL$97,MATCH(X46,WORLDCUP!$AI$6:$AI$97,0)),1,3)</f>
        <v>Gha</v>
      </c>
      <c r="U46" s="143" cm="1">
        <f t="array" ref="U46">INDEX(WORLDCUP!$AM$6:$AM$97,MATCH(X46,WORLDCUP!$AI$6:$AI$97,0))</f>
        <v>0</v>
      </c>
      <c r="V46" s="144" cm="1">
        <f t="array" ref="V46">INDEX(WORLDCUP!$AT$6:$AT$97,MATCH(X46,WORLDCUP!$AI$6:$AI$97,0))</f>
        <v>-5</v>
      </c>
      <c r="W46" s="512" t="str" cm="1">
        <f t="array" ref="W46">INDEX(WORLDCUP!$AR$6:$AR$97,MATCH(X46,WORLDCUP!$AI$6:$AI$97,0))&amp;"-"&amp;INDEX(WORLDCUP!$AS$6:$AS$97,MATCH(X46,WORLDCUP!$AI$6:$AI$97,0))</f>
        <v>0-5</v>
      </c>
      <c r="X46" s="496" t="s">
        <v>214</v>
      </c>
      <c r="Y46" s="465">
        <v>85</v>
      </c>
      <c r="Z46" s="466" t="s">
        <v>267</v>
      </c>
      <c r="AA46" s="467" t="str" cm="1">
        <f t="array" ref="AA46">MID(INDEX(WORLDCUP!$AF$101:$AF$147,MATCH(Y46,WORLDCUP!$Z$101:$Z$147,0)),1,IF(WORLDCUP!$H$113&lt;144,6,3))</f>
        <v>3EF</v>
      </c>
      <c r="AB46" s="468" t="str" cm="1">
        <f t="array" ref="AB46">IF(ISBLANK(INDEX(WORLDCUP!$AD$101:$AD$147,MATCH(Y46,WORLDCUP!$Z$101:$Z$147,0))),"",INDEX(WORLDCUP!$AD$101:$AD$147,MATCH(Y46,WORLDCUP!$Z$101:$Z$147,0)))</f>
        <v/>
      </c>
      <c r="AC46" s="497" t="str" cm="1">
        <f t="array" ref="AC46">IF(ISBLANK(INDEX(WORLDCUP!$AE$101:$AE$147,MATCH(Y46,WORLDCUP!$Z$101:$Z$147,0))),"","( "&amp;INDEX(WORLDCUP!$AE$101:$AE$147,MATCH(Y46,WORLDCUP!$Z$101:$Z$147,0))&amp;" )")</f>
        <v/>
      </c>
      <c r="AD46" s="498">
        <v>96</v>
      </c>
      <c r="AE46" s="499" t="str" cm="1">
        <f t="array" ref="AE46">MID(INDEX(WORLDCUP!$AA$101:$AA$147,MATCH(AD46,WORLDCUP!$Z$101:$Z$147,0)),1,3)</f>
        <v>W85</v>
      </c>
      <c r="AF46" s="500" t="str" cm="1">
        <f t="array" ref="AF46">IF(ISBLANK(INDEX(WORLDCUP!$AC$101:$AC$147,MATCH(AD46,WORLDCUP!$Z$101:$Z$147,0))),"",INDEX(WORLDCUP!$AC$101:$AC$147,MATCH(AD46,WORLDCUP!$Z$101:$Z$147,0)))</f>
        <v/>
      </c>
      <c r="AG46" s="554" t="str" cm="1">
        <f t="array" ref="AG46">IF(ISBLANK(INDEX(WORLDCUP!$AB$101:$AB$147,MATCH(AD46,WORLDCUP!$Z$101:$Z$147,0))),"","( "&amp;INDEX(WORLDCUP!$AB$101:$AB$147,MATCH(AD46,WORLDCUP!$Z$101:$Z$147,0))&amp;" )")</f>
        <v/>
      </c>
      <c r="AH46" s="518"/>
      <c r="AI46" s="502"/>
      <c r="AJ46" s="502"/>
      <c r="AK46" s="502"/>
      <c r="AL46" s="448"/>
      <c r="AM46" s="473"/>
      <c r="AN46" s="473"/>
      <c r="AO46" s="473"/>
      <c r="AP46" s="281"/>
      <c r="AQ46" s="503"/>
      <c r="AR46" s="503"/>
      <c r="AS46" s="503"/>
      <c r="AT46" s="281"/>
      <c r="AU46" s="475"/>
      <c r="AV46" s="475"/>
      <c r="AW46" s="475"/>
      <c r="AX46" s="281"/>
      <c r="AY46" s="8"/>
      <c r="AZ46" s="8"/>
      <c r="BA46" s="8"/>
      <c r="BB46" s="8"/>
      <c r="BC46" s="8"/>
      <c r="BD46" s="8"/>
      <c r="BE46" s="8"/>
      <c r="BF46" s="476"/>
      <c r="BG46" s="505" t="s">
        <v>161</v>
      </c>
      <c r="BH46" s="506" cm="1">
        <f t="array" ref="BH46">1-SUM(BI46:BO46)</f>
        <v>1</v>
      </c>
      <c r="BI46" s="506" cm="1">
        <f t="array" ref="BI46">COUNTIF(Pool!$C$130:$C$161,BG46)-BJ46-BK46-BL46-BM46-BN46-BO46</f>
        <v>0</v>
      </c>
      <c r="BJ46" s="507" cm="1">
        <f t="array" ref="BJ46">COUNTIF(Pool!$C$182:$C$197,BG46)-BK46-BL46-BM46-BN46-BO46</f>
        <v>0</v>
      </c>
      <c r="BK46" s="508" cm="1">
        <f t="array" ref="BK46">COUNTIF(Pool!$C$210:$C$217,BG46)-BL46-BM46-BN46-BO46</f>
        <v>0</v>
      </c>
      <c r="BL46" s="508" cm="1">
        <f t="array" ref="BL46">COUNTIF(Pool!$C$226:$C$229,BG46)-BM46-BN46-BO46</f>
        <v>0</v>
      </c>
      <c r="BM46" s="506" cm="1">
        <f t="array" ref="BM46">COUNTIF(Pool!$C$252,BG46)</f>
        <v>0</v>
      </c>
      <c r="BN46" s="506" cm="1">
        <f t="array" ref="BN46">COUNTIF(Pool!$C$251,BG46)</f>
        <v>0</v>
      </c>
      <c r="BO46" s="509" cm="1">
        <f t="array" ref="BO46">COUNTIF(Pool!$C$250,BG46)</f>
        <v>0</v>
      </c>
    </row>
    <row r="47" spans="1:67" ht="15" customHeight="1" x14ac:dyDescent="0.2">
      <c r="A47" s="451">
        <v>57</v>
      </c>
      <c r="B47" s="643"/>
      <c r="C47" s="487" t="str" cm="1">
        <f t="array" ref="C47">MID(INDEX(WORLDCUP!$AA$4:$AA$147,MATCH(A47,WORLDCUP!$AH$4:$AH$147,0)),1,3)</f>
        <v>Jap</v>
      </c>
      <c r="D47" s="114" cm="1">
        <f t="array" ref="D47">IF(ISBLANK(INDEX(WORLDCUP!$AC$4:$AC$147,MATCH(A47,WORLDCUP!$AH$4:$AH$147,0))),"",INDEX(WORLDCUP!$AC$4:$AC$147,MATCH(A47,WORLDCUP!$AH$4:$AH$147,0)))</f>
        <v>2</v>
      </c>
      <c r="E47" s="114" cm="1">
        <f t="array" ref="E47">IF(ISBLANK(INDEX(WORLDCUP!$AD$4:$AD$147,MATCH(A47,WORLDCUP!$AH$4:$AH$147,0))),"",INDEX(WORLDCUP!$AD$4:$AD$147,MATCH(A47,WORLDCUP!$AH$4:$AH$147,0)))</f>
        <v>1</v>
      </c>
      <c r="F47" s="488" t="str" cm="1">
        <f t="array" ref="F47">MID(INDEX(WORLDCUP!$AF$4:$AF$147,MATCH(A47,WORLDCUP!$AH$4:$AH$147,0)),1,3)</f>
        <v>Sue</v>
      </c>
      <c r="G47" s="510">
        <v>4</v>
      </c>
      <c r="H47" s="523" t="str" cm="1">
        <f t="array" ref="H47">MID(INDEX(WORLDCUP!$AL$6:$AL$97,MATCH(L47,WORLDCUP!$AI$6:$AI$97,0)),1,3)</f>
        <v>Tún</v>
      </c>
      <c r="I47" s="524" cm="1">
        <f t="array" ref="I47">INDEX(WORLDCUP!$AM$6:$AM$97,MATCH(L47,WORLDCUP!$AI$6:$AI$97,0))</f>
        <v>0</v>
      </c>
      <c r="J47" s="525" cm="1">
        <f t="array" ref="J47">INDEX(WORLDCUP!$AT$6:$AT$97,MATCH(L47,WORLDCUP!$AI$6:$AI$97,0))</f>
        <v>-11</v>
      </c>
      <c r="K47" s="526" t="str" cm="1">
        <f t="array" ref="K47">INDEX(WORLDCUP!$AR$6:$AR$97,MATCH(L47,WORLDCUP!$AI$6:$AI$97,0))&amp;"-"&amp;INDEX(WORLDCUP!$AS$6:$AS$97,MATCH(L47,WORLDCUP!$AI$6:$AI$97,0))</f>
        <v>0-11</v>
      </c>
      <c r="L47" s="494" t="s">
        <v>164</v>
      </c>
      <c r="M47" s="462">
        <v>67</v>
      </c>
      <c r="N47" s="644"/>
      <c r="O47" s="487" t="str" cm="1">
        <f t="array" ref="O47">MID(INDEX(WORLDCUP!$AA$4:$AA$147,MATCH(M47,WORLDCUP!$AH$4:$AH$147,0)),1,3)</f>
        <v>Pan</v>
      </c>
      <c r="P47" s="114" cm="1">
        <f t="array" ref="P47">IF(ISBLANK(INDEX(WORLDCUP!$AC$4:$AC$147,MATCH(M47,WORLDCUP!$AH$4:$AH$147,0))),"",INDEX(WORLDCUP!$AC$4:$AC$147,MATCH(M47,WORLDCUP!$AH$4:$AH$147,0)))</f>
        <v>0</v>
      </c>
      <c r="Q47" s="114" cm="1">
        <f t="array" ref="Q47">IF(ISBLANK(INDEX(WORLDCUP!$AD$4:$AD$147,MATCH(M47,WORLDCUP!$AH$4:$AH$147,0))),"",INDEX(WORLDCUP!$AD$4:$AD$147,MATCH(M47,WORLDCUP!$AH$4:$AH$147,0)))</f>
        <v>2</v>
      </c>
      <c r="R47" s="488" t="str" cm="1">
        <f t="array" ref="R47">MID(INDEX(WORLDCUP!$AF$4:$AF$147,MATCH(M47,WORLDCUP!$AH$4:$AH$147,0)),1,3)</f>
        <v>Ing</v>
      </c>
      <c r="S47" s="510">
        <v>4</v>
      </c>
      <c r="T47" s="523" t="str" cm="1">
        <f t="array" ref="T47">MID(INDEX(WORLDCUP!$AL$6:$AL$97,MATCH(X47,WORLDCUP!$AI$6:$AI$97,0)),1,3)</f>
        <v>Pan</v>
      </c>
      <c r="U47" s="524" cm="1">
        <f t="array" ref="U47">INDEX(WORLDCUP!$AM$6:$AM$97,MATCH(X47,WORLDCUP!$AI$6:$AI$97,0))</f>
        <v>3</v>
      </c>
      <c r="V47" s="525" cm="1">
        <f t="array" ref="V47">INDEX(WORLDCUP!$AT$6:$AT$97,MATCH(X47,WORLDCUP!$AI$6:$AI$97,0))</f>
        <v>-2</v>
      </c>
      <c r="W47" s="526" t="str" cm="1">
        <f t="array" ref="W47">INDEX(WORLDCUP!$AR$6:$AR$97,MATCH(X47,WORLDCUP!$AI$6:$AI$97,0))&amp;"-"&amp;INDEX(WORLDCUP!$AS$6:$AS$97,MATCH(X47,WORLDCUP!$AI$6:$AI$97,0))</f>
        <v>2-4</v>
      </c>
      <c r="X47" s="496" t="s">
        <v>216</v>
      </c>
      <c r="Y47" s="513"/>
      <c r="Z47" s="249"/>
      <c r="AA47" s="514"/>
      <c r="AB47" s="514"/>
      <c r="AC47" s="515"/>
      <c r="AD47" s="516">
        <v>96</v>
      </c>
      <c r="AE47" s="499" t="str" cm="1">
        <f t="array" ref="AE47">MID(INDEX(WORLDCUP!$AF$101:$AF$147,MATCH(AD47,WORLDCUP!$Z$101:$Z$147,0)),1,3)</f>
        <v>W87</v>
      </c>
      <c r="AF47" s="500" t="str" cm="1">
        <f t="array" ref="AF47">IF(ISBLANK(INDEX(WORLDCUP!$AD$101:$AD$147,MATCH(AD47,WORLDCUP!$Z$101:$Z$147,0))),"",INDEX(WORLDCUP!$AD$101:$AD$147,MATCH(AD47,WORLDCUP!$Z$101:$Z$147,0)))</f>
        <v/>
      </c>
      <c r="AG47" s="559" t="str" cm="1">
        <f t="array" ref="AG47">IF(ISBLANK(INDEX(WORLDCUP!$AE$101:$AE$147,MATCH(AD47,WORLDCUP!$Z$101:$Z$147,0))),"","( "&amp;INDEX(WORLDCUP!$AE$101:$AE$147,MATCH(AD47,WORLDCUP!$Z$101:$Z$147,0))&amp;" )")</f>
        <v/>
      </c>
      <c r="AH47" s="281"/>
      <c r="AI47" s="502"/>
      <c r="AJ47" s="502"/>
      <c r="AK47" s="502"/>
      <c r="AL47" s="448"/>
      <c r="AM47" s="473"/>
      <c r="AN47" s="473"/>
      <c r="AO47" s="473"/>
      <c r="AP47" s="281"/>
      <c r="AQ47" s="503"/>
      <c r="AR47" s="503"/>
      <c r="AS47" s="503"/>
      <c r="AT47" s="281"/>
      <c r="AU47" s="475"/>
      <c r="AV47" s="475"/>
      <c r="AW47" s="475"/>
      <c r="AX47" s="281"/>
      <c r="AY47" s="8"/>
      <c r="AZ47" s="8"/>
      <c r="BA47" s="8"/>
      <c r="BB47" s="8"/>
      <c r="BC47" s="8"/>
      <c r="BD47" s="8"/>
      <c r="BE47" s="8"/>
      <c r="BF47" s="476"/>
      <c r="BG47" s="505" t="s">
        <v>128</v>
      </c>
      <c r="BH47" s="506" cm="1">
        <f t="array" ref="BH47">1-SUM(BI47:BO47)</f>
        <v>1</v>
      </c>
      <c r="BI47" s="506" cm="1">
        <f t="array" ref="BI47">COUNTIF(Pool!$C$130:$C$161,BG47)-BJ47-BK47-BL47-BM47-BN47-BO47</f>
        <v>0</v>
      </c>
      <c r="BJ47" s="507" cm="1">
        <f t="array" ref="BJ47">COUNTIF(Pool!$C$182:$C$197,BG47)-BK47-BL47-BM47-BN47-BO47</f>
        <v>0</v>
      </c>
      <c r="BK47" s="508" cm="1">
        <f t="array" ref="BK47">COUNTIF(Pool!$C$210:$C$217,BG47)-BL47-BM47-BN47-BO47</f>
        <v>0</v>
      </c>
      <c r="BL47" s="508" cm="1">
        <f t="array" ref="BL47">COUNTIF(Pool!$C$226:$C$229,BG47)-BM47-BN47-BO47</f>
        <v>0</v>
      </c>
      <c r="BM47" s="506" cm="1">
        <f t="array" ref="BM47">COUNTIF(Pool!$C$252,BG47)</f>
        <v>0</v>
      </c>
      <c r="BN47" s="506" cm="1">
        <f t="array" ref="BN47">COUNTIF(Pool!$C$251,BG47)</f>
        <v>0</v>
      </c>
      <c r="BO47" s="509" cm="1">
        <f t="array" ref="BO47">COUNTIF(Pool!$C$250,BG47)</f>
        <v>0</v>
      </c>
    </row>
    <row r="48" spans="1:67" ht="16" customHeight="1" x14ac:dyDescent="0.2">
      <c r="A48" s="451">
        <v>58</v>
      </c>
      <c r="B48" s="645"/>
      <c r="C48" s="533" t="str" cm="1">
        <f t="array" ref="C48">MID(INDEX(WORLDCUP!$AA$4:$AA$147,MATCH(A48,WORLDCUP!$AH$4:$AH$147,0)),1,3)</f>
        <v>Tún</v>
      </c>
      <c r="D48" s="153" cm="1">
        <f t="array" ref="D48">IF(ISBLANK(INDEX(WORLDCUP!$AC$4:$AC$147,MATCH(A48,WORLDCUP!$AH$4:$AH$147,0))),"",INDEX(WORLDCUP!$AC$4:$AC$147,MATCH(A48,WORLDCUP!$AH$4:$AH$147,0)))</f>
        <v>0</v>
      </c>
      <c r="E48" s="153" cm="1">
        <f t="array" ref="E48">IF(ISBLANK(INDEX(WORLDCUP!$AD$4:$AD$147,MATCH(A48,WORLDCUP!$AH$4:$AH$147,0))),"",INDEX(WORLDCUP!$AD$4:$AD$147,MATCH(A48,WORLDCUP!$AH$4:$AH$147,0)))</f>
        <v>4</v>
      </c>
      <c r="F48" s="534" t="str" cm="1">
        <f t="array" ref="F48">MID(INDEX(WORLDCUP!$AF$4:$AF$147,MATCH(A48,WORLDCUP!$AH$4:$AH$147,0)),1,3)</f>
        <v>Paí</v>
      </c>
      <c r="G48" s="535"/>
      <c r="H48" s="536"/>
      <c r="I48" s="537"/>
      <c r="J48" s="537"/>
      <c r="K48" s="538"/>
      <c r="L48" s="461"/>
      <c r="M48" s="462">
        <v>68</v>
      </c>
      <c r="N48" s="646"/>
      <c r="O48" s="533" t="str" cm="1">
        <f t="array" ref="O48">MID(INDEX(WORLDCUP!$AA$4:$AA$147,MATCH(M48,WORLDCUP!$AH$4:$AH$147,0)),1,3)</f>
        <v>Cro</v>
      </c>
      <c r="P48" s="153" cm="1">
        <f t="array" ref="P48">IF(ISBLANK(INDEX(WORLDCUP!$AC$4:$AC$147,MATCH(M48,WORLDCUP!$AH$4:$AH$147,0))),"",INDEX(WORLDCUP!$AC$4:$AC$147,MATCH(M48,WORLDCUP!$AH$4:$AH$147,0)))</f>
        <v>2</v>
      </c>
      <c r="Q48" s="153" cm="1">
        <f t="array" ref="Q48">IF(ISBLANK(INDEX(WORLDCUP!$AD$4:$AD$147,MATCH(M48,WORLDCUP!$AH$4:$AH$147,0))),"",INDEX(WORLDCUP!$AD$4:$AD$147,MATCH(M48,WORLDCUP!$AH$4:$AH$147,0)))</f>
        <v>0</v>
      </c>
      <c r="R48" s="534" t="str" cm="1">
        <f t="array" ref="R48">MID(INDEX(WORLDCUP!$AF$4:$AF$147,MATCH(M48,WORLDCUP!$AH$4:$AH$147,0)),1,3)</f>
        <v>Gha</v>
      </c>
      <c r="S48" s="535"/>
      <c r="T48" s="536"/>
      <c r="U48" s="537"/>
      <c r="V48" s="537"/>
      <c r="W48" s="538"/>
      <c r="X48" s="464"/>
      <c r="Y48" s="465">
        <v>87</v>
      </c>
      <c r="Z48" s="466" t="s">
        <v>201</v>
      </c>
      <c r="AA48" s="467" t="str" cm="1">
        <f t="array" ref="AA48">MID(INDEX(WORLDCUP!$AA$101:$AA$147,MATCH(Y48,WORLDCUP!$Z$101:$Z$147,0)),1,3)</f>
        <v>Por</v>
      </c>
      <c r="AB48" s="468" t="str" cm="1">
        <f t="array" ref="AB48">IF(ISBLANK(INDEX(WORLDCUP!$AC$101:$AC$147,MATCH(Y48,WORLDCUP!$Z$101:$Z$147,0))),"",INDEX(WORLDCUP!$AC$101:$AC$147,MATCH(Y48,WORLDCUP!$Z$101:$Z$147,0)))</f>
        <v/>
      </c>
      <c r="AC48" s="562" t="str" cm="1">
        <f t="array" ref="AC48">IF(ISBLANK(INDEX(WORLDCUP!$AB$101:$AB$147,MATCH(Y48,WORLDCUP!$Z$101:$Z$147,0))),"","( "&amp;INDEX(WORLDCUP!$AB$101:$AB$147,MATCH(Y48,WORLDCUP!$Z$101:$Z$147,0))&amp;" )")</f>
        <v/>
      </c>
      <c r="AD48" s="518"/>
      <c r="AE48" s="563"/>
      <c r="AF48" s="563"/>
      <c r="AG48" s="471"/>
      <c r="AH48" s="281"/>
      <c r="AI48" s="502"/>
      <c r="AJ48" s="502"/>
      <c r="AK48" s="502"/>
      <c r="AL48" s="448"/>
      <c r="AM48" s="473"/>
      <c r="AN48" s="473"/>
      <c r="AO48" s="473"/>
      <c r="AP48" s="281"/>
      <c r="AQ48" s="503"/>
      <c r="AR48" s="503"/>
      <c r="AS48" s="503"/>
      <c r="AT48" s="281"/>
      <c r="AU48" s="475"/>
      <c r="AV48" s="475"/>
      <c r="AW48" s="475"/>
      <c r="AX48" s="281"/>
      <c r="AY48" s="8"/>
      <c r="AZ48" s="8"/>
      <c r="BA48" s="8"/>
      <c r="BB48" s="8"/>
      <c r="BC48" s="8"/>
      <c r="BD48" s="8"/>
      <c r="BE48" s="8"/>
      <c r="BF48" s="476"/>
      <c r="BG48" s="505" t="s">
        <v>163</v>
      </c>
      <c r="BH48" s="506" cm="1">
        <f t="array" ref="BH48">1-SUM(BI48:BO48)</f>
        <v>1</v>
      </c>
      <c r="BI48" s="506" cm="1">
        <f t="array" ref="BI48">COUNTIF(Pool!$C$130:$C$161,BG48)-BJ48-BK48-BL48-BM48-BN48-BO48</f>
        <v>0</v>
      </c>
      <c r="BJ48" s="507" cm="1">
        <f t="array" ref="BJ48">COUNTIF(Pool!$C$182:$C$197,BG48)-BK48-BL48-BM48-BN48-BO48</f>
        <v>0</v>
      </c>
      <c r="BK48" s="508" cm="1">
        <f t="array" ref="BK48">COUNTIF(Pool!$C$210:$C$217,BG48)-BL48-BM48-BN48-BO48</f>
        <v>0</v>
      </c>
      <c r="BL48" s="508" cm="1">
        <f t="array" ref="BL48">COUNTIF(Pool!$C$226:$C$229,BG48)-BM48-BN48-BO48</f>
        <v>0</v>
      </c>
      <c r="BM48" s="506" cm="1">
        <f t="array" ref="BM48">COUNTIF(Pool!$C$252,BG48)</f>
        <v>0</v>
      </c>
      <c r="BN48" s="506" cm="1">
        <f t="array" ref="BN48">COUNTIF(Pool!$C$251,BG48)</f>
        <v>0</v>
      </c>
      <c r="BO48" s="509" cm="1">
        <f t="array" ref="BO48">COUNTIF(Pool!$C$250,BG48)</f>
        <v>0</v>
      </c>
    </row>
    <row r="49" spans="1:67" ht="15" customHeight="1" x14ac:dyDescent="0.2">
      <c r="A49" s="7"/>
      <c r="B49" s="547"/>
      <c r="C49" s="547"/>
      <c r="D49" s="547"/>
      <c r="E49" s="547"/>
      <c r="F49" s="547"/>
      <c r="G49" s="547"/>
      <c r="H49" s="547"/>
      <c r="I49" s="547"/>
      <c r="J49" s="547"/>
      <c r="K49" s="547"/>
      <c r="L49" s="8"/>
      <c r="M49" s="8"/>
      <c r="N49" s="547"/>
      <c r="O49" s="547"/>
      <c r="P49" s="547"/>
      <c r="Q49" s="547"/>
      <c r="R49" s="547"/>
      <c r="S49" s="547"/>
      <c r="T49" s="547"/>
      <c r="U49" s="547"/>
      <c r="V49" s="547"/>
      <c r="W49" s="547"/>
      <c r="X49" s="8"/>
      <c r="Y49" s="548">
        <v>87</v>
      </c>
      <c r="Z49" s="466" t="s">
        <v>272</v>
      </c>
      <c r="AA49" s="467" t="str" cm="1">
        <f t="array" ref="AA49">MID(INDEX(WORLDCUP!$AF$101:$AF$147,MATCH(Y49,WORLDCUP!$Z$101:$Z$147,0)),1,IF(WORLDCUP!$H$113&lt;144,6,3))</f>
        <v>3DE</v>
      </c>
      <c r="AB49" s="468" t="str" cm="1">
        <f t="array" ref="AB49">IF(ISBLANK(INDEX(WORLDCUP!$AD$101:$AD$147,MATCH(Y49,WORLDCUP!$Z$101:$Z$147,0))),"",INDEX(WORLDCUP!$AD$101:$AD$147,MATCH(Y49,WORLDCUP!$Z$101:$Z$147,0)))</f>
        <v/>
      </c>
      <c r="AC49" s="565" t="str" cm="1">
        <f t="array" ref="AC49">IF(ISBLANK(INDEX(WORLDCUP!$AE$101:$AE$147,MATCH(Y49,WORLDCUP!$Z$101:$Z$147,0))),"","( "&amp;INDEX(WORLDCUP!$AE$101:$AE$147,MATCH(Y49,WORLDCUP!$Z$101:$Z$147,0))&amp;" )")</f>
        <v/>
      </c>
      <c r="AD49" s="281"/>
      <c r="AE49" s="471"/>
      <c r="AF49" s="471"/>
      <c r="AG49" s="471"/>
      <c r="AH49" s="281"/>
      <c r="AI49" s="502"/>
      <c r="AJ49" s="502"/>
      <c r="AK49" s="502"/>
      <c r="AL49" s="448"/>
      <c r="AM49" s="473"/>
      <c r="AN49" s="473"/>
      <c r="AO49" s="473"/>
      <c r="AP49" s="281"/>
      <c r="AQ49" s="503"/>
      <c r="AR49" s="503"/>
      <c r="AS49" s="503"/>
      <c r="AT49" s="281"/>
      <c r="AU49" s="475"/>
      <c r="AV49" s="475"/>
      <c r="AW49" s="475"/>
      <c r="AX49" s="281"/>
      <c r="AY49" s="8"/>
      <c r="AZ49" s="8"/>
      <c r="BA49" s="8"/>
      <c r="BB49" s="8"/>
      <c r="BC49" s="8"/>
      <c r="BD49" s="8"/>
      <c r="BE49" s="8"/>
      <c r="BF49" s="476"/>
      <c r="BG49" s="505" t="s">
        <v>146</v>
      </c>
      <c r="BH49" s="506" cm="1">
        <f t="array" ref="BH49">1-SUM(BI49:BO49)</f>
        <v>1</v>
      </c>
      <c r="BI49" s="506" cm="1">
        <f t="array" ref="BI49">COUNTIF(Pool!$C$130:$C$161,BG49)-BJ49-BK49-BL49-BM49-BN49-BO49</f>
        <v>0</v>
      </c>
      <c r="BJ49" s="507" cm="1">
        <f t="array" ref="BJ49">COUNTIF(Pool!$C$182:$C$197,BG49)-BK49-BL49-BM49-BN49-BO49</f>
        <v>0</v>
      </c>
      <c r="BK49" s="508" cm="1">
        <f t="array" ref="BK49">COUNTIF(Pool!$C$210:$C$217,BG49)-BL49-BM49-BN49-BO49</f>
        <v>0</v>
      </c>
      <c r="BL49" s="508" cm="1">
        <f t="array" ref="BL49">COUNTIF(Pool!$C$226:$C$229,BG49)-BM49-BN49-BO49</f>
        <v>0</v>
      </c>
      <c r="BM49" s="506" cm="1">
        <f t="array" ref="BM49">COUNTIF(Pool!$C$252,BG49)</f>
        <v>0</v>
      </c>
      <c r="BN49" s="506" cm="1">
        <f t="array" ref="BN49">COUNTIF(Pool!$C$251,BG49)</f>
        <v>0</v>
      </c>
      <c r="BO49" s="509" cm="1">
        <f t="array" ref="BO49">COUNTIF(Pool!$C$250,BG49)</f>
        <v>0</v>
      </c>
    </row>
    <row r="50" spans="1:67" ht="15" customHeight="1" x14ac:dyDescent="0.2">
      <c r="A50" s="7"/>
      <c r="B50" s="8"/>
      <c r="C50" s="8"/>
      <c r="D50" s="8"/>
      <c r="E50" s="8"/>
      <c r="F50" s="8"/>
      <c r="G50" s="8"/>
      <c r="H50" s="8"/>
      <c r="I50" s="8"/>
      <c r="J50" s="8"/>
      <c r="K50" s="8"/>
      <c r="L50" s="8"/>
      <c r="M50" s="8"/>
      <c r="N50" s="8"/>
      <c r="O50" s="8"/>
      <c r="P50" s="8"/>
      <c r="Q50" s="8"/>
      <c r="R50" s="8"/>
      <c r="S50" s="8"/>
      <c r="T50" s="8"/>
      <c r="U50" s="8"/>
      <c r="V50" s="8"/>
      <c r="W50" s="8"/>
      <c r="X50" s="8"/>
      <c r="Y50" s="73"/>
      <c r="Z50" s="73"/>
      <c r="AA50" s="647"/>
      <c r="AB50" s="647"/>
      <c r="AC50" s="648"/>
      <c r="AD50" s="281"/>
      <c r="AE50" s="649"/>
      <c r="AF50" s="649"/>
      <c r="AG50" s="649"/>
      <c r="AH50" s="281"/>
      <c r="AI50" s="502"/>
      <c r="AJ50" s="502"/>
      <c r="AK50" s="502"/>
      <c r="AL50" s="448"/>
      <c r="AM50" s="473"/>
      <c r="AN50" s="473"/>
      <c r="AO50" s="473"/>
      <c r="AP50" s="281"/>
      <c r="AQ50" s="474"/>
      <c r="AR50" s="474"/>
      <c r="AS50" s="474"/>
      <c r="AT50" s="281"/>
      <c r="AU50" s="650"/>
      <c r="AV50" s="650"/>
      <c r="AW50" s="650"/>
      <c r="AX50" s="281"/>
      <c r="AY50" s="8"/>
      <c r="AZ50" s="8"/>
      <c r="BA50" s="8"/>
      <c r="BB50" s="8"/>
      <c r="BC50" s="8"/>
      <c r="BD50" s="8"/>
      <c r="BE50" s="8"/>
      <c r="BF50" s="476"/>
      <c r="BG50" s="505" t="s">
        <v>180</v>
      </c>
      <c r="BH50" s="506" cm="1">
        <f t="array" ref="BH50">1-SUM(BI50:BO50)</f>
        <v>1</v>
      </c>
      <c r="BI50" s="506" cm="1">
        <f t="array" ref="BI50">COUNTIF(Pool!$C$130:$C$161,BG50)-BJ50-BK50-BL50-BM50-BN50-BO50</f>
        <v>0</v>
      </c>
      <c r="BJ50" s="507" cm="1">
        <f t="array" ref="BJ50">COUNTIF(Pool!$C$182:$C$197,BG50)-BK50-BL50-BM50-BN50-BO50</f>
        <v>0</v>
      </c>
      <c r="BK50" s="508" cm="1">
        <f t="array" ref="BK50">COUNTIF(Pool!$C$210:$C$217,BG50)-BL50-BM50-BN50-BO50</f>
        <v>0</v>
      </c>
      <c r="BL50" s="508" cm="1">
        <f t="array" ref="BL50">COUNTIF(Pool!$C$226:$C$229,BG50)-BM50-BN50-BO50</f>
        <v>0</v>
      </c>
      <c r="BM50" s="506" cm="1">
        <f t="array" ref="BM50">COUNTIF(Pool!$C$252,BG50)</f>
        <v>0</v>
      </c>
      <c r="BN50" s="506" cm="1">
        <f t="array" ref="BN50">COUNTIF(Pool!$C$251,BG50)</f>
        <v>0</v>
      </c>
      <c r="BO50" s="509" cm="1">
        <f t="array" ref="BO50">COUNTIF(Pool!$C$250,BG50)</f>
        <v>0</v>
      </c>
    </row>
    <row r="51" spans="1:67" ht="15" customHeight="1" x14ac:dyDescent="0.2">
      <c r="A51" s="7"/>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476"/>
      <c r="BG51" s="651" t="s">
        <v>204</v>
      </c>
      <c r="BH51" s="652" cm="1">
        <f t="array" ref="BH51">1-SUM(BI51:BO51)</f>
        <v>1</v>
      </c>
      <c r="BI51" s="652" cm="1">
        <f t="array" ref="BI51">COUNTIF(Pool!$C$130:$C$161,BG51)-BJ51-BK51-BL51-BM51-BN51-BO51</f>
        <v>0</v>
      </c>
      <c r="BJ51" s="653" cm="1">
        <f t="array" ref="BJ51">COUNTIF(Pool!$C$182:$C$197,BG51)-BK51-BL51-BM51-BN51-BO51</f>
        <v>0</v>
      </c>
      <c r="BK51" s="654" cm="1">
        <f t="array" ref="BK51">COUNTIF(Pool!$C$210:$C$217,BG51)-BL51-BM51-BN51-BO51</f>
        <v>0</v>
      </c>
      <c r="BL51" s="654" cm="1">
        <f t="array" ref="BL51">COUNTIF(Pool!$C$226:$C$229,BG51)-BM51-BN51-BO51</f>
        <v>0</v>
      </c>
      <c r="BM51" s="652" cm="1">
        <f t="array" ref="BM51">COUNTIF(Pool!$C$252,BG51)</f>
        <v>0</v>
      </c>
      <c r="BN51" s="652" cm="1">
        <f t="array" ref="BN51">COUNTIF(Pool!$C$251,BG51)</f>
        <v>0</v>
      </c>
      <c r="BO51" s="655" cm="1">
        <f t="array" ref="BO51">COUNTIF(Pool!$C$250,BG51)</f>
        <v>0</v>
      </c>
    </row>
    <row r="52" spans="1:67" ht="15" customHeight="1" x14ac:dyDescent="0.2">
      <c r="A52" s="7"/>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13"/>
      <c r="BG52" s="656"/>
      <c r="BH52" s="656"/>
      <c r="BI52" s="656"/>
      <c r="BJ52" s="656"/>
      <c r="BK52" s="656"/>
      <c r="BL52" s="656"/>
      <c r="BM52" s="656"/>
      <c r="BN52" s="656"/>
      <c r="BO52" s="657"/>
    </row>
    <row r="53" spans="1:67" ht="15" customHeight="1" x14ac:dyDescent="0.2">
      <c r="A53" s="402"/>
      <c r="B53" s="13"/>
      <c r="C53" s="13"/>
      <c r="D53" s="13"/>
      <c r="E53" s="13"/>
      <c r="F53" s="13"/>
      <c r="G53" s="13"/>
      <c r="H53" s="13"/>
      <c r="I53" s="13"/>
      <c r="J53" s="13"/>
      <c r="K53" s="13"/>
      <c r="L53" s="13"/>
      <c r="M53" s="13"/>
      <c r="N53" s="13"/>
      <c r="O53" s="13"/>
      <c r="P53" s="13"/>
      <c r="Q53" s="13"/>
      <c r="R53" s="13"/>
      <c r="S53" s="13"/>
      <c r="T53" s="13"/>
      <c r="U53" s="13"/>
      <c r="V53" s="13"/>
      <c r="W53" s="658"/>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367"/>
    </row>
    <row r="54" spans="1:67" ht="15" customHeight="1" x14ac:dyDescent="0.2">
      <c r="A54" s="402"/>
      <c r="B54" s="13"/>
      <c r="C54" s="13"/>
      <c r="D54" s="13"/>
      <c r="E54" s="13"/>
      <c r="F54" s="13"/>
      <c r="G54" s="13"/>
      <c r="H54" s="13"/>
      <c r="I54" s="13"/>
      <c r="J54" s="13"/>
      <c r="K54" s="13"/>
      <c r="L54" s="13"/>
      <c r="M54" s="13"/>
      <c r="N54" s="13"/>
      <c r="O54" s="13"/>
      <c r="P54" s="13"/>
      <c r="Q54" s="13"/>
      <c r="R54" s="13"/>
      <c r="S54" s="13"/>
      <c r="T54" s="13"/>
      <c r="U54" s="13"/>
      <c r="V54" s="13"/>
      <c r="W54" s="658"/>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3"/>
      <c r="BO54" s="367"/>
    </row>
    <row r="55" spans="1:67" ht="15" customHeight="1" x14ac:dyDescent="0.2">
      <c r="A55" s="402"/>
      <c r="B55" s="13"/>
      <c r="C55" s="13"/>
      <c r="D55" s="13"/>
      <c r="E55" s="13"/>
      <c r="F55" s="13"/>
      <c r="G55" s="13"/>
      <c r="H55" s="13"/>
      <c r="I55" s="13"/>
      <c r="J55" s="13"/>
      <c r="K55" s="13"/>
      <c r="L55" s="13"/>
      <c r="M55" s="13"/>
      <c r="N55" s="13"/>
      <c r="O55" s="13"/>
      <c r="P55" s="13"/>
      <c r="Q55" s="13"/>
      <c r="R55" s="13"/>
      <c r="S55" s="13"/>
      <c r="T55" s="13"/>
      <c r="U55" s="13"/>
      <c r="V55" s="13"/>
      <c r="W55" s="658"/>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3"/>
      <c r="BO55" s="367"/>
    </row>
    <row r="56" spans="1:67" ht="15" customHeight="1" x14ac:dyDescent="0.2">
      <c r="A56" s="402"/>
      <c r="B56" s="13"/>
      <c r="C56" s="13"/>
      <c r="D56" s="13"/>
      <c r="E56" s="13"/>
      <c r="F56" s="13"/>
      <c r="G56" s="13"/>
      <c r="H56" s="13"/>
      <c r="I56" s="13"/>
      <c r="J56" s="13"/>
      <c r="K56" s="13"/>
      <c r="L56" s="13"/>
      <c r="M56" s="13"/>
      <c r="N56" s="13"/>
      <c r="O56" s="13"/>
      <c r="P56" s="13"/>
      <c r="Q56" s="13"/>
      <c r="R56" s="13"/>
      <c r="S56" s="13"/>
      <c r="T56" s="13"/>
      <c r="U56" s="13"/>
      <c r="V56" s="13"/>
      <c r="W56" s="658"/>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3"/>
      <c r="BO56" s="367"/>
    </row>
    <row r="57" spans="1:67" ht="15" customHeight="1" x14ac:dyDescent="0.2">
      <c r="A57" s="402"/>
      <c r="B57" s="13"/>
      <c r="C57" s="13"/>
      <c r="D57" s="13"/>
      <c r="E57" s="13"/>
      <c r="F57" s="13"/>
      <c r="G57" s="13"/>
      <c r="H57" s="13"/>
      <c r="I57" s="13"/>
      <c r="J57" s="13"/>
      <c r="K57" s="13"/>
      <c r="L57" s="13"/>
      <c r="M57" s="13"/>
      <c r="N57" s="13"/>
      <c r="O57" s="13"/>
      <c r="P57" s="13"/>
      <c r="Q57" s="13"/>
      <c r="R57" s="13"/>
      <c r="S57" s="13"/>
      <c r="T57" s="13"/>
      <c r="U57" s="13"/>
      <c r="V57" s="13"/>
      <c r="W57" s="658"/>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13"/>
      <c r="BN57" s="13"/>
      <c r="BO57" s="367"/>
    </row>
    <row r="58" spans="1:67" ht="15" customHeight="1" x14ac:dyDescent="0.2">
      <c r="A58" s="402"/>
      <c r="B58" s="13"/>
      <c r="C58" s="13"/>
      <c r="D58" s="13"/>
      <c r="E58" s="13"/>
      <c r="F58" s="13"/>
      <c r="G58" s="13"/>
      <c r="H58" s="13"/>
      <c r="I58" s="13"/>
      <c r="J58" s="13"/>
      <c r="K58" s="13"/>
      <c r="L58" s="13"/>
      <c r="M58" s="13"/>
      <c r="N58" s="13"/>
      <c r="O58" s="13"/>
      <c r="P58" s="13"/>
      <c r="Q58" s="13"/>
      <c r="R58" s="13"/>
      <c r="S58" s="13"/>
      <c r="T58" s="13"/>
      <c r="U58" s="13"/>
      <c r="V58" s="13"/>
      <c r="W58" s="658"/>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367"/>
    </row>
    <row r="59" spans="1:67" ht="15" customHeight="1" x14ac:dyDescent="0.2">
      <c r="A59" s="402"/>
      <c r="B59" s="13"/>
      <c r="C59" s="13"/>
      <c r="D59" s="13"/>
      <c r="E59" s="13"/>
      <c r="F59" s="13"/>
      <c r="G59" s="13"/>
      <c r="H59" s="13"/>
      <c r="I59" s="13"/>
      <c r="J59" s="13"/>
      <c r="K59" s="13"/>
      <c r="L59" s="13"/>
      <c r="M59" s="13"/>
      <c r="N59" s="13"/>
      <c r="O59" s="13"/>
      <c r="P59" s="13"/>
      <c r="Q59" s="13"/>
      <c r="R59" s="13"/>
      <c r="S59" s="13"/>
      <c r="T59" s="13"/>
      <c r="U59" s="13"/>
      <c r="V59" s="13"/>
      <c r="W59" s="658"/>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367"/>
    </row>
    <row r="60" spans="1:67" ht="15" customHeight="1" x14ac:dyDescent="0.2">
      <c r="A60" s="402"/>
      <c r="B60" s="13"/>
      <c r="C60" s="13"/>
      <c r="D60" s="13"/>
      <c r="E60" s="13"/>
      <c r="F60" s="13"/>
      <c r="G60" s="13"/>
      <c r="H60" s="13"/>
      <c r="I60" s="13"/>
      <c r="J60" s="13"/>
      <c r="K60" s="13"/>
      <c r="L60" s="13"/>
      <c r="M60" s="13"/>
      <c r="N60" s="13"/>
      <c r="O60" s="13"/>
      <c r="P60" s="13"/>
      <c r="Q60" s="13"/>
      <c r="R60" s="13"/>
      <c r="S60" s="13"/>
      <c r="T60" s="13"/>
      <c r="U60" s="13"/>
      <c r="V60" s="13"/>
      <c r="W60" s="658"/>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3"/>
      <c r="BO60" s="367"/>
    </row>
    <row r="61" spans="1:67" ht="15" customHeight="1" x14ac:dyDescent="0.2">
      <c r="A61" s="402"/>
      <c r="B61" s="13"/>
      <c r="C61" s="13"/>
      <c r="D61" s="13"/>
      <c r="E61" s="13"/>
      <c r="F61" s="13"/>
      <c r="G61" s="13"/>
      <c r="H61" s="13"/>
      <c r="I61" s="13"/>
      <c r="J61" s="13"/>
      <c r="K61" s="13"/>
      <c r="L61" s="13"/>
      <c r="M61" s="13"/>
      <c r="N61" s="13"/>
      <c r="O61" s="13"/>
      <c r="P61" s="13"/>
      <c r="Q61" s="13"/>
      <c r="R61" s="13"/>
      <c r="S61" s="13"/>
      <c r="T61" s="13"/>
      <c r="U61" s="13"/>
      <c r="V61" s="13"/>
      <c r="W61" s="658"/>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367"/>
    </row>
    <row r="62" spans="1:67" ht="15" customHeight="1" x14ac:dyDescent="0.2">
      <c r="A62" s="402"/>
      <c r="B62" s="13"/>
      <c r="C62" s="13"/>
      <c r="D62" s="13"/>
      <c r="E62" s="13"/>
      <c r="F62" s="13"/>
      <c r="G62" s="13"/>
      <c r="H62" s="13"/>
      <c r="I62" s="13"/>
      <c r="J62" s="13"/>
      <c r="K62" s="13"/>
      <c r="L62" s="13"/>
      <c r="M62" s="13"/>
      <c r="N62" s="13"/>
      <c r="O62" s="13"/>
      <c r="P62" s="13"/>
      <c r="Q62" s="13"/>
      <c r="R62" s="13"/>
      <c r="S62" s="13"/>
      <c r="T62" s="13"/>
      <c r="U62" s="13"/>
      <c r="V62" s="13"/>
      <c r="W62" s="658"/>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13"/>
      <c r="BN62" s="13"/>
      <c r="BO62" s="367"/>
    </row>
    <row r="63" spans="1:67" ht="15" customHeight="1" x14ac:dyDescent="0.2">
      <c r="A63" s="402"/>
      <c r="B63" s="13"/>
      <c r="C63" s="13"/>
      <c r="D63" s="13"/>
      <c r="E63" s="13"/>
      <c r="F63" s="13"/>
      <c r="G63" s="13"/>
      <c r="H63" s="13"/>
      <c r="I63" s="13"/>
      <c r="J63" s="13"/>
      <c r="K63" s="13"/>
      <c r="L63" s="13"/>
      <c r="M63" s="13"/>
      <c r="N63" s="13"/>
      <c r="O63" s="13"/>
      <c r="P63" s="13"/>
      <c r="Q63" s="13"/>
      <c r="R63" s="13"/>
      <c r="S63" s="13"/>
      <c r="T63" s="13"/>
      <c r="U63" s="13"/>
      <c r="V63" s="13"/>
      <c r="W63" s="658"/>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c r="BK63" s="13"/>
      <c r="BL63" s="13"/>
      <c r="BM63" s="13"/>
      <c r="BN63" s="13"/>
      <c r="BO63" s="367"/>
    </row>
    <row r="64" spans="1:67" ht="15" customHeight="1" x14ac:dyDescent="0.2">
      <c r="A64" s="402"/>
      <c r="B64" s="13"/>
      <c r="C64" s="13"/>
      <c r="D64" s="13"/>
      <c r="E64" s="13"/>
      <c r="F64" s="13"/>
      <c r="G64" s="13"/>
      <c r="H64" s="13"/>
      <c r="I64" s="13"/>
      <c r="J64" s="13"/>
      <c r="K64" s="13"/>
      <c r="L64" s="13"/>
      <c r="M64" s="13"/>
      <c r="N64" s="13"/>
      <c r="O64" s="13"/>
      <c r="P64" s="13"/>
      <c r="Q64" s="13"/>
      <c r="R64" s="13"/>
      <c r="S64" s="13"/>
      <c r="T64" s="13"/>
      <c r="U64" s="13"/>
      <c r="V64" s="13"/>
      <c r="W64" s="658"/>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3"/>
      <c r="BO64" s="367"/>
    </row>
    <row r="65" spans="1:67" ht="15" customHeight="1" x14ac:dyDescent="0.2">
      <c r="A65" s="402"/>
      <c r="B65" s="13"/>
      <c r="C65" s="13"/>
      <c r="D65" s="13"/>
      <c r="E65" s="13"/>
      <c r="F65" s="13"/>
      <c r="G65" s="13"/>
      <c r="H65" s="13"/>
      <c r="I65" s="13"/>
      <c r="J65" s="13"/>
      <c r="K65" s="13"/>
      <c r="L65" s="13"/>
      <c r="M65" s="13"/>
      <c r="N65" s="13"/>
      <c r="O65" s="13"/>
      <c r="P65" s="13"/>
      <c r="Q65" s="13"/>
      <c r="R65" s="13"/>
      <c r="S65" s="13"/>
      <c r="T65" s="13"/>
      <c r="U65" s="13"/>
      <c r="V65" s="13"/>
      <c r="W65" s="658"/>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3"/>
      <c r="BO65" s="367"/>
    </row>
    <row r="66" spans="1:67" ht="15" customHeight="1" x14ac:dyDescent="0.2">
      <c r="A66" s="402"/>
      <c r="B66" s="13"/>
      <c r="C66" s="13"/>
      <c r="D66" s="13"/>
      <c r="E66" s="13"/>
      <c r="F66" s="13"/>
      <c r="G66" s="13"/>
      <c r="H66" s="13"/>
      <c r="I66" s="13"/>
      <c r="J66" s="13"/>
      <c r="K66" s="13"/>
      <c r="L66" s="13"/>
      <c r="M66" s="13"/>
      <c r="N66" s="13"/>
      <c r="O66" s="13"/>
      <c r="P66" s="13"/>
      <c r="Q66" s="13"/>
      <c r="R66" s="13"/>
      <c r="S66" s="13"/>
      <c r="T66" s="13"/>
      <c r="U66" s="13"/>
      <c r="V66" s="13"/>
      <c r="W66" s="658"/>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13"/>
      <c r="BN66" s="13"/>
      <c r="BO66" s="367"/>
    </row>
    <row r="67" spans="1:67" ht="15" customHeight="1" x14ac:dyDescent="0.2">
      <c r="A67" s="402"/>
      <c r="B67" s="13"/>
      <c r="C67" s="13"/>
      <c r="D67" s="13"/>
      <c r="E67" s="13"/>
      <c r="F67" s="13"/>
      <c r="G67" s="13"/>
      <c r="H67" s="13"/>
      <c r="I67" s="13"/>
      <c r="J67" s="13"/>
      <c r="K67" s="13"/>
      <c r="L67" s="13"/>
      <c r="M67" s="13"/>
      <c r="N67" s="13"/>
      <c r="O67" s="13"/>
      <c r="P67" s="13"/>
      <c r="Q67" s="13"/>
      <c r="R67" s="13"/>
      <c r="S67" s="13"/>
      <c r="T67" s="13"/>
      <c r="U67" s="13"/>
      <c r="V67" s="13"/>
      <c r="W67" s="658"/>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3"/>
      <c r="BO67" s="367"/>
    </row>
    <row r="68" spans="1:67" ht="15" customHeight="1" x14ac:dyDescent="0.2">
      <c r="A68" s="402"/>
      <c r="B68" s="13"/>
      <c r="C68" s="13"/>
      <c r="D68" s="13"/>
      <c r="E68" s="13"/>
      <c r="F68" s="13"/>
      <c r="G68" s="13"/>
      <c r="H68" s="13"/>
      <c r="I68" s="13"/>
      <c r="J68" s="13"/>
      <c r="K68" s="13"/>
      <c r="L68" s="13"/>
      <c r="M68" s="13"/>
      <c r="N68" s="13"/>
      <c r="O68" s="13"/>
      <c r="P68" s="13"/>
      <c r="Q68" s="13"/>
      <c r="R68" s="13"/>
      <c r="S68" s="13"/>
      <c r="T68" s="13"/>
      <c r="U68" s="13"/>
      <c r="V68" s="13"/>
      <c r="W68" s="658"/>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c r="BH68" s="13"/>
      <c r="BI68" s="13"/>
      <c r="BJ68" s="13"/>
      <c r="BK68" s="13"/>
      <c r="BL68" s="13"/>
      <c r="BM68" s="13"/>
      <c r="BN68" s="13"/>
      <c r="BO68" s="367"/>
    </row>
    <row r="69" spans="1:67" ht="15" customHeight="1" x14ac:dyDescent="0.2">
      <c r="A69" s="402"/>
      <c r="B69" s="13"/>
      <c r="C69" s="13"/>
      <c r="D69" s="13"/>
      <c r="E69" s="13"/>
      <c r="F69" s="13"/>
      <c r="G69" s="13"/>
      <c r="H69" s="13"/>
      <c r="I69" s="13"/>
      <c r="J69" s="13"/>
      <c r="K69" s="13"/>
      <c r="L69" s="13"/>
      <c r="M69" s="13"/>
      <c r="N69" s="13"/>
      <c r="O69" s="13"/>
      <c r="P69" s="13"/>
      <c r="Q69" s="13"/>
      <c r="R69" s="13"/>
      <c r="S69" s="13"/>
      <c r="T69" s="13"/>
      <c r="U69" s="13"/>
      <c r="V69" s="13"/>
      <c r="W69" s="658"/>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13"/>
      <c r="BI69" s="13"/>
      <c r="BJ69" s="13"/>
      <c r="BK69" s="13"/>
      <c r="BL69" s="13"/>
      <c r="BM69" s="13"/>
      <c r="BN69" s="13"/>
      <c r="BO69" s="367"/>
    </row>
    <row r="70" spans="1:67" ht="15" customHeight="1" x14ac:dyDescent="0.2">
      <c r="A70" s="402"/>
      <c r="B70" s="13"/>
      <c r="C70" s="13"/>
      <c r="D70" s="13"/>
      <c r="E70" s="13"/>
      <c r="F70" s="13"/>
      <c r="G70" s="13"/>
      <c r="H70" s="13"/>
      <c r="I70" s="13"/>
      <c r="J70" s="13"/>
      <c r="K70" s="13"/>
      <c r="L70" s="13"/>
      <c r="M70" s="13"/>
      <c r="N70" s="13"/>
      <c r="O70" s="13"/>
      <c r="P70" s="13"/>
      <c r="Q70" s="13"/>
      <c r="R70" s="13"/>
      <c r="S70" s="13"/>
      <c r="T70" s="13"/>
      <c r="U70" s="13"/>
      <c r="V70" s="13"/>
      <c r="W70" s="658"/>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367"/>
    </row>
    <row r="71" spans="1:67" ht="15" customHeight="1" x14ac:dyDescent="0.2">
      <c r="A71" s="402"/>
      <c r="B71" s="13"/>
      <c r="C71" s="13"/>
      <c r="D71" s="13"/>
      <c r="E71" s="13"/>
      <c r="F71" s="13"/>
      <c r="G71" s="13"/>
      <c r="H71" s="13"/>
      <c r="I71" s="13"/>
      <c r="J71" s="13"/>
      <c r="K71" s="13"/>
      <c r="L71" s="13"/>
      <c r="M71" s="13"/>
      <c r="N71" s="13"/>
      <c r="O71" s="13"/>
      <c r="P71" s="13"/>
      <c r="Q71" s="13"/>
      <c r="R71" s="13"/>
      <c r="S71" s="13"/>
      <c r="T71" s="13"/>
      <c r="U71" s="13"/>
      <c r="V71" s="13"/>
      <c r="W71" s="658"/>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H71" s="13"/>
      <c r="BI71" s="13"/>
      <c r="BJ71" s="13"/>
      <c r="BK71" s="13"/>
      <c r="BL71" s="13"/>
      <c r="BM71" s="13"/>
      <c r="BN71" s="13"/>
      <c r="BO71" s="367"/>
    </row>
    <row r="72" spans="1:67" ht="15" customHeight="1" x14ac:dyDescent="0.2">
      <c r="A72" s="402"/>
      <c r="B72" s="13"/>
      <c r="C72" s="13"/>
      <c r="D72" s="13"/>
      <c r="E72" s="13"/>
      <c r="F72" s="13"/>
      <c r="G72" s="13"/>
      <c r="H72" s="13"/>
      <c r="I72" s="13"/>
      <c r="J72" s="13"/>
      <c r="K72" s="13"/>
      <c r="L72" s="13"/>
      <c r="M72" s="13"/>
      <c r="N72" s="13"/>
      <c r="O72" s="13"/>
      <c r="P72" s="13"/>
      <c r="Q72" s="13"/>
      <c r="R72" s="13"/>
      <c r="S72" s="13"/>
      <c r="T72" s="13"/>
      <c r="U72" s="13"/>
      <c r="V72" s="13"/>
      <c r="W72" s="658"/>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367"/>
    </row>
    <row r="73" spans="1:67" ht="15" customHeight="1" x14ac:dyDescent="0.2">
      <c r="A73" s="402"/>
      <c r="B73" s="13"/>
      <c r="C73" s="13"/>
      <c r="D73" s="13"/>
      <c r="E73" s="13"/>
      <c r="F73" s="13"/>
      <c r="G73" s="13"/>
      <c r="H73" s="13"/>
      <c r="I73" s="13"/>
      <c r="J73" s="13"/>
      <c r="K73" s="13"/>
      <c r="L73" s="13"/>
      <c r="M73" s="13"/>
      <c r="N73" s="13"/>
      <c r="O73" s="13"/>
      <c r="P73" s="13"/>
      <c r="Q73" s="13"/>
      <c r="R73" s="13"/>
      <c r="S73" s="13"/>
      <c r="T73" s="13"/>
      <c r="U73" s="13"/>
      <c r="V73" s="13"/>
      <c r="W73" s="658"/>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367"/>
    </row>
    <row r="74" spans="1:67" ht="15" customHeight="1" x14ac:dyDescent="0.2">
      <c r="A74" s="402"/>
      <c r="B74" s="13"/>
      <c r="C74" s="13"/>
      <c r="D74" s="13"/>
      <c r="E74" s="13"/>
      <c r="F74" s="13"/>
      <c r="G74" s="13"/>
      <c r="H74" s="13"/>
      <c r="I74" s="13"/>
      <c r="J74" s="13"/>
      <c r="K74" s="13"/>
      <c r="L74" s="13"/>
      <c r="M74" s="13"/>
      <c r="N74" s="13"/>
      <c r="O74" s="13"/>
      <c r="P74" s="13"/>
      <c r="Q74" s="13"/>
      <c r="R74" s="13"/>
      <c r="S74" s="13"/>
      <c r="T74" s="13"/>
      <c r="U74" s="13"/>
      <c r="V74" s="13"/>
      <c r="W74" s="658"/>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13"/>
      <c r="BN74" s="13"/>
      <c r="BO74" s="367"/>
    </row>
    <row r="75" spans="1:67" ht="15" customHeight="1" x14ac:dyDescent="0.2">
      <c r="A75" s="402"/>
      <c r="B75" s="13"/>
      <c r="C75" s="13"/>
      <c r="D75" s="13"/>
      <c r="E75" s="13"/>
      <c r="F75" s="13"/>
      <c r="G75" s="13"/>
      <c r="H75" s="13"/>
      <c r="I75" s="13"/>
      <c r="J75" s="13"/>
      <c r="K75" s="13"/>
      <c r="L75" s="13"/>
      <c r="M75" s="13"/>
      <c r="N75" s="13"/>
      <c r="O75" s="13"/>
      <c r="P75" s="13"/>
      <c r="Q75" s="13"/>
      <c r="R75" s="13"/>
      <c r="S75" s="13"/>
      <c r="T75" s="13"/>
      <c r="U75" s="13"/>
      <c r="V75" s="13"/>
      <c r="W75" s="658"/>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c r="BK75" s="13"/>
      <c r="BL75" s="13"/>
      <c r="BM75" s="13"/>
      <c r="BN75" s="13"/>
      <c r="BO75" s="367"/>
    </row>
    <row r="76" spans="1:67" ht="15" customHeight="1" x14ac:dyDescent="0.2">
      <c r="A76" s="402"/>
      <c r="B76" s="13"/>
      <c r="C76" s="13"/>
      <c r="D76" s="13"/>
      <c r="E76" s="13"/>
      <c r="F76" s="13"/>
      <c r="G76" s="13"/>
      <c r="H76" s="13"/>
      <c r="I76" s="13"/>
      <c r="J76" s="13"/>
      <c r="K76" s="13"/>
      <c r="L76" s="13"/>
      <c r="M76" s="13"/>
      <c r="N76" s="13"/>
      <c r="O76" s="13"/>
      <c r="P76" s="13"/>
      <c r="Q76" s="13"/>
      <c r="R76" s="13"/>
      <c r="S76" s="13"/>
      <c r="T76" s="13"/>
      <c r="U76" s="13"/>
      <c r="V76" s="13"/>
      <c r="W76" s="658"/>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c r="BK76" s="13"/>
      <c r="BL76" s="13"/>
      <c r="BM76" s="13"/>
      <c r="BN76" s="13"/>
      <c r="BO76" s="367"/>
    </row>
    <row r="77" spans="1:67" ht="15" customHeight="1" x14ac:dyDescent="0.2">
      <c r="A77" s="402"/>
      <c r="B77" s="13"/>
      <c r="C77" s="13"/>
      <c r="D77" s="13"/>
      <c r="E77" s="13"/>
      <c r="F77" s="13"/>
      <c r="G77" s="13"/>
      <c r="H77" s="13"/>
      <c r="I77" s="13"/>
      <c r="J77" s="13"/>
      <c r="K77" s="13"/>
      <c r="L77" s="13"/>
      <c r="M77" s="13"/>
      <c r="N77" s="13"/>
      <c r="O77" s="13"/>
      <c r="P77" s="13"/>
      <c r="Q77" s="13"/>
      <c r="R77" s="13"/>
      <c r="S77" s="13"/>
      <c r="T77" s="13"/>
      <c r="U77" s="13"/>
      <c r="V77" s="13"/>
      <c r="W77" s="658"/>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c r="BK77" s="13"/>
      <c r="BL77" s="13"/>
      <c r="BM77" s="13"/>
      <c r="BN77" s="13"/>
      <c r="BO77" s="367"/>
    </row>
    <row r="78" spans="1:67" ht="15" customHeight="1" x14ac:dyDescent="0.2">
      <c r="A78" s="402"/>
      <c r="B78" s="13"/>
      <c r="C78" s="13"/>
      <c r="D78" s="13"/>
      <c r="E78" s="13"/>
      <c r="F78" s="13"/>
      <c r="G78" s="13"/>
      <c r="H78" s="13"/>
      <c r="I78" s="13"/>
      <c r="J78" s="13"/>
      <c r="K78" s="13"/>
      <c r="L78" s="13"/>
      <c r="M78" s="13"/>
      <c r="N78" s="13"/>
      <c r="O78" s="13"/>
      <c r="P78" s="13"/>
      <c r="Q78" s="13"/>
      <c r="R78" s="13"/>
      <c r="S78" s="13"/>
      <c r="T78" s="13"/>
      <c r="U78" s="13"/>
      <c r="V78" s="13"/>
      <c r="W78" s="658"/>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367"/>
    </row>
    <row r="79" spans="1:67" ht="15" customHeight="1" x14ac:dyDescent="0.2">
      <c r="A79" s="402"/>
      <c r="B79" s="13"/>
      <c r="C79" s="13"/>
      <c r="D79" s="13"/>
      <c r="E79" s="13"/>
      <c r="F79" s="13"/>
      <c r="G79" s="13"/>
      <c r="H79" s="13"/>
      <c r="I79" s="13"/>
      <c r="J79" s="13"/>
      <c r="K79" s="13"/>
      <c r="L79" s="13"/>
      <c r="M79" s="13"/>
      <c r="N79" s="13"/>
      <c r="O79" s="13"/>
      <c r="P79" s="13"/>
      <c r="Q79" s="13"/>
      <c r="R79" s="13"/>
      <c r="S79" s="13"/>
      <c r="T79" s="13"/>
      <c r="U79" s="13"/>
      <c r="V79" s="13"/>
      <c r="W79" s="658"/>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3"/>
      <c r="BO79" s="367"/>
    </row>
    <row r="80" spans="1:67" ht="15" customHeight="1" x14ac:dyDescent="0.2">
      <c r="A80" s="402"/>
      <c r="B80" s="13"/>
      <c r="C80" s="13"/>
      <c r="D80" s="13"/>
      <c r="E80" s="13"/>
      <c r="F80" s="13"/>
      <c r="G80" s="13"/>
      <c r="H80" s="13"/>
      <c r="I80" s="13"/>
      <c r="J80" s="13"/>
      <c r="K80" s="13"/>
      <c r="L80" s="13"/>
      <c r="M80" s="13"/>
      <c r="N80" s="13"/>
      <c r="O80" s="13"/>
      <c r="P80" s="13"/>
      <c r="Q80" s="13"/>
      <c r="R80" s="13"/>
      <c r="S80" s="13"/>
      <c r="T80" s="13"/>
      <c r="U80" s="13"/>
      <c r="V80" s="13"/>
      <c r="W80" s="658"/>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13"/>
      <c r="BN80" s="13"/>
      <c r="BO80" s="367"/>
    </row>
    <row r="81" spans="1:67" ht="15" customHeight="1" x14ac:dyDescent="0.2">
      <c r="A81" s="402"/>
      <c r="B81" s="13"/>
      <c r="C81" s="13"/>
      <c r="D81" s="13"/>
      <c r="E81" s="13"/>
      <c r="F81" s="13"/>
      <c r="G81" s="13"/>
      <c r="H81" s="13"/>
      <c r="I81" s="13"/>
      <c r="J81" s="13"/>
      <c r="K81" s="13"/>
      <c r="L81" s="13"/>
      <c r="M81" s="13"/>
      <c r="N81" s="13"/>
      <c r="O81" s="13"/>
      <c r="P81" s="13"/>
      <c r="Q81" s="13"/>
      <c r="R81" s="13"/>
      <c r="S81" s="13"/>
      <c r="T81" s="13"/>
      <c r="U81" s="13"/>
      <c r="V81" s="13"/>
      <c r="W81" s="658"/>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13"/>
      <c r="BN81" s="13"/>
      <c r="BO81" s="367"/>
    </row>
    <row r="82" spans="1:67" ht="15" customHeight="1" x14ac:dyDescent="0.2">
      <c r="A82" s="402"/>
      <c r="B82" s="13"/>
      <c r="C82" s="13"/>
      <c r="D82" s="13"/>
      <c r="E82" s="13"/>
      <c r="F82" s="13"/>
      <c r="G82" s="13"/>
      <c r="H82" s="13"/>
      <c r="I82" s="13"/>
      <c r="J82" s="13"/>
      <c r="K82" s="13"/>
      <c r="L82" s="13"/>
      <c r="M82" s="13"/>
      <c r="N82" s="13"/>
      <c r="O82" s="13"/>
      <c r="P82" s="13"/>
      <c r="Q82" s="13"/>
      <c r="R82" s="13"/>
      <c r="S82" s="13"/>
      <c r="T82" s="13"/>
      <c r="U82" s="13"/>
      <c r="V82" s="13"/>
      <c r="W82" s="658"/>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13"/>
      <c r="BL82" s="13"/>
      <c r="BM82" s="13"/>
      <c r="BN82" s="13"/>
      <c r="BO82" s="367"/>
    </row>
    <row r="83" spans="1:67" ht="15" customHeight="1" x14ac:dyDescent="0.2">
      <c r="A83" s="402"/>
      <c r="B83" s="13"/>
      <c r="C83" s="13"/>
      <c r="D83" s="13"/>
      <c r="E83" s="13"/>
      <c r="F83" s="13"/>
      <c r="G83" s="13"/>
      <c r="H83" s="13"/>
      <c r="I83" s="13"/>
      <c r="J83" s="13"/>
      <c r="K83" s="13"/>
      <c r="L83" s="13"/>
      <c r="M83" s="13"/>
      <c r="N83" s="13"/>
      <c r="O83" s="13"/>
      <c r="P83" s="13"/>
      <c r="Q83" s="13"/>
      <c r="R83" s="13"/>
      <c r="S83" s="13"/>
      <c r="T83" s="13"/>
      <c r="U83" s="13"/>
      <c r="V83" s="13"/>
      <c r="W83" s="658"/>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367"/>
    </row>
    <row r="84" spans="1:67" ht="15" customHeight="1" x14ac:dyDescent="0.2">
      <c r="A84" s="402"/>
      <c r="B84" s="13"/>
      <c r="C84" s="13"/>
      <c r="D84" s="13"/>
      <c r="E84" s="13"/>
      <c r="F84" s="13"/>
      <c r="G84" s="13"/>
      <c r="H84" s="13"/>
      <c r="I84" s="13"/>
      <c r="J84" s="13"/>
      <c r="K84" s="13"/>
      <c r="L84" s="13"/>
      <c r="M84" s="13"/>
      <c r="N84" s="13"/>
      <c r="O84" s="13"/>
      <c r="P84" s="13"/>
      <c r="Q84" s="13"/>
      <c r="R84" s="13"/>
      <c r="S84" s="13"/>
      <c r="T84" s="13"/>
      <c r="U84" s="13"/>
      <c r="V84" s="13"/>
      <c r="W84" s="658"/>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3"/>
      <c r="BO84" s="367"/>
    </row>
    <row r="85" spans="1:67" ht="15" customHeight="1" x14ac:dyDescent="0.2">
      <c r="A85" s="402"/>
      <c r="B85" s="13"/>
      <c r="C85" s="13"/>
      <c r="D85" s="13"/>
      <c r="E85" s="13"/>
      <c r="F85" s="13"/>
      <c r="G85" s="13"/>
      <c r="H85" s="13"/>
      <c r="I85" s="13"/>
      <c r="J85" s="13"/>
      <c r="K85" s="13"/>
      <c r="L85" s="13"/>
      <c r="M85" s="13"/>
      <c r="N85" s="13"/>
      <c r="O85" s="13"/>
      <c r="P85" s="13"/>
      <c r="Q85" s="13"/>
      <c r="R85" s="13"/>
      <c r="S85" s="13"/>
      <c r="T85" s="13"/>
      <c r="U85" s="13"/>
      <c r="V85" s="13"/>
      <c r="W85" s="658"/>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c r="BK85" s="13"/>
      <c r="BL85" s="13"/>
      <c r="BM85" s="13"/>
      <c r="BN85" s="13"/>
      <c r="BO85" s="367"/>
    </row>
    <row r="86" spans="1:67" ht="15" customHeight="1" x14ac:dyDescent="0.2">
      <c r="A86" s="402"/>
      <c r="B86" s="13"/>
      <c r="C86" s="13"/>
      <c r="D86" s="13"/>
      <c r="E86" s="13"/>
      <c r="F86" s="13"/>
      <c r="G86" s="13"/>
      <c r="H86" s="13"/>
      <c r="I86" s="13"/>
      <c r="J86" s="13"/>
      <c r="K86" s="13"/>
      <c r="L86" s="13"/>
      <c r="M86" s="13"/>
      <c r="N86" s="13"/>
      <c r="O86" s="13"/>
      <c r="P86" s="13"/>
      <c r="Q86" s="13"/>
      <c r="R86" s="13"/>
      <c r="S86" s="13"/>
      <c r="T86" s="13"/>
      <c r="U86" s="13"/>
      <c r="V86" s="13"/>
      <c r="W86" s="658"/>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3"/>
      <c r="BO86" s="367"/>
    </row>
    <row r="87" spans="1:67" ht="15" customHeight="1" x14ac:dyDescent="0.2">
      <c r="A87" s="402"/>
      <c r="B87" s="13"/>
      <c r="C87" s="13"/>
      <c r="D87" s="13"/>
      <c r="E87" s="13"/>
      <c r="F87" s="13"/>
      <c r="G87" s="13"/>
      <c r="H87" s="13"/>
      <c r="I87" s="13"/>
      <c r="J87" s="13"/>
      <c r="K87" s="13"/>
      <c r="L87" s="13"/>
      <c r="M87" s="13"/>
      <c r="N87" s="13"/>
      <c r="O87" s="13"/>
      <c r="P87" s="13"/>
      <c r="Q87" s="13"/>
      <c r="R87" s="13"/>
      <c r="S87" s="13"/>
      <c r="T87" s="13"/>
      <c r="U87" s="13"/>
      <c r="V87" s="13"/>
      <c r="W87" s="658"/>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3"/>
      <c r="BO87" s="367"/>
    </row>
    <row r="88" spans="1:67" ht="15" customHeight="1" x14ac:dyDescent="0.2">
      <c r="A88" s="402"/>
      <c r="B88" s="13"/>
      <c r="C88" s="13"/>
      <c r="D88" s="13"/>
      <c r="E88" s="13"/>
      <c r="F88" s="13"/>
      <c r="G88" s="13"/>
      <c r="H88" s="13"/>
      <c r="I88" s="13"/>
      <c r="J88" s="13"/>
      <c r="K88" s="13"/>
      <c r="L88" s="13"/>
      <c r="M88" s="13"/>
      <c r="N88" s="13"/>
      <c r="O88" s="13"/>
      <c r="P88" s="13"/>
      <c r="Q88" s="13"/>
      <c r="R88" s="13"/>
      <c r="S88" s="13"/>
      <c r="T88" s="13"/>
      <c r="U88" s="13"/>
      <c r="V88" s="13"/>
      <c r="W88" s="658"/>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13"/>
      <c r="BN88" s="13"/>
      <c r="BO88" s="367"/>
    </row>
    <row r="89" spans="1:67" ht="15" customHeight="1" x14ac:dyDescent="0.2">
      <c r="A89" s="402"/>
      <c r="B89" s="13"/>
      <c r="C89" s="13"/>
      <c r="D89" s="13"/>
      <c r="E89" s="13"/>
      <c r="F89" s="13"/>
      <c r="G89" s="13"/>
      <c r="H89" s="13"/>
      <c r="I89" s="13"/>
      <c r="J89" s="13"/>
      <c r="K89" s="13"/>
      <c r="L89" s="13"/>
      <c r="M89" s="13"/>
      <c r="N89" s="13"/>
      <c r="O89" s="13"/>
      <c r="P89" s="13"/>
      <c r="Q89" s="13"/>
      <c r="R89" s="13"/>
      <c r="S89" s="13"/>
      <c r="T89" s="13"/>
      <c r="U89" s="13"/>
      <c r="V89" s="13"/>
      <c r="W89" s="658"/>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13"/>
      <c r="BN89" s="13"/>
      <c r="BO89" s="367"/>
    </row>
    <row r="90" spans="1:67" ht="15" customHeight="1" x14ac:dyDescent="0.2">
      <c r="A90" s="402"/>
      <c r="B90" s="13"/>
      <c r="C90" s="13"/>
      <c r="D90" s="13"/>
      <c r="E90" s="13"/>
      <c r="F90" s="13"/>
      <c r="G90" s="13"/>
      <c r="H90" s="13"/>
      <c r="I90" s="13"/>
      <c r="J90" s="13"/>
      <c r="K90" s="13"/>
      <c r="L90" s="13"/>
      <c r="M90" s="13"/>
      <c r="N90" s="13"/>
      <c r="O90" s="13"/>
      <c r="P90" s="13"/>
      <c r="Q90" s="13"/>
      <c r="R90" s="13"/>
      <c r="S90" s="13"/>
      <c r="T90" s="13"/>
      <c r="U90" s="13"/>
      <c r="V90" s="13"/>
      <c r="W90" s="658"/>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13"/>
      <c r="BN90" s="13"/>
      <c r="BO90" s="367"/>
    </row>
    <row r="91" spans="1:67" ht="15" customHeight="1" x14ac:dyDescent="0.2">
      <c r="A91" s="402"/>
      <c r="B91" s="13"/>
      <c r="C91" s="13"/>
      <c r="D91" s="13"/>
      <c r="E91" s="13"/>
      <c r="F91" s="13"/>
      <c r="G91" s="13"/>
      <c r="H91" s="13"/>
      <c r="I91" s="13"/>
      <c r="J91" s="13"/>
      <c r="K91" s="13"/>
      <c r="L91" s="13"/>
      <c r="M91" s="13"/>
      <c r="N91" s="13"/>
      <c r="O91" s="13"/>
      <c r="P91" s="13"/>
      <c r="Q91" s="13"/>
      <c r="R91" s="13"/>
      <c r="S91" s="13"/>
      <c r="T91" s="13"/>
      <c r="U91" s="13"/>
      <c r="V91" s="13"/>
      <c r="W91" s="658"/>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13"/>
      <c r="BN91" s="13"/>
      <c r="BO91" s="367"/>
    </row>
    <row r="92" spans="1:67" ht="15" customHeight="1" x14ac:dyDescent="0.2">
      <c r="A92" s="402"/>
      <c r="B92" s="13"/>
      <c r="C92" s="13"/>
      <c r="D92" s="13"/>
      <c r="E92" s="13"/>
      <c r="F92" s="13"/>
      <c r="G92" s="13"/>
      <c r="H92" s="13"/>
      <c r="I92" s="13"/>
      <c r="J92" s="13"/>
      <c r="K92" s="13"/>
      <c r="L92" s="13"/>
      <c r="M92" s="13"/>
      <c r="N92" s="13"/>
      <c r="O92" s="13"/>
      <c r="P92" s="13"/>
      <c r="Q92" s="13"/>
      <c r="R92" s="13"/>
      <c r="S92" s="13"/>
      <c r="T92" s="13"/>
      <c r="U92" s="13"/>
      <c r="V92" s="13"/>
      <c r="W92" s="658"/>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c r="BK92" s="13"/>
      <c r="BL92" s="13"/>
      <c r="BM92" s="13"/>
      <c r="BN92" s="13"/>
      <c r="BO92" s="367"/>
    </row>
    <row r="93" spans="1:67" ht="15" customHeight="1" x14ac:dyDescent="0.2">
      <c r="A93" s="402"/>
      <c r="B93" s="13"/>
      <c r="C93" s="13"/>
      <c r="D93" s="13"/>
      <c r="E93" s="13"/>
      <c r="F93" s="13"/>
      <c r="G93" s="13"/>
      <c r="H93" s="13"/>
      <c r="I93" s="13"/>
      <c r="J93" s="13"/>
      <c r="K93" s="13"/>
      <c r="L93" s="13"/>
      <c r="M93" s="13"/>
      <c r="N93" s="13"/>
      <c r="O93" s="13"/>
      <c r="P93" s="13"/>
      <c r="Q93" s="13"/>
      <c r="R93" s="13"/>
      <c r="S93" s="13"/>
      <c r="T93" s="13"/>
      <c r="U93" s="13"/>
      <c r="V93" s="13"/>
      <c r="W93" s="658"/>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3"/>
      <c r="BO93" s="367"/>
    </row>
    <row r="94" spans="1:67" ht="15" customHeight="1" x14ac:dyDescent="0.2">
      <c r="A94" s="402"/>
      <c r="B94" s="13"/>
      <c r="C94" s="13"/>
      <c r="D94" s="13"/>
      <c r="E94" s="13"/>
      <c r="F94" s="13"/>
      <c r="G94" s="13"/>
      <c r="H94" s="13"/>
      <c r="I94" s="13"/>
      <c r="J94" s="13"/>
      <c r="K94" s="13"/>
      <c r="L94" s="13"/>
      <c r="M94" s="13"/>
      <c r="N94" s="13"/>
      <c r="O94" s="13"/>
      <c r="P94" s="13"/>
      <c r="Q94" s="13"/>
      <c r="R94" s="13"/>
      <c r="S94" s="13"/>
      <c r="T94" s="13"/>
      <c r="U94" s="13"/>
      <c r="V94" s="13"/>
      <c r="W94" s="658"/>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13"/>
      <c r="BN94" s="13"/>
      <c r="BO94" s="367"/>
    </row>
    <row r="95" spans="1:67" ht="15" customHeight="1" x14ac:dyDescent="0.2">
      <c r="A95" s="402"/>
      <c r="B95" s="13"/>
      <c r="C95" s="13"/>
      <c r="D95" s="13"/>
      <c r="E95" s="13"/>
      <c r="F95" s="13"/>
      <c r="G95" s="13"/>
      <c r="H95" s="13"/>
      <c r="I95" s="13"/>
      <c r="J95" s="13"/>
      <c r="K95" s="13"/>
      <c r="L95" s="13"/>
      <c r="M95" s="13"/>
      <c r="N95" s="13"/>
      <c r="O95" s="13"/>
      <c r="P95" s="13"/>
      <c r="Q95" s="13"/>
      <c r="R95" s="13"/>
      <c r="S95" s="13"/>
      <c r="T95" s="13"/>
      <c r="U95" s="13"/>
      <c r="V95" s="13"/>
      <c r="W95" s="658"/>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3"/>
      <c r="BO95" s="367"/>
    </row>
    <row r="96" spans="1:67" ht="15" customHeight="1" x14ac:dyDescent="0.2">
      <c r="A96" s="402"/>
      <c r="B96" s="13"/>
      <c r="C96" s="13"/>
      <c r="D96" s="13"/>
      <c r="E96" s="13"/>
      <c r="F96" s="13"/>
      <c r="G96" s="13"/>
      <c r="H96" s="13"/>
      <c r="I96" s="13"/>
      <c r="J96" s="13"/>
      <c r="K96" s="13"/>
      <c r="L96" s="13"/>
      <c r="M96" s="13"/>
      <c r="N96" s="13"/>
      <c r="O96" s="13"/>
      <c r="P96" s="13"/>
      <c r="Q96" s="13"/>
      <c r="R96" s="13"/>
      <c r="S96" s="13"/>
      <c r="T96" s="13"/>
      <c r="U96" s="13"/>
      <c r="V96" s="13"/>
      <c r="W96" s="658"/>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c r="BK96" s="13"/>
      <c r="BL96" s="13"/>
      <c r="BM96" s="13"/>
      <c r="BN96" s="13"/>
      <c r="BO96" s="367"/>
    </row>
    <row r="97" spans="1:67" ht="15" customHeight="1" x14ac:dyDescent="0.2">
      <c r="A97" s="402"/>
      <c r="B97" s="13"/>
      <c r="C97" s="13"/>
      <c r="D97" s="13"/>
      <c r="E97" s="13"/>
      <c r="F97" s="13"/>
      <c r="G97" s="13"/>
      <c r="H97" s="13"/>
      <c r="I97" s="13"/>
      <c r="J97" s="13"/>
      <c r="K97" s="13"/>
      <c r="L97" s="13"/>
      <c r="M97" s="13"/>
      <c r="N97" s="13"/>
      <c r="O97" s="13"/>
      <c r="P97" s="13"/>
      <c r="Q97" s="13"/>
      <c r="R97" s="13"/>
      <c r="S97" s="13"/>
      <c r="T97" s="13"/>
      <c r="U97" s="13"/>
      <c r="V97" s="13"/>
      <c r="W97" s="658"/>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c r="BM97" s="13"/>
      <c r="BN97" s="13"/>
      <c r="BO97" s="367"/>
    </row>
    <row r="98" spans="1:67" ht="15" customHeight="1" x14ac:dyDescent="0.2">
      <c r="A98" s="402"/>
      <c r="B98" s="13"/>
      <c r="C98" s="13"/>
      <c r="D98" s="13"/>
      <c r="E98" s="13"/>
      <c r="F98" s="13"/>
      <c r="G98" s="13"/>
      <c r="H98" s="13"/>
      <c r="I98" s="13"/>
      <c r="J98" s="13"/>
      <c r="K98" s="13"/>
      <c r="L98" s="13"/>
      <c r="M98" s="13"/>
      <c r="N98" s="13"/>
      <c r="O98" s="13"/>
      <c r="P98" s="13"/>
      <c r="Q98" s="13"/>
      <c r="R98" s="13"/>
      <c r="S98" s="13"/>
      <c r="T98" s="13"/>
      <c r="U98" s="13"/>
      <c r="V98" s="13"/>
      <c r="W98" s="658"/>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c r="BK98" s="13"/>
      <c r="BL98" s="13"/>
      <c r="BM98" s="13"/>
      <c r="BN98" s="13"/>
      <c r="BO98" s="367"/>
    </row>
    <row r="99" spans="1:67" ht="15" customHeight="1" x14ac:dyDescent="0.2">
      <c r="A99" s="402"/>
      <c r="B99" s="13"/>
      <c r="C99" s="13"/>
      <c r="D99" s="13"/>
      <c r="E99" s="13"/>
      <c r="F99" s="13"/>
      <c r="G99" s="13"/>
      <c r="H99" s="13"/>
      <c r="I99" s="13"/>
      <c r="J99" s="13"/>
      <c r="K99" s="13"/>
      <c r="L99" s="13"/>
      <c r="M99" s="13"/>
      <c r="N99" s="13"/>
      <c r="O99" s="13"/>
      <c r="P99" s="13"/>
      <c r="Q99" s="13"/>
      <c r="R99" s="13"/>
      <c r="S99" s="13"/>
      <c r="T99" s="13"/>
      <c r="U99" s="13"/>
      <c r="V99" s="13"/>
      <c r="W99" s="658"/>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3"/>
      <c r="BO99" s="367"/>
    </row>
    <row r="100" spans="1:67" ht="15" customHeight="1" x14ac:dyDescent="0.2">
      <c r="A100" s="402"/>
      <c r="B100" s="13"/>
      <c r="C100" s="13"/>
      <c r="D100" s="13"/>
      <c r="E100" s="13"/>
      <c r="F100" s="13"/>
      <c r="G100" s="13"/>
      <c r="H100" s="13"/>
      <c r="I100" s="13"/>
      <c r="J100" s="13"/>
      <c r="K100" s="13"/>
      <c r="L100" s="13"/>
      <c r="M100" s="13"/>
      <c r="N100" s="13"/>
      <c r="O100" s="13"/>
      <c r="P100" s="13"/>
      <c r="Q100" s="13"/>
      <c r="R100" s="13"/>
      <c r="S100" s="13"/>
      <c r="T100" s="13"/>
      <c r="U100" s="13"/>
      <c r="V100" s="13"/>
      <c r="W100" s="658"/>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3"/>
      <c r="BO100" s="367"/>
    </row>
    <row r="101" spans="1:67" ht="15" customHeight="1" x14ac:dyDescent="0.2">
      <c r="A101" s="402"/>
      <c r="B101" s="13"/>
      <c r="C101" s="13"/>
      <c r="D101" s="13"/>
      <c r="E101" s="13"/>
      <c r="F101" s="13"/>
      <c r="G101" s="13"/>
      <c r="H101" s="13"/>
      <c r="I101" s="13"/>
      <c r="J101" s="13"/>
      <c r="K101" s="13"/>
      <c r="L101" s="13"/>
      <c r="M101" s="13"/>
      <c r="N101" s="13"/>
      <c r="O101" s="13"/>
      <c r="P101" s="13"/>
      <c r="Q101" s="13"/>
      <c r="R101" s="13"/>
      <c r="S101" s="13"/>
      <c r="T101" s="13"/>
      <c r="U101" s="13"/>
      <c r="V101" s="13"/>
      <c r="W101" s="658"/>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3"/>
      <c r="BO101" s="367"/>
    </row>
    <row r="102" spans="1:67" ht="15" customHeight="1" x14ac:dyDescent="0.2">
      <c r="A102" s="402"/>
      <c r="B102" s="13"/>
      <c r="C102" s="13"/>
      <c r="D102" s="13"/>
      <c r="E102" s="13"/>
      <c r="F102" s="13"/>
      <c r="G102" s="13"/>
      <c r="H102" s="13"/>
      <c r="I102" s="13"/>
      <c r="J102" s="13"/>
      <c r="K102" s="13"/>
      <c r="L102" s="13"/>
      <c r="M102" s="13"/>
      <c r="N102" s="13"/>
      <c r="O102" s="13"/>
      <c r="P102" s="13"/>
      <c r="Q102" s="13"/>
      <c r="R102" s="13"/>
      <c r="S102" s="13"/>
      <c r="T102" s="13"/>
      <c r="U102" s="13"/>
      <c r="V102" s="13"/>
      <c r="W102" s="658"/>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13"/>
      <c r="BN102" s="13"/>
      <c r="BO102" s="367"/>
    </row>
    <row r="103" spans="1:67" ht="15" customHeight="1" x14ac:dyDescent="0.2">
      <c r="A103" s="402"/>
      <c r="B103" s="13"/>
      <c r="C103" s="13"/>
      <c r="D103" s="13"/>
      <c r="E103" s="13"/>
      <c r="F103" s="13"/>
      <c r="G103" s="13"/>
      <c r="H103" s="13"/>
      <c r="I103" s="13"/>
      <c r="J103" s="13"/>
      <c r="K103" s="13"/>
      <c r="L103" s="13"/>
      <c r="M103" s="13"/>
      <c r="N103" s="13"/>
      <c r="O103" s="13"/>
      <c r="P103" s="13"/>
      <c r="Q103" s="13"/>
      <c r="R103" s="13"/>
      <c r="S103" s="13"/>
      <c r="T103" s="13"/>
      <c r="U103" s="13"/>
      <c r="V103" s="13"/>
      <c r="W103" s="658"/>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3"/>
      <c r="BO103" s="367"/>
    </row>
    <row r="104" spans="1:67" ht="15" customHeight="1" x14ac:dyDescent="0.2">
      <c r="A104" s="402"/>
      <c r="B104" s="13"/>
      <c r="C104" s="13"/>
      <c r="D104" s="13"/>
      <c r="E104" s="13"/>
      <c r="F104" s="13"/>
      <c r="G104" s="13"/>
      <c r="H104" s="13"/>
      <c r="I104" s="13"/>
      <c r="J104" s="13"/>
      <c r="K104" s="13"/>
      <c r="L104" s="13"/>
      <c r="M104" s="13"/>
      <c r="N104" s="13"/>
      <c r="O104" s="13"/>
      <c r="P104" s="13"/>
      <c r="Q104" s="13"/>
      <c r="R104" s="13"/>
      <c r="S104" s="13"/>
      <c r="T104" s="13"/>
      <c r="U104" s="13"/>
      <c r="V104" s="13"/>
      <c r="W104" s="658"/>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3"/>
      <c r="BO104" s="367"/>
    </row>
    <row r="105" spans="1:67" ht="15" customHeight="1" x14ac:dyDescent="0.2">
      <c r="A105" s="402"/>
      <c r="B105" s="13"/>
      <c r="C105" s="13"/>
      <c r="D105" s="13"/>
      <c r="E105" s="13"/>
      <c r="F105" s="13"/>
      <c r="G105" s="13"/>
      <c r="H105" s="13"/>
      <c r="I105" s="13"/>
      <c r="J105" s="13"/>
      <c r="K105" s="13"/>
      <c r="L105" s="13"/>
      <c r="M105" s="13"/>
      <c r="N105" s="13"/>
      <c r="O105" s="13"/>
      <c r="P105" s="13"/>
      <c r="Q105" s="13"/>
      <c r="R105" s="13"/>
      <c r="S105" s="13"/>
      <c r="T105" s="13"/>
      <c r="U105" s="13"/>
      <c r="V105" s="13"/>
      <c r="W105" s="658"/>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3"/>
      <c r="BO105" s="367"/>
    </row>
    <row r="106" spans="1:67" ht="15" customHeight="1" x14ac:dyDescent="0.2">
      <c r="A106" s="402"/>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3"/>
      <c r="BO106" s="367"/>
    </row>
    <row r="107" spans="1:67" ht="15" customHeight="1" x14ac:dyDescent="0.2">
      <c r="A107" s="402"/>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367"/>
    </row>
    <row r="108" spans="1:67" ht="15" customHeight="1" x14ac:dyDescent="0.2">
      <c r="A108" s="402"/>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c r="BG108" s="13"/>
      <c r="BH108" s="13"/>
      <c r="BI108" s="13"/>
      <c r="BJ108" s="13"/>
      <c r="BK108" s="13"/>
      <c r="BL108" s="13"/>
      <c r="BM108" s="13"/>
      <c r="BN108" s="13"/>
      <c r="BO108" s="367"/>
    </row>
    <row r="109" spans="1:67" ht="15" customHeight="1" x14ac:dyDescent="0.2">
      <c r="A109" s="402"/>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3"/>
      <c r="BO109" s="367"/>
    </row>
    <row r="110" spans="1:67" ht="15" customHeight="1" x14ac:dyDescent="0.2">
      <c r="A110" s="402"/>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c r="BK110" s="13"/>
      <c r="BL110" s="13"/>
      <c r="BM110" s="13"/>
      <c r="BN110" s="13"/>
      <c r="BO110" s="367"/>
    </row>
    <row r="111" spans="1:67" ht="15" customHeight="1" x14ac:dyDescent="0.2">
      <c r="A111" s="402"/>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c r="BK111" s="13"/>
      <c r="BL111" s="13"/>
      <c r="BM111" s="13"/>
      <c r="BN111" s="13"/>
      <c r="BO111" s="367"/>
    </row>
    <row r="112" spans="1:67" ht="15" customHeight="1" x14ac:dyDescent="0.2">
      <c r="A112" s="402"/>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3"/>
      <c r="BO112" s="367"/>
    </row>
    <row r="113" spans="1:67" ht="15" customHeight="1" x14ac:dyDescent="0.2">
      <c r="A113" s="402"/>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367"/>
    </row>
    <row r="114" spans="1:67" ht="15" customHeight="1" x14ac:dyDescent="0.2">
      <c r="A114" s="402"/>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3"/>
      <c r="BO114" s="367"/>
    </row>
    <row r="115" spans="1:67" ht="15" customHeight="1" x14ac:dyDescent="0.2">
      <c r="A115" s="402"/>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c r="BK115" s="13"/>
      <c r="BL115" s="13"/>
      <c r="BM115" s="13"/>
      <c r="BN115" s="13"/>
      <c r="BO115" s="367"/>
    </row>
    <row r="116" spans="1:67" ht="15" customHeight="1" x14ac:dyDescent="0.2">
      <c r="A116" s="402"/>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c r="BH116" s="13"/>
      <c r="BI116" s="13"/>
      <c r="BJ116" s="13"/>
      <c r="BK116" s="13"/>
      <c r="BL116" s="13"/>
      <c r="BM116" s="13"/>
      <c r="BN116" s="13"/>
      <c r="BO116" s="367"/>
    </row>
    <row r="117" spans="1:67" ht="15" customHeight="1" x14ac:dyDescent="0.2">
      <c r="A117" s="402"/>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c r="BL117" s="13"/>
      <c r="BM117" s="13"/>
      <c r="BN117" s="13"/>
      <c r="BO117" s="367"/>
    </row>
    <row r="118" spans="1:67" ht="15" customHeight="1" x14ac:dyDescent="0.2">
      <c r="A118" s="402"/>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c r="BK118" s="13"/>
      <c r="BL118" s="13"/>
      <c r="BM118" s="13"/>
      <c r="BN118" s="13"/>
      <c r="BO118" s="367"/>
    </row>
    <row r="119" spans="1:67" ht="15" customHeight="1" x14ac:dyDescent="0.2">
      <c r="A119" s="402"/>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13"/>
      <c r="BF119" s="13"/>
      <c r="BG119" s="13"/>
      <c r="BH119" s="13"/>
      <c r="BI119" s="13"/>
      <c r="BJ119" s="13"/>
      <c r="BK119" s="13"/>
      <c r="BL119" s="13"/>
      <c r="BM119" s="13"/>
      <c r="BN119" s="13"/>
      <c r="BO119" s="367"/>
    </row>
    <row r="120" spans="1:67" ht="15" customHeight="1" x14ac:dyDescent="0.2">
      <c r="A120" s="402"/>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c r="BK120" s="13"/>
      <c r="BL120" s="13"/>
      <c r="BM120" s="13"/>
      <c r="BN120" s="13"/>
      <c r="BO120" s="367"/>
    </row>
    <row r="121" spans="1:67" ht="15" customHeight="1" x14ac:dyDescent="0.2">
      <c r="A121" s="402"/>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3"/>
      <c r="BO121" s="367"/>
    </row>
    <row r="122" spans="1:67" ht="15" customHeight="1" x14ac:dyDescent="0.2">
      <c r="A122" s="402"/>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c r="BH122" s="13"/>
      <c r="BI122" s="13"/>
      <c r="BJ122" s="13"/>
      <c r="BK122" s="13"/>
      <c r="BL122" s="13"/>
      <c r="BM122" s="13"/>
      <c r="BN122" s="13"/>
      <c r="BO122" s="367"/>
    </row>
    <row r="123" spans="1:67" ht="15" customHeight="1" x14ac:dyDescent="0.2">
      <c r="A123" s="402"/>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c r="BK123" s="13"/>
      <c r="BL123" s="13"/>
      <c r="BM123" s="13"/>
      <c r="BN123" s="13"/>
      <c r="BO123" s="367"/>
    </row>
    <row r="124" spans="1:67" ht="15" customHeight="1" x14ac:dyDescent="0.2">
      <c r="A124" s="402"/>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3"/>
      <c r="BO124" s="367"/>
    </row>
    <row r="125" spans="1:67" ht="15" customHeight="1" x14ac:dyDescent="0.2">
      <c r="A125" s="402"/>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c r="BH125" s="13"/>
      <c r="BI125" s="13"/>
      <c r="BJ125" s="13"/>
      <c r="BK125" s="13"/>
      <c r="BL125" s="13"/>
      <c r="BM125" s="13"/>
      <c r="BN125" s="13"/>
      <c r="BO125" s="367"/>
    </row>
    <row r="126" spans="1:67" ht="15" customHeight="1" x14ac:dyDescent="0.2">
      <c r="A126" s="402"/>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c r="BK126" s="13"/>
      <c r="BL126" s="13"/>
      <c r="BM126" s="13"/>
      <c r="BN126" s="13"/>
      <c r="BO126" s="367"/>
    </row>
    <row r="127" spans="1:67" ht="15" customHeight="1" x14ac:dyDescent="0.2">
      <c r="A127" s="402"/>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c r="BK127" s="13"/>
      <c r="BL127" s="13"/>
      <c r="BM127" s="13"/>
      <c r="BN127" s="13"/>
      <c r="BO127" s="367"/>
    </row>
    <row r="128" spans="1:67" ht="15" customHeight="1" x14ac:dyDescent="0.2">
      <c r="A128" s="402"/>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3"/>
      <c r="BO128" s="367"/>
    </row>
    <row r="129" spans="1:67" ht="15" customHeight="1" x14ac:dyDescent="0.2">
      <c r="A129" s="402"/>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c r="BE129" s="13"/>
      <c r="BF129" s="13"/>
      <c r="BG129" s="13"/>
      <c r="BH129" s="13"/>
      <c r="BI129" s="13"/>
      <c r="BJ129" s="13"/>
      <c r="BK129" s="13"/>
      <c r="BL129" s="13"/>
      <c r="BM129" s="13"/>
      <c r="BN129" s="13"/>
      <c r="BO129" s="367"/>
    </row>
    <row r="130" spans="1:67" ht="15" customHeight="1" x14ac:dyDescent="0.2">
      <c r="A130" s="402"/>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c r="BE130" s="13"/>
      <c r="BF130" s="13"/>
      <c r="BG130" s="13"/>
      <c r="BH130" s="13"/>
      <c r="BI130" s="13"/>
      <c r="BJ130" s="13"/>
      <c r="BK130" s="13"/>
      <c r="BL130" s="13"/>
      <c r="BM130" s="13"/>
      <c r="BN130" s="13"/>
      <c r="BO130" s="367"/>
    </row>
    <row r="131" spans="1:67" ht="15" customHeight="1" x14ac:dyDescent="0.2">
      <c r="A131" s="402"/>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3"/>
      <c r="BO131" s="367"/>
    </row>
    <row r="132" spans="1:67" ht="15" customHeight="1" x14ac:dyDescent="0.2">
      <c r="A132" s="402"/>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367"/>
    </row>
    <row r="133" spans="1:67" ht="15" customHeight="1" x14ac:dyDescent="0.2">
      <c r="A133" s="402"/>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c r="BH133" s="13"/>
      <c r="BI133" s="13"/>
      <c r="BJ133" s="13"/>
      <c r="BK133" s="13"/>
      <c r="BL133" s="13"/>
      <c r="BM133" s="13"/>
      <c r="BN133" s="13"/>
      <c r="BO133" s="367"/>
    </row>
    <row r="134" spans="1:67" ht="15" customHeight="1" x14ac:dyDescent="0.2">
      <c r="A134" s="659"/>
      <c r="B134" s="355"/>
      <c r="C134" s="355"/>
      <c r="D134" s="355"/>
      <c r="E134" s="355"/>
      <c r="F134" s="355"/>
      <c r="G134" s="355"/>
      <c r="H134" s="355"/>
      <c r="I134" s="355"/>
      <c r="J134" s="355"/>
      <c r="K134" s="355"/>
      <c r="L134" s="355"/>
      <c r="M134" s="355"/>
      <c r="N134" s="355"/>
      <c r="O134" s="355"/>
      <c r="P134" s="355"/>
      <c r="Q134" s="355"/>
      <c r="R134" s="355"/>
      <c r="S134" s="355"/>
      <c r="T134" s="355"/>
      <c r="U134" s="355"/>
      <c r="V134" s="355"/>
      <c r="W134" s="355"/>
      <c r="X134" s="355"/>
      <c r="Y134" s="355"/>
      <c r="Z134" s="355"/>
      <c r="AA134" s="355"/>
      <c r="AB134" s="355"/>
      <c r="AC134" s="355"/>
      <c r="AD134" s="355"/>
      <c r="AE134" s="355"/>
      <c r="AF134" s="355"/>
      <c r="AG134" s="355"/>
      <c r="AH134" s="355"/>
      <c r="AI134" s="355"/>
      <c r="AJ134" s="355"/>
      <c r="AK134" s="355"/>
      <c r="AL134" s="355"/>
      <c r="AM134" s="355"/>
      <c r="AN134" s="355"/>
      <c r="AO134" s="355"/>
      <c r="AP134" s="355"/>
      <c r="AQ134" s="355"/>
      <c r="AR134" s="355"/>
      <c r="AS134" s="355"/>
      <c r="AT134" s="355"/>
      <c r="AU134" s="355"/>
      <c r="AV134" s="355"/>
      <c r="AW134" s="355"/>
      <c r="AX134" s="355"/>
      <c r="AY134" s="355"/>
      <c r="AZ134" s="355"/>
      <c r="BA134" s="355"/>
      <c r="BB134" s="355"/>
      <c r="BC134" s="355"/>
      <c r="BD134" s="355"/>
      <c r="BE134" s="355"/>
      <c r="BF134" s="355"/>
      <c r="BG134" s="355"/>
      <c r="BH134" s="355"/>
      <c r="BI134" s="355"/>
      <c r="BJ134" s="355"/>
      <c r="BK134" s="355"/>
      <c r="BL134" s="355"/>
      <c r="BM134" s="355"/>
      <c r="BN134" s="355"/>
      <c r="BO134" s="660"/>
    </row>
  </sheetData>
  <mergeCells count="1">
    <mergeCell ref="AX18:BE18"/>
  </mergeCells>
  <pageMargins left="0.7" right="0.7" top="0.75" bottom="0.75" header="0.3" footer="0.3"/>
  <pageSetup orientation="landscape"/>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B8127-5BD0-2B48-82A8-E8D726E2EE89}">
  <dimension ref="A1:D4"/>
  <sheetViews>
    <sheetView workbookViewId="0">
      <selection activeCell="G11" sqref="G11"/>
    </sheetView>
  </sheetViews>
  <sheetFormatPr baseColWidth="10" defaultRowHeight="15" x14ac:dyDescent="0.2"/>
  <sheetData>
    <row r="1" spans="1:4" x14ac:dyDescent="0.2">
      <c r="A1" s="750" t="s">
        <v>183</v>
      </c>
      <c r="B1">
        <v>2</v>
      </c>
      <c r="C1">
        <v>0</v>
      </c>
      <c r="D1" s="750" t="s">
        <v>133</v>
      </c>
    </row>
    <row r="2" spans="1:4" x14ac:dyDescent="0.2">
      <c r="A2" s="750" t="s">
        <v>174</v>
      </c>
      <c r="B2">
        <v>2</v>
      </c>
      <c r="C2">
        <v>1</v>
      </c>
      <c r="D2" s="750" t="s">
        <v>165</v>
      </c>
    </row>
    <row r="3" spans="1:4" x14ac:dyDescent="0.2">
      <c r="A3" s="750" t="s">
        <v>189</v>
      </c>
      <c r="B3">
        <v>1</v>
      </c>
      <c r="C3">
        <v>2</v>
      </c>
      <c r="D3" s="750" t="s">
        <v>209</v>
      </c>
    </row>
    <row r="4" spans="1:4" x14ac:dyDescent="0.2">
      <c r="A4" s="750" t="s">
        <v>191</v>
      </c>
      <c r="B4">
        <v>2</v>
      </c>
      <c r="C4">
        <v>0</v>
      </c>
      <c r="D4" s="750" t="s">
        <v>128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37D41-7396-DC42-A57D-549569CAE422}">
  <dimension ref="A1:D3"/>
  <sheetViews>
    <sheetView workbookViewId="0">
      <selection activeCell="F16" sqref="F16"/>
    </sheetView>
  </sheetViews>
  <sheetFormatPr baseColWidth="10" defaultRowHeight="15" x14ac:dyDescent="0.2"/>
  <sheetData>
    <row r="1" spans="1:4" x14ac:dyDescent="0.2">
      <c r="A1" s="749" t="s">
        <v>183</v>
      </c>
      <c r="B1" s="749">
        <v>1</v>
      </c>
      <c r="C1" s="749">
        <v>0</v>
      </c>
      <c r="D1" s="749" t="s">
        <v>174</v>
      </c>
    </row>
    <row r="2" spans="1:4" x14ac:dyDescent="0.2">
      <c r="A2" s="749" t="s">
        <v>209</v>
      </c>
      <c r="B2" s="749">
        <v>1</v>
      </c>
      <c r="C2" s="749">
        <v>2</v>
      </c>
      <c r="D2" s="749" t="s">
        <v>191</v>
      </c>
    </row>
    <row r="3" spans="1:4" x14ac:dyDescent="0.2">
      <c r="A3" t="s">
        <v>183</v>
      </c>
      <c r="B3">
        <v>2</v>
      </c>
      <c r="C3">
        <v>1</v>
      </c>
      <c r="D3" t="s">
        <v>209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9B902-C9DC-D74D-B993-D5CC0D4185F6}">
  <dimension ref="A1:D1"/>
  <sheetViews>
    <sheetView tabSelected="1" workbookViewId="0">
      <selection activeCell="D10" sqref="D10"/>
    </sheetView>
  </sheetViews>
  <sheetFormatPr baseColWidth="10" defaultRowHeight="15" x14ac:dyDescent="0.2"/>
  <sheetData>
    <row r="1" spans="1:4" x14ac:dyDescent="0.2">
      <c r="A1" t="s">
        <v>174</v>
      </c>
      <c r="B1">
        <v>2</v>
      </c>
      <c r="C1">
        <v>1</v>
      </c>
      <c r="D1" t="s">
        <v>191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B6166"/>
  <sheetViews>
    <sheetView workbookViewId="0"/>
  </sheetViews>
  <sheetFormatPr baseColWidth="10" defaultColWidth="10.83203125" defaultRowHeight="15" customHeight="1" x14ac:dyDescent="0.2"/>
  <cols>
    <col min="1" max="1" width="3" style="661" customWidth="1"/>
    <col min="2" max="2" width="15.83203125" style="661" customWidth="1"/>
    <col min="3" max="3" width="35.83203125" style="661" customWidth="1"/>
    <col min="4" max="4" width="1.33203125" style="661" customWidth="1"/>
    <col min="5" max="5" width="10.83203125" style="661" customWidth="1"/>
    <col min="6" max="6" width="1.33203125" style="661" customWidth="1"/>
    <col min="7" max="10" width="10.83203125" style="661" customWidth="1"/>
    <col min="11" max="11" width="4" style="661" customWidth="1"/>
    <col min="12" max="12" width="19.1640625" style="661" customWidth="1"/>
    <col min="13" max="13" width="10.83203125" style="661" customWidth="1"/>
    <col min="14" max="17" width="15.83203125" style="661" customWidth="1"/>
    <col min="18" max="18" width="22.83203125" style="661" customWidth="1"/>
    <col min="19" max="19" width="10.83203125" style="662" customWidth="1"/>
    <col min="20" max="22" width="10.83203125" style="663" customWidth="1"/>
    <col min="23" max="24" width="10.83203125" style="663" hidden="1" customWidth="1"/>
    <col min="25" max="25" width="10.83203125" style="663" customWidth="1"/>
    <col min="26" max="158" width="10.83203125" style="661" customWidth="1"/>
    <col min="159" max="159" width="10.83203125" style="1" customWidth="1"/>
    <col min="160" max="16384" width="10.83203125" style="1"/>
  </cols>
  <sheetData>
    <row r="1" spans="1:18" s="662" customFormat="1" ht="15" customHeight="1" x14ac:dyDescent="0.2">
      <c r="A1" s="664"/>
      <c r="B1" s="665"/>
      <c r="C1" s="665"/>
      <c r="D1" s="665"/>
      <c r="E1" s="666"/>
      <c r="F1" s="666"/>
      <c r="G1" s="666"/>
      <c r="H1" s="666"/>
      <c r="I1" s="666"/>
      <c r="J1" s="666"/>
      <c r="K1" s="665"/>
      <c r="L1" s="665"/>
      <c r="M1" s="665"/>
      <c r="N1" s="665"/>
      <c r="O1" s="665"/>
      <c r="P1" s="665"/>
      <c r="Q1" s="665"/>
    </row>
    <row r="2" spans="1:18" s="662" customFormat="1" ht="15" customHeight="1" x14ac:dyDescent="0.2">
      <c r="A2" s="378"/>
      <c r="B2" s="667" t="s">
        <v>455</v>
      </c>
      <c r="C2" s="668"/>
      <c r="D2" s="668"/>
      <c r="E2" s="669"/>
      <c r="F2" s="669"/>
      <c r="G2" s="669"/>
      <c r="H2" s="669"/>
      <c r="I2" s="669"/>
      <c r="J2" s="669"/>
      <c r="K2" s="670"/>
      <c r="L2" s="667" t="s">
        <v>456</v>
      </c>
      <c r="M2" s="671"/>
      <c r="N2" s="671"/>
      <c r="O2" s="671"/>
      <c r="P2" s="671"/>
      <c r="Q2" s="671"/>
    </row>
    <row r="3" spans="1:18" s="662" customFormat="1" ht="13.5" customHeight="1" x14ac:dyDescent="0.2">
      <c r="A3" s="672"/>
      <c r="B3" s="839" t="s">
        <v>457</v>
      </c>
      <c r="C3" s="838"/>
      <c r="D3" s="838"/>
      <c r="E3" s="838"/>
      <c r="F3" s="838"/>
      <c r="G3" s="838"/>
      <c r="H3" s="838"/>
      <c r="I3" s="838"/>
      <c r="J3" s="838"/>
      <c r="K3" s="673"/>
      <c r="L3" s="674"/>
      <c r="M3" s="675"/>
      <c r="N3" s="675"/>
      <c r="O3" s="675"/>
      <c r="P3" s="675"/>
      <c r="Q3" s="675"/>
      <c r="R3" s="676"/>
    </row>
    <row r="4" spans="1:18" s="662" customFormat="1" ht="15" customHeight="1" x14ac:dyDescent="0.2">
      <c r="A4" s="672"/>
      <c r="B4" s="838"/>
      <c r="C4" s="838"/>
      <c r="D4" s="838"/>
      <c r="E4" s="838"/>
      <c r="F4" s="838"/>
      <c r="G4" s="838"/>
      <c r="H4" s="838"/>
      <c r="I4" s="838"/>
      <c r="J4" s="838"/>
      <c r="K4" s="673"/>
      <c r="L4" s="677" t="s">
        <v>458</v>
      </c>
      <c r="M4" s="678"/>
      <c r="N4" s="678"/>
      <c r="O4" s="678"/>
      <c r="P4" s="678"/>
      <c r="Q4" s="678"/>
      <c r="R4" s="679"/>
    </row>
    <row r="5" spans="1:18" s="662" customFormat="1" ht="15" customHeight="1" x14ac:dyDescent="0.2">
      <c r="A5" s="672"/>
      <c r="B5" s="838"/>
      <c r="C5" s="838"/>
      <c r="D5" s="838"/>
      <c r="E5" s="838"/>
      <c r="F5" s="838"/>
      <c r="G5" s="838"/>
      <c r="H5" s="838"/>
      <c r="I5" s="838"/>
      <c r="J5" s="838"/>
      <c r="K5" s="673"/>
      <c r="L5" s="677" t="s">
        <v>459</v>
      </c>
      <c r="M5" s="678"/>
      <c r="N5" s="678"/>
      <c r="O5" s="678"/>
      <c r="P5" s="678"/>
      <c r="Q5" s="678"/>
      <c r="R5" s="679"/>
    </row>
    <row r="6" spans="1:18" s="662" customFormat="1" ht="15" customHeight="1" x14ac:dyDescent="0.2">
      <c r="A6" s="672"/>
      <c r="B6" s="838"/>
      <c r="C6" s="838"/>
      <c r="D6" s="838"/>
      <c r="E6" s="838"/>
      <c r="F6" s="838"/>
      <c r="G6" s="838"/>
      <c r="H6" s="838"/>
      <c r="I6" s="838"/>
      <c r="J6" s="838"/>
      <c r="K6" s="673"/>
      <c r="L6" s="677" t="s">
        <v>460</v>
      </c>
      <c r="M6" s="678"/>
      <c r="N6" s="678"/>
      <c r="O6" s="678"/>
      <c r="P6" s="678"/>
      <c r="Q6" s="678"/>
      <c r="R6" s="679"/>
    </row>
    <row r="7" spans="1:18" s="662" customFormat="1" ht="15" customHeight="1" x14ac:dyDescent="0.2">
      <c r="A7" s="672"/>
      <c r="B7" s="838"/>
      <c r="C7" s="838"/>
      <c r="D7" s="838"/>
      <c r="E7" s="838"/>
      <c r="F7" s="838"/>
      <c r="G7" s="838"/>
      <c r="H7" s="838"/>
      <c r="I7" s="838"/>
      <c r="J7" s="838"/>
      <c r="K7" s="673"/>
      <c r="L7" s="680"/>
      <c r="M7" s="681"/>
      <c r="N7" s="681"/>
      <c r="O7" s="681"/>
      <c r="P7" s="681"/>
      <c r="Q7" s="681"/>
      <c r="R7" s="682"/>
    </row>
    <row r="8" spans="1:18" s="662" customFormat="1" ht="15" customHeight="1" x14ac:dyDescent="0.2">
      <c r="A8" s="672"/>
      <c r="B8" s="838"/>
      <c r="C8" s="838"/>
      <c r="D8" s="838"/>
      <c r="E8" s="838"/>
      <c r="F8" s="838"/>
      <c r="G8" s="838"/>
      <c r="H8" s="838"/>
      <c r="I8" s="838"/>
      <c r="J8" s="838"/>
      <c r="K8" s="683"/>
    </row>
    <row r="9" spans="1:18" s="662" customFormat="1" ht="15" customHeight="1" x14ac:dyDescent="0.2">
      <c r="A9" s="672"/>
      <c r="B9" s="838"/>
      <c r="C9" s="838"/>
      <c r="D9" s="838"/>
      <c r="E9" s="838"/>
      <c r="F9" s="838"/>
      <c r="G9" s="838"/>
      <c r="H9" s="838"/>
      <c r="I9" s="838"/>
      <c r="J9" s="838"/>
      <c r="K9" s="683"/>
      <c r="L9" s="667" t="s">
        <v>461</v>
      </c>
    </row>
    <row r="10" spans="1:18" s="662" customFormat="1" ht="15" customHeight="1" x14ac:dyDescent="0.2">
      <c r="A10" s="672"/>
      <c r="B10" s="838"/>
      <c r="C10" s="838"/>
      <c r="D10" s="838"/>
      <c r="E10" s="838"/>
      <c r="F10" s="838"/>
      <c r="G10" s="838"/>
      <c r="H10" s="838"/>
      <c r="I10" s="838"/>
      <c r="J10" s="838"/>
      <c r="K10" s="673"/>
      <c r="L10" s="674"/>
      <c r="M10" s="675"/>
      <c r="N10" s="675"/>
      <c r="O10" s="675"/>
      <c r="P10" s="675"/>
      <c r="Q10" s="675"/>
      <c r="R10" s="676"/>
    </row>
    <row r="11" spans="1:18" s="662" customFormat="1" ht="15" customHeight="1" x14ac:dyDescent="0.2">
      <c r="A11" s="672"/>
      <c r="B11" s="838"/>
      <c r="C11" s="838"/>
      <c r="D11" s="838"/>
      <c r="E11" s="838"/>
      <c r="F11" s="838"/>
      <c r="G11" s="838"/>
      <c r="H11" s="838"/>
      <c r="I11" s="838"/>
      <c r="J11" s="838"/>
      <c r="K11" s="673"/>
      <c r="L11" s="677" t="s">
        <v>462</v>
      </c>
      <c r="M11" s="678"/>
      <c r="N11" s="678"/>
      <c r="O11" s="678"/>
      <c r="P11" s="678"/>
      <c r="Q11" s="678"/>
      <c r="R11" s="679"/>
    </row>
    <row r="12" spans="1:18" s="662" customFormat="1" ht="15" customHeight="1" x14ac:dyDescent="0.2">
      <c r="A12" s="672"/>
      <c r="B12" s="838"/>
      <c r="C12" s="838"/>
      <c r="D12" s="838"/>
      <c r="E12" s="838"/>
      <c r="F12" s="838"/>
      <c r="G12" s="838"/>
      <c r="H12" s="838"/>
      <c r="I12" s="838"/>
      <c r="J12" s="838"/>
      <c r="K12" s="673"/>
      <c r="L12" s="677" t="s">
        <v>463</v>
      </c>
      <c r="M12" s="678"/>
      <c r="N12" s="678"/>
      <c r="O12" s="678"/>
      <c r="P12" s="678"/>
      <c r="Q12" s="678"/>
      <c r="R12" s="679"/>
    </row>
    <row r="13" spans="1:18" s="662" customFormat="1" ht="15" customHeight="1" x14ac:dyDescent="0.2">
      <c r="A13" s="378"/>
      <c r="B13" s="684"/>
      <c r="C13" s="684"/>
      <c r="D13" s="684"/>
      <c r="E13" s="684"/>
      <c r="F13" s="684"/>
      <c r="G13" s="684"/>
      <c r="H13" s="684"/>
      <c r="I13" s="684"/>
      <c r="J13" s="684"/>
      <c r="K13" s="685"/>
      <c r="L13" s="677" t="s">
        <v>464</v>
      </c>
      <c r="M13" s="678"/>
      <c r="N13" s="678"/>
      <c r="O13" s="678"/>
      <c r="P13" s="678"/>
      <c r="Q13" s="678"/>
      <c r="R13" s="679"/>
    </row>
    <row r="14" spans="1:18" s="662" customFormat="1" ht="15" customHeight="1" x14ac:dyDescent="0.2">
      <c r="A14" s="672"/>
      <c r="B14" s="686"/>
      <c r="C14" s="687"/>
      <c r="D14" s="687"/>
      <c r="E14" s="687"/>
      <c r="F14" s="687"/>
      <c r="G14" s="687"/>
      <c r="H14" s="687"/>
      <c r="I14" s="687"/>
      <c r="J14" s="688"/>
      <c r="K14" s="673"/>
      <c r="L14" s="677" t="s">
        <v>465</v>
      </c>
      <c r="M14" s="678"/>
      <c r="N14" s="678"/>
      <c r="O14" s="678"/>
      <c r="P14" s="678"/>
      <c r="Q14" s="678"/>
      <c r="R14" s="679"/>
    </row>
    <row r="15" spans="1:18" s="662" customFormat="1" ht="15" customHeight="1" x14ac:dyDescent="0.2">
      <c r="A15" s="672"/>
      <c r="B15" s="689" t="s">
        <v>466</v>
      </c>
      <c r="C15" s="690" t="s">
        <v>467</v>
      </c>
      <c r="D15" s="678"/>
      <c r="E15" s="690" t="s">
        <v>468</v>
      </c>
      <c r="F15" s="678"/>
      <c r="G15" s="690" t="s">
        <v>469</v>
      </c>
      <c r="H15" s="678"/>
      <c r="I15" s="691"/>
      <c r="J15" s="692"/>
      <c r="K15" s="673"/>
      <c r="L15" s="677" t="s">
        <v>470</v>
      </c>
      <c r="M15" s="678"/>
      <c r="N15" s="678"/>
      <c r="O15" s="678"/>
      <c r="P15" s="678"/>
      <c r="Q15" s="678"/>
      <c r="R15" s="679"/>
    </row>
    <row r="16" spans="1:18" s="662" customFormat="1" ht="15" customHeight="1" x14ac:dyDescent="0.2">
      <c r="A16" s="672"/>
      <c r="B16" s="693" t="s">
        <v>471</v>
      </c>
      <c r="C16" s="694">
        <v>46113</v>
      </c>
      <c r="D16" s="694"/>
      <c r="E16" s="695"/>
      <c r="F16" s="695"/>
      <c r="G16" s="695"/>
      <c r="H16" s="695"/>
      <c r="I16" s="696"/>
      <c r="J16" s="697"/>
      <c r="K16" s="673"/>
      <c r="L16" s="680"/>
      <c r="M16" s="681"/>
      <c r="N16" s="681"/>
      <c r="O16" s="681"/>
      <c r="P16" s="681"/>
      <c r="Q16" s="681"/>
      <c r="R16" s="682"/>
    </row>
    <row r="17" spans="1:25" s="662" customFormat="1" ht="15" customHeight="1" x14ac:dyDescent="0.2">
      <c r="A17" s="672"/>
      <c r="B17" s="698"/>
      <c r="C17" s="699"/>
      <c r="D17" s="699"/>
      <c r="E17" s="699"/>
      <c r="F17" s="699"/>
      <c r="G17" s="699"/>
      <c r="H17" s="699"/>
      <c r="I17" s="699"/>
      <c r="J17" s="700"/>
      <c r="K17" s="683"/>
    </row>
    <row r="18" spans="1:25" s="662" customFormat="1" ht="15" customHeight="1" x14ac:dyDescent="0.2">
      <c r="A18" s="378"/>
      <c r="B18" s="701"/>
      <c r="C18" s="701"/>
      <c r="D18" s="701"/>
      <c r="E18" s="701"/>
      <c r="F18" s="701"/>
      <c r="G18" s="701"/>
      <c r="H18" s="701"/>
      <c r="I18" s="701"/>
      <c r="J18" s="701"/>
      <c r="K18" s="670"/>
      <c r="L18" s="667" t="s">
        <v>472</v>
      </c>
    </row>
    <row r="19" spans="1:25" s="662" customFormat="1" ht="20" customHeight="1" x14ac:dyDescent="0.2">
      <c r="A19" s="672"/>
      <c r="B19" s="702"/>
      <c r="C19" s="703" t="s">
        <v>473</v>
      </c>
      <c r="D19" s="704"/>
      <c r="E19" s="705">
        <v>2</v>
      </c>
      <c r="F19" s="706"/>
      <c r="G19" s="704"/>
      <c r="H19" s="707"/>
      <c r="I19" s="707"/>
      <c r="J19" s="708"/>
      <c r="K19" s="673"/>
      <c r="L19" s="674"/>
      <c r="M19" s="675"/>
      <c r="N19" s="675"/>
      <c r="O19" s="675"/>
      <c r="P19" s="675"/>
      <c r="Q19" s="675"/>
      <c r="R19" s="676"/>
    </row>
    <row r="20" spans="1:25" s="662" customFormat="1" ht="15" customHeight="1" x14ac:dyDescent="0.2">
      <c r="A20" s="672"/>
      <c r="B20" s="709"/>
      <c r="C20" s="710" t="s">
        <v>474</v>
      </c>
      <c r="D20" s="711"/>
      <c r="E20" s="712" t="s">
        <v>2</v>
      </c>
      <c r="F20" s="713"/>
      <c r="G20" s="712" t="s">
        <v>475</v>
      </c>
      <c r="H20" s="714"/>
      <c r="I20" s="714"/>
      <c r="J20" s="697"/>
      <c r="K20" s="673"/>
      <c r="L20" s="677" t="s">
        <v>476</v>
      </c>
      <c r="M20" s="678"/>
      <c r="N20" s="678"/>
      <c r="O20" s="678"/>
      <c r="P20" s="678"/>
      <c r="Q20" s="678"/>
      <c r="R20" s="679"/>
    </row>
    <row r="21" spans="1:25" s="715" customFormat="1" ht="20" customHeight="1" x14ac:dyDescent="0.2">
      <c r="A21" s="672"/>
      <c r="B21" s="716"/>
      <c r="C21" s="717" t="s">
        <v>477</v>
      </c>
      <c r="D21" s="718"/>
      <c r="E21" s="719">
        <v>2</v>
      </c>
      <c r="F21" s="718"/>
      <c r="G21" s="719">
        <v>2</v>
      </c>
      <c r="H21" s="720"/>
      <c r="I21" s="714"/>
      <c r="J21" s="679"/>
      <c r="K21" s="673"/>
      <c r="L21" s="677" t="s">
        <v>478</v>
      </c>
      <c r="M21" s="678"/>
      <c r="N21" s="678"/>
      <c r="O21" s="678"/>
      <c r="P21" s="678"/>
      <c r="Q21" s="678"/>
      <c r="R21" s="679"/>
      <c r="T21" s="658"/>
      <c r="U21" s="658"/>
      <c r="V21" s="658"/>
      <c r="W21" s="658"/>
      <c r="X21" s="658"/>
      <c r="Y21" s="658"/>
    </row>
    <row r="22" spans="1:25" s="715" customFormat="1" ht="8" customHeight="1" x14ac:dyDescent="0.2">
      <c r="A22" s="672"/>
      <c r="B22" s="721"/>
      <c r="C22" s="722"/>
      <c r="D22" s="678"/>
      <c r="E22" s="722"/>
      <c r="F22" s="678"/>
      <c r="G22" s="722"/>
      <c r="H22" s="678"/>
      <c r="I22" s="714"/>
      <c r="J22" s="679"/>
      <c r="K22" s="673"/>
      <c r="L22" s="723"/>
      <c r="M22" s="678"/>
      <c r="N22" s="678"/>
      <c r="O22" s="678"/>
      <c r="P22" s="678"/>
      <c r="Q22" s="678"/>
      <c r="R22" s="679"/>
      <c r="T22" s="658"/>
      <c r="U22" s="658"/>
      <c r="V22" s="658"/>
      <c r="W22" s="658"/>
      <c r="X22" s="658"/>
      <c r="Y22" s="658"/>
    </row>
    <row r="23" spans="1:25" s="715" customFormat="1" ht="20" customHeight="1" x14ac:dyDescent="0.2">
      <c r="A23" s="672"/>
      <c r="B23" s="716"/>
      <c r="C23" s="717" t="s">
        <v>479</v>
      </c>
      <c r="D23" s="718"/>
      <c r="E23" s="724">
        <v>2</v>
      </c>
      <c r="F23" s="718"/>
      <c r="G23" s="724">
        <v>2</v>
      </c>
      <c r="H23" s="720"/>
      <c r="I23" s="678"/>
      <c r="J23" s="679"/>
      <c r="K23" s="673"/>
      <c r="L23" s="680"/>
      <c r="M23" s="681"/>
      <c r="N23" s="681"/>
      <c r="O23" s="681"/>
      <c r="P23" s="681"/>
      <c r="Q23" s="681"/>
      <c r="R23" s="682"/>
      <c r="T23" s="658"/>
      <c r="U23" s="658"/>
      <c r="V23" s="658"/>
      <c r="W23" s="658"/>
      <c r="X23" s="658"/>
      <c r="Y23" s="658"/>
    </row>
    <row r="24" spans="1:25" s="715" customFormat="1" ht="8" customHeight="1" x14ac:dyDescent="0.2">
      <c r="A24" s="672"/>
      <c r="B24" s="721"/>
      <c r="C24" s="722"/>
      <c r="D24" s="678"/>
      <c r="E24" s="722"/>
      <c r="F24" s="678"/>
      <c r="G24" s="722"/>
      <c r="H24" s="678"/>
      <c r="I24" s="678"/>
      <c r="J24" s="679"/>
      <c r="K24" s="683"/>
      <c r="T24" s="658"/>
      <c r="U24" s="658"/>
      <c r="V24" s="658"/>
      <c r="W24" s="658"/>
      <c r="X24" s="658"/>
      <c r="Y24" s="658"/>
    </row>
    <row r="25" spans="1:25" s="715" customFormat="1" ht="20" customHeight="1" x14ac:dyDescent="0.2">
      <c r="A25" s="672"/>
      <c r="B25" s="716"/>
      <c r="C25" s="717" t="s">
        <v>480</v>
      </c>
      <c r="D25" s="718"/>
      <c r="E25" s="724">
        <v>2</v>
      </c>
      <c r="F25" s="718"/>
      <c r="G25" s="725">
        <v>0</v>
      </c>
      <c r="H25" s="720"/>
      <c r="I25" s="678"/>
      <c r="J25" s="679"/>
      <c r="K25" s="683"/>
      <c r="L25" s="726" t="s">
        <v>481</v>
      </c>
      <c r="T25" s="658"/>
      <c r="U25" s="658"/>
      <c r="V25" s="658"/>
      <c r="W25" s="658"/>
      <c r="X25" s="658"/>
      <c r="Y25" s="658"/>
    </row>
    <row r="26" spans="1:25" s="715" customFormat="1" ht="8" customHeight="1" x14ac:dyDescent="0.2">
      <c r="A26" s="672"/>
      <c r="B26" s="721"/>
      <c r="C26" s="722"/>
      <c r="D26" s="678"/>
      <c r="E26" s="722"/>
      <c r="F26" s="678"/>
      <c r="G26" s="722"/>
      <c r="H26" s="678"/>
      <c r="I26" s="678"/>
      <c r="J26" s="679"/>
      <c r="K26" s="683"/>
      <c r="T26" s="658"/>
      <c r="U26" s="658"/>
      <c r="V26" s="658"/>
      <c r="W26" s="658"/>
      <c r="X26" s="658"/>
      <c r="Y26" s="658"/>
    </row>
    <row r="27" spans="1:25" s="715" customFormat="1" ht="20" customHeight="1" x14ac:dyDescent="0.2">
      <c r="A27" s="672"/>
      <c r="B27" s="716"/>
      <c r="C27" s="717" t="s">
        <v>482</v>
      </c>
      <c r="D27" s="718"/>
      <c r="E27" s="724">
        <v>2</v>
      </c>
      <c r="F27" s="718"/>
      <c r="G27" s="725">
        <v>0</v>
      </c>
      <c r="H27" s="720"/>
      <c r="I27" s="678"/>
      <c r="J27" s="679"/>
      <c r="K27" s="673"/>
      <c r="L27" s="727" t="s">
        <v>483</v>
      </c>
      <c r="M27" s="675"/>
      <c r="N27" s="675"/>
      <c r="O27" s="675"/>
      <c r="P27" s="675"/>
      <c r="Q27" s="675"/>
      <c r="R27" s="676"/>
      <c r="T27" s="658"/>
      <c r="U27" s="658"/>
      <c r="V27" s="658"/>
      <c r="W27" s="658"/>
      <c r="X27" s="658"/>
      <c r="Y27" s="658"/>
    </row>
    <row r="28" spans="1:25" s="715" customFormat="1" ht="8" customHeight="1" x14ac:dyDescent="0.2">
      <c r="A28" s="672"/>
      <c r="B28" s="721"/>
      <c r="C28" s="722"/>
      <c r="D28" s="678"/>
      <c r="E28" s="722"/>
      <c r="F28" s="678"/>
      <c r="G28" s="722"/>
      <c r="H28" s="678"/>
      <c r="I28" s="678"/>
      <c r="J28" s="679"/>
      <c r="K28" s="673"/>
      <c r="L28" s="728"/>
      <c r="M28" s="729"/>
      <c r="N28" s="729"/>
      <c r="O28" s="729"/>
      <c r="P28" s="729"/>
      <c r="Q28" s="729"/>
      <c r="R28" s="729"/>
      <c r="T28" s="658"/>
      <c r="U28" s="658"/>
      <c r="V28" s="658"/>
      <c r="W28" s="658"/>
      <c r="X28" s="658"/>
      <c r="Y28" s="658"/>
    </row>
    <row r="29" spans="1:25" s="715" customFormat="1" ht="20" customHeight="1" x14ac:dyDescent="0.2">
      <c r="A29" s="672"/>
      <c r="B29" s="716"/>
      <c r="C29" s="717" t="s">
        <v>484</v>
      </c>
      <c r="D29" s="718"/>
      <c r="E29" s="725">
        <v>0</v>
      </c>
      <c r="F29" s="718"/>
      <c r="G29" s="724">
        <v>2</v>
      </c>
      <c r="H29" s="720"/>
      <c r="I29" s="678"/>
      <c r="J29" s="679"/>
      <c r="K29" s="683"/>
      <c r="T29" s="658"/>
      <c r="U29" s="658"/>
      <c r="V29" s="658"/>
      <c r="W29" s="658"/>
      <c r="X29" s="658"/>
      <c r="Y29" s="658"/>
    </row>
    <row r="30" spans="1:25" s="715" customFormat="1" ht="8" customHeight="1" x14ac:dyDescent="0.2">
      <c r="A30" s="672"/>
      <c r="B30" s="721"/>
      <c r="C30" s="722"/>
      <c r="D30" s="678"/>
      <c r="E30" s="722"/>
      <c r="F30" s="678"/>
      <c r="G30" s="722"/>
      <c r="H30" s="678"/>
      <c r="I30" s="678"/>
      <c r="J30" s="679"/>
      <c r="K30" s="683"/>
      <c r="T30" s="658"/>
      <c r="U30" s="658"/>
      <c r="V30" s="658"/>
      <c r="W30" s="658"/>
      <c r="X30" s="658"/>
      <c r="Y30" s="658"/>
    </row>
    <row r="31" spans="1:25" s="715" customFormat="1" ht="20" customHeight="1" x14ac:dyDescent="0.2">
      <c r="A31" s="672"/>
      <c r="B31" s="716"/>
      <c r="C31" s="717" t="s">
        <v>485</v>
      </c>
      <c r="D31" s="718"/>
      <c r="E31" s="724">
        <v>2</v>
      </c>
      <c r="F31" s="718"/>
      <c r="G31" s="725">
        <v>0</v>
      </c>
      <c r="H31" s="720"/>
      <c r="I31" s="678"/>
      <c r="J31" s="679"/>
      <c r="K31" s="683"/>
      <c r="T31" s="658"/>
      <c r="U31" s="658"/>
      <c r="V31" s="658"/>
      <c r="W31" s="658"/>
      <c r="X31" s="658"/>
      <c r="Y31" s="658"/>
    </row>
    <row r="32" spans="1:25" s="662" customFormat="1" ht="15" customHeight="1" x14ac:dyDescent="0.2">
      <c r="A32" s="672"/>
      <c r="B32" s="698"/>
      <c r="C32" s="730"/>
      <c r="D32" s="699"/>
      <c r="E32" s="730"/>
      <c r="F32" s="699"/>
      <c r="G32" s="730"/>
      <c r="H32" s="699"/>
      <c r="I32" s="699"/>
      <c r="J32" s="700"/>
      <c r="K32" s="683"/>
      <c r="L32" s="731"/>
      <c r="M32" s="731"/>
      <c r="N32" s="731"/>
      <c r="O32" s="731"/>
      <c r="P32" s="731"/>
      <c r="Q32" s="731"/>
      <c r="R32" s="731"/>
    </row>
    <row r="33" spans="1:17" s="662" customFormat="1" ht="16" customHeight="1" x14ac:dyDescent="0.2">
      <c r="A33" s="378"/>
      <c r="K33" s="670"/>
    </row>
    <row r="34" spans="1:17" s="662" customFormat="1" ht="28" customHeight="1" x14ac:dyDescent="0.2">
      <c r="A34" s="732"/>
      <c r="B34" s="837" t="s">
        <v>11</v>
      </c>
      <c r="C34" s="838"/>
      <c r="D34" s="838"/>
      <c r="E34" s="838"/>
      <c r="F34" s="838"/>
      <c r="G34" s="838"/>
      <c r="H34" s="838"/>
      <c r="I34" s="838"/>
      <c r="J34" s="838"/>
      <c r="K34" s="733"/>
      <c r="L34" s="33" t="s">
        <v>12</v>
      </c>
    </row>
    <row r="35" spans="1:17" s="662" customFormat="1" ht="15" customHeight="1" x14ac:dyDescent="0.2">
      <c r="A35" s="378"/>
      <c r="C35" s="734"/>
      <c r="D35" s="734"/>
      <c r="E35" s="734"/>
      <c r="F35" s="734"/>
      <c r="G35" s="734"/>
      <c r="H35" s="734"/>
      <c r="I35" s="734"/>
      <c r="J35" s="734"/>
      <c r="K35" s="670"/>
      <c r="L35" s="734"/>
      <c r="M35" s="670"/>
      <c r="N35" s="670"/>
      <c r="O35" s="670"/>
      <c r="P35" s="670"/>
      <c r="Q35" s="670"/>
    </row>
    <row r="36" spans="1:17" s="662" customFormat="1" ht="28" customHeight="1" x14ac:dyDescent="0.2">
      <c r="A36" s="378"/>
      <c r="D36" s="670"/>
      <c r="E36" s="670"/>
      <c r="F36" s="670"/>
      <c r="G36" s="670"/>
      <c r="H36" s="670"/>
      <c r="I36" s="670"/>
      <c r="J36" s="670"/>
      <c r="K36" s="670"/>
      <c r="L36" s="670"/>
      <c r="M36" s="670"/>
      <c r="N36" s="670"/>
      <c r="O36" s="670"/>
      <c r="P36" s="670"/>
      <c r="Q36" s="670"/>
    </row>
    <row r="37" spans="1:17" s="662" customFormat="1" ht="15" customHeight="1" x14ac:dyDescent="0.2">
      <c r="A37" s="378"/>
      <c r="K37" s="670"/>
      <c r="L37" s="670"/>
      <c r="M37" s="670"/>
      <c r="N37" s="670"/>
      <c r="O37" s="670"/>
      <c r="P37" s="670"/>
      <c r="Q37" s="670"/>
    </row>
    <row r="38" spans="1:17" s="662" customFormat="1" ht="34" customHeight="1" x14ac:dyDescent="0.2">
      <c r="A38" s="378"/>
      <c r="B38" s="670"/>
      <c r="D38" s="670"/>
      <c r="E38" s="670"/>
      <c r="F38" s="670"/>
      <c r="G38" s="670"/>
      <c r="H38" s="670"/>
      <c r="I38" s="670"/>
      <c r="J38" s="670"/>
      <c r="K38" s="670"/>
      <c r="M38" s="670"/>
      <c r="N38" s="670"/>
      <c r="O38" s="670"/>
      <c r="P38" s="670"/>
      <c r="Q38" s="670"/>
    </row>
    <row r="39" spans="1:17" s="662" customFormat="1" ht="15" customHeight="1" x14ac:dyDescent="0.2">
      <c r="A39" s="378"/>
      <c r="B39" s="670"/>
      <c r="C39" s="670"/>
      <c r="D39" s="670"/>
      <c r="E39" s="670"/>
      <c r="F39" s="670"/>
      <c r="G39" s="670"/>
      <c r="H39" s="670"/>
      <c r="I39" s="670"/>
      <c r="J39" s="670"/>
      <c r="K39" s="670"/>
      <c r="L39" s="670"/>
      <c r="M39" s="670"/>
      <c r="N39" s="670"/>
      <c r="O39" s="670"/>
      <c r="P39" s="670"/>
      <c r="Q39" s="670"/>
    </row>
    <row r="40" spans="1:17" s="662" customFormat="1" ht="15" customHeight="1" x14ac:dyDescent="0.2">
      <c r="A40" s="378"/>
      <c r="B40" s="670"/>
      <c r="C40" s="670"/>
      <c r="D40" s="670"/>
      <c r="E40" s="670"/>
      <c r="F40" s="670"/>
      <c r="G40" s="670"/>
      <c r="H40" s="670"/>
      <c r="I40" s="670"/>
      <c r="J40" s="670"/>
      <c r="K40" s="670"/>
      <c r="L40" s="670"/>
      <c r="M40" s="670"/>
      <c r="N40" s="670"/>
      <c r="O40" s="670"/>
      <c r="P40" s="670"/>
      <c r="Q40" s="670"/>
    </row>
    <row r="41" spans="1:17" s="662" customFormat="1" ht="15" customHeight="1" x14ac:dyDescent="0.2">
      <c r="A41" s="378"/>
      <c r="B41" s="670"/>
      <c r="C41" s="670"/>
      <c r="D41" s="670"/>
      <c r="E41" s="670"/>
      <c r="F41" s="670"/>
      <c r="G41" s="670"/>
      <c r="H41" s="670"/>
      <c r="I41" s="670"/>
      <c r="J41" s="670"/>
      <c r="K41" s="670"/>
      <c r="L41" s="670"/>
      <c r="M41" s="670"/>
      <c r="N41" s="670"/>
      <c r="O41" s="670"/>
      <c r="P41" s="670"/>
      <c r="Q41" s="670"/>
    </row>
    <row r="45" spans="1:17" s="662" customFormat="1" ht="15" customHeight="1" x14ac:dyDescent="0.2">
      <c r="B45" s="670"/>
    </row>
    <row r="83" spans="13:25" s="662" customFormat="1" ht="15" customHeight="1" x14ac:dyDescent="0.2">
      <c r="O83" s="735"/>
    </row>
    <row r="84" spans="13:25" s="662" customFormat="1" ht="60" customHeight="1" x14ac:dyDescent="0.2">
      <c r="M84" s="836" t="s">
        <v>486</v>
      </c>
      <c r="N84" s="754"/>
      <c r="O84" s="754"/>
      <c r="P84" s="754"/>
      <c r="Q84" s="754"/>
      <c r="R84" s="754"/>
    </row>
    <row r="86" spans="13:25" s="662" customFormat="1" ht="15" customHeight="1" x14ac:dyDescent="0.2">
      <c r="M86" s="736" t="s">
        <v>487</v>
      </c>
      <c r="T86" s="737" t="s">
        <v>488</v>
      </c>
      <c r="U86" s="736" t="s">
        <v>489</v>
      </c>
      <c r="V86" s="736" t="s">
        <v>490</v>
      </c>
      <c r="W86" s="736" t="s">
        <v>491</v>
      </c>
      <c r="X86" s="736" t="s">
        <v>492</v>
      </c>
      <c r="Y86" s="736" t="s">
        <v>493</v>
      </c>
    </row>
    <row r="87" spans="13:25" s="662" customFormat="1" ht="15" customHeight="1" x14ac:dyDescent="0.2">
      <c r="M87" s="738" t="s">
        <v>494</v>
      </c>
      <c r="N87" s="658" t="str" cm="1">
        <f t="array" ref="N87">IFERROR(IF($J$18="",$U$87,INDEX($U$87:$U$91,MATCH(M87,$T$87:$T$91,0))),"")</f>
        <v>Irán</v>
      </c>
      <c r="O87" s="658" t="str" cm="1">
        <f t="array" ref="O87">IFERROR(IF($J$18="",$V$87,INDEX($V$87:$V$91,MATCH(M87,$T$87:$T$91,0))),"")</f>
        <v>Iran</v>
      </c>
      <c r="T87" s="737" t="s">
        <v>494</v>
      </c>
      <c r="U87" s="737" t="s">
        <v>169</v>
      </c>
      <c r="V87" s="737" t="s">
        <v>495</v>
      </c>
      <c r="W87" s="737" t="s">
        <v>496</v>
      </c>
      <c r="X87" s="739"/>
      <c r="Y87" s="740">
        <v>3.5</v>
      </c>
    </row>
    <row r="88" spans="13:25" s="662" customFormat="1" ht="15" customHeight="1" x14ac:dyDescent="0.2">
      <c r="T88" s="737" t="s">
        <v>497</v>
      </c>
      <c r="U88" s="737" t="s">
        <v>498</v>
      </c>
      <c r="V88" s="737" t="s">
        <v>499</v>
      </c>
      <c r="W88" s="737" t="s">
        <v>500</v>
      </c>
      <c r="X88" s="741"/>
      <c r="Y88" s="740">
        <v>4</v>
      </c>
    </row>
    <row r="89" spans="13:25" s="662" customFormat="1" ht="16" customHeight="1" x14ac:dyDescent="0.2">
      <c r="T89" s="737" t="s">
        <v>501</v>
      </c>
      <c r="U89" s="737" t="s">
        <v>502</v>
      </c>
      <c r="V89" s="737" t="s">
        <v>502</v>
      </c>
      <c r="W89" s="742" t="s">
        <v>503</v>
      </c>
      <c r="X89" s="741"/>
      <c r="Y89" s="740">
        <v>-4</v>
      </c>
    </row>
    <row r="90" spans="13:25" s="662" customFormat="1" ht="16" customHeight="1" x14ac:dyDescent="0.2">
      <c r="T90" s="737" t="s">
        <v>504</v>
      </c>
      <c r="U90" s="737" t="s">
        <v>505</v>
      </c>
      <c r="V90" s="737" t="s">
        <v>506</v>
      </c>
      <c r="W90" s="742" t="s">
        <v>507</v>
      </c>
      <c r="X90" s="741"/>
      <c r="Y90" s="740">
        <v>-3</v>
      </c>
    </row>
    <row r="91" spans="13:25" s="662" customFormat="1" ht="15" customHeight="1" x14ac:dyDescent="0.2">
      <c r="T91" s="737" t="s">
        <v>508</v>
      </c>
      <c r="U91" s="13" t="str" cm="1">
        <f t="array" ref="U91">N93</f>
        <v>Escribe el país</v>
      </c>
      <c r="V91" s="13" t="str" cm="1">
        <f t="array" ref="V91">O93</f>
        <v>Write the nation</v>
      </c>
      <c r="W91" s="13" t="str" cm="1">
        <f t="array" ref="W91">IF(Q93="","",Q93)</f>
        <v/>
      </c>
      <c r="X91" s="13" t="str" cm="1">
        <f t="array" ref="X91">IF(R93="","",R93)</f>
        <v/>
      </c>
      <c r="Y91" s="740" cm="1">
        <f t="array" ref="Y91">IF(P93="",-4,P93)</f>
        <v>-4</v>
      </c>
    </row>
    <row r="92" spans="13:25" s="662" customFormat="1" ht="19" customHeight="1" x14ac:dyDescent="0.2">
      <c r="N92" s="736" t="s">
        <v>489</v>
      </c>
      <c r="O92" s="736" t="s">
        <v>490</v>
      </c>
      <c r="P92" s="736" t="s">
        <v>509</v>
      </c>
      <c r="Q92" s="736" t="s">
        <v>510</v>
      </c>
      <c r="R92" s="736" t="s">
        <v>492</v>
      </c>
    </row>
    <row r="93" spans="13:25" s="662" customFormat="1" ht="25" customHeight="1" x14ac:dyDescent="0.2">
      <c r="M93" s="738" t="s">
        <v>508</v>
      </c>
      <c r="N93" s="743" t="s">
        <v>511</v>
      </c>
      <c r="O93" s="743" t="s">
        <v>512</v>
      </c>
      <c r="P93" s="744"/>
      <c r="Q93" s="744"/>
      <c r="R93" s="744"/>
    </row>
    <row r="6118" spans="151:157" s="662" customFormat="1" ht="15" customHeight="1" x14ac:dyDescent="0.2">
      <c r="EU6118" s="658"/>
      <c r="EV6118" s="658"/>
      <c r="EW6118" s="658"/>
      <c r="EX6118" s="658"/>
      <c r="EY6118" s="658"/>
      <c r="EZ6118" s="738" t="s">
        <v>513</v>
      </c>
      <c r="FA6118" s="658"/>
    </row>
    <row r="6119" spans="151:157" s="662" customFormat="1" ht="15" customHeight="1" x14ac:dyDescent="0.2">
      <c r="EU6119" s="738" t="s">
        <v>148</v>
      </c>
      <c r="EV6119" s="738" t="s">
        <v>514</v>
      </c>
      <c r="EW6119" s="658"/>
      <c r="EX6119" s="658"/>
      <c r="EY6119" s="745"/>
      <c r="EZ6119" s="746" t="s">
        <v>148</v>
      </c>
      <c r="FA6119" s="746" t="s">
        <v>514</v>
      </c>
    </row>
    <row r="6120" spans="151:157" s="662" customFormat="1" ht="15" customHeight="1" x14ac:dyDescent="0.2">
      <c r="EU6120" s="738" t="s">
        <v>178</v>
      </c>
      <c r="EV6120" s="738" t="s">
        <v>515</v>
      </c>
      <c r="EW6120" s="658"/>
      <c r="EX6120" s="658"/>
      <c r="EY6120" s="745"/>
      <c r="EZ6120" s="746" t="s">
        <v>178</v>
      </c>
      <c r="FA6120" s="746" t="s">
        <v>515</v>
      </c>
    </row>
    <row r="6121" spans="151:157" s="662" customFormat="1" ht="15" customHeight="1" x14ac:dyDescent="0.2">
      <c r="EU6121" s="738" t="s">
        <v>193</v>
      </c>
      <c r="EV6121" s="738" t="s">
        <v>516</v>
      </c>
      <c r="EW6121" s="658"/>
      <c r="EX6121" s="658"/>
      <c r="EY6121" s="745"/>
      <c r="EZ6121" s="746" t="s">
        <v>193</v>
      </c>
      <c r="FA6121" s="746" t="s">
        <v>516</v>
      </c>
    </row>
    <row r="6122" spans="151:157" s="662" customFormat="1" ht="15" customHeight="1" x14ac:dyDescent="0.2">
      <c r="EU6122" s="738" t="s">
        <v>191</v>
      </c>
      <c r="EV6122" s="738" t="s">
        <v>191</v>
      </c>
      <c r="EW6122" s="658"/>
      <c r="EX6122" s="658"/>
      <c r="EY6122" s="745"/>
      <c r="EZ6122" s="746" t="s">
        <v>191</v>
      </c>
      <c r="FA6122" s="746" t="s">
        <v>191</v>
      </c>
    </row>
    <row r="6123" spans="151:157" s="662" customFormat="1" ht="15" customHeight="1" x14ac:dyDescent="0.2">
      <c r="EU6123" s="738" t="s">
        <v>144</v>
      </c>
      <c r="EV6123" s="738" t="s">
        <v>144</v>
      </c>
      <c r="EW6123" s="658"/>
      <c r="EX6123" s="658"/>
      <c r="EY6123" s="745"/>
      <c r="EZ6123" s="746" t="s">
        <v>144</v>
      </c>
      <c r="FA6123" s="746" t="s">
        <v>144</v>
      </c>
    </row>
    <row r="6124" spans="151:157" s="662" customFormat="1" ht="15" customHeight="1" x14ac:dyDescent="0.2">
      <c r="EU6124" s="738" t="s">
        <v>195</v>
      </c>
      <c r="EV6124" s="738" t="s">
        <v>195</v>
      </c>
      <c r="EW6124" s="658"/>
      <c r="EX6124" s="658"/>
      <c r="EY6124" s="745"/>
      <c r="EZ6124" s="746" t="s">
        <v>195</v>
      </c>
      <c r="FA6124" s="746" t="s">
        <v>195</v>
      </c>
    </row>
    <row r="6125" spans="151:157" s="662" customFormat="1" ht="15" customHeight="1" x14ac:dyDescent="0.2">
      <c r="EU6125" s="738" t="s">
        <v>165</v>
      </c>
      <c r="EV6125" s="738" t="s">
        <v>517</v>
      </c>
      <c r="EW6125" s="658"/>
      <c r="EX6125" s="658"/>
      <c r="EY6125" s="745"/>
      <c r="EZ6125" s="746" t="s">
        <v>165</v>
      </c>
      <c r="FA6125" s="746" t="s">
        <v>517</v>
      </c>
    </row>
    <row r="6126" spans="151:157" s="662" customFormat="1" ht="15" customHeight="1" x14ac:dyDescent="0.2">
      <c r="EU6126" s="738" t="s">
        <v>131</v>
      </c>
      <c r="EV6126" s="738" t="s">
        <v>518</v>
      </c>
      <c r="EW6126" s="658"/>
      <c r="EX6126" s="658"/>
      <c r="EY6126" s="745"/>
      <c r="EZ6126" s="746" t="s">
        <v>131</v>
      </c>
      <c r="FA6126" s="746" t="s">
        <v>518</v>
      </c>
    </row>
    <row r="6127" spans="151:157" s="662" customFormat="1" ht="15" customHeight="1" x14ac:dyDescent="0.2">
      <c r="EU6127" s="738" t="s">
        <v>176</v>
      </c>
      <c r="EV6127" s="738" t="s">
        <v>519</v>
      </c>
      <c r="EW6127" s="658"/>
      <c r="EX6127" s="658"/>
      <c r="EY6127" s="745"/>
      <c r="EZ6127" s="746" t="s">
        <v>176</v>
      </c>
      <c r="FA6127" s="746" t="s">
        <v>519</v>
      </c>
    </row>
    <row r="6128" spans="151:157" s="662" customFormat="1" ht="15" customHeight="1" x14ac:dyDescent="0.2">
      <c r="EU6128" s="738" t="s">
        <v>122</v>
      </c>
      <c r="EV6128" s="738" t="s">
        <v>520</v>
      </c>
      <c r="EW6128" s="658"/>
      <c r="EX6128" s="658"/>
      <c r="EY6128" s="745"/>
      <c r="EZ6128" s="746" t="s">
        <v>122</v>
      </c>
      <c r="FA6128" s="746" t="s">
        <v>520</v>
      </c>
    </row>
    <row r="6129" spans="151:157" s="662" customFormat="1" ht="15" customHeight="1" x14ac:dyDescent="0.2">
      <c r="EU6129" s="738" t="s">
        <v>126</v>
      </c>
      <c r="EV6129" s="738" t="s">
        <v>521</v>
      </c>
      <c r="EW6129" s="658"/>
      <c r="EX6129" s="658"/>
      <c r="EY6129" s="745"/>
      <c r="EZ6129" s="746" t="s">
        <v>126</v>
      </c>
      <c r="FA6129" s="746" t="s">
        <v>521</v>
      </c>
    </row>
    <row r="6130" spans="151:157" s="662" customFormat="1" ht="15" customHeight="1" x14ac:dyDescent="0.2">
      <c r="EU6130" s="738" t="s">
        <v>206</v>
      </c>
      <c r="EV6130" s="738" t="s">
        <v>206</v>
      </c>
      <c r="EW6130" s="658"/>
      <c r="EX6130" s="658"/>
      <c r="EY6130" s="745"/>
      <c r="EZ6130" s="746" t="s">
        <v>206</v>
      </c>
      <c r="FA6130" s="746" t="s">
        <v>206</v>
      </c>
    </row>
    <row r="6131" spans="151:157" s="662" customFormat="1" ht="15" customHeight="1" x14ac:dyDescent="0.2">
      <c r="EU6131" s="738" t="s">
        <v>115</v>
      </c>
      <c r="EV6131" s="738" t="s">
        <v>522</v>
      </c>
      <c r="EW6131" s="658"/>
      <c r="EX6131" s="658"/>
      <c r="EY6131" s="745"/>
      <c r="EZ6131" s="746" t="s">
        <v>115</v>
      </c>
      <c r="FA6131" s="746" t="s">
        <v>522</v>
      </c>
    </row>
    <row r="6132" spans="151:157" s="662" customFormat="1" ht="15" customHeight="1" x14ac:dyDescent="0.2">
      <c r="EU6132" s="738" t="s">
        <v>152</v>
      </c>
      <c r="EV6132" s="738" t="s">
        <v>523</v>
      </c>
      <c r="EW6132" s="658"/>
      <c r="EX6132" s="658"/>
      <c r="EY6132" s="658"/>
      <c r="EZ6132" s="738" t="s">
        <v>152</v>
      </c>
      <c r="FA6132" s="746" t="s">
        <v>523</v>
      </c>
    </row>
    <row r="6133" spans="151:157" s="662" customFormat="1" ht="15" customHeight="1" x14ac:dyDescent="0.2">
      <c r="EU6133" s="738" t="s">
        <v>211</v>
      </c>
      <c r="EV6133" s="738" t="s">
        <v>524</v>
      </c>
      <c r="EW6133" s="658"/>
      <c r="EX6133" s="658"/>
      <c r="EY6133" s="745"/>
      <c r="EZ6133" s="746" t="s">
        <v>211</v>
      </c>
      <c r="FA6133" s="746" t="s">
        <v>524</v>
      </c>
    </row>
    <row r="6134" spans="151:157" s="662" customFormat="1" ht="15" customHeight="1" x14ac:dyDescent="0.2">
      <c r="EU6134" s="738" t="s">
        <v>150</v>
      </c>
      <c r="EV6134" s="738" t="s">
        <v>525</v>
      </c>
      <c r="EW6134" s="658"/>
      <c r="EX6134" s="658"/>
      <c r="EY6134" s="745"/>
      <c r="EZ6134" s="746" t="s">
        <v>150</v>
      </c>
      <c r="FA6134" s="746" t="s">
        <v>525</v>
      </c>
    </row>
    <row r="6135" spans="151:157" s="662" customFormat="1" ht="15" customHeight="1" x14ac:dyDescent="0.2">
      <c r="EU6135" s="738" t="s">
        <v>154</v>
      </c>
      <c r="EV6135" s="738" t="s">
        <v>154</v>
      </c>
      <c r="EW6135" s="658"/>
      <c r="EX6135" s="658"/>
      <c r="EY6135" s="745"/>
      <c r="EZ6135" s="746" t="s">
        <v>154</v>
      </c>
      <c r="FA6135" s="746" t="s">
        <v>154</v>
      </c>
    </row>
    <row r="6136" spans="151:157" s="662" customFormat="1" ht="15" customHeight="1" x14ac:dyDescent="0.2">
      <c r="EU6136" s="738" t="s">
        <v>167</v>
      </c>
      <c r="EV6136" s="738" t="s">
        <v>526</v>
      </c>
      <c r="EW6136" s="658"/>
      <c r="EX6136" s="658"/>
      <c r="EY6136" s="745"/>
      <c r="EZ6136" s="746" t="s">
        <v>167</v>
      </c>
      <c r="FA6136" s="746" t="s">
        <v>526</v>
      </c>
    </row>
    <row r="6137" spans="151:157" s="662" customFormat="1" ht="15" customHeight="1" x14ac:dyDescent="0.2">
      <c r="EU6137" s="738" t="s">
        <v>137</v>
      </c>
      <c r="EV6137" s="738" t="s">
        <v>527</v>
      </c>
      <c r="EW6137" s="658"/>
      <c r="EX6137" s="658"/>
      <c r="EY6137" s="745"/>
      <c r="EZ6137" s="746" t="s">
        <v>137</v>
      </c>
      <c r="FA6137" s="746" t="s">
        <v>527</v>
      </c>
    </row>
    <row r="6138" spans="151:157" s="662" customFormat="1" ht="15" customHeight="1" x14ac:dyDescent="0.2">
      <c r="EU6138" s="738" t="s">
        <v>174</v>
      </c>
      <c r="EV6138" s="738" t="s">
        <v>528</v>
      </c>
      <c r="EW6138" s="658"/>
      <c r="EX6138" s="658"/>
      <c r="EY6138" s="745"/>
      <c r="EZ6138" s="746" t="s">
        <v>174</v>
      </c>
      <c r="FA6138" s="746" t="s">
        <v>528</v>
      </c>
    </row>
    <row r="6139" spans="151:157" s="662" customFormat="1" ht="15" customHeight="1" x14ac:dyDescent="0.2">
      <c r="EU6139" s="738" t="s">
        <v>140</v>
      </c>
      <c r="EV6139" s="738" t="s">
        <v>529</v>
      </c>
      <c r="EW6139" s="658"/>
      <c r="EX6139" s="658"/>
      <c r="EY6139" s="745"/>
      <c r="EZ6139" s="746" t="s">
        <v>140</v>
      </c>
      <c r="FA6139" s="746" t="s">
        <v>529</v>
      </c>
    </row>
    <row r="6140" spans="151:157" s="662" customFormat="1" ht="15" customHeight="1" x14ac:dyDescent="0.2">
      <c r="EU6140" s="738" t="s">
        <v>183</v>
      </c>
      <c r="EV6140" s="738" t="s">
        <v>530</v>
      </c>
      <c r="EW6140" s="658"/>
      <c r="EX6140" s="658"/>
      <c r="EY6140" s="745"/>
      <c r="EZ6140" s="746" t="s">
        <v>183</v>
      </c>
      <c r="FA6140" s="746" t="s">
        <v>530</v>
      </c>
    </row>
    <row r="6141" spans="151:157" s="662" customFormat="1" ht="15" customHeight="1" x14ac:dyDescent="0.2">
      <c r="EU6141" s="738" t="s">
        <v>213</v>
      </c>
      <c r="EV6141" s="738" t="s">
        <v>213</v>
      </c>
      <c r="EW6141" s="658"/>
      <c r="EX6141" s="658"/>
      <c r="EY6141" s="745"/>
      <c r="EZ6141" s="746" t="s">
        <v>213</v>
      </c>
      <c r="FA6141" s="746" t="s">
        <v>213</v>
      </c>
    </row>
    <row r="6142" spans="151:157" s="662" customFormat="1" ht="15" customHeight="1" x14ac:dyDescent="0.2">
      <c r="EU6142" s="738" t="s">
        <v>135</v>
      </c>
      <c r="EV6142" s="738" t="s">
        <v>531</v>
      </c>
      <c r="EW6142" s="658"/>
      <c r="EX6142" s="658"/>
      <c r="EY6142" s="745"/>
      <c r="EZ6142" s="746" t="s">
        <v>135</v>
      </c>
      <c r="FA6142" s="746" t="s">
        <v>531</v>
      </c>
    </row>
    <row r="6143" spans="151:157" s="662" customFormat="1" ht="15" customHeight="1" x14ac:dyDescent="0.2">
      <c r="EU6143" s="738" t="s">
        <v>209</v>
      </c>
      <c r="EV6143" s="738" t="s">
        <v>532</v>
      </c>
      <c r="EW6143" s="658"/>
      <c r="EX6143" s="658"/>
      <c r="EY6143" s="745"/>
      <c r="EZ6143" s="746" t="s">
        <v>209</v>
      </c>
      <c r="FA6143" s="746" t="s">
        <v>532</v>
      </c>
    </row>
    <row r="6144" spans="151:157" s="662" customFormat="1" ht="15" customHeight="1" x14ac:dyDescent="0.2">
      <c r="EU6144" s="738" t="s">
        <v>169</v>
      </c>
      <c r="EV6144" s="738" t="s">
        <v>495</v>
      </c>
      <c r="EW6144" s="658"/>
      <c r="EX6144" s="658"/>
      <c r="EY6144" s="745"/>
      <c r="EZ6144" s="745" t="str" cm="1">
        <f t="array" ref="EZ6144">N87</f>
        <v>Irán</v>
      </c>
      <c r="FA6144" s="745" t="str" cm="1">
        <f t="array" ref="FA6144">O87</f>
        <v>Iran</v>
      </c>
    </row>
    <row r="6145" spans="151:157" s="662" customFormat="1" ht="15" customHeight="1" x14ac:dyDescent="0.2">
      <c r="EU6145" s="738" t="s">
        <v>159</v>
      </c>
      <c r="EV6145" s="738" t="s">
        <v>533</v>
      </c>
      <c r="EW6145" s="658"/>
      <c r="EX6145" s="658"/>
      <c r="EY6145" s="745"/>
      <c r="EZ6145" s="746" t="s">
        <v>159</v>
      </c>
      <c r="FA6145" s="746" t="s">
        <v>533</v>
      </c>
    </row>
    <row r="6146" spans="151:157" s="662" customFormat="1" ht="15" customHeight="1" x14ac:dyDescent="0.2">
      <c r="EU6146" s="738" t="s">
        <v>197</v>
      </c>
      <c r="EV6146" s="738" t="s">
        <v>534</v>
      </c>
      <c r="EW6146" s="658"/>
      <c r="EX6146" s="658"/>
      <c r="EY6146" s="745"/>
      <c r="EZ6146" s="746" t="s">
        <v>197</v>
      </c>
      <c r="FA6146" s="746" t="s">
        <v>534</v>
      </c>
    </row>
    <row r="6147" spans="151:157" s="662" customFormat="1" ht="15" customHeight="1" x14ac:dyDescent="0.2">
      <c r="EU6147" s="738" t="s">
        <v>133</v>
      </c>
      <c r="EV6147" s="738" t="s">
        <v>535</v>
      </c>
      <c r="EW6147" s="658"/>
      <c r="EX6147" s="658"/>
      <c r="EY6147" s="745"/>
      <c r="EZ6147" s="746" t="s">
        <v>133</v>
      </c>
      <c r="FA6147" s="746" t="s">
        <v>535</v>
      </c>
    </row>
    <row r="6148" spans="151:157" s="662" customFormat="1" ht="15" customHeight="1" x14ac:dyDescent="0.2">
      <c r="EU6148" s="738" t="s">
        <v>49</v>
      </c>
      <c r="EV6148" s="738" t="s">
        <v>536</v>
      </c>
      <c r="EW6148" s="658"/>
      <c r="EX6148" s="658"/>
      <c r="EY6148" s="745"/>
      <c r="EZ6148" s="746" t="s">
        <v>49</v>
      </c>
      <c r="FA6148" s="746" t="s">
        <v>536</v>
      </c>
    </row>
    <row r="6149" spans="151:157" s="662" customFormat="1" ht="15" customHeight="1" x14ac:dyDescent="0.2">
      <c r="EU6149" s="738" t="s">
        <v>189</v>
      </c>
      <c r="EV6149" s="738" t="s">
        <v>537</v>
      </c>
      <c r="EW6149" s="658"/>
      <c r="EX6149" s="658"/>
      <c r="EY6149" s="745"/>
      <c r="EZ6149" s="746" t="s">
        <v>189</v>
      </c>
      <c r="FA6149" s="746" t="s">
        <v>537</v>
      </c>
    </row>
    <row r="6150" spans="151:157" s="662" customFormat="1" ht="15" customHeight="1" x14ac:dyDescent="0.2">
      <c r="EU6150" s="738" t="s">
        <v>171</v>
      </c>
      <c r="EV6150" s="738" t="s">
        <v>538</v>
      </c>
      <c r="EW6150" s="658"/>
      <c r="EX6150" s="658"/>
      <c r="EY6150" s="745"/>
      <c r="EZ6150" s="746" t="s">
        <v>171</v>
      </c>
      <c r="FA6150" s="746" t="s">
        <v>538</v>
      </c>
    </row>
    <row r="6151" spans="151:157" s="662" customFormat="1" ht="15" customHeight="1" x14ac:dyDescent="0.2">
      <c r="EU6151" s="738" t="s">
        <v>157</v>
      </c>
      <c r="EV6151" s="738" t="s">
        <v>539</v>
      </c>
      <c r="EW6151" s="658"/>
      <c r="EX6151" s="658"/>
      <c r="EY6151" s="745"/>
      <c r="EZ6151" s="746" t="s">
        <v>157</v>
      </c>
      <c r="FA6151" s="746" t="s">
        <v>539</v>
      </c>
    </row>
    <row r="6152" spans="151:157" s="662" customFormat="1" ht="15" customHeight="1" x14ac:dyDescent="0.2">
      <c r="EU6152" s="738" t="s">
        <v>215</v>
      </c>
      <c r="EV6152" s="738" t="s">
        <v>540</v>
      </c>
      <c r="EW6152" s="658"/>
      <c r="EX6152" s="658"/>
      <c r="EY6152" s="745"/>
      <c r="EZ6152" s="746" t="s">
        <v>215</v>
      </c>
      <c r="FA6152" s="746" t="s">
        <v>540</v>
      </c>
    </row>
    <row r="6153" spans="151:157" s="662" customFormat="1" ht="15" customHeight="1" x14ac:dyDescent="0.2">
      <c r="EU6153" s="738" t="s">
        <v>142</v>
      </c>
      <c r="EV6153" s="738" t="s">
        <v>142</v>
      </c>
      <c r="EW6153" s="658"/>
      <c r="EX6153" s="658"/>
      <c r="EY6153" s="745"/>
      <c r="EZ6153" s="746" t="s">
        <v>142</v>
      </c>
      <c r="FA6153" s="746" t="s">
        <v>142</v>
      </c>
    </row>
    <row r="6154" spans="151:157" s="662" customFormat="1" ht="15" customHeight="1" x14ac:dyDescent="0.2">
      <c r="EU6154" s="738" t="s">
        <v>200</v>
      </c>
      <c r="EV6154" s="738" t="s">
        <v>200</v>
      </c>
      <c r="EW6154" s="658"/>
      <c r="EX6154" s="658"/>
      <c r="EY6154" s="745"/>
      <c r="EZ6154" s="746" t="s">
        <v>200</v>
      </c>
      <c r="FA6154" s="746" t="s">
        <v>200</v>
      </c>
    </row>
    <row r="6155" spans="151:157" s="662" customFormat="1" ht="15" customHeight="1" x14ac:dyDescent="0.2">
      <c r="EU6155" s="738" t="s">
        <v>185</v>
      </c>
      <c r="EV6155" s="738" t="s">
        <v>185</v>
      </c>
      <c r="EW6155" s="658"/>
      <c r="EX6155" s="658"/>
      <c r="EY6155" s="745"/>
      <c r="EZ6155" s="746" t="s">
        <v>185</v>
      </c>
      <c r="FA6155" s="746" t="s">
        <v>185</v>
      </c>
    </row>
    <row r="6156" spans="151:157" s="662" customFormat="1" ht="15" customHeight="1" x14ac:dyDescent="0.2">
      <c r="EU6156" s="738" t="s">
        <v>111</v>
      </c>
      <c r="EV6156" s="738" t="s">
        <v>541</v>
      </c>
      <c r="EW6156" s="658"/>
      <c r="EX6156" s="658"/>
      <c r="EY6156" s="745"/>
      <c r="EZ6156" s="746" t="s">
        <v>111</v>
      </c>
      <c r="FA6156" s="746" t="s">
        <v>541</v>
      </c>
    </row>
    <row r="6157" spans="151:157" s="662" customFormat="1" ht="15" customHeight="1" x14ac:dyDescent="0.2">
      <c r="EU6157" s="738" t="s">
        <v>128</v>
      </c>
      <c r="EV6157" s="738" t="s">
        <v>542</v>
      </c>
      <c r="EW6157" s="658"/>
      <c r="EX6157" s="658"/>
      <c r="EY6157" s="745"/>
      <c r="EZ6157" s="746" t="s">
        <v>128</v>
      </c>
      <c r="FA6157" s="746" t="s">
        <v>542</v>
      </c>
    </row>
    <row r="6158" spans="151:157" s="662" customFormat="1" ht="15" customHeight="1" x14ac:dyDescent="0.2">
      <c r="EU6158" s="738" t="s">
        <v>163</v>
      </c>
      <c r="EV6158" s="738" t="s">
        <v>543</v>
      </c>
      <c r="EW6158" s="658"/>
      <c r="EX6158" s="658"/>
      <c r="EY6158" s="745"/>
      <c r="EZ6158" s="746" t="s">
        <v>163</v>
      </c>
      <c r="FA6158" s="746" t="s">
        <v>543</v>
      </c>
    </row>
    <row r="6159" spans="151:157" s="662" customFormat="1" ht="15" customHeight="1" x14ac:dyDescent="0.2">
      <c r="EU6159" s="738" t="s">
        <v>180</v>
      </c>
      <c r="EV6159" s="738" t="s">
        <v>180</v>
      </c>
      <c r="EW6159" s="658"/>
      <c r="EX6159" s="658"/>
      <c r="EY6159" s="745"/>
      <c r="EZ6159" s="746" t="s">
        <v>180</v>
      </c>
      <c r="FA6159" s="746" t="s">
        <v>180</v>
      </c>
    </row>
    <row r="6160" spans="151:157" s="662" customFormat="1" ht="15" customHeight="1" x14ac:dyDescent="0.2">
      <c r="EU6160" s="738" t="s">
        <v>204</v>
      </c>
      <c r="EV6160" s="738" t="s">
        <v>544</v>
      </c>
      <c r="EW6160" s="658"/>
      <c r="EX6160" s="658"/>
      <c r="EY6160" s="745"/>
      <c r="EZ6160" s="746" t="s">
        <v>204</v>
      </c>
      <c r="FA6160" s="746" t="s">
        <v>544</v>
      </c>
    </row>
    <row r="6161" spans="151:157" s="662" customFormat="1" ht="15" customHeight="1" x14ac:dyDescent="0.2">
      <c r="EU6161" s="738" t="s">
        <v>202</v>
      </c>
      <c r="EV6161" s="738" t="s">
        <v>545</v>
      </c>
      <c r="EW6161" s="658"/>
      <c r="EX6161" s="658"/>
      <c r="EY6161" s="658"/>
      <c r="EZ6161" s="738" t="s">
        <v>202</v>
      </c>
      <c r="FA6161" s="738" t="s">
        <v>545</v>
      </c>
    </row>
    <row r="6162" spans="151:157" s="662" customFormat="1" ht="15" customHeight="1" x14ac:dyDescent="0.2">
      <c r="EU6162" s="738" t="s">
        <v>187</v>
      </c>
      <c r="EV6162" s="738" t="s">
        <v>546</v>
      </c>
      <c r="EW6162" s="658"/>
      <c r="EX6162" s="658"/>
      <c r="EY6162" s="658"/>
      <c r="EZ6162" s="738" t="s">
        <v>187</v>
      </c>
      <c r="FA6162" s="738" t="s">
        <v>546</v>
      </c>
    </row>
    <row r="6163" spans="151:157" s="662" customFormat="1" ht="15" customHeight="1" x14ac:dyDescent="0.2">
      <c r="EU6163" s="738" t="s">
        <v>124</v>
      </c>
      <c r="EV6163" s="738" t="s">
        <v>547</v>
      </c>
      <c r="EW6163" s="658"/>
      <c r="EX6163" s="658"/>
      <c r="EY6163" s="658"/>
      <c r="EZ6163" s="738" t="s">
        <v>124</v>
      </c>
      <c r="FA6163" s="738" t="s">
        <v>547</v>
      </c>
    </row>
    <row r="6164" spans="151:157" s="662" customFormat="1" ht="15" customHeight="1" x14ac:dyDescent="0.2">
      <c r="EU6164" s="738" t="s">
        <v>161</v>
      </c>
      <c r="EV6164" s="738" t="s">
        <v>548</v>
      </c>
      <c r="EW6164" s="658"/>
      <c r="EX6164" s="658"/>
      <c r="EY6164" s="658"/>
      <c r="EZ6164" s="738" t="s">
        <v>161</v>
      </c>
      <c r="FA6164" s="738" t="s">
        <v>548</v>
      </c>
    </row>
    <row r="6165" spans="151:157" s="662" customFormat="1" ht="15" customHeight="1" x14ac:dyDescent="0.2">
      <c r="EU6165" s="738" t="s">
        <v>146</v>
      </c>
      <c r="EV6165" s="738" t="s">
        <v>549</v>
      </c>
      <c r="EW6165" s="658"/>
      <c r="EX6165" s="658"/>
      <c r="EY6165" s="658"/>
      <c r="EZ6165" s="738" t="s">
        <v>146</v>
      </c>
      <c r="FA6165" s="738" t="s">
        <v>549</v>
      </c>
    </row>
    <row r="6166" spans="151:157" s="662" customFormat="1" ht="15" customHeight="1" x14ac:dyDescent="0.2">
      <c r="EU6166" s="747" t="s">
        <v>117</v>
      </c>
      <c r="EV6166" s="747" t="s">
        <v>550</v>
      </c>
      <c r="EW6166" s="748"/>
      <c r="EX6166" s="748"/>
      <c r="EY6166" s="748"/>
      <c r="EZ6166" s="747" t="s">
        <v>117</v>
      </c>
      <c r="FA6166" s="747" t="s">
        <v>550</v>
      </c>
    </row>
  </sheetData>
  <mergeCells count="3">
    <mergeCell ref="M84:R84"/>
    <mergeCell ref="B34:J34"/>
    <mergeCell ref="B3:J12"/>
  </mergeCells>
  <dataValidations count="1">
    <dataValidation type="list" allowBlank="1" showInputMessage="1" showErrorMessage="1" sqref="M87" xr:uid="{00000000-0002-0000-0400-000000000000}">
      <formula1>"Irán/Iran,Emiratos Árabes Unidos/United Arab Emirates,Bolivia/Bolivia,Surinam/Suriname,Otro/Other"</formula1>
    </dataValidation>
  </dataValidations>
  <hyperlinks>
    <hyperlink ref="C15" r:id="rId1" xr:uid="{00000000-0004-0000-0400-000000000000}"/>
    <hyperlink ref="E15" r:id="rId2" xr:uid="{00000000-0004-0000-0400-000001000000}"/>
    <hyperlink ref="G15" r:id="rId3" xr:uid="{00000000-0004-0000-0400-000002000000}"/>
    <hyperlink ref="L34" r:id="rId4" xr:uid="{00000000-0004-0000-0400-000003000000}"/>
  </hyperlinks>
  <pageMargins left="0.75" right="0.75" top="1" bottom="1" header="0.5" footer="0.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Home</vt:lpstr>
      <vt:lpstr>WORLDCUP</vt:lpstr>
      <vt:lpstr>Pool</vt:lpstr>
      <vt:lpstr>16</vt:lpstr>
      <vt:lpstr>8</vt:lpstr>
      <vt:lpstr>Fixture</vt:lpstr>
      <vt:lpstr>4</vt:lpstr>
      <vt:lpstr>2</vt:lpstr>
      <vt:lpstr>1</vt:lpstr>
      <vt:lpstr>Credits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Caicedo (Chile)</cp:lastModifiedBy>
  <dcterms:modified xsi:type="dcterms:W3CDTF">2026-07-19T03:06:20Z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4a753e-b937-4727-8173-58e965e4ef41_Enabled">
    <vt:lpwstr>true</vt:lpwstr>
  </property>
  <property fmtid="{D5CDD505-2E9C-101B-9397-08002B2CF9AE}" pid="3" name="MSIP_Label_444a753e-b937-4727-8173-58e965e4ef41_SetDate">
    <vt:lpwstr>2026-06-28T18:21:53Z</vt:lpwstr>
  </property>
  <property fmtid="{D5CDD505-2E9C-101B-9397-08002B2CF9AE}" pid="4" name="MSIP_Label_444a753e-b937-4727-8173-58e965e4ef41_Method">
    <vt:lpwstr>Standard</vt:lpwstr>
  </property>
  <property fmtid="{D5CDD505-2E9C-101B-9397-08002B2CF9AE}" pid="5" name="MSIP_Label_444a753e-b937-4727-8173-58e965e4ef41_Name">
    <vt:lpwstr>0a306a40-471c-426e-91d6-468476917b5e</vt:lpwstr>
  </property>
  <property fmtid="{D5CDD505-2E9C-101B-9397-08002B2CF9AE}" pid="6" name="MSIP_Label_444a753e-b937-4727-8173-58e965e4ef41_SiteId">
    <vt:lpwstr>3cbcc3d3-094d-4006-9849-0d11d61f484d</vt:lpwstr>
  </property>
  <property fmtid="{D5CDD505-2E9C-101B-9397-08002B2CF9AE}" pid="7" name="MSIP_Label_444a753e-b937-4727-8173-58e965e4ef41_ActionId">
    <vt:lpwstr>c346178a-ab3d-46b2-b1cc-e3a30980eed2</vt:lpwstr>
  </property>
  <property fmtid="{D5CDD505-2E9C-101B-9397-08002B2CF9AE}" pid="8" name="MSIP_Label_444a753e-b937-4727-8173-58e965e4ef41_ContentBits">
    <vt:lpwstr>0</vt:lpwstr>
  </property>
  <property fmtid="{D5CDD505-2E9C-101B-9397-08002B2CF9AE}" pid="9" name="MSIP_Label_444a753e-b937-4727-8173-58e965e4ef41_Tag">
    <vt:lpwstr>50, 3, 0, 1</vt:lpwstr>
  </property>
</Properties>
</file>
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3322D4B-E50D-6F4B-91A6-570CA39036D5}" xr6:coauthVersionLast="47" xr6:coauthVersionMax="47" xr10:uidLastSave="{00000000-0000-0000-0000-000000000000}"/>
  <bookViews>
    <workbookView xWindow="0" yWindow="660" windowWidth="15960" windowHeight="18080" activeTab="3" xr2:uid="{00000000-000D-0000-FFFF-FFFF00000000}"/>
  </bookViews>
  <sheets>
    <sheet name="Home" sheetId="1" r:id="rId1"/>
    <sheet name="16" sheetId="6" r:id="rId2"/>
    <sheet name="8" sheetId="7" r:id="rId3"/>
    <sheet name="4" sheetId="8" r:id="rId4"/>
    <sheet name="WORLDCUP" sheetId="2" r:id="rId5"/>
    <sheet name="Pool" sheetId="3" r:id="rId6"/>
    <sheet name="Fixture" sheetId="4" r:id="rId7"/>
    <sheet name="Credit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Z131" i="2" a="1"/>
  <c r="Z131" i="2" s="1"/>
  <c r="D131" i="2" a="1"/>
  <c r="D131" i="2" s="1"/>
  <c r="AF130" i="2" a="1"/>
  <c r="AF130" i="2" s="1"/>
  <c r="AD130" i="2" a="1"/>
  <c r="AD130" i="2" s="1"/>
  <c r="AC130" i="2" a="1"/>
  <c r="AC130" i="2" s="1"/>
  <c r="AA130" i="2" a="1"/>
  <c r="AA130" i="2" s="1"/>
  <c r="Y130" i="2" a="1"/>
  <c r="Y130" i="2" s="1"/>
  <c r="X130" i="2" a="1"/>
  <c r="X130" i="2" s="1"/>
  <c r="Z127" i="2" a="1"/>
  <c r="Z127" i="2" s="1"/>
  <c r="D127" i="2" a="1"/>
  <c r="D127" i="2" s="1"/>
  <c r="AG127" i="2" s="1" a="1"/>
  <c r="AG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Z123" i="2" a="1"/>
  <c r="Z123" i="2" s="1"/>
  <c r="D123" i="2" a="1"/>
  <c r="D123" i="2" s="1"/>
  <c r="N133" i="2" s="1" a="1"/>
  <c r="N133" i="2" s="1"/>
  <c r="AF133" i="2" s="1" a="1"/>
  <c r="AF133" i="2" s="1"/>
  <c r="C216" i="3" s="1" a="1"/>
  <c r="C216" i="3" s="1"/>
  <c r="Z122" i="2" a="1"/>
  <c r="Z122" i="2" s="1"/>
  <c r="D122" i="2" a="1"/>
  <c r="D122" i="2" s="1"/>
  <c r="M133" i="2" s="1" a="1"/>
  <c r="M133" i="2" s="1"/>
  <c r="AA133" i="2" s="1" a="1"/>
  <c r="AA133" i="2" s="1"/>
  <c r="Z121" i="2" a="1"/>
  <c r="Z121" i="2" s="1"/>
  <c r="D121" i="2" a="1"/>
  <c r="D121" i="2" s="1"/>
  <c r="AG121" i="2" s="1" a="1"/>
  <c r="AG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N127" i="2" s="1" a="1"/>
  <c r="N127" i="2" s="1"/>
  <c r="AF127" i="2" s="1" a="1"/>
  <c r="AF127" i="2" s="1"/>
  <c r="C197" i="3" s="1" a="1"/>
  <c r="C197" i="3"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AG114" i="2" s="1" a="1"/>
  <c r="AG114" i="2" s="1"/>
  <c r="AF113" i="2" a="1"/>
  <c r="AF113" i="2" s="1"/>
  <c r="C158" i="3" s="1" a="1"/>
  <c r="C158" i="3" s="1"/>
  <c r="Z113" i="2" a="1"/>
  <c r="Z113" i="2" s="1"/>
  <c r="D113" i="2" a="1"/>
  <c r="D113" i="2" s="1"/>
  <c r="M127" i="2" s="1" a="1"/>
  <c r="M127" i="2" s="1"/>
  <c r="AA127" i="2" s="1" a="1"/>
  <c r="AA127" i="2" s="1"/>
  <c r="AF112" i="2" a="1"/>
  <c r="AF112" i="2" s="1"/>
  <c r="C157" i="3" s="1" a="1"/>
  <c r="C157" i="3" s="1"/>
  <c r="Z112" i="2" a="1"/>
  <c r="Z112" i="2" s="1"/>
  <c r="D112" i="2" a="1"/>
  <c r="D112" i="2" s="1"/>
  <c r="AG112" i="2" s="1" a="1"/>
  <c r="AG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N121" i="2" s="1" a="1"/>
  <c r="N121" i="2" s="1"/>
  <c r="AF120" i="2" s="1" a="1"/>
  <c r="AF120" i="2" s="1"/>
  <c r="C190" i="3" s="1" a="1"/>
  <c r="C190" i="3" s="1"/>
  <c r="AF103" i="2" a="1"/>
  <c r="AF103" i="2" s="1"/>
  <c r="C148" i="3" s="1" a="1"/>
  <c r="C148" i="3" s="1"/>
  <c r="Z103" i="2" a="1"/>
  <c r="Z103" i="2" s="1"/>
  <c r="D103" i="2" a="1"/>
  <c r="D103" i="2" s="1"/>
  <c r="AF102" i="2" a="1"/>
  <c r="AF102" i="2" s="1"/>
  <c r="C147" i="3" s="1" a="1"/>
  <c r="C147" i="3" s="1"/>
  <c r="Z102" i="2" a="1"/>
  <c r="Z102" i="2" s="1"/>
  <c r="D102" i="2" a="1"/>
  <c r="D102" i="2" s="1"/>
  <c r="AG102" i="2" s="1" a="1"/>
  <c r="AG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G101" i="2" s="1" a="1"/>
  <c r="AG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R36" i="4" s="1" a="1"/>
  <c r="R36" i="4"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R29" i="4" s="1" a="1"/>
  <c r="R29" i="4"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R13" i="4" s="1" a="1"/>
  <c r="R13" i="4"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F36" i="4" s="1" a="1"/>
  <c r="F36" i="4"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F20" i="4" s="1" a="1"/>
  <c r="F20" i="4"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F4" i="4" s="1" a="1"/>
  <c r="F4" i="4" s="1"/>
  <c r="AA5" i="2" a="1"/>
  <c r="AA5" i="2" s="1"/>
  <c r="Z5" i="2" a="1"/>
  <c r="Z5" i="2" s="1"/>
  <c r="D5" i="2" a="1"/>
  <c r="D5" i="2" s="1"/>
  <c r="AJ4" i="2" a="1"/>
  <c r="AJ4" i="2" s="1"/>
  <c r="AG4" i="2" a="1"/>
  <c r="AG4" i="2" s="1"/>
  <c r="AF4" i="2" a="1"/>
  <c r="AF4" i="2" s="1"/>
  <c r="AA4" i="2" a="1"/>
  <c r="AA4" i="2" s="1"/>
  <c r="D4" i="2" a="1"/>
  <c r="D4" i="2" s="1"/>
  <c r="K23" i="2" l="1" a="1"/>
  <c r="K23" i="2" s="1"/>
  <c r="N28" i="2" a="1"/>
  <c r="N28" i="2" s="1"/>
  <c r="T69" i="2" a="1"/>
  <c r="T69" i="2" s="1"/>
  <c r="AG104" i="2" a="1"/>
  <c r="AG104" i="2" s="1"/>
  <c r="O60" i="2" a="1"/>
  <c r="O60" i="2" s="1"/>
  <c r="N62" i="2" a="1"/>
  <c r="N62" i="2" s="1"/>
  <c r="T65" i="2" a="1"/>
  <c r="T65" i="2" s="1"/>
  <c r="O55" i="2" a="1"/>
  <c r="O55" i="2" s="1"/>
  <c r="O71" i="2" a="1"/>
  <c r="O71" i="2" s="1"/>
  <c r="AG125" i="2" a="1"/>
  <c r="AG125" i="2" s="1"/>
  <c r="U69" i="2" a="1"/>
  <c r="U69" i="2" s="1"/>
  <c r="AG115" i="2" a="1"/>
  <c r="AG115" i="2" s="1"/>
  <c r="Q87" i="2" a="1"/>
  <c r="Q87" i="2" s="1"/>
  <c r="U85" i="2" a="1"/>
  <c r="U85" i="2" s="1"/>
  <c r="I95" i="2" a="1"/>
  <c r="I95" i="2" s="1"/>
  <c r="R79" i="2" a="1"/>
  <c r="R79" i="2" s="1"/>
  <c r="U95" i="2" a="1"/>
  <c r="U95" i="2" s="1"/>
  <c r="T15" i="2" a="1"/>
  <c r="T15" i="2" s="1"/>
  <c r="K81" i="2" a="1"/>
  <c r="K81" i="2" s="1"/>
  <c r="T84" i="2" a="1"/>
  <c r="T84" i="2" s="1"/>
  <c r="AG122" i="2" a="1"/>
  <c r="AG122" i="2" s="1"/>
  <c r="T70" i="2" a="1"/>
  <c r="T70" i="2" s="1"/>
  <c r="N134" i="2" a="1"/>
  <c r="N134" i="2" s="1"/>
  <c r="AF134" i="2" s="1" a="1"/>
  <c r="AF134" i="2" s="1"/>
  <c r="C217" i="3" s="1" a="1"/>
  <c r="C217" i="3" s="1"/>
  <c r="R95" i="2" a="1"/>
  <c r="R95" i="2" s="1"/>
  <c r="I8" i="2" a="1"/>
  <c r="I8" i="2" s="1"/>
  <c r="K4" i="2" a="1"/>
  <c r="K4" i="2" s="1"/>
  <c r="K30" i="2" a="1"/>
  <c r="K30" i="2" s="1"/>
  <c r="T39" i="2" a="1"/>
  <c r="T39" i="2" s="1"/>
  <c r="Q88" i="2" a="1"/>
  <c r="Q88" i="2" s="1"/>
  <c r="AL6" i="2" a="1"/>
  <c r="AL6" i="2" s="1"/>
  <c r="R25" i="2" a="1"/>
  <c r="R25" i="2" s="1"/>
  <c r="K21" i="2" a="1"/>
  <c r="K21" i="2" s="1"/>
  <c r="N24" i="2" a="1"/>
  <c r="N24" i="2" s="1"/>
  <c r="U16" i="2" a="1"/>
  <c r="U16" i="2" s="1"/>
  <c r="I44" i="2" a="1"/>
  <c r="I44" i="2" s="1"/>
  <c r="L95" i="2" a="1"/>
  <c r="L95" i="2" s="1"/>
  <c r="O63" i="2" a="1"/>
  <c r="O63" i="2" s="1"/>
  <c r="R63" i="2" a="1"/>
  <c r="R63" i="2" s="1"/>
  <c r="F63" i="2" a="1"/>
  <c r="F63" i="2" s="1"/>
  <c r="T55" i="2" a="1"/>
  <c r="T55" i="2" s="1"/>
  <c r="H65" i="2" a="1"/>
  <c r="H65" i="2" s="1"/>
  <c r="R29" i="2" a="1"/>
  <c r="R29" i="2" s="1"/>
  <c r="AG113" i="2" a="1"/>
  <c r="AG113" i="2" s="1"/>
  <c r="AG116" i="2" a="1"/>
  <c r="AG116" i="2" s="1"/>
  <c r="T63" i="2" a="1"/>
  <c r="T63" i="2" s="1"/>
  <c r="R68" i="2" a="1"/>
  <c r="R68" i="2" s="1"/>
  <c r="BW6" i="2" a="1"/>
  <c r="BW6" i="2" s="1"/>
  <c r="U97" i="2" a="1"/>
  <c r="U97" i="2" s="1"/>
  <c r="I29" i="2" a="1"/>
  <c r="I29" i="2" s="1"/>
  <c r="L39" i="2" a="1"/>
  <c r="L39" i="2" s="1"/>
  <c r="F68" i="2" a="1"/>
  <c r="F68" i="2" s="1"/>
  <c r="T29" i="2" a="1"/>
  <c r="T29" i="2" s="1"/>
  <c r="T68" i="2" a="1"/>
  <c r="T68" i="2" s="1"/>
  <c r="AG126" i="2" a="1"/>
  <c r="AG126" i="2" s="1"/>
  <c r="K16" i="2" a="1"/>
  <c r="K16" i="2" s="1"/>
  <c r="U38" i="2" a="1"/>
  <c r="U38" i="2" s="1"/>
  <c r="Q39" i="2" a="1"/>
  <c r="Q39" i="2" s="1"/>
  <c r="T81" i="2" a="1"/>
  <c r="T81" i="2" s="1"/>
  <c r="Q96" i="2" a="1"/>
  <c r="Q96" i="2" s="1"/>
  <c r="H6" i="2" a="1"/>
  <c r="H6" i="2" s="1"/>
  <c r="AL8" i="2" a="1"/>
  <c r="AL8" i="2" s="1"/>
  <c r="F33" i="2" a="1"/>
  <c r="F33" i="2" s="1"/>
  <c r="F39" i="2" a="1"/>
  <c r="F39" i="2" s="1"/>
  <c r="K6" i="2" a="1"/>
  <c r="K6" i="2" s="1"/>
  <c r="M124" i="2" a="1"/>
  <c r="M124" i="2" s="1"/>
  <c r="AA124" i="2" s="1" a="1"/>
  <c r="AA124" i="2" s="1"/>
  <c r="Q61" i="2" a="1"/>
  <c r="Q61" i="2" s="1"/>
  <c r="U71" i="2" a="1"/>
  <c r="U71" i="2" s="1"/>
  <c r="K64" i="2" a="1"/>
  <c r="K64" i="2" s="1"/>
  <c r="I64" i="2" a="1"/>
  <c r="I64" i="2" s="1"/>
  <c r="N64" i="2" a="1"/>
  <c r="N64" i="2" s="1"/>
  <c r="L64" i="2" a="1"/>
  <c r="L64" i="2" s="1"/>
  <c r="R86" i="2" a="1"/>
  <c r="R86" i="2" s="1"/>
  <c r="K86" i="2" a="1"/>
  <c r="K86" i="2" s="1"/>
  <c r="I86" i="2" a="1"/>
  <c r="I86" i="2" s="1"/>
  <c r="U77" i="2" a="1"/>
  <c r="U77" i="2" s="1"/>
  <c r="T77" i="2" a="1"/>
  <c r="T77" i="2" s="1"/>
  <c r="O77" i="2" a="1"/>
  <c r="O77" i="2" s="1"/>
  <c r="H77" i="2" a="1"/>
  <c r="H77" i="2" s="1"/>
  <c r="F77" i="2" a="1"/>
  <c r="F77" i="2" s="1"/>
  <c r="R47" i="2" a="1"/>
  <c r="R47" i="2" s="1"/>
  <c r="I47" i="2" a="1"/>
  <c r="I47" i="2" s="1"/>
  <c r="N47" i="2" a="1"/>
  <c r="N47" i="2" s="1"/>
  <c r="L47" i="2" a="1"/>
  <c r="L47" i="2" s="1"/>
  <c r="E47" i="2" a="1"/>
  <c r="E47" i="2" s="1"/>
  <c r="R35" i="4" a="1"/>
  <c r="R35" i="4" s="1"/>
  <c r="F84" i="2" a="1"/>
  <c r="F84" i="2" s="1"/>
  <c r="E95" i="2" a="1"/>
  <c r="E95" i="2" s="1"/>
  <c r="N95" i="2" a="1"/>
  <c r="N95" i="2" s="1"/>
  <c r="K95" i="2" a="1"/>
  <c r="K95" i="2" s="1"/>
  <c r="T57" i="2" a="1"/>
  <c r="T57" i="2" s="1"/>
  <c r="R57" i="2" a="1"/>
  <c r="R57" i="2" s="1"/>
  <c r="O57" i="2" a="1"/>
  <c r="O57" i="2" s="1"/>
  <c r="H57" i="2" a="1"/>
  <c r="H57" i="2" s="1"/>
  <c r="F57" i="2" a="1"/>
  <c r="F57" i="2" s="1"/>
  <c r="E57" i="2" a="1"/>
  <c r="E57" i="2" s="1"/>
  <c r="T89" i="2" a="1"/>
  <c r="T89" i="2" s="1"/>
  <c r="K89" i="2" a="1"/>
  <c r="K89" i="2" s="1"/>
  <c r="H89" i="2" a="1"/>
  <c r="H89" i="2" s="1"/>
  <c r="Q46" i="2" a="1"/>
  <c r="Q46" i="2" s="1"/>
  <c r="U46" i="2" a="1"/>
  <c r="U46" i="2" s="1"/>
  <c r="T46" i="2" a="1"/>
  <c r="T46" i="2" s="1"/>
  <c r="H46" i="2" a="1"/>
  <c r="H46" i="2" s="1"/>
  <c r="CI9" i="2" a="1"/>
  <c r="CI9" i="2" s="1"/>
  <c r="AG133" i="2" a="1"/>
  <c r="AG133" i="2" s="1"/>
  <c r="M139" i="2" a="1"/>
  <c r="M139" i="2" s="1"/>
  <c r="AA139" i="2" s="1" a="1"/>
  <c r="AA139" i="2" s="1"/>
  <c r="BI17" i="2" a="1"/>
  <c r="BI17" i="2" s="1"/>
  <c r="I4" i="2" a="1"/>
  <c r="I4" i="2" s="1"/>
  <c r="U4" i="2" a="1"/>
  <c r="U4" i="2" s="1"/>
  <c r="R4" i="2" a="1"/>
  <c r="R4" i="2" s="1"/>
  <c r="L4" i="2" a="1"/>
  <c r="L4" i="2" s="1"/>
  <c r="K22" i="2" a="1"/>
  <c r="K22" i="2" s="1"/>
  <c r="U22" i="2" a="1"/>
  <c r="U22" i="2" s="1"/>
  <c r="L22" i="2" a="1"/>
  <c r="L22" i="2" s="1"/>
  <c r="F23" i="4" a="1"/>
  <c r="F23" i="4" s="1"/>
  <c r="R24" i="2" a="1"/>
  <c r="R24" i="2" s="1"/>
  <c r="O92" i="2" a="1"/>
  <c r="O92" i="2" s="1"/>
  <c r="N92" i="2" a="1"/>
  <c r="N92" i="2" s="1"/>
  <c r="F92" i="2" a="1"/>
  <c r="F92" i="2" s="1"/>
  <c r="N125" i="2" a="1"/>
  <c r="N125" i="2" s="1"/>
  <c r="AF125" i="2" s="1" a="1"/>
  <c r="AF125" i="2" s="1"/>
  <c r="C195" i="3" s="1" a="1"/>
  <c r="C195" i="3" s="1"/>
  <c r="AG109" i="2" a="1"/>
  <c r="AG109" i="2" s="1"/>
  <c r="N139" i="2" a="1"/>
  <c r="N139" i="2" s="1"/>
  <c r="AF139" i="2" s="1" a="1"/>
  <c r="AF139" i="2" s="1"/>
  <c r="C229" i="3" s="1" a="1"/>
  <c r="C229" i="3" s="1"/>
  <c r="AG134" i="2" a="1"/>
  <c r="AG134" i="2" s="1"/>
  <c r="N138" i="2" a="1"/>
  <c r="N138" i="2" s="1"/>
  <c r="AF138" i="2" s="1" a="1"/>
  <c r="AF138" i="2" s="1"/>
  <c r="C228" i="3" s="1" a="1"/>
  <c r="C228" i="3" s="1"/>
  <c r="AG132" i="2" a="1"/>
  <c r="AG132" i="2" s="1"/>
  <c r="R78" i="2" a="1"/>
  <c r="R78" i="2" s="1"/>
  <c r="L78" i="2" a="1"/>
  <c r="L78" i="2" s="1"/>
  <c r="K78" i="2" a="1"/>
  <c r="K78" i="2" s="1"/>
  <c r="U7" i="2" a="1"/>
  <c r="U7" i="2" s="1"/>
  <c r="L14" i="2" a="1"/>
  <c r="L14" i="2" s="1"/>
  <c r="I14" i="2" a="1"/>
  <c r="I14" i="2" s="1"/>
  <c r="N14" i="2" a="1"/>
  <c r="N14" i="2" s="1"/>
  <c r="CK11" i="2" s="1" a="1"/>
  <c r="CK11" i="2" s="1"/>
  <c r="Q14" i="2" a="1"/>
  <c r="Q14" i="2" s="1"/>
  <c r="R14" i="2" a="1"/>
  <c r="R14" i="2" s="1"/>
  <c r="O14" i="2" a="1"/>
  <c r="O14" i="2" s="1"/>
  <c r="K14" i="2" a="1"/>
  <c r="K14" i="2" s="1"/>
  <c r="R72" i="2" a="1"/>
  <c r="R72" i="2" s="1"/>
  <c r="N72" i="2" a="1"/>
  <c r="N72" i="2" s="1"/>
  <c r="F72" i="2" a="1"/>
  <c r="F72" i="2" s="1"/>
  <c r="E72" i="2" a="1"/>
  <c r="E72" i="2" s="1"/>
  <c r="T31" i="2" a="1"/>
  <c r="T31" i="2" s="1"/>
  <c r="K31" i="2" a="1"/>
  <c r="K31" i="2" s="1"/>
  <c r="Q37" i="2" a="1"/>
  <c r="Q37" i="2" s="1"/>
  <c r="T37" i="2" a="1"/>
  <c r="T37" i="2" s="1"/>
  <c r="I37" i="2" a="1"/>
  <c r="I37" i="2" s="1"/>
  <c r="N36" i="2" a="1"/>
  <c r="N36" i="2" s="1"/>
  <c r="U36" i="2" a="1"/>
  <c r="U36" i="2" s="1"/>
  <c r="U8" i="2" a="1"/>
  <c r="U8" i="2" s="1"/>
  <c r="Q63" i="2" a="1"/>
  <c r="Q63" i="2" s="1"/>
  <c r="T71" i="2" a="1"/>
  <c r="T71" i="2" s="1"/>
  <c r="H9" i="2" a="1"/>
  <c r="H9" i="2" s="1"/>
  <c r="F12" i="2" a="1"/>
  <c r="F12" i="2" s="1"/>
  <c r="E38" i="2" a="1"/>
  <c r="E38" i="2" s="1"/>
  <c r="I54" i="2" a="1"/>
  <c r="I54" i="2" s="1"/>
  <c r="I97" i="2" a="1"/>
  <c r="I97" i="2" s="1"/>
  <c r="H38" i="2" a="1"/>
  <c r="H38" i="2" s="1"/>
  <c r="L41" i="2" a="1"/>
  <c r="L41" i="2" s="1"/>
  <c r="BS62" i="2" a="1"/>
  <c r="BS62" i="2" s="1"/>
  <c r="I9" i="2" a="1"/>
  <c r="I9" i="2" s="1"/>
  <c r="H12" i="2" a="1"/>
  <c r="H12" i="2" s="1"/>
  <c r="I23" i="2" a="1"/>
  <c r="I23" i="2" s="1"/>
  <c r="E29" i="2" a="1"/>
  <c r="E29" i="2" s="1"/>
  <c r="H30" i="2" a="1"/>
  <c r="H30" i="2" s="1"/>
  <c r="U32" i="2" a="1"/>
  <c r="U32" i="2" s="1"/>
  <c r="K38" i="2" a="1"/>
  <c r="K38" i="2" s="1"/>
  <c r="U40" i="2" a="1"/>
  <c r="U40" i="2" s="1"/>
  <c r="K54" i="2" a="1"/>
  <c r="K54" i="2" s="1"/>
  <c r="U63" i="2" a="1"/>
  <c r="U63" i="2" s="1"/>
  <c r="H87" i="2" a="1"/>
  <c r="H87" i="2" s="1"/>
  <c r="R97" i="2" a="1"/>
  <c r="R97" i="2" s="1"/>
  <c r="N126" i="2" a="1"/>
  <c r="N126" i="2" s="1"/>
  <c r="AF126" i="2" s="1" a="1"/>
  <c r="AF126" i="2" s="1"/>
  <c r="C196" i="3" s="1" a="1"/>
  <c r="C196" i="3" s="1"/>
  <c r="K46" i="2" a="1"/>
  <c r="K46" i="2" s="1"/>
  <c r="R5" i="2" a="1"/>
  <c r="R5" i="2" s="1"/>
  <c r="L5" i="2" a="1"/>
  <c r="L5" i="2" s="1"/>
  <c r="F16" i="2" a="1"/>
  <c r="F16" i="2" s="1"/>
  <c r="T9" i="2" a="1"/>
  <c r="T9" i="2" s="1"/>
  <c r="K12" i="2" a="1"/>
  <c r="K12" i="2" s="1"/>
  <c r="I16" i="2" a="1"/>
  <c r="I16" i="2" s="1"/>
  <c r="H24" i="2" a="1"/>
  <c r="H24" i="2" s="1"/>
  <c r="H29" i="2" a="1"/>
  <c r="H29" i="2" s="1"/>
  <c r="E31" i="2" a="1"/>
  <c r="E31" i="2" s="1"/>
  <c r="R38" i="2" a="1"/>
  <c r="R38" i="2" s="1"/>
  <c r="E41" i="2" a="1"/>
  <c r="E41" i="2" s="1"/>
  <c r="L54" i="2" a="1"/>
  <c r="L54" i="2" s="1"/>
  <c r="E65" i="2" a="1"/>
  <c r="E65" i="2" s="1"/>
  <c r="AG108" i="2" a="1"/>
  <c r="AG108" i="2" s="1"/>
  <c r="AG123" i="2" a="1"/>
  <c r="AG123" i="2" s="1"/>
  <c r="T7" i="2" a="1"/>
  <c r="T7" i="2" s="1"/>
  <c r="T5" i="2" a="1"/>
  <c r="T5" i="2" s="1"/>
  <c r="T4" i="2" a="1"/>
  <c r="T4" i="2" s="1"/>
  <c r="I6" i="2" a="1"/>
  <c r="I6" i="2" s="1"/>
  <c r="CI7" i="2" a="1"/>
  <c r="CI7" i="2" s="1"/>
  <c r="U9" i="2" a="1"/>
  <c r="U9" i="2" s="1"/>
  <c r="R12" i="2" a="1"/>
  <c r="R12" i="2" s="1"/>
  <c r="L15" i="2" a="1"/>
  <c r="L15" i="2" s="1"/>
  <c r="L16" i="2" a="1"/>
  <c r="L16" i="2" s="1"/>
  <c r="K24" i="2" a="1"/>
  <c r="K24" i="2" s="1"/>
  <c r="T38" i="2" a="1"/>
  <c r="T38" i="2" s="1"/>
  <c r="K41" i="2" a="1"/>
  <c r="K41" i="2" s="1"/>
  <c r="T47" i="2" a="1"/>
  <c r="T47" i="2" s="1"/>
  <c r="O54" i="2" a="1"/>
  <c r="O54" i="2" s="1"/>
  <c r="Q60" i="2" a="1"/>
  <c r="Q60" i="2" s="1"/>
  <c r="E63" i="2" a="1"/>
  <c r="E63" i="2" s="1"/>
  <c r="F65" i="2" a="1"/>
  <c r="F65" i="2" s="1"/>
  <c r="Q79" i="2" a="1"/>
  <c r="Q79" i="2" s="1"/>
  <c r="K87" i="2" a="1"/>
  <c r="K87" i="2" s="1"/>
  <c r="E92" i="2" a="1"/>
  <c r="E92" i="2" s="1"/>
  <c r="AG120" i="2" a="1"/>
  <c r="AG120" i="2" s="1"/>
  <c r="R16" i="2" a="1"/>
  <c r="R16" i="2" s="1"/>
  <c r="I15" i="2" a="1"/>
  <c r="I15" i="2" s="1"/>
  <c r="K29" i="2" a="1"/>
  <c r="K29" i="2" s="1"/>
  <c r="I39" i="2" a="1"/>
  <c r="I39" i="2" s="1"/>
  <c r="O41" i="2" a="1"/>
  <c r="O41" i="2" s="1"/>
  <c r="R60" i="2" a="1"/>
  <c r="R60" i="2" s="1"/>
  <c r="H63" i="2" a="1"/>
  <c r="H63" i="2" s="1"/>
  <c r="O65" i="2" a="1"/>
  <c r="O65" i="2" s="1"/>
  <c r="H71" i="2" a="1"/>
  <c r="H71" i="2" s="1"/>
  <c r="T79" i="2" a="1"/>
  <c r="T79" i="2" s="1"/>
  <c r="H84" i="2" a="1"/>
  <c r="H84" i="2" s="1"/>
  <c r="F4" i="2" a="1"/>
  <c r="F4" i="2" s="1"/>
  <c r="H4" i="2" a="1"/>
  <c r="H4" i="2" s="1"/>
  <c r="U6" i="2" a="1"/>
  <c r="U6" i="2" s="1"/>
  <c r="O20" i="2" a="1"/>
  <c r="O20" i="2" s="1"/>
  <c r="F25" i="2" a="1"/>
  <c r="F25" i="2" s="1"/>
  <c r="O29" i="2" a="1"/>
  <c r="O29" i="2" s="1"/>
  <c r="I63" i="2" a="1"/>
  <c r="I63" i="2" s="1"/>
  <c r="H68" i="2" a="1"/>
  <c r="H68" i="2" s="1"/>
  <c r="I71" i="2" a="1"/>
  <c r="I71" i="2" s="1"/>
  <c r="I84" i="2" a="1"/>
  <c r="I84" i="2" s="1"/>
  <c r="H88" i="2" a="1"/>
  <c r="H88" i="2" s="1"/>
  <c r="L17" i="2" a="1"/>
  <c r="L17" i="2" s="1"/>
  <c r="K39" i="2" a="1"/>
  <c r="K39" i="2" s="1"/>
  <c r="R41" i="2" a="1"/>
  <c r="R41" i="2" s="1"/>
  <c r="R65" i="2" a="1"/>
  <c r="R65" i="2" s="1"/>
  <c r="N68" i="2" a="1"/>
  <c r="N68" i="2" s="1"/>
  <c r="K71" i="2" a="1"/>
  <c r="K71" i="2" s="1"/>
  <c r="Q84" i="2" a="1"/>
  <c r="Q84" i="2" s="1"/>
  <c r="F85" i="2" a="1"/>
  <c r="F85" i="2" s="1"/>
  <c r="I88" i="2" a="1"/>
  <c r="I88" i="2" s="1"/>
  <c r="R7" i="2" a="1"/>
  <c r="R7" i="2" s="1"/>
  <c r="Q8" i="2" a="1"/>
  <c r="Q8" i="2" s="1"/>
  <c r="K8" i="2" a="1"/>
  <c r="K8" i="2" s="1"/>
  <c r="R15" i="2" a="1"/>
  <c r="R15" i="2" s="1"/>
  <c r="F17" i="2" a="1"/>
  <c r="F17" i="2" s="1"/>
  <c r="K63" i="2" a="1"/>
  <c r="K63" i="2" s="1"/>
  <c r="R85" i="2" a="1"/>
  <c r="R85" i="2" s="1"/>
  <c r="AL14" i="2" a="1"/>
  <c r="AL14" i="2" s="1"/>
  <c r="AV14" i="2" a="1"/>
  <c r="AV14" i="2" s="1"/>
  <c r="L13" i="2" a="1"/>
  <c r="L13" i="2" s="1"/>
  <c r="U13" i="2" a="1"/>
  <c r="U13" i="2" s="1"/>
  <c r="R13" i="2" a="1"/>
  <c r="R13" i="2" s="1"/>
  <c r="K13" i="2" a="1"/>
  <c r="K13" i="2" s="1"/>
  <c r="CF13" i="2" s="1" a="1"/>
  <c r="CF13" i="2" s="1"/>
  <c r="T13" i="2" a="1"/>
  <c r="T13" i="2" s="1"/>
  <c r="I13" i="2" a="1"/>
  <c r="I13" i="2" s="1"/>
  <c r="H13" i="2" a="1"/>
  <c r="H13" i="2" s="1"/>
  <c r="BK13" i="2" a="1"/>
  <c r="BK13" i="2" s="1"/>
  <c r="Q13" i="2" a="1"/>
  <c r="Q13" i="2" s="1"/>
  <c r="F13" i="2" a="1"/>
  <c r="F13" i="2" s="1"/>
  <c r="BU12" i="2" s="1" a="1"/>
  <c r="BU12" i="2" s="1"/>
  <c r="O13" i="2" a="1"/>
  <c r="O13" i="2" s="1"/>
  <c r="E13" i="2" a="1"/>
  <c r="E13" i="2" s="1"/>
  <c r="BW13" i="2" s="1" a="1"/>
  <c r="BW13" i="2" s="1"/>
  <c r="N13" i="2" a="1"/>
  <c r="N13" i="2" s="1"/>
  <c r="AV15" i="2" a="1"/>
  <c r="AV15" i="2" s="1"/>
  <c r="AL16" i="2" a="1"/>
  <c r="AL16" i="2" s="1"/>
  <c r="AV16" i="2" a="1"/>
  <c r="AV16" i="2" s="1"/>
  <c r="AL24" i="2" a="1"/>
  <c r="AL24" i="2" s="1"/>
  <c r="AV96" i="2" a="1"/>
  <c r="AV96" i="2" s="1"/>
  <c r="AV97" i="2" a="1"/>
  <c r="AV97" i="2" s="1"/>
  <c r="AV87" i="2" a="1"/>
  <c r="AV87" i="2" s="1"/>
  <c r="AV56" i="2" a="1"/>
  <c r="AV56" i="2" s="1"/>
  <c r="DQ52" i="2" a="1"/>
  <c r="DQ52" i="2" s="1"/>
  <c r="DJ52" i="2" s="1" a="1"/>
  <c r="DJ52" i="2" s="1"/>
  <c r="AV62" i="2" a="1"/>
  <c r="AV62" i="2" s="1"/>
  <c r="DQ51" i="2" a="1"/>
  <c r="DQ51" i="2" s="1"/>
  <c r="DJ51" i="2" s="1" a="1"/>
  <c r="DJ51" i="2" s="1"/>
  <c r="AV70" i="2" a="1"/>
  <c r="AV70" i="2" s="1"/>
  <c r="AV63" i="2" a="1"/>
  <c r="AV63" i="2" s="1"/>
  <c r="DQ53" i="2" a="1"/>
  <c r="DQ53" i="2" s="1"/>
  <c r="DJ53" i="2" s="1" a="1"/>
  <c r="DJ53" i="2" s="1"/>
  <c r="DQ50" i="2" a="1"/>
  <c r="DQ50" i="2" s="1"/>
  <c r="DJ50" i="2" s="1" a="1"/>
  <c r="DJ50" i="2" s="1"/>
  <c r="DQ46" i="2" a="1"/>
  <c r="DQ46" i="2" s="1"/>
  <c r="DJ46" i="2" s="1" a="1"/>
  <c r="DJ46" i="2" s="1"/>
  <c r="DQ49" i="2" a="1"/>
  <c r="DQ49" i="2" s="1"/>
  <c r="DJ49" i="2" s="1" a="1"/>
  <c r="DJ49" i="2" s="1"/>
  <c r="DQ41" i="2" a="1"/>
  <c r="DQ41" i="2" s="1"/>
  <c r="DJ41" i="2" s="1" a="1"/>
  <c r="DJ41" i="2" s="1"/>
  <c r="DQ40" i="2" a="1"/>
  <c r="DQ40" i="2" s="1"/>
  <c r="DJ40" i="2" s="1" a="1"/>
  <c r="DJ40" i="2" s="1"/>
  <c r="DQ45" i="2" a="1"/>
  <c r="DQ45" i="2" s="1"/>
  <c r="DJ45" i="2" s="1" a="1"/>
  <c r="DJ45" i="2" s="1"/>
  <c r="DQ38" i="2" a="1"/>
  <c r="DQ38" i="2" s="1"/>
  <c r="DJ38" i="2" s="1" a="1"/>
  <c r="DJ38" i="2" s="1"/>
  <c r="DQ36" i="2" a="1"/>
  <c r="DQ36" i="2" s="1"/>
  <c r="DJ36" i="2" s="1" a="1"/>
  <c r="DJ36" i="2" s="1"/>
  <c r="DQ34" i="2" a="1"/>
  <c r="DQ34" i="2" s="1"/>
  <c r="DJ34" i="2" s="1" a="1"/>
  <c r="DJ34" i="2" s="1"/>
  <c r="DQ47" i="2" a="1"/>
  <c r="DQ47" i="2" s="1"/>
  <c r="DJ47" i="2" s="1" a="1"/>
  <c r="DJ47" i="2" s="1"/>
  <c r="DQ44" i="2" a="1"/>
  <c r="DQ44" i="2" s="1"/>
  <c r="DJ44" i="2" s="1" a="1"/>
  <c r="DJ44" i="2" s="1"/>
  <c r="DQ42" i="2" a="1"/>
  <c r="DQ42" i="2" s="1"/>
  <c r="DJ42" i="2" s="1" a="1"/>
  <c r="DJ42" i="2" s="1"/>
  <c r="DQ48" i="2" a="1"/>
  <c r="DQ48" i="2" s="1"/>
  <c r="DJ48" i="2" s="1" a="1"/>
  <c r="DJ48" i="2" s="1"/>
  <c r="DQ32" i="2" a="1"/>
  <c r="DQ32" i="2" s="1"/>
  <c r="DJ32" i="2" s="1" a="1"/>
  <c r="DJ32" i="2" s="1"/>
  <c r="DQ43" i="2" a="1"/>
  <c r="DQ43" i="2" s="1"/>
  <c r="DJ43" i="2" s="1" a="1"/>
  <c r="DJ43" i="2" s="1"/>
  <c r="DQ25" i="2" a="1"/>
  <c r="DQ25" i="2" s="1"/>
  <c r="DJ25" i="2" s="1" a="1"/>
  <c r="DJ25" i="2" s="1"/>
  <c r="DQ39" i="2" a="1"/>
  <c r="DQ39" i="2" s="1"/>
  <c r="DJ39" i="2" s="1" a="1"/>
  <c r="DJ39" i="2" s="1"/>
  <c r="DQ33" i="2" a="1"/>
  <c r="DQ33" i="2" s="1"/>
  <c r="DJ33" i="2" s="1" a="1"/>
  <c r="DJ33" i="2" s="1"/>
  <c r="DQ37" i="2" a="1"/>
  <c r="DQ37" i="2" s="1"/>
  <c r="DJ37" i="2" s="1" a="1"/>
  <c r="DJ37" i="2" s="1"/>
  <c r="DQ35" i="2" a="1"/>
  <c r="DQ35" i="2" s="1"/>
  <c r="DJ35" i="2" s="1" a="1"/>
  <c r="DJ35" i="2" s="1"/>
  <c r="DQ30" i="2" a="1"/>
  <c r="DQ30" i="2" s="1"/>
  <c r="DJ30" i="2" s="1" a="1"/>
  <c r="DJ30" i="2" s="1"/>
  <c r="DQ28" i="2" a="1"/>
  <c r="DQ28" i="2" s="1"/>
  <c r="DJ28" i="2" s="1" a="1"/>
  <c r="DJ28" i="2" s="1"/>
  <c r="DQ26" i="2" a="1"/>
  <c r="DQ26" i="2" s="1"/>
  <c r="DJ26" i="2" s="1" a="1"/>
  <c r="DJ26" i="2" s="1"/>
  <c r="DQ29" i="2" a="1"/>
  <c r="DQ29" i="2" s="1"/>
  <c r="DJ29" i="2" s="1" a="1"/>
  <c r="DJ29" i="2" s="1"/>
  <c r="DQ23" i="2" a="1"/>
  <c r="DQ23" i="2" s="1"/>
  <c r="DJ23" i="2" s="1" a="1"/>
  <c r="DJ23" i="2" s="1"/>
  <c r="DQ18" i="2" a="1"/>
  <c r="DQ18" i="2" s="1"/>
  <c r="DJ18" i="2" s="1" a="1"/>
  <c r="DJ18" i="2" s="1"/>
  <c r="DQ31" i="2" a="1"/>
  <c r="DQ31" i="2" s="1"/>
  <c r="DJ31" i="2" s="1" a="1"/>
  <c r="DJ31" i="2" s="1"/>
  <c r="DQ27" i="2" a="1"/>
  <c r="DQ27" i="2" s="1"/>
  <c r="DJ27" i="2" s="1" a="1"/>
  <c r="DJ27" i="2" s="1"/>
  <c r="DQ24" i="2" a="1"/>
  <c r="DQ24" i="2" s="1"/>
  <c r="DJ24" i="2" s="1" a="1"/>
  <c r="DJ24" i="2" s="1"/>
  <c r="AV22" i="2" a="1"/>
  <c r="AV22" i="2" s="1"/>
  <c r="DQ21" i="2" a="1"/>
  <c r="DQ21" i="2" s="1"/>
  <c r="DJ21" i="2" s="1" a="1"/>
  <c r="DJ21" i="2" s="1"/>
  <c r="DQ20" i="2" a="1"/>
  <c r="DQ20" i="2" s="1"/>
  <c r="DJ20" i="2" s="1" a="1"/>
  <c r="DJ20" i="2" s="1"/>
  <c r="DQ17" i="2" a="1"/>
  <c r="DQ17" i="2" s="1"/>
  <c r="DJ17" i="2" s="1" a="1"/>
  <c r="DJ17" i="2" s="1"/>
  <c r="DQ15" i="2" a="1"/>
  <c r="DQ15" i="2" s="1"/>
  <c r="DJ15" i="2" s="1" a="1"/>
  <c r="DJ15" i="2" s="1"/>
  <c r="DQ12" i="2" a="1"/>
  <c r="DQ12" i="2" s="1"/>
  <c r="DJ12" i="2" s="1" a="1"/>
  <c r="DJ12" i="2" s="1"/>
  <c r="DQ10" i="2" a="1"/>
  <c r="DQ10" i="2" s="1"/>
  <c r="DJ10" i="2" s="1" a="1"/>
  <c r="DJ10" i="2" s="1"/>
  <c r="AV6" i="2" a="1"/>
  <c r="AV6" i="2" s="1"/>
  <c r="DQ9" i="2" a="1"/>
  <c r="DQ9" i="2" s="1"/>
  <c r="DJ9" i="2" s="1" a="1"/>
  <c r="DJ9" i="2" s="1"/>
  <c r="DQ13" i="2" a="1"/>
  <c r="DQ13" i="2" s="1"/>
  <c r="DJ13" i="2" s="1" a="1"/>
  <c r="DJ13" i="2" s="1"/>
  <c r="DQ14" i="2" a="1"/>
  <c r="DQ14" i="2" s="1"/>
  <c r="DJ14" i="2" s="1" a="1"/>
  <c r="DJ14" i="2" s="1"/>
  <c r="AV8" i="2" a="1"/>
  <c r="AV8" i="2" s="1"/>
  <c r="DQ19" i="2" a="1"/>
  <c r="DQ19" i="2" s="1"/>
  <c r="DJ19" i="2" s="1" a="1"/>
  <c r="DJ19" i="2" s="1"/>
  <c r="DQ7" i="2" a="1"/>
  <c r="DQ7" i="2" s="1"/>
  <c r="DJ7" i="2" s="1" a="1"/>
  <c r="DJ7" i="2" s="1"/>
  <c r="DQ11" i="2" a="1"/>
  <c r="DQ11" i="2" s="1"/>
  <c r="DJ11" i="2" s="1" a="1"/>
  <c r="DJ11" i="2" s="1"/>
  <c r="DQ16" i="2" a="1"/>
  <c r="DQ16" i="2" s="1"/>
  <c r="DJ16" i="2" s="1" a="1"/>
  <c r="DJ16" i="2" s="1"/>
  <c r="DQ8" i="2" a="1"/>
  <c r="DQ8" i="2" s="1"/>
  <c r="DJ8" i="2" s="1" a="1"/>
  <c r="DJ8" i="2" s="1"/>
  <c r="DQ6" i="2" a="1"/>
  <c r="DQ6" i="2" s="1"/>
  <c r="DJ6" i="2" s="1" a="1"/>
  <c r="DJ6" i="2" s="1"/>
  <c r="DQ22" i="2" a="1"/>
  <c r="DQ22" i="2" s="1"/>
  <c r="DJ22" i="2" s="1" a="1"/>
  <c r="DJ22" i="2" s="1"/>
  <c r="AV17" i="2" a="1"/>
  <c r="AV17" i="2" s="1"/>
  <c r="AV9" i="2" a="1"/>
  <c r="AV9" i="2" s="1"/>
  <c r="AV7" i="2" a="1"/>
  <c r="AV7" i="2" s="1"/>
  <c r="AL7" i="2" a="1"/>
  <c r="AL7" i="2" s="1"/>
  <c r="C19" i="4" a="1"/>
  <c r="C19" i="4" s="1"/>
  <c r="B10" i="3" a="1"/>
  <c r="B10" i="3" s="1"/>
  <c r="BG9" i="2" a="1"/>
  <c r="BG9" i="2" s="1"/>
  <c r="BG7" i="2" a="1"/>
  <c r="BG7" i="2" s="1"/>
  <c r="N20" i="2" a="1"/>
  <c r="N20" i="2" s="1"/>
  <c r="CK15" i="2" s="1" a="1"/>
  <c r="CK15" i="2" s="1"/>
  <c r="BG6" i="2" a="1"/>
  <c r="BG6" i="2" s="1"/>
  <c r="CK6" i="2" a="1"/>
  <c r="CK6" i="2" s="1"/>
  <c r="N7" i="2" a="1"/>
  <c r="N7" i="2" s="1"/>
  <c r="CK8" i="2" s="1" a="1"/>
  <c r="CK8" i="2" s="1"/>
  <c r="B31" i="3" a="1"/>
  <c r="B31" i="3" s="1"/>
  <c r="C6" i="4" a="1"/>
  <c r="C6" i="4" s="1"/>
  <c r="BH7" i="2" a="1"/>
  <c r="BH7" i="2" s="1"/>
  <c r="Q4" i="2" a="1"/>
  <c r="Q4" i="2" s="1"/>
  <c r="I5" i="2" a="1"/>
  <c r="I5" i="2" s="1"/>
  <c r="R6" i="2" a="1"/>
  <c r="R6" i="2" s="1"/>
  <c r="I7" i="2" a="1"/>
  <c r="I7" i="2" s="1"/>
  <c r="H8" i="2" a="1"/>
  <c r="H8" i="2" s="1"/>
  <c r="R8" i="2" a="1"/>
  <c r="R8" i="2" s="1"/>
  <c r="R9" i="2" a="1"/>
  <c r="R9" i="2" s="1"/>
  <c r="BH10" i="2" a="1"/>
  <c r="BH10" i="2" s="1"/>
  <c r="BK11" i="2" a="1"/>
  <c r="BK11" i="2" s="1"/>
  <c r="Q12" i="2" a="1"/>
  <c r="Q12" i="2" s="1"/>
  <c r="BI13" i="2" a="1"/>
  <c r="BI13" i="2" s="1"/>
  <c r="C13" i="4" a="1"/>
  <c r="C13" i="4" s="1"/>
  <c r="B32" i="3" a="1"/>
  <c r="B32" i="3" s="1"/>
  <c r="BH14" i="2" a="1"/>
  <c r="BH14" i="2" s="1"/>
  <c r="BJ17" i="2" a="1"/>
  <c r="BJ17" i="2" s="1"/>
  <c r="BU20" i="2" a="1"/>
  <c r="BU20" i="2" s="1"/>
  <c r="E21" i="2" a="1"/>
  <c r="E21" i="2" s="1"/>
  <c r="N21" i="2" a="1"/>
  <c r="N21" i="2" s="1"/>
  <c r="L21" i="2" a="1"/>
  <c r="L21" i="2" s="1"/>
  <c r="R21" i="2" a="1"/>
  <c r="R21" i="2" s="1"/>
  <c r="H21" i="2" a="1"/>
  <c r="H21" i="2" s="1"/>
  <c r="Q21" i="2" a="1"/>
  <c r="Q21" i="2" s="1"/>
  <c r="F21" i="2" a="1"/>
  <c r="F21" i="2" s="1"/>
  <c r="BG21" i="2" a="1"/>
  <c r="BG21" i="2" s="1"/>
  <c r="O22" i="2" a="1"/>
  <c r="O22" i="2" s="1"/>
  <c r="CJ17" i="2" s="1" a="1"/>
  <c r="CJ17" i="2" s="1"/>
  <c r="E22" i="2" a="1"/>
  <c r="E22" i="2" s="1"/>
  <c r="N22" i="2" a="1"/>
  <c r="N22" i="2" s="1"/>
  <c r="R22" i="2" a="1"/>
  <c r="R22" i="2" s="1"/>
  <c r="H22" i="2" a="1"/>
  <c r="H22" i="2" s="1"/>
  <c r="Q22" i="2" a="1"/>
  <c r="Q22" i="2" s="1"/>
  <c r="F22" i="2" a="1"/>
  <c r="F22" i="2" s="1"/>
  <c r="BV17" i="2" s="1" a="1"/>
  <c r="BV17" i="2" s="1"/>
  <c r="BW22" i="2" a="1"/>
  <c r="BW22" i="2" s="1"/>
  <c r="BK24" i="2" a="1"/>
  <c r="BK24" i="2" s="1"/>
  <c r="C24" i="4" a="1"/>
  <c r="C24" i="4" s="1"/>
  <c r="B59" i="3" a="1"/>
  <c r="B59" i="3" s="1"/>
  <c r="E25" i="2" a="1"/>
  <c r="E25" i="2" s="1"/>
  <c r="N25" i="2" a="1"/>
  <c r="N25" i="2" s="1"/>
  <c r="C12" i="4" a="1"/>
  <c r="C12" i="4" s="1"/>
  <c r="B9" i="3" a="1"/>
  <c r="B9" i="3" s="1"/>
  <c r="E14" i="2" a="1"/>
  <c r="E14" i="2" s="1"/>
  <c r="BW11" i="2" s="1" a="1"/>
  <c r="BW11" i="2" s="1"/>
  <c r="BI14" i="2" a="1"/>
  <c r="BI14" i="2" s="1"/>
  <c r="F15" i="2" a="1"/>
  <c r="F15" i="2" s="1"/>
  <c r="BU10" i="2" s="1" a="1"/>
  <c r="BU10" i="2" s="1"/>
  <c r="Q15" i="2" a="1"/>
  <c r="Q15" i="2" s="1"/>
  <c r="Q16" i="2" a="1"/>
  <c r="Q16" i="2" s="1"/>
  <c r="BG16" i="2" a="1"/>
  <c r="BG16" i="2" s="1"/>
  <c r="BG60" i="2" s="1" a="1"/>
  <c r="BG60" i="2" s="1"/>
  <c r="K17" i="2" a="1"/>
  <c r="K17" i="2" s="1"/>
  <c r="BK17" i="2" a="1"/>
  <c r="BK17" i="2" s="1"/>
  <c r="I20" i="2" a="1"/>
  <c r="I20" i="2" s="1"/>
  <c r="CB14" i="2" s="1" a="1"/>
  <c r="CB14" i="2" s="1"/>
  <c r="BG20" i="2" a="1"/>
  <c r="BG20" i="2" s="1"/>
  <c r="C20" i="4" a="1"/>
  <c r="C20" i="4" s="1"/>
  <c r="B11" i="3" a="1"/>
  <c r="B11" i="3" s="1"/>
  <c r="C22" i="4" a="1"/>
  <c r="C22" i="4" s="1"/>
  <c r="B35" i="3" a="1"/>
  <c r="B35" i="3" s="1"/>
  <c r="BI12" i="2" a="1"/>
  <c r="BI12" i="2" s="1"/>
  <c r="K5" i="2" a="1"/>
  <c r="K5" i="2" s="1"/>
  <c r="U5" i="2" a="1"/>
  <c r="U5" i="2" s="1"/>
  <c r="T6" i="2" a="1"/>
  <c r="T6" i="2" s="1"/>
  <c r="CT7" i="2" s="1" a="1"/>
  <c r="CT7" i="2" s="1"/>
  <c r="CJ6" i="2" a="1"/>
  <c r="CJ6" i="2" s="1"/>
  <c r="K7" i="2" a="1"/>
  <c r="K7" i="2" s="1"/>
  <c r="T8" i="2" a="1"/>
  <c r="T8" i="2" s="1"/>
  <c r="CT6" i="2" s="1" a="1"/>
  <c r="CT6" i="2" s="1"/>
  <c r="K9" i="2" a="1"/>
  <c r="K9" i="2" s="1"/>
  <c r="AL9" i="2" a="1"/>
  <c r="AL9" i="2" s="1"/>
  <c r="CT9" i="2" a="1"/>
  <c r="CT9" i="2" s="1"/>
  <c r="BI10" i="2" a="1"/>
  <c r="BI10" i="2" s="1"/>
  <c r="I12" i="2" a="1"/>
  <c r="I12" i="2" s="1"/>
  <c r="BJ13" i="2" a="1"/>
  <c r="BJ13" i="2" s="1"/>
  <c r="C16" i="4" a="1"/>
  <c r="C16" i="4" s="1"/>
  <c r="B57" i="3" a="1"/>
  <c r="B57" i="3" s="1"/>
  <c r="BG18" i="2" a="1"/>
  <c r="BG18" i="2" s="1"/>
  <c r="BG19" i="2" a="1"/>
  <c r="BG19" i="2" s="1"/>
  <c r="K20" i="2" a="1"/>
  <c r="K20" i="2" s="1"/>
  <c r="BH20" i="2" a="1"/>
  <c r="BH20" i="2" s="1"/>
  <c r="I21" i="2" a="1"/>
  <c r="I21" i="2" s="1"/>
  <c r="I22" i="2" a="1"/>
  <c r="I22" i="2" s="1"/>
  <c r="BG8" i="2" a="1"/>
  <c r="BG8" i="2" s="1"/>
  <c r="BJ10" i="2" a="1"/>
  <c r="BJ10" i="2" s="1"/>
  <c r="T12" i="2" a="1"/>
  <c r="T12" i="2" s="1"/>
  <c r="BJ12" i="2" a="1"/>
  <c r="BJ12" i="2" s="1"/>
  <c r="CP13" i="2" a="1"/>
  <c r="CP13" i="2" s="1"/>
  <c r="F14" i="2" a="1"/>
  <c r="F14" i="2" s="1"/>
  <c r="BU13" i="2" s="1" a="1"/>
  <c r="BU13" i="2" s="1"/>
  <c r="BJ14" i="2" a="1"/>
  <c r="BJ14" i="2" s="1"/>
  <c r="H15" i="2" a="1"/>
  <c r="H15" i="2" s="1"/>
  <c r="BG15" i="2" a="1"/>
  <c r="BG15" i="2" s="1"/>
  <c r="BH16" i="2" a="1"/>
  <c r="BH16" i="2" s="1"/>
  <c r="BH60" i="2" s="1" a="1"/>
  <c r="BH60" i="2" s="1"/>
  <c r="BH19" i="2" a="1"/>
  <c r="BH19" i="2" s="1"/>
  <c r="BJ20" i="2" a="1"/>
  <c r="BJ20" i="2" s="1"/>
  <c r="E23" i="2" a="1"/>
  <c r="E23" i="2" s="1"/>
  <c r="N23" i="2" a="1"/>
  <c r="N23" i="2" s="1"/>
  <c r="L23" i="2" a="1"/>
  <c r="L23" i="2" s="1"/>
  <c r="H23" i="2" a="1"/>
  <c r="H23" i="2" s="1"/>
  <c r="Q23" i="2" a="1"/>
  <c r="Q23" i="2" s="1"/>
  <c r="F23" i="2" a="1"/>
  <c r="F23" i="2" s="1"/>
  <c r="O23" i="2" a="1"/>
  <c r="O23" i="2" s="1"/>
  <c r="CI14" i="2" s="1" a="1"/>
  <c r="CI14" i="2" s="1"/>
  <c r="AV24" i="2" a="1"/>
  <c r="AV24" i="2" s="1"/>
  <c r="AL15" i="2" a="1"/>
  <c r="AL15" i="2" s="1"/>
  <c r="H16" i="2" a="1"/>
  <c r="H16" i="2" s="1"/>
  <c r="BI16" i="2" a="1"/>
  <c r="BI16" i="2" s="1"/>
  <c r="BU16" i="2" a="1"/>
  <c r="BU16" i="2" s="1"/>
  <c r="BH18" i="2" a="1"/>
  <c r="BH18" i="2" s="1"/>
  <c r="CK21" i="2" a="1"/>
  <c r="CK21" i="2" s="1"/>
  <c r="CI23" i="2" a="1"/>
  <c r="CI23" i="2" s="1"/>
  <c r="AL97" i="2" a="1"/>
  <c r="AL97" i="2" s="1"/>
  <c r="AL79" i="2" a="1"/>
  <c r="AL79" i="2" s="1"/>
  <c r="BD60" i="2" a="1"/>
  <c r="BD60" i="2" s="1"/>
  <c r="AL56" i="2" a="1"/>
  <c r="AL56" i="2" s="1"/>
  <c r="BD66" i="2" a="1"/>
  <c r="BD66" i="2" s="1"/>
  <c r="BD61" i="2" a="1"/>
  <c r="BD61" i="2" s="1"/>
  <c r="BD59" i="2" a="1"/>
  <c r="BD59" i="2" s="1"/>
  <c r="AL57" i="2" a="1"/>
  <c r="AL57" i="2" s="1"/>
  <c r="AL81" i="2" a="1"/>
  <c r="AL81" i="2" s="1"/>
  <c r="BD64" i="2" a="1"/>
  <c r="BD64" i="2" s="1"/>
  <c r="AL70" i="2" a="1"/>
  <c r="AL70" i="2" s="1"/>
  <c r="AL49" i="2" a="1"/>
  <c r="AL49" i="2" s="1"/>
  <c r="AL41" i="2" a="1"/>
  <c r="AL41" i="2" s="1"/>
  <c r="AL38" i="2" a="1"/>
  <c r="AL38" i="2" s="1"/>
  <c r="AL25" i="2" a="1"/>
  <c r="AL25" i="2" s="1"/>
  <c r="AL33" i="2" a="1"/>
  <c r="AL33" i="2" s="1"/>
  <c r="N5" i="2" a="1"/>
  <c r="N5" i="2" s="1"/>
  <c r="C4" i="4" a="1"/>
  <c r="C4" i="4" s="1"/>
  <c r="B7" i="3" a="1"/>
  <c r="B7" i="3" s="1"/>
  <c r="U12" i="2" a="1"/>
  <c r="U12" i="2" s="1"/>
  <c r="BK12" i="2" a="1"/>
  <c r="BK12" i="2" s="1"/>
  <c r="BV13" i="2" a="1"/>
  <c r="BV13" i="2" s="1"/>
  <c r="H14" i="2" a="1"/>
  <c r="H14" i="2" s="1"/>
  <c r="BK14" i="2" a="1"/>
  <c r="BK14" i="2" s="1"/>
  <c r="BH15" i="2" a="1"/>
  <c r="BH15" i="2" s="1"/>
  <c r="CI16" i="2" a="1"/>
  <c r="CI16" i="2" s="1"/>
  <c r="I17" i="2" a="1"/>
  <c r="I17" i="2" s="1"/>
  <c r="N17" i="2" a="1"/>
  <c r="N17" i="2" s="1"/>
  <c r="O17" i="2" a="1"/>
  <c r="O17" i="2" s="1"/>
  <c r="CI11" i="2" s="1" a="1"/>
  <c r="CI11" i="2" s="1"/>
  <c r="BI18" i="2" a="1"/>
  <c r="BI18" i="2" s="1"/>
  <c r="BI19" i="2" a="1"/>
  <c r="BI19" i="2" s="1"/>
  <c r="BW19" i="2" a="1"/>
  <c r="BW19" i="2" s="1"/>
  <c r="BG22" i="2" a="1"/>
  <c r="BG22" i="2" s="1"/>
  <c r="CJ22" i="2" a="1"/>
  <c r="CJ22" i="2" s="1"/>
  <c r="AV23" i="2" a="1"/>
  <c r="AV23" i="2" s="1"/>
  <c r="F29" i="4" a="1"/>
  <c r="F29" i="4" s="1"/>
  <c r="U30" i="2" a="1"/>
  <c r="U30" i="2" s="1"/>
  <c r="I30" i="2" a="1"/>
  <c r="I30" i="2" s="1"/>
  <c r="F30" i="2" a="1"/>
  <c r="F30" i="2" s="1"/>
  <c r="BU18" i="2" s="1" a="1"/>
  <c r="BU18" i="2" s="1"/>
  <c r="R30" i="2" a="1"/>
  <c r="R30" i="2" s="1"/>
  <c r="L6" i="2" a="1"/>
  <c r="L6" i="2" s="1"/>
  <c r="B30" i="3" a="1"/>
  <c r="B30" i="3" s="1"/>
  <c r="C5" i="4" a="1"/>
  <c r="C5" i="4" s="1"/>
  <c r="BH6" i="2" a="1"/>
  <c r="BH6" i="2" s="1"/>
  <c r="AP6" i="2" s="1" a="1"/>
  <c r="AP6" i="2" s="1"/>
  <c r="BV14" i="2" a="1"/>
  <c r="BV14" i="2" s="1"/>
  <c r="BJ16" i="2" a="1"/>
  <c r="BJ16" i="2" s="1"/>
  <c r="BJ60" i="2" s="1" a="1"/>
  <c r="BJ60" i="2" s="1"/>
  <c r="BV16" i="2" a="1"/>
  <c r="BV16" i="2" s="1"/>
  <c r="CJ16" i="2" a="1"/>
  <c r="CJ16" i="2" s="1"/>
  <c r="E17" i="2" a="1"/>
  <c r="E17" i="2" s="1"/>
  <c r="CJ18" i="2" a="1"/>
  <c r="CJ18" i="2" s="1"/>
  <c r="BJ19" i="2" a="1"/>
  <c r="BJ19" i="2" s="1"/>
  <c r="T22" i="2" a="1"/>
  <c r="T22" i="2" s="1"/>
  <c r="AL22" i="2" a="1"/>
  <c r="AL22" i="2" s="1"/>
  <c r="CJ23" i="2" a="1"/>
  <c r="CJ23" i="2" s="1"/>
  <c r="L8" i="2" a="1"/>
  <c r="L8" i="2" s="1"/>
  <c r="C7" i="4" a="1"/>
  <c r="C7" i="4" s="1"/>
  <c r="B54" i="3" a="1"/>
  <c r="B54" i="3" s="1"/>
  <c r="BH8" i="2" a="1"/>
  <c r="BH8" i="2" s="1"/>
  <c r="AP8" i="2" s="1" a="1"/>
  <c r="AP8" i="2" s="1"/>
  <c r="L12" i="2" a="1"/>
  <c r="L12" i="2" s="1"/>
  <c r="CF10" i="2" s="1" a="1"/>
  <c r="CF10" i="2" s="1"/>
  <c r="BI8" i="2" a="1"/>
  <c r="BI8" i="2" s="1"/>
  <c r="AQ8" i="2" s="1" a="1"/>
  <c r="AQ8" i="2" s="1"/>
  <c r="BH11" i="2" a="1"/>
  <c r="BH11" i="2" s="1"/>
  <c r="CI12" i="2" a="1"/>
  <c r="CI12" i="2" s="1"/>
  <c r="T14" i="2" a="1"/>
  <c r="T14" i="2" s="1"/>
  <c r="BI15" i="2" a="1"/>
  <c r="BI15" i="2" s="1"/>
  <c r="BK16" i="2" a="1"/>
  <c r="BK16" i="2" s="1"/>
  <c r="Q17" i="2" a="1"/>
  <c r="Q17" i="2" s="1"/>
  <c r="BG17" i="2" a="1"/>
  <c r="BG17" i="2" s="1"/>
  <c r="BJ18" i="2" a="1"/>
  <c r="BJ18" i="2" s="1"/>
  <c r="BK19" i="2" a="1"/>
  <c r="BK19" i="2" s="1"/>
  <c r="O21" i="2" a="1"/>
  <c r="O21" i="2" s="1"/>
  <c r="CK16" i="2" s="1" a="1"/>
  <c r="CK16" i="2" s="1"/>
  <c r="AL23" i="2" a="1"/>
  <c r="AL23" i="2" s="1"/>
  <c r="C27" i="4" a="1"/>
  <c r="C27" i="4" s="1"/>
  <c r="B12" i="3" a="1"/>
  <c r="B12" i="3" s="1"/>
  <c r="AV30" i="2" a="1"/>
  <c r="AV30" i="2" s="1"/>
  <c r="AL30" i="2" a="1"/>
  <c r="AL30" i="2" s="1"/>
  <c r="BK10" i="2" a="1"/>
  <c r="BK10" i="2" s="1"/>
  <c r="N9" i="2" a="1"/>
  <c r="N9" i="2" s="1"/>
  <c r="CI8" i="2" s="1" a="1"/>
  <c r="CI8" i="2" s="1"/>
  <c r="B55" i="3" a="1"/>
  <c r="B55" i="3" s="1"/>
  <c r="C8" i="4" a="1"/>
  <c r="C8" i="4" s="1"/>
  <c r="BH9" i="2" a="1"/>
  <c r="BH9" i="2" s="1"/>
  <c r="CI13" i="2" a="1"/>
  <c r="CI13" i="2" s="1"/>
  <c r="CO6" i="2" a="1"/>
  <c r="CO6" i="2" s="1"/>
  <c r="E7" i="2" a="1"/>
  <c r="E7" i="2" s="1"/>
  <c r="BW8" i="2" s="1" a="1"/>
  <c r="BW8" i="2" s="1"/>
  <c r="BI7" i="2" a="1"/>
  <c r="BI7" i="2" s="1"/>
  <c r="E8" i="2" a="1"/>
  <c r="E8" i="2" s="1"/>
  <c r="BJ8" i="2" a="1"/>
  <c r="BJ8" i="2" s="1"/>
  <c r="AR8" i="2" s="1" a="1"/>
  <c r="AR8" i="2" s="1"/>
  <c r="O9" i="2" a="1"/>
  <c r="O9" i="2" s="1"/>
  <c r="BI9" i="2" a="1"/>
  <c r="BI9" i="2" s="1"/>
  <c r="BW10" i="2" a="1"/>
  <c r="BW10" i="2" s="1"/>
  <c r="BI11" i="2" a="1"/>
  <c r="BI11" i="2" s="1"/>
  <c r="BW14" i="2" a="1"/>
  <c r="BW14" i="2" s="1"/>
  <c r="C14" i="4" a="1"/>
  <c r="C14" i="4" s="1"/>
  <c r="B33" i="3" a="1"/>
  <c r="B33" i="3" s="1"/>
  <c r="C15" i="4" a="1"/>
  <c r="C15" i="4" s="1"/>
  <c r="B56" i="3" a="1"/>
  <c r="B56" i="3" s="1"/>
  <c r="BK18" i="2" a="1"/>
  <c r="BK18" i="2" s="1"/>
  <c r="R20" i="2" a="1"/>
  <c r="R20" i="2" s="1"/>
  <c r="H20" i="2" a="1"/>
  <c r="H20" i="2" s="1"/>
  <c r="F20" i="2" a="1"/>
  <c r="F20" i="2" s="1"/>
  <c r="L20" i="2" a="1"/>
  <c r="L20" i="2" s="1"/>
  <c r="Q20" i="2" a="1"/>
  <c r="Q20" i="2" s="1"/>
  <c r="CI20" i="2" a="1"/>
  <c r="CI20" i="2" s="1"/>
  <c r="R23" i="2" a="1"/>
  <c r="R23" i="2" s="1"/>
  <c r="K25" i="2" a="1"/>
  <c r="K25" i="2" s="1"/>
  <c r="CF16" i="2" s="1" a="1"/>
  <c r="CF16" i="2" s="1"/>
  <c r="L7" i="2" a="1"/>
  <c r="L7" i="2" s="1"/>
  <c r="BG11" i="2" a="1"/>
  <c r="BG11" i="2" s="1"/>
  <c r="B6" i="3" a="1"/>
  <c r="B6" i="3" s="1"/>
  <c r="C3" i="4" a="1"/>
  <c r="C3" i="4" s="1"/>
  <c r="CI53" i="2" a="1"/>
  <c r="CI53" i="2" s="1"/>
  <c r="BW50" i="2" a="1"/>
  <c r="BW50" i="2" s="1"/>
  <c r="BH51" i="2" a="1"/>
  <c r="BH51" i="2" s="1"/>
  <c r="BV50" i="2" a="1"/>
  <c r="BV50" i="2" s="1"/>
  <c r="BH53" i="2" a="1"/>
  <c r="BH53" i="2" s="1"/>
  <c r="CK51" i="2" a="1"/>
  <c r="CK51" i="2" s="1"/>
  <c r="BG51" i="2" a="1"/>
  <c r="BG51" i="2" s="1"/>
  <c r="BG53" i="2" a="1"/>
  <c r="BG53" i="2" s="1"/>
  <c r="BJ52" i="2" a="1"/>
  <c r="BJ52" i="2" s="1"/>
  <c r="BW51" i="2" a="1"/>
  <c r="BW51" i="2" s="1"/>
  <c r="CI51" i="2" a="1"/>
  <c r="CI51" i="2" s="1"/>
  <c r="BH52" i="2" a="1"/>
  <c r="BH52" i="2" s="1"/>
  <c r="BJ51" i="2" a="1"/>
  <c r="BJ51" i="2" s="1"/>
  <c r="CK50" i="2" a="1"/>
  <c r="CK50" i="2" s="1"/>
  <c r="CJ53" i="2" a="1"/>
  <c r="CJ53" i="2" s="1"/>
  <c r="BV53" i="2" a="1"/>
  <c r="BV53" i="2" s="1"/>
  <c r="BG52" i="2" a="1"/>
  <c r="BG52" i="2" s="1"/>
  <c r="BU53" i="2" a="1"/>
  <c r="BU53" i="2" s="1"/>
  <c r="BJ53" i="2" a="1"/>
  <c r="BJ53" i="2" s="1"/>
  <c r="CJ50" i="2" a="1"/>
  <c r="CJ50" i="2" s="1"/>
  <c r="BJ48" i="2" a="1"/>
  <c r="BJ48" i="2" s="1"/>
  <c r="BU51" i="2" a="1"/>
  <c r="BU51" i="2" s="1"/>
  <c r="BJ50" i="2" a="1"/>
  <c r="BJ50" i="2" s="1"/>
  <c r="BH48" i="2" a="1"/>
  <c r="BH48" i="2" s="1"/>
  <c r="BG47" i="2" a="1"/>
  <c r="BG47" i="2" s="1"/>
  <c r="CK46" i="2" a="1"/>
  <c r="CK46" i="2" s="1"/>
  <c r="CJ47" i="2" a="1"/>
  <c r="CJ47" i="2" s="1"/>
  <c r="BG46" i="2" a="1"/>
  <c r="BG46" i="2" s="1"/>
  <c r="CJ49" i="2" a="1"/>
  <c r="CJ49" i="2" s="1"/>
  <c r="BG50" i="2" a="1"/>
  <c r="BG50" i="2" s="1"/>
  <c r="BV48" i="2" a="1"/>
  <c r="BV48" i="2" s="1"/>
  <c r="BJ46" i="2" a="1"/>
  <c r="BJ46" i="2" s="1"/>
  <c r="BH49" i="2" a="1"/>
  <c r="BH49" i="2" s="1"/>
  <c r="BH50" i="2" a="1"/>
  <c r="BH50" i="2" s="1"/>
  <c r="BJ49" i="2" a="1"/>
  <c r="BJ49" i="2" s="1"/>
  <c r="BU47" i="2" a="1"/>
  <c r="BU47" i="2" s="1"/>
  <c r="BG43" i="2" a="1"/>
  <c r="BG43" i="2" s="1"/>
  <c r="BG41" i="2" a="1"/>
  <c r="BG41" i="2" s="1"/>
  <c r="BH40" i="2" a="1"/>
  <c r="BH40" i="2" s="1"/>
  <c r="CI47" i="2" a="1"/>
  <c r="CI47" i="2" s="1"/>
  <c r="CI45" i="2" a="1"/>
  <c r="CI45" i="2" s="1"/>
  <c r="BU45" i="2" a="1"/>
  <c r="BU45" i="2" s="1"/>
  <c r="BJ44" i="2" a="1"/>
  <c r="BJ44" i="2" s="1"/>
  <c r="BJ42" i="2" a="1"/>
  <c r="BJ42" i="2" s="1"/>
  <c r="BG40" i="2" a="1"/>
  <c r="BG40" i="2" s="1"/>
  <c r="BH39" i="2" a="1"/>
  <c r="BH39" i="2" s="1"/>
  <c r="BG49" i="2" a="1"/>
  <c r="BG49" i="2" s="1"/>
  <c r="BH47" i="2" a="1"/>
  <c r="BH47" i="2" s="1"/>
  <c r="CB46" i="2" a="1"/>
  <c r="CB46" i="2" s="1"/>
  <c r="BJ45" i="2" a="1"/>
  <c r="BJ45" i="2" s="1"/>
  <c r="CI43" i="2" a="1"/>
  <c r="CI43" i="2" s="1"/>
  <c r="CJ40" i="2" a="1"/>
  <c r="CJ40" i="2" s="1"/>
  <c r="CK38" i="2" a="1"/>
  <c r="CK38" i="2" s="1"/>
  <c r="BG38" i="2" a="1"/>
  <c r="BG38" i="2" s="1"/>
  <c r="BH37" i="2" a="1"/>
  <c r="BH37" i="2" s="1"/>
  <c r="BJ35" i="2" a="1"/>
  <c r="BJ35" i="2" s="1"/>
  <c r="CK34" i="2" a="1"/>
  <c r="CK34" i="2" s="1"/>
  <c r="BV49" i="2" a="1"/>
  <c r="BV49" i="2" s="1"/>
  <c r="CA46" i="2" a="1"/>
  <c r="CA46" i="2" s="1"/>
  <c r="BV41" i="2" a="1"/>
  <c r="BV41" i="2" s="1"/>
  <c r="CI40" i="2" a="1"/>
  <c r="CI40" i="2" s="1"/>
  <c r="CJ39" i="2" a="1"/>
  <c r="CJ39" i="2" s="1"/>
  <c r="BH44" i="2" a="1"/>
  <c r="BH44" i="2" s="1"/>
  <c r="BU43" i="2" a="1"/>
  <c r="BU43" i="2" s="1"/>
  <c r="BH42" i="2" a="1"/>
  <c r="BH42" i="2" s="1"/>
  <c r="BV40" i="2" a="1"/>
  <c r="BV40" i="2" s="1"/>
  <c r="BW46" i="2" a="1"/>
  <c r="BW46" i="2" s="1"/>
  <c r="BH45" i="2" a="1"/>
  <c r="BH45" i="2" s="1"/>
  <c r="BJ43" i="2" a="1"/>
  <c r="BJ43" i="2" s="1"/>
  <c r="CK42" i="2" a="1"/>
  <c r="CK42" i="2" s="1"/>
  <c r="BG42" i="2" a="1"/>
  <c r="BG42" i="2" s="1"/>
  <c r="BV46" i="2" a="1"/>
  <c r="BV46" i="2" s="1"/>
  <c r="BG44" i="2" a="1"/>
  <c r="BG44" i="2" s="1"/>
  <c r="BJ41" i="2" a="1"/>
  <c r="BJ41" i="2" s="1"/>
  <c r="BU40" i="2" a="1"/>
  <c r="BU40" i="2" s="1"/>
  <c r="BV38" i="2" a="1"/>
  <c r="BV38" i="2" s="1"/>
  <c r="BG48" i="2" a="1"/>
  <c r="BG48" i="2" s="1"/>
  <c r="CJ46" i="2" a="1"/>
  <c r="CJ46" i="2" s="1"/>
  <c r="BG45" i="2" a="1"/>
  <c r="BG45" i="2" s="1"/>
  <c r="CJ44" i="2" a="1"/>
  <c r="CJ44" i="2" s="1"/>
  <c r="CJ42" i="2" a="1"/>
  <c r="CJ42" i="2" s="1"/>
  <c r="BW42" i="2" a="1"/>
  <c r="BW42" i="2" s="1"/>
  <c r="BJ40" i="2" a="1"/>
  <c r="BJ40" i="2" s="1"/>
  <c r="CJ48" i="2" a="1"/>
  <c r="CJ48" i="2" s="1"/>
  <c r="BV47" i="2" a="1"/>
  <c r="BV47" i="2" s="1"/>
  <c r="BH43" i="2" a="1"/>
  <c r="BH43" i="2" s="1"/>
  <c r="BV42" i="2" a="1"/>
  <c r="BV42" i="2" s="1"/>
  <c r="BJ38" i="2" a="1"/>
  <c r="BJ38" i="2" s="1"/>
  <c r="CP37" i="2" a="1"/>
  <c r="CP37" i="2" s="1"/>
  <c r="BJ36" i="2" a="1"/>
  <c r="BJ36" i="2" s="1"/>
  <c r="CJ35" i="2" a="1"/>
  <c r="CJ35" i="2" s="1"/>
  <c r="BJ34" i="2" a="1"/>
  <c r="BJ34" i="2" s="1"/>
  <c r="CJ33" i="2" a="1"/>
  <c r="CJ33" i="2" s="1"/>
  <c r="BJ47" i="2" a="1"/>
  <c r="BJ47" i="2" s="1"/>
  <c r="BH46" i="2" a="1"/>
  <c r="BH46" i="2" s="1"/>
  <c r="BV44" i="2" a="1"/>
  <c r="BV44" i="2" s="1"/>
  <c r="BH41" i="2" a="1"/>
  <c r="BH41" i="2" s="1"/>
  <c r="BJ37" i="2" a="1"/>
  <c r="BJ37" i="2" s="1"/>
  <c r="CI35" i="2" a="1"/>
  <c r="CI35" i="2" s="1"/>
  <c r="CJ38" i="2" a="1"/>
  <c r="CJ38" i="2" s="1"/>
  <c r="BV36" i="2" a="1"/>
  <c r="BV36" i="2" s="1"/>
  <c r="BV35" i="2" a="1"/>
  <c r="BV35" i="2" s="1"/>
  <c r="CJ41" i="2" a="1"/>
  <c r="CJ41" i="2" s="1"/>
  <c r="CJ37" i="2" a="1"/>
  <c r="CJ37" i="2" s="1"/>
  <c r="BH36" i="2" a="1"/>
  <c r="BH36" i="2" s="1"/>
  <c r="BG34" i="2" a="1"/>
  <c r="BG34" i="2" s="1"/>
  <c r="BH33" i="2" a="1"/>
  <c r="BH33" i="2" s="1"/>
  <c r="CJ36" i="2" a="1"/>
  <c r="CJ36" i="2" s="1"/>
  <c r="BW41" i="2" a="1"/>
  <c r="BW41" i="2" s="1"/>
  <c r="BJ39" i="2" a="1"/>
  <c r="BJ39" i="2" s="1"/>
  <c r="BG33" i="2" a="1"/>
  <c r="BG33" i="2" s="1"/>
  <c r="BJ32" i="2" a="1"/>
  <c r="BJ32" i="2" s="1"/>
  <c r="BU31" i="2" a="1"/>
  <c r="BU31" i="2" s="1"/>
  <c r="BG39" i="2" a="1"/>
  <c r="BG39" i="2" s="1"/>
  <c r="CI36" i="2" a="1"/>
  <c r="CI36" i="2" s="1"/>
  <c r="BH35" i="2" a="1"/>
  <c r="BH35" i="2" s="1"/>
  <c r="BJ31" i="2" a="1"/>
  <c r="BJ31" i="2" s="1"/>
  <c r="BG25" i="2" a="1"/>
  <c r="BG25" i="2" s="1"/>
  <c r="BW38" i="2" a="1"/>
  <c r="BW38" i="2" s="1"/>
  <c r="BG35" i="2" a="1"/>
  <c r="BG35" i="2" s="1"/>
  <c r="CJ34" i="2" a="1"/>
  <c r="CJ34" i="2" s="1"/>
  <c r="BW34" i="2" a="1"/>
  <c r="BW34" i="2" s="1"/>
  <c r="BH38" i="2" a="1"/>
  <c r="BH38" i="2" s="1"/>
  <c r="BH32" i="2" a="1"/>
  <c r="BH32" i="2" s="1"/>
  <c r="BV34" i="2" a="1"/>
  <c r="BV34" i="2" s="1"/>
  <c r="CI33" i="2" a="1"/>
  <c r="CI33" i="2" s="1"/>
  <c r="BH31" i="2" a="1"/>
  <c r="BH31" i="2" s="1"/>
  <c r="BV39" i="2" a="1"/>
  <c r="BV39" i="2" s="1"/>
  <c r="BG32" i="2" a="1"/>
  <c r="BG32" i="2" s="1"/>
  <c r="BH30" i="2" a="1"/>
  <c r="BH30" i="2" s="1"/>
  <c r="CO37" i="2" a="1"/>
  <c r="CO37" i="2" s="1"/>
  <c r="BW37" i="2" a="1"/>
  <c r="BW37" i="2" s="1"/>
  <c r="BU33" i="2" a="1"/>
  <c r="BU33" i="2" s="1"/>
  <c r="BJ33" i="2" a="1"/>
  <c r="BJ33" i="2" s="1"/>
  <c r="CK30" i="2" a="1"/>
  <c r="CK30" i="2" s="1"/>
  <c r="BG30" i="2" a="1"/>
  <c r="BG30" i="2" s="1"/>
  <c r="BG28" i="2" a="1"/>
  <c r="BG28" i="2" s="1"/>
  <c r="BJ27" i="2" a="1"/>
  <c r="BJ27" i="2" s="1"/>
  <c r="BG26" i="2" a="1"/>
  <c r="BG26" i="2" s="1"/>
  <c r="CK37" i="2" a="1"/>
  <c r="CK37" i="2" s="1"/>
  <c r="BV37" i="2" a="1"/>
  <c r="BV37" i="2" s="1"/>
  <c r="BG37" i="2" a="1"/>
  <c r="BG37" i="2" s="1"/>
  <c r="BH34" i="2" a="1"/>
  <c r="BH34" i="2" s="1"/>
  <c r="CJ30" i="2" a="1"/>
  <c r="CJ30" i="2" s="1"/>
  <c r="BH24" i="2" a="1"/>
  <c r="BH24" i="2" s="1"/>
  <c r="BJ21" i="2" a="1"/>
  <c r="BJ21" i="2" s="1"/>
  <c r="BU27" i="2" a="1"/>
  <c r="BU27" i="2" s="1"/>
  <c r="BH23" i="2" a="1"/>
  <c r="BH23" i="2" s="1"/>
  <c r="BV19" i="2" a="1"/>
  <c r="BV19" i="2" s="1"/>
  <c r="CI17" i="2" a="1"/>
  <c r="CI17" i="2" s="1"/>
  <c r="BW16" i="2" a="1"/>
  <c r="BW16" i="2" s="1"/>
  <c r="CJ15" i="2" a="1"/>
  <c r="CJ15" i="2" s="1"/>
  <c r="BH22" i="2" a="1"/>
  <c r="BH22" i="2" s="1"/>
  <c r="CI27" i="2" a="1"/>
  <c r="CI27" i="2" s="1"/>
  <c r="BH27" i="2" a="1"/>
  <c r="BH27" i="2" s="1"/>
  <c r="CK26" i="2" a="1"/>
  <c r="CK26" i="2" s="1"/>
  <c r="BW26" i="2" a="1"/>
  <c r="BW26" i="2" s="1"/>
  <c r="BH25" i="2" a="1"/>
  <c r="BH25" i="2" s="1"/>
  <c r="BG24" i="2" a="1"/>
  <c r="BG24" i="2" s="1"/>
  <c r="BG62" i="2" s="1" a="1"/>
  <c r="BG62" i="2" s="1"/>
  <c r="CJ26" i="2" a="1"/>
  <c r="CJ26" i="2" s="1"/>
  <c r="BG23" i="2" a="1"/>
  <c r="BG23" i="2" s="1"/>
  <c r="CK22" i="2" a="1"/>
  <c r="CK22" i="2" s="1"/>
  <c r="BH21" i="2" a="1"/>
  <c r="BH21" i="2" s="1"/>
  <c r="BG36" i="2" a="1"/>
  <c r="BG36" i="2" s="1"/>
  <c r="BG27" i="2" a="1"/>
  <c r="BG27" i="2" s="1"/>
  <c r="BV26" i="2" a="1"/>
  <c r="BV26" i="2" s="1"/>
  <c r="BJ26" i="2" a="1"/>
  <c r="BJ26" i="2" s="1"/>
  <c r="CJ24" i="2" a="1"/>
  <c r="CJ24" i="2" s="1"/>
  <c r="CI31" i="2" a="1"/>
  <c r="CI31" i="2" s="1"/>
  <c r="BJ28" i="2" a="1"/>
  <c r="BJ28" i="2" s="1"/>
  <c r="BJ63" i="2" s="1" a="1"/>
  <c r="BJ63" i="2" s="1"/>
  <c r="BV24" i="2" a="1"/>
  <c r="BV24" i="2" s="1"/>
  <c r="BU35" i="2" a="1"/>
  <c r="BU35" i="2" s="1"/>
  <c r="CJ29" i="2" a="1"/>
  <c r="CJ29" i="2" s="1"/>
  <c r="BV29" i="2" a="1"/>
  <c r="BV29" i="2" s="1"/>
  <c r="BJ29" i="2" a="1"/>
  <c r="BJ29" i="2" s="1"/>
  <c r="BH26" i="2" a="1"/>
  <c r="BH26" i="2" s="1"/>
  <c r="BW30" i="2" a="1"/>
  <c r="BW30" i="2" s="1"/>
  <c r="BU29" i="2" a="1"/>
  <c r="BU29" i="2" s="1"/>
  <c r="BV22" i="2" a="1"/>
  <c r="BV22" i="2" s="1"/>
  <c r="BV20" i="2" a="1"/>
  <c r="BV20" i="2" s="1"/>
  <c r="CK19" i="2" a="1"/>
  <c r="CK19" i="2" s="1"/>
  <c r="BV18" i="2" a="1"/>
  <c r="BV18" i="2" s="1"/>
  <c r="BH17" i="2" a="1"/>
  <c r="BH17" i="2" s="1"/>
  <c r="CO15" i="2" a="1"/>
  <c r="CO15" i="2" s="1"/>
  <c r="BJ30" i="2" a="1"/>
  <c r="BJ30" i="2" s="1"/>
  <c r="CI29" i="2" a="1"/>
  <c r="CI29" i="2" s="1"/>
  <c r="BH29" i="2" a="1"/>
  <c r="BH29" i="2" s="1"/>
  <c r="BH28" i="2" a="1"/>
  <c r="BH28" i="2" s="1"/>
  <c r="BH63" i="2" s="1" a="1"/>
  <c r="BH63" i="2" s="1"/>
  <c r="CK25" i="2" a="1"/>
  <c r="CK25" i="2" s="1"/>
  <c r="BJ24" i="2" a="1"/>
  <c r="BJ24" i="2" s="1"/>
  <c r="BJ62" i="2" s="1" a="1"/>
  <c r="BJ62" i="2" s="1"/>
  <c r="BU23" i="2" a="1"/>
  <c r="BU23" i="2" s="1"/>
  <c r="BG31" i="2" a="1"/>
  <c r="BG31" i="2" s="1"/>
  <c r="BV30" i="2" a="1"/>
  <c r="BV30" i="2" s="1"/>
  <c r="BG29" i="2" a="1"/>
  <c r="BG29" i="2" s="1"/>
  <c r="CJ25" i="2" a="1"/>
  <c r="CJ25" i="2" s="1"/>
  <c r="BJ23" i="2" a="1"/>
  <c r="BJ23" i="2" s="1"/>
  <c r="BV25" i="2" a="1"/>
  <c r="BV25" i="2" s="1"/>
  <c r="BJ25" i="2" a="1"/>
  <c r="BJ25" i="2" s="1"/>
  <c r="BJ22" i="2" a="1"/>
  <c r="BJ22" i="2" s="1"/>
  <c r="E5" i="2" a="1"/>
  <c r="E5" i="2" s="1"/>
  <c r="BI6" i="2" a="1"/>
  <c r="BI6" i="2" s="1"/>
  <c r="AQ6" i="2" s="1" a="1"/>
  <c r="AQ6" i="2" s="1"/>
  <c r="CB11" i="2" a="1"/>
  <c r="CB11" i="2" s="1"/>
  <c r="N12" i="2" a="1"/>
  <c r="N12" i="2" s="1"/>
  <c r="CJ11" i="2" s="1" a="1"/>
  <c r="CJ11" i="2" s="1"/>
  <c r="C11" i="4" a="1"/>
  <c r="C11" i="4" s="1"/>
  <c r="B8" i="3" a="1"/>
  <c r="B8" i="3" s="1"/>
  <c r="CJ12" i="2" a="1"/>
  <c r="CJ12" i="2" s="1"/>
  <c r="E4" i="2" a="1"/>
  <c r="E4" i="2" s="1"/>
  <c r="Q5" i="2" a="1"/>
  <c r="Q5" i="2" s="1"/>
  <c r="CP9" i="2" s="1" a="1"/>
  <c r="CP9" i="2" s="1"/>
  <c r="O6" i="2" a="1"/>
  <c r="O6" i="2" s="1"/>
  <c r="CJ9" i="2" s="1" a="1"/>
  <c r="CJ9" i="2" s="1"/>
  <c r="CL9" i="2" s="1" a="1"/>
  <c r="CL9" i="2" s="1"/>
  <c r="E12" i="2" a="1"/>
  <c r="E12" i="2" s="1"/>
  <c r="BV11" i="2" s="1" a="1"/>
  <c r="BV11" i="2" s="1"/>
  <c r="BG13" i="2" a="1"/>
  <c r="BG13" i="2" s="1"/>
  <c r="CK13" i="2" a="1"/>
  <c r="CK13" i="2" s="1"/>
  <c r="U14" i="2" a="1"/>
  <c r="U14" i="2" s="1"/>
  <c r="CT13" i="2" s="1" a="1"/>
  <c r="CT13" i="2" s="1"/>
  <c r="CJ14" i="2" a="1"/>
  <c r="CJ14" i="2" s="1"/>
  <c r="U15" i="2" a="1"/>
  <c r="U15" i="2" s="1"/>
  <c r="K15" i="2" a="1"/>
  <c r="K15" i="2" s="1"/>
  <c r="CF12" i="2" s="1" a="1"/>
  <c r="CF12" i="2" s="1"/>
  <c r="N15" i="2" a="1"/>
  <c r="N15" i="2" s="1"/>
  <c r="CK12" i="2" s="1" a="1"/>
  <c r="CK12" i="2" s="1"/>
  <c r="BJ15" i="2" a="1"/>
  <c r="BJ15" i="2" s="1"/>
  <c r="BU15" i="2" a="1"/>
  <c r="BU15" i="2" s="1"/>
  <c r="R17" i="2" a="1"/>
  <c r="R17" i="2" s="1"/>
  <c r="CP11" i="2" s="1" a="1"/>
  <c r="CP11" i="2" s="1"/>
  <c r="AL17" i="2" a="1"/>
  <c r="AL17" i="2" s="1"/>
  <c r="H15" i="4" s="1" a="1"/>
  <c r="H15" i="4" s="1"/>
  <c r="T20" i="2" a="1"/>
  <c r="T20" i="2" s="1"/>
  <c r="T21" i="2" a="1"/>
  <c r="T21" i="2" s="1"/>
  <c r="BW21" i="2" a="1"/>
  <c r="BW21" i="2" s="1"/>
  <c r="T23" i="2" a="1"/>
  <c r="T23" i="2" s="1"/>
  <c r="AL31" i="2" a="1"/>
  <c r="AL31" i="2" s="1"/>
  <c r="H29" i="4" s="1" a="1"/>
  <c r="H29" i="4" s="1"/>
  <c r="L9" i="2" a="1"/>
  <c r="L9" i="2" s="1"/>
  <c r="CF7" i="2" s="1" a="1"/>
  <c r="CF7" i="2" s="1"/>
  <c r="CA11" i="2" a="1"/>
  <c r="CA11" i="2" s="1"/>
  <c r="BV12" i="2" a="1"/>
  <c r="BV12" i="2" s="1"/>
  <c r="O5" i="2" a="1"/>
  <c r="O5" i="2" s="1"/>
  <c r="CJ8" i="2" s="1" a="1"/>
  <c r="CJ8" i="2" s="1"/>
  <c r="N6" i="2" a="1"/>
  <c r="N6" i="2" s="1"/>
  <c r="CJ7" i="2" s="1" a="1"/>
  <c r="CJ7" i="2" s="1"/>
  <c r="CL7" i="2" s="1" a="1"/>
  <c r="CL7" i="2" s="1"/>
  <c r="CB7" i="2" a="1"/>
  <c r="CB7" i="2" s="1"/>
  <c r="N8" i="2" a="1"/>
  <c r="N8" i="2" s="1"/>
  <c r="E9" i="2" a="1"/>
  <c r="E9" i="2" s="1"/>
  <c r="BU8" i="2" s="1" a="1"/>
  <c r="BU8" i="2" s="1"/>
  <c r="F9" i="2" a="1"/>
  <c r="F9" i="2" s="1"/>
  <c r="BJ9" i="2" a="1"/>
  <c r="BJ9" i="2" s="1"/>
  <c r="O4" i="2" a="1"/>
  <c r="O4" i="2" s="1"/>
  <c r="H5" i="2" a="1"/>
  <c r="H5" i="2" s="1"/>
  <c r="CB9" i="2" s="1" a="1"/>
  <c r="CB9" i="2" s="1"/>
  <c r="F6" i="2" a="1"/>
  <c r="F6" i="2" s="1"/>
  <c r="Q6" i="2" a="1"/>
  <c r="Q6" i="2" s="1"/>
  <c r="CO7" i="2" s="1" a="1"/>
  <c r="CO7" i="2" s="1"/>
  <c r="T29" i="4" a="1"/>
  <c r="T29" i="4" s="1"/>
  <c r="H22" i="4" a="1"/>
  <c r="H22" i="4" s="1"/>
  <c r="H36" i="4" a="1"/>
  <c r="H36" i="4" s="1"/>
  <c r="H28" i="4" a="1"/>
  <c r="H28" i="4" s="1"/>
  <c r="H39" i="4" a="1"/>
  <c r="H39" i="4" s="1"/>
  <c r="H21" i="4" a="1"/>
  <c r="H21" i="4" s="1"/>
  <c r="T47" i="4" a="1"/>
  <c r="T47" i="4" s="1"/>
  <c r="H47" i="4" a="1"/>
  <c r="H47" i="4" s="1"/>
  <c r="H31" i="4" a="1"/>
  <c r="H31" i="4" s="1"/>
  <c r="H20" i="4" a="1"/>
  <c r="H20" i="4" s="1"/>
  <c r="H13" i="4" a="1"/>
  <c r="H13" i="4" s="1"/>
  <c r="T31" i="4" a="1"/>
  <c r="T31" i="4" s="1"/>
  <c r="H23" i="4" a="1"/>
  <c r="H23" i="4" s="1"/>
  <c r="T20" i="4" a="1"/>
  <c r="T20" i="4" s="1"/>
  <c r="H7" i="4" a="1"/>
  <c r="H7" i="4" s="1"/>
  <c r="H6" i="4" a="1"/>
  <c r="H6" i="4" s="1"/>
  <c r="T7" i="4" a="1"/>
  <c r="T7" i="4" s="1"/>
  <c r="T6" i="4" a="1"/>
  <c r="T6" i="4" s="1"/>
  <c r="H5" i="4" a="1"/>
  <c r="H5" i="4" s="1"/>
  <c r="H4" i="4" a="1"/>
  <c r="H4" i="4" s="1"/>
  <c r="H12" i="4" a="1"/>
  <c r="H12" i="4" s="1"/>
  <c r="H14" i="4" a="1"/>
  <c r="H14" i="4" s="1"/>
  <c r="BK6" i="2" a="1"/>
  <c r="BK6" i="2" s="1"/>
  <c r="AS6" i="2" s="1" a="1"/>
  <c r="AS6" i="2" s="1"/>
  <c r="CF6" i="2" a="1"/>
  <c r="CF6" i="2" s="1"/>
  <c r="Q7" i="2" a="1"/>
  <c r="Q7" i="2" s="1"/>
  <c r="BU7" i="2" a="1"/>
  <c r="BU7" i="2" s="1"/>
  <c r="F8" i="2" a="1"/>
  <c r="F8" i="2" s="1"/>
  <c r="BW9" i="2" s="1" a="1"/>
  <c r="BW9" i="2" s="1"/>
  <c r="BK8" i="2" a="1"/>
  <c r="BK8" i="2" s="1"/>
  <c r="AS8" i="2" s="1" a="1"/>
  <c r="AS8" i="2" s="1"/>
  <c r="BU9" i="2" a="1"/>
  <c r="BU9" i="2" s="1"/>
  <c r="BG10" i="2" a="1"/>
  <c r="BG10" i="2" s="1"/>
  <c r="BJ11" i="2" a="1"/>
  <c r="BJ11" i="2" s="1"/>
  <c r="O12" i="2" a="1"/>
  <c r="O12" i="2" s="1"/>
  <c r="BG12" i="2" a="1"/>
  <c r="BG12" i="2" s="1"/>
  <c r="CA13" i="2" a="1"/>
  <c r="CA13" i="2" s="1"/>
  <c r="BG14" i="2" a="1"/>
  <c r="BG14" i="2" s="1"/>
  <c r="CK14" i="2" a="1"/>
  <c r="CK14" i="2" s="1"/>
  <c r="BK15" i="2" a="1"/>
  <c r="BK15" i="2" s="1"/>
  <c r="N16" i="2" a="1"/>
  <c r="N16" i="2" s="1"/>
  <c r="H17" i="2" a="1"/>
  <c r="H17" i="2" s="1"/>
  <c r="CA12" i="2" s="1" a="1"/>
  <c r="CA12" i="2" s="1"/>
  <c r="T17" i="2" a="1"/>
  <c r="T17" i="2" s="1"/>
  <c r="CT12" i="2" s="1" a="1"/>
  <c r="CT12" i="2" s="1"/>
  <c r="BU17" i="2" a="1"/>
  <c r="BU17" i="2" s="1"/>
  <c r="E20" i="2" a="1"/>
  <c r="E20" i="2" s="1"/>
  <c r="BW15" i="2" s="1" a="1"/>
  <c r="BW15" i="2" s="1"/>
  <c r="CJ20" i="2" a="1"/>
  <c r="CJ20" i="2" s="1"/>
  <c r="N4" i="2" a="1"/>
  <c r="N4" i="2" s="1"/>
  <c r="F3" i="4" a="1"/>
  <c r="F3" i="4" s="1"/>
  <c r="BI53" i="2" a="1"/>
  <c r="BI53" i="2" s="1"/>
  <c r="BK52" i="2" a="1"/>
  <c r="BK52" i="2" s="1"/>
  <c r="BI52" i="2" a="1"/>
  <c r="BI52" i="2" s="1"/>
  <c r="BI69" i="2" s="1" a="1"/>
  <c r="BI69" i="2" s="1"/>
  <c r="BK51" i="2" a="1"/>
  <c r="BK51" i="2" s="1"/>
  <c r="BK53" i="2" a="1"/>
  <c r="BK53" i="2" s="1"/>
  <c r="BI51" i="2" a="1"/>
  <c r="BI51" i="2" s="1"/>
  <c r="BK50" i="2" a="1"/>
  <c r="BK50" i="2" s="1"/>
  <c r="BI50" i="2" a="1"/>
  <c r="BI50" i="2" s="1"/>
  <c r="BK48" i="2" a="1"/>
  <c r="BK48" i="2" s="1"/>
  <c r="BK68" i="2" s="1" a="1"/>
  <c r="BK68" i="2" s="1"/>
  <c r="BI47" i="2" a="1"/>
  <c r="BI47" i="2" s="1"/>
  <c r="BK45" i="2" a="1"/>
  <c r="BK45" i="2" s="1"/>
  <c r="BI49" i="2" a="1"/>
  <c r="BI49" i="2" s="1"/>
  <c r="BI37" i="2" a="1"/>
  <c r="BI37" i="2" s="1"/>
  <c r="BI44" i="2" a="1"/>
  <c r="BI44" i="2" s="1"/>
  <c r="BI67" i="2" s="1" a="1"/>
  <c r="BI67" i="2" s="1"/>
  <c r="BI42" i="2" a="1"/>
  <c r="BI42" i="2" s="1"/>
  <c r="BI45" i="2" a="1"/>
  <c r="BI45" i="2" s="1"/>
  <c r="BK43" i="2" a="1"/>
  <c r="BK43" i="2" s="1"/>
  <c r="BK41" i="2" a="1"/>
  <c r="BK41" i="2" s="1"/>
  <c r="BI48" i="2" a="1"/>
  <c r="BI48" i="2" s="1"/>
  <c r="BI68" i="2" s="1" a="1"/>
  <c r="BI68" i="2" s="1"/>
  <c r="BK46" i="2" a="1"/>
  <c r="BK46" i="2" s="1"/>
  <c r="BK39" i="2" a="1"/>
  <c r="BK39" i="2" s="1"/>
  <c r="BI43" i="2" a="1"/>
  <c r="BI43" i="2" s="1"/>
  <c r="BK47" i="2" a="1"/>
  <c r="BK47" i="2" s="1"/>
  <c r="BI46" i="2" a="1"/>
  <c r="BI46" i="2" s="1"/>
  <c r="BK49" i="2" a="1"/>
  <c r="BK49" i="2" s="1"/>
  <c r="BI40" i="2" a="1"/>
  <c r="BI40" i="2" s="1"/>
  <c r="BI66" i="2" s="1" a="1"/>
  <c r="BI66" i="2" s="1"/>
  <c r="BK44" i="2" a="1"/>
  <c r="BK44" i="2" s="1"/>
  <c r="BK67" i="2" s="1" a="1"/>
  <c r="BK67" i="2" s="1"/>
  <c r="BK42" i="2" a="1"/>
  <c r="BK42" i="2" s="1"/>
  <c r="BI39" i="2" a="1"/>
  <c r="BI39" i="2" s="1"/>
  <c r="BI36" i="2" a="1"/>
  <c r="BI36" i="2" s="1"/>
  <c r="BI65" i="2" s="1" a="1"/>
  <c r="BI65" i="2" s="1"/>
  <c r="BI33" i="2" a="1"/>
  <c r="BI33" i="2" s="1"/>
  <c r="BK40" i="2" a="1"/>
  <c r="BK40" i="2" s="1"/>
  <c r="BK66" i="2" s="1" a="1"/>
  <c r="BK66" i="2" s="1"/>
  <c r="BK32" i="2" a="1"/>
  <c r="BK32" i="2" s="1"/>
  <c r="BK64" i="2" s="1" a="1"/>
  <c r="BK64" i="2" s="1"/>
  <c r="BK38" i="2" a="1"/>
  <c r="BK38" i="2" s="1"/>
  <c r="BK29" i="2" a="1"/>
  <c r="BK29" i="2" s="1"/>
  <c r="BI38" i="2" a="1"/>
  <c r="BI38" i="2" s="1"/>
  <c r="BK34" i="2" a="1"/>
  <c r="BK34" i="2" s="1"/>
  <c r="BK37" i="2" a="1"/>
  <c r="BK37" i="2" s="1"/>
  <c r="BK33" i="2" a="1"/>
  <c r="BK33" i="2" s="1"/>
  <c r="BI29" i="2" a="1"/>
  <c r="BI29" i="2" s="1"/>
  <c r="BK27" i="2" a="1"/>
  <c r="BK27" i="2" s="1"/>
  <c r="BI41" i="2" a="1"/>
  <c r="BI41" i="2" s="1"/>
  <c r="BK36" i="2" a="1"/>
  <c r="BK36" i="2" s="1"/>
  <c r="BK65" i="2" s="1" a="1"/>
  <c r="BK65" i="2" s="1"/>
  <c r="BI34" i="2" a="1"/>
  <c r="BI34" i="2" s="1"/>
  <c r="BK35" i="2" a="1"/>
  <c r="BK35" i="2" s="1"/>
  <c r="BI32" i="2" a="1"/>
  <c r="BI32" i="2" s="1"/>
  <c r="BI64" i="2" s="1" a="1"/>
  <c r="BI64" i="2" s="1"/>
  <c r="BI25" i="2" a="1"/>
  <c r="BI25" i="2" s="1"/>
  <c r="BI22" i="2" a="1"/>
  <c r="BI22" i="2" s="1"/>
  <c r="BI27" i="2" a="1"/>
  <c r="BI27" i="2" s="1"/>
  <c r="BI21" i="2" a="1"/>
  <c r="BI21" i="2" s="1"/>
  <c r="BI20" i="2" a="1"/>
  <c r="BI20" i="2" s="1"/>
  <c r="BI61" i="2" s="1" a="1"/>
  <c r="BI61" i="2" s="1"/>
  <c r="BK26" i="2" a="1"/>
  <c r="BK26" i="2" s="1"/>
  <c r="BK28" i="2" a="1"/>
  <c r="BK28" i="2" s="1"/>
  <c r="BK63" i="2" s="1" a="1"/>
  <c r="BK63" i="2" s="1"/>
  <c r="BI26" i="2" a="1"/>
  <c r="BI26" i="2" s="1"/>
  <c r="BK31" i="2" a="1"/>
  <c r="BK31" i="2" s="1"/>
  <c r="BK30" i="2" a="1"/>
  <c r="BK30" i="2" s="1"/>
  <c r="BI28" i="2" a="1"/>
  <c r="BI28" i="2" s="1"/>
  <c r="BI63" i="2" s="1" a="1"/>
  <c r="BI63" i="2" s="1"/>
  <c r="BK23" i="2" a="1"/>
  <c r="BK23" i="2" s="1"/>
  <c r="BI31" i="2" a="1"/>
  <c r="BI31" i="2" s="1"/>
  <c r="BK22" i="2" a="1"/>
  <c r="BK22" i="2" s="1"/>
  <c r="BK20" i="2" a="1"/>
  <c r="BK20" i="2" s="1"/>
  <c r="BK61" i="2" s="1" a="1"/>
  <c r="BK61" i="2" s="1"/>
  <c r="BI35" i="2" a="1"/>
  <c r="BI35" i="2" s="1"/>
  <c r="BK25" i="2" a="1"/>
  <c r="BK25" i="2" s="1"/>
  <c r="BI24" i="2" a="1"/>
  <c r="BI24" i="2" s="1"/>
  <c r="BI62" i="2" s="1" a="1"/>
  <c r="BI62" i="2" s="1"/>
  <c r="BK21" i="2" a="1"/>
  <c r="BK21" i="2" s="1"/>
  <c r="BI30" i="2" a="1"/>
  <c r="BI30" i="2" s="1"/>
  <c r="BI23" i="2" a="1"/>
  <c r="BI23" i="2" s="1"/>
  <c r="F5" i="2" a="1"/>
  <c r="F5" i="2" s="1"/>
  <c r="BV8" i="2" s="1" a="1"/>
  <c r="BV8" i="2" s="1"/>
  <c r="E6" i="2" a="1"/>
  <c r="E6" i="2" s="1"/>
  <c r="BV7" i="2" s="1" a="1"/>
  <c r="BV7" i="2" s="1"/>
  <c r="BJ6" i="2" a="1"/>
  <c r="BJ6" i="2" s="1"/>
  <c r="AR6" i="2" s="1" a="1"/>
  <c r="AR6" i="2" s="1"/>
  <c r="O7" i="2" a="1"/>
  <c r="O7" i="2" s="1"/>
  <c r="CP6" i="2" a="1"/>
  <c r="CP6" i="2" s="1"/>
  <c r="F7" i="2" a="1"/>
  <c r="F7" i="2" s="1"/>
  <c r="BU6" i="2" s="1" a="1"/>
  <c r="BU6" i="2" s="1"/>
  <c r="BJ7" i="2" a="1"/>
  <c r="BJ7" i="2" s="1"/>
  <c r="O8" i="2" a="1"/>
  <c r="O8" i="2" s="1"/>
  <c r="CK9" i="2" s="1" a="1"/>
  <c r="CK9" i="2" s="1"/>
  <c r="CF8" i="2" a="1"/>
  <c r="CF8" i="2" s="1"/>
  <c r="Q9" i="2" a="1"/>
  <c r="Q9" i="2" s="1"/>
  <c r="BV6" i="2" a="1"/>
  <c r="BV6" i="2" s="1"/>
  <c r="H7" i="2" a="1"/>
  <c r="H7" i="2" s="1"/>
  <c r="CB8" i="2" s="1" a="1"/>
  <c r="CB8" i="2" s="1"/>
  <c r="BK7" i="2" a="1"/>
  <c r="BK7" i="2" s="1"/>
  <c r="BK9" i="2" a="1"/>
  <c r="BK9" i="2" s="1"/>
  <c r="CF9" i="2" a="1"/>
  <c r="CF9" i="2" s="1"/>
  <c r="CK10" i="2" a="1"/>
  <c r="CK10" i="2" s="1"/>
  <c r="BU11" i="2" a="1"/>
  <c r="BU11" i="2" s="1"/>
  <c r="BH12" i="2" a="1"/>
  <c r="BH12" i="2" s="1"/>
  <c r="BH59" i="2" s="1" a="1"/>
  <c r="BH59" i="2" s="1"/>
  <c r="BH13" i="2" a="1"/>
  <c r="BH13" i="2" s="1"/>
  <c r="CA14" i="2" a="1"/>
  <c r="CA14" i="2" s="1"/>
  <c r="E15" i="2" a="1"/>
  <c r="E15" i="2" s="1"/>
  <c r="BW12" i="2" s="1" a="1"/>
  <c r="BW12" i="2" s="1"/>
  <c r="O15" i="2" a="1"/>
  <c r="O15" i="2" s="1"/>
  <c r="CI10" i="2" s="1" a="1"/>
  <c r="CI10" i="2" s="1"/>
  <c r="BV15" i="2" a="1"/>
  <c r="BV15" i="2" s="1"/>
  <c r="T16" i="2" a="1"/>
  <c r="T16" i="2" s="1"/>
  <c r="E16" i="2" a="1"/>
  <c r="E16" i="2" s="1"/>
  <c r="BV10" i="2" s="1" a="1"/>
  <c r="BV10" i="2" s="1"/>
  <c r="O16" i="2" a="1"/>
  <c r="O16" i="2" s="1"/>
  <c r="CJ13" i="2" s="1" a="1"/>
  <c r="CJ13" i="2" s="1"/>
  <c r="U17" i="2" a="1"/>
  <c r="U17" i="2" s="1"/>
  <c r="CT11" i="2" s="1" a="1"/>
  <c r="CT11" i="2" s="1"/>
  <c r="U20" i="2" a="1"/>
  <c r="U20" i="2" s="1"/>
  <c r="U21" i="2" a="1"/>
  <c r="U21" i="2" s="1"/>
  <c r="U23" i="2" a="1"/>
  <c r="U23" i="2" s="1"/>
  <c r="BV23" i="2" a="1"/>
  <c r="BV23" i="2" s="1"/>
  <c r="C23" i="4" a="1"/>
  <c r="C23" i="4" s="1"/>
  <c r="B58" i="3" a="1"/>
  <c r="B58" i="3" s="1"/>
  <c r="E24" i="2" a="1"/>
  <c r="E24" i="2" s="1"/>
  <c r="I25" i="2" a="1"/>
  <c r="I25" i="2" s="1"/>
  <c r="CA15" i="2" s="1" a="1"/>
  <c r="CA15" i="2" s="1"/>
  <c r="U25" i="2" a="1"/>
  <c r="U25" i="2" s="1"/>
  <c r="CT15" i="2" s="1" a="1"/>
  <c r="CT15" i="2" s="1"/>
  <c r="I28" i="2" a="1"/>
  <c r="I28" i="2" s="1"/>
  <c r="Q29" i="2" a="1"/>
  <c r="Q29" i="2" s="1"/>
  <c r="F29" i="2" a="1"/>
  <c r="F29" i="2" s="1"/>
  <c r="U29" i="2" a="1"/>
  <c r="U29" i="2" s="1"/>
  <c r="Q30" i="2" a="1"/>
  <c r="Q30" i="2" s="1"/>
  <c r="N30" i="2" a="1"/>
  <c r="N30" i="2" s="1"/>
  <c r="L30" i="2" a="1"/>
  <c r="L30" i="2" s="1"/>
  <c r="C35" i="4" a="1"/>
  <c r="C35" i="4" s="1"/>
  <c r="B14" i="3" a="1"/>
  <c r="B14" i="3" s="1"/>
  <c r="E36" i="2" a="1"/>
  <c r="E36" i="2" s="1"/>
  <c r="O24" i="2" a="1"/>
  <c r="O24" i="2" s="1"/>
  <c r="CK17" i="2" s="1" a="1"/>
  <c r="CK17" i="2" s="1"/>
  <c r="AV25" i="2" a="1"/>
  <c r="AV25" i="2" s="1"/>
  <c r="E30" i="2" a="1"/>
  <c r="E30" i="2" s="1"/>
  <c r="I31" i="2" a="1"/>
  <c r="I31" i="2" s="1"/>
  <c r="Q31" i="2" a="1"/>
  <c r="Q31" i="2" s="1"/>
  <c r="F31" i="2" a="1"/>
  <c r="F31" i="2" s="1"/>
  <c r="BV21" i="2" s="1" a="1"/>
  <c r="BV21" i="2" s="1"/>
  <c r="N31" i="2" a="1"/>
  <c r="N31" i="2" s="1"/>
  <c r="CJ19" i="2" s="1" a="1"/>
  <c r="CJ19" i="2" s="1"/>
  <c r="U31" i="2" a="1"/>
  <c r="U31" i="2" s="1"/>
  <c r="CT21" i="2" s="1" a="1"/>
  <c r="CT21" i="2" s="1"/>
  <c r="F24" i="2" a="1"/>
  <c r="F24" i="2" s="1"/>
  <c r="BW17" i="2" s="1" a="1"/>
  <c r="BW17" i="2" s="1"/>
  <c r="Q32" i="2" a="1"/>
  <c r="Q32" i="2" s="1"/>
  <c r="C32" i="4" a="1"/>
  <c r="C32" i="4" s="1"/>
  <c r="B61" i="3" a="1"/>
  <c r="B61" i="3" s="1"/>
  <c r="Q24" i="2" a="1"/>
  <c r="Q24" i="2" s="1"/>
  <c r="L28" i="2" a="1"/>
  <c r="L28" i="2" s="1"/>
  <c r="T30" i="2" a="1"/>
  <c r="T30" i="2" s="1"/>
  <c r="C30" i="4" a="1"/>
  <c r="C30" i="4" s="1"/>
  <c r="B37" i="3" a="1"/>
  <c r="B37" i="3" s="1"/>
  <c r="T32" i="2" a="1"/>
  <c r="T32" i="2" s="1"/>
  <c r="L25" i="2" a="1"/>
  <c r="L25" i="2" s="1"/>
  <c r="CF15" i="2" s="1" a="1"/>
  <c r="CF15" i="2" s="1"/>
  <c r="Q25" i="2" a="1"/>
  <c r="Q25" i="2" s="1"/>
  <c r="CO16" i="2" s="1" a="1"/>
  <c r="CO16" i="2" s="1"/>
  <c r="H31" i="2" a="1"/>
  <c r="H31" i="2" s="1"/>
  <c r="AV33" i="2" a="1"/>
  <c r="AV33" i="2" s="1"/>
  <c r="I24" i="2" a="1"/>
  <c r="I24" i="2" s="1"/>
  <c r="CA17" i="2" s="1" a="1"/>
  <c r="CA17" i="2" s="1"/>
  <c r="T24" i="2" a="1"/>
  <c r="T24" i="2" s="1"/>
  <c r="O25" i="2" a="1"/>
  <c r="O25" i="2" s="1"/>
  <c r="CI15" i="2" s="1" a="1"/>
  <c r="CI15" i="2" s="1"/>
  <c r="K28" i="2" a="1"/>
  <c r="K28" i="2" s="1"/>
  <c r="Q28" i="2" a="1"/>
  <c r="Q28" i="2" s="1"/>
  <c r="O28" i="2" a="1"/>
  <c r="O28" i="2" s="1"/>
  <c r="U33" i="2" a="1"/>
  <c r="U33" i="2" s="1"/>
  <c r="K33" i="2" a="1"/>
  <c r="K33" i="2" s="1"/>
  <c r="H33" i="2" a="1"/>
  <c r="H33" i="2" s="1"/>
  <c r="CB20" i="2" s="1" a="1"/>
  <c r="CB20" i="2" s="1"/>
  <c r="R33" i="2" a="1"/>
  <c r="R33" i="2" s="1"/>
  <c r="O33" i="2" a="1"/>
  <c r="O33" i="2" s="1"/>
  <c r="CI19" i="2" s="1" a="1"/>
  <c r="CI19" i="2" s="1"/>
  <c r="E33" i="2" a="1"/>
  <c r="E33" i="2" s="1"/>
  <c r="L33" i="2" a="1"/>
  <c r="L33" i="2" s="1"/>
  <c r="C29" i="4" a="1"/>
  <c r="C29" i="4" s="1"/>
  <c r="B36" i="3" a="1"/>
  <c r="B36" i="3" s="1"/>
  <c r="R32" i="2" a="1"/>
  <c r="R32" i="2" s="1"/>
  <c r="H32" i="2" a="1"/>
  <c r="H32" i="2" s="1"/>
  <c r="F32" i="2" a="1"/>
  <c r="F32" i="2" s="1"/>
  <c r="BU21" i="2" s="1" a="1"/>
  <c r="BU21" i="2" s="1"/>
  <c r="O32" i="2" a="1"/>
  <c r="O32" i="2" s="1"/>
  <c r="N32" i="2" a="1"/>
  <c r="N32" i="2" s="1"/>
  <c r="L32" i="2" a="1"/>
  <c r="L32" i="2" s="1"/>
  <c r="K32" i="2" a="1"/>
  <c r="K32" i="2" s="1"/>
  <c r="C31" i="4" a="1"/>
  <c r="C31" i="4" s="1"/>
  <c r="B60" i="3" a="1"/>
  <c r="B60" i="3" s="1"/>
  <c r="U24" i="2" a="1"/>
  <c r="U24" i="2" s="1"/>
  <c r="CT17" i="2" s="1" a="1"/>
  <c r="CT17" i="2" s="1"/>
  <c r="R28" i="2" a="1"/>
  <c r="R28" i="2" s="1"/>
  <c r="L31" i="2" a="1"/>
  <c r="L31" i="2" s="1"/>
  <c r="AV31" i="2" a="1"/>
  <c r="AV31" i="2" s="1"/>
  <c r="E32" i="2" a="1"/>
  <c r="E32" i="2" s="1"/>
  <c r="I33" i="2" a="1"/>
  <c r="I33" i="2" s="1"/>
  <c r="L24" i="2" a="1"/>
  <c r="L24" i="2" s="1"/>
  <c r="CF17" i="2" s="1" a="1"/>
  <c r="CF17" i="2" s="1"/>
  <c r="E28" i="2" a="1"/>
  <c r="E28" i="2" s="1"/>
  <c r="BU19" i="2" s="1" a="1"/>
  <c r="BU19" i="2" s="1"/>
  <c r="B13" i="3" a="1"/>
  <c r="B13" i="3" s="1"/>
  <c r="C28" i="4" a="1"/>
  <c r="C28" i="4" s="1"/>
  <c r="N33" i="2" a="1"/>
  <c r="N33" i="2" s="1"/>
  <c r="K36" i="2" a="1"/>
  <c r="K36" i="2" s="1"/>
  <c r="C21" i="4" a="1"/>
  <c r="C21" i="4" s="1"/>
  <c r="B34" i="3" a="1"/>
  <c r="B34" i="3" s="1"/>
  <c r="H25" i="2" a="1"/>
  <c r="H25" i="2" s="1"/>
  <c r="CA16" i="2" s="1" a="1"/>
  <c r="CA16" i="2" s="1"/>
  <c r="T25" i="2" a="1"/>
  <c r="T25" i="2" s="1"/>
  <c r="F28" i="2" a="1"/>
  <c r="F28" i="2" s="1"/>
  <c r="BW18" i="2" s="1" a="1"/>
  <c r="BW18" i="2" s="1"/>
  <c r="T28" i="2" a="1"/>
  <c r="T28" i="2" s="1"/>
  <c r="L29" i="2" a="1"/>
  <c r="L29" i="2" s="1"/>
  <c r="O31" i="2" a="1"/>
  <c r="O31" i="2" s="1"/>
  <c r="CJ21" i="2" s="1" a="1"/>
  <c r="CJ21" i="2" s="1"/>
  <c r="I32" i="2" a="1"/>
  <c r="I32" i="2" s="1"/>
  <c r="AV32" i="2" a="1"/>
  <c r="AV32" i="2" s="1"/>
  <c r="AL32" i="2" a="1"/>
  <c r="AL32" i="2" s="1"/>
  <c r="H30" i="4" s="1" a="1"/>
  <c r="H30" i="4" s="1"/>
  <c r="Q33" i="2" a="1"/>
  <c r="Q33" i="2" s="1"/>
  <c r="AL40" i="2" a="1"/>
  <c r="AL40" i="2" s="1"/>
  <c r="H38" i="4" s="1" a="1"/>
  <c r="H38" i="4" s="1"/>
  <c r="AV40" i="2" a="1"/>
  <c r="AV40" i="2" s="1"/>
  <c r="H28" i="2" a="1"/>
  <c r="H28" i="2" s="1"/>
  <c r="U28" i="2" a="1"/>
  <c r="U28" i="2" s="1"/>
  <c r="N29" i="2" a="1"/>
  <c r="N29" i="2" s="1"/>
  <c r="O30" i="2" a="1"/>
  <c r="O30" i="2" s="1"/>
  <c r="CI18" i="2" s="1" a="1"/>
  <c r="CI18" i="2" s="1"/>
  <c r="CL18" i="2" s="1" a="1"/>
  <c r="CL18" i="2" s="1"/>
  <c r="R31" i="2" a="1"/>
  <c r="R31" i="2" s="1"/>
  <c r="T33" i="2" a="1"/>
  <c r="T33" i="2" s="1"/>
  <c r="L37" i="2" a="1"/>
  <c r="L37" i="2" s="1"/>
  <c r="R40" i="2" a="1"/>
  <c r="R40" i="2" s="1"/>
  <c r="N37" i="2" a="1"/>
  <c r="N37" i="2" s="1"/>
  <c r="F49" i="2" a="1"/>
  <c r="F49" i="2" s="1"/>
  <c r="R49" i="2" a="1"/>
  <c r="R49" i="2" s="1"/>
  <c r="H49" i="2" a="1"/>
  <c r="H49" i="2" s="1"/>
  <c r="U49" i="2" a="1"/>
  <c r="U49" i="2" s="1"/>
  <c r="K49" i="2" a="1"/>
  <c r="K49" i="2" s="1"/>
  <c r="Q49" i="2" a="1"/>
  <c r="Q49" i="2" s="1"/>
  <c r="O49" i="2" a="1"/>
  <c r="O49" i="2" s="1"/>
  <c r="N49" i="2" a="1"/>
  <c r="N49" i="2" s="1"/>
  <c r="L49" i="2" a="1"/>
  <c r="L49" i="2" s="1"/>
  <c r="I49" i="2" a="1"/>
  <c r="I49" i="2" s="1"/>
  <c r="E49" i="2" a="1"/>
  <c r="E49" i="2" s="1"/>
  <c r="T49" i="2" a="1"/>
  <c r="T49" i="2" s="1"/>
  <c r="C40" i="4" a="1"/>
  <c r="C40" i="4" s="1"/>
  <c r="B63" i="3" a="1"/>
  <c r="B63" i="3" s="1"/>
  <c r="T41" i="2" a="1"/>
  <c r="T41" i="2" s="1"/>
  <c r="CT22" i="2" s="1" a="1"/>
  <c r="CT22" i="2" s="1"/>
  <c r="H36" i="2" a="1"/>
  <c r="H36" i="2" s="1"/>
  <c r="O36" i="2" a="1"/>
  <c r="O36" i="2" s="1"/>
  <c r="T36" i="2" a="1"/>
  <c r="T36" i="2" s="1"/>
  <c r="CT23" i="2" s="1" a="1"/>
  <c r="CT23" i="2" s="1"/>
  <c r="I36" i="2" a="1"/>
  <c r="I36" i="2" s="1"/>
  <c r="Q36" i="2" a="1"/>
  <c r="Q36" i="2" s="1"/>
  <c r="U37" i="2" a="1"/>
  <c r="U37" i="2" s="1"/>
  <c r="F37" i="2" a="1"/>
  <c r="F37" i="2" s="1"/>
  <c r="BW24" i="2" s="1" a="1"/>
  <c r="BW24" i="2" s="1"/>
  <c r="O37" i="2" a="1"/>
  <c r="O37" i="2" s="1"/>
  <c r="E37" i="2" a="1"/>
  <c r="E37" i="2" s="1"/>
  <c r="BU25" i="2" s="1" a="1"/>
  <c r="BU25" i="2" s="1"/>
  <c r="K44" i="2" a="1"/>
  <c r="K44" i="2" s="1"/>
  <c r="T44" i="2" a="1"/>
  <c r="T44" i="2" s="1"/>
  <c r="R44" i="2" a="1"/>
  <c r="R44" i="2" s="1"/>
  <c r="H44" i="2" a="1"/>
  <c r="H44" i="2" s="1"/>
  <c r="Q44" i="2" a="1"/>
  <c r="Q44" i="2" s="1"/>
  <c r="F44" i="2" a="1"/>
  <c r="F44" i="2" s="1"/>
  <c r="O44" i="2" a="1"/>
  <c r="O44" i="2" s="1"/>
  <c r="E44" i="2" a="1"/>
  <c r="E44" i="2" s="1"/>
  <c r="BW27" i="2" s="1" a="1"/>
  <c r="BW27" i="2" s="1"/>
  <c r="N44" i="2" a="1"/>
  <c r="N44" i="2" s="1"/>
  <c r="CK27" i="2" s="1" a="1"/>
  <c r="CK27" i="2" s="1"/>
  <c r="L44" i="2" a="1"/>
  <c r="L44" i="2" s="1"/>
  <c r="U44" i="2" a="1"/>
  <c r="U44" i="2" s="1"/>
  <c r="K48" i="2" a="1"/>
  <c r="K48" i="2" s="1"/>
  <c r="T48" i="2" a="1"/>
  <c r="T48" i="2" s="1"/>
  <c r="O48" i="2" a="1"/>
  <c r="O48" i="2" s="1"/>
  <c r="CJ27" i="2" s="1" a="1"/>
  <c r="CJ27" i="2" s="1"/>
  <c r="E48" i="2" a="1"/>
  <c r="E48" i="2" s="1"/>
  <c r="BV28" i="2" s="1" a="1"/>
  <c r="BV28" i="2" s="1"/>
  <c r="R48" i="2" a="1"/>
  <c r="R48" i="2" s="1"/>
  <c r="F48" i="2" a="1"/>
  <c r="F48" i="2" s="1"/>
  <c r="BV27" i="2" s="1" a="1"/>
  <c r="BV27" i="2" s="1"/>
  <c r="Q48" i="2" a="1"/>
  <c r="Q48" i="2" s="1"/>
  <c r="N48" i="2" a="1"/>
  <c r="N48" i="2" s="1"/>
  <c r="CJ28" i="2" s="1" a="1"/>
  <c r="CJ28" i="2" s="1"/>
  <c r="L48" i="2" a="1"/>
  <c r="L48" i="2" s="1"/>
  <c r="I48" i="2" a="1"/>
  <c r="I48" i="2" s="1"/>
  <c r="U48" i="2" a="1"/>
  <c r="U48" i="2" s="1"/>
  <c r="H48" i="2" a="1"/>
  <c r="H48" i="2" s="1"/>
  <c r="R36" i="2" a="1"/>
  <c r="R36" i="2" s="1"/>
  <c r="R37" i="2" a="1"/>
  <c r="R37" i="2" s="1"/>
  <c r="N38" i="2" a="1"/>
  <c r="N38" i="2" s="1"/>
  <c r="L38" i="2" a="1"/>
  <c r="L38" i="2" s="1"/>
  <c r="I38" i="2" a="1"/>
  <c r="I38" i="2" s="1"/>
  <c r="Q38" i="2" a="1"/>
  <c r="Q38" i="2" s="1"/>
  <c r="F38" i="2" a="1"/>
  <c r="F38" i="2" s="1"/>
  <c r="O38" i="2" a="1"/>
  <c r="O38" i="2" s="1"/>
  <c r="C39" i="4" a="1"/>
  <c r="C39" i="4" s="1"/>
  <c r="B62" i="3" a="1"/>
  <c r="B62" i="3" s="1"/>
  <c r="AV39" i="2" a="1"/>
  <c r="AV39" i="2" s="1"/>
  <c r="H41" i="2" a="1"/>
  <c r="H41" i="2" s="1"/>
  <c r="AV41" i="2" a="1"/>
  <c r="AV41" i="2" s="1"/>
  <c r="Q45" i="2" a="1"/>
  <c r="Q45" i="2" s="1"/>
  <c r="F45" i="2" a="1"/>
  <c r="F45" i="2" s="1"/>
  <c r="BU28" i="2" s="1" a="1"/>
  <c r="BU28" i="2" s="1"/>
  <c r="O45" i="2" a="1"/>
  <c r="O45" i="2" s="1"/>
  <c r="CI28" i="2" s="1" a="1"/>
  <c r="CI28" i="2" s="1"/>
  <c r="E45" i="2" a="1"/>
  <c r="E45" i="2" s="1"/>
  <c r="N45" i="2" a="1"/>
  <c r="N45" i="2" s="1"/>
  <c r="L45" i="2" a="1"/>
  <c r="L45" i="2" s="1"/>
  <c r="U45" i="2" a="1"/>
  <c r="U45" i="2" s="1"/>
  <c r="K45" i="2" a="1"/>
  <c r="K45" i="2" s="1"/>
  <c r="T45" i="2" a="1"/>
  <c r="T45" i="2" s="1"/>
  <c r="I45" i="2" a="1"/>
  <c r="I45" i="2" s="1"/>
  <c r="R45" i="2" a="1"/>
  <c r="R45" i="2" s="1"/>
  <c r="H45" i="2" a="1"/>
  <c r="H45" i="2" s="1"/>
  <c r="L40" i="2" a="1"/>
  <c r="L40" i="2" s="1"/>
  <c r="CF23" i="2" s="1" a="1"/>
  <c r="CF23" i="2" s="1"/>
  <c r="K40" i="2" a="1"/>
  <c r="K40" i="2" s="1"/>
  <c r="T40" i="2" a="1"/>
  <c r="T40" i="2" s="1"/>
  <c r="H40" i="2" a="1"/>
  <c r="H40" i="2" s="1"/>
  <c r="CB24" i="2" s="1" a="1"/>
  <c r="CB24" i="2" s="1"/>
  <c r="Q40" i="2" a="1"/>
  <c r="Q40" i="2" s="1"/>
  <c r="F40" i="2" a="1"/>
  <c r="F40" i="2" s="1"/>
  <c r="E40" i="2" a="1"/>
  <c r="E40" i="2" s="1"/>
  <c r="BU24" i="2" s="1" a="1"/>
  <c r="BU24" i="2" s="1"/>
  <c r="N40" i="2" a="1"/>
  <c r="N40" i="2" s="1"/>
  <c r="CI24" i="2" s="1" a="1"/>
  <c r="CI24" i="2" s="1"/>
  <c r="AV46" i="2" a="1"/>
  <c r="AV46" i="2" s="1"/>
  <c r="AL46" i="2" a="1"/>
  <c r="AL46" i="2" s="1"/>
  <c r="H44" i="4" s="1" a="1"/>
  <c r="H44" i="4" s="1"/>
  <c r="F36" i="2" a="1"/>
  <c r="F36" i="2" s="1"/>
  <c r="H37" i="2" a="1"/>
  <c r="H37" i="2" s="1"/>
  <c r="C37" i="4" a="1"/>
  <c r="C37" i="4" s="1"/>
  <c r="B38" i="3" a="1"/>
  <c r="B38" i="3" s="1"/>
  <c r="AL39" i="2" a="1"/>
  <c r="AL39" i="2" s="1"/>
  <c r="H37" i="4" s="1" a="1"/>
  <c r="H37" i="4" s="1"/>
  <c r="I40" i="2" a="1"/>
  <c r="I40" i="2" s="1"/>
  <c r="AL48" i="2" a="1"/>
  <c r="AL48" i="2" s="1"/>
  <c r="AV48" i="2" a="1"/>
  <c r="AV48" i="2" s="1"/>
  <c r="C36" i="4" a="1"/>
  <c r="C36" i="4" s="1"/>
  <c r="B15" i="3" a="1"/>
  <c r="B15" i="3" s="1"/>
  <c r="AV38" i="2" a="1"/>
  <c r="AV38" i="2" s="1"/>
  <c r="L36" i="2" a="1"/>
  <c r="L36" i="2" s="1"/>
  <c r="K37" i="2" a="1"/>
  <c r="K37" i="2" s="1"/>
  <c r="CF25" i="2" s="1" a="1"/>
  <c r="CF25" i="2" s="1"/>
  <c r="N39" i="2" a="1"/>
  <c r="N39" i="2" s="1"/>
  <c r="U39" i="2" a="1"/>
  <c r="U39" i="2" s="1"/>
  <c r="R39" i="2" a="1"/>
  <c r="R39" i="2" s="1"/>
  <c r="CO25" i="2" s="1" a="1"/>
  <c r="CO25" i="2" s="1"/>
  <c r="H39" i="2" a="1"/>
  <c r="H39" i="2" s="1"/>
  <c r="O39" i="2" a="1"/>
  <c r="O39" i="2" s="1"/>
  <c r="E39" i="2" a="1"/>
  <c r="E39" i="2" s="1"/>
  <c r="O40" i="2" a="1"/>
  <c r="O40" i="2" s="1"/>
  <c r="AL47" i="2" a="1"/>
  <c r="AL47" i="2" s="1"/>
  <c r="AV47" i="2" a="1"/>
  <c r="AV47" i="2" s="1"/>
  <c r="N41" i="2" a="1"/>
  <c r="N41" i="2" s="1"/>
  <c r="F46" i="2" a="1"/>
  <c r="F46" i="2" s="1"/>
  <c r="C48" i="4" a="1"/>
  <c r="C48" i="4" s="1"/>
  <c r="B65" i="3" a="1"/>
  <c r="B65" i="3" s="1"/>
  <c r="C43" i="4" a="1"/>
  <c r="C43" i="4" s="1"/>
  <c r="B16" i="3" a="1"/>
  <c r="B16" i="3" s="1"/>
  <c r="H47" i="2" a="1"/>
  <c r="H47" i="2" s="1"/>
  <c r="C47" i="4" a="1"/>
  <c r="C47" i="4" s="1"/>
  <c r="B64" i="3" a="1"/>
  <c r="B64" i="3" s="1"/>
  <c r="F41" i="2" a="1"/>
  <c r="F41" i="2" s="1"/>
  <c r="BW25" i="2" s="1" a="1"/>
  <c r="BW25" i="2" s="1"/>
  <c r="Q41" i="2" a="1"/>
  <c r="Q41" i="2" s="1"/>
  <c r="C46" i="4" a="1"/>
  <c r="C46" i="4" s="1"/>
  <c r="B41" i="3" a="1"/>
  <c r="B41" i="3" s="1"/>
  <c r="I41" i="2" a="1"/>
  <c r="I41" i="2" s="1"/>
  <c r="C44" i="4" a="1"/>
  <c r="C44" i="4" s="1"/>
  <c r="B17" i="3" a="1"/>
  <c r="B17" i="3" s="1"/>
  <c r="L46" i="2" a="1"/>
  <c r="L46" i="2" s="1"/>
  <c r="C45" i="4" a="1"/>
  <c r="C45" i="4" s="1"/>
  <c r="B40" i="3" a="1"/>
  <c r="B40" i="3" s="1"/>
  <c r="U41" i="2" a="1"/>
  <c r="U41" i="2" s="1"/>
  <c r="N46" i="2" a="1"/>
  <c r="N46" i="2" s="1"/>
  <c r="CK28" i="2" s="1" a="1"/>
  <c r="CK28" i="2" s="1"/>
  <c r="E46" i="2" a="1"/>
  <c r="E46" i="2" s="1"/>
  <c r="BW28" i="2" s="1" a="1"/>
  <c r="BW28" i="2" s="1"/>
  <c r="R46" i="2" a="1"/>
  <c r="R46" i="2" s="1"/>
  <c r="I46" i="2" a="1"/>
  <c r="I46" i="2" s="1"/>
  <c r="O46" i="2" a="1"/>
  <c r="O46" i="2" s="1"/>
  <c r="U47" i="2" a="1"/>
  <c r="U47" i="2" s="1"/>
  <c r="K47" i="2" a="1"/>
  <c r="K47" i="2" s="1"/>
  <c r="F47" i="2" a="1"/>
  <c r="F47" i="2" s="1"/>
  <c r="O47" i="2" a="1"/>
  <c r="O47" i="2" s="1"/>
  <c r="C38" i="4" a="1"/>
  <c r="C38" i="4" s="1"/>
  <c r="B39" i="3" a="1"/>
  <c r="B39" i="3" s="1"/>
  <c r="Q47" i="2" a="1"/>
  <c r="Q47" i="2" s="1"/>
  <c r="Q56" i="2" a="1"/>
  <c r="Q56" i="2" s="1"/>
  <c r="H56" i="2" a="1"/>
  <c r="H56" i="2" s="1"/>
  <c r="R56" i="2" a="1"/>
  <c r="R56" i="2" s="1"/>
  <c r="F56" i="2" a="1"/>
  <c r="F56" i="2" s="1"/>
  <c r="O56" i="2" a="1"/>
  <c r="O56" i="2" s="1"/>
  <c r="E56" i="2" a="1"/>
  <c r="E56" i="2" s="1"/>
  <c r="BV32" i="2" s="1" a="1"/>
  <c r="BV32" i="2" s="1"/>
  <c r="T56" i="2" a="1"/>
  <c r="T56" i="2" s="1"/>
  <c r="N56" i="2" a="1"/>
  <c r="N56" i="2" s="1"/>
  <c r="CJ32" i="2" s="1" a="1"/>
  <c r="CJ32" i="2" s="1"/>
  <c r="L56" i="2" a="1"/>
  <c r="L56" i="2" s="1"/>
  <c r="K56" i="2" a="1"/>
  <c r="K56" i="2" s="1"/>
  <c r="I56" i="2" a="1"/>
  <c r="I56" i="2" s="1"/>
  <c r="U56" i="2" a="1"/>
  <c r="U56" i="2" s="1"/>
  <c r="BS65" i="2" a="1"/>
  <c r="BS65" i="2" s="1"/>
  <c r="R24" i="4" a="1"/>
  <c r="R24" i="4" s="1"/>
  <c r="U73" i="2" a="1"/>
  <c r="U73" i="2" s="1"/>
  <c r="CT39" i="2" s="1" a="1"/>
  <c r="CT39" i="2" s="1"/>
  <c r="L73" i="2" a="1"/>
  <c r="L73" i="2" s="1"/>
  <c r="BS69" i="2" a="1"/>
  <c r="BS69" i="2" s="1"/>
  <c r="N52" i="2" a="1"/>
  <c r="N52" i="2" s="1"/>
  <c r="CK31" i="2" s="1" a="1"/>
  <c r="CK31" i="2" s="1"/>
  <c r="L52" i="2" a="1"/>
  <c r="L52" i="2" s="1"/>
  <c r="U52" i="2" a="1"/>
  <c r="U52" i="2" s="1"/>
  <c r="K52" i="2" a="1"/>
  <c r="K52" i="2" s="1"/>
  <c r="T52" i="2" a="1"/>
  <c r="T52" i="2" s="1"/>
  <c r="I52" i="2" a="1"/>
  <c r="I52" i="2" s="1"/>
  <c r="CB30" i="2" s="1" a="1"/>
  <c r="CB30" i="2" s="1"/>
  <c r="R52" i="2" a="1"/>
  <c r="R52" i="2" s="1"/>
  <c r="H52" i="2" a="1"/>
  <c r="H52" i="2" s="1"/>
  <c r="Q52" i="2" a="1"/>
  <c r="Q52" i="2" s="1"/>
  <c r="F52" i="2" a="1"/>
  <c r="F52" i="2" s="1"/>
  <c r="O52" i="2" a="1"/>
  <c r="O52" i="2" s="1"/>
  <c r="E52" i="2" a="1"/>
  <c r="E52" i="2" s="1"/>
  <c r="BW31" i="2" s="1" a="1"/>
  <c r="BW31" i="2" s="1"/>
  <c r="AV65" i="2" a="1"/>
  <c r="AV65" i="2" s="1"/>
  <c r="BS63" i="2" a="1"/>
  <c r="BS63" i="2" s="1"/>
  <c r="B19" i="3" a="1"/>
  <c r="B19" i="3" s="1"/>
  <c r="O4" i="4" a="1"/>
  <c r="O4" i="4" s="1"/>
  <c r="K53" i="2" a="1"/>
  <c r="K53" i="2" s="1"/>
  <c r="T53" i="2" a="1"/>
  <c r="T53" i="2" s="1"/>
  <c r="H53" i="2" a="1"/>
  <c r="H53" i="2" s="1"/>
  <c r="Q53" i="2" a="1"/>
  <c r="Q53" i="2" s="1"/>
  <c r="E53" i="2" a="1"/>
  <c r="E53" i="2" s="1"/>
  <c r="BW33" i="2" s="1" a="1"/>
  <c r="BW33" i="2" s="1"/>
  <c r="N53" i="2" a="1"/>
  <c r="N53" i="2" s="1"/>
  <c r="CK33" i="2" s="1" a="1"/>
  <c r="CK33" i="2" s="1"/>
  <c r="AV49" i="2" a="1"/>
  <c r="AV49" i="2" s="1"/>
  <c r="R4" i="4" a="1"/>
  <c r="R4" i="4" s="1"/>
  <c r="L53" i="2" a="1"/>
  <c r="L53" i="2" s="1"/>
  <c r="U53" i="2" a="1"/>
  <c r="U53" i="2" s="1"/>
  <c r="I53" i="2" a="1"/>
  <c r="I53" i="2" s="1"/>
  <c r="R53" i="2" a="1"/>
  <c r="R53" i="2" s="1"/>
  <c r="F53" i="2" a="1"/>
  <c r="F53" i="2" s="1"/>
  <c r="BU32" i="2" s="1" a="1"/>
  <c r="BU32" i="2" s="1"/>
  <c r="O53" i="2" a="1"/>
  <c r="O53" i="2" s="1"/>
  <c r="CI32" i="2" s="1" a="1"/>
  <c r="CI32" i="2" s="1"/>
  <c r="R6" i="4" a="1"/>
  <c r="R6" i="4" s="1"/>
  <c r="L55" i="2" a="1"/>
  <c r="L55" i="2" s="1"/>
  <c r="I55" i="2" a="1"/>
  <c r="I55" i="2" s="1"/>
  <c r="F55" i="2" a="1"/>
  <c r="F55" i="2" s="1"/>
  <c r="BV33" i="2" s="1" a="1"/>
  <c r="BV33" i="2" s="1"/>
  <c r="BI58" i="2" a="1"/>
  <c r="BI58" i="2" s="1"/>
  <c r="AL63" i="2" a="1"/>
  <c r="AL63" i="2" s="1"/>
  <c r="T13" i="4" s="1" a="1"/>
  <c r="T13" i="4" s="1"/>
  <c r="U54" i="2" a="1"/>
  <c r="U54" i="2" s="1"/>
  <c r="E55" i="2" a="1"/>
  <c r="E55" i="2" s="1"/>
  <c r="BK60" i="2" a="1"/>
  <c r="BK60" i="2" s="1"/>
  <c r="BK62" i="2" a="1"/>
  <c r="BK62" i="2" s="1"/>
  <c r="BD62" i="2" a="1"/>
  <c r="BD62" i="2" s="1"/>
  <c r="O76" i="2" a="1"/>
  <c r="O76" i="2" s="1"/>
  <c r="F76" i="2" a="1"/>
  <c r="F76" i="2" s="1"/>
  <c r="Q76" i="2" a="1"/>
  <c r="Q76" i="2" s="1"/>
  <c r="E76" i="2" a="1"/>
  <c r="E76" i="2" s="1"/>
  <c r="N76" i="2" a="1"/>
  <c r="N76" i="2" s="1"/>
  <c r="U76" i="2" a="1"/>
  <c r="U76" i="2" s="1"/>
  <c r="I76" i="2" a="1"/>
  <c r="I76" i="2" s="1"/>
  <c r="L76" i="2" a="1"/>
  <c r="L76" i="2" s="1"/>
  <c r="CF42" i="2" s="1" a="1"/>
  <c r="CF42" i="2" s="1"/>
  <c r="K76" i="2" a="1"/>
  <c r="K76" i="2" s="1"/>
  <c r="H76" i="2" a="1"/>
  <c r="H76" i="2" s="1"/>
  <c r="O80" i="2" a="1"/>
  <c r="O80" i="2" s="1"/>
  <c r="F80" i="2" a="1"/>
  <c r="F80" i="2" s="1"/>
  <c r="K80" i="2" a="1"/>
  <c r="K80" i="2" s="1"/>
  <c r="I80" i="2" a="1"/>
  <c r="I80" i="2" s="1"/>
  <c r="E80" i="2" a="1"/>
  <c r="E80" i="2" s="1"/>
  <c r="BU44" i="2" s="1" a="1"/>
  <c r="BU44" i="2" s="1"/>
  <c r="BX44" i="2" s="1" a="1"/>
  <c r="BX44" i="2" s="1"/>
  <c r="R80" i="2" a="1"/>
  <c r="R80" i="2" s="1"/>
  <c r="Q80" i="2" a="1"/>
  <c r="Q80" i="2" s="1"/>
  <c r="N80" i="2" a="1"/>
  <c r="N80" i="2" s="1"/>
  <c r="CI44" i="2" s="1" a="1"/>
  <c r="CI44" i="2" s="1"/>
  <c r="CL44" i="2" s="1" a="1"/>
  <c r="CL44" i="2" s="1"/>
  <c r="L80" i="2" a="1"/>
  <c r="L80" i="2" s="1"/>
  <c r="H80" i="2" a="1"/>
  <c r="H80" i="2" s="1"/>
  <c r="U80" i="2" a="1"/>
  <c r="U80" i="2" s="1"/>
  <c r="T80" i="2" a="1"/>
  <c r="T80" i="2" s="1"/>
  <c r="AV57" i="2" a="1"/>
  <c r="AV57" i="2" s="1"/>
  <c r="BS60" i="2" a="1"/>
  <c r="BS60" i="2" s="1"/>
  <c r="BH61" i="2" a="1"/>
  <c r="BH61" i="2" s="1"/>
  <c r="BG61" i="2" a="1"/>
  <c r="BG61" i="2" s="1"/>
  <c r="BJ61" i="2" a="1"/>
  <c r="BJ61" i="2" s="1"/>
  <c r="AL64" i="2" a="1"/>
  <c r="AL64" i="2" s="1"/>
  <c r="T14" i="4" s="1" a="1"/>
  <c r="T14" i="4" s="1"/>
  <c r="AV64" i="2" a="1"/>
  <c r="AV64" i="2" s="1"/>
  <c r="BS66" i="2" a="1"/>
  <c r="BS66" i="2" s="1"/>
  <c r="BG67" i="2" a="1"/>
  <c r="BG67" i="2" s="1"/>
  <c r="BD67" i="2" a="1"/>
  <c r="BD67" i="2" s="1"/>
  <c r="O5" i="4" a="1"/>
  <c r="O5" i="4" s="1"/>
  <c r="B42" i="3" a="1"/>
  <c r="B42" i="3" s="1"/>
  <c r="U57" i="2" a="1"/>
  <c r="U57" i="2" s="1"/>
  <c r="N57" i="2" a="1"/>
  <c r="N57" i="2" s="1"/>
  <c r="L57" i="2" a="1"/>
  <c r="L57" i="2" s="1"/>
  <c r="K57" i="2" a="1"/>
  <c r="K57" i="2" s="1"/>
  <c r="Q57" i="2" a="1"/>
  <c r="Q57" i="2" s="1"/>
  <c r="BH62" i="2" a="1"/>
  <c r="BH62" i="2" s="1"/>
  <c r="BH67" i="2" a="1"/>
  <c r="BH67" i="2" s="1"/>
  <c r="AL72" i="2" a="1"/>
  <c r="AL72" i="2" s="1"/>
  <c r="AG105" i="2" a="1"/>
  <c r="AG105" i="2" s="1"/>
  <c r="N122" i="2" a="1"/>
  <c r="N122" i="2" s="1"/>
  <c r="AF122" i="2" s="1" a="1"/>
  <c r="AF122" i="2" s="1"/>
  <c r="C192" i="3" s="1" a="1"/>
  <c r="C192" i="3" s="1"/>
  <c r="AG111" i="2" a="1"/>
  <c r="AG111" i="2" s="1"/>
  <c r="N124" i="2" a="1"/>
  <c r="N124" i="2" s="1"/>
  <c r="AF124" i="2" s="1" a="1"/>
  <c r="AF124" i="2" s="1"/>
  <c r="C194" i="3" s="1" a="1"/>
  <c r="C194" i="3" s="1"/>
  <c r="O6" i="4" a="1"/>
  <c r="O6" i="4" s="1"/>
  <c r="B43" i="3" a="1"/>
  <c r="B43" i="3" s="1"/>
  <c r="O7" i="4" a="1"/>
  <c r="O7" i="4" s="1"/>
  <c r="B66" i="3" a="1"/>
  <c r="B66" i="3" s="1"/>
  <c r="T61" i="2" a="1"/>
  <c r="T61" i="2" s="1"/>
  <c r="L61" i="2" a="1"/>
  <c r="L61" i="2" s="1"/>
  <c r="U61" i="2" a="1"/>
  <c r="U61" i="2" s="1"/>
  <c r="K61" i="2" a="1"/>
  <c r="K61" i="2" s="1"/>
  <c r="I61" i="2" a="1"/>
  <c r="I61" i="2" s="1"/>
  <c r="N61" i="2" a="1"/>
  <c r="N61" i="2" s="1"/>
  <c r="CI37" i="2" s="1" a="1"/>
  <c r="CI37" i="2" s="1"/>
  <c r="CL37" i="2" s="1" a="1"/>
  <c r="CL37" i="2" s="1"/>
  <c r="R61" i="2" a="1"/>
  <c r="R61" i="2" s="1"/>
  <c r="BS68" i="2" a="1"/>
  <c r="BS68" i="2" s="1"/>
  <c r="O20" i="4" a="1"/>
  <c r="O20" i="4" s="1"/>
  <c r="B23" i="3" a="1"/>
  <c r="B23" i="3" s="1"/>
  <c r="N69" i="2" a="1"/>
  <c r="N69" i="2" s="1"/>
  <c r="CI41" i="2" s="1" a="1"/>
  <c r="CI41" i="2" s="1"/>
  <c r="CL41" i="2" s="1" a="1"/>
  <c r="CL41" i="2" s="1"/>
  <c r="BH69" i="2" a="1"/>
  <c r="BH69" i="2" s="1"/>
  <c r="BG69" i="2" a="1"/>
  <c r="BG69" i="2" s="1"/>
  <c r="BD69" i="2" a="1"/>
  <c r="BD69" i="2" s="1"/>
  <c r="E70" i="2" a="1"/>
  <c r="E70" i="2" s="1"/>
  <c r="O70" i="2" a="1"/>
  <c r="O70" i="2" s="1"/>
  <c r="N70" i="2" a="1"/>
  <c r="N70" i="2" s="1"/>
  <c r="L70" i="2" a="1"/>
  <c r="L70" i="2" s="1"/>
  <c r="K70" i="2" a="1"/>
  <c r="K70" i="2" s="1"/>
  <c r="U70" i="2" a="1"/>
  <c r="U70" i="2" s="1"/>
  <c r="BG66" i="2" a="1"/>
  <c r="BG66" i="2" s="1"/>
  <c r="BJ66" i="2" a="1"/>
  <c r="BJ66" i="2" s="1"/>
  <c r="O24" i="4" a="1"/>
  <c r="O24" i="4" s="1"/>
  <c r="B71" i="3" a="1"/>
  <c r="B71" i="3" s="1"/>
  <c r="R76" i="2" a="1"/>
  <c r="R76" i="2" s="1"/>
  <c r="O45" i="4" a="1"/>
  <c r="O45" i="4" s="1"/>
  <c r="B52" i="3" a="1"/>
  <c r="B52" i="3" s="1"/>
  <c r="H94" i="2" a="1"/>
  <c r="H94" i="2" s="1"/>
  <c r="T94" i="2" a="1"/>
  <c r="T94" i="2" s="1"/>
  <c r="E94" i="2" a="1"/>
  <c r="E94" i="2" s="1"/>
  <c r="BW52" i="2" s="1" a="1"/>
  <c r="BW52" i="2" s="1"/>
  <c r="Q94" i="2" a="1"/>
  <c r="Q94" i="2" s="1"/>
  <c r="E60" i="2" a="1"/>
  <c r="E60" i="2" s="1"/>
  <c r="U60" i="2" a="1"/>
  <c r="U60" i="2" s="1"/>
  <c r="K60" i="2" a="1"/>
  <c r="K60" i="2" s="1"/>
  <c r="CF35" i="2" s="1" a="1"/>
  <c r="CF35" i="2" s="1"/>
  <c r="T60" i="2" a="1"/>
  <c r="T60" i="2" s="1"/>
  <c r="I60" i="2" a="1"/>
  <c r="I60" i="2" s="1"/>
  <c r="BH65" i="2" a="1"/>
  <c r="BH65" i="2" s="1"/>
  <c r="BG65" i="2" a="1"/>
  <c r="BG65" i="2" s="1"/>
  <c r="BD65" i="2" a="1"/>
  <c r="BD65" i="2" s="1"/>
  <c r="BJ67" i="2" a="1"/>
  <c r="BJ67" i="2" s="1"/>
  <c r="E69" i="2" a="1"/>
  <c r="E69" i="2" s="1"/>
  <c r="R20" i="4" a="1"/>
  <c r="R20" i="4" s="1"/>
  <c r="O69" i="2" a="1"/>
  <c r="O69" i="2" s="1"/>
  <c r="L69" i="2" a="1"/>
  <c r="L69" i="2" s="1"/>
  <c r="F70" i="2" a="1"/>
  <c r="F70" i="2" s="1"/>
  <c r="BU38" i="2" s="1" a="1"/>
  <c r="BU38" i="2" s="1"/>
  <c r="T76" i="2" a="1"/>
  <c r="T76" i="2" s="1"/>
  <c r="AV54" i="2" a="1"/>
  <c r="AV54" i="2" s="1"/>
  <c r="E61" i="2" a="1"/>
  <c r="E61" i="2" s="1"/>
  <c r="BU37" i="2" s="1" a="1"/>
  <c r="BU37" i="2" s="1"/>
  <c r="BX37" i="2" s="1" a="1"/>
  <c r="BX37" i="2" s="1"/>
  <c r="O12" i="4" a="1"/>
  <c r="O12" i="4" s="1"/>
  <c r="B21" i="3" a="1"/>
  <c r="B21" i="3" s="1"/>
  <c r="T62" i="2" a="1"/>
  <c r="T62" i="2" s="1"/>
  <c r="R62" i="2" a="1"/>
  <c r="R62" i="2" s="1"/>
  <c r="H62" i="2" a="1"/>
  <c r="H62" i="2" s="1"/>
  <c r="F62" i="2" a="1"/>
  <c r="F62" i="2" s="1"/>
  <c r="Q62" i="2" a="1"/>
  <c r="Q62" i="2" s="1"/>
  <c r="O62" i="2" a="1"/>
  <c r="O62" i="2" s="1"/>
  <c r="E62" i="2" a="1"/>
  <c r="E62" i="2" s="1"/>
  <c r="U62" i="2" a="1"/>
  <c r="U62" i="2" s="1"/>
  <c r="K62" i="2" a="1"/>
  <c r="K62" i="2" s="1"/>
  <c r="O13" i="4" a="1"/>
  <c r="O13" i="4" s="1"/>
  <c r="B44" i="3" a="1"/>
  <c r="B44" i="3" s="1"/>
  <c r="BG68" i="2" a="1"/>
  <c r="BG68" i="2" s="1"/>
  <c r="BH68" i="2" a="1"/>
  <c r="BH68" i="2" s="1"/>
  <c r="BJ68" i="2" a="1"/>
  <c r="BJ68" i="2" s="1"/>
  <c r="H69" i="2" a="1"/>
  <c r="H69" i="2" s="1"/>
  <c r="N55" i="2" a="1"/>
  <c r="N55" i="2" s="1"/>
  <c r="F61" i="2" a="1"/>
  <c r="F61" i="2" s="1"/>
  <c r="BD68" i="2" a="1"/>
  <c r="BD68" i="2" s="1"/>
  <c r="BJ69" i="2" a="1"/>
  <c r="BJ69" i="2" s="1"/>
  <c r="H70" i="2" a="1"/>
  <c r="H70" i="2" s="1"/>
  <c r="AV72" i="2" a="1"/>
  <c r="AV72" i="2" s="1"/>
  <c r="Q54" i="2" a="1"/>
  <c r="Q54" i="2" s="1"/>
  <c r="F54" i="2" a="1"/>
  <c r="F54" i="2" s="1"/>
  <c r="E54" i="2" a="1"/>
  <c r="E54" i="2" s="1"/>
  <c r="BW32" i="2" s="1" a="1"/>
  <c r="BW32" i="2" s="1"/>
  <c r="N54" i="2" a="1"/>
  <c r="N54" i="2" s="1"/>
  <c r="CK32" i="2" s="1" a="1"/>
  <c r="CK32" i="2" s="1"/>
  <c r="R54" i="2" a="1"/>
  <c r="R54" i="2" s="1"/>
  <c r="AL55" i="2" a="1"/>
  <c r="AL55" i="2" s="1"/>
  <c r="AV55" i="2" a="1"/>
  <c r="AV55" i="2" s="1"/>
  <c r="O8" i="4" a="1"/>
  <c r="O8" i="4" s="1"/>
  <c r="B67" i="3" a="1"/>
  <c r="B67" i="3" s="1"/>
  <c r="BD58" i="2" a="1"/>
  <c r="BD58" i="2" s="1"/>
  <c r="BJ58" i="2" a="1"/>
  <c r="BJ58" i="2" s="1"/>
  <c r="BS59" i="2" a="1"/>
  <c r="BS59" i="2" s="1"/>
  <c r="BS58" i="2" a="1"/>
  <c r="BS58" i="2" s="1"/>
  <c r="BS64" i="2" a="1"/>
  <c r="BS64" i="2" s="1"/>
  <c r="BS61" i="2" a="1"/>
  <c r="BS61" i="2" s="1"/>
  <c r="F60" i="2" a="1"/>
  <c r="F60" i="2" s="1"/>
  <c r="AL65" i="2" a="1"/>
  <c r="AL65" i="2" s="1"/>
  <c r="T15" i="4" s="1" a="1"/>
  <c r="T15" i="4" s="1"/>
  <c r="BH66" i="2" a="1"/>
  <c r="BH66" i="2" s="1"/>
  <c r="I69" i="2" a="1"/>
  <c r="I69" i="2" s="1"/>
  <c r="BK69" i="2" a="1"/>
  <c r="BK69" i="2" s="1"/>
  <c r="AL73" i="2" a="1"/>
  <c r="AL73" i="2" s="1"/>
  <c r="AV73" i="2" a="1"/>
  <c r="AV73" i="2" s="1"/>
  <c r="AV86" i="2" a="1"/>
  <c r="AV86" i="2" s="1"/>
  <c r="AL54" i="2" a="1"/>
  <c r="AL54" i="2" s="1"/>
  <c r="T4" i="4" s="1" a="1"/>
  <c r="T4" i="4" s="1"/>
  <c r="I57" i="2" a="1"/>
  <c r="I57" i="2" s="1"/>
  <c r="H60" i="2" a="1"/>
  <c r="H60" i="2" s="1"/>
  <c r="CA35" i="2" s="1" a="1"/>
  <c r="CA35" i="2" s="1"/>
  <c r="H61" i="2" a="1"/>
  <c r="H61" i="2" s="1"/>
  <c r="I62" i="2" a="1"/>
  <c r="I62" i="2" s="1"/>
  <c r="BJ65" i="2" a="1"/>
  <c r="BJ65" i="2" s="1"/>
  <c r="BS67" i="2" a="1"/>
  <c r="BS67" i="2" s="1"/>
  <c r="I70" i="2" a="1"/>
  <c r="I70" i="2" s="1"/>
  <c r="T73" i="2" a="1"/>
  <c r="T73" i="2" s="1"/>
  <c r="CT40" i="2" s="1" a="1"/>
  <c r="CT40" i="2" s="1"/>
  <c r="I73" i="2" a="1"/>
  <c r="I73" i="2" s="1"/>
  <c r="CA39" i="2" s="1" a="1"/>
  <c r="CA39" i="2" s="1"/>
  <c r="E73" i="2" a="1"/>
  <c r="E73" i="2" s="1"/>
  <c r="Q73" i="2" a="1"/>
  <c r="Q73" i="2" s="1"/>
  <c r="O73" i="2" a="1"/>
  <c r="O73" i="2" s="1"/>
  <c r="CI39" i="2" s="1" a="1"/>
  <c r="CI39" i="2" s="1"/>
  <c r="CL39" i="2" s="1" a="1"/>
  <c r="CL39" i="2" s="1"/>
  <c r="N73" i="2" a="1"/>
  <c r="N73" i="2" s="1"/>
  <c r="R73" i="2" a="1"/>
  <c r="R73" i="2" s="1"/>
  <c r="F73" i="2" a="1"/>
  <c r="F73" i="2" s="1"/>
  <c r="BU39" i="2" s="1" a="1"/>
  <c r="BU39" i="2" s="1"/>
  <c r="BX39" i="2" s="1" a="1"/>
  <c r="BX39" i="2" s="1"/>
  <c r="AL78" i="2" a="1"/>
  <c r="AL78" i="2" s="1"/>
  <c r="T28" i="4" s="1" a="1"/>
  <c r="T28" i="4" s="1"/>
  <c r="AV78" i="2" a="1"/>
  <c r="AV78" i="2" s="1"/>
  <c r="T54" i="2" a="1"/>
  <c r="T54" i="2" s="1"/>
  <c r="U55" i="2" a="1"/>
  <c r="U55" i="2" s="1"/>
  <c r="K55" i="2" a="1"/>
  <c r="K55" i="2" s="1"/>
  <c r="R55" i="2" a="1"/>
  <c r="R55" i="2" s="1"/>
  <c r="H55" i="2" a="1"/>
  <c r="H55" i="2" s="1"/>
  <c r="L60" i="2" a="1"/>
  <c r="L60" i="2" s="1"/>
  <c r="AL62" i="2" a="1"/>
  <c r="AL62" i="2" s="1"/>
  <c r="BD63" i="2" a="1"/>
  <c r="BD63" i="2" s="1"/>
  <c r="O15" i="4" a="1"/>
  <c r="O15" i="4" s="1"/>
  <c r="B68" i="3" a="1"/>
  <c r="B68" i="3" s="1"/>
  <c r="K69" i="2" a="1"/>
  <c r="K69" i="2" s="1"/>
  <c r="Q70" i="2" a="1"/>
  <c r="Q70" i="2" s="1"/>
  <c r="U72" i="2" a="1"/>
  <c r="U72" i="2" s="1"/>
  <c r="CT41" i="2" s="1" a="1"/>
  <c r="CT41" i="2" s="1"/>
  <c r="K72" i="2" a="1"/>
  <c r="K72" i="2" s="1"/>
  <c r="L72" i="2" a="1"/>
  <c r="L72" i="2" s="1"/>
  <c r="I72" i="2" a="1"/>
  <c r="I72" i="2" s="1"/>
  <c r="T72" i="2" a="1"/>
  <c r="T72" i="2" s="1"/>
  <c r="H72" i="2" a="1"/>
  <c r="H72" i="2" s="1"/>
  <c r="Q72" i="2" a="1"/>
  <c r="Q72" i="2" s="1"/>
  <c r="O72" i="2" a="1"/>
  <c r="O72" i="2" s="1"/>
  <c r="CK41" i="2" s="1" a="1"/>
  <c r="CK41" i="2" s="1"/>
  <c r="H73" i="2" a="1"/>
  <c r="H73" i="2" s="1"/>
  <c r="O3" i="4" a="1"/>
  <c r="O3" i="4" s="1"/>
  <c r="B18" i="3" a="1"/>
  <c r="B18" i="3" s="1"/>
  <c r="H54" i="2" a="1"/>
  <c r="H54" i="2" s="1"/>
  <c r="Q55" i="2" a="1"/>
  <c r="Q55" i="2" s="1"/>
  <c r="BG58" i="2" a="1"/>
  <c r="BG58" i="2" s="1"/>
  <c r="N60" i="2" a="1"/>
  <c r="N60" i="2" s="1"/>
  <c r="O61" i="2" a="1"/>
  <c r="O61" i="2" s="1"/>
  <c r="CK36" i="2" s="1" a="1"/>
  <c r="CK36" i="2" s="1"/>
  <c r="L62" i="2" a="1"/>
  <c r="L62" i="2" s="1"/>
  <c r="BG63" i="2" a="1"/>
  <c r="BG63" i="2" s="1"/>
  <c r="O64" i="2" a="1"/>
  <c r="O64" i="2" s="1"/>
  <c r="T64" i="2" a="1"/>
  <c r="T64" i="2" s="1"/>
  <c r="H64" i="2" a="1"/>
  <c r="H64" i="2" s="1"/>
  <c r="R64" i="2" a="1"/>
  <c r="R64" i="2" s="1"/>
  <c r="CP35" i="2" s="1" a="1"/>
  <c r="CP35" i="2" s="1"/>
  <c r="F64" i="2" a="1"/>
  <c r="F64" i="2" s="1"/>
  <c r="E64" i="2" a="1"/>
  <c r="E64" i="2" s="1"/>
  <c r="BU36" i="2" s="1" a="1"/>
  <c r="BU36" i="2" s="1"/>
  <c r="BX36" i="2" s="1" a="1"/>
  <c r="BX36" i="2" s="1"/>
  <c r="Q64" i="2" a="1"/>
  <c r="Q64" i="2" s="1"/>
  <c r="U64" i="2" a="1"/>
  <c r="U64" i="2" s="1"/>
  <c r="BH64" i="2" a="1"/>
  <c r="BH64" i="2" s="1"/>
  <c r="BG64" i="2" a="1"/>
  <c r="BG64" i="2" s="1"/>
  <c r="U65" i="2" a="1"/>
  <c r="U65" i="2" s="1"/>
  <c r="K65" i="2" a="1"/>
  <c r="K65" i="2" s="1"/>
  <c r="N65" i="2" a="1"/>
  <c r="N65" i="2" s="1"/>
  <c r="L65" i="2" a="1"/>
  <c r="L65" i="2" s="1"/>
  <c r="I65" i="2" a="1"/>
  <c r="I65" i="2" s="1"/>
  <c r="Q65" i="2" a="1"/>
  <c r="Q65" i="2" s="1"/>
  <c r="R69" i="2" a="1"/>
  <c r="R69" i="2" s="1"/>
  <c r="R70" i="2" a="1"/>
  <c r="R70" i="2" s="1"/>
  <c r="K73" i="2" a="1"/>
  <c r="K73" i="2" s="1"/>
  <c r="O36" i="4" a="1"/>
  <c r="O36" i="4" s="1"/>
  <c r="T85" i="2" a="1"/>
  <c r="T85" i="2" s="1"/>
  <c r="K85" i="2" a="1"/>
  <c r="K85" i="2" s="1"/>
  <c r="B27" i="3" a="1"/>
  <c r="B27" i="3" s="1"/>
  <c r="N85" i="2" a="1"/>
  <c r="N85" i="2" s="1"/>
  <c r="Q85" i="2" a="1"/>
  <c r="Q85" i="2" s="1"/>
  <c r="H85" i="2" a="1"/>
  <c r="H85" i="2" s="1"/>
  <c r="E85" i="2" a="1"/>
  <c r="E85" i="2" s="1"/>
  <c r="AV81" i="2" a="1"/>
  <c r="AV81" i="2" s="1"/>
  <c r="AV95" i="2" a="1"/>
  <c r="AV95" i="2" s="1"/>
  <c r="AL95" i="2" a="1"/>
  <c r="AL95" i="2" s="1"/>
  <c r="T45" i="4" s="1" a="1"/>
  <c r="T45" i="4" s="1"/>
  <c r="O11" i="4" a="1"/>
  <c r="O11" i="4" s="1"/>
  <c r="B20" i="3" a="1"/>
  <c r="B20" i="3" s="1"/>
  <c r="E68" i="2" a="1"/>
  <c r="E68" i="2" s="1"/>
  <c r="O68" i="2" a="1"/>
  <c r="O68" i="2" s="1"/>
  <c r="Q68" i="2" a="1"/>
  <c r="Q68" i="2" s="1"/>
  <c r="AV79" i="2" a="1"/>
  <c r="AV79" i="2" s="1"/>
  <c r="O37" i="4" a="1"/>
  <c r="O37" i="4" s="1"/>
  <c r="B50" i="3" a="1"/>
  <c r="B50" i="3" s="1"/>
  <c r="H86" i="2" a="1"/>
  <c r="H86" i="2" s="1"/>
  <c r="T86" i="2" a="1"/>
  <c r="T86" i="2" s="1"/>
  <c r="CT48" i="2" s="1" a="1"/>
  <c r="CT48" i="2" s="1"/>
  <c r="N77" i="2" a="1"/>
  <c r="N77" i="2" s="1"/>
  <c r="E77" i="2" a="1"/>
  <c r="E77" i="2" s="1"/>
  <c r="R77" i="2" a="1"/>
  <c r="R77" i="2" s="1"/>
  <c r="Q77" i="2" a="1"/>
  <c r="Q77" i="2" s="1"/>
  <c r="R40" i="4" a="1"/>
  <c r="R40" i="4" s="1"/>
  <c r="I89" i="2" a="1"/>
  <c r="I89" i="2" s="1"/>
  <c r="CA47" i="2" s="1" a="1"/>
  <c r="CA47" i="2" s="1"/>
  <c r="T93" i="2" a="1"/>
  <c r="T93" i="2" s="1"/>
  <c r="K93" i="2" a="1"/>
  <c r="K93" i="2" s="1"/>
  <c r="R93" i="2" a="1"/>
  <c r="R93" i="2" s="1"/>
  <c r="I93" i="2" a="1"/>
  <c r="I93" i="2" s="1"/>
  <c r="U93" i="2" a="1"/>
  <c r="U93" i="2" s="1"/>
  <c r="F93" i="2" a="1"/>
  <c r="F93" i="2" s="1"/>
  <c r="BU52" i="2" s="1" a="1"/>
  <c r="BU52" i="2" s="1"/>
  <c r="Q93" i="2" a="1"/>
  <c r="Q93" i="2" s="1"/>
  <c r="E93" i="2" a="1"/>
  <c r="E93" i="2" s="1"/>
  <c r="L93" i="2" a="1"/>
  <c r="L93" i="2" s="1"/>
  <c r="H93" i="2" a="1"/>
  <c r="H93" i="2" s="1"/>
  <c r="N93" i="2" a="1"/>
  <c r="N93" i="2" s="1"/>
  <c r="R45" i="4" a="1"/>
  <c r="R45" i="4" s="1"/>
  <c r="F94" i="2" a="1"/>
  <c r="F94" i="2" s="1"/>
  <c r="R94" i="2" a="1"/>
  <c r="R94" i="2" s="1"/>
  <c r="O94" i="2" a="1"/>
  <c r="O94" i="2" s="1"/>
  <c r="I94" i="2" a="1"/>
  <c r="I94" i="2" s="1"/>
  <c r="R38" i="4" a="1"/>
  <c r="R38" i="4" s="1"/>
  <c r="F87" i="2" a="1"/>
  <c r="F87" i="2" s="1"/>
  <c r="I87" i="2" a="1"/>
  <c r="I87" i="2" s="1"/>
  <c r="O47" i="4" a="1"/>
  <c r="O47" i="4" s="1"/>
  <c r="B76" i="3" a="1"/>
  <c r="B76" i="3" s="1"/>
  <c r="H96" i="2" a="1"/>
  <c r="H96" i="2" s="1"/>
  <c r="O79" i="2" a="1"/>
  <c r="O79" i="2" s="1"/>
  <c r="CJ45" i="2" s="1" a="1"/>
  <c r="CJ45" i="2" s="1"/>
  <c r="F79" i="2" a="1"/>
  <c r="F79" i="2" s="1"/>
  <c r="BV45" i="2" s="1" a="1"/>
  <c r="BV45" i="2" s="1"/>
  <c r="N79" i="2" a="1"/>
  <c r="N79" i="2" s="1"/>
  <c r="CJ43" i="2" s="1" a="1"/>
  <c r="CJ43" i="2" s="1"/>
  <c r="L79" i="2" a="1"/>
  <c r="L79" i="2" s="1"/>
  <c r="K79" i="2" a="1"/>
  <c r="K79" i="2" s="1"/>
  <c r="O93" i="2" a="1"/>
  <c r="O93" i="2" s="1"/>
  <c r="CI52" i="2" s="1" a="1"/>
  <c r="CI52" i="2" s="1"/>
  <c r="R47" i="4" a="1"/>
  <c r="R47" i="4" s="1"/>
  <c r="F96" i="2" a="1"/>
  <c r="F96" i="2" s="1"/>
  <c r="E79" i="2" a="1"/>
  <c r="E79" i="2" s="1"/>
  <c r="BV43" i="2" s="1" a="1"/>
  <c r="BV43" i="2" s="1"/>
  <c r="U79" i="2" a="1"/>
  <c r="U79" i="2" s="1"/>
  <c r="AL86" i="2" a="1"/>
  <c r="AL86" i="2" s="1"/>
  <c r="T36" i="4" s="1" a="1"/>
  <c r="T36" i="4" s="1"/>
  <c r="AL89" i="2" a="1"/>
  <c r="AL89" i="2" s="1"/>
  <c r="T39" i="4" s="1" a="1"/>
  <c r="T39" i="4" s="1"/>
  <c r="AL94" i="2" a="1"/>
  <c r="AL94" i="2" s="1"/>
  <c r="T44" i="4" s="1" a="1"/>
  <c r="T44" i="4" s="1"/>
  <c r="AV94" i="2" a="1"/>
  <c r="AV94" i="2" s="1"/>
  <c r="AG106" i="2" a="1"/>
  <c r="AG106" i="2" s="1"/>
  <c r="N120" i="2" a="1"/>
  <c r="N120" i="2" s="1"/>
  <c r="AF121" i="2" s="1" a="1"/>
  <c r="AF121" i="2" s="1"/>
  <c r="C191" i="3" s="1" a="1"/>
  <c r="C191" i="3" s="1"/>
  <c r="BI60" i="2" a="1"/>
  <c r="BI60" i="2" s="1"/>
  <c r="I68" i="2" a="1"/>
  <c r="I68" i="2" s="1"/>
  <c r="U68" i="2" a="1"/>
  <c r="U68" i="2" s="1"/>
  <c r="O27" i="4" a="1"/>
  <c r="O27" i="4" s="1"/>
  <c r="B24" i="3" a="1"/>
  <c r="B24" i="3" s="1"/>
  <c r="I77" i="2" a="1"/>
  <c r="I77" i="2" s="1"/>
  <c r="O28" i="4" a="1"/>
  <c r="O28" i="4" s="1"/>
  <c r="B25" i="3" a="1"/>
  <c r="B25" i="3" s="1"/>
  <c r="O78" i="2" a="1"/>
  <c r="O78" i="2" s="1"/>
  <c r="F78" i="2" a="1"/>
  <c r="F78" i="2" s="1"/>
  <c r="Q78" i="2" a="1"/>
  <c r="Q78" i="2" s="1"/>
  <c r="E78" i="2" a="1"/>
  <c r="E78" i="2" s="1"/>
  <c r="BW44" i="2" s="1" a="1"/>
  <c r="BW44" i="2" s="1"/>
  <c r="N78" i="2" a="1"/>
  <c r="N78" i="2" s="1"/>
  <c r="CK44" i="2" s="1" a="1"/>
  <c r="CK44" i="2" s="1"/>
  <c r="T78" i="2" a="1"/>
  <c r="T78" i="2" s="1"/>
  <c r="H78" i="2" a="1"/>
  <c r="H78" i="2" s="1"/>
  <c r="C186" i="3" a="1"/>
  <c r="C186" i="3" s="1"/>
  <c r="L63" i="2" a="1"/>
  <c r="L63" i="2" s="1"/>
  <c r="O14" i="4" a="1"/>
  <c r="O14" i="4" s="1"/>
  <c r="B45" i="3" a="1"/>
  <c r="B45" i="3" s="1"/>
  <c r="O16" i="4" a="1"/>
  <c r="O16" i="4" s="1"/>
  <c r="B69" i="3" a="1"/>
  <c r="B69" i="3" s="1"/>
  <c r="O21" i="4" a="1"/>
  <c r="O21" i="4" s="1"/>
  <c r="B46" i="3" a="1"/>
  <c r="B46" i="3" s="1"/>
  <c r="N71" i="2" a="1"/>
  <c r="N71" i="2" s="1"/>
  <c r="CK39" i="2" s="1" a="1"/>
  <c r="CK39" i="2" s="1"/>
  <c r="L71" i="2" a="1"/>
  <c r="L71" i="2" s="1"/>
  <c r="Q71" i="2" a="1"/>
  <c r="Q71" i="2" s="1"/>
  <c r="AV71" i="2" a="1"/>
  <c r="AV71" i="2" s="1"/>
  <c r="K77" i="2" a="1"/>
  <c r="K77" i="2" s="1"/>
  <c r="U78" i="2" a="1"/>
  <c r="U78" i="2" s="1"/>
  <c r="H79" i="2" a="1"/>
  <c r="H79" i="2" s="1"/>
  <c r="AV80" i="2" a="1"/>
  <c r="AV80" i="2" s="1"/>
  <c r="AL80" i="2" a="1"/>
  <c r="AL80" i="2" s="1"/>
  <c r="T30" i="4" s="1" a="1"/>
  <c r="T30" i="4" s="1"/>
  <c r="O81" i="2" a="1"/>
  <c r="O81" i="2" s="1"/>
  <c r="F81" i="2" a="1"/>
  <c r="F81" i="2" s="1"/>
  <c r="N81" i="2" a="1"/>
  <c r="N81" i="2" s="1"/>
  <c r="E81" i="2" a="1"/>
  <c r="E81" i="2" s="1"/>
  <c r="Q81" i="2" a="1"/>
  <c r="Q81" i="2" s="1"/>
  <c r="L81" i="2" a="1"/>
  <c r="L81" i="2" s="1"/>
  <c r="R81" i="2" a="1"/>
  <c r="R81" i="2" s="1"/>
  <c r="U81" i="2" a="1"/>
  <c r="U81" i="2" s="1"/>
  <c r="H81" i="2" a="1"/>
  <c r="H81" i="2" s="1"/>
  <c r="AL87" i="2" a="1"/>
  <c r="AL87" i="2" s="1"/>
  <c r="T37" i="4" s="1" a="1"/>
  <c r="T37" i="4" s="1"/>
  <c r="O48" i="4" a="1"/>
  <c r="O48" i="4" s="1"/>
  <c r="B77" i="3" a="1"/>
  <c r="B77" i="3" s="1"/>
  <c r="H97" i="2" a="1"/>
  <c r="H97" i="2" s="1"/>
  <c r="T97" i="2" a="1"/>
  <c r="T97" i="2" s="1"/>
  <c r="N97" i="2" a="1"/>
  <c r="N97" i="2" s="1"/>
  <c r="CJ52" i="2" s="1" a="1"/>
  <c r="CJ52" i="2" s="1"/>
  <c r="K68" i="2" a="1"/>
  <c r="K68" i="2" s="1"/>
  <c r="O19" i="4" a="1"/>
  <c r="O19" i="4" s="1"/>
  <c r="B22" i="3" a="1"/>
  <c r="B22" i="3" s="1"/>
  <c r="E71" i="2" a="1"/>
  <c r="E71" i="2" s="1"/>
  <c r="AV89" i="2" a="1"/>
  <c r="AV89" i="2" s="1"/>
  <c r="BI59" i="2" a="1"/>
  <c r="BI59" i="2" s="1"/>
  <c r="N63" i="2" a="1"/>
  <c r="N63" i="2" s="1"/>
  <c r="F71" i="2" a="1"/>
  <c r="F71" i="2" s="1"/>
  <c r="R71" i="2" a="1"/>
  <c r="R71" i="2" s="1"/>
  <c r="O23" i="4" a="1"/>
  <c r="O23" i="4" s="1"/>
  <c r="B70" i="3" a="1"/>
  <c r="B70" i="3" s="1"/>
  <c r="L77" i="2" a="1"/>
  <c r="L77" i="2" s="1"/>
  <c r="I79" i="2" a="1"/>
  <c r="I79" i="2" s="1"/>
  <c r="O87" i="2" a="1"/>
  <c r="O87" i="2" s="1"/>
  <c r="R43" i="4" a="1"/>
  <c r="R43" i="4" s="1"/>
  <c r="R92" i="2" a="1"/>
  <c r="R92" i="2" s="1"/>
  <c r="I92" i="2" a="1"/>
  <c r="I92" i="2" s="1"/>
  <c r="BK59" i="2" a="1"/>
  <c r="BK59" i="2" s="1"/>
  <c r="L68" i="2" a="1"/>
  <c r="L68" i="2" s="1"/>
  <c r="Q69" i="2" a="1"/>
  <c r="Q69" i="2" s="1"/>
  <c r="F69" i="2" a="1"/>
  <c r="F69" i="2" s="1"/>
  <c r="AL71" i="2" a="1"/>
  <c r="AL71" i="2" s="1"/>
  <c r="T21" i="4" s="1" a="1"/>
  <c r="T21" i="4" s="1"/>
  <c r="I78" i="2" a="1"/>
  <c r="I78" i="2" s="1"/>
  <c r="I81" i="2" a="1"/>
  <c r="I81" i="2" s="1"/>
  <c r="O35" i="4" a="1"/>
  <c r="O35" i="4" s="1"/>
  <c r="B26" i="3" a="1"/>
  <c r="B26" i="3" s="1"/>
  <c r="O89" i="2" a="1"/>
  <c r="O89" i="2" s="1"/>
  <c r="O29" i="4" a="1"/>
  <c r="O29" i="4" s="1"/>
  <c r="B48" i="3" a="1"/>
  <c r="B48" i="3" s="1"/>
  <c r="N84" i="2" a="1"/>
  <c r="N84" i="2" s="1"/>
  <c r="E84" i="2" a="1"/>
  <c r="E84" i="2" s="1"/>
  <c r="U84" i="2" a="1"/>
  <c r="U84" i="2" s="1"/>
  <c r="L84" i="2" a="1"/>
  <c r="L84" i="2" s="1"/>
  <c r="R84" i="2" a="1"/>
  <c r="R84" i="2" s="1"/>
  <c r="CO46" i="2" s="1" a="1"/>
  <c r="CO46" i="2" s="1"/>
  <c r="R37" i="4" a="1"/>
  <c r="R37" i="4" s="1"/>
  <c r="O86" i="2" a="1"/>
  <c r="O86" i="2" s="1"/>
  <c r="O38" i="4" a="1"/>
  <c r="O38" i="4" s="1"/>
  <c r="B51" i="3" a="1"/>
  <c r="B51" i="3" s="1"/>
  <c r="O40" i="4" a="1"/>
  <c r="O40" i="4" s="1"/>
  <c r="B75" i="3" a="1"/>
  <c r="B75" i="3" s="1"/>
  <c r="E96" i="2" a="1"/>
  <c r="E96" i="2" s="1"/>
  <c r="AG110" i="2" a="1"/>
  <c r="AG110" i="2" s="1"/>
  <c r="M125" i="2" a="1"/>
  <c r="M125" i="2" s="1"/>
  <c r="AA125" i="2" s="1" a="1"/>
  <c r="AA125" i="2" s="1"/>
  <c r="AE22" i="4" s="1" a="1"/>
  <c r="AE22" i="4" s="1"/>
  <c r="AG103" i="2" a="1"/>
  <c r="AG103" i="2" s="1"/>
  <c r="M120" i="2" a="1"/>
  <c r="M120" i="2" s="1"/>
  <c r="AA121" i="2" s="1" a="1"/>
  <c r="AA121" i="2" s="1"/>
  <c r="AE4" i="4" s="1" a="1"/>
  <c r="AE4" i="4" s="1"/>
  <c r="AB48" i="4" a="1"/>
  <c r="AB48" i="4" s="1"/>
  <c r="AK43" i="4" a="1"/>
  <c r="AK43" i="4" s="1"/>
  <c r="AJ43" i="4" a="1"/>
  <c r="AJ43" i="4" s="1"/>
  <c r="AF47" i="4" a="1"/>
  <c r="AF47" i="4" s="1"/>
  <c r="AG46" i="4" a="1"/>
  <c r="AG46" i="4" s="1"/>
  <c r="AI44" i="4" a="1"/>
  <c r="AI44" i="4" s="1"/>
  <c r="AI43" i="4" a="1"/>
  <c r="AI43" i="4" s="1"/>
  <c r="AF40" i="4" a="1"/>
  <c r="AF40" i="4" s="1"/>
  <c r="AO38" i="4" a="1"/>
  <c r="AO38" i="4" s="1"/>
  <c r="AB37" i="4" a="1"/>
  <c r="AB37" i="4" s="1"/>
  <c r="AE35" i="4" a="1"/>
  <c r="AE35" i="4" s="1"/>
  <c r="AB31" i="4" a="1"/>
  <c r="AB31" i="4" s="1"/>
  <c r="AC28" i="4" a="1"/>
  <c r="AC28" i="4" s="1"/>
  <c r="AB22" i="4" a="1"/>
  <c r="AB22" i="4" s="1"/>
  <c r="AF46" i="4" a="1"/>
  <c r="AF46" i="4" s="1"/>
  <c r="AN38" i="4" a="1"/>
  <c r="AN38" i="4" s="1"/>
  <c r="AG34" i="4" a="1"/>
  <c r="AG34" i="4" s="1"/>
  <c r="AB33" i="4" a="1"/>
  <c r="AB33" i="4" s="1"/>
  <c r="AC27" i="4" a="1"/>
  <c r="AC27" i="4" s="1"/>
  <c r="AW25" i="4" a="1"/>
  <c r="AW25" i="4" s="1"/>
  <c r="AC21" i="4" a="1"/>
  <c r="AC21" i="4" s="1"/>
  <c r="AE47" i="4" a="1"/>
  <c r="AE47" i="4" s="1"/>
  <c r="AE46" i="4" a="1"/>
  <c r="AE46" i="4" s="1"/>
  <c r="AC43" i="4" a="1"/>
  <c r="AC43" i="4" s="1"/>
  <c r="AE40" i="4" a="1"/>
  <c r="AE40" i="4" s="1"/>
  <c r="AM38" i="4" a="1"/>
  <c r="AM38" i="4" s="1"/>
  <c r="AS31" i="4" a="1"/>
  <c r="AS31" i="4" s="1"/>
  <c r="AA31" i="4" a="1"/>
  <c r="AA31" i="4" s="1"/>
  <c r="AB28" i="4" a="1"/>
  <c r="AB28" i="4" s="1"/>
  <c r="AC24" i="4" a="1"/>
  <c r="AC24" i="4" s="1"/>
  <c r="AC40" i="4" a="1"/>
  <c r="AC40" i="4" s="1"/>
  <c r="AC36" i="4" a="1"/>
  <c r="AC36" i="4" s="1"/>
  <c r="AF34" i="4" a="1"/>
  <c r="AF34" i="4" s="1"/>
  <c r="AR31" i="4" a="1"/>
  <c r="AR31" i="4" s="1"/>
  <c r="AA28" i="4" a="1"/>
  <c r="AA28" i="4" s="1"/>
  <c r="AB27" i="4" a="1"/>
  <c r="AB27" i="4" s="1"/>
  <c r="AW26" i="4" a="1"/>
  <c r="AW26" i="4" s="1"/>
  <c r="AV25" i="4" a="1"/>
  <c r="AV25" i="4" s="1"/>
  <c r="AG23" i="4" a="1"/>
  <c r="AG23" i="4" s="1"/>
  <c r="AB21" i="4" a="1"/>
  <c r="AB21" i="4" s="1"/>
  <c r="AC46" i="4" a="1"/>
  <c r="AC46" i="4" s="1"/>
  <c r="AC49" i="4" a="1"/>
  <c r="AC49" i="4" s="1"/>
  <c r="AB46" i="4" a="1"/>
  <c r="AB46" i="4" s="1"/>
  <c r="AB49" i="4" a="1"/>
  <c r="AB49" i="4" s="1"/>
  <c r="AC45" i="4" a="1"/>
  <c r="AC45" i="4" s="1"/>
  <c r="AK44" i="4" a="1"/>
  <c r="AK44" i="4" s="1"/>
  <c r="AG41" i="4" a="1"/>
  <c r="AG41" i="4" s="1"/>
  <c r="AJ44" i="4" a="1"/>
  <c r="AJ44" i="4" s="1"/>
  <c r="AC22" i="4" a="1"/>
  <c r="AC22" i="4" s="1"/>
  <c r="AK20" i="4" a="1"/>
  <c r="AK20" i="4" s="1"/>
  <c r="AK19" i="4" a="1"/>
  <c r="AK19" i="4" s="1"/>
  <c r="AG16" i="4" a="1"/>
  <c r="AG16" i="4" s="1"/>
  <c r="AM37" i="4" a="1"/>
  <c r="AM37" i="4" s="1"/>
  <c r="AF35" i="4" a="1"/>
  <c r="AF35" i="4" s="1"/>
  <c r="AE23" i="4" a="1"/>
  <c r="AE23" i="4" s="1"/>
  <c r="AC13" i="4" a="1"/>
  <c r="AC13" i="4" s="1"/>
  <c r="AG40" i="4" a="1"/>
  <c r="AG40" i="4" s="1"/>
  <c r="AC37" i="4" a="1"/>
  <c r="AC37" i="4" s="1"/>
  <c r="AS32" i="4" a="1"/>
  <c r="AS32" i="4" s="1"/>
  <c r="AC30" i="4" a="1"/>
  <c r="AC30" i="4" s="1"/>
  <c r="AG28" i="4" a="1"/>
  <c r="AG28" i="4" s="1"/>
  <c r="AV26" i="4" a="1"/>
  <c r="AV26" i="4" s="1"/>
  <c r="AJ20" i="4" a="1"/>
  <c r="AJ20" i="4" s="1"/>
  <c r="AJ19" i="4" a="1"/>
  <c r="AJ19" i="4" s="1"/>
  <c r="AF16" i="4" a="1"/>
  <c r="AF16" i="4" s="1"/>
  <c r="AB13" i="4" a="1"/>
  <c r="AB13" i="4" s="1"/>
  <c r="AC12" i="4" a="1"/>
  <c r="AC12" i="4" s="1"/>
  <c r="AQ31" i="4" a="1"/>
  <c r="AQ31" i="4" s="1"/>
  <c r="AU26" i="4" a="1"/>
  <c r="AU26" i="4" s="1"/>
  <c r="AG47" i="4" a="1"/>
  <c r="AG47" i="4" s="1"/>
  <c r="AB40" i="4" a="1"/>
  <c r="AB40" i="4" s="1"/>
  <c r="AB42" i="4" a="1"/>
  <c r="AB42" i="4" s="1"/>
  <c r="AE41" i="4" a="1"/>
  <c r="AE41" i="4" s="1"/>
  <c r="AJ32" i="4" a="1"/>
  <c r="AJ32" i="4" s="1"/>
  <c r="AF29" i="4" a="1"/>
  <c r="AF29" i="4" s="1"/>
  <c r="AF22" i="4" a="1"/>
  <c r="AF22" i="4" s="1"/>
  <c r="AB19" i="4" a="1"/>
  <c r="AB19" i="4" s="1"/>
  <c r="AC48" i="4" a="1"/>
  <c r="AC48" i="4" s="1"/>
  <c r="AK32" i="4" a="1"/>
  <c r="AK32" i="4" s="1"/>
  <c r="AU25" i="4" a="1"/>
  <c r="AU25" i="4" s="1"/>
  <c r="AC18" i="4" a="1"/>
  <c r="AC18" i="4" s="1"/>
  <c r="AA40" i="4" a="1"/>
  <c r="AA40" i="4" s="1"/>
  <c r="AB39" i="4" a="1"/>
  <c r="AB39" i="4" s="1"/>
  <c r="AI32" i="4" a="1"/>
  <c r="AI32" i="4" s="1"/>
  <c r="AA16" i="4" a="1"/>
  <c r="AA16" i="4" s="1"/>
  <c r="AC15" i="4" a="1"/>
  <c r="AC15" i="4" s="1"/>
  <c r="AA10" i="4" a="1"/>
  <c r="AA10" i="4" s="1"/>
  <c r="AK7" i="4" a="1"/>
  <c r="AK7" i="4" s="1"/>
  <c r="AF4" i="4" a="1"/>
  <c r="AF4" i="4" s="1"/>
  <c r="AG35" i="4" a="1"/>
  <c r="AG35" i="4" s="1"/>
  <c r="AK31" i="4" a="1"/>
  <c r="AK31" i="4" s="1"/>
  <c r="AC25" i="4" a="1"/>
  <c r="AC25" i="4" s="1"/>
  <c r="AB18" i="4" a="1"/>
  <c r="AB18" i="4" s="1"/>
  <c r="AG17" i="4" a="1"/>
  <c r="AG17" i="4" s="1"/>
  <c r="AB12" i="4" a="1"/>
  <c r="AB12" i="4" s="1"/>
  <c r="AK8" i="4" a="1"/>
  <c r="AK8" i="4" s="1"/>
  <c r="AB43" i="4" a="1"/>
  <c r="AB43" i="4" s="1"/>
  <c r="AC33" i="4" a="1"/>
  <c r="AC33" i="4" s="1"/>
  <c r="AB25" i="4" a="1"/>
  <c r="AB25" i="4" s="1"/>
  <c r="AF23" i="4" a="1"/>
  <c r="AF23" i="4" s="1"/>
  <c r="AF17" i="4" a="1"/>
  <c r="AF17" i="4" s="1"/>
  <c r="AB15" i="4" a="1"/>
  <c r="AB15" i="4" s="1"/>
  <c r="AO14" i="4" a="1"/>
  <c r="AO14" i="4" s="1"/>
  <c r="AJ7" i="4" a="1"/>
  <c r="AJ7" i="4" s="1"/>
  <c r="AC3" i="4" a="1"/>
  <c r="AC3" i="4" s="1"/>
  <c r="AA43" i="4" a="1"/>
  <c r="AA43" i="4" s="1"/>
  <c r="AC42" i="4" a="1"/>
  <c r="AC42" i="4" s="1"/>
  <c r="AJ31" i="4" a="1"/>
  <c r="AJ31" i="4" s="1"/>
  <c r="AO37" i="4" a="1"/>
  <c r="AO37" i="4" s="1"/>
  <c r="AI31" i="4" a="1"/>
  <c r="AI31" i="4" s="1"/>
  <c r="AG29" i="4" a="1"/>
  <c r="AG29" i="4" s="1"/>
  <c r="AC31" i="4" a="1"/>
  <c r="AC31" i="4" s="1"/>
  <c r="AB45" i="4" a="1"/>
  <c r="AB45" i="4" s="1"/>
  <c r="AN37" i="4" a="1"/>
  <c r="AN37" i="4" s="1"/>
  <c r="AE16" i="4" a="1"/>
  <c r="AE16" i="4" s="1"/>
  <c r="AN13" i="4" a="1"/>
  <c r="AN13" i="4" s="1"/>
  <c r="AB36" i="4" a="1"/>
  <c r="AB36" i="4" s="1"/>
  <c r="AC34" i="4" a="1"/>
  <c r="AC34" i="4" s="1"/>
  <c r="AB30" i="4" a="1"/>
  <c r="AB30" i="4" s="1"/>
  <c r="AI20" i="4" a="1"/>
  <c r="AI20" i="4" s="1"/>
  <c r="AG11" i="4" a="1"/>
  <c r="AG11" i="4" s="1"/>
  <c r="AF11" i="4" a="1"/>
  <c r="AF11" i="4" s="1"/>
  <c r="AC10" i="4" a="1"/>
  <c r="AC10" i="4" s="1"/>
  <c r="AC9" i="4" a="1"/>
  <c r="AC9" i="4" s="1"/>
  <c r="AB34" i="4" a="1"/>
  <c r="AB34" i="4" s="1"/>
  <c r="AE11" i="4" a="1"/>
  <c r="AE11" i="4" s="1"/>
  <c r="AB10" i="4" a="1"/>
  <c r="AB10" i="4" s="1"/>
  <c r="AB9" i="4" a="1"/>
  <c r="AB9" i="4" s="1"/>
  <c r="AJ8" i="4" a="1"/>
  <c r="AJ8" i="4" s="1"/>
  <c r="AR32" i="4" a="1"/>
  <c r="AR32" i="4" s="1"/>
  <c r="AC16" i="4" a="1"/>
  <c r="AC16" i="4" s="1"/>
  <c r="AQ32" i="4" a="1"/>
  <c r="AQ32" i="4" s="1"/>
  <c r="AC19" i="4" a="1"/>
  <c r="AC19" i="4" s="1"/>
  <c r="AB24" i="4" a="1"/>
  <c r="AB24" i="4" s="1"/>
  <c r="AG22" i="4" a="1"/>
  <c r="AG22" i="4" s="1"/>
  <c r="AA19" i="4" a="1"/>
  <c r="AA19" i="4" s="1"/>
  <c r="AB16" i="4" a="1"/>
  <c r="AB16" i="4" s="1"/>
  <c r="AF28" i="4" a="1"/>
  <c r="AF28" i="4" s="1"/>
  <c r="AM14" i="4" a="1"/>
  <c r="AM14" i="4" s="1"/>
  <c r="AF10" i="4" a="1"/>
  <c r="AF10" i="4" s="1"/>
  <c r="AC7" i="4" a="1"/>
  <c r="AC7" i="4" s="1"/>
  <c r="AN14" i="4" a="1"/>
  <c r="AN14" i="4" s="1"/>
  <c r="AO13" i="4" a="1"/>
  <c r="AO13" i="4" s="1"/>
  <c r="AG4" i="4" a="1"/>
  <c r="AG4" i="4" s="1"/>
  <c r="AB7" i="4" a="1"/>
  <c r="AB7" i="4" s="1"/>
  <c r="AC4" i="4" a="1"/>
  <c r="AC4" i="4" s="1"/>
  <c r="AF41" i="4" a="1"/>
  <c r="AF41" i="4" s="1"/>
  <c r="AA13" i="4" a="1"/>
  <c r="AA13" i="4" s="1"/>
  <c r="AG5" i="4" a="1"/>
  <c r="AG5" i="4" s="1"/>
  <c r="AB4" i="4" a="1"/>
  <c r="AB4" i="4" s="1"/>
  <c r="AG10" i="4" a="1"/>
  <c r="AG10" i="4" s="1"/>
  <c r="AB3" i="4" a="1"/>
  <c r="AB3" i="4" s="1"/>
  <c r="AF5" i="4" a="1"/>
  <c r="AF5" i="4" s="1"/>
  <c r="AC6" i="4" a="1"/>
  <c r="AC6" i="4" s="1"/>
  <c r="AI8" i="4" a="1"/>
  <c r="AI8" i="4" s="1"/>
  <c r="AB6" i="4" a="1"/>
  <c r="AB6" i="4" s="1"/>
  <c r="AC39" i="4" a="1"/>
  <c r="AC39" i="4" s="1"/>
  <c r="C223" i="3" a="1"/>
  <c r="C223" i="3" s="1"/>
  <c r="B223" i="3" a="1"/>
  <c r="B223" i="3" s="1"/>
  <c r="C213" i="3" a="1"/>
  <c r="C213" i="3" s="1"/>
  <c r="M121" i="2" a="1"/>
  <c r="M121" i="2" s="1"/>
  <c r="AA120" i="2" s="1" a="1"/>
  <c r="AA120" i="2" s="1"/>
  <c r="AE10" i="4" s="1" a="1"/>
  <c r="AE10" i="4" s="1"/>
  <c r="AG124" i="2" a="1"/>
  <c r="AG124" i="2" s="1"/>
  <c r="M132" i="2" a="1"/>
  <c r="M132" i="2" s="1"/>
  <c r="AA132" i="2" s="1" a="1"/>
  <c r="AA132" i="2" s="1"/>
  <c r="AI19" i="4" s="1" a="1"/>
  <c r="AI19" i="4" s="1"/>
  <c r="AL88" i="2" a="1"/>
  <c r="AL88" i="2" s="1"/>
  <c r="AV88" i="2" a="1"/>
  <c r="AV88" i="2" s="1"/>
  <c r="Q92" i="2" a="1"/>
  <c r="Q92" i="2" s="1"/>
  <c r="O44" i="4" a="1"/>
  <c r="O44" i="4" s="1"/>
  <c r="B29" i="3" a="1"/>
  <c r="B29" i="3" s="1"/>
  <c r="O46" i="4" a="1"/>
  <c r="O46" i="4" s="1"/>
  <c r="B53" i="3" a="1"/>
  <c r="B53" i="3" s="1"/>
  <c r="C222" i="3" a="1"/>
  <c r="C222" i="3" s="1"/>
  <c r="C212" i="3" a="1"/>
  <c r="C212" i="3" s="1"/>
  <c r="B222" i="3" a="1"/>
  <c r="B222" i="3" s="1"/>
  <c r="N143" i="2" a="1"/>
  <c r="N143" i="2" s="1"/>
  <c r="N147" i="2" a="1"/>
  <c r="N147" i="2" s="1"/>
  <c r="AG139" i="2" a="1"/>
  <c r="AG139" i="2" s="1"/>
  <c r="O22" i="4" a="1"/>
  <c r="O22" i="4" s="1"/>
  <c r="B47" i="3" a="1"/>
  <c r="B47" i="3" s="1"/>
  <c r="K84" i="2" a="1"/>
  <c r="K84" i="2" s="1"/>
  <c r="I85" i="2" a="1"/>
  <c r="I85" i="2" s="1"/>
  <c r="F86" i="2" a="1"/>
  <c r="F86" i="2" s="1"/>
  <c r="N88" i="2" a="1"/>
  <c r="N88" i="2" s="1"/>
  <c r="E88" i="2" a="1"/>
  <c r="E88" i="2" s="1"/>
  <c r="U88" i="2" a="1"/>
  <c r="U88" i="2" s="1"/>
  <c r="L88" i="2" a="1"/>
  <c r="L88" i="2" s="1"/>
  <c r="O88" i="2" a="1"/>
  <c r="O88" i="2" s="1"/>
  <c r="CK49" i="2" s="1" a="1"/>
  <c r="CK49" i="2" s="1"/>
  <c r="K88" i="2" a="1"/>
  <c r="K88" i="2" s="1"/>
  <c r="R88" i="2" a="1"/>
  <c r="R88" i="2" s="1"/>
  <c r="Q89" i="2" a="1"/>
  <c r="Q89" i="2" s="1"/>
  <c r="U92" i="2" a="1"/>
  <c r="U92" i="2" s="1"/>
  <c r="AG107" i="2" a="1"/>
  <c r="AG107" i="2" s="1"/>
  <c r="M123" i="2" a="1"/>
  <c r="M123" i="2" s="1"/>
  <c r="AA123" i="2" s="1" a="1"/>
  <c r="AA123" i="2" s="1"/>
  <c r="AE34" i="4" s="1" a="1"/>
  <c r="AE34" i="4" s="1"/>
  <c r="BB23" i="4" a="1"/>
  <c r="BB23" i="4" s="1"/>
  <c r="AG151" i="2" a="1"/>
  <c r="AG151" i="2" s="1"/>
  <c r="C251" i="3" a="1"/>
  <c r="C251" i="3" s="1"/>
  <c r="N87" i="2" a="1"/>
  <c r="N87" i="2" s="1"/>
  <c r="E87" i="2" a="1"/>
  <c r="E87" i="2" s="1"/>
  <c r="U87" i="2" a="1"/>
  <c r="U87" i="2" s="1"/>
  <c r="L87" i="2" a="1"/>
  <c r="L87" i="2" s="1"/>
  <c r="R87" i="2" a="1"/>
  <c r="R87" i="2" s="1"/>
  <c r="N94" i="2" a="1"/>
  <c r="N94" i="2" s="1"/>
  <c r="CK52" i="2" s="1" a="1"/>
  <c r="CK52" i="2" s="1"/>
  <c r="Q97" i="2" a="1"/>
  <c r="Q97" i="2" s="1"/>
  <c r="F97" i="2" a="1"/>
  <c r="F97" i="2" s="1"/>
  <c r="BV51" i="2" s="1" a="1"/>
  <c r="BV51" i="2" s="1"/>
  <c r="O97" i="2" a="1"/>
  <c r="O97" i="2" s="1"/>
  <c r="CJ51" i="2" s="1" a="1"/>
  <c r="CJ51" i="2" s="1"/>
  <c r="E97" i="2" a="1"/>
  <c r="E97" i="2" s="1"/>
  <c r="BV52" i="2" s="1" a="1"/>
  <c r="BV52" i="2" s="1"/>
  <c r="L97" i="2" a="1"/>
  <c r="L97" i="2" s="1"/>
  <c r="K97" i="2" a="1"/>
  <c r="K97" i="2" s="1"/>
  <c r="C233" i="3" a="1"/>
  <c r="C233" i="3" s="1"/>
  <c r="B233" i="3" a="1"/>
  <c r="B233" i="3" s="1"/>
  <c r="C227" i="3" a="1"/>
  <c r="C227" i="3" s="1"/>
  <c r="O84" i="2" a="1"/>
  <c r="O84" i="2" s="1"/>
  <c r="O85" i="2" a="1"/>
  <c r="O85" i="2" s="1"/>
  <c r="T87" i="2" a="1"/>
  <c r="T87" i="2" s="1"/>
  <c r="F88" i="2" a="1"/>
  <c r="F88" i="2" s="1"/>
  <c r="BW49" i="2" s="1" a="1"/>
  <c r="BW49" i="2" s="1"/>
  <c r="T88" i="2" a="1"/>
  <c r="T88" i="2" s="1"/>
  <c r="N89" i="2" a="1"/>
  <c r="N89" i="2" s="1"/>
  <c r="CI48" i="2" s="1" a="1"/>
  <c r="CI48" i="2" s="1"/>
  <c r="CL48" i="2" s="1" a="1"/>
  <c r="CL48" i="2" s="1"/>
  <c r="E89" i="2" a="1"/>
  <c r="E89" i="2" s="1"/>
  <c r="BU48" i="2" s="1" a="1"/>
  <c r="BU48" i="2" s="1"/>
  <c r="BX48" i="2" s="1" a="1"/>
  <c r="BX48" i="2" s="1"/>
  <c r="U89" i="2" a="1"/>
  <c r="U89" i="2" s="1"/>
  <c r="L89" i="2" a="1"/>
  <c r="L89" i="2" s="1"/>
  <c r="R89" i="2" a="1"/>
  <c r="R89" i="2" s="1"/>
  <c r="CP47" i="2" s="1" a="1"/>
  <c r="CP47" i="2" s="1"/>
  <c r="F89" i="2" a="1"/>
  <c r="F89" i="2" s="1"/>
  <c r="M122" i="2" a="1"/>
  <c r="M122" i="2" s="1"/>
  <c r="AA122" i="2" s="1" a="1"/>
  <c r="AA122" i="2" s="1"/>
  <c r="B207" i="3" a="1"/>
  <c r="B207" i="3" s="1"/>
  <c r="C207" i="3" a="1"/>
  <c r="C207" i="3" s="1"/>
  <c r="C189" i="3" a="1"/>
  <c r="C189" i="3" s="1"/>
  <c r="M143" i="2" a="1"/>
  <c r="M143" i="2" s="1"/>
  <c r="M147" i="2" a="1"/>
  <c r="M147" i="2" s="1"/>
  <c r="AG138" i="2" a="1"/>
  <c r="AG138" i="2" s="1"/>
  <c r="O43" i="4" a="1"/>
  <c r="O43" i="4" s="1"/>
  <c r="B28" i="3" a="1"/>
  <c r="B28" i="3" s="1"/>
  <c r="H92" i="2" a="1"/>
  <c r="H92" i="2" s="1"/>
  <c r="L96" i="2" a="1"/>
  <c r="L96" i="2" s="1"/>
  <c r="CF53" i="2" s="1" a="1"/>
  <c r="CF53" i="2" s="1"/>
  <c r="U96" i="2" a="1"/>
  <c r="U96" i="2" s="1"/>
  <c r="K96" i="2" a="1"/>
  <c r="K96" i="2" s="1"/>
  <c r="T96" i="2" a="1"/>
  <c r="T96" i="2" s="1"/>
  <c r="I96" i="2" a="1"/>
  <c r="I96" i="2" s="1"/>
  <c r="O96" i="2" a="1"/>
  <c r="O96" i="2" s="1"/>
  <c r="N96" i="2" a="1"/>
  <c r="N96" i="2" s="1"/>
  <c r="R96" i="2" a="1"/>
  <c r="R96" i="2" s="1"/>
  <c r="BA21" i="4" a="1"/>
  <c r="BA21" i="4" s="1"/>
  <c r="C250" i="3" a="1"/>
  <c r="C250" i="3" s="1"/>
  <c r="C244" i="3" a="1"/>
  <c r="C244" i="3" s="1"/>
  <c r="B244" i="3" a="1"/>
  <c r="B244" i="3" s="1"/>
  <c r="C236" i="3" a="1"/>
  <c r="C236" i="3" s="1"/>
  <c r="AG150" i="2" a="1"/>
  <c r="AG150" i="2" s="1"/>
  <c r="AZ25" i="4" a="1"/>
  <c r="AZ25" i="4" s="1"/>
  <c r="AG152" i="2" a="1"/>
  <c r="AG152" i="2" s="1"/>
  <c r="C252" i="3" a="1"/>
  <c r="C252" i="3" s="1"/>
  <c r="AG131" i="2" a="1"/>
  <c r="AG131" i="2" s="1"/>
  <c r="M138" i="2" a="1"/>
  <c r="M138" i="2" s="1"/>
  <c r="AA138" i="2" s="1" a="1"/>
  <c r="AA138" i="2" s="1"/>
  <c r="AM13" i="4" s="1" a="1"/>
  <c r="AM13" i="4" s="1"/>
  <c r="C206" i="3" a="1"/>
  <c r="C206" i="3" s="1"/>
  <c r="C188" i="3" a="1"/>
  <c r="C188" i="3" s="1"/>
  <c r="B206" i="3" a="1"/>
  <c r="B206" i="3" s="1"/>
  <c r="O39" i="4" a="1"/>
  <c r="O39" i="4" s="1"/>
  <c r="B74" i="3" a="1"/>
  <c r="B74" i="3" s="1"/>
  <c r="M131" i="2" a="1"/>
  <c r="M131" i="2" s="1"/>
  <c r="AA131" i="2" s="1" a="1"/>
  <c r="AA131" i="2" s="1"/>
  <c r="AI7" i="4" s="1" a="1"/>
  <c r="AI7" i="4" s="1"/>
  <c r="H95" i="2" a="1"/>
  <c r="H95" i="2" s="1"/>
  <c r="Q95" i="2" a="1"/>
  <c r="Q95" i="2" s="1"/>
  <c r="F95" i="2" a="1"/>
  <c r="F95" i="2" s="1"/>
  <c r="O95" i="2" a="1"/>
  <c r="O95" i="2" s="1"/>
  <c r="O30" i="4" a="1"/>
  <c r="O30" i="4" s="1"/>
  <c r="B49" i="3" a="1"/>
  <c r="B49" i="3" s="1"/>
  <c r="N86" i="2" a="1"/>
  <c r="N86" i="2" s="1"/>
  <c r="E86" i="2" a="1"/>
  <c r="E86" i="2" s="1"/>
  <c r="BW48" i="2" s="1" a="1"/>
  <c r="BW48" i="2" s="1"/>
  <c r="U86" i="2" a="1"/>
  <c r="U86" i="2" s="1"/>
  <c r="L86" i="2" a="1"/>
  <c r="L86" i="2" s="1"/>
  <c r="Q86" i="2" a="1"/>
  <c r="Q86" i="2" s="1"/>
  <c r="T95" i="2" a="1"/>
  <c r="T95" i="2" s="1"/>
  <c r="AL96" i="2" a="1"/>
  <c r="AL96" i="2" s="1"/>
  <c r="T46" i="4" s="1" a="1"/>
  <c r="T46" i="4" s="1"/>
  <c r="B72" i="3" a="1"/>
  <c r="B72" i="3" s="1"/>
  <c r="K92" i="2" a="1"/>
  <c r="K92" i="2" s="1"/>
  <c r="T92" i="2" a="1"/>
  <c r="T92" i="2" s="1"/>
  <c r="K94" i="2" a="1"/>
  <c r="K94" i="2" s="1"/>
  <c r="U94" i="2" a="1"/>
  <c r="U94" i="2" s="1"/>
  <c r="C240" i="3" a="1"/>
  <c r="C240" i="3" s="1"/>
  <c r="C247" i="3" a="1"/>
  <c r="C247" i="3" s="1"/>
  <c r="O32" i="4" a="1"/>
  <c r="O32" i="4" s="1"/>
  <c r="B73" i="3" a="1"/>
  <c r="B73" i="3" s="1"/>
  <c r="L94" i="2" a="1"/>
  <c r="L94" i="2" s="1"/>
  <c r="L85" i="2" a="1"/>
  <c r="L85" i="2" s="1"/>
  <c r="CF48" i="2" s="1" a="1"/>
  <c r="CF48" i="2" s="1"/>
  <c r="L92" i="2" a="1"/>
  <c r="L92" i="2" s="1"/>
  <c r="B247" i="3" a="1"/>
  <c r="B247" i="3" s="1"/>
  <c r="BX25" i="2" l="1" a="1"/>
  <c r="BX25" i="2" s="1"/>
  <c r="BX19" i="2" a="1"/>
  <c r="BX19" i="2" s="1"/>
  <c r="CO13" i="2" a="1"/>
  <c r="CO13" i="2" s="1"/>
  <c r="BK58" i="2" a="1"/>
  <c r="BK58" i="2" s="1"/>
  <c r="CA41" i="2" a="1"/>
  <c r="CA41" i="2" s="1"/>
  <c r="CL35" i="2" a="1"/>
  <c r="CL35" i="2" s="1"/>
  <c r="CB13" i="2" a="1"/>
  <c r="CB13" i="2" s="1"/>
  <c r="CF11" i="2" a="1"/>
  <c r="CF11" i="2" s="1"/>
  <c r="BX38" i="2" a="1"/>
  <c r="BX38" i="2" s="1"/>
  <c r="CL24" i="2" a="1"/>
  <c r="CL24" i="2" s="1"/>
  <c r="BX24" i="2" a="1"/>
  <c r="BX24" i="2" s="1"/>
  <c r="CA7" i="2" a="1"/>
  <c r="CA7" i="2" s="1"/>
  <c r="CC7" i="2" s="1" a="1"/>
  <c r="CC7" i="2" s="1"/>
  <c r="CA34" i="2" a="1"/>
  <c r="CA34" i="2" s="1"/>
  <c r="CA10" i="2" a="1"/>
  <c r="CA10" i="2" s="1"/>
  <c r="BX6" i="2" a="1"/>
  <c r="BX6" i="2" s="1"/>
  <c r="CB26" i="2" a="1"/>
  <c r="CB26" i="2" s="1"/>
  <c r="CF22" i="2" a="1"/>
  <c r="CF22" i="2" s="1"/>
  <c r="CA36" i="2" a="1"/>
  <c r="CA36" i="2" s="1"/>
  <c r="CL33" i="2" a="1"/>
  <c r="CL33" i="2" s="1"/>
  <c r="CP15" i="2" a="1"/>
  <c r="CP15" i="2" s="1"/>
  <c r="BX17" i="2" a="1"/>
  <c r="BX17" i="2" s="1"/>
  <c r="BX16" i="2" a="1"/>
  <c r="BX16" i="2" s="1"/>
  <c r="CB49" i="2" a="1"/>
  <c r="CB49" i="2" s="1"/>
  <c r="CP49" i="2" a="1"/>
  <c r="CP49" i="2" s="1"/>
  <c r="CF30" i="2" a="1"/>
  <c r="CF30" i="2" s="1"/>
  <c r="CF32" i="2" a="1"/>
  <c r="CF32" i="2" s="1"/>
  <c r="CT27" i="2" a="1"/>
  <c r="CT27" i="2" s="1"/>
  <c r="CI30" i="2" a="1"/>
  <c r="CI30" i="2" s="1"/>
  <c r="CL30" i="2" s="1" a="1"/>
  <c r="CL30" i="2" s="1"/>
  <c r="CO33" i="2" a="1"/>
  <c r="CO33" i="2" s="1"/>
  <c r="CT31" i="2" a="1"/>
  <c r="CT31" i="2" s="1"/>
  <c r="CB6" i="2" a="1"/>
  <c r="CB6" i="2" s="1"/>
  <c r="CF14" i="2" a="1"/>
  <c r="CF14" i="2" s="1"/>
  <c r="CA45" i="2" a="1"/>
  <c r="CA45" i="2" s="1"/>
  <c r="CT8" i="2" a="1"/>
  <c r="CT8" i="2" s="1"/>
  <c r="CP42" i="2" a="1"/>
  <c r="CP42" i="2" s="1"/>
  <c r="CP26" i="2" a="1"/>
  <c r="CP26" i="2" s="1"/>
  <c r="BW40" i="2" a="1"/>
  <c r="BW40" i="2" s="1"/>
  <c r="BU41" i="2" a="1"/>
  <c r="BU41" i="2" s="1"/>
  <c r="BX41" i="2" s="1" a="1"/>
  <c r="BX41" i="2" s="1"/>
  <c r="CT35" i="2" a="1"/>
  <c r="CT35" i="2" s="1"/>
  <c r="CT33" i="2" a="1"/>
  <c r="CT33" i="2" s="1"/>
  <c r="CO10" i="2" a="1"/>
  <c r="CO10" i="2" s="1"/>
  <c r="CO11" i="2" a="1"/>
  <c r="CO11" i="2" s="1"/>
  <c r="BT62" i="2" a="1"/>
  <c r="BT62" i="2" s="1"/>
  <c r="CO32" i="2" a="1"/>
  <c r="CO32" i="2" s="1"/>
  <c r="CO17" i="2" a="1"/>
  <c r="CO17" i="2" s="1"/>
  <c r="CP44" i="2" a="1"/>
  <c r="CP44" i="2" s="1"/>
  <c r="CT36" i="2" a="1"/>
  <c r="CT36" i="2" s="1"/>
  <c r="BV31" i="2" a="1"/>
  <c r="BV31" i="2" s="1"/>
  <c r="CF27" i="2" a="1"/>
  <c r="CF27" i="2" s="1"/>
  <c r="CP17" i="2" a="1"/>
  <c r="CP17" i="2" s="1"/>
  <c r="CO8" i="2" a="1"/>
  <c r="CO8" i="2" s="1"/>
  <c r="BX35" i="2" a="1"/>
  <c r="BX35" i="2" s="1"/>
  <c r="CA25" i="2" a="1"/>
  <c r="CA25" i="2" s="1"/>
  <c r="CA28" i="2" a="1"/>
  <c r="CA28" i="2" s="1"/>
  <c r="CF26" i="2" a="1"/>
  <c r="CF26" i="2" s="1"/>
  <c r="CA29" i="2" a="1"/>
  <c r="CA29" i="2" s="1"/>
  <c r="CP20" i="2" a="1"/>
  <c r="CP20" i="2" s="1"/>
  <c r="CF46" i="2" a="1"/>
  <c r="CF46" i="2" s="1"/>
  <c r="CO41" i="2" a="1"/>
  <c r="CO41" i="2" s="1"/>
  <c r="BL58" i="2" a="1"/>
  <c r="BL58" i="2" s="1"/>
  <c r="CF43" i="2" a="1"/>
  <c r="CF43" i="2" s="1"/>
  <c r="CJ31" i="2" a="1"/>
  <c r="CJ31" i="2" s="1"/>
  <c r="CB27" i="2" a="1"/>
  <c r="CB27" i="2" s="1"/>
  <c r="CT24" i="2" a="1"/>
  <c r="CT24" i="2" s="1"/>
  <c r="CT14" i="2" a="1"/>
  <c r="CT14" i="2" s="1"/>
  <c r="CF52" i="2" a="1"/>
  <c r="CF52" i="2" s="1"/>
  <c r="CT45" i="2" a="1"/>
  <c r="CT45" i="2" s="1"/>
  <c r="CO38" i="2" a="1"/>
  <c r="CO38" i="2" s="1"/>
  <c r="BU30" i="2" a="1"/>
  <c r="BU30" i="2" s="1"/>
  <c r="BX30" i="2" s="1" a="1"/>
  <c r="BX30" i="2" s="1"/>
  <c r="CT28" i="2" a="1"/>
  <c r="CT28" i="2" s="1"/>
  <c r="CA22" i="2" a="1"/>
  <c r="CA22" i="2" s="1"/>
  <c r="CK23" i="2" a="1"/>
  <c r="CK23" i="2" s="1"/>
  <c r="CC46" i="2" a="1"/>
  <c r="CC46" i="2" s="1"/>
  <c r="CF49" i="2" a="1"/>
  <c r="CF49" i="2" s="1"/>
  <c r="CT52" i="2" a="1"/>
  <c r="CT52" i="2" s="1"/>
  <c r="CI25" i="2" a="1"/>
  <c r="CI25" i="2" s="1"/>
  <c r="CL25" i="2" s="1" a="1"/>
  <c r="CL25" i="2" s="1"/>
  <c r="CB23" i="2" a="1"/>
  <c r="CB23" i="2" s="1"/>
  <c r="CF21" i="2" a="1"/>
  <c r="CF21" i="2" s="1"/>
  <c r="CP40" i="2" a="1"/>
  <c r="CP40" i="2" s="1"/>
  <c r="CI46" i="2" a="1"/>
  <c r="CI46" i="2" s="1"/>
  <c r="CL46" i="2" s="1" a="1"/>
  <c r="CL46" i="2" s="1"/>
  <c r="CP50" i="2" a="1"/>
  <c r="CP50" i="2" s="1"/>
  <c r="CT44" i="2" a="1"/>
  <c r="CT44" i="2" s="1"/>
  <c r="CT38" i="2" a="1"/>
  <c r="CT38" i="2" s="1"/>
  <c r="CT53" i="2" a="1"/>
  <c r="CT53" i="2" s="1"/>
  <c r="BU34" i="2" a="1"/>
  <c r="BU34" i="2" s="1"/>
  <c r="BX34" i="2" s="1" a="1"/>
  <c r="BX34" i="2" s="1"/>
  <c r="BX28" i="2" a="1"/>
  <c r="BX28" i="2" s="1"/>
  <c r="CP29" i="2" a="1"/>
  <c r="CP29" i="2" s="1"/>
  <c r="BH58" i="2" a="1"/>
  <c r="BH58" i="2" s="1"/>
  <c r="BF58" i="2" s="1" a="1"/>
  <c r="BF58" i="2" s="1"/>
  <c r="BW53" i="2" a="1"/>
  <c r="BW53" i="2" s="1"/>
  <c r="BU49" i="2" a="1"/>
  <c r="BU49" i="2" s="1"/>
  <c r="BX49" i="2" s="1" a="1"/>
  <c r="BX49" i="2" s="1"/>
  <c r="BX52" i="2" a="1"/>
  <c r="BX52" i="2" s="1"/>
  <c r="BW35" i="2" a="1"/>
  <c r="BW35" i="2" s="1"/>
  <c r="BW36" i="2" a="1"/>
  <c r="BW36" i="2" s="1"/>
  <c r="CI34" i="2" a="1"/>
  <c r="CI34" i="2" s="1"/>
  <c r="CL34" i="2" s="1" a="1"/>
  <c r="CL34" i="2" s="1"/>
  <c r="CF33" i="2" a="1"/>
  <c r="CF33" i="2" s="1"/>
  <c r="CT18" i="2" a="1"/>
  <c r="CT18" i="2" s="1"/>
  <c r="CF18" i="2" a="1"/>
  <c r="CF18" i="2" s="1"/>
  <c r="BW47" i="2" a="1"/>
  <c r="BW47" i="2" s="1"/>
  <c r="CB52" i="2" a="1"/>
  <c r="CB52" i="2" s="1"/>
  <c r="BW7" i="2" a="1"/>
  <c r="BW7" i="2" s="1"/>
  <c r="CF36" i="2" a="1"/>
  <c r="CF36" i="2" s="1"/>
  <c r="CT49" i="2" a="1"/>
  <c r="CT49" i="2" s="1"/>
  <c r="BW43" i="2" a="1"/>
  <c r="BW43" i="2" s="1"/>
  <c r="CP48" i="2" a="1"/>
  <c r="CP48" i="2" s="1"/>
  <c r="CF37" i="2" a="1"/>
  <c r="CF37" i="2" s="1"/>
  <c r="CF47" i="2" a="1"/>
  <c r="CF47" i="2" s="1"/>
  <c r="CT47" i="2" a="1"/>
  <c r="CT47" i="2" s="1"/>
  <c r="CF44" i="2" a="1"/>
  <c r="CF44" i="2" s="1"/>
  <c r="BW29" i="2" a="1"/>
  <c r="BW29" i="2" s="1"/>
  <c r="CJ10" i="2" a="1"/>
  <c r="CJ10" i="2" s="1"/>
  <c r="CL10" i="2" s="1" a="1"/>
  <c r="CL10" i="2" s="1"/>
  <c r="CT46" i="2" a="1"/>
  <c r="CT46" i="2" s="1"/>
  <c r="CF38" i="2" a="1"/>
  <c r="CF38" i="2" s="1"/>
  <c r="CT37" i="2" a="1"/>
  <c r="CT37" i="2" s="1"/>
  <c r="CP7" i="2" a="1"/>
  <c r="CP7" i="2" s="1"/>
  <c r="CT29" i="2" a="1"/>
  <c r="CT29" i="2" s="1"/>
  <c r="CF20" i="2" a="1"/>
  <c r="CF20" i="2" s="1"/>
  <c r="CI21" i="2" a="1"/>
  <c r="CI21" i="2" s="1"/>
  <c r="BW20" i="2" a="1"/>
  <c r="BW20" i="2" s="1"/>
  <c r="CI26" i="2" a="1"/>
  <c r="CI26" i="2" s="1"/>
  <c r="CL26" i="2" s="1" a="1"/>
  <c r="CL26" i="2" s="1"/>
  <c r="CA19" i="2" a="1"/>
  <c r="CA19" i="2" s="1"/>
  <c r="CK18" i="2" a="1"/>
  <c r="CK18" i="2" s="1"/>
  <c r="CB21" i="2" a="1"/>
  <c r="CB21" i="2" s="1"/>
  <c r="CF50" i="2" a="1"/>
  <c r="CF50" i="2" s="1"/>
  <c r="CF40" i="2" a="1"/>
  <c r="CF40" i="2" s="1"/>
  <c r="CT34" i="2" a="1"/>
  <c r="CT34" i="2" s="1"/>
  <c r="CI22" i="2" a="1"/>
  <c r="CI22" i="2" s="1"/>
  <c r="CL22" i="2" s="1" a="1"/>
  <c r="CL22" i="2" s="1"/>
  <c r="CA9" i="2" a="1"/>
  <c r="CA9" i="2" s="1"/>
  <c r="BU14" i="2" a="1"/>
  <c r="BU14" i="2" s="1"/>
  <c r="BX14" i="2" s="1" a="1"/>
  <c r="BX14" i="2" s="1"/>
  <c r="CT10" i="2" a="1"/>
  <c r="CT10" i="2" s="1"/>
  <c r="BU46" i="2" a="1"/>
  <c r="BU46" i="2" s="1"/>
  <c r="BX46" i="2" s="1" a="1"/>
  <c r="BX46" i="2" s="1"/>
  <c r="CA38" i="2" a="1"/>
  <c r="CA38" i="2" s="1"/>
  <c r="CA37" i="2" a="1"/>
  <c r="CA37" i="2" s="1"/>
  <c r="CK40" i="2" a="1"/>
  <c r="CK40" i="2" s="1"/>
  <c r="CA43" i="2" a="1"/>
  <c r="CA43" i="2" s="1"/>
  <c r="BU42" i="2" a="1"/>
  <c r="BU42" i="2" s="1"/>
  <c r="BX42" i="2" s="1" a="1"/>
  <c r="BX42" i="2" s="1"/>
  <c r="CP30" i="2" a="1"/>
  <c r="CP30" i="2" s="1"/>
  <c r="CO27" i="2" a="1"/>
  <c r="CO27" i="2" s="1"/>
  <c r="CP45" i="2" a="1"/>
  <c r="CP45" i="2" s="1"/>
  <c r="CK47" i="2" a="1"/>
  <c r="CK47" i="2" s="1"/>
  <c r="CA48" i="2" a="1"/>
  <c r="CA48" i="2" s="1"/>
  <c r="AE5" i="4" a="1"/>
  <c r="AE5" i="4" s="1"/>
  <c r="CI49" i="2" a="1"/>
  <c r="CI49" i="2" s="1"/>
  <c r="CL49" i="2" s="1" a="1"/>
  <c r="CL49" i="2" s="1"/>
  <c r="CF41" i="2" a="1"/>
  <c r="CF41" i="2" s="1"/>
  <c r="CI50" i="2" a="1"/>
  <c r="CI50" i="2" s="1"/>
  <c r="CL50" i="2" s="1" a="1"/>
  <c r="CL50" i="2" s="1"/>
  <c r="CP52" i="2" a="1"/>
  <c r="CP52" i="2" s="1"/>
  <c r="CP39" i="2" a="1"/>
  <c r="CP39" i="2" s="1"/>
  <c r="CI42" i="2" a="1"/>
  <c r="CI42" i="2" s="1"/>
  <c r="CL42" i="2" s="1" a="1"/>
  <c r="CL42" i="2" s="1"/>
  <c r="CL32" i="2" a="1"/>
  <c r="CL32" i="2" s="1"/>
  <c r="CB31" i="2" a="1"/>
  <c r="CB31" i="2" s="1"/>
  <c r="CO26" i="2" a="1"/>
  <c r="CO26" i="2" s="1"/>
  <c r="CO18" i="2" a="1"/>
  <c r="CO18" i="2" s="1"/>
  <c r="CP8" i="2" a="1"/>
  <c r="CP8" i="2" s="1"/>
  <c r="CQ8" i="2" s="1" a="1"/>
  <c r="CQ8" i="2" s="1"/>
  <c r="BF62" i="2" a="1"/>
  <c r="BF62" i="2" s="1"/>
  <c r="CP38" i="2" a="1"/>
  <c r="CP38" i="2" s="1"/>
  <c r="CQ38" i="2" s="1" a="1"/>
  <c r="CQ38" i="2" s="1"/>
  <c r="CL40" i="2" a="1"/>
  <c r="CL40" i="2" s="1"/>
  <c r="CP10" i="2" a="1"/>
  <c r="CP10" i="2" s="1"/>
  <c r="CQ10" i="2" s="1" a="1"/>
  <c r="CQ10" i="2" s="1"/>
  <c r="CF45" i="2" a="1"/>
  <c r="CF45" i="2" s="1"/>
  <c r="CK35" i="2" a="1"/>
  <c r="CK35" i="2" s="1"/>
  <c r="CF19" i="2" a="1"/>
  <c r="CF19" i="2" s="1"/>
  <c r="CA23" i="2" a="1"/>
  <c r="CA23" i="2" s="1"/>
  <c r="BX47" i="2" a="1"/>
  <c r="BX47" i="2" s="1"/>
  <c r="CO12" i="2" a="1"/>
  <c r="CO12" i="2" s="1"/>
  <c r="CA50" i="2" a="1"/>
  <c r="CA50" i="2" s="1"/>
  <c r="CF51" i="2" a="1"/>
  <c r="CF51" i="2" s="1"/>
  <c r="CT50" i="2" a="1"/>
  <c r="CT50" i="2" s="1"/>
  <c r="CO51" i="2" a="1"/>
  <c r="CO51" i="2" s="1"/>
  <c r="BU50" i="2" a="1"/>
  <c r="BU50" i="2" s="1"/>
  <c r="BX50" i="2" s="1" a="1"/>
  <c r="BX50" i="2" s="1"/>
  <c r="CO34" i="2" a="1"/>
  <c r="CO34" i="2" s="1"/>
  <c r="CK43" i="2" a="1"/>
  <c r="CK43" i="2" s="1"/>
  <c r="CP32" i="2" a="1"/>
  <c r="CP32" i="2" s="1"/>
  <c r="CQ32" i="2" s="1" a="1"/>
  <c r="CQ32" i="2" s="1"/>
  <c r="CF31" i="2" a="1"/>
  <c r="CF31" i="2" s="1"/>
  <c r="CK29" i="2" a="1"/>
  <c r="CK29" i="2" s="1"/>
  <c r="CT25" i="2" a="1"/>
  <c r="CT25" i="2" s="1"/>
  <c r="CO24" i="2" a="1"/>
  <c r="CO24" i="2" s="1"/>
  <c r="CO9" i="2" a="1"/>
  <c r="CO9" i="2" s="1"/>
  <c r="CQ9" i="2" s="1" a="1"/>
  <c r="CQ9" i="2" s="1"/>
  <c r="CP27" i="2" a="1"/>
  <c r="CP27" i="2" s="1"/>
  <c r="BX18" i="2" a="1"/>
  <c r="BX18" i="2" s="1"/>
  <c r="BW45" i="2" a="1"/>
  <c r="BW45" i="2" s="1"/>
  <c r="CI38" i="2" a="1"/>
  <c r="CI38" i="2" s="1"/>
  <c r="CL38" i="2" s="1" a="1"/>
  <c r="CL38" i="2" s="1"/>
  <c r="CF34" i="2" a="1"/>
  <c r="CF34" i="2" s="1"/>
  <c r="CP36" i="2" a="1"/>
  <c r="CP36" i="2" s="1"/>
  <c r="CB32" i="2" a="1"/>
  <c r="CB32" i="2" s="1"/>
  <c r="CT30" i="2" a="1"/>
  <c r="CT30" i="2" s="1"/>
  <c r="CO22" i="2" a="1"/>
  <c r="CO22" i="2" s="1"/>
  <c r="BL69" i="2" a="1"/>
  <c r="BL69" i="2" s="1"/>
  <c r="CA51" i="2" a="1"/>
  <c r="CA51" i="2" s="1"/>
  <c r="CO53" i="2" a="1"/>
  <c r="CO53" i="2" s="1"/>
  <c r="CT51" i="2" a="1"/>
  <c r="CT51" i="2" s="1"/>
  <c r="CK53" i="2" a="1"/>
  <c r="CK53" i="2" s="1"/>
  <c r="CA53" i="2" a="1"/>
  <c r="CA53" i="2" s="1"/>
  <c r="CK48" i="2" a="1"/>
  <c r="CK48" i="2" s="1"/>
  <c r="CK45" i="2" a="1"/>
  <c r="CK45" i="2" s="1"/>
  <c r="BW39" i="2" a="1"/>
  <c r="BW39" i="2" s="1"/>
  <c r="BL62" i="2" a="1"/>
  <c r="BL62" i="2" s="1"/>
  <c r="BU62" i="2" s="1" a="1"/>
  <c r="BU62" i="2" s="1"/>
  <c r="CT43" i="2" a="1"/>
  <c r="CT43" i="2" s="1"/>
  <c r="CT32" i="2" a="1"/>
  <c r="CT32" i="2" s="1"/>
  <c r="BU22" i="2" a="1"/>
  <c r="BU22" i="2" s="1"/>
  <c r="BX22" i="2" s="1" a="1"/>
  <c r="BX22" i="2" s="1"/>
  <c r="CO28" i="2" a="1"/>
  <c r="CO28" i="2" s="1"/>
  <c r="CT26" i="2" a="1"/>
  <c r="CT26" i="2" s="1"/>
  <c r="CK24" i="2" a="1"/>
  <c r="CK24" i="2" s="1"/>
  <c r="CP23" i="2" a="1"/>
  <c r="CP23" i="2" s="1"/>
  <c r="CP19" i="2" a="1"/>
  <c r="CP19" i="2" s="1"/>
  <c r="CK20" i="2" a="1"/>
  <c r="CK20" i="2" s="1"/>
  <c r="CB16" i="2" a="1"/>
  <c r="CB16" i="2" s="1"/>
  <c r="CC16" i="2" s="1" a="1"/>
  <c r="CC16" i="2" s="1"/>
  <c r="CF24" i="2" a="1"/>
  <c r="CF24" i="2" s="1"/>
  <c r="CT16" i="2" a="1"/>
  <c r="CT16" i="2" s="1"/>
  <c r="CA24" i="2" a="1"/>
  <c r="CA24" i="2" s="1"/>
  <c r="CC24" i="2" s="1" a="1"/>
  <c r="CC24" i="2" s="1"/>
  <c r="CQ17" i="2" a="1"/>
  <c r="CQ17" i="2" s="1"/>
  <c r="CB42" i="2" a="1"/>
  <c r="CB42" i="2" s="1"/>
  <c r="CF29" i="2" a="1"/>
  <c r="CF29" i="2" s="1"/>
  <c r="CT20" i="2" a="1"/>
  <c r="CT20" i="2" s="1"/>
  <c r="CQ7" i="2" a="1"/>
  <c r="CQ7" i="2" s="1"/>
  <c r="CO14" i="2" a="1"/>
  <c r="CO14" i="2" s="1"/>
  <c r="CA44" i="2" a="1"/>
  <c r="CA44" i="2" s="1"/>
  <c r="CT42" i="2" a="1"/>
  <c r="CT42" i="2" s="1"/>
  <c r="CF39" i="2" a="1"/>
  <c r="CF39" i="2" s="1"/>
  <c r="CP21" i="2" a="1"/>
  <c r="CP21" i="2" s="1"/>
  <c r="CT19" i="2" a="1"/>
  <c r="CT19" i="2" s="1"/>
  <c r="BV9" i="2" a="1"/>
  <c r="BV9" i="2" s="1"/>
  <c r="BX9" i="2" s="1" a="1"/>
  <c r="BX9" i="2" s="1"/>
  <c r="CA20" i="2" a="1"/>
  <c r="CA20" i="2" s="1"/>
  <c r="CC20" i="2" s="1" a="1"/>
  <c r="CC20" i="2" s="1"/>
  <c r="CO31" i="2" a="1"/>
  <c r="CO31" i="2" s="1"/>
  <c r="CA21" i="2" a="1"/>
  <c r="CA21" i="2" s="1"/>
  <c r="CC21" i="2" s="1" a="1"/>
  <c r="CC21" i="2" s="1"/>
  <c r="BL63" i="2" a="1"/>
  <c r="BL63" i="2" s="1"/>
  <c r="CB35" i="2" a="1"/>
  <c r="CB35" i="2" s="1"/>
  <c r="CC35" i="2" s="1" a="1"/>
  <c r="CC35" i="2" s="1"/>
  <c r="CA40" i="2" a="1"/>
  <c r="CA40" i="2" s="1"/>
  <c r="CP43" i="2" a="1"/>
  <c r="CP43" i="2" s="1"/>
  <c r="CB33" i="2" a="1"/>
  <c r="CB33" i="2" s="1"/>
  <c r="BW23" i="2" a="1"/>
  <c r="BW23" i="2" s="1"/>
  <c r="CF28" i="2" a="1"/>
  <c r="CF28" i="2" s="1"/>
  <c r="BU26" i="2" a="1"/>
  <c r="BU26" i="2" s="1"/>
  <c r="BX26" i="2" s="1" a="1"/>
  <c r="BX26" i="2" s="1"/>
  <c r="CA18" i="2" a="1"/>
  <c r="CA18" i="2" s="1"/>
  <c r="CC13" i="2" a="1"/>
  <c r="CC13" i="2" s="1"/>
  <c r="CI6" i="2" a="1"/>
  <c r="CI6" i="2" s="1"/>
  <c r="CL6" i="2" s="1" a="1"/>
  <c r="CL6" i="2" s="1"/>
  <c r="CA30" i="2" a="1"/>
  <c r="CA30" i="2" s="1"/>
  <c r="CC30" i="2" s="1" a="1"/>
  <c r="CC30" i="2" s="1"/>
  <c r="CO35" i="2" a="1"/>
  <c r="CO35" i="2" s="1"/>
  <c r="CQ35" i="2" s="1" a="1"/>
  <c r="CQ35" i="2" s="1"/>
  <c r="CP16" i="2" a="1"/>
  <c r="CP16" i="2" s="1"/>
  <c r="CQ16" i="2" s="1" a="1"/>
  <c r="CQ16" i="2" s="1"/>
  <c r="CL28" i="2" a="1"/>
  <c r="CL28" i="2" s="1"/>
  <c r="CQ26" i="2" a="1"/>
  <c r="CQ26" i="2" s="1"/>
  <c r="K4" i="4" a="1"/>
  <c r="K4" i="4" s="1"/>
  <c r="K6" i="4" a="1"/>
  <c r="K6" i="4" s="1"/>
  <c r="CL19" i="2" a="1"/>
  <c r="CL19" i="2" s="1"/>
  <c r="CL8" i="2" a="1"/>
  <c r="CL8" i="2" s="1"/>
  <c r="CL52" i="2" a="1"/>
  <c r="CL52" i="2" s="1"/>
  <c r="CO23" i="2" a="1"/>
  <c r="CO23" i="2" s="1"/>
  <c r="CO30" i="2" a="1"/>
  <c r="CO30" i="2" s="1"/>
  <c r="CA27" i="2" a="1"/>
  <c r="CA27" i="2" s="1"/>
  <c r="CC27" i="2" s="1" a="1"/>
  <c r="CC27" i="2" s="1"/>
  <c r="CB18" i="2" a="1"/>
  <c r="CB18" i="2" s="1"/>
  <c r="CO42" i="2" a="1"/>
  <c r="CO42" i="2" s="1"/>
  <c r="CQ42" i="2" s="1" a="1"/>
  <c r="CQ42" i="2" s="1"/>
  <c r="BX31" i="2" a="1"/>
  <c r="BX31" i="2" s="1"/>
  <c r="BL41" i="2" a="1"/>
  <c r="BL41" i="2" s="1"/>
  <c r="CW41" i="2" s="1" a="1"/>
  <c r="CW41" i="2" s="1"/>
  <c r="CZ41" i="2" a="1"/>
  <c r="CZ41" i="2" s="1"/>
  <c r="CO45" i="2" a="1"/>
  <c r="CO45" i="2" s="1"/>
  <c r="CQ45" i="2" s="1" a="1"/>
  <c r="CQ45" i="2" s="1"/>
  <c r="CB45" i="2" a="1"/>
  <c r="CB45" i="2" s="1"/>
  <c r="CC45" i="2" s="1" a="1"/>
  <c r="CC45" i="2" s="1"/>
  <c r="CZ35" i="2" a="1"/>
  <c r="CZ35" i="2" s="1"/>
  <c r="BL35" i="2" a="1"/>
  <c r="BL35" i="2" s="1"/>
  <c r="CW35" i="2" s="1" a="1"/>
  <c r="CW35" i="2" s="1"/>
  <c r="CL43" i="2" a="1"/>
  <c r="CL43" i="2" s="1"/>
  <c r="BF49" i="2" a="1"/>
  <c r="BF49" i="2" s="1"/>
  <c r="BO49" i="2" s="1" a="1"/>
  <c r="BO49" i="2" s="1"/>
  <c r="BE49" i="2" a="1"/>
  <c r="BE49" i="2" s="1"/>
  <c r="BR49" i="2" s="1" a="1"/>
  <c r="BR49" i="2" s="1"/>
  <c r="CL45" i="2" a="1"/>
  <c r="CL45" i="2" s="1"/>
  <c r="CO47" i="2" a="1"/>
  <c r="CO47" i="2" s="1"/>
  <c r="CQ47" i="2" s="1" a="1"/>
  <c r="CQ47" i="2" s="1"/>
  <c r="CO49" i="2" a="1"/>
  <c r="CO49" i="2" s="1"/>
  <c r="CQ49" i="2" s="1" a="1"/>
  <c r="CQ49" i="2" s="1"/>
  <c r="CP51" i="2" a="1"/>
  <c r="CP51" i="2" s="1"/>
  <c r="AR30" i="2" a="1"/>
  <c r="AR30" i="2" s="1"/>
  <c r="AQ30" i="2" a="1"/>
  <c r="AQ30" i="2" s="1"/>
  <c r="AP30" i="2" a="1"/>
  <c r="AP30" i="2" s="1"/>
  <c r="AO30" i="2" a="1"/>
  <c r="AO30" i="2" s="1"/>
  <c r="AS30" i="2" a="1"/>
  <c r="AS30" i="2" s="1"/>
  <c r="AR97" i="2" a="1"/>
  <c r="AR97" i="2" s="1"/>
  <c r="AQ97" i="2" a="1"/>
  <c r="AQ97" i="2" s="1"/>
  <c r="AP97" i="2" a="1"/>
  <c r="AP97" i="2" s="1"/>
  <c r="AS97" i="2" a="1"/>
  <c r="AS97" i="2" s="1"/>
  <c r="AO97" i="2" a="1"/>
  <c r="AO97" i="2" s="1"/>
  <c r="AS15" i="2" a="1"/>
  <c r="AS15" i="2" s="1"/>
  <c r="AP15" i="2" a="1"/>
  <c r="AP15" i="2" s="1"/>
  <c r="AO15" i="2" a="1"/>
  <c r="AO15" i="2" s="1"/>
  <c r="AR15" i="2" a="1"/>
  <c r="AR15" i="2" s="1"/>
  <c r="AQ15" i="2" a="1"/>
  <c r="AQ15" i="2" s="1"/>
  <c r="BX13" i="2" a="1"/>
  <c r="BX13" i="2" s="1"/>
  <c r="CQ13" i="2" a="1"/>
  <c r="CQ13" i="2" s="1"/>
  <c r="BX20" i="2" a="1"/>
  <c r="BX20" i="2" s="1"/>
  <c r="CA6" i="2" a="1"/>
  <c r="CA6" i="2" s="1"/>
  <c r="CC6" i="2" s="1" a="1"/>
  <c r="CC6" i="2" s="1"/>
  <c r="CC9" i="2" a="1"/>
  <c r="CC9" i="2" s="1"/>
  <c r="CB28" i="2" a="1"/>
  <c r="CB28" i="2" s="1"/>
  <c r="CC28" i="2" s="1" a="1"/>
  <c r="CC28" i="2" s="1"/>
  <c r="AS87" i="2" a="1"/>
  <c r="AS87" i="2" s="1"/>
  <c r="AR87" i="2" a="1"/>
  <c r="AR87" i="2" s="1"/>
  <c r="AP87" i="2" a="1"/>
  <c r="AP87" i="2" s="1"/>
  <c r="AO87" i="2" a="1"/>
  <c r="AO87" i="2" s="1"/>
  <c r="AQ87" i="2" a="1"/>
  <c r="AQ87" i="2" s="1"/>
  <c r="AS94" i="2" a="1"/>
  <c r="AS94" i="2" s="1"/>
  <c r="AO94" i="2" a="1"/>
  <c r="AO94" i="2" s="1"/>
  <c r="AR94" i="2" a="1"/>
  <c r="AR94" i="2" s="1"/>
  <c r="AQ94" i="2" a="1"/>
  <c r="AQ94" i="2" s="1"/>
  <c r="AP94" i="2" a="1"/>
  <c r="AP94" i="2" s="1"/>
  <c r="CP18" i="2" a="1"/>
  <c r="CP18" i="2" s="1"/>
  <c r="CQ18" i="2" s="1" a="1"/>
  <c r="CQ18" i="2" s="1"/>
  <c r="BF12" i="2" a="1"/>
  <c r="BF12" i="2" s="1"/>
  <c r="BO12" i="2" s="1" a="1"/>
  <c r="BO12" i="2" s="1"/>
  <c r="BE12" i="2" a="1"/>
  <c r="BE12" i="2" s="1"/>
  <c r="BR12" i="2" s="1" a="1"/>
  <c r="BR12" i="2" s="1"/>
  <c r="CP22" i="2" a="1"/>
  <c r="CP22" i="2" s="1"/>
  <c r="BF27" i="2" a="1"/>
  <c r="BF27" i="2" s="1"/>
  <c r="BO27" i="2" s="1" a="1"/>
  <c r="BO27" i="2" s="1"/>
  <c r="BE27" i="2" a="1"/>
  <c r="BE27" i="2" s="1"/>
  <c r="BR27" i="2" s="1" a="1"/>
  <c r="BR27" i="2" s="1"/>
  <c r="BL33" i="2" a="1"/>
  <c r="BL33" i="2" s="1"/>
  <c r="CW33" i="2" s="1" a="1"/>
  <c r="CW33" i="2" s="1"/>
  <c r="CZ33" i="2" a="1"/>
  <c r="CZ33" i="2" s="1"/>
  <c r="CB29" i="2" a="1"/>
  <c r="CB29" i="2" s="1"/>
  <c r="CC29" i="2" s="1" a="1"/>
  <c r="CC29" i="2" s="1"/>
  <c r="CA32" i="2" a="1"/>
  <c r="CA32" i="2" s="1"/>
  <c r="CP31" i="2" a="1"/>
  <c r="CP31" i="2" s="1"/>
  <c r="CO36" i="2" a="1"/>
  <c r="CO36" i="2" s="1"/>
  <c r="BL38" i="2" a="1"/>
  <c r="BL38" i="2" s="1"/>
  <c r="CW38" i="2" s="1" a="1"/>
  <c r="CW38" i="2" s="1"/>
  <c r="CZ38" i="2" a="1"/>
  <c r="CZ38" i="2" s="1"/>
  <c r="CB43" i="2" a="1"/>
  <c r="CB43" i="2" s="1"/>
  <c r="CC43" i="2" s="1" a="1"/>
  <c r="CC43" i="2" s="1"/>
  <c r="CO43" i="2" a="1"/>
  <c r="CO43" i="2" s="1"/>
  <c r="CB47" i="2" a="1"/>
  <c r="CB47" i="2" s="1"/>
  <c r="CC47" i="2" s="1" a="1"/>
  <c r="CC47" i="2" s="1"/>
  <c r="CB44" i="2" a="1"/>
  <c r="CB44" i="2" s="1"/>
  <c r="CL47" i="2" a="1"/>
  <c r="CL47" i="2" s="1"/>
  <c r="BF47" i="2" a="1"/>
  <c r="BF47" i="2" s="1"/>
  <c r="BO47" i="2" s="1" a="1"/>
  <c r="BO47" i="2" s="1"/>
  <c r="BE47" i="2" a="1"/>
  <c r="BE47" i="2" s="1"/>
  <c r="BR47" i="2" s="1" a="1"/>
  <c r="BR47" i="2" s="1"/>
  <c r="CB17" i="2" a="1"/>
  <c r="CB17" i="2" s="1"/>
  <c r="CC17" i="2" s="1" a="1"/>
  <c r="CC17" i="2" s="1"/>
  <c r="CZ20" i="2" a="1"/>
  <c r="CZ20" i="2" s="1"/>
  <c r="BL20" i="2" a="1"/>
  <c r="BL20" i="2" s="1"/>
  <c r="CW20" i="2" s="1" a="1"/>
  <c r="CW20" i="2" s="1"/>
  <c r="CZ12" i="2" a="1"/>
  <c r="CZ12" i="2" s="1"/>
  <c r="BL12" i="2" a="1"/>
  <c r="BL12" i="2" s="1"/>
  <c r="CW12" i="2" s="1" a="1"/>
  <c r="CW12" i="2" s="1"/>
  <c r="BE6" i="2" a="1"/>
  <c r="BE6" i="2" s="1"/>
  <c r="BF6" i="2" a="1"/>
  <c r="BF6" i="2" s="1"/>
  <c r="AP16" i="2" a="1"/>
  <c r="AP16" i="2" s="1"/>
  <c r="AO16" i="2" a="1"/>
  <c r="AO16" i="2" s="1"/>
  <c r="AS16" i="2" a="1"/>
  <c r="AS16" i="2" s="1"/>
  <c r="AR16" i="2" a="1"/>
  <c r="AR16" i="2" s="1"/>
  <c r="AQ16" i="2" a="1"/>
  <c r="AQ16" i="2" s="1"/>
  <c r="CB12" i="2" a="1"/>
  <c r="CB12" i="2" s="1"/>
  <c r="CC12" i="2" s="1" a="1"/>
  <c r="CC12" i="2" s="1"/>
  <c r="C232" i="3" a="1"/>
  <c r="C232" i="3" s="1"/>
  <c r="B232" i="3" a="1"/>
  <c r="B232" i="3" s="1"/>
  <c r="C226" i="3" a="1"/>
  <c r="C226" i="3" s="1"/>
  <c r="AP72" i="2" a="1"/>
  <c r="AP72" i="2" s="1"/>
  <c r="AO72" i="2" a="1"/>
  <c r="AO72" i="2" s="1"/>
  <c r="AS72" i="2" a="1"/>
  <c r="AS72" i="2" s="1"/>
  <c r="AR72" i="2" a="1"/>
  <c r="AR72" i="2" s="1"/>
  <c r="AQ72" i="2" a="1"/>
  <c r="AQ72" i="2" s="1"/>
  <c r="BL25" i="2" a="1"/>
  <c r="BL25" i="2" s="1"/>
  <c r="CW25" i="2" s="1" a="1"/>
  <c r="CW25" i="2" s="1"/>
  <c r="CZ25" i="2" a="1"/>
  <c r="CZ25" i="2" s="1"/>
  <c r="CL27" i="2" a="1"/>
  <c r="CL27" i="2" s="1"/>
  <c r="CL17" i="2" a="1"/>
  <c r="CL17" i="2" s="1"/>
  <c r="CP28" i="2" a="1"/>
  <c r="CP28" i="2" s="1"/>
  <c r="CZ32" i="2" a="1"/>
  <c r="CZ32" i="2" s="1"/>
  <c r="BL32" i="2" a="1"/>
  <c r="BL32" i="2" s="1"/>
  <c r="CW32" i="2" s="1" a="1"/>
  <c r="CW32" i="2" s="1"/>
  <c r="CB41" i="2" a="1"/>
  <c r="CB41" i="2" s="1"/>
  <c r="CC41" i="2" s="1" a="1"/>
  <c r="CC41" i="2" s="1"/>
  <c r="CZ37" i="2" a="1"/>
  <c r="CZ37" i="2" s="1"/>
  <c r="BL37" i="2" a="1"/>
  <c r="BL37" i="2" s="1"/>
  <c r="CW37" i="2" s="1" a="1"/>
  <c r="CW37" i="2" s="1"/>
  <c r="CZ47" i="2" a="1"/>
  <c r="CZ47" i="2" s="1"/>
  <c r="BL47" i="2" a="1"/>
  <c r="BL47" i="2" s="1"/>
  <c r="CW47" i="2" s="1" a="1"/>
  <c r="CW47" i="2" s="1"/>
  <c r="CO39" i="2" a="1"/>
  <c r="CO39" i="2" s="1"/>
  <c r="CQ39" i="2" s="1" a="1"/>
  <c r="CQ39" i="2" s="1"/>
  <c r="BF44" i="2" a="1"/>
  <c r="BF44" i="2" s="1"/>
  <c r="BO44" i="2" s="1" a="1"/>
  <c r="BO44" i="2" s="1"/>
  <c r="BE44" i="2" a="1"/>
  <c r="BE44" i="2" s="1"/>
  <c r="BR44" i="2" s="1" a="1"/>
  <c r="BR44" i="2" s="1"/>
  <c r="CP46" i="2" a="1"/>
  <c r="CP46" i="2" s="1"/>
  <c r="CQ46" i="2" s="1" a="1"/>
  <c r="CQ46" i="2" s="1"/>
  <c r="CB37" i="2" a="1"/>
  <c r="CB37" i="2" s="1"/>
  <c r="CC37" i="2" s="1" a="1"/>
  <c r="CC37" i="2" s="1"/>
  <c r="CB38" i="2" a="1"/>
  <c r="CB38" i="2" s="1"/>
  <c r="CC38" i="2" s="1" a="1"/>
  <c r="CC38" i="2" s="1"/>
  <c r="BL49" i="2" a="1"/>
  <c r="BL49" i="2" s="1"/>
  <c r="CW49" i="2" s="1" a="1"/>
  <c r="CW49" i="2" s="1"/>
  <c r="CZ49" i="2" a="1"/>
  <c r="CZ49" i="2" s="1"/>
  <c r="CB51" i="2" a="1"/>
  <c r="CB51" i="2" s="1"/>
  <c r="CL20" i="2" a="1"/>
  <c r="CL20" i="2" s="1"/>
  <c r="AP70" i="2" a="1"/>
  <c r="AP70" i="2" s="1"/>
  <c r="AR70" i="2" a="1"/>
  <c r="AR70" i="2" s="1"/>
  <c r="AQ70" i="2" a="1"/>
  <c r="AQ70" i="2" s="1"/>
  <c r="AO70" i="2" a="1"/>
  <c r="AO70" i="2" s="1"/>
  <c r="AS70" i="2" a="1"/>
  <c r="AS70" i="2" s="1"/>
  <c r="CL23" i="2" a="1"/>
  <c r="CL23" i="2" s="1"/>
  <c r="BE19" i="2" a="1"/>
  <c r="BE19" i="2" s="1"/>
  <c r="BR19" i="2" s="1" a="1"/>
  <c r="BR19" i="2" s="1"/>
  <c r="BF19" i="2" a="1"/>
  <c r="BF19" i="2" s="1"/>
  <c r="BO19" i="2" s="1" a="1"/>
  <c r="BO19" i="2" s="1"/>
  <c r="DF9" i="2" a="1"/>
  <c r="DF9" i="2" s="1"/>
  <c r="DF7" i="2" a="1"/>
  <c r="DF7" i="2" s="1"/>
  <c r="DF8" i="2" a="1"/>
  <c r="DF8" i="2" s="1"/>
  <c r="DF6" i="2" a="1"/>
  <c r="DF6" i="2" s="1"/>
  <c r="AS24" i="2" a="1"/>
  <c r="AS24" i="2" s="1"/>
  <c r="AR24" i="2" a="1"/>
  <c r="AR24" i="2" s="1"/>
  <c r="AP24" i="2" a="1"/>
  <c r="AP24" i="2" s="1"/>
  <c r="AO24" i="2" a="1"/>
  <c r="AO24" i="2" s="1"/>
  <c r="AQ24" i="2" a="1"/>
  <c r="AQ24" i="2" s="1"/>
  <c r="AS47" i="2" a="1"/>
  <c r="AS47" i="2" s="1"/>
  <c r="AR47" i="2" a="1"/>
  <c r="AR47" i="2" s="1"/>
  <c r="AQ47" i="2" a="1"/>
  <c r="AQ47" i="2" s="1"/>
  <c r="AP47" i="2" a="1"/>
  <c r="AP47" i="2" s="1"/>
  <c r="AO47" i="2" a="1"/>
  <c r="AO47" i="2" s="1"/>
  <c r="AQ32" i="2" a="1"/>
  <c r="AQ32" i="2" s="1"/>
  <c r="AP32" i="2" a="1"/>
  <c r="AP32" i="2" s="1"/>
  <c r="AO32" i="2" a="1"/>
  <c r="AO32" i="2" s="1"/>
  <c r="AS32" i="2" a="1"/>
  <c r="AS32" i="2" s="1"/>
  <c r="AR32" i="2" a="1"/>
  <c r="AR32" i="2" s="1"/>
  <c r="CZ6" i="2" a="1"/>
  <c r="CZ6" i="2" s="1"/>
  <c r="BL6" i="2" a="1"/>
  <c r="BL6" i="2" s="1"/>
  <c r="BL65" i="2" a="1"/>
  <c r="BL65" i="2" s="1"/>
  <c r="BT66" i="2" a="1"/>
  <c r="BT66" i="2" s="1"/>
  <c r="AS88" i="2" a="1"/>
  <c r="AS88" i="2" s="1"/>
  <c r="AR88" i="2" a="1"/>
  <c r="AR88" i="2" s="1"/>
  <c r="AQ88" i="2" a="1"/>
  <c r="AQ88" i="2" s="1"/>
  <c r="AP88" i="2" a="1"/>
  <c r="AP88" i="2" s="1"/>
  <c r="AO88" i="2" a="1"/>
  <c r="AO88" i="2" s="1"/>
  <c r="BF63" i="2" a="1"/>
  <c r="BF63" i="2" s="1"/>
  <c r="AR62" i="2" a="1"/>
  <c r="AR62" i="2" s="1"/>
  <c r="AS62" i="2" a="1"/>
  <c r="AS62" i="2" s="1"/>
  <c r="AQ62" i="2" a="1"/>
  <c r="AQ62" i="2" s="1"/>
  <c r="AP62" i="2" a="1"/>
  <c r="AP62" i="2" s="1"/>
  <c r="AO62" i="2" a="1"/>
  <c r="AO62" i="2" s="1"/>
  <c r="CQ15" i="2" a="1"/>
  <c r="CQ15" i="2" s="1"/>
  <c r="C211" i="3" a="1"/>
  <c r="C211" i="3" s="1"/>
  <c r="C221" i="3" a="1"/>
  <c r="C221" i="3" s="1"/>
  <c r="B221" i="3" a="1"/>
  <c r="B221" i="3" s="1"/>
  <c r="B204" i="3" a="1"/>
  <c r="B204" i="3" s="1"/>
  <c r="AS89" i="2" a="1"/>
  <c r="AS89" i="2" s="1"/>
  <c r="AR89" i="2" a="1"/>
  <c r="AR89" i="2" s="1"/>
  <c r="AP89" i="2" a="1"/>
  <c r="AP89" i="2" s="1"/>
  <c r="AO89" i="2" a="1"/>
  <c r="AO89" i="2" s="1"/>
  <c r="AQ89" i="2" a="1"/>
  <c r="AQ89" i="2" s="1"/>
  <c r="AS55" i="2" a="1"/>
  <c r="AS55" i="2" s="1"/>
  <c r="AR55" i="2" a="1"/>
  <c r="AR55" i="2" s="1"/>
  <c r="AQ55" i="2" a="1"/>
  <c r="AQ55" i="2" s="1"/>
  <c r="AP55" i="2" a="1"/>
  <c r="AP55" i="2" s="1"/>
  <c r="AO55" i="2" a="1"/>
  <c r="AO55" i="2" s="1"/>
  <c r="BF69" i="2" a="1"/>
  <c r="BF69" i="2" s="1"/>
  <c r="BT63" i="2" a="1"/>
  <c r="BT63" i="2" s="1"/>
  <c r="AP48" i="2" a="1"/>
  <c r="AP48" i="2" s="1"/>
  <c r="AS48" i="2" a="1"/>
  <c r="AS48" i="2" s="1"/>
  <c r="AR48" i="2" a="1"/>
  <c r="AR48" i="2" s="1"/>
  <c r="AQ48" i="2" a="1"/>
  <c r="AQ48" i="2" s="1"/>
  <c r="AO48" i="2" a="1"/>
  <c r="AO48" i="2" s="1"/>
  <c r="CP24" i="2" a="1"/>
  <c r="CP24" i="2" s="1"/>
  <c r="BX23" i="2" a="1"/>
  <c r="BX23" i="2" s="1"/>
  <c r="BX29" i="2" a="1"/>
  <c r="BX29" i="2" s="1"/>
  <c r="CB25" i="2" a="1"/>
  <c r="CB25" i="2" s="1"/>
  <c r="CC25" i="2" s="1" a="1"/>
  <c r="CC25" i="2" s="1"/>
  <c r="BF23" i="2" a="1"/>
  <c r="BF23" i="2" s="1"/>
  <c r="BO23" i="2" s="1" a="1"/>
  <c r="BO23" i="2" s="1"/>
  <c r="BE23" i="2" a="1"/>
  <c r="BE23" i="2" s="1"/>
  <c r="BR23" i="2" s="1" a="1"/>
  <c r="BR23" i="2" s="1"/>
  <c r="CO20" i="2" a="1"/>
  <c r="CO20" i="2" s="1"/>
  <c r="CQ20" i="2" s="1" a="1"/>
  <c r="CQ20" i="2" s="1"/>
  <c r="CP25" i="2" a="1"/>
  <c r="CP25" i="2" s="1"/>
  <c r="CQ25" i="2" s="1" a="1"/>
  <c r="CQ25" i="2" s="1"/>
  <c r="CA31" i="2" a="1"/>
  <c r="CA31" i="2" s="1"/>
  <c r="CB40" i="2" a="1"/>
  <c r="CB40" i="2" s="1"/>
  <c r="BF45" i="2" a="1"/>
  <c r="BF45" i="2" s="1"/>
  <c r="BO45" i="2" s="1" a="1"/>
  <c r="BO45" i="2" s="1"/>
  <c r="BE45" i="2" a="1"/>
  <c r="BE45" i="2" s="1"/>
  <c r="BR45" i="2" s="1" a="1"/>
  <c r="BR45" i="2" s="1"/>
  <c r="CB48" i="2" a="1"/>
  <c r="CB48" i="2" s="1"/>
  <c r="CC48" i="2" s="1" a="1"/>
  <c r="CC48" i="2" s="1"/>
  <c r="BL53" i="2" a="1"/>
  <c r="BL53" i="2" s="1"/>
  <c r="CW53" i="2" s="1" a="1"/>
  <c r="CW53" i="2" s="1"/>
  <c r="CZ53" i="2" a="1"/>
  <c r="CZ53" i="2" s="1"/>
  <c r="CO52" i="2" a="1"/>
  <c r="CO52" i="2" s="1"/>
  <c r="CQ52" i="2" s="1" a="1"/>
  <c r="CQ52" i="2" s="1"/>
  <c r="CZ52" i="2" a="1"/>
  <c r="CZ52" i="2" s="1"/>
  <c r="BL52" i="2" a="1"/>
  <c r="BL52" i="2" s="1"/>
  <c r="CW52" i="2" s="1" a="1"/>
  <c r="CW52" i="2" s="1"/>
  <c r="CL53" i="2" a="1"/>
  <c r="CL53" i="2" s="1"/>
  <c r="CL14" i="2" a="1"/>
  <c r="CL14" i="2" s="1"/>
  <c r="BG59" i="2" a="1"/>
  <c r="BG59" i="2" s="1"/>
  <c r="BF59" i="2" s="1" a="1"/>
  <c r="BF59" i="2" s="1"/>
  <c r="BE18" i="2" a="1"/>
  <c r="BE18" i="2" s="1"/>
  <c r="BR18" i="2" s="1" a="1"/>
  <c r="BR18" i="2" s="1"/>
  <c r="BF18" i="2" a="1"/>
  <c r="BF18" i="2" s="1"/>
  <c r="AN30" i="2" s="1" a="1"/>
  <c r="AN30" i="2" s="1"/>
  <c r="BF16" i="2" a="1"/>
  <c r="BF16" i="2" s="1"/>
  <c r="BO16" i="2" s="1" a="1"/>
  <c r="BO16" i="2" s="1"/>
  <c r="BE16" i="2" a="1"/>
  <c r="BE16" i="2" s="1"/>
  <c r="BR16" i="2" s="1" a="1"/>
  <c r="BR16" i="2" s="1"/>
  <c r="CA8" i="2" a="1"/>
  <c r="CA8" i="2" s="1"/>
  <c r="CC8" i="2" s="1" a="1"/>
  <c r="CC8" i="2" s="1"/>
  <c r="BT68" i="2" a="1"/>
  <c r="BT68" i="2" s="1"/>
  <c r="BF67" i="2" a="1"/>
  <c r="BF67" i="2" s="1"/>
  <c r="BT65" i="2" a="1"/>
  <c r="BT65" i="2" s="1"/>
  <c r="AR65" i="2" a="1"/>
  <c r="AR65" i="2" s="1"/>
  <c r="AQ65" i="2" a="1"/>
  <c r="AQ65" i="2" s="1"/>
  <c r="AP65" i="2" a="1"/>
  <c r="AP65" i="2" s="1"/>
  <c r="AS65" i="2" a="1"/>
  <c r="AS65" i="2" s="1"/>
  <c r="AO65" i="2" a="1"/>
  <c r="AO65" i="2" s="1"/>
  <c r="CC14" i="2" a="1"/>
  <c r="CC14" i="2" s="1"/>
  <c r="CZ11" i="2" a="1"/>
  <c r="CZ11" i="2" s="1"/>
  <c r="BL11" i="2" a="1"/>
  <c r="BL11" i="2" s="1"/>
  <c r="CW11" i="2" s="1" a="1"/>
  <c r="CW11" i="2" s="1"/>
  <c r="T38" i="4" a="1"/>
  <c r="T38" i="4" s="1"/>
  <c r="C202" i="3" a="1"/>
  <c r="C202" i="3" s="1"/>
  <c r="B202" i="3" a="1"/>
  <c r="B202" i="3" s="1"/>
  <c r="C184" i="3" a="1"/>
  <c r="C184" i="3" s="1"/>
  <c r="AE29" i="4" a="1"/>
  <c r="AE29" i="4" s="1"/>
  <c r="AS86" i="2" a="1"/>
  <c r="AS86" i="2" s="1"/>
  <c r="AR86" i="2" a="1"/>
  <c r="AR86" i="2" s="1"/>
  <c r="AQ86" i="2" a="1"/>
  <c r="AQ86" i="2" s="1"/>
  <c r="AO86" i="2" a="1"/>
  <c r="AO86" i="2" s="1"/>
  <c r="AP86" i="2" a="1"/>
  <c r="AP86" i="2" s="1"/>
  <c r="BF64" i="2" a="1"/>
  <c r="BF64" i="2" s="1"/>
  <c r="BL68" i="2" a="1"/>
  <c r="BL68" i="2" s="1"/>
  <c r="BL66" i="2" a="1"/>
  <c r="BL66" i="2" s="1"/>
  <c r="AQ63" i="2" a="1"/>
  <c r="AQ63" i="2" s="1"/>
  <c r="AP63" i="2" a="1"/>
  <c r="AP63" i="2" s="1"/>
  <c r="AS63" i="2" a="1"/>
  <c r="AS63" i="2" s="1"/>
  <c r="AR63" i="2" a="1"/>
  <c r="AR63" i="2" s="1"/>
  <c r="AO63" i="2" a="1"/>
  <c r="AO63" i="2" s="1"/>
  <c r="BF10" i="2" a="1"/>
  <c r="BF10" i="2" s="1"/>
  <c r="AN14" i="2" s="1" a="1"/>
  <c r="AN14" i="2" s="1"/>
  <c r="BE10" i="2" a="1"/>
  <c r="BE10" i="2" s="1"/>
  <c r="BR10" i="2" s="1" a="1"/>
  <c r="BR10" i="2" s="1"/>
  <c r="H46" i="4" a="1"/>
  <c r="H46" i="4" s="1"/>
  <c r="CB19" i="2" a="1"/>
  <c r="CB19" i="2" s="1"/>
  <c r="CC19" i="2" s="1" a="1"/>
  <c r="CC19" i="2" s="1"/>
  <c r="CA26" i="2" a="1"/>
  <c r="CA26" i="2" s="1"/>
  <c r="CC26" i="2" s="1" a="1"/>
  <c r="CC26" i="2" s="1"/>
  <c r="CO29" i="2" a="1"/>
  <c r="CO29" i="2" s="1"/>
  <c r="CQ29" i="2" s="1" a="1"/>
  <c r="CQ29" i="2" s="1"/>
  <c r="BL21" i="2" a="1"/>
  <c r="BL21" i="2" s="1"/>
  <c r="CW21" i="2" s="1" a="1"/>
  <c r="CW21" i="2" s="1"/>
  <c r="CZ21" i="2" a="1"/>
  <c r="CZ21" i="2" s="1"/>
  <c r="BE26" i="2" a="1"/>
  <c r="BE26" i="2" s="1"/>
  <c r="BR26" i="2" s="1" a="1"/>
  <c r="BR26" i="2" s="1"/>
  <c r="BF26" i="2" a="1"/>
  <c r="BF26" i="2" s="1"/>
  <c r="AN46" i="2" s="1" a="1"/>
  <c r="AN46" i="2" s="1"/>
  <c r="BX33" i="2" a="1"/>
  <c r="BX33" i="2" s="1"/>
  <c r="BF32" i="2" a="1"/>
  <c r="BF32" i="2" s="1"/>
  <c r="BO32" i="2" s="1" a="1"/>
  <c r="BO32" i="2" s="1"/>
  <c r="BE32" i="2" a="1"/>
  <c r="BE32" i="2" s="1"/>
  <c r="BR32" i="2" s="1" a="1"/>
  <c r="BR32" i="2" s="1"/>
  <c r="BF35" i="2" a="1"/>
  <c r="BF35" i="2" s="1"/>
  <c r="BO35" i="2" s="1" a="1"/>
  <c r="BO35" i="2" s="1"/>
  <c r="BE35" i="2" a="1"/>
  <c r="BE35" i="2" s="1"/>
  <c r="BR35" i="2" s="1" a="1"/>
  <c r="BR35" i="2" s="1"/>
  <c r="BF33" i="2" a="1"/>
  <c r="BF33" i="2" s="1"/>
  <c r="BO33" i="2" s="1" a="1"/>
  <c r="BO33" i="2" s="1"/>
  <c r="BE33" i="2" a="1"/>
  <c r="BE33" i="2" s="1"/>
  <c r="BR33" i="2" s="1" a="1"/>
  <c r="BR33" i="2" s="1"/>
  <c r="CB39" i="2" a="1"/>
  <c r="CB39" i="2" s="1"/>
  <c r="CC39" i="2" s="1" a="1"/>
  <c r="CC39" i="2" s="1"/>
  <c r="BE38" i="2" a="1"/>
  <c r="BE38" i="2" s="1"/>
  <c r="BR38" i="2" s="1" a="1"/>
  <c r="BR38" i="2" s="1"/>
  <c r="BF38" i="2" a="1"/>
  <c r="BF38" i="2" s="1"/>
  <c r="BF50" i="2" a="1"/>
  <c r="BF50" i="2" s="1"/>
  <c r="BE50" i="2" a="1"/>
  <c r="BE50" i="2" s="1"/>
  <c r="BR50" i="2" s="1" a="1"/>
  <c r="BR50" i="2" s="1"/>
  <c r="CO48" i="2" a="1"/>
  <c r="CO48" i="2" s="1"/>
  <c r="CQ48" i="2" s="1" a="1"/>
  <c r="CQ48" i="2" s="1"/>
  <c r="BX53" i="2" a="1"/>
  <c r="BX53" i="2" s="1"/>
  <c r="CA52" i="2" a="1"/>
  <c r="CA52" i="2" s="1"/>
  <c r="CC52" i="2" s="1" a="1"/>
  <c r="CC52" i="2" s="1"/>
  <c r="CQ6" i="2" a="1"/>
  <c r="CQ6" i="2" s="1"/>
  <c r="AQ9" i="2" a="1"/>
  <c r="AQ9" i="2" s="1"/>
  <c r="AP9" i="2" a="1"/>
  <c r="AP9" i="2" s="1"/>
  <c r="AO9" i="2" a="1"/>
  <c r="AO9" i="2" s="1"/>
  <c r="AS9" i="2" a="1"/>
  <c r="AS9" i="2" s="1"/>
  <c r="AR9" i="2" a="1"/>
  <c r="AR9" i="2" s="1"/>
  <c r="BE21" i="2" a="1"/>
  <c r="BE21" i="2" s="1"/>
  <c r="BR21" i="2" s="1" a="1"/>
  <c r="BR21" i="2" s="1"/>
  <c r="BF21" i="2" a="1"/>
  <c r="BF21" i="2" s="1"/>
  <c r="BO21" i="2" s="1" a="1"/>
  <c r="BO21" i="2" s="1"/>
  <c r="BF7" i="2" a="1"/>
  <c r="BF7" i="2" s="1"/>
  <c r="BO7" i="2" s="1" a="1"/>
  <c r="BO7" i="2" s="1"/>
  <c r="BE7" i="2" a="1"/>
  <c r="BE7" i="2" s="1"/>
  <c r="BR7" i="2" s="1" a="1"/>
  <c r="BR7" i="2" s="1"/>
  <c r="CP12" i="2" a="1"/>
  <c r="CP12" i="2" s="1"/>
  <c r="CQ12" i="2" s="1" a="1"/>
  <c r="CQ12" i="2" s="1"/>
  <c r="BM48" i="4" a="1"/>
  <c r="BM48" i="4" s="1"/>
  <c r="BM31" i="4" a="1"/>
  <c r="BM31" i="4" s="1"/>
  <c r="BM50" i="4" a="1"/>
  <c r="BM50" i="4" s="1"/>
  <c r="BM45" i="4" a="1"/>
  <c r="BM45" i="4" s="1"/>
  <c r="BM44" i="4" a="1"/>
  <c r="BM44" i="4" s="1"/>
  <c r="BM41" i="4" a="1"/>
  <c r="BM41" i="4" s="1"/>
  <c r="BM35" i="4" a="1"/>
  <c r="BM35" i="4" s="1"/>
  <c r="BM29" i="4" a="1"/>
  <c r="BM29" i="4" s="1"/>
  <c r="BM25" i="4" a="1"/>
  <c r="BM25" i="4" s="1"/>
  <c r="BM21" i="4" a="1"/>
  <c r="BM21" i="4" s="1"/>
  <c r="BM43" i="4" a="1"/>
  <c r="BM43" i="4" s="1"/>
  <c r="BM40" i="4" a="1"/>
  <c r="BM40" i="4" s="1"/>
  <c r="BM38" i="4" a="1"/>
  <c r="BM38" i="4" s="1"/>
  <c r="BM33" i="4" a="1"/>
  <c r="BM33" i="4" s="1"/>
  <c r="BM27" i="4" a="1"/>
  <c r="BM27" i="4" s="1"/>
  <c r="BM23" i="4" a="1"/>
  <c r="BM23" i="4" s="1"/>
  <c r="BM47" i="4" a="1"/>
  <c r="BM47" i="4" s="1"/>
  <c r="BM24" i="4" a="1"/>
  <c r="BM24" i="4" s="1"/>
  <c r="BM46" i="4" a="1"/>
  <c r="BM46" i="4" s="1"/>
  <c r="BM42" i="4" a="1"/>
  <c r="BM42" i="4" s="1"/>
  <c r="BM39" i="4" a="1"/>
  <c r="BM39" i="4" s="1"/>
  <c r="BM36" i="4" a="1"/>
  <c r="BM36" i="4" s="1"/>
  <c r="BM22" i="4" a="1"/>
  <c r="BM22" i="4" s="1"/>
  <c r="BM19" i="4" a="1"/>
  <c r="BM19" i="4" s="1"/>
  <c r="BM16" i="4" a="1"/>
  <c r="BM16" i="4" s="1"/>
  <c r="BM49" i="4" a="1"/>
  <c r="BM49" i="4" s="1"/>
  <c r="BM20" i="4" a="1"/>
  <c r="BM20" i="4" s="1"/>
  <c r="BM37" i="4" a="1"/>
  <c r="BM37" i="4" s="1"/>
  <c r="BM18" i="4" a="1"/>
  <c r="BM18" i="4" s="1"/>
  <c r="BM28" i="4" a="1"/>
  <c r="BM28" i="4" s="1"/>
  <c r="BM4" i="4" a="1"/>
  <c r="BM4" i="4" s="1"/>
  <c r="BM34" i="4" a="1"/>
  <c r="BM34" i="4" s="1"/>
  <c r="BM7" i="4" a="1"/>
  <c r="BM7" i="4" s="1"/>
  <c r="BM12" i="4" a="1"/>
  <c r="BM12" i="4" s="1"/>
  <c r="BM8" i="4" a="1"/>
  <c r="BM8" i="4" s="1"/>
  <c r="BM32" i="4" a="1"/>
  <c r="BM32" i="4" s="1"/>
  <c r="BM30" i="4" a="1"/>
  <c r="BM30" i="4" s="1"/>
  <c r="BM14" i="4" a="1"/>
  <c r="BM14" i="4" s="1"/>
  <c r="BM10" i="4" a="1"/>
  <c r="BM10" i="4" s="1"/>
  <c r="BM13" i="4" a="1"/>
  <c r="BM13" i="4" s="1"/>
  <c r="BM17" i="4" a="1"/>
  <c r="BM17" i="4" s="1"/>
  <c r="BM15" i="4" a="1"/>
  <c r="BM15" i="4" s="1"/>
  <c r="BM26" i="4" a="1"/>
  <c r="BM26" i="4" s="1"/>
  <c r="BM51" i="4" a="1"/>
  <c r="BM51" i="4" s="1"/>
  <c r="BM5" i="4" a="1"/>
  <c r="BM5" i="4" s="1"/>
  <c r="BM6" i="4" a="1"/>
  <c r="BM6" i="4" s="1"/>
  <c r="BM11" i="4" a="1"/>
  <c r="BM11" i="4" s="1"/>
  <c r="BM9" i="4" a="1"/>
  <c r="BM9" i="4" s="1"/>
  <c r="AS64" i="2" a="1"/>
  <c r="AS64" i="2" s="1"/>
  <c r="AR64" i="2" a="1"/>
  <c r="AR64" i="2" s="1"/>
  <c r="AQ64" i="2" a="1"/>
  <c r="AQ64" i="2" s="1"/>
  <c r="AP64" i="2" a="1"/>
  <c r="AP64" i="2" s="1"/>
  <c r="AO64" i="2" a="1"/>
  <c r="AO64" i="2" s="1"/>
  <c r="CZ23" i="2" a="1"/>
  <c r="CZ23" i="2" s="1"/>
  <c r="BL23" i="2" a="1"/>
  <c r="BL23" i="2" s="1"/>
  <c r="CW23" i="2" s="1" a="1"/>
  <c r="CW23" i="2" s="1"/>
  <c r="AS96" i="2" a="1"/>
  <c r="AS96" i="2" s="1"/>
  <c r="AR96" i="2" a="1"/>
  <c r="AR96" i="2" s="1"/>
  <c r="AO96" i="2" a="1"/>
  <c r="AO96" i="2" s="1"/>
  <c r="AQ96" i="2" a="1"/>
  <c r="AQ96" i="2" s="1"/>
  <c r="AP96" i="2" a="1"/>
  <c r="AP96" i="2" s="1"/>
  <c r="C200" i="3" a="1"/>
  <c r="C200" i="3" s="1"/>
  <c r="B200" i="3" a="1"/>
  <c r="B200" i="3" s="1"/>
  <c r="C182" i="3" a="1"/>
  <c r="C182" i="3" s="1"/>
  <c r="C204" i="3" a="1"/>
  <c r="C204" i="3" s="1"/>
  <c r="AP54" i="2" a="1"/>
  <c r="AP54" i="2" s="1"/>
  <c r="AS54" i="2" a="1"/>
  <c r="AS54" i="2" s="1"/>
  <c r="AR54" i="2" a="1"/>
  <c r="AR54" i="2" s="1"/>
  <c r="AQ54" i="2" a="1"/>
  <c r="AQ54" i="2" s="1"/>
  <c r="AO54" i="2" a="1"/>
  <c r="AO54" i="2" s="1"/>
  <c r="BT61" i="2" a="1"/>
  <c r="BT61" i="2" s="1"/>
  <c r="BF66" i="2" a="1"/>
  <c r="BF66" i="2" s="1"/>
  <c r="BL61" i="2" a="1"/>
  <c r="BL61" i="2" s="1"/>
  <c r="AS39" i="2" a="1"/>
  <c r="AS39" i="2" s="1"/>
  <c r="AQ39" i="2" a="1"/>
  <c r="AQ39" i="2" s="1"/>
  <c r="AO39" i="2" a="1"/>
  <c r="AO39" i="2" s="1"/>
  <c r="AR39" i="2" a="1"/>
  <c r="AR39" i="2" s="1"/>
  <c r="AP39" i="2" a="1"/>
  <c r="AP39" i="2" s="1"/>
  <c r="CZ24" i="2" a="1"/>
  <c r="CZ24" i="2" s="1"/>
  <c r="BL24" i="2" a="1"/>
  <c r="BL24" i="2" s="1"/>
  <c r="CW24" i="2" s="1" a="1"/>
  <c r="CW24" i="2" s="1"/>
  <c r="CO21" i="2" a="1"/>
  <c r="CO21" i="2" s="1"/>
  <c r="CP33" i="2" a="1"/>
  <c r="CP33" i="2" s="1"/>
  <c r="CQ33" i="2" s="1" a="1"/>
  <c r="CQ33" i="2" s="1"/>
  <c r="CZ27" i="2" a="1"/>
  <c r="CZ27" i="2" s="1"/>
  <c r="BL27" i="2" a="1"/>
  <c r="BL27" i="2" s="1"/>
  <c r="CW27" i="2" s="1" a="1"/>
  <c r="CW27" i="2" s="1"/>
  <c r="CA33" i="2" a="1"/>
  <c r="CA33" i="2" s="1"/>
  <c r="CB34" i="2" a="1"/>
  <c r="CB34" i="2" s="1"/>
  <c r="CC34" i="2" s="1" a="1"/>
  <c r="CC34" i="2" s="1"/>
  <c r="BF48" i="2" a="1"/>
  <c r="BF48" i="2" s="1"/>
  <c r="BO48" i="2" s="1" a="1"/>
  <c r="BO48" i="2" s="1"/>
  <c r="BE48" i="2" a="1"/>
  <c r="BE48" i="2" s="1"/>
  <c r="BR48" i="2" s="1" a="1"/>
  <c r="BR48" i="2" s="1"/>
  <c r="CO44" i="2" a="1"/>
  <c r="CO44" i="2" s="1"/>
  <c r="CQ44" i="2" s="1" a="1"/>
  <c r="CQ44" i="2" s="1"/>
  <c r="BF40" i="2" a="1"/>
  <c r="BF40" i="2" s="1"/>
  <c r="BO40" i="2" s="1" a="1"/>
  <c r="BO40" i="2" s="1"/>
  <c r="BE40" i="2" a="1"/>
  <c r="BE40" i="2" s="1"/>
  <c r="BR40" i="2" s="1" a="1"/>
  <c r="BR40" i="2" s="1"/>
  <c r="BE41" i="2" a="1"/>
  <c r="BE41" i="2" s="1"/>
  <c r="BR41" i="2" s="1" a="1"/>
  <c r="BR41" i="2" s="1"/>
  <c r="BF41" i="2" a="1"/>
  <c r="BF41" i="2" s="1"/>
  <c r="BO41" i="2" s="1" a="1"/>
  <c r="BO41" i="2" s="1"/>
  <c r="CB50" i="2" a="1"/>
  <c r="CB50" i="2" s="1"/>
  <c r="CC50" i="2" s="1" a="1"/>
  <c r="CC50" i="2" s="1"/>
  <c r="BL50" i="2" a="1"/>
  <c r="BL50" i="2" s="1"/>
  <c r="CW50" i="2" s="1" a="1"/>
  <c r="CW50" i="2" s="1"/>
  <c r="CZ50" i="2" a="1"/>
  <c r="CZ50" i="2" s="1"/>
  <c r="CB53" i="2" a="1"/>
  <c r="CB53" i="2" s="1"/>
  <c r="CC53" i="2" s="1" a="1"/>
  <c r="CC53" i="2" s="1"/>
  <c r="CL13" i="2" a="1"/>
  <c r="CL13" i="2" s="1"/>
  <c r="AQ23" i="2" a="1"/>
  <c r="AQ23" i="2" s="1"/>
  <c r="AP23" i="2" a="1"/>
  <c r="AP23" i="2" s="1"/>
  <c r="AO23" i="2" a="1"/>
  <c r="AO23" i="2" s="1"/>
  <c r="AR23" i="2" a="1"/>
  <c r="AR23" i="2" s="1"/>
  <c r="AS23" i="2" a="1"/>
  <c r="AS23" i="2" s="1"/>
  <c r="BL16" i="2" a="1"/>
  <c r="BL16" i="2" s="1"/>
  <c r="CW16" i="2" s="1" a="1"/>
  <c r="CW16" i="2" s="1"/>
  <c r="CZ16" i="2" a="1"/>
  <c r="CZ16" i="2" s="1"/>
  <c r="CZ10" i="2" a="1"/>
  <c r="CZ10" i="2" s="1"/>
  <c r="BL10" i="2" a="1"/>
  <c r="BL10" i="2" s="1"/>
  <c r="CW10" i="2" s="1" a="1"/>
  <c r="CW10" i="2" s="1"/>
  <c r="BL17" i="2" a="1"/>
  <c r="BL17" i="2" s="1"/>
  <c r="CW17" i="2" s="1" a="1"/>
  <c r="CW17" i="2" s="1"/>
  <c r="CZ17" i="2" a="1"/>
  <c r="CZ17" i="2" s="1"/>
  <c r="BL26" i="2" a="1"/>
  <c r="BL26" i="2" s="1"/>
  <c r="CW26" i="2" s="1" a="1"/>
  <c r="CW26" i="2" s="1"/>
  <c r="CZ26" i="2" a="1"/>
  <c r="CZ26" i="2" s="1"/>
  <c r="B220" i="3" a="1"/>
  <c r="B220" i="3" s="1"/>
  <c r="C210" i="3" a="1"/>
  <c r="C210" i="3" s="1"/>
  <c r="C220" i="3" a="1"/>
  <c r="C220" i="3" s="1"/>
  <c r="AP95" i="2" a="1"/>
  <c r="AP95" i="2" s="1"/>
  <c r="AO95" i="2" a="1"/>
  <c r="AO95" i="2" s="1"/>
  <c r="AS95" i="2" a="1"/>
  <c r="AS95" i="2" s="1"/>
  <c r="AR95" i="2" a="1"/>
  <c r="AR95" i="2" s="1"/>
  <c r="AQ95" i="2" a="1"/>
  <c r="AQ95" i="2" s="1"/>
  <c r="BT64" i="2" a="1"/>
  <c r="BT64" i="2" s="1"/>
  <c r="BF68" i="2" a="1"/>
  <c r="BF68" i="2" s="1"/>
  <c r="BF61" i="2" a="1"/>
  <c r="BF61" i="2" s="1"/>
  <c r="H45" i="4" a="1"/>
  <c r="H45" i="4" s="1"/>
  <c r="CZ9" i="2" a="1"/>
  <c r="CZ9" i="2" s="1"/>
  <c r="BL9" i="2" a="1"/>
  <c r="BL9" i="2" s="1"/>
  <c r="CW9" i="2" s="1" a="1"/>
  <c r="CW9" i="2" s="1"/>
  <c r="CB22" i="2" a="1"/>
  <c r="CB22" i="2" s="1"/>
  <c r="CC22" i="2" s="1" a="1"/>
  <c r="CC22" i="2" s="1"/>
  <c r="BE28" i="2" a="1"/>
  <c r="BE28" i="2" s="1"/>
  <c r="BR28" i="2" s="1" a="1"/>
  <c r="BR28" i="2" s="1"/>
  <c r="BF28" i="2" a="1"/>
  <c r="BF28" i="2" s="1"/>
  <c r="BO28" i="2" s="1" a="1"/>
  <c r="BO28" i="2" s="1"/>
  <c r="CZ31" i="2" a="1"/>
  <c r="CZ31" i="2" s="1"/>
  <c r="BL31" i="2" a="1"/>
  <c r="BL31" i="2" s="1"/>
  <c r="CW31" i="2" s="1" a="1"/>
  <c r="CW31" i="2" s="1"/>
  <c r="CP34" i="2" a="1"/>
  <c r="CP34" i="2" s="1"/>
  <c r="CP41" i="2" a="1"/>
  <c r="CP41" i="2" s="1"/>
  <c r="CQ41" i="2" s="1" a="1"/>
  <c r="CQ41" i="2" s="1"/>
  <c r="BL45" i="2" a="1"/>
  <c r="BL45" i="2" s="1"/>
  <c r="CW45" i="2" s="1" a="1"/>
  <c r="CW45" i="2" s="1"/>
  <c r="CZ45" i="2" a="1"/>
  <c r="CZ45" i="2" s="1"/>
  <c r="CO50" i="2" a="1"/>
  <c r="CO50" i="2" s="1"/>
  <c r="CQ50" i="2" s="1" a="1"/>
  <c r="CQ50" i="2" s="1"/>
  <c r="BF52" i="2" a="1"/>
  <c r="BF52" i="2" s="1"/>
  <c r="BO52" i="2" s="1" a="1"/>
  <c r="BO52" i="2" s="1"/>
  <c r="BE52" i="2" a="1"/>
  <c r="BE52" i="2" s="1"/>
  <c r="BR52" i="2" s="1" a="1"/>
  <c r="BR52" i="2" s="1"/>
  <c r="BF53" i="2" a="1"/>
  <c r="BF53" i="2" s="1"/>
  <c r="BO53" i="2" s="1" a="1"/>
  <c r="BO53" i="2" s="1"/>
  <c r="BE53" i="2" a="1"/>
  <c r="BE53" i="2" s="1"/>
  <c r="BR53" i="2" s="1" a="1"/>
  <c r="BR53" i="2" s="1"/>
  <c r="CP53" i="2" a="1"/>
  <c r="CP53" i="2" s="1"/>
  <c r="CQ53" i="2" s="1" a="1"/>
  <c r="CQ53" i="2" s="1"/>
  <c r="CL16" i="2" a="1"/>
  <c r="CL16" i="2" s="1"/>
  <c r="AS81" i="2" a="1"/>
  <c r="AS81" i="2" s="1"/>
  <c r="AO81" i="2" a="1"/>
  <c r="AO81" i="2" s="1"/>
  <c r="AR81" i="2" a="1"/>
  <c r="AR81" i="2" s="1"/>
  <c r="AQ81" i="2" a="1"/>
  <c r="AQ81" i="2" s="1"/>
  <c r="AP81" i="2" a="1"/>
  <c r="AP81" i="2" s="1"/>
  <c r="BF15" i="2" a="1"/>
  <c r="BF15" i="2" s="1"/>
  <c r="BO15" i="2" s="1" a="1"/>
  <c r="BO15" i="2" s="1"/>
  <c r="BE15" i="2" a="1"/>
  <c r="BE15" i="2" s="1"/>
  <c r="BR15" i="2" s="1" a="1"/>
  <c r="BR15" i="2" s="1"/>
  <c r="BE8" i="2" a="1"/>
  <c r="BE8" i="2" s="1"/>
  <c r="BF8" i="2" a="1"/>
  <c r="BF8" i="2" s="1"/>
  <c r="BF9" i="2" a="1"/>
  <c r="BF9" i="2" s="1"/>
  <c r="BO9" i="2" s="1" a="1"/>
  <c r="BO9" i="2" s="1"/>
  <c r="BE9" i="2" a="1"/>
  <c r="BE9" i="2" s="1"/>
  <c r="BR9" i="2" s="1" a="1"/>
  <c r="BR9" i="2" s="1"/>
  <c r="AO6" i="2" a="1"/>
  <c r="AO6" i="2" s="1"/>
  <c r="BT59" i="2" a="1"/>
  <c r="BT59" i="2" s="1"/>
  <c r="CZ30" i="2" a="1"/>
  <c r="CZ30" i="2" s="1"/>
  <c r="BL30" i="2" a="1"/>
  <c r="BL30" i="2" s="1"/>
  <c r="CW30" i="2" s="1" a="1"/>
  <c r="CW30" i="2" s="1"/>
  <c r="BF13" i="2" a="1"/>
  <c r="BF13" i="2" s="1"/>
  <c r="BO13" i="2" s="1" a="1"/>
  <c r="BO13" i="2" s="1"/>
  <c r="BE13" i="2" a="1"/>
  <c r="BE13" i="2" s="1"/>
  <c r="BR13" i="2" s="1" a="1"/>
  <c r="BR13" i="2" s="1"/>
  <c r="BN43" i="4" a="1"/>
  <c r="BN43" i="4" s="1"/>
  <c r="BN51" i="4" a="1"/>
  <c r="BN51" i="4" s="1"/>
  <c r="BN40" i="4" a="1"/>
  <c r="BN40" i="4" s="1"/>
  <c r="BN33" i="4" a="1"/>
  <c r="BN33" i="4" s="1"/>
  <c r="BN27" i="4" a="1"/>
  <c r="BN27" i="4" s="1"/>
  <c r="BN23" i="4" a="1"/>
  <c r="BN23" i="4" s="1"/>
  <c r="BN48" i="4" a="1"/>
  <c r="BN48" i="4" s="1"/>
  <c r="BN47" i="4" a="1"/>
  <c r="BN47" i="4" s="1"/>
  <c r="BN38" i="4" a="1"/>
  <c r="BN38" i="4" s="1"/>
  <c r="BN50" i="4" a="1"/>
  <c r="BN50" i="4" s="1"/>
  <c r="BN46" i="4" a="1"/>
  <c r="BN46" i="4" s="1"/>
  <c r="BN26" i="4" a="1"/>
  <c r="BN26" i="4" s="1"/>
  <c r="BN24" i="4" a="1"/>
  <c r="BN24" i="4" s="1"/>
  <c r="BN34" i="4" a="1"/>
  <c r="BN34" i="4" s="1"/>
  <c r="BN49" i="4" a="1"/>
  <c r="BN49" i="4" s="1"/>
  <c r="BN41" i="4" a="1"/>
  <c r="BN41" i="4" s="1"/>
  <c r="BN19" i="4" a="1"/>
  <c r="BN19" i="4" s="1"/>
  <c r="BN29" i="4" a="1"/>
  <c r="BN29" i="4" s="1"/>
  <c r="BN42" i="4" a="1"/>
  <c r="BN42" i="4" s="1"/>
  <c r="BN20" i="4" a="1"/>
  <c r="BN20" i="4" s="1"/>
  <c r="BN45" i="4" a="1"/>
  <c r="BN45" i="4" s="1"/>
  <c r="BN37" i="4" a="1"/>
  <c r="BN37" i="4" s="1"/>
  <c r="BN17" i="4" a="1"/>
  <c r="BN17" i="4" s="1"/>
  <c r="BN39" i="4" a="1"/>
  <c r="BN39" i="4" s="1"/>
  <c r="BN44" i="4" a="1"/>
  <c r="BN44" i="4" s="1"/>
  <c r="BN7" i="4" a="1"/>
  <c r="BN7" i="4" s="1"/>
  <c r="BN8" i="4" a="1"/>
  <c r="BN8" i="4" s="1"/>
  <c r="BN12" i="4" a="1"/>
  <c r="BN12" i="4" s="1"/>
  <c r="BN15" i="4" a="1"/>
  <c r="BN15" i="4" s="1"/>
  <c r="BN10" i="4" a="1"/>
  <c r="BN10" i="4" s="1"/>
  <c r="BN32" i="4" a="1"/>
  <c r="BN32" i="4" s="1"/>
  <c r="BN36" i="4" a="1"/>
  <c r="BN36" i="4" s="1"/>
  <c r="BN30" i="4" a="1"/>
  <c r="BN30" i="4" s="1"/>
  <c r="BN25" i="4" a="1"/>
  <c r="BN25" i="4" s="1"/>
  <c r="BN13" i="4" a="1"/>
  <c r="BN13" i="4" s="1"/>
  <c r="BN35" i="4" a="1"/>
  <c r="BN35" i="4" s="1"/>
  <c r="BN31" i="4" a="1"/>
  <c r="BN31" i="4" s="1"/>
  <c r="BN14" i="4" a="1"/>
  <c r="BN14" i="4" s="1"/>
  <c r="BN22" i="4" a="1"/>
  <c r="BN22" i="4" s="1"/>
  <c r="BN28" i="4" a="1"/>
  <c r="BN28" i="4" s="1"/>
  <c r="BN21" i="4" a="1"/>
  <c r="BN21" i="4" s="1"/>
  <c r="BN4" i="4" a="1"/>
  <c r="BN4" i="4" s="1"/>
  <c r="BN18" i="4" a="1"/>
  <c r="BN18" i="4" s="1"/>
  <c r="BN5" i="4" a="1"/>
  <c r="BN5" i="4" s="1"/>
  <c r="BN6" i="4" a="1"/>
  <c r="BN6" i="4" s="1"/>
  <c r="BN16" i="4" a="1"/>
  <c r="BN16" i="4" s="1"/>
  <c r="BN11" i="4" a="1"/>
  <c r="BN11" i="4" s="1"/>
  <c r="BN9" i="4" a="1"/>
  <c r="BN9" i="4" s="1"/>
  <c r="AE28" i="4" a="1"/>
  <c r="AE28" i="4" s="1"/>
  <c r="BT58" i="2" a="1"/>
  <c r="BT58" i="2" s="1"/>
  <c r="BU58" i="2" s="1" a="1"/>
  <c r="BU58" i="2" s="1"/>
  <c r="BL67" i="2" a="1"/>
  <c r="BL67" i="2" s="1"/>
  <c r="BT69" i="2" a="1"/>
  <c r="BT69" i="2" s="1"/>
  <c r="BU69" i="2" s="1" a="1"/>
  <c r="BU69" i="2" s="1"/>
  <c r="BX11" i="2" a="1"/>
  <c r="BX11" i="2" s="1"/>
  <c r="CZ7" i="2" a="1"/>
  <c r="CZ7" i="2" s="1"/>
  <c r="BL7" i="2" a="1"/>
  <c r="BL7" i="2" s="1"/>
  <c r="CW7" i="2" s="1" a="1"/>
  <c r="CW7" i="2" s="1"/>
  <c r="T22" i="4" a="1"/>
  <c r="T22" i="4" s="1"/>
  <c r="T5" i="4" a="1"/>
  <c r="T5" i="4" s="1"/>
  <c r="CC11" i="2" a="1"/>
  <c r="CC11" i="2" s="1"/>
  <c r="AR17" i="2" a="1"/>
  <c r="AR17" i="2" s="1"/>
  <c r="AS17" i="2" a="1"/>
  <c r="AS17" i="2" s="1"/>
  <c r="AQ17" i="2" a="1"/>
  <c r="AQ17" i="2" s="1"/>
  <c r="AP17" i="2" a="1"/>
  <c r="AP17" i="2" s="1"/>
  <c r="AO17" i="2" a="1"/>
  <c r="AO17" i="2" s="1"/>
  <c r="CL31" i="2" a="1"/>
  <c r="CL31" i="2" s="1"/>
  <c r="BF36" i="2" a="1"/>
  <c r="BF36" i="2" s="1"/>
  <c r="BO36" i="2" s="1" a="1"/>
  <c r="BO36" i="2" s="1"/>
  <c r="BE36" i="2" a="1"/>
  <c r="BE36" i="2" s="1"/>
  <c r="BR36" i="2" s="1" a="1"/>
  <c r="BR36" i="2" s="1"/>
  <c r="CB36" i="2" a="1"/>
  <c r="CB36" i="2" s="1"/>
  <c r="CC36" i="2" s="1" a="1"/>
  <c r="CC36" i="2" s="1"/>
  <c r="CZ39" i="2" a="1"/>
  <c r="CZ39" i="2" s="1"/>
  <c r="BL39" i="2" a="1"/>
  <c r="BL39" i="2" s="1"/>
  <c r="CW39" i="2" s="1" a="1"/>
  <c r="CW39" i="2" s="1"/>
  <c r="CZ34" i="2" a="1"/>
  <c r="CZ34" i="2" s="1"/>
  <c r="BL34" i="2" a="1"/>
  <c r="BL34" i="2" s="1"/>
  <c r="CW34" i="2" s="1" a="1"/>
  <c r="CW34" i="2" s="1"/>
  <c r="BF42" i="2" a="1"/>
  <c r="BF42" i="2" s="1"/>
  <c r="AN78" i="2" s="1" a="1"/>
  <c r="AN78" i="2" s="1"/>
  <c r="BE42" i="2" a="1"/>
  <c r="BE42" i="2" s="1"/>
  <c r="BR42" i="2" s="1" a="1"/>
  <c r="BR42" i="2" s="1"/>
  <c r="CA42" i="2" a="1"/>
  <c r="CA42" i="2" s="1"/>
  <c r="CC42" i="2" s="1" a="1"/>
  <c r="CC42" i="2" s="1"/>
  <c r="CZ42" i="2" a="1"/>
  <c r="CZ42" i="2" s="1"/>
  <c r="BL42" i="2" a="1"/>
  <c r="BL42" i="2" s="1"/>
  <c r="CW42" i="2" s="1" a="1"/>
  <c r="CW42" i="2" s="1"/>
  <c r="CA49" i="2" a="1"/>
  <c r="CA49" i="2" s="1"/>
  <c r="CC49" i="2" s="1" a="1"/>
  <c r="CC49" i="2" s="1"/>
  <c r="AO22" i="2" a="1"/>
  <c r="AO22" i="2" s="1"/>
  <c r="AQ22" i="2" a="1"/>
  <c r="AQ22" i="2" s="1"/>
  <c r="AP22" i="2" a="1"/>
  <c r="AP22" i="2" s="1"/>
  <c r="AS22" i="2" a="1"/>
  <c r="AS22" i="2" s="1"/>
  <c r="AR22" i="2" a="1"/>
  <c r="AR22" i="2" s="1"/>
  <c r="CB15" i="2" a="1"/>
  <c r="CB15" i="2" s="1"/>
  <c r="CC15" i="2" s="1" a="1"/>
  <c r="CC15" i="2" s="1"/>
  <c r="AS33" i="2" a="1"/>
  <c r="AS33" i="2" s="1"/>
  <c r="AR33" i="2" a="1"/>
  <c r="AR33" i="2" s="1"/>
  <c r="AQ33" i="2" a="1"/>
  <c r="AQ33" i="2" s="1"/>
  <c r="AP33" i="2" a="1"/>
  <c r="AP33" i="2" s="1"/>
  <c r="AO33" i="2" a="1"/>
  <c r="AO33" i="2" s="1"/>
  <c r="AS57" i="2" a="1"/>
  <c r="AS57" i="2" s="1"/>
  <c r="AP57" i="2" a="1"/>
  <c r="AP57" i="2" s="1"/>
  <c r="AO57" i="2" a="1"/>
  <c r="AO57" i="2" s="1"/>
  <c r="AR57" i="2" a="1"/>
  <c r="AR57" i="2" s="1"/>
  <c r="AQ57" i="2" a="1"/>
  <c r="AQ57" i="2" s="1"/>
  <c r="AR56" i="2" a="1"/>
  <c r="AR56" i="2" s="1"/>
  <c r="AP56" i="2" a="1"/>
  <c r="AP56" i="2" s="1"/>
  <c r="AO56" i="2" a="1"/>
  <c r="AO56" i="2" s="1"/>
  <c r="AS56" i="2" a="1"/>
  <c r="AS56" i="2" s="1"/>
  <c r="AQ56" i="2" a="1"/>
  <c r="AQ56" i="2" s="1"/>
  <c r="BX10" i="2" a="1"/>
  <c r="BX10" i="2" s="1"/>
  <c r="BF29" i="2" a="1"/>
  <c r="BF29" i="2" s="1"/>
  <c r="BO29" i="2" s="1" a="1"/>
  <c r="BO29" i="2" s="1"/>
  <c r="BE29" i="2" a="1"/>
  <c r="BE29" i="2" s="1"/>
  <c r="BR29" i="2" s="1" a="1"/>
  <c r="BR29" i="2" s="1"/>
  <c r="CC23" i="2" a="1"/>
  <c r="CC23" i="2" s="1"/>
  <c r="BF37" i="2" a="1"/>
  <c r="BF37" i="2" s="1"/>
  <c r="BO37" i="2" s="1" a="1"/>
  <c r="BO37" i="2" s="1"/>
  <c r="BE37" i="2" a="1"/>
  <c r="BE37" i="2" s="1"/>
  <c r="BR37" i="2" s="1" a="1"/>
  <c r="BR37" i="2" s="1"/>
  <c r="CL36" i="2" a="1"/>
  <c r="CL36" i="2" s="1"/>
  <c r="BX43" i="2" a="1"/>
  <c r="BX43" i="2" s="1"/>
  <c r="BL18" i="2" a="1"/>
  <c r="BL18" i="2" s="1"/>
  <c r="CW18" i="2" s="1" a="1"/>
  <c r="CW18" i="2" s="1"/>
  <c r="CZ18" i="2" a="1"/>
  <c r="CZ18" i="2" s="1"/>
  <c r="CL12" i="2" a="1"/>
  <c r="CL12" i="2" s="1"/>
  <c r="AP25" i="2" a="1"/>
  <c r="AP25" i="2" s="1"/>
  <c r="AS25" i="2" a="1"/>
  <c r="AS25" i="2" s="1"/>
  <c r="AR25" i="2" a="1"/>
  <c r="AR25" i="2" s="1"/>
  <c r="AQ25" i="2" a="1"/>
  <c r="AQ25" i="2" s="1"/>
  <c r="AO25" i="2" a="1"/>
  <c r="AO25" i="2" s="1"/>
  <c r="CP14" i="2" a="1"/>
  <c r="CP14" i="2" s="1"/>
  <c r="CQ14" i="2" s="1" a="1"/>
  <c r="CQ14" i="2" s="1"/>
  <c r="CZ13" i="2" a="1"/>
  <c r="CZ13" i="2" s="1"/>
  <c r="BL13" i="2" a="1"/>
  <c r="BL13" i="2" s="1"/>
  <c r="CW13" i="2" s="1" a="1"/>
  <c r="CW13" i="2" s="1"/>
  <c r="AO8" i="2" a="1"/>
  <c r="AO8" i="2" s="1"/>
  <c r="CQ11" i="2" a="1"/>
  <c r="CQ11" i="2" s="1"/>
  <c r="CL21" i="2" a="1"/>
  <c r="CL21" i="2" s="1"/>
  <c r="BF24" i="2" a="1"/>
  <c r="BF24" i="2" s="1"/>
  <c r="BO24" i="2" s="1" a="1"/>
  <c r="BO24" i="2" s="1"/>
  <c r="BE24" i="2" a="1"/>
  <c r="BE24" i="2" s="1"/>
  <c r="BR24" i="2" s="1" a="1"/>
  <c r="BR24" i="2" s="1"/>
  <c r="BO51" i="4" a="1"/>
  <c r="BO51" i="4" s="1"/>
  <c r="BO42" i="4" a="1"/>
  <c r="BO42" i="4" s="1"/>
  <c r="BO40" i="4" a="1"/>
  <c r="BO40" i="4" s="1"/>
  <c r="BO44" i="4" a="1"/>
  <c r="BO44" i="4" s="1"/>
  <c r="BO50" i="4" a="1"/>
  <c r="BO50" i="4" s="1"/>
  <c r="BO49" i="4" a="1"/>
  <c r="BO49" i="4" s="1"/>
  <c r="BO48" i="4" a="1"/>
  <c r="BO48" i="4" s="1"/>
  <c r="BO47" i="4" a="1"/>
  <c r="BO47" i="4" s="1"/>
  <c r="BO46" i="4" a="1"/>
  <c r="BO46" i="4" s="1"/>
  <c r="BO43" i="4" a="1"/>
  <c r="BO43" i="4" s="1"/>
  <c r="BO26" i="4" a="1"/>
  <c r="BO26" i="4" s="1"/>
  <c r="BO24" i="4" a="1"/>
  <c r="BO24" i="4" s="1"/>
  <c r="BO20" i="4" a="1"/>
  <c r="BO20" i="4" s="1"/>
  <c r="BO34" i="4" a="1"/>
  <c r="BO34" i="4" s="1"/>
  <c r="BO31" i="4" a="1"/>
  <c r="BO31" i="4" s="1"/>
  <c r="BO22" i="4" a="1"/>
  <c r="BO22" i="4" s="1"/>
  <c r="BO30" i="4" a="1"/>
  <c r="BO30" i="4" s="1"/>
  <c r="BO45" i="4" a="1"/>
  <c r="BO45" i="4" s="1"/>
  <c r="BO41" i="4" a="1"/>
  <c r="BO41" i="4" s="1"/>
  <c r="BO23" i="4" a="1"/>
  <c r="BO23" i="4" s="1"/>
  <c r="BO17" i="4" a="1"/>
  <c r="BO17" i="4" s="1"/>
  <c r="BO15" i="4" a="1"/>
  <c r="BO15" i="4" s="1"/>
  <c r="BO37" i="4" a="1"/>
  <c r="BO37" i="4" s="1"/>
  <c r="BO35" i="4" a="1"/>
  <c r="BO35" i="4" s="1"/>
  <c r="BO21" i="4" a="1"/>
  <c r="BO21" i="4" s="1"/>
  <c r="BO39" i="4" a="1"/>
  <c r="BO39" i="4" s="1"/>
  <c r="BO33" i="4" a="1"/>
  <c r="BO33" i="4" s="1"/>
  <c r="BO27" i="4" a="1"/>
  <c r="BO27" i="4" s="1"/>
  <c r="BO29" i="4" a="1"/>
  <c r="BO29" i="4" s="1"/>
  <c r="BO12" i="4" a="1"/>
  <c r="BO12" i="4" s="1"/>
  <c r="BO10" i="4" a="1"/>
  <c r="BO10" i="4" s="1"/>
  <c r="BO18" i="4" a="1"/>
  <c r="BO18" i="4" s="1"/>
  <c r="BO14" i="4" a="1"/>
  <c r="BO14" i="4" s="1"/>
  <c r="BO9" i="4" a="1"/>
  <c r="BO9" i="4" s="1"/>
  <c r="BO32" i="4" a="1"/>
  <c r="BO32" i="4" s="1"/>
  <c r="BO36" i="4" a="1"/>
  <c r="BO36" i="4" s="1"/>
  <c r="BO19" i="4" a="1"/>
  <c r="BO19" i="4" s="1"/>
  <c r="BO16" i="4" a="1"/>
  <c r="BO16" i="4" s="1"/>
  <c r="BO13" i="4" a="1"/>
  <c r="BO13" i="4" s="1"/>
  <c r="BO38" i="4" a="1"/>
  <c r="BO38" i="4" s="1"/>
  <c r="BO28" i="4" a="1"/>
  <c r="BO28" i="4" s="1"/>
  <c r="BO11" i="4" a="1"/>
  <c r="BO11" i="4" s="1"/>
  <c r="BO25" i="4" a="1"/>
  <c r="BO25" i="4" s="1"/>
  <c r="BO5" i="4" a="1"/>
  <c r="BO5" i="4" s="1"/>
  <c r="BO6" i="4" a="1"/>
  <c r="BO6" i="4" s="1"/>
  <c r="BO8" i="4" a="1"/>
  <c r="BO8" i="4" s="1"/>
  <c r="BO7" i="4" a="1"/>
  <c r="BO7" i="4" s="1"/>
  <c r="BO4" i="4" a="1"/>
  <c r="BO4" i="4" s="1"/>
  <c r="AS73" i="2" a="1"/>
  <c r="AS73" i="2" s="1"/>
  <c r="AR73" i="2" a="1"/>
  <c r="AR73" i="2" s="1"/>
  <c r="AP73" i="2" a="1"/>
  <c r="AP73" i="2" s="1"/>
  <c r="AO73" i="2" a="1"/>
  <c r="AO73" i="2" s="1"/>
  <c r="AQ73" i="2" a="1"/>
  <c r="AQ73" i="2" s="1"/>
  <c r="BX21" i="2" a="1"/>
  <c r="BX21" i="2" s="1"/>
  <c r="BF30" i="2" a="1"/>
  <c r="BF30" i="2" s="1"/>
  <c r="AN54" i="2" s="1" a="1"/>
  <c r="AN54" i="2" s="1"/>
  <c r="BE30" i="2" a="1"/>
  <c r="BE30" i="2" s="1"/>
  <c r="BR30" i="2" s="1" a="1"/>
  <c r="BR30" i="2" s="1"/>
  <c r="BF25" i="2" a="1"/>
  <c r="BF25" i="2" s="1"/>
  <c r="BO25" i="2" s="1" a="1"/>
  <c r="BO25" i="2" s="1"/>
  <c r="BE25" i="2" a="1"/>
  <c r="BE25" i="2" s="1"/>
  <c r="BR25" i="2" s="1" a="1"/>
  <c r="BR25" i="2" s="1"/>
  <c r="CO40" i="2" a="1"/>
  <c r="CO40" i="2" s="1"/>
  <c r="CQ40" i="2" s="1" a="1"/>
  <c r="CQ40" i="2" s="1"/>
  <c r="BF34" i="2" a="1"/>
  <c r="BF34" i="2" s="1"/>
  <c r="BE34" i="2" a="1"/>
  <c r="BE34" i="2" s="1"/>
  <c r="BR34" i="2" s="1" a="1"/>
  <c r="BR34" i="2" s="1"/>
  <c r="CZ40" i="2" a="1"/>
  <c r="CZ40" i="2" s="1"/>
  <c r="BL40" i="2" a="1"/>
  <c r="BL40" i="2" s="1"/>
  <c r="CW40" i="2" s="1" a="1"/>
  <c r="CW40" i="2" s="1"/>
  <c r="CZ43" i="2" a="1"/>
  <c r="CZ43" i="2" s="1"/>
  <c r="BL43" i="2" a="1"/>
  <c r="BL43" i="2" s="1"/>
  <c r="CW43" i="2" s="1" a="1"/>
  <c r="CW43" i="2" s="1"/>
  <c r="CZ44" i="2" a="1"/>
  <c r="CZ44" i="2" s="1"/>
  <c r="BL44" i="2" a="1"/>
  <c r="BL44" i="2" s="1"/>
  <c r="CW44" i="2" s="1" a="1"/>
  <c r="CW44" i="2" s="1"/>
  <c r="BF43" i="2" a="1"/>
  <c r="BF43" i="2" s="1"/>
  <c r="BO43" i="2" s="1" a="1"/>
  <c r="BO43" i="2" s="1"/>
  <c r="BE43" i="2" a="1"/>
  <c r="BE43" i="2" s="1"/>
  <c r="BR43" i="2" s="1" a="1"/>
  <c r="BR43" i="2" s="1"/>
  <c r="CL51" i="2" a="1"/>
  <c r="CL51" i="2" s="1"/>
  <c r="BF17" i="2" a="1"/>
  <c r="BF17" i="2" s="1"/>
  <c r="BO17" i="2" s="1" a="1"/>
  <c r="BO17" i="2" s="1"/>
  <c r="BE17" i="2" a="1"/>
  <c r="BE17" i="2" s="1"/>
  <c r="BR17" i="2" s="1" a="1"/>
  <c r="BR17" i="2" s="1"/>
  <c r="CO19" i="2" a="1"/>
  <c r="CO19" i="2" s="1"/>
  <c r="CQ19" i="2" s="1" a="1"/>
  <c r="CQ19" i="2" s="1"/>
  <c r="BE22" i="2" a="1"/>
  <c r="BE22" i="2" s="1"/>
  <c r="BR22" i="2" s="1" a="1"/>
  <c r="BR22" i="2" s="1"/>
  <c r="BF22" i="2" a="1"/>
  <c r="BF22" i="2" s="1"/>
  <c r="AN38" i="2" s="1" a="1"/>
  <c r="AN38" i="2" s="1"/>
  <c r="AP38" i="2" a="1"/>
  <c r="AP38" i="2" s="1"/>
  <c r="AS38" i="2" a="1"/>
  <c r="AS38" i="2" s="1"/>
  <c r="AR38" i="2" a="1"/>
  <c r="AR38" i="2" s="1"/>
  <c r="AQ38" i="2" a="1"/>
  <c r="AQ38" i="2" s="1"/>
  <c r="AO38" i="2" a="1"/>
  <c r="AO38" i="2" s="1"/>
  <c r="BJ64" i="2" a="1"/>
  <c r="BJ64" i="2" s="1"/>
  <c r="BL64" i="2" s="1" a="1"/>
  <c r="BL64" i="2" s="1"/>
  <c r="AO79" i="2" a="1"/>
  <c r="AO79" i="2" s="1"/>
  <c r="AQ79" i="2" a="1"/>
  <c r="AQ79" i="2" s="1"/>
  <c r="AP79" i="2" a="1"/>
  <c r="AP79" i="2" s="1"/>
  <c r="AS79" i="2" a="1"/>
  <c r="AS79" i="2" s="1"/>
  <c r="AR79" i="2" a="1"/>
  <c r="AR79" i="2" s="1"/>
  <c r="CZ14" i="2" a="1"/>
  <c r="CZ14" i="2" s="1"/>
  <c r="BL14" i="2" a="1"/>
  <c r="BL14" i="2" s="1"/>
  <c r="CW14" i="2" s="1" a="1"/>
  <c r="CW14" i="2" s="1"/>
  <c r="BE20" i="2" a="1"/>
  <c r="BE20" i="2" s="1"/>
  <c r="BR20" i="2" s="1" a="1"/>
  <c r="BR20" i="2" s="1"/>
  <c r="BF20" i="2" a="1"/>
  <c r="BF20" i="2" s="1"/>
  <c r="BO20" i="2" s="1" a="1"/>
  <c r="BO20" i="2" s="1"/>
  <c r="AQ7" i="2" a="1"/>
  <c r="AQ7" i="2" s="1"/>
  <c r="AP7" i="2" a="1"/>
  <c r="AP7" i="2" s="1"/>
  <c r="AO7" i="2" a="1"/>
  <c r="AO7" i="2" s="1"/>
  <c r="AS7" i="2" a="1"/>
  <c r="AS7" i="2" s="1"/>
  <c r="AR7" i="2" a="1"/>
  <c r="AR7" i="2" s="1"/>
  <c r="BL28" i="2" a="1"/>
  <c r="BL28" i="2" s="1"/>
  <c r="CW28" i="2" s="1" a="1"/>
  <c r="CW28" i="2" s="1"/>
  <c r="CZ28" i="2" a="1"/>
  <c r="CZ28" i="2" s="1"/>
  <c r="BX32" i="2" a="1"/>
  <c r="BX32" i="2" s="1"/>
  <c r="AE17" i="4" a="1"/>
  <c r="AE17" i="4" s="1"/>
  <c r="BT60" i="2" a="1"/>
  <c r="BT60" i="2" s="1"/>
  <c r="AR40" i="2" a="1"/>
  <c r="AR40" i="2" s="1"/>
  <c r="AP40" i="2" a="1"/>
  <c r="AP40" i="2" s="1"/>
  <c r="AO40" i="2" a="1"/>
  <c r="AO40" i="2" s="1"/>
  <c r="AS40" i="2" a="1"/>
  <c r="AS40" i="2" s="1"/>
  <c r="AQ40" i="2" a="1"/>
  <c r="AQ40" i="2" s="1"/>
  <c r="BX8" i="2" a="1"/>
  <c r="BX8" i="2" s="1"/>
  <c r="C203" i="3" a="1"/>
  <c r="C203" i="3" s="1"/>
  <c r="C185" i="3" a="1"/>
  <c r="C185" i="3" s="1"/>
  <c r="B203" i="3" a="1"/>
  <c r="B203" i="3" s="1"/>
  <c r="C205" i="3" a="1"/>
  <c r="C205" i="3" s="1"/>
  <c r="C187" i="3" a="1"/>
  <c r="C187" i="3" s="1"/>
  <c r="B205" i="3" a="1"/>
  <c r="B205" i="3" s="1"/>
  <c r="AO71" i="2" a="1"/>
  <c r="AO71" i="2" s="1"/>
  <c r="AS71" i="2" a="1"/>
  <c r="AS71" i="2" s="1"/>
  <c r="AR71" i="2" a="1"/>
  <c r="AR71" i="2" s="1"/>
  <c r="AP71" i="2" a="1"/>
  <c r="AP71" i="2" s="1"/>
  <c r="AQ71" i="2" a="1"/>
  <c r="AQ71" i="2" s="1"/>
  <c r="AP78" i="2" a="1"/>
  <c r="AP78" i="2" s="1"/>
  <c r="AR78" i="2" a="1"/>
  <c r="AR78" i="2" s="1"/>
  <c r="AQ78" i="2" a="1"/>
  <c r="AQ78" i="2" s="1"/>
  <c r="AO78" i="2" a="1"/>
  <c r="AO78" i="2" s="1"/>
  <c r="AS78" i="2" a="1"/>
  <c r="AS78" i="2" s="1"/>
  <c r="BT67" i="2" a="1"/>
  <c r="BT67" i="2" s="1"/>
  <c r="BU67" i="2" s="1" a="1"/>
  <c r="BU67" i="2" s="1"/>
  <c r="BF65" i="2" a="1"/>
  <c r="BF65" i="2" s="1"/>
  <c r="AS46" i="2" a="1"/>
  <c r="AS46" i="2" s="1"/>
  <c r="AP46" i="2" a="1"/>
  <c r="AP46" i="2" s="1"/>
  <c r="AQ46" i="2" a="1"/>
  <c r="AQ46" i="2" s="1"/>
  <c r="AO46" i="2" a="1"/>
  <c r="AO46" i="2" s="1"/>
  <c r="AR46" i="2" a="1"/>
  <c r="AR46" i="2" s="1"/>
  <c r="CL15" i="2" a="1"/>
  <c r="CL15" i="2" s="1"/>
  <c r="BF14" i="2" a="1"/>
  <c r="BF14" i="2" s="1"/>
  <c r="AN22" i="2" s="1" a="1"/>
  <c r="AN22" i="2" s="1"/>
  <c r="BE14" i="2" a="1"/>
  <c r="BE14" i="2" s="1"/>
  <c r="BR14" i="2" s="1" a="1"/>
  <c r="BR14" i="2" s="1"/>
  <c r="BX7" i="2" a="1"/>
  <c r="BX7" i="2" s="1"/>
  <c r="T12" i="4" a="1"/>
  <c r="T12" i="4" s="1"/>
  <c r="T23" i="4" a="1"/>
  <c r="T23" i="4" s="1"/>
  <c r="AP31" i="2" a="1"/>
  <c r="AP31" i="2" s="1"/>
  <c r="AS31" i="2" a="1"/>
  <c r="AS31" i="2" s="1"/>
  <c r="AR31" i="2" a="1"/>
  <c r="AR31" i="2" s="1"/>
  <c r="AQ31" i="2" a="1"/>
  <c r="AQ31" i="2" s="1"/>
  <c r="AO31" i="2" a="1"/>
  <c r="AO31" i="2" s="1"/>
  <c r="BX15" i="2" a="1"/>
  <c r="BX15" i="2" s="1"/>
  <c r="BE31" i="2" a="1"/>
  <c r="BE31" i="2" s="1"/>
  <c r="BR31" i="2" s="1" a="1"/>
  <c r="BR31" i="2" s="1"/>
  <c r="BF31" i="2" a="1"/>
  <c r="BF31" i="2" s="1"/>
  <c r="BO31" i="2" s="1" a="1"/>
  <c r="BO31" i="2" s="1"/>
  <c r="CL29" i="2" a="1"/>
  <c r="CL29" i="2" s="1"/>
  <c r="CZ29" i="2" a="1"/>
  <c r="CZ29" i="2" s="1"/>
  <c r="BL29" i="2" a="1"/>
  <c r="BL29" i="2" s="1"/>
  <c r="CW29" i="2" s="1" a="1"/>
  <c r="CW29" i="2" s="1"/>
  <c r="BX27" i="2" a="1"/>
  <c r="BX27" i="2" s="1"/>
  <c r="CQ37" i="2" a="1"/>
  <c r="CQ37" i="2" s="1"/>
  <c r="BF39" i="2" a="1"/>
  <c r="BF39" i="2" s="1"/>
  <c r="BO39" i="2" s="1" a="1"/>
  <c r="BO39" i="2" s="1"/>
  <c r="BE39" i="2" a="1"/>
  <c r="BE39" i="2" s="1"/>
  <c r="BR39" i="2" s="1" a="1"/>
  <c r="BR39" i="2" s="1"/>
  <c r="CZ36" i="2" a="1"/>
  <c r="CZ36" i="2" s="1"/>
  <c r="BL36" i="2" a="1"/>
  <c r="BL36" i="2" s="1"/>
  <c r="CW36" i="2" s="1" a="1"/>
  <c r="CW36" i="2" s="1"/>
  <c r="BX40" i="2" a="1"/>
  <c r="BX40" i="2" s="1"/>
  <c r="BF46" i="2" a="1"/>
  <c r="BF46" i="2" s="1"/>
  <c r="BE46" i="2" a="1"/>
  <c r="BE46" i="2" s="1"/>
  <c r="BR46" i="2" s="1" a="1"/>
  <c r="BR46" i="2" s="1"/>
  <c r="BX51" i="2" a="1"/>
  <c r="BX51" i="2" s="1"/>
  <c r="BF51" i="2" a="1"/>
  <c r="BF51" i="2" s="1"/>
  <c r="BO51" i="2" s="1" a="1"/>
  <c r="BO51" i="2" s="1"/>
  <c r="BE51" i="2" a="1"/>
  <c r="BE51" i="2" s="1"/>
  <c r="BR51" i="2" s="1" a="1"/>
  <c r="BR51" i="2" s="1"/>
  <c r="BF11" i="2" a="1"/>
  <c r="BF11" i="2" s="1"/>
  <c r="BO11" i="2" s="1" a="1"/>
  <c r="BO11" i="2" s="1"/>
  <c r="BE11" i="2" a="1"/>
  <c r="BE11" i="2" s="1"/>
  <c r="BR11" i="2" s="1" a="1"/>
  <c r="BR11" i="2" s="1"/>
  <c r="CK7" i="2" a="1"/>
  <c r="CK7" i="2" s="1"/>
  <c r="BL19" i="2" a="1"/>
  <c r="BL19" i="2" s="1"/>
  <c r="CW19" i="2" s="1" a="1"/>
  <c r="CW19" i="2" s="1"/>
  <c r="CZ19" i="2" a="1"/>
  <c r="CZ19" i="2" s="1"/>
  <c r="AS41" i="2" a="1"/>
  <c r="AS41" i="2" s="1"/>
  <c r="AR41" i="2" a="1"/>
  <c r="AR41" i="2" s="1"/>
  <c r="AQ41" i="2" a="1"/>
  <c r="AQ41" i="2" s="1"/>
  <c r="AP41" i="2" a="1"/>
  <c r="AP41" i="2" s="1"/>
  <c r="AO41" i="2" a="1"/>
  <c r="AO41" i="2" s="1"/>
  <c r="BJ59" i="2" a="1"/>
  <c r="BJ59" i="2" s="1"/>
  <c r="BL59" i="2" s="1" a="1"/>
  <c r="BL59" i="2" s="1"/>
  <c r="CB10" i="2" a="1"/>
  <c r="CB10" i="2" s="1"/>
  <c r="CC10" i="2" s="1" a="1"/>
  <c r="CC10" i="2" s="1"/>
  <c r="AS14" i="2" a="1"/>
  <c r="AS14" i="2" s="1"/>
  <c r="AR14" i="2" a="1"/>
  <c r="AR14" i="2" s="1"/>
  <c r="AQ14" i="2" a="1"/>
  <c r="AQ14" i="2" s="1"/>
  <c r="AP14" i="2" a="1"/>
  <c r="AP14" i="2" s="1"/>
  <c r="AO14" i="2" a="1"/>
  <c r="AO14" i="2" s="1"/>
  <c r="C201" i="3" a="1"/>
  <c r="C201" i="3" s="1"/>
  <c r="B201" i="3" a="1"/>
  <c r="B201" i="3" s="1"/>
  <c r="C183" i="3" a="1"/>
  <c r="C183" i="3" s="1"/>
  <c r="AS80" i="2" a="1"/>
  <c r="AS80" i="2" s="1"/>
  <c r="AO80" i="2" a="1"/>
  <c r="AO80" i="2" s="1"/>
  <c r="AP80" i="2" a="1"/>
  <c r="AP80" i="2" s="1"/>
  <c r="AQ80" i="2" a="1"/>
  <c r="AQ80" i="2" s="1"/>
  <c r="AR80" i="2" a="1"/>
  <c r="AR80" i="2" s="1"/>
  <c r="CZ15" i="2" a="1"/>
  <c r="CZ15" i="2" s="1"/>
  <c r="BL15" i="2" a="1"/>
  <c r="BL15" i="2" s="1"/>
  <c r="CW15" i="2" s="1" a="1"/>
  <c r="CW15" i="2" s="1"/>
  <c r="CZ22" i="2" a="1"/>
  <c r="CZ22" i="2" s="1"/>
  <c r="BL22" i="2" a="1"/>
  <c r="BL22" i="2" s="1"/>
  <c r="CW22" i="2" s="1" a="1"/>
  <c r="CW22" i="2" s="1"/>
  <c r="BX45" i="2" a="1"/>
  <c r="BX45" i="2" s="1"/>
  <c r="BL46" i="2" a="1"/>
  <c r="BL46" i="2" s="1"/>
  <c r="CW46" i="2" s="1" a="1"/>
  <c r="CW46" i="2" s="1"/>
  <c r="CZ46" i="2" a="1"/>
  <c r="CZ46" i="2" s="1"/>
  <c r="CZ48" i="2" a="1"/>
  <c r="CZ48" i="2" s="1"/>
  <c r="BL48" i="2" a="1"/>
  <c r="BL48" i="2" s="1"/>
  <c r="CW48" i="2" s="1" a="1"/>
  <c r="CW48" i="2" s="1"/>
  <c r="CZ51" i="2" a="1"/>
  <c r="CZ51" i="2" s="1"/>
  <c r="BL51" i="2" a="1"/>
  <c r="BL51" i="2" s="1"/>
  <c r="CW51" i="2" s="1" a="1"/>
  <c r="CW51" i="2" s="1"/>
  <c r="CZ8" i="2" a="1"/>
  <c r="CZ8" i="2" s="1"/>
  <c r="BL8" i="2" a="1"/>
  <c r="BL8" i="2" s="1"/>
  <c r="AR49" i="2" a="1"/>
  <c r="AR49" i="2" s="1"/>
  <c r="AQ49" i="2" a="1"/>
  <c r="AQ49" i="2" s="1"/>
  <c r="AS49" i="2" a="1"/>
  <c r="AS49" i="2" s="1"/>
  <c r="AP49" i="2" a="1"/>
  <c r="AP49" i="2" s="1"/>
  <c r="AO49" i="2" a="1"/>
  <c r="AO49" i="2" s="1"/>
  <c r="BF60" i="2" a="1"/>
  <c r="BF60" i="2" s="1"/>
  <c r="BL60" i="2" a="1"/>
  <c r="BL60" i="2" s="1"/>
  <c r="CL11" i="2" a="1"/>
  <c r="CL11" i="2" s="1"/>
  <c r="BX12" i="2" a="1"/>
  <c r="BX12" i="2" s="1"/>
  <c r="CQ30" i="2" l="1" a="1"/>
  <c r="CQ30" i="2" s="1"/>
  <c r="CQ28" i="2" a="1"/>
  <c r="CQ28" i="2" s="1"/>
  <c r="AT41" i="2" a="1"/>
  <c r="AT41" i="2" s="1"/>
  <c r="J39" i="4" s="1" a="1"/>
  <c r="J39" i="4" s="1"/>
  <c r="CQ51" i="2" a="1"/>
  <c r="CQ51" i="2" s="1"/>
  <c r="CC51" i="2" a="1"/>
  <c r="CC51" i="2" s="1"/>
  <c r="CC33" i="2" a="1"/>
  <c r="CC33" i="2" s="1"/>
  <c r="CQ34" i="2" a="1"/>
  <c r="CQ34" i="2" s="1"/>
  <c r="CC31" i="2" a="1"/>
  <c r="CC31" i="2" s="1"/>
  <c r="BU63" i="2" a="1"/>
  <c r="BU63" i="2" s="1"/>
  <c r="CQ43" i="2" a="1"/>
  <c r="CQ43" i="2" s="1"/>
  <c r="AT73" i="2" a="1"/>
  <c r="AT73" i="2" s="1"/>
  <c r="V23" i="4" s="1" a="1"/>
  <c r="V23" i="4" s="1"/>
  <c r="AM56" i="2" a="1"/>
  <c r="AM56" i="2" s="1"/>
  <c r="U6" i="4" s="1" a="1"/>
  <c r="U6" i="4" s="1"/>
  <c r="AN7" i="2" a="1"/>
  <c r="AN7" i="2" s="1"/>
  <c r="AT56" i="2" a="1"/>
  <c r="AT56" i="2" s="1"/>
  <c r="V6" i="4" s="1" a="1"/>
  <c r="V6" i="4" s="1"/>
  <c r="K12" i="4" a="1"/>
  <c r="K12" i="4" s="1"/>
  <c r="AT96" i="2" a="1"/>
  <c r="AT96" i="2" s="1"/>
  <c r="V46" i="4" s="1" a="1"/>
  <c r="V46" i="4" s="1"/>
  <c r="AM33" i="2" a="1"/>
  <c r="AM33" i="2" s="1"/>
  <c r="I31" i="4" s="1" a="1"/>
  <c r="I31" i="4" s="1"/>
  <c r="CC18" i="2" a="1"/>
  <c r="CC18" i="2" s="1"/>
  <c r="W21" i="4" a="1"/>
  <c r="W21" i="4" s="1"/>
  <c r="CQ24" i="2" a="1"/>
  <c r="CQ24" i="2" s="1"/>
  <c r="CQ23" i="2" a="1"/>
  <c r="CQ23" i="2" s="1"/>
  <c r="W29" i="4" a="1"/>
  <c r="W29" i="4" s="1"/>
  <c r="AM16" i="2" a="1"/>
  <c r="AM16" i="2" s="1"/>
  <c r="I14" i="4" s="1" a="1"/>
  <c r="I14" i="4" s="1"/>
  <c r="AM31" i="2" a="1"/>
  <c r="AM31" i="2" s="1"/>
  <c r="I29" i="4" s="1" a="1"/>
  <c r="I29" i="4" s="1"/>
  <c r="CQ22" i="2" a="1"/>
  <c r="CQ22" i="2" s="1"/>
  <c r="CQ21" i="2" a="1"/>
  <c r="CQ21" i="2" s="1"/>
  <c r="AT71" i="2" a="1"/>
  <c r="AT71" i="2" s="1"/>
  <c r="V21" i="4" s="1" a="1"/>
  <c r="V21" i="4" s="1"/>
  <c r="K38" i="4" a="1"/>
  <c r="K38" i="4" s="1"/>
  <c r="CC32" i="2" a="1"/>
  <c r="CC32" i="2" s="1"/>
  <c r="AN89" i="2" a="1"/>
  <c r="AN89" i="2" s="1"/>
  <c r="K30" i="4" a="1"/>
  <c r="K30" i="4" s="1"/>
  <c r="AT33" i="2" a="1"/>
  <c r="AT33" i="2" s="1"/>
  <c r="J31" i="4" s="1" a="1"/>
  <c r="J31" i="4" s="1"/>
  <c r="AM17" i="2" a="1"/>
  <c r="AM17" i="2" s="1"/>
  <c r="I15" i="4" s="1" a="1"/>
  <c r="I15" i="4" s="1"/>
  <c r="AT57" i="2" a="1"/>
  <c r="AT57" i="2" s="1"/>
  <c r="V7" i="4" s="1" a="1"/>
  <c r="V7" i="4" s="1"/>
  <c r="AM39" i="2" a="1"/>
  <c r="AM39" i="2" s="1"/>
  <c r="I37" i="4" s="1" a="1"/>
  <c r="I37" i="4" s="1"/>
  <c r="W4" i="4" a="1"/>
  <c r="W4" i="4" s="1"/>
  <c r="K5" i="4" a="1"/>
  <c r="K5" i="4" s="1"/>
  <c r="AN23" i="2" a="1"/>
  <c r="AN23" i="2" s="1"/>
  <c r="AT89" i="2" a="1"/>
  <c r="AT89" i="2" s="1"/>
  <c r="V39" i="4" s="1" a="1"/>
  <c r="V39" i="4" s="1"/>
  <c r="CQ36" i="2" a="1"/>
  <c r="CQ36" i="2" s="1"/>
  <c r="AM46" i="2" a="1"/>
  <c r="AM46" i="2" s="1"/>
  <c r="I44" i="4" s="1" a="1"/>
  <c r="I44" i="4" s="1"/>
  <c r="AN39" i="2" a="1"/>
  <c r="AN39" i="2" s="1"/>
  <c r="AN81" i="2" a="1"/>
  <c r="AN81" i="2" s="1"/>
  <c r="W45" i="4" a="1"/>
  <c r="W45" i="4" s="1"/>
  <c r="W36" i="4" a="1"/>
  <c r="W36" i="4" s="1"/>
  <c r="AM57" i="2" a="1"/>
  <c r="AM57" i="2" s="1"/>
  <c r="U7" i="4" s="1" a="1"/>
  <c r="U7" i="4" s="1"/>
  <c r="AM89" i="2" a="1"/>
  <c r="AM89" i="2" s="1"/>
  <c r="U39" i="4" s="1" a="1"/>
  <c r="U39" i="4" s="1"/>
  <c r="AN31" i="2" a="1"/>
  <c r="AN31" i="2" s="1"/>
  <c r="AN71" i="2" a="1"/>
  <c r="AN71" i="2" s="1"/>
  <c r="AN17" i="2" a="1"/>
  <c r="AN17" i="2" s="1"/>
  <c r="W46" i="4" a="1"/>
  <c r="W46" i="4" s="1"/>
  <c r="W28" i="4" a="1"/>
  <c r="W28" i="4" s="1"/>
  <c r="AM14" i="2" a="1"/>
  <c r="AM14" i="2" s="1"/>
  <c r="I12" i="4" s="1" a="1"/>
  <c r="I12" i="4" s="1"/>
  <c r="AM64" i="2" a="1"/>
  <c r="AM64" i="2" s="1"/>
  <c r="U14" i="4" s="1" a="1"/>
  <c r="U14" i="4" s="1"/>
  <c r="AN49" i="2" a="1"/>
  <c r="AN49" i="2" s="1"/>
  <c r="AN80" i="2" a="1"/>
  <c r="AN80" i="2" s="1"/>
  <c r="AT49" i="2" a="1"/>
  <c r="AT49" i="2" s="1"/>
  <c r="J47" i="4" s="1" a="1"/>
  <c r="J47" i="4" s="1"/>
  <c r="AN41" i="2" a="1"/>
  <c r="AN41" i="2" s="1"/>
  <c r="W31" i="4" a="1"/>
  <c r="W31" i="4" s="1"/>
  <c r="K37" i="4" a="1"/>
  <c r="K37" i="4" s="1"/>
  <c r="BU64" i="2" a="1"/>
  <c r="BU64" i="2" s="1"/>
  <c r="AT81" i="2" a="1"/>
  <c r="AT81" i="2" s="1"/>
  <c r="V31" i="4" s="1" a="1"/>
  <c r="V31" i="4" s="1"/>
  <c r="K23" i="4" a="1"/>
  <c r="K23" i="4" s="1"/>
  <c r="W39" i="4" a="1"/>
  <c r="W39" i="4" s="1"/>
  <c r="W12" i="4" a="1"/>
  <c r="W12" i="4" s="1"/>
  <c r="AT70" i="2" a="1"/>
  <c r="AT70" i="2" s="1"/>
  <c r="V20" i="4" s="1" a="1"/>
  <c r="V20" i="4" s="1"/>
  <c r="AT79" i="2" a="1"/>
  <c r="AT79" i="2" s="1"/>
  <c r="V29" i="4" s="1" a="1"/>
  <c r="V29" i="4" s="1"/>
  <c r="AT63" i="2" a="1"/>
  <c r="AT63" i="2" s="1"/>
  <c r="V13" i="4" s="1" a="1"/>
  <c r="V13" i="4" s="1"/>
  <c r="AT32" i="2" a="1"/>
  <c r="AT32" i="2" s="1"/>
  <c r="J30" i="4" s="1" a="1"/>
  <c r="J30" i="4" s="1"/>
  <c r="CQ31" i="2" a="1"/>
  <c r="CQ31" i="2" s="1"/>
  <c r="K47" i="4" a="1"/>
  <c r="K47" i="4" s="1"/>
  <c r="AM25" i="2" a="1"/>
  <c r="AM25" i="2" s="1"/>
  <c r="I23" i="4" s="1" a="1"/>
  <c r="I23" i="4" s="1"/>
  <c r="AN57" i="2" a="1"/>
  <c r="AN57" i="2" s="1"/>
  <c r="AT17" i="2" a="1"/>
  <c r="AT17" i="2" s="1"/>
  <c r="J15" i="4" s="1" a="1"/>
  <c r="J15" i="4" s="1"/>
  <c r="AM95" i="2" a="1"/>
  <c r="AM95" i="2" s="1"/>
  <c r="U45" i="4" s="1" a="1"/>
  <c r="U45" i="4" s="1"/>
  <c r="BU65" i="2" a="1"/>
  <c r="BU65" i="2" s="1"/>
  <c r="K14" i="4" a="1"/>
  <c r="K14" i="4" s="1"/>
  <c r="W47" i="4" a="1"/>
  <c r="W47" i="4" s="1"/>
  <c r="AN64" i="2" a="1"/>
  <c r="AN64" i="2" s="1"/>
  <c r="BU68" i="2" a="1"/>
  <c r="BU68" i="2" s="1"/>
  <c r="AT16" i="2" a="1"/>
  <c r="AT16" i="2" s="1"/>
  <c r="J14" i="4" s="1" a="1"/>
  <c r="J14" i="4" s="1"/>
  <c r="W30" i="4" a="1"/>
  <c r="W30" i="4" s="1"/>
  <c r="K39" i="4" a="1"/>
  <c r="K39" i="4" s="1"/>
  <c r="K36" i="4" a="1"/>
  <c r="K36" i="4" s="1"/>
  <c r="W14" i="4" a="1"/>
  <c r="W14" i="4" s="1"/>
  <c r="AM9" i="2" a="1"/>
  <c r="AM9" i="2" s="1"/>
  <c r="I7" i="4" s="1" a="1"/>
  <c r="I7" i="4" s="1"/>
  <c r="W5" i="4" a="1"/>
  <c r="W5" i="4" s="1"/>
  <c r="W38" i="4" a="1"/>
  <c r="W38" i="4" s="1"/>
  <c r="AN47" i="2" a="1"/>
  <c r="AN47" i="2" s="1"/>
  <c r="CC44" i="2" a="1"/>
  <c r="CC44" i="2" s="1"/>
  <c r="AT64" i="2" a="1"/>
  <c r="AT64" i="2" s="1"/>
  <c r="V14" i="4" s="1" a="1"/>
  <c r="V14" i="4" s="1"/>
  <c r="K13" i="4" a="1"/>
  <c r="K13" i="4" s="1"/>
  <c r="AM80" i="2" a="1"/>
  <c r="AM80" i="2" s="1"/>
  <c r="U30" i="4" s="1" a="1"/>
  <c r="U30" i="4" s="1"/>
  <c r="AT14" i="2" a="1"/>
  <c r="AT14" i="2" s="1"/>
  <c r="J12" i="4" s="1" a="1"/>
  <c r="J12" i="4" s="1"/>
  <c r="K29" i="4" a="1"/>
  <c r="K29" i="4" s="1"/>
  <c r="AN73" i="2" a="1"/>
  <c r="AN73" i="2" s="1"/>
  <c r="BU59" i="2" a="1"/>
  <c r="BU59" i="2" s="1"/>
  <c r="AM23" i="2" a="1"/>
  <c r="AM23" i="2" s="1"/>
  <c r="I21" i="4" s="1" a="1"/>
  <c r="I21" i="4" s="1"/>
  <c r="AM96" i="2" a="1"/>
  <c r="AM96" i="2" s="1"/>
  <c r="U46" i="4" s="1" a="1"/>
  <c r="U46" i="4" s="1"/>
  <c r="CC40" i="2" a="1"/>
  <c r="CC40" i="2" s="1"/>
  <c r="K46" i="4" a="1"/>
  <c r="K46" i="4" s="1"/>
  <c r="CQ27" i="2" a="1"/>
  <c r="CQ27" i="2" s="1"/>
  <c r="W23" i="4" a="1"/>
  <c r="W23" i="4" s="1"/>
  <c r="AT23" i="2" a="1"/>
  <c r="AT23" i="2" s="1"/>
  <c r="J21" i="4" s="1" a="1"/>
  <c r="J21" i="4" s="1"/>
  <c r="K44" i="4" a="1"/>
  <c r="K44" i="4" s="1"/>
  <c r="BV67" i="2" a="1"/>
  <c r="BV67" i="2" s="1"/>
  <c r="AN79" i="2" a="1"/>
  <c r="AN79" i="2" s="1"/>
  <c r="AT25" i="2" a="1"/>
  <c r="AT25" i="2" s="1"/>
  <c r="J23" i="4" s="1" a="1"/>
  <c r="J23" i="4" s="1"/>
  <c r="AN33" i="2" a="1"/>
  <c r="AN33" i="2" s="1"/>
  <c r="AM78" i="2" a="1"/>
  <c r="AM78" i="2" s="1"/>
  <c r="U28" i="4" s="1" a="1"/>
  <c r="U28" i="4" s="1"/>
  <c r="AN40" i="2" a="1"/>
  <c r="AN40" i="2" s="1"/>
  <c r="H108" i="2" a="1"/>
  <c r="H108" i="2" s="1"/>
  <c r="M112" i="2" s="1" a="1"/>
  <c r="M112" i="2" s="1"/>
  <c r="AA111" i="2" s="1" a="1"/>
  <c r="AA111" i="2" s="1"/>
  <c r="DK35" i="2" a="1"/>
  <c r="DK35" i="2" s="1"/>
  <c r="DL35" i="2" s="1" a="1"/>
  <c r="DL35" i="2" s="1"/>
  <c r="DK37" i="2" a="1"/>
  <c r="DK37" i="2" s="1"/>
  <c r="DL37" i="2" s="1" a="1"/>
  <c r="DL37" i="2" s="1"/>
  <c r="BO34" i="2" a="1"/>
  <c r="BO34" i="2" s="1"/>
  <c r="DK34" i="2" a="1"/>
  <c r="DK34" i="2" s="1"/>
  <c r="DL34" i="2" s="1" a="1"/>
  <c r="DL34" i="2" s="1"/>
  <c r="DK36" i="2" a="1"/>
  <c r="DK36" i="2" s="1"/>
  <c r="DL36" i="2" s="1" a="1"/>
  <c r="DL36" i="2" s="1"/>
  <c r="AT22" i="2" a="1"/>
  <c r="AT22" i="2" s="1"/>
  <c r="J20" i="4" s="1" a="1"/>
  <c r="J20" i="4" s="1"/>
  <c r="K15" i="4" a="1"/>
  <c r="K15" i="4" s="1"/>
  <c r="AM81" i="2" a="1"/>
  <c r="AM81" i="2" s="1"/>
  <c r="U31" i="4" s="1" a="1"/>
  <c r="U31" i="4" s="1"/>
  <c r="AT54" i="2" a="1"/>
  <c r="AT54" i="2" s="1"/>
  <c r="V4" i="4" s="1" a="1"/>
  <c r="V4" i="4" s="1"/>
  <c r="K7" i="4" a="1"/>
  <c r="K7" i="4" s="1"/>
  <c r="H106" i="2" a="1"/>
  <c r="H106" i="2" s="1"/>
  <c r="M103" i="2" s="1" a="1"/>
  <c r="M103" i="2" s="1"/>
  <c r="AA104" i="2" s="1" a="1"/>
  <c r="AA104" i="2" s="1"/>
  <c r="DK29" i="2" a="1"/>
  <c r="DK29" i="2" s="1"/>
  <c r="DL29" i="2" s="1" a="1"/>
  <c r="DL29" i="2" s="1"/>
  <c r="DK27" i="2" a="1"/>
  <c r="DK27" i="2" s="1"/>
  <c r="DL27" i="2" s="1" a="1"/>
  <c r="DL27" i="2" s="1"/>
  <c r="DK28" i="2" a="1"/>
  <c r="DK28" i="2" s="1"/>
  <c r="DL28" i="2" s="1" a="1"/>
  <c r="DL28" i="2" s="1"/>
  <c r="BO26" i="2" a="1"/>
  <c r="BO26" i="2" s="1"/>
  <c r="DK26" i="2" a="1"/>
  <c r="DK26" i="2" s="1"/>
  <c r="DL26" i="2" s="1" a="1"/>
  <c r="DL26" i="2" s="1"/>
  <c r="AN63" i="2" a="1"/>
  <c r="AN63" i="2" s="1"/>
  <c r="AT62" i="2" a="1"/>
  <c r="AT62" i="2" s="1"/>
  <c r="V12" i="4" s="1" a="1"/>
  <c r="V12" i="4" s="1"/>
  <c r="AN87" i="2" a="1"/>
  <c r="AN87" i="2" s="1"/>
  <c r="AT30" i="2" a="1"/>
  <c r="AT30" i="2" s="1"/>
  <c r="J28" i="4" s="1" a="1"/>
  <c r="J28" i="4" s="1"/>
  <c r="AM54" i="2" a="1"/>
  <c r="AM54" i="2" s="1"/>
  <c r="U4" i="4" s="1" a="1"/>
  <c r="U4" i="4" s="1"/>
  <c r="H112" i="2" a="1"/>
  <c r="H112" i="2" s="1"/>
  <c r="M108" i="2" s="1" a="1"/>
  <c r="M108" i="2" s="1"/>
  <c r="AA108" i="2" s="1" a="1"/>
  <c r="AA108" i="2" s="1"/>
  <c r="DK53" i="2" a="1"/>
  <c r="DK53" i="2" s="1"/>
  <c r="DL53" i="2" s="1" a="1"/>
  <c r="DL53" i="2" s="1"/>
  <c r="DK50" i="2" a="1"/>
  <c r="DK50" i="2" s="1"/>
  <c r="DL50" i="2" s="1" a="1"/>
  <c r="DL50" i="2" s="1"/>
  <c r="DK52" i="2" a="1"/>
  <c r="DK52" i="2" s="1"/>
  <c r="DL52" i="2" s="1" a="1"/>
  <c r="DL52" i="2" s="1"/>
  <c r="BO50" i="2" a="1"/>
  <c r="BO50" i="2" s="1"/>
  <c r="DK51" i="2" a="1"/>
  <c r="DK51" i="2" s="1"/>
  <c r="DL51" i="2" s="1" a="1"/>
  <c r="DL51" i="2" s="1"/>
  <c r="AM55" i="2" a="1"/>
  <c r="AM55" i="2" s="1"/>
  <c r="U5" i="4" s="1" a="1"/>
  <c r="U5" i="4" s="1"/>
  <c r="AM70" i="2" a="1"/>
  <c r="AM70" i="2" s="1"/>
  <c r="U20" i="4" s="1" a="1"/>
  <c r="U20" i="4" s="1"/>
  <c r="AT31" i="2" a="1"/>
  <c r="AT31" i="2" s="1"/>
  <c r="J29" i="4" s="1" a="1"/>
  <c r="J29" i="4" s="1"/>
  <c r="W6" i="4" a="1"/>
  <c r="W6" i="4" s="1"/>
  <c r="AM73" i="2" a="1"/>
  <c r="AM73" i="2" s="1"/>
  <c r="U23" i="4" s="1" a="1"/>
  <c r="U23" i="4" s="1"/>
  <c r="K31" i="4" a="1"/>
  <c r="K31" i="4" s="1"/>
  <c r="AT39" i="2" a="1"/>
  <c r="AT39" i="2" s="1"/>
  <c r="J37" i="4" s="1" a="1"/>
  <c r="J37" i="4" s="1"/>
  <c r="AN9" i="2" a="1"/>
  <c r="AN9" i="2" s="1"/>
  <c r="H109" i="2" a="1"/>
  <c r="H109" i="2" s="1"/>
  <c r="M105" i="2" s="1" a="1"/>
  <c r="M105" i="2" s="1"/>
  <c r="AA106" i="2" s="1" a="1"/>
  <c r="AA106" i="2" s="1"/>
  <c r="BO38" i="2" a="1"/>
  <c r="BO38" i="2" s="1"/>
  <c r="DK41" i="2" a="1"/>
  <c r="DK41" i="2" s="1"/>
  <c r="DL41" i="2" s="1" a="1"/>
  <c r="DL41" i="2" s="1"/>
  <c r="DK39" i="2" a="1"/>
  <c r="DK39" i="2" s="1"/>
  <c r="DL39" i="2" s="1" a="1"/>
  <c r="DL39" i="2" s="1"/>
  <c r="DK38" i="2" a="1"/>
  <c r="DK38" i="2" s="1"/>
  <c r="DL38" i="2" s="1" a="1"/>
  <c r="DL38" i="2" s="1"/>
  <c r="DK40" i="2" a="1"/>
  <c r="DK40" i="2" s="1"/>
  <c r="DL40" i="2" s="1" a="1"/>
  <c r="DL40" i="2" s="1"/>
  <c r="W13" i="4" a="1"/>
  <c r="W13" i="4" s="1"/>
  <c r="AT86" i="2" a="1"/>
  <c r="AT86" i="2" s="1"/>
  <c r="V36" i="4" s="1" a="1"/>
  <c r="V36" i="4" s="1"/>
  <c r="AT65" i="2" a="1"/>
  <c r="AT65" i="2" s="1"/>
  <c r="V15" i="4" s="1" a="1"/>
  <c r="V15" i="4" s="1"/>
  <c r="AM48" i="2" a="1"/>
  <c r="AM48" i="2" s="1"/>
  <c r="I46" i="4" s="1" a="1"/>
  <c r="I46" i="4" s="1"/>
  <c r="AN55" i="2" a="1"/>
  <c r="AN55" i="2" s="1"/>
  <c r="BU66" i="2" a="1"/>
  <c r="BU66" i="2" s="1"/>
  <c r="AM47" i="2" a="1"/>
  <c r="AM47" i="2" s="1"/>
  <c r="I45" i="4" s="1" a="1"/>
  <c r="I45" i="4" s="1"/>
  <c r="K22" i="4" a="1"/>
  <c r="K22" i="4" s="1"/>
  <c r="AN70" i="2" a="1"/>
  <c r="AN70" i="2" s="1"/>
  <c r="AN72" i="2" a="1"/>
  <c r="AN72" i="2" s="1"/>
  <c r="AN16" i="2" a="1"/>
  <c r="AN16" i="2" s="1"/>
  <c r="AM97" i="2" a="1"/>
  <c r="AM97" i="2" s="1"/>
  <c r="U47" i="4" s="1" a="1"/>
  <c r="U47" i="4" s="1"/>
  <c r="AN48" i="2" a="1"/>
  <c r="AN48" i="2" s="1"/>
  <c r="W37" i="4" a="1"/>
  <c r="W37" i="4" s="1"/>
  <c r="AN97" i="2" a="1"/>
  <c r="AN97" i="2" s="1"/>
  <c r="AM86" i="2" a="1"/>
  <c r="AM86" i="2" s="1"/>
  <c r="U36" i="4" s="1" a="1"/>
  <c r="U36" i="4" s="1"/>
  <c r="CW6" i="2" a="1"/>
  <c r="CW6" i="2" s="1"/>
  <c r="AT6" i="2" a="1"/>
  <c r="AT6" i="2" s="1"/>
  <c r="J4" i="4" s="1" a="1"/>
  <c r="J4" i="4" s="1"/>
  <c r="AM24" i="2" a="1"/>
  <c r="AM24" i="2" s="1"/>
  <c r="I22" i="4" s="1" a="1"/>
  <c r="I22" i="4" s="1"/>
  <c r="BL41" i="4" a="1"/>
  <c r="BL41" i="4" s="1"/>
  <c r="BK41" i="4" s="1" a="1"/>
  <c r="BK41" i="4" s="1"/>
  <c r="BJ41" i="4" s="1" a="1"/>
  <c r="BJ41" i="4" s="1"/>
  <c r="BL48" i="4" a="1"/>
  <c r="BL48" i="4" s="1"/>
  <c r="BK48" i="4" s="1" a="1"/>
  <c r="BK48" i="4" s="1"/>
  <c r="BJ48" i="4" s="1" a="1"/>
  <c r="BJ48" i="4" s="1"/>
  <c r="BL51" i="4" a="1"/>
  <c r="BL51" i="4" s="1"/>
  <c r="BK51" i="4" s="1" a="1"/>
  <c r="BK51" i="4" s="1"/>
  <c r="BJ51" i="4" s="1" a="1"/>
  <c r="BJ51" i="4" s="1"/>
  <c r="BL49" i="4" a="1"/>
  <c r="BL49" i="4" s="1"/>
  <c r="BK49" i="4" s="1" a="1"/>
  <c r="BK49" i="4" s="1"/>
  <c r="BJ49" i="4" s="1" a="1"/>
  <c r="BJ49" i="4" s="1"/>
  <c r="BL45" i="4" a="1"/>
  <c r="BL45" i="4" s="1"/>
  <c r="BK45" i="4" s="1" a="1"/>
  <c r="BK45" i="4" s="1"/>
  <c r="BJ45" i="4" s="1" a="1"/>
  <c r="BJ45" i="4" s="1"/>
  <c r="BL29" i="4" a="1"/>
  <c r="BL29" i="4" s="1"/>
  <c r="BK29" i="4" s="1" a="1"/>
  <c r="BK29" i="4" s="1"/>
  <c r="BJ29" i="4" s="1" a="1"/>
  <c r="BJ29" i="4" s="1"/>
  <c r="BL44" i="4" a="1"/>
  <c r="BL44" i="4" s="1"/>
  <c r="BK44" i="4" s="1" a="1"/>
  <c r="BK44" i="4" s="1"/>
  <c r="BJ44" i="4" s="1" a="1"/>
  <c r="BJ44" i="4" s="1"/>
  <c r="BL35" i="4" a="1"/>
  <c r="BL35" i="4" s="1"/>
  <c r="BK35" i="4" s="1" a="1"/>
  <c r="BK35" i="4" s="1"/>
  <c r="BJ35" i="4" s="1" a="1"/>
  <c r="BJ35" i="4" s="1"/>
  <c r="BL25" i="4" a="1"/>
  <c r="BL25" i="4" s="1"/>
  <c r="BK25" i="4" s="1" a="1"/>
  <c r="BK25" i="4" s="1"/>
  <c r="BJ25" i="4" s="1" a="1"/>
  <c r="BJ25" i="4" s="1"/>
  <c r="BL21" i="4" a="1"/>
  <c r="BL21" i="4" s="1"/>
  <c r="BK21" i="4" s="1" a="1"/>
  <c r="BK21" i="4" s="1"/>
  <c r="BJ21" i="4" s="1" a="1"/>
  <c r="BJ21" i="4" s="1"/>
  <c r="BL50" i="4" a="1"/>
  <c r="BL50" i="4" s="1"/>
  <c r="BK50" i="4" s="1" a="1"/>
  <c r="BK50" i="4" s="1"/>
  <c r="BJ50" i="4" s="1" a="1"/>
  <c r="BJ50" i="4" s="1"/>
  <c r="BL43" i="4" a="1"/>
  <c r="BL43" i="4" s="1"/>
  <c r="BK43" i="4" s="1" a="1"/>
  <c r="BK43" i="4" s="1"/>
  <c r="BJ43" i="4" s="1" a="1"/>
  <c r="BJ43" i="4" s="1"/>
  <c r="BL47" i="4" a="1"/>
  <c r="BL47" i="4" s="1"/>
  <c r="BK47" i="4" s="1" a="1"/>
  <c r="BK47" i="4" s="1"/>
  <c r="BJ47" i="4" s="1" a="1"/>
  <c r="BJ47" i="4" s="1"/>
  <c r="BL46" i="4" a="1"/>
  <c r="BL46" i="4" s="1"/>
  <c r="BK46" i="4" s="1" a="1"/>
  <c r="BK46" i="4" s="1"/>
  <c r="BJ46" i="4" s="1" a="1"/>
  <c r="BJ46" i="4" s="1"/>
  <c r="BL36" i="4" a="1"/>
  <c r="BL36" i="4" s="1"/>
  <c r="BK36" i="4" s="1" a="1"/>
  <c r="BK36" i="4" s="1"/>
  <c r="BJ36" i="4" s="1" a="1"/>
  <c r="BJ36" i="4" s="1"/>
  <c r="BL22" i="4" a="1"/>
  <c r="BL22" i="4" s="1"/>
  <c r="BK22" i="4" s="1" a="1"/>
  <c r="BK22" i="4" s="1"/>
  <c r="BJ22" i="4" s="1" a="1"/>
  <c r="BJ22" i="4" s="1"/>
  <c r="BL24" i="4" a="1"/>
  <c r="BL24" i="4" s="1"/>
  <c r="BK24" i="4" s="1" a="1"/>
  <c r="BK24" i="4" s="1"/>
  <c r="BJ24" i="4" s="1" a="1"/>
  <c r="BJ24" i="4" s="1"/>
  <c r="BL23" i="4" a="1"/>
  <c r="BL23" i="4" s="1"/>
  <c r="BK23" i="4" s="1" a="1"/>
  <c r="BK23" i="4" s="1"/>
  <c r="BJ23" i="4" s="1" a="1"/>
  <c r="BJ23" i="4" s="1"/>
  <c r="BL19" i="4" a="1"/>
  <c r="BL19" i="4" s="1"/>
  <c r="BK19" i="4" s="1" a="1"/>
  <c r="BK19" i="4" s="1"/>
  <c r="BJ19" i="4" s="1" a="1"/>
  <c r="BJ19" i="4" s="1"/>
  <c r="BL42" i="4" a="1"/>
  <c r="BL42" i="4" s="1"/>
  <c r="BK42" i="4" s="1" a="1"/>
  <c r="BK42" i="4" s="1"/>
  <c r="BJ42" i="4" s="1" a="1"/>
  <c r="BJ42" i="4" s="1"/>
  <c r="BL34" i="4" a="1"/>
  <c r="BL34" i="4" s="1"/>
  <c r="BK34" i="4" s="1" a="1"/>
  <c r="BK34" i="4" s="1"/>
  <c r="BJ34" i="4" s="1" a="1"/>
  <c r="BJ34" i="4" s="1"/>
  <c r="BL31" i="4" a="1"/>
  <c r="BL31" i="4" s="1"/>
  <c r="BK31" i="4" s="1" a="1"/>
  <c r="BK31" i="4" s="1"/>
  <c r="BJ31" i="4" s="1" a="1"/>
  <c r="BJ31" i="4" s="1"/>
  <c r="BL38" i="4" a="1"/>
  <c r="BL38" i="4" s="1"/>
  <c r="BK38" i="4" s="1" a="1"/>
  <c r="BK38" i="4" s="1"/>
  <c r="BJ38" i="4" s="1" a="1"/>
  <c r="BJ38" i="4" s="1"/>
  <c r="BL33" i="4" a="1"/>
  <c r="BL33" i="4" s="1"/>
  <c r="BK33" i="4" s="1" a="1"/>
  <c r="BK33" i="4" s="1"/>
  <c r="BJ33" i="4" s="1" a="1"/>
  <c r="BJ33" i="4" s="1"/>
  <c r="BL27" i="4" a="1"/>
  <c r="BL27" i="4" s="1"/>
  <c r="BK27" i="4" s="1" a="1"/>
  <c r="BK27" i="4" s="1"/>
  <c r="BJ27" i="4" s="1" a="1"/>
  <c r="BJ27" i="4" s="1"/>
  <c r="BL26" i="4" a="1"/>
  <c r="BL26" i="4" s="1"/>
  <c r="BK26" i="4" s="1" a="1"/>
  <c r="BK26" i="4" s="1"/>
  <c r="BJ26" i="4" s="1" a="1"/>
  <c r="BJ26" i="4" s="1"/>
  <c r="BL5" i="4" a="1"/>
  <c r="BL5" i="4" s="1"/>
  <c r="BK5" i="4" s="1" a="1"/>
  <c r="BK5" i="4" s="1"/>
  <c r="BJ5" i="4" s="1" a="1"/>
  <c r="BJ5" i="4" s="1"/>
  <c r="BL28" i="4" a="1"/>
  <c r="BL28" i="4" s="1"/>
  <c r="BK28" i="4" s="1" a="1"/>
  <c r="BK28" i="4" s="1"/>
  <c r="BJ28" i="4" s="1" a="1"/>
  <c r="BJ28" i="4" s="1"/>
  <c r="BL4" i="4" a="1"/>
  <c r="BL4" i="4" s="1"/>
  <c r="BK4" i="4" s="1" a="1"/>
  <c r="BK4" i="4" s="1"/>
  <c r="BJ4" i="4" s="1" a="1"/>
  <c r="BJ4" i="4" s="1"/>
  <c r="BL37" i="4" a="1"/>
  <c r="BL37" i="4" s="1"/>
  <c r="BK37" i="4" s="1" a="1"/>
  <c r="BK37" i="4" s="1"/>
  <c r="BJ37" i="4" s="1" a="1"/>
  <c r="BJ37" i="4" s="1"/>
  <c r="BL32" i="4" a="1"/>
  <c r="BL32" i="4" s="1"/>
  <c r="BK32" i="4" s="1" a="1"/>
  <c r="BK32" i="4" s="1"/>
  <c r="BJ32" i="4" s="1" a="1"/>
  <c r="BJ32" i="4" s="1"/>
  <c r="BL18" i="4" a="1"/>
  <c r="BL18" i="4" s="1"/>
  <c r="BK18" i="4" s="1" a="1"/>
  <c r="BK18" i="4" s="1"/>
  <c r="BJ18" i="4" s="1" a="1"/>
  <c r="BJ18" i="4" s="1"/>
  <c r="BL17" i="4" a="1"/>
  <c r="BL17" i="4" s="1"/>
  <c r="BK17" i="4" s="1" a="1"/>
  <c r="BK17" i="4" s="1"/>
  <c r="BJ17" i="4" s="1" a="1"/>
  <c r="BJ17" i="4" s="1"/>
  <c r="BL15" i="4" a="1"/>
  <c r="BL15" i="4" s="1"/>
  <c r="BK15" i="4" s="1" a="1"/>
  <c r="BK15" i="4" s="1"/>
  <c r="BJ15" i="4" s="1" a="1"/>
  <c r="BJ15" i="4" s="1"/>
  <c r="BL14" i="4" a="1"/>
  <c r="BL14" i="4" s="1"/>
  <c r="BK14" i="4" s="1" a="1"/>
  <c r="BK14" i="4" s="1"/>
  <c r="BJ14" i="4" s="1" a="1"/>
  <c r="BJ14" i="4" s="1"/>
  <c r="BL40" i="4" a="1"/>
  <c r="BL40" i="4" s="1"/>
  <c r="BK40" i="4" s="1" a="1"/>
  <c r="BK40" i="4" s="1"/>
  <c r="BJ40" i="4" s="1" a="1"/>
  <c r="BJ40" i="4" s="1"/>
  <c r="BL16" i="4" a="1"/>
  <c r="BL16" i="4" s="1"/>
  <c r="BK16" i="4" s="1" a="1"/>
  <c r="BK16" i="4" s="1"/>
  <c r="BJ16" i="4" s="1" a="1"/>
  <c r="BJ16" i="4" s="1"/>
  <c r="BL6" i="4" a="1"/>
  <c r="BL6" i="4" s="1"/>
  <c r="BK6" i="4" s="1" a="1"/>
  <c r="BK6" i="4" s="1"/>
  <c r="BJ6" i="4" s="1" a="1"/>
  <c r="BJ6" i="4" s="1"/>
  <c r="BL12" i="4" a="1"/>
  <c r="BL12" i="4" s="1"/>
  <c r="BK12" i="4" s="1" a="1"/>
  <c r="BK12" i="4" s="1"/>
  <c r="BJ12" i="4" s="1" a="1"/>
  <c r="BJ12" i="4" s="1"/>
  <c r="BL10" i="4" a="1"/>
  <c r="BL10" i="4" s="1"/>
  <c r="BK10" i="4" s="1" a="1"/>
  <c r="BK10" i="4" s="1"/>
  <c r="BJ10" i="4" s="1" a="1"/>
  <c r="BJ10" i="4" s="1"/>
  <c r="BL13" i="4" a="1"/>
  <c r="BL13" i="4" s="1"/>
  <c r="BK13" i="4" s="1" a="1"/>
  <c r="BK13" i="4" s="1"/>
  <c r="BJ13" i="4" s="1" a="1"/>
  <c r="BJ13" i="4" s="1"/>
  <c r="BL39" i="4" a="1"/>
  <c r="BL39" i="4" s="1"/>
  <c r="BK39" i="4" s="1" a="1"/>
  <c r="BK39" i="4" s="1"/>
  <c r="BJ39" i="4" s="1" a="1"/>
  <c r="BJ39" i="4" s="1"/>
  <c r="BL20" i="4" a="1"/>
  <c r="BL20" i="4" s="1"/>
  <c r="BK20" i="4" s="1" a="1"/>
  <c r="BK20" i="4" s="1"/>
  <c r="BJ20" i="4" s="1" a="1"/>
  <c r="BJ20" i="4" s="1"/>
  <c r="BL9" i="4" a="1"/>
  <c r="BL9" i="4" s="1"/>
  <c r="BK9" i="4" s="1" a="1"/>
  <c r="BK9" i="4" s="1"/>
  <c r="BJ9" i="4" s="1" a="1"/>
  <c r="BJ9" i="4" s="1"/>
  <c r="BL30" i="4" a="1"/>
  <c r="BL30" i="4" s="1"/>
  <c r="BK30" i="4" s="1" a="1"/>
  <c r="BK30" i="4" s="1"/>
  <c r="BJ30" i="4" s="1" a="1"/>
  <c r="BJ30" i="4" s="1"/>
  <c r="BL8" i="4" a="1"/>
  <c r="BL8" i="4" s="1"/>
  <c r="BK8" i="4" s="1" a="1"/>
  <c r="BK8" i="4" s="1"/>
  <c r="BJ8" i="4" s="1" a="1"/>
  <c r="BJ8" i="4" s="1"/>
  <c r="BL11" i="4" a="1"/>
  <c r="BL11" i="4" s="1"/>
  <c r="BK11" i="4" s="1" a="1"/>
  <c r="BK11" i="4" s="1"/>
  <c r="BJ11" i="4" s="1" a="1"/>
  <c r="BJ11" i="4" s="1"/>
  <c r="BL7" i="4" a="1"/>
  <c r="BL7" i="4" s="1"/>
  <c r="BK7" i="4" s="1" a="1"/>
  <c r="BK7" i="4" s="1"/>
  <c r="BJ7" i="4" s="1" a="1"/>
  <c r="BJ7" i="4" s="1"/>
  <c r="W44" i="4" a="1"/>
  <c r="W44" i="4" s="1"/>
  <c r="AM87" i="2" a="1"/>
  <c r="AM87" i="2" s="1"/>
  <c r="U37" i="4" s="1" a="1"/>
  <c r="U37" i="4" s="1"/>
  <c r="K28" i="4" a="1"/>
  <c r="K28" i="4" s="1"/>
  <c r="AT46" i="2" a="1"/>
  <c r="AT46" i="2" s="1"/>
  <c r="J44" i="4" s="1" a="1"/>
  <c r="J44" i="4" s="1"/>
  <c r="AT40" i="2" a="1"/>
  <c r="AT40" i="2" s="1"/>
  <c r="J38" i="4" s="1" a="1"/>
  <c r="J38" i="4" s="1"/>
  <c r="AT38" i="2" a="1"/>
  <c r="AT38" i="2" s="1"/>
  <c r="J36" i="4" s="1" a="1"/>
  <c r="J36" i="4" s="1"/>
  <c r="H107" i="2" a="1"/>
  <c r="H107" i="2" s="1"/>
  <c r="M110" i="2" s="1" a="1"/>
  <c r="M110" i="2" s="1"/>
  <c r="AA109" i="2" s="1" a="1"/>
  <c r="AA109" i="2" s="1"/>
  <c r="DK32" i="2" a="1"/>
  <c r="DK32" i="2" s="1"/>
  <c r="DL32" i="2" s="1" a="1"/>
  <c r="DL32" i="2" s="1"/>
  <c r="DK30" i="2" a="1"/>
  <c r="DK30" i="2" s="1"/>
  <c r="DL30" i="2" s="1" a="1"/>
  <c r="DL30" i="2" s="1"/>
  <c r="BO30" i="2" a="1"/>
  <c r="BO30" i="2" s="1"/>
  <c r="DK33" i="2" a="1"/>
  <c r="DK33" i="2" s="1"/>
  <c r="DL33" i="2" s="1" a="1"/>
  <c r="DL33" i="2" s="1"/>
  <c r="DK31" i="2" a="1"/>
  <c r="DK31" i="2" s="1"/>
  <c r="DL31" i="2" s="1" a="1"/>
  <c r="DL31" i="2" s="1"/>
  <c r="W7" i="4" a="1"/>
  <c r="W7" i="4" s="1"/>
  <c r="BR8" i="2" a="1"/>
  <c r="BR8" i="2" s="1"/>
  <c r="AM8" i="2" a="1"/>
  <c r="AM8" i="2" s="1"/>
  <c r="I6" i="4" s="1" a="1"/>
  <c r="I6" i="4" s="1"/>
  <c r="K21" i="4" a="1"/>
  <c r="K21" i="4" s="1"/>
  <c r="AT9" i="2" a="1"/>
  <c r="AT9" i="2" s="1"/>
  <c r="J7" i="4" s="1" a="1"/>
  <c r="J7" i="4" s="1"/>
  <c r="AT48" i="2" a="1"/>
  <c r="AT48" i="2" s="1"/>
  <c r="J46" i="4" s="1" a="1"/>
  <c r="J46" i="4" s="1"/>
  <c r="AT55" i="2" a="1"/>
  <c r="AT55" i="2" s="1"/>
  <c r="V5" i="4" s="1" a="1"/>
  <c r="V5" i="4" s="1"/>
  <c r="AT24" i="2" a="1"/>
  <c r="AT24" i="2" s="1"/>
  <c r="J22" i="4" s="1" a="1"/>
  <c r="J22" i="4" s="1"/>
  <c r="AM30" i="2" a="1"/>
  <c r="AM30" i="2" s="1"/>
  <c r="I28" i="4" s="1" a="1"/>
  <c r="I28" i="4" s="1"/>
  <c r="AM40" i="2" a="1"/>
  <c r="AM40" i="2" s="1"/>
  <c r="I38" i="4" s="1" a="1"/>
  <c r="I38" i="4" s="1"/>
  <c r="BO8" i="2" a="1"/>
  <c r="BO8" i="2" s="1"/>
  <c r="AN8" i="2" a="1"/>
  <c r="AN8" i="2" s="1"/>
  <c r="AN95" i="2" a="1"/>
  <c r="AN95" i="2" s="1"/>
  <c r="H111" i="2" a="1"/>
  <c r="H111" i="2" s="1"/>
  <c r="DK48" i="2" a="1"/>
  <c r="DK48" i="2" s="1"/>
  <c r="DL48" i="2" s="1" a="1"/>
  <c r="DL48" i="2" s="1"/>
  <c r="DK49" i="2" a="1"/>
  <c r="DK49" i="2" s="1"/>
  <c r="DL49" i="2" s="1" a="1"/>
  <c r="DL49" i="2" s="1"/>
  <c r="BO46" i="2" a="1"/>
  <c r="BO46" i="2" s="1"/>
  <c r="DK46" i="2" a="1"/>
  <c r="DK46" i="2" s="1"/>
  <c r="DL46" i="2" s="1" a="1"/>
  <c r="DL46" i="2" s="1"/>
  <c r="DK47" i="2" a="1"/>
  <c r="DK47" i="2" s="1"/>
  <c r="DL47" i="2" s="1" a="1"/>
  <c r="DL47" i="2" s="1"/>
  <c r="AT78" i="2" a="1"/>
  <c r="AT78" i="2" s="1"/>
  <c r="V28" i="4" s="1" a="1"/>
  <c r="V28" i="4" s="1"/>
  <c r="AN25" i="2" a="1"/>
  <c r="AN25" i="2" s="1"/>
  <c r="AT88" i="2" a="1"/>
  <c r="AT88" i="2" s="1"/>
  <c r="V38" i="4" s="1" a="1"/>
  <c r="V38" i="4" s="1"/>
  <c r="AN24" i="2" a="1"/>
  <c r="AN24" i="2" s="1"/>
  <c r="AT97" i="2" a="1"/>
  <c r="AT97" i="2" s="1"/>
  <c r="V47" i="4" s="1" a="1"/>
  <c r="V47" i="4" s="1"/>
  <c r="BU61" i="2" a="1"/>
  <c r="BU61" i="2" s="1"/>
  <c r="AM71" i="2" a="1"/>
  <c r="AM71" i="2" s="1"/>
  <c r="U21" i="4" s="1" a="1"/>
  <c r="U21" i="4" s="1"/>
  <c r="BU60" i="2" a="1"/>
  <c r="BU60" i="2" s="1"/>
  <c r="AT7" i="2" a="1"/>
  <c r="AT7" i="2" s="1"/>
  <c r="J5" i="4" s="1" a="1"/>
  <c r="J5" i="4" s="1"/>
  <c r="AM38" i="2" a="1"/>
  <c r="AM38" i="2" s="1"/>
  <c r="I36" i="4" s="1" a="1"/>
  <c r="I36" i="4" s="1"/>
  <c r="AN56" i="2" a="1"/>
  <c r="AN56" i="2" s="1"/>
  <c r="AM22" i="2" a="1"/>
  <c r="AM22" i="2" s="1"/>
  <c r="I20" i="4" s="1" a="1"/>
  <c r="I20" i="4" s="1"/>
  <c r="W15" i="4" a="1"/>
  <c r="W15" i="4" s="1"/>
  <c r="AN88" i="2" a="1"/>
  <c r="AN88" i="2" s="1"/>
  <c r="K45" i="4" a="1"/>
  <c r="K45" i="4" s="1"/>
  <c r="W20" i="4" a="1"/>
  <c r="W20" i="4" s="1"/>
  <c r="AM94" i="2" a="1"/>
  <c r="AM94" i="2" s="1"/>
  <c r="U44" i="4" s="1" a="1"/>
  <c r="U44" i="4" s="1"/>
  <c r="AM49" i="2" a="1"/>
  <c r="AM49" i="2" s="1"/>
  <c r="I47" i="4" s="1" a="1"/>
  <c r="I47" i="4" s="1"/>
  <c r="AT80" i="2" a="1"/>
  <c r="AT80" i="2" s="1"/>
  <c r="V30" i="4" s="1" a="1"/>
  <c r="V30" i="4" s="1"/>
  <c r="AM41" i="2" a="1"/>
  <c r="AM41" i="2" s="1"/>
  <c r="I39" i="4" s="1" a="1"/>
  <c r="I39" i="4" s="1"/>
  <c r="H103" i="2" a="1"/>
  <c r="H103" i="2" s="1"/>
  <c r="M104" i="2" s="1" a="1"/>
  <c r="M104" i="2" s="1"/>
  <c r="AA102" i="2" s="1" a="1"/>
  <c r="AA102" i="2" s="1"/>
  <c r="DK16" i="2" a="1"/>
  <c r="DK16" i="2" s="1"/>
  <c r="DL16" i="2" s="1" a="1"/>
  <c r="DL16" i="2" s="1"/>
  <c r="DK17" i="2" a="1"/>
  <c r="DK17" i="2" s="1"/>
  <c r="DL17" i="2" s="1" a="1"/>
  <c r="DL17" i="2" s="1"/>
  <c r="DK15" i="2" a="1"/>
  <c r="DK15" i="2" s="1"/>
  <c r="DL15" i="2" s="1" a="1"/>
  <c r="DL15" i="2" s="1"/>
  <c r="DK14" i="2" a="1"/>
  <c r="DK14" i="2" s="1"/>
  <c r="DL14" i="2" s="1" a="1"/>
  <c r="DL14" i="2" s="1"/>
  <c r="BO14" i="2" a="1"/>
  <c r="BO14" i="2" s="1"/>
  <c r="AM7" i="2" a="1"/>
  <c r="AM7" i="2" s="1"/>
  <c r="I5" i="4" s="1" a="1"/>
  <c r="I5" i="4" s="1"/>
  <c r="AM79" i="2" a="1"/>
  <c r="AM79" i="2" s="1"/>
  <c r="U29" i="4" s="1" a="1"/>
  <c r="U29" i="4" s="1"/>
  <c r="K20" i="4" a="1"/>
  <c r="K20" i="4" s="1"/>
  <c r="H110" i="2" a="1"/>
  <c r="H110" i="2" s="1"/>
  <c r="M114" i="2" s="1" a="1"/>
  <c r="M114" i="2" s="1"/>
  <c r="AA115" i="2" s="1" a="1"/>
  <c r="AA115" i="2" s="1"/>
  <c r="DK44" i="2" a="1"/>
  <c r="DK44" i="2" s="1"/>
  <c r="DL44" i="2" s="1" a="1"/>
  <c r="DL44" i="2" s="1"/>
  <c r="BO42" i="2" a="1"/>
  <c r="BO42" i="2" s="1"/>
  <c r="DK43" i="2" a="1"/>
  <c r="DK43" i="2" s="1"/>
  <c r="DL43" i="2" s="1" a="1"/>
  <c r="DL43" i="2" s="1"/>
  <c r="DK45" i="2" a="1"/>
  <c r="DK45" i="2" s="1"/>
  <c r="DL45" i="2" s="1" a="1"/>
  <c r="DL45" i="2" s="1"/>
  <c r="DK42" i="2" a="1"/>
  <c r="DK42" i="2" s="1"/>
  <c r="DL42" i="2" s="1" a="1"/>
  <c r="DL42" i="2" s="1"/>
  <c r="BV69" i="2" a="1"/>
  <c r="BV69" i="2" s="1"/>
  <c r="AT95" i="2" a="1"/>
  <c r="AT95" i="2" s="1"/>
  <c r="V45" i="4" s="1" a="1"/>
  <c r="V45" i="4" s="1"/>
  <c r="AM65" i="2" a="1"/>
  <c r="AM65" i="2" s="1"/>
  <c r="U15" i="4" s="1" a="1"/>
  <c r="U15" i="4" s="1"/>
  <c r="AN62" i="2" a="1"/>
  <c r="AN62" i="2" s="1"/>
  <c r="AM32" i="2" a="1"/>
  <c r="AM32" i="2" s="1"/>
  <c r="I30" i="4" s="1" a="1"/>
  <c r="I30" i="4" s="1"/>
  <c r="AT47" i="2" a="1"/>
  <c r="AT47" i="2" s="1"/>
  <c r="J45" i="4" s="1" a="1"/>
  <c r="J45" i="4" s="1"/>
  <c r="W22" i="4" a="1"/>
  <c r="W22" i="4" s="1"/>
  <c r="AT94" i="2" a="1"/>
  <c r="AT94" i="2" s="1"/>
  <c r="V44" i="4" s="1" a="1"/>
  <c r="V44" i="4" s="1"/>
  <c r="AM15" i="2" a="1"/>
  <c r="AM15" i="2" s="1"/>
  <c r="I13" i="4" s="1" a="1"/>
  <c r="I13" i="4" s="1"/>
  <c r="H102" i="2" a="1"/>
  <c r="H102" i="2" s="1"/>
  <c r="M113" i="2" s="1" a="1"/>
  <c r="M113" i="2" s="1"/>
  <c r="AA113" i="2" s="1" a="1"/>
  <c r="AA113" i="2" s="1"/>
  <c r="DK10" i="2" a="1"/>
  <c r="DK10" i="2" s="1"/>
  <c r="DL10" i="2" s="1" a="1"/>
  <c r="DL10" i="2" s="1"/>
  <c r="DK12" i="2" a="1"/>
  <c r="DK12" i="2" s="1"/>
  <c r="DL12" i="2" s="1" a="1"/>
  <c r="DL12" i="2" s="1"/>
  <c r="DK13" i="2" a="1"/>
  <c r="DK13" i="2" s="1"/>
  <c r="DL13" i="2" s="1" a="1"/>
  <c r="DL13" i="2" s="1"/>
  <c r="DK11" i="2" a="1"/>
  <c r="DK11" i="2" s="1"/>
  <c r="DL11" i="2" s="1" a="1"/>
  <c r="DL11" i="2" s="1"/>
  <c r="BO10" i="2" a="1"/>
  <c r="BO10" i="2" s="1"/>
  <c r="AN65" i="2" a="1"/>
  <c r="AN65" i="2" s="1"/>
  <c r="AT72" i="2" a="1"/>
  <c r="AT72" i="2" s="1"/>
  <c r="V22" i="4" s="1" a="1"/>
  <c r="V22" i="4" s="1"/>
  <c r="H101" i="2" a="1"/>
  <c r="H101" i="2" s="1"/>
  <c r="DK9" i="2" a="1"/>
  <c r="DK9" i="2" s="1"/>
  <c r="DL9" i="2" s="1" a="1"/>
  <c r="DL9" i="2" s="1"/>
  <c r="DK7" i="2" a="1"/>
  <c r="DK7" i="2" s="1"/>
  <c r="DL7" i="2" s="1" a="1"/>
  <c r="DL7" i="2" s="1"/>
  <c r="DK8" i="2" a="1"/>
  <c r="DK8" i="2" s="1"/>
  <c r="DL8" i="2" s="1" a="1"/>
  <c r="DL8" i="2" s="1"/>
  <c r="DK6" i="2" a="1"/>
  <c r="DK6" i="2" s="1"/>
  <c r="DL6" i="2" s="1" a="1"/>
  <c r="DL6" i="2" s="1"/>
  <c r="BO6" i="2" a="1"/>
  <c r="BO6" i="2" s="1"/>
  <c r="AN6" i="2" a="1"/>
  <c r="AN6" i="2" s="1"/>
  <c r="AN94" i="2" a="1"/>
  <c r="AN94" i="2" s="1"/>
  <c r="AT15" i="2" a="1"/>
  <c r="AT15" i="2" s="1"/>
  <c r="J13" i="4" s="1" a="1"/>
  <c r="J13" i="4" s="1"/>
  <c r="AN32" i="2" a="1"/>
  <c r="AN32" i="2" s="1"/>
  <c r="BR6" i="2" a="1"/>
  <c r="BR6" i="2" s="1"/>
  <c r="AM6" i="2" a="1"/>
  <c r="AM6" i="2" s="1"/>
  <c r="I4" i="4" s="1" a="1"/>
  <c r="I4" i="4" s="1"/>
  <c r="AT87" i="2" a="1"/>
  <c r="AT87" i="2" s="1"/>
  <c r="V37" i="4" s="1" a="1"/>
  <c r="V37" i="4" s="1"/>
  <c r="AN15" i="2" a="1"/>
  <c r="AN15" i="2" s="1"/>
  <c r="H105" i="2" a="1"/>
  <c r="H105" i="2" s="1"/>
  <c r="DK24" i="2" a="1"/>
  <c r="DK24" i="2" s="1"/>
  <c r="DL24" i="2" s="1" a="1"/>
  <c r="DL24" i="2" s="1"/>
  <c r="BO22" i="2" a="1"/>
  <c r="BO22" i="2" s="1"/>
  <c r="DK25" i="2" a="1"/>
  <c r="DK25" i="2" s="1"/>
  <c r="DL25" i="2" s="1" a="1"/>
  <c r="DL25" i="2" s="1"/>
  <c r="DK23" i="2" a="1"/>
  <c r="DK23" i="2" s="1"/>
  <c r="DL23" i="2" s="1" a="1"/>
  <c r="DL23" i="2" s="1"/>
  <c r="DK22" i="2" a="1"/>
  <c r="DK22" i="2" s="1"/>
  <c r="DL22" i="2" s="1" a="1"/>
  <c r="DL22" i="2" s="1"/>
  <c r="AN96" i="2" a="1"/>
  <c r="AN96" i="2" s="1"/>
  <c r="CW8" i="2" a="1"/>
  <c r="CW8" i="2" s="1"/>
  <c r="AT8" i="2" a="1"/>
  <c r="AT8" i="2" s="1"/>
  <c r="J6" i="4" s="1" a="1"/>
  <c r="J6" i="4" s="1"/>
  <c r="AM63" i="2" a="1"/>
  <c r="AM63" i="2" s="1"/>
  <c r="U13" i="4" s="1" a="1"/>
  <c r="U13" i="4" s="1"/>
  <c r="AN86" i="2" a="1"/>
  <c r="AN86" i="2" s="1"/>
  <c r="H104" i="2" a="1"/>
  <c r="H104" i="2" s="1"/>
  <c r="BO18" i="2" a="1"/>
  <c r="BO18" i="2" s="1"/>
  <c r="DK20" i="2" a="1"/>
  <c r="DK20" i="2" s="1"/>
  <c r="DL20" i="2" s="1" a="1"/>
  <c r="DL20" i="2" s="1"/>
  <c r="DK21" i="2" a="1"/>
  <c r="DK21" i="2" s="1"/>
  <c r="DL21" i="2" s="1" a="1"/>
  <c r="DL21" i="2" s="1"/>
  <c r="DK18" i="2" a="1"/>
  <c r="DK18" i="2" s="1"/>
  <c r="DL18" i="2" s="1" a="1"/>
  <c r="DL18" i="2" s="1"/>
  <c r="DK19" i="2" a="1"/>
  <c r="DK19" i="2" s="1"/>
  <c r="DL19" i="2" s="1" a="1"/>
  <c r="DL19" i="2" s="1"/>
  <c r="AM62" i="2" a="1"/>
  <c r="AM62" i="2" s="1"/>
  <c r="U12" i="4" s="1" a="1"/>
  <c r="U12" i="4" s="1"/>
  <c r="AM88" i="2" a="1"/>
  <c r="AM88" i="2" s="1"/>
  <c r="U38" i="4" s="1" a="1"/>
  <c r="U38" i="4" s="1"/>
  <c r="AM72" i="2" a="1"/>
  <c r="AM72" i="2" s="1"/>
  <c r="U22" i="4" s="1" a="1"/>
  <c r="U22" i="4" s="1"/>
  <c r="BV63" i="2" l="1" a="1"/>
  <c r="BV63" i="2" s="1"/>
  <c r="BV64" i="2" a="1"/>
  <c r="BV64" i="2" s="1"/>
  <c r="BV58" i="2" a="1"/>
  <c r="BV58" i="2" s="1"/>
  <c r="C95" i="3" a="1"/>
  <c r="C95" i="3" s="1"/>
  <c r="BV62" i="2" a="1"/>
  <c r="BV62" i="2" s="1"/>
  <c r="BV65" i="2" a="1"/>
  <c r="BV65" i="2" s="1"/>
  <c r="C87" i="3" a="1"/>
  <c r="C87" i="3" s="1"/>
  <c r="C116" i="3" a="1"/>
  <c r="C116" i="3" s="1"/>
  <c r="C101" i="3" a="1"/>
  <c r="C101" i="3" s="1"/>
  <c r="C119" i="3" a="1"/>
  <c r="C119" i="3" s="1"/>
  <c r="C118" i="3" a="1"/>
  <c r="C118" i="3" s="1"/>
  <c r="C117" i="3" a="1"/>
  <c r="C117" i="3" s="1"/>
  <c r="C99" i="3" a="1"/>
  <c r="C99" i="3" s="1"/>
  <c r="BV68" i="2" a="1"/>
  <c r="BV68" i="2" s="1"/>
  <c r="BV61" i="2" a="1"/>
  <c r="BV61" i="2" s="1"/>
  <c r="BV59" i="2" a="1"/>
  <c r="BV59" i="2" s="1"/>
  <c r="C89" i="3" a="1"/>
  <c r="C89" i="3" s="1"/>
  <c r="BV60" i="2" a="1"/>
  <c r="BV60" i="2" s="1"/>
  <c r="C90" i="3" a="1"/>
  <c r="C90" i="3" s="1"/>
  <c r="C107" i="3" a="1"/>
  <c r="C107" i="3" s="1"/>
  <c r="AU32" i="2" a="1"/>
  <c r="AU32" i="2" s="1"/>
  <c r="DM20" i="2" a="1"/>
  <c r="DM20" i="2" s="1"/>
  <c r="AU41" i="2" a="1"/>
  <c r="AU41" i="2" s="1"/>
  <c r="DM25" i="2" a="1"/>
  <c r="DM25" i="2" s="1"/>
  <c r="C83" i="3" a="1"/>
  <c r="C83" i="3" s="1"/>
  <c r="C82" i="3" a="1"/>
  <c r="C82" i="3" s="1"/>
  <c r="C81" i="3" a="1"/>
  <c r="C81" i="3" s="1"/>
  <c r="C80" i="3" a="1"/>
  <c r="C80" i="3" s="1"/>
  <c r="AU16" i="2" a="1"/>
  <c r="AU16" i="2" s="1"/>
  <c r="DM12" i="2" a="1"/>
  <c r="DM12" i="2" s="1"/>
  <c r="AU23" i="2" a="1"/>
  <c r="AU23" i="2" s="1"/>
  <c r="DM15" i="2" a="1"/>
  <c r="DM15" i="2" s="1"/>
  <c r="AU54" i="2" a="1"/>
  <c r="AU54" i="2" s="1"/>
  <c r="DM30" i="2" a="1"/>
  <c r="DM30" i="2" s="1"/>
  <c r="AU73" i="2" a="1"/>
  <c r="AU73" i="2" s="1"/>
  <c r="DM41" i="2" a="1"/>
  <c r="DM41" i="2" s="1"/>
  <c r="C84" i="3" a="1"/>
  <c r="C84" i="3" s="1"/>
  <c r="AU14" i="2" a="1"/>
  <c r="AU14" i="2" s="1"/>
  <c r="DM10" i="2" a="1"/>
  <c r="DM10" i="2" s="1"/>
  <c r="AU78" i="2" a="1"/>
  <c r="AU78" i="2" s="1"/>
  <c r="DM42" i="2" a="1"/>
  <c r="DM42" i="2" s="1"/>
  <c r="AU25" i="2" a="1"/>
  <c r="AU25" i="2" s="1"/>
  <c r="DM17" i="2" a="1"/>
  <c r="DM17" i="2" s="1"/>
  <c r="AU56" i="2" a="1"/>
  <c r="AU56" i="2" s="1"/>
  <c r="DM32" i="2" a="1"/>
  <c r="DM32" i="2" s="1"/>
  <c r="C103" i="3" a="1"/>
  <c r="C103" i="3" s="1"/>
  <c r="C85" i="3" a="1"/>
  <c r="C85" i="3" s="1"/>
  <c r="M116" i="2" a="1"/>
  <c r="M116" i="2" s="1"/>
  <c r="AA114" i="2" s="1" a="1"/>
  <c r="AA114" i="2" s="1"/>
  <c r="M109" i="2" a="1"/>
  <c r="M109" i="2" s="1"/>
  <c r="AA110" i="2" s="1" a="1"/>
  <c r="AA110" i="2" s="1"/>
  <c r="AU40" i="2" a="1"/>
  <c r="AU40" i="2" s="1"/>
  <c r="DM24" i="2" a="1"/>
  <c r="DM24" i="2" s="1"/>
  <c r="AU6" i="2" a="1"/>
  <c r="AU6" i="2" s="1"/>
  <c r="DM6" i="2" a="1"/>
  <c r="DM6" i="2" s="1"/>
  <c r="C176" i="3" a="1"/>
  <c r="C176" i="3" s="1"/>
  <c r="B176" i="3" a="1"/>
  <c r="B176" i="3" s="1"/>
  <c r="C142" i="3" a="1"/>
  <c r="C142" i="3" s="1"/>
  <c r="AA45" i="4" a="1"/>
  <c r="AA45" i="4" s="1"/>
  <c r="AU81" i="2" a="1"/>
  <c r="AU81" i="2" s="1"/>
  <c r="DM45" i="2" a="1"/>
  <c r="DM45" i="2" s="1"/>
  <c r="AU24" i="2" a="1"/>
  <c r="AU24" i="2" s="1"/>
  <c r="DM16" i="2" a="1"/>
  <c r="DM16" i="2" s="1"/>
  <c r="AU87" i="2" a="1"/>
  <c r="AU87" i="2" s="1"/>
  <c r="DM47" i="2" a="1"/>
  <c r="DM47" i="2" s="1"/>
  <c r="C172" i="3" a="1"/>
  <c r="C172" i="3" s="1"/>
  <c r="B172" i="3" a="1"/>
  <c r="B172" i="3" s="1"/>
  <c r="C138" i="3" a="1"/>
  <c r="C138" i="3" s="1"/>
  <c r="AA24" i="4" a="1"/>
  <c r="AA24" i="4" s="1"/>
  <c r="BV66" i="2" a="1"/>
  <c r="BV66" i="2" s="1"/>
  <c r="C169" i="3" a="1"/>
  <c r="C169" i="3" s="1"/>
  <c r="B169" i="3" a="1"/>
  <c r="B169" i="3" s="1"/>
  <c r="C135" i="3" a="1"/>
  <c r="C135" i="3" s="1"/>
  <c r="AA6" i="4" a="1"/>
  <c r="AA6" i="4" s="1"/>
  <c r="AU64" i="2" a="1"/>
  <c r="AU64" i="2" s="1"/>
  <c r="DM36" i="2" a="1"/>
  <c r="DM36" i="2" s="1"/>
  <c r="C102" i="3" a="1"/>
  <c r="C102" i="3" s="1"/>
  <c r="C86" i="3" a="1"/>
  <c r="C86" i="3" s="1"/>
  <c r="M102" i="2" a="1"/>
  <c r="M102" i="2" s="1"/>
  <c r="AA103" i="2" s="1" a="1"/>
  <c r="AA103" i="2" s="1"/>
  <c r="M106" i="2" a="1"/>
  <c r="M106" i="2" s="1"/>
  <c r="AA105" i="2" s="1" a="1"/>
  <c r="AA105" i="2" s="1"/>
  <c r="AU8" i="2" a="1"/>
  <c r="AU8" i="2" s="1"/>
  <c r="DM8" i="2" a="1"/>
  <c r="DM8" i="2" s="1"/>
  <c r="AU79" i="2" a="1"/>
  <c r="AU79" i="2" s="1"/>
  <c r="DM43" i="2" a="1"/>
  <c r="DM43" i="2" s="1"/>
  <c r="C131" i="3" a="1"/>
  <c r="C131" i="3" s="1"/>
  <c r="C165" i="3" a="1"/>
  <c r="C165" i="3" s="1"/>
  <c r="B165" i="3" a="1"/>
  <c r="B165" i="3" s="1"/>
  <c r="AA27" i="4" a="1"/>
  <c r="AA27" i="4" s="1"/>
  <c r="AU86" i="2" a="1"/>
  <c r="AU86" i="2" s="1"/>
  <c r="DM46" i="2" a="1"/>
  <c r="DM46" i="2" s="1"/>
  <c r="AU46" i="2" a="1"/>
  <c r="AU46" i="2" s="1"/>
  <c r="DM26" i="2" a="1"/>
  <c r="DM26" i="2" s="1"/>
  <c r="AU62" i="2" a="1"/>
  <c r="AU62" i="2" s="1"/>
  <c r="DM34" i="2" a="1"/>
  <c r="DM34" i="2" s="1"/>
  <c r="C100" i="3" a="1"/>
  <c r="C100" i="3" s="1"/>
  <c r="C123" i="3" a="1"/>
  <c r="C123" i="3" s="1"/>
  <c r="C122" i="3" a="1"/>
  <c r="C122" i="3" s="1"/>
  <c r="C121" i="3" a="1"/>
  <c r="C121" i="3" s="1"/>
  <c r="C120" i="3" a="1"/>
  <c r="C120" i="3" s="1"/>
  <c r="AU7" i="2" a="1"/>
  <c r="AU7" i="2" s="1"/>
  <c r="DM7" i="2" a="1"/>
  <c r="DM7" i="2" s="1"/>
  <c r="AU95" i="2" a="1"/>
  <c r="AU95" i="2" s="1"/>
  <c r="DM51" i="2" a="1"/>
  <c r="DM51" i="2" s="1"/>
  <c r="C92" i="3" a="1"/>
  <c r="C92" i="3" s="1"/>
  <c r="AU80" i="2" a="1"/>
  <c r="AU80" i="2" s="1"/>
  <c r="DM44" i="2" a="1"/>
  <c r="DM44" i="2" s="1"/>
  <c r="AU89" i="2" a="1"/>
  <c r="AU89" i="2" s="1"/>
  <c r="DM49" i="2" a="1"/>
  <c r="DM49" i="2" s="1"/>
  <c r="AU48" i="2" a="1"/>
  <c r="AU48" i="2" s="1"/>
  <c r="DM28" i="2" a="1"/>
  <c r="DM28" i="2" s="1"/>
  <c r="AU65" i="2" a="1"/>
  <c r="AU65" i="2" s="1"/>
  <c r="DM37" i="2" a="1"/>
  <c r="DM37" i="2" s="1"/>
  <c r="C93" i="3" a="1"/>
  <c r="C93" i="3" s="1"/>
  <c r="AU9" i="2" a="1"/>
  <c r="AU9" i="2" s="1"/>
  <c r="DM9" i="2" a="1"/>
  <c r="DM9" i="2" s="1"/>
  <c r="H113" i="2" a="1"/>
  <c r="H113" i="2" s="1"/>
  <c r="M107" i="2" a="1"/>
  <c r="M107" i="2" s="1"/>
  <c r="AA107" i="2" s="1" a="1"/>
  <c r="AA107" i="2" s="1"/>
  <c r="M101" i="2" a="1"/>
  <c r="M101" i="2" s="1"/>
  <c r="AA101" i="2" s="1" a="1"/>
  <c r="AA101" i="2" s="1"/>
  <c r="C178" i="3" a="1"/>
  <c r="C178" i="3" s="1"/>
  <c r="B178" i="3" a="1"/>
  <c r="B178" i="3" s="1"/>
  <c r="C144" i="3" a="1"/>
  <c r="C144" i="3" s="1"/>
  <c r="AA39" i="4" a="1"/>
  <c r="AA39" i="4" s="1"/>
  <c r="AU88" i="2" a="1"/>
  <c r="AU88" i="2" s="1"/>
  <c r="DM48" i="2" a="1"/>
  <c r="DM48" i="2" s="1"/>
  <c r="AU96" i="2" a="1"/>
  <c r="AU96" i="2" s="1"/>
  <c r="DM52" i="2" a="1"/>
  <c r="DM52" i="2" s="1"/>
  <c r="AU47" i="2" a="1"/>
  <c r="AU47" i="2" s="1"/>
  <c r="DM27" i="2" a="1"/>
  <c r="DM27" i="2" s="1"/>
  <c r="AU63" i="2" a="1"/>
  <c r="AU63" i="2" s="1"/>
  <c r="DM35" i="2" a="1"/>
  <c r="DM35" i="2" s="1"/>
  <c r="C94" i="3" a="1"/>
  <c r="C94" i="3" s="1"/>
  <c r="M115" i="2" a="1"/>
  <c r="M115" i="2" s="1"/>
  <c r="AA116" i="2" s="1" a="1"/>
  <c r="AA116" i="2" s="1"/>
  <c r="M111" i="2" a="1"/>
  <c r="M111" i="2" s="1"/>
  <c r="AA112" i="2" s="1" a="1"/>
  <c r="AA112" i="2" s="1"/>
  <c r="AU94" i="2" a="1"/>
  <c r="AU94" i="2" s="1"/>
  <c r="DM50" i="2" a="1"/>
  <c r="DM50" i="2" s="1"/>
  <c r="AU49" i="2" a="1"/>
  <c r="AU49" i="2" s="1"/>
  <c r="DM29" i="2" a="1"/>
  <c r="DM29" i="2" s="1"/>
  <c r="C140" i="3" a="1"/>
  <c r="C140" i="3" s="1"/>
  <c r="C174" i="3" a="1"/>
  <c r="C174" i="3" s="1"/>
  <c r="B174" i="3" a="1"/>
  <c r="B174" i="3" s="1"/>
  <c r="AA18" i="4" a="1"/>
  <c r="AA18" i="4" s="1"/>
  <c r="C111" i="3" a="1"/>
  <c r="C111" i="3" s="1"/>
  <c r="C110" i="3" a="1"/>
  <c r="C110" i="3" s="1"/>
  <c r="C109" i="3" a="1"/>
  <c r="C109" i="3" s="1"/>
  <c r="C108" i="3" a="1"/>
  <c r="C108" i="3" s="1"/>
  <c r="AU97" i="2" a="1"/>
  <c r="AU97" i="2" s="1"/>
  <c r="DM53" i="2" a="1"/>
  <c r="DM53" i="2" s="1"/>
  <c r="C167" i="3" a="1"/>
  <c r="C167" i="3" s="1"/>
  <c r="B167" i="3" a="1"/>
  <c r="B167" i="3" s="1"/>
  <c r="C133" i="3" a="1"/>
  <c r="C133" i="3" s="1"/>
  <c r="AA12" i="4" a="1"/>
  <c r="AA12" i="4" s="1"/>
  <c r="C104" i="3" a="1"/>
  <c r="C104" i="3" s="1"/>
  <c r="C96" i="3" a="1"/>
  <c r="C96" i="3" s="1"/>
  <c r="AU31" i="2" a="1"/>
  <c r="AU31" i="2" s="1"/>
  <c r="DM19" i="2" a="1"/>
  <c r="DM19" i="2" s="1"/>
  <c r="AU55" i="2" a="1"/>
  <c r="AU55" i="2" s="1"/>
  <c r="DM31" i="2" a="1"/>
  <c r="DM31" i="2" s="1"/>
  <c r="AU72" i="2" a="1"/>
  <c r="AU72" i="2" s="1"/>
  <c r="DM40" i="2" a="1"/>
  <c r="DM40" i="2" s="1"/>
  <c r="C91" i="3" a="1"/>
  <c r="C91" i="3" s="1"/>
  <c r="C137" i="3" a="1"/>
  <c r="C137" i="3" s="1"/>
  <c r="B171" i="3" a="1"/>
  <c r="B171" i="3" s="1"/>
  <c r="C171" i="3" a="1"/>
  <c r="C171" i="3" s="1"/>
  <c r="AA36" i="4" a="1"/>
  <c r="AA36" i="4" s="1"/>
  <c r="C105" i="3" a="1"/>
  <c r="C105" i="3" s="1"/>
  <c r="C97" i="3" a="1"/>
  <c r="C97" i="3" s="1"/>
  <c r="AU30" i="2" a="1"/>
  <c r="AU30" i="2" s="1"/>
  <c r="DM18" i="2" a="1"/>
  <c r="DM18" i="2" s="1"/>
  <c r="AU38" i="2" a="1"/>
  <c r="AU38" i="2" s="1"/>
  <c r="DM22" i="2" a="1"/>
  <c r="DM22" i="2" s="1"/>
  <c r="AU15" i="2" a="1"/>
  <c r="AU15" i="2" s="1"/>
  <c r="DM11" i="2" a="1"/>
  <c r="DM11" i="2" s="1"/>
  <c r="AU57" i="2" a="1"/>
  <c r="AU57" i="2" s="1"/>
  <c r="DM33" i="2" a="1"/>
  <c r="DM33" i="2" s="1"/>
  <c r="AU70" i="2" a="1"/>
  <c r="AU70" i="2" s="1"/>
  <c r="DM38" i="2" a="1"/>
  <c r="DM38" i="2" s="1"/>
  <c r="C88" i="3" a="1"/>
  <c r="C88" i="3" s="1"/>
  <c r="C106" i="3" a="1"/>
  <c r="C106" i="3" s="1"/>
  <c r="C98" i="3" a="1"/>
  <c r="C98" i="3" s="1"/>
  <c r="AU33" i="2" a="1"/>
  <c r="AU33" i="2" s="1"/>
  <c r="DM21" i="2" a="1"/>
  <c r="DM21" i="2" s="1"/>
  <c r="AU39" i="2" a="1"/>
  <c r="AU39" i="2" s="1"/>
  <c r="DM23" i="2" a="1"/>
  <c r="DM23" i="2" s="1"/>
  <c r="C125" i="3" a="1"/>
  <c r="C125" i="3" s="1"/>
  <c r="C124" i="3" a="1"/>
  <c r="C124" i="3" s="1"/>
  <c r="C127" i="3" a="1"/>
  <c r="C127" i="3" s="1"/>
  <c r="C126" i="3" a="1"/>
  <c r="C126" i="3" s="1"/>
  <c r="AU17" i="2" a="1"/>
  <c r="AU17" i="2" s="1"/>
  <c r="DM13" i="2" a="1"/>
  <c r="DM13" i="2" s="1"/>
  <c r="AU22" i="2" a="1"/>
  <c r="AU22" i="2" s="1"/>
  <c r="DM14" i="2" a="1"/>
  <c r="DM14" i="2" s="1"/>
  <c r="C113" i="3" a="1"/>
  <c r="C113" i="3" s="1"/>
  <c r="C112" i="3" a="1"/>
  <c r="C112" i="3" s="1"/>
  <c r="C115" i="3" a="1"/>
  <c r="C115" i="3" s="1"/>
  <c r="C114" i="3" a="1"/>
  <c r="C114" i="3" s="1"/>
  <c r="AU71" i="2" a="1"/>
  <c r="AU71" i="2" s="1"/>
  <c r="DM39" i="2" a="1"/>
  <c r="DM39" i="2" s="1"/>
  <c r="BW69" i="2" l="1" a="1"/>
  <c r="BW69" i="2" s="1"/>
  <c r="BX69" i="2" s="1" a="1"/>
  <c r="BX69" i="2" s="1"/>
  <c r="BW58" i="2" a="1"/>
  <c r="BW58" i="2" s="1"/>
  <c r="BX58" i="2" s="1" a="1"/>
  <c r="BX58" i="2" s="1"/>
  <c r="BW63" i="2" a="1"/>
  <c r="BW63" i="2" s="1"/>
  <c r="BX63" i="2" s="1" a="1"/>
  <c r="BX63" i="2" s="1"/>
  <c r="BW64" i="2" a="1"/>
  <c r="BW64" i="2" s="1"/>
  <c r="BX64" i="2" s="1" a="1"/>
  <c r="BX64" i="2" s="1"/>
  <c r="BW67" i="2" a="1"/>
  <c r="BW67" i="2" s="1"/>
  <c r="BX67" i="2" s="1" a="1"/>
  <c r="BX67" i="2" s="1"/>
  <c r="BW60" i="2" a="1"/>
  <c r="BW60" i="2" s="1"/>
  <c r="BX60" i="2" s="1" a="1"/>
  <c r="BX60" i="2" s="1"/>
  <c r="BW59" i="2" a="1"/>
  <c r="BW59" i="2" s="1"/>
  <c r="BX59" i="2" s="1" a="1"/>
  <c r="BX59" i="2" s="1"/>
  <c r="AU21" i="2" a="1"/>
  <c r="AU21" i="2" s="1"/>
  <c r="AV20" i="2" s="1" a="1"/>
  <c r="AV20" i="2" s="1"/>
  <c r="AU69" i="2" a="1"/>
  <c r="AU69" i="2" s="1"/>
  <c r="AV68" i="2" s="1" a="1"/>
  <c r="AV68" i="2" s="1"/>
  <c r="AU37" i="2" a="1"/>
  <c r="AU37" i="2" s="1"/>
  <c r="AV36" i="2" s="1" a="1"/>
  <c r="AV36" i="2" s="1"/>
  <c r="AU93" i="2" a="1"/>
  <c r="AU93" i="2" s="1"/>
  <c r="AV92" i="2" s="1" a="1"/>
  <c r="AV92" i="2" s="1"/>
  <c r="AZ110" i="2" a="1"/>
  <c r="AZ110" i="2" s="1"/>
  <c r="AZ109" i="2" a="1"/>
  <c r="AZ109" i="2" s="1"/>
  <c r="AZ108" i="2" a="1"/>
  <c r="AZ108" i="2" s="1"/>
  <c r="AZ103" i="2" a="1"/>
  <c r="AZ103" i="2" s="1"/>
  <c r="AZ105" i="2" a="1"/>
  <c r="AZ105" i="2" s="1"/>
  <c r="AZ107" i="2" a="1"/>
  <c r="AZ107" i="2" s="1"/>
  <c r="AZ106" i="2" a="1"/>
  <c r="AZ106" i="2" s="1"/>
  <c r="AZ104" i="2" a="1"/>
  <c r="AZ104" i="2" s="1"/>
  <c r="AA37" i="4" a="1"/>
  <c r="AA37" i="4" s="1"/>
  <c r="AA22" i="4" a="1"/>
  <c r="AA22" i="4" s="1"/>
  <c r="AA4" i="4" a="1"/>
  <c r="AA4" i="4" s="1"/>
  <c r="AA7" i="4" a="1"/>
  <c r="AA7" i="4" s="1"/>
  <c r="AA46" i="4" a="1"/>
  <c r="AA46" i="4" s="1"/>
  <c r="AA49" i="4" a="1"/>
  <c r="AA49" i="4" s="1"/>
  <c r="AA25" i="4" a="1"/>
  <c r="AA25" i="4" s="1"/>
  <c r="AA34" i="4" a="1"/>
  <c r="AA34" i="4" s="1"/>
  <c r="AU5" i="2" a="1"/>
  <c r="AU5" i="2" s="1"/>
  <c r="AV4" i="2" s="1" a="1"/>
  <c r="AV4" i="2" s="1"/>
  <c r="AU77" i="2" a="1"/>
  <c r="AU77" i="2" s="1"/>
  <c r="AV76" i="2" s="1" a="1"/>
  <c r="AV76" i="2" s="1"/>
  <c r="AU29" i="2" a="1"/>
  <c r="AU29" i="2" s="1"/>
  <c r="AV28" i="2" s="1" a="1"/>
  <c r="AV28" i="2" s="1"/>
  <c r="AU13" i="2" a="1"/>
  <c r="AU13" i="2" s="1"/>
  <c r="AV12" i="2" s="1" a="1"/>
  <c r="AV12" i="2" s="1"/>
  <c r="C173" i="3" a="1"/>
  <c r="C173" i="3" s="1"/>
  <c r="B173" i="3" a="1"/>
  <c r="B173" i="3" s="1"/>
  <c r="C139" i="3" a="1"/>
  <c r="C139" i="3" s="1"/>
  <c r="AA21" i="4" a="1"/>
  <c r="AA21" i="4" s="1"/>
  <c r="C175" i="3" a="1"/>
  <c r="C175" i="3" s="1"/>
  <c r="B175" i="3" a="1"/>
  <c r="B175" i="3" s="1"/>
  <c r="C141" i="3" a="1"/>
  <c r="C141" i="3" s="1"/>
  <c r="AA15" i="4" a="1"/>
  <c r="AA15" i="4" s="1"/>
  <c r="C143" i="3" a="1"/>
  <c r="C143" i="3" s="1"/>
  <c r="C177" i="3" a="1"/>
  <c r="C177" i="3" s="1"/>
  <c r="B177" i="3" a="1"/>
  <c r="B177" i="3" s="1"/>
  <c r="AA42" i="4" a="1"/>
  <c r="AA42" i="4" s="1"/>
  <c r="C179" i="3" a="1"/>
  <c r="C179" i="3" s="1"/>
  <c r="B179" i="3" a="1"/>
  <c r="B179" i="3" s="1"/>
  <c r="C145" i="3" a="1"/>
  <c r="C145" i="3" s="1"/>
  <c r="AA48" i="4" a="1"/>
  <c r="AA48" i="4" s="1"/>
  <c r="AU61" i="2" a="1"/>
  <c r="AU61" i="2" s="1"/>
  <c r="AV60" i="2" s="1" a="1"/>
  <c r="AV60" i="2" s="1"/>
  <c r="AU53" i="2" a="1"/>
  <c r="AU53" i="2" s="1"/>
  <c r="AV52" i="2" s="1" a="1"/>
  <c r="AV52" i="2" s="1"/>
  <c r="C134" i="3" a="1"/>
  <c r="C134" i="3" s="1"/>
  <c r="C168" i="3" a="1"/>
  <c r="C168" i="3" s="1"/>
  <c r="B168" i="3" a="1"/>
  <c r="B168" i="3" s="1"/>
  <c r="AA30" i="4" a="1"/>
  <c r="AA30" i="4" s="1"/>
  <c r="BW66" i="2" a="1"/>
  <c r="BW66" i="2" s="1"/>
  <c r="BX66" i="2" s="1" a="1"/>
  <c r="BX66" i="2" s="1"/>
  <c r="BW61" i="2" a="1"/>
  <c r="BW61" i="2" s="1"/>
  <c r="AU45" i="2" a="1"/>
  <c r="AU45" i="2" s="1"/>
  <c r="AV44" i="2" s="1" a="1"/>
  <c r="AV44" i="2" s="1"/>
  <c r="C166" i="3" a="1"/>
  <c r="C166" i="3" s="1"/>
  <c r="C132" i="3" a="1"/>
  <c r="C132" i="3" s="1"/>
  <c r="B166" i="3" a="1"/>
  <c r="B166" i="3" s="1"/>
  <c r="AA3" i="4" a="1"/>
  <c r="AA3" i="4" s="1"/>
  <c r="C164" i="3" a="1"/>
  <c r="C164" i="3" s="1"/>
  <c r="B164" i="3" a="1"/>
  <c r="B164" i="3" s="1"/>
  <c r="C130" i="3" a="1"/>
  <c r="C130" i="3" s="1"/>
  <c r="AA9" i="4" a="1"/>
  <c r="AA9" i="4" s="1"/>
  <c r="BW65" i="2" a="1"/>
  <c r="BW65" i="2" s="1"/>
  <c r="C170" i="3" a="1"/>
  <c r="C170" i="3" s="1"/>
  <c r="B170" i="3" a="1"/>
  <c r="B170" i="3" s="1"/>
  <c r="C136" i="3" a="1"/>
  <c r="C136" i="3" s="1"/>
  <c r="AA33" i="4" a="1"/>
  <c r="AA33" i="4" s="1"/>
  <c r="BW68" i="2" a="1"/>
  <c r="BW68" i="2" s="1"/>
  <c r="BW62" i="2" a="1"/>
  <c r="BW62" i="2" s="1"/>
  <c r="AU85" i="2" a="1"/>
  <c r="AU85" i="2" s="1"/>
  <c r="AV84" i="2" s="1" a="1"/>
  <c r="AV84" i="2" s="1"/>
  <c r="BY63" i="2" l="1" a="1"/>
  <c r="BY63" i="2" s="1"/>
  <c r="BI50" i="4" a="1"/>
  <c r="BI50" i="4" s="1"/>
  <c r="BH50" i="4" s="1" a="1"/>
  <c r="BH50" i="4" s="1"/>
  <c r="BI46" i="4" a="1"/>
  <c r="BI46" i="4" s="1"/>
  <c r="BH46" i="4" s="1" a="1"/>
  <c r="BH46" i="4" s="1"/>
  <c r="BI49" i="4" a="1"/>
  <c r="BI49" i="4" s="1"/>
  <c r="BH49" i="4" s="1" a="1"/>
  <c r="BH49" i="4" s="1"/>
  <c r="BI51" i="4" a="1"/>
  <c r="BI51" i="4" s="1"/>
  <c r="BH51" i="4" s="1" a="1"/>
  <c r="BH51" i="4" s="1"/>
  <c r="BI30" i="4" a="1"/>
  <c r="BI30" i="4" s="1"/>
  <c r="BH30" i="4" s="1" a="1"/>
  <c r="BH30" i="4" s="1"/>
  <c r="BI36" i="4" a="1"/>
  <c r="BI36" i="4" s="1"/>
  <c r="BH36" i="4" s="1" a="1"/>
  <c r="BH36" i="4" s="1"/>
  <c r="BI32" i="4" a="1"/>
  <c r="BI32" i="4" s="1"/>
  <c r="BH32" i="4" s="1" a="1"/>
  <c r="BH32" i="4" s="1"/>
  <c r="BI22" i="4" a="1"/>
  <c r="BI22" i="4" s="1"/>
  <c r="BH22" i="4" s="1" a="1"/>
  <c r="BH22" i="4" s="1"/>
  <c r="BI42" i="4" a="1"/>
  <c r="BI42" i="4" s="1"/>
  <c r="BH42" i="4" s="1" a="1"/>
  <c r="BH42" i="4" s="1"/>
  <c r="BI37" i="4" a="1"/>
  <c r="BI37" i="4" s="1"/>
  <c r="BH37" i="4" s="1" a="1"/>
  <c r="BH37" i="4" s="1"/>
  <c r="BI28" i="4" a="1"/>
  <c r="BI28" i="4" s="1"/>
  <c r="BH28" i="4" s="1" a="1"/>
  <c r="BH28" i="4" s="1"/>
  <c r="BI48" i="4" a="1"/>
  <c r="BI48" i="4" s="1"/>
  <c r="BH48" i="4" s="1" a="1"/>
  <c r="BH48" i="4" s="1"/>
  <c r="BI47" i="4" a="1"/>
  <c r="BI47" i="4" s="1"/>
  <c r="BH47" i="4" s="1" a="1"/>
  <c r="BH47" i="4" s="1"/>
  <c r="BI44" i="4" a="1"/>
  <c r="BI44" i="4" s="1"/>
  <c r="BH44" i="4" s="1" a="1"/>
  <c r="BH44" i="4" s="1"/>
  <c r="BI43" i="4" a="1"/>
  <c r="BI43" i="4" s="1"/>
  <c r="BH43" i="4" s="1" a="1"/>
  <c r="BH43" i="4" s="1"/>
  <c r="BI40" i="4" a="1"/>
  <c r="BI40" i="4" s="1"/>
  <c r="BH40" i="4" s="1" a="1"/>
  <c r="BH40" i="4" s="1"/>
  <c r="BI26" i="4" a="1"/>
  <c r="BI26" i="4" s="1"/>
  <c r="BH26" i="4" s="1" a="1"/>
  <c r="BH26" i="4" s="1"/>
  <c r="BI25" i="4" a="1"/>
  <c r="BI25" i="4" s="1"/>
  <c r="BH25" i="4" s="1" a="1"/>
  <c r="BH25" i="4" s="1"/>
  <c r="BI17" i="4" a="1"/>
  <c r="BI17" i="4" s="1"/>
  <c r="BH17" i="4" s="1" a="1"/>
  <c r="BH17" i="4" s="1"/>
  <c r="BI15" i="4" a="1"/>
  <c r="BI15" i="4" s="1"/>
  <c r="BH15" i="4" s="1" a="1"/>
  <c r="BH15" i="4" s="1"/>
  <c r="BI11" i="4" a="1"/>
  <c r="BI11" i="4" s="1"/>
  <c r="BH11" i="4" s="1" a="1"/>
  <c r="BH11" i="4" s="1"/>
  <c r="BI34" i="4" a="1"/>
  <c r="BI34" i="4" s="1"/>
  <c r="BH34" i="4" s="1" a="1"/>
  <c r="BH34" i="4" s="1"/>
  <c r="BI41" i="4" a="1"/>
  <c r="BI41" i="4" s="1"/>
  <c r="BH41" i="4" s="1" a="1"/>
  <c r="BH41" i="4" s="1"/>
  <c r="BI33" i="4" a="1"/>
  <c r="BI33" i="4" s="1"/>
  <c r="BH33" i="4" s="1" a="1"/>
  <c r="BH33" i="4" s="1"/>
  <c r="BI31" i="4" a="1"/>
  <c r="BI31" i="4" s="1"/>
  <c r="BH31" i="4" s="1" a="1"/>
  <c r="BH31" i="4" s="1"/>
  <c r="BI14" i="4" a="1"/>
  <c r="BI14" i="4" s="1"/>
  <c r="BH14" i="4" s="1" a="1"/>
  <c r="BH14" i="4" s="1"/>
  <c r="BI27" i="4" a="1"/>
  <c r="BI27" i="4" s="1"/>
  <c r="BH27" i="4" s="1" a="1"/>
  <c r="BH27" i="4" s="1"/>
  <c r="BI45" i="4" a="1"/>
  <c r="BI45" i="4" s="1"/>
  <c r="BH45" i="4" s="1" a="1"/>
  <c r="BH45" i="4" s="1"/>
  <c r="BI39" i="4" a="1"/>
  <c r="BI39" i="4" s="1"/>
  <c r="BH39" i="4" s="1" a="1"/>
  <c r="BH39" i="4" s="1"/>
  <c r="BI24" i="4" a="1"/>
  <c r="BI24" i="4" s="1"/>
  <c r="BH24" i="4" s="1" a="1"/>
  <c r="BH24" i="4" s="1"/>
  <c r="BI23" i="4" a="1"/>
  <c r="BI23" i="4" s="1"/>
  <c r="BH23" i="4" s="1" a="1"/>
  <c r="BH23" i="4" s="1"/>
  <c r="BI10" i="4" a="1"/>
  <c r="BI10" i="4" s="1"/>
  <c r="BH10" i="4" s="1" a="1"/>
  <c r="BH10" i="4" s="1"/>
  <c r="BI19" i="4" a="1"/>
  <c r="BI19" i="4" s="1"/>
  <c r="BH19" i="4" s="1" a="1"/>
  <c r="BH19" i="4" s="1"/>
  <c r="BI13" i="4" a="1"/>
  <c r="BI13" i="4" s="1"/>
  <c r="BH13" i="4" s="1" a="1"/>
  <c r="BH13" i="4" s="1"/>
  <c r="BI9" i="4" a="1"/>
  <c r="BI9" i="4" s="1"/>
  <c r="BH9" i="4" s="1" a="1"/>
  <c r="BH9" i="4" s="1"/>
  <c r="BI38" i="4" a="1"/>
  <c r="BI38" i="4" s="1"/>
  <c r="BH38" i="4" s="1" a="1"/>
  <c r="BH38" i="4" s="1"/>
  <c r="BI29" i="4" a="1"/>
  <c r="BI29" i="4" s="1"/>
  <c r="BH29" i="4" s="1" a="1"/>
  <c r="BH29" i="4" s="1"/>
  <c r="BI16" i="4" a="1"/>
  <c r="BI16" i="4" s="1"/>
  <c r="BH16" i="4" s="1" a="1"/>
  <c r="BH16" i="4" s="1"/>
  <c r="BI20" i="4" a="1"/>
  <c r="BI20" i="4" s="1"/>
  <c r="BH20" i="4" s="1" a="1"/>
  <c r="BH20" i="4" s="1"/>
  <c r="BI7" i="4" a="1"/>
  <c r="BI7" i="4" s="1"/>
  <c r="BH7" i="4" s="1" a="1"/>
  <c r="BH7" i="4" s="1"/>
  <c r="BI8" i="4" a="1"/>
  <c r="BI8" i="4" s="1"/>
  <c r="BH8" i="4" s="1" a="1"/>
  <c r="BH8" i="4" s="1"/>
  <c r="BI6" i="4" a="1"/>
  <c r="BI6" i="4" s="1"/>
  <c r="BH6" i="4" s="1" a="1"/>
  <c r="BH6" i="4" s="1"/>
  <c r="BI5" i="4" a="1"/>
  <c r="BI5" i="4" s="1"/>
  <c r="BH5" i="4" s="1" a="1"/>
  <c r="BH5" i="4" s="1"/>
  <c r="BI4" i="4" a="1"/>
  <c r="BI4" i="4" s="1"/>
  <c r="BH4" i="4" s="1" a="1"/>
  <c r="BH4" i="4" s="1"/>
  <c r="BI35" i="4" a="1"/>
  <c r="BI35" i="4" s="1"/>
  <c r="BH35" i="4" s="1" a="1"/>
  <c r="BH35" i="4" s="1"/>
  <c r="BI12" i="4" a="1"/>
  <c r="BI12" i="4" s="1"/>
  <c r="BH12" i="4" s="1" a="1"/>
  <c r="BH12" i="4" s="1"/>
  <c r="BI21" i="4" a="1"/>
  <c r="BI21" i="4" s="1"/>
  <c r="BH21" i="4" s="1" a="1"/>
  <c r="BH21" i="4" s="1"/>
  <c r="BI18" i="4" a="1"/>
  <c r="BI18" i="4" s="1"/>
  <c r="BH18" i="4" s="1" a="1"/>
  <c r="BH18" i="4" s="1"/>
  <c r="DF46" i="2" a="1"/>
  <c r="DF46" i="2" s="1"/>
  <c r="DF29" i="2" a="1"/>
  <c r="DF29" i="2" s="1"/>
  <c r="DF16" i="2" a="1"/>
  <c r="DF16" i="2" s="1"/>
  <c r="DF43" i="2" a="1"/>
  <c r="DF43" i="2" s="1"/>
  <c r="DF41" i="2" a="1"/>
  <c r="DF41" i="2" s="1"/>
  <c r="DF25" i="2" a="1"/>
  <c r="DF25" i="2" s="1"/>
  <c r="DF10" i="2" a="1"/>
  <c r="DF10" i="2" s="1"/>
  <c r="DF53" i="2" a="1"/>
  <c r="DF53" i="2" s="1"/>
  <c r="DF45" i="2" a="1"/>
  <c r="DF45" i="2" s="1"/>
  <c r="DF27" i="2" a="1"/>
  <c r="DF27" i="2" s="1"/>
  <c r="DF14" i="2" a="1"/>
  <c r="DF14" i="2" s="1"/>
  <c r="DF49" i="2" a="1"/>
  <c r="DF49" i="2" s="1"/>
  <c r="DF40" i="2" a="1"/>
  <c r="DF40" i="2" s="1"/>
  <c r="DF23" i="2" a="1"/>
  <c r="DF23" i="2" s="1"/>
  <c r="DF52" i="2" a="1"/>
  <c r="DF52" i="2" s="1"/>
  <c r="DF47" i="2" a="1"/>
  <c r="DF47" i="2" s="1"/>
  <c r="DF22" i="2" a="1"/>
  <c r="DF22" i="2" s="1"/>
  <c r="DF51" i="2" a="1"/>
  <c r="DF51" i="2" s="1"/>
  <c r="DF39" i="2" a="1"/>
  <c r="DF39" i="2" s="1"/>
  <c r="DF20" i="2" a="1"/>
  <c r="DF20" i="2" s="1"/>
  <c r="DF11" i="2" a="1"/>
  <c r="DF11" i="2" s="1"/>
  <c r="DF50" i="2" a="1"/>
  <c r="DF50" i="2" s="1"/>
  <c r="DF36" i="2" a="1"/>
  <c r="DF36" i="2" s="1"/>
  <c r="DF18" i="2" a="1"/>
  <c r="DF18" i="2" s="1"/>
  <c r="DF48" i="2" a="1"/>
  <c r="DF48" i="2" s="1"/>
  <c r="DF33" i="2" a="1"/>
  <c r="DF33" i="2" s="1"/>
  <c r="DF21" i="2" a="1"/>
  <c r="DF21" i="2" s="1"/>
  <c r="DF15" i="2" a="1"/>
  <c r="DF15" i="2" s="1"/>
  <c r="DF38" i="2" a="1"/>
  <c r="DF38" i="2" s="1"/>
  <c r="DF34" i="2" a="1"/>
  <c r="DF34" i="2" s="1"/>
  <c r="DF26" i="2" a="1"/>
  <c r="DF26" i="2" s="1"/>
  <c r="DF19" i="2" a="1"/>
  <c r="DF19" i="2" s="1"/>
  <c r="DF37" i="2" a="1"/>
  <c r="DF37" i="2" s="1"/>
  <c r="DF31" i="2" a="1"/>
  <c r="DF31" i="2" s="1"/>
  <c r="DF24" i="2" a="1"/>
  <c r="DF24" i="2" s="1"/>
  <c r="DF17" i="2" a="1"/>
  <c r="DF17" i="2" s="1"/>
  <c r="DF44" i="2" a="1"/>
  <c r="DF44" i="2" s="1"/>
  <c r="DF32" i="2" a="1"/>
  <c r="DF32" i="2" s="1"/>
  <c r="DF35" i="2" a="1"/>
  <c r="DF35" i="2" s="1"/>
  <c r="DF12" i="2" a="1"/>
  <c r="DF12" i="2" s="1"/>
  <c r="DF42" i="2" a="1"/>
  <c r="DF42" i="2" s="1"/>
  <c r="DF30" i="2" a="1"/>
  <c r="DF30" i="2" s="1"/>
  <c r="DF28" i="2" a="1"/>
  <c r="DF28" i="2" s="1"/>
  <c r="DF13" i="2" a="1"/>
  <c r="DF13" i="2" s="1"/>
  <c r="BY69" i="2" a="1"/>
  <c r="BY69" i="2" s="1"/>
  <c r="BX62" i="2" a="1"/>
  <c r="BX62" i="2" s="1"/>
  <c r="BX68" i="2" a="1"/>
  <c r="BX68" i="2" s="1"/>
  <c r="BX65" i="2" a="1"/>
  <c r="BX65" i="2" s="1"/>
  <c r="BX61" i="2" a="1"/>
  <c r="BX61" i="2" s="1"/>
  <c r="BY62" i="2" l="1" a="1"/>
  <c r="BY62" i="2" s="1"/>
  <c r="BY68" i="2" a="1"/>
  <c r="BY68" i="2" s="1"/>
  <c r="BY65" i="2" a="1"/>
  <c r="BY65" i="2" s="1"/>
  <c r="BY61" i="2" a="1"/>
  <c r="BY61" i="2" s="1"/>
  <c r="BY58" i="2" a="1"/>
  <c r="BY58" i="2" s="1"/>
  <c r="BY59" i="2" a="1"/>
  <c r="BY59" i="2" s="1"/>
  <c r="BY67" i="2" a="1"/>
  <c r="BY67" i="2" s="1"/>
  <c r="BY64" i="2" a="1"/>
  <c r="BY64" i="2" s="1"/>
  <c r="BY60" i="2" a="1"/>
  <c r="BY60" i="2" s="1"/>
  <c r="BY66" i="2" a="1"/>
  <c r="BY66" i="2" s="1"/>
  <c r="BZ60" i="2" l="1" a="1"/>
  <c r="BZ60" i="2" s="1"/>
  <c r="BZ64" i="2" a="1"/>
  <c r="BZ64" i="2" s="1"/>
  <c r="BZ66" i="2" a="1"/>
  <c r="BZ66" i="2" s="1"/>
  <c r="BZ67" i="2" a="1"/>
  <c r="BZ67" i="2" s="1"/>
  <c r="BZ59" i="2" a="1"/>
  <c r="BZ59" i="2" s="1"/>
  <c r="BZ58" i="2" a="1"/>
  <c r="BZ58" i="2" s="1"/>
  <c r="BZ63" i="2" a="1"/>
  <c r="BZ63" i="2" s="1"/>
  <c r="BZ69" i="2" a="1"/>
  <c r="BZ69" i="2" s="1"/>
  <c r="BZ61" i="2" a="1"/>
  <c r="BZ61" i="2" s="1"/>
  <c r="BZ68" i="2" a="1"/>
  <c r="BZ68" i="2" s="1"/>
  <c r="BZ65" i="2" a="1"/>
  <c r="BZ65" i="2" s="1"/>
  <c r="BZ62" i="2" a="1"/>
  <c r="BZ62" i="2" s="1"/>
  <c r="CE62" i="2" l="1" a="1"/>
  <c r="CE62" i="2" s="1"/>
  <c r="CA62" i="2" a="1"/>
  <c r="CA62" i="2" s="1"/>
  <c r="CA65" i="2" a="1"/>
  <c r="CA65" i="2" s="1"/>
  <c r="CE65" i="2" a="1"/>
  <c r="CE65" i="2" s="1"/>
  <c r="CA68" i="2" a="1"/>
  <c r="CA68" i="2" s="1"/>
  <c r="CE68" i="2" a="1"/>
  <c r="CE68" i="2" s="1"/>
  <c r="CE67" i="2" a="1"/>
  <c r="CE67" i="2" s="1"/>
  <c r="CA67" i="2" a="1"/>
  <c r="CA67" i="2" s="1"/>
  <c r="CE61" i="2" a="1"/>
  <c r="CE61" i="2" s="1"/>
  <c r="CA61" i="2" a="1"/>
  <c r="CA61" i="2" s="1"/>
  <c r="CE66" i="2" a="1"/>
  <c r="CE66" i="2" s="1"/>
  <c r="CA66" i="2" a="1"/>
  <c r="CA66" i="2" s="1"/>
  <c r="CA69" i="2" a="1"/>
  <c r="CA69" i="2" s="1"/>
  <c r="CE69" i="2" a="1"/>
  <c r="CE69" i="2" s="1"/>
  <c r="CE63" i="2" a="1"/>
  <c r="CE63" i="2" s="1"/>
  <c r="CA63" i="2" a="1"/>
  <c r="CA63" i="2" s="1"/>
  <c r="CA58" i="2" a="1"/>
  <c r="CA58" i="2" s="1"/>
  <c r="CE58" i="2" a="1"/>
  <c r="CE58" i="2" s="1"/>
  <c r="CE64" i="2" a="1"/>
  <c r="CE64" i="2" s="1"/>
  <c r="CA64" i="2" a="1"/>
  <c r="CA64" i="2" s="1"/>
  <c r="CA60" i="2" a="1"/>
  <c r="CA60" i="2" s="1"/>
  <c r="CE60" i="2" a="1"/>
  <c r="CE60" i="2" s="1"/>
  <c r="CA59" i="2" a="1"/>
  <c r="CA59" i="2" s="1"/>
  <c r="CE59" i="2" a="1"/>
  <c r="CE59" i="2" s="1"/>
  <c r="CB61" i="2" l="1" a="1"/>
  <c r="CB61" i="2" s="1"/>
  <c r="BM61" i="2" s="1" a="1"/>
  <c r="BM61" i="2" s="1"/>
  <c r="CB66" i="2" a="1"/>
  <c r="CB66" i="2" s="1"/>
  <c r="BM66" i="2" s="1" a="1"/>
  <c r="BM66" i="2" s="1"/>
  <c r="CF67" i="2" a="1"/>
  <c r="CF67" i="2" s="1"/>
  <c r="BN67" i="2" s="1" a="1"/>
  <c r="BN67" i="2" s="1"/>
  <c r="CF66" i="2" a="1"/>
  <c r="CF66" i="2" s="1"/>
  <c r="BN66" i="2" s="1" a="1"/>
  <c r="BN66" i="2" s="1"/>
  <c r="CF58" i="2" a="1"/>
  <c r="CF58" i="2" s="1"/>
  <c r="BN58" i="2" s="1" a="1"/>
  <c r="BN58" i="2" s="1"/>
  <c r="AL104" i="2" s="1" a="1"/>
  <c r="AL104" i="2" s="1"/>
  <c r="CB58" i="2" a="1"/>
  <c r="CB58" i="2" s="1"/>
  <c r="BM58" i="2" s="1" a="1"/>
  <c r="BM58" i="2" s="1"/>
  <c r="AV104" i="2" s="1" a="1"/>
  <c r="AV104" i="2" s="1"/>
  <c r="CB63" i="2" a="1"/>
  <c r="CB63" i="2" s="1"/>
  <c r="BM63" i="2" s="1" a="1"/>
  <c r="BM63" i="2" s="1"/>
  <c r="CF65" i="2" a="1"/>
  <c r="CF65" i="2" s="1"/>
  <c r="BN65" i="2" s="1" a="1"/>
  <c r="BN65" i="2" s="1"/>
  <c r="CF59" i="2" a="1"/>
  <c r="CF59" i="2" s="1"/>
  <c r="BN59" i="2" s="1" a="1"/>
  <c r="BN59" i="2" s="1"/>
  <c r="CB65" i="2" a="1"/>
  <c r="CB65" i="2" s="1"/>
  <c r="BM65" i="2" s="1" a="1"/>
  <c r="BM65" i="2" s="1"/>
  <c r="CF60" i="2" a="1"/>
  <c r="CF60" i="2" s="1"/>
  <c r="BN60" i="2" s="1" a="1"/>
  <c r="BN60" i="2" s="1"/>
  <c r="CF61" i="2" a="1"/>
  <c r="CF61" i="2" s="1"/>
  <c r="BN61" i="2" s="1" a="1"/>
  <c r="BN61" i="2" s="1"/>
  <c r="CB60" i="2" a="1"/>
  <c r="CB60" i="2" s="1"/>
  <c r="BM60" i="2" s="1" a="1"/>
  <c r="BM60" i="2" s="1"/>
  <c r="CF63" i="2" a="1"/>
  <c r="CF63" i="2" s="1"/>
  <c r="BN63" i="2" s="1" a="1"/>
  <c r="BN63" i="2" s="1"/>
  <c r="CB67" i="2" a="1"/>
  <c r="CB67" i="2" s="1"/>
  <c r="BM67" i="2" s="1" a="1"/>
  <c r="BM67" i="2" s="1"/>
  <c r="CF62" i="2" a="1"/>
  <c r="CF62" i="2" s="1"/>
  <c r="BN62" i="2" s="1" a="1"/>
  <c r="BN62" i="2" s="1"/>
  <c r="CB59" i="2" a="1"/>
  <c r="CB59" i="2" s="1"/>
  <c r="BM59" i="2" s="1" a="1"/>
  <c r="BM59" i="2" s="1"/>
  <c r="CB62" i="2" a="1"/>
  <c r="CB62" i="2" s="1"/>
  <c r="BM62" i="2" s="1" a="1"/>
  <c r="BM62" i="2" s="1"/>
  <c r="CF69" i="2" a="1"/>
  <c r="CF69" i="2" s="1"/>
  <c r="BN69" i="2" s="1" a="1"/>
  <c r="BN69" i="2" s="1"/>
  <c r="CB68" i="2" a="1"/>
  <c r="CB68" i="2" s="1"/>
  <c r="BM68" i="2" s="1" a="1"/>
  <c r="BM68" i="2" s="1"/>
  <c r="CB64" i="2" a="1"/>
  <c r="CB64" i="2" s="1"/>
  <c r="BM64" i="2" s="1" a="1"/>
  <c r="BM64" i="2" s="1"/>
  <c r="CB69" i="2" a="1"/>
  <c r="CB69" i="2" s="1"/>
  <c r="BM69" i="2" s="1" a="1"/>
  <c r="BM69" i="2" s="1"/>
  <c r="CF68" i="2" a="1"/>
  <c r="CF68" i="2" s="1"/>
  <c r="BN68" i="2" s="1" a="1"/>
  <c r="BN68" i="2" s="1"/>
  <c r="CF64" i="2" a="1"/>
  <c r="CF64" i="2" s="1"/>
  <c r="BN64" i="2" s="1" a="1"/>
  <c r="BN64" i="2" s="1"/>
  <c r="AL108" i="2" l="1" a="1"/>
  <c r="AL108" i="2" s="1"/>
  <c r="AL111" i="2" a="1"/>
  <c r="AL111" i="2" s="1"/>
  <c r="AL110" i="2" a="1"/>
  <c r="AL110" i="2" s="1"/>
  <c r="AS110" i="2" s="1" a="1"/>
  <c r="AS110" i="2" s="1"/>
  <c r="AL113" i="2" a="1"/>
  <c r="AL113" i="2" s="1"/>
  <c r="AO113" i="2" s="1" a="1"/>
  <c r="AO113" i="2" s="1"/>
  <c r="DQ60" i="2" a="1"/>
  <c r="DQ60" i="2" s="1"/>
  <c r="DJ60" i="2" s="1" a="1"/>
  <c r="DJ60" i="2" s="1"/>
  <c r="AL109" i="2" a="1"/>
  <c r="AL109" i="2" s="1"/>
  <c r="AT109" i="2" s="1" a="1"/>
  <c r="AT109" i="2" s="1"/>
  <c r="AV113" i="2" a="1"/>
  <c r="AV113" i="2" s="1"/>
  <c r="AL103" i="2" a="1"/>
  <c r="AL103" i="2" s="1"/>
  <c r="AQ103" i="2" s="1" a="1"/>
  <c r="AQ103" i="2" s="1"/>
  <c r="DQ66" i="2" a="1"/>
  <c r="DQ66" i="2" s="1"/>
  <c r="DJ66" i="2" s="1" a="1"/>
  <c r="DJ66" i="2" s="1"/>
  <c r="DQ59" i="2" a="1"/>
  <c r="DQ59" i="2" s="1"/>
  <c r="DJ59" i="2" s="1" a="1"/>
  <c r="DJ59" i="2" s="1"/>
  <c r="AV106" i="2" a="1"/>
  <c r="AV106" i="2" s="1"/>
  <c r="DQ65" i="2" a="1"/>
  <c r="DQ65" i="2" s="1"/>
  <c r="DJ65" i="2" s="1" a="1"/>
  <c r="DJ65" i="2" s="1"/>
  <c r="AV108" i="2" a="1"/>
  <c r="AV108" i="2" s="1"/>
  <c r="AL106" i="2" a="1"/>
  <c r="AL106" i="2" s="1"/>
  <c r="AS113" i="2" a="1"/>
  <c r="AS113" i="2" s="1"/>
  <c r="AP113" i="2" a="1"/>
  <c r="AP113" i="2" s="1"/>
  <c r="AV112" i="2" a="1"/>
  <c r="AV112" i="2" s="1"/>
  <c r="DQ61" i="2" a="1"/>
  <c r="DQ61" i="2" s="1"/>
  <c r="DJ61" i="2" s="1" a="1"/>
  <c r="DJ61" i="2" s="1"/>
  <c r="DQ58" i="2" a="1"/>
  <c r="DQ58" i="2" s="1"/>
  <c r="DJ58" i="2" s="1" a="1"/>
  <c r="DJ58" i="2" s="1"/>
  <c r="BF105" i="2" a="1"/>
  <c r="BF105" i="2" s="1"/>
  <c r="AT104" i="2" a="1"/>
  <c r="AT104" i="2" s="1"/>
  <c r="AP104" i="2" a="1"/>
  <c r="AP104" i="2" s="1"/>
  <c r="AM104" i="2" a="1"/>
  <c r="AM104" i="2" s="1"/>
  <c r="AR104" i="2" a="1"/>
  <c r="AR104" i="2" s="1"/>
  <c r="AN104" i="2" a="1"/>
  <c r="AN104" i="2" s="1"/>
  <c r="AO104" i="2" a="1"/>
  <c r="AO104" i="2" s="1"/>
  <c r="AQ104" i="2" a="1"/>
  <c r="AQ104" i="2" s="1"/>
  <c r="AS104" i="2" a="1"/>
  <c r="AS104" i="2" s="1"/>
  <c r="DQ67" i="2" a="1"/>
  <c r="DQ67" i="2" s="1"/>
  <c r="DJ67" i="2" s="1" a="1"/>
  <c r="DJ67" i="2" s="1"/>
  <c r="AV105" i="2" a="1"/>
  <c r="AV105" i="2" s="1"/>
  <c r="BF109" i="2" a="1"/>
  <c r="BF109" i="2" s="1"/>
  <c r="AN108" i="2" a="1"/>
  <c r="AN108" i="2" s="1"/>
  <c r="AR108" i="2" a="1"/>
  <c r="AR108" i="2" s="1"/>
  <c r="AP108" i="2" a="1"/>
  <c r="AP108" i="2" s="1"/>
  <c r="AM108" i="2" a="1"/>
  <c r="AM108" i="2" s="1"/>
  <c r="AT108" i="2" a="1"/>
  <c r="AT108" i="2" s="1"/>
  <c r="AQ108" i="2" a="1"/>
  <c r="AQ108" i="2" s="1"/>
  <c r="AS108" i="2" a="1"/>
  <c r="AS108" i="2" s="1"/>
  <c r="AO108" i="2" a="1"/>
  <c r="AO108" i="2" s="1"/>
  <c r="DQ63" i="2" a="1"/>
  <c r="DQ63" i="2" s="1"/>
  <c r="DJ63" i="2" s="1" a="1"/>
  <c r="DJ63" i="2" s="1"/>
  <c r="AV107" i="2" a="1"/>
  <c r="AV107" i="2" s="1"/>
  <c r="AL105" i="2" a="1"/>
  <c r="AL105" i="2" s="1"/>
  <c r="DQ62" i="2" a="1"/>
  <c r="DQ62" i="2" s="1"/>
  <c r="DJ62" i="2" s="1" a="1"/>
  <c r="DJ62" i="2" s="1"/>
  <c r="AV103" i="2" a="1"/>
  <c r="AV103" i="2" s="1"/>
  <c r="AP111" i="2" a="1"/>
  <c r="AP111" i="2" s="1"/>
  <c r="AR111" i="2" a="1"/>
  <c r="AR111" i="2" s="1"/>
  <c r="AN111" i="2" a="1"/>
  <c r="AN111" i="2" s="1"/>
  <c r="AQ111" i="2" a="1"/>
  <c r="AQ111" i="2" s="1"/>
  <c r="AO111" i="2" a="1"/>
  <c r="AO111" i="2" s="1"/>
  <c r="AT111" i="2" a="1"/>
  <c r="AT111" i="2" s="1"/>
  <c r="AM111" i="2" a="1"/>
  <c r="AM111" i="2" s="1"/>
  <c r="AS111" i="2" a="1"/>
  <c r="AS111" i="2" s="1"/>
  <c r="DQ68" i="2" a="1"/>
  <c r="DQ68" i="2" s="1"/>
  <c r="DJ68" i="2" s="1" a="1"/>
  <c r="DJ68" i="2" s="1"/>
  <c r="AV109" i="2" a="1"/>
  <c r="AV109" i="2" s="1"/>
  <c r="AL107" i="2" a="1"/>
  <c r="AL107" i="2" s="1"/>
  <c r="AV110" i="2" a="1"/>
  <c r="AV110" i="2" s="1"/>
  <c r="DQ64" i="2" a="1"/>
  <c r="DQ64" i="2" s="1"/>
  <c r="DJ64" i="2" s="1" a="1"/>
  <c r="DJ64" i="2" s="1"/>
  <c r="AV102" i="2" a="1"/>
  <c r="AV102" i="2" s="1"/>
  <c r="AL112" i="2" a="1"/>
  <c r="AL112" i="2" s="1"/>
  <c r="DQ69" i="2" a="1"/>
  <c r="DQ69" i="2" s="1"/>
  <c r="DJ69" i="2" s="1" a="1"/>
  <c r="DJ69" i="2" s="1"/>
  <c r="AV111" i="2" a="1"/>
  <c r="AV111" i="2" s="1"/>
  <c r="AL102" i="2" a="1"/>
  <c r="AL102" i="2" s="1"/>
  <c r="AN113" i="2" l="1" a="1"/>
  <c r="AN113" i="2" s="1"/>
  <c r="AR113" i="2" a="1"/>
  <c r="AR113" i="2" s="1"/>
  <c r="AQ113" i="2" a="1"/>
  <c r="AQ113" i="2" s="1"/>
  <c r="AM113" i="2" a="1"/>
  <c r="AM113" i="2" s="1"/>
  <c r="AT113" i="2" a="1"/>
  <c r="AT113" i="2" s="1"/>
  <c r="AS103" i="2" a="1"/>
  <c r="AS103" i="2" s="1"/>
  <c r="AM109" i="2" a="1"/>
  <c r="AM109" i="2" s="1"/>
  <c r="AN109" i="2" a="1"/>
  <c r="AN109" i="2" s="1"/>
  <c r="AS109" i="2" a="1"/>
  <c r="AS109" i="2" s="1"/>
  <c r="AQ109" i="2" a="1"/>
  <c r="AQ109" i="2" s="1"/>
  <c r="BF110" i="2" a="1"/>
  <c r="BF110" i="2" s="1"/>
  <c r="AR109" i="2" a="1"/>
  <c r="AR109" i="2" s="1"/>
  <c r="AP109" i="2" a="1"/>
  <c r="AP109" i="2" s="1"/>
  <c r="AO109" i="2" a="1"/>
  <c r="AO109" i="2" s="1"/>
  <c r="BF104" i="2" a="1"/>
  <c r="BF104" i="2" s="1"/>
  <c r="AO110" i="2" a="1"/>
  <c r="AO110" i="2" s="1"/>
  <c r="AR110" i="2" a="1"/>
  <c r="AR110" i="2" s="1"/>
  <c r="AM110" i="2" a="1"/>
  <c r="AM110" i="2" s="1"/>
  <c r="AT110" i="2" a="1"/>
  <c r="AT110" i="2" s="1"/>
  <c r="AN110" i="2" a="1"/>
  <c r="AN110" i="2" s="1"/>
  <c r="AP110" i="2" a="1"/>
  <c r="AP110" i="2" s="1"/>
  <c r="AQ110" i="2" a="1"/>
  <c r="AQ110" i="2" s="1"/>
  <c r="AN103" i="2" a="1"/>
  <c r="AN103" i="2" s="1"/>
  <c r="AR103" i="2" a="1"/>
  <c r="AR103" i="2" s="1"/>
  <c r="AP103" i="2" a="1"/>
  <c r="AP103" i="2" s="1"/>
  <c r="AO103" i="2" a="1"/>
  <c r="AO103" i="2" s="1"/>
  <c r="AT103" i="2" a="1"/>
  <c r="AT103" i="2" s="1"/>
  <c r="DL66" i="2" a="1"/>
  <c r="DL66" i="2" s="1"/>
  <c r="DM66" i="2" s="1" a="1"/>
  <c r="DM66" i="2" s="1"/>
  <c r="AM103" i="2" a="1"/>
  <c r="AM103" i="2" s="1"/>
  <c r="DL60" i="2" a="1"/>
  <c r="DL60" i="2" s="1"/>
  <c r="DL65" i="2" a="1"/>
  <c r="DL65" i="2" s="1"/>
  <c r="AU109" i="2" s="1" a="1"/>
  <c r="AU109" i="2" s="1"/>
  <c r="BF108" i="2" a="1"/>
  <c r="BF108" i="2" s="1"/>
  <c r="AS107" i="2" a="1"/>
  <c r="AS107" i="2" s="1"/>
  <c r="AT107" i="2" a="1"/>
  <c r="AT107" i="2" s="1"/>
  <c r="AQ107" i="2" a="1"/>
  <c r="AQ107" i="2" s="1"/>
  <c r="AO107" i="2" a="1"/>
  <c r="AO107" i="2" s="1"/>
  <c r="AN107" i="2" a="1"/>
  <c r="AN107" i="2" s="1"/>
  <c r="AR107" i="2" a="1"/>
  <c r="AR107" i="2" s="1"/>
  <c r="AM107" i="2" a="1"/>
  <c r="AM107" i="2" s="1"/>
  <c r="AP107" i="2" a="1"/>
  <c r="AP107" i="2" s="1"/>
  <c r="DL67" i="2" a="1"/>
  <c r="DL67" i="2" s="1"/>
  <c r="AU111" i="2" s="1" a="1"/>
  <c r="AU111" i="2" s="1"/>
  <c r="DL62" i="2" a="1"/>
  <c r="DL62" i="2" s="1"/>
  <c r="AU106" i="2" s="1" a="1"/>
  <c r="AU106" i="2" s="1"/>
  <c r="BF103" i="2" a="1"/>
  <c r="BF103" i="2" s="1"/>
  <c r="AN102" i="2" a="1"/>
  <c r="AN102" i="2" s="1"/>
  <c r="AP102" i="2" a="1"/>
  <c r="AP102" i="2" s="1"/>
  <c r="AS102" i="2" a="1"/>
  <c r="AS102" i="2" s="1"/>
  <c r="AM102" i="2" a="1"/>
  <c r="AM102" i="2" s="1"/>
  <c r="AQ102" i="2" a="1"/>
  <c r="AQ102" i="2" s="1"/>
  <c r="AR102" i="2" a="1"/>
  <c r="AR102" i="2" s="1"/>
  <c r="AT102" i="2" a="1"/>
  <c r="AT102" i="2" s="1"/>
  <c r="AO102" i="2" a="1"/>
  <c r="AO102" i="2" s="1"/>
  <c r="DL68" i="2" a="1"/>
  <c r="DL68" i="2" s="1"/>
  <c r="AU112" i="2" s="1" a="1"/>
  <c r="AU112" i="2" s="1"/>
  <c r="BF107" i="2" a="1"/>
  <c r="BF107" i="2" s="1"/>
  <c r="AO106" i="2" a="1"/>
  <c r="AO106" i="2" s="1"/>
  <c r="AP106" i="2" a="1"/>
  <c r="AP106" i="2" s="1"/>
  <c r="AM106" i="2" a="1"/>
  <c r="AM106" i="2" s="1"/>
  <c r="AQ106" i="2" a="1"/>
  <c r="AQ106" i="2" s="1"/>
  <c r="AT106" i="2" a="1"/>
  <c r="AT106" i="2" s="1"/>
  <c r="AR106" i="2" a="1"/>
  <c r="AR106" i="2" s="1"/>
  <c r="AN106" i="2" a="1"/>
  <c r="AN106" i="2" s="1"/>
  <c r="AS106" i="2" a="1"/>
  <c r="AS106" i="2" s="1"/>
  <c r="DL58" i="2" a="1"/>
  <c r="DL58" i="2" s="1"/>
  <c r="AU102" i="2" s="1" a="1"/>
  <c r="AU102" i="2" s="1"/>
  <c r="BF106" i="2" a="1"/>
  <c r="BF106" i="2" s="1"/>
  <c r="AM105" i="2" a="1"/>
  <c r="AM105" i="2" s="1"/>
  <c r="AR105" i="2" a="1"/>
  <c r="AR105" i="2" s="1"/>
  <c r="AT105" i="2" a="1"/>
  <c r="AT105" i="2" s="1"/>
  <c r="AN105" i="2" a="1"/>
  <c r="AN105" i="2" s="1"/>
  <c r="AQ105" i="2" a="1"/>
  <c r="AQ105" i="2" s="1"/>
  <c r="AP105" i="2" a="1"/>
  <c r="AP105" i="2" s="1"/>
  <c r="AO105" i="2" a="1"/>
  <c r="AO105" i="2" s="1"/>
  <c r="AS105" i="2" a="1"/>
  <c r="AS105" i="2" s="1"/>
  <c r="DL69" i="2" a="1"/>
  <c r="DL69" i="2" s="1"/>
  <c r="AU113" i="2" s="1" a="1"/>
  <c r="AU113" i="2" s="1"/>
  <c r="AT112" i="2" a="1"/>
  <c r="AT112" i="2" s="1"/>
  <c r="AM112" i="2" a="1"/>
  <c r="AM112" i="2" s="1"/>
  <c r="AQ112" i="2" a="1"/>
  <c r="AQ112" i="2" s="1"/>
  <c r="AP112" i="2" a="1"/>
  <c r="AP112" i="2" s="1"/>
  <c r="AS112" i="2" a="1"/>
  <c r="AS112" i="2" s="1"/>
  <c r="AN112" i="2" a="1"/>
  <c r="AN112" i="2" s="1"/>
  <c r="AR112" i="2" a="1"/>
  <c r="AR112" i="2" s="1"/>
  <c r="AO112" i="2" a="1"/>
  <c r="AO112" i="2" s="1"/>
  <c r="DL59" i="2" a="1"/>
  <c r="DL59" i="2" s="1"/>
  <c r="DL64" i="2" a="1"/>
  <c r="DL64" i="2" s="1"/>
  <c r="AU108" i="2" s="1" a="1"/>
  <c r="AU108" i="2" s="1"/>
  <c r="DL61" i="2" a="1"/>
  <c r="DL61" i="2" s="1"/>
  <c r="AU105" i="2" s="1" a="1"/>
  <c r="AU105" i="2" s="1"/>
  <c r="DL63" i="2" a="1"/>
  <c r="DL63" i="2" s="1"/>
  <c r="AU107" i="2" s="1" a="1"/>
  <c r="AU107" i="2" s="1"/>
  <c r="CD61" i="2" a="1"/>
  <c r="CD61" i="2" s="1"/>
  <c r="CD58" i="2" a="1"/>
  <c r="CD58" i="2" s="1"/>
  <c r="CD65" i="2" a="1"/>
  <c r="CD65" i="2" s="1"/>
  <c r="CD69" i="2" a="1"/>
  <c r="CD69" i="2" s="1"/>
  <c r="CD67" i="2" a="1"/>
  <c r="CD67" i="2" s="1"/>
  <c r="CD62" i="2" a="1"/>
  <c r="CD62" i="2" s="1"/>
  <c r="CD60" i="2" a="1"/>
  <c r="CD60" i="2" s="1"/>
  <c r="CD59" i="2" a="1"/>
  <c r="CD59" i="2" s="1"/>
  <c r="CD68" i="2" a="1"/>
  <c r="CD68" i="2" s="1"/>
  <c r="CD64" i="2" a="1"/>
  <c r="CD64" i="2" s="1"/>
  <c r="CD63" i="2" a="1"/>
  <c r="CD63" i="2" s="1"/>
  <c r="CD66" i="2" a="1"/>
  <c r="CD66" i="2" s="1"/>
  <c r="AU110" i="2" l="1" a="1"/>
  <c r="AU110" i="2" s="1"/>
  <c r="BG103" i="2" a="1"/>
  <c r="BG103" i="2" s="1"/>
  <c r="BJ109" i="2" s="1" a="1"/>
  <c r="BJ109" i="2" s="1"/>
  <c r="BG104" i="2" a="1"/>
  <c r="BG104" i="2" s="1"/>
  <c r="DM63" i="2" a="1"/>
  <c r="DM63" i="2" s="1"/>
  <c r="BG106" i="2" a="1"/>
  <c r="BG106" i="2" s="1"/>
  <c r="BG107" i="2" a="1"/>
  <c r="BG107" i="2" s="1"/>
  <c r="BG108" i="2" a="1"/>
  <c r="BG108" i="2" s="1"/>
  <c r="DM61" i="2" a="1"/>
  <c r="DM61" i="2" s="1"/>
  <c r="DM62" i="2" a="1"/>
  <c r="DM62" i="2" s="1"/>
  <c r="BG109" i="2" a="1"/>
  <c r="BG109" i="2" s="1"/>
  <c r="DM58" i="2" a="1"/>
  <c r="DM58" i="2" s="1"/>
  <c r="DM68" i="2" a="1"/>
  <c r="DM68" i="2" s="1"/>
  <c r="DM65" i="2" a="1"/>
  <c r="DM65" i="2" s="1"/>
  <c r="DM69" i="2" a="1"/>
  <c r="DM69" i="2" s="1"/>
  <c r="BG110" i="2" a="1"/>
  <c r="BG110" i="2" s="1"/>
  <c r="DM67" i="2" a="1"/>
  <c r="DM67" i="2" s="1"/>
  <c r="BG105" i="2" a="1"/>
  <c r="BG105" i="2" s="1"/>
  <c r="DM64" i="2" a="1"/>
  <c r="DM64" i="2" s="1"/>
  <c r="AU104" i="2" a="1"/>
  <c r="AU104" i="2" s="1"/>
  <c r="DM60" i="2" a="1"/>
  <c r="DM60" i="2" s="1"/>
  <c r="AU103" i="2" a="1"/>
  <c r="AU103" i="2" s="1"/>
  <c r="DM59" i="2" a="1"/>
  <c r="DM59" i="2" s="1"/>
  <c r="BJ107" i="2" l="1" a="1"/>
  <c r="BJ107" i="2" s="1"/>
  <c r="AU101" i="2" a="1"/>
  <c r="AU101" i="2" s="1"/>
  <c r="AV100" i="2" s="1" a="1"/>
  <c r="AV100" i="2" s="1"/>
  <c r="BJ105" i="2" a="1"/>
  <c r="BJ105" i="2" s="1"/>
  <c r="BJ110" i="2" a="1"/>
  <c r="BJ110" i="2" s="1"/>
  <c r="BJ106" i="2" a="1"/>
  <c r="BJ106" i="2" s="1"/>
  <c r="BJ108" i="2" a="1"/>
  <c r="BJ108" i="2" s="1"/>
  <c r="BJ103" i="2" a="1"/>
  <c r="BJ103" i="2" s="1"/>
  <c r="BJ104" i="2" a="1"/>
  <c r="BJ104"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<sst xmlns="http://schemas.openxmlformats.org/spreadsheetml/2006/main" count="1762" uniqueCount="551">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</sst>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8" t="s">
        <v>0</v>
      </c>
      <c r="C3" s="753"/>
      <c r="D3" s="753"/>
      <c r="E3" s="753"/>
      <c r="F3" s="753"/>
      <c r="G3" s="753"/>
      <c r="H3" s="753"/>
      <c r="I3" s="753"/>
      <c r="J3" s="753"/>
      <c r="K3" s="753"/>
      <c r="L3" s="753"/>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0" t="s">
        <v>10</v>
      </c>
      <c r="F16" s="751"/>
      <c r="G16" s="751"/>
      <c r="H16" s="751"/>
      <c r="I16" s="751"/>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4" t="s">
        <v>11</v>
      </c>
      <c r="F17" s="755"/>
      <c r="G17" s="756"/>
      <c r="H17" s="756"/>
      <c r="I17" s="757"/>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2"/>
      <c r="C24" s="753"/>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D8C0B-40D8-4F4B-B8F4-54B02954FBEF}">
  <dimension ref="A1:D16"/>
  <sheetViews>
    <sheetView workbookViewId="0">
      <selection activeCell="C16" sqref="B1:C16"/>
    </sheetView>
  </sheetViews>
  <sheetFormatPr baseColWidth="10" defaultRowHeight="15" x14ac:dyDescent="0.2"/>
  <sheetData>
    <row r="1" spans="1:4" x14ac:dyDescent="0.2">
      <c r="A1" t="s">
        <v>111</v>
      </c>
      <c r="B1">
        <v>1</v>
      </c>
      <c r="C1">
        <v>0</v>
      </c>
      <c r="D1" t="s">
        <v>122</v>
      </c>
    </row>
    <row r="2" spans="1:4" x14ac:dyDescent="0.2">
      <c r="A2" t="s">
        <v>131</v>
      </c>
      <c r="B2">
        <v>2</v>
      </c>
      <c r="C2">
        <v>0</v>
      </c>
      <c r="D2" t="s">
        <v>159</v>
      </c>
    </row>
    <row r="3" spans="1:4" x14ac:dyDescent="0.2">
      <c r="A3" t="s">
        <v>148</v>
      </c>
      <c r="B3">
        <v>3</v>
      </c>
      <c r="C3">
        <v>1</v>
      </c>
      <c r="D3" t="s">
        <v>142</v>
      </c>
    </row>
    <row r="4" spans="1:4" x14ac:dyDescent="0.2">
      <c r="A4" t="s">
        <v>157</v>
      </c>
      <c r="B4">
        <v>2</v>
      </c>
      <c r="C4">
        <v>1</v>
      </c>
      <c r="D4" t="s">
        <v>133</v>
      </c>
    </row>
    <row r="5" spans="1:4" x14ac:dyDescent="0.2">
      <c r="A5" t="s">
        <v>152</v>
      </c>
      <c r="B5">
        <v>1</v>
      </c>
      <c r="C5">
        <v>1</v>
      </c>
      <c r="D5" t="s">
        <v>189</v>
      </c>
    </row>
    <row r="6" spans="1:4" x14ac:dyDescent="0.2">
      <c r="A6" t="s">
        <v>183</v>
      </c>
      <c r="B6">
        <v>2</v>
      </c>
      <c r="C6">
        <v>0</v>
      </c>
      <c r="D6" t="s">
        <v>161</v>
      </c>
    </row>
    <row r="7" spans="1:4" x14ac:dyDescent="0.2">
      <c r="A7" t="s">
        <v>49</v>
      </c>
      <c r="B7">
        <v>1</v>
      </c>
      <c r="C7">
        <v>1</v>
      </c>
      <c r="D7" t="s">
        <v>154</v>
      </c>
    </row>
    <row r="8" spans="1:4" x14ac:dyDescent="0.2">
      <c r="A8" t="s">
        <v>209</v>
      </c>
      <c r="B8">
        <v>2</v>
      </c>
      <c r="C8">
        <v>0</v>
      </c>
      <c r="D8" t="s">
        <v>202</v>
      </c>
    </row>
    <row r="9" spans="1:4" x14ac:dyDescent="0.2">
      <c r="A9" t="s">
        <v>165</v>
      </c>
      <c r="B9">
        <v>1</v>
      </c>
      <c r="C9">
        <v>2</v>
      </c>
      <c r="D9" t="s">
        <v>185</v>
      </c>
    </row>
    <row r="10" spans="1:4" x14ac:dyDescent="0.2">
      <c r="A10" t="s">
        <v>140</v>
      </c>
      <c r="B10">
        <v>1</v>
      </c>
      <c r="C10">
        <v>0</v>
      </c>
      <c r="D10" t="s">
        <v>124</v>
      </c>
    </row>
    <row r="11" spans="1:4" x14ac:dyDescent="0.2">
      <c r="A11" t="s">
        <v>174</v>
      </c>
      <c r="B11">
        <v>2</v>
      </c>
      <c r="C11">
        <v>0</v>
      </c>
      <c r="D11" t="s">
        <v>195</v>
      </c>
    </row>
    <row r="12" spans="1:4" x14ac:dyDescent="0.2">
      <c r="A12" t="s">
        <v>200</v>
      </c>
      <c r="B12">
        <v>1</v>
      </c>
      <c r="C12">
        <v>0</v>
      </c>
      <c r="D12" t="s">
        <v>211</v>
      </c>
    </row>
    <row r="13" spans="1:4" x14ac:dyDescent="0.2">
      <c r="A13" t="s">
        <v>128</v>
      </c>
      <c r="B13">
        <v>1</v>
      </c>
      <c r="C13">
        <v>0</v>
      </c>
      <c r="D13" t="s">
        <v>193</v>
      </c>
    </row>
    <row r="14" spans="1:4" x14ac:dyDescent="0.2">
      <c r="A14" t="s">
        <v>144</v>
      </c>
      <c r="B14">
        <v>1</v>
      </c>
      <c r="C14">
        <v>2</v>
      </c>
      <c r="D14" t="s">
        <v>167</v>
      </c>
    </row>
    <row r="15" spans="1:4" x14ac:dyDescent="0.2">
      <c r="A15" t="s">
        <v>191</v>
      </c>
      <c r="B15">
        <v>3</v>
      </c>
      <c r="C15">
        <v>0</v>
      </c>
      <c r="D15" t="s">
        <v>176</v>
      </c>
    </row>
    <row r="16" spans="1:4" x14ac:dyDescent="0.2">
      <c r="A16" t="s">
        <v>206</v>
      </c>
      <c r="B16">
        <v>2</v>
      </c>
      <c r="C16">
        <v>1</v>
      </c>
      <c r="D16"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7124D-11D5-CB41-868A-4F170CC68E77}">
  <dimension ref="A1:D8"/>
  <sheetViews>
    <sheetView workbookViewId="0">
      <selection activeCell="F22" sqref="F22"/>
    </sheetView>
  </sheetViews>
  <sheetFormatPr baseColWidth="10" defaultRowHeight="15" x14ac:dyDescent="0.2"/>
  <sheetData>
    <row r="1" spans="1:4" x14ac:dyDescent="0.2">
      <c r="A1" t="s">
        <v>122</v>
      </c>
      <c r="B1">
        <v>0</v>
      </c>
      <c r="C1">
        <v>2</v>
      </c>
      <c r="D1" t="s">
        <v>133</v>
      </c>
    </row>
    <row r="2" spans="1:4" x14ac:dyDescent="0.2">
      <c r="A2" t="s">
        <v>142</v>
      </c>
      <c r="B2">
        <v>1</v>
      </c>
      <c r="C2">
        <v>3</v>
      </c>
      <c r="D2" t="s">
        <v>183</v>
      </c>
    </row>
    <row r="3" spans="1:4" x14ac:dyDescent="0.2">
      <c r="A3" t="s">
        <v>131</v>
      </c>
      <c r="B3">
        <v>1</v>
      </c>
      <c r="C3">
        <v>1</v>
      </c>
      <c r="D3" t="s">
        <v>189</v>
      </c>
    </row>
    <row r="4" spans="1:4" x14ac:dyDescent="0.2">
      <c r="A4" t="s">
        <v>49</v>
      </c>
      <c r="B4">
        <v>1</v>
      </c>
      <c r="C4">
        <v>2</v>
      </c>
      <c r="D4" t="s">
        <v>209</v>
      </c>
    </row>
    <row r="5" spans="1:4" x14ac:dyDescent="0.2">
      <c r="A5" t="s">
        <v>200</v>
      </c>
      <c r="B5">
        <v>1</v>
      </c>
      <c r="C5">
        <v>2</v>
      </c>
      <c r="D5" t="s">
        <v>174</v>
      </c>
    </row>
    <row r="6" spans="1:4" x14ac:dyDescent="0.2">
      <c r="A6" t="s">
        <v>140</v>
      </c>
      <c r="B6">
        <v>0</v>
      </c>
      <c r="C6">
        <v>0</v>
      </c>
      <c r="D6" t="s">
        <v>165</v>
      </c>
    </row>
    <row r="7" spans="1:4" x14ac:dyDescent="0.2">
      <c r="A7" t="s">
        <v>191</v>
      </c>
      <c r="B7">
        <v>2</v>
      </c>
      <c r="C7">
        <v>0</v>
      </c>
      <c r="D7" t="s">
        <v>167</v>
      </c>
    </row>
    <row r="8" spans="1:4" x14ac:dyDescent="0.2">
      <c r="A8" t="s">
        <v>128</v>
      </c>
      <c r="B8">
        <v>1</v>
      </c>
      <c r="C8">
        <v>0</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4F0A8-F441-7142-8CBF-991997AC456E}">
  <dimension ref="A1:D4"/>
  <sheetViews>
    <sheetView tabSelected="1" workbookViewId="0">
      <selection activeCell="H7" sqref="H7"/>
    </sheetView>
  </sheetViews>
  <sheetFormatPr baseColWidth="10" defaultRowHeight="15" x14ac:dyDescent="0.2"/>
  <sheetData>
    <row r="1" spans="1:4" x14ac:dyDescent="0.2">
      <c r="A1" s="749" t="s">
        <v>183</v>
      </c>
      <c r="B1">
        <v>3</v>
      </c>
      <c r="C1">
        <v>2</v>
      </c>
      <c r="D1" s="749" t="s">
        <v>133</v>
      </c>
    </row>
    <row r="2" spans="1:4" x14ac:dyDescent="0.2">
      <c r="A2" s="749" t="s">
        <v>174</v>
      </c>
      <c r="B2">
        <v>2</v>
      </c>
      <c r="C2">
        <v>2</v>
      </c>
      <c r="D2" s="749" t="s">
        <v>165</v>
      </c>
    </row>
    <row r="3" spans="1:4" x14ac:dyDescent="0.2">
      <c r="A3" s="749" t="s">
        <v>189</v>
      </c>
      <c r="B3">
        <v>2</v>
      </c>
      <c r="C3">
        <v>0</v>
      </c>
      <c r="D3" s="749" t="s">
        <v>209</v>
      </c>
    </row>
    <row r="4" spans="1:4" x14ac:dyDescent="0.2">
      <c r="A4" s="749" t="s">
        <v>191</v>
      </c>
      <c r="B4">
        <v>2</v>
      </c>
      <c r="C4">
        <v>1</v>
      </c>
      <c r="D4" s="749" t="s">
        <v>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5" t="s">
        <v>0</v>
      </c>
      <c r="X1" s="766"/>
      <c r="Y1" s="766"/>
      <c r="Z1" s="766"/>
      <c r="AA1" s="766"/>
      <c r="AB1" s="766"/>
      <c r="AC1" s="766"/>
      <c r="AD1" s="766"/>
      <c r="AE1" s="766"/>
      <c r="AF1" s="766"/>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3"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Empate</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60"/>
      <c r="X5" s="96">
        <v>46184.916666666657</v>
      </c>
      <c r="Y5" s="97">
        <v>46184.916666666657</v>
      </c>
      <c r="Z5" s="113" t="str" cm="1">
        <f t="array" ref="Z5">$Z$4</f>
        <v>J1</v>
      </c>
      <c r="AA5" s="99" t="str" cm="1">
        <f t="array" ref="AA5">A7</f>
        <v>Corea del Sur</v>
      </c>
      <c r="AB5" s="100"/>
      <c r="AC5" s="114">
        <v>1</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Empate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1"/>
      <c r="X6" s="96">
        <v>46191.5</v>
      </c>
      <c r="Y6" s="97">
        <v>46191.5</v>
      </c>
      <c r="Z6" s="98" t="s">
        <v>112</v>
      </c>
      <c r="AA6" s="99" t="str" cm="1">
        <f t="array" ref="AA6">A8</f>
        <v>República Checa</v>
      </c>
      <c r="AB6" s="100"/>
      <c r="AC6" s="114">
        <v>1</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5</v>
      </c>
      <c r="AS6" s="131" cm="1">
        <f t="array" ref="AS6">INDEX($BE$6:$BN$53,MATCH($AL6,$BD$6:$BD$53,0),MATCH(AS$5,$BE$5:$BN$5,0))</f>
        <v>2</v>
      </c>
      <c r="AT6" s="132" cm="1">
        <f t="array" ref="AT6">INDEX($BE$6:$BN$53,MATCH($AL6,$BD$6:$BD$53,0),MATCH(AT$5,$BE$5:$BN$5,0))</f>
        <v>3</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5</v>
      </c>
      <c r="BK6" s="139" cm="1">
        <f t="array" ref="BK6">SUMIFS($AC$4:$AC$97,$AF$4:$AF$97,BD6,$D$4:$D$97,"&lt;&gt;"&amp;"Pendiente",$AC$4:$AC$97,"&lt;&gt;"&amp;"",$AD$4:$AD$97,"&lt;&gt;"&amp;"")+SUMIFS($AD$4:$AD$97,$AA$4:$AA$97,BD6,$D$4:$D$97,"&lt;&gt;"&amp;"Pendiente",$AC$4:$AC$97,"&lt;&gt;"&amp;"",$AD$4:$AD$97,"&lt;&gt;"&amp;"")</f>
        <v>2</v>
      </c>
      <c r="BL6" s="139" cm="1">
        <f t="array" ref="BL6">BJ6-BK6</f>
        <v>3</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5</v>
      </c>
      <c r="CB6" s="139" cm="1">
        <f t="array" ref="CB6">IF($BZ6="-","-",SUMIFS($AD$4:$AD$97,$AA$4:$AA$97,$BD6,$I$4:$I$97,$BZ6)+SUMIFS($AC$4:$AC$97,$AF$4:$AF$97,$BD6,$H$4:$H$97,$BZ6))</f>
        <v>2</v>
      </c>
      <c r="CC6" s="139" cm="1">
        <f t="array" ref="CC6">IF($BZ6="-","-",CA6-CB6)</f>
        <v>3</v>
      </c>
      <c r="CD6" s="139">
        <v>1</v>
      </c>
      <c r="CE6" s="112" t="s">
        <v>113</v>
      </c>
      <c r="CF6" s="139" cm="1">
        <f t="array" ref="CF6">IF($CE6="-","-",SUMIFS($AC$4:$AC$97,$AA$4:$AA$97,$BD6,$L$4:$L$97,$CE6)+SUMIFS($AD$4:$AD$97,$AF$4:$AF$97,$BD6,$K$4:$K$97,$CE6))</f>
        <v>5</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5</v>
      </c>
      <c r="CP6" s="139" cm="1">
        <f t="array" ref="CP6">IF($CN6="-","-",SUMIFS($AD$4:$AD$97,$AA$4:$AA$97,$BD6,$R$4:$R$97,$CN6)+SUMIFS($AC$4:$AC$97,$AF$4:$AF$97,$BD6,$Q$4:$Q$97,$CN6))</f>
        <v>2</v>
      </c>
      <c r="CQ6" s="139" cm="1">
        <f t="array" ref="CQ6">IF($CN6="-","-",CO6-CP6)</f>
        <v>3</v>
      </c>
      <c r="CR6" s="139">
        <v>1</v>
      </c>
      <c r="CS6" s="112" t="s">
        <v>113</v>
      </c>
      <c r="CT6" s="139" cm="1">
        <f t="array" ref="CT6">IF($CS6="-","-",SUMIFS($AC$4:$AC$97,$AA$4:$AA$97,$BD6,$U$4:$U$97,$CS6)+SUMIFS($AD$4:$AD$97,$AF$4:$AF$97,$BD6,$T$4:$T$97,$CS6))</f>
        <v>5</v>
      </c>
      <c r="CU6" s="139">
        <v>1</v>
      </c>
      <c r="CV6" s="112" t="s">
        <v>113</v>
      </c>
      <c r="CW6" s="139" cm="1">
        <f t="array" ref="CW6">IF(CV6="-","-",BL6)</f>
        <v>3</v>
      </c>
      <c r="CX6" s="139">
        <v>1</v>
      </c>
      <c r="CY6" s="112" t="s">
        <v>113</v>
      </c>
      <c r="CZ6" s="139" cm="1">
        <f t="array" ref="CZ6">IF(CY6="-","-",BJ6)</f>
        <v>5</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1"/>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1</v>
      </c>
      <c r="AN7" s="144" cm="1">
        <f t="array" ref="AN7">INDEX($BE$6:$BN$53,MATCH($AL7,$BD$6:$BD$53,0),MATCH(AN$5,$BE$5:$BN$5,0))</f>
        <v>3</v>
      </c>
      <c r="AO7" s="144" cm="1">
        <f t="array" ref="AO7">INDEX($BE$6:$BN$53,MATCH($AL7,$BD$6:$BD$53,0),MATCH(AO$5,$BE$5:$BN$5,0))</f>
        <v>0</v>
      </c>
      <c r="AP7" s="144" cm="1">
        <f t="array" ref="AP7">INDEX($BE$6:$BN$53,MATCH($AL7,$BD$6:$BD$53,0),MATCH(AP$5,$BE$5:$BN$5,0))</f>
        <v>1</v>
      </c>
      <c r="AQ7" s="144" cm="1">
        <f t="array" ref="AQ7">INDEX($BE$6:$BN$53,MATCH($AL7,$BD$6:$BD$53,0),MATCH(AQ$5,$BE$5:$BN$5,0))</f>
        <v>2</v>
      </c>
      <c r="AR7" s="144" cm="1">
        <f t="array" ref="AR7">INDEX($BE$6:$BN$53,MATCH($AL7,$BD$6:$BD$53,0),MATCH(AR$5,$BE$5:$BN$5,0))</f>
        <v>3</v>
      </c>
      <c r="AS7" s="144" cm="1">
        <f t="array" ref="AS7">INDEX($BE$6:$BN$53,MATCH($AL7,$BD$6:$BD$53,0),MATCH(AS$5,$BE$5:$BN$5,0))</f>
        <v>5</v>
      </c>
      <c r="AT7" s="145" cm="1">
        <f t="array" ref="AT7">INDEX($BE$6:$BN$53,MATCH($AL7,$BD$6:$BD$53,0),MATCH(AT$5,$BE$5:$BN$5,0))</f>
        <v>-2</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1</v>
      </c>
      <c r="BF7" s="139" cm="1">
        <f t="array" ref="BF7">BG7+BH7+BI7</f>
        <v>3</v>
      </c>
      <c r="BG7" s="139" cm="1">
        <f t="array" ref="BG7">COUNTIFS($AA$4:$AA$97,BD7,$D$4:$D$97,"Local")+COUNTIFS($AF$4:$AF$97,BD7,$D$4:$D$97,"Visitante")</f>
        <v>0</v>
      </c>
      <c r="BH7" s="139" cm="1">
        <f t="array" ref="BH7">COUNTIFS($AA$4:$AA$97,BD7,$D$4:$D$97,"Empate")+COUNTIFS($AF$4:$AF$97,BD7,$D$4:$D$97,"Empate")</f>
        <v>1</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5</v>
      </c>
      <c r="BL7" s="139" cm="1">
        <f t="array" ref="BL7">BJ7-BK7</f>
        <v>-2</v>
      </c>
      <c r="BM7" s="126" t="str" cm="1">
        <f t="array" ref="BM7">DD7&amp;BC7</f>
        <v>2A</v>
      </c>
      <c r="BN7" s="126" t="str" cm="1">
        <f t="array" ref="BN7">DH7&amp;BC7</f>
        <v>2A</v>
      </c>
      <c r="BO7" s="139" cm="1">
        <f t="array" ref="BO7">IF(AND($AJ$99=144,BF7&gt;=1),1,0)</f>
        <v>0</v>
      </c>
      <c r="BP7" s="139">
        <v>1</v>
      </c>
      <c r="BQ7" s="112" t="s">
        <v>113</v>
      </c>
      <c r="BR7" s="139" cm="1">
        <f t="array" ref="BR7">IF($BQ7="-","-",BE7)</f>
        <v>1</v>
      </c>
      <c r="BS7" s="139">
        <v>1</v>
      </c>
      <c r="BT7" s="112" t="s">
        <v>113</v>
      </c>
      <c r="BU7" s="139" cm="1">
        <f t="array" ref="BU7">IF($BT7="-","-",COUNTIFS($AA$4:$AA$97,$BD7,$D$4:$D$97,"Local",$F$4:$F$97,$BT7)+COUNTIFS($AF$4:$AF$97,$BD7,$D$4:$D$97,"Visitante",$E$4:$E$97,$BT7))</f>
        <v>0</v>
      </c>
      <c r="BV7" s="139" cm="1">
        <f t="array" ref="BV7">IF($BT7="-","-",COUNTIFS($AA$4:$AA$97,$BD7,$D$4:$D$97,"Empate",$F$4:$F$97,$BT7)+COUNTIFS($AF$4:$AF$97,$BD7,$D$4:$D$97,"Empate",$E$4:$E$97,$BT7))</f>
        <v>1</v>
      </c>
      <c r="BW7" s="139" cm="1">
        <f t="array" ref="BW7">IF($BT7="-","-",COUNTIFS($AA$4:$AA$97,$BD7,$D$4:$D$97,"Visitante",$F$4:$F$97,$BT7)+COUNTIFS($AF$4:$AF$97,$BD7,$D$4:$D$97,"Local",$E$4:$E$97,$BT7))</f>
        <v>2</v>
      </c>
      <c r="BX7" s="139" cm="1">
        <f t="array" ref="BX7">IF($BT7="-","-",BU7*3+BV7)</f>
        <v>1</v>
      </c>
      <c r="BY7" s="139">
        <v>1</v>
      </c>
      <c r="BZ7" s="112" t="s">
        <v>113</v>
      </c>
      <c r="CA7" s="139" cm="1">
        <f t="array" ref="CA7">IF($BZ7="-","-",SUMIFS($AC$4:$AC$97,$AA$4:$AA$97,$BD7,$I$4:$I$97,$BZ7)+SUMIFS($AD$4:$AD$97,$AF$4:$AF$97,$BD7,$H$4:$H$97,$BZ7))</f>
        <v>3</v>
      </c>
      <c r="CB7" s="139" cm="1">
        <f t="array" ref="CB7">IF($BZ7="-","-",SUMIFS($AD$4:$AD$97,$AA$4:$AA$97,$BD7,$I$4:$I$97,$BZ7)+SUMIFS($AC$4:$AC$97,$AF$4:$AF$97,$BD7,$H$4:$H$97,$BZ7))</f>
        <v>5</v>
      </c>
      <c r="CC7" s="139" cm="1">
        <f t="array" ref="CC7">IF($BZ7="-","-",CA7-CB7)</f>
        <v>-2</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1</v>
      </c>
      <c r="CK7" s="139" cm="1">
        <f t="array" ref="CK7">IF($CH7="-","-",COUNTIFS($AA$4:$AA$97,$BD7,$D$4:$D$97,"Visitante",$O$4:$O$97,$CH7)+COUNTIFS($AF$4:$AF$97,$BD7,$D$4:$D$97,"Local",$N$4:$N$97,$CH7))</f>
        <v>2</v>
      </c>
      <c r="CL7" s="139" cm="1">
        <f t="array" ref="CL7">IF($CH7="-","-",CI7*3+CJ7)</f>
        <v>1</v>
      </c>
      <c r="CM7" s="139">
        <v>1</v>
      </c>
      <c r="CN7" s="112" t="s">
        <v>113</v>
      </c>
      <c r="CO7" s="139" cm="1">
        <f t="array" ref="CO7">IF($CN7="-","-",SUMIFS($AC$4:$AC$97,$AA$4:$AA$97,$BD7,$R$4:$R$97,$CN7)+SUMIFS($AD$4:$AD$97,$AF$4:$AF$97,$BD7,$Q$4:$Q$97,$CN7))</f>
        <v>3</v>
      </c>
      <c r="CP7" s="139" cm="1">
        <f t="array" ref="CP7">IF($CN7="-","-",SUMIFS($AD$4:$AD$97,$AA$4:$AA$97,$BD7,$R$4:$R$97,$CN7)+SUMIFS($AC$4:$AC$97,$AF$4:$AF$97,$BD7,$Q$4:$Q$97,$CN7))</f>
        <v>5</v>
      </c>
      <c r="CQ7" s="139" cm="1">
        <f t="array" ref="CQ7">IF($CN7="-","-",CO7-CP7)</f>
        <v>-2</v>
      </c>
      <c r="CR7" s="139">
        <v>1</v>
      </c>
      <c r="CS7" s="112" t="s">
        <v>113</v>
      </c>
      <c r="CT7" s="139" cm="1">
        <f t="array" ref="CT7">IF($CS7="-","-",SUMIFS($AC$4:$AC$97,$AA$4:$AA$97,$BD7,$U$4:$U$97,$CS7)+SUMIFS($AD$4:$AD$97,$AF$4:$AF$97,$BD7,$T$4:$T$97,$CS7))</f>
        <v>3</v>
      </c>
      <c r="CU7" s="139">
        <v>1</v>
      </c>
      <c r="CV7" s="112" t="s">
        <v>113</v>
      </c>
      <c r="CW7" s="139" cm="1">
        <f t="array" ref="CW7">IF(CV7="-","-",BL7)</f>
        <v>-2</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1"/>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4</v>
      </c>
      <c r="AN8" s="144" cm="1">
        <f t="array" ref="AN8">INDEX($BE$6:$BN$53,MATCH($AL8,$BD$6:$BD$53,0),MATCH(AN$5,$BE$5:$BN$5,0))</f>
        <v>3</v>
      </c>
      <c r="AO8" s="144" cm="1">
        <f t="array" ref="AO8">INDEX($BE$6:$BN$53,MATCH($AL8,$BD$6:$BD$53,0),MATCH(AO$5,$BE$5:$BN$5,0))</f>
        <v>1</v>
      </c>
      <c r="AP8" s="144" cm="1">
        <f t="array" ref="AP8">INDEX($BE$6:$BN$53,MATCH($AL8,$BD$6:$BD$53,0),MATCH(AP$5,$BE$5:$BN$5,0))</f>
        <v>1</v>
      </c>
      <c r="AQ8" s="144" cm="1">
        <f t="array" ref="AQ8">INDEX($BE$6:$BN$53,MATCH($AL8,$BD$6:$BD$53,0),MATCH(AQ$5,$BE$5:$BN$5,0))</f>
        <v>1</v>
      </c>
      <c r="AR8" s="144" cm="1">
        <f t="array" ref="AR8">INDEX($BE$6:$BN$53,MATCH($AL8,$BD$6:$BD$53,0),MATCH(AR$5,$BE$5:$BN$5,0))</f>
        <v>4</v>
      </c>
      <c r="AS8" s="144" cm="1">
        <f t="array" ref="AS8">INDEX($BE$6:$BN$53,MATCH($AL8,$BD$6:$BD$53,0),MATCH(AS$5,$BE$5:$BN$5,0))</f>
        <v>4</v>
      </c>
      <c r="AT8" s="145" cm="1">
        <f t="array" ref="AT8">INDEX($BE$6:$BN$53,MATCH($AL8,$BD$6:$BD$53,0),MATCH(AT$5,$BE$5:$BN$5,0))</f>
        <v>0</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4</v>
      </c>
      <c r="BF8" s="139" cm="1">
        <f t="array" ref="BF8">BG8+BH8+BI8</f>
        <v>3</v>
      </c>
      <c r="BG8" s="139" cm="1">
        <f t="array" ref="BG8">COUNTIFS($AA$4:$AA$97,BD8,$D$4:$D$97,"Local")+COUNTIFS($AF$4:$AF$97,BD8,$D$4:$D$97,"Visitante")</f>
        <v>1</v>
      </c>
      <c r="BH8" s="139" cm="1">
        <f t="array" ref="BH8">COUNTIFS($AA$4:$AA$97,BD8,$D$4:$D$97,"Empate")+COUNTIFS($AF$4:$AF$97,BD8,$D$4:$D$97,"Empate")</f>
        <v>1</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4</v>
      </c>
      <c r="BK8" s="139" cm="1">
        <f t="array" ref="BK8">SUMIFS($AC$4:$AC$97,$AF$4:$AF$97,BD8,$D$4:$D$97,"&lt;&gt;"&amp;"Pendiente",$AC$4:$AC$97,"&lt;&gt;"&amp;"",$AD$4:$AD$97,"&lt;&gt;"&amp;"")+SUMIFS($AD$4:$AD$97,$AA$4:$AA$97,BD8,$D$4:$D$97,"&lt;&gt;"&amp;"Pendiente",$AC$4:$AC$97,"&lt;&gt;"&amp;"",$AD$4:$AD$97,"&lt;&gt;"&amp;"")</f>
        <v>4</v>
      </c>
      <c r="BL8" s="139" cm="1">
        <f t="array" ref="BL8">BJ8-BK8</f>
        <v>0</v>
      </c>
      <c r="BM8" s="126" t="str" cm="1">
        <f t="array" ref="BM8">DD8&amp;BC8</f>
        <v>3A</v>
      </c>
      <c r="BN8" s="126" t="str" cm="1">
        <f t="array" ref="BN8">DH8&amp;BC8</f>
        <v>3A</v>
      </c>
      <c r="BO8" s="139" cm="1">
        <f t="array" ref="BO8">IF(AND($AJ$99=144,BF8&gt;=1),1,0)</f>
        <v>0</v>
      </c>
      <c r="BP8" s="139">
        <v>1</v>
      </c>
      <c r="BQ8" s="112" t="s">
        <v>113</v>
      </c>
      <c r="BR8" s="139" cm="1">
        <f t="array" ref="BR8">IF($BQ8="-","-",BE8)</f>
        <v>4</v>
      </c>
      <c r="BS8" s="139">
        <v>1</v>
      </c>
      <c r="BT8" s="112" t="s">
        <v>113</v>
      </c>
      <c r="BU8" s="139" cm="1">
        <f t="array" ref="BU8">IF($BT8="-","-",COUNTIFS($AA$4:$AA$97,$BD8,$D$4:$D$97,"Local",$F$4:$F$97,$BT8)+COUNTIFS($AF$4:$AF$97,$BD8,$D$4:$D$97,"Visitante",$E$4:$E$97,$BT8))</f>
        <v>1</v>
      </c>
      <c r="BV8" s="139" cm="1">
        <f t="array" ref="BV8">IF($BT8="-","-",COUNTIFS($AA$4:$AA$97,$BD8,$D$4:$D$97,"Empate",$F$4:$F$97,$BT8)+COUNTIFS($AF$4:$AF$97,$BD8,$D$4:$D$97,"Empate",$E$4:$E$97,$BT8))</f>
        <v>1</v>
      </c>
      <c r="BW8" s="139" cm="1">
        <f t="array" ref="BW8">IF($BT8="-","-",COUNTIFS($AA$4:$AA$97,$BD8,$D$4:$D$97,"Visitante",$F$4:$F$97,$BT8)+COUNTIFS($AF$4:$AF$97,$BD8,$D$4:$D$97,"Local",$E$4:$E$97,$BT8))</f>
        <v>1</v>
      </c>
      <c r="BX8" s="139" cm="1">
        <f t="array" ref="BX8">IF($BT8="-","-",BU8*3+BV8)</f>
        <v>4</v>
      </c>
      <c r="BY8" s="139">
        <v>1</v>
      </c>
      <c r="BZ8" s="112" t="s">
        <v>113</v>
      </c>
      <c r="CA8" s="139" cm="1">
        <f t="array" ref="CA8">IF($BZ8="-","-",SUMIFS($AC$4:$AC$97,$AA$4:$AA$97,$BD8,$I$4:$I$97,$BZ8)+SUMIFS($AD$4:$AD$97,$AF$4:$AF$97,$BD8,$H$4:$H$97,$BZ8))</f>
        <v>4</v>
      </c>
      <c r="CB8" s="139" cm="1">
        <f t="array" ref="CB8">IF($BZ8="-","-",SUMIFS($AD$4:$AD$97,$AA$4:$AA$97,$BD8,$I$4:$I$97,$BZ8)+SUMIFS($AC$4:$AC$97,$AF$4:$AF$97,$BD8,$H$4:$H$97,$BZ8))</f>
        <v>4</v>
      </c>
      <c r="CC8" s="139" cm="1">
        <f t="array" ref="CC8">IF($BZ8="-","-",CA8-CB8)</f>
        <v>0</v>
      </c>
      <c r="CD8" s="139">
        <v>1</v>
      </c>
      <c r="CE8" s="112" t="s">
        <v>113</v>
      </c>
      <c r="CF8" s="139" cm="1">
        <f t="array" ref="CF8">IF($CE8="-","-",SUMIFS($AC$4:$AC$97,$AA$4:$AA$97,$BD8,$L$4:$L$97,$CE8)+SUMIFS($AD$4:$AD$97,$AF$4:$AF$97,$BD8,$K$4:$K$97,$CE8))</f>
        <v>4</v>
      </c>
      <c r="CG8" s="139">
        <v>1</v>
      </c>
      <c r="CH8" s="112" t="s">
        <v>113</v>
      </c>
      <c r="CI8" s="139" cm="1">
        <f t="array" ref="CI8">IF($CH8="-","-",COUNTIFS($AA$4:$AA$97,$BD8,$D$4:$D$97,"Local",$O$4:$O$97,$CH8)+COUNTIFS($AF$4:$AF$97,$BD8,$D$4:$D$97,"Visitante",$N$4:$N$97,$CH8))</f>
        <v>1</v>
      </c>
      <c r="CJ8" s="139" cm="1">
        <f t="array" ref="CJ8">IF($CH8="-","-",COUNTIFS($AA$4:$AA$97,$BD8,$D$4:$D$97,"Empate",$O$4:$O$97,$CH8)+COUNTIFS($AF$4:$AF$97,$BD8,$D$4:$D$97,"Empate",$N$4:$N$97,$CH8))</f>
        <v>1</v>
      </c>
      <c r="CK8" s="139" cm="1">
        <f t="array" ref="CK8">IF($CH8="-","-",COUNTIFS($AA$4:$AA$97,$BD8,$D$4:$D$97,"Visitante",$O$4:$O$97,$CH8)+COUNTIFS($AF$4:$AF$97,$BD8,$D$4:$D$97,"Local",$N$4:$N$97,$CH8))</f>
        <v>1</v>
      </c>
      <c r="CL8" s="139" cm="1">
        <f t="array" ref="CL8">IF($CH8="-","-",CI8*3+CJ8)</f>
        <v>4</v>
      </c>
      <c r="CM8" s="139">
        <v>1</v>
      </c>
      <c r="CN8" s="112" t="s">
        <v>113</v>
      </c>
      <c r="CO8" s="139" cm="1">
        <f t="array" ref="CO8">IF($CN8="-","-",SUMIFS($AC$4:$AC$97,$AA$4:$AA$97,$BD8,$R$4:$R$97,$CN8)+SUMIFS($AD$4:$AD$97,$AF$4:$AF$97,$BD8,$Q$4:$Q$97,$CN8))</f>
        <v>4</v>
      </c>
      <c r="CP8" s="139" cm="1">
        <f t="array" ref="CP8">IF($CN8="-","-",SUMIFS($AD$4:$AD$97,$AA$4:$AA$97,$BD8,$R$4:$R$97,$CN8)+SUMIFS($AC$4:$AC$97,$AF$4:$AF$97,$BD8,$Q$4:$Q$97,$CN8))</f>
        <v>4</v>
      </c>
      <c r="CQ8" s="139" cm="1">
        <f t="array" ref="CQ8">IF($CN8="-","-",CO8-CP8)</f>
        <v>0</v>
      </c>
      <c r="CR8" s="139">
        <v>1</v>
      </c>
      <c r="CS8" s="112" t="s">
        <v>113</v>
      </c>
      <c r="CT8" s="139" cm="1">
        <f t="array" ref="CT8">IF($CS8="-","-",SUMIFS($AC$4:$AC$97,$AA$4:$AA$97,$BD8,$U$4:$U$97,$CS8)+SUMIFS($AD$4:$AD$97,$AF$4:$AF$97,$BD8,$T$4:$T$97,$CS8))</f>
        <v>4</v>
      </c>
      <c r="CU8" s="139">
        <v>1</v>
      </c>
      <c r="CV8" s="112" t="s">
        <v>113</v>
      </c>
      <c r="CW8" s="139" cm="1">
        <f t="array" ref="CW8">IF(CV8="-","-",BL8)</f>
        <v>0</v>
      </c>
      <c r="CX8" s="139">
        <v>1</v>
      </c>
      <c r="CY8" s="112" t="s">
        <v>113</v>
      </c>
      <c r="CZ8" s="139" cm="1">
        <f t="array" ref="CZ8">IF(CY8="-","-",BJ8)</f>
        <v>4</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2"/>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2</v>
      </c>
      <c r="AN9" s="160" cm="1">
        <f t="array" ref="AN9">INDEX($BE$6:$BN$53,MATCH($AL9,$BD$6:$BD$53,0),MATCH(AN$5,$BE$5:$BN$5,0))</f>
        <v>3</v>
      </c>
      <c r="AO9" s="160" cm="1">
        <f t="array" ref="AO9">INDEX($BE$6:$BN$53,MATCH($AL9,$BD$6:$BD$53,0),MATCH(AO$5,$BE$5:$BN$5,0))</f>
        <v>0</v>
      </c>
      <c r="AP9" s="160" cm="1">
        <f t="array" ref="AP9">INDEX($BE$6:$BN$53,MATCH($AL9,$BD$6:$BD$53,0),MATCH(AP$5,$BE$5:$BN$5,0))</f>
        <v>2</v>
      </c>
      <c r="AQ9" s="160" cm="1">
        <f t="array" ref="AQ9">INDEX($BE$6:$BN$53,MATCH($AL9,$BD$6:$BD$53,0),MATCH(AQ$5,$BE$5:$BN$5,0))</f>
        <v>1</v>
      </c>
      <c r="AR9" s="160" cm="1">
        <f t="array" ref="AR9">INDEX($BE$6:$BN$53,MATCH($AL9,$BD$6:$BD$53,0),MATCH(AR$5,$BE$5:$BN$5,0))</f>
        <v>2</v>
      </c>
      <c r="AS9" s="160" cm="1">
        <f t="array" ref="AS9">INDEX($BE$6:$BN$53,MATCH($AL9,$BD$6:$BD$53,0),MATCH(AS$5,$BE$5:$BN$5,0))</f>
        <v>3</v>
      </c>
      <c r="AT9" s="161" cm="1">
        <f t="array" ref="AT9">INDEX($BE$6:$BN$53,MATCH($AL9,$BD$6:$BD$53,0),MATCH(AT$5,$BE$5:$BN$5,0))</f>
        <v>-1</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2</v>
      </c>
      <c r="BF9" s="139" cm="1">
        <f t="array" ref="BF9">BG9+BH9+BI9</f>
        <v>3</v>
      </c>
      <c r="BG9" s="139" cm="1">
        <f t="array" ref="BG9">COUNTIFS($AA$4:$AA$97,BD9,$D$4:$D$97,"Local")+COUNTIFS($AF$4:$AF$97,BD9,$D$4:$D$97,"Visitante")</f>
        <v>0</v>
      </c>
      <c r="BH9" s="139" cm="1">
        <f t="array" ref="BH9">COUNTIFS($AA$4:$AA$97,BD9,$D$4:$D$97,"Empate")+COUNTIFS($AF$4:$AF$97,BD9,$D$4:$D$97,"Empate")</f>
        <v>2</v>
      </c>
      <c r="BI9" s="139" cm="1">
        <f t="array" ref="BI9">COUNTIFS($AF$4:$AF$97,BD9,$D$4:$D$97,"Local")+COUNTIFS($AA$4:$AA$97,BD9,$D$4:$D$97,"Visitante")</f>
        <v>1</v>
      </c>
      <c r="BJ9" s="139" cm="1">
        <f t="array" ref="BJ9">SUMIFS($AC$4:$AC$97,$AA$4:$AA$97,BD9,$D$4:$D$97,"&lt;&gt;"&amp;"Pendiente",$AC$4:$AC$97,"&lt;&gt;"&amp;"",$AD$4:$AD$97,"&lt;&gt;"&amp;"")+SUMIFS($AD$4:$AD$97,$AF$4:$AF$97,BD9,$D$4:$D$97,"&lt;&gt;"&amp;"Pendiente",$AC$4:$AC$97,"&lt;&gt;"&amp;"",$AD$4:$AD$97,"&lt;&gt;"&amp;"")</f>
        <v>2</v>
      </c>
      <c r="BK9" s="139" cm="1">
        <f t="array" ref="BK9">SUMIFS($AC$4:$AC$97,$AF$4:$AF$97,BD9,$D$4:$D$97,"&lt;&gt;"&amp;"Pendiente",$AC$4:$AC$97,"&lt;&gt;"&amp;"",$AD$4:$AD$97,"&lt;&gt;"&amp;"")+SUMIFS($AD$4:$AD$97,$AA$4:$AA$97,BD9,$D$4:$D$97,"&lt;&gt;"&amp;"Pendiente",$AC$4:$AC$97,"&lt;&gt;"&amp;"",$AD$4:$AD$97,"&lt;&gt;"&amp;"")</f>
        <v>3</v>
      </c>
      <c r="BL9" s="139" cm="1">
        <f t="array" ref="BL9">BJ9-BK9</f>
        <v>-1</v>
      </c>
      <c r="BM9" s="126" t="str" cm="1">
        <f t="array" ref="BM9">DD9&amp;BC9</f>
        <v>4A</v>
      </c>
      <c r="BN9" s="126" t="str" cm="1">
        <f t="array" ref="BN9">DH9&amp;BC9</f>
        <v>4A</v>
      </c>
      <c r="BO9" s="139" cm="1">
        <f t="array" ref="BO9">IF(AND($AJ$99=144,BF9&gt;=1),1,0)</f>
        <v>0</v>
      </c>
      <c r="BP9" s="139">
        <v>1</v>
      </c>
      <c r="BQ9" s="112" t="s">
        <v>113</v>
      </c>
      <c r="BR9" s="139" cm="1">
        <f t="array" ref="BR9">IF($BQ9="-","-",BE9)</f>
        <v>2</v>
      </c>
      <c r="BS9" s="139">
        <v>1</v>
      </c>
      <c r="BT9" s="112" t="s">
        <v>113</v>
      </c>
      <c r="BU9" s="139" cm="1">
        <f t="array" ref="BU9">IF($BT9="-","-",COUNTIFS($AA$4:$AA$97,$BD9,$D$4:$D$97,"Local",$F$4:$F$97,$BT9)+COUNTIFS($AF$4:$AF$97,$BD9,$D$4:$D$97,"Visitante",$E$4:$E$97,$BT9))</f>
        <v>0</v>
      </c>
      <c r="BV9" s="139" cm="1">
        <f t="array" ref="BV9">IF($BT9="-","-",COUNTIFS($AA$4:$AA$97,$BD9,$D$4:$D$97,"Empate",$F$4:$F$97,$BT9)+COUNTIFS($AF$4:$AF$97,$BD9,$D$4:$D$97,"Empate",$E$4:$E$97,$BT9))</f>
        <v>2</v>
      </c>
      <c r="BW9" s="139" cm="1">
        <f t="array" ref="BW9">IF($BT9="-","-",COUNTIFS($AA$4:$AA$97,$BD9,$D$4:$D$97,"Visitante",$F$4:$F$97,$BT9)+COUNTIFS($AF$4:$AF$97,$BD9,$D$4:$D$97,"Local",$E$4:$E$97,$BT9))</f>
        <v>1</v>
      </c>
      <c r="BX9" s="139" cm="1">
        <f t="array" ref="BX9">IF($BT9="-","-",BU9*3+BV9)</f>
        <v>2</v>
      </c>
      <c r="BY9" s="139">
        <v>1</v>
      </c>
      <c r="BZ9" s="112" t="s">
        <v>113</v>
      </c>
      <c r="CA9" s="139" cm="1">
        <f t="array" ref="CA9">IF($BZ9="-","-",SUMIFS($AC$4:$AC$97,$AA$4:$AA$97,$BD9,$I$4:$I$97,$BZ9)+SUMIFS($AD$4:$AD$97,$AF$4:$AF$97,$BD9,$H$4:$H$97,$BZ9))</f>
        <v>2</v>
      </c>
      <c r="CB9" s="139" cm="1">
        <f t="array" ref="CB9">IF($BZ9="-","-",SUMIFS($AD$4:$AD$97,$AA$4:$AA$97,$BD9,$I$4:$I$97,$BZ9)+SUMIFS($AC$4:$AC$97,$AF$4:$AF$97,$BD9,$H$4:$H$97,$BZ9))</f>
        <v>3</v>
      </c>
      <c r="CC9" s="139" cm="1">
        <f t="array" ref="CC9">IF($BZ9="-","-",CA9-CB9)</f>
        <v>-1</v>
      </c>
      <c r="CD9" s="139">
        <v>1</v>
      </c>
      <c r="CE9" s="112" t="s">
        <v>113</v>
      </c>
      <c r="CF9" s="139" cm="1">
        <f t="array" ref="CF9">IF($CE9="-","-",SUMIFS($AC$4:$AC$97,$AA$4:$AA$97,$BD9,$L$4:$L$97,$CE9)+SUMIFS($AD$4:$AD$97,$AF$4:$AF$97,$BD9,$K$4:$K$97,$CE9))</f>
        <v>2</v>
      </c>
      <c r="CG9" s="139">
        <v>1</v>
      </c>
      <c r="CH9" s="112" t="s">
        <v>113</v>
      </c>
      <c r="CI9" s="139" cm="1">
        <f t="array" ref="CI9">IF($CH9="-","-",COUNTIFS($AA$4:$AA$97,$BD9,$D$4:$D$97,"Local",$O$4:$O$97,$CH9)+COUNTIFS($AF$4:$AF$97,$BD9,$D$4:$D$97,"Visitante",$N$4:$N$97,$CH9))</f>
        <v>0</v>
      </c>
      <c r="CJ9" s="139" cm="1">
        <f t="array" ref="CJ9">IF($CH9="-","-",COUNTIFS($AA$4:$AA$97,$BD9,$D$4:$D$97,"Empate",$O$4:$O$97,$CH9)+COUNTIFS($AF$4:$AF$97,$BD9,$D$4:$D$97,"Empate",$N$4:$N$97,$CH9))</f>
        <v>2</v>
      </c>
      <c r="CK9" s="139" cm="1">
        <f t="array" ref="CK9">IF($CH9="-","-",COUNTIFS($AA$4:$AA$97,$BD9,$D$4:$D$97,"Visitante",$O$4:$O$97,$CH9)+COUNTIFS($AF$4:$AF$97,$BD9,$D$4:$D$97,"Local",$N$4:$N$97,$CH9))</f>
        <v>1</v>
      </c>
      <c r="CL9" s="139" cm="1">
        <f t="array" ref="CL9">IF($CH9="-","-",CI9*3+CJ9)</f>
        <v>2</v>
      </c>
      <c r="CM9" s="139">
        <v>1</v>
      </c>
      <c r="CN9" s="112" t="s">
        <v>113</v>
      </c>
      <c r="CO9" s="139" cm="1">
        <f t="array" ref="CO9">IF($CN9="-","-",SUMIFS($AC$4:$AC$97,$AA$4:$AA$97,$BD9,$R$4:$R$97,$CN9)+SUMIFS($AD$4:$AD$97,$AF$4:$AF$97,$BD9,$Q$4:$Q$97,$CN9))</f>
        <v>2</v>
      </c>
      <c r="CP9" s="139" cm="1">
        <f t="array" ref="CP9">IF($CN9="-","-",SUMIFS($AD$4:$AD$97,$AA$4:$AA$97,$BD9,$R$4:$R$97,$CN9)+SUMIFS($AC$4:$AC$97,$AF$4:$AF$97,$BD9,$Q$4:$Q$97,$CN9))</f>
        <v>3</v>
      </c>
      <c r="CQ9" s="139" cm="1">
        <f t="array" ref="CQ9">IF($CN9="-","-",CO9-CP9)</f>
        <v>-1</v>
      </c>
      <c r="CR9" s="139">
        <v>1</v>
      </c>
      <c r="CS9" s="112" t="s">
        <v>113</v>
      </c>
      <c r="CT9" s="139" cm="1">
        <f t="array" ref="CT9">IF($CS9="-","-",SUMIFS($AC$4:$AC$97,$AA$4:$AA$97,$BD9,$U$4:$U$97,$CS9)+SUMIFS($AD$4:$AD$97,$AF$4:$AF$97,$BD9,$T$4:$T$97,$CS9))</f>
        <v>2</v>
      </c>
      <c r="CU9" s="139">
        <v>1</v>
      </c>
      <c r="CV9" s="112" t="s">
        <v>113</v>
      </c>
      <c r="CW9" s="139" cm="1">
        <f t="array" ref="CW9">IF(CV9="-","-",BL9)</f>
        <v>-1</v>
      </c>
      <c r="CX9" s="139">
        <v>1</v>
      </c>
      <c r="CY9" s="112" t="s">
        <v>113</v>
      </c>
      <c r="CZ9" s="139" cm="1">
        <f t="array" ref="CZ9">IF(CY9="-","-",BJ9)</f>
        <v>2</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5</v>
      </c>
      <c r="BF10" s="139" cm="1">
        <f t="array" ref="BF10">BG10+BH10+BI10</f>
        <v>3</v>
      </c>
      <c r="BG10" s="139" cm="1">
        <f t="array" ref="BG10">COUNTIFS($AA$4:$AA$97,BD10,$D$4:$D$97,"Local")+COUNTIFS($AF$4:$AF$97,BD10,$D$4:$D$97,"Visitante")</f>
        <v>1</v>
      </c>
      <c r="BH10" s="139" cm="1">
        <f t="array" ref="BH10">COUNTIFS($AA$4:$AA$97,BD10,$D$4:$D$97,"Empate")+COUNTIFS($AF$4:$AF$97,BD10,$D$4:$D$97,"Empate")</f>
        <v>2</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5</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2</v>
      </c>
      <c r="BW10" s="139" cm="1">
        <f t="array" ref="BW10">IF($BT10="-","-",COUNTIFS($AA$4:$AA$97,$BD10,$D$4:$D$97,"Visitante",$F$4:$F$97,$BT10)+COUNTIFS($AF$4:$AF$97,$BD10,$D$4:$D$97,"Local",$E$4:$E$97,$BT10))</f>
        <v>0</v>
      </c>
      <c r="BX10" s="139" cm="1">
        <f t="array" ref="BX10">IF($BT10="-","-",BU10*3+BV10)</f>
        <v>5</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2</v>
      </c>
      <c r="CK10" s="139" cm="1">
        <f t="array" ref="CK10">IF($CH10="-","-",COUNTIFS($AA$4:$AA$97,$BD10,$D$4:$D$97,"Visitante",$O$4:$O$97,$CH10)+COUNTIFS($AF$4:$AF$97,$BD10,$D$4:$D$97,"Local",$N$4:$N$97,$CH10))</f>
        <v>0</v>
      </c>
      <c r="CL10" s="139" cm="1">
        <f t="array" ref="CL10">IF($CH10="-","-",CI10*3+CJ10)</f>
        <v>5</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4</v>
      </c>
      <c r="BF11" s="139" cm="1">
        <f t="array" ref="BF11">BG11+BH11+BI11</f>
        <v>3</v>
      </c>
      <c r="BG11" s="139" cm="1">
        <f t="array" ref="BG11">COUNTIFS($AA$4:$AA$97,BD11,$D$4:$D$97,"Local")+COUNTIFS($AF$4:$AF$97,BD11,$D$4:$D$97,"Visitante")</f>
        <v>1</v>
      </c>
      <c r="BH11" s="139" cm="1">
        <f t="array" ref="BH11">COUNTIFS($AA$4:$AA$97,BD11,$D$4:$D$97,"Empate")+COUNTIFS($AF$4:$AF$97,BD11,$D$4:$D$97,"Empate")</f>
        <v>1</v>
      </c>
      <c r="BI11" s="139" cm="1">
        <f t="array" ref="BI11">COUNTIFS($AF$4:$AF$97,BD11,$D$4:$D$97,"Local")+COUNTIFS($AA$4:$AA$97,BD11,$D$4:$D$97,"Visitante")</f>
        <v>1</v>
      </c>
      <c r="BJ11" s="139" cm="1">
        <f t="array" ref="BJ11">SUMIFS($AC$4:$AC$97,$AA$4:$AA$97,BD11,$D$4:$D$97,"&lt;&gt;"&amp;"Pendiente",$AC$4:$AC$97,"&lt;&gt;"&amp;"",$AD$4:$AD$97,"&lt;&gt;"&amp;"")+SUMIFS($AD$4:$AD$97,$AF$4:$AF$97,BD11,$D$4:$D$97,"&lt;&gt;"&amp;"Pendiente",$AC$4:$AC$97,"&lt;&gt;"&amp;"",$AD$4:$AD$97,"&lt;&gt;"&amp;"")</f>
        <v>3</v>
      </c>
      <c r="BK11" s="139" cm="1">
        <f t="array" ref="BK11">SUMIFS($AC$4:$AC$97,$AF$4:$AF$97,BD11,$D$4:$D$97,"&lt;&gt;"&amp;"Pendiente",$AC$4:$AC$97,"&lt;&gt;"&amp;"",$AD$4:$AD$97,"&lt;&gt;"&amp;"")+SUMIFS($AD$4:$AD$97,$AA$4:$AA$97,BD11,$D$4:$D$97,"&lt;&gt;"&amp;"Pendiente",$AC$4:$AC$97,"&lt;&gt;"&amp;"",$AD$4:$AD$97,"&lt;&gt;"&amp;"")</f>
        <v>3</v>
      </c>
      <c r="BL11" s="139" cm="1">
        <f t="array" ref="BL11">BJ11-BK11</f>
        <v>0</v>
      </c>
      <c r="BM11" s="126" t="str" cm="1">
        <f t="array" ref="BM11">DD11&amp;BC11</f>
        <v>2B</v>
      </c>
      <c r="BN11" s="126" t="str" cm="1">
        <f t="array" ref="BN11">DH11&amp;BC11</f>
        <v>2B</v>
      </c>
      <c r="BO11" s="139" cm="1">
        <f t="array" ref="BO11">IF(AND($AJ$99=144,BF11&gt;=1),1,0)</f>
        <v>0</v>
      </c>
      <c r="BP11" s="139">
        <v>1</v>
      </c>
      <c r="BQ11" s="112" t="s">
        <v>113</v>
      </c>
      <c r="BR11" s="139" cm="1">
        <f t="array" ref="BR11">IF($BQ11="-","-",BE11)</f>
        <v>4</v>
      </c>
      <c r="BS11" s="139">
        <v>1</v>
      </c>
      <c r="BT11" s="112" t="s">
        <v>113</v>
      </c>
      <c r="BU11" s="139" cm="1">
        <f t="array" ref="BU11">IF($BT11="-","-",COUNTIFS($AA$4:$AA$97,$BD11,$D$4:$D$97,"Local",$F$4:$F$97,$BT11)+COUNTIFS($AF$4:$AF$97,$BD11,$D$4:$D$97,"Visitante",$E$4:$E$97,$BT11))</f>
        <v>1</v>
      </c>
      <c r="BV11" s="139" cm="1">
        <f t="array" ref="BV11">IF($BT11="-","-",COUNTIFS($AA$4:$AA$97,$BD11,$D$4:$D$97,"Empate",$F$4:$F$97,$BT11)+COUNTIFS($AF$4:$AF$97,$BD11,$D$4:$D$97,"Empate",$E$4:$E$97,$BT11))</f>
        <v>1</v>
      </c>
      <c r="BW11" s="139" cm="1">
        <f t="array" ref="BW11">IF($BT11="-","-",COUNTIFS($AA$4:$AA$97,$BD11,$D$4:$D$97,"Visitante",$F$4:$F$97,$BT11)+COUNTIFS($AF$4:$AF$97,$BD11,$D$4:$D$97,"Local",$E$4:$E$97,$BT11))</f>
        <v>1</v>
      </c>
      <c r="BX11" s="139" cm="1">
        <f t="array" ref="BX11">IF($BT11="-","-",BU11*3+BV11)</f>
        <v>4</v>
      </c>
      <c r="BY11" s="139">
        <v>1</v>
      </c>
      <c r="BZ11" s="112" t="s">
        <v>113</v>
      </c>
      <c r="CA11" s="139" cm="1">
        <f t="array" ref="CA11">IF($BZ11="-","-",SUMIFS($AC$4:$AC$97,$AA$4:$AA$97,$BD11,$I$4:$I$97,$BZ11)+SUMIFS($AD$4:$AD$97,$AF$4:$AF$97,$BD11,$H$4:$H$97,$BZ11))</f>
        <v>3</v>
      </c>
      <c r="CB11" s="139" cm="1">
        <f t="array" ref="CB11">IF($BZ11="-","-",SUMIFS($AD$4:$AD$97,$AA$4:$AA$97,$BD11,$I$4:$I$97,$BZ11)+SUMIFS($AC$4:$AC$97,$AF$4:$AF$97,$BD11,$H$4:$H$97,$BZ11))</f>
        <v>3</v>
      </c>
      <c r="CC11" s="139" cm="1">
        <f t="array" ref="CC11">IF($BZ11="-","-",CA11-CB11)</f>
        <v>0</v>
      </c>
      <c r="CD11" s="139">
        <v>1</v>
      </c>
      <c r="CE11" s="112" t="s">
        <v>113</v>
      </c>
      <c r="CF11" s="139" cm="1">
        <f t="array" ref="CF11">IF($CE11="-","-",SUMIFS($AC$4:$AC$97,$AA$4:$AA$97,$BD11,$L$4:$L$97,$CE11)+SUMIFS($AD$4:$AD$97,$AF$4:$AF$97,$BD11,$K$4:$K$97,$CE11))</f>
        <v>3</v>
      </c>
      <c r="CG11" s="139">
        <v>1</v>
      </c>
      <c r="CH11" s="112" t="s">
        <v>113</v>
      </c>
      <c r="CI11" s="139" cm="1">
        <f t="array" ref="CI11">IF($CH11="-","-",COUNTIFS($AA$4:$AA$97,$BD11,$D$4:$D$97,"Local",$O$4:$O$97,$CH11)+COUNTIFS($AF$4:$AF$97,$BD11,$D$4:$D$97,"Visitante",$N$4:$N$97,$CH11))</f>
        <v>1</v>
      </c>
      <c r="CJ11" s="139" cm="1">
        <f t="array" ref="CJ11">IF($CH11="-","-",COUNTIFS($AA$4:$AA$97,$BD11,$D$4:$D$97,"Empate",$O$4:$O$97,$CH11)+COUNTIFS($AF$4:$AF$97,$BD11,$D$4:$D$97,"Empate",$N$4:$N$97,$CH11))</f>
        <v>1</v>
      </c>
      <c r="CK11" s="139" cm="1">
        <f t="array" ref="CK11">IF($CH11="-","-",COUNTIFS($AA$4:$AA$97,$BD11,$D$4:$D$97,"Visitante",$O$4:$O$97,$CH11)+COUNTIFS($AF$4:$AF$97,$BD11,$D$4:$D$97,"Local",$N$4:$N$97,$CH11))</f>
        <v>1</v>
      </c>
      <c r="CL11" s="139" cm="1">
        <f t="array" ref="CL11">IF($CH11="-","-",CI11*3+CJ11)</f>
        <v>4</v>
      </c>
      <c r="CM11" s="139">
        <v>1</v>
      </c>
      <c r="CN11" s="112" t="s">
        <v>113</v>
      </c>
      <c r="CO11" s="139" cm="1">
        <f t="array" ref="CO11">IF($CN11="-","-",SUMIFS($AC$4:$AC$97,$AA$4:$AA$97,$BD11,$R$4:$R$97,$CN11)+SUMIFS($AD$4:$AD$97,$AF$4:$AF$97,$BD11,$Q$4:$Q$97,$CN11))</f>
        <v>3</v>
      </c>
      <c r="CP11" s="139" cm="1">
        <f t="array" ref="CP11">IF($CN11="-","-",SUMIFS($AD$4:$AD$97,$AA$4:$AA$97,$BD11,$R$4:$R$97,$CN11)+SUMIFS($AC$4:$AC$97,$AF$4:$AF$97,$BD11,$Q$4:$Q$97,$CN11))</f>
        <v>3</v>
      </c>
      <c r="CQ11" s="139" cm="1">
        <f t="array" ref="CQ11">IF($CN11="-","-",CO11-CP11)</f>
        <v>0</v>
      </c>
      <c r="CR11" s="139">
        <v>1</v>
      </c>
      <c r="CS11" s="112" t="s">
        <v>113</v>
      </c>
      <c r="CT11" s="139" cm="1">
        <f t="array" ref="CT11">IF($CS11="-","-",SUMIFS($AC$4:$AC$97,$AA$4:$AA$97,$BD11,$U$4:$U$97,$CS11)+SUMIFS($AD$4:$AD$97,$AF$4:$AF$97,$BD11,$T$4:$T$97,$CS11))</f>
        <v>3</v>
      </c>
      <c r="CU11" s="139">
        <v>1</v>
      </c>
      <c r="CV11" s="112" t="s">
        <v>113</v>
      </c>
      <c r="CW11" s="139" cm="1">
        <f t="array" ref="CW11">IF(CV11="-","-",BL11)</f>
        <v>0</v>
      </c>
      <c r="CX11" s="139">
        <v>1</v>
      </c>
      <c r="CY11" s="112" t="s">
        <v>113</v>
      </c>
      <c r="CZ11" s="139" cm="1">
        <f t="array" ref="CZ11">IF(CY11="-","-",BJ11)</f>
        <v>3</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Empate</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2" t="s">
        <v>121</v>
      </c>
      <c r="X12" s="96">
        <v>46185.625</v>
      </c>
      <c r="Y12" s="97">
        <v>46185.625</v>
      </c>
      <c r="Z12" s="113" t="str" cm="1">
        <f t="array" ref="Z12">$Z$4</f>
        <v>J1</v>
      </c>
      <c r="AA12" s="99" t="str" cm="1">
        <f t="array" ref="AA12">A13</f>
        <v>Canadá</v>
      </c>
      <c r="AB12" s="100"/>
      <c r="AC12" s="101">
        <v>1</v>
      </c>
      <c r="AD12" s="101">
        <v>1</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3</v>
      </c>
      <c r="BF12" s="139" cm="1">
        <f t="array" ref="BF12">BG12+BH12+BI12</f>
        <v>3</v>
      </c>
      <c r="BG12" s="139" cm="1">
        <f t="array" ref="BG12">COUNTIFS($AA$4:$AA$97,BD12,$D$4:$D$97,"Local")+COUNTIFS($AF$4:$AF$97,BD12,$D$4:$D$97,"Visitante")</f>
        <v>1</v>
      </c>
      <c r="BH12" s="139" cm="1">
        <f t="array" ref="BH12">COUNTIFS($AA$4:$AA$97,BD12,$D$4:$D$97,"Empate")+COUNTIFS($AF$4:$AF$97,BD12,$D$4:$D$97,"Empate")</f>
        <v>0</v>
      </c>
      <c r="BI12" s="139" cm="1">
        <f t="array" ref="BI12">COUNTIFS($AF$4:$AF$97,BD12,$D$4:$D$97,"Local")+COUNTIFS($AA$4:$AA$97,BD12,$D$4:$D$97,"Visitante")</f>
        <v>2</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4</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3</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0</v>
      </c>
      <c r="BW12" s="139" cm="1">
        <f t="array" ref="BW12">IF($BT12="-","-",COUNTIFS($AA$4:$AA$97,$BD12,$D$4:$D$97,"Visitante",$F$4:$F$97,$BT12)+COUNTIFS($AF$4:$AF$97,$BD12,$D$4:$D$97,"Local",$E$4:$E$97,$BT12))</f>
        <v>2</v>
      </c>
      <c r="BX12" s="139" cm="1">
        <f t="array" ref="BX12">IF($BT12="-","-",BU12*3+BV12)</f>
        <v>3</v>
      </c>
      <c r="BY12" s="139">
        <v>1</v>
      </c>
      <c r="BZ12" s="112" t="s">
        <v>113</v>
      </c>
      <c r="CA12" s="139" cm="1">
        <f t="array" ref="CA12">IF($BZ12="-","-",SUMIFS($AC$4:$AC$97,$AA$4:$AA$97,$BD12,$I$4:$I$97,$BZ12)+SUMIFS($AD$4:$AD$97,$AF$4:$AF$97,$BD12,$H$4:$H$97,$BZ12))</f>
        <v>3</v>
      </c>
      <c r="CB12" s="139" cm="1">
        <f t="array" ref="CB12">IF($BZ12="-","-",SUMIFS($AD$4:$AD$97,$AA$4:$AA$97,$BD12,$I$4:$I$97,$BZ12)+SUMIFS($AC$4:$AC$97,$AF$4:$AF$97,$BD12,$H$4:$H$97,$BZ12))</f>
        <v>4</v>
      </c>
      <c r="CC12" s="139" cm="1">
        <f t="array" ref="CC12">IF($BZ12="-","-",CA12-CB12)</f>
        <v>-1</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0</v>
      </c>
      <c r="CK12" s="139" cm="1">
        <f t="array" ref="CK12">IF($CH12="-","-",COUNTIFS($AA$4:$AA$97,$BD12,$D$4:$D$97,"Visitante",$O$4:$O$97,$CH12)+COUNTIFS($AF$4:$AF$97,$BD12,$D$4:$D$97,"Local",$N$4:$N$97,$CH12))</f>
        <v>2</v>
      </c>
      <c r="CL12" s="139" cm="1">
        <f t="array" ref="CL12">IF($CH12="-","-",CI12*3+CJ12)</f>
        <v>3</v>
      </c>
      <c r="CM12" s="139">
        <v>1</v>
      </c>
      <c r="CN12" s="112" t="s">
        <v>113</v>
      </c>
      <c r="CO12" s="139" cm="1">
        <f t="array" ref="CO12">IF($CN12="-","-",SUMIFS($AC$4:$AC$97,$AA$4:$AA$97,$BD12,$R$4:$R$97,$CN12)+SUMIFS($AD$4:$AD$97,$AF$4:$AF$97,$BD12,$Q$4:$Q$97,$CN12))</f>
        <v>3</v>
      </c>
      <c r="CP12" s="139" cm="1">
        <f t="array" ref="CP12">IF($CN12="-","-",SUMIFS($AD$4:$AD$97,$AA$4:$AA$97,$BD12,$R$4:$R$97,$CN12)+SUMIFS($AC$4:$AC$97,$AF$4:$AF$97,$BD12,$Q$4:$Q$97,$CN12))</f>
        <v>4</v>
      </c>
      <c r="CQ12" s="139" cm="1">
        <f t="array" ref="CQ12">IF($CN12="-","-",CO12-CP12)</f>
        <v>-1</v>
      </c>
      <c r="CR12" s="139">
        <v>1</v>
      </c>
      <c r="CS12" s="112" t="s">
        <v>113</v>
      </c>
      <c r="CT12" s="139" cm="1">
        <f t="array" ref="CT12">IF($CS12="-","-",SUMIFS($AC$4:$AC$97,$AA$4:$AA$97,$BD12,$U$4:$U$97,$CS12)+SUMIFS($AD$4:$AD$97,$AF$4:$AF$97,$BD12,$T$4:$T$97,$CS12))</f>
        <v>3</v>
      </c>
      <c r="CU12" s="139">
        <v>1</v>
      </c>
      <c r="CV12" s="112" t="s">
        <v>113</v>
      </c>
      <c r="CW12" s="139" cm="1">
        <f t="array" ref="CW12">IF(CV12="-","-",BL12)</f>
        <v>-1</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Local</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60"/>
      <c r="X13" s="96">
        <v>46186.625</v>
      </c>
      <c r="Y13" s="97">
        <v>46186.625</v>
      </c>
      <c r="Z13" s="113" t="str" cm="1">
        <f t="array" ref="Z13">$Z$4</f>
        <v>J1</v>
      </c>
      <c r="AA13" s="99" t="str" cm="1">
        <f t="array" ref="AA13">A15</f>
        <v>Catar</v>
      </c>
      <c r="AB13" s="100"/>
      <c r="AC13" s="114">
        <v>2</v>
      </c>
      <c r="AD13" s="114">
        <v>0</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4</v>
      </c>
      <c r="BF13" s="139" cm="1">
        <f t="array" ref="BF13">BG13+BH13+BI13</f>
        <v>3</v>
      </c>
      <c r="BG13" s="139" cm="1">
        <f t="array" ref="BG13">COUNTIFS($AA$4:$AA$97,BD13,$D$4:$D$97,"Local")+COUNTIFS($AF$4:$AF$97,BD13,$D$4:$D$97,"Visitante")</f>
        <v>1</v>
      </c>
      <c r="BH13" s="139" cm="1">
        <f t="array" ref="BH13">COUNTIFS($AA$4:$AA$97,BD13,$D$4:$D$97,"Empate")+COUNTIFS($AF$4:$AF$97,BD13,$D$4:$D$97,"Empate")</f>
        <v>1</v>
      </c>
      <c r="BI13" s="139" cm="1">
        <f t="array" ref="BI13">COUNTIFS($AF$4:$AF$97,BD13,$D$4:$D$97,"Local")+COUNTIFS($AA$4:$AA$97,BD13,$D$4:$D$97,"Visitante")</f>
        <v>1</v>
      </c>
      <c r="BJ13" s="139" cm="1">
        <f t="array" ref="BJ13">SUMIFS($AC$4:$AC$97,$AA$4:$AA$97,BD13,$D$4:$D$97,"&lt;&gt;"&amp;"Pendiente",$AC$4:$AC$97,"&lt;&gt;"&amp;"",$AD$4:$AD$97,"&lt;&gt;"&amp;"")+SUMIFS($AD$4:$AD$97,$AF$4:$AF$97,BD13,$D$4:$D$97,"&lt;&gt;"&amp;"Pendiente",$AC$4:$AC$97,"&lt;&gt;"&amp;"",$AD$4:$AD$97,"&lt;&gt;"&amp;"")</f>
        <v>2</v>
      </c>
      <c r="BK13" s="139" cm="1">
        <f t="array" ref="BK13">SUMIFS($AC$4:$AC$97,$AF$4:$AF$97,BD13,$D$4:$D$97,"&lt;&gt;"&amp;"Pendiente",$AC$4:$AC$97,"&lt;&gt;"&amp;"",$AD$4:$AD$97,"&lt;&gt;"&amp;"")+SUMIFS($AD$4:$AD$97,$AA$4:$AA$97,BD13,$D$4:$D$97,"&lt;&gt;"&amp;"Pendiente",$AC$4:$AC$97,"&lt;&gt;"&amp;"",$AD$4:$AD$97,"&lt;&gt;"&amp;"")</f>
        <v>3</v>
      </c>
      <c r="BL13" s="139" cm="1">
        <f t="array" ref="BL13">BJ13-BK13</f>
        <v>-1</v>
      </c>
      <c r="BM13" s="126" t="str" cm="1">
        <f t="array" ref="BM13">DD13&amp;BC13</f>
        <v>4B</v>
      </c>
      <c r="BN13" s="126" t="str" cm="1">
        <f t="array" ref="BN13">DH13&amp;BC13</f>
        <v>4B</v>
      </c>
      <c r="BO13" s="139" cm="1">
        <f t="array" ref="BO13">IF(AND($AJ$99=144,BF13&gt;=1),1,0)</f>
        <v>0</v>
      </c>
      <c r="BP13" s="139">
        <v>1</v>
      </c>
      <c r="BQ13" s="112" t="s">
        <v>113</v>
      </c>
      <c r="BR13" s="139" cm="1">
        <f t="array" ref="BR13">IF($BQ13="-","-",BE13)</f>
        <v>4</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1</v>
      </c>
      <c r="BW13" s="139" cm="1">
        <f t="array" ref="BW13">IF($BT13="-","-",COUNTIFS($AA$4:$AA$97,$BD13,$D$4:$D$97,"Visitante",$F$4:$F$97,$BT13)+COUNTIFS($AF$4:$AF$97,$BD13,$D$4:$D$97,"Local",$E$4:$E$97,$BT13))</f>
        <v>1</v>
      </c>
      <c r="BX13" s="139" cm="1">
        <f t="array" ref="BX13">IF($BT13="-","-",BU13*3+BV13)</f>
        <v>4</v>
      </c>
      <c r="BY13" s="139">
        <v>1</v>
      </c>
      <c r="BZ13" s="112" t="s">
        <v>113</v>
      </c>
      <c r="CA13" s="139" cm="1">
        <f t="array" ref="CA13">IF($BZ13="-","-",SUMIFS($AC$4:$AC$97,$AA$4:$AA$97,$BD13,$I$4:$I$97,$BZ13)+SUMIFS($AD$4:$AD$97,$AF$4:$AF$97,$BD13,$H$4:$H$97,$BZ13))</f>
        <v>2</v>
      </c>
      <c r="CB13" s="139" cm="1">
        <f t="array" ref="CB13">IF($BZ13="-","-",SUMIFS($AD$4:$AD$97,$AA$4:$AA$97,$BD13,$I$4:$I$97,$BZ13)+SUMIFS($AC$4:$AC$97,$AF$4:$AF$97,$BD13,$H$4:$H$97,$BZ13))</f>
        <v>3</v>
      </c>
      <c r="CC13" s="139" cm="1">
        <f t="array" ref="CC13">IF($BZ13="-","-",CA13-CB13)</f>
        <v>-1</v>
      </c>
      <c r="CD13" s="139">
        <v>1</v>
      </c>
      <c r="CE13" s="112" t="s">
        <v>113</v>
      </c>
      <c r="CF13" s="139" cm="1">
        <f t="array" ref="CF13">IF($CE13="-","-",SUMIFS($AC$4:$AC$97,$AA$4:$AA$97,$BD13,$L$4:$L$97,$CE13)+SUMIFS($AD$4:$AD$97,$AF$4:$AF$97,$BD13,$K$4:$K$97,$CE13))</f>
        <v>2</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1</v>
      </c>
      <c r="CK13" s="139" cm="1">
        <f t="array" ref="CK13">IF($CH13="-","-",COUNTIFS($AA$4:$AA$97,$BD13,$D$4:$D$97,"Visitante",$O$4:$O$97,$CH13)+COUNTIFS($AF$4:$AF$97,$BD13,$D$4:$D$97,"Local",$N$4:$N$97,$CH13))</f>
        <v>1</v>
      </c>
      <c r="CL13" s="139" cm="1">
        <f t="array" ref="CL13">IF($CH13="-","-",CI13*3+CJ13)</f>
        <v>4</v>
      </c>
      <c r="CM13" s="139">
        <v>1</v>
      </c>
      <c r="CN13" s="112" t="s">
        <v>113</v>
      </c>
      <c r="CO13" s="139" cm="1">
        <f t="array" ref="CO13">IF($CN13="-","-",SUMIFS($AC$4:$AC$97,$AA$4:$AA$97,$BD13,$R$4:$R$97,$CN13)+SUMIFS($AD$4:$AD$97,$AF$4:$AF$97,$BD13,$Q$4:$Q$97,$CN13))</f>
        <v>2</v>
      </c>
      <c r="CP13" s="139" cm="1">
        <f t="array" ref="CP13">IF($CN13="-","-",SUMIFS($AD$4:$AD$97,$AA$4:$AA$97,$BD13,$R$4:$R$97,$CN13)+SUMIFS($AC$4:$AC$97,$AF$4:$AF$97,$BD13,$Q$4:$Q$97,$CN13))</f>
        <v>3</v>
      </c>
      <c r="CQ13" s="139" cm="1">
        <f t="array" ref="CQ13">IF($CN13="-","-",CO13-CP13)</f>
        <v>-1</v>
      </c>
      <c r="CR13" s="139">
        <v>1</v>
      </c>
      <c r="CS13" s="112" t="s">
        <v>113</v>
      </c>
      <c r="CT13" s="139" cm="1">
        <f t="array" ref="CT13">IF($CS13="-","-",SUMIFS($AC$4:$AC$97,$AA$4:$AA$97,$BD13,$U$4:$U$97,$CS13)+SUMIFS($AD$4:$AD$97,$AF$4:$AF$97,$BD13,$T$4:$T$97,$CS13))</f>
        <v>2</v>
      </c>
      <c r="CU13" s="139">
        <v>1</v>
      </c>
      <c r="CV13" s="112" t="s">
        <v>113</v>
      </c>
      <c r="CW13" s="139" cm="1">
        <f t="array" ref="CW13">IF(CV13="-","-",BL13)</f>
        <v>-1</v>
      </c>
      <c r="CX13" s="139">
        <v>1</v>
      </c>
      <c r="CY13" s="112" t="s">
        <v>113</v>
      </c>
      <c r="CZ13" s="139" cm="1">
        <f t="array" ref="CZ13">IF(CY13="-","-",BJ13)</f>
        <v>2</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1"/>
      <c r="X14" s="96">
        <v>46191.625</v>
      </c>
      <c r="Y14" s="97">
        <v>46191.625</v>
      </c>
      <c r="Z14" s="113" t="str" cm="1">
        <f t="array" ref="Z14">$Z$6</f>
        <v>J2</v>
      </c>
      <c r="AA14" s="99" t="str" cm="1">
        <f t="array" ref="AA14">A16</f>
        <v>Suiza</v>
      </c>
      <c r="AB14" s="100"/>
      <c r="AC14" s="114">
        <v>1</v>
      </c>
      <c r="AD14" s="114">
        <v>0</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5</v>
      </c>
      <c r="AN14" s="131" cm="1">
        <f t="array" ref="AN14">INDEX($BE$6:$BN$53,MATCH($AL14,$BD$6:$BD$53,0),MATCH(AN$5,$BE$5:$BN$5,0))</f>
        <v>3</v>
      </c>
      <c r="AO14" s="131" cm="1">
        <f t="array" ref="AO14">INDEX($BE$6:$BN$53,MATCH($AL14,$BD$6:$BD$53,0),MATCH(AO$5,$BE$5:$BN$5,0))</f>
        <v>1</v>
      </c>
      <c r="AP14" s="131" cm="1">
        <f t="array" ref="AP14">INDEX($BE$6:$BN$53,MATCH($AL14,$BD$6:$BD$53,0),MATCH(AP$5,$BE$5:$BN$5,0))</f>
        <v>2</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1"/>
      <c r="X15" s="96">
        <v>46191.75</v>
      </c>
      <c r="Y15" s="97">
        <v>46191.75</v>
      </c>
      <c r="Z15" s="113" t="str" cm="1">
        <f t="array" ref="Z15">$Z$6</f>
        <v>J2</v>
      </c>
      <c r="AA15" s="99" t="str" cm="1">
        <f t="array" ref="AA15">A13</f>
        <v>Canadá</v>
      </c>
      <c r="AB15" s="100"/>
      <c r="AC15" s="114">
        <v>2</v>
      </c>
      <c r="AD15" s="114">
        <v>0</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4</v>
      </c>
      <c r="AN15" s="144" cm="1">
        <f t="array" ref="AN15">INDEX($BE$6:$BN$53,MATCH($AL15,$BD$6:$BD$53,0),MATCH(AN$5,$BE$5:$BN$5,0))</f>
        <v>3</v>
      </c>
      <c r="AO15" s="144" cm="1">
        <f t="array" ref="AO15">INDEX($BE$6:$BN$53,MATCH($AL15,$BD$6:$BD$53,0),MATCH(AO$5,$BE$5:$BN$5,0))</f>
        <v>1</v>
      </c>
      <c r="AP15" s="144" cm="1">
        <f t="array" ref="AP15">INDEX($BE$6:$BN$53,MATCH($AL15,$BD$6:$BD$53,0),MATCH(AP$5,$BE$5:$BN$5,0))</f>
        <v>1</v>
      </c>
      <c r="AQ15" s="144" cm="1">
        <f t="array" ref="AQ15">INDEX($BE$6:$BN$53,MATCH($AL15,$BD$6:$BD$53,0),MATCH(AQ$5,$BE$5:$BN$5,0))</f>
        <v>1</v>
      </c>
      <c r="AR15" s="144" cm="1">
        <f t="array" ref="AR15">INDEX($BE$6:$BN$53,MATCH($AL15,$BD$6:$BD$53,0),MATCH(AR$5,$BE$5:$BN$5,0))</f>
        <v>3</v>
      </c>
      <c r="AS15" s="144" cm="1">
        <f t="array" ref="AS15">INDEX($BE$6:$BN$53,MATCH($AL15,$BD$6:$BD$53,0),MATCH(AS$5,$BE$5:$BN$5,0))</f>
        <v>3</v>
      </c>
      <c r="AT15" s="209" cm="1">
        <f t="array" ref="AT15">INDEX($BE$6:$BN$53,MATCH($AL15,$BD$6:$BD$53,0),MATCH(AT$5,$BE$5:$BN$5,0))</f>
        <v>0</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4</v>
      </c>
      <c r="BF15" s="139" cm="1">
        <f t="array" ref="BF15">BG15+BH15+BI15</f>
        <v>3</v>
      </c>
      <c r="BG15" s="139" cm="1">
        <f t="array" ref="BG15">COUNTIFS($AA$4:$AA$97,BD15,$D$4:$D$97,"Local")+COUNTIFS($AF$4:$AF$97,BD15,$D$4:$D$97,"Visitante")</f>
        <v>1</v>
      </c>
      <c r="BH15" s="139" cm="1">
        <f t="array" ref="BH15">COUNTIFS($AA$4:$AA$97,BD15,$D$4:$D$97,"Empate")+COUNTIFS($AF$4:$AF$97,BD15,$D$4:$D$97,"Empate")</f>
        <v>1</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3</v>
      </c>
      <c r="BK15" s="139" cm="1">
        <f t="array" ref="BK15">SUMIFS($AC$4:$AC$97,$AF$4:$AF$97,BD15,$D$4:$D$97,"&lt;&gt;"&amp;"Pendiente",$AC$4:$AC$97,"&lt;&gt;"&amp;"",$AD$4:$AD$97,"&lt;&gt;"&amp;"")+SUMIFS($AD$4:$AD$97,$AA$4:$AA$97,BD15,$D$4:$D$97,"&lt;&gt;"&amp;"Pendiente",$AC$4:$AC$97,"&lt;&gt;"&amp;"",$AD$4:$AD$97,"&lt;&gt;"&amp;"")</f>
        <v>4</v>
      </c>
      <c r="BL15" s="139" cm="1">
        <f t="array" ref="BL15">BJ15-BK15</f>
        <v>-1</v>
      </c>
      <c r="BM15" s="126" t="str" cm="1">
        <f t="array" ref="BM15">DD15&amp;BC15</f>
        <v>2C</v>
      </c>
      <c r="BN15" s="126" t="str" cm="1">
        <f t="array" ref="BN15">DH15&amp;BC15</f>
        <v>2C</v>
      </c>
      <c r="BO15" s="139" cm="1">
        <f t="array" ref="BO15">IF(AND($AJ$99=144,BF15&gt;=1),1,0)</f>
        <v>0</v>
      </c>
      <c r="BP15" s="139">
        <v>1</v>
      </c>
      <c r="BQ15" s="112" t="s">
        <v>113</v>
      </c>
      <c r="BR15" s="139" cm="1">
        <f t="array" ref="BR15">IF($BQ15="-","-",BE15)</f>
        <v>4</v>
      </c>
      <c r="BS15" s="139">
        <v>1</v>
      </c>
      <c r="BT15" s="112" t="s">
        <v>113</v>
      </c>
      <c r="BU15" s="139" cm="1">
        <f t="array" ref="BU15">IF($BT15="-","-",COUNTIFS($AA$4:$AA$97,$BD15,$D$4:$D$97,"Local",$F$4:$F$97,$BT15)+COUNTIFS($AF$4:$AF$97,$BD15,$D$4:$D$97,"Visitante",$E$4:$E$97,$BT15))</f>
        <v>1</v>
      </c>
      <c r="BV15" s="139" cm="1">
        <f t="array" ref="BV15">IF($BT15="-","-",COUNTIFS($AA$4:$AA$97,$BD15,$D$4:$D$97,"Empate",$F$4:$F$97,$BT15)+COUNTIFS($AF$4:$AF$97,$BD15,$D$4:$D$97,"Empate",$E$4:$E$97,$BT15))</f>
        <v>1</v>
      </c>
      <c r="BW15" s="139" cm="1">
        <f t="array" ref="BW15">IF($BT15="-","-",COUNTIFS($AA$4:$AA$97,$BD15,$D$4:$D$97,"Visitante",$F$4:$F$97,$BT15)+COUNTIFS($AF$4:$AF$97,$BD15,$D$4:$D$97,"Local",$E$4:$E$97,$BT15))</f>
        <v>1</v>
      </c>
      <c r="BX15" s="139" cm="1">
        <f t="array" ref="BX15">IF($BT15="-","-",BU15*3+BV15)</f>
        <v>4</v>
      </c>
      <c r="BY15" s="139">
        <v>1</v>
      </c>
      <c r="BZ15" s="112" t="s">
        <v>113</v>
      </c>
      <c r="CA15" s="139" cm="1">
        <f t="array" ref="CA15">IF($BZ15="-","-",SUMIFS($AC$4:$AC$97,$AA$4:$AA$97,$BD15,$I$4:$I$97,$BZ15)+SUMIFS($AD$4:$AD$97,$AF$4:$AF$97,$BD15,$H$4:$H$97,$BZ15))</f>
        <v>3</v>
      </c>
      <c r="CB15" s="139" cm="1">
        <f t="array" ref="CB15">IF($BZ15="-","-",SUMIFS($AD$4:$AD$97,$AA$4:$AA$97,$BD15,$I$4:$I$97,$BZ15)+SUMIFS($AC$4:$AC$97,$AF$4:$AF$97,$BD15,$H$4:$H$97,$BZ15))</f>
        <v>4</v>
      </c>
      <c r="CC15" s="139" cm="1">
        <f t="array" ref="CC15">IF($BZ15="-","-",CA15-CB15)</f>
        <v>-1</v>
      </c>
      <c r="CD15" s="139">
        <v>1</v>
      </c>
      <c r="CE15" s="112" t="s">
        <v>113</v>
      </c>
      <c r="CF15" s="139" cm="1">
        <f t="array" ref="CF15">IF($CE15="-","-",SUMIFS($AC$4:$AC$97,$AA$4:$AA$97,$BD15,$L$4:$L$97,$CE15)+SUMIFS($AD$4:$AD$97,$AF$4:$AF$97,$BD15,$K$4:$K$97,$CE15))</f>
        <v>3</v>
      </c>
      <c r="CG15" s="139">
        <v>1</v>
      </c>
      <c r="CH15" s="112" t="s">
        <v>113</v>
      </c>
      <c r="CI15" s="139" cm="1">
        <f t="array" ref="CI15">IF($CH15="-","-",COUNTIFS($AA$4:$AA$97,$BD15,$D$4:$D$97,"Local",$O$4:$O$97,$CH15)+COUNTIFS($AF$4:$AF$97,$BD15,$D$4:$D$97,"Visitante",$N$4:$N$97,$CH15))</f>
        <v>1</v>
      </c>
      <c r="CJ15" s="139" cm="1">
        <f t="array" ref="CJ15">IF($CH15="-","-",COUNTIFS($AA$4:$AA$97,$BD15,$D$4:$D$97,"Empate",$O$4:$O$97,$CH15)+COUNTIFS($AF$4:$AF$97,$BD15,$D$4:$D$97,"Empate",$N$4:$N$97,$CH15))</f>
        <v>1</v>
      </c>
      <c r="CK15" s="139" cm="1">
        <f t="array" ref="CK15">IF($CH15="-","-",COUNTIFS($AA$4:$AA$97,$BD15,$D$4:$D$97,"Visitante",$O$4:$O$97,$CH15)+COUNTIFS($AF$4:$AF$97,$BD15,$D$4:$D$97,"Local",$N$4:$N$97,$CH15))</f>
        <v>1</v>
      </c>
      <c r="CL15" s="139" cm="1">
        <f t="array" ref="CL15">IF($CH15="-","-",CI15*3+CJ15)</f>
        <v>4</v>
      </c>
      <c r="CM15" s="139">
        <v>1</v>
      </c>
      <c r="CN15" s="112" t="s">
        <v>113</v>
      </c>
      <c r="CO15" s="139" cm="1">
        <f t="array" ref="CO15">IF($CN15="-","-",SUMIFS($AC$4:$AC$97,$AA$4:$AA$97,$BD15,$R$4:$R$97,$CN15)+SUMIFS($AD$4:$AD$97,$AF$4:$AF$97,$BD15,$Q$4:$Q$97,$CN15))</f>
        <v>3</v>
      </c>
      <c r="CP15" s="139" cm="1">
        <f t="array" ref="CP15">IF($CN15="-","-",SUMIFS($AD$4:$AD$97,$AA$4:$AA$97,$BD15,$R$4:$R$97,$CN15)+SUMIFS($AC$4:$AC$97,$AF$4:$AF$97,$BD15,$Q$4:$Q$97,$CN15))</f>
        <v>4</v>
      </c>
      <c r="CQ15" s="139" cm="1">
        <f t="array" ref="CQ15">IF($CN15="-","-",CO15-CP15)</f>
        <v>-1</v>
      </c>
      <c r="CR15" s="139">
        <v>1</v>
      </c>
      <c r="CS15" s="112" t="s">
        <v>113</v>
      </c>
      <c r="CT15" s="139" cm="1">
        <f t="array" ref="CT15">IF($CS15="-","-",SUMIFS($AC$4:$AC$97,$AA$4:$AA$97,$BD15,$U$4:$U$97,$CS15)+SUMIFS($AD$4:$AD$97,$AF$4:$AF$97,$BD15,$T$4:$T$97,$CS15))</f>
        <v>3</v>
      </c>
      <c r="CU15" s="139">
        <v>1</v>
      </c>
      <c r="CV15" s="112" t="s">
        <v>113</v>
      </c>
      <c r="CW15" s="139" cm="1">
        <f t="array" ref="CW15">IF(CV15="-","-",BL15)</f>
        <v>-1</v>
      </c>
      <c r="CX15" s="139">
        <v>1</v>
      </c>
      <c r="CY15" s="112" t="s">
        <v>113</v>
      </c>
      <c r="CZ15" s="139" cm="1">
        <f t="array" ref="CZ15">IF(CY15="-","-",BJ15)</f>
        <v>3</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1"/>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3</v>
      </c>
      <c r="AN16" s="144" cm="1">
        <f t="array" ref="AN16">INDEX($BE$6:$BN$53,MATCH($AL16,$BD$6:$BD$53,0),MATCH(AN$5,$BE$5:$BN$5,0))</f>
        <v>3</v>
      </c>
      <c r="AO16" s="144" cm="1">
        <f t="array" ref="AO16">INDEX($BE$6:$BN$53,MATCH($AL16,$BD$6:$BD$53,0),MATCH(AO$5,$BE$5:$BN$5,0))</f>
        <v>1</v>
      </c>
      <c r="AP16" s="144" cm="1">
        <f t="array" ref="AP16">INDEX($BE$6:$BN$53,MATCH($AL16,$BD$6:$BD$53,0),MATCH(AP$5,$BE$5:$BN$5,0))</f>
        <v>0</v>
      </c>
      <c r="AQ16" s="144" cm="1">
        <f t="array" ref="AQ16">INDEX($BE$6:$BN$53,MATCH($AL16,$BD$6:$BD$53,0),MATCH(AQ$5,$BE$5:$BN$5,0))</f>
        <v>2</v>
      </c>
      <c r="AR16" s="144" cm="1">
        <f t="array" ref="AR16">INDEX($BE$6:$BN$53,MATCH($AL16,$BD$6:$BD$53,0),MATCH(AR$5,$BE$5:$BN$5,0))</f>
        <v>3</v>
      </c>
      <c r="AS16" s="144" cm="1">
        <f t="array" ref="AS16">INDEX($BE$6:$BN$53,MATCH($AL16,$BD$6:$BD$53,0),MATCH(AS$5,$BE$5:$BN$5,0))</f>
        <v>4</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8</v>
      </c>
      <c r="BL16" s="139" cm="1">
        <f t="array" ref="BL16">BJ16-BK16</f>
        <v>-8</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0</v>
      </c>
      <c r="CB16" s="139" cm="1">
        <f t="array" ref="CB16">IF($BZ16="-","-",SUMIFS($AD$4:$AD$97,$AA$4:$AA$97,$BD16,$I$4:$I$97,$BZ16)+SUMIFS($AC$4:$AC$97,$AF$4:$AF$97,$BD16,$H$4:$H$97,$BZ16))</f>
        <v>8</v>
      </c>
      <c r="CC16" s="139" cm="1">
        <f t="array" ref="CC16">IF($BZ16="-","-",CA16-CB16)</f>
        <v>-8</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0</v>
      </c>
      <c r="CP16" s="139" cm="1">
        <f t="array" ref="CP16">IF($CN16="-","-",SUMIFS($AD$4:$AD$97,$AA$4:$AA$97,$BD16,$R$4:$R$97,$CN16)+SUMIFS($AC$4:$AC$97,$AF$4:$AF$97,$BD16,$Q$4:$Q$97,$CN16))</f>
        <v>8</v>
      </c>
      <c r="CQ16" s="139" cm="1">
        <f t="array" ref="CQ16">IF($CN16="-","-",CO16-CP16)</f>
        <v>-8</v>
      </c>
      <c r="CR16" s="139">
        <v>1</v>
      </c>
      <c r="CS16" s="112" t="s">
        <v>113</v>
      </c>
      <c r="CT16" s="139" cm="1">
        <f t="array" ref="CT16">IF($CS16="-","-",SUMIFS($AC$4:$AC$97,$AA$4:$AA$97,$BD16,$U$4:$U$97,$CS16)+SUMIFS($AD$4:$AD$97,$AF$4:$AF$97,$BD16,$T$4:$T$97,$CS16))</f>
        <v>0</v>
      </c>
      <c r="CU16" s="139">
        <v>1</v>
      </c>
      <c r="CV16" s="112" t="s">
        <v>113</v>
      </c>
      <c r="CW16" s="139" cm="1">
        <f t="array" ref="CW16">IF(CV16="-","-",BL16)</f>
        <v>-8</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Local</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2"/>
      <c r="X17" s="148">
        <v>46197.625</v>
      </c>
      <c r="Y17" s="149">
        <v>46197.625</v>
      </c>
      <c r="Z17" s="150" t="str" cm="1">
        <f t="array" ref="Z17">$Z$8</f>
        <v>J3</v>
      </c>
      <c r="AA17" s="151" t="str" cm="1">
        <f t="array" ref="AA17">A14</f>
        <v>Bosnia y Herzegovina</v>
      </c>
      <c r="AB17" s="152"/>
      <c r="AC17" s="153">
        <v>2</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4</v>
      </c>
      <c r="AN17" s="214" cm="1">
        <f t="array" ref="AN17">INDEX($BE$6:$BN$53,MATCH($AL17,$BD$6:$BD$53,0),MATCH(AN$5,$BE$5:$BN$5,0))</f>
        <v>3</v>
      </c>
      <c r="AO17" s="214" cm="1">
        <f t="array" ref="AO17">INDEX($BE$6:$BN$53,MATCH($AL17,$BD$6:$BD$53,0),MATCH(AO$5,$BE$5:$BN$5,0))</f>
        <v>1</v>
      </c>
      <c r="AP17" s="214" cm="1">
        <f t="array" ref="AP17">INDEX($BE$6:$BN$53,MATCH($AL17,$BD$6:$BD$53,0),MATCH(AP$5,$BE$5:$BN$5,0))</f>
        <v>1</v>
      </c>
      <c r="AQ17" s="214" cm="1">
        <f t="array" ref="AQ17">INDEX($BE$6:$BN$53,MATCH($AL17,$BD$6:$BD$53,0),MATCH(AQ$5,$BE$5:$BN$5,0))</f>
        <v>1</v>
      </c>
      <c r="AR17" s="214" cm="1">
        <f t="array" ref="AR17">INDEX($BE$6:$BN$53,MATCH($AL17,$BD$6:$BD$53,0),MATCH(AR$5,$BE$5:$BN$5,0))</f>
        <v>2</v>
      </c>
      <c r="AS17" s="214" cm="1">
        <f t="array" ref="AS17">INDEX($BE$6:$BN$53,MATCH($AL17,$BD$6:$BD$53,0),MATCH(AS$5,$BE$5:$BN$5,0))</f>
        <v>3</v>
      </c>
      <c r="AT17" s="215" cm="1">
        <f t="array" ref="AT17">INDEX($BE$6:$BN$53,MATCH($AL17,$BD$6:$BD$53,0),MATCH(AT$5,$BE$5:$BN$5,0))</f>
        <v>-1</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4</v>
      </c>
      <c r="BF17" s="139" cm="1">
        <f t="array" ref="BF17">BG17+BH17+BI17</f>
        <v>3</v>
      </c>
      <c r="BG17" s="139" cm="1">
        <f t="array" ref="BG17">COUNTIFS($AA$4:$AA$97,BD17,$D$4:$D$97,"Local")+COUNTIFS($AF$4:$AF$97,BD17,$D$4:$D$97,"Visitante")</f>
        <v>1</v>
      </c>
      <c r="BH17" s="139" cm="1">
        <f t="array" ref="BH17">COUNTIFS($AA$4:$AA$97,BD17,$D$4:$D$97,"Empate")+COUNTIFS($AF$4:$AF$97,BD17,$D$4:$D$97,"Empate")</f>
        <v>1</v>
      </c>
      <c r="BI17" s="139" cm="1">
        <f t="array" ref="BI17">COUNTIFS($AF$4:$AF$97,BD17,$D$4:$D$97,"Local")+COUNTIFS($AA$4:$AA$97,BD17,$D$4:$D$97,"Visitante")</f>
        <v>1</v>
      </c>
      <c r="BJ17" s="139" cm="1">
        <f t="array" ref="BJ17">SUMIFS($AC$4:$AC$97,$AA$4:$AA$97,BD17,$D$4:$D$97,"&lt;&gt;"&amp;"Pendiente",$AC$4:$AC$97,"&lt;&gt;"&amp;"",$AD$4:$AD$97,"&lt;&gt;"&amp;"")+SUMIFS($AD$4:$AD$97,$AF$4:$AF$97,BD17,$D$4:$D$97,"&lt;&gt;"&amp;"Pendiente",$AC$4:$AC$97,"&lt;&gt;"&amp;"",$AD$4:$AD$97,"&lt;&gt;"&amp;"")</f>
        <v>5</v>
      </c>
      <c r="BK17" s="139" cm="1">
        <f t="array" ref="BK17">SUMIFS($AC$4:$AC$97,$AF$4:$AF$97,BD17,$D$4:$D$97,"&lt;&gt;"&amp;"Pendiente",$AC$4:$AC$97,"&lt;&gt;"&amp;"",$AD$4:$AD$97,"&lt;&gt;"&amp;"")+SUMIFS($AD$4:$AD$97,$AA$4:$AA$97,BD17,$D$4:$D$97,"&lt;&gt;"&amp;"Pendiente",$AC$4:$AC$97,"&lt;&gt;"&amp;"",$AD$4:$AD$97,"&lt;&gt;"&amp;"")</f>
        <v>4</v>
      </c>
      <c r="BL17" s="139" cm="1">
        <f t="array" ref="BL17">BJ17-BK17</f>
        <v>1</v>
      </c>
      <c r="BM17" s="126" t="str" cm="1">
        <f t="array" ref="BM17">DD17&amp;BC17</f>
        <v>4C</v>
      </c>
      <c r="BN17" s="126" t="str" cm="1">
        <f t="array" ref="BN17">DH17&amp;BC17</f>
        <v>4C</v>
      </c>
      <c r="BO17" s="139" cm="1">
        <f t="array" ref="BO17">IF(AND($AJ$99=144,BF17&gt;=1),1,0)</f>
        <v>0</v>
      </c>
      <c r="BP17" s="139">
        <v>1</v>
      </c>
      <c r="BQ17" s="112" t="s">
        <v>113</v>
      </c>
      <c r="BR17" s="139" cm="1">
        <f t="array" ref="BR17">IF($BQ17="-","-",BE17)</f>
        <v>4</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1</v>
      </c>
      <c r="BW17" s="139" cm="1">
        <f t="array" ref="BW17">IF($BT17="-","-",COUNTIFS($AA$4:$AA$97,$BD17,$D$4:$D$97,"Visitante",$F$4:$F$97,$BT17)+COUNTIFS($AF$4:$AF$97,$BD17,$D$4:$D$97,"Local",$E$4:$E$97,$BT17))</f>
        <v>1</v>
      </c>
      <c r="BX17" s="139" cm="1">
        <f t="array" ref="BX17">IF($BT17="-","-",BU17*3+BV17)</f>
        <v>4</v>
      </c>
      <c r="BY17" s="139">
        <v>1</v>
      </c>
      <c r="BZ17" s="112" t="s">
        <v>113</v>
      </c>
      <c r="CA17" s="139" cm="1">
        <f t="array" ref="CA17">IF($BZ17="-","-",SUMIFS($AC$4:$AC$97,$AA$4:$AA$97,$BD17,$I$4:$I$97,$BZ17)+SUMIFS($AD$4:$AD$97,$AF$4:$AF$97,$BD17,$H$4:$H$97,$BZ17))</f>
        <v>5</v>
      </c>
      <c r="CB17" s="139" cm="1">
        <f t="array" ref="CB17">IF($BZ17="-","-",SUMIFS($AD$4:$AD$97,$AA$4:$AA$97,$BD17,$I$4:$I$97,$BZ17)+SUMIFS($AC$4:$AC$97,$AF$4:$AF$97,$BD17,$H$4:$H$97,$BZ17))</f>
        <v>4</v>
      </c>
      <c r="CC17" s="139" cm="1">
        <f t="array" ref="CC17">IF($BZ17="-","-",CA17-CB17)</f>
        <v>1</v>
      </c>
      <c r="CD17" s="139">
        <v>1</v>
      </c>
      <c r="CE17" s="112" t="s">
        <v>113</v>
      </c>
      <c r="CF17" s="139" cm="1">
        <f t="array" ref="CF17">IF($CE17="-","-",SUMIFS($AC$4:$AC$97,$AA$4:$AA$97,$BD17,$L$4:$L$97,$CE17)+SUMIFS($AD$4:$AD$97,$AF$4:$AF$97,$BD17,$K$4:$K$97,$CE17))</f>
        <v>5</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1</v>
      </c>
      <c r="CK17" s="139" cm="1">
        <f t="array" ref="CK17">IF($CH17="-","-",COUNTIFS($AA$4:$AA$97,$BD17,$D$4:$D$97,"Visitante",$O$4:$O$97,$CH17)+COUNTIFS($AF$4:$AF$97,$BD17,$D$4:$D$97,"Local",$N$4:$N$97,$CH17))</f>
        <v>1</v>
      </c>
      <c r="CL17" s="139" cm="1">
        <f t="array" ref="CL17">IF($CH17="-","-",CI17*3+CJ17)</f>
        <v>4</v>
      </c>
      <c r="CM17" s="139">
        <v>1</v>
      </c>
      <c r="CN17" s="112" t="s">
        <v>113</v>
      </c>
      <c r="CO17" s="139" cm="1">
        <f t="array" ref="CO17">IF($CN17="-","-",SUMIFS($AC$4:$AC$97,$AA$4:$AA$97,$BD17,$R$4:$R$97,$CN17)+SUMIFS($AD$4:$AD$97,$AF$4:$AF$97,$BD17,$Q$4:$Q$97,$CN17))</f>
        <v>5</v>
      </c>
      <c r="CP17" s="139" cm="1">
        <f t="array" ref="CP17">IF($CN17="-","-",SUMIFS($AD$4:$AD$97,$AA$4:$AA$97,$BD17,$R$4:$R$97,$CN17)+SUMIFS($AC$4:$AC$97,$AF$4:$AF$97,$BD17,$Q$4:$Q$97,$CN17))</f>
        <v>4</v>
      </c>
      <c r="CQ17" s="139" cm="1">
        <f t="array" ref="CQ17">IF($CN17="-","-",CO17-CP17)</f>
        <v>1</v>
      </c>
      <c r="CR17" s="139">
        <v>1</v>
      </c>
      <c r="CS17" s="112" t="s">
        <v>113</v>
      </c>
      <c r="CT17" s="139" cm="1">
        <f t="array" ref="CT17">IF($CS17="-","-",SUMIFS($AC$4:$AC$97,$AA$4:$AA$97,$BD17,$U$4:$U$97,$CS17)+SUMIFS($AD$4:$AD$97,$AF$4:$AF$97,$BD17,$T$4:$T$97,$CS17))</f>
        <v>5</v>
      </c>
      <c r="CU17" s="139">
        <v>1</v>
      </c>
      <c r="CV17" s="112" t="s">
        <v>113</v>
      </c>
      <c r="CW17" s="139" cm="1">
        <f t="array" ref="CW17">IF(CV17="-","-",BL17)</f>
        <v>1</v>
      </c>
      <c r="CX17" s="139">
        <v>1</v>
      </c>
      <c r="CY17" s="112" t="s">
        <v>113</v>
      </c>
      <c r="CZ17" s="139" cm="1">
        <f t="array" ref="CZ17">IF(CY17="-","-",BJ17)</f>
        <v>5</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2</v>
      </c>
      <c r="BK18" s="139" cm="1">
        <f t="array" ref="BK18">SUMIFS($AC$4:$AC$97,$AF$4:$AF$97,BD18,$D$4:$D$97,"&lt;&gt;"&amp;"Pendiente",$AC$4:$AC$97,"&lt;&gt;"&amp;"",$AD$4:$AD$97,"&lt;&gt;"&amp;"")+SUMIFS($AD$4:$AD$97,$AA$4:$AA$97,BD18,$D$4:$D$97,"&lt;&gt;"&amp;"Pendiente",$AC$4:$AC$97,"&lt;&gt;"&amp;"",$AD$4:$AD$97,"&lt;&gt;"&amp;"")</f>
        <v>3</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2</v>
      </c>
      <c r="CB18" s="139" cm="1">
        <f t="array" ref="CB18">IF($BZ18="-","-",SUMIFS($AD$4:$AD$97,$AA$4:$AA$97,$BD18,$I$4:$I$97,$BZ18)+SUMIFS($AC$4:$AC$97,$AF$4:$AF$97,$BD18,$H$4:$H$97,$BZ18))</f>
        <v>3</v>
      </c>
      <c r="CC18" s="139" cm="1">
        <f t="array" ref="CC18">IF($BZ18="-","-",CA18-CB18)</f>
        <v>-1</v>
      </c>
      <c r="CD18" s="139">
        <v>1</v>
      </c>
      <c r="CE18" s="112" t="s">
        <v>113</v>
      </c>
      <c r="CF18" s="139" cm="1">
        <f t="array" ref="CF18">IF($CE18="-","-",SUMIFS($AC$4:$AC$97,$AA$4:$AA$97,$BD18,$L$4:$L$97,$CE18)+SUMIFS($AD$4:$AD$97,$AF$4:$AF$97,$BD18,$K$4:$K$97,$CE18))</f>
        <v>2</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2</v>
      </c>
      <c r="CP18" s="139" cm="1">
        <f t="array" ref="CP18">IF($CN18="-","-",SUMIFS($AD$4:$AD$97,$AA$4:$AA$97,$BD18,$R$4:$R$97,$CN18)+SUMIFS($AC$4:$AC$97,$AF$4:$AF$97,$BD18,$Q$4:$Q$97,$CN18))</f>
        <v>3</v>
      </c>
      <c r="CQ18" s="139" cm="1">
        <f t="array" ref="CQ18">IF($CN18="-","-",CO18-CP18)</f>
        <v>-1</v>
      </c>
      <c r="CR18" s="139">
        <v>1</v>
      </c>
      <c r="CS18" s="112" t="s">
        <v>113</v>
      </c>
      <c r="CT18" s="139" cm="1">
        <f t="array" ref="CT18">IF($CS18="-","-",SUMIFS($AC$4:$AC$97,$AA$4:$AA$97,$BD18,$U$4:$U$97,$CS18)+SUMIFS($AD$4:$AD$97,$AF$4:$AF$97,$BD18,$T$4:$T$97,$CS18))</f>
        <v>2</v>
      </c>
      <c r="CU18" s="139">
        <v>1</v>
      </c>
      <c r="CV18" s="112" t="s">
        <v>113</v>
      </c>
      <c r="CW18" s="139" cm="1">
        <f t="array" ref="CW18">IF(CV18="-","-",BL18)</f>
        <v>-1</v>
      </c>
      <c r="CX18" s="139">
        <v>1</v>
      </c>
      <c r="CY18" s="112" t="s">
        <v>113</v>
      </c>
      <c r="CZ18" s="139" cm="1">
        <f t="array" ref="CZ18">IF(CY18="-","-",BJ18)</f>
        <v>2</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1</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3</v>
      </c>
      <c r="CB19" s="139" cm="1">
        <f t="array" ref="CB19">IF($BZ19="-","-",SUMIFS($AD$4:$AD$97,$AA$4:$AA$97,$BD19,$I$4:$I$97,$BZ19)+SUMIFS($AC$4:$AC$97,$AF$4:$AF$97,$BD19,$H$4:$H$97,$BZ19))</f>
        <v>1</v>
      </c>
      <c r="CC19" s="139" cm="1">
        <f t="array" ref="CC19">IF($BZ19="-","-",CA19-CB19)</f>
        <v>2</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3</v>
      </c>
      <c r="CP19" s="139" cm="1">
        <f t="array" ref="CP19">IF($CN19="-","-",SUMIFS($AD$4:$AD$97,$AA$4:$AA$97,$BD19,$R$4:$R$97,$CN19)+SUMIFS($AC$4:$AC$97,$AF$4:$AF$97,$BD19,$Q$4:$Q$97,$CN19))</f>
        <v>1</v>
      </c>
      <c r="CQ19" s="139" cm="1">
        <f t="array" ref="CQ19">IF($CN19="-","-",CO19-CP19)</f>
        <v>2</v>
      </c>
      <c r="CR19" s="139">
        <v>1</v>
      </c>
      <c r="CS19" s="112" t="s">
        <v>113</v>
      </c>
      <c r="CT19" s="139" cm="1">
        <f t="array" ref="CT19">IF($CS19="-","-",SUMIFS($AC$4:$AC$97,$AA$4:$AA$97,$BD19,$U$4:$U$97,$CS19)+SUMIFS($AD$4:$AD$97,$AF$4:$AF$97,$BD19,$T$4:$T$97,$CS19))</f>
        <v>3</v>
      </c>
      <c r="CU19" s="139">
        <v>1</v>
      </c>
      <c r="CV19" s="112" t="s">
        <v>113</v>
      </c>
      <c r="CW19" s="139" cm="1">
        <f t="array" ref="CW19">IF(CV19="-","-",BL19)</f>
        <v>2</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1" t="s">
        <v>130</v>
      </c>
      <c r="X20" s="96">
        <v>46186.75</v>
      </c>
      <c r="Y20" s="97">
        <v>46186.75</v>
      </c>
      <c r="Z20" s="113" t="str" cm="1">
        <f t="array" ref="Z20">$Z$4</f>
        <v>J1</v>
      </c>
      <c r="AA20" s="99" t="str" cm="1">
        <f t="array" ref="AA20">A21</f>
        <v>Brasil</v>
      </c>
      <c r="AB20" s="100"/>
      <c r="AC20" s="101">
        <v>3</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4</v>
      </c>
      <c r="BL20" s="139" cm="1">
        <f t="array" ref="BL20">BJ20-BK20</f>
        <v>-3</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4</v>
      </c>
      <c r="CC20" s="139" cm="1">
        <f t="array" ref="CC20">IF($BZ20="-","-",CA20-CB20)</f>
        <v>-3</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4</v>
      </c>
      <c r="CQ20" s="139" cm="1">
        <f t="array" ref="CQ20">IF($CN20="-","-",CO20-CP20)</f>
        <v>-3</v>
      </c>
      <c r="CR20" s="139">
        <v>1</v>
      </c>
      <c r="CS20" s="112" t="s">
        <v>113</v>
      </c>
      <c r="CT20" s="139" cm="1">
        <f t="array" ref="CT20">IF($CS20="-","-",SUMIFS($AC$4:$AC$97,$AA$4:$AA$97,$BD20,$U$4:$U$97,$CS20)+SUMIFS($AD$4:$AD$97,$AF$4:$AF$97,$BD20,$T$4:$T$97,$CS20))</f>
        <v>1</v>
      </c>
      <c r="CU20" s="139">
        <v>1</v>
      </c>
      <c r="CV20" s="112" t="s">
        <v>113</v>
      </c>
      <c r="CW20" s="139" cm="1">
        <f t="array" ref="CW20">IF(CV20="-","-",BL20)</f>
        <v>-3</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60"/>
      <c r="X21" s="96">
        <v>46186.875</v>
      </c>
      <c r="Y21" s="97">
        <v>46186.875</v>
      </c>
      <c r="Z21" s="113" t="str" cm="1">
        <f t="array" ref="Z21">$Z$4</f>
        <v>J1</v>
      </c>
      <c r="AA21" s="99" t="str" cm="1">
        <f t="array" ref="AA21">A23</f>
        <v>Haití</v>
      </c>
      <c r="AB21" s="100"/>
      <c r="AC21" s="114">
        <v>0</v>
      </c>
      <c r="AD21" s="114">
        <v>3</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5</v>
      </c>
      <c r="BK21" s="139" cm="1">
        <f t="array" ref="BK21">SUMIFS($AC$4:$AC$97,$AF$4:$AF$97,BD21,$D$4:$D$97,"&lt;&gt;"&amp;"Pendiente",$AC$4:$AC$97,"&lt;&gt;"&amp;"",$AD$4:$AD$97,"&lt;&gt;"&amp;"")+SUMIFS($AD$4:$AD$97,$AA$4:$AA$97,BD21,$D$4:$D$97,"&lt;&gt;"&amp;"Pendiente",$AC$4:$AC$97,"&lt;&gt;"&amp;"",$AD$4:$AD$97,"&lt;&gt;"&amp;"")</f>
        <v>3</v>
      </c>
      <c r="BL21" s="139" cm="1">
        <f t="array" ref="BL21">BJ21-BK21</f>
        <v>2</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5</v>
      </c>
      <c r="CB21" s="139" cm="1">
        <f t="array" ref="CB21">IF($BZ21="-","-",SUMIFS($AD$4:$AD$97,$AA$4:$AA$97,$BD21,$I$4:$I$97,$BZ21)+SUMIFS($AC$4:$AC$97,$AF$4:$AF$97,$BD21,$H$4:$H$97,$BZ21))</f>
        <v>3</v>
      </c>
      <c r="CC21" s="139" cm="1">
        <f t="array" ref="CC21">IF($BZ21="-","-",CA21-CB21)</f>
        <v>2</v>
      </c>
      <c r="CD21" s="139">
        <v>1</v>
      </c>
      <c r="CE21" s="112" t="s">
        <v>113</v>
      </c>
      <c r="CF21" s="139" cm="1">
        <f t="array" ref="CF21">IF($CE21="-","-",SUMIFS($AC$4:$AC$97,$AA$4:$AA$97,$BD21,$L$4:$L$97,$CE21)+SUMIFS($AD$4:$AD$97,$AF$4:$AF$97,$BD21,$K$4:$K$97,$CE21))</f>
        <v>5</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5</v>
      </c>
      <c r="CP21" s="139" cm="1">
        <f t="array" ref="CP21">IF($CN21="-","-",SUMIFS($AD$4:$AD$97,$AA$4:$AA$97,$BD21,$R$4:$R$97,$CN21)+SUMIFS($AC$4:$AC$97,$AF$4:$AF$97,$BD21,$Q$4:$Q$97,$CN21))</f>
        <v>3</v>
      </c>
      <c r="CQ21" s="139" cm="1">
        <f t="array" ref="CQ21">IF($CN21="-","-",CO21-CP21)</f>
        <v>2</v>
      </c>
      <c r="CR21" s="139">
        <v>1</v>
      </c>
      <c r="CS21" s="112" t="s">
        <v>113</v>
      </c>
      <c r="CT21" s="139" cm="1">
        <f t="array" ref="CT21">IF($CS21="-","-",SUMIFS($AC$4:$AC$97,$AA$4:$AA$97,$BD21,$U$4:$U$97,$CS21)+SUMIFS($AD$4:$AD$97,$AF$4:$AF$97,$BD21,$T$4:$T$97,$CS21))</f>
        <v>5</v>
      </c>
      <c r="CU21" s="139">
        <v>1</v>
      </c>
      <c r="CV21" s="112" t="s">
        <v>113</v>
      </c>
      <c r="CW21" s="139" cm="1">
        <f t="array" ref="CW21">IF(CV21="-","-",BL21)</f>
        <v>2</v>
      </c>
      <c r="CX21" s="139">
        <v>1</v>
      </c>
      <c r="CY21" s="112" t="s">
        <v>113</v>
      </c>
      <c r="CZ21" s="139" cm="1">
        <f t="array" ref="CZ21">IF(CY21="-","-",BJ21)</f>
        <v>5</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Empate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1"/>
      <c r="X22" s="96">
        <v>46192.75</v>
      </c>
      <c r="Y22" s="97">
        <v>46192.75</v>
      </c>
      <c r="Z22" s="113" t="str" cm="1">
        <f t="array" ref="Z22">$Z$6</f>
        <v>J2</v>
      </c>
      <c r="AA22" s="99" t="str" cm="1">
        <f t="array" ref="AA22">A24</f>
        <v>Escocia</v>
      </c>
      <c r="AB22" s="100"/>
      <c r="AC22" s="114">
        <v>1</v>
      </c>
      <c r="AD22" s="114">
        <v>1</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8</v>
      </c>
      <c r="BK22" s="139" cm="1">
        <f t="array" ref="BK22">SUMIFS($AC$4:$AC$97,$AF$4:$AF$97,BD22,$D$4:$D$97,"&lt;&gt;"&amp;"Pendiente",$AC$4:$AC$97,"&lt;&gt;"&amp;"",$AD$4:$AD$97,"&lt;&gt;"&amp;"")+SUMIFS($AD$4:$AD$97,$AA$4:$AA$97,BD22,$D$4:$D$97,"&lt;&gt;"&amp;"Pendiente",$AC$4:$AC$97,"&lt;&gt;"&amp;"",$AD$4:$AD$97,"&lt;&gt;"&amp;"")</f>
        <v>1</v>
      </c>
      <c r="BL22" s="139" cm="1">
        <f t="array" ref="BL22">BJ22-BK22</f>
        <v>7</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8</v>
      </c>
      <c r="CB22" s="139" cm="1">
        <f t="array" ref="CB22">IF($BZ22="-","-",SUMIFS($AD$4:$AD$97,$AA$4:$AA$97,$BD22,$I$4:$I$97,$BZ22)+SUMIFS($AC$4:$AC$97,$AF$4:$AF$97,$BD22,$H$4:$H$97,$BZ22))</f>
        <v>1</v>
      </c>
      <c r="CC22" s="139" cm="1">
        <f t="array" ref="CC22">IF($BZ22="-","-",CA22-CB22)</f>
        <v>7</v>
      </c>
      <c r="CD22" s="139">
        <v>1</v>
      </c>
      <c r="CE22" s="112" t="s">
        <v>113</v>
      </c>
      <c r="CF22" s="139" cm="1">
        <f t="array" ref="CF22">IF($CE22="-","-",SUMIFS($AC$4:$AC$97,$AA$4:$AA$97,$BD22,$L$4:$L$97,$CE22)+SUMIFS($AD$4:$AD$97,$AF$4:$AF$97,$BD22,$K$4:$K$97,$CE22))</f>
        <v>8</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8</v>
      </c>
      <c r="CP22" s="139" cm="1">
        <f t="array" ref="CP22">IF($CN22="-","-",SUMIFS($AD$4:$AD$97,$AA$4:$AA$97,$BD22,$R$4:$R$97,$CN22)+SUMIFS($AC$4:$AC$97,$AF$4:$AF$97,$BD22,$Q$4:$Q$97,$CN22))</f>
        <v>1</v>
      </c>
      <c r="CQ22" s="139" cm="1">
        <f t="array" ref="CQ22">IF($CN22="-","-",CO22-CP22)</f>
        <v>7</v>
      </c>
      <c r="CR22" s="139">
        <v>1</v>
      </c>
      <c r="CS22" s="112" t="s">
        <v>113</v>
      </c>
      <c r="CT22" s="139" cm="1">
        <f t="array" ref="CT22">IF($CS22="-","-",SUMIFS($AC$4:$AC$97,$AA$4:$AA$97,$BD22,$U$4:$U$97,$CS22)+SUMIFS($AD$4:$AD$97,$AF$4:$AF$97,$BD22,$T$4:$T$97,$CS22))</f>
        <v>8</v>
      </c>
      <c r="CU22" s="139">
        <v>1</v>
      </c>
      <c r="CV22" s="112" t="s">
        <v>113</v>
      </c>
      <c r="CW22" s="139" cm="1">
        <f t="array" ref="CW22">IF(CV22="-","-",BL22)</f>
        <v>7</v>
      </c>
      <c r="CX22" s="139">
        <v>1</v>
      </c>
      <c r="CY22" s="112" t="s">
        <v>113</v>
      </c>
      <c r="CZ22" s="139" cm="1">
        <f t="array" ref="CZ22">IF(CY22="-","-",BJ22)</f>
        <v>8</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1"/>
      <c r="X23" s="96">
        <v>46192.854166666657</v>
      </c>
      <c r="Y23" s="97">
        <v>46192.854166666657</v>
      </c>
      <c r="Z23" s="113" t="str" cm="1">
        <f t="array" ref="Z23">$Z$6</f>
        <v>J2</v>
      </c>
      <c r="AA23" s="99" t="str" cm="1">
        <f t="array" ref="AA23">A21</f>
        <v>Brasil</v>
      </c>
      <c r="AB23" s="100"/>
      <c r="AC23" s="114">
        <v>4</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4</v>
      </c>
      <c r="AN23" s="144" cm="1">
        <f t="array" ref="AN23">INDEX($BE$6:$BN$53,MATCH($AL23,$BD$6:$BD$53,0),MATCH(AN$5,$BE$5:$BN$5,0))</f>
        <v>3</v>
      </c>
      <c r="AO23" s="144" cm="1">
        <f t="array" ref="AO23">INDEX($BE$6:$BN$53,MATCH($AL23,$BD$6:$BD$53,0),MATCH(AO$5,$BE$5:$BN$5,0))</f>
        <v>1</v>
      </c>
      <c r="AP23" s="144" cm="1">
        <f t="array" ref="AP23">INDEX($BE$6:$BN$53,MATCH($AL23,$BD$6:$BD$53,0),MATCH(AP$5,$BE$5:$BN$5,0))</f>
        <v>1</v>
      </c>
      <c r="AQ23" s="144" cm="1">
        <f t="array" ref="AQ23">INDEX($BE$6:$BN$53,MATCH($AL23,$BD$6:$BD$53,0),MATCH(AQ$5,$BE$5:$BN$5,0))</f>
        <v>1</v>
      </c>
      <c r="AR23" s="144" cm="1">
        <f t="array" ref="AR23">INDEX($BE$6:$BN$53,MATCH($AL23,$BD$6:$BD$53,0),MATCH(AR$5,$BE$5:$BN$5,0))</f>
        <v>3</v>
      </c>
      <c r="AS23" s="144" cm="1">
        <f t="array" ref="AS23">INDEX($BE$6:$BN$53,MATCH($AL23,$BD$6:$BD$53,0),MATCH(AS$5,$BE$5:$BN$5,0))</f>
        <v>4</v>
      </c>
      <c r="AT23" s="145" cm="1">
        <f t="array" ref="AT23">INDEX($BE$6:$BN$53,MATCH($AL23,$BD$6:$BD$53,0),MATCH(AT$5,$BE$5:$BN$5,0))</f>
        <v>-1</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9</v>
      </c>
      <c r="BL23" s="139" cm="1">
        <f t="array" ref="BL23">BJ23-BK23</f>
        <v>-8</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9</v>
      </c>
      <c r="CC23" s="139" cm="1">
        <f t="array" ref="CC23">IF($BZ23="-","-",CA23-CB23)</f>
        <v>-8</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9</v>
      </c>
      <c r="CQ23" s="139" cm="1">
        <f t="array" ref="CQ23">IF($CN23="-","-",CO23-CP23)</f>
        <v>-8</v>
      </c>
      <c r="CR23" s="139">
        <v>1</v>
      </c>
      <c r="CS23" s="112" t="s">
        <v>113</v>
      </c>
      <c r="CT23" s="139" cm="1">
        <f t="array" ref="CT23">IF($CS23="-","-",SUMIFS($AC$4:$AC$97,$AA$4:$AA$97,$BD23,$U$4:$U$97,$CS23)+SUMIFS($AD$4:$AD$97,$AF$4:$AF$97,$BD23,$T$4:$T$97,$CS23))</f>
        <v>1</v>
      </c>
      <c r="CU23" s="139">
        <v>1</v>
      </c>
      <c r="CV23" s="112" t="s">
        <v>113</v>
      </c>
      <c r="CW23" s="139" cm="1">
        <f t="array" ref="CW23">IF(CV23="-","-",BL23)</f>
        <v>-8</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1"/>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0</v>
      </c>
      <c r="AS24" s="144" cm="1">
        <f t="array" ref="AS24">INDEX($BE$6:$BN$53,MATCH($AL24,$BD$6:$BD$53,0),MATCH(AS$5,$BE$5:$BN$5,0))</f>
        <v>8</v>
      </c>
      <c r="AT24" s="145" cm="1">
        <f t="array" ref="AT24">INDEX($BE$6:$BN$53,MATCH($AL24,$BD$6:$BD$53,0),MATCH(AT$5,$BE$5:$BN$5,0))</f>
        <v>-8</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4</v>
      </c>
      <c r="BL24" s="139" cm="1">
        <f t="array" ref="BL24">BJ24-BK24</f>
        <v>0</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4</v>
      </c>
      <c r="CC24" s="139" cm="1">
        <f t="array" ref="CC24">IF($BZ24="-","-",CA24-CB24)</f>
        <v>0</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4</v>
      </c>
      <c r="CQ24" s="139" cm="1">
        <f t="array" ref="CQ24">IF($CN24="-","-",CO24-CP24)</f>
        <v>0</v>
      </c>
      <c r="CR24" s="139">
        <v>1</v>
      </c>
      <c r="CS24" s="112" t="s">
        <v>113</v>
      </c>
      <c r="CT24" s="139" cm="1">
        <f t="array" ref="CT24">IF($CS24="-","-",SUMIFS($AC$4:$AC$97,$AA$4:$AA$97,$BD24,$U$4:$U$97,$CS24)+SUMIFS($AD$4:$AD$97,$AF$4:$AF$97,$BD24,$T$4:$T$97,$CS24))</f>
        <v>4</v>
      </c>
      <c r="CU24" s="139">
        <v>1</v>
      </c>
      <c r="CV24" s="112" t="s">
        <v>113</v>
      </c>
      <c r="CW24" s="139" cm="1">
        <f t="array" ref="CW24">IF(CV24="-","-",BL24)</f>
        <v>0</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2"/>
      <c r="X25" s="148">
        <v>46197.75</v>
      </c>
      <c r="Y25" s="149">
        <v>46197.75</v>
      </c>
      <c r="Z25" s="150" t="str" cm="1">
        <f t="array" ref="Z25">$Z$8</f>
        <v>J3</v>
      </c>
      <c r="AA25" s="151" t="str" cm="1">
        <f t="array" ref="AA25">A22</f>
        <v>Marruecos</v>
      </c>
      <c r="AB25" s="152"/>
      <c r="AC25" s="153">
        <v>1</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4</v>
      </c>
      <c r="AN25" s="160" cm="1">
        <f t="array" ref="AN25">INDEX($BE$6:$BN$53,MATCH($AL25,$BD$6:$BD$53,0),MATCH(AN$5,$BE$5:$BN$5,0))</f>
        <v>3</v>
      </c>
      <c r="AO25" s="160" cm="1">
        <f t="array" ref="AO25">INDEX($BE$6:$BN$53,MATCH($AL25,$BD$6:$BD$53,0),MATCH(AO$5,$BE$5:$BN$5,0))</f>
        <v>1</v>
      </c>
      <c r="AP25" s="160" cm="1">
        <f t="array" ref="AP25">INDEX($BE$6:$BN$53,MATCH($AL25,$BD$6:$BD$53,0),MATCH(AP$5,$BE$5:$BN$5,0))</f>
        <v>1</v>
      </c>
      <c r="AQ25" s="160" cm="1">
        <f t="array" ref="AQ25">INDEX($BE$6:$BN$53,MATCH($AL25,$BD$6:$BD$53,0),MATCH(AQ$5,$BE$5:$BN$5,0))</f>
        <v>1</v>
      </c>
      <c r="AR25" s="160" cm="1">
        <f t="array" ref="AR25">INDEX($BE$6:$BN$53,MATCH($AL25,$BD$6:$BD$53,0),MATCH(AR$5,$BE$5:$BN$5,0))</f>
        <v>5</v>
      </c>
      <c r="AS25" s="160" cm="1">
        <f t="array" ref="AS25">INDEX($BE$6:$BN$53,MATCH($AL25,$BD$6:$BD$53,0),MATCH(AS$5,$BE$5:$BN$5,0))</f>
        <v>4</v>
      </c>
      <c r="AT25" s="161" cm="1">
        <f t="array" ref="AT25">INDEX($BE$6:$BN$53,MATCH($AL25,$BD$6:$BD$53,0),MATCH(AT$5,$BE$5:$BN$5,0))</f>
        <v>1</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5</v>
      </c>
      <c r="BK25" s="139" cm="1">
        <f t="array" ref="BK25">SUMIFS($AC$4:$AC$97,$AF$4:$AF$97,BD25,$D$4:$D$97,"&lt;&gt;"&amp;"Pendiente",$AC$4:$AC$97,"&lt;&gt;"&amp;"",$AD$4:$AD$97,"&lt;&gt;"&amp;"")+SUMIFS($AD$4:$AD$97,$AA$4:$AA$97,BD25,$D$4:$D$97,"&lt;&gt;"&amp;"Pendiente",$AC$4:$AC$97,"&lt;&gt;"&amp;"",$AD$4:$AD$97,"&lt;&gt;"&amp;"")</f>
        <v>4</v>
      </c>
      <c r="BL25" s="139" cm="1">
        <f t="array" ref="BL25">BJ25-BK25</f>
        <v>1</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5</v>
      </c>
      <c r="CB25" s="139" cm="1">
        <f t="array" ref="CB25">IF($BZ25="-","-",SUMIFS($AD$4:$AD$97,$AA$4:$AA$97,$BD25,$I$4:$I$97,$BZ25)+SUMIFS($AC$4:$AC$97,$AF$4:$AF$97,$BD25,$H$4:$H$97,$BZ25))</f>
        <v>4</v>
      </c>
      <c r="CC25" s="139" cm="1">
        <f t="array" ref="CC25">IF($BZ25="-","-",CA25-CB25)</f>
        <v>1</v>
      </c>
      <c r="CD25" s="139">
        <v>1</v>
      </c>
      <c r="CE25" s="112" t="s">
        <v>113</v>
      </c>
      <c r="CF25" s="139" cm="1">
        <f t="array" ref="CF25">IF($CE25="-","-",SUMIFS($AC$4:$AC$97,$AA$4:$AA$97,$BD25,$L$4:$L$97,$CE25)+SUMIFS($AD$4:$AD$97,$AF$4:$AF$97,$BD25,$K$4:$K$97,$CE25))</f>
        <v>5</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5</v>
      </c>
      <c r="CP25" s="139" cm="1">
        <f t="array" ref="CP25">IF($CN25="-","-",SUMIFS($AD$4:$AD$97,$AA$4:$AA$97,$BD25,$R$4:$R$97,$CN25)+SUMIFS($AC$4:$AC$97,$AF$4:$AF$97,$BD25,$Q$4:$Q$97,$CN25))</f>
        <v>4</v>
      </c>
      <c r="CQ25" s="139" cm="1">
        <f t="array" ref="CQ25">IF($CN25="-","-",CO25-CP25)</f>
        <v>1</v>
      </c>
      <c r="CR25" s="139">
        <v>1</v>
      </c>
      <c r="CS25" s="112" t="s">
        <v>113</v>
      </c>
      <c r="CT25" s="139" cm="1">
        <f t="array" ref="CT25">IF($CS25="-","-",SUMIFS($AC$4:$AC$97,$AA$4:$AA$97,$BD25,$U$4:$U$97,$CS25)+SUMIFS($AD$4:$AD$97,$AF$4:$AF$97,$BD25,$T$4:$T$97,$CS25))</f>
        <v>5</v>
      </c>
      <c r="CU25" s="139">
        <v>1</v>
      </c>
      <c r="CV25" s="112" t="s">
        <v>113</v>
      </c>
      <c r="CW25" s="139" cm="1">
        <f t="array" ref="CW25">IF(CV25="-","-",BL25)</f>
        <v>1</v>
      </c>
      <c r="CX25" s="139">
        <v>1</v>
      </c>
      <c r="CY25" s="112" t="s">
        <v>113</v>
      </c>
      <c r="CZ25" s="139" cm="1">
        <f t="array" ref="CZ25">IF(CY25="-","-",BJ25)</f>
        <v>5</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6</v>
      </c>
      <c r="BK26" s="139" cm="1">
        <f t="array" ref="BK26">SUMIFS($AC$4:$AC$97,$AF$4:$AF$97,BD26,$D$4:$D$97,"&lt;&gt;"&amp;"Pendiente",$AC$4:$AC$97,"&lt;&gt;"&amp;"",$AD$4:$AD$97,"&lt;&gt;"&amp;"")+SUMIFS($AD$4:$AD$97,$AA$4:$AA$97,BD26,$D$4:$D$97,"&lt;&gt;"&amp;"Pendiente",$AC$4:$AC$97,"&lt;&gt;"&amp;"",$AD$4:$AD$97,"&lt;&gt;"&amp;"")</f>
        <v>1</v>
      </c>
      <c r="BL26" s="139" cm="1">
        <f t="array" ref="BL26">BJ26-BK26</f>
        <v>5</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6</v>
      </c>
      <c r="CB26" s="139" cm="1">
        <f t="array" ref="CB26">IF($BZ26="-","-",SUMIFS($AD$4:$AD$97,$AA$4:$AA$97,$BD26,$I$4:$I$97,$BZ26)+SUMIFS($AC$4:$AC$97,$AF$4:$AF$97,$BD26,$H$4:$H$97,$BZ26))</f>
        <v>1</v>
      </c>
      <c r="CC26" s="139" cm="1">
        <f t="array" ref="CC26">IF($BZ26="-","-",CA26-CB26)</f>
        <v>5</v>
      </c>
      <c r="CD26" s="139">
        <v>1</v>
      </c>
      <c r="CE26" s="112" t="s">
        <v>113</v>
      </c>
      <c r="CF26" s="139" cm="1">
        <f t="array" ref="CF26">IF($CE26="-","-",SUMIFS($AC$4:$AC$97,$AA$4:$AA$97,$BD26,$L$4:$L$97,$CE26)+SUMIFS($AD$4:$AD$97,$AF$4:$AF$97,$BD26,$K$4:$K$97,$CE26))</f>
        <v>6</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6</v>
      </c>
      <c r="CP26" s="139" cm="1">
        <f t="array" ref="CP26">IF($CN26="-","-",SUMIFS($AD$4:$AD$97,$AA$4:$AA$97,$BD26,$R$4:$R$97,$CN26)+SUMIFS($AC$4:$AC$97,$AF$4:$AF$97,$BD26,$Q$4:$Q$97,$CN26))</f>
        <v>1</v>
      </c>
      <c r="CQ26" s="139" cm="1">
        <f t="array" ref="CQ26">IF($CN26="-","-",CO26-CP26)</f>
        <v>5</v>
      </c>
      <c r="CR26" s="139">
        <v>1</v>
      </c>
      <c r="CS26" s="112" t="s">
        <v>113</v>
      </c>
      <c r="CT26" s="139" cm="1">
        <f t="array" ref="CT26">IF($CS26="-","-",SUMIFS($AC$4:$AC$97,$AA$4:$AA$97,$BD26,$U$4:$U$97,$CS26)+SUMIFS($AD$4:$AD$97,$AF$4:$AF$97,$BD26,$T$4:$T$97,$CS26))</f>
        <v>6</v>
      </c>
      <c r="CU26" s="139">
        <v>1</v>
      </c>
      <c r="CV26" s="112" t="s">
        <v>113</v>
      </c>
      <c r="CW26" s="139" cm="1">
        <f t="array" ref="CW26">IF(CV26="-","-",BL26)</f>
        <v>5</v>
      </c>
      <c r="CX26" s="139">
        <v>1</v>
      </c>
      <c r="CY26" s="112" t="s">
        <v>113</v>
      </c>
      <c r="CZ26" s="139" cm="1">
        <f t="array" ref="CZ26">IF(CY26="-","-",BJ26)</f>
        <v>6</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2</v>
      </c>
      <c r="BK27" s="139" cm="1">
        <f t="array" ref="BK27">SUMIFS($AC$4:$AC$97,$AF$4:$AF$97,BD27,$D$4:$D$97,"&lt;&gt;"&amp;"Pendiente",$AC$4:$AC$97,"&lt;&gt;"&amp;"",$AD$4:$AD$97,"&lt;&gt;"&amp;"")+SUMIFS($AD$4:$AD$97,$AA$4:$AA$97,BD27,$D$4:$D$97,"&lt;&gt;"&amp;"Pendiente",$AC$4:$AC$97,"&lt;&gt;"&amp;"",$AD$4:$AD$97,"&lt;&gt;"&amp;"")</f>
        <v>2</v>
      </c>
      <c r="BL27" s="139" cm="1">
        <f t="array" ref="BL27">BJ27-BK27</f>
        <v>0</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2</v>
      </c>
      <c r="CB27" s="139" cm="1">
        <f t="array" ref="CB27">IF($BZ27="-","-",SUMIFS($AD$4:$AD$97,$AA$4:$AA$97,$BD27,$I$4:$I$97,$BZ27)+SUMIFS($AC$4:$AC$97,$AF$4:$AF$97,$BD27,$H$4:$H$97,$BZ27))</f>
        <v>2</v>
      </c>
      <c r="CC27" s="139" cm="1">
        <f t="array" ref="CC27">IF($BZ27="-","-",CA27-CB27)</f>
        <v>0</v>
      </c>
      <c r="CD27" s="139">
        <v>1</v>
      </c>
      <c r="CE27" s="112" t="s">
        <v>113</v>
      </c>
      <c r="CF27" s="139" cm="1">
        <f t="array" ref="CF27">IF($CE27="-","-",SUMIFS($AC$4:$AC$97,$AA$4:$AA$97,$BD27,$L$4:$L$97,$CE27)+SUMIFS($AD$4:$AD$97,$AF$4:$AF$97,$BD27,$K$4:$K$97,$CE27))</f>
        <v>2</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2</v>
      </c>
      <c r="CP27" s="139" cm="1">
        <f t="array" ref="CP27">IF($CN27="-","-",SUMIFS($AD$4:$AD$97,$AA$4:$AA$97,$BD27,$R$4:$R$97,$CN27)+SUMIFS($AC$4:$AC$97,$AF$4:$AF$97,$BD27,$Q$4:$Q$97,$CN27))</f>
        <v>2</v>
      </c>
      <c r="CQ27" s="139" cm="1">
        <f t="array" ref="CQ27">IF($CN27="-","-",CO27-CP27)</f>
        <v>0</v>
      </c>
      <c r="CR27" s="139">
        <v>1</v>
      </c>
      <c r="CS27" s="112" t="s">
        <v>113</v>
      </c>
      <c r="CT27" s="139" cm="1">
        <f t="array" ref="CT27">IF($CS27="-","-",SUMIFS($AC$4:$AC$97,$AA$4:$AA$97,$BD27,$U$4:$U$97,$CS27)+SUMIFS($AD$4:$AD$97,$AF$4:$AF$97,$BD27,$T$4:$T$97,$CS27))</f>
        <v>2</v>
      </c>
      <c r="CU27" s="139">
        <v>1</v>
      </c>
      <c r="CV27" s="112" t="s">
        <v>113</v>
      </c>
      <c r="CW27" s="139" cm="1">
        <f t="array" ref="CW27">IF(CV27="-","-",BL27)</f>
        <v>0</v>
      </c>
      <c r="CX27" s="139">
        <v>1</v>
      </c>
      <c r="CY27" s="112" t="s">
        <v>113</v>
      </c>
      <c r="CZ27" s="139" cm="1">
        <f t="array" ref="CZ27">IF(CY27="-","-",BJ27)</f>
        <v>2</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2" t="s">
        <v>139</v>
      </c>
      <c r="X28" s="96">
        <v>46185.875</v>
      </c>
      <c r="Y28" s="97">
        <v>46185.875</v>
      </c>
      <c r="Z28" s="113" t="str" cm="1">
        <f t="array" ref="Z28">$Z$4</f>
        <v>J1</v>
      </c>
      <c r="AA28" s="99" t="str" cm="1">
        <f t="array" ref="AA28">A29</f>
        <v>Estados Unidos</v>
      </c>
      <c r="AB28" s="100"/>
      <c r="AC28" s="101">
        <v>0</v>
      </c>
      <c r="AD28" s="101">
        <v>1</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1</v>
      </c>
      <c r="BK28" s="139" cm="1">
        <f t="array" ref="BK28">SUMIFS($AC$4:$AC$97,$AF$4:$AF$97,BD28,$D$4:$D$97,"&lt;&gt;"&amp;"Pendiente",$AC$4:$AC$97,"&lt;&gt;"&amp;"",$AD$4:$AD$97,"&lt;&gt;"&amp;"")+SUMIFS($AD$4:$AD$97,$AA$4:$AA$97,BD28,$D$4:$D$97,"&lt;&gt;"&amp;"Pendiente",$AC$4:$AC$97,"&lt;&gt;"&amp;"",$AD$4:$AD$97,"&lt;&gt;"&amp;"")</f>
        <v>2</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1</v>
      </c>
      <c r="CB28" s="139" cm="1">
        <f t="array" ref="CB28">IF($BZ28="-","-",SUMIFS($AD$4:$AD$97,$AA$4:$AA$97,$BD28,$I$4:$I$97,$BZ28)+SUMIFS($AC$4:$AC$97,$AF$4:$AF$97,$BD28,$H$4:$H$97,$BZ28))</f>
        <v>2</v>
      </c>
      <c r="CC28" s="139" cm="1">
        <f t="array" ref="CC28">IF($BZ28="-","-",CA28-CB28)</f>
        <v>-1</v>
      </c>
      <c r="CD28" s="139">
        <v>1</v>
      </c>
      <c r="CE28" s="112" t="s">
        <v>113</v>
      </c>
      <c r="CF28" s="139" cm="1">
        <f t="array" ref="CF28">IF($CE28="-","-",SUMIFS($AC$4:$AC$97,$AA$4:$AA$97,$BD28,$L$4:$L$97,$CE28)+SUMIFS($AD$4:$AD$97,$AF$4:$AF$97,$BD28,$K$4:$K$97,$CE28))</f>
        <v>1</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1</v>
      </c>
      <c r="CP28" s="139" cm="1">
        <f t="array" ref="CP28">IF($CN28="-","-",SUMIFS($AD$4:$AD$97,$AA$4:$AA$97,$BD28,$R$4:$R$97,$CN28)+SUMIFS($AC$4:$AC$97,$AF$4:$AF$97,$BD28,$Q$4:$Q$97,$CN28))</f>
        <v>2</v>
      </c>
      <c r="CQ28" s="139" cm="1">
        <f t="array" ref="CQ28">IF($CN28="-","-",CO28-CP28)</f>
        <v>-1</v>
      </c>
      <c r="CR28" s="139">
        <v>1</v>
      </c>
      <c r="CS28" s="112" t="s">
        <v>113</v>
      </c>
      <c r="CT28" s="139" cm="1">
        <f t="array" ref="CT28">IF($CS28="-","-",SUMIFS($AC$4:$AC$97,$AA$4:$AA$97,$BD28,$U$4:$U$97,$CS28)+SUMIFS($AD$4:$AD$97,$AF$4:$AF$97,$BD28,$T$4:$T$97,$CS28))</f>
        <v>1</v>
      </c>
      <c r="CU28" s="139">
        <v>1</v>
      </c>
      <c r="CV28" s="112" t="s">
        <v>113</v>
      </c>
      <c r="CW28" s="139" cm="1">
        <f t="array" ref="CW28">IF(CV28="-","-",BL28)</f>
        <v>-1</v>
      </c>
      <c r="CX28" s="139">
        <v>1</v>
      </c>
      <c r="CY28" s="112" t="s">
        <v>113</v>
      </c>
      <c r="CZ28" s="139" cm="1">
        <f t="array" ref="CZ28">IF(CY28="-","-",BJ28)</f>
        <v>1</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60"/>
      <c r="X29" s="96">
        <v>46187</v>
      </c>
      <c r="Y29" s="97">
        <v>46187</v>
      </c>
      <c r="Z29" s="113" t="str" cm="1">
        <f t="array" ref="Z29">$Z$4</f>
        <v>J1</v>
      </c>
      <c r="AA29" s="99" t="str" cm="1">
        <f t="array" ref="AA29">A31</f>
        <v>Australia</v>
      </c>
      <c r="AB29" s="100"/>
      <c r="AC29" s="114">
        <v>1</v>
      </c>
      <c r="AD29" s="114">
        <v>2</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4</v>
      </c>
      <c r="BL29" s="139" cm="1">
        <f t="array" ref="BL29">BJ29-BK29</f>
        <v>-4</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4</v>
      </c>
      <c r="CC29" s="139" cm="1">
        <f t="array" ref="CC29">IF($BZ29="-","-",CA29-CB29)</f>
        <v>-4</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4</v>
      </c>
      <c r="CQ29" s="139" cm="1">
        <f t="array" ref="CQ29">IF($CN29="-","-",CO29-CP29)</f>
        <v>-4</v>
      </c>
      <c r="CR29" s="139">
        <v>1</v>
      </c>
      <c r="CS29" s="112" t="s">
        <v>113</v>
      </c>
      <c r="CT29" s="139" cm="1">
        <f t="array" ref="CT29">IF($CS29="-","-",SUMIFS($AC$4:$AC$97,$AA$4:$AA$97,$BD29,$U$4:$U$97,$CS29)+SUMIFS($AD$4:$AD$97,$AF$4:$AF$97,$BD29,$T$4:$T$97,$CS29))</f>
        <v>0</v>
      </c>
      <c r="CU29" s="139">
        <v>1</v>
      </c>
      <c r="CV29" s="112" t="s">
        <v>113</v>
      </c>
      <c r="CW29" s="139" cm="1">
        <f t="array" ref="CW29">IF(CV29="-","-",BL29)</f>
        <v>-4</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1"/>
      <c r="X30" s="96">
        <v>46192.625</v>
      </c>
      <c r="Y30" s="97">
        <v>46192.625</v>
      </c>
      <c r="Z30" s="113" t="str" cm="1">
        <f t="array" ref="Z30">$Z$6</f>
        <v>J2</v>
      </c>
      <c r="AA30" s="99" t="str" cm="1">
        <f t="array" ref="AA30">A29</f>
        <v>Estados Unidos</v>
      </c>
      <c r="AB30" s="100"/>
      <c r="AC30" s="114">
        <v>1</v>
      </c>
      <c r="AD30" s="114">
        <v>0</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2</v>
      </c>
      <c r="AS30" s="131" cm="1">
        <f t="array" ref="AS30">INDEX($BE$6:$BN$53,MATCH($AL30,$BD$6:$BD$53,0),MATCH(AS$5,$BE$5:$BN$5,0))</f>
        <v>3</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8</v>
      </c>
      <c r="BK30" s="139" cm="1">
        <f t="array" ref="BK30">SUMIFS($AC$4:$AC$97,$AF$4:$AF$97,BD30,$D$4:$D$97,"&lt;&gt;"&amp;"Pendiente",$AC$4:$AC$97,"&lt;&gt;"&amp;"",$AD$4:$AD$97,"&lt;&gt;"&amp;"")+SUMIFS($AD$4:$AD$97,$AA$4:$AA$97,BD30,$D$4:$D$97,"&lt;&gt;"&amp;"Pendiente",$AC$4:$AC$97,"&lt;&gt;"&amp;"",$AD$4:$AD$97,"&lt;&gt;"&amp;"")</f>
        <v>2</v>
      </c>
      <c r="BL30" s="139" cm="1">
        <f t="array" ref="BL30">BJ30-BK30</f>
        <v>6</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8</v>
      </c>
      <c r="CB30" s="139" cm="1">
        <f t="array" ref="CB30">IF($BZ30="-","-",SUMIFS($AD$4:$AD$97,$AA$4:$AA$97,$BD30,$I$4:$I$97,$BZ30)+SUMIFS($AC$4:$AC$97,$AF$4:$AF$97,$BD30,$H$4:$H$97,$BZ30))</f>
        <v>2</v>
      </c>
      <c r="CC30" s="139" cm="1">
        <f t="array" ref="CC30">IF($BZ30="-","-",CA30-CB30)</f>
        <v>6</v>
      </c>
      <c r="CD30" s="139">
        <v>1</v>
      </c>
      <c r="CE30" s="112" t="s">
        <v>113</v>
      </c>
      <c r="CF30" s="139" cm="1">
        <f t="array" ref="CF30">IF($CE30="-","-",SUMIFS($AC$4:$AC$97,$AA$4:$AA$97,$BD30,$L$4:$L$97,$CE30)+SUMIFS($AD$4:$AD$97,$AF$4:$AF$97,$BD30,$K$4:$K$97,$CE30))</f>
        <v>8</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8</v>
      </c>
      <c r="CP30" s="139" cm="1">
        <f t="array" ref="CP30">IF($CN30="-","-",SUMIFS($AD$4:$AD$97,$AA$4:$AA$97,$BD30,$R$4:$R$97,$CN30)+SUMIFS($AC$4:$AC$97,$AF$4:$AF$97,$BD30,$Q$4:$Q$97,$CN30))</f>
        <v>2</v>
      </c>
      <c r="CQ30" s="139" cm="1">
        <f t="array" ref="CQ30">IF($CN30="-","-",CO30-CP30)</f>
        <v>6</v>
      </c>
      <c r="CR30" s="139">
        <v>1</v>
      </c>
      <c r="CS30" s="112" t="s">
        <v>113</v>
      </c>
      <c r="CT30" s="139" cm="1">
        <f t="array" ref="CT30">IF($CS30="-","-",SUMIFS($AC$4:$AC$97,$AA$4:$AA$97,$BD30,$U$4:$U$97,$CS30)+SUMIFS($AD$4:$AD$97,$AF$4:$AF$97,$BD30,$T$4:$T$97,$CS30))</f>
        <v>8</v>
      </c>
      <c r="CU30" s="139">
        <v>1</v>
      </c>
      <c r="CV30" s="112" t="s">
        <v>113</v>
      </c>
      <c r="CW30" s="139" cm="1">
        <f t="array" ref="CW30">IF(CV30="-","-",BL30)</f>
        <v>6</v>
      </c>
      <c r="CX30" s="139">
        <v>1</v>
      </c>
      <c r="CY30" s="112" t="s">
        <v>113</v>
      </c>
      <c r="CZ30" s="139" cm="1">
        <f t="array" ref="CZ30">IF(CY30="-","-",BJ30)</f>
        <v>8</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1"/>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3</v>
      </c>
      <c r="AS31" s="144" cm="1">
        <f t="array" ref="AS31">INDEX($BE$6:$BN$53,MATCH($AL31,$BD$6:$BD$53,0),MATCH(AS$5,$BE$5:$BN$5,0))</f>
        <v>1</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2</v>
      </c>
      <c r="BF31" s="139" cm="1">
        <f t="array" ref="BF31">BG31+BH31+BI31</f>
        <v>3</v>
      </c>
      <c r="BG31" s="139" cm="1">
        <f t="array" ref="BG31">COUNTIFS($AA$4:$AA$97,BD31,$D$4:$D$97,"Local")+COUNTIFS($AF$4:$AF$97,BD31,$D$4:$D$97,"Visitante")</f>
        <v>0</v>
      </c>
      <c r="BH31" s="139" cm="1">
        <f t="array" ref="BH31">COUNTIFS($AA$4:$AA$97,BD31,$D$4:$D$97,"Empate")+COUNTIFS($AF$4:$AF$97,BD31,$D$4:$D$97,"Empate")</f>
        <v>2</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5</v>
      </c>
      <c r="BL31" s="139" cm="1">
        <f t="array" ref="BL31">BJ31-BK31</f>
        <v>-2</v>
      </c>
      <c r="BM31" s="126" t="str" cm="1">
        <f t="array" ref="BM31">DD31&amp;BC31</f>
        <v>2G</v>
      </c>
      <c r="BN31" s="126" t="str" cm="1">
        <f t="array" ref="BN31">DH31&amp;BC31</f>
        <v>2G</v>
      </c>
      <c r="BO31" s="139" cm="1">
        <f t="array" ref="BO31">IF(AND($AJ$99=144,BF31&gt;=1),1,0)</f>
        <v>0</v>
      </c>
      <c r="BP31" s="139">
        <v>1</v>
      </c>
      <c r="BQ31" s="112" t="s">
        <v>113</v>
      </c>
      <c r="BR31" s="139" cm="1">
        <f t="array" ref="BR31">IF($BQ31="-","-",BE31)</f>
        <v>2</v>
      </c>
      <c r="BS31" s="139">
        <v>1</v>
      </c>
      <c r="BT31" s="112" t="s">
        <v>113</v>
      </c>
      <c r="BU31" s="139" cm="1">
        <f t="array" ref="BU31">IF($BT31="-","-",COUNTIFS($AA$4:$AA$97,$BD31,$D$4:$D$97,"Local",$F$4:$F$97,$BT31)+COUNTIFS($AF$4:$AF$97,$BD31,$D$4:$D$97,"Visitante",$E$4:$E$97,$BT31))</f>
        <v>0</v>
      </c>
      <c r="BV31" s="139" cm="1">
        <f t="array" ref="BV31">IF($BT31="-","-",COUNTIFS($AA$4:$AA$97,$BD31,$D$4:$D$97,"Empate",$F$4:$F$97,$BT31)+COUNTIFS($AF$4:$AF$97,$BD31,$D$4:$D$97,"Empate",$E$4:$E$97,$BT31))</f>
        <v>2</v>
      </c>
      <c r="BW31" s="139" cm="1">
        <f t="array" ref="BW31">IF($BT31="-","-",COUNTIFS($AA$4:$AA$97,$BD31,$D$4:$D$97,"Visitante",$F$4:$F$97,$BT31)+COUNTIFS($AF$4:$AF$97,$BD31,$D$4:$D$97,"Local",$E$4:$E$97,$BT31))</f>
        <v>1</v>
      </c>
      <c r="BX31" s="139" cm="1">
        <f t="array" ref="BX31">IF($BT31="-","-",BU31*3+BV31)</f>
        <v>2</v>
      </c>
      <c r="BY31" s="139">
        <v>1</v>
      </c>
      <c r="BZ31" s="112" t="s">
        <v>113</v>
      </c>
      <c r="CA31" s="139" cm="1">
        <f t="array" ref="CA31">IF($BZ31="-","-",SUMIFS($AC$4:$AC$97,$AA$4:$AA$97,$BD31,$I$4:$I$97,$BZ31)+SUMIFS($AD$4:$AD$97,$AF$4:$AF$97,$BD31,$H$4:$H$97,$BZ31))</f>
        <v>3</v>
      </c>
      <c r="CB31" s="139" cm="1">
        <f t="array" ref="CB31">IF($BZ31="-","-",SUMIFS($AD$4:$AD$97,$AA$4:$AA$97,$BD31,$I$4:$I$97,$BZ31)+SUMIFS($AC$4:$AC$97,$AF$4:$AF$97,$BD31,$H$4:$H$97,$BZ31))</f>
        <v>5</v>
      </c>
      <c r="CC31" s="139" cm="1">
        <f t="array" ref="CC31">IF($BZ31="-","-",CA31-CB31)</f>
        <v>-2</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0</v>
      </c>
      <c r="CJ31" s="139" cm="1">
        <f t="array" ref="CJ31">IF($CH31="-","-",COUNTIFS($AA$4:$AA$97,$BD31,$D$4:$D$97,"Empate",$O$4:$O$97,$CH31)+COUNTIFS($AF$4:$AF$97,$BD31,$D$4:$D$97,"Empate",$N$4:$N$97,$CH31))</f>
        <v>2</v>
      </c>
      <c r="CK31" s="139" cm="1">
        <f t="array" ref="CK31">IF($CH31="-","-",COUNTIFS($AA$4:$AA$97,$BD31,$D$4:$D$97,"Visitante",$O$4:$O$97,$CH31)+COUNTIFS($AF$4:$AF$97,$BD31,$D$4:$D$97,"Local",$N$4:$N$97,$CH31))</f>
        <v>1</v>
      </c>
      <c r="CL31" s="139" cm="1">
        <f t="array" ref="CL31">IF($CH31="-","-",CI31*3+CJ31)</f>
        <v>2</v>
      </c>
      <c r="CM31" s="139">
        <v>1</v>
      </c>
      <c r="CN31" s="112" t="s">
        <v>113</v>
      </c>
      <c r="CO31" s="139" cm="1">
        <f t="array" ref="CO31">IF($CN31="-","-",SUMIFS($AC$4:$AC$97,$AA$4:$AA$97,$BD31,$R$4:$R$97,$CN31)+SUMIFS($AD$4:$AD$97,$AF$4:$AF$97,$BD31,$Q$4:$Q$97,$CN31))</f>
        <v>3</v>
      </c>
      <c r="CP31" s="139" cm="1">
        <f t="array" ref="CP31">IF($CN31="-","-",SUMIFS($AD$4:$AD$97,$AA$4:$AA$97,$BD31,$R$4:$R$97,$CN31)+SUMIFS($AC$4:$AC$97,$AF$4:$AF$97,$BD31,$Q$4:$Q$97,$CN31))</f>
        <v>5</v>
      </c>
      <c r="CQ31" s="139" cm="1">
        <f t="array" ref="CQ31">IF($CN31="-","-",CO31-CP31)</f>
        <v>-2</v>
      </c>
      <c r="CR31" s="139">
        <v>1</v>
      </c>
      <c r="CS31" s="112" t="s">
        <v>113</v>
      </c>
      <c r="CT31" s="139" cm="1">
        <f t="array" ref="CT31">IF($CS31="-","-",SUMIFS($AC$4:$AC$97,$AA$4:$AA$97,$BD31,$U$4:$U$97,$CS31)+SUMIFS($AD$4:$AD$97,$AF$4:$AF$97,$BD31,$T$4:$T$97,$CS31))</f>
        <v>3</v>
      </c>
      <c r="CU31" s="139">
        <v>1</v>
      </c>
      <c r="CV31" s="112" t="s">
        <v>113</v>
      </c>
      <c r="CW31" s="139" cm="1">
        <f t="array" ref="CW31">IF(CV31="-","-",BL31)</f>
        <v>-2</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1"/>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4</v>
      </c>
      <c r="AT32" s="145" cm="1">
        <f t="array" ref="AT32">INDEX($BE$6:$BN$53,MATCH($AL32,$BD$6:$BD$53,0),MATCH(AT$5,$BE$5:$BN$5,0))</f>
        <v>-3</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4</v>
      </c>
      <c r="BF32" s="139" cm="1">
        <f t="array" ref="BF32">BG32+BH32+BI32</f>
        <v>3</v>
      </c>
      <c r="BG32" s="139" cm="1">
        <f t="array" ref="BG32">COUNTIFS($AA$4:$AA$97,BD32,$D$4:$D$97,"Local")+COUNTIFS($AF$4:$AF$97,BD32,$D$4:$D$97,"Visitante")</f>
        <v>1</v>
      </c>
      <c r="BH32" s="139" cm="1">
        <f t="array" ref="BH32">COUNTIFS($AA$4:$AA$97,BD32,$D$4:$D$97,"Empate")+COUNTIFS($AF$4:$AF$97,BD32,$D$4:$D$97,"Empate")</f>
        <v>1</v>
      </c>
      <c r="BI32" s="139" cm="1">
        <f t="array" ref="BI32">COUNTIFS($AF$4:$AF$97,BD32,$D$4:$D$97,"Local")+COUNTIFS($AA$4:$AA$97,BD32,$D$4:$D$97,"Visitante")</f>
        <v>1</v>
      </c>
      <c r="BJ32" s="139" cm="1">
        <f t="array" ref="BJ32">SUMIFS($AC$4:$AC$97,$AA$4:$AA$97,BD32,$D$4:$D$97,"&lt;&gt;"&amp;"Pendiente",$AC$4:$AC$97,"&lt;&gt;"&amp;"",$AD$4:$AD$97,"&lt;&gt;"&amp;"")+SUMIFS($AD$4:$AD$97,$AF$4:$AF$97,BD32,$D$4:$D$97,"&lt;&gt;"&amp;"Pendiente",$AC$4:$AC$97,"&lt;&gt;"&amp;"",$AD$4:$AD$97,"&lt;&gt;"&amp;"")</f>
        <v>4</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4</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1</v>
      </c>
      <c r="BW32" s="139" cm="1">
        <f t="array" ref="BW32">IF($BT32="-","-",COUNTIFS($AA$4:$AA$97,$BD32,$D$4:$D$97,"Visitante",$F$4:$F$97,$BT32)+COUNTIFS($AF$4:$AF$97,$BD32,$D$4:$D$97,"Local",$E$4:$E$97,$BT32))</f>
        <v>1</v>
      </c>
      <c r="BX32" s="139" cm="1">
        <f t="array" ref="BX32">IF($BT32="-","-",BU32*3+BV32)</f>
        <v>4</v>
      </c>
      <c r="BY32" s="139">
        <v>1</v>
      </c>
      <c r="BZ32" s="112" t="s">
        <v>113</v>
      </c>
      <c r="CA32" s="139" cm="1">
        <f t="array" ref="CA32">IF($BZ32="-","-",SUMIFS($AC$4:$AC$97,$AA$4:$AA$97,$BD32,$I$4:$I$97,$BZ32)+SUMIFS($AD$4:$AD$97,$AF$4:$AF$97,$BD32,$H$4:$H$97,$BZ32))</f>
        <v>4</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4</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1</v>
      </c>
      <c r="CK32" s="139" cm="1">
        <f t="array" ref="CK32">IF($CH32="-","-",COUNTIFS($AA$4:$AA$97,$BD32,$D$4:$D$97,"Visitante",$O$4:$O$97,$CH32)+COUNTIFS($AF$4:$AF$97,$BD32,$D$4:$D$97,"Local",$N$4:$N$97,$CH32))</f>
        <v>1</v>
      </c>
      <c r="CL32" s="139" cm="1">
        <f t="array" ref="CL32">IF($CH32="-","-",CI32*3+CJ32)</f>
        <v>4</v>
      </c>
      <c r="CM32" s="139">
        <v>1</v>
      </c>
      <c r="CN32" s="112" t="s">
        <v>113</v>
      </c>
      <c r="CO32" s="139" cm="1">
        <f t="array" ref="CO32">IF($CN32="-","-",SUMIFS($AC$4:$AC$97,$AA$4:$AA$97,$BD32,$R$4:$R$97,$CN32)+SUMIFS($AD$4:$AD$97,$AF$4:$AF$97,$BD32,$Q$4:$Q$97,$CN32))</f>
        <v>4</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4</v>
      </c>
      <c r="CU32" s="139">
        <v>1</v>
      </c>
      <c r="CV32" s="112" t="s">
        <v>113</v>
      </c>
      <c r="CW32" s="139" cm="1">
        <f t="array" ref="CW32">IF(CV32="-","-",BL32)</f>
        <v>1</v>
      </c>
      <c r="CX32" s="139">
        <v>1</v>
      </c>
      <c r="CY32" s="112" t="s">
        <v>113</v>
      </c>
      <c r="CZ32" s="139" cm="1">
        <f t="array" ref="CZ32">IF(CY32="-","-",BJ32)</f>
        <v>4</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2"/>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5</v>
      </c>
      <c r="AS33" s="160" cm="1">
        <f t="array" ref="AS33">INDEX($BE$6:$BN$53,MATCH($AL33,$BD$6:$BD$53,0),MATCH(AS$5,$BE$5:$BN$5,0))</f>
        <v>3</v>
      </c>
      <c r="AT33" s="161" cm="1">
        <f t="array" ref="AT33">INDEX($BE$6:$BN$53,MATCH($AL33,$BD$6:$BD$53,0),MATCH(AT$5,$BE$5:$BN$5,0))</f>
        <v>2</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6</v>
      </c>
      <c r="BL33" s="139" cm="1">
        <f t="array" ref="BL33">BJ33-BK33</f>
        <v>-5</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6</v>
      </c>
      <c r="CC33" s="139" cm="1">
        <f t="array" ref="CC33">IF($BZ33="-","-",CA33-CB33)</f>
        <v>-5</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6</v>
      </c>
      <c r="CQ33" s="139" cm="1">
        <f t="array" ref="CQ33">IF($CN33="-","-",CO33-CP33)</f>
        <v>-5</v>
      </c>
      <c r="CR33" s="139">
        <v>1</v>
      </c>
      <c r="CS33" s="112" t="s">
        <v>113</v>
      </c>
      <c r="CT33" s="139" cm="1">
        <f t="array" ref="CT33">IF($CS33="-","-",SUMIFS($AC$4:$AC$97,$AA$4:$AA$97,$BD33,$U$4:$U$97,$CS33)+SUMIFS($AD$4:$AD$97,$AF$4:$AF$97,$BD33,$T$4:$T$97,$CS33))</f>
        <v>1</v>
      </c>
      <c r="CU33" s="139">
        <v>1</v>
      </c>
      <c r="CV33" s="112" t="s">
        <v>113</v>
      </c>
      <c r="CW33" s="139" cm="1">
        <f t="array" ref="CW33">IF(CV33="-","-",BL33)</f>
        <v>-5</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2</v>
      </c>
      <c r="BL34" s="139" cm="1">
        <f t="array" ref="BL34">BJ34-BK34</f>
        <v>8</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2</v>
      </c>
      <c r="CC34" s="139" cm="1">
        <f t="array" ref="CC34">IF($BZ34="-","-",CA34-CB34)</f>
        <v>8</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2</v>
      </c>
      <c r="CQ34" s="139" cm="1">
        <f t="array" ref="CQ34">IF($CN34="-","-",CO34-CP34)</f>
        <v>8</v>
      </c>
      <c r="CR34" s="139">
        <v>1</v>
      </c>
      <c r="CS34" s="112" t="s">
        <v>113</v>
      </c>
      <c r="CT34" s="139" cm="1">
        <f t="array" ref="CT34">IF($CS34="-","-",SUMIFS($AC$4:$AC$97,$AA$4:$AA$97,$BD34,$U$4:$U$97,$CS34)+SUMIFS($AD$4:$AD$97,$AF$4:$AF$97,$BD34,$T$4:$T$97,$CS34))</f>
        <v>10</v>
      </c>
      <c r="CU34" s="139">
        <v>1</v>
      </c>
      <c r="CV34" s="112" t="s">
        <v>113</v>
      </c>
      <c r="CW34" s="139" cm="1">
        <f t="array" ref="CW34">IF(CV34="-","-",BL34)</f>
        <v>8</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6" t="s">
        <v>55</v>
      </c>
      <c r="X36" s="96">
        <v>46187.541666666657</v>
      </c>
      <c r="Y36" s="97">
        <v>46187.541666666657</v>
      </c>
      <c r="Z36" s="113" t="str" cm="1">
        <f t="array" ref="Z36">$Z$4</f>
        <v>J1</v>
      </c>
      <c r="AA36" s="99" t="str" cm="1">
        <f t="array" ref="AA36">A37</f>
        <v>Alemania</v>
      </c>
      <c r="AB36" s="100"/>
      <c r="AC36" s="101">
        <v>4</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6</v>
      </c>
      <c r="BL36" s="139" cm="1">
        <f t="array" ref="BL36">BJ36-BK36</f>
        <v>-3</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6</v>
      </c>
      <c r="CC36" s="139" cm="1">
        <f t="array" ref="CC36">IF($BZ36="-","-",CA36-CB36)</f>
        <v>-3</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6</v>
      </c>
      <c r="CQ36" s="139" cm="1">
        <f t="array" ref="CQ36">IF($CN36="-","-",CO36-CP36)</f>
        <v>-3</v>
      </c>
      <c r="CR36" s="139">
        <v>1</v>
      </c>
      <c r="CS36" s="112" t="s">
        <v>113</v>
      </c>
      <c r="CT36" s="139" cm="1">
        <f t="array" ref="CT36">IF($CS36="-","-",SUMIFS($AC$4:$AC$97,$AA$4:$AA$97,$BD36,$U$4:$U$97,$CS36)+SUMIFS($AD$4:$AD$97,$AF$4:$AF$97,$BD36,$T$4:$T$97,$CS36))</f>
        <v>3</v>
      </c>
      <c r="CU36" s="139">
        <v>1</v>
      </c>
      <c r="CV36" s="112" t="s">
        <v>113</v>
      </c>
      <c r="CW36" s="139" cm="1">
        <f t="array" ref="CW36">IF(CV36="-","-",BL36)</f>
        <v>-3</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60"/>
      <c r="X37" s="96">
        <v>46187.791666666657</v>
      </c>
      <c r="Y37" s="97">
        <v>46187.791666666657</v>
      </c>
      <c r="Z37" s="113" t="str" cm="1">
        <f t="array" ref="Z37">$Z$4</f>
        <v>J1</v>
      </c>
      <c r="AA37" s="99" t="str" cm="1">
        <f t="array" ref="AA37">A39</f>
        <v>Costa de Marfil</v>
      </c>
      <c r="AB37" s="100"/>
      <c r="AC37" s="114">
        <v>1</v>
      </c>
      <c r="AD37" s="114">
        <v>2</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7</v>
      </c>
      <c r="BK37" s="139" cm="1">
        <f t="array" ref="BK37">SUMIFS($AC$4:$AC$97,$AF$4:$AF$97,BD37,$D$4:$D$97,"&lt;&gt;"&amp;"Pendiente",$AC$4:$AC$97,"&lt;&gt;"&amp;"",$AD$4:$AD$97,"&lt;&gt;"&amp;"")+SUMIFS($AD$4:$AD$97,$AA$4:$AA$97,BD37,$D$4:$D$97,"&lt;&gt;"&amp;"Pendiente",$AC$4:$AC$97,"&lt;&gt;"&amp;"",$AD$4:$AD$97,"&lt;&gt;"&amp;"")</f>
        <v>3</v>
      </c>
      <c r="BL37" s="139" cm="1">
        <f t="array" ref="BL37">BJ37-BK37</f>
        <v>4</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7</v>
      </c>
      <c r="CB37" s="139" cm="1">
        <f t="array" ref="CB37">IF($BZ37="-","-",SUMIFS($AD$4:$AD$97,$AA$4:$AA$97,$BD37,$I$4:$I$97,$BZ37)+SUMIFS($AC$4:$AC$97,$AF$4:$AF$97,$BD37,$H$4:$H$97,$BZ37))</f>
        <v>3</v>
      </c>
      <c r="CC37" s="139" cm="1">
        <f t="array" ref="CC37">IF($BZ37="-","-",CA37-CB37)</f>
        <v>4</v>
      </c>
      <c r="CD37" s="139">
        <v>1</v>
      </c>
      <c r="CE37" s="112" t="s">
        <v>113</v>
      </c>
      <c r="CF37" s="139" cm="1">
        <f t="array" ref="CF37">IF($CE37="-","-",SUMIFS($AC$4:$AC$97,$AA$4:$AA$97,$BD37,$L$4:$L$97,$CE37)+SUMIFS($AD$4:$AD$97,$AF$4:$AF$97,$BD37,$K$4:$K$97,$CE37))</f>
        <v>7</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7</v>
      </c>
      <c r="CP37" s="139" cm="1">
        <f t="array" ref="CP37">IF($CN37="-","-",SUMIFS($AD$4:$AD$97,$AA$4:$AA$97,$BD37,$R$4:$R$97,$CN37)+SUMIFS($AC$4:$AC$97,$AF$4:$AF$97,$BD37,$Q$4:$Q$97,$CN37))</f>
        <v>3</v>
      </c>
      <c r="CQ37" s="139" cm="1">
        <f t="array" ref="CQ37">IF($CN37="-","-",CO37-CP37)</f>
        <v>4</v>
      </c>
      <c r="CR37" s="139">
        <v>1</v>
      </c>
      <c r="CS37" s="112" t="s">
        <v>113</v>
      </c>
      <c r="CT37" s="139" cm="1">
        <f t="array" ref="CT37">IF($CS37="-","-",SUMIFS($AC$4:$AC$97,$AA$4:$AA$97,$BD37,$U$4:$U$97,$CS37)+SUMIFS($AD$4:$AD$97,$AF$4:$AF$97,$BD37,$T$4:$T$97,$CS37))</f>
        <v>7</v>
      </c>
      <c r="CU37" s="139">
        <v>1</v>
      </c>
      <c r="CV37" s="112" t="s">
        <v>113</v>
      </c>
      <c r="CW37" s="139" cm="1">
        <f t="array" ref="CW37">IF(CV37="-","-",BL37)</f>
        <v>4</v>
      </c>
      <c r="CX37" s="139">
        <v>1</v>
      </c>
      <c r="CY37" s="112" t="s">
        <v>113</v>
      </c>
      <c r="CZ37" s="139" cm="1">
        <f t="array" ref="CZ37">IF(CY37="-","-",BJ37)</f>
        <v>7</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1"/>
      <c r="X38" s="96">
        <v>46193.666666666657</v>
      </c>
      <c r="Y38" s="97">
        <v>46193.666666666657</v>
      </c>
      <c r="Z38" s="113" t="str" cm="1">
        <f t="array" ref="Z38">$Z$6</f>
        <v>J2</v>
      </c>
      <c r="AA38" s="99" t="str" cm="1">
        <f t="array" ref="AA38">A37</f>
        <v>Alemania</v>
      </c>
      <c r="AB38" s="100"/>
      <c r="AC38" s="114">
        <v>2</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8</v>
      </c>
      <c r="AS38" s="131" cm="1">
        <f t="array" ref="AS38">INDEX($BE$6:$BN$53,MATCH($AL38,$BD$6:$BD$53,0),MATCH(AS$5,$BE$5:$BN$5,0))</f>
        <v>1</v>
      </c>
      <c r="AT38" s="132" cm="1">
        <f t="array" ref="AT38">INDEX($BE$6:$BN$53,MATCH($AL38,$BD$6:$BD$53,0),MATCH(AT$5,$BE$5:$BN$5,0))</f>
        <v>7</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6</v>
      </c>
      <c r="BK38" s="139" cm="1">
        <f t="array" ref="BK38">SUMIFS($AC$4:$AC$97,$AF$4:$AF$97,BD38,$D$4:$D$97,"&lt;&gt;"&amp;"Pendiente",$AC$4:$AC$97,"&lt;&gt;"&amp;"",$AD$4:$AD$97,"&lt;&gt;"&amp;"")+SUMIFS($AD$4:$AD$97,$AA$4:$AA$97,BD38,$D$4:$D$97,"&lt;&gt;"&amp;"Pendiente",$AC$4:$AC$97,"&lt;&gt;"&amp;"",$AD$4:$AD$97,"&lt;&gt;"&amp;"")</f>
        <v>0</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6</v>
      </c>
      <c r="CB38" s="139" cm="1">
        <f t="array" ref="CB38">IF($BZ38="-","-",SUMIFS($AD$4:$AD$97,$AA$4:$AA$97,$BD38,$I$4:$I$97,$BZ38)+SUMIFS($AC$4:$AC$97,$AF$4:$AF$97,$BD38,$H$4:$H$97,$BZ38))</f>
        <v>0</v>
      </c>
      <c r="CC38" s="139" cm="1">
        <f t="array" ref="CC38">IF($BZ38="-","-",CA38-CB38)</f>
        <v>6</v>
      </c>
      <c r="CD38" s="139">
        <v>1</v>
      </c>
      <c r="CE38" s="112" t="s">
        <v>113</v>
      </c>
      <c r="CF38" s="139" cm="1">
        <f t="array" ref="CF38">IF($CE38="-","-",SUMIFS($AC$4:$AC$97,$AA$4:$AA$97,$BD38,$L$4:$L$97,$CE38)+SUMIFS($AD$4:$AD$97,$AF$4:$AF$97,$BD38,$K$4:$K$97,$CE38))</f>
        <v>6</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6</v>
      </c>
      <c r="CP38" s="139" cm="1">
        <f t="array" ref="CP38">IF($CN38="-","-",SUMIFS($AD$4:$AD$97,$AA$4:$AA$97,$BD38,$R$4:$R$97,$CN38)+SUMIFS($AC$4:$AC$97,$AF$4:$AF$97,$BD38,$Q$4:$Q$97,$CN38))</f>
        <v>0</v>
      </c>
      <c r="CQ38" s="139" cm="1">
        <f t="array" ref="CQ38">IF($CN38="-","-",CO38-CP38)</f>
        <v>6</v>
      </c>
      <c r="CR38" s="139">
        <v>1</v>
      </c>
      <c r="CS38" s="112" t="s">
        <v>113</v>
      </c>
      <c r="CT38" s="139" cm="1">
        <f t="array" ref="CT38">IF($CS38="-","-",SUMIFS($AC$4:$AC$97,$AA$4:$AA$97,$BD38,$U$4:$U$97,$CS38)+SUMIFS($AD$4:$AD$97,$AF$4:$AF$97,$BD38,$T$4:$T$97,$CS38))</f>
        <v>6</v>
      </c>
      <c r="CU38" s="139">
        <v>1</v>
      </c>
      <c r="CV38" s="112" t="s">
        <v>113</v>
      </c>
      <c r="CW38" s="139" cm="1">
        <f t="array" ref="CW38">IF(CV38="-","-",BL38)</f>
        <v>6</v>
      </c>
      <c r="CX38" s="139">
        <v>1</v>
      </c>
      <c r="CY38" s="112" t="s">
        <v>113</v>
      </c>
      <c r="CZ38" s="139" cm="1">
        <f t="array" ref="CZ38">IF(CY38="-","-",BJ38)</f>
        <v>6</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1"/>
      <c r="X39" s="96">
        <v>46193.833333333343</v>
      </c>
      <c r="Y39" s="97">
        <v>46193.833333333343</v>
      </c>
      <c r="Z39" s="113" t="str" cm="1">
        <f t="array" ref="Z39">$Z$6</f>
        <v>J2</v>
      </c>
      <c r="AA39" s="99" t="str" cm="1">
        <f t="array" ref="AA39">A40</f>
        <v>Ecuador</v>
      </c>
      <c r="AB39" s="100"/>
      <c r="AC39" s="114">
        <v>3</v>
      </c>
      <c r="AD39" s="114">
        <v>1</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9</v>
      </c>
      <c r="AT39" s="145" cm="1">
        <f t="array" ref="AT39">INDEX($BE$6:$BN$53,MATCH($AL39,$BD$6:$BD$53,0),MATCH(AT$5,$BE$5:$BN$5,0))</f>
        <v>-8</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3</v>
      </c>
      <c r="BK39" s="139" cm="1">
        <f t="array" ref="BK39">SUMIFS($AC$4:$AC$97,$AF$4:$AF$97,BD39,$D$4:$D$97,"&lt;&gt;"&amp;"Pendiente",$AC$4:$AC$97,"&lt;&gt;"&amp;"",$AD$4:$AD$97,"&lt;&gt;"&amp;"")+SUMIFS($AD$4:$AD$97,$AA$4:$AA$97,BD39,$D$4:$D$97,"&lt;&gt;"&amp;"Pendiente",$AC$4:$AC$97,"&lt;&gt;"&amp;"",$AD$4:$AD$97,"&lt;&gt;"&amp;"")</f>
        <v>4</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3</v>
      </c>
      <c r="CB39" s="139" cm="1">
        <f t="array" ref="CB39">IF($BZ39="-","-",SUMIFS($AD$4:$AD$97,$AA$4:$AA$97,$BD39,$I$4:$I$97,$BZ39)+SUMIFS($AC$4:$AC$97,$AF$4:$AF$97,$BD39,$H$4:$H$97,$BZ39))</f>
        <v>4</v>
      </c>
      <c r="CC39" s="139" cm="1">
        <f t="array" ref="CC39">IF($BZ39="-","-",CA39-CB39)</f>
        <v>-1</v>
      </c>
      <c r="CD39" s="139">
        <v>1</v>
      </c>
      <c r="CE39" s="112" t="s">
        <v>113</v>
      </c>
      <c r="CF39" s="139" cm="1">
        <f t="array" ref="CF39">IF($CE39="-","-",SUMIFS($AC$4:$AC$97,$AA$4:$AA$97,$BD39,$L$4:$L$97,$CE39)+SUMIFS($AD$4:$AD$97,$AF$4:$AF$97,$BD39,$K$4:$K$97,$CE39))</f>
        <v>3</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3</v>
      </c>
      <c r="CP39" s="139" cm="1">
        <f t="array" ref="CP39">IF($CN39="-","-",SUMIFS($AD$4:$AD$97,$AA$4:$AA$97,$BD39,$R$4:$R$97,$CN39)+SUMIFS($AC$4:$AC$97,$AF$4:$AF$97,$BD39,$Q$4:$Q$97,$CN39))</f>
        <v>4</v>
      </c>
      <c r="CQ39" s="139" cm="1">
        <f t="array" ref="CQ39">IF($CN39="-","-",CO39-CP39)</f>
        <v>-1</v>
      </c>
      <c r="CR39" s="139">
        <v>1</v>
      </c>
      <c r="CS39" s="112" t="s">
        <v>113</v>
      </c>
      <c r="CT39" s="139" cm="1">
        <f t="array" ref="CT39">IF($CS39="-","-",SUMIFS($AC$4:$AC$97,$AA$4:$AA$97,$BD39,$U$4:$U$97,$CS39)+SUMIFS($AD$4:$AD$97,$AF$4:$AF$97,$BD39,$T$4:$T$97,$CS39))</f>
        <v>3</v>
      </c>
      <c r="CU39" s="139">
        <v>1</v>
      </c>
      <c r="CV39" s="112" t="s">
        <v>113</v>
      </c>
      <c r="CW39" s="139" cm="1">
        <f t="array" ref="CW39">IF(CV39="-","-",BL39)</f>
        <v>-1</v>
      </c>
      <c r="CX39" s="139">
        <v>1</v>
      </c>
      <c r="CY39" s="112" t="s">
        <v>113</v>
      </c>
      <c r="CZ39" s="139" cm="1">
        <f t="array" ref="CZ39">IF(CY39="-","-",BJ39)</f>
        <v>3</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1"/>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4</v>
      </c>
      <c r="AT40" s="145" cm="1">
        <f t="array" ref="AT40">INDEX($BE$6:$BN$53,MATCH($AL40,$BD$6:$BD$53,0),MATCH(AT$5,$BE$5:$BN$5,0))</f>
        <v>0</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2"/>
      <c r="X41" s="148">
        <v>46198.666666666657</v>
      </c>
      <c r="Y41" s="149">
        <v>46198.666666666657</v>
      </c>
      <c r="Z41" s="150" t="str" cm="1">
        <f t="array" ref="Z41">$Z$8</f>
        <v>J3</v>
      </c>
      <c r="AA41" s="151" t="str" cm="1">
        <f t="array" ref="AA41">A40</f>
        <v>Ecuador</v>
      </c>
      <c r="AB41" s="152"/>
      <c r="AC41" s="153">
        <v>0</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5</v>
      </c>
      <c r="AS41" s="160" cm="1">
        <f t="array" ref="AS41">INDEX($BE$6:$BN$53,MATCH($AL41,$BD$6:$BD$53,0),MATCH(AS$5,$BE$5:$BN$5,0))</f>
        <v>4</v>
      </c>
      <c r="AT41" s="161" cm="1">
        <f t="array" ref="AT41">INDEX($BE$6:$BN$53,MATCH($AL41,$BD$6:$BD$53,0),MATCH(AT$5,$BE$5:$BN$5,0))</f>
        <v>1</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7</v>
      </c>
      <c r="BK42" s="139" cm="1">
        <f t="array" ref="BK42">SUMIFS($AC$4:$AC$97,$AF$4:$AF$97,BD42,$D$4:$D$97,"&lt;&gt;"&amp;"Pendiente",$AC$4:$AC$97,"&lt;&gt;"&amp;"",$AD$4:$AD$97,"&lt;&gt;"&amp;"")+SUMIFS($AD$4:$AD$97,$AA$4:$AA$97,BD42,$D$4:$D$97,"&lt;&gt;"&amp;"Pendiente",$AC$4:$AC$97,"&lt;&gt;"&amp;"",$AD$4:$AD$97,"&lt;&gt;"&amp;"")</f>
        <v>1</v>
      </c>
      <c r="BL42" s="139" cm="1">
        <f t="array" ref="BL42">BJ42-BK42</f>
        <v>6</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7</v>
      </c>
      <c r="CB42" s="139" cm="1">
        <f t="array" ref="CB42">IF($BZ42="-","-",SUMIFS($AD$4:$AD$97,$AA$4:$AA$97,$BD42,$I$4:$I$97,$BZ42)+SUMIFS($AC$4:$AC$97,$AF$4:$AF$97,$BD42,$H$4:$H$97,$BZ42))</f>
        <v>1</v>
      </c>
      <c r="CC42" s="139" cm="1">
        <f t="array" ref="CC42">IF($BZ42="-","-",CA42-CB42)</f>
        <v>6</v>
      </c>
      <c r="CD42" s="139">
        <v>1</v>
      </c>
      <c r="CE42" s="112" t="s">
        <v>113</v>
      </c>
      <c r="CF42" s="139" cm="1">
        <f t="array" ref="CF42">IF($CE42="-","-",SUMIFS($AC$4:$AC$97,$AA$4:$AA$97,$BD42,$L$4:$L$97,$CE42)+SUMIFS($AD$4:$AD$97,$AF$4:$AF$97,$BD42,$K$4:$K$97,$CE42))</f>
        <v>7</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7</v>
      </c>
      <c r="CP42" s="139" cm="1">
        <f t="array" ref="CP42">IF($CN42="-","-",SUMIFS($AD$4:$AD$97,$AA$4:$AA$97,$BD42,$R$4:$R$97,$CN42)+SUMIFS($AC$4:$AC$97,$AF$4:$AF$97,$BD42,$Q$4:$Q$97,$CN42))</f>
        <v>1</v>
      </c>
      <c r="CQ42" s="139" cm="1">
        <f t="array" ref="CQ42">IF($CN42="-","-",CO42-CP42)</f>
        <v>6</v>
      </c>
      <c r="CR42" s="139">
        <v>1</v>
      </c>
      <c r="CS42" s="112" t="s">
        <v>113</v>
      </c>
      <c r="CT42" s="139" cm="1">
        <f t="array" ref="CT42">IF($CS42="-","-",SUMIFS($AC$4:$AC$97,$AA$4:$AA$97,$BD42,$U$4:$U$97,$CS42)+SUMIFS($AD$4:$AD$97,$AF$4:$AF$97,$BD42,$T$4:$T$97,$CS42))</f>
        <v>7</v>
      </c>
      <c r="CU42" s="139">
        <v>1</v>
      </c>
      <c r="CV42" s="112" t="s">
        <v>113</v>
      </c>
      <c r="CW42" s="139" cm="1">
        <f t="array" ref="CW42">IF(CV42="-","-",BL42)</f>
        <v>6</v>
      </c>
      <c r="CX42" s="139">
        <v>1</v>
      </c>
      <c r="CY42" s="112" t="s">
        <v>113</v>
      </c>
      <c r="CZ42" s="139" cm="1">
        <f t="array" ref="CZ42">IF(CY42="-","-",BJ42)</f>
        <v>7</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0</v>
      </c>
      <c r="BK43" s="139" cm="1">
        <f t="array" ref="BK43">SUMIFS($AC$4:$AC$97,$AF$4:$AF$97,BD43,$D$4:$D$97,"&lt;&gt;"&amp;"Pendiente",$AC$4:$AC$97,"&lt;&gt;"&amp;"",$AD$4:$AD$97,"&lt;&gt;"&amp;"")+SUMIFS($AD$4:$AD$97,$AA$4:$AA$97,BD43,$D$4:$D$97,"&lt;&gt;"&amp;"Pendiente",$AC$4:$AC$97,"&lt;&gt;"&amp;"",$AD$4:$AD$97,"&lt;&gt;"&amp;"")</f>
        <v>3</v>
      </c>
      <c r="BL43" s="139" cm="1">
        <f t="array" ref="BL43">BJ43-BK43</f>
        <v>-3</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0</v>
      </c>
      <c r="CB43" s="139" cm="1">
        <f t="array" ref="CB43">IF($BZ43="-","-",SUMIFS($AD$4:$AD$97,$AA$4:$AA$97,$BD43,$I$4:$I$97,$BZ43)+SUMIFS($AC$4:$AC$97,$AF$4:$AF$97,$BD43,$H$4:$H$97,$BZ43))</f>
        <v>3</v>
      </c>
      <c r="CC43" s="139" cm="1">
        <f t="array" ref="CC43">IF($BZ43="-","-",CA43-CB43)</f>
        <v>-3</v>
      </c>
      <c r="CD43" s="139">
        <v>1</v>
      </c>
      <c r="CE43" s="112" t="s">
        <v>113</v>
      </c>
      <c r="CF43" s="139" cm="1">
        <f t="array" ref="CF43">IF($CE43="-","-",SUMIFS($AC$4:$AC$97,$AA$4:$AA$97,$BD43,$L$4:$L$97,$CE43)+SUMIFS($AD$4:$AD$97,$AF$4:$AF$97,$BD43,$K$4:$K$97,$CE43))</f>
        <v>0</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0</v>
      </c>
      <c r="CP43" s="139" cm="1">
        <f t="array" ref="CP43">IF($CN43="-","-",SUMIFS($AD$4:$AD$97,$AA$4:$AA$97,$BD43,$R$4:$R$97,$CN43)+SUMIFS($AC$4:$AC$97,$AF$4:$AF$97,$BD43,$Q$4:$Q$97,$CN43))</f>
        <v>3</v>
      </c>
      <c r="CQ43" s="139" cm="1">
        <f t="array" ref="CQ43">IF($CN43="-","-",CO43-CP43)</f>
        <v>-3</v>
      </c>
      <c r="CR43" s="139">
        <v>1</v>
      </c>
      <c r="CS43" s="112" t="s">
        <v>113</v>
      </c>
      <c r="CT43" s="139" cm="1">
        <f t="array" ref="CT43">IF($CS43="-","-",SUMIFS($AC$4:$AC$97,$AA$4:$AA$97,$BD43,$U$4:$U$97,$CS43)+SUMIFS($AD$4:$AD$97,$AF$4:$AF$97,$BD43,$T$4:$T$97,$CS43))</f>
        <v>0</v>
      </c>
      <c r="CU43" s="139">
        <v>1</v>
      </c>
      <c r="CV43" s="112" t="s">
        <v>113</v>
      </c>
      <c r="CW43" s="139" cm="1">
        <f t="array" ref="CW43">IF(CV43="-","-",BL43)</f>
        <v>-3</v>
      </c>
      <c r="CX43" s="139">
        <v>1</v>
      </c>
      <c r="CY43" s="112" t="s">
        <v>113</v>
      </c>
      <c r="CZ43" s="139" cm="1">
        <f t="array" ref="CZ43">IF(CY43="-","-",BJ43)</f>
        <v>0</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9"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2</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2</v>
      </c>
      <c r="CC44" s="139" cm="1">
        <f t="array" ref="CC44">IF($BZ44="-","-",CA44-CB44)</f>
        <v>2</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2</v>
      </c>
      <c r="CQ44" s="139" cm="1">
        <f t="array" ref="CQ44">IF($CN44="-","-",CO44-CP44)</f>
        <v>2</v>
      </c>
      <c r="CR44" s="139">
        <v>1</v>
      </c>
      <c r="CS44" s="112" t="s">
        <v>113</v>
      </c>
      <c r="CT44" s="139" cm="1">
        <f t="array" ref="CT44">IF($CS44="-","-",SUMIFS($AC$4:$AC$97,$AA$4:$AA$97,$BD44,$U$4:$U$97,$CS44)+SUMIFS($AD$4:$AD$97,$AF$4:$AF$97,$BD44,$T$4:$T$97,$CS44))</f>
        <v>4</v>
      </c>
      <c r="CU44" s="139">
        <v>1</v>
      </c>
      <c r="CV44" s="112" t="s">
        <v>113</v>
      </c>
      <c r="CW44" s="139" cm="1">
        <f t="array" ref="CW44">IF(CV44="-","-",BL44)</f>
        <v>2</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60"/>
      <c r="X45" s="96">
        <v>46187.916666666657</v>
      </c>
      <c r="Y45" s="97">
        <v>46187.916666666657</v>
      </c>
      <c r="Z45" s="113" t="str" cm="1">
        <f t="array" ref="Z45">$Z$4</f>
        <v>J1</v>
      </c>
      <c r="AA45" s="99" t="str" cm="1">
        <f t="array" ref="AA45">A47</f>
        <v>Suecia</v>
      </c>
      <c r="AB45" s="100"/>
      <c r="AC45" s="114">
        <v>1</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5</v>
      </c>
      <c r="BL45" s="139" cm="1">
        <f t="array" ref="BL45">BJ45-BK45</f>
        <v>-5</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0</v>
      </c>
      <c r="CB45" s="139" cm="1">
        <f t="array" ref="CB45">IF($BZ45="-","-",SUMIFS($AD$4:$AD$97,$AA$4:$AA$97,$BD45,$I$4:$I$97,$BZ45)+SUMIFS($AC$4:$AC$97,$AF$4:$AF$97,$BD45,$H$4:$H$97,$BZ45))</f>
        <v>5</v>
      </c>
      <c r="CC45" s="139" cm="1">
        <f t="array" ref="CC45">IF($BZ45="-","-",CA45-CB45)</f>
        <v>-5</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0</v>
      </c>
      <c r="CP45" s="139" cm="1">
        <f t="array" ref="CP45">IF($CN45="-","-",SUMIFS($AD$4:$AD$97,$AA$4:$AA$97,$BD45,$R$4:$R$97,$CN45)+SUMIFS($AC$4:$AC$97,$AF$4:$AF$97,$BD45,$Q$4:$Q$97,$CN45))</f>
        <v>5</v>
      </c>
      <c r="CQ45" s="139" cm="1">
        <f t="array" ref="CQ45">IF($CN45="-","-",CO45-CP45)</f>
        <v>-5</v>
      </c>
      <c r="CR45" s="139">
        <v>1</v>
      </c>
      <c r="CS45" s="112" t="s">
        <v>113</v>
      </c>
      <c r="CT45" s="139" cm="1">
        <f t="array" ref="CT45">IF($CS45="-","-",SUMIFS($AC$4:$AC$97,$AA$4:$AA$97,$BD45,$U$4:$U$97,$CS45)+SUMIFS($AD$4:$AD$97,$AF$4:$AF$97,$BD45,$T$4:$T$97,$CS45))</f>
        <v>0</v>
      </c>
      <c r="CU45" s="139">
        <v>1</v>
      </c>
      <c r="CV45" s="112" t="s">
        <v>113</v>
      </c>
      <c r="CW45" s="139" cm="1">
        <f t="array" ref="CW45">IF(CV45="-","-",BL45)</f>
        <v>-5</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1"/>
      <c r="X46" s="96">
        <v>46193.541666666657</v>
      </c>
      <c r="Y46" s="97">
        <v>46193.541666666657</v>
      </c>
      <c r="Z46" s="113" t="str" cm="1">
        <f t="array" ref="Z46">$Z$6</f>
        <v>J2</v>
      </c>
      <c r="AA46" s="99" t="str" cm="1">
        <f t="array" ref="AA46">A45</f>
        <v>Países Bajos</v>
      </c>
      <c r="AB46" s="100"/>
      <c r="AC46" s="114">
        <v>2</v>
      </c>
      <c r="AD46" s="114">
        <v>0</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6</v>
      </c>
      <c r="AS46" s="131" cm="1">
        <f t="array" ref="AS46">INDEX($BE$6:$BN$53,MATCH($AL46,$BD$6:$BD$53,0),MATCH(AS$5,$BE$5:$BN$5,0))</f>
        <v>1</v>
      </c>
      <c r="AT46" s="132" cm="1">
        <f t="array" ref="AT46">INDEX($BE$6:$BN$53,MATCH($AL46,$BD$6:$BD$53,0),MATCH(AT$5,$BE$5:$BN$5,0))</f>
        <v>5</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7</v>
      </c>
      <c r="BK46" s="139" cm="1">
        <f t="array" ref="BK46">SUMIFS($AC$4:$AC$97,$AF$4:$AF$97,BD46,$D$4:$D$97,"&lt;&gt;"&amp;"Pendiente",$AC$4:$AC$97,"&lt;&gt;"&amp;"",$AD$4:$AD$97,"&lt;&gt;"&amp;"")+SUMIFS($AD$4:$AD$97,$AA$4:$AA$97,BD46,$D$4:$D$97,"&lt;&gt;"&amp;"Pendiente",$AC$4:$AC$97,"&lt;&gt;"&amp;"",$AD$4:$AD$97,"&lt;&gt;"&amp;"")</f>
        <v>1</v>
      </c>
      <c r="BL46" s="139" cm="1">
        <f t="array" ref="BL46">BJ46-BK46</f>
        <v>6</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7</v>
      </c>
      <c r="CB46" s="139" cm="1">
        <f t="array" ref="CB46">IF($BZ46="-","-",SUMIFS($AD$4:$AD$97,$AA$4:$AA$97,$BD46,$I$4:$I$97,$BZ46)+SUMIFS($AC$4:$AC$97,$AF$4:$AF$97,$BD46,$H$4:$H$97,$BZ46))</f>
        <v>1</v>
      </c>
      <c r="CC46" s="139" cm="1">
        <f t="array" ref="CC46">IF($BZ46="-","-",CA46-CB46)</f>
        <v>6</v>
      </c>
      <c r="CD46" s="139">
        <v>1</v>
      </c>
      <c r="CE46" s="112" t="s">
        <v>113</v>
      </c>
      <c r="CF46" s="139" cm="1">
        <f t="array" ref="CF46">IF($CE46="-","-",SUMIFS($AC$4:$AC$97,$AA$4:$AA$97,$BD46,$L$4:$L$97,$CE46)+SUMIFS($AD$4:$AD$97,$AF$4:$AF$97,$BD46,$K$4:$K$97,$CE46))</f>
        <v>7</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7</v>
      </c>
      <c r="CP46" s="139" cm="1">
        <f t="array" ref="CP46">IF($CN46="-","-",SUMIFS($AD$4:$AD$97,$AA$4:$AA$97,$BD46,$R$4:$R$97,$CN46)+SUMIFS($AC$4:$AC$97,$AF$4:$AF$97,$BD46,$Q$4:$Q$97,$CN46))</f>
        <v>1</v>
      </c>
      <c r="CQ46" s="139" cm="1">
        <f t="array" ref="CQ46">IF($CN46="-","-",CO46-CP46)</f>
        <v>6</v>
      </c>
      <c r="CR46" s="139">
        <v>1</v>
      </c>
      <c r="CS46" s="112" t="s">
        <v>113</v>
      </c>
      <c r="CT46" s="139" cm="1">
        <f t="array" ref="CT46">IF($CS46="-","-",SUMIFS($AC$4:$AC$97,$AA$4:$AA$97,$BD46,$U$4:$U$97,$CS46)+SUMIFS($AD$4:$AD$97,$AF$4:$AF$97,$BD46,$T$4:$T$97,$CS46))</f>
        <v>7</v>
      </c>
      <c r="CU46" s="139">
        <v>1</v>
      </c>
      <c r="CV46" s="112" t="s">
        <v>113</v>
      </c>
      <c r="CW46" s="139" cm="1">
        <f t="array" ref="CW46">IF(CV46="-","-",BL46)</f>
        <v>6</v>
      </c>
      <c r="CX46" s="139">
        <v>1</v>
      </c>
      <c r="CY46" s="112" t="s">
        <v>113</v>
      </c>
      <c r="CZ46" s="139" cm="1">
        <f t="array" ref="CZ46">IF(CY46="-","-",BJ46)</f>
        <v>7</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1"/>
      <c r="X47" s="96">
        <v>46194</v>
      </c>
      <c r="Y47" s="97">
        <v>46194</v>
      </c>
      <c r="Z47" s="113" t="str" cm="1">
        <f t="array" ref="Z47">$Z$6</f>
        <v>J2</v>
      </c>
      <c r="AA47" s="99" t="str" cm="1">
        <f t="array" ref="AA47">A48</f>
        <v>Túnez</v>
      </c>
      <c r="AB47" s="100"/>
      <c r="AC47" s="114">
        <v>0</v>
      </c>
      <c r="AD47" s="114">
        <v>1</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2</v>
      </c>
      <c r="AS47" s="144" cm="1">
        <f t="array" ref="AS47">INDEX($BE$6:$BN$53,MATCH($AL47,$BD$6:$BD$53,0),MATCH(AS$5,$BE$5:$BN$5,0))</f>
        <v>2</v>
      </c>
      <c r="AT47" s="145" cm="1">
        <f t="array" ref="AT47">INDEX($BE$6:$BN$53,MATCH($AL47,$BD$6:$BD$53,0),MATCH(AT$5,$BE$5:$BN$5,0))</f>
        <v>0</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0</v>
      </c>
      <c r="BF47" s="139" cm="1">
        <f t="array" ref="BF47">BG47+BH47+BI47</f>
        <v>3</v>
      </c>
      <c r="BG47" s="139" cm="1">
        <f t="array" ref="BG47">COUNTIFS($AA$4:$AA$97,BD47,$D$4:$D$97,"Local")+COUNTIFS($AF$4:$AF$97,BD47,$D$4:$D$97,"Visitante")</f>
        <v>0</v>
      </c>
      <c r="BH47" s="139" cm="1">
        <f t="array" ref="BH47">COUNTIFS($AA$4:$AA$97,BD47,$D$4:$D$97,"Empate")+COUNTIFS($AF$4:$AF$97,BD47,$D$4:$D$97,"Empate")</f>
        <v>0</v>
      </c>
      <c r="BI47" s="139" cm="1">
        <f t="array" ref="BI47">COUNTIFS($AF$4:$AF$97,BD47,$D$4:$D$97,"Local")+COUNTIFS($AA$4:$AA$97,BD47,$D$4:$D$97,"Visitante")</f>
        <v>3</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0</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0</v>
      </c>
      <c r="BW47" s="139" cm="1">
        <f t="array" ref="BW47">IF($BT47="-","-",COUNTIFS($AA$4:$AA$97,$BD47,$D$4:$D$97,"Visitante",$F$4:$F$97,$BT47)+COUNTIFS($AF$4:$AF$97,$BD47,$D$4:$D$97,"Local",$E$4:$E$97,$BT47))</f>
        <v>3</v>
      </c>
      <c r="BX47" s="139" cm="1">
        <f t="array" ref="BX47">IF($BT47="-","-",BU47*3+BV47)</f>
        <v>0</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0</v>
      </c>
      <c r="CK47" s="139" cm="1">
        <f t="array" ref="CK47">IF($CH47="-","-",COUNTIFS($AA$4:$AA$97,$BD47,$D$4:$D$97,"Visitante",$O$4:$O$97,$CH47)+COUNTIFS($AF$4:$AF$97,$BD47,$D$4:$D$97,"Local",$N$4:$N$97,$CH47))</f>
        <v>3</v>
      </c>
      <c r="CL47" s="139" cm="1">
        <f t="array" ref="CL47">IF($CH47="-","-",CI47*3+CJ47)</f>
        <v>0</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1"/>
      <c r="X48" s="96">
        <v>46198.791666666657</v>
      </c>
      <c r="Y48" s="97">
        <v>46198.791666666657</v>
      </c>
      <c r="Z48" s="113" t="str" cm="1">
        <f t="array" ref="Z48">$Z$8</f>
        <v>J3</v>
      </c>
      <c r="AA48" s="99" t="str" cm="1">
        <f t="array" ref="AA48">A46</f>
        <v>Japón</v>
      </c>
      <c r="AB48" s="100"/>
      <c r="AC48" s="114">
        <v>0</v>
      </c>
      <c r="AD48" s="114">
        <v>0</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1</v>
      </c>
      <c r="AS48" s="144" cm="1">
        <f t="array" ref="AS48">INDEX($BE$6:$BN$53,MATCH($AL48,$BD$6:$BD$53,0),MATCH(AS$5,$BE$5:$BN$5,0))</f>
        <v>2</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3</v>
      </c>
      <c r="BF48" s="139" cm="1">
        <f t="array" ref="BF48">BG48+BH48+BI48</f>
        <v>3</v>
      </c>
      <c r="BG48" s="139" cm="1">
        <f t="array" ref="BG48">COUNTIFS($AA$4:$AA$97,BD48,$D$4:$D$97,"Local")+COUNTIFS($AF$4:$AF$97,BD48,$D$4:$D$97,"Visitante")</f>
        <v>1</v>
      </c>
      <c r="BH48" s="139" cm="1">
        <f t="array" ref="BH48">COUNTIFS($AA$4:$AA$97,BD48,$D$4:$D$97,"Empate")+COUNTIFS($AF$4:$AF$97,BD48,$D$4:$D$97,"Empate")</f>
        <v>0</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2</v>
      </c>
      <c r="BK48" s="139" cm="1">
        <f t="array" ref="BK48">SUMIFS($AC$4:$AC$97,$AF$4:$AF$97,BD48,$D$4:$D$97,"&lt;&gt;"&amp;"Pendiente",$AC$4:$AC$97,"&lt;&gt;"&amp;"",$AD$4:$AD$97,"&lt;&gt;"&amp;"")+SUMIFS($AD$4:$AD$97,$AA$4:$AA$97,BD48,$D$4:$D$97,"&lt;&gt;"&amp;"Pendiente",$AC$4:$AC$97,"&lt;&gt;"&amp;"",$AD$4:$AD$97,"&lt;&gt;"&amp;"")</f>
        <v>5</v>
      </c>
      <c r="BL48" s="139" cm="1">
        <f t="array" ref="BL48">BJ48-BK48</f>
        <v>-3</v>
      </c>
      <c r="BM48" s="126" t="str" cm="1">
        <f t="array" ref="BM48">DD48&amp;BC48</f>
        <v>3K</v>
      </c>
      <c r="BN48" s="126" t="str" cm="1">
        <f t="array" ref="BN48">DH48&amp;BC48</f>
        <v>3K</v>
      </c>
      <c r="BO48" s="139" cm="1">
        <f t="array" ref="BO48">IF(AND($AJ$99=144,BF48&gt;=1),1,0)</f>
        <v>0</v>
      </c>
      <c r="BP48" s="139">
        <v>1</v>
      </c>
      <c r="BQ48" s="112" t="s">
        <v>113</v>
      </c>
      <c r="BR48" s="139" cm="1">
        <f t="array" ref="BR48">IF($BQ48="-","-",BE48)</f>
        <v>3</v>
      </c>
      <c r="BS48" s="139">
        <v>1</v>
      </c>
      <c r="BT48" s="112" t="s">
        <v>113</v>
      </c>
      <c r="BU48" s="139" cm="1">
        <f t="array" ref="BU48">IF($BT48="-","-",COUNTIFS($AA$4:$AA$97,$BD48,$D$4:$D$97,"Local",$F$4:$F$97,$BT48)+COUNTIFS($AF$4:$AF$97,$BD48,$D$4:$D$97,"Visitante",$E$4:$E$97,$BT48))</f>
        <v>1</v>
      </c>
      <c r="BV48" s="139" cm="1">
        <f t="array" ref="BV48">IF($BT48="-","-",COUNTIFS($AA$4:$AA$97,$BD48,$D$4:$D$97,"Empate",$F$4:$F$97,$BT48)+COUNTIFS($AF$4:$AF$97,$BD48,$D$4:$D$97,"Empate",$E$4:$E$97,$BT48))</f>
        <v>0</v>
      </c>
      <c r="BW48" s="139" cm="1">
        <f t="array" ref="BW48">IF($BT48="-","-",COUNTIFS($AA$4:$AA$97,$BD48,$D$4:$D$97,"Visitante",$F$4:$F$97,$BT48)+COUNTIFS($AF$4:$AF$97,$BD48,$D$4:$D$97,"Local",$E$4:$E$97,$BT48))</f>
        <v>2</v>
      </c>
      <c r="BX48" s="139" cm="1">
        <f t="array" ref="BX48">IF($BT48="-","-",BU48*3+BV48)</f>
        <v>3</v>
      </c>
      <c r="BY48" s="139">
        <v>1</v>
      </c>
      <c r="BZ48" s="112" t="s">
        <v>113</v>
      </c>
      <c r="CA48" s="139" cm="1">
        <f t="array" ref="CA48">IF($BZ48="-","-",SUMIFS($AC$4:$AC$97,$AA$4:$AA$97,$BD48,$I$4:$I$97,$BZ48)+SUMIFS($AD$4:$AD$97,$AF$4:$AF$97,$BD48,$H$4:$H$97,$BZ48))</f>
        <v>2</v>
      </c>
      <c r="CB48" s="139" cm="1">
        <f t="array" ref="CB48">IF($BZ48="-","-",SUMIFS($AD$4:$AD$97,$AA$4:$AA$97,$BD48,$I$4:$I$97,$BZ48)+SUMIFS($AC$4:$AC$97,$AF$4:$AF$97,$BD48,$H$4:$H$97,$BZ48))</f>
        <v>5</v>
      </c>
      <c r="CC48" s="139" cm="1">
        <f t="array" ref="CC48">IF($BZ48="-","-",CA48-CB48)</f>
        <v>-3</v>
      </c>
      <c r="CD48" s="139">
        <v>1</v>
      </c>
      <c r="CE48" s="112" t="s">
        <v>113</v>
      </c>
      <c r="CF48" s="139" cm="1">
        <f t="array" ref="CF48">IF($CE48="-","-",SUMIFS($AC$4:$AC$97,$AA$4:$AA$97,$BD48,$L$4:$L$97,$CE48)+SUMIFS($AD$4:$AD$97,$AF$4:$AF$97,$BD48,$K$4:$K$97,$CE48))</f>
        <v>2</v>
      </c>
      <c r="CG48" s="139">
        <v>1</v>
      </c>
      <c r="CH48" s="112" t="s">
        <v>113</v>
      </c>
      <c r="CI48" s="139" cm="1">
        <f t="array" ref="CI48">IF($CH48="-","-",COUNTIFS($AA$4:$AA$97,$BD48,$D$4:$D$97,"Local",$O$4:$O$97,$CH48)+COUNTIFS($AF$4:$AF$97,$BD48,$D$4:$D$97,"Visitante",$N$4:$N$97,$CH48))</f>
        <v>1</v>
      </c>
      <c r="CJ48" s="139" cm="1">
        <f t="array" ref="CJ48">IF($CH48="-","-",COUNTIFS($AA$4:$AA$97,$BD48,$D$4:$D$97,"Empate",$O$4:$O$97,$CH48)+COUNTIFS($AF$4:$AF$97,$BD48,$D$4:$D$97,"Empate",$N$4:$N$97,$CH48))</f>
        <v>0</v>
      </c>
      <c r="CK48" s="139" cm="1">
        <f t="array" ref="CK48">IF($CH48="-","-",COUNTIFS($AA$4:$AA$97,$BD48,$D$4:$D$97,"Visitante",$O$4:$O$97,$CH48)+COUNTIFS($AF$4:$AF$97,$BD48,$D$4:$D$97,"Local",$N$4:$N$97,$CH48))</f>
        <v>2</v>
      </c>
      <c r="CL48" s="139" cm="1">
        <f t="array" ref="CL48">IF($CH48="-","-",CI48*3+CJ48)</f>
        <v>3</v>
      </c>
      <c r="CM48" s="139">
        <v>1</v>
      </c>
      <c r="CN48" s="112" t="s">
        <v>113</v>
      </c>
      <c r="CO48" s="139" cm="1">
        <f t="array" ref="CO48">IF($CN48="-","-",SUMIFS($AC$4:$AC$97,$AA$4:$AA$97,$BD48,$R$4:$R$97,$CN48)+SUMIFS($AD$4:$AD$97,$AF$4:$AF$97,$BD48,$Q$4:$Q$97,$CN48))</f>
        <v>2</v>
      </c>
      <c r="CP48" s="139" cm="1">
        <f t="array" ref="CP48">IF($CN48="-","-",SUMIFS($AD$4:$AD$97,$AA$4:$AA$97,$BD48,$R$4:$R$97,$CN48)+SUMIFS($AC$4:$AC$97,$AF$4:$AF$97,$BD48,$Q$4:$Q$97,$CN48))</f>
        <v>5</v>
      </c>
      <c r="CQ48" s="139" cm="1">
        <f t="array" ref="CQ48">IF($CN48="-","-",CO48-CP48)</f>
        <v>-3</v>
      </c>
      <c r="CR48" s="139">
        <v>1</v>
      </c>
      <c r="CS48" s="112" t="s">
        <v>113</v>
      </c>
      <c r="CT48" s="139" cm="1">
        <f t="array" ref="CT48">IF($CS48="-","-",SUMIFS($AC$4:$AC$97,$AA$4:$AA$97,$BD48,$U$4:$U$97,$CS48)+SUMIFS($AD$4:$AD$97,$AF$4:$AF$97,$BD48,$T$4:$T$97,$CS48))</f>
        <v>2</v>
      </c>
      <c r="CU48" s="139">
        <v>1</v>
      </c>
      <c r="CV48" s="112" t="s">
        <v>113</v>
      </c>
      <c r="CW48" s="139" cm="1">
        <f t="array" ref="CW48">IF(CV48="-","-",BL48)</f>
        <v>-3</v>
      </c>
      <c r="CX48" s="139">
        <v>1</v>
      </c>
      <c r="CY48" s="112" t="s">
        <v>113</v>
      </c>
      <c r="CZ48" s="139" cm="1">
        <f t="array" ref="CZ48">IF(CY48="-","-",BJ48)</f>
        <v>2</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2"/>
      <c r="X49" s="148">
        <v>46198.791666666657</v>
      </c>
      <c r="Y49" s="149">
        <v>46198.791666666657</v>
      </c>
      <c r="Z49" s="150" t="str" cm="1">
        <f t="array" ref="Z49">$Z$8</f>
        <v>J3</v>
      </c>
      <c r="AA49" s="151" t="str" cm="1">
        <f t="array" ref="AA49">A48</f>
        <v>Túnez</v>
      </c>
      <c r="AB49" s="152"/>
      <c r="AC49" s="153">
        <v>0</v>
      </c>
      <c r="AD49" s="153">
        <v>2</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4</v>
      </c>
      <c r="AT49" s="161" cm="1">
        <f t="array" ref="AT49">INDEX($BE$6:$BN$53,MATCH($AL49,$BD$6:$BD$53,0),MATCH(AT$5,$BE$5:$BN$5,0))</f>
        <v>-4</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3</v>
      </c>
      <c r="BL49" s="139" cm="1">
        <f t="array" ref="BL49">BJ49-BK49</f>
        <v>1</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3</v>
      </c>
      <c r="CC49" s="139" cm="1">
        <f t="array" ref="CC49">IF($BZ49="-","-",CA49-CB49)</f>
        <v>1</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3</v>
      </c>
      <c r="CQ49" s="139" cm="1">
        <f t="array" ref="CQ49">IF($CN49="-","-",CO49-CP49)</f>
        <v>1</v>
      </c>
      <c r="CR49" s="139">
        <v>1</v>
      </c>
      <c r="CS49" s="112" t="s">
        <v>113</v>
      </c>
      <c r="CT49" s="139" cm="1">
        <f t="array" ref="CT49">IF($CS49="-","-",SUMIFS($AC$4:$AC$97,$AA$4:$AA$97,$BD49,$U$4:$U$97,$CS49)+SUMIFS($AD$4:$AD$97,$AF$4:$AF$97,$BD49,$T$4:$T$97,$CS49))</f>
        <v>4</v>
      </c>
      <c r="CU49" s="139">
        <v>1</v>
      </c>
      <c r="CV49" s="112" t="s">
        <v>113</v>
      </c>
      <c r="CW49" s="139" cm="1">
        <f t="array" ref="CW49">IF(CV49="-","-",BL49)</f>
        <v>1</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7</v>
      </c>
      <c r="BK50" s="139" cm="1">
        <f t="array" ref="BK50">SUMIFS($AC$4:$AC$97,$AF$4:$AF$97,BD50,$D$4:$D$97,"&lt;&gt;"&amp;"Pendiente",$AC$4:$AC$97,"&lt;&gt;"&amp;"",$AD$4:$AD$97,"&lt;&gt;"&amp;"")+SUMIFS($AD$4:$AD$97,$AA$4:$AA$97,BD50,$D$4:$D$97,"&lt;&gt;"&amp;"Pendiente",$AC$4:$AC$97,"&lt;&gt;"&amp;"",$AD$4:$AD$97,"&lt;&gt;"&amp;"")</f>
        <v>1</v>
      </c>
      <c r="BL50" s="139" cm="1">
        <f t="array" ref="BL50">BJ50-BK50</f>
        <v>6</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7</v>
      </c>
      <c r="CB50" s="139" cm="1">
        <f t="array" ref="CB50">IF($BZ50="-","-",SUMIFS($AD$4:$AD$97,$AA$4:$AA$97,$BD50,$I$4:$I$97,$BZ50)+SUMIFS($AC$4:$AC$97,$AF$4:$AF$97,$BD50,$H$4:$H$97,$BZ50))</f>
        <v>1</v>
      </c>
      <c r="CC50" s="139" cm="1">
        <f t="array" ref="CC50">IF($BZ50="-","-",CA50-CB50)</f>
        <v>6</v>
      </c>
      <c r="CD50" s="139">
        <v>1</v>
      </c>
      <c r="CE50" s="112" t="s">
        <v>113</v>
      </c>
      <c r="CF50" s="139" cm="1">
        <f t="array" ref="CF50">IF($CE50="-","-",SUMIFS($AC$4:$AC$97,$AA$4:$AA$97,$BD50,$L$4:$L$97,$CE50)+SUMIFS($AD$4:$AD$97,$AF$4:$AF$97,$BD50,$K$4:$K$97,$CE50))</f>
        <v>7</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7</v>
      </c>
      <c r="CP50" s="139" cm="1">
        <f t="array" ref="CP50">IF($CN50="-","-",SUMIFS($AD$4:$AD$97,$AA$4:$AA$97,$BD50,$R$4:$R$97,$CN50)+SUMIFS($AC$4:$AC$97,$AF$4:$AF$97,$BD50,$Q$4:$Q$97,$CN50))</f>
        <v>1</v>
      </c>
      <c r="CQ50" s="139" cm="1">
        <f t="array" ref="CQ50">IF($CN50="-","-",CO50-CP50)</f>
        <v>6</v>
      </c>
      <c r="CR50" s="139">
        <v>1</v>
      </c>
      <c r="CS50" s="112" t="s">
        <v>113</v>
      </c>
      <c r="CT50" s="139" cm="1">
        <f t="array" ref="CT50">IF($CS50="-","-",SUMIFS($AC$4:$AC$97,$AA$4:$AA$97,$BD50,$U$4:$U$97,$CS50)+SUMIFS($AD$4:$AD$97,$AF$4:$AF$97,$BD50,$T$4:$T$97,$CS50))</f>
        <v>7</v>
      </c>
      <c r="CU50" s="139">
        <v>1</v>
      </c>
      <c r="CV50" s="112" t="s">
        <v>113</v>
      </c>
      <c r="CW50" s="139" cm="1">
        <f t="array" ref="CW50">IF(CV50="-","-",BL50)</f>
        <v>6</v>
      </c>
      <c r="CX50" s="139">
        <v>1</v>
      </c>
      <c r="CY50" s="112" t="s">
        <v>113</v>
      </c>
      <c r="CZ50" s="139" cm="1">
        <f t="array" ref="CZ50">IF(CY50="-","-",BJ50)</f>
        <v>7</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4</v>
      </c>
      <c r="BF51" s="139" cm="1">
        <f t="array" ref="BF51">BG51+BH51+BI51</f>
        <v>3</v>
      </c>
      <c r="BG51" s="139" cm="1">
        <f t="array" ref="BG51">COUNTIFS($AA$4:$AA$97,BD51,$D$4:$D$97,"Local")+COUNTIFS($AF$4:$AF$97,BD51,$D$4:$D$97,"Visitante")</f>
        <v>1</v>
      </c>
      <c r="BH51" s="139" cm="1">
        <f t="array" ref="BH51">COUNTIFS($AA$4:$AA$97,BD51,$D$4:$D$97,"Empate")+COUNTIFS($AF$4:$AF$97,BD51,$D$4:$D$97,"Empate")</f>
        <v>1</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4</v>
      </c>
      <c r="BK51" s="139" cm="1">
        <f t="array" ref="BK51">SUMIFS($AC$4:$AC$97,$AF$4:$AF$97,BD51,$D$4:$D$97,"&lt;&gt;"&amp;"Pendiente",$AC$4:$AC$97,"&lt;&gt;"&amp;"",$AD$4:$AD$97,"&lt;&gt;"&amp;"")+SUMIFS($AD$4:$AD$97,$AA$4:$AA$97,BD51,$D$4:$D$97,"&lt;&gt;"&amp;"Pendiente",$AC$4:$AC$97,"&lt;&gt;"&amp;"",$AD$4:$AD$97,"&lt;&gt;"&amp;"")</f>
        <v>3</v>
      </c>
      <c r="BL51" s="139" cm="1">
        <f t="array" ref="BL51">BJ51-BK51</f>
        <v>1</v>
      </c>
      <c r="BM51" s="126" t="str" cm="1">
        <f t="array" ref="BM51">DD51&amp;BC51</f>
        <v>2L</v>
      </c>
      <c r="BN51" s="126" t="str" cm="1">
        <f t="array" ref="BN51">DH51&amp;BC51</f>
        <v>2L</v>
      </c>
      <c r="BO51" s="139" cm="1">
        <f t="array" ref="BO51">IF(AND($AJ$99=144,BF51&gt;=1),1,0)</f>
        <v>0</v>
      </c>
      <c r="BP51" s="139">
        <v>1</v>
      </c>
      <c r="BQ51" s="112" t="s">
        <v>113</v>
      </c>
      <c r="BR51" s="139" cm="1">
        <f t="array" ref="BR51">IF($BQ51="-","-",BE51)</f>
        <v>4</v>
      </c>
      <c r="BS51" s="139">
        <v>1</v>
      </c>
      <c r="BT51" s="112" t="s">
        <v>113</v>
      </c>
      <c r="BU51" s="139" cm="1">
        <f t="array" ref="BU51">IF($BT51="-","-",COUNTIFS($AA$4:$AA$97,$BD51,$D$4:$D$97,"Local",$F$4:$F$97,$BT51)+COUNTIFS($AF$4:$AF$97,$BD51,$D$4:$D$97,"Visitante",$E$4:$E$97,$BT51))</f>
        <v>1</v>
      </c>
      <c r="BV51" s="139" cm="1">
        <f t="array" ref="BV51">IF($BT51="-","-",COUNTIFS($AA$4:$AA$97,$BD51,$D$4:$D$97,"Empate",$F$4:$F$97,$BT51)+COUNTIFS($AF$4:$AF$97,$BD51,$D$4:$D$97,"Empate",$E$4:$E$97,$BT51))</f>
        <v>1</v>
      </c>
      <c r="BW51" s="139" cm="1">
        <f t="array" ref="BW51">IF($BT51="-","-",COUNTIFS($AA$4:$AA$97,$BD51,$D$4:$D$97,"Visitante",$F$4:$F$97,$BT51)+COUNTIFS($AF$4:$AF$97,$BD51,$D$4:$D$97,"Local",$E$4:$E$97,$BT51))</f>
        <v>1</v>
      </c>
      <c r="BX51" s="139" cm="1">
        <f t="array" ref="BX51">IF($BT51="-","-",BU51*3+BV51)</f>
        <v>4</v>
      </c>
      <c r="BY51" s="139">
        <v>1</v>
      </c>
      <c r="BZ51" s="112" t="s">
        <v>113</v>
      </c>
      <c r="CA51" s="139" cm="1">
        <f t="array" ref="CA51">IF($BZ51="-","-",SUMIFS($AC$4:$AC$97,$AA$4:$AA$97,$BD51,$I$4:$I$97,$BZ51)+SUMIFS($AD$4:$AD$97,$AF$4:$AF$97,$BD51,$H$4:$H$97,$BZ51))</f>
        <v>4</v>
      </c>
      <c r="CB51" s="139" cm="1">
        <f t="array" ref="CB51">IF($BZ51="-","-",SUMIFS($AD$4:$AD$97,$AA$4:$AA$97,$BD51,$I$4:$I$97,$BZ51)+SUMIFS($AC$4:$AC$97,$AF$4:$AF$97,$BD51,$H$4:$H$97,$BZ51))</f>
        <v>3</v>
      </c>
      <c r="CC51" s="139" cm="1">
        <f t="array" ref="CC51">IF($BZ51="-","-",CA51-CB51)</f>
        <v>1</v>
      </c>
      <c r="CD51" s="139">
        <v>1</v>
      </c>
      <c r="CE51" s="112" t="s">
        <v>113</v>
      </c>
      <c r="CF51" s="139" cm="1">
        <f t="array" ref="CF51">IF($CE51="-","-",SUMIFS($AC$4:$AC$97,$AA$4:$AA$97,$BD51,$L$4:$L$97,$CE51)+SUMIFS($AD$4:$AD$97,$AF$4:$AF$97,$BD51,$K$4:$K$97,$CE51))</f>
        <v>4</v>
      </c>
      <c r="CG51" s="139">
        <v>1</v>
      </c>
      <c r="CH51" s="112" t="s">
        <v>113</v>
      </c>
      <c r="CI51" s="139" cm="1">
        <f t="array" ref="CI51">IF($CH51="-","-",COUNTIFS($AA$4:$AA$97,$BD51,$D$4:$D$97,"Local",$O$4:$O$97,$CH51)+COUNTIFS($AF$4:$AF$97,$BD51,$D$4:$D$97,"Visitante",$N$4:$N$97,$CH51))</f>
        <v>1</v>
      </c>
      <c r="CJ51" s="139" cm="1">
        <f t="array" ref="CJ51">IF($CH51="-","-",COUNTIFS($AA$4:$AA$97,$BD51,$D$4:$D$97,"Empate",$O$4:$O$97,$CH51)+COUNTIFS($AF$4:$AF$97,$BD51,$D$4:$D$97,"Empate",$N$4:$N$97,$CH51))</f>
        <v>1</v>
      </c>
      <c r="CK51" s="139" cm="1">
        <f t="array" ref="CK51">IF($CH51="-","-",COUNTIFS($AA$4:$AA$97,$BD51,$D$4:$D$97,"Visitante",$O$4:$O$97,$CH51)+COUNTIFS($AF$4:$AF$97,$BD51,$D$4:$D$97,"Local",$N$4:$N$97,$CH51))</f>
        <v>1</v>
      </c>
      <c r="CL51" s="139" cm="1">
        <f t="array" ref="CL51">IF($CH51="-","-",CI51*3+CJ51)</f>
        <v>4</v>
      </c>
      <c r="CM51" s="139">
        <v>1</v>
      </c>
      <c r="CN51" s="112" t="s">
        <v>113</v>
      </c>
      <c r="CO51" s="139" cm="1">
        <f t="array" ref="CO51">IF($CN51="-","-",SUMIFS($AC$4:$AC$97,$AA$4:$AA$97,$BD51,$R$4:$R$97,$CN51)+SUMIFS($AD$4:$AD$97,$AF$4:$AF$97,$BD51,$Q$4:$Q$97,$CN51))</f>
        <v>4</v>
      </c>
      <c r="CP51" s="139" cm="1">
        <f t="array" ref="CP51">IF($CN51="-","-",SUMIFS($AD$4:$AD$97,$AA$4:$AA$97,$BD51,$R$4:$R$97,$CN51)+SUMIFS($AC$4:$AC$97,$AF$4:$AF$97,$BD51,$Q$4:$Q$97,$CN51))</f>
        <v>3</v>
      </c>
      <c r="CQ51" s="139" cm="1">
        <f t="array" ref="CQ51">IF($CN51="-","-",CO51-CP51)</f>
        <v>1</v>
      </c>
      <c r="CR51" s="139">
        <v>1</v>
      </c>
      <c r="CS51" s="112" t="s">
        <v>113</v>
      </c>
      <c r="CT51" s="139" cm="1">
        <f t="array" ref="CT51">IF($CS51="-","-",SUMIFS($AC$4:$AC$97,$AA$4:$AA$97,$BD51,$U$4:$U$97,$CS51)+SUMIFS($AD$4:$AD$97,$AF$4:$AF$97,$BD51,$T$4:$T$97,$CS51))</f>
        <v>4</v>
      </c>
      <c r="CU51" s="139">
        <v>1</v>
      </c>
      <c r="CV51" s="112" t="s">
        <v>113</v>
      </c>
      <c r="CW51" s="139" cm="1">
        <f t="array" ref="CW51">IF(CV51="-","-",BL51)</f>
        <v>1</v>
      </c>
      <c r="CX51" s="139">
        <v>1</v>
      </c>
      <c r="CY51" s="112" t="s">
        <v>113</v>
      </c>
      <c r="CZ51" s="139" cm="1">
        <f t="array" ref="CZ51">IF(CY51="-","-",BJ51)</f>
        <v>4</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4" t="s">
        <v>54</v>
      </c>
      <c r="X52" s="96">
        <v>46188.625</v>
      </c>
      <c r="Y52" s="97">
        <v>46188.625</v>
      </c>
      <c r="Z52" s="113" t="str" cm="1">
        <f t="array" ref="Z52">$Z$4</f>
        <v>J1</v>
      </c>
      <c r="AA52" s="99" t="str" cm="1">
        <f t="array" ref="AA52">A53</f>
        <v>Bélgica</v>
      </c>
      <c r="AB52" s="100"/>
      <c r="AC52" s="101">
        <v>3</v>
      </c>
      <c r="AD52" s="101">
        <v>1</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4</v>
      </c>
      <c r="BF52" s="139" cm="1">
        <f t="array" ref="BF52">BG52+BH52+BI52</f>
        <v>3</v>
      </c>
      <c r="BG52" s="139" cm="1">
        <f t="array" ref="BG52">COUNTIFS($AA$4:$AA$97,BD52,$D$4:$D$97,"Local")+COUNTIFS($AF$4:$AF$97,BD52,$D$4:$D$97,"Visitante")</f>
        <v>1</v>
      </c>
      <c r="BH52" s="139" cm="1">
        <f t="array" ref="BH52">COUNTIFS($AA$4:$AA$97,BD52,$D$4:$D$97,"Empate")+COUNTIFS($AF$4:$AF$97,BD52,$D$4:$D$97,"Empate")</f>
        <v>1</v>
      </c>
      <c r="BI52" s="139" cm="1">
        <f t="array" ref="BI52">COUNTIFS($AF$4:$AF$97,BD52,$D$4:$D$97,"Local")+COUNTIFS($AA$4:$AA$97,BD52,$D$4:$D$97,"Visitante")</f>
        <v>1</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4</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1</v>
      </c>
      <c r="BW52" s="139" cm="1">
        <f t="array" ref="BW52">IF($BT52="-","-",COUNTIFS($AA$4:$AA$97,$BD52,$D$4:$D$97,"Visitante",$F$4:$F$97,$BT52)+COUNTIFS($AF$4:$AF$97,$BD52,$D$4:$D$97,"Local",$E$4:$E$97,$BT52))</f>
        <v>1</v>
      </c>
      <c r="BX52" s="139" cm="1">
        <f t="array" ref="BX52">IF($BT52="-","-",BU52*3+BV52)</f>
        <v>4</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1</v>
      </c>
      <c r="CK52" s="139" cm="1">
        <f t="array" ref="CK52">IF($CH52="-","-",COUNTIFS($AA$4:$AA$97,$BD52,$D$4:$D$97,"Visitante",$O$4:$O$97,$CH52)+COUNTIFS($AF$4:$AF$97,$BD52,$D$4:$D$97,"Local",$N$4:$N$97,$CH52))</f>
        <v>1</v>
      </c>
      <c r="CL52" s="139" cm="1">
        <f t="array" ref="CL52">IF($CH52="-","-",CI52*3+CJ52)</f>
        <v>4</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60"/>
      <c r="X53" s="96">
        <v>46188.875</v>
      </c>
      <c r="Y53" s="97">
        <v>46188.875</v>
      </c>
      <c r="Z53" s="113" t="str" cm="1">
        <f t="array" ref="Z53">$Z$4</f>
        <v>J1</v>
      </c>
      <c r="AA53" s="99" t="str" cm="1">
        <f t="array" ref="AA53">A55</f>
        <v>Irán</v>
      </c>
      <c r="AB53" s="100"/>
      <c r="AC53" s="114">
        <v>2</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7</v>
      </c>
      <c r="BL53" s="139" cm="1">
        <f t="array" ref="BL53">BJ53-BK53</f>
        <v>-6</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7</v>
      </c>
      <c r="CC53" s="139" cm="1">
        <f t="array" ref="CC53">IF($BZ53="-","-",CA53-CB53)</f>
        <v>-6</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7</v>
      </c>
      <c r="CQ53" s="139" cm="1">
        <f t="array" ref="CQ53">IF($CN53="-","-",CO53-CP53)</f>
        <v>-6</v>
      </c>
      <c r="CR53" s="139">
        <v>1</v>
      </c>
      <c r="CS53" s="112" t="s">
        <v>113</v>
      </c>
      <c r="CT53" s="139" cm="1">
        <f t="array" ref="CT53">IF($CS53="-","-",SUMIFS($AC$4:$AC$97,$AA$4:$AA$97,$BD53,$U$4:$U$97,$CS53)+SUMIFS($AD$4:$AD$97,$AF$4:$AF$97,$BD53,$T$4:$T$97,$CS53))</f>
        <v>1</v>
      </c>
      <c r="CU53" s="139">
        <v>1</v>
      </c>
      <c r="CV53" s="112" t="s">
        <v>113</v>
      </c>
      <c r="CW53" s="139" cm="1">
        <f t="array" ref="CW53">IF(CV53="-","-",BL53)</f>
        <v>-6</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1"/>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8</v>
      </c>
      <c r="AS54" s="131" cm="1">
        <f t="array" ref="AS54">INDEX($BE$6:$BN$53,MATCH($AL54,$BD$6:$BD$53,0),MATCH(AS$5,$BE$5:$BN$5,0))</f>
        <v>2</v>
      </c>
      <c r="AT54" s="132" cm="1">
        <f t="array" ref="AT54">INDEX($BE$6:$BN$53,MATCH($AL54,$BD$6:$BD$53,0),MATCH(AT$5,$BE$5:$BN$5,0))</f>
        <v>6</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Empate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1"/>
      <c r="X55" s="96">
        <v>46194.875</v>
      </c>
      <c r="Y55" s="97">
        <v>46194.875</v>
      </c>
      <c r="Z55" s="113" t="str" cm="1">
        <f t="array" ref="Z55">$Z$6</f>
        <v>J2</v>
      </c>
      <c r="AA55" s="99" t="str" cm="1">
        <f t="array" ref="AA55">A56</f>
        <v>Nueva Zelanda</v>
      </c>
      <c r="AB55" s="100"/>
      <c r="AC55" s="114">
        <v>1</v>
      </c>
      <c r="AD55" s="114">
        <v>1</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2</v>
      </c>
      <c r="AN55" s="144" cm="1">
        <f t="array" ref="AN55">INDEX($BE$6:$BN$53,MATCH($AL55,$BD$6:$BD$53,0),MATCH(AN$5,$BE$5:$BN$5,0))</f>
        <v>3</v>
      </c>
      <c r="AO55" s="144" cm="1">
        <f t="array" ref="AO55">INDEX($BE$6:$BN$53,MATCH($AL55,$BD$6:$BD$53,0),MATCH(AO$5,$BE$5:$BN$5,0))</f>
        <v>0</v>
      </c>
      <c r="AP55" s="144" cm="1">
        <f t="array" ref="AP55">INDEX($BE$6:$BN$53,MATCH($AL55,$BD$6:$BD$53,0),MATCH(AP$5,$BE$5:$BN$5,0))</f>
        <v>2</v>
      </c>
      <c r="AQ55" s="144" cm="1">
        <f t="array" ref="AQ55">INDEX($BE$6:$BN$53,MATCH($AL55,$BD$6:$BD$53,0),MATCH(AQ$5,$BE$5:$BN$5,0))</f>
        <v>1</v>
      </c>
      <c r="AR55" s="144" cm="1">
        <f t="array" ref="AR55">INDEX($BE$6:$BN$53,MATCH($AL55,$BD$6:$BD$53,0),MATCH(AR$5,$BE$5:$BN$5,0))</f>
        <v>3</v>
      </c>
      <c r="AS55" s="144" cm="1">
        <f t="array" ref="AS55">INDEX($BE$6:$BN$53,MATCH($AL55,$BD$6:$BD$53,0),MATCH(AS$5,$BE$5:$BN$5,0))</f>
        <v>5</v>
      </c>
      <c r="AT55" s="145" cm="1">
        <f t="array" ref="AT55">INDEX($BE$6:$BN$53,MATCH($AL55,$BD$6:$BD$53,0),MATCH(AT$5,$BE$5:$BN$5,0))</f>
        <v>-2</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Empate</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1"/>
      <c r="X56" s="96">
        <v>46199.958333333343</v>
      </c>
      <c r="Y56" s="97">
        <v>46199.958333333343</v>
      </c>
      <c r="Z56" s="113" t="str" cm="1">
        <f t="array" ref="Z56">$Z$8</f>
        <v>J3</v>
      </c>
      <c r="AA56" s="99" t="str" cm="1">
        <f t="array" ref="AA56">A54</f>
        <v>Egipto</v>
      </c>
      <c r="AB56" s="100"/>
      <c r="AC56" s="114">
        <v>1</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4</v>
      </c>
      <c r="AN56" s="144" cm="1">
        <f t="array" ref="AN56">INDEX($BE$6:$BN$53,MATCH($AL56,$BD$6:$BD$53,0),MATCH(AN$5,$BE$5:$BN$5,0))</f>
        <v>3</v>
      </c>
      <c r="AO56" s="144" cm="1">
        <f t="array" ref="AO56">INDEX($BE$6:$BN$53,MATCH($AL56,$BD$6:$BD$53,0),MATCH(AO$5,$BE$5:$BN$5,0))</f>
        <v>1</v>
      </c>
      <c r="AP56" s="144" cm="1">
        <f t="array" ref="AP56">INDEX($BE$6:$BN$53,MATCH($AL56,$BD$6:$BD$53,0),MATCH(AP$5,$BE$5:$BN$5,0))</f>
        <v>1</v>
      </c>
      <c r="AQ56" s="144" cm="1">
        <f t="array" ref="AQ56">INDEX($BE$6:$BN$53,MATCH($AL56,$BD$6:$BD$53,0),MATCH(AQ$5,$BE$5:$BN$5,0))</f>
        <v>1</v>
      </c>
      <c r="AR56" s="144" cm="1">
        <f t="array" ref="AR56">INDEX($BE$6:$BN$53,MATCH($AL56,$BD$6:$BD$53,0),MATCH(AR$5,$BE$5:$BN$5,0))</f>
        <v>4</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2"/>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6</v>
      </c>
      <c r="AT57" s="161" cm="1">
        <f t="array" ref="AT57">INDEX($BE$6:$BN$53,MATCH($AL57,$BD$6:$BD$53,0),MATCH(AT$5,$BE$5:$BN$5,0))</f>
        <v>-5</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4</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1</v>
      </c>
      <c r="BH58" s="139" cm="1">
        <f t="array" ref="BH58">CHOOSE(IF($BB$57=2,2,1),INDEX($BH$6:$BH$53,MATCH($BB58,$BN$6:$BN$53,0)),INDEX($BH$6:$BH$53,MATCH($BB58,$BN$6:$BN$53,0))-(COUNTIFS($AA$4:$AA$97,$BD58,$AF$4:$AF$97,INDEX($BD$6:$BD$53,MATCH(BO58,$BN$6:$BN$53,0)),$D$4:$D$97,"Empate")+COUNTIFS($AF$4:$AF$97,$BD58,$AA$4:$AA$97,INDEX($BD$6:$BD$53,MATCH(BO58,$BN$6:$BN$53,0)),$D$4:$D$97,"Empate")))</f>
        <v>1</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4</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0</v>
      </c>
      <c r="BM58" s="139" cm="1">
        <f t="array" ref="BM58">CB58</f>
        <v>3</v>
      </c>
      <c r="BN58" s="139" cm="1">
        <f t="array" ref="BN58">CF58</f>
        <v>3</v>
      </c>
      <c r="BO58" s="126" t="str" cm="1">
        <f t="array" ref="BO58">"4"&amp;BC58</f>
        <v>4A</v>
      </c>
      <c r="BP58" s="126"/>
      <c r="BQ58" s="126"/>
      <c r="BR58" s="139" cm="1">
        <f t="array" ref="BR58">BE58</f>
        <v>4</v>
      </c>
      <c r="BS58" s="139" cm="1">
        <f t="array" ref="BS58">COUNTIFS(BR$58:BR$69,"&gt;"&amp;BR58)+1</f>
        <v>2</v>
      </c>
      <c r="BT58" s="126" t="str" cm="1">
        <f t="array" ref="BT58">IF(COUNTIF(BS$58:BS$69,BS58)=1,"-","Pos. "&amp;BS58&amp;" ("&amp;COUNTIF(BS$58:BS$69,BS58)&amp;")")</f>
        <v>Pos. 2 (4)</v>
      </c>
      <c r="BU58" s="139" cm="1">
        <f t="array" ref="BU58">IF(BT58="-","-",BL58)</f>
        <v>0</v>
      </c>
      <c r="BV58" s="139" cm="1">
        <f t="array" ref="BV58">BS58+COUNTIFS(BT$58:BT$69,BT58,BU$58:BU$69,"&gt;"&amp;BU58)</f>
        <v>3</v>
      </c>
      <c r="BW58" s="126" t="str" cm="1">
        <f t="array" ref="BW58">IF(COUNTIF(BV$58:BV$69,BV58)=1,"-","Pos. "&amp;BV58&amp;" ("&amp;COUNTIF(BV$58:BV$69,BV58)&amp;")")</f>
        <v>-</v>
      </c>
      <c r="BX58" s="126" t="str" cm="1">
        <f t="array" ref="BX58">IF(BW58="-","-",BJ58)</f>
        <v>-</v>
      </c>
      <c r="BY58" s="139" cm="1">
        <f t="array" ref="BY58">BV58+COUNTIFS(BW$58:BW$69,BW58,BX$58:BX$69,"&gt;"&amp;BX58)</f>
        <v>3</v>
      </c>
      <c r="BZ58" s="126" t="str" cm="1">
        <f t="array" ref="BZ58">IF(COUNTIF(BY$58:BY$69,BY58)=1,"-","Pos. "&amp;BY58&amp;" ("&amp;COUNTIF(BY$58:BY$69,BY58)&amp;")")</f>
        <v>-</v>
      </c>
      <c r="CA58" s="126" t="str" cm="1">
        <f t="array" ref="CA58">IF(BZ58="-","-",COUNTIF($BD$58:$BD$69,"&gt;"&amp;BD58))</f>
        <v>-</v>
      </c>
      <c r="CB58" s="139" cm="1">
        <f t="array" ref="CB58">BY58+COUNTIFS(BZ$58:BZ$69,BZ58,CA$58:CA$69,"&gt;"&amp;CA58)</f>
        <v>3</v>
      </c>
      <c r="CC58" s="126"/>
      <c r="CD58" s="139" cm="1">
        <f t="array" ref="CD58">IF(OR(INDEX($AW$102:$AW$113,MATCH($BD58,$AV$102:$AV$113,0))="",BZ58="-"),CB58,INDEX($AW$102:$AW$113,MATCH($BD58,$AV$102:$AV$113,0))+CB58/1000)</f>
        <v>3</v>
      </c>
      <c r="CE58" s="126" t="str" cm="1">
        <f t="array" ref="CE58">IF(BZ58="-","-",COUNTIF(CD$58:CD$69,"&lt;"&amp;CD58))</f>
        <v>-</v>
      </c>
      <c r="CF58" s="139" cm="1">
        <f t="array" ref="CF58">BY58+COUNTIFS(BZ$58:BZ$69,BZ58,CE$58:CE$69,"&lt;"&amp;CE58)</f>
        <v>3</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Austria</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3</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0</v>
      </c>
      <c r="BI59" s="139" cm="1">
        <f t="array" ref="BI59">CHOOSE(IF($BB$57=2,2,1),INDEX($BI$6:$BI$53,MATCH($BB59,$BN$6:$BN$53,0)),INDEX($BI$6:$BI$53,MATCH($BB59,$BN$6:$BN$53,0))-(COUNTIFS($AA$4:$AA$97,$BD59,$AF$4:$AF$97,INDEX($BD$6:$BD$53,MATCH(BO59,$BN$6:$BN$53,0)),$D$4:$D$97,"Visitante")+COUNTIFS($AF$4:$AF$97,$BD59,$AA$4:$AA$97,INDEX($BD$6:$BD$53,MATCH(BO59,$BN$6:$BN$53,0)),$D$4:$D$97,"Local")))</f>
        <v>2</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4</v>
      </c>
      <c r="BL59" s="139" cm="1">
        <f t="array" ref="BL59">BJ59-BK59</f>
        <v>-1</v>
      </c>
      <c r="BM59" s="139" cm="1">
        <f t="array" ref="BM59">CB59</f>
        <v>7</v>
      </c>
      <c r="BN59" s="139" cm="1">
        <f t="array" ref="BN59">CF59</f>
        <v>7</v>
      </c>
      <c r="BO59" s="126" t="str" cm="1">
        <f t="array" ref="BO59">"4"&amp;BC59</f>
        <v>4B</v>
      </c>
      <c r="BP59" s="126"/>
      <c r="BQ59" s="126"/>
      <c r="BR59" s="139" cm="1">
        <f t="array" ref="BR59">BE59</f>
        <v>3</v>
      </c>
      <c r="BS59" s="139" cm="1">
        <f t="array" ref="BS59">COUNTIFS(BR$58:BR$69,"&gt;"&amp;BR59)+1</f>
        <v>6</v>
      </c>
      <c r="BT59" s="126" t="str" cm="1">
        <f t="array" ref="BT59">IF(COUNTIF(BS$58:BS$69,BS59)=1,"-","Pos. "&amp;BS59&amp;" ("&amp;COUNTIF(BS$58:BS$69,BS59)&amp;")")</f>
        <v>Pos. 6 (4)</v>
      </c>
      <c r="BU59" s="139" cm="1">
        <f t="array" ref="BU59">IF(BT59="-","-",BL59)</f>
        <v>-1</v>
      </c>
      <c r="BV59" s="139" cm="1">
        <f t="array" ref="BV59">BS59+COUNTIFS(BT$58:BT$69,BT59,BU$58:BU$69,"&gt;"&amp;BU59)</f>
        <v>7</v>
      </c>
      <c r="BW59" s="126" t="str" cm="1">
        <f t="array" ref="BW59">IF(COUNTIF(BV$58:BV$69,BV59)=1,"-","Pos. "&amp;BV59&amp;" ("&amp;COUNTIF(BV$58:BV$69,BV59)&amp;")")</f>
        <v>-</v>
      </c>
      <c r="BX59" s="126" t="str" cm="1">
        <f t="array" ref="BX59">IF(BW59="-","-",BJ59)</f>
        <v>-</v>
      </c>
      <c r="BY59" s="139" cm="1">
        <f t="array" ref="BY59">BV59+COUNTIFS(BW$58:BW$69,BW59,BX$58:BX$69,"&gt;"&amp;BX59)</f>
        <v>7</v>
      </c>
      <c r="BZ59" s="126" t="str" cm="1">
        <f t="array" ref="BZ59">IF(COUNTIF(BY$58:BY$69,BY59)=1,"-","Pos. "&amp;BY59&amp;" ("&amp;COUNTIF(BY$58:BY$69,BY59)&amp;")")</f>
        <v>-</v>
      </c>
      <c r="CA59" s="126" t="str" cm="1">
        <f t="array" ref="CA59">IF(BZ59="-","-",COUNTIF($BD$58:$BD$69,"&gt;"&amp;BD59))</f>
        <v>-</v>
      </c>
      <c r="CB59" s="139" cm="1">
        <f t="array" ref="CB59">BY59+COUNTIFS(BZ$58:BZ$69,BZ59,CA$58:CA$69,"&gt;"&amp;CA59)</f>
        <v>7</v>
      </c>
      <c r="CC59" s="126"/>
      <c r="CD59" s="139" cm="1">
        <f t="array" ref="CD59">IF(OR(INDEX($AW$102:$AW$113,MATCH($BD59,$AV$102:$AV$113,0))="",BZ59="-"),CB59,INDEX($AW$102:$AW$113,MATCH($BD59,$AV$102:$AV$113,0))+CB59/1000)</f>
        <v>7</v>
      </c>
      <c r="CE59" s="126" t="str" cm="1">
        <f t="array" ref="CE59">IF(BZ59="-","-",COUNTIF(CD$58:CD$69,"&lt;"&amp;CD59))</f>
        <v>-</v>
      </c>
      <c r="CF59" s="139" cm="1">
        <f t="array" ref="CF59">BY59+COUNTIFS(BZ$58:BZ$69,BZ59,CE$58:CE$69,"&lt;"&amp;CE59)</f>
        <v>7</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Irán</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7"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8</v>
      </c>
      <c r="BL60" s="139" cm="1">
        <f t="array" ref="BL60">BJ60-BK60</f>
        <v>-8</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10</v>
      </c>
      <c r="BT60" s="126" t="str" cm="1">
        <f t="array" ref="BT60">IF(COUNTIF(BS$58:BS$69,BS60)=1,"-","Pos. "&amp;BS60&amp;" ("&amp;COUNTIF(BS$58:BS$69,BS60)&amp;")")</f>
        <v>Pos. 10 (3)</v>
      </c>
      <c r="BU60" s="139" cm="1">
        <f t="array" ref="BU60">IF(BT60="-","-",BL60)</f>
        <v>-8</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Corea del Sur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60"/>
      <c r="X61" s="96">
        <v>46188.75</v>
      </c>
      <c r="Y61" s="97">
        <v>46188.75</v>
      </c>
      <c r="Z61" s="113" t="str" cm="1">
        <f t="array" ref="Z61">$Z$4</f>
        <v>J1</v>
      </c>
      <c r="AA61" s="99" t="str" cm="1">
        <f t="array" ref="AA61">A63</f>
        <v>Arabia Saudita</v>
      </c>
      <c r="AB61" s="100"/>
      <c r="AC61" s="114">
        <v>1</v>
      </c>
      <c r="AD61" s="114">
        <v>3</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4</v>
      </c>
      <c r="BL61" s="139" cm="1">
        <f t="array" ref="BL61">BJ61-BK61</f>
        <v>-3</v>
      </c>
      <c r="BM61" s="139" cm="1">
        <f t="array" ref="BM61">CB61</f>
        <v>10</v>
      </c>
      <c r="BN61" s="139" cm="1">
        <f t="array" ref="BN61">CF61</f>
        <v>10</v>
      </c>
      <c r="BO61" s="126" t="str" cm="1">
        <f t="array" ref="BO61">"4"&amp;BC61</f>
        <v>4D</v>
      </c>
      <c r="BP61" s="126"/>
      <c r="BQ61" s="126"/>
      <c r="BR61" s="139" cm="1">
        <f t="array" ref="BR61">BE61</f>
        <v>0</v>
      </c>
      <c r="BS61" s="139" cm="1">
        <f t="array" ref="BS61">COUNTIFS(BR$58:BR$69,"&gt;"&amp;BR61)+1</f>
        <v>10</v>
      </c>
      <c r="BT61" s="126" t="str" cm="1">
        <f t="array" ref="BT61">IF(COUNTIF(BS$58:BS$69,BS61)=1,"-","Pos. "&amp;BS61&amp;" ("&amp;COUNTIF(BS$58:BS$69,BS61)&amp;")")</f>
        <v>Pos. 10 (3)</v>
      </c>
      <c r="BU61" s="139" cm="1">
        <f t="array" ref="BU61">IF(BT61="-","-",BL61)</f>
        <v>-3</v>
      </c>
      <c r="BV61" s="139" cm="1">
        <f t="array" ref="BV61">BS61+COUNTIFS(BT$58:BT$69,BT61,BU$58:BU$69,"&gt;"&amp;BU61)</f>
        <v>10</v>
      </c>
      <c r="BW61" s="126" t="str" cm="1">
        <f t="array" ref="BW61">IF(COUNTIF(BV$58:BV$69,BV61)=1,"-","Pos. "&amp;BV61&amp;" ("&amp;COUNTIF(BV$58:BV$69,BV61)&amp;")")</f>
        <v>-</v>
      </c>
      <c r="BX61" s="126" t="str" cm="1">
        <f t="array" ref="BX61">IF(BW61="-","-",BJ61)</f>
        <v>-</v>
      </c>
      <c r="BY61" s="139" cm="1">
        <f t="array" ref="BY61">BV61+COUNTIFS(BW$58:BW$69,BW61,BX$58:BX$69,"&gt;"&amp;BX61)</f>
        <v>10</v>
      </c>
      <c r="BZ61" s="126" t="str" cm="1">
        <f t="array" ref="BZ61">IF(COUNTIF(BY$58:BY$69,BY61)=1,"-","Pos. "&amp;BY61&amp;" ("&amp;COUNTIF(BY$58:BY$69,BY61)&amp;")")</f>
        <v>-</v>
      </c>
      <c r="CA61" s="126" t="str" cm="1">
        <f t="array" ref="CA61">IF(BZ61="-","-",COUNTIF($BD$58:$BD$69,"&gt;"&amp;BD61))</f>
        <v>-</v>
      </c>
      <c r="CB61" s="139" cm="1">
        <f t="array" ref="CB61">BY61+COUNTIFS(BZ$58:BZ$69,BZ61,CA$58:CA$69,"&gt;"&amp;CA61)</f>
        <v>10</v>
      </c>
      <c r="CC61" s="126"/>
      <c r="CD61" s="139" cm="1">
        <f t="array" ref="CD61">IF(OR(INDEX($AW$102:$AW$113,MATCH($BD61,$AV$102:$AV$113,0))="",BZ61="-"),CB61,INDEX($AW$102:$AW$113,MATCH($BD61,$AV$102:$AV$113,0))+CB61/1000)</f>
        <v>10</v>
      </c>
      <c r="CE61" s="126" t="str" cm="1">
        <f t="array" ref="CE61">IF(BZ61="-","-",COUNTIF(CD$58:CD$69,"&lt;"&amp;CD61))</f>
        <v>-</v>
      </c>
      <c r="CF61" s="139" cm="1">
        <f t="array" ref="CF61">BY61+COUNTIFS(BZ$58:BZ$69,BZ61,CE$58:CE$69,"&lt;"&amp;CE61)</f>
        <v>10</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Ghana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1"/>
      <c r="X62" s="96">
        <v>46194.5</v>
      </c>
      <c r="Y62" s="97">
        <v>46194.5</v>
      </c>
      <c r="Z62" s="113" t="str" cm="1">
        <f t="array" ref="Z62">$Z$6</f>
        <v>J2</v>
      </c>
      <c r="AA62" s="99" t="str" cm="1">
        <f t="array" ref="AA62">A61</f>
        <v>España</v>
      </c>
      <c r="AB62" s="100"/>
      <c r="AC62" s="114">
        <v>3</v>
      </c>
      <c r="AD62" s="114">
        <v>1</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2</v>
      </c>
      <c r="AT62" s="132" cm="1">
        <f t="array" ref="AT62">INDEX($BE$6:$BN$53,MATCH($AL62,$BD$6:$BD$53,0),MATCH(AT$5,$BE$5:$BN$5,0))</f>
        <v>8</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4</v>
      </c>
      <c r="BL62" s="139" cm="1">
        <f t="array" ref="BL62">BJ62-BK62</f>
        <v>0</v>
      </c>
      <c r="BM62" s="139" cm="1">
        <f t="array" ref="BM62">CB62</f>
        <v>6</v>
      </c>
      <c r="BN62" s="139" cm="1">
        <f t="array" ref="BN62">CF62</f>
        <v>6</v>
      </c>
      <c r="BO62" s="126" t="str" cm="1">
        <f t="array" ref="BO62">"4"&amp;BC62</f>
        <v>4E</v>
      </c>
      <c r="BP62" s="126"/>
      <c r="BQ62" s="126"/>
      <c r="BR62" s="139" cm="1">
        <f t="array" ref="BR62">BE62</f>
        <v>3</v>
      </c>
      <c r="BS62" s="139" cm="1">
        <f t="array" ref="BS62">COUNTIFS(BR$58:BR$69,"&gt;"&amp;BR62)+1</f>
        <v>6</v>
      </c>
      <c r="BT62" s="126" t="str" cm="1">
        <f t="array" ref="BT62">IF(COUNTIF(BS$58:BS$69,BS62)=1,"-","Pos. "&amp;BS62&amp;" ("&amp;COUNTIF(BS$58:BS$69,BS62)&amp;")")</f>
        <v>Pos. 6 (4)</v>
      </c>
      <c r="BU62" s="139" cm="1">
        <f t="array" ref="BU62">IF(BT62="-","-",BL62)</f>
        <v>0</v>
      </c>
      <c r="BV62" s="139" cm="1">
        <f t="array" ref="BV62">BS62+COUNTIFS(BT$58:BT$69,BT62,BU$58:BU$69,"&gt;"&amp;BU62)</f>
        <v>6</v>
      </c>
      <c r="BW62" s="126" t="str" cm="1">
        <f t="array" ref="BW62">IF(COUNTIF(BV$58:BV$69,BV62)=1,"-","Pos. "&amp;BV62&amp;" ("&amp;COUNTIF(BV$58:BV$69,BV62)&amp;")")</f>
        <v>-</v>
      </c>
      <c r="BX62" s="126" t="str" cm="1">
        <f t="array" ref="BX62">IF(BW62="-","-",BJ62)</f>
        <v>-</v>
      </c>
      <c r="BY62" s="139" cm="1">
        <f t="array" ref="BY62">BV62+COUNTIFS(BW$58:BW$69,BW62,BX$58:BX$69,"&gt;"&amp;BX62)</f>
        <v>6</v>
      </c>
      <c r="BZ62" s="126" t="str" cm="1">
        <f t="array" ref="BZ62">IF(COUNTIF(BY$58:BY$69,BY62)=1,"-","Pos. "&amp;BY62&amp;" ("&amp;COUNTIF(BY$58:BY$69,BY62)&amp;")")</f>
        <v>-</v>
      </c>
      <c r="CA62" s="126" t="str" cm="1">
        <f t="array" ref="CA62">IF(BZ62="-","-",COUNTIF($BD$58:$BD$69,"&gt;"&amp;BD62))</f>
        <v>-</v>
      </c>
      <c r="CB62" s="139" cm="1">
        <f t="array" ref="CB62">BY62+COUNTIFS(BZ$58:BZ$69,BZ62,CA$58:CA$69,"&gt;"&amp;CA62)</f>
        <v>6</v>
      </c>
      <c r="CC62" s="126"/>
      <c r="CD62" s="139" cm="1">
        <f t="array" ref="CD62">IF(OR(INDEX($AW$102:$AW$113,MATCH($BD62,$AV$102:$AV$113,0))="",BZ62="-"),CB62,INDEX($AW$102:$AW$113,MATCH($BD62,$AV$102:$AV$113,0))+CB62/1000)</f>
        <v>6</v>
      </c>
      <c r="CE62" s="126" t="str" cm="1">
        <f t="array" ref="CE62">IF(BZ62="-","-",COUNTIF(CD$58:CD$69,"&lt;"&amp;CD62))</f>
        <v>-</v>
      </c>
      <c r="CF62" s="139" cm="1">
        <f t="array" ref="CF62">BY62+COUNTIFS(BZ$58:BZ$69,BZ62,CE$58:CE$69,"&lt;"&amp;CE62)</f>
        <v>6</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Suecia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1"/>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1</v>
      </c>
      <c r="BK63" s="139" cm="1">
        <f t="array" ref="BK63">CHOOSE($BB$57,INDEX($BK$6:$BK$53,MATCH($BB63,$BN$6:$BN$53,0)),INDEX($BK$6:$BK$53,MATCH($BB63,$BN$6:$BN$53,0))-(SUMIFS($AD$4:$AD$97,$AA$4:$AA$97,$BD63,$AF$4:$AF$97,INDEX($BD$6:$BD$53,MATCH(BO63,$BN$6:$BN$53,0)))+SUMIFS($AC$4:$AC$97,$AF$4:$AF$97,$BD63,$AA$4:$AA$97,INDEX($BD$6:$BD$53,MATCH(BO63,$BN$6:$BN$53,0)))),IFERROR(INDEX($BK$6:$BK$53,MATCH($BB63,$BN$6:$BN$53,0))/BF63,0))</f>
        <v>2</v>
      </c>
      <c r="BL63" s="139" cm="1">
        <f t="array" ref="BL63">BJ63-BK63</f>
        <v>-1</v>
      </c>
      <c r="BM63" s="139" cm="1">
        <f t="array" ref="BM63">CB63</f>
        <v>5</v>
      </c>
      <c r="BN63" s="139" cm="1">
        <f t="array" ref="BN63">CF63</f>
        <v>5</v>
      </c>
      <c r="BO63" s="126" t="str" cm="1">
        <f t="array" ref="BO63">"4"&amp;BC63</f>
        <v>4F</v>
      </c>
      <c r="BP63" s="126"/>
      <c r="BQ63" s="126"/>
      <c r="BR63" s="139" cm="1">
        <f t="array" ref="BR63">BE63</f>
        <v>4</v>
      </c>
      <c r="BS63" s="139" cm="1">
        <f t="array" ref="BS63">COUNTIFS(BR$58:BR$69,"&gt;"&amp;BR63)+1</f>
        <v>2</v>
      </c>
      <c r="BT63" s="126" t="str" cm="1">
        <f t="array" ref="BT63">IF(COUNTIF(BS$58:BS$69,BS63)=1,"-","Pos. "&amp;BS63&amp;" ("&amp;COUNTIF(BS$58:BS$69,BS63)&amp;")")</f>
        <v>Pos. 2 (4)</v>
      </c>
      <c r="BU63" s="139" cm="1">
        <f t="array" ref="BU63">IF(BT63="-","-",BL63)</f>
        <v>-1</v>
      </c>
      <c r="BV63" s="139" cm="1">
        <f t="array" ref="BV63">BS63+COUNTIFS(BT$58:BT$69,BT63,BU$58:BU$69,"&gt;"&amp;BU63)</f>
        <v>4</v>
      </c>
      <c r="BW63" s="126" t="str" cm="1">
        <f t="array" ref="BW63">IF(COUNTIF(BV$58:BV$69,BV63)=1,"-","Pos. "&amp;BV63&amp;" ("&amp;COUNTIF(BV$58:BV$69,BV63)&amp;")")</f>
        <v>Pos. 4 (2)</v>
      </c>
      <c r="BX63" s="139" cm="1">
        <f t="array" ref="BX63">IF(BW63="-","-",BJ63)</f>
        <v>1</v>
      </c>
      <c r="BY63" s="139" cm="1">
        <f t="array" ref="BY63">BV63+COUNTIFS(BW$58:BW$69,BW63,BX$58:BX$69,"&gt;"&amp;BX63)</f>
        <v>5</v>
      </c>
      <c r="BZ63" s="126" t="str" cm="1">
        <f t="array" ref="BZ63">IF(COUNTIF(BY$58:BY$69,BY63)=1,"-","Pos. "&amp;BY63&amp;" ("&amp;COUNTIF(BY$58:BY$69,BY63)&amp;")")</f>
        <v>-</v>
      </c>
      <c r="CA63" s="126" t="str" cm="1">
        <f t="array" ref="CA63">IF(BZ63="-","-",COUNTIF($BD$58:$BD$69,"&gt;"&amp;BD63))</f>
        <v>-</v>
      </c>
      <c r="CB63" s="139" cm="1">
        <f t="array" ref="CB63">BY63+COUNTIFS(BZ$58:BZ$69,BZ63,CA$58:CA$69,"&gt;"&amp;CA63)</f>
        <v>5</v>
      </c>
      <c r="CC63" s="126"/>
      <c r="CD63" s="139" cm="1">
        <f t="array" ref="CD63">IF(OR(INDEX($AW$102:$AW$113,MATCH($BD63,$AV$102:$AV$113,0))="",BZ63="-"),CB63,INDEX($AW$102:$AW$113,MATCH($BD63,$AV$102:$AV$113,0))+CB63/1000)</f>
        <v>5</v>
      </c>
      <c r="CE63" s="126" t="str" cm="1">
        <f t="array" ref="CE63">IF(BZ63="-","-",COUNTIF(CD$58:CD$69,"&lt;"&amp;CD63))</f>
        <v>-</v>
      </c>
      <c r="CF63" s="139" cm="1">
        <f t="array" ref="CF63">BY63+COUNTIFS(BZ$58:BZ$69,BZ63,CE$58:CE$69,"&lt;"&amp;CE63)</f>
        <v>5</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Costa de Marfil</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1"/>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6</v>
      </c>
      <c r="AT64" s="145" cm="1">
        <f t="array" ref="AT64">INDEX($BE$6:$BN$53,MATCH($AL64,$BD$6:$BD$53,0),MATCH(AT$5,$BE$5:$BN$5,0))</f>
        <v>-3</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4</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1</v>
      </c>
      <c r="BJ64" s="139" cm="1">
        <f t="array" ref="BJ64">CHOOSE($BB$57,INDEX($BJ$6:$BJ$53,MATCH($BB64,$BN$6:$BN$53,0)),INDEX($BJ$6:$BJ$53,MATCH($BB64,$BN$6:$BN$53,0))-(SUMIFS($AC$4:$AC$97,$AA$4:$AA$97,$BD64,$AF$4:$AF$97,INDEX($BD$6:$BD$53,MATCH(BO64,$BN$6:$BN$53,0)))+SUMIFS($AD$4:$AD$97,$AF$4:$AF$97,$BD64,$AA$4:$AA$97,INDEX($BD$6:$BD$53,MATCH(BO64,$BN$6:$BN$53,0)))),IFERROR(INDEX($BJ$6:$BJ$53,MATCH($BB64,$BN$6:$BN$53,0))/BF64,0))</f>
        <v>4</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2</v>
      </c>
      <c r="BN64" s="139" cm="1">
        <f t="array" ref="BN64">CF64</f>
        <v>2</v>
      </c>
      <c r="BO64" s="126" t="str" cm="1">
        <f t="array" ref="BO64">"4"&amp;BC64</f>
        <v>4G</v>
      </c>
      <c r="BP64" s="126"/>
      <c r="BQ64" s="126"/>
      <c r="BR64" s="139" cm="1">
        <f t="array" ref="BR64">BE64</f>
        <v>4</v>
      </c>
      <c r="BS64" s="139" cm="1">
        <f t="array" ref="BS64">COUNTIFS(BR$58:BR$69,"&gt;"&amp;BR64)+1</f>
        <v>2</v>
      </c>
      <c r="BT64" s="126" t="str" cm="1">
        <f t="array" ref="BT64">IF(COUNTIF(BS$58:BS$69,BS64)=1,"-","Pos. "&amp;BS64&amp;" ("&amp;COUNTIF(BS$58:BS$69,BS64)&amp;")")</f>
        <v>Pos. 2 (4)</v>
      </c>
      <c r="BU64" s="139" cm="1">
        <f t="array" ref="BU64">IF(BT64="-","-",BL64)</f>
        <v>1</v>
      </c>
      <c r="BV64" s="139" cm="1">
        <f t="array" ref="BV64">BS64+COUNTIFS(BT$58:BT$69,BT64,BU$58:BU$69,"&gt;"&amp;BU64)</f>
        <v>2</v>
      </c>
      <c r="BW64" s="126" t="str" cm="1">
        <f t="array" ref="BW64">IF(COUNTIF(BV$58:BV$69,BV64)=1,"-","Pos. "&amp;BV64&amp;" ("&amp;COUNTIF(BV$58:BV$69,BV64)&amp;")")</f>
        <v>-</v>
      </c>
      <c r="BX64" s="126" t="str" cm="1">
        <f t="array" ref="BX64">IF(BW64="-","-",BJ64)</f>
        <v>-</v>
      </c>
      <c r="BY64" s="139" cm="1">
        <f t="array" ref="BY64">BV64+COUNTIFS(BW$58:BW$69,BW64,BX$58:BX$69,"&gt;"&amp;BX64)</f>
        <v>2</v>
      </c>
      <c r="BZ64" s="126" t="str" cm="1">
        <f t="array" ref="BZ64">IF(COUNTIF(BY$58:BY$69,BY64)=1,"-","Pos. "&amp;BY64&amp;" ("&amp;COUNTIF(BY$58:BY$69,BY64)&amp;")")</f>
        <v>-</v>
      </c>
      <c r="CA64" s="126" t="str" cm="1">
        <f t="array" ref="CA64">IF(BZ64="-","-",COUNTIF($BD$58:$BD$69,"&gt;"&amp;BD64))</f>
        <v>-</v>
      </c>
      <c r="CB64" s="139" cm="1">
        <f t="array" ref="CB64">BY64+COUNTIFS(BZ$58:BZ$69,BZ64,CA$58:CA$69,"&gt;"&amp;CA64)</f>
        <v>2</v>
      </c>
      <c r="CC64" s="126"/>
      <c r="CD64" s="139" cm="1">
        <f t="array" ref="CD64">IF(OR(INDEX($AW$102:$AW$113,MATCH($BD64,$AV$102:$AV$113,0))="",BZ64="-"),CB64,INDEX($AW$102:$AW$113,MATCH($BD64,$AV$102:$AV$113,0))+CB64/1000)</f>
        <v>2</v>
      </c>
      <c r="CE64" s="126" t="str" cm="1">
        <f t="array" ref="CE64">IF(BZ64="-","-",COUNTIF(CD$58:CD$69,"&lt;"&amp;CD64))</f>
        <v>-</v>
      </c>
      <c r="CF64" s="139" cm="1">
        <f t="array" ref="CF64">BY64+COUNTIFS(BZ$58:BZ$69,BZ64,CE$58:CE$69,"&lt;"&amp;CE64)</f>
        <v>2</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Catar</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2"/>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7</v>
      </c>
      <c r="AS65" s="160" cm="1">
        <f t="array" ref="AS65">INDEX($BE$6:$BN$53,MATCH($AL65,$BD$6:$BD$53,0),MATCH(AS$5,$BE$5:$BN$5,0))</f>
        <v>3</v>
      </c>
      <c r="AT65" s="161" cm="1">
        <f t="array" ref="AT65">INDEX($BE$6:$BN$53,MATCH($AL65,$BD$6:$BD$53,0),MATCH(AT$5,$BE$5:$BN$5,0))</f>
        <v>4</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6</v>
      </c>
      <c r="BL65" s="139" cm="1">
        <f t="array" ref="BL65">BJ65-BK65</f>
        <v>-3</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6</v>
      </c>
      <c r="BT65" s="126" t="str" cm="1">
        <f t="array" ref="BT65">IF(COUNTIF(BS$58:BS$69,BS65)=1,"-","Pos. "&amp;BS65&amp;" ("&amp;COUNTIF(BS$58:BS$69,BS65)&amp;")")</f>
        <v>Pos. 6 (4)</v>
      </c>
      <c r="BU65" s="139" cm="1">
        <f t="array" ref="BU65">IF(BT65="-","-",BL65)</f>
        <v>-3</v>
      </c>
      <c r="BV65" s="139" cm="1">
        <f t="array" ref="BV65">BS65+COUNTIFS(BT$58:BT$69,BT65,BU$58:BU$69,"&gt;"&amp;BU65)</f>
        <v>8</v>
      </c>
      <c r="BW65" s="126" t="str" cm="1">
        <f t="array" ref="BW65">IF(COUNTIF(BV$58:BV$69,BV65)=1,"-","Pos. "&amp;BV65&amp;" ("&amp;COUNTIF(BV$58:BV$69,BV65)&amp;")")</f>
        <v>Pos. 8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11</v>
      </c>
      <c r="BN66" s="139" cm="1">
        <f t="array" ref="BN66">CF66</f>
        <v>11</v>
      </c>
      <c r="BO66" s="126" t="str" cm="1">
        <f t="array" ref="BO66">"4"&amp;BC66</f>
        <v>4I</v>
      </c>
      <c r="BP66" s="126"/>
      <c r="BQ66" s="126"/>
      <c r="BR66" s="139" cm="1">
        <f t="array" ref="BR66">BE66</f>
        <v>0</v>
      </c>
      <c r="BS66" s="139" cm="1">
        <f t="array" ref="BS66">COUNTIFS(BR$58:BR$69,"&gt;"&amp;BR66)+1</f>
        <v>10</v>
      </c>
      <c r="BT66" s="126" t="str" cm="1">
        <f t="array" ref="BT66">IF(COUNTIF(BS$58:BS$69,BS66)=1,"-","Pos. "&amp;BS66&amp;" ("&amp;COUNTIF(BS$58:BS$69,BS66)&amp;")")</f>
        <v>Pos. 10 (3)</v>
      </c>
      <c r="BU66" s="139" cm="1">
        <f t="array" ref="BU66">IF(BT66="-","-",BL66)</f>
        <v>-7</v>
      </c>
      <c r="BV66" s="139" cm="1">
        <f t="array" ref="BV66">BS66+COUNTIFS(BT$58:BT$69,BT66,BU$58:BU$69,"&gt;"&amp;BU66)</f>
        <v>11</v>
      </c>
      <c r="BW66" s="126" t="str" cm="1">
        <f t="array" ref="BW66">IF(COUNTIF(BV$58:BV$69,BV66)=1,"-","Pos. "&amp;BV66&amp;" ("&amp;COUNTIF(BV$58:BV$69,BV66)&amp;")")</f>
        <v>-</v>
      </c>
      <c r="BX66" s="126" t="str" cm="1">
        <f t="array" ref="BX66">IF(BW66="-","-",BJ66)</f>
        <v>-</v>
      </c>
      <c r="BY66" s="139" cm="1">
        <f t="array" ref="BY66">BV66+COUNTIFS(BW$58:BW$69,BW66,BX$58:BX$69,"&gt;"&amp;BX66)</f>
        <v>11</v>
      </c>
      <c r="BZ66" s="126" t="str" cm="1">
        <f t="array" ref="BZ66">IF(COUNTIF(BY$58:BY$69,BY66)=1,"-","Pos. "&amp;BY66&amp;" ("&amp;COUNTIF(BY$58:BY$69,BY66)&amp;")")</f>
        <v>-</v>
      </c>
      <c r="CA66" s="126" t="str" cm="1">
        <f t="array" ref="CA66">IF(BZ66="-","-",COUNTIF($BD$58:$BD$69,"&gt;"&amp;BD66))</f>
        <v>-</v>
      </c>
      <c r="CB66" s="139" cm="1">
        <f t="array" ref="CB66">BY66+COUNTIFS(BZ$58:BZ$69,BZ66,CA$58:CA$69,"&gt;"&amp;CA66)</f>
        <v>11</v>
      </c>
      <c r="CC66" s="126"/>
      <c r="CD66" s="139" cm="1">
        <f t="array" ref="CD66">IF(OR(INDEX($AW$102:$AW$113,MATCH($BD66,$AV$102:$AV$113,0))="",BZ66="-"),CB66,INDEX($AW$102:$AW$113,MATCH($BD66,$AV$102:$AV$113,0))+CB66/1000)</f>
        <v>11</v>
      </c>
      <c r="CE66" s="126" t="str" cm="1">
        <f t="array" ref="CE66">IF(BZ66="-","-",COUNTIF(CD$58:CD$69,"&lt;"&amp;CD66))</f>
        <v>-</v>
      </c>
      <c r="CF66" s="139" cm="1">
        <f t="array" ref="CF66">BY66+COUNTIFS(BZ$58:BZ$69,BZ66,CE$58:CE$69,"&lt;"&amp;CE66)</f>
        <v>11</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2</v>
      </c>
      <c r="BL67" s="139" cm="1">
        <f t="array" ref="BL67">BJ67-BK67</f>
        <v>2</v>
      </c>
      <c r="BM67" s="139" cm="1">
        <f t="array" ref="BM67">CB67</f>
        <v>1</v>
      </c>
      <c r="BN67" s="139" cm="1">
        <f t="array" ref="BN67">CF67</f>
        <v>1</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v>
      </c>
      <c r="BU67" s="126" t="str" cm="1">
        <f t="array" ref="BU67">IF(BT67="-","-",BL67)</f>
        <v>-</v>
      </c>
      <c r="BV67" s="139" cm="1">
        <f t="array" ref="BV67">BS67+COUNTIFS(BT$58:BT$69,BT67,BU$58:BU$69,"&gt;"&amp;BU67)</f>
        <v>1</v>
      </c>
      <c r="BW67" s="126" t="str" cm="1">
        <f t="array" ref="BW67">IF(COUNTIF(BV$58:BV$69,BV67)=1,"-","Pos. "&amp;BV67&amp;" ("&amp;COUNTIF(BV$58:BV$69,BV67)&amp;")")</f>
        <v>-</v>
      </c>
      <c r="BX67" s="126" t="str" cm="1">
        <f t="array" ref="BX67">IF(BW67="-","-",BJ67)</f>
        <v>-</v>
      </c>
      <c r="BY67" s="139" cm="1">
        <f t="array" ref="BY67">BV67+COUNTIFS(BW$58:BW$69,BW67,BX$58:BX$69,"&gt;"&amp;BX67)</f>
        <v>1</v>
      </c>
      <c r="BZ67" s="126" t="str" cm="1">
        <f t="array" ref="BZ67">IF(COUNTIF(BY$58:BY$69,BY67)=1,"-","Pos. "&amp;BY67&amp;" ("&amp;COUNTIF(BY$58:BY$69,BY67)&amp;")")</f>
        <v>-</v>
      </c>
      <c r="CA67" s="126" t="str" cm="1">
        <f t="array" ref="CA67">IF(BZ67="-","-",COUNTIF($BD$58:$BD$69,"&gt;"&amp;BD67))</f>
        <v>-</v>
      </c>
      <c r="CB67" s="139" cm="1">
        <f t="array" ref="CB67">BY67+COUNTIFS(BZ$58:BZ$69,BZ67,CA$58:CA$69,"&gt;"&amp;CA67)</f>
        <v>1</v>
      </c>
      <c r="CC67" s="126"/>
      <c r="CD67" s="139" cm="1">
        <f t="array" ref="CD67">IF(OR(INDEX($AW$102:$AW$113,MATCH($BD67,$AV$102:$AV$113,0))="",BZ67="-"),CB67,INDEX($AW$102:$AW$113,MATCH($BD67,$AV$102:$AV$113,0))+CB67/1000)</f>
        <v>1</v>
      </c>
      <c r="CE67" s="126" t="str" cm="1">
        <f t="array" ref="CE67">IF(BZ67="-","-",COUNTIF(CD$58:CD$69,"&lt;"&amp;CD67))</f>
        <v>-</v>
      </c>
      <c r="CF67" s="139" cm="1">
        <f t="array" ref="CF67">BY67+COUNTIFS(BZ$58:BZ$69,BZ67,CE$58:CE$69,"&lt;"&amp;CE67)</f>
        <v>1</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Australia</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80" t="s">
        <v>182</v>
      </c>
      <c r="X68" s="96">
        <v>46189.625</v>
      </c>
      <c r="Y68" s="97">
        <v>46189.625</v>
      </c>
      <c r="Z68" s="113" t="str" cm="1">
        <f t="array" ref="Z68">$Z$4</f>
        <v>J1</v>
      </c>
      <c r="AA68" s="99" t="str" cm="1">
        <f t="array" ref="AA68">A69</f>
        <v>Francia</v>
      </c>
      <c r="AB68" s="100"/>
      <c r="AC68" s="101">
        <v>2</v>
      </c>
      <c r="AD68" s="101">
        <v>0</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3</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1</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2</v>
      </c>
      <c r="BK68" s="139" cm="1">
        <f t="array" ref="BK68">CHOOSE($BB$57,INDEX($BK$6:$BK$53,MATCH($BB68,$BN$6:$BN$53,0)),INDEX($BK$6:$BK$53,MATCH($BB68,$BN$6:$BN$53,0))-(SUMIFS($AD$4:$AD$97,$AA$4:$AA$97,$BD68,$AF$4:$AF$97,INDEX($BD$6:$BD$53,MATCH(BO68,$BN$6:$BN$53,0)))+SUMIFS($AC$4:$AC$97,$AF$4:$AF$97,$BD68,$AA$4:$AA$97,INDEX($BD$6:$BD$53,MATCH(BO68,$BN$6:$BN$53,0)))),IFERROR(INDEX($BK$6:$BK$53,MATCH($BB68,$BN$6:$BN$53,0))/BF68,0))</f>
        <v>5</v>
      </c>
      <c r="BL68" s="139" cm="1">
        <f t="array" ref="BL68">BJ68-BK68</f>
        <v>-3</v>
      </c>
      <c r="BM68" s="139" cm="1">
        <f t="array" ref="BM68">CB68</f>
        <v>9</v>
      </c>
      <c r="BN68" s="139" cm="1">
        <f t="array" ref="BN68">CF68</f>
        <v>9</v>
      </c>
      <c r="BO68" s="126" t="str" cm="1">
        <f t="array" ref="BO68">"4"&amp;BC68</f>
        <v>4K</v>
      </c>
      <c r="BP68" s="126"/>
      <c r="BQ68" s="126"/>
      <c r="BR68" s="139" cm="1">
        <f t="array" ref="BR68">BE68</f>
        <v>3</v>
      </c>
      <c r="BS68" s="139" cm="1">
        <f t="array" ref="BS68">COUNTIFS(BR$58:BR$69,"&gt;"&amp;BR68)+1</f>
        <v>6</v>
      </c>
      <c r="BT68" s="126" t="str" cm="1">
        <f t="array" ref="BT68">IF(COUNTIF(BS$58:BS$69,BS68)=1,"-","Pos. "&amp;BS68&amp;" ("&amp;COUNTIF(BS$58:BS$69,BS68)&amp;")")</f>
        <v>Pos. 6 (4)</v>
      </c>
      <c r="BU68" s="139" cm="1">
        <f t="array" ref="BU68">IF(BT68="-","-",BL68)</f>
        <v>-3</v>
      </c>
      <c r="BV68" s="139" cm="1">
        <f t="array" ref="BV68">BS68+COUNTIFS(BT$58:BT$69,BT68,BU$58:BU$69,"&gt;"&amp;BU68)</f>
        <v>8</v>
      </c>
      <c r="BW68" s="126" t="str" cm="1">
        <f t="array" ref="BW68">IF(COUNTIF(BV$58:BV$69,BV68)=1,"-","Pos. "&amp;BV68&amp;" ("&amp;COUNTIF(BV$58:BV$69,BV68)&amp;")")</f>
        <v>Pos. 8 (2)</v>
      </c>
      <c r="BX68" s="139" cm="1">
        <f t="array" ref="BX68">IF(BW68="-","-",BJ68)</f>
        <v>2</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Irak</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60"/>
      <c r="X69" s="96">
        <v>46189.75</v>
      </c>
      <c r="Y69" s="97">
        <v>46189.75</v>
      </c>
      <c r="Z69" s="113" t="str" cm="1">
        <f t="array" ref="Z69">$Z$4</f>
        <v>J1</v>
      </c>
      <c r="AA69" s="99" t="str" cm="1">
        <f t="array" ref="AA69">A71</f>
        <v>Irak</v>
      </c>
      <c r="AB69" s="100"/>
      <c r="AC69" s="114">
        <v>1</v>
      </c>
      <c r="AD69" s="114">
        <v>3</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4</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1</v>
      </c>
      <c r="BI69" s="139" cm="1">
        <f t="array" ref="BI69">CHOOSE(IF($BB$57=2,2,1),INDEX($BI$6:$BI$53,MATCH($BB69,$BN$6:$BN$53,0)),INDEX($BI$6:$BI$53,MATCH($BB69,$BN$6:$BN$53,0))-(COUNTIFS($AA$4:$AA$97,$BD69,$AF$4:$AF$97,INDEX($BD$6:$BD$53,MATCH(BO69,$BN$6:$BN$53,0)),$D$4:$D$97,"Visitante")+COUNTIFS($AF$4:$AF$97,$BD69,$AA$4:$AA$97,INDEX($BD$6:$BD$53,MATCH(BO69,$BN$6:$BN$53,0)),$D$4:$D$97,"Local")))</f>
        <v>1</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4</v>
      </c>
      <c r="BN69" s="139" cm="1">
        <f t="array" ref="BN69">CF69</f>
        <v>4</v>
      </c>
      <c r="BO69" s="126" t="str" cm="1">
        <f t="array" ref="BO69">"4"&amp;BC69</f>
        <v>4L</v>
      </c>
      <c r="BP69" s="126"/>
      <c r="BQ69" s="126"/>
      <c r="BR69" s="139" cm="1">
        <f t="array" ref="BR69">BE69</f>
        <v>4</v>
      </c>
      <c r="BS69" s="139" cm="1">
        <f t="array" ref="BS69">COUNTIFS(BR$58:BR$69,"&gt;"&amp;BR69)+1</f>
        <v>2</v>
      </c>
      <c r="BT69" s="126" t="str" cm="1">
        <f t="array" ref="BT69">IF(COUNTIF(BS$58:BS$69,BS69)=1,"-","Pos. "&amp;BS69&amp;" ("&amp;COUNTIF(BS$58:BS$69,BS69)&amp;")")</f>
        <v>Pos. 2 (4)</v>
      </c>
      <c r="BU69" s="139" cm="1">
        <f t="array" ref="BU69">IF(BT69="-","-",BL69)</f>
        <v>-1</v>
      </c>
      <c r="BV69" s="139" cm="1">
        <f t="array" ref="BV69">BS69+COUNTIFS(BT$58:BT$69,BT69,BU$58:BU$69,"&gt;"&amp;BU69)</f>
        <v>4</v>
      </c>
      <c r="BW69" s="126" t="str" cm="1">
        <f t="array" ref="BW69">IF(COUNTIF(BV$58:BV$69,BV69)=1,"-","Pos. "&amp;BV69&amp;" ("&amp;COUNTIF(BV$58:BV$69,BV69)&amp;")")</f>
        <v>Pos. 4 (2)</v>
      </c>
      <c r="BX69" s="139" cm="1">
        <f t="array" ref="BX69">IF(BW69="-","-",BJ69)</f>
        <v>3</v>
      </c>
      <c r="BY69" s="139" cm="1">
        <f t="array" ref="BY69">BV69+COUNTIFS(BW$58:BW$69,BW69,BX$58:BX$69,"&gt;"&amp;BX69)</f>
        <v>4</v>
      </c>
      <c r="BZ69" s="126" t="str" cm="1">
        <f t="array" ref="BZ69">IF(COUNTIF(BY$58:BY$69,BY69)=1,"-","Pos. "&amp;BY69&amp;" ("&amp;COUNTIF(BY$58:BY$69,BY69)&amp;")")</f>
        <v>-</v>
      </c>
      <c r="CA69" s="126" t="str" cm="1">
        <f t="array" ref="CA69">IF(BZ69="-","-",COUNTIF($BD$58:$BD$69,"&gt;"&amp;BD69))</f>
        <v>-</v>
      </c>
      <c r="CB69" s="139" cm="1">
        <f t="array" ref="CB69">BY69+COUNTIFS(BZ$58:BZ$69,BZ69,CA$58:CA$69,"&gt;"&amp;CA69)</f>
        <v>4</v>
      </c>
      <c r="CC69" s="126"/>
      <c r="CD69" s="139" cm="1">
        <f t="array" ref="CD69">IF(OR(INDEX($AW$102:$AW$113,MATCH($BD69,$AV$102:$AV$113,0))="",BZ69="-"),CB69,INDEX($AW$102:$AW$113,MATCH($BD69,$AV$102:$AV$113,0))+CB69/1000)</f>
        <v>4</v>
      </c>
      <c r="CE69" s="126" t="str" cm="1">
        <f t="array" ref="CE69">IF(BZ69="-","-",COUNTIF(CD$58:CD$69,"&lt;"&amp;CD69))</f>
        <v>-</v>
      </c>
      <c r="CF69" s="139" cm="1">
        <f t="array" ref="CF69">BY69+COUNTIFS(BZ$58:BZ$69,BZ69,CE$58:CE$69,"&lt;"&amp;CE69)</f>
        <v>4</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1"/>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6</v>
      </c>
      <c r="AS70" s="131" cm="1">
        <f t="array" ref="AS70">INDEX($BE$6:$BN$53,MATCH($AL70,$BD$6:$BD$53,0),MATCH(AS$5,$BE$5:$BN$5,0))</f>
        <v>0</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1"/>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3</v>
      </c>
      <c r="AS71" s="144" cm="1">
        <f t="array" ref="AS71">INDEX($BE$6:$BN$53,MATCH($AL71,$BD$6:$BD$53,0),MATCH(AS$5,$BE$5:$BN$5,0))</f>
        <v>4</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1"/>
      <c r="X72" s="96">
        <v>46199.625</v>
      </c>
      <c r="Y72" s="97">
        <v>46199.625</v>
      </c>
      <c r="Z72" s="113" t="str" cm="1">
        <f t="array" ref="Z72">$Z$8</f>
        <v>J3</v>
      </c>
      <c r="AA72" s="99" t="str" cm="1">
        <f t="array" ref="AA72">A72</f>
        <v>Noruega</v>
      </c>
      <c r="AB72" s="100"/>
      <c r="AC72" s="114">
        <v>0</v>
      </c>
      <c r="AD72" s="114">
        <v>1</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2"/>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9" t="s">
        <v>53</v>
      </c>
      <c r="X76" s="96">
        <v>46189.875</v>
      </c>
      <c r="Y76" s="97">
        <v>46189.875</v>
      </c>
      <c r="Z76" s="113" t="str" cm="1">
        <f t="array" ref="Z76">$Z$4</f>
        <v>J1</v>
      </c>
      <c r="AA76" s="99" t="str" cm="1">
        <f t="array" ref="AA76">A77</f>
        <v>Argentina</v>
      </c>
      <c r="AB76" s="100"/>
      <c r="AC76" s="101">
        <v>2</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60"/>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1"/>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7</v>
      </c>
      <c r="AS78" s="131" cm="1">
        <f t="array" ref="AS78">INDEX($BE$6:$BN$53,MATCH($AL78,$BD$6:$BD$53,0),MATCH(AS$5,$BE$5:$BN$5,0))</f>
        <v>1</v>
      </c>
      <c r="AT78" s="132" cm="1">
        <f t="array" ref="AT78">INDEX($BE$6:$BN$53,MATCH($AL78,$BD$6:$BD$53,0),MATCH(AT$5,$BE$5:$BN$5,0))</f>
        <v>6</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1"/>
      <c r="X79" s="96">
        <v>46195.958333333343</v>
      </c>
      <c r="Y79" s="97">
        <v>46195.958333333343</v>
      </c>
      <c r="Z79" s="113" t="str" cm="1">
        <f t="array" ref="Z79">$Z$6</f>
        <v>J2</v>
      </c>
      <c r="AA79" s="99" t="str" cm="1">
        <f t="array" ref="AA79">A80</f>
        <v>Jordania</v>
      </c>
      <c r="AB79" s="100"/>
      <c r="AC79" s="114">
        <v>0</v>
      </c>
      <c r="AD79" s="114">
        <v>0</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0</v>
      </c>
      <c r="AS79" s="144" cm="1">
        <f t="array" ref="AS79">INDEX($BE$6:$BN$53,MATCH($AL79,$BD$6:$BD$53,0),MATCH(AS$5,$BE$5:$BN$5,0))</f>
        <v>3</v>
      </c>
      <c r="AT79" s="145" cm="1">
        <f t="array" ref="AT79">INDEX($BE$6:$BN$53,MATCH($AL79,$BD$6:$BD$53,0),MATCH(AT$5,$BE$5:$BN$5,0))</f>
        <v>-3</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1"/>
      <c r="X80" s="96">
        <v>46200.916666666657</v>
      </c>
      <c r="Y80" s="97">
        <v>46200.916666666657</v>
      </c>
      <c r="Z80" s="113" t="str" cm="1">
        <f t="array" ref="Z80">$Z$8</f>
        <v>J3</v>
      </c>
      <c r="AA80" s="99" t="str" cm="1">
        <f t="array" ref="AA80">A78</f>
        <v>Argelia</v>
      </c>
      <c r="AB80" s="100"/>
      <c r="AC80" s="114">
        <v>0</v>
      </c>
      <c r="AD80" s="114">
        <v>1</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2</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2"/>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0</v>
      </c>
      <c r="AS81" s="160" cm="1">
        <f t="array" ref="AS81">INDEX($BE$6:$BN$53,MATCH($AL81,$BD$6:$BD$53,0),MATCH(AS$5,$BE$5:$BN$5,0))</f>
        <v>5</v>
      </c>
      <c r="AT81" s="161" cm="1">
        <f t="array" ref="AT81">INDEX($BE$6:$BN$53,MATCH($AL81,$BD$6:$BD$53,0),MATCH(AT$5,$BE$5:$BN$5,0))</f>
        <v>-5</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5"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60"/>
      <c r="X85" s="96">
        <v>46190.916666666657</v>
      </c>
      <c r="Y85" s="97">
        <v>46190.916666666657</v>
      </c>
      <c r="Z85" s="113" t="str" cm="1">
        <f t="array" ref="Z85">$Z$4</f>
        <v>J1</v>
      </c>
      <c r="AA85" s="99" t="str" cm="1">
        <f t="array" ref="AA85">A87</f>
        <v>Uzbekistán</v>
      </c>
      <c r="AB85" s="100"/>
      <c r="AC85" s="114">
        <v>1</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1"/>
      <c r="X86" s="96">
        <v>46196.541666666657</v>
      </c>
      <c r="Y86" s="97">
        <v>46196.541666666657</v>
      </c>
      <c r="Z86" s="113" t="str" cm="1">
        <f t="array" ref="Z86">$Z$6</f>
        <v>J2</v>
      </c>
      <c r="AA86" s="99" t="str" cm="1">
        <f t="array" ref="AA86">A85</f>
        <v>Portugal</v>
      </c>
      <c r="AB86" s="100"/>
      <c r="AC86" s="114">
        <v>3</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7</v>
      </c>
      <c r="AS86" s="131" cm="1">
        <f t="array" ref="AS86">INDEX($BE$6:$BN$53,MATCH($AL86,$BD$6:$BD$53,0),MATCH(AS$5,$BE$5:$BN$5,0))</f>
        <v>1</v>
      </c>
      <c r="AT86" s="132" cm="1">
        <f t="array" ref="AT86">INDEX($BE$6:$BN$53,MATCH($AL86,$BD$6:$BD$53,0),MATCH(AT$5,$BE$5:$BN$5,0))</f>
        <v>6</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1"/>
      <c r="X87" s="96">
        <v>46196.916666666657</v>
      </c>
      <c r="Y87" s="97">
        <v>46196.916666666657</v>
      </c>
      <c r="Z87" s="113" t="str" cm="1">
        <f t="array" ref="Z87">$Z$6</f>
        <v>J2</v>
      </c>
      <c r="AA87" s="99" t="str" cm="1">
        <f t="array" ref="AA87">A88</f>
        <v>Colombia</v>
      </c>
      <c r="AB87" s="100"/>
      <c r="AC87" s="114">
        <v>1</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0</v>
      </c>
      <c r="AN87" s="144" cm="1">
        <f t="array" ref="AN87">INDEX($BE$6:$BN$53,MATCH($AL87,$BD$6:$BD$53,0),MATCH(AN$5,$BE$5:$BN$5,0))</f>
        <v>3</v>
      </c>
      <c r="AO87" s="144" cm="1">
        <f t="array" ref="AO87">INDEX($BE$6:$BN$53,MATCH($AL87,$BD$6:$BD$53,0),MATCH(AO$5,$BE$5:$BN$5,0))</f>
        <v>0</v>
      </c>
      <c r="AP87" s="144" cm="1">
        <f t="array" ref="AP87">INDEX($BE$6:$BN$53,MATCH($AL87,$BD$6:$BD$53,0),MATCH(AP$5,$BE$5:$BN$5,0))</f>
        <v>0</v>
      </c>
      <c r="AQ87" s="144" cm="1">
        <f t="array" ref="AQ87">INDEX($BE$6:$BN$53,MATCH($AL87,$BD$6:$BD$53,0),MATCH(AQ$5,$BE$5:$BN$5,0))</f>
        <v>3</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1"/>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3</v>
      </c>
      <c r="AN88" s="144" cm="1">
        <f t="array" ref="AN88">INDEX($BE$6:$BN$53,MATCH($AL88,$BD$6:$BD$53,0),MATCH(AN$5,$BE$5:$BN$5,0))</f>
        <v>3</v>
      </c>
      <c r="AO88" s="144" cm="1">
        <f t="array" ref="AO88">INDEX($BE$6:$BN$53,MATCH($AL88,$BD$6:$BD$53,0),MATCH(AO$5,$BE$5:$BN$5,0))</f>
        <v>1</v>
      </c>
      <c r="AP88" s="144" cm="1">
        <f t="array" ref="AP88">INDEX($BE$6:$BN$53,MATCH($AL88,$BD$6:$BD$53,0),MATCH(AP$5,$BE$5:$BN$5,0))</f>
        <v>0</v>
      </c>
      <c r="AQ88" s="144" cm="1">
        <f t="array" ref="AQ88">INDEX($BE$6:$BN$53,MATCH($AL88,$BD$6:$BD$53,0),MATCH(AQ$5,$BE$5:$BN$5,0))</f>
        <v>2</v>
      </c>
      <c r="AR88" s="144" cm="1">
        <f t="array" ref="AR88">INDEX($BE$6:$BN$53,MATCH($AL88,$BD$6:$BD$53,0),MATCH(AR$5,$BE$5:$BN$5,0))</f>
        <v>2</v>
      </c>
      <c r="AS88" s="144" cm="1">
        <f t="array" ref="AS88">INDEX($BE$6:$BN$53,MATCH($AL88,$BD$6:$BD$53,0),MATCH(AS$5,$BE$5:$BN$5,0))</f>
        <v>5</v>
      </c>
      <c r="AT88" s="145" cm="1">
        <f t="array" ref="AT88">INDEX($BE$6:$BN$53,MATCH($AL88,$BD$6:$BD$53,0),MATCH(AT$5,$BE$5:$BN$5,0))</f>
        <v>-3</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Visitante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2"/>
      <c r="X89" s="148">
        <v>46200.8125</v>
      </c>
      <c r="Y89" s="149">
        <v>46200.8125</v>
      </c>
      <c r="Z89" s="150" t="str" cm="1">
        <f t="array" ref="Z89">$Z$8</f>
        <v>J3</v>
      </c>
      <c r="AA89" s="151" t="str" cm="1">
        <f t="array" ref="AA89">A86</f>
        <v>RD Congo</v>
      </c>
      <c r="AB89" s="152"/>
      <c r="AC89" s="153">
        <v>0</v>
      </c>
      <c r="AD89" s="153">
        <v>1</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3</v>
      </c>
      <c r="AT89" s="161" cm="1">
        <f t="array" ref="AT89">INDEX($BE$6:$BN$53,MATCH($AL89,$BD$6:$BD$53,0),MATCH(AT$5,$BE$5:$BN$5,0))</f>
        <v>1</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8" t="s">
        <v>208</v>
      </c>
      <c r="X92" s="96">
        <v>46190.666666666657</v>
      </c>
      <c r="Y92" s="97">
        <v>46190.666666666657</v>
      </c>
      <c r="Z92" s="113" t="str" cm="1">
        <f t="array" ref="Z92">$Z$4</f>
        <v>J1</v>
      </c>
      <c r="AA92" s="99" t="str" cm="1">
        <f t="array" ref="AA92">A93</f>
        <v>Inglaterra</v>
      </c>
      <c r="AB92" s="100"/>
      <c r="AC92" s="101">
        <v>2</v>
      </c>
      <c r="AD92" s="101">
        <v>1</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60"/>
      <c r="X93" s="96">
        <v>46190.791666666657</v>
      </c>
      <c r="Y93" s="97">
        <v>46190.791666666657</v>
      </c>
      <c r="Z93" s="113" t="str" cm="1">
        <f t="array" ref="Z93">$Z$4</f>
        <v>J1</v>
      </c>
      <c r="AA93" s="99" t="str" cm="1">
        <f t="array" ref="AA93">A95</f>
        <v>Ghana</v>
      </c>
      <c r="AB93" s="100"/>
      <c r="AC93" s="114">
        <v>2</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1"/>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7</v>
      </c>
      <c r="AS94" s="131" cm="1">
        <f t="array" ref="AS94">INDEX($BE$6:$BN$53,MATCH($AL94,$BD$6:$BD$53,0),MATCH(AS$5,$BE$5:$BN$5,0))</f>
        <v>1</v>
      </c>
      <c r="AT94" s="132" cm="1">
        <f t="array" ref="AT94">INDEX($BE$6:$BN$53,MATCH($AL94,$BD$6:$BD$53,0),MATCH(AT$5,$BE$5:$BN$5,0))</f>
        <v>6</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1"/>
      <c r="X95" s="96">
        <v>46196.791666666657</v>
      </c>
      <c r="Y95" s="97">
        <v>46196.791666666657</v>
      </c>
      <c r="Z95" s="113" t="str" cm="1">
        <f t="array" ref="Z95">$Z$6</f>
        <v>J2</v>
      </c>
      <c r="AA95" s="99" t="str" cm="1">
        <f t="array" ref="AA95">A96</f>
        <v>Panamá</v>
      </c>
      <c r="AB95" s="100"/>
      <c r="AC95" s="114">
        <v>0</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4</v>
      </c>
      <c r="AN95" s="144" cm="1">
        <f t="array" ref="AN95">INDEX($BE$6:$BN$53,MATCH($AL95,$BD$6:$BD$53,0),MATCH(AN$5,$BE$5:$BN$5,0))</f>
        <v>3</v>
      </c>
      <c r="AO95" s="144" cm="1">
        <f t="array" ref="AO95">INDEX($BE$6:$BN$53,MATCH($AL95,$BD$6:$BD$53,0),MATCH(AO$5,$BE$5:$BN$5,0))</f>
        <v>1</v>
      </c>
      <c r="AP95" s="144" cm="1">
        <f t="array" ref="AP95">INDEX($BE$6:$BN$53,MATCH($AL95,$BD$6:$BD$53,0),MATCH(AP$5,$BE$5:$BN$5,0))</f>
        <v>1</v>
      </c>
      <c r="AQ95" s="144" cm="1">
        <f t="array" ref="AQ95">INDEX($BE$6:$BN$53,MATCH($AL95,$BD$6:$BD$53,0),MATCH(AQ$5,$BE$5:$BN$5,0))</f>
        <v>1</v>
      </c>
      <c r="AR95" s="144" cm="1">
        <f t="array" ref="AR95">INDEX($BE$6:$BN$53,MATCH($AL95,$BD$6:$BD$53,0),MATCH(AR$5,$BE$5:$BN$5,0))</f>
        <v>4</v>
      </c>
      <c r="AS95" s="144" cm="1">
        <f t="array" ref="AS95">INDEX($BE$6:$BN$53,MATCH($AL95,$BD$6:$BD$53,0),MATCH(AS$5,$BE$5:$BN$5,0))</f>
        <v>3</v>
      </c>
      <c r="AT95" s="145" cm="1">
        <f t="array" ref="AT95">INDEX($BE$6:$BN$53,MATCH($AL95,$BD$6:$BD$53,0),MATCH(AT$5,$BE$5:$BN$5,0))</f>
        <v>1</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1"/>
      <c r="X96" s="96">
        <v>46200.708333333343</v>
      </c>
      <c r="Y96" s="97">
        <v>46200.708333333343</v>
      </c>
      <c r="Z96" s="113" t="str" cm="1">
        <f t="array" ref="Z96">$Z$8</f>
        <v>J3</v>
      </c>
      <c r="AA96" s="99" t="str" cm="1">
        <f t="array" ref="AA96">A96</f>
        <v>Panamá</v>
      </c>
      <c r="AB96" s="100"/>
      <c r="AC96" s="114">
        <v>0</v>
      </c>
      <c r="AD96" s="114">
        <v>3</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4</v>
      </c>
      <c r="AN96" s="144" cm="1">
        <f t="array" ref="AN96">INDEX($BE$6:$BN$53,MATCH($AL96,$BD$6:$BD$53,0),MATCH(AN$5,$BE$5:$BN$5,0))</f>
        <v>3</v>
      </c>
      <c r="AO96" s="144" cm="1">
        <f t="array" ref="AO96">INDEX($BE$6:$BN$53,MATCH($AL96,$BD$6:$BD$53,0),MATCH(AO$5,$BE$5:$BN$5,0))</f>
        <v>1</v>
      </c>
      <c r="AP96" s="144" cm="1">
        <f t="array" ref="AP96">INDEX($BE$6:$BN$53,MATCH($AL96,$BD$6:$BD$53,0),MATCH(AP$5,$BE$5:$BN$5,0))</f>
        <v>1</v>
      </c>
      <c r="AQ96" s="144" cm="1">
        <f t="array" ref="AQ96">INDEX($BE$6:$BN$53,MATCH($AL96,$BD$6:$BD$53,0),MATCH(AQ$5,$BE$5:$BN$5,0))</f>
        <v>1</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Empate</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2"/>
      <c r="X97" s="148">
        <v>46200.708333333343</v>
      </c>
      <c r="Y97" s="149">
        <v>46200.708333333343</v>
      </c>
      <c r="Z97" s="150" t="str" cm="1">
        <f t="array" ref="Z97">$Z$8</f>
        <v>J3</v>
      </c>
      <c r="AA97" s="151" t="str" cm="1">
        <f t="array" ref="AA97">A94</f>
        <v>Croacia</v>
      </c>
      <c r="AB97" s="152"/>
      <c r="AC97" s="153">
        <v>1</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7</v>
      </c>
      <c r="AT97" s="161" cm="1">
        <f t="array" ref="AT97">INDEX($BE$6:$BN$53,MATCH($AL97,$BD$6:$BD$53,0),MATCH(AT$5,$BE$5:$BN$5,0))</f>
        <v>-6</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1"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60"/>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Austria</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4</v>
      </c>
      <c r="AS102" s="257" cm="1">
        <f t="array" ref="AS102">IF($H$113&gt;=48,INDEX($BE$58:$BN$69,MATCH($AL102,$BD$58:$BD$69,0),MATCH(AS$5,$BE$57:$BN$57,0)),$BB58)</f>
        <v>2</v>
      </c>
      <c r="AT102" s="258" cm="1">
        <f t="array" ref="AT102">IF($H$113&gt;=48,INDEX($BE$58:$BN$69,MATCH($AL102,$BD$58:$BD$69,0),MATCH(AT$5,$BE$57:$BN$57,0)),$BB58)</f>
        <v>2</v>
      </c>
      <c r="AU102" s="133" cm="1">
        <f t="array" ref="AU102">IF($H$113=144,INDEX($DL$58:$DL$69,MATCH(AI102,$DP$58:$DP$69,0)),"")</f>
        <v>1</v>
      </c>
      <c r="AV102" s="134" t="str" cm="1">
        <f t="array" ref="AV102">INDEX($BD$58:$BD$69,MATCH(AI102,$BM$58:$BM$69,0))</f>
        <v>Austria</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1"/>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Irán</v>
      </c>
      <c r="AM103" s="262" cm="1">
        <f t="array" ref="AM103">IF($H$113&gt;=48,INDEX($BE$58:$BN$69,MATCH($AL103,$BD$58:$BD$69,0),MATCH(AM$5,$BE$57:$BN$57,0)),$BB59)</f>
        <v>4</v>
      </c>
      <c r="AN103" s="144" cm="1">
        <f t="array" ref="AN103">IF($H$113&gt;=48,INDEX($BE$58:$BN$69,MATCH($AL103,$BD$58:$BD$69,0),MATCH(AN$5,$BE$57:$BN$57,0)),$BB59)</f>
        <v>3</v>
      </c>
      <c r="AO103" s="144" cm="1">
        <f t="array" ref="AO103">IF($H$113&gt;=48,INDEX($BE$58:$BN$69,MATCH($AL103,$BD$58:$BD$69,0),MATCH(AO$5,$BE$57:$BN$57,0)),$BB59)</f>
        <v>1</v>
      </c>
      <c r="AP103" s="144" cm="1">
        <f t="array" ref="AP103">IF($H$113&gt;=48,INDEX($BE$58:$BN$69,MATCH($AL103,$BD$58:$BD$69,0),MATCH(AP$5,$BE$57:$BN$57,0)),$BB59)</f>
        <v>1</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Irán</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J</v>
      </c>
      <c r="BG103" s="265" cm="1">
        <f t="array" ref="BG103">COUNTIF($BF$103:$BF$110,"&lt;="&amp;BF103)</f>
        <v>7</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1"/>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Corea del Sur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4</v>
      </c>
      <c r="AS104" s="144" cm="1">
        <f t="array" ref="AS104">IF($H$113&gt;=48,INDEX($BE$58:$BN$69,MATCH($AL104,$BD$58:$BD$69,0),MATCH(AS$5,$BE$57:$BN$57,0)),$BB60)</f>
        <v>4</v>
      </c>
      <c r="AT104" s="145" cm="1">
        <f t="array" ref="AT104">IF($H$113&gt;=48,INDEX($BE$58:$BN$69,MATCH($AL104,$BD$58:$BD$69,0),MATCH(AT$5,$BE$57:$BN$57,0)),$BB60)</f>
        <v>0</v>
      </c>
      <c r="AU104" s="133" cm="1">
        <f t="array" ref="AU104">IF($H$113=144,INDEX($DL$58:$DL$69,MATCH(AI104,$DP$58:$DP$69,0)),"")</f>
        <v>1</v>
      </c>
      <c r="AV104" s="134" t="str" cm="1">
        <f t="array" ref="AV104">INDEX($BD$58:$BD$69,MATCH(AI104,$BM$58:$BM$69,0))</f>
        <v>Corea del Sur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G</v>
      </c>
      <c r="BG104" s="265" cm="1">
        <f t="array" ref="BG104">COUNTIF($BF$103:$BF$110,"&lt;="&amp;BF104)</f>
        <v>5</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1"/>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Ghana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3</v>
      </c>
      <c r="AS105" s="144" cm="1">
        <f t="array" ref="AS105">IF($H$113&gt;=48,INDEX($BE$58:$BN$69,MATCH($AL105,$BD$58:$BD$69,0),MATCH(AS$5,$BE$57:$BN$57,0)),$BB61)</f>
        <v>4</v>
      </c>
      <c r="AT105" s="145" cm="1">
        <f t="array" ref="AT105">IF($H$113&gt;=48,INDEX($BE$58:$BN$69,MATCH($AL105,$BD$58:$BD$69,0),MATCH(AT$5,$BE$57:$BN$57,0)),$BB61)</f>
        <v>-1</v>
      </c>
      <c r="AU105" s="133" cm="1">
        <f t="array" ref="AU105">IF($H$113=144,INDEX($DL$58:$DL$69,MATCH(AI105,$DP$58:$DP$69,0)),"")</f>
        <v>1</v>
      </c>
      <c r="AV105" s="134" t="str" cm="1">
        <f t="array" ref="AV105">INDEX($BD$58:$BD$69,MATCH(AI105,$BM$58:$BM$69,0))</f>
        <v>Ghana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A</v>
      </c>
      <c r="BG105" s="265" cm="1">
        <f t="array" ref="BG105">COUNTIF($BF$103:$BF$110,"&lt;="&amp;BF105)</f>
        <v>1</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1"/>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Suecia</v>
      </c>
      <c r="AM106" s="262" cm="1">
        <f t="array" ref="AM106">IF($H$113&gt;=48,INDEX($BE$58:$BN$69,MATCH($AL106,$BD$58:$BD$69,0),MATCH(AM$5,$BE$57:$BN$57,0)),$BB62)</f>
        <v>4</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1</v>
      </c>
      <c r="AQ106" s="144" cm="1">
        <f t="array" ref="AQ106">IF($H$113&gt;=48,INDEX($BE$58:$BN$69,MATCH($AL106,$BD$58:$BD$69,0),MATCH(AQ$5,$BE$57:$BN$57,0)),$BB62)</f>
        <v>1</v>
      </c>
      <c r="AR106" s="144" cm="1">
        <f t="array" ref="AR106">IF($H$113&gt;=48,INDEX($BE$58:$BN$69,MATCH($AL106,$BD$58:$BD$69,0),MATCH(AR$5,$BE$57:$BN$57,0)),$BB62)</f>
        <v>1</v>
      </c>
      <c r="AS106" s="144" cm="1">
        <f t="array" ref="AS106">IF($H$113&gt;=48,INDEX($BE$58:$BN$69,MATCH($AL106,$BD$58:$BD$69,0),MATCH(AS$5,$BE$57:$BN$57,0)),$BB62)</f>
        <v>2</v>
      </c>
      <c r="AT106" s="145" cm="1">
        <f t="array" ref="AT106">IF($H$113&gt;=48,INDEX($BE$58:$BN$69,MATCH($AL106,$BD$58:$BD$69,0),MATCH(AT$5,$BE$57:$BN$57,0)),$BB62)</f>
        <v>-1</v>
      </c>
      <c r="AU106" s="133" cm="1">
        <f t="array" ref="AU106">IF($H$113=144,INDEX($DL$58:$DL$69,MATCH(AI106,$DP$58:$DP$69,0)),"")</f>
        <v>1</v>
      </c>
      <c r="AV106" s="134" t="str" cm="1">
        <f t="array" ref="AV106">INDEX($BD$58:$BD$69,MATCH(AI106,$BM$58:$BM$69,0))</f>
        <v>Suecia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L</v>
      </c>
      <c r="BG106" s="265" cm="1">
        <f t="array" ref="BG106">COUNTIF($BF$103:$BF$110,"&lt;="&amp;BF106)</f>
        <v>8</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1"/>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Costa de Marfil</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4</v>
      </c>
      <c r="AS107" s="144" cm="1">
        <f t="array" ref="AS107">IF($H$113&gt;=48,INDEX($BE$58:$BN$69,MATCH($AL107,$BD$58:$BD$69,0),MATCH(AS$5,$BE$57:$BN$57,0)),$BB63)</f>
        <v>4</v>
      </c>
      <c r="AT107" s="145" cm="1">
        <f t="array" ref="AT107">IF($H$113&gt;=48,INDEX($BE$58:$BN$69,MATCH($AL107,$BD$58:$BD$69,0),MATCH(AT$5,$BE$57:$BN$57,0)),$BB63)</f>
        <v>0</v>
      </c>
      <c r="AU107" s="133" cm="1">
        <f t="array" ref="AU107">IF($H$113=144,INDEX($DL$58:$DL$69,MATCH(AI107,$DP$58:$DP$69,0)),"")</f>
        <v>1</v>
      </c>
      <c r="AV107" s="134" t="str" cm="1">
        <f t="array" ref="AV107">INDEX($BD$58:$BD$69,MATCH(AI107,$BM$58:$BM$69,0))</f>
        <v>Costa de Marfil</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F</v>
      </c>
      <c r="BG107" s="265" cm="1">
        <f t="array" ref="BG107">COUNTIF($BF$103:$BF$110,"&lt;="&amp;BF107)</f>
        <v>4</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1"/>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Catar</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3</v>
      </c>
      <c r="AS108" s="144" cm="1">
        <f t="array" ref="AS108">IF($H$113&gt;=48,INDEX($BE$58:$BN$69,MATCH($AL108,$BD$58:$BD$69,0),MATCH(AS$5,$BE$57:$BN$57,0)),$BB64)</f>
        <v>4</v>
      </c>
      <c r="AT108" s="145" cm="1">
        <f t="array" ref="AT108">IF($H$113&gt;=48,INDEX($BE$58:$BN$69,MATCH($AL108,$BD$58:$BD$69,0),MATCH(AT$5,$BE$57:$BN$57,0)),$BB64)</f>
        <v>-1</v>
      </c>
      <c r="AU108" s="133" cm="1">
        <f t="array" ref="AU108">IF($H$113=144,INDEX($DL$58:$DL$69,MATCH(AI108,$DP$58:$DP$69,0)),"")</f>
        <v>1</v>
      </c>
      <c r="AV108" s="134" t="str" cm="1">
        <f t="array" ref="AV108">INDEX($BD$58:$BD$69,MATCH(AI108,$BM$58:$BM$69,0))</f>
        <v>Catar</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E</v>
      </c>
      <c r="BG108" s="265" cm="1">
        <f t="array" ref="BG108">COUNTIF($BF$103:$BF$110,"&lt;="&amp;BF108)</f>
        <v>3</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1"/>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6</v>
      </c>
      <c r="AT109" s="145" cm="1">
        <f t="array" ref="AT109">IF($H$113&gt;=48,INDEX($BE$58:$BN$69,MATCH($AL109,$BD$58:$BD$69,0),MATCH(AT$5,$BE$57:$BN$57,0)),$BB65)</f>
        <v>-3</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B</v>
      </c>
      <c r="BG109" s="265" cm="1">
        <f t="array" ref="BG109">COUNTIF($BF$103:$BF$110,"&lt;="&amp;BF109)</f>
        <v>2</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1"/>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3</v>
      </c>
      <c r="AN110" s="144" cm="1">
        <f t="array" ref="AN110">IF($H$113&gt;=48,INDEX($BE$58:$BN$69,MATCH($AL110,$BD$58:$BD$69,0),MATCH(AN$5,$BE$57:$BN$57,0)),$BB66)</f>
        <v>3</v>
      </c>
      <c r="AO110" s="144" cm="1">
        <f t="array" ref="AO110">IF($H$113&gt;=48,INDEX($BE$58:$BN$69,MATCH($AL110,$BD$58:$BD$69,0),MATCH(AO$5,$BE$57:$BN$57,0)),$BB66)</f>
        <v>1</v>
      </c>
      <c r="AP110" s="144" cm="1">
        <f t="array" ref="AP110">IF($H$113&gt;=48,INDEX($BE$58:$BN$69,MATCH($AL110,$BD$58:$BD$69,0),MATCH(AP$5,$BE$57:$BN$57,0)),$BB66)</f>
        <v>0</v>
      </c>
      <c r="AQ110" s="144" cm="1">
        <f t="array" ref="AQ110">IF($H$113&gt;=48,INDEX($BE$58:$BN$69,MATCH($AL110,$BD$58:$BD$69,0),MATCH(AQ$5,$BE$57:$BN$57,0)),$BB66)</f>
        <v>2</v>
      </c>
      <c r="AR110" s="144" cm="1">
        <f t="array" ref="AR110">IF($H$113&gt;=48,INDEX($BE$58:$BN$69,MATCH($AL110,$BD$58:$BD$69,0),MATCH(AR$5,$BE$57:$BN$57,0)),$BB66)</f>
        <v>2</v>
      </c>
      <c r="AS110" s="144" cm="1">
        <f t="array" ref="AS110">IF($H$113&gt;=48,INDEX($BE$58:$BN$69,MATCH($AL110,$BD$58:$BD$69,0),MATCH(AS$5,$BE$57:$BN$57,0)),$BB66)</f>
        <v>5</v>
      </c>
      <c r="AT110" s="145" cm="1">
        <f t="array" ref="AT110">IF($H$113&gt;=48,INDEX($BE$58:$BN$69,MATCH($AL110,$BD$58:$BD$69,0),MATCH(AT$5,$BE$57:$BN$57,0)),$BB66)</f>
        <v>-3</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1"/>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Australia</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1</v>
      </c>
      <c r="AS111" s="144" cm="1">
        <f t="array" ref="AS111">IF($H$113&gt;=48,INDEX($BE$58:$BN$69,MATCH($AL111,$BD$58:$BD$69,0),MATCH(AS$5,$BE$57:$BN$57,0)),$BB67)</f>
        <v>4</v>
      </c>
      <c r="AT111" s="145" cm="1">
        <f t="array" ref="AT111">IF($H$113&gt;=48,INDEX($BE$58:$BN$69,MATCH($AL111,$BD$58:$BD$69,0),MATCH(AT$5,$BE$57:$BN$57,0)),$BB67)</f>
        <v>-3</v>
      </c>
      <c r="AU111" s="133" cm="1">
        <f t="array" ref="AU111">IF($H$113=144,INDEX($DL$58:$DL$69,MATCH(AI111,$DP$58:$DP$69,0)),"")</f>
        <v>1</v>
      </c>
      <c r="AV111" s="134" t="str" cm="1">
        <f t="array" ref="AV111">INDEX($BD$58:$BD$69,MATCH(AI111,$BM$58:$BM$69,0))</f>
        <v>Australia</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1"/>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Irak</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1</v>
      </c>
      <c r="AS112" s="144" cm="1">
        <f t="array" ref="AS112">IF($H$113&gt;=48,INDEX($BE$58:$BN$69,MATCH($AL112,$BD$58:$BD$69,0),MATCH(AS$5,$BE$57:$BN$57,0)),$BB68)</f>
        <v>8</v>
      </c>
      <c r="AT112" s="145" cm="1">
        <f t="array" ref="AT112">IF($H$113&gt;=48,INDEX($BE$58:$BN$69,MATCH($AL112,$BD$58:$BD$69,0),MATCH(AT$5,$BE$57:$BN$57,0)),$BB68)</f>
        <v>-7</v>
      </c>
      <c r="AU112" s="133" cm="1">
        <f t="array" ref="AU112">IF($H$113=144,INDEX($DL$58:$DL$69,MATCH(AI112,$DP$58:$DP$69,0)),"")</f>
        <v>1</v>
      </c>
      <c r="AV112" s="134" t="str" cm="1">
        <f t="array" ref="AV112">INDEX($BD$58:$BD$69,MATCH(AI112,$BM$58:$BM$69,0))</f>
        <v>Irak</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1"/>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0</v>
      </c>
      <c r="AS113" s="160" cm="1">
        <f t="array" ref="AS113">IF($H$113&gt;=48,INDEX($BE$58:$BN$69,MATCH($AL113,$BD$58:$BD$69,0),MATCH(AS$5,$BE$57:$BN$57,0)),$BB69)</f>
        <v>8</v>
      </c>
      <c r="AT113" s="161" cm="1">
        <f t="array" ref="AT113">IF($H$113&gt;=48,INDEX($BE$58:$BN$69,MATCH($AL113,$BD$58:$BD$69,0),MATCH(AT$5,$BE$57:$BN$57,0)),$BB69)</f>
        <v>-8</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1"/>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1"/>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2"/>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96"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7"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3"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4"/>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5"/>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3" t="s">
        <v>327</v>
      </c>
      <c r="AI154" s="794"/>
      <c r="AJ154" s="794"/>
      <c r="AK154" s="794"/>
      <c r="AL154" s="794"/>
      <c r="AM154" s="794"/>
      <c r="AN154" s="794"/>
      <c r="AO154" s="794"/>
      <c r="AP154" s="794"/>
      <c r="AQ154" s="794"/>
      <c r="AR154" s="794"/>
      <c r="AS154" s="794"/>
      <c r="AT154" s="794"/>
      <c r="AU154" s="794"/>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9" t="s">
        <v>334</v>
      </c>
      <c r="F1" s="820"/>
      <c r="G1" s="820"/>
      <c r="H1" s="820"/>
      <c r="I1" s="820"/>
      <c r="J1" s="820"/>
      <c r="K1" s="820"/>
      <c r="L1" s="820"/>
      <c r="M1" s="820"/>
      <c r="N1" s="821"/>
    </row>
    <row r="2" spans="1:14" ht="20" customHeight="1" x14ac:dyDescent="0.25">
      <c r="A2" s="363"/>
      <c r="B2" s="364"/>
      <c r="C2" s="365"/>
      <c r="D2" s="366"/>
      <c r="E2" s="753"/>
      <c r="F2" s="753"/>
      <c r="G2" s="753"/>
      <c r="H2" s="753"/>
      <c r="I2" s="753"/>
      <c r="J2" s="753"/>
      <c r="K2" s="753"/>
      <c r="L2" s="753"/>
      <c r="M2" s="753"/>
      <c r="N2" s="822"/>
    </row>
    <row r="3" spans="1:14" ht="35" customHeight="1" x14ac:dyDescent="0.25">
      <c r="A3" s="368"/>
      <c r="B3" s="369" t="s">
        <v>11</v>
      </c>
      <c r="C3" s="370"/>
      <c r="D3" s="366"/>
      <c r="E3" s="823" t="s">
        <v>335</v>
      </c>
      <c r="F3" s="824"/>
      <c r="G3" s="812"/>
      <c r="H3" s="812"/>
      <c r="I3" s="812"/>
      <c r="J3" s="812"/>
      <c r="K3" s="812"/>
      <c r="L3" s="812"/>
      <c r="M3" s="812"/>
      <c r="N3" s="825"/>
    </row>
    <row r="4" spans="1:14" ht="45" customHeight="1" x14ac:dyDescent="0.25">
      <c r="A4" s="363"/>
      <c r="B4" s="374"/>
      <c r="C4" s="375" t="s">
        <v>336</v>
      </c>
      <c r="D4" s="366"/>
      <c r="E4" s="830" t="s">
        <v>337</v>
      </c>
      <c r="F4" s="807"/>
      <c r="G4" s="807"/>
      <c r="H4" s="807"/>
      <c r="I4" s="807"/>
      <c r="J4" s="807"/>
      <c r="K4" s="807"/>
      <c r="L4" s="807"/>
      <c r="M4" s="831"/>
      <c r="N4" s="377"/>
    </row>
    <row r="5" spans="1:14" ht="19" customHeight="1" x14ac:dyDescent="0.2">
      <c r="A5" s="378"/>
      <c r="B5" s="379" t="s">
        <v>338</v>
      </c>
      <c r="C5" s="380" t="str" cm="1">
        <f t="array" ref="C5">Home!C10</f>
        <v>Nombre</v>
      </c>
      <c r="D5" s="381"/>
      <c r="E5" s="806"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7" t="s">
        <v>47</v>
      </c>
      <c r="E6" s="813" t="s">
        <v>341</v>
      </c>
      <c r="F6" s="811"/>
      <c r="G6" s="811"/>
      <c r="H6" s="811"/>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X|1-1</v>
      </c>
      <c r="D7" s="828"/>
      <c r="E7" s="753"/>
      <c r="F7" s="753"/>
      <c r="G7" s="753"/>
      <c r="H7" s="753"/>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X|1-1</v>
      </c>
      <c r="D8" s="829"/>
      <c r="E8" s="753"/>
      <c r="F8" s="753"/>
      <c r="G8" s="753"/>
      <c r="H8" s="753"/>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1|2-0</v>
      </c>
      <c r="D9" s="753"/>
      <c r="E9" s="753"/>
      <c r="F9" s="753"/>
      <c r="G9" s="753"/>
      <c r="H9" s="753"/>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1|3-1</v>
      </c>
      <c r="D10" s="753"/>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2|0-3</v>
      </c>
      <c r="D11" s="753"/>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2|0-1</v>
      </c>
      <c r="D12" s="753"/>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2|1-2</v>
      </c>
      <c r="D13" s="753"/>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1|4-0</v>
      </c>
      <c r="D14" s="753"/>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2|1-2</v>
      </c>
      <c r="D15" s="753"/>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3"/>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1|1-0</v>
      </c>
      <c r="D17" s="753"/>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1|3-1</v>
      </c>
      <c r="D18" s="753"/>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1|2-0</v>
      </c>
      <c r="D19" s="753"/>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3"/>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2|1-3</v>
      </c>
      <c r="D21" s="753"/>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1|2-0</v>
      </c>
      <c r="D22" s="753"/>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2|1-3</v>
      </c>
      <c r="D23" s="753"/>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1|2-0</v>
      </c>
      <c r="D24" s="753"/>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3"/>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3"/>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2|1-2</v>
      </c>
      <c r="D27" s="753"/>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1|2-1</v>
      </c>
      <c r="D28" s="753"/>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1|2-1</v>
      </c>
      <c r="D29" s="812"/>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X|1-1</v>
      </c>
      <c r="D30" s="817" t="s">
        <v>112</v>
      </c>
      <c r="E30" s="813" t="s">
        <v>353</v>
      </c>
      <c r="F30" s="811"/>
      <c r="G30" s="811"/>
      <c r="H30" s="811"/>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811"/>
      <c r="E31" s="753"/>
      <c r="F31" s="753"/>
      <c r="G31" s="753"/>
      <c r="H31" s="753"/>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1|1-0</v>
      </c>
      <c r="D32" s="753"/>
      <c r="E32" s="753"/>
      <c r="F32" s="753"/>
      <c r="G32" s="753"/>
      <c r="H32" s="753"/>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1|2-0</v>
      </c>
      <c r="D33" s="753"/>
      <c r="E33" s="753"/>
      <c r="F33" s="753"/>
      <c r="G33" s="753"/>
      <c r="H33" s="753"/>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X|1-1</v>
      </c>
      <c r="D34" s="753"/>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1|4-0</v>
      </c>
      <c r="D35" s="753"/>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1|1-0</v>
      </c>
      <c r="D36" s="753"/>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3"/>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1|2-1</v>
      </c>
      <c r="D38" s="753"/>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1|3-1</v>
      </c>
      <c r="D39" s="753"/>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1|2-0</v>
      </c>
      <c r="D40" s="753"/>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2|0-1</v>
      </c>
      <c r="D41" s="753"/>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3"/>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X|1-1</v>
      </c>
      <c r="D43" s="753"/>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1|3-1</v>
      </c>
      <c r="D44" s="753"/>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3"/>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3"/>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3"/>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3"/>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X|0-0</v>
      </c>
      <c r="D49" s="753"/>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1|3-0</v>
      </c>
      <c r="D50" s="753"/>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1|1-0</v>
      </c>
      <c r="D51" s="753"/>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3"/>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2|0-2</v>
      </c>
      <c r="D53" s="812"/>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10" t="s">
        <v>118</v>
      </c>
      <c r="E54" s="813" t="s">
        <v>365</v>
      </c>
      <c r="F54" s="811"/>
      <c r="G54" s="811"/>
      <c r="H54" s="811"/>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1"/>
      <c r="E55" s="753"/>
      <c r="F55" s="753"/>
      <c r="G55" s="753"/>
      <c r="H55" s="753"/>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3"/>
      <c r="E56" s="753"/>
      <c r="F56" s="753"/>
      <c r="G56" s="753"/>
      <c r="H56" s="753"/>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1|2-1</v>
      </c>
      <c r="D57" s="753"/>
      <c r="E57" s="753"/>
      <c r="F57" s="753"/>
      <c r="G57" s="753"/>
      <c r="H57" s="753"/>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3"/>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1|1-0</v>
      </c>
      <c r="D59" s="753"/>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3"/>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3"/>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3"/>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2|0-2</v>
      </c>
      <c r="D63" s="753"/>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X|0-0</v>
      </c>
      <c r="D64" s="753"/>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2|0-2</v>
      </c>
      <c r="D65" s="753"/>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X|1-1</v>
      </c>
      <c r="D66" s="753"/>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3"/>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3"/>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3"/>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2|0-1</v>
      </c>
      <c r="D70" s="753"/>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3"/>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2|0-1</v>
      </c>
      <c r="D72" s="753"/>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3"/>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3"/>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2|0-1</v>
      </c>
      <c r="D75" s="753"/>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2|0-3</v>
      </c>
      <c r="D76" s="753"/>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X|1-1</v>
      </c>
      <c r="D77" s="753"/>
      <c r="E77" s="13"/>
      <c r="F77" s="13"/>
      <c r="G77" s="13"/>
      <c r="H77" s="13"/>
      <c r="I77" s="391"/>
      <c r="J77" s="392"/>
      <c r="K77" s="13"/>
      <c r="L77" s="373"/>
      <c r="M77" s="384"/>
      <c r="N77" s="377"/>
    </row>
    <row r="78" spans="1:14" ht="15" customHeight="1" x14ac:dyDescent="0.2">
      <c r="A78" s="378"/>
      <c r="B78" s="397"/>
      <c r="C78" s="398"/>
      <c r="D78" s="753"/>
      <c r="E78" s="13"/>
      <c r="F78" s="13"/>
      <c r="G78" s="13"/>
      <c r="H78" s="13"/>
      <c r="I78" s="391"/>
      <c r="J78" s="392"/>
      <c r="K78" s="13"/>
      <c r="L78" s="373"/>
      <c r="M78" s="384"/>
      <c r="N78" s="377"/>
    </row>
    <row r="79" spans="1:14" ht="19" customHeight="1" x14ac:dyDescent="0.25">
      <c r="A79" s="378"/>
      <c r="B79" s="399" t="s">
        <v>376</v>
      </c>
      <c r="C79" s="400"/>
      <c r="D79" s="753"/>
      <c r="E79" s="13"/>
      <c r="F79" s="13"/>
      <c r="G79" s="13"/>
      <c r="H79" s="13"/>
      <c r="I79" s="391"/>
      <c r="J79" s="392"/>
      <c r="K79" s="13"/>
      <c r="L79" s="373"/>
      <c r="M79" s="384"/>
      <c r="N79" s="377"/>
    </row>
    <row r="80" spans="1:14" ht="15" customHeight="1" x14ac:dyDescent="0.2">
      <c r="A80" s="801" t="s">
        <v>46</v>
      </c>
      <c r="B80" s="401" t="s">
        <v>377</v>
      </c>
      <c r="C80" s="395" t="str" cm="1">
        <f t="array" ref="C80">IF(OR(SUM(WORLDCUP!$AN$6:$AN$9)=12,WORLDCUP!$AJ$99=144),WORLDCUP!AL6,B80)</f>
        <v>México</v>
      </c>
      <c r="D80" s="753"/>
      <c r="E80" s="13"/>
      <c r="F80" s="13"/>
      <c r="G80" s="13"/>
      <c r="H80" s="13"/>
      <c r="I80" s="391"/>
      <c r="J80" s="392"/>
      <c r="K80" s="13"/>
      <c r="L80" s="373"/>
      <c r="M80" s="384"/>
      <c r="N80" s="377"/>
    </row>
    <row r="81" spans="1:14" ht="15" customHeight="1" x14ac:dyDescent="0.2">
      <c r="A81" s="798"/>
      <c r="B81" s="401" t="s">
        <v>378</v>
      </c>
      <c r="C81" s="395" t="str" cm="1">
        <f t="array" ref="C81">IF(OR(SUM(WORLDCUP!$AN$6:$AN$9)=12,WORLDCUP!$AJ$99=144),WORLDCUP!AL7,B81)</f>
        <v>Sudáfrica</v>
      </c>
      <c r="D81" s="753"/>
      <c r="E81" s="13"/>
      <c r="F81" s="13"/>
      <c r="G81" s="13"/>
      <c r="H81" s="13"/>
      <c r="I81" s="391"/>
      <c r="J81" s="392"/>
      <c r="K81" s="13"/>
      <c r="L81" s="373"/>
      <c r="M81" s="384"/>
      <c r="N81" s="377"/>
    </row>
    <row r="82" spans="1:14" ht="15" customHeight="1" x14ac:dyDescent="0.2">
      <c r="A82" s="798"/>
      <c r="B82" s="401" t="s">
        <v>379</v>
      </c>
      <c r="C82" s="395" t="str" cm="1">
        <f t="array" ref="C82">IF(OR(SUM(WORLDCUP!$AN$6:$AN$9)=12,WORLDCUP!$AJ$99=144),WORLDCUP!AL8,B82)</f>
        <v>Corea del Sur</v>
      </c>
      <c r="D82" s="753"/>
      <c r="E82" s="13"/>
      <c r="F82" s="13"/>
      <c r="G82" s="13"/>
      <c r="H82" s="13"/>
      <c r="I82" s="391"/>
      <c r="J82" s="392"/>
      <c r="K82" s="13"/>
      <c r="L82" s="373"/>
      <c r="M82" s="384"/>
      <c r="N82" s="377"/>
    </row>
    <row r="83" spans="1:14" ht="15" customHeight="1" x14ac:dyDescent="0.2">
      <c r="A83" s="798"/>
      <c r="B83" s="401" t="s">
        <v>380</v>
      </c>
      <c r="C83" s="395" t="str" cm="1">
        <f t="array" ref="C83">IF(OR(SUM(WORLDCUP!$AN$6:$AN$9)=12,WORLDCUP!$AJ$99=144),WORLDCUP!AL9,B83)</f>
        <v>República Checa</v>
      </c>
      <c r="D83" s="753"/>
      <c r="E83" s="13"/>
      <c r="F83" s="13"/>
      <c r="G83" s="13"/>
      <c r="H83" s="13"/>
      <c r="I83" s="391"/>
      <c r="J83" s="392"/>
      <c r="K83" s="13"/>
      <c r="L83" s="373"/>
      <c r="M83" s="384"/>
      <c r="N83" s="377"/>
    </row>
    <row r="84" spans="1:14" ht="15" customHeight="1" x14ac:dyDescent="0.2">
      <c r="A84" s="803" t="s">
        <v>121</v>
      </c>
      <c r="B84" s="403" t="s">
        <v>381</v>
      </c>
      <c r="C84" s="395" t="str" cm="1">
        <f t="array" ref="C84">IF(OR(SUM(WORLDCUP!$AN$14:$AN$17)=12,WORLDCUP!$AJ$99=144),WORLDCUP!AL14,B84)</f>
        <v>Canadá</v>
      </c>
      <c r="D84" s="753"/>
      <c r="E84" s="13"/>
      <c r="F84" s="13"/>
      <c r="G84" s="13"/>
      <c r="H84" s="13"/>
      <c r="I84" s="391"/>
      <c r="J84" s="392"/>
      <c r="K84" s="13"/>
      <c r="L84" s="373"/>
      <c r="M84" s="384"/>
      <c r="N84" s="377"/>
    </row>
    <row r="85" spans="1:14" ht="15" customHeight="1" x14ac:dyDescent="0.2">
      <c r="A85" s="798"/>
      <c r="B85" s="403" t="s">
        <v>382</v>
      </c>
      <c r="C85" s="395" t="str" cm="1">
        <f t="array" ref="C85">IF(OR(SUM(WORLDCUP!$AN$14:$AN$17)=12,WORLDCUP!$AJ$99=144),WORLDCUP!AL15,B85)</f>
        <v>Bosnia y Herzegovina</v>
      </c>
      <c r="D85" s="753"/>
      <c r="E85" s="13"/>
      <c r="F85" s="13"/>
      <c r="G85" s="13"/>
      <c r="H85" s="13"/>
      <c r="I85" s="391"/>
      <c r="J85" s="392"/>
      <c r="K85" s="13"/>
      <c r="L85" s="373"/>
      <c r="M85" s="384"/>
      <c r="N85" s="377"/>
    </row>
    <row r="86" spans="1:14" ht="15" customHeight="1" x14ac:dyDescent="0.2">
      <c r="A86" s="798"/>
      <c r="B86" s="403" t="s">
        <v>383</v>
      </c>
      <c r="C86" s="395" t="str" cm="1">
        <f t="array" ref="C86">IF(OR(SUM(WORLDCUP!$AN$14:$AN$17)=12,WORLDCUP!$AJ$99=144),WORLDCUP!AL16,B86)</f>
        <v>Catar</v>
      </c>
      <c r="D86" s="753"/>
      <c r="E86" s="13"/>
      <c r="F86" s="13"/>
      <c r="G86" s="13"/>
      <c r="H86" s="13"/>
      <c r="I86" s="391"/>
      <c r="J86" s="392"/>
      <c r="K86" s="13"/>
      <c r="L86" s="373"/>
      <c r="M86" s="384"/>
      <c r="N86" s="377"/>
    </row>
    <row r="87" spans="1:14" ht="15" customHeight="1" x14ac:dyDescent="0.2">
      <c r="A87" s="798"/>
      <c r="B87" s="403" t="s">
        <v>384</v>
      </c>
      <c r="C87" s="395" t="str" cm="1">
        <f t="array" ref="C87">IF(OR(SUM(WORLDCUP!$AN$14:$AN$17)=12,WORLDCUP!$AJ$99=144),WORLDCUP!AL17,B87)</f>
        <v>Suiza</v>
      </c>
      <c r="D87" s="753"/>
      <c r="E87" s="13"/>
      <c r="F87" s="13"/>
      <c r="G87" s="13"/>
      <c r="H87" s="13"/>
      <c r="I87" s="391"/>
      <c r="J87" s="392"/>
      <c r="K87" s="13"/>
      <c r="L87" s="373"/>
      <c r="M87" s="384"/>
      <c r="N87" s="377"/>
    </row>
    <row r="88" spans="1:14" ht="15" customHeight="1" x14ac:dyDescent="0.2">
      <c r="A88" s="801" t="s">
        <v>130</v>
      </c>
      <c r="B88" s="401" t="s">
        <v>385</v>
      </c>
      <c r="C88" s="395" t="str" cm="1">
        <f t="array" ref="C88">IF(OR(SUM(WORLDCUP!$AN$22:$AN$25)=12,WORLDCUP!$AJ$99=144),WORLDCUP!AL22,B88)</f>
        <v>Brasil</v>
      </c>
      <c r="D88" s="753"/>
      <c r="E88" s="13"/>
      <c r="F88" s="13"/>
      <c r="G88" s="13"/>
      <c r="H88" s="13"/>
      <c r="I88" s="391"/>
      <c r="J88" s="392"/>
      <c r="K88" s="13"/>
      <c r="L88" s="373"/>
      <c r="M88" s="384"/>
      <c r="N88" s="377"/>
    </row>
    <row r="89" spans="1:14" ht="15" customHeight="1" x14ac:dyDescent="0.2">
      <c r="A89" s="798"/>
      <c r="B89" s="401" t="s">
        <v>386</v>
      </c>
      <c r="C89" s="395" t="str" cm="1">
        <f t="array" ref="C89">IF(OR(SUM(WORLDCUP!$AN$22:$AN$25)=12,WORLDCUP!$AJ$99=144),WORLDCUP!AL23,B89)</f>
        <v>Marruecos</v>
      </c>
      <c r="D89" s="753"/>
      <c r="E89" s="13"/>
      <c r="F89" s="13"/>
      <c r="G89" s="13"/>
      <c r="H89" s="13"/>
      <c r="I89" s="391"/>
      <c r="J89" s="392"/>
      <c r="K89" s="13"/>
      <c r="L89" s="373"/>
      <c r="M89" s="384"/>
      <c r="N89" s="377"/>
    </row>
    <row r="90" spans="1:14" ht="15" customHeight="1" x14ac:dyDescent="0.2">
      <c r="A90" s="798"/>
      <c r="B90" s="401" t="s">
        <v>387</v>
      </c>
      <c r="C90" s="395" t="str" cm="1">
        <f t="array" ref="C90">IF(OR(SUM(WORLDCUP!$AN$22:$AN$25)=12,WORLDCUP!$AJ$99=144),WORLDCUP!AL24,B90)</f>
        <v>Haití</v>
      </c>
      <c r="D90" s="753"/>
      <c r="E90" s="13"/>
      <c r="F90" s="13"/>
      <c r="G90" s="13"/>
      <c r="H90" s="13"/>
      <c r="I90" s="391"/>
      <c r="J90" s="392"/>
      <c r="K90" s="13"/>
      <c r="L90" s="373"/>
      <c r="M90" s="384"/>
      <c r="N90" s="377"/>
    </row>
    <row r="91" spans="1:14" ht="15" customHeight="1" x14ac:dyDescent="0.2">
      <c r="A91" s="798"/>
      <c r="B91" s="401" t="s">
        <v>388</v>
      </c>
      <c r="C91" s="395" t="str" cm="1">
        <f t="array" ref="C91">IF(OR(SUM(WORLDCUP!$AN$22:$AN$25)=12,WORLDCUP!$AJ$99=144),WORLDCUP!AL25,B91)</f>
        <v>Escocia</v>
      </c>
      <c r="D91" s="753"/>
      <c r="E91" s="13"/>
      <c r="F91" s="13"/>
      <c r="G91" s="13"/>
      <c r="H91" s="13"/>
      <c r="I91" s="391"/>
      <c r="J91" s="392"/>
      <c r="K91" s="13"/>
      <c r="L91" s="373"/>
      <c r="M91" s="384"/>
      <c r="N91" s="377"/>
    </row>
    <row r="92" spans="1:14" ht="15" customHeight="1" x14ac:dyDescent="0.2">
      <c r="A92" s="803" t="s">
        <v>139</v>
      </c>
      <c r="B92" s="403" t="s">
        <v>389</v>
      </c>
      <c r="C92" s="395" t="str" cm="1">
        <f t="array" ref="C92">IF(OR(SUM(WORLDCUP!$AN$30:$AN$33)=12,WORLDCUP!$AJ$99=144),WORLDCUP!AL30,B92)</f>
        <v>Estados Unidos</v>
      </c>
      <c r="D92" s="753"/>
      <c r="E92" s="13"/>
      <c r="F92" s="13"/>
      <c r="G92" s="13"/>
      <c r="H92" s="13"/>
      <c r="I92" s="391"/>
      <c r="J92" s="392"/>
      <c r="K92" s="13"/>
      <c r="L92" s="373"/>
      <c r="M92" s="384"/>
      <c r="N92" s="377"/>
    </row>
    <row r="93" spans="1:14" ht="15" customHeight="1" x14ac:dyDescent="0.2">
      <c r="A93" s="798"/>
      <c r="B93" s="403" t="s">
        <v>390</v>
      </c>
      <c r="C93" s="395" t="str" cm="1">
        <f t="array" ref="C93">IF(OR(SUM(WORLDCUP!$AN$30:$AN$33)=12,WORLDCUP!$AJ$99=144),WORLDCUP!AL31,B93)</f>
        <v>Paraguay</v>
      </c>
      <c r="D93" s="753"/>
      <c r="E93" s="13"/>
      <c r="F93" s="13"/>
      <c r="G93" s="13"/>
      <c r="H93" s="13"/>
      <c r="I93" s="391"/>
      <c r="J93" s="392"/>
      <c r="K93" s="13"/>
      <c r="L93" s="373"/>
      <c r="M93" s="384"/>
      <c r="N93" s="377"/>
    </row>
    <row r="94" spans="1:14" ht="15" customHeight="1" x14ac:dyDescent="0.2">
      <c r="A94" s="798"/>
      <c r="B94" s="403" t="s">
        <v>391</v>
      </c>
      <c r="C94" s="395" t="str" cm="1">
        <f t="array" ref="C94">IF(OR(SUM(WORLDCUP!$AN$30:$AN$33)=12,WORLDCUP!$AJ$99=144),WORLDCUP!AL32,B94)</f>
        <v>Australia</v>
      </c>
      <c r="D94" s="753"/>
      <c r="E94" s="13"/>
      <c r="F94" s="13"/>
      <c r="G94" s="13"/>
      <c r="H94" s="13"/>
      <c r="I94" s="391"/>
      <c r="J94" s="392"/>
      <c r="K94" s="13"/>
      <c r="L94" s="373"/>
      <c r="M94" s="384"/>
      <c r="N94" s="377"/>
    </row>
    <row r="95" spans="1:14" ht="15" customHeight="1" x14ac:dyDescent="0.2">
      <c r="A95" s="798"/>
      <c r="B95" s="403" t="s">
        <v>392</v>
      </c>
      <c r="C95" s="395" t="str" cm="1">
        <f t="array" ref="C95">IF(OR(SUM(WORLDCUP!$AN$30:$AN$33)=12,WORLDCUP!$AJ$99=144),WORLDCUP!AL33,B95)</f>
        <v>Turquía</v>
      </c>
      <c r="D95" s="753"/>
      <c r="E95" s="13"/>
      <c r="F95" s="13"/>
      <c r="G95" s="13"/>
      <c r="H95" s="13"/>
      <c r="I95" s="391"/>
      <c r="J95" s="392"/>
      <c r="K95" s="13"/>
      <c r="L95" s="373"/>
      <c r="M95" s="384"/>
      <c r="N95" s="377"/>
    </row>
    <row r="96" spans="1:14" ht="15" customHeight="1" x14ac:dyDescent="0.2">
      <c r="A96" s="801" t="s">
        <v>55</v>
      </c>
      <c r="B96" s="401" t="s">
        <v>393</v>
      </c>
      <c r="C96" s="395" t="str" cm="1">
        <f t="array" ref="C96">IF(OR(SUM(WORLDCUP!$AN$38:$AN$41)=12,WORLDCUP!$AJ$99=144),WORLDCUP!AL38,B96)</f>
        <v>Alemania</v>
      </c>
      <c r="D96" s="753"/>
      <c r="E96" s="13"/>
      <c r="F96" s="13"/>
      <c r="G96" s="13"/>
      <c r="H96" s="13"/>
      <c r="I96" s="391"/>
      <c r="J96" s="392"/>
      <c r="K96" s="13"/>
      <c r="L96" s="373"/>
      <c r="M96" s="384"/>
      <c r="N96" s="377"/>
    </row>
    <row r="97" spans="1:14" ht="15" customHeight="1" x14ac:dyDescent="0.2">
      <c r="A97" s="798"/>
      <c r="B97" s="401" t="s">
        <v>394</v>
      </c>
      <c r="C97" s="395" t="str" cm="1">
        <f t="array" ref="C97">IF(OR(SUM(WORLDCUP!$AN$38:$AN$41)=12,WORLDCUP!$AJ$99=144),WORLDCUP!AL39,B97)</f>
        <v>Curazao</v>
      </c>
      <c r="D97" s="753"/>
      <c r="E97" s="13"/>
      <c r="F97" s="13"/>
      <c r="G97" s="13"/>
      <c r="H97" s="13"/>
      <c r="I97" s="391"/>
      <c r="J97" s="392"/>
      <c r="K97" s="13"/>
      <c r="L97" s="373"/>
      <c r="M97" s="384"/>
      <c r="N97" s="377"/>
    </row>
    <row r="98" spans="1:14" ht="15" customHeight="1" x14ac:dyDescent="0.2">
      <c r="A98" s="798"/>
      <c r="B98" s="401" t="s">
        <v>395</v>
      </c>
      <c r="C98" s="395" t="str" cm="1">
        <f t="array" ref="C98">IF(OR(SUM(WORLDCUP!$AN$38:$AN$41)=12,WORLDCUP!$AJ$99=144),WORLDCUP!AL40,B98)</f>
        <v>Costa de Marfil</v>
      </c>
      <c r="D98" s="753"/>
      <c r="E98" s="13"/>
      <c r="F98" s="13"/>
      <c r="G98" s="13"/>
      <c r="H98" s="13"/>
      <c r="I98" s="391"/>
      <c r="J98" s="392"/>
      <c r="K98" s="13"/>
      <c r="L98" s="373"/>
      <c r="M98" s="384"/>
      <c r="N98" s="377"/>
    </row>
    <row r="99" spans="1:14" ht="15" customHeight="1" x14ac:dyDescent="0.2">
      <c r="A99" s="798"/>
      <c r="B99" s="401" t="s">
        <v>396</v>
      </c>
      <c r="C99" s="395" t="str" cm="1">
        <f t="array" ref="C99">IF(OR(SUM(WORLDCUP!$AN$38:$AN$41)=12,WORLDCUP!$AJ$99=144),WORLDCUP!AL41,B99)</f>
        <v>Ecuador</v>
      </c>
      <c r="D99" s="753"/>
      <c r="E99" s="13"/>
      <c r="F99" s="13"/>
      <c r="G99" s="13"/>
      <c r="H99" s="13"/>
      <c r="I99" s="391"/>
      <c r="J99" s="392"/>
      <c r="K99" s="13"/>
      <c r="L99" s="373"/>
      <c r="M99" s="384"/>
      <c r="N99" s="377"/>
    </row>
    <row r="100" spans="1:14" ht="15" customHeight="1" x14ac:dyDescent="0.2">
      <c r="A100" s="803" t="s">
        <v>156</v>
      </c>
      <c r="B100" s="403" t="s">
        <v>397</v>
      </c>
      <c r="C100" s="395" t="str" cm="1">
        <f t="array" ref="C100">IF(OR(SUM(WORLDCUP!$AN$46:$AN$49)=12,WORLDCUP!$AJ$99=144),WORLDCUP!AL46,B100)</f>
        <v>Países Bajos</v>
      </c>
      <c r="D100" s="753"/>
      <c r="E100" s="13"/>
      <c r="F100" s="13"/>
      <c r="G100" s="13"/>
      <c r="H100" s="13"/>
      <c r="I100" s="391"/>
      <c r="J100" s="392"/>
      <c r="K100" s="13"/>
      <c r="L100" s="373"/>
      <c r="M100" s="384"/>
      <c r="N100" s="377"/>
    </row>
    <row r="101" spans="1:14" ht="15" customHeight="1" x14ac:dyDescent="0.2">
      <c r="A101" s="798"/>
      <c r="B101" s="403" t="s">
        <v>398</v>
      </c>
      <c r="C101" s="395" t="str" cm="1">
        <f t="array" ref="C101">IF(OR(SUM(WORLDCUP!$AN$46:$AN$49)=12,WORLDCUP!$AJ$99=144),WORLDCUP!AL47,B101)</f>
        <v>Japón</v>
      </c>
      <c r="D101" s="753"/>
      <c r="E101" s="13"/>
      <c r="F101" s="13"/>
      <c r="G101" s="13"/>
      <c r="H101" s="13"/>
      <c r="I101" s="391"/>
      <c r="J101" s="392"/>
      <c r="K101" s="13"/>
      <c r="L101" s="373"/>
      <c r="M101" s="384"/>
      <c r="N101" s="377"/>
    </row>
    <row r="102" spans="1:14" ht="15" customHeight="1" x14ac:dyDescent="0.2">
      <c r="A102" s="798"/>
      <c r="B102" s="403" t="s">
        <v>399</v>
      </c>
      <c r="C102" s="395" t="str" cm="1">
        <f t="array" ref="C102">IF(OR(SUM(WORLDCUP!$AN$46:$AN$49)=12,WORLDCUP!$AJ$99=144),WORLDCUP!AL48,B102)</f>
        <v>Suecia</v>
      </c>
      <c r="D102" s="753"/>
      <c r="E102" s="13"/>
      <c r="F102" s="13"/>
      <c r="G102" s="13"/>
      <c r="H102" s="13"/>
      <c r="I102" s="391"/>
      <c r="J102" s="392"/>
      <c r="K102" s="13"/>
      <c r="L102" s="373"/>
      <c r="M102" s="384"/>
      <c r="N102" s="377"/>
    </row>
    <row r="103" spans="1:14" ht="15" customHeight="1" x14ac:dyDescent="0.2">
      <c r="A103" s="798"/>
      <c r="B103" s="403" t="s">
        <v>400</v>
      </c>
      <c r="C103" s="395" t="str" cm="1">
        <f t="array" ref="C103">IF(OR(SUM(WORLDCUP!$AN$46:$AN$49)=12,WORLDCUP!$AJ$99=144),WORLDCUP!AL49,B103)</f>
        <v>Túnez</v>
      </c>
      <c r="D103" s="753"/>
      <c r="E103" s="13"/>
      <c r="F103" s="13"/>
      <c r="G103" s="13"/>
      <c r="H103" s="13"/>
      <c r="I103" s="391"/>
      <c r="J103" s="392"/>
      <c r="K103" s="13"/>
      <c r="L103" s="373"/>
      <c r="M103" s="384"/>
      <c r="N103" s="377"/>
    </row>
    <row r="104" spans="1:14" ht="15" customHeight="1" x14ac:dyDescent="0.2">
      <c r="A104" s="801" t="s">
        <v>54</v>
      </c>
      <c r="B104" s="401" t="s">
        <v>401</v>
      </c>
      <c r="C104" s="395" t="str" cm="1">
        <f t="array" ref="C104">IF(OR(SUM(WORLDCUP!$AN$54:$AN$57)=12,WORLDCUP!$AJ$99=144),WORLDCUP!AL54,B104)</f>
        <v>Bélgica</v>
      </c>
      <c r="D104" s="753"/>
      <c r="E104" s="13"/>
      <c r="F104" s="13"/>
      <c r="G104" s="13"/>
      <c r="H104" s="13"/>
      <c r="I104" s="391"/>
      <c r="J104" s="392"/>
      <c r="K104" s="13"/>
      <c r="L104" s="373"/>
      <c r="M104" s="384"/>
      <c r="N104" s="377"/>
    </row>
    <row r="105" spans="1:14" ht="15" customHeight="1" x14ac:dyDescent="0.2">
      <c r="A105" s="798"/>
      <c r="B105" s="401" t="s">
        <v>402</v>
      </c>
      <c r="C105" s="395" t="str" cm="1">
        <f t="array" ref="C105">IF(OR(SUM(WORLDCUP!$AN$54:$AN$57)=12,WORLDCUP!$AJ$99=144),WORLDCUP!AL55,B105)</f>
        <v>Egipto</v>
      </c>
      <c r="D105" s="753"/>
      <c r="E105" s="13"/>
      <c r="F105" s="13"/>
      <c r="G105" s="13"/>
      <c r="H105" s="13"/>
      <c r="I105" s="391"/>
      <c r="J105" s="392"/>
      <c r="K105" s="13"/>
      <c r="L105" s="373"/>
      <c r="M105" s="384"/>
      <c r="N105" s="377"/>
    </row>
    <row r="106" spans="1:14" ht="15" customHeight="1" x14ac:dyDescent="0.2">
      <c r="A106" s="798"/>
      <c r="B106" s="401" t="s">
        <v>403</v>
      </c>
      <c r="C106" s="395" t="str" cm="1">
        <f t="array" ref="C106">IF(OR(SUM(WORLDCUP!$AN$54:$AN$57)=12,WORLDCUP!$AJ$99=144),WORLDCUP!AL56,B106)</f>
        <v>Irán</v>
      </c>
      <c r="D106" s="753"/>
      <c r="E106" s="13"/>
      <c r="F106" s="13"/>
      <c r="G106" s="13"/>
      <c r="H106" s="13"/>
      <c r="I106" s="391"/>
      <c r="J106" s="392"/>
      <c r="K106" s="13"/>
      <c r="L106" s="373"/>
      <c r="M106" s="384"/>
      <c r="N106" s="377"/>
    </row>
    <row r="107" spans="1:14" ht="15" customHeight="1" x14ac:dyDescent="0.2">
      <c r="A107" s="798"/>
      <c r="B107" s="401" t="s">
        <v>404</v>
      </c>
      <c r="C107" s="395" t="str" cm="1">
        <f t="array" ref="C107">IF(OR(SUM(WORLDCUP!$AN$54:$AN$57)=12,WORLDCUP!$AJ$99=144),WORLDCUP!AL57,B107)</f>
        <v>Nueva Zelanda</v>
      </c>
      <c r="D107" s="753"/>
      <c r="E107" s="13"/>
      <c r="F107" s="13"/>
      <c r="G107" s="13"/>
      <c r="H107" s="13"/>
      <c r="I107" s="391"/>
      <c r="J107" s="392"/>
      <c r="K107" s="13"/>
      <c r="L107" s="373"/>
      <c r="M107" s="384"/>
      <c r="N107" s="377"/>
    </row>
    <row r="108" spans="1:14" ht="15" customHeight="1" x14ac:dyDescent="0.2">
      <c r="A108" s="803" t="s">
        <v>173</v>
      </c>
      <c r="B108" s="403" t="s">
        <v>405</v>
      </c>
      <c r="C108" s="395" t="str" cm="1">
        <f t="array" ref="C108">IF(OR(SUM(WORLDCUP!$AN$62:$AN$65)=12,WORLDCUP!$AJ$99=144),WORLDCUP!AL62,B108)</f>
        <v>España</v>
      </c>
      <c r="D108" s="753"/>
      <c r="E108" s="13"/>
      <c r="F108" s="13"/>
      <c r="G108" s="13"/>
      <c r="H108" s="13"/>
      <c r="I108" s="391"/>
      <c r="J108" s="392"/>
      <c r="K108" s="13"/>
      <c r="L108" s="373"/>
      <c r="M108" s="384"/>
      <c r="N108" s="377"/>
    </row>
    <row r="109" spans="1:14" ht="15" customHeight="1" x14ac:dyDescent="0.2">
      <c r="A109" s="798"/>
      <c r="B109" s="403" t="s">
        <v>406</v>
      </c>
      <c r="C109" s="395" t="str" cm="1">
        <f t="array" ref="C109">IF(OR(SUM(WORLDCUP!$AN$62:$AN$65)=12,WORLDCUP!$AJ$99=144),WORLDCUP!AL63,B109)</f>
        <v>Cabo Verde</v>
      </c>
      <c r="D109" s="753"/>
      <c r="E109" s="13"/>
      <c r="F109" s="13"/>
      <c r="G109" s="13"/>
      <c r="H109" s="13"/>
      <c r="I109" s="391"/>
      <c r="J109" s="392"/>
      <c r="K109" s="13"/>
      <c r="L109" s="373"/>
      <c r="M109" s="384"/>
      <c r="N109" s="377"/>
    </row>
    <row r="110" spans="1:14" ht="15" customHeight="1" x14ac:dyDescent="0.2">
      <c r="A110" s="798"/>
      <c r="B110" s="403" t="s">
        <v>407</v>
      </c>
      <c r="C110" s="395" t="str" cm="1">
        <f t="array" ref="C110">IF(OR(SUM(WORLDCUP!$AN$62:$AN$65)=12,WORLDCUP!$AJ$99=144),WORLDCUP!AL64,B110)</f>
        <v>Arabia Saudita</v>
      </c>
      <c r="D110" s="753"/>
      <c r="E110" s="13"/>
      <c r="F110" s="13"/>
      <c r="G110" s="13"/>
      <c r="H110" s="13"/>
      <c r="I110" s="391"/>
      <c r="J110" s="392"/>
      <c r="K110" s="13"/>
      <c r="L110" s="373"/>
      <c r="M110" s="384"/>
      <c r="N110" s="377"/>
    </row>
    <row r="111" spans="1:14" ht="15" customHeight="1" x14ac:dyDescent="0.2">
      <c r="A111" s="798"/>
      <c r="B111" s="403" t="s">
        <v>408</v>
      </c>
      <c r="C111" s="395" t="str" cm="1">
        <f t="array" ref="C111">IF(OR(SUM(WORLDCUP!$AN$62:$AN$65)=12,WORLDCUP!$AJ$99=144),WORLDCUP!AL65,B111)</f>
        <v>Uruguay</v>
      </c>
      <c r="D111" s="753"/>
      <c r="E111" s="13"/>
      <c r="F111" s="13"/>
      <c r="G111" s="13"/>
      <c r="H111" s="13"/>
      <c r="I111" s="391"/>
      <c r="J111" s="392"/>
      <c r="K111" s="13"/>
      <c r="L111" s="373"/>
      <c r="M111" s="384"/>
      <c r="N111" s="377"/>
    </row>
    <row r="112" spans="1:14" ht="15" customHeight="1" x14ac:dyDescent="0.2">
      <c r="A112" s="801" t="s">
        <v>182</v>
      </c>
      <c r="B112" s="401" t="s">
        <v>409</v>
      </c>
      <c r="C112" s="395" t="str" cm="1">
        <f t="array" ref="C112">IF(OR(SUM(WORLDCUP!$AN$70:$AN$73)=12,WORLDCUP!$AJ$99=144),WORLDCUP!AL70,B112)</f>
        <v>Francia</v>
      </c>
      <c r="D112" s="753"/>
      <c r="E112" s="13"/>
      <c r="F112" s="13"/>
      <c r="G112" s="13"/>
      <c r="H112" s="13"/>
      <c r="I112" s="391"/>
      <c r="J112" s="392"/>
      <c r="K112" s="13"/>
      <c r="L112" s="373"/>
      <c r="M112" s="384"/>
      <c r="N112" s="377"/>
    </row>
    <row r="113" spans="1:14" ht="15" customHeight="1" x14ac:dyDescent="0.2">
      <c r="A113" s="798"/>
      <c r="B113" s="401" t="s">
        <v>410</v>
      </c>
      <c r="C113" s="395" t="str" cm="1">
        <f t="array" ref="C113">IF(OR(SUM(WORLDCUP!$AN$70:$AN$73)=12,WORLDCUP!$AJ$99=144),WORLDCUP!AL71,B113)</f>
        <v>Senegal</v>
      </c>
      <c r="D113" s="753"/>
      <c r="E113" s="13"/>
      <c r="F113" s="13"/>
      <c r="G113" s="13"/>
      <c r="H113" s="13"/>
      <c r="I113" s="391"/>
      <c r="J113" s="392"/>
      <c r="K113" s="13"/>
      <c r="L113" s="373"/>
      <c r="M113" s="384"/>
      <c r="N113" s="377"/>
    </row>
    <row r="114" spans="1:14" ht="15" customHeight="1" x14ac:dyDescent="0.2">
      <c r="A114" s="798"/>
      <c r="B114" s="401" t="s">
        <v>411</v>
      </c>
      <c r="C114" s="395" t="str" cm="1">
        <f t="array" ref="C114">IF(OR(SUM(WORLDCUP!$AN$70:$AN$73)=12,WORLDCUP!$AJ$99=144),WORLDCUP!AL72,B114)</f>
        <v>Irak</v>
      </c>
      <c r="D114" s="753"/>
      <c r="E114" s="13"/>
      <c r="F114" s="13"/>
      <c r="G114" s="13"/>
      <c r="H114" s="13"/>
      <c r="I114" s="391"/>
      <c r="J114" s="392"/>
      <c r="K114" s="13"/>
      <c r="L114" s="373"/>
      <c r="M114" s="384"/>
      <c r="N114" s="377"/>
    </row>
    <row r="115" spans="1:14" ht="15" customHeight="1" x14ac:dyDescent="0.2">
      <c r="A115" s="798"/>
      <c r="B115" s="401" t="s">
        <v>412</v>
      </c>
      <c r="C115" s="395" t="str" cm="1">
        <f t="array" ref="C115">IF(OR(SUM(WORLDCUP!$AN$70:$AN$73)=12,WORLDCUP!$AJ$99=144),WORLDCUP!AL73,B115)</f>
        <v>Noruega</v>
      </c>
      <c r="D115" s="753"/>
      <c r="E115" s="13"/>
      <c r="F115" s="13"/>
      <c r="G115" s="13"/>
      <c r="H115" s="13"/>
      <c r="I115" s="391"/>
      <c r="J115" s="392"/>
      <c r="K115" s="13"/>
      <c r="L115" s="373"/>
      <c r="M115" s="384"/>
      <c r="N115" s="377"/>
    </row>
    <row r="116" spans="1:14" ht="15" customHeight="1" x14ac:dyDescent="0.2">
      <c r="A116" s="803" t="s">
        <v>53</v>
      </c>
      <c r="B116" s="403" t="s">
        <v>413</v>
      </c>
      <c r="C116" s="395" t="str" cm="1">
        <f t="array" ref="C116">IF(OR(SUM(WORLDCUP!$AN$78:$AN$81)=12,WORLDCUP!$AJ$99=144),WORLDCUP!AL78,B116)</f>
        <v>Argentina</v>
      </c>
      <c r="D116" s="753"/>
      <c r="E116" s="13"/>
      <c r="F116" s="13"/>
      <c r="G116" s="13"/>
      <c r="H116" s="13"/>
      <c r="I116" s="391"/>
      <c r="J116" s="392"/>
      <c r="K116" s="13"/>
      <c r="L116" s="373"/>
      <c r="M116" s="384"/>
      <c r="N116" s="377"/>
    </row>
    <row r="117" spans="1:14" ht="15" customHeight="1" x14ac:dyDescent="0.2">
      <c r="A117" s="798"/>
      <c r="B117" s="403" t="s">
        <v>414</v>
      </c>
      <c r="C117" s="395" t="str" cm="1">
        <f t="array" ref="C117">IF(OR(SUM(WORLDCUP!$AN$78:$AN$81)=12,WORLDCUP!$AJ$99=144),WORLDCUP!AL79,B117)</f>
        <v>Argelia</v>
      </c>
      <c r="D117" s="753"/>
      <c r="E117" s="13"/>
      <c r="F117" s="13"/>
      <c r="G117" s="13"/>
      <c r="H117" s="13"/>
      <c r="I117" s="391"/>
      <c r="J117" s="392"/>
      <c r="K117" s="13"/>
      <c r="L117" s="373"/>
      <c r="M117" s="384"/>
      <c r="N117" s="377"/>
    </row>
    <row r="118" spans="1:14" ht="15" customHeight="1" x14ac:dyDescent="0.2">
      <c r="A118" s="798"/>
      <c r="B118" s="403" t="s">
        <v>415</v>
      </c>
      <c r="C118" s="395" t="str" cm="1">
        <f t="array" ref="C118">IF(OR(SUM(WORLDCUP!$AN$78:$AN$81)=12,WORLDCUP!$AJ$99=144),WORLDCUP!AL80,B118)</f>
        <v>Austria</v>
      </c>
      <c r="D118" s="753"/>
      <c r="E118" s="13"/>
      <c r="F118" s="13"/>
      <c r="G118" s="13"/>
      <c r="H118" s="13"/>
      <c r="I118" s="391"/>
      <c r="J118" s="392"/>
      <c r="K118" s="13"/>
      <c r="L118" s="373"/>
      <c r="M118" s="384"/>
      <c r="N118" s="377"/>
    </row>
    <row r="119" spans="1:14" ht="15" customHeight="1" x14ac:dyDescent="0.2">
      <c r="A119" s="798"/>
      <c r="B119" s="403" t="s">
        <v>416</v>
      </c>
      <c r="C119" s="395" t="str" cm="1">
        <f t="array" ref="C119">IF(OR(SUM(WORLDCUP!$AN$78:$AN$81)=12,WORLDCUP!$AJ$99=144),WORLDCUP!AL81,B119)</f>
        <v>Jordania</v>
      </c>
      <c r="D119" s="753"/>
      <c r="E119" s="13"/>
      <c r="F119" s="13"/>
      <c r="G119" s="13"/>
      <c r="H119" s="13"/>
      <c r="I119" s="391"/>
      <c r="J119" s="392"/>
      <c r="K119" s="13"/>
      <c r="L119" s="373"/>
      <c r="M119" s="384"/>
      <c r="N119" s="377"/>
    </row>
    <row r="120" spans="1:14" ht="15" customHeight="1" x14ac:dyDescent="0.2">
      <c r="A120" s="801" t="s">
        <v>199</v>
      </c>
      <c r="B120" s="401" t="s">
        <v>417</v>
      </c>
      <c r="C120" s="395" t="str" cm="1">
        <f t="array" ref="C120">IF(OR(SUM(WORLDCUP!$AN$86:$AN$89)=12,WORLDCUP!$AJ$99=144),WORLDCUP!AL86,B120)</f>
        <v>Portugal</v>
      </c>
      <c r="D120" s="753"/>
      <c r="E120" s="13"/>
      <c r="F120" s="13"/>
      <c r="G120" s="13"/>
      <c r="H120" s="13"/>
      <c r="I120" s="391"/>
      <c r="J120" s="392"/>
      <c r="K120" s="13"/>
      <c r="L120" s="373"/>
      <c r="M120" s="384"/>
      <c r="N120" s="377"/>
    </row>
    <row r="121" spans="1:14" ht="15" customHeight="1" x14ac:dyDescent="0.2">
      <c r="A121" s="798"/>
      <c r="B121" s="401" t="s">
        <v>418</v>
      </c>
      <c r="C121" s="395" t="str" cm="1">
        <f t="array" ref="C121">IF(OR(SUM(WORLDCUP!$AN$86:$AN$89)=12,WORLDCUP!$AJ$99=144),WORLDCUP!AL87,B121)</f>
        <v>RD Congo</v>
      </c>
      <c r="D121" s="753"/>
      <c r="E121" s="13"/>
      <c r="F121" s="13"/>
      <c r="G121" s="13"/>
      <c r="H121" s="13"/>
      <c r="I121" s="391"/>
      <c r="J121" s="392"/>
      <c r="K121" s="13"/>
      <c r="L121" s="373"/>
      <c r="M121" s="384"/>
      <c r="N121" s="377"/>
    </row>
    <row r="122" spans="1:14" ht="15" customHeight="1" x14ac:dyDescent="0.2">
      <c r="A122" s="798"/>
      <c r="B122" s="401" t="s">
        <v>419</v>
      </c>
      <c r="C122" s="395" t="str" cm="1">
        <f t="array" ref="C122">IF(OR(SUM(WORLDCUP!$AN$86:$AN$89)=12,WORLDCUP!$AJ$99=144),WORLDCUP!AL88,B122)</f>
        <v>Uzbekistán</v>
      </c>
      <c r="D122" s="753"/>
      <c r="E122" s="13"/>
      <c r="F122" s="13"/>
      <c r="G122" s="13"/>
      <c r="H122" s="13"/>
      <c r="I122" s="391"/>
      <c r="J122" s="392"/>
      <c r="K122" s="13"/>
      <c r="L122" s="373"/>
      <c r="M122" s="384"/>
      <c r="N122" s="377"/>
    </row>
    <row r="123" spans="1:14" ht="15" customHeight="1" x14ac:dyDescent="0.2">
      <c r="A123" s="798"/>
      <c r="B123" s="401" t="s">
        <v>420</v>
      </c>
      <c r="C123" s="395" t="str" cm="1">
        <f t="array" ref="C123">IF(OR(SUM(WORLDCUP!$AN$86:$AN$89)=12,WORLDCUP!$AJ$99=144),WORLDCUP!AL89,B123)</f>
        <v>Colombia</v>
      </c>
      <c r="D123" s="753"/>
      <c r="E123" s="13"/>
      <c r="F123" s="13"/>
      <c r="G123" s="13"/>
      <c r="H123" s="13"/>
      <c r="I123" s="391"/>
      <c r="J123" s="392"/>
      <c r="K123" s="13"/>
      <c r="L123" s="373"/>
      <c r="M123" s="384"/>
      <c r="N123" s="377"/>
    </row>
    <row r="124" spans="1:14" ht="15" customHeight="1" x14ac:dyDescent="0.2">
      <c r="A124" s="803" t="s">
        <v>208</v>
      </c>
      <c r="B124" s="403" t="s">
        <v>421</v>
      </c>
      <c r="C124" s="395" t="str" cm="1">
        <f t="array" ref="C124">IF(OR(SUM(WORLDCUP!$AN$94:$AN$97)=12,WORLDCUP!$AJ$99=144),WORLDCUP!AL94,B124)</f>
        <v>Inglaterra</v>
      </c>
      <c r="D124" s="753"/>
      <c r="E124" s="13"/>
      <c r="F124" s="13"/>
      <c r="G124" s="13"/>
      <c r="H124" s="13"/>
      <c r="I124" s="391"/>
      <c r="J124" s="392"/>
      <c r="K124" s="13"/>
      <c r="L124" s="373"/>
      <c r="M124" s="384"/>
      <c r="N124" s="377"/>
    </row>
    <row r="125" spans="1:14" ht="15" customHeight="1" x14ac:dyDescent="0.2">
      <c r="A125" s="798"/>
      <c r="B125" s="403" t="s">
        <v>422</v>
      </c>
      <c r="C125" s="395" t="str" cm="1">
        <f t="array" ref="C125">IF(OR(SUM(WORLDCUP!$AN$94:$AN$97)=12,WORLDCUP!$AJ$99=144),WORLDCUP!AL95,B125)</f>
        <v>Croacia</v>
      </c>
      <c r="D125" s="753"/>
      <c r="E125" s="13"/>
      <c r="F125" s="13"/>
      <c r="G125" s="13"/>
      <c r="H125" s="13"/>
      <c r="I125" s="391"/>
      <c r="J125" s="392"/>
      <c r="K125" s="13"/>
      <c r="L125" s="373"/>
      <c r="M125" s="384"/>
      <c r="N125" s="377"/>
    </row>
    <row r="126" spans="1:14" ht="15" customHeight="1" x14ac:dyDescent="0.2">
      <c r="A126" s="798"/>
      <c r="B126" s="403" t="s">
        <v>423</v>
      </c>
      <c r="C126" s="395" t="str" cm="1">
        <f t="array" ref="C126">IF(OR(SUM(WORLDCUP!$AN$94:$AN$97)=12,WORLDCUP!$AJ$99=144),WORLDCUP!AL96,B126)</f>
        <v>Ghana</v>
      </c>
      <c r="D126" s="753"/>
      <c r="E126" s="13"/>
      <c r="F126" s="13"/>
      <c r="G126" s="13"/>
      <c r="H126" s="13"/>
      <c r="I126" s="391"/>
      <c r="J126" s="392"/>
      <c r="K126" s="13"/>
      <c r="L126" s="373"/>
      <c r="M126" s="384"/>
      <c r="N126" s="377"/>
    </row>
    <row r="127" spans="1:14" ht="15" customHeight="1" x14ac:dyDescent="0.2">
      <c r="A127" s="798"/>
      <c r="B127" s="403" t="s">
        <v>424</v>
      </c>
      <c r="C127" s="395" t="str" cm="1">
        <f t="array" ref="C127">IF(OR(SUM(WORLDCUP!$AN$94:$AN$97)=12,WORLDCUP!$AJ$99=144),WORLDCUP!AL97,B127)</f>
        <v>Panamá</v>
      </c>
      <c r="D127" s="753"/>
      <c r="E127" s="13"/>
      <c r="F127" s="13"/>
      <c r="G127" s="13"/>
      <c r="H127" s="13"/>
      <c r="I127" s="391"/>
      <c r="J127" s="392"/>
      <c r="K127" s="13"/>
      <c r="L127" s="373"/>
      <c r="M127" s="384"/>
      <c r="N127" s="377"/>
    </row>
    <row r="128" spans="1:14" ht="15" customHeight="1" x14ac:dyDescent="0.2">
      <c r="A128" s="378"/>
      <c r="B128" s="397"/>
      <c r="C128" s="398"/>
      <c r="D128" s="753"/>
      <c r="E128" s="13"/>
      <c r="F128" s="13"/>
      <c r="G128" s="13"/>
      <c r="H128" s="13"/>
      <c r="I128" s="391"/>
      <c r="J128" s="392"/>
      <c r="K128" s="13"/>
      <c r="L128" s="373"/>
      <c r="M128" s="384"/>
      <c r="N128" s="377"/>
    </row>
    <row r="129" spans="1:14" ht="19" customHeight="1" x14ac:dyDescent="0.25">
      <c r="A129" s="378"/>
      <c r="B129" s="404" t="s">
        <v>425</v>
      </c>
      <c r="C129" s="400"/>
      <c r="D129" s="753"/>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3"/>
      <c r="E130" s="13"/>
      <c r="F130" s="13"/>
      <c r="G130" s="13"/>
      <c r="H130" s="13"/>
      <c r="I130" s="391"/>
      <c r="J130" s="392"/>
      <c r="K130" s="13"/>
      <c r="L130" s="373"/>
      <c r="M130" s="384"/>
      <c r="N130" s="377"/>
    </row>
    <row r="131" spans="1:14" ht="15" customHeight="1" x14ac:dyDescent="0.2">
      <c r="A131" s="798"/>
      <c r="B131" s="395" t="str" cm="1">
        <f t="array" ref="B131">B130</f>
        <v>Dieciseisavofinalista</v>
      </c>
      <c r="C131" s="395" t="str" cm="1">
        <f t="array" ref="C131">WORLDCUP!AA102</f>
        <v>Brasil</v>
      </c>
      <c r="D131" s="753"/>
      <c r="E131" s="13"/>
      <c r="F131" s="13"/>
      <c r="G131" s="13"/>
      <c r="H131" s="13"/>
      <c r="I131" s="391"/>
      <c r="J131" s="392"/>
      <c r="K131" s="13"/>
      <c r="L131" s="373"/>
      <c r="M131" s="384"/>
      <c r="N131" s="377"/>
    </row>
    <row r="132" spans="1:14" ht="15" customHeight="1" x14ac:dyDescent="0.2">
      <c r="A132" s="798"/>
      <c r="B132" s="395" t="str" cm="1">
        <f t="array" ref="B132">B131</f>
        <v>Dieciseisavofinalista</v>
      </c>
      <c r="C132" s="395" t="str" cm="1">
        <f t="array" ref="C132">WORLDCUP!AA103</f>
        <v>Alemania</v>
      </c>
      <c r="D132" s="753"/>
      <c r="E132" s="13"/>
      <c r="F132" s="13"/>
      <c r="G132" s="13"/>
      <c r="H132" s="13"/>
      <c r="I132" s="391"/>
      <c r="J132" s="392"/>
      <c r="K132" s="13"/>
      <c r="L132" s="373"/>
      <c r="M132" s="384"/>
      <c r="N132" s="377"/>
    </row>
    <row r="133" spans="1:14" ht="15" customHeight="1" x14ac:dyDescent="0.2">
      <c r="A133" s="798"/>
      <c r="B133" s="395" t="str" cm="1">
        <f t="array" ref="B133">B132</f>
        <v>Dieciseisavofinalista</v>
      </c>
      <c r="C133" s="395" t="str" cm="1">
        <f t="array" ref="C133">WORLDCUP!AA104</f>
        <v>Países Bajos</v>
      </c>
      <c r="D133" s="753"/>
      <c r="E133" s="13"/>
      <c r="F133" s="13"/>
      <c r="G133" s="13"/>
      <c r="H133" s="13"/>
      <c r="I133" s="391"/>
      <c r="J133" s="392"/>
      <c r="K133" s="13"/>
      <c r="L133" s="373"/>
      <c r="M133" s="384"/>
      <c r="N133" s="377"/>
    </row>
    <row r="134" spans="1:14" ht="15" customHeight="1" x14ac:dyDescent="0.2">
      <c r="A134" s="798"/>
      <c r="B134" s="395" t="str" cm="1">
        <f t="array" ref="B134">B133</f>
        <v>Dieciseisavofinalista</v>
      </c>
      <c r="C134" s="395" t="str" cm="1">
        <f t="array" ref="C134">WORLDCUP!AA105</f>
        <v>Curazao</v>
      </c>
      <c r="D134" s="753"/>
      <c r="E134" s="13"/>
      <c r="F134" s="13"/>
      <c r="G134" s="13"/>
      <c r="H134" s="13"/>
      <c r="I134" s="391"/>
      <c r="J134" s="392"/>
      <c r="K134" s="13"/>
      <c r="L134" s="373"/>
      <c r="M134" s="384"/>
      <c r="N134" s="377"/>
    </row>
    <row r="135" spans="1:14" ht="15" customHeight="1" x14ac:dyDescent="0.2">
      <c r="A135" s="798"/>
      <c r="B135" s="395" t="str" cm="1">
        <f t="array" ref="B135">B134</f>
        <v>Dieciseisavofinalista</v>
      </c>
      <c r="C135" s="395" t="str" cm="1">
        <f t="array" ref="C135">WORLDCUP!AA106</f>
        <v>Francia</v>
      </c>
      <c r="D135" s="753"/>
      <c r="E135" s="13"/>
      <c r="F135" s="13"/>
      <c r="G135" s="13"/>
      <c r="H135" s="13"/>
      <c r="I135" s="391"/>
      <c r="J135" s="392"/>
      <c r="K135" s="13"/>
      <c r="L135" s="373"/>
      <c r="M135" s="384"/>
      <c r="N135" s="377"/>
    </row>
    <row r="136" spans="1:14" ht="15" customHeight="1" x14ac:dyDescent="0.2">
      <c r="A136" s="798"/>
      <c r="B136" s="395" t="str" cm="1">
        <f t="array" ref="B136">B135</f>
        <v>Dieciseisavofinalista</v>
      </c>
      <c r="C136" s="395" t="str" cm="1">
        <f t="array" ref="C136">WORLDCUP!AA107</f>
        <v>México</v>
      </c>
      <c r="D136" s="753"/>
      <c r="E136" s="13"/>
      <c r="F136" s="13"/>
      <c r="G136" s="13"/>
      <c r="H136" s="13"/>
      <c r="I136" s="391"/>
      <c r="J136" s="392"/>
      <c r="K136" s="13"/>
      <c r="L136" s="373"/>
      <c r="M136" s="384"/>
      <c r="N136" s="377"/>
    </row>
    <row r="137" spans="1:14" ht="15" customHeight="1" x14ac:dyDescent="0.2">
      <c r="A137" s="798"/>
      <c r="B137" s="395" t="str" cm="1">
        <f t="array" ref="B137">B136</f>
        <v>Dieciseisavofinalista</v>
      </c>
      <c r="C137" s="395" t="str" cm="1">
        <f t="array" ref="C137">WORLDCUP!AA108</f>
        <v>Inglaterra</v>
      </c>
      <c r="D137" s="753"/>
      <c r="E137" s="13"/>
      <c r="F137" s="13"/>
      <c r="G137" s="13"/>
      <c r="H137" s="13"/>
      <c r="I137" s="391"/>
      <c r="J137" s="392"/>
      <c r="K137" s="13"/>
      <c r="L137" s="373"/>
      <c r="M137" s="384"/>
      <c r="N137" s="377"/>
    </row>
    <row r="138" spans="1:14" ht="15" customHeight="1" x14ac:dyDescent="0.2">
      <c r="A138" s="798"/>
      <c r="B138" s="395" t="str" cm="1">
        <f t="array" ref="B138">B137</f>
        <v>Dieciseisavofinalista</v>
      </c>
      <c r="C138" s="395" t="str" cm="1">
        <f t="array" ref="C138">WORLDCUP!AA109</f>
        <v>Bélgica</v>
      </c>
      <c r="D138" s="753"/>
      <c r="E138" s="13"/>
      <c r="F138" s="13"/>
      <c r="G138" s="13"/>
      <c r="H138" s="13"/>
      <c r="I138" s="391"/>
      <c r="J138" s="392"/>
      <c r="K138" s="13"/>
      <c r="L138" s="373"/>
      <c r="M138" s="384"/>
      <c r="N138" s="377"/>
    </row>
    <row r="139" spans="1:14" ht="15" customHeight="1" x14ac:dyDescent="0.2">
      <c r="A139" s="798"/>
      <c r="B139" s="395" t="str" cm="1">
        <f t="array" ref="B139">B138</f>
        <v>Dieciseisavofinalista</v>
      </c>
      <c r="C139" s="395" t="str" cm="1">
        <f t="array" ref="C139">WORLDCUP!AA110</f>
        <v>Estados Unidos</v>
      </c>
      <c r="D139" s="753"/>
      <c r="E139" s="13"/>
      <c r="F139" s="13"/>
      <c r="G139" s="13"/>
      <c r="H139" s="13"/>
      <c r="I139" s="391"/>
      <c r="J139" s="392"/>
      <c r="K139" s="13"/>
      <c r="L139" s="373"/>
      <c r="M139" s="384"/>
      <c r="N139" s="377"/>
    </row>
    <row r="140" spans="1:14" ht="15" customHeight="1" x14ac:dyDescent="0.2">
      <c r="A140" s="798"/>
      <c r="B140" s="395" t="str" cm="1">
        <f t="array" ref="B140">B139</f>
        <v>Dieciseisavofinalista</v>
      </c>
      <c r="C140" s="395" t="str" cm="1">
        <f t="array" ref="C140">WORLDCUP!AA111</f>
        <v>España</v>
      </c>
      <c r="D140" s="753"/>
      <c r="E140" s="13"/>
      <c r="F140" s="13"/>
      <c r="G140" s="13"/>
      <c r="H140" s="13"/>
      <c r="I140" s="391"/>
      <c r="J140" s="392"/>
      <c r="K140" s="13"/>
      <c r="L140" s="373"/>
      <c r="M140" s="384"/>
      <c r="N140" s="377"/>
    </row>
    <row r="141" spans="1:14" ht="15" customHeight="1" x14ac:dyDescent="0.2">
      <c r="A141" s="798"/>
      <c r="B141" s="395" t="str" cm="1">
        <f t="array" ref="B141">B140</f>
        <v>Dieciseisavofinalista</v>
      </c>
      <c r="C141" s="395" t="str" cm="1">
        <f t="array" ref="C141">WORLDCUP!AA112</f>
        <v>RD Congo</v>
      </c>
      <c r="D141" s="753"/>
      <c r="E141" s="13"/>
      <c r="F141" s="13"/>
      <c r="G141" s="13"/>
      <c r="H141" s="13"/>
      <c r="I141" s="391"/>
      <c r="J141" s="392"/>
      <c r="K141" s="13"/>
      <c r="L141" s="373"/>
      <c r="M141" s="384"/>
      <c r="N141" s="377"/>
    </row>
    <row r="142" spans="1:14" ht="15" customHeight="1" x14ac:dyDescent="0.2">
      <c r="A142" s="798"/>
      <c r="B142" s="395" t="str" cm="1">
        <f t="array" ref="B142">B141</f>
        <v>Dieciseisavofinalista</v>
      </c>
      <c r="C142" s="395" t="str" cm="1">
        <f t="array" ref="C142">WORLDCUP!AA113</f>
        <v>Canadá</v>
      </c>
      <c r="D142" s="753"/>
      <c r="E142" s="13"/>
      <c r="F142" s="13"/>
      <c r="G142" s="13"/>
      <c r="H142" s="13"/>
      <c r="I142" s="391"/>
      <c r="J142" s="392"/>
      <c r="K142" s="13"/>
      <c r="L142" s="373"/>
      <c r="M142" s="384"/>
      <c r="N142" s="377"/>
    </row>
    <row r="143" spans="1:14" ht="15" customHeight="1" x14ac:dyDescent="0.2">
      <c r="A143" s="798"/>
      <c r="B143" s="395" t="str" cm="1">
        <f t="array" ref="B143">B142</f>
        <v>Dieciseisavofinalista</v>
      </c>
      <c r="C143" s="395" t="str" cm="1">
        <f t="array" ref="C143">WORLDCUP!AA114</f>
        <v>Paraguay</v>
      </c>
      <c r="D143" s="753"/>
      <c r="E143" s="13"/>
      <c r="F143" s="13"/>
      <c r="G143" s="13"/>
      <c r="H143" s="13"/>
      <c r="I143" s="391"/>
      <c r="J143" s="392"/>
      <c r="K143" s="13"/>
      <c r="L143" s="373"/>
      <c r="M143" s="384"/>
      <c r="N143" s="377"/>
    </row>
    <row r="144" spans="1:14" ht="15" customHeight="1" x14ac:dyDescent="0.2">
      <c r="A144" s="798"/>
      <c r="B144" s="395" t="str" cm="1">
        <f t="array" ref="B144">B143</f>
        <v>Dieciseisavofinalista</v>
      </c>
      <c r="C144" s="395" t="str" cm="1">
        <f t="array" ref="C144">WORLDCUP!AA115</f>
        <v>Argentina</v>
      </c>
      <c r="D144" s="753"/>
      <c r="E144" s="13"/>
      <c r="F144" s="13"/>
      <c r="G144" s="13"/>
      <c r="H144" s="13"/>
      <c r="I144" s="391"/>
      <c r="J144" s="392"/>
      <c r="K144" s="13"/>
      <c r="L144" s="373"/>
      <c r="M144" s="384"/>
      <c r="N144" s="377"/>
    </row>
    <row r="145" spans="1:14" ht="15" customHeight="1" x14ac:dyDescent="0.2">
      <c r="A145" s="798"/>
      <c r="B145" s="395" t="str" cm="1">
        <f t="array" ref="B145">B144</f>
        <v>Dieciseisavofinalista</v>
      </c>
      <c r="C145" s="395" t="str" cm="1">
        <f t="array" ref="C145">WORLDCUP!AA116</f>
        <v>Portugal</v>
      </c>
      <c r="D145" s="753"/>
      <c r="E145" s="13"/>
      <c r="F145" s="13"/>
      <c r="G145" s="13"/>
      <c r="H145" s="13"/>
      <c r="I145" s="391"/>
      <c r="J145" s="392"/>
      <c r="K145" s="13"/>
      <c r="L145" s="373"/>
      <c r="M145" s="384"/>
      <c r="N145" s="377"/>
    </row>
    <row r="146" spans="1:14" ht="15" customHeight="1" x14ac:dyDescent="0.2">
      <c r="A146" s="798"/>
      <c r="B146" s="405" t="s">
        <v>426</v>
      </c>
      <c r="C146" s="395" t="str" cm="1">
        <f t="array" ref="C146">WORLDCUP!AF101</f>
        <v>2B</v>
      </c>
      <c r="D146" s="753"/>
      <c r="E146" s="13"/>
      <c r="F146" s="13"/>
      <c r="G146" s="13"/>
      <c r="H146" s="13"/>
      <c r="I146" s="391"/>
      <c r="J146" s="392"/>
      <c r="K146" s="13"/>
      <c r="L146" s="373"/>
      <c r="M146" s="384"/>
      <c r="N146" s="377"/>
    </row>
    <row r="147" spans="1:14" ht="15" customHeight="1" x14ac:dyDescent="0.2">
      <c r="A147" s="798"/>
      <c r="B147" s="395" t="str" cm="1">
        <f t="array" ref="B147">B146</f>
        <v>Dieciseisavofinalista</v>
      </c>
      <c r="C147" s="395" t="str" cm="1">
        <f t="array" ref="C147">WORLDCUP!AF102</f>
        <v>2F</v>
      </c>
      <c r="D147" s="753"/>
      <c r="E147" s="13"/>
      <c r="F147" s="13"/>
      <c r="G147" s="13"/>
      <c r="H147" s="13"/>
      <c r="I147" s="391"/>
      <c r="J147" s="392"/>
      <c r="K147" s="13"/>
      <c r="L147" s="373"/>
      <c r="M147" s="384"/>
      <c r="N147" s="377"/>
    </row>
    <row r="148" spans="1:14" ht="15" customHeight="1" x14ac:dyDescent="0.2">
      <c r="A148" s="798"/>
      <c r="B148" s="395" t="str" cm="1">
        <f t="array" ref="B148">B147</f>
        <v>Dieciseisavofinalista</v>
      </c>
      <c r="C148" s="395" t="str" cm="1">
        <f t="array" ref="C148">WORLDCUP!AF103</f>
        <v>3ABCDF</v>
      </c>
      <c r="D148" s="753"/>
      <c r="E148" s="13"/>
      <c r="F148" s="13"/>
      <c r="G148" s="13"/>
      <c r="H148" s="13"/>
      <c r="I148" s="391"/>
      <c r="J148" s="392"/>
      <c r="K148" s="13"/>
      <c r="L148" s="373"/>
      <c r="M148" s="384"/>
      <c r="N148" s="377"/>
    </row>
    <row r="149" spans="1:14" ht="15" customHeight="1" x14ac:dyDescent="0.2">
      <c r="A149" s="798"/>
      <c r="B149" s="395" t="str" cm="1">
        <f t="array" ref="B149">B148</f>
        <v>Dieciseisavofinalista</v>
      </c>
      <c r="C149" s="395" t="str" cm="1">
        <f t="array" ref="C149">WORLDCUP!AF104</f>
        <v>2C</v>
      </c>
      <c r="D149" s="753"/>
      <c r="E149" s="13"/>
      <c r="F149" s="13"/>
      <c r="G149" s="13"/>
      <c r="H149" s="13"/>
      <c r="I149" s="391"/>
      <c r="J149" s="392"/>
      <c r="K149" s="13"/>
      <c r="L149" s="373"/>
      <c r="M149" s="384"/>
      <c r="N149" s="377"/>
    </row>
    <row r="150" spans="1:14" ht="15" customHeight="1" x14ac:dyDescent="0.2">
      <c r="A150" s="798"/>
      <c r="B150" s="395" t="str" cm="1">
        <f t="array" ref="B150">B149</f>
        <v>Dieciseisavofinalista</v>
      </c>
      <c r="C150" s="395" t="str" cm="1">
        <f t="array" ref="C150">WORLDCUP!AF105</f>
        <v>2I</v>
      </c>
      <c r="D150" s="753"/>
      <c r="E150" s="13"/>
      <c r="F150" s="13"/>
      <c r="G150" s="13"/>
      <c r="H150" s="13"/>
      <c r="I150" s="391"/>
      <c r="J150" s="392"/>
      <c r="K150" s="13"/>
      <c r="L150" s="373"/>
      <c r="M150" s="384"/>
      <c r="N150" s="377"/>
    </row>
    <row r="151" spans="1:14" ht="15" customHeight="1" x14ac:dyDescent="0.2">
      <c r="A151" s="798"/>
      <c r="B151" s="395" t="str" cm="1">
        <f t="array" ref="B151">B150</f>
        <v>Dieciseisavofinalista</v>
      </c>
      <c r="C151" s="395" t="str" cm="1">
        <f t="array" ref="C151">WORLDCUP!AF106</f>
        <v>3CDFGH</v>
      </c>
      <c r="D151" s="753"/>
      <c r="E151" s="13"/>
      <c r="F151" s="13"/>
      <c r="G151" s="13"/>
      <c r="H151" s="13"/>
      <c r="I151" s="391"/>
      <c r="J151" s="392"/>
      <c r="K151" s="13"/>
      <c r="L151" s="373"/>
      <c r="M151" s="384"/>
      <c r="N151" s="377"/>
    </row>
    <row r="152" spans="1:14" ht="15" customHeight="1" x14ac:dyDescent="0.2">
      <c r="A152" s="798"/>
      <c r="B152" s="395" t="str" cm="1">
        <f t="array" ref="B152">B151</f>
        <v>Dieciseisavofinalista</v>
      </c>
      <c r="C152" s="395" t="str" cm="1">
        <f t="array" ref="C152">WORLDCUP!AF107</f>
        <v>3CEFHI</v>
      </c>
      <c r="D152" s="753"/>
      <c r="E152" s="13"/>
      <c r="F152" s="13"/>
      <c r="G152" s="13"/>
      <c r="H152" s="13"/>
      <c r="I152" s="391"/>
      <c r="J152" s="392"/>
      <c r="K152" s="13"/>
      <c r="L152" s="373"/>
      <c r="M152" s="384"/>
      <c r="N152" s="377"/>
    </row>
    <row r="153" spans="1:14" ht="15" customHeight="1" x14ac:dyDescent="0.2">
      <c r="A153" s="798"/>
      <c r="B153" s="395" t="str" cm="1">
        <f t="array" ref="B153">B152</f>
        <v>Dieciseisavofinalista</v>
      </c>
      <c r="C153" s="395" t="str" cm="1">
        <f t="array" ref="C153">WORLDCUP!AF108</f>
        <v>3EHIJK</v>
      </c>
      <c r="D153" s="753"/>
      <c r="E153" s="13"/>
      <c r="F153" s="13"/>
      <c r="G153" s="13"/>
      <c r="H153" s="13"/>
      <c r="I153" s="391"/>
      <c r="J153" s="392"/>
      <c r="K153" s="13"/>
      <c r="L153" s="373"/>
      <c r="M153" s="384"/>
      <c r="N153" s="377"/>
    </row>
    <row r="154" spans="1:14" ht="15" customHeight="1" x14ac:dyDescent="0.2">
      <c r="A154" s="798"/>
      <c r="B154" s="395" t="str" cm="1">
        <f t="array" ref="B154">B153</f>
        <v>Dieciseisavofinalista</v>
      </c>
      <c r="C154" s="395" t="str" cm="1">
        <f t="array" ref="C154">WORLDCUP!AF109</f>
        <v>3AEHIJ</v>
      </c>
      <c r="D154" s="753"/>
      <c r="E154" s="13"/>
      <c r="F154" s="13"/>
      <c r="G154" s="13"/>
      <c r="H154" s="13"/>
      <c r="I154" s="391"/>
      <c r="J154" s="392"/>
      <c r="K154" s="13"/>
      <c r="L154" s="373"/>
      <c r="M154" s="384"/>
      <c r="N154" s="377"/>
    </row>
    <row r="155" spans="1:14" ht="15" customHeight="1" x14ac:dyDescent="0.2">
      <c r="A155" s="798"/>
      <c r="B155" s="395" t="str" cm="1">
        <f t="array" ref="B155">B154</f>
        <v>Dieciseisavofinalista</v>
      </c>
      <c r="C155" s="395" t="str" cm="1">
        <f t="array" ref="C155">WORLDCUP!AF110</f>
        <v>3BEFIJ</v>
      </c>
      <c r="D155" s="753"/>
      <c r="E155" s="13"/>
      <c r="F155" s="13"/>
      <c r="G155" s="13"/>
      <c r="H155" s="13"/>
      <c r="I155" s="391"/>
      <c r="J155" s="392"/>
      <c r="K155" s="13"/>
      <c r="L155" s="373"/>
      <c r="M155" s="384"/>
      <c r="N155" s="377"/>
    </row>
    <row r="156" spans="1:14" ht="15" customHeight="1" x14ac:dyDescent="0.2">
      <c r="A156" s="798"/>
      <c r="B156" s="395" t="str" cm="1">
        <f t="array" ref="B156">B155</f>
        <v>Dieciseisavofinalista</v>
      </c>
      <c r="C156" s="395" t="str" cm="1">
        <f t="array" ref="C156">WORLDCUP!AF111</f>
        <v>2J</v>
      </c>
      <c r="D156" s="753"/>
      <c r="E156" s="13"/>
      <c r="F156" s="13"/>
      <c r="G156" s="13"/>
      <c r="H156" s="13"/>
      <c r="I156" s="391"/>
      <c r="J156" s="392"/>
      <c r="K156" s="13"/>
      <c r="L156" s="373"/>
      <c r="M156" s="384"/>
      <c r="N156" s="377"/>
    </row>
    <row r="157" spans="1:14" ht="15" customHeight="1" x14ac:dyDescent="0.2">
      <c r="A157" s="798"/>
      <c r="B157" s="395" t="str" cm="1">
        <f t="array" ref="B157">B156</f>
        <v>Dieciseisavofinalista</v>
      </c>
      <c r="C157" s="395" t="str" cm="1">
        <f t="array" ref="C157">WORLDCUP!AF112</f>
        <v>2L</v>
      </c>
      <c r="D157" s="753"/>
      <c r="E157" s="13"/>
      <c r="F157" s="13"/>
      <c r="G157" s="13"/>
      <c r="H157" s="13"/>
      <c r="I157" s="391"/>
      <c r="J157" s="392"/>
      <c r="K157" s="13"/>
      <c r="L157" s="373"/>
      <c r="M157" s="384"/>
      <c r="N157" s="377"/>
    </row>
    <row r="158" spans="1:14" ht="15" customHeight="1" x14ac:dyDescent="0.2">
      <c r="A158" s="798"/>
      <c r="B158" s="395" t="str" cm="1">
        <f t="array" ref="B158">B157</f>
        <v>Dieciseisavofinalista</v>
      </c>
      <c r="C158" s="395" t="str" cm="1">
        <f t="array" ref="C158">WORLDCUP!AF113</f>
        <v>3EFGIJ</v>
      </c>
      <c r="D158" s="753"/>
      <c r="E158" s="13"/>
      <c r="F158" s="13"/>
      <c r="G158" s="13"/>
      <c r="H158" s="13"/>
      <c r="I158" s="391"/>
      <c r="J158" s="392"/>
      <c r="K158" s="13"/>
      <c r="L158" s="373"/>
      <c r="M158" s="384"/>
      <c r="N158" s="377"/>
    </row>
    <row r="159" spans="1:14" ht="15" customHeight="1" x14ac:dyDescent="0.2">
      <c r="A159" s="798"/>
      <c r="B159" s="395" t="str" cm="1">
        <f t="array" ref="B159">B158</f>
        <v>Dieciseisavofinalista</v>
      </c>
      <c r="C159" s="395" t="str" cm="1">
        <f t="array" ref="C159">WORLDCUP!AF114</f>
        <v>2G</v>
      </c>
      <c r="D159" s="753"/>
      <c r="E159" s="13"/>
      <c r="F159" s="13"/>
      <c r="G159" s="13"/>
      <c r="H159" s="13"/>
      <c r="I159" s="391"/>
      <c r="J159" s="392"/>
      <c r="K159" s="13"/>
      <c r="L159" s="373"/>
      <c r="M159" s="384"/>
      <c r="N159" s="377"/>
    </row>
    <row r="160" spans="1:14" ht="15" customHeight="1" x14ac:dyDescent="0.2">
      <c r="A160" s="798"/>
      <c r="B160" s="395" t="str" cm="1">
        <f t="array" ref="B160">B159</f>
        <v>Dieciseisavofinalista</v>
      </c>
      <c r="C160" s="395" t="str" cm="1">
        <f t="array" ref="C160">WORLDCUP!AF115</f>
        <v>2H</v>
      </c>
      <c r="D160" s="753"/>
      <c r="E160" s="13"/>
      <c r="F160" s="13"/>
      <c r="G160" s="13"/>
      <c r="H160" s="13"/>
      <c r="I160" s="391"/>
      <c r="J160" s="392"/>
      <c r="K160" s="13"/>
      <c r="L160" s="373"/>
      <c r="M160" s="384"/>
      <c r="N160" s="377"/>
    </row>
    <row r="161" spans="1:14" ht="15" customHeight="1" x14ac:dyDescent="0.2">
      <c r="A161" s="798"/>
      <c r="B161" s="395" t="str" cm="1">
        <f t="array" ref="B161">B160</f>
        <v>Dieciseisavofinalista</v>
      </c>
      <c r="C161" s="395" t="str" cm="1">
        <f t="array" ref="C161">WORLDCUP!AF116</f>
        <v>3DEIJL</v>
      </c>
      <c r="D161" s="812"/>
      <c r="E161" s="372"/>
      <c r="F161" s="372"/>
      <c r="G161" s="372"/>
      <c r="H161" s="372"/>
      <c r="I161" s="396"/>
      <c r="J161" s="371"/>
      <c r="K161" s="372"/>
      <c r="L161" s="406"/>
      <c r="M161" s="407"/>
      <c r="N161" s="377"/>
    </row>
    <row r="162" spans="1:14" ht="20" customHeight="1" x14ac:dyDescent="0.2">
      <c r="A162" s="378"/>
      <c r="B162" s="398"/>
      <c r="C162" s="398"/>
      <c r="D162" s="388"/>
      <c r="E162" s="818" t="s">
        <v>427</v>
      </c>
      <c r="F162" s="815"/>
      <c r="G162" s="807"/>
      <c r="H162" s="807"/>
      <c r="I162" s="807"/>
      <c r="J162" s="807"/>
      <c r="K162" s="807"/>
      <c r="L162" s="816"/>
      <c r="M162" s="408"/>
      <c r="N162" s="377"/>
    </row>
    <row r="163" spans="1:14" ht="23" customHeight="1" x14ac:dyDescent="0.25">
      <c r="A163" s="378"/>
      <c r="B163" s="404" t="s">
        <v>428</v>
      </c>
      <c r="C163" s="400"/>
      <c r="D163" s="13"/>
      <c r="E163" s="814" t="s">
        <v>429</v>
      </c>
      <c r="F163" s="815"/>
      <c r="G163" s="807"/>
      <c r="H163" s="807"/>
      <c r="I163" s="807"/>
      <c r="J163" s="807"/>
      <c r="K163" s="807"/>
      <c r="L163" s="816"/>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8" t="s">
        <v>232</v>
      </c>
      <c r="E164" s="826" t="s">
        <v>430</v>
      </c>
      <c r="F164" s="811"/>
      <c r="G164" s="811"/>
      <c r="H164" s="811"/>
      <c r="I164" s="410"/>
      <c r="J164" s="388"/>
      <c r="K164" s="388"/>
      <c r="L164" s="388"/>
      <c r="M164" s="411"/>
      <c r="N164" s="377"/>
    </row>
    <row r="165" spans="1:14" ht="15" customHeight="1" x14ac:dyDescent="0.2">
      <c r="A165" s="798"/>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3"/>
      <c r="E165" s="753"/>
      <c r="F165" s="753"/>
      <c r="G165" s="753"/>
      <c r="H165" s="753"/>
      <c r="I165" s="412"/>
      <c r="J165" s="13"/>
      <c r="K165" s="13"/>
      <c r="L165" s="13"/>
      <c r="M165" s="411"/>
      <c r="N165" s="377"/>
    </row>
    <row r="166" spans="1:14" ht="15" customHeight="1" x14ac:dyDescent="0.2">
      <c r="A166" s="798"/>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3"/>
      <c r="E166" s="753"/>
      <c r="F166" s="753"/>
      <c r="G166" s="753"/>
      <c r="H166" s="753"/>
      <c r="I166" s="412"/>
      <c r="J166" s="13"/>
      <c r="K166" s="13"/>
      <c r="L166" s="13"/>
      <c r="M166" s="411"/>
      <c r="N166" s="377"/>
    </row>
    <row r="167" spans="1:14" ht="15" customHeight="1" x14ac:dyDescent="0.2">
      <c r="A167" s="798"/>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3"/>
      <c r="E167" s="753"/>
      <c r="F167" s="753"/>
      <c r="G167" s="753"/>
      <c r="H167" s="753"/>
      <c r="I167" s="412"/>
      <c r="J167" s="13"/>
      <c r="K167" s="13"/>
      <c r="L167" s="13"/>
      <c r="M167" s="411"/>
      <c r="N167" s="377"/>
    </row>
    <row r="168" spans="1:14" ht="15" customHeight="1" x14ac:dyDescent="0.2">
      <c r="A168" s="798"/>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3"/>
      <c r="E168" s="13"/>
      <c r="F168" s="13"/>
      <c r="G168" s="13"/>
      <c r="H168" s="13"/>
      <c r="I168" s="412"/>
      <c r="J168" s="13"/>
      <c r="K168" s="13"/>
      <c r="L168" s="13"/>
      <c r="M168" s="411"/>
      <c r="N168" s="377"/>
    </row>
    <row r="169" spans="1:14" ht="15" customHeight="1" x14ac:dyDescent="0.2">
      <c r="A169" s="798"/>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3"/>
      <c r="E169" s="13"/>
      <c r="F169" s="13"/>
      <c r="G169" s="13"/>
      <c r="H169" s="13"/>
      <c r="I169" s="412"/>
      <c r="J169" s="13"/>
      <c r="K169" s="13"/>
      <c r="L169" s="13"/>
      <c r="M169" s="411"/>
      <c r="N169" s="377"/>
    </row>
    <row r="170" spans="1:14" ht="15" customHeight="1" x14ac:dyDescent="0.2">
      <c r="A170" s="798"/>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3"/>
      <c r="E170" s="13"/>
      <c r="F170" s="13"/>
      <c r="G170" s="13"/>
      <c r="H170" s="13"/>
      <c r="I170" s="412"/>
      <c r="J170" s="13"/>
      <c r="K170" s="13"/>
      <c r="L170" s="13"/>
      <c r="M170" s="411"/>
      <c r="N170" s="377"/>
    </row>
    <row r="171" spans="1:14" ht="15" customHeight="1" x14ac:dyDescent="0.2">
      <c r="A171" s="798"/>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3"/>
      <c r="E171" s="13"/>
      <c r="F171" s="13"/>
      <c r="G171" s="13"/>
      <c r="H171" s="13"/>
      <c r="I171" s="412"/>
      <c r="J171" s="13"/>
      <c r="K171" s="13"/>
      <c r="L171" s="13"/>
      <c r="M171" s="411"/>
      <c r="N171" s="377"/>
    </row>
    <row r="172" spans="1:14" ht="15" customHeight="1" x14ac:dyDescent="0.2">
      <c r="A172" s="798"/>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3"/>
      <c r="E172" s="13"/>
      <c r="F172" s="13"/>
      <c r="G172" s="13"/>
      <c r="H172" s="13"/>
      <c r="I172" s="412"/>
      <c r="J172" s="13"/>
      <c r="K172" s="13"/>
      <c r="L172" s="13"/>
      <c r="M172" s="411"/>
      <c r="N172" s="377"/>
    </row>
    <row r="173" spans="1:14" ht="15" customHeight="1" x14ac:dyDescent="0.2">
      <c r="A173" s="798"/>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3"/>
      <c r="E173" s="13"/>
      <c r="F173" s="13"/>
      <c r="G173" s="13"/>
      <c r="H173" s="13"/>
      <c r="I173" s="412"/>
      <c r="J173" s="13"/>
      <c r="K173" s="13"/>
      <c r="L173" s="13"/>
      <c r="M173" s="411"/>
      <c r="N173" s="377"/>
    </row>
    <row r="174" spans="1:14" ht="15" customHeight="1" x14ac:dyDescent="0.2">
      <c r="A174" s="798"/>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3"/>
      <c r="E174" s="13"/>
      <c r="F174" s="13"/>
      <c r="G174" s="13"/>
      <c r="H174" s="13"/>
      <c r="I174" s="412"/>
      <c r="J174" s="13"/>
      <c r="K174" s="13"/>
      <c r="L174" s="13"/>
      <c r="M174" s="411"/>
      <c r="N174" s="377"/>
    </row>
    <row r="175" spans="1:14" ht="15" customHeight="1" x14ac:dyDescent="0.2">
      <c r="A175" s="798"/>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3"/>
      <c r="E175" s="13"/>
      <c r="F175" s="13"/>
      <c r="G175" s="13"/>
      <c r="H175" s="13"/>
      <c r="I175" s="412"/>
      <c r="J175" s="13"/>
      <c r="K175" s="13"/>
      <c r="L175" s="13"/>
      <c r="M175" s="411"/>
      <c r="N175" s="377"/>
    </row>
    <row r="176" spans="1:14" ht="15" customHeight="1" x14ac:dyDescent="0.2">
      <c r="A176" s="798"/>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3"/>
      <c r="E176" s="13"/>
      <c r="F176" s="13"/>
      <c r="G176" s="13"/>
      <c r="H176" s="13"/>
      <c r="I176" s="412"/>
      <c r="J176" s="13"/>
      <c r="K176" s="13"/>
      <c r="L176" s="13"/>
      <c r="M176" s="411"/>
      <c r="N176" s="377"/>
    </row>
    <row r="177" spans="1:14" ht="15" customHeight="1" x14ac:dyDescent="0.2">
      <c r="A177" s="798"/>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3"/>
      <c r="E177" s="13"/>
      <c r="F177" s="13"/>
      <c r="G177" s="13"/>
      <c r="H177" s="13"/>
      <c r="I177" s="412"/>
      <c r="J177" s="13"/>
      <c r="K177" s="13"/>
      <c r="L177" s="13"/>
      <c r="M177" s="411"/>
      <c r="N177" s="377"/>
    </row>
    <row r="178" spans="1:14" ht="15" customHeight="1" x14ac:dyDescent="0.2">
      <c r="A178" s="798"/>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3"/>
      <c r="E178" s="13"/>
      <c r="F178" s="13"/>
      <c r="G178" s="13"/>
      <c r="H178" s="13"/>
      <c r="I178" s="412"/>
      <c r="J178" s="13"/>
      <c r="K178" s="13"/>
      <c r="L178" s="13"/>
      <c r="M178" s="411"/>
      <c r="N178" s="377"/>
    </row>
    <row r="179" spans="1:14" ht="15" customHeight="1" x14ac:dyDescent="0.2">
      <c r="A179" s="798"/>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3"/>
      <c r="E179" s="13"/>
      <c r="F179" s="13"/>
      <c r="G179" s="13"/>
      <c r="H179" s="13"/>
      <c r="I179" s="412"/>
      <c r="J179" s="13"/>
      <c r="K179" s="13"/>
      <c r="L179" s="13"/>
      <c r="M179" s="411"/>
      <c r="N179" s="377"/>
    </row>
    <row r="180" spans="1:14" ht="15" customHeight="1" x14ac:dyDescent="0.2">
      <c r="A180" s="378"/>
      <c r="B180" s="398"/>
      <c r="C180" s="398"/>
      <c r="D180" s="753"/>
      <c r="E180" s="13"/>
      <c r="F180" s="13"/>
      <c r="G180" s="13"/>
      <c r="H180" s="13"/>
      <c r="I180" s="412"/>
      <c r="J180" s="13"/>
      <c r="K180" s="13"/>
      <c r="L180" s="13"/>
      <c r="M180" s="411"/>
      <c r="N180" s="377"/>
    </row>
    <row r="181" spans="1:14" ht="19" customHeight="1" x14ac:dyDescent="0.25">
      <c r="A181" s="378"/>
      <c r="B181" s="404" t="s">
        <v>431</v>
      </c>
      <c r="C181" s="400"/>
      <c r="D181" s="753"/>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3"/>
      <c r="E182" s="13"/>
      <c r="F182" s="13"/>
      <c r="G182" s="13"/>
      <c r="H182" s="13"/>
      <c r="I182" s="412"/>
      <c r="J182" s="13"/>
      <c r="K182" s="13"/>
      <c r="L182" s="13"/>
      <c r="M182" s="411"/>
      <c r="N182" s="377"/>
    </row>
    <row r="183" spans="1:14" ht="15" customHeight="1" x14ac:dyDescent="0.2">
      <c r="A183" s="798"/>
      <c r="B183" s="395" t="str" cm="1">
        <f t="array" ref="B183">B182</f>
        <v>Octavofinalista</v>
      </c>
      <c r="C183" s="395" t="str" cm="1">
        <f t="array" ref="C183">WORLDCUP!AA121</f>
        <v>W74</v>
      </c>
      <c r="D183" s="753"/>
      <c r="E183" s="13"/>
      <c r="F183" s="13"/>
      <c r="G183" s="13"/>
      <c r="H183" s="13"/>
      <c r="I183" s="412"/>
      <c r="J183" s="13"/>
      <c r="K183" s="13"/>
      <c r="L183" s="13"/>
      <c r="M183" s="411"/>
      <c r="N183" s="377"/>
    </row>
    <row r="184" spans="1:14" ht="15" customHeight="1" x14ac:dyDescent="0.2">
      <c r="A184" s="798"/>
      <c r="B184" s="395" t="str" cm="1">
        <f t="array" ref="B184">B183</f>
        <v>Octavofinalista</v>
      </c>
      <c r="C184" s="395" t="str" cm="1">
        <f t="array" ref="C184">WORLDCUP!AA122</f>
        <v>W76</v>
      </c>
      <c r="D184" s="753"/>
      <c r="E184" s="13"/>
      <c r="F184" s="13"/>
      <c r="G184" s="13"/>
      <c r="H184" s="13"/>
      <c r="I184" s="412"/>
      <c r="J184" s="13"/>
      <c r="K184" s="13"/>
      <c r="L184" s="13"/>
      <c r="M184" s="411"/>
      <c r="N184" s="377"/>
    </row>
    <row r="185" spans="1:14" ht="15" customHeight="1" x14ac:dyDescent="0.2">
      <c r="A185" s="798"/>
      <c r="B185" s="395" t="str" cm="1">
        <f t="array" ref="B185">B184</f>
        <v>Octavofinalista</v>
      </c>
      <c r="C185" s="395" t="str" cm="1">
        <f t="array" ref="C185">WORLDCUP!AA123</f>
        <v>W79</v>
      </c>
      <c r="D185" s="753"/>
      <c r="E185" s="13"/>
      <c r="F185" s="13"/>
      <c r="G185" s="13"/>
      <c r="H185" s="13"/>
      <c r="I185" s="412"/>
      <c r="J185" s="13"/>
      <c r="K185" s="13"/>
      <c r="L185" s="13"/>
      <c r="M185" s="411"/>
      <c r="N185" s="377"/>
    </row>
    <row r="186" spans="1:14" ht="15" customHeight="1" x14ac:dyDescent="0.2">
      <c r="A186" s="798"/>
      <c r="B186" s="395" t="str" cm="1">
        <f t="array" ref="B186">B185</f>
        <v>Octavofinalista</v>
      </c>
      <c r="C186" s="395" t="str" cm="1">
        <f t="array" ref="C186">WORLDCUP!AA124</f>
        <v>W83</v>
      </c>
      <c r="D186" s="753"/>
      <c r="E186" s="13"/>
      <c r="F186" s="13"/>
      <c r="G186" s="13"/>
      <c r="H186" s="13"/>
      <c r="I186" s="412"/>
      <c r="J186" s="13"/>
      <c r="K186" s="13"/>
      <c r="L186" s="13"/>
      <c r="M186" s="411"/>
      <c r="N186" s="377"/>
    </row>
    <row r="187" spans="1:14" ht="15" customHeight="1" x14ac:dyDescent="0.2">
      <c r="A187" s="798"/>
      <c r="B187" s="395" t="str" cm="1">
        <f t="array" ref="B187">B186</f>
        <v>Octavofinalista</v>
      </c>
      <c r="C187" s="395" t="str" cm="1">
        <f t="array" ref="C187">WORLDCUP!AA125</f>
        <v>W81</v>
      </c>
      <c r="D187" s="753"/>
      <c r="E187" s="13"/>
      <c r="F187" s="13"/>
      <c r="G187" s="13"/>
      <c r="H187" s="13"/>
      <c r="I187" s="412"/>
      <c r="J187" s="13"/>
      <c r="K187" s="13"/>
      <c r="L187" s="13"/>
      <c r="M187" s="411"/>
      <c r="N187" s="377"/>
    </row>
    <row r="188" spans="1:14" ht="15" customHeight="1" x14ac:dyDescent="0.2">
      <c r="A188" s="798"/>
      <c r="B188" s="395" t="str" cm="1">
        <f t="array" ref="B188">B187</f>
        <v>Octavofinalista</v>
      </c>
      <c r="C188" s="395" t="str" cm="1">
        <f t="array" ref="C188">WORLDCUP!AA126</f>
        <v>W86</v>
      </c>
      <c r="D188" s="753"/>
      <c r="E188" s="13"/>
      <c r="F188" s="13"/>
      <c r="G188" s="13"/>
      <c r="H188" s="13"/>
      <c r="I188" s="412"/>
      <c r="J188" s="13"/>
      <c r="K188" s="13"/>
      <c r="L188" s="13"/>
      <c r="M188" s="411"/>
      <c r="N188" s="377"/>
    </row>
    <row r="189" spans="1:14" ht="15" customHeight="1" x14ac:dyDescent="0.2">
      <c r="A189" s="798"/>
      <c r="B189" s="395" t="str" cm="1">
        <f t="array" ref="B189">B188</f>
        <v>Octavofinalista</v>
      </c>
      <c r="C189" s="395" t="str" cm="1">
        <f t="array" ref="C189">WORLDCUP!AA127</f>
        <v>W85</v>
      </c>
      <c r="D189" s="753"/>
      <c r="E189" s="13"/>
      <c r="F189" s="13"/>
      <c r="G189" s="13"/>
      <c r="H189" s="13"/>
      <c r="I189" s="412"/>
      <c r="J189" s="13"/>
      <c r="K189" s="13"/>
      <c r="L189" s="13"/>
      <c r="M189" s="411"/>
      <c r="N189" s="377"/>
    </row>
    <row r="190" spans="1:14" ht="15" customHeight="1" x14ac:dyDescent="0.2">
      <c r="A190" s="798"/>
      <c r="B190" s="395" t="str" cm="1">
        <f t="array" ref="B190">B189</f>
        <v>Octavofinalista</v>
      </c>
      <c r="C190" s="395" t="str" cm="1">
        <f t="array" ref="C190">WORLDCUP!AF120</f>
        <v>W75</v>
      </c>
      <c r="D190" s="753"/>
      <c r="E190" s="13"/>
      <c r="F190" s="13"/>
      <c r="G190" s="13"/>
      <c r="H190" s="13"/>
      <c r="I190" s="412"/>
      <c r="J190" s="13"/>
      <c r="K190" s="13"/>
      <c r="L190" s="13"/>
      <c r="M190" s="411"/>
      <c r="N190" s="377"/>
    </row>
    <row r="191" spans="1:14" ht="15" customHeight="1" x14ac:dyDescent="0.2">
      <c r="A191" s="798"/>
      <c r="B191" s="395" t="str" cm="1">
        <f t="array" ref="B191">B190</f>
        <v>Octavofinalista</v>
      </c>
      <c r="C191" s="395" t="str" cm="1">
        <f t="array" ref="C191">WORLDCUP!AF121</f>
        <v>W77</v>
      </c>
      <c r="D191" s="753"/>
      <c r="E191" s="13"/>
      <c r="F191" s="13"/>
      <c r="G191" s="13"/>
      <c r="H191" s="13"/>
      <c r="I191" s="412"/>
      <c r="J191" s="13"/>
      <c r="K191" s="13"/>
      <c r="L191" s="13"/>
      <c r="M191" s="411"/>
      <c r="N191" s="377"/>
    </row>
    <row r="192" spans="1:14" ht="15" customHeight="1" x14ac:dyDescent="0.2">
      <c r="A192" s="798"/>
      <c r="B192" s="395" t="str" cm="1">
        <f t="array" ref="B192">B191</f>
        <v>Octavofinalista</v>
      </c>
      <c r="C192" s="395" t="str" cm="1">
        <f t="array" ref="C192">WORLDCUP!AF122</f>
        <v>W78</v>
      </c>
      <c r="D192" s="753"/>
      <c r="E192" s="13"/>
      <c r="F192" s="13"/>
      <c r="G192" s="13"/>
      <c r="H192" s="13"/>
      <c r="I192" s="412"/>
      <c r="J192" s="13"/>
      <c r="K192" s="13"/>
      <c r="L192" s="13"/>
      <c r="M192" s="411"/>
      <c r="N192" s="377"/>
    </row>
    <row r="193" spans="1:14" ht="15" customHeight="1" x14ac:dyDescent="0.2">
      <c r="A193" s="798"/>
      <c r="B193" s="395" t="str" cm="1">
        <f t="array" ref="B193">B192</f>
        <v>Octavofinalista</v>
      </c>
      <c r="C193" s="395" t="str" cm="1">
        <f t="array" ref="C193">WORLDCUP!AF123</f>
        <v>W80</v>
      </c>
      <c r="D193" s="753"/>
      <c r="E193" s="13"/>
      <c r="F193" s="13"/>
      <c r="G193" s="13"/>
      <c r="H193" s="13"/>
      <c r="I193" s="412"/>
      <c r="J193" s="13"/>
      <c r="K193" s="13"/>
      <c r="L193" s="13"/>
      <c r="M193" s="411"/>
      <c r="N193" s="377"/>
    </row>
    <row r="194" spans="1:14" ht="15" customHeight="1" x14ac:dyDescent="0.2">
      <c r="A194" s="798"/>
      <c r="B194" s="395" t="str" cm="1">
        <f t="array" ref="B194">B193</f>
        <v>Octavofinalista</v>
      </c>
      <c r="C194" s="395" t="str" cm="1">
        <f t="array" ref="C194">WORLDCUP!AF124</f>
        <v>W84</v>
      </c>
      <c r="D194" s="753"/>
      <c r="E194" s="13"/>
      <c r="F194" s="13"/>
      <c r="G194" s="13"/>
      <c r="H194" s="13"/>
      <c r="I194" s="412"/>
      <c r="J194" s="13"/>
      <c r="K194" s="13"/>
      <c r="L194" s="13"/>
      <c r="M194" s="411"/>
      <c r="N194" s="377"/>
    </row>
    <row r="195" spans="1:14" ht="15" customHeight="1" x14ac:dyDescent="0.2">
      <c r="A195" s="798"/>
      <c r="B195" s="395" t="str" cm="1">
        <f t="array" ref="B195">B194</f>
        <v>Octavofinalista</v>
      </c>
      <c r="C195" s="395" t="str" cm="1">
        <f t="array" ref="C195">WORLDCUP!AF125</f>
        <v>W82</v>
      </c>
      <c r="D195" s="753"/>
      <c r="E195" s="13"/>
      <c r="F195" s="13"/>
      <c r="G195" s="13"/>
      <c r="H195" s="13"/>
      <c r="I195" s="412"/>
      <c r="J195" s="13"/>
      <c r="K195" s="13"/>
      <c r="L195" s="13"/>
      <c r="M195" s="411"/>
      <c r="N195" s="377"/>
    </row>
    <row r="196" spans="1:14" ht="15" customHeight="1" x14ac:dyDescent="0.2">
      <c r="A196" s="798"/>
      <c r="B196" s="395" t="str" cm="1">
        <f t="array" ref="B196">B195</f>
        <v>Octavofinalista</v>
      </c>
      <c r="C196" s="395" t="str" cm="1">
        <f t="array" ref="C196">WORLDCUP!AF126</f>
        <v>W88</v>
      </c>
      <c r="D196" s="753"/>
      <c r="E196" s="13"/>
      <c r="F196" s="13"/>
      <c r="G196" s="13"/>
      <c r="H196" s="13"/>
      <c r="I196" s="412"/>
      <c r="J196" s="13"/>
      <c r="K196" s="13"/>
      <c r="L196" s="13"/>
      <c r="M196" s="411"/>
      <c r="N196" s="377"/>
    </row>
    <row r="197" spans="1:14" ht="15" customHeight="1" x14ac:dyDescent="0.2">
      <c r="A197" s="798"/>
      <c r="B197" s="395" t="str" cm="1">
        <f t="array" ref="B197">B196</f>
        <v>Octavofinalista</v>
      </c>
      <c r="C197" s="395" t="str" cm="1">
        <f t="array" ref="C197">WORLDCUP!AF127</f>
        <v>W87</v>
      </c>
      <c r="D197" s="753"/>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9" t="s">
        <v>280</v>
      </c>
      <c r="E200" s="805" t="s">
        <v>434</v>
      </c>
      <c r="F200" s="753"/>
      <c r="G200" s="753"/>
      <c r="H200" s="753"/>
      <c r="I200" s="412"/>
      <c r="J200" s="13"/>
      <c r="K200" s="13"/>
      <c r="L200" s="13"/>
      <c r="M200" s="411"/>
      <c r="N200" s="377"/>
    </row>
    <row r="201" spans="1:14" ht="15" customHeight="1" x14ac:dyDescent="0.2">
      <c r="A201" s="798"/>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3"/>
      <c r="E201" s="753"/>
      <c r="F201" s="753"/>
      <c r="G201" s="753"/>
      <c r="H201" s="753"/>
      <c r="I201" s="412"/>
      <c r="J201" s="13"/>
      <c r="K201" s="13"/>
      <c r="L201" s="13"/>
      <c r="M201" s="411"/>
      <c r="N201" s="377"/>
    </row>
    <row r="202" spans="1:14" ht="15" customHeight="1" x14ac:dyDescent="0.2">
      <c r="A202" s="798"/>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3"/>
      <c r="E202" s="753"/>
      <c r="F202" s="753"/>
      <c r="G202" s="753"/>
      <c r="H202" s="753"/>
      <c r="I202" s="412"/>
      <c r="J202" s="13"/>
      <c r="K202" s="13"/>
      <c r="L202" s="13"/>
      <c r="M202" s="411"/>
      <c r="N202" s="377"/>
    </row>
    <row r="203" spans="1:14" ht="15" customHeight="1" x14ac:dyDescent="0.2">
      <c r="A203" s="798"/>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3"/>
      <c r="E203" s="753"/>
      <c r="F203" s="753"/>
      <c r="G203" s="753"/>
      <c r="H203" s="753"/>
      <c r="I203" s="412"/>
      <c r="J203" s="13"/>
      <c r="K203" s="13"/>
      <c r="L203" s="13"/>
      <c r="M203" s="411"/>
      <c r="N203" s="377"/>
    </row>
    <row r="204" spans="1:14" ht="15" customHeight="1" x14ac:dyDescent="0.2">
      <c r="A204" s="798"/>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3"/>
      <c r="E204" s="412"/>
      <c r="F204" s="412"/>
      <c r="G204" s="412"/>
      <c r="H204" s="412"/>
      <c r="I204" s="412"/>
      <c r="J204" s="13"/>
      <c r="K204" s="13"/>
      <c r="L204" s="13"/>
      <c r="M204" s="411"/>
      <c r="N204" s="377"/>
    </row>
    <row r="205" spans="1:14" ht="15" customHeight="1" x14ac:dyDescent="0.2">
      <c r="A205" s="798"/>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3"/>
      <c r="E205" s="412"/>
      <c r="F205" s="412"/>
      <c r="G205" s="412"/>
      <c r="H205" s="412"/>
      <c r="I205" s="412"/>
      <c r="J205" s="13"/>
      <c r="K205" s="13"/>
      <c r="L205" s="13"/>
      <c r="M205" s="411"/>
      <c r="N205" s="377"/>
    </row>
    <row r="206" spans="1:14" ht="15" customHeight="1" x14ac:dyDescent="0.2">
      <c r="A206" s="798"/>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3"/>
      <c r="E206" s="412"/>
      <c r="F206" s="412"/>
      <c r="G206" s="412"/>
      <c r="H206" s="412"/>
      <c r="I206" s="412"/>
      <c r="J206" s="13"/>
      <c r="K206" s="13"/>
      <c r="L206" s="13"/>
      <c r="M206" s="411"/>
      <c r="N206" s="377"/>
    </row>
    <row r="207" spans="1:14" ht="15" customHeight="1" x14ac:dyDescent="0.2">
      <c r="A207" s="798"/>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3"/>
      <c r="E207" s="412"/>
      <c r="F207" s="412"/>
      <c r="G207" s="412"/>
      <c r="H207" s="412"/>
      <c r="I207" s="412"/>
      <c r="J207" s="13"/>
      <c r="K207" s="13"/>
      <c r="L207" s="13"/>
      <c r="M207" s="411"/>
      <c r="N207" s="377"/>
    </row>
    <row r="208" spans="1:14" ht="15" customHeight="1" x14ac:dyDescent="0.2">
      <c r="A208" s="378"/>
      <c r="B208" s="398"/>
      <c r="C208" s="398"/>
      <c r="D208" s="753"/>
      <c r="E208" s="13"/>
      <c r="F208" s="13"/>
      <c r="G208" s="13"/>
      <c r="H208" s="13"/>
      <c r="I208" s="412"/>
      <c r="J208" s="13"/>
      <c r="K208" s="13"/>
      <c r="L208" s="13"/>
      <c r="M208" s="411"/>
      <c r="N208" s="377"/>
    </row>
    <row r="209" spans="1:14" ht="19" customHeight="1" x14ac:dyDescent="0.25">
      <c r="A209" s="378"/>
      <c r="B209" s="404" t="s">
        <v>435</v>
      </c>
      <c r="C209" s="400"/>
      <c r="D209" s="753"/>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3"/>
      <c r="E210" s="13"/>
      <c r="F210" s="13"/>
      <c r="G210" s="13"/>
      <c r="H210" s="13"/>
      <c r="I210" s="412"/>
      <c r="J210" s="13"/>
      <c r="K210" s="13"/>
      <c r="L210" s="13"/>
      <c r="M210" s="411"/>
      <c r="N210" s="377"/>
    </row>
    <row r="211" spans="1:14" ht="15" customHeight="1" x14ac:dyDescent="0.2">
      <c r="A211" s="798"/>
      <c r="B211" s="395" t="str" cm="1">
        <f t="array" ref="B211">B210</f>
        <v>Cuartofinalista</v>
      </c>
      <c r="C211" s="395" t="str" cm="1">
        <f t="array" ref="C211">WORLDCUP!AA132</f>
        <v>W93</v>
      </c>
      <c r="D211" s="753"/>
      <c r="E211" s="13"/>
      <c r="F211" s="13"/>
      <c r="G211" s="13"/>
      <c r="H211" s="13"/>
      <c r="I211" s="412"/>
      <c r="J211" s="13"/>
      <c r="K211" s="13"/>
      <c r="L211" s="13"/>
      <c r="M211" s="411"/>
      <c r="N211" s="377"/>
    </row>
    <row r="212" spans="1:14" ht="15" customHeight="1" x14ac:dyDescent="0.2">
      <c r="A212" s="798"/>
      <c r="B212" s="395" t="str" cm="1">
        <f t="array" ref="B212">B211</f>
        <v>Cuartofinalista</v>
      </c>
      <c r="C212" s="395" t="str" cm="1">
        <f t="array" ref="C212">WORLDCUP!AA133</f>
        <v>W91</v>
      </c>
      <c r="D212" s="753"/>
      <c r="E212" s="13"/>
      <c r="F212" s="13"/>
      <c r="G212" s="13"/>
      <c r="H212" s="13"/>
      <c r="I212" s="412"/>
      <c r="J212" s="13"/>
      <c r="K212" s="13"/>
      <c r="L212" s="13"/>
      <c r="M212" s="411"/>
      <c r="N212" s="377"/>
    </row>
    <row r="213" spans="1:14" ht="15" customHeight="1" x14ac:dyDescent="0.2">
      <c r="A213" s="798"/>
      <c r="B213" s="395" t="str" cm="1">
        <f t="array" ref="B213">B212</f>
        <v>Cuartofinalista</v>
      </c>
      <c r="C213" s="395" t="str" cm="1">
        <f t="array" ref="C213">WORLDCUP!AA134</f>
        <v>W95</v>
      </c>
      <c r="D213" s="753"/>
      <c r="E213" s="13"/>
      <c r="F213" s="13"/>
      <c r="G213" s="13"/>
      <c r="H213" s="13"/>
      <c r="I213" s="412"/>
      <c r="J213" s="13"/>
      <c r="K213" s="13"/>
      <c r="L213" s="13"/>
      <c r="M213" s="411"/>
      <c r="N213" s="377"/>
    </row>
    <row r="214" spans="1:14" ht="15" customHeight="1" x14ac:dyDescent="0.2">
      <c r="A214" s="798"/>
      <c r="B214" s="395" t="str" cm="1">
        <f t="array" ref="B214">B213</f>
        <v>Cuartofinalista</v>
      </c>
      <c r="C214" s="395" t="str" cm="1">
        <f t="array" ref="C214">WORLDCUP!AF131</f>
        <v>W90</v>
      </c>
      <c r="D214" s="753"/>
      <c r="E214" s="13"/>
      <c r="F214" s="13"/>
      <c r="G214" s="13"/>
      <c r="H214" s="13"/>
      <c r="I214" s="412"/>
      <c r="J214" s="13"/>
      <c r="K214" s="13"/>
      <c r="L214" s="13"/>
      <c r="M214" s="411"/>
      <c r="N214" s="377"/>
    </row>
    <row r="215" spans="1:14" ht="15" customHeight="1" x14ac:dyDescent="0.2">
      <c r="A215" s="798"/>
      <c r="B215" s="395" t="str" cm="1">
        <f t="array" ref="B215">B214</f>
        <v>Cuartofinalista</v>
      </c>
      <c r="C215" s="395" t="str" cm="1">
        <f t="array" ref="C215">WORLDCUP!AF132</f>
        <v>W94</v>
      </c>
      <c r="D215" s="753"/>
      <c r="E215" s="13"/>
      <c r="F215" s="13"/>
      <c r="G215" s="13"/>
      <c r="H215" s="13"/>
      <c r="I215" s="412"/>
      <c r="J215" s="13"/>
      <c r="K215" s="13"/>
      <c r="L215" s="13"/>
      <c r="M215" s="411"/>
      <c r="N215" s="377"/>
    </row>
    <row r="216" spans="1:14" ht="15" customHeight="1" x14ac:dyDescent="0.2">
      <c r="A216" s="798"/>
      <c r="B216" s="395" t="str" cm="1">
        <f t="array" ref="B216">B215</f>
        <v>Cuartofinalista</v>
      </c>
      <c r="C216" s="395" t="str" cm="1">
        <f t="array" ref="C216">WORLDCUP!AF133</f>
        <v>W92</v>
      </c>
      <c r="D216" s="753"/>
      <c r="E216" s="13"/>
      <c r="F216" s="13"/>
      <c r="G216" s="13"/>
      <c r="H216" s="13"/>
      <c r="I216" s="412"/>
      <c r="J216" s="13"/>
      <c r="K216" s="13"/>
      <c r="L216" s="13"/>
      <c r="M216" s="411"/>
      <c r="N216" s="377"/>
    </row>
    <row r="217" spans="1:14" ht="15" customHeight="1" x14ac:dyDescent="0.2">
      <c r="A217" s="798"/>
      <c r="B217" s="395" t="str" cm="1">
        <f t="array" ref="B217">B216</f>
        <v>Cuartofinalista</v>
      </c>
      <c r="C217" s="395" t="str" cm="1">
        <f t="array" ref="C217">WORLDCUP!AF134</f>
        <v>W96</v>
      </c>
      <c r="D217" s="753"/>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8" t="s">
        <v>298</v>
      </c>
      <c r="E220" s="805" t="s">
        <v>438</v>
      </c>
      <c r="F220" s="753"/>
      <c r="G220" s="753"/>
      <c r="H220" s="753"/>
      <c r="I220" s="412"/>
      <c r="J220" s="13"/>
      <c r="K220" s="13"/>
      <c r="L220" s="13"/>
      <c r="M220" s="411"/>
      <c r="N220" s="377"/>
    </row>
    <row r="221" spans="1:14" ht="15" customHeight="1" x14ac:dyDescent="0.2">
      <c r="A221" s="798"/>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3"/>
      <c r="E221" s="753"/>
      <c r="F221" s="753"/>
      <c r="G221" s="753"/>
      <c r="H221" s="753"/>
      <c r="I221" s="412"/>
      <c r="J221" s="13"/>
      <c r="K221" s="13"/>
      <c r="L221" s="13"/>
      <c r="M221" s="411"/>
      <c r="N221" s="377"/>
    </row>
    <row r="222" spans="1:14" ht="15" customHeight="1" x14ac:dyDescent="0.2">
      <c r="A222" s="798"/>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3"/>
      <c r="E222" s="753"/>
      <c r="F222" s="753"/>
      <c r="G222" s="753"/>
      <c r="H222" s="753"/>
      <c r="I222" s="412"/>
      <c r="J222" s="13"/>
      <c r="K222" s="13"/>
      <c r="L222" s="13"/>
      <c r="M222" s="411"/>
      <c r="N222" s="377"/>
    </row>
    <row r="223" spans="1:14" ht="15" customHeight="1" x14ac:dyDescent="0.2">
      <c r="A223" s="798"/>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3"/>
      <c r="E223" s="753"/>
      <c r="F223" s="753"/>
      <c r="G223" s="753"/>
      <c r="H223" s="753"/>
      <c r="I223" s="412"/>
      <c r="J223" s="13"/>
      <c r="K223" s="13"/>
      <c r="L223" s="13"/>
      <c r="M223" s="411"/>
      <c r="N223" s="377"/>
    </row>
    <row r="224" spans="1:14" ht="15" customHeight="1" x14ac:dyDescent="0.2">
      <c r="A224" s="378"/>
      <c r="B224" s="398"/>
      <c r="C224" s="398"/>
      <c r="D224" s="753"/>
      <c r="E224" s="412"/>
      <c r="F224" s="412"/>
      <c r="G224" s="412"/>
      <c r="H224" s="412"/>
      <c r="I224" s="412"/>
      <c r="J224" s="13"/>
      <c r="K224" s="13"/>
      <c r="L224" s="13"/>
      <c r="M224" s="411"/>
      <c r="N224" s="377"/>
    </row>
    <row r="225" spans="1:14" ht="19" customHeight="1" x14ac:dyDescent="0.25">
      <c r="A225" s="378"/>
      <c r="B225" s="404" t="s">
        <v>439</v>
      </c>
      <c r="C225" s="400"/>
      <c r="D225" s="753"/>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3"/>
      <c r="E226" s="13"/>
      <c r="F226" s="13"/>
      <c r="G226" s="13"/>
      <c r="H226" s="13"/>
      <c r="I226" s="412"/>
      <c r="J226" s="13"/>
      <c r="K226" s="13"/>
      <c r="L226" s="13"/>
      <c r="M226" s="411"/>
      <c r="N226" s="377"/>
    </row>
    <row r="227" spans="1:14" ht="15" customHeight="1" x14ac:dyDescent="0.2">
      <c r="A227" s="798"/>
      <c r="B227" s="405" t="s">
        <v>440</v>
      </c>
      <c r="C227" s="395" t="str" cm="1">
        <f t="array" ref="C227">WORLDCUP!AA139</f>
        <v>W99</v>
      </c>
      <c r="D227" s="753"/>
      <c r="E227" s="13"/>
      <c r="F227" s="13"/>
      <c r="G227" s="13"/>
      <c r="H227" s="13"/>
      <c r="I227" s="412"/>
      <c r="J227" s="13"/>
      <c r="K227" s="13"/>
      <c r="L227" s="13"/>
      <c r="M227" s="411"/>
      <c r="N227" s="377"/>
    </row>
    <row r="228" spans="1:14" ht="15" customHeight="1" x14ac:dyDescent="0.2">
      <c r="A228" s="798"/>
      <c r="B228" s="405" t="s">
        <v>440</v>
      </c>
      <c r="C228" s="395" t="str" cm="1">
        <f t="array" ref="C228">WORLDCUP!AF138</f>
        <v>W98</v>
      </c>
      <c r="D228" s="753"/>
      <c r="E228" s="13"/>
      <c r="F228" s="13"/>
      <c r="G228" s="13"/>
      <c r="H228" s="13"/>
      <c r="I228" s="412"/>
      <c r="J228" s="13"/>
      <c r="K228" s="13"/>
      <c r="L228" s="13"/>
      <c r="M228" s="411"/>
      <c r="N228" s="377"/>
    </row>
    <row r="229" spans="1:14" ht="15" customHeight="1" x14ac:dyDescent="0.2">
      <c r="A229" s="798"/>
      <c r="B229" s="405" t="s">
        <v>440</v>
      </c>
      <c r="C229" s="395" t="str" cm="1">
        <f t="array" ref="C229">WORLDCUP!AF139</f>
        <v>W100</v>
      </c>
      <c r="D229" s="753"/>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7"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9" t="s">
        <v>311</v>
      </c>
      <c r="E232" s="805" t="s">
        <v>442</v>
      </c>
      <c r="F232" s="753"/>
      <c r="G232" s="753"/>
      <c r="H232" s="753"/>
      <c r="I232" s="412"/>
      <c r="J232" s="13"/>
      <c r="K232" s="13"/>
      <c r="L232" s="13"/>
      <c r="M232" s="411"/>
      <c r="N232" s="377"/>
    </row>
    <row r="233" spans="1:14" ht="15" customHeight="1" x14ac:dyDescent="0.2">
      <c r="A233" s="798"/>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3"/>
      <c r="E233" s="753"/>
      <c r="F233" s="753"/>
      <c r="G233" s="753"/>
      <c r="H233" s="753"/>
      <c r="I233" s="412"/>
      <c r="J233" s="13"/>
      <c r="K233" s="13"/>
      <c r="L233" s="13"/>
      <c r="M233" s="411"/>
      <c r="N233" s="377"/>
    </row>
    <row r="234" spans="1:14" ht="15" customHeight="1" x14ac:dyDescent="0.2">
      <c r="A234" s="378"/>
      <c r="B234" s="398"/>
      <c r="C234" s="398"/>
      <c r="D234" s="753"/>
      <c r="E234" s="753"/>
      <c r="F234" s="753"/>
      <c r="G234" s="753"/>
      <c r="H234" s="753"/>
      <c r="I234" s="412"/>
      <c r="J234" s="13"/>
      <c r="K234" s="13"/>
      <c r="L234" s="13"/>
      <c r="M234" s="411"/>
      <c r="N234" s="377"/>
    </row>
    <row r="235" spans="1:14" ht="19" customHeight="1" x14ac:dyDescent="0.25">
      <c r="A235" s="378"/>
      <c r="B235" s="404" t="s">
        <v>443</v>
      </c>
      <c r="C235" s="400"/>
      <c r="D235" s="753"/>
      <c r="E235" s="753"/>
      <c r="F235" s="753"/>
      <c r="G235" s="753"/>
      <c r="H235" s="753"/>
      <c r="I235" s="412"/>
      <c r="J235" s="13"/>
      <c r="K235" s="13"/>
      <c r="L235" s="13"/>
      <c r="M235" s="411"/>
      <c r="N235" s="377"/>
    </row>
    <row r="236" spans="1:14" ht="15" customHeight="1" x14ac:dyDescent="0.2">
      <c r="A236" s="797" t="s">
        <v>317</v>
      </c>
      <c r="B236" s="405" t="s">
        <v>315</v>
      </c>
      <c r="C236" s="395" t="str" cm="1">
        <f t="array" ref="C236">WORLDCUP!AA143</f>
        <v>L101</v>
      </c>
      <c r="D236" s="753"/>
      <c r="E236" s="419"/>
      <c r="F236" s="419"/>
      <c r="G236" s="419"/>
      <c r="H236" s="419"/>
      <c r="I236" s="412"/>
      <c r="J236" s="13"/>
      <c r="K236" s="13"/>
      <c r="L236" s="13"/>
      <c r="M236" s="411"/>
      <c r="N236" s="377"/>
    </row>
    <row r="237" spans="1:14" ht="15" customHeight="1" x14ac:dyDescent="0.2">
      <c r="A237" s="798"/>
      <c r="B237" s="405" t="s">
        <v>315</v>
      </c>
      <c r="C237" s="395" t="str" cm="1">
        <f t="array" ref="C237">WORLDCUP!AF143</f>
        <v>L102</v>
      </c>
      <c r="D237" s="753"/>
      <c r="E237" s="419"/>
      <c r="F237" s="419"/>
      <c r="G237" s="419"/>
      <c r="H237" s="419"/>
      <c r="I237" s="412"/>
      <c r="J237" s="13"/>
      <c r="K237" s="13"/>
      <c r="L237" s="13"/>
      <c r="M237" s="411"/>
      <c r="N237" s="377"/>
    </row>
    <row r="238" spans="1:14" ht="15" customHeight="1" x14ac:dyDescent="0.2">
      <c r="A238" s="378"/>
      <c r="B238" s="398"/>
      <c r="C238" s="398"/>
      <c r="D238" s="753"/>
      <c r="E238" s="419"/>
      <c r="F238" s="419"/>
      <c r="G238" s="419"/>
      <c r="H238" s="419"/>
      <c r="I238" s="412"/>
      <c r="J238" s="13"/>
      <c r="K238" s="13"/>
      <c r="L238" s="13"/>
      <c r="M238" s="411"/>
      <c r="N238" s="377"/>
    </row>
    <row r="239" spans="1:14" ht="19" customHeight="1" x14ac:dyDescent="0.25">
      <c r="A239" s="378"/>
      <c r="B239" s="404" t="s">
        <v>444</v>
      </c>
      <c r="C239" s="400"/>
      <c r="D239" s="753"/>
      <c r="E239" s="419"/>
      <c r="F239" s="419"/>
      <c r="G239" s="419"/>
      <c r="H239" s="419"/>
      <c r="I239" s="412"/>
      <c r="J239" s="13"/>
      <c r="K239" s="13"/>
      <c r="L239" s="13"/>
      <c r="M239" s="411"/>
      <c r="N239" s="377"/>
    </row>
    <row r="240" spans="1:14" ht="15" customHeight="1" x14ac:dyDescent="0.2">
      <c r="A240" s="797" t="s">
        <v>156</v>
      </c>
      <c r="B240" s="405" t="s">
        <v>445</v>
      </c>
      <c r="C240" s="395" t="str" cm="1">
        <f t="array" ref="C240">WORLDCUP!AA147</f>
        <v>W101</v>
      </c>
      <c r="D240" s="753"/>
      <c r="E240" s="13"/>
      <c r="F240" s="13"/>
      <c r="G240" s="13"/>
      <c r="H240" s="13"/>
      <c r="I240" s="412"/>
      <c r="J240" s="13"/>
      <c r="K240" s="13"/>
      <c r="L240" s="13"/>
      <c r="M240" s="411"/>
      <c r="N240" s="377"/>
    </row>
    <row r="241" spans="1:14" ht="15" customHeight="1" x14ac:dyDescent="0.2">
      <c r="A241" s="798"/>
      <c r="B241" s="395" t="str" cm="1">
        <f t="array" ref="B241">B240</f>
        <v>Finalista</v>
      </c>
      <c r="C241" s="395" t="str" cm="1">
        <f t="array" ref="C241">WORLDCUP!AF147</f>
        <v>W102</v>
      </c>
      <c r="D241" s="753"/>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2" t="s">
        <v>447</v>
      </c>
      <c r="E244" s="809" t="s">
        <v>448</v>
      </c>
      <c r="F244" s="753"/>
      <c r="G244" s="753"/>
      <c r="H244" s="753"/>
      <c r="I244" s="391"/>
      <c r="J244" s="392"/>
      <c r="K244" s="13"/>
      <c r="L244" s="13"/>
      <c r="M244" s="411"/>
      <c r="N244" s="377"/>
    </row>
    <row r="245" spans="1:14" ht="15" customHeight="1" x14ac:dyDescent="0.2">
      <c r="A245" s="378"/>
      <c r="B245" s="398"/>
      <c r="C245" s="398"/>
      <c r="D245" s="753"/>
      <c r="E245" s="753"/>
      <c r="F245" s="753"/>
      <c r="G245" s="753"/>
      <c r="H245" s="753"/>
      <c r="I245" s="391"/>
      <c r="J245" s="392"/>
      <c r="K245" s="13"/>
      <c r="L245" s="13"/>
      <c r="M245" s="411"/>
      <c r="N245" s="377"/>
    </row>
    <row r="246" spans="1:14" ht="21" customHeight="1" x14ac:dyDescent="0.25">
      <c r="A246" s="378"/>
      <c r="B246" s="404" t="s">
        <v>449</v>
      </c>
      <c r="C246" s="400"/>
      <c r="D246" s="753"/>
      <c r="E246" s="753"/>
      <c r="F246" s="753"/>
      <c r="G246" s="753"/>
      <c r="H246" s="753"/>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3"/>
      <c r="E247" s="424"/>
      <c r="F247" s="424"/>
      <c r="G247" s="424"/>
      <c r="H247" s="424"/>
      <c r="I247" s="391"/>
      <c r="J247" s="392"/>
      <c r="K247" s="13"/>
      <c r="L247" s="13"/>
      <c r="M247" s="411"/>
      <c r="N247" s="377"/>
    </row>
    <row r="248" spans="1:14" ht="15" customHeight="1" x14ac:dyDescent="0.2">
      <c r="A248" s="378"/>
      <c r="B248" s="398"/>
      <c r="C248" s="398"/>
      <c r="D248" s="753"/>
      <c r="E248" s="419"/>
      <c r="F248" s="419"/>
      <c r="G248" s="419"/>
      <c r="H248" s="419"/>
      <c r="I248" s="391"/>
      <c r="J248" s="392"/>
      <c r="K248" s="13"/>
      <c r="L248" s="13"/>
      <c r="M248" s="411"/>
      <c r="N248" s="377"/>
    </row>
    <row r="249" spans="1:14" ht="19" customHeight="1" x14ac:dyDescent="0.25">
      <c r="A249" s="378"/>
      <c r="B249" s="404" t="s">
        <v>450</v>
      </c>
      <c r="C249" s="400"/>
      <c r="D249" s="753"/>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3"/>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3"/>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3"/>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4" t="s">
        <v>451</v>
      </c>
      <c r="F253" s="753"/>
      <c r="G253" s="753"/>
      <c r="H253" s="753"/>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3"/>
      <c r="F254" s="753"/>
      <c r="G254" s="753"/>
      <c r="H254" s="753"/>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3"/>
      <c r="F255" s="753"/>
      <c r="G255" s="753"/>
      <c r="H255" s="753"/>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3"/>
      <c r="F256" s="753"/>
      <c r="G256" s="753"/>
      <c r="H256" s="753"/>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3</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3</v>
      </c>
      <c r="K4" s="493" t="str" cm="1">
        <f t="array" ref="K4">INDEX(WORLDCUP!$AR$6:$AR$97,MATCH(L4,WORLDCUP!$AI$6:$AI$97,0))&amp;"-"&amp;INDEX(WORLDCUP!$AS$6:$AS$97,MATCH(L4,WORLDCUP!$AI$6:$AI$97,0))</f>
        <v>5-2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2</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6</v>
      </c>
      <c r="W4" s="493" t="str" cm="1">
        <f t="array" ref="W4">INDEX(WORLDCUP!$AR$6:$AR$97,MATCH(X4,WORLDCUP!$AI$6:$AI$97,0))&amp;"-"&amp;INDEX(WORLDCUP!$AS$6:$AS$97,MATCH(X4,WORLDCUP!$AI$6:$AI$97,0))</f>
        <v>8-2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1</v>
      </c>
      <c r="J5" s="144" cm="1">
        <f t="array" ref="J5">INDEX(WORLDCUP!$AT$6:$AT$97,MATCH(L5,WORLDCUP!$AI$6:$AI$97,0))</f>
        <v>-2</v>
      </c>
      <c r="K5" s="512" t="str" cm="1">
        <f t="array" ref="K5">INDEX(WORLDCUP!$AR$6:$AR$97,MATCH(L5,WORLDCUP!$AI$6:$AI$97,0))&amp;"-"&amp;INDEX(WORLDCUP!$AS$6:$AS$97,MATCH(L5,WORLDCUP!$AI$6:$AI$97,0))</f>
        <v>3-5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2</v>
      </c>
      <c r="V5" s="144" cm="1">
        <f t="array" ref="V5">INDEX(WORLDCUP!$AT$6:$AT$97,MATCH(X5,WORLDCUP!$AI$6:$AI$97,0))</f>
        <v>-2</v>
      </c>
      <c r="W5" s="512" t="str" cm="1">
        <f t="array" ref="W5">INDEX(WORLDCUP!$AR$6:$AR$97,MATCH(X5,WORLDCUP!$AI$6:$AI$97,0))&amp;"-"&amp;INDEX(WORLDCUP!$AS$6:$AS$97,MATCH(X5,WORLDCUP!$AI$6:$AI$97,0))</f>
        <v>3-5</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4</v>
      </c>
      <c r="J6" s="144" cm="1">
        <f t="array" ref="J6">INDEX(WORLDCUP!$AT$6:$AT$97,MATCH(L6,WORLDCUP!$AI$6:$AI$97,0))</f>
        <v>0</v>
      </c>
      <c r="K6" s="512" t="str" cm="1">
        <f t="array" ref="K6">INDEX(WORLDCUP!$AR$6:$AR$97,MATCH(L6,WORLDCUP!$AI$6:$AI$97,0))&amp;"-"&amp;INDEX(WORLDCUP!$AS$6:$AS$97,MATCH(L6,WORLDCUP!$AI$6:$AI$97,0))</f>
        <v>4-4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1</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4</v>
      </c>
      <c r="V6" s="144" cm="1">
        <f t="array" ref="V6">INDEX(WORLDCUP!$AT$6:$AT$97,MATCH(X6,WORLDCUP!$AI$6:$AI$97,0))</f>
        <v>1</v>
      </c>
      <c r="W6" s="512" t="str" cm="1">
        <f t="array" ref="W6">INDEX(WORLDCUP!$AR$6:$AR$97,MATCH(X6,WORLDCUP!$AI$6:$AI$97,0))&amp;"-"&amp;INDEX(WORLDCUP!$AS$6:$AS$97,MATCH(X6,WORLDCUP!$AI$6:$AI$97,0))</f>
        <v>4-3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2</v>
      </c>
      <c r="J7" s="525" cm="1">
        <f t="array" ref="J7">INDEX(WORLDCUP!$AT$6:$AT$97,MATCH(L7,WORLDCUP!$AI$6:$AI$97,0))</f>
        <v>-1</v>
      </c>
      <c r="K7" s="526" t="str" cm="1">
        <f t="array" ref="K7">INDEX(WORLDCUP!$AR$6:$AR$97,MATCH(L7,WORLDCUP!$AI$6:$AI$97,0))&amp;"-"&amp;INDEX(WORLDCUP!$AS$6:$AS$97,MATCH(L7,WORLDCUP!$AI$6:$AI$97,0))</f>
        <v>2-3</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-5</v>
      </c>
      <c r="W7" s="526" t="str" cm="1">
        <f t="array" ref="W7">INDEX(WORLDCUP!$AR$6:$AR$97,MATCH(X7,WORLDCUP!$AI$6:$AI$97,0))&amp;"-"&amp;INDEX(WORLDCUP!$AS$6:$AS$97,MATCH(X7,WORLDCUP!$AI$6:$AI$97,0))</f>
        <v>1-6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1</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2</v>
      </c>
      <c r="E12" s="114" cm="1">
        <f t="array" ref="E12">IF(ISBLANK(INDEX(WORLDCUP!$AD$4:$AD$147,MATCH(A12,WORLDCUP!$AH$4:$AH$147,0))),"",INDEX(WORLDCUP!$AD$4:$AD$147,MATCH(A12,WORLDCUP!$AH$4:$AH$147,0)))</f>
        <v>0</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5</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3</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8</v>
      </c>
      <c r="W12" s="493" t="str" cm="1">
        <f t="array" ref="W12">INDEX(WORLDCUP!$AR$6:$AR$97,MATCH(X12,WORLDCUP!$AI$6:$AI$97,0))&amp;"-"&amp;INDEX(WORLDCUP!$AS$6:$AS$97,MATCH(X12,WORLDCUP!$AI$6:$AI$97,0))</f>
        <v>10-2</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1</v>
      </c>
      <c r="E13" s="114" cm="1">
        <f t="array" ref="E13">IF(ISBLANK(INDEX(WORLDCUP!$AD$4:$AD$147,MATCH(A13,WORLDCUP!$AH$4:$AH$147,0))),"",INDEX(WORLDCUP!$AD$4:$AD$147,MATCH(A13,WORLDCUP!$AH$4:$AH$147,0)))</f>
        <v>0</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4</v>
      </c>
      <c r="J13" s="144" cm="1">
        <f t="array" ref="J13">INDEX(WORLDCUP!$AT$6:$AT$97,MATCH(L13,WORLDCUP!$AI$6:$AI$97,0))</f>
        <v>0</v>
      </c>
      <c r="K13" s="512" t="str" cm="1">
        <f t="array" ref="K13">INDEX(WORLDCUP!$AR$6:$AR$97,MATCH(L13,WORLDCUP!$AI$6:$AI$97,0))&amp;"-"&amp;INDEX(WORLDCUP!$AS$6:$AS$97,MATCH(L13,WORLDCUP!$AI$6:$AI$97,0))</f>
        <v>3-3</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1</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0</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3</v>
      </c>
      <c r="J14" s="144" cm="1">
        <f t="array" ref="J14">INDEX(WORLDCUP!$AT$6:$AT$97,MATCH(L14,WORLDCUP!$AI$6:$AI$97,0))</f>
        <v>-1</v>
      </c>
      <c r="K14" s="512" t="str" cm="1">
        <f t="array" ref="K14">INDEX(WORLDCUP!$AR$6:$AR$97,MATCH(L14,WORLDCUP!$AI$6:$AI$97,0))&amp;"-"&amp;INDEX(WORLDCUP!$AS$6:$AS$97,MATCH(L14,WORLDCUP!$AI$6:$AI$97,0))</f>
        <v>3-4</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-3</v>
      </c>
      <c r="W14" s="512" t="str" cm="1">
        <f t="array" ref="W14">INDEX(WORLDCUP!$AR$6:$AR$97,MATCH(X14,WORLDCUP!$AI$6:$AI$97,0))&amp;"-"&amp;INDEX(WORLDCUP!$AS$6:$AS$97,MATCH(X14,WORLDCUP!$AI$6:$AI$97,0))</f>
        <v>3-6</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4</v>
      </c>
      <c r="J15" s="525" cm="1">
        <f t="array" ref="J15">INDEX(WORLDCUP!$AT$6:$AT$97,MATCH(L15,WORLDCUP!$AI$6:$AI$97,0))</f>
        <v>-1</v>
      </c>
      <c r="K15" s="526" t="str" cm="1">
        <f t="array" ref="K15">INDEX(WORLDCUP!$AR$6:$AR$97,MATCH(L15,WORLDCUP!$AI$6:$AI$97,0))&amp;"-"&amp;INDEX(WORLDCUP!$AS$6:$AS$97,MATCH(L15,WORLDCUP!$AI$6:$AI$97,0))</f>
        <v>2-3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4</v>
      </c>
      <c r="W15" s="526" t="str" cm="1">
        <f t="array" ref="W15">INDEX(WORLDCUP!$AR$6:$AR$97,MATCH(X15,WORLDCUP!$AI$6:$AI$97,0))&amp;"-"&amp;INDEX(WORLDCUP!$AS$6:$AS$97,MATCH(X15,WORLDCUP!$AI$6:$AI$97,0))</f>
        <v>7-3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2</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2" t="s">
        <v>0</v>
      </c>
      <c r="AY18" s="833"/>
      <c r="AZ18" s="834"/>
      <c r="BA18" s="834"/>
      <c r="BB18" s="834"/>
      <c r="BC18" s="834"/>
      <c r="BD18" s="834"/>
      <c r="BE18" s="834"/>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3</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2</v>
      </c>
      <c r="Q19" s="454" cm="1">
        <f t="array" ref="Q19">IF(ISBLANK(INDEX(WORLDCUP!$AD$4:$AD$147,MATCH(M19,WORLDCUP!$AH$4:$AH$147,0))),"",INDEX(WORLDCUP!$AD$4:$AD$147,MATCH(M19,WORLDCUP!$AH$4:$AH$147,0)))</f>
        <v>0</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3</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1</v>
      </c>
      <c r="Q20" s="114" cm="1">
        <f t="array" ref="Q20">IF(ISBLANK(INDEX(WORLDCUP!$AD$4:$AD$147,MATCH(M20,WORLDCUP!$AH$4:$AH$147,0))),"",INDEX(WORLDCUP!$AD$4:$AD$147,MATCH(M20,WORLDCUP!$AH$4:$AH$147,0)))</f>
        <v>3</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6-0</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1</v>
      </c>
      <c r="E21" s="114" cm="1">
        <f t="array" ref="E21">IF(ISBLANK(INDEX(WORLDCUP!$AD$4:$AD$147,MATCH(A21,WORLDCUP!$AH$4:$AH$147,0))),"",INDEX(WORLDCUP!$AD$4:$AD$147,MATCH(A21,WORLDCUP!$AH$4:$AH$147,0)))</f>
        <v>1</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4</v>
      </c>
      <c r="J21" s="144" cm="1">
        <f t="array" ref="J21">INDEX(WORLDCUP!$AT$6:$AT$97,MATCH(L21,WORLDCUP!$AI$6:$AI$97,0))</f>
        <v>-1</v>
      </c>
      <c r="K21" s="512" t="str" cm="1">
        <f t="array" ref="K21">INDEX(WORLDCUP!$AR$6:$AR$97,MATCH(L21,WORLDCUP!$AI$6:$AI$97,0))&amp;"-"&amp;INDEX(WORLDCUP!$AS$6:$AS$97,MATCH(L21,WORLDCUP!$AI$6:$AI$97,0))</f>
        <v>3-4</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3-4</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4</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-8</v>
      </c>
      <c r="K22" s="512" t="str" cm="1">
        <f t="array" ref="K22">INDEX(WORLDCUP!$AR$6:$AR$97,MATCH(L22,WORLDCUP!$AI$6:$AI$97,0))&amp;"-"&amp;INDEX(WORLDCUP!$AS$6:$AS$97,MATCH(L22,WORLDCUP!$AI$6:$AI$97,0))</f>
        <v>0-8</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4</v>
      </c>
      <c r="J23" s="525" cm="1">
        <f t="array" ref="J23">INDEX(WORLDCUP!$AT$6:$AT$97,MATCH(L23,WORLDCUP!$AI$6:$AI$97,0))</f>
        <v>1</v>
      </c>
      <c r="K23" s="526" t="str" cm="1">
        <f t="array" ref="K23">INDEX(WORLDCUP!$AR$6:$AR$97,MATCH(L23,WORLDCUP!$AI$6:$AI$97,0))&amp;"-"&amp;INDEX(WORLDCUP!$AS$6:$AS$97,MATCH(L23,WORLDCUP!$AI$6:$AI$97,0))</f>
        <v>5-4</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0</v>
      </c>
      <c r="Q23" s="114" cm="1">
        <f t="array" ref="Q23">IF(ISBLANK(INDEX(WORLDCUP!$AD$4:$AD$147,MATCH(M23,WORLDCUP!$AH$4:$AH$147,0))),"",INDEX(WORLDCUP!$AD$4:$AD$147,MATCH(M23,WORLDCUP!$AH$4:$AH$147,0)))</f>
        <v>1</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1</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0</v>
      </c>
      <c r="E27" s="454" cm="1">
        <f t="array" ref="E27">IF(ISBLANK(INDEX(WORLDCUP!$AD$4:$AD$147,MATCH(A27,WORLDCUP!$AH$4:$AH$147,0))),"",INDEX(WORLDCUP!$AD$4:$AD$147,MATCH(A27,WORLDCUP!$AH$4:$AH$147,0)))</f>
        <v>1</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2</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2</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2-3</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6</v>
      </c>
      <c r="W28" s="493" t="str" cm="1">
        <f t="array" ref="W28">INDEX(WORLDCUP!$AR$6:$AR$97,MATCH(X28,WORLDCUP!$AI$6:$AI$97,0))&amp;"-"&amp;INDEX(WORLDCUP!$AS$6:$AS$97,MATCH(X28,WORLDCUP!$AI$6:$AI$97,0))</f>
        <v>7-1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1</v>
      </c>
      <c r="E29" s="114" cm="1">
        <f t="array" ref="E29">IF(ISBLANK(INDEX(WORLDCUP!$AD$4:$AD$147,MATCH(A29,WORLDCUP!$AH$4:$AH$147,0))),"",INDEX(WORLDCUP!$AD$4:$AD$147,MATCH(A29,WORLDCUP!$AH$4:$AH$147,0)))</f>
        <v>0</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3-1</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-3</v>
      </c>
      <c r="W29" s="512" t="str" cm="1">
        <f t="array" ref="W29">INDEX(WORLDCUP!$AR$6:$AR$97,MATCH(X29,WORLDCUP!$AI$6:$AI$97,0))&amp;"-"&amp;INDEX(WORLDCUP!$AS$6:$AS$97,MATCH(X29,WORLDCUP!$AI$6:$AI$97,0))</f>
        <v>0-3</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-3</v>
      </c>
      <c r="K30" s="512" t="str" cm="1">
        <f t="array" ref="K30">INDEX(WORLDCUP!$AR$6:$AR$97,MATCH(L30,WORLDCUP!$AI$6:$AI$97,0))&amp;"-"&amp;INDEX(WORLDCUP!$AS$6:$AS$97,MATCH(L30,WORLDCUP!$AI$6:$AI$97,0))</f>
        <v>1-4</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0</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4-2</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2</v>
      </c>
      <c r="K31" s="526" t="str" cm="1">
        <f t="array" ref="K31">INDEX(WORLDCUP!$AR$6:$AR$97,MATCH(L31,WORLDCUP!$AI$6:$AI$97,0))&amp;"-"&amp;INDEX(WORLDCUP!$AS$6:$AS$97,MATCH(L31,WORLDCUP!$AI$6:$AI$97,0))</f>
        <v>5-3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1</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-5</v>
      </c>
      <c r="W31" s="526" t="str" cm="1">
        <f t="array" ref="W31">INDEX(WORLDCUP!$AR$6:$AR$97,MATCH(X31,WORLDCUP!$AI$6:$AI$97,0))&amp;"-"&amp;INDEX(WORLDCUP!$AS$6:$AS$97,MATCH(X31,WORLDCUP!$AI$6:$AI$97,0))</f>
        <v>0-5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4</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2</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7</v>
      </c>
      <c r="K36" s="493" t="str" cm="1">
        <f t="array" ref="K36">INDEX(WORLDCUP!$AR$6:$AR$97,MATCH(L36,WORLDCUP!$AI$6:$AI$97,0))&amp;"-"&amp;INDEX(WORLDCUP!$AS$6:$AS$97,MATCH(L36,WORLDCUP!$AI$6:$AI$97,0))</f>
        <v>8-1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1</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6</v>
      </c>
      <c r="W36" s="493" t="str" cm="1">
        <f t="array" ref="W36">INDEX(WORLDCUP!$AR$6:$AR$97,MATCH(X36,WORLDCUP!$AI$6:$AI$97,0))&amp;"-"&amp;INDEX(WORLDCUP!$AS$6:$AS$97,MATCH(X36,WORLDCUP!$AI$6:$AI$97,0))</f>
        <v>7-1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-8</v>
      </c>
      <c r="K37" s="512" t="str" cm="1">
        <f t="array" ref="K37">INDEX(WORLDCUP!$AR$6:$AR$97,MATCH(L37,WORLDCUP!$AI$6:$AI$97,0))&amp;"-"&amp;INDEX(WORLDCUP!$AS$6:$AS$97,MATCH(L37,WORLDCUP!$AI$6:$AI$97,0))</f>
        <v>1-9</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3</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0</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1</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0</v>
      </c>
      <c r="K38" s="512" t="str" cm="1">
        <f t="array" ref="K38">INDEX(WORLDCUP!$AR$6:$AR$97,MATCH(L38,WORLDCUP!$AI$6:$AI$97,0))&amp;"-"&amp;INDEX(WORLDCUP!$AS$6:$AS$97,MATCH(L38,WORLDCUP!$AI$6:$AI$97,0))</f>
        <v>4-4</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1</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3</v>
      </c>
      <c r="V38" s="144" cm="1">
        <f t="array" ref="V38">INDEX(WORLDCUP!$AT$6:$AT$97,MATCH(X38,WORLDCUP!$AI$6:$AI$97,0))</f>
        <v>-3</v>
      </c>
      <c r="W38" s="512" t="str" cm="1">
        <f t="array" ref="W38">INDEX(WORLDCUP!$AR$6:$AR$97,MATCH(X38,WORLDCUP!$AI$6:$AI$97,0))&amp;"-"&amp;INDEX(WORLDCUP!$AS$6:$AS$97,MATCH(X38,WORLDCUP!$AI$6:$AI$97,0))</f>
        <v>2-5</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1</v>
      </c>
      <c r="K39" s="526" t="str" cm="1">
        <f t="array" ref="K39">INDEX(WORLDCUP!$AR$6:$AR$97,MATCH(L39,WORLDCUP!$AI$6:$AI$97,0))&amp;"-"&amp;INDEX(WORLDCUP!$AS$6:$AS$97,MATCH(L39,WORLDCUP!$AI$6:$AI$97,0))</f>
        <v>5-4</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1</v>
      </c>
      <c r="W39" s="526" t="str" cm="1">
        <f t="array" ref="W39">INDEX(WORLDCUP!$AR$6:$AR$97,MATCH(X39,WORLDCUP!$AI$6:$AI$97,0))&amp;"-"&amp;INDEX(WORLDCUP!$AS$6:$AS$97,MATCH(X39,WORLDCUP!$AI$6:$AI$97,0))</f>
        <v>4-3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0</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1</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2</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1</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5</v>
      </c>
      <c r="K44" s="493" t="str" cm="1">
        <f t="array" ref="K44">INDEX(WORLDCUP!$AR$6:$AR$97,MATCH(L44,WORLDCUP!$AI$6:$AI$97,0))&amp;"-"&amp;INDEX(WORLDCUP!$AS$6:$AS$97,MATCH(L44,WORLDCUP!$AI$6:$AI$97,0))</f>
        <v>6-1</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2</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6</v>
      </c>
      <c r="W44" s="493" t="str" cm="1">
        <f t="array" ref="W44">INDEX(WORLDCUP!$AR$6:$AR$97,MATCH(X44,WORLDCUP!$AI$6:$AI$97,0))&amp;"-"&amp;INDEX(WORLDCUP!$AS$6:$AS$97,MATCH(X44,WORLDCUP!$AI$6:$AI$97,0))</f>
        <v>7-1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0</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0</v>
      </c>
      <c r="K45" s="512" t="str" cm="1">
        <f t="array" ref="K45">INDEX(WORLDCUP!$AR$6:$AR$97,MATCH(L45,WORLDCUP!$AI$6:$AI$97,0))&amp;"-"&amp;INDEX(WORLDCUP!$AS$6:$AS$97,MATCH(L45,WORLDCUP!$AI$6:$AI$97,0))</f>
        <v>2-2</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4</v>
      </c>
      <c r="V45" s="144" cm="1">
        <f t="array" ref="V45">INDEX(WORLDCUP!$AT$6:$AT$97,MATCH(X45,WORLDCUP!$AI$6:$AI$97,0))</f>
        <v>1</v>
      </c>
      <c r="W45" s="512" t="str" cm="1">
        <f t="array" ref="W45">INDEX(WORLDCUP!$AR$6:$AR$97,MATCH(X45,WORLDCUP!$AI$6:$AI$97,0))&amp;"-"&amp;INDEX(WORLDCUP!$AS$6:$AS$97,MATCH(X45,WORLDCUP!$AI$6:$AI$97,0))</f>
        <v>4-3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1</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1-2</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0</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4</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0</v>
      </c>
      <c r="E47" s="114" cm="1">
        <f t="array" ref="E47">IF(ISBLANK(INDEX(WORLDCUP!$AD$4:$AD$147,MATCH(A47,WORLDCUP!$AH$4:$AH$147,0))),"",INDEX(WORLDCUP!$AD$4:$AD$147,MATCH(A47,WORLDCUP!$AH$4:$AH$147,0)))</f>
        <v>0</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-4</v>
      </c>
      <c r="K47" s="526" t="str" cm="1">
        <f t="array" ref="K47">INDEX(WORLDCUP!$AR$6:$AR$97,MATCH(L47,WORLDCUP!$AI$6:$AI$97,0))&amp;"-"&amp;INDEX(WORLDCUP!$AS$6:$AS$97,MATCH(L47,WORLDCUP!$AI$6:$AI$97,0))</f>
        <v>0-4</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3</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-6</v>
      </c>
      <c r="W47" s="526" t="str" cm="1">
        <f t="array" ref="W47">INDEX(WORLDCUP!$AR$6:$AR$97,MATCH(X47,WORLDCUP!$AI$6:$AI$97,0))&amp;"-"&amp;INDEX(WORLDCUP!$AS$6:$AS$97,MATCH(X47,WORLDCUP!$AI$6:$AI$97,0))</f>
        <v>1-7</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2</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1</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8" t="s">
        <v>457</v>
      </c>
      <c r="C3" s="837"/>
      <c r="D3" s="837"/>
      <c r="E3" s="837"/>
      <c r="F3" s="837"/>
      <c r="G3" s="837"/>
      <c r="H3" s="837"/>
      <c r="I3" s="837"/>
      <c r="J3" s="837"/>
      <c r="K3" s="673"/>
      <c r="L3" s="674"/>
      <c r="M3" s="675"/>
      <c r="N3" s="675"/>
      <c r="O3" s="675"/>
      <c r="P3" s="675"/>
      <c r="Q3" s="675"/>
      <c r="R3" s="676"/>
    </row>
    <row r="4" spans="1:18" s="662" customFormat="1" ht="15" customHeight="1" x14ac:dyDescent="0.2">
      <c r="A4" s="672"/>
      <c r="B4" s="837"/>
      <c r="C4" s="837"/>
      <c r="D4" s="837"/>
      <c r="E4" s="837"/>
      <c r="F4" s="837"/>
      <c r="G4" s="837"/>
      <c r="H4" s="837"/>
      <c r="I4" s="837"/>
      <c r="J4" s="837"/>
      <c r="K4" s="673"/>
      <c r="L4" s="677" t="s">
        <v>458</v>
      </c>
      <c r="M4" s="678"/>
      <c r="N4" s="678"/>
      <c r="O4" s="678"/>
      <c r="P4" s="678"/>
      <c r="Q4" s="678"/>
      <c r="R4" s="679"/>
    </row>
    <row r="5" spans="1:18" s="662" customFormat="1" ht="15" customHeight="1" x14ac:dyDescent="0.2">
      <c r="A5" s="672"/>
      <c r="B5" s="837"/>
      <c r="C5" s="837"/>
      <c r="D5" s="837"/>
      <c r="E5" s="837"/>
      <c r="F5" s="837"/>
      <c r="G5" s="837"/>
      <c r="H5" s="837"/>
      <c r="I5" s="837"/>
      <c r="J5" s="837"/>
      <c r="K5" s="673"/>
      <c r="L5" s="677" t="s">
        <v>459</v>
      </c>
      <c r="M5" s="678"/>
      <c r="N5" s="678"/>
      <c r="O5" s="678"/>
      <c r="P5" s="678"/>
      <c r="Q5" s="678"/>
      <c r="R5" s="679"/>
    </row>
    <row r="6" spans="1:18" s="662" customFormat="1" ht="15" customHeight="1" x14ac:dyDescent="0.2">
      <c r="A6" s="672"/>
      <c r="B6" s="837"/>
      <c r="C6" s="837"/>
      <c r="D6" s="837"/>
      <c r="E6" s="837"/>
      <c r="F6" s="837"/>
      <c r="G6" s="837"/>
      <c r="H6" s="837"/>
      <c r="I6" s="837"/>
      <c r="J6" s="837"/>
      <c r="K6" s="673"/>
      <c r="L6" s="677" t="s">
        <v>460</v>
      </c>
      <c r="M6" s="678"/>
      <c r="N6" s="678"/>
      <c r="O6" s="678"/>
      <c r="P6" s="678"/>
      <c r="Q6" s="678"/>
      <c r="R6" s="679"/>
    </row>
    <row r="7" spans="1:18" s="662" customFormat="1" ht="15" customHeight="1" x14ac:dyDescent="0.2">
      <c r="A7" s="672"/>
      <c r="B7" s="837"/>
      <c r="C7" s="837"/>
      <c r="D7" s="837"/>
      <c r="E7" s="837"/>
      <c r="F7" s="837"/>
      <c r="G7" s="837"/>
      <c r="H7" s="837"/>
      <c r="I7" s="837"/>
      <c r="J7" s="837"/>
      <c r="K7" s="673"/>
      <c r="L7" s="680"/>
      <c r="M7" s="681"/>
      <c r="N7" s="681"/>
      <c r="O7" s="681"/>
      <c r="P7" s="681"/>
      <c r="Q7" s="681"/>
      <c r="R7" s="682"/>
    </row>
    <row r="8" spans="1:18" s="662" customFormat="1" ht="15" customHeight="1" x14ac:dyDescent="0.2">
      <c r="A8" s="672"/>
      <c r="B8" s="837"/>
      <c r="C8" s="837"/>
      <c r="D8" s="837"/>
      <c r="E8" s="837"/>
      <c r="F8" s="837"/>
      <c r="G8" s="837"/>
      <c r="H8" s="837"/>
      <c r="I8" s="837"/>
      <c r="J8" s="837"/>
      <c r="K8" s="683"/>
    </row>
    <row r="9" spans="1:18" s="662" customFormat="1" ht="15" customHeight="1" x14ac:dyDescent="0.2">
      <c r="A9" s="672"/>
      <c r="B9" s="837"/>
      <c r="C9" s="837"/>
      <c r="D9" s="837"/>
      <c r="E9" s="837"/>
      <c r="F9" s="837"/>
      <c r="G9" s="837"/>
      <c r="H9" s="837"/>
      <c r="I9" s="837"/>
      <c r="J9" s="837"/>
      <c r="K9" s="683"/>
      <c r="L9" s="667" t="s">
        <v>461</v>
      </c>
    </row>
    <row r="10" spans="1:18" s="662" customFormat="1" ht="15" customHeight="1" x14ac:dyDescent="0.2">
      <c r="A10" s="672"/>
      <c r="B10" s="837"/>
      <c r="C10" s="837"/>
      <c r="D10" s="837"/>
      <c r="E10" s="837"/>
      <c r="F10" s="837"/>
      <c r="G10" s="837"/>
      <c r="H10" s="837"/>
      <c r="I10" s="837"/>
      <c r="J10" s="837"/>
      <c r="K10" s="673"/>
      <c r="L10" s="674"/>
      <c r="M10" s="675"/>
      <c r="N10" s="675"/>
      <c r="O10" s="675"/>
      <c r="P10" s="675"/>
      <c r="Q10" s="675"/>
      <c r="R10" s="676"/>
    </row>
    <row r="11" spans="1:18" s="662" customFormat="1" ht="15" customHeight="1" x14ac:dyDescent="0.2">
      <c r="A11" s="672"/>
      <c r="B11" s="837"/>
      <c r="C11" s="837"/>
      <c r="D11" s="837"/>
      <c r="E11" s="837"/>
      <c r="F11" s="837"/>
      <c r="G11" s="837"/>
      <c r="H11" s="837"/>
      <c r="I11" s="837"/>
      <c r="J11" s="837"/>
      <c r="K11" s="673"/>
      <c r="L11" s="677" t="s">
        <v>462</v>
      </c>
      <c r="M11" s="678"/>
      <c r="N11" s="678"/>
      <c r="O11" s="678"/>
      <c r="P11" s="678"/>
      <c r="Q11" s="678"/>
      <c r="R11" s="679"/>
    </row>
    <row r="12" spans="1:18" s="662" customFormat="1" ht="15" customHeight="1" x14ac:dyDescent="0.2">
      <c r="A12" s="672"/>
      <c r="B12" s="837"/>
      <c r="C12" s="837"/>
      <c r="D12" s="837"/>
      <c r="E12" s="837"/>
      <c r="F12" s="837"/>
      <c r="G12" s="837"/>
      <c r="H12" s="837"/>
      <c r="I12" s="837"/>
      <c r="J12" s="837"/>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6" t="s">
        <v>11</v>
      </c>
      <c r="C34" s="837"/>
      <c r="D34" s="837"/>
      <c r="E34" s="837"/>
      <c r="F34" s="837"/>
      <c r="G34" s="837"/>
      <c r="H34" s="837"/>
      <c r="I34" s="837"/>
      <c r="J34" s="837"/>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5" t="s">
        <v>486</v>
      </c>
      <c r="N84" s="753"/>
      <c r="O84" s="753"/>
      <c r="P84" s="753"/>
      <c r="Q84" s="753"/>
      <c r="R84" s="753"/>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Home</vt:lpstr>
      <vt:lpstr>16</vt:lpstr>
      <vt:lpstr>8</vt:lpstr>
      <vt:lpstr>4</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2026-07-09T20:36:00Z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2026-06-28T18:28:55Z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64ce804e-346a-4327-95cc-147af12ed43a</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
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B939EF1B-8B18-5444-A3B4-B27697A9526C}" xr6:coauthVersionLast="47" xr6:coauthVersionMax="47" xr10:uidLastSave="{00000000-0000-0000-0000-000000000000}"/>
  <bookViews>
    <workbookView xWindow="0" yWindow="660" windowWidth="25760" windowHeight="11840" tabRatio="749" activeTab="4" xr2:uid="{00000000-000D-0000-FFFF-FFFF00000000}"/>
  </bookViews>
  <sheets>
    <sheet name="Home" sheetId="1" state="hidden" r:id="rId1"/>
    <sheet name="WORLDCUP" sheetId="2" r:id="rId2"/>
    <sheet name="16" sheetId="10" r:id="rId3"/>
    <sheet name="8" sheetId="11" r:id="rId4"/>
    <sheet name="4" sheetId="12" r:id="rId5"/>
    <sheet name="Pool" sheetId="3" state="hidden" r:id="rId6"/>
    <sheet name="Fixture" sheetId="4" state="hidden" r:id="rId7"/>
    <sheet name="Idiomas" sheetId="5" state="veryHidden" r:id="rId8"/>
    <sheet name="Combinaciones" sheetId="6" state="veryHidden" r:id="rId9"/>
    <sheet name="Credits" sheetId="7" state="hidden" r:id="rId10"/>
    <sheet name="Equipos" sheetId="8" state="veryHidden" r:id="rId11"/>
    <sheet name="Horarios" sheetId="9" state="veryHidden" r:id="rId12"/>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G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L2" i="6"/>
  <c r="G243" i="5"/>
  <c r="G237" i="5"/>
  <c r="B3" i="5"/>
  <c r="B2" i="5"/>
  <c r="D173" i="5" s="1"/>
  <c r="B113"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Q24" i="4"/>
  <c r="P24" i="4"/>
  <c r="E24" i="4"/>
  <c r="D24"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2" i="2"/>
  <c r="AA151" i="2"/>
  <c r="AA150" i="2"/>
  <c r="AF147" i="2"/>
  <c r="C241" i="3" s="1"/>
  <c r="AA147" i="2"/>
  <c r="Z147" i="2"/>
  <c r="H147" i="2"/>
  <c r="D147" i="2"/>
  <c r="AG147" i="2" s="1"/>
  <c r="AF143" i="2"/>
  <c r="C237" i="3" s="1"/>
  <c r="AA143" i="2"/>
  <c r="Z143" i="2"/>
  <c r="D143" i="2"/>
  <c r="AG143" i="2" s="1"/>
  <c r="Z139" i="2"/>
  <c r="H139" i="2"/>
  <c r="D139" i="2"/>
  <c r="Z138" i="2"/>
  <c r="H138" i="2"/>
  <c r="D138" i="2"/>
  <c r="Z134" i="2"/>
  <c r="D134" i="2"/>
  <c r="Z133" i="2"/>
  <c r="D133" i="2"/>
  <c r="Z132" i="2"/>
  <c r="D132" i="2"/>
  <c r="Z131" i="2"/>
  <c r="D131" i="2"/>
  <c r="Z127" i="2"/>
  <c r="D127" i="2"/>
  <c r="Z126" i="2"/>
  <c r="D126" i="2"/>
  <c r="Z125" i="2"/>
  <c r="D125" i="2"/>
  <c r="Z124" i="2"/>
  <c r="D124" i="2"/>
  <c r="Z123" i="2"/>
  <c r="D123" i="2"/>
  <c r="Z122" i="2"/>
  <c r="D122" i="2"/>
  <c r="AG122" i="2" s="1"/>
  <c r="Z121" i="2"/>
  <c r="D121" i="2"/>
  <c r="AG121" i="2" s="1"/>
  <c r="Z120" i="2"/>
  <c r="D120" i="2"/>
  <c r="Z116" i="2"/>
  <c r="D116" i="2"/>
  <c r="AL115" i="2"/>
  <c r="Z115" i="2"/>
  <c r="D115" i="2"/>
  <c r="Z114" i="2"/>
  <c r="D114" i="2"/>
  <c r="AK113" i="2" a="1"/>
  <c r="AK113" i="2" s="1"/>
  <c r="Z113" i="2"/>
  <c r="D113" i="2"/>
  <c r="AK112" i="2" a="1"/>
  <c r="AK112" i="2" s="1"/>
  <c r="Z112" i="2"/>
  <c r="D112" i="2"/>
  <c r="AK111" i="2" a="1"/>
  <c r="AK111" i="2" s="1"/>
  <c r="Z111" i="2"/>
  <c r="D111" i="2"/>
  <c r="AK110" i="2" a="1"/>
  <c r="AK110" i="2" s="1"/>
  <c r="Z110" i="2"/>
  <c r="D110" i="2"/>
  <c r="AK109" i="2" a="1"/>
  <c r="AK109" i="2" s="1"/>
  <c r="Z109" i="2"/>
  <c r="D109" i="2"/>
  <c r="AK108" i="2" a="1"/>
  <c r="AK108" i="2" s="1"/>
  <c r="Z108" i="2"/>
  <c r="D108" i="2"/>
  <c r="AK107" i="2" a="1"/>
  <c r="AK107" i="2" s="1"/>
  <c r="Z107" i="2"/>
  <c r="D107" i="2"/>
  <c r="AK106" i="2" a="1"/>
  <c r="AK106" i="2" s="1"/>
  <c r="Z106" i="2"/>
  <c r="D106" i="2"/>
  <c r="AK105" i="2" a="1"/>
  <c r="AK105" i="2" s="1"/>
  <c r="Z105" i="2"/>
  <c r="D105" i="2"/>
  <c r="AK104" i="2" a="1"/>
  <c r="AK104" i="2" s="1"/>
  <c r="Z104" i="2"/>
  <c r="D104" i="2"/>
  <c r="AK103" i="2" a="1"/>
  <c r="AK103" i="2" s="1"/>
  <c r="Z103" i="2"/>
  <c r="D103" i="2"/>
  <c r="AK102" i="2" a="1"/>
  <c r="AK102" i="2" s="1"/>
  <c r="Z102" i="2"/>
  <c r="D102" i="2"/>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L27" i="8" l="1"/>
  <c r="EU6144" i="7"/>
  <c r="G227" i="5" s="1"/>
  <c r="D227" i="5" s="1"/>
  <c r="M27" i="8"/>
  <c r="D48" i="5"/>
  <c r="AM148" i="2" s="1"/>
  <c r="D89" i="5"/>
  <c r="L13" i="7" s="1"/>
  <c r="D141" i="5"/>
  <c r="B81" i="3" s="1"/>
  <c r="D180" i="5"/>
  <c r="B120" i="3" s="1"/>
  <c r="D249" i="5"/>
  <c r="B5" i="8" s="1"/>
  <c r="D202" i="5"/>
  <c r="B18" i="8" s="1"/>
  <c r="D208" i="5"/>
  <c r="AB9" i="9" s="1"/>
  <c r="D49" i="5"/>
  <c r="D91" i="5"/>
  <c r="L15" i="7" s="1"/>
  <c r="D142" i="5"/>
  <c r="B82" i="3" s="1"/>
  <c r="D182" i="5"/>
  <c r="B122" i="3" s="1"/>
  <c r="D15" i="5"/>
  <c r="C7" i="1" s="1"/>
  <c r="D50" i="5"/>
  <c r="D108" i="5"/>
  <c r="E4" i="3" s="1"/>
  <c r="D143" i="5"/>
  <c r="B83" i="3" s="1"/>
  <c r="D207" i="5"/>
  <c r="B40" i="8" s="1"/>
  <c r="D252" i="5"/>
  <c r="L2" i="9" s="1"/>
  <c r="D203" i="5"/>
  <c r="AB4" i="9" s="1"/>
  <c r="D233" i="5"/>
  <c r="AB34" i="9" s="1"/>
  <c r="D17" i="5"/>
  <c r="X3" i="2" s="1"/>
  <c r="X19" i="2" s="1"/>
  <c r="X35" i="2" s="1"/>
  <c r="D51" i="5"/>
  <c r="AJ5" i="2" s="1"/>
  <c r="AJ37" i="2" s="1"/>
  <c r="D110" i="5"/>
  <c r="E6" i="3" s="1"/>
  <c r="D144" i="5"/>
  <c r="B84" i="3" s="1"/>
  <c r="D256" i="5"/>
  <c r="D18" i="5"/>
  <c r="Y3" i="2" s="1"/>
  <c r="Y19" i="2" s="1"/>
  <c r="Y35" i="2" s="1"/>
  <c r="D58" i="5"/>
  <c r="AR5" i="2" s="1"/>
  <c r="AR77" i="2" s="1"/>
  <c r="D112" i="5"/>
  <c r="E54" i="3" s="1"/>
  <c r="D152" i="5"/>
  <c r="B92" i="3" s="1"/>
  <c r="D219" i="5"/>
  <c r="AB20" i="9" s="1"/>
  <c r="D204" i="5"/>
  <c r="K4" i="8" s="1"/>
  <c r="D216" i="5"/>
  <c r="K16" i="8" s="1"/>
  <c r="D228" i="5"/>
  <c r="B23" i="8" s="1"/>
  <c r="D19" i="5"/>
  <c r="Z3" i="2" s="1"/>
  <c r="Z19" i="2" s="1"/>
  <c r="Z35" i="2" s="1"/>
  <c r="D61" i="5"/>
  <c r="Z4" i="2" s="1"/>
  <c r="Z13" i="2" s="1"/>
  <c r="D113" i="5"/>
  <c r="E162" i="3" s="1"/>
  <c r="D154" i="5"/>
  <c r="B94" i="3" s="1"/>
  <c r="D21" i="5"/>
  <c r="D73" i="5"/>
  <c r="D115" i="5"/>
  <c r="E164" i="3" s="1"/>
  <c r="D166" i="5"/>
  <c r="B106" i="3" s="1"/>
  <c r="D211" i="5"/>
  <c r="B6" i="8" s="1"/>
  <c r="D229" i="5"/>
  <c r="K29" i="8" s="1"/>
  <c r="D22" i="5"/>
  <c r="AF3" i="2" s="1"/>
  <c r="AF51" i="2" s="1"/>
  <c r="D75" i="5"/>
  <c r="D116" i="5"/>
  <c r="E200" i="3" s="1"/>
  <c r="D168" i="5"/>
  <c r="B108" i="3" s="1"/>
  <c r="D29" i="5"/>
  <c r="W129" i="2" s="1"/>
  <c r="D76" i="5"/>
  <c r="D122" i="5"/>
  <c r="D6" i="3" s="1"/>
  <c r="D169" i="5"/>
  <c r="B109" i="3" s="1"/>
  <c r="D212" i="5"/>
  <c r="AB13" i="9" s="1"/>
  <c r="D224" i="5"/>
  <c r="B48" i="8" s="1"/>
  <c r="D31" i="5"/>
  <c r="W141" i="2" s="1"/>
  <c r="D79" i="5"/>
  <c r="B3" i="7" s="1"/>
  <c r="D125" i="5"/>
  <c r="B5" i="3" s="1"/>
  <c r="D170" i="5"/>
  <c r="B110" i="3" s="1"/>
  <c r="D43" i="5"/>
  <c r="AA156" i="2" s="1"/>
  <c r="D80" i="5"/>
  <c r="B15" i="7" s="1"/>
  <c r="D137" i="5"/>
  <c r="B243" i="3" s="1"/>
  <c r="D172" i="5"/>
  <c r="B112" i="3" s="1"/>
  <c r="D46" i="5"/>
  <c r="C9" i="1" s="1"/>
  <c r="D81" i="5"/>
  <c r="B16" i="7" s="1"/>
  <c r="D140" i="5"/>
  <c r="B80" i="3" s="1"/>
  <c r="M122" i="2"/>
  <c r="AA122" i="2" s="1"/>
  <c r="C184" i="3" s="1"/>
  <c r="AG102" i="2"/>
  <c r="N121" i="2"/>
  <c r="AF120" i="2" s="1"/>
  <c r="C190" i="3" s="1"/>
  <c r="AG104" i="2"/>
  <c r="M123" i="2"/>
  <c r="AA123" i="2" s="1"/>
  <c r="C185" i="3" s="1"/>
  <c r="AG107" i="2"/>
  <c r="N123" i="2"/>
  <c r="AF123" i="2" s="1"/>
  <c r="C193" i="3" s="1"/>
  <c r="AG108" i="2"/>
  <c r="N124" i="2"/>
  <c r="AF124" i="2" s="1"/>
  <c r="C194" i="3" s="1"/>
  <c r="AG111" i="2"/>
  <c r="M127" i="2"/>
  <c r="AA127" i="2" s="1"/>
  <c r="C189" i="3" s="1"/>
  <c r="AG113" i="2"/>
  <c r="AG114" i="2"/>
  <c r="N126" i="2"/>
  <c r="AF126" i="2" s="1"/>
  <c r="C196" i="3" s="1"/>
  <c r="N127" i="2"/>
  <c r="AF127" i="2" s="1"/>
  <c r="C197" i="3" s="1"/>
  <c r="AG116" i="2"/>
  <c r="N131" i="2"/>
  <c r="AF131" i="2" s="1"/>
  <c r="C214" i="3" s="1"/>
  <c r="AG120" i="2"/>
  <c r="N133" i="2"/>
  <c r="AF133" i="2" s="1"/>
  <c r="C216" i="3" s="1"/>
  <c r="AG123" i="2"/>
  <c r="M132" i="2"/>
  <c r="AA132" i="2" s="1"/>
  <c r="C211" i="3" s="1"/>
  <c r="AG124" i="2"/>
  <c r="N132" i="2"/>
  <c r="AF132" i="2" s="1"/>
  <c r="C215" i="3" s="1"/>
  <c r="AG125" i="2"/>
  <c r="M134" i="2"/>
  <c r="AA134" i="2" s="1"/>
  <c r="AI43" i="4" s="1"/>
  <c r="AG126" i="2"/>
  <c r="M138" i="2"/>
  <c r="AA138" i="2" s="1"/>
  <c r="AM13" i="4" s="1"/>
  <c r="AG131" i="2"/>
  <c r="AG132" i="2"/>
  <c r="N138" i="2"/>
  <c r="AF138" i="2" s="1"/>
  <c r="C228" i="3" s="1"/>
  <c r="M139" i="2"/>
  <c r="AA139" i="2" s="1"/>
  <c r="AG133" i="2"/>
  <c r="N139" i="2"/>
  <c r="AF139" i="2" s="1"/>
  <c r="C229" i="3" s="1"/>
  <c r="AG134" i="2"/>
  <c r="M147" i="2"/>
  <c r="M143" i="2"/>
  <c r="AG138" i="2"/>
  <c r="N147" i="2"/>
  <c r="N143" i="2"/>
  <c r="AG139" i="2"/>
  <c r="C247" i="3"/>
  <c r="B247" i="3"/>
  <c r="C240" i="3"/>
  <c r="C250" i="3"/>
  <c r="AG150" i="2"/>
  <c r="C251" i="3"/>
  <c r="BB23" i="4"/>
  <c r="AG151" i="2"/>
  <c r="C252" i="3"/>
  <c r="AZ25" i="4"/>
  <c r="AG152" i="2"/>
  <c r="Y130" i="2"/>
  <c r="Y146" i="2"/>
  <c r="Y91" i="2"/>
  <c r="Z36" i="2"/>
  <c r="AN13" i="4"/>
  <c r="AK31" i="4"/>
  <c r="AF5" i="4"/>
  <c r="AC4" i="4"/>
  <c r="AK32" i="4"/>
  <c r="N125" i="2"/>
  <c r="AF125" i="2" s="1"/>
  <c r="C195" i="3" s="1"/>
  <c r="AG109" i="2"/>
  <c r="M121" i="2"/>
  <c r="AA120" i="2" s="1"/>
  <c r="AE10" i="4" s="1"/>
  <c r="AG101" i="2"/>
  <c r="N120" i="2"/>
  <c r="AF121" i="2" s="1"/>
  <c r="C191" i="3" s="1"/>
  <c r="AG106" i="2"/>
  <c r="C244" i="3"/>
  <c r="B244" i="3"/>
  <c r="C236" i="3"/>
  <c r="AG103" i="2"/>
  <c r="M120" i="2"/>
  <c r="AA121" i="2" s="1"/>
  <c r="AE4" i="4" s="1"/>
  <c r="M125" i="2"/>
  <c r="AA125" i="2" s="1"/>
  <c r="AE22" i="4" s="1"/>
  <c r="AG110" i="2"/>
  <c r="AG105" i="2"/>
  <c r="N122" i="2"/>
  <c r="AF122" i="2" s="1"/>
  <c r="M124" i="2"/>
  <c r="AA124" i="2" s="1"/>
  <c r="AE16" i="4" s="1"/>
  <c r="AG112" i="2"/>
  <c r="N134" i="2"/>
  <c r="AF134" i="2" s="1"/>
  <c r="C217" i="3" s="1"/>
  <c r="AG127" i="2"/>
  <c r="AJ7" i="4"/>
  <c r="AG115" i="2"/>
  <c r="M126" i="2"/>
  <c r="AA126" i="2" s="1"/>
  <c r="AE40" i="4" s="1"/>
  <c r="AB3" i="4"/>
  <c r="AU25" i="4"/>
  <c r="BA21" i="4"/>
  <c r="AB49" i="4"/>
  <c r="AB48" i="4"/>
  <c r="AG47" i="4"/>
  <c r="AB45" i="4"/>
  <c r="AC28" i="4"/>
  <c r="AC25" i="4"/>
  <c r="AC24" i="4"/>
  <c r="AC15" i="4"/>
  <c r="AB13" i="4"/>
  <c r="AF10" i="4"/>
  <c r="AF47" i="4"/>
  <c r="AC39" i="4"/>
  <c r="AC37" i="4"/>
  <c r="AG34" i="4"/>
  <c r="AC30" i="4"/>
  <c r="AB28" i="4"/>
  <c r="AB25" i="4"/>
  <c r="AB24" i="4"/>
  <c r="AG22" i="4"/>
  <c r="AK20" i="4"/>
  <c r="AC18" i="4"/>
  <c r="AG17" i="4"/>
  <c r="AG16" i="4"/>
  <c r="AB15" i="4"/>
  <c r="AC7" i="4"/>
  <c r="AC42" i="4"/>
  <c r="AG41" i="4"/>
  <c r="AG40" i="4"/>
  <c r="AB39" i="4"/>
  <c r="AB37" i="4"/>
  <c r="AF34" i="4"/>
  <c r="AB30" i="4"/>
  <c r="AF22" i="4"/>
  <c r="AJ20" i="4"/>
  <c r="AB18" i="4"/>
  <c r="AF17" i="4"/>
  <c r="AF16" i="4"/>
  <c r="AC10" i="4"/>
  <c r="AC9" i="4"/>
  <c r="AK8" i="4"/>
  <c r="AB7" i="4"/>
  <c r="AK44" i="4"/>
  <c r="AB42" i="4"/>
  <c r="AF41" i="4"/>
  <c r="AF40" i="4"/>
  <c r="AS31" i="4"/>
  <c r="AC12" i="4"/>
  <c r="AB10" i="4"/>
  <c r="AB9" i="4"/>
  <c r="AJ8" i="4"/>
  <c r="AG46" i="4"/>
  <c r="AJ44" i="4"/>
  <c r="AC34" i="4"/>
  <c r="AC33" i="4"/>
  <c r="AS32" i="4"/>
  <c r="AR31" i="4"/>
  <c r="AC27" i="4"/>
  <c r="AC22" i="4"/>
  <c r="AC16" i="4"/>
  <c r="AO14" i="4"/>
  <c r="AB12" i="4"/>
  <c r="AC43" i="4"/>
  <c r="AO37" i="4"/>
  <c r="AF35" i="4"/>
  <c r="AB31" i="4"/>
  <c r="AF28" i="4"/>
  <c r="AU26" i="4"/>
  <c r="AV25" i="4"/>
  <c r="AF23" i="4"/>
  <c r="AB21" i="4"/>
  <c r="AK7" i="4"/>
  <c r="AC46" i="4"/>
  <c r="AK43" i="4"/>
  <c r="AJ31" i="4"/>
  <c r="AG23" i="4"/>
  <c r="AB16" i="4"/>
  <c r="AB4" i="4"/>
  <c r="AB46" i="4"/>
  <c r="AJ43" i="4"/>
  <c r="AB33" i="4"/>
  <c r="AC6" i="4"/>
  <c r="AC31" i="4"/>
  <c r="AG28" i="4"/>
  <c r="AB6" i="4"/>
  <c r="AC49" i="4"/>
  <c r="AB43" i="4"/>
  <c r="AG35" i="4"/>
  <c r="AK19" i="4"/>
  <c r="AN14" i="4"/>
  <c r="AF46" i="4"/>
  <c r="AO38" i="4"/>
  <c r="AJ32" i="4"/>
  <c r="AQ31" i="4"/>
  <c r="AW26" i="4"/>
  <c r="AC21" i="4"/>
  <c r="AC13" i="4"/>
  <c r="AG10" i="4"/>
  <c r="AC48" i="4"/>
  <c r="AB40" i="4"/>
  <c r="AG11" i="4"/>
  <c r="AB27" i="4"/>
  <c r="AJ19" i="4"/>
  <c r="AF11" i="4"/>
  <c r="AV26" i="4"/>
  <c r="AR32" i="4"/>
  <c r="AG29" i="4"/>
  <c r="AC19" i="4"/>
  <c r="AQ32" i="4"/>
  <c r="AF29" i="4"/>
  <c r="AW25" i="4"/>
  <c r="AB22" i="4"/>
  <c r="AB19" i="4"/>
  <c r="AO13" i="4"/>
  <c r="AG5" i="4"/>
  <c r="AN37" i="4"/>
  <c r="AC36" i="4"/>
  <c r="AG4" i="4"/>
  <c r="AN38" i="4"/>
  <c r="AB36" i="4"/>
  <c r="AF4" i="4"/>
  <c r="AC3" i="4"/>
  <c r="AC40" i="4"/>
  <c r="AB34" i="4"/>
  <c r="AC45" i="4"/>
  <c r="M131" i="2"/>
  <c r="AA131" i="2" s="1"/>
  <c r="M133" i="2"/>
  <c r="AA133" i="2" s="1"/>
  <c r="AI31" i="4" s="1"/>
  <c r="K8" i="8"/>
  <c r="AB50" i="9"/>
  <c r="K49" i="8"/>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43" i="5"/>
  <c r="D239" i="5"/>
  <c r="D235" i="5"/>
  <c r="D231"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213"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25"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37" i="5"/>
  <c r="D242" i="5"/>
  <c r="AC28" i="9"/>
  <c r="K7" i="8" l="1"/>
  <c r="AB17" i="9"/>
  <c r="B27" i="8"/>
  <c r="B26" i="8"/>
  <c r="K2" i="8"/>
  <c r="AB3" i="9"/>
  <c r="X142" i="2"/>
  <c r="AB29" i="9"/>
  <c r="B41" i="8"/>
  <c r="B39" i="8"/>
  <c r="AB8" i="9"/>
  <c r="X100" i="2"/>
  <c r="K3" i="8"/>
  <c r="X67" i="2"/>
  <c r="AB5" i="9"/>
  <c r="Z28" i="2"/>
  <c r="K28" i="8"/>
  <c r="X137" i="2"/>
  <c r="X130" i="2"/>
  <c r="B47" i="8"/>
  <c r="Y137" i="2"/>
  <c r="Z77" i="2"/>
  <c r="Y67" i="2"/>
  <c r="Y119" i="2"/>
  <c r="Y75" i="2"/>
  <c r="Y83" i="2"/>
  <c r="B32" i="8"/>
  <c r="A63" i="2" s="1"/>
  <c r="K19" i="8"/>
  <c r="X91" i="2"/>
  <c r="AJ85" i="2"/>
  <c r="AB30" i="9"/>
  <c r="Z83" i="2"/>
  <c r="Y11" i="2"/>
  <c r="Y27" i="2" s="1"/>
  <c r="Y43" i="2" s="1"/>
  <c r="AE34" i="4"/>
  <c r="Z76" i="2"/>
  <c r="Z85" i="2"/>
  <c r="Z51" i="2"/>
  <c r="AE35" i="4"/>
  <c r="Z29" i="2"/>
  <c r="K24" i="8"/>
  <c r="AM38" i="4" a="1"/>
  <c r="AM38" i="4" s="1"/>
  <c r="K11" i="8"/>
  <c r="AE11" i="4"/>
  <c r="AI19" i="4"/>
  <c r="AJ69" i="2"/>
  <c r="AE41" i="4"/>
  <c r="Z5" i="2"/>
  <c r="Z61" i="2"/>
  <c r="AE28" i="4"/>
  <c r="AR101" i="2"/>
  <c r="Y59" i="2"/>
  <c r="Y100" i="2"/>
  <c r="K33" i="8"/>
  <c r="BJ5" i="2"/>
  <c r="BJ57" i="2" s="1"/>
  <c r="X119" i="2"/>
  <c r="X11" i="2"/>
  <c r="X27" i="2" s="1"/>
  <c r="X43" i="2" s="1"/>
  <c r="AI8" i="4"/>
  <c r="X75" i="2"/>
  <c r="X51" i="2"/>
  <c r="AJ13" i="2"/>
  <c r="AE17" i="4"/>
  <c r="X83" i="2"/>
  <c r="AJ21" i="2"/>
  <c r="AB12" i="9"/>
  <c r="Z91" i="2"/>
  <c r="Y142" i="2"/>
  <c r="Z11" i="2"/>
  <c r="Z27" i="2" s="1"/>
  <c r="Z43" i="2" s="1"/>
  <c r="Y51" i="2"/>
  <c r="B233" i="3"/>
  <c r="B29" i="8"/>
  <c r="BD33" i="2" s="1"/>
  <c r="AR37" i="2"/>
  <c r="AF75" i="2"/>
  <c r="AF83" i="2"/>
  <c r="AF100" i="2"/>
  <c r="AF146" i="2"/>
  <c r="AF142" i="2"/>
  <c r="AE47" i="4"/>
  <c r="C213" i="3"/>
  <c r="AB25" i="9"/>
  <c r="AJ53" i="2"/>
  <c r="X146" i="2"/>
  <c r="AJ29" i="2"/>
  <c r="C226" i="3"/>
  <c r="AE5" i="4"/>
  <c r="AF119" i="2"/>
  <c r="Z53" i="2"/>
  <c r="Z69" i="2"/>
  <c r="Z12" i="2"/>
  <c r="C233" i="3"/>
  <c r="B203" i="3"/>
  <c r="AR45" i="2"/>
  <c r="AF67" i="2"/>
  <c r="Z21" i="2"/>
  <c r="Z68" i="2"/>
  <c r="B232" i="3"/>
  <c r="K12" i="8"/>
  <c r="C221" i="3"/>
  <c r="B207" i="3"/>
  <c r="AR61" i="2"/>
  <c r="AF91" i="2"/>
  <c r="Z93" i="2"/>
  <c r="B221" i="3"/>
  <c r="AR93" i="2"/>
  <c r="AF59" i="2"/>
  <c r="Z44" i="2"/>
  <c r="AR53" i="2"/>
  <c r="AF137" i="2"/>
  <c r="Z52" i="2"/>
  <c r="AE23" i="4"/>
  <c r="AR85" i="2"/>
  <c r="AR29" i="2"/>
  <c r="Z60" i="2"/>
  <c r="Z45" i="2"/>
  <c r="AA160" i="2"/>
  <c r="AA154" i="2"/>
  <c r="B8" i="8"/>
  <c r="BD12" i="2" s="1"/>
  <c r="AM37" i="4"/>
  <c r="AR69" i="2"/>
  <c r="X59" i="2"/>
  <c r="Z20" i="2"/>
  <c r="Z92" i="2"/>
  <c r="AJ45" i="2"/>
  <c r="AF19" i="2"/>
  <c r="AF35" i="2" s="1"/>
  <c r="AF130" i="2"/>
  <c r="AF11" i="2"/>
  <c r="AF27" i="2" s="1"/>
  <c r="AF43" i="2" s="1"/>
  <c r="AM14" i="4"/>
  <c r="AI20" i="4"/>
  <c r="AA155" i="2"/>
  <c r="C254" i="3" s="1"/>
  <c r="AJ101" i="2"/>
  <c r="C207" i="3"/>
  <c r="C227" i="3"/>
  <c r="Z37" i="2"/>
  <c r="Z84" i="2"/>
  <c r="AJ93" i="2"/>
  <c r="AE46" i="4"/>
  <c r="AJ77" i="2"/>
  <c r="AR13" i="2"/>
  <c r="AR21" i="2"/>
  <c r="AA159" i="2"/>
  <c r="C257" i="3" s="1"/>
  <c r="C203" i="3"/>
  <c r="Z67" i="2"/>
  <c r="AD3" i="2"/>
  <c r="AC3" i="2"/>
  <c r="AI32" i="4"/>
  <c r="AA158" i="2"/>
  <c r="C256" i="3" s="1"/>
  <c r="AJ61" i="2"/>
  <c r="Z75" i="2"/>
  <c r="AH154" i="2"/>
  <c r="AG156" i="2" s="1"/>
  <c r="C232" i="3"/>
  <c r="Z59" i="2"/>
  <c r="C192" i="3"/>
  <c r="B202" i="3"/>
  <c r="AE29" i="4"/>
  <c r="AB35" i="9"/>
  <c r="K34" i="8"/>
  <c r="B22" i="8"/>
  <c r="B17" i="8"/>
  <c r="K48" i="8"/>
  <c r="AB49" i="9"/>
  <c r="AB44" i="9"/>
  <c r="B44" i="8"/>
  <c r="K43" i="8"/>
  <c r="C212" i="3"/>
  <c r="C222" i="3"/>
  <c r="B222" i="3"/>
  <c r="C255" i="3"/>
  <c r="AJ3" i="2"/>
  <c r="BC5" i="2"/>
  <c r="BC57" i="2" s="1"/>
  <c r="B31" i="8"/>
  <c r="K10" i="8"/>
  <c r="AB11" i="9"/>
  <c r="AB48" i="9"/>
  <c r="B24" i="8"/>
  <c r="K47" i="8"/>
  <c r="A79" i="2"/>
  <c r="BD44" i="2"/>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BD10" i="2"/>
  <c r="A13" i="2"/>
  <c r="C223" i="3"/>
  <c r="AB45" i="9"/>
  <c r="K44" i="8"/>
  <c r="B43" i="8"/>
  <c r="A8" i="2"/>
  <c r="BD9" i="2"/>
  <c r="AD28" i="9"/>
  <c r="Z71" i="2"/>
  <c r="Z63" i="2"/>
  <c r="Z62" i="2"/>
  <c r="Z95" i="2"/>
  <c r="Z94" i="2"/>
  <c r="Z78" i="2"/>
  <c r="Z38" i="2"/>
  <c r="Z79" i="2"/>
  <c r="Z87" i="2"/>
  <c r="Z86" i="2"/>
  <c r="Z46" i="2"/>
  <c r="Z70" i="2"/>
  <c r="Z31" i="2"/>
  <c r="Z54" i="2"/>
  <c r="Z14" i="2"/>
  <c r="Z30" i="2"/>
  <c r="Z47" i="2"/>
  <c r="Z23" i="2"/>
  <c r="Z22" i="2"/>
  <c r="Z55" i="2"/>
  <c r="Z7" i="2"/>
  <c r="Z39" i="2"/>
  <c r="Z15" i="2"/>
  <c r="AB18" i="9"/>
  <c r="K17" i="8"/>
  <c r="B19" i="8"/>
  <c r="A95" i="2"/>
  <c r="BD52" i="2"/>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K37" i="8"/>
  <c r="AB38" i="9"/>
  <c r="B42" i="8"/>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46" i="2"/>
  <c r="BD27" i="2"/>
  <c r="AB26" i="9"/>
  <c r="K25" i="8"/>
  <c r="B12" i="8"/>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A78" i="2"/>
  <c r="BD43" i="2"/>
  <c r="C200" i="3"/>
  <c r="C182" i="3"/>
  <c r="B200" i="3"/>
  <c r="C202" i="3"/>
  <c r="K3" i="4"/>
  <c r="K11" i="4" s="1"/>
  <c r="K19" i="4" s="1"/>
  <c r="K27" i="4" s="1"/>
  <c r="K35" i="4" s="1"/>
  <c r="K43" i="4" s="1"/>
  <c r="W3" i="4" s="1"/>
  <c r="W11" i="4" s="1"/>
  <c r="W19" i="4" s="1"/>
  <c r="W27" i="4" s="1"/>
  <c r="W35" i="4" s="1"/>
  <c r="W43" i="4" s="1"/>
  <c r="AB6" i="9"/>
  <c r="K5" i="8"/>
  <c r="B38" i="8"/>
  <c r="AB41" i="9"/>
  <c r="K40" i="8"/>
  <c r="B9" i="8"/>
  <c r="AB32" i="9"/>
  <c r="K31" i="8"/>
  <c r="B2" i="8"/>
  <c r="A53" i="2"/>
  <c r="BD30" i="2"/>
  <c r="BD22" i="2"/>
  <c r="A37" i="2"/>
  <c r="A94" i="2"/>
  <c r="BD51" i="2"/>
  <c r="B205" i="3"/>
  <c r="C205" i="3"/>
  <c r="C187" i="3"/>
  <c r="AB19" i="9"/>
  <c r="K18" i="8"/>
  <c r="B21" i="8"/>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183" i="3"/>
  <c r="B201" i="3"/>
  <c r="C201" i="3"/>
  <c r="AB14" i="9"/>
  <c r="B45" i="8"/>
  <c r="K13" i="8"/>
  <c r="B33" i="8"/>
  <c r="AB43" i="9"/>
  <c r="K42" i="8"/>
  <c r="A54" i="2"/>
  <c r="BD31" i="2"/>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A15" i="2" l="1"/>
  <c r="BD36" i="2"/>
  <c r="AG159" i="2"/>
  <c r="A56" i="2"/>
  <c r="AG158" i="2"/>
  <c r="AG155" i="2"/>
  <c r="AC67" i="2"/>
  <c r="AC51" i="2"/>
  <c r="AC19" i="2"/>
  <c r="AC27" i="2"/>
  <c r="AC100" i="2"/>
  <c r="AC43" i="2"/>
  <c r="AC35" i="2"/>
  <c r="AC11" i="2"/>
  <c r="AC142" i="2"/>
  <c r="AC119" i="2"/>
  <c r="AC130" i="2"/>
  <c r="AC75" i="2"/>
  <c r="AC91" i="2"/>
  <c r="AC83" i="2"/>
  <c r="AC59" i="2"/>
  <c r="AD19" i="2"/>
  <c r="AD11" i="2"/>
  <c r="AD75" i="2"/>
  <c r="AD35" i="2"/>
  <c r="AD27" i="2"/>
  <c r="AD67" i="2"/>
  <c r="AD142" i="2"/>
  <c r="AD51" i="2"/>
  <c r="AD59" i="2"/>
  <c r="AD91" i="2"/>
  <c r="AD130" i="2"/>
  <c r="AD119" i="2"/>
  <c r="AD43" i="2"/>
  <c r="AD83" i="2"/>
  <c r="AD100" i="2"/>
  <c r="C253" i="3"/>
  <c r="AG154" i="2"/>
  <c r="C258" i="3"/>
  <c r="AG160" i="2"/>
  <c r="R60" i="9"/>
  <c r="S78" i="9"/>
  <c r="AI21" i="9"/>
  <c r="T68" i="9"/>
  <c r="S57" i="9"/>
  <c r="S67" i="9"/>
  <c r="R77" i="9"/>
  <c r="S53" i="9"/>
  <c r="R58" i="9"/>
  <c r="T51" i="9"/>
  <c r="AI4" i="9"/>
  <c r="AI8" i="9"/>
  <c r="S69" i="9"/>
  <c r="T67" i="9"/>
  <c r="AY81" i="2"/>
  <c r="AF77" i="2"/>
  <c r="AA81" i="2"/>
  <c r="AA79" i="2"/>
  <c r="A55" i="2"/>
  <c r="BD32" i="2"/>
  <c r="AI22" i="9"/>
  <c r="AF97" i="2"/>
  <c r="AF94" i="2"/>
  <c r="AY96" i="2"/>
  <c r="AA93" i="2"/>
  <c r="AI48" i="9"/>
  <c r="AI3" i="9"/>
  <c r="T76" i="9"/>
  <c r="R63" i="9"/>
  <c r="T73" i="9"/>
  <c r="T56" i="9"/>
  <c r="R79" i="9"/>
  <c r="T70" i="9"/>
  <c r="AI5" i="9"/>
  <c r="BC30" i="2"/>
  <c r="BC12" i="2"/>
  <c r="AI28" i="9"/>
  <c r="BD34" i="2"/>
  <c r="A61" i="2"/>
  <c r="A7" i="2"/>
  <c r="BD8" i="2"/>
  <c r="A38" i="2"/>
  <c r="BD23" i="2"/>
  <c r="AY14" i="2"/>
  <c r="AF16" i="2"/>
  <c r="AA15" i="2"/>
  <c r="AA12" i="2"/>
  <c r="AI11" i="9"/>
  <c r="AA61" i="2"/>
  <c r="AF64" i="2"/>
  <c r="AF62" i="2"/>
  <c r="AY64" i="2"/>
  <c r="A40" i="2"/>
  <c r="BD25" i="2"/>
  <c r="BC22" i="2"/>
  <c r="BC10" i="2"/>
  <c r="BD20" i="2"/>
  <c r="A31" i="2"/>
  <c r="BC36" i="2"/>
  <c r="BD29" i="2"/>
  <c r="A48" i="2"/>
  <c r="AY16" i="2"/>
  <c r="AA13" i="2"/>
  <c r="AF17" i="2"/>
  <c r="AF15" i="2"/>
  <c r="T64" i="9"/>
  <c r="AI7" i="9"/>
  <c r="A62" i="2"/>
  <c r="BD35" i="2"/>
  <c r="A93" i="2"/>
  <c r="BD50" i="2"/>
  <c r="AI39" i="9"/>
  <c r="BC33" i="2"/>
  <c r="BD18" i="2"/>
  <c r="A29" i="2"/>
  <c r="A69" i="2"/>
  <c r="BD38" i="2"/>
  <c r="A22" i="2"/>
  <c r="BD15" i="2"/>
  <c r="AI16" i="9"/>
  <c r="A87" i="2"/>
  <c r="BD48" i="2"/>
  <c r="BC31" i="2"/>
  <c r="AI15" i="9"/>
  <c r="R75" i="9"/>
  <c r="R76" i="9"/>
  <c r="R56" i="9"/>
  <c r="T61" i="9"/>
  <c r="S79" i="9"/>
  <c r="AI43" i="9"/>
  <c r="A96" i="2"/>
  <c r="BD53" i="2"/>
  <c r="AI32" i="9"/>
  <c r="AI23" i="9"/>
  <c r="AI26" i="9"/>
  <c r="A39" i="2"/>
  <c r="BD24" i="2"/>
  <c r="AJ84" i="2"/>
  <c r="AJ92" i="2"/>
  <c r="AJ76" i="2"/>
  <c r="AJ52" i="2"/>
  <c r="AJ44" i="2"/>
  <c r="AJ68" i="2"/>
  <c r="AJ60" i="2"/>
  <c r="AJ36" i="2"/>
  <c r="AJ12" i="2"/>
  <c r="AJ20" i="2"/>
  <c r="AJ28" i="2"/>
  <c r="AJ4" i="2"/>
  <c r="AI44" i="9"/>
  <c r="S61" i="9"/>
  <c r="S73" i="9"/>
  <c r="T75" i="9"/>
  <c r="T62" i="9"/>
  <c r="AI30" i="9"/>
  <c r="BD6" i="2"/>
  <c r="A5" i="2"/>
  <c r="BD16" i="2"/>
  <c r="A23" i="2"/>
  <c r="AI18" i="9"/>
  <c r="S83" i="9"/>
  <c r="T83" i="9"/>
  <c r="T69" i="9"/>
  <c r="S60" i="9"/>
  <c r="R78" i="9"/>
  <c r="S76" i="9"/>
  <c r="T77" i="9"/>
  <c r="T82" i="9"/>
  <c r="R51" i="9"/>
  <c r="R74" i="9"/>
  <c r="S82" i="9"/>
  <c r="S71" i="9"/>
  <c r="T80" i="9"/>
  <c r="AI27" i="9"/>
  <c r="A64" i="2"/>
  <c r="BD37" i="2"/>
  <c r="AI36" i="9"/>
  <c r="A16" i="2"/>
  <c r="BD13" i="2"/>
  <c r="BC27" i="2"/>
  <c r="AI24" i="9"/>
  <c r="AI31" i="9"/>
  <c r="AI25" i="9"/>
  <c r="AI49" i="9"/>
  <c r="T81" i="9"/>
  <c r="AY55" i="2"/>
  <c r="AF55" i="2"/>
  <c r="AF52" i="2"/>
  <c r="AA56" i="2"/>
  <c r="R83" i="9"/>
  <c r="S56" i="9"/>
  <c r="T74" i="9"/>
  <c r="R65" i="9"/>
  <c r="T86" i="9"/>
  <c r="S64" i="9"/>
  <c r="S72" i="9"/>
  <c r="R70" i="9"/>
  <c r="AI34" i="9"/>
  <c r="R54" i="9"/>
  <c r="S84" i="9"/>
  <c r="T54" i="9"/>
  <c r="R72" i="9"/>
  <c r="T72" i="9"/>
  <c r="S59" i="9"/>
  <c r="BD14" i="2"/>
  <c r="A21" i="2"/>
  <c r="A14" i="2"/>
  <c r="BD11" i="2"/>
  <c r="BC43" i="2"/>
  <c r="AA48" i="2"/>
  <c r="AF44" i="2"/>
  <c r="AY47" i="2"/>
  <c r="AF47" i="2"/>
  <c r="A72" i="2"/>
  <c r="BD41" i="2"/>
  <c r="BC9" i="2"/>
  <c r="AI50" i="9"/>
  <c r="A70" i="2"/>
  <c r="BD39" i="2"/>
  <c r="AI19" i="9"/>
  <c r="AY54" i="2"/>
  <c r="AF57" i="2"/>
  <c r="AA52" i="2"/>
  <c r="AA54" i="2"/>
  <c r="AI29" i="9"/>
  <c r="AI41" i="9"/>
  <c r="AA80" i="2"/>
  <c r="AF79" i="2"/>
  <c r="AF76" i="2"/>
  <c r="AY79" i="2"/>
  <c r="A71" i="2"/>
  <c r="BD40" i="2"/>
  <c r="AA8" i="2"/>
  <c r="AA6" i="2"/>
  <c r="AF5" i="2"/>
  <c r="AY9" i="2"/>
  <c r="BC44" i="2"/>
  <c r="A32" i="2"/>
  <c r="BD21" i="2"/>
  <c r="R55" i="9"/>
  <c r="S65" i="9"/>
  <c r="T63" i="9"/>
  <c r="T78" i="9"/>
  <c r="R53" i="9"/>
  <c r="R59" i="9"/>
  <c r="AI40" i="9"/>
  <c r="S74" i="9"/>
  <c r="AI17" i="9"/>
  <c r="T79" i="9"/>
  <c r="S58" i="9"/>
  <c r="T84" i="9"/>
  <c r="T57" i="9"/>
  <c r="R64" i="9"/>
  <c r="R82" i="9"/>
  <c r="S51" i="9"/>
  <c r="R69" i="9"/>
  <c r="T60" i="9"/>
  <c r="R57" i="9"/>
  <c r="R85" i="9"/>
  <c r="BD19" i="2"/>
  <c r="A30" i="2"/>
  <c r="A88" i="2"/>
  <c r="BD49" i="2"/>
  <c r="R52" i="9"/>
  <c r="R81" i="9"/>
  <c r="R62" i="9"/>
  <c r="T59" i="9"/>
  <c r="S77" i="9"/>
  <c r="T85" i="9"/>
  <c r="T52" i="9"/>
  <c r="R80" i="9"/>
  <c r="S70" i="9"/>
  <c r="T58" i="9"/>
  <c r="S86" i="9"/>
  <c r="AI14" i="9"/>
  <c r="AI10" i="9"/>
  <c r="AI47" i="9"/>
  <c r="BC51" i="2"/>
  <c r="A77" i="2"/>
  <c r="BD42" i="2"/>
  <c r="AI13" i="9"/>
  <c r="A85" i="2"/>
  <c r="BD46" i="2"/>
  <c r="AI33" i="9"/>
  <c r="A86" i="2"/>
  <c r="BD47" i="2"/>
  <c r="AF78" i="2"/>
  <c r="AY80" i="2"/>
  <c r="AF80" i="2"/>
  <c r="AA77" i="2"/>
  <c r="A45" i="2"/>
  <c r="BD26" i="2"/>
  <c r="S52" i="9"/>
  <c r="T66" i="9"/>
  <c r="S75" i="9"/>
  <c r="R61" i="9"/>
  <c r="S80" i="9"/>
  <c r="AF53" i="2"/>
  <c r="AY57" i="2"/>
  <c r="AA55" i="2"/>
  <c r="AA57" i="2"/>
  <c r="S66" i="9"/>
  <c r="S68" i="9"/>
  <c r="R86" i="9"/>
  <c r="T65" i="9"/>
  <c r="T53" i="9"/>
  <c r="S81" i="9"/>
  <c r="AI20" i="9"/>
  <c r="AI46" i="9"/>
  <c r="AI38" i="9"/>
  <c r="AI12" i="9"/>
  <c r="BD7" i="2"/>
  <c r="A6" i="2"/>
  <c r="T55" i="9"/>
  <c r="R71" i="9"/>
  <c r="S62" i="9"/>
  <c r="T71" i="9"/>
  <c r="AI9" i="9"/>
  <c r="AI37" i="9"/>
  <c r="AF95" i="2"/>
  <c r="AA97" i="2"/>
  <c r="AF92" i="2"/>
  <c r="AY95" i="2"/>
  <c r="R73" i="9"/>
  <c r="S63" i="9"/>
  <c r="R84" i="9"/>
  <c r="S55" i="9"/>
  <c r="S54" i="9"/>
  <c r="R67" i="9"/>
  <c r="S85" i="9"/>
  <c r="R68" i="9"/>
  <c r="R66" i="9"/>
  <c r="BC45" i="2"/>
  <c r="BD17" i="2"/>
  <c r="A24" i="2"/>
  <c r="AI42" i="9"/>
  <c r="AY38" i="2"/>
  <c r="AF41" i="2"/>
  <c r="AA36" i="2"/>
  <c r="AA38" i="2"/>
  <c r="AI6" i="9"/>
  <c r="BC52" i="2"/>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AI35" i="9"/>
  <c r="R48" i="4" l="1"/>
  <c r="R46" i="4"/>
  <c r="R45" i="4"/>
  <c r="R43" i="4"/>
  <c r="R31" i="4"/>
  <c r="R30" i="4"/>
  <c r="R29" i="4"/>
  <c r="R28" i="4"/>
  <c r="R27" i="4"/>
  <c r="R15" i="4"/>
  <c r="R13" i="4"/>
  <c r="R8" i="4"/>
  <c r="R6" i="4"/>
  <c r="R4" i="4"/>
  <c r="R3" i="4"/>
  <c r="F46" i="4"/>
  <c r="F43" i="4"/>
  <c r="F40" i="4"/>
  <c r="F16" i="4"/>
  <c r="F15" i="4"/>
  <c r="F14" i="4"/>
  <c r="F4" i="4"/>
  <c r="O6" i="4"/>
  <c r="B43" i="3"/>
  <c r="B72" i="3"/>
  <c r="O31" i="4"/>
  <c r="C47" i="4"/>
  <c r="BC37" i="2"/>
  <c r="BC15" i="2"/>
  <c r="AF33" i="2"/>
  <c r="AF30" i="2"/>
  <c r="AY32" i="2"/>
  <c r="AA29" i="2"/>
  <c r="C14" i="4"/>
  <c r="B33" i="3"/>
  <c r="BC49" i="2"/>
  <c r="AA63" i="2"/>
  <c r="AA65" i="2"/>
  <c r="AY65" i="2"/>
  <c r="AF61" i="2"/>
  <c r="AA25" i="2"/>
  <c r="AF22" i="2"/>
  <c r="AY23" i="2"/>
  <c r="AF20" i="2"/>
  <c r="C12" i="4"/>
  <c r="BC20" i="2"/>
  <c r="O44" i="4"/>
  <c r="AF85" i="2"/>
  <c r="AA87" i="2"/>
  <c r="AY89" i="2"/>
  <c r="AA88" i="2"/>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C5" i="4"/>
  <c r="O3" i="4"/>
  <c r="B18" i="3"/>
  <c r="O7" i="4"/>
  <c r="AA21" i="2"/>
  <c r="AF25" i="2"/>
  <c r="AY24" i="2"/>
  <c r="AF23" i="2"/>
  <c r="BC18" i="2"/>
  <c r="AY41" i="2"/>
  <c r="AF37" i="2"/>
  <c r="AA41" i="2"/>
  <c r="AA39" i="2"/>
  <c r="BC8" i="2"/>
  <c r="BC46" i="2"/>
  <c r="BC21" i="2"/>
  <c r="C7" i="4"/>
  <c r="BC16" i="2"/>
  <c r="AF9" i="2"/>
  <c r="AA5" i="2"/>
  <c r="AF7" i="2"/>
  <c r="AY8" i="2"/>
  <c r="BC32" i="2"/>
  <c r="AY33" i="2"/>
  <c r="AA31" i="2"/>
  <c r="AF29" i="2"/>
  <c r="AA32" i="2"/>
  <c r="BC40" i="2"/>
  <c r="BC41" i="2"/>
  <c r="AA7" i="2"/>
  <c r="AY6" i="2"/>
  <c r="AA4" i="2"/>
  <c r="AF8" i="2"/>
  <c r="BC35" i="2"/>
  <c r="AA62" i="2"/>
  <c r="AA60" i="2"/>
  <c r="AY62" i="2"/>
  <c r="AF65" i="2"/>
  <c r="AF54" i="2"/>
  <c r="AY56" i="2"/>
  <c r="AF56" i="2"/>
  <c r="AA53" i="2"/>
  <c r="AA84" i="2"/>
  <c r="AF88" i="2"/>
  <c r="AY86" i="2"/>
  <c r="AA86"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25" i="3"/>
  <c r="BC14" i="2"/>
  <c r="AY40" i="2"/>
  <c r="AF40" i="2"/>
  <c r="AA37" i="2"/>
  <c r="AF38" i="2"/>
  <c r="C11" i="4"/>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R47" i="4" l="1"/>
  <c r="R44" i="4"/>
  <c r="R40" i="4"/>
  <c r="R39" i="4"/>
  <c r="R38" i="4"/>
  <c r="R37" i="4"/>
  <c r="R36" i="4"/>
  <c r="R35" i="4"/>
  <c r="R32" i="4"/>
  <c r="R24" i="4"/>
  <c r="R23" i="4"/>
  <c r="R22" i="4"/>
  <c r="R21" i="4"/>
  <c r="R20" i="4"/>
  <c r="R19" i="4"/>
  <c r="R16" i="4"/>
  <c r="R14" i="4"/>
  <c r="R12" i="4"/>
  <c r="R11" i="4"/>
  <c r="R7" i="4"/>
  <c r="R5" i="4"/>
  <c r="F48" i="4"/>
  <c r="F47" i="4"/>
  <c r="F45" i="4"/>
  <c r="F44" i="4"/>
  <c r="F39" i="4"/>
  <c r="F38" i="4"/>
  <c r="F37" i="4"/>
  <c r="F36" i="4"/>
  <c r="F35" i="4"/>
  <c r="F32" i="4"/>
  <c r="F31" i="4"/>
  <c r="F30" i="4"/>
  <c r="F29" i="4"/>
  <c r="F28" i="4"/>
  <c r="F27" i="4"/>
  <c r="F24" i="4"/>
  <c r="F23" i="4"/>
  <c r="F22" i="4"/>
  <c r="F21" i="4"/>
  <c r="F20" i="4"/>
  <c r="F19" i="4"/>
  <c r="F13" i="4"/>
  <c r="F12" i="4"/>
  <c r="F11" i="4"/>
  <c r="F8" i="4"/>
  <c r="B21" i="3"/>
  <c r="F7" i="4"/>
  <c r="F6" i="4"/>
  <c r="F5" i="4"/>
  <c r="B14" i="3"/>
  <c r="BH13" i="2"/>
  <c r="BH24" i="2"/>
  <c r="BJ50" i="2"/>
  <c r="BH23" i="2"/>
  <c r="BH48" i="2"/>
  <c r="B54" i="3"/>
  <c r="B42" i="3"/>
  <c r="B64" i="3"/>
  <c r="BG17" i="2"/>
  <c r="BG15" i="2"/>
  <c r="BI49" i="2"/>
  <c r="T30" i="9"/>
  <c r="S30" i="9"/>
  <c r="R30" i="9"/>
  <c r="X30" i="9"/>
  <c r="BG31" i="4"/>
  <c r="BK48" i="2"/>
  <c r="BI42"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I39" i="2"/>
  <c r="BH26" i="2"/>
  <c r="BH11" i="2"/>
  <c r="B44" i="3"/>
  <c r="O13" i="4"/>
  <c r="BK40" i="2"/>
  <c r="BK32" i="2"/>
  <c r="BH16" i="2"/>
  <c r="BG21" i="2"/>
  <c r="BH8" i="2"/>
  <c r="BK18" i="2"/>
  <c r="B30" i="3"/>
  <c r="B62" i="3"/>
  <c r="C39" i="4"/>
  <c r="BK29" i="2"/>
  <c r="B61" i="3"/>
  <c r="C32" i="4"/>
  <c r="BI38" i="2"/>
  <c r="BH49" i="2"/>
  <c r="BI37" i="2"/>
  <c r="X4" i="9"/>
  <c r="T4" i="9"/>
  <c r="S4" i="9"/>
  <c r="R4" i="9"/>
  <c r="BG5" i="4"/>
  <c r="R44" i="9"/>
  <c r="T44" i="9"/>
  <c r="S44" i="9"/>
  <c r="X44" i="9"/>
  <c r="BG45" i="4"/>
  <c r="X49" i="9"/>
  <c r="R49" i="9"/>
  <c r="T49" i="9"/>
  <c r="S49" i="9"/>
  <c r="BG50" i="4"/>
  <c r="T13" i="9"/>
  <c r="X13" i="9"/>
  <c r="S13" i="9"/>
  <c r="R13" i="9"/>
  <c r="BG14" i="4"/>
  <c r="BJ17" i="2"/>
  <c r="C45" i="4"/>
  <c r="B40" i="3"/>
  <c r="BG13" i="2"/>
  <c r="BI26" i="2"/>
  <c r="O15" i="4"/>
  <c r="B68" i="3"/>
  <c r="BI11" i="2"/>
  <c r="O37" i="4"/>
  <c r="B50" i="3"/>
  <c r="BJ16" i="2"/>
  <c r="BI8" i="2"/>
  <c r="BG18" i="2"/>
  <c r="BG29" i="2"/>
  <c r="BG47" i="2"/>
  <c r="BI23" i="2"/>
  <c r="O21" i="4"/>
  <c r="B46" i="3"/>
  <c r="BJ38" i="2"/>
  <c r="B29" i="3"/>
  <c r="BG42" i="2"/>
  <c r="BJ26" i="2"/>
  <c r="BG35" i="2"/>
  <c r="BI41" i="2"/>
  <c r="BK16" i="2"/>
  <c r="BH18" i="2"/>
  <c r="BI25" i="2"/>
  <c r="BH47" i="2"/>
  <c r="BJ23" i="2"/>
  <c r="BJ37" i="2"/>
  <c r="T26" i="9"/>
  <c r="X26" i="9"/>
  <c r="S26" i="9"/>
  <c r="R26" i="9"/>
  <c r="BG27" i="4"/>
  <c r="BI13" i="2"/>
  <c r="BH42" i="2"/>
  <c r="BK26" i="2"/>
  <c r="BK34" i="2"/>
  <c r="BJ6" i="2"/>
  <c r="BJ11" i="2"/>
  <c r="BH35" i="2"/>
  <c r="BJ40" i="2"/>
  <c r="BG32" i="2"/>
  <c r="BJ46" i="2"/>
  <c r="BJ25" i="2"/>
  <c r="BJ19" i="2"/>
  <c r="BI47" i="2"/>
  <c r="BK23" i="2"/>
  <c r="B22" i="3"/>
  <c r="O19" i="4"/>
  <c r="BG38" i="2"/>
  <c r="BK20" i="2"/>
  <c r="C24" i="4"/>
  <c r="B59" i="3"/>
  <c r="BJ15" i="2"/>
  <c r="BK37" i="2"/>
  <c r="T12" i="9"/>
  <c r="S12" i="9"/>
  <c r="R12" i="9"/>
  <c r="X12" i="9"/>
  <c r="BG13" i="4"/>
  <c r="BK6" i="2"/>
  <c r="BK46" i="2"/>
  <c r="BG8" i="2"/>
  <c r="BG25" i="2"/>
  <c r="C27" i="4"/>
  <c r="B12" i="3"/>
  <c r="BK19" i="2"/>
  <c r="BJ47" i="2"/>
  <c r="BH53" i="2"/>
  <c r="BK38" i="2"/>
  <c r="BH20" i="2"/>
  <c r="BG49" i="2"/>
  <c r="BK15" i="2"/>
  <c r="T5" i="9"/>
  <c r="S5" i="9"/>
  <c r="R5" i="9"/>
  <c r="X5" i="9"/>
  <c r="BG6" i="4"/>
  <c r="S22" i="9"/>
  <c r="T22" i="9"/>
  <c r="R22" i="9"/>
  <c r="X22" i="9"/>
  <c r="BG23" i="4"/>
  <c r="BH17" i="2"/>
  <c r="C22" i="4"/>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X18" i="9"/>
  <c r="BG19" i="4"/>
  <c r="BJ13" i="2"/>
  <c r="BJ42" i="2"/>
  <c r="C8" i="4"/>
  <c r="B55" i="3"/>
  <c r="BG34" i="2"/>
  <c r="B70" i="3"/>
  <c r="O23" i="4"/>
  <c r="BG28" i="2"/>
  <c r="O4" i="4"/>
  <c r="B19" i="3"/>
  <c r="BI35" i="2"/>
  <c r="T42" i="9"/>
  <c r="S42" i="9"/>
  <c r="R42" i="9"/>
  <c r="X42" i="9"/>
  <c r="BG43" i="4"/>
  <c r="T50" i="9"/>
  <c r="S50" i="9"/>
  <c r="R50" i="9"/>
  <c r="X50" i="9"/>
  <c r="BG51" i="4"/>
  <c r="S21" i="9"/>
  <c r="R21" i="9"/>
  <c r="X21" i="9"/>
  <c r="T21" i="9"/>
  <c r="BG22" i="4"/>
  <c r="X31" i="9"/>
  <c r="T31" i="9"/>
  <c r="S31" i="9"/>
  <c r="R31" i="9"/>
  <c r="BG32" i="4"/>
  <c r="BI14" i="2"/>
  <c r="C21" i="4"/>
  <c r="B34" i="3"/>
  <c r="BI24" i="2"/>
  <c r="BH7" i="2"/>
  <c r="C16" i="4"/>
  <c r="B57" i="3"/>
  <c r="BJ48" i="2"/>
  <c r="BK13" i="2"/>
  <c r="BK42" i="2"/>
  <c r="F3" i="4"/>
  <c r="BK22" i="2"/>
  <c r="BK33" i="2"/>
  <c r="BI44" i="2"/>
  <c r="BI30" i="2"/>
  <c r="BK12" i="2"/>
  <c r="BK45" i="2"/>
  <c r="BK30" i="2"/>
  <c r="BI10" i="2"/>
  <c r="BK36" i="2"/>
  <c r="BK27" i="2"/>
  <c r="BI45" i="2"/>
  <c r="BI33" i="2"/>
  <c r="BK9" i="2"/>
  <c r="BI36" i="2"/>
  <c r="BI27" i="2"/>
  <c r="BK52" i="2"/>
  <c r="BK10" i="2"/>
  <c r="BI31" i="2"/>
  <c r="BI43" i="2"/>
  <c r="BI51" i="2"/>
  <c r="BI52" i="2"/>
  <c r="BI22" i="2"/>
  <c r="BK43" i="2"/>
  <c r="BI9" i="2"/>
  <c r="BK44" i="2"/>
  <c r="BK51" i="2"/>
  <c r="BI12" i="2"/>
  <c r="BK31" i="2"/>
  <c r="BJ34" i="2"/>
  <c r="BH6" i="2"/>
  <c r="BH28" i="2"/>
  <c r="BJ41" i="2"/>
  <c r="C30" i="4"/>
  <c r="B37" i="3"/>
  <c r="B7" i="3"/>
  <c r="C4" i="4"/>
  <c r="BH46" i="2"/>
  <c r="C40" i="4"/>
  <c r="B63" i="3"/>
  <c r="O40" i="4"/>
  <c r="B75" i="3"/>
  <c r="BK25" i="2"/>
  <c r="C29" i="4"/>
  <c r="B36" i="3"/>
  <c r="BI19" i="2"/>
  <c r="C46" i="4"/>
  <c r="B41" i="3"/>
  <c r="BG53" i="2"/>
  <c r="BK50" i="2"/>
  <c r="BL50" i="2" s="1"/>
  <c r="BJ20" i="2"/>
  <c r="BH15"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G7" i="2"/>
  <c r="BG48" i="2"/>
  <c r="BJ39" i="2"/>
  <c r="BH34" i="2"/>
  <c r="BI6" i="2"/>
  <c r="O22" i="4"/>
  <c r="B47" i="3"/>
  <c r="BI28" i="2"/>
  <c r="BJ35" i="2"/>
  <c r="BG41" i="2"/>
  <c r="BJ21" i="2"/>
  <c r="C20" i="4"/>
  <c r="B11" i="3"/>
  <c r="BG19" i="2"/>
  <c r="C48" i="4"/>
  <c r="B65" i="3"/>
  <c r="BI50" i="2"/>
  <c r="BG20" i="2"/>
  <c r="O16" i="4"/>
  <c r="B69" i="3"/>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C44" i="4"/>
  <c r="B17" i="3"/>
  <c r="BI34" i="2"/>
  <c r="BK28" i="2"/>
  <c r="BH41" i="2"/>
  <c r="BI16" i="2"/>
  <c r="BK21" i="2"/>
  <c r="BG46" i="2"/>
  <c r="O46" i="4"/>
  <c r="B53" i="3"/>
  <c r="B28" i="3"/>
  <c r="O43" i="4"/>
  <c r="BI53" i="2"/>
  <c r="O14" i="4"/>
  <c r="B45" i="3"/>
  <c r="BK35" i="2"/>
  <c r="C31" i="4"/>
  <c r="B60" i="3"/>
  <c r="X14" i="9"/>
  <c r="R14" i="9"/>
  <c r="T14" i="9"/>
  <c r="S14" i="9"/>
  <c r="BG15" i="4"/>
  <c r="BH14" i="2"/>
  <c r="BI48" i="2"/>
  <c r="C38" i="4"/>
  <c r="B39" i="3"/>
  <c r="T33" i="9"/>
  <c r="S33" i="9"/>
  <c r="R33" i="9"/>
  <c r="X33" i="9"/>
  <c r="BG34" i="4"/>
  <c r="X15" i="9"/>
  <c r="T15" i="9"/>
  <c r="S15" i="9"/>
  <c r="R15" i="9"/>
  <c r="BG16" i="4"/>
  <c r="R8" i="9"/>
  <c r="X8" i="9"/>
  <c r="T8" i="9"/>
  <c r="S8" i="9"/>
  <c r="BG9" i="4"/>
  <c r="BK14" i="2"/>
  <c r="O27" i="4"/>
  <c r="B24" i="3"/>
  <c r="B38" i="3"/>
  <c r="BJ28" i="2"/>
  <c r="C3" i="4"/>
  <c r="B6" i="3"/>
  <c r="BG12" i="2"/>
  <c r="BJ22" i="2"/>
  <c r="BG36" i="2"/>
  <c r="BG44" i="2"/>
  <c r="BH44" i="2"/>
  <c r="BH30" i="2"/>
  <c r="BH33" i="2"/>
  <c r="BH45" i="2"/>
  <c r="BJ52" i="2"/>
  <c r="BL52" i="2" s="1"/>
  <c r="BH36" i="2"/>
  <c r="BG33" i="2"/>
  <c r="BJ33" i="2"/>
  <c r="BJ31" i="2"/>
  <c r="BJ30" i="2"/>
  <c r="BH10" i="2"/>
  <c r="BJ36" i="2"/>
  <c r="BH31" i="2"/>
  <c r="BJ27" i="2"/>
  <c r="BG43" i="2"/>
  <c r="BG45" i="2"/>
  <c r="BG30" i="2"/>
  <c r="BG10" i="2"/>
  <c r="BH43" i="2"/>
  <c r="BJ9" i="2"/>
  <c r="BJ45" i="2"/>
  <c r="BG52" i="2"/>
  <c r="BH52" i="2"/>
  <c r="BH27" i="2"/>
  <c r="BJ12" i="2"/>
  <c r="BJ10" i="2"/>
  <c r="BG31" i="2"/>
  <c r="BG27" i="2"/>
  <c r="BH51" i="2"/>
  <c r="BH22" i="2"/>
  <c r="BG22" i="2"/>
  <c r="BJ43" i="2"/>
  <c r="BH9" i="2"/>
  <c r="BJ44" i="2"/>
  <c r="BJ51" i="2"/>
  <c r="BH12" i="2"/>
  <c r="BG9" i="2"/>
  <c r="BG51" i="2"/>
  <c r="BH40" i="2"/>
  <c r="BH32" i="2"/>
  <c r="BI18" i="2"/>
  <c r="B66" i="3"/>
  <c r="BI29" i="2"/>
  <c r="BG50" i="2"/>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BI17" i="2"/>
  <c r="C15" i="4"/>
  <c r="B56" i="3"/>
  <c r="BJ7" i="2"/>
  <c r="B73" i="3"/>
  <c r="BG39" i="2"/>
  <c r="BK11" i="2"/>
  <c r="O20" i="4"/>
  <c r="B23" i="3"/>
  <c r="BG40" i="2"/>
  <c r="BI32" i="2"/>
  <c r="BH21" i="2"/>
  <c r="BJ8" i="2"/>
  <c r="BJ29" i="2"/>
  <c r="O45" i="4"/>
  <c r="B52" i="3"/>
  <c r="BJ53" i="2"/>
  <c r="BH50" i="2"/>
  <c r="B9" i="3"/>
  <c r="C28" i="4"/>
  <c r="B13" i="3"/>
  <c r="BH37" i="2"/>
  <c r="X11" i="9"/>
  <c r="T11" i="9"/>
  <c r="S11" i="9"/>
  <c r="R11" i="9"/>
  <c r="BG12" i="4"/>
  <c r="B26" i="3"/>
  <c r="O35" i="4"/>
  <c r="T41" i="9"/>
  <c r="X41" i="9"/>
  <c r="S41" i="9"/>
  <c r="R41" i="9"/>
  <c r="BG42" i="4"/>
  <c r="R27" i="9"/>
  <c r="X27" i="9"/>
  <c r="T27" i="9"/>
  <c r="S27" i="9"/>
  <c r="BG28" i="4"/>
  <c r="R43" i="9"/>
  <c r="T43" i="9"/>
  <c r="S43" i="9"/>
  <c r="X43" i="9"/>
  <c r="BG44" i="4"/>
  <c r="O29" i="4"/>
  <c r="B48" i="3"/>
  <c r="BK7" i="2"/>
  <c r="BH39" i="2"/>
  <c r="BG26" i="2"/>
  <c r="BG11" i="2"/>
  <c r="B20" i="3"/>
  <c r="O11" i="4"/>
  <c r="C6" i="4"/>
  <c r="B31" i="3"/>
  <c r="BI40" i="2"/>
  <c r="BJ32" i="2"/>
  <c r="BG16" i="2"/>
  <c r="BI21" i="2"/>
  <c r="BK8" i="2"/>
  <c r="BJ18" i="2"/>
  <c r="BH29" i="2"/>
  <c r="O47" i="4"/>
  <c r="B76" i="3"/>
  <c r="BG23" i="2"/>
  <c r="BH38" i="2"/>
  <c r="O38" i="4"/>
  <c r="B51" i="3"/>
  <c r="BJ49" i="2"/>
  <c r="BG37" i="2"/>
  <c r="BL36" i="2" l="1"/>
  <c r="BL32" i="2"/>
  <c r="BL53" i="2"/>
  <c r="BL29" i="2"/>
  <c r="BL18" i="2"/>
  <c r="BL49" i="2"/>
  <c r="BL43" i="2"/>
  <c r="BL9" i="2"/>
  <c r="BL19" i="2"/>
  <c r="BL44" i="2"/>
  <c r="BL22" i="2"/>
  <c r="BF15" i="2"/>
  <c r="BO15" i="2" s="1"/>
  <c r="BL16" i="2"/>
  <c r="BL24" i="2"/>
  <c r="BL14" i="2"/>
  <c r="BL33" i="2"/>
  <c r="BL48" i="2"/>
  <c r="BL31" i="2"/>
  <c r="BL34" i="2"/>
  <c r="BL51" i="2"/>
  <c r="BL42" i="2"/>
  <c r="BL8" i="2"/>
  <c r="BL23" i="2"/>
  <c r="BF17" i="2"/>
  <c r="BO17" i="2" s="1"/>
  <c r="BL17" i="2"/>
  <c r="BL46" i="2"/>
  <c r="BL12" i="2"/>
  <c r="BL15" i="2"/>
  <c r="BL35" i="2"/>
  <c r="BL40" i="2"/>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5" i="4"/>
  <c r="BN5" i="4"/>
  <c r="BM5"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N48" i="4"/>
  <c r="BO48" i="4"/>
  <c r="BM48" i="4"/>
  <c r="BM47" i="4"/>
  <c r="BO47" i="4"/>
  <c r="BN47" i="4"/>
  <c r="BF45" i="2"/>
  <c r="BO45" i="2" s="1"/>
  <c r="BE45" i="2"/>
  <c r="BL7" i="2"/>
  <c r="BF31" i="2"/>
  <c r="BO31" i="2" s="1"/>
  <c r="BE31" i="2"/>
  <c r="BE43" i="2"/>
  <c r="BF43" i="2"/>
  <c r="BO43" i="2" s="1"/>
  <c r="BO40" i="4"/>
  <c r="BN40" i="4"/>
  <c r="BM40" i="4"/>
  <c r="BN51" i="4"/>
  <c r="BO51" i="4"/>
  <c r="BM51" i="4"/>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N41" i="4"/>
  <c r="BM41" i="4"/>
  <c r="BM6" i="4"/>
  <c r="BO6" i="4"/>
  <c r="BN6" i="4"/>
  <c r="BE15" i="2"/>
  <c r="BO22" i="4"/>
  <c r="BN22" i="4"/>
  <c r="BM22" i="4"/>
  <c r="BO35" i="4"/>
  <c r="BN35" i="4"/>
  <c r="BM35" i="4"/>
  <c r="BO20" i="4"/>
  <c r="BN20" i="4"/>
  <c r="BM20" i="4"/>
  <c r="BF50" i="2"/>
  <c r="BE50" i="2"/>
  <c r="BE52" i="2"/>
  <c r="BF52" i="2"/>
  <c r="BO52" i="2" s="1"/>
  <c r="BL30" i="2"/>
  <c r="BL20" i="2"/>
  <c r="BF47" i="2"/>
  <c r="BO47" i="2" s="1"/>
  <c r="BE47" i="2"/>
  <c r="BF21" i="2"/>
  <c r="BO21" i="2" s="1"/>
  <c r="BE21" i="2"/>
  <c r="BF36" i="2"/>
  <c r="BO36" i="2" s="1"/>
  <c r="BE36" i="2"/>
  <c r="BF37" i="2"/>
  <c r="BO37" i="2" s="1"/>
  <c r="BE37" i="2"/>
  <c r="BF16" i="2"/>
  <c r="BO16" i="2" s="1"/>
  <c r="BE16" i="2"/>
  <c r="BF40" i="2"/>
  <c r="BO40" i="2" s="1"/>
  <c r="BE40" i="2"/>
  <c r="BO18" i="4"/>
  <c r="BN18" i="4"/>
  <c r="BM18" i="4"/>
  <c r="BL45" i="2"/>
  <c r="BF12" i="2"/>
  <c r="BO12" i="2" s="1"/>
  <c r="BE12" i="2"/>
  <c r="BO8" i="4"/>
  <c r="BN8" i="4"/>
  <c r="BM8" i="4"/>
  <c r="BE19" i="2"/>
  <c r="BF19" i="2"/>
  <c r="BO19" i="2" s="1"/>
  <c r="BL39" i="2"/>
  <c r="BL47" i="2"/>
  <c r="BF29" i="2"/>
  <c r="BO29" i="2" s="1"/>
  <c r="BE29" i="2"/>
  <c r="BF13" i="2"/>
  <c r="BO13" i="2" s="1"/>
  <c r="BE13" i="2"/>
  <c r="BO50" i="4"/>
  <c r="BN50" i="4"/>
  <c r="BM50" i="4"/>
  <c r="BO31" i="4"/>
  <c r="BN31" i="4"/>
  <c r="BM31" i="4"/>
  <c r="BF26" i="2"/>
  <c r="BE26" i="2"/>
  <c r="BO44" i="4"/>
  <c r="BN44" i="4"/>
  <c r="BM44" i="4"/>
  <c r="BN9" i="4"/>
  <c r="BM9" i="4"/>
  <c r="BO9" i="4"/>
  <c r="BE48" i="2"/>
  <c r="BF48" i="2"/>
  <c r="BO48" i="2" s="1"/>
  <c r="BO4" i="4"/>
  <c r="BN4" i="4"/>
  <c r="BM4" i="4"/>
  <c r="BF28" i="2"/>
  <c r="BO28" i="2" s="1"/>
  <c r="BE28" i="2"/>
  <c r="BM29" i="4"/>
  <c r="BO29" i="4"/>
  <c r="BN29" i="4"/>
  <c r="BF24" i="2"/>
  <c r="BO24" i="2" s="1"/>
  <c r="BE24" i="2"/>
  <c r="BL11" i="2"/>
  <c r="BF18" i="2"/>
  <c r="BE18" i="2"/>
  <c r="BO37" i="4"/>
  <c r="BN37" i="4"/>
  <c r="BM37" i="4"/>
  <c r="BO24" i="4"/>
  <c r="BN24" i="4"/>
  <c r="BM24" i="4"/>
  <c r="BF22" i="2"/>
  <c r="BE22" i="2"/>
  <c r="BF33" i="2"/>
  <c r="BO33" i="2" s="1"/>
  <c r="BE33" i="2"/>
  <c r="BF7" i="2"/>
  <c r="BO7" i="2" s="1"/>
  <c r="BE7" i="2"/>
  <c r="BN33" i="4"/>
  <c r="BO33" i="4"/>
  <c r="BM33" i="4"/>
  <c r="BE53" i="2"/>
  <c r="BF53" i="2"/>
  <c r="BO53" i="2" s="1"/>
  <c r="BO32" i="4"/>
  <c r="BN32" i="4"/>
  <c r="BM32" i="4"/>
  <c r="BM43" i="4"/>
  <c r="BO43" i="4"/>
  <c r="BN43" i="4"/>
  <c r="BF14" i="2"/>
  <c r="BE14" i="2"/>
  <c r="BN23" i="4"/>
  <c r="BM23" i="4"/>
  <c r="BO23" i="4"/>
  <c r="BL6" i="2"/>
  <c r="BF35" i="2"/>
  <c r="BO35" i="2" s="1"/>
  <c r="BE35" i="2"/>
  <c r="BL8" i="4" l="1"/>
  <c r="BK8" i="4" s="1"/>
  <c r="BJ8" i="4" s="1"/>
  <c r="BL45" i="4"/>
  <c r="BK45" i="4" s="1"/>
  <c r="BJ45" i="4" s="1"/>
  <c r="BL17" i="4"/>
  <c r="BK17" i="4" s="1"/>
  <c r="BJ17" i="4" s="1"/>
  <c r="BL36" i="4"/>
  <c r="BK36" i="4" s="1"/>
  <c r="BJ36" i="4" s="1"/>
  <c r="BL28" i="4"/>
  <c r="BK28" i="4" s="1"/>
  <c r="BJ28" i="4" s="1"/>
  <c r="BL7" i="4"/>
  <c r="BK7" i="4" s="1"/>
  <c r="BJ7" i="4" s="1"/>
  <c r="BL5" i="4"/>
  <c r="BK5" i="4" s="1"/>
  <c r="BJ5" i="4" s="1"/>
  <c r="BL43" i="4"/>
  <c r="BK43" i="4" s="1"/>
  <c r="BJ43" i="4" s="1"/>
  <c r="BL46" i="4"/>
  <c r="BK46" i="4" s="1"/>
  <c r="BJ46" i="4" s="1"/>
  <c r="BL30" i="4"/>
  <c r="BK30" i="4" s="1"/>
  <c r="BJ30" i="4" s="1"/>
  <c r="BL26" i="4"/>
  <c r="BK26" i="4" s="1"/>
  <c r="BJ26" i="4" s="1"/>
  <c r="BL51" i="4"/>
  <c r="BK51" i="4" s="1"/>
  <c r="BJ51" i="4" s="1"/>
  <c r="BL24" i="4"/>
  <c r="BK24" i="4" s="1"/>
  <c r="BJ24" i="4" s="1"/>
  <c r="BL29" i="4"/>
  <c r="BK29" i="4" s="1"/>
  <c r="BJ29" i="4" s="1"/>
  <c r="BL49" i="4"/>
  <c r="BK49" i="4" s="1"/>
  <c r="BJ49" i="4" s="1"/>
  <c r="BL40" i="4"/>
  <c r="BK40" i="4" s="1"/>
  <c r="BJ40" i="4" s="1"/>
  <c r="BL47" i="4"/>
  <c r="BK47" i="4" s="1"/>
  <c r="BJ47" i="4" s="1"/>
  <c r="BL37" i="4"/>
  <c r="BK37" i="4" s="1"/>
  <c r="BJ37" i="4" s="1"/>
  <c r="BL4" i="4"/>
  <c r="BK4" i="4" s="1"/>
  <c r="BJ4" i="4" s="1"/>
  <c r="BL22" i="4"/>
  <c r="BK22" i="4" s="1"/>
  <c r="BJ22" i="4" s="1"/>
  <c r="BL23" i="4"/>
  <c r="BK23" i="4" s="1"/>
  <c r="BJ23" i="4" s="1"/>
  <c r="BL41" i="4"/>
  <c r="BK41" i="4" s="1"/>
  <c r="BJ41" i="4" s="1"/>
  <c r="BL11" i="4"/>
  <c r="BK11" i="4" s="1"/>
  <c r="BJ11" i="4" s="1"/>
  <c r="BL12" i="4"/>
  <c r="BK12" i="4" s="1"/>
  <c r="BJ12" i="4" s="1"/>
  <c r="BL44" i="4"/>
  <c r="BK44" i="4" s="1"/>
  <c r="BJ44" i="4" s="1"/>
  <c r="BL18" i="4"/>
  <c r="BK18" i="4" s="1"/>
  <c r="BJ18" i="4" s="1"/>
  <c r="BL35" i="4"/>
  <c r="BK35" i="4" s="1"/>
  <c r="BJ35" i="4" s="1"/>
  <c r="BL14" i="4"/>
  <c r="BK14" i="4" s="1"/>
  <c r="BJ14" i="4" s="1"/>
  <c r="BL25" i="4"/>
  <c r="BK25" i="4" s="1"/>
  <c r="BJ25" i="4" s="1"/>
  <c r="BL33" i="4"/>
  <c r="BK33" i="4" s="1"/>
  <c r="BJ33" i="4" s="1"/>
  <c r="BL34" i="4"/>
  <c r="BK34" i="4" s="1"/>
  <c r="BJ34" i="4" s="1"/>
  <c r="BL31" i="4"/>
  <c r="BK31" i="4" s="1"/>
  <c r="BJ31" i="4" s="1"/>
  <c r="BL19" i="4"/>
  <c r="BK19" i="4" s="1"/>
  <c r="BJ19" i="4" s="1"/>
  <c r="BL27" i="4"/>
  <c r="BK27" i="4" s="1"/>
  <c r="BJ27" i="4" s="1"/>
  <c r="BL21" i="4"/>
  <c r="BK21" i="4" s="1"/>
  <c r="BJ21" i="4" s="1"/>
  <c r="BL42" i="4"/>
  <c r="BK42" i="4" s="1"/>
  <c r="BJ42" i="4" s="1"/>
  <c r="BL32" i="4"/>
  <c r="BK32" i="4" s="1"/>
  <c r="BJ32" i="4" s="1"/>
  <c r="BL50" i="4"/>
  <c r="BK50" i="4" s="1"/>
  <c r="BJ50" i="4" s="1"/>
  <c r="BL16" i="4"/>
  <c r="BK16" i="4" s="1"/>
  <c r="BJ16" i="4" s="1"/>
  <c r="BL39" i="4"/>
  <c r="BK39" i="4" s="1"/>
  <c r="BJ39" i="4" s="1"/>
  <c r="BL9" i="4"/>
  <c r="BK9" i="4" s="1"/>
  <c r="BJ9" i="4" s="1"/>
  <c r="BL20" i="4"/>
  <c r="BK20" i="4" s="1"/>
  <c r="BJ20" i="4" s="1"/>
  <c r="BL6" i="4"/>
  <c r="BK6" i="4" s="1"/>
  <c r="BJ6" i="4" s="1"/>
  <c r="BL13" i="4"/>
  <c r="BK13" i="4" s="1"/>
  <c r="BJ13" i="4" s="1"/>
  <c r="BL38" i="4"/>
  <c r="BK38" i="4" s="1"/>
  <c r="BJ38" i="4" s="1"/>
  <c r="BL48" i="4"/>
  <c r="BK48" i="4" s="1"/>
  <c r="BJ48" i="4" s="1"/>
  <c r="BL10" i="4"/>
  <c r="BK10" i="4" s="1"/>
  <c r="BJ10" i="4" s="1"/>
  <c r="BL15" i="4"/>
  <c r="BK15" i="4" s="1"/>
  <c r="BJ15" i="4" s="1"/>
  <c r="AG28" i="9"/>
  <c r="V30" i="9" s="1"/>
  <c r="U30" i="9"/>
  <c r="AG71" i="9"/>
  <c r="V71" i="9" s="1"/>
  <c r="U71" i="9"/>
  <c r="AG76" i="9"/>
  <c r="V76" i="9" s="1"/>
  <c r="U76" i="9"/>
  <c r="AG3" i="9"/>
  <c r="V3" i="9" s="1"/>
  <c r="U3" i="9"/>
  <c r="AG22" i="9"/>
  <c r="V23" i="9" s="1"/>
  <c r="U23" i="9"/>
  <c r="BO42" i="2"/>
  <c r="DK43" i="2"/>
  <c r="H110" i="2"/>
  <c r="DK42" i="2"/>
  <c r="DK44" i="2"/>
  <c r="DK45" i="2"/>
  <c r="BO6" i="2"/>
  <c r="H101" i="2"/>
  <c r="DK9" i="2"/>
  <c r="DK8" i="2"/>
  <c r="DK7" i="2"/>
  <c r="DK6" i="2"/>
  <c r="AG77" i="9"/>
  <c r="V77" i="9" s="1"/>
  <c r="U77" i="9"/>
  <c r="AG25" i="9"/>
  <c r="V26" i="9" s="1"/>
  <c r="U26" i="9"/>
  <c r="AG36" i="9"/>
  <c r="V38" i="9" s="1"/>
  <c r="U38" i="9"/>
  <c r="AG32" i="9"/>
  <c r="V34" i="9" s="1"/>
  <c r="U34" i="9"/>
  <c r="AG81" i="9"/>
  <c r="V81" i="9" s="1"/>
  <c r="U81" i="9"/>
  <c r="AG73" i="9"/>
  <c r="V73" i="9" s="1"/>
  <c r="U73" i="9"/>
  <c r="AG26" i="9"/>
  <c r="V27" i="9" s="1"/>
  <c r="U27" i="9"/>
  <c r="AG18" i="9"/>
  <c r="V19" i="9" s="1"/>
  <c r="U19" i="9"/>
  <c r="AG83" i="9"/>
  <c r="V83" i="9" s="1"/>
  <c r="U83" i="9"/>
  <c r="BO18" i="2"/>
  <c r="DK21" i="2"/>
  <c r="DK19" i="2"/>
  <c r="DK20" i="2"/>
  <c r="DK18" i="2"/>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AG6" i="9"/>
  <c r="V6" i="9" s="1"/>
  <c r="U6" i="9"/>
  <c r="AG14" i="9"/>
  <c r="V15" i="9" s="1"/>
  <c r="U15" i="9"/>
  <c r="AG39" i="9"/>
  <c r="V43" i="9" s="1"/>
  <c r="U43" i="9"/>
  <c r="AG27" i="9"/>
  <c r="V28" i="9" s="1"/>
  <c r="U28" i="9"/>
  <c r="BO50" i="2"/>
  <c r="DK51" i="2"/>
  <c r="DK50" i="2"/>
  <c r="H112" i="2"/>
  <c r="DK53" i="2"/>
  <c r="DK52" i="2"/>
  <c r="AG24" i="9"/>
  <c r="V25" i="9" s="1"/>
  <c r="U25" i="9"/>
  <c r="AG33" i="9"/>
  <c r="V35" i="9" s="1"/>
  <c r="U35" i="9"/>
  <c r="AG67" i="9"/>
  <c r="V67" i="9" s="1"/>
  <c r="U67" i="9"/>
  <c r="AG53" i="9"/>
  <c r="V53" i="9" s="1"/>
  <c r="U53" i="9"/>
  <c r="AG20" i="9"/>
  <c r="V21" i="9" s="1"/>
  <c r="U21" i="9"/>
  <c r="AG57" i="9"/>
  <c r="V57" i="9" s="1"/>
  <c r="U57" i="9"/>
  <c r="BO10" i="2"/>
  <c r="DK12" i="2"/>
  <c r="DK10" i="2"/>
  <c r="DK13" i="2"/>
  <c r="H102" i="2"/>
  <c r="DK11" i="2"/>
  <c r="AG42" i="9"/>
  <c r="V47" i="9" s="1"/>
  <c r="U47" i="9"/>
  <c r="AG19" i="9"/>
  <c r="V20" i="9" s="1"/>
  <c r="U20" i="9"/>
  <c r="AG15" i="9"/>
  <c r="V16" i="9" s="1"/>
  <c r="U16" i="9"/>
  <c r="AG21" i="9"/>
  <c r="V22" i="9" s="1"/>
  <c r="U22" i="9"/>
  <c r="AG44" i="9"/>
  <c r="V50" i="9" s="1"/>
  <c r="U50" i="9"/>
  <c r="AG45" i="9"/>
  <c r="V41" i="9" s="1"/>
  <c r="U41" i="9"/>
  <c r="AG37" i="9"/>
  <c r="V39" i="9" s="1"/>
  <c r="U39" i="9"/>
  <c r="AG43" i="9"/>
  <c r="V49" i="9" s="1"/>
  <c r="U49" i="9"/>
  <c r="AG64" i="9"/>
  <c r="V64" i="9" s="1"/>
  <c r="U64" i="9"/>
  <c r="AG47" i="9"/>
  <c r="V10" i="9" s="1"/>
  <c r="U10" i="9"/>
  <c r="AG34" i="9"/>
  <c r="V36" i="9" s="1"/>
  <c r="U36" i="9"/>
  <c r="AG66" i="9"/>
  <c r="V66" i="9" s="1"/>
  <c r="U66" i="9"/>
  <c r="AG56" i="9"/>
  <c r="V56" i="9" s="1"/>
  <c r="U56" i="9"/>
  <c r="AG48" i="9"/>
  <c r="V45" i="9" s="1"/>
  <c r="U45" i="9"/>
  <c r="AG49" i="9"/>
  <c r="V48" i="9" s="1"/>
  <c r="U48" i="9"/>
  <c r="BO26" i="2"/>
  <c r="H106" i="2"/>
  <c r="DK27" i="2"/>
  <c r="DK26" i="2"/>
  <c r="DK29" i="2"/>
  <c r="DK28" i="2"/>
  <c r="AG16" i="9"/>
  <c r="V17" i="9" s="1"/>
  <c r="U17" i="9"/>
  <c r="AG54" i="9"/>
  <c r="V54" i="9" s="1"/>
  <c r="U54" i="9"/>
  <c r="AG40" i="9"/>
  <c r="V44" i="9" s="1"/>
  <c r="U44" i="9"/>
  <c r="AG80" i="9"/>
  <c r="V80" i="9" s="1"/>
  <c r="U80" i="9"/>
  <c r="AG55" i="9"/>
  <c r="V55" i="9" s="1"/>
  <c r="U55" i="9"/>
  <c r="AG52" i="9"/>
  <c r="V52" i="9" s="1"/>
  <c r="U52" i="9"/>
  <c r="AG23" i="9"/>
  <c r="V24" i="9" s="1"/>
  <c r="U24" i="9"/>
  <c r="AG50" i="9"/>
  <c r="V42" i="9" s="1"/>
  <c r="U42" i="9"/>
  <c r="AG82" i="9"/>
  <c r="V82" i="9" s="1"/>
  <c r="U82" i="9"/>
  <c r="AG75" i="9"/>
  <c r="V75" i="9" s="1"/>
  <c r="U75" i="9"/>
  <c r="AG84" i="9"/>
  <c r="V84" i="9" s="1"/>
  <c r="U84" i="9"/>
  <c r="AG69" i="9"/>
  <c r="V69" i="9" s="1"/>
  <c r="U69" i="9"/>
  <c r="AG61" i="9"/>
  <c r="V61" i="9" s="1"/>
  <c r="U61" i="9"/>
  <c r="AG41" i="9"/>
  <c r="V46" i="9" s="1"/>
  <c r="U46" i="9"/>
  <c r="AG70" i="9"/>
  <c r="V70" i="9" s="1"/>
  <c r="U70" i="9"/>
  <c r="AG46" i="9"/>
  <c r="V29" i="9" s="1"/>
  <c r="U29" i="9"/>
  <c r="AG13" i="9"/>
  <c r="V14" i="9" s="1"/>
  <c r="U14" i="9"/>
  <c r="AG65" i="9"/>
  <c r="V65" i="9" s="1"/>
  <c r="U65" i="9"/>
  <c r="AG62" i="9"/>
  <c r="V62" i="9" s="1"/>
  <c r="U62" i="9"/>
  <c r="BO38" i="2"/>
  <c r="H109" i="2"/>
  <c r="DK41" i="2"/>
  <c r="DK38" i="2"/>
  <c r="DK39" i="2"/>
  <c r="DK40" i="2"/>
  <c r="BO34" i="2"/>
  <c r="DK36" i="2"/>
  <c r="DK34" i="2"/>
  <c r="DK37" i="2"/>
  <c r="DK35" i="2"/>
  <c r="H108" i="2"/>
  <c r="BO30" i="2"/>
  <c r="DK30" i="2"/>
  <c r="DK32" i="2"/>
  <c r="DK31" i="2"/>
  <c r="H107" i="2"/>
  <c r="DK33" i="2"/>
  <c r="AG10" i="9"/>
  <c r="V11" i="9" s="1"/>
  <c r="U11" i="9"/>
  <c r="AG79" i="9"/>
  <c r="V79" i="9" s="1"/>
  <c r="U79" i="9"/>
  <c r="AG58" i="9"/>
  <c r="V58" i="9" s="1"/>
  <c r="U58" i="9"/>
  <c r="AG68" i="9"/>
  <c r="V68" i="9" s="1"/>
  <c r="U68" i="9"/>
  <c r="AG51" i="9"/>
  <c r="V51" i="9" s="1"/>
  <c r="U51" i="9"/>
  <c r="AG17" i="9"/>
  <c r="V18" i="9" s="1"/>
  <c r="U18" i="9"/>
  <c r="AG85" i="9"/>
  <c r="V85" i="9" s="1"/>
  <c r="U85" i="9"/>
  <c r="AG9" i="9"/>
  <c r="V9" i="9" s="1"/>
  <c r="U9" i="9"/>
  <c r="BO14" i="2"/>
  <c r="DK17" i="2"/>
  <c r="DK14" i="2"/>
  <c r="DK16" i="2"/>
  <c r="H103" i="2"/>
  <c r="DK15" i="2"/>
  <c r="AG5" i="9"/>
  <c r="V5" i="9" s="1"/>
  <c r="U5" i="9"/>
  <c r="AG12" i="9"/>
  <c r="V13" i="9" s="1"/>
  <c r="U13" i="9"/>
  <c r="AG63" i="9"/>
  <c r="V63" i="9" s="1"/>
  <c r="U63" i="9"/>
  <c r="AG78" i="9"/>
  <c r="V78" i="9" s="1"/>
  <c r="U78" i="9"/>
  <c r="AG86" i="9"/>
  <c r="V86" i="9" s="1"/>
  <c r="U86" i="9"/>
  <c r="AG74" i="9"/>
  <c r="V74" i="9" s="1"/>
  <c r="U74" i="9"/>
  <c r="AG72" i="9"/>
  <c r="V72" i="9" s="1"/>
  <c r="U72" i="9"/>
  <c r="BP13" i="2" l="1"/>
  <c r="BP34" i="2"/>
  <c r="BP19" i="2"/>
  <c r="BP14" i="2"/>
  <c r="BP7" i="2"/>
  <c r="BP37" i="2"/>
  <c r="H113" i="2"/>
  <c r="BP26" i="2"/>
  <c r="BP18" i="2"/>
  <c r="BP6" i="2"/>
  <c r="BP17" i="2"/>
  <c r="BP15" i="2"/>
  <c r="BP23" i="2"/>
  <c r="BP50" i="2"/>
  <c r="BP35" i="2"/>
  <c r="BP45" i="2"/>
  <c r="BP3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22" i="2"/>
  <c r="BP24" i="2"/>
  <c r="BP21" i="2"/>
  <c r="BP10" i="2"/>
  <c r="BP52" i="2"/>
  <c r="BP20" i="2"/>
  <c r="BP46" i="2"/>
  <c r="BP29" i="2"/>
  <c r="BP42" i="2"/>
  <c r="BP27" i="2"/>
  <c r="BP53" i="2"/>
  <c r="BP31" i="2"/>
  <c r="BP41" i="2"/>
  <c r="BP16" i="2"/>
  <c r="BP44" i="2"/>
  <c r="BP39" i="2"/>
  <c r="BP25" i="2"/>
  <c r="BP9" i="2"/>
  <c r="BP30" i="2"/>
  <c r="BP38" i="2"/>
  <c r="BP36" i="2"/>
  <c r="BP8" i="2"/>
  <c r="BP43" i="2"/>
  <c r="BP12" i="2"/>
  <c r="BP33" i="2"/>
  <c r="BP11" i="2"/>
  <c r="BP51" i="2"/>
  <c r="BP47" i="2"/>
  <c r="BP28" i="2"/>
  <c r="BP49" i="2"/>
  <c r="BP48" i="2"/>
  <c r="BP40" i="2"/>
  <c r="BQ12" i="2" l="1"/>
  <c r="BR12" i="2" s="1"/>
  <c r="Y21" i="2"/>
  <c r="X21" i="2"/>
  <c r="BQ28" i="2"/>
  <c r="BR28" i="2" s="1"/>
  <c r="Y57" i="2"/>
  <c r="X57" i="2"/>
  <c r="Y123" i="2"/>
  <c r="X123" i="2"/>
  <c r="BQ36" i="2"/>
  <c r="BR36" i="2" s="1"/>
  <c r="Y132" i="2"/>
  <c r="X132" i="2"/>
  <c r="Y126" i="2"/>
  <c r="X126" i="2"/>
  <c r="BQ24" i="2"/>
  <c r="BR24" i="2" s="1"/>
  <c r="X17" i="2"/>
  <c r="Y17" i="2"/>
  <c r="X37" i="2"/>
  <c r="Y37" i="2"/>
  <c r="BQ42" i="2"/>
  <c r="BR42" i="2" s="1"/>
  <c r="Y104" i="2"/>
  <c r="X104" i="2"/>
  <c r="BQ8" i="2"/>
  <c r="BR8" i="2" s="1"/>
  <c r="X143" i="2"/>
  <c r="Y143" i="2"/>
  <c r="Y44" i="2"/>
  <c r="X44" i="2"/>
  <c r="Y45" i="2"/>
  <c r="X45" i="2"/>
  <c r="BQ47" i="2"/>
  <c r="BR47" i="2" s="1"/>
  <c r="Y101" i="2"/>
  <c r="X101" i="2"/>
  <c r="X49" i="2"/>
  <c r="Y49" i="2"/>
  <c r="X76" i="2"/>
  <c r="Y76" i="2"/>
  <c r="BQ39" i="2"/>
  <c r="BR39" i="2" s="1"/>
  <c r="Y63" i="2"/>
  <c r="X63" i="2"/>
  <c r="Y96" i="2"/>
  <c r="X96" i="2"/>
  <c r="X7" i="2"/>
  <c r="Y7" i="2"/>
  <c r="Y22" i="2"/>
  <c r="X22" i="2"/>
  <c r="BQ40" i="2"/>
  <c r="BR40" i="2" s="1"/>
  <c r="BQ44" i="2"/>
  <c r="BR44" i="2" s="1"/>
  <c r="X127" i="2"/>
  <c r="Y127" i="2"/>
  <c r="Y23" i="2"/>
  <c r="X23" i="2"/>
  <c r="Y64" i="2"/>
  <c r="X64" i="2"/>
  <c r="BQ41" i="2"/>
  <c r="BR41" i="2" s="1"/>
  <c r="X46" i="2"/>
  <c r="Y46" i="2"/>
  <c r="X115" i="2"/>
  <c r="Y115" i="2"/>
  <c r="BQ11" i="2"/>
  <c r="BR11" i="2" s="1"/>
  <c r="BQ27" i="2"/>
  <c r="BR27" i="2" s="1"/>
  <c r="X25" i="2"/>
  <c r="Y25" i="2"/>
  <c r="Y78" i="2"/>
  <c r="X78" i="2"/>
  <c r="BQ45" i="2"/>
  <c r="BR45" i="2" s="1"/>
  <c r="BQ33" i="2"/>
  <c r="BR33" i="2" s="1"/>
  <c r="X65" i="2"/>
  <c r="Y65" i="2"/>
  <c r="X116" i="2"/>
  <c r="Y116" i="2"/>
  <c r="Y80" i="2"/>
  <c r="X80" i="2"/>
  <c r="X52" i="2"/>
  <c r="Y52" i="2"/>
  <c r="Y48" i="2"/>
  <c r="X48" i="2"/>
  <c r="X84" i="2"/>
  <c r="Y84" i="2"/>
  <c r="BQ35" i="2"/>
  <c r="BR35" i="2" s="1"/>
  <c r="AK99" i="2"/>
  <c r="AY101" i="2"/>
  <c r="BQ48" i="2"/>
  <c r="BR48" i="2" s="1"/>
  <c r="BQ22" i="2"/>
  <c r="BR22" i="2" s="1"/>
  <c r="Y113" i="2"/>
  <c r="X113" i="2"/>
  <c r="X55" i="2"/>
  <c r="Y55" i="2"/>
  <c r="Y15" i="2"/>
  <c r="X15" i="2"/>
  <c r="Y61" i="2"/>
  <c r="X61" i="2"/>
  <c r="X16" i="2"/>
  <c r="Y16" i="2"/>
  <c r="Y62" i="2"/>
  <c r="X62" i="2"/>
  <c r="Y69" i="2"/>
  <c r="X69" i="2"/>
  <c r="Y12" i="2"/>
  <c r="X12" i="2"/>
  <c r="BQ50" i="2"/>
  <c r="BR50" i="2" s="1"/>
  <c r="Y125" i="2"/>
  <c r="X125" i="2"/>
  <c r="Y13" i="2"/>
  <c r="X13" i="2"/>
  <c r="Y89" i="2"/>
  <c r="X89" i="2"/>
  <c r="Y147" i="2"/>
  <c r="X147" i="2"/>
  <c r="Y4" i="2"/>
  <c r="X4" i="2"/>
  <c r="Y24" i="2"/>
  <c r="X24" i="2"/>
  <c r="X133" i="2"/>
  <c r="Y133" i="2"/>
  <c r="Y20" i="2"/>
  <c r="X20" i="2"/>
  <c r="BQ23" i="2"/>
  <c r="BR23" i="2" s="1"/>
  <c r="BQ43" i="2"/>
  <c r="BR43" i="2" s="1"/>
  <c r="Y106" i="2"/>
  <c r="X106" i="2"/>
  <c r="Y120" i="2"/>
  <c r="X120" i="2"/>
  <c r="Y41" i="2"/>
  <c r="X41" i="2"/>
  <c r="Y9" i="2"/>
  <c r="X9" i="2"/>
  <c r="Y56" i="2"/>
  <c r="X56" i="2"/>
  <c r="Y81" i="2"/>
  <c r="X81" i="2"/>
  <c r="BQ34" i="2"/>
  <c r="BQ49" i="2"/>
  <c r="BR49" i="2" s="1"/>
  <c r="X29" i="2"/>
  <c r="Y29" i="2"/>
  <c r="BQ37" i="2"/>
  <c r="BR37" i="2" s="1"/>
  <c r="BQ46" i="2"/>
  <c r="BR46" i="2" s="1"/>
  <c r="BQ16" i="2"/>
  <c r="BR16" i="2" s="1"/>
  <c r="X72" i="2"/>
  <c r="Y72" i="2"/>
  <c r="BQ26" i="2"/>
  <c r="BR26" i="2" s="1"/>
  <c r="BQ7" i="2"/>
  <c r="BR7" i="2" s="1"/>
  <c r="BQ38" i="2"/>
  <c r="BR38" i="2" s="1"/>
  <c r="X87" i="2"/>
  <c r="Y87" i="2"/>
  <c r="Y110" i="2"/>
  <c r="X110" i="2"/>
  <c r="Y131" i="2"/>
  <c r="X131" i="2"/>
  <c r="Y112" i="2"/>
  <c r="X112" i="2"/>
  <c r="BQ14" i="2"/>
  <c r="BR14" i="2" s="1"/>
  <c r="BQ30" i="2"/>
  <c r="BR30" i="2" s="1"/>
  <c r="Y28" i="2"/>
  <c r="X28" i="2"/>
  <c r="Y30" i="2"/>
  <c r="X30" i="2"/>
  <c r="Y33" i="2"/>
  <c r="X33" i="2"/>
  <c r="X102" i="2"/>
  <c r="Y102" i="2"/>
  <c r="BQ51" i="2"/>
  <c r="BR51" i="2" s="1"/>
  <c r="BQ52" i="2"/>
  <c r="BR52" i="2" s="1"/>
  <c r="Y114" i="2"/>
  <c r="X114" i="2"/>
  <c r="Y5" i="2"/>
  <c r="X5" i="2"/>
  <c r="Y38" i="2"/>
  <c r="X38" i="2"/>
  <c r="X134" i="2"/>
  <c r="Y134" i="2"/>
  <c r="Y105" i="2"/>
  <c r="X105" i="2"/>
  <c r="Y103" i="2"/>
  <c r="X103" i="2"/>
  <c r="Y32" i="2"/>
  <c r="X32" i="2"/>
  <c r="X53" i="2"/>
  <c r="Y53" i="2"/>
  <c r="X39" i="2"/>
  <c r="Y39" i="2"/>
  <c r="BQ17" i="2"/>
  <c r="BR17" i="2" s="1"/>
  <c r="BQ29" i="2"/>
  <c r="BR29" i="2" s="1"/>
  <c r="Y68" i="2"/>
  <c r="X68" i="2"/>
  <c r="Y94" i="2"/>
  <c r="X94" i="2"/>
  <c r="X139" i="2"/>
  <c r="Y139" i="2"/>
  <c r="Y47" i="2"/>
  <c r="X47" i="2"/>
  <c r="BQ31" i="2"/>
  <c r="BR31" i="2" s="1"/>
  <c r="Y85" i="2"/>
  <c r="X85" i="2"/>
  <c r="X73" i="2"/>
  <c r="Y73" i="2"/>
  <c r="Y14" i="2"/>
  <c r="X14" i="2"/>
  <c r="X40" i="2"/>
  <c r="Y40" i="2"/>
  <c r="Y138" i="2"/>
  <c r="X138" i="2"/>
  <c r="X95" i="2"/>
  <c r="Y95" i="2"/>
  <c r="Y8" i="2"/>
  <c r="X8" i="2"/>
  <c r="BQ13" i="2"/>
  <c r="BQ9" i="2"/>
  <c r="BR9" i="2" s="1"/>
  <c r="BQ10" i="2"/>
  <c r="BR10" i="2" s="1"/>
  <c r="X77" i="2"/>
  <c r="Y77" i="2"/>
  <c r="Y54" i="2"/>
  <c r="X54" i="2"/>
  <c r="Y6" i="2"/>
  <c r="X6" i="2"/>
  <c r="X60" i="2"/>
  <c r="Y60" i="2"/>
  <c r="X108" i="2"/>
  <c r="Y108" i="2"/>
  <c r="Y36" i="2"/>
  <c r="X36" i="2"/>
  <c r="Y93" i="2"/>
  <c r="X93" i="2"/>
  <c r="Y109" i="2"/>
  <c r="X109" i="2"/>
  <c r="Y92" i="2"/>
  <c r="X92" i="2"/>
  <c r="BQ6" i="2"/>
  <c r="BR6" i="2" s="1"/>
  <c r="BQ20" i="2"/>
  <c r="BR20" i="2" s="1"/>
  <c r="Y71" i="2"/>
  <c r="X71" i="2"/>
  <c r="X122" i="2"/>
  <c r="Y122" i="2"/>
  <c r="Y121" i="2"/>
  <c r="X121" i="2"/>
  <c r="X97" i="2"/>
  <c r="Y97" i="2"/>
  <c r="BQ15" i="2"/>
  <c r="BR15" i="2" s="1"/>
  <c r="BQ25" i="2"/>
  <c r="BR25" i="2" s="1"/>
  <c r="BQ53" i="2"/>
  <c r="BR53" i="2" s="1"/>
  <c r="BQ21" i="2"/>
  <c r="BR21" i="2" s="1"/>
  <c r="Y107" i="2"/>
  <c r="X107" i="2"/>
  <c r="Y86" i="2"/>
  <c r="X86" i="2"/>
  <c r="Y88" i="2"/>
  <c r="X88" i="2"/>
  <c r="Y111" i="2"/>
  <c r="X111" i="2"/>
  <c r="Y124" i="2"/>
  <c r="X124" i="2"/>
  <c r="X31" i="2"/>
  <c r="Y31" i="2"/>
  <c r="Y70" i="2"/>
  <c r="X70" i="2"/>
  <c r="Y79" i="2"/>
  <c r="X79" i="2"/>
  <c r="BQ32" i="2"/>
  <c r="BR32" i="2" s="1"/>
  <c r="BQ18" i="2"/>
  <c r="BR18" i="2" s="1"/>
  <c r="BQ19" i="2"/>
  <c r="BR34" i="2" l="1"/>
  <c r="BR13" i="2"/>
  <c r="BR19" i="2"/>
  <c r="BS41" i="2" l="1"/>
  <c r="BS12" i="2"/>
  <c r="BS45" i="2"/>
  <c r="BS16" i="2"/>
  <c r="BS26" i="2"/>
  <c r="BS34" i="2"/>
  <c r="BS51" i="2"/>
  <c r="BS36" i="2"/>
  <c r="BS8" i="2"/>
  <c r="BS40" i="2"/>
  <c r="BS7" i="2"/>
  <c r="BS17" i="2"/>
  <c r="BS46" i="2"/>
  <c r="BS9" i="2"/>
  <c r="BS19" i="2"/>
  <c r="BS27" i="2"/>
  <c r="BS11" i="2"/>
  <c r="BS24" i="2"/>
  <c r="BS31" i="2"/>
  <c r="BS13" i="2"/>
  <c r="BS48" i="2"/>
  <c r="BS53" i="2"/>
  <c r="BS6" i="2"/>
  <c r="BS49" i="2"/>
  <c r="BS44" i="2"/>
  <c r="BS18" i="2"/>
  <c r="BS28" i="2"/>
  <c r="BS37" i="2"/>
  <c r="BS39" i="2"/>
  <c r="BS14" i="2"/>
  <c r="BS50" i="2"/>
  <c r="BS35" i="2"/>
  <c r="BS15" i="2"/>
  <c r="BS23" i="2"/>
  <c r="BS33" i="2"/>
  <c r="BS10" i="2"/>
  <c r="BS32" i="2"/>
  <c r="BS52" i="2"/>
  <c r="BS25" i="2"/>
  <c r="BS38" i="2"/>
  <c r="BS43" i="2"/>
  <c r="BS47" i="2"/>
  <c r="BS29" i="2"/>
  <c r="BS22" i="2"/>
  <c r="BS21" i="2"/>
  <c r="BS42" i="2"/>
  <c r="BS20" i="2"/>
  <c r="BS30" i="2"/>
  <c r="BT40" i="2" l="1"/>
  <c r="BT47" i="2"/>
  <c r="E89" i="2" s="1"/>
  <c r="BT43" i="2"/>
  <c r="E80" i="2" s="1"/>
  <c r="BT51" i="2"/>
  <c r="E97" i="2" s="1"/>
  <c r="BT41" i="2"/>
  <c r="E72" i="2" s="1"/>
  <c r="BT38" i="2"/>
  <c r="F72" i="2" s="1"/>
  <c r="BT44" i="2"/>
  <c r="F80" i="2" s="1"/>
  <c r="BT14" i="2"/>
  <c r="F24" i="2" s="1"/>
  <c r="BT42" i="2"/>
  <c r="F81" i="2" s="1"/>
  <c r="BT9" i="2"/>
  <c r="E8" i="2" s="1"/>
  <c r="BT37" i="2"/>
  <c r="E65" i="2" s="1"/>
  <c r="BT8" i="2"/>
  <c r="F9" i="2" s="1"/>
  <c r="BT18" i="2"/>
  <c r="F32" i="2" s="1"/>
  <c r="BT11" i="2"/>
  <c r="E17" i="2" s="1"/>
  <c r="BT25" i="2"/>
  <c r="E41" i="2" s="1"/>
  <c r="BT39" i="2"/>
  <c r="E73" i="2" s="1"/>
  <c r="BT52" i="2"/>
  <c r="F97" i="2" s="1"/>
  <c r="BT16" i="2"/>
  <c r="F25" i="2" s="1"/>
  <c r="BT32" i="2"/>
  <c r="F56" i="2" s="1"/>
  <c r="BT17" i="2"/>
  <c r="E24" i="2" s="1"/>
  <c r="BT35" i="2"/>
  <c r="E64" i="2" s="1"/>
  <c r="BT26" i="2"/>
  <c r="F49" i="2" s="1"/>
  <c r="BT50" i="2"/>
  <c r="F96" i="2" s="1"/>
  <c r="BT30" i="2"/>
  <c r="F57" i="2" s="1"/>
  <c r="BT34" i="2"/>
  <c r="F65" i="2" s="1"/>
  <c r="BT7" i="2"/>
  <c r="E9" i="2" s="1"/>
  <c r="BT27" i="2"/>
  <c r="E48" i="2" s="1"/>
  <c r="BT28" i="2"/>
  <c r="F48" i="2" s="1"/>
  <c r="BT48" i="2"/>
  <c r="F89" i="2" s="1"/>
  <c r="BT20" i="2"/>
  <c r="F33" i="2" s="1"/>
  <c r="BT24" i="2"/>
  <c r="F40" i="2" s="1"/>
  <c r="BT13" i="2"/>
  <c r="E16" i="2" s="1"/>
  <c r="BT23" i="2"/>
  <c r="E40" i="2" s="1"/>
  <c r="BT22" i="2"/>
  <c r="F41" i="2" s="1"/>
  <c r="BT31" i="2"/>
  <c r="E56" i="2" s="1"/>
  <c r="BT49" i="2"/>
  <c r="E88" i="2" s="1"/>
  <c r="BT21" i="2"/>
  <c r="E32" i="2" s="1"/>
  <c r="BT15" i="2"/>
  <c r="E25" i="2" s="1"/>
  <c r="BT45" i="2"/>
  <c r="E81" i="2" s="1"/>
  <c r="BT33" i="2"/>
  <c r="E57" i="2" s="1"/>
  <c r="BT12" i="2"/>
  <c r="F17" i="2" s="1"/>
  <c r="BT6" i="2"/>
  <c r="F8" i="2" s="1"/>
  <c r="BT10" i="2"/>
  <c r="F16" i="2" s="1"/>
  <c r="BT46" i="2"/>
  <c r="F88" i="2" s="1"/>
  <c r="BT19" i="2"/>
  <c r="E33" i="2" s="1"/>
  <c r="BT29" i="2"/>
  <c r="E49" i="2" s="1"/>
  <c r="BT53" i="2"/>
  <c r="E96" i="2" s="1"/>
  <c r="BT36" i="2"/>
  <c r="F64" i="2" s="1"/>
  <c r="F93" i="2" l="1"/>
  <c r="E95" i="2"/>
  <c r="F92" i="2"/>
  <c r="F95" i="2"/>
  <c r="E92" i="2"/>
  <c r="E94" i="2"/>
  <c r="E93" i="2"/>
  <c r="F94" i="2"/>
  <c r="F85" i="2"/>
  <c r="E87" i="2"/>
  <c r="F84" i="2"/>
  <c r="F87" i="2"/>
  <c r="E84" i="2"/>
  <c r="E86" i="2"/>
  <c r="E85" i="2"/>
  <c r="F86" i="2"/>
  <c r="F77" i="2"/>
  <c r="E79" i="2"/>
  <c r="F76" i="2"/>
  <c r="F79" i="2"/>
  <c r="E76" i="2"/>
  <c r="E78" i="2"/>
  <c r="E77" i="2"/>
  <c r="F78" i="2"/>
  <c r="F70" i="2"/>
  <c r="F73" i="2"/>
  <c r="F68" i="2"/>
  <c r="F71" i="2"/>
  <c r="F69" i="2"/>
  <c r="E71" i="2"/>
  <c r="E68" i="2"/>
  <c r="E70" i="2"/>
  <c r="BV40" i="2"/>
  <c r="E69" i="2"/>
  <c r="F60" i="2"/>
  <c r="F63" i="2"/>
  <c r="F61" i="2"/>
  <c r="E63" i="2"/>
  <c r="E61" i="2"/>
  <c r="F62" i="2"/>
  <c r="E60" i="2"/>
  <c r="E62" i="2"/>
  <c r="F53" i="2"/>
  <c r="E55" i="2"/>
  <c r="F52" i="2"/>
  <c r="F55" i="2"/>
  <c r="E52" i="2"/>
  <c r="E54" i="2"/>
  <c r="E53" i="2"/>
  <c r="F54" i="2"/>
  <c r="F45" i="2"/>
  <c r="E47" i="2"/>
  <c r="F44" i="2"/>
  <c r="F47" i="2"/>
  <c r="BW29" i="2" s="1"/>
  <c r="E45" i="2"/>
  <c r="F46" i="2"/>
  <c r="E44" i="2"/>
  <c r="E46" i="2"/>
  <c r="F36" i="2"/>
  <c r="F39" i="2"/>
  <c r="F37" i="2"/>
  <c r="E39" i="2"/>
  <c r="E36" i="2"/>
  <c r="E38" i="2"/>
  <c r="E37" i="2"/>
  <c r="F38" i="2"/>
  <c r="F28" i="2"/>
  <c r="F31" i="2"/>
  <c r="F29" i="2"/>
  <c r="E31" i="2"/>
  <c r="E29" i="2"/>
  <c r="F30" i="2"/>
  <c r="E28" i="2"/>
  <c r="E30" i="2"/>
  <c r="E21" i="2"/>
  <c r="F23" i="2"/>
  <c r="E20" i="2"/>
  <c r="E23" i="2"/>
  <c r="F20" i="2"/>
  <c r="F22" i="2"/>
  <c r="BW17" i="2" s="1"/>
  <c r="F21" i="2"/>
  <c r="E22" i="2"/>
  <c r="E12" i="2"/>
  <c r="E15" i="2"/>
  <c r="E13" i="2"/>
  <c r="F15" i="2"/>
  <c r="F13" i="2"/>
  <c r="E14" i="2"/>
  <c r="F12" i="2"/>
  <c r="F14" i="2"/>
  <c r="E5" i="2"/>
  <c r="F7" i="2"/>
  <c r="E4" i="2"/>
  <c r="E7" i="2"/>
  <c r="F5" i="2"/>
  <c r="E6" i="2"/>
  <c r="F4" i="2"/>
  <c r="F6" i="2"/>
  <c r="BU40" i="2"/>
  <c r="BX40" i="2" s="1"/>
  <c r="BW40" i="2"/>
  <c r="BV17" i="2"/>
  <c r="BU17" i="2"/>
  <c r="BV28" i="2"/>
  <c r="BW28" i="2"/>
  <c r="BU28" i="2"/>
  <c r="BW27" i="2"/>
  <c r="BV27" i="2"/>
  <c r="BU27" i="2"/>
  <c r="BU6" i="2"/>
  <c r="BW6" i="2"/>
  <c r="BV6" i="2"/>
  <c r="BV12" i="2"/>
  <c r="BW12" i="2"/>
  <c r="BU12" i="2"/>
  <c r="BV53" i="2"/>
  <c r="BU53" i="2"/>
  <c r="BW53" i="2"/>
  <c r="BV24" i="2"/>
  <c r="BW24" i="2"/>
  <c r="BU24" i="2"/>
  <c r="BW26" i="2"/>
  <c r="BV26" i="2"/>
  <c r="BU26" i="2"/>
  <c r="BV25" i="2"/>
  <c r="BU25" i="2"/>
  <c r="BW25" i="2"/>
  <c r="BW20" i="2"/>
  <c r="BV20" i="2"/>
  <c r="BU20" i="2"/>
  <c r="BU8" i="2"/>
  <c r="BW8" i="2"/>
  <c r="BV8" i="2"/>
  <c r="BW46" i="2"/>
  <c r="BV46" i="2"/>
  <c r="BU46" i="2"/>
  <c r="BV31" i="2"/>
  <c r="BW31" i="2"/>
  <c r="BU31" i="2"/>
  <c r="BW14" i="2"/>
  <c r="BV14" i="2"/>
  <c r="BU14" i="2"/>
  <c r="BW23" i="2"/>
  <c r="BV23" i="2"/>
  <c r="BU23" i="2"/>
  <c r="BU45" i="2"/>
  <c r="BV45" i="2"/>
  <c r="BW45" i="2"/>
  <c r="BV35" i="2"/>
  <c r="BU35" i="2"/>
  <c r="BW35" i="2"/>
  <c r="BV11" i="2"/>
  <c r="BU11" i="2"/>
  <c r="BW11" i="2"/>
  <c r="BV41" i="2"/>
  <c r="BU41" i="2"/>
  <c r="BW41" i="2"/>
  <c r="BW18" i="2"/>
  <c r="BV18" i="2"/>
  <c r="BU18" i="2"/>
  <c r="BV29" i="2"/>
  <c r="BU29" i="2"/>
  <c r="BU51" i="2"/>
  <c r="BW51" i="2"/>
  <c r="BV51" i="2"/>
  <c r="BU48" i="2"/>
  <c r="BW48" i="2"/>
  <c r="BV48" i="2"/>
  <c r="BW37" i="2"/>
  <c r="BV37" i="2"/>
  <c r="BU37" i="2"/>
  <c r="BU32" i="2"/>
  <c r="BV32" i="2"/>
  <c r="BW32" i="2"/>
  <c r="BW16" i="2"/>
  <c r="BV16" i="2"/>
  <c r="BU16" i="2"/>
  <c r="BU42" i="2"/>
  <c r="BW42" i="2"/>
  <c r="BV42" i="2"/>
  <c r="BW47" i="2"/>
  <c r="BV47" i="2"/>
  <c r="BU47" i="2"/>
  <c r="BU10" i="2"/>
  <c r="BW10" i="2"/>
  <c r="BV10" i="2"/>
  <c r="BU34" i="2"/>
  <c r="BW34" i="2"/>
  <c r="BV34" i="2"/>
  <c r="BU52" i="2"/>
  <c r="BV52" i="2"/>
  <c r="BW52" i="2"/>
  <c r="BW19" i="2"/>
  <c r="BV19" i="2"/>
  <c r="BU19" i="2"/>
  <c r="BV21" i="2"/>
  <c r="BU21" i="2"/>
  <c r="BW21" i="2"/>
  <c r="BW9" i="2"/>
  <c r="BV9" i="2"/>
  <c r="BU9" i="2"/>
  <c r="BV22" i="2"/>
  <c r="BU22" i="2"/>
  <c r="BW22" i="2"/>
  <c r="BW33" i="2"/>
  <c r="BV33" i="2"/>
  <c r="BU33" i="2"/>
  <c r="BW44" i="2"/>
  <c r="BV44" i="2"/>
  <c r="BU44" i="2"/>
  <c r="BU15" i="2"/>
  <c r="BW15" i="2"/>
  <c r="BV15" i="2"/>
  <c r="BW43" i="2"/>
  <c r="BV43" i="2"/>
  <c r="BU43" i="2"/>
  <c r="BW49" i="2"/>
  <c r="BV49" i="2"/>
  <c r="BU49" i="2"/>
  <c r="BW7" i="2"/>
  <c r="BV7" i="2"/>
  <c r="BU7" i="2"/>
  <c r="BU30" i="2"/>
  <c r="BV30" i="2"/>
  <c r="BW30" i="2"/>
  <c r="BU39" i="2"/>
  <c r="BV39" i="2"/>
  <c r="BW39" i="2"/>
  <c r="BU36" i="2"/>
  <c r="BW36" i="2"/>
  <c r="BV36" i="2"/>
  <c r="BW13" i="2"/>
  <c r="BV13" i="2"/>
  <c r="BU13" i="2"/>
  <c r="BW50" i="2"/>
  <c r="BV50" i="2"/>
  <c r="BU50" i="2"/>
  <c r="BW38" i="2"/>
  <c r="BV38" i="2"/>
  <c r="BU38" i="2"/>
  <c r="BX32" i="2" l="1"/>
  <c r="BX27" i="2"/>
  <c r="BX47" i="2"/>
  <c r="BX29" i="2"/>
  <c r="BX43" i="2"/>
  <c r="BX24" i="2"/>
  <c r="BX22" i="2"/>
  <c r="BX20" i="2"/>
  <c r="BX12" i="2"/>
  <c r="BX19" i="2"/>
  <c r="BX18" i="2"/>
  <c r="BX26" i="2"/>
  <c r="BX41" i="2"/>
  <c r="BX7" i="2"/>
  <c r="BX42" i="2"/>
  <c r="BX44" i="2"/>
  <c r="BX21" i="2"/>
  <c r="BX37" i="2"/>
  <c r="BX50" i="2"/>
  <c r="BX13" i="2"/>
  <c r="BX52" i="2"/>
  <c r="BX8" i="2"/>
  <c r="BX15" i="2"/>
  <c r="BX16" i="2"/>
  <c r="BX14" i="2"/>
  <c r="BX36" i="2"/>
  <c r="BX33" i="2"/>
  <c r="BX10" i="2"/>
  <c r="BX25" i="2"/>
  <c r="BX46" i="2"/>
  <c r="BX49" i="2"/>
  <c r="BX48" i="2"/>
  <c r="BX34" i="2"/>
  <c r="BX38" i="2"/>
  <c r="BX11" i="2"/>
  <c r="BX51" i="2"/>
  <c r="BX53" i="2"/>
  <c r="BX28" i="2"/>
  <c r="BX39" i="2"/>
  <c r="BX35" i="2"/>
  <c r="BX31" i="2"/>
  <c r="BX17" i="2"/>
  <c r="BX45" i="2"/>
  <c r="BX30" i="2"/>
  <c r="BX9" i="2"/>
  <c r="BX23" i="2"/>
  <c r="BX6" i="2"/>
  <c r="BY40" i="2" l="1"/>
  <c r="BY44" i="2"/>
  <c r="BY8" i="2"/>
  <c r="BY51" i="2"/>
  <c r="BY26" i="2"/>
  <c r="BY39" i="2"/>
  <c r="BY19" i="2"/>
  <c r="BY38" i="2"/>
  <c r="BY17" i="2"/>
  <c r="BY37" i="2"/>
  <c r="BY30" i="2"/>
  <c r="BY47" i="2"/>
  <c r="BY50" i="2"/>
  <c r="BY28" i="2"/>
  <c r="BY15" i="2"/>
  <c r="BY43" i="2"/>
  <c r="BY25" i="2"/>
  <c r="BY35" i="2"/>
  <c r="BY29" i="2"/>
  <c r="BY20" i="2"/>
  <c r="BY46" i="2"/>
  <c r="BY18" i="2"/>
  <c r="BY32" i="2"/>
  <c r="BY7" i="2"/>
  <c r="BY14" i="2"/>
  <c r="BY53" i="2"/>
  <c r="BY27" i="2"/>
  <c r="BY21" i="2"/>
  <c r="BY6" i="2"/>
  <c r="BY22" i="2"/>
  <c r="BY23" i="2"/>
  <c r="BY31" i="2"/>
  <c r="BY11" i="2"/>
  <c r="BY52" i="2"/>
  <c r="BY13" i="2"/>
  <c r="BY9" i="2"/>
  <c r="BY48" i="2"/>
  <c r="BY12" i="2"/>
  <c r="BY34" i="2"/>
  <c r="BY45" i="2"/>
  <c r="BY16" i="2"/>
  <c r="BY49" i="2"/>
  <c r="BY41" i="2"/>
  <c r="BY33" i="2"/>
  <c r="BY42" i="2"/>
  <c r="BY10" i="2"/>
  <c r="BY24" i="2"/>
  <c r="BY36" i="2"/>
  <c r="BZ49" i="2" l="1"/>
  <c r="H88" i="2" s="1"/>
  <c r="BZ40" i="2"/>
  <c r="I73" i="2" s="1"/>
  <c r="BZ42" i="2"/>
  <c r="I81" i="2" s="1"/>
  <c r="BZ45" i="2"/>
  <c r="H81" i="2" s="1"/>
  <c r="BZ24" i="2"/>
  <c r="BZ36" i="2"/>
  <c r="BZ39" i="2"/>
  <c r="BZ31" i="2"/>
  <c r="H56" i="2" s="1"/>
  <c r="BZ22" i="2"/>
  <c r="BZ23" i="2"/>
  <c r="H40" i="2" s="1"/>
  <c r="BZ33" i="2"/>
  <c r="BZ21" i="2"/>
  <c r="H32" i="2" s="1"/>
  <c r="BZ27" i="2"/>
  <c r="H48" i="2" s="1"/>
  <c r="BZ12" i="2"/>
  <c r="I17" i="2" s="1"/>
  <c r="BZ53" i="2"/>
  <c r="BZ25" i="2"/>
  <c r="H41" i="2" s="1"/>
  <c r="BZ51" i="2"/>
  <c r="BZ16" i="2"/>
  <c r="BZ50" i="2"/>
  <c r="BZ34" i="2"/>
  <c r="BZ41" i="2"/>
  <c r="BZ30" i="2"/>
  <c r="CA30" i="2" s="1"/>
  <c r="BZ9" i="2"/>
  <c r="H8" i="2" s="1"/>
  <c r="BZ32" i="2"/>
  <c r="BZ17" i="2"/>
  <c r="H24" i="2" s="1"/>
  <c r="BZ47" i="2"/>
  <c r="BZ6" i="2"/>
  <c r="BZ38" i="2"/>
  <c r="BZ46" i="2"/>
  <c r="BZ15" i="2"/>
  <c r="BZ44" i="2"/>
  <c r="BZ48" i="2"/>
  <c r="BZ26" i="2"/>
  <c r="BZ19" i="2"/>
  <c r="BZ20" i="2"/>
  <c r="BZ29" i="2"/>
  <c r="BZ10" i="2"/>
  <c r="I16" i="2" s="1"/>
  <c r="BZ8" i="2"/>
  <c r="BZ28" i="2"/>
  <c r="BZ37" i="2"/>
  <c r="BZ52" i="2"/>
  <c r="BZ13" i="2"/>
  <c r="BZ35" i="2"/>
  <c r="BZ18" i="2"/>
  <c r="BZ43" i="2"/>
  <c r="BZ11" i="2"/>
  <c r="BZ14" i="2"/>
  <c r="BZ7" i="2"/>
  <c r="H9" i="2" s="1"/>
  <c r="CB10" i="2" l="1"/>
  <c r="CA10" i="2"/>
  <c r="I94" i="2"/>
  <c r="I97" i="2"/>
  <c r="I95" i="2"/>
  <c r="H97" i="2"/>
  <c r="H94" i="2"/>
  <c r="I96" i="2"/>
  <c r="H95" i="2"/>
  <c r="H96" i="2"/>
  <c r="H93" i="2"/>
  <c r="CA53" i="2"/>
  <c r="I93" i="2"/>
  <c r="CB52" i="2" s="1"/>
  <c r="H92" i="2"/>
  <c r="CA51" i="2"/>
  <c r="I92" i="2"/>
  <c r="CA50" i="2" s="1"/>
  <c r="I86" i="2"/>
  <c r="I89" i="2"/>
  <c r="I87" i="2"/>
  <c r="H89" i="2"/>
  <c r="H86" i="2"/>
  <c r="I88" i="2"/>
  <c r="I85" i="2"/>
  <c r="CA48" i="2" s="1"/>
  <c r="H87" i="2"/>
  <c r="H85" i="2"/>
  <c r="H84" i="2"/>
  <c r="I84" i="2"/>
  <c r="CA46" i="2" s="1"/>
  <c r="I79" i="2"/>
  <c r="H80" i="2"/>
  <c r="I78" i="2"/>
  <c r="I80" i="2"/>
  <c r="I77" i="2"/>
  <c r="H79" i="2"/>
  <c r="H76" i="2"/>
  <c r="H78" i="2"/>
  <c r="CB44" i="2"/>
  <c r="H77" i="2"/>
  <c r="CB43" i="2"/>
  <c r="I76" i="2"/>
  <c r="I71" i="2"/>
  <c r="H73" i="2"/>
  <c r="H70" i="2"/>
  <c r="I72" i="2"/>
  <c r="H71" i="2"/>
  <c r="CB39" i="2" s="1"/>
  <c r="H72" i="2"/>
  <c r="H69" i="2"/>
  <c r="I70" i="2"/>
  <c r="I69" i="2"/>
  <c r="H68" i="2"/>
  <c r="I68" i="2"/>
  <c r="CB38" i="2" s="1"/>
  <c r="H63" i="2"/>
  <c r="H65" i="2"/>
  <c r="H62" i="2"/>
  <c r="I65" i="2"/>
  <c r="I63" i="2"/>
  <c r="H64" i="2"/>
  <c r="I62" i="2"/>
  <c r="I64" i="2"/>
  <c r="I61" i="2"/>
  <c r="CB36" i="2"/>
  <c r="H61" i="2"/>
  <c r="CA37" i="2" s="1"/>
  <c r="I60" i="2"/>
  <c r="CA34" i="2"/>
  <c r="H60" i="2"/>
  <c r="CB35" i="2" s="1"/>
  <c r="H54" i="2"/>
  <c r="I57" i="2"/>
  <c r="H55" i="2"/>
  <c r="H57" i="2"/>
  <c r="I54" i="2"/>
  <c r="I56" i="2"/>
  <c r="I52" i="2"/>
  <c r="I55" i="2"/>
  <c r="H53" i="2"/>
  <c r="CA33" i="2" s="1"/>
  <c r="CB33" i="2"/>
  <c r="I53" i="2"/>
  <c r="CB32" i="2" s="1"/>
  <c r="CB30" i="2"/>
  <c r="H52" i="2"/>
  <c r="H47" i="2"/>
  <c r="H49" i="2"/>
  <c r="H46" i="2"/>
  <c r="I49" i="2"/>
  <c r="I46" i="2"/>
  <c r="I48" i="2"/>
  <c r="I44" i="2"/>
  <c r="I47" i="2"/>
  <c r="H45" i="2"/>
  <c r="I45" i="2"/>
  <c r="CB26" i="2"/>
  <c r="H44" i="2"/>
  <c r="H38" i="2"/>
  <c r="I41" i="2"/>
  <c r="I38" i="2"/>
  <c r="I40" i="2"/>
  <c r="I37" i="2"/>
  <c r="CA24" i="2" s="1"/>
  <c r="H39" i="2"/>
  <c r="I36" i="2"/>
  <c r="I39" i="2"/>
  <c r="H37" i="2"/>
  <c r="CB22" i="2"/>
  <c r="H36" i="2"/>
  <c r="I30" i="2"/>
  <c r="I33" i="2"/>
  <c r="I31" i="2"/>
  <c r="H33" i="2"/>
  <c r="H30" i="2"/>
  <c r="I32" i="2"/>
  <c r="I29" i="2"/>
  <c r="H31" i="2"/>
  <c r="CB20" i="2"/>
  <c r="H29" i="2"/>
  <c r="H28" i="2"/>
  <c r="CA19" i="2"/>
  <c r="I28" i="2"/>
  <c r="CB18" i="2" s="1"/>
  <c r="I22" i="2"/>
  <c r="H25" i="2"/>
  <c r="I23" i="2"/>
  <c r="I25" i="2"/>
  <c r="H23" i="2"/>
  <c r="I24" i="2"/>
  <c r="I21" i="2"/>
  <c r="CB16" i="2" s="1"/>
  <c r="H22" i="2"/>
  <c r="H21" i="2"/>
  <c r="H20" i="2"/>
  <c r="CB15" i="2"/>
  <c r="I20" i="2"/>
  <c r="CB14" i="2" s="1"/>
  <c r="I14" i="2"/>
  <c r="H17" i="2"/>
  <c r="H14" i="2"/>
  <c r="H16" i="2"/>
  <c r="H12" i="2"/>
  <c r="H15" i="2"/>
  <c r="H13" i="2"/>
  <c r="I15" i="2"/>
  <c r="CA13" i="2"/>
  <c r="I13" i="2"/>
  <c r="CA11" i="2"/>
  <c r="I12" i="2"/>
  <c r="CB53" i="2"/>
  <c r="CC53" i="2" s="1"/>
  <c r="I7" i="2"/>
  <c r="I9" i="2"/>
  <c r="CA32" i="2"/>
  <c r="CC32" i="2" s="1"/>
  <c r="CA36" i="2"/>
  <c r="H7" i="2"/>
  <c r="I8" i="2"/>
  <c r="CA20" i="2"/>
  <c r="CC20" i="2" s="1"/>
  <c r="CA26" i="2"/>
  <c r="CC26" i="2" s="1"/>
  <c r="CA14" i="2"/>
  <c r="CC14" i="2" s="1"/>
  <c r="I4" i="2"/>
  <c r="I6" i="2"/>
  <c r="I5" i="2"/>
  <c r="CB8" i="2" s="1"/>
  <c r="H6" i="2"/>
  <c r="CA15" i="2"/>
  <c r="CC15" i="2" s="1"/>
  <c r="CA44" i="2"/>
  <c r="CC44" i="2" s="1"/>
  <c r="CA18" i="2"/>
  <c r="CC18" i="2" s="1"/>
  <c r="H5" i="2"/>
  <c r="CA52" i="2"/>
  <c r="CC52" i="2" s="1"/>
  <c r="CA6" i="2"/>
  <c r="CB46" i="2"/>
  <c r="CC46" i="2" s="1"/>
  <c r="CB50" i="2"/>
  <c r="CC50" i="2" s="1"/>
  <c r="CB34" i="2"/>
  <c r="CC34" i="2" s="1"/>
  <c r="CB13" i="2"/>
  <c r="CC13" i="2" s="1"/>
  <c r="CB37" i="2"/>
  <c r="CC37" i="2" s="1"/>
  <c r="CB51" i="2"/>
  <c r="CC51" i="2" s="1"/>
  <c r="CA38" i="2"/>
  <c r="CC38" i="2" s="1"/>
  <c r="CB48" i="2"/>
  <c r="CB6" i="2"/>
  <c r="H4" i="2"/>
  <c r="CC33" i="2"/>
  <c r="CC30" i="2"/>
  <c r="CC36" i="2"/>
  <c r="CA8" i="2"/>
  <c r="CC10" i="2"/>
  <c r="CB11" i="2"/>
  <c r="CC11" i="2" s="1"/>
  <c r="CA39" i="2"/>
  <c r="CA22" i="2"/>
  <c r="CC22" i="2" s="1"/>
  <c r="CA35" i="2"/>
  <c r="CC35" i="2" s="1"/>
  <c r="CB19" i="2"/>
  <c r="CC19" i="2" s="1"/>
  <c r="CA43" i="2"/>
  <c r="CC43" i="2" s="1"/>
  <c r="CB29" i="2" l="1"/>
  <c r="CB47" i="2"/>
  <c r="CB41" i="2"/>
  <c r="CA47" i="2"/>
  <c r="CA41" i="2"/>
  <c r="CA16" i="2"/>
  <c r="CC16" i="2" s="1"/>
  <c r="CA29" i="2"/>
  <c r="CC39" i="2"/>
  <c r="CB24" i="2"/>
  <c r="CC24" i="2" s="1"/>
  <c r="CC48" i="2"/>
  <c r="CA49" i="2"/>
  <c r="CB49" i="2"/>
  <c r="CB42" i="2"/>
  <c r="CA42" i="2"/>
  <c r="CC42" i="2" s="1"/>
  <c r="CB45" i="2"/>
  <c r="CA45" i="2"/>
  <c r="CC45" i="2" s="1"/>
  <c r="CB40" i="2"/>
  <c r="CA40" i="2"/>
  <c r="CC40" i="2" s="1"/>
  <c r="CB31" i="2"/>
  <c r="CA31" i="2"/>
  <c r="CC31" i="2" s="1"/>
  <c r="CB28" i="2"/>
  <c r="CA28" i="2"/>
  <c r="CB27" i="2"/>
  <c r="CA27" i="2"/>
  <c r="CC27" i="2" s="1"/>
  <c r="CB25" i="2"/>
  <c r="CA25" i="2"/>
  <c r="CC25" i="2" s="1"/>
  <c r="CB23" i="2"/>
  <c r="CA23" i="2"/>
  <c r="CB21" i="2"/>
  <c r="CA21" i="2"/>
  <c r="CC21" i="2" s="1"/>
  <c r="CB17" i="2"/>
  <c r="CA17" i="2"/>
  <c r="CB12" i="2"/>
  <c r="CA12" i="2"/>
  <c r="CC12" i="2" s="1"/>
  <c r="CC8" i="2"/>
  <c r="CB9" i="2"/>
  <c r="CA9" i="2"/>
  <c r="CC9" i="2" s="1"/>
  <c r="CC6" i="2"/>
  <c r="CB7" i="2"/>
  <c r="CA7" i="2"/>
  <c r="CC29" i="2" l="1"/>
  <c r="CC47" i="2"/>
  <c r="CC41" i="2"/>
  <c r="CC28" i="2"/>
  <c r="CC17" i="2"/>
  <c r="CC23" i="2"/>
  <c r="CC49" i="2"/>
  <c r="CC7" i="2"/>
  <c r="CD21" i="2" l="1"/>
  <c r="CD52" i="2"/>
  <c r="CD29" i="2"/>
  <c r="CD47" i="2"/>
  <c r="CD10" i="2"/>
  <c r="CD51" i="2"/>
  <c r="CD16" i="2"/>
  <c r="CD17" i="2"/>
  <c r="CD24" i="2"/>
  <c r="CD14" i="2"/>
  <c r="CD38" i="2"/>
  <c r="CD42" i="2"/>
  <c r="CD45" i="2"/>
  <c r="CD22" i="2"/>
  <c r="CD18" i="2"/>
  <c r="CD25" i="2"/>
  <c r="CD53" i="2"/>
  <c r="CD35" i="2"/>
  <c r="CD13" i="2"/>
  <c r="CD11" i="2"/>
  <c r="CD50" i="2"/>
  <c r="CD44" i="2"/>
  <c r="CD46" i="2"/>
  <c r="CD34" i="2"/>
  <c r="CD39" i="2"/>
  <c r="CD23" i="2"/>
  <c r="CD28" i="2"/>
  <c r="CD36" i="2"/>
  <c r="CD43" i="2"/>
  <c r="CD41" i="2"/>
  <c r="CD12" i="2"/>
  <c r="CD15" i="2"/>
  <c r="CD19" i="2"/>
  <c r="CD37" i="2"/>
  <c r="CD20" i="2"/>
  <c r="CD26" i="2"/>
  <c r="CD33" i="2"/>
  <c r="CD48" i="2"/>
  <c r="CD40" i="2"/>
  <c r="CD49" i="2"/>
  <c r="CD30" i="2"/>
  <c r="CD27" i="2"/>
  <c r="CD32" i="2"/>
  <c r="CD31" i="2"/>
  <c r="CD6" i="2"/>
  <c r="CD9" i="2"/>
  <c r="CD8" i="2"/>
  <c r="CD7" i="2"/>
  <c r="CE17" i="2" l="1"/>
  <c r="CE29" i="2"/>
  <c r="CE23" i="2"/>
  <c r="CE30" i="2"/>
  <c r="CE51" i="2"/>
  <c r="CE53" i="2"/>
  <c r="CE44" i="2"/>
  <c r="CE52" i="2"/>
  <c r="CE24" i="2"/>
  <c r="CE50" i="2"/>
  <c r="CE27" i="2"/>
  <c r="CE39" i="2"/>
  <c r="CE36" i="2"/>
  <c r="CE42" i="2"/>
  <c r="CE7" i="2"/>
  <c r="CE25" i="2"/>
  <c r="CE20" i="2"/>
  <c r="CE47" i="2"/>
  <c r="CE34" i="2"/>
  <c r="CE6" i="2"/>
  <c r="L8" i="2" s="1"/>
  <c r="CE33" i="2"/>
  <c r="CE11" i="2"/>
  <c r="CE15" i="2"/>
  <c r="CE32" i="2"/>
  <c r="CE8" i="2"/>
  <c r="L9" i="2" s="1"/>
  <c r="CE31" i="2"/>
  <c r="CE45" i="2"/>
  <c r="CE12" i="2"/>
  <c r="CE22" i="2"/>
  <c r="CE37" i="2"/>
  <c r="CE9" i="2"/>
  <c r="CE49" i="2"/>
  <c r="CE28" i="2"/>
  <c r="CE21" i="2"/>
  <c r="CE48" i="2"/>
  <c r="CE10" i="2"/>
  <c r="CE13" i="2"/>
  <c r="CE40" i="2"/>
  <c r="CE38" i="2"/>
  <c r="CE35" i="2"/>
  <c r="CE16" i="2"/>
  <c r="CE26" i="2"/>
  <c r="CE19" i="2"/>
  <c r="CE18" i="2"/>
  <c r="CE41" i="2"/>
  <c r="CE43" i="2"/>
  <c r="CE14" i="2"/>
  <c r="CE46" i="2"/>
  <c r="L94" i="2" l="1"/>
  <c r="L97" i="2"/>
  <c r="L95" i="2"/>
  <c r="K97" i="2"/>
  <c r="K94" i="2"/>
  <c r="L96" i="2"/>
  <c r="K95" i="2"/>
  <c r="K96" i="2"/>
  <c r="K93" i="2"/>
  <c r="CF53" i="2"/>
  <c r="L93" i="2"/>
  <c r="CF52" i="2" s="1"/>
  <c r="K92" i="2"/>
  <c r="CF51" i="2"/>
  <c r="L92" i="2"/>
  <c r="CF50" i="2" s="1"/>
  <c r="L86" i="2"/>
  <c r="L89" i="2"/>
  <c r="L87" i="2"/>
  <c r="K89" i="2"/>
  <c r="K86" i="2"/>
  <c r="L88" i="2"/>
  <c r="K87" i="2"/>
  <c r="K88" i="2"/>
  <c r="K85" i="2"/>
  <c r="CF49" i="2"/>
  <c r="L85" i="2"/>
  <c r="K84" i="2"/>
  <c r="L84" i="2"/>
  <c r="CF46" i="2" s="1"/>
  <c r="K79" i="2"/>
  <c r="K81" i="2"/>
  <c r="K78" i="2"/>
  <c r="L81" i="2"/>
  <c r="L79" i="2"/>
  <c r="K80" i="2"/>
  <c r="L78" i="2"/>
  <c r="L80" i="2"/>
  <c r="L77" i="2"/>
  <c r="CF44" i="2"/>
  <c r="K77" i="2"/>
  <c r="CF45" i="2" s="1"/>
  <c r="L76" i="2"/>
  <c r="CF42" i="2"/>
  <c r="K76" i="2"/>
  <c r="CF43" i="2" s="1"/>
  <c r="L70" i="2"/>
  <c r="L73" i="2"/>
  <c r="CF39" i="2" s="1"/>
  <c r="L71" i="2"/>
  <c r="K73" i="2"/>
  <c r="K71" i="2"/>
  <c r="K72" i="2"/>
  <c r="K70" i="2"/>
  <c r="L72" i="2"/>
  <c r="L69" i="2"/>
  <c r="CF40" i="2"/>
  <c r="K69" i="2"/>
  <c r="K68" i="2"/>
  <c r="L68" i="2"/>
  <c r="CF38" i="2" s="1"/>
  <c r="K63" i="2"/>
  <c r="K65" i="2"/>
  <c r="K62" i="2"/>
  <c r="L65" i="2"/>
  <c r="L63" i="2"/>
  <c r="K64" i="2"/>
  <c r="L62" i="2"/>
  <c r="L64" i="2"/>
  <c r="L61" i="2"/>
  <c r="CF36" i="2"/>
  <c r="K61" i="2"/>
  <c r="CF37" i="2" s="1"/>
  <c r="L60" i="2"/>
  <c r="CF34" i="2"/>
  <c r="K60" i="2"/>
  <c r="CF35" i="2" s="1"/>
  <c r="K55" i="2"/>
  <c r="K57" i="2"/>
  <c r="K54" i="2"/>
  <c r="L57" i="2"/>
  <c r="L55" i="2"/>
  <c r="K56" i="2"/>
  <c r="L54" i="2"/>
  <c r="L56" i="2"/>
  <c r="K53" i="2"/>
  <c r="CF33" i="2"/>
  <c r="L53" i="2"/>
  <c r="CF32" i="2" s="1"/>
  <c r="L52" i="2"/>
  <c r="CF30" i="2"/>
  <c r="K52" i="2"/>
  <c r="CF31" i="2" s="1"/>
  <c r="K46" i="2"/>
  <c r="L49" i="2"/>
  <c r="CF29" i="2" s="1"/>
  <c r="K47" i="2"/>
  <c r="K49" i="2"/>
  <c r="L46" i="2"/>
  <c r="L48" i="2"/>
  <c r="L47" i="2"/>
  <c r="K48" i="2"/>
  <c r="K45" i="2"/>
  <c r="L45" i="2"/>
  <c r="CF26" i="2"/>
  <c r="K44" i="2"/>
  <c r="CF27" i="2"/>
  <c r="L44" i="2"/>
  <c r="K38" i="2"/>
  <c r="L41" i="2"/>
  <c r="K39" i="2"/>
  <c r="K41" i="2"/>
  <c r="L38" i="2"/>
  <c r="L40" i="2"/>
  <c r="L39" i="2"/>
  <c r="K40" i="2"/>
  <c r="L37" i="2"/>
  <c r="CF24" i="2" s="1"/>
  <c r="K37" i="2"/>
  <c r="CF25" i="2" s="1"/>
  <c r="K36" i="2"/>
  <c r="L36" i="2"/>
  <c r="CF22" i="2" s="1"/>
  <c r="L31" i="2"/>
  <c r="K33" i="2"/>
  <c r="L30" i="2"/>
  <c r="L33" i="2"/>
  <c r="K30" i="2"/>
  <c r="L32" i="2"/>
  <c r="K31" i="2"/>
  <c r="K32" i="2"/>
  <c r="L29" i="2"/>
  <c r="CF20" i="2"/>
  <c r="K29" i="2"/>
  <c r="CF21" i="2" s="1"/>
  <c r="K28" i="2"/>
  <c r="CF19" i="2"/>
  <c r="L28" i="2"/>
  <c r="CF18" i="2" s="1"/>
  <c r="L23" i="2"/>
  <c r="L25" i="2"/>
  <c r="L22" i="2"/>
  <c r="K25" i="2"/>
  <c r="K23" i="2"/>
  <c r="L24" i="2"/>
  <c r="K22" i="2"/>
  <c r="K24" i="2"/>
  <c r="K21" i="2"/>
  <c r="L21" i="2"/>
  <c r="K20" i="2"/>
  <c r="CF15" i="2"/>
  <c r="L20" i="2"/>
  <c r="CF14" i="2" s="1"/>
  <c r="L15" i="2"/>
  <c r="L17" i="2"/>
  <c r="L14" i="2"/>
  <c r="K17" i="2"/>
  <c r="K14" i="2"/>
  <c r="K16" i="2"/>
  <c r="K15" i="2"/>
  <c r="L16" i="2"/>
  <c r="L13" i="2"/>
  <c r="CF12" i="2"/>
  <c r="K13" i="2"/>
  <c r="CF13" i="2" s="1"/>
  <c r="CF10" i="2"/>
  <c r="K12" i="2"/>
  <c r="CF11" i="2"/>
  <c r="L12" i="2"/>
  <c r="L6" i="2"/>
  <c r="K9" i="2"/>
  <c r="K6" i="2"/>
  <c r="K8" i="2"/>
  <c r="L4" i="2"/>
  <c r="L7" i="2"/>
  <c r="K4" i="2"/>
  <c r="CF7" i="2" s="1"/>
  <c r="K7" i="2"/>
  <c r="L5" i="2"/>
  <c r="CF8" i="2" s="1"/>
  <c r="K5" i="2"/>
  <c r="CF9" i="2"/>
  <c r="CF23" i="2" l="1"/>
  <c r="CF28" i="2"/>
  <c r="CF17" i="2"/>
  <c r="CF47" i="2"/>
  <c r="CF16" i="2"/>
  <c r="CF41" i="2"/>
  <c r="CG41" i="2" s="1"/>
  <c r="CF48" i="2"/>
  <c r="CF6" i="2"/>
  <c r="CG14" i="2" s="1"/>
  <c r="CG9" i="2" l="1"/>
  <c r="CG19" i="2"/>
  <c r="CG8" i="2"/>
  <c r="CG50" i="2"/>
  <c r="CG42" i="2"/>
  <c r="CG13" i="2"/>
  <c r="CG52" i="2"/>
  <c r="CG40" i="2"/>
  <c r="CG51" i="2"/>
  <c r="CG46" i="2"/>
  <c r="CG36" i="2"/>
  <c r="CG25" i="2"/>
  <c r="CG32" i="2"/>
  <c r="CG31" i="2"/>
  <c r="CG23" i="2"/>
  <c r="CG39" i="2"/>
  <c r="CG17" i="2"/>
  <c r="CG38" i="2"/>
  <c r="CG33" i="2"/>
  <c r="CG44" i="2"/>
  <c r="CG10" i="2"/>
  <c r="CG18" i="2"/>
  <c r="CG26" i="2"/>
  <c r="CG20" i="2"/>
  <c r="CG45" i="2"/>
  <c r="CG22" i="2"/>
  <c r="CG48" i="2"/>
  <c r="CG16" i="2"/>
  <c r="CG53" i="2"/>
  <c r="CG47" i="2"/>
  <c r="CG27" i="2"/>
  <c r="CG11" i="2"/>
  <c r="CG15" i="2"/>
  <c r="CG37" i="2"/>
  <c r="CG12" i="2"/>
  <c r="CG21" i="2"/>
  <c r="CG30" i="2"/>
  <c r="CG49" i="2"/>
  <c r="CG28" i="2"/>
  <c r="CG43" i="2"/>
  <c r="CG24" i="2"/>
  <c r="CG29" i="2"/>
  <c r="CG34" i="2"/>
  <c r="CG35" i="2"/>
  <c r="CG6" i="2"/>
  <c r="CG7" i="2"/>
  <c r="CH24" i="2" l="1"/>
  <c r="CI24" i="2" s="1"/>
  <c r="CH53" i="2"/>
  <c r="CH30" i="2"/>
  <c r="CH7" i="2"/>
  <c r="N9" i="2" s="1"/>
  <c r="CH37" i="2"/>
  <c r="N65" i="2" s="1"/>
  <c r="CH18" i="2"/>
  <c r="CL18" i="2" s="1"/>
  <c r="CH48" i="2"/>
  <c r="O89" i="2" s="1"/>
  <c r="CH45" i="2"/>
  <c r="CL45" i="2" s="1"/>
  <c r="CH47" i="2"/>
  <c r="N89" i="2" s="1"/>
  <c r="CH49" i="2"/>
  <c r="N88" i="2" s="1"/>
  <c r="CH21" i="2"/>
  <c r="O29" i="2" s="1"/>
  <c r="CH43" i="2"/>
  <c r="CK43" i="2" s="1"/>
  <c r="CH26" i="2"/>
  <c r="CI26" i="2" s="1"/>
  <c r="CH20" i="2"/>
  <c r="CH52" i="2"/>
  <c r="CJ52" i="2" s="1"/>
  <c r="CH38" i="2"/>
  <c r="O72" i="2" s="1"/>
  <c r="CH29" i="2"/>
  <c r="N49" i="2" s="1"/>
  <c r="O4" i="2"/>
  <c r="CI7" i="2"/>
  <c r="O6" i="2"/>
  <c r="O97" i="2"/>
  <c r="CH12" i="2"/>
  <c r="CK12" i="2" s="1"/>
  <c r="CH27" i="2"/>
  <c r="CK27" i="2" s="1"/>
  <c r="CH19" i="2"/>
  <c r="O28" i="2" s="1"/>
  <c r="CH6" i="2"/>
  <c r="CK6" i="2" s="1"/>
  <c r="CH35" i="2"/>
  <c r="CJ35" i="2" s="1"/>
  <c r="CH51" i="2"/>
  <c r="O92" i="2" s="1"/>
  <c r="CH10" i="2"/>
  <c r="N12" i="2" s="1"/>
  <c r="CH25" i="2"/>
  <c r="CJ25" i="2" s="1"/>
  <c r="CH13" i="2"/>
  <c r="O13" i="2" s="1"/>
  <c r="CH15" i="2"/>
  <c r="N25" i="2" s="1"/>
  <c r="CH39" i="2"/>
  <c r="O68" i="2" s="1"/>
  <c r="CH44" i="2"/>
  <c r="CL44" i="2" s="1"/>
  <c r="CH14" i="2"/>
  <c r="N20" i="2" s="1"/>
  <c r="CH46" i="2"/>
  <c r="N86" i="2" s="1"/>
  <c r="CH42" i="2"/>
  <c r="N78" i="2" s="1"/>
  <c r="CH17" i="2"/>
  <c r="O21" i="2" s="1"/>
  <c r="CH34" i="2"/>
  <c r="CL34" i="2" s="1"/>
  <c r="CH16" i="2"/>
  <c r="O23" i="2" s="1"/>
  <c r="CH40" i="2"/>
  <c r="N69" i="2" s="1"/>
  <c r="CH8" i="2"/>
  <c r="O7" i="2" s="1"/>
  <c r="CH11" i="2"/>
  <c r="O12" i="2" s="1"/>
  <c r="CH33" i="2"/>
  <c r="O53" i="2" s="1"/>
  <c r="CH41" i="2"/>
  <c r="N71" i="2" s="1"/>
  <c r="CH22" i="2"/>
  <c r="N38" i="2" s="1"/>
  <c r="CH9" i="2"/>
  <c r="CL9" i="2" s="1"/>
  <c r="CH28" i="2"/>
  <c r="O48" i="2" s="1"/>
  <c r="CH36" i="2"/>
  <c r="CJ36" i="2" s="1"/>
  <c r="CL36" i="2" s="1"/>
  <c r="CH23" i="2"/>
  <c r="O36" i="2" s="1"/>
  <c r="CH32" i="2"/>
  <c r="N53" i="2" s="1"/>
  <c r="CH31" i="2"/>
  <c r="O55" i="2" s="1"/>
  <c r="CH50" i="2"/>
  <c r="CI50" i="2" s="1"/>
  <c r="N95" i="2"/>
  <c r="N96" i="2"/>
  <c r="N93" i="2"/>
  <c r="O94" i="2"/>
  <c r="CJ53" i="2"/>
  <c r="O93" i="2"/>
  <c r="CI52" i="2" s="1"/>
  <c r="N68" i="2"/>
  <c r="N70" i="2"/>
  <c r="N54" i="2"/>
  <c r="O57" i="2"/>
  <c r="CJ30" i="2"/>
  <c r="N52" i="2"/>
  <c r="O30" i="2"/>
  <c r="O33" i="2"/>
  <c r="CK20" i="2"/>
  <c r="N29" i="2"/>
  <c r="CI20" i="2"/>
  <c r="CJ20" i="2"/>
  <c r="CK30" i="2"/>
  <c r="CI30" i="2"/>
  <c r="CL30" i="2" s="1"/>
  <c r="CK53" i="2"/>
  <c r="CI53" i="2"/>
  <c r="CL53" i="2" s="1"/>
  <c r="CL52" i="2"/>
  <c r="CL20" i="2"/>
  <c r="CL38" i="2" l="1"/>
  <c r="CL37" i="2"/>
  <c r="O40" i="2"/>
  <c r="O38" i="2"/>
  <c r="N37" i="2"/>
  <c r="CI38" i="2"/>
  <c r="N63" i="2"/>
  <c r="N47" i="2"/>
  <c r="O45" i="2"/>
  <c r="CJ18" i="2"/>
  <c r="O32" i="2"/>
  <c r="N30" i="2"/>
  <c r="O61" i="2"/>
  <c r="CJ12" i="2"/>
  <c r="N28" i="2"/>
  <c r="CK18" i="2"/>
  <c r="CL13" i="2"/>
  <c r="CL11" i="2"/>
  <c r="CL40" i="2"/>
  <c r="CL10" i="2"/>
  <c r="CJ45" i="2"/>
  <c r="CI29" i="2"/>
  <c r="N15" i="2"/>
  <c r="CI18" i="2"/>
  <c r="CL51" i="2"/>
  <c r="CK35" i="2"/>
  <c r="CK31" i="2"/>
  <c r="CJ48" i="2"/>
  <c r="O8" i="2"/>
  <c r="N60" i="2"/>
  <c r="CJ39" i="2"/>
  <c r="N64" i="2"/>
  <c r="CL31" i="2"/>
  <c r="O95" i="2"/>
  <c r="CI45" i="2"/>
  <c r="O63" i="2"/>
  <c r="CJ37" i="2"/>
  <c r="O86" i="2"/>
  <c r="O46" i="2"/>
  <c r="CL32" i="2"/>
  <c r="O54" i="2"/>
  <c r="N84" i="2"/>
  <c r="O17" i="2"/>
  <c r="N8" i="2"/>
  <c r="CK46" i="2"/>
  <c r="N94" i="2"/>
  <c r="CK52" i="2" s="1"/>
  <c r="N85" i="2"/>
  <c r="CI41" i="2"/>
  <c r="CK37" i="2"/>
  <c r="CI48" i="2"/>
  <c r="N62" i="2"/>
  <c r="CK38" i="2"/>
  <c r="O78" i="2"/>
  <c r="O20" i="2"/>
  <c r="CK45" i="2"/>
  <c r="O70" i="2"/>
  <c r="CL33" i="2"/>
  <c r="O52" i="2"/>
  <c r="N36" i="2"/>
  <c r="N55" i="2"/>
  <c r="N21" i="2"/>
  <c r="CK25" i="2"/>
  <c r="CI22" i="2"/>
  <c r="CJ16" i="2"/>
  <c r="CK15" i="2"/>
  <c r="CI15" i="2"/>
  <c r="CL50" i="2"/>
  <c r="N14" i="2"/>
  <c r="CK40" i="2"/>
  <c r="N39" i="2"/>
  <c r="CK23" i="2" s="1"/>
  <c r="CJ38" i="2"/>
  <c r="CJ15" i="2"/>
  <c r="CL15" i="2" s="1"/>
  <c r="O22" i="2"/>
  <c r="N41" i="2"/>
  <c r="CI35" i="2"/>
  <c r="CL35" i="2" s="1"/>
  <c r="O14" i="2"/>
  <c r="O60" i="2"/>
  <c r="CI34" i="2" s="1"/>
  <c r="O76" i="2"/>
  <c r="CJ33" i="2"/>
  <c r="CK33" i="2"/>
  <c r="N92" i="2"/>
  <c r="CK51" i="2" s="1"/>
  <c r="O77" i="2"/>
  <c r="CJ43" i="2"/>
  <c r="CL19" i="2"/>
  <c r="O49" i="2"/>
  <c r="N7" i="2"/>
  <c r="CI8" i="2" s="1"/>
  <c r="O64" i="2"/>
  <c r="CL6" i="2"/>
  <c r="CK21" i="2"/>
  <c r="O47" i="2"/>
  <c r="N87" i="2"/>
  <c r="CK47" i="2" s="1"/>
  <c r="CL27" i="2"/>
  <c r="N77" i="2"/>
  <c r="O85" i="2"/>
  <c r="CK48" i="2" s="1"/>
  <c r="N6" i="2"/>
  <c r="CI36" i="2"/>
  <c r="N80" i="2"/>
  <c r="O87" i="2"/>
  <c r="CI21" i="2"/>
  <c r="CI47" i="2"/>
  <c r="CI14" i="2"/>
  <c r="CL43" i="2"/>
  <c r="CI28" i="2"/>
  <c r="CI6" i="2"/>
  <c r="CK39" i="2"/>
  <c r="CJ49" i="2"/>
  <c r="CK42" i="2"/>
  <c r="CI46" i="2"/>
  <c r="N13" i="2"/>
  <c r="CJ13" i="2" s="1"/>
  <c r="N22" i="2"/>
  <c r="O31" i="2"/>
  <c r="O71" i="2"/>
  <c r="CJ41" i="2" s="1"/>
  <c r="O79" i="2"/>
  <c r="O84" i="2"/>
  <c r="CJ21" i="2"/>
  <c r="CL26" i="2"/>
  <c r="CI12" i="2"/>
  <c r="O15" i="2"/>
  <c r="CL14" i="2"/>
  <c r="CJ46" i="2"/>
  <c r="N81" i="2"/>
  <c r="CJ47" i="2"/>
  <c r="N32" i="2"/>
  <c r="CJ17" i="2"/>
  <c r="CI43" i="2"/>
  <c r="O62" i="2"/>
  <c r="N48" i="2"/>
  <c r="N61" i="2"/>
  <c r="CI37" i="2" s="1"/>
  <c r="CJ6" i="2"/>
  <c r="CJ27" i="2"/>
  <c r="O44" i="2"/>
  <c r="CK49" i="2"/>
  <c r="N23" i="2"/>
  <c r="CK16" i="2" s="1"/>
  <c r="N31" i="2"/>
  <c r="CI27" i="2"/>
  <c r="N79" i="2"/>
  <c r="CJ26" i="2"/>
  <c r="O5" i="2"/>
  <c r="CJ8" i="2" s="1"/>
  <c r="CL21" i="2"/>
  <c r="CJ28" i="2"/>
  <c r="N76" i="2"/>
  <c r="O81" i="2"/>
  <c r="CK26" i="2"/>
  <c r="CI49" i="2"/>
  <c r="N46" i="2"/>
  <c r="N4" i="2"/>
  <c r="CJ42" i="2"/>
  <c r="CL42" i="2" s="1"/>
  <c r="N44" i="2"/>
  <c r="CI42" i="2"/>
  <c r="N45" i="2"/>
  <c r="CJ29" i="2" s="1"/>
  <c r="O9" i="2"/>
  <c r="CK8" i="2"/>
  <c r="O39" i="2"/>
  <c r="CJ50" i="2"/>
  <c r="CK50" i="2"/>
  <c r="O73" i="2"/>
  <c r="CI39" i="2" s="1"/>
  <c r="CJ40" i="2"/>
  <c r="CI40" i="2"/>
  <c r="O16" i="2"/>
  <c r="CK10" i="2"/>
  <c r="CI10" i="2"/>
  <c r="CJ10" i="2"/>
  <c r="O25" i="2"/>
  <c r="CI16" i="2"/>
  <c r="N97" i="2"/>
  <c r="CJ51" i="2"/>
  <c r="N56" i="2"/>
  <c r="CJ31" i="2"/>
  <c r="CI31" i="2"/>
  <c r="CL8" i="2"/>
  <c r="CI25" i="2"/>
  <c r="CL25" i="2" s="1"/>
  <c r="CJ23" i="2"/>
  <c r="CI44" i="2"/>
  <c r="O56" i="2"/>
  <c r="CK32" i="2"/>
  <c r="CI32" i="2"/>
  <c r="O65" i="2"/>
  <c r="CJ34" i="2"/>
  <c r="CK34" i="2"/>
  <c r="N40" i="2"/>
  <c r="CJ24" i="2" s="1"/>
  <c r="CL24" i="2" s="1"/>
  <c r="CI23" i="2"/>
  <c r="N24" i="2"/>
  <c r="CI17" i="2"/>
  <c r="N33" i="2"/>
  <c r="CI19" i="2"/>
  <c r="CJ19" i="2"/>
  <c r="CK19" i="2"/>
  <c r="CI9" i="2"/>
  <c r="CK9" i="2"/>
  <c r="O24" i="2"/>
  <c r="CK17" i="2" s="1"/>
  <c r="CK14" i="2"/>
  <c r="CJ14" i="2"/>
  <c r="O41" i="2"/>
  <c r="CK22" i="2"/>
  <c r="CJ22" i="2"/>
  <c r="O80" i="2"/>
  <c r="CJ44" i="2"/>
  <c r="CK44" i="2"/>
  <c r="CL22" i="2"/>
  <c r="N5" i="2"/>
  <c r="CJ9" i="2" s="1"/>
  <c r="CK36" i="2"/>
  <c r="O37" i="2"/>
  <c r="CK24" i="2" s="1"/>
  <c r="N72" i="2"/>
  <c r="CK41" i="2"/>
  <c r="N73" i="2"/>
  <c r="O88" i="2"/>
  <c r="CJ32" i="2"/>
  <c r="O69" i="2"/>
  <c r="CI51" i="2"/>
  <c r="N57" i="2"/>
  <c r="CI33" i="2"/>
  <c r="O96" i="2"/>
  <c r="N17" i="2"/>
  <c r="CJ11" i="2"/>
  <c r="CK11" i="2"/>
  <c r="CI11" i="2"/>
  <c r="N16" i="2"/>
  <c r="CI13" i="2"/>
  <c r="CK13" i="2"/>
  <c r="CJ7" i="2"/>
  <c r="CL7" i="2" s="1"/>
  <c r="CK7" i="2"/>
  <c r="CL46" i="2"/>
  <c r="CL12" i="2"/>
  <c r="CL49" i="2"/>
  <c r="CL39" i="2" l="1"/>
  <c r="CL41" i="2"/>
  <c r="CL48" i="2"/>
  <c r="CL29" i="2"/>
  <c r="CM27" i="2"/>
  <c r="CK29" i="2"/>
  <c r="CM15" i="2"/>
  <c r="CL16" i="2"/>
  <c r="CK28" i="2"/>
  <c r="CM46" i="2"/>
  <c r="CM13" i="2"/>
  <c r="CL28" i="2"/>
  <c r="CM42" i="2" s="1"/>
  <c r="CL17" i="2"/>
  <c r="CM25" i="2"/>
  <c r="CM39" i="2"/>
  <c r="CM12" i="2"/>
  <c r="CM31" i="2"/>
  <c r="CM43" i="2"/>
  <c r="CM8" i="2"/>
  <c r="CM40" i="2"/>
  <c r="CM20" i="2"/>
  <c r="CM19" i="2"/>
  <c r="CL47" i="2"/>
  <c r="CM36" i="2"/>
  <c r="CM9" i="2"/>
  <c r="CM10" i="2"/>
  <c r="CM30" i="2"/>
  <c r="CM49" i="2"/>
  <c r="CM21" i="2"/>
  <c r="CM50" i="2"/>
  <c r="CM53" i="2"/>
  <c r="CM26" i="2"/>
  <c r="CM33" i="2"/>
  <c r="CM11" i="2"/>
  <c r="CM38" i="2"/>
  <c r="CM35" i="2"/>
  <c r="CM22" i="2"/>
  <c r="CM18" i="2"/>
  <c r="CM7" i="2"/>
  <c r="CM32" i="2"/>
  <c r="CM6" i="2"/>
  <c r="CL23" i="2"/>
  <c r="CM44" i="2"/>
  <c r="CM34" i="2"/>
  <c r="CM41" i="2"/>
  <c r="CM14" i="2"/>
  <c r="CM52" i="2"/>
  <c r="CM51" i="2"/>
  <c r="CM37" i="2"/>
  <c r="CM45" i="2"/>
  <c r="CM47" i="2" l="1"/>
  <c r="CM17" i="2"/>
  <c r="CM24" i="2"/>
  <c r="CM16" i="2"/>
  <c r="CM29" i="2"/>
  <c r="CM23" i="2"/>
  <c r="CM48" i="2"/>
  <c r="CM28" i="2"/>
  <c r="CN28" i="2" l="1"/>
  <c r="R48" i="2" s="1"/>
  <c r="CN10" i="2"/>
  <c r="CN6" i="2"/>
  <c r="CN53" i="2"/>
  <c r="CQ53" i="2" s="1"/>
  <c r="CN11" i="2"/>
  <c r="R12" i="2" s="1"/>
  <c r="CN15" i="2"/>
  <c r="CO15" i="2" s="1"/>
  <c r="CN35" i="2"/>
  <c r="Q64" i="2" s="1"/>
  <c r="CN42" i="2"/>
  <c r="R81" i="2" s="1"/>
  <c r="CN18" i="2"/>
  <c r="R32" i="2" s="1"/>
  <c r="CN26" i="2"/>
  <c r="R49" i="2" s="1"/>
  <c r="CN30" i="2"/>
  <c r="R57" i="2" s="1"/>
  <c r="CN52" i="2"/>
  <c r="R97" i="2" s="1"/>
  <c r="CN33" i="2"/>
  <c r="CO33" i="2" s="1"/>
  <c r="CN16" i="2"/>
  <c r="R25" i="2" s="1"/>
  <c r="CN38" i="2"/>
  <c r="R72" i="2" s="1"/>
  <c r="CN14" i="2"/>
  <c r="R24" i="2" s="1"/>
  <c r="CN29" i="2"/>
  <c r="Q49" i="2" s="1"/>
  <c r="CN27" i="2"/>
  <c r="R44" i="2" s="1"/>
  <c r="CN24" i="2"/>
  <c r="R38" i="2" s="1"/>
  <c r="CN49" i="2"/>
  <c r="CQ49" i="2" s="1"/>
  <c r="CN36" i="2"/>
  <c r="R64" i="2" s="1"/>
  <c r="CN41" i="2"/>
  <c r="Q72" i="2" s="1"/>
  <c r="R46" i="2"/>
  <c r="CN22" i="2"/>
  <c r="R41" i="2" s="1"/>
  <c r="CN7" i="2"/>
  <c r="R6" i="2" s="1"/>
  <c r="CN20" i="2"/>
  <c r="CP20" i="2" s="1"/>
  <c r="CN21" i="2"/>
  <c r="Q32" i="2" s="1"/>
  <c r="CN51" i="2"/>
  <c r="CP51" i="2" s="1"/>
  <c r="CN37" i="2"/>
  <c r="CQ37" i="2" s="1"/>
  <c r="CN32" i="2"/>
  <c r="Q4" i="2"/>
  <c r="CP7" i="2" s="1"/>
  <c r="Q9" i="2"/>
  <c r="Q45" i="2"/>
  <c r="R4" i="2"/>
  <c r="CN46" i="2"/>
  <c r="CN19" i="2"/>
  <c r="CQ19" i="2" s="1"/>
  <c r="CN17" i="2"/>
  <c r="CN48" i="2"/>
  <c r="CN45" i="2"/>
  <c r="CQ45" i="2" s="1"/>
  <c r="CN8" i="2"/>
  <c r="CQ8" i="2" s="1"/>
  <c r="CN40" i="2"/>
  <c r="CN31" i="2"/>
  <c r="CN23" i="2"/>
  <c r="Q20" i="2"/>
  <c r="CN12" i="2"/>
  <c r="CO12" i="2" s="1"/>
  <c r="CN39" i="2"/>
  <c r="CN13" i="2"/>
  <c r="CQ13" i="2" s="1"/>
  <c r="CN25" i="2"/>
  <c r="CN34" i="2"/>
  <c r="CN47" i="2"/>
  <c r="R84" i="2" s="1"/>
  <c r="Q55" i="2"/>
  <c r="CN50" i="2"/>
  <c r="CQ50" i="2" s="1"/>
  <c r="CN9" i="2"/>
  <c r="CQ9" i="2" s="1"/>
  <c r="CN43" i="2"/>
  <c r="CN44" i="2"/>
  <c r="CQ44" i="2" s="1"/>
  <c r="R16" i="2"/>
  <c r="CO10" i="2"/>
  <c r="CP10" i="2"/>
  <c r="CO6" i="2"/>
  <c r="Q68" i="2"/>
  <c r="CP38" i="2"/>
  <c r="CO21" i="2"/>
  <c r="CO38" i="2"/>
  <c r="R23" i="2"/>
  <c r="CQ10" i="2"/>
  <c r="R93" i="2"/>
  <c r="Q21" i="2"/>
  <c r="Q15" i="2"/>
  <c r="Q12" i="2"/>
  <c r="CP6" i="2"/>
  <c r="CQ6" i="2" s="1"/>
  <c r="CQ33" i="2"/>
  <c r="CQ38" i="2"/>
  <c r="CO7" i="2"/>
  <c r="CQ7" i="2" s="1"/>
  <c r="CP53" i="2" l="1"/>
  <c r="CP14" i="2"/>
  <c r="Q95" i="2"/>
  <c r="Q23" i="2"/>
  <c r="CQ51" i="2"/>
  <c r="Q29" i="2"/>
  <c r="CP21" i="2"/>
  <c r="CQ21" i="2"/>
  <c r="Q31" i="2"/>
  <c r="CP33" i="2"/>
  <c r="R29" i="2"/>
  <c r="R30" i="2"/>
  <c r="R14" i="2"/>
  <c r="CQ11" i="2"/>
  <c r="CQ14" i="2"/>
  <c r="CO14" i="2"/>
  <c r="R95" i="2"/>
  <c r="R92" i="2"/>
  <c r="CQ20" i="2"/>
  <c r="Q47" i="2"/>
  <c r="R45" i="2"/>
  <c r="CP28" i="2" s="1"/>
  <c r="Q70" i="2"/>
  <c r="R60" i="2"/>
  <c r="CQ35" i="2"/>
  <c r="CQ15" i="2"/>
  <c r="CO42" i="2"/>
  <c r="CQ27" i="2"/>
  <c r="R47" i="2"/>
  <c r="CP29" i="2" s="1"/>
  <c r="CO36" i="2"/>
  <c r="R20" i="2"/>
  <c r="Q44" i="2"/>
  <c r="CP15" i="2"/>
  <c r="Q61" i="2"/>
  <c r="CP35" i="2"/>
  <c r="CQ18" i="2"/>
  <c r="R94" i="2"/>
  <c r="R40" i="2"/>
  <c r="Q37" i="2"/>
  <c r="Q28" i="2"/>
  <c r="R62" i="2"/>
  <c r="Q71" i="2"/>
  <c r="CP52" i="2"/>
  <c r="Q57" i="2"/>
  <c r="R53" i="2"/>
  <c r="CQ30" i="2"/>
  <c r="CQ52" i="2"/>
  <c r="CP18" i="2"/>
  <c r="CO30" i="2"/>
  <c r="Q46" i="2"/>
  <c r="R63" i="2"/>
  <c r="Q48" i="2"/>
  <c r="CP27" i="2"/>
  <c r="CO27" i="2"/>
  <c r="Q25" i="2"/>
  <c r="R22" i="2"/>
  <c r="CP17" i="2" s="1"/>
  <c r="Q36" i="2"/>
  <c r="Q93" i="2"/>
  <c r="Q76" i="2"/>
  <c r="R69" i="2"/>
  <c r="Q17" i="2"/>
  <c r="CP11" i="2"/>
  <c r="CO11" i="2"/>
  <c r="Q88" i="2"/>
  <c r="CP49" i="2"/>
  <c r="CO49" i="2"/>
  <c r="CQ26" i="2"/>
  <c r="CQ42" i="2"/>
  <c r="Q87" i="2"/>
  <c r="CO26" i="2"/>
  <c r="Q78" i="2"/>
  <c r="CO35" i="2"/>
  <c r="Q97" i="2"/>
  <c r="CO51" i="2"/>
  <c r="Q96" i="2"/>
  <c r="CO53" i="2"/>
  <c r="Q38" i="2"/>
  <c r="CP22" i="2"/>
  <c r="CP26" i="2"/>
  <c r="CQ36" i="2"/>
  <c r="CP30" i="2"/>
  <c r="CQ22" i="2"/>
  <c r="Q7" i="2"/>
  <c r="R8" i="2"/>
  <c r="CO18" i="2"/>
  <c r="CO52" i="2"/>
  <c r="Q54" i="2"/>
  <c r="R85" i="2"/>
  <c r="CO48" i="2" s="1"/>
  <c r="CP42" i="2"/>
  <c r="Q52" i="2"/>
  <c r="CO22" i="2"/>
  <c r="CP36" i="2"/>
  <c r="Q30" i="2"/>
  <c r="R33" i="2"/>
  <c r="CO20" i="2"/>
  <c r="Q24" i="2"/>
  <c r="Q22" i="2"/>
  <c r="R21" i="2"/>
  <c r="R65" i="2"/>
  <c r="CP34" i="2"/>
  <c r="Q60" i="2"/>
  <c r="Q62" i="2"/>
  <c r="CO34" i="2"/>
  <c r="Q16" i="2"/>
  <c r="CP13" i="2"/>
  <c r="R13" i="2"/>
  <c r="Q14" i="2"/>
  <c r="CO13" i="2"/>
  <c r="Q33" i="2"/>
  <c r="R28" i="2"/>
  <c r="CP19" i="2"/>
  <c r="R31" i="2"/>
  <c r="CO19" i="2"/>
  <c r="Q73" i="2"/>
  <c r="R68" i="2"/>
  <c r="R71" i="2"/>
  <c r="Q40" i="2"/>
  <c r="R36" i="2"/>
  <c r="R39" i="2"/>
  <c r="Q84" i="2"/>
  <c r="CO46" i="2"/>
  <c r="CQ46" i="2" s="1"/>
  <c r="Q86" i="2"/>
  <c r="R88" i="2"/>
  <c r="CP46" i="2"/>
  <c r="Q41" i="2"/>
  <c r="CP25" i="2"/>
  <c r="Q39" i="2"/>
  <c r="CO25" i="2"/>
  <c r="R37" i="2"/>
  <c r="CQ25" i="2"/>
  <c r="Q56" i="2"/>
  <c r="R52" i="2"/>
  <c r="CP31" i="2"/>
  <c r="CO31" i="2"/>
  <c r="R55" i="2"/>
  <c r="R73" i="2"/>
  <c r="CO39" i="2" s="1"/>
  <c r="CO40" i="2"/>
  <c r="CP40" i="2"/>
  <c r="Q69" i="2"/>
  <c r="R70" i="2"/>
  <c r="R56" i="2"/>
  <c r="Q53" i="2"/>
  <c r="CP32" i="2"/>
  <c r="R54" i="2"/>
  <c r="CO32" i="2"/>
  <c r="Q65" i="2"/>
  <c r="Q63" i="2"/>
  <c r="CP37" i="2"/>
  <c r="R61" i="2"/>
  <c r="CO37" i="2"/>
  <c r="CO17" i="2"/>
  <c r="R17" i="2"/>
  <c r="Q13" i="2"/>
  <c r="R15" i="2"/>
  <c r="Q89" i="2"/>
  <c r="R87" i="2"/>
  <c r="R9" i="2"/>
  <c r="R7" i="2"/>
  <c r="CP8" i="2"/>
  <c r="CO8" i="2"/>
  <c r="Q5" i="2"/>
  <c r="CQ31" i="2"/>
  <c r="CQ34" i="2"/>
  <c r="CQ32" i="2"/>
  <c r="CP12" i="2"/>
  <c r="Q80" i="2"/>
  <c r="CO43" i="2"/>
  <c r="CP43" i="2"/>
  <c r="R76" i="2"/>
  <c r="R79" i="2"/>
  <c r="CQ43" i="2"/>
  <c r="Q8" i="2"/>
  <c r="CP9" i="2"/>
  <c r="R5" i="2"/>
  <c r="Q6" i="2"/>
  <c r="CO9" i="2"/>
  <c r="Q81" i="2"/>
  <c r="CP45" i="2"/>
  <c r="CO45" i="2"/>
  <c r="R77" i="2"/>
  <c r="Q79" i="2"/>
  <c r="R96" i="2"/>
  <c r="CO50" i="2"/>
  <c r="CP50" i="2"/>
  <c r="Q92" i="2"/>
  <c r="Q94" i="2"/>
  <c r="R89" i="2"/>
  <c r="Q85" i="2"/>
  <c r="R86" i="2"/>
  <c r="CQ40" i="2"/>
  <c r="R80" i="2"/>
  <c r="CP44" i="2"/>
  <c r="CO44" i="2"/>
  <c r="Q77" i="2"/>
  <c r="R78" i="2"/>
  <c r="CQ12" i="2"/>
  <c r="CP39" i="2"/>
  <c r="CO28" i="2"/>
  <c r="CO23" i="2" l="1"/>
  <c r="CO29" i="2"/>
  <c r="CQ29" i="2" s="1"/>
  <c r="CP48" i="2"/>
  <c r="CQ48" i="2" s="1"/>
  <c r="CP23" i="2"/>
  <c r="CP24" i="2"/>
  <c r="CR26" i="2"/>
  <c r="CR8" i="2"/>
  <c r="CR31" i="2"/>
  <c r="CR10" i="2"/>
  <c r="CR44" i="2"/>
  <c r="CR18" i="2"/>
  <c r="CR22" i="2"/>
  <c r="CR49" i="2"/>
  <c r="CR7" i="2"/>
  <c r="CR52" i="2"/>
  <c r="CR51" i="2"/>
  <c r="CO24" i="2"/>
  <c r="CR30" i="2"/>
  <c r="CR9" i="2"/>
  <c r="CQ17" i="2"/>
  <c r="CR46" i="2"/>
  <c r="CR35" i="2"/>
  <c r="CR19" i="2"/>
  <c r="CR14" i="2"/>
  <c r="CR36" i="2"/>
  <c r="CR27" i="2"/>
  <c r="CR43" i="2"/>
  <c r="CR34" i="2"/>
  <c r="CR37" i="2"/>
  <c r="CR25" i="2"/>
  <c r="CR6" i="2"/>
  <c r="CR12" i="2"/>
  <c r="CR50" i="2"/>
  <c r="CP41" i="2"/>
  <c r="CO41" i="2"/>
  <c r="CR53" i="2"/>
  <c r="CR45" i="2"/>
  <c r="CR38" i="2"/>
  <c r="CR33" i="2"/>
  <c r="CR13" i="2"/>
  <c r="CR15" i="2"/>
  <c r="CP47" i="2"/>
  <c r="CO47" i="2"/>
  <c r="CR42" i="2"/>
  <c r="CR40" i="2"/>
  <c r="CR21" i="2"/>
  <c r="CR32" i="2"/>
  <c r="CR11" i="2"/>
  <c r="CR20" i="2"/>
  <c r="CO16" i="2"/>
  <c r="CP16" i="2"/>
  <c r="CQ28" i="2"/>
  <c r="CQ39" i="2"/>
  <c r="CQ23" i="2" l="1"/>
  <c r="CQ24" i="2"/>
  <c r="CR48" i="2"/>
  <c r="CQ16" i="2"/>
  <c r="CR16" i="2" s="1"/>
  <c r="CQ41" i="2"/>
  <c r="CR39" i="2" s="1"/>
  <c r="CQ47" i="2"/>
  <c r="CR47" i="2" s="1"/>
  <c r="CR23" i="2"/>
  <c r="CR29" i="2"/>
  <c r="CR17" i="2"/>
  <c r="CR24" i="2"/>
  <c r="CR28" i="2"/>
  <c r="CR41" i="2"/>
  <c r="CS39" i="2" l="1"/>
  <c r="U68" i="2" s="1"/>
  <c r="CS33" i="2"/>
  <c r="CS26" i="2"/>
  <c r="CS36" i="2"/>
  <c r="CS51" i="2"/>
  <c r="CS37" i="2"/>
  <c r="CS6" i="2"/>
  <c r="CS10" i="2"/>
  <c r="CS15" i="2"/>
  <c r="CS27" i="2"/>
  <c r="CS49" i="2"/>
  <c r="CS46" i="2"/>
  <c r="CS42" i="2"/>
  <c r="CS8" i="2"/>
  <c r="CS19" i="2"/>
  <c r="CS22" i="2"/>
  <c r="CS34" i="2"/>
  <c r="CS48" i="2"/>
  <c r="CS52" i="2"/>
  <c r="CS25" i="2"/>
  <c r="CS21" i="2"/>
  <c r="CS50" i="2"/>
  <c r="CS20" i="2"/>
  <c r="CS12" i="2"/>
  <c r="CS18" i="2"/>
  <c r="CS11" i="2"/>
  <c r="CS35" i="2"/>
  <c r="CS9" i="2"/>
  <c r="CS40" i="2"/>
  <c r="CS47" i="2"/>
  <c r="CS53" i="2"/>
  <c r="CS45" i="2"/>
  <c r="CS29" i="2"/>
  <c r="CS13" i="2"/>
  <c r="CS17" i="2"/>
  <c r="CS30" i="2"/>
  <c r="CS24" i="2"/>
  <c r="CS41" i="2"/>
  <c r="CS44" i="2"/>
  <c r="CS32" i="2"/>
  <c r="CS28" i="2"/>
  <c r="CS7" i="2"/>
  <c r="CS43" i="2"/>
  <c r="CS14" i="2"/>
  <c r="CS31" i="2"/>
  <c r="CS16" i="2"/>
  <c r="CS38" i="2"/>
  <c r="CS23" i="2"/>
  <c r="U71" i="2" l="1"/>
  <c r="T73" i="2"/>
  <c r="T48" i="2"/>
  <c r="CT27" i="2"/>
  <c r="U44" i="2"/>
  <c r="U47" i="2"/>
  <c r="T56" i="2"/>
  <c r="U52" i="2"/>
  <c r="CT31" i="2"/>
  <c r="U55" i="2"/>
  <c r="U13" i="2"/>
  <c r="T14" i="2"/>
  <c r="T16" i="2"/>
  <c r="U30" i="2"/>
  <c r="T29" i="2"/>
  <c r="U33" i="2"/>
  <c r="U88" i="2"/>
  <c r="CT46" i="2"/>
  <c r="T86" i="2"/>
  <c r="T84" i="2"/>
  <c r="T20" i="2"/>
  <c r="CT14" i="2"/>
  <c r="T23" i="2"/>
  <c r="U24" i="2"/>
  <c r="U45" i="2"/>
  <c r="T47" i="2"/>
  <c r="T49" i="2"/>
  <c r="T94" i="2"/>
  <c r="U96" i="2"/>
  <c r="T92" i="2"/>
  <c r="T88" i="2"/>
  <c r="U85" i="2"/>
  <c r="CT49" i="2"/>
  <c r="T87" i="2"/>
  <c r="T31" i="2"/>
  <c r="U29" i="2"/>
  <c r="CT20" i="2" s="1"/>
  <c r="T32" i="2"/>
  <c r="CT21" i="2"/>
  <c r="T89" i="2"/>
  <c r="U84" i="2"/>
  <c r="U87" i="2"/>
  <c r="U70" i="2"/>
  <c r="U73" i="2"/>
  <c r="CT40" i="2"/>
  <c r="T69" i="2"/>
  <c r="T71" i="2"/>
  <c r="T72" i="2"/>
  <c r="U69" i="2"/>
  <c r="U95" i="2"/>
  <c r="U92" i="2"/>
  <c r="CT50" i="2" s="1"/>
  <c r="T97" i="2"/>
  <c r="CT51" i="2"/>
  <c r="U41" i="2"/>
  <c r="T38" i="2"/>
  <c r="T36" i="2"/>
  <c r="CT23" i="2" s="1"/>
  <c r="CT22" i="2"/>
  <c r="CT36" i="2"/>
  <c r="T61" i="2"/>
  <c r="CT37" i="2" s="1"/>
  <c r="U64" i="2"/>
  <c r="U62" i="2"/>
  <c r="U79" i="2"/>
  <c r="T80" i="2"/>
  <c r="U76" i="2"/>
  <c r="T9" i="2"/>
  <c r="U4" i="2"/>
  <c r="CT6" i="2" s="1"/>
  <c r="U6" i="2"/>
  <c r="CT25" i="2"/>
  <c r="U37" i="2"/>
  <c r="T41" i="2"/>
  <c r="T39" i="2"/>
  <c r="U97" i="2"/>
  <c r="CT52" i="2"/>
  <c r="T93" i="2"/>
  <c r="U94" i="2"/>
  <c r="T7" i="2"/>
  <c r="U8" i="2"/>
  <c r="T4" i="2"/>
  <c r="CT7" i="2" s="1"/>
  <c r="T8" i="2"/>
  <c r="CT9" i="2"/>
  <c r="U5" i="2"/>
  <c r="T6" i="2"/>
  <c r="U39" i="2"/>
  <c r="U36" i="2"/>
  <c r="T40" i="2"/>
  <c r="T37" i="2"/>
  <c r="U38" i="2"/>
  <c r="U40" i="2"/>
  <c r="U14" i="2"/>
  <c r="T17" i="2"/>
  <c r="U12" i="2"/>
  <c r="U31" i="2"/>
  <c r="U28" i="2"/>
  <c r="T33" i="2"/>
  <c r="T46" i="2"/>
  <c r="U49" i="2"/>
  <c r="CT26" i="2"/>
  <c r="T44" i="2"/>
  <c r="T81" i="2"/>
  <c r="U77" i="2"/>
  <c r="T79" i="2"/>
  <c r="T45" i="2"/>
  <c r="U48" i="2"/>
  <c r="U46" i="2"/>
  <c r="T53" i="2"/>
  <c r="U56" i="2"/>
  <c r="U54" i="2"/>
  <c r="U80" i="2"/>
  <c r="U78" i="2"/>
  <c r="CT44" i="2"/>
  <c r="T77" i="2"/>
  <c r="CT45" i="2" s="1"/>
  <c r="T65" i="2"/>
  <c r="T63" i="2"/>
  <c r="U61" i="2"/>
  <c r="T62" i="2"/>
  <c r="U65" i="2"/>
  <c r="CT34" i="2"/>
  <c r="T60" i="2"/>
  <c r="CT35" i="2" s="1"/>
  <c r="T68" i="2"/>
  <c r="U72" i="2"/>
  <c r="T70" i="2"/>
  <c r="U57" i="2"/>
  <c r="T54" i="2"/>
  <c r="CT30" i="2"/>
  <c r="T52" i="2"/>
  <c r="CT18" i="2"/>
  <c r="T28" i="2"/>
  <c r="CT19" i="2" s="1"/>
  <c r="T30" i="2"/>
  <c r="U32" i="2"/>
  <c r="U9" i="2"/>
  <c r="CT8" i="2"/>
  <c r="T5" i="2"/>
  <c r="U7" i="2"/>
  <c r="CT33" i="2"/>
  <c r="U53" i="2"/>
  <c r="CT32" i="2" s="1"/>
  <c r="T55" i="2"/>
  <c r="T57" i="2"/>
  <c r="U93" i="2"/>
  <c r="T95" i="2"/>
  <c r="CT53" i="2"/>
  <c r="T96" i="2"/>
  <c r="T25" i="2"/>
  <c r="U20" i="2"/>
  <c r="U22" i="2"/>
  <c r="CT15" i="2"/>
  <c r="CT10" i="2"/>
  <c r="T15" i="2"/>
  <c r="T12" i="2"/>
  <c r="CT11" i="2" s="1"/>
  <c r="U16" i="2"/>
  <c r="U86" i="2"/>
  <c r="U89" i="2"/>
  <c r="CT47" i="2" s="1"/>
  <c r="T85" i="2"/>
  <c r="CT48" i="2"/>
  <c r="U60" i="2"/>
  <c r="U63" i="2"/>
  <c r="T64" i="2"/>
  <c r="T21" i="2"/>
  <c r="U23" i="2"/>
  <c r="U25" i="2"/>
  <c r="T22" i="2"/>
  <c r="T24" i="2"/>
  <c r="U21" i="2"/>
  <c r="U17" i="2"/>
  <c r="CT12" i="2"/>
  <c r="T13" i="2"/>
  <c r="CT13" i="2" s="1"/>
  <c r="U15" i="2"/>
  <c r="T76" i="2"/>
  <c r="CT43" i="2" s="1"/>
  <c r="T78" i="2"/>
  <c r="U81" i="2"/>
  <c r="CT42" i="2"/>
  <c r="CT38" i="2"/>
  <c r="CT17" i="2" l="1"/>
  <c r="CT16" i="2"/>
  <c r="CT28" i="2"/>
  <c r="CT24" i="2"/>
  <c r="CU43" i="2"/>
  <c r="CT39" i="2"/>
  <c r="CU21" i="2"/>
  <c r="CU37" i="2"/>
  <c r="CU7" i="2"/>
  <c r="CU31" i="2"/>
  <c r="CU12" i="2"/>
  <c r="CT29" i="2"/>
  <c r="CU10" i="2"/>
  <c r="CU27" i="2"/>
  <c r="CU20" i="2"/>
  <c r="CU32" i="2"/>
  <c r="CU15" i="2"/>
  <c r="CU44" i="2"/>
  <c r="CU35" i="2"/>
  <c r="CU46" i="2"/>
  <c r="CU26" i="2"/>
  <c r="CU9" i="2"/>
  <c r="CU53" i="2"/>
  <c r="CU34" i="2"/>
  <c r="CU51" i="2"/>
  <c r="CU52" i="2"/>
  <c r="CU50" i="2"/>
  <c r="CU38" i="2"/>
  <c r="CU30" i="2"/>
  <c r="CU40" i="2"/>
  <c r="CU42" i="2"/>
  <c r="CU19" i="2"/>
  <c r="CU18" i="2"/>
  <c r="CU11" i="2"/>
  <c r="CU45" i="2"/>
  <c r="CU6" i="2"/>
  <c r="CU13" i="2"/>
  <c r="CU33" i="2"/>
  <c r="CU36" i="2"/>
  <c r="CU22" i="2"/>
  <c r="CU25" i="2"/>
  <c r="CT41" i="2"/>
  <c r="CU14" i="2"/>
  <c r="CU8" i="2"/>
  <c r="CU49" i="2"/>
  <c r="CU47" i="2" l="1"/>
  <c r="CU41" i="2"/>
  <c r="CU17" i="2"/>
  <c r="CU28" i="2"/>
  <c r="CU16" i="2"/>
  <c r="CU24" i="2"/>
  <c r="CU48" i="2"/>
  <c r="CU29" i="2"/>
  <c r="CU23" i="2"/>
  <c r="CU39" i="2"/>
  <c r="CV39" i="2" l="1"/>
  <c r="CW39" i="2" s="1"/>
  <c r="CV20" i="2"/>
  <c r="CV28" i="2"/>
  <c r="CV17" i="2"/>
  <c r="CV38" i="2"/>
  <c r="CV14" i="2"/>
  <c r="CV6" i="2"/>
  <c r="CV27" i="2"/>
  <c r="CV22" i="2"/>
  <c r="CV34" i="2"/>
  <c r="CV51" i="2"/>
  <c r="CV29" i="2"/>
  <c r="CV7" i="2"/>
  <c r="CV24" i="2"/>
  <c r="CV31" i="2"/>
  <c r="CV52" i="2"/>
  <c r="CV47" i="2"/>
  <c r="CV9" i="2"/>
  <c r="CV49" i="2"/>
  <c r="CV40" i="2"/>
  <c r="CV15" i="2"/>
  <c r="CV50" i="2"/>
  <c r="CV33" i="2"/>
  <c r="CV18" i="2"/>
  <c r="CV46" i="2"/>
  <c r="CV13" i="2"/>
  <c r="CV42" i="2"/>
  <c r="CV26" i="2"/>
  <c r="CV45" i="2"/>
  <c r="CV48" i="2"/>
  <c r="CV10" i="2"/>
  <c r="CV36" i="2"/>
  <c r="CV23" i="2"/>
  <c r="CV30" i="2"/>
  <c r="CV35" i="2"/>
  <c r="CV44" i="2"/>
  <c r="CV19" i="2"/>
  <c r="CV25" i="2"/>
  <c r="CV12" i="2"/>
  <c r="CV21" i="2"/>
  <c r="CV53" i="2"/>
  <c r="CV11" i="2"/>
  <c r="CV8" i="2"/>
  <c r="CV32" i="2"/>
  <c r="CV37" i="2"/>
  <c r="CV16" i="2"/>
  <c r="CV41" i="2"/>
  <c r="CV43" i="2"/>
  <c r="CW44" i="2" l="1"/>
  <c r="CW46" i="2"/>
  <c r="CW7" i="2"/>
  <c r="CW41" i="2"/>
  <c r="CX39" i="2" s="1"/>
  <c r="CW18" i="2"/>
  <c r="CW29" i="2"/>
  <c r="CW34" i="2"/>
  <c r="CW33" i="2"/>
  <c r="CW30" i="2"/>
  <c r="CW15" i="2"/>
  <c r="CW27" i="2"/>
  <c r="CW48" i="2"/>
  <c r="CW21" i="2"/>
  <c r="CW45" i="2"/>
  <c r="CW47" i="2"/>
  <c r="CW38" i="2"/>
  <c r="CW43" i="2"/>
  <c r="CW35" i="2"/>
  <c r="CW23" i="2"/>
  <c r="CW36" i="2"/>
  <c r="CW11" i="2"/>
  <c r="CW6" i="2"/>
  <c r="CW14" i="2"/>
  <c r="CW12" i="2"/>
  <c r="CW26" i="2"/>
  <c r="CW52" i="2"/>
  <c r="CW17" i="2"/>
  <c r="CW51" i="2"/>
  <c r="CW50" i="2"/>
  <c r="CW22" i="2"/>
  <c r="CW40" i="2"/>
  <c r="CW49" i="2"/>
  <c r="CW9" i="2"/>
  <c r="CW25" i="2"/>
  <c r="CW42" i="2"/>
  <c r="CW31" i="2"/>
  <c r="CW28" i="2"/>
  <c r="CW16" i="2"/>
  <c r="CW37" i="2"/>
  <c r="CW32" i="2"/>
  <c r="CW8" i="2"/>
  <c r="CW10" i="2"/>
  <c r="CW53" i="2"/>
  <c r="CW19" i="2"/>
  <c r="CW13" i="2"/>
  <c r="CW24" i="2"/>
  <c r="CX47" i="2" s="1"/>
  <c r="CW20" i="2"/>
  <c r="CX28" i="2" l="1"/>
  <c r="CX17" i="2"/>
  <c r="CX16" i="2"/>
  <c r="CX41" i="2"/>
  <c r="CX24" i="2"/>
  <c r="CX18" i="2"/>
  <c r="CX23" i="2"/>
  <c r="CX37" i="2"/>
  <c r="CX27" i="2"/>
  <c r="CX15" i="2"/>
  <c r="CX20" i="2"/>
  <c r="CX50" i="2"/>
  <c r="CX43" i="2"/>
  <c r="CX29" i="2"/>
  <c r="CX42" i="2"/>
  <c r="CX14" i="2"/>
  <c r="CX10" i="2"/>
  <c r="CX31" i="2"/>
  <c r="CX22" i="2"/>
  <c r="CX12" i="2"/>
  <c r="CX35" i="2"/>
  <c r="CX32" i="2"/>
  <c r="CX51" i="2"/>
  <c r="CX38" i="2"/>
  <c r="CX48" i="2"/>
  <c r="CX8" i="2"/>
  <c r="CX25" i="2"/>
  <c r="CX6" i="2"/>
  <c r="CX13" i="2"/>
  <c r="CX9" i="2"/>
  <c r="CX30" i="2"/>
  <c r="CX11" i="2"/>
  <c r="CX7" i="2"/>
  <c r="CX19" i="2"/>
  <c r="CX49" i="2"/>
  <c r="CX52" i="2"/>
  <c r="CX36" i="2"/>
  <c r="CX45" i="2"/>
  <c r="CX33" i="2"/>
  <c r="CX46" i="2"/>
  <c r="CX53" i="2"/>
  <c r="CX34" i="2"/>
  <c r="CX44" i="2"/>
  <c r="CX40" i="2"/>
  <c r="CX26" i="2"/>
  <c r="CX21" i="2"/>
  <c r="CY51" i="2" l="1"/>
  <c r="CZ51" i="2" s="1"/>
  <c r="CY21" i="2"/>
  <c r="CZ21" i="2" s="1"/>
  <c r="CY27" i="2"/>
  <c r="CZ27" i="2" s="1"/>
  <c r="CY7" i="2"/>
  <c r="CZ7" i="2" s="1"/>
  <c r="CY40" i="2"/>
  <c r="CZ40" i="2" s="1"/>
  <c r="CY8" i="2"/>
  <c r="CZ8" i="2" s="1"/>
  <c r="CY49" i="2"/>
  <c r="CZ49" i="2" s="1"/>
  <c r="CY48" i="2"/>
  <c r="CZ48" i="2" s="1"/>
  <c r="CY39" i="2"/>
  <c r="CY28" i="2"/>
  <c r="CY30" i="2"/>
  <c r="CZ30" i="2" s="1"/>
  <c r="CY18" i="2"/>
  <c r="CY34" i="2"/>
  <c r="CZ34" i="2" s="1"/>
  <c r="CY16" i="2"/>
  <c r="CY20" i="2"/>
  <c r="CY52" i="2"/>
  <c r="CZ52" i="2" s="1"/>
  <c r="CY44" i="2"/>
  <c r="CZ44" i="2" s="1"/>
  <c r="CY35" i="2"/>
  <c r="CZ35" i="2" s="1"/>
  <c r="CY9" i="2"/>
  <c r="CY13" i="2"/>
  <c r="CY31" i="2"/>
  <c r="CY19" i="2"/>
  <c r="CZ19" i="2" s="1"/>
  <c r="CY11" i="2"/>
  <c r="CY15" i="2"/>
  <c r="CY29" i="2"/>
  <c r="CY46" i="2"/>
  <c r="CY6" i="2"/>
  <c r="CY10" i="2"/>
  <c r="CY43" i="2"/>
  <c r="CY26" i="2"/>
  <c r="CZ26" i="2" s="1"/>
  <c r="CY42" i="2"/>
  <c r="CY23" i="2"/>
  <c r="CY53" i="2"/>
  <c r="CY22" i="2"/>
  <c r="CZ22" i="2" s="1"/>
  <c r="CY45" i="2"/>
  <c r="CY25" i="2"/>
  <c r="CY47" i="2"/>
  <c r="CY37" i="2"/>
  <c r="CY38" i="2"/>
  <c r="CZ38" i="2" s="1"/>
  <c r="CY32" i="2"/>
  <c r="CZ32" i="2" s="1"/>
  <c r="CY17" i="2"/>
  <c r="CY12" i="2"/>
  <c r="CY33" i="2"/>
  <c r="CY41" i="2"/>
  <c r="CY36" i="2"/>
  <c r="CY24" i="2"/>
  <c r="CY14" i="2"/>
  <c r="CY50" i="2"/>
  <c r="CZ17" i="2" l="1"/>
  <c r="CZ11" i="2"/>
  <c r="CZ16" i="2"/>
  <c r="CZ36" i="2"/>
  <c r="CZ23" i="2"/>
  <c r="CZ41" i="2"/>
  <c r="CZ42" i="2"/>
  <c r="CZ13" i="2"/>
  <c r="CZ43" i="2"/>
  <c r="CZ39" i="2"/>
  <c r="CZ25" i="2"/>
  <c r="CZ28" i="2"/>
  <c r="CZ9" i="2"/>
  <c r="CZ10" i="2"/>
  <c r="CZ6" i="2"/>
  <c r="CZ45" i="2"/>
  <c r="CZ46" i="2"/>
  <c r="CZ31" i="2"/>
  <c r="DA48" i="2"/>
  <c r="CZ47" i="2"/>
  <c r="DA47" i="2" s="1"/>
  <c r="CZ33" i="2"/>
  <c r="CZ50" i="2"/>
  <c r="CZ29" i="2"/>
  <c r="CZ24" i="2"/>
  <c r="DA24" i="2" s="1"/>
  <c r="CZ18" i="2"/>
  <c r="CZ37" i="2"/>
  <c r="CZ14" i="2"/>
  <c r="CZ12" i="2"/>
  <c r="CZ53" i="2"/>
  <c r="CZ15" i="2"/>
  <c r="CZ20" i="2"/>
  <c r="DA23" i="2" l="1"/>
  <c r="DA16" i="2"/>
  <c r="DA33" i="2"/>
  <c r="DA53" i="2"/>
  <c r="DA46" i="2"/>
  <c r="DA37" i="2"/>
  <c r="DA45" i="2"/>
  <c r="DA41" i="2"/>
  <c r="DA36" i="2"/>
  <c r="DA11" i="2"/>
  <c r="DA50" i="2"/>
  <c r="DA17" i="2"/>
  <c r="DA28" i="2"/>
  <c r="DA38" i="2"/>
  <c r="DA30" i="2"/>
  <c r="DA25" i="2"/>
  <c r="DA18" i="2"/>
  <c r="DA7" i="2"/>
  <c r="DA15" i="2"/>
  <c r="DA6" i="2"/>
  <c r="DA26" i="2"/>
  <c r="DA9" i="2"/>
  <c r="DA13" i="2"/>
  <c r="DA51" i="2"/>
  <c r="DA44" i="2"/>
  <c r="DA21" i="2"/>
  <c r="DA35" i="2"/>
  <c r="DA52" i="2"/>
  <c r="DA34" i="2"/>
  <c r="DA8" i="2"/>
  <c r="DA43" i="2"/>
  <c r="DA20" i="2"/>
  <c r="DA39" i="2"/>
  <c r="DA10" i="2"/>
  <c r="DA29" i="2"/>
  <c r="DA14" i="2"/>
  <c r="DA42" i="2"/>
  <c r="DA22" i="2"/>
  <c r="DA31" i="2"/>
  <c r="DA27" i="2"/>
  <c r="DA12" i="2"/>
  <c r="DA49" i="2"/>
  <c r="DA32" i="2"/>
  <c r="DA19" i="2"/>
  <c r="DA40" i="2"/>
  <c r="DB17" i="2" l="1"/>
  <c r="DC17" i="2" s="1"/>
  <c r="DB36" i="2"/>
  <c r="DC36" i="2" s="1"/>
  <c r="DB32" i="2"/>
  <c r="DC32" i="2" s="1"/>
  <c r="DB13" i="2"/>
  <c r="DC13" i="2" s="1"/>
  <c r="DB38" i="2"/>
  <c r="DC38" i="2" s="1"/>
  <c r="DB19" i="2"/>
  <c r="DC19" i="2" s="1"/>
  <c r="DB39" i="2"/>
  <c r="DB9" i="2"/>
  <c r="DB45" i="2"/>
  <c r="DB34" i="2"/>
  <c r="DC34" i="2" s="1"/>
  <c r="DB53" i="2"/>
  <c r="DB10" i="2"/>
  <c r="DC10" i="2" s="1"/>
  <c r="DB43" i="2"/>
  <c r="DC43" i="2" s="1"/>
  <c r="DB27" i="2"/>
  <c r="DC27" i="2" s="1"/>
  <c r="DB50" i="2"/>
  <c r="DB35" i="2"/>
  <c r="DC35" i="2" s="1"/>
  <c r="DB22" i="2"/>
  <c r="DB21" i="2"/>
  <c r="DB23" i="2"/>
  <c r="DB40" i="2"/>
  <c r="DC40" i="2" s="1"/>
  <c r="DB49" i="2"/>
  <c r="DC49" i="2" s="1"/>
  <c r="DB16" i="2"/>
  <c r="DB6" i="2"/>
  <c r="DC6" i="2" s="1"/>
  <c r="DB52" i="2"/>
  <c r="DC52" i="2" s="1"/>
  <c r="DB42" i="2"/>
  <c r="DC42" i="2" s="1"/>
  <c r="DB44" i="2"/>
  <c r="DB25" i="2"/>
  <c r="DB11" i="2"/>
  <c r="DB26" i="2"/>
  <c r="DB12" i="2"/>
  <c r="DC12" i="2" s="1"/>
  <c r="DB15" i="2"/>
  <c r="DC15" i="2" s="1"/>
  <c r="DB7" i="2"/>
  <c r="DC7" i="2" s="1"/>
  <c r="DB37" i="2"/>
  <c r="DB48" i="2"/>
  <c r="DB51" i="2"/>
  <c r="DB30" i="2"/>
  <c r="DB41" i="2"/>
  <c r="DB20" i="2"/>
  <c r="DC20" i="2" s="1"/>
  <c r="DB28" i="2"/>
  <c r="DB8" i="2"/>
  <c r="DC8" i="2" s="1"/>
  <c r="DB46" i="2"/>
  <c r="DB31" i="2"/>
  <c r="DB18" i="2"/>
  <c r="DC18" i="2" s="1"/>
  <c r="DB14" i="2"/>
  <c r="DB29" i="2"/>
  <c r="DB24" i="2"/>
  <c r="DB33" i="2"/>
  <c r="DB47" i="2"/>
  <c r="DC39" i="2" l="1"/>
  <c r="DC29" i="2"/>
  <c r="DC51" i="2"/>
  <c r="DC21" i="2"/>
  <c r="DC26" i="2"/>
  <c r="DC47" i="2"/>
  <c r="DD47" i="2" s="1"/>
  <c r="BM47" i="2" s="1"/>
  <c r="DC31" i="2"/>
  <c r="DC25" i="2"/>
  <c r="DC9" i="2"/>
  <c r="DC22" i="2"/>
  <c r="DC11" i="2"/>
  <c r="DC33" i="2"/>
  <c r="DC46" i="2"/>
  <c r="DC44" i="2"/>
  <c r="DC50" i="2"/>
  <c r="DC48" i="2"/>
  <c r="DC24" i="2"/>
  <c r="DC14" i="2"/>
  <c r="DC28" i="2"/>
  <c r="DC37" i="2"/>
  <c r="DC53" i="2"/>
  <c r="DC41" i="2"/>
  <c r="DC16" i="2"/>
  <c r="DC30" i="2"/>
  <c r="DC23" i="2"/>
  <c r="DC45" i="2"/>
  <c r="DD24" i="2" l="1"/>
  <c r="BM24" i="2" s="1"/>
  <c r="DD48" i="2"/>
  <c r="BM48" i="2" s="1"/>
  <c r="DD17" i="2"/>
  <c r="BM17" i="2" s="1"/>
  <c r="DD41" i="2"/>
  <c r="BM41" i="2" s="1"/>
  <c r="DD53" i="2"/>
  <c r="BM53" i="2" s="1"/>
  <c r="DD44" i="2"/>
  <c r="BM44" i="2" s="1"/>
  <c r="DD8" i="2"/>
  <c r="BM8" i="2" s="1"/>
  <c r="DD45" i="2"/>
  <c r="BM45" i="2" s="1"/>
  <c r="DD30" i="2"/>
  <c r="BM30" i="2" s="1"/>
  <c r="DD33" i="2"/>
  <c r="BM33" i="2" s="1"/>
  <c r="DD13" i="2"/>
  <c r="BM13" i="2" s="1"/>
  <c r="DD37" i="2"/>
  <c r="BM37" i="2" s="1"/>
  <c r="DD15" i="2"/>
  <c r="BM15" i="2" s="1"/>
  <c r="DD34" i="2"/>
  <c r="BM34" i="2" s="1"/>
  <c r="DD21" i="2"/>
  <c r="BM21" i="2" s="1"/>
  <c r="DD32" i="2"/>
  <c r="BM32" i="2" s="1"/>
  <c r="DD35" i="2"/>
  <c r="BM35" i="2" s="1"/>
  <c r="DD11" i="2"/>
  <c r="BM11" i="2" s="1"/>
  <c r="DD43" i="2"/>
  <c r="BM43" i="2" s="1"/>
  <c r="DD28" i="2"/>
  <c r="BM28" i="2" s="1"/>
  <c r="DD16" i="2"/>
  <c r="BM16" i="2" s="1"/>
  <c r="DD19" i="2"/>
  <c r="BM19" i="2" s="1"/>
  <c r="DD31" i="2"/>
  <c r="BM31" i="2" s="1"/>
  <c r="DD52" i="2"/>
  <c r="BM52" i="2" s="1"/>
  <c r="DD38" i="2"/>
  <c r="BM38" i="2" s="1"/>
  <c r="DD49" i="2"/>
  <c r="BM49" i="2" s="1"/>
  <c r="DD9" i="2"/>
  <c r="BM9" i="2" s="1"/>
  <c r="DD39" i="2"/>
  <c r="BM39" i="2" s="1"/>
  <c r="DD29" i="2"/>
  <c r="BM29" i="2" s="1"/>
  <c r="DD40" i="2"/>
  <c r="BM40" i="2" s="1"/>
  <c r="DD20" i="2"/>
  <c r="BM20" i="2" s="1"/>
  <c r="DD42" i="2"/>
  <c r="BM42" i="2" s="1"/>
  <c r="DD14" i="2"/>
  <c r="BM14" i="2" s="1"/>
  <c r="DD6" i="2"/>
  <c r="BM6" i="2" s="1"/>
  <c r="DD25" i="2"/>
  <c r="BM25" i="2" s="1"/>
  <c r="DD22" i="2"/>
  <c r="BM22" i="2" s="1"/>
  <c r="DD50" i="2"/>
  <c r="BM50" i="2" s="1"/>
  <c r="DD18" i="2"/>
  <c r="BM18" i="2" s="1"/>
  <c r="DD23" i="2"/>
  <c r="BM23" i="2" s="1"/>
  <c r="DD7" i="2"/>
  <c r="BM7" i="2" s="1"/>
  <c r="DD46" i="2"/>
  <c r="BM46" i="2" s="1"/>
  <c r="DD12" i="2"/>
  <c r="BM12" i="2" s="1"/>
  <c r="DD26" i="2"/>
  <c r="BM26" i="2" s="1"/>
  <c r="DD36" i="2"/>
  <c r="BM36" i="2" s="1"/>
  <c r="DD51" i="2"/>
  <c r="BM51" i="2" s="1"/>
  <c r="DD10" i="2"/>
  <c r="BM10" i="2" s="1"/>
  <c r="DD27" i="2"/>
  <c r="BM27" i="2" s="1"/>
  <c r="DG11" i="2"/>
  <c r="DG8" i="2"/>
  <c r="DG9" i="2"/>
  <c r="DG7" i="2"/>
  <c r="DG6" i="2"/>
  <c r="DG10" i="2"/>
  <c r="DG13" i="2"/>
  <c r="DG12" i="2"/>
  <c r="DQ8" i="2" l="1"/>
  <c r="DJ8" i="2" s="1"/>
  <c r="DQ7" i="2"/>
  <c r="DJ7" i="2" s="1"/>
  <c r="DQ6" i="2"/>
  <c r="DJ6" i="2" s="1"/>
  <c r="AV8" i="2"/>
  <c r="AV7" i="2"/>
  <c r="AV9" i="2"/>
  <c r="DQ9" i="2"/>
  <c r="DJ9" i="2" s="1"/>
  <c r="DQ10" i="2"/>
  <c r="DJ10" i="2" s="1"/>
  <c r="AV48" i="2"/>
  <c r="DQ39" i="2"/>
  <c r="DJ39" i="2" s="1"/>
  <c r="AV54" i="2"/>
  <c r="AV94" i="2"/>
  <c r="AV30" i="2"/>
  <c r="DQ13" i="2"/>
  <c r="DJ13" i="2" s="1"/>
  <c r="DQ44" i="2"/>
  <c r="DJ44" i="2" s="1"/>
  <c r="DQ33" i="2"/>
  <c r="DJ33" i="2" s="1"/>
  <c r="AV96" i="2"/>
  <c r="DQ35" i="2"/>
  <c r="DJ35" i="2" s="1"/>
  <c r="AV17" i="2"/>
  <c r="AV70" i="2"/>
  <c r="AV88" i="2"/>
  <c r="DQ27" i="2"/>
  <c r="DJ27" i="2" s="1"/>
  <c r="DQ32" i="2"/>
  <c r="DJ32" i="2" s="1"/>
  <c r="AV23" i="2"/>
  <c r="AV72" i="2"/>
  <c r="AV14" i="2"/>
  <c r="DQ53" i="2"/>
  <c r="DJ53" i="2" s="1"/>
  <c r="AV73" i="2"/>
  <c r="DQ18" i="2"/>
  <c r="DJ18" i="2" s="1"/>
  <c r="AV63" i="2"/>
  <c r="AV57" i="2"/>
  <c r="DQ48" i="2"/>
  <c r="DJ48" i="2" s="1"/>
  <c r="DQ45" i="2"/>
  <c r="DJ45" i="2" s="1"/>
  <c r="AV24" i="2"/>
  <c r="DQ14" i="2"/>
  <c r="DJ14" i="2" s="1"/>
  <c r="DQ37" i="2"/>
  <c r="DJ37" i="2" s="1"/>
  <c r="DQ51" i="2"/>
  <c r="DJ51" i="2" s="1"/>
  <c r="DQ38" i="2"/>
  <c r="DJ38" i="2" s="1"/>
  <c r="DQ15" i="2"/>
  <c r="DJ15" i="2" s="1"/>
  <c r="AV62" i="2"/>
  <c r="AV71" i="2"/>
  <c r="AV79" i="2"/>
  <c r="AV16" i="2"/>
  <c r="AV49" i="2"/>
  <c r="DQ49" i="2"/>
  <c r="DJ49" i="2" s="1"/>
  <c r="AV39" i="2"/>
  <c r="DQ42" i="2"/>
  <c r="DJ42" i="2" s="1"/>
  <c r="AV38" i="2"/>
  <c r="DQ36" i="2"/>
  <c r="DJ36" i="2" s="1"/>
  <c r="DQ50" i="2"/>
  <c r="DJ50" i="2" s="1"/>
  <c r="DQ25" i="2"/>
  <c r="DJ25" i="2" s="1"/>
  <c r="AV87" i="2"/>
  <c r="DQ16" i="2"/>
  <c r="DJ16" i="2" s="1"/>
  <c r="AV25" i="2"/>
  <c r="DQ19" i="2"/>
  <c r="DJ19" i="2" s="1"/>
  <c r="DQ40" i="2"/>
  <c r="DJ40" i="2" s="1"/>
  <c r="DQ21" i="2"/>
  <c r="DJ21" i="2" s="1"/>
  <c r="DQ20" i="2"/>
  <c r="DJ20" i="2" s="1"/>
  <c r="AV32" i="2"/>
  <c r="AV89" i="2"/>
  <c r="AV56" i="2"/>
  <c r="AV65" i="2"/>
  <c r="AV33" i="2"/>
  <c r="AV47" i="2"/>
  <c r="DQ52" i="2"/>
  <c r="DJ52" i="2" s="1"/>
  <c r="DQ31" i="2"/>
  <c r="DJ31" i="2" s="1"/>
  <c r="DQ24" i="2"/>
  <c r="DJ24" i="2" s="1"/>
  <c r="DQ28" i="2"/>
  <c r="DJ28" i="2" s="1"/>
  <c r="DQ29" i="2"/>
  <c r="DJ29" i="2" s="1"/>
  <c r="DQ26" i="2"/>
  <c r="DJ26" i="2" s="1"/>
  <c r="DQ41" i="2"/>
  <c r="DJ41" i="2" s="1"/>
  <c r="AV40" i="2"/>
  <c r="DQ47" i="2"/>
  <c r="DJ47" i="2" s="1"/>
  <c r="DQ34" i="2"/>
  <c r="DJ34" i="2" s="1"/>
  <c r="DQ17" i="2"/>
  <c r="DJ17" i="2" s="1"/>
  <c r="AV31" i="2"/>
  <c r="AV86" i="2"/>
  <c r="DQ46" i="2"/>
  <c r="DJ46" i="2" s="1"/>
  <c r="DQ23" i="2"/>
  <c r="DJ23" i="2" s="1"/>
  <c r="AV78" i="2"/>
  <c r="DQ12" i="2"/>
  <c r="DJ12" i="2" s="1"/>
  <c r="AV95" i="2"/>
  <c r="AV81" i="2"/>
  <c r="AV64" i="2"/>
  <c r="AV6" i="2"/>
  <c r="AV80" i="2"/>
  <c r="DQ30" i="2"/>
  <c r="DJ30" i="2" s="1"/>
  <c r="AV41" i="2"/>
  <c r="DQ22" i="2"/>
  <c r="DJ22" i="2" s="1"/>
  <c r="AV15" i="2"/>
  <c r="AV55" i="2"/>
  <c r="DQ11" i="2"/>
  <c r="DJ11" i="2" s="1"/>
  <c r="DQ43" i="2"/>
  <c r="DJ43" i="2" s="1"/>
  <c r="AV46" i="2"/>
  <c r="AV97" i="2"/>
  <c r="AV22" i="2"/>
  <c r="DL41" i="2" l="1"/>
  <c r="AU73" i="2" s="1"/>
  <c r="DL42" i="2"/>
  <c r="AU78" i="2" s="1"/>
  <c r="DL14" i="2"/>
  <c r="AU22" i="2" s="1"/>
  <c r="DL32" i="2"/>
  <c r="AU56" i="2" s="1"/>
  <c r="DL26" i="2"/>
  <c r="AU46" i="2" s="1"/>
  <c r="DL20" i="2"/>
  <c r="AU32" i="2" s="1"/>
  <c r="DL27" i="2"/>
  <c r="AU47" i="2" s="1"/>
  <c r="DL39" i="2"/>
  <c r="AU71" i="2" s="1"/>
  <c r="DL18" i="2"/>
  <c r="AU30" i="2" s="1"/>
  <c r="DL45" i="2"/>
  <c r="AU81" i="2" s="1"/>
  <c r="DL40" i="2"/>
  <c r="AU72" i="2" s="1"/>
  <c r="DL24" i="2"/>
  <c r="AU40" i="2" s="1"/>
  <c r="DL9" i="2"/>
  <c r="AU9" i="2" s="1"/>
  <c r="DL35" i="2"/>
  <c r="AU63" i="2" s="1"/>
  <c r="DL22" i="2"/>
  <c r="AU38" i="2" s="1"/>
  <c r="DL33" i="2"/>
  <c r="AU57" i="2" s="1"/>
  <c r="DL29" i="2"/>
  <c r="AU49" i="2" s="1"/>
  <c r="DL11" i="2"/>
  <c r="AU15" i="2" s="1"/>
  <c r="DL48" i="2"/>
  <c r="AU88" i="2" s="1"/>
  <c r="DL31" i="2"/>
  <c r="AU55" i="2" s="1"/>
  <c r="DL30" i="2"/>
  <c r="AU54" i="2" s="1"/>
  <c r="DL17" i="2"/>
  <c r="AU25" i="2" s="1"/>
  <c r="DL25" i="2"/>
  <c r="AU41" i="2" s="1"/>
  <c r="DL15" i="2"/>
  <c r="AU23" i="2" s="1"/>
  <c r="DL53" i="2"/>
  <c r="AU97" i="2" s="1"/>
  <c r="DL44" i="2"/>
  <c r="AU80" i="2" s="1"/>
  <c r="DL6" i="2"/>
  <c r="AU6" i="2" s="1"/>
  <c r="DL37" i="2"/>
  <c r="AU65" i="2" s="1"/>
  <c r="DL43" i="2"/>
  <c r="AU79" i="2" s="1"/>
  <c r="DL21" i="2"/>
  <c r="AU33" i="2" s="1"/>
  <c r="DL23" i="2"/>
  <c r="AU39" i="2" s="1"/>
  <c r="DL46" i="2"/>
  <c r="AU86" i="2" s="1"/>
  <c r="DL52" i="2"/>
  <c r="AU96" i="2" s="1"/>
  <c r="DL34" i="2"/>
  <c r="AU62" i="2" s="1"/>
  <c r="DL50" i="2"/>
  <c r="AU94" i="2" s="1"/>
  <c r="DL38" i="2"/>
  <c r="AU70" i="2" s="1"/>
  <c r="DL13" i="2"/>
  <c r="AU17" i="2" s="1"/>
  <c r="DL7" i="2"/>
  <c r="AU7" i="2" s="1"/>
  <c r="DL12" i="2"/>
  <c r="AU16" i="2" s="1"/>
  <c r="DL49" i="2"/>
  <c r="AU89" i="2" s="1"/>
  <c r="DL28" i="2"/>
  <c r="AU48" i="2" s="1"/>
  <c r="DL10" i="2"/>
  <c r="AU14" i="2" s="1"/>
  <c r="DL19" i="2"/>
  <c r="AU31" i="2" s="1"/>
  <c r="DL16" i="2"/>
  <c r="AU24" i="2" s="1"/>
  <c r="DF7" i="2"/>
  <c r="DF9" i="2"/>
  <c r="DF8" i="2"/>
  <c r="DF6" i="2"/>
  <c r="DL47" i="2"/>
  <c r="AU87" i="2" s="1"/>
  <c r="DL36" i="2"/>
  <c r="AU64" i="2" s="1"/>
  <c r="DL51" i="2"/>
  <c r="AU95" i="2" s="1"/>
  <c r="DL8" i="2"/>
  <c r="AU8" i="2" s="1"/>
  <c r="DG22" i="2"/>
  <c r="DG21" i="2"/>
  <c r="DG51" i="2"/>
  <c r="DG36" i="2"/>
  <c r="DG41" i="2"/>
  <c r="DG29" i="2"/>
  <c r="DG49" i="2"/>
  <c r="DG37" i="2"/>
  <c r="DG44" i="2"/>
  <c r="DG39" i="2"/>
  <c r="DG40" i="2"/>
  <c r="DG20" i="2"/>
  <c r="DG50" i="2"/>
  <c r="DG19" i="2"/>
  <c r="DG16" i="2"/>
  <c r="DG53" i="2"/>
  <c r="DG45" i="2"/>
  <c r="DG34" i="2"/>
  <c r="DG28" i="2"/>
  <c r="DG33" i="2"/>
  <c r="DG35" i="2"/>
  <c r="DG31" i="2"/>
  <c r="DG43" i="2"/>
  <c r="DG26" i="2"/>
  <c r="DG30" i="2"/>
  <c r="DG52" i="2"/>
  <c r="DG25" i="2"/>
  <c r="DG14" i="2"/>
  <c r="DG38" i="2"/>
  <c r="DG46" i="2"/>
  <c r="DG42" i="2"/>
  <c r="DG18" i="2"/>
  <c r="DG15" i="2"/>
  <c r="DG17" i="2"/>
  <c r="DG32" i="2"/>
  <c r="DN53" i="2" l="1" a="1"/>
  <c r="DN53" i="2" s="1"/>
  <c r="DN35" i="2" a="1"/>
  <c r="DN35" i="2" s="1"/>
  <c r="DN27" i="2" a="1"/>
  <c r="DN27" i="2" s="1"/>
  <c r="DN23" i="2" a="1"/>
  <c r="DN23" i="2" s="1"/>
  <c r="DN28" i="2" a="1"/>
  <c r="DN28" i="2" s="1"/>
  <c r="AU37" i="2"/>
  <c r="AV36" i="2" s="1"/>
  <c r="DM10" i="2"/>
  <c r="DN46" i="2" a="1"/>
  <c r="DN46" i="2" s="1"/>
  <c r="DM8" i="2"/>
  <c r="DM46" i="2"/>
  <c r="DM39" i="2"/>
  <c r="DN50" i="2" a="1"/>
  <c r="DN50" i="2" s="1"/>
  <c r="DM7" i="2"/>
  <c r="AU85" i="2"/>
  <c r="AV84" i="2" s="1"/>
  <c r="DM40" i="2"/>
  <c r="DM50" i="2"/>
  <c r="DN7" i="2" a="1"/>
  <c r="DN7" i="2" s="1"/>
  <c r="AU13" i="2"/>
  <c r="AV12" i="2" s="1"/>
  <c r="DM38" i="2"/>
  <c r="DM23" i="2"/>
  <c r="DM30" i="2"/>
  <c r="DN24" i="2" a="1"/>
  <c r="DN24" i="2" s="1"/>
  <c r="DN8" i="2" a="1"/>
  <c r="DN8" i="2" s="1"/>
  <c r="DN38" i="2" a="1"/>
  <c r="DN38" i="2" s="1"/>
  <c r="DN48" i="2" a="1"/>
  <c r="DN48" i="2" s="1"/>
  <c r="DN40" i="2" a="1"/>
  <c r="DN40" i="2" s="1"/>
  <c r="DN42" i="2" a="1"/>
  <c r="DN42" i="2" s="1"/>
  <c r="DM19" i="2"/>
  <c r="DN49" i="2" a="1"/>
  <c r="DN49" i="2" s="1"/>
  <c r="DM34" i="2"/>
  <c r="DN6" i="2" a="1"/>
  <c r="DN6" i="2" s="1"/>
  <c r="AU61" i="2"/>
  <c r="AV60" i="2" s="1"/>
  <c r="DN14" i="2" a="1"/>
  <c r="DN14" i="2" s="1"/>
  <c r="DM12" i="2"/>
  <c r="DM52" i="2"/>
  <c r="DM43" i="2"/>
  <c r="AU53" i="2"/>
  <c r="AV52" i="2" s="1"/>
  <c r="DN11" i="2" a="1"/>
  <c r="DN11" i="2" s="1"/>
  <c r="DN22" i="2" a="1"/>
  <c r="DN22" i="2" s="1"/>
  <c r="DM27" i="2"/>
  <c r="DM14" i="2"/>
  <c r="AU21" i="2"/>
  <c r="AV20" i="2" s="1"/>
  <c r="DM11" i="2"/>
  <c r="DM22" i="2"/>
  <c r="DM51" i="2"/>
  <c r="DN19" i="2" a="1"/>
  <c r="DN19" i="2" s="1"/>
  <c r="DN12" i="2" a="1"/>
  <c r="DN12" i="2" s="1"/>
  <c r="AU93" i="2"/>
  <c r="AV92" i="2" s="1"/>
  <c r="DN52" i="2" a="1"/>
  <c r="DN52" i="2" s="1"/>
  <c r="DN43" i="2" a="1"/>
  <c r="DN43" i="2" s="1"/>
  <c r="DM53" i="2"/>
  <c r="DN30" i="2" a="1"/>
  <c r="DN30" i="2" s="1"/>
  <c r="DM29" i="2"/>
  <c r="DM35" i="2"/>
  <c r="DN45" i="2" a="1"/>
  <c r="DN45" i="2" s="1"/>
  <c r="DM20" i="2"/>
  <c r="DM42" i="2"/>
  <c r="DN34" i="2" a="1"/>
  <c r="DN34" i="2" s="1"/>
  <c r="DN37" i="2" a="1"/>
  <c r="DN37" i="2" s="1"/>
  <c r="DM15" i="2"/>
  <c r="DN31" i="2" a="1"/>
  <c r="DN31" i="2" s="1"/>
  <c r="DM33" i="2"/>
  <c r="DN9" i="2" a="1"/>
  <c r="DN9" i="2" s="1"/>
  <c r="DN18" i="2" a="1"/>
  <c r="DN18" i="2" s="1"/>
  <c r="DM26" i="2"/>
  <c r="DN41" i="2" a="1"/>
  <c r="DN41" i="2" s="1"/>
  <c r="DM37" i="2"/>
  <c r="DN20" i="2" a="1"/>
  <c r="DN20" i="2" s="1"/>
  <c r="DM6" i="2"/>
  <c r="DN25" i="2" a="1"/>
  <c r="DN25" i="2" s="1"/>
  <c r="DM31" i="2"/>
  <c r="DN33" i="2" a="1"/>
  <c r="DN33" i="2" s="1"/>
  <c r="DM9" i="2"/>
  <c r="DM18" i="2"/>
  <c r="DN26" i="2" a="1"/>
  <c r="DN26" i="2" s="1"/>
  <c r="DM41" i="2"/>
  <c r="DN29" i="2" a="1"/>
  <c r="DN29" i="2" s="1"/>
  <c r="DM45" i="2"/>
  <c r="DN10" i="2" a="1"/>
  <c r="DN10" i="2" s="1"/>
  <c r="DN36" i="2" a="1"/>
  <c r="DN36" i="2" s="1"/>
  <c r="DF12" i="2"/>
  <c r="DM13" i="2"/>
  <c r="DM25" i="2"/>
  <c r="AU29" i="2"/>
  <c r="AV28" i="2" s="1"/>
  <c r="AU45" i="2"/>
  <c r="AV44" i="2" s="1"/>
  <c r="DM36" i="2"/>
  <c r="DM47" i="2"/>
  <c r="DN16" i="2" a="1"/>
  <c r="DN16" i="2" s="1"/>
  <c r="DM49" i="2"/>
  <c r="AU69" i="2"/>
  <c r="AV68" i="2" s="1"/>
  <c r="DM21" i="2"/>
  <c r="DN44" i="2" a="1"/>
  <c r="DN44" i="2" s="1"/>
  <c r="DM17" i="2"/>
  <c r="DM48" i="2"/>
  <c r="DM24" i="2"/>
  <c r="DN39" i="2" a="1"/>
  <c r="DN39" i="2" s="1"/>
  <c r="DM32" i="2"/>
  <c r="DN51" i="2" a="1"/>
  <c r="DN51" i="2" s="1"/>
  <c r="DN15" i="2" a="1"/>
  <c r="DN15" i="2" s="1"/>
  <c r="AU77" i="2"/>
  <c r="AV76" i="2" s="1"/>
  <c r="DM16" i="2"/>
  <c r="DM28" i="2"/>
  <c r="DN13" i="2" a="1"/>
  <c r="DN13" i="2" s="1"/>
  <c r="AU5" i="2"/>
  <c r="AV4" i="2" s="1"/>
  <c r="DN47" i="2" a="1"/>
  <c r="DN47" i="2" s="1"/>
  <c r="DN21" i="2" a="1"/>
  <c r="DN21" i="2" s="1"/>
  <c r="DM44" i="2"/>
  <c r="DN17" i="2" a="1"/>
  <c r="DN17" i="2" s="1"/>
  <c r="DN32" i="2" a="1"/>
  <c r="DN32" i="2" s="1"/>
  <c r="DF30" i="2" l="1"/>
  <c r="DF11" i="2"/>
  <c r="DF10" i="2"/>
  <c r="DF26" i="2"/>
  <c r="DF19" i="2"/>
  <c r="DF53" i="2"/>
  <c r="DF13" i="2"/>
  <c r="DF22" i="2"/>
  <c r="DF35" i="2"/>
  <c r="DF38" i="2"/>
  <c r="DF29" i="2"/>
  <c r="DF21" i="2"/>
  <c r="DF33" i="2"/>
  <c r="DF43" i="2"/>
  <c r="DF24" i="2"/>
  <c r="DF25" i="2"/>
  <c r="DF50" i="2"/>
  <c r="DF47" i="2"/>
  <c r="DF52" i="2"/>
  <c r="DF42" i="2"/>
  <c r="DF15" i="2"/>
  <c r="DF45" i="2"/>
  <c r="DF16" i="2"/>
  <c r="DF14" i="2"/>
  <c r="DF44" i="2"/>
  <c r="DF41" i="2"/>
  <c r="DF20" i="2"/>
  <c r="DF34" i="2"/>
  <c r="DF18" i="2"/>
  <c r="DF37" i="2"/>
  <c r="DF49" i="2"/>
  <c r="DF23" i="2"/>
  <c r="DF17" i="2"/>
  <c r="DF51" i="2"/>
  <c r="DF36" i="2"/>
  <c r="DF31" i="2"/>
  <c r="DF48" i="2"/>
  <c r="DF28" i="2"/>
  <c r="DF39" i="2"/>
  <c r="DF27" i="2"/>
  <c r="DG27" i="2" s="1"/>
  <c r="DF40" i="2"/>
  <c r="DF46" i="2"/>
  <c r="DF32" i="2"/>
  <c r="DG23" i="2" l="1"/>
  <c r="DG47" i="2"/>
  <c r="DG24" i="2"/>
  <c r="DH8" i="2"/>
  <c r="BN8" i="2" s="1"/>
  <c r="DH38" i="2"/>
  <c r="BN38" i="2" s="1"/>
  <c r="DH34" i="2"/>
  <c r="BN34" i="2" s="1"/>
  <c r="DH49" i="2"/>
  <c r="BN49" i="2" s="1"/>
  <c r="DH11" i="2"/>
  <c r="BN11" i="2" s="1"/>
  <c r="DH19" i="2"/>
  <c r="BN19" i="2" s="1"/>
  <c r="DH50" i="2"/>
  <c r="BN50" i="2" s="1"/>
  <c r="DH15" i="2"/>
  <c r="BN15" i="2" s="1"/>
  <c r="DH18" i="2"/>
  <c r="BN18" i="2" s="1"/>
  <c r="DH35" i="2"/>
  <c r="BN35" i="2" s="1"/>
  <c r="DH9" i="2"/>
  <c r="BN9" i="2" s="1"/>
  <c r="DH12" i="2"/>
  <c r="BN12" i="2" s="1"/>
  <c r="DH14" i="2"/>
  <c r="BN14" i="2" s="1"/>
  <c r="DH45" i="2"/>
  <c r="BN45" i="2" s="1"/>
  <c r="DH29" i="2"/>
  <c r="BN29" i="2" s="1"/>
  <c r="DH52" i="2"/>
  <c r="BN52" i="2" s="1"/>
  <c r="DH51" i="2"/>
  <c r="BN51" i="2" s="1"/>
  <c r="DH20" i="2"/>
  <c r="BN20" i="2" s="1"/>
  <c r="DH22" i="2"/>
  <c r="BN22" i="2" s="1"/>
  <c r="DH42" i="2"/>
  <c r="BN42" i="2" s="1"/>
  <c r="DH6" i="2"/>
  <c r="BN6" i="2" s="1"/>
  <c r="DH27" i="2"/>
  <c r="BN27" i="2" s="1"/>
  <c r="DH41" i="2"/>
  <c r="BN41" i="2" s="1"/>
  <c r="DH13" i="2"/>
  <c r="BN13" i="2" s="1"/>
  <c r="DH53" i="2"/>
  <c r="BN53" i="2" s="1"/>
  <c r="DH30" i="2"/>
  <c r="BN30" i="2" s="1"/>
  <c r="DH26" i="2"/>
  <c r="BN26" i="2" s="1"/>
  <c r="DH43" i="2"/>
  <c r="BN43" i="2" s="1"/>
  <c r="DH31" i="2"/>
  <c r="BN31" i="2" s="1"/>
  <c r="DH39" i="2"/>
  <c r="BN39" i="2" s="1"/>
  <c r="DH7" i="2"/>
  <c r="BN7" i="2" s="1"/>
  <c r="DH25" i="2"/>
  <c r="BN25" i="2" s="1"/>
  <c r="DH16" i="2"/>
  <c r="BN16" i="2" s="1"/>
  <c r="DH36" i="2"/>
  <c r="BN36" i="2" s="1"/>
  <c r="DH17" i="2"/>
  <c r="BN17" i="2" s="1"/>
  <c r="DH32" i="2"/>
  <c r="BN32" i="2" s="1"/>
  <c r="DH40" i="2"/>
  <c r="BN40" i="2" s="1"/>
  <c r="DH28" i="2"/>
  <c r="BN28" i="2" s="1"/>
  <c r="DH21" i="2"/>
  <c r="BN21" i="2" s="1"/>
  <c r="DH10" i="2"/>
  <c r="BN10" i="2" s="1"/>
  <c r="DH37" i="2"/>
  <c r="BN37" i="2" s="1"/>
  <c r="DH44" i="2"/>
  <c r="BN44" i="2" s="1"/>
  <c r="DH46" i="2"/>
  <c r="BN46" i="2" s="1"/>
  <c r="DH33" i="2"/>
  <c r="BN33" i="2" s="1"/>
  <c r="DG48" i="2"/>
  <c r="DH48" i="2" s="1"/>
  <c r="BN48" i="2" s="1"/>
  <c r="AL7" i="2" l="1"/>
  <c r="BK59" i="2"/>
  <c r="AL22" i="2"/>
  <c r="BK60" i="2"/>
  <c r="BH61" i="2"/>
  <c r="AL6" i="2"/>
  <c r="BH60" i="2"/>
  <c r="BG61" i="2"/>
  <c r="BI58" i="2"/>
  <c r="BI59" i="2"/>
  <c r="BI61" i="2"/>
  <c r="AL8" i="2"/>
  <c r="BH59" i="2"/>
  <c r="BG60" i="2"/>
  <c r="AL14" i="2"/>
  <c r="BK61" i="2"/>
  <c r="AL25" i="2"/>
  <c r="BJ59" i="2"/>
  <c r="BL59" i="2" s="1"/>
  <c r="AL9" i="2"/>
  <c r="BD59" i="2"/>
  <c r="BJ60" i="2"/>
  <c r="BG58" i="2"/>
  <c r="AL38" i="2"/>
  <c r="AL33" i="2"/>
  <c r="AL24" i="2"/>
  <c r="AL32" i="2"/>
  <c r="BJ61" i="2"/>
  <c r="BK58" i="2"/>
  <c r="AL15" i="2"/>
  <c r="BD58" i="2"/>
  <c r="AL17" i="2"/>
  <c r="AL31" i="2"/>
  <c r="BD61" i="2"/>
  <c r="AL16" i="2"/>
  <c r="AL23" i="2"/>
  <c r="BJ58" i="2"/>
  <c r="BL58" i="2" s="1"/>
  <c r="BG59" i="2"/>
  <c r="BD60" i="2"/>
  <c r="BI60" i="2"/>
  <c r="AL30" i="2"/>
  <c r="BH58" i="2"/>
  <c r="DH24" i="2"/>
  <c r="BN24" i="2" s="1"/>
  <c r="DH47" i="2"/>
  <c r="BN47" i="2" s="1"/>
  <c r="DH23" i="2"/>
  <c r="BN23" i="2" s="1"/>
  <c r="BI64" i="2" l="1"/>
  <c r="AL65" i="2"/>
  <c r="BL61" i="2"/>
  <c r="BK65" i="2"/>
  <c r="AL73" i="2"/>
  <c r="AL47" i="2"/>
  <c r="AL72" i="2"/>
  <c r="BJ67" i="2"/>
  <c r="BK69" i="2"/>
  <c r="M109" i="2"/>
  <c r="AA110" i="2" s="1"/>
  <c r="AM30" i="2"/>
  <c r="I28" i="4" s="1"/>
  <c r="AQ30" i="2"/>
  <c r="AO30" i="2"/>
  <c r="AT30" i="2"/>
  <c r="J28" i="4" s="1"/>
  <c r="AS30" i="2"/>
  <c r="AN30" i="2"/>
  <c r="AP30" i="2"/>
  <c r="H28" i="4"/>
  <c r="AR30" i="2"/>
  <c r="K28" i="4" s="1"/>
  <c r="BG65" i="2"/>
  <c r="AP32" i="2"/>
  <c r="H30" i="4"/>
  <c r="AS32" i="2"/>
  <c r="AR32" i="2"/>
  <c r="AO32" i="2"/>
  <c r="AQ32" i="2"/>
  <c r="AM32" i="2"/>
  <c r="I30" i="4" s="1"/>
  <c r="AT32" i="2"/>
  <c r="J30" i="4" s="1"/>
  <c r="AN32" i="2"/>
  <c r="BL60" i="2"/>
  <c r="AL79" i="2"/>
  <c r="BD63" i="2"/>
  <c r="BG68" i="2"/>
  <c r="BJ64" i="2"/>
  <c r="BJ68" i="2"/>
  <c r="BD68" i="2"/>
  <c r="BG63" i="2"/>
  <c r="F445" i="6"/>
  <c r="F160" i="6"/>
  <c r="I286" i="6"/>
  <c r="I273" i="6"/>
  <c r="F117" i="6"/>
  <c r="F361" i="6"/>
  <c r="F68" i="6"/>
  <c r="F432" i="6"/>
  <c r="F148" i="6"/>
  <c r="F150" i="6"/>
  <c r="H145" i="6"/>
  <c r="F442" i="6"/>
  <c r="F43" i="6"/>
  <c r="F452" i="6"/>
  <c r="F24" i="6"/>
  <c r="H474" i="6"/>
  <c r="F196" i="6"/>
  <c r="F329" i="6"/>
  <c r="F356" i="6"/>
  <c r="H476" i="6"/>
  <c r="H450" i="6"/>
  <c r="F492" i="6"/>
  <c r="F63" i="6"/>
  <c r="F67" i="6"/>
  <c r="I459" i="6"/>
  <c r="H428" i="6"/>
  <c r="F319" i="6"/>
  <c r="F58" i="6"/>
  <c r="I489" i="6"/>
  <c r="H116" i="6"/>
  <c r="F493" i="6"/>
  <c r="I491" i="6"/>
  <c r="F39" i="6"/>
  <c r="F268" i="6"/>
  <c r="F79" i="6"/>
  <c r="F341" i="6"/>
  <c r="F44" i="6"/>
  <c r="F325" i="6"/>
  <c r="H475" i="6"/>
  <c r="F42" i="6"/>
  <c r="F453" i="6"/>
  <c r="F3" i="6"/>
  <c r="F175" i="6"/>
  <c r="F122" i="6"/>
  <c r="H113" i="6"/>
  <c r="F74" i="6"/>
  <c r="F9" i="6"/>
  <c r="F202" i="6"/>
  <c r="F162" i="6"/>
  <c r="F154" i="6"/>
  <c r="F118" i="6"/>
  <c r="F35" i="6"/>
  <c r="F179" i="6"/>
  <c r="F153" i="6"/>
  <c r="F350" i="6"/>
  <c r="F119" i="6"/>
  <c r="F487" i="6"/>
  <c r="H138" i="6"/>
  <c r="I460" i="6"/>
  <c r="F152" i="6"/>
  <c r="H259" i="6"/>
  <c r="F367" i="6"/>
  <c r="F164" i="6"/>
  <c r="F484" i="6"/>
  <c r="F189" i="6"/>
  <c r="F482" i="6"/>
  <c r="F270" i="6"/>
  <c r="F351" i="6"/>
  <c r="H437" i="6"/>
  <c r="F281" i="6"/>
  <c r="F343" i="6"/>
  <c r="H471" i="6"/>
  <c r="I165" i="6"/>
  <c r="H431" i="6"/>
  <c r="H429" i="6"/>
  <c r="H430" i="6"/>
  <c r="F188" i="6"/>
  <c r="H132" i="6"/>
  <c r="F368" i="6"/>
  <c r="F38" i="6"/>
  <c r="F359" i="6"/>
  <c r="H137" i="6"/>
  <c r="F326" i="6"/>
  <c r="F78" i="6"/>
  <c r="H462" i="6"/>
  <c r="F486" i="6"/>
  <c r="F33" i="6"/>
  <c r="F364" i="6"/>
  <c r="F6" i="6"/>
  <c r="F267" i="6"/>
  <c r="F76" i="6"/>
  <c r="H235" i="6"/>
  <c r="F191" i="6"/>
  <c r="F457" i="6"/>
  <c r="F201" i="6"/>
  <c r="F362" i="6"/>
  <c r="H433" i="6"/>
  <c r="F192" i="6"/>
  <c r="H140" i="6"/>
  <c r="H262" i="6"/>
  <c r="F62" i="6"/>
  <c r="F4" i="6"/>
  <c r="F55" i="6"/>
  <c r="F32" i="6"/>
  <c r="H241" i="6"/>
  <c r="F120" i="6"/>
  <c r="F237" i="6"/>
  <c r="H146" i="6"/>
  <c r="H446" i="6"/>
  <c r="F65" i="6"/>
  <c r="I276" i="6"/>
  <c r="H111" i="6"/>
  <c r="F244" i="6"/>
  <c r="F186" i="6"/>
  <c r="H26" i="6"/>
  <c r="F180" i="6"/>
  <c r="H438" i="6"/>
  <c r="H133" i="6"/>
  <c r="F337" i="6"/>
  <c r="H258" i="6"/>
  <c r="F322" i="6"/>
  <c r="H143" i="6"/>
  <c r="F127" i="6"/>
  <c r="H271" i="6"/>
  <c r="H463" i="6"/>
  <c r="H264" i="6"/>
  <c r="F320" i="6"/>
  <c r="F198" i="6"/>
  <c r="F483" i="6"/>
  <c r="F37" i="6"/>
  <c r="F349" i="6"/>
  <c r="F485" i="6"/>
  <c r="F161" i="6"/>
  <c r="F321" i="6"/>
  <c r="F195" i="6"/>
  <c r="H274" i="6"/>
  <c r="H467" i="6"/>
  <c r="H466" i="6"/>
  <c r="F328" i="6"/>
  <c r="F348" i="6"/>
  <c r="H260" i="6"/>
  <c r="H19" i="6"/>
  <c r="I285" i="6"/>
  <c r="H115" i="6"/>
  <c r="F331" i="6"/>
  <c r="H275" i="6"/>
  <c r="F81" i="6"/>
  <c r="H236" i="6"/>
  <c r="H441" i="6"/>
  <c r="F7" i="6"/>
  <c r="F21" i="6"/>
  <c r="F184" i="6"/>
  <c r="F194" i="6"/>
  <c r="F354" i="6"/>
  <c r="H470" i="6"/>
  <c r="H238" i="6"/>
  <c r="H255" i="6"/>
  <c r="H261" i="6"/>
  <c r="F370" i="6"/>
  <c r="I451" i="6"/>
  <c r="H252" i="6"/>
  <c r="H136" i="6"/>
  <c r="F22" i="6"/>
  <c r="F358" i="6"/>
  <c r="F280" i="6"/>
  <c r="F279" i="6"/>
  <c r="F277" i="6"/>
  <c r="F56" i="6"/>
  <c r="F177" i="6"/>
  <c r="F347" i="6"/>
  <c r="H440" i="6"/>
  <c r="F369" i="6"/>
  <c r="H29" i="6"/>
  <c r="F278" i="6"/>
  <c r="F495" i="6"/>
  <c r="H28" i="6"/>
  <c r="H488" i="6"/>
  <c r="F355" i="6"/>
  <c r="F126" i="6"/>
  <c r="H480" i="6"/>
  <c r="F66" i="6"/>
  <c r="F20" i="6"/>
  <c r="F193" i="6"/>
  <c r="H342" i="6"/>
  <c r="F163" i="6"/>
  <c r="H114" i="6"/>
  <c r="H139" i="6"/>
  <c r="F455" i="6"/>
  <c r="H479" i="6"/>
  <c r="H427" i="6"/>
  <c r="F363" i="6"/>
  <c r="H231" i="6"/>
  <c r="H144" i="6"/>
  <c r="F435" i="6"/>
  <c r="H481" i="6"/>
  <c r="H263" i="6"/>
  <c r="F176" i="6"/>
  <c r="F247" i="6"/>
  <c r="H473" i="6"/>
  <c r="F338" i="6"/>
  <c r="I461" i="6"/>
  <c r="F494" i="6"/>
  <c r="H141" i="6"/>
  <c r="F166" i="6"/>
  <c r="F344" i="6"/>
  <c r="F181" i="6"/>
  <c r="F327" i="6"/>
  <c r="F243" i="6"/>
  <c r="F443" i="6"/>
  <c r="F45" i="6"/>
  <c r="H253" i="6"/>
  <c r="I490" i="6"/>
  <c r="F346" i="6"/>
  <c r="F345" i="6"/>
  <c r="F357" i="6"/>
  <c r="F434" i="6"/>
  <c r="F57" i="6"/>
  <c r="F41" i="6"/>
  <c r="F64" i="6"/>
  <c r="F155" i="6"/>
  <c r="I128" i="6"/>
  <c r="F316" i="6"/>
  <c r="F269" i="6"/>
  <c r="H257" i="6"/>
  <c r="F242" i="6"/>
  <c r="H240" i="6"/>
  <c r="F71" i="6"/>
  <c r="F185" i="6"/>
  <c r="H30" i="6"/>
  <c r="F59" i="6"/>
  <c r="H477" i="6"/>
  <c r="H439" i="6"/>
  <c r="F183" i="6"/>
  <c r="F317" i="6"/>
  <c r="I248" i="6"/>
  <c r="F366" i="6"/>
  <c r="H246" i="6"/>
  <c r="F149" i="6"/>
  <c r="F70" i="6"/>
  <c r="F10" i="6"/>
  <c r="F77" i="6"/>
  <c r="F159" i="6"/>
  <c r="F75" i="6"/>
  <c r="F339" i="6"/>
  <c r="H464" i="6"/>
  <c r="H31" i="6"/>
  <c r="F147" i="6"/>
  <c r="F323" i="6"/>
  <c r="H478" i="6"/>
  <c r="H436" i="6"/>
  <c r="F151" i="6"/>
  <c r="H142" i="6"/>
  <c r="F60" i="6"/>
  <c r="F25" i="6"/>
  <c r="F318" i="6"/>
  <c r="F129" i="6"/>
  <c r="F187" i="6"/>
  <c r="F200" i="6"/>
  <c r="H134" i="6"/>
  <c r="F82" i="6"/>
  <c r="H249" i="6"/>
  <c r="F199" i="6"/>
  <c r="H266" i="6"/>
  <c r="F121" i="6"/>
  <c r="F282" i="6"/>
  <c r="F158" i="6"/>
  <c r="F125" i="6"/>
  <c r="F130" i="6"/>
  <c r="H27" i="6"/>
  <c r="F335" i="6"/>
  <c r="F352" i="6"/>
  <c r="I448" i="6"/>
  <c r="H239" i="6"/>
  <c r="H283" i="6"/>
  <c r="F124" i="6"/>
  <c r="F8" i="6"/>
  <c r="F315" i="6"/>
  <c r="H465" i="6"/>
  <c r="F360" i="6"/>
  <c r="F34" i="6"/>
  <c r="F80" i="6"/>
  <c r="F245" i="6"/>
  <c r="I284" i="6"/>
  <c r="H265" i="6"/>
  <c r="F365" i="6"/>
  <c r="F324" i="6"/>
  <c r="F178" i="6"/>
  <c r="F353" i="6"/>
  <c r="I251" i="6"/>
  <c r="H336" i="6"/>
  <c r="F330" i="6"/>
  <c r="H135" i="6"/>
  <c r="F454" i="6"/>
  <c r="H472" i="6"/>
  <c r="F23" i="6"/>
  <c r="H233" i="6"/>
  <c r="F73" i="6"/>
  <c r="H469" i="6"/>
  <c r="F61" i="6"/>
  <c r="I496" i="6"/>
  <c r="F182" i="6"/>
  <c r="H112" i="6"/>
  <c r="F46" i="6"/>
  <c r="F333" i="6"/>
  <c r="H234" i="6"/>
  <c r="F156" i="6"/>
  <c r="F40" i="6"/>
  <c r="F190" i="6"/>
  <c r="F157" i="6"/>
  <c r="H232" i="6"/>
  <c r="F340" i="6"/>
  <c r="F123" i="6"/>
  <c r="I131" i="6"/>
  <c r="F332" i="6"/>
  <c r="F69" i="6"/>
  <c r="H272" i="6"/>
  <c r="H256" i="6"/>
  <c r="H449" i="6"/>
  <c r="F334" i="6"/>
  <c r="F197" i="6"/>
  <c r="H254" i="6"/>
  <c r="F5" i="6"/>
  <c r="F72" i="6"/>
  <c r="F447" i="6"/>
  <c r="F458" i="6"/>
  <c r="F456" i="6"/>
  <c r="F444" i="6"/>
  <c r="F36" i="6"/>
  <c r="H250" i="6"/>
  <c r="H468" i="6"/>
  <c r="BK67" i="2"/>
  <c r="AL80" i="2"/>
  <c r="H23" i="4"/>
  <c r="AR25" i="2"/>
  <c r="AO25" i="2"/>
  <c r="AT25" i="2"/>
  <c r="J23" i="4" s="1"/>
  <c r="AS25" i="2"/>
  <c r="AQ25" i="2"/>
  <c r="AP25" i="2"/>
  <c r="AM25" i="2"/>
  <c r="I23" i="4" s="1"/>
  <c r="AN25" i="2"/>
  <c r="AL56" i="2"/>
  <c r="BK66" i="2"/>
  <c r="N103" i="2"/>
  <c r="AF104" i="2" s="1"/>
  <c r="AO23" i="2"/>
  <c r="AN23" i="2"/>
  <c r="H21" i="4"/>
  <c r="AM23" i="2"/>
  <c r="I21" i="4" s="1"/>
  <c r="AT23" i="2"/>
  <c r="J21" i="4" s="1"/>
  <c r="AR23" i="2"/>
  <c r="AS23" i="2"/>
  <c r="AQ23" i="2"/>
  <c r="AP23" i="2"/>
  <c r="AS24" i="2"/>
  <c r="AR24" i="2"/>
  <c r="AQ24" i="2"/>
  <c r="AN24" i="2"/>
  <c r="AM24" i="2"/>
  <c r="I22" i="4" s="1"/>
  <c r="H22" i="4"/>
  <c r="AP24" i="2"/>
  <c r="AO24" i="2"/>
  <c r="AT24" i="2"/>
  <c r="J22" i="4" s="1"/>
  <c r="BI63" i="2"/>
  <c r="BJ69" i="2"/>
  <c r="BI65" i="2"/>
  <c r="BJ63" i="2"/>
  <c r="BD67" i="2"/>
  <c r="BD66" i="2"/>
  <c r="AM6" i="2"/>
  <c r="I4" i="4" s="1"/>
  <c r="AN6" i="2"/>
  <c r="AO6" i="2"/>
  <c r="H4" i="4"/>
  <c r="AR6" i="2"/>
  <c r="M107" i="2"/>
  <c r="AA107" i="2" s="1"/>
  <c r="AT6" i="2"/>
  <c r="J4" i="4" s="1"/>
  <c r="AS6" i="2"/>
  <c r="AQ6" i="2"/>
  <c r="AP6" i="2"/>
  <c r="AL70" i="2"/>
  <c r="BD62" i="2"/>
  <c r="AL95" i="2"/>
  <c r="M116" i="2"/>
  <c r="AA114" i="2" s="1"/>
  <c r="H29" i="4"/>
  <c r="AN31" i="2"/>
  <c r="AM31" i="2"/>
  <c r="I29" i="4" s="1"/>
  <c r="AQ31" i="2"/>
  <c r="AS31" i="2"/>
  <c r="AO31" i="2"/>
  <c r="AR31" i="2"/>
  <c r="AP31" i="2"/>
  <c r="AT31" i="2"/>
  <c r="J29" i="4" s="1"/>
  <c r="AR33" i="2"/>
  <c r="AS33" i="2"/>
  <c r="H31" i="4"/>
  <c r="AP33" i="2"/>
  <c r="AM33" i="2"/>
  <c r="I31" i="4" s="1"/>
  <c r="AT33" i="2"/>
  <c r="J31" i="4" s="1"/>
  <c r="AN33" i="2"/>
  <c r="AQ33" i="2"/>
  <c r="AO33" i="2"/>
  <c r="AL88" i="2"/>
  <c r="AL94" i="2"/>
  <c r="AL62" i="2"/>
  <c r="BK68" i="2"/>
  <c r="AL63" i="2"/>
  <c r="M104" i="2"/>
  <c r="AA102" i="2" s="1"/>
  <c r="H20" i="4"/>
  <c r="AR22" i="2"/>
  <c r="AM22" i="2"/>
  <c r="I20" i="4" s="1"/>
  <c r="AS22" i="2"/>
  <c r="AT22" i="2"/>
  <c r="J20" i="4" s="1"/>
  <c r="AN22" i="2"/>
  <c r="AO22" i="2"/>
  <c r="AP22" i="2"/>
  <c r="AQ22" i="2"/>
  <c r="C444" i="6"/>
  <c r="F210" i="6"/>
  <c r="F441" i="6"/>
  <c r="F450" i="6"/>
  <c r="F275" i="6"/>
  <c r="C39" i="6"/>
  <c r="F271" i="6"/>
  <c r="C35" i="6"/>
  <c r="F263" i="6"/>
  <c r="C23" i="6"/>
  <c r="F420" i="6"/>
  <c r="C495" i="6"/>
  <c r="F97" i="6"/>
  <c r="F284" i="6"/>
  <c r="C487" i="6"/>
  <c r="F206" i="6"/>
  <c r="F451" i="6"/>
  <c r="F165" i="6"/>
  <c r="F94" i="6"/>
  <c r="F83" i="6"/>
  <c r="F460" i="6"/>
  <c r="C493" i="6"/>
  <c r="F100" i="6"/>
  <c r="F141" i="6"/>
  <c r="C452" i="6"/>
  <c r="F215" i="6"/>
  <c r="F387" i="6"/>
  <c r="C159" i="6"/>
  <c r="F422" i="6"/>
  <c r="C281" i="6"/>
  <c r="F418" i="6"/>
  <c r="F395" i="6"/>
  <c r="F211" i="6"/>
  <c r="C38" i="6"/>
  <c r="F376" i="6"/>
  <c r="F27" i="6"/>
  <c r="F430" i="6"/>
  <c r="F19" i="6"/>
  <c r="F232" i="6"/>
  <c r="F477" i="6"/>
  <c r="F18" i="6"/>
  <c r="F212" i="6"/>
  <c r="F465" i="6"/>
  <c r="C492" i="6"/>
  <c r="F103" i="6"/>
  <c r="F255" i="6"/>
  <c r="F429" i="6"/>
  <c r="C162" i="6"/>
  <c r="F272" i="6"/>
  <c r="F98" i="6"/>
  <c r="C127" i="6"/>
  <c r="F448" i="6"/>
  <c r="F107" i="6"/>
  <c r="F273" i="6"/>
  <c r="F93" i="6"/>
  <c r="C279" i="6"/>
  <c r="C456" i="6"/>
  <c r="F462" i="6"/>
  <c r="F428" i="6"/>
  <c r="C45" i="6"/>
  <c r="F378" i="6"/>
  <c r="F205" i="6"/>
  <c r="C153" i="6"/>
  <c r="F375" i="6"/>
  <c r="F258" i="6"/>
  <c r="F28" i="6"/>
  <c r="F476" i="6"/>
  <c r="F409" i="6"/>
  <c r="F26" i="6"/>
  <c r="F471" i="6"/>
  <c r="F407" i="6"/>
  <c r="C117" i="6"/>
  <c r="F388" i="6"/>
  <c r="C482" i="6"/>
  <c r="C24" i="6"/>
  <c r="F393" i="6"/>
  <c r="C455" i="6"/>
  <c r="C166" i="6"/>
  <c r="F238" i="6"/>
  <c r="C277" i="6"/>
  <c r="C458" i="6"/>
  <c r="C268" i="6"/>
  <c r="C44" i="6"/>
  <c r="C125" i="6"/>
  <c r="F438" i="6"/>
  <c r="F222" i="6"/>
  <c r="C454" i="6"/>
  <c r="C247" i="6"/>
  <c r="F135" i="6"/>
  <c r="C161" i="6"/>
  <c r="F252" i="6"/>
  <c r="H392" i="6"/>
  <c r="F466" i="6"/>
  <c r="C483" i="6"/>
  <c r="C25" i="6"/>
  <c r="F132" i="6"/>
  <c r="F383" i="6"/>
  <c r="F241" i="6"/>
  <c r="F12" i="6"/>
  <c r="F111" i="6"/>
  <c r="C237" i="6"/>
  <c r="F254" i="6"/>
  <c r="F397" i="6"/>
  <c r="F413" i="6"/>
  <c r="C46" i="6"/>
  <c r="C149" i="6"/>
  <c r="F436" i="6"/>
  <c r="F261" i="6"/>
  <c r="F219" i="6"/>
  <c r="F214" i="6"/>
  <c r="C163" i="6"/>
  <c r="C243" i="6"/>
  <c r="F399" i="6"/>
  <c r="C434" i="6"/>
  <c r="F104" i="6"/>
  <c r="F133" i="6"/>
  <c r="F373" i="6"/>
  <c r="F134" i="6"/>
  <c r="C123" i="6"/>
  <c r="C42" i="6"/>
  <c r="F108" i="6"/>
  <c r="F209" i="6"/>
  <c r="C242" i="6"/>
  <c r="F470" i="6"/>
  <c r="F390" i="6"/>
  <c r="C37" i="6"/>
  <c r="C282" i="6"/>
  <c r="F139" i="6"/>
  <c r="F240" i="6"/>
  <c r="F459" i="6"/>
  <c r="C148" i="6"/>
  <c r="C494" i="6"/>
  <c r="F405" i="6"/>
  <c r="F386" i="6"/>
  <c r="F246" i="6"/>
  <c r="C36" i="6"/>
  <c r="F264" i="6"/>
  <c r="F496" i="6"/>
  <c r="F137" i="6"/>
  <c r="F488" i="6"/>
  <c r="F115" i="6"/>
  <c r="F380" i="6"/>
  <c r="F424" i="6"/>
  <c r="F128" i="6"/>
  <c r="F478" i="6"/>
  <c r="F11" i="6"/>
  <c r="F256" i="6"/>
  <c r="F31" i="6"/>
  <c r="C118" i="6"/>
  <c r="F84" i="6"/>
  <c r="C244" i="6"/>
  <c r="F479" i="6"/>
  <c r="C154" i="6"/>
  <c r="F437" i="6"/>
  <c r="F412" i="6"/>
  <c r="F425" i="6"/>
  <c r="F105" i="6"/>
  <c r="C121" i="6"/>
  <c r="H398" i="6"/>
  <c r="F396" i="6"/>
  <c r="F371" i="6"/>
  <c r="F491" i="6"/>
  <c r="F394" i="6"/>
  <c r="C33" i="6"/>
  <c r="F402" i="6"/>
  <c r="C157" i="6"/>
  <c r="F283" i="6"/>
  <c r="C130" i="6"/>
  <c r="C124" i="6"/>
  <c r="F449" i="6"/>
  <c r="F417" i="6"/>
  <c r="F86" i="6"/>
  <c r="F400" i="6"/>
  <c r="C385" i="6"/>
  <c r="F374" i="6"/>
  <c r="C151" i="6"/>
  <c r="F13" i="6"/>
  <c r="F227" i="6"/>
  <c r="F474" i="6"/>
  <c r="F446" i="6"/>
  <c r="F221" i="6"/>
  <c r="F379" i="6"/>
  <c r="C484" i="6"/>
  <c r="F85" i="6"/>
  <c r="C164" i="6"/>
  <c r="F389" i="6"/>
  <c r="F391" i="6"/>
  <c r="F216" i="6"/>
  <c r="F257" i="6"/>
  <c r="F469" i="6"/>
  <c r="F208" i="6"/>
  <c r="F236" i="6"/>
  <c r="C447" i="6"/>
  <c r="C269" i="6"/>
  <c r="C270" i="6"/>
  <c r="C43" i="6"/>
  <c r="C278" i="6"/>
  <c r="F475" i="6"/>
  <c r="F228" i="6"/>
  <c r="F224" i="6"/>
  <c r="F274" i="6"/>
  <c r="F113" i="6"/>
  <c r="F415" i="6"/>
  <c r="C280" i="6"/>
  <c r="C20" i="6"/>
  <c r="F285" i="6"/>
  <c r="C457" i="6"/>
  <c r="C245" i="6"/>
  <c r="F15" i="6"/>
  <c r="C156" i="6"/>
  <c r="F431" i="6"/>
  <c r="F427" i="6"/>
  <c r="F233" i="6"/>
  <c r="F217" i="6"/>
  <c r="F87" i="6"/>
  <c r="F30" i="6"/>
  <c r="F231" i="6"/>
  <c r="F234" i="6"/>
  <c r="F16" i="6"/>
  <c r="C32" i="6"/>
  <c r="F260" i="6"/>
  <c r="F131" i="6"/>
  <c r="F421" i="6"/>
  <c r="F92" i="6"/>
  <c r="F414" i="6"/>
  <c r="F381" i="6"/>
  <c r="C160" i="6"/>
  <c r="F410" i="6"/>
  <c r="F433" i="6"/>
  <c r="F372" i="6"/>
  <c r="F463" i="6"/>
  <c r="F96" i="6"/>
  <c r="F403" i="6"/>
  <c r="F401" i="6"/>
  <c r="F116" i="6"/>
  <c r="F439" i="6"/>
  <c r="F426" i="6"/>
  <c r="F468" i="6"/>
  <c r="C435" i="6"/>
  <c r="F265" i="6"/>
  <c r="F204" i="6"/>
  <c r="F440" i="6"/>
  <c r="F490" i="6"/>
  <c r="F143" i="6"/>
  <c r="C443" i="6"/>
  <c r="F144" i="6"/>
  <c r="C442" i="6"/>
  <c r="F416" i="6"/>
  <c r="C382" i="6"/>
  <c r="F226" i="6"/>
  <c r="F259" i="6"/>
  <c r="F251" i="6"/>
  <c r="C21" i="6"/>
  <c r="F239" i="6"/>
  <c r="F266" i="6"/>
  <c r="C453" i="6"/>
  <c r="F253" i="6"/>
  <c r="C158" i="6"/>
  <c r="F106" i="6"/>
  <c r="C384" i="6"/>
  <c r="F89" i="6"/>
  <c r="C122" i="6"/>
  <c r="F408" i="6"/>
  <c r="F112" i="6"/>
  <c r="F114" i="6"/>
  <c r="F146" i="6"/>
  <c r="F102" i="6"/>
  <c r="F90" i="6"/>
  <c r="F203" i="6"/>
  <c r="F489" i="6"/>
  <c r="F14" i="6"/>
  <c r="C147" i="6"/>
  <c r="C34" i="6"/>
  <c r="F145" i="6"/>
  <c r="F218" i="6"/>
  <c r="F99" i="6"/>
  <c r="F249" i="6"/>
  <c r="F423" i="6"/>
  <c r="F481" i="6"/>
  <c r="C152" i="6"/>
  <c r="C129" i="6"/>
  <c r="F467" i="6"/>
  <c r="F101" i="6"/>
  <c r="F250" i="6"/>
  <c r="F95" i="6"/>
  <c r="F136" i="6"/>
  <c r="F235" i="6"/>
  <c r="C41" i="6"/>
  <c r="F110" i="6"/>
  <c r="F225" i="6"/>
  <c r="F220" i="6"/>
  <c r="C22" i="6"/>
  <c r="C150" i="6"/>
  <c r="C40" i="6"/>
  <c r="F286" i="6"/>
  <c r="F404" i="6"/>
  <c r="F262" i="6"/>
  <c r="F138" i="6"/>
  <c r="F213" i="6"/>
  <c r="C267" i="6"/>
  <c r="F230" i="6"/>
  <c r="F406" i="6"/>
  <c r="C485" i="6"/>
  <c r="F88" i="6"/>
  <c r="F411" i="6"/>
  <c r="F248" i="6"/>
  <c r="F207" i="6"/>
  <c r="F473" i="6"/>
  <c r="F140" i="6"/>
  <c r="F461" i="6"/>
  <c r="F472" i="6"/>
  <c r="F464" i="6"/>
  <c r="C155" i="6"/>
  <c r="F223" i="6"/>
  <c r="F109" i="6"/>
  <c r="C486" i="6"/>
  <c r="F142" i="6"/>
  <c r="C445" i="6"/>
  <c r="F29" i="6"/>
  <c r="F17" i="6"/>
  <c r="C126" i="6"/>
  <c r="F229" i="6"/>
  <c r="C120" i="6"/>
  <c r="F419" i="6"/>
  <c r="F91" i="6"/>
  <c r="C119" i="6"/>
  <c r="F276" i="6"/>
  <c r="F377" i="6"/>
  <c r="F480" i="6"/>
  <c r="C432" i="6"/>
  <c r="AL40" i="2"/>
  <c r="BG69" i="2"/>
  <c r="AL78" i="2"/>
  <c r="BJ65" i="2"/>
  <c r="BL65" i="2" s="1"/>
  <c r="AL46" i="2"/>
  <c r="AL64" i="2"/>
  <c r="AP17" i="2"/>
  <c r="AT17" i="2"/>
  <c r="J15" i="4" s="1"/>
  <c r="AM17" i="2"/>
  <c r="I15" i="4" s="1"/>
  <c r="AS17" i="2"/>
  <c r="AR17" i="2"/>
  <c r="AQ17" i="2"/>
  <c r="AO17" i="2"/>
  <c r="AN17" i="2"/>
  <c r="H15" i="4"/>
  <c r="BD64" i="2"/>
  <c r="BH67" i="2"/>
  <c r="AN14" i="2"/>
  <c r="AQ14" i="2"/>
  <c r="AO14" i="2"/>
  <c r="AT14" i="2"/>
  <c r="J12" i="4" s="1"/>
  <c r="AM14" i="2"/>
  <c r="I12" i="4" s="1"/>
  <c r="AS14" i="2"/>
  <c r="H12" i="4"/>
  <c r="M113" i="2"/>
  <c r="AA113" i="2" s="1"/>
  <c r="AR14" i="2"/>
  <c r="AP14" i="2"/>
  <c r="AL87" i="2"/>
  <c r="BG66" i="2"/>
  <c r="BG62" i="2"/>
  <c r="BI67" i="2"/>
  <c r="G430" i="6"/>
  <c r="G196" i="6"/>
  <c r="G170" i="6"/>
  <c r="G448" i="6"/>
  <c r="G238" i="6"/>
  <c r="G407" i="6"/>
  <c r="G210" i="6"/>
  <c r="G489" i="6"/>
  <c r="G184" i="6"/>
  <c r="G245" i="6"/>
  <c r="G397" i="6"/>
  <c r="G431" i="6"/>
  <c r="G413" i="6"/>
  <c r="G325" i="6"/>
  <c r="G177" i="6"/>
  <c r="G418" i="6"/>
  <c r="G456" i="6"/>
  <c r="G173" i="6"/>
  <c r="G391" i="6"/>
  <c r="G264" i="6"/>
  <c r="G356" i="6"/>
  <c r="G364" i="6"/>
  <c r="G223" i="6"/>
  <c r="G471" i="6"/>
  <c r="G167" i="6"/>
  <c r="G261" i="6"/>
  <c r="G344" i="6"/>
  <c r="G339" i="6"/>
  <c r="G451" i="6"/>
  <c r="F168" i="6"/>
  <c r="G273" i="6"/>
  <c r="G424" i="6"/>
  <c r="G234" i="6"/>
  <c r="G429" i="6"/>
  <c r="G285" i="6"/>
  <c r="G439" i="6"/>
  <c r="G440" i="6"/>
  <c r="G314" i="6"/>
  <c r="G396" i="6"/>
  <c r="G390" i="6"/>
  <c r="G461" i="6"/>
  <c r="G326" i="6"/>
  <c r="G365" i="6"/>
  <c r="G465" i="6"/>
  <c r="G266" i="6"/>
  <c r="G460" i="6"/>
  <c r="G301" i="6"/>
  <c r="G443" i="6"/>
  <c r="G464" i="6"/>
  <c r="G186" i="6"/>
  <c r="G417" i="6"/>
  <c r="G178" i="6"/>
  <c r="G349" i="6"/>
  <c r="G253" i="6"/>
  <c r="G272" i="6"/>
  <c r="G370" i="6"/>
  <c r="F297" i="6"/>
  <c r="G482" i="6"/>
  <c r="G248" i="6"/>
  <c r="F336" i="6"/>
  <c r="G412" i="6"/>
  <c r="G423" i="6"/>
  <c r="G437" i="6"/>
  <c r="G485" i="6"/>
  <c r="G198" i="6"/>
  <c r="F298" i="6"/>
  <c r="G346" i="6"/>
  <c r="G442" i="6"/>
  <c r="G374" i="6"/>
  <c r="G318" i="6"/>
  <c r="G304" i="6"/>
  <c r="G181" i="6"/>
  <c r="G480" i="6"/>
  <c r="G335" i="6"/>
  <c r="G406" i="6"/>
  <c r="G408" i="6"/>
  <c r="G209" i="6"/>
  <c r="G280" i="6"/>
  <c r="G275" i="6"/>
  <c r="G354" i="6"/>
  <c r="G242" i="6"/>
  <c r="G411" i="6"/>
  <c r="G380" i="6"/>
  <c r="G188" i="6"/>
  <c r="G403" i="6"/>
  <c r="G206" i="6"/>
  <c r="G180" i="6"/>
  <c r="G376" i="6"/>
  <c r="G375" i="6"/>
  <c r="G229" i="6"/>
  <c r="G359" i="6"/>
  <c r="G197" i="6"/>
  <c r="G427" i="6"/>
  <c r="G371" i="6"/>
  <c r="F294" i="6"/>
  <c r="G216" i="6"/>
  <c r="G490" i="6"/>
  <c r="G190" i="6"/>
  <c r="G320" i="6"/>
  <c r="G372" i="6"/>
  <c r="G478" i="6"/>
  <c r="F306" i="6"/>
  <c r="G476" i="6"/>
  <c r="G250" i="6"/>
  <c r="G231" i="6"/>
  <c r="G353" i="6"/>
  <c r="G217" i="6"/>
  <c r="G416" i="6"/>
  <c r="G393" i="6"/>
  <c r="G361" i="6"/>
  <c r="G343" i="6"/>
  <c r="F287" i="6"/>
  <c r="G218" i="6"/>
  <c r="G360" i="6"/>
  <c r="G203" i="6"/>
  <c r="G386" i="6"/>
  <c r="G385" i="6"/>
  <c r="G191" i="6"/>
  <c r="G334" i="6"/>
  <c r="G189" i="6"/>
  <c r="G230" i="6"/>
  <c r="G414" i="6"/>
  <c r="G377" i="6"/>
  <c r="G292" i="6"/>
  <c r="G404" i="6"/>
  <c r="G315" i="6"/>
  <c r="G432" i="6"/>
  <c r="G195" i="6"/>
  <c r="G472" i="6"/>
  <c r="G224" i="6"/>
  <c r="F291" i="6"/>
  <c r="G282" i="6"/>
  <c r="G308" i="6"/>
  <c r="G193" i="6"/>
  <c r="G268" i="6"/>
  <c r="G239" i="6"/>
  <c r="G341" i="6"/>
  <c r="G221" i="6"/>
  <c r="G331" i="6"/>
  <c r="G171" i="6"/>
  <c r="G243" i="6"/>
  <c r="G381" i="6"/>
  <c r="G244" i="6"/>
  <c r="G447" i="6"/>
  <c r="G278" i="6"/>
  <c r="G420" i="6"/>
  <c r="G466" i="6"/>
  <c r="G269" i="6"/>
  <c r="G369" i="6"/>
  <c r="G345" i="6"/>
  <c r="G459" i="6"/>
  <c r="G328" i="6"/>
  <c r="G484" i="6"/>
  <c r="G348" i="6"/>
  <c r="G235" i="6"/>
  <c r="G387" i="6"/>
  <c r="G187" i="6"/>
  <c r="G382" i="6"/>
  <c r="G212" i="6"/>
  <c r="G302" i="6"/>
  <c r="G363" i="6"/>
  <c r="F398" i="6"/>
  <c r="G183" i="6"/>
  <c r="G433" i="6"/>
  <c r="G310" i="6"/>
  <c r="G247" i="6"/>
  <c r="G262" i="6"/>
  <c r="G215" i="6"/>
  <c r="G199" i="6"/>
  <c r="G446" i="6"/>
  <c r="G257" i="6"/>
  <c r="G317" i="6"/>
  <c r="G389" i="6"/>
  <c r="G260" i="6"/>
  <c r="G340" i="6"/>
  <c r="G329" i="6"/>
  <c r="G491" i="6"/>
  <c r="G251" i="6"/>
  <c r="G254" i="6"/>
  <c r="G226" i="6"/>
  <c r="G222" i="6"/>
  <c r="G194" i="6"/>
  <c r="G182" i="6"/>
  <c r="G438" i="6"/>
  <c r="G277" i="6"/>
  <c r="G169" i="6"/>
  <c r="G409" i="6"/>
  <c r="G481" i="6"/>
  <c r="G255" i="6"/>
  <c r="G469" i="6"/>
  <c r="G256" i="6"/>
  <c r="G293" i="6"/>
  <c r="G313" i="6"/>
  <c r="G347" i="6"/>
  <c r="G202" i="6"/>
  <c r="G283" i="6"/>
  <c r="G458" i="6"/>
  <c r="G422" i="6"/>
  <c r="G434" i="6"/>
  <c r="G270" i="6"/>
  <c r="G219" i="6"/>
  <c r="G207" i="6"/>
  <c r="G454" i="6"/>
  <c r="G289" i="6"/>
  <c r="G185" i="6"/>
  <c r="G213" i="6"/>
  <c r="G259" i="6"/>
  <c r="G281" i="6"/>
  <c r="G307" i="6"/>
  <c r="G246" i="6"/>
  <c r="G479" i="6"/>
  <c r="G425" i="6"/>
  <c r="G455" i="6"/>
  <c r="G327" i="6"/>
  <c r="G271" i="6"/>
  <c r="G201" i="6"/>
  <c r="G378" i="6"/>
  <c r="G311" i="6"/>
  <c r="G211" i="6"/>
  <c r="G474" i="6"/>
  <c r="G445" i="6"/>
  <c r="G462" i="6"/>
  <c r="G176" i="6"/>
  <c r="G366" i="6"/>
  <c r="F300" i="6"/>
  <c r="G373" i="6"/>
  <c r="G468" i="6"/>
  <c r="G208" i="6"/>
  <c r="G426" i="6"/>
  <c r="G421" i="6"/>
  <c r="G486" i="6"/>
  <c r="G179" i="6"/>
  <c r="G419" i="6"/>
  <c r="G290" i="6"/>
  <c r="G220" i="6"/>
  <c r="G338" i="6"/>
  <c r="G267" i="6"/>
  <c r="G410" i="6"/>
  <c r="G284" i="6"/>
  <c r="G435" i="6"/>
  <c r="G174" i="6"/>
  <c r="G453" i="6"/>
  <c r="G303" i="6"/>
  <c r="G237" i="6"/>
  <c r="G323" i="6"/>
  <c r="G172" i="6"/>
  <c r="G358" i="6"/>
  <c r="G240" i="6"/>
  <c r="G415" i="6"/>
  <c r="G488" i="6"/>
  <c r="G402" i="6"/>
  <c r="G276" i="6"/>
  <c r="G204" i="6"/>
  <c r="G279" i="6"/>
  <c r="F342" i="6"/>
  <c r="G337" i="6"/>
  <c r="G368" i="6"/>
  <c r="G227" i="6"/>
  <c r="G477" i="6"/>
  <c r="G444" i="6"/>
  <c r="G473" i="6"/>
  <c r="G228" i="6"/>
  <c r="F296" i="6"/>
  <c r="G258" i="6"/>
  <c r="G493" i="6"/>
  <c r="G355" i="6"/>
  <c r="G384" i="6"/>
  <c r="F295" i="6"/>
  <c r="G495" i="6"/>
  <c r="G236" i="6"/>
  <c r="G350" i="6"/>
  <c r="G463" i="6"/>
  <c r="G319" i="6"/>
  <c r="G475" i="6"/>
  <c r="G249" i="6"/>
  <c r="G367" i="6"/>
  <c r="G436" i="6"/>
  <c r="G401" i="6"/>
  <c r="G452" i="6"/>
  <c r="G309" i="6"/>
  <c r="G362" i="6"/>
  <c r="G428" i="6"/>
  <c r="G312" i="6"/>
  <c r="G316" i="6"/>
  <c r="F299" i="6"/>
  <c r="G357" i="6"/>
  <c r="G494" i="6"/>
  <c r="G400" i="6"/>
  <c r="G252" i="6"/>
  <c r="G225" i="6"/>
  <c r="G332" i="6"/>
  <c r="G496" i="6"/>
  <c r="G232" i="6"/>
  <c r="F392" i="6"/>
  <c r="G265" i="6"/>
  <c r="G205" i="6"/>
  <c r="G263" i="6"/>
  <c r="G405" i="6"/>
  <c r="G274" i="6"/>
  <c r="G305" i="6"/>
  <c r="G467" i="6"/>
  <c r="G192" i="6"/>
  <c r="G394" i="6"/>
  <c r="G286" i="6"/>
  <c r="G233" i="6"/>
  <c r="G321" i="6"/>
  <c r="G470" i="6"/>
  <c r="G457" i="6"/>
  <c r="G175" i="6"/>
  <c r="G241" i="6"/>
  <c r="G324" i="6"/>
  <c r="G492" i="6"/>
  <c r="G399" i="6"/>
  <c r="G322" i="6"/>
  <c r="G483" i="6"/>
  <c r="G388" i="6"/>
  <c r="G487" i="6"/>
  <c r="G441" i="6"/>
  <c r="G200" i="6"/>
  <c r="G383" i="6"/>
  <c r="G351" i="6"/>
  <c r="G449" i="6"/>
  <c r="G395" i="6"/>
  <c r="F288" i="6"/>
  <c r="G214" i="6"/>
  <c r="G352" i="6"/>
  <c r="G330" i="6"/>
  <c r="G333" i="6"/>
  <c r="G379" i="6"/>
  <c r="G450" i="6"/>
  <c r="M102" i="2"/>
  <c r="AA103" i="2" s="1"/>
  <c r="AT38" i="2"/>
  <c r="J36" i="4" s="1"/>
  <c r="AR38" i="2"/>
  <c r="AN38" i="2"/>
  <c r="AS38" i="2"/>
  <c r="H36" i="4"/>
  <c r="AM38" i="2"/>
  <c r="I36" i="4" s="1"/>
  <c r="AP38" i="2"/>
  <c r="AQ38" i="2"/>
  <c r="AO38" i="2"/>
  <c r="E401" i="6"/>
  <c r="E301" i="6"/>
  <c r="E459" i="6"/>
  <c r="E131" i="6"/>
  <c r="E305" i="6"/>
  <c r="E415" i="6"/>
  <c r="E54" i="6"/>
  <c r="E395" i="6"/>
  <c r="E94" i="6"/>
  <c r="E290" i="6"/>
  <c r="E373" i="6"/>
  <c r="E158" i="6"/>
  <c r="E143" i="6"/>
  <c r="E487" i="6"/>
  <c r="E100" i="6"/>
  <c r="E304" i="6"/>
  <c r="E489" i="6"/>
  <c r="E348" i="6"/>
  <c r="E327" i="6"/>
  <c r="E98" i="6"/>
  <c r="E313" i="6"/>
  <c r="E424" i="6"/>
  <c r="E58" i="6"/>
  <c r="E318" i="6"/>
  <c r="E432" i="6"/>
  <c r="E49" i="6"/>
  <c r="E369" i="6"/>
  <c r="E449" i="6"/>
  <c r="E112" i="6"/>
  <c r="E390" i="6"/>
  <c r="E83" i="6"/>
  <c r="E72" i="6"/>
  <c r="E139" i="6"/>
  <c r="E488" i="6"/>
  <c r="E151" i="6"/>
  <c r="E450" i="6"/>
  <c r="E317" i="6"/>
  <c r="E347" i="6"/>
  <c r="E52" i="6"/>
  <c r="E67" i="6"/>
  <c r="E453" i="6"/>
  <c r="F48" i="6"/>
  <c r="E431" i="6"/>
  <c r="E410" i="6"/>
  <c r="E90" i="6"/>
  <c r="E494" i="6"/>
  <c r="E474" i="6"/>
  <c r="E128" i="6"/>
  <c r="E315" i="6"/>
  <c r="E125" i="6"/>
  <c r="E103" i="6"/>
  <c r="E374" i="6"/>
  <c r="E97" i="6"/>
  <c r="E493" i="6"/>
  <c r="E476" i="6"/>
  <c r="E81" i="6"/>
  <c r="E397" i="6"/>
  <c r="E340" i="6"/>
  <c r="E382" i="6"/>
  <c r="E472" i="6"/>
  <c r="E402" i="6"/>
  <c r="E132" i="6"/>
  <c r="E345" i="6"/>
  <c r="E121" i="6"/>
  <c r="E468" i="6"/>
  <c r="E422" i="6"/>
  <c r="E109" i="6"/>
  <c r="E400" i="6"/>
  <c r="E66" i="6"/>
  <c r="E152" i="6"/>
  <c r="E425" i="6"/>
  <c r="E70" i="6"/>
  <c r="E115" i="6"/>
  <c r="E359" i="6"/>
  <c r="E482" i="6"/>
  <c r="E423" i="6"/>
  <c r="E108" i="6"/>
  <c r="E351" i="6"/>
  <c r="E106" i="6"/>
  <c r="E421" i="6"/>
  <c r="E321" i="6"/>
  <c r="E456" i="6"/>
  <c r="E93" i="6"/>
  <c r="E477" i="6"/>
  <c r="E60" i="6"/>
  <c r="E71" i="6"/>
  <c r="E329" i="6"/>
  <c r="E73" i="6"/>
  <c r="E412" i="6"/>
  <c r="E414" i="6"/>
  <c r="E416" i="6"/>
  <c r="E355" i="6"/>
  <c r="E491" i="6"/>
  <c r="E136" i="6"/>
  <c r="E444" i="6"/>
  <c r="E78" i="6"/>
  <c r="E473" i="6"/>
  <c r="E135" i="6"/>
  <c r="E69" i="6"/>
  <c r="E429" i="6"/>
  <c r="E65" i="6"/>
  <c r="E407" i="6"/>
  <c r="E105" i="6"/>
  <c r="E404" i="6"/>
  <c r="E486" i="6"/>
  <c r="E363" i="6"/>
  <c r="E442" i="6"/>
  <c r="E326" i="6"/>
  <c r="E343" i="6"/>
  <c r="E350" i="6"/>
  <c r="E63" i="6"/>
  <c r="E439" i="6"/>
  <c r="E310" i="6"/>
  <c r="E391" i="6"/>
  <c r="E406" i="6"/>
  <c r="E74" i="6"/>
  <c r="E379" i="6"/>
  <c r="E480" i="6"/>
  <c r="E141" i="6"/>
  <c r="E483" i="6"/>
  <c r="E469" i="6"/>
  <c r="E302" i="6"/>
  <c r="E349" i="6"/>
  <c r="E129" i="6"/>
  <c r="E394" i="6"/>
  <c r="E87" i="6"/>
  <c r="E324" i="6"/>
  <c r="E312" i="6"/>
  <c r="E88" i="6"/>
  <c r="E291" i="6"/>
  <c r="E82" i="6"/>
  <c r="E311" i="6"/>
  <c r="E85" i="6"/>
  <c r="E479" i="6"/>
  <c r="E441" i="6"/>
  <c r="E133" i="6"/>
  <c r="E447" i="6"/>
  <c r="E47" i="6"/>
  <c r="E156" i="6"/>
  <c r="E452" i="6"/>
  <c r="E102" i="6"/>
  <c r="E119" i="6"/>
  <c r="E368" i="6"/>
  <c r="E451" i="6"/>
  <c r="E463" i="6"/>
  <c r="E386" i="6"/>
  <c r="E57" i="6"/>
  <c r="E307" i="6"/>
  <c r="E62" i="6"/>
  <c r="E99" i="6"/>
  <c r="E385" i="6"/>
  <c r="E59" i="6"/>
  <c r="E481" i="6"/>
  <c r="E384" i="6"/>
  <c r="E478" i="6"/>
  <c r="E399" i="6"/>
  <c r="E76" i="6"/>
  <c r="E325" i="6"/>
  <c r="E50" i="6"/>
  <c r="E403" i="6"/>
  <c r="E110" i="6"/>
  <c r="E155" i="6"/>
  <c r="E362" i="6"/>
  <c r="E154" i="6"/>
  <c r="E320" i="6"/>
  <c r="E495" i="6"/>
  <c r="E293" i="6"/>
  <c r="E335" i="6"/>
  <c r="E314" i="6"/>
  <c r="E367" i="6"/>
  <c r="E413" i="6"/>
  <c r="E137" i="6"/>
  <c r="E372" i="6"/>
  <c r="E460" i="6"/>
  <c r="E346" i="6"/>
  <c r="E420" i="6"/>
  <c r="E64" i="6"/>
  <c r="E356" i="6"/>
  <c r="E380" i="6"/>
  <c r="E86" i="6"/>
  <c r="E303" i="6"/>
  <c r="E299" i="6"/>
  <c r="E75" i="6"/>
  <c r="E365" i="6"/>
  <c r="E333" i="6"/>
  <c r="E309" i="6"/>
  <c r="E427" i="6"/>
  <c r="E68" i="6"/>
  <c r="E409" i="6"/>
  <c r="E107" i="6"/>
  <c r="E352" i="6"/>
  <c r="E328" i="6"/>
  <c r="E354" i="6"/>
  <c r="E316" i="6"/>
  <c r="E484" i="6"/>
  <c r="E338" i="6"/>
  <c r="E162" i="6"/>
  <c r="E465" i="6"/>
  <c r="E126" i="6"/>
  <c r="E376" i="6"/>
  <c r="E153" i="6"/>
  <c r="E319" i="6"/>
  <c r="E297" i="6"/>
  <c r="E80" i="6"/>
  <c r="E114" i="6"/>
  <c r="E388" i="6"/>
  <c r="E455" i="6"/>
  <c r="E332" i="6"/>
  <c r="E157" i="6"/>
  <c r="E92" i="6"/>
  <c r="E323" i="6"/>
  <c r="E142" i="6"/>
  <c r="E123" i="6"/>
  <c r="E104" i="6"/>
  <c r="E111" i="6"/>
  <c r="E124" i="6"/>
  <c r="E53" i="6"/>
  <c r="E392" i="6"/>
  <c r="E55" i="6"/>
  <c r="E146" i="6"/>
  <c r="E138" i="6"/>
  <c r="E458" i="6"/>
  <c r="E381" i="6"/>
  <c r="E89" i="6"/>
  <c r="E339" i="6"/>
  <c r="E434" i="6"/>
  <c r="E467" i="6"/>
  <c r="E361" i="6"/>
  <c r="E300" i="6"/>
  <c r="E298" i="6"/>
  <c r="E371" i="6"/>
  <c r="E375" i="6"/>
  <c r="E331" i="6"/>
  <c r="E56" i="6"/>
  <c r="E360" i="6"/>
  <c r="E393" i="6"/>
  <c r="E295" i="6"/>
  <c r="E91" i="6"/>
  <c r="E341" i="6"/>
  <c r="E337" i="6"/>
  <c r="E364" i="6"/>
  <c r="E95" i="6"/>
  <c r="E51" i="6"/>
  <c r="E419" i="6"/>
  <c r="E130" i="6"/>
  <c r="E296" i="6"/>
  <c r="E485" i="6"/>
  <c r="E445" i="6"/>
  <c r="E440" i="6"/>
  <c r="E396" i="6"/>
  <c r="E306" i="6"/>
  <c r="E435" i="6"/>
  <c r="E163" i="6"/>
  <c r="E160" i="6"/>
  <c r="E417" i="6"/>
  <c r="E330" i="6"/>
  <c r="E344" i="6"/>
  <c r="E322" i="6"/>
  <c r="E144" i="6"/>
  <c r="E443" i="6"/>
  <c r="E418" i="6"/>
  <c r="E140" i="6"/>
  <c r="E161" i="6"/>
  <c r="E462" i="6"/>
  <c r="E96" i="6"/>
  <c r="E366" i="6"/>
  <c r="E357" i="6"/>
  <c r="E490" i="6"/>
  <c r="E405" i="6"/>
  <c r="E353" i="6"/>
  <c r="E118" i="6"/>
  <c r="E471" i="6"/>
  <c r="E308" i="6"/>
  <c r="E496" i="6"/>
  <c r="E336" i="6"/>
  <c r="E389" i="6"/>
  <c r="E446" i="6"/>
  <c r="E79" i="6"/>
  <c r="E127" i="6"/>
  <c r="E292" i="6"/>
  <c r="E117" i="6"/>
  <c r="E437" i="6"/>
  <c r="E383" i="6"/>
  <c r="E377" i="6"/>
  <c r="E84" i="6"/>
  <c r="E448" i="6"/>
  <c r="E148" i="6"/>
  <c r="E289" i="6"/>
  <c r="E145" i="6"/>
  <c r="E378" i="6"/>
  <c r="E122" i="6"/>
  <c r="E134" i="6"/>
  <c r="E433" i="6"/>
  <c r="E426" i="6"/>
  <c r="E120" i="6"/>
  <c r="E147" i="6"/>
  <c r="E461" i="6"/>
  <c r="E408" i="6"/>
  <c r="E334" i="6"/>
  <c r="E166" i="6"/>
  <c r="E342" i="6"/>
  <c r="E113" i="6"/>
  <c r="E430" i="6"/>
  <c r="E101" i="6"/>
  <c r="E294" i="6"/>
  <c r="E428" i="6"/>
  <c r="E475" i="6"/>
  <c r="E438" i="6"/>
  <c r="E398" i="6"/>
  <c r="E150" i="6"/>
  <c r="E288" i="6"/>
  <c r="E358" i="6"/>
  <c r="E149" i="6"/>
  <c r="E454" i="6"/>
  <c r="E116" i="6"/>
  <c r="E77" i="6"/>
  <c r="E61" i="6"/>
  <c r="E457" i="6"/>
  <c r="E164" i="6"/>
  <c r="E464" i="6"/>
  <c r="E436" i="6"/>
  <c r="E492" i="6"/>
  <c r="E411" i="6"/>
  <c r="E165" i="6"/>
  <c r="E387" i="6"/>
  <c r="E470" i="6"/>
  <c r="E466" i="6"/>
  <c r="E370" i="6"/>
  <c r="E287" i="6"/>
  <c r="E159" i="6"/>
  <c r="BF60" i="2"/>
  <c r="BE60" i="2"/>
  <c r="BR60" i="2" s="1"/>
  <c r="AT8" i="2"/>
  <c r="J6" i="4" s="1"/>
  <c r="AO8" i="2"/>
  <c r="AN8" i="2"/>
  <c r="H6" i="4"/>
  <c r="AS8" i="2"/>
  <c r="AM8" i="2"/>
  <c r="I6" i="4" s="1"/>
  <c r="AP8" i="2"/>
  <c r="AQ8" i="2"/>
  <c r="AR8" i="2"/>
  <c r="AL89" i="2"/>
  <c r="BG64" i="2"/>
  <c r="BD65" i="2"/>
  <c r="BJ66" i="2"/>
  <c r="BI69" i="2"/>
  <c r="BH68" i="2"/>
  <c r="AQ9" i="2"/>
  <c r="AR9" i="2"/>
  <c r="AT9" i="2"/>
  <c r="J7" i="4" s="1"/>
  <c r="AP9" i="2"/>
  <c r="AM9" i="2"/>
  <c r="I7" i="4" s="1"/>
  <c r="AS9" i="2"/>
  <c r="H7" i="4"/>
  <c r="AN9" i="2"/>
  <c r="AO9" i="2"/>
  <c r="AL57" i="2"/>
  <c r="BH63" i="2"/>
  <c r="BI62" i="2"/>
  <c r="BG67" i="2"/>
  <c r="AL41" i="2"/>
  <c r="BH62" i="2"/>
  <c r="AT16" i="2"/>
  <c r="J14" i="4" s="1"/>
  <c r="AQ16" i="2"/>
  <c r="AR16" i="2"/>
  <c r="AS16" i="2"/>
  <c r="AM16" i="2"/>
  <c r="I14" i="4" s="1"/>
  <c r="AO16" i="2"/>
  <c r="AN16" i="2"/>
  <c r="H14" i="4"/>
  <c r="AP16" i="2"/>
  <c r="AR15" i="2"/>
  <c r="AQ15" i="2"/>
  <c r="N101" i="2"/>
  <c r="AF101" i="2" s="1"/>
  <c r="AO15" i="2"/>
  <c r="AM15" i="2"/>
  <c r="I13" i="4" s="1"/>
  <c r="H13" i="4"/>
  <c r="AS15" i="2"/>
  <c r="AT15" i="2"/>
  <c r="J13" i="4" s="1"/>
  <c r="AN15" i="2"/>
  <c r="AP15" i="2"/>
  <c r="AL81" i="2"/>
  <c r="AL86" i="2"/>
  <c r="BI66" i="2"/>
  <c r="AL96" i="2"/>
  <c r="AL49" i="2"/>
  <c r="AL54" i="2"/>
  <c r="BK63" i="2"/>
  <c r="BH65" i="2"/>
  <c r="BK62" i="2"/>
  <c r="AL71" i="2"/>
  <c r="AL39" i="2"/>
  <c r="BH69" i="2"/>
  <c r="AL48" i="2"/>
  <c r="BJ62" i="2"/>
  <c r="AL97" i="2"/>
  <c r="AL55" i="2"/>
  <c r="BE61" i="2"/>
  <c r="BR61" i="2" s="1"/>
  <c r="BF61" i="2"/>
  <c r="BD69" i="2"/>
  <c r="BI68" i="2"/>
  <c r="BF59" i="2"/>
  <c r="BE59" i="2"/>
  <c r="BR59" i="2" s="1"/>
  <c r="BH66" i="2"/>
  <c r="BF58" i="2"/>
  <c r="BE58" i="2"/>
  <c r="BR58" i="2" s="1"/>
  <c r="BH64" i="2"/>
  <c r="BK64" i="2"/>
  <c r="M101" i="2"/>
  <c r="AA101" i="2" s="1"/>
  <c r="AQ7" i="2"/>
  <c r="AR7" i="2"/>
  <c r="AP7" i="2"/>
  <c r="AO7" i="2"/>
  <c r="AM7" i="2"/>
  <c r="I5" i="4" s="1"/>
  <c r="AT7" i="2"/>
  <c r="J5" i="4" s="1"/>
  <c r="H5" i="4"/>
  <c r="AS7" i="2"/>
  <c r="AN7" i="2"/>
  <c r="BL66" i="2" l="1"/>
  <c r="K23" i="4"/>
  <c r="K20" i="4"/>
  <c r="K6" i="4"/>
  <c r="K21" i="4"/>
  <c r="K4" i="4"/>
  <c r="K15" i="4"/>
  <c r="K22" i="4"/>
  <c r="K29" i="4"/>
  <c r="AQ48" i="2"/>
  <c r="H46" i="4"/>
  <c r="AM48" i="2"/>
  <c r="I46" i="4" s="1"/>
  <c r="AR48" i="2"/>
  <c r="AT48" i="2"/>
  <c r="J46" i="4" s="1"/>
  <c r="AS48" i="2"/>
  <c r="AP48" i="2"/>
  <c r="AO48" i="2"/>
  <c r="AN48" i="2"/>
  <c r="AO97" i="2"/>
  <c r="AQ97" i="2"/>
  <c r="AM97" i="2"/>
  <c r="U47" i="4" s="1"/>
  <c r="AN97" i="2"/>
  <c r="T47" i="4"/>
  <c r="AT97" i="2"/>
  <c r="V47" i="4" s="1"/>
  <c r="AR97" i="2"/>
  <c r="AS97" i="2"/>
  <c r="AP97" i="2"/>
  <c r="BE63" i="2"/>
  <c r="BR63" i="2" s="1"/>
  <c r="BF63" i="2"/>
  <c r="N106" i="2"/>
  <c r="AF105" i="2" s="1"/>
  <c r="AS71" i="2"/>
  <c r="AM71" i="2"/>
  <c r="U21" i="4" s="1"/>
  <c r="AP71" i="2"/>
  <c r="AQ71" i="2"/>
  <c r="AR71" i="2"/>
  <c r="AO71" i="2"/>
  <c r="AT71" i="2"/>
  <c r="V21" i="4" s="1"/>
  <c r="T21" i="4"/>
  <c r="AN71" i="2"/>
  <c r="K13" i="4"/>
  <c r="BE67" i="2"/>
  <c r="BR67" i="2" s="1"/>
  <c r="BF67" i="2"/>
  <c r="BL62" i="2"/>
  <c r="M115" i="2"/>
  <c r="AA116" i="2" s="1"/>
  <c r="AO86" i="2"/>
  <c r="AQ86" i="2"/>
  <c r="AT86" i="2"/>
  <c r="V36" i="4" s="1"/>
  <c r="AN86" i="2"/>
  <c r="AS86" i="2"/>
  <c r="AR86" i="2"/>
  <c r="AM86" i="2"/>
  <c r="U36" i="4" s="1"/>
  <c r="T36" i="4"/>
  <c r="AP86" i="2"/>
  <c r="J344" i="6"/>
  <c r="J40" i="6"/>
  <c r="J388" i="6"/>
  <c r="J91" i="6"/>
  <c r="J432" i="6"/>
  <c r="J374" i="6"/>
  <c r="J28" i="6"/>
  <c r="J183" i="6"/>
  <c r="J118" i="6"/>
  <c r="J175" i="6"/>
  <c r="J112" i="6"/>
  <c r="J167" i="6"/>
  <c r="J105" i="6"/>
  <c r="J260" i="6"/>
  <c r="J65" i="6"/>
  <c r="J332" i="6"/>
  <c r="J199" i="6"/>
  <c r="J454" i="6"/>
  <c r="J382" i="6"/>
  <c r="J15" i="6"/>
  <c r="J371" i="6"/>
  <c r="J85" i="6"/>
  <c r="J376" i="6"/>
  <c r="J72" i="6"/>
  <c r="J354" i="6"/>
  <c r="J69" i="6"/>
  <c r="J373" i="6"/>
  <c r="J95" i="6"/>
  <c r="J217" i="6"/>
  <c r="J64" i="6"/>
  <c r="J336" i="6"/>
  <c r="J116" i="6"/>
  <c r="J294" i="6"/>
  <c r="J231" i="6"/>
  <c r="J317" i="6"/>
  <c r="J7" i="6"/>
  <c r="J313" i="6"/>
  <c r="J90" i="6"/>
  <c r="J157" i="6"/>
  <c r="J296" i="6"/>
  <c r="J433" i="6"/>
  <c r="J45" i="6"/>
  <c r="J394" i="6"/>
  <c r="J37" i="6"/>
  <c r="J442" i="6"/>
  <c r="J123" i="6"/>
  <c r="J327" i="6"/>
  <c r="J224" i="6"/>
  <c r="J293" i="6"/>
  <c r="J236" i="6"/>
  <c r="J169" i="6"/>
  <c r="J100" i="6"/>
  <c r="J243" i="6"/>
  <c r="J338" i="6"/>
  <c r="J23" i="6"/>
  <c r="J273" i="6"/>
  <c r="J263" i="6"/>
  <c r="J212" i="6"/>
  <c r="J20" i="6"/>
  <c r="J321" i="6"/>
  <c r="J84" i="6"/>
  <c r="J172" i="6"/>
  <c r="J355" i="6"/>
  <c r="J59" i="6"/>
  <c r="J397" i="6"/>
  <c r="J288" i="6"/>
  <c r="J237" i="6"/>
  <c r="J67" i="6"/>
  <c r="J413" i="6"/>
  <c r="J63" i="6"/>
  <c r="J385" i="6"/>
  <c r="J102" i="6"/>
  <c r="J229" i="6"/>
  <c r="J21" i="6"/>
  <c r="J267" i="6"/>
  <c r="J459" i="6"/>
  <c r="J6" i="6"/>
  <c r="J365" i="6"/>
  <c r="J79" i="6"/>
  <c r="J209" i="6"/>
  <c r="J77" i="6"/>
  <c r="J234" i="6"/>
  <c r="J493" i="6"/>
  <c r="J246" i="6"/>
  <c r="J155" i="6"/>
  <c r="J178" i="6"/>
  <c r="J401" i="6"/>
  <c r="J320" i="6"/>
  <c r="J305" i="6"/>
  <c r="J291" i="6"/>
  <c r="J185" i="6"/>
  <c r="J121" i="6"/>
  <c r="J203" i="6"/>
  <c r="J89" i="6"/>
  <c r="J265" i="6"/>
  <c r="J96" i="6"/>
  <c r="J297" i="6"/>
  <c r="J300" i="6"/>
  <c r="J177" i="6"/>
  <c r="J248" i="6"/>
  <c r="J125" i="6"/>
  <c r="J424" i="6"/>
  <c r="J284" i="6"/>
  <c r="J357" i="6"/>
  <c r="J32" i="6"/>
  <c r="J349" i="6"/>
  <c r="J52" i="6"/>
  <c r="J210" i="6"/>
  <c r="J206" i="6"/>
  <c r="J196" i="6"/>
  <c r="J25" i="6"/>
  <c r="J182" i="6"/>
  <c r="J309" i="6"/>
  <c r="J87" i="6"/>
  <c r="J241" i="6"/>
  <c r="J147" i="6"/>
  <c r="J145" i="6"/>
  <c r="J204" i="6"/>
  <c r="J213" i="6"/>
  <c r="J13" i="6"/>
  <c r="J233" i="6"/>
  <c r="J29" i="6"/>
  <c r="J299" i="6"/>
  <c r="J222" i="6"/>
  <c r="J306" i="6"/>
  <c r="J484" i="6"/>
  <c r="J311" i="6"/>
  <c r="J277" i="6"/>
  <c r="J216" i="6"/>
  <c r="J250" i="6"/>
  <c r="J254" i="6"/>
  <c r="J58" i="6"/>
  <c r="J119" i="6"/>
  <c r="J218" i="6"/>
  <c r="J41" i="6"/>
  <c r="J50" i="6"/>
  <c r="J245" i="6"/>
  <c r="J190" i="6"/>
  <c r="J189" i="6"/>
  <c r="J232" i="6"/>
  <c r="J287" i="6"/>
  <c r="J76" i="6"/>
  <c r="J181" i="6"/>
  <c r="J92" i="6"/>
  <c r="J137" i="6"/>
  <c r="J49" i="6"/>
  <c r="J275" i="6"/>
  <c r="J342" i="6"/>
  <c r="J27" i="6"/>
  <c r="J340" i="6"/>
  <c r="J68" i="6"/>
  <c r="J242" i="6"/>
  <c r="J431" i="6"/>
  <c r="J270" i="6"/>
  <c r="J81" i="6"/>
  <c r="J415" i="6"/>
  <c r="J128" i="6"/>
  <c r="J193" i="6"/>
  <c r="J61" i="6"/>
  <c r="J153" i="6"/>
  <c r="J12" i="6"/>
  <c r="J138" i="6"/>
  <c r="J383" i="6"/>
  <c r="J159" i="6"/>
  <c r="J411" i="6"/>
  <c r="J18" i="6"/>
  <c r="J323" i="6"/>
  <c r="J192" i="6"/>
  <c r="J289" i="6"/>
  <c r="J176" i="6"/>
  <c r="J325" i="6"/>
  <c r="J482" i="6"/>
  <c r="J252" i="6"/>
  <c r="J474" i="6"/>
  <c r="J398" i="6"/>
  <c r="J261" i="6"/>
  <c r="J113" i="6"/>
  <c r="J257" i="6"/>
  <c r="J318" i="6"/>
  <c r="J446" i="6"/>
  <c r="J407" i="6"/>
  <c r="J151" i="6"/>
  <c r="J396" i="6"/>
  <c r="J104" i="6"/>
  <c r="J393" i="6"/>
  <c r="J256" i="6"/>
  <c r="J400" i="6"/>
  <c r="J168" i="6"/>
  <c r="J440" i="6"/>
  <c r="J47" i="6"/>
  <c r="J70" i="6"/>
  <c r="J225" i="6"/>
  <c r="J5" i="6"/>
  <c r="J290" i="6"/>
  <c r="J445" i="6"/>
  <c r="J279" i="6"/>
  <c r="J410" i="6"/>
  <c r="J16" i="6"/>
  <c r="J205" i="6"/>
  <c r="J201" i="6"/>
  <c r="J122" i="6"/>
  <c r="J161" i="6"/>
  <c r="J408" i="6"/>
  <c r="J117" i="6"/>
  <c r="J351" i="6"/>
  <c r="J55" i="6"/>
  <c r="J301" i="6"/>
  <c r="J227" i="6"/>
  <c r="J381" i="6"/>
  <c r="J57" i="6"/>
  <c r="J133" i="6"/>
  <c r="J271" i="6"/>
  <c r="J43" i="6"/>
  <c r="J281" i="6"/>
  <c r="J211" i="6"/>
  <c r="J450" i="6"/>
  <c r="J419" i="6"/>
  <c r="J253" i="6"/>
  <c r="J295" i="6"/>
  <c r="J379" i="6"/>
  <c r="J429" i="6"/>
  <c r="J62" i="6"/>
  <c r="J489" i="6"/>
  <c r="J443" i="6"/>
  <c r="J304" i="6"/>
  <c r="J239" i="6"/>
  <c r="J130" i="6"/>
  <c r="J479" i="6"/>
  <c r="J221" i="6"/>
  <c r="J462" i="6"/>
  <c r="J470" i="6"/>
  <c r="J326" i="6"/>
  <c r="J197" i="6"/>
  <c r="J36" i="6"/>
  <c r="J392" i="6"/>
  <c r="J390" i="6"/>
  <c r="J428" i="6"/>
  <c r="J352" i="6"/>
  <c r="J73" i="6"/>
  <c r="J330" i="6"/>
  <c r="J417" i="6"/>
  <c r="J98" i="6"/>
  <c r="J74" i="6"/>
  <c r="J347" i="6"/>
  <c r="J136" i="6"/>
  <c r="J109" i="6"/>
  <c r="J363" i="6"/>
  <c r="J316" i="6"/>
  <c r="J11" i="6"/>
  <c r="J148" i="6"/>
  <c r="J134" i="6"/>
  <c r="J238" i="6"/>
  <c r="J107" i="6"/>
  <c r="J368" i="6"/>
  <c r="J486" i="6"/>
  <c r="J10" i="6"/>
  <c r="J341" i="6"/>
  <c r="J334" i="6"/>
  <c r="J171" i="6"/>
  <c r="J184" i="6"/>
  <c r="J468" i="6"/>
  <c r="J150" i="6"/>
  <c r="J101" i="6"/>
  <c r="J114" i="6"/>
  <c r="J476" i="6"/>
  <c r="J140" i="6"/>
  <c r="J268" i="6"/>
  <c r="J359" i="6"/>
  <c r="J187" i="6"/>
  <c r="J435" i="6"/>
  <c r="J421" i="6"/>
  <c r="J194" i="6"/>
  <c r="J3" i="6"/>
  <c r="J456" i="6"/>
  <c r="J337" i="6"/>
  <c r="J377" i="6"/>
  <c r="J93" i="6"/>
  <c r="J188" i="6"/>
  <c r="J345" i="6"/>
  <c r="J34" i="6"/>
  <c r="J179" i="6"/>
  <c r="J465" i="6"/>
  <c r="J48" i="6"/>
  <c r="J466" i="6"/>
  <c r="J386" i="6"/>
  <c r="J54" i="6"/>
  <c r="J33" i="6"/>
  <c r="J403" i="6"/>
  <c r="J22" i="6"/>
  <c r="J51" i="6"/>
  <c r="J31" i="6"/>
  <c r="J302" i="6"/>
  <c r="J164" i="6"/>
  <c r="J86" i="6"/>
  <c r="J472" i="6"/>
  <c r="J452" i="6"/>
  <c r="J126" i="6"/>
  <c r="J111" i="6"/>
  <c r="J361" i="6"/>
  <c r="J220" i="6"/>
  <c r="J8" i="6"/>
  <c r="J438" i="6"/>
  <c r="J170" i="6"/>
  <c r="J143" i="6"/>
  <c r="J436" i="6"/>
  <c r="J141" i="6"/>
  <c r="J372" i="6"/>
  <c r="J258" i="6"/>
  <c r="J19" i="6"/>
  <c r="J405" i="6"/>
  <c r="J38" i="6"/>
  <c r="J132" i="6"/>
  <c r="J97" i="6"/>
  <c r="J378" i="6"/>
  <c r="J463" i="6"/>
  <c r="J315" i="6"/>
  <c r="J14" i="6"/>
  <c r="J56" i="6"/>
  <c r="J308" i="6"/>
  <c r="J215" i="6"/>
  <c r="J83" i="6"/>
  <c r="J322" i="6"/>
  <c r="J174" i="6"/>
  <c r="J4" i="6"/>
  <c r="J2" i="6"/>
  <c r="J427" i="6"/>
  <c r="J448" i="6"/>
  <c r="J207" i="6"/>
  <c r="J329" i="6"/>
  <c r="J26" i="6"/>
  <c r="K30" i="4"/>
  <c r="C131" i="3"/>
  <c r="AA27" i="4"/>
  <c r="C143" i="3"/>
  <c r="AA42" i="4"/>
  <c r="C83" i="3"/>
  <c r="C82" i="3"/>
  <c r="C81" i="3"/>
  <c r="C80" i="3"/>
  <c r="BL68" i="2"/>
  <c r="N111" i="2"/>
  <c r="AF112" i="2" s="1"/>
  <c r="T45" i="4"/>
  <c r="AS95" i="2"/>
  <c r="AM95" i="2"/>
  <c r="U45" i="4" s="1"/>
  <c r="AQ95" i="2"/>
  <c r="AO95" i="2"/>
  <c r="AN95" i="2"/>
  <c r="AP95" i="2"/>
  <c r="AR95" i="2"/>
  <c r="AT95" i="2"/>
  <c r="V45" i="4" s="1"/>
  <c r="BL64" i="2"/>
  <c r="C139" i="3"/>
  <c r="AA21" i="4"/>
  <c r="C149" i="3"/>
  <c r="AA13" i="4"/>
  <c r="T30" i="4"/>
  <c r="AQ80" i="2"/>
  <c r="AN80" i="2"/>
  <c r="AP80" i="2"/>
  <c r="AM80" i="2"/>
  <c r="U30" i="4" s="1"/>
  <c r="AO80" i="2"/>
  <c r="AT80" i="2"/>
  <c r="V30" i="4" s="1"/>
  <c r="AR80" i="2"/>
  <c r="AS80" i="2"/>
  <c r="BF68" i="2"/>
  <c r="BE68" i="2"/>
  <c r="BR68" i="2" s="1"/>
  <c r="AS57" i="2"/>
  <c r="AP57" i="2"/>
  <c r="AO57" i="2"/>
  <c r="AR57" i="2"/>
  <c r="AQ57" i="2"/>
  <c r="T7" i="4"/>
  <c r="AT57" i="2"/>
  <c r="V7" i="4" s="1"/>
  <c r="AN57" i="2"/>
  <c r="AM57" i="2"/>
  <c r="U7" i="4" s="1"/>
  <c r="H354" i="6"/>
  <c r="H229" i="6"/>
  <c r="H102" i="6"/>
  <c r="H220" i="6"/>
  <c r="H109" i="6"/>
  <c r="H300" i="6"/>
  <c r="H279" i="6"/>
  <c r="C329" i="6"/>
  <c r="H10" i="6"/>
  <c r="H366" i="6"/>
  <c r="H460" i="6"/>
  <c r="H484" i="6"/>
  <c r="H154" i="6"/>
  <c r="H383" i="6"/>
  <c r="H327" i="6"/>
  <c r="H442" i="6"/>
  <c r="H461" i="6"/>
  <c r="H483" i="6"/>
  <c r="H191" i="6"/>
  <c r="H155" i="6"/>
  <c r="F51" i="6"/>
  <c r="H32" i="6"/>
  <c r="H24" i="6"/>
  <c r="H16" i="6"/>
  <c r="H8" i="6"/>
  <c r="H358" i="6"/>
  <c r="H75" i="6"/>
  <c r="F305" i="6"/>
  <c r="H333" i="6"/>
  <c r="H444" i="6"/>
  <c r="H99" i="6"/>
  <c r="H416" i="6"/>
  <c r="F170" i="6"/>
  <c r="H216" i="6"/>
  <c r="H77" i="6"/>
  <c r="H288" i="6"/>
  <c r="H247" i="6"/>
  <c r="H414" i="6"/>
  <c r="H6" i="6"/>
  <c r="H364" i="6"/>
  <c r="H243" i="6"/>
  <c r="H409" i="6"/>
  <c r="H97" i="6"/>
  <c r="H228" i="6"/>
  <c r="H370" i="6"/>
  <c r="H445" i="6"/>
  <c r="D450" i="6"/>
  <c r="F47" i="6"/>
  <c r="H21" i="6"/>
  <c r="H7" i="6"/>
  <c r="H321" i="6"/>
  <c r="H106" i="6"/>
  <c r="H74" i="6"/>
  <c r="H57" i="6"/>
  <c r="H410" i="6"/>
  <c r="H278" i="6"/>
  <c r="H280" i="6"/>
  <c r="H194" i="6"/>
  <c r="H324" i="6"/>
  <c r="E240" i="6"/>
  <c r="H147" i="6"/>
  <c r="F312" i="6"/>
  <c r="H127" i="6"/>
  <c r="H208" i="6"/>
  <c r="F52" i="6"/>
  <c r="H284" i="6"/>
  <c r="H117" i="6"/>
  <c r="H390" i="6"/>
  <c r="F293" i="6"/>
  <c r="H369" i="6"/>
  <c r="H22" i="6"/>
  <c r="H269" i="6"/>
  <c r="H192" i="6"/>
  <c r="H353" i="6"/>
  <c r="H456" i="6"/>
  <c r="D446" i="6"/>
  <c r="F310" i="6"/>
  <c r="H89" i="6"/>
  <c r="H36" i="6"/>
  <c r="H368" i="6"/>
  <c r="H195" i="6"/>
  <c r="F2" i="6"/>
  <c r="H73" i="6"/>
  <c r="H413" i="6"/>
  <c r="H334" i="6"/>
  <c r="H101" i="6"/>
  <c r="H166" i="6"/>
  <c r="D449" i="6"/>
  <c r="F53" i="6"/>
  <c r="H225" i="6"/>
  <c r="H43" i="6"/>
  <c r="H149" i="6"/>
  <c r="H196" i="6"/>
  <c r="H15" i="6"/>
  <c r="H322" i="6"/>
  <c r="H335" i="6"/>
  <c r="H206" i="6"/>
  <c r="H61" i="6"/>
  <c r="H423" i="6"/>
  <c r="H490" i="6"/>
  <c r="H58" i="6"/>
  <c r="F385" i="6"/>
  <c r="H242" i="6"/>
  <c r="H130" i="6"/>
  <c r="F311" i="6"/>
  <c r="H282" i="6"/>
  <c r="H84" i="6"/>
  <c r="H457" i="6"/>
  <c r="H14" i="6"/>
  <c r="H422" i="6"/>
  <c r="H35" i="6"/>
  <c r="H162" i="6"/>
  <c r="F172" i="6"/>
  <c r="F314" i="6"/>
  <c r="F169" i="6"/>
  <c r="H418" i="6"/>
  <c r="H158" i="6"/>
  <c r="F167" i="6"/>
  <c r="H424" i="6"/>
  <c r="H448" i="6"/>
  <c r="F54" i="6"/>
  <c r="H248" i="6"/>
  <c r="H177" i="6"/>
  <c r="H420" i="6"/>
  <c r="F304" i="6"/>
  <c r="H82" i="6"/>
  <c r="F289" i="6"/>
  <c r="H360" i="6"/>
  <c r="H9" i="6"/>
  <c r="H251" i="6"/>
  <c r="H489" i="6"/>
  <c r="H207" i="6"/>
  <c r="H148" i="6"/>
  <c r="H485" i="6"/>
  <c r="H227" i="6"/>
  <c r="F309" i="6"/>
  <c r="H3" i="6"/>
  <c r="H201" i="6"/>
  <c r="H104" i="6"/>
  <c r="H69" i="6"/>
  <c r="H268" i="6"/>
  <c r="E249" i="6"/>
  <c r="H199" i="6"/>
  <c r="H197" i="6"/>
  <c r="H482" i="6"/>
  <c r="H103" i="6"/>
  <c r="F290" i="6"/>
  <c r="H408" i="6"/>
  <c r="H494" i="6"/>
  <c r="H459" i="6"/>
  <c r="H20" i="6"/>
  <c r="H218" i="6"/>
  <c r="H332" i="6"/>
  <c r="H351" i="6"/>
  <c r="H119" i="6"/>
  <c r="H386" i="6"/>
  <c r="H491" i="6"/>
  <c r="H46" i="6"/>
  <c r="H176" i="6"/>
  <c r="H189" i="6"/>
  <c r="H367" i="6"/>
  <c r="H78" i="6"/>
  <c r="H161" i="6"/>
  <c r="H160" i="6"/>
  <c r="H377" i="6"/>
  <c r="F382" i="6"/>
  <c r="H11" i="6"/>
  <c r="H40" i="6"/>
  <c r="H163" i="6"/>
  <c r="H443" i="6"/>
  <c r="H159" i="6"/>
  <c r="H193" i="6"/>
  <c r="E271" i="6"/>
  <c r="F50" i="6"/>
  <c r="H38" i="6"/>
  <c r="H13" i="6"/>
  <c r="H417" i="6"/>
  <c r="H270" i="6"/>
  <c r="H81" i="6"/>
  <c r="H80" i="6"/>
  <c r="F308" i="6"/>
  <c r="H204" i="6"/>
  <c r="H60" i="6"/>
  <c r="H131" i="6"/>
  <c r="H190" i="6"/>
  <c r="H209" i="6"/>
  <c r="H79" i="6"/>
  <c r="H230" i="6"/>
  <c r="H281" i="6"/>
  <c r="H407" i="6"/>
  <c r="H493" i="6"/>
  <c r="H108" i="6"/>
  <c r="H447" i="6"/>
  <c r="H33" i="6"/>
  <c r="H18" i="6"/>
  <c r="H267" i="6"/>
  <c r="H156" i="6"/>
  <c r="F292" i="6"/>
  <c r="H455" i="6"/>
  <c r="H286" i="6"/>
  <c r="H5" i="6"/>
  <c r="H128" i="6"/>
  <c r="F307" i="6"/>
  <c r="H181" i="6"/>
  <c r="C326" i="6"/>
  <c r="H273" i="6"/>
  <c r="H198" i="6"/>
  <c r="H44" i="6"/>
  <c r="F171" i="6"/>
  <c r="H200" i="6"/>
  <c r="F302" i="6"/>
  <c r="H118" i="6"/>
  <c r="H221" i="6"/>
  <c r="H68" i="6"/>
  <c r="H25" i="6"/>
  <c r="H188" i="6"/>
  <c r="H107" i="6"/>
  <c r="H277" i="6"/>
  <c r="H426" i="6"/>
  <c r="H96" i="6"/>
  <c r="H223" i="6"/>
  <c r="H121" i="6"/>
  <c r="F384" i="6"/>
  <c r="F174" i="6"/>
  <c r="E241" i="6"/>
  <c r="H205" i="6"/>
  <c r="H419" i="6"/>
  <c r="F313" i="6"/>
  <c r="H71" i="6"/>
  <c r="E274" i="6"/>
  <c r="H17" i="6"/>
  <c r="H486" i="6"/>
  <c r="H152" i="6"/>
  <c r="H129" i="6"/>
  <c r="H123" i="6"/>
  <c r="H124" i="6"/>
  <c r="H357" i="6"/>
  <c r="H352" i="6"/>
  <c r="H421" i="6"/>
  <c r="H495" i="6"/>
  <c r="H359" i="6"/>
  <c r="H153" i="6"/>
  <c r="E246" i="6"/>
  <c r="H325" i="6"/>
  <c r="H34" i="6"/>
  <c r="H120" i="6"/>
  <c r="H125" i="6"/>
  <c r="H454" i="6"/>
  <c r="D239" i="6"/>
  <c r="H452" i="6"/>
  <c r="H362" i="6"/>
  <c r="H202" i="6"/>
  <c r="C328" i="6"/>
  <c r="E283" i="6"/>
  <c r="H412" i="6"/>
  <c r="H126" i="6"/>
  <c r="H105" i="6"/>
  <c r="H331" i="6"/>
  <c r="H330" i="6"/>
  <c r="H276" i="6"/>
  <c r="H388" i="6"/>
  <c r="H98" i="6"/>
  <c r="H86" i="6"/>
  <c r="H380" i="6"/>
  <c r="H88" i="6"/>
  <c r="E250" i="6"/>
  <c r="H496" i="6"/>
  <c r="D488" i="6"/>
  <c r="E272" i="6"/>
  <c r="H150" i="6"/>
  <c r="H76" i="6"/>
  <c r="H59" i="6"/>
  <c r="H453" i="6"/>
  <c r="H306" i="6"/>
  <c r="H487" i="6"/>
  <c r="H178" i="6"/>
  <c r="H224" i="6"/>
  <c r="F301" i="6"/>
  <c r="H42" i="6"/>
  <c r="H379" i="6"/>
  <c r="F49" i="6"/>
  <c r="H458" i="6"/>
  <c r="H87" i="6"/>
  <c r="H378" i="6"/>
  <c r="H389" i="6"/>
  <c r="H70" i="6"/>
  <c r="H245" i="6"/>
  <c r="H151" i="6"/>
  <c r="H391" i="6"/>
  <c r="H323" i="6"/>
  <c r="H39" i="6"/>
  <c r="H226" i="6"/>
  <c r="H45" i="6"/>
  <c r="H244" i="6"/>
  <c r="H237" i="6"/>
  <c r="H23" i="6"/>
  <c r="H41" i="6"/>
  <c r="H415" i="6"/>
  <c r="H37" i="6"/>
  <c r="H451" i="6"/>
  <c r="H157" i="6"/>
  <c r="H425" i="6"/>
  <c r="H365" i="6"/>
  <c r="H356" i="6"/>
  <c r="H100" i="6"/>
  <c r="H363" i="6"/>
  <c r="H355" i="6"/>
  <c r="H217" i="6"/>
  <c r="H122" i="6"/>
  <c r="H411" i="6"/>
  <c r="H164" i="6"/>
  <c r="H492" i="6"/>
  <c r="H85" i="6"/>
  <c r="H361" i="6"/>
  <c r="H180" i="6"/>
  <c r="E238" i="6"/>
  <c r="H179" i="6"/>
  <c r="E275" i="6"/>
  <c r="H285" i="6"/>
  <c r="H110" i="6"/>
  <c r="H222" i="6"/>
  <c r="H165" i="6"/>
  <c r="F173" i="6"/>
  <c r="F303" i="6"/>
  <c r="H381" i="6"/>
  <c r="H291" i="6"/>
  <c r="H56" i="6"/>
  <c r="H387" i="6"/>
  <c r="H219" i="6"/>
  <c r="H72" i="6"/>
  <c r="BE65" i="2"/>
  <c r="BR65" i="2" s="1"/>
  <c r="BF65" i="2"/>
  <c r="BL67" i="2"/>
  <c r="C383" i="6"/>
  <c r="J110" i="6"/>
  <c r="J444" i="6"/>
  <c r="J223" i="6"/>
  <c r="E20" i="6"/>
  <c r="I265" i="6"/>
  <c r="E183" i="6"/>
  <c r="I486" i="6"/>
  <c r="J280" i="6"/>
  <c r="C372" i="6"/>
  <c r="E4" i="6"/>
  <c r="E254" i="6"/>
  <c r="I95" i="6"/>
  <c r="J75" i="6"/>
  <c r="E179" i="6"/>
  <c r="E207" i="6"/>
  <c r="I456" i="6"/>
  <c r="E170" i="6"/>
  <c r="J88" i="6"/>
  <c r="J319" i="6"/>
  <c r="I366" i="6"/>
  <c r="I359" i="6"/>
  <c r="J370" i="6"/>
  <c r="I340" i="6"/>
  <c r="G114" i="6"/>
  <c r="I293" i="6"/>
  <c r="D134" i="6"/>
  <c r="I376" i="6"/>
  <c r="I174" i="6"/>
  <c r="I245" i="6"/>
  <c r="E12" i="6"/>
  <c r="E194" i="6"/>
  <c r="I440" i="6"/>
  <c r="D323" i="6"/>
  <c r="J485" i="6"/>
  <c r="J455" i="6"/>
  <c r="E34" i="6"/>
  <c r="G96" i="6"/>
  <c r="I10" i="6"/>
  <c r="E169" i="6"/>
  <c r="J214" i="6"/>
  <c r="E204" i="6"/>
  <c r="I410" i="6"/>
  <c r="D443" i="6"/>
  <c r="J186" i="6"/>
  <c r="G59" i="6"/>
  <c r="I477" i="6"/>
  <c r="I400" i="6"/>
  <c r="J389" i="6"/>
  <c r="I196" i="6"/>
  <c r="J35" i="6"/>
  <c r="G300" i="6"/>
  <c r="I76" i="6"/>
  <c r="I441" i="6"/>
  <c r="E172" i="6"/>
  <c r="J202" i="6"/>
  <c r="J350" i="6"/>
  <c r="I140" i="6"/>
  <c r="J328" i="6"/>
  <c r="G287" i="6"/>
  <c r="E19" i="6"/>
  <c r="J103" i="6"/>
  <c r="I72" i="6"/>
  <c r="J66" i="6"/>
  <c r="G62" i="6"/>
  <c r="E29" i="6"/>
  <c r="D70" i="6"/>
  <c r="I215" i="6"/>
  <c r="D408" i="6"/>
  <c r="J173" i="6"/>
  <c r="J461" i="6"/>
  <c r="J149" i="6"/>
  <c r="G91" i="6"/>
  <c r="I313" i="6"/>
  <c r="E3" i="6"/>
  <c r="I329" i="6"/>
  <c r="E16" i="6"/>
  <c r="J219" i="6"/>
  <c r="J108" i="6"/>
  <c r="J46" i="6"/>
  <c r="I220" i="6"/>
  <c r="E27" i="6"/>
  <c r="G148" i="6"/>
  <c r="J475" i="6"/>
  <c r="J426" i="6"/>
  <c r="G63" i="6"/>
  <c r="I100" i="6"/>
  <c r="I415" i="6"/>
  <c r="G32" i="6"/>
  <c r="E175" i="6"/>
  <c r="I385" i="6"/>
  <c r="J434" i="6"/>
  <c r="E176" i="6"/>
  <c r="J208" i="6"/>
  <c r="E11" i="6"/>
  <c r="E26" i="6"/>
  <c r="I36" i="6"/>
  <c r="J259" i="6"/>
  <c r="C232" i="6"/>
  <c r="I121" i="6"/>
  <c r="I396" i="6"/>
  <c r="J360" i="6"/>
  <c r="E252" i="6"/>
  <c r="E14" i="6"/>
  <c r="J191" i="6"/>
  <c r="I299" i="6"/>
  <c r="G117" i="6"/>
  <c r="J135" i="6"/>
  <c r="J449" i="6"/>
  <c r="J200" i="6"/>
  <c r="E234" i="6"/>
  <c r="J276" i="6"/>
  <c r="J416" i="6"/>
  <c r="J24" i="6"/>
  <c r="I150" i="6"/>
  <c r="I89" i="6"/>
  <c r="G55" i="6"/>
  <c r="J495" i="6"/>
  <c r="J399" i="6"/>
  <c r="G398" i="6"/>
  <c r="I431" i="6"/>
  <c r="E243" i="6"/>
  <c r="I421" i="6"/>
  <c r="I81" i="6"/>
  <c r="G342" i="6"/>
  <c r="J9" i="6"/>
  <c r="J406" i="6"/>
  <c r="D394" i="6"/>
  <c r="G291" i="6"/>
  <c r="J160" i="6"/>
  <c r="J292" i="6"/>
  <c r="I241" i="6"/>
  <c r="I308" i="6"/>
  <c r="E239" i="6"/>
  <c r="J251" i="6"/>
  <c r="J307" i="6"/>
  <c r="J312" i="6"/>
  <c r="I260" i="6"/>
  <c r="J303" i="6"/>
  <c r="I457" i="6"/>
  <c r="I40" i="6"/>
  <c r="I450" i="6"/>
  <c r="J44" i="6"/>
  <c r="J255" i="6"/>
  <c r="J364" i="6"/>
  <c r="J60" i="6"/>
  <c r="I270" i="6"/>
  <c r="J156" i="6"/>
  <c r="J144" i="6"/>
  <c r="I344" i="6"/>
  <c r="G295" i="6"/>
  <c r="I354" i="6"/>
  <c r="E218" i="6"/>
  <c r="C318" i="6"/>
  <c r="E216" i="6"/>
  <c r="E21" i="6"/>
  <c r="G111" i="6"/>
  <c r="E2" i="6"/>
  <c r="I422" i="6"/>
  <c r="J414" i="6"/>
  <c r="G294" i="6"/>
  <c r="I192" i="6"/>
  <c r="J487" i="6"/>
  <c r="J333" i="6"/>
  <c r="E168" i="6"/>
  <c r="J30" i="6"/>
  <c r="C371" i="6"/>
  <c r="J180" i="6"/>
  <c r="I54" i="6"/>
  <c r="J491" i="6"/>
  <c r="J249" i="6"/>
  <c r="J154" i="6"/>
  <c r="G297" i="6"/>
  <c r="E167" i="6"/>
  <c r="I31" i="6"/>
  <c r="I390" i="6"/>
  <c r="J139" i="6"/>
  <c r="I136" i="6"/>
  <c r="J274" i="6"/>
  <c r="E188" i="6"/>
  <c r="J358" i="6"/>
  <c r="D429" i="6"/>
  <c r="J195" i="6"/>
  <c r="G50" i="6"/>
  <c r="J384" i="6"/>
  <c r="I201" i="6"/>
  <c r="I145" i="6"/>
  <c r="I25" i="6"/>
  <c r="I155" i="6"/>
  <c r="I405" i="6"/>
  <c r="J166" i="6"/>
  <c r="G336" i="6"/>
  <c r="D379" i="6"/>
  <c r="J430" i="6"/>
  <c r="J464" i="6"/>
  <c r="E48" i="6"/>
  <c r="C112" i="6"/>
  <c r="I349" i="6"/>
  <c r="I224" i="6"/>
  <c r="C377" i="6"/>
  <c r="J115" i="6"/>
  <c r="G102" i="6"/>
  <c r="J409" i="6"/>
  <c r="J235" i="6"/>
  <c r="J266" i="6"/>
  <c r="J131" i="6"/>
  <c r="I435" i="6"/>
  <c r="G132" i="6"/>
  <c r="G84" i="6"/>
  <c r="C315" i="6"/>
  <c r="D302" i="6"/>
  <c r="J395" i="6"/>
  <c r="J124" i="6"/>
  <c r="C289" i="6"/>
  <c r="E258" i="6"/>
  <c r="G288" i="6"/>
  <c r="I335" i="6"/>
  <c r="I445" i="6"/>
  <c r="J17" i="6"/>
  <c r="E211" i="6"/>
  <c r="I161" i="6"/>
  <c r="I116" i="6"/>
  <c r="C205" i="6"/>
  <c r="I256" i="6"/>
  <c r="E182" i="6"/>
  <c r="C374" i="6"/>
  <c r="E213" i="6"/>
  <c r="G65" i="6"/>
  <c r="J404" i="6"/>
  <c r="J375" i="6"/>
  <c r="J353" i="6"/>
  <c r="E237" i="6"/>
  <c r="E190" i="6"/>
  <c r="J269" i="6"/>
  <c r="J339" i="6"/>
  <c r="J420" i="6"/>
  <c r="I209" i="6"/>
  <c r="J298" i="6"/>
  <c r="G83" i="6"/>
  <c r="J469" i="6"/>
  <c r="I187" i="6"/>
  <c r="I275" i="6"/>
  <c r="J240" i="6"/>
  <c r="J99" i="6"/>
  <c r="E13" i="6"/>
  <c r="C316" i="6"/>
  <c r="J451" i="6"/>
  <c r="E185" i="6"/>
  <c r="I465" i="6"/>
  <c r="E222" i="6"/>
  <c r="G123" i="6"/>
  <c r="I381" i="6"/>
  <c r="G138" i="6"/>
  <c r="I236" i="6"/>
  <c r="I130" i="6"/>
  <c r="I104" i="6"/>
  <c r="D463" i="6"/>
  <c r="J53" i="6"/>
  <c r="J348" i="6"/>
  <c r="J120" i="6"/>
  <c r="G49" i="6"/>
  <c r="D119" i="6"/>
  <c r="D98" i="6"/>
  <c r="G392" i="6"/>
  <c r="G52" i="6"/>
  <c r="C85" i="6"/>
  <c r="C321" i="6"/>
  <c r="J71" i="6"/>
  <c r="I45" i="6"/>
  <c r="J314" i="6"/>
  <c r="G306" i="6"/>
  <c r="C327" i="6"/>
  <c r="E8" i="6"/>
  <c r="J343" i="6"/>
  <c r="J439" i="6"/>
  <c r="G93" i="6"/>
  <c r="J82" i="6"/>
  <c r="I125" i="6"/>
  <c r="C57" i="6"/>
  <c r="C433" i="6"/>
  <c r="J230" i="6"/>
  <c r="J228" i="6"/>
  <c r="E210" i="6"/>
  <c r="G90" i="6"/>
  <c r="I325" i="6"/>
  <c r="G74" i="6"/>
  <c r="C427" i="6"/>
  <c r="J129" i="6"/>
  <c r="J471" i="6"/>
  <c r="J264" i="6"/>
  <c r="I229" i="6"/>
  <c r="E203" i="6"/>
  <c r="G56" i="6"/>
  <c r="I109" i="6"/>
  <c r="J39" i="6"/>
  <c r="J244" i="6"/>
  <c r="I470" i="6"/>
  <c r="J80" i="6"/>
  <c r="D338" i="6"/>
  <c r="I181" i="6"/>
  <c r="J146" i="6"/>
  <c r="J162" i="6"/>
  <c r="E23" i="6"/>
  <c r="I476" i="6"/>
  <c r="G87" i="6"/>
  <c r="E268" i="6"/>
  <c r="J380" i="6"/>
  <c r="I250" i="6"/>
  <c r="I61" i="6"/>
  <c r="G38" i="6"/>
  <c r="J282" i="6"/>
  <c r="I18" i="6"/>
  <c r="I304" i="6"/>
  <c r="I67" i="6"/>
  <c r="E231" i="6"/>
  <c r="G47" i="6"/>
  <c r="I281" i="6"/>
  <c r="E6" i="6"/>
  <c r="I320" i="6"/>
  <c r="J324" i="6"/>
  <c r="I334" i="6"/>
  <c r="I391" i="6"/>
  <c r="J94" i="6"/>
  <c r="C177" i="6"/>
  <c r="D352" i="6"/>
  <c r="J481" i="6"/>
  <c r="G68" i="6"/>
  <c r="I365" i="6"/>
  <c r="E5" i="6"/>
  <c r="J286" i="6"/>
  <c r="M103" i="2"/>
  <c r="AA104" i="2" s="1"/>
  <c r="H44" i="4"/>
  <c r="AT46" i="2"/>
  <c r="J44" i="4" s="1"/>
  <c r="AM46" i="2"/>
  <c r="I44" i="4" s="1"/>
  <c r="AN46" i="2"/>
  <c r="AR46" i="2"/>
  <c r="AQ46" i="2"/>
  <c r="AO46" i="2"/>
  <c r="AP46" i="2"/>
  <c r="AS46" i="2"/>
  <c r="M108" i="2"/>
  <c r="AA108" i="2" s="1"/>
  <c r="AR94" i="2"/>
  <c r="AQ94" i="2"/>
  <c r="AP94" i="2"/>
  <c r="AN94" i="2"/>
  <c r="AS94" i="2"/>
  <c r="T44" i="4"/>
  <c r="AM94" i="2"/>
  <c r="U44" i="4" s="1"/>
  <c r="AO94" i="2"/>
  <c r="AT94" i="2"/>
  <c r="V44" i="4" s="1"/>
  <c r="BL63" i="2"/>
  <c r="AN56" i="2"/>
  <c r="AT56" i="2"/>
  <c r="V6" i="4" s="1"/>
  <c r="AO56" i="2"/>
  <c r="T6" i="4"/>
  <c r="AM56" i="2"/>
  <c r="U6" i="4" s="1"/>
  <c r="AR56" i="2"/>
  <c r="AS56" i="2"/>
  <c r="AP56" i="2"/>
  <c r="AQ56" i="2"/>
  <c r="N112" i="2"/>
  <c r="AF111" i="2" s="1"/>
  <c r="T29" i="4"/>
  <c r="AQ79" i="2"/>
  <c r="AO79" i="2"/>
  <c r="AS79" i="2"/>
  <c r="AT79" i="2"/>
  <c r="V29" i="4" s="1"/>
  <c r="AR79" i="2"/>
  <c r="AN79" i="2"/>
  <c r="AP79" i="2"/>
  <c r="AM79" i="2"/>
  <c r="U29" i="4" s="1"/>
  <c r="AS72" i="2"/>
  <c r="AM72" i="2"/>
  <c r="U22" i="4" s="1"/>
  <c r="AP72" i="2"/>
  <c r="AT72" i="2"/>
  <c r="V22" i="4" s="1"/>
  <c r="T22" i="4"/>
  <c r="AQ72" i="2"/>
  <c r="AR72" i="2"/>
  <c r="AN72" i="2"/>
  <c r="AO72" i="2"/>
  <c r="AS81" i="2"/>
  <c r="AP81" i="2"/>
  <c r="AQ81" i="2"/>
  <c r="AO81" i="2"/>
  <c r="AN81" i="2"/>
  <c r="AT81" i="2"/>
  <c r="V31" i="4" s="1"/>
  <c r="AR81" i="2"/>
  <c r="AM81" i="2"/>
  <c r="U31" i="4" s="1"/>
  <c r="T31" i="4"/>
  <c r="M106" i="2"/>
  <c r="AA105" i="2" s="1"/>
  <c r="AR39" i="2"/>
  <c r="AS39" i="2"/>
  <c r="AM39" i="2"/>
  <c r="I37" i="4" s="1"/>
  <c r="AQ39" i="2"/>
  <c r="AO39" i="2"/>
  <c r="AN39" i="2"/>
  <c r="AT39" i="2"/>
  <c r="J37" i="4" s="1"/>
  <c r="AP39" i="2"/>
  <c r="H37" i="4"/>
  <c r="BF62" i="2"/>
  <c r="BE62" i="2"/>
  <c r="BR62" i="2" s="1"/>
  <c r="M105" i="2"/>
  <c r="AA106" i="2" s="1"/>
  <c r="AN70" i="2"/>
  <c r="AR70" i="2"/>
  <c r="T20" i="4"/>
  <c r="AS70" i="2"/>
  <c r="AO70" i="2"/>
  <c r="AM70" i="2"/>
  <c r="U20" i="4" s="1"/>
  <c r="AQ70" i="2"/>
  <c r="AT70" i="2"/>
  <c r="V20" i="4" s="1"/>
  <c r="AP70" i="2"/>
  <c r="D377" i="6"/>
  <c r="D152" i="6"/>
  <c r="D63" i="6"/>
  <c r="D272" i="6"/>
  <c r="D273" i="6"/>
  <c r="D402" i="6"/>
  <c r="D118" i="6"/>
  <c r="D373" i="6"/>
  <c r="D170" i="6"/>
  <c r="D465" i="6"/>
  <c r="G128" i="6"/>
  <c r="D189" i="6"/>
  <c r="D183" i="6"/>
  <c r="E184" i="6"/>
  <c r="D303" i="6"/>
  <c r="G85" i="6"/>
  <c r="G143" i="6"/>
  <c r="D321" i="6"/>
  <c r="D120" i="6"/>
  <c r="E171" i="6"/>
  <c r="J477" i="6"/>
  <c r="D5" i="6"/>
  <c r="E257" i="6"/>
  <c r="D191" i="6"/>
  <c r="E214" i="6"/>
  <c r="G146" i="6"/>
  <c r="E46" i="6"/>
  <c r="G86" i="6"/>
  <c r="E209" i="6"/>
  <c r="E186" i="6"/>
  <c r="E199" i="6"/>
  <c r="D311" i="6"/>
  <c r="D399" i="6"/>
  <c r="G21" i="6"/>
  <c r="D382" i="6"/>
  <c r="G106" i="6"/>
  <c r="D471" i="6"/>
  <c r="E174" i="6"/>
  <c r="D66" i="6"/>
  <c r="E224" i="6"/>
  <c r="J127" i="6"/>
  <c r="E248" i="6"/>
  <c r="E22" i="6"/>
  <c r="G37" i="6"/>
  <c r="E227" i="6"/>
  <c r="D269" i="6"/>
  <c r="D156" i="6"/>
  <c r="J473" i="6"/>
  <c r="D487" i="6"/>
  <c r="D316" i="6"/>
  <c r="D396" i="6"/>
  <c r="D413" i="6"/>
  <c r="E178" i="6"/>
  <c r="D353" i="6"/>
  <c r="J335" i="6"/>
  <c r="E30" i="6"/>
  <c r="G110" i="6"/>
  <c r="D240" i="6"/>
  <c r="D147" i="6"/>
  <c r="D451" i="6"/>
  <c r="E28" i="6"/>
  <c r="G137" i="6"/>
  <c r="D378" i="6"/>
  <c r="D12" i="6"/>
  <c r="D328" i="6"/>
  <c r="G162" i="6"/>
  <c r="E247" i="6"/>
  <c r="J387" i="6"/>
  <c r="G142" i="6"/>
  <c r="G139" i="6"/>
  <c r="D287" i="6"/>
  <c r="D430" i="6"/>
  <c r="D407" i="6"/>
  <c r="E10" i="6"/>
  <c r="E266" i="6"/>
  <c r="E285" i="6"/>
  <c r="D94" i="6"/>
  <c r="D210" i="6"/>
  <c r="D298" i="6"/>
  <c r="E181" i="6"/>
  <c r="G107" i="6"/>
  <c r="G140" i="6"/>
  <c r="I438" i="6"/>
  <c r="D64" i="6"/>
  <c r="J457" i="6"/>
  <c r="E202" i="6"/>
  <c r="D483" i="6"/>
  <c r="G78" i="6"/>
  <c r="G124" i="6"/>
  <c r="D325" i="6"/>
  <c r="D204" i="6"/>
  <c r="D133" i="6"/>
  <c r="D304" i="6"/>
  <c r="E195" i="6"/>
  <c r="D435" i="6"/>
  <c r="D484" i="6"/>
  <c r="D62" i="6"/>
  <c r="D67" i="6"/>
  <c r="D290" i="6"/>
  <c r="D310" i="6"/>
  <c r="G73" i="6"/>
  <c r="D111" i="6"/>
  <c r="D406" i="6"/>
  <c r="E263" i="6"/>
  <c r="D84" i="6"/>
  <c r="I332" i="6"/>
  <c r="D72" i="6"/>
  <c r="D256" i="6"/>
  <c r="D55" i="6"/>
  <c r="E205" i="6"/>
  <c r="D445" i="6"/>
  <c r="D428" i="6"/>
  <c r="D182" i="6"/>
  <c r="E236" i="6"/>
  <c r="D381" i="6"/>
  <c r="G79" i="6"/>
  <c r="E198" i="6"/>
  <c r="G131" i="6"/>
  <c r="D276" i="6"/>
  <c r="D319" i="6"/>
  <c r="D324" i="6"/>
  <c r="E221" i="6"/>
  <c r="E17" i="6"/>
  <c r="G60" i="6"/>
  <c r="D448" i="6"/>
  <c r="D315" i="6"/>
  <c r="D351" i="6"/>
  <c r="D267" i="6"/>
  <c r="G76" i="6"/>
  <c r="D135" i="6"/>
  <c r="D237" i="6"/>
  <c r="G159" i="6"/>
  <c r="D393" i="6"/>
  <c r="E230" i="6"/>
  <c r="D356" i="6"/>
  <c r="D169" i="6"/>
  <c r="G58" i="6"/>
  <c r="D217" i="6"/>
  <c r="I388" i="6"/>
  <c r="E31" i="6"/>
  <c r="E9" i="6"/>
  <c r="G82" i="6"/>
  <c r="G122" i="6"/>
  <c r="D468" i="6"/>
  <c r="D384" i="6"/>
  <c r="G11" i="6"/>
  <c r="J453" i="6"/>
  <c r="E279" i="6"/>
  <c r="D270" i="6"/>
  <c r="G61" i="6"/>
  <c r="D54" i="6"/>
  <c r="G14" i="6"/>
  <c r="D136" i="6"/>
  <c r="D307" i="6"/>
  <c r="J391" i="6"/>
  <c r="D299" i="6"/>
  <c r="D320" i="6"/>
  <c r="D32" i="6"/>
  <c r="D294" i="6"/>
  <c r="D403" i="6"/>
  <c r="D167" i="6"/>
  <c r="D91" i="6"/>
  <c r="J425" i="6"/>
  <c r="D490" i="6"/>
  <c r="E233" i="6"/>
  <c r="D317" i="6"/>
  <c r="G75" i="6"/>
  <c r="D99" i="6"/>
  <c r="D412" i="6"/>
  <c r="D329" i="6"/>
  <c r="E244" i="6"/>
  <c r="E177" i="6"/>
  <c r="G113" i="6"/>
  <c r="I419" i="6"/>
  <c r="D322" i="6"/>
  <c r="D238" i="6"/>
  <c r="D2" i="6"/>
  <c r="D392" i="6"/>
  <c r="D216" i="6"/>
  <c r="D100" i="6"/>
  <c r="I454" i="6"/>
  <c r="G39" i="6"/>
  <c r="G27" i="6"/>
  <c r="D354" i="6"/>
  <c r="D168" i="6"/>
  <c r="D467" i="6"/>
  <c r="D346" i="6"/>
  <c r="D36" i="6"/>
  <c r="D49" i="6"/>
  <c r="J366" i="6"/>
  <c r="J369" i="6"/>
  <c r="E245" i="6"/>
  <c r="D337" i="6"/>
  <c r="D188" i="6"/>
  <c r="G6" i="6"/>
  <c r="I474" i="6"/>
  <c r="D395" i="6"/>
  <c r="D253" i="6"/>
  <c r="D13" i="6"/>
  <c r="D444" i="6"/>
  <c r="E187" i="6"/>
  <c r="J422" i="6"/>
  <c r="D53" i="6"/>
  <c r="D92" i="6"/>
  <c r="D203" i="6"/>
  <c r="D176" i="6"/>
  <c r="G104" i="6"/>
  <c r="D400" i="6"/>
  <c r="D296" i="6"/>
  <c r="G40" i="6"/>
  <c r="D371" i="6"/>
  <c r="D357" i="6"/>
  <c r="D241" i="6"/>
  <c r="D68" i="6"/>
  <c r="D314" i="6"/>
  <c r="D150" i="6"/>
  <c r="G165" i="6"/>
  <c r="G112" i="6"/>
  <c r="E180" i="6"/>
  <c r="E196" i="6"/>
  <c r="D350" i="6"/>
  <c r="G3" i="6"/>
  <c r="G116" i="6"/>
  <c r="D409" i="6"/>
  <c r="D339" i="6"/>
  <c r="E242" i="6"/>
  <c r="D255" i="6"/>
  <c r="E251" i="6"/>
  <c r="D97" i="6"/>
  <c r="G158" i="6"/>
  <c r="D71" i="6"/>
  <c r="D47" i="6"/>
  <c r="J460" i="6"/>
  <c r="D211" i="6"/>
  <c r="J362" i="6"/>
  <c r="D300" i="6"/>
  <c r="D95" i="6"/>
  <c r="D252" i="6"/>
  <c r="D20" i="6"/>
  <c r="E260" i="6"/>
  <c r="J331" i="6"/>
  <c r="E7" i="6"/>
  <c r="D344" i="6"/>
  <c r="D340" i="6"/>
  <c r="E232" i="6"/>
  <c r="D308" i="6"/>
  <c r="D305" i="6"/>
  <c r="D341" i="6"/>
  <c r="D175" i="6"/>
  <c r="E212" i="6"/>
  <c r="D90" i="6"/>
  <c r="E42" i="6"/>
  <c r="D33" i="6"/>
  <c r="D220" i="6"/>
  <c r="D416" i="6"/>
  <c r="E215" i="6"/>
  <c r="G89" i="6"/>
  <c r="E235" i="6"/>
  <c r="D295" i="6"/>
  <c r="E262" i="6"/>
  <c r="G125" i="6"/>
  <c r="I363" i="6"/>
  <c r="J441" i="6"/>
  <c r="D149" i="6"/>
  <c r="D132" i="6"/>
  <c r="E15" i="6"/>
  <c r="D410" i="6"/>
  <c r="J494" i="6"/>
  <c r="D48" i="6"/>
  <c r="D301" i="6"/>
  <c r="D51" i="6"/>
  <c r="D397" i="6"/>
  <c r="D375" i="6"/>
  <c r="D289" i="6"/>
  <c r="D372" i="6"/>
  <c r="D26" i="6"/>
  <c r="J437" i="6"/>
  <c r="E173" i="6"/>
  <c r="D442" i="6"/>
  <c r="D326" i="6"/>
  <c r="D69" i="6"/>
  <c r="E18" i="6"/>
  <c r="E259" i="6"/>
  <c r="E25" i="6"/>
  <c r="D293" i="6"/>
  <c r="D343" i="6"/>
  <c r="D153" i="6"/>
  <c r="E208" i="6"/>
  <c r="D219" i="6"/>
  <c r="D83" i="6"/>
  <c r="D96" i="6"/>
  <c r="D464" i="6"/>
  <c r="D385" i="6"/>
  <c r="D431" i="6"/>
  <c r="D434" i="6"/>
  <c r="D56" i="6"/>
  <c r="E193" i="6"/>
  <c r="D231" i="6"/>
  <c r="J480" i="6"/>
  <c r="E206" i="6"/>
  <c r="D4" i="6"/>
  <c r="D35" i="6"/>
  <c r="D380" i="6"/>
  <c r="D360" i="6"/>
  <c r="G19" i="6"/>
  <c r="G115" i="6"/>
  <c r="D192" i="6"/>
  <c r="D376" i="6"/>
  <c r="G57" i="6"/>
  <c r="D462" i="6"/>
  <c r="D288" i="6"/>
  <c r="D117" i="6"/>
  <c r="E24" i="6"/>
  <c r="D292" i="6"/>
  <c r="G103" i="6"/>
  <c r="G88" i="6"/>
  <c r="D447" i="6"/>
  <c r="D427" i="6"/>
  <c r="E282" i="6"/>
  <c r="D336" i="6"/>
  <c r="D121" i="6"/>
  <c r="J418" i="6"/>
  <c r="D50" i="6"/>
  <c r="D347" i="6"/>
  <c r="E226" i="6"/>
  <c r="G101" i="6"/>
  <c r="E223" i="6"/>
  <c r="D432" i="6"/>
  <c r="E43" i="6"/>
  <c r="E278" i="6"/>
  <c r="AS89" i="2"/>
  <c r="AQ89" i="2"/>
  <c r="AP89" i="2"/>
  <c r="AM89" i="2"/>
  <c r="U39" i="4" s="1"/>
  <c r="AT89" i="2"/>
  <c r="V39" i="4" s="1"/>
  <c r="AO89" i="2"/>
  <c r="AR89" i="2"/>
  <c r="AN89" i="2"/>
  <c r="T39" i="4"/>
  <c r="K14" i="4"/>
  <c r="K36" i="4"/>
  <c r="M111" i="2"/>
  <c r="AA112" i="2" s="1"/>
  <c r="AR87" i="2"/>
  <c r="AP87" i="2"/>
  <c r="AQ87" i="2"/>
  <c r="AT87" i="2"/>
  <c r="V37" i="4" s="1"/>
  <c r="T37" i="4"/>
  <c r="AO87" i="2"/>
  <c r="AN87" i="2"/>
  <c r="AM87" i="2"/>
  <c r="U37" i="4" s="1"/>
  <c r="AS87" i="2"/>
  <c r="D139" i="6"/>
  <c r="D27" i="6"/>
  <c r="D215" i="6"/>
  <c r="D116" i="6"/>
  <c r="D387" i="6"/>
  <c r="D481" i="6"/>
  <c r="D230" i="6"/>
  <c r="D459" i="6"/>
  <c r="D41" i="6"/>
  <c r="D367" i="6"/>
  <c r="D38" i="6"/>
  <c r="D452" i="6"/>
  <c r="H167" i="6"/>
  <c r="H299" i="6"/>
  <c r="D42" i="6"/>
  <c r="D162" i="6"/>
  <c r="H434" i="6"/>
  <c r="D74" i="6"/>
  <c r="H435" i="6"/>
  <c r="H203" i="6"/>
  <c r="D81" i="6"/>
  <c r="H382" i="6"/>
  <c r="D200" i="6"/>
  <c r="D370" i="6"/>
  <c r="D495" i="6"/>
  <c r="D93" i="6"/>
  <c r="D419" i="6"/>
  <c r="D368" i="6"/>
  <c r="D279" i="6"/>
  <c r="D82" i="6"/>
  <c r="D184" i="6"/>
  <c r="D78" i="6"/>
  <c r="D258" i="6"/>
  <c r="D23" i="6"/>
  <c r="D44" i="6"/>
  <c r="D348" i="6"/>
  <c r="D229" i="6"/>
  <c r="D334" i="6"/>
  <c r="D404" i="6"/>
  <c r="D14" i="6"/>
  <c r="H372" i="6"/>
  <c r="H183" i="6"/>
  <c r="D8" i="6"/>
  <c r="D425" i="6"/>
  <c r="H211" i="6"/>
  <c r="D227" i="6"/>
  <c r="D224" i="6"/>
  <c r="D104" i="6"/>
  <c r="D194" i="6"/>
  <c r="D15" i="6"/>
  <c r="D124" i="6"/>
  <c r="D280" i="6"/>
  <c r="D283" i="6"/>
  <c r="D58" i="6"/>
  <c r="D172" i="6"/>
  <c r="D383" i="6"/>
  <c r="D79" i="6"/>
  <c r="D102" i="6"/>
  <c r="D333" i="6"/>
  <c r="D11" i="6"/>
  <c r="D142" i="6"/>
  <c r="D244" i="6"/>
  <c r="D401" i="6"/>
  <c r="D221" i="6"/>
  <c r="D138" i="6"/>
  <c r="D265" i="6"/>
  <c r="D441" i="6"/>
  <c r="D213" i="6"/>
  <c r="H289" i="6"/>
  <c r="D331" i="6"/>
  <c r="D88" i="6"/>
  <c r="D201" i="6"/>
  <c r="D461" i="6"/>
  <c r="D60" i="6"/>
  <c r="D164" i="6"/>
  <c r="D212" i="6"/>
  <c r="D422" i="6"/>
  <c r="H402" i="6"/>
  <c r="D141" i="6"/>
  <c r="D259" i="6"/>
  <c r="D478" i="6"/>
  <c r="D186" i="6"/>
  <c r="D144" i="6"/>
  <c r="D128" i="6"/>
  <c r="D178" i="6"/>
  <c r="H308" i="6"/>
  <c r="D390" i="6"/>
  <c r="H397" i="6"/>
  <c r="D3" i="6"/>
  <c r="D173" i="6"/>
  <c r="D261" i="6"/>
  <c r="D223" i="6"/>
  <c r="H344" i="6"/>
  <c r="D250" i="6"/>
  <c r="D426" i="6"/>
  <c r="D475" i="6"/>
  <c r="D236" i="6"/>
  <c r="H343" i="6"/>
  <c r="D391" i="6"/>
  <c r="H83" i="6"/>
  <c r="H50" i="6"/>
  <c r="D476" i="6"/>
  <c r="D369" i="6"/>
  <c r="D246" i="6"/>
  <c r="D16" i="6"/>
  <c r="D262" i="6"/>
  <c r="D106" i="6"/>
  <c r="D286" i="6"/>
  <c r="D251" i="6"/>
  <c r="D332" i="6"/>
  <c r="D180" i="6"/>
  <c r="D105" i="6"/>
  <c r="D59" i="6"/>
  <c r="D257" i="6"/>
  <c r="D342" i="6"/>
  <c r="D30" i="6"/>
  <c r="D112" i="6"/>
  <c r="D177" i="6"/>
  <c r="D438" i="6"/>
  <c r="D125" i="6"/>
  <c r="D6" i="6"/>
  <c r="D197" i="6"/>
  <c r="D362" i="6"/>
  <c r="D421" i="6"/>
  <c r="D417" i="6"/>
  <c r="D235" i="6"/>
  <c r="D181" i="6"/>
  <c r="D9" i="6"/>
  <c r="D174" i="6"/>
  <c r="H406" i="6"/>
  <c r="D145" i="6"/>
  <c r="H298" i="6"/>
  <c r="D361" i="6"/>
  <c r="D423" i="6"/>
  <c r="H53" i="6"/>
  <c r="D248" i="6"/>
  <c r="D171" i="6"/>
  <c r="D278" i="6"/>
  <c r="D21" i="6"/>
  <c r="H92" i="6"/>
  <c r="D440" i="6"/>
  <c r="D285" i="6"/>
  <c r="D193" i="6"/>
  <c r="H94" i="6"/>
  <c r="D76" i="6"/>
  <c r="D158" i="6"/>
  <c r="D297" i="6"/>
  <c r="D199" i="6"/>
  <c r="D345" i="6"/>
  <c r="H4" i="6"/>
  <c r="D39" i="6"/>
  <c r="H296" i="6"/>
  <c r="D226" i="6"/>
  <c r="D433" i="6"/>
  <c r="D24" i="6"/>
  <c r="D386" i="6"/>
  <c r="D363" i="6"/>
  <c r="H314" i="6"/>
  <c r="D198" i="6"/>
  <c r="H290" i="6"/>
  <c r="D457" i="6"/>
  <c r="H295" i="6"/>
  <c r="D202" i="6"/>
  <c r="H316" i="6"/>
  <c r="H51" i="6"/>
  <c r="D494" i="6"/>
  <c r="D57" i="6"/>
  <c r="H47" i="6"/>
  <c r="D87" i="6"/>
  <c r="D86" i="6"/>
  <c r="D260" i="6"/>
  <c r="D366" i="6"/>
  <c r="D454" i="6"/>
  <c r="D266" i="6"/>
  <c r="D77" i="6"/>
  <c r="D460" i="6"/>
  <c r="D126" i="6"/>
  <c r="D208" i="6"/>
  <c r="D130" i="6"/>
  <c r="H376" i="6"/>
  <c r="D45" i="6"/>
  <c r="D388" i="6"/>
  <c r="D473" i="6"/>
  <c r="D309" i="6"/>
  <c r="D234" i="6"/>
  <c r="H350" i="6"/>
  <c r="D113" i="6"/>
  <c r="H91" i="6"/>
  <c r="D206" i="6"/>
  <c r="D420" i="6"/>
  <c r="D232" i="6"/>
  <c r="H95" i="6"/>
  <c r="D137" i="6"/>
  <c r="D85" i="6"/>
  <c r="D80" i="6"/>
  <c r="H305" i="6"/>
  <c r="D233" i="6"/>
  <c r="H63" i="6"/>
  <c r="D291" i="6"/>
  <c r="H341" i="6"/>
  <c r="D264" i="6"/>
  <c r="D131" i="6"/>
  <c r="D31" i="6"/>
  <c r="D146" i="6"/>
  <c r="D165" i="6"/>
  <c r="D123" i="6"/>
  <c r="D455" i="6"/>
  <c r="D205" i="6"/>
  <c r="D115" i="6"/>
  <c r="D436" i="6"/>
  <c r="D65" i="6"/>
  <c r="H311" i="6"/>
  <c r="H310" i="6"/>
  <c r="D143" i="6"/>
  <c r="H64" i="6"/>
  <c r="D365" i="6"/>
  <c r="D129" i="6"/>
  <c r="D245" i="6"/>
  <c r="D160" i="6"/>
  <c r="D40" i="6"/>
  <c r="H12" i="6"/>
  <c r="D349" i="6"/>
  <c r="D281" i="6"/>
  <c r="D114" i="6"/>
  <c r="D313" i="6"/>
  <c r="H317" i="6"/>
  <c r="D493" i="6"/>
  <c r="D103" i="6"/>
  <c r="D7" i="6"/>
  <c r="H55" i="6"/>
  <c r="D312" i="6"/>
  <c r="D330" i="6"/>
  <c r="D282" i="6"/>
  <c r="D405" i="6"/>
  <c r="D61" i="6"/>
  <c r="D284" i="6"/>
  <c r="D37" i="6"/>
  <c r="D17" i="6"/>
  <c r="D243" i="6"/>
  <c r="D437" i="6"/>
  <c r="H329" i="6"/>
  <c r="D187" i="6"/>
  <c r="H287" i="6"/>
  <c r="D306" i="6"/>
  <c r="D318" i="6"/>
  <c r="D335" i="6"/>
  <c r="D185" i="6"/>
  <c r="H346" i="6"/>
  <c r="D161" i="6"/>
  <c r="D458" i="6"/>
  <c r="D28" i="6"/>
  <c r="D19" i="6"/>
  <c r="H319" i="6"/>
  <c r="D157" i="6"/>
  <c r="D398" i="6"/>
  <c r="D364" i="6"/>
  <c r="D89" i="6"/>
  <c r="D209" i="6"/>
  <c r="D10" i="6"/>
  <c r="H307" i="6"/>
  <c r="D477" i="6"/>
  <c r="H326" i="6"/>
  <c r="D18" i="6"/>
  <c r="D474" i="6"/>
  <c r="D439" i="6"/>
  <c r="D327" i="6"/>
  <c r="D479" i="6"/>
  <c r="D110" i="6"/>
  <c r="D75" i="6"/>
  <c r="D249" i="6"/>
  <c r="D195" i="6"/>
  <c r="D107" i="6"/>
  <c r="D424" i="6"/>
  <c r="H399" i="6"/>
  <c r="D122" i="6"/>
  <c r="D127" i="6"/>
  <c r="D214" i="6"/>
  <c r="D101" i="6"/>
  <c r="D166" i="6"/>
  <c r="H170" i="6"/>
  <c r="D480" i="6"/>
  <c r="D242" i="6"/>
  <c r="H400" i="6"/>
  <c r="D73" i="6"/>
  <c r="H175" i="6"/>
  <c r="H385" i="6"/>
  <c r="D25" i="6"/>
  <c r="D228" i="6"/>
  <c r="D196" i="6"/>
  <c r="D453" i="6"/>
  <c r="D225" i="6"/>
  <c r="H48" i="6"/>
  <c r="D159" i="6"/>
  <c r="H347" i="6"/>
  <c r="D247" i="6"/>
  <c r="D207" i="6"/>
  <c r="D456" i="6"/>
  <c r="D29" i="6"/>
  <c r="D163" i="6"/>
  <c r="D472" i="6"/>
  <c r="D418" i="6"/>
  <c r="D277" i="6"/>
  <c r="H293" i="6"/>
  <c r="H320" i="6"/>
  <c r="D52" i="6"/>
  <c r="D140" i="6"/>
  <c r="H373" i="6"/>
  <c r="D46" i="6"/>
  <c r="D263" i="6"/>
  <c r="H67" i="6"/>
  <c r="H432" i="6"/>
  <c r="H168" i="6"/>
  <c r="D108" i="6"/>
  <c r="H66" i="6"/>
  <c r="H54" i="6"/>
  <c r="H292" i="6"/>
  <c r="D374" i="6"/>
  <c r="H375" i="6"/>
  <c r="H384" i="6"/>
  <c r="D179" i="6"/>
  <c r="D496" i="6"/>
  <c r="D22" i="6"/>
  <c r="H403" i="6"/>
  <c r="H328" i="6"/>
  <c r="H2" i="6"/>
  <c r="D109" i="6"/>
  <c r="D222" i="6"/>
  <c r="D43" i="6"/>
  <c r="D492" i="6"/>
  <c r="D389" i="6"/>
  <c r="AP88" i="2"/>
  <c r="AR88" i="2"/>
  <c r="AQ88" i="2"/>
  <c r="AM88" i="2"/>
  <c r="U38" i="4" s="1"/>
  <c r="AO88" i="2"/>
  <c r="T38" i="4"/>
  <c r="AT88" i="2"/>
  <c r="V38" i="4" s="1"/>
  <c r="AS88" i="2"/>
  <c r="AN88" i="2"/>
  <c r="N104" i="2"/>
  <c r="AF102" i="2" s="1"/>
  <c r="AS47" i="2"/>
  <c r="AR47" i="2"/>
  <c r="AQ47" i="2"/>
  <c r="AP47" i="2"/>
  <c r="AO47" i="2"/>
  <c r="AN47" i="2"/>
  <c r="AT47" i="2"/>
  <c r="J45" i="4" s="1"/>
  <c r="AM47" i="2"/>
  <c r="I45" i="4" s="1"/>
  <c r="H45" i="4"/>
  <c r="C85" i="3"/>
  <c r="C84" i="3"/>
  <c r="C86" i="3"/>
  <c r="C87" i="3"/>
  <c r="BF66" i="2"/>
  <c r="BE66" i="2"/>
  <c r="BR66" i="2" s="1"/>
  <c r="I395" i="6"/>
  <c r="I333" i="6"/>
  <c r="I112" i="6"/>
  <c r="I356" i="6"/>
  <c r="I132" i="6"/>
  <c r="I197" i="6"/>
  <c r="I70" i="6"/>
  <c r="I467" i="6"/>
  <c r="I93" i="6"/>
  <c r="I219" i="6"/>
  <c r="I142" i="6"/>
  <c r="I129" i="6"/>
  <c r="I485" i="6"/>
  <c r="I203" i="6"/>
  <c r="I32" i="6"/>
  <c r="I297" i="6"/>
  <c r="I47" i="6"/>
  <c r="I296" i="6"/>
  <c r="I39" i="6"/>
  <c r="I200" i="6"/>
  <c r="I152" i="6"/>
  <c r="I269" i="6"/>
  <c r="I13" i="6"/>
  <c r="I401" i="6"/>
  <c r="I138" i="6"/>
  <c r="I137" i="6"/>
  <c r="I111" i="6"/>
  <c r="I94" i="6"/>
  <c r="I292" i="6"/>
  <c r="I56" i="6"/>
  <c r="I191" i="6"/>
  <c r="I423" i="6"/>
  <c r="I242" i="6"/>
  <c r="I253" i="6"/>
  <c r="I432" i="6"/>
  <c r="I108" i="6"/>
  <c r="I326" i="6"/>
  <c r="I453" i="6"/>
  <c r="I120" i="6"/>
  <c r="I172" i="6"/>
  <c r="I394" i="6"/>
  <c r="I291" i="6"/>
  <c r="I315" i="6"/>
  <c r="I358" i="6"/>
  <c r="I262" i="6"/>
  <c r="I126" i="6"/>
  <c r="I328" i="6"/>
  <c r="I5" i="6"/>
  <c r="I149" i="6"/>
  <c r="I86" i="6"/>
  <c r="I239" i="6"/>
  <c r="I20" i="6"/>
  <c r="I302" i="6"/>
  <c r="I277" i="6"/>
  <c r="I92" i="6"/>
  <c r="I341" i="6"/>
  <c r="I380" i="6"/>
  <c r="I23" i="6"/>
  <c r="I321" i="6"/>
  <c r="I379" i="6"/>
  <c r="I147" i="6"/>
  <c r="I114" i="6"/>
  <c r="I312" i="6"/>
  <c r="I19" i="6"/>
  <c r="I295" i="6"/>
  <c r="I319" i="6"/>
  <c r="I12" i="6"/>
  <c r="I414" i="6"/>
  <c r="I83" i="6"/>
  <c r="I179" i="6"/>
  <c r="I28" i="6"/>
  <c r="I345" i="6"/>
  <c r="I154" i="6"/>
  <c r="I225" i="6"/>
  <c r="I472" i="6"/>
  <c r="I34" i="6"/>
  <c r="I289" i="6"/>
  <c r="I483" i="6"/>
  <c r="I35" i="6"/>
  <c r="I62" i="6"/>
  <c r="I261" i="6"/>
  <c r="I44" i="6"/>
  <c r="I330" i="6"/>
  <c r="I123" i="6"/>
  <c r="I182" i="6"/>
  <c r="I469" i="6"/>
  <c r="I427" i="6"/>
  <c r="I115" i="6"/>
  <c r="I26" i="6"/>
  <c r="I75" i="6"/>
  <c r="I338" i="6"/>
  <c r="I300" i="6"/>
  <c r="I33" i="6"/>
  <c r="I211" i="6"/>
  <c r="I352" i="6"/>
  <c r="I271" i="6"/>
  <c r="I383" i="6"/>
  <c r="I306" i="6"/>
  <c r="I267" i="6"/>
  <c r="I367" i="6"/>
  <c r="I195" i="6"/>
  <c r="I274" i="6"/>
  <c r="I449" i="6"/>
  <c r="I436" i="6"/>
  <c r="I337" i="6"/>
  <c r="I222" i="6"/>
  <c r="I99" i="6"/>
  <c r="I382" i="6"/>
  <c r="I252" i="6"/>
  <c r="I399" i="6"/>
  <c r="I362" i="6"/>
  <c r="I102" i="6"/>
  <c r="I184" i="6"/>
  <c r="I246" i="6"/>
  <c r="I458" i="6"/>
  <c r="I88" i="6"/>
  <c r="I68" i="6"/>
  <c r="I473" i="6"/>
  <c r="I226" i="6"/>
  <c r="I157" i="6"/>
  <c r="I392" i="6"/>
  <c r="I464" i="6"/>
  <c r="I27" i="6"/>
  <c r="I377" i="6"/>
  <c r="I387" i="6"/>
  <c r="I42" i="6"/>
  <c r="I217" i="6"/>
  <c r="I404" i="6"/>
  <c r="I193" i="6"/>
  <c r="I288" i="6"/>
  <c r="I272" i="6"/>
  <c r="I343" i="6"/>
  <c r="I249" i="6"/>
  <c r="I402" i="6"/>
  <c r="I372" i="6"/>
  <c r="I420" i="6"/>
  <c r="I30" i="6"/>
  <c r="I22" i="6"/>
  <c r="I2" i="6"/>
  <c r="I254" i="6"/>
  <c r="I87" i="6"/>
  <c r="I119" i="6"/>
  <c r="I151" i="6"/>
  <c r="I336" i="6"/>
  <c r="I208" i="6"/>
  <c r="I235" i="6"/>
  <c r="I447" i="6"/>
  <c r="I417" i="6"/>
  <c r="I228" i="6"/>
  <c r="I409" i="6"/>
  <c r="I278" i="6"/>
  <c r="I443" i="6"/>
  <c r="I317" i="6"/>
  <c r="I59" i="6"/>
  <c r="I11" i="6"/>
  <c r="I3" i="6"/>
  <c r="I60" i="6"/>
  <c r="I232" i="6"/>
  <c r="I52" i="6"/>
  <c r="I69" i="6"/>
  <c r="I361" i="6"/>
  <c r="I398" i="6"/>
  <c r="I141" i="6"/>
  <c r="I189" i="6"/>
  <c r="I185" i="6"/>
  <c r="I310" i="6"/>
  <c r="I294" i="6"/>
  <c r="I255" i="6"/>
  <c r="I264" i="6"/>
  <c r="I173" i="6"/>
  <c r="I73" i="6"/>
  <c r="I127" i="6"/>
  <c r="I355" i="6"/>
  <c r="I205" i="6"/>
  <c r="I243" i="6"/>
  <c r="I244" i="6"/>
  <c r="I462" i="6"/>
  <c r="I437" i="6"/>
  <c r="I49" i="6"/>
  <c r="I160" i="6"/>
  <c r="I238" i="6"/>
  <c r="I144" i="6"/>
  <c r="I135" i="6"/>
  <c r="I148" i="6"/>
  <c r="I194" i="6"/>
  <c r="I482" i="6"/>
  <c r="I346" i="6"/>
  <c r="I15" i="6"/>
  <c r="I353" i="6"/>
  <c r="I7" i="6"/>
  <c r="I318" i="6"/>
  <c r="I444" i="6"/>
  <c r="I411" i="6"/>
  <c r="I439" i="6"/>
  <c r="I492" i="6"/>
  <c r="I188" i="6"/>
  <c r="I21" i="6"/>
  <c r="I384" i="6"/>
  <c r="I122" i="6"/>
  <c r="I216" i="6"/>
  <c r="I478" i="6"/>
  <c r="I158" i="6"/>
  <c r="I175" i="6"/>
  <c r="I378" i="6"/>
  <c r="I240" i="6"/>
  <c r="I53" i="6"/>
  <c r="I351" i="6"/>
  <c r="I247" i="6"/>
  <c r="I176" i="6"/>
  <c r="I455" i="6"/>
  <c r="I9" i="6"/>
  <c r="I287" i="6"/>
  <c r="I463" i="6"/>
  <c r="I322" i="6"/>
  <c r="I51" i="6"/>
  <c r="I221" i="6"/>
  <c r="I348" i="6"/>
  <c r="I169" i="6"/>
  <c r="I204" i="6"/>
  <c r="I91" i="6"/>
  <c r="I218" i="6"/>
  <c r="I206" i="6"/>
  <c r="I234" i="6"/>
  <c r="I6" i="6"/>
  <c r="I386" i="6"/>
  <c r="I117" i="6"/>
  <c r="I342" i="6"/>
  <c r="I106" i="6"/>
  <c r="I307" i="6"/>
  <c r="I364" i="6"/>
  <c r="I305" i="6"/>
  <c r="I16" i="6"/>
  <c r="I434" i="6"/>
  <c r="I48" i="6"/>
  <c r="I186" i="6"/>
  <c r="I428" i="6"/>
  <c r="I466" i="6"/>
  <c r="I37" i="6"/>
  <c r="I167" i="6"/>
  <c r="I4" i="6"/>
  <c r="I210" i="6"/>
  <c r="I290" i="6"/>
  <c r="I57" i="6"/>
  <c r="I96" i="6"/>
  <c r="I371" i="6"/>
  <c r="I373" i="6"/>
  <c r="I475" i="6"/>
  <c r="I258" i="6"/>
  <c r="I237" i="6"/>
  <c r="I50" i="6"/>
  <c r="I389" i="6"/>
  <c r="I77" i="6"/>
  <c r="I374" i="6"/>
  <c r="I430" i="6"/>
  <c r="I14" i="6"/>
  <c r="I177" i="6"/>
  <c r="I309" i="6"/>
  <c r="I90" i="6"/>
  <c r="I214" i="6"/>
  <c r="I64" i="6"/>
  <c r="I429" i="6"/>
  <c r="I190" i="6"/>
  <c r="I397" i="6"/>
  <c r="I301" i="6"/>
  <c r="I113" i="6"/>
  <c r="I71" i="6"/>
  <c r="I133" i="6"/>
  <c r="I80" i="6"/>
  <c r="I180" i="6"/>
  <c r="I118" i="6"/>
  <c r="I101" i="6"/>
  <c r="I442" i="6"/>
  <c r="I298" i="6"/>
  <c r="I331" i="6"/>
  <c r="I41" i="6"/>
  <c r="I412" i="6"/>
  <c r="I74" i="6"/>
  <c r="I223" i="6"/>
  <c r="I171" i="6"/>
  <c r="I446" i="6"/>
  <c r="I163" i="6"/>
  <c r="I24" i="6"/>
  <c r="I105" i="6"/>
  <c r="I407" i="6"/>
  <c r="I323" i="6"/>
  <c r="I418" i="6"/>
  <c r="I339" i="6"/>
  <c r="I78" i="6"/>
  <c r="I303" i="6"/>
  <c r="I139" i="6"/>
  <c r="I103" i="6"/>
  <c r="I213" i="6"/>
  <c r="I324" i="6"/>
  <c r="I268" i="6"/>
  <c r="I17" i="6"/>
  <c r="I97" i="6"/>
  <c r="I316" i="6"/>
  <c r="I488" i="6"/>
  <c r="I168" i="6"/>
  <c r="I66" i="6"/>
  <c r="I280" i="6"/>
  <c r="I327" i="6"/>
  <c r="I231" i="6"/>
  <c r="I55" i="6"/>
  <c r="I212" i="6"/>
  <c r="I198" i="6"/>
  <c r="I85" i="6"/>
  <c r="I65" i="6"/>
  <c r="I98" i="6"/>
  <c r="I170" i="6"/>
  <c r="I8" i="6"/>
  <c r="I29" i="6"/>
  <c r="I207" i="6"/>
  <c r="I63" i="6"/>
  <c r="I134" i="6"/>
  <c r="I259" i="6"/>
  <c r="I38" i="6"/>
  <c r="I393" i="6"/>
  <c r="I452" i="6"/>
  <c r="I433" i="6"/>
  <c r="I183" i="6"/>
  <c r="I178" i="6"/>
  <c r="I124" i="6"/>
  <c r="I257" i="6"/>
  <c r="I58" i="6"/>
  <c r="I408" i="6"/>
  <c r="I84" i="6"/>
  <c r="I233" i="6"/>
  <c r="I375" i="6"/>
  <c r="I283" i="6"/>
  <c r="M114" i="2"/>
  <c r="AA115" i="2" s="1"/>
  <c r="T28" i="4"/>
  <c r="AN78" i="2"/>
  <c r="AM78" i="2"/>
  <c r="U28" i="4" s="1"/>
  <c r="AO78" i="2"/>
  <c r="AP78" i="2"/>
  <c r="AQ78" i="2"/>
  <c r="AT78" i="2"/>
  <c r="V28" i="4" s="1"/>
  <c r="AR78" i="2"/>
  <c r="AS78" i="2"/>
  <c r="C91" i="3"/>
  <c r="C89" i="3"/>
  <c r="C88" i="3"/>
  <c r="C90" i="3"/>
  <c r="BL69" i="2"/>
  <c r="T23" i="4"/>
  <c r="AP73" i="2"/>
  <c r="AM73" i="2"/>
  <c r="U23" i="4" s="1"/>
  <c r="AQ73" i="2"/>
  <c r="AO73" i="2"/>
  <c r="AN73" i="2"/>
  <c r="AT73" i="2"/>
  <c r="V23" i="4" s="1"/>
  <c r="AS73" i="2"/>
  <c r="AR73" i="2"/>
  <c r="K31" i="4"/>
  <c r="C132" i="3"/>
  <c r="AA3" i="4"/>
  <c r="K12" i="4"/>
  <c r="BE69" i="2"/>
  <c r="BR69" i="2" s="1"/>
  <c r="BF69" i="2"/>
  <c r="C93" i="3"/>
  <c r="C92" i="3"/>
  <c r="C95" i="3"/>
  <c r="C94" i="3"/>
  <c r="C378" i="6"/>
  <c r="G35" i="6"/>
  <c r="C367" i="6"/>
  <c r="G81" i="6"/>
  <c r="C322" i="6"/>
  <c r="H62" i="6"/>
  <c r="H312" i="6"/>
  <c r="H302" i="6"/>
  <c r="C191" i="6"/>
  <c r="H173" i="6"/>
  <c r="G9" i="6"/>
  <c r="C390" i="6"/>
  <c r="G109" i="6"/>
  <c r="C143" i="6"/>
  <c r="C411" i="6"/>
  <c r="C323" i="6"/>
  <c r="C225" i="6"/>
  <c r="C59" i="6"/>
  <c r="C84" i="6"/>
  <c r="C324" i="6"/>
  <c r="C491" i="6"/>
  <c r="J447" i="6"/>
  <c r="C430" i="6"/>
  <c r="C403" i="6"/>
  <c r="C246" i="6"/>
  <c r="G28" i="6"/>
  <c r="G120" i="6"/>
  <c r="C488" i="6"/>
  <c r="C481" i="6"/>
  <c r="G48" i="6"/>
  <c r="C335" i="6"/>
  <c r="G22" i="6"/>
  <c r="C331" i="6"/>
  <c r="G18" i="6"/>
  <c r="C319" i="6"/>
  <c r="G10" i="6"/>
  <c r="H210" i="6"/>
  <c r="C480" i="6"/>
  <c r="C56" i="6"/>
  <c r="C283" i="6"/>
  <c r="C180" i="6"/>
  <c r="G145" i="6"/>
  <c r="C355" i="6"/>
  <c r="C3" i="6"/>
  <c r="C111" i="6"/>
  <c r="C116" i="6"/>
  <c r="G4" i="6"/>
  <c r="H371" i="6"/>
  <c r="H401" i="6"/>
  <c r="H393" i="6"/>
  <c r="C429" i="6"/>
  <c r="C250" i="6"/>
  <c r="C271" i="6"/>
  <c r="G136" i="6"/>
  <c r="H212" i="6"/>
  <c r="C332" i="6"/>
  <c r="C478" i="6"/>
  <c r="G299" i="6"/>
  <c r="C461" i="6"/>
  <c r="G119" i="6"/>
  <c r="H309" i="6"/>
  <c r="G8" i="6"/>
  <c r="C178" i="6"/>
  <c r="H185" i="6"/>
  <c r="C266" i="6"/>
  <c r="C450" i="6"/>
  <c r="C350" i="6"/>
  <c r="C131" i="6"/>
  <c r="C181" i="6"/>
  <c r="G94" i="6"/>
  <c r="C388" i="6"/>
  <c r="C240" i="6"/>
  <c r="G298" i="6"/>
  <c r="G105" i="6"/>
  <c r="C426" i="6"/>
  <c r="H394" i="6"/>
  <c r="C389" i="6"/>
  <c r="C381" i="6"/>
  <c r="C204" i="6"/>
  <c r="C373" i="6"/>
  <c r="H184" i="6"/>
  <c r="C230" i="6"/>
  <c r="G67" i="6"/>
  <c r="C320" i="6"/>
  <c r="C441" i="6"/>
  <c r="C88" i="6"/>
  <c r="C236" i="6"/>
  <c r="H182" i="6"/>
  <c r="C415" i="6"/>
  <c r="G24" i="6"/>
  <c r="C89" i="6"/>
  <c r="C253" i="6"/>
  <c r="C424" i="6"/>
  <c r="C203" i="6"/>
  <c r="C334" i="6"/>
  <c r="G43" i="6"/>
  <c r="G134" i="6"/>
  <c r="C449" i="6"/>
  <c r="J247" i="6"/>
  <c r="C467" i="6"/>
  <c r="C347" i="6"/>
  <c r="C167" i="6"/>
  <c r="G12" i="6"/>
  <c r="C425" i="6"/>
  <c r="C369" i="6"/>
  <c r="G155" i="6"/>
  <c r="C226" i="6"/>
  <c r="G64" i="6"/>
  <c r="G13" i="6"/>
  <c r="C179" i="6"/>
  <c r="H405" i="6"/>
  <c r="H318" i="6"/>
  <c r="G100" i="6"/>
  <c r="C479" i="6"/>
  <c r="C202" i="6"/>
  <c r="C249" i="6"/>
  <c r="C55" i="6"/>
  <c r="C489" i="6"/>
  <c r="C208" i="6"/>
  <c r="C248" i="6"/>
  <c r="C209" i="6"/>
  <c r="C391" i="6"/>
  <c r="G154" i="6"/>
  <c r="C239" i="6"/>
  <c r="H338" i="6"/>
  <c r="C466" i="6"/>
  <c r="G25" i="6"/>
  <c r="C60" i="6"/>
  <c r="H93" i="6"/>
  <c r="H374" i="6"/>
  <c r="G46" i="6"/>
  <c r="G42" i="6"/>
  <c r="C198" i="6"/>
  <c r="C413" i="6"/>
  <c r="G51" i="6"/>
  <c r="H213" i="6"/>
  <c r="G98" i="6"/>
  <c r="G70" i="6"/>
  <c r="C262" i="6"/>
  <c r="G97" i="6"/>
  <c r="C357" i="6"/>
  <c r="C314" i="6"/>
  <c r="C436" i="6"/>
  <c r="C115" i="6"/>
  <c r="G99" i="6"/>
  <c r="C330" i="6"/>
  <c r="C146" i="6"/>
  <c r="C11" i="6"/>
  <c r="G16" i="6"/>
  <c r="C255" i="6"/>
  <c r="H304" i="6"/>
  <c r="C107" i="6"/>
  <c r="G144" i="6"/>
  <c r="C275" i="6"/>
  <c r="G23" i="6"/>
  <c r="C19" i="6"/>
  <c r="C460" i="6"/>
  <c r="G26" i="6"/>
  <c r="H339" i="6"/>
  <c r="C235" i="6"/>
  <c r="H395" i="6"/>
  <c r="G2" i="6"/>
  <c r="G69" i="6"/>
  <c r="H303" i="6"/>
  <c r="C82" i="6"/>
  <c r="C113" i="6"/>
  <c r="G92" i="6"/>
  <c r="H174" i="6"/>
  <c r="G163" i="6"/>
  <c r="G95" i="6"/>
  <c r="G129" i="6"/>
  <c r="H187" i="6"/>
  <c r="C406" i="6"/>
  <c r="C199" i="6"/>
  <c r="C368" i="6"/>
  <c r="C87" i="6"/>
  <c r="G166" i="6"/>
  <c r="H313" i="6"/>
  <c r="C423" i="6"/>
  <c r="G108" i="6"/>
  <c r="C78" i="6"/>
  <c r="G31" i="6"/>
  <c r="G7" i="6"/>
  <c r="C110" i="6"/>
  <c r="G36" i="6"/>
  <c r="G53" i="6"/>
  <c r="C360" i="6"/>
  <c r="H349" i="6"/>
  <c r="C128" i="6"/>
  <c r="C317" i="6"/>
  <c r="G20" i="6"/>
  <c r="H49" i="6"/>
  <c r="C333" i="6"/>
  <c r="G80" i="6"/>
  <c r="C228" i="6"/>
  <c r="C293" i="6"/>
  <c r="C451" i="6"/>
  <c r="C490" i="6"/>
  <c r="C496" i="6"/>
  <c r="G66" i="6"/>
  <c r="C471" i="6"/>
  <c r="C446" i="6"/>
  <c r="C469" i="6"/>
  <c r="C241" i="6"/>
  <c r="G17" i="6"/>
  <c r="J458" i="6"/>
  <c r="C58" i="6"/>
  <c r="H65" i="6"/>
  <c r="C256" i="6"/>
  <c r="C386" i="6"/>
  <c r="C276" i="6"/>
  <c r="H337" i="6"/>
  <c r="C470" i="6"/>
  <c r="C61" i="6"/>
  <c r="G153" i="6"/>
  <c r="C233" i="6"/>
  <c r="C217" i="6"/>
  <c r="C220" i="6"/>
  <c r="C288" i="6"/>
  <c r="G141" i="6"/>
  <c r="C437" i="6"/>
  <c r="G45" i="6"/>
  <c r="C292" i="6"/>
  <c r="C290" i="6"/>
  <c r="G71" i="6"/>
  <c r="C285" i="6"/>
  <c r="C380" i="6"/>
  <c r="G41" i="6"/>
  <c r="C234" i="6"/>
  <c r="C440" i="6"/>
  <c r="C200" i="6"/>
  <c r="G151" i="6"/>
  <c r="C284" i="6"/>
  <c r="H171" i="6"/>
  <c r="G5" i="6"/>
  <c r="C189" i="6"/>
  <c r="C86" i="6"/>
  <c r="C416" i="6"/>
  <c r="G54" i="6"/>
  <c r="H215" i="6"/>
  <c r="G164" i="6"/>
  <c r="C106" i="6"/>
  <c r="C114" i="6"/>
  <c r="G30" i="6"/>
  <c r="G121" i="6"/>
  <c r="H294" i="6"/>
  <c r="C192" i="6"/>
  <c r="C218" i="6"/>
  <c r="H90" i="6"/>
  <c r="H297" i="6"/>
  <c r="G44" i="6"/>
  <c r="H186" i="6"/>
  <c r="H172" i="6"/>
  <c r="C375" i="6"/>
  <c r="G296" i="6"/>
  <c r="G118" i="6"/>
  <c r="G133" i="6"/>
  <c r="C428" i="6"/>
  <c r="G126" i="6"/>
  <c r="G152" i="6"/>
  <c r="C468" i="6"/>
  <c r="G168" i="6"/>
  <c r="C311" i="6"/>
  <c r="H340" i="6"/>
  <c r="C264" i="6"/>
  <c r="C176" i="6"/>
  <c r="G135" i="6"/>
  <c r="C448" i="6"/>
  <c r="G29" i="6"/>
  <c r="C274" i="6"/>
  <c r="C227" i="6"/>
  <c r="C412" i="6"/>
  <c r="G130" i="6"/>
  <c r="C229" i="6"/>
  <c r="H345" i="6"/>
  <c r="G72" i="6"/>
  <c r="C265" i="6"/>
  <c r="C459" i="6"/>
  <c r="C219" i="6"/>
  <c r="G34" i="6"/>
  <c r="H404" i="6"/>
  <c r="C83" i="6"/>
  <c r="C238" i="6"/>
  <c r="C79" i="6"/>
  <c r="C379" i="6"/>
  <c r="C175" i="6"/>
  <c r="C272" i="6"/>
  <c r="H315" i="6"/>
  <c r="C359" i="6"/>
  <c r="C310" i="6"/>
  <c r="H396" i="6"/>
  <c r="C402" i="6"/>
  <c r="C190" i="6"/>
  <c r="H52" i="6"/>
  <c r="C356" i="6"/>
  <c r="C286" i="6"/>
  <c r="C325" i="6"/>
  <c r="C231" i="6"/>
  <c r="C287" i="6"/>
  <c r="C439" i="6"/>
  <c r="C207" i="6"/>
  <c r="G15" i="6"/>
  <c r="C438" i="6"/>
  <c r="C201" i="6"/>
  <c r="G33" i="6"/>
  <c r="C261" i="6"/>
  <c r="C197" i="6"/>
  <c r="C206" i="6"/>
  <c r="C165" i="6"/>
  <c r="C254" i="6"/>
  <c r="C431" i="6"/>
  <c r="C370" i="6"/>
  <c r="G77" i="6"/>
  <c r="C251" i="6"/>
  <c r="C346" i="6"/>
  <c r="C414" i="6"/>
  <c r="H214" i="6"/>
  <c r="C263" i="6"/>
  <c r="C358" i="6"/>
  <c r="C142" i="6"/>
  <c r="C47" i="6"/>
  <c r="H169" i="6"/>
  <c r="G156" i="6"/>
  <c r="C291" i="6"/>
  <c r="C376" i="6"/>
  <c r="H348" i="6"/>
  <c r="H301" i="6"/>
  <c r="G127" i="6"/>
  <c r="C273" i="6"/>
  <c r="C387" i="6"/>
  <c r="D190" i="6"/>
  <c r="C108" i="6"/>
  <c r="C343" i="6"/>
  <c r="C90" i="6"/>
  <c r="C395" i="6"/>
  <c r="C139" i="6"/>
  <c r="C81" i="6"/>
  <c r="G157" i="6"/>
  <c r="D482" i="6"/>
  <c r="I199" i="6"/>
  <c r="I403" i="6"/>
  <c r="E225" i="6"/>
  <c r="I494" i="6"/>
  <c r="C67" i="6"/>
  <c r="C407" i="6"/>
  <c r="C64" i="6"/>
  <c r="C308" i="6"/>
  <c r="J152" i="6"/>
  <c r="I107" i="6"/>
  <c r="C17" i="6"/>
  <c r="C344" i="6"/>
  <c r="C18" i="6"/>
  <c r="C401" i="6"/>
  <c r="I471" i="6"/>
  <c r="C465" i="6"/>
  <c r="C422" i="6"/>
  <c r="I164" i="6"/>
  <c r="C313" i="6"/>
  <c r="E38" i="6"/>
  <c r="J310" i="6"/>
  <c r="C76" i="6"/>
  <c r="D491" i="6"/>
  <c r="C138" i="6"/>
  <c r="C339" i="6"/>
  <c r="C182" i="6"/>
  <c r="E217" i="6"/>
  <c r="C145" i="6"/>
  <c r="C188" i="6"/>
  <c r="J483" i="6"/>
  <c r="C362" i="6"/>
  <c r="C410" i="6"/>
  <c r="E35" i="6"/>
  <c r="C101" i="6"/>
  <c r="I360" i="6"/>
  <c r="C215" i="6"/>
  <c r="C196" i="6"/>
  <c r="C257" i="6"/>
  <c r="E40" i="6"/>
  <c r="C393" i="6"/>
  <c r="E220" i="6"/>
  <c r="E229" i="6"/>
  <c r="C71" i="6"/>
  <c r="C409" i="6"/>
  <c r="E261" i="6"/>
  <c r="I493" i="6"/>
  <c r="C297" i="6"/>
  <c r="I370" i="6"/>
  <c r="E267" i="6"/>
  <c r="D359" i="6"/>
  <c r="C309" i="6"/>
  <c r="I468" i="6"/>
  <c r="I110" i="6"/>
  <c r="C419" i="6"/>
  <c r="C354" i="6"/>
  <c r="J367" i="6"/>
  <c r="C170" i="6"/>
  <c r="C135" i="6"/>
  <c r="I495" i="6"/>
  <c r="C74" i="6"/>
  <c r="E276" i="6"/>
  <c r="G150" i="6"/>
  <c r="E277" i="6"/>
  <c r="C404" i="6"/>
  <c r="C97" i="6"/>
  <c r="D470" i="6"/>
  <c r="C223" i="6"/>
  <c r="C221" i="6"/>
  <c r="C2" i="6"/>
  <c r="D271" i="6"/>
  <c r="I311" i="6"/>
  <c r="C31" i="6"/>
  <c r="J423" i="6"/>
  <c r="J283" i="6"/>
  <c r="D414" i="6"/>
  <c r="C4" i="6"/>
  <c r="C337" i="6"/>
  <c r="J356" i="6"/>
  <c r="C473" i="6"/>
  <c r="J163" i="6"/>
  <c r="D218" i="6"/>
  <c r="I416" i="6"/>
  <c r="C98" i="6"/>
  <c r="E270" i="6"/>
  <c r="C476" i="6"/>
  <c r="C105" i="6"/>
  <c r="C186" i="6"/>
  <c r="C174" i="6"/>
  <c r="C366" i="6"/>
  <c r="C304" i="6"/>
  <c r="C96" i="6"/>
  <c r="J492" i="6"/>
  <c r="E264" i="6"/>
  <c r="C172" i="6"/>
  <c r="C352" i="6"/>
  <c r="C400" i="6"/>
  <c r="E197" i="6"/>
  <c r="C463" i="6"/>
  <c r="C363" i="6"/>
  <c r="C294" i="6"/>
  <c r="C7" i="6"/>
  <c r="C396" i="6"/>
  <c r="I266" i="6"/>
  <c r="C418" i="6"/>
  <c r="C364" i="6"/>
  <c r="I227" i="6"/>
  <c r="J198" i="6"/>
  <c r="C361" i="6"/>
  <c r="C80" i="6"/>
  <c r="C195" i="6"/>
  <c r="C26" i="6"/>
  <c r="C222" i="6"/>
  <c r="E269" i="6"/>
  <c r="C6" i="6"/>
  <c r="C353" i="6"/>
  <c r="C168" i="6"/>
  <c r="C109" i="6"/>
  <c r="I282" i="6"/>
  <c r="I406" i="6"/>
  <c r="C12" i="6"/>
  <c r="C351" i="6"/>
  <c r="C54" i="6"/>
  <c r="C184" i="6"/>
  <c r="J496" i="6"/>
  <c r="D254" i="6"/>
  <c r="J346" i="6"/>
  <c r="I166" i="6"/>
  <c r="E286" i="6"/>
  <c r="D466" i="6"/>
  <c r="C193" i="6"/>
  <c r="I413" i="6"/>
  <c r="I314" i="6"/>
  <c r="C212" i="6"/>
  <c r="C295" i="6"/>
  <c r="C141" i="6"/>
  <c r="C100" i="6"/>
  <c r="D489" i="6"/>
  <c r="D148" i="6"/>
  <c r="C63" i="6"/>
  <c r="J488" i="6"/>
  <c r="I279" i="6"/>
  <c r="C65" i="6"/>
  <c r="C134" i="6"/>
  <c r="I159" i="6"/>
  <c r="E189" i="6"/>
  <c r="C224" i="6"/>
  <c r="C342" i="6"/>
  <c r="C299" i="6"/>
  <c r="C211" i="6"/>
  <c r="I484" i="6"/>
  <c r="C213" i="6"/>
  <c r="C214" i="6"/>
  <c r="C171" i="6"/>
  <c r="I347" i="6"/>
  <c r="E228" i="6"/>
  <c r="C75" i="6"/>
  <c r="C341" i="6"/>
  <c r="I350" i="6"/>
  <c r="C30" i="6"/>
  <c r="J226" i="6"/>
  <c r="C28" i="6"/>
  <c r="G149" i="6"/>
  <c r="C394" i="6"/>
  <c r="C475" i="6"/>
  <c r="D486" i="6"/>
  <c r="D154" i="6"/>
  <c r="G147" i="6"/>
  <c r="J262" i="6"/>
  <c r="D358" i="6"/>
  <c r="D155" i="6"/>
  <c r="I153" i="6"/>
  <c r="C187" i="6"/>
  <c r="J412" i="6"/>
  <c r="C472" i="6"/>
  <c r="E41" i="6"/>
  <c r="E273" i="6"/>
  <c r="E33" i="6"/>
  <c r="C53" i="6"/>
  <c r="E253" i="6"/>
  <c r="I263" i="6"/>
  <c r="C91" i="6"/>
  <c r="C474" i="6"/>
  <c r="J272" i="6"/>
  <c r="I368" i="6"/>
  <c r="C93" i="6"/>
  <c r="C140" i="6"/>
  <c r="C336" i="6"/>
  <c r="C252" i="6"/>
  <c r="J42" i="6"/>
  <c r="D268" i="6"/>
  <c r="C349" i="6"/>
  <c r="J278" i="6"/>
  <c r="C52" i="6"/>
  <c r="C62" i="6"/>
  <c r="C73" i="6"/>
  <c r="J165" i="6"/>
  <c r="C77" i="6"/>
  <c r="G161" i="6"/>
  <c r="C169" i="6"/>
  <c r="I46" i="6"/>
  <c r="C68" i="6"/>
  <c r="C302" i="6"/>
  <c r="J478" i="6"/>
  <c r="C340" i="6"/>
  <c r="I79" i="6"/>
  <c r="E45" i="6"/>
  <c r="E256" i="6"/>
  <c r="C27" i="6"/>
  <c r="C185" i="6"/>
  <c r="C102" i="6"/>
  <c r="J106" i="6"/>
  <c r="C421" i="6"/>
  <c r="D275" i="6"/>
  <c r="C13" i="6"/>
  <c r="C9" i="6"/>
  <c r="I480" i="6"/>
  <c r="J285" i="6"/>
  <c r="G160" i="6"/>
  <c r="C338" i="6"/>
  <c r="C103" i="6"/>
  <c r="C92" i="6"/>
  <c r="J490" i="6"/>
  <c r="E219" i="6"/>
  <c r="J142" i="6"/>
  <c r="C301" i="6"/>
  <c r="C10" i="6"/>
  <c r="C29" i="6"/>
  <c r="E280" i="6"/>
  <c r="C51" i="6"/>
  <c r="C48" i="6"/>
  <c r="C298" i="6"/>
  <c r="C183" i="6"/>
  <c r="D355" i="6"/>
  <c r="E37" i="6"/>
  <c r="C144" i="6"/>
  <c r="C464" i="6"/>
  <c r="E265" i="6"/>
  <c r="C173" i="6"/>
  <c r="C72" i="6"/>
  <c r="C216" i="6"/>
  <c r="C420" i="6"/>
  <c r="C132" i="6"/>
  <c r="E191" i="6"/>
  <c r="E200" i="6"/>
  <c r="J158" i="6"/>
  <c r="C398" i="6"/>
  <c r="I202" i="6"/>
  <c r="D411" i="6"/>
  <c r="I481" i="6"/>
  <c r="C50" i="6"/>
  <c r="I426" i="6"/>
  <c r="C210" i="6"/>
  <c r="E32" i="6"/>
  <c r="E44" i="6"/>
  <c r="C5" i="6"/>
  <c r="I425" i="6"/>
  <c r="C8" i="6"/>
  <c r="I230" i="6"/>
  <c r="E281" i="6"/>
  <c r="C104" i="6"/>
  <c r="C296" i="6"/>
  <c r="C15" i="6"/>
  <c r="I479" i="6"/>
  <c r="C66" i="6"/>
  <c r="J78" i="6"/>
  <c r="C260" i="6"/>
  <c r="C300" i="6"/>
  <c r="C405" i="6"/>
  <c r="I357" i="6"/>
  <c r="J402" i="6"/>
  <c r="E36" i="6"/>
  <c r="I143" i="6"/>
  <c r="E201" i="6"/>
  <c r="D151" i="6"/>
  <c r="E192" i="6"/>
  <c r="I82" i="6"/>
  <c r="C397" i="6"/>
  <c r="C477" i="6"/>
  <c r="C348" i="6"/>
  <c r="E39" i="6"/>
  <c r="I43" i="6"/>
  <c r="C417" i="6"/>
  <c r="D415" i="6"/>
  <c r="J467" i="6"/>
  <c r="C16" i="6"/>
  <c r="D485" i="6"/>
  <c r="I162" i="6"/>
  <c r="D469" i="6"/>
  <c r="I487" i="6"/>
  <c r="C345" i="6"/>
  <c r="C303" i="6"/>
  <c r="D34" i="6"/>
  <c r="C258" i="6"/>
  <c r="C365" i="6"/>
  <c r="C392" i="6"/>
  <c r="C49" i="6"/>
  <c r="C70" i="6"/>
  <c r="E255" i="6"/>
  <c r="C259" i="6"/>
  <c r="I156" i="6"/>
  <c r="C307" i="6"/>
  <c r="D274" i="6"/>
  <c r="C305" i="6"/>
  <c r="E284" i="6"/>
  <c r="C14" i="6"/>
  <c r="C306" i="6"/>
  <c r="C94" i="6"/>
  <c r="I424" i="6"/>
  <c r="C194" i="6"/>
  <c r="C95" i="6"/>
  <c r="C137" i="6"/>
  <c r="I146" i="6"/>
  <c r="C69" i="6"/>
  <c r="C133" i="6"/>
  <c r="C462" i="6"/>
  <c r="I369" i="6"/>
  <c r="C99" i="6"/>
  <c r="C408" i="6"/>
  <c r="C399" i="6"/>
  <c r="C312" i="6"/>
  <c r="C136" i="6"/>
  <c r="K5" i="4"/>
  <c r="M110" i="2"/>
  <c r="AA109" i="2" s="1"/>
  <c r="AQ54" i="2"/>
  <c r="AP54" i="2"/>
  <c r="AO54" i="2"/>
  <c r="AT54" i="2"/>
  <c r="V4" i="4" s="1"/>
  <c r="AS54" i="2"/>
  <c r="AR54" i="2"/>
  <c r="AN54" i="2"/>
  <c r="T4" i="4"/>
  <c r="AM54" i="2"/>
  <c r="U4" i="4" s="1"/>
  <c r="AM49" i="2"/>
  <c r="I47" i="4" s="1"/>
  <c r="AS49" i="2"/>
  <c r="H47" i="4"/>
  <c r="AN49" i="2"/>
  <c r="AO49" i="2"/>
  <c r="AT49" i="2"/>
  <c r="J47" i="4" s="1"/>
  <c r="AR49" i="2"/>
  <c r="AQ49" i="2"/>
  <c r="AP49" i="2"/>
  <c r="C146" i="3"/>
  <c r="AA10" i="4"/>
  <c r="AA45" i="4"/>
  <c r="C142" i="3"/>
  <c r="AS40" i="2"/>
  <c r="AM40" i="2"/>
  <c r="I38" i="4" s="1"/>
  <c r="AR40" i="2"/>
  <c r="AQ40" i="2"/>
  <c r="H38" i="4"/>
  <c r="AP40" i="2"/>
  <c r="AT40" i="2"/>
  <c r="J38" i="4" s="1"/>
  <c r="AO40" i="2"/>
  <c r="AN40" i="2"/>
  <c r="C136" i="3"/>
  <c r="AA33" i="4"/>
  <c r="N114" i="2"/>
  <c r="AF115" i="2" s="1"/>
  <c r="AN63" i="2"/>
  <c r="AT63" i="2"/>
  <c r="V13" i="4" s="1"/>
  <c r="AM63" i="2"/>
  <c r="U13" i="4" s="1"/>
  <c r="AR63" i="2"/>
  <c r="AQ63" i="2"/>
  <c r="T13" i="4"/>
  <c r="AS63" i="2"/>
  <c r="AO63" i="2"/>
  <c r="AP63" i="2"/>
  <c r="BF64" i="2"/>
  <c r="BE64" i="2"/>
  <c r="BR64" i="2" s="1"/>
  <c r="AM64" i="2"/>
  <c r="U14" i="4" s="1"/>
  <c r="AP64" i="2"/>
  <c r="AN64" i="2"/>
  <c r="AT64" i="2"/>
  <c r="V14" i="4" s="1"/>
  <c r="AS64" i="2"/>
  <c r="AO64" i="2"/>
  <c r="AR64" i="2"/>
  <c r="T14" i="4"/>
  <c r="AQ64" i="2"/>
  <c r="M112" i="2"/>
  <c r="AA111" i="2" s="1"/>
  <c r="AO62" i="2"/>
  <c r="AR62" i="2"/>
  <c r="AN62" i="2"/>
  <c r="AM62" i="2"/>
  <c r="U12" i="4" s="1"/>
  <c r="AP62" i="2"/>
  <c r="AS62" i="2"/>
  <c r="AQ62" i="2"/>
  <c r="AT62" i="2"/>
  <c r="V12" i="4" s="1"/>
  <c r="T12" i="4"/>
  <c r="C164" i="3"/>
  <c r="B164" i="3"/>
  <c r="AA9" i="4"/>
  <c r="C130" i="3"/>
  <c r="N116" i="2"/>
  <c r="AF114" i="2" s="1"/>
  <c r="AS55" i="2"/>
  <c r="AT55" i="2"/>
  <c r="V5" i="4" s="1"/>
  <c r="AO55" i="2"/>
  <c r="AP55" i="2"/>
  <c r="AM55" i="2"/>
  <c r="U5" i="4" s="1"/>
  <c r="AR55" i="2"/>
  <c r="T5" i="4"/>
  <c r="AQ55" i="2"/>
  <c r="AN55" i="2"/>
  <c r="AQ96" i="2"/>
  <c r="AO96" i="2"/>
  <c r="AT96" i="2"/>
  <c r="V46" i="4" s="1"/>
  <c r="AM96" i="2"/>
  <c r="U46" i="4" s="1"/>
  <c r="AP96" i="2"/>
  <c r="AS96" i="2"/>
  <c r="T46" i="4"/>
  <c r="AN96" i="2"/>
  <c r="AR96" i="2"/>
  <c r="AN41" i="2"/>
  <c r="AT41" i="2"/>
  <c r="J39" i="4" s="1"/>
  <c r="AP41" i="2"/>
  <c r="AO41" i="2"/>
  <c r="AS41" i="2"/>
  <c r="AM41" i="2"/>
  <c r="I39" i="4" s="1"/>
  <c r="AQ41" i="2"/>
  <c r="H39" i="4"/>
  <c r="AR41" i="2"/>
  <c r="K7" i="4"/>
  <c r="AM65" i="2"/>
  <c r="U15" i="4" s="1"/>
  <c r="AS65" i="2"/>
  <c r="AO65" i="2"/>
  <c r="AP65" i="2"/>
  <c r="T15" i="4"/>
  <c r="AN65" i="2"/>
  <c r="AR65" i="2"/>
  <c r="AT65" i="2"/>
  <c r="V15" i="4" s="1"/>
  <c r="AQ65" i="2"/>
  <c r="W37" i="4" l="1"/>
  <c r="W29" i="4"/>
  <c r="W47" i="4"/>
  <c r="K44" i="4"/>
  <c r="C98" i="3"/>
  <c r="BS61" i="2"/>
  <c r="W14" i="4"/>
  <c r="W6" i="4"/>
  <c r="W22" i="4"/>
  <c r="W30" i="4"/>
  <c r="W15" i="4"/>
  <c r="W4" i="4"/>
  <c r="K45" i="4"/>
  <c r="W7" i="4"/>
  <c r="K38" i="4"/>
  <c r="BS58" i="2"/>
  <c r="W12" i="4"/>
  <c r="BS64" i="2"/>
  <c r="BS60" i="2"/>
  <c r="C108" i="3"/>
  <c r="C109" i="3"/>
  <c r="C111" i="3"/>
  <c r="C110" i="3"/>
  <c r="C138" i="3"/>
  <c r="AA24" i="4"/>
  <c r="W23" i="4"/>
  <c r="C103" i="3"/>
  <c r="C101" i="3"/>
  <c r="C102" i="3"/>
  <c r="C100" i="3"/>
  <c r="AA43" i="4"/>
  <c r="C159" i="3"/>
  <c r="C160" i="3"/>
  <c r="AA40" i="4"/>
  <c r="B177" i="3"/>
  <c r="C145" i="3"/>
  <c r="AA48" i="4"/>
  <c r="C147" i="3"/>
  <c r="AA28" i="4"/>
  <c r="C126" i="3"/>
  <c r="C125" i="3"/>
  <c r="C127" i="3"/>
  <c r="C124" i="3"/>
  <c r="BS65" i="2"/>
  <c r="W28" i="4"/>
  <c r="C141" i="3"/>
  <c r="C175" i="3"/>
  <c r="AA15" i="4"/>
  <c r="B175" i="3"/>
  <c r="C150" i="3"/>
  <c r="AA31" i="4"/>
  <c r="W20" i="4"/>
  <c r="C167" i="3"/>
  <c r="B167" i="3"/>
  <c r="C133" i="3"/>
  <c r="AA12" i="4"/>
  <c r="C177" i="3"/>
  <c r="BS67" i="2"/>
  <c r="C105" i="3"/>
  <c r="C104" i="3"/>
  <c r="C106" i="3"/>
  <c r="C107" i="3"/>
  <c r="C113" i="3"/>
  <c r="C115" i="3"/>
  <c r="C112" i="3"/>
  <c r="C114" i="3"/>
  <c r="K37" i="4"/>
  <c r="W44" i="4"/>
  <c r="BS59" i="2"/>
  <c r="BS63" i="2"/>
  <c r="B174" i="3"/>
  <c r="AA18" i="4"/>
  <c r="C140" i="3"/>
  <c r="C174" i="3"/>
  <c r="BS66" i="2"/>
  <c r="AA36" i="4"/>
  <c r="C137" i="3"/>
  <c r="BS68" i="2"/>
  <c r="B165" i="3"/>
  <c r="C135" i="3"/>
  <c r="AA6" i="4"/>
  <c r="B168" i="3"/>
  <c r="AA30" i="4"/>
  <c r="C168" i="3"/>
  <c r="C134" i="3"/>
  <c r="W46" i="4"/>
  <c r="W5" i="4"/>
  <c r="K47" i="4"/>
  <c r="BS69" i="2"/>
  <c r="BS62" i="2"/>
  <c r="C157" i="3"/>
  <c r="AA16" i="4"/>
  <c r="C165" i="3"/>
  <c r="W36" i="4"/>
  <c r="C99" i="3"/>
  <c r="W39" i="4"/>
  <c r="K46" i="4"/>
  <c r="W13" i="4"/>
  <c r="C117" i="3"/>
  <c r="C116" i="3"/>
  <c r="C118" i="3"/>
  <c r="C119" i="3"/>
  <c r="C97" i="3"/>
  <c r="W31" i="4"/>
  <c r="C121" i="3"/>
  <c r="C120" i="3"/>
  <c r="C123" i="3"/>
  <c r="C122" i="3"/>
  <c r="K39" i="4"/>
  <c r="C96" i="3"/>
  <c r="W38" i="4"/>
  <c r="C156" i="3"/>
  <c r="AA19" i="4"/>
  <c r="W21" i="4"/>
  <c r="C144" i="3"/>
  <c r="AA39" i="4"/>
  <c r="C178" i="3"/>
  <c r="B178" i="3"/>
  <c r="W45" i="4"/>
  <c r="BT60" i="2" l="1"/>
  <c r="BU60" i="2" s="1"/>
  <c r="BT63" i="2"/>
  <c r="BU63" i="2" s="1"/>
  <c r="BT58" i="2"/>
  <c r="BU58" i="2" s="1"/>
  <c r="BT66" i="2"/>
  <c r="BU66" i="2" s="1"/>
  <c r="BT61" i="2"/>
  <c r="BT67" i="2"/>
  <c r="BT59" i="2"/>
  <c r="BU59" i="2" s="1"/>
  <c r="BT68" i="2"/>
  <c r="BT65" i="2"/>
  <c r="BT64" i="2"/>
  <c r="BT62" i="2"/>
  <c r="BT69" i="2"/>
  <c r="BV66" i="2" l="1"/>
  <c r="BU65" i="2"/>
  <c r="BU62" i="2"/>
  <c r="BV63" i="2" s="1"/>
  <c r="BU64" i="2"/>
  <c r="BV64" i="2" s="1"/>
  <c r="BU67" i="2"/>
  <c r="BV67" i="2" s="1"/>
  <c r="BV59" i="2"/>
  <c r="BU68" i="2"/>
  <c r="BV68" i="2" s="1"/>
  <c r="BU61" i="2"/>
  <c r="BV60" i="2" s="1"/>
  <c r="BV58" i="2"/>
  <c r="BU69" i="2"/>
  <c r="BV69" i="2" s="1"/>
  <c r="BV65" i="2" l="1"/>
  <c r="BV61" i="2"/>
  <c r="BV62" i="2"/>
  <c r="BW62" i="2" l="1"/>
  <c r="BX62" i="2" s="1"/>
  <c r="BW63" i="2"/>
  <c r="BW65" i="2"/>
  <c r="BX65" i="2" s="1"/>
  <c r="BW59" i="2"/>
  <c r="BW60" i="2"/>
  <c r="BW61" i="2"/>
  <c r="BW64" i="2"/>
  <c r="BW67" i="2"/>
  <c r="BW58" i="2"/>
  <c r="BW68" i="2"/>
  <c r="BW66" i="2"/>
  <c r="BW69" i="2"/>
  <c r="BX60" i="2" l="1"/>
  <c r="BY60" i="2" s="1"/>
  <c r="BX66" i="2"/>
  <c r="BX64" i="2"/>
  <c r="BX59" i="2"/>
  <c r="BX68" i="2"/>
  <c r="BX58" i="2"/>
  <c r="BX69" i="2"/>
  <c r="BX67" i="2"/>
  <c r="BX61" i="2"/>
  <c r="BX63" i="2"/>
  <c r="BY63" i="2" s="1"/>
  <c r="BY58" i="2" l="1"/>
  <c r="BY69" i="2"/>
  <c r="BY62" i="2"/>
  <c r="BY68" i="2"/>
  <c r="BY61" i="2"/>
  <c r="BY66" i="2"/>
  <c r="BY64" i="2"/>
  <c r="BY67" i="2"/>
  <c r="BY59" i="2"/>
  <c r="BY65" i="2"/>
  <c r="BZ59" i="2" l="1"/>
  <c r="CA59" i="2" s="1"/>
  <c r="BZ67" i="2"/>
  <c r="CA67" i="2" s="1"/>
  <c r="BZ62" i="2"/>
  <c r="BZ58" i="2"/>
  <c r="BZ64" i="2"/>
  <c r="CA64" i="2" s="1"/>
  <c r="BZ61" i="2"/>
  <c r="CA61" i="2" s="1"/>
  <c r="BZ60" i="2"/>
  <c r="BZ68" i="2"/>
  <c r="BZ69" i="2"/>
  <c r="BZ66" i="2"/>
  <c r="CA66" i="2" s="1"/>
  <c r="BZ65" i="2"/>
  <c r="CA65" i="2" s="1"/>
  <c r="BZ63" i="2"/>
  <c r="CE59" i="2" l="1"/>
  <c r="CA68" i="2"/>
  <c r="CA58" i="2"/>
  <c r="CE58" i="2"/>
  <c r="CA63" i="2"/>
  <c r="CA60" i="2"/>
  <c r="CB60" i="2" s="1"/>
  <c r="BM60" i="2" s="1"/>
  <c r="CA62" i="2"/>
  <c r="CA69" i="2"/>
  <c r="CB65" i="2" s="1"/>
  <c r="BM65" i="2" s="1"/>
  <c r="CB66" i="2"/>
  <c r="BM66" i="2" s="1"/>
  <c r="CB67" i="2"/>
  <c r="BM67" i="2" s="1"/>
  <c r="CE66" i="2"/>
  <c r="CE68" i="2"/>
  <c r="CE61" i="2"/>
  <c r="CE62" i="2"/>
  <c r="CE67" i="2"/>
  <c r="CE69" i="2"/>
  <c r="CE65" i="2"/>
  <c r="CE64" i="2"/>
  <c r="CB69" i="2" l="1"/>
  <c r="BM69" i="2" s="1"/>
  <c r="CB63" i="2"/>
  <c r="BM63" i="2" s="1"/>
  <c r="CF64" i="2"/>
  <c r="BN64" i="2" s="1"/>
  <c r="CB62" i="2"/>
  <c r="BM62" i="2" s="1"/>
  <c r="CB58" i="2"/>
  <c r="BM58" i="2" s="1"/>
  <c r="AV103" i="2" s="1"/>
  <c r="CB61" i="2"/>
  <c r="BM61" i="2" s="1"/>
  <c r="CB64" i="2"/>
  <c r="BM64" i="2" s="1"/>
  <c r="CB68" i="2"/>
  <c r="BM68" i="2" s="1"/>
  <c r="CB59" i="2"/>
  <c r="BM59" i="2" s="1"/>
  <c r="CF58" i="2"/>
  <c r="BN58" i="2" s="1"/>
  <c r="CF59" i="2"/>
  <c r="BN59" i="2" s="1"/>
  <c r="CF65" i="2"/>
  <c r="BN65" i="2" s="1"/>
  <c r="CF69" i="2"/>
  <c r="BN69" i="2" s="1"/>
  <c r="CF67" i="2"/>
  <c r="BN67" i="2" s="1"/>
  <c r="CF62" i="2"/>
  <c r="BN62" i="2" s="1"/>
  <c r="CF61" i="2"/>
  <c r="BN61" i="2" s="1"/>
  <c r="CF68" i="2"/>
  <c r="BN68" i="2" s="1"/>
  <c r="CF66" i="2"/>
  <c r="BN66" i="2" s="1"/>
  <c r="DQ59" i="2" l="1"/>
  <c r="DJ59" i="2" s="1"/>
  <c r="DQ58" i="2"/>
  <c r="DJ58" i="2" s="1"/>
  <c r="AV113" i="2"/>
  <c r="DQ68" i="2"/>
  <c r="DJ68" i="2" s="1"/>
  <c r="DQ66" i="2"/>
  <c r="DJ66" i="2" s="1"/>
  <c r="DQ61" i="2"/>
  <c r="DJ61" i="2" s="1"/>
  <c r="DQ62" i="2"/>
  <c r="DJ62" i="2" s="1"/>
  <c r="DQ69" i="2"/>
  <c r="DJ69" i="2" s="1"/>
  <c r="DQ67" i="2"/>
  <c r="DJ67" i="2" s="1"/>
  <c r="AV110" i="2"/>
  <c r="AV102" i="2"/>
  <c r="CD58" i="2" s="1"/>
  <c r="AV107" i="2"/>
  <c r="AV105" i="2"/>
  <c r="DQ65" i="2"/>
  <c r="DJ65" i="2" s="1"/>
  <c r="AV112" i="2"/>
  <c r="AV108" i="2"/>
  <c r="DQ63" i="2"/>
  <c r="DJ63" i="2" s="1"/>
  <c r="DQ60" i="2"/>
  <c r="DJ60" i="2" s="1"/>
  <c r="AV111" i="2"/>
  <c r="AV109" i="2"/>
  <c r="AV106" i="2"/>
  <c r="DQ64" i="2"/>
  <c r="DJ64" i="2" s="1"/>
  <c r="AV104" i="2"/>
  <c r="AL103" i="2"/>
  <c r="AL102" i="2"/>
  <c r="DL58" i="2" l="1"/>
  <c r="CD59" i="2"/>
  <c r="DL69" i="2"/>
  <c r="AU113" i="2" s="1"/>
  <c r="DL63" i="2"/>
  <c r="AU107" i="2" s="1"/>
  <c r="DL67" i="2"/>
  <c r="AU111" i="2" s="1"/>
  <c r="DL66" i="2"/>
  <c r="AU110" i="2" s="1"/>
  <c r="AU102" i="2"/>
  <c r="DN58" i="2" a="1"/>
  <c r="DN58" i="2" s="1"/>
  <c r="DL65" i="2"/>
  <c r="AU109" i="2" s="1"/>
  <c r="DL61" i="2"/>
  <c r="AU105" i="2" s="1"/>
  <c r="DL64" i="2"/>
  <c r="AU108" i="2" s="1"/>
  <c r="DL60" i="2"/>
  <c r="AU104" i="2" s="1"/>
  <c r="CD66" i="2"/>
  <c r="DL62" i="2"/>
  <c r="AU106" i="2" s="1"/>
  <c r="DM58" i="2"/>
  <c r="DL68" i="2"/>
  <c r="DL59" i="2"/>
  <c r="DN59" i="2" s="1" a="1"/>
  <c r="DN59" i="2" s="1"/>
  <c r="CD67" i="2"/>
  <c r="CD69" i="2"/>
  <c r="CD61" i="2"/>
  <c r="CD60" i="2"/>
  <c r="CD64" i="2"/>
  <c r="DN69" i="2" a="1"/>
  <c r="DN69" i="2" s="1"/>
  <c r="CD65" i="2"/>
  <c r="CD62" i="2"/>
  <c r="CD68" i="2"/>
  <c r="CD63" i="2"/>
  <c r="BF103" i="2"/>
  <c r="AP102" i="2"/>
  <c r="AR102" i="2"/>
  <c r="AO102" i="2"/>
  <c r="AS102" i="2"/>
  <c r="AQ102" i="2"/>
  <c r="AN102" i="2"/>
  <c r="AT102" i="2"/>
  <c r="AM102" i="2"/>
  <c r="BF104" i="2"/>
  <c r="AQ103" i="2"/>
  <c r="AO103" i="2"/>
  <c r="AN103" i="2"/>
  <c r="AM103" i="2"/>
  <c r="AR103" i="2"/>
  <c r="AP103" i="2"/>
  <c r="AS103" i="2"/>
  <c r="AT103" i="2"/>
  <c r="DN67" i="2" l="1" a="1"/>
  <c r="DN67" i="2" s="1"/>
  <c r="DM67" i="2"/>
  <c r="DM63" i="2"/>
  <c r="DN63" i="2" a="1"/>
  <c r="DN63" i="2" s="1"/>
  <c r="DM65" i="2"/>
  <c r="DN65" i="2" a="1"/>
  <c r="DN65" i="2" s="1"/>
  <c r="DM69" i="2"/>
  <c r="DM66" i="2"/>
  <c r="DN66" i="2" a="1"/>
  <c r="DN66" i="2" s="1"/>
  <c r="DN61" i="2" a="1"/>
  <c r="DN61" i="2" s="1"/>
  <c r="DM59" i="2"/>
  <c r="DN60" i="2" a="1"/>
  <c r="DN60" i="2" s="1"/>
  <c r="AU103" i="2"/>
  <c r="DM64" i="2"/>
  <c r="DN64" i="2" a="1"/>
  <c r="DN64" i="2" s="1"/>
  <c r="DM60" i="2"/>
  <c r="DN62" i="2" a="1"/>
  <c r="DN62" i="2" s="1"/>
  <c r="DM61" i="2"/>
  <c r="DM62" i="2"/>
  <c r="AU112" i="2"/>
  <c r="DM68" i="2"/>
  <c r="DN68" i="2" a="1"/>
  <c r="DN68" i="2" s="1"/>
  <c r="CE60" i="2"/>
  <c r="CF60" i="2" s="1"/>
  <c r="BN60" i="2" s="1"/>
  <c r="CE63" i="2"/>
  <c r="CF63" i="2" s="1"/>
  <c r="BN63" i="2" s="1"/>
  <c r="AU101" i="2" l="1"/>
  <c r="AV100" i="2" s="1"/>
  <c r="AL104" i="2"/>
  <c r="AL107" i="2"/>
  <c r="AL111" i="2"/>
  <c r="AL113" i="2"/>
  <c r="AL110" i="2"/>
  <c r="AL109" i="2"/>
  <c r="AL112" i="2"/>
  <c r="AL106" i="2"/>
  <c r="AL105" i="2"/>
  <c r="AL108" i="2"/>
  <c r="AP112" i="2" l="1"/>
  <c r="AM112" i="2"/>
  <c r="AT112" i="2"/>
  <c r="AN112" i="2"/>
  <c r="AS112" i="2"/>
  <c r="AO112" i="2"/>
  <c r="AR112" i="2"/>
  <c r="AQ112" i="2"/>
  <c r="AP109" i="2"/>
  <c r="BF110" i="2"/>
  <c r="AT109" i="2"/>
  <c r="AQ109" i="2"/>
  <c r="AN109" i="2"/>
  <c r="AR109" i="2"/>
  <c r="AM109" i="2"/>
  <c r="AS109" i="2"/>
  <c r="AO109" i="2"/>
  <c r="AN110" i="2"/>
  <c r="AQ110" i="2"/>
  <c r="AP110" i="2"/>
  <c r="AM110" i="2"/>
  <c r="AT110" i="2"/>
  <c r="AR110" i="2"/>
  <c r="AS110" i="2"/>
  <c r="AO110" i="2"/>
  <c r="AS113" i="2"/>
  <c r="AO113" i="2"/>
  <c r="AM113" i="2"/>
  <c r="AR113" i="2"/>
  <c r="AP113" i="2"/>
  <c r="AT113" i="2"/>
  <c r="AQ113" i="2"/>
  <c r="AN113" i="2"/>
  <c r="AT108" i="2"/>
  <c r="BF109" i="2"/>
  <c r="AQ108" i="2"/>
  <c r="AN108" i="2"/>
  <c r="AM108" i="2"/>
  <c r="AR108" i="2"/>
  <c r="AP108" i="2"/>
  <c r="AO108" i="2"/>
  <c r="AS108" i="2"/>
  <c r="AO111" i="2"/>
  <c r="AR111" i="2"/>
  <c r="AM111" i="2"/>
  <c r="AT111" i="2"/>
  <c r="AN111" i="2"/>
  <c r="AS111" i="2"/>
  <c r="AQ111" i="2"/>
  <c r="AP111" i="2"/>
  <c r="AR105" i="2"/>
  <c r="BF106" i="2"/>
  <c r="AT105" i="2"/>
  <c r="AQ105" i="2"/>
  <c r="AO105" i="2"/>
  <c r="AN105" i="2"/>
  <c r="AP105" i="2"/>
  <c r="AM105" i="2"/>
  <c r="AS105" i="2"/>
  <c r="AO107" i="2"/>
  <c r="AT107" i="2"/>
  <c r="AR107" i="2"/>
  <c r="AP107" i="2"/>
  <c r="AN107" i="2"/>
  <c r="AS107" i="2"/>
  <c r="AM107" i="2"/>
  <c r="BF108" i="2"/>
  <c r="AQ107" i="2"/>
  <c r="AR106" i="2"/>
  <c r="AM106" i="2"/>
  <c r="AQ106" i="2"/>
  <c r="BF107" i="2"/>
  <c r="AT106" i="2"/>
  <c r="AO106" i="2"/>
  <c r="AN106" i="2"/>
  <c r="AP106" i="2"/>
  <c r="AS106" i="2"/>
  <c r="AQ104" i="2"/>
  <c r="AS104" i="2"/>
  <c r="AR104" i="2"/>
  <c r="AP104" i="2"/>
  <c r="AN104" i="2"/>
  <c r="AO104" i="2"/>
  <c r="BF105" i="2"/>
  <c r="AM104" i="2"/>
  <c r="AT104" i="2"/>
  <c r="BG109" i="2" l="1"/>
  <c r="BG110" i="2"/>
  <c r="BG105" i="2"/>
  <c r="BG104" i="2"/>
  <c r="BG103" i="2"/>
  <c r="BG107" i="2"/>
  <c r="BG108" i="2"/>
  <c r="BG106" i="2"/>
  <c r="BJ107" i="2" l="1"/>
  <c r="BJ109" i="2"/>
  <c r="BJ103" i="2"/>
  <c r="BJ108" i="2"/>
  <c r="BJ110" i="2"/>
  <c r="BJ106" i="2"/>
  <c r="BJ104" i="2"/>
  <c r="BJ105" i="2"/>
  <c r="BI112" i="2" l="1"/>
  <c r="B473" i="6" l="1"/>
  <c r="B488" i="6"/>
  <c r="B424" i="6"/>
  <c r="B393" i="6"/>
  <c r="B480" i="6"/>
  <c r="B436" i="6"/>
  <c r="B366" i="6"/>
  <c r="B391" i="6"/>
  <c r="B418" i="6"/>
  <c r="B306" i="6"/>
  <c r="B258" i="6"/>
  <c r="B210" i="6"/>
  <c r="B367" i="6"/>
  <c r="B400" i="6"/>
  <c r="B319" i="6"/>
  <c r="B271" i="6"/>
  <c r="B223" i="6"/>
  <c r="B456" i="6"/>
  <c r="B323" i="6"/>
  <c r="B130" i="6"/>
  <c r="B82" i="6"/>
  <c r="B229" i="6"/>
  <c r="B256" i="6"/>
  <c r="B163" i="6"/>
  <c r="B371" i="6"/>
  <c r="B354" i="6"/>
  <c r="B166" i="6"/>
  <c r="B189" i="6"/>
  <c r="B216" i="6"/>
  <c r="B40" i="6"/>
  <c r="B149" i="6"/>
  <c r="B109" i="6"/>
  <c r="B148" i="6"/>
  <c r="B91" i="6"/>
  <c r="B120" i="6"/>
  <c r="B19" i="6"/>
  <c r="B29" i="6"/>
  <c r="B23" i="6"/>
  <c r="B269" i="6"/>
  <c r="B25" i="6"/>
  <c r="B161" i="6"/>
  <c r="B15" i="6"/>
  <c r="B180" i="6"/>
  <c r="B7" i="6"/>
  <c r="B156" i="6"/>
  <c r="B34" i="6"/>
  <c r="B421" i="6"/>
  <c r="B238" i="6"/>
  <c r="B203" i="6"/>
  <c r="B165" i="6"/>
  <c r="B265" i="6"/>
  <c r="B83" i="6"/>
  <c r="B177" i="6"/>
  <c r="B212" i="6"/>
  <c r="B49" i="6"/>
  <c r="AZ101" i="2"/>
  <c r="B326" i="6"/>
  <c r="B79" i="6"/>
  <c r="B447" i="6"/>
  <c r="B278" i="6"/>
  <c r="B329" i="6"/>
  <c r="B479" i="6"/>
  <c r="B168" i="6"/>
  <c r="B60" i="6"/>
  <c r="B87" i="6"/>
  <c r="B494" i="6"/>
  <c r="B274" i="6"/>
  <c r="B239" i="6"/>
  <c r="B320" i="6"/>
  <c r="B334" i="6"/>
  <c r="B51" i="6"/>
  <c r="B103" i="6"/>
  <c r="B357" i="6"/>
  <c r="B270" i="6"/>
  <c r="B283" i="6"/>
  <c r="B422" i="6"/>
  <c r="B4" i="6"/>
  <c r="B33" i="6"/>
  <c r="B469" i="6"/>
  <c r="B485" i="6"/>
  <c r="B490" i="6"/>
  <c r="B389" i="6"/>
  <c r="B466" i="6"/>
  <c r="B356" i="6"/>
  <c r="B359" i="6"/>
  <c r="B387" i="6"/>
  <c r="B408" i="6"/>
  <c r="B302" i="6"/>
  <c r="B254" i="6"/>
  <c r="B206" i="6"/>
  <c r="B353" i="6"/>
  <c r="B386" i="6"/>
  <c r="B315" i="6"/>
  <c r="B267" i="6"/>
  <c r="B219" i="6"/>
  <c r="B451" i="6"/>
  <c r="B186" i="6"/>
  <c r="B126" i="6"/>
  <c r="B78" i="6"/>
  <c r="B213" i="6"/>
  <c r="B240" i="6"/>
  <c r="B159" i="6"/>
  <c r="B342" i="6"/>
  <c r="B330" i="6"/>
  <c r="B160" i="6"/>
  <c r="B185" i="6"/>
  <c r="B172" i="6"/>
  <c r="B36" i="6"/>
  <c r="B141" i="6"/>
  <c r="B93" i="6"/>
  <c r="B100" i="6"/>
  <c r="B62" i="6"/>
  <c r="B88" i="6"/>
  <c r="B11" i="6"/>
  <c r="B21" i="6"/>
  <c r="B140" i="6"/>
  <c r="B232" i="6"/>
  <c r="B50" i="6"/>
  <c r="B18" i="6"/>
  <c r="B453" i="6"/>
  <c r="B472" i="6"/>
  <c r="B347" i="6"/>
  <c r="B158" i="6"/>
  <c r="B143" i="6"/>
  <c r="B105" i="6"/>
  <c r="B236" i="6"/>
  <c r="B26" i="6"/>
  <c r="B417" i="6"/>
  <c r="B432" i="6"/>
  <c r="B415" i="6"/>
  <c r="B282" i="6"/>
  <c r="B295" i="6"/>
  <c r="B154" i="6"/>
  <c r="B396" i="6"/>
  <c r="B257" i="6"/>
  <c r="B89" i="6"/>
  <c r="B204" i="6"/>
  <c r="B228" i="6"/>
  <c r="B460" i="6"/>
  <c r="B454" i="6"/>
  <c r="B195" i="6"/>
  <c r="B233" i="6"/>
  <c r="B284" i="6"/>
  <c r="B63" i="6"/>
  <c r="B441" i="6"/>
  <c r="B407" i="6"/>
  <c r="B322" i="6"/>
  <c r="B98" i="6"/>
  <c r="B225" i="6"/>
  <c r="B117" i="6"/>
  <c r="B107" i="6"/>
  <c r="B491" i="6"/>
  <c r="B442" i="6"/>
  <c r="B235" i="6"/>
  <c r="B304" i="6"/>
  <c r="B312" i="6"/>
  <c r="B200" i="6"/>
  <c r="B167" i="6"/>
  <c r="B465" i="6"/>
  <c r="B493" i="6"/>
  <c r="B471" i="6"/>
  <c r="B385" i="6"/>
  <c r="B464" i="6"/>
  <c r="B352" i="6"/>
  <c r="B487" i="6"/>
  <c r="B383" i="6"/>
  <c r="B394" i="6"/>
  <c r="B298" i="6"/>
  <c r="B250" i="6"/>
  <c r="B202" i="6"/>
  <c r="B349" i="6"/>
  <c r="B376" i="6"/>
  <c r="B311" i="6"/>
  <c r="B263" i="6"/>
  <c r="B215" i="6"/>
  <c r="B438" i="6"/>
  <c r="B178" i="6"/>
  <c r="B122" i="6"/>
  <c r="B74" i="6"/>
  <c r="B197" i="6"/>
  <c r="B224" i="6"/>
  <c r="B155" i="6"/>
  <c r="B313" i="6"/>
  <c r="B321" i="6"/>
  <c r="B152" i="6"/>
  <c r="B169" i="6"/>
  <c r="B124" i="6"/>
  <c r="B32" i="6"/>
  <c r="B112" i="6"/>
  <c r="B77" i="6"/>
  <c r="B68" i="6"/>
  <c r="B54" i="6"/>
  <c r="B420" i="6"/>
  <c r="B3" i="6"/>
  <c r="B13" i="6"/>
  <c r="B113" i="6"/>
  <c r="B476" i="6"/>
  <c r="B419" i="6"/>
  <c r="B190" i="6"/>
  <c r="B299" i="6"/>
  <c r="B392" i="6"/>
  <c r="B184" i="6"/>
  <c r="B108" i="6"/>
  <c r="B64" i="6"/>
  <c r="B111" i="6"/>
  <c r="B174" i="6"/>
  <c r="B462" i="6"/>
  <c r="B336" i="6"/>
  <c r="B234" i="6"/>
  <c r="B343" i="6"/>
  <c r="B199" i="6"/>
  <c r="B106" i="6"/>
  <c r="B176" i="6"/>
  <c r="B92" i="6"/>
  <c r="B16" i="6"/>
  <c r="B97" i="6"/>
  <c r="B95" i="6"/>
  <c r="B445" i="6"/>
  <c r="B411" i="6"/>
  <c r="B339" i="6"/>
  <c r="B309" i="6"/>
  <c r="B76" i="6"/>
  <c r="B65" i="6"/>
  <c r="B84" i="6"/>
  <c r="B372" i="6"/>
  <c r="B427" i="6"/>
  <c r="B335" i="6"/>
  <c r="B146" i="6"/>
  <c r="B131" i="6"/>
  <c r="B56" i="6"/>
  <c r="B61" i="6"/>
  <c r="B444" i="6"/>
  <c r="B403" i="6"/>
  <c r="B452" i="6"/>
  <c r="B142" i="6"/>
  <c r="B209" i="6"/>
  <c r="B220" i="6"/>
  <c r="B47" i="6"/>
  <c r="B461" i="6"/>
  <c r="B495" i="6"/>
  <c r="B455" i="6"/>
  <c r="B381" i="6"/>
  <c r="B450" i="6"/>
  <c r="B348" i="6"/>
  <c r="B463" i="6"/>
  <c r="B379" i="6"/>
  <c r="B384" i="6"/>
  <c r="B294" i="6"/>
  <c r="B246" i="6"/>
  <c r="B198" i="6"/>
  <c r="B345" i="6"/>
  <c r="B355" i="6"/>
  <c r="B307" i="6"/>
  <c r="B259" i="6"/>
  <c r="B211" i="6"/>
  <c r="B416" i="6"/>
  <c r="B170" i="6"/>
  <c r="B118" i="6"/>
  <c r="B70" i="6"/>
  <c r="B181" i="6"/>
  <c r="B208" i="6"/>
  <c r="B151" i="6"/>
  <c r="B297" i="6"/>
  <c r="B305" i="6"/>
  <c r="B144" i="6"/>
  <c r="B129" i="6"/>
  <c r="B115" i="6"/>
  <c r="B28" i="6"/>
  <c r="B96" i="6"/>
  <c r="B300" i="6"/>
  <c r="B301" i="6"/>
  <c r="B46" i="6"/>
  <c r="B308" i="6"/>
  <c r="B406" i="6"/>
  <c r="B5" i="6"/>
  <c r="B2" i="6"/>
  <c r="B72" i="6"/>
  <c r="B373" i="6"/>
  <c r="B434" i="6"/>
  <c r="B340" i="6"/>
  <c r="B489" i="6"/>
  <c r="B286" i="6"/>
  <c r="B337" i="6"/>
  <c r="B251" i="6"/>
  <c r="B378" i="6"/>
  <c r="B273" i="6"/>
  <c r="B20" i="6"/>
  <c r="B30" i="6"/>
  <c r="B145" i="6"/>
  <c r="B449" i="6"/>
  <c r="B459" i="6"/>
  <c r="B333" i="6"/>
  <c r="B486" i="6"/>
  <c r="B249" i="6"/>
  <c r="B67" i="6"/>
  <c r="B22" i="6"/>
  <c r="B382" i="6"/>
  <c r="B413" i="6"/>
  <c r="B364" i="6"/>
  <c r="B243" i="6"/>
  <c r="B135" i="6"/>
  <c r="B125" i="6"/>
  <c r="B205" i="6"/>
  <c r="B409" i="6"/>
  <c r="B358" i="6"/>
  <c r="B287" i="6"/>
  <c r="B293" i="6"/>
  <c r="B317" i="6"/>
  <c r="B264" i="6"/>
  <c r="B41" i="6"/>
  <c r="B437" i="6"/>
  <c r="B467" i="6"/>
  <c r="B404" i="6"/>
  <c r="B398" i="6"/>
  <c r="B127" i="6"/>
  <c r="B52" i="6"/>
  <c r="B43" i="6"/>
  <c r="B81" i="6"/>
  <c r="B457" i="6"/>
  <c r="B478" i="6"/>
  <c r="B439" i="6"/>
  <c r="B377" i="6"/>
  <c r="B448" i="6"/>
  <c r="B344" i="6"/>
  <c r="B423" i="6"/>
  <c r="B375" i="6"/>
  <c r="B324" i="6"/>
  <c r="B290" i="6"/>
  <c r="B242" i="6"/>
  <c r="B194" i="6"/>
  <c r="B341" i="6"/>
  <c r="B351" i="6"/>
  <c r="B303" i="6"/>
  <c r="B255" i="6"/>
  <c r="B207" i="6"/>
  <c r="B402" i="6"/>
  <c r="B162" i="6"/>
  <c r="B114" i="6"/>
  <c r="B66" i="6"/>
  <c r="B173" i="6"/>
  <c r="B192" i="6"/>
  <c r="B147" i="6"/>
  <c r="B281" i="6"/>
  <c r="B289" i="6"/>
  <c r="B136" i="6"/>
  <c r="B121" i="6"/>
  <c r="B99" i="6"/>
  <c r="B24" i="6"/>
  <c r="B80" i="6"/>
  <c r="B268" i="6"/>
  <c r="B237" i="6"/>
  <c r="B38" i="6"/>
  <c r="B244" i="6"/>
  <c r="B260" i="6"/>
  <c r="B276" i="6"/>
  <c r="B296" i="6"/>
  <c r="B58" i="6"/>
  <c r="B104" i="6"/>
  <c r="B360" i="6"/>
  <c r="B110" i="6"/>
  <c r="B196" i="6"/>
  <c r="B369" i="6"/>
  <c r="B468" i="6"/>
  <c r="B496" i="6"/>
  <c r="B247" i="6"/>
  <c r="B139" i="6"/>
  <c r="B316" i="6"/>
  <c r="B119" i="6"/>
  <c r="B42" i="6"/>
  <c r="B365" i="6"/>
  <c r="B332" i="6"/>
  <c r="B230" i="6"/>
  <c r="B291" i="6"/>
  <c r="B150" i="6"/>
  <c r="B346" i="6"/>
  <c r="B241" i="6"/>
  <c r="B12" i="6"/>
  <c r="B59" i="6"/>
  <c r="B75" i="6"/>
  <c r="B361" i="6"/>
  <c r="B226" i="6"/>
  <c r="B412" i="6"/>
  <c r="B217" i="6"/>
  <c r="B252" i="6"/>
  <c r="B55" i="6"/>
  <c r="B370" i="6"/>
  <c r="B318" i="6"/>
  <c r="B331" i="6"/>
  <c r="B94" i="6"/>
  <c r="B285" i="6"/>
  <c r="B183" i="6"/>
  <c r="B481" i="6"/>
  <c r="B433" i="6"/>
  <c r="B430" i="6"/>
  <c r="B401" i="6"/>
  <c r="B492" i="6"/>
  <c r="B363" i="6"/>
  <c r="B426" i="6"/>
  <c r="B399" i="6"/>
  <c r="B431" i="6"/>
  <c r="B314" i="6"/>
  <c r="B266" i="6"/>
  <c r="B218" i="6"/>
  <c r="B390" i="6"/>
  <c r="B435" i="6"/>
  <c r="B327" i="6"/>
  <c r="B279" i="6"/>
  <c r="B231" i="6"/>
  <c r="B458" i="6"/>
  <c r="B362" i="6"/>
  <c r="B138" i="6"/>
  <c r="B90" i="6"/>
  <c r="B261" i="6"/>
  <c r="B288" i="6"/>
  <c r="B179" i="6"/>
  <c r="B123" i="6"/>
  <c r="B388" i="6"/>
  <c r="B193" i="6"/>
  <c r="B253" i="6"/>
  <c r="B280" i="6"/>
  <c r="B48" i="6"/>
  <c r="B175" i="6"/>
  <c r="B188" i="6"/>
  <c r="B85" i="6"/>
  <c r="B164" i="6"/>
  <c r="B153" i="6"/>
  <c r="B35" i="6"/>
  <c r="B45" i="6"/>
  <c r="B39" i="6"/>
  <c r="B338" i="6"/>
  <c r="B128" i="6"/>
  <c r="B116" i="6"/>
  <c r="B477" i="6"/>
  <c r="B429" i="6"/>
  <c r="B428" i="6"/>
  <c r="B397" i="6"/>
  <c r="B482" i="6"/>
  <c r="B470" i="6"/>
  <c r="B368" i="6"/>
  <c r="B395" i="6"/>
  <c r="B425" i="6"/>
  <c r="B310" i="6"/>
  <c r="B262" i="6"/>
  <c r="B214" i="6"/>
  <c r="B380" i="6"/>
  <c r="B410" i="6"/>
  <c r="B325" i="6"/>
  <c r="B275" i="6"/>
  <c r="B227" i="6"/>
  <c r="B474" i="6"/>
  <c r="B350" i="6"/>
  <c r="B134" i="6"/>
  <c r="B86" i="6"/>
  <c r="B245" i="6"/>
  <c r="B272" i="6"/>
  <c r="B171" i="6"/>
  <c r="B443" i="6"/>
  <c r="B374" i="6"/>
  <c r="B182" i="6"/>
  <c r="B221" i="6"/>
  <c r="B248" i="6"/>
  <c r="B44" i="6"/>
  <c r="B157" i="6"/>
  <c r="B133" i="6"/>
  <c r="B69" i="6"/>
  <c r="B132" i="6"/>
  <c r="B137" i="6"/>
  <c r="B27" i="6"/>
  <c r="B37" i="6"/>
  <c r="B31" i="6"/>
  <c r="B292" i="6"/>
  <c r="B57" i="6"/>
  <c r="B10" i="6"/>
  <c r="B17" i="6"/>
  <c r="B484" i="6"/>
  <c r="B483" i="6"/>
  <c r="B102" i="6"/>
  <c r="B73" i="6"/>
  <c r="B14" i="6"/>
  <c r="B440" i="6"/>
  <c r="B446" i="6"/>
  <c r="B328" i="6"/>
  <c r="B414" i="6"/>
  <c r="B191" i="6"/>
  <c r="B475" i="6"/>
  <c r="B8" i="6"/>
  <c r="B6" i="6"/>
  <c r="B71" i="6"/>
  <c r="B405" i="6"/>
  <c r="B222" i="6"/>
  <c r="B187" i="6"/>
  <c r="B277" i="6"/>
  <c r="B201" i="6"/>
  <c r="B101" i="6"/>
  <c r="B53" i="6"/>
  <c r="B9" i="6"/>
  <c r="N105" i="2" l="1"/>
  <c r="AF106" i="2" s="1"/>
  <c r="BG121" i="2"/>
  <c r="AZ107" i="2" s="1"/>
  <c r="BG117" i="2"/>
  <c r="AZ103" i="2" s="1"/>
  <c r="BG123" i="2"/>
  <c r="AZ109" i="2" s="1"/>
  <c r="N102" i="2"/>
  <c r="AF103" i="2" s="1"/>
  <c r="BG124" i="2"/>
  <c r="AZ110" i="2" s="1"/>
  <c r="N108" i="2"/>
  <c r="AF108" i="2" s="1"/>
  <c r="N113" i="2"/>
  <c r="AF113" i="2" s="1"/>
  <c r="N107" i="2"/>
  <c r="AF107" i="2" s="1"/>
  <c r="N115" i="2"/>
  <c r="AF116" i="2" s="1"/>
  <c r="BG120" i="2"/>
  <c r="AZ106" i="2" s="1"/>
  <c r="B497" i="6"/>
  <c r="BG122" i="2" s="1"/>
  <c r="AZ108" i="2" s="1"/>
  <c r="BG119" i="2"/>
  <c r="AZ105" i="2" s="1"/>
  <c r="N110" i="2"/>
  <c r="AF109" i="2" s="1"/>
  <c r="N109" i="2"/>
  <c r="AF110" i="2" s="1"/>
  <c r="BG118" i="2"/>
  <c r="AZ104" i="2" s="1"/>
  <c r="C161" i="3" l="1"/>
  <c r="AA49" i="4"/>
  <c r="B179" i="3"/>
  <c r="C179" i="3"/>
  <c r="AA34" i="4"/>
  <c r="C170" i="3"/>
  <c r="C152" i="3"/>
  <c r="B170" i="3"/>
  <c r="B176" i="3"/>
  <c r="C176" i="3"/>
  <c r="C158" i="3"/>
  <c r="AA46" i="4"/>
  <c r="AA37" i="4"/>
  <c r="C153" i="3"/>
  <c r="B171" i="3"/>
  <c r="C171" i="3"/>
  <c r="C166" i="3"/>
  <c r="AA4" i="4"/>
  <c r="B166" i="3"/>
  <c r="C148" i="3"/>
  <c r="C155" i="3"/>
  <c r="C173" i="3"/>
  <c r="B173" i="3"/>
  <c r="AA22" i="4"/>
  <c r="C172" i="3"/>
  <c r="B172" i="3"/>
  <c r="C154" i="3"/>
  <c r="AA25" i="4"/>
  <c r="C151" i="3"/>
  <c r="AA7" i="4"/>
  <c r="B169" i="3"/>
  <c r="C169" i="3"/>
  <c r="BI40" i="4" l="1"/>
  <c r="BH40" i="4" s="1"/>
  <c r="BI33" i="4"/>
  <c r="BH33" i="4" s="1"/>
  <c r="BI17" i="4"/>
  <c r="BH17" i="4" s="1"/>
  <c r="BI12" i="4"/>
  <c r="BH12" i="4" s="1"/>
  <c r="BI28" i="4"/>
  <c r="BH28" i="4" s="1"/>
  <c r="BI22" i="4"/>
  <c r="BH22" i="4" s="1"/>
  <c r="BI19" i="4"/>
  <c r="BH19" i="4" s="1"/>
  <c r="BI42" i="4"/>
  <c r="BH42" i="4" s="1"/>
  <c r="BI37" i="4"/>
  <c r="BH37" i="4" s="1"/>
  <c r="BI20" i="4"/>
  <c r="BH20" i="4" s="1"/>
  <c r="BI21" i="4"/>
  <c r="BH21" i="4" s="1"/>
  <c r="BI27" i="4"/>
  <c r="BH27" i="4" s="1"/>
  <c r="BI26" i="4"/>
  <c r="BH26" i="4" s="1"/>
  <c r="BI7" i="4"/>
  <c r="BH7" i="4" s="1"/>
  <c r="BI32" i="4"/>
  <c r="BH32" i="4" s="1"/>
  <c r="BI9" i="4"/>
  <c r="BH9" i="4" s="1"/>
  <c r="BI15" i="4"/>
  <c r="BH15" i="4" s="1"/>
  <c r="BI8" i="4"/>
  <c r="BH8" i="4" s="1"/>
  <c r="BI44" i="4"/>
  <c r="BH44" i="4" s="1"/>
  <c r="BI39" i="4"/>
  <c r="BH39" i="4" s="1"/>
  <c r="BI48" i="4"/>
  <c r="BH48" i="4" s="1"/>
  <c r="BI49" i="4"/>
  <c r="BH49" i="4" s="1"/>
  <c r="BI45" i="4"/>
  <c r="BH45" i="4" s="1"/>
  <c r="BI18" i="4"/>
  <c r="BH18" i="4" s="1"/>
  <c r="BI46" i="4"/>
  <c r="BH46" i="4" s="1"/>
  <c r="BI43" i="4"/>
  <c r="BH43" i="4" s="1"/>
  <c r="BI25" i="4"/>
  <c r="BH25" i="4" s="1"/>
  <c r="BI5" i="4"/>
  <c r="BH5" i="4" s="1"/>
  <c r="BI24" i="4"/>
  <c r="BH24" i="4" s="1"/>
  <c r="BI16" i="4"/>
  <c r="BH16" i="4" s="1"/>
  <c r="BI6" i="4"/>
  <c r="BH6" i="4" s="1"/>
  <c r="BI31" i="4"/>
  <c r="BH31" i="4" s="1"/>
  <c r="BI29" i="4"/>
  <c r="BH29" i="4" s="1"/>
  <c r="BI51" i="4"/>
  <c r="BH51" i="4" s="1"/>
  <c r="BI30" i="4"/>
  <c r="BH30" i="4" s="1"/>
  <c r="BI50" i="4"/>
  <c r="BH50" i="4" s="1"/>
  <c r="BI38" i="4"/>
  <c r="BH38" i="4" s="1"/>
  <c r="BI23" i="4"/>
  <c r="BH23" i="4" s="1"/>
  <c r="BI47" i="4"/>
  <c r="BH47" i="4" s="1"/>
  <c r="BI36" i="4"/>
  <c r="BH36" i="4" s="1"/>
  <c r="BI35" i="4"/>
  <c r="BH35" i="4" s="1"/>
  <c r="BI11" i="4"/>
  <c r="BH11" i="4" s="1"/>
  <c r="BI34" i="4"/>
  <c r="BH34" i="4" s="1"/>
  <c r="BI13" i="4"/>
  <c r="BH13" i="4" s="1"/>
  <c r="BI14" i="4"/>
  <c r="BH14" i="4" s="1"/>
  <c r="BI10" i="4"/>
  <c r="BH10" i="4" s="1"/>
  <c r="BI4" i="4"/>
  <c r="BH4" i="4" s="1"/>
  <c r="BI41" i="4"/>
  <c r="BH41" i="4" s="1"/>
</calcChain>
</file>

<file path=xl/sharedStrings.xml><?xml version="1.0" encoding="utf-8"?>
<sst xmlns="http://schemas.openxmlformats.org/spreadsheetml/2006/main" count="6810" uniqueCount="1516">
  <si>
    <t>Español</t>
  </si>
  <si>
    <t>UTC -4</t>
  </si>
  <si>
    <t>Fixture</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</si>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</sst>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6"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
      <sz val="11"/>
      <color rgb="FF000000"/>
      <name val="Calibri"/>
      <family val="2"/>
      <scheme val="minor"/>
    </font>
    <font>
      <sz val="14"/>
      <color rgb="FFB5CEA8"/>
      <name val="Menlo"/>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9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14" fontId="81" fillId="3" borderId="0" xfId="0" quotePrefix="1" applyNumberFormat="1" applyFont="1" applyFill="1" applyAlignment="1" applyProtection="1">
      <alignment horizontal="center" vertical="center"/>
      <protection hidden="1"/>
    </xf>
    <xf numFmtId="0" fontId="94" fillId="0" borderId="0" xfId="0" applyFont="1"/>
    <xf numFmtId="16" fontId="0" fillId="0" borderId="0" xfId="0" applyNumberFormat="1"/>
    <xf numFmtId="0" fontId="95" fillId="0" borderId="0" xfId="0" applyFont="1"/>
    <xf numFmtId="16" fontId="95" fillId="0" borderId="0" xfId="0" applyNumberFormat="1"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14" fillId="19"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29" fillId="36"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14" fillId="26" borderId="38" xfId="0" applyNumberFormat="1" applyFont="1" applyFill="1" applyBorder="1" applyAlignment="1" applyProtection="1">
      <alignment horizontal="center" vertical="center" textRotation="2"/>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81" fillId="3" borderId="0" xfId="0" quotePrefix="1" applyNumberFormat="1" applyFont="1" applyFill="1" applyAlignment="1" applyProtection="1">
      <alignment horizontal="center" vertical="center"/>
      <protection hidden="1"/>
    </xf>
    <xf numFmtId="14" fontId="78" fillId="36" borderId="0" xfId="0" quotePrefix="1" applyNumberFormat="1" applyFont="1" applyFill="1" applyAlignment="1" applyProtection="1">
      <alignment horizontal="center" vertical="top"/>
      <protection hidden="1"/>
    </xf>
    <xf numFmtId="14" fontId="80" fillId="3" borderId="0" xfId="0" quotePrefix="1" applyNumberFormat="1" applyFont="1" applyFill="1" applyAlignment="1" applyProtection="1">
      <alignment horizontal="center" vertical="center"/>
      <protection hidden="1"/>
    </xf>
    <xf numFmtId="14" fontId="78" fillId="13" borderId="0" xfId="0" applyNumberFormat="1" applyFont="1" applyFill="1" applyAlignment="1" applyProtection="1">
      <alignment horizontal="center" vertical="center" textRotation="2"/>
      <protection hidden="1"/>
    </xf>
    <xf numFmtId="14" fontId="78" fillId="6" borderId="0" xfId="0" quotePrefix="1" applyNumberFormat="1" applyFont="1" applyFill="1" applyAlignment="1" applyProtection="1">
      <alignment horizontal="center" vertical="top" wrapText="1"/>
      <protection hidden="1"/>
    </xf>
    <xf numFmtId="0" fontId="78" fillId="3" borderId="0" xfId="0" applyFont="1" applyFill="1" applyAlignment="1" applyProtection="1">
      <alignment horizontal="center" vertical="center"/>
      <protection hidden="1"/>
    </xf>
    <xf numFmtId="0" fontId="44" fillId="5" borderId="0" xfId="0" applyFont="1" applyFill="1" applyAlignment="1" applyProtection="1">
      <alignment horizontal="left" vertical="center" wrapText="1"/>
      <protection hidden="1"/>
    </xf>
    <xf numFmtId="0" fontId="44" fillId="9" borderId="0" xfId="0" applyFont="1" applyFill="1" applyAlignment="1">
      <alignment horizontal="left" vertical="center" wrapText="1"/>
    </xf>
    <xf numFmtId="0" fontId="45" fillId="0" borderId="0" xfId="0" applyFont="1"/>
    <xf numFmtId="0" fontId="44" fillId="9" borderId="12" xfId="0" applyFont="1" applyFill="1" applyBorder="1" applyAlignment="1">
      <alignment horizontal="left" vertical="center" wrapText="1"/>
    </xf>
    <xf numFmtId="0" fontId="0" fillId="0" borderId="12" xfId="0" applyBorder="1"/>
    <xf numFmtId="14" fontId="78" fillId="35" borderId="0" xfId="0" quotePrefix="1" applyNumberFormat="1" applyFont="1" applyFill="1" applyAlignment="1" applyProtection="1">
      <alignment horizontal="center" vertical="top"/>
      <protection hidden="1"/>
    </xf>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0" fillId="0" borderId="14" xfId="0" applyBorder="1"/>
    <xf numFmtId="0" fontId="44" fillId="9" borderId="1" xfId="0" applyFont="1" applyFill="1" applyBorder="1" applyAlignment="1">
      <alignment horizontal="left" vertical="center" wrapText="1"/>
    </xf>
    <xf numFmtId="0" fontId="0" fillId="0" borderId="1" xfId="0" applyBorder="1"/>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0" fontId="75" fillId="42" borderId="0" xfId="0" applyFont="1" applyFill="1" applyAlignment="1" applyProtection="1">
      <alignment horizontal="center" vertical="center"/>
      <protection hidden="1"/>
    </xf>
    <xf numFmtId="0" fontId="44" fillId="47" borderId="4" xfId="0" applyFont="1" applyFill="1" applyBorder="1" applyAlignment="1">
      <alignment horizontal="left" vertical="center" wrapText="1"/>
    </xf>
    <xf numFmtId="0" fontId="0" fillId="0" borderId="4" xfId="0" applyBorder="1"/>
    <xf numFmtId="0" fontId="45" fillId="9" borderId="1" xfId="0" applyFont="1" applyFill="1" applyBorder="1" applyAlignment="1">
      <alignment horizontal="left" vertical="center" wrapText="1"/>
    </xf>
    <xf numFmtId="0" fontId="85" fillId="13" borderId="14" xfId="0" applyFont="1" applyFill="1" applyBorder="1" applyAlignment="1">
      <alignment horizontal="center" vertical="top"/>
    </xf>
    <xf numFmtId="0" fontId="44" fillId="8" borderId="1" xfId="0" applyFont="1" applyFill="1" applyBorder="1" applyAlignment="1">
      <alignment horizontal="left" vertical="center" wrapText="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50"/>
  <sheetViews>
    <sheetView showGridLines="0" showRowColHeaders="0" zoomScaleNormal="100" workbookViewId="0">
      <selection activeCell="AE14" sqref="AE14"/>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29" t="str">
        <f>Idiomas!D8</f>
        <v>XXIII Mundial USA/MEX/CAN 2026</v>
      </c>
      <c r="C3" s="624"/>
      <c r="D3" s="624"/>
      <c r="E3" s="624"/>
      <c r="F3" s="624"/>
      <c r="G3" s="624"/>
      <c r="H3" s="624"/>
      <c r="I3" s="624"/>
      <c r="J3" s="624"/>
      <c r="K3" s="624"/>
      <c r="L3" s="624"/>
      <c r="M3" s="291"/>
      <c r="N3" s="291"/>
      <c r="O3" s="291"/>
      <c r="P3" s="291"/>
      <c r="Q3" s="291"/>
      <c r="R3" s="291"/>
      <c r="S3" s="291"/>
      <c r="T3" s="291"/>
      <c r="U3" s="291"/>
      <c r="V3" s="291"/>
      <c r="W3" s="291"/>
      <c r="X3" s="291"/>
      <c r="Y3" s="291"/>
      <c r="Z3" s="291"/>
      <c r="AA3" s="291"/>
      <c r="AB3" s="291"/>
      <c r="AC3" s="291"/>
      <c r="AD3" s="291"/>
      <c r="AE3" s="291"/>
      <c r="AZ3" s="617"/>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c r="AD4" s="291"/>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c r="AD5" s="291"/>
      <c r="AE5" s="291"/>
    </row>
    <row r="6" spans="1:52" ht="25" customHeight="1" thickBot="1" x14ac:dyDescent="0.25">
      <c r="A6" s="291"/>
      <c r="B6" s="19"/>
      <c r="C6" s="283" t="s">
        <v>0</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c r="AD6" s="291"/>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c r="AD7" s="291"/>
      <c r="AE7" s="291"/>
    </row>
    <row r="8" spans="1:52" ht="25" customHeight="1" thickBot="1" x14ac:dyDescent="0.25">
      <c r="A8" s="291"/>
      <c r="B8" s="19"/>
      <c r="C8" s="283" t="s">
        <v>1</v>
      </c>
      <c r="D8" s="291"/>
      <c r="E8" s="294"/>
      <c r="F8" s="294"/>
      <c r="G8" s="294"/>
      <c r="H8" s="294"/>
      <c r="I8" s="294"/>
      <c r="J8" s="294"/>
      <c r="K8" s="300" t="s">
        <v>2</v>
      </c>
      <c r="L8" s="291"/>
      <c r="M8" s="291"/>
      <c r="N8" s="291"/>
      <c r="O8" s="291"/>
      <c r="P8" s="291"/>
      <c r="Q8" s="291"/>
      <c r="R8" s="291"/>
      <c r="S8" s="291"/>
      <c r="T8" s="291"/>
      <c r="U8" s="291"/>
      <c r="V8" s="291"/>
      <c r="W8" s="291"/>
      <c r="X8" s="291"/>
      <c r="Y8" s="291"/>
      <c r="Z8" s="291"/>
      <c r="AA8" s="291"/>
      <c r="AB8" s="291"/>
      <c r="AC8" s="291"/>
      <c r="AD8" s="291"/>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c r="AD9" s="291"/>
      <c r="AE9" s="291"/>
    </row>
    <row r="10" spans="1:52" ht="25" customHeight="1" thickBot="1" x14ac:dyDescent="0.25">
      <c r="A10" s="291"/>
      <c r="B10" s="19"/>
      <c r="C10" s="283" t="str">
        <f>Idiomas!D45</f>
        <v>Nombre</v>
      </c>
      <c r="D10" s="291"/>
      <c r="E10" s="294"/>
      <c r="F10" s="294"/>
      <c r="G10" s="294"/>
      <c r="H10" s="294"/>
      <c r="I10" s="294"/>
      <c r="J10" s="294"/>
      <c r="K10" s="300" t="s">
        <v>3</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c r="AD12" s="291"/>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c r="AD13" s="291"/>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c r="AD14" s="291"/>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c r="AD15" s="291"/>
      <c r="AE15" s="291"/>
    </row>
    <row r="16" spans="1:52" ht="40" customHeight="1" thickBot="1" x14ac:dyDescent="0.25">
      <c r="A16" s="291"/>
      <c r="B16" s="291"/>
      <c r="C16" s="291"/>
      <c r="D16" s="291"/>
      <c r="E16" s="623" t="str">
        <f>HYPERLINK(Idiomas!D10,Idiomas!D5)</f>
        <v>Si quieres organizar una porra (quiniela) con tu grupo puedes descargar el archivo de adminsitrador desde el enlace de abajo</v>
      </c>
      <c r="F16" s="624"/>
      <c r="G16" s="624"/>
      <c r="H16" s="624"/>
      <c r="I16" s="624"/>
      <c r="J16" s="294"/>
      <c r="K16" s="304"/>
      <c r="L16" s="291"/>
      <c r="M16" s="291"/>
      <c r="N16" s="291"/>
      <c r="O16" s="291"/>
      <c r="P16" s="291"/>
      <c r="Q16" s="291"/>
      <c r="R16" s="291"/>
      <c r="S16" s="291"/>
      <c r="T16" s="291"/>
      <c r="U16" s="291"/>
      <c r="V16" s="291"/>
      <c r="W16" s="291"/>
      <c r="X16" s="291"/>
      <c r="Y16" s="291"/>
      <c r="Z16" s="291"/>
      <c r="AA16" s="291"/>
      <c r="AB16" s="291"/>
      <c r="AC16" s="291"/>
      <c r="AD16" s="291"/>
      <c r="AE16" s="291"/>
    </row>
    <row r="17" spans="1:31" ht="40" customHeight="1" thickBot="1" x14ac:dyDescent="0.25">
      <c r="A17" s="291"/>
      <c r="B17" s="291"/>
      <c r="C17" s="291"/>
      <c r="D17" s="291"/>
      <c r="E17" s="626" t="str">
        <f>HYPERLINK(Idiomas!D10,Idiomas!D9)</f>
        <v>▼ Descargar Excel Administrador Porra ▼</v>
      </c>
      <c r="F17" s="627"/>
      <c r="G17" s="627"/>
      <c r="H17" s="627"/>
      <c r="I17" s="628"/>
      <c r="J17" s="294"/>
      <c r="K17" s="305" t="s">
        <v>4</v>
      </c>
      <c r="L17" s="306"/>
      <c r="M17" s="291"/>
      <c r="N17" s="307"/>
      <c r="O17" s="308"/>
      <c r="P17" s="291"/>
      <c r="Q17" s="291"/>
      <c r="R17" s="291"/>
      <c r="S17" s="291"/>
      <c r="T17" s="291"/>
      <c r="U17" s="291"/>
      <c r="V17" s="291"/>
      <c r="W17" s="291"/>
      <c r="X17" s="291"/>
      <c r="Y17" s="291"/>
      <c r="Z17" s="291"/>
      <c r="AA17" s="291"/>
      <c r="AB17" s="291"/>
      <c r="AC17" s="291"/>
      <c r="AD17" s="291"/>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5</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c r="AD20" s="291"/>
      <c r="AE20" s="291"/>
    </row>
    <row r="21" spans="1:31" ht="15" customHeight="1" thickBot="1" x14ac:dyDescent="0.25">
      <c r="A21" s="291"/>
      <c r="B21" s="291" t="s">
        <v>5</v>
      </c>
      <c r="C21" s="291"/>
      <c r="D21" s="291"/>
      <c r="E21" s="309" t="s">
        <v>6</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c r="AD21" s="291"/>
      <c r="AE21" s="291"/>
    </row>
    <row r="22" spans="1:31" ht="31" customHeight="1" thickBot="1" x14ac:dyDescent="0.25">
      <c r="A22" s="291"/>
      <c r="B22" s="291" t="s">
        <v>5</v>
      </c>
      <c r="C22" s="291"/>
      <c r="D22" s="291"/>
      <c r="E22" s="20" t="s">
        <v>7</v>
      </c>
      <c r="F22" s="21" t="s">
        <v>8</v>
      </c>
      <c r="G22" s="22" t="s">
        <v>9</v>
      </c>
      <c r="H22" s="23" t="s">
        <v>10</v>
      </c>
      <c r="I22" s="310" t="s">
        <v>11</v>
      </c>
      <c r="J22" s="294"/>
      <c r="K22" s="294"/>
      <c r="L22" s="291"/>
      <c r="M22" s="291"/>
      <c r="N22" s="291"/>
      <c r="O22" s="302"/>
      <c r="P22" s="291"/>
      <c r="Q22" s="291"/>
      <c r="R22" s="291"/>
      <c r="S22" s="291"/>
      <c r="T22" s="291"/>
      <c r="U22" s="291"/>
      <c r="V22" s="291"/>
      <c r="W22" s="291"/>
      <c r="X22" s="291"/>
      <c r="Y22" s="291"/>
      <c r="Z22" s="291"/>
      <c r="AA22" s="291"/>
      <c r="AB22" s="291"/>
      <c r="AC22" s="291"/>
      <c r="AD22" s="291"/>
      <c r="AE22" s="291"/>
    </row>
    <row r="23" spans="1:31" ht="20" customHeight="1" thickBot="1" x14ac:dyDescent="0.25">
      <c r="A23" s="291"/>
      <c r="B23" s="291" t="s">
        <v>5</v>
      </c>
      <c r="C23" s="291"/>
      <c r="D23" s="291"/>
      <c r="E23" s="294"/>
      <c r="F23" s="294"/>
      <c r="G23" s="294"/>
      <c r="H23" s="294"/>
      <c r="I23" s="294"/>
      <c r="J23" s="294"/>
      <c r="K23" s="289" t="s">
        <v>12</v>
      </c>
      <c r="L23" s="290" t="str">
        <f>+Idiomas!D12</f>
        <v>Donar</v>
      </c>
      <c r="M23" s="291"/>
      <c r="N23" s="302"/>
      <c r="O23" s="302"/>
      <c r="P23" s="291"/>
      <c r="Q23" s="291"/>
      <c r="R23" s="291"/>
      <c r="S23" s="291"/>
      <c r="T23" s="291"/>
      <c r="U23" s="291"/>
      <c r="V23" s="291"/>
      <c r="W23" s="291"/>
      <c r="X23" s="291"/>
      <c r="Y23" s="291"/>
      <c r="Z23" s="291"/>
      <c r="AA23" s="291"/>
      <c r="AB23" s="291"/>
      <c r="AC23" s="291"/>
      <c r="AD23" s="291"/>
      <c r="AE23" s="291"/>
    </row>
    <row r="24" spans="1:31" ht="30" customHeight="1" x14ac:dyDescent="0.2">
      <c r="A24" s="291"/>
      <c r="B24" s="625"/>
      <c r="C24" s="624"/>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c r="AD24" s="291"/>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c r="AD25" s="291"/>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c r="AD28" s="291"/>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c r="AD30" s="291"/>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c r="AD31" s="291"/>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c r="AD32" s="291"/>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c r="AD33" s="291"/>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c r="AD36" s="291"/>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c r="AD37" s="291"/>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c r="AD38" s="291"/>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c r="AD39" s="291"/>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c r="AD40" s="291"/>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c r="AD41" s="291"/>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c r="AD44" s="291"/>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c r="AD45" s="291"/>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c r="AD46" s="291"/>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c r="AD47" s="291"/>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c r="AD48" s="291"/>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c r="AD49" s="291"/>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V26" zoomScaleNormal="100" workbookViewId="0">
      <selection activeCell="AY43" sqref="AY43"/>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39" t="str">
        <f>Idiomas!D8</f>
        <v>XXIII Mundial USA/MEX/CAN 2026</v>
      </c>
      <c r="X1" s="624"/>
      <c r="Y1" s="624"/>
      <c r="Z1" s="624"/>
      <c r="AA1" s="624"/>
      <c r="AB1" s="624"/>
      <c r="AC1" s="624"/>
      <c r="AD1" s="624"/>
      <c r="AE1" s="624"/>
      <c r="AF1" s="624"/>
      <c r="AG1" s="144"/>
      <c r="AH1" s="180"/>
      <c r="AI1" s="180"/>
      <c r="AJ1" s="144"/>
      <c r="AK1" s="144"/>
      <c r="AL1" s="147"/>
      <c r="AM1" s="144"/>
      <c r="AN1" s="144"/>
      <c r="AO1" s="144"/>
      <c r="AP1" s="144"/>
      <c r="AQ1" s="144"/>
      <c r="AR1" s="144"/>
      <c r="AS1" s="144"/>
      <c r="AT1" s="144"/>
      <c r="AU1" s="325"/>
      <c r="AV1" s="144"/>
      <c r="AW1" s="144"/>
      <c r="AX1" s="144"/>
      <c r="AY1" s="144"/>
      <c r="AZ1" s="144"/>
      <c r="BA1" s="176"/>
      <c r="DN1" s="16" t="s">
        <v>13</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14</v>
      </c>
      <c r="E3" s="16" t="s">
        <v>15</v>
      </c>
      <c r="F3" s="16" t="s">
        <v>16</v>
      </c>
      <c r="G3" s="16"/>
      <c r="H3" s="16" t="s">
        <v>17</v>
      </c>
      <c r="I3" s="16" t="s">
        <v>18</v>
      </c>
      <c r="J3" s="16"/>
      <c r="K3" s="16" t="s">
        <v>19</v>
      </c>
      <c r="L3" s="16" t="s">
        <v>20</v>
      </c>
      <c r="M3" s="16"/>
      <c r="N3" s="16" t="s">
        <v>21</v>
      </c>
      <c r="O3" s="16" t="s">
        <v>22</v>
      </c>
      <c r="P3" s="16"/>
      <c r="Q3" s="16" t="s">
        <v>23</v>
      </c>
      <c r="R3" s="16" t="s">
        <v>24</v>
      </c>
      <c r="S3" s="16"/>
      <c r="T3" s="16" t="s">
        <v>25</v>
      </c>
      <c r="U3" s="16" t="s">
        <v>26</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6"/>
      <c r="AZ3" s="616" t="s">
        <v>27</v>
      </c>
      <c r="BA3" s="176"/>
    </row>
    <row r="4" spans="1:121" ht="16" customHeight="1" thickBot="1" x14ac:dyDescent="0.25">
      <c r="A4" s="16" t="s">
        <v>28</v>
      </c>
      <c r="B4" s="16" t="s">
        <v>29</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43" t="s">
        <v>29</v>
      </c>
      <c r="X4" s="24">
        <f ca="1">Horarios!C4</f>
        <v>46184.625</v>
      </c>
      <c r="Y4" s="25">
        <f ca="1">Horarios!C4</f>
        <v>46184.625</v>
      </c>
      <c r="Z4" s="26" t="str">
        <f>Idiomas!D61</f>
        <v>J1</v>
      </c>
      <c r="AA4" s="27" t="str">
        <f ca="1">+A5</f>
        <v>México</v>
      </c>
      <c r="AB4" s="49" t="str">
        <f t="array" aca="1" ref="AB4" ca="1">Ver_flag_local</f>
        <v/>
      </c>
      <c r="AC4" s="50">
        <v>2</v>
      </c>
      <c r="AD4" s="51">
        <v>1</v>
      </c>
      <c r="AE4" s="581"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30</v>
      </c>
    </row>
    <row r="5" spans="1:121" ht="16" customHeight="1" x14ac:dyDescent="0.2">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1"/>
      <c r="X5" s="24">
        <f ca="1">Horarios!C5</f>
        <v>46184.916666666657</v>
      </c>
      <c r="Y5" s="25">
        <f ca="1">Horarios!C5</f>
        <v>46184.916666666657</v>
      </c>
      <c r="Z5" s="26" t="str">
        <f>$Z$4</f>
        <v>J1</v>
      </c>
      <c r="AA5" s="27" t="str">
        <f ca="1">A7</f>
        <v>Corea del Sur</v>
      </c>
      <c r="AB5" s="49" t="str">
        <f t="array" aca="1" ref="AB5" ca="1">Ver_flag_local</f>
        <v/>
      </c>
      <c r="AC5" s="50">
        <v>1</v>
      </c>
      <c r="AD5" s="51">
        <v>1</v>
      </c>
      <c r="AE5" s="581"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31</v>
      </c>
      <c r="BN5" s="16" t="s">
        <v>32</v>
      </c>
      <c r="BO5" s="16" t="s">
        <v>33</v>
      </c>
      <c r="BP5" s="16" t="s">
        <v>34</v>
      </c>
      <c r="BQ5" s="16" t="s">
        <v>35</v>
      </c>
      <c r="BR5" s="16" t="s">
        <v>36</v>
      </c>
      <c r="BS5" s="16" t="s">
        <v>37</v>
      </c>
      <c r="BT5" s="16" t="s">
        <v>38</v>
      </c>
      <c r="BU5" s="16" t="s">
        <v>39</v>
      </c>
      <c r="BV5" s="16" t="s">
        <v>40</v>
      </c>
      <c r="BW5" s="16" t="s">
        <v>41</v>
      </c>
      <c r="BX5" s="16" t="s">
        <v>42</v>
      </c>
      <c r="BY5" s="16" t="s">
        <v>43</v>
      </c>
      <c r="BZ5" s="16" t="s">
        <v>44</v>
      </c>
      <c r="CA5" s="16" t="s">
        <v>45</v>
      </c>
      <c r="CB5" s="16" t="s">
        <v>46</v>
      </c>
      <c r="CC5" s="16" t="s">
        <v>47</v>
      </c>
      <c r="CD5" s="16" t="s">
        <v>48</v>
      </c>
      <c r="CE5" s="16" t="s">
        <v>49</v>
      </c>
      <c r="CF5" s="16" t="s">
        <v>45</v>
      </c>
      <c r="CG5" s="16" t="s">
        <v>50</v>
      </c>
      <c r="CH5" s="16" t="s">
        <v>51</v>
      </c>
      <c r="CI5" s="16" t="s">
        <v>52</v>
      </c>
      <c r="CJ5" s="16" t="s">
        <v>53</v>
      </c>
      <c r="CK5" s="16" t="s">
        <v>54</v>
      </c>
      <c r="CL5" s="16" t="s">
        <v>55</v>
      </c>
      <c r="CM5" s="16" t="s">
        <v>56</v>
      </c>
      <c r="CN5" s="16" t="s">
        <v>57</v>
      </c>
      <c r="CO5" s="16" t="s">
        <v>58</v>
      </c>
      <c r="CP5" s="16" t="s">
        <v>59</v>
      </c>
      <c r="CQ5" s="16" t="s">
        <v>60</v>
      </c>
      <c r="CR5" s="16" t="s">
        <v>61</v>
      </c>
      <c r="CS5" s="16" t="s">
        <v>62</v>
      </c>
      <c r="CT5" s="16" t="s">
        <v>58</v>
      </c>
      <c r="CU5" s="16" t="s">
        <v>63</v>
      </c>
      <c r="CV5" s="16" t="s">
        <v>64</v>
      </c>
      <c r="CW5" s="16" t="s">
        <v>65</v>
      </c>
      <c r="CX5" s="16" t="s">
        <v>66</v>
      </c>
      <c r="CY5" s="16" t="s">
        <v>67</v>
      </c>
      <c r="CZ5" s="16" t="s">
        <v>68</v>
      </c>
      <c r="DA5" s="16" t="s">
        <v>69</v>
      </c>
      <c r="DB5" s="16" t="s">
        <v>70</v>
      </c>
      <c r="DC5" s="16" t="s">
        <v>71</v>
      </c>
      <c r="DD5" s="16" t="s">
        <v>72</v>
      </c>
      <c r="DE5" s="16"/>
      <c r="DF5" s="16" t="s">
        <v>73</v>
      </c>
      <c r="DG5" s="16" t="s">
        <v>74</v>
      </c>
      <c r="DH5" s="16" t="s">
        <v>75</v>
      </c>
      <c r="DI5" s="16"/>
      <c r="DJ5" s="16" t="s">
        <v>76</v>
      </c>
      <c r="DK5" s="16" t="s">
        <v>77</v>
      </c>
      <c r="DL5" s="16" t="s">
        <v>78</v>
      </c>
      <c r="DM5" s="16" t="s">
        <v>79</v>
      </c>
      <c r="DN5" s="16" t="s">
        <v>80</v>
      </c>
      <c r="DO5" s="16"/>
      <c r="DP5" s="16" t="s">
        <v>81</v>
      </c>
      <c r="DQ5" s="16" t="s">
        <v>82</v>
      </c>
    </row>
    <row r="6" spans="1:121" ht="16"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1"/>
      <c r="X6" s="24">
        <f ca="1">Horarios!C6</f>
        <v>46191.5</v>
      </c>
      <c r="Y6" s="25">
        <f ca="1">Horarios!C6</f>
        <v>46191.5</v>
      </c>
      <c r="Z6" s="26" t="str">
        <f>Idiomas!D62</f>
        <v>J2</v>
      </c>
      <c r="AA6" s="27" t="str">
        <f ca="1">A8</f>
        <v>República Checa</v>
      </c>
      <c r="AB6" s="49" t="str">
        <f t="array" aca="1" ref="AB6" ca="1">Ver_flag_local</f>
        <v/>
      </c>
      <c r="AC6" s="50">
        <v>1</v>
      </c>
      <c r="AD6" s="51">
        <v>0</v>
      </c>
      <c r="AE6" s="581" t="str">
        <f t="array" aca="1" ref="AE6" ca="1">Ver_flag_visit</f>
        <v/>
      </c>
      <c r="AF6" s="32" t="str">
        <f ca="1">A6</f>
        <v>Sudáfrica</v>
      </c>
      <c r="AG6" s="316">
        <f t="shared" si="13"/>
        <v>1</v>
      </c>
      <c r="AH6" s="195">
        <v>25</v>
      </c>
      <c r="AI6" s="181" t="str">
        <f>AJ6&amp;$B$4</f>
        <v>1A</v>
      </c>
      <c r="AJ6" s="40">
        <v>1</v>
      </c>
      <c r="AK6" s="583" t="str">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2</v>
      </c>
      <c r="AT6" s="41">
        <f t="shared" ca="1" si="15"/>
        <v>2</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t="shared" ref="BF6:BF53" ca="1" si="17">+BG6+BH6+BI6</f>
        <v>3</v>
      </c>
      <c r="BG6" s="16">
        <f t="shared" ref="BG6:BG53" ca="1" si="18">+COUNTIFS(FGLocal,BD6,Ganador,"Local")+COUNTIFS(FGVisitante,BD6,Ganador,"Visitante")</f>
        <v>2</v>
      </c>
      <c r="BH6" s="16">
        <f t="shared" ref="BH6:BH53" ca="1" si="19">+COUNTIFS(FGLocal,BD6,Ganador,"Empate")+COUNTIFS(FGVisitante,BD6,Ganador,"Empate")</f>
        <v>1</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4</v>
      </c>
      <c r="BK6" s="16">
        <f t="shared" ref="BK6:BK53" ca="1" si="22">+SUMIFS(FG_GolesLocal,FGVisitante,BD6,Ganador,"&lt;&gt;"&amp;"Pendiente",FG_GolesLocal,"&lt;&gt;"&amp;"",FG_GolesVisitante,"&lt;&gt;"&amp;"")+SUMIFS(FG_GolesVisitante,FGLocal,BD6,Ganador,"&lt;&gt;"&amp;"Pendiente",FG_GolesLocal,"&lt;&gt;"&amp;"",FG_GolesVisitante,"&lt;&gt;"&amp;"")</f>
        <v>2</v>
      </c>
      <c r="BL6" s="16">
        <f t="shared" ref="BL6:BL53" ca="1" si="23">+BJ6-BK6</f>
        <v>2</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83</v>
      </c>
      <c r="DQ6" s="16" t="str">
        <f t="shared" ref="DQ6:DQ53" ca="1" si="51">INDEX($BD$6:$BD$53,MATCH(DP6,$BM$6:$BM$53,0))</f>
        <v>México</v>
      </c>
    </row>
    <row r="7" spans="1:121" ht="16" customHeight="1" x14ac:dyDescent="0.2">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1"/>
      <c r="X7" s="24">
        <f ca="1">Horarios!C7</f>
        <v>46191.875</v>
      </c>
      <c r="Y7" s="25">
        <f ca="1">Horarios!C7</f>
        <v>46191.875</v>
      </c>
      <c r="Z7" s="26" t="str">
        <f>$Z$6</f>
        <v>J2</v>
      </c>
      <c r="AA7" s="27" t="str">
        <f ca="1">A5</f>
        <v>México</v>
      </c>
      <c r="AB7" s="49" t="str">
        <f t="array" aca="1" ref="AB7" ca="1">Ver_flag_local</f>
        <v/>
      </c>
      <c r="AC7" s="50">
        <v>1</v>
      </c>
      <c r="AD7" s="51">
        <v>1</v>
      </c>
      <c r="AE7" s="581" t="str">
        <f t="array" aca="1" ref="AE7" ca="1">Ver_flag_visit</f>
        <v/>
      </c>
      <c r="AF7" s="32" t="str">
        <f ca="1">A7</f>
        <v>Corea del Sur</v>
      </c>
      <c r="AG7" s="316">
        <f t="shared" si="13"/>
        <v>1</v>
      </c>
      <c r="AH7" s="195">
        <v>28</v>
      </c>
      <c r="AI7" s="181" t="str">
        <f>AJ7&amp;$B$4</f>
        <v>2A</v>
      </c>
      <c r="AJ7" s="42">
        <v>2</v>
      </c>
      <c r="AK7" s="584" t="str">
        <f t="array" aca="1" ref="AK7" ca="1">Ver_flag_visit</f>
        <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3</v>
      </c>
      <c r="AS7" s="39">
        <f t="shared" ca="1" si="15"/>
        <v>2</v>
      </c>
      <c r="AT7" s="43">
        <f t="shared" ca="1" si="15"/>
        <v>1</v>
      </c>
      <c r="AU7" s="323">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ca="1" si="17"/>
        <v>3</v>
      </c>
      <c r="BG7" s="16">
        <f t="shared" ca="1" si="18"/>
        <v>0</v>
      </c>
      <c r="BH7" s="16">
        <f t="shared" ca="1" si="19"/>
        <v>0</v>
      </c>
      <c r="BI7" s="16">
        <f t="shared" ca="1" si="20"/>
        <v>3</v>
      </c>
      <c r="BJ7" s="16">
        <f t="shared" ca="1" si="21"/>
        <v>1</v>
      </c>
      <c r="BK7" s="16">
        <f t="shared" ca="1" si="22"/>
        <v>4</v>
      </c>
      <c r="BL7" s="16">
        <f t="shared" ca="1" si="23"/>
        <v>-3</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84</v>
      </c>
      <c r="DQ7" s="16" t="str">
        <f t="shared" ca="1" si="51"/>
        <v>Corea del Sur</v>
      </c>
    </row>
    <row r="8" spans="1:121" ht="16"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1"/>
      <c r="X8" s="24">
        <f ca="1">Horarios!C8</f>
        <v>46197.875</v>
      </c>
      <c r="Y8" s="25">
        <f ca="1">Horarios!C8</f>
        <v>46197.875</v>
      </c>
      <c r="Z8" s="26" t="str">
        <f>Idiomas!D63</f>
        <v>J3</v>
      </c>
      <c r="AA8" s="27" t="str">
        <f ca="1">A8</f>
        <v>República Checa</v>
      </c>
      <c r="AB8" s="49" t="str">
        <f t="array" aca="1" ref="AB8" ca="1">Ver_flag_local</f>
        <v/>
      </c>
      <c r="AC8" s="50">
        <v>0</v>
      </c>
      <c r="AD8" s="51">
        <v>1</v>
      </c>
      <c r="AE8" s="581" t="str">
        <f t="array" aca="1" ref="AE8" ca="1">Ver_flag_visit</f>
        <v/>
      </c>
      <c r="AF8" s="32" t="str">
        <f ca="1">A5</f>
        <v>México</v>
      </c>
      <c r="AG8" s="316">
        <f t="shared" si="13"/>
        <v>1</v>
      </c>
      <c r="AH8" s="195">
        <v>53</v>
      </c>
      <c r="AI8" s="181" t="str">
        <f>AJ8&amp;$B$4</f>
        <v>3A</v>
      </c>
      <c r="AJ8" s="42">
        <v>3</v>
      </c>
      <c r="AK8" s="584" t="str">
        <f t="array" aca="1" ref="AK8" ca="1">Ver_flag_visit</f>
        <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2</v>
      </c>
      <c r="AS8" s="39">
        <f t="shared" ca="1" si="15"/>
        <v>2</v>
      </c>
      <c r="AT8" s="43">
        <f t="shared" ca="1" si="15"/>
        <v>0</v>
      </c>
      <c r="AU8" s="323">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17"/>
        <v>3</v>
      </c>
      <c r="BG8" s="16">
        <f t="shared" ca="1" si="18"/>
        <v>1</v>
      </c>
      <c r="BH8" s="16">
        <f t="shared" ca="1" si="19"/>
        <v>2</v>
      </c>
      <c r="BI8" s="16">
        <f t="shared" ca="1" si="20"/>
        <v>0</v>
      </c>
      <c r="BJ8" s="16">
        <f t="shared" ca="1" si="21"/>
        <v>3</v>
      </c>
      <c r="BK8" s="16">
        <f t="shared" ca="1" si="22"/>
        <v>2</v>
      </c>
      <c r="BL8" s="16">
        <f t="shared" ca="1" si="23"/>
        <v>1</v>
      </c>
      <c r="BM8" s="16" t="str">
        <f t="shared" ca="1" si="24"/>
        <v>2A</v>
      </c>
      <c r="BN8" s="16" t="str">
        <f t="shared" ca="1" si="25"/>
        <v>2A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6"/>
        <v>2</v>
      </c>
      <c r="DG8" s="16" t="str">
        <f ca="1">IF(DB8="-","-",COUNTIFS(DF$6:DF$53,"&lt;"&amp;DF8,$BC$6:$BC$53,INDEX(T_Equipos[Grupo],MATCH(BD8,T_Equipos[NombreEquipo],0))))</f>
        <v>-</v>
      </c>
      <c r="DH8" s="16">
        <f ca="1">DA8+COUNTIFS(DB$6:DB$53,DB8,DG$6:DG$53,"&lt;"&amp;DG8,$BC$6:$BC$53,INDEX(T_Equipos[Grupo],MATCH(BD8,T_Equipos[NombreEquipo],0)))</f>
        <v>2</v>
      </c>
      <c r="DI8" s="16"/>
      <c r="DJ8" s="16">
        <f t="shared" ca="1" si="47"/>
        <v>3</v>
      </c>
      <c r="DK8" s="16">
        <f t="shared" ca="1" si="48"/>
        <v>12</v>
      </c>
      <c r="DL8" s="16">
        <f t="shared" ca="1" si="49"/>
        <v>1</v>
      </c>
      <c r="DM8" s="16" t="str">
        <f t="shared" ca="1" si="50"/>
        <v>3.1</v>
      </c>
      <c r="DN8" s="16">
        <f t="array" aca="1" ref="DN8" ca="1">OFFSET(Horarios!$P$3,DJ8-1,0,DL8,1)</f>
        <v>3</v>
      </c>
      <c r="DO8" s="16"/>
      <c r="DP8" s="16" t="s">
        <v>85</v>
      </c>
      <c r="DQ8" s="16" t="str">
        <f t="shared" ca="1" si="51"/>
        <v>República Checa</v>
      </c>
    </row>
    <row r="9" spans="1:121" ht="16" customHeight="1" thickBot="1" x14ac:dyDescent="0.25">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2"/>
      <c r="X9" s="28">
        <f ca="1">Horarios!C9</f>
        <v>46197.875</v>
      </c>
      <c r="Y9" s="29">
        <f ca="1">Horarios!C9</f>
        <v>46197.875</v>
      </c>
      <c r="Z9" s="30" t="str">
        <f>$Z$8</f>
        <v>J3</v>
      </c>
      <c r="AA9" s="31" t="str">
        <f ca="1">A6</f>
        <v>Sudáfrica</v>
      </c>
      <c r="AB9" s="52" t="str">
        <f t="array" aca="1" ref="AB9" ca="1">Ver_flag_local</f>
        <v/>
      </c>
      <c r="AC9" s="53">
        <v>0</v>
      </c>
      <c r="AD9" s="54">
        <v>1</v>
      </c>
      <c r="AE9" s="582" t="str">
        <f t="array" aca="1" ref="AE9" ca="1">Ver_flag_visit</f>
        <v/>
      </c>
      <c r="AF9" s="33" t="str">
        <f ca="1">A7</f>
        <v>Corea del Sur</v>
      </c>
      <c r="AG9" s="316">
        <f t="shared" si="13"/>
        <v>1</v>
      </c>
      <c r="AH9" s="195">
        <v>54</v>
      </c>
      <c r="AI9" s="181" t="str">
        <f>AJ9&amp;$B$4</f>
        <v>4A</v>
      </c>
      <c r="AJ9" s="44">
        <v>4</v>
      </c>
      <c r="AK9" s="585" t="str">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4</v>
      </c>
      <c r="AT9" s="48">
        <f t="shared" ca="1" si="15"/>
        <v>-3</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17"/>
        <v>3</v>
      </c>
      <c r="BG9" s="16">
        <f t="shared" ca="1" si="18"/>
        <v>1</v>
      </c>
      <c r="BH9" s="16">
        <f t="shared" ca="1" si="19"/>
        <v>1</v>
      </c>
      <c r="BI9" s="16">
        <f t="shared" ca="1" si="20"/>
        <v>1</v>
      </c>
      <c r="BJ9" s="16">
        <f t="shared" ca="1" si="21"/>
        <v>2</v>
      </c>
      <c r="BK9" s="16">
        <f t="shared" ca="1" si="22"/>
        <v>2</v>
      </c>
      <c r="BL9" s="16">
        <f t="shared" ca="1" si="23"/>
        <v>0</v>
      </c>
      <c r="BM9" s="16" t="str">
        <f t="shared" ca="1" si="24"/>
        <v>3A</v>
      </c>
      <c r="BN9" s="16" t="str">
        <f t="shared" ca="1" si="25"/>
        <v>3A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6"/>
        <v>3</v>
      </c>
      <c r="DG9" s="16" t="str">
        <f ca="1">IF(DB9="-","-",COUNTIFS(DF$6:DF$53,"&lt;"&amp;DF9,$BC$6:$BC$53,INDEX(T_Equipos[Grupo],MATCH(BD9,T_Equipos[NombreEquipo],0))))</f>
        <v>-</v>
      </c>
      <c r="DH9" s="16">
        <f ca="1">DA9+COUNTIFS(DB$6:DB$53,DB9,DG$6:DG$53,"&lt;"&amp;DG9,$BC$6:$BC$53,INDEX(T_Equipos[Grupo],MATCH(BD9,T_Equipos[NombreEquipo],0)))</f>
        <v>3</v>
      </c>
      <c r="DI9" s="16"/>
      <c r="DJ9" s="16">
        <f t="shared" ca="1" si="47"/>
        <v>4</v>
      </c>
      <c r="DK9" s="16">
        <f t="shared" ca="1" si="48"/>
        <v>12</v>
      </c>
      <c r="DL9" s="16">
        <f t="shared" ca="1" si="49"/>
        <v>1</v>
      </c>
      <c r="DM9" s="16" t="str">
        <f t="shared" ca="1" si="50"/>
        <v>4.1</v>
      </c>
      <c r="DN9" s="16">
        <f t="array" aca="1" ref="DN9" ca="1">OFFSET(Horarios!$P$3,DJ9-1,0,DL9,1)</f>
        <v>4</v>
      </c>
      <c r="DO9" s="16"/>
      <c r="DP9" s="16" t="s">
        <v>86</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6</v>
      </c>
      <c r="BF10" s="16">
        <f t="shared" ca="1" si="17"/>
        <v>3</v>
      </c>
      <c r="BG10" s="16">
        <f t="shared" ca="1" si="18"/>
        <v>2</v>
      </c>
      <c r="BH10" s="16">
        <f t="shared" ca="1" si="19"/>
        <v>0</v>
      </c>
      <c r="BI10" s="16">
        <f t="shared" ca="1" si="20"/>
        <v>1</v>
      </c>
      <c r="BJ10" s="16">
        <f t="shared" ca="1" si="21"/>
        <v>4</v>
      </c>
      <c r="BK10" s="16">
        <f t="shared" ca="1" si="22"/>
        <v>3</v>
      </c>
      <c r="BL10" s="16">
        <f t="shared" ca="1" si="23"/>
        <v>1</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87</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6"/>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0</v>
      </c>
      <c r="BF11" s="16">
        <f t="shared" ca="1" si="17"/>
        <v>3</v>
      </c>
      <c r="BG11" s="16">
        <f t="shared" ca="1" si="18"/>
        <v>0</v>
      </c>
      <c r="BH11" s="16">
        <f t="shared" ca="1" si="19"/>
        <v>0</v>
      </c>
      <c r="BI11" s="16">
        <f t="shared" ca="1" si="20"/>
        <v>3</v>
      </c>
      <c r="BJ11" s="16">
        <f t="shared" ca="1" si="21"/>
        <v>0</v>
      </c>
      <c r="BK11" s="16">
        <f t="shared" ca="1" si="22"/>
        <v>5</v>
      </c>
      <c r="BL11" s="16">
        <f t="shared" ca="1" si="23"/>
        <v>-5</v>
      </c>
      <c r="BM11" s="16" t="str">
        <f t="shared" ca="1" si="24"/>
        <v>4B</v>
      </c>
      <c r="BN11" s="16" t="str">
        <f t="shared" ca="1" si="25"/>
        <v>4B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0</v>
      </c>
      <c r="BS11" s="16">
        <f ca="1">BP11+COUNTIFS($BQ$6:$BQ$53,BQ11,$BR$6:BR$53,"&gt;"&amp;BR11,$BC$6:$BC$53,INDEX(T_Equipos[Grupo],MATCH(BD11,T_Equipos[NombreEquipo],0)))</f>
        <v>4</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4</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4</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4</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4</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4</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4</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46"/>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47"/>
        <v>2</v>
      </c>
      <c r="DK11" s="16">
        <f t="shared" ca="1" si="48"/>
        <v>12</v>
      </c>
      <c r="DL11" s="16">
        <f t="shared" ca="1" si="49"/>
        <v>1</v>
      </c>
      <c r="DM11" s="16" t="str">
        <f t="shared" ca="1" si="50"/>
        <v>2.1</v>
      </c>
      <c r="DN11" s="16">
        <f t="array" aca="1" ref="DN11" ca="1">OFFSET(Horarios!$P$3,DJ11-1,0,DL11,1)</f>
        <v>2</v>
      </c>
      <c r="DO11" s="16"/>
      <c r="DP11" s="16" t="s">
        <v>88</v>
      </c>
      <c r="DQ11" s="16" t="str">
        <f t="shared" ca="1" si="51"/>
        <v>Canadá</v>
      </c>
    </row>
    <row r="12" spans="1:121" ht="16" customHeight="1" thickBot="1" x14ac:dyDescent="0.25">
      <c r="A12" s="16" t="s">
        <v>28</v>
      </c>
      <c r="B12" s="16" t="s">
        <v>89</v>
      </c>
      <c r="C12" s="16">
        <f>COUNTIF(Equipos!$C$2:$C$49,WORLDCUP!B12)</f>
        <v>4</v>
      </c>
      <c r="D12" s="16" t="str">
        <f t="shared" ref="D12:D17" si="52">IF(OR(AC12="",AD12=""),"Pendiente",IF(AC12&gt;AD12,"Local",IF(AC12&lt;AD12,"Visitante","Empate")))</f>
        <v>Local</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30" t="s">
        <v>89</v>
      </c>
      <c r="X12" s="24">
        <f ca="1">Horarios!C12</f>
        <v>46185.625</v>
      </c>
      <c r="Y12" s="25">
        <f ca="1">Horarios!C12</f>
        <v>46185.625</v>
      </c>
      <c r="Z12" s="26" t="str">
        <f>$Z$4</f>
        <v>J1</v>
      </c>
      <c r="AA12" s="27" t="str">
        <f ca="1">A13</f>
        <v>Canadá</v>
      </c>
      <c r="AB12" s="49" t="str">
        <f t="array" aca="1" ref="AB12" ca="1">Ver_flag_local</f>
        <v/>
      </c>
      <c r="AC12" s="50">
        <v>1</v>
      </c>
      <c r="AD12" s="51">
        <v>0</v>
      </c>
      <c r="AE12" s="581"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4</v>
      </c>
      <c r="BF12" s="16">
        <f t="shared" ca="1" si="17"/>
        <v>3</v>
      </c>
      <c r="BG12" s="16">
        <f t="shared" ca="1" si="18"/>
        <v>1</v>
      </c>
      <c r="BH12" s="16">
        <f t="shared" ca="1" si="19"/>
        <v>1</v>
      </c>
      <c r="BI12" s="16">
        <f t="shared" ca="1" si="20"/>
        <v>1</v>
      </c>
      <c r="BJ12" s="16">
        <f t="shared" ca="1" si="21"/>
        <v>4</v>
      </c>
      <c r="BK12" s="16">
        <f t="shared" ca="1" si="22"/>
        <v>3</v>
      </c>
      <c r="BL12" s="16">
        <f t="shared" ca="1" si="23"/>
        <v>1</v>
      </c>
      <c r="BM12" s="16" t="str">
        <f t="shared" ca="1" si="24"/>
        <v>3B</v>
      </c>
      <c r="BN12" s="16" t="str">
        <f t="shared" ca="1" si="25"/>
        <v>3B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4</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46"/>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47"/>
        <v>3</v>
      </c>
      <c r="DK12" s="16">
        <f t="shared" ca="1" si="48"/>
        <v>12</v>
      </c>
      <c r="DL12" s="16">
        <f t="shared" ca="1" si="49"/>
        <v>1</v>
      </c>
      <c r="DM12" s="16" t="str">
        <f t="shared" ca="1" si="50"/>
        <v>3.1</v>
      </c>
      <c r="DN12" s="16">
        <f t="array" aca="1" ref="DN12" ca="1">OFFSET(Horarios!$P$3,DJ12-1,0,DL12,1)</f>
        <v>3</v>
      </c>
      <c r="DO12" s="16"/>
      <c r="DP12" s="16" t="s">
        <v>90</v>
      </c>
      <c r="DQ12" s="16" t="str">
        <f t="shared" ca="1" si="51"/>
        <v>Catar</v>
      </c>
    </row>
    <row r="13" spans="1:121" ht="16" customHeight="1" x14ac:dyDescent="0.2">
      <c r="A13" s="16" t="str">
        <f ca="1">+Equipos!B6</f>
        <v>Canadá</v>
      </c>
      <c r="B13" s="16"/>
      <c r="C13" s="16"/>
      <c r="D13" s="16" t="str">
        <f t="shared" si="52"/>
        <v>Empate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31"/>
      <c r="X13" s="24">
        <f ca="1">Horarios!C13</f>
        <v>46186.625</v>
      </c>
      <c r="Y13" s="25">
        <f ca="1">Horarios!C13</f>
        <v>46186.625</v>
      </c>
      <c r="Z13" s="26" t="str">
        <f>$Z$4</f>
        <v>J1</v>
      </c>
      <c r="AA13" s="27" t="str">
        <f ca="1">A15</f>
        <v>Catar</v>
      </c>
      <c r="AB13" s="49" t="str">
        <f t="array" aca="1" ref="AB13" ca="1">Ver_flag_local</f>
        <v/>
      </c>
      <c r="AC13" s="50">
        <v>1</v>
      </c>
      <c r="AD13" s="51">
        <v>1</v>
      </c>
      <c r="AE13" s="581"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5</v>
      </c>
      <c r="BK13" s="16">
        <f t="shared" ca="1" si="22"/>
        <v>2</v>
      </c>
      <c r="BL13" s="16">
        <f t="shared" ca="1" si="23"/>
        <v>3</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91</v>
      </c>
      <c r="DQ13" s="16" t="str">
        <f t="shared" ca="1" si="51"/>
        <v>Bosnia y Herzegovina</v>
      </c>
    </row>
    <row r="14" spans="1:121" ht="16" customHeight="1" x14ac:dyDescent="0.2">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31"/>
      <c r="X14" s="24">
        <f ca="1">Horarios!C14</f>
        <v>46191.625</v>
      </c>
      <c r="Y14" s="25">
        <f ca="1">Horarios!C14</f>
        <v>46191.625</v>
      </c>
      <c r="Z14" s="26" t="str">
        <f>$Z$6</f>
        <v>J2</v>
      </c>
      <c r="AA14" s="27" t="str">
        <f ca="1">A16</f>
        <v>Suiza</v>
      </c>
      <c r="AB14" s="49" t="str">
        <f t="array" aca="1" ref="AB14" ca="1">Ver_flag_local</f>
        <v/>
      </c>
      <c r="AC14" s="50">
        <v>2</v>
      </c>
      <c r="AD14" s="51">
        <v>0</v>
      </c>
      <c r="AE14" s="581" t="str">
        <f t="array" aca="1" ref="AE14" ca="1">Ver_flag_visit</f>
        <v/>
      </c>
      <c r="AF14" s="32" t="str">
        <f ca="1">A14</f>
        <v>Bosnia y Herzegovina</v>
      </c>
      <c r="AG14" s="316">
        <f t="shared" si="65"/>
        <v>1</v>
      </c>
      <c r="AH14" s="195">
        <v>26</v>
      </c>
      <c r="AI14" s="181" t="str">
        <f>AJ14&amp;$B$12</f>
        <v>1B</v>
      </c>
      <c r="AJ14" s="71">
        <v>1</v>
      </c>
      <c r="AK14" s="587"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5</v>
      </c>
      <c r="AS14" s="36">
        <f t="shared" ca="1" si="67"/>
        <v>2</v>
      </c>
      <c r="AT14" s="72">
        <f t="shared" ca="1" si="67"/>
        <v>3</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7</v>
      </c>
      <c r="BK14" s="16">
        <f t="shared" ca="1" si="22"/>
        <v>1</v>
      </c>
      <c r="BL14" s="16">
        <f t="shared" ca="1" si="23"/>
        <v>6</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92</v>
      </c>
      <c r="DQ14" s="16" t="str">
        <f t="shared" ca="1" si="51"/>
        <v>Brasil</v>
      </c>
    </row>
    <row r="15" spans="1:121" ht="16" customHeight="1" x14ac:dyDescent="0.2">
      <c r="A15" s="16" t="str">
        <f ca="1">+Equipos!B8</f>
        <v>Catar</v>
      </c>
      <c r="B15" s="16"/>
      <c r="C15" s="16"/>
      <c r="D15" s="16" t="str">
        <f t="shared" si="52"/>
        <v>Local</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31"/>
      <c r="X15" s="24">
        <f ca="1">Horarios!C15</f>
        <v>46191.75</v>
      </c>
      <c r="Y15" s="25">
        <f ca="1">Horarios!C15</f>
        <v>46191.75</v>
      </c>
      <c r="Z15" s="26" t="str">
        <f>$Z$6</f>
        <v>J2</v>
      </c>
      <c r="AA15" s="27" t="str">
        <f ca="1">A13</f>
        <v>Canadá</v>
      </c>
      <c r="AB15" s="49" t="str">
        <f t="array" aca="1" ref="AB15" ca="1">Ver_flag_local</f>
        <v/>
      </c>
      <c r="AC15" s="50">
        <v>2</v>
      </c>
      <c r="AD15" s="51">
        <v>1</v>
      </c>
      <c r="AE15" s="581" t="str">
        <f t="array" aca="1" ref="AE15" ca="1">Ver_flag_visit</f>
        <v/>
      </c>
      <c r="AF15" s="32" t="str">
        <f ca="1">A15</f>
        <v>Catar</v>
      </c>
      <c r="AG15" s="316">
        <f t="shared" si="65"/>
        <v>1</v>
      </c>
      <c r="AH15" s="195">
        <v>27</v>
      </c>
      <c r="AI15" s="181" t="str">
        <f>AJ15&amp;$B$12</f>
        <v>2B</v>
      </c>
      <c r="AJ15" s="73">
        <v>2</v>
      </c>
      <c r="AK15" s="588" t="str">
        <f t="array" aca="1" ref="AK15" ca="1">Ver_flag_visit</f>
        <v/>
      </c>
      <c r="AL15" s="37" t="str">
        <f ca="1">IFERROR(INDEX($BD$6:$BD$53,MATCH(AI15,$BN$6:$BN$53,0)),"")</f>
        <v>Canadá</v>
      </c>
      <c r="AM15" s="38">
        <f t="shared" ca="1" si="67"/>
        <v>6</v>
      </c>
      <c r="AN15" s="39">
        <f t="shared" ca="1" si="67"/>
        <v>3</v>
      </c>
      <c r="AO15" s="39">
        <f t="shared" ca="1" si="67"/>
        <v>2</v>
      </c>
      <c r="AP15" s="39">
        <f t="shared" ca="1" si="67"/>
        <v>0</v>
      </c>
      <c r="AQ15" s="39">
        <f t="shared" ca="1" si="67"/>
        <v>1</v>
      </c>
      <c r="AR15" s="39">
        <f t="shared" ca="1" si="67"/>
        <v>4</v>
      </c>
      <c r="AS15" s="39">
        <f t="shared" ca="1" si="67"/>
        <v>3</v>
      </c>
      <c r="AT15" s="74">
        <f t="shared" ca="1" si="67"/>
        <v>1</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17"/>
        <v>3</v>
      </c>
      <c r="BG15" s="16">
        <f t="shared" ca="1" si="18"/>
        <v>2</v>
      </c>
      <c r="BH15" s="16">
        <f t="shared" ca="1" si="19"/>
        <v>0</v>
      </c>
      <c r="BI15" s="16">
        <f t="shared" ca="1" si="20"/>
        <v>1</v>
      </c>
      <c r="BJ15" s="16">
        <f t="shared" ca="1" si="21"/>
        <v>4</v>
      </c>
      <c r="BK15" s="16">
        <f t="shared" ca="1" si="22"/>
        <v>4</v>
      </c>
      <c r="BL15" s="16">
        <f t="shared" ca="1" si="23"/>
        <v>0</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93</v>
      </c>
      <c r="DQ15" s="16" t="str">
        <f t="shared" ca="1" si="51"/>
        <v>Marruecos</v>
      </c>
    </row>
    <row r="16" spans="1:121" ht="16" customHeight="1" x14ac:dyDescent="0.2">
      <c r="A16" s="16" t="str">
        <f ca="1">+Equipos!B9</f>
        <v>Suiza</v>
      </c>
      <c r="B16" s="16"/>
      <c r="C16" s="16"/>
      <c r="D16" s="16" t="str">
        <f t="shared" si="52"/>
        <v>Local</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31"/>
      <c r="X16" s="24">
        <f ca="1">Horarios!C16</f>
        <v>46197.625</v>
      </c>
      <c r="Y16" s="25">
        <f ca="1">Horarios!C16</f>
        <v>46197.625</v>
      </c>
      <c r="Z16" s="26" t="str">
        <f>$Z$8</f>
        <v>J3</v>
      </c>
      <c r="AA16" s="27" t="str">
        <f ca="1">A16</f>
        <v>Suiza</v>
      </c>
      <c r="AB16" s="49" t="str">
        <f t="array" aca="1" ref="AB16" ca="1">Ver_flag_local</f>
        <v/>
      </c>
      <c r="AC16" s="50">
        <v>2</v>
      </c>
      <c r="AD16" s="51">
        <v>1</v>
      </c>
      <c r="AE16" s="581" t="str">
        <f t="array" aca="1" ref="AE16" ca="1">Ver_flag_visit</f>
        <v/>
      </c>
      <c r="AF16" s="32" t="str">
        <f ca="1">A13</f>
        <v>Canadá</v>
      </c>
      <c r="AG16" s="316">
        <f t="shared" si="65"/>
        <v>1</v>
      </c>
      <c r="AH16" s="195">
        <v>51</v>
      </c>
      <c r="AI16" s="181" t="str">
        <f>AJ16&amp;$B$12</f>
        <v>3B</v>
      </c>
      <c r="AJ16" s="73">
        <v>3</v>
      </c>
      <c r="AK16" s="588" t="str">
        <f t="array" aca="1" ref="AK16" ca="1">Ver_flag_visit</f>
        <v/>
      </c>
      <c r="AL16" s="37" t="str">
        <f ca="1">IFERROR(INDEX($BD$6:$BD$53,MATCH(AI16,$BN$6:$BN$53,0)),"")</f>
        <v>Catar</v>
      </c>
      <c r="AM16" s="38">
        <f t="shared" ca="1" si="67"/>
        <v>4</v>
      </c>
      <c r="AN16" s="39">
        <f t="shared" ca="1" si="67"/>
        <v>3</v>
      </c>
      <c r="AO16" s="39">
        <f t="shared" ca="1" si="67"/>
        <v>1</v>
      </c>
      <c r="AP16" s="39">
        <f t="shared" ca="1" si="67"/>
        <v>1</v>
      </c>
      <c r="AQ16" s="39">
        <f t="shared" ca="1" si="67"/>
        <v>1</v>
      </c>
      <c r="AR16" s="39">
        <f t="shared" ca="1" si="67"/>
        <v>4</v>
      </c>
      <c r="AS16" s="39">
        <f t="shared" ca="1" si="67"/>
        <v>3</v>
      </c>
      <c r="AT16" s="74">
        <f t="shared" ca="1" si="67"/>
        <v>1</v>
      </c>
      <c r="AU16" s="323">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1</v>
      </c>
      <c r="BF16" s="16">
        <f t="shared" ca="1" si="17"/>
        <v>3</v>
      </c>
      <c r="BG16" s="16">
        <f t="shared" ca="1" si="18"/>
        <v>0</v>
      </c>
      <c r="BH16" s="16">
        <f t="shared" ca="1" si="19"/>
        <v>1</v>
      </c>
      <c r="BI16" s="16">
        <f t="shared" ca="1" si="20"/>
        <v>2</v>
      </c>
      <c r="BJ16" s="16">
        <f t="shared" ca="1" si="21"/>
        <v>2</v>
      </c>
      <c r="BK16" s="16">
        <f t="shared" ca="1" si="22"/>
        <v>5</v>
      </c>
      <c r="BL16" s="16">
        <f t="shared" ca="1" si="23"/>
        <v>-3</v>
      </c>
      <c r="BM16" s="16" t="str">
        <f t="shared" ca="1" si="24"/>
        <v>3C</v>
      </c>
      <c r="BN16" s="16" t="str">
        <f t="shared" ca="1" si="25"/>
        <v>3C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1</v>
      </c>
      <c r="BS16" s="16">
        <f ca="1">BP16+COUNTIFS($BQ$6:$BQ$53,BQ16,$BR$6:BR$53,"&gt;"&amp;BR16,$BC$6:$BC$53,INDEX(T_Equipos[Grupo],MATCH(BD16,T_Equipos[NombreEquipo],0)))</f>
        <v>3</v>
      </c>
      <c r="BT16" s="16" t="str">
        <f ca="1">IF(COUNTIFS($BS$6:$BS$53,BS16,$BC$6:$BC$53,INDEX(T_Equipos[Grupo],MATCH(BD16,T_Equipos[NombreEquipo],0)))=1,"-","P."&amp;BS16&amp;" ("&amp;COUNTIFS($BS$6:$BS$53,BS16,$BC$6:$BC$53,INDEX(T_Equipos[Grupo],MATCH(BD16,T_Equipos[NombreEquipo],0)))&amp;")")</f>
        <v>P.3 (2)</v>
      </c>
      <c r="BU16" s="16">
        <f t="shared" ca="1" si="28"/>
        <v>0</v>
      </c>
      <c r="BV16" s="16">
        <f t="shared" ca="1" si="29"/>
        <v>1</v>
      </c>
      <c r="BW16" s="16">
        <f t="shared" ca="1" si="30"/>
        <v>0</v>
      </c>
      <c r="BX16" s="16">
        <f t="shared" ca="1" si="31"/>
        <v>1</v>
      </c>
      <c r="BY16" s="16">
        <f ca="1">BS16+COUNTIFS($BT$6:$BT$53,BT16,$BX$6:BX$53,"&gt;"&amp;BX16,$BC$6:$BC$53,INDEX(T_Equipos[Grupo],MATCH(BD16,T_Equipos[NombreEquipo],0)))</f>
        <v>3</v>
      </c>
      <c r="BZ16" s="16" t="str">
        <f ca="1">IF(COUNTIFS($BY$6:$BY$53,BY16,$BC$6:$BC$53,INDEX(T_Equipos[Grupo],MATCH(BD16,T_Equipos[NombreEquipo],0)))=1,"-","P."&amp;BY16&amp;" ("&amp;COUNTIFS($BY$6:$BY$53,BY16,$BC$6:$BC$53,INDEX(T_Equipos[Grupo],MATCH(BD16,T_Equipos[NombreEquipo],0)))&amp;")")</f>
        <v>P.3 (2)</v>
      </c>
      <c r="CA16" s="16">
        <f t="shared" ca="1" si="32"/>
        <v>0</v>
      </c>
      <c r="CB16" s="16">
        <f t="shared" ca="1" si="33"/>
        <v>0</v>
      </c>
      <c r="CC16" s="16">
        <f t="shared" ca="1" si="34"/>
        <v>0</v>
      </c>
      <c r="CD16" s="16">
        <f ca="1">BY16+COUNTIFS($BZ$6:$BZ$53,BZ16,$CC$6:CC$53,"&gt;"&amp;CC16,$BC$6:$BC$53,INDEX(T_Equipos[Grupo],MATCH(BD16,T_Equipos[NombreEquipo],0)))</f>
        <v>3</v>
      </c>
      <c r="CE16" s="16" t="str">
        <f ca="1">IF(COUNTIFS($CD$6:$CD$53,CD16,$BC$6:$BC$53,INDEX(T_Equipos[Grupo],MATCH(BD16,T_Equipos[NombreEquipo],0)))=1,"-","P."&amp;CD16&amp;" ("&amp;COUNTIFS($CD$6:$CD$53,CD16,$BC$6:$BC$53,INDEX(T_Equipos[Grupo],MATCH(BD16,T_Equipos[NombreEquipo],0)))&amp;")")</f>
        <v>P.3 (2)</v>
      </c>
      <c r="CF16" s="16">
        <f t="shared" ca="1" si="35"/>
        <v>0</v>
      </c>
      <c r="CG16" s="16">
        <f ca="1">CD16+COUNTIFS($CE$6:$CE$53,CE16,$CF$6:CF$53,"&gt;"&amp;CF16,$BC$6:$BC$53,INDEX(T_Equipos[Grupo],MATCH(BD16,T_Equipos[NombreEquipo],0)))</f>
        <v>3</v>
      </c>
      <c r="CH16" s="16" t="str">
        <f ca="1">IF(COUNTIFS($CG$6:$CG$53,CG16,$BC$6:$BC$53,INDEX(T_Equipos[Grupo],MATCH(BD16,T_Equipos[NombreEquipo],0)))=1,"-","P."&amp;CG16&amp;" ("&amp;COUNTIFS($CG$6:$CG$53,CG16,$BC$6:$BC$53,INDEX(T_Equipos[Grupo],MATCH(BD16,T_Equipos[NombreEquipo],0)))&amp;")")</f>
        <v>P.3 (2)</v>
      </c>
      <c r="CI16" s="16">
        <f t="shared" ca="1" si="36"/>
        <v>0</v>
      </c>
      <c r="CJ16" s="16">
        <f t="shared" ca="1" si="37"/>
        <v>1</v>
      </c>
      <c r="CK16" s="16">
        <f t="shared" ca="1" si="38"/>
        <v>0</v>
      </c>
      <c r="CL16" s="16">
        <f t="shared" ca="1" si="39"/>
        <v>1</v>
      </c>
      <c r="CM16" s="16">
        <f ca="1">CG16+COUNTIFS($CH$6:$CH$53,CH16,$CL$6:CL$53,"&gt;"&amp;CL16,$BC$6:$BC$53,INDEX(T_Equipos[Grupo],MATCH(BD16,T_Equipos[NombreEquipo],0)))</f>
        <v>3</v>
      </c>
      <c r="CN16" s="16" t="str">
        <f ca="1">IF(COUNTIFS($CM$6:$CM$53,CM16,$BC$6:$BC$53,INDEX(T_Equipos[Grupo],MATCH(BD16,T_Equipos[NombreEquipo],0)))=1,"-","P."&amp;CM16&amp;" ("&amp;COUNTIFS($CM$6:$CM$53,CM16,$BC$6:$BC$53,INDEX(T_Equipos[Grupo],MATCH(BD16,T_Equipos[NombreEquipo],0)))&amp;")")</f>
        <v>P.3 (2)</v>
      </c>
      <c r="CO16" s="16">
        <f t="shared" ca="1" si="40"/>
        <v>0</v>
      </c>
      <c r="CP16" s="16">
        <f t="shared" ca="1" si="41"/>
        <v>0</v>
      </c>
      <c r="CQ16" s="16">
        <f t="shared" ca="1" si="42"/>
        <v>0</v>
      </c>
      <c r="CR16" s="16">
        <f ca="1">CM16+COUNTIFS($CN$6:$CN$53,CN16,$CQ$6:CQ$53,"&gt;"&amp;CQ16,$BC$6:$BC$53,INDEX(T_Equipos[Grupo],MATCH(BD16,T_Equipos[NombreEquipo],0)))</f>
        <v>3</v>
      </c>
      <c r="CS16" s="16" t="str">
        <f ca="1">IF(COUNTIFS($CR$6:$CR$53,CR16,$BC$6:$BC$53,INDEX(T_Equipos[Grupo],MATCH(BD16,T_Equipos[NombreEquipo],0)))=1,"-","P."&amp;CR16&amp;" ("&amp;COUNTIFS($CR$6:$CR$53,CR16,$BC$6:$BC$53,INDEX(T_Equipos[Grupo],MATCH(BD16,T_Equipos[NombreEquipo],0)))&amp;")")</f>
        <v>P.3 (2)</v>
      </c>
      <c r="CT16" s="16">
        <f t="shared" ca="1" si="43"/>
        <v>0</v>
      </c>
      <c r="CU16" s="16">
        <f ca="1">CR16+COUNTIFS($CS$6:$CS$53,CS16,$CT$6:CT$53,"&gt;"&amp;CT16,$BC$6:$BC$53,INDEX(T_Equipos[Grupo],MATCH(BD16,T_Equipos[NombreEquipo],0)))</f>
        <v>3</v>
      </c>
      <c r="CV16" s="16" t="str">
        <f ca="1">IF(COUNTIFS($CU$6:$CU$53,CU16,$BC$6:$BC$53,INDEX(T_Equipos[Grupo],MATCH(BD16,T_Equipos[NombreEquipo],0)))=1,"-","P."&amp;CU16&amp;" ("&amp;COUNTIFS($CU$6:$CU$53,CU16,$BC$6:$BC$53,INDEX(T_Equipos[Grupo],MATCH(BD16,T_Equipos[NombreEquipo],0)))&amp;")")</f>
        <v>P.3 (2)</v>
      </c>
      <c r="CW16" s="16">
        <f t="shared" ca="1" si="44"/>
        <v>-3</v>
      </c>
      <c r="CX16" s="16">
        <f ca="1">CU16+COUNTIFS($CV$6:$CV$53,CV16,$CW$6:CW$53,"&gt;"&amp;CW16,$BC$6:$BC$53,INDEX(T_Equipos[Grupo],MATCH(BD16,T_Equipos[NombreEquipo],0)))</f>
        <v>3</v>
      </c>
      <c r="CY16" s="16" t="str">
        <f ca="1">IF(COUNTIFS($CX$6:$CX$53,CX16,$BC$6:$BC$53,INDEX(T_Equipos[Grupo],MATCH(BD16,T_Equipos[NombreEquipo],0)))=1,"-","P."&amp;CX16&amp;" ("&amp;COUNTIFS($CX$6:$CX$53,CX16,$BC$6:$BC$53,INDEX(T_Equipos[Grupo],MATCH(BD16,T_Equipos[NombreEquipo],0)))&amp;")")</f>
        <v>P.3 (2)</v>
      </c>
      <c r="CZ16" s="16">
        <f t="shared" ca="1" si="45"/>
        <v>2</v>
      </c>
      <c r="DA16" s="16">
        <f ca="1">CX16+COUNTIFS($CY$6:$CY$53,CY16,$CZ$6:CZ$53,"&gt;"&amp;CZ16,$BC$6:$BC$53,INDEX(T_Equipos[Grupo],MATCH(BD16,T_Equipos[NombreEquipo],0)))</f>
        <v>3</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3</v>
      </c>
      <c r="DE16" s="16"/>
      <c r="DF16" s="16">
        <f t="shared" ca="1" si="46"/>
        <v>3</v>
      </c>
      <c r="DG16" s="16" t="str">
        <f ca="1">IF(DB16="-","-",COUNTIFS(DF$6:DF$53,"&lt;"&amp;DF16,$BC$6:$BC$53,INDEX(T_Equipos[Grupo],MATCH(BD16,T_Equipos[NombreEquipo],0))))</f>
        <v>-</v>
      </c>
      <c r="DH16" s="16">
        <f ca="1">DA16+COUNTIFS(DB$6:DB$53,DB16,DG$6:DG$53,"&lt;"&amp;DG16,$BC$6:$BC$53,INDEX(T_Equipos[Grupo],MATCH(BD16,T_Equipos[NombreEquipo],0)))</f>
        <v>3</v>
      </c>
      <c r="DI16" s="16"/>
      <c r="DJ16" s="16">
        <f t="shared" ca="1" si="47"/>
        <v>3</v>
      </c>
      <c r="DK16" s="16">
        <f t="shared" ca="1" si="48"/>
        <v>12</v>
      </c>
      <c r="DL16" s="16">
        <f t="shared" ca="1" si="49"/>
        <v>1</v>
      </c>
      <c r="DM16" s="16" t="str">
        <f t="shared" ca="1" si="50"/>
        <v>3.1</v>
      </c>
      <c r="DN16" s="16">
        <f t="array" aca="1" ref="DN16" ca="1">OFFSET(Horarios!$P$3,DJ16-1,0,DL16,1)</f>
        <v>3</v>
      </c>
      <c r="DO16" s="16"/>
      <c r="DP16" s="16" t="s">
        <v>94</v>
      </c>
      <c r="DQ16" s="16" t="str">
        <f t="shared" ca="1" si="51"/>
        <v>Haití</v>
      </c>
    </row>
    <row r="17" spans="1:121" ht="16" customHeight="1" thickBot="1" x14ac:dyDescent="0.25">
      <c r="A17" s="16"/>
      <c r="B17" s="16"/>
      <c r="C17" s="16"/>
      <c r="D17" s="16" t="str">
        <f t="shared" si="52"/>
        <v>Visitante</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32"/>
      <c r="X17" s="28">
        <f ca="1">Horarios!C17</f>
        <v>46197.625</v>
      </c>
      <c r="Y17" s="29">
        <f ca="1">Horarios!C17</f>
        <v>46197.625</v>
      </c>
      <c r="Z17" s="30" t="str">
        <f>$Z$8</f>
        <v>J3</v>
      </c>
      <c r="AA17" s="31" t="str">
        <f ca="1">A14</f>
        <v>Bosnia y Herzegovina</v>
      </c>
      <c r="AB17" s="52" t="str">
        <f t="array" aca="1" ref="AB17" ca="1">Ver_flag_local</f>
        <v/>
      </c>
      <c r="AC17" s="53">
        <v>0</v>
      </c>
      <c r="AD17" s="54">
        <v>2</v>
      </c>
      <c r="AE17" s="582" t="str">
        <f t="array" aca="1" ref="AE17" ca="1">Ver_flag_visit</f>
        <v/>
      </c>
      <c r="AF17" s="33" t="str">
        <f ca="1">A15</f>
        <v>Catar</v>
      </c>
      <c r="AG17" s="316">
        <f t="shared" si="65"/>
        <v>1</v>
      </c>
      <c r="AH17" s="195">
        <v>52</v>
      </c>
      <c r="AI17" s="181" t="str">
        <f>AJ17&amp;$B$12</f>
        <v>4B</v>
      </c>
      <c r="AJ17" s="75">
        <v>4</v>
      </c>
      <c r="AK17" s="589" t="str">
        <f t="array" aca="1" ref="AK17" ca="1">Ver_flag_visit</f>
        <v/>
      </c>
      <c r="AL17" s="76" t="str">
        <f ca="1">IFERROR(INDEX($BD$6:$BD$53,MATCH(AI17,$BN$6:$BN$53,0)),"")</f>
        <v>Bosnia y Herzegovina</v>
      </c>
      <c r="AM17" s="77">
        <f t="shared" ca="1" si="67"/>
        <v>0</v>
      </c>
      <c r="AN17" s="78">
        <f t="shared" ca="1" si="67"/>
        <v>3</v>
      </c>
      <c r="AO17" s="78">
        <f t="shared" ca="1" si="67"/>
        <v>0</v>
      </c>
      <c r="AP17" s="78">
        <f t="shared" ca="1" si="67"/>
        <v>0</v>
      </c>
      <c r="AQ17" s="78">
        <f t="shared" ca="1" si="67"/>
        <v>3</v>
      </c>
      <c r="AR17" s="78">
        <f t="shared" ca="1" si="67"/>
        <v>0</v>
      </c>
      <c r="AS17" s="78">
        <f t="shared" ca="1" si="67"/>
        <v>5</v>
      </c>
      <c r="AT17" s="79">
        <f t="shared" ca="1" si="67"/>
        <v>-5</v>
      </c>
      <c r="AU17" s="323">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1</v>
      </c>
      <c r="BF17" s="16">
        <f t="shared" ca="1" si="17"/>
        <v>3</v>
      </c>
      <c r="BG17" s="16">
        <f t="shared" ca="1" si="18"/>
        <v>0</v>
      </c>
      <c r="BH17" s="16">
        <f t="shared" ca="1" si="19"/>
        <v>1</v>
      </c>
      <c r="BI17" s="16">
        <f t="shared" ca="1" si="20"/>
        <v>2</v>
      </c>
      <c r="BJ17" s="16">
        <f t="shared" ca="1" si="21"/>
        <v>1</v>
      </c>
      <c r="BK17" s="16">
        <f t="shared" ca="1" si="22"/>
        <v>4</v>
      </c>
      <c r="BL17" s="16">
        <f t="shared" ca="1" si="23"/>
        <v>-3</v>
      </c>
      <c r="BM17" s="16" t="str">
        <f t="shared" ca="1" si="24"/>
        <v>4C</v>
      </c>
      <c r="BN17" s="16" t="str">
        <f t="shared" ca="1" si="25"/>
        <v>4C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1</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P.3 (2)</v>
      </c>
      <c r="BU17" s="16">
        <f t="shared" ca="1" si="28"/>
        <v>0</v>
      </c>
      <c r="BV17" s="16">
        <f t="shared" ca="1" si="29"/>
        <v>1</v>
      </c>
      <c r="BW17" s="16">
        <f t="shared" ca="1" si="30"/>
        <v>0</v>
      </c>
      <c r="BX17" s="16">
        <f t="shared" ca="1" si="31"/>
        <v>1</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P.3 (2)</v>
      </c>
      <c r="CA17" s="16">
        <f t="shared" ca="1" si="32"/>
        <v>0</v>
      </c>
      <c r="CB17" s="16">
        <f t="shared" ca="1" si="33"/>
        <v>0</v>
      </c>
      <c r="CC17" s="16">
        <f t="shared" ca="1" si="34"/>
        <v>0</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P.3 (2)</v>
      </c>
      <c r="CF17" s="16">
        <f t="shared" ca="1" si="35"/>
        <v>0</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P.3 (2)</v>
      </c>
      <c r="CI17" s="16">
        <f t="shared" ca="1" si="36"/>
        <v>0</v>
      </c>
      <c r="CJ17" s="16">
        <f t="shared" ca="1" si="37"/>
        <v>1</v>
      </c>
      <c r="CK17" s="16">
        <f t="shared" ca="1" si="38"/>
        <v>0</v>
      </c>
      <c r="CL17" s="16">
        <f t="shared" ca="1" si="39"/>
        <v>1</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P.3 (2)</v>
      </c>
      <c r="CO17" s="16">
        <f t="shared" ca="1" si="40"/>
        <v>0</v>
      </c>
      <c r="CP17" s="16">
        <f t="shared" ca="1" si="41"/>
        <v>0</v>
      </c>
      <c r="CQ17" s="16">
        <f t="shared" ca="1" si="42"/>
        <v>0</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P.3 (2)</v>
      </c>
      <c r="CT17" s="16">
        <f t="shared" ca="1" si="43"/>
        <v>0</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P.3 (2)</v>
      </c>
      <c r="CW17" s="16">
        <f t="shared" ca="1" si="44"/>
        <v>-3</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P.3 (2)</v>
      </c>
      <c r="CZ17" s="16">
        <f t="shared" ca="1" si="45"/>
        <v>1</v>
      </c>
      <c r="DA17" s="16">
        <f ca="1">CX17+COUNTIFS($CY$6:$CY$53,CY17,$CZ$6:CZ$53,"&gt;"&amp;CZ17,$BC$6:$BC$53,INDEX(T_Equipos[Grupo],MATCH(BD17,T_Equipos[NombreEquipo],0)))</f>
        <v>4</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4</v>
      </c>
      <c r="DE17" s="16"/>
      <c r="DF17" s="16">
        <f t="shared" ca="1" si="46"/>
        <v>4</v>
      </c>
      <c r="DG17" s="16" t="str">
        <f ca="1">IF(DB17="-","-",COUNTIFS(DF$6:DF$53,"&lt;"&amp;DF17,$BC$6:$BC$53,INDEX(T_Equipos[Grupo],MATCH(BD17,T_Equipos[NombreEquipo],0))))</f>
        <v>-</v>
      </c>
      <c r="DH17" s="16">
        <f ca="1">DA17+COUNTIFS(DB$6:DB$53,DB17,DG$6:DG$53,"&lt;"&amp;DG17,$BC$6:$BC$53,INDEX(T_Equipos[Grupo],MATCH(BD17,T_Equipos[NombreEquipo],0)))</f>
        <v>4</v>
      </c>
      <c r="DI17" s="16"/>
      <c r="DJ17" s="16">
        <f t="shared" ca="1" si="47"/>
        <v>4</v>
      </c>
      <c r="DK17" s="16">
        <f t="shared" ca="1" si="48"/>
        <v>12</v>
      </c>
      <c r="DL17" s="16">
        <f t="shared" ca="1" si="49"/>
        <v>1</v>
      </c>
      <c r="DM17" s="16" t="str">
        <f t="shared" ca="1" si="50"/>
        <v>4.1</v>
      </c>
      <c r="DN17" s="16">
        <f t="array" aca="1" ref="DN17" ca="1">OFFSET(Horarios!$P$3,DJ17-1,0,DL17,1)</f>
        <v>4</v>
      </c>
      <c r="DO17" s="16"/>
      <c r="DP17" s="16" t="s">
        <v>95</v>
      </c>
      <c r="DQ17" s="16" t="str">
        <f t="shared" ca="1" si="51"/>
        <v>Escocia</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17"/>
        <v>3</v>
      </c>
      <c r="BG18" s="16">
        <f t="shared" ca="1" si="18"/>
        <v>2</v>
      </c>
      <c r="BH18" s="16">
        <f t="shared" ca="1" si="19"/>
        <v>0</v>
      </c>
      <c r="BI18" s="16">
        <f t="shared" ca="1" si="20"/>
        <v>1</v>
      </c>
      <c r="BJ18" s="16">
        <f t="shared" ca="1" si="21"/>
        <v>4</v>
      </c>
      <c r="BK18" s="16">
        <f t="shared" ca="1" si="22"/>
        <v>4</v>
      </c>
      <c r="BL18" s="16">
        <f t="shared" ca="1" si="23"/>
        <v>0</v>
      </c>
      <c r="BM18" s="16" t="str">
        <f t="shared" ca="1" si="24"/>
        <v>2D</v>
      </c>
      <c r="BN18" s="16" t="str">
        <f t="shared" ca="1" si="25"/>
        <v>2D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46"/>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47"/>
        <v>1</v>
      </c>
      <c r="DK18" s="16">
        <f t="shared" ca="1" si="48"/>
        <v>12</v>
      </c>
      <c r="DL18" s="16">
        <f t="shared" ca="1" si="49"/>
        <v>1</v>
      </c>
      <c r="DM18" s="16" t="str">
        <f t="shared" ca="1" si="50"/>
        <v>1.1</v>
      </c>
      <c r="DN18" s="16">
        <f t="array" aca="1" ref="DN18" ca="1">OFFSET(Horarios!$P$3,DJ18-1,0,DL18,1)</f>
        <v>1</v>
      </c>
      <c r="DO18" s="16"/>
      <c r="DP18" s="16" t="s">
        <v>96</v>
      </c>
      <c r="DQ18" s="16" t="str">
        <f t="shared" ca="1" si="51"/>
        <v>Paraguay</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6"/>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9</v>
      </c>
      <c r="BF19" s="16">
        <f t="shared" ca="1" si="17"/>
        <v>3</v>
      </c>
      <c r="BG19" s="16">
        <f t="shared" ca="1" si="18"/>
        <v>3</v>
      </c>
      <c r="BH19" s="16">
        <f t="shared" ca="1" si="19"/>
        <v>0</v>
      </c>
      <c r="BI19" s="16">
        <f t="shared" ca="1" si="20"/>
        <v>0</v>
      </c>
      <c r="BJ19" s="16">
        <f t="shared" ca="1" si="21"/>
        <v>5</v>
      </c>
      <c r="BK19" s="16">
        <f t="shared" ca="1" si="22"/>
        <v>0</v>
      </c>
      <c r="BL19" s="16">
        <f t="shared" ca="1" si="23"/>
        <v>5</v>
      </c>
      <c r="BM19" s="16" t="str">
        <f t="shared" ca="1" si="24"/>
        <v>1D</v>
      </c>
      <c r="BN19" s="16" t="str">
        <f t="shared" ca="1" si="25"/>
        <v>1D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9</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46"/>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47"/>
        <v>2</v>
      </c>
      <c r="DK19" s="16">
        <f t="shared" ca="1" si="48"/>
        <v>12</v>
      </c>
      <c r="DL19" s="16">
        <f t="shared" ca="1" si="49"/>
        <v>1</v>
      </c>
      <c r="DM19" s="16" t="str">
        <f t="shared" ca="1" si="50"/>
        <v>2.1</v>
      </c>
      <c r="DN19" s="16">
        <f t="array" aca="1" ref="DN19" ca="1">OFFSET(Horarios!$P$3,DJ19-1,0,DL19,1)</f>
        <v>2</v>
      </c>
      <c r="DO19" s="16"/>
      <c r="DP19" s="16" t="s">
        <v>97</v>
      </c>
      <c r="DQ19" s="16" t="str">
        <f t="shared" ca="1" si="51"/>
        <v>Estados Unidos</v>
      </c>
    </row>
    <row r="20" spans="1:121" ht="16" customHeight="1" thickBot="1" x14ac:dyDescent="0.25">
      <c r="A20" s="16" t="s">
        <v>28</v>
      </c>
      <c r="B20" s="16" t="s">
        <v>98</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51" t="s">
        <v>98</v>
      </c>
      <c r="X20" s="24">
        <f ca="1">Horarios!C20</f>
        <v>46186.75</v>
      </c>
      <c r="Y20" s="25">
        <f ca="1">Horarios!C20</f>
        <v>46186.75</v>
      </c>
      <c r="Z20" s="26" t="str">
        <f>$Z$4</f>
        <v>J1</v>
      </c>
      <c r="AA20" s="27" t="str">
        <f ca="1">A21</f>
        <v>Brasil</v>
      </c>
      <c r="AB20" s="49" t="str">
        <f t="array" aca="1" ref="AB20" ca="1">Ver_flag_local</f>
        <v/>
      </c>
      <c r="AC20" s="50">
        <v>2</v>
      </c>
      <c r="AD20" s="51">
        <v>0</v>
      </c>
      <c r="AE20" s="581"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3</v>
      </c>
      <c r="BF20" s="16">
        <f t="shared" ca="1" si="17"/>
        <v>3</v>
      </c>
      <c r="BG20" s="16">
        <f t="shared" ca="1" si="18"/>
        <v>1</v>
      </c>
      <c r="BH20" s="16">
        <f t="shared" ca="1" si="19"/>
        <v>0</v>
      </c>
      <c r="BI20" s="16">
        <f t="shared" ca="1" si="20"/>
        <v>2</v>
      </c>
      <c r="BJ20" s="16">
        <f t="shared" ca="1" si="21"/>
        <v>4</v>
      </c>
      <c r="BK20" s="16">
        <f t="shared" ca="1" si="22"/>
        <v>5</v>
      </c>
      <c r="BL20" s="16">
        <f t="shared" ca="1" si="23"/>
        <v>-1</v>
      </c>
      <c r="BM20" s="16" t="str">
        <f t="shared" ca="1" si="24"/>
        <v>3D</v>
      </c>
      <c r="BN20" s="16" t="str">
        <f t="shared" ca="1" si="25"/>
        <v>3D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3</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46"/>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47"/>
        <v>3</v>
      </c>
      <c r="DK20" s="16">
        <f t="shared" ca="1" si="48"/>
        <v>12</v>
      </c>
      <c r="DL20" s="16">
        <f t="shared" ca="1" si="49"/>
        <v>1</v>
      </c>
      <c r="DM20" s="16" t="str">
        <f t="shared" ca="1" si="50"/>
        <v>3.1</v>
      </c>
      <c r="DN20" s="16">
        <f t="array" aca="1" ref="DN20" ca="1">OFFSET(Horarios!$P$3,DJ20-1,0,DL20,1)</f>
        <v>3</v>
      </c>
      <c r="DO20" s="16"/>
      <c r="DP20" s="16" t="s">
        <v>99</v>
      </c>
      <c r="DQ20" s="16" t="str">
        <f t="shared" ca="1" si="51"/>
        <v>Australia</v>
      </c>
    </row>
    <row r="21" spans="1:121" ht="16" customHeight="1" x14ac:dyDescent="0.2">
      <c r="A21" s="16" t="str">
        <f ca="1">+Equipos!B10</f>
        <v>Brasil</v>
      </c>
      <c r="B21" s="16"/>
      <c r="C21" s="16"/>
      <c r="D21" s="16" t="str">
        <f t="shared" si="68"/>
        <v>Empate</v>
      </c>
      <c r="E21" s="16" t="str">
        <f t="shared" ca="1" si="69"/>
        <v>P.3 (2)</v>
      </c>
      <c r="F21" s="16" t="str">
        <f t="shared" ca="1" si="70"/>
        <v>P.3 (2)</v>
      </c>
      <c r="G21" s="16"/>
      <c r="H21" s="16" t="str">
        <f t="shared" ca="1" si="71"/>
        <v>P.3 (2)</v>
      </c>
      <c r="I21" s="16" t="str">
        <f t="shared" ca="1" si="72"/>
        <v>P.3 (2)</v>
      </c>
      <c r="J21" s="16"/>
      <c r="K21" s="16" t="str">
        <f t="shared" ca="1" si="73"/>
        <v>P.3 (2)</v>
      </c>
      <c r="L21" s="16" t="str">
        <f t="shared" ca="1" si="74"/>
        <v>P.3 (2)</v>
      </c>
      <c r="M21" s="16"/>
      <c r="N21" s="16" t="str">
        <f t="shared" ca="1" si="75"/>
        <v>P.3 (2)</v>
      </c>
      <c r="O21" s="16" t="str">
        <f t="shared" ca="1" si="76"/>
        <v>P.3 (2)</v>
      </c>
      <c r="P21" s="16"/>
      <c r="Q21" s="16" t="str">
        <f t="shared" ca="1" si="77"/>
        <v>P.3 (2)</v>
      </c>
      <c r="R21" s="16" t="str">
        <f t="shared" ca="1" si="78"/>
        <v>P.3 (2)</v>
      </c>
      <c r="S21" s="16"/>
      <c r="T21" s="16" t="str">
        <f t="shared" ca="1" si="79"/>
        <v>P.3 (2)</v>
      </c>
      <c r="U21" s="16" t="str">
        <f t="shared" ca="1" si="80"/>
        <v>P.3 (2)</v>
      </c>
      <c r="V21" s="17"/>
      <c r="W21" s="631"/>
      <c r="X21" s="24">
        <f ca="1">Horarios!C21</f>
        <v>46186.875</v>
      </c>
      <c r="Y21" s="25">
        <f ca="1">Horarios!C21</f>
        <v>46186.875</v>
      </c>
      <c r="Z21" s="26" t="str">
        <f>$Z$4</f>
        <v>J1</v>
      </c>
      <c r="AA21" s="27" t="str">
        <f ca="1">A23</f>
        <v>Haití</v>
      </c>
      <c r="AB21" s="49" t="str">
        <f t="array" aca="1" ref="AB21" ca="1">Ver_flag_local</f>
        <v/>
      </c>
      <c r="AC21" s="50">
        <v>0</v>
      </c>
      <c r="AD21" s="51">
        <v>0</v>
      </c>
      <c r="AE21" s="581"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0</v>
      </c>
      <c r="BF21" s="16">
        <f t="shared" ca="1" si="17"/>
        <v>3</v>
      </c>
      <c r="BG21" s="16">
        <f t="shared" ca="1" si="18"/>
        <v>0</v>
      </c>
      <c r="BH21" s="16">
        <f t="shared" ca="1" si="19"/>
        <v>0</v>
      </c>
      <c r="BI21" s="16">
        <f t="shared" ca="1" si="20"/>
        <v>3</v>
      </c>
      <c r="BJ21" s="16">
        <f t="shared" ca="1" si="21"/>
        <v>3</v>
      </c>
      <c r="BK21" s="16">
        <f t="shared" ca="1" si="22"/>
        <v>7</v>
      </c>
      <c r="BL21" s="16">
        <f t="shared" ca="1" si="23"/>
        <v>-4</v>
      </c>
      <c r="BM21" s="16" t="str">
        <f t="shared" ca="1" si="24"/>
        <v>4D</v>
      </c>
      <c r="BN21" s="16" t="str">
        <f t="shared" ca="1" si="25"/>
        <v>4D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0</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46"/>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47"/>
        <v>4</v>
      </c>
      <c r="DK21" s="16">
        <f t="shared" ca="1" si="48"/>
        <v>12</v>
      </c>
      <c r="DL21" s="16">
        <f t="shared" ca="1" si="49"/>
        <v>1</v>
      </c>
      <c r="DM21" s="16" t="str">
        <f t="shared" ca="1" si="50"/>
        <v>4.1</v>
      </c>
      <c r="DN21" s="16">
        <f t="array" aca="1" ref="DN21" ca="1">OFFSET(Horarios!$P$3,DJ21-1,0,DL21,1)</f>
        <v>4</v>
      </c>
      <c r="DO21" s="16"/>
      <c r="DP21" s="16" t="s">
        <v>100</v>
      </c>
      <c r="DQ21" s="16" t="str">
        <f t="shared" ca="1" si="51"/>
        <v>Turquía</v>
      </c>
    </row>
    <row r="22" spans="1:121" ht="16" customHeight="1" x14ac:dyDescent="0.2">
      <c r="A22" s="16" t="str">
        <f ca="1">+Equipos!B11</f>
        <v>Marruecos</v>
      </c>
      <c r="B22" s="16"/>
      <c r="C22" s="16"/>
      <c r="D22" s="16" t="str">
        <f t="shared" si="68"/>
        <v>Visitante</v>
      </c>
      <c r="E22" s="16" t="str">
        <f t="shared" ca="1" si="69"/>
        <v>P.3 (2)</v>
      </c>
      <c r="F22" s="16" t="str">
        <f t="shared" ca="1" si="70"/>
        <v>-</v>
      </c>
      <c r="G22" s="16"/>
      <c r="H22" s="16" t="str">
        <f t="shared" ca="1" si="71"/>
        <v>P.3 (2)</v>
      </c>
      <c r="I22" s="16" t="str">
        <f t="shared" ca="1" si="72"/>
        <v>-</v>
      </c>
      <c r="J22" s="16"/>
      <c r="K22" s="16" t="str">
        <f t="shared" ca="1" si="73"/>
        <v>P.3 (2)</v>
      </c>
      <c r="L22" s="16" t="str">
        <f t="shared" ca="1" si="74"/>
        <v>-</v>
      </c>
      <c r="M22" s="16"/>
      <c r="N22" s="16" t="str">
        <f t="shared" ca="1" si="75"/>
        <v>P.3 (2)</v>
      </c>
      <c r="O22" s="16" t="str">
        <f t="shared" ca="1" si="76"/>
        <v>-</v>
      </c>
      <c r="P22" s="16"/>
      <c r="Q22" s="16" t="str">
        <f t="shared" ca="1" si="77"/>
        <v>P.3 (2)</v>
      </c>
      <c r="R22" s="16" t="str">
        <f t="shared" ca="1" si="78"/>
        <v>-</v>
      </c>
      <c r="S22" s="16"/>
      <c r="T22" s="16" t="str">
        <f t="shared" ca="1" si="79"/>
        <v>P.3 (2)</v>
      </c>
      <c r="U22" s="16" t="str">
        <f t="shared" ca="1" si="80"/>
        <v>-</v>
      </c>
      <c r="V22" s="17"/>
      <c r="W22" s="631"/>
      <c r="X22" s="24">
        <f ca="1">Horarios!C22</f>
        <v>46192.75</v>
      </c>
      <c r="Y22" s="25">
        <f ca="1">Horarios!C22</f>
        <v>46192.75</v>
      </c>
      <c r="Z22" s="26" t="str">
        <f>$Z$6</f>
        <v>J2</v>
      </c>
      <c r="AA22" s="27" t="str">
        <f ca="1">A24</f>
        <v>Escocia</v>
      </c>
      <c r="AB22" s="49" t="str">
        <f t="array" aca="1" ref="AB22" ca="1">Ver_flag_local</f>
        <v/>
      </c>
      <c r="AC22" s="50">
        <v>1</v>
      </c>
      <c r="AD22" s="51">
        <v>2</v>
      </c>
      <c r="AE22" s="581" t="str">
        <f t="array" aca="1" ref="AE22" ca="1">Ver_flag_visit</f>
        <v/>
      </c>
      <c r="AF22" s="32" t="str">
        <f ca="1">A22</f>
        <v>Marruecos</v>
      </c>
      <c r="AG22" s="316">
        <f t="shared" si="81"/>
        <v>1</v>
      </c>
      <c r="AH22" s="195">
        <v>30</v>
      </c>
      <c r="AI22" s="181" t="str">
        <f>AJ22&amp;$B$20</f>
        <v>1C</v>
      </c>
      <c r="AJ22" s="40">
        <v>1</v>
      </c>
      <c r="AK22" s="587"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7</v>
      </c>
      <c r="AS22" s="36">
        <f t="shared" ca="1" si="83"/>
        <v>1</v>
      </c>
      <c r="AT22" s="41">
        <f t="shared" ca="1" si="83"/>
        <v>6</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17"/>
        <v>3</v>
      </c>
      <c r="BG22" s="16">
        <f t="shared" ca="1" si="18"/>
        <v>3</v>
      </c>
      <c r="BH22" s="16">
        <f t="shared" ca="1" si="19"/>
        <v>0</v>
      </c>
      <c r="BI22" s="16">
        <f t="shared" ca="1" si="20"/>
        <v>0</v>
      </c>
      <c r="BJ22" s="16">
        <f t="shared" ca="1" si="21"/>
        <v>8</v>
      </c>
      <c r="BK22" s="16">
        <f t="shared" ca="1" si="22"/>
        <v>2</v>
      </c>
      <c r="BL22" s="16">
        <f t="shared" ca="1" si="23"/>
        <v>6</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101</v>
      </c>
      <c r="DQ22" s="16" t="str">
        <f t="shared" ca="1" si="51"/>
        <v>Alemania</v>
      </c>
    </row>
    <row r="23" spans="1:121" ht="16" customHeight="1" x14ac:dyDescent="0.2">
      <c r="A23" s="16" t="str">
        <f ca="1">+Equipos!B12</f>
        <v>Haití</v>
      </c>
      <c r="B23" s="16"/>
      <c r="C23" s="16"/>
      <c r="D23" s="16" t="str">
        <f t="shared" si="68"/>
        <v>Local</v>
      </c>
      <c r="E23" s="16" t="str">
        <f t="shared" ca="1" si="69"/>
        <v>-</v>
      </c>
      <c r="F23" s="16" t="str">
        <f t="shared" ca="1" si="70"/>
        <v>P.3 (2)</v>
      </c>
      <c r="G23" s="16"/>
      <c r="H23" s="16" t="str">
        <f t="shared" ca="1" si="71"/>
        <v>-</v>
      </c>
      <c r="I23" s="16" t="str">
        <f t="shared" ca="1" si="72"/>
        <v>P.3 (2)</v>
      </c>
      <c r="J23" s="16"/>
      <c r="K23" s="16" t="str">
        <f t="shared" ca="1" si="73"/>
        <v>-</v>
      </c>
      <c r="L23" s="16" t="str">
        <f t="shared" ca="1" si="74"/>
        <v>P.3 (2)</v>
      </c>
      <c r="M23" s="16"/>
      <c r="N23" s="16" t="str">
        <f t="shared" ca="1" si="75"/>
        <v>-</v>
      </c>
      <c r="O23" s="16" t="str">
        <f t="shared" ca="1" si="76"/>
        <v>P.3 (2)</v>
      </c>
      <c r="P23" s="16"/>
      <c r="Q23" s="16" t="str">
        <f t="shared" ca="1" si="77"/>
        <v>-</v>
      </c>
      <c r="R23" s="16" t="str">
        <f t="shared" ca="1" si="78"/>
        <v>P.3 (2)</v>
      </c>
      <c r="S23" s="16"/>
      <c r="T23" s="16" t="str">
        <f t="shared" ca="1" si="79"/>
        <v>-</v>
      </c>
      <c r="U23" s="16" t="str">
        <f t="shared" ca="1" si="80"/>
        <v>P.3 (2)</v>
      </c>
      <c r="V23" s="17"/>
      <c r="W23" s="631"/>
      <c r="X23" s="24">
        <f ca="1">Horarios!C23</f>
        <v>46192.854166666657</v>
      </c>
      <c r="Y23" s="25">
        <f ca="1">Horarios!C23</f>
        <v>46192.854166666657</v>
      </c>
      <c r="Z23" s="26" t="str">
        <f>$Z$6</f>
        <v>J2</v>
      </c>
      <c r="AA23" s="27" t="str">
        <f ca="1">A21</f>
        <v>Brasil</v>
      </c>
      <c r="AB23" s="49" t="str">
        <f t="array" aca="1" ref="AB23" ca="1">Ver_flag_local</f>
        <v/>
      </c>
      <c r="AC23" s="50">
        <v>3</v>
      </c>
      <c r="AD23" s="51">
        <v>1</v>
      </c>
      <c r="AE23" s="581" t="str">
        <f t="array" aca="1" ref="AE23" ca="1">Ver_flag_visit</f>
        <v/>
      </c>
      <c r="AF23" s="32" t="str">
        <f ca="1">A23</f>
        <v>Haití</v>
      </c>
      <c r="AG23" s="316">
        <f t="shared" si="81"/>
        <v>1</v>
      </c>
      <c r="AH23" s="195">
        <v>29</v>
      </c>
      <c r="AI23" s="181" t="str">
        <f>AJ23&amp;$B$20</f>
        <v>2C</v>
      </c>
      <c r="AJ23" s="42">
        <v>2</v>
      </c>
      <c r="AK23" s="588" t="str">
        <f t="array" aca="1" ref="AK23" ca="1">Ver_flag_visit</f>
        <v/>
      </c>
      <c r="AL23" s="37" t="str">
        <f ca="1">IFERROR(INDEX($BD$6:$BD$53,MATCH(AI23,$BN$6:$BN$53,0)),"")</f>
        <v>Marruecos</v>
      </c>
      <c r="AM23" s="38">
        <f t="shared" ca="1" si="83"/>
        <v>6</v>
      </c>
      <c r="AN23" s="39">
        <f t="shared" ca="1" si="83"/>
        <v>3</v>
      </c>
      <c r="AO23" s="39">
        <f t="shared" ca="1" si="83"/>
        <v>2</v>
      </c>
      <c r="AP23" s="39">
        <f t="shared" ca="1" si="83"/>
        <v>0</v>
      </c>
      <c r="AQ23" s="39">
        <f t="shared" ca="1" si="83"/>
        <v>1</v>
      </c>
      <c r="AR23" s="39">
        <f t="shared" ca="1" si="83"/>
        <v>4</v>
      </c>
      <c r="AS23" s="39">
        <f t="shared" ca="1" si="83"/>
        <v>4</v>
      </c>
      <c r="AT23" s="43">
        <f t="shared" ca="1" si="83"/>
        <v>0</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17"/>
        <v>3</v>
      </c>
      <c r="BG23" s="16">
        <f t="shared" ca="1" si="18"/>
        <v>0</v>
      </c>
      <c r="BH23" s="16">
        <f t="shared" ca="1" si="19"/>
        <v>1</v>
      </c>
      <c r="BI23" s="16">
        <f t="shared" ca="1" si="20"/>
        <v>2</v>
      </c>
      <c r="BJ23" s="16">
        <f t="shared" ca="1" si="21"/>
        <v>1</v>
      </c>
      <c r="BK23" s="16">
        <f t="shared" ca="1" si="22"/>
        <v>5</v>
      </c>
      <c r="BL23" s="16">
        <f t="shared" ca="1" si="23"/>
        <v>-4</v>
      </c>
      <c r="BM23" s="16" t="str">
        <f t="shared" ca="1" si="24"/>
        <v>3E</v>
      </c>
      <c r="BN23" s="16" t="str">
        <f t="shared" ca="1" si="25"/>
        <v>3E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1</v>
      </c>
      <c r="BS23" s="16">
        <f ca="1">BP23+COUNTIFS($BQ$6:$BQ$53,BQ23,$BR$6:BR$53,"&gt;"&amp;BR23,$BC$6:$BC$53,INDEX(T_Equipos[Grupo],MATCH(BD23,T_Equipos[NombreEquipo],0)))</f>
        <v>3</v>
      </c>
      <c r="BT23" s="16" t="str">
        <f ca="1">IF(COUNTIFS($BS$6:$BS$53,BS23,$BC$6:$BC$53,INDEX(T_Equipos[Grupo],MATCH(BD23,T_Equipos[NombreEquipo],0)))=1,"-","P."&amp;BS23&amp;" ("&amp;COUNTIFS($BS$6:$BS$53,BS23,$BC$6:$BC$53,INDEX(T_Equipos[Grupo],MATCH(BD23,T_Equipos[NombreEquipo],0)))&amp;")")</f>
        <v>P.3 (2)</v>
      </c>
      <c r="BU23" s="16">
        <f t="shared" ca="1" si="28"/>
        <v>0</v>
      </c>
      <c r="BV23" s="16">
        <f t="shared" ca="1" si="29"/>
        <v>1</v>
      </c>
      <c r="BW23" s="16">
        <f t="shared" ca="1" si="30"/>
        <v>0</v>
      </c>
      <c r="BX23" s="16">
        <f t="shared" ca="1" si="31"/>
        <v>1</v>
      </c>
      <c r="BY23" s="16">
        <f ca="1">BS23+COUNTIFS($BT$6:$BT$53,BT23,$BX$6:BX$53,"&gt;"&amp;BX23,$BC$6:$BC$53,INDEX(T_Equipos[Grupo],MATCH(BD23,T_Equipos[NombreEquipo],0)))</f>
        <v>3</v>
      </c>
      <c r="BZ23" s="16" t="str">
        <f ca="1">IF(COUNTIFS($BY$6:$BY$53,BY23,$BC$6:$BC$53,INDEX(T_Equipos[Grupo],MATCH(BD23,T_Equipos[NombreEquipo],0)))=1,"-","P."&amp;BY23&amp;" ("&amp;COUNTIFS($BY$6:$BY$53,BY23,$BC$6:$BC$53,INDEX(T_Equipos[Grupo],MATCH(BD23,T_Equipos[NombreEquipo],0)))&amp;")")</f>
        <v>P.3 (2)</v>
      </c>
      <c r="CA23" s="16">
        <f t="shared" ca="1" si="32"/>
        <v>1</v>
      </c>
      <c r="CB23" s="16">
        <f t="shared" ca="1" si="33"/>
        <v>1</v>
      </c>
      <c r="CC23" s="16">
        <f t="shared" ca="1" si="34"/>
        <v>0</v>
      </c>
      <c r="CD23" s="16">
        <f ca="1">BY23+COUNTIFS($BZ$6:$BZ$53,BZ23,$CC$6:CC$53,"&gt;"&amp;CC23,$BC$6:$BC$53,INDEX(T_Equipos[Grupo],MATCH(BD23,T_Equipos[NombreEquipo],0)))</f>
        <v>3</v>
      </c>
      <c r="CE23" s="16" t="str">
        <f ca="1">IF(COUNTIFS($CD$6:$CD$53,CD23,$BC$6:$BC$53,INDEX(T_Equipos[Grupo],MATCH(BD23,T_Equipos[NombreEquipo],0)))=1,"-","P."&amp;CD23&amp;" ("&amp;COUNTIFS($CD$6:$CD$53,CD23,$BC$6:$BC$53,INDEX(T_Equipos[Grupo],MATCH(BD23,T_Equipos[NombreEquipo],0)))&amp;")")</f>
        <v>P.3 (2)</v>
      </c>
      <c r="CF23" s="16">
        <f t="shared" ca="1" si="35"/>
        <v>1</v>
      </c>
      <c r="CG23" s="16">
        <f ca="1">CD23+COUNTIFS($CE$6:$CE$53,CE23,$CF$6:CF$53,"&gt;"&amp;CF23,$BC$6:$BC$53,INDEX(T_Equipos[Grupo],MATCH(BD23,T_Equipos[NombreEquipo],0)))</f>
        <v>3</v>
      </c>
      <c r="CH23" s="16" t="str">
        <f ca="1">IF(COUNTIFS($CG$6:$CG$53,CG23,$BC$6:$BC$53,INDEX(T_Equipos[Grupo],MATCH(BD23,T_Equipos[NombreEquipo],0)))=1,"-","P."&amp;CG23&amp;" ("&amp;COUNTIFS($CG$6:$CG$53,CG23,$BC$6:$BC$53,INDEX(T_Equipos[Grupo],MATCH(BD23,T_Equipos[NombreEquipo],0)))&amp;")")</f>
        <v>P.3 (2)</v>
      </c>
      <c r="CI23" s="16">
        <f t="shared" ca="1" si="36"/>
        <v>0</v>
      </c>
      <c r="CJ23" s="16">
        <f t="shared" ca="1" si="37"/>
        <v>1</v>
      </c>
      <c r="CK23" s="16">
        <f t="shared" ca="1" si="38"/>
        <v>0</v>
      </c>
      <c r="CL23" s="16">
        <f t="shared" ca="1" si="39"/>
        <v>1</v>
      </c>
      <c r="CM23" s="16">
        <f ca="1">CG23+COUNTIFS($CH$6:$CH$53,CH23,$CL$6:CL$53,"&gt;"&amp;CL23,$BC$6:$BC$53,INDEX(T_Equipos[Grupo],MATCH(BD23,T_Equipos[NombreEquipo],0)))</f>
        <v>3</v>
      </c>
      <c r="CN23" s="16" t="str">
        <f ca="1">IF(COUNTIFS($CM$6:$CM$53,CM23,$BC$6:$BC$53,INDEX(T_Equipos[Grupo],MATCH(BD23,T_Equipos[NombreEquipo],0)))=1,"-","P."&amp;CM23&amp;" ("&amp;COUNTIFS($CM$6:$CM$53,CM23,$BC$6:$BC$53,INDEX(T_Equipos[Grupo],MATCH(BD23,T_Equipos[NombreEquipo],0)))&amp;")")</f>
        <v>P.3 (2)</v>
      </c>
      <c r="CO23" s="16">
        <f t="shared" ca="1" si="40"/>
        <v>1</v>
      </c>
      <c r="CP23" s="16">
        <f t="shared" ca="1" si="41"/>
        <v>1</v>
      </c>
      <c r="CQ23" s="16">
        <f t="shared" ca="1" si="42"/>
        <v>0</v>
      </c>
      <c r="CR23" s="16">
        <f ca="1">CM23+COUNTIFS($CN$6:$CN$53,CN23,$CQ$6:CQ$53,"&gt;"&amp;CQ23,$BC$6:$BC$53,INDEX(T_Equipos[Grupo],MATCH(BD23,T_Equipos[NombreEquipo],0)))</f>
        <v>3</v>
      </c>
      <c r="CS23" s="16" t="str">
        <f ca="1">IF(COUNTIFS($CR$6:$CR$53,CR23,$BC$6:$BC$53,INDEX(T_Equipos[Grupo],MATCH(BD23,T_Equipos[NombreEquipo],0)))=1,"-","P."&amp;CR23&amp;" ("&amp;COUNTIFS($CR$6:$CR$53,CR23,$BC$6:$BC$53,INDEX(T_Equipos[Grupo],MATCH(BD23,T_Equipos[NombreEquipo],0)))&amp;")")</f>
        <v>P.3 (2)</v>
      </c>
      <c r="CT23" s="16">
        <f t="shared" ca="1" si="43"/>
        <v>1</v>
      </c>
      <c r="CU23" s="16">
        <f ca="1">CR23+COUNTIFS($CS$6:$CS$53,CS23,$CT$6:CT$53,"&gt;"&amp;CT23,$BC$6:$BC$53,INDEX(T_Equipos[Grupo],MATCH(BD23,T_Equipos[NombreEquipo],0)))</f>
        <v>3</v>
      </c>
      <c r="CV23" s="16" t="str">
        <f ca="1">IF(COUNTIFS($CU$6:$CU$53,CU23,$BC$6:$BC$53,INDEX(T_Equipos[Grupo],MATCH(BD23,T_Equipos[NombreEquipo],0)))=1,"-","P."&amp;CU23&amp;" ("&amp;COUNTIFS($CU$6:$CU$53,CU23,$BC$6:$BC$53,INDEX(T_Equipos[Grupo],MATCH(BD23,T_Equipos[NombreEquipo],0)))&amp;")")</f>
        <v>P.3 (2)</v>
      </c>
      <c r="CW23" s="16">
        <f t="shared" ca="1" si="44"/>
        <v>-4</v>
      </c>
      <c r="CX23" s="16">
        <f ca="1">CU23+COUNTIFS($CV$6:$CV$53,CV23,$CW$6:CW$53,"&gt;"&amp;CW23,$BC$6:$BC$53,INDEX(T_Equipos[Grupo],MATCH(BD23,T_Equipos[NombreEquipo],0)))</f>
        <v>3</v>
      </c>
      <c r="CY23" s="16" t="str">
        <f ca="1">IF(COUNTIFS($CX$6:$CX$53,CX23,$BC$6:$BC$53,INDEX(T_Equipos[Grupo],MATCH(BD23,T_Equipos[NombreEquipo],0)))=1,"-","P."&amp;CX23&amp;" ("&amp;COUNTIFS($CX$6:$CX$53,CX23,$BC$6:$BC$53,INDEX(T_Equipos[Grupo],MATCH(BD23,T_Equipos[NombreEquipo],0)))&amp;")")</f>
        <v>P.3 (2)</v>
      </c>
      <c r="CZ23" s="16">
        <f t="shared" ca="1" si="45"/>
        <v>1</v>
      </c>
      <c r="DA23" s="16">
        <f ca="1">CX23+COUNTIFS($CY$6:$CY$53,CY23,$CZ$6:CZ$53,"&gt;"&amp;CZ23,$BC$6:$BC$53,INDEX(T_Equipos[Grupo],MATCH(BD23,T_Equipos[NombreEquipo],0)))</f>
        <v>3</v>
      </c>
      <c r="DB23" s="16" t="str">
        <f ca="1">IF(COUNTIFS($DA$6:$DA$53,DA23,$BC$6:$BC$53,INDEX(T_Equipos[Grupo],MATCH(BD23,T_Equipos[NombreEquipo],0)))=1,"-","P."&amp;DA23&amp;" ("&amp;COUNTIFS($DA$6:$DA$53,DA23,$BC$6:$BC$53,INDEX(T_Equipos[Grupo],MATCH(BD23,T_Equipos[NombreEquipo],0)))&amp;")")</f>
        <v>P.3 (2)</v>
      </c>
      <c r="DC23" s="16">
        <f ca="1">IF(DB23="-","-",COUNTIFS(T_Equipos[Rank],"&lt;"&amp;INDEX(T_Equipos[Rank],MATCH(BD23,T_Equipos[NombreEquipo],0)),$BC$6:$BC$53,INDEX(T_Equipos[Grupo],MATCH(BD23,T_Equipos[NombreEquipo],0)))+1)</f>
        <v>2</v>
      </c>
      <c r="DD23" s="16">
        <f ca="1">DA23+COUNTIFS($DB$6:$DB$53,DB23,$DC$6:DC$53,"&lt;"&amp;DC23,$BC$6:$BC$53,INDEX(T_Equipos[Grupo],MATCH(BD23,T_Equipos[NombreEquipo],0)))</f>
        <v>3</v>
      </c>
      <c r="DE23" s="16"/>
      <c r="DF23" s="16">
        <f t="shared" ca="1" si="46"/>
        <v>1.0029999999999999</v>
      </c>
      <c r="DG23" s="16">
        <f ca="1">IF(DB23="-","-",COUNTIFS(DF$6:DF$53,"&lt;"&amp;DF23,$BC$6:$BC$53,INDEX(T_Equipos[Grupo],MATCH(BD23,T_Equipos[NombreEquipo],0))))</f>
        <v>1</v>
      </c>
      <c r="DH23" s="16">
        <f ca="1">DA23+COUNTIFS(DB$6:DB$53,DB23,DG$6:DG$53,"&lt;"&amp;DG23,$BC$6:$BC$53,INDEX(T_Equipos[Grupo],MATCH(BD23,T_Equipos[NombreEquipo],0)))</f>
        <v>3</v>
      </c>
      <c r="DI23" s="16"/>
      <c r="DJ23" s="16">
        <f t="shared" ca="1" si="47"/>
        <v>2</v>
      </c>
      <c r="DK23" s="16">
        <f t="shared" ca="1" si="48"/>
        <v>12</v>
      </c>
      <c r="DL23" s="16">
        <f t="shared" ca="1" si="49"/>
        <v>1</v>
      </c>
      <c r="DM23" s="16" t="str">
        <f t="shared" ca="1" si="50"/>
        <v>2.1</v>
      </c>
      <c r="DN23" s="16">
        <f t="array" aca="1" ref="DN23" ca="1">OFFSET(Horarios!$P$3,DJ23-1,0,DL23,1)</f>
        <v>2</v>
      </c>
      <c r="DO23" s="16"/>
      <c r="DP23" s="16" t="s">
        <v>102</v>
      </c>
      <c r="DQ23" s="16" t="str">
        <f t="shared" ca="1" si="51"/>
        <v>Ecuador</v>
      </c>
    </row>
    <row r="24" spans="1:121" ht="16" customHeight="1" x14ac:dyDescent="0.2">
      <c r="A24" s="16" t="str">
        <f ca="1">+Equipos!B13</f>
        <v>Escocia</v>
      </c>
      <c r="B24" s="16"/>
      <c r="C24" s="16"/>
      <c r="D24" s="16" t="str">
        <f t="shared" si="68"/>
        <v>Visitante</v>
      </c>
      <c r="E24" s="16" t="str">
        <f t="shared" ca="1" si="69"/>
        <v>P.3 (2)</v>
      </c>
      <c r="F24" s="16" t="str">
        <f t="shared" ca="1" si="70"/>
        <v>-</v>
      </c>
      <c r="G24" s="16"/>
      <c r="H24" s="16" t="str">
        <f t="shared" ca="1" si="71"/>
        <v>P.3 (2)</v>
      </c>
      <c r="I24" s="16" t="str">
        <f t="shared" ca="1" si="72"/>
        <v>-</v>
      </c>
      <c r="J24" s="16"/>
      <c r="K24" s="16" t="str">
        <f t="shared" ca="1" si="73"/>
        <v>P.3 (2)</v>
      </c>
      <c r="L24" s="16" t="str">
        <f t="shared" ca="1" si="74"/>
        <v>-</v>
      </c>
      <c r="M24" s="16"/>
      <c r="N24" s="16" t="str">
        <f t="shared" ca="1" si="75"/>
        <v>P.3 (2)</v>
      </c>
      <c r="O24" s="16" t="str">
        <f t="shared" ca="1" si="76"/>
        <v>-</v>
      </c>
      <c r="P24" s="16"/>
      <c r="Q24" s="16" t="str">
        <f t="shared" ca="1" si="77"/>
        <v>P.3 (2)</v>
      </c>
      <c r="R24" s="16" t="str">
        <f t="shared" ca="1" si="78"/>
        <v>-</v>
      </c>
      <c r="S24" s="16"/>
      <c r="T24" s="16" t="str">
        <f t="shared" ca="1" si="79"/>
        <v>P.3 (2)</v>
      </c>
      <c r="U24" s="16" t="str">
        <f t="shared" ca="1" si="80"/>
        <v>-</v>
      </c>
      <c r="V24" s="17"/>
      <c r="W24" s="631"/>
      <c r="X24" s="24">
        <f ca="1">Horarios!C24</f>
        <v>46197.75</v>
      </c>
      <c r="Y24" s="25">
        <f ca="1">Horarios!C24</f>
        <v>46197.75</v>
      </c>
      <c r="Z24" s="26" t="str">
        <f>$Z$8</f>
        <v>J3</v>
      </c>
      <c r="AA24" s="27" t="str">
        <f ca="1">A24</f>
        <v>Escocia</v>
      </c>
      <c r="AB24" s="49" t="str">
        <f t="array" aca="1" ref="AB24" ca="1">Ver_flag_local</f>
        <v/>
      </c>
      <c r="AC24" s="50">
        <v>0</v>
      </c>
      <c r="AD24" s="51">
        <v>2</v>
      </c>
      <c r="AE24" s="581" t="str">
        <f t="array" aca="1" ref="AE24" ca="1">Ver_flag_visit</f>
        <v/>
      </c>
      <c r="AF24" s="32" t="str">
        <f ca="1">A21</f>
        <v>Brasil</v>
      </c>
      <c r="AG24" s="316">
        <f t="shared" si="81"/>
        <v>1</v>
      </c>
      <c r="AH24" s="195">
        <v>49</v>
      </c>
      <c r="AI24" s="181" t="str">
        <f>AJ24&amp;$B$20</f>
        <v>3C</v>
      </c>
      <c r="AJ24" s="42">
        <v>3</v>
      </c>
      <c r="AK24" s="588" t="str">
        <f t="array" aca="1" ref="AK24" ca="1">Ver_flag_visit</f>
        <v/>
      </c>
      <c r="AL24" s="37" t="str">
        <f ca="1">IFERROR(INDEX($BD$6:$BD$53,MATCH(AI24,$BN$6:$BN$53,0)),"")</f>
        <v>Haití</v>
      </c>
      <c r="AM24" s="38">
        <f t="shared" ca="1" si="83"/>
        <v>1</v>
      </c>
      <c r="AN24" s="39">
        <f t="shared" ca="1" si="83"/>
        <v>3</v>
      </c>
      <c r="AO24" s="39">
        <f t="shared" ca="1" si="83"/>
        <v>0</v>
      </c>
      <c r="AP24" s="39">
        <f t="shared" ca="1" si="83"/>
        <v>1</v>
      </c>
      <c r="AQ24" s="39">
        <f t="shared" ca="1" si="83"/>
        <v>2</v>
      </c>
      <c r="AR24" s="39">
        <f t="shared" ca="1" si="83"/>
        <v>2</v>
      </c>
      <c r="AS24" s="39">
        <f t="shared" ca="1" si="83"/>
        <v>5</v>
      </c>
      <c r="AT24" s="43">
        <f t="shared" ca="1" si="83"/>
        <v>-3</v>
      </c>
      <c r="AU24" s="323">
        <f ca="1">INDEX($DL$6:$DL$53,MATCH(AI24,$DP$6:$DP$53,0))</f>
        <v>1</v>
      </c>
      <c r="AV24" s="182" t="str">
        <f ca="1">INDEX($BD$6:$BD$53,MATCH(AI24,$BM$6:$BM$53,0))</f>
        <v>Haití</v>
      </c>
      <c r="AW24" s="210"/>
      <c r="AX24" s="171"/>
      <c r="AY24" s="201" t="str">
        <f ca="1">+A23</f>
        <v>Haití</v>
      </c>
      <c r="AZ24" s="202"/>
      <c r="BA24" s="176"/>
      <c r="BC24" s="16" t="str">
        <f ca="1">+INDEX(T_Equipos[Grupo],MATCH(WORLDCUP!BD24,T_Equipos[NombreEquipo],0))</f>
        <v>E</v>
      </c>
      <c r="BD24" s="16" t="str">
        <f ca="1">+Equipos!B20</f>
        <v>Costa de Marfil</v>
      </c>
      <c r="BE24" s="16">
        <f t="shared" ca="1" si="16"/>
        <v>1</v>
      </c>
      <c r="BF24" s="16">
        <f t="shared" ca="1" si="17"/>
        <v>3</v>
      </c>
      <c r="BG24" s="16">
        <f t="shared" ca="1" si="18"/>
        <v>0</v>
      </c>
      <c r="BH24" s="16">
        <f t="shared" ca="1" si="19"/>
        <v>1</v>
      </c>
      <c r="BI24" s="16">
        <f t="shared" ca="1" si="20"/>
        <v>2</v>
      </c>
      <c r="BJ24" s="16">
        <f t="shared" ca="1" si="21"/>
        <v>1</v>
      </c>
      <c r="BK24" s="16">
        <f t="shared" ca="1" si="22"/>
        <v>5</v>
      </c>
      <c r="BL24" s="16">
        <f t="shared" ca="1" si="23"/>
        <v>-4</v>
      </c>
      <c r="BM24" s="16" t="str">
        <f t="shared" ca="1" si="24"/>
        <v>4E</v>
      </c>
      <c r="BN24" s="16" t="str">
        <f t="shared" ca="1" si="25"/>
        <v>4E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1</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P.3 (2)</v>
      </c>
      <c r="BU24" s="16">
        <f t="shared" ca="1" si="28"/>
        <v>0</v>
      </c>
      <c r="BV24" s="16">
        <f t="shared" ca="1" si="29"/>
        <v>1</v>
      </c>
      <c r="BW24" s="16">
        <f t="shared" ca="1" si="30"/>
        <v>0</v>
      </c>
      <c r="BX24" s="16">
        <f t="shared" ca="1" si="31"/>
        <v>1</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P.3 (2)</v>
      </c>
      <c r="CA24" s="16">
        <f t="shared" ca="1" si="32"/>
        <v>1</v>
      </c>
      <c r="CB24" s="16">
        <f t="shared" ca="1" si="33"/>
        <v>1</v>
      </c>
      <c r="CC24" s="16">
        <f t="shared" ca="1" si="34"/>
        <v>0</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P.3 (2)</v>
      </c>
      <c r="CF24" s="16">
        <f t="shared" ca="1" si="35"/>
        <v>1</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P.3 (2)</v>
      </c>
      <c r="CI24" s="16">
        <f t="shared" ca="1" si="36"/>
        <v>0</v>
      </c>
      <c r="CJ24" s="16">
        <f t="shared" ca="1" si="37"/>
        <v>1</v>
      </c>
      <c r="CK24" s="16">
        <f t="shared" ca="1" si="38"/>
        <v>0</v>
      </c>
      <c r="CL24" s="16">
        <f t="shared" ca="1" si="39"/>
        <v>1</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P.3 (2)</v>
      </c>
      <c r="CO24" s="16">
        <f t="shared" ca="1" si="40"/>
        <v>1</v>
      </c>
      <c r="CP24" s="16">
        <f t="shared" ca="1" si="41"/>
        <v>1</v>
      </c>
      <c r="CQ24" s="16">
        <f t="shared" ca="1" si="42"/>
        <v>0</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P.3 (2)</v>
      </c>
      <c r="CT24" s="16">
        <f t="shared" ca="1" si="43"/>
        <v>1</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P.3 (2)</v>
      </c>
      <c r="CW24" s="16">
        <f t="shared" ca="1" si="44"/>
        <v>-4</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P.3 (2)</v>
      </c>
      <c r="CZ24" s="16">
        <f t="shared" ca="1" si="45"/>
        <v>1</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P.3 (2)</v>
      </c>
      <c r="DC24" s="16">
        <f ca="1">IF(DB24="-","-",COUNTIFS(T_Equipos[Rank],"&lt;"&amp;INDEX(T_Equipos[Rank],MATCH(BD24,T_Equipos[NombreEquipo],0)),$BC$6:$BC$53,INDEX(T_Equipos[Grupo],MATCH(BD24,T_Equipos[NombreEquipo],0)))+1)</f>
        <v>3</v>
      </c>
      <c r="DD24" s="16">
        <f ca="1">DA24+COUNTIFS($DB$6:$DB$53,DB24,$DC$6:DC$53,"&lt;"&amp;DC24,$BC$6:$BC$53,INDEX(T_Equipos[Grupo],MATCH(BD24,T_Equipos[NombreEquipo],0)))</f>
        <v>4</v>
      </c>
      <c r="DE24" s="16"/>
      <c r="DF24" s="16">
        <f t="shared" ca="1" si="46"/>
        <v>2.004</v>
      </c>
      <c r="DG24" s="16">
        <f ca="1">IF(DB24="-","-",COUNTIFS(DF$6:DF$53,"&lt;"&amp;DF24,$BC$6:$BC$53,INDEX(T_Equipos[Grupo],MATCH(BD24,T_Equipos[NombreEquipo],0))))</f>
        <v>3</v>
      </c>
      <c r="DH24" s="16">
        <f ca="1">DA24+COUNTIFS(DB$6:DB$53,DB24,DG$6:DG$53,"&lt;"&amp;DG24,$BC$6:$BC$53,INDEX(T_Equipos[Grupo],MATCH(BD24,T_Equipos[NombreEquipo],0)))</f>
        <v>4</v>
      </c>
      <c r="DI24" s="16"/>
      <c r="DJ24" s="16">
        <f t="shared" ca="1" si="47"/>
        <v>3</v>
      </c>
      <c r="DK24" s="16">
        <f t="shared" ca="1" si="48"/>
        <v>12</v>
      </c>
      <c r="DL24" s="16">
        <f t="shared" ca="1" si="49"/>
        <v>2</v>
      </c>
      <c r="DM24" s="16" t="str">
        <f t="shared" ca="1" si="50"/>
        <v>3.2</v>
      </c>
      <c r="DN24" s="16">
        <f t="array" aca="1" ref="DN24" ca="1">OFFSET(Horarios!$P$3,DJ24-1,0,DL24,1)</f>
        <v>3</v>
      </c>
      <c r="DO24" s="16"/>
      <c r="DP24" s="16" t="s">
        <v>103</v>
      </c>
      <c r="DQ24" s="16" t="str">
        <f t="shared" ca="1" si="51"/>
        <v>Curazao</v>
      </c>
    </row>
    <row r="25" spans="1:121" ht="16" customHeight="1" thickBot="1" x14ac:dyDescent="0.25">
      <c r="A25" s="16"/>
      <c r="B25" s="16"/>
      <c r="C25" s="16"/>
      <c r="D25" s="16" t="str">
        <f t="shared" si="68"/>
        <v>Local</v>
      </c>
      <c r="E25" s="16" t="str">
        <f t="shared" ca="1" si="69"/>
        <v>-</v>
      </c>
      <c r="F25" s="16" t="str">
        <f t="shared" ca="1" si="70"/>
        <v>P.3 (2)</v>
      </c>
      <c r="G25" s="16"/>
      <c r="H25" s="16" t="str">
        <f t="shared" ca="1" si="71"/>
        <v>-</v>
      </c>
      <c r="I25" s="16" t="str">
        <f t="shared" ca="1" si="72"/>
        <v>P.3 (2)</v>
      </c>
      <c r="J25" s="16"/>
      <c r="K25" s="16" t="str">
        <f t="shared" ca="1" si="73"/>
        <v>-</v>
      </c>
      <c r="L25" s="16" t="str">
        <f t="shared" ca="1" si="74"/>
        <v>P.3 (2)</v>
      </c>
      <c r="M25" s="16"/>
      <c r="N25" s="16" t="str">
        <f t="shared" ca="1" si="75"/>
        <v>-</v>
      </c>
      <c r="O25" s="16" t="str">
        <f t="shared" ca="1" si="76"/>
        <v>P.3 (2)</v>
      </c>
      <c r="P25" s="16"/>
      <c r="Q25" s="16" t="str">
        <f t="shared" ca="1" si="77"/>
        <v>-</v>
      </c>
      <c r="R25" s="16" t="str">
        <f t="shared" ca="1" si="78"/>
        <v>P.3 (2)</v>
      </c>
      <c r="S25" s="16"/>
      <c r="T25" s="16" t="str">
        <f t="shared" ca="1" si="79"/>
        <v>-</v>
      </c>
      <c r="U25" s="16" t="str">
        <f t="shared" ca="1" si="80"/>
        <v>P.3 (2)</v>
      </c>
      <c r="V25" s="17"/>
      <c r="W25" s="632"/>
      <c r="X25" s="28">
        <f ca="1">Horarios!C25</f>
        <v>46197.75</v>
      </c>
      <c r="Y25" s="29">
        <f ca="1">Horarios!C25</f>
        <v>46197.75</v>
      </c>
      <c r="Z25" s="30" t="str">
        <f>$Z$8</f>
        <v>J3</v>
      </c>
      <c r="AA25" s="31" t="str">
        <f ca="1">A22</f>
        <v>Marruecos</v>
      </c>
      <c r="AB25" s="52" t="str">
        <f t="array" aca="1" ref="AB25" ca="1">Ver_flag_local</f>
        <v/>
      </c>
      <c r="AC25" s="53">
        <v>2</v>
      </c>
      <c r="AD25" s="54">
        <v>1</v>
      </c>
      <c r="AE25" s="582" t="str">
        <f t="array" aca="1" ref="AE25" ca="1">Ver_flag_visit</f>
        <v/>
      </c>
      <c r="AF25" s="33" t="str">
        <f ca="1">A23</f>
        <v>Haití</v>
      </c>
      <c r="AG25" s="316">
        <f t="shared" si="81"/>
        <v>1</v>
      </c>
      <c r="AH25" s="195">
        <v>50</v>
      </c>
      <c r="AI25" s="181" t="str">
        <f>AJ25&amp;$B$20</f>
        <v>4C</v>
      </c>
      <c r="AJ25" s="44">
        <v>4</v>
      </c>
      <c r="AK25" s="590" t="str">
        <f t="array" aca="1" ref="AK25" ca="1">Ver_flag_visit</f>
        <v/>
      </c>
      <c r="AL25" s="45" t="str">
        <f ca="1">IFERROR(INDEX($BD$6:$BD$53,MATCH(AI25,$BN$6:$BN$53,0)),"")</f>
        <v>Escocia</v>
      </c>
      <c r="AM25" s="46">
        <f t="shared" ca="1" si="83"/>
        <v>1</v>
      </c>
      <c r="AN25" s="47">
        <f t="shared" ca="1" si="83"/>
        <v>3</v>
      </c>
      <c r="AO25" s="47">
        <f t="shared" ca="1" si="83"/>
        <v>0</v>
      </c>
      <c r="AP25" s="47">
        <f t="shared" ca="1" si="83"/>
        <v>1</v>
      </c>
      <c r="AQ25" s="47">
        <f t="shared" ca="1" si="83"/>
        <v>2</v>
      </c>
      <c r="AR25" s="47">
        <f t="shared" ca="1" si="83"/>
        <v>1</v>
      </c>
      <c r="AS25" s="47">
        <f t="shared" ca="1" si="83"/>
        <v>4</v>
      </c>
      <c r="AT25" s="48">
        <f t="shared" ca="1" si="83"/>
        <v>-3</v>
      </c>
      <c r="AU25" s="323">
        <f ca="1">INDEX($DL$6:$DL$53,MATCH(AI25,$DP$6:$DP$53,0))</f>
        <v>1</v>
      </c>
      <c r="AV25" s="182" t="str">
        <f ca="1">INDEX($BD$6:$BD$53,MATCH(AI25,$BM$6:$BM$53,0))</f>
        <v>Escocia</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17"/>
        <v>3</v>
      </c>
      <c r="BG25" s="16">
        <f t="shared" ca="1" si="18"/>
        <v>2</v>
      </c>
      <c r="BH25" s="16">
        <f t="shared" ca="1" si="19"/>
        <v>0</v>
      </c>
      <c r="BI25" s="16">
        <f t="shared" ca="1" si="20"/>
        <v>1</v>
      </c>
      <c r="BJ25" s="16">
        <f t="shared" ca="1" si="21"/>
        <v>5</v>
      </c>
      <c r="BK25" s="16">
        <f t="shared" ca="1" si="22"/>
        <v>3</v>
      </c>
      <c r="BL25" s="16">
        <f t="shared" ca="1" si="23"/>
        <v>2</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3</v>
      </c>
      <c r="DK25" s="16">
        <f t="shared" ca="1" si="48"/>
        <v>12</v>
      </c>
      <c r="DL25" s="16">
        <f t="shared" ca="1" si="49"/>
        <v>2</v>
      </c>
      <c r="DM25" s="16" t="str">
        <f t="shared" ca="1" si="50"/>
        <v>3.2</v>
      </c>
      <c r="DN25" s="16">
        <f t="array" aca="1" ref="DN25" ca="1">OFFSET(Horarios!$P$3,DJ25-1,0,DL25,1)</f>
        <v>3</v>
      </c>
      <c r="DO25" s="16"/>
      <c r="DP25" s="16" t="s">
        <v>104</v>
      </c>
      <c r="DQ25" s="16" t="str">
        <f t="shared" ca="1" si="51"/>
        <v>Costa de Marfil</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7</v>
      </c>
      <c r="BK26" s="16">
        <f t="shared" ca="1" si="22"/>
        <v>1</v>
      </c>
      <c r="BL26" s="16">
        <f t="shared" ca="1" si="23"/>
        <v>6</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105</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6"/>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6</v>
      </c>
      <c r="BF27" s="16">
        <f t="shared" ca="1" si="17"/>
        <v>3</v>
      </c>
      <c r="BG27" s="16">
        <f t="shared" ca="1" si="18"/>
        <v>2</v>
      </c>
      <c r="BH27" s="16">
        <f t="shared" ca="1" si="19"/>
        <v>0</v>
      </c>
      <c r="BI27" s="16">
        <f t="shared" ca="1" si="20"/>
        <v>1</v>
      </c>
      <c r="BJ27" s="16">
        <f t="shared" ca="1" si="21"/>
        <v>5</v>
      </c>
      <c r="BK27" s="16">
        <f t="shared" ca="1" si="22"/>
        <v>3</v>
      </c>
      <c r="BL27" s="16">
        <f t="shared" ca="1" si="23"/>
        <v>2</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106</v>
      </c>
      <c r="DQ27" s="16" t="str">
        <f t="shared" ca="1" si="51"/>
        <v>Japón</v>
      </c>
    </row>
    <row r="28" spans="1:121" ht="16" customHeight="1" thickBot="1" x14ac:dyDescent="0.25">
      <c r="A28" s="16" t="s">
        <v>28</v>
      </c>
      <c r="B28" s="16" t="s">
        <v>107</v>
      </c>
      <c r="C28" s="16">
        <f>COUNTIF(Equipos!$C$2:$C$49,WORLDCUP!B28)</f>
        <v>4</v>
      </c>
      <c r="D28" s="16" t="str">
        <f t="shared" ref="D28:D33" si="84">IF(OR(AC28="",AD28=""),"Pendiente",IF(AC28&gt;AD28,"Local",IF(AC28&lt;AD28,"Visitante","Empate")))</f>
        <v>Visitante</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42" t="s">
        <v>107</v>
      </c>
      <c r="X28" s="24">
        <f ca="1">Horarios!C28</f>
        <v>46185.875</v>
      </c>
      <c r="Y28" s="25">
        <f ca="1">Horarios!C28</f>
        <v>46185.875</v>
      </c>
      <c r="Z28" s="26" t="str">
        <f>$Z$4</f>
        <v>J1</v>
      </c>
      <c r="AA28" s="27" t="str">
        <f ca="1">A29</f>
        <v>Estados Unidos</v>
      </c>
      <c r="AB28" s="49" t="str">
        <f t="array" aca="1" ref="AB28" ca="1">Ver_flag_local</f>
        <v/>
      </c>
      <c r="AC28" s="50">
        <v>0</v>
      </c>
      <c r="AD28" s="51">
        <v>2</v>
      </c>
      <c r="AE28" s="581"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1</v>
      </c>
      <c r="BF28" s="16">
        <f t="shared" ca="1" si="17"/>
        <v>3</v>
      </c>
      <c r="BG28" s="16">
        <f t="shared" ca="1" si="18"/>
        <v>0</v>
      </c>
      <c r="BH28" s="16">
        <f t="shared" ca="1" si="19"/>
        <v>1</v>
      </c>
      <c r="BI28" s="16">
        <f t="shared" ca="1" si="20"/>
        <v>2</v>
      </c>
      <c r="BJ28" s="16">
        <f t="shared" ca="1" si="21"/>
        <v>2</v>
      </c>
      <c r="BK28" s="16">
        <f t="shared" ca="1" si="22"/>
        <v>5</v>
      </c>
      <c r="BL28" s="16">
        <f t="shared" ca="1" si="23"/>
        <v>-3</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1</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8"/>
        <v>0</v>
      </c>
      <c r="BV28" s="16">
        <f t="shared" ca="1" si="29"/>
        <v>1</v>
      </c>
      <c r="BW28" s="16">
        <f t="shared" ca="1" si="30"/>
        <v>0</v>
      </c>
      <c r="BX28" s="16">
        <f t="shared" ca="1" si="31"/>
        <v>1</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P.3 (2)</v>
      </c>
      <c r="CA28" s="16">
        <f t="shared" ca="1" si="32"/>
        <v>1</v>
      </c>
      <c r="CB28" s="16">
        <f t="shared" ca="1" si="33"/>
        <v>1</v>
      </c>
      <c r="CC28" s="16">
        <f t="shared" ca="1" si="34"/>
        <v>0</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P.3 (2)</v>
      </c>
      <c r="CF28" s="16">
        <f t="shared" ca="1" si="35"/>
        <v>1</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P.3 (2)</v>
      </c>
      <c r="CI28" s="16">
        <f t="shared" ca="1" si="36"/>
        <v>0</v>
      </c>
      <c r="CJ28" s="16">
        <f t="shared" ca="1" si="37"/>
        <v>1</v>
      </c>
      <c r="CK28" s="16">
        <f t="shared" ca="1" si="38"/>
        <v>0</v>
      </c>
      <c r="CL28" s="16">
        <f t="shared" ca="1" si="39"/>
        <v>1</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P.3 (2)</v>
      </c>
      <c r="CO28" s="16">
        <f t="shared" ca="1" si="40"/>
        <v>1</v>
      </c>
      <c r="CP28" s="16">
        <f t="shared" ca="1" si="41"/>
        <v>1</v>
      </c>
      <c r="CQ28" s="16">
        <f t="shared" ca="1" si="42"/>
        <v>0</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P.3 (2)</v>
      </c>
      <c r="CT28" s="16">
        <f t="shared" ca="1" si="43"/>
        <v>1</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P.3 (2)</v>
      </c>
      <c r="CW28" s="16">
        <f t="shared" ca="1" si="44"/>
        <v>-3</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108</v>
      </c>
      <c r="DQ28" s="16" t="str">
        <f t="shared" ca="1" si="51"/>
        <v>Suecia</v>
      </c>
    </row>
    <row r="29" spans="1:121" ht="16" customHeight="1" x14ac:dyDescent="0.2">
      <c r="A29" s="16" t="str">
        <f ca="1">+Equipos!B14</f>
        <v>Estados Unidos</v>
      </c>
      <c r="B29" s="16"/>
      <c r="C29" s="16"/>
      <c r="D29" s="16" t="str">
        <f t="shared" si="84"/>
        <v>Local</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31"/>
      <c r="X29" s="24">
        <f ca="1">Horarios!C29</f>
        <v>46187</v>
      </c>
      <c r="Y29" s="25">
        <f ca="1">Horarios!C29</f>
        <v>46187</v>
      </c>
      <c r="Z29" s="26" t="str">
        <f>$Z$4</f>
        <v>J1</v>
      </c>
      <c r="AA29" s="27" t="str">
        <f ca="1">A31</f>
        <v>Australia</v>
      </c>
      <c r="AB29" s="49" t="str">
        <f t="array" aca="1" ref="AB29" ca="1">Ver_flag_local</f>
        <v/>
      </c>
      <c r="AC29" s="50">
        <v>3</v>
      </c>
      <c r="AD29" s="51">
        <v>2</v>
      </c>
      <c r="AE29" s="581"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17"/>
        <v>3</v>
      </c>
      <c r="BG29" s="16">
        <f t="shared" ca="1" si="18"/>
        <v>0</v>
      </c>
      <c r="BH29" s="16">
        <f t="shared" ca="1" si="19"/>
        <v>1</v>
      </c>
      <c r="BI29" s="16">
        <f t="shared" ca="1" si="20"/>
        <v>2</v>
      </c>
      <c r="BJ29" s="16">
        <f t="shared" ca="1" si="21"/>
        <v>1</v>
      </c>
      <c r="BK29" s="16">
        <f t="shared" ca="1" si="22"/>
        <v>6</v>
      </c>
      <c r="BL29" s="16">
        <f t="shared" ca="1" si="23"/>
        <v>-5</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1</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8"/>
        <v>0</v>
      </c>
      <c r="BV29" s="16">
        <f t="shared" ca="1" si="29"/>
        <v>1</v>
      </c>
      <c r="BW29" s="16">
        <f t="shared" ca="1" si="30"/>
        <v>0</v>
      </c>
      <c r="BX29" s="16">
        <f t="shared" ca="1" si="31"/>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32"/>
        <v>1</v>
      </c>
      <c r="CB29" s="16">
        <f t="shared" ca="1" si="33"/>
        <v>1</v>
      </c>
      <c r="CC29" s="16">
        <f t="shared" ca="1" si="34"/>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35"/>
        <v>1</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6"/>
        <v>0</v>
      </c>
      <c r="CJ29" s="16">
        <f t="shared" ca="1" si="37"/>
        <v>1</v>
      </c>
      <c r="CK29" s="16">
        <f t="shared" ca="1" si="38"/>
        <v>0</v>
      </c>
      <c r="CL29" s="16">
        <f t="shared" ca="1" si="39"/>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40"/>
        <v>1</v>
      </c>
      <c r="CP29" s="16">
        <f t="shared" ca="1" si="41"/>
        <v>1</v>
      </c>
      <c r="CQ29" s="16">
        <f t="shared" ca="1" si="42"/>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43"/>
        <v>1</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44"/>
        <v>-5</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109</v>
      </c>
      <c r="DQ29" s="16" t="str">
        <f t="shared" ca="1" si="51"/>
        <v>Túnez</v>
      </c>
    </row>
    <row r="30" spans="1:121" ht="16" customHeight="1" x14ac:dyDescent="0.2">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31"/>
      <c r="X30" s="24">
        <f ca="1">Horarios!C30</f>
        <v>46192.625</v>
      </c>
      <c r="Y30" s="25">
        <f ca="1">Horarios!C30</f>
        <v>46192.625</v>
      </c>
      <c r="Z30" s="26" t="str">
        <f>$Z$6</f>
        <v>J2</v>
      </c>
      <c r="AA30" s="27" t="str">
        <f ca="1">A29</f>
        <v>Estados Unidos</v>
      </c>
      <c r="AB30" s="49" t="str">
        <f t="array" aca="1" ref="AB30" ca="1">Ver_flag_local</f>
        <v/>
      </c>
      <c r="AC30" s="50">
        <v>2</v>
      </c>
      <c r="AD30" s="51">
        <v>1</v>
      </c>
      <c r="AE30" s="581" t="str">
        <f t="array" aca="1" ref="AE30" ca="1">Ver_flag_visit</f>
        <v/>
      </c>
      <c r="AF30" s="32" t="str">
        <f ca="1">A31</f>
        <v>Australia</v>
      </c>
      <c r="AG30" s="316">
        <f t="shared" si="97"/>
        <v>1</v>
      </c>
      <c r="AH30" s="195">
        <v>32</v>
      </c>
      <c r="AI30" s="181" t="str">
        <f>AJ30&amp;$B$28</f>
        <v>1D</v>
      </c>
      <c r="AJ30" s="40">
        <v>1</v>
      </c>
      <c r="AK30" s="587" t="str">
        <f t="array" aca="1" ref="AK30" ca="1">Ver_flag_visit</f>
        <v/>
      </c>
      <c r="AL30" s="34" t="str">
        <f ca="1">IFERROR(INDEX($BD$6:$BD$53,MATCH(AI30,$BN$6:$BN$53,0)),"")</f>
        <v>Paraguay</v>
      </c>
      <c r="AM30" s="35">
        <f t="shared" ref="AM30:AT33" ca="1" si="99">INDEX($BE$6:$BN$53,MATCH($AL30,$BD$6:$BD$53,0),MATCH(AM$5,$BE$5:$BN$5,0))</f>
        <v>9</v>
      </c>
      <c r="AN30" s="36">
        <f t="shared" ca="1" si="99"/>
        <v>3</v>
      </c>
      <c r="AO30" s="36">
        <f t="shared" ca="1" si="99"/>
        <v>3</v>
      </c>
      <c r="AP30" s="36">
        <f t="shared" ca="1" si="99"/>
        <v>0</v>
      </c>
      <c r="AQ30" s="36">
        <f t="shared" ca="1" si="99"/>
        <v>0</v>
      </c>
      <c r="AR30" s="36">
        <f t="shared" ca="1" si="99"/>
        <v>5</v>
      </c>
      <c r="AS30" s="36">
        <f t="shared" ca="1" si="99"/>
        <v>0</v>
      </c>
      <c r="AT30" s="41">
        <f t="shared" ca="1" si="99"/>
        <v>5</v>
      </c>
      <c r="AU30" s="323">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7</v>
      </c>
      <c r="BK30" s="16">
        <f t="shared" ca="1" si="22"/>
        <v>1</v>
      </c>
      <c r="BL30" s="16">
        <f t="shared" ca="1" si="23"/>
        <v>6</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110</v>
      </c>
      <c r="DQ30" s="16" t="str">
        <f t="shared" ca="1" si="51"/>
        <v>Bélgica</v>
      </c>
    </row>
    <row r="31" spans="1:121" ht="16" customHeight="1" x14ac:dyDescent="0.2">
      <c r="A31" s="16" t="str">
        <f ca="1">+Equipos!B16</f>
        <v>Australia</v>
      </c>
      <c r="B31" s="16"/>
      <c r="C31" s="16"/>
      <c r="D31" s="16" t="str">
        <f t="shared" si="84"/>
        <v>Visitante</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31"/>
      <c r="X31" s="24">
        <f ca="1">Horarios!C31</f>
        <v>46192.958333333343</v>
      </c>
      <c r="Y31" s="25">
        <f ca="1">Horarios!C31</f>
        <v>46192.958333333343</v>
      </c>
      <c r="Z31" s="26" t="str">
        <f>$Z$6</f>
        <v>J2</v>
      </c>
      <c r="AA31" s="27" t="str">
        <f ca="1">A32</f>
        <v>Turquía</v>
      </c>
      <c r="AB31" s="49"/>
      <c r="AC31" s="50">
        <v>0</v>
      </c>
      <c r="AD31" s="51">
        <v>2</v>
      </c>
      <c r="AE31" s="581" t="str">
        <f t="array" aca="1" ref="AE31" ca="1">Ver_flag_visit</f>
        <v/>
      </c>
      <c r="AF31" s="32" t="str">
        <f ca="1">A30</f>
        <v>Paraguay</v>
      </c>
      <c r="AG31" s="316">
        <f t="shared" si="97"/>
        <v>1</v>
      </c>
      <c r="AH31" s="195">
        <v>31</v>
      </c>
      <c r="AI31" s="181" t="str">
        <f>AJ31&amp;$B$28</f>
        <v>2D</v>
      </c>
      <c r="AJ31" s="42">
        <v>2</v>
      </c>
      <c r="AK31" s="588" t="str">
        <f t="array" aca="1" ref="AK31" ca="1">Ver_flag_visit</f>
        <v/>
      </c>
      <c r="AL31" s="37" t="str">
        <f ca="1">IFERROR(INDEX($BD$6:$BD$53,MATCH(AI31,$BN$6:$BN$53,0)),"")</f>
        <v>Estados Unidos</v>
      </c>
      <c r="AM31" s="38">
        <f t="shared" ca="1" si="99"/>
        <v>6</v>
      </c>
      <c r="AN31" s="39">
        <f t="shared" ca="1" si="99"/>
        <v>3</v>
      </c>
      <c r="AO31" s="39">
        <f t="shared" ca="1" si="99"/>
        <v>2</v>
      </c>
      <c r="AP31" s="39">
        <f t="shared" ca="1" si="99"/>
        <v>0</v>
      </c>
      <c r="AQ31" s="39">
        <f t="shared" ca="1" si="99"/>
        <v>1</v>
      </c>
      <c r="AR31" s="39">
        <f t="shared" ca="1" si="99"/>
        <v>4</v>
      </c>
      <c r="AS31" s="39">
        <f t="shared" ca="1" si="99"/>
        <v>4</v>
      </c>
      <c r="AT31" s="43">
        <f t="shared" ca="1" si="99"/>
        <v>0</v>
      </c>
      <c r="AU31" s="323">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3</v>
      </c>
      <c r="BF31" s="16">
        <f t="shared" ca="1" si="17"/>
        <v>3</v>
      </c>
      <c r="BG31" s="16">
        <f t="shared" ca="1" si="18"/>
        <v>1</v>
      </c>
      <c r="BH31" s="16">
        <f t="shared" ca="1" si="19"/>
        <v>0</v>
      </c>
      <c r="BI31" s="16">
        <f t="shared" ca="1" si="20"/>
        <v>2</v>
      </c>
      <c r="BJ31" s="16">
        <f t="shared" ca="1" si="21"/>
        <v>3</v>
      </c>
      <c r="BK31" s="16">
        <f t="shared" ca="1" si="22"/>
        <v>5</v>
      </c>
      <c r="BL31" s="16">
        <f t="shared" ca="1" si="23"/>
        <v>-2</v>
      </c>
      <c r="BM31" s="16" t="str">
        <f t="shared" ca="1" si="24"/>
        <v>3G</v>
      </c>
      <c r="BN31" s="16" t="str">
        <f t="shared" ca="1" si="25"/>
        <v>3G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3</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8"/>
        <v>-</v>
      </c>
      <c r="BV31" s="16" t="str">
        <f t="shared" ca="1" si="29"/>
        <v>-</v>
      </c>
      <c r="BW31" s="16" t="str">
        <f t="shared" ca="1" si="30"/>
        <v>-</v>
      </c>
      <c r="BX31" s="16" t="str">
        <f t="shared" ca="1" si="31"/>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32"/>
        <v>-</v>
      </c>
      <c r="CB31" s="16" t="str">
        <f t="shared" ca="1" si="33"/>
        <v>-</v>
      </c>
      <c r="CC31" s="16" t="str">
        <f t="shared" ca="1" si="34"/>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35"/>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6"/>
        <v>-</v>
      </c>
      <c r="CJ31" s="16" t="str">
        <f t="shared" ca="1" si="37"/>
        <v>-</v>
      </c>
      <c r="CK31" s="16" t="str">
        <f t="shared" ca="1" si="38"/>
        <v>-</v>
      </c>
      <c r="CL31" s="16" t="str">
        <f t="shared" ca="1" si="39"/>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40"/>
        <v>-</v>
      </c>
      <c r="CP31" s="16" t="str">
        <f t="shared" ca="1" si="41"/>
        <v>-</v>
      </c>
      <c r="CQ31" s="16" t="str">
        <f t="shared" ca="1" si="42"/>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43"/>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44"/>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46"/>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47"/>
        <v>2</v>
      </c>
      <c r="DK31" s="16">
        <f t="shared" ca="1" si="48"/>
        <v>12</v>
      </c>
      <c r="DL31" s="16">
        <f t="shared" ca="1" si="49"/>
        <v>1</v>
      </c>
      <c r="DM31" s="16" t="str">
        <f t="shared" ca="1" si="50"/>
        <v>2.1</v>
      </c>
      <c r="DN31" s="16">
        <f t="array" aca="1" ref="DN31" ca="1">OFFSET(Horarios!$P$3,DJ31-1,0,DL31,1)</f>
        <v>2</v>
      </c>
      <c r="DO31" s="16"/>
      <c r="DP31" s="16" t="s">
        <v>111</v>
      </c>
      <c r="DQ31" s="16" t="str">
        <f t="shared" ca="1" si="51"/>
        <v>Irán</v>
      </c>
    </row>
    <row r="32" spans="1:121" ht="16" customHeight="1" x14ac:dyDescent="0.2">
      <c r="A32" s="16" t="str">
        <f ca="1">+Equipos!B17</f>
        <v>Turquía</v>
      </c>
      <c r="B32" s="16"/>
      <c r="C32" s="16"/>
      <c r="D32" s="16" t="str">
        <f t="shared" si="84"/>
        <v>Visitante</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31"/>
      <c r="X32" s="24">
        <f ca="1">Horarios!C32</f>
        <v>46198.916666666657</v>
      </c>
      <c r="Y32" s="25">
        <f ca="1">Horarios!C32</f>
        <v>46198.916666666657</v>
      </c>
      <c r="Z32" s="26" t="str">
        <f>$Z$8</f>
        <v>J3</v>
      </c>
      <c r="AA32" s="27" t="str">
        <f ca="1">A32</f>
        <v>Turquía</v>
      </c>
      <c r="AB32" s="49" t="str">
        <f t="array" aca="1" ref="AB32" ca="1">Ver_flag_local</f>
        <v/>
      </c>
      <c r="AC32" s="50">
        <v>1</v>
      </c>
      <c r="AD32" s="51">
        <v>2</v>
      </c>
      <c r="AE32" s="581" t="str">
        <f t="array" aca="1" ref="AE32" ca="1">Ver_flag_visit</f>
        <v/>
      </c>
      <c r="AF32" s="32" t="str">
        <f ca="1">A29</f>
        <v>Estados Unidos</v>
      </c>
      <c r="AG32" s="316">
        <f t="shared" si="97"/>
        <v>1</v>
      </c>
      <c r="AH32" s="195">
        <v>59</v>
      </c>
      <c r="AI32" s="181" t="str">
        <f>AJ32&amp;$B$28</f>
        <v>3D</v>
      </c>
      <c r="AJ32" s="42">
        <v>3</v>
      </c>
      <c r="AK32" s="588" t="str">
        <f t="array" aca="1" ref="AK32" ca="1">Ver_flag_visit</f>
        <v/>
      </c>
      <c r="AL32" s="37" t="str">
        <f ca="1">IFERROR(INDEX($BD$6:$BD$53,MATCH(AI32,$BN$6:$BN$53,0)),"")</f>
        <v>Australia</v>
      </c>
      <c r="AM32" s="38">
        <f t="shared" ca="1" si="99"/>
        <v>3</v>
      </c>
      <c r="AN32" s="39">
        <f t="shared" ca="1" si="99"/>
        <v>3</v>
      </c>
      <c r="AO32" s="39">
        <f t="shared" ca="1" si="99"/>
        <v>1</v>
      </c>
      <c r="AP32" s="39">
        <f t="shared" ca="1" si="99"/>
        <v>0</v>
      </c>
      <c r="AQ32" s="39">
        <f t="shared" ca="1" si="99"/>
        <v>2</v>
      </c>
      <c r="AR32" s="39">
        <f t="shared" ca="1" si="99"/>
        <v>4</v>
      </c>
      <c r="AS32" s="39">
        <f t="shared" ca="1" si="99"/>
        <v>5</v>
      </c>
      <c r="AT32" s="43">
        <f t="shared" ca="1" si="99"/>
        <v>-1</v>
      </c>
      <c r="AU32" s="323">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17"/>
        <v>3</v>
      </c>
      <c r="BG32" s="16">
        <f t="shared" ca="1" si="18"/>
        <v>1</v>
      </c>
      <c r="BH32" s="16">
        <f t="shared" ca="1" si="19"/>
        <v>1</v>
      </c>
      <c r="BI32" s="16">
        <f t="shared" ca="1" si="20"/>
        <v>1</v>
      </c>
      <c r="BJ32" s="16">
        <f t="shared" ca="1" si="21"/>
        <v>4</v>
      </c>
      <c r="BK32" s="16">
        <f t="shared" ca="1" si="22"/>
        <v>5</v>
      </c>
      <c r="BL32" s="16">
        <f t="shared" ca="1" si="23"/>
        <v>-1</v>
      </c>
      <c r="BM32" s="16" t="str">
        <f t="shared" ca="1" si="24"/>
        <v>2G</v>
      </c>
      <c r="BN32" s="16" t="str">
        <f t="shared" ca="1" si="25"/>
        <v>2G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v>
      </c>
      <c r="BU32" s="16" t="str">
        <f t="shared" ca="1" si="28"/>
        <v>-</v>
      </c>
      <c r="BV32" s="16" t="str">
        <f t="shared" ca="1" si="29"/>
        <v>-</v>
      </c>
      <c r="BW32" s="16" t="str">
        <f t="shared" ca="1" si="30"/>
        <v>-</v>
      </c>
      <c r="BX32" s="16" t="str">
        <f t="shared" ca="1" si="31"/>
        <v>-</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v>
      </c>
      <c r="CA32" s="16" t="str">
        <f t="shared" ca="1" si="32"/>
        <v>-</v>
      </c>
      <c r="CB32" s="16" t="str">
        <f t="shared" ca="1" si="33"/>
        <v>-</v>
      </c>
      <c r="CC32" s="16" t="str">
        <f t="shared" ca="1" si="34"/>
        <v>-</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v>
      </c>
      <c r="CF32" s="16" t="str">
        <f t="shared" ca="1" si="35"/>
        <v>-</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v>
      </c>
      <c r="CI32" s="16" t="str">
        <f t="shared" ca="1" si="36"/>
        <v>-</v>
      </c>
      <c r="CJ32" s="16" t="str">
        <f t="shared" ca="1" si="37"/>
        <v>-</v>
      </c>
      <c r="CK32" s="16" t="str">
        <f t="shared" ca="1" si="38"/>
        <v>-</v>
      </c>
      <c r="CL32" s="16" t="str">
        <f t="shared" ca="1" si="39"/>
        <v>-</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v>
      </c>
      <c r="CO32" s="16" t="str">
        <f t="shared" ca="1" si="40"/>
        <v>-</v>
      </c>
      <c r="CP32" s="16" t="str">
        <f t="shared" ca="1" si="41"/>
        <v>-</v>
      </c>
      <c r="CQ32" s="16" t="str">
        <f t="shared" ca="1" si="42"/>
        <v>-</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v>
      </c>
      <c r="CT32" s="16" t="str">
        <f t="shared" ca="1" si="43"/>
        <v>-</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v>
      </c>
      <c r="CW32" s="16" t="str">
        <f t="shared" ca="1" si="44"/>
        <v>-</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46"/>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47"/>
        <v>3</v>
      </c>
      <c r="DK32" s="16">
        <f t="shared" ca="1" si="48"/>
        <v>12</v>
      </c>
      <c r="DL32" s="16">
        <f t="shared" ca="1" si="49"/>
        <v>1</v>
      </c>
      <c r="DM32" s="16" t="str">
        <f t="shared" ca="1" si="50"/>
        <v>3.1</v>
      </c>
      <c r="DN32" s="16">
        <f t="array" aca="1" ref="DN32" ca="1">OFFSET(Horarios!$P$3,DJ32-1,0,DL32,1)</f>
        <v>3</v>
      </c>
      <c r="DO32" s="16"/>
      <c r="DP32" s="16" t="s">
        <v>112</v>
      </c>
      <c r="DQ32" s="16" t="str">
        <f t="shared" ca="1" si="51"/>
        <v>Egipto</v>
      </c>
    </row>
    <row r="33" spans="1:121" ht="16" customHeight="1" thickBot="1" x14ac:dyDescent="0.25">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32"/>
      <c r="X33" s="28">
        <f ca="1">Horarios!C33</f>
        <v>46198.916666666657</v>
      </c>
      <c r="Y33" s="29">
        <f ca="1">Horarios!C33</f>
        <v>46198.916666666657</v>
      </c>
      <c r="Z33" s="30" t="str">
        <f>$Z$8</f>
        <v>J3</v>
      </c>
      <c r="AA33" s="31" t="str">
        <f ca="1">A30</f>
        <v>Paraguay</v>
      </c>
      <c r="AB33" s="52" t="str">
        <f t="array" aca="1" ref="AB33" ca="1">Ver_flag_local</f>
        <v/>
      </c>
      <c r="AC33" s="53">
        <v>1</v>
      </c>
      <c r="AD33" s="54">
        <v>0</v>
      </c>
      <c r="AE33" s="582" t="str">
        <f t="array" aca="1" ref="AE33" ca="1">Ver_flag_visit</f>
        <v/>
      </c>
      <c r="AF33" s="33" t="str">
        <f ca="1">A31</f>
        <v>Australia</v>
      </c>
      <c r="AG33" s="316">
        <f t="shared" si="97"/>
        <v>1</v>
      </c>
      <c r="AH33" s="195">
        <v>60</v>
      </c>
      <c r="AI33" s="181" t="str">
        <f>AJ33&amp;$B$28</f>
        <v>4D</v>
      </c>
      <c r="AJ33" s="44">
        <v>4</v>
      </c>
      <c r="AK33" s="590" t="str">
        <f t="array" aca="1" ref="AK33" ca="1">Ver_flag_visit</f>
        <v/>
      </c>
      <c r="AL33" s="45" t="str">
        <f ca="1">IFERROR(INDEX($BD$6:$BD$53,MATCH(AI33,$BN$6:$BN$53,0)),"")</f>
        <v>Turquía</v>
      </c>
      <c r="AM33" s="46">
        <f t="shared" ca="1" si="99"/>
        <v>0</v>
      </c>
      <c r="AN33" s="47">
        <f t="shared" ca="1" si="99"/>
        <v>3</v>
      </c>
      <c r="AO33" s="47">
        <f t="shared" ca="1" si="99"/>
        <v>0</v>
      </c>
      <c r="AP33" s="47">
        <f t="shared" ca="1" si="99"/>
        <v>0</v>
      </c>
      <c r="AQ33" s="47">
        <f t="shared" ca="1" si="99"/>
        <v>3</v>
      </c>
      <c r="AR33" s="47">
        <f t="shared" ca="1" si="99"/>
        <v>3</v>
      </c>
      <c r="AS33" s="47">
        <f t="shared" ca="1" si="99"/>
        <v>7</v>
      </c>
      <c r="AT33" s="48">
        <f t="shared" ca="1" si="99"/>
        <v>-4</v>
      </c>
      <c r="AU33" s="323">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17"/>
        <v>3</v>
      </c>
      <c r="BG33" s="16">
        <f t="shared" ca="1" si="18"/>
        <v>0</v>
      </c>
      <c r="BH33" s="16">
        <f t="shared" ca="1" si="19"/>
        <v>1</v>
      </c>
      <c r="BI33" s="16">
        <f t="shared" ca="1" si="20"/>
        <v>2</v>
      </c>
      <c r="BJ33" s="16">
        <f t="shared" ca="1" si="21"/>
        <v>2</v>
      </c>
      <c r="BK33" s="16">
        <f t="shared" ca="1" si="22"/>
        <v>5</v>
      </c>
      <c r="BL33" s="16">
        <f t="shared" ca="1" si="23"/>
        <v>-3</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113</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9</v>
      </c>
      <c r="BF34" s="16">
        <f t="shared" ca="1" si="17"/>
        <v>3</v>
      </c>
      <c r="BG34" s="16">
        <f t="shared" ca="1" si="18"/>
        <v>3</v>
      </c>
      <c r="BH34" s="16">
        <f t="shared" ca="1" si="19"/>
        <v>0</v>
      </c>
      <c r="BI34" s="16">
        <f t="shared" ca="1" si="20"/>
        <v>0</v>
      </c>
      <c r="BJ34" s="16">
        <f t="shared" ca="1" si="21"/>
        <v>10</v>
      </c>
      <c r="BK34" s="16">
        <f t="shared" ca="1" si="22"/>
        <v>1</v>
      </c>
      <c r="BL34" s="16">
        <f t="shared" ca="1" si="23"/>
        <v>9</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114</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6"/>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3</v>
      </c>
      <c r="BG35" s="16">
        <f t="shared" ca="1" si="18"/>
        <v>0</v>
      </c>
      <c r="BH35" s="16">
        <f t="shared" ca="1" si="19"/>
        <v>0</v>
      </c>
      <c r="BI35" s="16">
        <f t="shared" ca="1" si="20"/>
        <v>3</v>
      </c>
      <c r="BJ35" s="16">
        <f t="shared" ca="1" si="21"/>
        <v>0</v>
      </c>
      <c r="BK35" s="16">
        <f t="shared" ca="1" si="22"/>
        <v>8</v>
      </c>
      <c r="BL35" s="16">
        <f t="shared" ca="1" si="23"/>
        <v>-8</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115</v>
      </c>
      <c r="DQ35" s="16" t="str">
        <f t="shared" ca="1" si="51"/>
        <v>Uruguay</v>
      </c>
    </row>
    <row r="36" spans="1:121" ht="16" customHeight="1" thickBot="1" x14ac:dyDescent="0.25">
      <c r="A36" s="16" t="s">
        <v>28</v>
      </c>
      <c r="B36" s="16" t="s">
        <v>116</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P.3 (2)</v>
      </c>
      <c r="G36" s="16"/>
      <c r="H36" s="16" t="str">
        <f t="shared" ref="H36:H41" ca="1" si="103">IF(D36="Pendiente","-",INDEX($BZ$6:$BZ$53,MATCH($AA36,$BD$6:$BD$53,0)))</f>
        <v>-</v>
      </c>
      <c r="I36" s="16" t="str">
        <f t="shared" ref="I36:I41" ca="1" si="104">IF(D36="Pendiente","-",INDEX($BZ$6:$BZ$53,MATCH($AF36,$BD$6:$BD$53,0)))</f>
        <v>P.3 (2)</v>
      </c>
      <c r="J36" s="16"/>
      <c r="K36" s="16" t="str">
        <f t="shared" ref="K36:K41" ca="1" si="105">IF(D36="Pendiente","-",INDEX($CE$6:$CE$53,MATCH($AA36,$BD$6:$BD$53,0)))</f>
        <v>-</v>
      </c>
      <c r="L36" s="16" t="str">
        <f t="shared" ref="L36:L41" ca="1" si="106">IF(D36="Pendiente","-",INDEX($CE$6:$CE$53,MATCH($AF36,$BD$6:$BD$53,0)))</f>
        <v>P.3 (2)</v>
      </c>
      <c r="M36" s="16"/>
      <c r="N36" s="16" t="str">
        <f t="shared" ref="N36:N41" ca="1" si="107">IF(D36="Pendiente","-",INDEX($CH$6:$CH$53,MATCH($AA36,$BD$6:$BD$53,0)))</f>
        <v>-</v>
      </c>
      <c r="O36" s="16" t="str">
        <f t="shared" ref="O36:O41" ca="1" si="108">IF(D36="Pendiente","-",INDEX($CH$6:$CH$53,MATCH($AF36,$BD$6:$BD$53,0)))</f>
        <v>P.3 (2)</v>
      </c>
      <c r="P36" s="16"/>
      <c r="Q36" s="16" t="str">
        <f t="shared" ref="Q36:Q41" ca="1" si="109">IF(D36="Pendiente","-",INDEX($CN$6:$CN$53,MATCH($AA36,$BD$6:$BD$53,0)))</f>
        <v>-</v>
      </c>
      <c r="R36" s="16" t="str">
        <f t="shared" ref="R36:R41" ca="1" si="110">IF(D36="Pendiente","-",INDEX($CN$6:$CN$53,MATCH($AF36,$BD$6:$BD$53,0)))</f>
        <v>P.3 (2)</v>
      </c>
      <c r="S36" s="16"/>
      <c r="T36" s="16" t="str">
        <f t="shared" ref="T36:T41" ca="1" si="111">IF(D36="Pendiente","-",INDEX($CS$6:$CS$53,MATCH($AA36,$BD$6:$BD$53,0)))</f>
        <v>-</v>
      </c>
      <c r="U36" s="16" t="str">
        <f t="shared" ref="U36:U41" ca="1" si="112">IF(D36="Pendiente","-",INDEX($CS$6:$CS$53,MATCH($AF36,$BD$6:$BD$53,0)))</f>
        <v>P.3 (2)</v>
      </c>
      <c r="V36" s="17"/>
      <c r="W36" s="646" t="s">
        <v>116</v>
      </c>
      <c r="X36" s="24">
        <f ca="1">Horarios!C36</f>
        <v>46187.541666666657</v>
      </c>
      <c r="Y36" s="25">
        <f ca="1">Horarios!C36</f>
        <v>46187.541666666657</v>
      </c>
      <c r="Z36" s="26" t="str">
        <f>$Z$4</f>
        <v>J1</v>
      </c>
      <c r="AA36" s="27" t="str">
        <f ca="1">A37</f>
        <v>Alemania</v>
      </c>
      <c r="AB36" s="49" t="str">
        <f t="array" aca="1" ref="AB36" ca="1">Ver_flag_local</f>
        <v/>
      </c>
      <c r="AC36" s="50">
        <v>3</v>
      </c>
      <c r="AD36" s="51">
        <v>0</v>
      </c>
      <c r="AE36" s="581"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¡EMPATE! Puedes seleccionar el orden de los empatados.</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3</v>
      </c>
      <c r="BK36" s="16">
        <f t="shared" ca="1" si="22"/>
        <v>6</v>
      </c>
      <c r="BL36" s="16">
        <f t="shared" ca="1" si="23"/>
        <v>-3</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117</v>
      </c>
      <c r="DQ36" s="16" t="str">
        <f t="shared" ca="1" si="51"/>
        <v>Arabia Saudita</v>
      </c>
    </row>
    <row r="37" spans="1:121" ht="16" customHeight="1" x14ac:dyDescent="0.2">
      <c r="A37" s="16" t="str">
        <f ca="1">+Equipos!B18</f>
        <v>Alemania</v>
      </c>
      <c r="B37" s="16"/>
      <c r="C37" s="16"/>
      <c r="D37" s="16" t="str">
        <f t="shared" si="100"/>
        <v>Visitante</v>
      </c>
      <c r="E37" s="16" t="str">
        <f t="shared" ca="1" si="101"/>
        <v>P.3 (2)</v>
      </c>
      <c r="F37" s="16" t="str">
        <f t="shared" ca="1" si="102"/>
        <v>-</v>
      </c>
      <c r="G37" s="16"/>
      <c r="H37" s="16" t="str">
        <f t="shared" ca="1" si="103"/>
        <v>P.3 (2)</v>
      </c>
      <c r="I37" s="16" t="str">
        <f t="shared" ca="1" si="104"/>
        <v>-</v>
      </c>
      <c r="J37" s="16"/>
      <c r="K37" s="16" t="str">
        <f t="shared" ca="1" si="105"/>
        <v>P.3 (2)</v>
      </c>
      <c r="L37" s="16" t="str">
        <f t="shared" ca="1" si="106"/>
        <v>-</v>
      </c>
      <c r="M37" s="16"/>
      <c r="N37" s="16" t="str">
        <f t="shared" ca="1" si="107"/>
        <v>P.3 (2)</v>
      </c>
      <c r="O37" s="16" t="str">
        <f t="shared" ca="1" si="108"/>
        <v>-</v>
      </c>
      <c r="P37" s="16"/>
      <c r="Q37" s="16" t="str">
        <f t="shared" ca="1" si="109"/>
        <v>P.3 (2)</v>
      </c>
      <c r="R37" s="16" t="str">
        <f t="shared" ca="1" si="110"/>
        <v>-</v>
      </c>
      <c r="S37" s="16"/>
      <c r="T37" s="16" t="str">
        <f t="shared" ca="1" si="111"/>
        <v>P.3 (2)</v>
      </c>
      <c r="U37" s="16" t="str">
        <f t="shared" ca="1" si="112"/>
        <v>-</v>
      </c>
      <c r="V37" s="17"/>
      <c r="W37" s="631"/>
      <c r="X37" s="24">
        <f ca="1">Horarios!C37</f>
        <v>46187.791666666657</v>
      </c>
      <c r="Y37" s="25">
        <f ca="1">Horarios!C37</f>
        <v>46187.791666666657</v>
      </c>
      <c r="Z37" s="26" t="str">
        <f>$Z$4</f>
        <v>J1</v>
      </c>
      <c r="AA37" s="27" t="str">
        <f ca="1">A39</f>
        <v>Costa de Marfil</v>
      </c>
      <c r="AB37" s="49" t="str">
        <f t="array" aca="1" ref="AB37" ca="1">Ver_flag_local</f>
        <v/>
      </c>
      <c r="AC37" s="50">
        <v>0</v>
      </c>
      <c r="AD37" s="51">
        <v>2</v>
      </c>
      <c r="AE37" s="581"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2</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17"/>
        <v>3</v>
      </c>
      <c r="BG37" s="16">
        <f t="shared" ca="1" si="18"/>
        <v>2</v>
      </c>
      <c r="BH37" s="16">
        <f t="shared" ca="1" si="19"/>
        <v>0</v>
      </c>
      <c r="BI37" s="16">
        <f t="shared" ca="1" si="20"/>
        <v>1</v>
      </c>
      <c r="BJ37" s="16">
        <f t="shared" ca="1" si="21"/>
        <v>6</v>
      </c>
      <c r="BK37" s="16">
        <f t="shared" ca="1" si="22"/>
        <v>4</v>
      </c>
      <c r="BL37" s="16">
        <f t="shared" ca="1" si="23"/>
        <v>2</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118</v>
      </c>
      <c r="DQ37" s="16" t="str">
        <f t="shared" ca="1" si="51"/>
        <v>Cabo Verde</v>
      </c>
    </row>
    <row r="38" spans="1:121" ht="16" customHeight="1" x14ac:dyDescent="0.2">
      <c r="A38" s="16" t="str">
        <f ca="1">+Equipos!B19</f>
        <v>Curazao</v>
      </c>
      <c r="B38" s="16"/>
      <c r="C38" s="16"/>
      <c r="D38" s="16" t="str">
        <f t="shared" si="100"/>
        <v>Local</v>
      </c>
      <c r="E38" s="16" t="str">
        <f t="shared" ca="1" si="101"/>
        <v>-</v>
      </c>
      <c r="F38" s="16" t="str">
        <f t="shared" ca="1" si="102"/>
        <v>P.3 (2)</v>
      </c>
      <c r="G38" s="16"/>
      <c r="H38" s="16" t="str">
        <f t="shared" ca="1" si="103"/>
        <v>-</v>
      </c>
      <c r="I38" s="16" t="str">
        <f t="shared" ca="1" si="104"/>
        <v>P.3 (2)</v>
      </c>
      <c r="J38" s="16"/>
      <c r="K38" s="16" t="str">
        <f t="shared" ca="1" si="105"/>
        <v>-</v>
      </c>
      <c r="L38" s="16" t="str">
        <f t="shared" ca="1" si="106"/>
        <v>P.3 (2)</v>
      </c>
      <c r="M38" s="16"/>
      <c r="N38" s="16" t="str">
        <f t="shared" ca="1" si="107"/>
        <v>-</v>
      </c>
      <c r="O38" s="16" t="str">
        <f t="shared" ca="1" si="108"/>
        <v>P.3 (2)</v>
      </c>
      <c r="P38" s="16"/>
      <c r="Q38" s="16" t="str">
        <f t="shared" ca="1" si="109"/>
        <v>-</v>
      </c>
      <c r="R38" s="16" t="str">
        <f t="shared" ca="1" si="110"/>
        <v>P.3 (2)</v>
      </c>
      <c r="S38" s="16"/>
      <c r="T38" s="16" t="str">
        <f t="shared" ca="1" si="111"/>
        <v>-</v>
      </c>
      <c r="U38" s="16" t="str">
        <f t="shared" ca="1" si="112"/>
        <v>P.3 (2)</v>
      </c>
      <c r="V38" s="17"/>
      <c r="W38" s="631"/>
      <c r="X38" s="24">
        <f ca="1">Horarios!C38</f>
        <v>46193.666666666657</v>
      </c>
      <c r="Y38" s="25">
        <f ca="1">Horarios!C38</f>
        <v>46193.666666666657</v>
      </c>
      <c r="Z38" s="26" t="str">
        <f>$Z$6</f>
        <v>J2</v>
      </c>
      <c r="AA38" s="27" t="str">
        <f ca="1">A37</f>
        <v>Alemania</v>
      </c>
      <c r="AB38" s="49" t="str">
        <f t="array" aca="1" ref="AB38" ca="1">Ver_flag_local</f>
        <v/>
      </c>
      <c r="AC38" s="50">
        <v>2</v>
      </c>
      <c r="AD38" s="51">
        <v>0</v>
      </c>
      <c r="AE38" s="581" t="str">
        <f t="array" aca="1" ref="AE38" ca="1">Ver_flag_visit</f>
        <v/>
      </c>
      <c r="AF38" s="32" t="str">
        <f ca="1">A39</f>
        <v>Costa de Marfil</v>
      </c>
      <c r="AG38" s="316">
        <f t="shared" si="113"/>
        <v>1</v>
      </c>
      <c r="AH38" s="195">
        <v>33</v>
      </c>
      <c r="AI38" s="181" t="str">
        <f>AJ38&amp;$B$36</f>
        <v>1E</v>
      </c>
      <c r="AJ38" s="40">
        <v>1</v>
      </c>
      <c r="AK38" s="587" t="str">
        <f t="array" aca="1" ref="AK38" ca="1">Ver_flag_visit</f>
        <v/>
      </c>
      <c r="AL38" s="34" t="str">
        <f ca="1">IFERROR(INDEX($BD$6:$BD$53,MATCH(AI38,$BN$6:$BN$53,0)),"")</f>
        <v>Alemania</v>
      </c>
      <c r="AM38" s="35">
        <f t="shared" ref="AM38:AT41" ca="1" si="115">INDEX($BE$6:$BN$53,MATCH($AL38,$BD$6:$BD$53,0),MATCH(AM$5,$BE$5:$BN$5,0))</f>
        <v>9</v>
      </c>
      <c r="AN38" s="36">
        <f t="shared" ca="1" si="115"/>
        <v>3</v>
      </c>
      <c r="AO38" s="36">
        <f t="shared" ca="1" si="115"/>
        <v>3</v>
      </c>
      <c r="AP38" s="36">
        <f t="shared" ca="1" si="115"/>
        <v>0</v>
      </c>
      <c r="AQ38" s="36">
        <f t="shared" ca="1" si="115"/>
        <v>0</v>
      </c>
      <c r="AR38" s="36">
        <f t="shared" ca="1" si="115"/>
        <v>8</v>
      </c>
      <c r="AS38" s="36">
        <f t="shared" ca="1" si="115"/>
        <v>2</v>
      </c>
      <c r="AT38" s="41">
        <f t="shared" ca="1" si="115"/>
        <v>6</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11</v>
      </c>
      <c r="BK38" s="16">
        <f t="shared" ca="1" si="22"/>
        <v>1</v>
      </c>
      <c r="BL38" s="16">
        <f t="shared" ca="1" si="23"/>
        <v>10</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119</v>
      </c>
      <c r="DQ38" s="16" t="str">
        <f t="shared" ca="1" si="51"/>
        <v>Francia</v>
      </c>
    </row>
    <row r="39" spans="1:121" ht="16" customHeight="1" x14ac:dyDescent="0.2">
      <c r="A39" s="16" t="str">
        <f ca="1">+Equipos!B20</f>
        <v>Costa de Marfil</v>
      </c>
      <c r="B39" s="16"/>
      <c r="C39" s="16"/>
      <c r="D39" s="16" t="str">
        <f t="shared" si="100"/>
        <v>Local</v>
      </c>
      <c r="E39" s="16" t="str">
        <f t="shared" ca="1" si="101"/>
        <v>-</v>
      </c>
      <c r="F39" s="16" t="str">
        <f t="shared" ca="1" si="102"/>
        <v>P.3 (2)</v>
      </c>
      <c r="G39" s="16"/>
      <c r="H39" s="16" t="str">
        <f t="shared" ca="1" si="103"/>
        <v>-</v>
      </c>
      <c r="I39" s="16" t="str">
        <f t="shared" ca="1" si="104"/>
        <v>P.3 (2)</v>
      </c>
      <c r="J39" s="16"/>
      <c r="K39" s="16" t="str">
        <f t="shared" ca="1" si="105"/>
        <v>-</v>
      </c>
      <c r="L39" s="16" t="str">
        <f t="shared" ca="1" si="106"/>
        <v>P.3 (2)</v>
      </c>
      <c r="M39" s="16"/>
      <c r="N39" s="16" t="str">
        <f t="shared" ca="1" si="107"/>
        <v>-</v>
      </c>
      <c r="O39" s="16" t="str">
        <f t="shared" ca="1" si="108"/>
        <v>P.3 (2)</v>
      </c>
      <c r="P39" s="16"/>
      <c r="Q39" s="16" t="str">
        <f t="shared" ca="1" si="109"/>
        <v>-</v>
      </c>
      <c r="R39" s="16" t="str">
        <f t="shared" ca="1" si="110"/>
        <v>P.3 (2)</v>
      </c>
      <c r="S39" s="16"/>
      <c r="T39" s="16" t="str">
        <f t="shared" ca="1" si="111"/>
        <v>-</v>
      </c>
      <c r="U39" s="16" t="str">
        <f t="shared" ca="1" si="112"/>
        <v>P.3 (2)</v>
      </c>
      <c r="V39" s="17"/>
      <c r="W39" s="631"/>
      <c r="X39" s="24">
        <f ca="1">Horarios!C39</f>
        <v>46193.833333333343</v>
      </c>
      <c r="Y39" s="25">
        <f ca="1">Horarios!C39</f>
        <v>46193.833333333343</v>
      </c>
      <c r="Z39" s="26" t="str">
        <f>$Z$6</f>
        <v>J2</v>
      </c>
      <c r="AA39" s="27" t="str">
        <f ca="1">A40</f>
        <v>Ecuador</v>
      </c>
      <c r="AB39" s="49" t="str">
        <f t="array" aca="1" ref="AB39" ca="1">Ver_flag_local</f>
        <v/>
      </c>
      <c r="AC39" s="50">
        <v>1</v>
      </c>
      <c r="AD39" s="51">
        <v>0</v>
      </c>
      <c r="AE39" s="581" t="str">
        <f t="array" aca="1" ref="AE39" ca="1">Ver_flag_visit</f>
        <v/>
      </c>
      <c r="AF39" s="32" t="str">
        <f ca="1">A38</f>
        <v>Curazao</v>
      </c>
      <c r="AG39" s="316">
        <f t="shared" si="113"/>
        <v>1</v>
      </c>
      <c r="AH39" s="195">
        <v>34</v>
      </c>
      <c r="AI39" s="181" t="str">
        <f>AJ39&amp;$B$36</f>
        <v>2E</v>
      </c>
      <c r="AJ39" s="42">
        <v>2</v>
      </c>
      <c r="AK39" s="588" t="str">
        <f t="array" aca="1" ref="AK39" ca="1">Ver_flag_visit</f>
        <v/>
      </c>
      <c r="AL39" s="37" t="str">
        <f ca="1">IFERROR(INDEX($BD$6:$BD$53,MATCH(AI39,$BN$6:$BN$53,0)),"")</f>
        <v>Ecuador</v>
      </c>
      <c r="AM39" s="38">
        <f t="shared" ca="1" si="115"/>
        <v>6</v>
      </c>
      <c r="AN39" s="39">
        <f t="shared" ca="1" si="115"/>
        <v>3</v>
      </c>
      <c r="AO39" s="39">
        <f t="shared" ca="1" si="115"/>
        <v>2</v>
      </c>
      <c r="AP39" s="39">
        <f t="shared" ca="1" si="115"/>
        <v>0</v>
      </c>
      <c r="AQ39" s="39">
        <f t="shared" ca="1" si="115"/>
        <v>1</v>
      </c>
      <c r="AR39" s="39">
        <f t="shared" ca="1" si="115"/>
        <v>5</v>
      </c>
      <c r="AS39" s="39">
        <f t="shared" ca="1" si="115"/>
        <v>3</v>
      </c>
      <c r="AT39" s="43">
        <f t="shared" ca="1" si="115"/>
        <v>2</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17"/>
        <v>3</v>
      </c>
      <c r="BG39" s="16">
        <f t="shared" ca="1" si="18"/>
        <v>1</v>
      </c>
      <c r="BH39" s="16">
        <f t="shared" ca="1" si="19"/>
        <v>1</v>
      </c>
      <c r="BI39" s="16">
        <f t="shared" ca="1" si="20"/>
        <v>1</v>
      </c>
      <c r="BJ39" s="16">
        <f t="shared" ca="1" si="21"/>
        <v>3</v>
      </c>
      <c r="BK39" s="16">
        <f t="shared" ca="1" si="22"/>
        <v>5</v>
      </c>
      <c r="BL39" s="16">
        <f t="shared" ca="1" si="23"/>
        <v>-2</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8"/>
        <v>0</v>
      </c>
      <c r="BV39" s="16">
        <f t="shared" ca="1" si="29"/>
        <v>1</v>
      </c>
      <c r="BW39" s="16">
        <f t="shared" ca="1" si="30"/>
        <v>0</v>
      </c>
      <c r="BX39" s="16">
        <f t="shared" ca="1" si="31"/>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32"/>
        <v>0</v>
      </c>
      <c r="CB39" s="16">
        <f t="shared" ca="1" si="33"/>
        <v>0</v>
      </c>
      <c r="CC39" s="16">
        <f t="shared" ca="1" si="34"/>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35"/>
        <v>0</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6"/>
        <v>0</v>
      </c>
      <c r="CJ39" s="16">
        <f t="shared" ca="1" si="37"/>
        <v>1</v>
      </c>
      <c r="CK39" s="16">
        <f t="shared" ca="1" si="38"/>
        <v>0</v>
      </c>
      <c r="CL39" s="16">
        <f t="shared" ca="1" si="39"/>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40"/>
        <v>0</v>
      </c>
      <c r="CP39" s="16">
        <f t="shared" ca="1" si="41"/>
        <v>0</v>
      </c>
      <c r="CQ39" s="16">
        <f t="shared" ca="1" si="42"/>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43"/>
        <v>0</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44"/>
        <v>-2</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120</v>
      </c>
      <c r="DQ39" s="16" t="str">
        <f t="shared" ca="1" si="51"/>
        <v>Noruega</v>
      </c>
    </row>
    <row r="40" spans="1:121" ht="16" customHeight="1" x14ac:dyDescent="0.2">
      <c r="A40" s="16" t="str">
        <f ca="1">+Equipos!B21</f>
        <v>Ecuador</v>
      </c>
      <c r="B40" s="16"/>
      <c r="C40" s="16"/>
      <c r="D40" s="16" t="str">
        <f t="shared" si="100"/>
        <v>Empate</v>
      </c>
      <c r="E40" s="16" t="str">
        <f t="shared" ca="1" si="101"/>
        <v>P.3 (2)</v>
      </c>
      <c r="F40" s="16" t="str">
        <f t="shared" ca="1" si="102"/>
        <v>P.3 (2)</v>
      </c>
      <c r="G40" s="16"/>
      <c r="H40" s="16" t="str">
        <f t="shared" ca="1" si="103"/>
        <v>P.3 (2)</v>
      </c>
      <c r="I40" s="16" t="str">
        <f t="shared" ca="1" si="104"/>
        <v>P.3 (2)</v>
      </c>
      <c r="J40" s="16"/>
      <c r="K40" s="16" t="str">
        <f t="shared" ca="1" si="105"/>
        <v>P.3 (2)</v>
      </c>
      <c r="L40" s="16" t="str">
        <f t="shared" ca="1" si="106"/>
        <v>P.3 (2)</v>
      </c>
      <c r="M40" s="16"/>
      <c r="N40" s="16" t="str">
        <f t="shared" ca="1" si="107"/>
        <v>P.3 (2)</v>
      </c>
      <c r="O40" s="16" t="str">
        <f t="shared" ca="1" si="108"/>
        <v>P.3 (2)</v>
      </c>
      <c r="P40" s="16"/>
      <c r="Q40" s="16" t="str">
        <f t="shared" ca="1" si="109"/>
        <v>P.3 (2)</v>
      </c>
      <c r="R40" s="16" t="str">
        <f t="shared" ca="1" si="110"/>
        <v>P.3 (2)</v>
      </c>
      <c r="S40" s="16"/>
      <c r="T40" s="16" t="str">
        <f t="shared" ca="1" si="111"/>
        <v>P.3 (2)</v>
      </c>
      <c r="U40" s="16" t="str">
        <f t="shared" ca="1" si="112"/>
        <v>P.3 (2)</v>
      </c>
      <c r="V40" s="17"/>
      <c r="W40" s="631"/>
      <c r="X40" s="24">
        <f ca="1">Horarios!C40</f>
        <v>46198.666666666657</v>
      </c>
      <c r="Y40" s="25">
        <f ca="1">Horarios!C40</f>
        <v>46198.666666666657</v>
      </c>
      <c r="Z40" s="26" t="str">
        <f>$Z$8</f>
        <v>J3</v>
      </c>
      <c r="AA40" s="27" t="str">
        <f ca="1">A38</f>
        <v>Curazao</v>
      </c>
      <c r="AB40" s="49" t="str">
        <f t="array" aca="1" ref="AB40" ca="1">Ver_flag_local</f>
        <v/>
      </c>
      <c r="AC40" s="50">
        <v>1</v>
      </c>
      <c r="AD40" s="51">
        <v>1</v>
      </c>
      <c r="AE40" s="581" t="str">
        <f t="array" aca="1" ref="AE40" ca="1">Ver_flag_visit</f>
        <v/>
      </c>
      <c r="AF40" s="32" t="str">
        <f ca="1">A39</f>
        <v>Costa de Marfil</v>
      </c>
      <c r="AG40" s="316">
        <f t="shared" si="113"/>
        <v>1</v>
      </c>
      <c r="AH40" s="195">
        <v>55</v>
      </c>
      <c r="AI40" s="181" t="str">
        <f>AJ40&amp;$B$36</f>
        <v>3E</v>
      </c>
      <c r="AJ40" s="42">
        <v>3</v>
      </c>
      <c r="AK40" s="588" t="str">
        <f t="array" aca="1" ref="AK40" ca="1">Ver_flag_visit</f>
        <v/>
      </c>
      <c r="AL40" s="37" t="str">
        <f ca="1">IFERROR(INDEX($BD$6:$BD$53,MATCH(AI40,$BN$6:$BN$53,0)),"")</f>
        <v>Curazao</v>
      </c>
      <c r="AM40" s="38">
        <f t="shared" ca="1" si="115"/>
        <v>1</v>
      </c>
      <c r="AN40" s="39">
        <f t="shared" ca="1" si="115"/>
        <v>3</v>
      </c>
      <c r="AO40" s="39">
        <f t="shared" ca="1" si="115"/>
        <v>0</v>
      </c>
      <c r="AP40" s="39">
        <f t="shared" ca="1" si="115"/>
        <v>1</v>
      </c>
      <c r="AQ40" s="39">
        <f t="shared" ca="1" si="115"/>
        <v>2</v>
      </c>
      <c r="AR40" s="39">
        <f t="shared" ca="1" si="115"/>
        <v>1</v>
      </c>
      <c r="AS40" s="39">
        <f t="shared" ca="1" si="115"/>
        <v>5</v>
      </c>
      <c r="AT40" s="43">
        <f t="shared" ca="1" si="115"/>
        <v>-4</v>
      </c>
      <c r="AU40" s="323">
        <f ca="1">INDEX($DL$6:$DL$53,MATCH(AI40,$DP$6:$DP$53,0))</f>
        <v>2</v>
      </c>
      <c r="AV40" s="182" t="str">
        <f ca="1">INDEX($BD$6:$BD$53,MATCH(AI40,$BM$6:$BM$53,0))</f>
        <v>Curazao</v>
      </c>
      <c r="AW40" s="210">
        <v>1</v>
      </c>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1</v>
      </c>
      <c r="BK40" s="16">
        <f t="shared" ca="1" si="22"/>
        <v>9</v>
      </c>
      <c r="BL40" s="16">
        <f t="shared" ca="1" si="23"/>
        <v>-8</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121</v>
      </c>
      <c r="DQ40" s="16" t="str">
        <f t="shared" ca="1" si="51"/>
        <v>Senegal</v>
      </c>
    </row>
    <row r="41" spans="1:121" ht="16" customHeight="1" thickBot="1" x14ac:dyDescent="0.25">
      <c r="A41" s="16"/>
      <c r="B41" s="16"/>
      <c r="C41" s="16"/>
      <c r="D41" s="16" t="str">
        <f t="shared" si="100"/>
        <v>Visitante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32"/>
      <c r="X41" s="28">
        <f ca="1">Horarios!C41</f>
        <v>46198.666666666657</v>
      </c>
      <c r="Y41" s="29">
        <f ca="1">Horarios!C41</f>
        <v>46198.666666666657</v>
      </c>
      <c r="Z41" s="30" t="str">
        <f>$Z$8</f>
        <v>J3</v>
      </c>
      <c r="AA41" s="31" t="str">
        <f ca="1">A40</f>
        <v>Ecuador</v>
      </c>
      <c r="AB41" s="52" t="str">
        <f t="array" aca="1" ref="AB41" ca="1">Ver_flag_local</f>
        <v/>
      </c>
      <c r="AC41" s="53">
        <v>2</v>
      </c>
      <c r="AD41" s="54">
        <v>3</v>
      </c>
      <c r="AE41" s="582" t="str">
        <f t="array" aca="1" ref="AE41" ca="1">Ver_flag_visit</f>
        <v/>
      </c>
      <c r="AF41" s="33" t="str">
        <f ca="1">A37</f>
        <v>Alemania</v>
      </c>
      <c r="AG41" s="316">
        <f t="shared" si="113"/>
        <v>1</v>
      </c>
      <c r="AH41" s="195">
        <v>56</v>
      </c>
      <c r="AI41" s="181" t="str">
        <f>AJ41&amp;$B$36</f>
        <v>4E</v>
      </c>
      <c r="AJ41" s="44">
        <v>4</v>
      </c>
      <c r="AK41" s="590" t="str">
        <f t="array" aca="1" ref="AK41" ca="1">Ver_flag_visit</f>
        <v/>
      </c>
      <c r="AL41" s="45" t="str">
        <f ca="1">IFERROR(INDEX($BD$6:$BD$53,MATCH(AI41,$BN$6:$BN$53,0)),"")</f>
        <v>Costa de Marfil</v>
      </c>
      <c r="AM41" s="46">
        <f t="shared" ca="1" si="115"/>
        <v>1</v>
      </c>
      <c r="AN41" s="47">
        <f t="shared" ca="1" si="115"/>
        <v>3</v>
      </c>
      <c r="AO41" s="47">
        <f t="shared" ca="1" si="115"/>
        <v>0</v>
      </c>
      <c r="AP41" s="47">
        <f t="shared" ca="1" si="115"/>
        <v>1</v>
      </c>
      <c r="AQ41" s="47">
        <f t="shared" ca="1" si="115"/>
        <v>2</v>
      </c>
      <c r="AR41" s="47">
        <f t="shared" ca="1" si="115"/>
        <v>1</v>
      </c>
      <c r="AS41" s="47">
        <f t="shared" ca="1" si="115"/>
        <v>5</v>
      </c>
      <c r="AT41" s="48">
        <f t="shared" ca="1" si="115"/>
        <v>-4</v>
      </c>
      <c r="AU41" s="323">
        <f ca="1">INDEX($DL$6:$DL$53,MATCH(AI41,$DP$6:$DP$53,0))</f>
        <v>2</v>
      </c>
      <c r="AV41" s="182" t="str">
        <f ca="1">INDEX($BD$6:$BD$53,MATCH(AI41,$BM$6:$BM$53,0))</f>
        <v>Costa de Marfil</v>
      </c>
      <c r="AW41" s="210">
        <v>2</v>
      </c>
      <c r="AX41" s="171"/>
      <c r="AY41" s="205" t="str">
        <f ca="1">+A40</f>
        <v>Ecuador</v>
      </c>
      <c r="AZ41" s="206"/>
      <c r="BA41" s="176"/>
      <c r="BC41" s="16" t="str">
        <f ca="1">+INDEX(T_Equipos[Grupo],MATCH(WORLDCUP!BD41,T_Equipos[NombreEquipo],0))</f>
        <v>I</v>
      </c>
      <c r="BD41" s="16" t="str">
        <f ca="1">+Equipos!B37</f>
        <v>Noruega</v>
      </c>
      <c r="BE41" s="16">
        <f t="shared" ca="1" si="16"/>
        <v>4</v>
      </c>
      <c r="BF41" s="16">
        <f t="shared" ca="1" si="17"/>
        <v>3</v>
      </c>
      <c r="BG41" s="16">
        <f t="shared" ca="1" si="18"/>
        <v>1</v>
      </c>
      <c r="BH41" s="16">
        <f t="shared" ca="1" si="19"/>
        <v>1</v>
      </c>
      <c r="BI41" s="16">
        <f t="shared" ca="1" si="20"/>
        <v>1</v>
      </c>
      <c r="BJ41" s="16">
        <f t="shared" ca="1" si="21"/>
        <v>3</v>
      </c>
      <c r="BK41" s="16">
        <f t="shared" ca="1" si="22"/>
        <v>3</v>
      </c>
      <c r="BL41" s="16">
        <f t="shared" ca="1" si="23"/>
        <v>0</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8"/>
        <v>0</v>
      </c>
      <c r="BV41" s="16">
        <f t="shared" ca="1" si="29"/>
        <v>1</v>
      </c>
      <c r="BW41" s="16">
        <f t="shared" ca="1" si="30"/>
        <v>0</v>
      </c>
      <c r="BX41" s="16">
        <f t="shared" ca="1" si="31"/>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32"/>
        <v>0</v>
      </c>
      <c r="CB41" s="16">
        <f t="shared" ca="1" si="33"/>
        <v>0</v>
      </c>
      <c r="CC41" s="16">
        <f t="shared" ca="1" si="34"/>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35"/>
        <v>0</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6"/>
        <v>0</v>
      </c>
      <c r="CJ41" s="16">
        <f t="shared" ca="1" si="37"/>
        <v>1</v>
      </c>
      <c r="CK41" s="16">
        <f t="shared" ca="1" si="38"/>
        <v>0</v>
      </c>
      <c r="CL41" s="16">
        <f t="shared" ca="1" si="39"/>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40"/>
        <v>0</v>
      </c>
      <c r="CP41" s="16">
        <f t="shared" ca="1" si="41"/>
        <v>0</v>
      </c>
      <c r="CQ41" s="16">
        <f t="shared" ca="1" si="42"/>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43"/>
        <v>0</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44"/>
        <v>0</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122</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9</v>
      </c>
      <c r="BK42" s="16">
        <f t="shared" ca="1" si="22"/>
        <v>0</v>
      </c>
      <c r="BL42" s="16">
        <f t="shared" ca="1" si="23"/>
        <v>9</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123</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6"/>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2</v>
      </c>
      <c r="BF43" s="16">
        <f t="shared" ca="1" si="17"/>
        <v>3</v>
      </c>
      <c r="BG43" s="16">
        <f t="shared" ca="1" si="18"/>
        <v>0</v>
      </c>
      <c r="BH43" s="16">
        <f t="shared" ca="1" si="19"/>
        <v>2</v>
      </c>
      <c r="BI43" s="16">
        <f t="shared" ca="1" si="20"/>
        <v>1</v>
      </c>
      <c r="BJ43" s="16">
        <f t="shared" ca="1" si="21"/>
        <v>1</v>
      </c>
      <c r="BK43" s="16">
        <f t="shared" ca="1" si="22"/>
        <v>4</v>
      </c>
      <c r="BL43" s="16">
        <f t="shared" ca="1" si="23"/>
        <v>-3</v>
      </c>
      <c r="BM43" s="16" t="str">
        <f t="shared" ca="1" si="24"/>
        <v>3J</v>
      </c>
      <c r="BN43" s="16" t="str">
        <f t="shared" ca="1" si="25"/>
        <v>3J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2</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46"/>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47"/>
        <v>2</v>
      </c>
      <c r="DK43" s="16">
        <f t="shared" ca="1" si="48"/>
        <v>12</v>
      </c>
      <c r="DL43" s="16">
        <f t="shared" ca="1" si="49"/>
        <v>1</v>
      </c>
      <c r="DM43" s="16" t="str">
        <f t="shared" ca="1" si="50"/>
        <v>2.1</v>
      </c>
      <c r="DN43" s="16">
        <f t="array" aca="1" ref="DN43" ca="1">OFFSET(Horarios!$P$3,DJ43-1,0,DL43,1)</f>
        <v>2</v>
      </c>
      <c r="DO43" s="16"/>
      <c r="DP43" s="16" t="s">
        <v>124</v>
      </c>
      <c r="DQ43" s="16" t="str">
        <f t="shared" ca="1" si="51"/>
        <v>Austria</v>
      </c>
    </row>
    <row r="44" spans="1:121" ht="16" customHeight="1" thickBot="1" x14ac:dyDescent="0.25">
      <c r="A44" s="16" t="s">
        <v>28</v>
      </c>
      <c r="B44" s="16" t="s">
        <v>125</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49" t="s">
        <v>125</v>
      </c>
      <c r="X44" s="24">
        <f ca="1">Horarios!C44</f>
        <v>46187.666666666657</v>
      </c>
      <c r="Y44" s="25">
        <f ca="1">Horarios!C44</f>
        <v>46187.666666666657</v>
      </c>
      <c r="Z44" s="26" t="str">
        <f>$Z$4</f>
        <v>J1</v>
      </c>
      <c r="AA44" s="27" t="str">
        <f ca="1">A45</f>
        <v>Países Bajos</v>
      </c>
      <c r="AB44" s="49" t="str">
        <f t="array" aca="1" ref="AB44" ca="1">Ver_flag_local</f>
        <v/>
      </c>
      <c r="AC44" s="50">
        <v>2</v>
      </c>
      <c r="AD44" s="51">
        <v>1</v>
      </c>
      <c r="AE44" s="581"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17"/>
        <v>3</v>
      </c>
      <c r="BG44" s="16">
        <f t="shared" ca="1" si="18"/>
        <v>1</v>
      </c>
      <c r="BH44" s="16">
        <f t="shared" ca="1" si="19"/>
        <v>1</v>
      </c>
      <c r="BI44" s="16">
        <f t="shared" ca="1" si="20"/>
        <v>1</v>
      </c>
      <c r="BJ44" s="16">
        <f t="shared" ca="1" si="21"/>
        <v>2</v>
      </c>
      <c r="BK44" s="16">
        <f t="shared" ca="1" si="22"/>
        <v>2</v>
      </c>
      <c r="BL44" s="16">
        <f t="shared" ca="1" si="23"/>
        <v>0</v>
      </c>
      <c r="BM44" s="16" t="str">
        <f t="shared" ca="1" si="24"/>
        <v>2J</v>
      </c>
      <c r="BN44" s="16" t="str">
        <f t="shared" ca="1" si="25"/>
        <v>2J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8"/>
        <v>-</v>
      </c>
      <c r="BV44" s="16" t="str">
        <f t="shared" ca="1" si="29"/>
        <v>-</v>
      </c>
      <c r="BW44" s="16" t="str">
        <f t="shared" ca="1" si="30"/>
        <v>-</v>
      </c>
      <c r="BX44" s="16" t="str">
        <f t="shared" ca="1" si="31"/>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32"/>
        <v>-</v>
      </c>
      <c r="CB44" s="16" t="str">
        <f t="shared" ca="1" si="33"/>
        <v>-</v>
      </c>
      <c r="CC44" s="16" t="str">
        <f t="shared" ca="1" si="34"/>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35"/>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6"/>
        <v>-</v>
      </c>
      <c r="CJ44" s="16" t="str">
        <f t="shared" ca="1" si="37"/>
        <v>-</v>
      </c>
      <c r="CK44" s="16" t="str">
        <f t="shared" ca="1" si="38"/>
        <v>-</v>
      </c>
      <c r="CL44" s="16" t="str">
        <f t="shared" ca="1" si="39"/>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40"/>
        <v>-</v>
      </c>
      <c r="CP44" s="16" t="str">
        <f t="shared" ca="1" si="41"/>
        <v>-</v>
      </c>
      <c r="CQ44" s="16" t="str">
        <f t="shared" ca="1" si="42"/>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43"/>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44"/>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46"/>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47"/>
        <v>3</v>
      </c>
      <c r="DK44" s="16">
        <f t="shared" ca="1" si="48"/>
        <v>12</v>
      </c>
      <c r="DL44" s="16">
        <f t="shared" ca="1" si="49"/>
        <v>1</v>
      </c>
      <c r="DM44" s="16" t="str">
        <f t="shared" ca="1" si="50"/>
        <v>3.1</v>
      </c>
      <c r="DN44" s="16">
        <f t="array" aca="1" ref="DN44" ca="1">OFFSET(Horarios!$P$3,DJ44-1,0,DL44,1)</f>
        <v>3</v>
      </c>
      <c r="DO44" s="16"/>
      <c r="DP44" s="16" t="s">
        <v>126</v>
      </c>
      <c r="DQ44" s="16" t="str">
        <f t="shared" ca="1" si="51"/>
        <v>Argelia</v>
      </c>
    </row>
    <row r="45" spans="1:121" ht="16" customHeight="1" x14ac:dyDescent="0.2">
      <c r="A45" s="16" t="str">
        <f ca="1">+Equipos!B22</f>
        <v>Países Bajos</v>
      </c>
      <c r="B45" s="16"/>
      <c r="C45" s="16"/>
      <c r="D45" s="16" t="str">
        <f t="shared" si="116"/>
        <v>Empate</v>
      </c>
      <c r="E45" s="16" t="str">
        <f t="shared" ca="1" si="117"/>
        <v>P.3 (2)</v>
      </c>
      <c r="F45" s="16" t="str">
        <f t="shared" ca="1" si="118"/>
        <v>P.3 (2)</v>
      </c>
      <c r="G45" s="16"/>
      <c r="H45" s="16" t="str">
        <f t="shared" ca="1" si="119"/>
        <v>P.3 (2)</v>
      </c>
      <c r="I45" s="16" t="str">
        <f t="shared" ca="1" si="120"/>
        <v>P.3 (2)</v>
      </c>
      <c r="J45" s="16"/>
      <c r="K45" s="16" t="str">
        <f t="shared" ca="1" si="121"/>
        <v>P.3 (2)</v>
      </c>
      <c r="L45" s="16" t="str">
        <f t="shared" ca="1" si="122"/>
        <v>P.3 (2)</v>
      </c>
      <c r="M45" s="16"/>
      <c r="N45" s="16" t="str">
        <f t="shared" ca="1" si="123"/>
        <v>P.3 (2)</v>
      </c>
      <c r="O45" s="16" t="str">
        <f t="shared" ca="1" si="124"/>
        <v>P.3 (2)</v>
      </c>
      <c r="P45" s="16"/>
      <c r="Q45" s="16" t="str">
        <f t="shared" ca="1" si="125"/>
        <v>P.3 (2)</v>
      </c>
      <c r="R45" s="16" t="str">
        <f t="shared" ca="1" si="126"/>
        <v>P.3 (2)</v>
      </c>
      <c r="S45" s="16"/>
      <c r="T45" s="16" t="str">
        <f t="shared" ca="1" si="127"/>
        <v>P.3 (2)</v>
      </c>
      <c r="U45" s="16" t="str">
        <f t="shared" ca="1" si="128"/>
        <v>P.3 (2)</v>
      </c>
      <c r="V45" s="17"/>
      <c r="W45" s="631"/>
      <c r="X45" s="24">
        <f ca="1">Horarios!C45</f>
        <v>46187.916666666657</v>
      </c>
      <c r="Y45" s="25">
        <f ca="1">Horarios!C45</f>
        <v>46187.916666666657</v>
      </c>
      <c r="Z45" s="26" t="str">
        <f>$Z$4</f>
        <v>J1</v>
      </c>
      <c r="AA45" s="27" t="str">
        <f ca="1">A47</f>
        <v>Suecia</v>
      </c>
      <c r="AB45" s="49" t="str">
        <f t="array" aca="1" ref="AB45" ca="1">Ver_flag_local</f>
        <v/>
      </c>
      <c r="AC45" s="50">
        <v>1</v>
      </c>
      <c r="AD45" s="51">
        <v>1</v>
      </c>
      <c r="AE45" s="581"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17"/>
        <v>3</v>
      </c>
      <c r="BG45" s="16">
        <f t="shared" ca="1" si="18"/>
        <v>0</v>
      </c>
      <c r="BH45" s="16">
        <f t="shared" ca="1" si="19"/>
        <v>1</v>
      </c>
      <c r="BI45" s="16">
        <f t="shared" ca="1" si="20"/>
        <v>2</v>
      </c>
      <c r="BJ45" s="16">
        <f t="shared" ca="1" si="21"/>
        <v>1</v>
      </c>
      <c r="BK45" s="16">
        <f t="shared" ca="1" si="22"/>
        <v>7</v>
      </c>
      <c r="BL45" s="16">
        <f t="shared" ca="1" si="23"/>
        <v>-6</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1</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127</v>
      </c>
      <c r="DQ45" s="16" t="str">
        <f t="shared" ca="1" si="51"/>
        <v>Jordania</v>
      </c>
    </row>
    <row r="46" spans="1:121" ht="16" customHeight="1" x14ac:dyDescent="0.2">
      <c r="A46" s="16" t="str">
        <f ca="1">+Equipos!B23</f>
        <v>Japón</v>
      </c>
      <c r="B46" s="16"/>
      <c r="C46" s="16"/>
      <c r="D46" s="16" t="str">
        <f t="shared" si="116"/>
        <v>Local</v>
      </c>
      <c r="E46" s="16" t="str">
        <f t="shared" ca="1" si="117"/>
        <v>-</v>
      </c>
      <c r="F46" s="16" t="str">
        <f t="shared" ca="1" si="118"/>
        <v>P.3 (2)</v>
      </c>
      <c r="G46" s="16"/>
      <c r="H46" s="16" t="str">
        <f t="shared" ca="1" si="119"/>
        <v>-</v>
      </c>
      <c r="I46" s="16" t="str">
        <f t="shared" ca="1" si="120"/>
        <v>P.3 (2)</v>
      </c>
      <c r="J46" s="16"/>
      <c r="K46" s="16" t="str">
        <f t="shared" ca="1" si="121"/>
        <v>-</v>
      </c>
      <c r="L46" s="16" t="str">
        <f t="shared" ca="1" si="122"/>
        <v>P.3 (2)</v>
      </c>
      <c r="M46" s="16"/>
      <c r="N46" s="16" t="str">
        <f t="shared" ca="1" si="123"/>
        <v>-</v>
      </c>
      <c r="O46" s="16" t="str">
        <f t="shared" ca="1" si="124"/>
        <v>P.3 (2)</v>
      </c>
      <c r="P46" s="16"/>
      <c r="Q46" s="16" t="str">
        <f t="shared" ca="1" si="125"/>
        <v>-</v>
      </c>
      <c r="R46" s="16" t="str">
        <f t="shared" ca="1" si="126"/>
        <v>P.3 (2)</v>
      </c>
      <c r="S46" s="16"/>
      <c r="T46" s="16" t="str">
        <f t="shared" ca="1" si="127"/>
        <v>-</v>
      </c>
      <c r="U46" s="16" t="str">
        <f t="shared" ca="1" si="128"/>
        <v>P.3 (2)</v>
      </c>
      <c r="V46" s="17"/>
      <c r="W46" s="631"/>
      <c r="X46" s="24">
        <f ca="1">Horarios!C46</f>
        <v>46193.541666666657</v>
      </c>
      <c r="Y46" s="25">
        <f ca="1">Horarios!C46</f>
        <v>46193.541666666657</v>
      </c>
      <c r="Z46" s="26" t="str">
        <f>$Z$6</f>
        <v>J2</v>
      </c>
      <c r="AA46" s="27" t="str">
        <f ca="1">A45</f>
        <v>Países Bajos</v>
      </c>
      <c r="AB46" s="49" t="str">
        <f t="array" aca="1" ref="AB46" ca="1">Ver_flag_local</f>
        <v/>
      </c>
      <c r="AC46" s="50">
        <v>2</v>
      </c>
      <c r="AD46" s="51">
        <v>0</v>
      </c>
      <c r="AE46" s="581" t="str">
        <f t="array" aca="1" ref="AE46" ca="1">Ver_flag_visit</f>
        <v/>
      </c>
      <c r="AF46" s="32" t="str">
        <f ca="1">A47</f>
        <v>Suecia</v>
      </c>
      <c r="AG46" s="316">
        <f t="shared" si="129"/>
        <v>1</v>
      </c>
      <c r="AH46" s="195">
        <v>35</v>
      </c>
      <c r="AI46" s="181" t="str">
        <f>AJ46&amp;$B$44</f>
        <v>1F</v>
      </c>
      <c r="AJ46" s="40">
        <v>1</v>
      </c>
      <c r="AK46" s="587"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7</v>
      </c>
      <c r="AS46" s="36">
        <f t="shared" ca="1" si="131"/>
        <v>1</v>
      </c>
      <c r="AT46" s="41">
        <f t="shared" ca="1" si="131"/>
        <v>6</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9</v>
      </c>
      <c r="BK46" s="16">
        <f t="shared" ca="1" si="22"/>
        <v>1</v>
      </c>
      <c r="BL46" s="16">
        <f t="shared" ca="1" si="23"/>
        <v>8</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128</v>
      </c>
      <c r="DQ46" s="16" t="str">
        <f t="shared" ca="1" si="51"/>
        <v>Portugal</v>
      </c>
    </row>
    <row r="47" spans="1:121" ht="16" customHeight="1" x14ac:dyDescent="0.2">
      <c r="A47" s="16" t="str">
        <f ca="1">+Equipos!B24</f>
        <v>Suecia</v>
      </c>
      <c r="B47" s="16"/>
      <c r="C47" s="16"/>
      <c r="D47" s="16" t="str">
        <f t="shared" si="116"/>
        <v>Visitante</v>
      </c>
      <c r="E47" s="16" t="str">
        <f t="shared" ca="1" si="117"/>
        <v>P.3 (2)</v>
      </c>
      <c r="F47" s="16" t="str">
        <f t="shared" ca="1" si="118"/>
        <v>-</v>
      </c>
      <c r="G47" s="16"/>
      <c r="H47" s="16" t="str">
        <f t="shared" ca="1" si="119"/>
        <v>P.3 (2)</v>
      </c>
      <c r="I47" s="16" t="str">
        <f t="shared" ca="1" si="120"/>
        <v>-</v>
      </c>
      <c r="J47" s="16"/>
      <c r="K47" s="16" t="str">
        <f t="shared" ca="1" si="121"/>
        <v>P.3 (2)</v>
      </c>
      <c r="L47" s="16" t="str">
        <f t="shared" ca="1" si="122"/>
        <v>-</v>
      </c>
      <c r="M47" s="16"/>
      <c r="N47" s="16" t="str">
        <f t="shared" ca="1" si="123"/>
        <v>P.3 (2)</v>
      </c>
      <c r="O47" s="16" t="str">
        <f t="shared" ca="1" si="124"/>
        <v>-</v>
      </c>
      <c r="P47" s="16"/>
      <c r="Q47" s="16" t="str">
        <f t="shared" ca="1" si="125"/>
        <v>P.3 (2)</v>
      </c>
      <c r="R47" s="16" t="str">
        <f t="shared" ca="1" si="126"/>
        <v>-</v>
      </c>
      <c r="S47" s="16"/>
      <c r="T47" s="16" t="str">
        <f t="shared" ca="1" si="127"/>
        <v>P.3 (2)</v>
      </c>
      <c r="U47" s="16" t="str">
        <f t="shared" ca="1" si="128"/>
        <v>-</v>
      </c>
      <c r="V47" s="17"/>
      <c r="W47" s="631"/>
      <c r="X47" s="24">
        <f ca="1">Horarios!C47</f>
        <v>46194</v>
      </c>
      <c r="Y47" s="25">
        <f ca="1">Horarios!C47</f>
        <v>46194</v>
      </c>
      <c r="Z47" s="26" t="str">
        <f>$Z$6</f>
        <v>J2</v>
      </c>
      <c r="AA47" s="27" t="str">
        <f ca="1">A48</f>
        <v>Túnez</v>
      </c>
      <c r="AB47" s="49" t="str">
        <f t="array" aca="1" ref="AB47" ca="1">Ver_flag_local</f>
        <v/>
      </c>
      <c r="AC47" s="50">
        <v>0</v>
      </c>
      <c r="AD47" s="51">
        <v>2</v>
      </c>
      <c r="AE47" s="581" t="str">
        <f t="array" aca="1" ref="AE47" ca="1">Ver_flag_visit</f>
        <v/>
      </c>
      <c r="AF47" s="32" t="str">
        <f ca="1">A46</f>
        <v>Japón</v>
      </c>
      <c r="AG47" s="316">
        <f t="shared" si="129"/>
        <v>1</v>
      </c>
      <c r="AH47" s="195">
        <v>36</v>
      </c>
      <c r="AI47" s="181" t="str">
        <f>AJ47&amp;$B$44</f>
        <v>2F</v>
      </c>
      <c r="AJ47" s="42">
        <v>2</v>
      </c>
      <c r="AK47" s="588" t="str">
        <f t="array" aca="1" ref="AK47" ca="1">Ver_flag_visit</f>
        <v/>
      </c>
      <c r="AL47" s="37" t="str">
        <f ca="1">IFERROR(INDEX($BD$6:$BD$53,MATCH(AI47,$BN$6:$BN$53,0)),"")</f>
        <v>Japón</v>
      </c>
      <c r="AM47" s="38">
        <f t="shared" ca="1" si="131"/>
        <v>6</v>
      </c>
      <c r="AN47" s="39">
        <f t="shared" ca="1" si="131"/>
        <v>3</v>
      </c>
      <c r="AO47" s="39">
        <f t="shared" ca="1" si="131"/>
        <v>2</v>
      </c>
      <c r="AP47" s="39">
        <f t="shared" ca="1" si="131"/>
        <v>0</v>
      </c>
      <c r="AQ47" s="39">
        <f t="shared" ca="1" si="131"/>
        <v>1</v>
      </c>
      <c r="AR47" s="39">
        <f t="shared" ca="1" si="131"/>
        <v>5</v>
      </c>
      <c r="AS47" s="39">
        <f t="shared" ca="1" si="131"/>
        <v>3</v>
      </c>
      <c r="AT47" s="43">
        <f t="shared" ca="1" si="131"/>
        <v>2</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17"/>
        <v>3</v>
      </c>
      <c r="BG47" s="16">
        <f t="shared" ca="1" si="18"/>
        <v>0</v>
      </c>
      <c r="BH47" s="16">
        <f t="shared" ca="1" si="19"/>
        <v>1</v>
      </c>
      <c r="BI47" s="16">
        <f t="shared" ca="1" si="20"/>
        <v>2</v>
      </c>
      <c r="BJ47" s="16">
        <f t="shared" ca="1" si="21"/>
        <v>1</v>
      </c>
      <c r="BK47" s="16">
        <f t="shared" ca="1" si="22"/>
        <v>6</v>
      </c>
      <c r="BL47" s="16">
        <f t="shared" ca="1" si="23"/>
        <v>-5</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8"/>
        <v>0</v>
      </c>
      <c r="BV47" s="16">
        <f t="shared" ca="1" si="29"/>
        <v>1</v>
      </c>
      <c r="BW47" s="16">
        <f t="shared" ca="1" si="30"/>
        <v>0</v>
      </c>
      <c r="BX47" s="16">
        <f t="shared" ca="1" si="31"/>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32"/>
        <v>1</v>
      </c>
      <c r="CB47" s="16">
        <f t="shared" ca="1" si="33"/>
        <v>1</v>
      </c>
      <c r="CC47" s="16">
        <f t="shared" ca="1" si="34"/>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35"/>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6"/>
        <v>0</v>
      </c>
      <c r="CJ47" s="16">
        <f t="shared" ca="1" si="37"/>
        <v>1</v>
      </c>
      <c r="CK47" s="16">
        <f t="shared" ca="1" si="38"/>
        <v>0</v>
      </c>
      <c r="CL47" s="16">
        <f t="shared" ca="1" si="39"/>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40"/>
        <v>1</v>
      </c>
      <c r="CP47" s="16">
        <f t="shared" ca="1" si="41"/>
        <v>1</v>
      </c>
      <c r="CQ47" s="16">
        <f t="shared" ca="1" si="42"/>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43"/>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44"/>
        <v>-5</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45"/>
        <v>1</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P.3 (2)</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3</v>
      </c>
      <c r="DE47" s="16"/>
      <c r="DF47" s="16">
        <f t="shared" ca="1" si="46"/>
        <v>1.0029999999999999</v>
      </c>
      <c r="DG47" s="16">
        <f ca="1">IF(DB47="-","-",COUNTIFS(DF$6:DF$53,"&lt;"&amp;DF47,$BC$6:$BC$53,INDEX(T_Equipos[Grupo],MATCH(BD47,T_Equipos[NombreEquipo],0))))</f>
        <v>1</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129</v>
      </c>
      <c r="DQ47" s="16" t="str">
        <f t="shared" ca="1" si="51"/>
        <v>Colombia</v>
      </c>
    </row>
    <row r="48" spans="1:121" ht="16" customHeight="1" x14ac:dyDescent="0.2">
      <c r="A48" s="16" t="str">
        <f ca="1">+Equipos!B25</f>
        <v>Túnez</v>
      </c>
      <c r="B48" s="16"/>
      <c r="C48" s="16"/>
      <c r="D48" s="16" t="str">
        <f t="shared" si="116"/>
        <v>Local</v>
      </c>
      <c r="E48" s="16" t="str">
        <f t="shared" ca="1" si="117"/>
        <v>-</v>
      </c>
      <c r="F48" s="16" t="str">
        <f t="shared" ca="1" si="118"/>
        <v>P.3 (2)</v>
      </c>
      <c r="G48" s="16"/>
      <c r="H48" s="16" t="str">
        <f t="shared" ca="1" si="119"/>
        <v>-</v>
      </c>
      <c r="I48" s="16" t="str">
        <f t="shared" ca="1" si="120"/>
        <v>P.3 (2)</v>
      </c>
      <c r="J48" s="16"/>
      <c r="K48" s="16" t="str">
        <f t="shared" ca="1" si="121"/>
        <v>-</v>
      </c>
      <c r="L48" s="16" t="str">
        <f t="shared" ca="1" si="122"/>
        <v>P.3 (2)</v>
      </c>
      <c r="M48" s="16"/>
      <c r="N48" s="16" t="str">
        <f t="shared" ca="1" si="123"/>
        <v>-</v>
      </c>
      <c r="O48" s="16" t="str">
        <f t="shared" ca="1" si="124"/>
        <v>P.3 (2)</v>
      </c>
      <c r="P48" s="16"/>
      <c r="Q48" s="16" t="str">
        <f t="shared" ca="1" si="125"/>
        <v>-</v>
      </c>
      <c r="R48" s="16" t="str">
        <f t="shared" ca="1" si="126"/>
        <v>P.3 (2)</v>
      </c>
      <c r="S48" s="16"/>
      <c r="T48" s="16" t="str">
        <f t="shared" ca="1" si="127"/>
        <v>-</v>
      </c>
      <c r="U48" s="16" t="str">
        <f t="shared" ca="1" si="128"/>
        <v>P.3 (2)</v>
      </c>
      <c r="V48" s="17"/>
      <c r="W48" s="631"/>
      <c r="X48" s="24">
        <f ca="1">Horarios!C48</f>
        <v>46198.791666666657</v>
      </c>
      <c r="Y48" s="25">
        <f ca="1">Horarios!C48</f>
        <v>46198.791666666657</v>
      </c>
      <c r="Z48" s="26" t="str">
        <f>$Z$8</f>
        <v>J3</v>
      </c>
      <c r="AA48" s="27" t="str">
        <f ca="1">A46</f>
        <v>Japón</v>
      </c>
      <c r="AB48" s="49" t="str">
        <f t="array" aca="1" ref="AB48" ca="1">Ver_flag_local</f>
        <v/>
      </c>
      <c r="AC48" s="50">
        <v>2</v>
      </c>
      <c r="AD48" s="51">
        <v>1</v>
      </c>
      <c r="AE48" s="581" t="str">
        <f t="array" aca="1" ref="AE48" ca="1">Ver_flag_visit</f>
        <v/>
      </c>
      <c r="AF48" s="32" t="str">
        <f ca="1">A47</f>
        <v>Suecia</v>
      </c>
      <c r="AG48" s="316">
        <f t="shared" si="129"/>
        <v>1</v>
      </c>
      <c r="AH48" s="195">
        <v>57</v>
      </c>
      <c r="AI48" s="181" t="str">
        <f>AJ48&amp;$B$44</f>
        <v>3F</v>
      </c>
      <c r="AJ48" s="42">
        <v>3</v>
      </c>
      <c r="AK48" s="588" t="str">
        <f t="array" aca="1" ref="AK48" ca="1">Ver_flag_visit</f>
        <v/>
      </c>
      <c r="AL48" s="37" t="str">
        <f ca="1">IFERROR(INDEX($BD$6:$BD$53,MATCH(AI48,$BN$6:$BN$53,0)),"")</f>
        <v>Suecia</v>
      </c>
      <c r="AM48" s="38">
        <f t="shared" ca="1" si="131"/>
        <v>1</v>
      </c>
      <c r="AN48" s="39">
        <f t="shared" ca="1" si="131"/>
        <v>3</v>
      </c>
      <c r="AO48" s="39">
        <f t="shared" ca="1" si="131"/>
        <v>0</v>
      </c>
      <c r="AP48" s="39">
        <f t="shared" ca="1" si="131"/>
        <v>1</v>
      </c>
      <c r="AQ48" s="39">
        <f t="shared" ca="1" si="131"/>
        <v>2</v>
      </c>
      <c r="AR48" s="39">
        <f t="shared" ca="1" si="131"/>
        <v>2</v>
      </c>
      <c r="AS48" s="39">
        <f t="shared" ca="1" si="131"/>
        <v>5</v>
      </c>
      <c r="AT48" s="43">
        <f t="shared" ca="1" si="131"/>
        <v>-3</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17"/>
        <v>3</v>
      </c>
      <c r="BG48" s="16">
        <f t="shared" ca="1" si="18"/>
        <v>0</v>
      </c>
      <c r="BH48" s="16">
        <f t="shared" ca="1" si="19"/>
        <v>1</v>
      </c>
      <c r="BI48" s="16">
        <f t="shared" ca="1" si="20"/>
        <v>2</v>
      </c>
      <c r="BJ48" s="16">
        <f t="shared" ca="1" si="21"/>
        <v>1</v>
      </c>
      <c r="BK48" s="16">
        <f t="shared" ca="1" si="22"/>
        <v>6</v>
      </c>
      <c r="BL48" s="16">
        <f t="shared" ca="1" si="23"/>
        <v>-5</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8"/>
        <v>0</v>
      </c>
      <c r="BV48" s="16">
        <f t="shared" ca="1" si="29"/>
        <v>1</v>
      </c>
      <c r="BW48" s="16">
        <f t="shared" ca="1" si="30"/>
        <v>0</v>
      </c>
      <c r="BX48" s="16">
        <f t="shared" ca="1" si="31"/>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32"/>
        <v>1</v>
      </c>
      <c r="CB48" s="16">
        <f t="shared" ca="1" si="33"/>
        <v>1</v>
      </c>
      <c r="CC48" s="16">
        <f t="shared" ca="1" si="34"/>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35"/>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6"/>
        <v>0</v>
      </c>
      <c r="CJ48" s="16">
        <f t="shared" ca="1" si="37"/>
        <v>1</v>
      </c>
      <c r="CK48" s="16">
        <f t="shared" ca="1" si="38"/>
        <v>0</v>
      </c>
      <c r="CL48" s="16">
        <f t="shared" ca="1" si="39"/>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40"/>
        <v>1</v>
      </c>
      <c r="CP48" s="16">
        <f t="shared" ca="1" si="41"/>
        <v>1</v>
      </c>
      <c r="CQ48" s="16">
        <f t="shared" ca="1" si="42"/>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43"/>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44"/>
        <v>-5</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45"/>
        <v>1</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P.3 (2)</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4</v>
      </c>
      <c r="DE48" s="16"/>
      <c r="DF48" s="16">
        <f t="shared" ca="1" si="46"/>
        <v>2.004</v>
      </c>
      <c r="DG48" s="16">
        <f ca="1">IF(DB48="-","-",COUNTIFS(DF$6:DF$53,"&lt;"&amp;DF48,$BC$6:$BC$53,INDEX(T_Equipos[Grupo],MATCH(BD48,T_Equipos[NombreEquipo],0))))</f>
        <v>3</v>
      </c>
      <c r="DH48" s="16">
        <f ca="1">DA48+COUNTIFS(DB$6:DB$53,DB48,DG$6:DG$53,"&lt;"&amp;DG48,$BC$6:$BC$53,INDEX(T_Equipos[Grupo],MATCH(BD48,T_Equipos[NombreEquipo],0)))</f>
        <v>4</v>
      </c>
      <c r="DI48" s="16"/>
      <c r="DJ48" s="16">
        <f t="shared" ca="1" si="47"/>
        <v>3</v>
      </c>
      <c r="DK48" s="16">
        <f t="shared" ca="1" si="48"/>
        <v>12</v>
      </c>
      <c r="DL48" s="16">
        <f t="shared" ca="1" si="49"/>
        <v>2</v>
      </c>
      <c r="DM48" s="16" t="str">
        <f t="shared" ca="1" si="50"/>
        <v>3.2</v>
      </c>
      <c r="DN48" s="16">
        <f t="array" aca="1" ref="DN48" ca="1">OFFSET(Horarios!$P$3,DJ48-1,0,DL48,1)</f>
        <v>3</v>
      </c>
      <c r="DO48" s="16"/>
      <c r="DP48" s="16" t="s">
        <v>130</v>
      </c>
      <c r="DQ48" s="16" t="str">
        <f t="shared" ca="1" si="51"/>
        <v>RD Congo</v>
      </c>
    </row>
    <row r="49" spans="1:121" ht="16" customHeight="1" thickBot="1" x14ac:dyDescent="0.25">
      <c r="A49" s="16"/>
      <c r="B49" s="16"/>
      <c r="C49" s="16"/>
      <c r="D49" s="16" t="str">
        <f t="shared" si="116"/>
        <v>Visitante</v>
      </c>
      <c r="E49" s="16" t="str">
        <f t="shared" ca="1" si="117"/>
        <v>P.3 (2)</v>
      </c>
      <c r="F49" s="16" t="str">
        <f t="shared" ca="1" si="118"/>
        <v>-</v>
      </c>
      <c r="G49" s="16"/>
      <c r="H49" s="16" t="str">
        <f t="shared" ca="1" si="119"/>
        <v>P.3 (2)</v>
      </c>
      <c r="I49" s="16" t="str">
        <f t="shared" ca="1" si="120"/>
        <v>-</v>
      </c>
      <c r="J49" s="16"/>
      <c r="K49" s="16" t="str">
        <f t="shared" ca="1" si="121"/>
        <v>P.3 (2)</v>
      </c>
      <c r="L49" s="16" t="str">
        <f t="shared" ca="1" si="122"/>
        <v>-</v>
      </c>
      <c r="M49" s="16"/>
      <c r="N49" s="16" t="str">
        <f t="shared" ca="1" si="123"/>
        <v>P.3 (2)</v>
      </c>
      <c r="O49" s="16" t="str">
        <f t="shared" ca="1" si="124"/>
        <v>-</v>
      </c>
      <c r="P49" s="16"/>
      <c r="Q49" s="16" t="str">
        <f t="shared" ca="1" si="125"/>
        <v>P.3 (2)</v>
      </c>
      <c r="R49" s="16" t="str">
        <f t="shared" ca="1" si="126"/>
        <v>-</v>
      </c>
      <c r="S49" s="16"/>
      <c r="T49" s="16" t="str">
        <f t="shared" ca="1" si="127"/>
        <v>P.3 (2)</v>
      </c>
      <c r="U49" s="16" t="str">
        <f t="shared" ca="1" si="128"/>
        <v>-</v>
      </c>
      <c r="V49" s="17"/>
      <c r="W49" s="632"/>
      <c r="X49" s="28">
        <f ca="1">Horarios!C49</f>
        <v>46198.791666666657</v>
      </c>
      <c r="Y49" s="29">
        <f ca="1">Horarios!C49</f>
        <v>46198.791666666657</v>
      </c>
      <c r="Z49" s="30" t="str">
        <f>$Z$8</f>
        <v>J3</v>
      </c>
      <c r="AA49" s="31" t="str">
        <f ca="1">A48</f>
        <v>Túnez</v>
      </c>
      <c r="AB49" s="52" t="str">
        <f t="array" aca="1" ref="AB49" ca="1">Ver_flag_local</f>
        <v/>
      </c>
      <c r="AC49" s="53">
        <v>0</v>
      </c>
      <c r="AD49" s="54">
        <v>3</v>
      </c>
      <c r="AE49" s="582" t="str">
        <f t="array" aca="1" ref="AE49" ca="1">Ver_flag_visit</f>
        <v/>
      </c>
      <c r="AF49" s="33" t="str">
        <f ca="1">A45</f>
        <v>Países Bajos</v>
      </c>
      <c r="AG49" s="316">
        <f t="shared" si="129"/>
        <v>1</v>
      </c>
      <c r="AH49" s="195">
        <v>58</v>
      </c>
      <c r="AI49" s="181" t="str">
        <f>AJ49&amp;$B$44</f>
        <v>4F</v>
      </c>
      <c r="AJ49" s="44">
        <v>4</v>
      </c>
      <c r="AK49" s="590" t="str">
        <f t="array" aca="1" ref="AK49" ca="1">Ver_flag_visit</f>
        <v/>
      </c>
      <c r="AL49" s="45" t="str">
        <f ca="1">IFERROR(INDEX($BD$6:$BD$53,MATCH(AI49,$BN$6:$BN$53,0)),"")</f>
        <v>Túnez</v>
      </c>
      <c r="AM49" s="46">
        <f t="shared" ca="1" si="131"/>
        <v>1</v>
      </c>
      <c r="AN49" s="47">
        <f t="shared" ca="1" si="131"/>
        <v>3</v>
      </c>
      <c r="AO49" s="47">
        <f t="shared" ca="1" si="131"/>
        <v>0</v>
      </c>
      <c r="AP49" s="47">
        <f t="shared" ca="1" si="131"/>
        <v>1</v>
      </c>
      <c r="AQ49" s="47">
        <f t="shared" ca="1" si="131"/>
        <v>2</v>
      </c>
      <c r="AR49" s="47">
        <f t="shared" ca="1" si="131"/>
        <v>1</v>
      </c>
      <c r="AS49" s="47">
        <f t="shared" ca="1" si="131"/>
        <v>6</v>
      </c>
      <c r="AT49" s="48">
        <f t="shared" ca="1" si="131"/>
        <v>-5</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17"/>
        <v>3</v>
      </c>
      <c r="BG49" s="16">
        <f t="shared" ca="1" si="18"/>
        <v>2</v>
      </c>
      <c r="BH49" s="16">
        <f t="shared" ca="1" si="19"/>
        <v>0</v>
      </c>
      <c r="BI49" s="16">
        <f t="shared" ca="1" si="20"/>
        <v>1</v>
      </c>
      <c r="BJ49" s="16">
        <f t="shared" ca="1" si="21"/>
        <v>5</v>
      </c>
      <c r="BK49" s="16">
        <f t="shared" ca="1" si="22"/>
        <v>3</v>
      </c>
      <c r="BL49" s="16">
        <f t="shared" ca="1" si="23"/>
        <v>2</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3</v>
      </c>
      <c r="DK49" s="16">
        <f t="shared" ca="1" si="48"/>
        <v>12</v>
      </c>
      <c r="DL49" s="16">
        <f t="shared" ca="1" si="49"/>
        <v>2</v>
      </c>
      <c r="DM49" s="16" t="str">
        <f t="shared" ca="1" si="50"/>
        <v>3.2</v>
      </c>
      <c r="DN49" s="16">
        <f t="array" aca="1" ref="DN49" ca="1">OFFSET(Horarios!$P$3,DJ49-1,0,DL49,1)</f>
        <v>3</v>
      </c>
      <c r="DO49" s="16"/>
      <c r="DP49" s="16" t="s">
        <v>131</v>
      </c>
      <c r="DQ49" s="16" t="str">
        <f t="shared" ca="1" si="51"/>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17"/>
        <v>3</v>
      </c>
      <c r="BG50" s="16">
        <f t="shared" ca="1" si="18"/>
        <v>3</v>
      </c>
      <c r="BH50" s="16">
        <f t="shared" ca="1" si="19"/>
        <v>0</v>
      </c>
      <c r="BI50" s="16">
        <f t="shared" ca="1" si="20"/>
        <v>0</v>
      </c>
      <c r="BJ50" s="16">
        <f t="shared" ca="1" si="21"/>
        <v>7</v>
      </c>
      <c r="BK50" s="16">
        <f t="shared" ca="1" si="22"/>
        <v>2</v>
      </c>
      <c r="BL50" s="16">
        <f t="shared" ca="1" si="23"/>
        <v>5</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132</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6"/>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6</v>
      </c>
      <c r="BF51" s="16">
        <f t="shared" ca="1" si="17"/>
        <v>3</v>
      </c>
      <c r="BG51" s="16">
        <f t="shared" ca="1" si="18"/>
        <v>2</v>
      </c>
      <c r="BH51" s="16">
        <f t="shared" ca="1" si="19"/>
        <v>0</v>
      </c>
      <c r="BI51" s="16">
        <f t="shared" ca="1" si="20"/>
        <v>1</v>
      </c>
      <c r="BJ51" s="16">
        <f t="shared" ca="1" si="21"/>
        <v>4</v>
      </c>
      <c r="BK51" s="16">
        <f t="shared" ca="1" si="22"/>
        <v>3</v>
      </c>
      <c r="BL51" s="16">
        <f t="shared" ca="1" si="23"/>
        <v>1</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133</v>
      </c>
      <c r="DQ51" s="16" t="str">
        <f t="shared" ca="1" si="51"/>
        <v>Croacia</v>
      </c>
    </row>
    <row r="52" spans="1:121" ht="16" customHeight="1" thickBot="1" x14ac:dyDescent="0.25">
      <c r="A52" s="16" t="s">
        <v>28</v>
      </c>
      <c r="B52" s="16" t="s">
        <v>134</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v>
      </c>
      <c r="G52" s="16"/>
      <c r="H52" s="16" t="str">
        <f t="shared" ref="H52:H57" ca="1" si="135">IF(D52="Pendiente","-",INDEX($BZ$6:$BZ$53,MATCH($AA52,$BD$6:$BD$53,0)))</f>
        <v>-</v>
      </c>
      <c r="I52" s="16" t="str">
        <f t="shared" ref="I52:I57" ca="1" si="136">IF(D52="Pendiente","-",INDEX($BZ$6:$BZ$53,MATCH($AF52,$BD$6:$BD$53,0)))</f>
        <v>-</v>
      </c>
      <c r="J52" s="16"/>
      <c r="K52" s="16" t="str">
        <f t="shared" ref="K52:K57" ca="1" si="137">IF(D52="Pendiente","-",INDEX($CE$6:$CE$53,MATCH($AA52,$BD$6:$BD$53,0)))</f>
        <v>-</v>
      </c>
      <c r="L52" s="16" t="str">
        <f t="shared" ref="L52:L57" ca="1" si="138">IF(D52="Pendiente","-",INDEX($CE$6:$CE$53,MATCH($AF52,$BD$6:$BD$53,0)))</f>
        <v>-</v>
      </c>
      <c r="M52" s="16"/>
      <c r="N52" s="16" t="str">
        <f t="shared" ref="N52:N57" ca="1" si="139">IF(D52="Pendiente","-",INDEX($CH$6:$CH$53,MATCH($AA52,$BD$6:$BD$53,0)))</f>
        <v>-</v>
      </c>
      <c r="O52" s="16" t="str">
        <f t="shared" ref="O52:O57" ca="1" si="140">IF(D52="Pendiente","-",INDEX($CH$6:$CH$53,MATCH($AF52,$BD$6:$BD$53,0)))</f>
        <v>-</v>
      </c>
      <c r="P52" s="16"/>
      <c r="Q52" s="16" t="str">
        <f t="shared" ref="Q52:Q57" ca="1" si="141">IF(D52="Pendiente","-",INDEX($CN$6:$CN$53,MATCH($AA52,$BD$6:$BD$53,0)))</f>
        <v>-</v>
      </c>
      <c r="R52" s="16" t="str">
        <f t="shared" ref="R52:R57" ca="1" si="142">IF(D52="Pendiente","-",INDEX($CN$6:$CN$53,MATCH($AF52,$BD$6:$BD$53,0)))</f>
        <v>-</v>
      </c>
      <c r="S52" s="16"/>
      <c r="T52" s="16" t="str">
        <f t="shared" ref="T52:T57" ca="1" si="143">IF(D52="Pendiente","-",INDEX($CS$6:$CS$53,MATCH($AA52,$BD$6:$BD$53,0)))</f>
        <v>-</v>
      </c>
      <c r="U52" s="16" t="str">
        <f t="shared" ref="U52:U57" ca="1" si="144">IF(D52="Pendiente","-",INDEX($CS$6:$CS$53,MATCH($AF52,$BD$6:$BD$53,0)))</f>
        <v>-</v>
      </c>
      <c r="V52" s="17"/>
      <c r="W52" s="644" t="s">
        <v>134</v>
      </c>
      <c r="X52" s="24">
        <f ca="1">Horarios!C52</f>
        <v>46188.625</v>
      </c>
      <c r="Y52" s="25">
        <f ca="1">Horarios!C52</f>
        <v>46188.625</v>
      </c>
      <c r="Z52" s="26" t="str">
        <f>$Z$4</f>
        <v>J1</v>
      </c>
      <c r="AA52" s="27" t="str">
        <f ca="1">A53</f>
        <v>Bélgica</v>
      </c>
      <c r="AB52" s="49" t="str">
        <f t="array" aca="1" ref="AB52" ca="1">Ver_flag_local</f>
        <v/>
      </c>
      <c r="AC52" s="50">
        <v>2</v>
      </c>
      <c r="AD52" s="51">
        <v>0</v>
      </c>
      <c r="AE52" s="581"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3</v>
      </c>
      <c r="BK52" s="16">
        <f t="shared" ca="1" si="22"/>
        <v>3</v>
      </c>
      <c r="BL52" s="16">
        <f t="shared" ca="1" si="23"/>
        <v>0</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135</v>
      </c>
      <c r="DQ52" s="16" t="str">
        <f t="shared" ca="1" si="51"/>
        <v>Ghana</v>
      </c>
    </row>
    <row r="53" spans="1:121" ht="16" customHeight="1" x14ac:dyDescent="0.2">
      <c r="A53" s="16" t="str">
        <f ca="1">+Equipos!B26</f>
        <v>Bélgica</v>
      </c>
      <c r="B53" s="16"/>
      <c r="C53" s="16"/>
      <c r="D53" s="16" t="str">
        <f t="shared" si="132"/>
        <v>Empate</v>
      </c>
      <c r="E53" s="16" t="str">
        <f t="shared" ca="1" si="133"/>
        <v>-</v>
      </c>
      <c r="F53" s="16" t="str">
        <f t="shared" ca="1" si="134"/>
        <v>-</v>
      </c>
      <c r="G53" s="16"/>
      <c r="H53" s="16" t="str">
        <f t="shared" ca="1" si="135"/>
        <v>-</v>
      </c>
      <c r="I53" s="16" t="str">
        <f t="shared" ca="1" si="136"/>
        <v>-</v>
      </c>
      <c r="J53" s="16"/>
      <c r="K53" s="16" t="str">
        <f t="shared" ca="1" si="137"/>
        <v>-</v>
      </c>
      <c r="L53" s="16" t="str">
        <f t="shared" ca="1" si="138"/>
        <v>-</v>
      </c>
      <c r="M53" s="16"/>
      <c r="N53" s="16" t="str">
        <f t="shared" ca="1" si="139"/>
        <v>-</v>
      </c>
      <c r="O53" s="16" t="str">
        <f t="shared" ca="1" si="140"/>
        <v>-</v>
      </c>
      <c r="P53" s="16"/>
      <c r="Q53" s="16" t="str">
        <f t="shared" ca="1" si="141"/>
        <v>-</v>
      </c>
      <c r="R53" s="16" t="str">
        <f t="shared" ca="1" si="142"/>
        <v>-</v>
      </c>
      <c r="S53" s="16"/>
      <c r="T53" s="16" t="str">
        <f t="shared" ca="1" si="143"/>
        <v>-</v>
      </c>
      <c r="U53" s="16" t="str">
        <f t="shared" ca="1" si="144"/>
        <v>-</v>
      </c>
      <c r="V53" s="17"/>
      <c r="W53" s="631"/>
      <c r="X53" s="24">
        <f ca="1">Horarios!C53</f>
        <v>46188.875</v>
      </c>
      <c r="Y53" s="25">
        <f ca="1">Horarios!C53</f>
        <v>46188.875</v>
      </c>
      <c r="Z53" s="26" t="str">
        <f>$Z$4</f>
        <v>J1</v>
      </c>
      <c r="AA53" s="27" t="str">
        <f ca="1">A55</f>
        <v>Irán</v>
      </c>
      <c r="AB53" s="49" t="str">
        <f t="array" aca="1" ref="AB53" ca="1">Ver_flag_local</f>
        <v/>
      </c>
      <c r="AC53" s="50">
        <v>1</v>
      </c>
      <c r="AD53" s="51">
        <v>1</v>
      </c>
      <c r="AE53" s="581"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1</v>
      </c>
      <c r="BK53" s="16">
        <f t="shared" ca="1" si="22"/>
        <v>7</v>
      </c>
      <c r="BL53" s="16">
        <f t="shared" ca="1" si="23"/>
        <v>-6</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136</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v>
      </c>
      <c r="G54" s="16"/>
      <c r="H54" s="16" t="str">
        <f t="shared" ca="1" si="135"/>
        <v>-</v>
      </c>
      <c r="I54" s="16" t="str">
        <f t="shared" ca="1" si="136"/>
        <v>-</v>
      </c>
      <c r="J54" s="16"/>
      <c r="K54" s="16" t="str">
        <f t="shared" ca="1" si="137"/>
        <v>-</v>
      </c>
      <c r="L54" s="16" t="str">
        <f t="shared" ca="1" si="138"/>
        <v>-</v>
      </c>
      <c r="M54" s="16"/>
      <c r="N54" s="16" t="str">
        <f t="shared" ca="1" si="139"/>
        <v>-</v>
      </c>
      <c r="O54" s="16" t="str">
        <f t="shared" ca="1" si="140"/>
        <v>-</v>
      </c>
      <c r="P54" s="16"/>
      <c r="Q54" s="16" t="str">
        <f t="shared" ca="1" si="141"/>
        <v>-</v>
      </c>
      <c r="R54" s="16" t="str">
        <f t="shared" ca="1" si="142"/>
        <v>-</v>
      </c>
      <c r="S54" s="16"/>
      <c r="T54" s="16" t="str">
        <f t="shared" ca="1" si="143"/>
        <v>-</v>
      </c>
      <c r="U54" s="16" t="str">
        <f t="shared" ca="1" si="144"/>
        <v>-</v>
      </c>
      <c r="V54" s="17"/>
      <c r="W54" s="631"/>
      <c r="X54" s="24">
        <f ca="1">Horarios!C54</f>
        <v>46194.625</v>
      </c>
      <c r="Y54" s="25">
        <f ca="1">Horarios!C54</f>
        <v>46194.625</v>
      </c>
      <c r="Z54" s="26" t="str">
        <f>$Z$6</f>
        <v>J2</v>
      </c>
      <c r="AA54" s="27" t="str">
        <f ca="1">A53</f>
        <v>Bélgica</v>
      </c>
      <c r="AB54" s="49" t="str">
        <f t="array" aca="1" ref="AB54" ca="1">Ver_flag_local</f>
        <v/>
      </c>
      <c r="AC54" s="50">
        <v>3</v>
      </c>
      <c r="AD54" s="51">
        <v>1</v>
      </c>
      <c r="AE54" s="581" t="str">
        <f t="array" aca="1" ref="AE54" ca="1">Ver_flag_visit</f>
        <v/>
      </c>
      <c r="AF54" s="32" t="str">
        <f ca="1">A55</f>
        <v>Irán</v>
      </c>
      <c r="AG54" s="316">
        <f t="shared" si="145"/>
        <v>1</v>
      </c>
      <c r="AH54" s="195">
        <v>39</v>
      </c>
      <c r="AI54" s="181" t="str">
        <f>AJ54&amp;$B$52</f>
        <v>1G</v>
      </c>
      <c r="AJ54" s="40">
        <v>1</v>
      </c>
      <c r="AK54" s="587"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7</v>
      </c>
      <c r="AS54" s="36">
        <f t="shared" ca="1" si="147"/>
        <v>1</v>
      </c>
      <c r="AT54" s="41">
        <f t="shared" ca="1" si="147"/>
        <v>6</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v>
      </c>
      <c r="F55" s="16" t="str">
        <f t="shared" ca="1" si="134"/>
        <v>-</v>
      </c>
      <c r="G55" s="16"/>
      <c r="H55" s="16" t="str">
        <f t="shared" ca="1" si="135"/>
        <v>-</v>
      </c>
      <c r="I55" s="16" t="str">
        <f t="shared" ca="1" si="136"/>
        <v>-</v>
      </c>
      <c r="J55" s="16"/>
      <c r="K55" s="16" t="str">
        <f t="shared" ca="1" si="137"/>
        <v>-</v>
      </c>
      <c r="L55" s="16" t="str">
        <f t="shared" ca="1" si="138"/>
        <v>-</v>
      </c>
      <c r="M55" s="16"/>
      <c r="N55" s="16" t="str">
        <f t="shared" ca="1" si="139"/>
        <v>-</v>
      </c>
      <c r="O55" s="16" t="str">
        <f t="shared" ca="1" si="140"/>
        <v>-</v>
      </c>
      <c r="P55" s="16"/>
      <c r="Q55" s="16" t="str">
        <f t="shared" ca="1" si="141"/>
        <v>-</v>
      </c>
      <c r="R55" s="16" t="str">
        <f t="shared" ca="1" si="142"/>
        <v>-</v>
      </c>
      <c r="S55" s="16"/>
      <c r="T55" s="16" t="str">
        <f t="shared" ca="1" si="143"/>
        <v>-</v>
      </c>
      <c r="U55" s="16" t="str">
        <f t="shared" ca="1" si="144"/>
        <v>-</v>
      </c>
      <c r="V55" s="17"/>
      <c r="W55" s="631"/>
      <c r="X55" s="24">
        <f ca="1">Horarios!C55</f>
        <v>46194.875</v>
      </c>
      <c r="Y55" s="25">
        <f ca="1">Horarios!C55</f>
        <v>46194.875</v>
      </c>
      <c r="Z55" s="26" t="str">
        <f>$Z$6</f>
        <v>J2</v>
      </c>
      <c r="AA55" s="27" t="str">
        <f ca="1">A56</f>
        <v>Nueva Zelanda</v>
      </c>
      <c r="AB55" s="49" t="str">
        <f t="array" aca="1" ref="AB55" ca="1">Ver_flag_local</f>
        <v/>
      </c>
      <c r="AC55" s="50">
        <v>1</v>
      </c>
      <c r="AD55" s="51">
        <v>2</v>
      </c>
      <c r="AE55" s="581" t="str">
        <f t="array" aca="1" ref="AE55" ca="1">Ver_flag_visit</f>
        <v/>
      </c>
      <c r="AF55" s="32" t="str">
        <f ca="1">A54</f>
        <v>Egipto</v>
      </c>
      <c r="AG55" s="316">
        <f t="shared" si="145"/>
        <v>1</v>
      </c>
      <c r="AH55" s="195">
        <v>40</v>
      </c>
      <c r="AI55" s="181" t="str">
        <f>AJ55&amp;$B$52</f>
        <v>2G</v>
      </c>
      <c r="AJ55" s="42">
        <v>2</v>
      </c>
      <c r="AK55" s="588" t="str">
        <f t="array" aca="1" ref="AK55" ca="1">Ver_flag_visit</f>
        <v/>
      </c>
      <c r="AL55" s="37" t="str">
        <f ca="1">IFERROR(INDEX($BD$6:$BD$53,MATCH(AI55,$BN$6:$BN$53,0)),"")</f>
        <v>Irán</v>
      </c>
      <c r="AM55" s="38">
        <f t="shared" ca="1" si="147"/>
        <v>4</v>
      </c>
      <c r="AN55" s="39">
        <f t="shared" ca="1" si="147"/>
        <v>3</v>
      </c>
      <c r="AO55" s="39">
        <f t="shared" ca="1" si="147"/>
        <v>1</v>
      </c>
      <c r="AP55" s="39">
        <f t="shared" ca="1" si="147"/>
        <v>1</v>
      </c>
      <c r="AQ55" s="39">
        <f t="shared" ca="1" si="147"/>
        <v>1</v>
      </c>
      <c r="AR55" s="39">
        <f t="shared" ca="1" si="147"/>
        <v>4</v>
      </c>
      <c r="AS55" s="39">
        <f t="shared" ca="1" si="147"/>
        <v>5</v>
      </c>
      <c r="AT55" s="43">
        <f t="shared" ca="1" si="147"/>
        <v>-1</v>
      </c>
      <c r="AU55" s="323">
        <f ca="1">INDEX($DL$6:$DL$53,MATCH(AI55,$DP$6:$DP$53,0))</f>
        <v>1</v>
      </c>
      <c r="AV55" s="182" t="str">
        <f ca="1">INDEX($BD$6:$BD$53,MATCH(AI55,$BM$6:$BM$53,0))</f>
        <v>Irán</v>
      </c>
      <c r="AW55" s="210"/>
      <c r="AX55" s="171"/>
      <c r="AY55" s="203" t="str">
        <f ca="1">+A54</f>
        <v>Egipto</v>
      </c>
      <c r="AZ55" s="204"/>
      <c r="BA55" s="176"/>
    </row>
    <row r="56" spans="1:121" ht="16" customHeight="1" x14ac:dyDescent="0.2">
      <c r="A56" s="16" t="str">
        <f ca="1">+Equipos!B29</f>
        <v>Nueva Zelanda</v>
      </c>
      <c r="B56" s="16"/>
      <c r="C56" s="16"/>
      <c r="D56" s="16" t="str">
        <f t="shared" si="132"/>
        <v>Visitante</v>
      </c>
      <c r="E56" s="16" t="str">
        <f t="shared" ca="1" si="133"/>
        <v>-</v>
      </c>
      <c r="F56" s="16" t="str">
        <f t="shared" ca="1" si="134"/>
        <v>-</v>
      </c>
      <c r="G56" s="16"/>
      <c r="H56" s="16" t="str">
        <f t="shared" ca="1" si="135"/>
        <v>-</v>
      </c>
      <c r="I56" s="16" t="str">
        <f t="shared" ca="1" si="136"/>
        <v>-</v>
      </c>
      <c r="J56" s="16"/>
      <c r="K56" s="16" t="str">
        <f t="shared" ca="1" si="137"/>
        <v>-</v>
      </c>
      <c r="L56" s="16" t="str">
        <f t="shared" ca="1" si="138"/>
        <v>-</v>
      </c>
      <c r="M56" s="16"/>
      <c r="N56" s="16" t="str">
        <f t="shared" ca="1" si="139"/>
        <v>-</v>
      </c>
      <c r="O56" s="16" t="str">
        <f t="shared" ca="1" si="140"/>
        <v>-</v>
      </c>
      <c r="P56" s="16"/>
      <c r="Q56" s="16" t="str">
        <f t="shared" ca="1" si="141"/>
        <v>-</v>
      </c>
      <c r="R56" s="16" t="str">
        <f t="shared" ca="1" si="142"/>
        <v>-</v>
      </c>
      <c r="S56" s="16"/>
      <c r="T56" s="16" t="str">
        <f t="shared" ca="1" si="143"/>
        <v>-</v>
      </c>
      <c r="U56" s="16" t="str">
        <f t="shared" ca="1" si="144"/>
        <v>-</v>
      </c>
      <c r="V56" s="17"/>
      <c r="W56" s="631"/>
      <c r="X56" s="24">
        <f ca="1">Horarios!C56</f>
        <v>46199.958333333343</v>
      </c>
      <c r="Y56" s="25">
        <f ca="1">Horarios!C56</f>
        <v>46199.958333333343</v>
      </c>
      <c r="Z56" s="26" t="str">
        <f>$Z$8</f>
        <v>J3</v>
      </c>
      <c r="AA56" s="27" t="str">
        <f ca="1">A54</f>
        <v>Egipto</v>
      </c>
      <c r="AB56" s="49" t="str">
        <f t="array" aca="1" ref="AB56" ca="1">Ver_flag_local</f>
        <v/>
      </c>
      <c r="AC56" s="50">
        <v>1</v>
      </c>
      <c r="AD56" s="51">
        <v>2</v>
      </c>
      <c r="AE56" s="581" t="str">
        <f t="array" aca="1" ref="AE56" ca="1">Ver_flag_visit</f>
        <v/>
      </c>
      <c r="AF56" s="32" t="str">
        <f ca="1">A55</f>
        <v>Irán</v>
      </c>
      <c r="AG56" s="316">
        <f t="shared" si="145"/>
        <v>1</v>
      </c>
      <c r="AH56" s="195">
        <v>63</v>
      </c>
      <c r="AI56" s="181" t="str">
        <f>AJ56&amp;$B$52</f>
        <v>3G</v>
      </c>
      <c r="AJ56" s="42">
        <v>3</v>
      </c>
      <c r="AK56" s="588" t="str">
        <f t="array" aca="1" ref="AK56" ca="1">Ver_flag_visit</f>
        <v/>
      </c>
      <c r="AL56" s="37" t="str">
        <f ca="1">IFERROR(INDEX($BD$6:$BD$53,MATCH(AI56,$BN$6:$BN$53,0)),"")</f>
        <v>Egipto</v>
      </c>
      <c r="AM56" s="38">
        <f t="shared" ca="1" si="147"/>
        <v>3</v>
      </c>
      <c r="AN56" s="39">
        <f t="shared" ca="1" si="147"/>
        <v>3</v>
      </c>
      <c r="AO56" s="39">
        <f t="shared" ca="1" si="147"/>
        <v>1</v>
      </c>
      <c r="AP56" s="39">
        <f t="shared" ca="1" si="147"/>
        <v>0</v>
      </c>
      <c r="AQ56" s="39">
        <f t="shared" ca="1" si="147"/>
        <v>2</v>
      </c>
      <c r="AR56" s="39">
        <f t="shared" ca="1" si="147"/>
        <v>3</v>
      </c>
      <c r="AS56" s="39">
        <f t="shared" ca="1" si="147"/>
        <v>5</v>
      </c>
      <c r="AT56" s="43">
        <f t="shared" ca="1" si="147"/>
        <v>-2</v>
      </c>
      <c r="AU56" s="323">
        <f ca="1">INDEX($DL$6:$DL$53,MATCH(AI56,$DP$6:$DP$53,0))</f>
        <v>1</v>
      </c>
      <c r="AV56" s="182" t="str">
        <f ca="1">INDEX($BD$6:$BD$53,MATCH(AI56,$BM$6:$BM$53,0))</f>
        <v>Egipto</v>
      </c>
      <c r="AW56" s="210"/>
      <c r="AX56" s="171"/>
      <c r="AY56" s="201" t="str">
        <f ca="1">+A55</f>
        <v>Irán</v>
      </c>
      <c r="AZ56" s="202"/>
      <c r="BA56" s="176"/>
      <c r="BB56" s="16" t="s">
        <v>137</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32"/>
      <c r="X57" s="28">
        <f ca="1">Horarios!C57</f>
        <v>46199.958333333343</v>
      </c>
      <c r="Y57" s="29">
        <f ca="1">Horarios!C57</f>
        <v>46199.958333333343</v>
      </c>
      <c r="Z57" s="30" t="str">
        <f>$Z$8</f>
        <v>J3</v>
      </c>
      <c r="AA57" s="31" t="str">
        <f ca="1">A56</f>
        <v>Nueva Zelanda</v>
      </c>
      <c r="AB57" s="52" t="str">
        <f t="array" aca="1" ref="AB57" ca="1">Ver_flag_local</f>
        <v/>
      </c>
      <c r="AC57" s="53">
        <v>0</v>
      </c>
      <c r="AD57" s="54">
        <v>2</v>
      </c>
      <c r="AE57" s="582" t="str">
        <f t="array" aca="1" ref="AE57" ca="1">Ver_flag_visit</f>
        <v/>
      </c>
      <c r="AF57" s="33" t="str">
        <f ca="1">A53</f>
        <v>Bélgica</v>
      </c>
      <c r="AG57" s="316">
        <f t="shared" si="145"/>
        <v>1</v>
      </c>
      <c r="AH57" s="195">
        <v>64</v>
      </c>
      <c r="AI57" s="181" t="str">
        <f>AJ57&amp;$B$52</f>
        <v>4G</v>
      </c>
      <c r="AJ57" s="44">
        <v>4</v>
      </c>
      <c r="AK57" s="590" t="str">
        <f t="array" aca="1" ref="AK57" ca="1">Ver_flag_visit</f>
        <v/>
      </c>
      <c r="AL57" s="45" t="str">
        <f ca="1">IFERROR(INDEX($BD$6:$BD$53,MATCH(AI57,$BN$6:$BN$53,0)),"")</f>
        <v>Nueva Zelanda</v>
      </c>
      <c r="AM57" s="46">
        <f t="shared" ca="1" si="147"/>
        <v>1</v>
      </c>
      <c r="AN57" s="47">
        <f t="shared" ca="1" si="147"/>
        <v>3</v>
      </c>
      <c r="AO57" s="47">
        <f t="shared" ca="1" si="147"/>
        <v>0</v>
      </c>
      <c r="AP57" s="47">
        <f t="shared" ca="1" si="147"/>
        <v>1</v>
      </c>
      <c r="AQ57" s="47">
        <f t="shared" ca="1" si="147"/>
        <v>2</v>
      </c>
      <c r="AR57" s="47">
        <f t="shared" ca="1" si="147"/>
        <v>2</v>
      </c>
      <c r="AS57" s="47">
        <f t="shared" ca="1" si="147"/>
        <v>5</v>
      </c>
      <c r="AT57" s="48">
        <f t="shared" ca="1" si="147"/>
        <v>-3</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36</v>
      </c>
      <c r="BS57" s="16" t="s">
        <v>37</v>
      </c>
      <c r="BT57" s="16" t="s">
        <v>38</v>
      </c>
      <c r="BU57" s="16" t="s">
        <v>65</v>
      </c>
      <c r="BV57" s="16" t="s">
        <v>43</v>
      </c>
      <c r="BW57" s="16" t="s">
        <v>44</v>
      </c>
      <c r="BX57" s="16" t="s">
        <v>68</v>
      </c>
      <c r="BY57" s="16" t="s">
        <v>48</v>
      </c>
      <c r="BZ57" s="16" t="s">
        <v>49</v>
      </c>
      <c r="CA57" s="16" t="s">
        <v>138</v>
      </c>
      <c r="CB57" s="16" t="s">
        <v>72</v>
      </c>
      <c r="CC57" s="16"/>
      <c r="CD57" s="16" t="s">
        <v>73</v>
      </c>
      <c r="CE57" s="16" t="s">
        <v>74</v>
      </c>
      <c r="CF57" s="16" t="s">
        <v>75</v>
      </c>
      <c r="DJ57" s="16" t="s">
        <v>76</v>
      </c>
      <c r="DK57" s="16"/>
      <c r="DL57" s="16" t="s">
        <v>78</v>
      </c>
      <c r="DM57" s="16" t="s">
        <v>79</v>
      </c>
      <c r="DN57" s="16" t="s">
        <v>80</v>
      </c>
      <c r="DO57" s="16"/>
      <c r="DP57" s="16" t="s">
        <v>81</v>
      </c>
      <c r="DQ57" s="16" t="s">
        <v>82</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29</v>
      </c>
      <c r="BD58" s="16" t="str">
        <f t="shared" ref="BD58:BD69" ca="1" si="149">+INDEX($BD$6:$BN$53,MATCH($BB58,$BN$6:$BN$53,0),MATCH(BD$57,$BD$5:$BN$5,0))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1</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2</v>
      </c>
      <c r="BL58" s="16">
        <f t="shared" ref="BL58:BL69" ca="1" si="151">+BJ58-BK58</f>
        <v>0</v>
      </c>
      <c r="BM58" s="16">
        <f t="shared" ref="BM58:BM69" ca="1" si="152">CB58</f>
        <v>2</v>
      </c>
      <c r="BN58" s="16">
        <f t="shared" ref="BN58:BN69" ca="1" si="153">CF58</f>
        <v>2</v>
      </c>
      <c r="BO58" s="16" t="str">
        <f t="shared" ref="BO58:BO69" si="154">"4"&amp;BC58</f>
        <v>4A</v>
      </c>
      <c r="BP58" s="16"/>
      <c r="BQ58" s="16"/>
      <c r="BR58" s="16">
        <f t="shared" ref="BR58:BR69" ca="1" si="155">+BE58</f>
        <v>4</v>
      </c>
      <c r="BS58" s="16">
        <f t="shared" ref="BS58:BS69" ca="1" si="156">COUNTIFS(BR$58:BR$69,"&gt;"&amp;BR58)+1</f>
        <v>1</v>
      </c>
      <c r="BT58" s="16" t="str">
        <f t="shared" ref="BT58:BT69" ca="1" si="157">IF(COUNTIF(BS$58:BS$69,BS58)=1,"-","Pos. "&amp;BS58&amp;" ("&amp;COUNTIF(BS$58:BS$69,BS58)&amp;")")</f>
        <v>Pos. 1 (3)</v>
      </c>
      <c r="BU58" s="16">
        <f t="shared" ref="BU58:BU69" ca="1" si="158">IF(BT58="-","-",BL58)</f>
        <v>0</v>
      </c>
      <c r="BV58" s="16">
        <f t="shared" ref="BV58:BV69" ca="1" si="159">BS58+COUNTIFS(BT$58:BT$69,BT58,BU$58:BU$69,"&gt;"&amp;BU58)</f>
        <v>2</v>
      </c>
      <c r="BW58" s="16" t="str">
        <f t="shared" ref="BW58:BW69" ca="1" si="160">IF(COUNTIF(BV$58:BV$69,BV58)=1,"-","Pos. "&amp;BV58&amp;" ("&amp;COUNTIF(BV$58:BV$69,BV58)&amp;")")</f>
        <v>-</v>
      </c>
      <c r="BX58" s="16" t="str">
        <f t="shared" ref="BX58:BX69" ca="1" si="161">IF(BW58="-","-",BJ58)</f>
        <v>-</v>
      </c>
      <c r="BY58" s="16">
        <f t="shared" ref="BY58:BY69" ca="1" si="162">BV58+COUNTIFS(BW$58:BW$69,BW58,BX$58:BX$69,"&gt;"&amp;BX58)</f>
        <v>2</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2</v>
      </c>
      <c r="CC58" s="16"/>
      <c r="CD58" s="16">
        <f t="shared" ref="CD58:CD69" ca="1" si="166">IF(OR(INDEX($AW$102:$AW$113,MATCH($BD58,$AV$102:$AV$113,0))="",BZ58="-"),CB58,INDEX($AW$102:$AW$113,MATCH($BD58,$AV$102:$AV$113,0))+CB58/1000)</f>
        <v>2</v>
      </c>
      <c r="CE58" s="16" t="str">
        <f t="shared" ref="CE58:CE69" ca="1" si="167">IF(BZ58="-","-",COUNTIF(CD$58:CD$69,"&lt;"&amp;CD58))</f>
        <v>-</v>
      </c>
      <c r="CF58" s="16">
        <f t="shared" ref="CF58:CF69" ca="1" si="168">BY58+COUNTIFS(BZ$58:BZ$69,BZ58,CE$58:CE$69,"&lt;"&amp;CE58)</f>
        <v>2</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Catar</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6"/>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89</v>
      </c>
      <c r="BD59" s="16" t="str">
        <f t="shared" ca="1" si="149"/>
        <v>Catar</v>
      </c>
      <c r="BE59" s="16">
        <f ca="1">CHOOSE($BB$57,
  (BG59*3 + BH59)+IF($AZ$3="No",0,INDEX($AZ$6:$AZ$97,MATCH(BD59,$AY$6:$AY$97,0))),
  (BG59*3 + BH59)+IF($AZ$3="No",0,INDEX($AZ$6:$AZ$97,MATCH(BD59,$AY$6:$AY$97,0))),
  IFERROR((BG59*3 + BH59+IF($AZ$3="No",0,INDEX($AZ$6:$AZ$97,MATCH(BD59,$AY$6:$AY$97,0)))) / BF59, 0)
)</f>
        <v>4</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1</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4</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3</v>
      </c>
      <c r="BL59" s="16">
        <f t="shared" ca="1" si="151"/>
        <v>1</v>
      </c>
      <c r="BM59" s="16">
        <f t="shared" ca="1" si="152"/>
        <v>1</v>
      </c>
      <c r="BN59" s="16">
        <f t="shared" ca="1" si="153"/>
        <v>1</v>
      </c>
      <c r="BO59" s="16" t="str">
        <f t="shared" si="154"/>
        <v>4B</v>
      </c>
      <c r="BP59" s="16"/>
      <c r="BQ59" s="16"/>
      <c r="BR59" s="16">
        <f t="shared" ca="1" si="155"/>
        <v>4</v>
      </c>
      <c r="BS59" s="16">
        <f t="shared" ca="1" si="156"/>
        <v>1</v>
      </c>
      <c r="BT59" s="16" t="str">
        <f t="shared" ca="1" si="157"/>
        <v>Pos. 1 (3)</v>
      </c>
      <c r="BU59" s="16">
        <f t="shared" ca="1" si="158"/>
        <v>1</v>
      </c>
      <c r="BV59" s="16">
        <f t="shared" ca="1" si="159"/>
        <v>1</v>
      </c>
      <c r="BW59" s="16" t="str">
        <f t="shared" ca="1" si="160"/>
        <v>-</v>
      </c>
      <c r="BX59" s="16" t="str">
        <f t="shared" ca="1" si="161"/>
        <v>-</v>
      </c>
      <c r="BY59" s="16">
        <f t="shared" ca="1" si="162"/>
        <v>1</v>
      </c>
      <c r="BZ59" s="16" t="str">
        <f t="shared" ca="1" si="163"/>
        <v>-</v>
      </c>
      <c r="CA59" s="16" t="str">
        <f t="shared" ca="1" si="164"/>
        <v>-</v>
      </c>
      <c r="CB59" s="16">
        <f t="shared" ca="1" si="165"/>
        <v>1</v>
      </c>
      <c r="CC59" s="16"/>
      <c r="CD59" s="16">
        <f t="shared" ca="1" si="166"/>
        <v>1</v>
      </c>
      <c r="CE59" s="16" t="str">
        <f t="shared" ca="1" si="167"/>
        <v>-</v>
      </c>
      <c r="CF59" s="16">
        <f t="shared" ca="1" si="168"/>
        <v>1</v>
      </c>
      <c r="DJ59" s="16">
        <f t="shared" ca="1" si="169"/>
        <v>2</v>
      </c>
      <c r="DK59" s="16"/>
      <c r="DL59" s="16">
        <f t="shared" ca="1" si="170"/>
        <v>1</v>
      </c>
      <c r="DM59" s="16" t="str">
        <f t="shared" ca="1" si="171"/>
        <v>2.1</v>
      </c>
      <c r="DN59" s="16">
        <f t="array" aca="1" ref="DN59" ca="1">OFFSET(Horarios!$P$3,DJ59-1,0,DL59,1)</f>
        <v>2</v>
      </c>
      <c r="DO59" s="16"/>
      <c r="DP59" s="16">
        <v>2</v>
      </c>
      <c r="DQ59" s="16" t="str">
        <f t="shared" ca="1" si="172"/>
        <v>República Checa</v>
      </c>
    </row>
    <row r="60" spans="1:121" ht="16" customHeight="1" thickBot="1" x14ac:dyDescent="0.25">
      <c r="A60" s="16" t="s">
        <v>28</v>
      </c>
      <c r="B60" s="16" t="s">
        <v>139</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47" t="s">
        <v>139</v>
      </c>
      <c r="X60" s="24">
        <f ca="1">Horarios!C60</f>
        <v>46188.5</v>
      </c>
      <c r="Y60" s="25">
        <f ca="1">Horarios!C60</f>
        <v>46188.5</v>
      </c>
      <c r="Z60" s="26" t="str">
        <f>$Z$4</f>
        <v>J1</v>
      </c>
      <c r="AA60" s="27" t="str">
        <f ca="1">A61</f>
        <v>España</v>
      </c>
      <c r="AB60" s="49" t="str">
        <f t="array" aca="1" ref="AB60" ca="1">Ver_flag_local</f>
        <v/>
      </c>
      <c r="AC60" s="50">
        <v>4</v>
      </c>
      <c r="AD60" s="51">
        <v>0</v>
      </c>
      <c r="AE60" s="581"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98</v>
      </c>
      <c r="BD60" s="16" t="str">
        <f t="shared" ca="1" si="149"/>
        <v>Haití</v>
      </c>
      <c r="BE60" s="16">
        <f t="shared" ref="BE60:BE69" ca="1" si="193">CHOOSE($BB$57,
(BG60*3 + BH60)+IF($AZ$3="No",0,INDEX($AZ$6:$AZ$97,MATCH(BD60,$AY$6:$AY$97,0))),
(BG60*3 + BH60)+IF($AZ$3="No",0,INDEX($AZ$6:$AZ$97,MATCH(BD60,$AY$6:$AY$97,0))),
IFERROR((BG60*3 + BH60+IF($AZ$3="No",0,INDEX($AZ$6:$AZ$97,MATCH(BD60,$AY$6:$AY$97,0)))) / BF60, 0)
)</f>
        <v>1</v>
      </c>
      <c r="BF60" s="16">
        <f t="shared" ca="1" si="150"/>
        <v>3</v>
      </c>
      <c r="BG60" s="16">
        <f t="shared" ca="1" si="174"/>
        <v>0</v>
      </c>
      <c r="BH60" s="16">
        <f t="shared" ca="1" si="175"/>
        <v>1</v>
      </c>
      <c r="BI60" s="16">
        <f t="shared" ca="1" si="176"/>
        <v>2</v>
      </c>
      <c r="BJ60" s="16">
        <f t="shared" ca="1" si="177"/>
        <v>2</v>
      </c>
      <c r="BK60" s="16">
        <f t="shared" ca="1" si="178"/>
        <v>5</v>
      </c>
      <c r="BL60" s="16">
        <f t="shared" ca="1" si="151"/>
        <v>-3</v>
      </c>
      <c r="BM60" s="16">
        <f t="shared" ca="1" si="152"/>
        <v>9</v>
      </c>
      <c r="BN60" s="16">
        <f t="shared" ca="1" si="153"/>
        <v>9</v>
      </c>
      <c r="BO60" s="16" t="str">
        <f t="shared" si="154"/>
        <v>4C</v>
      </c>
      <c r="BP60" s="16"/>
      <c r="BQ60" s="16"/>
      <c r="BR60" s="16">
        <f t="shared" ca="1" si="155"/>
        <v>1</v>
      </c>
      <c r="BS60" s="16">
        <f t="shared" ca="1" si="156"/>
        <v>9</v>
      </c>
      <c r="BT60" s="16" t="str">
        <f t="shared" ca="1" si="157"/>
        <v>Pos. 9 (4)</v>
      </c>
      <c r="BU60" s="16">
        <f t="shared" ca="1" si="158"/>
        <v>-3</v>
      </c>
      <c r="BV60" s="16">
        <f t="shared" ca="1" si="159"/>
        <v>9</v>
      </c>
      <c r="BW60" s="16" t="str">
        <f t="shared" ca="1" si="160"/>
        <v>Pos. 9 (2)</v>
      </c>
      <c r="BX60" s="16">
        <f t="shared" ca="1" si="161"/>
        <v>2</v>
      </c>
      <c r="BY60" s="16">
        <f t="shared" ca="1" si="162"/>
        <v>9</v>
      </c>
      <c r="BZ60" s="16" t="str">
        <f t="shared" ca="1" si="163"/>
        <v>Pos. 9 (2)</v>
      </c>
      <c r="CA60" s="16">
        <f t="shared" ca="1" si="164"/>
        <v>4</v>
      </c>
      <c r="CB60" s="16">
        <f t="shared" ca="1" si="165"/>
        <v>9</v>
      </c>
      <c r="CC60" s="16"/>
      <c r="CD60" s="16">
        <f t="shared" ca="1" si="166"/>
        <v>9</v>
      </c>
      <c r="CE60" s="16">
        <f t="shared" ca="1" si="167"/>
        <v>8</v>
      </c>
      <c r="CF60" s="16">
        <f t="shared" ca="1" si="168"/>
        <v>9</v>
      </c>
      <c r="DJ60" s="16">
        <f t="shared" ca="1" si="169"/>
        <v>3</v>
      </c>
      <c r="DK60" s="16"/>
      <c r="DL60" s="16">
        <f t="shared" ca="1" si="170"/>
        <v>1</v>
      </c>
      <c r="DM60" s="16" t="str">
        <f t="shared" ca="1" si="171"/>
        <v>3.1</v>
      </c>
      <c r="DN60" s="16">
        <f t="array" aca="1" ref="DN60" ca="1">OFFSET(Horarios!$P$3,DJ60-1,0,DL60,1)</f>
        <v>3</v>
      </c>
      <c r="DO60" s="16"/>
      <c r="DP60" s="16">
        <v>3</v>
      </c>
      <c r="DQ60" s="16" t="str">
        <f t="shared" ca="1" si="172"/>
        <v>Senegal</v>
      </c>
    </row>
    <row r="61" spans="1:121" ht="16" customHeight="1" x14ac:dyDescent="0.2">
      <c r="A61" s="16" t="str">
        <f ca="1">+Equipos!B30</f>
        <v>España</v>
      </c>
      <c r="B61" s="16"/>
      <c r="C61" s="16"/>
      <c r="D61" s="16" t="str">
        <f t="shared" si="179"/>
        <v>Visitante</v>
      </c>
      <c r="E61" s="16" t="str">
        <f t="shared" ca="1" si="180"/>
        <v>-</v>
      </c>
      <c r="F61" s="16" t="str">
        <f t="shared" ca="1" si="181"/>
        <v>-</v>
      </c>
      <c r="G61" s="16"/>
      <c r="H61" s="16" t="str">
        <f t="shared" ca="1" si="182"/>
        <v>-</v>
      </c>
      <c r="I61" s="16" t="str">
        <f t="shared" ca="1" si="183"/>
        <v>-</v>
      </c>
      <c r="J61" s="16"/>
      <c r="K61" s="16" t="str">
        <f t="shared" ca="1" si="184"/>
        <v>-</v>
      </c>
      <c r="L61" s="16" t="str">
        <f t="shared" ca="1" si="185"/>
        <v>-</v>
      </c>
      <c r="M61" s="16"/>
      <c r="N61" s="16" t="str">
        <f t="shared" ca="1" si="186"/>
        <v>-</v>
      </c>
      <c r="O61" s="16" t="str">
        <f t="shared" ca="1" si="187"/>
        <v>-</v>
      </c>
      <c r="P61" s="16"/>
      <c r="Q61" s="16" t="str">
        <f t="shared" ca="1" si="188"/>
        <v>-</v>
      </c>
      <c r="R61" s="16" t="str">
        <f t="shared" ca="1" si="189"/>
        <v>-</v>
      </c>
      <c r="S61" s="16"/>
      <c r="T61" s="16" t="str">
        <f t="shared" ca="1" si="190"/>
        <v>-</v>
      </c>
      <c r="U61" s="16" t="str">
        <f t="shared" ca="1" si="191"/>
        <v>-</v>
      </c>
      <c r="V61" s="17"/>
      <c r="W61" s="631"/>
      <c r="X61" s="24">
        <f ca="1">Horarios!C61</f>
        <v>46188.75</v>
      </c>
      <c r="Y61" s="25">
        <f ca="1">Horarios!C61</f>
        <v>46188.75</v>
      </c>
      <c r="Z61" s="26" t="str">
        <f>$Z$4</f>
        <v>J1</v>
      </c>
      <c r="AA61" s="27" t="str">
        <f ca="1">A63</f>
        <v>Arabia Saudita</v>
      </c>
      <c r="AB61" s="49" t="str">
        <f t="array" aca="1" ref="AB61" ca="1">Ver_flag_local</f>
        <v/>
      </c>
      <c r="AC61" s="50">
        <v>1</v>
      </c>
      <c r="AD61" s="51">
        <v>3</v>
      </c>
      <c r="AE61" s="581"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107</v>
      </c>
      <c r="BD61" s="16" t="str">
        <f t="shared" ca="1" si="149"/>
        <v>Australia</v>
      </c>
      <c r="BE61" s="16">
        <f t="shared" ca="1" si="193"/>
        <v>3</v>
      </c>
      <c r="BF61" s="16">
        <f t="shared" ca="1" si="150"/>
        <v>3</v>
      </c>
      <c r="BG61" s="16">
        <f t="shared" ca="1" si="174"/>
        <v>1</v>
      </c>
      <c r="BH61" s="16">
        <f t="shared" ca="1" si="175"/>
        <v>0</v>
      </c>
      <c r="BI61" s="16">
        <f t="shared" ca="1" si="176"/>
        <v>2</v>
      </c>
      <c r="BJ61" s="16">
        <f t="shared" ca="1" si="177"/>
        <v>4</v>
      </c>
      <c r="BK61" s="16">
        <f t="shared" ca="1" si="178"/>
        <v>5</v>
      </c>
      <c r="BL61" s="16">
        <f t="shared" ca="1" si="151"/>
        <v>-1</v>
      </c>
      <c r="BM61" s="16">
        <f t="shared" ca="1" si="152"/>
        <v>5</v>
      </c>
      <c r="BN61" s="16">
        <f t="shared" ca="1" si="153"/>
        <v>5</v>
      </c>
      <c r="BO61" s="16" t="str">
        <f t="shared" si="154"/>
        <v>4D</v>
      </c>
      <c r="BP61" s="16"/>
      <c r="BQ61" s="16"/>
      <c r="BR61" s="16">
        <f t="shared" ca="1" si="155"/>
        <v>3</v>
      </c>
      <c r="BS61" s="16">
        <f t="shared" ca="1" si="156"/>
        <v>4</v>
      </c>
      <c r="BT61" s="16" t="str">
        <f t="shared" ca="1" si="157"/>
        <v>Pos. 4 (4)</v>
      </c>
      <c r="BU61" s="16">
        <f t="shared" ca="1" si="158"/>
        <v>-1</v>
      </c>
      <c r="BV61" s="16">
        <f t="shared" ca="1" si="159"/>
        <v>5</v>
      </c>
      <c r="BW61" s="16" t="str">
        <f t="shared" ca="1" si="160"/>
        <v>-</v>
      </c>
      <c r="BX61" s="16" t="str">
        <f t="shared" ca="1" si="161"/>
        <v>-</v>
      </c>
      <c r="BY61" s="16">
        <f t="shared" ca="1" si="162"/>
        <v>5</v>
      </c>
      <c r="BZ61" s="16" t="str">
        <f t="shared" ca="1" si="163"/>
        <v>-</v>
      </c>
      <c r="CA61" s="16" t="str">
        <f t="shared" ca="1" si="164"/>
        <v>-</v>
      </c>
      <c r="CB61" s="16">
        <f t="shared" ca="1" si="165"/>
        <v>5</v>
      </c>
      <c r="CC61" s="16"/>
      <c r="CD61" s="16">
        <f t="shared" ca="1" si="166"/>
        <v>5</v>
      </c>
      <c r="CE61" s="16" t="str">
        <f t="shared" ca="1" si="167"/>
        <v>-</v>
      </c>
      <c r="CF61" s="16">
        <f t="shared" ca="1" si="168"/>
        <v>5</v>
      </c>
      <c r="DJ61" s="16">
        <f t="shared" ca="1" si="169"/>
        <v>4</v>
      </c>
      <c r="DK61" s="16"/>
      <c r="DL61" s="16">
        <f t="shared" ca="1" si="170"/>
        <v>1</v>
      </c>
      <c r="DM61" s="16" t="str">
        <f t="shared" ca="1" si="171"/>
        <v>4.1</v>
      </c>
      <c r="DN61" s="16">
        <f t="array" aca="1" ref="DN61" ca="1">OFFSET(Horarios!$P$3,DJ61-1,0,DL61,1)</f>
        <v>4</v>
      </c>
      <c r="DO61" s="16"/>
      <c r="DP61" s="16">
        <v>4</v>
      </c>
      <c r="DQ61" s="16" t="str">
        <f t="shared" ca="1" si="172"/>
        <v>Ghana</v>
      </c>
    </row>
    <row r="62" spans="1:121" ht="16" customHeight="1" x14ac:dyDescent="0.2">
      <c r="A62" s="16" t="str">
        <f ca="1">+Equipos!B31</f>
        <v>Cabo Verde</v>
      </c>
      <c r="B62" s="16"/>
      <c r="C62" s="16"/>
      <c r="D62" s="16" t="str">
        <f t="shared" si="179"/>
        <v>Local</v>
      </c>
      <c r="E62" s="16" t="str">
        <f t="shared" ca="1" si="180"/>
        <v>-</v>
      </c>
      <c r="F62" s="16" t="str">
        <f t="shared" ca="1" si="181"/>
        <v>-</v>
      </c>
      <c r="G62" s="16"/>
      <c r="H62" s="16" t="str">
        <f t="shared" ca="1" si="182"/>
        <v>-</v>
      </c>
      <c r="I62" s="16" t="str">
        <f t="shared" ca="1" si="183"/>
        <v>-</v>
      </c>
      <c r="J62" s="16"/>
      <c r="K62" s="16" t="str">
        <f t="shared" ca="1" si="184"/>
        <v>-</v>
      </c>
      <c r="L62" s="16" t="str">
        <f t="shared" ca="1" si="185"/>
        <v>-</v>
      </c>
      <c r="M62" s="16"/>
      <c r="N62" s="16" t="str">
        <f t="shared" ca="1" si="186"/>
        <v>-</v>
      </c>
      <c r="O62" s="16" t="str">
        <f t="shared" ca="1" si="187"/>
        <v>-</v>
      </c>
      <c r="P62" s="16"/>
      <c r="Q62" s="16" t="str">
        <f t="shared" ca="1" si="188"/>
        <v>-</v>
      </c>
      <c r="R62" s="16" t="str">
        <f t="shared" ca="1" si="189"/>
        <v>-</v>
      </c>
      <c r="S62" s="16"/>
      <c r="T62" s="16" t="str">
        <f t="shared" ca="1" si="190"/>
        <v>-</v>
      </c>
      <c r="U62" s="16" t="str">
        <f t="shared" ca="1" si="191"/>
        <v>-</v>
      </c>
      <c r="V62" s="17"/>
      <c r="W62" s="631"/>
      <c r="X62" s="24">
        <f ca="1">Horarios!C62</f>
        <v>46194.5</v>
      </c>
      <c r="Y62" s="25">
        <f ca="1">Horarios!C62</f>
        <v>46194.5</v>
      </c>
      <c r="Z62" s="26" t="str">
        <f>$Z$6</f>
        <v>J2</v>
      </c>
      <c r="AA62" s="27" t="str">
        <f ca="1">A61</f>
        <v>España</v>
      </c>
      <c r="AB62" s="49" t="str">
        <f t="array" aca="1" ref="AB62" ca="1">Ver_flag_local</f>
        <v/>
      </c>
      <c r="AC62" s="50">
        <v>3</v>
      </c>
      <c r="AD62" s="51">
        <v>0</v>
      </c>
      <c r="AE62" s="581" t="str">
        <f t="array" aca="1" ref="AE62" ca="1">Ver_flag_visit</f>
        <v/>
      </c>
      <c r="AF62" s="32" t="str">
        <f ca="1">A63</f>
        <v>Arabia Saudita</v>
      </c>
      <c r="AG62" s="316">
        <f t="shared" si="192"/>
        <v>1</v>
      </c>
      <c r="AH62" s="195">
        <v>38</v>
      </c>
      <c r="AI62" s="181" t="str">
        <f>AJ62&amp;$B$60</f>
        <v>1H</v>
      </c>
      <c r="AJ62" s="40">
        <v>1</v>
      </c>
      <c r="AK62" s="587" t="str">
        <f t="array" aca="1" ref="AK62" ca="1">Ver_flag_visit</f>
        <v/>
      </c>
      <c r="AL62" s="34" t="str">
        <f ca="1">IFERROR(INDEX($BD$6:$BD$53,MATCH(AI62,$BN$6:$BN$53,0)),"")</f>
        <v>España</v>
      </c>
      <c r="AM62" s="35">
        <f t="shared" ref="AM62:AT65" ca="1" si="195">INDEX($BE$6:$BN$53,MATCH($AL62,$BD$6:$BD$53,0),MATCH(AM$5,$BE$5:$BN$5,0))</f>
        <v>9</v>
      </c>
      <c r="AN62" s="36">
        <f t="shared" ca="1" si="195"/>
        <v>3</v>
      </c>
      <c r="AO62" s="36">
        <f t="shared" ca="1" si="195"/>
        <v>3</v>
      </c>
      <c r="AP62" s="36">
        <f t="shared" ca="1" si="195"/>
        <v>0</v>
      </c>
      <c r="AQ62" s="36">
        <f t="shared" ca="1" si="195"/>
        <v>0</v>
      </c>
      <c r="AR62" s="36">
        <f t="shared" ca="1" si="195"/>
        <v>10</v>
      </c>
      <c r="AS62" s="36">
        <f t="shared" ca="1" si="195"/>
        <v>1</v>
      </c>
      <c r="AT62" s="41">
        <f t="shared" ca="1" si="195"/>
        <v>9</v>
      </c>
      <c r="AU62" s="323">
        <f ca="1">INDEX($DL$6:$DL$53,MATCH(AI62,$DP$6:$DP$53,0))</f>
        <v>1</v>
      </c>
      <c r="AV62" s="182" t="str">
        <f ca="1">INDEX($BD$6:$BD$53,MATCH(AI62,$BM$6:$BM$53,0))</f>
        <v>España</v>
      </c>
      <c r="AW62" s="210"/>
      <c r="AX62" s="171"/>
      <c r="AY62" s="201" t="str">
        <f ca="1">+A61</f>
        <v>España</v>
      </c>
      <c r="AZ62" s="202"/>
      <c r="BA62" s="176"/>
      <c r="BB62" s="16" t="str">
        <f t="shared" si="173"/>
        <v>3E</v>
      </c>
      <c r="BC62" s="16" t="s">
        <v>116</v>
      </c>
      <c r="BD62" s="16" t="str">
        <f t="shared" ca="1" si="149"/>
        <v>Curazao</v>
      </c>
      <c r="BE62" s="16">
        <f t="shared" ca="1" si="193"/>
        <v>1</v>
      </c>
      <c r="BF62" s="16">
        <f t="shared" ca="1" si="150"/>
        <v>3</v>
      </c>
      <c r="BG62" s="16">
        <f t="shared" ca="1" si="174"/>
        <v>0</v>
      </c>
      <c r="BH62" s="16">
        <f t="shared" ca="1" si="175"/>
        <v>1</v>
      </c>
      <c r="BI62" s="16">
        <f t="shared" ca="1" si="176"/>
        <v>2</v>
      </c>
      <c r="BJ62" s="16">
        <f t="shared" ca="1" si="177"/>
        <v>1</v>
      </c>
      <c r="BK62" s="16">
        <f t="shared" ca="1" si="178"/>
        <v>5</v>
      </c>
      <c r="BL62" s="16">
        <f t="shared" ca="1" si="151"/>
        <v>-4</v>
      </c>
      <c r="BM62" s="16">
        <f t="shared" ca="1" si="152"/>
        <v>11</v>
      </c>
      <c r="BN62" s="16">
        <f t="shared" ca="1" si="153"/>
        <v>11</v>
      </c>
      <c r="BO62" s="16" t="str">
        <f t="shared" si="154"/>
        <v>4E</v>
      </c>
      <c r="BP62" s="16"/>
      <c r="BQ62" s="16"/>
      <c r="BR62" s="16">
        <f t="shared" ca="1" si="155"/>
        <v>1</v>
      </c>
      <c r="BS62" s="16">
        <f t="shared" ca="1" si="156"/>
        <v>9</v>
      </c>
      <c r="BT62" s="16" t="str">
        <f t="shared" ca="1" si="157"/>
        <v>Pos. 9 (4)</v>
      </c>
      <c r="BU62" s="16">
        <f t="shared" ca="1" si="158"/>
        <v>-4</v>
      </c>
      <c r="BV62" s="16">
        <f t="shared" ca="1" si="159"/>
        <v>11</v>
      </c>
      <c r="BW62" s="16" t="str">
        <f t="shared" ca="1" si="160"/>
        <v>-</v>
      </c>
      <c r="BX62" s="16" t="str">
        <f t="shared" ca="1" si="161"/>
        <v>-</v>
      </c>
      <c r="BY62" s="16">
        <f t="shared" ca="1" si="162"/>
        <v>11</v>
      </c>
      <c r="BZ62" s="16" t="str">
        <f t="shared" ca="1" si="163"/>
        <v>-</v>
      </c>
      <c r="CA62" s="16" t="str">
        <f t="shared" ca="1" si="164"/>
        <v>-</v>
      </c>
      <c r="CB62" s="16">
        <f t="shared" ca="1" si="165"/>
        <v>11</v>
      </c>
      <c r="CC62" s="16"/>
      <c r="CD62" s="16">
        <f t="shared" ca="1" si="166"/>
        <v>11</v>
      </c>
      <c r="CE62" s="16" t="str">
        <f t="shared" ca="1" si="167"/>
        <v>-</v>
      </c>
      <c r="CF62" s="16">
        <f t="shared" ca="1" si="168"/>
        <v>11</v>
      </c>
      <c r="DJ62" s="16">
        <f t="shared" ca="1" si="169"/>
        <v>5</v>
      </c>
      <c r="DK62" s="16"/>
      <c r="DL62" s="16">
        <f t="shared" ca="1" si="170"/>
        <v>1</v>
      </c>
      <c r="DM62" s="16" t="str">
        <f t="shared" ca="1" si="171"/>
        <v>5.1</v>
      </c>
      <c r="DN62" s="16">
        <f t="array" aca="1" ref="DN62" ca="1">OFFSET(Horarios!$P$3,DJ62-1,0,DL62,1)</f>
        <v>5</v>
      </c>
      <c r="DO62" s="16"/>
      <c r="DP62" s="16">
        <v>5</v>
      </c>
      <c r="DQ62" s="16" t="str">
        <f t="shared" ca="1" si="172"/>
        <v>Australia</v>
      </c>
    </row>
    <row r="63" spans="1:121" ht="16" customHeight="1" x14ac:dyDescent="0.2">
      <c r="A63" s="16" t="str">
        <f ca="1">+Equipos!B32</f>
        <v>Arabia Saudita</v>
      </c>
      <c r="B63" s="16"/>
      <c r="C63" s="16"/>
      <c r="D63" s="16" t="str">
        <f t="shared" si="179"/>
        <v>Local</v>
      </c>
      <c r="E63" s="16" t="str">
        <f t="shared" ca="1" si="180"/>
        <v>-</v>
      </c>
      <c r="F63" s="16" t="str">
        <f t="shared" ca="1" si="181"/>
        <v>-</v>
      </c>
      <c r="G63" s="16"/>
      <c r="H63" s="16" t="str">
        <f t="shared" ca="1" si="182"/>
        <v>-</v>
      </c>
      <c r="I63" s="16" t="str">
        <f t="shared" ca="1" si="183"/>
        <v>-</v>
      </c>
      <c r="J63" s="16"/>
      <c r="K63" s="16" t="str">
        <f t="shared" ca="1" si="184"/>
        <v>-</v>
      </c>
      <c r="L63" s="16" t="str">
        <f t="shared" ca="1" si="185"/>
        <v>-</v>
      </c>
      <c r="M63" s="16"/>
      <c r="N63" s="16" t="str">
        <f t="shared" ca="1" si="186"/>
        <v>-</v>
      </c>
      <c r="O63" s="16" t="str">
        <f t="shared" ca="1" si="187"/>
        <v>-</v>
      </c>
      <c r="P63" s="16"/>
      <c r="Q63" s="16" t="str">
        <f t="shared" ca="1" si="188"/>
        <v>-</v>
      </c>
      <c r="R63" s="16" t="str">
        <f t="shared" ca="1" si="189"/>
        <v>-</v>
      </c>
      <c r="S63" s="16"/>
      <c r="T63" s="16" t="str">
        <f t="shared" ca="1" si="190"/>
        <v>-</v>
      </c>
      <c r="U63" s="16" t="str">
        <f t="shared" ca="1" si="191"/>
        <v>-</v>
      </c>
      <c r="V63" s="17"/>
      <c r="W63" s="631"/>
      <c r="X63" s="24">
        <f ca="1">Horarios!C63</f>
        <v>46194.75</v>
      </c>
      <c r="Y63" s="25">
        <f ca="1">Horarios!C63</f>
        <v>46194.75</v>
      </c>
      <c r="Z63" s="26" t="str">
        <f>$Z$6</f>
        <v>J2</v>
      </c>
      <c r="AA63" s="27" t="str">
        <f ca="1">A64</f>
        <v>Uruguay</v>
      </c>
      <c r="AB63" s="49" t="str">
        <f t="array" aca="1" ref="AB63" ca="1">Ver_flag_local</f>
        <v/>
      </c>
      <c r="AC63" s="50">
        <v>2</v>
      </c>
      <c r="AD63" s="51">
        <v>0</v>
      </c>
      <c r="AE63" s="581" t="str">
        <f t="array" aca="1" ref="AE63" ca="1">Ver_flag_visit</f>
        <v/>
      </c>
      <c r="AF63" s="32" t="str">
        <f ca="1">A62</f>
        <v>Cabo Verde</v>
      </c>
      <c r="AG63" s="316">
        <f t="shared" si="192"/>
        <v>1</v>
      </c>
      <c r="AH63" s="195">
        <v>37</v>
      </c>
      <c r="AI63" s="181" t="str">
        <f>AJ63&amp;$B$60</f>
        <v>2H</v>
      </c>
      <c r="AJ63" s="42">
        <v>2</v>
      </c>
      <c r="AK63" s="588" t="str">
        <f t="array" aca="1" ref="AK63" ca="1">Ver_flag_visit</f>
        <v/>
      </c>
      <c r="AL63" s="37" t="str">
        <f ca="1">IFERROR(INDEX($BD$6:$BD$53,MATCH(AI63,$BN$6:$BN$53,0)),"")</f>
        <v>Uruguay</v>
      </c>
      <c r="AM63" s="38">
        <f t="shared" ca="1" si="195"/>
        <v>6</v>
      </c>
      <c r="AN63" s="39">
        <f t="shared" ca="1" si="195"/>
        <v>3</v>
      </c>
      <c r="AO63" s="39">
        <f t="shared" ca="1" si="195"/>
        <v>2</v>
      </c>
      <c r="AP63" s="39">
        <f t="shared" ca="1" si="195"/>
        <v>0</v>
      </c>
      <c r="AQ63" s="39">
        <f t="shared" ca="1" si="195"/>
        <v>1</v>
      </c>
      <c r="AR63" s="39">
        <f t="shared" ca="1" si="195"/>
        <v>6</v>
      </c>
      <c r="AS63" s="39">
        <f t="shared" ca="1" si="195"/>
        <v>4</v>
      </c>
      <c r="AT63" s="43">
        <f t="shared" ca="1" si="195"/>
        <v>2</v>
      </c>
      <c r="AU63" s="323">
        <f ca="1">INDEX($DL$6:$DL$53,MATCH(AI63,$DP$6:$DP$53,0))</f>
        <v>1</v>
      </c>
      <c r="AV63" s="182" t="str">
        <f ca="1">INDEX($BD$6:$BD$53,MATCH(AI63,$BM$6:$BM$53,0))</f>
        <v>Uruguay</v>
      </c>
      <c r="AW63" s="210"/>
      <c r="AX63" s="171"/>
      <c r="AY63" s="203" t="str">
        <f ca="1">+A62</f>
        <v>Cabo Verde</v>
      </c>
      <c r="AZ63" s="204"/>
      <c r="BA63" s="176"/>
      <c r="BB63" s="16" t="str">
        <f t="shared" si="173"/>
        <v>3F</v>
      </c>
      <c r="BC63" s="16" t="s">
        <v>125</v>
      </c>
      <c r="BD63" s="16" t="str">
        <f t="shared" ca="1" si="149"/>
        <v>Suecia</v>
      </c>
      <c r="BE63" s="16">
        <f t="shared" ca="1" si="193"/>
        <v>1</v>
      </c>
      <c r="BF63" s="16">
        <f t="shared" ca="1" si="150"/>
        <v>3</v>
      </c>
      <c r="BG63" s="16">
        <f t="shared" ca="1" si="174"/>
        <v>0</v>
      </c>
      <c r="BH63" s="16">
        <f t="shared" ca="1" si="175"/>
        <v>1</v>
      </c>
      <c r="BI63" s="16">
        <f t="shared" ca="1" si="176"/>
        <v>2</v>
      </c>
      <c r="BJ63" s="16">
        <f t="shared" ca="1" si="177"/>
        <v>2</v>
      </c>
      <c r="BK63" s="16">
        <f t="shared" ca="1" si="178"/>
        <v>5</v>
      </c>
      <c r="BL63" s="16">
        <f t="shared" ca="1" si="151"/>
        <v>-3</v>
      </c>
      <c r="BM63" s="16">
        <f t="shared" ca="1" si="152"/>
        <v>10</v>
      </c>
      <c r="BN63" s="16">
        <f t="shared" ca="1" si="153"/>
        <v>10</v>
      </c>
      <c r="BO63" s="16" t="str">
        <f t="shared" si="154"/>
        <v>4F</v>
      </c>
      <c r="BP63" s="16"/>
      <c r="BQ63" s="16"/>
      <c r="BR63" s="16">
        <f t="shared" ca="1" si="155"/>
        <v>1</v>
      </c>
      <c r="BS63" s="16">
        <f t="shared" ca="1" si="156"/>
        <v>9</v>
      </c>
      <c r="BT63" s="16" t="str">
        <f t="shared" ca="1" si="157"/>
        <v>Pos. 9 (4)</v>
      </c>
      <c r="BU63" s="16">
        <f t="shared" ca="1" si="158"/>
        <v>-3</v>
      </c>
      <c r="BV63" s="16">
        <f t="shared" ca="1" si="159"/>
        <v>9</v>
      </c>
      <c r="BW63" s="16" t="str">
        <f t="shared" ca="1" si="160"/>
        <v>Pos. 9 (2)</v>
      </c>
      <c r="BX63" s="16">
        <f t="shared" ca="1" si="161"/>
        <v>2</v>
      </c>
      <c r="BY63" s="16">
        <f t="shared" ca="1" si="162"/>
        <v>9</v>
      </c>
      <c r="BZ63" s="16" t="str">
        <f t="shared" ca="1" si="163"/>
        <v>Pos. 9 (2)</v>
      </c>
      <c r="CA63" s="16">
        <f t="shared" ca="1" si="164"/>
        <v>0</v>
      </c>
      <c r="CB63" s="16">
        <f t="shared" ca="1" si="165"/>
        <v>10</v>
      </c>
      <c r="CC63" s="16"/>
      <c r="CD63" s="16">
        <f t="shared" ca="1" si="166"/>
        <v>10</v>
      </c>
      <c r="CE63" s="16">
        <f t="shared" ca="1" si="167"/>
        <v>9</v>
      </c>
      <c r="CF63" s="16">
        <f t="shared" ca="1" si="168"/>
        <v>10</v>
      </c>
      <c r="DJ63" s="16">
        <f t="shared" ca="1" si="169"/>
        <v>6</v>
      </c>
      <c r="DK63" s="16"/>
      <c r="DL63" s="16">
        <f t="shared" ca="1" si="170"/>
        <v>1</v>
      </c>
      <c r="DM63" s="16" t="str">
        <f t="shared" ca="1" si="171"/>
        <v>6.1</v>
      </c>
      <c r="DN63" s="16">
        <f t="array" aca="1" ref="DN63" ca="1">OFFSET(Horarios!$P$3,DJ63-1,0,DL63,1)</f>
        <v>6</v>
      </c>
      <c r="DO63" s="16"/>
      <c r="DP63" s="16">
        <v>6</v>
      </c>
      <c r="DQ63" s="16" t="str">
        <f t="shared" ca="1" si="172"/>
        <v>Egipto</v>
      </c>
    </row>
    <row r="64" spans="1:121" ht="16" customHeight="1" x14ac:dyDescent="0.2">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31"/>
      <c r="X64" s="24">
        <f ca="1">Horarios!C64</f>
        <v>46199.833333333343</v>
      </c>
      <c r="Y64" s="25">
        <f ca="1">Horarios!C64</f>
        <v>46199.833333333343</v>
      </c>
      <c r="Z64" s="26" t="str">
        <f>$Z$8</f>
        <v>J3</v>
      </c>
      <c r="AA64" s="27" t="str">
        <f ca="1">A62</f>
        <v>Cabo Verde</v>
      </c>
      <c r="AB64" s="49" t="str">
        <f t="array" aca="1" ref="AB64" ca="1">Ver_flag_local</f>
        <v/>
      </c>
      <c r="AC64" s="50">
        <v>0</v>
      </c>
      <c r="AD64" s="51">
        <v>2</v>
      </c>
      <c r="AE64" s="581" t="str">
        <f t="array" aca="1" ref="AE64" ca="1">Ver_flag_visit</f>
        <v/>
      </c>
      <c r="AF64" s="32" t="str">
        <f ca="1">A63</f>
        <v>Arabia Saudita</v>
      </c>
      <c r="AG64" s="316">
        <f t="shared" si="192"/>
        <v>1</v>
      </c>
      <c r="AH64" s="195">
        <v>65</v>
      </c>
      <c r="AI64" s="181" t="str">
        <f>AJ64&amp;$B$60</f>
        <v>3H</v>
      </c>
      <c r="AJ64" s="42">
        <v>3</v>
      </c>
      <c r="AK64" s="588"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3</v>
      </c>
      <c r="AS64" s="39">
        <f t="shared" ca="1" si="195"/>
        <v>6</v>
      </c>
      <c r="AT64" s="43">
        <f t="shared" ca="1" si="195"/>
        <v>-3</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134</v>
      </c>
      <c r="BD64" s="16" t="str">
        <f t="shared" ca="1" si="149"/>
        <v>Egipto</v>
      </c>
      <c r="BE64" s="16">
        <f t="shared" ca="1" si="193"/>
        <v>3</v>
      </c>
      <c r="BF64" s="16">
        <f t="shared" ca="1" si="150"/>
        <v>3</v>
      </c>
      <c r="BG64" s="16">
        <f t="shared" ca="1" si="174"/>
        <v>1</v>
      </c>
      <c r="BH64" s="16">
        <f t="shared" ca="1" si="175"/>
        <v>0</v>
      </c>
      <c r="BI64" s="16">
        <f t="shared" ca="1" si="176"/>
        <v>2</v>
      </c>
      <c r="BJ64" s="16">
        <f t="shared" ca="1" si="177"/>
        <v>3</v>
      </c>
      <c r="BK64" s="16">
        <f t="shared" ca="1" si="178"/>
        <v>5</v>
      </c>
      <c r="BL64" s="16">
        <f t="shared" ca="1" si="151"/>
        <v>-2</v>
      </c>
      <c r="BM64" s="16">
        <f t="shared" ca="1" si="152"/>
        <v>6</v>
      </c>
      <c r="BN64" s="16">
        <f t="shared" ca="1" si="153"/>
        <v>6</v>
      </c>
      <c r="BO64" s="16" t="str">
        <f t="shared" si="154"/>
        <v>4G</v>
      </c>
      <c r="BP64" s="16"/>
      <c r="BQ64" s="16"/>
      <c r="BR64" s="16">
        <f t="shared" ca="1" si="155"/>
        <v>3</v>
      </c>
      <c r="BS64" s="16">
        <f t="shared" ca="1" si="156"/>
        <v>4</v>
      </c>
      <c r="BT64" s="16" t="str">
        <f t="shared" ca="1" si="157"/>
        <v>Pos. 4 (4)</v>
      </c>
      <c r="BU64" s="16">
        <f t="shared" ca="1" si="158"/>
        <v>-2</v>
      </c>
      <c r="BV64" s="16">
        <f t="shared" ca="1" si="159"/>
        <v>6</v>
      </c>
      <c r="BW64" s="16" t="str">
        <f t="shared" ca="1" si="160"/>
        <v>-</v>
      </c>
      <c r="BX64" s="16" t="str">
        <f t="shared" ca="1" si="161"/>
        <v>-</v>
      </c>
      <c r="BY64" s="16">
        <f t="shared" ca="1" si="162"/>
        <v>6</v>
      </c>
      <c r="BZ64" s="16" t="str">
        <f t="shared" ca="1" si="163"/>
        <v>-</v>
      </c>
      <c r="CA64" s="16" t="str">
        <f t="shared" ca="1" si="164"/>
        <v>-</v>
      </c>
      <c r="CB64" s="16">
        <f t="shared" ca="1" si="165"/>
        <v>6</v>
      </c>
      <c r="CC64" s="16"/>
      <c r="CD64" s="16">
        <f t="shared" ca="1" si="166"/>
        <v>6</v>
      </c>
      <c r="CE64" s="16" t="str">
        <f t="shared" ca="1" si="167"/>
        <v>-</v>
      </c>
      <c r="CF64" s="16">
        <f t="shared" ca="1" si="168"/>
        <v>6</v>
      </c>
      <c r="DJ64" s="16">
        <f t="shared" ca="1" si="169"/>
        <v>7</v>
      </c>
      <c r="DK64" s="16"/>
      <c r="DL64" s="16">
        <f t="shared" ca="1" si="170"/>
        <v>1</v>
      </c>
      <c r="DM64" s="16" t="str">
        <f t="shared" ca="1" si="171"/>
        <v>7.1</v>
      </c>
      <c r="DN64" s="16">
        <f t="array" aca="1" ref="DN64" ca="1">OFFSET(Horarios!$P$3,DJ64-1,0,DL64,1)</f>
        <v>7</v>
      </c>
      <c r="DO64" s="16"/>
      <c r="DP64" s="16">
        <v>7</v>
      </c>
      <c r="DQ64" s="16" t="str">
        <f t="shared" ca="1" si="172"/>
        <v>Arabia Saudita</v>
      </c>
    </row>
    <row r="65" spans="1:121" ht="16" customHeight="1" thickBot="1" x14ac:dyDescent="0.25">
      <c r="A65" s="16"/>
      <c r="B65" s="16"/>
      <c r="C65" s="16"/>
      <c r="D65" s="16" t="str">
        <f t="shared" si="179"/>
        <v>Visitante</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32"/>
      <c r="X65" s="28">
        <f ca="1">Horarios!C65</f>
        <v>46199.833333333343</v>
      </c>
      <c r="Y65" s="29">
        <f ca="1">Horarios!C65</f>
        <v>46199.833333333343</v>
      </c>
      <c r="Z65" s="30" t="str">
        <f>$Z$8</f>
        <v>J3</v>
      </c>
      <c r="AA65" s="31" t="str">
        <f ca="1">A64</f>
        <v>Uruguay</v>
      </c>
      <c r="AB65" s="52" t="str">
        <f t="array" aca="1" ref="AB65" ca="1">Ver_flag_local</f>
        <v/>
      </c>
      <c r="AC65" s="53">
        <v>1</v>
      </c>
      <c r="AD65" s="54">
        <v>3</v>
      </c>
      <c r="AE65" s="582" t="str">
        <f t="array" aca="1" ref="AE65" ca="1">Ver_flag_visit</f>
        <v/>
      </c>
      <c r="AF65" s="33" t="str">
        <f ca="1">A61</f>
        <v>España</v>
      </c>
      <c r="AG65" s="316">
        <f t="shared" si="192"/>
        <v>1</v>
      </c>
      <c r="AH65" s="195">
        <v>66</v>
      </c>
      <c r="AI65" s="181" t="str">
        <f>AJ65&amp;$B$60</f>
        <v>4H</v>
      </c>
      <c r="AJ65" s="44">
        <v>4</v>
      </c>
      <c r="AK65" s="590" t="str">
        <f t="array" aca="1" ref="AK65" ca="1">Ver_flag_visit</f>
        <v/>
      </c>
      <c r="AL65" s="45" t="str">
        <f ca="1">IFERROR(INDEX($BD$6:$BD$53,MATCH(AI65,$BN$6:$BN$53,0)),"")</f>
        <v>Cabo Verde</v>
      </c>
      <c r="AM65" s="46">
        <f t="shared" ca="1" si="195"/>
        <v>0</v>
      </c>
      <c r="AN65" s="47">
        <f t="shared" ca="1" si="195"/>
        <v>3</v>
      </c>
      <c r="AO65" s="47">
        <f t="shared" ca="1" si="195"/>
        <v>0</v>
      </c>
      <c r="AP65" s="47">
        <f t="shared" ca="1" si="195"/>
        <v>0</v>
      </c>
      <c r="AQ65" s="47">
        <f t="shared" ca="1" si="195"/>
        <v>3</v>
      </c>
      <c r="AR65" s="47">
        <f t="shared" ca="1" si="195"/>
        <v>0</v>
      </c>
      <c r="AS65" s="47">
        <f t="shared" ca="1" si="195"/>
        <v>8</v>
      </c>
      <c r="AT65" s="48">
        <f t="shared" ca="1" si="195"/>
        <v>-8</v>
      </c>
      <c r="AU65" s="323">
        <f ca="1">INDEX($DL$6:$DL$53,MATCH(AI65,$DP$6:$DP$53,0))</f>
        <v>1</v>
      </c>
      <c r="AV65" s="182" t="str">
        <f ca="1">INDEX($BD$6:$BD$53,MATCH(AI65,$BM$6:$BM$53,0))</f>
        <v>Cabo Verde</v>
      </c>
      <c r="AW65" s="210"/>
      <c r="AX65" s="171"/>
      <c r="AY65" s="205" t="str">
        <f ca="1">+A64</f>
        <v>Uruguay</v>
      </c>
      <c r="AZ65" s="206"/>
      <c r="BA65" s="176"/>
      <c r="BB65" s="16" t="str">
        <f t="shared" si="173"/>
        <v>3H</v>
      </c>
      <c r="BC65" s="16" t="s">
        <v>139</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3</v>
      </c>
      <c r="BK65" s="16">
        <f t="shared" ca="1" si="178"/>
        <v>6</v>
      </c>
      <c r="BL65" s="16">
        <f t="shared" ca="1" si="151"/>
        <v>-3</v>
      </c>
      <c r="BM65" s="16">
        <f t="shared" ca="1" si="152"/>
        <v>7</v>
      </c>
      <c r="BN65" s="16">
        <f t="shared" ca="1" si="153"/>
        <v>7</v>
      </c>
      <c r="BO65" s="16" t="str">
        <f t="shared" si="154"/>
        <v>4H</v>
      </c>
      <c r="BP65" s="16"/>
      <c r="BQ65" s="16"/>
      <c r="BR65" s="16">
        <f t="shared" ca="1" si="155"/>
        <v>3</v>
      </c>
      <c r="BS65" s="16">
        <f t="shared" ca="1" si="156"/>
        <v>4</v>
      </c>
      <c r="BT65" s="16" t="str">
        <f t="shared" ca="1" si="157"/>
        <v>Pos. 4 (4)</v>
      </c>
      <c r="BU65" s="16">
        <f t="shared" ca="1" si="158"/>
        <v>-3</v>
      </c>
      <c r="BV65" s="16">
        <f t="shared" ca="1" si="159"/>
        <v>7</v>
      </c>
      <c r="BW65" s="16" t="str">
        <f t="shared" ca="1" si="160"/>
        <v>-</v>
      </c>
      <c r="BX65" s="16" t="str">
        <f t="shared" ca="1" si="161"/>
        <v>-</v>
      </c>
      <c r="BY65" s="16">
        <f t="shared" ca="1" si="162"/>
        <v>7</v>
      </c>
      <c r="BZ65" s="16" t="str">
        <f t="shared" ca="1" si="163"/>
        <v>-</v>
      </c>
      <c r="CA65" s="16" t="str">
        <f t="shared" ca="1" si="164"/>
        <v>-</v>
      </c>
      <c r="CB65" s="16">
        <f t="shared" ca="1" si="165"/>
        <v>7</v>
      </c>
      <c r="CC65" s="16"/>
      <c r="CD65" s="16">
        <f t="shared" ca="1" si="166"/>
        <v>7</v>
      </c>
      <c r="CE65" s="16" t="str">
        <f t="shared" ca="1" si="167"/>
        <v>-</v>
      </c>
      <c r="CF65" s="16">
        <f t="shared" ca="1" si="168"/>
        <v>7</v>
      </c>
      <c r="DJ65" s="16">
        <f t="shared" ca="1" si="169"/>
        <v>8</v>
      </c>
      <c r="DK65" s="16"/>
      <c r="DL65" s="16">
        <f t="shared" ca="1" si="170"/>
        <v>1</v>
      </c>
      <c r="DM65" s="16" t="str">
        <f t="shared" ca="1" si="171"/>
        <v>8.1</v>
      </c>
      <c r="DN65" s="16">
        <f t="array" aca="1" ref="DN65" ca="1">OFFSET(Horarios!$P$3,DJ65-1,0,DL65,1)</f>
        <v>8</v>
      </c>
      <c r="DO65" s="16"/>
      <c r="DP65" s="16">
        <v>8</v>
      </c>
      <c r="DQ65" s="16" t="str">
        <f t="shared" ca="1" si="172"/>
        <v>Argelia</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140</v>
      </c>
      <c r="BD66" s="16" t="str">
        <f t="shared" ca="1" si="149"/>
        <v>Senegal</v>
      </c>
      <c r="BE66" s="16">
        <f t="shared" ca="1" si="193"/>
        <v>4</v>
      </c>
      <c r="BF66" s="16">
        <f t="shared" ca="1" si="150"/>
        <v>3</v>
      </c>
      <c r="BG66" s="16">
        <f t="shared" ca="1" si="174"/>
        <v>1</v>
      </c>
      <c r="BH66" s="16">
        <f t="shared" ca="1" si="175"/>
        <v>1</v>
      </c>
      <c r="BI66" s="16">
        <f t="shared" ca="1" si="176"/>
        <v>1</v>
      </c>
      <c r="BJ66" s="16">
        <f t="shared" ca="1" si="177"/>
        <v>3</v>
      </c>
      <c r="BK66" s="16">
        <f t="shared" ca="1" si="178"/>
        <v>5</v>
      </c>
      <c r="BL66" s="16">
        <f t="shared" ca="1" si="151"/>
        <v>-2</v>
      </c>
      <c r="BM66" s="16">
        <f t="shared" ca="1" si="152"/>
        <v>3</v>
      </c>
      <c r="BN66" s="16">
        <f t="shared" ca="1" si="153"/>
        <v>3</v>
      </c>
      <c r="BO66" s="16" t="str">
        <f t="shared" si="154"/>
        <v>4I</v>
      </c>
      <c r="BP66" s="16"/>
      <c r="BQ66" s="16"/>
      <c r="BR66" s="16">
        <f t="shared" ca="1" si="155"/>
        <v>4</v>
      </c>
      <c r="BS66" s="16">
        <f t="shared" ca="1" si="156"/>
        <v>1</v>
      </c>
      <c r="BT66" s="16" t="str">
        <f t="shared" ca="1" si="157"/>
        <v>Pos. 1 (3)</v>
      </c>
      <c r="BU66" s="16">
        <f t="shared" ca="1" si="158"/>
        <v>-2</v>
      </c>
      <c r="BV66" s="16">
        <f t="shared" ca="1" si="159"/>
        <v>3</v>
      </c>
      <c r="BW66" s="16" t="str">
        <f t="shared" ca="1" si="160"/>
        <v>-</v>
      </c>
      <c r="BX66" s="16" t="str">
        <f t="shared" ca="1" si="161"/>
        <v>-</v>
      </c>
      <c r="BY66" s="16">
        <f t="shared" ca="1" si="162"/>
        <v>3</v>
      </c>
      <c r="BZ66" s="16" t="str">
        <f t="shared" ca="1" si="163"/>
        <v>-</v>
      </c>
      <c r="CA66" s="16" t="str">
        <f t="shared" ca="1" si="164"/>
        <v>-</v>
      </c>
      <c r="CB66" s="16">
        <f t="shared" ca="1" si="165"/>
        <v>3</v>
      </c>
      <c r="CC66" s="16"/>
      <c r="CD66" s="16">
        <f t="shared" ca="1" si="166"/>
        <v>3</v>
      </c>
      <c r="CE66" s="16" t="str">
        <f t="shared" ca="1" si="167"/>
        <v>-</v>
      </c>
      <c r="CF66" s="16">
        <f t="shared" ca="1" si="168"/>
        <v>3</v>
      </c>
      <c r="DJ66" s="16">
        <f t="shared" ca="1" si="169"/>
        <v>9</v>
      </c>
      <c r="DK66" s="16"/>
      <c r="DL66" s="16">
        <f t="shared" ca="1" si="170"/>
        <v>2</v>
      </c>
      <c r="DM66" s="16" t="str">
        <f t="shared" ca="1" si="171"/>
        <v>9.2</v>
      </c>
      <c r="DN66" s="16">
        <f t="array" aca="1" ref="DN66" ca="1">OFFSET(Horarios!$P$3,DJ66-1,0,DL66,1)</f>
        <v>9</v>
      </c>
      <c r="DO66" s="16"/>
      <c r="DP66" s="16">
        <v>9</v>
      </c>
      <c r="DQ66" s="16" t="str">
        <f t="shared" ca="1" si="172"/>
        <v>Haití</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6"/>
      <c r="AL67" s="162"/>
      <c r="AM67" s="162"/>
      <c r="AN67" s="162"/>
      <c r="AO67" s="162"/>
      <c r="AP67" s="162"/>
      <c r="AQ67" s="162"/>
      <c r="AR67" s="162"/>
      <c r="AS67" s="162"/>
      <c r="AT67" s="162"/>
      <c r="AU67" s="324"/>
      <c r="AV67" s="188"/>
      <c r="AW67" s="212"/>
      <c r="AX67" s="172"/>
      <c r="AY67" s="154"/>
      <c r="AZ67" s="155"/>
      <c r="BA67" s="176"/>
      <c r="BB67" s="16" t="str">
        <f t="shared" si="173"/>
        <v>3J</v>
      </c>
      <c r="BC67" s="16" t="s">
        <v>141</v>
      </c>
      <c r="BD67" s="16" t="str">
        <f t="shared" ca="1" si="149"/>
        <v>Argelia</v>
      </c>
      <c r="BE67" s="16">
        <f t="shared" ca="1" si="193"/>
        <v>2</v>
      </c>
      <c r="BF67" s="16">
        <f t="shared" ca="1" si="150"/>
        <v>3</v>
      </c>
      <c r="BG67" s="16">
        <f t="shared" ca="1" si="174"/>
        <v>0</v>
      </c>
      <c r="BH67" s="16">
        <f t="shared" ca="1" si="175"/>
        <v>2</v>
      </c>
      <c r="BI67" s="16">
        <f t="shared" ca="1" si="176"/>
        <v>1</v>
      </c>
      <c r="BJ67" s="16">
        <f t="shared" ca="1" si="177"/>
        <v>1</v>
      </c>
      <c r="BK67" s="16">
        <f t="shared" ca="1" si="178"/>
        <v>4</v>
      </c>
      <c r="BL67" s="16">
        <f t="shared" ca="1" si="151"/>
        <v>-3</v>
      </c>
      <c r="BM67" s="16">
        <f t="shared" ca="1" si="152"/>
        <v>8</v>
      </c>
      <c r="BN67" s="16">
        <f t="shared" ca="1" si="153"/>
        <v>8</v>
      </c>
      <c r="BO67" s="16" t="str">
        <f t="shared" si="154"/>
        <v>4J</v>
      </c>
      <c r="BP67" s="16"/>
      <c r="BQ67" s="16"/>
      <c r="BR67" s="16">
        <f t="shared" ca="1" si="155"/>
        <v>2</v>
      </c>
      <c r="BS67" s="16">
        <f t="shared" ca="1" si="156"/>
        <v>8</v>
      </c>
      <c r="BT67" s="16" t="str">
        <f t="shared" ca="1" si="157"/>
        <v>-</v>
      </c>
      <c r="BU67" s="16" t="str">
        <f t="shared" ca="1" si="158"/>
        <v>-</v>
      </c>
      <c r="BV67" s="16">
        <f t="shared" ca="1" si="159"/>
        <v>8</v>
      </c>
      <c r="BW67" s="16" t="str">
        <f t="shared" ca="1" si="160"/>
        <v>-</v>
      </c>
      <c r="BX67" s="16" t="str">
        <f t="shared" ca="1" si="161"/>
        <v>-</v>
      </c>
      <c r="BY67" s="16">
        <f t="shared" ca="1" si="162"/>
        <v>8</v>
      </c>
      <c r="BZ67" s="16" t="str">
        <f t="shared" ca="1" si="163"/>
        <v>-</v>
      </c>
      <c r="CA67" s="16" t="str">
        <f t="shared" ca="1" si="164"/>
        <v>-</v>
      </c>
      <c r="CB67" s="16">
        <f t="shared" ca="1" si="165"/>
        <v>8</v>
      </c>
      <c r="CC67" s="16"/>
      <c r="CD67" s="16">
        <f t="shared" ca="1" si="166"/>
        <v>8</v>
      </c>
      <c r="CE67" s="16" t="str">
        <f t="shared" ca="1" si="167"/>
        <v>-</v>
      </c>
      <c r="CF67" s="16">
        <f t="shared" ca="1" si="168"/>
        <v>8</v>
      </c>
      <c r="DJ67" s="16">
        <f t="shared" ca="1" si="169"/>
        <v>9</v>
      </c>
      <c r="DK67" s="16"/>
      <c r="DL67" s="16">
        <f t="shared" ca="1" si="170"/>
        <v>2</v>
      </c>
      <c r="DM67" s="16" t="str">
        <f t="shared" ca="1" si="171"/>
        <v>9.2</v>
      </c>
      <c r="DN67" s="16">
        <f t="array" aca="1" ref="DN67" ca="1">OFFSET(Horarios!$P$3,DJ67-1,0,DL67,1)</f>
        <v>9</v>
      </c>
      <c r="DO67" s="16"/>
      <c r="DP67" s="16">
        <v>10</v>
      </c>
      <c r="DQ67" s="16" t="str">
        <f t="shared" ca="1" si="172"/>
        <v>Suecia</v>
      </c>
    </row>
    <row r="68" spans="1:121" ht="16" customHeight="1" thickBot="1" x14ac:dyDescent="0.25">
      <c r="A68" s="16" t="s">
        <v>28</v>
      </c>
      <c r="B68" s="16" t="s">
        <v>140</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P.2 (2)</v>
      </c>
      <c r="G68" s="16"/>
      <c r="H68" s="16" t="str">
        <f t="shared" ref="H68:H73" ca="1" si="199">IF(D68="Pendiente","-",INDEX($BZ$6:$BZ$53,MATCH($AA68,$BD$6:$BD$53,0)))</f>
        <v>-</v>
      </c>
      <c r="I68" s="16" t="str">
        <f t="shared" ref="I68:I73" ca="1" si="200">IF(D68="Pendiente","-",INDEX($BZ$6:$BZ$53,MATCH($AF68,$BD$6:$BD$53,0)))</f>
        <v>P.2 (2)</v>
      </c>
      <c r="J68" s="16"/>
      <c r="K68" s="16" t="str">
        <f t="shared" ref="K68:K73" ca="1" si="201">IF(D68="Pendiente","-",INDEX($CE$6:$CE$53,MATCH($AA68,$BD$6:$BD$53,0)))</f>
        <v>-</v>
      </c>
      <c r="L68" s="16" t="str">
        <f t="shared" ref="L68:L73" ca="1" si="202">IF(D68="Pendiente","-",INDEX($CE$6:$CE$53,MATCH($AF68,$BD$6:$BD$53,0)))</f>
        <v>P.2 (2)</v>
      </c>
      <c r="M68" s="16"/>
      <c r="N68" s="16" t="str">
        <f t="shared" ref="N68:N73" ca="1" si="203">IF(D68="Pendiente","-",INDEX($CH$6:$CH$53,MATCH($AA68,$BD$6:$BD$53,0)))</f>
        <v>-</v>
      </c>
      <c r="O68" s="16" t="str">
        <f t="shared" ref="O68:O73" ca="1" si="204">IF(D68="Pendiente","-",INDEX($CH$6:$CH$53,MATCH($AF68,$BD$6:$BD$53,0)))</f>
        <v>P.2 (2)</v>
      </c>
      <c r="P68" s="16"/>
      <c r="Q68" s="16" t="str">
        <f t="shared" ref="Q68:Q73" ca="1" si="205">IF(D68="Pendiente","-",INDEX($CN$6:$CN$53,MATCH($AA68,$BD$6:$BD$53,0)))</f>
        <v>-</v>
      </c>
      <c r="R68" s="16" t="str">
        <f t="shared" ref="R68:R73" ca="1" si="206">IF(D68="Pendiente","-",INDEX($CN$6:$CN$53,MATCH($AF68,$BD$6:$BD$53,0)))</f>
        <v>P.2 (2)</v>
      </c>
      <c r="S68" s="16"/>
      <c r="T68" s="16" t="str">
        <f t="shared" ref="T68:T73" ca="1" si="207">IF(D68="Pendiente","-",INDEX($CS$6:$CS$53,MATCH($AA68,$BD$6:$BD$53,0)))</f>
        <v>-</v>
      </c>
      <c r="U68" s="16" t="str">
        <f t="shared" ref="U68:U73" ca="1" si="208">IF(D68="Pendiente","-",INDEX($CS$6:$CS$53,MATCH($AF68,$BD$6:$BD$53,0)))</f>
        <v>P.2 (2)</v>
      </c>
      <c r="V68" s="17"/>
      <c r="W68" s="650" t="s">
        <v>140</v>
      </c>
      <c r="X68" s="24">
        <f ca="1">Horarios!C68</f>
        <v>46189.625</v>
      </c>
      <c r="Y68" s="25">
        <f ca="1">Horarios!C68</f>
        <v>46189.625</v>
      </c>
      <c r="Z68" s="26" t="str">
        <f>$Z$4</f>
        <v>J1</v>
      </c>
      <c r="AA68" s="27" t="str">
        <f ca="1">A69</f>
        <v>Francia</v>
      </c>
      <c r="AB68" s="49" t="str">
        <f t="array" aca="1" ref="AB68" ca="1">Ver_flag_local</f>
        <v/>
      </c>
      <c r="AC68" s="50">
        <v>4</v>
      </c>
      <c r="AD68" s="51">
        <v>0</v>
      </c>
      <c r="AE68" s="581"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142</v>
      </c>
      <c r="BD68" s="16" t="str">
        <f t="shared" ca="1" si="149"/>
        <v>RD Congo</v>
      </c>
      <c r="BE68" s="16">
        <f t="shared" ca="1" si="193"/>
        <v>1</v>
      </c>
      <c r="BF68" s="16">
        <f t="shared" ca="1" si="150"/>
        <v>3</v>
      </c>
      <c r="BG68" s="16">
        <f t="shared" ca="1" si="174"/>
        <v>0</v>
      </c>
      <c r="BH68" s="16">
        <f t="shared" ca="1" si="175"/>
        <v>1</v>
      </c>
      <c r="BI68" s="16">
        <f t="shared" ca="1" si="176"/>
        <v>2</v>
      </c>
      <c r="BJ68" s="16">
        <f t="shared" ca="1" si="177"/>
        <v>1</v>
      </c>
      <c r="BK68" s="16">
        <f t="shared" ca="1" si="178"/>
        <v>6</v>
      </c>
      <c r="BL68" s="16">
        <f t="shared" ca="1" si="151"/>
        <v>-5</v>
      </c>
      <c r="BM68" s="16">
        <f t="shared" ca="1" si="152"/>
        <v>12</v>
      </c>
      <c r="BN68" s="16">
        <f t="shared" ca="1" si="153"/>
        <v>12</v>
      </c>
      <c r="BO68" s="16" t="str">
        <f t="shared" si="154"/>
        <v>4K</v>
      </c>
      <c r="BP68" s="16"/>
      <c r="BQ68" s="16"/>
      <c r="BR68" s="16">
        <f t="shared" ca="1" si="155"/>
        <v>1</v>
      </c>
      <c r="BS68" s="16">
        <f t="shared" ca="1" si="156"/>
        <v>9</v>
      </c>
      <c r="BT68" s="16" t="str">
        <f t="shared" ca="1" si="157"/>
        <v>Pos. 9 (4)</v>
      </c>
      <c r="BU68" s="16">
        <f t="shared" ca="1" si="158"/>
        <v>-5</v>
      </c>
      <c r="BV68" s="16">
        <f t="shared" ca="1" si="159"/>
        <v>12</v>
      </c>
      <c r="BW68" s="16" t="str">
        <f t="shared" ca="1" si="160"/>
        <v>-</v>
      </c>
      <c r="BX68" s="16" t="str">
        <f t="shared" ca="1" si="161"/>
        <v>-</v>
      </c>
      <c r="BY68" s="16">
        <f t="shared" ca="1" si="162"/>
        <v>12</v>
      </c>
      <c r="BZ68" s="16" t="str">
        <f t="shared" ca="1" si="163"/>
        <v>-</v>
      </c>
      <c r="CA68" s="16" t="str">
        <f t="shared" ca="1" si="164"/>
        <v>-</v>
      </c>
      <c r="CB68" s="16">
        <f t="shared" ca="1" si="165"/>
        <v>12</v>
      </c>
      <c r="CC68" s="16"/>
      <c r="CD68" s="16">
        <f t="shared" ca="1" si="166"/>
        <v>12</v>
      </c>
      <c r="CE68" s="16" t="str">
        <f t="shared" ca="1" si="167"/>
        <v>-</v>
      </c>
      <c r="CF68" s="16">
        <f t="shared" ca="1" si="168"/>
        <v>12</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Curazao</v>
      </c>
    </row>
    <row r="69" spans="1:121" ht="16" customHeight="1" x14ac:dyDescent="0.2">
      <c r="A69" s="16" t="str">
        <f ca="1">+Equipos!B34</f>
        <v>Francia</v>
      </c>
      <c r="B69" s="16"/>
      <c r="C69" s="16"/>
      <c r="D69" s="16" t="str">
        <f t="shared" si="196"/>
        <v>Visitante</v>
      </c>
      <c r="E69" s="16" t="str">
        <f t="shared" ca="1" si="197"/>
        <v>-</v>
      </c>
      <c r="F69" s="16" t="str">
        <f t="shared" ca="1" si="198"/>
        <v>P.2 (2)</v>
      </c>
      <c r="G69" s="16"/>
      <c r="H69" s="16" t="str">
        <f t="shared" ca="1" si="199"/>
        <v>-</v>
      </c>
      <c r="I69" s="16" t="str">
        <f t="shared" ca="1" si="200"/>
        <v>P.2 (2)</v>
      </c>
      <c r="J69" s="16"/>
      <c r="K69" s="16" t="str">
        <f t="shared" ca="1" si="201"/>
        <v>-</v>
      </c>
      <c r="L69" s="16" t="str">
        <f t="shared" ca="1" si="202"/>
        <v>P.2 (2)</v>
      </c>
      <c r="M69" s="16"/>
      <c r="N69" s="16" t="str">
        <f t="shared" ca="1" si="203"/>
        <v>-</v>
      </c>
      <c r="O69" s="16" t="str">
        <f t="shared" ca="1" si="204"/>
        <v>P.2 (2)</v>
      </c>
      <c r="P69" s="16"/>
      <c r="Q69" s="16" t="str">
        <f t="shared" ca="1" si="205"/>
        <v>-</v>
      </c>
      <c r="R69" s="16" t="str">
        <f t="shared" ca="1" si="206"/>
        <v>P.2 (2)</v>
      </c>
      <c r="S69" s="16"/>
      <c r="T69" s="16" t="str">
        <f t="shared" ca="1" si="207"/>
        <v>-</v>
      </c>
      <c r="U69" s="16" t="str">
        <f t="shared" ca="1" si="208"/>
        <v>P.2 (2)</v>
      </c>
      <c r="V69" s="17"/>
      <c r="W69" s="631"/>
      <c r="X69" s="24">
        <f ca="1">Horarios!C69</f>
        <v>46189.75</v>
      </c>
      <c r="Y69" s="25">
        <f ca="1">Horarios!C69</f>
        <v>46189.75</v>
      </c>
      <c r="Z69" s="26" t="str">
        <f>$Z$4</f>
        <v>J1</v>
      </c>
      <c r="AA69" s="27" t="str">
        <f ca="1">A71</f>
        <v>Irak</v>
      </c>
      <c r="AB69" s="49" t="str">
        <f t="array" aca="1" ref="AB69" ca="1">Ver_flag_local</f>
        <v/>
      </c>
      <c r="AC69" s="50">
        <v>0</v>
      </c>
      <c r="AD69" s="51">
        <v>2</v>
      </c>
      <c r="AE69" s="581"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143</v>
      </c>
      <c r="BD69" s="16" t="str">
        <f t="shared" ca="1" si="149"/>
        <v>Ghana</v>
      </c>
      <c r="BE69" s="16">
        <f t="shared" ca="1" si="193"/>
        <v>3</v>
      </c>
      <c r="BF69" s="16">
        <f t="shared" ca="1" si="150"/>
        <v>3</v>
      </c>
      <c r="BG69" s="16">
        <f t="shared" ca="1" si="174"/>
        <v>1</v>
      </c>
      <c r="BH69" s="16">
        <f t="shared" ca="1" si="175"/>
        <v>0</v>
      </c>
      <c r="BI69" s="16">
        <f t="shared" ca="1" si="176"/>
        <v>2</v>
      </c>
      <c r="BJ69" s="16">
        <f t="shared" ca="1" si="177"/>
        <v>3</v>
      </c>
      <c r="BK69" s="16">
        <f t="shared" ca="1" si="178"/>
        <v>3</v>
      </c>
      <c r="BL69" s="16">
        <f t="shared" ca="1" si="151"/>
        <v>0</v>
      </c>
      <c r="BM69" s="16">
        <f t="shared" ca="1" si="152"/>
        <v>4</v>
      </c>
      <c r="BN69" s="16">
        <f t="shared" ca="1" si="153"/>
        <v>4</v>
      </c>
      <c r="BO69" s="16" t="str">
        <f t="shared" si="154"/>
        <v>4L</v>
      </c>
      <c r="BP69" s="16"/>
      <c r="BQ69" s="16"/>
      <c r="BR69" s="16">
        <f t="shared" ca="1" si="155"/>
        <v>3</v>
      </c>
      <c r="BS69" s="16">
        <f t="shared" ca="1" si="156"/>
        <v>4</v>
      </c>
      <c r="BT69" s="16" t="str">
        <f t="shared" ca="1" si="157"/>
        <v>Pos. 4 (4)</v>
      </c>
      <c r="BU69" s="16">
        <f t="shared" ca="1" si="158"/>
        <v>0</v>
      </c>
      <c r="BV69" s="16">
        <f t="shared" ca="1" si="159"/>
        <v>4</v>
      </c>
      <c r="BW69" s="16" t="str">
        <f t="shared" ca="1" si="160"/>
        <v>-</v>
      </c>
      <c r="BX69" s="16" t="str">
        <f t="shared" ca="1" si="161"/>
        <v>-</v>
      </c>
      <c r="BY69" s="16">
        <f t="shared" ca="1" si="162"/>
        <v>4</v>
      </c>
      <c r="BZ69" s="16" t="str">
        <f t="shared" ca="1" si="163"/>
        <v>-</v>
      </c>
      <c r="CA69" s="16" t="str">
        <f t="shared" ca="1" si="164"/>
        <v>-</v>
      </c>
      <c r="CB69" s="16">
        <f t="shared" ca="1" si="165"/>
        <v>4</v>
      </c>
      <c r="CC69" s="16"/>
      <c r="CD69" s="16">
        <f t="shared" ca="1" si="166"/>
        <v>4</v>
      </c>
      <c r="CE69" s="16" t="str">
        <f t="shared" ca="1" si="167"/>
        <v>-</v>
      </c>
      <c r="CF69" s="16">
        <f t="shared" ca="1" si="168"/>
        <v>4</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RD Congo</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31"/>
      <c r="X70" s="24">
        <f ca="1">Horarios!C70</f>
        <v>46195.708333333343</v>
      </c>
      <c r="Y70" s="25">
        <f ca="1">Horarios!C70</f>
        <v>46195.708333333343</v>
      </c>
      <c r="Z70" s="26" t="str">
        <f>$Z$6</f>
        <v>J2</v>
      </c>
      <c r="AA70" s="27" t="str">
        <f ca="1">A69</f>
        <v>Francia</v>
      </c>
      <c r="AB70" s="49" t="str">
        <f t="array" aca="1" ref="AB70" ca="1">Ver_flag_local</f>
        <v/>
      </c>
      <c r="AC70" s="50">
        <v>4</v>
      </c>
      <c r="AD70" s="51">
        <v>0</v>
      </c>
      <c r="AE70" s="581" t="str">
        <f t="array" aca="1" ref="AE70" ca="1">Ver_flag_visit</f>
        <v/>
      </c>
      <c r="AF70" s="32" t="str">
        <f ca="1">A71</f>
        <v>Irak</v>
      </c>
      <c r="AG70" s="316">
        <f t="shared" si="209"/>
        <v>1</v>
      </c>
      <c r="AH70" s="195">
        <v>42</v>
      </c>
      <c r="AI70" s="181" t="str">
        <f>AJ70&amp;$B$68</f>
        <v>1I</v>
      </c>
      <c r="AJ70" s="40">
        <v>1</v>
      </c>
      <c r="AK70" s="587"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11</v>
      </c>
      <c r="AS70" s="36">
        <f t="shared" ca="1" si="211"/>
        <v>1</v>
      </c>
      <c r="AT70" s="41">
        <f t="shared" ca="1" si="211"/>
        <v>10</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Empate</v>
      </c>
      <c r="E71" s="16" t="str">
        <f t="shared" ca="1" si="197"/>
        <v>P.2 (2)</v>
      </c>
      <c r="F71" s="16" t="str">
        <f t="shared" ca="1" si="198"/>
        <v>P.2 (2)</v>
      </c>
      <c r="G71" s="16"/>
      <c r="H71" s="16" t="str">
        <f t="shared" ca="1" si="199"/>
        <v>P.2 (2)</v>
      </c>
      <c r="I71" s="16" t="str">
        <f t="shared" ca="1" si="200"/>
        <v>P.2 (2)</v>
      </c>
      <c r="J71" s="16"/>
      <c r="K71" s="16" t="str">
        <f t="shared" ca="1" si="201"/>
        <v>P.2 (2)</v>
      </c>
      <c r="L71" s="16" t="str">
        <f t="shared" ca="1" si="202"/>
        <v>P.2 (2)</v>
      </c>
      <c r="M71" s="16"/>
      <c r="N71" s="16" t="str">
        <f t="shared" ca="1" si="203"/>
        <v>P.2 (2)</v>
      </c>
      <c r="O71" s="16" t="str">
        <f t="shared" ca="1" si="204"/>
        <v>P.2 (2)</v>
      </c>
      <c r="P71" s="16"/>
      <c r="Q71" s="16" t="str">
        <f t="shared" ca="1" si="205"/>
        <v>P.2 (2)</v>
      </c>
      <c r="R71" s="16" t="str">
        <f t="shared" ca="1" si="206"/>
        <v>P.2 (2)</v>
      </c>
      <c r="S71" s="16"/>
      <c r="T71" s="16" t="str">
        <f t="shared" ca="1" si="207"/>
        <v>P.2 (2)</v>
      </c>
      <c r="U71" s="16" t="str">
        <f t="shared" ca="1" si="208"/>
        <v>P.2 (2)</v>
      </c>
      <c r="V71" s="17"/>
      <c r="W71" s="631"/>
      <c r="X71" s="24">
        <f ca="1">Horarios!C71</f>
        <v>46195.833333333343</v>
      </c>
      <c r="Y71" s="25">
        <f ca="1">Horarios!C71</f>
        <v>46195.833333333343</v>
      </c>
      <c r="Z71" s="26" t="str">
        <f>$Z$6</f>
        <v>J2</v>
      </c>
      <c r="AA71" s="27" t="str">
        <f ca="1">A72</f>
        <v>Noruega</v>
      </c>
      <c r="AB71" s="49" t="str">
        <f t="array" aca="1" ref="AB71" ca="1">Ver_flag_local</f>
        <v/>
      </c>
      <c r="AC71" s="50">
        <v>0</v>
      </c>
      <c r="AD71" s="51">
        <v>0</v>
      </c>
      <c r="AE71" s="581" t="str">
        <f t="array" aca="1" ref="AE71" ca="1">Ver_flag_visit</f>
        <v/>
      </c>
      <c r="AF71" s="32" t="str">
        <f ca="1">A70</f>
        <v>Senegal</v>
      </c>
      <c r="AG71" s="316">
        <f t="shared" si="209"/>
        <v>1</v>
      </c>
      <c r="AH71" s="195">
        <v>41</v>
      </c>
      <c r="AI71" s="181" t="str">
        <f>AJ71&amp;$B$68</f>
        <v>2I</v>
      </c>
      <c r="AJ71" s="42">
        <v>2</v>
      </c>
      <c r="AK71" s="588" t="str">
        <f t="array" aca="1" ref="AK71" ca="1">Ver_flag_visit</f>
        <v/>
      </c>
      <c r="AL71" s="37" t="str">
        <f ca="1">IFERROR(INDEX($BD$6:$BD$53,MATCH(AI71,$BN$6:$BN$53,0)),"")</f>
        <v>Noruega</v>
      </c>
      <c r="AM71" s="38">
        <f t="shared" ca="1" si="211"/>
        <v>4</v>
      </c>
      <c r="AN71" s="39">
        <f t="shared" ca="1" si="211"/>
        <v>3</v>
      </c>
      <c r="AO71" s="39">
        <f t="shared" ca="1" si="211"/>
        <v>1</v>
      </c>
      <c r="AP71" s="39">
        <f t="shared" ca="1" si="211"/>
        <v>1</v>
      </c>
      <c r="AQ71" s="39">
        <f t="shared" ca="1" si="211"/>
        <v>1</v>
      </c>
      <c r="AR71" s="39">
        <f t="shared" ca="1" si="211"/>
        <v>3</v>
      </c>
      <c r="AS71" s="39">
        <f t="shared" ca="1" si="211"/>
        <v>3</v>
      </c>
      <c r="AT71" s="43">
        <f t="shared" ca="1" si="211"/>
        <v>0</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Visitante</v>
      </c>
      <c r="E72" s="16" t="str">
        <f t="shared" ca="1" si="197"/>
        <v>P.2 (2)</v>
      </c>
      <c r="F72" s="16" t="str">
        <f t="shared" ca="1" si="198"/>
        <v>-</v>
      </c>
      <c r="G72" s="16"/>
      <c r="H72" s="16" t="str">
        <f t="shared" ca="1" si="199"/>
        <v>P.2 (2)</v>
      </c>
      <c r="I72" s="16" t="str">
        <f t="shared" ca="1" si="200"/>
        <v>-</v>
      </c>
      <c r="J72" s="16"/>
      <c r="K72" s="16" t="str">
        <f t="shared" ca="1" si="201"/>
        <v>P.2 (2)</v>
      </c>
      <c r="L72" s="16" t="str">
        <f t="shared" ca="1" si="202"/>
        <v>-</v>
      </c>
      <c r="M72" s="16"/>
      <c r="N72" s="16" t="str">
        <f t="shared" ca="1" si="203"/>
        <v>P.2 (2)</v>
      </c>
      <c r="O72" s="16" t="str">
        <f t="shared" ca="1" si="204"/>
        <v>-</v>
      </c>
      <c r="P72" s="16"/>
      <c r="Q72" s="16" t="str">
        <f t="shared" ca="1" si="205"/>
        <v>P.2 (2)</v>
      </c>
      <c r="R72" s="16" t="str">
        <f t="shared" ca="1" si="206"/>
        <v>-</v>
      </c>
      <c r="S72" s="16"/>
      <c r="T72" s="16" t="str">
        <f t="shared" ca="1" si="207"/>
        <v>P.2 (2)</v>
      </c>
      <c r="U72" s="16" t="str">
        <f t="shared" ca="1" si="208"/>
        <v>-</v>
      </c>
      <c r="V72" s="17"/>
      <c r="W72" s="631"/>
      <c r="X72" s="24">
        <f ca="1">Horarios!C72</f>
        <v>46199.625</v>
      </c>
      <c r="Y72" s="25">
        <f ca="1">Horarios!C72</f>
        <v>46199.625</v>
      </c>
      <c r="Z72" s="26" t="str">
        <f>$Z$8</f>
        <v>J3</v>
      </c>
      <c r="AA72" s="27" t="str">
        <f ca="1">A72</f>
        <v>Noruega</v>
      </c>
      <c r="AB72" s="49" t="str">
        <f t="array" aca="1" ref="AB72" ca="1">Ver_flag_local</f>
        <v/>
      </c>
      <c r="AC72" s="50">
        <v>1</v>
      </c>
      <c r="AD72" s="51">
        <v>3</v>
      </c>
      <c r="AE72" s="581" t="str">
        <f t="array" aca="1" ref="AE72" ca="1">Ver_flag_visit</f>
        <v/>
      </c>
      <c r="AF72" s="32" t="str">
        <f ca="1">A69</f>
        <v>Francia</v>
      </c>
      <c r="AG72" s="316">
        <f t="shared" si="209"/>
        <v>1</v>
      </c>
      <c r="AH72" s="195">
        <v>61</v>
      </c>
      <c r="AI72" s="181" t="str">
        <f>AJ72&amp;$B$68</f>
        <v>3I</v>
      </c>
      <c r="AJ72" s="42">
        <v>3</v>
      </c>
      <c r="AK72" s="588" t="str">
        <f t="array" aca="1" ref="AK72" ca="1">Ver_flag_visit</f>
        <v/>
      </c>
      <c r="AL72" s="37" t="str">
        <f ca="1">IFERROR(INDEX($BD$6:$BD$53,MATCH(AI72,$BN$6:$BN$53,0)),"")</f>
        <v>Senegal</v>
      </c>
      <c r="AM72" s="38">
        <f t="shared" ca="1" si="211"/>
        <v>4</v>
      </c>
      <c r="AN72" s="39">
        <f t="shared" ca="1" si="211"/>
        <v>3</v>
      </c>
      <c r="AO72" s="39">
        <f t="shared" ca="1" si="211"/>
        <v>1</v>
      </c>
      <c r="AP72" s="39">
        <f t="shared" ca="1" si="211"/>
        <v>1</v>
      </c>
      <c r="AQ72" s="39">
        <f t="shared" ca="1" si="211"/>
        <v>1</v>
      </c>
      <c r="AR72" s="39">
        <f t="shared" ca="1" si="211"/>
        <v>3</v>
      </c>
      <c r="AS72" s="39">
        <f t="shared" ca="1" si="211"/>
        <v>5</v>
      </c>
      <c r="AT72" s="43">
        <f t="shared" ca="1" si="211"/>
        <v>-2</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P.2 (2)</v>
      </c>
      <c r="F73" s="16" t="str">
        <f t="shared" ca="1" si="198"/>
        <v>-</v>
      </c>
      <c r="G73" s="16"/>
      <c r="H73" s="16" t="str">
        <f t="shared" ca="1" si="199"/>
        <v>P.2 (2)</v>
      </c>
      <c r="I73" s="16" t="str">
        <f t="shared" ca="1" si="200"/>
        <v>-</v>
      </c>
      <c r="J73" s="16"/>
      <c r="K73" s="16" t="str">
        <f t="shared" ca="1" si="201"/>
        <v>P.2 (2)</v>
      </c>
      <c r="L73" s="16" t="str">
        <f t="shared" ca="1" si="202"/>
        <v>-</v>
      </c>
      <c r="M73" s="16"/>
      <c r="N73" s="16" t="str">
        <f t="shared" ca="1" si="203"/>
        <v>P.2 (2)</v>
      </c>
      <c r="O73" s="16" t="str">
        <f t="shared" ca="1" si="204"/>
        <v>-</v>
      </c>
      <c r="P73" s="16"/>
      <c r="Q73" s="16" t="str">
        <f t="shared" ca="1" si="205"/>
        <v>P.2 (2)</v>
      </c>
      <c r="R73" s="16" t="str">
        <f t="shared" ca="1" si="206"/>
        <v>-</v>
      </c>
      <c r="S73" s="16"/>
      <c r="T73" s="16" t="str">
        <f t="shared" ca="1" si="207"/>
        <v>P.2 (2)</v>
      </c>
      <c r="U73" s="16" t="str">
        <f t="shared" ca="1" si="208"/>
        <v>-</v>
      </c>
      <c r="V73" s="17"/>
      <c r="W73" s="632"/>
      <c r="X73" s="28">
        <f ca="1">Horarios!C73</f>
        <v>46199.625</v>
      </c>
      <c r="Y73" s="29">
        <f ca="1">Horarios!C73</f>
        <v>46199.625</v>
      </c>
      <c r="Z73" s="30" t="str">
        <f>$Z$8</f>
        <v>J3</v>
      </c>
      <c r="AA73" s="31" t="str">
        <f ca="1">A70</f>
        <v>Senegal</v>
      </c>
      <c r="AB73" s="52" t="str">
        <f t="array" aca="1" ref="AB73" ca="1">Ver_flag_local</f>
        <v/>
      </c>
      <c r="AC73" s="53">
        <v>3</v>
      </c>
      <c r="AD73" s="54">
        <v>1</v>
      </c>
      <c r="AE73" s="582" t="str">
        <f t="array" aca="1" ref="AE73" ca="1">Ver_flag_visit</f>
        <v/>
      </c>
      <c r="AF73" s="33" t="str">
        <f ca="1">A71</f>
        <v>Irak</v>
      </c>
      <c r="AG73" s="316">
        <f t="shared" si="209"/>
        <v>1</v>
      </c>
      <c r="AH73" s="195">
        <v>62</v>
      </c>
      <c r="AI73" s="181" t="str">
        <f>AJ73&amp;$B$68</f>
        <v>4I</v>
      </c>
      <c r="AJ73" s="44">
        <v>4</v>
      </c>
      <c r="AK73" s="590"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1</v>
      </c>
      <c r="AS73" s="47">
        <f t="shared" ca="1" si="211"/>
        <v>9</v>
      </c>
      <c r="AT73" s="48">
        <f t="shared" ca="1" si="211"/>
        <v>-8</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6"/>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28</v>
      </c>
      <c r="B76" s="16" t="s">
        <v>141</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v>
      </c>
      <c r="G76" s="16"/>
      <c r="H76" s="16" t="str">
        <f t="shared" ref="H76:H81" ca="1" si="215">IF(D76="Pendiente","-",INDEX($BZ$6:$BZ$53,MATCH($AA76,$BD$6:$BD$53,0)))</f>
        <v>-</v>
      </c>
      <c r="I76" s="16" t="str">
        <f t="shared" ref="I76:I81" ca="1" si="216">IF(D76="Pendiente","-",INDEX($BZ$6:$BZ$53,MATCH($AF76,$BD$6:$BD$53,0)))</f>
        <v>-</v>
      </c>
      <c r="J76" s="16"/>
      <c r="K76" s="16" t="str">
        <f t="shared" ref="K76:K81" ca="1" si="217">IF(D76="Pendiente","-",INDEX($CE$6:$CE$53,MATCH($AA76,$BD$6:$BD$53,0)))</f>
        <v>-</v>
      </c>
      <c r="L76" s="16" t="str">
        <f t="shared" ref="L76:L81" ca="1" si="218">IF(D76="Pendiente","-",INDEX($CE$6:$CE$53,MATCH($AF76,$BD$6:$BD$53,0)))</f>
        <v>-</v>
      </c>
      <c r="M76" s="16"/>
      <c r="N76" s="16" t="str">
        <f t="shared" ref="N76:N81" ca="1" si="219">IF(D76="Pendiente","-",INDEX($CH$6:$CH$53,MATCH($AA76,$BD$6:$BD$53,0)))</f>
        <v>-</v>
      </c>
      <c r="O76" s="16" t="str">
        <f t="shared" ref="O76:O81" ca="1" si="220">IF(D76="Pendiente","-",INDEX($CH$6:$CH$53,MATCH($AF76,$BD$6:$BD$53,0)))</f>
        <v>-</v>
      </c>
      <c r="P76" s="16"/>
      <c r="Q76" s="16" t="str">
        <f t="shared" ref="Q76:Q81" ca="1" si="221">IF(D76="Pendiente","-",INDEX($CN$6:$CN$53,MATCH($AA76,$BD$6:$BD$53,0)))</f>
        <v>-</v>
      </c>
      <c r="R76" s="16" t="str">
        <f t="shared" ref="R76:R81" ca="1" si="222">IF(D76="Pendiente","-",INDEX($CN$6:$CN$53,MATCH($AF76,$BD$6:$BD$53,0)))</f>
        <v>-</v>
      </c>
      <c r="S76" s="16"/>
      <c r="T76" s="16" t="str">
        <f t="shared" ref="T76:T81" ca="1" si="223">IF(D76="Pendiente","-",INDEX($CS$6:$CS$53,MATCH($AA76,$BD$6:$BD$53,0)))</f>
        <v>-</v>
      </c>
      <c r="U76" s="16" t="str">
        <f t="shared" ref="U76:U81" ca="1" si="224">IF(D76="Pendiente","-",INDEX($CS$6:$CS$53,MATCH($AF76,$BD$6:$BD$53,0)))</f>
        <v>-</v>
      </c>
      <c r="V76" s="17"/>
      <c r="W76" s="636" t="s">
        <v>141</v>
      </c>
      <c r="X76" s="24">
        <f ca="1">Horarios!C76</f>
        <v>46189.875</v>
      </c>
      <c r="Y76" s="25">
        <f ca="1">Horarios!C76</f>
        <v>46189.875</v>
      </c>
      <c r="Z76" s="26" t="str">
        <f>$Z$4</f>
        <v>J1</v>
      </c>
      <c r="AA76" s="27" t="str">
        <f ca="1">A77</f>
        <v>Argentina</v>
      </c>
      <c r="AB76" s="49" t="str">
        <f t="array" aca="1" ref="AB76" ca="1">Ver_flag_local</f>
        <v/>
      </c>
      <c r="AC76" s="50">
        <v>3</v>
      </c>
      <c r="AD76" s="51">
        <v>0</v>
      </c>
      <c r="AE76" s="581"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v>
      </c>
      <c r="F77" s="16" t="str">
        <f t="shared" ca="1" si="214"/>
        <v>-</v>
      </c>
      <c r="G77" s="16"/>
      <c r="H77" s="16" t="str">
        <f t="shared" ca="1" si="215"/>
        <v>-</v>
      </c>
      <c r="I77" s="16" t="str">
        <f t="shared" ca="1" si="216"/>
        <v>-</v>
      </c>
      <c r="J77" s="16"/>
      <c r="K77" s="16" t="str">
        <f t="shared" ca="1" si="217"/>
        <v>-</v>
      </c>
      <c r="L77" s="16" t="str">
        <f t="shared" ca="1" si="218"/>
        <v>-</v>
      </c>
      <c r="M77" s="16"/>
      <c r="N77" s="16" t="str">
        <f t="shared" ca="1" si="219"/>
        <v>-</v>
      </c>
      <c r="O77" s="16" t="str">
        <f t="shared" ca="1" si="220"/>
        <v>-</v>
      </c>
      <c r="P77" s="16"/>
      <c r="Q77" s="16" t="str">
        <f t="shared" ca="1" si="221"/>
        <v>-</v>
      </c>
      <c r="R77" s="16" t="str">
        <f t="shared" ca="1" si="222"/>
        <v>-</v>
      </c>
      <c r="S77" s="16"/>
      <c r="T77" s="16" t="str">
        <f t="shared" ca="1" si="223"/>
        <v>-</v>
      </c>
      <c r="U77" s="16" t="str">
        <f t="shared" ca="1" si="224"/>
        <v>-</v>
      </c>
      <c r="V77" s="17"/>
      <c r="W77" s="631"/>
      <c r="X77" s="24">
        <f ca="1">Horarios!C77</f>
        <v>46190</v>
      </c>
      <c r="Y77" s="25">
        <f ca="1">Horarios!C77</f>
        <v>46190</v>
      </c>
      <c r="Z77" s="26" t="str">
        <f>$Z$4</f>
        <v>J1</v>
      </c>
      <c r="AA77" s="27" t="str">
        <f ca="1">A79</f>
        <v>Austria</v>
      </c>
      <c r="AB77" s="49" t="str">
        <f t="array" aca="1" ref="AB77" ca="1">Ver_flag_local</f>
        <v/>
      </c>
      <c r="AC77" s="50">
        <v>2</v>
      </c>
      <c r="AD77" s="51">
        <v>0</v>
      </c>
      <c r="AE77" s="581"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v>
      </c>
      <c r="G78" s="16"/>
      <c r="H78" s="16" t="str">
        <f t="shared" ca="1" si="215"/>
        <v>-</v>
      </c>
      <c r="I78" s="16" t="str">
        <f t="shared" ca="1" si="216"/>
        <v>-</v>
      </c>
      <c r="J78" s="16"/>
      <c r="K78" s="16" t="str">
        <f t="shared" ca="1" si="217"/>
        <v>-</v>
      </c>
      <c r="L78" s="16" t="str">
        <f t="shared" ca="1" si="218"/>
        <v>-</v>
      </c>
      <c r="M78" s="16"/>
      <c r="N78" s="16" t="str">
        <f t="shared" ca="1" si="219"/>
        <v>-</v>
      </c>
      <c r="O78" s="16" t="str">
        <f t="shared" ca="1" si="220"/>
        <v>-</v>
      </c>
      <c r="P78" s="16"/>
      <c r="Q78" s="16" t="str">
        <f t="shared" ca="1" si="221"/>
        <v>-</v>
      </c>
      <c r="R78" s="16" t="str">
        <f t="shared" ca="1" si="222"/>
        <v>-</v>
      </c>
      <c r="S78" s="16"/>
      <c r="T78" s="16" t="str">
        <f t="shared" ca="1" si="223"/>
        <v>-</v>
      </c>
      <c r="U78" s="16" t="str">
        <f t="shared" ca="1" si="224"/>
        <v>-</v>
      </c>
      <c r="V78" s="17"/>
      <c r="W78" s="631"/>
      <c r="X78" s="24">
        <f ca="1">Horarios!C78</f>
        <v>46195.541666666657</v>
      </c>
      <c r="Y78" s="25">
        <f ca="1">Horarios!C78</f>
        <v>46195.541666666657</v>
      </c>
      <c r="Z78" s="26" t="str">
        <f>$Z$6</f>
        <v>J2</v>
      </c>
      <c r="AA78" s="27" t="str">
        <f ca="1">A77</f>
        <v>Argentina</v>
      </c>
      <c r="AB78" s="49" t="str">
        <f t="array" aca="1" ref="AB78" ca="1">Ver_flag_local</f>
        <v/>
      </c>
      <c r="AC78" s="50">
        <v>2</v>
      </c>
      <c r="AD78" s="51">
        <v>0</v>
      </c>
      <c r="AE78" s="581" t="str">
        <f t="array" aca="1" ref="AE78" ca="1">Ver_flag_visit</f>
        <v/>
      </c>
      <c r="AF78" s="32" t="str">
        <f ca="1">A79</f>
        <v>Austria</v>
      </c>
      <c r="AG78" s="316">
        <f t="shared" si="225"/>
        <v>1</v>
      </c>
      <c r="AH78" s="195">
        <v>43</v>
      </c>
      <c r="AI78" s="181" t="str">
        <f>AJ78&amp;$B$76</f>
        <v>1J</v>
      </c>
      <c r="AJ78" s="40">
        <v>1</v>
      </c>
      <c r="AK78" s="587"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9</v>
      </c>
      <c r="AS78" s="36">
        <f t="shared" ca="1" si="227"/>
        <v>0</v>
      </c>
      <c r="AT78" s="41">
        <f t="shared" ca="1" si="227"/>
        <v>9</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Empate</v>
      </c>
      <c r="E79" s="16" t="str">
        <f t="shared" ca="1" si="213"/>
        <v>-</v>
      </c>
      <c r="F79" s="16" t="str">
        <f t="shared" ca="1" si="214"/>
        <v>-</v>
      </c>
      <c r="G79" s="16"/>
      <c r="H79" s="16" t="str">
        <f t="shared" ca="1" si="215"/>
        <v>-</v>
      </c>
      <c r="I79" s="16" t="str">
        <f t="shared" ca="1" si="216"/>
        <v>-</v>
      </c>
      <c r="J79" s="16"/>
      <c r="K79" s="16" t="str">
        <f t="shared" ca="1" si="217"/>
        <v>-</v>
      </c>
      <c r="L79" s="16" t="str">
        <f t="shared" ca="1" si="218"/>
        <v>-</v>
      </c>
      <c r="M79" s="16"/>
      <c r="N79" s="16" t="str">
        <f t="shared" ca="1" si="219"/>
        <v>-</v>
      </c>
      <c r="O79" s="16" t="str">
        <f t="shared" ca="1" si="220"/>
        <v>-</v>
      </c>
      <c r="P79" s="16"/>
      <c r="Q79" s="16" t="str">
        <f t="shared" ca="1" si="221"/>
        <v>-</v>
      </c>
      <c r="R79" s="16" t="str">
        <f t="shared" ca="1" si="222"/>
        <v>-</v>
      </c>
      <c r="S79" s="16"/>
      <c r="T79" s="16" t="str">
        <f t="shared" ca="1" si="223"/>
        <v>-</v>
      </c>
      <c r="U79" s="16" t="str">
        <f t="shared" ca="1" si="224"/>
        <v>-</v>
      </c>
      <c r="V79" s="17"/>
      <c r="W79" s="631"/>
      <c r="X79" s="24">
        <f ca="1">Horarios!C79</f>
        <v>46195.958333333343</v>
      </c>
      <c r="Y79" s="25">
        <f ca="1">Horarios!C79</f>
        <v>46195.958333333343</v>
      </c>
      <c r="Z79" s="26" t="str">
        <f>$Z$6</f>
        <v>J2</v>
      </c>
      <c r="AA79" s="27" t="str">
        <f ca="1">A80</f>
        <v>Jordania</v>
      </c>
      <c r="AB79" s="49" t="str">
        <f t="array" aca="1" ref="AB79" ca="1">Ver_flag_local</f>
        <v/>
      </c>
      <c r="AC79" s="50">
        <v>1</v>
      </c>
      <c r="AD79" s="51">
        <v>1</v>
      </c>
      <c r="AE79" s="581" t="str">
        <f t="array" aca="1" ref="AE79" ca="1">Ver_flag_visit</f>
        <v/>
      </c>
      <c r="AF79" s="32" t="str">
        <f ca="1">A78</f>
        <v>Argelia</v>
      </c>
      <c r="AG79" s="316">
        <f t="shared" si="225"/>
        <v>1</v>
      </c>
      <c r="AH79" s="195">
        <v>44</v>
      </c>
      <c r="AI79" s="181" t="str">
        <f>AJ79&amp;$B$76</f>
        <v>2J</v>
      </c>
      <c r="AJ79" s="42">
        <v>2</v>
      </c>
      <c r="AK79" s="588" t="str">
        <f t="array" aca="1" ref="AK79" ca="1">Ver_flag_visit</f>
        <v/>
      </c>
      <c r="AL79" s="37" t="str">
        <f ca="1">IFERROR(INDEX($BD$6:$BD$53,MATCH(AI79,$BN$6:$BN$53,0)),"")</f>
        <v>Austria</v>
      </c>
      <c r="AM79" s="38">
        <f t="shared" ca="1" si="227"/>
        <v>4</v>
      </c>
      <c r="AN79" s="39">
        <f t="shared" ca="1" si="227"/>
        <v>3</v>
      </c>
      <c r="AO79" s="39">
        <f t="shared" ca="1" si="227"/>
        <v>1</v>
      </c>
      <c r="AP79" s="39">
        <f t="shared" ca="1" si="227"/>
        <v>1</v>
      </c>
      <c r="AQ79" s="39">
        <f t="shared" ca="1" si="227"/>
        <v>1</v>
      </c>
      <c r="AR79" s="39">
        <f t="shared" ca="1" si="227"/>
        <v>2</v>
      </c>
      <c r="AS79" s="39">
        <f t="shared" ca="1" si="227"/>
        <v>2</v>
      </c>
      <c r="AT79" s="43">
        <f t="shared" ca="1" si="227"/>
        <v>0</v>
      </c>
      <c r="AU79" s="323">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12"/>
        <v>Empate</v>
      </c>
      <c r="E80" s="16" t="str">
        <f t="shared" ca="1" si="213"/>
        <v>-</v>
      </c>
      <c r="F80" s="16" t="str">
        <f t="shared" ca="1" si="214"/>
        <v>-</v>
      </c>
      <c r="G80" s="16"/>
      <c r="H80" s="16" t="str">
        <f t="shared" ca="1" si="215"/>
        <v>-</v>
      </c>
      <c r="I80" s="16" t="str">
        <f t="shared" ca="1" si="216"/>
        <v>-</v>
      </c>
      <c r="J80" s="16"/>
      <c r="K80" s="16" t="str">
        <f t="shared" ca="1" si="217"/>
        <v>-</v>
      </c>
      <c r="L80" s="16" t="str">
        <f t="shared" ca="1" si="218"/>
        <v>-</v>
      </c>
      <c r="M80" s="16"/>
      <c r="N80" s="16" t="str">
        <f t="shared" ca="1" si="219"/>
        <v>-</v>
      </c>
      <c r="O80" s="16" t="str">
        <f t="shared" ca="1" si="220"/>
        <v>-</v>
      </c>
      <c r="P80" s="16"/>
      <c r="Q80" s="16" t="str">
        <f t="shared" ca="1" si="221"/>
        <v>-</v>
      </c>
      <c r="R80" s="16" t="str">
        <f t="shared" ca="1" si="222"/>
        <v>-</v>
      </c>
      <c r="S80" s="16"/>
      <c r="T80" s="16" t="str">
        <f t="shared" ca="1" si="223"/>
        <v>-</v>
      </c>
      <c r="U80" s="16" t="str">
        <f t="shared" ca="1" si="224"/>
        <v>-</v>
      </c>
      <c r="V80" s="17"/>
      <c r="W80" s="631"/>
      <c r="X80" s="24">
        <f ca="1">Horarios!C80</f>
        <v>46200.916666666657</v>
      </c>
      <c r="Y80" s="25">
        <f ca="1">Horarios!C80</f>
        <v>46200.916666666657</v>
      </c>
      <c r="Z80" s="26" t="str">
        <f>$Z$8</f>
        <v>J3</v>
      </c>
      <c r="AA80" s="27" t="str">
        <f ca="1">A78</f>
        <v>Argelia</v>
      </c>
      <c r="AB80" s="49" t="str">
        <f t="array" aca="1" ref="AB80" ca="1">Ver_flag_local</f>
        <v/>
      </c>
      <c r="AC80" s="50">
        <v>0</v>
      </c>
      <c r="AD80" s="51">
        <v>0</v>
      </c>
      <c r="AE80" s="581" t="str">
        <f t="array" aca="1" ref="AE80" ca="1">Ver_flag_visit</f>
        <v/>
      </c>
      <c r="AF80" s="32" t="str">
        <f ca="1">A79</f>
        <v>Austria</v>
      </c>
      <c r="AG80" s="316">
        <f t="shared" si="225"/>
        <v>1</v>
      </c>
      <c r="AH80" s="195">
        <v>69</v>
      </c>
      <c r="AI80" s="181" t="str">
        <f>AJ80&amp;$B$76</f>
        <v>3J</v>
      </c>
      <c r="AJ80" s="42">
        <v>3</v>
      </c>
      <c r="AK80" s="588" t="str">
        <f t="array" aca="1" ref="AK80" ca="1">Ver_flag_visit</f>
        <v/>
      </c>
      <c r="AL80" s="37" t="str">
        <f ca="1">IFERROR(INDEX($BD$6:$BD$53,MATCH(AI80,$BN$6:$BN$53,0)),"")</f>
        <v>Argelia</v>
      </c>
      <c r="AM80" s="38">
        <f t="shared" ca="1" si="227"/>
        <v>2</v>
      </c>
      <c r="AN80" s="39">
        <f t="shared" ca="1" si="227"/>
        <v>3</v>
      </c>
      <c r="AO80" s="39">
        <f t="shared" ca="1" si="227"/>
        <v>0</v>
      </c>
      <c r="AP80" s="39">
        <f t="shared" ca="1" si="227"/>
        <v>2</v>
      </c>
      <c r="AQ80" s="39">
        <f t="shared" ca="1" si="227"/>
        <v>1</v>
      </c>
      <c r="AR80" s="39">
        <f t="shared" ca="1" si="227"/>
        <v>1</v>
      </c>
      <c r="AS80" s="39">
        <f t="shared" ca="1" si="227"/>
        <v>4</v>
      </c>
      <c r="AT80" s="43">
        <f t="shared" ca="1" si="227"/>
        <v>-3</v>
      </c>
      <c r="AU80" s="323">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32"/>
      <c r="X81" s="28">
        <f ca="1">Horarios!C81</f>
        <v>46200.916666666657</v>
      </c>
      <c r="Y81" s="29">
        <f ca="1">Horarios!C81</f>
        <v>46200.916666666657</v>
      </c>
      <c r="Z81" s="30" t="str">
        <f>$Z$8</f>
        <v>J3</v>
      </c>
      <c r="AA81" s="31" t="str">
        <f ca="1">A80</f>
        <v>Jordania</v>
      </c>
      <c r="AB81" s="52" t="str">
        <f t="array" aca="1" ref="AB81" ca="1">Ver_flag_local</f>
        <v/>
      </c>
      <c r="AC81" s="53">
        <v>0</v>
      </c>
      <c r="AD81" s="54">
        <v>4</v>
      </c>
      <c r="AE81" s="582" t="str">
        <f t="array" aca="1" ref="AE81" ca="1">Ver_flag_visit</f>
        <v/>
      </c>
      <c r="AF81" s="33" t="str">
        <f ca="1">A77</f>
        <v>Argentina</v>
      </c>
      <c r="AG81" s="316">
        <f t="shared" si="225"/>
        <v>1</v>
      </c>
      <c r="AH81" s="195">
        <v>70</v>
      </c>
      <c r="AI81" s="181" t="str">
        <f>AJ81&amp;$B$76</f>
        <v>4J</v>
      </c>
      <c r="AJ81" s="44">
        <v>4</v>
      </c>
      <c r="AK81" s="590" t="str">
        <f t="array" aca="1" ref="AK81" ca="1">Ver_flag_visit</f>
        <v/>
      </c>
      <c r="AL81" s="45" t="str">
        <f ca="1">IFERROR(INDEX($BD$6:$BD$53,MATCH(AI81,$BN$6:$BN$53,0)),"")</f>
        <v>Jordania</v>
      </c>
      <c r="AM81" s="46">
        <f t="shared" ca="1" si="227"/>
        <v>1</v>
      </c>
      <c r="AN81" s="47">
        <f t="shared" ca="1" si="227"/>
        <v>3</v>
      </c>
      <c r="AO81" s="47">
        <f t="shared" ca="1" si="227"/>
        <v>0</v>
      </c>
      <c r="AP81" s="47">
        <f t="shared" ca="1" si="227"/>
        <v>1</v>
      </c>
      <c r="AQ81" s="47">
        <f t="shared" ca="1" si="227"/>
        <v>2</v>
      </c>
      <c r="AR81" s="47">
        <f t="shared" ca="1" si="227"/>
        <v>1</v>
      </c>
      <c r="AS81" s="47">
        <f t="shared" ca="1" si="227"/>
        <v>7</v>
      </c>
      <c r="AT81" s="48">
        <f t="shared" ca="1" si="227"/>
        <v>-6</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6"/>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28</v>
      </c>
      <c r="B84" s="16" t="s">
        <v>142</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P.3 (2)</v>
      </c>
      <c r="G84" s="16"/>
      <c r="H84" s="16" t="str">
        <f t="shared" ref="H84:H89" ca="1" si="231">IF(D84="Pendiente","-",INDEX($BZ$6:$BZ$53,MATCH($AA84,$BD$6:$BD$53,0)))</f>
        <v>-</v>
      </c>
      <c r="I84" s="16" t="str">
        <f t="shared" ref="I84:I89" ca="1" si="232">IF(D84="Pendiente","-",INDEX($BZ$6:$BZ$53,MATCH($AF84,$BD$6:$BD$53,0)))</f>
        <v>P.3 (2)</v>
      </c>
      <c r="J84" s="16"/>
      <c r="K84" s="16" t="str">
        <f t="shared" ref="K84:K89" ca="1" si="233">IF(D84="Pendiente","-",INDEX($CE$6:$CE$53,MATCH($AA84,$BD$6:$BD$53,0)))</f>
        <v>-</v>
      </c>
      <c r="L84" s="16" t="str">
        <f t="shared" ref="L84:L89" ca="1" si="234">IF(D84="Pendiente","-",INDEX($CE$6:$CE$53,MATCH($AF84,$BD$6:$BD$53,0)))</f>
        <v>P.3 (2)</v>
      </c>
      <c r="M84" s="16"/>
      <c r="N84" s="16" t="str">
        <f t="shared" ref="N84:N89" ca="1" si="235">IF(D84="Pendiente","-",INDEX($CH$6:$CH$53,MATCH($AA84,$BD$6:$BD$53,0)))</f>
        <v>-</v>
      </c>
      <c r="O84" s="16" t="str">
        <f t="shared" ref="O84:O89" ca="1" si="236">IF(D84="Pendiente","-",INDEX($CH$6:$CH$53,MATCH($AF84,$BD$6:$BD$53,0)))</f>
        <v>P.3 (2)</v>
      </c>
      <c r="P84" s="16"/>
      <c r="Q84" s="16" t="str">
        <f t="shared" ref="Q84:Q89" ca="1" si="237">IF(D84="Pendiente","-",INDEX($CN$6:$CN$53,MATCH($AA84,$BD$6:$BD$53,0)))</f>
        <v>-</v>
      </c>
      <c r="R84" s="16" t="str">
        <f t="shared" ref="R84:R89" ca="1" si="238">IF(D84="Pendiente","-",INDEX($CN$6:$CN$53,MATCH($AF84,$BD$6:$BD$53,0)))</f>
        <v>P.3 (2)</v>
      </c>
      <c r="S84" s="16"/>
      <c r="T84" s="16" t="str">
        <f t="shared" ref="T84:T89" ca="1" si="239">IF(D84="Pendiente","-",INDEX($CS$6:$CS$53,MATCH($AA84,$BD$6:$BD$53,0)))</f>
        <v>-</v>
      </c>
      <c r="U84" s="16" t="str">
        <f t="shared" ref="U84:U89" ca="1" si="240">IF(D84="Pendiente","-",INDEX($CS$6:$CS$53,MATCH($AF84,$BD$6:$BD$53,0)))</f>
        <v>P.3 (2)</v>
      </c>
      <c r="V84" s="17"/>
      <c r="W84" s="645" t="s">
        <v>142</v>
      </c>
      <c r="X84" s="24">
        <f ca="1">Horarios!C84</f>
        <v>46190.541666666657</v>
      </c>
      <c r="Y84" s="25">
        <f ca="1">Horarios!C84</f>
        <v>46190.541666666657</v>
      </c>
      <c r="Z84" s="26" t="str">
        <f>$Z$4</f>
        <v>J1</v>
      </c>
      <c r="AA84" s="27" t="str">
        <f ca="1">A85</f>
        <v>Portugal</v>
      </c>
      <c r="AB84" s="49" t="str">
        <f t="array" aca="1" ref="AB84" ca="1">Ver_flag_local</f>
        <v/>
      </c>
      <c r="AC84" s="50">
        <v>3</v>
      </c>
      <c r="AD84" s="51">
        <v>0</v>
      </c>
      <c r="AE84" s="581"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¡EMPATE! Puedes seleccionar el orden de los empatados.</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P.3 (2)</v>
      </c>
      <c r="F85" s="16" t="str">
        <f t="shared" ca="1" si="230"/>
        <v>-</v>
      </c>
      <c r="G85" s="16"/>
      <c r="H85" s="16" t="str">
        <f t="shared" ca="1" si="231"/>
        <v>P.3 (2)</v>
      </c>
      <c r="I85" s="16" t="str">
        <f t="shared" ca="1" si="232"/>
        <v>-</v>
      </c>
      <c r="J85" s="16"/>
      <c r="K85" s="16" t="str">
        <f t="shared" ca="1" si="233"/>
        <v>P.3 (2)</v>
      </c>
      <c r="L85" s="16" t="str">
        <f t="shared" ca="1" si="234"/>
        <v>-</v>
      </c>
      <c r="M85" s="16"/>
      <c r="N85" s="16" t="str">
        <f t="shared" ca="1" si="235"/>
        <v>P.3 (2)</v>
      </c>
      <c r="O85" s="16" t="str">
        <f t="shared" ca="1" si="236"/>
        <v>-</v>
      </c>
      <c r="P85" s="16"/>
      <c r="Q85" s="16" t="str">
        <f t="shared" ca="1" si="237"/>
        <v>P.3 (2)</v>
      </c>
      <c r="R85" s="16" t="str">
        <f t="shared" ca="1" si="238"/>
        <v>-</v>
      </c>
      <c r="S85" s="16"/>
      <c r="T85" s="16" t="str">
        <f t="shared" ca="1" si="239"/>
        <v>P.3 (2)</v>
      </c>
      <c r="U85" s="16" t="str">
        <f t="shared" ca="1" si="240"/>
        <v>-</v>
      </c>
      <c r="V85" s="17"/>
      <c r="W85" s="631"/>
      <c r="X85" s="24">
        <f ca="1">Horarios!C85</f>
        <v>46190.916666666657</v>
      </c>
      <c r="Y85" s="25">
        <f ca="1">Horarios!C85</f>
        <v>46190.916666666657</v>
      </c>
      <c r="Z85" s="26" t="str">
        <f>$Z$4</f>
        <v>J1</v>
      </c>
      <c r="AA85" s="27" t="str">
        <f ca="1">A87</f>
        <v>Uzbekistán</v>
      </c>
      <c r="AB85" s="49" t="str">
        <f t="array" aca="1" ref="AB85" ca="1">Ver_flag_local</f>
        <v/>
      </c>
      <c r="AC85" s="50">
        <v>0</v>
      </c>
      <c r="AD85" s="51">
        <v>2</v>
      </c>
      <c r="AE85" s="581"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2</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P.3 (2)</v>
      </c>
      <c r="G86" s="16"/>
      <c r="H86" s="16" t="str">
        <f t="shared" ca="1" si="231"/>
        <v>-</v>
      </c>
      <c r="I86" s="16" t="str">
        <f t="shared" ca="1" si="232"/>
        <v>P.3 (2)</v>
      </c>
      <c r="J86" s="16"/>
      <c r="K86" s="16" t="str">
        <f t="shared" ca="1" si="233"/>
        <v>-</v>
      </c>
      <c r="L86" s="16" t="str">
        <f t="shared" ca="1" si="234"/>
        <v>P.3 (2)</v>
      </c>
      <c r="M86" s="16"/>
      <c r="N86" s="16" t="str">
        <f t="shared" ca="1" si="235"/>
        <v>-</v>
      </c>
      <c r="O86" s="16" t="str">
        <f t="shared" ca="1" si="236"/>
        <v>P.3 (2)</v>
      </c>
      <c r="P86" s="16"/>
      <c r="Q86" s="16" t="str">
        <f t="shared" ca="1" si="237"/>
        <v>-</v>
      </c>
      <c r="R86" s="16" t="str">
        <f t="shared" ca="1" si="238"/>
        <v>P.3 (2)</v>
      </c>
      <c r="S86" s="16"/>
      <c r="T86" s="16" t="str">
        <f t="shared" ca="1" si="239"/>
        <v>-</v>
      </c>
      <c r="U86" s="16" t="str">
        <f t="shared" ca="1" si="240"/>
        <v>P.3 (2)</v>
      </c>
      <c r="V86" s="17"/>
      <c r="W86" s="631"/>
      <c r="X86" s="24">
        <f ca="1">Horarios!C86</f>
        <v>46196.541666666657</v>
      </c>
      <c r="Y86" s="25">
        <f ca="1">Horarios!C86</f>
        <v>46196.541666666657</v>
      </c>
      <c r="Z86" s="26" t="str">
        <f>$Z$6</f>
        <v>J2</v>
      </c>
      <c r="AA86" s="27" t="str">
        <f ca="1">A85</f>
        <v>Portugal</v>
      </c>
      <c r="AB86" s="49" t="str">
        <f t="array" aca="1" ref="AB86" ca="1">Ver_flag_local</f>
        <v/>
      </c>
      <c r="AC86" s="50">
        <v>3</v>
      </c>
      <c r="AD86" s="51">
        <v>0</v>
      </c>
      <c r="AE86" s="581" t="str">
        <f t="array" aca="1" ref="AE86" ca="1">Ver_flag_visit</f>
        <v/>
      </c>
      <c r="AF86" s="32" t="str">
        <f ca="1">A87</f>
        <v>Uzbekistán</v>
      </c>
      <c r="AG86" s="316">
        <f t="shared" si="241"/>
        <v>1</v>
      </c>
      <c r="AH86" s="195">
        <v>47</v>
      </c>
      <c r="AI86" s="181" t="str">
        <f>AJ86&amp;$B$84</f>
        <v>1K</v>
      </c>
      <c r="AJ86" s="40">
        <v>1</v>
      </c>
      <c r="AK86" s="587"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9</v>
      </c>
      <c r="AS86" s="36">
        <f t="shared" ca="1" si="243"/>
        <v>1</v>
      </c>
      <c r="AT86" s="41">
        <f t="shared" ca="1" si="243"/>
        <v>8</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v>
      </c>
      <c r="F87" s="16" t="str">
        <f t="shared" ca="1" si="230"/>
        <v>P.3 (2)</v>
      </c>
      <c r="G87" s="16"/>
      <c r="H87" s="16" t="str">
        <f t="shared" ca="1" si="231"/>
        <v>-</v>
      </c>
      <c r="I87" s="16" t="str">
        <f t="shared" ca="1" si="232"/>
        <v>P.3 (2)</v>
      </c>
      <c r="J87" s="16"/>
      <c r="K87" s="16" t="str">
        <f t="shared" ca="1" si="233"/>
        <v>-</v>
      </c>
      <c r="L87" s="16" t="str">
        <f t="shared" ca="1" si="234"/>
        <v>P.3 (2)</v>
      </c>
      <c r="M87" s="16"/>
      <c r="N87" s="16" t="str">
        <f t="shared" ca="1" si="235"/>
        <v>-</v>
      </c>
      <c r="O87" s="16" t="str">
        <f t="shared" ca="1" si="236"/>
        <v>P.3 (2)</v>
      </c>
      <c r="P87" s="16"/>
      <c r="Q87" s="16" t="str">
        <f t="shared" ca="1" si="237"/>
        <v>-</v>
      </c>
      <c r="R87" s="16" t="str">
        <f t="shared" ca="1" si="238"/>
        <v>P.3 (2)</v>
      </c>
      <c r="S87" s="16"/>
      <c r="T87" s="16" t="str">
        <f t="shared" ca="1" si="239"/>
        <v>-</v>
      </c>
      <c r="U87" s="16" t="str">
        <f t="shared" ca="1" si="240"/>
        <v>P.3 (2)</v>
      </c>
      <c r="V87" s="17"/>
      <c r="W87" s="631"/>
      <c r="X87" s="24">
        <f ca="1">Horarios!C87</f>
        <v>46196.916666666657</v>
      </c>
      <c r="Y87" s="25">
        <f ca="1">Horarios!C87</f>
        <v>46196.916666666657</v>
      </c>
      <c r="Z87" s="26" t="str">
        <f>$Z$6</f>
        <v>J2</v>
      </c>
      <c r="AA87" s="27" t="str">
        <f ca="1">A88</f>
        <v>Colombia</v>
      </c>
      <c r="AB87" s="49" t="str">
        <f t="array" aca="1" ref="AB87" ca="1">Ver_flag_local</f>
        <v/>
      </c>
      <c r="AC87" s="50">
        <v>2</v>
      </c>
      <c r="AD87" s="51">
        <v>0</v>
      </c>
      <c r="AE87" s="581" t="str">
        <f t="array" aca="1" ref="AE87" ca="1">Ver_flag_visit</f>
        <v/>
      </c>
      <c r="AF87" s="32" t="str">
        <f ca="1">A86</f>
        <v>RD Congo</v>
      </c>
      <c r="AG87" s="316">
        <f t="shared" si="241"/>
        <v>1</v>
      </c>
      <c r="AH87" s="195">
        <v>48</v>
      </c>
      <c r="AI87" s="181" t="str">
        <f>AJ87&amp;$B$84</f>
        <v>2K</v>
      </c>
      <c r="AJ87" s="42">
        <v>2</v>
      </c>
      <c r="AK87" s="588" t="str">
        <f t="array" aca="1" ref="AK87" ca="1">Ver_flag_visit</f>
        <v/>
      </c>
      <c r="AL87" s="37" t="str">
        <f ca="1">IFERROR(INDEX($BD$6:$BD$53,MATCH(AI87,$BN$6:$BN$53,0)),"")</f>
        <v>Colombia</v>
      </c>
      <c r="AM87" s="38">
        <f t="shared" ca="1" si="243"/>
        <v>6</v>
      </c>
      <c r="AN87" s="39">
        <f t="shared" ca="1" si="243"/>
        <v>3</v>
      </c>
      <c r="AO87" s="39">
        <f t="shared" ca="1" si="243"/>
        <v>2</v>
      </c>
      <c r="AP87" s="39">
        <f t="shared" ca="1" si="243"/>
        <v>0</v>
      </c>
      <c r="AQ87" s="39">
        <f t="shared" ca="1" si="243"/>
        <v>1</v>
      </c>
      <c r="AR87" s="39">
        <f t="shared" ca="1" si="243"/>
        <v>5</v>
      </c>
      <c r="AS87" s="39">
        <f t="shared" ca="1" si="243"/>
        <v>3</v>
      </c>
      <c r="AT87" s="43">
        <f t="shared" ca="1" si="243"/>
        <v>2</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31"/>
      <c r="X88" s="24">
        <f ca="1">Horarios!C88</f>
        <v>46200.8125</v>
      </c>
      <c r="Y88" s="25">
        <f ca="1">Horarios!C88</f>
        <v>46200.8125</v>
      </c>
      <c r="Z88" s="26" t="str">
        <f>$Z$8</f>
        <v>J3</v>
      </c>
      <c r="AA88" s="27" t="str">
        <f ca="1">A88</f>
        <v>Colombia</v>
      </c>
      <c r="AB88" s="49" t="str">
        <f t="array" aca="1" ref="AB88" ca="1">Ver_flag_local</f>
        <v/>
      </c>
      <c r="AC88" s="50">
        <v>1</v>
      </c>
      <c r="AD88" s="51">
        <v>3</v>
      </c>
      <c r="AE88" s="581" t="str">
        <f t="array" aca="1" ref="AE88" ca="1">Ver_flag_visit</f>
        <v/>
      </c>
      <c r="AF88" s="32" t="str">
        <f ca="1">A85</f>
        <v>Portugal</v>
      </c>
      <c r="AG88" s="316">
        <f t="shared" si="241"/>
        <v>1</v>
      </c>
      <c r="AH88" s="195">
        <v>71</v>
      </c>
      <c r="AI88" s="181" t="str">
        <f>AJ88&amp;$B$84</f>
        <v>3K</v>
      </c>
      <c r="AJ88" s="42">
        <v>3</v>
      </c>
      <c r="AK88" s="588" t="str">
        <f t="array" aca="1" ref="AK88" ca="1">Ver_flag_visit</f>
        <v/>
      </c>
      <c r="AL88" s="37" t="str">
        <f ca="1">IFERROR(INDEX($BD$6:$BD$53,MATCH(AI88,$BN$6:$BN$53,0)),"")</f>
        <v>RD Congo</v>
      </c>
      <c r="AM88" s="38">
        <f t="shared" ca="1" si="243"/>
        <v>1</v>
      </c>
      <c r="AN88" s="39">
        <f t="shared" ca="1" si="243"/>
        <v>3</v>
      </c>
      <c r="AO88" s="39">
        <f t="shared" ca="1" si="243"/>
        <v>0</v>
      </c>
      <c r="AP88" s="39">
        <f t="shared" ca="1" si="243"/>
        <v>1</v>
      </c>
      <c r="AQ88" s="39">
        <f t="shared" ca="1" si="243"/>
        <v>2</v>
      </c>
      <c r="AR88" s="39">
        <f t="shared" ca="1" si="243"/>
        <v>1</v>
      </c>
      <c r="AS88" s="39">
        <f t="shared" ca="1" si="243"/>
        <v>6</v>
      </c>
      <c r="AT88" s="43">
        <f t="shared" ca="1" si="243"/>
        <v>-5</v>
      </c>
      <c r="AU88" s="323">
        <f ca="1">INDEX($DL$6:$DL$53,MATCH(AI88,$DP$6:$DP$53,0))</f>
        <v>2</v>
      </c>
      <c r="AV88" s="182" t="str">
        <f ca="1">INDEX($BD$6:$BD$53,MATCH(AI88,$BM$6:$BM$53,0))</f>
        <v>RD Congo</v>
      </c>
      <c r="AW88" s="210">
        <v>1</v>
      </c>
      <c r="AX88" s="171"/>
      <c r="AY88" s="201" t="str">
        <f ca="1">+A87</f>
        <v>Uzbekistán</v>
      </c>
      <c r="AZ88" s="202"/>
      <c r="BA88" s="176"/>
    </row>
    <row r="89" spans="1:118" ht="16" customHeight="1" thickBot="1" x14ac:dyDescent="0.25">
      <c r="A89" s="16"/>
      <c r="B89" s="16"/>
      <c r="C89" s="16"/>
      <c r="D89" s="16" t="str">
        <f t="shared" si="228"/>
        <v>Empate</v>
      </c>
      <c r="E89" s="16" t="str">
        <f t="shared" ca="1" si="229"/>
        <v>P.3 (2)</v>
      </c>
      <c r="F89" s="16" t="str">
        <f t="shared" ca="1" si="230"/>
        <v>P.3 (2)</v>
      </c>
      <c r="G89" s="16"/>
      <c r="H89" s="16" t="str">
        <f t="shared" ca="1" si="231"/>
        <v>P.3 (2)</v>
      </c>
      <c r="I89" s="16" t="str">
        <f t="shared" ca="1" si="232"/>
        <v>P.3 (2)</v>
      </c>
      <c r="J89" s="16"/>
      <c r="K89" s="16" t="str">
        <f t="shared" ca="1" si="233"/>
        <v>P.3 (2)</v>
      </c>
      <c r="L89" s="16" t="str">
        <f t="shared" ca="1" si="234"/>
        <v>P.3 (2)</v>
      </c>
      <c r="M89" s="16"/>
      <c r="N89" s="16" t="str">
        <f t="shared" ca="1" si="235"/>
        <v>P.3 (2)</v>
      </c>
      <c r="O89" s="16" t="str">
        <f t="shared" ca="1" si="236"/>
        <v>P.3 (2)</v>
      </c>
      <c r="P89" s="16"/>
      <c r="Q89" s="16" t="str">
        <f t="shared" ca="1" si="237"/>
        <v>P.3 (2)</v>
      </c>
      <c r="R89" s="16" t="str">
        <f t="shared" ca="1" si="238"/>
        <v>P.3 (2)</v>
      </c>
      <c r="S89" s="16"/>
      <c r="T89" s="16" t="str">
        <f t="shared" ca="1" si="239"/>
        <v>P.3 (2)</v>
      </c>
      <c r="U89" s="16" t="str">
        <f t="shared" ca="1" si="240"/>
        <v>P.3 (2)</v>
      </c>
      <c r="V89" s="17"/>
      <c r="W89" s="632"/>
      <c r="X89" s="28">
        <f ca="1">Horarios!C89</f>
        <v>46200.8125</v>
      </c>
      <c r="Y89" s="29">
        <f ca="1">Horarios!C89</f>
        <v>46200.8125</v>
      </c>
      <c r="Z89" s="30" t="str">
        <f>$Z$8</f>
        <v>J3</v>
      </c>
      <c r="AA89" s="31" t="str">
        <f ca="1">A86</f>
        <v>RD Congo</v>
      </c>
      <c r="AB89" s="52" t="str">
        <f t="array" aca="1" ref="AB89" ca="1">Ver_flag_local</f>
        <v/>
      </c>
      <c r="AC89" s="53">
        <v>1</v>
      </c>
      <c r="AD89" s="54">
        <v>1</v>
      </c>
      <c r="AE89" s="582" t="str">
        <f t="array" aca="1" ref="AE89" ca="1">Ver_flag_visit</f>
        <v/>
      </c>
      <c r="AF89" s="33" t="str">
        <f ca="1">A87</f>
        <v>Uzbekistán</v>
      </c>
      <c r="AG89" s="316">
        <f t="shared" si="241"/>
        <v>1</v>
      </c>
      <c r="AH89" s="195">
        <v>72</v>
      </c>
      <c r="AI89" s="181" t="str">
        <f>AJ89&amp;$B$84</f>
        <v>4K</v>
      </c>
      <c r="AJ89" s="44">
        <v>4</v>
      </c>
      <c r="AK89" s="590" t="str">
        <f t="array" aca="1" ref="AK89" ca="1">Ver_flag_visit</f>
        <v/>
      </c>
      <c r="AL89" s="45" t="str">
        <f ca="1">IFERROR(INDEX($BD$6:$BD$53,MATCH(AI89,$BN$6:$BN$53,0)),"")</f>
        <v>Uzbekistán</v>
      </c>
      <c r="AM89" s="46">
        <f t="shared" ca="1" si="243"/>
        <v>1</v>
      </c>
      <c r="AN89" s="47">
        <f t="shared" ca="1" si="243"/>
        <v>3</v>
      </c>
      <c r="AO89" s="47">
        <f t="shared" ca="1" si="243"/>
        <v>0</v>
      </c>
      <c r="AP89" s="47">
        <f t="shared" ca="1" si="243"/>
        <v>1</v>
      </c>
      <c r="AQ89" s="47">
        <f t="shared" ca="1" si="243"/>
        <v>2</v>
      </c>
      <c r="AR89" s="47">
        <f t="shared" ca="1" si="243"/>
        <v>1</v>
      </c>
      <c r="AS89" s="47">
        <f t="shared" ca="1" si="243"/>
        <v>6</v>
      </c>
      <c r="AT89" s="48">
        <f t="shared" ca="1" si="243"/>
        <v>-5</v>
      </c>
      <c r="AU89" s="323">
        <f ca="1">INDEX($DL$6:$DL$53,MATCH(AI89,$DP$6:$DP$53,0))</f>
        <v>2</v>
      </c>
      <c r="AV89" s="182" t="str">
        <f ca="1">INDEX($BD$6:$BD$53,MATCH(AI89,$BM$6:$BM$53,0))</f>
        <v>Uzbekistán</v>
      </c>
      <c r="AW89" s="210">
        <v>2</v>
      </c>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6"/>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28</v>
      </c>
      <c r="B92" s="16" t="s">
        <v>143</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48" t="s">
        <v>143</v>
      </c>
      <c r="X92" s="24">
        <f ca="1">Horarios!C92</f>
        <v>46190.666666666657</v>
      </c>
      <c r="Y92" s="25">
        <f ca="1">Horarios!C92</f>
        <v>46190.666666666657</v>
      </c>
      <c r="Z92" s="26" t="str">
        <f>$Z$4</f>
        <v>J1</v>
      </c>
      <c r="AA92" s="27" t="str">
        <f ca="1">A93</f>
        <v>Inglaterra</v>
      </c>
      <c r="AB92" s="49" t="str">
        <f t="array" aca="1" ref="AB92" ca="1">Ver_flag_local</f>
        <v/>
      </c>
      <c r="AC92" s="50">
        <v>2</v>
      </c>
      <c r="AD92" s="51">
        <v>1</v>
      </c>
      <c r="AE92" s="581"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31"/>
      <c r="X93" s="24">
        <f ca="1">Horarios!C93</f>
        <v>46190.791666666657</v>
      </c>
      <c r="Y93" s="25">
        <f ca="1">Horarios!C93</f>
        <v>46190.791666666657</v>
      </c>
      <c r="Z93" s="26" t="str">
        <f>$Z$4</f>
        <v>J1</v>
      </c>
      <c r="AA93" s="27" t="str">
        <f ca="1">A95</f>
        <v>Ghana</v>
      </c>
      <c r="AB93" s="49" t="str">
        <f t="array" aca="1" ref="AB93" ca="1">Ver_flag_local</f>
        <v/>
      </c>
      <c r="AC93" s="50">
        <v>2</v>
      </c>
      <c r="AD93" s="51">
        <v>0</v>
      </c>
      <c r="AE93" s="581"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31"/>
      <c r="X94" s="24">
        <f ca="1">Horarios!C94</f>
        <v>46196.666666666657</v>
      </c>
      <c r="Y94" s="25">
        <f ca="1">Horarios!C94</f>
        <v>46196.666666666657</v>
      </c>
      <c r="Z94" s="26" t="str">
        <f>$Z$6</f>
        <v>J2</v>
      </c>
      <c r="AA94" s="27" t="str">
        <f ca="1">A93</f>
        <v>Inglaterra</v>
      </c>
      <c r="AB94" s="49" t="str">
        <f t="array" aca="1" ref="AB94" ca="1">Ver_flag_local</f>
        <v/>
      </c>
      <c r="AC94" s="50">
        <v>2</v>
      </c>
      <c r="AD94" s="51">
        <v>1</v>
      </c>
      <c r="AE94" s="581" t="str">
        <f t="array" aca="1" ref="AE94" ca="1">Ver_flag_visit</f>
        <v/>
      </c>
      <c r="AF94" s="32" t="str">
        <f ca="1">A95</f>
        <v>Ghana</v>
      </c>
      <c r="AG94" s="316">
        <f t="shared" si="257"/>
        <v>1</v>
      </c>
      <c r="AH94" s="195">
        <v>45</v>
      </c>
      <c r="AI94" s="181" t="str">
        <f>AJ94&amp;$B$92</f>
        <v>1L</v>
      </c>
      <c r="AJ94" s="40">
        <v>1</v>
      </c>
      <c r="AK94" s="587" t="str">
        <f t="array" aca="1" ref="AK94" ca="1">Ver_flag_visit</f>
        <v/>
      </c>
      <c r="AL94" s="34" t="str">
        <f ca="1">IFERROR(INDEX($BD$6:$BD$53,MATCH(AI94,$BN$6:$BN$53,0)),"")</f>
        <v>Inglaterra</v>
      </c>
      <c r="AM94" s="35">
        <f t="shared" ref="AM94:AT97" ca="1" si="259">INDEX($BE$6:$BN$53,MATCH($AL94,$BD$6:$BD$53,0),MATCH(AM$5,$BE$5:$BN$5,0))</f>
        <v>9</v>
      </c>
      <c r="AN94" s="36">
        <f t="shared" ca="1" si="259"/>
        <v>3</v>
      </c>
      <c r="AO94" s="36">
        <f t="shared" ca="1" si="259"/>
        <v>3</v>
      </c>
      <c r="AP94" s="36">
        <f t="shared" ca="1" si="259"/>
        <v>0</v>
      </c>
      <c r="AQ94" s="36">
        <f t="shared" ca="1" si="259"/>
        <v>0</v>
      </c>
      <c r="AR94" s="36">
        <f t="shared" ca="1" si="259"/>
        <v>7</v>
      </c>
      <c r="AS94" s="36">
        <f t="shared" ca="1" si="259"/>
        <v>2</v>
      </c>
      <c r="AT94" s="41">
        <f t="shared" ca="1" si="259"/>
        <v>5</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31"/>
      <c r="X95" s="24">
        <f ca="1">Horarios!C95</f>
        <v>46196.791666666657</v>
      </c>
      <c r="Y95" s="25">
        <f ca="1">Horarios!C95</f>
        <v>46196.791666666657</v>
      </c>
      <c r="Z95" s="26" t="str">
        <f>$Z$6</f>
        <v>J2</v>
      </c>
      <c r="AA95" s="27" t="str">
        <f ca="1">A96</f>
        <v>Panamá</v>
      </c>
      <c r="AB95" s="49" t="str">
        <f t="array" aca="1" ref="AB95" ca="1">Ver_flag_local</f>
        <v/>
      </c>
      <c r="AC95" s="50">
        <v>1</v>
      </c>
      <c r="AD95" s="51">
        <v>2</v>
      </c>
      <c r="AE95" s="581" t="str">
        <f t="array" aca="1" ref="AE95" ca="1">Ver_flag_visit</f>
        <v/>
      </c>
      <c r="AF95" s="32" t="str">
        <f ca="1">A94</f>
        <v>Croacia</v>
      </c>
      <c r="AG95" s="316">
        <f t="shared" si="257"/>
        <v>1</v>
      </c>
      <c r="AH95" s="195">
        <v>46</v>
      </c>
      <c r="AI95" s="181" t="str">
        <f>AJ95&amp;$B$92</f>
        <v>2L</v>
      </c>
      <c r="AJ95" s="42">
        <v>2</v>
      </c>
      <c r="AK95" s="588" t="str">
        <f t="array" aca="1" ref="AK95" ca="1">Ver_flag_visit</f>
        <v/>
      </c>
      <c r="AL95" s="37" t="str">
        <f ca="1">IFERROR(INDEX($BD$6:$BD$53,MATCH(AI95,$BN$6:$BN$53,0)),"")</f>
        <v>Croacia</v>
      </c>
      <c r="AM95" s="38">
        <f t="shared" ca="1" si="259"/>
        <v>6</v>
      </c>
      <c r="AN95" s="39">
        <f t="shared" ca="1" si="259"/>
        <v>3</v>
      </c>
      <c r="AO95" s="39">
        <f t="shared" ca="1" si="259"/>
        <v>2</v>
      </c>
      <c r="AP95" s="39">
        <f t="shared" ca="1" si="259"/>
        <v>0</v>
      </c>
      <c r="AQ95" s="39">
        <f t="shared" ca="1" si="259"/>
        <v>1</v>
      </c>
      <c r="AR95" s="39">
        <f t="shared" ca="1" si="259"/>
        <v>4</v>
      </c>
      <c r="AS95" s="39">
        <f t="shared" ca="1" si="259"/>
        <v>3</v>
      </c>
      <c r="AT95" s="43">
        <f t="shared" ca="1" si="259"/>
        <v>1</v>
      </c>
      <c r="AU95" s="323">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31"/>
      <c r="X96" s="24">
        <f ca="1">Horarios!C96</f>
        <v>46200.708333333343</v>
      </c>
      <c r="Y96" s="25">
        <f ca="1">Horarios!C96</f>
        <v>46200.708333333343</v>
      </c>
      <c r="Z96" s="26" t="str">
        <f>$Z$8</f>
        <v>J3</v>
      </c>
      <c r="AA96" s="27" t="str">
        <f ca="1">A96</f>
        <v>Panamá</v>
      </c>
      <c r="AB96" s="49" t="str">
        <f t="array" aca="1" ref="AB96" ca="1">Ver_flag_local</f>
        <v/>
      </c>
      <c r="AC96" s="50">
        <v>0</v>
      </c>
      <c r="AD96" s="51">
        <v>3</v>
      </c>
      <c r="AE96" s="581" t="str">
        <f t="array" aca="1" ref="AE96" ca="1">Ver_flag_visit</f>
        <v/>
      </c>
      <c r="AF96" s="32" t="str">
        <f ca="1">A93</f>
        <v>Inglaterra</v>
      </c>
      <c r="AG96" s="316">
        <f t="shared" si="257"/>
        <v>1</v>
      </c>
      <c r="AH96" s="195">
        <v>67</v>
      </c>
      <c r="AI96" s="181" t="str">
        <f>AJ96&amp;$B$92</f>
        <v>3L</v>
      </c>
      <c r="AJ96" s="42">
        <v>3</v>
      </c>
      <c r="AK96" s="588"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3</v>
      </c>
      <c r="AS96" s="39">
        <f t="shared" ca="1" si="259"/>
        <v>3</v>
      </c>
      <c r="AT96" s="43">
        <f t="shared" ca="1" si="259"/>
        <v>0</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Local</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32"/>
      <c r="X97" s="28">
        <f ca="1">Horarios!C97</f>
        <v>46200.708333333343</v>
      </c>
      <c r="Y97" s="29">
        <f ca="1">Horarios!C97</f>
        <v>46200.708333333343</v>
      </c>
      <c r="Z97" s="30" t="str">
        <f>$Z$8</f>
        <v>J3</v>
      </c>
      <c r="AA97" s="31" t="str">
        <f ca="1">A94</f>
        <v>Croacia</v>
      </c>
      <c r="AB97" s="52" t="str">
        <f t="array" aca="1" ref="AB97" ca="1">Ver_flag_local</f>
        <v/>
      </c>
      <c r="AC97" s="53">
        <v>1</v>
      </c>
      <c r="AD97" s="54">
        <v>0</v>
      </c>
      <c r="AE97" s="582" t="str">
        <f t="array" aca="1" ref="AE97" ca="1">Ver_flag_visit</f>
        <v/>
      </c>
      <c r="AF97" s="33" t="str">
        <f ca="1">A95</f>
        <v>Ghana</v>
      </c>
      <c r="AG97" s="316">
        <f t="shared" si="257"/>
        <v>1</v>
      </c>
      <c r="AH97" s="195">
        <v>68</v>
      </c>
      <c r="AI97" s="181" t="str">
        <f>AJ97&amp;$B$92</f>
        <v>4L</v>
      </c>
      <c r="AJ97" s="44">
        <v>4</v>
      </c>
      <c r="AK97" s="590"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1</v>
      </c>
      <c r="AS97" s="47">
        <f t="shared" ca="1" si="259"/>
        <v>7</v>
      </c>
      <c r="AT97" s="48">
        <f t="shared" ca="1" si="259"/>
        <v>-6</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144</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6"/>
      <c r="AK99" s="596" t="str">
        <f ca="1">+IF(OR($H$113&gt;=48,$AJ$99&gt;=48),"",Idiomas!D69)</f>
        <v/>
      </c>
      <c r="AL99" s="597"/>
      <c r="AM99" s="597"/>
      <c r="AN99" s="597"/>
      <c r="AO99" s="597"/>
      <c r="AP99" s="597"/>
      <c r="AQ99" s="597"/>
      <c r="AR99" s="597"/>
      <c r="AS99" s="597"/>
      <c r="AT99" s="597"/>
      <c r="AU99" s="324"/>
      <c r="AV99" s="188"/>
      <c r="AW99" s="214"/>
      <c r="AX99" s="169"/>
      <c r="AY99" s="154"/>
      <c r="AZ99" s="155"/>
      <c r="BA99" s="176"/>
    </row>
    <row r="100" spans="1:62" ht="16" customHeight="1" x14ac:dyDescent="0.2">
      <c r="A100" s="16" t="s">
        <v>145</v>
      </c>
      <c r="B100" s="16"/>
      <c r="C100" s="16"/>
      <c r="D100" s="16"/>
      <c r="E100" s="16"/>
      <c r="F100" s="16"/>
      <c r="G100" s="16"/>
      <c r="H100" s="16"/>
      <c r="I100" s="16"/>
      <c r="J100" s="16" t="s">
        <v>146</v>
      </c>
      <c r="K100" s="16" t="s">
        <v>147</v>
      </c>
      <c r="L100" s="16"/>
      <c r="M100" s="16" t="s">
        <v>148</v>
      </c>
      <c r="N100" s="16" t="s">
        <v>149</v>
      </c>
      <c r="O100" s="16"/>
      <c r="P100" s="16"/>
      <c r="Q100" s="16"/>
      <c r="R100" s="16"/>
      <c r="S100" s="16"/>
      <c r="T100" s="16"/>
      <c r="U100" s="16"/>
      <c r="V100" s="17"/>
      <c r="W100" s="8"/>
      <c r="X100" s="69" t="str">
        <f>X3</f>
        <v>Fecha</v>
      </c>
      <c r="Y100" s="69" t="str">
        <f>Y3</f>
        <v>Hora</v>
      </c>
      <c r="Z100" s="69" t="s">
        <v>150</v>
      </c>
      <c r="AA100" s="68" t="str">
        <f>AA3</f>
        <v>Casa</v>
      </c>
      <c r="AB100" s="67" t="s">
        <v>10</v>
      </c>
      <c r="AC100" s="69" t="str">
        <f>AC3</f>
        <v>Gol</v>
      </c>
      <c r="AD100" s="69" t="str">
        <f>AD3</f>
        <v>Gol</v>
      </c>
      <c r="AE100" s="67" t="s">
        <v>10</v>
      </c>
      <c r="AF100" s="70" t="str">
        <f>AF3</f>
        <v>Fuera</v>
      </c>
      <c r="AG100" s="393"/>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84</v>
      </c>
      <c r="B101" s="16" t="s">
        <v>88</v>
      </c>
      <c r="C101" s="16"/>
      <c r="D101" s="16" t="str">
        <f t="shared" ref="D101:D116" si="260">IF(AND(OR(AC101="",AD101="")),"W"&amp;AH101,IF(AC101&gt;AD101,AA101,IF(AC101&lt;AD101,AF101,IF(AND(AC101=AD101,AB101=AE101),"W"&amp;AH101,IF(AND(AC101=AD101,OR(AB101="",AE101="")),"W"&amp;AH101,IF(AND(AC101=AD101,AB101&gt;AE101),AA101,AF101))))))</f>
        <v>W73</v>
      </c>
      <c r="E101" s="16" t="s">
        <v>29</v>
      </c>
      <c r="F101" s="16" t="s">
        <v>89</v>
      </c>
      <c r="G101" s="16" t="s">
        <v>29</v>
      </c>
      <c r="H101" s="16">
        <f t="shared" ref="H101:H112" ca="1" si="261">+SUMIF($BC$6:$BC$53,G101,$BF$6:$BF$53)</f>
        <v>12</v>
      </c>
      <c r="I101" s="16"/>
      <c r="J101" s="16">
        <v>73</v>
      </c>
      <c r="K101" s="16">
        <v>46201.75</v>
      </c>
      <c r="L101" s="16" t="s">
        <v>151</v>
      </c>
      <c r="M101" s="16" t="str">
        <f t="shared" ref="M101:M116" ca="1" si="262">+IF(OR(INDEX($H$101:$H$113,MATCH(E101,$G$101:$G$113,0))=12,$AJ$99=144),INDEX($AL$6:$AL$97,MATCH(A101,$AI$6:$AI$97,0)),A101)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41" t="s">
        <v>152</v>
      </c>
      <c r="X101" s="24">
        <f ca="1">Horarios!C101</f>
        <v>46201.625</v>
      </c>
      <c r="Y101" s="25">
        <f ca="1">Horarios!C101</f>
        <v>46201.625</v>
      </c>
      <c r="Z101" s="274">
        <f t="shared" ref="Z101:Z116" si="263">AH101</f>
        <v>73</v>
      </c>
      <c r="AA101" s="88" t="str">
        <f t="shared" ref="AA101:AA116" ca="1" si="264">+INDEX($M$101:$M$147,MATCH(AH101,$J$101:$J$147,0))</f>
        <v>Corea del Sur</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2</v>
      </c>
      <c r="AV101" s="188"/>
      <c r="AW101" s="214"/>
      <c r="AX101" s="214"/>
      <c r="AY101" s="328" t="str">
        <f ca="1">+IF(OR($H$113&gt;=48,$AJ$99=144),Idiomas!D68,"")</f>
        <v xml:space="preserve">Grupos mejores 3ºs: </v>
      </c>
      <c r="AZ101" s="329" t="str">
        <f ca="1">+IF(OR($H$113&gt;=48,$AJ$99=144),BI112,"")</f>
        <v>ABDGHIJL</v>
      </c>
      <c r="BA101" s="176"/>
    </row>
    <row r="102" spans="1:62" ht="16" customHeight="1" x14ac:dyDescent="0.2">
      <c r="A102" s="16" t="s">
        <v>101</v>
      </c>
      <c r="B102" s="16" t="s">
        <v>153</v>
      </c>
      <c r="C102" s="16"/>
      <c r="D102" s="16" t="str">
        <f t="shared" si="260"/>
        <v>W76</v>
      </c>
      <c r="E102" s="16" t="s">
        <v>116</v>
      </c>
      <c r="F102" s="16" t="s">
        <v>154</v>
      </c>
      <c r="G102" s="16" t="s">
        <v>89</v>
      </c>
      <c r="H102" s="16">
        <f t="shared" ca="1" si="261"/>
        <v>12</v>
      </c>
      <c r="I102" s="16"/>
      <c r="J102" s="16">
        <v>74</v>
      </c>
      <c r="K102" s="16">
        <v>46202.75</v>
      </c>
      <c r="L102" s="16" t="s">
        <v>155</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16"/>
      <c r="P102" s="16"/>
      <c r="Q102" s="16"/>
      <c r="R102" s="16"/>
      <c r="S102" s="16"/>
      <c r="T102" s="16"/>
      <c r="U102" s="16"/>
      <c r="V102" s="17"/>
      <c r="W102" s="631"/>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Japón</v>
      </c>
      <c r="AG102" s="320">
        <f t="shared" si="266"/>
        <v>0</v>
      </c>
      <c r="AH102" s="195">
        <v>76</v>
      </c>
      <c r="AI102" s="182">
        <v>1</v>
      </c>
      <c r="AJ102" s="80">
        <v>1</v>
      </c>
      <c r="AK102" s="591" t="str">
        <f t="array" aca="1" ref="AK102" ca="1">Ver_flag_visit</f>
        <v/>
      </c>
      <c r="AL102" s="81" t="str">
        <f t="shared" ref="AL102:AL113" ca="1" si="268">+IF($H$113&gt;=48,INDEX($BD$58:$BD$69,MATCH(AI102,$BN$58:$BN$69,0)),BB58)</f>
        <v>Catar</v>
      </c>
      <c r="AM102" s="574">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4</v>
      </c>
      <c r="AS102" s="83">
        <f t="shared" ca="1" si="269"/>
        <v>3</v>
      </c>
      <c r="AT102" s="84">
        <f t="shared" ca="1" si="269"/>
        <v>1</v>
      </c>
      <c r="AU102" s="323">
        <f t="shared" ref="AU102:AU113" ca="1" si="270">IF($H$113=144,INDEX($DL$58:$DL$69,MATCH(AI102,$DP$58:$DP$69,0)),"")</f>
        <v>1</v>
      </c>
      <c r="AV102" s="182" t="str">
        <f t="shared" ref="AV102:AV113" ca="1" si="271">INDEX($BD$58:$BD$69,MATCH(AI102,$BM$58:$BM$69,0))</f>
        <v>Catar</v>
      </c>
      <c r="AW102" s="215"/>
      <c r="AX102" s="170"/>
      <c r="AY102" s="154"/>
      <c r="AZ102" s="155"/>
      <c r="BA102" s="176"/>
      <c r="BE102" t="s">
        <v>156</v>
      </c>
      <c r="BF102" t="s">
        <v>157</v>
      </c>
      <c r="BG102" t="s">
        <v>158</v>
      </c>
      <c r="BI102" t="s">
        <v>159</v>
      </c>
    </row>
    <row r="103" spans="1:62" ht="16" customHeight="1" x14ac:dyDescent="0.2">
      <c r="A103" s="16" t="s">
        <v>105</v>
      </c>
      <c r="B103" s="16" t="s">
        <v>93</v>
      </c>
      <c r="C103" s="16"/>
      <c r="D103" s="16" t="str">
        <f t="shared" si="260"/>
        <v>W74</v>
      </c>
      <c r="E103" s="16" t="s">
        <v>125</v>
      </c>
      <c r="F103" s="16" t="s">
        <v>98</v>
      </c>
      <c r="G103" s="16" t="s">
        <v>98</v>
      </c>
      <c r="H103" s="16">
        <f t="shared" ca="1" si="261"/>
        <v>12</v>
      </c>
      <c r="I103" s="16"/>
      <c r="J103" s="16">
        <v>75</v>
      </c>
      <c r="K103" s="16">
        <v>46202.75</v>
      </c>
      <c r="L103" s="16" t="s">
        <v>160</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31"/>
      <c r="X103" s="24">
        <f ca="1">Horarios!C103</f>
        <v>46202.6875</v>
      </c>
      <c r="Y103" s="25">
        <f ca="1">Horarios!C103</f>
        <v>46202.6875</v>
      </c>
      <c r="Z103" s="274">
        <f t="shared" si="263"/>
        <v>74</v>
      </c>
      <c r="AA103" s="88" t="str">
        <f t="shared" ca="1" si="264"/>
        <v>Alemania</v>
      </c>
      <c r="AB103" s="89"/>
      <c r="AC103" s="92"/>
      <c r="AD103" s="92"/>
      <c r="AE103" s="89"/>
      <c r="AF103" s="91" t="str">
        <f t="shared" ca="1" si="265"/>
        <v>Australia</v>
      </c>
      <c r="AG103" s="320">
        <f t="shared" si="266"/>
        <v>0</v>
      </c>
      <c r="AH103" s="195">
        <v>74</v>
      </c>
      <c r="AI103" s="182">
        <v>2</v>
      </c>
      <c r="AJ103" s="42">
        <v>2</v>
      </c>
      <c r="AK103" s="588" t="str">
        <f t="array" aca="1" ref="AK103" ca="1">Ver_flag_visit</f>
        <v/>
      </c>
      <c r="AL103" s="85" t="str">
        <f t="shared" ca="1" si="268"/>
        <v>República Checa</v>
      </c>
      <c r="AM103" s="575">
        <f t="shared" ca="1" si="269"/>
        <v>4</v>
      </c>
      <c r="AN103" s="86">
        <f t="shared" ca="1" si="269"/>
        <v>3</v>
      </c>
      <c r="AO103" s="86">
        <f t="shared" ca="1" si="269"/>
        <v>1</v>
      </c>
      <c r="AP103" s="86">
        <f t="shared" ca="1" si="269"/>
        <v>1</v>
      </c>
      <c r="AQ103" s="86">
        <f t="shared" ca="1" si="269"/>
        <v>1</v>
      </c>
      <c r="AR103" s="86">
        <f t="shared" ca="1" si="269"/>
        <v>2</v>
      </c>
      <c r="AS103" s="86">
        <f t="shared" ca="1" si="269"/>
        <v>2</v>
      </c>
      <c r="AT103" s="87">
        <f t="shared" ca="1" si="269"/>
        <v>0</v>
      </c>
      <c r="AU103" s="323">
        <f t="shared" ca="1" si="270"/>
        <v>1</v>
      </c>
      <c r="AV103" s="182" t="str">
        <f t="shared" ca="1" si="271"/>
        <v>República Checa</v>
      </c>
      <c r="AW103" s="215"/>
      <c r="AX103" s="170"/>
      <c r="AY103" s="270"/>
      <c r="AZ103" s="273" t="str">
        <f t="shared" ref="AZ103:AZ110" ca="1" si="272">+IF(OR($H$113&gt;=48,$AJ$99=144),BF117&amp;" - "&amp;BG117,"")</f>
        <v>1A - 3H</v>
      </c>
      <c r="BA103" s="176"/>
      <c r="BF103" t="str">
        <f t="shared" ref="BF103:BF110" ca="1" si="273">IFERROR(INDEX($BC$6:$BC$53,MATCH(AL102,$BD$6:$BD$53,0)),"")</f>
        <v>B</v>
      </c>
      <c r="BG103">
        <f t="shared" ref="BG103:BG110" ca="1" si="274">COUNTIF($BF$103:$BF$110,"&lt;="&amp;BF103)</f>
        <v>2</v>
      </c>
      <c r="BI103">
        <v>1</v>
      </c>
      <c r="BJ103" t="str">
        <f t="shared" ref="BJ103:BJ110" ca="1" si="275">IFERROR(INDEX($BF$103:$BF$110,MATCH(BI103,$BG$103:$BG$110,0)),"Grupo")</f>
        <v>A</v>
      </c>
    </row>
    <row r="104" spans="1:62" ht="16" customHeight="1" x14ac:dyDescent="0.2">
      <c r="A104" s="16" t="s">
        <v>92</v>
      </c>
      <c r="B104" s="16" t="s">
        <v>106</v>
      </c>
      <c r="C104" s="16"/>
      <c r="D104" s="16" t="str">
        <f t="shared" si="260"/>
        <v>W75</v>
      </c>
      <c r="E104" s="16" t="s">
        <v>98</v>
      </c>
      <c r="F104" s="16" t="s">
        <v>125</v>
      </c>
      <c r="G104" s="16" t="s">
        <v>107</v>
      </c>
      <c r="H104" s="16">
        <f t="shared" ca="1" si="261"/>
        <v>12</v>
      </c>
      <c r="I104" s="16"/>
      <c r="J104" s="16">
        <v>76</v>
      </c>
      <c r="K104" s="16">
        <v>46202.75</v>
      </c>
      <c r="L104" s="16" t="s">
        <v>161</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31"/>
      <c r="X104" s="24">
        <f ca="1">Horarios!C104</f>
        <v>46202.875</v>
      </c>
      <c r="Y104" s="25">
        <f ca="1">Horarios!C104</f>
        <v>46202.875</v>
      </c>
      <c r="Z104" s="274">
        <f t="shared" si="263"/>
        <v>75</v>
      </c>
      <c r="AA104" s="88" t="str">
        <f t="shared" ca="1" si="264"/>
        <v>Países Bajos</v>
      </c>
      <c r="AB104" s="89"/>
      <c r="AC104" s="92"/>
      <c r="AD104" s="92"/>
      <c r="AE104" s="89"/>
      <c r="AF104" s="91" t="str">
        <f t="shared" ca="1" si="265"/>
        <v>Marruecos</v>
      </c>
      <c r="AG104" s="320">
        <f t="shared" si="266"/>
        <v>0</v>
      </c>
      <c r="AH104" s="195">
        <v>75</v>
      </c>
      <c r="AI104" s="182">
        <v>3</v>
      </c>
      <c r="AJ104" s="42">
        <v>3</v>
      </c>
      <c r="AK104" s="588" t="str">
        <f t="array" aca="1" ref="AK104" ca="1">Ver_flag_visit</f>
        <v/>
      </c>
      <c r="AL104" s="85" t="str">
        <f t="shared" ca="1" si="268"/>
        <v>Senegal</v>
      </c>
      <c r="AM104" s="575">
        <f t="shared" ca="1" si="269"/>
        <v>4</v>
      </c>
      <c r="AN104" s="86">
        <f t="shared" ca="1" si="269"/>
        <v>3</v>
      </c>
      <c r="AO104" s="86">
        <f t="shared" ca="1" si="269"/>
        <v>1</v>
      </c>
      <c r="AP104" s="86">
        <f t="shared" ca="1" si="269"/>
        <v>1</v>
      </c>
      <c r="AQ104" s="86">
        <f t="shared" ca="1" si="269"/>
        <v>1</v>
      </c>
      <c r="AR104" s="86">
        <f t="shared" ca="1" si="269"/>
        <v>3</v>
      </c>
      <c r="AS104" s="86">
        <f t="shared" ca="1" si="269"/>
        <v>5</v>
      </c>
      <c r="AT104" s="87">
        <f t="shared" ca="1" si="269"/>
        <v>-2</v>
      </c>
      <c r="AU104" s="323">
        <f t="shared" ca="1" si="270"/>
        <v>1</v>
      </c>
      <c r="AV104" s="182" t="str">
        <f t="shared" ca="1" si="271"/>
        <v>Senegal</v>
      </c>
      <c r="AW104" s="215"/>
      <c r="AX104" s="170"/>
      <c r="AY104" s="270"/>
      <c r="AZ104" s="273" t="str">
        <f t="shared" ca="1" si="272"/>
        <v>1B - 3J</v>
      </c>
      <c r="BA104" s="176"/>
      <c r="BF104" t="str">
        <f t="shared" ca="1" si="273"/>
        <v>A</v>
      </c>
      <c r="BG104">
        <f t="shared" ca="1" si="274"/>
        <v>1</v>
      </c>
      <c r="BI104">
        <v>2</v>
      </c>
      <c r="BJ104" t="str">
        <f t="shared" ca="1" si="275"/>
        <v>B</v>
      </c>
    </row>
    <row r="105" spans="1:62" ht="16" customHeight="1" x14ac:dyDescent="0.2">
      <c r="A105" s="16" t="s">
        <v>119</v>
      </c>
      <c r="B105" s="16" t="s">
        <v>162</v>
      </c>
      <c r="C105" s="16"/>
      <c r="D105" s="16" t="str">
        <f t="shared" si="260"/>
        <v>W78</v>
      </c>
      <c r="E105" s="16" t="s">
        <v>140</v>
      </c>
      <c r="F105" s="16" t="s">
        <v>154</v>
      </c>
      <c r="G105" s="16" t="s">
        <v>116</v>
      </c>
      <c r="H105" s="16">
        <f t="shared" ca="1" si="261"/>
        <v>12</v>
      </c>
      <c r="I105" s="16"/>
      <c r="J105" s="16">
        <v>77</v>
      </c>
      <c r="K105" s="16">
        <v>46203.75</v>
      </c>
      <c r="L105" s="16" t="s">
        <v>163</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Egipto</v>
      </c>
      <c r="O105" s="16"/>
      <c r="P105" s="16"/>
      <c r="Q105" s="16"/>
      <c r="R105" s="16"/>
      <c r="S105" s="16"/>
      <c r="T105" s="16"/>
      <c r="U105" s="16"/>
      <c r="V105" s="17"/>
      <c r="W105" s="631"/>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Noruega</v>
      </c>
      <c r="AG105" s="320">
        <f t="shared" si="266"/>
        <v>0</v>
      </c>
      <c r="AH105" s="195">
        <v>78</v>
      </c>
      <c r="AI105" s="182">
        <v>4</v>
      </c>
      <c r="AJ105" s="42">
        <v>4</v>
      </c>
      <c r="AK105" s="588" t="str">
        <f t="array" aca="1" ref="AK105" ca="1">Ver_flag_visit</f>
        <v/>
      </c>
      <c r="AL105" s="85" t="str">
        <f t="shared" ca="1" si="268"/>
        <v>Ghana</v>
      </c>
      <c r="AM105" s="575">
        <f t="shared" ca="1" si="269"/>
        <v>3</v>
      </c>
      <c r="AN105" s="86">
        <f t="shared" ca="1" si="269"/>
        <v>3</v>
      </c>
      <c r="AO105" s="86">
        <f t="shared" ca="1" si="269"/>
        <v>1</v>
      </c>
      <c r="AP105" s="86">
        <f t="shared" ca="1" si="269"/>
        <v>0</v>
      </c>
      <c r="AQ105" s="86">
        <f t="shared" ca="1" si="269"/>
        <v>2</v>
      </c>
      <c r="AR105" s="86">
        <f t="shared" ca="1" si="269"/>
        <v>3</v>
      </c>
      <c r="AS105" s="86">
        <f t="shared" ca="1" si="269"/>
        <v>3</v>
      </c>
      <c r="AT105" s="87">
        <f t="shared" ca="1" si="269"/>
        <v>0</v>
      </c>
      <c r="AU105" s="323">
        <f t="shared" ca="1" si="270"/>
        <v>1</v>
      </c>
      <c r="AV105" s="182" t="str">
        <f t="shared" ca="1" si="271"/>
        <v>Ghana</v>
      </c>
      <c r="AW105" s="215"/>
      <c r="AX105" s="170"/>
      <c r="AY105" s="270"/>
      <c r="AZ105" s="273" t="str">
        <f t="shared" ca="1" si="272"/>
        <v>1D - 3B</v>
      </c>
      <c r="BA105" s="176"/>
      <c r="BF105" t="str">
        <f t="shared" ca="1" si="273"/>
        <v>I</v>
      </c>
      <c r="BG105">
        <f t="shared" ca="1" si="274"/>
        <v>6</v>
      </c>
      <c r="BI105">
        <v>3</v>
      </c>
      <c r="BJ105" t="str">
        <f t="shared" ca="1" si="275"/>
        <v>D</v>
      </c>
    </row>
    <row r="106" spans="1:62" ht="16" customHeight="1" x14ac:dyDescent="0.2">
      <c r="A106" s="16" t="s">
        <v>102</v>
      </c>
      <c r="B106" s="16" t="s">
        <v>120</v>
      </c>
      <c r="C106" s="16"/>
      <c r="D106" s="16" t="str">
        <f t="shared" si="260"/>
        <v>W77</v>
      </c>
      <c r="E106" s="16" t="s">
        <v>116</v>
      </c>
      <c r="F106" s="16" t="s">
        <v>140</v>
      </c>
      <c r="G106" s="16" t="s">
        <v>125</v>
      </c>
      <c r="H106" s="16">
        <f t="shared" ca="1" si="261"/>
        <v>12</v>
      </c>
      <c r="I106" s="16"/>
      <c r="J106" s="16">
        <v>78</v>
      </c>
      <c r="K106" s="16">
        <v>46203.75</v>
      </c>
      <c r="L106" s="16" t="s">
        <v>164</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31"/>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Egipto</v>
      </c>
      <c r="AG106" s="320">
        <f t="shared" si="266"/>
        <v>0</v>
      </c>
      <c r="AH106" s="195">
        <v>77</v>
      </c>
      <c r="AI106" s="182">
        <v>5</v>
      </c>
      <c r="AJ106" s="42">
        <v>5</v>
      </c>
      <c r="AK106" s="588" t="str">
        <f t="array" aca="1" ref="AK106" ca="1">Ver_flag_visit</f>
        <v/>
      </c>
      <c r="AL106" s="85" t="str">
        <f t="shared" ca="1" si="268"/>
        <v>Australia</v>
      </c>
      <c r="AM106" s="575">
        <f t="shared" ca="1" si="269"/>
        <v>3</v>
      </c>
      <c r="AN106" s="86">
        <f t="shared" ca="1" si="269"/>
        <v>3</v>
      </c>
      <c r="AO106" s="86">
        <f t="shared" ca="1" si="269"/>
        <v>1</v>
      </c>
      <c r="AP106" s="86">
        <f t="shared" ca="1" si="269"/>
        <v>0</v>
      </c>
      <c r="AQ106" s="86">
        <f t="shared" ca="1" si="269"/>
        <v>2</v>
      </c>
      <c r="AR106" s="86">
        <f t="shared" ca="1" si="269"/>
        <v>4</v>
      </c>
      <c r="AS106" s="86">
        <f t="shared" ca="1" si="269"/>
        <v>5</v>
      </c>
      <c r="AT106" s="87">
        <f t="shared" ca="1" si="269"/>
        <v>-1</v>
      </c>
      <c r="AU106" s="323">
        <f t="shared" ca="1" si="270"/>
        <v>1</v>
      </c>
      <c r="AV106" s="182" t="str">
        <f t="shared" ca="1" si="271"/>
        <v>Australia</v>
      </c>
      <c r="AW106" s="215"/>
      <c r="AX106" s="170"/>
      <c r="AY106" s="270"/>
      <c r="AZ106" s="273" t="str">
        <f t="shared" ca="1" si="272"/>
        <v>1E - 3D</v>
      </c>
      <c r="BA106" s="176"/>
      <c r="BF106" t="str">
        <f t="shared" ca="1" si="273"/>
        <v>L</v>
      </c>
      <c r="BG106">
        <f t="shared" ca="1" si="274"/>
        <v>8</v>
      </c>
      <c r="BI106">
        <v>4</v>
      </c>
      <c r="BJ106" t="str">
        <f t="shared" ca="1" si="275"/>
        <v>G</v>
      </c>
    </row>
    <row r="107" spans="1:62" ht="16" customHeight="1" x14ac:dyDescent="0.2">
      <c r="A107" s="16" t="s">
        <v>83</v>
      </c>
      <c r="B107" s="16" t="s">
        <v>165</v>
      </c>
      <c r="C107" s="16"/>
      <c r="D107" s="16" t="str">
        <f t="shared" si="260"/>
        <v>W79</v>
      </c>
      <c r="E107" s="16" t="s">
        <v>29</v>
      </c>
      <c r="F107" s="16" t="s">
        <v>154</v>
      </c>
      <c r="G107" s="16" t="s">
        <v>134</v>
      </c>
      <c r="H107" s="16">
        <f t="shared" ca="1" si="261"/>
        <v>12</v>
      </c>
      <c r="I107" s="16"/>
      <c r="J107" s="16">
        <v>79</v>
      </c>
      <c r="K107" s="16">
        <v>46203.75</v>
      </c>
      <c r="L107" s="16" t="s">
        <v>166</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31"/>
      <c r="X107" s="24">
        <f ca="1">Horarios!C107</f>
        <v>46203.875</v>
      </c>
      <c r="Y107" s="25">
        <f ca="1">Horarios!C107</f>
        <v>46203.875</v>
      </c>
      <c r="Z107" s="274">
        <f t="shared" si="263"/>
        <v>79</v>
      </c>
      <c r="AA107" s="88" t="str">
        <f t="shared" ca="1" si="264"/>
        <v>México</v>
      </c>
      <c r="AB107" s="89"/>
      <c r="AC107" s="92"/>
      <c r="AD107" s="92"/>
      <c r="AE107" s="89"/>
      <c r="AF107" s="91" t="str">
        <f t="shared" ca="1" si="265"/>
        <v>Arabia Saudita</v>
      </c>
      <c r="AG107" s="320">
        <f t="shared" si="266"/>
        <v>0</v>
      </c>
      <c r="AH107" s="195">
        <v>79</v>
      </c>
      <c r="AI107" s="182">
        <v>6</v>
      </c>
      <c r="AJ107" s="42">
        <v>6</v>
      </c>
      <c r="AK107" s="588" t="str">
        <f t="array" aca="1" ref="AK107" ca="1">Ver_flag_visit</f>
        <v/>
      </c>
      <c r="AL107" s="85" t="str">
        <f t="shared" ca="1" si="268"/>
        <v>Egipto</v>
      </c>
      <c r="AM107" s="575">
        <f t="shared" ca="1" si="269"/>
        <v>3</v>
      </c>
      <c r="AN107" s="86">
        <f t="shared" ca="1" si="269"/>
        <v>3</v>
      </c>
      <c r="AO107" s="86">
        <f t="shared" ca="1" si="269"/>
        <v>1</v>
      </c>
      <c r="AP107" s="86">
        <f t="shared" ca="1" si="269"/>
        <v>0</v>
      </c>
      <c r="AQ107" s="86">
        <f t="shared" ca="1" si="269"/>
        <v>2</v>
      </c>
      <c r="AR107" s="86">
        <f t="shared" ca="1" si="269"/>
        <v>3</v>
      </c>
      <c r="AS107" s="86">
        <f t="shared" ca="1" si="269"/>
        <v>5</v>
      </c>
      <c r="AT107" s="87">
        <f t="shared" ca="1" si="269"/>
        <v>-2</v>
      </c>
      <c r="AU107" s="323">
        <f t="shared" ca="1" si="270"/>
        <v>1</v>
      </c>
      <c r="AV107" s="182" t="str">
        <f t="shared" ca="1" si="271"/>
        <v>Egipto</v>
      </c>
      <c r="AW107" s="215"/>
      <c r="AX107" s="170"/>
      <c r="AY107" s="270"/>
      <c r="AZ107" s="273" t="str">
        <f t="shared" ca="1" si="272"/>
        <v>1G - 3A</v>
      </c>
      <c r="BA107" s="176"/>
      <c r="BF107" t="str">
        <f t="shared" ca="1" si="273"/>
        <v>D</v>
      </c>
      <c r="BG107">
        <f t="shared" ca="1" si="274"/>
        <v>3</v>
      </c>
      <c r="BI107">
        <v>5</v>
      </c>
      <c r="BJ107" t="str">
        <f t="shared" ca="1" si="275"/>
        <v>H</v>
      </c>
    </row>
    <row r="108" spans="1:62" ht="16" customHeight="1" x14ac:dyDescent="0.2">
      <c r="A108" s="16" t="s">
        <v>132</v>
      </c>
      <c r="B108" s="16" t="s">
        <v>167</v>
      </c>
      <c r="C108" s="16"/>
      <c r="D108" s="16" t="str">
        <f t="shared" si="260"/>
        <v>W80</v>
      </c>
      <c r="E108" s="16" t="s">
        <v>143</v>
      </c>
      <c r="F108" s="16" t="s">
        <v>154</v>
      </c>
      <c r="G108" s="16" t="s">
        <v>139</v>
      </c>
      <c r="H108" s="16">
        <f t="shared" ca="1" si="261"/>
        <v>12</v>
      </c>
      <c r="I108" s="16"/>
      <c r="J108" s="16">
        <v>80</v>
      </c>
      <c r="K108" s="16">
        <v>46204.75</v>
      </c>
      <c r="L108" s="16" t="s">
        <v>168</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31"/>
      <c r="X108" s="24">
        <f ca="1">Horarios!C108</f>
        <v>46204.5</v>
      </c>
      <c r="Y108" s="25">
        <f ca="1">Horarios!C108</f>
        <v>46204.5</v>
      </c>
      <c r="Z108" s="274">
        <f t="shared" si="263"/>
        <v>80</v>
      </c>
      <c r="AA108" s="88" t="str">
        <f t="shared" ca="1" si="264"/>
        <v>Inglaterra</v>
      </c>
      <c r="AB108" s="89"/>
      <c r="AC108" s="92"/>
      <c r="AD108" s="92"/>
      <c r="AE108" s="89"/>
      <c r="AF108" s="91" t="str">
        <f t="shared" ca="1" si="265"/>
        <v>Senegal</v>
      </c>
      <c r="AG108" s="320">
        <f t="shared" si="266"/>
        <v>0</v>
      </c>
      <c r="AH108" s="195">
        <v>80</v>
      </c>
      <c r="AI108" s="182">
        <v>7</v>
      </c>
      <c r="AJ108" s="42">
        <v>7</v>
      </c>
      <c r="AK108" s="588" t="str">
        <f t="array" aca="1" ref="AK108" ca="1">Ver_flag_visit</f>
        <v/>
      </c>
      <c r="AL108" s="85" t="str">
        <f t="shared" ca="1" si="268"/>
        <v>Arabia Saudita</v>
      </c>
      <c r="AM108" s="575">
        <f t="shared" ca="1" si="269"/>
        <v>3</v>
      </c>
      <c r="AN108" s="86">
        <f t="shared" ca="1" si="269"/>
        <v>3</v>
      </c>
      <c r="AO108" s="86">
        <f t="shared" ca="1" si="269"/>
        <v>1</v>
      </c>
      <c r="AP108" s="86">
        <f t="shared" ca="1" si="269"/>
        <v>0</v>
      </c>
      <c r="AQ108" s="86">
        <f t="shared" ca="1" si="269"/>
        <v>2</v>
      </c>
      <c r="AR108" s="86">
        <f t="shared" ca="1" si="269"/>
        <v>3</v>
      </c>
      <c r="AS108" s="86">
        <f t="shared" ca="1" si="269"/>
        <v>6</v>
      </c>
      <c r="AT108" s="87">
        <f t="shared" ca="1" si="269"/>
        <v>-3</v>
      </c>
      <c r="AU108" s="323">
        <f t="shared" ca="1" si="270"/>
        <v>1</v>
      </c>
      <c r="AV108" s="182" t="str">
        <f t="shared" ca="1" si="271"/>
        <v>Arabia Saudita</v>
      </c>
      <c r="AW108" s="215"/>
      <c r="AX108" s="170"/>
      <c r="AY108" s="270"/>
      <c r="AZ108" s="273" t="str">
        <f t="shared" ca="1" si="272"/>
        <v>1I - 3G</v>
      </c>
      <c r="BA108" s="176"/>
      <c r="BF108" t="str">
        <f t="shared" ca="1" si="273"/>
        <v>G</v>
      </c>
      <c r="BG108">
        <f t="shared" ca="1" si="274"/>
        <v>4</v>
      </c>
      <c r="BI108">
        <v>6</v>
      </c>
      <c r="BJ108" t="str">
        <f t="shared" ca="1" si="275"/>
        <v>I</v>
      </c>
    </row>
    <row r="109" spans="1:62" ht="16" customHeight="1" x14ac:dyDescent="0.2">
      <c r="A109" s="16" t="s">
        <v>96</v>
      </c>
      <c r="B109" s="16" t="s">
        <v>169</v>
      </c>
      <c r="C109" s="16"/>
      <c r="D109" s="16" t="str">
        <f t="shared" si="260"/>
        <v>W82</v>
      </c>
      <c r="E109" s="16" t="s">
        <v>107</v>
      </c>
      <c r="F109" s="16" t="s">
        <v>154</v>
      </c>
      <c r="G109" s="16" t="s">
        <v>140</v>
      </c>
      <c r="H109" s="16">
        <f t="shared" ca="1" si="261"/>
        <v>12</v>
      </c>
      <c r="I109" s="16"/>
      <c r="J109" s="16">
        <v>81</v>
      </c>
      <c r="K109" s="16">
        <v>46204.75</v>
      </c>
      <c r="L109" s="16" t="s">
        <v>170</v>
      </c>
      <c r="M109" s="16" t="str">
        <f t="shared" ca="1" si="262"/>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6"/>
      <c r="P109" s="16"/>
      <c r="Q109" s="16"/>
      <c r="R109" s="16"/>
      <c r="S109" s="16"/>
      <c r="T109" s="16"/>
      <c r="U109" s="16"/>
      <c r="V109" s="17"/>
      <c r="W109" s="631"/>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República Checa</v>
      </c>
      <c r="AG109" s="320">
        <f t="shared" si="266"/>
        <v>0</v>
      </c>
      <c r="AH109" s="195">
        <v>82</v>
      </c>
      <c r="AI109" s="182">
        <v>8</v>
      </c>
      <c r="AJ109" s="42">
        <v>8</v>
      </c>
      <c r="AK109" s="588" t="str">
        <f t="array" aca="1" ref="AK109" ca="1">Ver_flag_visit</f>
        <v/>
      </c>
      <c r="AL109" s="85" t="str">
        <f t="shared" ca="1" si="268"/>
        <v>Argelia</v>
      </c>
      <c r="AM109" s="575">
        <f t="shared" ca="1" si="269"/>
        <v>2</v>
      </c>
      <c r="AN109" s="86">
        <f t="shared" ca="1" si="269"/>
        <v>3</v>
      </c>
      <c r="AO109" s="86">
        <f t="shared" ca="1" si="269"/>
        <v>0</v>
      </c>
      <c r="AP109" s="86">
        <f t="shared" ca="1" si="269"/>
        <v>2</v>
      </c>
      <c r="AQ109" s="86">
        <f t="shared" ca="1" si="269"/>
        <v>1</v>
      </c>
      <c r="AR109" s="86">
        <f t="shared" ca="1" si="269"/>
        <v>1</v>
      </c>
      <c r="AS109" s="86">
        <f t="shared" ca="1" si="269"/>
        <v>4</v>
      </c>
      <c r="AT109" s="87">
        <f t="shared" ca="1" si="269"/>
        <v>-3</v>
      </c>
      <c r="AU109" s="323">
        <f t="shared" ca="1" si="270"/>
        <v>1</v>
      </c>
      <c r="AV109" s="182" t="str">
        <f t="shared" ca="1" si="271"/>
        <v>Argelia</v>
      </c>
      <c r="AW109" s="215"/>
      <c r="AX109" s="170"/>
      <c r="AY109" s="270"/>
      <c r="AZ109" s="273" t="str">
        <f t="shared" ca="1" si="272"/>
        <v>1K - 3L</v>
      </c>
      <c r="BA109" s="176"/>
      <c r="BF109" t="str">
        <f t="shared" ca="1" si="273"/>
        <v>H</v>
      </c>
      <c r="BG109">
        <f t="shared" ca="1" si="274"/>
        <v>5</v>
      </c>
      <c r="BI109">
        <v>7</v>
      </c>
      <c r="BJ109" t="str">
        <f t="shared" ca="1" si="275"/>
        <v>J</v>
      </c>
    </row>
    <row r="110" spans="1:62" ht="16" customHeight="1" x14ac:dyDescent="0.2">
      <c r="A110" s="16" t="s">
        <v>110</v>
      </c>
      <c r="B110" s="16" t="s">
        <v>171</v>
      </c>
      <c r="C110" s="16"/>
      <c r="D110" s="16" t="str">
        <f t="shared" si="260"/>
        <v>W81</v>
      </c>
      <c r="E110" s="16" t="s">
        <v>134</v>
      </c>
      <c r="F110" s="16" t="s">
        <v>154</v>
      </c>
      <c r="G110" s="16" t="s">
        <v>141</v>
      </c>
      <c r="H110" s="16">
        <f t="shared" ca="1" si="261"/>
        <v>12</v>
      </c>
      <c r="I110" s="16"/>
      <c r="J110" s="16">
        <v>82</v>
      </c>
      <c r="K110" s="16">
        <v>46204.75</v>
      </c>
      <c r="L110" s="16" t="s">
        <v>172</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31"/>
      <c r="X110" s="24">
        <f ca="1">Horarios!C110</f>
        <v>46204.833333333343</v>
      </c>
      <c r="Y110" s="25">
        <f ca="1">Horarios!C110</f>
        <v>46204.833333333343</v>
      </c>
      <c r="Z110" s="274">
        <f t="shared" si="263"/>
        <v>81</v>
      </c>
      <c r="AA110" s="88" t="str">
        <f t="shared" ca="1" si="264"/>
        <v>Paraguay</v>
      </c>
      <c r="AB110" s="89"/>
      <c r="AC110" s="92"/>
      <c r="AD110" s="92"/>
      <c r="AE110" s="89"/>
      <c r="AF110" s="91" t="str">
        <f t="shared" ca="1" si="265"/>
        <v>Catar</v>
      </c>
      <c r="AG110" s="320">
        <f t="shared" si="266"/>
        <v>0</v>
      </c>
      <c r="AH110" s="195">
        <v>81</v>
      </c>
      <c r="AI110" s="182">
        <v>9</v>
      </c>
      <c r="AJ110" s="42">
        <v>9</v>
      </c>
      <c r="AK110" s="588" t="str">
        <f t="array" aca="1" ref="AK110" ca="1">Ver_flag_visit</f>
        <v/>
      </c>
      <c r="AL110" s="85" t="str">
        <f t="shared" ca="1" si="268"/>
        <v>Haití</v>
      </c>
      <c r="AM110" s="575">
        <f t="shared" ca="1" si="269"/>
        <v>1</v>
      </c>
      <c r="AN110" s="86">
        <f t="shared" ca="1" si="269"/>
        <v>3</v>
      </c>
      <c r="AO110" s="86">
        <f t="shared" ca="1" si="269"/>
        <v>0</v>
      </c>
      <c r="AP110" s="86">
        <f t="shared" ca="1" si="269"/>
        <v>1</v>
      </c>
      <c r="AQ110" s="86">
        <f t="shared" ca="1" si="269"/>
        <v>2</v>
      </c>
      <c r="AR110" s="86">
        <f t="shared" ca="1" si="269"/>
        <v>2</v>
      </c>
      <c r="AS110" s="86">
        <f t="shared" ca="1" si="269"/>
        <v>5</v>
      </c>
      <c r="AT110" s="87">
        <f t="shared" ca="1" si="269"/>
        <v>-3</v>
      </c>
      <c r="AU110" s="323">
        <f t="shared" ca="1" si="270"/>
        <v>2</v>
      </c>
      <c r="AV110" s="182" t="str">
        <f t="shared" ca="1" si="271"/>
        <v>Haití</v>
      </c>
      <c r="AW110" s="215"/>
      <c r="AX110" s="170"/>
      <c r="AY110" s="270"/>
      <c r="AZ110" s="273" t="str">
        <f t="shared" ca="1" si="272"/>
        <v>1L - 3I</v>
      </c>
      <c r="BA110" s="176"/>
      <c r="BF110" t="str">
        <f t="shared" ca="1" si="273"/>
        <v>J</v>
      </c>
      <c r="BG110">
        <f t="shared" ca="1" si="274"/>
        <v>7</v>
      </c>
      <c r="BI110">
        <v>8</v>
      </c>
      <c r="BJ110" t="str">
        <f t="shared" ca="1" si="275"/>
        <v>L</v>
      </c>
    </row>
    <row r="111" spans="1:62" ht="16" customHeight="1" x14ac:dyDescent="0.2">
      <c r="A111" s="16" t="s">
        <v>129</v>
      </c>
      <c r="B111" s="16" t="s">
        <v>133</v>
      </c>
      <c r="C111" s="16"/>
      <c r="D111" s="16" t="str">
        <f t="shared" si="260"/>
        <v>W84</v>
      </c>
      <c r="E111" s="16" t="s">
        <v>142</v>
      </c>
      <c r="F111" s="16" t="s">
        <v>143</v>
      </c>
      <c r="G111" s="16" t="s">
        <v>142</v>
      </c>
      <c r="H111" s="16">
        <f t="shared" ca="1" si="261"/>
        <v>12</v>
      </c>
      <c r="I111" s="16"/>
      <c r="J111" s="16">
        <v>83</v>
      </c>
      <c r="K111" s="16">
        <v>46205.75</v>
      </c>
      <c r="L111" s="16" t="s">
        <v>173</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31"/>
      <c r="X111" s="24">
        <f ca="1">Horarios!C111</f>
        <v>46205.625</v>
      </c>
      <c r="Y111" s="25">
        <f ca="1">Horarios!C111</f>
        <v>46205.625</v>
      </c>
      <c r="Z111" s="274">
        <f t="shared" si="263"/>
        <v>84</v>
      </c>
      <c r="AA111" s="88" t="str">
        <f t="shared" ca="1" si="264"/>
        <v>España</v>
      </c>
      <c r="AB111" s="89"/>
      <c r="AC111" s="92"/>
      <c r="AD111" s="92"/>
      <c r="AE111" s="89"/>
      <c r="AF111" s="91" t="str">
        <f t="shared" ca="1" si="265"/>
        <v>Austria</v>
      </c>
      <c r="AG111" s="320">
        <f t="shared" si="266"/>
        <v>0</v>
      </c>
      <c r="AH111" s="195">
        <v>84</v>
      </c>
      <c r="AI111" s="182">
        <v>10</v>
      </c>
      <c r="AJ111" s="42">
        <v>10</v>
      </c>
      <c r="AK111" s="588" t="str">
        <f t="array" aca="1" ref="AK111" ca="1">Ver_flag_visit</f>
        <v/>
      </c>
      <c r="AL111" s="85" t="str">
        <f t="shared" ca="1" si="268"/>
        <v>Suecia</v>
      </c>
      <c r="AM111" s="575">
        <f t="shared" ca="1" si="269"/>
        <v>1</v>
      </c>
      <c r="AN111" s="86">
        <f t="shared" ca="1" si="269"/>
        <v>3</v>
      </c>
      <c r="AO111" s="86">
        <f t="shared" ca="1" si="269"/>
        <v>0</v>
      </c>
      <c r="AP111" s="86">
        <f t="shared" ca="1" si="269"/>
        <v>1</v>
      </c>
      <c r="AQ111" s="86">
        <f t="shared" ca="1" si="269"/>
        <v>2</v>
      </c>
      <c r="AR111" s="86">
        <f t="shared" ca="1" si="269"/>
        <v>2</v>
      </c>
      <c r="AS111" s="86">
        <f t="shared" ca="1" si="269"/>
        <v>5</v>
      </c>
      <c r="AT111" s="87">
        <f t="shared" ca="1" si="269"/>
        <v>-3</v>
      </c>
      <c r="AU111" s="323">
        <f t="shared" ca="1" si="270"/>
        <v>2</v>
      </c>
      <c r="AV111" s="182" t="str">
        <f t="shared" ca="1" si="271"/>
        <v>Suecia</v>
      </c>
      <c r="AW111" s="215"/>
      <c r="AX111" s="170"/>
      <c r="AY111" s="269"/>
      <c r="AZ111" s="269"/>
      <c r="BA111" s="176"/>
      <c r="BI111" t="s">
        <v>174</v>
      </c>
    </row>
    <row r="112" spans="1:62" ht="16" customHeight="1" x14ac:dyDescent="0.2">
      <c r="A112" s="16" t="s">
        <v>114</v>
      </c>
      <c r="B112" s="16" t="s">
        <v>124</v>
      </c>
      <c r="C112" s="16"/>
      <c r="D112" s="16" t="str">
        <f t="shared" si="260"/>
        <v>W83</v>
      </c>
      <c r="E112" s="16" t="s">
        <v>139</v>
      </c>
      <c r="F112" s="16" t="s">
        <v>141</v>
      </c>
      <c r="G112" s="16" t="s">
        <v>143</v>
      </c>
      <c r="H112" s="16">
        <f t="shared" ca="1" si="261"/>
        <v>12</v>
      </c>
      <c r="I112" s="16"/>
      <c r="J112" s="16">
        <v>84</v>
      </c>
      <c r="K112" s="16">
        <v>46205.75</v>
      </c>
      <c r="L112" s="16" t="s">
        <v>175</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31"/>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Croacia</v>
      </c>
      <c r="AG112" s="320">
        <f t="shared" si="266"/>
        <v>0</v>
      </c>
      <c r="AH112" s="195">
        <v>83</v>
      </c>
      <c r="AI112" s="182">
        <v>11</v>
      </c>
      <c r="AJ112" s="42">
        <v>11</v>
      </c>
      <c r="AK112" s="588" t="str">
        <f t="array" aca="1" ref="AK112" ca="1">Ver_flag_visit</f>
        <v/>
      </c>
      <c r="AL112" s="85" t="str">
        <f t="shared" ca="1" si="268"/>
        <v>Curazao</v>
      </c>
      <c r="AM112" s="575">
        <f t="shared" ca="1" si="269"/>
        <v>1</v>
      </c>
      <c r="AN112" s="86">
        <f t="shared" ca="1" si="269"/>
        <v>3</v>
      </c>
      <c r="AO112" s="86">
        <f t="shared" ca="1" si="269"/>
        <v>0</v>
      </c>
      <c r="AP112" s="86">
        <f t="shared" ca="1" si="269"/>
        <v>1</v>
      </c>
      <c r="AQ112" s="86">
        <f t="shared" ca="1" si="269"/>
        <v>2</v>
      </c>
      <c r="AR112" s="86">
        <f t="shared" ca="1" si="269"/>
        <v>1</v>
      </c>
      <c r="AS112" s="86">
        <f t="shared" ca="1" si="269"/>
        <v>5</v>
      </c>
      <c r="AT112" s="87">
        <f t="shared" ca="1" si="269"/>
        <v>-4</v>
      </c>
      <c r="AU112" s="323">
        <f t="shared" ca="1" si="270"/>
        <v>1</v>
      </c>
      <c r="AV112" s="182" t="str">
        <f t="shared" ca="1" si="271"/>
        <v>Curazao</v>
      </c>
      <c r="AW112" s="215"/>
      <c r="AX112" s="170"/>
      <c r="AY112" s="269"/>
      <c r="AZ112" s="269"/>
      <c r="BA112" s="176"/>
      <c r="BI112" t="str">
        <f ca="1">IFERROR(CONCATENATE(BJ103,BJ104,BJ105,BJ106,BJ107,BJ108,BJ109,BJ110),"¿A/B/C/D/E/F/G/H/I/J/K/L?")</f>
        <v>ABDGHIJL</v>
      </c>
    </row>
    <row r="113" spans="1:59" ht="16" customHeight="1" thickBot="1" x14ac:dyDescent="0.25">
      <c r="A113" s="16" t="s">
        <v>87</v>
      </c>
      <c r="B113" s="16" t="s">
        <v>176</v>
      </c>
      <c r="C113" s="16"/>
      <c r="D113" s="16" t="str">
        <f t="shared" si="260"/>
        <v>W85</v>
      </c>
      <c r="E113" s="16" t="s">
        <v>89</v>
      </c>
      <c r="F113" s="16" t="s">
        <v>154</v>
      </c>
      <c r="G113" s="16" t="s">
        <v>154</v>
      </c>
      <c r="H113" s="16">
        <f ca="1">+IF($AJ$99&lt;&gt;144,SUM(H101:H112),$AJ$99)</f>
        <v>144</v>
      </c>
      <c r="I113" s="16"/>
      <c r="J113" s="16">
        <v>85</v>
      </c>
      <c r="K113" s="16">
        <v>46205.75</v>
      </c>
      <c r="L113" s="16" t="s">
        <v>177</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31"/>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Argelia</v>
      </c>
      <c r="AG113" s="320">
        <f t="shared" si="266"/>
        <v>0</v>
      </c>
      <c r="AH113" s="195">
        <v>85</v>
      </c>
      <c r="AI113" s="182">
        <v>12</v>
      </c>
      <c r="AJ113" s="44">
        <v>12</v>
      </c>
      <c r="AK113" s="590" t="str">
        <f t="array" aca="1" ref="AK113" ca="1">Ver_flag_visit</f>
        <v/>
      </c>
      <c r="AL113" s="45" t="str">
        <f t="shared" ca="1" si="268"/>
        <v>RD Congo</v>
      </c>
      <c r="AM113" s="576">
        <f t="shared" ca="1" si="269"/>
        <v>1</v>
      </c>
      <c r="AN113" s="47">
        <f t="shared" ca="1" si="269"/>
        <v>3</v>
      </c>
      <c r="AO113" s="47">
        <f t="shared" ca="1" si="269"/>
        <v>0</v>
      </c>
      <c r="AP113" s="47">
        <f t="shared" ca="1" si="269"/>
        <v>1</v>
      </c>
      <c r="AQ113" s="47">
        <f t="shared" ca="1" si="269"/>
        <v>2</v>
      </c>
      <c r="AR113" s="47">
        <f t="shared" ca="1" si="269"/>
        <v>1</v>
      </c>
      <c r="AS113" s="47">
        <f t="shared" ca="1" si="269"/>
        <v>6</v>
      </c>
      <c r="AT113" s="48">
        <f t="shared" ca="1" si="269"/>
        <v>-5</v>
      </c>
      <c r="AU113" s="323">
        <f t="shared" ca="1" si="270"/>
        <v>1</v>
      </c>
      <c r="AV113" s="182" t="str">
        <f t="shared" ca="1" si="271"/>
        <v>RD Congo</v>
      </c>
      <c r="AW113" s="215"/>
      <c r="AX113" s="170"/>
      <c r="AY113" s="154"/>
      <c r="AZ113" s="155"/>
      <c r="BA113" s="176"/>
    </row>
    <row r="114" spans="1:59" ht="16" customHeight="1" x14ac:dyDescent="0.2">
      <c r="A114" s="16" t="s">
        <v>123</v>
      </c>
      <c r="B114" s="16" t="s">
        <v>115</v>
      </c>
      <c r="C114" s="16"/>
      <c r="D114" s="16" t="str">
        <f t="shared" si="260"/>
        <v>W88</v>
      </c>
      <c r="E114" s="16" t="s">
        <v>141</v>
      </c>
      <c r="F114" s="16" t="s">
        <v>139</v>
      </c>
      <c r="G114" s="16"/>
      <c r="H114" s="16"/>
      <c r="I114" s="16"/>
      <c r="J114" s="16">
        <v>86</v>
      </c>
      <c r="K114" s="16">
        <v>46206.75</v>
      </c>
      <c r="L114" s="16" t="s">
        <v>178</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31"/>
      <c r="X114" s="24">
        <f ca="1">Horarios!C114</f>
        <v>46206.583333333343</v>
      </c>
      <c r="Y114" s="25">
        <f ca="1">Horarios!C114</f>
        <v>46206.583333333343</v>
      </c>
      <c r="Z114" s="274">
        <f t="shared" si="263"/>
        <v>88</v>
      </c>
      <c r="AA114" s="88" t="str">
        <f t="shared" ca="1" si="264"/>
        <v>Estados Unidos</v>
      </c>
      <c r="AB114" s="89"/>
      <c r="AC114" s="92"/>
      <c r="AD114" s="92"/>
      <c r="AE114" s="89"/>
      <c r="AF114" s="91" t="str">
        <f t="shared" ca="1" si="265"/>
        <v>Irán</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128</v>
      </c>
      <c r="B115" s="16" t="s">
        <v>179</v>
      </c>
      <c r="C115" s="16"/>
      <c r="D115" s="16" t="str">
        <f t="shared" si="260"/>
        <v>W86</v>
      </c>
      <c r="E115" s="16" t="s">
        <v>142</v>
      </c>
      <c r="F115" s="16" t="s">
        <v>154</v>
      </c>
      <c r="G115" s="16"/>
      <c r="H115" s="16"/>
      <c r="I115" s="16"/>
      <c r="J115" s="16">
        <v>87</v>
      </c>
      <c r="K115" s="16">
        <v>46206.75</v>
      </c>
      <c r="L115" s="16" t="s">
        <v>180</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31"/>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7"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97</v>
      </c>
      <c r="B116" s="16" t="s">
        <v>111</v>
      </c>
      <c r="C116" s="16"/>
      <c r="D116" s="16" t="str">
        <f t="shared" si="260"/>
        <v>W87</v>
      </c>
      <c r="E116" s="16" t="s">
        <v>107</v>
      </c>
      <c r="F116" s="16" t="s">
        <v>134</v>
      </c>
      <c r="G116" s="16"/>
      <c r="H116" s="16"/>
      <c r="I116" s="16"/>
      <c r="J116" s="16">
        <v>88</v>
      </c>
      <c r="K116" s="16">
        <v>46206.75</v>
      </c>
      <c r="L116" s="16" t="s">
        <v>181</v>
      </c>
      <c r="M116" s="16" t="str">
        <f t="shared" ca="1" si="262"/>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32"/>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Ghana</v>
      </c>
      <c r="AG116" s="320">
        <f t="shared" si="266"/>
        <v>0</v>
      </c>
      <c r="AH116" s="195">
        <v>87</v>
      </c>
      <c r="AI116" s="182"/>
      <c r="AJ116" s="148"/>
      <c r="AK116" s="148"/>
      <c r="AL116" s="600"/>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83</v>
      </c>
      <c r="BG117" t="str">
        <f ca="1">+IFERROR(INDEX(Combinaciones!$P$2:$W$496,MATCH(1,Combinaciones!$B$2:$B$497,0),MATCH(WORLDCUP!BF117,Combinaciones!$P$1:$W$1,0)),"")</f>
        <v>3H</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87</v>
      </c>
      <c r="BG118" t="str">
        <f ca="1">+IFERROR(INDEX(Combinaciones!$P$2:$W$496,MATCH(1,Combinaciones!$B$2:$B$497,0),MATCH(WORLDCUP!BF118,Combinaciones!$P$1:$W$1,0)),"")</f>
        <v>3J</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10</v>
      </c>
      <c r="AC119" s="69" t="str">
        <f>AC3</f>
        <v>Gol</v>
      </c>
      <c r="AD119" s="69" t="str">
        <f>AD3</f>
        <v>Gol</v>
      </c>
      <c r="AE119" s="67" t="s">
        <v>10</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96</v>
      </c>
      <c r="BG119" t="str">
        <f ca="1">+IFERROR(INDEX(Combinaciones!$P$2:$W$496,MATCH(1,Combinaciones!$B$2:$B$497,0),MATCH(WORLDCUP!BF119,Combinaciones!$P$1:$W$1,0)),"")</f>
        <v>3B</v>
      </c>
    </row>
    <row r="120" spans="1:59" ht="16" customHeight="1" x14ac:dyDescent="0.2">
      <c r="A120" s="16" t="s">
        <v>182</v>
      </c>
      <c r="B120" s="16" t="s">
        <v>183</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184</v>
      </c>
      <c r="M120" s="16" t="str">
        <f t="shared" ref="M120:N127" si="277">+INDEX($D$101:$D$147,MATCH(E120,$AH$101:$AH$147,0))</f>
        <v>W74</v>
      </c>
      <c r="N120" s="16" t="str">
        <f t="shared" si="277"/>
        <v>W77</v>
      </c>
      <c r="O120" s="16"/>
      <c r="P120" s="16"/>
      <c r="Q120" s="16"/>
      <c r="R120" s="16"/>
      <c r="S120" s="16"/>
      <c r="T120" s="16"/>
      <c r="U120" s="16"/>
      <c r="V120" s="17"/>
      <c r="W120" s="633" t="s">
        <v>185</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101</v>
      </c>
      <c r="BG120" t="str">
        <f ca="1">+IFERROR(INDEX(Combinaciones!$P$2:$W$496,MATCH(1,Combinaciones!$B$2:$B$497,0),MATCH(WORLDCUP!BF120,Combinaciones!$P$1:$W$1,0)),"")</f>
        <v>3D</v>
      </c>
    </row>
    <row r="121" spans="1:59" ht="16" customHeight="1" x14ac:dyDescent="0.2">
      <c r="A121" s="16" t="s">
        <v>186</v>
      </c>
      <c r="B121" s="16" t="s">
        <v>187</v>
      </c>
      <c r="C121" s="16"/>
      <c r="D121" s="16" t="str">
        <f t="shared" si="276"/>
        <v>W89</v>
      </c>
      <c r="E121" s="16">
        <v>73</v>
      </c>
      <c r="F121" s="16">
        <v>75</v>
      </c>
      <c r="G121" s="16"/>
      <c r="H121" s="16"/>
      <c r="I121" s="16"/>
      <c r="J121" s="16">
        <v>90</v>
      </c>
      <c r="K121" s="16">
        <v>46207.875</v>
      </c>
      <c r="L121" s="16" t="s">
        <v>188</v>
      </c>
      <c r="M121" s="16" t="str">
        <f t="shared" si="277"/>
        <v>W73</v>
      </c>
      <c r="N121" s="16" t="str">
        <f t="shared" si="277"/>
        <v>W75</v>
      </c>
      <c r="O121" s="16"/>
      <c r="P121" s="16"/>
      <c r="Q121" s="16"/>
      <c r="R121" s="16"/>
      <c r="S121" s="16"/>
      <c r="T121" s="16"/>
      <c r="U121" s="16"/>
      <c r="V121" s="17"/>
      <c r="W121" s="634"/>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110</v>
      </c>
      <c r="BG121" t="str">
        <f ca="1">+IFERROR(INDEX(Combinaciones!$P$2:$W$496,MATCH(1,Combinaciones!$B$2:$B$497,0),MATCH(WORLDCUP!BF121,Combinaciones!$P$1:$W$1,0)),"")</f>
        <v>3A</v>
      </c>
    </row>
    <row r="122" spans="1:59" ht="16" customHeight="1" x14ac:dyDescent="0.2">
      <c r="A122" s="16" t="s">
        <v>189</v>
      </c>
      <c r="B122" s="16" t="s">
        <v>190</v>
      </c>
      <c r="C122" s="16"/>
      <c r="D122" s="16" t="str">
        <f t="shared" si="276"/>
        <v>W91</v>
      </c>
      <c r="E122" s="16">
        <v>76</v>
      </c>
      <c r="F122" s="16">
        <v>78</v>
      </c>
      <c r="G122" s="16"/>
      <c r="H122" s="16"/>
      <c r="I122" s="16"/>
      <c r="J122" s="16">
        <v>91</v>
      </c>
      <c r="K122" s="16">
        <v>46208.75</v>
      </c>
      <c r="L122" s="16" t="s">
        <v>191</v>
      </c>
      <c r="M122" s="16" t="str">
        <f t="shared" si="277"/>
        <v>W76</v>
      </c>
      <c r="N122" s="16" t="str">
        <f t="shared" si="277"/>
        <v>W78</v>
      </c>
      <c r="O122" s="16"/>
      <c r="P122" s="16"/>
      <c r="Q122" s="16"/>
      <c r="R122" s="16"/>
      <c r="S122" s="16"/>
      <c r="T122" s="16"/>
      <c r="U122" s="16"/>
      <c r="V122" s="17"/>
      <c r="W122" s="634"/>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119</v>
      </c>
      <c r="BG122" t="str">
        <f ca="1">+IFERROR(INDEX(Combinaciones!$P$2:$W$496,MATCH(1,Combinaciones!$B$2:$B$497,0),MATCH(WORLDCUP!BF122,Combinaciones!$P$1:$W$1,0)),"")</f>
        <v>3G</v>
      </c>
    </row>
    <row r="123" spans="1:59" ht="16" customHeight="1" x14ac:dyDescent="0.2">
      <c r="A123" s="16" t="s">
        <v>192</v>
      </c>
      <c r="B123" s="16" t="s">
        <v>193</v>
      </c>
      <c r="C123" s="16"/>
      <c r="D123" s="16" t="str">
        <f t="shared" si="276"/>
        <v>W92</v>
      </c>
      <c r="E123" s="16">
        <v>79</v>
      </c>
      <c r="F123" s="16">
        <v>80</v>
      </c>
      <c r="G123" s="16"/>
      <c r="H123" s="16"/>
      <c r="I123" s="16"/>
      <c r="J123" s="16">
        <v>92</v>
      </c>
      <c r="K123" s="16">
        <v>46208.875</v>
      </c>
      <c r="L123" s="16" t="s">
        <v>194</v>
      </c>
      <c r="M123" s="16" t="str">
        <f t="shared" si="277"/>
        <v>W79</v>
      </c>
      <c r="N123" s="16" t="str">
        <f t="shared" si="277"/>
        <v>W80</v>
      </c>
      <c r="O123" s="16"/>
      <c r="P123" s="16"/>
      <c r="Q123" s="16"/>
      <c r="R123" s="16"/>
      <c r="S123" s="16"/>
      <c r="T123" s="16"/>
      <c r="U123" s="16"/>
      <c r="V123" s="17"/>
      <c r="W123" s="634"/>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128</v>
      </c>
      <c r="BG123" t="str">
        <f ca="1">+IFERROR(INDEX(Combinaciones!$P$2:$W$496,MATCH(1,Combinaciones!$B$2:$B$497,0),MATCH(WORLDCUP!BF123,Combinaciones!$P$1:$W$1,0)),"")</f>
        <v>3L</v>
      </c>
    </row>
    <row r="124" spans="1:59" ht="16" customHeight="1" x14ac:dyDescent="0.2">
      <c r="A124" s="16" t="s">
        <v>195</v>
      </c>
      <c r="B124" s="16" t="s">
        <v>196</v>
      </c>
      <c r="C124" s="16"/>
      <c r="D124" s="16" t="str">
        <f t="shared" si="276"/>
        <v>W93</v>
      </c>
      <c r="E124" s="16">
        <v>83</v>
      </c>
      <c r="F124" s="16">
        <v>84</v>
      </c>
      <c r="G124" s="16"/>
      <c r="H124" s="16"/>
      <c r="I124" s="16"/>
      <c r="J124" s="16">
        <v>93</v>
      </c>
      <c r="K124" s="16">
        <v>46209.75</v>
      </c>
      <c r="L124" s="16" t="s">
        <v>197</v>
      </c>
      <c r="M124" s="16" t="str">
        <f t="shared" si="277"/>
        <v>W83</v>
      </c>
      <c r="N124" s="16" t="str">
        <f t="shared" si="277"/>
        <v>W84</v>
      </c>
      <c r="O124" s="16"/>
      <c r="P124" s="16"/>
      <c r="Q124" s="16"/>
      <c r="R124" s="16"/>
      <c r="S124" s="16"/>
      <c r="T124" s="16"/>
      <c r="U124" s="16"/>
      <c r="V124" s="17"/>
      <c r="W124" s="634"/>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132</v>
      </c>
      <c r="BG124" t="str">
        <f ca="1">+IFERROR(INDEX(Combinaciones!$P$2:$W$496,MATCH(1,Combinaciones!$B$2:$B$497,0),MATCH(WORLDCUP!BF124,Combinaciones!$P$1:$W$1,0)),"")</f>
        <v>3I</v>
      </c>
    </row>
    <row r="125" spans="1:59" ht="16" customHeight="1" x14ac:dyDescent="0.2">
      <c r="A125" s="16" t="s">
        <v>198</v>
      </c>
      <c r="B125" s="16" t="s">
        <v>199</v>
      </c>
      <c r="C125" s="16"/>
      <c r="D125" s="16" t="str">
        <f t="shared" si="276"/>
        <v>W94</v>
      </c>
      <c r="E125" s="16">
        <v>81</v>
      </c>
      <c r="F125" s="16">
        <v>82</v>
      </c>
      <c r="G125" s="16"/>
      <c r="H125" s="16"/>
      <c r="I125" s="16"/>
      <c r="J125" s="16">
        <v>94</v>
      </c>
      <c r="K125" s="16">
        <v>46209.875</v>
      </c>
      <c r="L125" s="16" t="s">
        <v>200</v>
      </c>
      <c r="M125" s="16" t="str">
        <f t="shared" si="277"/>
        <v>W81</v>
      </c>
      <c r="N125" s="16" t="str">
        <f t="shared" si="277"/>
        <v>W82</v>
      </c>
      <c r="O125" s="16"/>
      <c r="P125" s="16"/>
      <c r="Q125" s="16"/>
      <c r="R125" s="16"/>
      <c r="S125" s="16"/>
      <c r="T125" s="16"/>
      <c r="U125" s="16"/>
      <c r="V125" s="17"/>
      <c r="W125" s="634"/>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201</v>
      </c>
      <c r="B126" s="16" t="s">
        <v>202</v>
      </c>
      <c r="C126" s="16"/>
      <c r="D126" s="16" t="str">
        <f t="shared" si="276"/>
        <v>W95</v>
      </c>
      <c r="E126" s="16">
        <v>86</v>
      </c>
      <c r="F126" s="16">
        <v>88</v>
      </c>
      <c r="G126" s="16"/>
      <c r="H126" s="16"/>
      <c r="I126" s="16"/>
      <c r="J126" s="16">
        <v>95</v>
      </c>
      <c r="K126" s="16">
        <v>46210.75</v>
      </c>
      <c r="L126" s="16" t="s">
        <v>203</v>
      </c>
      <c r="M126" s="16" t="str">
        <f t="shared" si="277"/>
        <v>W86</v>
      </c>
      <c r="N126" s="16" t="str">
        <f t="shared" si="277"/>
        <v>W88</v>
      </c>
      <c r="O126" s="16"/>
      <c r="P126" s="16"/>
      <c r="Q126" s="16"/>
      <c r="R126" s="16"/>
      <c r="S126" s="16"/>
      <c r="T126" s="16"/>
      <c r="U126" s="16"/>
      <c r="V126" s="17"/>
      <c r="W126" s="634"/>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204</v>
      </c>
      <c r="B127" s="16" t="s">
        <v>205</v>
      </c>
      <c r="C127" s="16"/>
      <c r="D127" s="16" t="str">
        <f t="shared" si="276"/>
        <v>W96</v>
      </c>
      <c r="E127" s="16">
        <v>85</v>
      </c>
      <c r="F127" s="16">
        <v>87</v>
      </c>
      <c r="G127" s="16"/>
      <c r="H127" s="16"/>
      <c r="I127" s="16"/>
      <c r="J127" s="16">
        <v>96</v>
      </c>
      <c r="K127" s="16">
        <v>46210.875</v>
      </c>
      <c r="L127" s="16" t="s">
        <v>206</v>
      </c>
      <c r="M127" s="16" t="str">
        <f t="shared" si="277"/>
        <v>W85</v>
      </c>
      <c r="N127" s="16" t="str">
        <f t="shared" si="277"/>
        <v>W87</v>
      </c>
      <c r="O127" s="16"/>
      <c r="P127" s="16"/>
      <c r="Q127" s="16"/>
      <c r="R127" s="16"/>
      <c r="S127" s="16"/>
      <c r="T127" s="16"/>
      <c r="U127" s="16"/>
      <c r="V127" s="17"/>
      <c r="W127" s="635"/>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10</v>
      </c>
      <c r="AC130" s="69" t="str">
        <f>AC3</f>
        <v>Gol</v>
      </c>
      <c r="AD130" s="69" t="str">
        <f>AD3</f>
        <v>Gol</v>
      </c>
      <c r="AE130" s="67" t="s">
        <v>10</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207</v>
      </c>
      <c r="B131" s="16" t="s">
        <v>208</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209</v>
      </c>
      <c r="M131" s="16" t="str">
        <f t="shared" ref="M131:N134" si="282">+INDEX($D$101:$D$147,MATCH(E131,$AH$101:$AH$147,0))</f>
        <v>W89</v>
      </c>
      <c r="N131" s="16" t="str">
        <f t="shared" si="282"/>
        <v>W90</v>
      </c>
      <c r="O131" s="16"/>
      <c r="P131" s="16"/>
      <c r="Q131" s="16"/>
      <c r="R131" s="16"/>
      <c r="S131" s="16"/>
      <c r="T131" s="16"/>
      <c r="U131" s="16"/>
      <c r="V131" s="17"/>
      <c r="W131" s="640" t="s">
        <v>210</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211</v>
      </c>
      <c r="B132" s="16" t="s">
        <v>212</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213</v>
      </c>
      <c r="M132" s="16" t="str">
        <f t="shared" si="282"/>
        <v>W93</v>
      </c>
      <c r="N132" s="16" t="str">
        <f t="shared" si="282"/>
        <v>W94</v>
      </c>
      <c r="O132" s="16"/>
      <c r="P132" s="16"/>
      <c r="Q132" s="16"/>
      <c r="R132" s="16"/>
      <c r="S132" s="16"/>
      <c r="T132" s="16"/>
      <c r="U132" s="16"/>
      <c r="V132" s="17"/>
      <c r="W132" s="634"/>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214</v>
      </c>
      <c r="B133" s="16" t="s">
        <v>215</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216</v>
      </c>
      <c r="M133" s="16" t="str">
        <f t="shared" si="282"/>
        <v>W91</v>
      </c>
      <c r="N133" s="16" t="str">
        <f t="shared" si="282"/>
        <v>W92</v>
      </c>
      <c r="O133" s="16"/>
      <c r="P133" s="16"/>
      <c r="Q133" s="16"/>
      <c r="R133" s="16"/>
      <c r="S133" s="16"/>
      <c r="T133" s="16"/>
      <c r="U133" s="16"/>
      <c r="V133" s="17"/>
      <c r="W133" s="634"/>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217</v>
      </c>
      <c r="B134" s="16" t="s">
        <v>218</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219</v>
      </c>
      <c r="M134" s="16" t="str">
        <f t="shared" si="282"/>
        <v>W95</v>
      </c>
      <c r="N134" s="16" t="str">
        <f t="shared" si="282"/>
        <v>W96</v>
      </c>
      <c r="O134" s="16"/>
      <c r="P134" s="16"/>
      <c r="Q134" s="16"/>
      <c r="R134" s="16"/>
      <c r="S134" s="16"/>
      <c r="T134" s="16"/>
      <c r="U134" s="16"/>
      <c r="V134" s="17"/>
      <c r="W134" s="635"/>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220</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221</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10</v>
      </c>
      <c r="AC137" s="69" t="s">
        <v>222</v>
      </c>
      <c r="AD137" s="69" t="s">
        <v>222</v>
      </c>
      <c r="AE137" s="67" t="s">
        <v>10</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223</v>
      </c>
      <c r="B138" s="16" t="s">
        <v>224</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225</v>
      </c>
      <c r="M138" s="16" t="str">
        <f>+INDEX($D$101:$D$147,MATCH(E138,$AH$101:$AH$147,0))</f>
        <v>W97</v>
      </c>
      <c r="N138" s="16" t="str">
        <f>+INDEX($D$101:$D$147,MATCH(F138,$AH$101:$AH$147,0))</f>
        <v>W98</v>
      </c>
      <c r="O138" s="16"/>
      <c r="P138" s="16"/>
      <c r="Q138" s="16"/>
      <c r="R138" s="16"/>
      <c r="S138" s="16"/>
      <c r="T138" s="16"/>
      <c r="U138" s="16"/>
      <c r="V138" s="17"/>
      <c r="W138" s="637" t="s">
        <v>226</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227</v>
      </c>
      <c r="B139" s="16" t="s">
        <v>228</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229</v>
      </c>
      <c r="M139" s="16" t="str">
        <f>+INDEX($D$101:$D$147,MATCH(E139,$AH$101:$AH$147,0))</f>
        <v>W99</v>
      </c>
      <c r="N139" s="16" t="str">
        <f>+INDEX($D$101:$D$147,MATCH(F139,$AH$101:$AH$147,0))</f>
        <v>W100</v>
      </c>
      <c r="O139" s="16"/>
      <c r="P139" s="16"/>
      <c r="Q139" s="16"/>
      <c r="R139" s="16"/>
      <c r="S139" s="16"/>
      <c r="T139" s="16"/>
      <c r="U139" s="16"/>
      <c r="V139" s="17"/>
      <c r="W139" s="638"/>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10</v>
      </c>
      <c r="AC142" s="69" t="str">
        <f>AC3</f>
        <v>Gol</v>
      </c>
      <c r="AD142" s="69" t="str">
        <f>AD3</f>
        <v>Gol</v>
      </c>
      <c r="AE142" s="67" t="s">
        <v>10</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230</v>
      </c>
      <c r="B143" s="16" t="s">
        <v>231</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232</v>
      </c>
      <c r="M143" s="16" t="str">
        <f>+INDEX($D$101:$D$147,MATCH(E143,$AH$101:$AH$147,0))</f>
        <v>W101</v>
      </c>
      <c r="N143" s="16" t="str">
        <f>+INDEX($D$101:$D$147,MATCH(F143,$AH$101:$AH$147,0))</f>
        <v>W102</v>
      </c>
      <c r="O143" s="16"/>
      <c r="P143" s="16"/>
      <c r="Q143" s="16"/>
      <c r="R143" s="16"/>
      <c r="S143" s="16"/>
      <c r="T143" s="16"/>
      <c r="U143" s="16"/>
      <c r="V143" s="17"/>
      <c r="W143" s="142" t="s">
        <v>233</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10</v>
      </c>
      <c r="AC146" s="69" t="s">
        <v>222</v>
      </c>
      <c r="AD146" s="69" t="s">
        <v>222</v>
      </c>
      <c r="AE146" s="67" t="s">
        <v>10</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234</v>
      </c>
      <c r="B147" s="16" t="s">
        <v>235</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236</v>
      </c>
      <c r="M147" s="16" t="str">
        <f>+INDEX($D$101:$D$147,MATCH(E147,$AH$101:$AH$147,0))</f>
        <v>W101</v>
      </c>
      <c r="N147" s="16" t="str">
        <f>+INDEX($D$101:$D$147,MATCH(F147,$AH$101:$AH$147,0))</f>
        <v>W102</v>
      </c>
      <c r="O147" s="16"/>
      <c r="P147" s="16"/>
      <c r="Q147" s="16"/>
      <c r="R147" s="16"/>
      <c r="S147" s="16"/>
      <c r="T147" s="16"/>
      <c r="U147" s="16"/>
      <c r="V147" s="17"/>
      <c r="W147" s="143" t="s">
        <v>125</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7"/>
      <c r="AC154" s="387"/>
      <c r="AD154" s="387"/>
      <c r="AE154" s="387"/>
      <c r="AF154" s="388"/>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89"/>
      <c r="AC155" s="389"/>
      <c r="AD155" s="389"/>
      <c r="AE155" s="389"/>
      <c r="AF155" s="390"/>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1"/>
      <c r="AC156" s="391"/>
      <c r="AD156" s="391"/>
      <c r="AE156" s="391"/>
      <c r="AF156" s="392"/>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7"/>
      <c r="AC158" s="387"/>
      <c r="AD158" s="387"/>
      <c r="AE158" s="387"/>
      <c r="AF158" s="388"/>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89"/>
      <c r="AC159" s="389"/>
      <c r="AD159" s="389"/>
      <c r="AE159" s="389"/>
      <c r="AF159" s="390"/>
      <c r="AG159" s="320">
        <f>IF(AA159=$AH$154,0,IF(AA159="",0,1))</f>
        <v>0</v>
      </c>
      <c r="AH159" s="184"/>
      <c r="AI159" s="185"/>
      <c r="AJ159" s="615"/>
      <c r="AK159" s="615"/>
      <c r="AL159" s="615"/>
      <c r="AM159" s="615"/>
      <c r="AN159" s="615"/>
      <c r="AO159" s="615"/>
      <c r="AP159" s="615"/>
      <c r="AQ159" s="615"/>
      <c r="AR159" s="615"/>
      <c r="AS159" s="615"/>
      <c r="AT159" s="615"/>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1"/>
      <c r="AC160" s="391"/>
      <c r="AD160" s="391"/>
      <c r="AE160" s="391"/>
      <c r="AF160" s="392"/>
      <c r="AG160" s="320">
        <f>IF(AA160=$AH$154,0,IF(AA160="",0,1))</f>
        <v>0</v>
      </c>
      <c r="AH160" s="184"/>
      <c r="AI160" s="184"/>
      <c r="AJ160" s="615"/>
      <c r="AK160" s="615"/>
      <c r="AL160" s="615"/>
      <c r="AM160" s="615"/>
      <c r="AN160" s="615"/>
      <c r="AO160" s="615"/>
      <c r="AP160" s="615"/>
      <c r="AQ160" s="615"/>
      <c r="AR160" s="615"/>
      <c r="AS160" s="615"/>
      <c r="AT160" s="615"/>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20:W25"/>
    <mergeCell ref="W12:W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6731F-8E7E-CA45-BECD-6BCD3EF98B54}">
  <dimension ref="A1:D34"/>
  <sheetViews>
    <sheetView workbookViewId="0">
      <selection activeCell="J18" sqref="J18"/>
    </sheetView>
  </sheetViews>
  <sheetFormatPr baseColWidth="10" defaultRowHeight="15" x14ac:dyDescent="0.2"/>
  <sheetData>
    <row r="1" spans="1:4" x14ac:dyDescent="0.2">
      <c r="A1" s="619" t="s">
        <v>1381</v>
      </c>
      <c r="B1">
        <v>0</v>
      </c>
      <c r="C1">
        <v>2</v>
      </c>
      <c r="D1" s="619" t="s">
        <v>1335</v>
      </c>
    </row>
    <row r="2" spans="1:4" x14ac:dyDescent="0.2">
      <c r="A2" s="619" t="s">
        <v>1331</v>
      </c>
      <c r="B2">
        <v>1</v>
      </c>
      <c r="C2">
        <v>0</v>
      </c>
      <c r="D2" s="619" t="s">
        <v>1362</v>
      </c>
    </row>
    <row r="3" spans="1:4" x14ac:dyDescent="0.2">
      <c r="A3" s="619" t="s">
        <v>1320</v>
      </c>
      <c r="B3">
        <v>2</v>
      </c>
      <c r="C3">
        <v>1</v>
      </c>
      <c r="D3" s="619" t="s">
        <v>1378</v>
      </c>
    </row>
    <row r="4" spans="1:4" x14ac:dyDescent="0.2">
      <c r="A4" s="619" t="s">
        <v>1374</v>
      </c>
      <c r="B4">
        <v>2</v>
      </c>
      <c r="C4">
        <v>1</v>
      </c>
      <c r="D4" s="619" t="s">
        <v>1366</v>
      </c>
    </row>
    <row r="5" spans="1:4" x14ac:dyDescent="0.2">
      <c r="A5" s="619" t="s">
        <v>1342</v>
      </c>
      <c r="B5">
        <v>0</v>
      </c>
      <c r="C5">
        <v>3</v>
      </c>
      <c r="D5" s="619" t="s">
        <v>1370</v>
      </c>
    </row>
    <row r="6" spans="1:4" x14ac:dyDescent="0.2">
      <c r="A6" s="619" t="s">
        <v>1355</v>
      </c>
      <c r="B6">
        <v>3</v>
      </c>
      <c r="C6">
        <v>0</v>
      </c>
      <c r="D6" s="619" t="s">
        <v>1396</v>
      </c>
    </row>
    <row r="7" spans="1:4" x14ac:dyDescent="0.2">
      <c r="A7" s="619" t="s">
        <v>1368</v>
      </c>
      <c r="B7">
        <v>2</v>
      </c>
      <c r="C7">
        <v>1</v>
      </c>
      <c r="D7" s="619" t="s">
        <v>1348</v>
      </c>
    </row>
    <row r="8" spans="1:4" x14ac:dyDescent="0.2">
      <c r="A8" s="619" t="s">
        <v>1360</v>
      </c>
      <c r="B8">
        <v>2</v>
      </c>
      <c r="C8">
        <v>0</v>
      </c>
      <c r="D8" s="619" t="s">
        <v>1390</v>
      </c>
    </row>
    <row r="9" spans="1:4" x14ac:dyDescent="0.2">
      <c r="A9" s="619" t="s">
        <v>1329</v>
      </c>
      <c r="B9">
        <v>0</v>
      </c>
      <c r="C9">
        <v>1</v>
      </c>
      <c r="D9" s="619" t="s">
        <v>1380</v>
      </c>
    </row>
    <row r="10" spans="1:4" x14ac:dyDescent="0.2">
      <c r="A10" s="619" t="s">
        <v>758</v>
      </c>
      <c r="B10">
        <v>2</v>
      </c>
      <c r="C10">
        <v>1</v>
      </c>
      <c r="D10" s="619" t="s">
        <v>1394</v>
      </c>
    </row>
    <row r="11" spans="1:4" x14ac:dyDescent="0.2">
      <c r="A11" s="619" t="s">
        <v>1353</v>
      </c>
      <c r="B11">
        <v>3</v>
      </c>
      <c r="C11">
        <v>0</v>
      </c>
      <c r="D11" s="619" t="s">
        <v>1328</v>
      </c>
    </row>
    <row r="12" spans="1:4" x14ac:dyDescent="0.2">
      <c r="A12" s="619" t="s">
        <v>1379</v>
      </c>
      <c r="B12">
        <v>1</v>
      </c>
      <c r="C12">
        <v>0</v>
      </c>
      <c r="D12" s="619" t="s">
        <v>1344</v>
      </c>
    </row>
    <row r="13" spans="1:4" x14ac:dyDescent="0.2">
      <c r="A13" s="619" t="s">
        <v>1383</v>
      </c>
      <c r="B13">
        <v>2</v>
      </c>
      <c r="C13">
        <v>1</v>
      </c>
      <c r="D13" s="619" t="s">
        <v>1324</v>
      </c>
    </row>
    <row r="14" spans="1:4" x14ac:dyDescent="0.2">
      <c r="A14" s="619" t="s">
        <v>1327</v>
      </c>
      <c r="B14">
        <v>2</v>
      </c>
      <c r="C14">
        <v>0</v>
      </c>
      <c r="D14" s="619" t="s">
        <v>1349</v>
      </c>
    </row>
    <row r="15" spans="1:4" x14ac:dyDescent="0.2">
      <c r="A15" s="619" t="s">
        <v>1326</v>
      </c>
      <c r="B15">
        <v>2</v>
      </c>
      <c r="C15">
        <v>0</v>
      </c>
      <c r="D15" s="619" t="s">
        <v>1333</v>
      </c>
    </row>
    <row r="16" spans="1:4" x14ac:dyDescent="0.2">
      <c r="A16" s="619" t="s">
        <v>1339</v>
      </c>
      <c r="B16">
        <v>3</v>
      </c>
      <c r="C16">
        <v>0</v>
      </c>
      <c r="D16" s="619" t="s">
        <v>1357</v>
      </c>
    </row>
    <row r="19" spans="1:3" ht="18" x14ac:dyDescent="0.2">
      <c r="C19" s="621"/>
    </row>
    <row r="20" spans="1:3" ht="18" x14ac:dyDescent="0.2">
      <c r="A20" s="620"/>
      <c r="C20" s="621"/>
    </row>
    <row r="21" spans="1:3" ht="18" x14ac:dyDescent="0.2">
      <c r="A21" s="620"/>
      <c r="C21" s="622"/>
    </row>
    <row r="22" spans="1:3" ht="18" x14ac:dyDescent="0.2">
      <c r="C22" s="622"/>
    </row>
    <row r="23" spans="1:3" ht="18" x14ac:dyDescent="0.2">
      <c r="C23" s="621"/>
    </row>
    <row r="24" spans="1:3" ht="18" x14ac:dyDescent="0.2">
      <c r="A24" s="620"/>
      <c r="C24" s="621"/>
    </row>
    <row r="25" spans="1:3" ht="18" x14ac:dyDescent="0.2">
      <c r="C25" s="622"/>
    </row>
    <row r="26" spans="1:3" ht="18" x14ac:dyDescent="0.2">
      <c r="C26" s="621"/>
    </row>
    <row r="27" spans="1:3" ht="18" x14ac:dyDescent="0.2">
      <c r="A27" s="620"/>
      <c r="C27" s="621"/>
    </row>
    <row r="28" spans="1:3" ht="18" x14ac:dyDescent="0.2">
      <c r="C28" s="622"/>
    </row>
    <row r="29" spans="1:3" ht="18" x14ac:dyDescent="0.2">
      <c r="C29" s="621"/>
    </row>
    <row r="30" spans="1:3" ht="18" x14ac:dyDescent="0.2">
      <c r="A30" s="620"/>
      <c r="C30" s="621"/>
    </row>
    <row r="31" spans="1:3" ht="18" x14ac:dyDescent="0.2">
      <c r="C31" s="622"/>
    </row>
    <row r="32" spans="1:3" ht="18" x14ac:dyDescent="0.2">
      <c r="C32" s="621"/>
    </row>
    <row r="33" spans="3:3" ht="18" x14ac:dyDescent="0.2">
      <c r="C33" s="621"/>
    </row>
    <row r="34" spans="3:3" ht="18" x14ac:dyDescent="0.2">
      <c r="C34" s="6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F1DF-3467-E343-8A55-102943CA397E}">
  <dimension ref="A1:D8"/>
  <sheetViews>
    <sheetView workbookViewId="0">
      <selection activeCell="E19" sqref="E19"/>
    </sheetView>
  </sheetViews>
  <sheetFormatPr baseColWidth="10" defaultRowHeight="15" x14ac:dyDescent="0.2"/>
  <sheetData>
    <row r="1" spans="1:4" x14ac:dyDescent="0.2">
      <c r="A1" t="s">
        <v>1335</v>
      </c>
      <c r="B1">
        <v>1</v>
      </c>
      <c r="C1">
        <v>1</v>
      </c>
      <c r="D1" t="s">
        <v>1366</v>
      </c>
    </row>
    <row r="2" spans="1:4" x14ac:dyDescent="0.2">
      <c r="A2" t="s">
        <v>1378</v>
      </c>
      <c r="B2">
        <v>0</v>
      </c>
      <c r="C2">
        <v>2</v>
      </c>
      <c r="D2" t="s">
        <v>1355</v>
      </c>
    </row>
    <row r="3" spans="1:4" x14ac:dyDescent="0.2">
      <c r="A3" t="s">
        <v>1331</v>
      </c>
      <c r="B3">
        <v>2</v>
      </c>
      <c r="C3">
        <v>1</v>
      </c>
      <c r="D3" t="s">
        <v>1370</v>
      </c>
    </row>
    <row r="4" spans="1:4" x14ac:dyDescent="0.2">
      <c r="A4" t="s">
        <v>1368</v>
      </c>
      <c r="B4">
        <v>1</v>
      </c>
      <c r="C4">
        <v>2</v>
      </c>
      <c r="D4" t="s">
        <v>1360</v>
      </c>
    </row>
    <row r="5" spans="1:4" x14ac:dyDescent="0.2">
      <c r="A5" t="s">
        <v>1379</v>
      </c>
      <c r="B5">
        <v>1</v>
      </c>
      <c r="C5">
        <v>2</v>
      </c>
      <c r="D5" t="s">
        <v>1353</v>
      </c>
    </row>
    <row r="6" spans="1:4" x14ac:dyDescent="0.2">
      <c r="A6" t="s">
        <v>758</v>
      </c>
      <c r="B6">
        <v>1</v>
      </c>
      <c r="C6">
        <v>1</v>
      </c>
      <c r="D6" t="s">
        <v>1329</v>
      </c>
    </row>
    <row r="7" spans="1:4" x14ac:dyDescent="0.2">
      <c r="A7" t="s">
        <v>1326</v>
      </c>
      <c r="B7">
        <v>2</v>
      </c>
      <c r="C7">
        <v>0</v>
      </c>
      <c r="D7" t="s">
        <v>1349</v>
      </c>
    </row>
    <row r="8" spans="1:4" x14ac:dyDescent="0.2">
      <c r="A8" t="s">
        <v>1383</v>
      </c>
      <c r="B8">
        <v>1</v>
      </c>
      <c r="C8">
        <v>2</v>
      </c>
      <c r="D8" t="s">
        <v>1339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E7C6C-F8BC-BE4D-83D8-F5A709DC551F}">
  <dimension ref="A1:D4"/>
  <sheetViews>
    <sheetView tabSelected="1" workbookViewId="0">
      <selection activeCell="H8" sqref="H8"/>
    </sheetView>
  </sheetViews>
  <sheetFormatPr baseColWidth="10" defaultRowHeight="15" x14ac:dyDescent="0.2"/>
  <sheetData>
    <row r="1" spans="1:4" x14ac:dyDescent="0.2">
      <c r="A1" t="s">
        <v>1355</v>
      </c>
      <c r="B1">
        <v>2</v>
      </c>
      <c r="C1">
        <v>0</v>
      </c>
      <c r="D1" t="s">
        <v>1366</v>
      </c>
    </row>
    <row r="2" spans="1:4" x14ac:dyDescent="0.2">
      <c r="A2" t="s">
        <v>1353</v>
      </c>
      <c r="B2">
        <v>1</v>
      </c>
      <c r="C2">
        <v>0</v>
      </c>
      <c r="D2" t="s">
        <v>1329</v>
      </c>
    </row>
    <row r="3" spans="1:4" x14ac:dyDescent="0.2">
      <c r="A3" t="s">
        <v>1370</v>
      </c>
      <c r="B3">
        <v>1</v>
      </c>
      <c r="C3">
        <v>0</v>
      </c>
      <c r="D3" t="s">
        <v>1360</v>
      </c>
    </row>
    <row r="4" spans="1:4" x14ac:dyDescent="0.2">
      <c r="A4" t="s">
        <v>1326</v>
      </c>
      <c r="B4">
        <v>1</v>
      </c>
      <c r="C4">
        <v>0</v>
      </c>
      <c r="D4" t="s">
        <v>1383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8"/>
      <c r="E1" s="674" t="str">
        <f>Idiomas!D106</f>
        <v>EL ADMINISTRADOR DE LA PORRA SEGUIRÁ LAS INSTRUCCIONES DE AQUÍ ABAJO</v>
      </c>
      <c r="F1" s="624"/>
      <c r="G1" s="624"/>
      <c r="H1" s="624"/>
      <c r="I1" s="624"/>
      <c r="J1" s="624"/>
      <c r="K1" s="624"/>
      <c r="L1" s="624"/>
      <c r="M1" s="624"/>
      <c r="N1" s="624"/>
    </row>
    <row r="2" spans="1:14" ht="20" customHeight="1" thickBot="1" x14ac:dyDescent="0.3">
      <c r="A2" s="284"/>
      <c r="B2" s="285"/>
      <c r="C2" s="285"/>
      <c r="D2" s="359"/>
      <c r="E2" s="624"/>
      <c r="F2" s="624"/>
      <c r="G2" s="624"/>
      <c r="H2" s="624"/>
      <c r="I2" s="624"/>
      <c r="J2" s="624"/>
      <c r="K2" s="624"/>
      <c r="L2" s="624"/>
      <c r="M2" s="624"/>
      <c r="N2" s="624"/>
    </row>
    <row r="3" spans="1:14" ht="35" customHeight="1" thickBot="1" x14ac:dyDescent="0.3">
      <c r="A3" s="284"/>
      <c r="B3" s="288" t="str">
        <f>HYPERLINK(Idiomas!D10,Idiomas!D9)</f>
        <v>▼ Descargar Excel Administrador Porra ▼</v>
      </c>
      <c r="C3" s="285"/>
      <c r="D3" s="359"/>
      <c r="E3" s="675" t="str">
        <f>Idiomas!D107</f>
        <v>·Si haceis todo el Mundial de golpe, copiar de la C5 a la C258 y pegar valores en la plantilla de Administrador.</v>
      </c>
      <c r="F3" s="660"/>
      <c r="G3" s="660"/>
      <c r="H3" s="660"/>
      <c r="I3" s="660"/>
      <c r="J3" s="660"/>
      <c r="K3" s="660"/>
      <c r="L3" s="660"/>
      <c r="M3" s="660"/>
      <c r="N3" s="676"/>
    </row>
    <row r="4" spans="1:14" ht="45" customHeight="1" x14ac:dyDescent="0.25">
      <c r="A4" s="284"/>
      <c r="B4" s="285"/>
      <c r="C4" s="567" t="str">
        <f>Idiomas!D105</f>
        <v>¡No tocar nada, se rellena solo!</v>
      </c>
      <c r="D4" s="359"/>
      <c r="E4" s="67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8"/>
      <c r="G4" s="668"/>
      <c r="H4" s="668"/>
      <c r="I4" s="668"/>
      <c r="J4" s="668"/>
      <c r="K4" s="668"/>
      <c r="L4" s="668"/>
      <c r="M4" s="668"/>
      <c r="N4" s="367"/>
    </row>
    <row r="5" spans="1:14" ht="19" customHeight="1" x14ac:dyDescent="0.2">
      <c r="A5" s="223"/>
      <c r="B5" s="346" t="str">
        <f>Idiomas!D125</f>
        <v>FASE DE GRUPOS</v>
      </c>
      <c r="C5" s="339" t="str">
        <f>Home!C10</f>
        <v>Nombre</v>
      </c>
      <c r="E5" s="661" t="str">
        <f>Idiomas!D109</f>
        <v>·Si haceis jornada a jornada seguir las instrucciones de cada jornada</v>
      </c>
      <c r="F5" s="662"/>
      <c r="G5" s="662"/>
      <c r="H5" s="662"/>
      <c r="I5" s="662"/>
      <c r="J5" s="368"/>
      <c r="K5" s="368"/>
      <c r="L5" s="368"/>
      <c r="M5" s="369"/>
      <c r="N5" s="367"/>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1|2-1</v>
      </c>
      <c r="D6" s="678" t="str">
        <f>Idiomas!D122</f>
        <v>J1</v>
      </c>
      <c r="E6" s="667" t="str">
        <f>Idiomas!D110</f>
        <v>·Para la primera jornada copiar de la C5 a la C29 y pega valores en la plantilla de administrador. ¡OJO! COPIAR TAMBIÉN de la C253 a la C258.</v>
      </c>
      <c r="F6" s="668"/>
      <c r="G6" s="668"/>
      <c r="H6" s="668"/>
      <c r="I6" s="370"/>
      <c r="J6" s="360"/>
      <c r="K6" s="360"/>
      <c r="L6" s="360"/>
      <c r="M6" s="369"/>
      <c r="N6" s="367"/>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X|1-1</v>
      </c>
      <c r="D7" s="660"/>
      <c r="E7" s="660"/>
      <c r="F7" s="660"/>
      <c r="G7" s="660"/>
      <c r="H7" s="660"/>
      <c r="I7" s="371"/>
      <c r="J7" s="360"/>
      <c r="K7" s="360"/>
      <c r="L7" s="360"/>
      <c r="M7" s="369"/>
      <c r="N7" s="367"/>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1|1-0</v>
      </c>
      <c r="D8" s="660"/>
      <c r="E8" s="660"/>
      <c r="F8" s="660"/>
      <c r="G8" s="660"/>
      <c r="H8" s="660"/>
      <c r="I8" s="371"/>
      <c r="J8" s="360"/>
      <c r="K8" s="360"/>
      <c r="L8" s="360"/>
      <c r="M8" s="369"/>
      <c r="N8" s="367"/>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X|1-1</v>
      </c>
      <c r="D9" s="660"/>
      <c r="E9" s="660"/>
      <c r="F9" s="660"/>
      <c r="G9" s="660"/>
      <c r="H9" s="660"/>
      <c r="I9" s="371"/>
      <c r="J9" s="360"/>
      <c r="K9" s="360"/>
      <c r="L9" s="360"/>
      <c r="M9" s="369"/>
      <c r="N9" s="367"/>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1|2-0</v>
      </c>
      <c r="D10" s="660"/>
      <c r="E10" s="360"/>
      <c r="F10" s="360"/>
      <c r="G10" s="360"/>
      <c r="H10" s="360"/>
      <c r="I10" s="371"/>
      <c r="J10" s="360"/>
      <c r="K10" s="360"/>
      <c r="L10" s="360"/>
      <c r="M10" s="369"/>
      <c r="N10" s="367"/>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X|0-0</v>
      </c>
      <c r="D11" s="660"/>
      <c r="E11" s="360"/>
      <c r="F11" s="360"/>
      <c r="G11" s="360"/>
      <c r="H11" s="360"/>
      <c r="I11" s="371"/>
      <c r="J11" s="360"/>
      <c r="K11" s="360"/>
      <c r="L11" s="360"/>
      <c r="M11" s="369"/>
      <c r="N11" s="367"/>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2|0-2</v>
      </c>
      <c r="D12" s="660"/>
      <c r="E12" s="360"/>
      <c r="F12" s="360"/>
      <c r="G12" s="360"/>
      <c r="H12" s="360"/>
      <c r="I12" s="371"/>
      <c r="J12" s="360"/>
      <c r="K12" s="360"/>
      <c r="L12" s="360"/>
      <c r="M12" s="369"/>
      <c r="N12" s="367"/>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1|3-2</v>
      </c>
      <c r="D13" s="660"/>
      <c r="E13" s="360"/>
      <c r="F13" s="360"/>
      <c r="G13" s="360"/>
      <c r="H13" s="360"/>
      <c r="I13" s="371"/>
      <c r="J13" s="360"/>
      <c r="K13" s="360"/>
      <c r="L13" s="360"/>
      <c r="M13" s="369"/>
      <c r="N13" s="367"/>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1|3-0</v>
      </c>
      <c r="D14" s="660"/>
      <c r="E14" s="360"/>
      <c r="F14" s="360"/>
      <c r="G14" s="360"/>
      <c r="H14" s="360"/>
      <c r="I14" s="371"/>
      <c r="J14" s="360"/>
      <c r="K14" s="360"/>
      <c r="L14" s="360"/>
      <c r="M14" s="369"/>
      <c r="N14" s="367"/>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2|0-2</v>
      </c>
      <c r="D15" s="660"/>
      <c r="E15" s="360"/>
      <c r="F15" s="360"/>
      <c r="G15" s="360"/>
      <c r="H15" s="360"/>
      <c r="I15" s="371"/>
      <c r="J15" s="360"/>
      <c r="K15" s="360"/>
      <c r="L15" s="360"/>
      <c r="M15" s="369"/>
      <c r="N15" s="367"/>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1|2-1</v>
      </c>
      <c r="D16" s="660"/>
      <c r="E16" s="360"/>
      <c r="F16" s="360"/>
      <c r="G16" s="360"/>
      <c r="H16" s="360"/>
      <c r="I16" s="371"/>
      <c r="J16" s="360"/>
      <c r="K16" s="360"/>
      <c r="L16" s="360"/>
      <c r="M16" s="369"/>
      <c r="N16" s="367"/>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X|1-1</v>
      </c>
      <c r="D17" s="660"/>
      <c r="E17" s="360"/>
      <c r="F17" s="360"/>
      <c r="G17" s="360"/>
      <c r="H17" s="360"/>
      <c r="I17" s="371"/>
      <c r="J17" s="360"/>
      <c r="K17" s="360"/>
      <c r="L17" s="360"/>
      <c r="M17" s="369"/>
      <c r="N17" s="367"/>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1|2-0</v>
      </c>
      <c r="D18" s="660"/>
      <c r="E18" s="360"/>
      <c r="F18" s="360"/>
      <c r="G18" s="360"/>
      <c r="H18" s="360"/>
      <c r="I18" s="371"/>
      <c r="J18" s="360"/>
      <c r="K18" s="360"/>
      <c r="L18" s="360"/>
      <c r="M18" s="369"/>
      <c r="N18" s="367"/>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X|1-1</v>
      </c>
      <c r="D19" s="660"/>
      <c r="E19" s="360"/>
      <c r="F19" s="360"/>
      <c r="G19" s="360"/>
      <c r="H19" s="360"/>
      <c r="I19" s="371"/>
      <c r="J19" s="360"/>
      <c r="K19" s="360"/>
      <c r="L19" s="360"/>
      <c r="M19" s="369"/>
      <c r="N19" s="367"/>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1|4-0</v>
      </c>
      <c r="D20" s="660"/>
      <c r="E20" s="360"/>
      <c r="F20" s="360"/>
      <c r="G20" s="360"/>
      <c r="H20" s="360"/>
      <c r="I20" s="371"/>
      <c r="J20" s="360"/>
      <c r="K20" s="360"/>
      <c r="L20" s="360"/>
      <c r="M20" s="369"/>
      <c r="N20" s="367"/>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2|1-3</v>
      </c>
      <c r="D21" s="660"/>
      <c r="E21" s="360"/>
      <c r="F21" s="360"/>
      <c r="G21" s="360"/>
      <c r="H21" s="360"/>
      <c r="I21" s="371"/>
      <c r="J21" s="360"/>
      <c r="K21" s="360"/>
      <c r="L21" s="360"/>
      <c r="M21" s="369"/>
      <c r="N21" s="367"/>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1|4-0</v>
      </c>
      <c r="D22" s="660"/>
      <c r="E22" s="360"/>
      <c r="F22" s="360"/>
      <c r="G22" s="360"/>
      <c r="H22" s="360"/>
      <c r="I22" s="371"/>
      <c r="J22" s="360"/>
      <c r="K22" s="360"/>
      <c r="L22" s="360"/>
      <c r="M22" s="369"/>
      <c r="N22" s="367"/>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2|0-2</v>
      </c>
      <c r="D23" s="660"/>
      <c r="E23" s="360"/>
      <c r="F23" s="360"/>
      <c r="G23" s="360"/>
      <c r="H23" s="360"/>
      <c r="I23" s="371"/>
      <c r="J23" s="360"/>
      <c r="K23" s="360"/>
      <c r="L23" s="360"/>
      <c r="M23" s="369"/>
      <c r="N23" s="367"/>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1|3-0</v>
      </c>
      <c r="D24" s="660"/>
      <c r="E24" s="360"/>
      <c r="F24" s="360"/>
      <c r="G24" s="360"/>
      <c r="H24" s="360"/>
      <c r="I24" s="371"/>
      <c r="J24" s="360"/>
      <c r="K24" s="360"/>
      <c r="L24" s="360"/>
      <c r="M24" s="369"/>
      <c r="N24" s="367"/>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1|2-0</v>
      </c>
      <c r="D25" s="660"/>
      <c r="E25" s="360"/>
      <c r="F25" s="360"/>
      <c r="G25" s="360"/>
      <c r="H25" s="360"/>
      <c r="I25" s="371"/>
      <c r="J25" s="360"/>
      <c r="K25" s="360"/>
      <c r="L25" s="360"/>
      <c r="M25" s="369"/>
      <c r="N25" s="367"/>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1|3-0</v>
      </c>
      <c r="D26" s="660"/>
      <c r="E26" s="360"/>
      <c r="F26" s="360"/>
      <c r="G26" s="360"/>
      <c r="H26" s="360"/>
      <c r="I26" s="371"/>
      <c r="J26" s="360"/>
      <c r="K26" s="360"/>
      <c r="L26" s="360"/>
      <c r="M26" s="369"/>
      <c r="N26" s="367"/>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2|0-2</v>
      </c>
      <c r="D27" s="660"/>
      <c r="E27" s="360"/>
      <c r="F27" s="360"/>
      <c r="G27" s="360"/>
      <c r="H27" s="360"/>
      <c r="I27" s="371"/>
      <c r="J27" s="360"/>
      <c r="K27" s="360"/>
      <c r="L27" s="360"/>
      <c r="M27" s="369"/>
      <c r="N27" s="367"/>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1|2-1</v>
      </c>
      <c r="D28" s="660"/>
      <c r="E28" s="360"/>
      <c r="F28" s="360"/>
      <c r="G28" s="360"/>
      <c r="H28" s="360"/>
      <c r="I28" s="371"/>
      <c r="J28" s="360"/>
      <c r="K28" s="360"/>
      <c r="L28" s="360"/>
      <c r="M28" s="369"/>
      <c r="N28" s="367"/>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1|2-0</v>
      </c>
      <c r="D29" s="666"/>
      <c r="E29" s="362"/>
      <c r="F29" s="362"/>
      <c r="G29" s="362"/>
      <c r="H29" s="362"/>
      <c r="I29" s="371"/>
      <c r="J29" s="360"/>
      <c r="K29" s="360"/>
      <c r="L29" s="360"/>
      <c r="M29" s="369"/>
      <c r="N29" s="367"/>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1|1-0</v>
      </c>
      <c r="D30" s="671" t="str">
        <f>Idiomas!D123</f>
        <v>J2</v>
      </c>
      <c r="E30" s="667" t="str">
        <f>Idiomas!D111</f>
        <v>·Para la segunda jornada copiar de la C30 a la C53 y pega valores en la plantilla de administrador.</v>
      </c>
      <c r="F30" s="668"/>
      <c r="G30" s="668"/>
      <c r="H30" s="668"/>
      <c r="I30" s="370"/>
      <c r="J30" s="360"/>
      <c r="K30" s="360"/>
      <c r="L30" s="360"/>
      <c r="M30" s="369"/>
      <c r="N30" s="367"/>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X|1-1</v>
      </c>
      <c r="D31" s="660"/>
      <c r="E31" s="660"/>
      <c r="F31" s="660"/>
      <c r="G31" s="660"/>
      <c r="H31" s="660"/>
      <c r="I31" s="371"/>
      <c r="J31" s="360"/>
      <c r="K31" s="360"/>
      <c r="L31" s="360"/>
      <c r="M31" s="369"/>
      <c r="N31" s="367"/>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1|2-0</v>
      </c>
      <c r="D32" s="660"/>
      <c r="E32" s="660"/>
      <c r="F32" s="660"/>
      <c r="G32" s="660"/>
      <c r="H32" s="660"/>
      <c r="I32" s="371"/>
      <c r="J32" s="360"/>
      <c r="K32" s="360"/>
      <c r="L32" s="360"/>
      <c r="M32" s="369"/>
      <c r="N32" s="367"/>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1|2-1</v>
      </c>
      <c r="D33" s="660"/>
      <c r="E33" s="660"/>
      <c r="F33" s="660"/>
      <c r="G33" s="660"/>
      <c r="H33" s="660"/>
      <c r="I33" s="371"/>
      <c r="J33" s="360"/>
      <c r="K33" s="360"/>
      <c r="L33" s="360"/>
      <c r="M33" s="369"/>
      <c r="N33" s="367"/>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2|1-2</v>
      </c>
      <c r="D34" s="660"/>
      <c r="E34" s="360"/>
      <c r="F34" s="360"/>
      <c r="G34" s="360"/>
      <c r="H34" s="360"/>
      <c r="I34" s="371"/>
      <c r="J34" s="360"/>
      <c r="K34" s="360"/>
      <c r="L34" s="360"/>
      <c r="M34" s="369"/>
      <c r="N34" s="367"/>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1|3-1</v>
      </c>
      <c r="D35" s="660"/>
      <c r="E35" s="360"/>
      <c r="F35" s="360"/>
      <c r="G35" s="360"/>
      <c r="H35" s="360"/>
      <c r="I35" s="371"/>
      <c r="J35" s="360"/>
      <c r="K35" s="360"/>
      <c r="L35" s="360"/>
      <c r="M35" s="369"/>
      <c r="N35" s="367"/>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1|2-1</v>
      </c>
      <c r="D36" s="660"/>
      <c r="E36" s="360"/>
      <c r="F36" s="360"/>
      <c r="G36" s="360"/>
      <c r="H36" s="360"/>
      <c r="I36" s="371"/>
      <c r="J36" s="360"/>
      <c r="K36" s="360"/>
      <c r="L36" s="360"/>
      <c r="M36" s="369"/>
      <c r="N36" s="367"/>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2|0-2</v>
      </c>
      <c r="D37" s="660"/>
      <c r="E37" s="360"/>
      <c r="F37" s="360"/>
      <c r="G37" s="360"/>
      <c r="H37" s="360"/>
      <c r="I37" s="371"/>
      <c r="J37" s="360"/>
      <c r="K37" s="360"/>
      <c r="L37" s="360"/>
      <c r="M37" s="369"/>
      <c r="N37" s="367"/>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1|2-0</v>
      </c>
      <c r="D38" s="660"/>
      <c r="E38" s="360"/>
      <c r="F38" s="360"/>
      <c r="G38" s="360"/>
      <c r="H38" s="360"/>
      <c r="I38" s="371"/>
      <c r="J38" s="360"/>
      <c r="K38" s="360"/>
      <c r="L38" s="360"/>
      <c r="M38" s="369"/>
      <c r="N38" s="367"/>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1|1-0</v>
      </c>
      <c r="D39" s="660"/>
      <c r="E39" s="360"/>
      <c r="F39" s="360"/>
      <c r="G39" s="360"/>
      <c r="H39" s="360"/>
      <c r="I39" s="371"/>
      <c r="J39" s="360"/>
      <c r="K39" s="360"/>
      <c r="L39" s="360"/>
      <c r="M39" s="369"/>
      <c r="N39" s="367"/>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1|2-0</v>
      </c>
      <c r="D40" s="660"/>
      <c r="E40" s="360"/>
      <c r="F40" s="360"/>
      <c r="G40" s="360"/>
      <c r="H40" s="360"/>
      <c r="I40" s="371"/>
      <c r="J40" s="360"/>
      <c r="K40" s="360"/>
      <c r="L40" s="360"/>
      <c r="M40" s="369"/>
      <c r="N40" s="367"/>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2|0-2</v>
      </c>
      <c r="D41" s="660"/>
      <c r="E41" s="360"/>
      <c r="F41" s="360"/>
      <c r="G41" s="360"/>
      <c r="H41" s="360"/>
      <c r="I41" s="371"/>
      <c r="J41" s="360"/>
      <c r="K41" s="360"/>
      <c r="L41" s="360"/>
      <c r="M41" s="369"/>
      <c r="N41" s="367"/>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1|3-1</v>
      </c>
      <c r="D42" s="660"/>
      <c r="E42" s="360"/>
      <c r="F42" s="360"/>
      <c r="G42" s="360"/>
      <c r="H42" s="360"/>
      <c r="I42" s="371"/>
      <c r="J42" s="360"/>
      <c r="K42" s="360"/>
      <c r="L42" s="360"/>
      <c r="M42" s="369"/>
      <c r="N42" s="367"/>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2|1-2</v>
      </c>
      <c r="D43" s="660"/>
      <c r="E43" s="360"/>
      <c r="F43" s="360"/>
      <c r="G43" s="360"/>
      <c r="H43" s="360"/>
      <c r="I43" s="371"/>
      <c r="J43" s="360"/>
      <c r="K43" s="360"/>
      <c r="L43" s="360"/>
      <c r="M43" s="369"/>
      <c r="N43" s="367"/>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1|3-0</v>
      </c>
      <c r="D44" s="660"/>
      <c r="E44" s="360"/>
      <c r="F44" s="360"/>
      <c r="G44" s="360"/>
      <c r="H44" s="360"/>
      <c r="I44" s="371"/>
      <c r="J44" s="360"/>
      <c r="K44" s="360"/>
      <c r="L44" s="360"/>
      <c r="M44" s="369"/>
      <c r="N44" s="367"/>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1|2-0</v>
      </c>
      <c r="D45" s="660"/>
      <c r="E45" s="360"/>
      <c r="F45" s="360"/>
      <c r="G45" s="360"/>
      <c r="H45" s="360"/>
      <c r="I45" s="371"/>
      <c r="J45" s="360"/>
      <c r="K45" s="360"/>
      <c r="L45" s="360"/>
      <c r="M45" s="369"/>
      <c r="N45" s="367"/>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1|4-0</v>
      </c>
      <c r="D46" s="660"/>
      <c r="E46" s="360"/>
      <c r="F46" s="360"/>
      <c r="G46" s="360"/>
      <c r="H46" s="360"/>
      <c r="I46" s="371"/>
      <c r="J46" s="360"/>
      <c r="K46" s="360"/>
      <c r="L46" s="360"/>
      <c r="M46" s="369"/>
      <c r="N46" s="367"/>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X|0-0</v>
      </c>
      <c r="D47" s="660"/>
      <c r="E47" s="360"/>
      <c r="F47" s="360"/>
      <c r="G47" s="360"/>
      <c r="H47" s="360"/>
      <c r="I47" s="371"/>
      <c r="J47" s="360"/>
      <c r="K47" s="360"/>
      <c r="L47" s="360"/>
      <c r="M47" s="369"/>
      <c r="N47" s="367"/>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1|2-0</v>
      </c>
      <c r="D48" s="660"/>
      <c r="E48" s="360"/>
      <c r="F48" s="360"/>
      <c r="G48" s="360"/>
      <c r="H48" s="360"/>
      <c r="I48" s="371"/>
      <c r="J48" s="360"/>
      <c r="K48" s="360"/>
      <c r="L48" s="360"/>
      <c r="M48" s="369"/>
      <c r="N48" s="367"/>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X|1-1</v>
      </c>
      <c r="D49" s="660"/>
      <c r="E49" s="360"/>
      <c r="F49" s="360"/>
      <c r="G49" s="360"/>
      <c r="H49" s="360"/>
      <c r="I49" s="371"/>
      <c r="J49" s="360"/>
      <c r="K49" s="360"/>
      <c r="L49" s="360"/>
      <c r="M49" s="369"/>
      <c r="N49" s="367"/>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1|3-0</v>
      </c>
      <c r="D50" s="660"/>
      <c r="E50" s="360"/>
      <c r="F50" s="360"/>
      <c r="G50" s="360"/>
      <c r="H50" s="360"/>
      <c r="I50" s="371"/>
      <c r="J50" s="360"/>
      <c r="K50" s="360"/>
      <c r="L50" s="360"/>
      <c r="M50" s="369"/>
      <c r="N50" s="367"/>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1|2-0</v>
      </c>
      <c r="D51" s="660"/>
      <c r="E51" s="360"/>
      <c r="F51" s="360"/>
      <c r="G51" s="360"/>
      <c r="H51" s="360"/>
      <c r="I51" s="371"/>
      <c r="J51" s="360"/>
      <c r="K51" s="360"/>
      <c r="L51" s="360"/>
      <c r="M51" s="369"/>
      <c r="N51" s="367"/>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1|2-1</v>
      </c>
      <c r="D52" s="660"/>
      <c r="E52" s="360"/>
      <c r="F52" s="360"/>
      <c r="G52" s="360"/>
      <c r="H52" s="360"/>
      <c r="I52" s="371"/>
      <c r="J52" s="360"/>
      <c r="K52" s="360"/>
      <c r="L52" s="360"/>
      <c r="M52" s="369"/>
      <c r="N52" s="367"/>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2|1-2</v>
      </c>
      <c r="D53" s="666"/>
      <c r="E53" s="362"/>
      <c r="F53" s="362"/>
      <c r="G53" s="362"/>
      <c r="H53" s="362"/>
      <c r="I53" s="372"/>
      <c r="J53" s="360"/>
      <c r="K53" s="360"/>
      <c r="L53" s="360"/>
      <c r="M53" s="369"/>
      <c r="N53" s="367"/>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2|0-1</v>
      </c>
      <c r="D54" s="665" t="str">
        <f>Idiomas!D124</f>
        <v>J3</v>
      </c>
      <c r="E54" s="667" t="str">
        <f>Idiomas!D112</f>
        <v>·Para la tercera jornada copiar de la C54 a la C161 y pega valores en la plantilla de administrador.</v>
      </c>
      <c r="F54" s="668"/>
      <c r="G54" s="668"/>
      <c r="H54" s="668"/>
      <c r="I54" s="371"/>
      <c r="J54" s="360"/>
      <c r="K54" s="360"/>
      <c r="L54" s="360"/>
      <c r="M54" s="369"/>
      <c r="N54" s="367"/>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2|0-1</v>
      </c>
      <c r="D55" s="660"/>
      <c r="E55" s="660"/>
      <c r="F55" s="660"/>
      <c r="G55" s="660"/>
      <c r="H55" s="660"/>
      <c r="I55" s="371"/>
      <c r="J55" s="360"/>
      <c r="K55" s="360"/>
      <c r="L55" s="360"/>
      <c r="M55" s="369"/>
      <c r="N55" s="367"/>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1|2-1</v>
      </c>
      <c r="D56" s="660"/>
      <c r="E56" s="660"/>
      <c r="F56" s="660"/>
      <c r="G56" s="660"/>
      <c r="H56" s="660"/>
      <c r="I56" s="371"/>
      <c r="J56" s="360"/>
      <c r="K56" s="360"/>
      <c r="L56" s="360"/>
      <c r="M56" s="369"/>
      <c r="N56" s="367"/>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2|0-2</v>
      </c>
      <c r="D57" s="660"/>
      <c r="E57" s="660"/>
      <c r="F57" s="660"/>
      <c r="G57" s="660"/>
      <c r="H57" s="660"/>
      <c r="I57" s="371"/>
      <c r="J57" s="360"/>
      <c r="K57" s="360"/>
      <c r="L57" s="360"/>
      <c r="M57" s="369"/>
      <c r="N57" s="367"/>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2|0-2</v>
      </c>
      <c r="D58" s="660"/>
      <c r="E58" s="360"/>
      <c r="F58" s="360"/>
      <c r="G58" s="360"/>
      <c r="H58" s="360"/>
      <c r="I58" s="371"/>
      <c r="J58" s="360"/>
      <c r="K58" s="360"/>
      <c r="L58" s="360"/>
      <c r="M58" s="369"/>
      <c r="N58" s="367"/>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1|2-1</v>
      </c>
      <c r="D59" s="660"/>
      <c r="E59" s="360"/>
      <c r="F59" s="360"/>
      <c r="G59" s="360"/>
      <c r="H59" s="360"/>
      <c r="I59" s="371"/>
      <c r="J59" s="360"/>
      <c r="K59" s="360"/>
      <c r="L59" s="360"/>
      <c r="M59" s="369"/>
      <c r="N59" s="367"/>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2|1-2</v>
      </c>
      <c r="D60" s="660"/>
      <c r="E60" s="360"/>
      <c r="F60" s="360"/>
      <c r="G60" s="360"/>
      <c r="H60" s="360"/>
      <c r="I60" s="371"/>
      <c r="J60" s="360"/>
      <c r="K60" s="360"/>
      <c r="L60" s="360"/>
      <c r="M60" s="369"/>
      <c r="N60" s="367"/>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1|1-0</v>
      </c>
      <c r="D61" s="660"/>
      <c r="E61" s="360"/>
      <c r="F61" s="360"/>
      <c r="G61" s="360"/>
      <c r="H61" s="360"/>
      <c r="I61" s="371"/>
      <c r="J61" s="360"/>
      <c r="K61" s="360"/>
      <c r="L61" s="360"/>
      <c r="M61" s="369"/>
      <c r="N61" s="367"/>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X|1-1</v>
      </c>
      <c r="D62" s="660"/>
      <c r="E62" s="360"/>
      <c r="F62" s="360"/>
      <c r="G62" s="360"/>
      <c r="H62" s="360"/>
      <c r="I62" s="371"/>
      <c r="J62" s="360"/>
      <c r="K62" s="360"/>
      <c r="L62" s="360"/>
      <c r="M62" s="369"/>
      <c r="N62" s="367"/>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2|2-3</v>
      </c>
      <c r="D63" s="660"/>
      <c r="E63" s="360"/>
      <c r="F63" s="360"/>
      <c r="G63" s="360"/>
      <c r="H63" s="360"/>
      <c r="I63" s="371"/>
      <c r="J63" s="360"/>
      <c r="K63" s="360"/>
      <c r="L63" s="360"/>
      <c r="M63" s="369"/>
      <c r="N63" s="367"/>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1|2-1</v>
      </c>
      <c r="D64" s="660"/>
      <c r="E64" s="360"/>
      <c r="F64" s="360"/>
      <c r="G64" s="360"/>
      <c r="H64" s="360"/>
      <c r="I64" s="371"/>
      <c r="J64" s="360"/>
      <c r="K64" s="360"/>
      <c r="L64" s="360"/>
      <c r="M64" s="369"/>
      <c r="N64" s="367"/>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2|0-3</v>
      </c>
      <c r="D65" s="660"/>
      <c r="E65" s="360"/>
      <c r="F65" s="360"/>
      <c r="G65" s="360"/>
      <c r="H65" s="360"/>
      <c r="I65" s="371"/>
      <c r="J65" s="360"/>
      <c r="K65" s="360"/>
      <c r="L65" s="360"/>
      <c r="M65" s="369"/>
      <c r="N65" s="367"/>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2|1-2</v>
      </c>
      <c r="D66" s="660"/>
      <c r="E66" s="360"/>
      <c r="F66" s="360"/>
      <c r="G66" s="360"/>
      <c r="H66" s="360"/>
      <c r="I66" s="371"/>
      <c r="J66" s="360"/>
      <c r="K66" s="360"/>
      <c r="L66" s="360"/>
      <c r="M66" s="369"/>
      <c r="N66" s="367"/>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2|0-2</v>
      </c>
      <c r="D67" s="660"/>
      <c r="E67" s="360"/>
      <c r="F67" s="360"/>
      <c r="G67" s="360"/>
      <c r="H67" s="360"/>
      <c r="I67" s="371"/>
      <c r="J67" s="360"/>
      <c r="K67" s="360"/>
      <c r="L67" s="360"/>
      <c r="M67" s="369"/>
      <c r="N67" s="367"/>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2|0-2</v>
      </c>
      <c r="D68" s="660"/>
      <c r="E68" s="360"/>
      <c r="F68" s="360"/>
      <c r="G68" s="360"/>
      <c r="H68" s="360"/>
      <c r="I68" s="371"/>
      <c r="J68" s="360"/>
      <c r="K68" s="360"/>
      <c r="L68" s="360"/>
      <c r="M68" s="369"/>
      <c r="N68" s="367"/>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2|1-3</v>
      </c>
      <c r="D69" s="660"/>
      <c r="E69" s="360"/>
      <c r="F69" s="360"/>
      <c r="G69" s="360"/>
      <c r="H69" s="360"/>
      <c r="I69" s="371"/>
      <c r="J69" s="360"/>
      <c r="K69" s="360"/>
      <c r="L69" s="360"/>
      <c r="M69" s="369"/>
      <c r="N69" s="367"/>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2|1-3</v>
      </c>
      <c r="D70" s="660"/>
      <c r="E70" s="360"/>
      <c r="F70" s="360"/>
      <c r="G70" s="360"/>
      <c r="H70" s="360"/>
      <c r="I70" s="371"/>
      <c r="J70" s="360"/>
      <c r="K70" s="360"/>
      <c r="L70" s="360"/>
      <c r="M70" s="369"/>
      <c r="N70" s="367"/>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1|3-1</v>
      </c>
      <c r="D71" s="660"/>
      <c r="E71" s="360"/>
      <c r="F71" s="360"/>
      <c r="G71" s="360"/>
      <c r="H71" s="360"/>
      <c r="I71" s="371"/>
      <c r="J71" s="360"/>
      <c r="K71" s="360"/>
      <c r="L71" s="360"/>
      <c r="M71" s="369"/>
      <c r="N71" s="367"/>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X|0-0</v>
      </c>
      <c r="D72" s="660"/>
      <c r="E72" s="360"/>
      <c r="F72" s="360"/>
      <c r="G72" s="360"/>
      <c r="H72" s="360"/>
      <c r="I72" s="371"/>
      <c r="J72" s="360"/>
      <c r="K72" s="360"/>
      <c r="L72" s="360"/>
      <c r="M72" s="369"/>
      <c r="N72" s="367"/>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2|0-4</v>
      </c>
      <c r="D73" s="660"/>
      <c r="E73" s="360"/>
      <c r="F73" s="360"/>
      <c r="G73" s="360"/>
      <c r="H73" s="360"/>
      <c r="I73" s="371"/>
      <c r="J73" s="360"/>
      <c r="K73" s="360"/>
      <c r="L73" s="360"/>
      <c r="M73" s="369"/>
      <c r="N73" s="367"/>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2|1-3</v>
      </c>
      <c r="D74" s="660"/>
      <c r="E74" s="360"/>
      <c r="F74" s="360"/>
      <c r="G74" s="360"/>
      <c r="H74" s="360"/>
      <c r="I74" s="371"/>
      <c r="J74" s="360"/>
      <c r="K74" s="360"/>
      <c r="L74" s="360"/>
      <c r="M74" s="369"/>
      <c r="N74" s="367"/>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X|1-1</v>
      </c>
      <c r="D75" s="660"/>
      <c r="E75" s="360"/>
      <c r="F75" s="360"/>
      <c r="G75" s="360"/>
      <c r="H75" s="360"/>
      <c r="I75" s="371"/>
      <c r="J75" s="360"/>
      <c r="K75" s="360"/>
      <c r="L75" s="360"/>
      <c r="M75" s="369"/>
      <c r="N75" s="367"/>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2|0-3</v>
      </c>
      <c r="D76" s="660"/>
      <c r="E76" s="360"/>
      <c r="F76" s="360"/>
      <c r="G76" s="360"/>
      <c r="H76" s="360"/>
      <c r="I76" s="371"/>
      <c r="J76" s="360"/>
      <c r="K76" s="360"/>
      <c r="L76" s="360"/>
      <c r="M76" s="369"/>
      <c r="N76" s="367"/>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1|1-0</v>
      </c>
      <c r="D77" s="660"/>
      <c r="E77" s="360"/>
      <c r="F77" s="360"/>
      <c r="G77" s="360"/>
      <c r="H77" s="360"/>
      <c r="I77" s="371"/>
      <c r="J77" s="360"/>
      <c r="K77" s="360"/>
      <c r="L77" s="360"/>
      <c r="M77" s="369"/>
      <c r="N77" s="367"/>
    </row>
    <row r="78" spans="1:14" ht="15" customHeight="1" x14ac:dyDescent="0.2">
      <c r="A78" s="223"/>
      <c r="B78" s="223"/>
      <c r="C78" s="343"/>
      <c r="D78" s="660"/>
      <c r="E78" s="360"/>
      <c r="F78" s="360"/>
      <c r="G78" s="360"/>
      <c r="H78" s="360"/>
      <c r="I78" s="371"/>
      <c r="J78" s="360"/>
      <c r="K78" s="360"/>
      <c r="L78" s="360"/>
      <c r="M78" s="369"/>
      <c r="N78" s="367"/>
    </row>
    <row r="79" spans="1:14" ht="19" customHeight="1" x14ac:dyDescent="0.25">
      <c r="A79" s="223"/>
      <c r="B79" s="350" t="str">
        <f>Idiomas!D126</f>
        <v>POSICIÓN GRUPOS</v>
      </c>
      <c r="C79" s="343"/>
      <c r="D79" s="660"/>
      <c r="E79" s="360"/>
      <c r="F79" s="360"/>
      <c r="G79" s="360"/>
      <c r="H79" s="360"/>
      <c r="I79" s="371"/>
      <c r="J79" s="360"/>
      <c r="K79" s="360"/>
      <c r="L79" s="360"/>
      <c r="M79" s="369"/>
      <c r="N79" s="367"/>
    </row>
    <row r="80" spans="1:14" ht="15" customHeight="1" x14ac:dyDescent="0.2">
      <c r="A80" s="655" t="s">
        <v>29</v>
      </c>
      <c r="B80" s="351" t="str">
        <f>Idiomas!D140</f>
        <v>1º GRUPO A</v>
      </c>
      <c r="C80" s="342" t="str">
        <f ca="1">IF(OR(SUM(WORLDCUP!$AN$6:$AN$9)=12,WORLDCUP!$AJ$99=144),WORLDCUP!AL6,B80)</f>
        <v>México</v>
      </c>
      <c r="D80" s="660"/>
      <c r="E80" s="360"/>
      <c r="F80" s="360"/>
      <c r="G80" s="360"/>
      <c r="H80" s="360"/>
      <c r="I80" s="371"/>
      <c r="J80" s="360"/>
      <c r="K80" s="360"/>
      <c r="L80" s="360"/>
      <c r="M80" s="369"/>
      <c r="N80" s="367"/>
    </row>
    <row r="81" spans="1:14" ht="15" customHeight="1" x14ac:dyDescent="0.2">
      <c r="A81" s="624"/>
      <c r="B81" s="351" t="str">
        <f>Idiomas!D141</f>
        <v>2º GRUPO A</v>
      </c>
      <c r="C81" s="342" t="str">
        <f ca="1">IF(OR(SUM(WORLDCUP!$AN$6:$AN$9)=12,WORLDCUP!$AJ$99=144),WORLDCUP!AL7,B81)</f>
        <v>Corea del Sur</v>
      </c>
      <c r="D81" s="660"/>
      <c r="E81" s="360"/>
      <c r="F81" s="360"/>
      <c r="G81" s="360"/>
      <c r="H81" s="360"/>
      <c r="I81" s="371"/>
      <c r="J81" s="360"/>
      <c r="K81" s="360"/>
      <c r="L81" s="360"/>
      <c r="M81" s="369"/>
      <c r="N81" s="367"/>
    </row>
    <row r="82" spans="1:14" ht="15" customHeight="1" x14ac:dyDescent="0.2">
      <c r="A82" s="624"/>
      <c r="B82" s="351" t="str">
        <f>Idiomas!D142</f>
        <v>3º GRUPO A</v>
      </c>
      <c r="C82" s="342" t="str">
        <f ca="1">IF(OR(SUM(WORLDCUP!$AN$6:$AN$9)=12,WORLDCUP!$AJ$99=144),WORLDCUP!AL8,B82)</f>
        <v>República Checa</v>
      </c>
      <c r="D82" s="660"/>
      <c r="E82" s="360"/>
      <c r="F82" s="360"/>
      <c r="G82" s="360"/>
      <c r="H82" s="360"/>
      <c r="I82" s="371"/>
      <c r="J82" s="360"/>
      <c r="K82" s="360"/>
      <c r="L82" s="360"/>
      <c r="M82" s="369"/>
      <c r="N82" s="367"/>
    </row>
    <row r="83" spans="1:14" ht="15" customHeight="1" x14ac:dyDescent="0.2">
      <c r="A83" s="624"/>
      <c r="B83" s="351" t="str">
        <f>Idiomas!D143</f>
        <v>4º GRUPO A</v>
      </c>
      <c r="C83" s="342" t="str">
        <f ca="1">IF(OR(SUM(WORLDCUP!$AN$6:$AN$9)=12,WORLDCUP!$AJ$99=144),WORLDCUP!AL9,B83)</f>
        <v>Sudáfrica</v>
      </c>
      <c r="D83" s="660"/>
      <c r="E83" s="360"/>
      <c r="F83" s="360"/>
      <c r="G83" s="360"/>
      <c r="H83" s="360"/>
      <c r="I83" s="371"/>
      <c r="J83" s="360"/>
      <c r="K83" s="360"/>
      <c r="L83" s="360"/>
      <c r="M83" s="369"/>
      <c r="N83" s="367"/>
    </row>
    <row r="84" spans="1:14" ht="15" customHeight="1" x14ac:dyDescent="0.2">
      <c r="A84" s="657" t="s">
        <v>89</v>
      </c>
      <c r="B84" s="349" t="str">
        <f>Idiomas!D144</f>
        <v>1º GRUPO B</v>
      </c>
      <c r="C84" s="342" t="str">
        <f ca="1">IF(OR(SUM(WORLDCUP!$AN$14:$AN$17)=12,WORLDCUP!$AJ$99=144),WORLDCUP!AL14,B84)</f>
        <v>Suiza</v>
      </c>
      <c r="D84" s="660"/>
      <c r="E84" s="360"/>
      <c r="F84" s="360"/>
      <c r="G84" s="360"/>
      <c r="H84" s="360"/>
      <c r="I84" s="371"/>
      <c r="J84" s="360"/>
      <c r="K84" s="360"/>
      <c r="L84" s="360"/>
      <c r="M84" s="369"/>
      <c r="N84" s="367"/>
    </row>
    <row r="85" spans="1:14" ht="15" customHeight="1" x14ac:dyDescent="0.2">
      <c r="A85" s="624"/>
      <c r="B85" s="349" t="str">
        <f>Idiomas!D145</f>
        <v>2º GRUPO B</v>
      </c>
      <c r="C85" s="342" t="str">
        <f ca="1">IF(OR(SUM(WORLDCUP!$AN$14:$AN$17)=12,WORLDCUP!$AJ$99=144),WORLDCUP!AL15,B85)</f>
        <v>Canadá</v>
      </c>
      <c r="D85" s="660"/>
      <c r="E85" s="360"/>
      <c r="F85" s="360"/>
      <c r="G85" s="360"/>
      <c r="H85" s="360"/>
      <c r="I85" s="371"/>
      <c r="J85" s="360"/>
      <c r="K85" s="360"/>
      <c r="L85" s="360"/>
      <c r="M85" s="369"/>
      <c r="N85" s="367"/>
    </row>
    <row r="86" spans="1:14" ht="15" customHeight="1" x14ac:dyDescent="0.2">
      <c r="A86" s="624"/>
      <c r="B86" s="349" t="str">
        <f>Idiomas!D146</f>
        <v>3º GRUPO B</v>
      </c>
      <c r="C86" s="342" t="str">
        <f ca="1">IF(OR(SUM(WORLDCUP!$AN$14:$AN$17)=12,WORLDCUP!$AJ$99=144),WORLDCUP!AL16,B86)</f>
        <v>Catar</v>
      </c>
      <c r="D86" s="660"/>
      <c r="E86" s="360"/>
      <c r="F86" s="360"/>
      <c r="G86" s="360"/>
      <c r="H86" s="360"/>
      <c r="I86" s="371"/>
      <c r="J86" s="360"/>
      <c r="K86" s="360"/>
      <c r="L86" s="360"/>
      <c r="M86" s="369"/>
      <c r="N86" s="367"/>
    </row>
    <row r="87" spans="1:14" ht="15" customHeight="1" x14ac:dyDescent="0.2">
      <c r="A87" s="624"/>
      <c r="B87" s="349" t="str">
        <f>Idiomas!D147</f>
        <v>4º GRUPO B</v>
      </c>
      <c r="C87" s="342" t="str">
        <f ca="1">IF(OR(SUM(WORLDCUP!$AN$14:$AN$17)=12,WORLDCUP!$AJ$99=144),WORLDCUP!AL17,B87)</f>
        <v>Bosnia y Herzegovina</v>
      </c>
      <c r="D87" s="660"/>
      <c r="E87" s="360"/>
      <c r="F87" s="360"/>
      <c r="G87" s="360"/>
      <c r="H87" s="360"/>
      <c r="I87" s="371"/>
      <c r="J87" s="360"/>
      <c r="K87" s="360"/>
      <c r="L87" s="360"/>
      <c r="M87" s="369"/>
      <c r="N87" s="367"/>
    </row>
    <row r="88" spans="1:14" ht="15" customHeight="1" x14ac:dyDescent="0.2">
      <c r="A88" s="655" t="s">
        <v>98</v>
      </c>
      <c r="B88" s="351" t="str">
        <f>Idiomas!D148</f>
        <v>1º GRUPO C</v>
      </c>
      <c r="C88" s="342" t="str">
        <f ca="1">IF(OR(SUM(WORLDCUP!$AN$22:$AN$25)=12,WORLDCUP!$AJ$99=144),WORLDCUP!AL22,B88)</f>
        <v>Brasil</v>
      </c>
      <c r="D88" s="660"/>
      <c r="E88" s="360"/>
      <c r="F88" s="360"/>
      <c r="G88" s="360"/>
      <c r="H88" s="360"/>
      <c r="I88" s="371"/>
      <c r="J88" s="360"/>
      <c r="K88" s="360"/>
      <c r="L88" s="360"/>
      <c r="M88" s="369"/>
      <c r="N88" s="367"/>
    </row>
    <row r="89" spans="1:14" ht="15" customHeight="1" x14ac:dyDescent="0.2">
      <c r="A89" s="624"/>
      <c r="B89" s="351" t="str">
        <f>Idiomas!D149</f>
        <v>2º GRUPO C</v>
      </c>
      <c r="C89" s="342" t="str">
        <f ca="1">IF(OR(SUM(WORLDCUP!$AN$22:$AN$25)=12,WORLDCUP!$AJ$99=144),WORLDCUP!AL23,B89)</f>
        <v>Marruecos</v>
      </c>
      <c r="D89" s="660"/>
      <c r="E89" s="360"/>
      <c r="F89" s="360"/>
      <c r="G89" s="360"/>
      <c r="H89" s="360"/>
      <c r="I89" s="371"/>
      <c r="J89" s="360"/>
      <c r="K89" s="360"/>
      <c r="L89" s="360"/>
      <c r="M89" s="369"/>
      <c r="N89" s="367"/>
    </row>
    <row r="90" spans="1:14" ht="15" customHeight="1" x14ac:dyDescent="0.2">
      <c r="A90" s="624"/>
      <c r="B90" s="351" t="str">
        <f>Idiomas!D150</f>
        <v>3º GRUPO C</v>
      </c>
      <c r="C90" s="342" t="str">
        <f ca="1">IF(OR(SUM(WORLDCUP!$AN$22:$AN$25)=12,WORLDCUP!$AJ$99=144),WORLDCUP!AL24,B90)</f>
        <v>Haití</v>
      </c>
      <c r="D90" s="660"/>
      <c r="E90" s="360"/>
      <c r="F90" s="360"/>
      <c r="G90" s="360"/>
      <c r="H90" s="360"/>
      <c r="I90" s="371"/>
      <c r="J90" s="360"/>
      <c r="K90" s="360"/>
      <c r="L90" s="360"/>
      <c r="M90" s="369"/>
      <c r="N90" s="367"/>
    </row>
    <row r="91" spans="1:14" ht="15" customHeight="1" x14ac:dyDescent="0.2">
      <c r="A91" s="624"/>
      <c r="B91" s="351" t="str">
        <f>Idiomas!D151</f>
        <v>4º GRUPO C</v>
      </c>
      <c r="C91" s="342" t="str">
        <f ca="1">IF(OR(SUM(WORLDCUP!$AN$22:$AN$25)=12,WORLDCUP!$AJ$99=144),WORLDCUP!AL25,B91)</f>
        <v>Escocia</v>
      </c>
      <c r="D91" s="660"/>
      <c r="E91" s="360"/>
      <c r="F91" s="360"/>
      <c r="G91" s="360"/>
      <c r="H91" s="360"/>
      <c r="I91" s="371"/>
      <c r="J91" s="360"/>
      <c r="K91" s="360"/>
      <c r="L91" s="360"/>
      <c r="M91" s="369"/>
      <c r="N91" s="367"/>
    </row>
    <row r="92" spans="1:14" ht="15" customHeight="1" x14ac:dyDescent="0.2">
      <c r="A92" s="657" t="s">
        <v>107</v>
      </c>
      <c r="B92" s="349" t="str">
        <f>Idiomas!D152</f>
        <v>1º GRUPO D</v>
      </c>
      <c r="C92" s="342" t="str">
        <f ca="1">IF(OR(SUM(WORLDCUP!$AN$30:$AN$33)=12,WORLDCUP!$AJ$99=144),WORLDCUP!AL30,B92)</f>
        <v>Paraguay</v>
      </c>
      <c r="D92" s="660"/>
      <c r="E92" s="360"/>
      <c r="F92" s="360"/>
      <c r="G92" s="360"/>
      <c r="H92" s="360"/>
      <c r="I92" s="371"/>
      <c r="J92" s="360"/>
      <c r="K92" s="360"/>
      <c r="L92" s="360"/>
      <c r="M92" s="369"/>
      <c r="N92" s="367"/>
    </row>
    <row r="93" spans="1:14" ht="15" customHeight="1" x14ac:dyDescent="0.2">
      <c r="A93" s="624"/>
      <c r="B93" s="349" t="str">
        <f>Idiomas!D153</f>
        <v>2º GRUPO D</v>
      </c>
      <c r="C93" s="342" t="str">
        <f ca="1">IF(OR(SUM(WORLDCUP!$AN$30:$AN$33)=12,WORLDCUP!$AJ$99=144),WORLDCUP!AL31,B93)</f>
        <v>Estados Unidos</v>
      </c>
      <c r="D93" s="660"/>
      <c r="E93" s="360"/>
      <c r="F93" s="360"/>
      <c r="G93" s="360"/>
      <c r="H93" s="360"/>
      <c r="I93" s="371"/>
      <c r="J93" s="360"/>
      <c r="K93" s="360"/>
      <c r="L93" s="360"/>
      <c r="M93" s="369"/>
      <c r="N93" s="367"/>
    </row>
    <row r="94" spans="1:14" ht="15" customHeight="1" x14ac:dyDescent="0.2">
      <c r="A94" s="624"/>
      <c r="B94" s="349" t="str">
        <f>Idiomas!D154</f>
        <v>3º GRUPO D</v>
      </c>
      <c r="C94" s="342" t="str">
        <f ca="1">IF(OR(SUM(WORLDCUP!$AN$30:$AN$33)=12,WORLDCUP!$AJ$99=144),WORLDCUP!AL32,B94)</f>
        <v>Australia</v>
      </c>
      <c r="D94" s="660"/>
      <c r="E94" s="360"/>
      <c r="F94" s="360"/>
      <c r="G94" s="360"/>
      <c r="H94" s="360"/>
      <c r="I94" s="371"/>
      <c r="J94" s="360"/>
      <c r="K94" s="360"/>
      <c r="L94" s="360"/>
      <c r="M94" s="369"/>
      <c r="N94" s="367"/>
    </row>
    <row r="95" spans="1:14" ht="15" customHeight="1" x14ac:dyDescent="0.2">
      <c r="A95" s="624"/>
      <c r="B95" s="349" t="str">
        <f>Idiomas!D155</f>
        <v>4º GRUPO D</v>
      </c>
      <c r="C95" s="342" t="str">
        <f ca="1">IF(OR(SUM(WORLDCUP!$AN$30:$AN$33)=12,WORLDCUP!$AJ$99=144),WORLDCUP!AL33,B95)</f>
        <v>Turquía</v>
      </c>
      <c r="D95" s="660"/>
      <c r="E95" s="360"/>
      <c r="F95" s="360"/>
      <c r="G95" s="360"/>
      <c r="H95" s="360"/>
      <c r="I95" s="371"/>
      <c r="J95" s="360"/>
      <c r="K95" s="360"/>
      <c r="L95" s="360"/>
      <c r="M95" s="369"/>
      <c r="N95" s="367"/>
    </row>
    <row r="96" spans="1:14" ht="15" customHeight="1" x14ac:dyDescent="0.2">
      <c r="A96" s="655" t="s">
        <v>116</v>
      </c>
      <c r="B96" s="351" t="str">
        <f>Idiomas!D156</f>
        <v>1º GRUPO E</v>
      </c>
      <c r="C96" s="342" t="str">
        <f ca="1">IF(OR(SUM(WORLDCUP!$AN$38:$AN$41)=12,WORLDCUP!$AJ$99=144),WORLDCUP!AL38,B96)</f>
        <v>Alemania</v>
      </c>
      <c r="D96" s="660"/>
      <c r="E96" s="360"/>
      <c r="F96" s="360"/>
      <c r="G96" s="360"/>
      <c r="H96" s="360"/>
      <c r="I96" s="371"/>
      <c r="J96" s="360"/>
      <c r="K96" s="360"/>
      <c r="L96" s="360"/>
      <c r="M96" s="369"/>
      <c r="N96" s="367"/>
    </row>
    <row r="97" spans="1:14" ht="15" customHeight="1" x14ac:dyDescent="0.2">
      <c r="A97" s="624"/>
      <c r="B97" s="351" t="str">
        <f>Idiomas!D157</f>
        <v>2º GRUPO E</v>
      </c>
      <c r="C97" s="342" t="str">
        <f ca="1">IF(OR(SUM(WORLDCUP!$AN$38:$AN$41)=12,WORLDCUP!$AJ$99=144),WORLDCUP!AL39,B97)</f>
        <v>Ecuador</v>
      </c>
      <c r="D97" s="660"/>
      <c r="E97" s="360"/>
      <c r="F97" s="360"/>
      <c r="G97" s="360"/>
      <c r="H97" s="360"/>
      <c r="I97" s="371"/>
      <c r="J97" s="360"/>
      <c r="K97" s="360"/>
      <c r="L97" s="360"/>
      <c r="M97" s="369"/>
      <c r="N97" s="367"/>
    </row>
    <row r="98" spans="1:14" ht="15" customHeight="1" x14ac:dyDescent="0.2">
      <c r="A98" s="624"/>
      <c r="B98" s="351" t="str">
        <f>Idiomas!D158</f>
        <v>3º GRUPO E</v>
      </c>
      <c r="C98" s="342" t="str">
        <f ca="1">IF(OR(SUM(WORLDCUP!$AN$38:$AN$41)=12,WORLDCUP!$AJ$99=144),WORLDCUP!AL40,B98)</f>
        <v>Curazao</v>
      </c>
      <c r="D98" s="660"/>
      <c r="E98" s="360"/>
      <c r="F98" s="360"/>
      <c r="G98" s="360"/>
      <c r="H98" s="360"/>
      <c r="I98" s="371"/>
      <c r="J98" s="360"/>
      <c r="K98" s="360"/>
      <c r="L98" s="360"/>
      <c r="M98" s="369"/>
      <c r="N98" s="367"/>
    </row>
    <row r="99" spans="1:14" ht="15" customHeight="1" x14ac:dyDescent="0.2">
      <c r="A99" s="624"/>
      <c r="B99" s="351" t="str">
        <f>Idiomas!D159</f>
        <v>4º GRUPO E</v>
      </c>
      <c r="C99" s="342" t="str">
        <f ca="1">IF(OR(SUM(WORLDCUP!$AN$38:$AN$41)=12,WORLDCUP!$AJ$99=144),WORLDCUP!AL41,B99)</f>
        <v>Costa de Marfil</v>
      </c>
      <c r="D99" s="660"/>
      <c r="E99" s="360"/>
      <c r="F99" s="360"/>
      <c r="G99" s="360"/>
      <c r="H99" s="360"/>
      <c r="I99" s="371"/>
      <c r="J99" s="360"/>
      <c r="K99" s="360"/>
      <c r="L99" s="360"/>
      <c r="M99" s="369"/>
      <c r="N99" s="367"/>
    </row>
    <row r="100" spans="1:14" ht="15" customHeight="1" x14ac:dyDescent="0.2">
      <c r="A100" s="657" t="s">
        <v>125</v>
      </c>
      <c r="B100" s="349" t="str">
        <f>Idiomas!D160</f>
        <v>1º GRUPO F</v>
      </c>
      <c r="C100" s="342" t="str">
        <f ca="1">IF(OR(SUM(WORLDCUP!$AN$46:$AN$49)=12,WORLDCUP!$AJ$99=144),WORLDCUP!AL46,B100)</f>
        <v>Países Bajos</v>
      </c>
      <c r="D100" s="660"/>
      <c r="E100" s="360"/>
      <c r="F100" s="360"/>
      <c r="G100" s="360"/>
      <c r="H100" s="360"/>
      <c r="I100" s="371"/>
      <c r="J100" s="360"/>
      <c r="K100" s="360"/>
      <c r="L100" s="360"/>
      <c r="M100" s="369"/>
      <c r="N100" s="367"/>
    </row>
    <row r="101" spans="1:14" ht="15" customHeight="1" x14ac:dyDescent="0.2">
      <c r="A101" s="624"/>
      <c r="B101" s="349" t="str">
        <f>Idiomas!D161</f>
        <v>2º GRUPO F</v>
      </c>
      <c r="C101" s="342" t="str">
        <f ca="1">IF(OR(SUM(WORLDCUP!$AN$46:$AN$49)=12,WORLDCUP!$AJ$99=144),WORLDCUP!AL47,B101)</f>
        <v>Japón</v>
      </c>
      <c r="D101" s="660"/>
      <c r="E101" s="360"/>
      <c r="F101" s="360"/>
      <c r="G101" s="360"/>
      <c r="H101" s="360"/>
      <c r="I101" s="371"/>
      <c r="J101" s="360"/>
      <c r="K101" s="360"/>
      <c r="L101" s="360"/>
      <c r="M101" s="369"/>
      <c r="N101" s="367"/>
    </row>
    <row r="102" spans="1:14" ht="15" customHeight="1" x14ac:dyDescent="0.2">
      <c r="A102" s="624"/>
      <c r="B102" s="349" t="str">
        <f>Idiomas!D162</f>
        <v>3º GRUPO F</v>
      </c>
      <c r="C102" s="342" t="str">
        <f ca="1">IF(OR(SUM(WORLDCUP!$AN$46:$AN$49)=12,WORLDCUP!$AJ$99=144),WORLDCUP!AL48,B102)</f>
        <v>Suecia</v>
      </c>
      <c r="D102" s="660"/>
      <c r="E102" s="360"/>
      <c r="F102" s="360"/>
      <c r="G102" s="360"/>
      <c r="H102" s="360"/>
      <c r="I102" s="371"/>
      <c r="J102" s="360"/>
      <c r="K102" s="360"/>
      <c r="L102" s="360"/>
      <c r="M102" s="369"/>
      <c r="N102" s="367"/>
    </row>
    <row r="103" spans="1:14" ht="15" customHeight="1" x14ac:dyDescent="0.2">
      <c r="A103" s="624"/>
      <c r="B103" s="349" t="str">
        <f>Idiomas!D163</f>
        <v>4º GRUPO F</v>
      </c>
      <c r="C103" s="342" t="str">
        <f ca="1">IF(OR(SUM(WORLDCUP!$AN$46:$AN$49)=12,WORLDCUP!$AJ$99=144),WORLDCUP!AL49,B103)</f>
        <v>Túnez</v>
      </c>
      <c r="D103" s="660"/>
      <c r="E103" s="360"/>
      <c r="F103" s="360"/>
      <c r="G103" s="360"/>
      <c r="H103" s="360"/>
      <c r="I103" s="371"/>
      <c r="J103" s="360"/>
      <c r="K103" s="360"/>
      <c r="L103" s="360"/>
      <c r="M103" s="369"/>
      <c r="N103" s="367"/>
    </row>
    <row r="104" spans="1:14" ht="15" customHeight="1" x14ac:dyDescent="0.2">
      <c r="A104" s="655" t="s">
        <v>134</v>
      </c>
      <c r="B104" s="351" t="str">
        <f>Idiomas!D164</f>
        <v>1º GRUPO G</v>
      </c>
      <c r="C104" s="342" t="str">
        <f ca="1">IF(OR(SUM(WORLDCUP!$AN$54:$AN$57)=12,WORLDCUP!$AJ$99=144),WORLDCUP!AL54,B104)</f>
        <v>Bélgica</v>
      </c>
      <c r="D104" s="660"/>
      <c r="E104" s="360"/>
      <c r="F104" s="360"/>
      <c r="G104" s="360"/>
      <c r="H104" s="360"/>
      <c r="I104" s="371"/>
      <c r="J104" s="360"/>
      <c r="K104" s="360"/>
      <c r="L104" s="360"/>
      <c r="M104" s="369"/>
      <c r="N104" s="367"/>
    </row>
    <row r="105" spans="1:14" ht="15" customHeight="1" x14ac:dyDescent="0.2">
      <c r="A105" s="624"/>
      <c r="B105" s="351" t="str">
        <f>Idiomas!D165</f>
        <v>2º GRUPO G</v>
      </c>
      <c r="C105" s="342" t="str">
        <f ca="1">IF(OR(SUM(WORLDCUP!$AN$54:$AN$57)=12,WORLDCUP!$AJ$99=144),WORLDCUP!AL55,B105)</f>
        <v>Irán</v>
      </c>
      <c r="D105" s="660"/>
      <c r="E105" s="360"/>
      <c r="F105" s="360"/>
      <c r="G105" s="360"/>
      <c r="H105" s="360"/>
      <c r="I105" s="371"/>
      <c r="J105" s="360"/>
      <c r="K105" s="360"/>
      <c r="L105" s="360"/>
      <c r="M105" s="369"/>
      <c r="N105" s="367"/>
    </row>
    <row r="106" spans="1:14" ht="15" customHeight="1" x14ac:dyDescent="0.2">
      <c r="A106" s="624"/>
      <c r="B106" s="351" t="str">
        <f>Idiomas!D166</f>
        <v>3º GRUPO G</v>
      </c>
      <c r="C106" s="342" t="str">
        <f ca="1">IF(OR(SUM(WORLDCUP!$AN$54:$AN$57)=12,WORLDCUP!$AJ$99=144),WORLDCUP!AL56,B106)</f>
        <v>Egipto</v>
      </c>
      <c r="D106" s="660"/>
      <c r="E106" s="360"/>
      <c r="F106" s="360"/>
      <c r="G106" s="360"/>
      <c r="H106" s="360"/>
      <c r="I106" s="371"/>
      <c r="J106" s="360"/>
      <c r="K106" s="360"/>
      <c r="L106" s="360"/>
      <c r="M106" s="369"/>
      <c r="N106" s="367"/>
    </row>
    <row r="107" spans="1:14" ht="15" customHeight="1" x14ac:dyDescent="0.2">
      <c r="A107" s="624"/>
      <c r="B107" s="351" t="str">
        <f>Idiomas!D167</f>
        <v>4º GRUPO G</v>
      </c>
      <c r="C107" s="342" t="str">
        <f ca="1">IF(OR(SUM(WORLDCUP!$AN$54:$AN$57)=12,WORLDCUP!$AJ$99=144),WORLDCUP!AL57,B107)</f>
        <v>Nueva Zelanda</v>
      </c>
      <c r="D107" s="660"/>
      <c r="E107" s="360"/>
      <c r="F107" s="360"/>
      <c r="G107" s="360"/>
      <c r="H107" s="360"/>
      <c r="I107" s="371"/>
      <c r="J107" s="360"/>
      <c r="K107" s="360"/>
      <c r="L107" s="360"/>
      <c r="M107" s="369"/>
      <c r="N107" s="367"/>
    </row>
    <row r="108" spans="1:14" ht="15" customHeight="1" x14ac:dyDescent="0.2">
      <c r="A108" s="657" t="s">
        <v>139</v>
      </c>
      <c r="B108" s="349" t="str">
        <f>Idiomas!D168</f>
        <v>1º GRUPO H</v>
      </c>
      <c r="C108" s="342" t="str">
        <f ca="1">IF(OR(SUM(WORLDCUP!$AN$62:$AN$65)=12,WORLDCUP!$AJ$99=144),WORLDCUP!AL62,B108)</f>
        <v>España</v>
      </c>
      <c r="D108" s="660"/>
      <c r="E108" s="360"/>
      <c r="F108" s="360"/>
      <c r="G108" s="360"/>
      <c r="H108" s="360"/>
      <c r="I108" s="371"/>
      <c r="J108" s="360"/>
      <c r="K108" s="360"/>
      <c r="L108" s="360"/>
      <c r="M108" s="369"/>
      <c r="N108" s="367"/>
    </row>
    <row r="109" spans="1:14" ht="15" customHeight="1" x14ac:dyDescent="0.2">
      <c r="A109" s="624"/>
      <c r="B109" s="349" t="str">
        <f>Idiomas!D169</f>
        <v>2º GRUPO H</v>
      </c>
      <c r="C109" s="342" t="str">
        <f ca="1">IF(OR(SUM(WORLDCUP!$AN$62:$AN$65)=12,WORLDCUP!$AJ$99=144),WORLDCUP!AL63,B109)</f>
        <v>Uruguay</v>
      </c>
      <c r="D109" s="660"/>
      <c r="E109" s="360"/>
      <c r="F109" s="360"/>
      <c r="G109" s="360"/>
      <c r="H109" s="360"/>
      <c r="I109" s="371"/>
      <c r="J109" s="360"/>
      <c r="K109" s="360"/>
      <c r="L109" s="360"/>
      <c r="M109" s="369"/>
      <c r="N109" s="367"/>
    </row>
    <row r="110" spans="1:14" ht="15" customHeight="1" x14ac:dyDescent="0.2">
      <c r="A110" s="624"/>
      <c r="B110" s="349" t="str">
        <f>Idiomas!D170</f>
        <v>3º GRUPO H</v>
      </c>
      <c r="C110" s="342" t="str">
        <f ca="1">IF(OR(SUM(WORLDCUP!$AN$62:$AN$65)=12,WORLDCUP!$AJ$99=144),WORLDCUP!AL64,B110)</f>
        <v>Arabia Saudita</v>
      </c>
      <c r="D110" s="660"/>
      <c r="E110" s="360"/>
      <c r="F110" s="360"/>
      <c r="G110" s="360"/>
      <c r="H110" s="360"/>
      <c r="I110" s="371"/>
      <c r="J110" s="360"/>
      <c r="K110" s="360"/>
      <c r="L110" s="360"/>
      <c r="M110" s="369"/>
      <c r="N110" s="367"/>
    </row>
    <row r="111" spans="1:14" ht="15" customHeight="1" x14ac:dyDescent="0.2">
      <c r="A111" s="624"/>
      <c r="B111" s="349" t="str">
        <f>Idiomas!D171</f>
        <v>4º GRUPO H</v>
      </c>
      <c r="C111" s="342" t="str">
        <f ca="1">IF(OR(SUM(WORLDCUP!$AN$62:$AN$65)=12,WORLDCUP!$AJ$99=144),WORLDCUP!AL65,B111)</f>
        <v>Cabo Verde</v>
      </c>
      <c r="D111" s="660"/>
      <c r="E111" s="360"/>
      <c r="F111" s="360"/>
      <c r="G111" s="360"/>
      <c r="H111" s="360"/>
      <c r="I111" s="371"/>
      <c r="J111" s="360"/>
      <c r="K111" s="360"/>
      <c r="L111" s="360"/>
      <c r="M111" s="369"/>
      <c r="N111" s="367"/>
    </row>
    <row r="112" spans="1:14" ht="15" customHeight="1" x14ac:dyDescent="0.2">
      <c r="A112" s="655" t="s">
        <v>140</v>
      </c>
      <c r="B112" s="351" t="str">
        <f>Idiomas!D172</f>
        <v>1º GRUPO I</v>
      </c>
      <c r="C112" s="342" t="str">
        <f ca="1">IF(OR(SUM(WORLDCUP!$AN$70:$AN$73)=12,WORLDCUP!$AJ$99=144),WORLDCUP!AL70,B112)</f>
        <v>Francia</v>
      </c>
      <c r="D112" s="660"/>
      <c r="E112" s="360"/>
      <c r="F112" s="360"/>
      <c r="G112" s="360"/>
      <c r="H112" s="360"/>
      <c r="I112" s="371"/>
      <c r="J112" s="360"/>
      <c r="K112" s="360"/>
      <c r="L112" s="360"/>
      <c r="M112" s="369"/>
      <c r="N112" s="367"/>
    </row>
    <row r="113" spans="1:14" ht="15" customHeight="1" x14ac:dyDescent="0.2">
      <c r="A113" s="624"/>
      <c r="B113" s="351" t="str">
        <f>Idiomas!D173</f>
        <v>2º GRUPO I</v>
      </c>
      <c r="C113" s="342" t="str">
        <f ca="1">IF(OR(SUM(WORLDCUP!$AN$70:$AN$73)=12,WORLDCUP!$AJ$99=144),WORLDCUP!AL71,B113)</f>
        <v>Noruega</v>
      </c>
      <c r="D113" s="660"/>
      <c r="E113" s="360"/>
      <c r="F113" s="360"/>
      <c r="G113" s="360"/>
      <c r="H113" s="360"/>
      <c r="I113" s="371"/>
      <c r="J113" s="360"/>
      <c r="K113" s="360"/>
      <c r="L113" s="360"/>
      <c r="M113" s="369"/>
      <c r="N113" s="367"/>
    </row>
    <row r="114" spans="1:14" ht="15" customHeight="1" x14ac:dyDescent="0.2">
      <c r="A114" s="624"/>
      <c r="B114" s="351" t="str">
        <f>Idiomas!D174</f>
        <v>3º GRUPO I</v>
      </c>
      <c r="C114" s="342" t="str">
        <f ca="1">IF(OR(SUM(WORLDCUP!$AN$70:$AN$73)=12,WORLDCUP!$AJ$99=144),WORLDCUP!AL72,B114)</f>
        <v>Senegal</v>
      </c>
      <c r="D114" s="660"/>
      <c r="E114" s="360"/>
      <c r="F114" s="360"/>
      <c r="G114" s="360"/>
      <c r="H114" s="360"/>
      <c r="I114" s="371"/>
      <c r="J114" s="360"/>
      <c r="K114" s="360"/>
      <c r="L114" s="360"/>
      <c r="M114" s="369"/>
      <c r="N114" s="367"/>
    </row>
    <row r="115" spans="1:14" ht="15" customHeight="1" x14ac:dyDescent="0.2">
      <c r="A115" s="624"/>
      <c r="B115" s="351" t="str">
        <f>Idiomas!D175</f>
        <v>4º GRUPO I</v>
      </c>
      <c r="C115" s="342" t="str">
        <f ca="1">IF(OR(SUM(WORLDCUP!$AN$70:$AN$73)=12,WORLDCUP!$AJ$99=144),WORLDCUP!AL73,B115)</f>
        <v>Irak</v>
      </c>
      <c r="D115" s="660"/>
      <c r="E115" s="360"/>
      <c r="F115" s="360"/>
      <c r="G115" s="360"/>
      <c r="H115" s="360"/>
      <c r="I115" s="371"/>
      <c r="J115" s="360"/>
      <c r="K115" s="360"/>
      <c r="L115" s="360"/>
      <c r="M115" s="369"/>
      <c r="N115" s="367"/>
    </row>
    <row r="116" spans="1:14" ht="15" customHeight="1" x14ac:dyDescent="0.2">
      <c r="A116" s="657" t="s">
        <v>141</v>
      </c>
      <c r="B116" s="349" t="str">
        <f>Idiomas!D176</f>
        <v>1º GRUPO J</v>
      </c>
      <c r="C116" s="342" t="str">
        <f ca="1">IF(OR(SUM(WORLDCUP!$AN$78:$AN$81)=12,WORLDCUP!$AJ$99=144),WORLDCUP!AL78,B116)</f>
        <v>Argentina</v>
      </c>
      <c r="D116" s="660"/>
      <c r="E116" s="360"/>
      <c r="F116" s="360"/>
      <c r="G116" s="360"/>
      <c r="H116" s="360"/>
      <c r="I116" s="371"/>
      <c r="J116" s="360"/>
      <c r="K116" s="360"/>
      <c r="L116" s="360"/>
      <c r="M116" s="369"/>
      <c r="N116" s="367"/>
    </row>
    <row r="117" spans="1:14" ht="15" customHeight="1" x14ac:dyDescent="0.2">
      <c r="A117" s="624"/>
      <c r="B117" s="349" t="str">
        <f>Idiomas!D177</f>
        <v>2º GRUPO J</v>
      </c>
      <c r="C117" s="342" t="str">
        <f ca="1">IF(OR(SUM(WORLDCUP!$AN$78:$AN$81)=12,WORLDCUP!$AJ$99=144),WORLDCUP!AL79,B117)</f>
        <v>Austria</v>
      </c>
      <c r="D117" s="660"/>
      <c r="E117" s="360"/>
      <c r="F117" s="360"/>
      <c r="G117" s="360"/>
      <c r="H117" s="360"/>
      <c r="I117" s="371"/>
      <c r="J117" s="360"/>
      <c r="K117" s="360"/>
      <c r="L117" s="360"/>
      <c r="M117" s="369"/>
      <c r="N117" s="367"/>
    </row>
    <row r="118" spans="1:14" ht="15" customHeight="1" x14ac:dyDescent="0.2">
      <c r="A118" s="624"/>
      <c r="B118" s="349" t="str">
        <f>Idiomas!D178</f>
        <v>3º GRUPO J</v>
      </c>
      <c r="C118" s="342" t="str">
        <f ca="1">IF(OR(SUM(WORLDCUP!$AN$78:$AN$81)=12,WORLDCUP!$AJ$99=144),WORLDCUP!AL80,B118)</f>
        <v>Argelia</v>
      </c>
      <c r="D118" s="660"/>
      <c r="E118" s="360"/>
      <c r="F118" s="360"/>
      <c r="G118" s="360"/>
      <c r="H118" s="360"/>
      <c r="I118" s="371"/>
      <c r="J118" s="360"/>
      <c r="K118" s="360"/>
      <c r="L118" s="360"/>
      <c r="M118" s="369"/>
      <c r="N118" s="367"/>
    </row>
    <row r="119" spans="1:14" ht="15" customHeight="1" x14ac:dyDescent="0.2">
      <c r="A119" s="624"/>
      <c r="B119" s="349" t="str">
        <f>Idiomas!D179</f>
        <v>4º GRUPO J</v>
      </c>
      <c r="C119" s="342" t="str">
        <f ca="1">IF(OR(SUM(WORLDCUP!$AN$78:$AN$81)=12,WORLDCUP!$AJ$99=144),WORLDCUP!AL81,B119)</f>
        <v>Jordania</v>
      </c>
      <c r="D119" s="660"/>
      <c r="E119" s="360"/>
      <c r="F119" s="360"/>
      <c r="G119" s="360"/>
      <c r="H119" s="360"/>
      <c r="I119" s="371"/>
      <c r="J119" s="360"/>
      <c r="K119" s="360"/>
      <c r="L119" s="360"/>
      <c r="M119" s="369"/>
      <c r="N119" s="367"/>
    </row>
    <row r="120" spans="1:14" ht="15" customHeight="1" x14ac:dyDescent="0.2">
      <c r="A120" s="655" t="s">
        <v>142</v>
      </c>
      <c r="B120" s="351" t="str">
        <f>Idiomas!D180</f>
        <v>1º GRUPO K</v>
      </c>
      <c r="C120" s="342" t="str">
        <f ca="1">IF(OR(SUM(WORLDCUP!$AN$86:$AN$89)=12,WORLDCUP!$AJ$99=144),WORLDCUP!AL86,B120)</f>
        <v>Portugal</v>
      </c>
      <c r="D120" s="660"/>
      <c r="E120" s="360"/>
      <c r="F120" s="360"/>
      <c r="G120" s="360"/>
      <c r="H120" s="360"/>
      <c r="I120" s="371"/>
      <c r="J120" s="360"/>
      <c r="K120" s="360"/>
      <c r="L120" s="360"/>
      <c r="M120" s="369"/>
      <c r="N120" s="367"/>
    </row>
    <row r="121" spans="1:14" ht="15" customHeight="1" x14ac:dyDescent="0.2">
      <c r="A121" s="624"/>
      <c r="B121" s="351" t="str">
        <f>Idiomas!D181</f>
        <v>2º GRUPO K</v>
      </c>
      <c r="C121" s="342" t="str">
        <f ca="1">IF(OR(SUM(WORLDCUP!$AN$86:$AN$89)=12,WORLDCUP!$AJ$99=144),WORLDCUP!AL87,B121)</f>
        <v>Colombia</v>
      </c>
      <c r="D121" s="660"/>
      <c r="E121" s="360"/>
      <c r="F121" s="360"/>
      <c r="G121" s="360"/>
      <c r="H121" s="360"/>
      <c r="I121" s="371"/>
      <c r="J121" s="360"/>
      <c r="K121" s="360"/>
      <c r="L121" s="360"/>
      <c r="M121" s="369"/>
      <c r="N121" s="367"/>
    </row>
    <row r="122" spans="1:14" ht="15" customHeight="1" x14ac:dyDescent="0.2">
      <c r="A122" s="624"/>
      <c r="B122" s="351" t="str">
        <f>Idiomas!D182</f>
        <v>3º GRUPO K</v>
      </c>
      <c r="C122" s="342" t="str">
        <f ca="1">IF(OR(SUM(WORLDCUP!$AN$86:$AN$89)=12,WORLDCUP!$AJ$99=144),WORLDCUP!AL88,B122)</f>
        <v>RD Congo</v>
      </c>
      <c r="D122" s="660"/>
      <c r="E122" s="360"/>
      <c r="F122" s="360"/>
      <c r="G122" s="360"/>
      <c r="H122" s="360"/>
      <c r="I122" s="371"/>
      <c r="J122" s="360"/>
      <c r="K122" s="360"/>
      <c r="L122" s="360"/>
      <c r="M122" s="369"/>
      <c r="N122" s="367"/>
    </row>
    <row r="123" spans="1:14" ht="15" customHeight="1" x14ac:dyDescent="0.2">
      <c r="A123" s="624"/>
      <c r="B123" s="351" t="str">
        <f>Idiomas!D183</f>
        <v>4º GRUPO K</v>
      </c>
      <c r="C123" s="342" t="str">
        <f ca="1">IF(OR(SUM(WORLDCUP!$AN$86:$AN$89)=12,WORLDCUP!$AJ$99=144),WORLDCUP!AL89,B123)</f>
        <v>Uzbekistán</v>
      </c>
      <c r="D123" s="660"/>
      <c r="E123" s="360"/>
      <c r="F123" s="360"/>
      <c r="G123" s="360"/>
      <c r="H123" s="360"/>
      <c r="I123" s="371"/>
      <c r="J123" s="360"/>
      <c r="K123" s="360"/>
      <c r="L123" s="360"/>
      <c r="M123" s="369"/>
      <c r="N123" s="367"/>
    </row>
    <row r="124" spans="1:14" ht="15" customHeight="1" x14ac:dyDescent="0.2">
      <c r="A124" s="657" t="s">
        <v>143</v>
      </c>
      <c r="B124" s="349" t="str">
        <f>Idiomas!D184</f>
        <v>1º GRUPO L</v>
      </c>
      <c r="C124" s="342" t="str">
        <f ca="1">IF(OR(SUM(WORLDCUP!$AN$94:$AN$97)=12,WORLDCUP!$AJ$99=144),WORLDCUP!AL94,B124)</f>
        <v>Inglaterra</v>
      </c>
      <c r="D124" s="660"/>
      <c r="E124" s="360"/>
      <c r="F124" s="360"/>
      <c r="G124" s="360"/>
      <c r="H124" s="360"/>
      <c r="I124" s="371"/>
      <c r="J124" s="360"/>
      <c r="K124" s="360"/>
      <c r="L124" s="360"/>
      <c r="M124" s="369"/>
      <c r="N124" s="367"/>
    </row>
    <row r="125" spans="1:14" ht="15" customHeight="1" x14ac:dyDescent="0.2">
      <c r="A125" s="624"/>
      <c r="B125" s="349" t="str">
        <f>Idiomas!D185</f>
        <v>2º GRUPO L</v>
      </c>
      <c r="C125" s="342" t="str">
        <f ca="1">IF(OR(SUM(WORLDCUP!$AN$94:$AN$97)=12,WORLDCUP!$AJ$99=144),WORLDCUP!AL95,B125)</f>
        <v>Croacia</v>
      </c>
      <c r="D125" s="660"/>
      <c r="E125" s="360"/>
      <c r="F125" s="360"/>
      <c r="G125" s="360"/>
      <c r="H125" s="360"/>
      <c r="I125" s="371"/>
      <c r="J125" s="360"/>
      <c r="K125" s="360"/>
      <c r="L125" s="360"/>
      <c r="M125" s="369"/>
      <c r="N125" s="367"/>
    </row>
    <row r="126" spans="1:14" ht="15" customHeight="1" x14ac:dyDescent="0.2">
      <c r="A126" s="624"/>
      <c r="B126" s="349" t="str">
        <f>Idiomas!D186</f>
        <v>3º GRUPO L</v>
      </c>
      <c r="C126" s="342" t="str">
        <f ca="1">IF(OR(SUM(WORLDCUP!$AN$94:$AN$97)=12,WORLDCUP!$AJ$99=144),WORLDCUP!AL96,B126)</f>
        <v>Ghana</v>
      </c>
      <c r="D126" s="660"/>
      <c r="E126" s="360"/>
      <c r="F126" s="360"/>
      <c r="G126" s="360"/>
      <c r="H126" s="360"/>
      <c r="I126" s="371"/>
      <c r="J126" s="360"/>
      <c r="K126" s="360"/>
      <c r="L126" s="360"/>
      <c r="M126" s="369"/>
      <c r="N126" s="367"/>
    </row>
    <row r="127" spans="1:14" ht="15" customHeight="1" x14ac:dyDescent="0.2">
      <c r="A127" s="624"/>
      <c r="B127" s="349" t="str">
        <f>Idiomas!D187</f>
        <v>4º GRUPO L</v>
      </c>
      <c r="C127" s="342" t="str">
        <f ca="1">IF(OR(SUM(WORLDCUP!$AN$94:$AN$97)=12,WORLDCUP!$AJ$99=144),WORLDCUP!AL97,B127)</f>
        <v>Panamá</v>
      </c>
      <c r="D127" s="660"/>
      <c r="E127" s="360"/>
      <c r="F127" s="360"/>
      <c r="G127" s="360"/>
      <c r="H127" s="360"/>
      <c r="I127" s="371"/>
      <c r="J127" s="360"/>
      <c r="K127" s="360"/>
      <c r="L127" s="360"/>
      <c r="M127" s="369"/>
      <c r="N127" s="367"/>
    </row>
    <row r="128" spans="1:14" ht="15" customHeight="1" x14ac:dyDescent="0.2">
      <c r="A128" s="223"/>
      <c r="B128" s="223"/>
      <c r="C128" s="343"/>
      <c r="D128" s="660"/>
      <c r="E128" s="360"/>
      <c r="F128" s="360"/>
      <c r="G128" s="360"/>
      <c r="H128" s="360"/>
      <c r="I128" s="371"/>
      <c r="J128" s="360"/>
      <c r="K128" s="360"/>
      <c r="L128" s="360"/>
      <c r="M128" s="369"/>
      <c r="N128" s="367"/>
    </row>
    <row r="129" spans="1:14" ht="19" customHeight="1" x14ac:dyDescent="0.25">
      <c r="A129" s="223"/>
      <c r="B129" s="350" t="str">
        <f>Idiomas!D127</f>
        <v>CLASIFICADOS PARA DIECISEISAVOS</v>
      </c>
      <c r="C129" s="343"/>
      <c r="D129" s="660"/>
      <c r="E129" s="360"/>
      <c r="F129" s="360"/>
      <c r="G129" s="360"/>
      <c r="H129" s="360"/>
      <c r="I129" s="371"/>
      <c r="J129" s="360"/>
      <c r="K129" s="360"/>
      <c r="L129" s="360"/>
      <c r="M129" s="369"/>
      <c r="N129" s="367"/>
    </row>
    <row r="130" spans="1:14" ht="15" customHeight="1" x14ac:dyDescent="0.2">
      <c r="A130" s="654" t="s">
        <v>152</v>
      </c>
      <c r="B130" s="352" t="str">
        <f>Idiomas!$D$188</f>
        <v>Dieciseisavofinalista</v>
      </c>
      <c r="C130" s="342" t="str">
        <f ca="1">WORLDCUP!AA101</f>
        <v>Corea del Sur</v>
      </c>
      <c r="D130" s="660"/>
      <c r="E130" s="360"/>
      <c r="F130" s="360"/>
      <c r="G130" s="360"/>
      <c r="H130" s="360"/>
      <c r="I130" s="371"/>
      <c r="J130" s="360"/>
      <c r="K130" s="360"/>
      <c r="L130" s="360"/>
      <c r="M130" s="369"/>
      <c r="N130" s="367"/>
    </row>
    <row r="131" spans="1:14" ht="15" customHeight="1" x14ac:dyDescent="0.2">
      <c r="A131" s="624"/>
      <c r="B131" s="352" t="str">
        <f t="shared" ref="B131:B145" si="0">B130</f>
        <v>Dieciseisavofinalista</v>
      </c>
      <c r="C131" s="342" t="str">
        <f ca="1">WORLDCUP!AA102</f>
        <v>Brasil</v>
      </c>
      <c r="D131" s="660"/>
      <c r="E131" s="360"/>
      <c r="F131" s="360"/>
      <c r="G131" s="360"/>
      <c r="H131" s="360"/>
      <c r="I131" s="371"/>
      <c r="J131" s="360"/>
      <c r="K131" s="360"/>
      <c r="L131" s="360"/>
      <c r="M131" s="369"/>
      <c r="N131" s="367"/>
    </row>
    <row r="132" spans="1:14" ht="15" customHeight="1" x14ac:dyDescent="0.2">
      <c r="A132" s="624"/>
      <c r="B132" s="352" t="str">
        <f t="shared" si="0"/>
        <v>Dieciseisavofinalista</v>
      </c>
      <c r="C132" s="342" t="str">
        <f ca="1">WORLDCUP!AA103</f>
        <v>Alemania</v>
      </c>
      <c r="D132" s="660"/>
      <c r="E132" s="360"/>
      <c r="F132" s="360"/>
      <c r="G132" s="360"/>
      <c r="H132" s="360"/>
      <c r="I132" s="371"/>
      <c r="J132" s="360"/>
      <c r="K132" s="360"/>
      <c r="L132" s="360"/>
      <c r="M132" s="369"/>
      <c r="N132" s="367"/>
    </row>
    <row r="133" spans="1:14" ht="15" customHeight="1" x14ac:dyDescent="0.2">
      <c r="A133" s="624"/>
      <c r="B133" s="352" t="str">
        <f t="shared" si="0"/>
        <v>Dieciseisavofinalista</v>
      </c>
      <c r="C133" s="342" t="str">
        <f ca="1">WORLDCUP!AA104</f>
        <v>Países Bajos</v>
      </c>
      <c r="D133" s="660"/>
      <c r="E133" s="360"/>
      <c r="F133" s="360"/>
      <c r="G133" s="360"/>
      <c r="H133" s="360"/>
      <c r="I133" s="371"/>
      <c r="J133" s="360"/>
      <c r="K133" s="360"/>
      <c r="L133" s="360"/>
      <c r="M133" s="369"/>
      <c r="N133" s="367"/>
    </row>
    <row r="134" spans="1:14" ht="15" customHeight="1" x14ac:dyDescent="0.2">
      <c r="A134" s="624"/>
      <c r="B134" s="352" t="str">
        <f t="shared" si="0"/>
        <v>Dieciseisavofinalista</v>
      </c>
      <c r="C134" s="342" t="str">
        <f ca="1">WORLDCUP!AA105</f>
        <v>Ecuador</v>
      </c>
      <c r="D134" s="660"/>
      <c r="E134" s="360"/>
      <c r="F134" s="360"/>
      <c r="G134" s="360"/>
      <c r="H134" s="360"/>
      <c r="I134" s="371"/>
      <c r="J134" s="360"/>
      <c r="K134" s="360"/>
      <c r="L134" s="360"/>
      <c r="M134" s="369"/>
      <c r="N134" s="367"/>
    </row>
    <row r="135" spans="1:14" ht="15" customHeight="1" x14ac:dyDescent="0.2">
      <c r="A135" s="624"/>
      <c r="B135" s="352" t="str">
        <f t="shared" si="0"/>
        <v>Dieciseisavofinalista</v>
      </c>
      <c r="C135" s="342" t="str">
        <f ca="1">WORLDCUP!AA106</f>
        <v>Francia</v>
      </c>
      <c r="D135" s="660"/>
      <c r="E135" s="360"/>
      <c r="F135" s="360"/>
      <c r="G135" s="360"/>
      <c r="H135" s="360"/>
      <c r="I135" s="371"/>
      <c r="J135" s="360"/>
      <c r="K135" s="360"/>
      <c r="L135" s="360"/>
      <c r="M135" s="369"/>
      <c r="N135" s="367"/>
    </row>
    <row r="136" spans="1:14" ht="15" customHeight="1" x14ac:dyDescent="0.2">
      <c r="A136" s="624"/>
      <c r="B136" s="352" t="str">
        <f t="shared" si="0"/>
        <v>Dieciseisavofinalista</v>
      </c>
      <c r="C136" s="342" t="str">
        <f ca="1">WORLDCUP!AA107</f>
        <v>México</v>
      </c>
      <c r="D136" s="660"/>
      <c r="E136" s="360"/>
      <c r="F136" s="360"/>
      <c r="G136" s="360"/>
      <c r="H136" s="360"/>
      <c r="I136" s="371"/>
      <c r="J136" s="360"/>
      <c r="K136" s="360"/>
      <c r="L136" s="360"/>
      <c r="M136" s="369"/>
      <c r="N136" s="367"/>
    </row>
    <row r="137" spans="1:14" ht="15" customHeight="1" x14ac:dyDescent="0.2">
      <c r="A137" s="624"/>
      <c r="B137" s="352" t="str">
        <f t="shared" si="0"/>
        <v>Dieciseisavofinalista</v>
      </c>
      <c r="C137" s="342" t="str">
        <f ca="1">WORLDCUP!AA108</f>
        <v>Inglaterra</v>
      </c>
      <c r="D137" s="660"/>
      <c r="E137" s="360"/>
      <c r="F137" s="360"/>
      <c r="G137" s="360"/>
      <c r="H137" s="360"/>
      <c r="I137" s="371"/>
      <c r="J137" s="360"/>
      <c r="K137" s="360"/>
      <c r="L137" s="360"/>
      <c r="M137" s="369"/>
      <c r="N137" s="367"/>
    </row>
    <row r="138" spans="1:14" ht="15" customHeight="1" x14ac:dyDescent="0.2">
      <c r="A138" s="624"/>
      <c r="B138" s="352" t="str">
        <f t="shared" si="0"/>
        <v>Dieciseisavofinalista</v>
      </c>
      <c r="C138" s="342" t="str">
        <f ca="1">WORLDCUP!AA109</f>
        <v>Bélgica</v>
      </c>
      <c r="D138" s="660"/>
      <c r="E138" s="360"/>
      <c r="F138" s="360"/>
      <c r="G138" s="360"/>
      <c r="H138" s="360"/>
      <c r="I138" s="371"/>
      <c r="J138" s="360"/>
      <c r="K138" s="360"/>
      <c r="L138" s="360"/>
      <c r="M138" s="369"/>
      <c r="N138" s="367"/>
    </row>
    <row r="139" spans="1:14" ht="15" customHeight="1" x14ac:dyDescent="0.2">
      <c r="A139" s="624"/>
      <c r="B139" s="352" t="str">
        <f t="shared" si="0"/>
        <v>Dieciseisavofinalista</v>
      </c>
      <c r="C139" s="342" t="str">
        <f ca="1">WORLDCUP!AA110</f>
        <v>Paraguay</v>
      </c>
      <c r="D139" s="660"/>
      <c r="E139" s="360"/>
      <c r="F139" s="360"/>
      <c r="G139" s="360"/>
      <c r="H139" s="360"/>
      <c r="I139" s="371"/>
      <c r="J139" s="360"/>
      <c r="K139" s="360"/>
      <c r="L139" s="360"/>
      <c r="M139" s="369"/>
      <c r="N139" s="367"/>
    </row>
    <row r="140" spans="1:14" ht="15" customHeight="1" x14ac:dyDescent="0.2">
      <c r="A140" s="624"/>
      <c r="B140" s="352" t="str">
        <f t="shared" si="0"/>
        <v>Dieciseisavofinalista</v>
      </c>
      <c r="C140" s="342" t="str">
        <f ca="1">WORLDCUP!AA111</f>
        <v>España</v>
      </c>
      <c r="D140" s="660"/>
      <c r="E140" s="360"/>
      <c r="F140" s="360"/>
      <c r="G140" s="360"/>
      <c r="H140" s="360"/>
      <c r="I140" s="371"/>
      <c r="J140" s="360"/>
      <c r="K140" s="360"/>
      <c r="L140" s="360"/>
      <c r="M140" s="369"/>
      <c r="N140" s="367"/>
    </row>
    <row r="141" spans="1:14" ht="15" customHeight="1" x14ac:dyDescent="0.2">
      <c r="A141" s="624"/>
      <c r="B141" s="352" t="str">
        <f t="shared" si="0"/>
        <v>Dieciseisavofinalista</v>
      </c>
      <c r="C141" s="342" t="str">
        <f ca="1">WORLDCUP!AA112</f>
        <v>Colombia</v>
      </c>
      <c r="D141" s="660"/>
      <c r="E141" s="360"/>
      <c r="F141" s="360"/>
      <c r="G141" s="360"/>
      <c r="H141" s="360"/>
      <c r="I141" s="371"/>
      <c r="J141" s="360"/>
      <c r="K141" s="360"/>
      <c r="L141" s="360"/>
      <c r="M141" s="369"/>
      <c r="N141" s="367"/>
    </row>
    <row r="142" spans="1:14" ht="15" customHeight="1" x14ac:dyDescent="0.2">
      <c r="A142" s="624"/>
      <c r="B142" s="352" t="str">
        <f t="shared" si="0"/>
        <v>Dieciseisavofinalista</v>
      </c>
      <c r="C142" s="342" t="str">
        <f ca="1">WORLDCUP!AA113</f>
        <v>Suiza</v>
      </c>
      <c r="D142" s="660"/>
      <c r="E142" s="360"/>
      <c r="F142" s="360"/>
      <c r="G142" s="360"/>
      <c r="H142" s="360"/>
      <c r="I142" s="371"/>
      <c r="J142" s="360"/>
      <c r="K142" s="360"/>
      <c r="L142" s="360"/>
      <c r="M142" s="369"/>
      <c r="N142" s="367"/>
    </row>
    <row r="143" spans="1:14" ht="15" customHeight="1" x14ac:dyDescent="0.2">
      <c r="A143" s="624"/>
      <c r="B143" s="352" t="str">
        <f t="shared" si="0"/>
        <v>Dieciseisavofinalista</v>
      </c>
      <c r="C143" s="342" t="str">
        <f ca="1">WORLDCUP!AA114</f>
        <v>Estados Unidos</v>
      </c>
      <c r="D143" s="660"/>
      <c r="E143" s="360"/>
      <c r="F143" s="360"/>
      <c r="G143" s="360"/>
      <c r="H143" s="360"/>
      <c r="I143" s="371"/>
      <c r="J143" s="360"/>
      <c r="K143" s="360"/>
      <c r="L143" s="360"/>
      <c r="M143" s="369"/>
      <c r="N143" s="367"/>
    </row>
    <row r="144" spans="1:14" ht="15" customHeight="1" x14ac:dyDescent="0.2">
      <c r="A144" s="624"/>
      <c r="B144" s="352" t="str">
        <f t="shared" si="0"/>
        <v>Dieciseisavofinalista</v>
      </c>
      <c r="C144" s="342" t="str">
        <f ca="1">WORLDCUP!AA115</f>
        <v>Argentina</v>
      </c>
      <c r="D144" s="660"/>
      <c r="E144" s="360"/>
      <c r="F144" s="360"/>
      <c r="G144" s="360"/>
      <c r="H144" s="360"/>
      <c r="I144" s="371"/>
      <c r="J144" s="360"/>
      <c r="K144" s="360"/>
      <c r="L144" s="360"/>
      <c r="M144" s="369"/>
      <c r="N144" s="367"/>
    </row>
    <row r="145" spans="1:14" ht="15" customHeight="1" x14ac:dyDescent="0.2">
      <c r="A145" s="624"/>
      <c r="B145" s="352" t="str">
        <f t="shared" si="0"/>
        <v>Dieciseisavofinalista</v>
      </c>
      <c r="C145" s="342" t="str">
        <f ca="1">WORLDCUP!AA116</f>
        <v>Portugal</v>
      </c>
      <c r="D145" s="660"/>
      <c r="E145" s="360"/>
      <c r="F145" s="360"/>
      <c r="G145" s="360"/>
      <c r="H145" s="360"/>
      <c r="I145" s="371"/>
      <c r="J145" s="360"/>
      <c r="K145" s="360"/>
      <c r="L145" s="360"/>
      <c r="M145" s="369"/>
      <c r="N145" s="367"/>
    </row>
    <row r="146" spans="1:14" ht="15" customHeight="1" x14ac:dyDescent="0.2">
      <c r="A146" s="624"/>
      <c r="B146" s="352" t="str">
        <f>Idiomas!$D$188</f>
        <v>Dieciseisavofinalista</v>
      </c>
      <c r="C146" s="342" t="str">
        <f ca="1">WORLDCUP!AF101</f>
        <v>Canadá</v>
      </c>
      <c r="D146" s="660"/>
      <c r="E146" s="360"/>
      <c r="F146" s="360"/>
      <c r="G146" s="360"/>
      <c r="H146" s="360"/>
      <c r="I146" s="371"/>
      <c r="J146" s="360"/>
      <c r="K146" s="360"/>
      <c r="L146" s="360"/>
      <c r="M146" s="369"/>
      <c r="N146" s="367"/>
    </row>
    <row r="147" spans="1:14" ht="15" customHeight="1" x14ac:dyDescent="0.2">
      <c r="A147" s="624"/>
      <c r="B147" s="352" t="str">
        <f t="shared" ref="B147:B161" si="1">B146</f>
        <v>Dieciseisavofinalista</v>
      </c>
      <c r="C147" s="342" t="str">
        <f ca="1">WORLDCUP!AF102</f>
        <v>Japón</v>
      </c>
      <c r="D147" s="660"/>
      <c r="E147" s="360"/>
      <c r="F147" s="360"/>
      <c r="G147" s="360"/>
      <c r="H147" s="360"/>
      <c r="I147" s="371"/>
      <c r="J147" s="360"/>
      <c r="K147" s="360"/>
      <c r="L147" s="360"/>
      <c r="M147" s="369"/>
      <c r="N147" s="367"/>
    </row>
    <row r="148" spans="1:14" ht="15" customHeight="1" x14ac:dyDescent="0.2">
      <c r="A148" s="624"/>
      <c r="B148" s="352" t="str">
        <f t="shared" si="1"/>
        <v>Dieciseisavofinalista</v>
      </c>
      <c r="C148" s="342" t="str">
        <f ca="1">WORLDCUP!AF103</f>
        <v>Australia</v>
      </c>
      <c r="D148" s="660"/>
      <c r="E148" s="360"/>
      <c r="F148" s="360"/>
      <c r="G148" s="360"/>
      <c r="H148" s="360"/>
      <c r="I148" s="371"/>
      <c r="J148" s="360"/>
      <c r="K148" s="360"/>
      <c r="L148" s="360"/>
      <c r="M148" s="369"/>
      <c r="N148" s="367"/>
    </row>
    <row r="149" spans="1:14" ht="15" customHeight="1" x14ac:dyDescent="0.2">
      <c r="A149" s="624"/>
      <c r="B149" s="352" t="str">
        <f t="shared" si="1"/>
        <v>Dieciseisavofinalista</v>
      </c>
      <c r="C149" s="342" t="str">
        <f ca="1">WORLDCUP!AF104</f>
        <v>Marruecos</v>
      </c>
      <c r="D149" s="660"/>
      <c r="E149" s="360"/>
      <c r="F149" s="360"/>
      <c r="G149" s="360"/>
      <c r="H149" s="360"/>
      <c r="I149" s="371"/>
      <c r="J149" s="360"/>
      <c r="K149" s="360"/>
      <c r="L149" s="360"/>
      <c r="M149" s="369"/>
      <c r="N149" s="367"/>
    </row>
    <row r="150" spans="1:14" ht="15" customHeight="1" x14ac:dyDescent="0.2">
      <c r="A150" s="624"/>
      <c r="B150" s="352" t="str">
        <f t="shared" si="1"/>
        <v>Dieciseisavofinalista</v>
      </c>
      <c r="C150" s="342" t="str">
        <f ca="1">WORLDCUP!AF105</f>
        <v>Noruega</v>
      </c>
      <c r="D150" s="660"/>
      <c r="E150" s="360"/>
      <c r="F150" s="360"/>
      <c r="G150" s="360"/>
      <c r="H150" s="360"/>
      <c r="I150" s="371"/>
      <c r="J150" s="360"/>
      <c r="K150" s="360"/>
      <c r="L150" s="360"/>
      <c r="M150" s="369"/>
      <c r="N150" s="367"/>
    </row>
    <row r="151" spans="1:14" ht="15" customHeight="1" x14ac:dyDescent="0.2">
      <c r="A151" s="624"/>
      <c r="B151" s="352" t="str">
        <f t="shared" si="1"/>
        <v>Dieciseisavofinalista</v>
      </c>
      <c r="C151" s="342" t="str">
        <f ca="1">WORLDCUP!AF106</f>
        <v>Egipto</v>
      </c>
      <c r="D151" s="660"/>
      <c r="E151" s="360"/>
      <c r="F151" s="360"/>
      <c r="G151" s="360"/>
      <c r="H151" s="360"/>
      <c r="I151" s="371"/>
      <c r="J151" s="360"/>
      <c r="K151" s="360"/>
      <c r="L151" s="360"/>
      <c r="M151" s="369"/>
      <c r="N151" s="367"/>
    </row>
    <row r="152" spans="1:14" ht="15" customHeight="1" x14ac:dyDescent="0.2">
      <c r="A152" s="624"/>
      <c r="B152" s="352" t="str">
        <f t="shared" si="1"/>
        <v>Dieciseisavofinalista</v>
      </c>
      <c r="C152" s="342" t="str">
        <f ca="1">WORLDCUP!AF107</f>
        <v>Arabia Saudita</v>
      </c>
      <c r="D152" s="660"/>
      <c r="E152" s="360"/>
      <c r="F152" s="360"/>
      <c r="G152" s="360"/>
      <c r="H152" s="360"/>
      <c r="I152" s="371"/>
      <c r="J152" s="360"/>
      <c r="K152" s="360"/>
      <c r="L152" s="360"/>
      <c r="M152" s="369"/>
      <c r="N152" s="367"/>
    </row>
    <row r="153" spans="1:14" ht="15" customHeight="1" x14ac:dyDescent="0.2">
      <c r="A153" s="624"/>
      <c r="B153" s="352" t="str">
        <f t="shared" si="1"/>
        <v>Dieciseisavofinalista</v>
      </c>
      <c r="C153" s="342" t="str">
        <f ca="1">WORLDCUP!AF108</f>
        <v>Senegal</v>
      </c>
      <c r="D153" s="660"/>
      <c r="E153" s="360"/>
      <c r="F153" s="360"/>
      <c r="G153" s="360"/>
      <c r="H153" s="360"/>
      <c r="I153" s="371"/>
      <c r="J153" s="360"/>
      <c r="K153" s="360"/>
      <c r="L153" s="360"/>
      <c r="M153" s="369"/>
      <c r="N153" s="367"/>
    </row>
    <row r="154" spans="1:14" ht="15" customHeight="1" x14ac:dyDescent="0.2">
      <c r="A154" s="624"/>
      <c r="B154" s="352" t="str">
        <f t="shared" si="1"/>
        <v>Dieciseisavofinalista</v>
      </c>
      <c r="C154" s="342" t="str">
        <f ca="1">WORLDCUP!AF109</f>
        <v>República Checa</v>
      </c>
      <c r="D154" s="660"/>
      <c r="E154" s="360"/>
      <c r="F154" s="360"/>
      <c r="G154" s="360"/>
      <c r="H154" s="360"/>
      <c r="I154" s="371"/>
      <c r="J154" s="360"/>
      <c r="K154" s="360"/>
      <c r="L154" s="360"/>
      <c r="M154" s="369"/>
      <c r="N154" s="367"/>
    </row>
    <row r="155" spans="1:14" ht="15" customHeight="1" x14ac:dyDescent="0.2">
      <c r="A155" s="624"/>
      <c r="B155" s="352" t="str">
        <f t="shared" si="1"/>
        <v>Dieciseisavofinalista</v>
      </c>
      <c r="C155" s="342" t="str">
        <f ca="1">WORLDCUP!AF110</f>
        <v>Catar</v>
      </c>
      <c r="D155" s="660"/>
      <c r="E155" s="360"/>
      <c r="F155" s="360"/>
      <c r="G155" s="360"/>
      <c r="H155" s="360"/>
      <c r="I155" s="371"/>
      <c r="J155" s="360"/>
      <c r="K155" s="360"/>
      <c r="L155" s="360"/>
      <c r="M155" s="369"/>
      <c r="N155" s="367"/>
    </row>
    <row r="156" spans="1:14" ht="15" customHeight="1" x14ac:dyDescent="0.2">
      <c r="A156" s="624"/>
      <c r="B156" s="352" t="str">
        <f t="shared" si="1"/>
        <v>Dieciseisavofinalista</v>
      </c>
      <c r="C156" s="342" t="str">
        <f ca="1">WORLDCUP!AF111</f>
        <v>Austria</v>
      </c>
      <c r="D156" s="660"/>
      <c r="E156" s="360"/>
      <c r="F156" s="360"/>
      <c r="G156" s="360"/>
      <c r="H156" s="360"/>
      <c r="I156" s="371"/>
      <c r="J156" s="360"/>
      <c r="K156" s="360"/>
      <c r="L156" s="360"/>
      <c r="M156" s="369"/>
      <c r="N156" s="367"/>
    </row>
    <row r="157" spans="1:14" ht="15" customHeight="1" x14ac:dyDescent="0.2">
      <c r="A157" s="624"/>
      <c r="B157" s="352" t="str">
        <f t="shared" si="1"/>
        <v>Dieciseisavofinalista</v>
      </c>
      <c r="C157" s="342" t="str">
        <f ca="1">WORLDCUP!AF112</f>
        <v>Croacia</v>
      </c>
      <c r="D157" s="660"/>
      <c r="E157" s="360"/>
      <c r="F157" s="360"/>
      <c r="G157" s="360"/>
      <c r="H157" s="360"/>
      <c r="I157" s="371"/>
      <c r="J157" s="360"/>
      <c r="K157" s="360"/>
      <c r="L157" s="360"/>
      <c r="M157" s="369"/>
      <c r="N157" s="367"/>
    </row>
    <row r="158" spans="1:14" ht="15" customHeight="1" x14ac:dyDescent="0.2">
      <c r="A158" s="624"/>
      <c r="B158" s="352" t="str">
        <f t="shared" si="1"/>
        <v>Dieciseisavofinalista</v>
      </c>
      <c r="C158" s="342" t="str">
        <f ca="1">WORLDCUP!AF113</f>
        <v>Argelia</v>
      </c>
      <c r="D158" s="660"/>
      <c r="E158" s="360"/>
      <c r="F158" s="360"/>
      <c r="G158" s="360"/>
      <c r="H158" s="360"/>
      <c r="I158" s="371"/>
      <c r="J158" s="360"/>
      <c r="K158" s="360"/>
      <c r="L158" s="360"/>
      <c r="M158" s="369"/>
      <c r="N158" s="367"/>
    </row>
    <row r="159" spans="1:14" ht="15" customHeight="1" x14ac:dyDescent="0.2">
      <c r="A159" s="624"/>
      <c r="B159" s="352" t="str">
        <f t="shared" si="1"/>
        <v>Dieciseisavofinalista</v>
      </c>
      <c r="C159" s="342" t="str">
        <f ca="1">WORLDCUP!AF114</f>
        <v>Irán</v>
      </c>
      <c r="D159" s="660"/>
      <c r="E159" s="360"/>
      <c r="F159" s="360"/>
      <c r="G159" s="360"/>
      <c r="H159" s="360"/>
      <c r="I159" s="371"/>
      <c r="J159" s="360"/>
      <c r="K159" s="360"/>
      <c r="L159" s="360"/>
      <c r="M159" s="369"/>
      <c r="N159" s="367"/>
    </row>
    <row r="160" spans="1:14" ht="15" customHeight="1" x14ac:dyDescent="0.2">
      <c r="A160" s="624"/>
      <c r="B160" s="352" t="str">
        <f t="shared" si="1"/>
        <v>Dieciseisavofinalista</v>
      </c>
      <c r="C160" s="342" t="str">
        <f ca="1">WORLDCUP!AF115</f>
        <v>Uruguay</v>
      </c>
      <c r="D160" s="660"/>
      <c r="E160" s="360"/>
      <c r="F160" s="360"/>
      <c r="G160" s="360"/>
      <c r="H160" s="360"/>
      <c r="I160" s="371"/>
      <c r="J160" s="360"/>
      <c r="K160" s="360"/>
      <c r="L160" s="360"/>
      <c r="M160" s="369"/>
      <c r="N160" s="367"/>
    </row>
    <row r="161" spans="1:14" ht="15" customHeight="1" x14ac:dyDescent="0.2">
      <c r="A161" s="624"/>
      <c r="B161" s="352" t="str">
        <f t="shared" si="1"/>
        <v>Dieciseisavofinalista</v>
      </c>
      <c r="C161" s="342" t="str">
        <f ca="1">WORLDCUP!AF116</f>
        <v>Ghana</v>
      </c>
      <c r="D161" s="666"/>
      <c r="E161" s="362"/>
      <c r="F161" s="362"/>
      <c r="G161" s="362"/>
      <c r="H161" s="362"/>
      <c r="I161" s="372"/>
      <c r="J161" s="373"/>
      <c r="K161" s="362"/>
      <c r="L161" s="362"/>
      <c r="M161" s="374"/>
      <c r="N161" s="367"/>
    </row>
    <row r="162" spans="1:14" ht="20" customHeight="1" x14ac:dyDescent="0.2">
      <c r="A162" s="223"/>
      <c r="B162" s="223"/>
      <c r="C162" s="343"/>
      <c r="D162" s="360"/>
      <c r="E162" s="672" t="str">
        <f>Idiomas!D113</f>
        <v>·Si haceis todas las eliminatorias de golpe, copiar de la C164 a la C252 y pegar valores en la plantilla de Administrador.</v>
      </c>
      <c r="F162" s="666"/>
      <c r="G162" s="666"/>
      <c r="H162" s="666"/>
      <c r="I162" s="666"/>
      <c r="J162" s="666"/>
      <c r="K162" s="666"/>
      <c r="L162" s="673"/>
      <c r="M162" s="375"/>
      <c r="N162" s="367"/>
    </row>
    <row r="163" spans="1:14" ht="23" customHeight="1" x14ac:dyDescent="0.25">
      <c r="A163" s="223"/>
      <c r="B163" s="350" t="str">
        <f>Idiomas!D128</f>
        <v>ENFRENTAMIENTOS DIECISEISAVOS</v>
      </c>
      <c r="C163" s="343"/>
      <c r="D163" s="360"/>
      <c r="E163" s="669" t="str">
        <f>Idiomas!D114</f>
        <v>·Si haceis eliminatoria a eliminatoria seguir las instrucciones de cada eliminatoria.</v>
      </c>
      <c r="F163" s="662"/>
      <c r="G163" s="662"/>
      <c r="H163" s="662"/>
      <c r="I163" s="662"/>
      <c r="J163" s="662"/>
      <c r="K163" s="662"/>
      <c r="L163" s="670"/>
      <c r="M163" s="376"/>
      <c r="N163" s="367"/>
    </row>
    <row r="164" spans="1:14" ht="15" customHeight="1" x14ac:dyDescent="0.2">
      <c r="A164" s="654" t="s">
        <v>152</v>
      </c>
      <c r="B164" s="352" t="str">
        <f ca="1">CONCATENATE(WORLDCUP!AA101,"-",WORLDCUP!AF101)</f>
        <v>Corea del Sur-Canadá</v>
      </c>
      <c r="C164" s="342" t="str">
        <f ca="1">CONCATENATE(WORLDCUP!AA101,"-",WORLDCUP!AF101,"·",IF(WORLDCUP!AC101&gt;WORLDCUP!AD101,1,IF(WORLDCUP!AC101&lt;WORLDCUP!AD101,2,IF(AND(WORLDCUP!AC101=WORLDCUP!AD101,WORLDCUP!AC101&lt;&gt;"",WORLDCUP!AD101&lt;&gt;""),"X",0))),"|",WORLDCUP!AC101,"-",WORLDCUP!AD101)</f>
        <v>Corea del Sur-Canadá·0|-</v>
      </c>
      <c r="D164" s="663" t="s">
        <v>152</v>
      </c>
      <c r="E164" s="677" t="str">
        <f>Idiomas!D115</f>
        <v>·Para los dieciseisavos copiar de la C164 a la C197 y pega valores en la plantilla de administrador.</v>
      </c>
      <c r="F164" s="668"/>
      <c r="G164" s="668"/>
      <c r="H164" s="668"/>
      <c r="I164" s="345"/>
      <c r="J164" s="360"/>
      <c r="K164" s="360"/>
      <c r="L164" s="360"/>
      <c r="M164" s="376"/>
      <c r="N164" s="367"/>
    </row>
    <row r="165" spans="1:14" ht="15" customHeight="1" x14ac:dyDescent="0.2">
      <c r="A165" s="624"/>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Brasil-Japón·0|-</v>
      </c>
      <c r="D165" s="624"/>
      <c r="E165" s="660"/>
      <c r="F165" s="660"/>
      <c r="G165" s="660"/>
      <c r="H165" s="660"/>
      <c r="I165" s="345"/>
      <c r="J165" s="360"/>
      <c r="K165" s="360"/>
      <c r="L165" s="360"/>
      <c r="M165" s="376"/>
      <c r="N165" s="367"/>
    </row>
    <row r="166" spans="1:14" ht="15" customHeight="1" x14ac:dyDescent="0.2">
      <c r="A166" s="624"/>
      <c r="B166" s="352" t="str">
        <f ca="1">CONCATENATE(WORLDCUP!AA103,"-",WORLDCUP!AF103)</f>
        <v>Alemania-Australia</v>
      </c>
      <c r="C166" s="342" t="str">
        <f ca="1">CONCATENATE(WORLDCUP!AA103,"-",WORLDCUP!AF103,"·",IF(WORLDCUP!AC103&gt;WORLDCUP!AD103,1,IF(WORLDCUP!AC103&lt;WORLDCUP!AD103,2,IF(AND(WORLDCUP!AC103=WORLDCUP!AD103,WORLDCUP!AC103&lt;&gt;"",WORLDCUP!AD103&lt;&gt;""),"X",0))),"|",WORLDCUP!AC103,"-",WORLDCUP!AD103)</f>
        <v>Alemania-Australia·0|-</v>
      </c>
      <c r="D166" s="624"/>
      <c r="E166" s="660"/>
      <c r="F166" s="660"/>
      <c r="G166" s="660"/>
      <c r="H166" s="660"/>
      <c r="I166" s="345"/>
      <c r="J166" s="360"/>
      <c r="K166" s="360"/>
      <c r="L166" s="360"/>
      <c r="M166" s="376"/>
      <c r="N166" s="367"/>
    </row>
    <row r="167" spans="1:14" ht="15" customHeight="1" x14ac:dyDescent="0.2">
      <c r="A167" s="624"/>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Bajos-Marruecos·0|-</v>
      </c>
      <c r="D167" s="624"/>
      <c r="E167" s="660"/>
      <c r="F167" s="660"/>
      <c r="G167" s="660"/>
      <c r="H167" s="660"/>
      <c r="I167" s="345"/>
      <c r="J167" s="360"/>
      <c r="K167" s="360"/>
      <c r="L167" s="360"/>
      <c r="M167" s="376"/>
      <c r="N167" s="367"/>
    </row>
    <row r="168" spans="1:14" ht="15" customHeight="1" x14ac:dyDescent="0.2">
      <c r="A168" s="624"/>
      <c r="B168" s="352" t="str">
        <f ca="1">CONCATENATE(WORLDCUP!AA105,"-",WORLDCUP!AF105)</f>
        <v>Ecuador-Noruega</v>
      </c>
      <c r="C168" s="342" t="str">
        <f ca="1">CONCATENATE(WORLDCUP!AA105,"-",WORLDCUP!AF105,"·",IF(WORLDCUP!AC105&gt;WORLDCUP!AD105,1,IF(WORLDCUP!AC105&lt;WORLDCUP!AD105,2,IF(AND(WORLDCUP!AC105=WORLDCUP!AD105,WORLDCUP!AC105&lt;&gt;"",WORLDCUP!AD105&lt;&gt;""),"X",0))),"|",WORLDCUP!AC105,"-",WORLDCUP!AD105)</f>
        <v>Ecuador-Noruega·0|-</v>
      </c>
      <c r="D168" s="624"/>
      <c r="E168" s="360"/>
      <c r="F168" s="360"/>
      <c r="G168" s="360"/>
      <c r="H168" s="360"/>
      <c r="I168" s="345"/>
      <c r="J168" s="360"/>
      <c r="K168" s="360"/>
      <c r="L168" s="360"/>
      <c r="M168" s="376"/>
      <c r="N168" s="367"/>
    </row>
    <row r="169" spans="1:14" ht="15" customHeight="1" x14ac:dyDescent="0.2">
      <c r="A169" s="624"/>
      <c r="B169" s="352" t="str">
        <f ca="1">CONCATENATE(WORLDCUP!AA106,"-",WORLDCUP!AF106)</f>
        <v>Francia-Egipto</v>
      </c>
      <c r="C169" s="342" t="str">
        <f ca="1">CONCATENATE(WORLDCUP!AA106,"-",WORLDCUP!AF106,"·",IF(WORLDCUP!AC106&gt;WORLDCUP!AD106,1,IF(WORLDCUP!AC106&lt;WORLDCUP!AD106,2,IF(AND(WORLDCUP!AC106=WORLDCUP!AD106,WORLDCUP!AC106&lt;&gt;"",WORLDCUP!AD106&lt;&gt;""),"X",0))),"|",WORLDCUP!AC106,"-",WORLDCUP!AD106)</f>
        <v>Francia-Egipto·0|-</v>
      </c>
      <c r="D169" s="624"/>
      <c r="E169" s="360"/>
      <c r="F169" s="360"/>
      <c r="G169" s="360"/>
      <c r="H169" s="360"/>
      <c r="I169" s="345"/>
      <c r="J169" s="360"/>
      <c r="K169" s="360"/>
      <c r="L169" s="360"/>
      <c r="M169" s="376"/>
      <c r="N169" s="367"/>
    </row>
    <row r="170" spans="1:14" ht="15" customHeight="1" x14ac:dyDescent="0.2">
      <c r="A170" s="624"/>
      <c r="B170" s="352" t="str">
        <f ca="1">CONCATENATE(WORLDCUP!AA107,"-",WORLDCUP!AF107)</f>
        <v>México-Arabia Saudita</v>
      </c>
      <c r="C170" s="342" t="str">
        <f ca="1">CONCATENATE(WORLDCUP!AA107,"-",WORLDCUP!AF107,"·",IF(WORLDCUP!AC107&gt;WORLDCUP!AD107,1,IF(WORLDCUP!AC107&lt;WORLDCUP!AD107,2,IF(AND(WORLDCUP!AC107=WORLDCUP!AD107,WORLDCUP!AC107&lt;&gt;"",WORLDCUP!AD107&lt;&gt;""),"X",0))),"|",WORLDCUP!AC107,"-",WORLDCUP!AD107)</f>
        <v>México-Arabia Saudita·0|-</v>
      </c>
      <c r="D170" s="624"/>
      <c r="E170" s="360"/>
      <c r="F170" s="360"/>
      <c r="G170" s="360"/>
      <c r="H170" s="360"/>
      <c r="I170" s="345"/>
      <c r="J170" s="360"/>
      <c r="K170" s="360"/>
      <c r="L170" s="360"/>
      <c r="M170" s="376"/>
      <c r="N170" s="367"/>
    </row>
    <row r="171" spans="1:14" ht="15" customHeight="1" x14ac:dyDescent="0.2">
      <c r="A171" s="624"/>
      <c r="B171" s="352" t="str">
        <f ca="1">CONCATENATE(WORLDCUP!AA108,"-",WORLDCUP!AF108)</f>
        <v>Inglaterra-Senegal</v>
      </c>
      <c r="C171" s="342" t="str">
        <f ca="1">CONCATENATE(WORLDCUP!AA108,"-",WORLDCUP!AF108,"·",IF(WORLDCUP!AC108&gt;WORLDCUP!AD108,1,IF(WORLDCUP!AC108&lt;WORLDCUP!AD108,2,IF(AND(WORLDCUP!AC108=WORLDCUP!AD108,WORLDCUP!AC108&lt;&gt;"",WORLDCUP!AD108&lt;&gt;""),"X",0))),"|",WORLDCUP!AC108,"-",WORLDCUP!AD108)</f>
        <v>Inglaterra-Senegal·0|-</v>
      </c>
      <c r="D171" s="624"/>
      <c r="E171" s="360"/>
      <c r="F171" s="360"/>
      <c r="G171" s="360"/>
      <c r="H171" s="360"/>
      <c r="I171" s="345"/>
      <c r="J171" s="360"/>
      <c r="K171" s="360"/>
      <c r="L171" s="360"/>
      <c r="M171" s="376"/>
      <c r="N171" s="367"/>
    </row>
    <row r="172" spans="1:14" ht="15" customHeight="1" x14ac:dyDescent="0.2">
      <c r="A172" s="624"/>
      <c r="B172" s="352" t="str">
        <f ca="1">CONCATENATE(WORLDCUP!AA109,"-",WORLDCUP!AF109)</f>
        <v>Bélgica-República Checa</v>
      </c>
      <c r="C172" s="342" t="str">
        <f ca="1">CONCATENATE(WORLDCUP!AA109,"-",WORLDCUP!AF109,"·",IF(WORLDCUP!AC109&gt;WORLDCUP!AD109,1,IF(WORLDCUP!AC109&lt;WORLDCUP!AD109,2,IF(AND(WORLDCUP!AC109=WORLDCUP!AD109,WORLDCUP!AC109&lt;&gt;"",WORLDCUP!AD109&lt;&gt;""),"X",0))),"|",WORLDCUP!AC109,"-",WORLDCUP!AD109)</f>
        <v>Bélgica-República Checa·0|-</v>
      </c>
      <c r="D172" s="624"/>
      <c r="E172" s="360"/>
      <c r="F172" s="360"/>
      <c r="G172" s="360"/>
      <c r="H172" s="360"/>
      <c r="I172" s="345"/>
      <c r="J172" s="360"/>
      <c r="K172" s="360"/>
      <c r="L172" s="360"/>
      <c r="M172" s="376"/>
      <c r="N172" s="367"/>
    </row>
    <row r="173" spans="1:14" ht="15" customHeight="1" x14ac:dyDescent="0.2">
      <c r="A173" s="624"/>
      <c r="B173" s="352" t="str">
        <f ca="1">CONCATENATE(WORLDCUP!AA110,"-",WORLDCUP!AF110)</f>
        <v>Paraguay-Catar</v>
      </c>
      <c r="C173" s="342" t="str">
        <f ca="1">CONCATENATE(WORLDCUP!AA110,"-",WORLDCUP!AF110,"·",IF(WORLDCUP!AC110&gt;WORLDCUP!AD110,1,IF(WORLDCUP!AC110&lt;WORLDCUP!AD110,2,IF(AND(WORLDCUP!AC110=WORLDCUP!AD110,WORLDCUP!AC110&lt;&gt;"",WORLDCUP!AD110&lt;&gt;""),"X",0))),"|",WORLDCUP!AC110,"-",WORLDCUP!AD110)</f>
        <v>Paraguay-Catar·0|-</v>
      </c>
      <c r="D173" s="624"/>
      <c r="E173" s="360"/>
      <c r="F173" s="360"/>
      <c r="G173" s="360"/>
      <c r="H173" s="360"/>
      <c r="I173" s="345"/>
      <c r="J173" s="360"/>
      <c r="K173" s="360"/>
      <c r="L173" s="360"/>
      <c r="M173" s="376"/>
      <c r="N173" s="367"/>
    </row>
    <row r="174" spans="1:14" ht="15" customHeight="1" x14ac:dyDescent="0.2">
      <c r="A174" s="624"/>
      <c r="B174" s="352" t="str">
        <f ca="1">CONCATENATE(WORLDCUP!AA111,"-",WORLDCUP!AF111)</f>
        <v>España-Austria</v>
      </c>
      <c r="C174" s="342" t="str">
        <f ca="1">CONCATENATE(WORLDCUP!AA111,"-",WORLDCUP!AF111,"·",IF(WORLDCUP!AC111&gt;WORLDCUP!AD111,1,IF(WORLDCUP!AC111&lt;WORLDCUP!AD111,2,IF(AND(WORLDCUP!AC111=WORLDCUP!AD111,WORLDCUP!AC111&lt;&gt;"",WORLDCUP!AD111&lt;&gt;""),"X",0))),"|",WORLDCUP!AC111,"-",WORLDCUP!AD111)</f>
        <v>España-Austria·0|-</v>
      </c>
      <c r="D174" s="624"/>
      <c r="E174" s="360"/>
      <c r="F174" s="360"/>
      <c r="G174" s="360"/>
      <c r="H174" s="360"/>
      <c r="I174" s="345"/>
      <c r="J174" s="360"/>
      <c r="K174" s="360"/>
      <c r="L174" s="360"/>
      <c r="M174" s="376"/>
      <c r="N174" s="367"/>
    </row>
    <row r="175" spans="1:14" ht="15" customHeight="1" x14ac:dyDescent="0.2">
      <c r="A175" s="624"/>
      <c r="B175" s="352" t="str">
        <f ca="1">CONCATENATE(WORLDCUP!AA112,"-",WORLDCUP!AF112)</f>
        <v>Colombia-Croacia</v>
      </c>
      <c r="C175" s="342" t="str">
        <f ca="1">CONCATENATE(WORLDCUP!AA112,"-",WORLDCUP!AF112,"·",IF(WORLDCUP!AC112&gt;WORLDCUP!AD112,1,IF(WORLDCUP!AC112&lt;WORLDCUP!AD112,2,IF(AND(WORLDCUP!AC112=WORLDCUP!AD112,WORLDCUP!AC112&lt;&gt;"",WORLDCUP!AD112&lt;&gt;""),"X",0))),"|",WORLDCUP!AC112,"-",WORLDCUP!AD112)</f>
        <v>Colombia-Croacia·0|-</v>
      </c>
      <c r="D175" s="624"/>
      <c r="E175" s="360"/>
      <c r="F175" s="360"/>
      <c r="G175" s="360"/>
      <c r="H175" s="360"/>
      <c r="I175" s="345"/>
      <c r="J175" s="360"/>
      <c r="K175" s="360"/>
      <c r="L175" s="360"/>
      <c r="M175" s="376"/>
      <c r="N175" s="367"/>
    </row>
    <row r="176" spans="1:14" ht="15" customHeight="1" x14ac:dyDescent="0.2">
      <c r="A176" s="624"/>
      <c r="B176" s="352" t="str">
        <f ca="1">CONCATENATE(WORLDCUP!AA113,"-",WORLDCUP!AF113)</f>
        <v>Suiza-Argelia</v>
      </c>
      <c r="C176" s="342" t="str">
        <f ca="1">CONCATENATE(WORLDCUP!AA113,"-",WORLDCUP!AF113,"·",IF(WORLDCUP!AC113&gt;WORLDCUP!AD113,1,IF(WORLDCUP!AC113&lt;WORLDCUP!AD113,2,IF(AND(WORLDCUP!AC113=WORLDCUP!AD113,WORLDCUP!AC113&lt;&gt;"",WORLDCUP!AD113&lt;&gt;""),"X",0))),"|",WORLDCUP!AC113,"-",WORLDCUP!AD113)</f>
        <v>Suiza-Argelia·0|-</v>
      </c>
      <c r="D176" s="624"/>
      <c r="E176" s="360"/>
      <c r="F176" s="360"/>
      <c r="G176" s="360"/>
      <c r="H176" s="360"/>
      <c r="I176" s="345"/>
      <c r="J176" s="360"/>
      <c r="K176" s="360"/>
      <c r="L176" s="360"/>
      <c r="M176" s="376"/>
      <c r="N176" s="367"/>
    </row>
    <row r="177" spans="1:14" ht="15" customHeight="1" x14ac:dyDescent="0.2">
      <c r="A177" s="624"/>
      <c r="B177" s="352" t="str">
        <f ca="1">CONCATENATE(WORLDCUP!AA114,"-",WORLDCUP!AF114)</f>
        <v>Estados Unidos-Irán</v>
      </c>
      <c r="C177" s="342" t="str">
        <f ca="1">CONCATENATE(WORLDCUP!AA114,"-",WORLDCUP!AF114,"·",IF(WORLDCUP!AC114&gt;WORLDCUP!AD114,1,IF(WORLDCUP!AC114&lt;WORLDCUP!AD114,2,IF(AND(WORLDCUP!AC114=WORLDCUP!AD114,WORLDCUP!AC114&lt;&gt;"",WORLDCUP!AD114&lt;&gt;""),"X",0))),"|",WORLDCUP!AC114,"-",WORLDCUP!AD114)</f>
        <v>Estados Unidos-Irán·0|-</v>
      </c>
      <c r="D177" s="624"/>
      <c r="E177" s="360"/>
      <c r="F177" s="360"/>
      <c r="G177" s="360"/>
      <c r="H177" s="360"/>
      <c r="I177" s="345"/>
      <c r="J177" s="360"/>
      <c r="K177" s="360"/>
      <c r="L177" s="360"/>
      <c r="M177" s="376"/>
      <c r="N177" s="367"/>
    </row>
    <row r="178" spans="1:14" ht="15" customHeight="1" x14ac:dyDescent="0.2">
      <c r="A178" s="624"/>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4"/>
      <c r="E178" s="360"/>
      <c r="F178" s="360"/>
      <c r="G178" s="360"/>
      <c r="H178" s="360"/>
      <c r="I178" s="345"/>
      <c r="J178" s="360"/>
      <c r="K178" s="360"/>
      <c r="L178" s="360"/>
      <c r="M178" s="376"/>
      <c r="N178" s="367"/>
    </row>
    <row r="179" spans="1:14" ht="15" customHeight="1" x14ac:dyDescent="0.2">
      <c r="A179" s="624"/>
      <c r="B179" s="352" t="str">
        <f ca="1">CONCATENATE(WORLDCUP!AA116,"-",WORLDCUP!AF116)</f>
        <v>Portugal-Ghana</v>
      </c>
      <c r="C179" s="342" t="str">
        <f ca="1">CONCATENATE(WORLDCUP!AA116,"-",WORLDCUP!AF116,"·",IF(WORLDCUP!AC116&gt;WORLDCUP!AD116,1,IF(WORLDCUP!AC116&lt;WORLDCUP!AD116,2,IF(AND(WORLDCUP!AC116=WORLDCUP!AD116,WORLDCUP!AC116&lt;&gt;"",WORLDCUP!AD116&lt;&gt;""),"X",0))),"|",WORLDCUP!AC116,"-",WORLDCUP!AD116)</f>
        <v>Portugal-Ghana·0|-</v>
      </c>
      <c r="D179" s="624"/>
      <c r="E179" s="360"/>
      <c r="F179" s="360"/>
      <c r="G179" s="360"/>
      <c r="H179" s="360"/>
      <c r="I179" s="345"/>
      <c r="J179" s="360"/>
      <c r="K179" s="360"/>
      <c r="L179" s="360"/>
      <c r="M179" s="376"/>
      <c r="N179" s="367"/>
    </row>
    <row r="180" spans="1:14" ht="15" customHeight="1" x14ac:dyDescent="0.2">
      <c r="A180" s="223"/>
      <c r="B180" s="223"/>
      <c r="C180" s="343"/>
      <c r="D180" s="624"/>
      <c r="E180" s="360"/>
      <c r="F180" s="360"/>
      <c r="G180" s="360"/>
      <c r="H180" s="360"/>
      <c r="I180" s="345"/>
      <c r="J180" s="360"/>
      <c r="K180" s="360"/>
      <c r="L180" s="360"/>
      <c r="M180" s="376"/>
      <c r="N180" s="367"/>
    </row>
    <row r="181" spans="1:14" ht="19" customHeight="1" x14ac:dyDescent="0.25">
      <c r="A181" s="223"/>
      <c r="B181" s="350" t="str">
        <f>Idiomas!D129</f>
        <v>CLASIFICADOS PARA OCTAVOS</v>
      </c>
      <c r="C181" s="343"/>
      <c r="D181" s="624"/>
      <c r="E181" s="360"/>
      <c r="F181" s="360"/>
      <c r="G181" s="360"/>
      <c r="H181" s="360"/>
      <c r="I181" s="345"/>
      <c r="J181" s="360"/>
      <c r="K181" s="360"/>
      <c r="L181" s="360"/>
      <c r="M181" s="376"/>
      <c r="N181" s="367"/>
    </row>
    <row r="182" spans="1:14" ht="15" customHeight="1" x14ac:dyDescent="0.2">
      <c r="A182" s="654" t="s">
        <v>185</v>
      </c>
      <c r="B182" s="352" t="str">
        <f>Idiomas!$D$189</f>
        <v>Octavofinalista</v>
      </c>
      <c r="C182" s="342" t="str">
        <f>WORLDCUP!AA120</f>
        <v>W73</v>
      </c>
      <c r="D182" s="624"/>
      <c r="E182" s="360"/>
      <c r="F182" s="360"/>
      <c r="G182" s="360"/>
      <c r="H182" s="360"/>
      <c r="I182" s="345"/>
      <c r="J182" s="360"/>
      <c r="K182" s="360"/>
      <c r="L182" s="360"/>
      <c r="M182" s="376"/>
      <c r="N182" s="367"/>
    </row>
    <row r="183" spans="1:14" ht="15" customHeight="1" x14ac:dyDescent="0.2">
      <c r="A183" s="624"/>
      <c r="B183" s="352" t="str">
        <f t="shared" ref="B183:B197" si="2">B182</f>
        <v>Octavofinalista</v>
      </c>
      <c r="C183" s="342" t="str">
        <f>WORLDCUP!AA121</f>
        <v>W74</v>
      </c>
      <c r="D183" s="624"/>
      <c r="E183" s="360"/>
      <c r="F183" s="360"/>
      <c r="G183" s="360"/>
      <c r="H183" s="360"/>
      <c r="I183" s="345"/>
      <c r="J183" s="360"/>
      <c r="K183" s="360"/>
      <c r="L183" s="360"/>
      <c r="M183" s="376"/>
      <c r="N183" s="367"/>
    </row>
    <row r="184" spans="1:14" ht="15" customHeight="1" x14ac:dyDescent="0.2">
      <c r="A184" s="624"/>
      <c r="B184" s="352" t="str">
        <f t="shared" si="2"/>
        <v>Octavofinalista</v>
      </c>
      <c r="C184" s="342" t="str">
        <f>WORLDCUP!AA122</f>
        <v>W76</v>
      </c>
      <c r="D184" s="624"/>
      <c r="E184" s="360"/>
      <c r="F184" s="360"/>
      <c r="G184" s="360"/>
      <c r="H184" s="360"/>
      <c r="I184" s="345"/>
      <c r="J184" s="360"/>
      <c r="K184" s="360"/>
      <c r="L184" s="360"/>
      <c r="M184" s="376"/>
      <c r="N184" s="367"/>
    </row>
    <row r="185" spans="1:14" ht="15" customHeight="1" x14ac:dyDescent="0.2">
      <c r="A185" s="624"/>
      <c r="B185" s="352" t="str">
        <f t="shared" si="2"/>
        <v>Octavofinalista</v>
      </c>
      <c r="C185" s="342" t="str">
        <f>WORLDCUP!AA123</f>
        <v>W79</v>
      </c>
      <c r="D185" s="624"/>
      <c r="E185" s="360"/>
      <c r="F185" s="360"/>
      <c r="G185" s="360"/>
      <c r="H185" s="360"/>
      <c r="I185" s="345"/>
      <c r="J185" s="360"/>
      <c r="K185" s="360"/>
      <c r="L185" s="360"/>
      <c r="M185" s="376"/>
      <c r="N185" s="367"/>
    </row>
    <row r="186" spans="1:14" ht="15" customHeight="1" x14ac:dyDescent="0.2">
      <c r="A186" s="624"/>
      <c r="B186" s="352" t="str">
        <f t="shared" si="2"/>
        <v>Octavofinalista</v>
      </c>
      <c r="C186" s="342" t="str">
        <f>WORLDCUP!AA124</f>
        <v>W83</v>
      </c>
      <c r="D186" s="624"/>
      <c r="E186" s="360"/>
      <c r="F186" s="360"/>
      <c r="G186" s="360"/>
      <c r="H186" s="360"/>
      <c r="I186" s="345"/>
      <c r="J186" s="360"/>
      <c r="K186" s="360"/>
      <c r="L186" s="360"/>
      <c r="M186" s="376"/>
      <c r="N186" s="367"/>
    </row>
    <row r="187" spans="1:14" ht="15" customHeight="1" x14ac:dyDescent="0.2">
      <c r="A187" s="624"/>
      <c r="B187" s="352" t="str">
        <f t="shared" si="2"/>
        <v>Octavofinalista</v>
      </c>
      <c r="C187" s="342" t="str">
        <f>WORLDCUP!AA125</f>
        <v>W81</v>
      </c>
      <c r="D187" s="624"/>
      <c r="E187" s="360"/>
      <c r="F187" s="360"/>
      <c r="G187" s="360"/>
      <c r="H187" s="360"/>
      <c r="I187" s="345"/>
      <c r="J187" s="360"/>
      <c r="K187" s="360"/>
      <c r="L187" s="360"/>
      <c r="M187" s="376"/>
      <c r="N187" s="367"/>
    </row>
    <row r="188" spans="1:14" ht="15" customHeight="1" x14ac:dyDescent="0.2">
      <c r="A188" s="624"/>
      <c r="B188" s="352" t="str">
        <f t="shared" si="2"/>
        <v>Octavofinalista</v>
      </c>
      <c r="C188" s="342" t="str">
        <f>WORLDCUP!AA126</f>
        <v>W86</v>
      </c>
      <c r="D188" s="624"/>
      <c r="E188" s="360"/>
      <c r="F188" s="360"/>
      <c r="G188" s="360"/>
      <c r="H188" s="360"/>
      <c r="I188" s="345"/>
      <c r="J188" s="360"/>
      <c r="K188" s="360"/>
      <c r="L188" s="360"/>
      <c r="M188" s="376"/>
      <c r="N188" s="367"/>
    </row>
    <row r="189" spans="1:14" ht="15" customHeight="1" x14ac:dyDescent="0.2">
      <c r="A189" s="624"/>
      <c r="B189" s="352" t="str">
        <f t="shared" si="2"/>
        <v>Octavofinalista</v>
      </c>
      <c r="C189" s="342" t="str">
        <f>WORLDCUP!AA127</f>
        <v>W85</v>
      </c>
      <c r="D189" s="624"/>
      <c r="E189" s="360"/>
      <c r="F189" s="360"/>
      <c r="G189" s="360"/>
      <c r="H189" s="360"/>
      <c r="I189" s="345"/>
      <c r="J189" s="360"/>
      <c r="K189" s="360"/>
      <c r="L189" s="360"/>
      <c r="M189" s="376"/>
      <c r="N189" s="367"/>
    </row>
    <row r="190" spans="1:14" ht="15" customHeight="1" x14ac:dyDescent="0.2">
      <c r="A190" s="624"/>
      <c r="B190" s="352" t="str">
        <f t="shared" si="2"/>
        <v>Octavofinalista</v>
      </c>
      <c r="C190" s="342" t="str">
        <f>WORLDCUP!AF120</f>
        <v>W75</v>
      </c>
      <c r="D190" s="624"/>
      <c r="E190" s="360"/>
      <c r="F190" s="360"/>
      <c r="G190" s="360"/>
      <c r="H190" s="360"/>
      <c r="I190" s="345"/>
      <c r="J190" s="360"/>
      <c r="K190" s="360"/>
      <c r="L190" s="360"/>
      <c r="M190" s="376"/>
      <c r="N190" s="367"/>
    </row>
    <row r="191" spans="1:14" ht="15" customHeight="1" x14ac:dyDescent="0.2">
      <c r="A191" s="624"/>
      <c r="B191" s="352" t="str">
        <f t="shared" si="2"/>
        <v>Octavofinalista</v>
      </c>
      <c r="C191" s="342" t="str">
        <f>WORLDCUP!AF121</f>
        <v>W77</v>
      </c>
      <c r="D191" s="624"/>
      <c r="E191" s="360"/>
      <c r="F191" s="360"/>
      <c r="G191" s="360"/>
      <c r="H191" s="360"/>
      <c r="I191" s="345"/>
      <c r="J191" s="360"/>
      <c r="K191" s="360"/>
      <c r="L191" s="360"/>
      <c r="M191" s="376"/>
      <c r="N191" s="367"/>
    </row>
    <row r="192" spans="1:14" ht="15" customHeight="1" x14ac:dyDescent="0.2">
      <c r="A192" s="624"/>
      <c r="B192" s="352" t="str">
        <f t="shared" si="2"/>
        <v>Octavofinalista</v>
      </c>
      <c r="C192" s="342" t="str">
        <f>WORLDCUP!AF122</f>
        <v>W78</v>
      </c>
      <c r="D192" s="624"/>
      <c r="E192" s="360"/>
      <c r="F192" s="360"/>
      <c r="G192" s="360"/>
      <c r="H192" s="360"/>
      <c r="I192" s="345"/>
      <c r="J192" s="360"/>
      <c r="K192" s="360"/>
      <c r="L192" s="360"/>
      <c r="M192" s="376"/>
      <c r="N192" s="367"/>
    </row>
    <row r="193" spans="1:14" ht="15" customHeight="1" x14ac:dyDescent="0.2">
      <c r="A193" s="624"/>
      <c r="B193" s="352" t="str">
        <f t="shared" si="2"/>
        <v>Octavofinalista</v>
      </c>
      <c r="C193" s="342" t="str">
        <f>WORLDCUP!AF123</f>
        <v>W80</v>
      </c>
      <c r="D193" s="624"/>
      <c r="E193" s="360"/>
      <c r="F193" s="360"/>
      <c r="G193" s="360"/>
      <c r="H193" s="360"/>
      <c r="I193" s="345"/>
      <c r="J193" s="360"/>
      <c r="K193" s="360"/>
      <c r="L193" s="360"/>
      <c r="M193" s="376"/>
      <c r="N193" s="367"/>
    </row>
    <row r="194" spans="1:14" ht="15" customHeight="1" x14ac:dyDescent="0.2">
      <c r="A194" s="624"/>
      <c r="B194" s="352" t="str">
        <f t="shared" si="2"/>
        <v>Octavofinalista</v>
      </c>
      <c r="C194" s="342" t="str">
        <f>WORLDCUP!AF124</f>
        <v>W84</v>
      </c>
      <c r="D194" s="624"/>
      <c r="E194" s="360"/>
      <c r="F194" s="360"/>
      <c r="G194" s="360"/>
      <c r="H194" s="360"/>
      <c r="I194" s="345"/>
      <c r="J194" s="360"/>
      <c r="K194" s="360"/>
      <c r="L194" s="360"/>
      <c r="M194" s="376"/>
      <c r="N194" s="367"/>
    </row>
    <row r="195" spans="1:14" ht="15" customHeight="1" x14ac:dyDescent="0.2">
      <c r="A195" s="624"/>
      <c r="B195" s="352" t="str">
        <f t="shared" si="2"/>
        <v>Octavofinalista</v>
      </c>
      <c r="C195" s="342" t="str">
        <f>WORLDCUP!AF125</f>
        <v>W82</v>
      </c>
      <c r="D195" s="624"/>
      <c r="E195" s="360"/>
      <c r="F195" s="360"/>
      <c r="G195" s="360"/>
      <c r="H195" s="360"/>
      <c r="I195" s="345"/>
      <c r="J195" s="360"/>
      <c r="K195" s="360"/>
      <c r="L195" s="360"/>
      <c r="M195" s="376"/>
      <c r="N195" s="367"/>
    </row>
    <row r="196" spans="1:14" ht="15" customHeight="1" x14ac:dyDescent="0.2">
      <c r="A196" s="624"/>
      <c r="B196" s="352" t="str">
        <f t="shared" si="2"/>
        <v>Octavofinalista</v>
      </c>
      <c r="C196" s="342" t="str">
        <f>WORLDCUP!AF126</f>
        <v>W88</v>
      </c>
      <c r="D196" s="624"/>
      <c r="E196" s="360"/>
      <c r="F196" s="360"/>
      <c r="G196" s="360"/>
      <c r="H196" s="360"/>
      <c r="I196" s="345"/>
      <c r="J196" s="360"/>
      <c r="K196" s="360"/>
      <c r="L196" s="360"/>
      <c r="M196" s="376"/>
      <c r="N196" s="367"/>
    </row>
    <row r="197" spans="1:14" ht="15" customHeight="1" x14ac:dyDescent="0.2">
      <c r="A197" s="624"/>
      <c r="B197" s="352" t="str">
        <f t="shared" si="2"/>
        <v>Octavofinalista</v>
      </c>
      <c r="C197" s="342" t="str">
        <f>WORLDCUP!AF127</f>
        <v>W87</v>
      </c>
      <c r="D197" s="624"/>
      <c r="E197" s="363"/>
      <c r="F197" s="363"/>
      <c r="G197" s="363"/>
      <c r="H197" s="363"/>
      <c r="I197" s="345"/>
      <c r="J197" s="360"/>
      <c r="K197" s="360"/>
      <c r="L197" s="360"/>
      <c r="M197" s="376"/>
      <c r="N197" s="367"/>
    </row>
    <row r="198" spans="1:14" x14ac:dyDescent="0.2">
      <c r="A198" s="223"/>
      <c r="B198" s="223"/>
      <c r="C198" s="343"/>
      <c r="D198" s="360"/>
      <c r="E198" s="360"/>
      <c r="F198" s="360"/>
      <c r="G198" s="360"/>
      <c r="H198" s="360"/>
      <c r="I198" s="377"/>
      <c r="J198" s="360"/>
      <c r="K198" s="360"/>
      <c r="L198" s="360"/>
      <c r="M198" s="376"/>
      <c r="N198" s="367"/>
    </row>
    <row r="199" spans="1:14" ht="19" customHeight="1" x14ac:dyDescent="0.25">
      <c r="A199" s="223"/>
      <c r="B199" s="350" t="str">
        <f>Idiomas!D130</f>
        <v>ENFRENTAMIENTOS OCTAVOS</v>
      </c>
      <c r="C199" s="343"/>
      <c r="D199" s="360"/>
      <c r="E199" s="360"/>
      <c r="F199" s="360"/>
      <c r="G199" s="360"/>
      <c r="H199" s="360"/>
      <c r="I199" s="378"/>
      <c r="J199" s="360"/>
      <c r="K199" s="360"/>
      <c r="L199" s="360"/>
      <c r="M199" s="376"/>
      <c r="N199" s="367"/>
    </row>
    <row r="200" spans="1:14" ht="15" customHeight="1" x14ac:dyDescent="0.2">
      <c r="A200" s="654" t="s">
        <v>185</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53" t="s">
        <v>185</v>
      </c>
      <c r="E200" s="659" t="str">
        <f>Idiomas!D116</f>
        <v>·Para los octavos de final copiar de la C200 a la C217 y pega valores en la plantilla de administrador.</v>
      </c>
      <c r="F200" s="660"/>
      <c r="G200" s="660"/>
      <c r="H200" s="660"/>
      <c r="I200" s="345"/>
      <c r="J200" s="360"/>
      <c r="K200" s="360"/>
      <c r="L200" s="360"/>
      <c r="M200" s="376"/>
      <c r="N200" s="367"/>
    </row>
    <row r="201" spans="1:14" ht="15" customHeight="1" x14ac:dyDescent="0.2">
      <c r="A201" s="624"/>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4"/>
      <c r="E201" s="660"/>
      <c r="F201" s="660"/>
      <c r="G201" s="660"/>
      <c r="H201" s="660"/>
      <c r="I201" s="345"/>
      <c r="J201" s="360"/>
      <c r="K201" s="360"/>
      <c r="L201" s="360"/>
      <c r="M201" s="376"/>
      <c r="N201" s="367"/>
    </row>
    <row r="202" spans="1:14" ht="15" customHeight="1" x14ac:dyDescent="0.2">
      <c r="A202" s="624"/>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4"/>
      <c r="E202" s="660"/>
      <c r="F202" s="660"/>
      <c r="G202" s="660"/>
      <c r="H202" s="660"/>
      <c r="I202" s="345"/>
      <c r="J202" s="360"/>
      <c r="K202" s="360"/>
      <c r="L202" s="360"/>
      <c r="M202" s="376"/>
      <c r="N202" s="367"/>
    </row>
    <row r="203" spans="1:14" ht="15" customHeight="1" x14ac:dyDescent="0.2">
      <c r="A203" s="624"/>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4"/>
      <c r="E203" s="660"/>
      <c r="F203" s="660"/>
      <c r="G203" s="660"/>
      <c r="H203" s="660"/>
      <c r="I203" s="345"/>
      <c r="J203" s="360"/>
      <c r="K203" s="360"/>
      <c r="L203" s="360"/>
      <c r="M203" s="376"/>
      <c r="N203" s="367"/>
    </row>
    <row r="204" spans="1:14" ht="15" customHeight="1" x14ac:dyDescent="0.2">
      <c r="A204" s="624"/>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4"/>
      <c r="E204" s="345"/>
      <c r="F204" s="345"/>
      <c r="G204" s="345"/>
      <c r="H204" s="345"/>
      <c r="I204" s="345"/>
      <c r="J204" s="360"/>
      <c r="K204" s="360"/>
      <c r="L204" s="360"/>
      <c r="M204" s="376"/>
      <c r="N204" s="367"/>
    </row>
    <row r="205" spans="1:14" ht="15" customHeight="1" x14ac:dyDescent="0.2">
      <c r="A205" s="624"/>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4"/>
      <c r="E205" s="345"/>
      <c r="F205" s="345"/>
      <c r="G205" s="345"/>
      <c r="H205" s="345"/>
      <c r="I205" s="345"/>
      <c r="J205" s="360"/>
      <c r="K205" s="360"/>
      <c r="L205" s="360"/>
      <c r="M205" s="376"/>
      <c r="N205" s="367"/>
    </row>
    <row r="206" spans="1:14" ht="15" customHeight="1" x14ac:dyDescent="0.2">
      <c r="A206" s="624"/>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4"/>
      <c r="E206" s="345"/>
      <c r="F206" s="345"/>
      <c r="G206" s="345"/>
      <c r="H206" s="345"/>
      <c r="I206" s="345"/>
      <c r="J206" s="360"/>
      <c r="K206" s="360"/>
      <c r="L206" s="360"/>
      <c r="M206" s="376"/>
      <c r="N206" s="367"/>
    </row>
    <row r="207" spans="1:14" ht="15" customHeight="1" x14ac:dyDescent="0.2">
      <c r="A207" s="624"/>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4"/>
      <c r="E207" s="345"/>
      <c r="F207" s="345"/>
      <c r="G207" s="345"/>
      <c r="H207" s="345"/>
      <c r="I207" s="345"/>
      <c r="J207" s="360"/>
      <c r="K207" s="360"/>
      <c r="L207" s="360"/>
      <c r="M207" s="376"/>
      <c r="N207" s="367"/>
    </row>
    <row r="208" spans="1:14" ht="15" customHeight="1" x14ac:dyDescent="0.2">
      <c r="A208" s="223"/>
      <c r="B208" s="223"/>
      <c r="C208" s="343"/>
      <c r="D208" s="624"/>
      <c r="E208" s="360"/>
      <c r="F208" s="360"/>
      <c r="G208" s="360"/>
      <c r="H208" s="360"/>
      <c r="I208" s="345"/>
      <c r="J208" s="360"/>
      <c r="K208" s="360"/>
      <c r="L208" s="360"/>
      <c r="M208" s="376"/>
      <c r="N208" s="367"/>
    </row>
    <row r="209" spans="1:14" ht="19" customHeight="1" x14ac:dyDescent="0.25">
      <c r="A209" s="223"/>
      <c r="B209" s="350" t="str">
        <f>Idiomas!D131</f>
        <v>CLASIFICADOS PARA CUARTOS</v>
      </c>
      <c r="C209" s="343"/>
      <c r="D209" s="624"/>
      <c r="E209" s="360"/>
      <c r="F209" s="360"/>
      <c r="G209" s="360"/>
      <c r="H209" s="360"/>
      <c r="I209" s="345"/>
      <c r="J209" s="360"/>
      <c r="K209" s="360"/>
      <c r="L209" s="360"/>
      <c r="M209" s="376"/>
      <c r="N209" s="367"/>
    </row>
    <row r="210" spans="1:14" ht="15" customHeight="1" x14ac:dyDescent="0.2">
      <c r="A210" s="654" t="s">
        <v>210</v>
      </c>
      <c r="B210" s="352" t="str">
        <f>Idiomas!$D$190</f>
        <v>Cuartofinalista</v>
      </c>
      <c r="C210" s="342" t="str">
        <f>WORLDCUP!AA131</f>
        <v>W89</v>
      </c>
      <c r="D210" s="624"/>
      <c r="E210" s="360"/>
      <c r="F210" s="360"/>
      <c r="G210" s="360"/>
      <c r="H210" s="360"/>
      <c r="I210" s="345"/>
      <c r="J210" s="360"/>
      <c r="K210" s="360"/>
      <c r="L210" s="360"/>
      <c r="M210" s="376"/>
      <c r="N210" s="367"/>
    </row>
    <row r="211" spans="1:14" ht="15" customHeight="1" x14ac:dyDescent="0.2">
      <c r="A211" s="624"/>
      <c r="B211" s="352" t="str">
        <f t="shared" ref="B211:B217" si="3">B210</f>
        <v>Cuartofinalista</v>
      </c>
      <c r="C211" s="342" t="str">
        <f>WORLDCUP!AA132</f>
        <v>W93</v>
      </c>
      <c r="D211" s="624"/>
      <c r="E211" s="360"/>
      <c r="F211" s="360"/>
      <c r="G211" s="360"/>
      <c r="H211" s="360"/>
      <c r="I211" s="345"/>
      <c r="J211" s="360"/>
      <c r="K211" s="360"/>
      <c r="L211" s="360"/>
      <c r="M211" s="376"/>
      <c r="N211" s="367"/>
    </row>
    <row r="212" spans="1:14" ht="15" customHeight="1" x14ac:dyDescent="0.2">
      <c r="A212" s="624"/>
      <c r="B212" s="352" t="str">
        <f t="shared" si="3"/>
        <v>Cuartofinalista</v>
      </c>
      <c r="C212" s="342" t="str">
        <f>WORLDCUP!AA133</f>
        <v>W91</v>
      </c>
      <c r="D212" s="624"/>
      <c r="E212" s="360"/>
      <c r="F212" s="360"/>
      <c r="G212" s="360"/>
      <c r="H212" s="360"/>
      <c r="I212" s="345"/>
      <c r="J212" s="360"/>
      <c r="K212" s="360"/>
      <c r="L212" s="360"/>
      <c r="M212" s="376"/>
      <c r="N212" s="367"/>
    </row>
    <row r="213" spans="1:14" ht="15" customHeight="1" x14ac:dyDescent="0.2">
      <c r="A213" s="624"/>
      <c r="B213" s="352" t="str">
        <f t="shared" si="3"/>
        <v>Cuartofinalista</v>
      </c>
      <c r="C213" s="342" t="str">
        <f>WORLDCUP!AA134</f>
        <v>W95</v>
      </c>
      <c r="D213" s="624"/>
      <c r="E213" s="360"/>
      <c r="F213" s="360"/>
      <c r="G213" s="360"/>
      <c r="H213" s="360"/>
      <c r="I213" s="345"/>
      <c r="J213" s="360"/>
      <c r="K213" s="360"/>
      <c r="L213" s="360"/>
      <c r="M213" s="376"/>
      <c r="N213" s="367"/>
    </row>
    <row r="214" spans="1:14" ht="15" customHeight="1" x14ac:dyDescent="0.2">
      <c r="A214" s="624"/>
      <c r="B214" s="352" t="str">
        <f t="shared" si="3"/>
        <v>Cuartofinalista</v>
      </c>
      <c r="C214" s="342" t="str">
        <f>WORLDCUP!AF131</f>
        <v>W90</v>
      </c>
      <c r="D214" s="624"/>
      <c r="E214" s="360"/>
      <c r="F214" s="360"/>
      <c r="G214" s="360"/>
      <c r="H214" s="360"/>
      <c r="I214" s="345"/>
      <c r="J214" s="360"/>
      <c r="K214" s="360"/>
      <c r="L214" s="360"/>
      <c r="M214" s="376"/>
      <c r="N214" s="367"/>
    </row>
    <row r="215" spans="1:14" ht="15" customHeight="1" x14ac:dyDescent="0.2">
      <c r="A215" s="624"/>
      <c r="B215" s="352" t="str">
        <f t="shared" si="3"/>
        <v>Cuartofinalista</v>
      </c>
      <c r="C215" s="342" t="str">
        <f>WORLDCUP!AF132</f>
        <v>W94</v>
      </c>
      <c r="D215" s="624"/>
      <c r="E215" s="360"/>
      <c r="F215" s="360"/>
      <c r="G215" s="360"/>
      <c r="H215" s="360"/>
      <c r="I215" s="345"/>
      <c r="J215" s="360"/>
      <c r="K215" s="360"/>
      <c r="L215" s="360"/>
      <c r="M215" s="376"/>
      <c r="N215" s="367"/>
    </row>
    <row r="216" spans="1:14" ht="15" customHeight="1" x14ac:dyDescent="0.2">
      <c r="A216" s="624"/>
      <c r="B216" s="352" t="str">
        <f t="shared" si="3"/>
        <v>Cuartofinalista</v>
      </c>
      <c r="C216" s="342" t="str">
        <f>WORLDCUP!AF133</f>
        <v>W92</v>
      </c>
      <c r="D216" s="624"/>
      <c r="E216" s="360"/>
      <c r="F216" s="360"/>
      <c r="G216" s="360"/>
      <c r="H216" s="360"/>
      <c r="I216" s="345"/>
      <c r="J216" s="360"/>
      <c r="K216" s="360"/>
      <c r="L216" s="360"/>
      <c r="M216" s="376"/>
      <c r="N216" s="367"/>
    </row>
    <row r="217" spans="1:14" ht="15" customHeight="1" x14ac:dyDescent="0.2">
      <c r="A217" s="624"/>
      <c r="B217" s="352" t="str">
        <f t="shared" si="3"/>
        <v>Cuartofinalista</v>
      </c>
      <c r="C217" s="342" t="str">
        <f>WORLDCUP!AF134</f>
        <v>W96</v>
      </c>
      <c r="D217" s="624"/>
      <c r="E217" s="363"/>
      <c r="F217" s="363"/>
      <c r="G217" s="363"/>
      <c r="H217" s="363"/>
      <c r="I217" s="345"/>
      <c r="J217" s="360"/>
      <c r="K217" s="360"/>
      <c r="L217" s="360"/>
      <c r="M217" s="376"/>
      <c r="N217" s="367"/>
    </row>
    <row r="218" spans="1:14" x14ac:dyDescent="0.2">
      <c r="A218" s="223"/>
      <c r="B218" s="223"/>
      <c r="C218" s="343"/>
      <c r="D218" s="360"/>
      <c r="E218" s="360"/>
      <c r="F218" s="360"/>
      <c r="G218" s="360"/>
      <c r="H218" s="360"/>
      <c r="I218" s="377"/>
      <c r="J218" s="360"/>
      <c r="K218" s="360"/>
      <c r="L218" s="360"/>
      <c r="M218" s="376"/>
      <c r="N218" s="367"/>
    </row>
    <row r="219" spans="1:14" ht="19" customHeight="1" x14ac:dyDescent="0.25">
      <c r="A219" s="223"/>
      <c r="B219" s="350" t="str">
        <f>Idiomas!D132</f>
        <v>ENFRENTAMIENTOS CUARTOS</v>
      </c>
      <c r="C219" s="343"/>
      <c r="D219" s="360"/>
      <c r="E219" s="360"/>
      <c r="F219" s="360"/>
      <c r="G219" s="360"/>
      <c r="H219" s="360"/>
      <c r="I219" s="378"/>
      <c r="J219" s="360"/>
      <c r="K219" s="360"/>
      <c r="L219" s="360"/>
      <c r="M219" s="376"/>
      <c r="N219" s="367"/>
    </row>
    <row r="220" spans="1:14" ht="15" customHeight="1" x14ac:dyDescent="0.2">
      <c r="A220" s="654" t="s">
        <v>210</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63" t="s">
        <v>210</v>
      </c>
      <c r="E220" s="659" t="str">
        <f>Idiomas!D117</f>
        <v>·Para los cuartos de final copiar de la C220 a la C229 y pega valores en la plantilla de administrador.</v>
      </c>
      <c r="F220" s="660"/>
      <c r="G220" s="660"/>
      <c r="H220" s="660"/>
      <c r="I220" s="345"/>
      <c r="J220" s="360"/>
      <c r="K220" s="360"/>
      <c r="L220" s="360"/>
      <c r="M220" s="376"/>
      <c r="N220" s="367"/>
    </row>
    <row r="221" spans="1:14" ht="15" customHeight="1" x14ac:dyDescent="0.2">
      <c r="A221" s="624"/>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4"/>
      <c r="E221" s="660"/>
      <c r="F221" s="660"/>
      <c r="G221" s="660"/>
      <c r="H221" s="660"/>
      <c r="I221" s="345"/>
      <c r="J221" s="360"/>
      <c r="K221" s="360"/>
      <c r="L221" s="360"/>
      <c r="M221" s="376"/>
      <c r="N221" s="367"/>
    </row>
    <row r="222" spans="1:14" ht="15" customHeight="1" x14ac:dyDescent="0.2">
      <c r="A222" s="624"/>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4"/>
      <c r="E222" s="660"/>
      <c r="F222" s="660"/>
      <c r="G222" s="660"/>
      <c r="H222" s="660"/>
      <c r="I222" s="345"/>
      <c r="J222" s="360"/>
      <c r="K222" s="360"/>
      <c r="L222" s="360"/>
      <c r="M222" s="376"/>
      <c r="N222" s="367"/>
    </row>
    <row r="223" spans="1:14" ht="15" customHeight="1" x14ac:dyDescent="0.2">
      <c r="A223" s="624"/>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4"/>
      <c r="E223" s="660"/>
      <c r="F223" s="660"/>
      <c r="G223" s="660"/>
      <c r="H223" s="660"/>
      <c r="I223" s="345"/>
      <c r="J223" s="360"/>
      <c r="K223" s="360"/>
      <c r="L223" s="360"/>
      <c r="M223" s="376"/>
      <c r="N223" s="367"/>
    </row>
    <row r="224" spans="1:14" x14ac:dyDescent="0.2">
      <c r="A224" s="223"/>
      <c r="B224" s="223"/>
      <c r="C224" s="343"/>
      <c r="D224" s="624"/>
      <c r="E224" s="345"/>
      <c r="F224" s="345"/>
      <c r="G224" s="345"/>
      <c r="H224" s="345"/>
      <c r="I224" s="345"/>
      <c r="J224" s="360"/>
      <c r="K224" s="360"/>
      <c r="L224" s="360"/>
      <c r="M224" s="376"/>
      <c r="N224" s="367"/>
    </row>
    <row r="225" spans="1:14" ht="19" customHeight="1" x14ac:dyDescent="0.25">
      <c r="A225" s="223"/>
      <c r="B225" s="350" t="str">
        <f>Idiomas!D133</f>
        <v>CLASIFICADOS PARA SEMIFINALES</v>
      </c>
      <c r="C225" s="343"/>
      <c r="D225" s="624"/>
      <c r="E225" s="360"/>
      <c r="F225" s="360"/>
      <c r="G225" s="360"/>
      <c r="H225" s="360"/>
      <c r="I225" s="345"/>
      <c r="J225" s="360"/>
      <c r="K225" s="360"/>
      <c r="L225" s="360"/>
      <c r="M225" s="376"/>
      <c r="N225" s="367"/>
    </row>
    <row r="226" spans="1:14" ht="15" customHeight="1" x14ac:dyDescent="0.2">
      <c r="A226" s="654" t="s">
        <v>226</v>
      </c>
      <c r="B226" s="352" t="str">
        <f>Idiomas!$D$191</f>
        <v>Semifinalista</v>
      </c>
      <c r="C226" s="342" t="str">
        <f>WORLDCUP!AA138</f>
        <v>W97</v>
      </c>
      <c r="D226" s="624"/>
      <c r="E226" s="360"/>
      <c r="F226" s="360"/>
      <c r="G226" s="360"/>
      <c r="H226" s="360"/>
      <c r="I226" s="345"/>
      <c r="J226" s="360"/>
      <c r="K226" s="360"/>
      <c r="L226" s="360"/>
      <c r="M226" s="376"/>
      <c r="N226" s="367"/>
    </row>
    <row r="227" spans="1:14" ht="15" customHeight="1" x14ac:dyDescent="0.2">
      <c r="A227" s="624"/>
      <c r="B227" s="352" t="str">
        <f>Idiomas!$D$191</f>
        <v>Semifinalista</v>
      </c>
      <c r="C227" s="342" t="str">
        <f>WORLDCUP!AA139</f>
        <v>W99</v>
      </c>
      <c r="D227" s="624"/>
      <c r="E227" s="360"/>
      <c r="F227" s="360"/>
      <c r="G227" s="360"/>
      <c r="H227" s="360"/>
      <c r="I227" s="345"/>
      <c r="J227" s="360"/>
      <c r="K227" s="360"/>
      <c r="L227" s="360"/>
      <c r="M227" s="376"/>
      <c r="N227" s="367"/>
    </row>
    <row r="228" spans="1:14" ht="15" customHeight="1" x14ac:dyDescent="0.2">
      <c r="A228" s="624"/>
      <c r="B228" s="352" t="str">
        <f>Idiomas!$D$191</f>
        <v>Semifinalista</v>
      </c>
      <c r="C228" s="342" t="str">
        <f>WORLDCUP!AF138</f>
        <v>W98</v>
      </c>
      <c r="D228" s="624"/>
      <c r="E228" s="360"/>
      <c r="F228" s="360"/>
      <c r="G228" s="360"/>
      <c r="H228" s="360"/>
      <c r="I228" s="345"/>
      <c r="J228" s="360"/>
      <c r="K228" s="360"/>
      <c r="L228" s="360"/>
      <c r="M228" s="376"/>
      <c r="N228" s="367"/>
    </row>
    <row r="229" spans="1:14" ht="15" customHeight="1" x14ac:dyDescent="0.2">
      <c r="A229" s="624"/>
      <c r="B229" s="352" t="str">
        <f>Idiomas!$D$191</f>
        <v>Semifinalista</v>
      </c>
      <c r="C229" s="342" t="str">
        <f>WORLDCUP!AF139</f>
        <v>W100</v>
      </c>
      <c r="D229" s="624"/>
      <c r="E229" s="363"/>
      <c r="F229" s="363"/>
      <c r="G229" s="363"/>
      <c r="H229" s="363"/>
      <c r="I229" s="345"/>
      <c r="J229" s="360"/>
      <c r="K229" s="360"/>
      <c r="L229" s="360"/>
      <c r="M229" s="376"/>
      <c r="N229" s="367"/>
    </row>
    <row r="230" spans="1:14" x14ac:dyDescent="0.2">
      <c r="A230" s="223"/>
      <c r="B230" s="223"/>
      <c r="C230" s="343"/>
      <c r="D230" s="360"/>
      <c r="E230" s="360"/>
      <c r="F230" s="360"/>
      <c r="G230" s="360"/>
      <c r="H230" s="360"/>
      <c r="I230" s="378"/>
      <c r="J230" s="360"/>
      <c r="K230" s="360"/>
      <c r="L230" s="360"/>
      <c r="M230" s="376"/>
      <c r="N230" s="367"/>
    </row>
    <row r="231" spans="1:14" ht="19" customHeight="1" x14ac:dyDescent="0.25">
      <c r="A231" s="223"/>
      <c r="B231" s="350" t="str">
        <f>Idiomas!D134</f>
        <v>ENFRENTAMIENTOS SEMIFINALES</v>
      </c>
      <c r="C231" s="343"/>
      <c r="D231" s="360"/>
      <c r="E231" s="360"/>
      <c r="F231" s="360"/>
      <c r="G231" s="360"/>
      <c r="H231" s="360"/>
      <c r="I231" s="378"/>
      <c r="J231" s="360"/>
      <c r="K231" s="360"/>
      <c r="L231" s="360"/>
      <c r="M231" s="376"/>
      <c r="N231" s="367"/>
    </row>
    <row r="232" spans="1:14" ht="15" customHeight="1" x14ac:dyDescent="0.2">
      <c r="A232" s="652" t="s">
        <v>226</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53" t="s">
        <v>226</v>
      </c>
      <c r="E232" s="659" t="str">
        <f>Idiomas!D118</f>
        <v>·Para las semifinales copiar de la C232 a la C241 y pega valores en la plantilla de administrador.</v>
      </c>
      <c r="F232" s="660"/>
      <c r="G232" s="660"/>
      <c r="H232" s="660"/>
      <c r="I232" s="345"/>
      <c r="J232" s="360"/>
      <c r="K232" s="360"/>
      <c r="L232" s="360"/>
      <c r="M232" s="376"/>
      <c r="N232" s="367"/>
    </row>
    <row r="233" spans="1:14" ht="15" customHeight="1" x14ac:dyDescent="0.2">
      <c r="A233" s="624"/>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4"/>
      <c r="E233" s="660"/>
      <c r="F233" s="660"/>
      <c r="G233" s="660"/>
      <c r="H233" s="660"/>
      <c r="I233" s="345"/>
      <c r="J233" s="360"/>
      <c r="K233" s="360"/>
      <c r="L233" s="360"/>
      <c r="M233" s="376"/>
      <c r="N233" s="367"/>
    </row>
    <row r="234" spans="1:14" ht="15" customHeight="1" x14ac:dyDescent="0.2">
      <c r="A234" s="223"/>
      <c r="B234" s="223"/>
      <c r="C234" s="343"/>
      <c r="D234" s="624"/>
      <c r="E234" s="660"/>
      <c r="F234" s="660"/>
      <c r="G234" s="660"/>
      <c r="H234" s="660"/>
      <c r="I234" s="345"/>
      <c r="J234" s="360"/>
      <c r="K234" s="360"/>
      <c r="L234" s="360"/>
      <c r="M234" s="376"/>
      <c r="N234" s="367"/>
    </row>
    <row r="235" spans="1:14" ht="19" customHeight="1" x14ac:dyDescent="0.25">
      <c r="A235" s="223"/>
      <c r="B235" s="350" t="str">
        <f>Idiomas!D135</f>
        <v>CLASIFICADOS PARA EL 3º y 4º PUESTO</v>
      </c>
      <c r="C235" s="343"/>
      <c r="D235" s="624"/>
      <c r="E235" s="660"/>
      <c r="F235" s="660"/>
      <c r="G235" s="660"/>
      <c r="H235" s="660"/>
      <c r="I235" s="345"/>
      <c r="J235" s="360"/>
      <c r="K235" s="360"/>
      <c r="L235" s="360"/>
      <c r="M235" s="376"/>
      <c r="N235" s="367"/>
    </row>
    <row r="236" spans="1:14" ht="15" customHeight="1" x14ac:dyDescent="0.2">
      <c r="A236" s="652" t="s">
        <v>233</v>
      </c>
      <c r="B236" s="352" t="str">
        <f>Idiomas!D192</f>
        <v>3º y 4º puesto</v>
      </c>
      <c r="C236" s="342" t="str">
        <f>WORLDCUP!AA143</f>
        <v>L101</v>
      </c>
      <c r="D236" s="624"/>
      <c r="E236" s="364"/>
      <c r="F236" s="364"/>
      <c r="G236" s="364"/>
      <c r="H236" s="364"/>
      <c r="I236" s="345"/>
      <c r="J236" s="360"/>
      <c r="K236" s="360"/>
      <c r="L236" s="360"/>
      <c r="M236" s="376"/>
      <c r="N236" s="367"/>
    </row>
    <row r="237" spans="1:14" ht="15" customHeight="1" x14ac:dyDescent="0.2">
      <c r="A237" s="624"/>
      <c r="B237" s="352" t="str">
        <f>Idiomas!D192</f>
        <v>3º y 4º puesto</v>
      </c>
      <c r="C237" s="342" t="str">
        <f>WORLDCUP!AF143</f>
        <v>L102</v>
      </c>
      <c r="D237" s="624"/>
      <c r="E237" s="364"/>
      <c r="F237" s="364"/>
      <c r="G237" s="364"/>
      <c r="H237" s="364"/>
      <c r="I237" s="345"/>
      <c r="J237" s="360"/>
      <c r="K237" s="360"/>
      <c r="L237" s="360"/>
      <c r="M237" s="376"/>
      <c r="N237" s="367"/>
    </row>
    <row r="238" spans="1:14" ht="15" customHeight="1" x14ac:dyDescent="0.2">
      <c r="A238" s="223"/>
      <c r="B238" s="223"/>
      <c r="C238" s="343"/>
      <c r="D238" s="624"/>
      <c r="E238" s="364"/>
      <c r="F238" s="364"/>
      <c r="G238" s="364"/>
      <c r="H238" s="364"/>
      <c r="I238" s="345"/>
      <c r="J238" s="360"/>
      <c r="K238" s="360"/>
      <c r="L238" s="360"/>
      <c r="M238" s="376"/>
      <c r="N238" s="367"/>
    </row>
    <row r="239" spans="1:14" ht="19" customHeight="1" x14ac:dyDescent="0.25">
      <c r="A239" s="223"/>
      <c r="B239" s="350" t="str">
        <f>Idiomas!D136</f>
        <v>CLASIFICADOS PARA LA FINAL</v>
      </c>
      <c r="C239" s="343"/>
      <c r="D239" s="624"/>
      <c r="E239" s="364"/>
      <c r="F239" s="364"/>
      <c r="G239" s="364"/>
      <c r="H239" s="364"/>
      <c r="I239" s="345"/>
      <c r="J239" s="360"/>
      <c r="K239" s="360"/>
      <c r="L239" s="360"/>
      <c r="M239" s="376"/>
      <c r="N239" s="367"/>
    </row>
    <row r="240" spans="1:14" ht="15" customHeight="1" x14ac:dyDescent="0.2">
      <c r="A240" s="652" t="s">
        <v>125</v>
      </c>
      <c r="B240" s="352" t="str">
        <f>Idiomas!D193</f>
        <v>Finalista</v>
      </c>
      <c r="C240" s="342" t="str">
        <f>WORLDCUP!AA147</f>
        <v>W101</v>
      </c>
      <c r="D240" s="624"/>
      <c r="E240" s="360"/>
      <c r="F240" s="360"/>
      <c r="G240" s="360"/>
      <c r="H240" s="360"/>
      <c r="I240" s="345"/>
      <c r="J240" s="360"/>
      <c r="K240" s="360"/>
      <c r="L240" s="360"/>
      <c r="M240" s="376"/>
      <c r="N240" s="367"/>
    </row>
    <row r="241" spans="1:14" ht="15" customHeight="1" x14ac:dyDescent="0.2">
      <c r="A241" s="624"/>
      <c r="B241" s="352" t="str">
        <f>B240</f>
        <v>Finalista</v>
      </c>
      <c r="C241" s="342" t="str">
        <f>WORLDCUP!AF147</f>
        <v>W102</v>
      </c>
      <c r="D241" s="624"/>
      <c r="E241" s="365"/>
      <c r="F241" s="365"/>
      <c r="G241" s="365"/>
      <c r="H241" s="379"/>
      <c r="I241" s="380"/>
      <c r="J241" s="360"/>
      <c r="K241" s="360"/>
      <c r="L241" s="360"/>
      <c r="M241" s="376"/>
      <c r="N241" s="367"/>
    </row>
    <row r="242" spans="1:14" x14ac:dyDescent="0.2">
      <c r="A242" s="223"/>
      <c r="B242" s="223"/>
      <c r="C242" s="343"/>
      <c r="D242" s="360"/>
      <c r="E242" s="360"/>
      <c r="F242" s="360"/>
      <c r="G242" s="360"/>
      <c r="H242" s="360"/>
      <c r="I242" s="377"/>
      <c r="J242" s="360"/>
      <c r="K242" s="360"/>
      <c r="L242" s="360"/>
      <c r="M242" s="376"/>
      <c r="N242" s="367"/>
    </row>
    <row r="243" spans="1:14" ht="19" customHeight="1" x14ac:dyDescent="0.25">
      <c r="A243" s="223"/>
      <c r="B243" s="350" t="str">
        <f>Idiomas!D137</f>
        <v>3º-4º puesto</v>
      </c>
      <c r="C243" s="343"/>
      <c r="D243" s="360"/>
      <c r="E243" s="360"/>
      <c r="F243" s="360"/>
      <c r="G243" s="360"/>
      <c r="H243" s="360"/>
      <c r="I243" s="378"/>
      <c r="J243" s="360"/>
      <c r="K243" s="360"/>
      <c r="L243" s="360"/>
      <c r="M243" s="376"/>
      <c r="N243" s="367"/>
    </row>
    <row r="244" spans="1:14" ht="15" customHeight="1" x14ac:dyDescent="0.2">
      <c r="A244" s="618" t="s">
        <v>233</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56" t="s">
        <v>273</v>
      </c>
      <c r="E244" s="664" t="str">
        <f>Idiomas!D119</f>
        <v>·Para el 3º y 4º puesto y la Final copiar de la C244 a la C252 y pega valores en la plantilla de administrador.</v>
      </c>
      <c r="F244" s="660"/>
      <c r="G244" s="660"/>
      <c r="H244" s="660"/>
      <c r="I244" s="371"/>
      <c r="J244" s="360"/>
      <c r="K244" s="360"/>
      <c r="L244" s="360"/>
      <c r="M244" s="376"/>
      <c r="N244" s="367"/>
    </row>
    <row r="245" spans="1:14" ht="15" customHeight="1" x14ac:dyDescent="0.2">
      <c r="A245" s="223"/>
      <c r="B245" s="223"/>
      <c r="C245" s="343"/>
      <c r="D245" s="624"/>
      <c r="E245" s="660"/>
      <c r="F245" s="660"/>
      <c r="G245" s="660"/>
      <c r="H245" s="660"/>
      <c r="I245" s="371"/>
      <c r="J245" s="360"/>
      <c r="K245" s="360"/>
      <c r="L245" s="360"/>
      <c r="M245" s="376"/>
      <c r="N245" s="367"/>
    </row>
    <row r="246" spans="1:14" ht="21" customHeight="1" x14ac:dyDescent="0.25">
      <c r="A246" s="223"/>
      <c r="B246" s="350" t="str">
        <f>Idiomas!D138</f>
        <v>ENFRENTAMIENTO FINAL</v>
      </c>
      <c r="C246" s="343"/>
      <c r="D246" s="624"/>
      <c r="E246" s="660"/>
      <c r="F246" s="660"/>
      <c r="G246" s="660"/>
      <c r="H246" s="660"/>
      <c r="I246" s="371"/>
      <c r="J246" s="360"/>
      <c r="K246" s="360"/>
      <c r="L246" s="360"/>
      <c r="M246" s="376"/>
      <c r="N246" s="367"/>
    </row>
    <row r="247" spans="1:14" ht="15" customHeight="1" x14ac:dyDescent="0.2">
      <c r="A247" s="618" t="s">
        <v>125</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4"/>
      <c r="E247" s="366"/>
      <c r="F247" s="366"/>
      <c r="G247" s="366"/>
      <c r="H247" s="366"/>
      <c r="I247" s="371"/>
      <c r="J247" s="360"/>
      <c r="K247" s="360"/>
      <c r="L247" s="360"/>
      <c r="M247" s="376"/>
      <c r="N247" s="367"/>
    </row>
    <row r="248" spans="1:14" ht="15" customHeight="1" x14ac:dyDescent="0.2">
      <c r="A248" s="223"/>
      <c r="B248" s="223"/>
      <c r="C248" s="343"/>
      <c r="D248" s="624"/>
      <c r="E248" s="364"/>
      <c r="F248" s="364"/>
      <c r="G248" s="364"/>
      <c r="H248" s="364"/>
      <c r="I248" s="371"/>
      <c r="J248" s="360"/>
      <c r="K248" s="360"/>
      <c r="L248" s="360"/>
      <c r="M248" s="376"/>
      <c r="N248" s="367"/>
    </row>
    <row r="249" spans="1:14" ht="19" customHeight="1" x14ac:dyDescent="0.25">
      <c r="A249" s="223"/>
      <c r="B249" s="350" t="str">
        <f>Idiomas!D139</f>
        <v>CUADRO DE HONOR</v>
      </c>
      <c r="C249" s="343"/>
      <c r="D249" s="624"/>
      <c r="E249" s="364"/>
      <c r="F249" s="364"/>
      <c r="G249" s="364"/>
      <c r="H249" s="364"/>
      <c r="I249" s="371"/>
      <c r="J249" s="360"/>
      <c r="K249" s="360"/>
      <c r="L249" s="360"/>
      <c r="M249" s="376"/>
      <c r="N249" s="367"/>
    </row>
    <row r="250" spans="1:14" ht="15" customHeight="1" x14ac:dyDescent="0.2">
      <c r="A250" s="354"/>
      <c r="B250" s="352" t="str">
        <f>WORLDCUP!W150</f>
        <v>🥇Campeón</v>
      </c>
      <c r="C250" s="342" t="str">
        <f>WORLDCUP!AA150</f>
        <v>WF</v>
      </c>
      <c r="D250" s="624"/>
      <c r="E250" s="364"/>
      <c r="F250" s="364"/>
      <c r="G250" s="364"/>
      <c r="H250" s="364"/>
      <c r="I250" s="371"/>
      <c r="J250" s="360"/>
      <c r="K250" s="360"/>
      <c r="L250" s="360"/>
      <c r="M250" s="376"/>
      <c r="N250" s="367"/>
    </row>
    <row r="251" spans="1:14" ht="15" customHeight="1" x14ac:dyDescent="0.2">
      <c r="A251" s="355"/>
      <c r="B251" s="352" t="str">
        <f>WORLDCUP!W151</f>
        <v>🥈Subcampeón</v>
      </c>
      <c r="C251" s="342" t="str">
        <f>WORLDCUP!AA151</f>
        <v>LF</v>
      </c>
      <c r="D251" s="624"/>
      <c r="E251" s="364"/>
      <c r="F251" s="364"/>
      <c r="G251" s="364"/>
      <c r="H251" s="364"/>
      <c r="I251" s="380"/>
      <c r="J251" s="373"/>
      <c r="K251" s="362"/>
      <c r="L251" s="362"/>
      <c r="M251" s="376"/>
      <c r="N251" s="367"/>
    </row>
    <row r="252" spans="1:14" ht="15" customHeight="1" x14ac:dyDescent="0.2">
      <c r="A252" s="355"/>
      <c r="B252" s="352" t="str">
        <f>WORLDCUP!W152</f>
        <v>🥉3º puesto</v>
      </c>
      <c r="C252" s="342" t="str">
        <f>WORLDCUP!AA152</f>
        <v>W34</v>
      </c>
      <c r="D252" s="624"/>
      <c r="E252" s="360"/>
      <c r="F252" s="360"/>
      <c r="G252" s="360"/>
      <c r="H252" s="360"/>
      <c r="I252" s="345"/>
      <c r="J252" s="360"/>
      <c r="K252" s="360"/>
      <c r="L252" s="360"/>
      <c r="M252" s="381"/>
      <c r="N252" s="367"/>
    </row>
    <row r="253" spans="1:14" ht="15" customHeight="1" x14ac:dyDescent="0.2">
      <c r="A253" s="356"/>
      <c r="B253" s="352" t="str">
        <f>WORLDCUP!W154</f>
        <v>Bota de Oro  (máximo goleador)</v>
      </c>
      <c r="C253" s="342" t="str">
        <f>WORLDCUP!AA154</f>
        <v>Escribe un jugador</v>
      </c>
      <c r="D253" s="361"/>
      <c r="E253" s="658" t="str">
        <f>Idiomas!D120</f>
        <v>·Al inicio de la competición si se hace por fases copiar de la C253 a la C258 y pegarla al final del jugador en el archivo de administrador.</v>
      </c>
      <c r="F253" s="624"/>
      <c r="G253" s="624"/>
      <c r="H253" s="624"/>
      <c r="I253" s="382"/>
      <c r="J253" s="382"/>
      <c r="K253" s="382"/>
      <c r="L253" s="383"/>
      <c r="M253" s="383"/>
      <c r="N253" s="367"/>
    </row>
    <row r="254" spans="1:14" ht="15" customHeight="1" x14ac:dyDescent="0.2">
      <c r="A254" s="357"/>
      <c r="B254" s="352" t="str">
        <f>WORLDCUP!W155</f>
        <v>Bota de Plata (2º máximo goleador)</v>
      </c>
      <c r="C254" s="342" t="str">
        <f>WORLDCUP!AA155</f>
        <v>Escribe un jugador</v>
      </c>
      <c r="D254" s="361"/>
      <c r="E254" s="624"/>
      <c r="F254" s="624"/>
      <c r="G254" s="624"/>
      <c r="H254" s="624"/>
      <c r="I254" s="382"/>
      <c r="J254" s="382"/>
      <c r="K254" s="382"/>
      <c r="L254" s="383"/>
      <c r="M254" s="383"/>
      <c r="N254" s="367"/>
    </row>
    <row r="255" spans="1:14" ht="15" customHeight="1" x14ac:dyDescent="0.2">
      <c r="A255" s="357"/>
      <c r="B255" s="352" t="str">
        <f>WORLDCUP!W156</f>
        <v>Bota de Bronce (3º máximo goleador)</v>
      </c>
      <c r="C255" s="342" t="str">
        <f>WORLDCUP!AA156</f>
        <v>Escribe un jugador</v>
      </c>
      <c r="D255" s="361"/>
      <c r="E255" s="624"/>
      <c r="F255" s="624"/>
      <c r="G255" s="624"/>
      <c r="H255" s="624"/>
      <c r="I255" s="382"/>
      <c r="J255" s="382"/>
      <c r="K255" s="382"/>
      <c r="L255" s="383"/>
      <c r="M255" s="383"/>
      <c r="N255" s="367"/>
    </row>
    <row r="256" spans="1:14" ht="15" customHeight="1" x14ac:dyDescent="0.2">
      <c r="A256" s="354"/>
      <c r="B256" s="352" t="str">
        <f>WORLDCUP!W158</f>
        <v>Balón de Oro  (mejor jugador)</v>
      </c>
      <c r="C256" s="342" t="str">
        <f>WORLDCUP!AA158</f>
        <v>Escribe un jugador</v>
      </c>
      <c r="D256" s="361"/>
      <c r="E256" s="624"/>
      <c r="F256" s="624"/>
      <c r="G256" s="624"/>
      <c r="H256" s="624"/>
      <c r="I256" s="382"/>
      <c r="J256" s="382"/>
      <c r="K256" s="382"/>
      <c r="L256" s="383"/>
      <c r="M256" s="383"/>
      <c r="N256" s="367"/>
    </row>
    <row r="257" spans="1:14" ht="15" customHeight="1" x14ac:dyDescent="0.2">
      <c r="A257" s="355"/>
      <c r="B257" s="352" t="str">
        <f>WORLDCUP!W159</f>
        <v>Balón de Plata (2º mejor jugador)</v>
      </c>
      <c r="C257" s="342" t="str">
        <f>WORLDCUP!AA159</f>
        <v>Escribe un jugador</v>
      </c>
      <c r="D257" s="361"/>
      <c r="E257" s="361"/>
      <c r="F257" s="382"/>
      <c r="G257" s="382"/>
      <c r="H257" s="382"/>
      <c r="I257" s="382"/>
      <c r="J257" s="382"/>
      <c r="K257" s="382"/>
      <c r="L257" s="383"/>
      <c r="M257" s="383"/>
      <c r="N257" s="367"/>
    </row>
    <row r="258" spans="1:14" ht="15" customHeight="1" x14ac:dyDescent="0.2">
      <c r="A258" s="355"/>
      <c r="B258" s="352" t="str">
        <f>WORLDCUP!W160</f>
        <v>Balón de Bronce (3º mejor jugador)</v>
      </c>
      <c r="C258" s="342" t="str">
        <f>WORLDCUP!AA160</f>
        <v>Escribe un jugador</v>
      </c>
      <c r="D258" s="361"/>
      <c r="E258" s="361"/>
      <c r="F258" s="382"/>
      <c r="G258" s="382"/>
      <c r="H258" s="382"/>
      <c r="I258" s="382"/>
      <c r="J258" s="382"/>
      <c r="K258" s="382"/>
      <c r="L258" s="383"/>
      <c r="M258" s="383"/>
      <c r="N258" s="367"/>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8"/>
      <c r="O2" s="399"/>
      <c r="P2" s="147"/>
      <c r="Q2" s="153"/>
      <c r="R2" s="153"/>
      <c r="S2" s="400"/>
      <c r="T2" s="153"/>
      <c r="U2" s="147"/>
      <c r="V2" s="147"/>
      <c r="W2" s="147"/>
      <c r="X2" s="179"/>
      <c r="Y2" s="398"/>
      <c r="Z2" s="398"/>
      <c r="AA2" s="153"/>
      <c r="AB2" s="153"/>
      <c r="AC2" s="153"/>
      <c r="AD2" s="179"/>
      <c r="AE2" s="153"/>
      <c r="AF2" s="153"/>
      <c r="AG2" s="153"/>
      <c r="AH2" s="151"/>
      <c r="AI2" s="401"/>
      <c r="AJ2" s="401"/>
      <c r="AK2" s="401"/>
      <c r="AL2" s="402"/>
      <c r="AM2" s="401"/>
      <c r="AN2" s="401"/>
      <c r="AO2" s="401"/>
      <c r="AP2" s="181"/>
      <c r="AQ2" s="401"/>
      <c r="AR2" s="401"/>
      <c r="AS2" s="401"/>
      <c r="AT2" s="181"/>
      <c r="AU2" s="401"/>
      <c r="AV2" s="401"/>
      <c r="AW2" s="401"/>
      <c r="AX2" s="153"/>
      <c r="AY2" s="153"/>
      <c r="AZ2" s="153"/>
      <c r="BA2" s="153"/>
      <c r="BB2" s="153"/>
      <c r="BC2" s="153"/>
      <c r="BD2" s="153"/>
      <c r="BE2" s="153"/>
    </row>
    <row r="3" spans="1:67" ht="16" customHeight="1" thickBot="1" x14ac:dyDescent="0.25">
      <c r="A3" s="181">
        <v>1</v>
      </c>
      <c r="B3" s="403" t="s">
        <v>29</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274</v>
      </c>
      <c r="J3" s="409" t="str">
        <f>WORLDCUP!AT5</f>
        <v>DG</v>
      </c>
      <c r="K3" s="410" t="str">
        <f>WORLDCUP!AR5&amp;"-"&amp;WORLDCUP!AS5</f>
        <v>GF-GC</v>
      </c>
      <c r="L3" s="181"/>
      <c r="M3" s="181">
        <v>16</v>
      </c>
      <c r="N3" s="411" t="s">
        <v>134</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0</v>
      </c>
      <c r="R3" s="406" t="str">
        <f ca="1">+MID(INDEX(WORLDCUP!$AF$4:$AF$147,MATCH(M3,WORLDCUP!$AH$4:$AH$147,0)),1,3)</f>
        <v>Egi</v>
      </c>
      <c r="S3" s="407"/>
      <c r="T3" s="408" t="str">
        <f>+H43</f>
        <v>Sel</v>
      </c>
      <c r="U3" s="409" t="str">
        <f>+I43</f>
        <v>Pts</v>
      </c>
      <c r="V3" s="409" t="str">
        <f>+J43</f>
        <v>DG</v>
      </c>
      <c r="W3" s="410" t="str">
        <f>+K43</f>
        <v>GF-GC</v>
      </c>
      <c r="X3" s="181"/>
      <c r="Y3" s="181">
        <v>74</v>
      </c>
      <c r="Z3" s="412" t="s">
        <v>101</v>
      </c>
      <c r="AA3" s="413" t="str">
        <f ca="1">+MID(INDEX(WORLDCUP!$AA$101:$AA$147,MATCH(Y3,WORLDCUP!$Z$101:$Z$147,0)),1,3)</f>
        <v>Ale</v>
      </c>
      <c r="AB3" s="414" t="str">
        <f>+IF(ISBLANK(INDEX(WORLDCUP!$AC$101:$AC$147,MATCH(Y3,WORLDCUP!$Z$101:$Z$147,0))),"",INDEX(WORLDCUP!$AC$101:$AC$147,MATCH(Y3,WORLDCUP!$Z$101:$Z$147,0)))</f>
        <v/>
      </c>
      <c r="AC3" s="415" t="str">
        <f>+IF(ISBLANK(INDEX(WORLDCUP!$AB$101:$AB$147,MATCH(Y3,WORLDCUP!$Z$101:$Z$147,0))),"","( "&amp;INDEX(WORLDCUP!$AB$101:$AB$147,MATCH(Y3,WORLDCUP!$Z$101:$Z$147,0))&amp;" )")</f>
        <v/>
      </c>
      <c r="AD3" s="179"/>
      <c r="AE3" s="416"/>
      <c r="AF3" s="416"/>
      <c r="AG3" s="416"/>
      <c r="AH3" s="181"/>
      <c r="AI3" s="417"/>
      <c r="AJ3" s="417"/>
      <c r="AK3" s="417"/>
      <c r="AL3" s="402"/>
      <c r="AM3" s="418"/>
      <c r="AN3" s="418"/>
      <c r="AO3" s="418"/>
      <c r="AP3" s="181"/>
      <c r="AQ3" s="419"/>
      <c r="AR3" s="419"/>
      <c r="AS3" s="419"/>
      <c r="AT3" s="181"/>
      <c r="AU3" s="420"/>
      <c r="AV3" s="420"/>
      <c r="AW3" s="420"/>
      <c r="AX3" s="181"/>
      <c r="AY3" s="153"/>
      <c r="AZ3" s="153"/>
      <c r="BA3" s="153"/>
      <c r="BB3" s="153"/>
      <c r="BC3" s="153"/>
      <c r="BD3" s="153"/>
      <c r="BE3" s="153"/>
      <c r="BG3" s="421"/>
      <c r="BH3" s="422" t="s">
        <v>134</v>
      </c>
      <c r="BI3" s="423" t="s">
        <v>152</v>
      </c>
      <c r="BJ3" s="424" t="s">
        <v>185</v>
      </c>
      <c r="BK3" s="425" t="s">
        <v>210</v>
      </c>
      <c r="BL3" s="426" t="s">
        <v>226</v>
      </c>
      <c r="BM3" s="427" t="s">
        <v>275</v>
      </c>
      <c r="BN3" s="428" t="s">
        <v>276</v>
      </c>
      <c r="BO3" s="429" t="s">
        <v>277</v>
      </c>
    </row>
    <row r="4" spans="1:67" ht="16" customHeight="1" thickBot="1" x14ac:dyDescent="0.25">
      <c r="A4" s="181">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Méx</v>
      </c>
      <c r="I4" s="436">
        <f ca="1">+INDEX(WORLDCUP!$AM$6:$AM$97,MATCH(L4,WORLDCUP!$AI$6:$AI$97,0))</f>
        <v>7</v>
      </c>
      <c r="J4" s="437">
        <f ca="1">+INDEX(WORLDCUP!$AT$6:$AT$97,MATCH(L4,WORLDCUP!$AI$6:$AI$97,0))</f>
        <v>2</v>
      </c>
      <c r="K4" s="438" t="str">
        <f ca="1">+INDEX(WORLDCUP!$AR$6:$AR$97,MATCH(L4,WORLDCUP!$AI$6:$AI$97,0))&amp;"-"&amp;INDEX(WORLDCUP!$AS$6:$AS$97,MATCH(L4,WORLDCUP!$AI$6:$AI$97,0))</f>
        <v>4-2</v>
      </c>
      <c r="L4" s="181" t="s">
        <v>83</v>
      </c>
      <c r="M4" s="181">
        <v>15</v>
      </c>
      <c r="N4" s="439"/>
      <c r="O4" s="431" t="str">
        <f ca="1">+MID(INDEX(WORLDCUP!$AA$4:$AA$147,MATCH(M4,WORLDCUP!$AH$4:$AH$147,0)),1,3)</f>
        <v>Irá</v>
      </c>
      <c r="P4" s="432">
        <f>IF(ISBLANK(INDEX(WORLDCUP!$AC$4:$AC$147,MATCH(M4,WORLDCUP!$AH$4:$AH$147,0))),"",INDEX(WORLDCUP!$AC$4:$AC$147,MATCH(M4,WORLDCUP!$AH$4:$AH$147,0)))</f>
        <v>1</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6</v>
      </c>
      <c r="W4" s="438" t="str">
        <f ca="1">+INDEX(WORLDCUP!$AR$6:$AR$97,MATCH(X4,WORLDCUP!$AI$6:$AI$97,0))&amp;"-"&amp;INDEX(WORLDCUP!$AS$6:$AS$97,MATCH(X4,WORLDCUP!$AI$6:$AI$97,0))</f>
        <v>7-1</v>
      </c>
      <c r="X4" s="181" t="s">
        <v>110</v>
      </c>
      <c r="Y4" s="181">
        <v>74</v>
      </c>
      <c r="Z4" s="412" t="s">
        <v>153</v>
      </c>
      <c r="AA4" s="413" t="str">
        <f ca="1">+MID(INDEX(WORLDCUP!$AF$101:$AF$147,MATCH(Y4,WORLDCUP!$Z$101:$Z$147,0)),1,IF(WORLDCUP!$H$113&lt;144,6,3))</f>
        <v>Aus</v>
      </c>
      <c r="AB4" s="440" t="str">
        <f>+IF(ISBLANK(INDEX(WORLDCUP!$AD$101:$AD$147,MATCH(Y4,WORLDCUP!$Z$101:$Z$147,0))),"",INDEX(WORLDCUP!$AD$101:$AD$147,MATCH(Y4,WORLDCUP!$Z$101:$Z$147,0)))</f>
        <v/>
      </c>
      <c r="AC4" s="441" t="str">
        <f>+IF(ISBLANK(INDEX(WORLDCUP!$AE$101:$AE$147,MATCH(Y4,WORLDCUP!$Z$101:$Z$147,0))),"","( "&amp;INDEX(WORLDCUP!$AE$101:$AE$147,MATCH(Y4,WORLDCUP!$Z$101:$Z$147,0))&amp;" )")</f>
        <v/>
      </c>
      <c r="AD4" s="442">
        <v>89</v>
      </c>
      <c r="AE4" s="443" t="str">
        <f>+MID(INDEX(WORLDCUP!$AA$101:$AA$147,MATCH(AD4,WORLDCUP!$Z$101:$Z$147,0)),1,3)</f>
        <v>W74</v>
      </c>
      <c r="AF4" s="444" t="str">
        <f>+IF(ISBLANK(INDEX(WORLDCUP!$AC$101:$AC$147,MATCH(AD4,WORLDCUP!$Z$101:$Z$147,0))),"",INDEX(WORLDCUP!$AC$101:$AC$147,MATCH(AD4,WORLDCUP!$Z$101:$Z$147,0)))</f>
        <v/>
      </c>
      <c r="AG4" s="445" t="str">
        <f>+IF(ISBLANK(INDEX(WORLDCUP!$AB$101:$AB$147,MATCH(AD4,WORLDCUP!$Z$101:$Z$147,0))),"","( "&amp;INDEX(WORLDCUP!$AB$101:$AB$147,MATCH(AD4,WORLDCUP!$Z$101:$Z$147,0))&amp;" )")</f>
        <v/>
      </c>
      <c r="AH4" s="181"/>
      <c r="AI4" s="446"/>
      <c r="AJ4" s="446"/>
      <c r="AK4" s="446"/>
      <c r="AL4" s="402"/>
      <c r="AM4" s="418"/>
      <c r="AN4" s="418"/>
      <c r="AO4" s="418"/>
      <c r="AP4" s="181"/>
      <c r="AQ4" s="447"/>
      <c r="AR4" s="447"/>
      <c r="AS4" s="447"/>
      <c r="AT4" s="181"/>
      <c r="AU4" s="420"/>
      <c r="AV4" s="420"/>
      <c r="AW4" s="420"/>
      <c r="AX4" s="181"/>
      <c r="AY4" s="448"/>
      <c r="AZ4" s="153"/>
      <c r="BA4" s="153"/>
      <c r="BB4" s="153"/>
      <c r="BC4" s="153"/>
      <c r="BD4" s="153"/>
      <c r="BE4" s="153"/>
      <c r="BG4" s="449" t="str">
        <f ca="1">Horarios!Q3</f>
        <v>Alemania</v>
      </c>
      <c r="BH4" s="450">
        <f t="shared" ref="BH4:BH51" ca="1" si="0">1-SUM(BI4:BO4)</f>
        <v>0</v>
      </c>
      <c r="BI4" s="450">
        <f ca="1">COUNTIF(Pool!$C$130:$C$161,Fixture!BG4)-BJ4-BK4-BL4-BM4-BN4-BO4</f>
        <v>1</v>
      </c>
      <c r="BJ4" s="451">
        <f ca="1">COUNTIF(Pool!$C$182:$C$197,Fixture!BG4)-BK4-BL4-BM4-BN4-BO4</f>
        <v>0</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x14ac:dyDescent="0.2">
      <c r="A5" s="181">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Cor</v>
      </c>
      <c r="I5" s="38">
        <f ca="1">+INDEX(WORLDCUP!$AM$6:$AM$97,MATCH(L5,WORLDCUP!$AI$6:$AI$97,0))</f>
        <v>5</v>
      </c>
      <c r="J5" s="39">
        <f ca="1">+INDEX(WORLDCUP!$AT$6:$AT$97,MATCH(L5,WORLDCUP!$AI$6:$AI$97,0))</f>
        <v>1</v>
      </c>
      <c r="K5" s="43" t="str">
        <f ca="1">+INDEX(WORLDCUP!$AR$6:$AR$97,MATCH(L5,WORLDCUP!$AI$6:$AI$97,0))&amp;"-"&amp;INDEX(WORLDCUP!$AS$6:$AS$97,MATCH(L5,WORLDCUP!$AI$6:$AI$97,0))</f>
        <v>3-2</v>
      </c>
      <c r="L5" s="181" t="s">
        <v>84</v>
      </c>
      <c r="M5" s="181">
        <v>39</v>
      </c>
      <c r="N5" s="439"/>
      <c r="O5" s="431" t="str">
        <f ca="1">+MID(INDEX(WORLDCUP!$AA$4:$AA$147,MATCH(M5,WORLDCUP!$AH$4:$AH$147,0)),1,3)</f>
        <v>Bél</v>
      </c>
      <c r="P5" s="432">
        <f>IF(ISBLANK(INDEX(WORLDCUP!$AC$4:$AC$147,MATCH(M5,WORLDCUP!$AH$4:$AH$147,0))),"",INDEX(WORLDCUP!$AC$4:$AC$147,MATCH(M5,WORLDCUP!$AH$4:$AH$147,0)))</f>
        <v>3</v>
      </c>
      <c r="Q5" s="432">
        <f>IF(ISBLANK(INDEX(WORLDCUP!$AD$4:$AD$147,MATCH(M5,WORLDCUP!$AH$4:$AH$147,0))),"",INDEX(WORLDCUP!$AD$4:$AD$147,MATCH(M5,WORLDCUP!$AH$4:$AH$147,0)))</f>
        <v>1</v>
      </c>
      <c r="R5" s="433" t="str">
        <f ca="1">+MID(INDEX(WORLDCUP!$AF$4:$AF$147,MATCH(M5,WORLDCUP!$AH$4:$AH$147,0)),1,3)</f>
        <v>Irá</v>
      </c>
      <c r="S5" s="454">
        <v>2</v>
      </c>
      <c r="T5" s="455" t="str">
        <f ca="1">+MID(INDEX(WORLDCUP!$AL$6:$AL$97,MATCH(X5,WORLDCUP!$AI$6:$AI$97,0)),1,3)</f>
        <v>Irá</v>
      </c>
      <c r="U5" s="38">
        <f ca="1">+INDEX(WORLDCUP!$AM$6:$AM$97,MATCH(X5,WORLDCUP!$AI$6:$AI$97,0))</f>
        <v>4</v>
      </c>
      <c r="V5" s="39">
        <f ca="1">+INDEX(WORLDCUP!$AT$6:$AT$97,MATCH(X5,WORLDCUP!$AI$6:$AI$97,0))</f>
        <v>-1</v>
      </c>
      <c r="W5" s="43" t="str">
        <f ca="1">+INDEX(WORLDCUP!$AR$6:$AR$97,MATCH(X5,WORLDCUP!$AI$6:$AI$97,0))&amp;"-"&amp;INDEX(WORLDCUP!$AS$6:$AS$97,MATCH(X5,WORLDCUP!$AI$6:$AI$97,0))</f>
        <v>4-5</v>
      </c>
      <c r="X5" s="181" t="s">
        <v>111</v>
      </c>
      <c r="Y5" s="181"/>
      <c r="Z5" s="412"/>
      <c r="AA5" s="456"/>
      <c r="AB5" s="456"/>
      <c r="AC5" s="457"/>
      <c r="AD5" s="181">
        <v>89</v>
      </c>
      <c r="AE5" s="443" t="str">
        <f>+MID(INDEX(WORLDCUP!$AF$101:$AF$147,MATCH(AD5,WORLDCUP!$Z$101:$Z$147,0)),1,3)</f>
        <v>W77</v>
      </c>
      <c r="AF5" s="444" t="str">
        <f>+IF(ISBLANK(INDEX(WORLDCUP!$AD$101:$AD$147,MATCH(AD5,WORLDCUP!$Z$101:$Z$147,0))),"",INDEX(WORLDCUP!$AD$101:$AD$147,MATCH(AD5,WORLDCUP!$Z$101:$Z$147,0)))</f>
        <v/>
      </c>
      <c r="AG5" s="458" t="str">
        <f>+IF(ISBLANK(INDEX(WORLDCUP!$AE$101:$AE$147,MATCH(AD5,WORLDCUP!$Z$101:$Z$147,0))),"","( "&amp;INDEX(WORLDCUP!$AE$101:$AE$147,MATCH(AD5,WORLDCUP!$Z$101:$Z$147,0))&amp;" )")</f>
        <v/>
      </c>
      <c r="AH5" s="181"/>
      <c r="AI5" s="446"/>
      <c r="AJ5" s="446"/>
      <c r="AK5" s="446"/>
      <c r="AL5" s="402"/>
      <c r="AM5" s="418"/>
      <c r="AN5" s="418"/>
      <c r="AO5" s="418"/>
      <c r="AP5" s="181"/>
      <c r="AQ5" s="447"/>
      <c r="AR5" s="447"/>
      <c r="AS5" s="447"/>
      <c r="AT5" s="181"/>
      <c r="AU5" s="420"/>
      <c r="AV5" s="420"/>
      <c r="AW5" s="420"/>
      <c r="AX5" s="181"/>
      <c r="AY5" s="153"/>
      <c r="AZ5" s="153"/>
      <c r="BA5" s="153"/>
      <c r="BB5" s="153"/>
      <c r="BC5" s="153"/>
      <c r="BD5" s="153"/>
      <c r="BE5" s="153"/>
      <c r="BG5" s="449" t="str">
        <f ca="1">Horarios!Q4</f>
        <v>Arabia Saudita</v>
      </c>
      <c r="BH5" s="450">
        <f t="shared" ca="1" si="0"/>
        <v>0</v>
      </c>
      <c r="BI5" s="450">
        <f ca="1">COUNTIF(Pool!$C$130:$C$161,Fixture!BG5)-BJ5-BK5-BL5-BM5-BN5-BO5</f>
        <v>1</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6" customHeight="1" thickBot="1" x14ac:dyDescent="0.25">
      <c r="A6" s="181">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1</v>
      </c>
      <c r="F6" s="433" t="str">
        <f ca="1">+MID(INDEX(WORLDCUP!$AF$4:$AF$147,MATCH(A6,WORLDCUP!$AH$4:$AH$147,0)),1,3)</f>
        <v>Cor</v>
      </c>
      <c r="G6" s="454">
        <v>3</v>
      </c>
      <c r="H6" s="455" t="str">
        <f ca="1">+MID(INDEX(WORLDCUP!$AL$6:$AL$97,MATCH(L6,WORLDCUP!$AI$6:$AI$97,0)),1,3)</f>
        <v>Rep</v>
      </c>
      <c r="I6" s="38">
        <f ca="1">+INDEX(WORLDCUP!$AM$6:$AM$97,MATCH(L6,WORLDCUP!$AI$6:$AI$97,0))</f>
        <v>4</v>
      </c>
      <c r="J6" s="39">
        <f ca="1">+INDEX(WORLDCUP!$AT$6:$AT$97,MATCH(L6,WORLDCUP!$AI$6:$AI$97,0))</f>
        <v>0</v>
      </c>
      <c r="K6" s="43" t="str">
        <f ca="1">+INDEX(WORLDCUP!$AR$6:$AR$97,MATCH(L6,WORLDCUP!$AI$6:$AI$97,0))&amp;"-"&amp;INDEX(WORLDCUP!$AS$6:$AS$97,MATCH(L6,WORLDCUP!$AI$6:$AI$97,0))</f>
        <v>2-2</v>
      </c>
      <c r="L6" s="181" t="s">
        <v>85</v>
      </c>
      <c r="M6" s="181">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Egi</v>
      </c>
      <c r="U6" s="38">
        <f ca="1">+INDEX(WORLDCUP!$AM$6:$AM$97,MATCH(X6,WORLDCUP!$AI$6:$AI$97,0))</f>
        <v>3</v>
      </c>
      <c r="V6" s="39">
        <f ca="1">+INDEX(WORLDCUP!$AT$6:$AT$97,MATCH(X6,WORLDCUP!$AI$6:$AI$97,0))</f>
        <v>-2</v>
      </c>
      <c r="W6" s="43" t="str">
        <f ca="1">+INDEX(WORLDCUP!$AR$6:$AR$97,MATCH(X6,WORLDCUP!$AI$6:$AI$97,0))&amp;"-"&amp;INDEX(WORLDCUP!$AS$6:$AS$97,MATCH(X6,WORLDCUP!$AI$6:$AI$97,0))</f>
        <v>3-5</v>
      </c>
      <c r="X6" s="181" t="s">
        <v>112</v>
      </c>
      <c r="Y6" s="181">
        <v>77</v>
      </c>
      <c r="Z6" s="412" t="s">
        <v>119</v>
      </c>
      <c r="AA6" s="413" t="str">
        <f ca="1">+MID(INDEX(WORLDCUP!$AA$101:$AA$147,MATCH(Y6,WORLDCUP!$Z$101:$Z$147,0)),1,3)</f>
        <v>Fra</v>
      </c>
      <c r="AB6" s="459" t="str">
        <f>+IF(ISBLANK(INDEX(WORLDCUP!$AC$101:$AC$147,MATCH(Y6,WORLDCUP!$Z$101:$Z$147,0))),"",INDEX(WORLDCUP!$AC$101:$AC$147,MATCH(Y6,WORLDCUP!$Z$101:$Z$147,0)))</f>
        <v/>
      </c>
      <c r="AC6" s="460" t="str">
        <f>+IF(ISBLANK(INDEX(WORLDCUP!$AB$101:$AB$147,MATCH(Y6,WORLDCUP!$Z$101:$Z$147,0))),"","( "&amp;INDEX(WORLDCUP!$AB$101:$AB$147,MATCH(Y6,WORLDCUP!$Z$101:$Z$147,0))&amp;" )")</f>
        <v/>
      </c>
      <c r="AD6" s="181"/>
      <c r="AE6" s="461"/>
      <c r="AF6" s="461"/>
      <c r="AG6" s="462"/>
      <c r="AH6" s="181"/>
      <c r="AI6" s="446"/>
      <c r="AJ6" s="446"/>
      <c r="AK6" s="446"/>
      <c r="AL6" s="402"/>
      <c r="AM6" s="418"/>
      <c r="AN6" s="418"/>
      <c r="AO6" s="418"/>
      <c r="AP6" s="181"/>
      <c r="AQ6" s="447"/>
      <c r="AR6" s="447"/>
      <c r="AS6" s="447"/>
      <c r="AT6" s="181"/>
      <c r="AU6" s="420"/>
      <c r="AV6" s="420"/>
      <c r="AW6" s="420"/>
      <c r="AX6" s="181"/>
      <c r="AY6" s="153"/>
      <c r="AZ6" s="153"/>
      <c r="BA6" s="153"/>
      <c r="BB6" s="153"/>
      <c r="BC6" s="153"/>
      <c r="BD6" s="153"/>
      <c r="BE6" s="153"/>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6" customHeight="1" thickBot="1" x14ac:dyDescent="0.25">
      <c r="A7" s="181">
        <v>53</v>
      </c>
      <c r="B7" s="430"/>
      <c r="C7" s="431" t="str">
        <f ca="1">+MID(INDEX(WORLDCUP!$AA$4:$AA$147,MATCH(A7,WORLDCUP!$AH$4:$AH$147,0)),1,3)</f>
        <v>Rep</v>
      </c>
      <c r="D7" s="432">
        <f>IF(ISBLANK(INDEX(WORLDCUP!$AC$4:$AC$147,MATCH(A7,WORLDCUP!$AH$4:$AH$147,0))),"",INDEX(WORLDCUP!$AC$4:$AC$147,MATCH(A7,WORLDCUP!$AH$4:$AH$147,0)))</f>
        <v>0</v>
      </c>
      <c r="E7" s="432">
        <f>IF(ISBLANK(INDEX(WORLDCUP!$AD$4:$AD$147,MATCH(A7,WORLDCUP!$AH$4:$AH$147,0))),"",INDEX(WORLDCUP!$AD$4:$AD$147,MATCH(A7,WORLDCUP!$AH$4:$AH$147,0)))</f>
        <v>1</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-3</v>
      </c>
      <c r="K7" s="466" t="str">
        <f ca="1">+INDEX(WORLDCUP!$AR$6:$AR$97,MATCH(L7,WORLDCUP!$AI$6:$AI$97,0))&amp;"-"&amp;INDEX(WORLDCUP!$AS$6:$AS$97,MATCH(L7,WORLDCUP!$AI$6:$AI$97,0))</f>
        <v>1-4</v>
      </c>
      <c r="L7" s="181" t="s">
        <v>86</v>
      </c>
      <c r="M7" s="181">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2</v>
      </c>
      <c r="R7" s="433" t="str">
        <f ca="1">+MID(INDEX(WORLDCUP!$AF$4:$AF$147,MATCH(M7,WORLDCUP!$AH$4:$AH$147,0)),1,3)</f>
        <v>Irá</v>
      </c>
      <c r="S7" s="454">
        <v>4</v>
      </c>
      <c r="T7" s="463" t="str">
        <f ca="1">+MID(INDEX(WORLDCUP!$AL$6:$AL$97,MATCH(X7,WORLDCUP!$AI$6:$AI$97,0)),1,3)</f>
        <v>Nue</v>
      </c>
      <c r="U7" s="464">
        <f ca="1">+INDEX(WORLDCUP!$AM$6:$AM$97,MATCH(X7,WORLDCUP!$AI$6:$AI$97,0))</f>
        <v>1</v>
      </c>
      <c r="V7" s="465">
        <f ca="1">+INDEX(WORLDCUP!$AT$6:$AT$97,MATCH(X7,WORLDCUP!$AI$6:$AI$97,0))</f>
        <v>-3</v>
      </c>
      <c r="W7" s="466" t="str">
        <f ca="1">+INDEX(WORLDCUP!$AR$6:$AR$97,MATCH(X7,WORLDCUP!$AI$6:$AI$97,0))&amp;"-"&amp;INDEX(WORLDCUP!$AS$6:$AS$97,MATCH(X7,WORLDCUP!$AI$6:$AI$97,0))</f>
        <v>2-5</v>
      </c>
      <c r="X7" s="181" t="s">
        <v>113</v>
      </c>
      <c r="Y7" s="181">
        <v>77</v>
      </c>
      <c r="Z7" s="412" t="s">
        <v>162</v>
      </c>
      <c r="AA7" s="467" t="str">
        <f ca="1">+MID(INDEX(WORLDCUP!$AF$101:$AF$147,MATCH(Y7,WORLDCUP!$Z$101:$Z$147,0)),1,IF(WORLDCUP!$H$113&lt;144,6,3))</f>
        <v>Egi</v>
      </c>
      <c r="AB7" s="468" t="str">
        <f>+IF(ISBLANK(INDEX(WORLDCUP!$AD$101:$AD$147,MATCH(Y7,WORLDCUP!$Z$101:$Z$147,0))),"",INDEX(WORLDCUP!$AD$101:$AD$147,MATCH(Y7,WORLDCUP!$Z$101:$Z$147,0)))</f>
        <v/>
      </c>
      <c r="AC7" s="469" t="str">
        <f>+IF(ISBLANK(INDEX(WORLDCUP!$AE$101:$AE$147,MATCH(Y7,WORLDCUP!$Z$101:$Z$147,0))),"","( "&amp;INDEX(WORLDCUP!$AE$101:$AE$147,MATCH(Y7,WORLDCUP!$Z$101:$Z$147,0))&amp;" )")</f>
        <v/>
      </c>
      <c r="AD7" s="181"/>
      <c r="AE7" s="461"/>
      <c r="AF7" s="461"/>
      <c r="AG7" s="462"/>
      <c r="AH7" s="442">
        <v>97</v>
      </c>
      <c r="AI7" s="470" t="str">
        <f>+MID(INDEX(WORLDCUP!$AA$101:$AA$147,MATCH(AH7,WORLDCUP!$Z$101:$Z$147,0)),1,3)</f>
        <v>W89</v>
      </c>
      <c r="AJ7" s="471" t="str">
        <f>+IF(ISBLANK(INDEX(WORLDCUP!$AC$101:$AC$147,MATCH(AH7,WORLDCUP!$Z$101:$Z$147,0))),"",INDEX(WORLDCUP!$AC$101:$AC$147,MATCH(AH7,WORLDCUP!$Z$101:$Z$147,0)))</f>
        <v/>
      </c>
      <c r="AK7" s="472" t="str">
        <f>+IF(ISBLANK(INDEX(WORLDCUP!$AB$101:$AB$147,MATCH(AH7,WORLDCUP!$Z$101:$Z$147,0))),"","( "&amp;INDEX(WORLDCUP!$AB$101:$AB$147,MATCH(AH7,WORLDCUP!$Z$101:$Z$147,0))&amp;" )")</f>
        <v/>
      </c>
      <c r="AL7" s="402"/>
      <c r="AM7" s="418"/>
      <c r="AN7" s="418"/>
      <c r="AO7" s="418"/>
      <c r="AP7" s="181"/>
      <c r="AQ7" s="447"/>
      <c r="AR7" s="447"/>
      <c r="AS7" s="447"/>
      <c r="AT7" s="181"/>
      <c r="AU7" s="420"/>
      <c r="AV7" s="420"/>
      <c r="AW7" s="420"/>
      <c r="AX7" s="181"/>
      <c r="AY7" s="153"/>
      <c r="AZ7" s="153"/>
      <c r="BA7" s="153"/>
      <c r="BB7" s="153"/>
      <c r="BC7" s="153"/>
      <c r="BD7" s="153"/>
      <c r="BE7" s="153"/>
      <c r="BG7" s="449" t="str">
        <f ca="1">Horarios!Q6</f>
        <v>Argentina</v>
      </c>
      <c r="BH7" s="450">
        <f t="shared" ca="1" si="0"/>
        <v>0</v>
      </c>
      <c r="BI7" s="450">
        <f ca="1">COUNTIF(Pool!$C$130:$C$161,Fixture!BG7)-BJ7-BK7-BL7-BM7-BN7-BO7</f>
        <v>1</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0</v>
      </c>
      <c r="BO7" s="453">
        <f ca="1">COUNTIF(Pool!$C$250,Fixture!BG7)</f>
        <v>0</v>
      </c>
    </row>
    <row r="8" spans="1:67" ht="16" customHeight="1" thickBot="1" x14ac:dyDescent="0.25">
      <c r="A8" s="181">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1</v>
      </c>
      <c r="F8" s="476" t="str">
        <f ca="1">+MID(INDEX(WORLDCUP!$AF$4:$AF$147,MATCH(A8,WORLDCUP!$AH$4:$AH$147,0)),1,3)</f>
        <v>Cor</v>
      </c>
      <c r="G8" s="477"/>
      <c r="H8" s="477"/>
      <c r="I8" s="478"/>
      <c r="J8" s="478"/>
      <c r="K8" s="479"/>
      <c r="L8" s="181"/>
      <c r="M8" s="181">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2</v>
      </c>
      <c r="R8" s="476" t="str">
        <f ca="1">+MID(INDEX(WORLDCUP!$AF$4:$AF$147,MATCH(M8,WORLDCUP!$AH$4:$AH$147,0)),1,3)</f>
        <v>Bél</v>
      </c>
      <c r="S8" s="477"/>
      <c r="T8" s="477"/>
      <c r="U8" s="478"/>
      <c r="V8" s="478"/>
      <c r="W8" s="479"/>
      <c r="X8" s="181"/>
      <c r="Y8" s="181"/>
      <c r="Z8" s="412"/>
      <c r="AA8" s="481"/>
      <c r="AB8" s="481"/>
      <c r="AC8" s="481"/>
      <c r="AD8" s="181"/>
      <c r="AE8" s="416"/>
      <c r="AF8" s="416"/>
      <c r="AG8" s="462"/>
      <c r="AH8" s="181">
        <v>97</v>
      </c>
      <c r="AI8" s="470" t="str">
        <f>+MID(INDEX(WORLDCUP!$AF$101:$AF$147,MATCH(AH8,WORLDCUP!$Z$101:$Z$147,0)),1,3)</f>
        <v>W90</v>
      </c>
      <c r="AJ8" s="471" t="str">
        <f>+IF(ISBLANK(INDEX(WORLDCUP!$AD$101:$AD$147,MATCH(AH8,WORLDCUP!$Z$101:$Z$147,0))),"",INDEX(WORLDCUP!$AD$101:$AD$147,MATCH(AH8,WORLDCUP!$Z$101:$Z$147,0)))</f>
        <v/>
      </c>
      <c r="AK8" s="482" t="str">
        <f>+IF(ISBLANK(INDEX(WORLDCUP!$AE$101:$AE$147,MATCH(AH8,WORLDCUP!$Z$101:$Z$147,0))),"","( "&amp;INDEX(WORLDCUP!$AE$101:$AE$147,MATCH(AH8,WORLDCUP!$Z$101:$Z$147,0))&amp;" )")</f>
        <v/>
      </c>
      <c r="AL8" s="402"/>
      <c r="AM8" s="418"/>
      <c r="AN8" s="418"/>
      <c r="AO8" s="418"/>
      <c r="AP8" s="181"/>
      <c r="AQ8" s="447"/>
      <c r="AR8" s="447"/>
      <c r="AS8" s="447"/>
      <c r="AT8" s="181"/>
      <c r="AU8" s="420"/>
      <c r="AV8" s="420"/>
      <c r="AW8" s="420"/>
      <c r="AX8" s="181"/>
      <c r="AY8" s="153"/>
      <c r="AZ8" s="153"/>
      <c r="BA8" s="153"/>
      <c r="BB8" s="153"/>
      <c r="BC8" s="153"/>
      <c r="BD8" s="153"/>
      <c r="BE8" s="153"/>
      <c r="BG8" s="449" t="str">
        <f ca="1">Horarios!Q7</f>
        <v>Australia</v>
      </c>
      <c r="BH8" s="450">
        <f t="shared" ca="1" si="0"/>
        <v>0</v>
      </c>
      <c r="BI8" s="450">
        <f ca="1">COUNTIF(Pool!$C$130:$C$161,Fixture!BG8)-BJ8-BK8-BL8-BM8-BN8-BO8</f>
        <v>1</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6" customHeight="1" thickBot="1" x14ac:dyDescent="0.25">
      <c r="A9" s="181"/>
      <c r="B9" s="398"/>
      <c r="C9" s="483"/>
      <c r="D9" s="484"/>
      <c r="E9" s="484"/>
      <c r="F9" s="153"/>
      <c r="G9" s="153"/>
      <c r="H9" s="483"/>
      <c r="I9" s="153"/>
      <c r="J9" s="153"/>
      <c r="K9" s="153"/>
      <c r="L9" s="181"/>
      <c r="M9" s="181"/>
      <c r="N9" s="151"/>
      <c r="O9" s="483"/>
      <c r="P9" s="484"/>
      <c r="Q9" s="484"/>
      <c r="R9" s="153"/>
      <c r="S9" s="153"/>
      <c r="T9" s="483"/>
      <c r="U9" s="153"/>
      <c r="V9" s="153"/>
      <c r="W9" s="153"/>
      <c r="X9" s="181"/>
      <c r="Y9" s="181">
        <v>73</v>
      </c>
      <c r="Z9" s="412" t="s">
        <v>84</v>
      </c>
      <c r="AA9" s="413" t="str">
        <f ca="1">+MID(INDEX(WORLDCUP!$AA$101:$AA$147,MATCH(Y9,WORLDCUP!$Z$101:$Z$147,0)),1,3)</f>
        <v>Cor</v>
      </c>
      <c r="AB9" s="414" t="str">
        <f>+IF(ISBLANK(INDEX(WORLDCUP!$AC$101:$AC$147,MATCH(Y9,WORLDCUP!$Z$101:$Z$147,0))),"",INDEX(WORLDCUP!$AC$101:$AC$147,MATCH(Y9,WORLDCUP!$Z$101:$Z$147,0)))</f>
        <v/>
      </c>
      <c r="AC9" s="485" t="str">
        <f>+IF(ISBLANK(INDEX(WORLDCUP!$AB$101:$AB$147,MATCH(Y9,WORLDCUP!$Z$101:$Z$147,0))),"","( "&amp;INDEX(WORLDCUP!$AB$101:$AB$147,MATCH(Y9,WORLDCUP!$Z$101:$Z$147,0))&amp;" )")</f>
        <v/>
      </c>
      <c r="AD9" s="179"/>
      <c r="AE9" s="416"/>
      <c r="AF9" s="416"/>
      <c r="AG9" s="462"/>
      <c r="AH9" s="181"/>
      <c r="AI9" s="446"/>
      <c r="AJ9" s="446"/>
      <c r="AK9" s="486"/>
      <c r="AL9" s="402"/>
      <c r="AM9" s="418"/>
      <c r="AN9" s="418"/>
      <c r="AO9" s="418"/>
      <c r="AP9" s="181"/>
      <c r="AQ9" s="447"/>
      <c r="AR9" s="447"/>
      <c r="AS9" s="447"/>
      <c r="AT9" s="181"/>
      <c r="AU9" s="420"/>
      <c r="AV9" s="420"/>
      <c r="AW9" s="420"/>
      <c r="AX9" s="181"/>
      <c r="AY9" s="153"/>
      <c r="AZ9" s="153"/>
      <c r="BA9" s="153"/>
      <c r="BB9" s="153"/>
      <c r="BC9" s="153"/>
      <c r="BD9" s="153"/>
      <c r="BE9" s="153"/>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6" customHeight="1" thickBot="1" x14ac:dyDescent="0.25">
      <c r="A10" s="181"/>
      <c r="B10" s="398"/>
      <c r="C10" s="483"/>
      <c r="D10" s="484"/>
      <c r="E10" s="484"/>
      <c r="F10" s="153"/>
      <c r="G10" s="153"/>
      <c r="H10" s="483"/>
      <c r="I10" s="153"/>
      <c r="J10" s="153"/>
      <c r="K10" s="153"/>
      <c r="L10" s="181"/>
      <c r="M10" s="181"/>
      <c r="N10" s="151"/>
      <c r="O10" s="483"/>
      <c r="P10" s="484"/>
      <c r="Q10" s="484"/>
      <c r="R10" s="153"/>
      <c r="S10" s="153"/>
      <c r="T10" s="483"/>
      <c r="U10" s="153"/>
      <c r="V10" s="153"/>
      <c r="W10" s="153"/>
      <c r="X10" s="181"/>
      <c r="Y10" s="181">
        <v>73</v>
      </c>
      <c r="Z10" s="412" t="s">
        <v>88</v>
      </c>
      <c r="AA10" s="413" t="str">
        <f ca="1">+MID(INDEX(WORLDCUP!$AF$101:$AF$147,MATCH(Y10,WORLDCUP!$Z$101:$Z$147,0)),1,3)</f>
        <v>Can</v>
      </c>
      <c r="AB10" s="440" t="str">
        <f>+IF(ISBLANK(INDEX(WORLDCUP!$AD$101:$AD$147,MATCH(Y10,WORLDCUP!$Z$101:$Z$147,0))),"",INDEX(WORLDCUP!$AD$101:$AD$147,MATCH(Y10,WORLDCUP!$Z$101:$Z$147,0)))</f>
        <v/>
      </c>
      <c r="AC10" s="441" t="str">
        <f>+IF(ISBLANK(INDEX(WORLDCUP!$AE$101:$AE$147,MATCH(Y10,WORLDCUP!$Z$101:$Z$147,0))),"","( "&amp;INDEX(WORLDCUP!$AE$101:$AE$147,MATCH(Y10,WORLDCUP!$Z$101:$Z$147,0))&amp;" )")</f>
        <v/>
      </c>
      <c r="AD10" s="487">
        <v>90</v>
      </c>
      <c r="AE10" s="443" t="str">
        <f>+MID(INDEX(WORLDCUP!$AA$101:$AA$147,MATCH(AD10,WORLDCUP!$Z$101:$Z$147,0)),1,3)</f>
        <v>W73</v>
      </c>
      <c r="AF10" s="444" t="str">
        <f>+IF(ISBLANK(INDEX(WORLDCUP!$AC$101:$AC$147,MATCH(AD10,WORLDCUP!$Z$101:$Z$147,0))),"",INDEX(WORLDCUP!$AC$101:$AC$147,MATCH(AD10,WORLDCUP!$Z$101:$Z$147,0)))</f>
        <v/>
      </c>
      <c r="AG10" s="488" t="str">
        <f>+IF(ISBLANK(INDEX(WORLDCUP!$AB$101:$AB$147,MATCH(AD10,WORLDCUP!$Z$101:$Z$147,0))),"","( "&amp;INDEX(WORLDCUP!$AB$101:$AB$147,MATCH(AD10,WORLDCUP!$Z$101:$Z$147,0))&amp;" )")</f>
        <v/>
      </c>
      <c r="AH10" s="181"/>
      <c r="AI10" s="446"/>
      <c r="AJ10" s="446"/>
      <c r="AK10" s="486"/>
      <c r="AL10" s="402"/>
      <c r="AM10" s="418"/>
      <c r="AN10" s="418"/>
      <c r="AO10" s="418"/>
      <c r="AP10" s="181"/>
      <c r="AQ10" s="447"/>
      <c r="AR10" s="447"/>
      <c r="AS10" s="447"/>
      <c r="AT10" s="181"/>
      <c r="AU10" s="420"/>
      <c r="AV10" s="420"/>
      <c r="AW10" s="420"/>
      <c r="AX10" s="181"/>
      <c r="AY10" s="153"/>
      <c r="AZ10" s="151"/>
      <c r="BA10" s="151"/>
      <c r="BB10" s="147"/>
      <c r="BC10" s="483"/>
      <c r="BD10" s="484"/>
      <c r="BE10" s="484"/>
      <c r="BF10" s="2"/>
      <c r="BG10" s="449" t="str">
        <f ca="1">Horarios!Q9</f>
        <v>Bélgica</v>
      </c>
      <c r="BH10" s="450">
        <f t="shared" ca="1" si="0"/>
        <v>0</v>
      </c>
      <c r="BI10" s="450">
        <f ca="1">COUNTIF(Pool!$C$130:$C$161,Fixture!BG10)-BJ10-BK10-BL10-BM10-BN10-BO10</f>
        <v>1</v>
      </c>
      <c r="BJ10" s="451">
        <f ca="1">COUNTIF(Pool!$C$182:$C$197,Fixture!BG10)-BK10-BL10-BM10-BN10-BO10</f>
        <v>0</v>
      </c>
      <c r="BK10" s="452">
        <f ca="1">COUNTIF(Pool!$C$210:$C$217,Fixture!BG10)-BL10-BM10-BN10-BO10</f>
        <v>0</v>
      </c>
      <c r="BL10" s="452">
        <f ca="1">COUNTIF(Pool!$C$226:$C$229,Fixture!BG10)-BM10-BN10-BO10</f>
        <v>0</v>
      </c>
      <c r="BM10" s="450">
        <f ca="1">COUNTIF(Pool!$C$252,Fixture!BG10)</f>
        <v>0</v>
      </c>
      <c r="BN10" s="450">
        <f ca="1">COUNTIF(Pool!$C$251,Fixture!BG10)</f>
        <v>0</v>
      </c>
      <c r="BO10" s="453">
        <f ca="1">COUNTIF(Pool!$C$250,Fixture!BG10)</f>
        <v>0</v>
      </c>
    </row>
    <row r="11" spans="1:67" x14ac:dyDescent="0.2">
      <c r="A11" s="181">
        <v>3</v>
      </c>
      <c r="B11" s="489" t="s">
        <v>89</v>
      </c>
      <c r="C11" s="404" t="str">
        <f ca="1">+MID(INDEX(WORLDCUP!$AA$4:$AA$147,MATCH(A11,WORLDCUP!$AH$4:$AH$147,0)),1,3)</f>
        <v>Can</v>
      </c>
      <c r="D11" s="405">
        <f>IF(ISBLANK(INDEX(WORLDCUP!$AC$4:$AC$147,MATCH(A11,WORLDCUP!$AH$4:$AH$147,0))),"",INDEX(WORLDCUP!$AC$4:$AC$147,MATCH(A11,WORLDCUP!$AH$4:$AH$147,0)))</f>
        <v>1</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81"/>
      <c r="M11" s="181">
        <v>14</v>
      </c>
      <c r="N11" s="490" t="s">
        <v>139</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+U3</f>
        <v>Pts</v>
      </c>
      <c r="V11" s="409" t="str">
        <f>+V3</f>
        <v>DG</v>
      </c>
      <c r="W11" s="410" t="str">
        <f>+W3</f>
        <v>GF-GC</v>
      </c>
      <c r="X11" s="181"/>
      <c r="Y11" s="181"/>
      <c r="Z11" s="412"/>
      <c r="AA11" s="456"/>
      <c r="AB11" s="456"/>
      <c r="AC11" s="457"/>
      <c r="AD11" s="181">
        <v>90</v>
      </c>
      <c r="AE11" s="443" t="str">
        <f>+MID(INDEX(WORLDCUP!$AF$101:$AF$147,MATCH(AD11,WORLDCUP!$Z$101:$Z$147,0)),1,3)</f>
        <v>W75</v>
      </c>
      <c r="AF11" s="444" t="str">
        <f>+IF(ISBLANK(INDEX(WORLDCUP!$AD$101:$AD$147,MATCH(AD11,WORLDCUP!$Z$101:$Z$147,0))),"",INDEX(WORLDCUP!$AD$101:$AD$147,MATCH(AD11,WORLDCUP!$Z$101:$Z$147,0)))</f>
        <v/>
      </c>
      <c r="AG11" s="461" t="str">
        <f>+IF(ISBLANK(INDEX(WORLDCUP!$AE$101:$AE$147,MATCH(AD11,WORLDCUP!$Z$101:$Z$147,0))),"","( "&amp;INDEX(WORLDCUP!$AE$101:$AE$147,MATCH(AD11,WORLDCUP!$Z$101:$Z$147,0))&amp;" )")</f>
        <v/>
      </c>
      <c r="AH11" s="181"/>
      <c r="AI11" s="446"/>
      <c r="AJ11" s="446"/>
      <c r="AK11" s="486"/>
      <c r="AL11" s="402"/>
      <c r="AM11" s="418"/>
      <c r="AN11" s="418"/>
      <c r="AO11" s="418"/>
      <c r="AP11" s="181"/>
      <c r="AQ11" s="447"/>
      <c r="AR11" s="447"/>
      <c r="AS11" s="447"/>
      <c r="AT11" s="181"/>
      <c r="AU11" s="420"/>
      <c r="AV11" s="420"/>
      <c r="AW11" s="420"/>
      <c r="AX11" s="181"/>
      <c r="AY11" s="153"/>
      <c r="AZ11" s="153"/>
      <c r="BA11" s="153"/>
      <c r="BB11" s="153"/>
      <c r="BC11" s="153"/>
      <c r="BD11" s="153"/>
      <c r="BE11" s="153"/>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6" customHeight="1" thickBot="1" x14ac:dyDescent="0.25">
      <c r="A12" s="181">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1</v>
      </c>
      <c r="F12" s="433" t="str">
        <f ca="1">+MID(INDEX(WORLDCUP!$AF$4:$AF$147,MATCH(A12,WORLDCUP!$AH$4:$AH$147,0)),1,3)</f>
        <v>Sui</v>
      </c>
      <c r="G12" s="434">
        <v>1</v>
      </c>
      <c r="H12" s="435" t="str">
        <f ca="1">+MID(INDEX(WORLDCUP!$AL$6:$AL$97,MATCH(L12,WORLDCUP!$AI$6:$AI$97,0)),1,3)</f>
        <v>Sui</v>
      </c>
      <c r="I12" s="436">
        <f ca="1">+INDEX(WORLDCUP!$AM$6:$AM$97,MATCH(L12,WORLDCUP!$AI$6:$AI$97,0))</f>
        <v>7</v>
      </c>
      <c r="J12" s="437">
        <f ca="1">+INDEX(WORLDCUP!$AT$6:$AT$97,MATCH(L12,WORLDCUP!$AI$6:$AI$97,0))</f>
        <v>3</v>
      </c>
      <c r="K12" s="438" t="str">
        <f ca="1">+INDEX(WORLDCUP!$AR$6:$AR$97,MATCH(L12,WORLDCUP!$AI$6:$AI$97,0))&amp;"-"&amp;INDEX(WORLDCUP!$AS$6:$AS$97,MATCH(L12,WORLDCUP!$AI$6:$AI$97,0))</f>
        <v>5-2</v>
      </c>
      <c r="L12" s="181" t="s">
        <v>87</v>
      </c>
      <c r="M12" s="181">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3</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9</v>
      </c>
      <c r="W12" s="438" t="str">
        <f ca="1">+INDEX(WORLDCUP!$AR$6:$AR$97,MATCH(X12,WORLDCUP!$AI$6:$AI$97,0))&amp;"-"&amp;INDEX(WORLDCUP!$AS$6:$AS$97,MATCH(X12,WORLDCUP!$AI$6:$AI$97,0))</f>
        <v>10-1</v>
      </c>
      <c r="X12" s="181" t="s">
        <v>114</v>
      </c>
      <c r="Y12" s="181">
        <v>75</v>
      </c>
      <c r="Z12" s="412" t="s">
        <v>105</v>
      </c>
      <c r="AA12" s="413" t="str">
        <f ca="1">+MID(INDEX(WORLDCUP!$AA$101:$AA$147,MATCH(Y12,WORLDCUP!$Z$101:$Z$147,0)),1,3)</f>
        <v>Paí</v>
      </c>
      <c r="AB12" s="459" t="str">
        <f>+IF(ISBLANK(INDEX(WORLDCUP!$AC$101:$AC$147,MATCH(Y12,WORLDCUP!$Z$101:$Z$147,0))),"",INDEX(WORLDCUP!$AC$101:$AC$147,MATCH(Y12,WORLDCUP!$Z$101:$Z$147,0)))</f>
        <v/>
      </c>
      <c r="AC12" s="493" t="str">
        <f>+IF(ISBLANK(INDEX(WORLDCUP!$AB$101:$AB$147,MATCH(Y12,WORLDCUP!$Z$101:$Z$147,0))),"","( "&amp;INDEX(WORLDCUP!$AB$101:$AB$147,MATCH(Y12,WORLDCUP!$Z$101:$Z$147,0))&amp;" )")</f>
        <v/>
      </c>
      <c r="AD12" s="181"/>
      <c r="AE12" s="416"/>
      <c r="AF12" s="416"/>
      <c r="AG12" s="416"/>
      <c r="AH12" s="181"/>
      <c r="AI12" s="446"/>
      <c r="AJ12" s="446"/>
      <c r="AK12" s="486"/>
      <c r="AL12" s="402"/>
      <c r="AM12" s="418"/>
      <c r="AN12" s="418"/>
      <c r="AO12" s="418"/>
      <c r="AP12" s="181"/>
      <c r="AQ12" s="447"/>
      <c r="AR12" s="447"/>
      <c r="AS12" s="447"/>
      <c r="AT12" s="181"/>
      <c r="AU12" s="420"/>
      <c r="AV12" s="420"/>
      <c r="AW12" s="420"/>
      <c r="AX12" s="181"/>
      <c r="AY12" s="153"/>
      <c r="AZ12" s="153"/>
      <c r="BA12" s="153"/>
      <c r="BB12" s="153"/>
      <c r="BC12" s="153"/>
      <c r="BD12" s="153"/>
      <c r="BE12" s="153"/>
      <c r="BG12" s="449" t="str">
        <f ca="1">Horarios!Q11</f>
        <v>Brasil</v>
      </c>
      <c r="BH12" s="450">
        <f t="shared" ca="1" si="0"/>
        <v>0</v>
      </c>
      <c r="BI12" s="450">
        <f ca="1">COUNTIF(Pool!$C$130:$C$161,Fixture!BG12)-BJ12-BK12-BL12-BM12-BN12-BO12</f>
        <v>1</v>
      </c>
      <c r="BJ12" s="451">
        <f ca="1">COUNTIF(Pool!$C$182:$C$197,Fixture!BG12)-BK12-BL12-BM12-BN12-BO12</f>
        <v>0</v>
      </c>
      <c r="BK12" s="452">
        <f ca="1">COUNTIF(Pool!$C$210:$C$217,Fixture!BG12)-BL12-BM12-BN12-BO12</f>
        <v>0</v>
      </c>
      <c r="BL12" s="452">
        <f ca="1">COUNTIF(Pool!$C$226:$C$229,Fixture!BG12)-BM12-BN12-BO12</f>
        <v>0</v>
      </c>
      <c r="BM12" s="450">
        <f ca="1">COUNTIF(Pool!$C$252,Fixture!BG12)</f>
        <v>0</v>
      </c>
      <c r="BN12" s="450">
        <f ca="1">COUNTIF(Pool!$C$251,Fixture!BG12)</f>
        <v>0</v>
      </c>
      <c r="BO12" s="453">
        <f ca="1">COUNTIF(Pool!$C$250,Fixture!BG12)</f>
        <v>0</v>
      </c>
    </row>
    <row r="13" spans="1:67" ht="16" customHeight="1" thickBot="1" x14ac:dyDescent="0.25">
      <c r="A13" s="181">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0</v>
      </c>
      <c r="F13" s="433" t="str">
        <f ca="1">+MID(INDEX(WORLDCUP!$AF$4:$AF$147,MATCH(A13,WORLDCUP!$AH$4:$AH$147,0)),1,3)</f>
        <v>Bos</v>
      </c>
      <c r="G13" s="454">
        <v>2</v>
      </c>
      <c r="H13" s="455" t="str">
        <f ca="1">+MID(INDEX(WORLDCUP!$AL$6:$AL$97,MATCH(L13,WORLDCUP!$AI$6:$AI$97,0)),1,3)</f>
        <v>Can</v>
      </c>
      <c r="I13" s="38">
        <f ca="1">+INDEX(WORLDCUP!$AM$6:$AM$97,MATCH(L13,WORLDCUP!$AI$6:$AI$97,0))</f>
        <v>6</v>
      </c>
      <c r="J13" s="39">
        <f ca="1">+INDEX(WORLDCUP!$AT$6:$AT$97,MATCH(L13,WORLDCUP!$AI$6:$AI$97,0))</f>
        <v>1</v>
      </c>
      <c r="K13" s="43" t="str">
        <f ca="1">+INDEX(WORLDCUP!$AR$6:$AR$97,MATCH(L13,WORLDCUP!$AI$6:$AI$97,0))&amp;"-"&amp;INDEX(WORLDCUP!$AS$6:$AS$97,MATCH(L13,WORLDCUP!$AI$6:$AI$97,0))</f>
        <v>4-3</v>
      </c>
      <c r="L13" s="181" t="s">
        <v>88</v>
      </c>
      <c r="M13" s="181">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6-4</v>
      </c>
      <c r="X13" s="181" t="s">
        <v>115</v>
      </c>
      <c r="Y13" s="181">
        <v>75</v>
      </c>
      <c r="Z13" s="412" t="s">
        <v>93</v>
      </c>
      <c r="AA13" s="467" t="str">
        <f ca="1">+MID(INDEX(WORLDCUP!$AF$101:$AF$147,MATCH(Y13,WORLDCUP!$Z$101:$Z$147,0)),1,3)</f>
        <v>Mar</v>
      </c>
      <c r="AB13" s="468" t="str">
        <f>+IF(ISBLANK(INDEX(WORLDCUP!$AD$101:$AD$147,MATCH(Y13,WORLDCUP!$Z$101:$Z$147,0))),"",INDEX(WORLDCUP!$AD$101:$AD$147,MATCH(Y13,WORLDCUP!$Z$101:$Z$147,0)))</f>
        <v/>
      </c>
      <c r="AC13" s="494" t="str">
        <f>+IF(ISBLANK(INDEX(WORLDCUP!$AE$101:$AE$147,MATCH(Y13,WORLDCUP!$Z$101:$Z$147,0))),"","( "&amp;INDEX(WORLDCUP!$AE$101:$AE$147,MATCH(Y13,WORLDCUP!$Z$101:$Z$147,0))&amp;" )")</f>
        <v/>
      </c>
      <c r="AD13" s="181"/>
      <c r="AE13" s="416"/>
      <c r="AF13" s="416"/>
      <c r="AG13" s="416"/>
      <c r="AH13" s="181"/>
      <c r="AI13" s="446"/>
      <c r="AJ13" s="446"/>
      <c r="AK13" s="486"/>
      <c r="AL13" s="487">
        <v>101</v>
      </c>
      <c r="AM13" s="495" t="str">
        <f>+MID(INDEX(WORLDCUP!$AA$101:$AA$147,MATCH(AL13,WORLDCUP!$Z$101:$Z$147,0)),1,3)</f>
        <v>W97</v>
      </c>
      <c r="AN13" s="496" t="str">
        <f>+IF(ISBLANK(INDEX(WORLDCUP!$AC$101:$AC$147,MATCH(AL13,WORLDCUP!$Z$101:$Z$147,0))),"",INDEX(WORLDCUP!$AC$101:$AC$147,MATCH(AL13,WORLDCUP!$Z$101:$Z$147,0)))</f>
        <v/>
      </c>
      <c r="AO13" s="497" t="str">
        <f>+IF(ISBLANK(INDEX(WORLDCUP!$AB$101:$AB$147,MATCH(AL13,WORLDCUP!$Z$101:$Z$147,0))),"","( "&amp;INDEX(WORLDCUP!$AB$101:$AB$147,MATCH(AL13,WORLDCUP!$Z$101:$Z$147,0))&amp;" )")</f>
        <v/>
      </c>
      <c r="AP13" s="181"/>
      <c r="AQ13" s="447"/>
      <c r="AR13" s="447"/>
      <c r="AS13" s="447"/>
      <c r="AT13" s="181"/>
      <c r="AU13" s="420"/>
      <c r="AV13" s="420"/>
      <c r="AW13" s="420"/>
      <c r="AX13" s="181"/>
      <c r="AY13" s="153"/>
      <c r="AZ13" s="153"/>
      <c r="BA13" s="153"/>
      <c r="BB13" s="153"/>
      <c r="BC13" s="153"/>
      <c r="BD13" s="153"/>
      <c r="BE13" s="153"/>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x14ac:dyDescent="0.2">
      <c r="A14" s="181">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Cat</v>
      </c>
      <c r="I14" s="38">
        <f ca="1">+INDEX(WORLDCUP!$AM$6:$AM$97,MATCH(L14,WORLDCUP!$AI$6:$AI$97,0))</f>
        <v>4</v>
      </c>
      <c r="J14" s="39">
        <f ca="1">+INDEX(WORLDCUP!$AT$6:$AT$97,MATCH(L14,WORLDCUP!$AI$6:$AI$97,0))</f>
        <v>1</v>
      </c>
      <c r="K14" s="43" t="str">
        <f ca="1">+INDEX(WORLDCUP!$AR$6:$AR$97,MATCH(L14,WORLDCUP!$AI$6:$AI$97,0))&amp;"-"&amp;INDEX(WORLDCUP!$AS$6:$AS$97,MATCH(L14,WORLDCUP!$AI$6:$AI$97,0))</f>
        <v>4-3</v>
      </c>
      <c r="L14" s="181" t="s">
        <v>90</v>
      </c>
      <c r="M14" s="181">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3-6</v>
      </c>
      <c r="X14" s="181" t="s">
        <v>117</v>
      </c>
      <c r="Y14" s="181"/>
      <c r="Z14" s="412"/>
      <c r="AA14" s="481"/>
      <c r="AB14" s="481"/>
      <c r="AC14" s="481"/>
      <c r="AD14" s="181"/>
      <c r="AE14" s="416"/>
      <c r="AF14" s="416"/>
      <c r="AG14" s="416"/>
      <c r="AH14" s="181"/>
      <c r="AI14" s="446"/>
      <c r="AJ14" s="446"/>
      <c r="AK14" s="486"/>
      <c r="AL14" s="181">
        <v>101</v>
      </c>
      <c r="AM14" s="495" t="str">
        <f>+MID(INDEX(WORLDCUP!$AF$101:$AF$147,MATCH(AL14,WORLDCUP!$Z$101:$Z$147,0)),1,3)</f>
        <v>W98</v>
      </c>
      <c r="AN14" s="496" t="str">
        <f>+IF(ISBLANK(INDEX(WORLDCUP!$AD$101:$AD$147,MATCH(AL14,WORLDCUP!$Z$101:$Z$147,0))),"",INDEX(WORLDCUP!$AD$101:$AD$147,MATCH(AL14,WORLDCUP!$Z$101:$Z$147,0)))</f>
        <v/>
      </c>
      <c r="AO14" s="498" t="str">
        <f>+IF(ISBLANK(INDEX(WORLDCUP!$AE$101:$AE$147,MATCH(AL14,WORLDCUP!$Z$101:$Z$147,0))),"","( "&amp;INDEX(WORLDCUP!$AE$101:$AE$147,MATCH(AL14,WORLDCUP!$Z$101:$Z$147,0))&amp;" )")</f>
        <v/>
      </c>
      <c r="AP14" s="181"/>
      <c r="AQ14" s="447"/>
      <c r="AR14" s="447"/>
      <c r="AS14" s="447"/>
      <c r="AT14" s="181"/>
      <c r="AU14" s="420"/>
      <c r="AV14" s="420"/>
      <c r="AW14" s="420"/>
      <c r="AX14" s="181"/>
      <c r="AY14" s="153"/>
      <c r="AZ14" s="153"/>
      <c r="BA14" s="153"/>
      <c r="BB14" s="153"/>
      <c r="BC14" s="153"/>
      <c r="BD14" s="153"/>
      <c r="BE14" s="153"/>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6" customHeight="1" thickBot="1" x14ac:dyDescent="0.25">
      <c r="A15" s="181">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Bos</v>
      </c>
      <c r="I15" s="464">
        <f ca="1">+INDEX(WORLDCUP!$AM$6:$AM$97,MATCH(L15,WORLDCUP!$AI$6:$AI$97,0))</f>
        <v>0</v>
      </c>
      <c r="J15" s="465">
        <f ca="1">+INDEX(WORLDCUP!$AT$6:$AT$97,MATCH(L15,WORLDCUP!$AI$6:$AI$97,0))</f>
        <v>-5</v>
      </c>
      <c r="K15" s="466" t="str">
        <f ca="1">+INDEX(WORLDCUP!$AR$6:$AR$97,MATCH(L15,WORLDCUP!$AI$6:$AI$97,0))&amp;"-"&amp;INDEX(WORLDCUP!$AS$6:$AS$97,MATCH(L15,WORLDCUP!$AI$6:$AI$97,0))</f>
        <v>0-5</v>
      </c>
      <c r="L15" s="181" t="s">
        <v>91</v>
      </c>
      <c r="M15" s="181">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-8</v>
      </c>
      <c r="W15" s="466" t="str">
        <f ca="1">+INDEX(WORLDCUP!$AR$6:$AR$97,MATCH(X15,WORLDCUP!$AI$6:$AI$97,0))&amp;"-"&amp;INDEX(WORLDCUP!$AS$6:$AS$97,MATCH(X15,WORLDCUP!$AI$6:$AI$97,0))</f>
        <v>0-8</v>
      </c>
      <c r="X15" s="181" t="s">
        <v>118</v>
      </c>
      <c r="Y15" s="181">
        <v>83</v>
      </c>
      <c r="Z15" s="412" t="s">
        <v>129</v>
      </c>
      <c r="AA15" s="413" t="str">
        <f ca="1">+MID(INDEX(WORLDCUP!$AA$101:$AA$147,MATCH(Y15,WORLDCUP!$Z$101:$Z$147,0)),1,3)</f>
        <v>Col</v>
      </c>
      <c r="AB15" s="414" t="str">
        <f>+IF(ISBLANK(INDEX(WORLDCUP!$AC$101:$AC$147,MATCH(Y15,WORLDCUP!$Z$101:$Z$147,0))),"",INDEX(WORLDCUP!$AC$101:$AC$147,MATCH(Y15,WORLDCUP!$Z$101:$Z$147,0)))</f>
        <v/>
      </c>
      <c r="AC15" s="485" t="str">
        <f>+IF(ISBLANK(INDEX(WORLDCUP!$AB$101:$AB$147,MATCH(Y15,WORLDCUP!$Z$101:$Z$147,0))),"","( "&amp;INDEX(WORLDCUP!$AB$101:$AB$147,MATCH(Y15,WORLDCUP!$Z$101:$Z$147,0))&amp;" )")</f>
        <v/>
      </c>
      <c r="AD15" s="179"/>
      <c r="AE15" s="416"/>
      <c r="AF15" s="416"/>
      <c r="AG15" s="416"/>
      <c r="AH15" s="181"/>
      <c r="AI15" s="446"/>
      <c r="AJ15" s="446"/>
      <c r="AK15" s="486"/>
      <c r="AL15" s="402"/>
      <c r="AM15" s="418"/>
      <c r="AN15" s="418"/>
      <c r="AO15" s="499"/>
      <c r="AP15" s="402"/>
      <c r="AQ15" s="447"/>
      <c r="AR15" s="447"/>
      <c r="AS15" s="447"/>
      <c r="AT15" s="181"/>
      <c r="AU15" s="420"/>
      <c r="AV15" s="420"/>
      <c r="AW15" s="420"/>
      <c r="AX15" s="181"/>
      <c r="AY15" s="153"/>
      <c r="AZ15" s="153"/>
      <c r="BA15" s="153"/>
      <c r="BB15" s="153"/>
      <c r="BC15" s="153"/>
      <c r="BD15" s="153"/>
      <c r="BE15" s="153"/>
      <c r="BG15" s="449" t="str">
        <f ca="1">Horarios!Q14</f>
        <v>Catar</v>
      </c>
      <c r="BH15" s="450">
        <f t="shared" ca="1" si="0"/>
        <v>0</v>
      </c>
      <c r="BI15" s="450">
        <f ca="1">COUNTIF(Pool!$C$130:$C$161,Fixture!BG15)-BJ15-BK15-BL15-BM15-BN15-BO15</f>
        <v>1</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6" customHeight="1" thickBot="1" x14ac:dyDescent="0.25">
      <c r="A16" s="181">
        <v>52</v>
      </c>
      <c r="B16" s="500"/>
      <c r="C16" s="474" t="str">
        <f ca="1">+MID(INDEX(WORLDCUP!$AA$4:$AA$147,MATCH(A16,WORLDCUP!$AH$4:$AH$147,0)),1,3)</f>
        <v>Bos</v>
      </c>
      <c r="D16" s="475">
        <f>IF(ISBLANK(INDEX(WORLDCUP!$AC$4:$AC$147,MATCH(A16,WORLDCUP!$AH$4:$AH$147,0))),"",INDEX(WORLDCUP!$AC$4:$AC$147,MATCH(A16,WORLDCUP!$AH$4:$AH$147,0)))</f>
        <v>0</v>
      </c>
      <c r="E16" s="475">
        <f>IF(ISBLANK(INDEX(WORLDCUP!$AD$4:$AD$147,MATCH(A16,WORLDCUP!$AH$4:$AH$147,0))),"",INDEX(WORLDCUP!$AD$4:$AD$147,MATCH(A16,WORLDCUP!$AH$4:$AH$147,0)))</f>
        <v>2</v>
      </c>
      <c r="F16" s="476" t="str">
        <f ca="1">+MID(INDEX(WORLDCUP!$AF$4:$AF$147,MATCH(A16,WORLDCUP!$AH$4:$AH$147,0)),1,3)</f>
        <v>Cat</v>
      </c>
      <c r="G16" s="477"/>
      <c r="H16" s="477"/>
      <c r="I16" s="478"/>
      <c r="J16" s="478"/>
      <c r="K16" s="479"/>
      <c r="L16" s="181"/>
      <c r="M16" s="181">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3</v>
      </c>
      <c r="R16" s="476" t="str">
        <f ca="1">+MID(INDEX(WORLDCUP!$AF$4:$AF$147,MATCH(M16,WORLDCUP!$AH$4:$AH$147,0)),1,3)</f>
        <v>Esp</v>
      </c>
      <c r="S16" s="477"/>
      <c r="T16" s="477"/>
      <c r="U16" s="478"/>
      <c r="V16" s="478"/>
      <c r="W16" s="479"/>
      <c r="X16" s="181"/>
      <c r="Y16" s="181">
        <v>83</v>
      </c>
      <c r="Z16" s="412" t="s">
        <v>133</v>
      </c>
      <c r="AA16" s="413" t="str">
        <f ca="1">+MID(INDEX(WORLDCUP!$AF$101:$AF$147,MATCH(Y16,WORLDCUP!$Z$101:$Z$147,0)),1,3)</f>
        <v>Cro</v>
      </c>
      <c r="AB16" s="440" t="str">
        <f>+IF(ISBLANK(INDEX(WORLDCUP!$AD$101:$AD$147,MATCH(Y16,WORLDCUP!$Z$101:$Z$147,0))),"",INDEX(WORLDCUP!$AD$101:$AD$147,MATCH(Y16,WORLDCUP!$Z$101:$Z$147,0)))</f>
        <v/>
      </c>
      <c r="AC16" s="441" t="str">
        <f>+IF(ISBLANK(INDEX(WORLDCUP!$AE$101:$AE$147,MATCH(Y16,WORLDCUP!$Z$101:$Z$147,0))),"","( "&amp;INDEX(WORLDCUP!$AE$101:$AE$147,MATCH(Y16,WORLDCUP!$Z$101:$Z$147,0))&amp;" )")</f>
        <v/>
      </c>
      <c r="AD16" s="442">
        <v>93</v>
      </c>
      <c r="AE16" s="443" t="str">
        <f>+MID(INDEX(WORLDCUP!$AA$101:$AA$147,MATCH(AD16,WORLDCUP!$Z$101:$Z$147,0)),1,3)</f>
        <v>W83</v>
      </c>
      <c r="AF16" s="444" t="str">
        <f>+IF(ISBLANK(INDEX(WORLDCUP!$AC$101:$AC$147,MATCH(AD16,WORLDCUP!$Z$101:$Z$147,0))),"",INDEX(WORLDCUP!$AC$101:$AC$147,MATCH(AD16,WORLDCUP!$Z$101:$Z$147,0)))</f>
        <v/>
      </c>
      <c r="AG16" s="445" t="str">
        <f>+IF(ISBLANK(INDEX(WORLDCUP!$AB$101:$AB$147,MATCH(AD16,WORLDCUP!$Z$101:$Z$147,0))),"","( "&amp;INDEX(WORLDCUP!$AB$101:$AB$147,MATCH(AD16,WORLDCUP!$Z$101:$Z$147,0))&amp;" )")</f>
        <v/>
      </c>
      <c r="AH16" s="181"/>
      <c r="AI16" s="446"/>
      <c r="AJ16" s="446"/>
      <c r="AK16" s="486"/>
      <c r="AL16" s="181"/>
      <c r="AM16" s="418"/>
      <c r="AN16" s="418"/>
      <c r="AO16" s="499"/>
      <c r="AP16" s="402"/>
      <c r="AQ16" s="447"/>
      <c r="AR16" s="447"/>
      <c r="AS16" s="447"/>
      <c r="AT16" s="181"/>
      <c r="AU16" s="420"/>
      <c r="AV16" s="420"/>
      <c r="AW16" s="420"/>
      <c r="AX16" s="181"/>
      <c r="AY16" s="153"/>
      <c r="AZ16" s="153"/>
      <c r="BA16" s="153"/>
      <c r="BB16" s="153"/>
      <c r="BC16" s="153"/>
      <c r="BD16" s="153"/>
      <c r="BE16" s="153"/>
      <c r="BG16" s="449" t="str">
        <f ca="1">Horarios!Q15</f>
        <v>Colombia</v>
      </c>
      <c r="BH16" s="450">
        <f t="shared" ca="1" si="0"/>
        <v>0</v>
      </c>
      <c r="BI16" s="450">
        <f ca="1">COUNTIF(Pool!$C$130:$C$161,Fixture!BG16)-BJ16-BK16-BL16-BM16-BN16-BO16</f>
        <v>1</v>
      </c>
      <c r="BJ16" s="451">
        <f ca="1">COUNTIF(Pool!$C$182:$C$197,Fixture!BG16)-BK16-BL16-BM16-BN16-BO16</f>
        <v>0</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x14ac:dyDescent="0.2">
      <c r="A17" s="181"/>
      <c r="B17" s="398"/>
      <c r="C17" s="483"/>
      <c r="D17" s="484"/>
      <c r="E17" s="484"/>
      <c r="F17" s="153"/>
      <c r="G17" s="153"/>
      <c r="H17" s="483"/>
      <c r="I17" s="153"/>
      <c r="J17" s="153"/>
      <c r="K17" s="153"/>
      <c r="L17" s="181"/>
      <c r="M17" s="181"/>
      <c r="N17" s="151"/>
      <c r="O17" s="483"/>
      <c r="P17" s="484"/>
      <c r="Q17" s="484"/>
      <c r="R17" s="153"/>
      <c r="S17" s="153"/>
      <c r="T17" s="483"/>
      <c r="U17" s="153"/>
      <c r="V17" s="153"/>
      <c r="W17" s="153"/>
      <c r="X17" s="181"/>
      <c r="Y17" s="181"/>
      <c r="Z17" s="412"/>
      <c r="AA17" s="456"/>
      <c r="AB17" s="456"/>
      <c r="AC17" s="457"/>
      <c r="AD17" s="181">
        <v>93</v>
      </c>
      <c r="AE17" s="443" t="str">
        <f>+MID(INDEX(WORLDCUP!$AF$101:$AF$147,MATCH(AD17,WORLDCUP!$Z$101:$Z$147,0)),1,3)</f>
        <v>W84</v>
      </c>
      <c r="AF17" s="444" t="str">
        <f>+IF(ISBLANK(INDEX(WORLDCUP!$AD$101:$AD$147,MATCH(AD17,WORLDCUP!$Z$101:$Z$147,0))),"",INDEX(WORLDCUP!$AD$101:$AD$147,MATCH(AD17,WORLDCUP!$Z$101:$Z$147,0)))</f>
        <v/>
      </c>
      <c r="AG17" s="502" t="str">
        <f>+IF(ISBLANK(INDEX(WORLDCUP!$AE$101:$AE$147,MATCH(AD17,WORLDCUP!$Z$101:$Z$147,0))),"","( "&amp;INDEX(WORLDCUP!$AE$101:$AE$147,MATCH(AD17,WORLDCUP!$Z$101:$Z$147,0))&amp;" )")</f>
        <v/>
      </c>
      <c r="AH17" s="181"/>
      <c r="AI17" s="446"/>
      <c r="AJ17" s="446"/>
      <c r="AK17" s="486"/>
      <c r="AL17" s="181"/>
      <c r="AM17" s="418"/>
      <c r="AN17" s="418"/>
      <c r="AO17" s="499"/>
      <c r="AP17" s="402"/>
      <c r="AQ17" s="447"/>
      <c r="AR17" s="447"/>
      <c r="AS17" s="447"/>
      <c r="AT17" s="181"/>
      <c r="AU17" s="420"/>
      <c r="AV17" s="420"/>
      <c r="AW17" s="420"/>
      <c r="AX17" s="181"/>
      <c r="AY17" s="153"/>
      <c r="AZ17" s="153"/>
      <c r="BA17" s="153"/>
      <c r="BB17" s="153"/>
      <c r="BC17" s="153"/>
      <c r="BD17" s="153"/>
      <c r="BE17" s="153"/>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6" customHeight="1" thickBot="1" x14ac:dyDescent="0.25">
      <c r="A18" s="181"/>
      <c r="B18" s="398"/>
      <c r="C18" s="483"/>
      <c r="D18" s="484"/>
      <c r="E18" s="484"/>
      <c r="F18" s="153"/>
      <c r="G18" s="153"/>
      <c r="H18" s="483"/>
      <c r="I18" s="153"/>
      <c r="J18" s="153"/>
      <c r="K18" s="153"/>
      <c r="L18" s="181"/>
      <c r="M18" s="181"/>
      <c r="N18" s="151"/>
      <c r="O18" s="483"/>
      <c r="P18" s="484"/>
      <c r="Q18" s="484"/>
      <c r="R18" s="153"/>
      <c r="S18" s="153"/>
      <c r="T18" s="483"/>
      <c r="U18" s="153"/>
      <c r="V18" s="153"/>
      <c r="W18" s="153"/>
      <c r="X18" s="181"/>
      <c r="Y18" s="181">
        <v>84</v>
      </c>
      <c r="Z18" s="412" t="s">
        <v>114</v>
      </c>
      <c r="AA18" s="413" t="str">
        <f ca="1">+MID(INDEX(WORLDCUP!$AA$101:$AA$147,MATCH(Y18,WORLDCUP!$Z$101:$Z$147,0)),1,3)</f>
        <v>Esp</v>
      </c>
      <c r="AB18" s="459" t="str">
        <f>+IF(ISBLANK(INDEX(WORLDCUP!$AC$101:$AC$147,MATCH(Y18,WORLDCUP!$Z$101:$Z$147,0))),"",INDEX(WORLDCUP!$AC$101:$AC$147,MATCH(Y18,WORLDCUP!$Z$101:$Z$147,0)))</f>
        <v/>
      </c>
      <c r="AC18" s="493" t="str">
        <f>+IF(ISBLANK(INDEX(WORLDCUP!$AB$101:$AB$147,MATCH(Y18,WORLDCUP!$Z$101:$Z$147,0))),"","( "&amp;INDEX(WORLDCUP!$AB$101:$AB$147,MATCH(Y18,WORLDCUP!$Z$101:$Z$147,0))&amp;" )")</f>
        <v/>
      </c>
      <c r="AD18" s="181"/>
      <c r="AE18" s="461"/>
      <c r="AF18" s="461"/>
      <c r="AG18" s="462"/>
      <c r="AH18" s="181"/>
      <c r="AI18" s="446"/>
      <c r="AJ18" s="446"/>
      <c r="AK18" s="486"/>
      <c r="AL18" s="181"/>
      <c r="AM18" s="418"/>
      <c r="AN18" s="418"/>
      <c r="AO18" s="499"/>
      <c r="AP18" s="402"/>
      <c r="AQ18" s="447"/>
      <c r="AR18" s="447"/>
      <c r="AS18" s="447"/>
      <c r="AT18" s="181"/>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1</v>
      </c>
      <c r="BI18" s="450">
        <f ca="1">COUNTIF(Pool!$C$130:$C$161,Fixture!BG18)-BJ18-BK18-BL18-BM18-BN18-BO18</f>
        <v>0</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6" customHeight="1" thickBot="1" x14ac:dyDescent="0.25">
      <c r="A19" s="181">
        <v>7</v>
      </c>
      <c r="B19" s="505" t="s">
        <v>98</v>
      </c>
      <c r="C19" s="404" t="str">
        <f ca="1">+MID(INDEX(WORLDCUP!$AA$4:$AA$147,MATCH(A19,WORLDCUP!$AH$4:$AH$147,0)),1,3)</f>
        <v>Bra</v>
      </c>
      <c r="D19" s="405">
        <f>IF(ISBLANK(INDEX(WORLDCUP!$AC$4:$AC$147,MATCH(A19,WORLDCUP!$AH$4:$AH$147,0))),"",INDEX(WORLDCUP!$AC$4:$AC$147,MATCH(A19,WORLDCUP!$AH$4:$AH$147,0)))</f>
        <v>2</v>
      </c>
      <c r="E19" s="405">
        <f>IF(ISBLANK(INDEX(WORLDCUP!$AD$4:$AD$147,MATCH(A19,WORLDCUP!$AH$4:$AH$147,0))),"",INDEX(WORLDCUP!$AD$4:$AD$147,MATCH(A19,WORLDCUP!$AH$4:$AH$147,0)))</f>
        <v>0</v>
      </c>
      <c r="F19" s="406" t="str">
        <f ca="1">+MID(INDEX(WORLDCUP!$AF$4:$AF$147,MATCH(A19,WORLDCUP!$AH$4:$AH$147,0)),1,3)</f>
        <v>Mar</v>
      </c>
      <c r="G19" s="407"/>
      <c r="H19" s="408" t="str">
        <f>+H11</f>
        <v>Sel</v>
      </c>
      <c r="I19" s="409" t="str">
        <f>+I11</f>
        <v>Pts</v>
      </c>
      <c r="J19" s="409" t="str">
        <f>+J11</f>
        <v>DG</v>
      </c>
      <c r="K19" s="410" t="str">
        <f>+K11</f>
        <v>GF-GC</v>
      </c>
      <c r="L19" s="181"/>
      <c r="M19" s="181">
        <v>17</v>
      </c>
      <c r="N19" s="506" t="s">
        <v>140</v>
      </c>
      <c r="O19" s="404" t="str">
        <f ca="1">+MID(INDEX(WORLDCUP!$AA$4:$AA$147,MATCH(M19,WORLDCUP!$AH$4:$AH$147,0)),1,3)</f>
        <v>Fra</v>
      </c>
      <c r="P19" s="405">
        <f>IF(ISBLANK(INDEX(WORLDCUP!$AC$4:$AC$147,MATCH(M19,WORLDCUP!$AH$4:$AH$147,0))),"",INDEX(WORLDCUP!$AC$4:$AC$147,MATCH(M19,WORLDCUP!$AH$4:$AH$147,0)))</f>
        <v>4</v>
      </c>
      <c r="Q19" s="405">
        <f>IF(ISBLANK(INDEX(WORLDCUP!$AD$4:$AD$147,MATCH(M19,WORLDCUP!$AH$4:$AH$147,0))),"",INDEX(WORLDCUP!$AD$4:$AD$147,MATCH(M19,WORLDCUP!$AH$4:$AH$147,0)))</f>
        <v>0</v>
      </c>
      <c r="R19" s="406" t="str">
        <f ca="1">+MID(INDEX(WORLDCUP!$AF$4:$AF$147,MATCH(M19,WORLDCUP!$AH$4:$AH$147,0)),1,3)</f>
        <v>Sen</v>
      </c>
      <c r="S19" s="407"/>
      <c r="T19" s="408" t="str">
        <f>+T11</f>
        <v>Sel</v>
      </c>
      <c r="U19" s="409" t="str">
        <f>+U11</f>
        <v>Pts</v>
      </c>
      <c r="V19" s="409" t="str">
        <f>+V11</f>
        <v>DG</v>
      </c>
      <c r="W19" s="410" t="str">
        <f>+W11</f>
        <v>GF-GC</v>
      </c>
      <c r="X19" s="181"/>
      <c r="Y19" s="181">
        <v>84</v>
      </c>
      <c r="Z19" s="412" t="s">
        <v>124</v>
      </c>
      <c r="AA19" s="467" t="str">
        <f ca="1">+MID(INDEX(WORLDCUP!$AF$101:$AF$147,MATCH(Y19,WORLDCUP!$Z$101:$Z$147,0)),1,3)</f>
        <v>Aus</v>
      </c>
      <c r="AB19" s="468" t="str">
        <f>+IF(ISBLANK(INDEX(WORLDCUP!$AD$101:$AD$147,MATCH(Y19,WORLDCUP!$Z$101:$Z$147,0))),"",INDEX(WORLDCUP!$AD$101:$AD$147,MATCH(Y19,WORLDCUP!$Z$101:$Z$147,0)))</f>
        <v/>
      </c>
      <c r="AC19" s="494" t="str">
        <f>+IF(ISBLANK(INDEX(WORLDCUP!$AE$101:$AE$147,MATCH(Y19,WORLDCUP!$Z$101:$Z$147,0))),"","( "&amp;INDEX(WORLDCUP!$AE$101:$AE$147,MATCH(Y19,WORLDCUP!$Z$101:$Z$147,0))&amp;" )")</f>
        <v/>
      </c>
      <c r="AD19" s="181"/>
      <c r="AE19" s="461"/>
      <c r="AF19" s="461"/>
      <c r="AG19" s="462"/>
      <c r="AH19" s="487">
        <v>98</v>
      </c>
      <c r="AI19" s="470" t="str">
        <f>+MID(INDEX(WORLDCUP!$AA$101:$AA$147,MATCH(AH19,WORLDCUP!$Z$101:$Z$147,0)),1,3)</f>
        <v>W93</v>
      </c>
      <c r="AJ19" s="471" t="str">
        <f>+IF(ISBLANK(INDEX(WORLDCUP!$AC$101:$AC$147,MATCH(AH19,WORLDCUP!$Z$101:$Z$147,0))),"",INDEX(WORLDCUP!$AC$101:$AC$147,MATCH(AH19,WORLDCUP!$Z$101:$Z$147,0)))</f>
        <v/>
      </c>
      <c r="AK19" s="507" t="str">
        <f>+IF(ISBLANK(INDEX(WORLDCUP!$AB$101:$AB$147,MATCH(AH19,WORLDCUP!$Z$101:$Z$147,0))),"","( "&amp;INDEX(WORLDCUP!$AB$101:$AB$147,MATCH(AH19,WORLDCUP!$Z$101:$Z$147,0))&amp;" )")</f>
        <v/>
      </c>
      <c r="AL19" s="181"/>
      <c r="AM19" s="418"/>
      <c r="AN19" s="418"/>
      <c r="AO19" s="499"/>
      <c r="AP19" s="402"/>
      <c r="AQ19" s="447"/>
      <c r="AR19" s="447"/>
      <c r="AS19" s="447"/>
      <c r="AT19" s="181"/>
      <c r="AU19" s="420"/>
      <c r="AV19" s="420"/>
      <c r="AW19" s="420"/>
      <c r="AX19" s="181"/>
      <c r="AY19" s="153"/>
      <c r="AZ19" s="153"/>
      <c r="BA19" s="153"/>
      <c r="BB19" s="153"/>
      <c r="BC19" s="153"/>
      <c r="BD19" s="153"/>
      <c r="BE19" s="153"/>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x14ac:dyDescent="0.2">
      <c r="A20" s="181">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0</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6</v>
      </c>
      <c r="K20" s="438" t="str">
        <f ca="1">+INDEX(WORLDCUP!$AR$6:$AR$97,MATCH(L20,WORLDCUP!$AI$6:$AI$97,0))&amp;"-"&amp;INDEX(WORLDCUP!$AS$6:$AS$97,MATCH(L20,WORLDCUP!$AI$6:$AI$97,0))</f>
        <v>7-1</v>
      </c>
      <c r="L20" s="181" t="s">
        <v>92</v>
      </c>
      <c r="M20" s="181">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2</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10</v>
      </c>
      <c r="W20" s="438" t="str">
        <f ca="1">+INDEX(WORLDCUP!$AR$6:$AR$97,MATCH(X20,WORLDCUP!$AI$6:$AI$97,0))&amp;"-"&amp;INDEX(WORLDCUP!$AS$6:$AS$97,MATCH(X20,WORLDCUP!$AI$6:$AI$97,0))</f>
        <v>11-1</v>
      </c>
      <c r="X20" s="181" t="s">
        <v>119</v>
      </c>
      <c r="Y20" s="181"/>
      <c r="Z20" s="412"/>
      <c r="AA20" s="481"/>
      <c r="AB20" s="481"/>
      <c r="AC20" s="481"/>
      <c r="AD20" s="181"/>
      <c r="AE20" s="416"/>
      <c r="AF20" s="416"/>
      <c r="AG20" s="462"/>
      <c r="AH20" s="181">
        <v>98</v>
      </c>
      <c r="AI20" s="470" t="str">
        <f>+MID(INDEX(WORLDCUP!$AF$101:$AF$147,MATCH(AH20,WORLDCUP!$Z$101:$Z$147,0)),1,3)</f>
        <v>W94</v>
      </c>
      <c r="AJ20" s="471" t="str">
        <f>+IF(ISBLANK(INDEX(WORLDCUP!$AD$101:$AD$147,MATCH(AH20,WORLDCUP!$Z$101:$Z$147,0))),"",INDEX(WORLDCUP!$AD$101:$AD$147,MATCH(AH20,WORLDCUP!$Z$101:$Z$147,0)))</f>
        <v/>
      </c>
      <c r="AK20" s="446" t="str">
        <f>+IF(ISBLANK(INDEX(WORLDCUP!$AE$101:$AE$147,MATCH(AH20,WORLDCUP!$Z$101:$Z$147,0))),"","( "&amp;INDEX(WORLDCUP!$AE$101:$AE$147,MATCH(AH20,WORLDCUP!$Z$101:$Z$147,0))&amp;" )")</f>
        <v/>
      </c>
      <c r="AL20" s="181"/>
      <c r="AM20" s="418"/>
      <c r="AN20" s="418"/>
      <c r="AO20" s="499"/>
      <c r="AP20" s="181"/>
      <c r="AQ20" s="447"/>
      <c r="AR20" s="447"/>
      <c r="AS20" s="447"/>
      <c r="AT20" s="181"/>
      <c r="AU20" s="510"/>
      <c r="AV20" s="351"/>
      <c r="AW20" s="420"/>
      <c r="AX20" s="181"/>
      <c r="AY20" s="511"/>
      <c r="AZ20" s="512"/>
      <c r="BA20" s="512"/>
      <c r="BB20" s="512"/>
      <c r="BC20" s="513"/>
      <c r="BD20" s="153"/>
      <c r="BE20" s="153"/>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6" customHeight="1" thickBot="1" x14ac:dyDescent="0.25">
      <c r="A21" s="181">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8">
        <f ca="1">+INDEX(WORLDCUP!$AM$6:$AM$97,MATCH(L21,WORLDCUP!$AI$6:$AI$97,0))</f>
        <v>6</v>
      </c>
      <c r="J21" s="39">
        <f ca="1">+INDEX(WORLDCUP!$AT$6:$AT$97,MATCH(L21,WORLDCUP!$AI$6:$AI$97,0))</f>
        <v>0</v>
      </c>
      <c r="K21" s="43" t="str">
        <f ca="1">+INDEX(WORLDCUP!$AR$6:$AR$97,MATCH(L21,WORLDCUP!$AI$6:$AI$97,0))&amp;"-"&amp;INDEX(WORLDCUP!$AS$6:$AS$97,MATCH(L21,WORLDCUP!$AI$6:$AI$97,0))</f>
        <v>4-4</v>
      </c>
      <c r="L21" s="181" t="s">
        <v>93</v>
      </c>
      <c r="M21" s="181">
        <v>42</v>
      </c>
      <c r="N21" s="509"/>
      <c r="O21" s="431" t="str">
        <f ca="1">+MID(INDEX(WORLDCUP!$AA$4:$AA$147,MATCH(M21,WORLDCUP!$AH$4:$AH$147,0)),1,3)</f>
        <v>Fra</v>
      </c>
      <c r="P21" s="432">
        <f>IF(ISBLANK(INDEX(WORLDCUP!$AC$4:$AC$147,MATCH(M21,WORLDCUP!$AH$4:$AH$147,0))),"",INDEX(WORLDCUP!$AC$4:$AC$147,MATCH(M21,WORLDCUP!$AH$4:$AH$147,0)))</f>
        <v>4</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8">
        <f ca="1">+INDEX(WORLDCUP!$AM$6:$AM$97,MATCH(X21,WORLDCUP!$AI$6:$AI$97,0))</f>
        <v>4</v>
      </c>
      <c r="V21" s="39">
        <f ca="1">+INDEX(WORLDCUP!$AT$6:$AT$97,MATCH(X21,WORLDCUP!$AI$6:$AI$97,0))</f>
        <v>0</v>
      </c>
      <c r="W21" s="43" t="str">
        <f ca="1">+INDEX(WORLDCUP!$AR$6:$AR$97,MATCH(X21,WORLDCUP!$AI$6:$AI$97,0))&amp;"-"&amp;INDEX(WORLDCUP!$AS$6:$AS$97,MATCH(X21,WORLDCUP!$AI$6:$AI$97,0))</f>
        <v>3-3</v>
      </c>
      <c r="X21" s="181" t="s">
        <v>120</v>
      </c>
      <c r="Y21" s="181">
        <v>81</v>
      </c>
      <c r="Z21" s="412" t="s">
        <v>96</v>
      </c>
      <c r="AA21" s="413" t="str">
        <f ca="1">+MID(INDEX(WORLDCUP!$AA$101:$AA$147,MATCH(Y21,WORLDCUP!$Z$101:$Z$147,0)),1,3)</f>
        <v>Par</v>
      </c>
      <c r="AB21" s="414" t="str">
        <f>+IF(ISBLANK(INDEX(WORLDCUP!$AC$101:$AC$147,MATCH(Y21,WORLDCUP!$Z$101:$Z$147,0))),"",INDEX(WORLDCUP!$AC$101:$AC$147,MATCH(Y21,WORLDCUP!$Z$101:$Z$147,0)))</f>
        <v/>
      </c>
      <c r="AC21" s="485" t="str">
        <f>+IF(ISBLANK(INDEX(WORLDCUP!$AB$101:$AB$147,MATCH(Y21,WORLDCUP!$Z$101:$Z$147,0))),"","( "&amp;INDEX(WORLDCUP!$AB$101:$AB$147,MATCH(Y21,WORLDCUP!$Z$101:$Z$147,0))&amp;" )")</f>
        <v/>
      </c>
      <c r="AD21" s="179"/>
      <c r="AE21" s="416"/>
      <c r="AF21" s="416"/>
      <c r="AG21" s="462"/>
      <c r="AH21" s="181"/>
      <c r="AI21" s="446"/>
      <c r="AJ21" s="446"/>
      <c r="AK21" s="446"/>
      <c r="AL21" s="181"/>
      <c r="AM21" s="418"/>
      <c r="AN21" s="418"/>
      <c r="AO21" s="499"/>
      <c r="AP21" s="181"/>
      <c r="AQ21" s="447"/>
      <c r="AR21" s="447"/>
      <c r="AS21" s="447"/>
      <c r="AT21" s="181"/>
      <c r="AU21" s="510"/>
      <c r="AV21" s="351"/>
      <c r="AW21" s="420"/>
      <c r="AX21" s="181"/>
      <c r="AY21" s="514"/>
      <c r="AZ21" s="515"/>
      <c r="BA21" s="515" t="str">
        <f>WORLDCUP!AA150</f>
        <v>WF</v>
      </c>
      <c r="BB21" s="515"/>
      <c r="BC21" s="516"/>
      <c r="BD21" s="153"/>
      <c r="BE21" s="153"/>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6" customHeight="1" thickBot="1" x14ac:dyDescent="0.25">
      <c r="A22" s="181">
        <v>29</v>
      </c>
      <c r="B22" s="508"/>
      <c r="C22" s="431" t="str">
        <f ca="1">+MID(INDEX(WORLDCUP!$AA$4:$AA$147,MATCH(A22,WORLDCUP!$AH$4:$AH$147,0)),1,3)</f>
        <v>Bra</v>
      </c>
      <c r="D22" s="432">
        <f>IF(ISBLANK(INDEX(WORLDCUP!$AC$4:$AC$147,MATCH(A22,WORLDCUP!$AH$4:$AH$147,0))),"",INDEX(WORLDCUP!$AC$4:$AC$147,MATCH(A22,WORLDCUP!$AH$4:$AH$147,0)))</f>
        <v>3</v>
      </c>
      <c r="E22" s="432">
        <f>IF(ISBLANK(INDEX(WORLDCUP!$AD$4:$AD$147,MATCH(A22,WORLDCUP!$AH$4:$AH$147,0))),"",INDEX(WORLDCUP!$AD$4:$AD$147,MATCH(A22,WORLDCUP!$AH$4:$AH$147,0)))</f>
        <v>1</v>
      </c>
      <c r="F22" s="433" t="str">
        <f ca="1">+MID(INDEX(WORLDCUP!$AF$4:$AF$147,MATCH(A22,WORLDCUP!$AH$4:$AH$147,0)),1,3)</f>
        <v>Hai</v>
      </c>
      <c r="G22" s="454">
        <v>3</v>
      </c>
      <c r="H22" s="455" t="str">
        <f ca="1">+MID(INDEX(WORLDCUP!$AL$6:$AL$97,MATCH(L22,WORLDCUP!$AI$6:$AI$97,0)),1,3)</f>
        <v>Hai</v>
      </c>
      <c r="I22" s="38">
        <f ca="1">+INDEX(WORLDCUP!$AM$6:$AM$97,MATCH(L22,WORLDCUP!$AI$6:$AI$97,0))</f>
        <v>1</v>
      </c>
      <c r="J22" s="39">
        <f ca="1">+INDEX(WORLDCUP!$AT$6:$AT$97,MATCH(L22,WORLDCUP!$AI$6:$AI$97,0))</f>
        <v>-3</v>
      </c>
      <c r="K22" s="43" t="str">
        <f ca="1">+INDEX(WORLDCUP!$AR$6:$AR$97,MATCH(L22,WORLDCUP!$AI$6:$AI$97,0))&amp;"-"&amp;INDEX(WORLDCUP!$AS$6:$AS$97,MATCH(L22,WORLDCUP!$AI$6:$AI$97,0))</f>
        <v>2-5</v>
      </c>
      <c r="L22" s="181" t="s">
        <v>94</v>
      </c>
      <c r="M22" s="181">
        <v>41</v>
      </c>
      <c r="N22" s="509"/>
      <c r="O22" s="431" t="str">
        <f ca="1">+MID(INDEX(WORLDCUP!$AA$4:$AA$147,MATCH(M22,WORLDCUP!$AH$4:$AH$147,0)),1,3)</f>
        <v>Nor</v>
      </c>
      <c r="P22" s="432">
        <f>IF(ISBLANK(INDEX(WORLDCUP!$AC$4:$AC$147,MATCH(M22,WORLDCUP!$AH$4:$AH$147,0))),"",INDEX(WORLDCUP!$AC$4:$AC$147,MATCH(M22,WORLDCUP!$AH$4:$AH$147,0)))</f>
        <v>0</v>
      </c>
      <c r="Q22" s="432">
        <f>IF(ISBLANK(INDEX(WORLDCUP!$AD$4:$AD$147,MATCH(M22,WORLDCUP!$AH$4:$AH$147,0))),"",INDEX(WORLDCUP!$AD$4:$AD$147,MATCH(M22,WORLDCUP!$AH$4:$AH$147,0)))</f>
        <v>0</v>
      </c>
      <c r="R22" s="433" t="str">
        <f ca="1">+MID(INDEX(WORLDCUP!$AF$4:$AF$147,MATCH(M22,WORLDCUP!$AH$4:$AH$147,0)),1,3)</f>
        <v>Sen</v>
      </c>
      <c r="S22" s="454">
        <v>3</v>
      </c>
      <c r="T22" s="455" t="str">
        <f ca="1">+MID(INDEX(WORLDCUP!$AL$6:$AL$97,MATCH(X22,WORLDCUP!$AI$6:$AI$97,0)),1,3)</f>
        <v>Sen</v>
      </c>
      <c r="U22" s="38">
        <f ca="1">+INDEX(WORLDCUP!$AM$6:$AM$97,MATCH(X22,WORLDCUP!$AI$6:$AI$97,0))</f>
        <v>4</v>
      </c>
      <c r="V22" s="39">
        <f ca="1">+INDEX(WORLDCUP!$AT$6:$AT$97,MATCH(X22,WORLDCUP!$AI$6:$AI$97,0))</f>
        <v>-2</v>
      </c>
      <c r="W22" s="43" t="str">
        <f ca="1">+INDEX(WORLDCUP!$AR$6:$AR$97,MATCH(X22,WORLDCUP!$AI$6:$AI$97,0))&amp;"-"&amp;INDEX(WORLDCUP!$AS$6:$AS$97,MATCH(X22,WORLDCUP!$AI$6:$AI$97,0))</f>
        <v>3-5</v>
      </c>
      <c r="X22" s="181" t="s">
        <v>121</v>
      </c>
      <c r="Y22" s="181">
        <v>81</v>
      </c>
      <c r="Z22" s="412" t="s">
        <v>169</v>
      </c>
      <c r="AA22" s="413" t="str">
        <f ca="1">+MID(INDEX(WORLDCUP!$AF$101:$AF$147,MATCH(Y22,WORLDCUP!$Z$101:$Z$147,0)),1,IF(WORLDCUP!$H$113&lt;144,6,3))</f>
        <v>Cat</v>
      </c>
      <c r="AB22" s="440" t="str">
        <f>+IF(ISBLANK(INDEX(WORLDCUP!$AD$101:$AD$147,MATCH(Y22,WORLDCUP!$Z$101:$Z$147,0))),"",INDEX(WORLDCUP!$AD$101:$AD$147,MATCH(Y22,WORLDCUP!$Z$101:$Z$147,0)))</f>
        <v/>
      </c>
      <c r="AC22" s="441" t="str">
        <f>+IF(ISBLANK(INDEX(WORLDCUP!$AE$101:$AE$147,MATCH(Y22,WORLDCUP!$Z$101:$Z$147,0))),"","( "&amp;INDEX(WORLDCUP!$AE$101:$AE$147,MATCH(Y22,WORLDCUP!$Z$101:$Z$147,0))&amp;" )")</f>
        <v/>
      </c>
      <c r="AD22" s="442">
        <v>94</v>
      </c>
      <c r="AE22" s="443" t="str">
        <f>+MID(INDEX(WORLDCUP!$AA$101:$AA$147,MATCH(AD22,WORLDCUP!$Z$101:$Z$147,0)),1,3)</f>
        <v>W81</v>
      </c>
      <c r="AF22" s="444" t="str">
        <f>+IF(ISBLANK(INDEX(WORLDCUP!$AC$101:$AC$147,MATCH(AD22,WORLDCUP!$Z$101:$Z$147,0))),"",INDEX(WORLDCUP!$AC$101:$AC$147,MATCH(AD22,WORLDCUP!$Z$101:$Z$147,0)))</f>
        <v/>
      </c>
      <c r="AG22" s="488" t="str">
        <f>+IF(ISBLANK(INDEX(WORLDCUP!$AB$101:$AB$147,MATCH(AD22,WORLDCUP!$Z$101:$Z$147,0))),"","( "&amp;INDEX(WORLDCUP!$AB$101:$AB$147,MATCH(AD22,WORLDCUP!$Z$101:$Z$147,0))&amp;" )")</f>
        <v/>
      </c>
      <c r="AH22" s="181"/>
      <c r="AI22" s="446"/>
      <c r="AJ22" s="446"/>
      <c r="AK22" s="446"/>
      <c r="AL22" s="181"/>
      <c r="AM22" s="418"/>
      <c r="AN22" s="418"/>
      <c r="AO22" s="499"/>
      <c r="AP22" s="181"/>
      <c r="AQ22" s="447"/>
      <c r="AR22" s="447"/>
      <c r="AS22" s="447"/>
      <c r="AT22" s="181"/>
      <c r="AU22" s="510"/>
      <c r="AV22" s="351"/>
      <c r="AW22" s="420"/>
      <c r="AX22" s="181"/>
      <c r="AY22" s="514"/>
      <c r="AZ22" s="515"/>
      <c r="BA22" s="517"/>
      <c r="BB22" s="515"/>
      <c r="BC22" s="516"/>
      <c r="BD22" s="153"/>
      <c r="BE22" s="153"/>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x14ac:dyDescent="0.2">
      <c r="A23" s="181">
        <v>49</v>
      </c>
      <c r="B23" s="508"/>
      <c r="C23" s="431" t="str">
        <f ca="1">+MID(INDEX(WORLDCUP!$AA$4:$AA$147,MATCH(A23,WORLDCUP!$AH$4:$AH$147,0)),1,3)</f>
        <v>Esc</v>
      </c>
      <c r="D23" s="432">
        <f>IF(ISBLANK(INDEX(WORLDCUP!$AC$4:$AC$147,MATCH(A23,WORLDCUP!$AH$4:$AH$147,0))),"",INDEX(WORLDCUP!$AC$4:$AC$147,MATCH(A23,WORLDCUP!$AH$4:$AH$147,0)))</f>
        <v>0</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Esc</v>
      </c>
      <c r="I23" s="464">
        <f ca="1">+INDEX(WORLDCUP!$AM$6:$AM$97,MATCH(L23,WORLDCUP!$AI$6:$AI$97,0))</f>
        <v>1</v>
      </c>
      <c r="J23" s="465">
        <f ca="1">+INDEX(WORLDCUP!$AT$6:$AT$97,MATCH(L23,WORLDCUP!$AI$6:$AI$97,0))</f>
        <v>-3</v>
      </c>
      <c r="K23" s="466" t="str">
        <f ca="1">+INDEX(WORLDCUP!$AR$6:$AR$97,MATCH(L23,WORLDCUP!$AI$6:$AI$97,0))&amp;"-"&amp;INDEX(WORLDCUP!$AS$6:$AS$97,MATCH(L23,WORLDCUP!$AI$6:$AI$97,0))</f>
        <v>1-4</v>
      </c>
      <c r="L23" s="181" t="s">
        <v>95</v>
      </c>
      <c r="M23" s="181">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-8</v>
      </c>
      <c r="W23" s="466" t="str">
        <f ca="1">+INDEX(WORLDCUP!$AR$6:$AR$97,MATCH(X23,WORLDCUP!$AI$6:$AI$97,0))&amp;"-"&amp;INDEX(WORLDCUP!$AS$6:$AS$97,MATCH(X23,WORLDCUP!$AI$6:$AI$97,0))</f>
        <v>1-9</v>
      </c>
      <c r="X23" s="181" t="s">
        <v>122</v>
      </c>
      <c r="Y23" s="181"/>
      <c r="Z23" s="412"/>
      <c r="AA23" s="456"/>
      <c r="AB23" s="456"/>
      <c r="AC23" s="457"/>
      <c r="AD23" s="181">
        <v>94</v>
      </c>
      <c r="AE23" s="443" t="str">
        <f>+MID(INDEX(WORLDCUP!$AF$101:$AF$147,MATCH(AD23,WORLDCUP!$Z$101:$Z$147,0)),1,3)</f>
        <v>W82</v>
      </c>
      <c r="AF23" s="444" t="str">
        <f>+IF(ISBLANK(INDEX(WORLDCUP!$AD$101:$AD$147,MATCH(AD23,WORLDCUP!$Z$101:$Z$147,0))),"",INDEX(WORLDCUP!$AD$101:$AD$147,MATCH(AD23,WORLDCUP!$Z$101:$Z$147,0)))</f>
        <v/>
      </c>
      <c r="AG23" s="461" t="str">
        <f>+IF(ISBLANK(INDEX(WORLDCUP!$AE$101:$AE$147,MATCH(AD23,WORLDCUP!$Z$101:$Z$147,0))),"","( "&amp;INDEX(WORLDCUP!$AE$101:$AE$147,MATCH(AD23,WORLDCUP!$Z$101:$Z$147,0))&amp;" )")</f>
        <v/>
      </c>
      <c r="AH23" s="181"/>
      <c r="AI23" s="446"/>
      <c r="AJ23" s="446"/>
      <c r="AK23" s="446"/>
      <c r="AL23" s="181"/>
      <c r="AM23" s="418"/>
      <c r="AN23" s="418"/>
      <c r="AO23" s="499"/>
      <c r="AP23" s="402"/>
      <c r="AQ23" s="447"/>
      <c r="AR23" s="447"/>
      <c r="AS23" s="447"/>
      <c r="AT23" s="181"/>
      <c r="AU23" s="420"/>
      <c r="AV23" s="420"/>
      <c r="AW23" s="420"/>
      <c r="AX23" s="181"/>
      <c r="AY23" s="514"/>
      <c r="AZ23" s="515"/>
      <c r="BA23" s="517"/>
      <c r="BB23" s="515" t="str">
        <f>+WORLDCUP!AA151</f>
        <v>LF</v>
      </c>
      <c r="BC23" s="516"/>
      <c r="BD23" s="153"/>
      <c r="BE23" s="153"/>
      <c r="BG23" s="449" t="str">
        <f ca="1">Horarios!Q22</f>
        <v>Escocia</v>
      </c>
      <c r="BH23" s="450">
        <f t="shared" ca="1" si="0"/>
        <v>1</v>
      </c>
      <c r="BI23" s="450">
        <f ca="1">COUNTIF(Pool!$C$130:$C$161,Fixture!BG23)-BJ23-BK23-BL23-BM23-BN23-BO23</f>
        <v>0</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6" customHeight="1" thickBot="1" x14ac:dyDescent="0.25">
      <c r="A24" s="181">
        <v>50</v>
      </c>
      <c r="B24" s="518"/>
      <c r="C24" s="474" t="str">
        <f ca="1">+MID(INDEX(WORLDCUP!$AA$4:$AA$147,MATCH(A24,WORLDCUP!$AH$4:$AH$147,0)),1,3)</f>
        <v>Mar</v>
      </c>
      <c r="D24" s="475">
        <f>IF(ISBLANK(INDEX(WORLDCUP!$AC$4:$AC$147,MATCH(A24,WORLDCUP!$AH$4:$AH$147,0))),"",INDEX(WORLDCUP!$AC$4:$AC$147,MATCH(A24,WORLDCUP!$AH$4:$AH$147,0)))</f>
        <v>2</v>
      </c>
      <c r="E24" s="475">
        <f>IF(ISBLANK(INDEX(WORLDCUP!$AD$4:$AD$147,MATCH(A24,WORLDCUP!$AH$4:$AH$147,0))),"",INDEX(WORLDCUP!$AD$4:$AD$147,MATCH(A24,WORLDCUP!$AH$4:$AH$147,0)))</f>
        <v>1</v>
      </c>
      <c r="F24" s="476" t="str">
        <f ca="1">+MID(INDEX(WORLDCUP!$AF$4:$AF$147,MATCH(A24,WORLDCUP!$AH$4:$AH$147,0)),1,3)</f>
        <v>Hai</v>
      </c>
      <c r="G24" s="477"/>
      <c r="H24" s="477"/>
      <c r="I24" s="478"/>
      <c r="J24" s="478"/>
      <c r="K24" s="479"/>
      <c r="L24" s="181"/>
      <c r="M24" s="181">
        <v>62</v>
      </c>
      <c r="N24" s="519"/>
      <c r="O24" s="474" t="str">
        <f ca="1">+MID(INDEX(WORLDCUP!$AA$4:$AA$147,MATCH(M24,WORLDCUP!$AH$4:$AH$147,0)),1,3)</f>
        <v>Sen</v>
      </c>
      <c r="P24" s="475">
        <f>IF(ISBLANK(INDEX(WORLDCUP!$AC$4:$AC$147,MATCH(M24,WORLDCUP!$AH$4:$AH$147,0))),"",INDEX(WORLDCUP!$AC$4:$AC$147,MATCH(M24,WORLDCUP!$AH$4:$AH$147,0)))</f>
        <v>3</v>
      </c>
      <c r="Q24" s="475">
        <f>IF(ISBLANK(INDEX(WORLDCUP!$AD$4:$AD$147,MATCH(M24,WORLDCUP!$AH$4:$AH$147,0))),"",INDEX(WORLDCUP!$AD$4:$AD$147,MATCH(M24,WORLDCUP!$AH$4:$AH$147,0)))</f>
        <v>1</v>
      </c>
      <c r="R24" s="476" t="str">
        <f ca="1">+MID(INDEX(WORLDCUP!$AF$4:$AF$147,MATCH(M24,WORLDCUP!$AH$4:$AH$147,0)),1,3)</f>
        <v>Ira</v>
      </c>
      <c r="S24" s="477"/>
      <c r="T24" s="477"/>
      <c r="U24" s="478"/>
      <c r="V24" s="478"/>
      <c r="W24" s="479"/>
      <c r="X24" s="181"/>
      <c r="Y24" s="181">
        <v>82</v>
      </c>
      <c r="Z24" s="412" t="s">
        <v>110</v>
      </c>
      <c r="AA24" s="413" t="str">
        <f ca="1">+MID(INDEX(WORLDCUP!$AA$101:$AA$147,MATCH(Y24,WORLDCUP!$Z$101:$Z$147,0)),1,3)</f>
        <v>Bél</v>
      </c>
      <c r="AB24" s="459" t="str">
        <f>+IF(ISBLANK(INDEX(WORLDCUP!$AC$101:$AC$147,MATCH(Y24,WORLDCUP!$Z$101:$Z$147,0))),"",INDEX(WORLDCUP!$AC$101:$AC$147,MATCH(Y24,WORLDCUP!$Z$101:$Z$147,0)))</f>
        <v/>
      </c>
      <c r="AC24" s="493" t="str">
        <f>+IF(ISBLANK(INDEX(WORLDCUP!$AB$101:$AB$147,MATCH(Y24,WORLDCUP!$Z$101:$Z$147,0))),"","( "&amp;INDEX(WORLDCUP!$AB$101:$AB$147,MATCH(Y24,WORLDCUP!$Z$101:$Z$147,0))&amp;" )")</f>
        <v/>
      </c>
      <c r="AD24" s="181"/>
      <c r="AE24" s="416"/>
      <c r="AF24" s="416"/>
      <c r="AG24" s="416"/>
      <c r="AH24" s="181"/>
      <c r="AI24" s="446"/>
      <c r="AJ24" s="446"/>
      <c r="AK24" s="446"/>
      <c r="AL24" s="181"/>
      <c r="AM24" s="418"/>
      <c r="AN24" s="418"/>
      <c r="AO24" s="499"/>
      <c r="AP24" s="402"/>
      <c r="AQ24" s="447"/>
      <c r="AR24" s="447"/>
      <c r="AS24" s="447"/>
      <c r="AT24" s="181"/>
      <c r="AU24" s="420"/>
      <c r="AV24" s="420"/>
      <c r="AW24" s="420"/>
      <c r="AX24" s="181"/>
      <c r="AY24" s="514"/>
      <c r="AZ24" s="515"/>
      <c r="BA24" s="517"/>
      <c r="BB24" s="520"/>
      <c r="BC24" s="516"/>
      <c r="BD24" s="153"/>
      <c r="BE24" s="153"/>
      <c r="BG24" s="449" t="str">
        <f ca="1">Horarios!Q23</f>
        <v>España</v>
      </c>
      <c r="BH24" s="450">
        <f t="shared" ca="1" si="0"/>
        <v>0</v>
      </c>
      <c r="BI24" s="450">
        <f ca="1">COUNTIF(Pool!$C$130:$C$161,Fixture!BG24)-BJ24-BK24-BL24-BM24-BN24-BO24</f>
        <v>1</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0</v>
      </c>
    </row>
    <row r="25" spans="1:67" ht="16" customHeight="1" thickBot="1" x14ac:dyDescent="0.25">
      <c r="A25" s="181"/>
      <c r="B25" s="398"/>
      <c r="C25" s="483"/>
      <c r="D25" s="484"/>
      <c r="E25" s="484"/>
      <c r="F25" s="153"/>
      <c r="G25" s="153"/>
      <c r="H25" s="483"/>
      <c r="I25" s="153"/>
      <c r="J25" s="153"/>
      <c r="K25" s="153"/>
      <c r="L25" s="181"/>
      <c r="M25" s="181"/>
      <c r="N25" s="151"/>
      <c r="O25" s="153"/>
      <c r="P25" s="153"/>
      <c r="Q25" s="153"/>
      <c r="R25" s="153"/>
      <c r="S25" s="153"/>
      <c r="T25" s="153"/>
      <c r="U25" s="153"/>
      <c r="V25" s="153"/>
      <c r="W25" s="153"/>
      <c r="X25" s="181"/>
      <c r="Y25" s="181">
        <v>82</v>
      </c>
      <c r="Z25" s="412" t="s">
        <v>171</v>
      </c>
      <c r="AA25" s="467" t="str">
        <f ca="1">+MID(INDEX(WORLDCUP!$AF$101:$AF$147,MATCH(Y25,WORLDCUP!$Z$101:$Z$147,0)),1,IF(WORLDCUP!$H$113&lt;144,6,3))</f>
        <v>Rep</v>
      </c>
      <c r="AB25" s="468" t="str">
        <f>+IF(ISBLANK(INDEX(WORLDCUP!$AD$101:$AD$147,MATCH(Y25,WORLDCUP!$Z$101:$Z$147,0))),"",INDEX(WORLDCUP!$AD$101:$AD$147,MATCH(Y25,WORLDCUP!$Z$101:$Z$147,0)))</f>
        <v/>
      </c>
      <c r="AC25" s="494" t="str">
        <f>+IF(ISBLANK(INDEX(WORLDCUP!$AE$101:$AE$147,MATCH(Y25,WORLDCUP!$Z$101:$Z$147,0))),"","( "&amp;INDEX(WORLDCUP!$AE$101:$AE$147,MATCH(Y25,WORLDCUP!$Z$101:$Z$147,0))&amp;" )")</f>
        <v/>
      </c>
      <c r="AD25" s="181"/>
      <c r="AE25" s="416"/>
      <c r="AF25" s="416"/>
      <c r="AG25" s="416"/>
      <c r="AH25" s="181"/>
      <c r="AI25" s="446"/>
      <c r="AJ25" s="446"/>
      <c r="AK25" s="446"/>
      <c r="AL25" s="181"/>
      <c r="AM25" s="418"/>
      <c r="AN25" s="418"/>
      <c r="AO25" s="499"/>
      <c r="AP25" s="521"/>
      <c r="AQ25" s="522"/>
      <c r="AR25" s="522"/>
      <c r="AS25" s="522"/>
      <c r="AT25" s="523">
        <v>104</v>
      </c>
      <c r="AU25" s="524" t="str">
        <f>+MID(INDEX(WORLDCUP!$AA$101:$AA$147,MATCH(AT25,WORLDCUP!$Z$101:$Z$147,0)),1,4)</f>
        <v>W101</v>
      </c>
      <c r="AV25" s="525" t="str">
        <f>+IF(ISBLANK(INDEX(WORLDCUP!$AC$101:$AC$147,MATCH(AT25,WORLDCUP!$Z$101:$Z$147,0))),"",INDEX(WORLDCUP!$AC$101:$AC$147,MATCH(AT25,WORLDCUP!$Z$101:$Z$147,0)))</f>
        <v/>
      </c>
      <c r="AW25" s="526" t="str">
        <f>+IF(ISBLANK(INDEX(WORLDCUP!$AB$101:$AB$147,MATCH(AT25,WORLDCUP!$Z$101:$Z$147,0))),"","( "&amp;INDEX(WORLDCUP!$AB$101:$AB$147,MATCH(AT25,WORLDCUP!$Z$101:$Z$147,0))&amp;" )")</f>
        <v/>
      </c>
      <c r="AX25" s="527"/>
      <c r="AY25" s="514"/>
      <c r="AZ25" s="515" t="str">
        <f>+WORLDCUP!AA152</f>
        <v>W34</v>
      </c>
      <c r="BA25" s="517"/>
      <c r="BB25" s="520"/>
      <c r="BC25" s="516"/>
      <c r="BD25" s="153"/>
      <c r="BE25" s="153"/>
      <c r="BG25" s="449" t="str">
        <f ca="1">Horarios!Q24</f>
        <v>Estados Unidos</v>
      </c>
      <c r="BH25" s="450">
        <f t="shared" ca="1" si="0"/>
        <v>0</v>
      </c>
      <c r="BI25" s="450">
        <f ca="1">COUNTIF(Pool!$C$130:$C$161,Fixture!BG25)-BJ25-BK25-BL25-BM25-BN25-BO25</f>
        <v>1</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6" customHeight="1" thickBot="1" x14ac:dyDescent="0.25">
      <c r="A26" s="181"/>
      <c r="B26" s="398"/>
      <c r="C26" s="483"/>
      <c r="D26" s="484"/>
      <c r="E26" s="484"/>
      <c r="F26" s="153"/>
      <c r="G26" s="153"/>
      <c r="H26" s="483"/>
      <c r="I26" s="153"/>
      <c r="J26" s="153"/>
      <c r="K26" s="153"/>
      <c r="L26" s="181"/>
      <c r="M26" s="181"/>
      <c r="N26" s="151"/>
      <c r="O26" s="153"/>
      <c r="P26" s="153"/>
      <c r="Q26" s="153"/>
      <c r="R26" s="153"/>
      <c r="S26" s="153"/>
      <c r="T26" s="153"/>
      <c r="U26" s="153"/>
      <c r="V26" s="153"/>
      <c r="W26" s="153"/>
      <c r="X26" s="181"/>
      <c r="Y26" s="181"/>
      <c r="Z26" s="412"/>
      <c r="AA26" s="481"/>
      <c r="AB26" s="481"/>
      <c r="AC26" s="481"/>
      <c r="AD26" s="181"/>
      <c r="AE26" s="416"/>
      <c r="AF26" s="416"/>
      <c r="AG26" s="461"/>
      <c r="AH26" s="181"/>
      <c r="AI26" s="446"/>
      <c r="AJ26" s="446"/>
      <c r="AK26" s="446"/>
      <c r="AL26" s="181"/>
      <c r="AM26" s="418"/>
      <c r="AN26" s="418"/>
      <c r="AO26" s="499"/>
      <c r="AP26" s="181"/>
      <c r="AQ26" s="447"/>
      <c r="AR26" s="447"/>
      <c r="AS26" s="447"/>
      <c r="AT26" s="181">
        <v>104</v>
      </c>
      <c r="AU26" s="524" t="str">
        <f>+MID(INDEX(WORLDCUP!$AF$101:$AF$147,MATCH(AT26,WORLDCUP!$Z$101:$Z$147,0)),1,4)</f>
        <v>W102</v>
      </c>
      <c r="AV26" s="525" t="str">
        <f>+IF(ISBLANK(INDEX(WORLDCUP!$AD$101:$AD$147,MATCH(AT26,WORLDCUP!$Z$101:$Z$147,0))),"",INDEX(WORLDCUP!$AD$101:$AD$147,MATCH(AT26,WORLDCUP!$Z$101:$Z$147,0)))</f>
        <v/>
      </c>
      <c r="AW26" s="420" t="str">
        <f>+IF(ISBLANK(INDEX(WORLDCUP!$AE$101:$AE$147,MATCH(AT26,WORLDCUP!$Z$101:$Z$147,0))),"","( "&amp;INDEX(WORLDCUP!$AE$101:$AE$147,MATCH(AT26,WORLDCUP!$Z$101:$Z$147,0))&amp;" )")</f>
        <v/>
      </c>
      <c r="AX26" s="181"/>
      <c r="AY26" s="514"/>
      <c r="AZ26" s="528"/>
      <c r="BA26" s="517"/>
      <c r="BB26" s="520"/>
      <c r="BC26" s="516"/>
      <c r="BD26" s="153"/>
      <c r="BE26" s="153"/>
      <c r="BG26" s="449" t="str">
        <f ca="1">Horarios!Q25</f>
        <v>Francia</v>
      </c>
      <c r="BH26" s="450">
        <f t="shared" ca="1" si="0"/>
        <v>0</v>
      </c>
      <c r="BI26" s="450">
        <f ca="1">COUNTIF(Pool!$C$130:$C$161,Fixture!BG26)-BJ26-BK26-BL26-BM26-BN26-BO26</f>
        <v>1</v>
      </c>
      <c r="BJ26" s="451">
        <f ca="1">COUNTIF(Pool!$C$182:$C$197,Fixture!BG26)-BK26-BL26-BM26-BN26-BO26</f>
        <v>0</v>
      </c>
      <c r="BK26" s="452">
        <f ca="1">COUNTIF(Pool!$C$210:$C$217,Fixture!BG26)-BL26-BM26-BN26-BO26</f>
        <v>0</v>
      </c>
      <c r="BL26" s="452">
        <f ca="1">COUNTIF(Pool!$C$226:$C$229,Fixture!BG26)-BM26-BN26-BO26</f>
        <v>0</v>
      </c>
      <c r="BM26" s="450">
        <f ca="1">COUNTIF(Pool!$C$252,Fixture!BG26)</f>
        <v>0</v>
      </c>
      <c r="BN26" s="450">
        <f ca="1">COUNTIF(Pool!$C$251,Fixture!BG26)</f>
        <v>0</v>
      </c>
      <c r="BO26" s="453">
        <f ca="1">COUNTIF(Pool!$C$250,Fixture!BG26)</f>
        <v>0</v>
      </c>
    </row>
    <row r="27" spans="1:67" ht="16" customHeight="1" thickBot="1" x14ac:dyDescent="0.25">
      <c r="A27" s="181">
        <v>4</v>
      </c>
      <c r="B27" s="529" t="s">
        <v>107</v>
      </c>
      <c r="C27" s="404" t="str">
        <f ca="1">+MID(INDEX(WORLDCUP!$AA$4:$AA$147,MATCH(A27,WORLDCUP!$AH$4:$AH$147,0)),1,3)</f>
        <v>Est</v>
      </c>
      <c r="D27" s="405">
        <f>IF(ISBLANK(INDEX(WORLDCUP!$AC$4:$AC$147,MATCH(A27,WORLDCUP!$AH$4:$AH$147,0))),"",INDEX(WORLDCUP!$AC$4:$AC$147,MATCH(A27,WORLDCUP!$AH$4:$AH$147,0)))</f>
        <v>0</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81"/>
      <c r="M27" s="181">
        <v>19</v>
      </c>
      <c r="N27" s="530" t="s">
        <v>141</v>
      </c>
      <c r="O27" s="404" t="str">
        <f ca="1">+MID(INDEX(WORLDCUP!$AA$4:$AA$147,MATCH(M27,WORLDCUP!$AH$4:$AH$147,0)),1,3)</f>
        <v>Arg</v>
      </c>
      <c r="P27" s="405">
        <f>IF(ISBLANK(INDEX(WORLDCUP!$AC$4:$AC$147,MATCH(M27,WORLDCUP!$AH$4:$AH$147,0))),"",INDEX(WORLDCUP!$AC$4:$AC$147,MATCH(M27,WORLDCUP!$AH$4:$AH$147,0)))</f>
        <v>3</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81"/>
      <c r="Y27" s="181">
        <v>76</v>
      </c>
      <c r="Z27" s="412" t="s">
        <v>92</v>
      </c>
      <c r="AA27" s="413" t="str">
        <f ca="1">+MID(INDEX(WORLDCUP!$AA$101:$AA$147,MATCH(Y27,WORLDCUP!$Z$101:$Z$147,0)),1,3)</f>
        <v>Bra</v>
      </c>
      <c r="AB27" s="414" t="str">
        <f>+IF(ISBLANK(INDEX(WORLDCUP!$AC$101:$AC$147,MATCH(Y27,WORLDCUP!$Z$101:$Z$147,0))),"",INDEX(WORLDCUP!$AC$101:$AC$147,MATCH(Y27,WORLDCUP!$Z$101:$Z$147,0)))</f>
        <v/>
      </c>
      <c r="AC27" s="485" t="str">
        <f>+IF(ISBLANK(INDEX(WORLDCUP!$AB$101:$AB$147,MATCH(Y27,WORLDCUP!$Z$101:$Z$147,0))),"","( "&amp;INDEX(WORLDCUP!$AB$101:$AB$147,MATCH(Y27,WORLDCUP!$Z$101:$Z$147,0))&amp;" )")</f>
        <v/>
      </c>
      <c r="AD27" s="179"/>
      <c r="AE27" s="416"/>
      <c r="AF27" s="416"/>
      <c r="AG27" s="416"/>
      <c r="AH27" s="181"/>
      <c r="AI27" s="446"/>
      <c r="AJ27" s="446"/>
      <c r="AK27" s="446"/>
      <c r="AL27" s="181"/>
      <c r="AM27" s="418"/>
      <c r="AN27" s="418"/>
      <c r="AO27" s="499"/>
      <c r="AP27" s="402"/>
      <c r="AQ27" s="447"/>
      <c r="AR27" s="447"/>
      <c r="AS27" s="447"/>
      <c r="AT27" s="181"/>
      <c r="AU27" s="420"/>
      <c r="AV27" s="420"/>
      <c r="AW27" s="420"/>
      <c r="AX27" s="181"/>
      <c r="AY27" s="514"/>
      <c r="AZ27" s="528"/>
      <c r="BA27" s="517"/>
      <c r="BB27" s="520"/>
      <c r="BC27" s="516"/>
      <c r="BD27" s="153"/>
      <c r="BE27" s="153"/>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6" customHeight="1" thickBot="1" x14ac:dyDescent="0.25">
      <c r="A28" s="181">
        <v>6</v>
      </c>
      <c r="B28" s="531"/>
      <c r="C28" s="431" t="str">
        <f ca="1">+MID(INDEX(WORLDCUP!$AA$4:$AA$147,MATCH(A28,WORLDCUP!$AH$4:$AH$147,0)),1,3)</f>
        <v>Aus</v>
      </c>
      <c r="D28" s="432">
        <f>IF(ISBLANK(INDEX(WORLDCUP!$AC$4:$AC$147,MATCH(A28,WORLDCUP!$AH$4:$AH$147,0))),"",INDEX(WORLDCUP!$AC$4:$AC$147,MATCH(A28,WORLDCUP!$AH$4:$AH$147,0)))</f>
        <v>3</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Par</v>
      </c>
      <c r="I28" s="436">
        <f ca="1">+INDEX(WORLDCUP!$AM$6:$AM$97,MATCH(L28,WORLDCUP!$AI$6:$AI$97,0))</f>
        <v>9</v>
      </c>
      <c r="J28" s="437">
        <f ca="1">+INDEX(WORLDCUP!$AT$6:$AT$97,MATCH(L28,WORLDCUP!$AI$6:$AI$97,0))</f>
        <v>5</v>
      </c>
      <c r="K28" s="438" t="str">
        <f ca="1">+INDEX(WORLDCUP!$AR$6:$AR$97,MATCH(L28,WORLDCUP!$AI$6:$AI$97,0))&amp;"-"&amp;INDEX(WORLDCUP!$AS$6:$AS$97,MATCH(L28,WORLDCUP!$AI$6:$AI$97,0))</f>
        <v>5-0</v>
      </c>
      <c r="L28" s="181" t="s">
        <v>96</v>
      </c>
      <c r="M28" s="181">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9</v>
      </c>
      <c r="W28" s="438" t="str">
        <f ca="1">+INDEX(WORLDCUP!$AR$6:$AR$97,MATCH(X28,WORLDCUP!$AI$6:$AI$97,0))&amp;"-"&amp;INDEX(WORLDCUP!$AS$6:$AS$97,MATCH(X28,WORLDCUP!$AI$6:$AI$97,0))</f>
        <v>9-0</v>
      </c>
      <c r="X28" s="181" t="s">
        <v>123</v>
      </c>
      <c r="Y28" s="181">
        <v>76</v>
      </c>
      <c r="Z28" s="412" t="s">
        <v>106</v>
      </c>
      <c r="AA28" s="413" t="str">
        <f ca="1">+MID(INDEX(WORLDCUP!$AF$101:$AF$147,MATCH(Y28,WORLDCUP!$Z$101:$Z$147,0)),1,3)</f>
        <v>Jap</v>
      </c>
      <c r="AB28" s="440" t="str">
        <f>+IF(ISBLANK(INDEX(WORLDCUP!$AD$101:$AD$147,MATCH(Y28,WORLDCUP!$Z$101:$Z$147,0))),"",INDEX(WORLDCUP!$AD$101:$AD$147,MATCH(Y28,WORLDCUP!$Z$101:$Z$147,0)))</f>
        <v/>
      </c>
      <c r="AC28" s="441" t="str">
        <f>+IF(ISBLANK(INDEX(WORLDCUP!$AE$101:$AE$147,MATCH(Y28,WORLDCUP!$Z$101:$Z$147,0))),"","( "&amp;INDEX(WORLDCUP!$AE$101:$AE$147,MATCH(Y28,WORLDCUP!$Z$101:$Z$147,0))&amp;" )")</f>
        <v/>
      </c>
      <c r="AD28" s="442">
        <v>91</v>
      </c>
      <c r="AE28" s="443" t="str">
        <f>+MID(INDEX(WORLDCUP!$AA$101:$AA$147,MATCH(AD28,WORLDCUP!$Z$101:$Z$147,0)),1,3)</f>
        <v>W76</v>
      </c>
      <c r="AF28" s="444" t="str">
        <f>+IF(ISBLANK(INDEX(WORLDCUP!$AC$101:$AC$147,MATCH(AD28,WORLDCUP!$Z$101:$Z$147,0))),"",INDEX(WORLDCUP!$AC$101:$AC$147,MATCH(AD28,WORLDCUP!$Z$101:$Z$147,0)))</f>
        <v/>
      </c>
      <c r="AG28" s="445" t="str">
        <f>+IF(ISBLANK(INDEX(WORLDCUP!$AB$101:$AB$147,MATCH(AD28,WORLDCUP!$Z$101:$Z$147,0))),"","( "&amp;INDEX(WORLDCUP!$AB$101:$AB$147,MATCH(AD28,WORLDCUP!$Z$101:$Z$147,0))&amp;" )")</f>
        <v/>
      </c>
      <c r="AH28" s="181"/>
      <c r="AI28" s="446"/>
      <c r="AJ28" s="446"/>
      <c r="AK28" s="446"/>
      <c r="AL28" s="181"/>
      <c r="AM28" s="418"/>
      <c r="AN28" s="418"/>
      <c r="AO28" s="499"/>
      <c r="AP28" s="402"/>
      <c r="AQ28" s="447"/>
      <c r="AR28" s="447"/>
      <c r="AS28" s="447"/>
      <c r="AT28" s="181"/>
      <c r="AU28" s="420"/>
      <c r="AV28" s="420"/>
      <c r="AW28" s="420"/>
      <c r="AX28" s="181"/>
      <c r="AY28" s="514"/>
      <c r="AZ28" s="528"/>
      <c r="BA28" s="517"/>
      <c r="BB28" s="520"/>
      <c r="BC28" s="516"/>
      <c r="BD28" s="153"/>
      <c r="BE28" s="153"/>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x14ac:dyDescent="0.2">
      <c r="A29" s="181">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Est</v>
      </c>
      <c r="I29" s="38">
        <f ca="1">+INDEX(WORLDCUP!$AM$6:$AM$97,MATCH(L29,WORLDCUP!$AI$6:$AI$97,0))</f>
        <v>6</v>
      </c>
      <c r="J29" s="39">
        <f ca="1">+INDEX(WORLDCUP!$AT$6:$AT$97,MATCH(L29,WORLDCUP!$AI$6:$AI$97,0))</f>
        <v>0</v>
      </c>
      <c r="K29" s="43" t="str">
        <f ca="1">+INDEX(WORLDCUP!$AR$6:$AR$97,MATCH(L29,WORLDCUP!$AI$6:$AI$97,0))&amp;"-"&amp;INDEX(WORLDCUP!$AS$6:$AS$97,MATCH(L29,WORLDCUP!$AI$6:$AI$97,0))</f>
        <v>4-4</v>
      </c>
      <c r="L29" s="181" t="s">
        <v>97</v>
      </c>
      <c r="M29" s="181">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0</v>
      </c>
      <c r="R29" s="433" t="str">
        <f ca="1">+MID(INDEX(WORLDCUP!$AF$4:$AF$147,MATCH(M29,WORLDCUP!$AH$4:$AH$147,0)),1,3)</f>
        <v>Aus</v>
      </c>
      <c r="S29" s="454">
        <v>2</v>
      </c>
      <c r="T29" s="455"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2-2</v>
      </c>
      <c r="X29" s="181" t="s">
        <v>124</v>
      </c>
      <c r="Y29" s="181"/>
      <c r="Z29" s="412"/>
      <c r="AA29" s="456"/>
      <c r="AB29" s="456"/>
      <c r="AC29" s="457"/>
      <c r="AD29" s="181">
        <v>91</v>
      </c>
      <c r="AE29" s="443" t="str">
        <f>+MID(INDEX(WORLDCUP!$AF$101:$AF$147,MATCH(AD29,WORLDCUP!$Z$101:$Z$147,0)),1,3)</f>
        <v>W78</v>
      </c>
      <c r="AF29" s="444" t="str">
        <f>+IF(ISBLANK(INDEX(WORLDCUP!$AD$101:$AD$147,MATCH(AD29,WORLDCUP!$Z$101:$Z$147,0))),"",INDEX(WORLDCUP!$AD$101:$AD$147,MATCH(AD29,WORLDCUP!$Z$101:$Z$147,0)))</f>
        <v/>
      </c>
      <c r="AG29" s="502" t="str">
        <f>+IF(ISBLANK(INDEX(WORLDCUP!$AE$101:$AE$147,MATCH(AD29,WORLDCUP!$Z$101:$Z$147,0))),"","( "&amp;INDEX(WORLDCUP!$AE$101:$AE$147,MATCH(AD29,WORLDCUP!$Z$101:$Z$147,0))&amp;" )")</f>
        <v/>
      </c>
      <c r="AH29" s="181"/>
      <c r="AI29" s="446"/>
      <c r="AJ29" s="446"/>
      <c r="AK29" s="446"/>
      <c r="AL29" s="181"/>
      <c r="AM29" s="418"/>
      <c r="AN29" s="418"/>
      <c r="AO29" s="499"/>
      <c r="AP29" s="402"/>
      <c r="AQ29" s="447"/>
      <c r="AR29" s="447"/>
      <c r="AS29" s="447"/>
      <c r="AT29" s="181"/>
      <c r="AU29" s="420"/>
      <c r="AV29" s="420"/>
      <c r="AW29" s="420"/>
      <c r="AX29" s="181"/>
      <c r="AY29" s="514"/>
      <c r="AZ29" s="528"/>
      <c r="BA29" s="517"/>
      <c r="BB29" s="520"/>
      <c r="BC29" s="516"/>
      <c r="BD29" s="153"/>
      <c r="BE29" s="153"/>
      <c r="BG29" s="449" t="str">
        <f ca="1">Horarios!Q28</f>
        <v>Inglaterra</v>
      </c>
      <c r="BH29" s="450">
        <f t="shared" ca="1" si="0"/>
        <v>0</v>
      </c>
      <c r="BI29" s="450">
        <f ca="1">COUNTIF(Pool!$C$130:$C$161,Fixture!BG29)-BJ29-BK29-BL29-BM29-BN29-BO29</f>
        <v>1</v>
      </c>
      <c r="BJ29" s="451">
        <f ca="1">COUNTIF(Pool!$C$182:$C$197,Fixture!BG29)-BK29-BL29-BM29-BN29-BO29</f>
        <v>0</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0</v>
      </c>
    </row>
    <row r="30" spans="1:67" ht="16" customHeight="1" thickBot="1" x14ac:dyDescent="0.25">
      <c r="A30" s="181">
        <v>31</v>
      </c>
      <c r="B30" s="531"/>
      <c r="C30" s="431" t="str">
        <f ca="1">+MID(INDEX(WORLDCUP!$AA$4:$AA$147,MATCH(A30,WORLDCUP!$AH$4:$AH$147,0)),1,3)</f>
        <v>Tur</v>
      </c>
      <c r="D30" s="432">
        <f>IF(ISBLANK(INDEX(WORLDCUP!$AC$4:$AC$147,MATCH(A30,WORLDCUP!$AH$4:$AH$147,0))),"",INDEX(WORLDCUP!$AC$4:$AC$147,MATCH(A30,WORLDCUP!$AH$4:$AH$147,0)))</f>
        <v>0</v>
      </c>
      <c r="E30" s="432">
        <f>IF(ISBLANK(INDEX(WORLDCUP!$AD$4:$AD$147,MATCH(A30,WORLDCUP!$AH$4:$AH$147,0))),"",INDEX(WORLDCUP!$AD$4:$AD$147,MATCH(A30,WORLDCUP!$AH$4:$AH$147,0)))</f>
        <v>2</v>
      </c>
      <c r="F30" s="433" t="str">
        <f ca="1">+MID(INDEX(WORLDCUP!$AF$4:$AF$147,MATCH(A30,WORLDCUP!$AH$4:$AH$147,0)),1,3)</f>
        <v>Par</v>
      </c>
      <c r="G30" s="454">
        <v>3</v>
      </c>
      <c r="H30" s="455" t="str">
        <f ca="1">+MID(INDEX(WORLDCUP!$AL$6:$AL$97,MATCH(L30,WORLDCUP!$AI$6:$AI$97,0)),1,3)</f>
        <v>Aus</v>
      </c>
      <c r="I30" s="38">
        <f ca="1">+INDEX(WORLDCUP!$AM$6:$AM$97,MATCH(L30,WORLDCUP!$AI$6:$AI$97,0))</f>
        <v>3</v>
      </c>
      <c r="J30" s="39">
        <f ca="1">+INDEX(WORLDCUP!$AT$6:$AT$97,MATCH(L30,WORLDCUP!$AI$6:$AI$97,0))</f>
        <v>-1</v>
      </c>
      <c r="K30" s="43" t="str">
        <f ca="1">+INDEX(WORLDCUP!$AR$6:$AR$97,MATCH(L30,WORLDCUP!$AI$6:$AI$97,0))&amp;"-"&amp;INDEX(WORLDCUP!$AS$6:$AS$97,MATCH(L30,WORLDCUP!$AI$6:$AI$97,0))</f>
        <v>4-5</v>
      </c>
      <c r="L30" s="181" t="s">
        <v>99</v>
      </c>
      <c r="M30" s="181">
        <v>44</v>
      </c>
      <c r="N30" s="532"/>
      <c r="O30" s="431" t="str">
        <f ca="1">+MID(INDEX(WORLDCUP!$AA$4:$AA$147,MATCH(M30,WORLDCUP!$AH$4:$AH$147,0)),1,3)</f>
        <v>Jor</v>
      </c>
      <c r="P30" s="432">
        <f>IF(ISBLANK(INDEX(WORLDCUP!$AC$4:$AC$147,MATCH(M30,WORLDCUP!$AH$4:$AH$147,0))),"",INDEX(WORLDCUP!$AC$4:$AC$147,MATCH(M30,WORLDCUP!$AH$4:$AH$147,0)))</f>
        <v>1</v>
      </c>
      <c r="Q30" s="432">
        <f>IF(ISBLANK(INDEX(WORLDCUP!$AD$4:$AD$147,MATCH(M30,WORLDCUP!$AH$4:$AH$147,0))),"",INDEX(WORLDCUP!$AD$4:$AD$147,MATCH(M30,WORLDCUP!$AH$4:$AH$147,0)))</f>
        <v>1</v>
      </c>
      <c r="R30" s="433" t="str">
        <f ca="1">+MID(INDEX(WORLDCUP!$AF$4:$AF$147,MATCH(M30,WORLDCUP!$AH$4:$AH$147,0)),1,3)</f>
        <v>Arg</v>
      </c>
      <c r="S30" s="454">
        <v>3</v>
      </c>
      <c r="T30" s="455" t="str">
        <f ca="1">+MID(INDEX(WORLDCUP!$AL$6:$AL$97,MATCH(X30,WORLDCUP!$AI$6:$AI$97,0)),1,3)</f>
        <v>Arg</v>
      </c>
      <c r="U30" s="38">
        <f ca="1">+INDEX(WORLDCUP!$AM$6:$AM$97,MATCH(X30,WORLDCUP!$AI$6:$AI$97,0))</f>
        <v>2</v>
      </c>
      <c r="V30" s="39">
        <f ca="1">+INDEX(WORLDCUP!$AT$6:$AT$97,MATCH(X30,WORLDCUP!$AI$6:$AI$97,0))</f>
        <v>-3</v>
      </c>
      <c r="W30" s="43" t="str">
        <f ca="1">+INDEX(WORLDCUP!$AR$6:$AR$97,MATCH(X30,WORLDCUP!$AI$6:$AI$97,0))&amp;"-"&amp;INDEX(WORLDCUP!$AS$6:$AS$97,MATCH(X30,WORLDCUP!$AI$6:$AI$97,0))</f>
        <v>1-4</v>
      </c>
      <c r="X30" s="181" t="s">
        <v>126</v>
      </c>
      <c r="Y30" s="181">
        <v>78</v>
      </c>
      <c r="Z30" s="412" t="s">
        <v>102</v>
      </c>
      <c r="AA30" s="413" t="str">
        <f ca="1">+MID(INDEX(WORLDCUP!$AA$101:$AA$147,MATCH(Y30,WORLDCUP!$Z$101:$Z$147,0)),1,3)</f>
        <v>Ecu</v>
      </c>
      <c r="AB30" s="459" t="str">
        <f>+IF(ISBLANK(INDEX(WORLDCUP!$AC$101:$AC$147,MATCH(Y30,WORLDCUP!$Z$101:$Z$147,0))),"",INDEX(WORLDCUP!$AC$101:$AC$147,MATCH(Y30,WORLDCUP!$Z$101:$Z$147,0)))</f>
        <v/>
      </c>
      <c r="AC30" s="493" t="str">
        <f>+IF(ISBLANK(INDEX(WORLDCUP!$AB$101:$AB$147,MATCH(Y30,WORLDCUP!$Z$101:$Z$147,0))),"","( "&amp;INDEX(WORLDCUP!$AB$101:$AB$147,MATCH(Y30,WORLDCUP!$Z$101:$Z$147,0))&amp;" )")</f>
        <v/>
      </c>
      <c r="AD30" s="181"/>
      <c r="AE30" s="461"/>
      <c r="AF30" s="461"/>
      <c r="AG30" s="462"/>
      <c r="AH30" s="181"/>
      <c r="AI30" s="446"/>
      <c r="AJ30" s="446"/>
      <c r="AK30" s="446"/>
      <c r="AL30" s="181"/>
      <c r="AM30" s="418"/>
      <c r="AN30" s="418"/>
      <c r="AO30" s="499"/>
      <c r="AP30" s="181"/>
      <c r="AQ30" s="447"/>
      <c r="AR30" s="447"/>
      <c r="AS30" s="447"/>
      <c r="AT30" s="181"/>
      <c r="AU30" s="420"/>
      <c r="AV30" s="420"/>
      <c r="AW30" s="420"/>
      <c r="AX30" s="181"/>
      <c r="AY30" s="514"/>
      <c r="AZ30" s="528"/>
      <c r="BA30" s="517"/>
      <c r="BB30" s="520"/>
      <c r="BC30" s="516"/>
      <c r="BD30" s="153"/>
      <c r="BE30" s="153"/>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6" customHeight="1" thickBot="1" x14ac:dyDescent="0.25">
      <c r="A31" s="181">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2</v>
      </c>
      <c r="F31" s="433" t="str">
        <f ca="1">+MID(INDEX(WORLDCUP!$AF$4:$AF$147,MATCH(A31,WORLDCUP!$AH$4:$AH$147,0)),1,3)</f>
        <v>Est</v>
      </c>
      <c r="G31" s="454">
        <v>4</v>
      </c>
      <c r="H31" s="463" t="str">
        <f ca="1">+MID(INDEX(WORLDCUP!$AL$6:$AL$97,MATCH(L31,WORLDCUP!$AI$6:$AI$97,0)),1,3)</f>
        <v>Tur</v>
      </c>
      <c r="I31" s="464">
        <f ca="1">+INDEX(WORLDCUP!$AM$6:$AM$97,MATCH(L31,WORLDCUP!$AI$6:$AI$97,0))</f>
        <v>0</v>
      </c>
      <c r="J31" s="465">
        <f ca="1">+INDEX(WORLDCUP!$AT$6:$AT$97,MATCH(L31,WORLDCUP!$AI$6:$AI$97,0))</f>
        <v>-4</v>
      </c>
      <c r="K31" s="466" t="str">
        <f ca="1">+INDEX(WORLDCUP!$AR$6:$AR$97,MATCH(L31,WORLDCUP!$AI$6:$AI$97,0))&amp;"-"&amp;INDEX(WORLDCUP!$AS$6:$AS$97,MATCH(L31,WORLDCUP!$AI$6:$AI$97,0))</f>
        <v>3-7</v>
      </c>
      <c r="L31" s="181" t="s">
        <v>100</v>
      </c>
      <c r="M31" s="181">
        <v>69</v>
      </c>
      <c r="N31" s="532"/>
      <c r="O31" s="431" t="str">
        <f ca="1">+MID(INDEX(WORLDCUP!$AA$4:$AA$147,MATCH(M31,WORLDCUP!$AH$4:$AH$147,0)),1,3)</f>
        <v>Arg</v>
      </c>
      <c r="P31" s="432">
        <f>IF(ISBLANK(INDEX(WORLDCUP!$AC$4:$AC$147,MATCH(M31,WORLDCUP!$AH$4:$AH$147,0))),"",INDEX(WORLDCUP!$AC$4:$AC$147,MATCH(M31,WORLDCUP!$AH$4:$AH$147,0)))</f>
        <v>0</v>
      </c>
      <c r="Q31" s="432">
        <f>IF(ISBLANK(INDEX(WORLDCUP!$AD$4:$AD$147,MATCH(M31,WORLDCUP!$AH$4:$AH$147,0))),"",INDEX(WORLDCUP!$AD$4:$AD$147,MATCH(M31,WORLDCUP!$AH$4:$AH$147,0)))</f>
        <v>0</v>
      </c>
      <c r="R31" s="433" t="str">
        <f ca="1">+MID(INDEX(WORLDCUP!$AF$4:$AF$147,MATCH(M31,WORLDCUP!$AH$4:$AH$147,0)),1,3)</f>
        <v>Aus</v>
      </c>
      <c r="S31" s="454">
        <v>4</v>
      </c>
      <c r="T31" s="463" t="str">
        <f ca="1">+MID(INDEX(WORLDCUP!$AL$6:$AL$97,MATCH(X31,WORLDCUP!$AI$6:$AI$97,0)),1,3)</f>
        <v>Jor</v>
      </c>
      <c r="U31" s="464">
        <f ca="1">+INDEX(WORLDCUP!$AM$6:$AM$97,MATCH(X31,WORLDCUP!$AI$6:$AI$97,0))</f>
        <v>1</v>
      </c>
      <c r="V31" s="465">
        <f ca="1">+INDEX(WORLDCUP!$AT$6:$AT$97,MATCH(X31,WORLDCUP!$AI$6:$AI$97,0))</f>
        <v>-6</v>
      </c>
      <c r="W31" s="466" t="str">
        <f ca="1">+INDEX(WORLDCUP!$AR$6:$AR$97,MATCH(X31,WORLDCUP!$AI$6:$AI$97,0))&amp;"-"&amp;INDEX(WORLDCUP!$AS$6:$AS$97,MATCH(X31,WORLDCUP!$AI$6:$AI$97,0))</f>
        <v>1-7</v>
      </c>
      <c r="X31" s="181" t="s">
        <v>127</v>
      </c>
      <c r="Y31" s="181">
        <v>78</v>
      </c>
      <c r="Z31" s="412" t="s">
        <v>120</v>
      </c>
      <c r="AA31" s="467" t="str">
        <f ca="1">+MID(INDEX(WORLDCUP!$AF$101:$AF$147,MATCH(Y31,WORLDCUP!$Z$101:$Z$147,0)),1,3)</f>
        <v>Nor</v>
      </c>
      <c r="AB31" s="468" t="str">
        <f>+IF(ISBLANK(INDEX(WORLDCUP!$AD$101:$AD$147,MATCH(Y31,WORLDCUP!$Z$101:$Z$147,0))),"",INDEX(WORLDCUP!$AD$101:$AD$147,MATCH(Y31,WORLDCUP!$Z$101:$Z$147,0)))</f>
        <v/>
      </c>
      <c r="AC31" s="494" t="str">
        <f>+IF(ISBLANK(INDEX(WORLDCUP!$AE$101:$AE$147,MATCH(Y31,WORLDCUP!$Z$101:$Z$147,0))),"","( "&amp;INDEX(WORLDCUP!$AE$101:$AE$147,MATCH(Y31,WORLDCUP!$Z$101:$Z$147,0))&amp;" )")</f>
        <v/>
      </c>
      <c r="AD31" s="181"/>
      <c r="AE31" s="461"/>
      <c r="AF31" s="461"/>
      <c r="AG31" s="462"/>
      <c r="AH31" s="487">
        <v>99</v>
      </c>
      <c r="AI31" s="470" t="str">
        <f>+MID(INDEX(WORLDCUP!$AA$101:$AA$147,MATCH(AH31,WORLDCUP!$Z$101:$Z$147,0)),1,3)</f>
        <v>W91</v>
      </c>
      <c r="AJ31" s="471" t="str">
        <f>+IF(ISBLANK(INDEX(WORLDCUP!$AC$101:$AC$147,MATCH(AH31,WORLDCUP!$Z$101:$Z$147,0))),"",INDEX(WORLDCUP!$AC$101:$AC$147,MATCH(AH31,WORLDCUP!$Z$101:$Z$147,0)))</f>
        <v/>
      </c>
      <c r="AK31" s="472" t="str">
        <f>+IF(ISBLANK(INDEX(WORLDCUP!$AB$101:$AB$147,MATCH(AH31,WORLDCUP!$Z$101:$Z$147,0))),"","( "&amp;INDEX(WORLDCUP!$AB$101:$AB$147,MATCH(AH31,WORLDCUP!$Z$101:$Z$147,0))&amp;" )")</f>
        <v/>
      </c>
      <c r="AL31" s="181"/>
      <c r="AM31" s="418"/>
      <c r="AN31" s="418"/>
      <c r="AO31" s="499"/>
      <c r="AP31" s="533">
        <v>103</v>
      </c>
      <c r="AQ31" s="534" t="str">
        <f>+MID(INDEX(WORLDCUP!$AA$101:$AA$147,MATCH(AP31,WORLDCUP!$Z$101:$Z$147,0)),1,4)</f>
        <v>L101</v>
      </c>
      <c r="AR31" s="535" t="str">
        <f>+IF(ISBLANK(INDEX(WORLDCUP!$AC$101:$AC$147,MATCH(AP31,WORLDCUP!$Z$101:$Z$147,0))),"",INDEX(WORLDCUP!$AC$101:$AC$147,MATCH(AP31,WORLDCUP!$Z$101:$Z$147,0)))</f>
        <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53"/>
      <c r="BE31" s="153"/>
      <c r="BG31" s="449" t="str">
        <f ca="1">Horarios!Q30</f>
        <v>Irán</v>
      </c>
      <c r="BH31" s="450">
        <f t="shared" ca="1" si="0"/>
        <v>0</v>
      </c>
      <c r="BI31" s="450">
        <f ca="1">COUNTIF(Pool!$C$130:$C$161,Fixture!BG31)-BJ31-BK31-BL31-BM31-BN31-BO31</f>
        <v>1</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6" customHeight="1" thickBot="1" x14ac:dyDescent="0.25">
      <c r="A32" s="181">
        <v>60</v>
      </c>
      <c r="B32" s="542"/>
      <c r="C32" s="474" t="str">
        <f ca="1">+MID(INDEX(WORLDCUP!$AA$4:$AA$147,MATCH(A32,WORLDCUP!$AH$4:$AH$147,0)),1,3)</f>
        <v>Par</v>
      </c>
      <c r="D32" s="475">
        <f>IF(ISBLANK(INDEX(WORLDCUP!$AC$4:$AC$147,MATCH(A32,WORLDCUP!$AH$4:$AH$147,0))),"",INDEX(WORLDCUP!$AC$4:$AC$147,MATCH(A32,WORLDCUP!$AH$4:$AH$147,0)))</f>
        <v>1</v>
      </c>
      <c r="E32" s="475">
        <f>IF(ISBLANK(INDEX(WORLDCUP!$AD$4:$AD$147,MATCH(A32,WORLDCUP!$AH$4:$AH$147,0))),"",INDEX(WORLDCUP!$AD$4:$AD$147,MATCH(A32,WORLDCUP!$AH$4:$AH$147,0)))</f>
        <v>0</v>
      </c>
      <c r="F32" s="476" t="str">
        <f ca="1">+MID(INDEX(WORLDCUP!$AF$4:$AF$147,MATCH(A32,WORLDCUP!$AH$4:$AH$147,0)),1,3)</f>
        <v>Aus</v>
      </c>
      <c r="G32" s="477"/>
      <c r="H32" s="477"/>
      <c r="I32" s="478"/>
      <c r="J32" s="478"/>
      <c r="K32" s="479"/>
      <c r="L32" s="181"/>
      <c r="M32" s="181">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4</v>
      </c>
      <c r="R32" s="476" t="str">
        <f ca="1">+MID(INDEX(WORLDCUP!$AF$4:$AF$147,MATCH(M32,WORLDCUP!$AH$4:$AH$147,0)),1,3)</f>
        <v>Arg</v>
      </c>
      <c r="S32" s="477"/>
      <c r="T32" s="477"/>
      <c r="U32" s="478"/>
      <c r="V32" s="478"/>
      <c r="W32" s="479"/>
      <c r="X32" s="181"/>
      <c r="Y32" s="181"/>
      <c r="Z32" s="412"/>
      <c r="AA32" s="481"/>
      <c r="AB32" s="481"/>
      <c r="AC32" s="481"/>
      <c r="AD32" s="181"/>
      <c r="AE32" s="416"/>
      <c r="AF32" s="416"/>
      <c r="AG32" s="462"/>
      <c r="AH32" s="181">
        <v>99</v>
      </c>
      <c r="AI32" s="470" t="str">
        <f>+MID(INDEX(WORLDCUP!$AF$101:$AF$147,MATCH(AH32,WORLDCUP!$Z$101:$Z$147,0)),1,3)</f>
        <v>W92</v>
      </c>
      <c r="AJ32" s="471" t="str">
        <f>+IF(ISBLANK(INDEX(WORLDCUP!$AD$101:$AD$147,MATCH(AH32,WORLDCUP!$Z$101:$Z$147,0))),"",INDEX(WORLDCUP!$AD$101:$AD$147,MATCH(AH32,WORLDCUP!$Z$101:$Z$147,0)))</f>
        <v/>
      </c>
      <c r="AK32" s="482" t="str">
        <f>+IF(ISBLANK(INDEX(WORLDCUP!$AE$101:$AE$147,MATCH(AH32,WORLDCUP!$Z$101:$Z$147,0))),"","( "&amp;INDEX(WORLDCUP!$AE$101:$AE$147,MATCH(AH32,WORLDCUP!$Z$101:$Z$147,0))&amp;" )")</f>
        <v/>
      </c>
      <c r="AL32" s="181"/>
      <c r="AM32" s="418"/>
      <c r="AN32" s="418"/>
      <c r="AO32" s="499"/>
      <c r="AP32" s="402">
        <v>103</v>
      </c>
      <c r="AQ32" s="534" t="str">
        <f>+MID(INDEX(WORLDCUP!$AF$101:$AF$147,MATCH(AP32,WORLDCUP!$Z$101:$Z$147,0)),1,4)</f>
        <v>L102</v>
      </c>
      <c r="AR32" s="535" t="str">
        <f>+IF(ISBLANK(INDEX(WORLDCUP!$AD$101:$AD$147,MATCH(AP32,WORLDCUP!$Z$101:$Z$147,0))),"",INDEX(WORLDCUP!$AD$101:$AD$147,MATCH(AP32,WORLDCUP!$Z$101:$Z$147,0)))</f>
        <v/>
      </c>
      <c r="AS32" s="447" t="str">
        <f>+IF(ISBLANK(INDEX(WORLDCUP!$AE$101:$AE$147,MATCH(AP32,WORLDCUP!$Z$101:$Z$147,0))),"","( "&amp;INDEX(WORLDCUP!$AE$101:$AE$147,MATCH(AP32,WORLDCUP!$Z$101:$Z$147,0))&amp;" )")</f>
        <v/>
      </c>
      <c r="AT32" s="181"/>
      <c r="AU32" s="420"/>
      <c r="AV32" s="420"/>
      <c r="AW32" s="420"/>
      <c r="AX32" s="181"/>
      <c r="AY32" s="153"/>
      <c r="AZ32" s="153"/>
      <c r="BA32" s="153"/>
      <c r="BB32" s="153"/>
      <c r="BC32" s="153"/>
      <c r="BD32" s="153"/>
      <c r="BE32" s="153"/>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6" customHeight="1" thickBot="1" x14ac:dyDescent="0.25">
      <c r="A33" s="181"/>
      <c r="B33" s="398"/>
      <c r="C33" s="483"/>
      <c r="D33" s="484"/>
      <c r="E33" s="484"/>
      <c r="F33" s="153"/>
      <c r="G33" s="153"/>
      <c r="H33" s="483"/>
      <c r="I33" s="153"/>
      <c r="J33" s="153"/>
      <c r="K33" s="153"/>
      <c r="L33" s="181"/>
      <c r="M33" s="181"/>
      <c r="N33" s="151"/>
      <c r="O33" s="483"/>
      <c r="P33" s="484"/>
      <c r="Q33" s="484"/>
      <c r="R33" s="153"/>
      <c r="S33" s="153"/>
      <c r="T33" s="483"/>
      <c r="U33" s="153"/>
      <c r="V33" s="153"/>
      <c r="W33" s="153"/>
      <c r="X33" s="181"/>
      <c r="Y33" s="181">
        <v>79</v>
      </c>
      <c r="Z33" s="412" t="s">
        <v>83</v>
      </c>
      <c r="AA33" s="413" t="str">
        <f ca="1">+MID(INDEX(WORLDCUP!$AA$101:$AA$147,MATCH(Y33,WORLDCUP!$Z$101:$Z$147,0)),1,3)</f>
        <v>Méx</v>
      </c>
      <c r="AB33" s="414" t="str">
        <f>+IF(ISBLANK(INDEX(WORLDCUP!$AC$101:$AC$147,MATCH(Y33,WORLDCUP!$Z$101:$Z$147,0))),"",INDEX(WORLDCUP!$AC$101:$AC$147,MATCH(Y33,WORLDCUP!$Z$101:$Z$147,0)))</f>
        <v/>
      </c>
      <c r="AC33" s="485" t="str">
        <f>+IF(ISBLANK(INDEX(WORLDCUP!$AB$101:$AB$147,MATCH(Y33,WORLDCUP!$Z$101:$Z$147,0))),"","( "&amp;INDEX(WORLDCUP!$AB$101:$AB$147,MATCH(Y33,WORLDCUP!$Z$101:$Z$147,0))&amp;" )")</f>
        <v/>
      </c>
      <c r="AD33" s="179"/>
      <c r="AE33" s="416"/>
      <c r="AF33" s="416"/>
      <c r="AG33" s="462"/>
      <c r="AH33" s="181"/>
      <c r="AI33" s="446"/>
      <c r="AJ33" s="446"/>
      <c r="AK33" s="486"/>
      <c r="AL33" s="402"/>
      <c r="AM33" s="418"/>
      <c r="AN33" s="418"/>
      <c r="AO33" s="499"/>
      <c r="AP33" s="181"/>
      <c r="AQ33" s="447"/>
      <c r="AR33" s="447"/>
      <c r="AS33" s="447"/>
      <c r="AT33" s="181"/>
      <c r="AU33" s="420"/>
      <c r="AV33" s="420"/>
      <c r="AW33" s="420"/>
      <c r="AX33" s="181"/>
      <c r="AY33" s="153"/>
      <c r="AZ33" s="153"/>
      <c r="BA33" s="153"/>
      <c r="BB33" s="153"/>
      <c r="BC33" s="153"/>
      <c r="BD33" s="153"/>
      <c r="BE33" s="153"/>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6" customHeight="1" thickBot="1" x14ac:dyDescent="0.25">
      <c r="A34" s="181"/>
      <c r="B34" s="398"/>
      <c r="C34" s="483"/>
      <c r="D34" s="484"/>
      <c r="E34" s="484"/>
      <c r="F34" s="153"/>
      <c r="G34" s="153"/>
      <c r="H34" s="483"/>
      <c r="I34" s="153"/>
      <c r="J34" s="153"/>
      <c r="K34" s="153"/>
      <c r="L34" s="181"/>
      <c r="M34" s="181"/>
      <c r="N34" s="151"/>
      <c r="O34" s="483"/>
      <c r="P34" s="484"/>
      <c r="Q34" s="484"/>
      <c r="R34" s="153"/>
      <c r="S34" s="153"/>
      <c r="T34" s="483"/>
      <c r="U34" s="153"/>
      <c r="V34" s="153"/>
      <c r="W34" s="153"/>
      <c r="X34" s="181"/>
      <c r="Y34" s="181">
        <v>79</v>
      </c>
      <c r="Z34" s="412" t="s">
        <v>165</v>
      </c>
      <c r="AA34" s="413" t="str">
        <f ca="1">+MID(INDEX(WORLDCUP!$AF$101:$AF$147,MATCH(Y34,WORLDCUP!$Z$101:$Z$147,0)),1,IF(WORLDCUP!$H$113&lt;144,6,3))</f>
        <v>Ara</v>
      </c>
      <c r="AB34" s="440" t="str">
        <f>+IF(ISBLANK(INDEX(WORLDCUP!$AD$101:$AD$147,MATCH(Y34,WORLDCUP!$Z$101:$Z$147,0))),"",INDEX(WORLDCUP!$AD$101:$AD$147,MATCH(Y34,WORLDCUP!$Z$101:$Z$147,0)))</f>
        <v/>
      </c>
      <c r="AC34" s="441" t="str">
        <f>+IF(ISBLANK(INDEX(WORLDCUP!$AE$101:$AE$147,MATCH(Y34,WORLDCUP!$Z$101:$Z$147,0))),"","( "&amp;INDEX(WORLDCUP!$AE$101:$AE$147,MATCH(Y34,WORLDCUP!$Z$101:$Z$147,0))&amp;" )")</f>
        <v/>
      </c>
      <c r="AD34" s="442">
        <v>92</v>
      </c>
      <c r="AE34" s="443" t="str">
        <f>+MID(INDEX(WORLDCUP!$AA$101:$AA$147,MATCH(AD34,WORLDCUP!$Z$101:$Z$147,0)),1,3)</f>
        <v>W79</v>
      </c>
      <c r="AF34" s="444" t="str">
        <f>+IF(ISBLANK(INDEX(WORLDCUP!$AC$101:$AC$147,MATCH(AD34,WORLDCUP!$Z$101:$Z$147,0))),"",INDEX(WORLDCUP!$AC$101:$AC$147,MATCH(AD34,WORLDCUP!$Z$101:$Z$147,0)))</f>
        <v/>
      </c>
      <c r="AG34" s="488" t="str">
        <f>+IF(ISBLANK(INDEX(WORLDCUP!$AB$101:$AB$147,MATCH(AD34,WORLDCUP!$Z$101:$Z$147,0))),"","( "&amp;INDEX(WORLDCUP!$AB$101:$AB$147,MATCH(AD34,WORLDCUP!$Z$101:$Z$147,0))&amp;" )")</f>
        <v/>
      </c>
      <c r="AH34" s="181"/>
      <c r="AI34" s="446"/>
      <c r="AJ34" s="446"/>
      <c r="AK34" s="486"/>
      <c r="AL34" s="402"/>
      <c r="AM34" s="418"/>
      <c r="AN34" s="418"/>
      <c r="AO34" s="499"/>
      <c r="AP34" s="181"/>
      <c r="AQ34" s="447"/>
      <c r="AR34" s="447"/>
      <c r="AS34" s="447"/>
      <c r="AT34" s="181"/>
      <c r="AU34" s="420"/>
      <c r="AV34" s="420"/>
      <c r="AW34" s="420"/>
      <c r="AX34" s="181"/>
      <c r="AY34" s="153"/>
      <c r="AZ34" s="153"/>
      <c r="BA34" s="153"/>
      <c r="BB34" s="153"/>
      <c r="BC34" s="153"/>
      <c r="BD34" s="153"/>
      <c r="BE34" s="153"/>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x14ac:dyDescent="0.2">
      <c r="A35" s="181">
        <v>10</v>
      </c>
      <c r="B35" s="544" t="s">
        <v>116</v>
      </c>
      <c r="C35" s="404" t="str">
        <f ca="1">+MID(INDEX(WORLDCUP!$AA$4:$AA$147,MATCH(A35,WORLDCUP!$AH$4:$AH$147,0)),1,3)</f>
        <v>Ale</v>
      </c>
      <c r="D35" s="405">
        <f>IF(ISBLANK(INDEX(WORLDCUP!$AC$4:$AC$147,MATCH(A35,WORLDCUP!$AH$4:$AH$147,0))),"",INDEX(WORLDCUP!$AC$4:$AC$147,MATCH(A35,WORLDCUP!$AH$4:$AH$147,0)))</f>
        <v>3</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81"/>
      <c r="M35" s="181">
        <v>23</v>
      </c>
      <c r="N35" s="545" t="s">
        <v>142</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81"/>
      <c r="Y35" s="181"/>
      <c r="Z35" s="412"/>
      <c r="AA35" s="456"/>
      <c r="AB35" s="456"/>
      <c r="AC35" s="457"/>
      <c r="AD35" s="181">
        <v>92</v>
      </c>
      <c r="AE35" s="443" t="str">
        <f>+MID(INDEX(WORLDCUP!$AF$101:$AF$147,MATCH(AD35,WORLDCUP!$Z$101:$Z$147,0)),1,3)</f>
        <v>W80</v>
      </c>
      <c r="AF35" s="444" t="str">
        <f>+IF(ISBLANK(INDEX(WORLDCUP!$AD$101:$AD$147,MATCH(AD35,WORLDCUP!$Z$101:$Z$147,0))),"",INDEX(WORLDCUP!$AD$101:$AD$147,MATCH(AD35,WORLDCUP!$Z$101:$Z$147,0)))</f>
        <v/>
      </c>
      <c r="AG35" s="461" t="str">
        <f>+IF(ISBLANK(INDEX(WORLDCUP!$AE$101:$AE$147,MATCH(AD35,WORLDCUP!$Z$101:$Z$147,0))),"","( "&amp;INDEX(WORLDCUP!$AE$101:$AE$147,MATCH(AD35,WORLDCUP!$Z$101:$Z$147,0))&amp;" )")</f>
        <v/>
      </c>
      <c r="AH35" s="181"/>
      <c r="AI35" s="446"/>
      <c r="AJ35" s="446"/>
      <c r="AK35" s="486"/>
      <c r="AL35" s="402"/>
      <c r="AM35" s="418"/>
      <c r="AN35" s="546"/>
      <c r="AO35" s="499"/>
      <c r="AP35" s="402"/>
      <c r="AQ35" s="447"/>
      <c r="AR35" s="447"/>
      <c r="AS35" s="447"/>
      <c r="AT35" s="181"/>
      <c r="AU35" s="420"/>
      <c r="AV35" s="420"/>
      <c r="AW35" s="420"/>
      <c r="AX35" s="181"/>
      <c r="AY35" s="153"/>
      <c r="AZ35" s="153"/>
      <c r="BA35" s="153"/>
      <c r="BB35" s="153"/>
      <c r="BC35" s="153"/>
      <c r="BD35" s="153"/>
      <c r="BE35" s="153"/>
      <c r="BG35" s="449" t="str">
        <f ca="1">Horarios!Q34</f>
        <v>México</v>
      </c>
      <c r="BH35" s="450">
        <f t="shared" ca="1" si="0"/>
        <v>0</v>
      </c>
      <c r="BI35" s="450">
        <f ca="1">COUNTIF(Pool!$C$130:$C$161,Fixture!BG35)-BJ35-BK35-BL35-BM35-BN35-BO35</f>
        <v>1</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6" customHeight="1" thickBot="1" x14ac:dyDescent="0.25">
      <c r="A36" s="181">
        <v>9</v>
      </c>
      <c r="B36" s="547"/>
      <c r="C36" s="431" t="str">
        <f ca="1">+MID(INDEX(WORLDCUP!$AA$4:$AA$147,MATCH(A36,WORLDCUP!$AH$4:$AH$147,0)),1,3)</f>
        <v>Cos</v>
      </c>
      <c r="D36" s="432">
        <f>IF(ISBLANK(INDEX(WORLDCUP!$AC$4:$AC$147,MATCH(A36,WORLDCUP!$AH$4:$AH$147,0))),"",INDEX(WORLDCUP!$AC$4:$AC$147,MATCH(A36,WORLDCUP!$AH$4:$AH$147,0)))</f>
        <v>0</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6</v>
      </c>
      <c r="K36" s="438" t="str">
        <f ca="1">+INDEX(WORLDCUP!$AR$6:$AR$97,MATCH(L36,WORLDCUP!$AI$6:$AI$97,0))&amp;"-"&amp;INDEX(WORLDCUP!$AS$6:$AS$97,MATCH(L36,WORLDCUP!$AI$6:$AI$97,0))</f>
        <v>8-2</v>
      </c>
      <c r="L36" s="181" t="s">
        <v>101</v>
      </c>
      <c r="M36" s="181">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8</v>
      </c>
      <c r="W36" s="438" t="str">
        <f ca="1">+INDEX(WORLDCUP!$AR$6:$AR$97,MATCH(X36,WORLDCUP!$AI$6:$AI$97,0))&amp;"-"&amp;INDEX(WORLDCUP!$AS$6:$AS$97,MATCH(X36,WORLDCUP!$AI$6:$AI$97,0))</f>
        <v>9-1</v>
      </c>
      <c r="X36" s="181" t="s">
        <v>128</v>
      </c>
      <c r="Y36" s="181">
        <v>80</v>
      </c>
      <c r="Z36" s="412" t="s">
        <v>132</v>
      </c>
      <c r="AA36" s="413" t="str">
        <f ca="1">+MID(INDEX(WORLDCUP!$AA$101:$AA$147,MATCH(Y36,WORLDCUP!$Z$101:$Z$147,0)),1,3)</f>
        <v>Ing</v>
      </c>
      <c r="AB36" s="459" t="str">
        <f>+IF(ISBLANK(INDEX(WORLDCUP!$AC$101:$AC$147,MATCH(Y36,WORLDCUP!$Z$101:$Z$147,0))),"",INDEX(WORLDCUP!$AC$101:$AC$147,MATCH(Y36,WORLDCUP!$Z$101:$Z$147,0)))</f>
        <v/>
      </c>
      <c r="AC36" s="493" t="str">
        <f>+IF(ISBLANK(INDEX(WORLDCUP!$AB$101:$AB$147,MATCH(Y36,WORLDCUP!$Z$101:$Z$147,0))),"","( "&amp;INDEX(WORLDCUP!$AB$101:$AB$147,MATCH(Y36,WORLDCUP!$Z$101:$Z$147,0))&amp;" )")</f>
        <v/>
      </c>
      <c r="AD36" s="181"/>
      <c r="AE36" s="416"/>
      <c r="AF36" s="416"/>
      <c r="AG36" s="416"/>
      <c r="AH36" s="181"/>
      <c r="AI36" s="446"/>
      <c r="AJ36" s="446"/>
      <c r="AK36" s="486"/>
      <c r="AL36" s="402"/>
      <c r="AM36" s="418"/>
      <c r="AN36" s="418"/>
      <c r="AO36" s="499"/>
      <c r="AP36" s="402"/>
      <c r="AQ36" s="447"/>
      <c r="AR36" s="447"/>
      <c r="AS36" s="447"/>
      <c r="AT36" s="181"/>
      <c r="AU36" s="420"/>
      <c r="AV36" s="420"/>
      <c r="AW36" s="420"/>
      <c r="AX36" s="181"/>
      <c r="AY36" s="153"/>
      <c r="AZ36" s="153"/>
      <c r="BA36" s="153"/>
      <c r="BB36" s="153"/>
      <c r="BC36" s="153"/>
      <c r="BD36" s="153"/>
      <c r="BE36" s="153"/>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6" customHeight="1" thickBot="1" x14ac:dyDescent="0.25">
      <c r="A37" s="181">
        <v>33</v>
      </c>
      <c r="B37" s="547"/>
      <c r="C37" s="431" t="str">
        <f ca="1">+MID(INDEX(WORLDCUP!$AA$4:$AA$147,MATCH(A37,WORLDCUP!$AH$4:$AH$147,0)),1,3)</f>
        <v>Ale</v>
      </c>
      <c r="D37" s="432">
        <f>IF(ISBLANK(INDEX(WORLDCUP!$AC$4:$AC$147,MATCH(A37,WORLDCUP!$AH$4:$AH$147,0))),"",INDEX(WORLDCUP!$AC$4:$AC$147,MATCH(A37,WORLDCUP!$AH$4:$AH$147,0)))</f>
        <v>2</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5-3</v>
      </c>
      <c r="L37" s="181" t="s">
        <v>102</v>
      </c>
      <c r="M37" s="181">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5-3</v>
      </c>
      <c r="X37" s="181" t="s">
        <v>129</v>
      </c>
      <c r="Y37" s="181">
        <v>80</v>
      </c>
      <c r="Z37" s="412" t="s">
        <v>167</v>
      </c>
      <c r="AA37" s="467" t="str">
        <f ca="1">+MID(INDEX(WORLDCUP!$AF$101:$AF$147,MATCH(Y37,WORLDCUP!$Z$101:$Z$147,0)),1,IF(WORLDCUP!$H$113&lt;144,6,3))</f>
        <v>Sen</v>
      </c>
      <c r="AB37" s="468" t="str">
        <f>+IF(ISBLANK(INDEX(WORLDCUP!$AD$101:$AD$147,MATCH(Y37,WORLDCUP!$Z$101:$Z$147,0))),"",INDEX(WORLDCUP!$AD$101:$AD$147,MATCH(Y37,WORLDCUP!$Z$101:$Z$147,0)))</f>
        <v/>
      </c>
      <c r="AC37" s="494" t="str">
        <f>+IF(ISBLANK(INDEX(WORLDCUP!$AE$101:$AE$147,MATCH(Y37,WORLDCUP!$Z$101:$Z$147,0))),"","( "&amp;INDEX(WORLDCUP!$AE$101:$AE$147,MATCH(Y37,WORLDCUP!$Z$101:$Z$147,0))&amp;" )")</f>
        <v/>
      </c>
      <c r="AD37" s="181"/>
      <c r="AE37" s="416"/>
      <c r="AF37" s="416"/>
      <c r="AG37" s="416"/>
      <c r="AH37" s="181"/>
      <c r="AI37" s="446"/>
      <c r="AJ37" s="446"/>
      <c r="AK37" s="486"/>
      <c r="AL37" s="487">
        <v>102</v>
      </c>
      <c r="AM37" s="495" t="str">
        <f>+MID(INDEX(WORLDCUP!$AA$101:$AA$147,MATCH(AL37,WORLDCUP!$Z$101:$Z$147,0)),1,3)</f>
        <v>W99</v>
      </c>
      <c r="AN37" s="496" t="str">
        <f>+IF(ISBLANK(INDEX(WORLDCUP!$AC$101:$AC$147,MATCH(AL37,WORLDCUP!$Z$101:$Z$147,0))),"",INDEX(WORLDCUP!$AC$101:$AC$147,MATCH(AL37,WORLDCUP!$Z$101:$Z$147,0)))</f>
        <v/>
      </c>
      <c r="AO37" s="549" t="str">
        <f>+IF(ISBLANK(INDEX(WORLDCUP!$AB$101:$AB$147,MATCH(AL37,WORLDCUP!$Z$101:$Z$147,0))),"","( "&amp;INDEX(WORLDCUP!$AB$101:$AB$147,MATCH(AL37,WORLDCUP!$Z$101:$Z$147,0))&amp;" )")</f>
        <v/>
      </c>
      <c r="AP37" s="181"/>
      <c r="AQ37" s="447"/>
      <c r="AR37" s="447"/>
      <c r="AS37" s="447"/>
      <c r="AT37" s="181"/>
      <c r="AU37" s="420"/>
      <c r="AV37" s="420"/>
      <c r="AW37" s="420"/>
      <c r="AX37" s="181"/>
      <c r="AY37" s="153"/>
      <c r="AZ37" s="153"/>
      <c r="BA37" s="153"/>
      <c r="BB37" s="153"/>
      <c r="BC37" s="153"/>
      <c r="BD37" s="153"/>
      <c r="BE37" s="153"/>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x14ac:dyDescent="0.2">
      <c r="A38" s="181">
        <v>34</v>
      </c>
      <c r="B38" s="547"/>
      <c r="C38" s="431" t="str">
        <f ca="1">+MID(INDEX(WORLDCUP!$AA$4:$AA$147,MATCH(A38,WORLDCUP!$AH$4:$AH$147,0)),1,3)</f>
        <v>Ecu</v>
      </c>
      <c r="D38" s="432">
        <f>IF(ISBLANK(INDEX(WORLDCUP!$AC$4:$AC$147,MATCH(A38,WORLDCUP!$AH$4:$AH$147,0))),"",INDEX(WORLDCUP!$AC$4:$AC$147,MATCH(A38,WORLDCUP!$AH$4:$AH$147,0)))</f>
        <v>1</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Cur</v>
      </c>
      <c r="I38" s="38">
        <f ca="1">+INDEX(WORLDCUP!$AM$6:$AM$97,MATCH(L38,WORLDCUP!$AI$6:$AI$97,0))</f>
        <v>1</v>
      </c>
      <c r="J38" s="39">
        <f ca="1">+INDEX(WORLDCUP!$AT$6:$AT$97,MATCH(L38,WORLDCUP!$AI$6:$AI$97,0))</f>
        <v>-4</v>
      </c>
      <c r="K38" s="43" t="str">
        <f ca="1">+INDEX(WORLDCUP!$AR$6:$AR$97,MATCH(L38,WORLDCUP!$AI$6:$AI$97,0))&amp;"-"&amp;INDEX(WORLDCUP!$AS$6:$AS$97,MATCH(L38,WORLDCUP!$AI$6:$AI$97,0))</f>
        <v>1-5</v>
      </c>
      <c r="L38" s="181" t="s">
        <v>103</v>
      </c>
      <c r="M38" s="181">
        <v>48</v>
      </c>
      <c r="N38" s="548"/>
      <c r="O38" s="431" t="str">
        <f ca="1">+MID(INDEX(WORLDCUP!$AA$4:$AA$147,MATCH(M38,WORLDCUP!$AH$4:$AH$147,0)),1,3)</f>
        <v>Col</v>
      </c>
      <c r="P38" s="432">
        <f>IF(ISBLANK(INDEX(WORLDCUP!$AC$4:$AC$147,MATCH(M38,WORLDCUP!$AH$4:$AH$147,0))),"",INDEX(WORLDCUP!$AC$4:$AC$147,MATCH(M38,WORLDCUP!$AH$4:$AH$147,0)))</f>
        <v>2</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 xml:space="preserve">RD </v>
      </c>
      <c r="U38" s="38">
        <f ca="1">+INDEX(WORLDCUP!$AM$6:$AM$97,MATCH(X38,WORLDCUP!$AI$6:$AI$97,0))</f>
        <v>1</v>
      </c>
      <c r="V38" s="39">
        <f ca="1">+INDEX(WORLDCUP!$AT$6:$AT$97,MATCH(X38,WORLDCUP!$AI$6:$AI$97,0))</f>
        <v>-5</v>
      </c>
      <c r="W38" s="43" t="str">
        <f ca="1">+INDEX(WORLDCUP!$AR$6:$AR$97,MATCH(X38,WORLDCUP!$AI$6:$AI$97,0))&amp;"-"&amp;INDEX(WORLDCUP!$AS$6:$AS$97,MATCH(X38,WORLDCUP!$AI$6:$AI$97,0))</f>
        <v>1-6</v>
      </c>
      <c r="X38" s="181" t="s">
        <v>130</v>
      </c>
      <c r="Y38" s="181"/>
      <c r="Z38" s="412"/>
      <c r="AA38" s="481"/>
      <c r="AB38" s="481"/>
      <c r="AC38" s="481"/>
      <c r="AD38" s="181"/>
      <c r="AE38" s="416"/>
      <c r="AF38" s="416"/>
      <c r="AG38" s="416"/>
      <c r="AH38" s="181"/>
      <c r="AI38" s="446"/>
      <c r="AJ38" s="446"/>
      <c r="AK38" s="486"/>
      <c r="AL38" s="181">
        <v>102</v>
      </c>
      <c r="AM38" s="495" t="str">
        <f t="array" ref="AM38">+MID(INDEX(WORLDCUP!$AF$101:$AF$147,MATCH(AL38,WORLDCUP!$Z$101:$Z$147,0)),1,IF(OR(ISBLANK(AC134:AD134)),4,3))</f>
        <v>W100</v>
      </c>
      <c r="AN38" s="496" t="str">
        <f>+IF(ISBLANK(INDEX(WORLDCUP!$AD$101:$AD$147,MATCH(AL38,WORLDCUP!$Z$101:$Z$147,0))),"",INDEX(WORLDCUP!$AD$101:$AD$147,MATCH(AL38,WORLDCUP!$Z$101:$Z$147,0)))</f>
        <v/>
      </c>
      <c r="AO38" s="418" t="str">
        <f>+IF(ISBLANK(INDEX(WORLDCUP!$AE$101:$AE$147,MATCH(AL38,WORLDCUP!$Z$101:$Z$147,0))),"","( "&amp;INDEX(WORLDCUP!$AE$101:$AE$147,MATCH(AL38,WORLDCUP!$Z$101:$Z$147,0))&amp;" )")</f>
        <v/>
      </c>
      <c r="AP38" s="181"/>
      <c r="AQ38" s="447"/>
      <c r="AR38" s="447"/>
      <c r="AS38" s="447"/>
      <c r="AT38" s="181"/>
      <c r="AU38" s="420"/>
      <c r="AV38" s="420"/>
      <c r="AW38" s="420"/>
      <c r="AX38" s="181"/>
      <c r="AY38" s="153"/>
      <c r="AZ38" s="153"/>
      <c r="BA38" s="153"/>
      <c r="BB38" s="153"/>
      <c r="BC38" s="153"/>
      <c r="BD38" s="153"/>
      <c r="BE38" s="153"/>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6" customHeight="1" thickBot="1" x14ac:dyDescent="0.25">
      <c r="A39" s="181">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1</v>
      </c>
      <c r="F39" s="433" t="str">
        <f ca="1">+MID(INDEX(WORLDCUP!$AF$4:$AF$147,MATCH(A39,WORLDCUP!$AH$4:$AH$147,0)),1,3)</f>
        <v>Cos</v>
      </c>
      <c r="G39" s="454">
        <v>4</v>
      </c>
      <c r="H39" s="463" t="str">
        <f ca="1">+MID(INDEX(WORLDCUP!$AL$6:$AL$97,MATCH(L39,WORLDCUP!$AI$6:$AI$97,0)),1,3)</f>
        <v>Cos</v>
      </c>
      <c r="I39" s="464">
        <f ca="1">+INDEX(WORLDCUP!$AM$6:$AM$97,MATCH(L39,WORLDCUP!$AI$6:$AI$97,0))</f>
        <v>1</v>
      </c>
      <c r="J39" s="465">
        <f ca="1">+INDEX(WORLDCUP!$AT$6:$AT$97,MATCH(L39,WORLDCUP!$AI$6:$AI$97,0))</f>
        <v>-4</v>
      </c>
      <c r="K39" s="466" t="str">
        <f ca="1">+INDEX(WORLDCUP!$AR$6:$AR$97,MATCH(L39,WORLDCUP!$AI$6:$AI$97,0))&amp;"-"&amp;INDEX(WORLDCUP!$AS$6:$AS$97,MATCH(L39,WORLDCUP!$AI$6:$AI$97,0))</f>
        <v>1-5</v>
      </c>
      <c r="L39" s="181" t="s">
        <v>104</v>
      </c>
      <c r="M39" s="181">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3</v>
      </c>
      <c r="R39" s="433" t="str">
        <f ca="1">+MID(INDEX(WORLDCUP!$AF$4:$AF$147,MATCH(M39,WORLDCUP!$AH$4:$AH$147,0)),1,3)</f>
        <v>Por</v>
      </c>
      <c r="S39" s="454">
        <v>4</v>
      </c>
      <c r="T39" s="463" t="str">
        <f ca="1">+MID(INDEX(WORLDCUP!$AL$6:$AL$97,MATCH(X39,WORLDCUP!$AI$6:$AI$97,0)),1,3)</f>
        <v>Uzb</v>
      </c>
      <c r="U39" s="464">
        <f ca="1">+INDEX(WORLDCUP!$AM$6:$AM$97,MATCH(X39,WORLDCUP!$AI$6:$AI$97,0))</f>
        <v>1</v>
      </c>
      <c r="V39" s="465">
        <f ca="1">+INDEX(WORLDCUP!$AT$6:$AT$97,MATCH(X39,WORLDCUP!$AI$6:$AI$97,0))</f>
        <v>-5</v>
      </c>
      <c r="W39" s="466" t="str">
        <f ca="1">+INDEX(WORLDCUP!$AR$6:$AR$97,MATCH(X39,WORLDCUP!$AI$6:$AI$97,0))&amp;"-"&amp;INDEX(WORLDCUP!$AS$6:$AS$97,MATCH(X39,WORLDCUP!$AI$6:$AI$97,0))</f>
        <v>1-6</v>
      </c>
      <c r="X39" s="181" t="s">
        <v>131</v>
      </c>
      <c r="Y39" s="181">
        <v>86</v>
      </c>
      <c r="Z39" s="412" t="s">
        <v>123</v>
      </c>
      <c r="AA39" s="413" t="str">
        <f ca="1">+MID(INDEX(WORLDCUP!$AA$101:$AA$147,MATCH(Y39,WORLDCUP!$Z$101:$Z$147,0)),1,3)</f>
        <v>Arg</v>
      </c>
      <c r="AB39" s="414" t="str">
        <f>+IF(ISBLANK(INDEX(WORLDCUP!$AC$101:$AC$147,MATCH(Y39,WORLDCUP!$Z$101:$Z$147,0))),"",INDEX(WORLDCUP!$AC$101:$AC$147,MATCH(Y39,WORLDCUP!$Z$101:$Z$147,0)))</f>
        <v/>
      </c>
      <c r="AC39" s="485" t="str">
        <f>+IF(ISBLANK(INDEX(WORLDCUP!$AB$101:$AB$147,MATCH(Y39,WORLDCUP!$Z$101:$Z$147,0))),"","( "&amp;INDEX(WORLDCUP!$AB$101:$AB$147,MATCH(Y39,WORLDCUP!$Z$101:$Z$147,0))&amp;" )")</f>
        <v/>
      </c>
      <c r="AD39" s="179"/>
      <c r="AE39" s="416"/>
      <c r="AF39" s="416"/>
      <c r="AG39" s="416"/>
      <c r="AH39" s="181"/>
      <c r="AI39" s="446"/>
      <c r="AJ39" s="446"/>
      <c r="AK39" s="486"/>
      <c r="AL39" s="402"/>
      <c r="AM39" s="418"/>
      <c r="AN39" s="418"/>
      <c r="AO39" s="418"/>
      <c r="AP39" s="181"/>
      <c r="AQ39" s="447"/>
      <c r="AR39" s="447"/>
      <c r="AS39" s="447"/>
      <c r="AT39" s="181"/>
      <c r="AU39" s="420"/>
      <c r="AV39" s="420"/>
      <c r="AW39" s="420"/>
      <c r="AX39" s="181"/>
      <c r="AY39" s="153"/>
      <c r="AZ39" s="153"/>
      <c r="BA39" s="153"/>
      <c r="BB39" s="153"/>
      <c r="BC39" s="153"/>
      <c r="BD39" s="153"/>
      <c r="BE39" s="153"/>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6" customHeight="1" thickBot="1" x14ac:dyDescent="0.25">
      <c r="A40" s="181">
        <v>56</v>
      </c>
      <c r="B40" s="550"/>
      <c r="C40" s="474" t="str">
        <f ca="1">+MID(INDEX(WORLDCUP!$AA$4:$AA$147,MATCH(A40,WORLDCUP!$AH$4:$AH$147,0)),1,3)</f>
        <v>Ecu</v>
      </c>
      <c r="D40" s="475">
        <f>IF(ISBLANK(INDEX(WORLDCUP!$AC$4:$AC$147,MATCH(A40,WORLDCUP!$AH$4:$AH$147,0))),"",INDEX(WORLDCUP!$AC$4:$AC$147,MATCH(A40,WORLDCUP!$AH$4:$AH$147,0)))</f>
        <v>2</v>
      </c>
      <c r="E40" s="475">
        <f>IF(ISBLANK(INDEX(WORLDCUP!$AD$4:$AD$147,MATCH(A40,WORLDCUP!$AH$4:$AH$147,0))),"",INDEX(WORLDCUP!$AD$4:$AD$147,MATCH(A40,WORLDCUP!$AH$4:$AH$147,0)))</f>
        <v>3</v>
      </c>
      <c r="F40" s="476" t="str">
        <f ca="1">+MID(INDEX(WORLDCUP!$AF$4:$AF$147,MATCH(A40,WORLDCUP!$AH$4:$AH$147,0)),1,3)</f>
        <v>Ale</v>
      </c>
      <c r="G40" s="477"/>
      <c r="H40" s="477"/>
      <c r="I40" s="478"/>
      <c r="J40" s="478"/>
      <c r="K40" s="479"/>
      <c r="L40" s="181"/>
      <c r="M40" s="181">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1</v>
      </c>
      <c r="R40" s="476" t="str">
        <f ca="1">+MID(INDEX(WORLDCUP!$AF$4:$AF$147,MATCH(M40,WORLDCUP!$AH$4:$AH$147,0)),1,3)</f>
        <v>Uzb</v>
      </c>
      <c r="S40" s="477"/>
      <c r="T40" s="477"/>
      <c r="U40" s="478"/>
      <c r="V40" s="478"/>
      <c r="W40" s="479"/>
      <c r="X40" s="181"/>
      <c r="Y40" s="181">
        <v>86</v>
      </c>
      <c r="Z40" s="412" t="s">
        <v>115</v>
      </c>
      <c r="AA40" s="413" t="str">
        <f ca="1">+MID(INDEX(WORLDCUP!$AF$101:$AF$147,MATCH(Y40,WORLDCUP!$Z$101:$Z$147,0)),1,3)</f>
        <v>Uru</v>
      </c>
      <c r="AB40" s="440" t="str">
        <f>+IF(ISBLANK(INDEX(WORLDCUP!$AD$101:$AD$147,MATCH(Y40,WORLDCUP!$Z$101:$Z$147,0))),"",INDEX(WORLDCUP!$AD$101:$AD$147,MATCH(Y40,WORLDCUP!$Z$101:$Z$147,0)))</f>
        <v/>
      </c>
      <c r="AC40" s="441" t="str">
        <f>+IF(ISBLANK(INDEX(WORLDCUP!$AE$101:$AE$147,MATCH(Y40,WORLDCUP!$Z$101:$Z$147,0))),"","( "&amp;INDEX(WORLDCUP!$AE$101:$AE$147,MATCH(Y40,WORLDCUP!$Z$101:$Z$147,0))&amp;" )")</f>
        <v/>
      </c>
      <c r="AD40" s="442">
        <v>95</v>
      </c>
      <c r="AE40" s="443" t="str">
        <f>+MID(INDEX(WORLDCUP!$AA$101:$AA$147,MATCH(AD40,WORLDCUP!$Z$101:$Z$147,0)),1,3)</f>
        <v>W86</v>
      </c>
      <c r="AF40" s="444" t="str">
        <f>+IF(ISBLANK(INDEX(WORLDCUP!$AC$101:$AC$147,MATCH(AD40,WORLDCUP!$Z$101:$Z$147,0))),"",INDEX(WORLDCUP!$AC$101:$AC$147,MATCH(AD40,WORLDCUP!$Z$101:$Z$147,0)))</f>
        <v/>
      </c>
      <c r="AG40" s="445" t="str">
        <f>+IF(ISBLANK(INDEX(WORLDCUP!$AB$101:$AB$147,MATCH(AD40,WORLDCUP!$Z$101:$Z$147,0))),"","( "&amp;INDEX(WORLDCUP!$AB$101:$AB$147,MATCH(AD40,WORLDCUP!$Z$101:$Z$147,0))&amp;" )")</f>
        <v/>
      </c>
      <c r="AH40" s="181"/>
      <c r="AI40" s="446"/>
      <c r="AJ40" s="446"/>
      <c r="AK40" s="486"/>
      <c r="AL40" s="402"/>
      <c r="AM40" s="418"/>
      <c r="AN40" s="418"/>
      <c r="AO40" s="418"/>
      <c r="AP40" s="181"/>
      <c r="AQ40" s="447"/>
      <c r="AR40" s="447"/>
      <c r="AS40" s="447"/>
      <c r="AT40" s="181"/>
      <c r="AU40" s="420"/>
      <c r="AV40" s="420"/>
      <c r="AW40" s="420"/>
      <c r="AX40" s="181"/>
      <c r="AY40" s="153"/>
      <c r="AZ40" s="153"/>
      <c r="BA40" s="153"/>
      <c r="BB40" s="153"/>
      <c r="BC40" s="153"/>
      <c r="BD40" s="153"/>
      <c r="BE40" s="153"/>
      <c r="BG40" s="449" t="str">
        <f ca="1">Horarios!Q39</f>
        <v>Paraguay</v>
      </c>
      <c r="BH40" s="450">
        <f t="shared" ca="1" si="0"/>
        <v>0</v>
      </c>
      <c r="BI40" s="450">
        <f ca="1">COUNTIF(Pool!$C$130:$C$161,Fixture!BG40)-BJ40-BK40-BL40-BM40-BN40-BO40</f>
        <v>1</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x14ac:dyDescent="0.2">
      <c r="A41" s="181"/>
      <c r="B41" s="398"/>
      <c r="C41" s="483"/>
      <c r="D41" s="484"/>
      <c r="E41" s="484"/>
      <c r="F41" s="153"/>
      <c r="G41" s="153"/>
      <c r="H41" s="483"/>
      <c r="I41" s="153"/>
      <c r="J41" s="153"/>
      <c r="K41" s="153"/>
      <c r="L41" s="181"/>
      <c r="M41" s="181"/>
      <c r="N41" s="151"/>
      <c r="O41" s="483"/>
      <c r="P41" s="484"/>
      <c r="Q41" s="484"/>
      <c r="R41" s="153"/>
      <c r="S41" s="153"/>
      <c r="T41" s="483"/>
      <c r="U41" s="153"/>
      <c r="V41" s="153"/>
      <c r="W41" s="153"/>
      <c r="X41" s="181"/>
      <c r="Y41" s="181"/>
      <c r="Z41" s="412"/>
      <c r="AA41" s="456"/>
      <c r="AB41" s="456"/>
      <c r="AC41" s="457"/>
      <c r="AD41" s="181">
        <v>95</v>
      </c>
      <c r="AE41" s="443" t="str">
        <f>+MID(INDEX(WORLDCUP!$AF$101:$AF$147,MATCH(AD41,WORLDCUP!$Z$101:$Z$147,0)),1,3)</f>
        <v>W88</v>
      </c>
      <c r="AF41" s="444" t="str">
        <f>+IF(ISBLANK(INDEX(WORLDCUP!$AD$101:$AD$147,MATCH(AD41,WORLDCUP!$Z$101:$Z$147,0))),"",INDEX(WORLDCUP!$AD$101:$AD$147,MATCH(AD41,WORLDCUP!$Z$101:$Z$147,0)))</f>
        <v/>
      </c>
      <c r="AG41" s="502" t="str">
        <f>+IF(ISBLANK(INDEX(WORLDCUP!$AE$101:$AE$147,MATCH(AD41,WORLDCUP!$Z$101:$Z$147,0))),"","( "&amp;INDEX(WORLDCUP!$AE$101:$AE$147,MATCH(AD41,WORLDCUP!$Z$101:$Z$147,0))&amp;" )")</f>
        <v/>
      </c>
      <c r="AH41" s="181"/>
      <c r="AI41" s="446"/>
      <c r="AJ41" s="446"/>
      <c r="AK41" s="486"/>
      <c r="AL41" s="402"/>
      <c r="AM41" s="418"/>
      <c r="AN41" s="418"/>
      <c r="AO41" s="418"/>
      <c r="AP41" s="181"/>
      <c r="AQ41" s="447"/>
      <c r="AR41" s="447"/>
      <c r="AS41" s="447"/>
      <c r="AT41" s="181"/>
      <c r="AU41" s="420"/>
      <c r="AV41" s="420"/>
      <c r="AW41" s="420"/>
      <c r="AX41" s="181"/>
      <c r="AY41" s="153"/>
      <c r="AZ41" s="153"/>
      <c r="BA41" s="153"/>
      <c r="BB41" s="153"/>
      <c r="BC41" s="153"/>
      <c r="BD41" s="153"/>
      <c r="BE41" s="153"/>
      <c r="BG41" s="449" t="str">
        <f ca="1">Horarios!Q40</f>
        <v>Portugal</v>
      </c>
      <c r="BH41" s="450">
        <f t="shared" ca="1" si="0"/>
        <v>0</v>
      </c>
      <c r="BI41" s="450">
        <f ca="1">COUNTIF(Pool!$C$130:$C$161,Fixture!BG41)-BJ41-BK41-BL41-BM41-BN41-BO41</f>
        <v>1</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0</v>
      </c>
    </row>
    <row r="42" spans="1:67" ht="16" customHeight="1" thickBot="1" x14ac:dyDescent="0.25">
      <c r="A42" s="181"/>
      <c r="B42" s="398"/>
      <c r="C42" s="483"/>
      <c r="D42" s="484"/>
      <c r="E42" s="484"/>
      <c r="F42" s="153"/>
      <c r="G42" s="153"/>
      <c r="H42" s="483"/>
      <c r="I42" s="153"/>
      <c r="J42" s="153"/>
      <c r="K42" s="153"/>
      <c r="L42" s="181"/>
      <c r="M42" s="181"/>
      <c r="N42" s="151"/>
      <c r="O42" s="483"/>
      <c r="P42" s="484"/>
      <c r="Q42" s="484"/>
      <c r="R42" s="153"/>
      <c r="S42" s="153"/>
      <c r="T42" s="483"/>
      <c r="U42" s="153"/>
      <c r="V42" s="153"/>
      <c r="W42" s="153"/>
      <c r="X42" s="181"/>
      <c r="Y42" s="181">
        <v>88</v>
      </c>
      <c r="Z42" s="412" t="s">
        <v>97</v>
      </c>
      <c r="AA42" s="413" t="str">
        <f ca="1">+MID(INDEX(WORLDCUP!$AA$101:$AA$147,MATCH(Y42,WORLDCUP!$Z$101:$Z$147,0)),1,3)</f>
        <v>Est</v>
      </c>
      <c r="AB42" s="459" t="str">
        <f>+IF(ISBLANK(INDEX(WORLDCUP!$AC$101:$AC$147,MATCH(Y42,WORLDCUP!$Z$101:$Z$147,0))),"",INDEX(WORLDCUP!$AC$101:$AC$147,MATCH(Y42,WORLDCUP!$Z$101:$Z$147,0)))</f>
        <v/>
      </c>
      <c r="AC42" s="493" t="str">
        <f>+IF(ISBLANK(INDEX(WORLDCUP!$AB$101:$AB$147,MATCH(Y42,WORLDCUP!$Z$101:$Z$147,0))),"","( "&amp;INDEX(WORLDCUP!$AB$101:$AB$147,MATCH(Y42,WORLDCUP!$Z$101:$Z$147,0))&amp;" )")</f>
        <v/>
      </c>
      <c r="AD42" s="181"/>
      <c r="AE42" s="461"/>
      <c r="AF42" s="461"/>
      <c r="AG42" s="462"/>
      <c r="AH42" s="181"/>
      <c r="AI42" s="446"/>
      <c r="AJ42" s="446"/>
      <c r="AK42" s="486"/>
      <c r="AL42" s="402"/>
      <c r="AM42" s="418"/>
      <c r="AN42" s="418"/>
      <c r="AO42" s="418"/>
      <c r="AP42" s="181"/>
      <c r="AQ42" s="447"/>
      <c r="AR42" s="447"/>
      <c r="AS42" s="447"/>
      <c r="AT42" s="181"/>
      <c r="AU42" s="420"/>
      <c r="AV42" s="420"/>
      <c r="AW42" s="420"/>
      <c r="AX42" s="181"/>
      <c r="AY42" s="153"/>
      <c r="AZ42" s="153"/>
      <c r="BA42" s="153"/>
      <c r="BB42" s="153"/>
      <c r="BC42" s="153"/>
      <c r="BD42" s="153"/>
      <c r="BE42" s="153"/>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6" customHeight="1" thickBot="1" x14ac:dyDescent="0.25">
      <c r="A43" s="181">
        <v>11</v>
      </c>
      <c r="B43" s="552" t="s">
        <v>125</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1</v>
      </c>
      <c r="F43" s="406" t="str">
        <f ca="1">+MID(INDEX(WORLDCUP!$AF$4:$AF$147,MATCH(A43,WORLDCUP!$AH$4:$AH$147,0)),1,3)</f>
        <v>Jap</v>
      </c>
      <c r="G43" s="407"/>
      <c r="H43" s="408" t="str">
        <f>+H35</f>
        <v>Sel</v>
      </c>
      <c r="I43" s="409" t="str">
        <f>+I35</f>
        <v>Pts</v>
      </c>
      <c r="J43" s="409" t="str">
        <f>+J35</f>
        <v>DG</v>
      </c>
      <c r="K43" s="410" t="str">
        <f>+K35</f>
        <v>GF-GC</v>
      </c>
      <c r="L43" s="181"/>
      <c r="M43" s="181">
        <v>22</v>
      </c>
      <c r="N43" s="553" t="s">
        <v>143</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81"/>
      <c r="Y43" s="181">
        <v>88</v>
      </c>
      <c r="Z43" s="412" t="s">
        <v>111</v>
      </c>
      <c r="AA43" s="467" t="str">
        <f ca="1">+MID(INDEX(WORLDCUP!$AF$101:$AF$147,MATCH(Y43,WORLDCUP!$Z$101:$Z$147,0)),1,3)</f>
        <v>Irá</v>
      </c>
      <c r="AB43" s="468" t="str">
        <f>+IF(ISBLANK(INDEX(WORLDCUP!$AD$101:$AD$147,MATCH(Y43,WORLDCUP!$Z$101:$Z$147,0))),"",INDEX(WORLDCUP!$AD$101:$AD$147,MATCH(Y43,WORLDCUP!$Z$101:$Z$147,0)))</f>
        <v/>
      </c>
      <c r="AC43" s="494" t="str">
        <f>+IF(ISBLANK(INDEX(WORLDCUP!$AE$101:$AE$147,MATCH(Y43,WORLDCUP!$Z$101:$Z$147,0))),"","( "&amp;INDEX(WORLDCUP!$AE$101:$AE$147,MATCH(Y43,WORLDCUP!$Z$101:$Z$147,0))&amp;" )")</f>
        <v/>
      </c>
      <c r="AD43" s="181"/>
      <c r="AE43" s="461"/>
      <c r="AF43" s="461"/>
      <c r="AG43" s="462"/>
      <c r="AH43" s="487">
        <v>100</v>
      </c>
      <c r="AI43" s="470" t="str">
        <f>+MID(INDEX(WORLDCUP!$AA$101:$AA$147,MATCH(AH43,WORLDCUP!$Z$101:$Z$147,0)),1,3)</f>
        <v>W95</v>
      </c>
      <c r="AJ43" s="471" t="str">
        <f>+IF(ISBLANK(INDEX(WORLDCUP!$AC$101:$AC$147,MATCH(AH43,WORLDCUP!$Z$101:$Z$147,0))),"",INDEX(WORLDCUP!$AC$101:$AC$147,MATCH(AH43,WORLDCUP!$Z$101:$Z$147,0)))</f>
        <v/>
      </c>
      <c r="AK43" s="507" t="str">
        <f>+IF(ISBLANK(INDEX(WORLDCUP!$AB$101:$AB$147,MATCH(AH43,WORLDCUP!$Z$101:$Z$147,0))),"","( "&amp;INDEX(WORLDCUP!$AB$101:$AB$147,MATCH(AH43,WORLDCUP!$Z$101:$Z$147,0))&amp;" )")</f>
        <v/>
      </c>
      <c r="AL43" s="402"/>
      <c r="AM43" s="418"/>
      <c r="AN43" s="418"/>
      <c r="AO43" s="418"/>
      <c r="AP43" s="181"/>
      <c r="AQ43" s="447"/>
      <c r="AR43" s="447"/>
      <c r="AS43" s="447"/>
      <c r="AT43" s="181"/>
      <c r="AU43" s="420"/>
      <c r="AV43" s="420"/>
      <c r="AW43" s="420"/>
      <c r="AX43" s="181"/>
      <c r="AY43" s="153"/>
      <c r="AZ43" s="153"/>
      <c r="BA43" s="153"/>
      <c r="BB43" s="153"/>
      <c r="BC43" s="153"/>
      <c r="BD43" s="153"/>
      <c r="BE43" s="153"/>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x14ac:dyDescent="0.2">
      <c r="A44" s="181">
        <v>12</v>
      </c>
      <c r="B44" s="554"/>
      <c r="C44" s="431" t="str">
        <f ca="1">+MID(INDEX(WORLDCUP!$AA$4:$AA$147,MATCH(A44,WORLDCUP!$AH$4:$AH$147,0)),1,3)</f>
        <v>Sue</v>
      </c>
      <c r="D44" s="432">
        <f>IF(ISBLANK(INDEX(WORLDCUP!$AC$4:$AC$147,MATCH(A44,WORLDCUP!$AH$4:$AH$147,0))),"",INDEX(WORLDCUP!$AC$4:$AC$147,MATCH(A44,WORLDCUP!$AH$4:$AH$147,0)))</f>
        <v>1</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Paí</v>
      </c>
      <c r="I44" s="436">
        <f ca="1">+INDEX(WORLDCUP!$AM$6:$AM$97,MATCH(L44,WORLDCUP!$AI$6:$AI$97,0))</f>
        <v>9</v>
      </c>
      <c r="J44" s="437">
        <f ca="1">+INDEX(WORLDCUP!$AT$6:$AT$97,MATCH(L44,WORLDCUP!$AI$6:$AI$97,0))</f>
        <v>6</v>
      </c>
      <c r="K44" s="438" t="str">
        <f ca="1">+INDEX(WORLDCUP!$AR$6:$AR$97,MATCH(L44,WORLDCUP!$AI$6:$AI$97,0))&amp;"-"&amp;INDEX(WORLDCUP!$AS$6:$AS$97,MATCH(L44,WORLDCUP!$AI$6:$AI$97,0))</f>
        <v>7-1</v>
      </c>
      <c r="L44" s="181" t="s">
        <v>105</v>
      </c>
      <c r="M44" s="181">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5</v>
      </c>
      <c r="W44" s="438" t="str">
        <f ca="1">+INDEX(WORLDCUP!$AR$6:$AR$97,MATCH(X44,WORLDCUP!$AI$6:$AI$97,0))&amp;"-"&amp;INDEX(WORLDCUP!$AS$6:$AS$97,MATCH(X44,WORLDCUP!$AI$6:$AI$97,0))</f>
        <v>7-2</v>
      </c>
      <c r="X44" s="181" t="s">
        <v>132</v>
      </c>
      <c r="Y44" s="181"/>
      <c r="Z44" s="412"/>
      <c r="AA44" s="481"/>
      <c r="AB44" s="481"/>
      <c r="AC44" s="481"/>
      <c r="AD44" s="181"/>
      <c r="AE44" s="416"/>
      <c r="AF44" s="416"/>
      <c r="AG44" s="462"/>
      <c r="AH44" s="181">
        <v>100</v>
      </c>
      <c r="AI44" s="470" t="str">
        <f>+MID(INDEX(WORLDCUP!$AF$101:$AF$147,MATCH(AH44,WORLDCUP!$Z$101:$Z$147,0)),1,3)</f>
        <v>W96</v>
      </c>
      <c r="AJ44" s="471" t="str">
        <f>+IF(ISBLANK(INDEX(WORLDCUP!$AD$101:$AD$147,MATCH(AH44,WORLDCUP!$Z$101:$Z$147,0))),"",INDEX(WORLDCUP!$AD$101:$AD$147,MATCH(AH44,WORLDCUP!$Z$101:$Z$147,0)))</f>
        <v/>
      </c>
      <c r="AK44" s="446" t="str">
        <f>+IF(ISBLANK(INDEX(WORLDCUP!$AE$101:$AE$147,MATCH(AH44,WORLDCUP!$Z$101:$Z$147,0))),"","( "&amp;INDEX(WORLDCUP!$AE$101:$AE$147,MATCH(AH44,WORLDCUP!$Z$101:$Z$147,0))&amp;" )")</f>
        <v/>
      </c>
      <c r="AL44" s="402"/>
      <c r="AM44" s="418"/>
      <c r="AN44" s="418"/>
      <c r="AO44" s="418"/>
      <c r="AP44" s="181"/>
      <c r="AQ44" s="447"/>
      <c r="AR44" s="447"/>
      <c r="AS44" s="447"/>
      <c r="AT44" s="181"/>
      <c r="AU44" s="420"/>
      <c r="AV44" s="420"/>
      <c r="AW44" s="420"/>
      <c r="AX44" s="181"/>
      <c r="AY44" s="153"/>
      <c r="AZ44" s="153"/>
      <c r="BA44" s="153"/>
      <c r="BB44" s="153"/>
      <c r="BC44" s="153"/>
      <c r="BD44" s="153"/>
      <c r="BE44" s="153"/>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6" customHeight="1" thickBot="1" x14ac:dyDescent="0.25">
      <c r="A45" s="181">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0</v>
      </c>
      <c r="F45" s="433" t="str">
        <f ca="1">+MID(INDEX(WORLDCUP!$AF$4:$AF$147,MATCH(A45,WORLDCUP!$AH$4:$AH$147,0)),1,3)</f>
        <v>Sue</v>
      </c>
      <c r="G45" s="454">
        <v>2</v>
      </c>
      <c r="H45" s="455" t="str">
        <f ca="1">+MID(INDEX(WORLDCUP!$AL$6:$AL$97,MATCH(L45,WORLDCUP!$AI$6:$AI$97,0)),1,3)</f>
        <v>Jap</v>
      </c>
      <c r="I45" s="38">
        <f ca="1">+INDEX(WORLDCUP!$AM$6:$AM$97,MATCH(L45,WORLDCUP!$AI$6:$AI$97,0))</f>
        <v>6</v>
      </c>
      <c r="J45" s="39">
        <f ca="1">+INDEX(WORLDCUP!$AT$6:$AT$97,MATCH(L45,WORLDCUP!$AI$6:$AI$97,0))</f>
        <v>2</v>
      </c>
      <c r="K45" s="43" t="str">
        <f ca="1">+INDEX(WORLDCUP!$AR$6:$AR$97,MATCH(L45,WORLDCUP!$AI$6:$AI$97,0))&amp;"-"&amp;INDEX(WORLDCUP!$AS$6:$AS$97,MATCH(L45,WORLDCUP!$AI$6:$AI$97,0))</f>
        <v>5-3</v>
      </c>
      <c r="L45" s="181" t="s">
        <v>106</v>
      </c>
      <c r="M45" s="181">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4-3</v>
      </c>
      <c r="X45" s="181" t="s">
        <v>133</v>
      </c>
      <c r="Y45" s="181">
        <v>85</v>
      </c>
      <c r="Z45" s="412" t="s">
        <v>87</v>
      </c>
      <c r="AA45" s="413" t="str">
        <f ca="1">+MID(INDEX(WORLDCUP!$AA$101:$AA$147,MATCH(Y45,WORLDCUP!$Z$101:$Z$147,0)),1,3)</f>
        <v>Sui</v>
      </c>
      <c r="AB45" s="414" t="str">
        <f>+IF(ISBLANK(INDEX(WORLDCUP!$AC$101:$AC$147,MATCH(Y45,WORLDCUP!$Z$101:$Z$147,0))),"",INDEX(WORLDCUP!$AC$101:$AC$147,MATCH(Y45,WORLDCUP!$Z$101:$Z$147,0)))</f>
        <v/>
      </c>
      <c r="AC45" s="485" t="str">
        <f>+IF(ISBLANK(INDEX(WORLDCUP!$AB$101:$AB$147,MATCH(Y45,WORLDCUP!$Z$101:$Z$147,0))),"","( "&amp;INDEX(WORLDCUP!$AB$101:$AB$147,MATCH(Y45,WORLDCUP!$Z$101:$Z$147,0))&amp;" )")</f>
        <v/>
      </c>
      <c r="AD45" s="179"/>
      <c r="AE45" s="416"/>
      <c r="AF45" s="416"/>
      <c r="AG45" s="462"/>
      <c r="AH45" s="181"/>
      <c r="AI45" s="446"/>
      <c r="AJ45" s="446"/>
      <c r="AK45" s="446"/>
      <c r="AL45" s="402"/>
      <c r="AM45" s="418"/>
      <c r="AN45" s="418"/>
      <c r="AO45" s="418"/>
      <c r="AP45" s="181"/>
      <c r="AQ45" s="447"/>
      <c r="AR45" s="447"/>
      <c r="AS45" s="447"/>
      <c r="AT45" s="181"/>
      <c r="AU45" s="420"/>
      <c r="AV45" s="420"/>
      <c r="AW45" s="420"/>
      <c r="AX45" s="181"/>
      <c r="AY45" s="153"/>
      <c r="AZ45" s="153"/>
      <c r="BA45" s="153"/>
      <c r="BB45" s="153"/>
      <c r="BC45" s="153"/>
      <c r="BD45" s="153"/>
      <c r="BE45" s="153"/>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6" customHeight="1" thickBot="1" x14ac:dyDescent="0.25">
      <c r="A46" s="181">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8">
        <f ca="1">+INDEX(WORLDCUP!$AM$6:$AM$97,MATCH(L46,WORLDCUP!$AI$6:$AI$97,0))</f>
        <v>1</v>
      </c>
      <c r="J46" s="39">
        <f ca="1">+INDEX(WORLDCUP!$AT$6:$AT$97,MATCH(L46,WORLDCUP!$AI$6:$AI$97,0))</f>
        <v>-3</v>
      </c>
      <c r="K46" s="43" t="str">
        <f ca="1">+INDEX(WORLDCUP!$AR$6:$AR$97,MATCH(L46,WORLDCUP!$AI$6:$AI$97,0))&amp;"-"&amp;INDEX(WORLDCUP!$AS$6:$AS$97,MATCH(L46,WORLDCUP!$AI$6:$AI$97,0))</f>
        <v>2-5</v>
      </c>
      <c r="L46" s="181" t="s">
        <v>108</v>
      </c>
      <c r="M46" s="181">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Gha</v>
      </c>
      <c r="U46" s="38">
        <f ca="1">+INDEX(WORLDCUP!$AM$6:$AM$97,MATCH(X46,WORLDCUP!$AI$6:$AI$97,0))</f>
        <v>3</v>
      </c>
      <c r="V46" s="39">
        <f ca="1">+INDEX(WORLDCUP!$AT$6:$AT$97,MATCH(X46,WORLDCUP!$AI$6:$AI$97,0))</f>
        <v>0</v>
      </c>
      <c r="W46" s="43" t="str">
        <f ca="1">+INDEX(WORLDCUP!$AR$6:$AR$97,MATCH(X46,WORLDCUP!$AI$6:$AI$97,0))&amp;"-"&amp;INDEX(WORLDCUP!$AS$6:$AS$97,MATCH(X46,WORLDCUP!$AI$6:$AI$97,0))</f>
        <v>3-3</v>
      </c>
      <c r="X46" s="181" t="s">
        <v>135</v>
      </c>
      <c r="Y46" s="181">
        <v>85</v>
      </c>
      <c r="Z46" s="412" t="s">
        <v>176</v>
      </c>
      <c r="AA46" s="413" t="str">
        <f ca="1">+MID(INDEX(WORLDCUP!$AF$101:$AF$147,MATCH(Y46,WORLDCUP!$Z$101:$Z$147,0)),1,IF(WORLDCUP!$H$113&lt;144,6,3))</f>
        <v>Arg</v>
      </c>
      <c r="AB46" s="440" t="str">
        <f>+IF(ISBLANK(INDEX(WORLDCUP!$AD$101:$AD$147,MATCH(Y46,WORLDCUP!$Z$101:$Z$147,0))),"",INDEX(WORLDCUP!$AD$101:$AD$147,MATCH(Y46,WORLDCUP!$Z$101:$Z$147,0)))</f>
        <v/>
      </c>
      <c r="AC46" s="441" t="str">
        <f>+IF(ISBLANK(INDEX(WORLDCUP!$AE$101:$AE$147,MATCH(Y46,WORLDCUP!$Z$101:$Z$147,0))),"","( "&amp;INDEX(WORLDCUP!$AE$101:$AE$147,MATCH(Y46,WORLDCUP!$Z$101:$Z$147,0))&amp;" )")</f>
        <v/>
      </c>
      <c r="AD46" s="442">
        <v>96</v>
      </c>
      <c r="AE46" s="443" t="str">
        <f>+MID(INDEX(WORLDCUP!$AA$101:$AA$147,MATCH(AD46,WORLDCUP!$Z$101:$Z$147,0)),1,3)</f>
        <v>W85</v>
      </c>
      <c r="AF46" s="444" t="str">
        <f>+IF(ISBLANK(INDEX(WORLDCUP!$AC$101:$AC$147,MATCH(AD46,WORLDCUP!$Z$101:$Z$147,0))),"",INDEX(WORLDCUP!$AC$101:$AC$147,MATCH(AD46,WORLDCUP!$Z$101:$Z$147,0)))</f>
        <v/>
      </c>
      <c r="AG46" s="488" t="str">
        <f>+IF(ISBLANK(INDEX(WORLDCUP!$AB$101:$AB$147,MATCH(AD46,WORLDCUP!$Z$101:$Z$147,0))),"","( "&amp;INDEX(WORLDCUP!$AB$101:$AB$147,MATCH(AD46,WORLDCUP!$Z$101:$Z$147,0))&amp;" )")</f>
        <v/>
      </c>
      <c r="AH46" s="181"/>
      <c r="AI46" s="446"/>
      <c r="AJ46" s="446"/>
      <c r="AK46" s="446"/>
      <c r="AL46" s="402"/>
      <c r="AM46" s="418"/>
      <c r="AN46" s="418"/>
      <c r="AO46" s="418"/>
      <c r="AP46" s="181"/>
      <c r="AQ46" s="447"/>
      <c r="AR46" s="447"/>
      <c r="AS46" s="447"/>
      <c r="AT46" s="181"/>
      <c r="AU46" s="420"/>
      <c r="AV46" s="420"/>
      <c r="AW46" s="420"/>
      <c r="AX46" s="181"/>
      <c r="AY46" s="153"/>
      <c r="AZ46" s="153"/>
      <c r="BA46" s="153"/>
      <c r="BB46" s="153"/>
      <c r="BC46" s="153"/>
      <c r="BD46" s="153"/>
      <c r="BE46" s="153"/>
      <c r="BG46" s="449" t="str">
        <f ca="1">Horarios!Q45</f>
        <v>Suecia</v>
      </c>
      <c r="BH46" s="450">
        <f t="shared" ca="1" si="0"/>
        <v>1</v>
      </c>
      <c r="BI46" s="450">
        <f ca="1">COUNTIF(Pool!$C$130:$C$161,Fixture!BG46)-BJ46-BK46-BL46-BM46-BN46-BO46</f>
        <v>0</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x14ac:dyDescent="0.2">
      <c r="A47" s="181">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1</v>
      </c>
      <c r="J47" s="465">
        <f ca="1">+INDEX(WORLDCUP!$AT$6:$AT$97,MATCH(L47,WORLDCUP!$AI$6:$AI$97,0))</f>
        <v>-5</v>
      </c>
      <c r="K47" s="466" t="str">
        <f ca="1">+INDEX(WORLDCUP!$AR$6:$AR$97,MATCH(L47,WORLDCUP!$AI$6:$AI$97,0))&amp;"-"&amp;INDEX(WORLDCUP!$AS$6:$AS$97,MATCH(L47,WORLDCUP!$AI$6:$AI$97,0))</f>
        <v>1-6</v>
      </c>
      <c r="L47" s="181" t="s">
        <v>109</v>
      </c>
      <c r="M47" s="181">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-6</v>
      </c>
      <c r="W47" s="466" t="str">
        <f ca="1">+INDEX(WORLDCUP!$AR$6:$AR$97,MATCH(X47,WORLDCUP!$AI$6:$AI$97,0))&amp;"-"&amp;INDEX(WORLDCUP!$AS$6:$AS$97,MATCH(X47,WORLDCUP!$AI$6:$AI$97,0))</f>
        <v>1-7</v>
      </c>
      <c r="X47" s="181" t="s">
        <v>136</v>
      </c>
      <c r="Y47" s="181"/>
      <c r="Z47" s="412"/>
      <c r="AA47" s="456"/>
      <c r="AB47" s="456"/>
      <c r="AC47" s="457"/>
      <c r="AD47" s="181">
        <v>96</v>
      </c>
      <c r="AE47" s="443" t="str">
        <f>+MID(INDEX(WORLDCUP!$AF$101:$AF$147,MATCH(AD47,WORLDCUP!$Z$101:$Z$147,0)),1,3)</f>
        <v>W87</v>
      </c>
      <c r="AF47" s="444" t="str">
        <f>+IF(ISBLANK(INDEX(WORLDCUP!$AD$101:$AD$147,MATCH(AD47,WORLDCUP!$Z$101:$Z$147,0))),"",INDEX(WORLDCUP!$AD$101:$AD$147,MATCH(AD47,WORLDCUP!$Z$101:$Z$147,0)))</f>
        <v/>
      </c>
      <c r="AG47" s="461" t="str">
        <f>+IF(ISBLANK(INDEX(WORLDCUP!$AE$101:$AE$147,MATCH(AD47,WORLDCUP!$Z$101:$Z$147,0))),"","( "&amp;INDEX(WORLDCUP!$AE$101:$AE$147,MATCH(AD47,WORLDCUP!$Z$101:$Z$147,0))&amp;" )")</f>
        <v/>
      </c>
      <c r="AH47" s="181"/>
      <c r="AI47" s="446"/>
      <c r="AJ47" s="446"/>
      <c r="AK47" s="446"/>
      <c r="AL47" s="402"/>
      <c r="AM47" s="418"/>
      <c r="AN47" s="418"/>
      <c r="AO47" s="418"/>
      <c r="AP47" s="181"/>
      <c r="AQ47" s="447"/>
      <c r="AR47" s="447"/>
      <c r="AS47" s="447"/>
      <c r="AT47" s="181"/>
      <c r="AU47" s="420"/>
      <c r="AV47" s="420"/>
      <c r="AW47" s="420"/>
      <c r="AX47" s="181"/>
      <c r="AY47" s="153"/>
      <c r="AZ47" s="153"/>
      <c r="BA47" s="153"/>
      <c r="BB47" s="153"/>
      <c r="BC47" s="153"/>
      <c r="BD47" s="153"/>
      <c r="BE47" s="153"/>
      <c r="BG47" s="449" t="str">
        <f ca="1">Horarios!Q46</f>
        <v>Suiza</v>
      </c>
      <c r="BH47" s="450">
        <f t="shared" ca="1" si="0"/>
        <v>0</v>
      </c>
      <c r="BI47" s="450">
        <f ca="1">COUNTIF(Pool!$C$130:$C$161,Fixture!BG47)-BJ47-BK47-BL47-BM47-BN47-BO47</f>
        <v>1</v>
      </c>
      <c r="BJ47" s="451">
        <f ca="1">COUNTIF(Pool!$C$182:$C$197,Fixture!BG47)-BK47-BL47-BM47-BN47-BO47</f>
        <v>0</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6" customHeight="1" thickBot="1" x14ac:dyDescent="0.25">
      <c r="A48" s="181">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3</v>
      </c>
      <c r="F48" s="476" t="str">
        <f ca="1">+MID(INDEX(WORLDCUP!$AF$4:$AF$147,MATCH(A48,WORLDCUP!$AH$4:$AH$147,0)),1,3)</f>
        <v>Paí</v>
      </c>
      <c r="G48" s="477"/>
      <c r="H48" s="477"/>
      <c r="I48" s="478"/>
      <c r="J48" s="478"/>
      <c r="K48" s="479"/>
      <c r="L48" s="181"/>
      <c r="M48" s="181">
        <v>68</v>
      </c>
      <c r="N48" s="557"/>
      <c r="O48" s="474" t="str">
        <f ca="1">+MID(INDEX(WORLDCUP!$AA$4:$AA$147,MATCH(M48,WORLDCUP!$AH$4:$AH$147,0)),1,3)</f>
        <v>Cro</v>
      </c>
      <c r="P48" s="475">
        <f>IF(ISBLANK(INDEX(WORLDCUP!$AC$4:$AC$147,MATCH(M48,WORLDCUP!$AH$4:$AH$147,0))),"",INDEX(WORLDCUP!$AC$4:$AC$147,MATCH(M48,WORLDCUP!$AH$4:$AH$147,0)))</f>
        <v>1</v>
      </c>
      <c r="Q48" s="475">
        <f>IF(ISBLANK(INDEX(WORLDCUP!$AD$4:$AD$147,MATCH(M48,WORLDCUP!$AH$4:$AH$147,0))),"",INDEX(WORLDCUP!$AD$4:$AD$147,MATCH(M48,WORLDCUP!$AH$4:$AH$147,0)))</f>
        <v>0</v>
      </c>
      <c r="R48" s="476" t="str">
        <f ca="1">+MID(INDEX(WORLDCUP!$AF$4:$AF$147,MATCH(M48,WORLDCUP!$AH$4:$AH$147,0)),1,3)</f>
        <v>Gha</v>
      </c>
      <c r="S48" s="477"/>
      <c r="T48" s="477"/>
      <c r="U48" s="478"/>
      <c r="V48" s="478"/>
      <c r="W48" s="479"/>
      <c r="X48" s="181"/>
      <c r="Y48" s="181">
        <v>87</v>
      </c>
      <c r="Z48" s="412" t="s">
        <v>128</v>
      </c>
      <c r="AA48" s="413" t="str">
        <f ca="1">+MID(INDEX(WORLDCUP!$AA$101:$AA$147,MATCH(Y48,WORLDCUP!$Z$101:$Z$147,0)),1,3)</f>
        <v>Por</v>
      </c>
      <c r="AB48" s="459" t="str">
        <f>+IF(ISBLANK(INDEX(WORLDCUP!$AC$101:$AC$147,MATCH(Y48,WORLDCUP!$Z$101:$Z$147,0))),"",INDEX(WORLDCUP!$AC$101:$AC$147,MATCH(Y48,WORLDCUP!$Z$101:$Z$147,0)))</f>
        <v/>
      </c>
      <c r="AC48" s="493" t="str">
        <f>+IF(ISBLANK(INDEX(WORLDCUP!$AB$101:$AB$147,MATCH(Y48,WORLDCUP!$Z$101:$Z$147,0))),"","( "&amp;INDEX(WORLDCUP!$AB$101:$AB$147,MATCH(Y48,WORLDCUP!$Z$101:$Z$147,0))&amp;" )")</f>
        <v/>
      </c>
      <c r="AD48" s="181"/>
      <c r="AE48" s="416"/>
      <c r="AF48" s="416"/>
      <c r="AG48" s="416"/>
      <c r="AH48" s="181"/>
      <c r="AI48" s="446"/>
      <c r="AJ48" s="446"/>
      <c r="AK48" s="446"/>
      <c r="AL48" s="402"/>
      <c r="AM48" s="418"/>
      <c r="AN48" s="418"/>
      <c r="AO48" s="418"/>
      <c r="AP48" s="181"/>
      <c r="AQ48" s="447"/>
      <c r="AR48" s="447"/>
      <c r="AS48" s="447"/>
      <c r="AT48" s="181"/>
      <c r="AU48" s="420"/>
      <c r="AV48" s="420"/>
      <c r="AW48" s="420"/>
      <c r="AX48" s="181"/>
      <c r="AY48" s="153"/>
      <c r="AZ48" s="153"/>
      <c r="BA48" s="153"/>
      <c r="BB48" s="153"/>
      <c r="BC48" s="153"/>
      <c r="BD48" s="153"/>
      <c r="BE48" s="153"/>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2" t="s">
        <v>179</v>
      </c>
      <c r="AA49" s="467" t="str">
        <f ca="1">+MID(INDEX(WORLDCUP!$AF$101:$AF$147,MATCH(Y49,WORLDCUP!$Z$101:$Z$147,0)),1,IF(WORLDCUP!$H$113&lt;144,6,3))</f>
        <v>Gha</v>
      </c>
      <c r="AB49" s="468" t="str">
        <f>+IF(ISBLANK(INDEX(WORLDCUP!$AD$101:$AD$147,MATCH(Y49,WORLDCUP!$Z$101:$Z$147,0))),"",INDEX(WORLDCUP!$AD$101:$AD$147,MATCH(Y49,WORLDCUP!$Z$101:$Z$147,0)))</f>
        <v/>
      </c>
      <c r="AC49" s="494" t="str">
        <f>+IF(ISBLANK(INDEX(WORLDCUP!$AE$101:$AE$147,MATCH(Y49,WORLDCUP!$Z$101:$Z$147,0))),"","( "&amp;INDEX(WORLDCUP!$AE$101:$AE$147,MATCH(Y49,WORLDCUP!$Z$101:$Z$147,0))&amp;" )")</f>
        <v/>
      </c>
      <c r="AD49" s="181"/>
      <c r="AE49" s="416"/>
      <c r="AF49" s="416"/>
      <c r="AG49" s="416"/>
      <c r="AH49" s="181"/>
      <c r="AI49" s="446"/>
      <c r="AJ49" s="446"/>
      <c r="AK49" s="446"/>
      <c r="AL49" s="402"/>
      <c r="AM49" s="418"/>
      <c r="AN49" s="418"/>
      <c r="AO49" s="418"/>
      <c r="AP49" s="181"/>
      <c r="AQ49" s="447"/>
      <c r="AR49" s="447"/>
      <c r="AS49" s="447"/>
      <c r="AT49" s="181"/>
      <c r="AU49" s="420"/>
      <c r="AV49" s="420"/>
      <c r="AW49" s="420"/>
      <c r="AX49" s="181"/>
      <c r="AY49" s="153"/>
      <c r="AZ49" s="153"/>
      <c r="BA49" s="153"/>
      <c r="BB49" s="153"/>
      <c r="BC49" s="153"/>
      <c r="BD49" s="153"/>
      <c r="BE49" s="153"/>
      <c r="BG49" s="449" t="str">
        <f ca="1">Horarios!Q48</f>
        <v>Turquía</v>
      </c>
      <c r="BH49" s="450">
        <f t="shared" ca="1" si="0"/>
        <v>1</v>
      </c>
      <c r="BI49" s="450">
        <f ca="1">COUNTIF(Pool!$C$130:$C$161,Fixture!BG49)-BJ49-BK49-BL49-BM49-BN49-BO49</f>
        <v>0</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8"/>
      <c r="AB50" s="558"/>
      <c r="AC50" s="558"/>
      <c r="AD50" s="181"/>
      <c r="AE50" s="559"/>
      <c r="AF50" s="559"/>
      <c r="AG50" s="559"/>
      <c r="AH50" s="181"/>
      <c r="AI50" s="446"/>
      <c r="AJ50" s="446"/>
      <c r="AK50" s="446"/>
      <c r="AL50" s="402"/>
      <c r="AM50" s="418"/>
      <c r="AN50" s="418"/>
      <c r="AO50" s="418"/>
      <c r="AP50" s="181"/>
      <c r="AQ50" s="419"/>
      <c r="AR50" s="419"/>
      <c r="AS50" s="419"/>
      <c r="AT50" s="181"/>
      <c r="AU50" s="560"/>
      <c r="AV50" s="560"/>
      <c r="AW50" s="560"/>
      <c r="AX50" s="181"/>
      <c r="AY50" s="153"/>
      <c r="AZ50" s="153"/>
      <c r="BA50" s="153"/>
      <c r="BB50" s="153"/>
      <c r="BC50" s="153"/>
      <c r="BD50" s="153"/>
      <c r="BE50" s="153"/>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0</v>
      </c>
      <c r="B2" s="16">
        <f>IF(Home!$C$6=Idiomas!A2,1,0)</f>
        <v>1</v>
      </c>
    </row>
    <row r="3" spans="1:12" x14ac:dyDescent="0.2">
      <c r="A3" s="16" t="s">
        <v>278</v>
      </c>
      <c r="B3" s="16">
        <f>IF(Home!$C$6=Idiomas!A3,1,0)</f>
        <v>0</v>
      </c>
      <c r="E3" s="16" t="s">
        <v>279</v>
      </c>
      <c r="F3" s="16" t="s">
        <v>280</v>
      </c>
      <c r="G3" s="16" t="s">
        <v>0</v>
      </c>
      <c r="H3" s="16" t="s">
        <v>281</v>
      </c>
    </row>
    <row r="4" spans="1:12" x14ac:dyDescent="0.2">
      <c r="D4" s="16" t="str">
        <f t="shared" ref="D4:D12" si="0">IF($B$2,G4,H4)</f>
        <v>Introducir resultados</v>
      </c>
      <c r="E4" s="16" t="s">
        <v>282</v>
      </c>
      <c r="F4" s="16" t="s">
        <v>283</v>
      </c>
      <c r="G4" s="16" t="s">
        <v>284</v>
      </c>
      <c r="H4" s="16" t="s">
        <v>285</v>
      </c>
    </row>
    <row r="5" spans="1:12" x14ac:dyDescent="0.2">
      <c r="B5" s="592"/>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2"/>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2"/>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222</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141</v>
      </c>
      <c r="H54" s="16" t="s">
        <v>406</v>
      </c>
    </row>
    <row r="55" spans="4:11" x14ac:dyDescent="0.2">
      <c r="D55" s="16" t="str">
        <f t="shared" si="2"/>
        <v>G</v>
      </c>
      <c r="E55" s="16" t="s">
        <v>309</v>
      </c>
      <c r="F55" s="16" t="s">
        <v>407</v>
      </c>
      <c r="G55" s="16" t="s">
        <v>134</v>
      </c>
      <c r="H55" s="16" t="s">
        <v>408</v>
      </c>
    </row>
    <row r="56" spans="4:11" x14ac:dyDescent="0.2">
      <c r="D56" s="16" t="str">
        <f t="shared" si="2"/>
        <v>E</v>
      </c>
      <c r="E56" s="16" t="s">
        <v>309</v>
      </c>
      <c r="F56" s="16" t="s">
        <v>409</v>
      </c>
      <c r="G56" s="16" t="s">
        <v>116</v>
      </c>
      <c r="H56" s="16" t="s">
        <v>107</v>
      </c>
      <c r="K56" s="9"/>
    </row>
    <row r="57" spans="4:11" x14ac:dyDescent="0.2">
      <c r="D57" s="16" t="str">
        <f t="shared" si="2"/>
        <v>P</v>
      </c>
      <c r="E57" s="16" t="s">
        <v>309</v>
      </c>
      <c r="F57" s="16" t="s">
        <v>410</v>
      </c>
      <c r="G57" s="16" t="s">
        <v>406</v>
      </c>
      <c r="H57" s="16" t="s">
        <v>143</v>
      </c>
      <c r="K57" s="9"/>
    </row>
    <row r="58" spans="4:11" x14ac:dyDescent="0.2">
      <c r="D58" s="16" t="str">
        <f t="shared" si="2"/>
        <v>GF</v>
      </c>
      <c r="E58" s="16" t="s">
        <v>309</v>
      </c>
      <c r="F58" s="16" t="s">
        <v>411</v>
      </c>
      <c r="G58" s="16" t="s">
        <v>68</v>
      </c>
      <c r="H58" s="16" t="s">
        <v>125</v>
      </c>
      <c r="K58" s="9"/>
    </row>
    <row r="59" spans="4:11" x14ac:dyDescent="0.2">
      <c r="D59" s="16" t="str">
        <f t="shared" si="2"/>
        <v>GC</v>
      </c>
      <c r="E59" s="16" t="s">
        <v>309</v>
      </c>
      <c r="F59" s="16" t="s">
        <v>412</v>
      </c>
      <c r="G59" s="16" t="s">
        <v>413</v>
      </c>
      <c r="H59" s="16" t="s">
        <v>29</v>
      </c>
      <c r="K59" s="9"/>
    </row>
    <row r="60" spans="4:11" x14ac:dyDescent="0.2">
      <c r="D60" s="16" t="str">
        <f t="shared" si="2"/>
        <v>DG</v>
      </c>
      <c r="E60" s="16" t="s">
        <v>309</v>
      </c>
      <c r="F60" s="16" t="s">
        <v>414</v>
      </c>
      <c r="G60" s="16" t="s">
        <v>65</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79"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27</v>
      </c>
      <c r="H66" s="16" t="s">
        <v>27</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27</v>
      </c>
      <c r="H71" s="16" t="s">
        <v>27</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3"/>
      <c r="K106" s="593"/>
      <c r="L106" s="593"/>
      <c r="M106" s="593"/>
      <c r="N106" s="593"/>
      <c r="O106" s="593"/>
      <c r="P106" s="593"/>
    </row>
    <row r="107" spans="4:16" ht="15" customHeight="1" x14ac:dyDescent="0.2">
      <c r="D107" s="16" t="str">
        <f t="shared" si="4"/>
        <v>·Si haceis todo el Mundial de golpe, copiar de la C5 a la C258 y pegar valores en la plantilla de Administrador.</v>
      </c>
      <c r="E107" s="16" t="s">
        <v>478</v>
      </c>
      <c r="F107" s="16" t="s">
        <v>265</v>
      </c>
      <c r="G107" s="594" t="s">
        <v>488</v>
      </c>
      <c r="H107" s="16" t="s">
        <v>489</v>
      </c>
      <c r="I107" s="593"/>
      <c r="K107" s="593"/>
      <c r="L107" s="593"/>
      <c r="M107" s="593"/>
      <c r="N107" s="593"/>
      <c r="O107" s="593"/>
      <c r="P107" s="593"/>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5"/>
      <c r="K109" s="595"/>
      <c r="L109" s="595"/>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2"/>
      <c r="K197" s="580"/>
    </row>
    <row r="199" spans="2:11" x14ac:dyDescent="0.2">
      <c r="J199" s="592"/>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12</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5" t="s">
        <v>784</v>
      </c>
      <c r="B1" s="395" t="s">
        <v>785</v>
      </c>
      <c r="C1" s="394" t="s">
        <v>29</v>
      </c>
      <c r="D1" s="394" t="s">
        <v>89</v>
      </c>
      <c r="E1" s="394" t="s">
        <v>107</v>
      </c>
      <c r="F1" s="394" t="s">
        <v>116</v>
      </c>
      <c r="G1" s="394" t="s">
        <v>134</v>
      </c>
      <c r="H1" s="394" t="s">
        <v>140</v>
      </c>
      <c r="I1" s="394" t="s">
        <v>142</v>
      </c>
      <c r="J1" s="394" t="s">
        <v>143</v>
      </c>
      <c r="N1" s="16" t="s">
        <v>158</v>
      </c>
      <c r="O1" s="397" t="s">
        <v>786</v>
      </c>
      <c r="P1" s="397" t="s">
        <v>83</v>
      </c>
      <c r="Q1" s="397" t="s">
        <v>87</v>
      </c>
      <c r="R1" s="397" t="s">
        <v>96</v>
      </c>
      <c r="S1" s="397" t="s">
        <v>101</v>
      </c>
      <c r="T1" s="397" t="s">
        <v>110</v>
      </c>
      <c r="U1" s="397" t="s">
        <v>119</v>
      </c>
      <c r="V1" s="397" t="s">
        <v>128</v>
      </c>
      <c r="W1" s="397" t="s">
        <v>132</v>
      </c>
    </row>
    <row r="2" spans="1:23" x14ac:dyDescent="0.2">
      <c r="A2" s="9" t="s">
        <v>787</v>
      </c>
      <c r="B2" s="9">
        <f ca="1">+IF(A2=WORLDCUP!$BI$112,1,0)</f>
        <v>0</v>
      </c>
      <c r="C2" s="9" t="str">
        <f ca="1">+WORLDCUP!BD62</f>
        <v>Curazao</v>
      </c>
      <c r="D2" s="9" t="str">
        <f ca="1">+WORLDCUP!BD67</f>
        <v>Argelia</v>
      </c>
      <c r="E2" s="9" t="str">
        <f ca="1">+WORLDCUP!BD66</f>
        <v>Senegal</v>
      </c>
      <c r="F2" s="9" t="str">
        <f ca="1">+WORLDCUP!BD63</f>
        <v>Suecia</v>
      </c>
      <c r="G2" s="9" t="str">
        <f ca="1">+WORLDCUP!BD65</f>
        <v>Arabia Saudita</v>
      </c>
      <c r="H2" s="9" t="str">
        <f ca="1">+WORLDCUP!BD64</f>
        <v>Egipto</v>
      </c>
      <c r="I2" s="9" t="str">
        <f ca="1">+WORLDCUP!BD69</f>
        <v>Ghana</v>
      </c>
      <c r="J2" s="9" t="str">
        <f ca="1">+WORLDCUP!BD68</f>
        <v>RD Congo</v>
      </c>
      <c r="L2" s="16" t="str">
        <f>+ROW()&amp;"."&amp;COLUMN()</f>
        <v>2.12</v>
      </c>
      <c r="N2" s="16" t="s">
        <v>787</v>
      </c>
      <c r="O2" s="16">
        <v>1</v>
      </c>
      <c r="P2" s="16" t="s">
        <v>103</v>
      </c>
      <c r="Q2" s="16" t="s">
        <v>126</v>
      </c>
      <c r="R2" s="16" t="s">
        <v>121</v>
      </c>
      <c r="S2" s="16" t="s">
        <v>108</v>
      </c>
      <c r="T2" s="16" t="s">
        <v>117</v>
      </c>
      <c r="U2" s="16" t="s">
        <v>112</v>
      </c>
      <c r="V2" s="16" t="s">
        <v>135</v>
      </c>
      <c r="W2" s="16" t="s">
        <v>130</v>
      </c>
    </row>
    <row r="3" spans="1:23" x14ac:dyDescent="0.2">
      <c r="A3" s="9" t="s">
        <v>788</v>
      </c>
      <c r="B3" s="9">
        <f ca="1">+IF(A3=WORLDCUP!$BI$112,1,0)</f>
        <v>0</v>
      </c>
      <c r="C3" s="9" t="str">
        <f ca="1">+WORLDCUP!BD65</f>
        <v>Arabia Saudita</v>
      </c>
      <c r="D3" s="9" t="str">
        <f ca="1">+WORLDCUP!BD64</f>
        <v>Egipto</v>
      </c>
      <c r="E3" s="9" t="str">
        <f ca="1">+WORLDCUP!BD66</f>
        <v>Senegal</v>
      </c>
      <c r="F3" s="9" t="str">
        <f ca="1">+WORLDCUP!BD61</f>
        <v>Australia</v>
      </c>
      <c r="G3" s="9" t="str">
        <f ca="1">+WORLDCUP!BD67</f>
        <v>Argelia</v>
      </c>
      <c r="H3" s="9" t="str">
        <f ca="1">+WORLDCUP!BD63</f>
        <v>Suecia</v>
      </c>
      <c r="I3" s="9" t="str">
        <f ca="1">+WORLDCUP!BD69</f>
        <v>Ghana</v>
      </c>
      <c r="J3" s="9" t="str">
        <f ca="1">+WORLDCUP!BD68</f>
        <v>RD Congo</v>
      </c>
      <c r="N3" s="16" t="s">
        <v>788</v>
      </c>
      <c r="O3" s="16">
        <v>2</v>
      </c>
      <c r="P3" s="16" t="s">
        <v>117</v>
      </c>
      <c r="Q3" s="16" t="s">
        <v>112</v>
      </c>
      <c r="R3" s="16" t="s">
        <v>121</v>
      </c>
      <c r="S3" s="16" t="s">
        <v>99</v>
      </c>
      <c r="T3" s="16" t="s">
        <v>126</v>
      </c>
      <c r="U3" s="16" t="s">
        <v>108</v>
      </c>
      <c r="V3" s="16" t="s">
        <v>135</v>
      </c>
      <c r="W3" s="16" t="s">
        <v>130</v>
      </c>
    </row>
    <row r="4" spans="1:23" x14ac:dyDescent="0.2">
      <c r="A4" s="9" t="s">
        <v>789</v>
      </c>
      <c r="B4" s="9">
        <f ca="1">+IF(A4=WORLDCUP!$BI$112,1,0)</f>
        <v>0</v>
      </c>
      <c r="C4" s="9" t="str">
        <f ca="1">+WORLDCUP!BD62</f>
        <v>Curazao</v>
      </c>
      <c r="D4" s="9" t="str">
        <f ca="1">+WORLDCUP!BD67</f>
        <v>Argelia</v>
      </c>
      <c r="E4" s="9" t="str">
        <f ca="1">+WORLDCUP!BD66</f>
        <v>Senegal</v>
      </c>
      <c r="F4" s="9" t="str">
        <f ca="1">+WORLDCUP!BD61</f>
        <v>Australia</v>
      </c>
      <c r="G4" s="9" t="str">
        <f ca="1">+WORLDCUP!BD65</f>
        <v>Arabia Saudita</v>
      </c>
      <c r="H4" s="9" t="str">
        <f ca="1">+WORLDCUP!BD64</f>
        <v>Egipto</v>
      </c>
      <c r="I4" s="9" t="str">
        <f ca="1">+WORLDCUP!BD69</f>
        <v>Ghana</v>
      </c>
      <c r="J4" s="9" t="str">
        <f ca="1">+WORLDCUP!BD68</f>
        <v>RD Congo</v>
      </c>
      <c r="N4" s="16" t="s">
        <v>789</v>
      </c>
      <c r="O4" s="16">
        <v>3</v>
      </c>
      <c r="P4" s="16" t="s">
        <v>103</v>
      </c>
      <c r="Q4" s="16" t="s">
        <v>126</v>
      </c>
      <c r="R4" s="16" t="s">
        <v>121</v>
      </c>
      <c r="S4" s="16" t="s">
        <v>99</v>
      </c>
      <c r="T4" s="16" t="s">
        <v>117</v>
      </c>
      <c r="U4" s="16" t="s">
        <v>112</v>
      </c>
      <c r="V4" s="16" t="s">
        <v>135</v>
      </c>
      <c r="W4" s="16" t="s">
        <v>130</v>
      </c>
    </row>
    <row r="5" spans="1:23" x14ac:dyDescent="0.2">
      <c r="A5" s="9" t="s">
        <v>790</v>
      </c>
      <c r="B5" s="9">
        <f ca="1">+IF(A5=WORLDCUP!$BI$112,1,0)</f>
        <v>0</v>
      </c>
      <c r="C5" s="9" t="str">
        <f ca="1">+WORLDCUP!BD62</f>
        <v>Curazao</v>
      </c>
      <c r="D5" s="9" t="str">
        <f ca="1">+WORLDCUP!BD67</f>
        <v>Argelia</v>
      </c>
      <c r="E5" s="9" t="str">
        <f ca="1">+WORLDCUP!BD66</f>
        <v>Senegal</v>
      </c>
      <c r="F5" s="9" t="str">
        <f ca="1">+WORLDCUP!BD61</f>
        <v>Australia</v>
      </c>
      <c r="G5" s="9" t="str">
        <f ca="1">+WORLDCUP!BD65</f>
        <v>Arabia Saudita</v>
      </c>
      <c r="H5" s="9" t="str">
        <f ca="1">+WORLDCUP!BD63</f>
        <v>Suecia</v>
      </c>
      <c r="I5" s="9" t="str">
        <f ca="1">+WORLDCUP!BD69</f>
        <v>Ghana</v>
      </c>
      <c r="J5" s="9" t="str">
        <f ca="1">+WORLDCUP!BD68</f>
        <v>RD Congo</v>
      </c>
      <c r="N5" s="16" t="s">
        <v>790</v>
      </c>
      <c r="O5" s="16">
        <v>4</v>
      </c>
      <c r="P5" s="16" t="s">
        <v>103</v>
      </c>
      <c r="Q5" s="16" t="s">
        <v>126</v>
      </c>
      <c r="R5" s="16" t="s">
        <v>121</v>
      </c>
      <c r="S5" s="16" t="s">
        <v>99</v>
      </c>
      <c r="T5" s="16" t="s">
        <v>117</v>
      </c>
      <c r="U5" s="16" t="s">
        <v>108</v>
      </c>
      <c r="V5" s="16" t="s">
        <v>135</v>
      </c>
      <c r="W5" s="16" t="s">
        <v>130</v>
      </c>
    </row>
    <row r="6" spans="1:23" x14ac:dyDescent="0.2">
      <c r="A6" s="9" t="s">
        <v>791</v>
      </c>
      <c r="B6" s="9">
        <f ca="1">+IF(A6=WORLDCUP!$BI$112,1,0)</f>
        <v>0</v>
      </c>
      <c r="C6" s="9" t="str">
        <f ca="1">+WORLDCUP!BD62</f>
        <v>Curazao</v>
      </c>
      <c r="D6" s="9" t="str">
        <f ca="1">+WORLDCUP!BD64</f>
        <v>Egipto</v>
      </c>
      <c r="E6" s="9" t="str">
        <f ca="1">+WORLDCUP!BD66</f>
        <v>Senegal</v>
      </c>
      <c r="F6" s="9" t="str">
        <f ca="1">+WORLDCUP!BD61</f>
        <v>Australia</v>
      </c>
      <c r="G6" s="9" t="str">
        <f ca="1">+WORLDCUP!BD67</f>
        <v>Argelia</v>
      </c>
      <c r="H6" s="9" t="str">
        <f ca="1">+WORLDCUP!BD63</f>
        <v>Suecia</v>
      </c>
      <c r="I6" s="9" t="str">
        <f ca="1">+WORLDCUP!BD69</f>
        <v>Ghana</v>
      </c>
      <c r="J6" s="9" t="str">
        <f ca="1">+WORLDCUP!BD68</f>
        <v>RD Congo</v>
      </c>
      <c r="N6" s="16" t="s">
        <v>791</v>
      </c>
      <c r="O6" s="16">
        <v>5</v>
      </c>
      <c r="P6" s="16" t="s">
        <v>103</v>
      </c>
      <c r="Q6" s="16" t="s">
        <v>112</v>
      </c>
      <c r="R6" s="16" t="s">
        <v>121</v>
      </c>
      <c r="S6" s="16" t="s">
        <v>99</v>
      </c>
      <c r="T6" s="16" t="s">
        <v>126</v>
      </c>
      <c r="U6" s="16" t="s">
        <v>108</v>
      </c>
      <c r="V6" s="16" t="s">
        <v>135</v>
      </c>
      <c r="W6" s="16" t="s">
        <v>130</v>
      </c>
    </row>
    <row r="7" spans="1:23" x14ac:dyDescent="0.2">
      <c r="A7" s="9" t="s">
        <v>792</v>
      </c>
      <c r="B7" s="9">
        <f ca="1">+IF(A7=WORLDCUP!$BI$112,1,0)</f>
        <v>0</v>
      </c>
      <c r="C7" s="9" t="str">
        <f ca="1">+WORLDCUP!BD62</f>
        <v>Curazao</v>
      </c>
      <c r="D7" s="9" t="str">
        <f ca="1">+WORLDCUP!BD64</f>
        <v>Egipto</v>
      </c>
      <c r="E7" s="9" t="str">
        <f ca="1">+WORLDCUP!BD67</f>
        <v>Argelia</v>
      </c>
      <c r="F7" s="9" t="str">
        <f ca="1">+WORLDCUP!BD61</f>
        <v>Australia</v>
      </c>
      <c r="G7" s="9" t="str">
        <f ca="1">+WORLDCUP!BD65</f>
        <v>Arabia Saudita</v>
      </c>
      <c r="H7" s="9" t="str">
        <f ca="1">+WORLDCUP!BD63</f>
        <v>Suecia</v>
      </c>
      <c r="I7" s="9" t="str">
        <f ca="1">+WORLDCUP!BD69</f>
        <v>Ghana</v>
      </c>
      <c r="J7" s="9" t="str">
        <f ca="1">+WORLDCUP!BD68</f>
        <v>RD Congo</v>
      </c>
      <c r="N7" s="16" t="s">
        <v>792</v>
      </c>
      <c r="O7" s="16">
        <v>6</v>
      </c>
      <c r="P7" s="16" t="s">
        <v>103</v>
      </c>
      <c r="Q7" s="16" t="s">
        <v>112</v>
      </c>
      <c r="R7" s="16" t="s">
        <v>126</v>
      </c>
      <c r="S7" s="16" t="s">
        <v>99</v>
      </c>
      <c r="T7" s="16" t="s">
        <v>117</v>
      </c>
      <c r="U7" s="16" t="s">
        <v>108</v>
      </c>
      <c r="V7" s="16" t="s">
        <v>135</v>
      </c>
      <c r="W7" s="16" t="s">
        <v>130</v>
      </c>
    </row>
    <row r="8" spans="1:23" x14ac:dyDescent="0.2">
      <c r="A8" s="9" t="s">
        <v>793</v>
      </c>
      <c r="B8" s="9">
        <f ca="1">+IF(A8=WORLDCUP!$BI$112,1,0)</f>
        <v>0</v>
      </c>
      <c r="C8" s="9" t="str">
        <f ca="1">+WORLDCUP!BD62</f>
        <v>Curazao</v>
      </c>
      <c r="D8" s="9" t="str">
        <f ca="1">+WORLDCUP!BD64</f>
        <v>Egipto</v>
      </c>
      <c r="E8" s="9" t="str">
        <f ca="1">+WORLDCUP!BD66</f>
        <v>Senegal</v>
      </c>
      <c r="F8" s="9" t="str">
        <f ca="1">+WORLDCUP!BD61</f>
        <v>Australia</v>
      </c>
      <c r="G8" s="9" t="str">
        <f ca="1">+WORLDCUP!BD65</f>
        <v>Arabia Saudita</v>
      </c>
      <c r="H8" s="9" t="str">
        <f ca="1">+WORLDCUP!BD63</f>
        <v>Suecia</v>
      </c>
      <c r="I8" s="9" t="str">
        <f ca="1">+WORLDCUP!BD69</f>
        <v>Ghana</v>
      </c>
      <c r="J8" s="9" t="str">
        <f ca="1">+WORLDCUP!BD68</f>
        <v>RD Congo</v>
      </c>
      <c r="N8" s="16" t="s">
        <v>793</v>
      </c>
      <c r="O8" s="16">
        <v>7</v>
      </c>
      <c r="P8" s="16" t="s">
        <v>103</v>
      </c>
      <c r="Q8" s="16" t="s">
        <v>112</v>
      </c>
      <c r="R8" s="16" t="s">
        <v>121</v>
      </c>
      <c r="S8" s="16" t="s">
        <v>99</v>
      </c>
      <c r="T8" s="16" t="s">
        <v>117</v>
      </c>
      <c r="U8" s="16" t="s">
        <v>108</v>
      </c>
      <c r="V8" s="16" t="s">
        <v>135</v>
      </c>
      <c r="W8" s="16" t="s">
        <v>130</v>
      </c>
    </row>
    <row r="9" spans="1:23" x14ac:dyDescent="0.2">
      <c r="A9" s="9" t="s">
        <v>794</v>
      </c>
      <c r="B9" s="9">
        <f ca="1">+IF(A9=WORLDCUP!$BI$112,1,0)</f>
        <v>0</v>
      </c>
      <c r="C9" s="9" t="str">
        <f ca="1">+WORLDCUP!BD62</f>
        <v>Curazao</v>
      </c>
      <c r="D9" s="9" t="str">
        <f ca="1">+WORLDCUP!BD64</f>
        <v>Egipto</v>
      </c>
      <c r="E9" s="9" t="str">
        <f ca="1">+WORLDCUP!BD67</f>
        <v>Argelia</v>
      </c>
      <c r="F9" s="9" t="str">
        <f ca="1">+WORLDCUP!BD61</f>
        <v>Australia</v>
      </c>
      <c r="G9" s="9" t="str">
        <f ca="1">+WORLDCUP!BD65</f>
        <v>Arabia Saudita</v>
      </c>
      <c r="H9" s="9" t="str">
        <f ca="1">+WORLDCUP!BD63</f>
        <v>Suecia</v>
      </c>
      <c r="I9" s="9" t="str">
        <f ca="1">+WORLDCUP!BD69</f>
        <v>Ghana</v>
      </c>
      <c r="J9" s="9" t="str">
        <f ca="1">+WORLDCUP!BD66</f>
        <v>Senegal</v>
      </c>
      <c r="N9" s="16" t="s">
        <v>794</v>
      </c>
      <c r="O9" s="16">
        <v>8</v>
      </c>
      <c r="P9" s="16" t="s">
        <v>103</v>
      </c>
      <c r="Q9" s="16" t="s">
        <v>112</v>
      </c>
      <c r="R9" s="16" t="s">
        <v>126</v>
      </c>
      <c r="S9" s="16" t="s">
        <v>99</v>
      </c>
      <c r="T9" s="16" t="s">
        <v>117</v>
      </c>
      <c r="U9" s="16" t="s">
        <v>108</v>
      </c>
      <c r="V9" s="16" t="s">
        <v>135</v>
      </c>
      <c r="W9" s="16" t="s">
        <v>121</v>
      </c>
    </row>
    <row r="10" spans="1:23" x14ac:dyDescent="0.2">
      <c r="A10" s="9" t="s">
        <v>795</v>
      </c>
      <c r="B10" s="9">
        <f ca="1">+IF(A10=WORLDCUP!$BI$112,1,0)</f>
        <v>0</v>
      </c>
      <c r="C10" s="9" t="str">
        <f ca="1">+WORLDCUP!BD62</f>
        <v>Curazao</v>
      </c>
      <c r="D10" s="9" t="str">
        <f ca="1">+WORLDCUP!BD64</f>
        <v>Egipto</v>
      </c>
      <c r="E10" s="9" t="str">
        <f ca="1">+WORLDCUP!BD67</f>
        <v>Argelia</v>
      </c>
      <c r="F10" s="9" t="str">
        <f ca="1">+WORLDCUP!BD61</f>
        <v>Australia</v>
      </c>
      <c r="G10" s="9" t="str">
        <f ca="1">+WORLDCUP!BD65</f>
        <v>Arabia Saudita</v>
      </c>
      <c r="H10" s="9" t="str">
        <f ca="1">+WORLDCUP!BD63</f>
        <v>Suecia</v>
      </c>
      <c r="I10" s="9" t="str">
        <f ca="1">+WORLDCUP!BD66</f>
        <v>Senegal</v>
      </c>
      <c r="J10" s="9" t="str">
        <f ca="1">+WORLDCUP!BD68</f>
        <v>RD Congo</v>
      </c>
      <c r="N10" s="16" t="s">
        <v>795</v>
      </c>
      <c r="O10" s="16">
        <v>9</v>
      </c>
      <c r="P10" s="16" t="s">
        <v>103</v>
      </c>
      <c r="Q10" s="16" t="s">
        <v>112</v>
      </c>
      <c r="R10" s="16" t="s">
        <v>126</v>
      </c>
      <c r="S10" s="16" t="s">
        <v>99</v>
      </c>
      <c r="T10" s="16" t="s">
        <v>117</v>
      </c>
      <c r="U10" s="16" t="s">
        <v>108</v>
      </c>
      <c r="V10" s="16" t="s">
        <v>121</v>
      </c>
      <c r="W10" s="16" t="s">
        <v>130</v>
      </c>
    </row>
    <row r="11" spans="1:23" x14ac:dyDescent="0.2">
      <c r="A11" s="9" t="s">
        <v>796</v>
      </c>
      <c r="B11" s="9">
        <f ca="1">+IF(A11=WORLDCUP!$BI$112,1,0)</f>
        <v>0</v>
      </c>
      <c r="C11" s="9" t="str">
        <f ca="1">+WORLDCUP!BD65</f>
        <v>Arabia Saudita</v>
      </c>
      <c r="D11" s="9" t="str">
        <f ca="1">+WORLDCUP!BD64</f>
        <v>Egipto</v>
      </c>
      <c r="E11" s="9" t="str">
        <f ca="1">+WORLDCUP!BD66</f>
        <v>Senegal</v>
      </c>
      <c r="F11" s="9" t="str">
        <f ca="1">+WORLDCUP!BD60</f>
        <v>Haití</v>
      </c>
      <c r="G11" s="9" t="str">
        <f ca="1">+WORLDCUP!BD67</f>
        <v>Argelia</v>
      </c>
      <c r="H11" s="9" t="str">
        <f ca="1">+WORLDCUP!BD63</f>
        <v>Suecia</v>
      </c>
      <c r="I11" s="9" t="str">
        <f ca="1">+WORLDCUP!BD69</f>
        <v>Ghana</v>
      </c>
      <c r="J11" s="9" t="str">
        <f ca="1">+WORLDCUP!BD68</f>
        <v>RD Congo</v>
      </c>
      <c r="N11" s="16" t="s">
        <v>796</v>
      </c>
      <c r="O11" s="16">
        <v>10</v>
      </c>
      <c r="P11" s="16" t="s">
        <v>117</v>
      </c>
      <c r="Q11" s="16" t="s">
        <v>112</v>
      </c>
      <c r="R11" s="16" t="s">
        <v>121</v>
      </c>
      <c r="S11" s="16" t="s">
        <v>94</v>
      </c>
      <c r="T11" s="16" t="s">
        <v>126</v>
      </c>
      <c r="U11" s="16" t="s">
        <v>108</v>
      </c>
      <c r="V11" s="16" t="s">
        <v>135</v>
      </c>
      <c r="W11" s="16" t="s">
        <v>130</v>
      </c>
    </row>
    <row r="12" spans="1:23" x14ac:dyDescent="0.2">
      <c r="A12" s="9" t="s">
        <v>797</v>
      </c>
      <c r="B12" s="9">
        <f ca="1">+IF(A12=WORLDCUP!$BI$112,1,0)</f>
        <v>0</v>
      </c>
      <c r="C12" s="9" t="str">
        <f ca="1">+WORLDCUP!BD62</f>
        <v>Curazao</v>
      </c>
      <c r="D12" s="9" t="str">
        <f ca="1">+WORLDCUP!BD67</f>
        <v>Argelia</v>
      </c>
      <c r="E12" s="9" t="str">
        <f ca="1">+WORLDCUP!BD66</f>
        <v>Senegal</v>
      </c>
      <c r="F12" s="9" t="str">
        <f ca="1">+WORLDCUP!BD60</f>
        <v>Haití</v>
      </c>
      <c r="G12" s="9" t="str">
        <f ca="1">+WORLDCUP!BD65</f>
        <v>Arabia Saudita</v>
      </c>
      <c r="H12" s="9" t="str">
        <f ca="1">+WORLDCUP!BD64</f>
        <v>Egipto</v>
      </c>
      <c r="I12" s="9" t="str">
        <f ca="1">+WORLDCUP!BD69</f>
        <v>Ghana</v>
      </c>
      <c r="J12" s="9" t="str">
        <f ca="1">+WORLDCUP!BD68</f>
        <v>RD Congo</v>
      </c>
      <c r="N12" s="16" t="s">
        <v>797</v>
      </c>
      <c r="O12" s="16">
        <v>11</v>
      </c>
      <c r="P12" s="16" t="s">
        <v>103</v>
      </c>
      <c r="Q12" s="16" t="s">
        <v>126</v>
      </c>
      <c r="R12" s="16" t="s">
        <v>121</v>
      </c>
      <c r="S12" s="16" t="s">
        <v>94</v>
      </c>
      <c r="T12" s="16" t="s">
        <v>117</v>
      </c>
      <c r="U12" s="16" t="s">
        <v>112</v>
      </c>
      <c r="V12" s="16" t="s">
        <v>135</v>
      </c>
      <c r="W12" s="16" t="s">
        <v>130</v>
      </c>
    </row>
    <row r="13" spans="1:23" x14ac:dyDescent="0.2">
      <c r="A13" s="9" t="s">
        <v>798</v>
      </c>
      <c r="B13" s="9">
        <f ca="1">+IF(A13=WORLDCUP!$BI$112,1,0)</f>
        <v>0</v>
      </c>
      <c r="C13" s="9" t="str">
        <f ca="1">+WORLDCUP!BD62</f>
        <v>Curazao</v>
      </c>
      <c r="D13" s="9" t="str">
        <f ca="1">+WORLDCUP!BD67</f>
        <v>Argelia</v>
      </c>
      <c r="E13" s="9" t="str">
        <f ca="1">+WORLDCUP!BD66</f>
        <v>Senegal</v>
      </c>
      <c r="F13" s="9" t="str">
        <f ca="1">+WORLDCUP!BD60</f>
        <v>Haití</v>
      </c>
      <c r="G13" s="9" t="str">
        <f ca="1">+WORLDCUP!BD65</f>
        <v>Arabia Saudita</v>
      </c>
      <c r="H13" s="9" t="str">
        <f ca="1">+WORLDCUP!BD63</f>
        <v>Suecia</v>
      </c>
      <c r="I13" s="9" t="str">
        <f ca="1">+WORLDCUP!BD69</f>
        <v>Ghana</v>
      </c>
      <c r="J13" s="9" t="str">
        <f ca="1">+WORLDCUP!BD68</f>
        <v>RD Congo</v>
      </c>
      <c r="N13" s="16" t="s">
        <v>798</v>
      </c>
      <c r="O13" s="16">
        <v>12</v>
      </c>
      <c r="P13" s="16" t="s">
        <v>103</v>
      </c>
      <c r="Q13" s="16" t="s">
        <v>126</v>
      </c>
      <c r="R13" s="16" t="s">
        <v>121</v>
      </c>
      <c r="S13" s="16" t="s">
        <v>94</v>
      </c>
      <c r="T13" s="16" t="s">
        <v>117</v>
      </c>
      <c r="U13" s="16" t="s">
        <v>108</v>
      </c>
      <c r="V13" s="16" t="s">
        <v>135</v>
      </c>
      <c r="W13" s="16" t="s">
        <v>130</v>
      </c>
    </row>
    <row r="14" spans="1:23" x14ac:dyDescent="0.2">
      <c r="A14" s="9" t="s">
        <v>799</v>
      </c>
      <c r="B14" s="9">
        <f ca="1">+IF(A14=WORLDCUP!$BI$112,1,0)</f>
        <v>0</v>
      </c>
      <c r="C14" s="9" t="str">
        <f ca="1">+WORLDCUP!BD62</f>
        <v>Curazao</v>
      </c>
      <c r="D14" s="9" t="str">
        <f ca="1">+WORLDCUP!BD64</f>
        <v>Egipto</v>
      </c>
      <c r="E14" s="9" t="str">
        <f ca="1">+WORLDCUP!BD66</f>
        <v>Senegal</v>
      </c>
      <c r="F14" s="9" t="str">
        <f ca="1">+WORLDCUP!BD60</f>
        <v>Haití</v>
      </c>
      <c r="G14" s="9" t="str">
        <f ca="1">+WORLDCUP!BD67</f>
        <v>Argelia</v>
      </c>
      <c r="H14" s="9" t="str">
        <f ca="1">+WORLDCUP!BD63</f>
        <v>Suecia</v>
      </c>
      <c r="I14" s="9" t="str">
        <f ca="1">+WORLDCUP!BD69</f>
        <v>Ghana</v>
      </c>
      <c r="J14" s="9" t="str">
        <f ca="1">+WORLDCUP!BD68</f>
        <v>RD Congo</v>
      </c>
      <c r="N14" s="16" t="s">
        <v>799</v>
      </c>
      <c r="O14" s="16">
        <v>13</v>
      </c>
      <c r="P14" s="16" t="s">
        <v>103</v>
      </c>
      <c r="Q14" s="16" t="s">
        <v>112</v>
      </c>
      <c r="R14" s="16" t="s">
        <v>121</v>
      </c>
      <c r="S14" s="16" t="s">
        <v>94</v>
      </c>
      <c r="T14" s="16" t="s">
        <v>126</v>
      </c>
      <c r="U14" s="16" t="s">
        <v>108</v>
      </c>
      <c r="V14" s="16" t="s">
        <v>135</v>
      </c>
      <c r="W14" s="16" t="s">
        <v>130</v>
      </c>
    </row>
    <row r="15" spans="1:23" x14ac:dyDescent="0.2">
      <c r="A15" s="9" t="s">
        <v>800</v>
      </c>
      <c r="B15" s="9">
        <f ca="1">+IF(A15=WORLDCUP!$BI$112,1,0)</f>
        <v>0</v>
      </c>
      <c r="C15" s="9" t="str">
        <f ca="1">+WORLDCUP!BD62</f>
        <v>Curazao</v>
      </c>
      <c r="D15" s="9" t="str">
        <f ca="1">+WORLDCUP!BD64</f>
        <v>Egipto</v>
      </c>
      <c r="E15" s="9" t="str">
        <f ca="1">+WORLDCUP!BD67</f>
        <v>Argelia</v>
      </c>
      <c r="F15" s="9" t="str">
        <f ca="1">+WORLDCUP!BD60</f>
        <v>Haití</v>
      </c>
      <c r="G15" s="9" t="str">
        <f ca="1">+WORLDCUP!BD65</f>
        <v>Arabia Saudita</v>
      </c>
      <c r="H15" s="9" t="str">
        <f ca="1">+WORLDCUP!BD63</f>
        <v>Suecia</v>
      </c>
      <c r="I15" s="9" t="str">
        <f ca="1">+WORLDCUP!BD69</f>
        <v>Ghana</v>
      </c>
      <c r="J15" s="9" t="str">
        <f ca="1">+WORLDCUP!BD68</f>
        <v>RD Congo</v>
      </c>
      <c r="N15" s="16" t="s">
        <v>800</v>
      </c>
      <c r="O15" s="16">
        <v>14</v>
      </c>
      <c r="P15" s="16" t="s">
        <v>103</v>
      </c>
      <c r="Q15" s="16" t="s">
        <v>112</v>
      </c>
      <c r="R15" s="16" t="s">
        <v>126</v>
      </c>
      <c r="S15" s="16" t="s">
        <v>94</v>
      </c>
      <c r="T15" s="16" t="s">
        <v>117</v>
      </c>
      <c r="U15" s="16" t="s">
        <v>108</v>
      </c>
      <c r="V15" s="16" t="s">
        <v>135</v>
      </c>
      <c r="W15" s="16" t="s">
        <v>130</v>
      </c>
    </row>
    <row r="16" spans="1:23" x14ac:dyDescent="0.2">
      <c r="A16" s="9" t="s">
        <v>801</v>
      </c>
      <c r="B16" s="9">
        <f ca="1">+IF(A16=WORLDCUP!$BI$112,1,0)</f>
        <v>0</v>
      </c>
      <c r="C16" s="9" t="str">
        <f ca="1">+WORLDCUP!BD62</f>
        <v>Curazao</v>
      </c>
      <c r="D16" s="9" t="str">
        <f ca="1">+WORLDCUP!BD64</f>
        <v>Egipto</v>
      </c>
      <c r="E16" s="9" t="str">
        <f ca="1">+WORLDCUP!BD66</f>
        <v>Senegal</v>
      </c>
      <c r="F16" s="9" t="str">
        <f ca="1">+WORLDCUP!BD60</f>
        <v>Haití</v>
      </c>
      <c r="G16" s="9" t="str">
        <f ca="1">+WORLDCUP!BD65</f>
        <v>Arabia Saudita</v>
      </c>
      <c r="H16" s="9" t="str">
        <f ca="1">+WORLDCUP!BD63</f>
        <v>Suecia</v>
      </c>
      <c r="I16" s="9" t="str">
        <f ca="1">+WORLDCUP!BD69</f>
        <v>Ghana</v>
      </c>
      <c r="J16" s="9" t="str">
        <f ca="1">+WORLDCUP!BD68</f>
        <v>RD Congo</v>
      </c>
      <c r="N16" s="16" t="s">
        <v>801</v>
      </c>
      <c r="O16" s="16">
        <v>15</v>
      </c>
      <c r="P16" s="16" t="s">
        <v>103</v>
      </c>
      <c r="Q16" s="16" t="s">
        <v>112</v>
      </c>
      <c r="R16" s="16" t="s">
        <v>121</v>
      </c>
      <c r="S16" s="16" t="s">
        <v>94</v>
      </c>
      <c r="T16" s="16" t="s">
        <v>117</v>
      </c>
      <c r="U16" s="16" t="s">
        <v>108</v>
      </c>
      <c r="V16" s="16" t="s">
        <v>135</v>
      </c>
      <c r="W16" s="16" t="s">
        <v>130</v>
      </c>
    </row>
    <row r="17" spans="1:23" x14ac:dyDescent="0.2">
      <c r="A17" s="9" t="s">
        <v>802</v>
      </c>
      <c r="B17" s="9">
        <f ca="1">+IF(A17=WORLDCUP!$BI$112,1,0)</f>
        <v>0</v>
      </c>
      <c r="C17" s="9" t="str">
        <f ca="1">+WORLDCUP!BD62</f>
        <v>Curazao</v>
      </c>
      <c r="D17" s="9" t="str">
        <f ca="1">+WORLDCUP!BD64</f>
        <v>Egipto</v>
      </c>
      <c r="E17" s="9" t="str">
        <f ca="1">+WORLDCUP!BD67</f>
        <v>Argelia</v>
      </c>
      <c r="F17" s="9" t="str">
        <f ca="1">+WORLDCUP!BD60</f>
        <v>Haití</v>
      </c>
      <c r="G17" s="9" t="str">
        <f ca="1">+WORLDCUP!BD65</f>
        <v>Arabia Saudita</v>
      </c>
      <c r="H17" s="9" t="str">
        <f ca="1">+WORLDCUP!BD63</f>
        <v>Suecia</v>
      </c>
      <c r="I17" s="9" t="str">
        <f ca="1">+WORLDCUP!BD69</f>
        <v>Ghana</v>
      </c>
      <c r="J17" s="9" t="str">
        <f ca="1">+WORLDCUP!BD66</f>
        <v>Senegal</v>
      </c>
      <c r="N17" s="16" t="s">
        <v>802</v>
      </c>
      <c r="O17" s="16">
        <v>16</v>
      </c>
      <c r="P17" s="16" t="s">
        <v>103</v>
      </c>
      <c r="Q17" s="16" t="s">
        <v>112</v>
      </c>
      <c r="R17" s="16" t="s">
        <v>126</v>
      </c>
      <c r="S17" s="16" t="s">
        <v>94</v>
      </c>
      <c r="T17" s="16" t="s">
        <v>117</v>
      </c>
      <c r="U17" s="16" t="s">
        <v>108</v>
      </c>
      <c r="V17" s="16" t="s">
        <v>135</v>
      </c>
      <c r="W17" s="16" t="s">
        <v>121</v>
      </c>
    </row>
    <row r="18" spans="1:23" x14ac:dyDescent="0.2">
      <c r="A18" s="9" t="s">
        <v>803</v>
      </c>
      <c r="B18" s="9">
        <f ca="1">+IF(A18=WORLDCUP!$BI$112,1,0)</f>
        <v>0</v>
      </c>
      <c r="C18" s="9" t="str">
        <f ca="1">+WORLDCUP!BD62</f>
        <v>Curazao</v>
      </c>
      <c r="D18" s="9" t="str">
        <f ca="1">+WORLDCUP!BD64</f>
        <v>Egipto</v>
      </c>
      <c r="E18" s="9" t="str">
        <f ca="1">+WORLDCUP!BD67</f>
        <v>Argelia</v>
      </c>
      <c r="F18" s="9" t="str">
        <f ca="1">+WORLDCUP!BD60</f>
        <v>Haití</v>
      </c>
      <c r="G18" s="9" t="str">
        <f ca="1">+WORLDCUP!BD65</f>
        <v>Arabia Saudita</v>
      </c>
      <c r="H18" s="9" t="str">
        <f ca="1">+WORLDCUP!BD63</f>
        <v>Suecia</v>
      </c>
      <c r="I18" s="9" t="str">
        <f ca="1">+WORLDCUP!BD66</f>
        <v>Senegal</v>
      </c>
      <c r="J18" s="9" t="str">
        <f ca="1">+WORLDCUP!BD68</f>
        <v>RD Congo</v>
      </c>
      <c r="N18" s="16" t="s">
        <v>803</v>
      </c>
      <c r="O18" s="16">
        <v>17</v>
      </c>
      <c r="P18" s="16" t="s">
        <v>103</v>
      </c>
      <c r="Q18" s="16" t="s">
        <v>112</v>
      </c>
      <c r="R18" s="16" t="s">
        <v>126</v>
      </c>
      <c r="S18" s="16" t="s">
        <v>94</v>
      </c>
      <c r="T18" s="16" t="s">
        <v>117</v>
      </c>
      <c r="U18" s="16" t="s">
        <v>108</v>
      </c>
      <c r="V18" s="16" t="s">
        <v>121</v>
      </c>
      <c r="W18" s="16" t="s">
        <v>130</v>
      </c>
    </row>
    <row r="19" spans="1:23" x14ac:dyDescent="0.2">
      <c r="A19" s="9" t="s">
        <v>804</v>
      </c>
      <c r="B19" s="9">
        <f ca="1">+IF(A19=WORLDCUP!$BI$112,1,0)</f>
        <v>0</v>
      </c>
      <c r="C19" s="9" t="str">
        <f ca="1">+WORLDCUP!BD65</f>
        <v>Arabia Saudita</v>
      </c>
      <c r="D19" s="9" t="str">
        <f ca="1">+WORLDCUP!BD64</f>
        <v>Egipto</v>
      </c>
      <c r="E19" s="9" t="str">
        <f ca="1">+WORLDCUP!BD66</f>
        <v>Senegal</v>
      </c>
      <c r="F19" s="9" t="str">
        <f ca="1">+WORLDCUP!BD60</f>
        <v>Haití</v>
      </c>
      <c r="G19" s="9" t="str">
        <f ca="1">+WORLDCUP!BD67</f>
        <v>Argelia</v>
      </c>
      <c r="H19" s="9" t="str">
        <f ca="1">+WORLDCUP!BD61</f>
        <v>Australia</v>
      </c>
      <c r="I19" s="9" t="str">
        <f ca="1">+WORLDCUP!BD69</f>
        <v>Ghana</v>
      </c>
      <c r="J19" s="9" t="str">
        <f ca="1">+WORLDCUP!BD68</f>
        <v>RD Congo</v>
      </c>
      <c r="N19" s="16" t="s">
        <v>804</v>
      </c>
      <c r="O19" s="16">
        <v>18</v>
      </c>
      <c r="P19" s="16" t="s">
        <v>117</v>
      </c>
      <c r="Q19" s="16" t="s">
        <v>112</v>
      </c>
      <c r="R19" s="16" t="s">
        <v>121</v>
      </c>
      <c r="S19" s="16" t="s">
        <v>94</v>
      </c>
      <c r="T19" s="16" t="s">
        <v>126</v>
      </c>
      <c r="U19" s="16" t="s">
        <v>99</v>
      </c>
      <c r="V19" s="16" t="s">
        <v>135</v>
      </c>
      <c r="W19" s="16" t="s">
        <v>130</v>
      </c>
    </row>
    <row r="20" spans="1:23" x14ac:dyDescent="0.2">
      <c r="A20" s="9" t="s">
        <v>805</v>
      </c>
      <c r="B20" s="9">
        <f ca="1">+IF(A20=WORLDCUP!$BI$112,1,0)</f>
        <v>0</v>
      </c>
      <c r="C20" s="9" t="str">
        <f ca="1">+WORLDCUP!BD60</f>
        <v>Haití</v>
      </c>
      <c r="D20" s="9" t="str">
        <f ca="1">+WORLDCUP!BD67</f>
        <v>Argelia</v>
      </c>
      <c r="E20" s="9" t="str">
        <f ca="1">+WORLDCUP!BD66</f>
        <v>Senegal</v>
      </c>
      <c r="F20" s="9" t="str">
        <f ca="1">+WORLDCUP!BD61</f>
        <v>Australia</v>
      </c>
      <c r="G20" s="9" t="str">
        <f ca="1">+WORLDCUP!BD65</f>
        <v>Arabia Saudita</v>
      </c>
      <c r="H20" s="9" t="str">
        <f ca="1">+WORLDCUP!BD63</f>
        <v>Suecia</v>
      </c>
      <c r="I20" s="9" t="str">
        <f ca="1">+WORLDCUP!BD69</f>
        <v>Ghana</v>
      </c>
      <c r="J20" s="9" t="str">
        <f ca="1">+WORLDCUP!BD68</f>
        <v>RD Congo</v>
      </c>
      <c r="N20" s="16" t="s">
        <v>805</v>
      </c>
      <c r="O20" s="16">
        <v>19</v>
      </c>
      <c r="P20" s="16" t="s">
        <v>94</v>
      </c>
      <c r="Q20" s="16" t="s">
        <v>126</v>
      </c>
      <c r="R20" s="16" t="s">
        <v>121</v>
      </c>
      <c r="S20" s="16" t="s">
        <v>99</v>
      </c>
      <c r="T20" s="16" t="s">
        <v>117</v>
      </c>
      <c r="U20" s="16" t="s">
        <v>108</v>
      </c>
      <c r="V20" s="16" t="s">
        <v>135</v>
      </c>
      <c r="W20" s="16" t="s">
        <v>130</v>
      </c>
    </row>
    <row r="21" spans="1:23" x14ac:dyDescent="0.2">
      <c r="A21" s="9" t="s">
        <v>806</v>
      </c>
      <c r="B21" s="9">
        <f ca="1">+IF(A21=WORLDCUP!$BI$112,1,0)</f>
        <v>0</v>
      </c>
      <c r="C21" s="9" t="str">
        <f ca="1">+WORLDCUP!BD60</f>
        <v>Haití</v>
      </c>
      <c r="D21" s="9" t="str">
        <f ca="1">+WORLDCUP!BD64</f>
        <v>Egipto</v>
      </c>
      <c r="E21" s="9" t="str">
        <f ca="1">+WORLDCUP!BD66</f>
        <v>Senegal</v>
      </c>
      <c r="F21" s="9" t="str">
        <f ca="1">+WORLDCUP!BD61</f>
        <v>Australia</v>
      </c>
      <c r="G21" s="9" t="str">
        <f ca="1">+WORLDCUP!BD67</f>
        <v>Argelia</v>
      </c>
      <c r="H21" s="9" t="str">
        <f ca="1">+WORLDCUP!BD63</f>
        <v>Suecia</v>
      </c>
      <c r="I21" s="9" t="str">
        <f ca="1">+WORLDCUP!BD69</f>
        <v>Ghana</v>
      </c>
      <c r="J21" s="9" t="str">
        <f ca="1">+WORLDCUP!BD68</f>
        <v>RD Congo</v>
      </c>
      <c r="N21" s="16" t="s">
        <v>806</v>
      </c>
      <c r="O21" s="16">
        <v>20</v>
      </c>
      <c r="P21" s="16" t="s">
        <v>94</v>
      </c>
      <c r="Q21" s="16" t="s">
        <v>112</v>
      </c>
      <c r="R21" s="16" t="s">
        <v>121</v>
      </c>
      <c r="S21" s="16" t="s">
        <v>99</v>
      </c>
      <c r="T21" s="16" t="s">
        <v>126</v>
      </c>
      <c r="U21" s="16" t="s">
        <v>108</v>
      </c>
      <c r="V21" s="16" t="s">
        <v>135</v>
      </c>
      <c r="W21" s="16" t="s">
        <v>130</v>
      </c>
    </row>
    <row r="22" spans="1:23" x14ac:dyDescent="0.2">
      <c r="A22" s="9" t="s">
        <v>807</v>
      </c>
      <c r="B22" s="9">
        <f ca="1">+IF(A22=WORLDCUP!$BI$112,1,0)</f>
        <v>0</v>
      </c>
      <c r="C22" s="9" t="str">
        <f ca="1">+WORLDCUP!BD60</f>
        <v>Haití</v>
      </c>
      <c r="D22" s="9" t="str">
        <f ca="1">+WORLDCUP!BD64</f>
        <v>Egipto</v>
      </c>
      <c r="E22" s="9" t="str">
        <f ca="1">+WORLDCUP!BD67</f>
        <v>Argelia</v>
      </c>
      <c r="F22" s="9" t="str">
        <f ca="1">+WORLDCUP!BD61</f>
        <v>Australia</v>
      </c>
      <c r="G22" s="9" t="str">
        <f ca="1">+WORLDCUP!BD65</f>
        <v>Arabia Saudita</v>
      </c>
      <c r="H22" s="9" t="str">
        <f ca="1">+WORLDCUP!BD63</f>
        <v>Suecia</v>
      </c>
      <c r="I22" s="9" t="str">
        <f ca="1">+WORLDCUP!BD69</f>
        <v>Ghana</v>
      </c>
      <c r="J22" s="9" t="str">
        <f ca="1">+WORLDCUP!BD68</f>
        <v>RD Congo</v>
      </c>
      <c r="N22" s="16" t="s">
        <v>807</v>
      </c>
      <c r="O22" s="16">
        <v>21</v>
      </c>
      <c r="P22" s="16" t="s">
        <v>94</v>
      </c>
      <c r="Q22" s="16" t="s">
        <v>112</v>
      </c>
      <c r="R22" s="16" t="s">
        <v>126</v>
      </c>
      <c r="S22" s="16" t="s">
        <v>99</v>
      </c>
      <c r="T22" s="16" t="s">
        <v>117</v>
      </c>
      <c r="U22" s="16" t="s">
        <v>108</v>
      </c>
      <c r="V22" s="16" t="s">
        <v>135</v>
      </c>
      <c r="W22" s="16" t="s">
        <v>130</v>
      </c>
    </row>
    <row r="23" spans="1:23" x14ac:dyDescent="0.2">
      <c r="A23" s="9" t="s">
        <v>808</v>
      </c>
      <c r="B23" s="9">
        <f ca="1">+IF(A23=WORLDCUP!$BI$112,1,0)</f>
        <v>0</v>
      </c>
      <c r="C23" s="9" t="str">
        <f ca="1">+WORLDCUP!BD60</f>
        <v>Haití</v>
      </c>
      <c r="D23" s="9" t="str">
        <f ca="1">+WORLDCUP!BD64</f>
        <v>Egipto</v>
      </c>
      <c r="E23" s="9" t="str">
        <f ca="1">+WORLDCUP!BD66</f>
        <v>Senegal</v>
      </c>
      <c r="F23" s="9" t="str">
        <f ca="1">+WORLDCUP!BD61</f>
        <v>Australia</v>
      </c>
      <c r="G23" s="9" t="str">
        <f ca="1">+WORLDCUP!BD65</f>
        <v>Arabia Saudita</v>
      </c>
      <c r="H23" s="9" t="str">
        <f ca="1">+WORLDCUP!BD63</f>
        <v>Suecia</v>
      </c>
      <c r="I23" s="9" t="str">
        <f ca="1">+WORLDCUP!BD69</f>
        <v>Ghana</v>
      </c>
      <c r="J23" s="9" t="str">
        <f ca="1">+WORLDCUP!BD68</f>
        <v>RD Congo</v>
      </c>
      <c r="N23" s="16" t="s">
        <v>808</v>
      </c>
      <c r="O23" s="16">
        <v>22</v>
      </c>
      <c r="P23" s="16" t="s">
        <v>94</v>
      </c>
      <c r="Q23" s="16" t="s">
        <v>112</v>
      </c>
      <c r="R23" s="16" t="s">
        <v>121</v>
      </c>
      <c r="S23" s="16" t="s">
        <v>99</v>
      </c>
      <c r="T23" s="16" t="s">
        <v>117</v>
      </c>
      <c r="U23" s="16" t="s">
        <v>108</v>
      </c>
      <c r="V23" s="16" t="s">
        <v>135</v>
      </c>
      <c r="W23" s="16" t="s">
        <v>130</v>
      </c>
    </row>
    <row r="24" spans="1:23" x14ac:dyDescent="0.2">
      <c r="A24" s="9" t="s">
        <v>809</v>
      </c>
      <c r="B24" s="9">
        <f ca="1">+IF(A24=WORLDCUP!$BI$112,1,0)</f>
        <v>0</v>
      </c>
      <c r="C24" s="9" t="str">
        <f ca="1">+WORLDCUP!BD60</f>
        <v>Haití</v>
      </c>
      <c r="D24" s="9" t="str">
        <f ca="1">+WORLDCUP!BD64</f>
        <v>Egipto</v>
      </c>
      <c r="E24" s="9" t="str">
        <f ca="1">+WORLDCUP!BD67</f>
        <v>Argelia</v>
      </c>
      <c r="F24" s="9" t="str">
        <f ca="1">+WORLDCUP!BD61</f>
        <v>Australia</v>
      </c>
      <c r="G24" s="9" t="str">
        <f ca="1">+WORLDCUP!BD65</f>
        <v>Arabia Saudita</v>
      </c>
      <c r="H24" s="9" t="str">
        <f ca="1">+WORLDCUP!BD63</f>
        <v>Suecia</v>
      </c>
      <c r="I24" s="9" t="str">
        <f ca="1">+WORLDCUP!BD69</f>
        <v>Ghana</v>
      </c>
      <c r="J24" s="9" t="str">
        <f ca="1">+WORLDCUP!BD66</f>
        <v>Senegal</v>
      </c>
      <c r="N24" s="16" t="s">
        <v>809</v>
      </c>
      <c r="O24" s="16">
        <v>23</v>
      </c>
      <c r="P24" s="16" t="s">
        <v>94</v>
      </c>
      <c r="Q24" s="16" t="s">
        <v>112</v>
      </c>
      <c r="R24" s="16" t="s">
        <v>126</v>
      </c>
      <c r="S24" s="16" t="s">
        <v>99</v>
      </c>
      <c r="T24" s="16" t="s">
        <v>117</v>
      </c>
      <c r="U24" s="16" t="s">
        <v>108</v>
      </c>
      <c r="V24" s="16" t="s">
        <v>135</v>
      </c>
      <c r="W24" s="16" t="s">
        <v>121</v>
      </c>
    </row>
    <row r="25" spans="1:23" x14ac:dyDescent="0.2">
      <c r="A25" s="9" t="s">
        <v>810</v>
      </c>
      <c r="B25" s="9">
        <f ca="1">+IF(A25=WORLDCUP!$BI$112,1,0)</f>
        <v>0</v>
      </c>
      <c r="C25" s="9" t="str">
        <f ca="1">+WORLDCUP!BD60</f>
        <v>Haití</v>
      </c>
      <c r="D25" s="9" t="str">
        <f ca="1">+WORLDCUP!BD64</f>
        <v>Egipto</v>
      </c>
      <c r="E25" s="9" t="str">
        <f ca="1">+WORLDCUP!BD67</f>
        <v>Argelia</v>
      </c>
      <c r="F25" s="9" t="str">
        <f ca="1">+WORLDCUP!BD61</f>
        <v>Australia</v>
      </c>
      <c r="G25" s="9" t="str">
        <f ca="1">+WORLDCUP!BD65</f>
        <v>Arabia Saudita</v>
      </c>
      <c r="H25" s="9" t="str">
        <f ca="1">+WORLDCUP!BD63</f>
        <v>Suecia</v>
      </c>
      <c r="I25" s="9" t="str">
        <f ca="1">+WORLDCUP!BD66</f>
        <v>Senegal</v>
      </c>
      <c r="J25" s="9" t="str">
        <f ca="1">+WORLDCUP!BD68</f>
        <v>RD Congo</v>
      </c>
      <c r="N25" s="16" t="s">
        <v>810</v>
      </c>
      <c r="O25" s="16">
        <v>24</v>
      </c>
      <c r="P25" s="16" t="s">
        <v>94</v>
      </c>
      <c r="Q25" s="16" t="s">
        <v>112</v>
      </c>
      <c r="R25" s="16" t="s">
        <v>126</v>
      </c>
      <c r="S25" s="16" t="s">
        <v>99</v>
      </c>
      <c r="T25" s="16" t="s">
        <v>117</v>
      </c>
      <c r="U25" s="16" t="s">
        <v>108</v>
      </c>
      <c r="V25" s="16" t="s">
        <v>121</v>
      </c>
      <c r="W25" s="16" t="s">
        <v>130</v>
      </c>
    </row>
    <row r="26" spans="1:23" x14ac:dyDescent="0.2">
      <c r="A26" s="9" t="s">
        <v>811</v>
      </c>
      <c r="B26" s="9">
        <f ca="1">+IF(A26=WORLDCUP!$BI$112,1,0)</f>
        <v>0</v>
      </c>
      <c r="C26" s="9" t="str">
        <f ca="1">+WORLDCUP!BD62</f>
        <v>Curazao</v>
      </c>
      <c r="D26" s="9" t="str">
        <f ca="1">+WORLDCUP!BD67</f>
        <v>Argelia</v>
      </c>
      <c r="E26" s="9" t="str">
        <f ca="1">+WORLDCUP!BD66</f>
        <v>Senegal</v>
      </c>
      <c r="F26" s="9" t="str">
        <f ca="1">+WORLDCUP!BD60</f>
        <v>Haití</v>
      </c>
      <c r="G26" s="9" t="str">
        <f ca="1">+WORLDCUP!BD65</f>
        <v>Arabia Saudita</v>
      </c>
      <c r="H26" s="9" t="str">
        <f ca="1">+WORLDCUP!BD61</f>
        <v>Australia</v>
      </c>
      <c r="I26" s="9" t="str">
        <f ca="1">+WORLDCUP!BD69</f>
        <v>Ghana</v>
      </c>
      <c r="J26" s="9" t="str">
        <f ca="1">+WORLDCUP!BD68</f>
        <v>RD Congo</v>
      </c>
      <c r="N26" s="16" t="s">
        <v>811</v>
      </c>
      <c r="O26" s="16">
        <v>25</v>
      </c>
      <c r="P26" s="16" t="s">
        <v>103</v>
      </c>
      <c r="Q26" s="16" t="s">
        <v>126</v>
      </c>
      <c r="R26" s="16" t="s">
        <v>121</v>
      </c>
      <c r="S26" s="16" t="s">
        <v>94</v>
      </c>
      <c r="T26" s="16" t="s">
        <v>117</v>
      </c>
      <c r="U26" s="16" t="s">
        <v>99</v>
      </c>
      <c r="V26" s="16" t="s">
        <v>135</v>
      </c>
      <c r="W26" s="16" t="s">
        <v>130</v>
      </c>
    </row>
    <row r="27" spans="1:23" x14ac:dyDescent="0.2">
      <c r="A27" s="9" t="s">
        <v>812</v>
      </c>
      <c r="B27" s="9">
        <f ca="1">+IF(A27=WORLDCUP!$BI$112,1,0)</f>
        <v>0</v>
      </c>
      <c r="C27" s="9" t="str">
        <f ca="1">+WORLDCUP!BD62</f>
        <v>Curazao</v>
      </c>
      <c r="D27" s="9" t="str">
        <f ca="1">+WORLDCUP!BD64</f>
        <v>Egipto</v>
      </c>
      <c r="E27" s="9" t="str">
        <f ca="1">+WORLDCUP!BD66</f>
        <v>Senegal</v>
      </c>
      <c r="F27" s="9" t="str">
        <f ca="1">+WORLDCUP!BD60</f>
        <v>Haití</v>
      </c>
      <c r="G27" s="9" t="str">
        <f ca="1">+WORLDCUP!BD67</f>
        <v>Argelia</v>
      </c>
      <c r="H27" s="9" t="str">
        <f ca="1">+WORLDCUP!BD61</f>
        <v>Australia</v>
      </c>
      <c r="I27" s="9" t="str">
        <f ca="1">+WORLDCUP!BD69</f>
        <v>Ghana</v>
      </c>
      <c r="J27" s="9" t="str">
        <f ca="1">+WORLDCUP!BD68</f>
        <v>RD Congo</v>
      </c>
      <c r="N27" s="16" t="s">
        <v>812</v>
      </c>
      <c r="O27" s="16">
        <v>26</v>
      </c>
      <c r="P27" s="16" t="s">
        <v>103</v>
      </c>
      <c r="Q27" s="16" t="s">
        <v>112</v>
      </c>
      <c r="R27" s="16" t="s">
        <v>121</v>
      </c>
      <c r="S27" s="16" t="s">
        <v>94</v>
      </c>
      <c r="T27" s="16" t="s">
        <v>126</v>
      </c>
      <c r="U27" s="16" t="s">
        <v>99</v>
      </c>
      <c r="V27" s="16" t="s">
        <v>135</v>
      </c>
      <c r="W27" s="16" t="s">
        <v>130</v>
      </c>
    </row>
    <row r="28" spans="1:23" x14ac:dyDescent="0.2">
      <c r="A28" s="9" t="s">
        <v>813</v>
      </c>
      <c r="B28" s="9">
        <f ca="1">+IF(A28=WORLDCUP!$BI$112,1,0)</f>
        <v>0</v>
      </c>
      <c r="C28" s="9" t="str">
        <f ca="1">+WORLDCUP!BD62</f>
        <v>Curazao</v>
      </c>
      <c r="D28" s="9" t="str">
        <f ca="1">+WORLDCUP!BD64</f>
        <v>Egipto</v>
      </c>
      <c r="E28" s="9" t="str">
        <f ca="1">+WORLDCUP!BD67</f>
        <v>Argelia</v>
      </c>
      <c r="F28" s="9" t="str">
        <f ca="1">+WORLDCUP!BD60</f>
        <v>Haití</v>
      </c>
      <c r="G28" s="9" t="str">
        <f ca="1">+WORLDCUP!BD65</f>
        <v>Arabia Saudita</v>
      </c>
      <c r="H28" s="9" t="str">
        <f ca="1">+WORLDCUP!BD61</f>
        <v>Australia</v>
      </c>
      <c r="I28" s="9" t="str">
        <f ca="1">+WORLDCUP!BD69</f>
        <v>Ghana</v>
      </c>
      <c r="J28" s="9" t="str">
        <f ca="1">+WORLDCUP!BD68</f>
        <v>RD Congo</v>
      </c>
      <c r="N28" s="16" t="s">
        <v>813</v>
      </c>
      <c r="O28" s="16">
        <v>27</v>
      </c>
      <c r="P28" s="16" t="s">
        <v>103</v>
      </c>
      <c r="Q28" s="16" t="s">
        <v>112</v>
      </c>
      <c r="R28" s="16" t="s">
        <v>126</v>
      </c>
      <c r="S28" s="16" t="s">
        <v>94</v>
      </c>
      <c r="T28" s="16" t="s">
        <v>117</v>
      </c>
      <c r="U28" s="16" t="s">
        <v>99</v>
      </c>
      <c r="V28" s="16" t="s">
        <v>135</v>
      </c>
      <c r="W28" s="16" t="s">
        <v>130</v>
      </c>
    </row>
    <row r="29" spans="1:23" x14ac:dyDescent="0.2">
      <c r="A29" s="9" t="s">
        <v>814</v>
      </c>
      <c r="B29" s="9">
        <f ca="1">+IF(A29=WORLDCUP!$BI$112,1,0)</f>
        <v>0</v>
      </c>
      <c r="C29" s="9" t="str">
        <f ca="1">+WORLDCUP!BD62</f>
        <v>Curazao</v>
      </c>
      <c r="D29" s="9" t="str">
        <f ca="1">+WORLDCUP!BD64</f>
        <v>Egipto</v>
      </c>
      <c r="E29" s="9" t="str">
        <f ca="1">+WORLDCUP!BD66</f>
        <v>Senegal</v>
      </c>
      <c r="F29" s="9" t="str">
        <f ca="1">+WORLDCUP!BD60</f>
        <v>Haití</v>
      </c>
      <c r="G29" s="9" t="str">
        <f ca="1">+WORLDCUP!BD65</f>
        <v>Arabia Saudita</v>
      </c>
      <c r="H29" s="9" t="str">
        <f ca="1">+WORLDCUP!BD61</f>
        <v>Australia</v>
      </c>
      <c r="I29" s="9" t="str">
        <f ca="1">+WORLDCUP!BD69</f>
        <v>Ghana</v>
      </c>
      <c r="J29" s="9" t="str">
        <f ca="1">+WORLDCUP!BD68</f>
        <v>RD Congo</v>
      </c>
      <c r="N29" s="16" t="s">
        <v>814</v>
      </c>
      <c r="O29" s="16">
        <v>28</v>
      </c>
      <c r="P29" s="16" t="s">
        <v>103</v>
      </c>
      <c r="Q29" s="16" t="s">
        <v>112</v>
      </c>
      <c r="R29" s="16" t="s">
        <v>121</v>
      </c>
      <c r="S29" s="16" t="s">
        <v>94</v>
      </c>
      <c r="T29" s="16" t="s">
        <v>117</v>
      </c>
      <c r="U29" s="16" t="s">
        <v>99</v>
      </c>
      <c r="V29" s="16" t="s">
        <v>135</v>
      </c>
      <c r="W29" s="16" t="s">
        <v>130</v>
      </c>
    </row>
    <row r="30" spans="1:23" x14ac:dyDescent="0.2">
      <c r="A30" s="9" t="s">
        <v>815</v>
      </c>
      <c r="B30" s="9">
        <f ca="1">+IF(A30=WORLDCUP!$BI$112,1,0)</f>
        <v>0</v>
      </c>
      <c r="C30" s="9" t="str">
        <f ca="1">+WORLDCUP!BD62</f>
        <v>Curazao</v>
      </c>
      <c r="D30" s="9" t="str">
        <f ca="1">+WORLDCUP!BD64</f>
        <v>Egipto</v>
      </c>
      <c r="E30" s="9" t="str">
        <f ca="1">+WORLDCUP!BD67</f>
        <v>Argelia</v>
      </c>
      <c r="F30" s="9" t="str">
        <f ca="1">+WORLDCUP!BD60</f>
        <v>Haití</v>
      </c>
      <c r="G30" s="9" t="str">
        <f ca="1">+WORLDCUP!BD65</f>
        <v>Arabia Saudita</v>
      </c>
      <c r="H30" s="9" t="str">
        <f ca="1">+WORLDCUP!BD61</f>
        <v>Australia</v>
      </c>
      <c r="I30" s="9" t="str">
        <f ca="1">+WORLDCUP!BD69</f>
        <v>Ghana</v>
      </c>
      <c r="J30" s="9" t="str">
        <f ca="1">+WORLDCUP!BD66</f>
        <v>Senegal</v>
      </c>
      <c r="N30" s="16" t="s">
        <v>815</v>
      </c>
      <c r="O30" s="16">
        <v>29</v>
      </c>
      <c r="P30" s="16" t="s">
        <v>103</v>
      </c>
      <c r="Q30" s="16" t="s">
        <v>112</v>
      </c>
      <c r="R30" s="16" t="s">
        <v>126</v>
      </c>
      <c r="S30" s="16" t="s">
        <v>94</v>
      </c>
      <c r="T30" s="16" t="s">
        <v>117</v>
      </c>
      <c r="U30" s="16" t="s">
        <v>99</v>
      </c>
      <c r="V30" s="16" t="s">
        <v>135</v>
      </c>
      <c r="W30" s="16" t="s">
        <v>121</v>
      </c>
    </row>
    <row r="31" spans="1:23" x14ac:dyDescent="0.2">
      <c r="A31" s="9" t="s">
        <v>816</v>
      </c>
      <c r="B31" s="9">
        <f ca="1">+IF(A31=WORLDCUP!$BI$112,1,0)</f>
        <v>0</v>
      </c>
      <c r="C31" s="9" t="str">
        <f ca="1">+WORLDCUP!BD62</f>
        <v>Curazao</v>
      </c>
      <c r="D31" s="9" t="str">
        <f ca="1">+WORLDCUP!BD64</f>
        <v>Egipto</v>
      </c>
      <c r="E31" s="9" t="str">
        <f ca="1">+WORLDCUP!BD67</f>
        <v>Argelia</v>
      </c>
      <c r="F31" s="9" t="str">
        <f ca="1">+WORLDCUP!BD60</f>
        <v>Haití</v>
      </c>
      <c r="G31" s="9" t="str">
        <f ca="1">+WORLDCUP!BD65</f>
        <v>Arabia Saudita</v>
      </c>
      <c r="H31" s="9" t="str">
        <f ca="1">+WORLDCUP!BD61</f>
        <v>Australia</v>
      </c>
      <c r="I31" s="9" t="str">
        <f ca="1">+WORLDCUP!BD66</f>
        <v>Senegal</v>
      </c>
      <c r="J31" s="9" t="str">
        <f ca="1">+WORLDCUP!BD68</f>
        <v>RD Congo</v>
      </c>
      <c r="N31" s="16" t="s">
        <v>816</v>
      </c>
      <c r="O31" s="16">
        <v>30</v>
      </c>
      <c r="P31" s="16" t="s">
        <v>103</v>
      </c>
      <c r="Q31" s="16" t="s">
        <v>112</v>
      </c>
      <c r="R31" s="16" t="s">
        <v>126</v>
      </c>
      <c r="S31" s="16" t="s">
        <v>94</v>
      </c>
      <c r="T31" s="16" t="s">
        <v>117</v>
      </c>
      <c r="U31" s="16" t="s">
        <v>99</v>
      </c>
      <c r="V31" s="16" t="s">
        <v>121</v>
      </c>
      <c r="W31" s="16" t="s">
        <v>130</v>
      </c>
    </row>
    <row r="32" spans="1:23" x14ac:dyDescent="0.2">
      <c r="A32" s="9" t="s">
        <v>817</v>
      </c>
      <c r="B32" s="9">
        <f ca="1">+IF(A32=WORLDCUP!$BI$112,1,0)</f>
        <v>0</v>
      </c>
      <c r="C32" s="9" t="str">
        <f ca="1">+WORLDCUP!BD60</f>
        <v>Haití</v>
      </c>
      <c r="D32" s="9" t="str">
        <f ca="1">+WORLDCUP!BD67</f>
        <v>Argelia</v>
      </c>
      <c r="E32" s="9" t="str">
        <f ca="1">+WORLDCUP!BD62</f>
        <v>Curazao</v>
      </c>
      <c r="F32" s="9" t="str">
        <f ca="1">+WORLDCUP!BD61</f>
        <v>Australia</v>
      </c>
      <c r="G32" s="9" t="str">
        <f ca="1">+WORLDCUP!BD66</f>
        <v>Senegal</v>
      </c>
      <c r="H32" s="9" t="str">
        <f ca="1">+WORLDCUP!BD63</f>
        <v>Suecia</v>
      </c>
      <c r="I32" s="9" t="str">
        <f ca="1">+WORLDCUP!BD69</f>
        <v>Ghana</v>
      </c>
      <c r="J32" s="9" t="str">
        <f ca="1">+WORLDCUP!BD68</f>
        <v>RD Congo</v>
      </c>
      <c r="N32" s="16" t="s">
        <v>817</v>
      </c>
      <c r="O32" s="16">
        <v>31</v>
      </c>
      <c r="P32" s="16" t="s">
        <v>94</v>
      </c>
      <c r="Q32" s="16" t="s">
        <v>126</v>
      </c>
      <c r="R32" s="16" t="s">
        <v>103</v>
      </c>
      <c r="S32" s="16" t="s">
        <v>99</v>
      </c>
      <c r="T32" s="16" t="s">
        <v>121</v>
      </c>
      <c r="U32" s="16" t="s">
        <v>108</v>
      </c>
      <c r="V32" s="16" t="s">
        <v>135</v>
      </c>
      <c r="W32" s="16" t="s">
        <v>130</v>
      </c>
    </row>
    <row r="33" spans="1:23" x14ac:dyDescent="0.2">
      <c r="A33" s="9" t="s">
        <v>818</v>
      </c>
      <c r="B33" s="9">
        <f ca="1">+IF(A33=WORLDCUP!$BI$112,1,0)</f>
        <v>0</v>
      </c>
      <c r="C33" s="9" t="str">
        <f ca="1">+WORLDCUP!BD60</f>
        <v>Haití</v>
      </c>
      <c r="D33" s="9" t="str">
        <f ca="1">+WORLDCUP!BD67</f>
        <v>Argelia</v>
      </c>
      <c r="E33" s="9" t="str">
        <f ca="1">+WORLDCUP!BD62</f>
        <v>Curazao</v>
      </c>
      <c r="F33" s="9" t="str">
        <f ca="1">+WORLDCUP!BD61</f>
        <v>Australia</v>
      </c>
      <c r="G33" s="9" t="str">
        <f ca="1">+WORLDCUP!BD65</f>
        <v>Arabia Saudita</v>
      </c>
      <c r="H33" s="9" t="str">
        <f ca="1">+WORLDCUP!BD63</f>
        <v>Suecia</v>
      </c>
      <c r="I33" s="9" t="str">
        <f ca="1">+WORLDCUP!BD69</f>
        <v>Ghana</v>
      </c>
      <c r="J33" s="9" t="str">
        <f ca="1">+WORLDCUP!BD68</f>
        <v>RD Congo</v>
      </c>
      <c r="N33" s="16" t="s">
        <v>818</v>
      </c>
      <c r="O33" s="16">
        <v>32</v>
      </c>
      <c r="P33" s="16" t="s">
        <v>94</v>
      </c>
      <c r="Q33" s="16" t="s">
        <v>126</v>
      </c>
      <c r="R33" s="16" t="s">
        <v>103</v>
      </c>
      <c r="S33" s="16" t="s">
        <v>99</v>
      </c>
      <c r="T33" s="16" t="s">
        <v>117</v>
      </c>
      <c r="U33" s="16" t="s">
        <v>108</v>
      </c>
      <c r="V33" s="16" t="s">
        <v>135</v>
      </c>
      <c r="W33" s="16" t="s">
        <v>130</v>
      </c>
    </row>
    <row r="34" spans="1:23" x14ac:dyDescent="0.2">
      <c r="A34" s="9" t="s">
        <v>819</v>
      </c>
      <c r="B34" s="9">
        <f ca="1">+IF(A34=WORLDCUP!$BI$112,1,0)</f>
        <v>0</v>
      </c>
      <c r="C34" s="9" t="str">
        <f ca="1">+WORLDCUP!BD60</f>
        <v>Haití</v>
      </c>
      <c r="D34" s="9" t="str">
        <f ca="1">+WORLDCUP!BD62</f>
        <v>Curazao</v>
      </c>
      <c r="E34" s="9" t="str">
        <f ca="1">+WORLDCUP!BD66</f>
        <v>Senegal</v>
      </c>
      <c r="F34" s="9" t="str">
        <f ca="1">+WORLDCUP!BD61</f>
        <v>Australia</v>
      </c>
      <c r="G34" s="9" t="str">
        <f ca="1">+WORLDCUP!BD65</f>
        <v>Arabia Saudita</v>
      </c>
      <c r="H34" s="9" t="str">
        <f ca="1">+WORLDCUP!BD63</f>
        <v>Suecia</v>
      </c>
      <c r="I34" s="9" t="str">
        <f ca="1">+WORLDCUP!BD69</f>
        <v>Ghana</v>
      </c>
      <c r="J34" s="9" t="str">
        <f ca="1">+WORLDCUP!BD68</f>
        <v>RD Congo</v>
      </c>
      <c r="N34" s="16" t="s">
        <v>819</v>
      </c>
      <c r="O34" s="16">
        <v>33</v>
      </c>
      <c r="P34" s="16" t="s">
        <v>94</v>
      </c>
      <c r="Q34" s="16" t="s">
        <v>103</v>
      </c>
      <c r="R34" s="16" t="s">
        <v>121</v>
      </c>
      <c r="S34" s="16" t="s">
        <v>99</v>
      </c>
      <c r="T34" s="16" t="s">
        <v>117</v>
      </c>
      <c r="U34" s="16" t="s">
        <v>108</v>
      </c>
      <c r="V34" s="16" t="s">
        <v>135</v>
      </c>
      <c r="W34" s="16" t="s">
        <v>130</v>
      </c>
    </row>
    <row r="35" spans="1:23" x14ac:dyDescent="0.2">
      <c r="A35" s="9" t="s">
        <v>820</v>
      </c>
      <c r="B35" s="9">
        <f ca="1">+IF(A35=WORLDCUP!$BI$112,1,0)</f>
        <v>0</v>
      </c>
      <c r="C35" s="9" t="str">
        <f ca="1">+WORLDCUP!BD60</f>
        <v>Haití</v>
      </c>
      <c r="D35" s="9" t="str">
        <f ca="1">+WORLDCUP!BD67</f>
        <v>Argelia</v>
      </c>
      <c r="E35" s="9" t="str">
        <f ca="1">+WORLDCUP!BD62</f>
        <v>Curazao</v>
      </c>
      <c r="F35" s="9" t="str">
        <f ca="1">+WORLDCUP!BD61</f>
        <v>Australia</v>
      </c>
      <c r="G35" s="9" t="str">
        <f ca="1">+WORLDCUP!BD65</f>
        <v>Arabia Saudita</v>
      </c>
      <c r="H35" s="9" t="str">
        <f ca="1">+WORLDCUP!BD63</f>
        <v>Suecia</v>
      </c>
      <c r="I35" s="9" t="str">
        <f ca="1">+WORLDCUP!BD69</f>
        <v>Ghana</v>
      </c>
      <c r="J35" s="9" t="str">
        <f ca="1">+WORLDCUP!BD66</f>
        <v>Senegal</v>
      </c>
      <c r="N35" s="16" t="s">
        <v>820</v>
      </c>
      <c r="O35" s="16">
        <v>34</v>
      </c>
      <c r="P35" s="16" t="s">
        <v>94</v>
      </c>
      <c r="Q35" s="16" t="s">
        <v>126</v>
      </c>
      <c r="R35" s="16" t="s">
        <v>103</v>
      </c>
      <c r="S35" s="16" t="s">
        <v>99</v>
      </c>
      <c r="T35" s="16" t="s">
        <v>117</v>
      </c>
      <c r="U35" s="16" t="s">
        <v>108</v>
      </c>
      <c r="V35" s="16" t="s">
        <v>135</v>
      </c>
      <c r="W35" s="16" t="s">
        <v>121</v>
      </c>
    </row>
    <row r="36" spans="1:23" x14ac:dyDescent="0.2">
      <c r="A36" s="9" t="s">
        <v>821</v>
      </c>
      <c r="B36" s="9">
        <f ca="1">+IF(A36=WORLDCUP!$BI$112,1,0)</f>
        <v>0</v>
      </c>
      <c r="C36" s="9" t="str">
        <f ca="1">+WORLDCUP!BD60</f>
        <v>Haití</v>
      </c>
      <c r="D36" s="9" t="str">
        <f ca="1">+WORLDCUP!BD67</f>
        <v>Argelia</v>
      </c>
      <c r="E36" s="9" t="str">
        <f ca="1">+WORLDCUP!BD62</f>
        <v>Curazao</v>
      </c>
      <c r="F36" s="9" t="str">
        <f ca="1">+WORLDCUP!BD61</f>
        <v>Australia</v>
      </c>
      <c r="G36" s="9" t="str">
        <f ca="1">+WORLDCUP!BD65</f>
        <v>Arabia Saudita</v>
      </c>
      <c r="H36" s="9" t="str">
        <f ca="1">+WORLDCUP!BD63</f>
        <v>Suecia</v>
      </c>
      <c r="I36" s="9" t="str">
        <f ca="1">+WORLDCUP!BD66</f>
        <v>Senegal</v>
      </c>
      <c r="J36" s="9" t="str">
        <f ca="1">+WORLDCUP!BD68</f>
        <v>RD Congo</v>
      </c>
      <c r="N36" s="16" t="s">
        <v>821</v>
      </c>
      <c r="O36" s="16">
        <v>35</v>
      </c>
      <c r="P36" s="16" t="s">
        <v>94</v>
      </c>
      <c r="Q36" s="16" t="s">
        <v>126</v>
      </c>
      <c r="R36" s="16" t="s">
        <v>103</v>
      </c>
      <c r="S36" s="16" t="s">
        <v>99</v>
      </c>
      <c r="T36" s="16" t="s">
        <v>117</v>
      </c>
      <c r="U36" s="16" t="s">
        <v>108</v>
      </c>
      <c r="V36" s="16" t="s">
        <v>121</v>
      </c>
      <c r="W36" s="16" t="s">
        <v>130</v>
      </c>
    </row>
    <row r="37" spans="1:23" x14ac:dyDescent="0.2">
      <c r="A37" s="9" t="s">
        <v>822</v>
      </c>
      <c r="B37" s="9">
        <f ca="1">+IF(A37=WORLDCUP!$BI$112,1,0)</f>
        <v>0</v>
      </c>
      <c r="C37" s="9" t="str">
        <f ca="1">+WORLDCUP!BD60</f>
        <v>Haití</v>
      </c>
      <c r="D37" s="9" t="str">
        <f ca="1">+WORLDCUP!BD64</f>
        <v>Egipto</v>
      </c>
      <c r="E37" s="9" t="str">
        <f ca="1">+WORLDCUP!BD62</f>
        <v>Curazao</v>
      </c>
      <c r="F37" s="9" t="str">
        <f ca="1">+WORLDCUP!BD61</f>
        <v>Australia</v>
      </c>
      <c r="G37" s="9" t="str">
        <f ca="1">+WORLDCUP!BD67</f>
        <v>Argelia</v>
      </c>
      <c r="H37" s="9" t="str">
        <f ca="1">+WORLDCUP!BD63</f>
        <v>Suecia</v>
      </c>
      <c r="I37" s="9" t="str">
        <f ca="1">+WORLDCUP!BD69</f>
        <v>Ghana</v>
      </c>
      <c r="J37" s="9" t="str">
        <f ca="1">+WORLDCUP!BD68</f>
        <v>RD Congo</v>
      </c>
      <c r="N37" s="16" t="s">
        <v>822</v>
      </c>
      <c r="O37" s="16">
        <v>36</v>
      </c>
      <c r="P37" s="16" t="s">
        <v>94</v>
      </c>
      <c r="Q37" s="16" t="s">
        <v>112</v>
      </c>
      <c r="R37" s="16" t="s">
        <v>103</v>
      </c>
      <c r="S37" s="16" t="s">
        <v>99</v>
      </c>
      <c r="T37" s="16" t="s">
        <v>126</v>
      </c>
      <c r="U37" s="16" t="s">
        <v>108</v>
      </c>
      <c r="V37" s="16" t="s">
        <v>135</v>
      </c>
      <c r="W37" s="16" t="s">
        <v>130</v>
      </c>
    </row>
    <row r="38" spans="1:23" x14ac:dyDescent="0.2">
      <c r="A38" s="9" t="s">
        <v>823</v>
      </c>
      <c r="B38" s="9">
        <f ca="1">+IF(A38=WORLDCUP!$BI$112,1,0)</f>
        <v>0</v>
      </c>
      <c r="C38" s="9" t="str">
        <f ca="1">+WORLDCUP!BD60</f>
        <v>Haití</v>
      </c>
      <c r="D38" s="9" t="str">
        <f ca="1">+WORLDCUP!BD64</f>
        <v>Egipto</v>
      </c>
      <c r="E38" s="9" t="str">
        <f ca="1">+WORLDCUP!BD62</f>
        <v>Curazao</v>
      </c>
      <c r="F38" s="9" t="str">
        <f ca="1">+WORLDCUP!BD61</f>
        <v>Australia</v>
      </c>
      <c r="G38" s="9" t="str">
        <f ca="1">+WORLDCUP!BD66</f>
        <v>Senegal</v>
      </c>
      <c r="H38" s="9" t="str">
        <f ca="1">+WORLDCUP!BD63</f>
        <v>Suecia</v>
      </c>
      <c r="I38" s="9" t="str">
        <f ca="1">+WORLDCUP!BD69</f>
        <v>Ghana</v>
      </c>
      <c r="J38" s="9" t="str">
        <f ca="1">+WORLDCUP!BD68</f>
        <v>RD Congo</v>
      </c>
      <c r="N38" s="16" t="s">
        <v>823</v>
      </c>
      <c r="O38" s="16">
        <v>37</v>
      </c>
      <c r="P38" s="16" t="s">
        <v>94</v>
      </c>
      <c r="Q38" s="16" t="s">
        <v>112</v>
      </c>
      <c r="R38" s="16" t="s">
        <v>103</v>
      </c>
      <c r="S38" s="16" t="s">
        <v>99</v>
      </c>
      <c r="T38" s="16" t="s">
        <v>121</v>
      </c>
      <c r="U38" s="16" t="s">
        <v>108</v>
      </c>
      <c r="V38" s="16" t="s">
        <v>135</v>
      </c>
      <c r="W38" s="16" t="s">
        <v>130</v>
      </c>
    </row>
    <row r="39" spans="1:23" x14ac:dyDescent="0.2">
      <c r="A39" s="9" t="s">
        <v>824</v>
      </c>
      <c r="B39" s="9">
        <f ca="1">+IF(A39=WORLDCUP!$BI$112,1,0)</f>
        <v>0</v>
      </c>
      <c r="C39" s="9" t="str">
        <f ca="1">+WORLDCUP!BD60</f>
        <v>Haití</v>
      </c>
      <c r="D39" s="9" t="str">
        <f ca="1">+WORLDCUP!BD64</f>
        <v>Egipto</v>
      </c>
      <c r="E39" s="9" t="str">
        <f ca="1">+WORLDCUP!BD62</f>
        <v>Curazao</v>
      </c>
      <c r="F39" s="9" t="str">
        <f ca="1">+WORLDCUP!BD61</f>
        <v>Australia</v>
      </c>
      <c r="G39" s="9" t="str">
        <f ca="1">+WORLDCUP!BD67</f>
        <v>Argelia</v>
      </c>
      <c r="H39" s="9" t="str">
        <f ca="1">+WORLDCUP!BD63</f>
        <v>Suecia</v>
      </c>
      <c r="I39" s="9" t="str">
        <f ca="1">+WORLDCUP!BD69</f>
        <v>Ghana</v>
      </c>
      <c r="J39" s="9" t="str">
        <f ca="1">+WORLDCUP!BD66</f>
        <v>Senegal</v>
      </c>
      <c r="N39" s="16" t="s">
        <v>824</v>
      </c>
      <c r="O39" s="16">
        <v>38</v>
      </c>
      <c r="P39" s="16" t="s">
        <v>94</v>
      </c>
      <c r="Q39" s="16" t="s">
        <v>112</v>
      </c>
      <c r="R39" s="16" t="s">
        <v>103</v>
      </c>
      <c r="S39" s="16" t="s">
        <v>99</v>
      </c>
      <c r="T39" s="16" t="s">
        <v>126</v>
      </c>
      <c r="U39" s="16" t="s">
        <v>108</v>
      </c>
      <c r="V39" s="16" t="s">
        <v>135</v>
      </c>
      <c r="W39" s="16" t="s">
        <v>121</v>
      </c>
    </row>
    <row r="40" spans="1:23" x14ac:dyDescent="0.2">
      <c r="A40" s="9" t="s">
        <v>825</v>
      </c>
      <c r="B40" s="9">
        <f ca="1">+IF(A40=WORLDCUP!$BI$112,1,0)</f>
        <v>0</v>
      </c>
      <c r="C40" s="9" t="str">
        <f ca="1">+WORLDCUP!BD60</f>
        <v>Haití</v>
      </c>
      <c r="D40" s="9" t="str">
        <f ca="1">+WORLDCUP!BD64</f>
        <v>Egipto</v>
      </c>
      <c r="E40" s="9" t="str">
        <f ca="1">+WORLDCUP!BD62</f>
        <v>Curazao</v>
      </c>
      <c r="F40" s="9" t="str">
        <f ca="1">+WORLDCUP!BD61</f>
        <v>Australia</v>
      </c>
      <c r="G40" s="9" t="str">
        <f ca="1">+WORLDCUP!BD67</f>
        <v>Argelia</v>
      </c>
      <c r="H40" s="9" t="str">
        <f ca="1">+WORLDCUP!BD63</f>
        <v>Suecia</v>
      </c>
      <c r="I40" s="9" t="str">
        <f ca="1">+WORLDCUP!BD66</f>
        <v>Senegal</v>
      </c>
      <c r="J40" s="9" t="str">
        <f ca="1">+WORLDCUP!BD68</f>
        <v>RD Congo</v>
      </c>
      <c r="N40" s="16" t="s">
        <v>825</v>
      </c>
      <c r="O40" s="16">
        <v>39</v>
      </c>
      <c r="P40" s="16" t="s">
        <v>94</v>
      </c>
      <c r="Q40" s="16" t="s">
        <v>112</v>
      </c>
      <c r="R40" s="16" t="s">
        <v>103</v>
      </c>
      <c r="S40" s="16" t="s">
        <v>99</v>
      </c>
      <c r="T40" s="16" t="s">
        <v>126</v>
      </c>
      <c r="U40" s="16" t="s">
        <v>108</v>
      </c>
      <c r="V40" s="16" t="s">
        <v>121</v>
      </c>
      <c r="W40" s="16" t="s">
        <v>130</v>
      </c>
    </row>
    <row r="41" spans="1:23" x14ac:dyDescent="0.2">
      <c r="A41" s="9" t="s">
        <v>826</v>
      </c>
      <c r="B41" s="9">
        <f ca="1">+IF(A41=WORLDCUP!$BI$112,1,0)</f>
        <v>0</v>
      </c>
      <c r="C41" s="9" t="str">
        <f ca="1">+WORLDCUP!BD60</f>
        <v>Haití</v>
      </c>
      <c r="D41" s="9" t="str">
        <f ca="1">+WORLDCUP!BD64</f>
        <v>Egipto</v>
      </c>
      <c r="E41" s="9" t="str">
        <f ca="1">+WORLDCUP!BD62</f>
        <v>Curazao</v>
      </c>
      <c r="F41" s="9" t="str">
        <f ca="1">+WORLDCUP!BD61</f>
        <v>Australia</v>
      </c>
      <c r="G41" s="9" t="str">
        <f ca="1">+WORLDCUP!BD65</f>
        <v>Arabia Saudita</v>
      </c>
      <c r="H41" s="9" t="str">
        <f ca="1">+WORLDCUP!BD63</f>
        <v>Suecia</v>
      </c>
      <c r="I41" s="9" t="str">
        <f ca="1">+WORLDCUP!BD69</f>
        <v>Ghana</v>
      </c>
      <c r="J41" s="9" t="str">
        <f ca="1">+WORLDCUP!BD68</f>
        <v>RD Congo</v>
      </c>
      <c r="N41" s="16" t="s">
        <v>826</v>
      </c>
      <c r="O41" s="16">
        <v>40</v>
      </c>
      <c r="P41" s="16" t="s">
        <v>94</v>
      </c>
      <c r="Q41" s="16" t="s">
        <v>112</v>
      </c>
      <c r="R41" s="16" t="s">
        <v>103</v>
      </c>
      <c r="S41" s="16" t="s">
        <v>99</v>
      </c>
      <c r="T41" s="16" t="s">
        <v>117</v>
      </c>
      <c r="U41" s="16" t="s">
        <v>108</v>
      </c>
      <c r="V41" s="16" t="s">
        <v>135</v>
      </c>
      <c r="W41" s="16" t="s">
        <v>130</v>
      </c>
    </row>
    <row r="42" spans="1:23" x14ac:dyDescent="0.2">
      <c r="A42" s="9" t="s">
        <v>827</v>
      </c>
      <c r="B42" s="9">
        <f ca="1">+IF(A42=WORLDCUP!$BI$112,1,0)</f>
        <v>0</v>
      </c>
      <c r="C42" s="9" t="str">
        <f ca="1">+WORLDCUP!BD60</f>
        <v>Haití</v>
      </c>
      <c r="D42" s="9" t="str">
        <f ca="1">+WORLDCUP!BD64</f>
        <v>Egipto</v>
      </c>
      <c r="E42" s="9" t="str">
        <f ca="1">+WORLDCUP!BD67</f>
        <v>Argelia</v>
      </c>
      <c r="F42" s="9" t="str">
        <f ca="1">+WORLDCUP!BD61</f>
        <v>Australia</v>
      </c>
      <c r="G42" s="9" t="str">
        <f ca="1">+WORLDCUP!BD65</f>
        <v>Arabia Saudita</v>
      </c>
      <c r="H42" s="9" t="str">
        <f ca="1">+WORLDCUP!BD63</f>
        <v>Suecia</v>
      </c>
      <c r="I42" s="9" t="str">
        <f ca="1">+WORLDCUP!BD69</f>
        <v>Ghana</v>
      </c>
      <c r="J42" s="9" t="str">
        <f ca="1">+WORLDCUP!BD62</f>
        <v>Curazao</v>
      </c>
      <c r="N42" s="16" t="s">
        <v>827</v>
      </c>
      <c r="O42" s="16">
        <v>41</v>
      </c>
      <c r="P42" s="16" t="s">
        <v>94</v>
      </c>
      <c r="Q42" s="16" t="s">
        <v>112</v>
      </c>
      <c r="R42" s="16" t="s">
        <v>126</v>
      </c>
      <c r="S42" s="16" t="s">
        <v>99</v>
      </c>
      <c r="T42" s="16" t="s">
        <v>117</v>
      </c>
      <c r="U42" s="16" t="s">
        <v>108</v>
      </c>
      <c r="V42" s="16" t="s">
        <v>135</v>
      </c>
      <c r="W42" s="16" t="s">
        <v>103</v>
      </c>
    </row>
    <row r="43" spans="1:23" x14ac:dyDescent="0.2">
      <c r="A43" s="9" t="s">
        <v>828</v>
      </c>
      <c r="B43" s="9">
        <f ca="1">+IF(A43=WORLDCUP!$BI$112,1,0)</f>
        <v>0</v>
      </c>
      <c r="C43" s="9" t="str">
        <f ca="1">+WORLDCUP!BD60</f>
        <v>Haití</v>
      </c>
      <c r="D43" s="9" t="str">
        <f ca="1">+WORLDCUP!BD64</f>
        <v>Egipto</v>
      </c>
      <c r="E43" s="9" t="str">
        <f ca="1">+WORLDCUP!BD67</f>
        <v>Argelia</v>
      </c>
      <c r="F43" s="9" t="str">
        <f ca="1">+WORLDCUP!BD61</f>
        <v>Australia</v>
      </c>
      <c r="G43" s="9" t="str">
        <f ca="1">+WORLDCUP!BD65</f>
        <v>Arabia Saudita</v>
      </c>
      <c r="H43" s="9" t="str">
        <f ca="1">+WORLDCUP!BD63</f>
        <v>Suecia</v>
      </c>
      <c r="I43" s="9" t="str">
        <f ca="1">+WORLDCUP!BD62</f>
        <v>Curazao</v>
      </c>
      <c r="J43" s="9" t="str">
        <f ca="1">+WORLDCUP!BD68</f>
        <v>RD Congo</v>
      </c>
      <c r="N43" s="16" t="s">
        <v>828</v>
      </c>
      <c r="O43" s="16">
        <v>42</v>
      </c>
      <c r="P43" s="16" t="s">
        <v>94</v>
      </c>
      <c r="Q43" s="16" t="s">
        <v>112</v>
      </c>
      <c r="R43" s="16" t="s">
        <v>126</v>
      </c>
      <c r="S43" s="16" t="s">
        <v>99</v>
      </c>
      <c r="T43" s="16" t="s">
        <v>117</v>
      </c>
      <c r="U43" s="16" t="s">
        <v>108</v>
      </c>
      <c r="V43" s="16" t="s">
        <v>103</v>
      </c>
      <c r="W43" s="16" t="s">
        <v>130</v>
      </c>
    </row>
    <row r="44" spans="1:23" x14ac:dyDescent="0.2">
      <c r="A44" s="9" t="s">
        <v>829</v>
      </c>
      <c r="B44" s="9">
        <f ca="1">+IF(A44=WORLDCUP!$BI$112,1,0)</f>
        <v>0</v>
      </c>
      <c r="C44" s="9" t="str">
        <f ca="1">+WORLDCUP!BD60</f>
        <v>Haití</v>
      </c>
      <c r="D44" s="9" t="str">
        <f ca="1">+WORLDCUP!BD64</f>
        <v>Egipto</v>
      </c>
      <c r="E44" s="9" t="str">
        <f ca="1">+WORLDCUP!BD62</f>
        <v>Curazao</v>
      </c>
      <c r="F44" s="9" t="str">
        <f ca="1">+WORLDCUP!BD61</f>
        <v>Australia</v>
      </c>
      <c r="G44" s="9" t="str">
        <f ca="1">+WORLDCUP!BD65</f>
        <v>Arabia Saudita</v>
      </c>
      <c r="H44" s="9" t="str">
        <f ca="1">+WORLDCUP!BD63</f>
        <v>Suecia</v>
      </c>
      <c r="I44" s="9" t="str">
        <f ca="1">+WORLDCUP!BD69</f>
        <v>Ghana</v>
      </c>
      <c r="J44" s="9" t="str">
        <f ca="1">+WORLDCUP!BD66</f>
        <v>Senegal</v>
      </c>
      <c r="N44" s="16" t="s">
        <v>829</v>
      </c>
      <c r="O44" s="16">
        <v>43</v>
      </c>
      <c r="P44" s="16" t="s">
        <v>94</v>
      </c>
      <c r="Q44" s="16" t="s">
        <v>112</v>
      </c>
      <c r="R44" s="16" t="s">
        <v>103</v>
      </c>
      <c r="S44" s="16" t="s">
        <v>99</v>
      </c>
      <c r="T44" s="16" t="s">
        <v>117</v>
      </c>
      <c r="U44" s="16" t="s">
        <v>108</v>
      </c>
      <c r="V44" s="16" t="s">
        <v>135</v>
      </c>
      <c r="W44" s="16" t="s">
        <v>121</v>
      </c>
    </row>
    <row r="45" spans="1:23" x14ac:dyDescent="0.2">
      <c r="A45" s="9" t="s">
        <v>830</v>
      </c>
      <c r="B45" s="9">
        <f ca="1">+IF(A45=WORLDCUP!$BI$112,1,0)</f>
        <v>0</v>
      </c>
      <c r="C45" s="9" t="str">
        <f ca="1">+WORLDCUP!BD60</f>
        <v>Haití</v>
      </c>
      <c r="D45" s="9" t="str">
        <f ca="1">+WORLDCUP!BD64</f>
        <v>Egipto</v>
      </c>
      <c r="E45" s="9" t="str">
        <f ca="1">+WORLDCUP!BD62</f>
        <v>Curazao</v>
      </c>
      <c r="F45" s="9" t="str">
        <f ca="1">+WORLDCUP!BD61</f>
        <v>Australia</v>
      </c>
      <c r="G45" s="9" t="str">
        <f ca="1">+WORLDCUP!BD65</f>
        <v>Arabia Saudita</v>
      </c>
      <c r="H45" s="9" t="str">
        <f ca="1">+WORLDCUP!BD63</f>
        <v>Suecia</v>
      </c>
      <c r="I45" s="9" t="str">
        <f ca="1">+WORLDCUP!BD66</f>
        <v>Senegal</v>
      </c>
      <c r="J45" s="9" t="str">
        <f ca="1">+WORLDCUP!BD68</f>
        <v>RD Congo</v>
      </c>
      <c r="N45" s="16" t="s">
        <v>830</v>
      </c>
      <c r="O45" s="16">
        <v>44</v>
      </c>
      <c r="P45" s="16" t="s">
        <v>94</v>
      </c>
      <c r="Q45" s="16" t="s">
        <v>112</v>
      </c>
      <c r="R45" s="16" t="s">
        <v>103</v>
      </c>
      <c r="S45" s="16" t="s">
        <v>99</v>
      </c>
      <c r="T45" s="16" t="s">
        <v>117</v>
      </c>
      <c r="U45" s="16" t="s">
        <v>108</v>
      </c>
      <c r="V45" s="16" t="s">
        <v>121</v>
      </c>
      <c r="W45" s="16" t="s">
        <v>130</v>
      </c>
    </row>
    <row r="46" spans="1:23" x14ac:dyDescent="0.2">
      <c r="A46" s="9" t="s">
        <v>831</v>
      </c>
      <c r="B46" s="9">
        <f ca="1">+IF(A46=WORLDCUP!$BI$112,1,0)</f>
        <v>0</v>
      </c>
      <c r="C46" s="9" t="str">
        <f ca="1">+WORLDCUP!BD60</f>
        <v>Haití</v>
      </c>
      <c r="D46" s="9" t="str">
        <f ca="1">+WORLDCUP!BD64</f>
        <v>Egipto</v>
      </c>
      <c r="E46" s="9" t="str">
        <f ca="1">+WORLDCUP!BD67</f>
        <v>Argelia</v>
      </c>
      <c r="F46" s="9" t="str">
        <f ca="1">+WORLDCUP!BD61</f>
        <v>Australia</v>
      </c>
      <c r="G46" s="9" t="str">
        <f ca="1">+WORLDCUP!BD65</f>
        <v>Arabia Saudita</v>
      </c>
      <c r="H46" s="9" t="str">
        <f ca="1">+WORLDCUP!BD63</f>
        <v>Suecia</v>
      </c>
      <c r="I46" s="9" t="str">
        <f ca="1">+WORLDCUP!BD62</f>
        <v>Curazao</v>
      </c>
      <c r="J46" s="9" t="str">
        <f ca="1">+WORLDCUP!BD66</f>
        <v>Senegal</v>
      </c>
      <c r="N46" s="16" t="s">
        <v>831</v>
      </c>
      <c r="O46" s="16">
        <v>45</v>
      </c>
      <c r="P46" s="16" t="s">
        <v>94</v>
      </c>
      <c r="Q46" s="16" t="s">
        <v>112</v>
      </c>
      <c r="R46" s="16" t="s">
        <v>126</v>
      </c>
      <c r="S46" s="16" t="s">
        <v>99</v>
      </c>
      <c r="T46" s="16" t="s">
        <v>117</v>
      </c>
      <c r="U46" s="16" t="s">
        <v>108</v>
      </c>
      <c r="V46" s="16" t="s">
        <v>103</v>
      </c>
      <c r="W46" s="16" t="s">
        <v>121</v>
      </c>
    </row>
    <row r="47" spans="1:23" x14ac:dyDescent="0.2">
      <c r="A47" s="9" t="s">
        <v>832</v>
      </c>
      <c r="B47" s="9">
        <f ca="1">+IF(A47=WORLDCUP!$BI$112,1,0)</f>
        <v>0</v>
      </c>
      <c r="C47" s="9" t="str">
        <f ca="1">+WORLDCUP!BD65</f>
        <v>Arabia Saudita</v>
      </c>
      <c r="D47" s="9" t="str">
        <f ca="1">+WORLDCUP!BD67</f>
        <v>Argelia</v>
      </c>
      <c r="E47" s="9" t="str">
        <f ca="1">+WORLDCUP!BD59</f>
        <v>Catar</v>
      </c>
      <c r="F47" s="9" t="str">
        <f ca="1">+WORLDCUP!BD63</f>
        <v>Suecia</v>
      </c>
      <c r="G47" s="9" t="str">
        <f ca="1">+WORLDCUP!BD66</f>
        <v>Senegal</v>
      </c>
      <c r="H47" s="9" t="str">
        <f ca="1">+WORLDCUP!BD64</f>
        <v>Egipto</v>
      </c>
      <c r="I47" s="9" t="str">
        <f ca="1">+WORLDCUP!BD69</f>
        <v>Ghana</v>
      </c>
      <c r="J47" s="9" t="str">
        <f ca="1">+WORLDCUP!BD68</f>
        <v>RD Congo</v>
      </c>
      <c r="N47" s="16" t="s">
        <v>832</v>
      </c>
      <c r="O47" s="16">
        <v>46</v>
      </c>
      <c r="P47" s="16" t="s">
        <v>117</v>
      </c>
      <c r="Q47" s="16" t="s">
        <v>126</v>
      </c>
      <c r="R47" s="16" t="s">
        <v>90</v>
      </c>
      <c r="S47" s="16" t="s">
        <v>108</v>
      </c>
      <c r="T47" s="16" t="s">
        <v>121</v>
      </c>
      <c r="U47" s="16" t="s">
        <v>112</v>
      </c>
      <c r="V47" s="16" t="s">
        <v>135</v>
      </c>
      <c r="W47" s="16" t="s">
        <v>130</v>
      </c>
    </row>
    <row r="48" spans="1:23" x14ac:dyDescent="0.2">
      <c r="A48" s="9" t="s">
        <v>833</v>
      </c>
      <c r="B48" s="9">
        <f ca="1">+IF(A48=WORLDCUP!$BI$112,1,0)</f>
        <v>0</v>
      </c>
      <c r="C48" s="9" t="str">
        <f ca="1">+WORLDCUP!BD62</f>
        <v>Curazao</v>
      </c>
      <c r="D48" s="9" t="str">
        <f ca="1">+WORLDCUP!BD67</f>
        <v>Argelia</v>
      </c>
      <c r="E48" s="9" t="str">
        <f ca="1">+WORLDCUP!BD66</f>
        <v>Senegal</v>
      </c>
      <c r="F48" s="9" t="str">
        <f ca="1">+WORLDCUP!BD59</f>
        <v>Catar</v>
      </c>
      <c r="G48" s="9" t="str">
        <f ca="1">+WORLDCUP!BD65</f>
        <v>Arabia Saudita</v>
      </c>
      <c r="H48" s="9" t="str">
        <f ca="1">+WORLDCUP!BD64</f>
        <v>Egipto</v>
      </c>
      <c r="I48" s="9" t="str">
        <f ca="1">+WORLDCUP!BD69</f>
        <v>Ghana</v>
      </c>
      <c r="J48" s="9" t="str">
        <f ca="1">+WORLDCUP!BD68</f>
        <v>RD Congo</v>
      </c>
      <c r="N48" s="16" t="s">
        <v>833</v>
      </c>
      <c r="O48" s="16">
        <v>47</v>
      </c>
      <c r="P48" s="16" t="s">
        <v>103</v>
      </c>
      <c r="Q48" s="16" t="s">
        <v>126</v>
      </c>
      <c r="R48" s="16" t="s">
        <v>121</v>
      </c>
      <c r="S48" s="16" t="s">
        <v>90</v>
      </c>
      <c r="T48" s="16" t="s">
        <v>117</v>
      </c>
      <c r="U48" s="16" t="s">
        <v>112</v>
      </c>
      <c r="V48" s="16" t="s">
        <v>135</v>
      </c>
      <c r="W48" s="16" t="s">
        <v>130</v>
      </c>
    </row>
    <row r="49" spans="1:23" x14ac:dyDescent="0.2">
      <c r="A49" s="9" t="s">
        <v>834</v>
      </c>
      <c r="B49" s="9">
        <f ca="1">+IF(A49=WORLDCUP!$BI$112,1,0)</f>
        <v>0</v>
      </c>
      <c r="C49" s="9" t="str">
        <f ca="1">+WORLDCUP!BD62</f>
        <v>Curazao</v>
      </c>
      <c r="D49" s="9" t="str">
        <f ca="1">+WORLDCUP!BD67</f>
        <v>Argelia</v>
      </c>
      <c r="E49" s="9" t="str">
        <f ca="1">+WORLDCUP!BD59</f>
        <v>Catar</v>
      </c>
      <c r="F49" s="9" t="str">
        <f ca="1">+WORLDCUP!BD63</f>
        <v>Suecia</v>
      </c>
      <c r="G49" s="9" t="str">
        <f ca="1">+WORLDCUP!BD66</f>
        <v>Senegal</v>
      </c>
      <c r="H49" s="9" t="str">
        <f ca="1">+WORLDCUP!BD65</f>
        <v>Arabia Saudita</v>
      </c>
      <c r="I49" s="9" t="str">
        <f ca="1">+WORLDCUP!BD69</f>
        <v>Ghana</v>
      </c>
      <c r="J49" s="9" t="str">
        <f ca="1">+WORLDCUP!BD68</f>
        <v>RD Congo</v>
      </c>
      <c r="N49" s="16" t="s">
        <v>834</v>
      </c>
      <c r="O49" s="16">
        <v>48</v>
      </c>
      <c r="P49" s="16" t="s">
        <v>103</v>
      </c>
      <c r="Q49" s="16" t="s">
        <v>126</v>
      </c>
      <c r="R49" s="16" t="s">
        <v>90</v>
      </c>
      <c r="S49" s="16" t="s">
        <v>108</v>
      </c>
      <c r="T49" s="16" t="s">
        <v>121</v>
      </c>
      <c r="U49" s="16" t="s">
        <v>117</v>
      </c>
      <c r="V49" s="16" t="s">
        <v>135</v>
      </c>
      <c r="W49" s="16" t="s">
        <v>130</v>
      </c>
    </row>
    <row r="50" spans="1:23" x14ac:dyDescent="0.2">
      <c r="A50" s="9" t="s">
        <v>835</v>
      </c>
      <c r="B50" s="9">
        <f ca="1">+IF(A50=WORLDCUP!$BI$112,1,0)</f>
        <v>0</v>
      </c>
      <c r="C50" s="9" t="str">
        <f ca="1">+WORLDCUP!BD62</f>
        <v>Curazao</v>
      </c>
      <c r="D50" s="9" t="str">
        <f ca="1">+WORLDCUP!BD67</f>
        <v>Argelia</v>
      </c>
      <c r="E50" s="9" t="str">
        <f ca="1">+WORLDCUP!BD59</f>
        <v>Catar</v>
      </c>
      <c r="F50" s="9" t="str">
        <f ca="1">+WORLDCUP!BD63</f>
        <v>Suecia</v>
      </c>
      <c r="G50" s="9" t="str">
        <f ca="1">+WORLDCUP!BD66</f>
        <v>Senegal</v>
      </c>
      <c r="H50" s="9" t="str">
        <f ca="1">+WORLDCUP!BD64</f>
        <v>Egipto</v>
      </c>
      <c r="I50" s="9" t="str">
        <f ca="1">+WORLDCUP!BD69</f>
        <v>Ghana</v>
      </c>
      <c r="J50" s="9" t="str">
        <f ca="1">+WORLDCUP!BD68</f>
        <v>RD Congo</v>
      </c>
      <c r="N50" s="16" t="s">
        <v>835</v>
      </c>
      <c r="O50" s="16">
        <v>49</v>
      </c>
      <c r="P50" s="16" t="s">
        <v>103</v>
      </c>
      <c r="Q50" s="16" t="s">
        <v>126</v>
      </c>
      <c r="R50" s="16" t="s">
        <v>90</v>
      </c>
      <c r="S50" s="16" t="s">
        <v>108</v>
      </c>
      <c r="T50" s="16" t="s">
        <v>121</v>
      </c>
      <c r="U50" s="16" t="s">
        <v>112</v>
      </c>
      <c r="V50" s="16" t="s">
        <v>135</v>
      </c>
      <c r="W50" s="16" t="s">
        <v>130</v>
      </c>
    </row>
    <row r="51" spans="1:23" x14ac:dyDescent="0.2">
      <c r="A51" s="9" t="s">
        <v>836</v>
      </c>
      <c r="B51" s="9">
        <f ca="1">+IF(A51=WORLDCUP!$BI$112,1,0)</f>
        <v>0</v>
      </c>
      <c r="C51" s="9" t="str">
        <f ca="1">+WORLDCUP!BD62</f>
        <v>Curazao</v>
      </c>
      <c r="D51" s="9" t="str">
        <f ca="1">+WORLDCUP!BD67</f>
        <v>Argelia</v>
      </c>
      <c r="E51" s="9" t="str">
        <f ca="1">+WORLDCUP!BD59</f>
        <v>Catar</v>
      </c>
      <c r="F51" s="9" t="str">
        <f ca="1">+WORLDCUP!BD63</f>
        <v>Suecia</v>
      </c>
      <c r="G51" s="9" t="str">
        <f ca="1">+WORLDCUP!BD65</f>
        <v>Arabia Saudita</v>
      </c>
      <c r="H51" s="9" t="str">
        <f ca="1">+WORLDCUP!BD64</f>
        <v>Egipto</v>
      </c>
      <c r="I51" s="9" t="str">
        <f ca="1">+WORLDCUP!BD69</f>
        <v>Ghana</v>
      </c>
      <c r="J51" s="9" t="str">
        <f ca="1">+WORLDCUP!BD68</f>
        <v>RD Congo</v>
      </c>
      <c r="N51" s="16" t="s">
        <v>836</v>
      </c>
      <c r="O51" s="16">
        <v>50</v>
      </c>
      <c r="P51" s="16" t="s">
        <v>103</v>
      </c>
      <c r="Q51" s="16" t="s">
        <v>126</v>
      </c>
      <c r="R51" s="16" t="s">
        <v>90</v>
      </c>
      <c r="S51" s="16" t="s">
        <v>108</v>
      </c>
      <c r="T51" s="16" t="s">
        <v>117</v>
      </c>
      <c r="U51" s="16" t="s">
        <v>112</v>
      </c>
      <c r="V51" s="16" t="s">
        <v>135</v>
      </c>
      <c r="W51" s="16" t="s">
        <v>130</v>
      </c>
    </row>
    <row r="52" spans="1:23" x14ac:dyDescent="0.2">
      <c r="A52" s="9" t="s">
        <v>837</v>
      </c>
      <c r="B52" s="9">
        <f ca="1">+IF(A52=WORLDCUP!$BI$112,1,0)</f>
        <v>0</v>
      </c>
      <c r="C52" s="9" t="str">
        <f ca="1">+WORLDCUP!BD62</f>
        <v>Curazao</v>
      </c>
      <c r="D52" s="9" t="str">
        <f ca="1">+WORLDCUP!BD64</f>
        <v>Egipto</v>
      </c>
      <c r="E52" s="9" t="str">
        <f ca="1">+WORLDCUP!BD59</f>
        <v>Catar</v>
      </c>
      <c r="F52" s="9" t="str">
        <f ca="1">+WORLDCUP!BD63</f>
        <v>Suecia</v>
      </c>
      <c r="G52" s="9" t="str">
        <f ca="1">+WORLDCUP!BD66</f>
        <v>Senegal</v>
      </c>
      <c r="H52" s="9" t="str">
        <f ca="1">+WORLDCUP!BD65</f>
        <v>Arabia Saudita</v>
      </c>
      <c r="I52" s="9" t="str">
        <f ca="1">+WORLDCUP!BD69</f>
        <v>Ghana</v>
      </c>
      <c r="J52" s="9" t="str">
        <f ca="1">+WORLDCUP!BD68</f>
        <v>RD Congo</v>
      </c>
      <c r="N52" s="16" t="s">
        <v>837</v>
      </c>
      <c r="O52" s="16">
        <v>51</v>
      </c>
      <c r="P52" s="16" t="s">
        <v>103</v>
      </c>
      <c r="Q52" s="16" t="s">
        <v>112</v>
      </c>
      <c r="R52" s="16" t="s">
        <v>90</v>
      </c>
      <c r="S52" s="16" t="s">
        <v>108</v>
      </c>
      <c r="T52" s="16" t="s">
        <v>121</v>
      </c>
      <c r="U52" s="16" t="s">
        <v>117</v>
      </c>
      <c r="V52" s="16" t="s">
        <v>135</v>
      </c>
      <c r="W52" s="16" t="s">
        <v>130</v>
      </c>
    </row>
    <row r="53" spans="1:23" x14ac:dyDescent="0.2">
      <c r="A53" s="9" t="s">
        <v>838</v>
      </c>
      <c r="B53" s="9">
        <f ca="1">+IF(A53=WORLDCUP!$BI$112,1,0)</f>
        <v>0</v>
      </c>
      <c r="C53" s="9" t="str">
        <f ca="1">+WORLDCUP!BD62</f>
        <v>Curazao</v>
      </c>
      <c r="D53" s="9" t="str">
        <f ca="1">+WORLDCUP!BD67</f>
        <v>Argelia</v>
      </c>
      <c r="E53" s="9" t="str">
        <f ca="1">+WORLDCUP!BD59</f>
        <v>Catar</v>
      </c>
      <c r="F53" s="9" t="str">
        <f ca="1">+WORLDCUP!BD63</f>
        <v>Suecia</v>
      </c>
      <c r="G53" s="9" t="str">
        <f ca="1">+WORLDCUP!BD65</f>
        <v>Arabia Saudita</v>
      </c>
      <c r="H53" s="9" t="str">
        <f ca="1">+WORLDCUP!BD64</f>
        <v>Egipto</v>
      </c>
      <c r="I53" s="9" t="str">
        <f ca="1">+WORLDCUP!BD69</f>
        <v>Ghana</v>
      </c>
      <c r="J53" s="9" t="str">
        <f ca="1">+WORLDCUP!BD66</f>
        <v>Senegal</v>
      </c>
      <c r="N53" s="16" t="s">
        <v>838</v>
      </c>
      <c r="O53" s="16">
        <v>52</v>
      </c>
      <c r="P53" s="16" t="s">
        <v>103</v>
      </c>
      <c r="Q53" s="16" t="s">
        <v>126</v>
      </c>
      <c r="R53" s="16" t="s">
        <v>90</v>
      </c>
      <c r="S53" s="16" t="s">
        <v>108</v>
      </c>
      <c r="T53" s="16" t="s">
        <v>117</v>
      </c>
      <c r="U53" s="16" t="s">
        <v>112</v>
      </c>
      <c r="V53" s="16" t="s">
        <v>135</v>
      </c>
      <c r="W53" s="16" t="s">
        <v>121</v>
      </c>
    </row>
    <row r="54" spans="1:23" x14ac:dyDescent="0.2">
      <c r="A54" s="9" t="s">
        <v>839</v>
      </c>
      <c r="B54" s="9">
        <f ca="1">+IF(A54=WORLDCUP!$BI$112,1,0)</f>
        <v>0</v>
      </c>
      <c r="C54" s="9" t="str">
        <f ca="1">+WORLDCUP!BD62</f>
        <v>Curazao</v>
      </c>
      <c r="D54" s="9" t="str">
        <f ca="1">+WORLDCUP!BD67</f>
        <v>Argelia</v>
      </c>
      <c r="E54" s="9" t="str">
        <f ca="1">+WORLDCUP!BD59</f>
        <v>Catar</v>
      </c>
      <c r="F54" s="9" t="str">
        <f ca="1">+WORLDCUP!BD63</f>
        <v>Suecia</v>
      </c>
      <c r="G54" s="9" t="str">
        <f ca="1">+WORLDCUP!BD65</f>
        <v>Arabia Saudita</v>
      </c>
      <c r="H54" s="9" t="str">
        <f ca="1">+WORLDCUP!BD64</f>
        <v>Egipto</v>
      </c>
      <c r="I54" s="9" t="str">
        <f ca="1">+WORLDCUP!BD66</f>
        <v>Senegal</v>
      </c>
      <c r="J54" s="9" t="str">
        <f ca="1">+WORLDCUP!BD68</f>
        <v>RD Congo</v>
      </c>
      <c r="N54" s="16" t="s">
        <v>839</v>
      </c>
      <c r="O54" s="16">
        <v>53</v>
      </c>
      <c r="P54" s="16" t="s">
        <v>103</v>
      </c>
      <c r="Q54" s="16" t="s">
        <v>126</v>
      </c>
      <c r="R54" s="16" t="s">
        <v>90</v>
      </c>
      <c r="S54" s="16" t="s">
        <v>108</v>
      </c>
      <c r="T54" s="16" t="s">
        <v>117</v>
      </c>
      <c r="U54" s="16" t="s">
        <v>112</v>
      </c>
      <c r="V54" s="16" t="s">
        <v>121</v>
      </c>
      <c r="W54" s="16" t="s">
        <v>130</v>
      </c>
    </row>
    <row r="55" spans="1:23" x14ac:dyDescent="0.2">
      <c r="A55" s="9" t="s">
        <v>840</v>
      </c>
      <c r="B55" s="9">
        <f ca="1">+IF(A55=WORLDCUP!$BI$112,1,0)</f>
        <v>0</v>
      </c>
      <c r="C55" s="9" t="str">
        <f ca="1">+WORLDCUP!BD65</f>
        <v>Arabia Saudita</v>
      </c>
      <c r="D55" s="9" t="str">
        <f ca="1">+WORLDCUP!BD67</f>
        <v>Argelia</v>
      </c>
      <c r="E55" s="9" t="str">
        <f ca="1">+WORLDCUP!BD59</f>
        <v>Catar</v>
      </c>
      <c r="F55" s="9" t="str">
        <f ca="1">+WORLDCUP!BD61</f>
        <v>Australia</v>
      </c>
      <c r="G55" s="9" t="str">
        <f ca="1">+WORLDCUP!BD66</f>
        <v>Senegal</v>
      </c>
      <c r="H55" s="9" t="str">
        <f ca="1">+WORLDCUP!BD64</f>
        <v>Egipto</v>
      </c>
      <c r="I55" s="9" t="str">
        <f ca="1">+WORLDCUP!BD69</f>
        <v>Ghana</v>
      </c>
      <c r="J55" s="9" t="str">
        <f ca="1">+WORLDCUP!BD68</f>
        <v>RD Congo</v>
      </c>
      <c r="N55" s="16" t="s">
        <v>840</v>
      </c>
      <c r="O55" s="16">
        <v>54</v>
      </c>
      <c r="P55" s="16" t="s">
        <v>117</v>
      </c>
      <c r="Q55" s="16" t="s">
        <v>126</v>
      </c>
      <c r="R55" s="16" t="s">
        <v>90</v>
      </c>
      <c r="S55" s="16" t="s">
        <v>99</v>
      </c>
      <c r="T55" s="16" t="s">
        <v>121</v>
      </c>
      <c r="U55" s="16" t="s">
        <v>112</v>
      </c>
      <c r="V55" s="16" t="s">
        <v>135</v>
      </c>
      <c r="W55" s="16" t="s">
        <v>130</v>
      </c>
    </row>
    <row r="56" spans="1:23" x14ac:dyDescent="0.2">
      <c r="A56" s="9" t="s">
        <v>841</v>
      </c>
      <c r="B56" s="9">
        <f ca="1">+IF(A56=WORLDCUP!$BI$112,1,0)</f>
        <v>0</v>
      </c>
      <c r="C56" s="9" t="str">
        <f ca="1">+WORLDCUP!BD65</f>
        <v>Arabia Saudita</v>
      </c>
      <c r="D56" s="9" t="str">
        <f ca="1">+WORLDCUP!BD67</f>
        <v>Argelia</v>
      </c>
      <c r="E56" s="9" t="str">
        <f ca="1">+WORLDCUP!BD59</f>
        <v>Catar</v>
      </c>
      <c r="F56" s="9" t="str">
        <f ca="1">+WORLDCUP!BD61</f>
        <v>Australia</v>
      </c>
      <c r="G56" s="9" t="str">
        <f ca="1">+WORLDCUP!BD66</f>
        <v>Senegal</v>
      </c>
      <c r="H56" s="9" t="str">
        <f ca="1">+WORLDCUP!BD63</f>
        <v>Suecia</v>
      </c>
      <c r="I56" s="9" t="str">
        <f ca="1">+WORLDCUP!BD69</f>
        <v>Ghana</v>
      </c>
      <c r="J56" s="9" t="str">
        <f ca="1">+WORLDCUP!BD68</f>
        <v>RD Congo</v>
      </c>
      <c r="N56" s="16" t="s">
        <v>841</v>
      </c>
      <c r="O56" s="16">
        <v>55</v>
      </c>
      <c r="P56" s="16" t="s">
        <v>117</v>
      </c>
      <c r="Q56" s="16" t="s">
        <v>126</v>
      </c>
      <c r="R56" s="16" t="s">
        <v>90</v>
      </c>
      <c r="S56" s="16" t="s">
        <v>99</v>
      </c>
      <c r="T56" s="16" t="s">
        <v>121</v>
      </c>
      <c r="U56" s="16" t="s">
        <v>108</v>
      </c>
      <c r="V56" s="16" t="s">
        <v>135</v>
      </c>
      <c r="W56" s="16" t="s">
        <v>130</v>
      </c>
    </row>
    <row r="57" spans="1:23" x14ac:dyDescent="0.2">
      <c r="A57" s="9" t="s">
        <v>842</v>
      </c>
      <c r="B57" s="9">
        <f ca="1">+IF(A57=WORLDCUP!$BI$112,1,0)</f>
        <v>0</v>
      </c>
      <c r="C57" s="9" t="str">
        <f ca="1">+WORLDCUP!BD66</f>
        <v>Senegal</v>
      </c>
      <c r="D57" s="9" t="str">
        <f ca="1">+WORLDCUP!BD64</f>
        <v>Egipto</v>
      </c>
      <c r="E57" s="9" t="str">
        <f ca="1">+WORLDCUP!BD59</f>
        <v>Catar</v>
      </c>
      <c r="F57" s="9" t="str">
        <f ca="1">+WORLDCUP!BD61</f>
        <v>Australia</v>
      </c>
      <c r="G57" s="9" t="str">
        <f ca="1">+WORLDCUP!BD67</f>
        <v>Argelia</v>
      </c>
      <c r="H57" s="9" t="str">
        <f ca="1">+WORLDCUP!BD63</f>
        <v>Suecia</v>
      </c>
      <c r="I57" s="9" t="str">
        <f ca="1">+WORLDCUP!BD69</f>
        <v>Ghana</v>
      </c>
      <c r="J57" s="9" t="str">
        <f ca="1">+WORLDCUP!BD68</f>
        <v>RD Congo</v>
      </c>
      <c r="N57" s="16" t="s">
        <v>842</v>
      </c>
      <c r="O57" s="16">
        <v>56</v>
      </c>
      <c r="P57" s="16" t="s">
        <v>121</v>
      </c>
      <c r="Q57" s="16" t="s">
        <v>112</v>
      </c>
      <c r="R57" s="16" t="s">
        <v>90</v>
      </c>
      <c r="S57" s="16" t="s">
        <v>99</v>
      </c>
      <c r="T57" s="16" t="s">
        <v>126</v>
      </c>
      <c r="U57" s="16" t="s">
        <v>108</v>
      </c>
      <c r="V57" s="16" t="s">
        <v>135</v>
      </c>
      <c r="W57" s="16" t="s">
        <v>130</v>
      </c>
    </row>
    <row r="58" spans="1:23" x14ac:dyDescent="0.2">
      <c r="A58" s="9" t="s">
        <v>843</v>
      </c>
      <c r="B58" s="9">
        <f ca="1">+IF(A58=WORLDCUP!$BI$112,1,0)</f>
        <v>0</v>
      </c>
      <c r="C58" s="9" t="str">
        <f ca="1">+WORLDCUP!BD65</f>
        <v>Arabia Saudita</v>
      </c>
      <c r="D58" s="9" t="str">
        <f ca="1">+WORLDCUP!BD64</f>
        <v>Egipto</v>
      </c>
      <c r="E58" s="9" t="str">
        <f ca="1">+WORLDCUP!BD59</f>
        <v>Catar</v>
      </c>
      <c r="F58" s="9" t="str">
        <f ca="1">+WORLDCUP!BD61</f>
        <v>Australia</v>
      </c>
      <c r="G58" s="9" t="str">
        <f ca="1">+WORLDCUP!BD67</f>
        <v>Argelia</v>
      </c>
      <c r="H58" s="9" t="str">
        <f ca="1">+WORLDCUP!BD63</f>
        <v>Suecia</v>
      </c>
      <c r="I58" s="9" t="str">
        <f ca="1">+WORLDCUP!BD69</f>
        <v>Ghana</v>
      </c>
      <c r="J58" s="9" t="str">
        <f ca="1">+WORLDCUP!BD68</f>
        <v>RD Congo</v>
      </c>
      <c r="N58" s="16" t="s">
        <v>843</v>
      </c>
      <c r="O58" s="16">
        <v>57</v>
      </c>
      <c r="P58" s="16" t="s">
        <v>117</v>
      </c>
      <c r="Q58" s="16" t="s">
        <v>112</v>
      </c>
      <c r="R58" s="16" t="s">
        <v>90</v>
      </c>
      <c r="S58" s="16" t="s">
        <v>99</v>
      </c>
      <c r="T58" s="16" t="s">
        <v>126</v>
      </c>
      <c r="U58" s="16" t="s">
        <v>108</v>
      </c>
      <c r="V58" s="16" t="s">
        <v>135</v>
      </c>
      <c r="W58" s="16" t="s">
        <v>130</v>
      </c>
    </row>
    <row r="59" spans="1:23" x14ac:dyDescent="0.2">
      <c r="A59" s="9" t="s">
        <v>844</v>
      </c>
      <c r="B59" s="9">
        <f ca="1">+IF(A59=WORLDCUP!$BI$112,1,0)</f>
        <v>0</v>
      </c>
      <c r="C59" s="9" t="str">
        <f ca="1">+WORLDCUP!BD65</f>
        <v>Arabia Saudita</v>
      </c>
      <c r="D59" s="9" t="str">
        <f ca="1">+WORLDCUP!BD64</f>
        <v>Egipto</v>
      </c>
      <c r="E59" s="9" t="str">
        <f ca="1">+WORLDCUP!BD59</f>
        <v>Catar</v>
      </c>
      <c r="F59" s="9" t="str">
        <f ca="1">+WORLDCUP!BD61</f>
        <v>Australia</v>
      </c>
      <c r="G59" s="9" t="str">
        <f ca="1">+WORLDCUP!BD66</f>
        <v>Senegal</v>
      </c>
      <c r="H59" s="9" t="str">
        <f ca="1">+WORLDCUP!BD63</f>
        <v>Suecia</v>
      </c>
      <c r="I59" s="9" t="str">
        <f ca="1">+WORLDCUP!BD69</f>
        <v>Ghana</v>
      </c>
      <c r="J59" s="9" t="str">
        <f ca="1">+WORLDCUP!BD68</f>
        <v>RD Congo</v>
      </c>
      <c r="N59" s="16" t="s">
        <v>844</v>
      </c>
      <c r="O59" s="16">
        <v>58</v>
      </c>
      <c r="P59" s="16" t="s">
        <v>117</v>
      </c>
      <c r="Q59" s="16" t="s">
        <v>112</v>
      </c>
      <c r="R59" s="16" t="s">
        <v>90</v>
      </c>
      <c r="S59" s="16" t="s">
        <v>99</v>
      </c>
      <c r="T59" s="16" t="s">
        <v>121</v>
      </c>
      <c r="U59" s="16" t="s">
        <v>108</v>
      </c>
      <c r="V59" s="16" t="s">
        <v>135</v>
      </c>
      <c r="W59" s="16" t="s">
        <v>130</v>
      </c>
    </row>
    <row r="60" spans="1:23" x14ac:dyDescent="0.2">
      <c r="A60" s="9" t="s">
        <v>845</v>
      </c>
      <c r="B60" s="9">
        <f ca="1">+IF(A60=WORLDCUP!$BI$112,1,0)</f>
        <v>0</v>
      </c>
      <c r="C60" s="9" t="str">
        <f ca="1">+WORLDCUP!BD65</f>
        <v>Arabia Saudita</v>
      </c>
      <c r="D60" s="9" t="str">
        <f ca="1">+WORLDCUP!BD64</f>
        <v>Egipto</v>
      </c>
      <c r="E60" s="9" t="str">
        <f ca="1">+WORLDCUP!BD59</f>
        <v>Catar</v>
      </c>
      <c r="F60" s="9" t="str">
        <f ca="1">+WORLDCUP!BD61</f>
        <v>Australia</v>
      </c>
      <c r="G60" s="9" t="str">
        <f ca="1">+WORLDCUP!BD67</f>
        <v>Argelia</v>
      </c>
      <c r="H60" s="9" t="str">
        <f ca="1">+WORLDCUP!BD63</f>
        <v>Suecia</v>
      </c>
      <c r="I60" s="9" t="str">
        <f ca="1">+WORLDCUP!BD69</f>
        <v>Ghana</v>
      </c>
      <c r="J60" s="9" t="str">
        <f ca="1">+WORLDCUP!BD66</f>
        <v>Senegal</v>
      </c>
      <c r="N60" s="16" t="s">
        <v>845</v>
      </c>
      <c r="O60" s="16">
        <v>59</v>
      </c>
      <c r="P60" s="16" t="s">
        <v>117</v>
      </c>
      <c r="Q60" s="16" t="s">
        <v>112</v>
      </c>
      <c r="R60" s="16" t="s">
        <v>90</v>
      </c>
      <c r="S60" s="16" t="s">
        <v>99</v>
      </c>
      <c r="T60" s="16" t="s">
        <v>126</v>
      </c>
      <c r="U60" s="16" t="s">
        <v>108</v>
      </c>
      <c r="V60" s="16" t="s">
        <v>135</v>
      </c>
      <c r="W60" s="16" t="s">
        <v>121</v>
      </c>
    </row>
    <row r="61" spans="1:23" x14ac:dyDescent="0.2">
      <c r="A61" s="9" t="s">
        <v>846</v>
      </c>
      <c r="B61" s="9">
        <f ca="1">+IF(A61=WORLDCUP!$BI$112,1,0)</f>
        <v>0</v>
      </c>
      <c r="C61" s="9" t="str">
        <f ca="1">+WORLDCUP!BD65</f>
        <v>Arabia Saudita</v>
      </c>
      <c r="D61" s="9" t="str">
        <f ca="1">+WORLDCUP!BD64</f>
        <v>Egipto</v>
      </c>
      <c r="E61" s="9" t="str">
        <f ca="1">+WORLDCUP!BD59</f>
        <v>Catar</v>
      </c>
      <c r="F61" s="9" t="str">
        <f ca="1">+WORLDCUP!BD61</f>
        <v>Australia</v>
      </c>
      <c r="G61" s="9" t="str">
        <f ca="1">+WORLDCUP!BD67</f>
        <v>Argelia</v>
      </c>
      <c r="H61" s="9" t="str">
        <f ca="1">+WORLDCUP!BD63</f>
        <v>Suecia</v>
      </c>
      <c r="I61" s="9" t="str">
        <f ca="1">+WORLDCUP!BD66</f>
        <v>Senegal</v>
      </c>
      <c r="J61" s="9" t="str">
        <f ca="1">+WORLDCUP!BD68</f>
        <v>RD Congo</v>
      </c>
      <c r="N61" s="16" t="s">
        <v>846</v>
      </c>
      <c r="O61" s="16">
        <v>60</v>
      </c>
      <c r="P61" s="16" t="s">
        <v>117</v>
      </c>
      <c r="Q61" s="16" t="s">
        <v>112</v>
      </c>
      <c r="R61" s="16" t="s">
        <v>90</v>
      </c>
      <c r="S61" s="16" t="s">
        <v>99</v>
      </c>
      <c r="T61" s="16" t="s">
        <v>126</v>
      </c>
      <c r="U61" s="16" t="s">
        <v>108</v>
      </c>
      <c r="V61" s="16" t="s">
        <v>121</v>
      </c>
      <c r="W61" s="16" t="s">
        <v>130</v>
      </c>
    </row>
    <row r="62" spans="1:23" x14ac:dyDescent="0.2">
      <c r="A62" s="9" t="s">
        <v>847</v>
      </c>
      <c r="B62" s="9">
        <f ca="1">+IF(A62=WORLDCUP!$BI$112,1,0)</f>
        <v>0</v>
      </c>
      <c r="C62" s="9" t="str">
        <f ca="1">+WORLDCUP!BD62</f>
        <v>Curazao</v>
      </c>
      <c r="D62" s="9" t="str">
        <f ca="1">+WORLDCUP!BD67</f>
        <v>Argelia</v>
      </c>
      <c r="E62" s="9" t="str">
        <f ca="1">+WORLDCUP!BD59</f>
        <v>Catar</v>
      </c>
      <c r="F62" s="9" t="str">
        <f ca="1">+WORLDCUP!BD61</f>
        <v>Australia</v>
      </c>
      <c r="G62" s="9" t="str">
        <f ca="1">+WORLDCUP!BD66</f>
        <v>Senegal</v>
      </c>
      <c r="H62" s="9" t="str">
        <f ca="1">+WORLDCUP!BD65</f>
        <v>Arabia Saudita</v>
      </c>
      <c r="I62" s="9" t="str">
        <f ca="1">+WORLDCUP!BD69</f>
        <v>Ghana</v>
      </c>
      <c r="J62" s="9" t="str">
        <f ca="1">+WORLDCUP!BD68</f>
        <v>RD Congo</v>
      </c>
      <c r="N62" s="16" t="s">
        <v>847</v>
      </c>
      <c r="O62" s="16">
        <v>61</v>
      </c>
      <c r="P62" s="16" t="s">
        <v>103</v>
      </c>
      <c r="Q62" s="16" t="s">
        <v>126</v>
      </c>
      <c r="R62" s="16" t="s">
        <v>90</v>
      </c>
      <c r="S62" s="16" t="s">
        <v>99</v>
      </c>
      <c r="T62" s="16" t="s">
        <v>121</v>
      </c>
      <c r="U62" s="16" t="s">
        <v>117</v>
      </c>
      <c r="V62" s="16" t="s">
        <v>135</v>
      </c>
      <c r="W62" s="16" t="s">
        <v>130</v>
      </c>
    </row>
    <row r="63" spans="1:23" x14ac:dyDescent="0.2">
      <c r="A63" s="9" t="s">
        <v>848</v>
      </c>
      <c r="B63" s="9">
        <f ca="1">+IF(A63=WORLDCUP!$BI$112,1,0)</f>
        <v>0</v>
      </c>
      <c r="C63" s="9" t="str">
        <f ca="1">+WORLDCUP!BD62</f>
        <v>Curazao</v>
      </c>
      <c r="D63" s="9" t="str">
        <f ca="1">+WORLDCUP!BD67</f>
        <v>Argelia</v>
      </c>
      <c r="E63" s="9" t="str">
        <f ca="1">+WORLDCUP!BD59</f>
        <v>Catar</v>
      </c>
      <c r="F63" s="9" t="str">
        <f ca="1">+WORLDCUP!BD61</f>
        <v>Australia</v>
      </c>
      <c r="G63" s="9" t="str">
        <f ca="1">+WORLDCUP!BD66</f>
        <v>Senegal</v>
      </c>
      <c r="H63" s="9" t="str">
        <f ca="1">+WORLDCUP!BD64</f>
        <v>Egipto</v>
      </c>
      <c r="I63" s="9" t="str">
        <f ca="1">+WORLDCUP!BD69</f>
        <v>Ghana</v>
      </c>
      <c r="J63" s="9" t="str">
        <f ca="1">+WORLDCUP!BD68</f>
        <v>RD Congo</v>
      </c>
      <c r="N63" s="16" t="s">
        <v>848</v>
      </c>
      <c r="O63" s="16">
        <v>62</v>
      </c>
      <c r="P63" s="16" t="s">
        <v>103</v>
      </c>
      <c r="Q63" s="16" t="s">
        <v>126</v>
      </c>
      <c r="R63" s="16" t="s">
        <v>90</v>
      </c>
      <c r="S63" s="16" t="s">
        <v>99</v>
      </c>
      <c r="T63" s="16" t="s">
        <v>121</v>
      </c>
      <c r="U63" s="16" t="s">
        <v>112</v>
      </c>
      <c r="V63" s="16" t="s">
        <v>135</v>
      </c>
      <c r="W63" s="16" t="s">
        <v>130</v>
      </c>
    </row>
    <row r="64" spans="1:23" x14ac:dyDescent="0.2">
      <c r="A64" s="9" t="s">
        <v>849</v>
      </c>
      <c r="B64" s="9">
        <f ca="1">+IF(A64=WORLDCUP!$BI$112,1,0)</f>
        <v>0</v>
      </c>
      <c r="C64" s="9" t="str">
        <f ca="1">+WORLDCUP!BD62</f>
        <v>Curazao</v>
      </c>
      <c r="D64" s="9" t="str">
        <f ca="1">+WORLDCUP!BD67</f>
        <v>Argelia</v>
      </c>
      <c r="E64" s="9" t="str">
        <f ca="1">+WORLDCUP!BD59</f>
        <v>Catar</v>
      </c>
      <c r="F64" s="9" t="str">
        <f ca="1">+WORLDCUP!BD61</f>
        <v>Australia</v>
      </c>
      <c r="G64" s="9" t="str">
        <f ca="1">+WORLDCUP!BD65</f>
        <v>Arabia Saudita</v>
      </c>
      <c r="H64" s="9" t="str">
        <f ca="1">+WORLDCUP!BD64</f>
        <v>Egipto</v>
      </c>
      <c r="I64" s="9" t="str">
        <f ca="1">+WORLDCUP!BD69</f>
        <v>Ghana</v>
      </c>
      <c r="J64" s="9" t="str">
        <f ca="1">+WORLDCUP!BD68</f>
        <v>RD Congo</v>
      </c>
      <c r="N64" s="16" t="s">
        <v>849</v>
      </c>
      <c r="O64" s="16">
        <v>63</v>
      </c>
      <c r="P64" s="16" t="s">
        <v>103</v>
      </c>
      <c r="Q64" s="16" t="s">
        <v>126</v>
      </c>
      <c r="R64" s="16" t="s">
        <v>90</v>
      </c>
      <c r="S64" s="16" t="s">
        <v>99</v>
      </c>
      <c r="T64" s="16" t="s">
        <v>117</v>
      </c>
      <c r="U64" s="16" t="s">
        <v>112</v>
      </c>
      <c r="V64" s="16" t="s">
        <v>135</v>
      </c>
      <c r="W64" s="16" t="s">
        <v>130</v>
      </c>
    </row>
    <row r="65" spans="1:23" x14ac:dyDescent="0.2">
      <c r="A65" s="9" t="s">
        <v>850</v>
      </c>
      <c r="B65" s="9">
        <f ca="1">+IF(A65=WORLDCUP!$BI$112,1,0)</f>
        <v>0</v>
      </c>
      <c r="C65" s="9" t="str">
        <f ca="1">+WORLDCUP!BD62</f>
        <v>Curazao</v>
      </c>
      <c r="D65" s="9" t="str">
        <f ca="1">+WORLDCUP!BD64</f>
        <v>Egipto</v>
      </c>
      <c r="E65" s="9" t="str">
        <f ca="1">+WORLDCUP!BD59</f>
        <v>Catar</v>
      </c>
      <c r="F65" s="9" t="str">
        <f ca="1">+WORLDCUP!BD61</f>
        <v>Australia</v>
      </c>
      <c r="G65" s="9" t="str">
        <f ca="1">+WORLDCUP!BD66</f>
        <v>Senegal</v>
      </c>
      <c r="H65" s="9" t="str">
        <f ca="1">+WORLDCUP!BD65</f>
        <v>Arabia Saudita</v>
      </c>
      <c r="I65" s="9" t="str">
        <f ca="1">+WORLDCUP!BD69</f>
        <v>Ghana</v>
      </c>
      <c r="J65" s="9" t="str">
        <f ca="1">+WORLDCUP!BD68</f>
        <v>RD Congo</v>
      </c>
      <c r="N65" s="16" t="s">
        <v>850</v>
      </c>
      <c r="O65" s="16">
        <v>64</v>
      </c>
      <c r="P65" s="16" t="s">
        <v>103</v>
      </c>
      <c r="Q65" s="16" t="s">
        <v>112</v>
      </c>
      <c r="R65" s="16" t="s">
        <v>90</v>
      </c>
      <c r="S65" s="16" t="s">
        <v>99</v>
      </c>
      <c r="T65" s="16" t="s">
        <v>121</v>
      </c>
      <c r="U65" s="16" t="s">
        <v>117</v>
      </c>
      <c r="V65" s="16" t="s">
        <v>135</v>
      </c>
      <c r="W65" s="16" t="s">
        <v>130</v>
      </c>
    </row>
    <row r="66" spans="1:23" x14ac:dyDescent="0.2">
      <c r="A66" s="9" t="s">
        <v>851</v>
      </c>
      <c r="B66" s="9">
        <f ca="1">+IF(A66=WORLDCUP!$BI$112,1,0)</f>
        <v>0</v>
      </c>
      <c r="C66" s="9" t="str">
        <f ca="1">+WORLDCUP!BD62</f>
        <v>Curazao</v>
      </c>
      <c r="D66" s="9" t="str">
        <f ca="1">+WORLDCUP!BD67</f>
        <v>Argelia</v>
      </c>
      <c r="E66" s="9" t="str">
        <f ca="1">+WORLDCUP!BD59</f>
        <v>Catar</v>
      </c>
      <c r="F66" s="9" t="str">
        <f ca="1">+WORLDCUP!BD61</f>
        <v>Australia</v>
      </c>
      <c r="G66" s="9" t="str">
        <f ca="1">+WORLDCUP!BD65</f>
        <v>Arabia Saudita</v>
      </c>
      <c r="H66" s="9" t="str">
        <f ca="1">+WORLDCUP!BD64</f>
        <v>Egipto</v>
      </c>
      <c r="I66" s="9" t="str">
        <f ca="1">+WORLDCUP!BD69</f>
        <v>Ghana</v>
      </c>
      <c r="J66" s="9" t="str">
        <f ca="1">+WORLDCUP!BD66</f>
        <v>Senegal</v>
      </c>
      <c r="N66" s="16" t="s">
        <v>851</v>
      </c>
      <c r="O66" s="16">
        <v>65</v>
      </c>
      <c r="P66" s="16" t="s">
        <v>103</v>
      </c>
      <c r="Q66" s="16" t="s">
        <v>126</v>
      </c>
      <c r="R66" s="16" t="s">
        <v>90</v>
      </c>
      <c r="S66" s="16" t="s">
        <v>99</v>
      </c>
      <c r="T66" s="16" t="s">
        <v>117</v>
      </c>
      <c r="U66" s="16" t="s">
        <v>112</v>
      </c>
      <c r="V66" s="16" t="s">
        <v>135</v>
      </c>
      <c r="W66" s="16" t="s">
        <v>121</v>
      </c>
    </row>
    <row r="67" spans="1:23" x14ac:dyDescent="0.2">
      <c r="A67" s="9" t="s">
        <v>852</v>
      </c>
      <c r="B67" s="9">
        <f ca="1">+IF(A67=WORLDCUP!$BI$112,1,0)</f>
        <v>0</v>
      </c>
      <c r="C67" s="9" t="str">
        <f ca="1">+WORLDCUP!BD62</f>
        <v>Curazao</v>
      </c>
      <c r="D67" s="9" t="str">
        <f ca="1">+WORLDCUP!BD67</f>
        <v>Argelia</v>
      </c>
      <c r="E67" s="9" t="str">
        <f ca="1">+WORLDCUP!BD59</f>
        <v>Catar</v>
      </c>
      <c r="F67" s="9" t="str">
        <f ca="1">+WORLDCUP!BD61</f>
        <v>Australia</v>
      </c>
      <c r="G67" s="9" t="str">
        <f ca="1">+WORLDCUP!BD65</f>
        <v>Arabia Saudita</v>
      </c>
      <c r="H67" s="9" t="str">
        <f ca="1">+WORLDCUP!BD64</f>
        <v>Egipto</v>
      </c>
      <c r="I67" s="9" t="str">
        <f ca="1">+WORLDCUP!BD66</f>
        <v>Senegal</v>
      </c>
      <c r="J67" s="9" t="str">
        <f ca="1">+WORLDCUP!BD68</f>
        <v>RD Congo</v>
      </c>
      <c r="N67" s="16" t="s">
        <v>852</v>
      </c>
      <c r="O67" s="16">
        <v>66</v>
      </c>
      <c r="P67" s="16" t="s">
        <v>103</v>
      </c>
      <c r="Q67" s="16" t="s">
        <v>126</v>
      </c>
      <c r="R67" s="16" t="s">
        <v>90</v>
      </c>
      <c r="S67" s="16" t="s">
        <v>99</v>
      </c>
      <c r="T67" s="16" t="s">
        <v>117</v>
      </c>
      <c r="U67" s="16" t="s">
        <v>112</v>
      </c>
      <c r="V67" s="16" t="s">
        <v>121</v>
      </c>
      <c r="W67" s="16" t="s">
        <v>130</v>
      </c>
    </row>
    <row r="68" spans="1:23" x14ac:dyDescent="0.2">
      <c r="A68" s="9" t="s">
        <v>853</v>
      </c>
      <c r="B68" s="9">
        <f ca="1">+IF(A68=WORLDCUP!$BI$112,1,0)</f>
        <v>0</v>
      </c>
      <c r="C68" s="9" t="str">
        <f ca="1">+WORLDCUP!BD62</f>
        <v>Curazao</v>
      </c>
      <c r="D68" s="9" t="str">
        <f ca="1">+WORLDCUP!BD67</f>
        <v>Argelia</v>
      </c>
      <c r="E68" s="9" t="str">
        <f ca="1">+WORLDCUP!BD59</f>
        <v>Catar</v>
      </c>
      <c r="F68" s="9" t="str">
        <f ca="1">+WORLDCUP!BD61</f>
        <v>Australia</v>
      </c>
      <c r="G68" s="9" t="str">
        <f ca="1">+WORLDCUP!BD66</f>
        <v>Senegal</v>
      </c>
      <c r="H68" s="9" t="str">
        <f ca="1">+WORLDCUP!BD63</f>
        <v>Suecia</v>
      </c>
      <c r="I68" s="9" t="str">
        <f ca="1">+WORLDCUP!BD69</f>
        <v>Ghana</v>
      </c>
      <c r="J68" s="9" t="str">
        <f ca="1">+WORLDCUP!BD68</f>
        <v>RD Congo</v>
      </c>
      <c r="N68" s="16" t="s">
        <v>853</v>
      </c>
      <c r="O68" s="16">
        <v>67</v>
      </c>
      <c r="P68" s="16" t="s">
        <v>103</v>
      </c>
      <c r="Q68" s="16" t="s">
        <v>126</v>
      </c>
      <c r="R68" s="16" t="s">
        <v>90</v>
      </c>
      <c r="S68" s="16" t="s">
        <v>99</v>
      </c>
      <c r="T68" s="16" t="s">
        <v>121</v>
      </c>
      <c r="U68" s="16" t="s">
        <v>108</v>
      </c>
      <c r="V68" s="16" t="s">
        <v>135</v>
      </c>
      <c r="W68" s="16" t="s">
        <v>130</v>
      </c>
    </row>
    <row r="69" spans="1:23" x14ac:dyDescent="0.2">
      <c r="A69" s="9" t="s">
        <v>854</v>
      </c>
      <c r="B69" s="9">
        <f ca="1">+IF(A69=WORLDCUP!$BI$112,1,0)</f>
        <v>0</v>
      </c>
      <c r="C69" s="9" t="str">
        <f ca="1">+WORLDCUP!BD62</f>
        <v>Curazao</v>
      </c>
      <c r="D69" s="9" t="str">
        <f ca="1">+WORLDCUP!BD67</f>
        <v>Argelia</v>
      </c>
      <c r="E69" s="9" t="str">
        <f ca="1">+WORLDCUP!BD59</f>
        <v>Catar</v>
      </c>
      <c r="F69" s="9" t="str">
        <f ca="1">+WORLDCUP!BD61</f>
        <v>Australia</v>
      </c>
      <c r="G69" s="9" t="str">
        <f ca="1">+WORLDCUP!BD65</f>
        <v>Arabia Saudita</v>
      </c>
      <c r="H69" s="9" t="str">
        <f ca="1">+WORLDCUP!BD63</f>
        <v>Suecia</v>
      </c>
      <c r="I69" s="9" t="str">
        <f ca="1">+WORLDCUP!BD69</f>
        <v>Ghana</v>
      </c>
      <c r="J69" s="9" t="str">
        <f ca="1">+WORLDCUP!BD68</f>
        <v>RD Congo</v>
      </c>
      <c r="N69" s="16" t="s">
        <v>854</v>
      </c>
      <c r="O69" s="16">
        <v>68</v>
      </c>
      <c r="P69" s="16" t="s">
        <v>103</v>
      </c>
      <c r="Q69" s="16" t="s">
        <v>126</v>
      </c>
      <c r="R69" s="16" t="s">
        <v>90</v>
      </c>
      <c r="S69" s="16" t="s">
        <v>99</v>
      </c>
      <c r="T69" s="16" t="s">
        <v>117</v>
      </c>
      <c r="U69" s="16" t="s">
        <v>108</v>
      </c>
      <c r="V69" s="16" t="s">
        <v>135</v>
      </c>
      <c r="W69" s="16" t="s">
        <v>130</v>
      </c>
    </row>
    <row r="70" spans="1:23" x14ac:dyDescent="0.2">
      <c r="A70" s="9" t="s">
        <v>855</v>
      </c>
      <c r="B70" s="9">
        <f ca="1">+IF(A70=WORLDCUP!$BI$112,1,0)</f>
        <v>0</v>
      </c>
      <c r="C70" s="9" t="str">
        <f ca="1">+WORLDCUP!BD62</f>
        <v>Curazao</v>
      </c>
      <c r="D70" s="9" t="str">
        <f ca="1">+WORLDCUP!BD66</f>
        <v>Senegal</v>
      </c>
      <c r="E70" s="9" t="str">
        <f ca="1">+WORLDCUP!BD59</f>
        <v>Catar</v>
      </c>
      <c r="F70" s="9" t="str">
        <f ca="1">+WORLDCUP!BD61</f>
        <v>Australia</v>
      </c>
      <c r="G70" s="9" t="str">
        <f ca="1">+WORLDCUP!BD65</f>
        <v>Arabia Saudita</v>
      </c>
      <c r="H70" s="9" t="str">
        <f ca="1">+WORLDCUP!BD63</f>
        <v>Suecia</v>
      </c>
      <c r="I70" s="9" t="str">
        <f ca="1">+WORLDCUP!BD69</f>
        <v>Ghana</v>
      </c>
      <c r="J70" s="9" t="str">
        <f ca="1">+WORLDCUP!BD68</f>
        <v>RD Congo</v>
      </c>
      <c r="N70" s="16" t="s">
        <v>855</v>
      </c>
      <c r="O70" s="16">
        <v>69</v>
      </c>
      <c r="P70" s="16" t="s">
        <v>103</v>
      </c>
      <c r="Q70" s="16" t="s">
        <v>121</v>
      </c>
      <c r="R70" s="16" t="s">
        <v>90</v>
      </c>
      <c r="S70" s="16" t="s">
        <v>99</v>
      </c>
      <c r="T70" s="16" t="s">
        <v>117</v>
      </c>
      <c r="U70" s="16" t="s">
        <v>108</v>
      </c>
      <c r="V70" s="16" t="s">
        <v>135</v>
      </c>
      <c r="W70" s="16" t="s">
        <v>130</v>
      </c>
    </row>
    <row r="71" spans="1:23" x14ac:dyDescent="0.2">
      <c r="A71" s="9" t="s">
        <v>856</v>
      </c>
      <c r="B71" s="9">
        <f ca="1">+IF(A71=WORLDCUP!$BI$112,1,0)</f>
        <v>0</v>
      </c>
      <c r="C71" s="9" t="str">
        <f ca="1">+WORLDCUP!BD62</f>
        <v>Curazao</v>
      </c>
      <c r="D71" s="9" t="str">
        <f ca="1">+WORLDCUP!BD67</f>
        <v>Argelia</v>
      </c>
      <c r="E71" s="9" t="str">
        <f ca="1">+WORLDCUP!BD59</f>
        <v>Catar</v>
      </c>
      <c r="F71" s="9" t="str">
        <f ca="1">+WORLDCUP!BD61</f>
        <v>Australia</v>
      </c>
      <c r="G71" s="9" t="str">
        <f ca="1">+WORLDCUP!BD65</f>
        <v>Arabia Saudita</v>
      </c>
      <c r="H71" s="9" t="str">
        <f ca="1">+WORLDCUP!BD63</f>
        <v>Suecia</v>
      </c>
      <c r="I71" s="9" t="str">
        <f ca="1">+WORLDCUP!BD69</f>
        <v>Ghana</v>
      </c>
      <c r="J71" s="9" t="str">
        <f ca="1">+WORLDCUP!BD66</f>
        <v>Senegal</v>
      </c>
      <c r="N71" s="16" t="s">
        <v>856</v>
      </c>
      <c r="O71" s="16">
        <v>70</v>
      </c>
      <c r="P71" s="16" t="s">
        <v>103</v>
      </c>
      <c r="Q71" s="16" t="s">
        <v>126</v>
      </c>
      <c r="R71" s="16" t="s">
        <v>90</v>
      </c>
      <c r="S71" s="16" t="s">
        <v>99</v>
      </c>
      <c r="T71" s="16" t="s">
        <v>117</v>
      </c>
      <c r="U71" s="16" t="s">
        <v>108</v>
      </c>
      <c r="V71" s="16" t="s">
        <v>135</v>
      </c>
      <c r="W71" s="16" t="s">
        <v>121</v>
      </c>
    </row>
    <row r="72" spans="1:23" x14ac:dyDescent="0.2">
      <c r="A72" s="9" t="s">
        <v>857</v>
      </c>
      <c r="B72" s="9">
        <f ca="1">+IF(A72=WORLDCUP!$BI$112,1,0)</f>
        <v>0</v>
      </c>
      <c r="C72" s="9" t="str">
        <f ca="1">+WORLDCUP!BD62</f>
        <v>Curazao</v>
      </c>
      <c r="D72" s="9" t="str">
        <f ca="1">+WORLDCUP!BD67</f>
        <v>Argelia</v>
      </c>
      <c r="E72" s="9" t="str">
        <f ca="1">+WORLDCUP!BD59</f>
        <v>Catar</v>
      </c>
      <c r="F72" s="9" t="str">
        <f ca="1">+WORLDCUP!BD61</f>
        <v>Australia</v>
      </c>
      <c r="G72" s="9" t="str">
        <f ca="1">+WORLDCUP!BD65</f>
        <v>Arabia Saudita</v>
      </c>
      <c r="H72" s="9" t="str">
        <f ca="1">+WORLDCUP!BD63</f>
        <v>Suecia</v>
      </c>
      <c r="I72" s="9" t="str">
        <f ca="1">+WORLDCUP!BD66</f>
        <v>Senegal</v>
      </c>
      <c r="J72" s="9" t="str">
        <f ca="1">+WORLDCUP!BD68</f>
        <v>RD Congo</v>
      </c>
      <c r="N72" s="16" t="s">
        <v>857</v>
      </c>
      <c r="O72" s="16">
        <v>71</v>
      </c>
      <c r="P72" s="16" t="s">
        <v>103</v>
      </c>
      <c r="Q72" s="16" t="s">
        <v>126</v>
      </c>
      <c r="R72" s="16" t="s">
        <v>90</v>
      </c>
      <c r="S72" s="16" t="s">
        <v>99</v>
      </c>
      <c r="T72" s="16" t="s">
        <v>117</v>
      </c>
      <c r="U72" s="16" t="s">
        <v>108</v>
      </c>
      <c r="V72" s="16" t="s">
        <v>121</v>
      </c>
      <c r="W72" s="16" t="s">
        <v>130</v>
      </c>
    </row>
    <row r="73" spans="1:23" x14ac:dyDescent="0.2">
      <c r="A73" s="9" t="s">
        <v>858</v>
      </c>
      <c r="B73" s="9">
        <f ca="1">+IF(A73=WORLDCUP!$BI$112,1,0)</f>
        <v>0</v>
      </c>
      <c r="C73" s="9" t="str">
        <f ca="1">+WORLDCUP!BD62</f>
        <v>Curazao</v>
      </c>
      <c r="D73" s="9" t="str">
        <f ca="1">+WORLDCUP!BD64</f>
        <v>Egipto</v>
      </c>
      <c r="E73" s="9" t="str">
        <f ca="1">+WORLDCUP!BD59</f>
        <v>Catar</v>
      </c>
      <c r="F73" s="9" t="str">
        <f ca="1">+WORLDCUP!BD61</f>
        <v>Australia</v>
      </c>
      <c r="G73" s="9" t="str">
        <f ca="1">+WORLDCUP!BD67</f>
        <v>Argelia</v>
      </c>
      <c r="H73" s="9" t="str">
        <f ca="1">+WORLDCUP!BD63</f>
        <v>Suecia</v>
      </c>
      <c r="I73" s="9" t="str">
        <f ca="1">+WORLDCUP!BD69</f>
        <v>Ghana</v>
      </c>
      <c r="J73" s="9" t="str">
        <f ca="1">+WORLDCUP!BD68</f>
        <v>RD Congo</v>
      </c>
      <c r="N73" s="16" t="s">
        <v>858</v>
      </c>
      <c r="O73" s="16">
        <v>72</v>
      </c>
      <c r="P73" s="16" t="s">
        <v>103</v>
      </c>
      <c r="Q73" s="16" t="s">
        <v>112</v>
      </c>
      <c r="R73" s="16" t="s">
        <v>90</v>
      </c>
      <c r="S73" s="16" t="s">
        <v>99</v>
      </c>
      <c r="T73" s="16" t="s">
        <v>126</v>
      </c>
      <c r="U73" s="16" t="s">
        <v>108</v>
      </c>
      <c r="V73" s="16" t="s">
        <v>135</v>
      </c>
      <c r="W73" s="16" t="s">
        <v>130</v>
      </c>
    </row>
    <row r="74" spans="1:23" x14ac:dyDescent="0.2">
      <c r="A74" s="9" t="s">
        <v>859</v>
      </c>
      <c r="B74" s="9">
        <f ca="1">+IF(A74=WORLDCUP!$BI$112,1,0)</f>
        <v>0</v>
      </c>
      <c r="C74" s="9" t="str">
        <f ca="1">+WORLDCUP!BD62</f>
        <v>Curazao</v>
      </c>
      <c r="D74" s="9" t="str">
        <f ca="1">+WORLDCUP!BD64</f>
        <v>Egipto</v>
      </c>
      <c r="E74" s="9" t="str">
        <f ca="1">+WORLDCUP!BD59</f>
        <v>Catar</v>
      </c>
      <c r="F74" s="9" t="str">
        <f ca="1">+WORLDCUP!BD61</f>
        <v>Australia</v>
      </c>
      <c r="G74" s="9" t="str">
        <f ca="1">+WORLDCUP!BD66</f>
        <v>Senegal</v>
      </c>
      <c r="H74" s="9" t="str">
        <f ca="1">+WORLDCUP!BD63</f>
        <v>Suecia</v>
      </c>
      <c r="I74" s="9" t="str">
        <f ca="1">+WORLDCUP!BD69</f>
        <v>Ghana</v>
      </c>
      <c r="J74" s="9" t="str">
        <f ca="1">+WORLDCUP!BD68</f>
        <v>RD Congo</v>
      </c>
      <c r="N74" s="16" t="s">
        <v>859</v>
      </c>
      <c r="O74" s="16">
        <v>73</v>
      </c>
      <c r="P74" s="16" t="s">
        <v>103</v>
      </c>
      <c r="Q74" s="16" t="s">
        <v>112</v>
      </c>
      <c r="R74" s="16" t="s">
        <v>90</v>
      </c>
      <c r="S74" s="16" t="s">
        <v>99</v>
      </c>
      <c r="T74" s="16" t="s">
        <v>121</v>
      </c>
      <c r="U74" s="16" t="s">
        <v>108</v>
      </c>
      <c r="V74" s="16" t="s">
        <v>135</v>
      </c>
      <c r="W74" s="16" t="s">
        <v>130</v>
      </c>
    </row>
    <row r="75" spans="1:23" x14ac:dyDescent="0.2">
      <c r="A75" s="9" t="s">
        <v>860</v>
      </c>
      <c r="B75" s="9">
        <f ca="1">+IF(A75=WORLDCUP!$BI$112,1,0)</f>
        <v>0</v>
      </c>
      <c r="C75" s="9" t="str">
        <f ca="1">+WORLDCUP!BD62</f>
        <v>Curazao</v>
      </c>
      <c r="D75" s="9" t="str">
        <f ca="1">+WORLDCUP!BD64</f>
        <v>Egipto</v>
      </c>
      <c r="E75" s="9" t="str">
        <f ca="1">+WORLDCUP!BD59</f>
        <v>Catar</v>
      </c>
      <c r="F75" s="9" t="str">
        <f ca="1">+WORLDCUP!BD61</f>
        <v>Australia</v>
      </c>
      <c r="G75" s="9" t="str">
        <f ca="1">+WORLDCUP!BD67</f>
        <v>Argelia</v>
      </c>
      <c r="H75" s="9" t="str">
        <f ca="1">+WORLDCUP!BD63</f>
        <v>Suecia</v>
      </c>
      <c r="I75" s="9" t="str">
        <f ca="1">+WORLDCUP!BD69</f>
        <v>Ghana</v>
      </c>
      <c r="J75" s="9" t="str">
        <f ca="1">+WORLDCUP!BD66</f>
        <v>Senegal</v>
      </c>
      <c r="N75" s="16" t="s">
        <v>860</v>
      </c>
      <c r="O75" s="16">
        <v>74</v>
      </c>
      <c r="P75" s="16" t="s">
        <v>103</v>
      </c>
      <c r="Q75" s="16" t="s">
        <v>112</v>
      </c>
      <c r="R75" s="16" t="s">
        <v>90</v>
      </c>
      <c r="S75" s="16" t="s">
        <v>99</v>
      </c>
      <c r="T75" s="16" t="s">
        <v>126</v>
      </c>
      <c r="U75" s="16" t="s">
        <v>108</v>
      </c>
      <c r="V75" s="16" t="s">
        <v>135</v>
      </c>
      <c r="W75" s="16" t="s">
        <v>121</v>
      </c>
    </row>
    <row r="76" spans="1:23" x14ac:dyDescent="0.2">
      <c r="A76" s="9" t="s">
        <v>861</v>
      </c>
      <c r="B76" s="9">
        <f ca="1">+IF(A76=WORLDCUP!$BI$112,1,0)</f>
        <v>0</v>
      </c>
      <c r="C76" s="9" t="str">
        <f ca="1">+WORLDCUP!BD62</f>
        <v>Curazao</v>
      </c>
      <c r="D76" s="9" t="str">
        <f ca="1">+WORLDCUP!BD64</f>
        <v>Egipto</v>
      </c>
      <c r="E76" s="9" t="str">
        <f ca="1">+WORLDCUP!BD59</f>
        <v>Catar</v>
      </c>
      <c r="F76" s="9" t="str">
        <f ca="1">+WORLDCUP!BD61</f>
        <v>Australia</v>
      </c>
      <c r="G76" s="9" t="str">
        <f ca="1">+WORLDCUP!BD67</f>
        <v>Argelia</v>
      </c>
      <c r="H76" s="9" t="str">
        <f ca="1">+WORLDCUP!BD63</f>
        <v>Suecia</v>
      </c>
      <c r="I76" s="9" t="str">
        <f ca="1">+WORLDCUP!BD66</f>
        <v>Senegal</v>
      </c>
      <c r="J76" s="9" t="str">
        <f ca="1">+WORLDCUP!BD68</f>
        <v>RD Congo</v>
      </c>
      <c r="N76" s="16" t="s">
        <v>861</v>
      </c>
      <c r="O76" s="16">
        <v>75</v>
      </c>
      <c r="P76" s="16" t="s">
        <v>103</v>
      </c>
      <c r="Q76" s="16" t="s">
        <v>112</v>
      </c>
      <c r="R76" s="16" t="s">
        <v>90</v>
      </c>
      <c r="S76" s="16" t="s">
        <v>99</v>
      </c>
      <c r="T76" s="16" t="s">
        <v>126</v>
      </c>
      <c r="U76" s="16" t="s">
        <v>108</v>
      </c>
      <c r="V76" s="16" t="s">
        <v>121</v>
      </c>
      <c r="W76" s="16" t="s">
        <v>130</v>
      </c>
    </row>
    <row r="77" spans="1:23" x14ac:dyDescent="0.2">
      <c r="A77" s="9" t="s">
        <v>862</v>
      </c>
      <c r="B77" s="9">
        <f ca="1">+IF(A77=WORLDCUP!$BI$112,1,0)</f>
        <v>0</v>
      </c>
      <c r="C77" s="9" t="str">
        <f ca="1">+WORLDCUP!BD62</f>
        <v>Curazao</v>
      </c>
      <c r="D77" s="9" t="str">
        <f ca="1">+WORLDCUP!BD64</f>
        <v>Egipto</v>
      </c>
      <c r="E77" s="9" t="str">
        <f ca="1">+WORLDCUP!BD59</f>
        <v>Catar</v>
      </c>
      <c r="F77" s="9" t="str">
        <f ca="1">+WORLDCUP!BD61</f>
        <v>Australia</v>
      </c>
      <c r="G77" s="9" t="str">
        <f ca="1">+WORLDCUP!BD65</f>
        <v>Arabia Saudita</v>
      </c>
      <c r="H77" s="9" t="str">
        <f ca="1">+WORLDCUP!BD63</f>
        <v>Suecia</v>
      </c>
      <c r="I77" s="9" t="str">
        <f ca="1">+WORLDCUP!BD69</f>
        <v>Ghana</v>
      </c>
      <c r="J77" s="9" t="str">
        <f ca="1">+WORLDCUP!BD68</f>
        <v>RD Congo</v>
      </c>
      <c r="N77" s="16" t="s">
        <v>862</v>
      </c>
      <c r="O77" s="16">
        <v>76</v>
      </c>
      <c r="P77" s="16" t="s">
        <v>103</v>
      </c>
      <c r="Q77" s="16" t="s">
        <v>112</v>
      </c>
      <c r="R77" s="16" t="s">
        <v>90</v>
      </c>
      <c r="S77" s="16" t="s">
        <v>99</v>
      </c>
      <c r="T77" s="16" t="s">
        <v>117</v>
      </c>
      <c r="U77" s="16" t="s">
        <v>108</v>
      </c>
      <c r="V77" s="16" t="s">
        <v>135</v>
      </c>
      <c r="W77" s="16" t="s">
        <v>130</v>
      </c>
    </row>
    <row r="78" spans="1:23" x14ac:dyDescent="0.2">
      <c r="A78" s="9" t="s">
        <v>863</v>
      </c>
      <c r="B78" s="9">
        <f ca="1">+IF(A78=WORLDCUP!$BI$112,1,0)</f>
        <v>0</v>
      </c>
      <c r="C78" s="9" t="str">
        <f ca="1">+WORLDCUP!BD65</f>
        <v>Arabia Saudita</v>
      </c>
      <c r="D78" s="9" t="str">
        <f ca="1">+WORLDCUP!BD64</f>
        <v>Egipto</v>
      </c>
      <c r="E78" s="9" t="str">
        <f ca="1">+WORLDCUP!BD59</f>
        <v>Catar</v>
      </c>
      <c r="F78" s="9" t="str">
        <f ca="1">+WORLDCUP!BD61</f>
        <v>Australia</v>
      </c>
      <c r="G78" s="9" t="str">
        <f ca="1">+WORLDCUP!BD67</f>
        <v>Argelia</v>
      </c>
      <c r="H78" s="9" t="str">
        <f ca="1">+WORLDCUP!BD63</f>
        <v>Suecia</v>
      </c>
      <c r="I78" s="9" t="str">
        <f ca="1">+WORLDCUP!BD69</f>
        <v>Ghana</v>
      </c>
      <c r="J78" s="9" t="str">
        <f ca="1">+WORLDCUP!BD62</f>
        <v>Curazao</v>
      </c>
      <c r="N78" s="16" t="s">
        <v>863</v>
      </c>
      <c r="O78" s="16">
        <v>77</v>
      </c>
      <c r="P78" s="16" t="s">
        <v>117</v>
      </c>
      <c r="Q78" s="16" t="s">
        <v>112</v>
      </c>
      <c r="R78" s="16" t="s">
        <v>90</v>
      </c>
      <c r="S78" s="16" t="s">
        <v>99</v>
      </c>
      <c r="T78" s="16" t="s">
        <v>126</v>
      </c>
      <c r="U78" s="16" t="s">
        <v>108</v>
      </c>
      <c r="V78" s="16" t="s">
        <v>135</v>
      </c>
      <c r="W78" s="16" t="s">
        <v>103</v>
      </c>
    </row>
    <row r="79" spans="1:23" x14ac:dyDescent="0.2">
      <c r="A79" s="9" t="s">
        <v>864</v>
      </c>
      <c r="B79" s="9">
        <f ca="1">+IF(A79=WORLDCUP!$BI$112,1,0)</f>
        <v>0</v>
      </c>
      <c r="C79" s="9" t="str">
        <f ca="1">+WORLDCUP!BD65</f>
        <v>Arabia Saudita</v>
      </c>
      <c r="D79" s="9" t="str">
        <f ca="1">+WORLDCUP!BD64</f>
        <v>Egipto</v>
      </c>
      <c r="E79" s="9" t="str">
        <f ca="1">+WORLDCUP!BD59</f>
        <v>Catar</v>
      </c>
      <c r="F79" s="9" t="str">
        <f ca="1">+WORLDCUP!BD61</f>
        <v>Australia</v>
      </c>
      <c r="G79" s="9" t="str">
        <f ca="1">+WORLDCUP!BD67</f>
        <v>Argelia</v>
      </c>
      <c r="H79" s="9" t="str">
        <f ca="1">+WORLDCUP!BD63</f>
        <v>Suecia</v>
      </c>
      <c r="I79" s="9" t="str">
        <f ca="1">+WORLDCUP!BD62</f>
        <v>Curazao</v>
      </c>
      <c r="J79" s="9" t="str">
        <f ca="1">+WORLDCUP!BD68</f>
        <v>RD Congo</v>
      </c>
      <c r="N79" s="16" t="s">
        <v>864</v>
      </c>
      <c r="O79" s="16">
        <v>78</v>
      </c>
      <c r="P79" s="16" t="s">
        <v>117</v>
      </c>
      <c r="Q79" s="16" t="s">
        <v>112</v>
      </c>
      <c r="R79" s="16" t="s">
        <v>90</v>
      </c>
      <c r="S79" s="16" t="s">
        <v>99</v>
      </c>
      <c r="T79" s="16" t="s">
        <v>126</v>
      </c>
      <c r="U79" s="16" t="s">
        <v>108</v>
      </c>
      <c r="V79" s="16" t="s">
        <v>103</v>
      </c>
      <c r="W79" s="16" t="s">
        <v>130</v>
      </c>
    </row>
    <row r="80" spans="1:23" x14ac:dyDescent="0.2">
      <c r="A80" s="9" t="s">
        <v>865</v>
      </c>
      <c r="B80" s="9">
        <f ca="1">+IF(A80=WORLDCUP!$BI$112,1,0)</f>
        <v>0</v>
      </c>
      <c r="C80" s="9" t="str">
        <f ca="1">+WORLDCUP!BD62</f>
        <v>Curazao</v>
      </c>
      <c r="D80" s="9" t="str">
        <f ca="1">+WORLDCUP!BD64</f>
        <v>Egipto</v>
      </c>
      <c r="E80" s="9" t="str">
        <f ca="1">+WORLDCUP!BD59</f>
        <v>Catar</v>
      </c>
      <c r="F80" s="9" t="str">
        <f ca="1">+WORLDCUP!BD61</f>
        <v>Australia</v>
      </c>
      <c r="G80" s="9" t="str">
        <f ca="1">+WORLDCUP!BD65</f>
        <v>Arabia Saudita</v>
      </c>
      <c r="H80" s="9" t="str">
        <f ca="1">+WORLDCUP!BD63</f>
        <v>Suecia</v>
      </c>
      <c r="I80" s="9" t="str">
        <f ca="1">+WORLDCUP!BD69</f>
        <v>Ghana</v>
      </c>
      <c r="J80" s="9" t="str">
        <f ca="1">+WORLDCUP!BD66</f>
        <v>Senegal</v>
      </c>
      <c r="N80" s="16" t="s">
        <v>865</v>
      </c>
      <c r="O80" s="16">
        <v>79</v>
      </c>
      <c r="P80" s="16" t="s">
        <v>103</v>
      </c>
      <c r="Q80" s="16" t="s">
        <v>112</v>
      </c>
      <c r="R80" s="16" t="s">
        <v>90</v>
      </c>
      <c r="S80" s="16" t="s">
        <v>99</v>
      </c>
      <c r="T80" s="16" t="s">
        <v>117</v>
      </c>
      <c r="U80" s="16" t="s">
        <v>108</v>
      </c>
      <c r="V80" s="16" t="s">
        <v>135</v>
      </c>
      <c r="W80" s="16" t="s">
        <v>121</v>
      </c>
    </row>
    <row r="81" spans="1:23" x14ac:dyDescent="0.2">
      <c r="A81" s="9" t="s">
        <v>866</v>
      </c>
      <c r="B81" s="9">
        <f ca="1">+IF(A81=WORLDCUP!$BI$112,1,0)</f>
        <v>0</v>
      </c>
      <c r="C81" s="9" t="str">
        <f ca="1">+WORLDCUP!BD62</f>
        <v>Curazao</v>
      </c>
      <c r="D81" s="9" t="str">
        <f ca="1">+WORLDCUP!BD64</f>
        <v>Egipto</v>
      </c>
      <c r="E81" s="9" t="str">
        <f ca="1">+WORLDCUP!BD59</f>
        <v>Catar</v>
      </c>
      <c r="F81" s="9" t="str">
        <f ca="1">+WORLDCUP!BD61</f>
        <v>Australia</v>
      </c>
      <c r="G81" s="9" t="str">
        <f ca="1">+WORLDCUP!BD65</f>
        <v>Arabia Saudita</v>
      </c>
      <c r="H81" s="9" t="str">
        <f ca="1">+WORLDCUP!BD63</f>
        <v>Suecia</v>
      </c>
      <c r="I81" s="9" t="str">
        <f ca="1">+WORLDCUP!BD66</f>
        <v>Senegal</v>
      </c>
      <c r="J81" s="9" t="str">
        <f ca="1">+WORLDCUP!BD68</f>
        <v>RD Congo</v>
      </c>
      <c r="N81" s="16" t="s">
        <v>866</v>
      </c>
      <c r="O81" s="16">
        <v>80</v>
      </c>
      <c r="P81" s="16" t="s">
        <v>103</v>
      </c>
      <c r="Q81" s="16" t="s">
        <v>112</v>
      </c>
      <c r="R81" s="16" t="s">
        <v>90</v>
      </c>
      <c r="S81" s="16" t="s">
        <v>99</v>
      </c>
      <c r="T81" s="16" t="s">
        <v>117</v>
      </c>
      <c r="U81" s="16" t="s">
        <v>108</v>
      </c>
      <c r="V81" s="16" t="s">
        <v>121</v>
      </c>
      <c r="W81" s="16" t="s">
        <v>130</v>
      </c>
    </row>
    <row r="82" spans="1:23" x14ac:dyDescent="0.2">
      <c r="A82" s="9" t="s">
        <v>867</v>
      </c>
      <c r="B82" s="9">
        <f ca="1">+IF(A82=WORLDCUP!$BI$112,1,0)</f>
        <v>0</v>
      </c>
      <c r="C82" s="9" t="str">
        <f ca="1">+WORLDCUP!BD65</f>
        <v>Arabia Saudita</v>
      </c>
      <c r="D82" s="9" t="str">
        <f ca="1">+WORLDCUP!BD64</f>
        <v>Egipto</v>
      </c>
      <c r="E82" s="9" t="str">
        <f ca="1">+WORLDCUP!BD59</f>
        <v>Catar</v>
      </c>
      <c r="F82" s="9" t="str">
        <f ca="1">+WORLDCUP!BD61</f>
        <v>Australia</v>
      </c>
      <c r="G82" s="9" t="str">
        <f ca="1">+WORLDCUP!BD67</f>
        <v>Argelia</v>
      </c>
      <c r="H82" s="9" t="str">
        <f ca="1">+WORLDCUP!BD63</f>
        <v>Suecia</v>
      </c>
      <c r="I82" s="9" t="str">
        <f ca="1">+WORLDCUP!BD62</f>
        <v>Curazao</v>
      </c>
      <c r="J82" s="9" t="str">
        <f ca="1">+WORLDCUP!BD66</f>
        <v>Senegal</v>
      </c>
      <c r="N82" s="16" t="s">
        <v>867</v>
      </c>
      <c r="O82" s="16">
        <v>81</v>
      </c>
      <c r="P82" s="16" t="s">
        <v>117</v>
      </c>
      <c r="Q82" s="16" t="s">
        <v>112</v>
      </c>
      <c r="R82" s="16" t="s">
        <v>90</v>
      </c>
      <c r="S82" s="16" t="s">
        <v>99</v>
      </c>
      <c r="T82" s="16" t="s">
        <v>126</v>
      </c>
      <c r="U82" s="16" t="s">
        <v>108</v>
      </c>
      <c r="V82" s="16" t="s">
        <v>103</v>
      </c>
      <c r="W82" s="16" t="s">
        <v>121</v>
      </c>
    </row>
    <row r="83" spans="1:23" x14ac:dyDescent="0.2">
      <c r="A83" s="9" t="s">
        <v>868</v>
      </c>
      <c r="B83" s="9">
        <f ca="1">+IF(A83=WORLDCUP!$BI$112,1,0)</f>
        <v>0</v>
      </c>
      <c r="C83" s="9" t="str">
        <f ca="1">+WORLDCUP!BD65</f>
        <v>Arabia Saudita</v>
      </c>
      <c r="D83" s="9" t="str">
        <f ca="1">+WORLDCUP!BD67</f>
        <v>Argelia</v>
      </c>
      <c r="E83" s="9" t="str">
        <f ca="1">+WORLDCUP!BD59</f>
        <v>Catar</v>
      </c>
      <c r="F83" s="9" t="str">
        <f ca="1">+WORLDCUP!BD60</f>
        <v>Haití</v>
      </c>
      <c r="G83" s="9" t="str">
        <f ca="1">+WORLDCUP!BD66</f>
        <v>Senegal</v>
      </c>
      <c r="H83" s="9" t="str">
        <f ca="1">+WORLDCUP!BD64</f>
        <v>Egipto</v>
      </c>
      <c r="I83" s="9" t="str">
        <f ca="1">+WORLDCUP!BD69</f>
        <v>Ghana</v>
      </c>
      <c r="J83" s="9" t="str">
        <f ca="1">+WORLDCUP!BD68</f>
        <v>RD Congo</v>
      </c>
      <c r="N83" s="16" t="s">
        <v>868</v>
      </c>
      <c r="O83" s="16">
        <v>82</v>
      </c>
      <c r="P83" s="16" t="s">
        <v>117</v>
      </c>
      <c r="Q83" s="16" t="s">
        <v>126</v>
      </c>
      <c r="R83" s="16" t="s">
        <v>90</v>
      </c>
      <c r="S83" s="16" t="s">
        <v>94</v>
      </c>
      <c r="T83" s="16" t="s">
        <v>121</v>
      </c>
      <c r="U83" s="16" t="s">
        <v>112</v>
      </c>
      <c r="V83" s="16" t="s">
        <v>135</v>
      </c>
      <c r="W83" s="16" t="s">
        <v>130</v>
      </c>
    </row>
    <row r="84" spans="1:23" x14ac:dyDescent="0.2">
      <c r="A84" s="9" t="s">
        <v>869</v>
      </c>
      <c r="B84" s="9">
        <f ca="1">+IF(A84=WORLDCUP!$BI$112,1,0)</f>
        <v>0</v>
      </c>
      <c r="C84" s="9" t="str">
        <f ca="1">+WORLDCUP!BD65</f>
        <v>Arabia Saudita</v>
      </c>
      <c r="D84" s="9" t="str">
        <f ca="1">+WORLDCUP!BD67</f>
        <v>Argelia</v>
      </c>
      <c r="E84" s="9" t="str">
        <f ca="1">+WORLDCUP!BD59</f>
        <v>Catar</v>
      </c>
      <c r="F84" s="9" t="str">
        <f ca="1">+WORLDCUP!BD60</f>
        <v>Haití</v>
      </c>
      <c r="G84" s="9" t="str">
        <f ca="1">+WORLDCUP!BD66</f>
        <v>Senegal</v>
      </c>
      <c r="H84" s="9" t="str">
        <f ca="1">+WORLDCUP!BD63</f>
        <v>Suecia</v>
      </c>
      <c r="I84" s="9" t="str">
        <f ca="1">+WORLDCUP!BD69</f>
        <v>Ghana</v>
      </c>
      <c r="J84" s="9" t="str">
        <f ca="1">+WORLDCUP!BD68</f>
        <v>RD Congo</v>
      </c>
      <c r="N84" s="16" t="s">
        <v>869</v>
      </c>
      <c r="O84" s="16">
        <v>83</v>
      </c>
      <c r="P84" s="16" t="s">
        <v>117</v>
      </c>
      <c r="Q84" s="16" t="s">
        <v>126</v>
      </c>
      <c r="R84" s="16" t="s">
        <v>90</v>
      </c>
      <c r="S84" s="16" t="s">
        <v>94</v>
      </c>
      <c r="T84" s="16" t="s">
        <v>121</v>
      </c>
      <c r="U84" s="16" t="s">
        <v>108</v>
      </c>
      <c r="V84" s="16" t="s">
        <v>135</v>
      </c>
      <c r="W84" s="16" t="s">
        <v>130</v>
      </c>
    </row>
    <row r="85" spans="1:23" x14ac:dyDescent="0.2">
      <c r="A85" s="9" t="s">
        <v>870</v>
      </c>
      <c r="B85" s="9">
        <f ca="1">+IF(A85=WORLDCUP!$BI$112,1,0)</f>
        <v>0</v>
      </c>
      <c r="C85" s="9" t="str">
        <f ca="1">+WORLDCUP!BD66</f>
        <v>Senegal</v>
      </c>
      <c r="D85" s="9" t="str">
        <f ca="1">+WORLDCUP!BD64</f>
        <v>Egipto</v>
      </c>
      <c r="E85" s="9" t="str">
        <f ca="1">+WORLDCUP!BD59</f>
        <v>Catar</v>
      </c>
      <c r="F85" s="9" t="str">
        <f ca="1">+WORLDCUP!BD60</f>
        <v>Haití</v>
      </c>
      <c r="G85" s="9" t="str">
        <f ca="1">+WORLDCUP!BD67</f>
        <v>Argelia</v>
      </c>
      <c r="H85" s="9" t="str">
        <f ca="1">+WORLDCUP!BD63</f>
        <v>Suecia</v>
      </c>
      <c r="I85" s="9" t="str">
        <f ca="1">+WORLDCUP!BD69</f>
        <v>Ghana</v>
      </c>
      <c r="J85" s="9" t="str">
        <f ca="1">+WORLDCUP!BD68</f>
        <v>RD Congo</v>
      </c>
      <c r="N85" s="16" t="s">
        <v>870</v>
      </c>
      <c r="O85" s="16">
        <v>84</v>
      </c>
      <c r="P85" s="16" t="s">
        <v>121</v>
      </c>
      <c r="Q85" s="16" t="s">
        <v>112</v>
      </c>
      <c r="R85" s="16" t="s">
        <v>90</v>
      </c>
      <c r="S85" s="16" t="s">
        <v>94</v>
      </c>
      <c r="T85" s="16" t="s">
        <v>126</v>
      </c>
      <c r="U85" s="16" t="s">
        <v>108</v>
      </c>
      <c r="V85" s="16" t="s">
        <v>135</v>
      </c>
      <c r="W85" s="16" t="s">
        <v>130</v>
      </c>
    </row>
    <row r="86" spans="1:23" x14ac:dyDescent="0.2">
      <c r="A86" s="9" t="s">
        <v>871</v>
      </c>
      <c r="B86" s="9">
        <f ca="1">+IF(A86=WORLDCUP!$BI$112,1,0)</f>
        <v>0</v>
      </c>
      <c r="C86" s="9" t="str">
        <f ca="1">+WORLDCUP!BD65</f>
        <v>Arabia Saudita</v>
      </c>
      <c r="D86" s="9" t="str">
        <f ca="1">+WORLDCUP!BD64</f>
        <v>Egipto</v>
      </c>
      <c r="E86" s="9" t="str">
        <f ca="1">+WORLDCUP!BD59</f>
        <v>Catar</v>
      </c>
      <c r="F86" s="9" t="str">
        <f ca="1">+WORLDCUP!BD60</f>
        <v>Haití</v>
      </c>
      <c r="G86" s="9" t="str">
        <f ca="1">+WORLDCUP!BD67</f>
        <v>Argelia</v>
      </c>
      <c r="H86" s="9" t="str">
        <f ca="1">+WORLDCUP!BD63</f>
        <v>Suecia</v>
      </c>
      <c r="I86" s="9" t="str">
        <f ca="1">+WORLDCUP!BD69</f>
        <v>Ghana</v>
      </c>
      <c r="J86" s="9" t="str">
        <f ca="1">+WORLDCUP!BD68</f>
        <v>RD Congo</v>
      </c>
      <c r="N86" s="16" t="s">
        <v>871</v>
      </c>
      <c r="O86" s="16">
        <v>85</v>
      </c>
      <c r="P86" s="16" t="s">
        <v>117</v>
      </c>
      <c r="Q86" s="16" t="s">
        <v>112</v>
      </c>
      <c r="R86" s="16" t="s">
        <v>90</v>
      </c>
      <c r="S86" s="16" t="s">
        <v>94</v>
      </c>
      <c r="T86" s="16" t="s">
        <v>126</v>
      </c>
      <c r="U86" s="16" t="s">
        <v>108</v>
      </c>
      <c r="V86" s="16" t="s">
        <v>135</v>
      </c>
      <c r="W86" s="16" t="s">
        <v>130</v>
      </c>
    </row>
    <row r="87" spans="1:23" x14ac:dyDescent="0.2">
      <c r="A87" s="9" t="s">
        <v>872</v>
      </c>
      <c r="B87" s="9">
        <f ca="1">+IF(A87=WORLDCUP!$BI$112,1,0)</f>
        <v>0</v>
      </c>
      <c r="C87" s="9" t="str">
        <f ca="1">+WORLDCUP!BD65</f>
        <v>Arabia Saudita</v>
      </c>
      <c r="D87" s="9" t="str">
        <f ca="1">+WORLDCUP!BD64</f>
        <v>Egipto</v>
      </c>
      <c r="E87" s="9" t="str">
        <f ca="1">+WORLDCUP!BD59</f>
        <v>Catar</v>
      </c>
      <c r="F87" s="9" t="str">
        <f ca="1">+WORLDCUP!BD60</f>
        <v>Haití</v>
      </c>
      <c r="G87" s="9" t="str">
        <f ca="1">+WORLDCUP!BD66</f>
        <v>Senegal</v>
      </c>
      <c r="H87" s="9" t="str">
        <f ca="1">+WORLDCUP!BD63</f>
        <v>Suecia</v>
      </c>
      <c r="I87" s="9" t="str">
        <f ca="1">+WORLDCUP!BD69</f>
        <v>Ghana</v>
      </c>
      <c r="J87" s="9" t="str">
        <f ca="1">+WORLDCUP!BD68</f>
        <v>RD Congo</v>
      </c>
      <c r="N87" s="16" t="s">
        <v>872</v>
      </c>
      <c r="O87" s="16">
        <v>86</v>
      </c>
      <c r="P87" s="16" t="s">
        <v>117</v>
      </c>
      <c r="Q87" s="16" t="s">
        <v>112</v>
      </c>
      <c r="R87" s="16" t="s">
        <v>90</v>
      </c>
      <c r="S87" s="16" t="s">
        <v>94</v>
      </c>
      <c r="T87" s="16" t="s">
        <v>121</v>
      </c>
      <c r="U87" s="16" t="s">
        <v>108</v>
      </c>
      <c r="V87" s="16" t="s">
        <v>135</v>
      </c>
      <c r="W87" s="16" t="s">
        <v>130</v>
      </c>
    </row>
    <row r="88" spans="1:23" x14ac:dyDescent="0.2">
      <c r="A88" s="9" t="s">
        <v>873</v>
      </c>
      <c r="B88" s="9">
        <f ca="1">+IF(A88=WORLDCUP!$BI$112,1,0)</f>
        <v>0</v>
      </c>
      <c r="C88" s="9" t="str">
        <f ca="1">+WORLDCUP!BD65</f>
        <v>Arabia Saudita</v>
      </c>
      <c r="D88" s="9" t="str">
        <f ca="1">+WORLDCUP!BD64</f>
        <v>Egipto</v>
      </c>
      <c r="E88" s="9" t="str">
        <f ca="1">+WORLDCUP!BD59</f>
        <v>Catar</v>
      </c>
      <c r="F88" s="9" t="str">
        <f ca="1">+WORLDCUP!BD60</f>
        <v>Haití</v>
      </c>
      <c r="G88" s="9" t="str">
        <f ca="1">+WORLDCUP!BD67</f>
        <v>Argelia</v>
      </c>
      <c r="H88" s="9" t="str">
        <f ca="1">+WORLDCUP!BD63</f>
        <v>Suecia</v>
      </c>
      <c r="I88" s="9" t="str">
        <f ca="1">+WORLDCUP!BD69</f>
        <v>Ghana</v>
      </c>
      <c r="J88" s="9" t="str">
        <f ca="1">+WORLDCUP!BD66</f>
        <v>Senegal</v>
      </c>
      <c r="N88" s="16" t="s">
        <v>873</v>
      </c>
      <c r="O88" s="16">
        <v>87</v>
      </c>
      <c r="P88" s="16" t="s">
        <v>117</v>
      </c>
      <c r="Q88" s="16" t="s">
        <v>112</v>
      </c>
      <c r="R88" s="16" t="s">
        <v>90</v>
      </c>
      <c r="S88" s="16" t="s">
        <v>94</v>
      </c>
      <c r="T88" s="16" t="s">
        <v>126</v>
      </c>
      <c r="U88" s="16" t="s">
        <v>108</v>
      </c>
      <c r="V88" s="16" t="s">
        <v>135</v>
      </c>
      <c r="W88" s="16" t="s">
        <v>121</v>
      </c>
    </row>
    <row r="89" spans="1:23" x14ac:dyDescent="0.2">
      <c r="A89" s="9" t="s">
        <v>874</v>
      </c>
      <c r="B89" s="9">
        <f ca="1">+IF(A89=WORLDCUP!$BI$112,1,0)</f>
        <v>0</v>
      </c>
      <c r="C89" s="9" t="str">
        <f ca="1">+WORLDCUP!BD65</f>
        <v>Arabia Saudita</v>
      </c>
      <c r="D89" s="9" t="str">
        <f ca="1">+WORLDCUP!BD64</f>
        <v>Egipto</v>
      </c>
      <c r="E89" s="9" t="str">
        <f ca="1">+WORLDCUP!BD59</f>
        <v>Catar</v>
      </c>
      <c r="F89" s="9" t="str">
        <f ca="1">+WORLDCUP!BD60</f>
        <v>Haití</v>
      </c>
      <c r="G89" s="9" t="str">
        <f ca="1">+WORLDCUP!BD67</f>
        <v>Argelia</v>
      </c>
      <c r="H89" s="9" t="str">
        <f ca="1">+WORLDCUP!BD63</f>
        <v>Suecia</v>
      </c>
      <c r="I89" s="9" t="str">
        <f ca="1">+WORLDCUP!BD66</f>
        <v>Senegal</v>
      </c>
      <c r="J89" s="9" t="str">
        <f ca="1">+WORLDCUP!BD68</f>
        <v>RD Congo</v>
      </c>
      <c r="N89" s="16" t="s">
        <v>874</v>
      </c>
      <c r="O89" s="16">
        <v>88</v>
      </c>
      <c r="P89" s="16" t="s">
        <v>117</v>
      </c>
      <c r="Q89" s="16" t="s">
        <v>112</v>
      </c>
      <c r="R89" s="16" t="s">
        <v>90</v>
      </c>
      <c r="S89" s="16" t="s">
        <v>94</v>
      </c>
      <c r="T89" s="16" t="s">
        <v>126</v>
      </c>
      <c r="U89" s="16" t="s">
        <v>108</v>
      </c>
      <c r="V89" s="16" t="s">
        <v>121</v>
      </c>
      <c r="W89" s="16" t="s">
        <v>130</v>
      </c>
    </row>
    <row r="90" spans="1:23" x14ac:dyDescent="0.2">
      <c r="A90" s="9" t="s">
        <v>875</v>
      </c>
      <c r="B90" s="9">
        <f ca="1">+IF(A90=WORLDCUP!$BI$112,1,0)</f>
        <v>0</v>
      </c>
      <c r="C90" s="9" t="str">
        <f ca="1">+WORLDCUP!BD62</f>
        <v>Curazao</v>
      </c>
      <c r="D90" s="9" t="str">
        <f ca="1">+WORLDCUP!BD67</f>
        <v>Argelia</v>
      </c>
      <c r="E90" s="9" t="str">
        <f ca="1">+WORLDCUP!BD59</f>
        <v>Catar</v>
      </c>
      <c r="F90" s="9" t="str">
        <f ca="1">+WORLDCUP!BD60</f>
        <v>Haití</v>
      </c>
      <c r="G90" s="9" t="str">
        <f ca="1">+WORLDCUP!BD66</f>
        <v>Senegal</v>
      </c>
      <c r="H90" s="9" t="str">
        <f ca="1">+WORLDCUP!BD65</f>
        <v>Arabia Saudita</v>
      </c>
      <c r="I90" s="9" t="str">
        <f ca="1">+WORLDCUP!BD69</f>
        <v>Ghana</v>
      </c>
      <c r="J90" s="9" t="str">
        <f ca="1">+WORLDCUP!BD68</f>
        <v>RD Congo</v>
      </c>
      <c r="N90" s="16" t="s">
        <v>875</v>
      </c>
      <c r="O90" s="16">
        <v>89</v>
      </c>
      <c r="P90" s="16" t="s">
        <v>103</v>
      </c>
      <c r="Q90" s="16" t="s">
        <v>126</v>
      </c>
      <c r="R90" s="16" t="s">
        <v>90</v>
      </c>
      <c r="S90" s="16" t="s">
        <v>94</v>
      </c>
      <c r="T90" s="16" t="s">
        <v>121</v>
      </c>
      <c r="U90" s="16" t="s">
        <v>117</v>
      </c>
      <c r="V90" s="16" t="s">
        <v>135</v>
      </c>
      <c r="W90" s="16" t="s">
        <v>130</v>
      </c>
    </row>
    <row r="91" spans="1:23" x14ac:dyDescent="0.2">
      <c r="A91" s="9" t="s">
        <v>876</v>
      </c>
      <c r="B91" s="9">
        <f ca="1">+IF(A91=WORLDCUP!$BI$112,1,0)</f>
        <v>0</v>
      </c>
      <c r="C91" s="9" t="str">
        <f ca="1">+WORLDCUP!BD62</f>
        <v>Curazao</v>
      </c>
      <c r="D91" s="9" t="str">
        <f ca="1">+WORLDCUP!BD67</f>
        <v>Argelia</v>
      </c>
      <c r="E91" s="9" t="str">
        <f ca="1">+WORLDCUP!BD59</f>
        <v>Catar</v>
      </c>
      <c r="F91" s="9" t="str">
        <f ca="1">+WORLDCUP!BD60</f>
        <v>Haití</v>
      </c>
      <c r="G91" s="9" t="str">
        <f ca="1">+WORLDCUP!BD66</f>
        <v>Senegal</v>
      </c>
      <c r="H91" s="9" t="str">
        <f ca="1">+WORLDCUP!BD64</f>
        <v>Egipto</v>
      </c>
      <c r="I91" s="9" t="str">
        <f ca="1">+WORLDCUP!BD69</f>
        <v>Ghana</v>
      </c>
      <c r="J91" s="9" t="str">
        <f ca="1">+WORLDCUP!BD68</f>
        <v>RD Congo</v>
      </c>
      <c r="N91" s="16" t="s">
        <v>876</v>
      </c>
      <c r="O91" s="16">
        <v>90</v>
      </c>
      <c r="P91" s="16" t="s">
        <v>103</v>
      </c>
      <c r="Q91" s="16" t="s">
        <v>126</v>
      </c>
      <c r="R91" s="16" t="s">
        <v>90</v>
      </c>
      <c r="S91" s="16" t="s">
        <v>94</v>
      </c>
      <c r="T91" s="16" t="s">
        <v>121</v>
      </c>
      <c r="U91" s="16" t="s">
        <v>112</v>
      </c>
      <c r="V91" s="16" t="s">
        <v>135</v>
      </c>
      <c r="W91" s="16" t="s">
        <v>130</v>
      </c>
    </row>
    <row r="92" spans="1:23" x14ac:dyDescent="0.2">
      <c r="A92" s="9" t="s">
        <v>877</v>
      </c>
      <c r="B92" s="9">
        <f ca="1">+IF(A92=WORLDCUP!$BI$112,1,0)</f>
        <v>0</v>
      </c>
      <c r="C92" s="9" t="str">
        <f ca="1">+WORLDCUP!BD62</f>
        <v>Curazao</v>
      </c>
      <c r="D92" s="9" t="str">
        <f ca="1">+WORLDCUP!BD67</f>
        <v>Argelia</v>
      </c>
      <c r="E92" s="9" t="str">
        <f ca="1">+WORLDCUP!BD59</f>
        <v>Catar</v>
      </c>
      <c r="F92" s="9" t="str">
        <f ca="1">+WORLDCUP!BD60</f>
        <v>Haití</v>
      </c>
      <c r="G92" s="9" t="str">
        <f ca="1">+WORLDCUP!BD65</f>
        <v>Arabia Saudita</v>
      </c>
      <c r="H92" s="9" t="str">
        <f ca="1">+WORLDCUP!BD64</f>
        <v>Egipto</v>
      </c>
      <c r="I92" s="9" t="str">
        <f ca="1">+WORLDCUP!BD69</f>
        <v>Ghana</v>
      </c>
      <c r="J92" s="9" t="str">
        <f ca="1">+WORLDCUP!BD68</f>
        <v>RD Congo</v>
      </c>
      <c r="N92" s="16" t="s">
        <v>877</v>
      </c>
      <c r="O92" s="16">
        <v>91</v>
      </c>
      <c r="P92" s="16" t="s">
        <v>103</v>
      </c>
      <c r="Q92" s="16" t="s">
        <v>126</v>
      </c>
      <c r="R92" s="16" t="s">
        <v>90</v>
      </c>
      <c r="S92" s="16" t="s">
        <v>94</v>
      </c>
      <c r="T92" s="16" t="s">
        <v>117</v>
      </c>
      <c r="U92" s="16" t="s">
        <v>112</v>
      </c>
      <c r="V92" s="16" t="s">
        <v>135</v>
      </c>
      <c r="W92" s="16" t="s">
        <v>130</v>
      </c>
    </row>
    <row r="93" spans="1:23" x14ac:dyDescent="0.2">
      <c r="A93" s="9" t="s">
        <v>878</v>
      </c>
      <c r="B93" s="9">
        <f ca="1">+IF(A93=WORLDCUP!$BI$112,1,0)</f>
        <v>0</v>
      </c>
      <c r="C93" s="9" t="str">
        <f ca="1">+WORLDCUP!BD62</f>
        <v>Curazao</v>
      </c>
      <c r="D93" s="9" t="str">
        <f ca="1">+WORLDCUP!BD64</f>
        <v>Egipto</v>
      </c>
      <c r="E93" s="9" t="str">
        <f ca="1">+WORLDCUP!BD59</f>
        <v>Catar</v>
      </c>
      <c r="F93" s="9" t="str">
        <f ca="1">+WORLDCUP!BD60</f>
        <v>Haití</v>
      </c>
      <c r="G93" s="9" t="str">
        <f ca="1">+WORLDCUP!BD66</f>
        <v>Senegal</v>
      </c>
      <c r="H93" s="9" t="str">
        <f ca="1">+WORLDCUP!BD65</f>
        <v>Arabia Saudita</v>
      </c>
      <c r="I93" s="9" t="str">
        <f ca="1">+WORLDCUP!BD69</f>
        <v>Ghana</v>
      </c>
      <c r="J93" s="9" t="str">
        <f ca="1">+WORLDCUP!BD68</f>
        <v>RD Congo</v>
      </c>
      <c r="N93" s="16" t="s">
        <v>878</v>
      </c>
      <c r="O93" s="16">
        <v>92</v>
      </c>
      <c r="P93" s="16" t="s">
        <v>103</v>
      </c>
      <c r="Q93" s="16" t="s">
        <v>112</v>
      </c>
      <c r="R93" s="16" t="s">
        <v>90</v>
      </c>
      <c r="S93" s="16" t="s">
        <v>94</v>
      </c>
      <c r="T93" s="16" t="s">
        <v>121</v>
      </c>
      <c r="U93" s="16" t="s">
        <v>117</v>
      </c>
      <c r="V93" s="16" t="s">
        <v>135</v>
      </c>
      <c r="W93" s="16" t="s">
        <v>130</v>
      </c>
    </row>
    <row r="94" spans="1:23" x14ac:dyDescent="0.2">
      <c r="A94" s="9" t="s">
        <v>879</v>
      </c>
      <c r="B94" s="9">
        <f ca="1">+IF(A94=WORLDCUP!$BI$112,1,0)</f>
        <v>0</v>
      </c>
      <c r="C94" s="9" t="str">
        <f ca="1">+WORLDCUP!BD62</f>
        <v>Curazao</v>
      </c>
      <c r="D94" s="9" t="str">
        <f ca="1">+WORLDCUP!BD67</f>
        <v>Argelia</v>
      </c>
      <c r="E94" s="9" t="str">
        <f ca="1">+WORLDCUP!BD59</f>
        <v>Catar</v>
      </c>
      <c r="F94" s="9" t="str">
        <f ca="1">+WORLDCUP!BD60</f>
        <v>Haití</v>
      </c>
      <c r="G94" s="9" t="str">
        <f ca="1">+WORLDCUP!BD65</f>
        <v>Arabia Saudita</v>
      </c>
      <c r="H94" s="9" t="str">
        <f ca="1">+WORLDCUP!BD64</f>
        <v>Egipto</v>
      </c>
      <c r="I94" s="9" t="str">
        <f ca="1">+WORLDCUP!BD69</f>
        <v>Ghana</v>
      </c>
      <c r="J94" s="9" t="str">
        <f ca="1">+WORLDCUP!BD66</f>
        <v>Senegal</v>
      </c>
      <c r="N94" s="16" t="s">
        <v>879</v>
      </c>
      <c r="O94" s="16">
        <v>93</v>
      </c>
      <c r="P94" s="16" t="s">
        <v>103</v>
      </c>
      <c r="Q94" s="16" t="s">
        <v>126</v>
      </c>
      <c r="R94" s="16" t="s">
        <v>90</v>
      </c>
      <c r="S94" s="16" t="s">
        <v>94</v>
      </c>
      <c r="T94" s="16" t="s">
        <v>117</v>
      </c>
      <c r="U94" s="16" t="s">
        <v>112</v>
      </c>
      <c r="V94" s="16" t="s">
        <v>135</v>
      </c>
      <c r="W94" s="16" t="s">
        <v>121</v>
      </c>
    </row>
    <row r="95" spans="1:23" x14ac:dyDescent="0.2">
      <c r="A95" s="9" t="s">
        <v>880</v>
      </c>
      <c r="B95" s="9">
        <f ca="1">+IF(A95=WORLDCUP!$BI$112,1,0)</f>
        <v>0</v>
      </c>
      <c r="C95" s="9" t="str">
        <f ca="1">+WORLDCUP!BD62</f>
        <v>Curazao</v>
      </c>
      <c r="D95" s="9" t="str">
        <f ca="1">+WORLDCUP!BD67</f>
        <v>Argelia</v>
      </c>
      <c r="E95" s="9" t="str">
        <f ca="1">+WORLDCUP!BD59</f>
        <v>Catar</v>
      </c>
      <c r="F95" s="9" t="str">
        <f ca="1">+WORLDCUP!BD60</f>
        <v>Haití</v>
      </c>
      <c r="G95" s="9" t="str">
        <f ca="1">+WORLDCUP!BD65</f>
        <v>Arabia Saudita</v>
      </c>
      <c r="H95" s="9" t="str">
        <f ca="1">+WORLDCUP!BD64</f>
        <v>Egipto</v>
      </c>
      <c r="I95" s="9" t="str">
        <f ca="1">+WORLDCUP!BD66</f>
        <v>Senegal</v>
      </c>
      <c r="J95" s="9" t="str">
        <f ca="1">+WORLDCUP!BD68</f>
        <v>RD Congo</v>
      </c>
      <c r="N95" s="16" t="s">
        <v>880</v>
      </c>
      <c r="O95" s="16">
        <v>94</v>
      </c>
      <c r="P95" s="16" t="s">
        <v>103</v>
      </c>
      <c r="Q95" s="16" t="s">
        <v>126</v>
      </c>
      <c r="R95" s="16" t="s">
        <v>90</v>
      </c>
      <c r="S95" s="16" t="s">
        <v>94</v>
      </c>
      <c r="T95" s="16" t="s">
        <v>117</v>
      </c>
      <c r="U95" s="16" t="s">
        <v>112</v>
      </c>
      <c r="V95" s="16" t="s">
        <v>121</v>
      </c>
      <c r="W95" s="16" t="s">
        <v>130</v>
      </c>
    </row>
    <row r="96" spans="1:23" x14ac:dyDescent="0.2">
      <c r="A96" s="9" t="s">
        <v>881</v>
      </c>
      <c r="B96" s="9">
        <f ca="1">+IF(A96=WORLDCUP!$BI$112,1,0)</f>
        <v>0</v>
      </c>
      <c r="C96" s="9" t="str">
        <f ca="1">+WORLDCUP!BD62</f>
        <v>Curazao</v>
      </c>
      <c r="D96" s="9" t="str">
        <f ca="1">+WORLDCUP!BD67</f>
        <v>Argelia</v>
      </c>
      <c r="E96" s="9" t="str">
        <f ca="1">+WORLDCUP!BD59</f>
        <v>Catar</v>
      </c>
      <c r="F96" s="9" t="str">
        <f ca="1">+WORLDCUP!BD60</f>
        <v>Haití</v>
      </c>
      <c r="G96" s="9" t="str">
        <f ca="1">+WORLDCUP!BD66</f>
        <v>Senegal</v>
      </c>
      <c r="H96" s="9" t="str">
        <f ca="1">+WORLDCUP!BD63</f>
        <v>Suecia</v>
      </c>
      <c r="I96" s="9" t="str">
        <f ca="1">+WORLDCUP!BD69</f>
        <v>Ghana</v>
      </c>
      <c r="J96" s="9" t="str">
        <f ca="1">+WORLDCUP!BD68</f>
        <v>RD Congo</v>
      </c>
      <c r="N96" s="16" t="s">
        <v>881</v>
      </c>
      <c r="O96" s="16">
        <v>95</v>
      </c>
      <c r="P96" s="16" t="s">
        <v>103</v>
      </c>
      <c r="Q96" s="16" t="s">
        <v>126</v>
      </c>
      <c r="R96" s="16" t="s">
        <v>90</v>
      </c>
      <c r="S96" s="16" t="s">
        <v>94</v>
      </c>
      <c r="T96" s="16" t="s">
        <v>121</v>
      </c>
      <c r="U96" s="16" t="s">
        <v>108</v>
      </c>
      <c r="V96" s="16" t="s">
        <v>135</v>
      </c>
      <c r="W96" s="16" t="s">
        <v>130</v>
      </c>
    </row>
    <row r="97" spans="1:23" x14ac:dyDescent="0.2">
      <c r="A97" s="9" t="s">
        <v>882</v>
      </c>
      <c r="B97" s="9">
        <f ca="1">+IF(A97=WORLDCUP!$BI$112,1,0)</f>
        <v>0</v>
      </c>
      <c r="C97" s="9" t="str">
        <f ca="1">+WORLDCUP!BD62</f>
        <v>Curazao</v>
      </c>
      <c r="D97" s="9" t="str">
        <f ca="1">+WORLDCUP!BD67</f>
        <v>Argelia</v>
      </c>
      <c r="E97" s="9" t="str">
        <f ca="1">+WORLDCUP!BD59</f>
        <v>Catar</v>
      </c>
      <c r="F97" s="9" t="str">
        <f ca="1">+WORLDCUP!BD60</f>
        <v>Haití</v>
      </c>
      <c r="G97" s="9" t="str">
        <f ca="1">+WORLDCUP!BD65</f>
        <v>Arabia Saudita</v>
      </c>
      <c r="H97" s="9" t="str">
        <f ca="1">+WORLDCUP!BD63</f>
        <v>Suecia</v>
      </c>
      <c r="I97" s="9" t="str">
        <f ca="1">+WORLDCUP!BD69</f>
        <v>Ghana</v>
      </c>
      <c r="J97" s="9" t="str">
        <f ca="1">+WORLDCUP!BD68</f>
        <v>RD Congo</v>
      </c>
      <c r="N97" s="16" t="s">
        <v>882</v>
      </c>
      <c r="O97" s="16">
        <v>96</v>
      </c>
      <c r="P97" s="16" t="s">
        <v>103</v>
      </c>
      <c r="Q97" s="16" t="s">
        <v>126</v>
      </c>
      <c r="R97" s="16" t="s">
        <v>90</v>
      </c>
      <c r="S97" s="16" t="s">
        <v>94</v>
      </c>
      <c r="T97" s="16" t="s">
        <v>117</v>
      </c>
      <c r="U97" s="16" t="s">
        <v>108</v>
      </c>
      <c r="V97" s="16" t="s">
        <v>135</v>
      </c>
      <c r="W97" s="16" t="s">
        <v>130</v>
      </c>
    </row>
    <row r="98" spans="1:23" x14ac:dyDescent="0.2">
      <c r="A98" s="9" t="s">
        <v>883</v>
      </c>
      <c r="B98" s="9">
        <f ca="1">+IF(A98=WORLDCUP!$BI$112,1,0)</f>
        <v>0</v>
      </c>
      <c r="C98" s="9" t="str">
        <f ca="1">+WORLDCUP!BD62</f>
        <v>Curazao</v>
      </c>
      <c r="D98" s="9" t="str">
        <f ca="1">+WORLDCUP!BD66</f>
        <v>Senegal</v>
      </c>
      <c r="E98" s="9" t="str">
        <f ca="1">+WORLDCUP!BD59</f>
        <v>Catar</v>
      </c>
      <c r="F98" s="9" t="str">
        <f ca="1">+WORLDCUP!BD60</f>
        <v>Haití</v>
      </c>
      <c r="G98" s="9" t="str">
        <f ca="1">+WORLDCUP!BD65</f>
        <v>Arabia Saudita</v>
      </c>
      <c r="H98" s="9" t="str">
        <f ca="1">+WORLDCUP!BD63</f>
        <v>Suecia</v>
      </c>
      <c r="I98" s="9" t="str">
        <f ca="1">+WORLDCUP!BD69</f>
        <v>Ghana</v>
      </c>
      <c r="J98" s="9" t="str">
        <f ca="1">+WORLDCUP!BD68</f>
        <v>RD Congo</v>
      </c>
      <c r="N98" s="16" t="s">
        <v>883</v>
      </c>
      <c r="O98" s="16">
        <v>97</v>
      </c>
      <c r="P98" s="16" t="s">
        <v>103</v>
      </c>
      <c r="Q98" s="16" t="s">
        <v>121</v>
      </c>
      <c r="R98" s="16" t="s">
        <v>90</v>
      </c>
      <c r="S98" s="16" t="s">
        <v>94</v>
      </c>
      <c r="T98" s="16" t="s">
        <v>117</v>
      </c>
      <c r="U98" s="16" t="s">
        <v>108</v>
      </c>
      <c r="V98" s="16" t="s">
        <v>135</v>
      </c>
      <c r="W98" s="16" t="s">
        <v>130</v>
      </c>
    </row>
    <row r="99" spans="1:23" x14ac:dyDescent="0.2">
      <c r="A99" s="9" t="s">
        <v>884</v>
      </c>
      <c r="B99" s="9">
        <f ca="1">+IF(A99=WORLDCUP!$BI$112,1,0)</f>
        <v>0</v>
      </c>
      <c r="C99" s="9" t="str">
        <f ca="1">+WORLDCUP!BD62</f>
        <v>Curazao</v>
      </c>
      <c r="D99" s="9" t="str">
        <f ca="1">+WORLDCUP!BD67</f>
        <v>Argelia</v>
      </c>
      <c r="E99" s="9" t="str">
        <f ca="1">+WORLDCUP!BD59</f>
        <v>Catar</v>
      </c>
      <c r="F99" s="9" t="str">
        <f ca="1">+WORLDCUP!BD60</f>
        <v>Haití</v>
      </c>
      <c r="G99" s="9" t="str">
        <f ca="1">+WORLDCUP!BD65</f>
        <v>Arabia Saudita</v>
      </c>
      <c r="H99" s="9" t="str">
        <f ca="1">+WORLDCUP!BD63</f>
        <v>Suecia</v>
      </c>
      <c r="I99" s="9" t="str">
        <f ca="1">+WORLDCUP!BD69</f>
        <v>Ghana</v>
      </c>
      <c r="J99" s="9" t="str">
        <f ca="1">+WORLDCUP!BD66</f>
        <v>Senegal</v>
      </c>
      <c r="N99" s="16" t="s">
        <v>884</v>
      </c>
      <c r="O99" s="16">
        <v>98</v>
      </c>
      <c r="P99" s="16" t="s">
        <v>103</v>
      </c>
      <c r="Q99" s="16" t="s">
        <v>126</v>
      </c>
      <c r="R99" s="16" t="s">
        <v>90</v>
      </c>
      <c r="S99" s="16" t="s">
        <v>94</v>
      </c>
      <c r="T99" s="16" t="s">
        <v>117</v>
      </c>
      <c r="U99" s="16" t="s">
        <v>108</v>
      </c>
      <c r="V99" s="16" t="s">
        <v>135</v>
      </c>
      <c r="W99" s="16" t="s">
        <v>121</v>
      </c>
    </row>
    <row r="100" spans="1:23" x14ac:dyDescent="0.2">
      <c r="A100" s="9" t="s">
        <v>885</v>
      </c>
      <c r="B100" s="9">
        <f ca="1">+IF(A100=WORLDCUP!$BI$112,1,0)</f>
        <v>0</v>
      </c>
      <c r="C100" s="9" t="str">
        <f ca="1">+WORLDCUP!BD62</f>
        <v>Curazao</v>
      </c>
      <c r="D100" s="9" t="str">
        <f ca="1">+WORLDCUP!BD67</f>
        <v>Argelia</v>
      </c>
      <c r="E100" s="9" t="str">
        <f ca="1">+WORLDCUP!BD59</f>
        <v>Catar</v>
      </c>
      <c r="F100" s="9" t="str">
        <f ca="1">+WORLDCUP!BD60</f>
        <v>Haití</v>
      </c>
      <c r="G100" s="9" t="str">
        <f ca="1">+WORLDCUP!BD65</f>
        <v>Arabia Saudita</v>
      </c>
      <c r="H100" s="9" t="str">
        <f ca="1">+WORLDCUP!BD63</f>
        <v>Suecia</v>
      </c>
      <c r="I100" s="9" t="str">
        <f ca="1">+WORLDCUP!BD66</f>
        <v>Senegal</v>
      </c>
      <c r="J100" s="9" t="str">
        <f ca="1">+WORLDCUP!BD68</f>
        <v>RD Congo</v>
      </c>
      <c r="N100" s="16" t="s">
        <v>885</v>
      </c>
      <c r="O100" s="16">
        <v>99</v>
      </c>
      <c r="P100" s="16" t="s">
        <v>103</v>
      </c>
      <c r="Q100" s="16" t="s">
        <v>126</v>
      </c>
      <c r="R100" s="16" t="s">
        <v>90</v>
      </c>
      <c r="S100" s="16" t="s">
        <v>94</v>
      </c>
      <c r="T100" s="16" t="s">
        <v>117</v>
      </c>
      <c r="U100" s="16" t="s">
        <v>108</v>
      </c>
      <c r="V100" s="16" t="s">
        <v>121</v>
      </c>
      <c r="W100" s="16" t="s">
        <v>130</v>
      </c>
    </row>
    <row r="101" spans="1:23" x14ac:dyDescent="0.2">
      <c r="A101" s="9" t="s">
        <v>886</v>
      </c>
      <c r="B101" s="9">
        <f ca="1">+IF(A101=WORLDCUP!$BI$112,1,0)</f>
        <v>0</v>
      </c>
      <c r="C101" s="9" t="str">
        <f ca="1">+WORLDCUP!BD62</f>
        <v>Curazao</v>
      </c>
      <c r="D101" s="9" t="str">
        <f ca="1">+WORLDCUP!BD64</f>
        <v>Egipto</v>
      </c>
      <c r="E101" s="9" t="str">
        <f ca="1">+WORLDCUP!BD59</f>
        <v>Catar</v>
      </c>
      <c r="F101" s="9" t="str">
        <f ca="1">+WORLDCUP!BD60</f>
        <v>Haití</v>
      </c>
      <c r="G101" s="9" t="str">
        <f ca="1">+WORLDCUP!BD67</f>
        <v>Argelia</v>
      </c>
      <c r="H101" s="9" t="str">
        <f ca="1">+WORLDCUP!BD63</f>
        <v>Suecia</v>
      </c>
      <c r="I101" s="9" t="str">
        <f ca="1">+WORLDCUP!BD69</f>
        <v>Ghana</v>
      </c>
      <c r="J101" s="9" t="str">
        <f ca="1">+WORLDCUP!BD68</f>
        <v>RD Congo</v>
      </c>
      <c r="N101" s="16" t="s">
        <v>886</v>
      </c>
      <c r="O101" s="16">
        <v>100</v>
      </c>
      <c r="P101" s="16" t="s">
        <v>103</v>
      </c>
      <c r="Q101" s="16" t="s">
        <v>112</v>
      </c>
      <c r="R101" s="16" t="s">
        <v>90</v>
      </c>
      <c r="S101" s="16" t="s">
        <v>94</v>
      </c>
      <c r="T101" s="16" t="s">
        <v>126</v>
      </c>
      <c r="U101" s="16" t="s">
        <v>108</v>
      </c>
      <c r="V101" s="16" t="s">
        <v>135</v>
      </c>
      <c r="W101" s="16" t="s">
        <v>130</v>
      </c>
    </row>
    <row r="102" spans="1:23" x14ac:dyDescent="0.2">
      <c r="A102" s="9" t="s">
        <v>887</v>
      </c>
      <c r="B102" s="9">
        <f ca="1">+IF(A102=WORLDCUP!$BI$112,1,0)</f>
        <v>0</v>
      </c>
      <c r="C102" s="9" t="str">
        <f ca="1">+WORLDCUP!BD62</f>
        <v>Curazao</v>
      </c>
      <c r="D102" s="9" t="str">
        <f ca="1">+WORLDCUP!BD64</f>
        <v>Egipto</v>
      </c>
      <c r="E102" s="9" t="str">
        <f ca="1">+WORLDCUP!BD59</f>
        <v>Catar</v>
      </c>
      <c r="F102" s="9" t="str">
        <f ca="1">+WORLDCUP!BD60</f>
        <v>Haití</v>
      </c>
      <c r="G102" s="9" t="str">
        <f ca="1">+WORLDCUP!BD66</f>
        <v>Senegal</v>
      </c>
      <c r="H102" s="9" t="str">
        <f ca="1">+WORLDCUP!BD63</f>
        <v>Suecia</v>
      </c>
      <c r="I102" s="9" t="str">
        <f ca="1">+WORLDCUP!BD69</f>
        <v>Ghana</v>
      </c>
      <c r="J102" s="9" t="str">
        <f ca="1">+WORLDCUP!BD68</f>
        <v>RD Congo</v>
      </c>
      <c r="N102" s="16" t="s">
        <v>887</v>
      </c>
      <c r="O102" s="16">
        <v>101</v>
      </c>
      <c r="P102" s="16" t="s">
        <v>103</v>
      </c>
      <c r="Q102" s="16" t="s">
        <v>112</v>
      </c>
      <c r="R102" s="16" t="s">
        <v>90</v>
      </c>
      <c r="S102" s="16" t="s">
        <v>94</v>
      </c>
      <c r="T102" s="16" t="s">
        <v>121</v>
      </c>
      <c r="U102" s="16" t="s">
        <v>108</v>
      </c>
      <c r="V102" s="16" t="s">
        <v>135</v>
      </c>
      <c r="W102" s="16" t="s">
        <v>130</v>
      </c>
    </row>
    <row r="103" spans="1:23" x14ac:dyDescent="0.2">
      <c r="A103" s="9" t="s">
        <v>888</v>
      </c>
      <c r="B103" s="9">
        <f ca="1">+IF(A103=WORLDCUP!$BI$112,1,0)</f>
        <v>0</v>
      </c>
      <c r="C103" s="9" t="str">
        <f ca="1">+WORLDCUP!BD62</f>
        <v>Curazao</v>
      </c>
      <c r="D103" s="9" t="str">
        <f ca="1">+WORLDCUP!BD64</f>
        <v>Egipto</v>
      </c>
      <c r="E103" s="9" t="str">
        <f ca="1">+WORLDCUP!BD59</f>
        <v>Catar</v>
      </c>
      <c r="F103" s="9" t="str">
        <f ca="1">+WORLDCUP!BD60</f>
        <v>Haití</v>
      </c>
      <c r="G103" s="9" t="str">
        <f ca="1">+WORLDCUP!BD67</f>
        <v>Argelia</v>
      </c>
      <c r="H103" s="9" t="str">
        <f ca="1">+WORLDCUP!BD63</f>
        <v>Suecia</v>
      </c>
      <c r="I103" s="9" t="str">
        <f ca="1">+WORLDCUP!BD69</f>
        <v>Ghana</v>
      </c>
      <c r="J103" s="9" t="str">
        <f ca="1">+WORLDCUP!BD66</f>
        <v>Senegal</v>
      </c>
      <c r="N103" s="16" t="s">
        <v>888</v>
      </c>
      <c r="O103" s="16">
        <v>102</v>
      </c>
      <c r="P103" s="16" t="s">
        <v>103</v>
      </c>
      <c r="Q103" s="16" t="s">
        <v>112</v>
      </c>
      <c r="R103" s="16" t="s">
        <v>90</v>
      </c>
      <c r="S103" s="16" t="s">
        <v>94</v>
      </c>
      <c r="T103" s="16" t="s">
        <v>126</v>
      </c>
      <c r="U103" s="16" t="s">
        <v>108</v>
      </c>
      <c r="V103" s="16" t="s">
        <v>135</v>
      </c>
      <c r="W103" s="16" t="s">
        <v>121</v>
      </c>
    </row>
    <row r="104" spans="1:23" x14ac:dyDescent="0.2">
      <c r="A104" s="9" t="s">
        <v>889</v>
      </c>
      <c r="B104" s="9">
        <f ca="1">+IF(A104=WORLDCUP!$BI$112,1,0)</f>
        <v>0</v>
      </c>
      <c r="C104" s="9" t="str">
        <f ca="1">+WORLDCUP!BD62</f>
        <v>Curazao</v>
      </c>
      <c r="D104" s="9" t="str">
        <f ca="1">+WORLDCUP!BD64</f>
        <v>Egipto</v>
      </c>
      <c r="E104" s="9" t="str">
        <f ca="1">+WORLDCUP!BD59</f>
        <v>Catar</v>
      </c>
      <c r="F104" s="9" t="str">
        <f ca="1">+WORLDCUP!BD60</f>
        <v>Haití</v>
      </c>
      <c r="G104" s="9" t="str">
        <f ca="1">+WORLDCUP!BD67</f>
        <v>Argelia</v>
      </c>
      <c r="H104" s="9" t="str">
        <f ca="1">+WORLDCUP!BD63</f>
        <v>Suecia</v>
      </c>
      <c r="I104" s="9" t="str">
        <f ca="1">+WORLDCUP!BD66</f>
        <v>Senegal</v>
      </c>
      <c r="J104" s="9" t="str">
        <f ca="1">+WORLDCUP!BD68</f>
        <v>RD Congo</v>
      </c>
      <c r="N104" s="16" t="s">
        <v>889</v>
      </c>
      <c r="O104" s="16">
        <v>103</v>
      </c>
      <c r="P104" s="16" t="s">
        <v>103</v>
      </c>
      <c r="Q104" s="16" t="s">
        <v>112</v>
      </c>
      <c r="R104" s="16" t="s">
        <v>90</v>
      </c>
      <c r="S104" s="16" t="s">
        <v>94</v>
      </c>
      <c r="T104" s="16" t="s">
        <v>126</v>
      </c>
      <c r="U104" s="16" t="s">
        <v>108</v>
      </c>
      <c r="V104" s="16" t="s">
        <v>121</v>
      </c>
      <c r="W104" s="16" t="s">
        <v>130</v>
      </c>
    </row>
    <row r="105" spans="1:23" x14ac:dyDescent="0.2">
      <c r="A105" s="9" t="s">
        <v>890</v>
      </c>
      <c r="B105" s="9">
        <f ca="1">+IF(A105=WORLDCUP!$BI$112,1,0)</f>
        <v>0</v>
      </c>
      <c r="C105" s="9" t="str">
        <f ca="1">+WORLDCUP!BD62</f>
        <v>Curazao</v>
      </c>
      <c r="D105" s="9" t="str">
        <f ca="1">+WORLDCUP!BD64</f>
        <v>Egipto</v>
      </c>
      <c r="E105" s="9" t="str">
        <f ca="1">+WORLDCUP!BD59</f>
        <v>Catar</v>
      </c>
      <c r="F105" s="9" t="str">
        <f ca="1">+WORLDCUP!BD60</f>
        <v>Haití</v>
      </c>
      <c r="G105" s="9" t="str">
        <f ca="1">+WORLDCUP!BD65</f>
        <v>Arabia Saudita</v>
      </c>
      <c r="H105" s="9" t="str">
        <f ca="1">+WORLDCUP!BD63</f>
        <v>Suecia</v>
      </c>
      <c r="I105" s="9" t="str">
        <f ca="1">+WORLDCUP!BD69</f>
        <v>Ghana</v>
      </c>
      <c r="J105" s="9" t="str">
        <f ca="1">+WORLDCUP!BD68</f>
        <v>RD Congo</v>
      </c>
      <c r="N105" s="16" t="s">
        <v>890</v>
      </c>
      <c r="O105" s="16">
        <v>104</v>
      </c>
      <c r="P105" s="16" t="s">
        <v>103</v>
      </c>
      <c r="Q105" s="16" t="s">
        <v>112</v>
      </c>
      <c r="R105" s="16" t="s">
        <v>90</v>
      </c>
      <c r="S105" s="16" t="s">
        <v>94</v>
      </c>
      <c r="T105" s="16" t="s">
        <v>117</v>
      </c>
      <c r="U105" s="16" t="s">
        <v>108</v>
      </c>
      <c r="V105" s="16" t="s">
        <v>135</v>
      </c>
      <c r="W105" s="16" t="s">
        <v>130</v>
      </c>
    </row>
    <row r="106" spans="1:23" x14ac:dyDescent="0.2">
      <c r="A106" s="9" t="s">
        <v>891</v>
      </c>
      <c r="B106" s="9">
        <f ca="1">+IF(A106=WORLDCUP!$BI$112,1,0)</f>
        <v>0</v>
      </c>
      <c r="C106" s="9" t="str">
        <f ca="1">+WORLDCUP!BD65</f>
        <v>Arabia Saudita</v>
      </c>
      <c r="D106" s="9" t="str">
        <f ca="1">+WORLDCUP!BD64</f>
        <v>Egipto</v>
      </c>
      <c r="E106" s="9" t="str">
        <f ca="1">+WORLDCUP!BD59</f>
        <v>Catar</v>
      </c>
      <c r="F106" s="9" t="str">
        <f ca="1">+WORLDCUP!BD60</f>
        <v>Haití</v>
      </c>
      <c r="G106" s="9" t="str">
        <f ca="1">+WORLDCUP!BD67</f>
        <v>Argelia</v>
      </c>
      <c r="H106" s="9" t="str">
        <f ca="1">+WORLDCUP!BD63</f>
        <v>Suecia</v>
      </c>
      <c r="I106" s="9" t="str">
        <f ca="1">+WORLDCUP!BD69</f>
        <v>Ghana</v>
      </c>
      <c r="J106" s="9" t="str">
        <f ca="1">+WORLDCUP!BD62</f>
        <v>Curazao</v>
      </c>
      <c r="N106" s="16" t="s">
        <v>891</v>
      </c>
      <c r="O106" s="16">
        <v>105</v>
      </c>
      <c r="P106" s="16" t="s">
        <v>117</v>
      </c>
      <c r="Q106" s="16" t="s">
        <v>112</v>
      </c>
      <c r="R106" s="16" t="s">
        <v>90</v>
      </c>
      <c r="S106" s="16" t="s">
        <v>94</v>
      </c>
      <c r="T106" s="16" t="s">
        <v>126</v>
      </c>
      <c r="U106" s="16" t="s">
        <v>108</v>
      </c>
      <c r="V106" s="16" t="s">
        <v>135</v>
      </c>
      <c r="W106" s="16" t="s">
        <v>103</v>
      </c>
    </row>
    <row r="107" spans="1:23" x14ac:dyDescent="0.2">
      <c r="A107" s="9" t="s">
        <v>892</v>
      </c>
      <c r="B107" s="9">
        <f ca="1">+IF(A107=WORLDCUP!$BI$112,1,0)</f>
        <v>0</v>
      </c>
      <c r="C107" s="9" t="str">
        <f ca="1">+WORLDCUP!BD65</f>
        <v>Arabia Saudita</v>
      </c>
      <c r="D107" s="9" t="str">
        <f ca="1">+WORLDCUP!BD64</f>
        <v>Egipto</v>
      </c>
      <c r="E107" s="9" t="str">
        <f ca="1">+WORLDCUP!BD59</f>
        <v>Catar</v>
      </c>
      <c r="F107" s="9" t="str">
        <f ca="1">+WORLDCUP!BD60</f>
        <v>Haití</v>
      </c>
      <c r="G107" s="9" t="str">
        <f ca="1">+WORLDCUP!BD67</f>
        <v>Argelia</v>
      </c>
      <c r="H107" s="9" t="str">
        <f ca="1">+WORLDCUP!BD63</f>
        <v>Suecia</v>
      </c>
      <c r="I107" s="9" t="str">
        <f ca="1">+WORLDCUP!BD62</f>
        <v>Curazao</v>
      </c>
      <c r="J107" s="9" t="str">
        <f ca="1">+WORLDCUP!BD68</f>
        <v>RD Congo</v>
      </c>
      <c r="N107" s="16" t="s">
        <v>892</v>
      </c>
      <c r="O107" s="16">
        <v>106</v>
      </c>
      <c r="P107" s="16" t="s">
        <v>117</v>
      </c>
      <c r="Q107" s="16" t="s">
        <v>112</v>
      </c>
      <c r="R107" s="16" t="s">
        <v>90</v>
      </c>
      <c r="S107" s="16" t="s">
        <v>94</v>
      </c>
      <c r="T107" s="16" t="s">
        <v>126</v>
      </c>
      <c r="U107" s="16" t="s">
        <v>108</v>
      </c>
      <c r="V107" s="16" t="s">
        <v>103</v>
      </c>
      <c r="W107" s="16" t="s">
        <v>130</v>
      </c>
    </row>
    <row r="108" spans="1:23" x14ac:dyDescent="0.2">
      <c r="A108" s="9" t="s">
        <v>893</v>
      </c>
      <c r="B108" s="9">
        <f ca="1">+IF(A108=WORLDCUP!$BI$112,1,0)</f>
        <v>0</v>
      </c>
      <c r="C108" s="9" t="str">
        <f ca="1">+WORLDCUP!BD62</f>
        <v>Curazao</v>
      </c>
      <c r="D108" s="9" t="str">
        <f ca="1">+WORLDCUP!BD64</f>
        <v>Egipto</v>
      </c>
      <c r="E108" s="9" t="str">
        <f ca="1">+WORLDCUP!BD59</f>
        <v>Catar</v>
      </c>
      <c r="F108" s="9" t="str">
        <f ca="1">+WORLDCUP!BD60</f>
        <v>Haití</v>
      </c>
      <c r="G108" s="9" t="str">
        <f ca="1">+WORLDCUP!BD65</f>
        <v>Arabia Saudita</v>
      </c>
      <c r="H108" s="9" t="str">
        <f ca="1">+WORLDCUP!BD63</f>
        <v>Suecia</v>
      </c>
      <c r="I108" s="9" t="str">
        <f ca="1">+WORLDCUP!BD69</f>
        <v>Ghana</v>
      </c>
      <c r="J108" s="9" t="str">
        <f ca="1">+WORLDCUP!BD66</f>
        <v>Senegal</v>
      </c>
      <c r="N108" s="16" t="s">
        <v>893</v>
      </c>
      <c r="O108" s="16">
        <v>107</v>
      </c>
      <c r="P108" s="16" t="s">
        <v>103</v>
      </c>
      <c r="Q108" s="16" t="s">
        <v>112</v>
      </c>
      <c r="R108" s="16" t="s">
        <v>90</v>
      </c>
      <c r="S108" s="16" t="s">
        <v>94</v>
      </c>
      <c r="T108" s="16" t="s">
        <v>117</v>
      </c>
      <c r="U108" s="16" t="s">
        <v>108</v>
      </c>
      <c r="V108" s="16" t="s">
        <v>135</v>
      </c>
      <c r="W108" s="16" t="s">
        <v>121</v>
      </c>
    </row>
    <row r="109" spans="1:23" x14ac:dyDescent="0.2">
      <c r="A109" s="9" t="s">
        <v>894</v>
      </c>
      <c r="B109" s="9">
        <f ca="1">+IF(A109=WORLDCUP!$BI$112,1,0)</f>
        <v>0</v>
      </c>
      <c r="C109" s="9" t="str">
        <f ca="1">+WORLDCUP!BD62</f>
        <v>Curazao</v>
      </c>
      <c r="D109" s="9" t="str">
        <f ca="1">+WORLDCUP!BD64</f>
        <v>Egipto</v>
      </c>
      <c r="E109" s="9" t="str">
        <f ca="1">+WORLDCUP!BD59</f>
        <v>Catar</v>
      </c>
      <c r="F109" s="9" t="str">
        <f ca="1">+WORLDCUP!BD60</f>
        <v>Haití</v>
      </c>
      <c r="G109" s="9" t="str">
        <f ca="1">+WORLDCUP!BD65</f>
        <v>Arabia Saudita</v>
      </c>
      <c r="H109" s="9" t="str">
        <f ca="1">+WORLDCUP!BD63</f>
        <v>Suecia</v>
      </c>
      <c r="I109" s="9" t="str">
        <f ca="1">+WORLDCUP!BD66</f>
        <v>Senegal</v>
      </c>
      <c r="J109" s="9" t="str">
        <f ca="1">+WORLDCUP!BD68</f>
        <v>RD Congo</v>
      </c>
      <c r="N109" s="16" t="s">
        <v>894</v>
      </c>
      <c r="O109" s="16">
        <v>108</v>
      </c>
      <c r="P109" s="16" t="s">
        <v>103</v>
      </c>
      <c r="Q109" s="16" t="s">
        <v>112</v>
      </c>
      <c r="R109" s="16" t="s">
        <v>90</v>
      </c>
      <c r="S109" s="16" t="s">
        <v>94</v>
      </c>
      <c r="T109" s="16" t="s">
        <v>117</v>
      </c>
      <c r="U109" s="16" t="s">
        <v>108</v>
      </c>
      <c r="V109" s="16" t="s">
        <v>121</v>
      </c>
      <c r="W109" s="16" t="s">
        <v>130</v>
      </c>
    </row>
    <row r="110" spans="1:23" x14ac:dyDescent="0.2">
      <c r="A110" s="9" t="s">
        <v>895</v>
      </c>
      <c r="B110" s="9">
        <f ca="1">+IF(A110=WORLDCUP!$BI$112,1,0)</f>
        <v>0</v>
      </c>
      <c r="C110" s="9" t="str">
        <f ca="1">+WORLDCUP!BD65</f>
        <v>Arabia Saudita</v>
      </c>
      <c r="D110" s="9" t="str">
        <f ca="1">+WORLDCUP!BD64</f>
        <v>Egipto</v>
      </c>
      <c r="E110" s="9" t="str">
        <f ca="1">+WORLDCUP!BD59</f>
        <v>Catar</v>
      </c>
      <c r="F110" s="9" t="str">
        <f ca="1">+WORLDCUP!BD60</f>
        <v>Haití</v>
      </c>
      <c r="G110" s="9" t="str">
        <f ca="1">+WORLDCUP!BD67</f>
        <v>Argelia</v>
      </c>
      <c r="H110" s="9" t="str">
        <f ca="1">+WORLDCUP!BD63</f>
        <v>Suecia</v>
      </c>
      <c r="I110" s="9" t="str">
        <f ca="1">+WORLDCUP!BD62</f>
        <v>Curazao</v>
      </c>
      <c r="J110" s="9" t="str">
        <f ca="1">+WORLDCUP!BD66</f>
        <v>Senegal</v>
      </c>
      <c r="N110" s="16" t="s">
        <v>895</v>
      </c>
      <c r="O110" s="16">
        <v>109</v>
      </c>
      <c r="P110" s="16" t="s">
        <v>117</v>
      </c>
      <c r="Q110" s="16" t="s">
        <v>112</v>
      </c>
      <c r="R110" s="16" t="s">
        <v>90</v>
      </c>
      <c r="S110" s="16" t="s">
        <v>94</v>
      </c>
      <c r="T110" s="16" t="s">
        <v>126</v>
      </c>
      <c r="U110" s="16" t="s">
        <v>108</v>
      </c>
      <c r="V110" s="16" t="s">
        <v>103</v>
      </c>
      <c r="W110" s="16" t="s">
        <v>121</v>
      </c>
    </row>
    <row r="111" spans="1:23" x14ac:dyDescent="0.2">
      <c r="A111" s="9" t="s">
        <v>896</v>
      </c>
      <c r="B111" s="9">
        <f ca="1">+IF(A111=WORLDCUP!$BI$112,1,0)</f>
        <v>0</v>
      </c>
      <c r="C111" s="9" t="str">
        <f ca="1">+WORLDCUP!BD65</f>
        <v>Arabia Saudita</v>
      </c>
      <c r="D111" s="9" t="str">
        <f ca="1">+WORLDCUP!BD67</f>
        <v>Argelia</v>
      </c>
      <c r="E111" s="9" t="str">
        <f ca="1">+WORLDCUP!BD59</f>
        <v>Catar</v>
      </c>
      <c r="F111" s="9" t="str">
        <f ca="1">+WORLDCUP!BD60</f>
        <v>Haití</v>
      </c>
      <c r="G111" s="9" t="str">
        <f ca="1">+WORLDCUP!BD66</f>
        <v>Senegal</v>
      </c>
      <c r="H111" s="9" t="str">
        <f ca="1">+WORLDCUP!BD61</f>
        <v>Australia</v>
      </c>
      <c r="I111" s="9" t="str">
        <f ca="1">+WORLDCUP!BD69</f>
        <v>Ghana</v>
      </c>
      <c r="J111" s="9" t="str">
        <f ca="1">+WORLDCUP!BD68</f>
        <v>RD Congo</v>
      </c>
      <c r="N111" s="16" t="s">
        <v>896</v>
      </c>
      <c r="O111" s="16">
        <v>110</v>
      </c>
      <c r="P111" s="16" t="s">
        <v>117</v>
      </c>
      <c r="Q111" s="16" t="s">
        <v>126</v>
      </c>
      <c r="R111" s="16" t="s">
        <v>90</v>
      </c>
      <c r="S111" s="16" t="s">
        <v>94</v>
      </c>
      <c r="T111" s="16" t="s">
        <v>121</v>
      </c>
      <c r="U111" s="16" t="s">
        <v>99</v>
      </c>
      <c r="V111" s="16" t="s">
        <v>135</v>
      </c>
      <c r="W111" s="16" t="s">
        <v>130</v>
      </c>
    </row>
    <row r="112" spans="1:23" x14ac:dyDescent="0.2">
      <c r="A112" s="9" t="s">
        <v>897</v>
      </c>
      <c r="B112" s="9">
        <f ca="1">+IF(A112=WORLDCUP!$BI$112,1,0)</f>
        <v>0</v>
      </c>
      <c r="C112" s="9" t="str">
        <f ca="1">+WORLDCUP!BD66</f>
        <v>Senegal</v>
      </c>
      <c r="D112" s="9" t="str">
        <f ca="1">+WORLDCUP!BD64</f>
        <v>Egipto</v>
      </c>
      <c r="E112" s="9" t="str">
        <f ca="1">+WORLDCUP!BD59</f>
        <v>Catar</v>
      </c>
      <c r="F112" s="9" t="str">
        <f ca="1">+WORLDCUP!BD60</f>
        <v>Haití</v>
      </c>
      <c r="G112" s="9" t="str">
        <f ca="1">+WORLDCUP!BD67</f>
        <v>Argelia</v>
      </c>
      <c r="H112" s="9" t="str">
        <f ca="1">+WORLDCUP!BD61</f>
        <v>Australia</v>
      </c>
      <c r="I112" s="9" t="str">
        <f ca="1">+WORLDCUP!BD69</f>
        <v>Ghana</v>
      </c>
      <c r="J112" s="9" t="str">
        <f ca="1">+WORLDCUP!BD68</f>
        <v>RD Congo</v>
      </c>
      <c r="N112" s="16" t="s">
        <v>897</v>
      </c>
      <c r="O112" s="16">
        <v>111</v>
      </c>
      <c r="P112" s="16" t="s">
        <v>121</v>
      </c>
      <c r="Q112" s="16" t="s">
        <v>112</v>
      </c>
      <c r="R112" s="16" t="s">
        <v>90</v>
      </c>
      <c r="S112" s="16" t="s">
        <v>94</v>
      </c>
      <c r="T112" s="16" t="s">
        <v>126</v>
      </c>
      <c r="U112" s="16" t="s">
        <v>99</v>
      </c>
      <c r="V112" s="16" t="s">
        <v>135</v>
      </c>
      <c r="W112" s="16" t="s">
        <v>130</v>
      </c>
    </row>
    <row r="113" spans="1:23" x14ac:dyDescent="0.2">
      <c r="A113" s="9" t="s">
        <v>898</v>
      </c>
      <c r="B113" s="9">
        <f ca="1">+IF(A113=WORLDCUP!$BI$112,1,0)</f>
        <v>0</v>
      </c>
      <c r="C113" s="9" t="str">
        <f ca="1">+WORLDCUP!BD65</f>
        <v>Arabia Saudita</v>
      </c>
      <c r="D113" s="9" t="str">
        <f ca="1">+WORLDCUP!BD64</f>
        <v>Egipto</v>
      </c>
      <c r="E113" s="9" t="str">
        <f ca="1">+WORLDCUP!BD59</f>
        <v>Catar</v>
      </c>
      <c r="F113" s="9" t="str">
        <f ca="1">+WORLDCUP!BD60</f>
        <v>Haití</v>
      </c>
      <c r="G113" s="9" t="str">
        <f ca="1">+WORLDCUP!BD67</f>
        <v>Argelia</v>
      </c>
      <c r="H113" s="9" t="str">
        <f ca="1">+WORLDCUP!BD61</f>
        <v>Australia</v>
      </c>
      <c r="I113" s="9" t="str">
        <f ca="1">+WORLDCUP!BD69</f>
        <v>Ghana</v>
      </c>
      <c r="J113" s="9" t="str">
        <f ca="1">+WORLDCUP!BD68</f>
        <v>RD Congo</v>
      </c>
      <c r="N113" s="16" t="s">
        <v>898</v>
      </c>
      <c r="O113" s="16">
        <v>112</v>
      </c>
      <c r="P113" s="16" t="s">
        <v>117</v>
      </c>
      <c r="Q113" s="16" t="s">
        <v>112</v>
      </c>
      <c r="R113" s="16" t="s">
        <v>90</v>
      </c>
      <c r="S113" s="16" t="s">
        <v>94</v>
      </c>
      <c r="T113" s="16" t="s">
        <v>126</v>
      </c>
      <c r="U113" s="16" t="s">
        <v>99</v>
      </c>
      <c r="V113" s="16" t="s">
        <v>135</v>
      </c>
      <c r="W113" s="16" t="s">
        <v>130</v>
      </c>
    </row>
    <row r="114" spans="1:23" x14ac:dyDescent="0.2">
      <c r="A114" s="9" t="s">
        <v>899</v>
      </c>
      <c r="B114" s="9">
        <f ca="1">+IF(A114=WORLDCUP!$BI$112,1,0)</f>
        <v>0</v>
      </c>
      <c r="C114" s="9" t="str">
        <f ca="1">+WORLDCUP!BD65</f>
        <v>Arabia Saudita</v>
      </c>
      <c r="D114" s="9" t="str">
        <f ca="1">+WORLDCUP!BD64</f>
        <v>Egipto</v>
      </c>
      <c r="E114" s="9" t="str">
        <f ca="1">+WORLDCUP!BD59</f>
        <v>Catar</v>
      </c>
      <c r="F114" s="9" t="str">
        <f ca="1">+WORLDCUP!BD60</f>
        <v>Haití</v>
      </c>
      <c r="G114" s="9" t="str">
        <f ca="1">+WORLDCUP!BD66</f>
        <v>Senegal</v>
      </c>
      <c r="H114" s="9" t="str">
        <f ca="1">+WORLDCUP!BD61</f>
        <v>Australia</v>
      </c>
      <c r="I114" s="9" t="str">
        <f ca="1">+WORLDCUP!BD69</f>
        <v>Ghana</v>
      </c>
      <c r="J114" s="9" t="str">
        <f ca="1">+WORLDCUP!BD68</f>
        <v>RD Congo</v>
      </c>
      <c r="N114" s="16" t="s">
        <v>899</v>
      </c>
      <c r="O114" s="16">
        <v>113</v>
      </c>
      <c r="P114" s="16" t="s">
        <v>117</v>
      </c>
      <c r="Q114" s="16" t="s">
        <v>112</v>
      </c>
      <c r="R114" s="16" t="s">
        <v>90</v>
      </c>
      <c r="S114" s="16" t="s">
        <v>94</v>
      </c>
      <c r="T114" s="16" t="s">
        <v>121</v>
      </c>
      <c r="U114" s="16" t="s">
        <v>99</v>
      </c>
      <c r="V114" s="16" t="s">
        <v>135</v>
      </c>
      <c r="W114" s="16" t="s">
        <v>130</v>
      </c>
    </row>
    <row r="115" spans="1:23" x14ac:dyDescent="0.2">
      <c r="A115" s="9" t="s">
        <v>900</v>
      </c>
      <c r="B115" s="9">
        <f ca="1">+IF(A115=WORLDCUP!$BI$112,1,0)</f>
        <v>0</v>
      </c>
      <c r="C115" s="9" t="str">
        <f ca="1">+WORLDCUP!BD65</f>
        <v>Arabia Saudita</v>
      </c>
      <c r="D115" s="9" t="str">
        <f ca="1">+WORLDCUP!BD64</f>
        <v>Egipto</v>
      </c>
      <c r="E115" s="9" t="str">
        <f ca="1">+WORLDCUP!BD59</f>
        <v>Catar</v>
      </c>
      <c r="F115" s="9" t="str">
        <f ca="1">+WORLDCUP!BD60</f>
        <v>Haití</v>
      </c>
      <c r="G115" s="9" t="str">
        <f ca="1">+WORLDCUP!BD67</f>
        <v>Argelia</v>
      </c>
      <c r="H115" s="9" t="str">
        <f ca="1">+WORLDCUP!BD61</f>
        <v>Australia</v>
      </c>
      <c r="I115" s="9" t="str">
        <f ca="1">+WORLDCUP!BD69</f>
        <v>Ghana</v>
      </c>
      <c r="J115" s="9" t="str">
        <f ca="1">+WORLDCUP!BD66</f>
        <v>Senegal</v>
      </c>
      <c r="N115" s="16" t="s">
        <v>900</v>
      </c>
      <c r="O115" s="16">
        <v>114</v>
      </c>
      <c r="P115" s="16" t="s">
        <v>117</v>
      </c>
      <c r="Q115" s="16" t="s">
        <v>112</v>
      </c>
      <c r="R115" s="16" t="s">
        <v>90</v>
      </c>
      <c r="S115" s="16" t="s">
        <v>94</v>
      </c>
      <c r="T115" s="16" t="s">
        <v>126</v>
      </c>
      <c r="U115" s="16" t="s">
        <v>99</v>
      </c>
      <c r="V115" s="16" t="s">
        <v>135</v>
      </c>
      <c r="W115" s="16" t="s">
        <v>121</v>
      </c>
    </row>
    <row r="116" spans="1:23" x14ac:dyDescent="0.2">
      <c r="A116" s="9" t="s">
        <v>901</v>
      </c>
      <c r="B116" s="9">
        <f ca="1">+IF(A116=WORLDCUP!$BI$112,1,0)</f>
        <v>0</v>
      </c>
      <c r="C116" s="9" t="str">
        <f ca="1">+WORLDCUP!BD65</f>
        <v>Arabia Saudita</v>
      </c>
      <c r="D116" s="9" t="str">
        <f ca="1">+WORLDCUP!BD64</f>
        <v>Egipto</v>
      </c>
      <c r="E116" s="9" t="str">
        <f ca="1">+WORLDCUP!BD59</f>
        <v>Catar</v>
      </c>
      <c r="F116" s="9" t="str">
        <f ca="1">+WORLDCUP!BD60</f>
        <v>Haití</v>
      </c>
      <c r="G116" s="9" t="str">
        <f ca="1">+WORLDCUP!BD67</f>
        <v>Argelia</v>
      </c>
      <c r="H116" s="9" t="str">
        <f ca="1">+WORLDCUP!BD61</f>
        <v>Australia</v>
      </c>
      <c r="I116" s="9" t="str">
        <f ca="1">+WORLDCUP!BD66</f>
        <v>Senegal</v>
      </c>
      <c r="J116" s="9" t="str">
        <f ca="1">+WORLDCUP!BD68</f>
        <v>RD Congo</v>
      </c>
      <c r="N116" s="16" t="s">
        <v>901</v>
      </c>
      <c r="O116" s="16">
        <v>115</v>
      </c>
      <c r="P116" s="16" t="s">
        <v>117</v>
      </c>
      <c r="Q116" s="16" t="s">
        <v>112</v>
      </c>
      <c r="R116" s="16" t="s">
        <v>90</v>
      </c>
      <c r="S116" s="16" t="s">
        <v>94</v>
      </c>
      <c r="T116" s="16" t="s">
        <v>126</v>
      </c>
      <c r="U116" s="16" t="s">
        <v>99</v>
      </c>
      <c r="V116" s="16" t="s">
        <v>121</v>
      </c>
      <c r="W116" s="16" t="s">
        <v>130</v>
      </c>
    </row>
    <row r="117" spans="1:23" x14ac:dyDescent="0.2">
      <c r="A117" s="9" t="s">
        <v>902</v>
      </c>
      <c r="B117" s="9">
        <f ca="1">+IF(A117=WORLDCUP!$BI$112,1,0)</f>
        <v>0</v>
      </c>
      <c r="C117" s="9" t="str">
        <f ca="1">+WORLDCUP!BD60</f>
        <v>Haití</v>
      </c>
      <c r="D117" s="9" t="str">
        <f ca="1">+WORLDCUP!BD67</f>
        <v>Argelia</v>
      </c>
      <c r="E117" s="9" t="str">
        <f ca="1">+WORLDCUP!BD59</f>
        <v>Catar</v>
      </c>
      <c r="F117" s="9" t="str">
        <f ca="1">+WORLDCUP!BD61</f>
        <v>Australia</v>
      </c>
      <c r="G117" s="9" t="str">
        <f ca="1">+WORLDCUP!BD66</f>
        <v>Senegal</v>
      </c>
      <c r="H117" s="9" t="str">
        <f ca="1">+WORLDCUP!BD63</f>
        <v>Suecia</v>
      </c>
      <c r="I117" s="9" t="str">
        <f ca="1">+WORLDCUP!BD69</f>
        <v>Ghana</v>
      </c>
      <c r="J117" s="9" t="str">
        <f ca="1">+WORLDCUP!BD68</f>
        <v>RD Congo</v>
      </c>
      <c r="N117" s="16" t="s">
        <v>902</v>
      </c>
      <c r="O117" s="16">
        <v>116</v>
      </c>
      <c r="P117" s="16" t="s">
        <v>94</v>
      </c>
      <c r="Q117" s="16" t="s">
        <v>126</v>
      </c>
      <c r="R117" s="16" t="s">
        <v>90</v>
      </c>
      <c r="S117" s="16" t="s">
        <v>99</v>
      </c>
      <c r="T117" s="16" t="s">
        <v>121</v>
      </c>
      <c r="U117" s="16" t="s">
        <v>108</v>
      </c>
      <c r="V117" s="16" t="s">
        <v>135</v>
      </c>
      <c r="W117" s="16" t="s">
        <v>130</v>
      </c>
    </row>
    <row r="118" spans="1:23" x14ac:dyDescent="0.2">
      <c r="A118" s="9" t="s">
        <v>903</v>
      </c>
      <c r="B118" s="9">
        <f ca="1">+IF(A118=WORLDCUP!$BI$112,1,0)</f>
        <v>0</v>
      </c>
      <c r="C118" s="9" t="str">
        <f ca="1">+WORLDCUP!BD60</f>
        <v>Haití</v>
      </c>
      <c r="D118" s="9" t="str">
        <f ca="1">+WORLDCUP!BD67</f>
        <v>Argelia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RD Congo</v>
      </c>
      <c r="N118" s="16" t="s">
        <v>903</v>
      </c>
      <c r="O118" s="16">
        <v>117</v>
      </c>
      <c r="P118" s="16" t="s">
        <v>94</v>
      </c>
      <c r="Q118" s="16" t="s">
        <v>126</v>
      </c>
      <c r="R118" s="16" t="s">
        <v>90</v>
      </c>
      <c r="S118" s="16" t="s">
        <v>99</v>
      </c>
      <c r="T118" s="16" t="s">
        <v>117</v>
      </c>
      <c r="U118" s="16" t="s">
        <v>108</v>
      </c>
      <c r="V118" s="16" t="s">
        <v>135</v>
      </c>
      <c r="W118" s="16" t="s">
        <v>130</v>
      </c>
    </row>
    <row r="119" spans="1:23" x14ac:dyDescent="0.2">
      <c r="A119" s="9" t="s">
        <v>904</v>
      </c>
      <c r="B119" s="9">
        <f ca="1">+IF(A119=WORLDCUP!$BI$112,1,0)</f>
        <v>0</v>
      </c>
      <c r="C119" s="9" t="str">
        <f ca="1">+WORLDCUP!BD60</f>
        <v>Haití</v>
      </c>
      <c r="D119" s="9" t="str">
        <f ca="1">+WORLDCUP!BD66</f>
        <v>Senegal</v>
      </c>
      <c r="E119" s="9" t="str">
        <f ca="1">+WORLDCUP!BD59</f>
        <v>Catar</v>
      </c>
      <c r="F119" s="9" t="str">
        <f ca="1">+WORLDCUP!BD61</f>
        <v>Australia</v>
      </c>
      <c r="G119" s="9" t="str">
        <f ca="1">+WORLDCUP!BD65</f>
        <v>Arabia Saudita</v>
      </c>
      <c r="H119" s="9" t="str">
        <f ca="1">+WORLDCUP!BD63</f>
        <v>Suecia</v>
      </c>
      <c r="I119" s="9" t="str">
        <f ca="1">+WORLDCUP!BD69</f>
        <v>Ghana</v>
      </c>
      <c r="J119" s="9" t="str">
        <f ca="1">+WORLDCUP!BD68</f>
        <v>RD Congo</v>
      </c>
      <c r="N119" s="16" t="s">
        <v>904</v>
      </c>
      <c r="O119" s="16">
        <v>118</v>
      </c>
      <c r="P119" s="16" t="s">
        <v>94</v>
      </c>
      <c r="Q119" s="16" t="s">
        <v>121</v>
      </c>
      <c r="R119" s="16" t="s">
        <v>90</v>
      </c>
      <c r="S119" s="16" t="s">
        <v>99</v>
      </c>
      <c r="T119" s="16" t="s">
        <v>117</v>
      </c>
      <c r="U119" s="16" t="s">
        <v>108</v>
      </c>
      <c r="V119" s="16" t="s">
        <v>135</v>
      </c>
      <c r="W119" s="16" t="s">
        <v>130</v>
      </c>
    </row>
    <row r="120" spans="1:23" x14ac:dyDescent="0.2">
      <c r="A120" s="9" t="s">
        <v>905</v>
      </c>
      <c r="B120" s="9">
        <f ca="1">+IF(A120=WORLDCUP!$BI$112,1,0)</f>
        <v>0</v>
      </c>
      <c r="C120" s="9" t="str">
        <f ca="1">+WORLDCUP!BD60</f>
        <v>Haití</v>
      </c>
      <c r="D120" s="9" t="str">
        <f ca="1">+WORLDCUP!BD67</f>
        <v>Argelia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Senegal</v>
      </c>
      <c r="N120" s="16" t="s">
        <v>905</v>
      </c>
      <c r="O120" s="16">
        <v>119</v>
      </c>
      <c r="P120" s="16" t="s">
        <v>94</v>
      </c>
      <c r="Q120" s="16" t="s">
        <v>126</v>
      </c>
      <c r="R120" s="16" t="s">
        <v>90</v>
      </c>
      <c r="S120" s="16" t="s">
        <v>99</v>
      </c>
      <c r="T120" s="16" t="s">
        <v>117</v>
      </c>
      <c r="U120" s="16" t="s">
        <v>108</v>
      </c>
      <c r="V120" s="16" t="s">
        <v>135</v>
      </c>
      <c r="W120" s="16" t="s">
        <v>121</v>
      </c>
    </row>
    <row r="121" spans="1:23" x14ac:dyDescent="0.2">
      <c r="A121" s="9" t="s">
        <v>906</v>
      </c>
      <c r="B121" s="9">
        <f ca="1">+IF(A121=WORLDCUP!$BI$112,1,0)</f>
        <v>0</v>
      </c>
      <c r="C121" s="9" t="str">
        <f ca="1">+WORLDCUP!BD60</f>
        <v>Haití</v>
      </c>
      <c r="D121" s="9" t="str">
        <f ca="1">+WORLDCUP!BD67</f>
        <v>Argelia</v>
      </c>
      <c r="E121" s="9" t="str">
        <f ca="1">+WORLDCUP!BD59</f>
        <v>Catar</v>
      </c>
      <c r="F121" s="9" t="str">
        <f ca="1">+WORLDCUP!BD61</f>
        <v>Australia</v>
      </c>
      <c r="G121" s="9" t="str">
        <f ca="1">+WORLDCUP!BD65</f>
        <v>Arabia Saudita</v>
      </c>
      <c r="H121" s="9" t="str">
        <f ca="1">+WORLDCUP!BD63</f>
        <v>Suecia</v>
      </c>
      <c r="I121" s="9" t="str">
        <f ca="1">+WORLDCUP!BD66</f>
        <v>Senegal</v>
      </c>
      <c r="J121" s="9" t="str">
        <f ca="1">+WORLDCUP!BD68</f>
        <v>RD Congo</v>
      </c>
      <c r="N121" s="16" t="s">
        <v>906</v>
      </c>
      <c r="O121" s="16">
        <v>120</v>
      </c>
      <c r="P121" s="16" t="s">
        <v>94</v>
      </c>
      <c r="Q121" s="16" t="s">
        <v>126</v>
      </c>
      <c r="R121" s="16" t="s">
        <v>90</v>
      </c>
      <c r="S121" s="16" t="s">
        <v>99</v>
      </c>
      <c r="T121" s="16" t="s">
        <v>117</v>
      </c>
      <c r="U121" s="16" t="s">
        <v>108</v>
      </c>
      <c r="V121" s="16" t="s">
        <v>121</v>
      </c>
      <c r="W121" s="16" t="s">
        <v>130</v>
      </c>
    </row>
    <row r="122" spans="1:23" x14ac:dyDescent="0.2">
      <c r="A122" s="9" t="s">
        <v>907</v>
      </c>
      <c r="B122" s="9">
        <f ca="1">+IF(A122=WORLDCUP!$BI$112,1,0)</f>
        <v>0</v>
      </c>
      <c r="C122" s="9" t="str">
        <f ca="1">+WORLDCUP!BD60</f>
        <v>Haití</v>
      </c>
      <c r="D122" s="9" t="str">
        <f ca="1">+WORLDCUP!BD64</f>
        <v>Egipto</v>
      </c>
      <c r="E122" s="9" t="str">
        <f ca="1">+WORLDCUP!BD59</f>
        <v>Catar</v>
      </c>
      <c r="F122" s="9" t="str">
        <f ca="1">+WORLDCUP!BD61</f>
        <v>Australia</v>
      </c>
      <c r="G122" s="9" t="str">
        <f ca="1">+WORLDCUP!BD67</f>
        <v>Argelia</v>
      </c>
      <c r="H122" s="9" t="str">
        <f ca="1">+WORLDCUP!BD63</f>
        <v>Suecia</v>
      </c>
      <c r="I122" s="9" t="str">
        <f ca="1">+WORLDCUP!BD69</f>
        <v>Ghana</v>
      </c>
      <c r="J122" s="9" t="str">
        <f ca="1">+WORLDCUP!BD68</f>
        <v>RD Congo</v>
      </c>
      <c r="N122" s="16" t="s">
        <v>907</v>
      </c>
      <c r="O122" s="16">
        <v>121</v>
      </c>
      <c r="P122" s="16" t="s">
        <v>94</v>
      </c>
      <c r="Q122" s="16" t="s">
        <v>112</v>
      </c>
      <c r="R122" s="16" t="s">
        <v>90</v>
      </c>
      <c r="S122" s="16" t="s">
        <v>99</v>
      </c>
      <c r="T122" s="16" t="s">
        <v>126</v>
      </c>
      <c r="U122" s="16" t="s">
        <v>108</v>
      </c>
      <c r="V122" s="16" t="s">
        <v>135</v>
      </c>
      <c r="W122" s="16" t="s">
        <v>130</v>
      </c>
    </row>
    <row r="123" spans="1:23" x14ac:dyDescent="0.2">
      <c r="A123" s="9" t="s">
        <v>908</v>
      </c>
      <c r="B123" s="9">
        <f ca="1">+IF(A123=WORLDCUP!$BI$112,1,0)</f>
        <v>0</v>
      </c>
      <c r="C123" s="9" t="str">
        <f ca="1">+WORLDCUP!BD60</f>
        <v>Haití</v>
      </c>
      <c r="D123" s="9" t="str">
        <f ca="1">+WORLDCUP!BD64</f>
        <v>Egipto</v>
      </c>
      <c r="E123" s="9" t="str">
        <f ca="1">+WORLDCUP!BD59</f>
        <v>Catar</v>
      </c>
      <c r="F123" s="9" t="str">
        <f ca="1">+WORLDCUP!BD61</f>
        <v>Australia</v>
      </c>
      <c r="G123" s="9" t="str">
        <f ca="1">+WORLDCUP!BD66</f>
        <v>Senegal</v>
      </c>
      <c r="H123" s="9" t="str">
        <f ca="1">+WORLDCUP!BD63</f>
        <v>Suecia</v>
      </c>
      <c r="I123" s="9" t="str">
        <f ca="1">+WORLDCUP!BD69</f>
        <v>Ghana</v>
      </c>
      <c r="J123" s="9" t="str">
        <f ca="1">+WORLDCUP!BD68</f>
        <v>RD Congo</v>
      </c>
      <c r="N123" s="16" t="s">
        <v>908</v>
      </c>
      <c r="O123" s="16">
        <v>122</v>
      </c>
      <c r="P123" s="16" t="s">
        <v>94</v>
      </c>
      <c r="Q123" s="16" t="s">
        <v>112</v>
      </c>
      <c r="R123" s="16" t="s">
        <v>90</v>
      </c>
      <c r="S123" s="16" t="s">
        <v>99</v>
      </c>
      <c r="T123" s="16" t="s">
        <v>121</v>
      </c>
      <c r="U123" s="16" t="s">
        <v>108</v>
      </c>
      <c r="V123" s="16" t="s">
        <v>135</v>
      </c>
      <c r="W123" s="16" t="s">
        <v>130</v>
      </c>
    </row>
    <row r="124" spans="1:23" x14ac:dyDescent="0.2">
      <c r="A124" s="9" t="s">
        <v>909</v>
      </c>
      <c r="B124" s="9">
        <f ca="1">+IF(A124=WORLDCUP!$BI$112,1,0)</f>
        <v>0</v>
      </c>
      <c r="C124" s="9" t="str">
        <f ca="1">+WORLDCUP!BD60</f>
        <v>Haití</v>
      </c>
      <c r="D124" s="9" t="str">
        <f ca="1">+WORLDCUP!BD64</f>
        <v>Egipto</v>
      </c>
      <c r="E124" s="9" t="str">
        <f ca="1">+WORLDCUP!BD59</f>
        <v>Catar</v>
      </c>
      <c r="F124" s="9" t="str">
        <f ca="1">+WORLDCUP!BD61</f>
        <v>Australia</v>
      </c>
      <c r="G124" s="9" t="str">
        <f ca="1">+WORLDCUP!BD67</f>
        <v>Argelia</v>
      </c>
      <c r="H124" s="9" t="str">
        <f ca="1">+WORLDCUP!BD63</f>
        <v>Suecia</v>
      </c>
      <c r="I124" s="9" t="str">
        <f ca="1">+WORLDCUP!BD69</f>
        <v>Ghana</v>
      </c>
      <c r="J124" s="9" t="str">
        <f ca="1">+WORLDCUP!BD66</f>
        <v>Senegal</v>
      </c>
      <c r="N124" s="16" t="s">
        <v>909</v>
      </c>
      <c r="O124" s="16">
        <v>123</v>
      </c>
      <c r="P124" s="16" t="s">
        <v>94</v>
      </c>
      <c r="Q124" s="16" t="s">
        <v>112</v>
      </c>
      <c r="R124" s="16" t="s">
        <v>90</v>
      </c>
      <c r="S124" s="16" t="s">
        <v>99</v>
      </c>
      <c r="T124" s="16" t="s">
        <v>126</v>
      </c>
      <c r="U124" s="16" t="s">
        <v>108</v>
      </c>
      <c r="V124" s="16" t="s">
        <v>135</v>
      </c>
      <c r="W124" s="16" t="s">
        <v>121</v>
      </c>
    </row>
    <row r="125" spans="1:23" x14ac:dyDescent="0.2">
      <c r="A125" s="9" t="s">
        <v>910</v>
      </c>
      <c r="B125" s="9">
        <f ca="1">+IF(A125=WORLDCUP!$BI$112,1,0)</f>
        <v>0</v>
      </c>
      <c r="C125" s="9" t="str">
        <f ca="1">+WORLDCUP!BD60</f>
        <v>Haití</v>
      </c>
      <c r="D125" s="9" t="str">
        <f ca="1">+WORLDCUP!BD64</f>
        <v>Egipto</v>
      </c>
      <c r="E125" s="9" t="str">
        <f ca="1">+WORLDCUP!BD59</f>
        <v>Catar</v>
      </c>
      <c r="F125" s="9" t="str">
        <f ca="1">+WORLDCUP!BD61</f>
        <v>Australia</v>
      </c>
      <c r="G125" s="9" t="str">
        <f ca="1">+WORLDCUP!BD67</f>
        <v>Argelia</v>
      </c>
      <c r="H125" s="9" t="str">
        <f ca="1">+WORLDCUP!BD63</f>
        <v>Suecia</v>
      </c>
      <c r="I125" s="9" t="str">
        <f ca="1">+WORLDCUP!BD66</f>
        <v>Senegal</v>
      </c>
      <c r="J125" s="9" t="str">
        <f ca="1">+WORLDCUP!BD68</f>
        <v>RD Congo</v>
      </c>
      <c r="N125" s="16" t="s">
        <v>910</v>
      </c>
      <c r="O125" s="16">
        <v>124</v>
      </c>
      <c r="P125" s="16" t="s">
        <v>94</v>
      </c>
      <c r="Q125" s="16" t="s">
        <v>112</v>
      </c>
      <c r="R125" s="16" t="s">
        <v>90</v>
      </c>
      <c r="S125" s="16" t="s">
        <v>99</v>
      </c>
      <c r="T125" s="16" t="s">
        <v>126</v>
      </c>
      <c r="U125" s="16" t="s">
        <v>108</v>
      </c>
      <c r="V125" s="16" t="s">
        <v>121</v>
      </c>
      <c r="W125" s="16" t="s">
        <v>130</v>
      </c>
    </row>
    <row r="126" spans="1:23" x14ac:dyDescent="0.2">
      <c r="A126" s="9" t="s">
        <v>911</v>
      </c>
      <c r="B126" s="9">
        <f ca="1">+IF(A126=WORLDCUP!$BI$112,1,0)</f>
        <v>0</v>
      </c>
      <c r="C126" s="9" t="str">
        <f ca="1">+WORLDCUP!BD60</f>
        <v>Haití</v>
      </c>
      <c r="D126" s="9" t="str">
        <f ca="1">+WORLDCUP!BD64</f>
        <v>Egipto</v>
      </c>
      <c r="E126" s="9" t="str">
        <f ca="1">+WORLDCUP!BD59</f>
        <v>Catar</v>
      </c>
      <c r="F126" s="9" t="str">
        <f ca="1">+WORLDCUP!BD61</f>
        <v>Australia</v>
      </c>
      <c r="G126" s="9" t="str">
        <f ca="1">+WORLDCUP!BD65</f>
        <v>Arabia Saudita</v>
      </c>
      <c r="H126" s="9" t="str">
        <f ca="1">+WORLDCUP!BD63</f>
        <v>Suecia</v>
      </c>
      <c r="I126" s="9" t="str">
        <f ca="1">+WORLDCUP!BD69</f>
        <v>Ghana</v>
      </c>
      <c r="J126" s="9" t="str">
        <f ca="1">+WORLDCUP!BD68</f>
        <v>RD Congo</v>
      </c>
      <c r="N126" s="16" t="s">
        <v>911</v>
      </c>
      <c r="O126" s="16">
        <v>125</v>
      </c>
      <c r="P126" s="16" t="s">
        <v>94</v>
      </c>
      <c r="Q126" s="16" t="s">
        <v>112</v>
      </c>
      <c r="R126" s="16" t="s">
        <v>90</v>
      </c>
      <c r="S126" s="16" t="s">
        <v>99</v>
      </c>
      <c r="T126" s="16" t="s">
        <v>117</v>
      </c>
      <c r="U126" s="16" t="s">
        <v>108</v>
      </c>
      <c r="V126" s="16" t="s">
        <v>135</v>
      </c>
      <c r="W126" s="16" t="s">
        <v>130</v>
      </c>
    </row>
    <row r="127" spans="1:23" x14ac:dyDescent="0.2">
      <c r="A127" s="9" t="s">
        <v>912</v>
      </c>
      <c r="B127" s="9">
        <f ca="1">+IF(A127=WORLDCUP!$BI$112,1,0)</f>
        <v>0</v>
      </c>
      <c r="C127" s="9" t="str">
        <f ca="1">+WORLDCUP!BD60</f>
        <v>Haití</v>
      </c>
      <c r="D127" s="9" t="str">
        <f ca="1">+WORLDCUP!BD64</f>
        <v>Egipto</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Argelia</v>
      </c>
      <c r="N127" s="16" t="s">
        <v>912</v>
      </c>
      <c r="O127" s="16">
        <v>126</v>
      </c>
      <c r="P127" s="16" t="s">
        <v>94</v>
      </c>
      <c r="Q127" s="16" t="s">
        <v>112</v>
      </c>
      <c r="R127" s="16" t="s">
        <v>90</v>
      </c>
      <c r="S127" s="16" t="s">
        <v>99</v>
      </c>
      <c r="T127" s="16" t="s">
        <v>117</v>
      </c>
      <c r="U127" s="16" t="s">
        <v>108</v>
      </c>
      <c r="V127" s="16" t="s">
        <v>135</v>
      </c>
      <c r="W127" s="16" t="s">
        <v>126</v>
      </c>
    </row>
    <row r="128" spans="1:23" x14ac:dyDescent="0.2">
      <c r="A128" s="9" t="s">
        <v>913</v>
      </c>
      <c r="B128" s="9">
        <f ca="1">+IF(A128=WORLDCUP!$BI$112,1,0)</f>
        <v>0</v>
      </c>
      <c r="C128" s="9" t="str">
        <f ca="1">+WORLDCUP!BD65</f>
        <v>Arabia Saudita</v>
      </c>
      <c r="D128" s="9" t="str">
        <f ca="1">+WORLDCUP!BD64</f>
        <v>Egipto</v>
      </c>
      <c r="E128" s="9" t="str">
        <f ca="1">+WORLDCUP!BD59</f>
        <v>Catar</v>
      </c>
      <c r="F128" s="9" t="str">
        <f ca="1">+WORLDCUP!BD60</f>
        <v>Haití</v>
      </c>
      <c r="G128" s="9" t="str">
        <f ca="1">+WORLDCUP!BD67</f>
        <v>Argelia</v>
      </c>
      <c r="H128" s="9" t="str">
        <f ca="1">+WORLDCUP!BD63</f>
        <v>Suecia</v>
      </c>
      <c r="I128" s="9" t="str">
        <f ca="1">+WORLDCUP!BD61</f>
        <v>Australia</v>
      </c>
      <c r="J128" s="9" t="str">
        <f ca="1">+WORLDCUP!BD68</f>
        <v>RD Congo</v>
      </c>
      <c r="N128" s="16" t="s">
        <v>913</v>
      </c>
      <c r="O128" s="16">
        <v>127</v>
      </c>
      <c r="P128" s="16" t="s">
        <v>117</v>
      </c>
      <c r="Q128" s="16" t="s">
        <v>112</v>
      </c>
      <c r="R128" s="16" t="s">
        <v>90</v>
      </c>
      <c r="S128" s="16" t="s">
        <v>94</v>
      </c>
      <c r="T128" s="16" t="s">
        <v>126</v>
      </c>
      <c r="U128" s="16" t="s">
        <v>108</v>
      </c>
      <c r="V128" s="16" t="s">
        <v>99</v>
      </c>
      <c r="W128" s="16" t="s">
        <v>130</v>
      </c>
    </row>
    <row r="129" spans="1:23" x14ac:dyDescent="0.2">
      <c r="A129" s="9" t="s">
        <v>914</v>
      </c>
      <c r="B129" s="9">
        <f ca="1">+IF(A129=WORLDCUP!$BI$112,1,0)</f>
        <v>0</v>
      </c>
      <c r="C129" s="9" t="str">
        <f ca="1">+WORLDCUP!BD60</f>
        <v>Haití</v>
      </c>
      <c r="D129" s="9" t="str">
        <f ca="1">+WORLDCUP!BD64</f>
        <v>Egipto</v>
      </c>
      <c r="E129" s="9" t="str">
        <f ca="1">+WORLDCUP!BD59</f>
        <v>Catar</v>
      </c>
      <c r="F129" s="9" t="str">
        <f ca="1">+WORLDCUP!BD61</f>
        <v>Australia</v>
      </c>
      <c r="G129" s="9" t="str">
        <f ca="1">+WORLDCUP!BD65</f>
        <v>Arabia Saudita</v>
      </c>
      <c r="H129" s="9" t="str">
        <f ca="1">+WORLDCUP!BD63</f>
        <v>Suecia</v>
      </c>
      <c r="I129" s="9" t="str">
        <f ca="1">+WORLDCUP!BD69</f>
        <v>Ghana</v>
      </c>
      <c r="J129" s="9" t="str">
        <f ca="1">+WORLDCUP!BD66</f>
        <v>Senegal</v>
      </c>
      <c r="N129" s="16" t="s">
        <v>914</v>
      </c>
      <c r="O129" s="16">
        <v>128</v>
      </c>
      <c r="P129" s="16" t="s">
        <v>94</v>
      </c>
      <c r="Q129" s="16" t="s">
        <v>112</v>
      </c>
      <c r="R129" s="16" t="s">
        <v>90</v>
      </c>
      <c r="S129" s="16" t="s">
        <v>99</v>
      </c>
      <c r="T129" s="16" t="s">
        <v>117</v>
      </c>
      <c r="U129" s="16" t="s">
        <v>108</v>
      </c>
      <c r="V129" s="16" t="s">
        <v>135</v>
      </c>
      <c r="W129" s="16" t="s">
        <v>121</v>
      </c>
    </row>
    <row r="130" spans="1:23" x14ac:dyDescent="0.2">
      <c r="A130" s="9" t="s">
        <v>915</v>
      </c>
      <c r="B130" s="9">
        <f ca="1">+IF(A130=WORLDCUP!$BI$112,1,0)</f>
        <v>0</v>
      </c>
      <c r="C130" s="9" t="str">
        <f ca="1">+WORLDCUP!BD60</f>
        <v>Haití</v>
      </c>
      <c r="D130" s="9" t="str">
        <f ca="1">+WORLDCUP!BD64</f>
        <v>Egipto</v>
      </c>
      <c r="E130" s="9" t="str">
        <f ca="1">+WORLDCUP!BD59</f>
        <v>Catar</v>
      </c>
      <c r="F130" s="9" t="str">
        <f ca="1">+WORLDCUP!BD61</f>
        <v>Australia</v>
      </c>
      <c r="G130" s="9" t="str">
        <f ca="1">+WORLDCUP!BD65</f>
        <v>Arabia Saudita</v>
      </c>
      <c r="H130" s="9" t="str">
        <f ca="1">+WORLDCUP!BD63</f>
        <v>Suecia</v>
      </c>
      <c r="I130" s="9" t="str">
        <f ca="1">+WORLDCUP!BD66</f>
        <v>Senegal</v>
      </c>
      <c r="J130" s="9" t="str">
        <f ca="1">+WORLDCUP!BD68</f>
        <v>RD Congo</v>
      </c>
      <c r="N130" s="16" t="s">
        <v>915</v>
      </c>
      <c r="O130" s="16">
        <v>129</v>
      </c>
      <c r="P130" s="16" t="s">
        <v>94</v>
      </c>
      <c r="Q130" s="16" t="s">
        <v>112</v>
      </c>
      <c r="R130" s="16" t="s">
        <v>90</v>
      </c>
      <c r="S130" s="16" t="s">
        <v>99</v>
      </c>
      <c r="T130" s="16" t="s">
        <v>117</v>
      </c>
      <c r="U130" s="16" t="s">
        <v>108</v>
      </c>
      <c r="V130" s="16" t="s">
        <v>121</v>
      </c>
      <c r="W130" s="16" t="s">
        <v>130</v>
      </c>
    </row>
    <row r="131" spans="1:23" x14ac:dyDescent="0.2">
      <c r="A131" s="9" t="s">
        <v>916</v>
      </c>
      <c r="B131" s="9">
        <f ca="1">+IF(A131=WORLDCUP!$BI$112,1,0)</f>
        <v>0</v>
      </c>
      <c r="C131" s="9" t="str">
        <f ca="1">+WORLDCUP!BD65</f>
        <v>Arabia Saudita</v>
      </c>
      <c r="D131" s="9" t="str">
        <f ca="1">+WORLDCUP!BD64</f>
        <v>Egipto</v>
      </c>
      <c r="E131" s="9" t="str">
        <f ca="1">+WORLDCUP!BD59</f>
        <v>Catar</v>
      </c>
      <c r="F131" s="9" t="str">
        <f ca="1">+WORLDCUP!BD60</f>
        <v>Haití</v>
      </c>
      <c r="G131" s="9" t="str">
        <f ca="1">+WORLDCUP!BD67</f>
        <v>Argelia</v>
      </c>
      <c r="H131" s="9" t="str">
        <f ca="1">+WORLDCUP!BD63</f>
        <v>Suecia</v>
      </c>
      <c r="I131" s="9" t="str">
        <f ca="1">+WORLDCUP!BD61</f>
        <v>Australia</v>
      </c>
      <c r="J131" s="9" t="str">
        <f ca="1">+WORLDCUP!BD66</f>
        <v>Senegal</v>
      </c>
      <c r="N131" s="16" t="s">
        <v>916</v>
      </c>
      <c r="O131" s="16">
        <v>130</v>
      </c>
      <c r="P131" s="16" t="s">
        <v>117</v>
      </c>
      <c r="Q131" s="16" t="s">
        <v>112</v>
      </c>
      <c r="R131" s="16" t="s">
        <v>90</v>
      </c>
      <c r="S131" s="16" t="s">
        <v>94</v>
      </c>
      <c r="T131" s="16" t="s">
        <v>126</v>
      </c>
      <c r="U131" s="16" t="s">
        <v>108</v>
      </c>
      <c r="V131" s="16" t="s">
        <v>99</v>
      </c>
      <c r="W131" s="16" t="s">
        <v>121</v>
      </c>
    </row>
    <row r="132" spans="1:23" x14ac:dyDescent="0.2">
      <c r="A132" s="9" t="s">
        <v>917</v>
      </c>
      <c r="B132" s="9">
        <f ca="1">+IF(A132=WORLDCUP!$BI$112,1,0)</f>
        <v>0</v>
      </c>
      <c r="C132" s="9" t="str">
        <f ca="1">+WORLDCUP!BD62</f>
        <v>Curazao</v>
      </c>
      <c r="D132" s="9" t="str">
        <f ca="1">+WORLDCUP!BD67</f>
        <v>Argelia</v>
      </c>
      <c r="E132" s="9" t="str">
        <f ca="1">+WORLDCUP!BD59</f>
        <v>Catar</v>
      </c>
      <c r="F132" s="9" t="str">
        <f ca="1">+WORLDCUP!BD60</f>
        <v>Haití</v>
      </c>
      <c r="G132" s="9" t="str">
        <f ca="1">+WORLDCUP!BD66</f>
        <v>Senegal</v>
      </c>
      <c r="H132" s="9" t="str">
        <f ca="1">+WORLDCUP!BD61</f>
        <v>Australia</v>
      </c>
      <c r="I132" s="9" t="str">
        <f ca="1">+WORLDCUP!BD69</f>
        <v>Ghana</v>
      </c>
      <c r="J132" s="9" t="str">
        <f ca="1">+WORLDCUP!BD68</f>
        <v>RD Congo</v>
      </c>
      <c r="N132" s="16" t="s">
        <v>917</v>
      </c>
      <c r="O132" s="16">
        <v>131</v>
      </c>
      <c r="P132" s="16" t="s">
        <v>103</v>
      </c>
      <c r="Q132" s="16" t="s">
        <v>126</v>
      </c>
      <c r="R132" s="16" t="s">
        <v>90</v>
      </c>
      <c r="S132" s="16" t="s">
        <v>94</v>
      </c>
      <c r="T132" s="16" t="s">
        <v>121</v>
      </c>
      <c r="U132" s="16" t="s">
        <v>99</v>
      </c>
      <c r="V132" s="16" t="s">
        <v>135</v>
      </c>
      <c r="W132" s="16" t="s">
        <v>130</v>
      </c>
    </row>
    <row r="133" spans="1:23" x14ac:dyDescent="0.2">
      <c r="A133" s="9" t="s">
        <v>918</v>
      </c>
      <c r="B133" s="9">
        <f ca="1">+IF(A133=WORLDCUP!$BI$112,1,0)</f>
        <v>0</v>
      </c>
      <c r="C133" s="9" t="str">
        <f ca="1">+WORLDCUP!BD62</f>
        <v>Curazao</v>
      </c>
      <c r="D133" s="9" t="str">
        <f ca="1">+WORLDCUP!BD67</f>
        <v>Argelia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RD Congo</v>
      </c>
      <c r="N133" s="16" t="s">
        <v>918</v>
      </c>
      <c r="O133" s="16">
        <v>132</v>
      </c>
      <c r="P133" s="16" t="s">
        <v>103</v>
      </c>
      <c r="Q133" s="16" t="s">
        <v>126</v>
      </c>
      <c r="R133" s="16" t="s">
        <v>90</v>
      </c>
      <c r="S133" s="16" t="s">
        <v>94</v>
      </c>
      <c r="T133" s="16" t="s">
        <v>117</v>
      </c>
      <c r="U133" s="16" t="s">
        <v>99</v>
      </c>
      <c r="V133" s="16" t="s">
        <v>135</v>
      </c>
      <c r="W133" s="16" t="s">
        <v>130</v>
      </c>
    </row>
    <row r="134" spans="1:23" x14ac:dyDescent="0.2">
      <c r="A134" s="9" t="s">
        <v>919</v>
      </c>
      <c r="B134" s="9">
        <f ca="1">+IF(A134=WORLDCUP!$BI$112,1,0)</f>
        <v>0</v>
      </c>
      <c r="C134" s="9" t="str">
        <f ca="1">+WORLDCUP!BD62</f>
        <v>Curazao</v>
      </c>
      <c r="D134" s="9" t="str">
        <f ca="1">+WORLDCUP!BD66</f>
        <v>Senegal</v>
      </c>
      <c r="E134" s="9" t="str">
        <f ca="1">+WORLDCUP!BD59</f>
        <v>Catar</v>
      </c>
      <c r="F134" s="9" t="str">
        <f ca="1">+WORLDCUP!BD60</f>
        <v>Haití</v>
      </c>
      <c r="G134" s="9" t="str">
        <f ca="1">+WORLDCUP!BD65</f>
        <v>Arabia Saudita</v>
      </c>
      <c r="H134" s="9" t="str">
        <f ca="1">+WORLDCUP!BD61</f>
        <v>Australia</v>
      </c>
      <c r="I134" s="9" t="str">
        <f ca="1">+WORLDCUP!BD69</f>
        <v>Ghana</v>
      </c>
      <c r="J134" s="9" t="str">
        <f ca="1">+WORLDCUP!BD68</f>
        <v>RD Congo</v>
      </c>
      <c r="N134" s="16" t="s">
        <v>919</v>
      </c>
      <c r="O134" s="16">
        <v>133</v>
      </c>
      <c r="P134" s="16" t="s">
        <v>103</v>
      </c>
      <c r="Q134" s="16" t="s">
        <v>121</v>
      </c>
      <c r="R134" s="16" t="s">
        <v>90</v>
      </c>
      <c r="S134" s="16" t="s">
        <v>94</v>
      </c>
      <c r="T134" s="16" t="s">
        <v>117</v>
      </c>
      <c r="U134" s="16" t="s">
        <v>99</v>
      </c>
      <c r="V134" s="16" t="s">
        <v>135</v>
      </c>
      <c r="W134" s="16" t="s">
        <v>130</v>
      </c>
    </row>
    <row r="135" spans="1:23" x14ac:dyDescent="0.2">
      <c r="A135" s="9" t="s">
        <v>920</v>
      </c>
      <c r="B135" s="9">
        <f ca="1">+IF(A135=WORLDCUP!$BI$112,1,0)</f>
        <v>0</v>
      </c>
      <c r="C135" s="9" t="str">
        <f ca="1">+WORLDCUP!BD62</f>
        <v>Curazao</v>
      </c>
      <c r="D135" s="9" t="str">
        <f ca="1">+WORLDCUP!BD67</f>
        <v>Argelia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Senegal</v>
      </c>
      <c r="N135" s="16" t="s">
        <v>920</v>
      </c>
      <c r="O135" s="16">
        <v>134</v>
      </c>
      <c r="P135" s="16" t="s">
        <v>103</v>
      </c>
      <c r="Q135" s="16" t="s">
        <v>126</v>
      </c>
      <c r="R135" s="16" t="s">
        <v>90</v>
      </c>
      <c r="S135" s="16" t="s">
        <v>94</v>
      </c>
      <c r="T135" s="16" t="s">
        <v>117</v>
      </c>
      <c r="U135" s="16" t="s">
        <v>99</v>
      </c>
      <c r="V135" s="16" t="s">
        <v>135</v>
      </c>
      <c r="W135" s="16" t="s">
        <v>121</v>
      </c>
    </row>
    <row r="136" spans="1:23" x14ac:dyDescent="0.2">
      <c r="A136" s="9" t="s">
        <v>921</v>
      </c>
      <c r="B136" s="9">
        <f ca="1">+IF(A136=WORLDCUP!$BI$112,1,0)</f>
        <v>0</v>
      </c>
      <c r="C136" s="9" t="str">
        <f ca="1">+WORLDCUP!BD62</f>
        <v>Curazao</v>
      </c>
      <c r="D136" s="9" t="str">
        <f ca="1">+WORLDCUP!BD67</f>
        <v>Argelia</v>
      </c>
      <c r="E136" s="9" t="str">
        <f ca="1">+WORLDCUP!BD59</f>
        <v>Catar</v>
      </c>
      <c r="F136" s="9" t="str">
        <f ca="1">+WORLDCUP!BD60</f>
        <v>Haití</v>
      </c>
      <c r="G136" s="9" t="str">
        <f ca="1">+WORLDCUP!BD65</f>
        <v>Arabia Saudita</v>
      </c>
      <c r="H136" s="9" t="str">
        <f ca="1">+WORLDCUP!BD61</f>
        <v>Australia</v>
      </c>
      <c r="I136" s="9" t="str">
        <f ca="1">+WORLDCUP!BD66</f>
        <v>Senegal</v>
      </c>
      <c r="J136" s="9" t="str">
        <f ca="1">+WORLDCUP!BD68</f>
        <v>RD Congo</v>
      </c>
      <c r="N136" s="16" t="s">
        <v>921</v>
      </c>
      <c r="O136" s="16">
        <v>135</v>
      </c>
      <c r="P136" s="16" t="s">
        <v>103</v>
      </c>
      <c r="Q136" s="16" t="s">
        <v>126</v>
      </c>
      <c r="R136" s="16" t="s">
        <v>90</v>
      </c>
      <c r="S136" s="16" t="s">
        <v>94</v>
      </c>
      <c r="T136" s="16" t="s">
        <v>117</v>
      </c>
      <c r="U136" s="16" t="s">
        <v>99</v>
      </c>
      <c r="V136" s="16" t="s">
        <v>121</v>
      </c>
      <c r="W136" s="16" t="s">
        <v>130</v>
      </c>
    </row>
    <row r="137" spans="1:23" x14ac:dyDescent="0.2">
      <c r="A137" s="9" t="s">
        <v>922</v>
      </c>
      <c r="B137" s="9">
        <f ca="1">+IF(A137=WORLDCUP!$BI$112,1,0)</f>
        <v>0</v>
      </c>
      <c r="C137" s="9" t="str">
        <f ca="1">+WORLDCUP!BD62</f>
        <v>Curazao</v>
      </c>
      <c r="D137" s="9" t="str">
        <f ca="1">+WORLDCUP!BD64</f>
        <v>Egipto</v>
      </c>
      <c r="E137" s="9" t="str">
        <f ca="1">+WORLDCUP!BD59</f>
        <v>Catar</v>
      </c>
      <c r="F137" s="9" t="str">
        <f ca="1">+WORLDCUP!BD60</f>
        <v>Haití</v>
      </c>
      <c r="G137" s="9" t="str">
        <f ca="1">+WORLDCUP!BD67</f>
        <v>Argelia</v>
      </c>
      <c r="H137" s="9" t="str">
        <f ca="1">+WORLDCUP!BD61</f>
        <v>Australia</v>
      </c>
      <c r="I137" s="9" t="str">
        <f ca="1">+WORLDCUP!BD69</f>
        <v>Ghana</v>
      </c>
      <c r="J137" s="9" t="str">
        <f ca="1">+WORLDCUP!BD68</f>
        <v>RD Congo</v>
      </c>
      <c r="N137" s="16" t="s">
        <v>922</v>
      </c>
      <c r="O137" s="16">
        <v>136</v>
      </c>
      <c r="P137" s="16" t="s">
        <v>103</v>
      </c>
      <c r="Q137" s="16" t="s">
        <v>112</v>
      </c>
      <c r="R137" s="16" t="s">
        <v>90</v>
      </c>
      <c r="S137" s="16" t="s">
        <v>94</v>
      </c>
      <c r="T137" s="16" t="s">
        <v>126</v>
      </c>
      <c r="U137" s="16" t="s">
        <v>99</v>
      </c>
      <c r="V137" s="16" t="s">
        <v>135</v>
      </c>
      <c r="W137" s="16" t="s">
        <v>130</v>
      </c>
    </row>
    <row r="138" spans="1:23" x14ac:dyDescent="0.2">
      <c r="A138" s="9" t="s">
        <v>923</v>
      </c>
      <c r="B138" s="9">
        <f ca="1">+IF(A138=WORLDCUP!$BI$112,1,0)</f>
        <v>0</v>
      </c>
      <c r="C138" s="9" t="str">
        <f ca="1">+WORLDCUP!BD62</f>
        <v>Curazao</v>
      </c>
      <c r="D138" s="9" t="str">
        <f ca="1">+WORLDCUP!BD64</f>
        <v>Egipto</v>
      </c>
      <c r="E138" s="9" t="str">
        <f ca="1">+WORLDCUP!BD59</f>
        <v>Catar</v>
      </c>
      <c r="F138" s="9" t="str">
        <f ca="1">+WORLDCUP!BD60</f>
        <v>Haití</v>
      </c>
      <c r="G138" s="9" t="str">
        <f ca="1">+WORLDCUP!BD66</f>
        <v>Senegal</v>
      </c>
      <c r="H138" s="9" t="str">
        <f ca="1">+WORLDCUP!BD61</f>
        <v>Australia</v>
      </c>
      <c r="I138" s="9" t="str">
        <f ca="1">+WORLDCUP!BD69</f>
        <v>Ghana</v>
      </c>
      <c r="J138" s="9" t="str">
        <f ca="1">+WORLDCUP!BD68</f>
        <v>RD Congo</v>
      </c>
      <c r="N138" s="16" t="s">
        <v>923</v>
      </c>
      <c r="O138" s="16">
        <v>137</v>
      </c>
      <c r="P138" s="16" t="s">
        <v>103</v>
      </c>
      <c r="Q138" s="16" t="s">
        <v>112</v>
      </c>
      <c r="R138" s="16" t="s">
        <v>90</v>
      </c>
      <c r="S138" s="16" t="s">
        <v>94</v>
      </c>
      <c r="T138" s="16" t="s">
        <v>121</v>
      </c>
      <c r="U138" s="16" t="s">
        <v>99</v>
      </c>
      <c r="V138" s="16" t="s">
        <v>135</v>
      </c>
      <c r="W138" s="16" t="s">
        <v>130</v>
      </c>
    </row>
    <row r="139" spans="1:23" x14ac:dyDescent="0.2">
      <c r="A139" s="9" t="s">
        <v>924</v>
      </c>
      <c r="B139" s="9">
        <f ca="1">+IF(A139=WORLDCUP!$BI$112,1,0)</f>
        <v>0</v>
      </c>
      <c r="C139" s="9" t="str">
        <f ca="1">+WORLDCUP!BD62</f>
        <v>Curazao</v>
      </c>
      <c r="D139" s="9" t="str">
        <f ca="1">+WORLDCUP!BD64</f>
        <v>Egipto</v>
      </c>
      <c r="E139" s="9" t="str">
        <f ca="1">+WORLDCUP!BD59</f>
        <v>Catar</v>
      </c>
      <c r="F139" s="9" t="str">
        <f ca="1">+WORLDCUP!BD60</f>
        <v>Haití</v>
      </c>
      <c r="G139" s="9" t="str">
        <f ca="1">+WORLDCUP!BD67</f>
        <v>Argelia</v>
      </c>
      <c r="H139" s="9" t="str">
        <f ca="1">+WORLDCUP!BD61</f>
        <v>Australia</v>
      </c>
      <c r="I139" s="9" t="str">
        <f ca="1">+WORLDCUP!BD69</f>
        <v>Ghana</v>
      </c>
      <c r="J139" s="9" t="str">
        <f ca="1">+WORLDCUP!BD66</f>
        <v>Senegal</v>
      </c>
      <c r="N139" s="16" t="s">
        <v>924</v>
      </c>
      <c r="O139" s="16">
        <v>138</v>
      </c>
      <c r="P139" s="16" t="s">
        <v>103</v>
      </c>
      <c r="Q139" s="16" t="s">
        <v>112</v>
      </c>
      <c r="R139" s="16" t="s">
        <v>90</v>
      </c>
      <c r="S139" s="16" t="s">
        <v>94</v>
      </c>
      <c r="T139" s="16" t="s">
        <v>126</v>
      </c>
      <c r="U139" s="16" t="s">
        <v>99</v>
      </c>
      <c r="V139" s="16" t="s">
        <v>135</v>
      </c>
      <c r="W139" s="16" t="s">
        <v>121</v>
      </c>
    </row>
    <row r="140" spans="1:23" x14ac:dyDescent="0.2">
      <c r="A140" s="9" t="s">
        <v>925</v>
      </c>
      <c r="B140" s="9">
        <f ca="1">+IF(A140=WORLDCUP!$BI$112,1,0)</f>
        <v>0</v>
      </c>
      <c r="C140" s="9" t="str">
        <f ca="1">+WORLDCUP!BD62</f>
        <v>Curazao</v>
      </c>
      <c r="D140" s="9" t="str">
        <f ca="1">+WORLDCUP!BD64</f>
        <v>Egipto</v>
      </c>
      <c r="E140" s="9" t="str">
        <f ca="1">+WORLDCUP!BD59</f>
        <v>Catar</v>
      </c>
      <c r="F140" s="9" t="str">
        <f ca="1">+WORLDCUP!BD60</f>
        <v>Haití</v>
      </c>
      <c r="G140" s="9" t="str">
        <f ca="1">+WORLDCUP!BD67</f>
        <v>Argelia</v>
      </c>
      <c r="H140" s="9" t="str">
        <f ca="1">+WORLDCUP!BD61</f>
        <v>Australia</v>
      </c>
      <c r="I140" s="9" t="str">
        <f ca="1">+WORLDCUP!BD66</f>
        <v>Senegal</v>
      </c>
      <c r="J140" s="9" t="str">
        <f ca="1">+WORLDCUP!BD68</f>
        <v>RD Congo</v>
      </c>
      <c r="N140" s="16" t="s">
        <v>925</v>
      </c>
      <c r="O140" s="16">
        <v>139</v>
      </c>
      <c r="P140" s="16" t="s">
        <v>103</v>
      </c>
      <c r="Q140" s="16" t="s">
        <v>112</v>
      </c>
      <c r="R140" s="16" t="s">
        <v>90</v>
      </c>
      <c r="S140" s="16" t="s">
        <v>94</v>
      </c>
      <c r="T140" s="16" t="s">
        <v>126</v>
      </c>
      <c r="U140" s="16" t="s">
        <v>99</v>
      </c>
      <c r="V140" s="16" t="s">
        <v>121</v>
      </c>
      <c r="W140" s="16" t="s">
        <v>130</v>
      </c>
    </row>
    <row r="141" spans="1:23" x14ac:dyDescent="0.2">
      <c r="A141" s="9" t="s">
        <v>926</v>
      </c>
      <c r="B141" s="9">
        <f ca="1">+IF(A141=WORLDCUP!$BI$112,1,0)</f>
        <v>0</v>
      </c>
      <c r="C141" s="9" t="str">
        <f ca="1">+WORLDCUP!BD62</f>
        <v>Curazao</v>
      </c>
      <c r="D141" s="9" t="str">
        <f ca="1">+WORLDCUP!BD64</f>
        <v>Egipto</v>
      </c>
      <c r="E141" s="9" t="str">
        <f ca="1">+WORLDCUP!BD59</f>
        <v>Catar</v>
      </c>
      <c r="F141" s="9" t="str">
        <f ca="1">+WORLDCUP!BD60</f>
        <v>Haití</v>
      </c>
      <c r="G141" s="9" t="str">
        <f ca="1">+WORLDCUP!BD65</f>
        <v>Arabia Saudita</v>
      </c>
      <c r="H141" s="9" t="str">
        <f ca="1">+WORLDCUP!BD61</f>
        <v>Australia</v>
      </c>
      <c r="I141" s="9" t="str">
        <f ca="1">+WORLDCUP!BD69</f>
        <v>Ghana</v>
      </c>
      <c r="J141" s="9" t="str">
        <f ca="1">+WORLDCUP!BD68</f>
        <v>RD Congo</v>
      </c>
      <c r="N141" s="16" t="s">
        <v>926</v>
      </c>
      <c r="O141" s="16">
        <v>140</v>
      </c>
      <c r="P141" s="16" t="s">
        <v>103</v>
      </c>
      <c r="Q141" s="16" t="s">
        <v>112</v>
      </c>
      <c r="R141" s="16" t="s">
        <v>90</v>
      </c>
      <c r="S141" s="16" t="s">
        <v>94</v>
      </c>
      <c r="T141" s="16" t="s">
        <v>117</v>
      </c>
      <c r="U141" s="16" t="s">
        <v>99</v>
      </c>
      <c r="V141" s="16" t="s">
        <v>135</v>
      </c>
      <c r="W141" s="16" t="s">
        <v>130</v>
      </c>
    </row>
    <row r="142" spans="1:23" x14ac:dyDescent="0.2">
      <c r="A142" s="9" t="s">
        <v>927</v>
      </c>
      <c r="B142" s="9">
        <f ca="1">+IF(A142=WORLDCUP!$BI$112,1,0)</f>
        <v>0</v>
      </c>
      <c r="C142" s="9" t="str">
        <f ca="1">+WORLDCUP!BD65</f>
        <v>Arabia Saudita</v>
      </c>
      <c r="D142" s="9" t="str">
        <f ca="1">+WORLDCUP!BD64</f>
        <v>Egipto</v>
      </c>
      <c r="E142" s="9" t="str">
        <f ca="1">+WORLDCUP!BD59</f>
        <v>Catar</v>
      </c>
      <c r="F142" s="9" t="str">
        <f ca="1">+WORLDCUP!BD60</f>
        <v>Haití</v>
      </c>
      <c r="G142" s="9" t="str">
        <f ca="1">+WORLDCUP!BD67</f>
        <v>Argelia</v>
      </c>
      <c r="H142" s="9" t="str">
        <f ca="1">+WORLDCUP!BD61</f>
        <v>Australia</v>
      </c>
      <c r="I142" s="9" t="str">
        <f ca="1">+WORLDCUP!BD69</f>
        <v>Ghana</v>
      </c>
      <c r="J142" s="9" t="str">
        <f ca="1">+WORLDCUP!BD62</f>
        <v>Curazao</v>
      </c>
      <c r="N142" s="16" t="s">
        <v>927</v>
      </c>
      <c r="O142" s="16">
        <v>141</v>
      </c>
      <c r="P142" s="16" t="s">
        <v>117</v>
      </c>
      <c r="Q142" s="16" t="s">
        <v>112</v>
      </c>
      <c r="R142" s="16" t="s">
        <v>90</v>
      </c>
      <c r="S142" s="16" t="s">
        <v>94</v>
      </c>
      <c r="T142" s="16" t="s">
        <v>126</v>
      </c>
      <c r="U142" s="16" t="s">
        <v>99</v>
      </c>
      <c r="V142" s="16" t="s">
        <v>135</v>
      </c>
      <c r="W142" s="16" t="s">
        <v>103</v>
      </c>
    </row>
    <row r="143" spans="1:23" x14ac:dyDescent="0.2">
      <c r="A143" s="9" t="s">
        <v>928</v>
      </c>
      <c r="B143" s="9">
        <f ca="1">+IF(A143=WORLDCUP!$BI$112,1,0)</f>
        <v>0</v>
      </c>
      <c r="C143" s="9" t="str">
        <f ca="1">+WORLDCUP!BD65</f>
        <v>Arabia Saudita</v>
      </c>
      <c r="D143" s="9" t="str">
        <f ca="1">+WORLDCUP!BD64</f>
        <v>Egipto</v>
      </c>
      <c r="E143" s="9" t="str">
        <f ca="1">+WORLDCUP!BD59</f>
        <v>Catar</v>
      </c>
      <c r="F143" s="9" t="str">
        <f ca="1">+WORLDCUP!BD60</f>
        <v>Haití</v>
      </c>
      <c r="G143" s="9" t="str">
        <f ca="1">+WORLDCUP!BD67</f>
        <v>Argelia</v>
      </c>
      <c r="H143" s="9" t="str">
        <f ca="1">+WORLDCUP!BD61</f>
        <v>Australia</v>
      </c>
      <c r="I143" s="9" t="str">
        <f ca="1">+WORLDCUP!BD62</f>
        <v>Curazao</v>
      </c>
      <c r="J143" s="9" t="str">
        <f ca="1">+WORLDCUP!BD68</f>
        <v>RD Congo</v>
      </c>
      <c r="N143" s="16" t="s">
        <v>928</v>
      </c>
      <c r="O143" s="16">
        <v>142</v>
      </c>
      <c r="P143" s="16" t="s">
        <v>117</v>
      </c>
      <c r="Q143" s="16" t="s">
        <v>112</v>
      </c>
      <c r="R143" s="16" t="s">
        <v>90</v>
      </c>
      <c r="S143" s="16" t="s">
        <v>94</v>
      </c>
      <c r="T143" s="16" t="s">
        <v>126</v>
      </c>
      <c r="U143" s="16" t="s">
        <v>99</v>
      </c>
      <c r="V143" s="16" t="s">
        <v>103</v>
      </c>
      <c r="W143" s="16" t="s">
        <v>130</v>
      </c>
    </row>
    <row r="144" spans="1:23" x14ac:dyDescent="0.2">
      <c r="A144" s="9" t="s">
        <v>929</v>
      </c>
      <c r="B144" s="9">
        <f ca="1">+IF(A144=WORLDCUP!$BI$112,1,0)</f>
        <v>0</v>
      </c>
      <c r="C144" s="9" t="str">
        <f ca="1">+WORLDCUP!BD62</f>
        <v>Curazao</v>
      </c>
      <c r="D144" s="9" t="str">
        <f ca="1">+WORLDCUP!BD64</f>
        <v>Egipto</v>
      </c>
      <c r="E144" s="9" t="str">
        <f ca="1">+WORLDCUP!BD59</f>
        <v>Catar</v>
      </c>
      <c r="F144" s="9" t="str">
        <f ca="1">+WORLDCUP!BD60</f>
        <v>Haití</v>
      </c>
      <c r="G144" s="9" t="str">
        <f ca="1">+WORLDCUP!BD65</f>
        <v>Arabia Saudita</v>
      </c>
      <c r="H144" s="9" t="str">
        <f ca="1">+WORLDCUP!BD61</f>
        <v>Australia</v>
      </c>
      <c r="I144" s="9" t="str">
        <f ca="1">+WORLDCUP!BD69</f>
        <v>Ghana</v>
      </c>
      <c r="J144" s="9" t="str">
        <f ca="1">+WORLDCUP!BD66</f>
        <v>Senegal</v>
      </c>
      <c r="N144" s="16" t="s">
        <v>929</v>
      </c>
      <c r="O144" s="16">
        <v>143</v>
      </c>
      <c r="P144" s="16" t="s">
        <v>103</v>
      </c>
      <c r="Q144" s="16" t="s">
        <v>112</v>
      </c>
      <c r="R144" s="16" t="s">
        <v>90</v>
      </c>
      <c r="S144" s="16" t="s">
        <v>94</v>
      </c>
      <c r="T144" s="16" t="s">
        <v>117</v>
      </c>
      <c r="U144" s="16" t="s">
        <v>99</v>
      </c>
      <c r="V144" s="16" t="s">
        <v>135</v>
      </c>
      <c r="W144" s="16" t="s">
        <v>121</v>
      </c>
    </row>
    <row r="145" spans="1:23" x14ac:dyDescent="0.2">
      <c r="A145" s="9" t="s">
        <v>930</v>
      </c>
      <c r="B145" s="9">
        <f ca="1">+IF(A145=WORLDCUP!$BI$112,1,0)</f>
        <v>0</v>
      </c>
      <c r="C145" s="9" t="str">
        <f ca="1">+WORLDCUP!BD62</f>
        <v>Curazao</v>
      </c>
      <c r="D145" s="9" t="str">
        <f ca="1">+WORLDCUP!BD64</f>
        <v>Egipto</v>
      </c>
      <c r="E145" s="9" t="str">
        <f ca="1">+WORLDCUP!BD59</f>
        <v>Catar</v>
      </c>
      <c r="F145" s="9" t="str">
        <f ca="1">+WORLDCUP!BD60</f>
        <v>Haití</v>
      </c>
      <c r="G145" s="9" t="str">
        <f ca="1">+WORLDCUP!BD65</f>
        <v>Arabia Saudita</v>
      </c>
      <c r="H145" s="9" t="str">
        <f ca="1">+WORLDCUP!BD61</f>
        <v>Australia</v>
      </c>
      <c r="I145" s="9" t="str">
        <f ca="1">+WORLDCUP!BD66</f>
        <v>Senegal</v>
      </c>
      <c r="J145" s="9" t="str">
        <f ca="1">+WORLDCUP!BD68</f>
        <v>RD Congo</v>
      </c>
      <c r="N145" s="16" t="s">
        <v>930</v>
      </c>
      <c r="O145" s="16">
        <v>144</v>
      </c>
      <c r="P145" s="16" t="s">
        <v>103</v>
      </c>
      <c r="Q145" s="16" t="s">
        <v>112</v>
      </c>
      <c r="R145" s="16" t="s">
        <v>90</v>
      </c>
      <c r="S145" s="16" t="s">
        <v>94</v>
      </c>
      <c r="T145" s="16" t="s">
        <v>117</v>
      </c>
      <c r="U145" s="16" t="s">
        <v>99</v>
      </c>
      <c r="V145" s="16" t="s">
        <v>121</v>
      </c>
      <c r="W145" s="16" t="s">
        <v>130</v>
      </c>
    </row>
    <row r="146" spans="1:23" x14ac:dyDescent="0.2">
      <c r="A146" s="9" t="s">
        <v>931</v>
      </c>
      <c r="B146" s="9">
        <f ca="1">+IF(A146=WORLDCUP!$BI$112,1,0)</f>
        <v>0</v>
      </c>
      <c r="C146" s="9" t="str">
        <f ca="1">+WORLDCUP!BD65</f>
        <v>Arabia Saudita</v>
      </c>
      <c r="D146" s="9" t="str">
        <f ca="1">+WORLDCUP!BD64</f>
        <v>Egipto</v>
      </c>
      <c r="E146" s="9" t="str">
        <f ca="1">+WORLDCUP!BD59</f>
        <v>Catar</v>
      </c>
      <c r="F146" s="9" t="str">
        <f ca="1">+WORLDCUP!BD60</f>
        <v>Haití</v>
      </c>
      <c r="G146" s="9" t="str">
        <f ca="1">+WORLDCUP!BD67</f>
        <v>Argelia</v>
      </c>
      <c r="H146" s="9" t="str">
        <f ca="1">+WORLDCUP!BD61</f>
        <v>Australia</v>
      </c>
      <c r="I146" s="9" t="str">
        <f ca="1">+WORLDCUP!BD62</f>
        <v>Curazao</v>
      </c>
      <c r="J146" s="9" t="str">
        <f ca="1">+WORLDCUP!BD66</f>
        <v>Senegal</v>
      </c>
      <c r="N146" s="16" t="s">
        <v>931</v>
      </c>
      <c r="O146" s="16">
        <v>145</v>
      </c>
      <c r="P146" s="16" t="s">
        <v>117</v>
      </c>
      <c r="Q146" s="16" t="s">
        <v>112</v>
      </c>
      <c r="R146" s="16" t="s">
        <v>90</v>
      </c>
      <c r="S146" s="16" t="s">
        <v>94</v>
      </c>
      <c r="T146" s="16" t="s">
        <v>126</v>
      </c>
      <c r="U146" s="16" t="s">
        <v>99</v>
      </c>
      <c r="V146" s="16" t="s">
        <v>103</v>
      </c>
      <c r="W146" s="16" t="s">
        <v>121</v>
      </c>
    </row>
    <row r="147" spans="1:23" x14ac:dyDescent="0.2">
      <c r="A147" s="9" t="s">
        <v>932</v>
      </c>
      <c r="B147" s="9">
        <f ca="1">+IF(A147=WORLDCUP!$BI$112,1,0)</f>
        <v>0</v>
      </c>
      <c r="C147" s="9" t="str">
        <f ca="1">+WORLDCUP!BD60</f>
        <v>Haití</v>
      </c>
      <c r="D147" s="9" t="str">
        <f ca="1">+WORLDCUP!BD67</f>
        <v>Argelia</v>
      </c>
      <c r="E147" s="9" t="str">
        <f ca="1">+WORLDCUP!BD59</f>
        <v>Catar</v>
      </c>
      <c r="F147" s="9" t="str">
        <f ca="1">+WORLDCUP!BD61</f>
        <v>Australia</v>
      </c>
      <c r="G147" s="9" t="str">
        <f ca="1">+WORLDCUP!BD62</f>
        <v>Curazao</v>
      </c>
      <c r="H147" s="9" t="str">
        <f ca="1">+WORLDCUP!BD63</f>
        <v>Suecia</v>
      </c>
      <c r="I147" s="9" t="str">
        <f ca="1">+WORLDCUP!BD69</f>
        <v>Ghana</v>
      </c>
      <c r="J147" s="9" t="str">
        <f ca="1">+WORLDCUP!BD68</f>
        <v>RD Congo</v>
      </c>
      <c r="N147" s="16" t="s">
        <v>932</v>
      </c>
      <c r="O147" s="16">
        <v>146</v>
      </c>
      <c r="P147" s="16" t="s">
        <v>94</v>
      </c>
      <c r="Q147" s="16" t="s">
        <v>126</v>
      </c>
      <c r="R147" s="16" t="s">
        <v>90</v>
      </c>
      <c r="S147" s="16" t="s">
        <v>99</v>
      </c>
      <c r="T147" s="16" t="s">
        <v>103</v>
      </c>
      <c r="U147" s="16" t="s">
        <v>108</v>
      </c>
      <c r="V147" s="16" t="s">
        <v>135</v>
      </c>
      <c r="W147" s="16" t="s">
        <v>130</v>
      </c>
    </row>
    <row r="148" spans="1:23" x14ac:dyDescent="0.2">
      <c r="A148" s="9" t="s">
        <v>933</v>
      </c>
      <c r="B148" s="9">
        <f ca="1">+IF(A148=WORLDCUP!$BI$112,1,0)</f>
        <v>0</v>
      </c>
      <c r="C148" s="9" t="str">
        <f ca="1">+WORLDCUP!BD60</f>
        <v>Haití</v>
      </c>
      <c r="D148" s="9" t="str">
        <f ca="1">+WORLDCUP!BD62</f>
        <v>Curazao</v>
      </c>
      <c r="E148" s="9" t="str">
        <f ca="1">+WORLDCUP!BD59</f>
        <v>Catar</v>
      </c>
      <c r="F148" s="9" t="str">
        <f ca="1">+WORLDCUP!BD61</f>
        <v>Australia</v>
      </c>
      <c r="G148" s="9" t="str">
        <f ca="1">+WORLDCUP!BD66</f>
        <v>Senegal</v>
      </c>
      <c r="H148" s="9" t="str">
        <f ca="1">+WORLDCUP!BD63</f>
        <v>Suecia</v>
      </c>
      <c r="I148" s="9" t="str">
        <f ca="1">+WORLDCUP!BD69</f>
        <v>Ghana</v>
      </c>
      <c r="J148" s="9" t="str">
        <f ca="1">+WORLDCUP!BD68</f>
        <v>RD Congo</v>
      </c>
      <c r="N148" s="16" t="s">
        <v>933</v>
      </c>
      <c r="O148" s="16">
        <v>147</v>
      </c>
      <c r="P148" s="16" t="s">
        <v>94</v>
      </c>
      <c r="Q148" s="16" t="s">
        <v>103</v>
      </c>
      <c r="R148" s="16" t="s">
        <v>90</v>
      </c>
      <c r="S148" s="16" t="s">
        <v>99</v>
      </c>
      <c r="T148" s="16" t="s">
        <v>121</v>
      </c>
      <c r="U148" s="16" t="s">
        <v>108</v>
      </c>
      <c r="V148" s="16" t="s">
        <v>135</v>
      </c>
      <c r="W148" s="16" t="s">
        <v>130</v>
      </c>
    </row>
    <row r="149" spans="1:23" x14ac:dyDescent="0.2">
      <c r="A149" s="9" t="s">
        <v>934</v>
      </c>
      <c r="B149" s="9">
        <f ca="1">+IF(A149=WORLDCUP!$BI$112,1,0)</f>
        <v>0</v>
      </c>
      <c r="C149" s="9" t="str">
        <f ca="1">+WORLDCUP!BD60</f>
        <v>Haití</v>
      </c>
      <c r="D149" s="9" t="str">
        <f ca="1">+WORLDCUP!BD67</f>
        <v>Argelia</v>
      </c>
      <c r="E149" s="9" t="str">
        <f ca="1">+WORLDCUP!BD59</f>
        <v>Catar</v>
      </c>
      <c r="F149" s="9" t="str">
        <f ca="1">+WORLDCUP!BD61</f>
        <v>Australia</v>
      </c>
      <c r="G149" s="9" t="str">
        <f ca="1">+WORLDCUP!BD62</f>
        <v>Curazao</v>
      </c>
      <c r="H149" s="9" t="str">
        <f ca="1">+WORLDCUP!BD63</f>
        <v>Suecia</v>
      </c>
      <c r="I149" s="9" t="str">
        <f ca="1">+WORLDCUP!BD69</f>
        <v>Ghana</v>
      </c>
      <c r="J149" s="9" t="str">
        <f ca="1">+WORLDCUP!BD66</f>
        <v>Senegal</v>
      </c>
      <c r="N149" s="16" t="s">
        <v>934</v>
      </c>
      <c r="O149" s="16">
        <v>148</v>
      </c>
      <c r="P149" s="16" t="s">
        <v>94</v>
      </c>
      <c r="Q149" s="16" t="s">
        <v>126</v>
      </c>
      <c r="R149" s="16" t="s">
        <v>90</v>
      </c>
      <c r="S149" s="16" t="s">
        <v>99</v>
      </c>
      <c r="T149" s="16" t="s">
        <v>103</v>
      </c>
      <c r="U149" s="16" t="s">
        <v>108</v>
      </c>
      <c r="V149" s="16" t="s">
        <v>135</v>
      </c>
      <c r="W149" s="16" t="s">
        <v>121</v>
      </c>
    </row>
    <row r="150" spans="1:23" x14ac:dyDescent="0.2">
      <c r="A150" s="9" t="s">
        <v>935</v>
      </c>
      <c r="B150" s="9">
        <f ca="1">+IF(A150=WORLDCUP!$BI$112,1,0)</f>
        <v>0</v>
      </c>
      <c r="C150" s="9" t="str">
        <f ca="1">+WORLDCUP!BD60</f>
        <v>Haití</v>
      </c>
      <c r="D150" s="9" t="str">
        <f ca="1">+WORLDCUP!BD67</f>
        <v>Argelia</v>
      </c>
      <c r="E150" s="9" t="str">
        <f ca="1">+WORLDCUP!BD59</f>
        <v>Catar</v>
      </c>
      <c r="F150" s="9" t="str">
        <f ca="1">+WORLDCUP!BD61</f>
        <v>Australia</v>
      </c>
      <c r="G150" s="9" t="str">
        <f ca="1">+WORLDCUP!BD62</f>
        <v>Curazao</v>
      </c>
      <c r="H150" s="9" t="str">
        <f ca="1">+WORLDCUP!BD63</f>
        <v>Suecia</v>
      </c>
      <c r="I150" s="9" t="str">
        <f ca="1">+WORLDCUP!BD66</f>
        <v>Senegal</v>
      </c>
      <c r="J150" s="9" t="str">
        <f ca="1">+WORLDCUP!BD68</f>
        <v>RD Congo</v>
      </c>
      <c r="N150" s="16" t="s">
        <v>935</v>
      </c>
      <c r="O150" s="16">
        <v>149</v>
      </c>
      <c r="P150" s="16" t="s">
        <v>94</v>
      </c>
      <c r="Q150" s="16" t="s">
        <v>126</v>
      </c>
      <c r="R150" s="16" t="s">
        <v>90</v>
      </c>
      <c r="S150" s="16" t="s">
        <v>99</v>
      </c>
      <c r="T150" s="16" t="s">
        <v>103</v>
      </c>
      <c r="U150" s="16" t="s">
        <v>108</v>
      </c>
      <c r="V150" s="16" t="s">
        <v>121</v>
      </c>
      <c r="W150" s="16" t="s">
        <v>130</v>
      </c>
    </row>
    <row r="151" spans="1:23" x14ac:dyDescent="0.2">
      <c r="A151" s="9" t="s">
        <v>936</v>
      </c>
      <c r="B151" s="9">
        <f ca="1">+IF(A151=WORLDCUP!$BI$112,1,0)</f>
        <v>0</v>
      </c>
      <c r="C151" s="9" t="str">
        <f ca="1">+WORLDCUP!BD60</f>
        <v>Haití</v>
      </c>
      <c r="D151" s="9" t="str">
        <f ca="1">+WORLDCUP!BD62</f>
        <v>Curazao</v>
      </c>
      <c r="E151" s="9" t="str">
        <f ca="1">+WORLDCUP!BD59</f>
        <v>Catar</v>
      </c>
      <c r="F151" s="9" t="str">
        <f ca="1">+WORLDCUP!BD61</f>
        <v>Australia</v>
      </c>
      <c r="G151" s="9" t="str">
        <f ca="1">+WORLDCUP!BD65</f>
        <v>Arabia Saudita</v>
      </c>
      <c r="H151" s="9" t="str">
        <f ca="1">+WORLDCUP!BD63</f>
        <v>Suecia</v>
      </c>
      <c r="I151" s="9" t="str">
        <f ca="1">+WORLDCUP!BD69</f>
        <v>Ghana</v>
      </c>
      <c r="J151" s="9" t="str">
        <f ca="1">+WORLDCUP!BD68</f>
        <v>RD Congo</v>
      </c>
      <c r="N151" s="16" t="s">
        <v>936</v>
      </c>
      <c r="O151" s="16">
        <v>150</v>
      </c>
      <c r="P151" s="16" t="s">
        <v>94</v>
      </c>
      <c r="Q151" s="16" t="s">
        <v>103</v>
      </c>
      <c r="R151" s="16" t="s">
        <v>90</v>
      </c>
      <c r="S151" s="16" t="s">
        <v>99</v>
      </c>
      <c r="T151" s="16" t="s">
        <v>117</v>
      </c>
      <c r="U151" s="16" t="s">
        <v>108</v>
      </c>
      <c r="V151" s="16" t="s">
        <v>135</v>
      </c>
      <c r="W151" s="16" t="s">
        <v>130</v>
      </c>
    </row>
    <row r="152" spans="1:23" x14ac:dyDescent="0.2">
      <c r="A152" s="9" t="s">
        <v>937</v>
      </c>
      <c r="B152" s="9">
        <f ca="1">+IF(A152=WORLDCUP!$BI$112,1,0)</f>
        <v>0</v>
      </c>
      <c r="C152" s="9" t="str">
        <f ca="1">+WORLDCUP!BD60</f>
        <v>Haití</v>
      </c>
      <c r="D152" s="9" t="str">
        <f ca="1">+WORLDCUP!BD67</f>
        <v>Argelia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Curazao</v>
      </c>
      <c r="N152" s="16" t="s">
        <v>937</v>
      </c>
      <c r="O152" s="16">
        <v>151</v>
      </c>
      <c r="P152" s="16" t="s">
        <v>94</v>
      </c>
      <c r="Q152" s="16" t="s">
        <v>126</v>
      </c>
      <c r="R152" s="16" t="s">
        <v>90</v>
      </c>
      <c r="S152" s="16" t="s">
        <v>99</v>
      </c>
      <c r="T152" s="16" t="s">
        <v>117</v>
      </c>
      <c r="U152" s="16" t="s">
        <v>108</v>
      </c>
      <c r="V152" s="16" t="s">
        <v>135</v>
      </c>
      <c r="W152" s="16" t="s">
        <v>103</v>
      </c>
    </row>
    <row r="153" spans="1:23" x14ac:dyDescent="0.2">
      <c r="A153" s="9" t="s">
        <v>938</v>
      </c>
      <c r="B153" s="9">
        <f ca="1">+IF(A153=WORLDCUP!$BI$112,1,0)</f>
        <v>0</v>
      </c>
      <c r="C153" s="9" t="str">
        <f ca="1">+WORLDCUP!BD60</f>
        <v>Haití</v>
      </c>
      <c r="D153" s="9" t="str">
        <f ca="1">+WORLDCUP!BD67</f>
        <v>Argelia</v>
      </c>
      <c r="E153" s="9" t="str">
        <f ca="1">+WORLDCUP!BD59</f>
        <v>Catar</v>
      </c>
      <c r="F153" s="9" t="str">
        <f ca="1">+WORLDCUP!BD61</f>
        <v>Australia</v>
      </c>
      <c r="G153" s="9" t="str">
        <f ca="1">+WORLDCUP!BD65</f>
        <v>Arabia Saudita</v>
      </c>
      <c r="H153" s="9" t="str">
        <f ca="1">+WORLDCUP!BD63</f>
        <v>Suecia</v>
      </c>
      <c r="I153" s="9" t="str">
        <f ca="1">+WORLDCUP!BD62</f>
        <v>Curazao</v>
      </c>
      <c r="J153" s="9" t="str">
        <f ca="1">+WORLDCUP!BD68</f>
        <v>RD Congo</v>
      </c>
      <c r="N153" s="16" t="s">
        <v>938</v>
      </c>
      <c r="O153" s="16">
        <v>152</v>
      </c>
      <c r="P153" s="16" t="s">
        <v>94</v>
      </c>
      <c r="Q153" s="16" t="s">
        <v>126</v>
      </c>
      <c r="R153" s="16" t="s">
        <v>90</v>
      </c>
      <c r="S153" s="16" t="s">
        <v>99</v>
      </c>
      <c r="T153" s="16" t="s">
        <v>117</v>
      </c>
      <c r="U153" s="16" t="s">
        <v>108</v>
      </c>
      <c r="V153" s="16" t="s">
        <v>103</v>
      </c>
      <c r="W153" s="16" t="s">
        <v>130</v>
      </c>
    </row>
    <row r="154" spans="1:23" x14ac:dyDescent="0.2">
      <c r="A154" s="9" t="s">
        <v>939</v>
      </c>
      <c r="B154" s="9">
        <f ca="1">+IF(A154=WORLDCUP!$BI$112,1,0)</f>
        <v>0</v>
      </c>
      <c r="C154" s="9" t="str">
        <f ca="1">+WORLDCUP!BD60</f>
        <v>Haití</v>
      </c>
      <c r="D154" s="9" t="str">
        <f ca="1">+WORLDCUP!BD62</f>
        <v>Curazao</v>
      </c>
      <c r="E154" s="9" t="str">
        <f ca="1">+WORLDCUP!BD59</f>
        <v>Catar</v>
      </c>
      <c r="F154" s="9" t="str">
        <f ca="1">+WORLDCUP!BD61</f>
        <v>Australia</v>
      </c>
      <c r="G154" s="9" t="str">
        <f ca="1">+WORLDCUP!BD65</f>
        <v>Arabia Saudita</v>
      </c>
      <c r="H154" s="9" t="str">
        <f ca="1">+WORLDCUP!BD63</f>
        <v>Suecia</v>
      </c>
      <c r="I154" s="9" t="str">
        <f ca="1">+WORLDCUP!BD69</f>
        <v>Ghana</v>
      </c>
      <c r="J154" s="9" t="str">
        <f ca="1">+WORLDCUP!BD66</f>
        <v>Senegal</v>
      </c>
      <c r="N154" s="16" t="s">
        <v>939</v>
      </c>
      <c r="O154" s="16">
        <v>153</v>
      </c>
      <c r="P154" s="16" t="s">
        <v>94</v>
      </c>
      <c r="Q154" s="16" t="s">
        <v>103</v>
      </c>
      <c r="R154" s="16" t="s">
        <v>90</v>
      </c>
      <c r="S154" s="16" t="s">
        <v>99</v>
      </c>
      <c r="T154" s="16" t="s">
        <v>117</v>
      </c>
      <c r="U154" s="16" t="s">
        <v>108</v>
      </c>
      <c r="V154" s="16" t="s">
        <v>135</v>
      </c>
      <c r="W154" s="16" t="s">
        <v>121</v>
      </c>
    </row>
    <row r="155" spans="1:23" x14ac:dyDescent="0.2">
      <c r="A155" s="9" t="s">
        <v>940</v>
      </c>
      <c r="B155" s="9">
        <f ca="1">+IF(A155=WORLDCUP!$BI$112,1,0)</f>
        <v>0</v>
      </c>
      <c r="C155" s="9" t="str">
        <f ca="1">+WORLDCUP!BD60</f>
        <v>Haití</v>
      </c>
      <c r="D155" s="9" t="str">
        <f ca="1">+WORLDCUP!BD62</f>
        <v>Curazao</v>
      </c>
      <c r="E155" s="9" t="str">
        <f ca="1">+WORLDCUP!BD59</f>
        <v>Catar</v>
      </c>
      <c r="F155" s="9" t="str">
        <f ca="1">+WORLDCUP!BD61</f>
        <v>Australia</v>
      </c>
      <c r="G155" s="9" t="str">
        <f ca="1">+WORLDCUP!BD65</f>
        <v>Arabia Saudita</v>
      </c>
      <c r="H155" s="9" t="str">
        <f ca="1">+WORLDCUP!BD63</f>
        <v>Suecia</v>
      </c>
      <c r="I155" s="9" t="str">
        <f ca="1">+WORLDCUP!BD66</f>
        <v>Senegal</v>
      </c>
      <c r="J155" s="9" t="str">
        <f ca="1">+WORLDCUP!BD68</f>
        <v>RD Congo</v>
      </c>
      <c r="N155" s="16" t="s">
        <v>940</v>
      </c>
      <c r="O155" s="16">
        <v>154</v>
      </c>
      <c r="P155" s="16" t="s">
        <v>94</v>
      </c>
      <c r="Q155" s="16" t="s">
        <v>103</v>
      </c>
      <c r="R155" s="16" t="s">
        <v>90</v>
      </c>
      <c r="S155" s="16" t="s">
        <v>99</v>
      </c>
      <c r="T155" s="16" t="s">
        <v>117</v>
      </c>
      <c r="U155" s="16" t="s">
        <v>108</v>
      </c>
      <c r="V155" s="16" t="s">
        <v>121</v>
      </c>
      <c r="W155" s="16" t="s">
        <v>130</v>
      </c>
    </row>
    <row r="156" spans="1:23" x14ac:dyDescent="0.2">
      <c r="A156" s="9" t="s">
        <v>941</v>
      </c>
      <c r="B156" s="9">
        <f ca="1">+IF(A156=WORLDCUP!$BI$112,1,0)</f>
        <v>0</v>
      </c>
      <c r="C156" s="9" t="str">
        <f ca="1">+WORLDCUP!BD60</f>
        <v>Haití</v>
      </c>
      <c r="D156" s="9" t="str">
        <f ca="1">+WORLDCUP!BD67</f>
        <v>Argelia</v>
      </c>
      <c r="E156" s="9" t="str">
        <f ca="1">+WORLDCUP!BD59</f>
        <v>Catar</v>
      </c>
      <c r="F156" s="9" t="str">
        <f ca="1">+WORLDCUP!BD61</f>
        <v>Australia</v>
      </c>
      <c r="G156" s="9" t="str">
        <f ca="1">+WORLDCUP!BD65</f>
        <v>Arabia Saudita</v>
      </c>
      <c r="H156" s="9" t="str">
        <f ca="1">+WORLDCUP!BD63</f>
        <v>Suecia</v>
      </c>
      <c r="I156" s="9" t="str">
        <f ca="1">+WORLDCUP!BD62</f>
        <v>Curazao</v>
      </c>
      <c r="J156" s="9" t="str">
        <f ca="1">+WORLDCUP!BD66</f>
        <v>Senegal</v>
      </c>
      <c r="N156" s="16" t="s">
        <v>941</v>
      </c>
      <c r="O156" s="16">
        <v>155</v>
      </c>
      <c r="P156" s="16" t="s">
        <v>94</v>
      </c>
      <c r="Q156" s="16" t="s">
        <v>126</v>
      </c>
      <c r="R156" s="16" t="s">
        <v>90</v>
      </c>
      <c r="S156" s="16" t="s">
        <v>99</v>
      </c>
      <c r="T156" s="16" t="s">
        <v>117</v>
      </c>
      <c r="U156" s="16" t="s">
        <v>108</v>
      </c>
      <c r="V156" s="16" t="s">
        <v>103</v>
      </c>
      <c r="W156" s="16" t="s">
        <v>121</v>
      </c>
    </row>
    <row r="157" spans="1:23" x14ac:dyDescent="0.2">
      <c r="A157" s="9" t="s">
        <v>942</v>
      </c>
      <c r="B157" s="9">
        <f ca="1">+IF(A157=WORLDCUP!$BI$112,1,0)</f>
        <v>0</v>
      </c>
      <c r="C157" s="9" t="str">
        <f ca="1">+WORLDCUP!BD60</f>
        <v>Haití</v>
      </c>
      <c r="D157" s="9" t="str">
        <f ca="1">+WORLDCUP!BD64</f>
        <v>Egipto</v>
      </c>
      <c r="E157" s="9" t="str">
        <f ca="1">+WORLDCUP!BD59</f>
        <v>Catar</v>
      </c>
      <c r="F157" s="9" t="str">
        <f ca="1">+WORLDCUP!BD61</f>
        <v>Australia</v>
      </c>
      <c r="G157" s="9" t="str">
        <f ca="1">+WORLDCUP!BD62</f>
        <v>Curazao</v>
      </c>
      <c r="H157" s="9" t="str">
        <f ca="1">+WORLDCUP!BD63</f>
        <v>Suecia</v>
      </c>
      <c r="I157" s="9" t="str">
        <f ca="1">+WORLDCUP!BD69</f>
        <v>Ghana</v>
      </c>
      <c r="J157" s="9" t="str">
        <f ca="1">+WORLDCUP!BD68</f>
        <v>RD Congo</v>
      </c>
      <c r="N157" s="16" t="s">
        <v>942</v>
      </c>
      <c r="O157" s="16">
        <v>156</v>
      </c>
      <c r="P157" s="16" t="s">
        <v>94</v>
      </c>
      <c r="Q157" s="16" t="s">
        <v>112</v>
      </c>
      <c r="R157" s="16" t="s">
        <v>90</v>
      </c>
      <c r="S157" s="16" t="s">
        <v>99</v>
      </c>
      <c r="T157" s="16" t="s">
        <v>103</v>
      </c>
      <c r="U157" s="16" t="s">
        <v>108</v>
      </c>
      <c r="V157" s="16" t="s">
        <v>135</v>
      </c>
      <c r="W157" s="16" t="s">
        <v>130</v>
      </c>
    </row>
    <row r="158" spans="1:23" x14ac:dyDescent="0.2">
      <c r="A158" s="9" t="s">
        <v>943</v>
      </c>
      <c r="B158" s="9">
        <f ca="1">+IF(A158=WORLDCUP!$BI$112,1,0)</f>
        <v>0</v>
      </c>
      <c r="C158" s="9" t="str">
        <f ca="1">+WORLDCUP!BD60</f>
        <v>Haití</v>
      </c>
      <c r="D158" s="9" t="str">
        <f ca="1">+WORLDCUP!BD64</f>
        <v>Egipto</v>
      </c>
      <c r="E158" s="9" t="str">
        <f ca="1">+WORLDCUP!BD59</f>
        <v>Catar</v>
      </c>
      <c r="F158" s="9" t="str">
        <f ca="1">+WORLDCUP!BD61</f>
        <v>Australia</v>
      </c>
      <c r="G158" s="9" t="str">
        <f ca="1">+WORLDCUP!BD67</f>
        <v>Argelia</v>
      </c>
      <c r="H158" s="9" t="str">
        <f ca="1">+WORLDCUP!BD63</f>
        <v>Suecia</v>
      </c>
      <c r="I158" s="9" t="str">
        <f ca="1">+WORLDCUP!BD69</f>
        <v>Ghana</v>
      </c>
      <c r="J158" s="9" t="str">
        <f ca="1">+WORLDCUP!BD62</f>
        <v>Curazao</v>
      </c>
      <c r="N158" s="16" t="s">
        <v>943</v>
      </c>
      <c r="O158" s="16">
        <v>157</v>
      </c>
      <c r="P158" s="16" t="s">
        <v>94</v>
      </c>
      <c r="Q158" s="16" t="s">
        <v>112</v>
      </c>
      <c r="R158" s="16" t="s">
        <v>90</v>
      </c>
      <c r="S158" s="16" t="s">
        <v>99</v>
      </c>
      <c r="T158" s="16" t="s">
        <v>126</v>
      </c>
      <c r="U158" s="16" t="s">
        <v>108</v>
      </c>
      <c r="V158" s="16" t="s">
        <v>135</v>
      </c>
      <c r="W158" s="16" t="s">
        <v>103</v>
      </c>
    </row>
    <row r="159" spans="1:23" x14ac:dyDescent="0.2">
      <c r="A159" s="9" t="s">
        <v>944</v>
      </c>
      <c r="B159" s="9">
        <f ca="1">+IF(A159=WORLDCUP!$BI$112,1,0)</f>
        <v>0</v>
      </c>
      <c r="C159" s="9" t="str">
        <f ca="1">+WORLDCUP!BD60</f>
        <v>Haití</v>
      </c>
      <c r="D159" s="9" t="str">
        <f ca="1">+WORLDCUP!BD64</f>
        <v>Egipto</v>
      </c>
      <c r="E159" s="9" t="str">
        <f ca="1">+WORLDCUP!BD59</f>
        <v>Catar</v>
      </c>
      <c r="F159" s="9" t="str">
        <f ca="1">+WORLDCUP!BD61</f>
        <v>Australia</v>
      </c>
      <c r="G159" s="9" t="str">
        <f ca="1">+WORLDCUP!BD67</f>
        <v>Argelia</v>
      </c>
      <c r="H159" s="9" t="str">
        <f ca="1">+WORLDCUP!BD63</f>
        <v>Suecia</v>
      </c>
      <c r="I159" s="9" t="str">
        <f ca="1">+WORLDCUP!BD62</f>
        <v>Curazao</v>
      </c>
      <c r="J159" s="9" t="str">
        <f ca="1">+WORLDCUP!BD68</f>
        <v>RD Congo</v>
      </c>
      <c r="N159" s="16" t="s">
        <v>944</v>
      </c>
      <c r="O159" s="16">
        <v>158</v>
      </c>
      <c r="P159" s="16" t="s">
        <v>94</v>
      </c>
      <c r="Q159" s="16" t="s">
        <v>112</v>
      </c>
      <c r="R159" s="16" t="s">
        <v>90</v>
      </c>
      <c r="S159" s="16" t="s">
        <v>99</v>
      </c>
      <c r="T159" s="16" t="s">
        <v>126</v>
      </c>
      <c r="U159" s="16" t="s">
        <v>108</v>
      </c>
      <c r="V159" s="16" t="s">
        <v>103</v>
      </c>
      <c r="W159" s="16" t="s">
        <v>130</v>
      </c>
    </row>
    <row r="160" spans="1:23" x14ac:dyDescent="0.2">
      <c r="A160" s="9" t="s">
        <v>945</v>
      </c>
      <c r="B160" s="9">
        <f ca="1">+IF(A160=WORLDCUP!$BI$112,1,0)</f>
        <v>0</v>
      </c>
      <c r="C160" s="9" t="str">
        <f ca="1">+WORLDCUP!BD60</f>
        <v>Haití</v>
      </c>
      <c r="D160" s="9" t="str">
        <f ca="1">+WORLDCUP!BD64</f>
        <v>Egipto</v>
      </c>
      <c r="E160" s="9" t="str">
        <f ca="1">+WORLDCUP!BD59</f>
        <v>Catar</v>
      </c>
      <c r="F160" s="9" t="str">
        <f ca="1">+WORLDCUP!BD61</f>
        <v>Australia</v>
      </c>
      <c r="G160" s="9" t="str">
        <f ca="1">+WORLDCUP!BD62</f>
        <v>Curazao</v>
      </c>
      <c r="H160" s="9" t="str">
        <f ca="1">+WORLDCUP!BD63</f>
        <v>Suecia</v>
      </c>
      <c r="I160" s="9" t="str">
        <f ca="1">+WORLDCUP!BD69</f>
        <v>Ghana</v>
      </c>
      <c r="J160" s="9" t="str">
        <f ca="1">+WORLDCUP!BD66</f>
        <v>Senegal</v>
      </c>
      <c r="N160" s="16" t="s">
        <v>945</v>
      </c>
      <c r="O160" s="16">
        <v>159</v>
      </c>
      <c r="P160" s="16" t="s">
        <v>94</v>
      </c>
      <c r="Q160" s="16" t="s">
        <v>112</v>
      </c>
      <c r="R160" s="16" t="s">
        <v>90</v>
      </c>
      <c r="S160" s="16" t="s">
        <v>99</v>
      </c>
      <c r="T160" s="16" t="s">
        <v>103</v>
      </c>
      <c r="U160" s="16" t="s">
        <v>108</v>
      </c>
      <c r="V160" s="16" t="s">
        <v>135</v>
      </c>
      <c r="W160" s="16" t="s">
        <v>121</v>
      </c>
    </row>
    <row r="161" spans="1:23" x14ac:dyDescent="0.2">
      <c r="A161" s="9" t="s">
        <v>946</v>
      </c>
      <c r="B161" s="9">
        <f ca="1">+IF(A161=WORLDCUP!$BI$112,1,0)</f>
        <v>0</v>
      </c>
      <c r="C161" s="9" t="str">
        <f ca="1">+WORLDCUP!BD60</f>
        <v>Haití</v>
      </c>
      <c r="D161" s="9" t="str">
        <f ca="1">+WORLDCUP!BD64</f>
        <v>Egipto</v>
      </c>
      <c r="E161" s="9" t="str">
        <f ca="1">+WORLDCUP!BD59</f>
        <v>Catar</v>
      </c>
      <c r="F161" s="9" t="str">
        <f ca="1">+WORLDCUP!BD61</f>
        <v>Australia</v>
      </c>
      <c r="G161" s="9" t="str">
        <f ca="1">+WORLDCUP!BD62</f>
        <v>Curazao</v>
      </c>
      <c r="H161" s="9" t="str">
        <f ca="1">+WORLDCUP!BD63</f>
        <v>Suecia</v>
      </c>
      <c r="I161" s="9" t="str">
        <f ca="1">+WORLDCUP!BD66</f>
        <v>Senegal</v>
      </c>
      <c r="J161" s="9" t="str">
        <f ca="1">+WORLDCUP!BD68</f>
        <v>RD Congo</v>
      </c>
      <c r="N161" s="16" t="s">
        <v>946</v>
      </c>
      <c r="O161" s="16">
        <v>160</v>
      </c>
      <c r="P161" s="16" t="s">
        <v>94</v>
      </c>
      <c r="Q161" s="16" t="s">
        <v>112</v>
      </c>
      <c r="R161" s="16" t="s">
        <v>90</v>
      </c>
      <c r="S161" s="16" t="s">
        <v>99</v>
      </c>
      <c r="T161" s="16" t="s">
        <v>103</v>
      </c>
      <c r="U161" s="16" t="s">
        <v>108</v>
      </c>
      <c r="V161" s="16" t="s">
        <v>121</v>
      </c>
      <c r="W161" s="16" t="s">
        <v>130</v>
      </c>
    </row>
    <row r="162" spans="1:23" x14ac:dyDescent="0.2">
      <c r="A162" s="9" t="s">
        <v>947</v>
      </c>
      <c r="B162" s="9">
        <f ca="1">+IF(A162=WORLDCUP!$BI$112,1,0)</f>
        <v>0</v>
      </c>
      <c r="C162" s="9" t="str">
        <f ca="1">+WORLDCUP!BD60</f>
        <v>Haití</v>
      </c>
      <c r="D162" s="9" t="str">
        <f ca="1">+WORLDCUP!BD64</f>
        <v>Egipto</v>
      </c>
      <c r="E162" s="9" t="str">
        <f ca="1">+WORLDCUP!BD59</f>
        <v>Catar</v>
      </c>
      <c r="F162" s="9" t="str">
        <f ca="1">+WORLDCUP!BD61</f>
        <v>Australia</v>
      </c>
      <c r="G162" s="9" t="str">
        <f ca="1">+WORLDCUP!BD67</f>
        <v>Argelia</v>
      </c>
      <c r="H162" s="9" t="str">
        <f ca="1">+WORLDCUP!BD63</f>
        <v>Suecia</v>
      </c>
      <c r="I162" s="9" t="str">
        <f ca="1">+WORLDCUP!BD62</f>
        <v>Curazao</v>
      </c>
      <c r="J162" s="9" t="str">
        <f ca="1">+WORLDCUP!BD66</f>
        <v>Senegal</v>
      </c>
      <c r="N162" s="16" t="s">
        <v>947</v>
      </c>
      <c r="O162" s="16">
        <v>161</v>
      </c>
      <c r="P162" s="16" t="s">
        <v>94</v>
      </c>
      <c r="Q162" s="16" t="s">
        <v>112</v>
      </c>
      <c r="R162" s="16" t="s">
        <v>90</v>
      </c>
      <c r="S162" s="16" t="s">
        <v>99</v>
      </c>
      <c r="T162" s="16" t="s">
        <v>126</v>
      </c>
      <c r="U162" s="16" t="s">
        <v>108</v>
      </c>
      <c r="V162" s="16" t="s">
        <v>103</v>
      </c>
      <c r="W162" s="16" t="s">
        <v>121</v>
      </c>
    </row>
    <row r="163" spans="1:23" x14ac:dyDescent="0.2">
      <c r="A163" s="9" t="s">
        <v>948</v>
      </c>
      <c r="B163" s="9">
        <f ca="1">+IF(A163=WORLDCUP!$BI$112,1,0)</f>
        <v>0</v>
      </c>
      <c r="C163" s="9" t="str">
        <f ca="1">+WORLDCUP!BD60</f>
        <v>Haití</v>
      </c>
      <c r="D163" s="9" t="str">
        <f ca="1">+WORLDCUP!BD64</f>
        <v>Egipto</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Curazao</v>
      </c>
      <c r="N163" s="16" t="s">
        <v>948</v>
      </c>
      <c r="O163" s="16">
        <v>162</v>
      </c>
      <c r="P163" s="16" t="s">
        <v>94</v>
      </c>
      <c r="Q163" s="16" t="s">
        <v>112</v>
      </c>
      <c r="R163" s="16" t="s">
        <v>90</v>
      </c>
      <c r="S163" s="16" t="s">
        <v>99</v>
      </c>
      <c r="T163" s="16" t="s">
        <v>117</v>
      </c>
      <c r="U163" s="16" t="s">
        <v>108</v>
      </c>
      <c r="V163" s="16" t="s">
        <v>135</v>
      </c>
      <c r="W163" s="16" t="s">
        <v>103</v>
      </c>
    </row>
    <row r="164" spans="1:23" x14ac:dyDescent="0.2">
      <c r="A164" s="9" t="s">
        <v>949</v>
      </c>
      <c r="B164" s="9">
        <f ca="1">+IF(A164=WORLDCUP!$BI$112,1,0)</f>
        <v>0</v>
      </c>
      <c r="C164" s="9" t="str">
        <f ca="1">+WORLDCUP!BD60</f>
        <v>Haití</v>
      </c>
      <c r="D164" s="9" t="str">
        <f ca="1">+WORLDCUP!BD64</f>
        <v>Egipto</v>
      </c>
      <c r="E164" s="9" t="str">
        <f ca="1">+WORLDCUP!BD59</f>
        <v>Catar</v>
      </c>
      <c r="F164" s="9" t="str">
        <f ca="1">+WORLDCUP!BD61</f>
        <v>Australia</v>
      </c>
      <c r="G164" s="9" t="str">
        <f ca="1">+WORLDCUP!BD65</f>
        <v>Arabia Saudita</v>
      </c>
      <c r="H164" s="9" t="str">
        <f ca="1">+WORLDCUP!BD63</f>
        <v>Suecia</v>
      </c>
      <c r="I164" s="9" t="str">
        <f ca="1">+WORLDCUP!BD62</f>
        <v>Curazao</v>
      </c>
      <c r="J164" s="9" t="str">
        <f ca="1">+WORLDCUP!BD68</f>
        <v>RD Congo</v>
      </c>
      <c r="N164" s="16" t="s">
        <v>949</v>
      </c>
      <c r="O164" s="16">
        <v>163</v>
      </c>
      <c r="P164" s="16" t="s">
        <v>94</v>
      </c>
      <c r="Q164" s="16" t="s">
        <v>112</v>
      </c>
      <c r="R164" s="16" t="s">
        <v>90</v>
      </c>
      <c r="S164" s="16" t="s">
        <v>99</v>
      </c>
      <c r="T164" s="16" t="s">
        <v>117</v>
      </c>
      <c r="U164" s="16" t="s">
        <v>108</v>
      </c>
      <c r="V164" s="16" t="s">
        <v>103</v>
      </c>
      <c r="W164" s="16" t="s">
        <v>130</v>
      </c>
    </row>
    <row r="165" spans="1:23" x14ac:dyDescent="0.2">
      <c r="A165" s="9" t="s">
        <v>950</v>
      </c>
      <c r="B165" s="9">
        <f ca="1">+IF(A165=WORLDCUP!$BI$112,1,0)</f>
        <v>0</v>
      </c>
      <c r="C165" s="9" t="str">
        <f ca="1">+WORLDCUP!BD65</f>
        <v>Arabia Saudita</v>
      </c>
      <c r="D165" s="9" t="str">
        <f ca="1">+WORLDCUP!BD64</f>
        <v>Egipto</v>
      </c>
      <c r="E165" s="9" t="str">
        <f ca="1">+WORLDCUP!BD59</f>
        <v>Catar</v>
      </c>
      <c r="F165" s="9" t="str">
        <f ca="1">+WORLDCUP!BD60</f>
        <v>Haití</v>
      </c>
      <c r="G165" s="9" t="str">
        <f ca="1">+WORLDCUP!BD67</f>
        <v>Argelia</v>
      </c>
      <c r="H165" s="9" t="str">
        <f ca="1">+WORLDCUP!BD63</f>
        <v>Suecia</v>
      </c>
      <c r="I165" s="9" t="str">
        <f ca="1">+WORLDCUP!BD61</f>
        <v>Australia</v>
      </c>
      <c r="J165" s="9" t="str">
        <f ca="1">+WORLDCUP!BD62</f>
        <v>Curazao</v>
      </c>
      <c r="N165" s="16" t="s">
        <v>950</v>
      </c>
      <c r="O165" s="16">
        <v>164</v>
      </c>
      <c r="P165" s="16" t="s">
        <v>117</v>
      </c>
      <c r="Q165" s="16" t="s">
        <v>112</v>
      </c>
      <c r="R165" s="16" t="s">
        <v>90</v>
      </c>
      <c r="S165" s="16" t="s">
        <v>94</v>
      </c>
      <c r="T165" s="16" t="s">
        <v>126</v>
      </c>
      <c r="U165" s="16" t="s">
        <v>108</v>
      </c>
      <c r="V165" s="16" t="s">
        <v>99</v>
      </c>
      <c r="W165" s="16" t="s">
        <v>103</v>
      </c>
    </row>
    <row r="166" spans="1:23" x14ac:dyDescent="0.2">
      <c r="A166" s="9" t="s">
        <v>951</v>
      </c>
      <c r="B166" s="9">
        <f ca="1">+IF(A166=WORLDCUP!$BI$112,1,0)</f>
        <v>0</v>
      </c>
      <c r="C166" s="9" t="str">
        <f ca="1">+WORLDCUP!BD60</f>
        <v>Haití</v>
      </c>
      <c r="D166" s="9" t="str">
        <f ca="1">+WORLDCUP!BD64</f>
        <v>Egipto</v>
      </c>
      <c r="E166" s="9" t="str">
        <f ca="1">+WORLDCUP!BD59</f>
        <v>Catar</v>
      </c>
      <c r="F166" s="9" t="str">
        <f ca="1">+WORLDCUP!BD61</f>
        <v>Australia</v>
      </c>
      <c r="G166" s="9" t="str">
        <f ca="1">+WORLDCUP!BD65</f>
        <v>Arabia Saudita</v>
      </c>
      <c r="H166" s="9" t="str">
        <f ca="1">+WORLDCUP!BD63</f>
        <v>Suecia</v>
      </c>
      <c r="I166" s="9" t="str">
        <f ca="1">+WORLDCUP!BD62</f>
        <v>Curazao</v>
      </c>
      <c r="J166" s="9" t="str">
        <f ca="1">+WORLDCUP!BD66</f>
        <v>Senegal</v>
      </c>
      <c r="N166" s="16" t="s">
        <v>951</v>
      </c>
      <c r="O166" s="16">
        <v>165</v>
      </c>
      <c r="P166" s="16" t="s">
        <v>94</v>
      </c>
      <c r="Q166" s="16" t="s">
        <v>112</v>
      </c>
      <c r="R166" s="16" t="s">
        <v>90</v>
      </c>
      <c r="S166" s="16" t="s">
        <v>99</v>
      </c>
      <c r="T166" s="16" t="s">
        <v>117</v>
      </c>
      <c r="U166" s="16" t="s">
        <v>108</v>
      </c>
      <c r="V166" s="16" t="s">
        <v>103</v>
      </c>
      <c r="W166" s="16" t="s">
        <v>121</v>
      </c>
    </row>
    <row r="167" spans="1:23" x14ac:dyDescent="0.2">
      <c r="A167" s="9" t="s">
        <v>952</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Egipto</v>
      </c>
      <c r="I167" s="9" t="str">
        <f ca="1">+WORLDCUP!BD69</f>
        <v>Ghana</v>
      </c>
      <c r="J167" s="9" t="str">
        <f ca="1">+WORLDCUP!BD68</f>
        <v>RD Congo</v>
      </c>
      <c r="N167" s="16" t="s">
        <v>952</v>
      </c>
      <c r="O167" s="16">
        <v>166</v>
      </c>
      <c r="P167" s="16" t="s">
        <v>117</v>
      </c>
      <c r="Q167" s="16" t="s">
        <v>126</v>
      </c>
      <c r="R167" s="16" t="s">
        <v>121</v>
      </c>
      <c r="S167" s="16" t="s">
        <v>108</v>
      </c>
      <c r="T167" s="16" t="s">
        <v>85</v>
      </c>
      <c r="U167" s="16" t="s">
        <v>112</v>
      </c>
      <c r="V167" s="16" t="s">
        <v>135</v>
      </c>
      <c r="W167" s="16" t="s">
        <v>130</v>
      </c>
    </row>
    <row r="168" spans="1:23" x14ac:dyDescent="0.2">
      <c r="A168" s="9" t="s">
        <v>953</v>
      </c>
      <c r="B168" s="9">
        <f ca="1">+IF(A168=WORLDCUP!$BI$112,1,0)</f>
        <v>0</v>
      </c>
      <c r="C168" s="9" t="str">
        <f ca="1">+WORLDCUP!BD62</f>
        <v>Curazao</v>
      </c>
      <c r="D168" s="9" t="str">
        <f ca="1">+WORLDCUP!BD67</f>
        <v>Argelia</v>
      </c>
      <c r="E168" s="9" t="str">
        <f ca="1">+WORLDCUP!BD66</f>
        <v>Senegal</v>
      </c>
      <c r="F168" s="9" t="str">
        <f ca="1">+WORLDCUP!BD58</f>
        <v>República Checa</v>
      </c>
      <c r="G168" s="9" t="str">
        <f ca="1">+WORLDCUP!BD65</f>
        <v>Arabia Saudita</v>
      </c>
      <c r="H168" s="9" t="str">
        <f ca="1">+WORLDCUP!BD64</f>
        <v>Egipto</v>
      </c>
      <c r="I168" s="9" t="str">
        <f ca="1">+WORLDCUP!BD69</f>
        <v>Ghana</v>
      </c>
      <c r="J168" s="9" t="str">
        <f ca="1">+WORLDCUP!BD68</f>
        <v>RD Congo</v>
      </c>
      <c r="N168" s="16" t="s">
        <v>953</v>
      </c>
      <c r="O168" s="16">
        <v>167</v>
      </c>
      <c r="P168" s="16" t="s">
        <v>103</v>
      </c>
      <c r="Q168" s="16" t="s">
        <v>126</v>
      </c>
      <c r="R168" s="16" t="s">
        <v>121</v>
      </c>
      <c r="S168" s="16" t="s">
        <v>85</v>
      </c>
      <c r="T168" s="16" t="s">
        <v>117</v>
      </c>
      <c r="U168" s="16" t="s">
        <v>112</v>
      </c>
      <c r="V168" s="16" t="s">
        <v>135</v>
      </c>
      <c r="W168" s="16" t="s">
        <v>130</v>
      </c>
    </row>
    <row r="169" spans="1:23" x14ac:dyDescent="0.2">
      <c r="A169" s="9" t="s">
        <v>954</v>
      </c>
      <c r="B169" s="9">
        <f ca="1">+IF(A169=WORLDCUP!$BI$112,1,0)</f>
        <v>0</v>
      </c>
      <c r="C169" s="9" t="str">
        <f ca="1">+WORLDCUP!BD62</f>
        <v>Curazao</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954</v>
      </c>
      <c r="O169" s="16">
        <v>168</v>
      </c>
      <c r="P169" s="16" t="s">
        <v>103</v>
      </c>
      <c r="Q169" s="16" t="s">
        <v>126</v>
      </c>
      <c r="R169" s="16" t="s">
        <v>121</v>
      </c>
      <c r="S169" s="16" t="s">
        <v>108</v>
      </c>
      <c r="T169" s="16" t="s">
        <v>85</v>
      </c>
      <c r="U169" s="16" t="s">
        <v>117</v>
      </c>
      <c r="V169" s="16" t="s">
        <v>135</v>
      </c>
      <c r="W169" s="16" t="s">
        <v>130</v>
      </c>
    </row>
    <row r="170" spans="1:23" x14ac:dyDescent="0.2">
      <c r="A170" s="9" t="s">
        <v>955</v>
      </c>
      <c r="B170" s="9">
        <f ca="1">+IF(A170=WORLDCUP!$BI$112,1,0)</f>
        <v>0</v>
      </c>
      <c r="C170" s="9" t="str">
        <f ca="1">+WORLDCUP!BD62</f>
        <v>Curazao</v>
      </c>
      <c r="D170" s="9" t="str">
        <f ca="1">+WORLDCUP!BD67</f>
        <v>Argelia</v>
      </c>
      <c r="E170" s="9" t="str">
        <f ca="1">+WORLDCUP!BD66</f>
        <v>Senegal</v>
      </c>
      <c r="F170" s="9" t="str">
        <f ca="1">+WORLDCUP!BD63</f>
        <v>Suecia</v>
      </c>
      <c r="G170" s="9" t="str">
        <f ca="1">+WORLDCUP!BD58</f>
        <v>República Checa</v>
      </c>
      <c r="H170" s="9" t="str">
        <f ca="1">+WORLDCUP!BD64</f>
        <v>Egipto</v>
      </c>
      <c r="I170" s="9" t="str">
        <f ca="1">+WORLDCUP!BD69</f>
        <v>Ghana</v>
      </c>
      <c r="J170" s="9" t="str">
        <f ca="1">+WORLDCUP!BD68</f>
        <v>RD Congo</v>
      </c>
      <c r="N170" s="16" t="s">
        <v>955</v>
      </c>
      <c r="O170" s="16">
        <v>169</v>
      </c>
      <c r="P170" s="16" t="s">
        <v>103</v>
      </c>
      <c r="Q170" s="16" t="s">
        <v>126</v>
      </c>
      <c r="R170" s="16" t="s">
        <v>121</v>
      </c>
      <c r="S170" s="16" t="s">
        <v>108</v>
      </c>
      <c r="T170" s="16" t="s">
        <v>85</v>
      </c>
      <c r="U170" s="16" t="s">
        <v>112</v>
      </c>
      <c r="V170" s="16" t="s">
        <v>135</v>
      </c>
      <c r="W170" s="16" t="s">
        <v>130</v>
      </c>
    </row>
    <row r="171" spans="1:23" x14ac:dyDescent="0.2">
      <c r="A171" s="9" t="s">
        <v>956</v>
      </c>
      <c r="B171" s="9">
        <f ca="1">+IF(A171=WORLDCUP!$BI$112,1,0)</f>
        <v>0</v>
      </c>
      <c r="C171" s="9" t="str">
        <f ca="1">+WORLDCUP!BD62</f>
        <v>Curazao</v>
      </c>
      <c r="D171" s="9" t="str">
        <f ca="1">+WORLDCUP!BD64</f>
        <v>Egipto</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956</v>
      </c>
      <c r="O171" s="16">
        <v>170</v>
      </c>
      <c r="P171" s="16" t="s">
        <v>103</v>
      </c>
      <c r="Q171" s="16" t="s">
        <v>112</v>
      </c>
      <c r="R171" s="16" t="s">
        <v>126</v>
      </c>
      <c r="S171" s="16" t="s">
        <v>108</v>
      </c>
      <c r="T171" s="16" t="s">
        <v>85</v>
      </c>
      <c r="U171" s="16" t="s">
        <v>117</v>
      </c>
      <c r="V171" s="16" t="s">
        <v>135</v>
      </c>
      <c r="W171" s="16" t="s">
        <v>130</v>
      </c>
    </row>
    <row r="172" spans="1:23" x14ac:dyDescent="0.2">
      <c r="A172" s="9" t="s">
        <v>957</v>
      </c>
      <c r="B172" s="9">
        <f ca="1">+IF(A172=WORLDCUP!$BI$112,1,0)</f>
        <v>0</v>
      </c>
      <c r="C172" s="9" t="str">
        <f ca="1">+WORLDCUP!BD62</f>
        <v>Curazao</v>
      </c>
      <c r="D172" s="9" t="str">
        <f ca="1">+WORLDCUP!BD64</f>
        <v>Egipto</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957</v>
      </c>
      <c r="O172" s="16">
        <v>171</v>
      </c>
      <c r="P172" s="16" t="s">
        <v>103</v>
      </c>
      <c r="Q172" s="16" t="s">
        <v>112</v>
      </c>
      <c r="R172" s="16" t="s">
        <v>121</v>
      </c>
      <c r="S172" s="16" t="s">
        <v>108</v>
      </c>
      <c r="T172" s="16" t="s">
        <v>85</v>
      </c>
      <c r="U172" s="16" t="s">
        <v>117</v>
      </c>
      <c r="V172" s="16" t="s">
        <v>135</v>
      </c>
      <c r="W172" s="16" t="s">
        <v>130</v>
      </c>
    </row>
    <row r="173" spans="1:23" x14ac:dyDescent="0.2">
      <c r="A173" s="9" t="s">
        <v>958</v>
      </c>
      <c r="B173" s="9">
        <f ca="1">+IF(A173=WORLDCUP!$BI$112,1,0)</f>
        <v>0</v>
      </c>
      <c r="C173" s="9" t="str">
        <f ca="1">+WORLDCUP!BD62</f>
        <v>Curazao</v>
      </c>
      <c r="D173" s="9" t="str">
        <f ca="1">+WORLDCUP!BD64</f>
        <v>Egipto</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958</v>
      </c>
      <c r="O173" s="16">
        <v>172</v>
      </c>
      <c r="P173" s="16" t="s">
        <v>103</v>
      </c>
      <c r="Q173" s="16" t="s">
        <v>112</v>
      </c>
      <c r="R173" s="16" t="s">
        <v>126</v>
      </c>
      <c r="S173" s="16" t="s">
        <v>108</v>
      </c>
      <c r="T173" s="16" t="s">
        <v>85</v>
      </c>
      <c r="U173" s="16" t="s">
        <v>117</v>
      </c>
      <c r="V173" s="16" t="s">
        <v>135</v>
      </c>
      <c r="W173" s="16" t="s">
        <v>121</v>
      </c>
    </row>
    <row r="174" spans="1:23" x14ac:dyDescent="0.2">
      <c r="A174" s="9" t="s">
        <v>959</v>
      </c>
      <c r="B174" s="9">
        <f ca="1">+IF(A174=WORLDCUP!$BI$112,1,0)</f>
        <v>0</v>
      </c>
      <c r="C174" s="9" t="str">
        <f ca="1">+WORLDCUP!BD62</f>
        <v>Curazao</v>
      </c>
      <c r="D174" s="9" t="str">
        <f ca="1">+WORLDCUP!BD64</f>
        <v>Egipto</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16" t="s">
        <v>959</v>
      </c>
      <c r="O174" s="16">
        <v>173</v>
      </c>
      <c r="P174" s="16" t="s">
        <v>103</v>
      </c>
      <c r="Q174" s="16" t="s">
        <v>112</v>
      </c>
      <c r="R174" s="16" t="s">
        <v>126</v>
      </c>
      <c r="S174" s="16" t="s">
        <v>108</v>
      </c>
      <c r="T174" s="16" t="s">
        <v>85</v>
      </c>
      <c r="U174" s="16" t="s">
        <v>117</v>
      </c>
      <c r="V174" s="16" t="s">
        <v>121</v>
      </c>
      <c r="W174" s="16" t="s">
        <v>130</v>
      </c>
    </row>
    <row r="175" spans="1:23" x14ac:dyDescent="0.2">
      <c r="A175" s="9" t="s">
        <v>960</v>
      </c>
      <c r="B175" s="9">
        <f ca="1">+IF(A175=WORLDCUP!$BI$112,1,0)</f>
        <v>0</v>
      </c>
      <c r="C175" s="9" t="str">
        <f ca="1">+WORLDCUP!BD65</f>
        <v>Arabia Saudita</v>
      </c>
      <c r="D175" s="9" t="str">
        <f ca="1">+WORLDCUP!BD67</f>
        <v>Argelia</v>
      </c>
      <c r="E175" s="9" t="str">
        <f ca="1">+WORLDCUP!BD66</f>
        <v>Senegal</v>
      </c>
      <c r="F175" s="9" t="str">
        <f ca="1">+WORLDCUP!BD61</f>
        <v>Australia</v>
      </c>
      <c r="G175" s="9" t="str">
        <f ca="1">+WORLDCUP!BD58</f>
        <v>República Checa</v>
      </c>
      <c r="H175" s="9" t="str">
        <f ca="1">+WORLDCUP!BD64</f>
        <v>Egipto</v>
      </c>
      <c r="I175" s="9" t="str">
        <f ca="1">+WORLDCUP!BD69</f>
        <v>Ghana</v>
      </c>
      <c r="J175" s="9" t="str">
        <f ca="1">+WORLDCUP!BD68</f>
        <v>RD Congo</v>
      </c>
      <c r="N175" s="16" t="s">
        <v>960</v>
      </c>
      <c r="O175" s="16">
        <v>174</v>
      </c>
      <c r="P175" s="16" t="s">
        <v>117</v>
      </c>
      <c r="Q175" s="16" t="s">
        <v>126</v>
      </c>
      <c r="R175" s="16" t="s">
        <v>121</v>
      </c>
      <c r="S175" s="16" t="s">
        <v>99</v>
      </c>
      <c r="T175" s="16" t="s">
        <v>85</v>
      </c>
      <c r="U175" s="16" t="s">
        <v>112</v>
      </c>
      <c r="V175" s="16" t="s">
        <v>135</v>
      </c>
      <c r="W175" s="16" t="s">
        <v>130</v>
      </c>
    </row>
    <row r="176" spans="1:23" x14ac:dyDescent="0.2">
      <c r="A176" s="9" t="s">
        <v>961</v>
      </c>
      <c r="B176" s="9">
        <f ca="1">+IF(A176=WORLDCUP!$BI$112,1,0)</f>
        <v>0</v>
      </c>
      <c r="C176" s="9" t="str">
        <f ca="1">+WORLDCUP!BD65</f>
        <v>Arabia Saudita</v>
      </c>
      <c r="D176" s="9" t="str">
        <f ca="1">+WORLDCUP!BD67</f>
        <v>Argelia</v>
      </c>
      <c r="E176" s="9" t="str">
        <f ca="1">+WORLDCUP!BD66</f>
        <v>Senegal</v>
      </c>
      <c r="F176" s="9" t="str">
        <f ca="1">+WORLDCUP!BD61</f>
        <v>Australia</v>
      </c>
      <c r="G176" s="9" t="str">
        <f ca="1">+WORLDCUP!BD58</f>
        <v>República Checa</v>
      </c>
      <c r="H176" s="9" t="str">
        <f ca="1">+WORLDCUP!BD63</f>
        <v>Suecia</v>
      </c>
      <c r="I176" s="9" t="str">
        <f ca="1">+WORLDCUP!BD69</f>
        <v>Ghana</v>
      </c>
      <c r="J176" s="9" t="str">
        <f ca="1">+WORLDCUP!BD68</f>
        <v>RD Congo</v>
      </c>
      <c r="N176" s="16" t="s">
        <v>961</v>
      </c>
      <c r="O176" s="16">
        <v>175</v>
      </c>
      <c r="P176" s="16" t="s">
        <v>117</v>
      </c>
      <c r="Q176" s="16" t="s">
        <v>126</v>
      </c>
      <c r="R176" s="16" t="s">
        <v>121</v>
      </c>
      <c r="S176" s="16" t="s">
        <v>99</v>
      </c>
      <c r="T176" s="16" t="s">
        <v>85</v>
      </c>
      <c r="U176" s="16" t="s">
        <v>108</v>
      </c>
      <c r="V176" s="16" t="s">
        <v>135</v>
      </c>
      <c r="W176" s="16" t="s">
        <v>130</v>
      </c>
    </row>
    <row r="177" spans="1:23" x14ac:dyDescent="0.2">
      <c r="A177" s="9" t="s">
        <v>962</v>
      </c>
      <c r="B177" s="9">
        <f ca="1">+IF(A177=WORLDCUP!$BI$112,1,0)</f>
        <v>0</v>
      </c>
      <c r="C177" s="9" t="str">
        <f ca="1">+WORLDCUP!BD66</f>
        <v>Senegal</v>
      </c>
      <c r="D177" s="9" t="str">
        <f ca="1">+WORLDCUP!BD64</f>
        <v>Egipto</v>
      </c>
      <c r="E177" s="9" t="str">
        <f ca="1">+WORLDCUP!BD67</f>
        <v>Argelia</v>
      </c>
      <c r="F177" s="9" t="str">
        <f ca="1">+WORLDCUP!BD61</f>
        <v>Australia</v>
      </c>
      <c r="G177" s="9" t="str">
        <f ca="1">+WORLDCUP!BD58</f>
        <v>República Checa</v>
      </c>
      <c r="H177" s="9" t="str">
        <f ca="1">+WORLDCUP!BD63</f>
        <v>Suecia</v>
      </c>
      <c r="I177" s="9" t="str">
        <f ca="1">+WORLDCUP!BD69</f>
        <v>Ghana</v>
      </c>
      <c r="J177" s="9" t="str">
        <f ca="1">+WORLDCUP!BD68</f>
        <v>RD Congo</v>
      </c>
      <c r="N177" s="16" t="s">
        <v>962</v>
      </c>
      <c r="O177" s="16">
        <v>176</v>
      </c>
      <c r="P177" s="16" t="s">
        <v>121</v>
      </c>
      <c r="Q177" s="16" t="s">
        <v>112</v>
      </c>
      <c r="R177" s="16" t="s">
        <v>126</v>
      </c>
      <c r="S177" s="16" t="s">
        <v>99</v>
      </c>
      <c r="T177" s="16" t="s">
        <v>85</v>
      </c>
      <c r="U177" s="16" t="s">
        <v>108</v>
      </c>
      <c r="V177" s="16" t="s">
        <v>135</v>
      </c>
      <c r="W177" s="16" t="s">
        <v>130</v>
      </c>
    </row>
    <row r="178" spans="1:23" x14ac:dyDescent="0.2">
      <c r="A178" s="9" t="s">
        <v>963</v>
      </c>
      <c r="B178" s="9">
        <f ca="1">+IF(A178=WORLDCUP!$BI$112,1,0)</f>
        <v>0</v>
      </c>
      <c r="C178" s="9" t="str">
        <f ca="1">+WORLDCUP!BD65</f>
        <v>Arabia Saudita</v>
      </c>
      <c r="D178" s="9" t="str">
        <f ca="1">+WORLDCUP!BD64</f>
        <v>Egipto</v>
      </c>
      <c r="E178" s="9" t="str">
        <f ca="1">+WORLDCUP!BD67</f>
        <v>Argelia</v>
      </c>
      <c r="F178" s="9" t="str">
        <f ca="1">+WORLDCUP!BD61</f>
        <v>Australia</v>
      </c>
      <c r="G178" s="9" t="str">
        <f ca="1">+WORLDCUP!BD58</f>
        <v>República Checa</v>
      </c>
      <c r="H178" s="9" t="str">
        <f ca="1">+WORLDCUP!BD63</f>
        <v>Suecia</v>
      </c>
      <c r="I178" s="9" t="str">
        <f ca="1">+WORLDCUP!BD69</f>
        <v>Ghana</v>
      </c>
      <c r="J178" s="9" t="str">
        <f ca="1">+WORLDCUP!BD68</f>
        <v>RD Congo</v>
      </c>
      <c r="N178" s="16" t="s">
        <v>963</v>
      </c>
      <c r="O178" s="16">
        <v>177</v>
      </c>
      <c r="P178" s="16" t="s">
        <v>117</v>
      </c>
      <c r="Q178" s="16" t="s">
        <v>112</v>
      </c>
      <c r="R178" s="16" t="s">
        <v>126</v>
      </c>
      <c r="S178" s="16" t="s">
        <v>99</v>
      </c>
      <c r="T178" s="16" t="s">
        <v>85</v>
      </c>
      <c r="U178" s="16" t="s">
        <v>108</v>
      </c>
      <c r="V178" s="16" t="s">
        <v>135</v>
      </c>
      <c r="W178" s="16" t="s">
        <v>130</v>
      </c>
    </row>
    <row r="179" spans="1:23" x14ac:dyDescent="0.2">
      <c r="A179" s="9" t="s">
        <v>964</v>
      </c>
      <c r="B179" s="9">
        <f ca="1">+IF(A179=WORLDCUP!$BI$112,1,0)</f>
        <v>0</v>
      </c>
      <c r="C179" s="9" t="str">
        <f ca="1">+WORLDCUP!BD65</f>
        <v>Arabia Saudita</v>
      </c>
      <c r="D179" s="9" t="str">
        <f ca="1">+WORLDCUP!BD64</f>
        <v>Egipto</v>
      </c>
      <c r="E179" s="9" t="str">
        <f ca="1">+WORLDCUP!BD66</f>
        <v>Senegal</v>
      </c>
      <c r="F179" s="9" t="str">
        <f ca="1">+WORLDCUP!BD61</f>
        <v>Australia</v>
      </c>
      <c r="G179" s="9" t="str">
        <f ca="1">+WORLDCUP!BD58</f>
        <v>República Checa</v>
      </c>
      <c r="H179" s="9" t="str">
        <f ca="1">+WORLDCUP!BD63</f>
        <v>Suecia</v>
      </c>
      <c r="I179" s="9" t="str">
        <f ca="1">+WORLDCUP!BD69</f>
        <v>Ghana</v>
      </c>
      <c r="J179" s="9" t="str">
        <f ca="1">+WORLDCUP!BD68</f>
        <v>RD Congo</v>
      </c>
      <c r="N179" s="16" t="s">
        <v>964</v>
      </c>
      <c r="O179" s="16">
        <v>178</v>
      </c>
      <c r="P179" s="16" t="s">
        <v>117</v>
      </c>
      <c r="Q179" s="16" t="s">
        <v>112</v>
      </c>
      <c r="R179" s="16" t="s">
        <v>121</v>
      </c>
      <c r="S179" s="16" t="s">
        <v>99</v>
      </c>
      <c r="T179" s="16" t="s">
        <v>85</v>
      </c>
      <c r="U179" s="16" t="s">
        <v>108</v>
      </c>
      <c r="V179" s="16" t="s">
        <v>135</v>
      </c>
      <c r="W179" s="16" t="s">
        <v>130</v>
      </c>
    </row>
    <row r="180" spans="1:23" x14ac:dyDescent="0.2">
      <c r="A180" s="9" t="s">
        <v>965</v>
      </c>
      <c r="B180" s="9">
        <f ca="1">+IF(A180=WORLDCUP!$BI$112,1,0)</f>
        <v>0</v>
      </c>
      <c r="C180" s="9" t="str">
        <f ca="1">+WORLDCUP!BD65</f>
        <v>Arabia Saudita</v>
      </c>
      <c r="D180" s="9" t="str">
        <f ca="1">+WORLDCUP!BD64</f>
        <v>Egipto</v>
      </c>
      <c r="E180" s="9" t="str">
        <f ca="1">+WORLDCUP!BD67</f>
        <v>Argelia</v>
      </c>
      <c r="F180" s="9" t="str">
        <f ca="1">+WORLDCUP!BD61</f>
        <v>Australia</v>
      </c>
      <c r="G180" s="9" t="str">
        <f ca="1">+WORLDCUP!BD58</f>
        <v>República Checa</v>
      </c>
      <c r="H180" s="9" t="str">
        <f ca="1">+WORLDCUP!BD63</f>
        <v>Suecia</v>
      </c>
      <c r="I180" s="9" t="str">
        <f ca="1">+WORLDCUP!BD69</f>
        <v>Ghana</v>
      </c>
      <c r="J180" s="9" t="str">
        <f ca="1">+WORLDCUP!BD66</f>
        <v>Senegal</v>
      </c>
      <c r="N180" s="16" t="s">
        <v>965</v>
      </c>
      <c r="O180" s="16">
        <v>179</v>
      </c>
      <c r="P180" s="16" t="s">
        <v>117</v>
      </c>
      <c r="Q180" s="16" t="s">
        <v>112</v>
      </c>
      <c r="R180" s="16" t="s">
        <v>126</v>
      </c>
      <c r="S180" s="16" t="s">
        <v>99</v>
      </c>
      <c r="T180" s="16" t="s">
        <v>85</v>
      </c>
      <c r="U180" s="16" t="s">
        <v>108</v>
      </c>
      <c r="V180" s="16" t="s">
        <v>135</v>
      </c>
      <c r="W180" s="16" t="s">
        <v>121</v>
      </c>
    </row>
    <row r="181" spans="1:23" x14ac:dyDescent="0.2">
      <c r="A181" s="9" t="s">
        <v>966</v>
      </c>
      <c r="B181" s="9">
        <f ca="1">+IF(A181=WORLDCUP!$BI$112,1,0)</f>
        <v>0</v>
      </c>
      <c r="C181" s="9" t="str">
        <f ca="1">+WORLDCUP!BD65</f>
        <v>Arabia Saudita</v>
      </c>
      <c r="D181" s="9" t="str">
        <f ca="1">+WORLDCUP!BD64</f>
        <v>Egipto</v>
      </c>
      <c r="E181" s="9" t="str">
        <f ca="1">+WORLDCUP!BD67</f>
        <v>Argelia</v>
      </c>
      <c r="F181" s="9" t="str">
        <f ca="1">+WORLDCUP!BD61</f>
        <v>Australia</v>
      </c>
      <c r="G181" s="9" t="str">
        <f ca="1">+WORLDCUP!BD58</f>
        <v>República Checa</v>
      </c>
      <c r="H181" s="9" t="str">
        <f ca="1">+WORLDCUP!BD63</f>
        <v>Suecia</v>
      </c>
      <c r="I181" s="9" t="str">
        <f ca="1">+WORLDCUP!BD66</f>
        <v>Senegal</v>
      </c>
      <c r="J181" s="9" t="str">
        <f ca="1">+WORLDCUP!BD68</f>
        <v>RD Congo</v>
      </c>
      <c r="N181" s="16" t="s">
        <v>966</v>
      </c>
      <c r="O181" s="16">
        <v>180</v>
      </c>
      <c r="P181" s="16" t="s">
        <v>117</v>
      </c>
      <c r="Q181" s="16" t="s">
        <v>112</v>
      </c>
      <c r="R181" s="16" t="s">
        <v>126</v>
      </c>
      <c r="S181" s="16" t="s">
        <v>99</v>
      </c>
      <c r="T181" s="16" t="s">
        <v>85</v>
      </c>
      <c r="U181" s="16" t="s">
        <v>108</v>
      </c>
      <c r="V181" s="16" t="s">
        <v>121</v>
      </c>
      <c r="W181" s="16" t="s">
        <v>130</v>
      </c>
    </row>
    <row r="182" spans="1:23" x14ac:dyDescent="0.2">
      <c r="A182" s="9" t="s">
        <v>967</v>
      </c>
      <c r="B182" s="9">
        <f ca="1">+IF(A182=WORLDCUP!$BI$112,1,0)</f>
        <v>0</v>
      </c>
      <c r="C182" s="9" t="str">
        <f ca="1">+WORLDCUP!BD62</f>
        <v>Curazao</v>
      </c>
      <c r="D182" s="9" t="str">
        <f ca="1">+WORLDCUP!BD67</f>
        <v>Argelia</v>
      </c>
      <c r="E182" s="9" t="str">
        <f ca="1">+WORLDCUP!BD66</f>
        <v>Senegal</v>
      </c>
      <c r="F182" s="9" t="str">
        <f ca="1">+WORLDCUP!BD61</f>
        <v>Australia</v>
      </c>
      <c r="G182" s="9" t="str">
        <f ca="1">+WORLDCUP!BD58</f>
        <v>República Checa</v>
      </c>
      <c r="H182" s="9" t="str">
        <f ca="1">+WORLDCUP!BD65</f>
        <v>Arabia Saudita</v>
      </c>
      <c r="I182" s="9" t="str">
        <f ca="1">+WORLDCUP!BD69</f>
        <v>Ghana</v>
      </c>
      <c r="J182" s="9" t="str">
        <f ca="1">+WORLDCUP!BD68</f>
        <v>RD Congo</v>
      </c>
      <c r="N182" s="16" t="s">
        <v>967</v>
      </c>
      <c r="O182" s="16">
        <v>181</v>
      </c>
      <c r="P182" s="16" t="s">
        <v>103</v>
      </c>
      <c r="Q182" s="16" t="s">
        <v>126</v>
      </c>
      <c r="R182" s="16" t="s">
        <v>121</v>
      </c>
      <c r="S182" s="16" t="s">
        <v>99</v>
      </c>
      <c r="T182" s="16" t="s">
        <v>85</v>
      </c>
      <c r="U182" s="16" t="s">
        <v>117</v>
      </c>
      <c r="V182" s="16" t="s">
        <v>135</v>
      </c>
      <c r="W182" s="16" t="s">
        <v>130</v>
      </c>
    </row>
    <row r="183" spans="1:23" x14ac:dyDescent="0.2">
      <c r="A183" s="9" t="s">
        <v>968</v>
      </c>
      <c r="B183" s="9">
        <f ca="1">+IF(A183=WORLDCUP!$BI$112,1,0)</f>
        <v>0</v>
      </c>
      <c r="C183" s="9" t="str">
        <f ca="1">+WORLDCUP!BD62</f>
        <v>Curazao</v>
      </c>
      <c r="D183" s="9" t="str">
        <f ca="1">+WORLDCUP!BD67</f>
        <v>Argelia</v>
      </c>
      <c r="E183" s="9" t="str">
        <f ca="1">+WORLDCUP!BD66</f>
        <v>Senegal</v>
      </c>
      <c r="F183" s="9" t="str">
        <f ca="1">+WORLDCUP!BD61</f>
        <v>Australia</v>
      </c>
      <c r="G183" s="9" t="str">
        <f ca="1">+WORLDCUP!BD58</f>
        <v>República Checa</v>
      </c>
      <c r="H183" s="9" t="str">
        <f ca="1">+WORLDCUP!BD64</f>
        <v>Egipto</v>
      </c>
      <c r="I183" s="9" t="str">
        <f ca="1">+WORLDCUP!BD69</f>
        <v>Ghana</v>
      </c>
      <c r="J183" s="9" t="str">
        <f ca="1">+WORLDCUP!BD68</f>
        <v>RD Congo</v>
      </c>
      <c r="N183" s="16" t="s">
        <v>968</v>
      </c>
      <c r="O183" s="16">
        <v>182</v>
      </c>
      <c r="P183" s="16" t="s">
        <v>103</v>
      </c>
      <c r="Q183" s="16" t="s">
        <v>126</v>
      </c>
      <c r="R183" s="16" t="s">
        <v>121</v>
      </c>
      <c r="S183" s="16" t="s">
        <v>99</v>
      </c>
      <c r="T183" s="16" t="s">
        <v>85</v>
      </c>
      <c r="U183" s="16" t="s">
        <v>112</v>
      </c>
      <c r="V183" s="16" t="s">
        <v>135</v>
      </c>
      <c r="W183" s="16" t="s">
        <v>130</v>
      </c>
    </row>
    <row r="184" spans="1:23" x14ac:dyDescent="0.2">
      <c r="A184" s="9" t="s">
        <v>969</v>
      </c>
      <c r="B184" s="9">
        <f ca="1">+IF(A184=WORLDCUP!$BI$112,1,0)</f>
        <v>0</v>
      </c>
      <c r="C184" s="9" t="str">
        <f ca="1">+WORLDCUP!BD62</f>
        <v>Curazao</v>
      </c>
      <c r="D184" s="9" t="str">
        <f ca="1">+WORLDCUP!BD64</f>
        <v>Egipto</v>
      </c>
      <c r="E184" s="9" t="str">
        <f ca="1">+WORLDCUP!BD67</f>
        <v>Argelia</v>
      </c>
      <c r="F184" s="9" t="str">
        <f ca="1">+WORLDCUP!BD61</f>
        <v>Australia</v>
      </c>
      <c r="G184" s="9" t="str">
        <f ca="1">+WORLDCUP!BD58</f>
        <v>República Checa</v>
      </c>
      <c r="H184" s="9" t="str">
        <f ca="1">+WORLDCUP!BD65</f>
        <v>Arabia Saudita</v>
      </c>
      <c r="I184" s="9" t="str">
        <f ca="1">+WORLDCUP!BD69</f>
        <v>Ghana</v>
      </c>
      <c r="J184" s="9" t="str">
        <f ca="1">+WORLDCUP!BD68</f>
        <v>RD Congo</v>
      </c>
      <c r="N184" s="16" t="s">
        <v>969</v>
      </c>
      <c r="O184" s="16">
        <v>183</v>
      </c>
      <c r="P184" s="16" t="s">
        <v>103</v>
      </c>
      <c r="Q184" s="16" t="s">
        <v>112</v>
      </c>
      <c r="R184" s="16" t="s">
        <v>126</v>
      </c>
      <c r="S184" s="16" t="s">
        <v>99</v>
      </c>
      <c r="T184" s="16" t="s">
        <v>85</v>
      </c>
      <c r="U184" s="16" t="s">
        <v>117</v>
      </c>
      <c r="V184" s="16" t="s">
        <v>135</v>
      </c>
      <c r="W184" s="16" t="s">
        <v>130</v>
      </c>
    </row>
    <row r="185" spans="1:23" x14ac:dyDescent="0.2">
      <c r="A185" s="9" t="s">
        <v>970</v>
      </c>
      <c r="B185" s="9">
        <f ca="1">+IF(A185=WORLDCUP!$BI$112,1,0)</f>
        <v>0</v>
      </c>
      <c r="C185" s="9" t="str">
        <f ca="1">+WORLDCUP!BD62</f>
        <v>Curazao</v>
      </c>
      <c r="D185" s="9" t="str">
        <f ca="1">+WORLDCUP!BD64</f>
        <v>Egipto</v>
      </c>
      <c r="E185" s="9" t="str">
        <f ca="1">+WORLDCUP!BD66</f>
        <v>Senegal</v>
      </c>
      <c r="F185" s="9" t="str">
        <f ca="1">+WORLDCUP!BD61</f>
        <v>Australia</v>
      </c>
      <c r="G185" s="9" t="str">
        <f ca="1">+WORLDCUP!BD58</f>
        <v>República Checa</v>
      </c>
      <c r="H185" s="9" t="str">
        <f ca="1">+WORLDCUP!BD65</f>
        <v>Arabia Saudita</v>
      </c>
      <c r="I185" s="9" t="str">
        <f ca="1">+WORLDCUP!BD69</f>
        <v>Ghana</v>
      </c>
      <c r="J185" s="9" t="str">
        <f ca="1">+WORLDCUP!BD68</f>
        <v>RD Congo</v>
      </c>
      <c r="N185" s="16" t="s">
        <v>970</v>
      </c>
      <c r="O185" s="16">
        <v>184</v>
      </c>
      <c r="P185" s="16" t="s">
        <v>103</v>
      </c>
      <c r="Q185" s="16" t="s">
        <v>112</v>
      </c>
      <c r="R185" s="16" t="s">
        <v>121</v>
      </c>
      <c r="S185" s="16" t="s">
        <v>99</v>
      </c>
      <c r="T185" s="16" t="s">
        <v>85</v>
      </c>
      <c r="U185" s="16" t="s">
        <v>117</v>
      </c>
      <c r="V185" s="16" t="s">
        <v>135</v>
      </c>
      <c r="W185" s="16" t="s">
        <v>130</v>
      </c>
    </row>
    <row r="186" spans="1:23" x14ac:dyDescent="0.2">
      <c r="A186" s="9" t="s">
        <v>971</v>
      </c>
      <c r="B186" s="9">
        <f ca="1">+IF(A186=WORLDCUP!$BI$112,1,0)</f>
        <v>0</v>
      </c>
      <c r="C186" s="9" t="str">
        <f ca="1">+WORLDCUP!BD62</f>
        <v>Curazao</v>
      </c>
      <c r="D186" s="9" t="str">
        <f ca="1">+WORLDCUP!BD64</f>
        <v>Egipto</v>
      </c>
      <c r="E186" s="9" t="str">
        <f ca="1">+WORLDCUP!BD67</f>
        <v>Argelia</v>
      </c>
      <c r="F186" s="9" t="str">
        <f ca="1">+WORLDCUP!BD61</f>
        <v>Australia</v>
      </c>
      <c r="G186" s="9" t="str">
        <f ca="1">+WORLDCUP!BD58</f>
        <v>República Checa</v>
      </c>
      <c r="H186" s="9" t="str">
        <f ca="1">+WORLDCUP!BD65</f>
        <v>Arabia Saudita</v>
      </c>
      <c r="I186" s="9" t="str">
        <f ca="1">+WORLDCUP!BD69</f>
        <v>Ghana</v>
      </c>
      <c r="J186" s="9" t="str">
        <f ca="1">+WORLDCUP!BD66</f>
        <v>Senegal</v>
      </c>
      <c r="N186" s="16" t="s">
        <v>971</v>
      </c>
      <c r="O186" s="16">
        <v>185</v>
      </c>
      <c r="P186" s="16" t="s">
        <v>103</v>
      </c>
      <c r="Q186" s="16" t="s">
        <v>112</v>
      </c>
      <c r="R186" s="16" t="s">
        <v>126</v>
      </c>
      <c r="S186" s="16" t="s">
        <v>99</v>
      </c>
      <c r="T186" s="16" t="s">
        <v>85</v>
      </c>
      <c r="U186" s="16" t="s">
        <v>117</v>
      </c>
      <c r="V186" s="16" t="s">
        <v>135</v>
      </c>
      <c r="W186" s="16" t="s">
        <v>121</v>
      </c>
    </row>
    <row r="187" spans="1:23" x14ac:dyDescent="0.2">
      <c r="A187" s="9" t="s">
        <v>972</v>
      </c>
      <c r="B187" s="9">
        <f ca="1">+IF(A187=WORLDCUP!$BI$112,1,0)</f>
        <v>0</v>
      </c>
      <c r="C187" s="9" t="str">
        <f ca="1">+WORLDCUP!BD62</f>
        <v>Curazao</v>
      </c>
      <c r="D187" s="9" t="str">
        <f ca="1">+WORLDCUP!BD64</f>
        <v>Egipto</v>
      </c>
      <c r="E187" s="9" t="str">
        <f ca="1">+WORLDCUP!BD67</f>
        <v>Argelia</v>
      </c>
      <c r="F187" s="9" t="str">
        <f ca="1">+WORLDCUP!BD61</f>
        <v>Australia</v>
      </c>
      <c r="G187" s="9" t="str">
        <f ca="1">+WORLDCUP!BD58</f>
        <v>República Checa</v>
      </c>
      <c r="H187" s="9" t="str">
        <f ca="1">+WORLDCUP!BD65</f>
        <v>Arabia Saudita</v>
      </c>
      <c r="I187" s="9" t="str">
        <f ca="1">+WORLDCUP!BD66</f>
        <v>Senegal</v>
      </c>
      <c r="J187" s="9" t="str">
        <f ca="1">+WORLDCUP!BD68</f>
        <v>RD Congo</v>
      </c>
      <c r="N187" s="16" t="s">
        <v>972</v>
      </c>
      <c r="O187" s="16">
        <v>186</v>
      </c>
      <c r="P187" s="16" t="s">
        <v>103</v>
      </c>
      <c r="Q187" s="16" t="s">
        <v>112</v>
      </c>
      <c r="R187" s="16" t="s">
        <v>126</v>
      </c>
      <c r="S187" s="16" t="s">
        <v>99</v>
      </c>
      <c r="T187" s="16" t="s">
        <v>85</v>
      </c>
      <c r="U187" s="16" t="s">
        <v>117</v>
      </c>
      <c r="V187" s="16" t="s">
        <v>121</v>
      </c>
      <c r="W187" s="16" t="s">
        <v>130</v>
      </c>
    </row>
    <row r="188" spans="1:23" x14ac:dyDescent="0.2">
      <c r="A188" s="9" t="s">
        <v>973</v>
      </c>
      <c r="B188" s="9">
        <f ca="1">+IF(A188=WORLDCUP!$BI$112,1,0)</f>
        <v>0</v>
      </c>
      <c r="C188" s="9" t="str">
        <f ca="1">+WORLDCUP!BD62</f>
        <v>Curazao</v>
      </c>
      <c r="D188" s="9" t="str">
        <f ca="1">+WORLDCUP!BD67</f>
        <v>Argelia</v>
      </c>
      <c r="E188" s="9" t="str">
        <f ca="1">+WORLDCUP!BD66</f>
        <v>Senegal</v>
      </c>
      <c r="F188" s="9" t="str">
        <f ca="1">+WORLDCUP!BD61</f>
        <v>Australia</v>
      </c>
      <c r="G188" s="9" t="str">
        <f ca="1">+WORLDCUP!BD58</f>
        <v>República Checa</v>
      </c>
      <c r="H188" s="9" t="str">
        <f ca="1">+WORLDCUP!BD63</f>
        <v>Suecia</v>
      </c>
      <c r="I188" s="9" t="str">
        <f ca="1">+WORLDCUP!BD69</f>
        <v>Ghana</v>
      </c>
      <c r="J188" s="9" t="str">
        <f ca="1">+WORLDCUP!BD68</f>
        <v>RD Congo</v>
      </c>
      <c r="N188" s="16" t="s">
        <v>973</v>
      </c>
      <c r="O188" s="16">
        <v>187</v>
      </c>
      <c r="P188" s="16" t="s">
        <v>103</v>
      </c>
      <c r="Q188" s="16" t="s">
        <v>126</v>
      </c>
      <c r="R188" s="16" t="s">
        <v>121</v>
      </c>
      <c r="S188" s="16" t="s">
        <v>99</v>
      </c>
      <c r="T188" s="16" t="s">
        <v>85</v>
      </c>
      <c r="U188" s="16" t="s">
        <v>108</v>
      </c>
      <c r="V188" s="16" t="s">
        <v>135</v>
      </c>
      <c r="W188" s="16" t="s">
        <v>130</v>
      </c>
    </row>
    <row r="189" spans="1:23" x14ac:dyDescent="0.2">
      <c r="A189" s="9" t="s">
        <v>974</v>
      </c>
      <c r="B189" s="9">
        <f ca="1">+IF(A189=WORLDCUP!$BI$112,1,0)</f>
        <v>0</v>
      </c>
      <c r="C189" s="9" t="str">
        <f ca="1">+WORLDCUP!BD65</f>
        <v>Arabia Saudita</v>
      </c>
      <c r="D189" s="9" t="str">
        <f ca="1">+WORLDCUP!BD67</f>
        <v>Argelia</v>
      </c>
      <c r="E189" s="9" t="str">
        <f ca="1">+WORLDCUP!BD62</f>
        <v>Curazao</v>
      </c>
      <c r="F189" s="9" t="str">
        <f ca="1">+WORLDCUP!BD61</f>
        <v>Australia</v>
      </c>
      <c r="G189" s="9" t="str">
        <f ca="1">+WORLDCUP!BD58</f>
        <v>República Checa</v>
      </c>
      <c r="H189" s="9" t="str">
        <f ca="1">+WORLDCUP!BD63</f>
        <v>Suecia</v>
      </c>
      <c r="I189" s="9" t="str">
        <f ca="1">+WORLDCUP!BD69</f>
        <v>Ghana</v>
      </c>
      <c r="J189" s="9" t="str">
        <f ca="1">+WORLDCUP!BD68</f>
        <v>RD Congo</v>
      </c>
      <c r="N189" s="16" t="s">
        <v>974</v>
      </c>
      <c r="O189" s="16">
        <v>188</v>
      </c>
      <c r="P189" s="16" t="s">
        <v>117</v>
      </c>
      <c r="Q189" s="16" t="s">
        <v>126</v>
      </c>
      <c r="R189" s="16" t="s">
        <v>103</v>
      </c>
      <c r="S189" s="16" t="s">
        <v>99</v>
      </c>
      <c r="T189" s="16" t="s">
        <v>85</v>
      </c>
      <c r="U189" s="16" t="s">
        <v>108</v>
      </c>
      <c r="V189" s="16" t="s">
        <v>135</v>
      </c>
      <c r="W189" s="16" t="s">
        <v>130</v>
      </c>
    </row>
    <row r="190" spans="1:23" x14ac:dyDescent="0.2">
      <c r="A190" s="9" t="s">
        <v>975</v>
      </c>
      <c r="B190" s="9">
        <f ca="1">+IF(A190=WORLDCUP!$BI$112,1,0)</f>
        <v>0</v>
      </c>
      <c r="C190" s="9" t="str">
        <f ca="1">+WORLDCUP!BD65</f>
        <v>Arabia Saudita</v>
      </c>
      <c r="D190" s="9" t="str">
        <f ca="1">+WORLDCUP!BD62</f>
        <v>Curazao</v>
      </c>
      <c r="E190" s="9" t="str">
        <f ca="1">+WORLDCUP!BD66</f>
        <v>Senegal</v>
      </c>
      <c r="F190" s="9" t="str">
        <f ca="1">+WORLDCUP!BD61</f>
        <v>Australia</v>
      </c>
      <c r="G190" s="9" t="str">
        <f ca="1">+WORLDCUP!BD58</f>
        <v>República Checa</v>
      </c>
      <c r="H190" s="9" t="str">
        <f ca="1">+WORLDCUP!BD63</f>
        <v>Suecia</v>
      </c>
      <c r="I190" s="9" t="str">
        <f ca="1">+WORLDCUP!BD69</f>
        <v>Ghana</v>
      </c>
      <c r="J190" s="9" t="str">
        <f ca="1">+WORLDCUP!BD68</f>
        <v>RD Congo</v>
      </c>
      <c r="N190" s="16" t="s">
        <v>975</v>
      </c>
      <c r="O190" s="16">
        <v>189</v>
      </c>
      <c r="P190" s="16" t="s">
        <v>117</v>
      </c>
      <c r="Q190" s="16" t="s">
        <v>103</v>
      </c>
      <c r="R190" s="16" t="s">
        <v>121</v>
      </c>
      <c r="S190" s="16" t="s">
        <v>99</v>
      </c>
      <c r="T190" s="16" t="s">
        <v>85</v>
      </c>
      <c r="U190" s="16" t="s">
        <v>108</v>
      </c>
      <c r="V190" s="16" t="s">
        <v>135</v>
      </c>
      <c r="W190" s="16" t="s">
        <v>130</v>
      </c>
    </row>
    <row r="191" spans="1:23" x14ac:dyDescent="0.2">
      <c r="A191" s="9" t="s">
        <v>976</v>
      </c>
      <c r="B191" s="9">
        <f ca="1">+IF(A191=WORLDCUP!$BI$112,1,0)</f>
        <v>0</v>
      </c>
      <c r="C191" s="9" t="str">
        <f ca="1">+WORLDCUP!BD65</f>
        <v>Arabia Saudita</v>
      </c>
      <c r="D191" s="9" t="str">
        <f ca="1">+WORLDCUP!BD67</f>
        <v>Argelia</v>
      </c>
      <c r="E191" s="9" t="str">
        <f ca="1">+WORLDCUP!BD62</f>
        <v>Curazao</v>
      </c>
      <c r="F191" s="9" t="str">
        <f ca="1">+WORLDCUP!BD61</f>
        <v>Australia</v>
      </c>
      <c r="G191" s="9" t="str">
        <f ca="1">+WORLDCUP!BD58</f>
        <v>República Checa</v>
      </c>
      <c r="H191" s="9" t="str">
        <f ca="1">+WORLDCUP!BD63</f>
        <v>Suecia</v>
      </c>
      <c r="I191" s="9" t="str">
        <f ca="1">+WORLDCUP!BD69</f>
        <v>Ghana</v>
      </c>
      <c r="J191" s="9" t="str">
        <f ca="1">+WORLDCUP!BD66</f>
        <v>Senegal</v>
      </c>
      <c r="N191" s="16" t="s">
        <v>976</v>
      </c>
      <c r="O191" s="16">
        <v>190</v>
      </c>
      <c r="P191" s="16" t="s">
        <v>117</v>
      </c>
      <c r="Q191" s="16" t="s">
        <v>126</v>
      </c>
      <c r="R191" s="16" t="s">
        <v>103</v>
      </c>
      <c r="S191" s="16" t="s">
        <v>99</v>
      </c>
      <c r="T191" s="16" t="s">
        <v>85</v>
      </c>
      <c r="U191" s="16" t="s">
        <v>108</v>
      </c>
      <c r="V191" s="16" t="s">
        <v>135</v>
      </c>
      <c r="W191" s="16" t="s">
        <v>121</v>
      </c>
    </row>
    <row r="192" spans="1:23" x14ac:dyDescent="0.2">
      <c r="A192" s="9" t="s">
        <v>977</v>
      </c>
      <c r="B192" s="9">
        <f ca="1">+IF(A192=WORLDCUP!$BI$112,1,0)</f>
        <v>0</v>
      </c>
      <c r="C192" s="9" t="str">
        <f ca="1">+WORLDCUP!BD65</f>
        <v>Arabia Saudita</v>
      </c>
      <c r="D192" s="9" t="str">
        <f ca="1">+WORLDCUP!BD67</f>
        <v>Argelia</v>
      </c>
      <c r="E192" s="9" t="str">
        <f ca="1">+WORLDCUP!BD62</f>
        <v>Curazao</v>
      </c>
      <c r="F192" s="9" t="str">
        <f ca="1">+WORLDCUP!BD61</f>
        <v>Australia</v>
      </c>
      <c r="G192" s="9" t="str">
        <f ca="1">+WORLDCUP!BD58</f>
        <v>República Checa</v>
      </c>
      <c r="H192" s="9" t="str">
        <f ca="1">+WORLDCUP!BD63</f>
        <v>Suecia</v>
      </c>
      <c r="I192" s="9" t="str">
        <f ca="1">+WORLDCUP!BD66</f>
        <v>Senegal</v>
      </c>
      <c r="J192" s="9" t="str">
        <f ca="1">+WORLDCUP!BD68</f>
        <v>RD Congo</v>
      </c>
      <c r="N192" s="16" t="s">
        <v>977</v>
      </c>
      <c r="O192" s="16">
        <v>191</v>
      </c>
      <c r="P192" s="16" t="s">
        <v>117</v>
      </c>
      <c r="Q192" s="16" t="s">
        <v>126</v>
      </c>
      <c r="R192" s="16" t="s">
        <v>103</v>
      </c>
      <c r="S192" s="16" t="s">
        <v>99</v>
      </c>
      <c r="T192" s="16" t="s">
        <v>85</v>
      </c>
      <c r="U192" s="16" t="s">
        <v>108</v>
      </c>
      <c r="V192" s="16" t="s">
        <v>121</v>
      </c>
      <c r="W192" s="16" t="s">
        <v>130</v>
      </c>
    </row>
    <row r="193" spans="1:23" x14ac:dyDescent="0.2">
      <c r="A193" s="9" t="s">
        <v>978</v>
      </c>
      <c r="B193" s="9">
        <f ca="1">+IF(A193=WORLDCUP!$BI$112,1,0)</f>
        <v>0</v>
      </c>
      <c r="C193" s="9" t="str">
        <f ca="1">+WORLDCUP!BD62</f>
        <v>Curazao</v>
      </c>
      <c r="D193" s="9" t="str">
        <f ca="1">+WORLDCUP!BD64</f>
        <v>Egipto</v>
      </c>
      <c r="E193" s="9" t="str">
        <f ca="1">+WORLDCUP!BD67</f>
        <v>Argelia</v>
      </c>
      <c r="F193" s="9" t="str">
        <f ca="1">+WORLDCUP!BD61</f>
        <v>Australia</v>
      </c>
      <c r="G193" s="9" t="str">
        <f ca="1">+WORLDCUP!BD58</f>
        <v>República Checa</v>
      </c>
      <c r="H193" s="9" t="str">
        <f ca="1">+WORLDCUP!BD63</f>
        <v>Suecia</v>
      </c>
      <c r="I193" s="9" t="str">
        <f ca="1">+WORLDCUP!BD69</f>
        <v>Ghana</v>
      </c>
      <c r="J193" s="9" t="str">
        <f ca="1">+WORLDCUP!BD68</f>
        <v>RD Congo</v>
      </c>
      <c r="N193" s="16" t="s">
        <v>978</v>
      </c>
      <c r="O193" s="16">
        <v>192</v>
      </c>
      <c r="P193" s="16" t="s">
        <v>103</v>
      </c>
      <c r="Q193" s="16" t="s">
        <v>112</v>
      </c>
      <c r="R193" s="16" t="s">
        <v>126</v>
      </c>
      <c r="S193" s="16" t="s">
        <v>99</v>
      </c>
      <c r="T193" s="16" t="s">
        <v>85</v>
      </c>
      <c r="U193" s="16" t="s">
        <v>108</v>
      </c>
      <c r="V193" s="16" t="s">
        <v>135</v>
      </c>
      <c r="W193" s="16" t="s">
        <v>130</v>
      </c>
    </row>
    <row r="194" spans="1:23" x14ac:dyDescent="0.2">
      <c r="A194" s="9" t="s">
        <v>979</v>
      </c>
      <c r="B194" s="9">
        <f ca="1">+IF(A194=WORLDCUP!$BI$112,1,0)</f>
        <v>0</v>
      </c>
      <c r="C194" s="9" t="str">
        <f ca="1">+WORLDCUP!BD62</f>
        <v>Curazao</v>
      </c>
      <c r="D194" s="9" t="str">
        <f ca="1">+WORLDCUP!BD64</f>
        <v>Egipto</v>
      </c>
      <c r="E194" s="9" t="str">
        <f ca="1">+WORLDCUP!BD66</f>
        <v>Senegal</v>
      </c>
      <c r="F194" s="9" t="str">
        <f ca="1">+WORLDCUP!BD61</f>
        <v>Australia</v>
      </c>
      <c r="G194" s="9" t="str">
        <f ca="1">+WORLDCUP!BD58</f>
        <v>República Checa</v>
      </c>
      <c r="H194" s="9" t="str">
        <f ca="1">+WORLDCUP!BD63</f>
        <v>Suecia</v>
      </c>
      <c r="I194" s="9" t="str">
        <f ca="1">+WORLDCUP!BD69</f>
        <v>Ghana</v>
      </c>
      <c r="J194" s="9" t="str">
        <f ca="1">+WORLDCUP!BD68</f>
        <v>RD Congo</v>
      </c>
      <c r="N194" s="16" t="s">
        <v>979</v>
      </c>
      <c r="O194" s="16">
        <v>193</v>
      </c>
      <c r="P194" s="16" t="s">
        <v>103</v>
      </c>
      <c r="Q194" s="16" t="s">
        <v>112</v>
      </c>
      <c r="R194" s="16" t="s">
        <v>121</v>
      </c>
      <c r="S194" s="16" t="s">
        <v>99</v>
      </c>
      <c r="T194" s="16" t="s">
        <v>85</v>
      </c>
      <c r="U194" s="16" t="s">
        <v>108</v>
      </c>
      <c r="V194" s="16" t="s">
        <v>135</v>
      </c>
      <c r="W194" s="16" t="s">
        <v>130</v>
      </c>
    </row>
    <row r="195" spans="1:23" x14ac:dyDescent="0.2">
      <c r="A195" s="9" t="s">
        <v>980</v>
      </c>
      <c r="B195" s="9">
        <f ca="1">+IF(A195=WORLDCUP!$BI$112,1,0)</f>
        <v>0</v>
      </c>
      <c r="C195" s="9" t="str">
        <f ca="1">+WORLDCUP!BD62</f>
        <v>Curazao</v>
      </c>
      <c r="D195" s="9" t="str">
        <f ca="1">+WORLDCUP!BD64</f>
        <v>Egipto</v>
      </c>
      <c r="E195" s="9" t="str">
        <f ca="1">+WORLDCUP!BD67</f>
        <v>Argelia</v>
      </c>
      <c r="F195" s="9" t="str">
        <f ca="1">+WORLDCUP!BD61</f>
        <v>Australia</v>
      </c>
      <c r="G195" s="9" t="str">
        <f ca="1">+WORLDCUP!BD58</f>
        <v>República Checa</v>
      </c>
      <c r="H195" s="9" t="str">
        <f ca="1">+WORLDCUP!BD63</f>
        <v>Suecia</v>
      </c>
      <c r="I195" s="9" t="str">
        <f ca="1">+WORLDCUP!BD69</f>
        <v>Ghana</v>
      </c>
      <c r="J195" s="9" t="str">
        <f ca="1">+WORLDCUP!BD66</f>
        <v>Senegal</v>
      </c>
      <c r="N195" s="16" t="s">
        <v>980</v>
      </c>
      <c r="O195" s="16">
        <v>194</v>
      </c>
      <c r="P195" s="16" t="s">
        <v>103</v>
      </c>
      <c r="Q195" s="16" t="s">
        <v>112</v>
      </c>
      <c r="R195" s="16" t="s">
        <v>126</v>
      </c>
      <c r="S195" s="16" t="s">
        <v>99</v>
      </c>
      <c r="T195" s="16" t="s">
        <v>85</v>
      </c>
      <c r="U195" s="16" t="s">
        <v>108</v>
      </c>
      <c r="V195" s="16" t="s">
        <v>135</v>
      </c>
      <c r="W195" s="16" t="s">
        <v>121</v>
      </c>
    </row>
    <row r="196" spans="1:23" x14ac:dyDescent="0.2">
      <c r="A196" s="9" t="s">
        <v>981</v>
      </c>
      <c r="B196" s="9">
        <f ca="1">+IF(A196=WORLDCUP!$BI$112,1,0)</f>
        <v>0</v>
      </c>
      <c r="C196" s="9" t="str">
        <f ca="1">+WORLDCUP!BD62</f>
        <v>Curazao</v>
      </c>
      <c r="D196" s="9" t="str">
        <f ca="1">+WORLDCUP!BD64</f>
        <v>Egipto</v>
      </c>
      <c r="E196" s="9" t="str">
        <f ca="1">+WORLDCUP!BD67</f>
        <v>Argelia</v>
      </c>
      <c r="F196" s="9" t="str">
        <f ca="1">+WORLDCUP!BD61</f>
        <v>Australia</v>
      </c>
      <c r="G196" s="9" t="str">
        <f ca="1">+WORLDCUP!BD58</f>
        <v>República Checa</v>
      </c>
      <c r="H196" s="9" t="str">
        <f ca="1">+WORLDCUP!BD63</f>
        <v>Suecia</v>
      </c>
      <c r="I196" s="9" t="str">
        <f ca="1">+WORLDCUP!BD66</f>
        <v>Senegal</v>
      </c>
      <c r="J196" s="9" t="str">
        <f ca="1">+WORLDCUP!BD68</f>
        <v>RD Congo</v>
      </c>
      <c r="N196" s="16" t="s">
        <v>981</v>
      </c>
      <c r="O196" s="16">
        <v>195</v>
      </c>
      <c r="P196" s="16" t="s">
        <v>103</v>
      </c>
      <c r="Q196" s="16" t="s">
        <v>112</v>
      </c>
      <c r="R196" s="16" t="s">
        <v>126</v>
      </c>
      <c r="S196" s="16" t="s">
        <v>99</v>
      </c>
      <c r="T196" s="16" t="s">
        <v>85</v>
      </c>
      <c r="U196" s="16" t="s">
        <v>108</v>
      </c>
      <c r="V196" s="16" t="s">
        <v>121</v>
      </c>
      <c r="W196" s="16" t="s">
        <v>130</v>
      </c>
    </row>
    <row r="197" spans="1:23" x14ac:dyDescent="0.2">
      <c r="A197" s="9" t="s">
        <v>982</v>
      </c>
      <c r="B197" s="9">
        <f ca="1">+IF(A197=WORLDCUP!$BI$112,1,0)</f>
        <v>0</v>
      </c>
      <c r="C197" s="9" t="str">
        <f ca="1">+WORLDCUP!BD65</f>
        <v>Arabia Saudita</v>
      </c>
      <c r="D197" s="9" t="str">
        <f ca="1">+WORLDCUP!BD64</f>
        <v>Egipto</v>
      </c>
      <c r="E197" s="9" t="str">
        <f ca="1">+WORLDCUP!BD62</f>
        <v>Curazao</v>
      </c>
      <c r="F197" s="9" t="str">
        <f ca="1">+WORLDCUP!BD61</f>
        <v>Australia</v>
      </c>
      <c r="G197" s="9" t="str">
        <f ca="1">+WORLDCUP!BD58</f>
        <v>República Checa</v>
      </c>
      <c r="H197" s="9" t="str">
        <f ca="1">+WORLDCUP!BD63</f>
        <v>Suecia</v>
      </c>
      <c r="I197" s="9" t="str">
        <f ca="1">+WORLDCUP!BD69</f>
        <v>Ghana</v>
      </c>
      <c r="J197" s="9" t="str">
        <f ca="1">+WORLDCUP!BD68</f>
        <v>RD Congo</v>
      </c>
      <c r="N197" s="16" t="s">
        <v>982</v>
      </c>
      <c r="O197" s="16">
        <v>196</v>
      </c>
      <c r="P197" s="16" t="s">
        <v>117</v>
      </c>
      <c r="Q197" s="16" t="s">
        <v>112</v>
      </c>
      <c r="R197" s="16" t="s">
        <v>103</v>
      </c>
      <c r="S197" s="16" t="s">
        <v>99</v>
      </c>
      <c r="T197" s="16" t="s">
        <v>85</v>
      </c>
      <c r="U197" s="16" t="s">
        <v>108</v>
      </c>
      <c r="V197" s="16" t="s">
        <v>135</v>
      </c>
      <c r="W197" s="16" t="s">
        <v>130</v>
      </c>
    </row>
    <row r="198" spans="1:23" x14ac:dyDescent="0.2">
      <c r="A198" s="9" t="s">
        <v>983</v>
      </c>
      <c r="B198" s="9">
        <f ca="1">+IF(A198=WORLDCUP!$BI$112,1,0)</f>
        <v>0</v>
      </c>
      <c r="C198" s="9" t="str">
        <f ca="1">+WORLDCUP!BD65</f>
        <v>Arabia Saudita</v>
      </c>
      <c r="D198" s="9" t="str">
        <f ca="1">+WORLDCUP!BD64</f>
        <v>Egipto</v>
      </c>
      <c r="E198" s="9" t="str">
        <f ca="1">+WORLDCUP!BD67</f>
        <v>Argelia</v>
      </c>
      <c r="F198" s="9" t="str">
        <f ca="1">+WORLDCUP!BD61</f>
        <v>Australia</v>
      </c>
      <c r="G198" s="9" t="str">
        <f ca="1">+WORLDCUP!BD58</f>
        <v>República Checa</v>
      </c>
      <c r="H198" s="9" t="str">
        <f ca="1">+WORLDCUP!BD63</f>
        <v>Suecia</v>
      </c>
      <c r="I198" s="9" t="str">
        <f ca="1">+WORLDCUP!BD69</f>
        <v>Ghana</v>
      </c>
      <c r="J198" s="9" t="str">
        <f ca="1">+WORLDCUP!BD62</f>
        <v>Curazao</v>
      </c>
      <c r="N198" s="16" t="s">
        <v>983</v>
      </c>
      <c r="O198" s="16">
        <v>197</v>
      </c>
      <c r="P198" s="16" t="s">
        <v>117</v>
      </c>
      <c r="Q198" s="16" t="s">
        <v>112</v>
      </c>
      <c r="R198" s="16" t="s">
        <v>126</v>
      </c>
      <c r="S198" s="16" t="s">
        <v>99</v>
      </c>
      <c r="T198" s="16" t="s">
        <v>85</v>
      </c>
      <c r="U198" s="16" t="s">
        <v>108</v>
      </c>
      <c r="V198" s="16" t="s">
        <v>135</v>
      </c>
      <c r="W198" s="16" t="s">
        <v>103</v>
      </c>
    </row>
    <row r="199" spans="1:23" x14ac:dyDescent="0.2">
      <c r="A199" s="9" t="s">
        <v>984</v>
      </c>
      <c r="B199" s="9">
        <f ca="1">+IF(A199=WORLDCUP!$BI$112,1,0)</f>
        <v>0</v>
      </c>
      <c r="C199" s="9" t="str">
        <f ca="1">+WORLDCUP!BD65</f>
        <v>Arabia Saudita</v>
      </c>
      <c r="D199" s="9" t="str">
        <f ca="1">+WORLDCUP!BD64</f>
        <v>Egipto</v>
      </c>
      <c r="E199" s="9" t="str">
        <f ca="1">+WORLDCUP!BD67</f>
        <v>Argelia</v>
      </c>
      <c r="F199" s="9" t="str">
        <f ca="1">+WORLDCUP!BD61</f>
        <v>Australia</v>
      </c>
      <c r="G199" s="9" t="str">
        <f ca="1">+WORLDCUP!BD58</f>
        <v>República Checa</v>
      </c>
      <c r="H199" s="9" t="str">
        <f ca="1">+WORLDCUP!BD63</f>
        <v>Suecia</v>
      </c>
      <c r="I199" s="9" t="str">
        <f ca="1">+WORLDCUP!BD62</f>
        <v>Curazao</v>
      </c>
      <c r="J199" s="9" t="str">
        <f ca="1">+WORLDCUP!BD68</f>
        <v>RD Congo</v>
      </c>
      <c r="N199" s="16" t="s">
        <v>984</v>
      </c>
      <c r="O199" s="16">
        <v>198</v>
      </c>
      <c r="P199" s="16" t="s">
        <v>117</v>
      </c>
      <c r="Q199" s="16" t="s">
        <v>112</v>
      </c>
      <c r="R199" s="16" t="s">
        <v>126</v>
      </c>
      <c r="S199" s="16" t="s">
        <v>99</v>
      </c>
      <c r="T199" s="16" t="s">
        <v>85</v>
      </c>
      <c r="U199" s="16" t="s">
        <v>108</v>
      </c>
      <c r="V199" s="16" t="s">
        <v>103</v>
      </c>
      <c r="W199" s="16" t="s">
        <v>130</v>
      </c>
    </row>
    <row r="200" spans="1:23" x14ac:dyDescent="0.2">
      <c r="A200" s="9" t="s">
        <v>985</v>
      </c>
      <c r="B200" s="9">
        <f ca="1">+IF(A200=WORLDCUP!$BI$112,1,0)</f>
        <v>0</v>
      </c>
      <c r="C200" s="9" t="str">
        <f ca="1">+WORLDCUP!BD65</f>
        <v>Arabia Saudita</v>
      </c>
      <c r="D200" s="9" t="str">
        <f ca="1">+WORLDCUP!BD64</f>
        <v>Egipto</v>
      </c>
      <c r="E200" s="9" t="str">
        <f ca="1">+WORLDCUP!BD62</f>
        <v>Curazao</v>
      </c>
      <c r="F200" s="9" t="str">
        <f ca="1">+WORLDCUP!BD61</f>
        <v>Australia</v>
      </c>
      <c r="G200" s="9" t="str">
        <f ca="1">+WORLDCUP!BD58</f>
        <v>República Checa</v>
      </c>
      <c r="H200" s="9" t="str">
        <f ca="1">+WORLDCUP!BD63</f>
        <v>Suecia</v>
      </c>
      <c r="I200" s="9" t="str">
        <f ca="1">+WORLDCUP!BD69</f>
        <v>Ghana</v>
      </c>
      <c r="J200" s="9" t="str">
        <f ca="1">+WORLDCUP!BD66</f>
        <v>Senegal</v>
      </c>
      <c r="N200" s="16" t="s">
        <v>985</v>
      </c>
      <c r="O200" s="16">
        <v>199</v>
      </c>
      <c r="P200" s="16" t="s">
        <v>117</v>
      </c>
      <c r="Q200" s="16" t="s">
        <v>112</v>
      </c>
      <c r="R200" s="16" t="s">
        <v>103</v>
      </c>
      <c r="S200" s="16" t="s">
        <v>99</v>
      </c>
      <c r="T200" s="16" t="s">
        <v>85</v>
      </c>
      <c r="U200" s="16" t="s">
        <v>108</v>
      </c>
      <c r="V200" s="16" t="s">
        <v>135</v>
      </c>
      <c r="W200" s="16" t="s">
        <v>121</v>
      </c>
    </row>
    <row r="201" spans="1:23" x14ac:dyDescent="0.2">
      <c r="A201" s="9" t="s">
        <v>986</v>
      </c>
      <c r="B201" s="9">
        <f ca="1">+IF(A201=WORLDCUP!$BI$112,1,0)</f>
        <v>0</v>
      </c>
      <c r="C201" s="9" t="str">
        <f ca="1">+WORLDCUP!BD65</f>
        <v>Arabia Saudita</v>
      </c>
      <c r="D201" s="9" t="str">
        <f ca="1">+WORLDCUP!BD64</f>
        <v>Egipto</v>
      </c>
      <c r="E201" s="9" t="str">
        <f ca="1">+WORLDCUP!BD62</f>
        <v>Curazao</v>
      </c>
      <c r="F201" s="9" t="str">
        <f ca="1">+WORLDCUP!BD61</f>
        <v>Australia</v>
      </c>
      <c r="G201" s="9" t="str">
        <f ca="1">+WORLDCUP!BD58</f>
        <v>República Checa</v>
      </c>
      <c r="H201" s="9" t="str">
        <f ca="1">+WORLDCUP!BD63</f>
        <v>Suecia</v>
      </c>
      <c r="I201" s="9" t="str">
        <f ca="1">+WORLDCUP!BD66</f>
        <v>Senegal</v>
      </c>
      <c r="J201" s="9" t="str">
        <f ca="1">+WORLDCUP!BD68</f>
        <v>RD Congo</v>
      </c>
      <c r="N201" s="16" t="s">
        <v>986</v>
      </c>
      <c r="O201" s="16">
        <v>200</v>
      </c>
      <c r="P201" s="16" t="s">
        <v>117</v>
      </c>
      <c r="Q201" s="16" t="s">
        <v>112</v>
      </c>
      <c r="R201" s="16" t="s">
        <v>103</v>
      </c>
      <c r="S201" s="16" t="s">
        <v>99</v>
      </c>
      <c r="T201" s="16" t="s">
        <v>85</v>
      </c>
      <c r="U201" s="16" t="s">
        <v>108</v>
      </c>
      <c r="V201" s="16" t="s">
        <v>121</v>
      </c>
      <c r="W201" s="16" t="s">
        <v>130</v>
      </c>
    </row>
    <row r="202" spans="1:23" x14ac:dyDescent="0.2">
      <c r="A202" s="9" t="s">
        <v>987</v>
      </c>
      <c r="B202" s="9">
        <f ca="1">+IF(A202=WORLDCUP!$BI$112,1,0)</f>
        <v>0</v>
      </c>
      <c r="C202" s="9" t="str">
        <f ca="1">+WORLDCUP!BD65</f>
        <v>Arabia Saudita</v>
      </c>
      <c r="D202" s="9" t="str">
        <f ca="1">+WORLDCUP!BD64</f>
        <v>Egipto</v>
      </c>
      <c r="E202" s="9" t="str">
        <f ca="1">+WORLDCUP!BD67</f>
        <v>Argelia</v>
      </c>
      <c r="F202" s="9" t="str">
        <f ca="1">+WORLDCUP!BD61</f>
        <v>Australia</v>
      </c>
      <c r="G202" s="9" t="str">
        <f ca="1">+WORLDCUP!BD58</f>
        <v>República Checa</v>
      </c>
      <c r="H202" s="9" t="str">
        <f ca="1">+WORLDCUP!BD63</f>
        <v>Suecia</v>
      </c>
      <c r="I202" s="9" t="str">
        <f ca="1">+WORLDCUP!BD62</f>
        <v>Curazao</v>
      </c>
      <c r="J202" s="9" t="str">
        <f ca="1">+WORLDCUP!BD66</f>
        <v>Senegal</v>
      </c>
      <c r="N202" s="16" t="s">
        <v>987</v>
      </c>
      <c r="O202" s="16">
        <v>201</v>
      </c>
      <c r="P202" s="16" t="s">
        <v>117</v>
      </c>
      <c r="Q202" s="16" t="s">
        <v>112</v>
      </c>
      <c r="R202" s="16" t="s">
        <v>126</v>
      </c>
      <c r="S202" s="16" t="s">
        <v>99</v>
      </c>
      <c r="T202" s="16" t="s">
        <v>85</v>
      </c>
      <c r="U202" s="16" t="s">
        <v>108</v>
      </c>
      <c r="V202" s="16" t="s">
        <v>103</v>
      </c>
      <c r="W202" s="16" t="s">
        <v>121</v>
      </c>
    </row>
    <row r="203" spans="1:23" x14ac:dyDescent="0.2">
      <c r="A203" s="9" t="s">
        <v>988</v>
      </c>
      <c r="B203" s="9">
        <f ca="1">+IF(A203=WORLDCUP!$BI$112,1,0)</f>
        <v>0</v>
      </c>
      <c r="C203" s="9" t="str">
        <f ca="1">+WORLDCUP!BD65</f>
        <v>Arabia Saudita</v>
      </c>
      <c r="D203" s="9" t="str">
        <f ca="1">+WORLDCUP!BD67</f>
        <v>Argelia</v>
      </c>
      <c r="E203" s="9" t="str">
        <f ca="1">+WORLDCUP!BD66</f>
        <v>Senegal</v>
      </c>
      <c r="F203" s="9" t="str">
        <f ca="1">+WORLDCUP!BD60</f>
        <v>Haití</v>
      </c>
      <c r="G203" s="9" t="str">
        <f ca="1">+WORLDCUP!BD58</f>
        <v>República Checa</v>
      </c>
      <c r="H203" s="9" t="str">
        <f ca="1">+WORLDCUP!BD64</f>
        <v>Egipto</v>
      </c>
      <c r="I203" s="9" t="str">
        <f ca="1">+WORLDCUP!BD69</f>
        <v>Ghana</v>
      </c>
      <c r="J203" s="9" t="str">
        <f ca="1">+WORLDCUP!BD68</f>
        <v>RD Congo</v>
      </c>
      <c r="N203" s="16" t="s">
        <v>988</v>
      </c>
      <c r="O203" s="16">
        <v>202</v>
      </c>
      <c r="P203" s="16" t="s">
        <v>117</v>
      </c>
      <c r="Q203" s="16" t="s">
        <v>126</v>
      </c>
      <c r="R203" s="16" t="s">
        <v>121</v>
      </c>
      <c r="S203" s="16" t="s">
        <v>94</v>
      </c>
      <c r="T203" s="16" t="s">
        <v>85</v>
      </c>
      <c r="U203" s="16" t="s">
        <v>112</v>
      </c>
      <c r="V203" s="16" t="s">
        <v>135</v>
      </c>
      <c r="W203" s="16" t="s">
        <v>130</v>
      </c>
    </row>
    <row r="204" spans="1:23" x14ac:dyDescent="0.2">
      <c r="A204" s="9" t="s">
        <v>989</v>
      </c>
      <c r="B204" s="9">
        <f ca="1">+IF(A204=WORLDCUP!$BI$112,1,0)</f>
        <v>0</v>
      </c>
      <c r="C204" s="9" t="str">
        <f ca="1">+WORLDCUP!BD65</f>
        <v>Arabia Saudita</v>
      </c>
      <c r="D204" s="9" t="str">
        <f ca="1">+WORLDCUP!BD67</f>
        <v>Argelia</v>
      </c>
      <c r="E204" s="9" t="str">
        <f ca="1">+WORLDCUP!BD66</f>
        <v>Senegal</v>
      </c>
      <c r="F204" s="9" t="str">
        <f ca="1">+WORLDCUP!BD60</f>
        <v>Haití</v>
      </c>
      <c r="G204" s="9" t="str">
        <f ca="1">+WORLDCUP!BD58</f>
        <v>República Checa</v>
      </c>
      <c r="H204" s="9" t="str">
        <f ca="1">+WORLDCUP!BD63</f>
        <v>Suecia</v>
      </c>
      <c r="I204" s="9" t="str">
        <f ca="1">+WORLDCUP!BD69</f>
        <v>Ghana</v>
      </c>
      <c r="J204" s="9" t="str">
        <f ca="1">+WORLDCUP!BD68</f>
        <v>RD Congo</v>
      </c>
      <c r="N204" s="16" t="s">
        <v>989</v>
      </c>
      <c r="O204" s="16">
        <v>203</v>
      </c>
      <c r="P204" s="16" t="s">
        <v>117</v>
      </c>
      <c r="Q204" s="16" t="s">
        <v>126</v>
      </c>
      <c r="R204" s="16" t="s">
        <v>121</v>
      </c>
      <c r="S204" s="16" t="s">
        <v>94</v>
      </c>
      <c r="T204" s="16" t="s">
        <v>85</v>
      </c>
      <c r="U204" s="16" t="s">
        <v>108</v>
      </c>
      <c r="V204" s="16" t="s">
        <v>135</v>
      </c>
      <c r="W204" s="16" t="s">
        <v>130</v>
      </c>
    </row>
    <row r="205" spans="1:23" x14ac:dyDescent="0.2">
      <c r="A205" s="9" t="s">
        <v>990</v>
      </c>
      <c r="B205" s="9">
        <f ca="1">+IF(A205=WORLDCUP!$BI$112,1,0)</f>
        <v>0</v>
      </c>
      <c r="C205" s="9" t="str">
        <f ca="1">+WORLDCUP!BD66</f>
        <v>Senegal</v>
      </c>
      <c r="D205" s="9" t="str">
        <f ca="1">+WORLDCUP!BD64</f>
        <v>Egipto</v>
      </c>
      <c r="E205" s="9" t="str">
        <f ca="1">+WORLDCUP!BD67</f>
        <v>Argelia</v>
      </c>
      <c r="F205" s="9" t="str">
        <f ca="1">+WORLDCUP!BD60</f>
        <v>Haití</v>
      </c>
      <c r="G205" s="9" t="str">
        <f ca="1">+WORLDCUP!BD58</f>
        <v>República Checa</v>
      </c>
      <c r="H205" s="9" t="str">
        <f ca="1">+WORLDCUP!BD63</f>
        <v>Suecia</v>
      </c>
      <c r="I205" s="9" t="str">
        <f ca="1">+WORLDCUP!BD69</f>
        <v>Ghana</v>
      </c>
      <c r="J205" s="9" t="str">
        <f ca="1">+WORLDCUP!BD68</f>
        <v>RD Congo</v>
      </c>
      <c r="N205" s="16" t="s">
        <v>990</v>
      </c>
      <c r="O205" s="16">
        <v>204</v>
      </c>
      <c r="P205" s="16" t="s">
        <v>121</v>
      </c>
      <c r="Q205" s="16" t="s">
        <v>112</v>
      </c>
      <c r="R205" s="16" t="s">
        <v>126</v>
      </c>
      <c r="S205" s="16" t="s">
        <v>94</v>
      </c>
      <c r="T205" s="16" t="s">
        <v>85</v>
      </c>
      <c r="U205" s="16" t="s">
        <v>108</v>
      </c>
      <c r="V205" s="16" t="s">
        <v>135</v>
      </c>
      <c r="W205" s="16" t="s">
        <v>130</v>
      </c>
    </row>
    <row r="206" spans="1:23" x14ac:dyDescent="0.2">
      <c r="A206" s="9" t="s">
        <v>991</v>
      </c>
      <c r="B206" s="9">
        <f ca="1">+IF(A206=WORLDCUP!$BI$112,1,0)</f>
        <v>0</v>
      </c>
      <c r="C206" s="9" t="str">
        <f ca="1">+WORLDCUP!BD65</f>
        <v>Arabia Saudita</v>
      </c>
      <c r="D206" s="9" t="str">
        <f ca="1">+WORLDCUP!BD64</f>
        <v>Egipto</v>
      </c>
      <c r="E206" s="9" t="str">
        <f ca="1">+WORLDCUP!BD67</f>
        <v>Argelia</v>
      </c>
      <c r="F206" s="9" t="str">
        <f ca="1">+WORLDCUP!BD60</f>
        <v>Haití</v>
      </c>
      <c r="G206" s="9" t="str">
        <f ca="1">+WORLDCUP!BD58</f>
        <v>República Checa</v>
      </c>
      <c r="H206" s="9" t="str">
        <f ca="1">+WORLDCUP!BD63</f>
        <v>Suecia</v>
      </c>
      <c r="I206" s="9" t="str">
        <f ca="1">+WORLDCUP!BD69</f>
        <v>Ghana</v>
      </c>
      <c r="J206" s="9" t="str">
        <f ca="1">+WORLDCUP!BD68</f>
        <v>RD Congo</v>
      </c>
      <c r="N206" s="16" t="s">
        <v>991</v>
      </c>
      <c r="O206" s="16">
        <v>205</v>
      </c>
      <c r="P206" s="16" t="s">
        <v>117</v>
      </c>
      <c r="Q206" s="16" t="s">
        <v>112</v>
      </c>
      <c r="R206" s="16" t="s">
        <v>126</v>
      </c>
      <c r="S206" s="16" t="s">
        <v>94</v>
      </c>
      <c r="T206" s="16" t="s">
        <v>85</v>
      </c>
      <c r="U206" s="16" t="s">
        <v>108</v>
      </c>
      <c r="V206" s="16" t="s">
        <v>135</v>
      </c>
      <c r="W206" s="16" t="s">
        <v>130</v>
      </c>
    </row>
    <row r="207" spans="1:23" x14ac:dyDescent="0.2">
      <c r="A207" s="9" t="s">
        <v>992</v>
      </c>
      <c r="B207" s="9">
        <f ca="1">+IF(A207=WORLDCUP!$BI$112,1,0)</f>
        <v>0</v>
      </c>
      <c r="C207" s="9" t="str">
        <f ca="1">+WORLDCUP!BD65</f>
        <v>Arabia Saudita</v>
      </c>
      <c r="D207" s="9" t="str">
        <f ca="1">+WORLDCUP!BD64</f>
        <v>Egipto</v>
      </c>
      <c r="E207" s="9" t="str">
        <f ca="1">+WORLDCUP!BD66</f>
        <v>Senegal</v>
      </c>
      <c r="F207" s="9" t="str">
        <f ca="1">+WORLDCUP!BD60</f>
        <v>Haití</v>
      </c>
      <c r="G207" s="9" t="str">
        <f ca="1">+WORLDCUP!BD58</f>
        <v>República Checa</v>
      </c>
      <c r="H207" s="9" t="str">
        <f ca="1">+WORLDCUP!BD63</f>
        <v>Suecia</v>
      </c>
      <c r="I207" s="9" t="str">
        <f ca="1">+WORLDCUP!BD69</f>
        <v>Ghana</v>
      </c>
      <c r="J207" s="9" t="str">
        <f ca="1">+WORLDCUP!BD68</f>
        <v>RD Congo</v>
      </c>
      <c r="N207" s="16" t="s">
        <v>992</v>
      </c>
      <c r="O207" s="16">
        <v>206</v>
      </c>
      <c r="P207" s="16" t="s">
        <v>117</v>
      </c>
      <c r="Q207" s="16" t="s">
        <v>112</v>
      </c>
      <c r="R207" s="16" t="s">
        <v>121</v>
      </c>
      <c r="S207" s="16" t="s">
        <v>94</v>
      </c>
      <c r="T207" s="16" t="s">
        <v>85</v>
      </c>
      <c r="U207" s="16" t="s">
        <v>108</v>
      </c>
      <c r="V207" s="16" t="s">
        <v>135</v>
      </c>
      <c r="W207" s="16" t="s">
        <v>130</v>
      </c>
    </row>
    <row r="208" spans="1:23" x14ac:dyDescent="0.2">
      <c r="A208" s="9" t="s">
        <v>993</v>
      </c>
      <c r="B208" s="9">
        <f ca="1">+IF(A208=WORLDCUP!$BI$112,1,0)</f>
        <v>0</v>
      </c>
      <c r="C208" s="9" t="str">
        <f ca="1">+WORLDCUP!BD65</f>
        <v>Arabia Saudita</v>
      </c>
      <c r="D208" s="9" t="str">
        <f ca="1">+WORLDCUP!BD64</f>
        <v>Egipto</v>
      </c>
      <c r="E208" s="9" t="str">
        <f ca="1">+WORLDCUP!BD67</f>
        <v>Argelia</v>
      </c>
      <c r="F208" s="9" t="str">
        <f ca="1">+WORLDCUP!BD60</f>
        <v>Haití</v>
      </c>
      <c r="G208" s="9" t="str">
        <f ca="1">+WORLDCUP!BD58</f>
        <v>República Checa</v>
      </c>
      <c r="H208" s="9" t="str">
        <f ca="1">+WORLDCUP!BD63</f>
        <v>Suecia</v>
      </c>
      <c r="I208" s="9" t="str">
        <f ca="1">+WORLDCUP!BD69</f>
        <v>Ghana</v>
      </c>
      <c r="J208" s="9" t="str">
        <f ca="1">+WORLDCUP!BD66</f>
        <v>Senegal</v>
      </c>
      <c r="N208" s="16" t="s">
        <v>993</v>
      </c>
      <c r="O208" s="16">
        <v>207</v>
      </c>
      <c r="P208" s="16" t="s">
        <v>117</v>
      </c>
      <c r="Q208" s="16" t="s">
        <v>112</v>
      </c>
      <c r="R208" s="16" t="s">
        <v>126</v>
      </c>
      <c r="S208" s="16" t="s">
        <v>94</v>
      </c>
      <c r="T208" s="16" t="s">
        <v>85</v>
      </c>
      <c r="U208" s="16" t="s">
        <v>108</v>
      </c>
      <c r="V208" s="16" t="s">
        <v>135</v>
      </c>
      <c r="W208" s="16" t="s">
        <v>121</v>
      </c>
    </row>
    <row r="209" spans="1:23" x14ac:dyDescent="0.2">
      <c r="A209" s="9" t="s">
        <v>994</v>
      </c>
      <c r="B209" s="9">
        <f ca="1">+IF(A209=WORLDCUP!$BI$112,1,0)</f>
        <v>0</v>
      </c>
      <c r="C209" s="9" t="str">
        <f ca="1">+WORLDCUP!BD65</f>
        <v>Arabia Saudita</v>
      </c>
      <c r="D209" s="9" t="str">
        <f ca="1">+WORLDCUP!BD64</f>
        <v>Egipto</v>
      </c>
      <c r="E209" s="9" t="str">
        <f ca="1">+WORLDCUP!BD67</f>
        <v>Argelia</v>
      </c>
      <c r="F209" s="9" t="str">
        <f ca="1">+WORLDCUP!BD60</f>
        <v>Haití</v>
      </c>
      <c r="G209" s="9" t="str">
        <f ca="1">+WORLDCUP!BD58</f>
        <v>República Checa</v>
      </c>
      <c r="H209" s="9" t="str">
        <f ca="1">+WORLDCUP!BD63</f>
        <v>Suecia</v>
      </c>
      <c r="I209" s="9" t="str">
        <f ca="1">+WORLDCUP!BD66</f>
        <v>Senegal</v>
      </c>
      <c r="J209" s="9" t="str">
        <f ca="1">+WORLDCUP!BD68</f>
        <v>RD Congo</v>
      </c>
      <c r="N209" s="16" t="s">
        <v>994</v>
      </c>
      <c r="O209" s="16">
        <v>208</v>
      </c>
      <c r="P209" s="16" t="s">
        <v>117</v>
      </c>
      <c r="Q209" s="16" t="s">
        <v>112</v>
      </c>
      <c r="R209" s="16" t="s">
        <v>126</v>
      </c>
      <c r="S209" s="16" t="s">
        <v>94</v>
      </c>
      <c r="T209" s="16" t="s">
        <v>85</v>
      </c>
      <c r="U209" s="16" t="s">
        <v>108</v>
      </c>
      <c r="V209" s="16" t="s">
        <v>121</v>
      </c>
      <c r="W209" s="16" t="s">
        <v>130</v>
      </c>
    </row>
    <row r="210" spans="1:23" x14ac:dyDescent="0.2">
      <c r="A210" s="9" t="s">
        <v>995</v>
      </c>
      <c r="B210" s="9">
        <f ca="1">+IF(A210=WORLDCUP!$BI$112,1,0)</f>
        <v>0</v>
      </c>
      <c r="C210" s="9" t="str">
        <f ca="1">+WORLDCUP!BD62</f>
        <v>Curazao</v>
      </c>
      <c r="D210" s="9" t="str">
        <f ca="1">+WORLDCUP!BD67</f>
        <v>Argelia</v>
      </c>
      <c r="E210" s="9" t="str">
        <f ca="1">+WORLDCUP!BD66</f>
        <v>Senegal</v>
      </c>
      <c r="F210" s="9" t="str">
        <f ca="1">+WORLDCUP!BD60</f>
        <v>Haití</v>
      </c>
      <c r="G210" s="9" t="str">
        <f ca="1">+WORLDCUP!BD58</f>
        <v>República Checa</v>
      </c>
      <c r="H210" s="9" t="str">
        <f ca="1">+WORLDCUP!BD65</f>
        <v>Arabia Saudita</v>
      </c>
      <c r="I210" s="9" t="str">
        <f ca="1">+WORLDCUP!BD69</f>
        <v>Ghana</v>
      </c>
      <c r="J210" s="9" t="str">
        <f ca="1">+WORLDCUP!BD68</f>
        <v>RD Congo</v>
      </c>
      <c r="N210" s="16" t="s">
        <v>995</v>
      </c>
      <c r="O210" s="16">
        <v>209</v>
      </c>
      <c r="P210" s="16" t="s">
        <v>103</v>
      </c>
      <c r="Q210" s="16" t="s">
        <v>126</v>
      </c>
      <c r="R210" s="16" t="s">
        <v>121</v>
      </c>
      <c r="S210" s="16" t="s">
        <v>94</v>
      </c>
      <c r="T210" s="16" t="s">
        <v>85</v>
      </c>
      <c r="U210" s="16" t="s">
        <v>117</v>
      </c>
      <c r="V210" s="16" t="s">
        <v>135</v>
      </c>
      <c r="W210" s="16" t="s">
        <v>130</v>
      </c>
    </row>
    <row r="211" spans="1:23" x14ac:dyDescent="0.2">
      <c r="A211" s="9" t="s">
        <v>996</v>
      </c>
      <c r="B211" s="9">
        <f ca="1">+IF(A211=WORLDCUP!$BI$112,1,0)</f>
        <v>0</v>
      </c>
      <c r="C211" s="9" t="str">
        <f ca="1">+WORLDCUP!BD62</f>
        <v>Curazao</v>
      </c>
      <c r="D211" s="9" t="str">
        <f ca="1">+WORLDCUP!BD67</f>
        <v>Argelia</v>
      </c>
      <c r="E211" s="9" t="str">
        <f ca="1">+WORLDCUP!BD66</f>
        <v>Senegal</v>
      </c>
      <c r="F211" s="9" t="str">
        <f ca="1">+WORLDCUP!BD60</f>
        <v>Haití</v>
      </c>
      <c r="G211" s="9" t="str">
        <f ca="1">+WORLDCUP!BD58</f>
        <v>República Checa</v>
      </c>
      <c r="H211" s="9" t="str">
        <f ca="1">+WORLDCUP!BD64</f>
        <v>Egipto</v>
      </c>
      <c r="I211" s="9" t="str">
        <f ca="1">+WORLDCUP!BD69</f>
        <v>Ghana</v>
      </c>
      <c r="J211" s="9" t="str">
        <f ca="1">+WORLDCUP!BD68</f>
        <v>RD Congo</v>
      </c>
      <c r="N211" s="16" t="s">
        <v>996</v>
      </c>
      <c r="O211" s="16">
        <v>210</v>
      </c>
      <c r="P211" s="16" t="s">
        <v>103</v>
      </c>
      <c r="Q211" s="16" t="s">
        <v>126</v>
      </c>
      <c r="R211" s="16" t="s">
        <v>121</v>
      </c>
      <c r="S211" s="16" t="s">
        <v>94</v>
      </c>
      <c r="T211" s="16" t="s">
        <v>85</v>
      </c>
      <c r="U211" s="16" t="s">
        <v>112</v>
      </c>
      <c r="V211" s="16" t="s">
        <v>135</v>
      </c>
      <c r="W211" s="16" t="s">
        <v>130</v>
      </c>
    </row>
    <row r="212" spans="1:23" x14ac:dyDescent="0.2">
      <c r="A212" s="9" t="s">
        <v>997</v>
      </c>
      <c r="B212" s="9">
        <f ca="1">+IF(A212=WORLDCUP!$BI$112,1,0)</f>
        <v>0</v>
      </c>
      <c r="C212" s="9" t="str">
        <f ca="1">+WORLDCUP!BD62</f>
        <v>Curazao</v>
      </c>
      <c r="D212" s="9" t="str">
        <f ca="1">+WORLDCUP!BD64</f>
        <v>Egipto</v>
      </c>
      <c r="E212" s="9" t="str">
        <f ca="1">+WORLDCUP!BD67</f>
        <v>Argelia</v>
      </c>
      <c r="F212" s="9" t="str">
        <f ca="1">+WORLDCUP!BD60</f>
        <v>Haití</v>
      </c>
      <c r="G212" s="9" t="str">
        <f ca="1">+WORLDCUP!BD58</f>
        <v>República Checa</v>
      </c>
      <c r="H212" s="9" t="str">
        <f ca="1">+WORLDCUP!BD65</f>
        <v>Arabia Saudita</v>
      </c>
      <c r="I212" s="9" t="str">
        <f ca="1">+WORLDCUP!BD69</f>
        <v>Ghana</v>
      </c>
      <c r="J212" s="9" t="str">
        <f ca="1">+WORLDCUP!BD68</f>
        <v>RD Congo</v>
      </c>
      <c r="N212" s="16" t="s">
        <v>997</v>
      </c>
      <c r="O212" s="16">
        <v>211</v>
      </c>
      <c r="P212" s="16" t="s">
        <v>103</v>
      </c>
      <c r="Q212" s="16" t="s">
        <v>112</v>
      </c>
      <c r="R212" s="16" t="s">
        <v>126</v>
      </c>
      <c r="S212" s="16" t="s">
        <v>94</v>
      </c>
      <c r="T212" s="16" t="s">
        <v>85</v>
      </c>
      <c r="U212" s="16" t="s">
        <v>117</v>
      </c>
      <c r="V212" s="16" t="s">
        <v>135</v>
      </c>
      <c r="W212" s="16" t="s">
        <v>130</v>
      </c>
    </row>
    <row r="213" spans="1:23" x14ac:dyDescent="0.2">
      <c r="A213" s="9" t="s">
        <v>998</v>
      </c>
      <c r="B213" s="9">
        <f ca="1">+IF(A213=WORLDCUP!$BI$112,1,0)</f>
        <v>0</v>
      </c>
      <c r="C213" s="9" t="str">
        <f ca="1">+WORLDCUP!BD62</f>
        <v>Curazao</v>
      </c>
      <c r="D213" s="9" t="str">
        <f ca="1">+WORLDCUP!BD64</f>
        <v>Egipto</v>
      </c>
      <c r="E213" s="9" t="str">
        <f ca="1">+WORLDCUP!BD66</f>
        <v>Senegal</v>
      </c>
      <c r="F213" s="9" t="str">
        <f ca="1">+WORLDCUP!BD60</f>
        <v>Haití</v>
      </c>
      <c r="G213" s="9" t="str">
        <f ca="1">+WORLDCUP!BD58</f>
        <v>República Checa</v>
      </c>
      <c r="H213" s="9" t="str">
        <f ca="1">+WORLDCUP!BD65</f>
        <v>Arabia Saudita</v>
      </c>
      <c r="I213" s="9" t="str">
        <f ca="1">+WORLDCUP!BD69</f>
        <v>Ghana</v>
      </c>
      <c r="J213" s="9" t="str">
        <f ca="1">+WORLDCUP!BD68</f>
        <v>RD Congo</v>
      </c>
      <c r="N213" s="16" t="s">
        <v>998</v>
      </c>
      <c r="O213" s="16">
        <v>212</v>
      </c>
      <c r="P213" s="16" t="s">
        <v>103</v>
      </c>
      <c r="Q213" s="16" t="s">
        <v>112</v>
      </c>
      <c r="R213" s="16" t="s">
        <v>121</v>
      </c>
      <c r="S213" s="16" t="s">
        <v>94</v>
      </c>
      <c r="T213" s="16" t="s">
        <v>85</v>
      </c>
      <c r="U213" s="16" t="s">
        <v>117</v>
      </c>
      <c r="V213" s="16" t="s">
        <v>135</v>
      </c>
      <c r="W213" s="16" t="s">
        <v>130</v>
      </c>
    </row>
    <row r="214" spans="1:23" x14ac:dyDescent="0.2">
      <c r="A214" s="9" t="s">
        <v>999</v>
      </c>
      <c r="B214" s="9">
        <f ca="1">+IF(A214=WORLDCUP!$BI$112,1,0)</f>
        <v>0</v>
      </c>
      <c r="C214" s="9" t="str">
        <f ca="1">+WORLDCUP!BD62</f>
        <v>Curazao</v>
      </c>
      <c r="D214" s="9" t="str">
        <f ca="1">+WORLDCUP!BD64</f>
        <v>Egipto</v>
      </c>
      <c r="E214" s="9" t="str">
        <f ca="1">+WORLDCUP!BD67</f>
        <v>Argelia</v>
      </c>
      <c r="F214" s="9" t="str">
        <f ca="1">+WORLDCUP!BD60</f>
        <v>Haití</v>
      </c>
      <c r="G214" s="9" t="str">
        <f ca="1">+WORLDCUP!BD58</f>
        <v>República Checa</v>
      </c>
      <c r="H214" s="9" t="str">
        <f ca="1">+WORLDCUP!BD65</f>
        <v>Arabia Saudita</v>
      </c>
      <c r="I214" s="9" t="str">
        <f ca="1">+WORLDCUP!BD69</f>
        <v>Ghana</v>
      </c>
      <c r="J214" s="9" t="str">
        <f ca="1">+WORLDCUP!BD66</f>
        <v>Senegal</v>
      </c>
      <c r="N214" s="16" t="s">
        <v>999</v>
      </c>
      <c r="O214" s="16">
        <v>213</v>
      </c>
      <c r="P214" s="16" t="s">
        <v>103</v>
      </c>
      <c r="Q214" s="16" t="s">
        <v>112</v>
      </c>
      <c r="R214" s="16" t="s">
        <v>126</v>
      </c>
      <c r="S214" s="16" t="s">
        <v>94</v>
      </c>
      <c r="T214" s="16" t="s">
        <v>85</v>
      </c>
      <c r="U214" s="16" t="s">
        <v>117</v>
      </c>
      <c r="V214" s="16" t="s">
        <v>135</v>
      </c>
      <c r="W214" s="16" t="s">
        <v>121</v>
      </c>
    </row>
    <row r="215" spans="1:23" x14ac:dyDescent="0.2">
      <c r="A215" s="9" t="s">
        <v>1000</v>
      </c>
      <c r="B215" s="9">
        <f ca="1">+IF(A215=WORLDCUP!$BI$112,1,0)</f>
        <v>0</v>
      </c>
      <c r="C215" s="9" t="str">
        <f ca="1">+WORLDCUP!BD62</f>
        <v>Curazao</v>
      </c>
      <c r="D215" s="9" t="str">
        <f ca="1">+WORLDCUP!BD64</f>
        <v>Egipto</v>
      </c>
      <c r="E215" s="9" t="str">
        <f ca="1">+WORLDCUP!BD67</f>
        <v>Argelia</v>
      </c>
      <c r="F215" s="9" t="str">
        <f ca="1">+WORLDCUP!BD60</f>
        <v>Haití</v>
      </c>
      <c r="G215" s="9" t="str">
        <f ca="1">+WORLDCUP!BD58</f>
        <v>República Checa</v>
      </c>
      <c r="H215" s="9" t="str">
        <f ca="1">+WORLDCUP!BD65</f>
        <v>Arabia Saudita</v>
      </c>
      <c r="I215" s="9" t="str">
        <f ca="1">+WORLDCUP!BD66</f>
        <v>Senegal</v>
      </c>
      <c r="J215" s="9" t="str">
        <f ca="1">+WORLDCUP!BD68</f>
        <v>RD Congo</v>
      </c>
      <c r="N215" s="16" t="s">
        <v>1000</v>
      </c>
      <c r="O215" s="16">
        <v>214</v>
      </c>
      <c r="P215" s="16" t="s">
        <v>103</v>
      </c>
      <c r="Q215" s="16" t="s">
        <v>112</v>
      </c>
      <c r="R215" s="16" t="s">
        <v>126</v>
      </c>
      <c r="S215" s="16" t="s">
        <v>94</v>
      </c>
      <c r="T215" s="16" t="s">
        <v>85</v>
      </c>
      <c r="U215" s="16" t="s">
        <v>117</v>
      </c>
      <c r="V215" s="16" t="s">
        <v>121</v>
      </c>
      <c r="W215" s="16" t="s">
        <v>130</v>
      </c>
    </row>
    <row r="216" spans="1:23" x14ac:dyDescent="0.2">
      <c r="A216" s="9" t="s">
        <v>1001</v>
      </c>
      <c r="B216" s="9">
        <f ca="1">+IF(A216=WORLDCUP!$BI$112,1,0)</f>
        <v>0</v>
      </c>
      <c r="C216" s="9" t="str">
        <f ca="1">+WORLDCUP!BD62</f>
        <v>Curazao</v>
      </c>
      <c r="D216" s="9" t="str">
        <f ca="1">+WORLDCUP!BD67</f>
        <v>Argelia</v>
      </c>
      <c r="E216" s="9" t="str">
        <f ca="1">+WORLDCUP!BD66</f>
        <v>Senegal</v>
      </c>
      <c r="F216" s="9" t="str">
        <f ca="1">+WORLDCUP!BD60</f>
        <v>Haití</v>
      </c>
      <c r="G216" s="9" t="str">
        <f ca="1">+WORLDCUP!BD58</f>
        <v>República Checa</v>
      </c>
      <c r="H216" s="9" t="str">
        <f ca="1">+WORLDCUP!BD63</f>
        <v>Suecia</v>
      </c>
      <c r="I216" s="9" t="str">
        <f ca="1">+WORLDCUP!BD69</f>
        <v>Ghana</v>
      </c>
      <c r="J216" s="9" t="str">
        <f ca="1">+WORLDCUP!BD68</f>
        <v>RD Congo</v>
      </c>
      <c r="N216" s="16" t="s">
        <v>1001</v>
      </c>
      <c r="O216" s="16">
        <v>215</v>
      </c>
      <c r="P216" s="16" t="s">
        <v>103</v>
      </c>
      <c r="Q216" s="16" t="s">
        <v>126</v>
      </c>
      <c r="R216" s="16" t="s">
        <v>121</v>
      </c>
      <c r="S216" s="16" t="s">
        <v>94</v>
      </c>
      <c r="T216" s="16" t="s">
        <v>85</v>
      </c>
      <c r="U216" s="16" t="s">
        <v>108</v>
      </c>
      <c r="V216" s="16" t="s">
        <v>135</v>
      </c>
      <c r="W216" s="16" t="s">
        <v>130</v>
      </c>
    </row>
    <row r="217" spans="1:23" x14ac:dyDescent="0.2">
      <c r="A217" s="9" t="s">
        <v>1002</v>
      </c>
      <c r="B217" s="9">
        <f ca="1">+IF(A217=WORLDCUP!$BI$112,1,0)</f>
        <v>0</v>
      </c>
      <c r="C217" s="9" t="str">
        <f ca="1">+WORLDCUP!BD65</f>
        <v>Arabia Saudita</v>
      </c>
      <c r="D217" s="9" t="str">
        <f ca="1">+WORLDCUP!BD67</f>
        <v>Argelia</v>
      </c>
      <c r="E217" s="9" t="str">
        <f ca="1">+WORLDCUP!BD62</f>
        <v>Curazao</v>
      </c>
      <c r="F217" s="9" t="str">
        <f ca="1">+WORLDCUP!BD60</f>
        <v>Haití</v>
      </c>
      <c r="G217" s="9" t="str">
        <f ca="1">+WORLDCUP!BD58</f>
        <v>República Checa</v>
      </c>
      <c r="H217" s="9" t="str">
        <f ca="1">+WORLDCUP!BD63</f>
        <v>Suecia</v>
      </c>
      <c r="I217" s="9" t="str">
        <f ca="1">+WORLDCUP!BD69</f>
        <v>Ghana</v>
      </c>
      <c r="J217" s="9" t="str">
        <f ca="1">+WORLDCUP!BD68</f>
        <v>RD Congo</v>
      </c>
      <c r="N217" s="16" t="s">
        <v>1002</v>
      </c>
      <c r="O217" s="16">
        <v>216</v>
      </c>
      <c r="P217" s="16" t="s">
        <v>117</v>
      </c>
      <c r="Q217" s="16" t="s">
        <v>126</v>
      </c>
      <c r="R217" s="16" t="s">
        <v>103</v>
      </c>
      <c r="S217" s="16" t="s">
        <v>94</v>
      </c>
      <c r="T217" s="16" t="s">
        <v>85</v>
      </c>
      <c r="U217" s="16" t="s">
        <v>108</v>
      </c>
      <c r="V217" s="16" t="s">
        <v>135</v>
      </c>
      <c r="W217" s="16" t="s">
        <v>130</v>
      </c>
    </row>
    <row r="218" spans="1:23" x14ac:dyDescent="0.2">
      <c r="A218" s="9" t="s">
        <v>1003</v>
      </c>
      <c r="B218" s="9">
        <f ca="1">+IF(A218=WORLDCUP!$BI$112,1,0)</f>
        <v>0</v>
      </c>
      <c r="C218" s="9" t="str">
        <f ca="1">+WORLDCUP!BD65</f>
        <v>Arabia Saudita</v>
      </c>
      <c r="D218" s="9" t="str">
        <f ca="1">+WORLDCUP!BD62</f>
        <v>Curazao</v>
      </c>
      <c r="E218" s="9" t="str">
        <f ca="1">+WORLDCUP!BD66</f>
        <v>Senegal</v>
      </c>
      <c r="F218" s="9" t="str">
        <f ca="1">+WORLDCUP!BD60</f>
        <v>Haití</v>
      </c>
      <c r="G218" s="9" t="str">
        <f ca="1">+WORLDCUP!BD58</f>
        <v>República Checa</v>
      </c>
      <c r="H218" s="9" t="str">
        <f ca="1">+WORLDCUP!BD63</f>
        <v>Suecia</v>
      </c>
      <c r="I218" s="9" t="str">
        <f ca="1">+WORLDCUP!BD69</f>
        <v>Ghana</v>
      </c>
      <c r="J218" s="9" t="str">
        <f ca="1">+WORLDCUP!BD68</f>
        <v>RD Congo</v>
      </c>
      <c r="N218" s="16" t="s">
        <v>1003</v>
      </c>
      <c r="O218" s="16">
        <v>217</v>
      </c>
      <c r="P218" s="16" t="s">
        <v>117</v>
      </c>
      <c r="Q218" s="16" t="s">
        <v>103</v>
      </c>
      <c r="R218" s="16" t="s">
        <v>121</v>
      </c>
      <c r="S218" s="16" t="s">
        <v>94</v>
      </c>
      <c r="T218" s="16" t="s">
        <v>85</v>
      </c>
      <c r="U218" s="16" t="s">
        <v>108</v>
      </c>
      <c r="V218" s="16" t="s">
        <v>135</v>
      </c>
      <c r="W218" s="16" t="s">
        <v>130</v>
      </c>
    </row>
    <row r="219" spans="1:23" x14ac:dyDescent="0.2">
      <c r="A219" s="9" t="s">
        <v>1004</v>
      </c>
      <c r="B219" s="9">
        <f ca="1">+IF(A219=WORLDCUP!$BI$112,1,0)</f>
        <v>0</v>
      </c>
      <c r="C219" s="9" t="str">
        <f ca="1">+WORLDCUP!BD65</f>
        <v>Arabia Saudita</v>
      </c>
      <c r="D219" s="9" t="str">
        <f ca="1">+WORLDCUP!BD67</f>
        <v>Argelia</v>
      </c>
      <c r="E219" s="9" t="str">
        <f ca="1">+WORLDCUP!BD62</f>
        <v>Curazao</v>
      </c>
      <c r="F219" s="9" t="str">
        <f ca="1">+WORLDCUP!BD60</f>
        <v>Haití</v>
      </c>
      <c r="G219" s="9" t="str">
        <f ca="1">+WORLDCUP!BD58</f>
        <v>República Checa</v>
      </c>
      <c r="H219" s="9" t="str">
        <f ca="1">+WORLDCUP!BD63</f>
        <v>Suecia</v>
      </c>
      <c r="I219" s="9" t="str">
        <f ca="1">+WORLDCUP!BD69</f>
        <v>Ghana</v>
      </c>
      <c r="J219" s="9" t="str">
        <f ca="1">+WORLDCUP!BD66</f>
        <v>Senegal</v>
      </c>
      <c r="N219" s="16" t="s">
        <v>1004</v>
      </c>
      <c r="O219" s="16">
        <v>218</v>
      </c>
      <c r="P219" s="16" t="s">
        <v>117</v>
      </c>
      <c r="Q219" s="16" t="s">
        <v>126</v>
      </c>
      <c r="R219" s="16" t="s">
        <v>103</v>
      </c>
      <c r="S219" s="16" t="s">
        <v>94</v>
      </c>
      <c r="T219" s="16" t="s">
        <v>85</v>
      </c>
      <c r="U219" s="16" t="s">
        <v>108</v>
      </c>
      <c r="V219" s="16" t="s">
        <v>135</v>
      </c>
      <c r="W219" s="16" t="s">
        <v>121</v>
      </c>
    </row>
    <row r="220" spans="1:23" x14ac:dyDescent="0.2">
      <c r="A220" s="9" t="s">
        <v>1005</v>
      </c>
      <c r="B220" s="9">
        <f ca="1">+IF(A220=WORLDCUP!$BI$112,1,0)</f>
        <v>0</v>
      </c>
      <c r="C220" s="9" t="str">
        <f ca="1">+WORLDCUP!BD65</f>
        <v>Arabia Saudita</v>
      </c>
      <c r="D220" s="9" t="str">
        <f ca="1">+WORLDCUP!BD67</f>
        <v>Argelia</v>
      </c>
      <c r="E220" s="9" t="str">
        <f ca="1">+WORLDCUP!BD62</f>
        <v>Curazao</v>
      </c>
      <c r="F220" s="9" t="str">
        <f ca="1">+WORLDCUP!BD60</f>
        <v>Haití</v>
      </c>
      <c r="G220" s="9" t="str">
        <f ca="1">+WORLDCUP!BD58</f>
        <v>República Checa</v>
      </c>
      <c r="H220" s="9" t="str">
        <f ca="1">+WORLDCUP!BD63</f>
        <v>Suecia</v>
      </c>
      <c r="I220" s="9" t="str">
        <f ca="1">+WORLDCUP!BD66</f>
        <v>Senegal</v>
      </c>
      <c r="J220" s="9" t="str">
        <f ca="1">+WORLDCUP!BD68</f>
        <v>RD Congo</v>
      </c>
      <c r="N220" s="16" t="s">
        <v>1005</v>
      </c>
      <c r="O220" s="16">
        <v>219</v>
      </c>
      <c r="P220" s="16" t="s">
        <v>117</v>
      </c>
      <c r="Q220" s="16" t="s">
        <v>126</v>
      </c>
      <c r="R220" s="16" t="s">
        <v>103</v>
      </c>
      <c r="S220" s="16" t="s">
        <v>94</v>
      </c>
      <c r="T220" s="16" t="s">
        <v>85</v>
      </c>
      <c r="U220" s="16" t="s">
        <v>108</v>
      </c>
      <c r="V220" s="16" t="s">
        <v>121</v>
      </c>
      <c r="W220" s="16" t="s">
        <v>130</v>
      </c>
    </row>
    <row r="221" spans="1:23" x14ac:dyDescent="0.2">
      <c r="A221" s="9" t="s">
        <v>1006</v>
      </c>
      <c r="B221" s="9">
        <f ca="1">+IF(A221=WORLDCUP!$BI$112,1,0)</f>
        <v>0</v>
      </c>
      <c r="C221" s="9" t="str">
        <f ca="1">+WORLDCUP!BD62</f>
        <v>Curazao</v>
      </c>
      <c r="D221" s="9" t="str">
        <f ca="1">+WORLDCUP!BD64</f>
        <v>Egipto</v>
      </c>
      <c r="E221" s="9" t="str">
        <f ca="1">+WORLDCUP!BD67</f>
        <v>Argelia</v>
      </c>
      <c r="F221" s="9" t="str">
        <f ca="1">+WORLDCUP!BD60</f>
        <v>Haití</v>
      </c>
      <c r="G221" s="9" t="str">
        <f ca="1">+WORLDCUP!BD58</f>
        <v>República Checa</v>
      </c>
      <c r="H221" s="9" t="str">
        <f ca="1">+WORLDCUP!BD63</f>
        <v>Suecia</v>
      </c>
      <c r="I221" s="9" t="str">
        <f ca="1">+WORLDCUP!BD69</f>
        <v>Ghana</v>
      </c>
      <c r="J221" s="9" t="str">
        <f ca="1">+WORLDCUP!BD68</f>
        <v>RD Congo</v>
      </c>
      <c r="N221" s="16" t="s">
        <v>1006</v>
      </c>
      <c r="O221" s="16">
        <v>220</v>
      </c>
      <c r="P221" s="16" t="s">
        <v>103</v>
      </c>
      <c r="Q221" s="16" t="s">
        <v>112</v>
      </c>
      <c r="R221" s="16" t="s">
        <v>126</v>
      </c>
      <c r="S221" s="16" t="s">
        <v>94</v>
      </c>
      <c r="T221" s="16" t="s">
        <v>85</v>
      </c>
      <c r="U221" s="16" t="s">
        <v>108</v>
      </c>
      <c r="V221" s="16" t="s">
        <v>135</v>
      </c>
      <c r="W221" s="16" t="s">
        <v>130</v>
      </c>
    </row>
    <row r="222" spans="1:23" x14ac:dyDescent="0.2">
      <c r="A222" s="9" t="s">
        <v>1007</v>
      </c>
      <c r="B222" s="9">
        <f ca="1">+IF(A222=WORLDCUP!$BI$112,1,0)</f>
        <v>0</v>
      </c>
      <c r="C222" s="9" t="str">
        <f ca="1">+WORLDCUP!BD62</f>
        <v>Curazao</v>
      </c>
      <c r="D222" s="9" t="str">
        <f ca="1">+WORLDCUP!BD64</f>
        <v>Egipto</v>
      </c>
      <c r="E222" s="9" t="str">
        <f ca="1">+WORLDCUP!BD66</f>
        <v>Senegal</v>
      </c>
      <c r="F222" s="9" t="str">
        <f ca="1">+WORLDCUP!BD60</f>
        <v>Haití</v>
      </c>
      <c r="G222" s="9" t="str">
        <f ca="1">+WORLDCUP!BD58</f>
        <v>República Checa</v>
      </c>
      <c r="H222" s="9" t="str">
        <f ca="1">+WORLDCUP!BD63</f>
        <v>Suecia</v>
      </c>
      <c r="I222" s="9" t="str">
        <f ca="1">+WORLDCUP!BD69</f>
        <v>Ghana</v>
      </c>
      <c r="J222" s="9" t="str">
        <f ca="1">+WORLDCUP!BD68</f>
        <v>RD Congo</v>
      </c>
      <c r="N222" s="16" t="s">
        <v>1007</v>
      </c>
      <c r="O222" s="16">
        <v>221</v>
      </c>
      <c r="P222" s="16" t="s">
        <v>103</v>
      </c>
      <c r="Q222" s="16" t="s">
        <v>112</v>
      </c>
      <c r="R222" s="16" t="s">
        <v>121</v>
      </c>
      <c r="S222" s="16" t="s">
        <v>94</v>
      </c>
      <c r="T222" s="16" t="s">
        <v>85</v>
      </c>
      <c r="U222" s="16" t="s">
        <v>108</v>
      </c>
      <c r="V222" s="16" t="s">
        <v>135</v>
      </c>
      <c r="W222" s="16" t="s">
        <v>130</v>
      </c>
    </row>
    <row r="223" spans="1:23" x14ac:dyDescent="0.2">
      <c r="A223" s="9" t="s">
        <v>1008</v>
      </c>
      <c r="B223" s="9">
        <f ca="1">+IF(A223=WORLDCUP!$BI$112,1,0)</f>
        <v>0</v>
      </c>
      <c r="C223" s="9" t="str">
        <f ca="1">+WORLDCUP!BD62</f>
        <v>Curazao</v>
      </c>
      <c r="D223" s="9" t="str">
        <f ca="1">+WORLDCUP!BD64</f>
        <v>Egipto</v>
      </c>
      <c r="E223" s="9" t="str">
        <f ca="1">+WORLDCUP!BD67</f>
        <v>Argelia</v>
      </c>
      <c r="F223" s="9" t="str">
        <f ca="1">+WORLDCUP!BD60</f>
        <v>Haití</v>
      </c>
      <c r="G223" s="9" t="str">
        <f ca="1">+WORLDCUP!BD58</f>
        <v>República Checa</v>
      </c>
      <c r="H223" s="9" t="str">
        <f ca="1">+WORLDCUP!BD63</f>
        <v>Suecia</v>
      </c>
      <c r="I223" s="9" t="str">
        <f ca="1">+WORLDCUP!BD69</f>
        <v>Ghana</v>
      </c>
      <c r="J223" s="9" t="str">
        <f ca="1">+WORLDCUP!BD66</f>
        <v>Senegal</v>
      </c>
      <c r="N223" s="16" t="s">
        <v>1008</v>
      </c>
      <c r="O223" s="16">
        <v>222</v>
      </c>
      <c r="P223" s="16" t="s">
        <v>103</v>
      </c>
      <c r="Q223" s="16" t="s">
        <v>112</v>
      </c>
      <c r="R223" s="16" t="s">
        <v>126</v>
      </c>
      <c r="S223" s="16" t="s">
        <v>94</v>
      </c>
      <c r="T223" s="16" t="s">
        <v>85</v>
      </c>
      <c r="U223" s="16" t="s">
        <v>108</v>
      </c>
      <c r="V223" s="16" t="s">
        <v>135</v>
      </c>
      <c r="W223" s="16" t="s">
        <v>121</v>
      </c>
    </row>
    <row r="224" spans="1:23" x14ac:dyDescent="0.2">
      <c r="A224" s="9" t="s">
        <v>1009</v>
      </c>
      <c r="B224" s="9">
        <f ca="1">+IF(A224=WORLDCUP!$BI$112,1,0)</f>
        <v>0</v>
      </c>
      <c r="C224" s="9" t="str">
        <f ca="1">+WORLDCUP!BD62</f>
        <v>Curazao</v>
      </c>
      <c r="D224" s="9" t="str">
        <f ca="1">+WORLDCUP!BD64</f>
        <v>Egipto</v>
      </c>
      <c r="E224" s="9" t="str">
        <f ca="1">+WORLDCUP!BD67</f>
        <v>Argelia</v>
      </c>
      <c r="F224" s="9" t="str">
        <f ca="1">+WORLDCUP!BD60</f>
        <v>Haití</v>
      </c>
      <c r="G224" s="9" t="str">
        <f ca="1">+WORLDCUP!BD58</f>
        <v>República Checa</v>
      </c>
      <c r="H224" s="9" t="str">
        <f ca="1">+WORLDCUP!BD63</f>
        <v>Suecia</v>
      </c>
      <c r="I224" s="9" t="str">
        <f ca="1">+WORLDCUP!BD66</f>
        <v>Senegal</v>
      </c>
      <c r="J224" s="9" t="str">
        <f ca="1">+WORLDCUP!BD68</f>
        <v>RD Congo</v>
      </c>
      <c r="N224" s="16" t="s">
        <v>1009</v>
      </c>
      <c r="O224" s="16">
        <v>223</v>
      </c>
      <c r="P224" s="16" t="s">
        <v>103</v>
      </c>
      <c r="Q224" s="16" t="s">
        <v>112</v>
      </c>
      <c r="R224" s="16" t="s">
        <v>126</v>
      </c>
      <c r="S224" s="16" t="s">
        <v>94</v>
      </c>
      <c r="T224" s="16" t="s">
        <v>85</v>
      </c>
      <c r="U224" s="16" t="s">
        <v>108</v>
      </c>
      <c r="V224" s="16" t="s">
        <v>121</v>
      </c>
      <c r="W224" s="16" t="s">
        <v>130</v>
      </c>
    </row>
    <row r="225" spans="1:23" x14ac:dyDescent="0.2">
      <c r="A225" s="9" t="s">
        <v>1010</v>
      </c>
      <c r="B225" s="9">
        <f ca="1">+IF(A225=WORLDCUP!$BI$112,1,0)</f>
        <v>0</v>
      </c>
      <c r="C225" s="9" t="str">
        <f ca="1">+WORLDCUP!BD65</f>
        <v>Arabia Saudita</v>
      </c>
      <c r="D225" s="9" t="str">
        <f ca="1">+WORLDCUP!BD64</f>
        <v>Egipto</v>
      </c>
      <c r="E225" s="9" t="str">
        <f ca="1">+WORLDCUP!BD62</f>
        <v>Curazao</v>
      </c>
      <c r="F225" s="9" t="str">
        <f ca="1">+WORLDCUP!BD60</f>
        <v>Haití</v>
      </c>
      <c r="G225" s="9" t="str">
        <f ca="1">+WORLDCUP!BD58</f>
        <v>República Checa</v>
      </c>
      <c r="H225" s="9" t="str">
        <f ca="1">+WORLDCUP!BD63</f>
        <v>Suecia</v>
      </c>
      <c r="I225" s="9" t="str">
        <f ca="1">+WORLDCUP!BD69</f>
        <v>Ghana</v>
      </c>
      <c r="J225" s="9" t="str">
        <f ca="1">+WORLDCUP!BD68</f>
        <v>RD Congo</v>
      </c>
      <c r="N225" s="16" t="s">
        <v>1010</v>
      </c>
      <c r="O225" s="16">
        <v>224</v>
      </c>
      <c r="P225" s="16" t="s">
        <v>117</v>
      </c>
      <c r="Q225" s="16" t="s">
        <v>112</v>
      </c>
      <c r="R225" s="16" t="s">
        <v>103</v>
      </c>
      <c r="S225" s="16" t="s">
        <v>94</v>
      </c>
      <c r="T225" s="16" t="s">
        <v>85</v>
      </c>
      <c r="U225" s="16" t="s">
        <v>108</v>
      </c>
      <c r="V225" s="16" t="s">
        <v>135</v>
      </c>
      <c r="W225" s="16" t="s">
        <v>130</v>
      </c>
    </row>
    <row r="226" spans="1:23" x14ac:dyDescent="0.2">
      <c r="A226" s="9" t="s">
        <v>1011</v>
      </c>
      <c r="B226" s="9">
        <f ca="1">+IF(A226=WORLDCUP!$BI$112,1,0)</f>
        <v>0</v>
      </c>
      <c r="C226" s="9" t="str">
        <f ca="1">+WORLDCUP!BD65</f>
        <v>Arabia Saudita</v>
      </c>
      <c r="D226" s="9" t="str">
        <f ca="1">+WORLDCUP!BD64</f>
        <v>Egipto</v>
      </c>
      <c r="E226" s="9" t="str">
        <f ca="1">+WORLDCUP!BD67</f>
        <v>Argelia</v>
      </c>
      <c r="F226" s="9" t="str">
        <f ca="1">+WORLDCUP!BD60</f>
        <v>Haití</v>
      </c>
      <c r="G226" s="9" t="str">
        <f ca="1">+WORLDCUP!BD58</f>
        <v>República Checa</v>
      </c>
      <c r="H226" s="9" t="str">
        <f ca="1">+WORLDCUP!BD63</f>
        <v>Suecia</v>
      </c>
      <c r="I226" s="9" t="str">
        <f ca="1">+WORLDCUP!BD69</f>
        <v>Ghana</v>
      </c>
      <c r="J226" s="9" t="str">
        <f ca="1">+WORLDCUP!BD62</f>
        <v>Curazao</v>
      </c>
      <c r="N226" s="16" t="s">
        <v>1011</v>
      </c>
      <c r="O226" s="16">
        <v>225</v>
      </c>
      <c r="P226" s="16" t="s">
        <v>117</v>
      </c>
      <c r="Q226" s="16" t="s">
        <v>112</v>
      </c>
      <c r="R226" s="16" t="s">
        <v>126</v>
      </c>
      <c r="S226" s="16" t="s">
        <v>94</v>
      </c>
      <c r="T226" s="16" t="s">
        <v>85</v>
      </c>
      <c r="U226" s="16" t="s">
        <v>108</v>
      </c>
      <c r="V226" s="16" t="s">
        <v>135</v>
      </c>
      <c r="W226" s="16" t="s">
        <v>103</v>
      </c>
    </row>
    <row r="227" spans="1:23" x14ac:dyDescent="0.2">
      <c r="A227" s="9" t="s">
        <v>1012</v>
      </c>
      <c r="B227" s="9">
        <f ca="1">+IF(A227=WORLDCUP!$BI$112,1,0)</f>
        <v>0</v>
      </c>
      <c r="C227" s="9" t="str">
        <f ca="1">+WORLDCUP!BD65</f>
        <v>Arabia Saudita</v>
      </c>
      <c r="D227" s="9" t="str">
        <f ca="1">+WORLDCUP!BD64</f>
        <v>Egipto</v>
      </c>
      <c r="E227" s="9" t="str">
        <f ca="1">+WORLDCUP!BD67</f>
        <v>Argelia</v>
      </c>
      <c r="F227" s="9" t="str">
        <f ca="1">+WORLDCUP!BD60</f>
        <v>Haití</v>
      </c>
      <c r="G227" s="9" t="str">
        <f ca="1">+WORLDCUP!BD58</f>
        <v>República Checa</v>
      </c>
      <c r="H227" s="9" t="str">
        <f ca="1">+WORLDCUP!BD63</f>
        <v>Suecia</v>
      </c>
      <c r="I227" s="9" t="str">
        <f ca="1">+WORLDCUP!BD62</f>
        <v>Curazao</v>
      </c>
      <c r="J227" s="9" t="str">
        <f ca="1">+WORLDCUP!BD68</f>
        <v>RD Congo</v>
      </c>
      <c r="N227" s="16" t="s">
        <v>1012</v>
      </c>
      <c r="O227" s="16">
        <v>226</v>
      </c>
      <c r="P227" s="16" t="s">
        <v>117</v>
      </c>
      <c r="Q227" s="16" t="s">
        <v>112</v>
      </c>
      <c r="R227" s="16" t="s">
        <v>126</v>
      </c>
      <c r="S227" s="16" t="s">
        <v>94</v>
      </c>
      <c r="T227" s="16" t="s">
        <v>85</v>
      </c>
      <c r="U227" s="16" t="s">
        <v>108</v>
      </c>
      <c r="V227" s="16" t="s">
        <v>103</v>
      </c>
      <c r="W227" s="16" t="s">
        <v>130</v>
      </c>
    </row>
    <row r="228" spans="1:23" x14ac:dyDescent="0.2">
      <c r="A228" s="9" t="s">
        <v>1013</v>
      </c>
      <c r="B228" s="9">
        <f ca="1">+IF(A228=WORLDCUP!$BI$112,1,0)</f>
        <v>0</v>
      </c>
      <c r="C228" s="9" t="str">
        <f ca="1">+WORLDCUP!BD65</f>
        <v>Arabia Saudita</v>
      </c>
      <c r="D228" s="9" t="str">
        <f ca="1">+WORLDCUP!BD64</f>
        <v>Egipto</v>
      </c>
      <c r="E228" s="9" t="str">
        <f ca="1">+WORLDCUP!BD62</f>
        <v>Curazao</v>
      </c>
      <c r="F228" s="9" t="str">
        <f ca="1">+WORLDCUP!BD60</f>
        <v>Haití</v>
      </c>
      <c r="G228" s="9" t="str">
        <f ca="1">+WORLDCUP!BD58</f>
        <v>República Checa</v>
      </c>
      <c r="H228" s="9" t="str">
        <f ca="1">+WORLDCUP!BD63</f>
        <v>Suecia</v>
      </c>
      <c r="I228" s="9" t="str">
        <f ca="1">+WORLDCUP!BD69</f>
        <v>Ghana</v>
      </c>
      <c r="J228" s="9" t="str">
        <f ca="1">+WORLDCUP!BD66</f>
        <v>Senegal</v>
      </c>
      <c r="N228" s="16" t="s">
        <v>1013</v>
      </c>
      <c r="O228" s="16">
        <v>227</v>
      </c>
      <c r="P228" s="16" t="s">
        <v>117</v>
      </c>
      <c r="Q228" s="16" t="s">
        <v>112</v>
      </c>
      <c r="R228" s="16" t="s">
        <v>103</v>
      </c>
      <c r="S228" s="16" t="s">
        <v>94</v>
      </c>
      <c r="T228" s="16" t="s">
        <v>85</v>
      </c>
      <c r="U228" s="16" t="s">
        <v>108</v>
      </c>
      <c r="V228" s="16" t="s">
        <v>135</v>
      </c>
      <c r="W228" s="16" t="s">
        <v>121</v>
      </c>
    </row>
    <row r="229" spans="1:23" x14ac:dyDescent="0.2">
      <c r="A229" s="9" t="s">
        <v>1014</v>
      </c>
      <c r="B229" s="9">
        <f ca="1">+IF(A229=WORLDCUP!$BI$112,1,0)</f>
        <v>0</v>
      </c>
      <c r="C229" s="9" t="str">
        <f ca="1">+WORLDCUP!BD65</f>
        <v>Arabia Saudita</v>
      </c>
      <c r="D229" s="9" t="str">
        <f ca="1">+WORLDCUP!BD64</f>
        <v>Egipto</v>
      </c>
      <c r="E229" s="9" t="str">
        <f ca="1">+WORLDCUP!BD62</f>
        <v>Curazao</v>
      </c>
      <c r="F229" s="9" t="str">
        <f ca="1">+WORLDCUP!BD60</f>
        <v>Haití</v>
      </c>
      <c r="G229" s="9" t="str">
        <f ca="1">+WORLDCUP!BD58</f>
        <v>República Checa</v>
      </c>
      <c r="H229" s="9" t="str">
        <f ca="1">+WORLDCUP!BD63</f>
        <v>Suecia</v>
      </c>
      <c r="I229" s="9" t="str">
        <f ca="1">+WORLDCUP!BD66</f>
        <v>Senegal</v>
      </c>
      <c r="J229" s="9" t="str">
        <f ca="1">+WORLDCUP!BD68</f>
        <v>RD Congo</v>
      </c>
      <c r="N229" s="16" t="s">
        <v>1014</v>
      </c>
      <c r="O229" s="16">
        <v>228</v>
      </c>
      <c r="P229" s="16" t="s">
        <v>117</v>
      </c>
      <c r="Q229" s="16" t="s">
        <v>112</v>
      </c>
      <c r="R229" s="16" t="s">
        <v>103</v>
      </c>
      <c r="S229" s="16" t="s">
        <v>94</v>
      </c>
      <c r="T229" s="16" t="s">
        <v>85</v>
      </c>
      <c r="U229" s="16" t="s">
        <v>108</v>
      </c>
      <c r="V229" s="16" t="s">
        <v>121</v>
      </c>
      <c r="W229" s="16" t="s">
        <v>130</v>
      </c>
    </row>
    <row r="230" spans="1:23" x14ac:dyDescent="0.2">
      <c r="A230" s="9" t="s">
        <v>1015</v>
      </c>
      <c r="B230" s="9">
        <f ca="1">+IF(A230=WORLDCUP!$BI$112,1,0)</f>
        <v>0</v>
      </c>
      <c r="C230" s="9" t="str">
        <f ca="1">+WORLDCUP!BD65</f>
        <v>Arabia Saudita</v>
      </c>
      <c r="D230" s="9" t="str">
        <f ca="1">+WORLDCUP!BD64</f>
        <v>Egipto</v>
      </c>
      <c r="E230" s="9" t="str">
        <f ca="1">+WORLDCUP!BD67</f>
        <v>Argelia</v>
      </c>
      <c r="F230" s="9" t="str">
        <f ca="1">+WORLDCUP!BD60</f>
        <v>Haití</v>
      </c>
      <c r="G230" s="9" t="str">
        <f ca="1">+WORLDCUP!BD58</f>
        <v>República Checa</v>
      </c>
      <c r="H230" s="9" t="str">
        <f ca="1">+WORLDCUP!BD63</f>
        <v>Suecia</v>
      </c>
      <c r="I230" s="9" t="str">
        <f ca="1">+WORLDCUP!BD62</f>
        <v>Curazao</v>
      </c>
      <c r="J230" s="9" t="str">
        <f ca="1">+WORLDCUP!BD66</f>
        <v>Senegal</v>
      </c>
      <c r="N230" s="16" t="s">
        <v>1015</v>
      </c>
      <c r="O230" s="16">
        <v>229</v>
      </c>
      <c r="P230" s="16" t="s">
        <v>117</v>
      </c>
      <c r="Q230" s="16" t="s">
        <v>112</v>
      </c>
      <c r="R230" s="16" t="s">
        <v>126</v>
      </c>
      <c r="S230" s="16" t="s">
        <v>94</v>
      </c>
      <c r="T230" s="16" t="s">
        <v>85</v>
      </c>
      <c r="U230" s="16" t="s">
        <v>108</v>
      </c>
      <c r="V230" s="16" t="s">
        <v>103</v>
      </c>
      <c r="W230" s="16" t="s">
        <v>121</v>
      </c>
    </row>
    <row r="231" spans="1:23" x14ac:dyDescent="0.2">
      <c r="A231" s="9" t="s">
        <v>1016</v>
      </c>
      <c r="B231" s="9">
        <f ca="1">+IF(A231=WORLDCUP!$BI$112,1,0)</f>
        <v>0</v>
      </c>
      <c r="C231" s="9" t="str">
        <f ca="1">+WORLDCUP!BD65</f>
        <v>Arabia Saudita</v>
      </c>
      <c r="D231" s="9" t="str">
        <f ca="1">+WORLDCUP!BD67</f>
        <v>Argelia</v>
      </c>
      <c r="E231" s="9" t="str">
        <f ca="1">+WORLDCUP!BD66</f>
        <v>Senegal</v>
      </c>
      <c r="F231" s="9" t="str">
        <f ca="1">+WORLDCUP!BD60</f>
        <v>Haití</v>
      </c>
      <c r="G231" s="9" t="str">
        <f ca="1">+WORLDCUP!BD58</f>
        <v>República Checa</v>
      </c>
      <c r="H231" s="9" t="str">
        <f ca="1">+WORLDCUP!BD61</f>
        <v>Australia</v>
      </c>
      <c r="I231" s="9" t="str">
        <f ca="1">+WORLDCUP!BD69</f>
        <v>Ghana</v>
      </c>
      <c r="J231" s="9" t="str">
        <f ca="1">+WORLDCUP!BD68</f>
        <v>RD Congo</v>
      </c>
      <c r="N231" s="16" t="s">
        <v>1016</v>
      </c>
      <c r="O231" s="16">
        <v>230</v>
      </c>
      <c r="P231" s="16" t="s">
        <v>117</v>
      </c>
      <c r="Q231" s="16" t="s">
        <v>126</v>
      </c>
      <c r="R231" s="16" t="s">
        <v>121</v>
      </c>
      <c r="S231" s="16" t="s">
        <v>94</v>
      </c>
      <c r="T231" s="16" t="s">
        <v>85</v>
      </c>
      <c r="U231" s="16" t="s">
        <v>99</v>
      </c>
      <c r="V231" s="16" t="s">
        <v>135</v>
      </c>
      <c r="W231" s="16" t="s">
        <v>130</v>
      </c>
    </row>
    <row r="232" spans="1:23" x14ac:dyDescent="0.2">
      <c r="A232" s="9" t="s">
        <v>1017</v>
      </c>
      <c r="B232" s="9">
        <f ca="1">+IF(A232=WORLDCUP!$BI$112,1,0)</f>
        <v>0</v>
      </c>
      <c r="C232" s="9" t="str">
        <f ca="1">+WORLDCUP!BD66</f>
        <v>Senegal</v>
      </c>
      <c r="D232" s="9" t="str">
        <f ca="1">+WORLDCUP!BD64</f>
        <v>Egipto</v>
      </c>
      <c r="E232" s="9" t="str">
        <f ca="1">+WORLDCUP!BD67</f>
        <v>Argelia</v>
      </c>
      <c r="F232" s="9" t="str">
        <f ca="1">+WORLDCUP!BD60</f>
        <v>Haití</v>
      </c>
      <c r="G232" s="9" t="str">
        <f ca="1">+WORLDCUP!BD58</f>
        <v>República Checa</v>
      </c>
      <c r="H232" s="9" t="str">
        <f ca="1">+WORLDCUP!BD61</f>
        <v>Australia</v>
      </c>
      <c r="I232" s="9" t="str">
        <f ca="1">+WORLDCUP!BD69</f>
        <v>Ghana</v>
      </c>
      <c r="J232" s="9" t="str">
        <f ca="1">+WORLDCUP!BD68</f>
        <v>RD Congo</v>
      </c>
      <c r="N232" s="16" t="s">
        <v>1017</v>
      </c>
      <c r="O232" s="16">
        <v>231</v>
      </c>
      <c r="P232" s="16" t="s">
        <v>121</v>
      </c>
      <c r="Q232" s="16" t="s">
        <v>112</v>
      </c>
      <c r="R232" s="16" t="s">
        <v>126</v>
      </c>
      <c r="S232" s="16" t="s">
        <v>94</v>
      </c>
      <c r="T232" s="16" t="s">
        <v>85</v>
      </c>
      <c r="U232" s="16" t="s">
        <v>99</v>
      </c>
      <c r="V232" s="16" t="s">
        <v>135</v>
      </c>
      <c r="W232" s="16" t="s">
        <v>130</v>
      </c>
    </row>
    <row r="233" spans="1:23" x14ac:dyDescent="0.2">
      <c r="A233" s="9" t="s">
        <v>1018</v>
      </c>
      <c r="B233" s="9">
        <f ca="1">+IF(A233=WORLDCUP!$BI$112,1,0)</f>
        <v>0</v>
      </c>
      <c r="C233" s="9" t="str">
        <f ca="1">+WORLDCUP!BD65</f>
        <v>Arabia Saudita</v>
      </c>
      <c r="D233" s="9" t="str">
        <f ca="1">+WORLDCUP!BD64</f>
        <v>Egipto</v>
      </c>
      <c r="E233" s="9" t="str">
        <f ca="1">+WORLDCUP!BD67</f>
        <v>Argelia</v>
      </c>
      <c r="F233" s="9" t="str">
        <f ca="1">+WORLDCUP!BD60</f>
        <v>Haití</v>
      </c>
      <c r="G233" s="9" t="str">
        <f ca="1">+WORLDCUP!BD58</f>
        <v>República Checa</v>
      </c>
      <c r="H233" s="9" t="str">
        <f ca="1">+WORLDCUP!BD61</f>
        <v>Australia</v>
      </c>
      <c r="I233" s="9" t="str">
        <f ca="1">+WORLDCUP!BD69</f>
        <v>Ghana</v>
      </c>
      <c r="J233" s="9" t="str">
        <f ca="1">+WORLDCUP!BD68</f>
        <v>RD Congo</v>
      </c>
      <c r="N233" s="16" t="s">
        <v>1018</v>
      </c>
      <c r="O233" s="16">
        <v>232</v>
      </c>
      <c r="P233" s="16" t="s">
        <v>117</v>
      </c>
      <c r="Q233" s="16" t="s">
        <v>112</v>
      </c>
      <c r="R233" s="16" t="s">
        <v>126</v>
      </c>
      <c r="S233" s="16" t="s">
        <v>94</v>
      </c>
      <c r="T233" s="16" t="s">
        <v>85</v>
      </c>
      <c r="U233" s="16" t="s">
        <v>99</v>
      </c>
      <c r="V233" s="16" t="s">
        <v>135</v>
      </c>
      <c r="W233" s="16" t="s">
        <v>130</v>
      </c>
    </row>
    <row r="234" spans="1:23" x14ac:dyDescent="0.2">
      <c r="A234" s="9" t="s">
        <v>1019</v>
      </c>
      <c r="B234" s="9">
        <f ca="1">+IF(A234=WORLDCUP!$BI$112,1,0)</f>
        <v>0</v>
      </c>
      <c r="C234" s="9" t="str">
        <f ca="1">+WORLDCUP!BD65</f>
        <v>Arabia Saudita</v>
      </c>
      <c r="D234" s="9" t="str">
        <f ca="1">+WORLDCUP!BD64</f>
        <v>Egipto</v>
      </c>
      <c r="E234" s="9" t="str">
        <f ca="1">+WORLDCUP!BD66</f>
        <v>Senegal</v>
      </c>
      <c r="F234" s="9" t="str">
        <f ca="1">+WORLDCUP!BD60</f>
        <v>Haití</v>
      </c>
      <c r="G234" s="9" t="str">
        <f ca="1">+WORLDCUP!BD58</f>
        <v>República Checa</v>
      </c>
      <c r="H234" s="9" t="str">
        <f ca="1">+WORLDCUP!BD61</f>
        <v>Australia</v>
      </c>
      <c r="I234" s="9" t="str">
        <f ca="1">+WORLDCUP!BD69</f>
        <v>Ghana</v>
      </c>
      <c r="J234" s="9" t="str">
        <f ca="1">+WORLDCUP!BD68</f>
        <v>RD Congo</v>
      </c>
      <c r="N234" s="16" t="s">
        <v>1019</v>
      </c>
      <c r="O234" s="16">
        <v>233</v>
      </c>
      <c r="P234" s="16" t="s">
        <v>117</v>
      </c>
      <c r="Q234" s="16" t="s">
        <v>112</v>
      </c>
      <c r="R234" s="16" t="s">
        <v>121</v>
      </c>
      <c r="S234" s="16" t="s">
        <v>94</v>
      </c>
      <c r="T234" s="16" t="s">
        <v>85</v>
      </c>
      <c r="U234" s="16" t="s">
        <v>99</v>
      </c>
      <c r="V234" s="16" t="s">
        <v>135</v>
      </c>
      <c r="W234" s="16" t="s">
        <v>130</v>
      </c>
    </row>
    <row r="235" spans="1:23" x14ac:dyDescent="0.2">
      <c r="A235" s="9" t="s">
        <v>1020</v>
      </c>
      <c r="B235" s="9">
        <f ca="1">+IF(A235=WORLDCUP!$BI$112,1,0)</f>
        <v>0</v>
      </c>
      <c r="C235" s="9" t="str">
        <f ca="1">+WORLDCUP!BD65</f>
        <v>Arabia Saudita</v>
      </c>
      <c r="D235" s="9" t="str">
        <f ca="1">+WORLDCUP!BD64</f>
        <v>Egipto</v>
      </c>
      <c r="E235" s="9" t="str">
        <f ca="1">+WORLDCUP!BD67</f>
        <v>Argelia</v>
      </c>
      <c r="F235" s="9" t="str">
        <f ca="1">+WORLDCUP!BD60</f>
        <v>Haití</v>
      </c>
      <c r="G235" s="9" t="str">
        <f ca="1">+WORLDCUP!BD58</f>
        <v>República Checa</v>
      </c>
      <c r="H235" s="9" t="str">
        <f ca="1">+WORLDCUP!BD61</f>
        <v>Australia</v>
      </c>
      <c r="I235" s="9" t="str">
        <f ca="1">+WORLDCUP!BD69</f>
        <v>Ghana</v>
      </c>
      <c r="J235" s="9" t="str">
        <f ca="1">+WORLDCUP!BD66</f>
        <v>Senegal</v>
      </c>
      <c r="N235" s="16" t="s">
        <v>1020</v>
      </c>
      <c r="O235" s="16">
        <v>234</v>
      </c>
      <c r="P235" s="16" t="s">
        <v>117</v>
      </c>
      <c r="Q235" s="16" t="s">
        <v>112</v>
      </c>
      <c r="R235" s="16" t="s">
        <v>126</v>
      </c>
      <c r="S235" s="16" t="s">
        <v>94</v>
      </c>
      <c r="T235" s="16" t="s">
        <v>85</v>
      </c>
      <c r="U235" s="16" t="s">
        <v>99</v>
      </c>
      <c r="V235" s="16" t="s">
        <v>135</v>
      </c>
      <c r="W235" s="16" t="s">
        <v>121</v>
      </c>
    </row>
    <row r="236" spans="1:23" x14ac:dyDescent="0.2">
      <c r="A236" s="9" t="s">
        <v>1021</v>
      </c>
      <c r="B236" s="9">
        <f ca="1">+IF(A236=WORLDCUP!$BI$112,1,0)</f>
        <v>0</v>
      </c>
      <c r="C236" s="9" t="str">
        <f ca="1">+WORLDCUP!BD65</f>
        <v>Arabia Saudita</v>
      </c>
      <c r="D236" s="9" t="str">
        <f ca="1">+WORLDCUP!BD64</f>
        <v>Egipto</v>
      </c>
      <c r="E236" s="9" t="str">
        <f ca="1">+WORLDCUP!BD67</f>
        <v>Argelia</v>
      </c>
      <c r="F236" s="9" t="str">
        <f ca="1">+WORLDCUP!BD60</f>
        <v>Haití</v>
      </c>
      <c r="G236" s="9" t="str">
        <f ca="1">+WORLDCUP!BD58</f>
        <v>República Checa</v>
      </c>
      <c r="H236" s="9" t="str">
        <f ca="1">+WORLDCUP!BD61</f>
        <v>Australia</v>
      </c>
      <c r="I236" s="9" t="str">
        <f ca="1">+WORLDCUP!BD66</f>
        <v>Senegal</v>
      </c>
      <c r="J236" s="9" t="str">
        <f ca="1">+WORLDCUP!BD68</f>
        <v>RD Congo</v>
      </c>
      <c r="N236" s="16" t="s">
        <v>1021</v>
      </c>
      <c r="O236" s="16">
        <v>235</v>
      </c>
      <c r="P236" s="16" t="s">
        <v>117</v>
      </c>
      <c r="Q236" s="16" t="s">
        <v>112</v>
      </c>
      <c r="R236" s="16" t="s">
        <v>126</v>
      </c>
      <c r="S236" s="16" t="s">
        <v>94</v>
      </c>
      <c r="T236" s="16" t="s">
        <v>85</v>
      </c>
      <c r="U236" s="16" t="s">
        <v>99</v>
      </c>
      <c r="V236" s="16" t="s">
        <v>121</v>
      </c>
      <c r="W236" s="16" t="s">
        <v>130</v>
      </c>
    </row>
    <row r="237" spans="1:23" x14ac:dyDescent="0.2">
      <c r="A237" s="9" t="s">
        <v>1022</v>
      </c>
      <c r="B237" s="9">
        <f ca="1">+IF(A237=WORLDCUP!$BI$112,1,0)</f>
        <v>0</v>
      </c>
      <c r="C237" s="9" t="str">
        <f ca="1">+WORLDCUP!BD60</f>
        <v>Haití</v>
      </c>
      <c r="D237" s="9" t="str">
        <f ca="1">+WORLDCUP!BD67</f>
        <v>Argelia</v>
      </c>
      <c r="E237" s="9" t="str">
        <f ca="1">+WORLDCUP!BD66</f>
        <v>Senegal</v>
      </c>
      <c r="F237" s="9" t="str">
        <f ca="1">+WORLDCUP!BD61</f>
        <v>Australia</v>
      </c>
      <c r="G237" s="9" t="str">
        <f ca="1">+WORLDCUP!BD58</f>
        <v>República Checa</v>
      </c>
      <c r="H237" s="9" t="str">
        <f ca="1">+WORLDCUP!BD63</f>
        <v>Suecia</v>
      </c>
      <c r="I237" s="9" t="str">
        <f ca="1">+WORLDCUP!BD69</f>
        <v>Ghana</v>
      </c>
      <c r="J237" s="9" t="str">
        <f ca="1">+WORLDCUP!BD68</f>
        <v>RD Congo</v>
      </c>
      <c r="N237" s="16" t="s">
        <v>1022</v>
      </c>
      <c r="O237" s="16">
        <v>236</v>
      </c>
      <c r="P237" s="16" t="s">
        <v>94</v>
      </c>
      <c r="Q237" s="16" t="s">
        <v>126</v>
      </c>
      <c r="R237" s="16" t="s">
        <v>121</v>
      </c>
      <c r="S237" s="16" t="s">
        <v>99</v>
      </c>
      <c r="T237" s="16" t="s">
        <v>85</v>
      </c>
      <c r="U237" s="16" t="s">
        <v>108</v>
      </c>
      <c r="V237" s="16" t="s">
        <v>135</v>
      </c>
      <c r="W237" s="16" t="s">
        <v>130</v>
      </c>
    </row>
    <row r="238" spans="1:23" x14ac:dyDescent="0.2">
      <c r="A238" s="9" t="s">
        <v>1023</v>
      </c>
      <c r="B238" s="9">
        <f ca="1">+IF(A238=WORLDCUP!$BI$112,1,0)</f>
        <v>0</v>
      </c>
      <c r="C238" s="9" t="str">
        <f ca="1">+WORLDCUP!BD65</f>
        <v>Arabia Saudita</v>
      </c>
      <c r="D238" s="9" t="str">
        <f ca="1">+WORLDCUP!BD67</f>
        <v>Argelia</v>
      </c>
      <c r="E238" s="9" t="str">
        <f ca="1">+WORLDCUP!BD63</f>
        <v>Suecia</v>
      </c>
      <c r="F238" s="9" t="str">
        <f ca="1">+WORLDCUP!BD60</f>
        <v>Haití</v>
      </c>
      <c r="G238" s="9" t="str">
        <f ca="1">+WORLDCUP!BD58</f>
        <v>República Checa</v>
      </c>
      <c r="H238" s="9" t="str">
        <f ca="1">+WORLDCUP!BD61</f>
        <v>Australia</v>
      </c>
      <c r="I238" s="9" t="str">
        <f ca="1">+WORLDCUP!BD69</f>
        <v>Ghana</v>
      </c>
      <c r="J238" s="9" t="str">
        <f ca="1">+WORLDCUP!BD68</f>
        <v>RD Congo</v>
      </c>
      <c r="N238" s="16" t="s">
        <v>1023</v>
      </c>
      <c r="O238" s="16">
        <v>237</v>
      </c>
      <c r="P238" s="16" t="s">
        <v>117</v>
      </c>
      <c r="Q238" s="16" t="s">
        <v>126</v>
      </c>
      <c r="R238" s="16" t="s">
        <v>108</v>
      </c>
      <c r="S238" s="16" t="s">
        <v>94</v>
      </c>
      <c r="T238" s="16" t="s">
        <v>85</v>
      </c>
      <c r="U238" s="16" t="s">
        <v>99</v>
      </c>
      <c r="V238" s="16" t="s">
        <v>135</v>
      </c>
      <c r="W238" s="16" t="s">
        <v>130</v>
      </c>
    </row>
    <row r="239" spans="1:23" x14ac:dyDescent="0.2">
      <c r="A239" s="9" t="s">
        <v>1024</v>
      </c>
      <c r="B239" s="9">
        <f ca="1">+IF(A239=WORLDCUP!$BI$112,1,0)</f>
        <v>0</v>
      </c>
      <c r="C239" s="9" t="str">
        <f ca="1">+WORLDCUP!BD65</f>
        <v>Arabia Saudita</v>
      </c>
      <c r="D239" s="9" t="str">
        <f ca="1">+WORLDCUP!BD63</f>
        <v>Suecia</v>
      </c>
      <c r="E239" s="9" t="str">
        <f ca="1">+WORLDCUP!BD66</f>
        <v>Senegal</v>
      </c>
      <c r="F239" s="9" t="str">
        <f ca="1">+WORLDCUP!BD60</f>
        <v>Haití</v>
      </c>
      <c r="G239" s="9" t="str">
        <f ca="1">+WORLDCUP!BD58</f>
        <v>República Checa</v>
      </c>
      <c r="H239" s="9" t="str">
        <f ca="1">+WORLDCUP!BD61</f>
        <v>Australia</v>
      </c>
      <c r="I239" s="9" t="str">
        <f ca="1">+WORLDCUP!BD69</f>
        <v>Ghana</v>
      </c>
      <c r="J239" s="9" t="str">
        <f ca="1">+WORLDCUP!BD68</f>
        <v>RD Congo</v>
      </c>
      <c r="N239" s="16" t="s">
        <v>1024</v>
      </c>
      <c r="O239" s="16">
        <v>238</v>
      </c>
      <c r="P239" s="16" t="s">
        <v>117</v>
      </c>
      <c r="Q239" s="16" t="s">
        <v>108</v>
      </c>
      <c r="R239" s="16" t="s">
        <v>121</v>
      </c>
      <c r="S239" s="16" t="s">
        <v>94</v>
      </c>
      <c r="T239" s="16" t="s">
        <v>85</v>
      </c>
      <c r="U239" s="16" t="s">
        <v>99</v>
      </c>
      <c r="V239" s="16" t="s">
        <v>135</v>
      </c>
      <c r="W239" s="16" t="s">
        <v>130</v>
      </c>
    </row>
    <row r="240" spans="1:23" x14ac:dyDescent="0.2">
      <c r="A240" s="9" t="s">
        <v>1025</v>
      </c>
      <c r="B240" s="9">
        <f ca="1">+IF(A240=WORLDCUP!$BI$112,1,0)</f>
        <v>0</v>
      </c>
      <c r="C240" s="9" t="str">
        <f ca="1">+WORLDCUP!BD65</f>
        <v>Arabia Saudita</v>
      </c>
      <c r="D240" s="9" t="str">
        <f ca="1">+WORLDCUP!BD67</f>
        <v>Argelia</v>
      </c>
      <c r="E240" s="9" t="str">
        <f ca="1">+WORLDCUP!BD63</f>
        <v>Suecia</v>
      </c>
      <c r="F240" s="9" t="str">
        <f ca="1">+WORLDCUP!BD60</f>
        <v>Haití</v>
      </c>
      <c r="G240" s="9" t="str">
        <f ca="1">+WORLDCUP!BD58</f>
        <v>República Checa</v>
      </c>
      <c r="H240" s="9" t="str">
        <f ca="1">+WORLDCUP!BD61</f>
        <v>Australia</v>
      </c>
      <c r="I240" s="9" t="str">
        <f ca="1">+WORLDCUP!BD69</f>
        <v>Ghana</v>
      </c>
      <c r="J240" s="9" t="str">
        <f ca="1">+WORLDCUP!BD66</f>
        <v>Senegal</v>
      </c>
      <c r="N240" s="16" t="s">
        <v>1025</v>
      </c>
      <c r="O240" s="16">
        <v>239</v>
      </c>
      <c r="P240" s="16" t="s">
        <v>117</v>
      </c>
      <c r="Q240" s="16" t="s">
        <v>126</v>
      </c>
      <c r="R240" s="16" t="s">
        <v>108</v>
      </c>
      <c r="S240" s="16" t="s">
        <v>94</v>
      </c>
      <c r="T240" s="16" t="s">
        <v>85</v>
      </c>
      <c r="U240" s="16" t="s">
        <v>99</v>
      </c>
      <c r="V240" s="16" t="s">
        <v>135</v>
      </c>
      <c r="W240" s="16" t="s">
        <v>121</v>
      </c>
    </row>
    <row r="241" spans="1:23" x14ac:dyDescent="0.2">
      <c r="A241" s="9" t="s">
        <v>1026</v>
      </c>
      <c r="B241" s="9">
        <f ca="1">+IF(A241=WORLDCUP!$BI$112,1,0)</f>
        <v>0</v>
      </c>
      <c r="C241" s="9" t="str">
        <f ca="1">+WORLDCUP!BD65</f>
        <v>Arabia Saudita</v>
      </c>
      <c r="D241" s="9" t="str">
        <f ca="1">+WORLDCUP!BD67</f>
        <v>Argelia</v>
      </c>
      <c r="E241" s="9" t="str">
        <f ca="1">+WORLDCUP!BD63</f>
        <v>Suecia</v>
      </c>
      <c r="F241" s="9" t="str">
        <f ca="1">+WORLDCUP!BD60</f>
        <v>Haití</v>
      </c>
      <c r="G241" s="9" t="str">
        <f ca="1">+WORLDCUP!BD58</f>
        <v>República Checa</v>
      </c>
      <c r="H241" s="9" t="str">
        <f ca="1">+WORLDCUP!BD61</f>
        <v>Australia</v>
      </c>
      <c r="I241" s="9" t="str">
        <f ca="1">+WORLDCUP!BD66</f>
        <v>Senegal</v>
      </c>
      <c r="J241" s="9" t="str">
        <f ca="1">+WORLDCUP!BD68</f>
        <v>RD Congo</v>
      </c>
      <c r="N241" s="16" t="s">
        <v>1026</v>
      </c>
      <c r="O241" s="16">
        <v>240</v>
      </c>
      <c r="P241" s="16" t="s">
        <v>117</v>
      </c>
      <c r="Q241" s="16" t="s">
        <v>126</v>
      </c>
      <c r="R241" s="16" t="s">
        <v>108</v>
      </c>
      <c r="S241" s="16" t="s">
        <v>94</v>
      </c>
      <c r="T241" s="16" t="s">
        <v>85</v>
      </c>
      <c r="U241" s="16" t="s">
        <v>99</v>
      </c>
      <c r="V241" s="16" t="s">
        <v>121</v>
      </c>
      <c r="W241" s="16" t="s">
        <v>130</v>
      </c>
    </row>
    <row r="242" spans="1:23" x14ac:dyDescent="0.2">
      <c r="A242" s="9" t="s">
        <v>1027</v>
      </c>
      <c r="B242" s="9">
        <f ca="1">+IF(A242=WORLDCUP!$BI$112,1,0)</f>
        <v>0</v>
      </c>
      <c r="C242" s="9" t="str">
        <f ca="1">+WORLDCUP!BD60</f>
        <v>Haití</v>
      </c>
      <c r="D242" s="9" t="str">
        <f ca="1">+WORLDCUP!BD64</f>
        <v>Egipto</v>
      </c>
      <c r="E242" s="9" t="str">
        <f ca="1">+WORLDCUP!BD67</f>
        <v>Argelia</v>
      </c>
      <c r="F242" s="9" t="str">
        <f ca="1">+WORLDCUP!BD61</f>
        <v>Australia</v>
      </c>
      <c r="G242" s="9" t="str">
        <f ca="1">+WORLDCUP!BD58</f>
        <v>República Checa</v>
      </c>
      <c r="H242" s="9" t="str">
        <f ca="1">+WORLDCUP!BD63</f>
        <v>Suecia</v>
      </c>
      <c r="I242" s="9" t="str">
        <f ca="1">+WORLDCUP!BD69</f>
        <v>Ghana</v>
      </c>
      <c r="J242" s="9" t="str">
        <f ca="1">+WORLDCUP!BD68</f>
        <v>RD Congo</v>
      </c>
      <c r="N242" s="16" t="s">
        <v>1027</v>
      </c>
      <c r="O242" s="16">
        <v>241</v>
      </c>
      <c r="P242" s="16" t="s">
        <v>94</v>
      </c>
      <c r="Q242" s="16" t="s">
        <v>112</v>
      </c>
      <c r="R242" s="16" t="s">
        <v>126</v>
      </c>
      <c r="S242" s="16" t="s">
        <v>99</v>
      </c>
      <c r="T242" s="16" t="s">
        <v>85</v>
      </c>
      <c r="U242" s="16" t="s">
        <v>108</v>
      </c>
      <c r="V242" s="16" t="s">
        <v>135</v>
      </c>
      <c r="W242" s="16" t="s">
        <v>130</v>
      </c>
    </row>
    <row r="243" spans="1:23" x14ac:dyDescent="0.2">
      <c r="A243" s="9" t="s">
        <v>1028</v>
      </c>
      <c r="B243" s="9">
        <f ca="1">+IF(A243=WORLDCUP!$BI$112,1,0)</f>
        <v>0</v>
      </c>
      <c r="C243" s="9" t="str">
        <f ca="1">+WORLDCUP!BD60</f>
        <v>Haití</v>
      </c>
      <c r="D243" s="9" t="str">
        <f ca="1">+WORLDCUP!BD64</f>
        <v>Egipto</v>
      </c>
      <c r="E243" s="9" t="str">
        <f ca="1">+WORLDCUP!BD66</f>
        <v>Senegal</v>
      </c>
      <c r="F243" s="9" t="str">
        <f ca="1">+WORLDCUP!BD61</f>
        <v>Australia</v>
      </c>
      <c r="G243" s="9" t="str">
        <f ca="1">+WORLDCUP!BD58</f>
        <v>República Checa</v>
      </c>
      <c r="H243" s="9" t="str">
        <f ca="1">+WORLDCUP!BD63</f>
        <v>Suecia</v>
      </c>
      <c r="I243" s="9" t="str">
        <f ca="1">+WORLDCUP!BD69</f>
        <v>Ghana</v>
      </c>
      <c r="J243" s="9" t="str">
        <f ca="1">+WORLDCUP!BD68</f>
        <v>RD Congo</v>
      </c>
      <c r="N243" s="16" t="s">
        <v>1028</v>
      </c>
      <c r="O243" s="16">
        <v>242</v>
      </c>
      <c r="P243" s="16" t="s">
        <v>94</v>
      </c>
      <c r="Q243" s="16" t="s">
        <v>112</v>
      </c>
      <c r="R243" s="16" t="s">
        <v>121</v>
      </c>
      <c r="S243" s="16" t="s">
        <v>99</v>
      </c>
      <c r="T243" s="16" t="s">
        <v>85</v>
      </c>
      <c r="U243" s="16" t="s">
        <v>108</v>
      </c>
      <c r="V243" s="16" t="s">
        <v>135</v>
      </c>
      <c r="W243" s="16" t="s">
        <v>130</v>
      </c>
    </row>
    <row r="244" spans="1:23" x14ac:dyDescent="0.2">
      <c r="A244" s="9" t="s">
        <v>1029</v>
      </c>
      <c r="B244" s="9">
        <f ca="1">+IF(A244=WORLDCUP!$BI$112,1,0)</f>
        <v>0</v>
      </c>
      <c r="C244" s="9" t="str">
        <f ca="1">+WORLDCUP!BD60</f>
        <v>Haití</v>
      </c>
      <c r="D244" s="9" t="str">
        <f ca="1">+WORLDCUP!BD64</f>
        <v>Egipto</v>
      </c>
      <c r="E244" s="9" t="str">
        <f ca="1">+WORLDCUP!BD67</f>
        <v>Argelia</v>
      </c>
      <c r="F244" s="9" t="str">
        <f ca="1">+WORLDCUP!BD61</f>
        <v>Australia</v>
      </c>
      <c r="G244" s="9" t="str">
        <f ca="1">+WORLDCUP!BD58</f>
        <v>República Checa</v>
      </c>
      <c r="H244" s="9" t="str">
        <f ca="1">+WORLDCUP!BD63</f>
        <v>Suecia</v>
      </c>
      <c r="I244" s="9" t="str">
        <f ca="1">+WORLDCUP!BD69</f>
        <v>Ghana</v>
      </c>
      <c r="J244" s="9" t="str">
        <f ca="1">+WORLDCUP!BD66</f>
        <v>Senegal</v>
      </c>
      <c r="N244" s="16" t="s">
        <v>1029</v>
      </c>
      <c r="O244" s="16">
        <v>243</v>
      </c>
      <c r="P244" s="16" t="s">
        <v>94</v>
      </c>
      <c r="Q244" s="16" t="s">
        <v>112</v>
      </c>
      <c r="R244" s="16" t="s">
        <v>126</v>
      </c>
      <c r="S244" s="16" t="s">
        <v>99</v>
      </c>
      <c r="T244" s="16" t="s">
        <v>85</v>
      </c>
      <c r="U244" s="16" t="s">
        <v>108</v>
      </c>
      <c r="V244" s="16" t="s">
        <v>135</v>
      </c>
      <c r="W244" s="16" t="s">
        <v>121</v>
      </c>
    </row>
    <row r="245" spans="1:23" x14ac:dyDescent="0.2">
      <c r="A245" s="9" t="s">
        <v>1030</v>
      </c>
      <c r="B245" s="9">
        <f ca="1">+IF(A245=WORLDCUP!$BI$112,1,0)</f>
        <v>0</v>
      </c>
      <c r="C245" s="9" t="str">
        <f ca="1">+WORLDCUP!BD60</f>
        <v>Haití</v>
      </c>
      <c r="D245" s="9" t="str">
        <f ca="1">+WORLDCUP!BD64</f>
        <v>Egipto</v>
      </c>
      <c r="E245" s="9" t="str">
        <f ca="1">+WORLDCUP!BD67</f>
        <v>Argelia</v>
      </c>
      <c r="F245" s="9" t="str">
        <f ca="1">+WORLDCUP!BD61</f>
        <v>Australia</v>
      </c>
      <c r="G245" s="9" t="str">
        <f ca="1">+WORLDCUP!BD58</f>
        <v>República Checa</v>
      </c>
      <c r="H245" s="9" t="str">
        <f ca="1">+WORLDCUP!BD63</f>
        <v>Suecia</v>
      </c>
      <c r="I245" s="9" t="str">
        <f ca="1">+WORLDCUP!BD66</f>
        <v>Senegal</v>
      </c>
      <c r="J245" s="9" t="str">
        <f ca="1">+WORLDCUP!BD68</f>
        <v>RD Congo</v>
      </c>
      <c r="N245" s="16" t="s">
        <v>1030</v>
      </c>
      <c r="O245" s="16">
        <v>244</v>
      </c>
      <c r="P245" s="16" t="s">
        <v>94</v>
      </c>
      <c r="Q245" s="16" t="s">
        <v>112</v>
      </c>
      <c r="R245" s="16" t="s">
        <v>126</v>
      </c>
      <c r="S245" s="16" t="s">
        <v>99</v>
      </c>
      <c r="T245" s="16" t="s">
        <v>85</v>
      </c>
      <c r="U245" s="16" t="s">
        <v>108</v>
      </c>
      <c r="V245" s="16" t="s">
        <v>121</v>
      </c>
      <c r="W245" s="16" t="s">
        <v>130</v>
      </c>
    </row>
    <row r="246" spans="1:23" x14ac:dyDescent="0.2">
      <c r="A246" s="9" t="s">
        <v>1031</v>
      </c>
      <c r="B246" s="9">
        <f ca="1">+IF(A246=WORLDCUP!$BI$112,1,0)</f>
        <v>0</v>
      </c>
      <c r="C246" s="9" t="str">
        <f ca="1">+WORLDCUP!BD65</f>
        <v>Arabia Saudita</v>
      </c>
      <c r="D246" s="9" t="str">
        <f ca="1">+WORLDCUP!BD64</f>
        <v>Egipto</v>
      </c>
      <c r="E246" s="9" t="str">
        <f ca="1">+WORLDCUP!BD63</f>
        <v>Suecia</v>
      </c>
      <c r="F246" s="9" t="str">
        <f ca="1">+WORLDCUP!BD60</f>
        <v>Haití</v>
      </c>
      <c r="G246" s="9" t="str">
        <f ca="1">+WORLDCUP!BD58</f>
        <v>República Checa</v>
      </c>
      <c r="H246" s="9" t="str">
        <f ca="1">+WORLDCUP!BD61</f>
        <v>Australia</v>
      </c>
      <c r="I246" s="9" t="str">
        <f ca="1">+WORLDCUP!BD69</f>
        <v>Ghana</v>
      </c>
      <c r="J246" s="9" t="str">
        <f ca="1">+WORLDCUP!BD68</f>
        <v>RD Congo</v>
      </c>
      <c r="N246" s="16" t="s">
        <v>1031</v>
      </c>
      <c r="O246" s="16">
        <v>245</v>
      </c>
      <c r="P246" s="16" t="s">
        <v>117</v>
      </c>
      <c r="Q246" s="16" t="s">
        <v>112</v>
      </c>
      <c r="R246" s="16" t="s">
        <v>108</v>
      </c>
      <c r="S246" s="16" t="s">
        <v>94</v>
      </c>
      <c r="T246" s="16" t="s">
        <v>85</v>
      </c>
      <c r="U246" s="16" t="s">
        <v>99</v>
      </c>
      <c r="V246" s="16" t="s">
        <v>135</v>
      </c>
      <c r="W246" s="16" t="s">
        <v>130</v>
      </c>
    </row>
    <row r="247" spans="1:23" x14ac:dyDescent="0.2">
      <c r="A247" s="9" t="s">
        <v>1032</v>
      </c>
      <c r="B247" s="9">
        <f ca="1">+IF(A247=WORLDCUP!$BI$112,1,0)</f>
        <v>0</v>
      </c>
      <c r="C247" s="9" t="str">
        <f ca="1">+WORLDCUP!BD60</f>
        <v>Haití</v>
      </c>
      <c r="D247" s="9" t="str">
        <f ca="1">+WORLDCUP!BD64</f>
        <v>Egipto</v>
      </c>
      <c r="E247" s="9" t="str">
        <f ca="1">+WORLDCUP!BD67</f>
        <v>Argelia</v>
      </c>
      <c r="F247" s="9" t="str">
        <f ca="1">+WORLDCUP!BD61</f>
        <v>Australia</v>
      </c>
      <c r="G247" s="9" t="str">
        <f ca="1">+WORLDCUP!BD58</f>
        <v>República Checa</v>
      </c>
      <c r="H247" s="9" t="str">
        <f ca="1">+WORLDCUP!BD63</f>
        <v>Suecia</v>
      </c>
      <c r="I247" s="9" t="str">
        <f ca="1">+WORLDCUP!BD69</f>
        <v>Ghana</v>
      </c>
      <c r="J247" s="9" t="str">
        <f ca="1">+WORLDCUP!BD65</f>
        <v>Arabia Saudita</v>
      </c>
      <c r="N247" s="16" t="s">
        <v>1032</v>
      </c>
      <c r="O247" s="16">
        <v>246</v>
      </c>
      <c r="P247" s="16" t="s">
        <v>94</v>
      </c>
      <c r="Q247" s="16" t="s">
        <v>112</v>
      </c>
      <c r="R247" s="16" t="s">
        <v>126</v>
      </c>
      <c r="S247" s="16" t="s">
        <v>99</v>
      </c>
      <c r="T247" s="16" t="s">
        <v>85</v>
      </c>
      <c r="U247" s="16" t="s">
        <v>108</v>
      </c>
      <c r="V247" s="16" t="s">
        <v>135</v>
      </c>
      <c r="W247" s="16" t="s">
        <v>117</v>
      </c>
    </row>
    <row r="248" spans="1:23" x14ac:dyDescent="0.2">
      <c r="A248" s="9" t="s">
        <v>1033</v>
      </c>
      <c r="B248" s="9">
        <f ca="1">+IF(A248=WORLDCUP!$BI$112,1,0)</f>
        <v>0</v>
      </c>
      <c r="C248" s="9" t="str">
        <f ca="1">+WORLDCUP!BD65</f>
        <v>Arabia Saudita</v>
      </c>
      <c r="D248" s="9" t="str">
        <f ca="1">+WORLDCUP!BD64</f>
        <v>Egipto</v>
      </c>
      <c r="E248" s="9" t="str">
        <f ca="1">+WORLDCUP!BD67</f>
        <v>Argelia</v>
      </c>
      <c r="F248" s="9" t="str">
        <f ca="1">+WORLDCUP!BD60</f>
        <v>Haití</v>
      </c>
      <c r="G248" s="9" t="str">
        <f ca="1">+WORLDCUP!BD58</f>
        <v>República Checa</v>
      </c>
      <c r="H248" s="9" t="str">
        <f ca="1">+WORLDCUP!BD63</f>
        <v>Suecia</v>
      </c>
      <c r="I248" s="9" t="str">
        <f ca="1">+WORLDCUP!BD61</f>
        <v>Australia</v>
      </c>
      <c r="J248" s="9" t="str">
        <f ca="1">+WORLDCUP!BD68</f>
        <v>RD Congo</v>
      </c>
      <c r="N248" s="16" t="s">
        <v>1033</v>
      </c>
      <c r="O248" s="16">
        <v>247</v>
      </c>
      <c r="P248" s="16" t="s">
        <v>117</v>
      </c>
      <c r="Q248" s="16" t="s">
        <v>112</v>
      </c>
      <c r="R248" s="16" t="s">
        <v>126</v>
      </c>
      <c r="S248" s="16" t="s">
        <v>94</v>
      </c>
      <c r="T248" s="16" t="s">
        <v>85</v>
      </c>
      <c r="U248" s="16" t="s">
        <v>108</v>
      </c>
      <c r="V248" s="16" t="s">
        <v>99</v>
      </c>
      <c r="W248" s="16" t="s">
        <v>130</v>
      </c>
    </row>
    <row r="249" spans="1:23" x14ac:dyDescent="0.2">
      <c r="A249" s="9" t="s">
        <v>1034</v>
      </c>
      <c r="B249" s="9">
        <f ca="1">+IF(A249=WORLDCUP!$BI$112,1,0)</f>
        <v>0</v>
      </c>
      <c r="C249" s="9" t="str">
        <f ca="1">+WORLDCUP!BD65</f>
        <v>Arabia Saudita</v>
      </c>
      <c r="D249" s="9" t="str">
        <f ca="1">+WORLDCUP!BD64</f>
        <v>Egipto</v>
      </c>
      <c r="E249" s="9" t="str">
        <f ca="1">+WORLDCUP!BD63</f>
        <v>Suecia</v>
      </c>
      <c r="F249" s="9" t="str">
        <f ca="1">+WORLDCUP!BD60</f>
        <v>Haití</v>
      </c>
      <c r="G249" s="9" t="str">
        <f ca="1">+WORLDCUP!BD58</f>
        <v>República Checa</v>
      </c>
      <c r="H249" s="9" t="str">
        <f ca="1">+WORLDCUP!BD61</f>
        <v>Australia</v>
      </c>
      <c r="I249" s="9" t="str">
        <f ca="1">+WORLDCUP!BD69</f>
        <v>Ghana</v>
      </c>
      <c r="J249" s="9" t="str">
        <f ca="1">+WORLDCUP!BD66</f>
        <v>Senegal</v>
      </c>
      <c r="N249" s="16" t="s">
        <v>1034</v>
      </c>
      <c r="O249" s="16">
        <v>248</v>
      </c>
      <c r="P249" s="16" t="s">
        <v>117</v>
      </c>
      <c r="Q249" s="16" t="s">
        <v>112</v>
      </c>
      <c r="R249" s="16" t="s">
        <v>108</v>
      </c>
      <c r="S249" s="16" t="s">
        <v>94</v>
      </c>
      <c r="T249" s="16" t="s">
        <v>85</v>
      </c>
      <c r="U249" s="16" t="s">
        <v>99</v>
      </c>
      <c r="V249" s="16" t="s">
        <v>135</v>
      </c>
      <c r="W249" s="16" t="s">
        <v>121</v>
      </c>
    </row>
    <row r="250" spans="1:23" x14ac:dyDescent="0.2">
      <c r="A250" s="9" t="s">
        <v>1035</v>
      </c>
      <c r="B250" s="9">
        <f ca="1">+IF(A250=WORLDCUP!$BI$112,1,0)</f>
        <v>0</v>
      </c>
      <c r="C250" s="9" t="str">
        <f ca="1">+WORLDCUP!BD65</f>
        <v>Arabia Saudita</v>
      </c>
      <c r="D250" s="9" t="str">
        <f ca="1">+WORLDCUP!BD64</f>
        <v>Egipto</v>
      </c>
      <c r="E250" s="9" t="str">
        <f ca="1">+WORLDCUP!BD63</f>
        <v>Suecia</v>
      </c>
      <c r="F250" s="9" t="str">
        <f ca="1">+WORLDCUP!BD60</f>
        <v>Haití</v>
      </c>
      <c r="G250" s="9" t="str">
        <f ca="1">+WORLDCUP!BD58</f>
        <v>República Checa</v>
      </c>
      <c r="H250" s="9" t="str">
        <f ca="1">+WORLDCUP!BD61</f>
        <v>Australia</v>
      </c>
      <c r="I250" s="9" t="str">
        <f ca="1">+WORLDCUP!BD66</f>
        <v>Senegal</v>
      </c>
      <c r="J250" s="9" t="str">
        <f ca="1">+WORLDCUP!BD68</f>
        <v>RD Congo</v>
      </c>
      <c r="N250" s="16" t="s">
        <v>1035</v>
      </c>
      <c r="O250" s="16">
        <v>249</v>
      </c>
      <c r="P250" s="16" t="s">
        <v>117</v>
      </c>
      <c r="Q250" s="16" t="s">
        <v>112</v>
      </c>
      <c r="R250" s="16" t="s">
        <v>108</v>
      </c>
      <c r="S250" s="16" t="s">
        <v>94</v>
      </c>
      <c r="T250" s="16" t="s">
        <v>85</v>
      </c>
      <c r="U250" s="16" t="s">
        <v>99</v>
      </c>
      <c r="V250" s="16" t="s">
        <v>121</v>
      </c>
      <c r="W250" s="16" t="s">
        <v>130</v>
      </c>
    </row>
    <row r="251" spans="1:23" x14ac:dyDescent="0.2">
      <c r="A251" s="9" t="s">
        <v>1036</v>
      </c>
      <c r="B251" s="9">
        <f ca="1">+IF(A251=WORLDCUP!$BI$112,1,0)</f>
        <v>0</v>
      </c>
      <c r="C251" s="9" t="str">
        <f ca="1">+WORLDCUP!BD65</f>
        <v>Arabia Saudita</v>
      </c>
      <c r="D251" s="9" t="str">
        <f ca="1">+WORLDCUP!BD64</f>
        <v>Egipto</v>
      </c>
      <c r="E251" s="9" t="str">
        <f ca="1">+WORLDCUP!BD67</f>
        <v>Argelia</v>
      </c>
      <c r="F251" s="9" t="str">
        <f ca="1">+WORLDCUP!BD60</f>
        <v>Haití</v>
      </c>
      <c r="G251" s="9" t="str">
        <f ca="1">+WORLDCUP!BD58</f>
        <v>República Checa</v>
      </c>
      <c r="H251" s="9" t="str">
        <f ca="1">+WORLDCUP!BD63</f>
        <v>Suecia</v>
      </c>
      <c r="I251" s="9" t="str">
        <f ca="1">+WORLDCUP!BD61</f>
        <v>Australia</v>
      </c>
      <c r="J251" s="9" t="str">
        <f ca="1">+WORLDCUP!BD66</f>
        <v>Senegal</v>
      </c>
      <c r="N251" s="16" t="s">
        <v>1036</v>
      </c>
      <c r="O251" s="16">
        <v>250</v>
      </c>
      <c r="P251" s="16" t="s">
        <v>117</v>
      </c>
      <c r="Q251" s="16" t="s">
        <v>112</v>
      </c>
      <c r="R251" s="16" t="s">
        <v>126</v>
      </c>
      <c r="S251" s="16" t="s">
        <v>94</v>
      </c>
      <c r="T251" s="16" t="s">
        <v>85</v>
      </c>
      <c r="U251" s="16" t="s">
        <v>108</v>
      </c>
      <c r="V251" s="16" t="s">
        <v>99</v>
      </c>
      <c r="W251" s="16" t="s">
        <v>121</v>
      </c>
    </row>
    <row r="252" spans="1:23" x14ac:dyDescent="0.2">
      <c r="A252" s="9" t="s">
        <v>1037</v>
      </c>
      <c r="B252" s="9">
        <f ca="1">+IF(A252=WORLDCUP!$BI$112,1,0)</f>
        <v>0</v>
      </c>
      <c r="C252" s="9" t="str">
        <f ca="1">+WORLDCUP!BD62</f>
        <v>Curazao</v>
      </c>
      <c r="D252" s="9" t="str">
        <f ca="1">+WORLDCUP!BD67</f>
        <v>Argelia</v>
      </c>
      <c r="E252" s="9" t="str">
        <f ca="1">+WORLDCUP!BD66</f>
        <v>Senegal</v>
      </c>
      <c r="F252" s="9" t="str">
        <f ca="1">+WORLDCUP!BD60</f>
        <v>Haití</v>
      </c>
      <c r="G252" s="9" t="str">
        <f ca="1">+WORLDCUP!BD58</f>
        <v>República Checa</v>
      </c>
      <c r="H252" s="9" t="str">
        <f ca="1">+WORLDCUP!BD61</f>
        <v>Australia</v>
      </c>
      <c r="I252" s="9" t="str">
        <f ca="1">+WORLDCUP!BD69</f>
        <v>Ghana</v>
      </c>
      <c r="J252" s="9" t="str">
        <f ca="1">+WORLDCUP!BD68</f>
        <v>RD Congo</v>
      </c>
      <c r="N252" s="16" t="s">
        <v>1037</v>
      </c>
      <c r="O252" s="16">
        <v>251</v>
      </c>
      <c r="P252" s="16" t="s">
        <v>103</v>
      </c>
      <c r="Q252" s="16" t="s">
        <v>126</v>
      </c>
      <c r="R252" s="16" t="s">
        <v>121</v>
      </c>
      <c r="S252" s="16" t="s">
        <v>94</v>
      </c>
      <c r="T252" s="16" t="s">
        <v>85</v>
      </c>
      <c r="U252" s="16" t="s">
        <v>99</v>
      </c>
      <c r="V252" s="16" t="s">
        <v>135</v>
      </c>
      <c r="W252" s="16" t="s">
        <v>130</v>
      </c>
    </row>
    <row r="253" spans="1:23" x14ac:dyDescent="0.2">
      <c r="A253" s="9" t="s">
        <v>1038</v>
      </c>
      <c r="B253" s="9">
        <f ca="1">+IF(A253=WORLDCUP!$BI$112,1,0)</f>
        <v>0</v>
      </c>
      <c r="C253" s="9" t="str">
        <f ca="1">+WORLDCUP!BD65</f>
        <v>Arabia Saudita</v>
      </c>
      <c r="D253" s="9" t="str">
        <f ca="1">+WORLDCUP!BD67</f>
        <v>Argelia</v>
      </c>
      <c r="E253" s="9" t="str">
        <f ca="1">+WORLDCUP!BD62</f>
        <v>Curazao</v>
      </c>
      <c r="F253" s="9" t="str">
        <f ca="1">+WORLDCUP!BD60</f>
        <v>Haití</v>
      </c>
      <c r="G253" s="9" t="str">
        <f ca="1">+WORLDCUP!BD58</f>
        <v>República Checa</v>
      </c>
      <c r="H253" s="9" t="str">
        <f ca="1">+WORLDCUP!BD61</f>
        <v>Australia</v>
      </c>
      <c r="I253" s="9" t="str">
        <f ca="1">+WORLDCUP!BD69</f>
        <v>Ghana</v>
      </c>
      <c r="J253" s="9" t="str">
        <f ca="1">+WORLDCUP!BD68</f>
        <v>RD Congo</v>
      </c>
      <c r="N253" s="16" t="s">
        <v>1038</v>
      </c>
      <c r="O253" s="16">
        <v>252</v>
      </c>
      <c r="P253" s="16" t="s">
        <v>117</v>
      </c>
      <c r="Q253" s="16" t="s">
        <v>126</v>
      </c>
      <c r="R253" s="16" t="s">
        <v>103</v>
      </c>
      <c r="S253" s="16" t="s">
        <v>94</v>
      </c>
      <c r="T253" s="16" t="s">
        <v>85</v>
      </c>
      <c r="U253" s="16" t="s">
        <v>99</v>
      </c>
      <c r="V253" s="16" t="s">
        <v>135</v>
      </c>
      <c r="W253" s="16" t="s">
        <v>130</v>
      </c>
    </row>
    <row r="254" spans="1:23" x14ac:dyDescent="0.2">
      <c r="A254" s="9" t="s">
        <v>1039</v>
      </c>
      <c r="B254" s="9">
        <f ca="1">+IF(A254=WORLDCUP!$BI$112,1,0)</f>
        <v>0</v>
      </c>
      <c r="C254" s="9" t="str">
        <f ca="1">+WORLDCUP!BD65</f>
        <v>Arabia Saudita</v>
      </c>
      <c r="D254" s="9" t="str">
        <f ca="1">+WORLDCUP!BD62</f>
        <v>Curazao</v>
      </c>
      <c r="E254" s="9" t="str">
        <f ca="1">+WORLDCUP!BD66</f>
        <v>Senegal</v>
      </c>
      <c r="F254" s="9" t="str">
        <f ca="1">+WORLDCUP!BD60</f>
        <v>Haití</v>
      </c>
      <c r="G254" s="9" t="str">
        <f ca="1">+WORLDCUP!BD58</f>
        <v>República Checa</v>
      </c>
      <c r="H254" s="9" t="str">
        <f ca="1">+WORLDCUP!BD61</f>
        <v>Australia</v>
      </c>
      <c r="I254" s="9" t="str">
        <f ca="1">+WORLDCUP!BD69</f>
        <v>Ghana</v>
      </c>
      <c r="J254" s="9" t="str">
        <f ca="1">+WORLDCUP!BD68</f>
        <v>RD Congo</v>
      </c>
      <c r="N254" s="16" t="s">
        <v>1039</v>
      </c>
      <c r="O254" s="16">
        <v>253</v>
      </c>
      <c r="P254" s="16" t="s">
        <v>117</v>
      </c>
      <c r="Q254" s="16" t="s">
        <v>103</v>
      </c>
      <c r="R254" s="16" t="s">
        <v>121</v>
      </c>
      <c r="S254" s="16" t="s">
        <v>94</v>
      </c>
      <c r="T254" s="16" t="s">
        <v>85</v>
      </c>
      <c r="U254" s="16" t="s">
        <v>99</v>
      </c>
      <c r="V254" s="16" t="s">
        <v>135</v>
      </c>
      <c r="W254" s="16" t="s">
        <v>130</v>
      </c>
    </row>
    <row r="255" spans="1:23" x14ac:dyDescent="0.2">
      <c r="A255" s="9" t="s">
        <v>1040</v>
      </c>
      <c r="B255" s="9">
        <f ca="1">+IF(A255=WORLDCUP!$BI$112,1,0)</f>
        <v>0</v>
      </c>
      <c r="C255" s="9" t="str">
        <f ca="1">+WORLDCUP!BD65</f>
        <v>Arabia Saudita</v>
      </c>
      <c r="D255" s="9" t="str">
        <f ca="1">+WORLDCUP!BD67</f>
        <v>Argelia</v>
      </c>
      <c r="E255" s="9" t="str">
        <f ca="1">+WORLDCUP!BD62</f>
        <v>Curazao</v>
      </c>
      <c r="F255" s="9" t="str">
        <f ca="1">+WORLDCUP!BD60</f>
        <v>Haití</v>
      </c>
      <c r="G255" s="9" t="str">
        <f ca="1">+WORLDCUP!BD58</f>
        <v>República Checa</v>
      </c>
      <c r="H255" s="9" t="str">
        <f ca="1">+WORLDCUP!BD61</f>
        <v>Australia</v>
      </c>
      <c r="I255" s="9" t="str">
        <f ca="1">+WORLDCUP!BD69</f>
        <v>Ghana</v>
      </c>
      <c r="J255" s="9" t="str">
        <f ca="1">+WORLDCUP!BD66</f>
        <v>Senegal</v>
      </c>
      <c r="N255" s="16" t="s">
        <v>1040</v>
      </c>
      <c r="O255" s="16">
        <v>254</v>
      </c>
      <c r="P255" s="16" t="s">
        <v>117</v>
      </c>
      <c r="Q255" s="16" t="s">
        <v>126</v>
      </c>
      <c r="R255" s="16" t="s">
        <v>103</v>
      </c>
      <c r="S255" s="16" t="s">
        <v>94</v>
      </c>
      <c r="T255" s="16" t="s">
        <v>85</v>
      </c>
      <c r="U255" s="16" t="s">
        <v>99</v>
      </c>
      <c r="V255" s="16" t="s">
        <v>135</v>
      </c>
      <c r="W255" s="16" t="s">
        <v>121</v>
      </c>
    </row>
    <row r="256" spans="1:23" x14ac:dyDescent="0.2">
      <c r="A256" s="9" t="s">
        <v>1041</v>
      </c>
      <c r="B256" s="9">
        <f ca="1">+IF(A256=WORLDCUP!$BI$112,1,0)</f>
        <v>0</v>
      </c>
      <c r="C256" s="9" t="str">
        <f ca="1">+WORLDCUP!BD65</f>
        <v>Arabia Saudita</v>
      </c>
      <c r="D256" s="9" t="str">
        <f ca="1">+WORLDCUP!BD67</f>
        <v>Argelia</v>
      </c>
      <c r="E256" s="9" t="str">
        <f ca="1">+WORLDCUP!BD62</f>
        <v>Curazao</v>
      </c>
      <c r="F256" s="9" t="str">
        <f ca="1">+WORLDCUP!BD60</f>
        <v>Haití</v>
      </c>
      <c r="G256" s="9" t="str">
        <f ca="1">+WORLDCUP!BD58</f>
        <v>República Checa</v>
      </c>
      <c r="H256" s="9" t="str">
        <f ca="1">+WORLDCUP!BD61</f>
        <v>Australia</v>
      </c>
      <c r="I256" s="9" t="str">
        <f ca="1">+WORLDCUP!BD66</f>
        <v>Senegal</v>
      </c>
      <c r="J256" s="9" t="str">
        <f ca="1">+WORLDCUP!BD68</f>
        <v>RD Congo</v>
      </c>
      <c r="N256" s="16" t="s">
        <v>1041</v>
      </c>
      <c r="O256" s="16">
        <v>255</v>
      </c>
      <c r="P256" s="16" t="s">
        <v>117</v>
      </c>
      <c r="Q256" s="16" t="s">
        <v>126</v>
      </c>
      <c r="R256" s="16" t="s">
        <v>103</v>
      </c>
      <c r="S256" s="16" t="s">
        <v>94</v>
      </c>
      <c r="T256" s="16" t="s">
        <v>85</v>
      </c>
      <c r="U256" s="16" t="s">
        <v>99</v>
      </c>
      <c r="V256" s="16" t="s">
        <v>121</v>
      </c>
      <c r="W256" s="16" t="s">
        <v>130</v>
      </c>
    </row>
    <row r="257" spans="1:23" x14ac:dyDescent="0.2">
      <c r="A257" s="9" t="s">
        <v>1042</v>
      </c>
      <c r="B257" s="9">
        <f ca="1">+IF(A257=WORLDCUP!$BI$112,1,0)</f>
        <v>0</v>
      </c>
      <c r="C257" s="9" t="str">
        <f ca="1">+WORLDCUP!BD62</f>
        <v>Curazao</v>
      </c>
      <c r="D257" s="9" t="str">
        <f ca="1">+WORLDCUP!BD64</f>
        <v>Egipto</v>
      </c>
      <c r="E257" s="9" t="str">
        <f ca="1">+WORLDCUP!BD67</f>
        <v>Argelia</v>
      </c>
      <c r="F257" s="9" t="str">
        <f ca="1">+WORLDCUP!BD60</f>
        <v>Haití</v>
      </c>
      <c r="G257" s="9" t="str">
        <f ca="1">+WORLDCUP!BD58</f>
        <v>República Checa</v>
      </c>
      <c r="H257" s="9" t="str">
        <f ca="1">+WORLDCUP!BD61</f>
        <v>Australia</v>
      </c>
      <c r="I257" s="9" t="str">
        <f ca="1">+WORLDCUP!BD69</f>
        <v>Ghana</v>
      </c>
      <c r="J257" s="9" t="str">
        <f ca="1">+WORLDCUP!BD68</f>
        <v>RD Congo</v>
      </c>
      <c r="N257" s="16" t="s">
        <v>1042</v>
      </c>
      <c r="O257" s="16">
        <v>256</v>
      </c>
      <c r="P257" s="16" t="s">
        <v>103</v>
      </c>
      <c r="Q257" s="16" t="s">
        <v>112</v>
      </c>
      <c r="R257" s="16" t="s">
        <v>126</v>
      </c>
      <c r="S257" s="16" t="s">
        <v>94</v>
      </c>
      <c r="T257" s="16" t="s">
        <v>85</v>
      </c>
      <c r="U257" s="16" t="s">
        <v>99</v>
      </c>
      <c r="V257" s="16" t="s">
        <v>135</v>
      </c>
      <c r="W257" s="16" t="s">
        <v>130</v>
      </c>
    </row>
    <row r="258" spans="1:23" x14ac:dyDescent="0.2">
      <c r="A258" s="9" t="s">
        <v>1043</v>
      </c>
      <c r="B258" s="9">
        <f ca="1">+IF(A258=WORLDCUP!$BI$112,1,0)</f>
        <v>0</v>
      </c>
      <c r="C258" s="9" t="str">
        <f ca="1">+WORLDCUP!BD62</f>
        <v>Curazao</v>
      </c>
      <c r="D258" s="9" t="str">
        <f ca="1">+WORLDCUP!BD64</f>
        <v>Egipto</v>
      </c>
      <c r="E258" s="9" t="str">
        <f ca="1">+WORLDCUP!BD66</f>
        <v>Senegal</v>
      </c>
      <c r="F258" s="9" t="str">
        <f ca="1">+WORLDCUP!BD60</f>
        <v>Haití</v>
      </c>
      <c r="G258" s="9" t="str">
        <f ca="1">+WORLDCUP!BD58</f>
        <v>República Checa</v>
      </c>
      <c r="H258" s="9" t="str">
        <f ca="1">+WORLDCUP!BD61</f>
        <v>Australia</v>
      </c>
      <c r="I258" s="9" t="str">
        <f ca="1">+WORLDCUP!BD69</f>
        <v>Ghana</v>
      </c>
      <c r="J258" s="9" t="str">
        <f ca="1">+WORLDCUP!BD68</f>
        <v>RD Congo</v>
      </c>
      <c r="N258" s="16" t="s">
        <v>1043</v>
      </c>
      <c r="O258" s="16">
        <v>257</v>
      </c>
      <c r="P258" s="16" t="s">
        <v>103</v>
      </c>
      <c r="Q258" s="16" t="s">
        <v>112</v>
      </c>
      <c r="R258" s="16" t="s">
        <v>121</v>
      </c>
      <c r="S258" s="16" t="s">
        <v>94</v>
      </c>
      <c r="T258" s="16" t="s">
        <v>85</v>
      </c>
      <c r="U258" s="16" t="s">
        <v>99</v>
      </c>
      <c r="V258" s="16" t="s">
        <v>135</v>
      </c>
      <c r="W258" s="16" t="s">
        <v>130</v>
      </c>
    </row>
    <row r="259" spans="1:23" x14ac:dyDescent="0.2">
      <c r="A259" s="9" t="s">
        <v>1044</v>
      </c>
      <c r="B259" s="9">
        <f ca="1">+IF(A259=WORLDCUP!$BI$112,1,0)</f>
        <v>0</v>
      </c>
      <c r="C259" s="9" t="str">
        <f ca="1">+WORLDCUP!BD62</f>
        <v>Curazao</v>
      </c>
      <c r="D259" s="9" t="str">
        <f ca="1">+WORLDCUP!BD64</f>
        <v>Egipto</v>
      </c>
      <c r="E259" s="9" t="str">
        <f ca="1">+WORLDCUP!BD67</f>
        <v>Argelia</v>
      </c>
      <c r="F259" s="9" t="str">
        <f ca="1">+WORLDCUP!BD60</f>
        <v>Haití</v>
      </c>
      <c r="G259" s="9" t="str">
        <f ca="1">+WORLDCUP!BD58</f>
        <v>República Checa</v>
      </c>
      <c r="H259" s="9" t="str">
        <f ca="1">+WORLDCUP!BD61</f>
        <v>Australia</v>
      </c>
      <c r="I259" s="9" t="str">
        <f ca="1">+WORLDCUP!BD69</f>
        <v>Ghana</v>
      </c>
      <c r="J259" s="9" t="str">
        <f ca="1">+WORLDCUP!BD66</f>
        <v>Senegal</v>
      </c>
      <c r="N259" s="16" t="s">
        <v>1044</v>
      </c>
      <c r="O259" s="16">
        <v>258</v>
      </c>
      <c r="P259" s="16" t="s">
        <v>103</v>
      </c>
      <c r="Q259" s="16" t="s">
        <v>112</v>
      </c>
      <c r="R259" s="16" t="s">
        <v>126</v>
      </c>
      <c r="S259" s="16" t="s">
        <v>94</v>
      </c>
      <c r="T259" s="16" t="s">
        <v>85</v>
      </c>
      <c r="U259" s="16" t="s">
        <v>99</v>
      </c>
      <c r="V259" s="16" t="s">
        <v>135</v>
      </c>
      <c r="W259" s="16" t="s">
        <v>121</v>
      </c>
    </row>
    <row r="260" spans="1:23" x14ac:dyDescent="0.2">
      <c r="A260" s="9" t="s">
        <v>1045</v>
      </c>
      <c r="B260" s="9">
        <f ca="1">+IF(A260=WORLDCUP!$BI$112,1,0)</f>
        <v>0</v>
      </c>
      <c r="C260" s="9" t="str">
        <f ca="1">+WORLDCUP!BD62</f>
        <v>Curazao</v>
      </c>
      <c r="D260" s="9" t="str">
        <f ca="1">+WORLDCUP!BD64</f>
        <v>Egipto</v>
      </c>
      <c r="E260" s="9" t="str">
        <f ca="1">+WORLDCUP!BD67</f>
        <v>Argelia</v>
      </c>
      <c r="F260" s="9" t="str">
        <f ca="1">+WORLDCUP!BD60</f>
        <v>Haití</v>
      </c>
      <c r="G260" s="9" t="str">
        <f ca="1">+WORLDCUP!BD58</f>
        <v>República Checa</v>
      </c>
      <c r="H260" s="9" t="str">
        <f ca="1">+WORLDCUP!BD61</f>
        <v>Australia</v>
      </c>
      <c r="I260" s="9" t="str">
        <f ca="1">+WORLDCUP!BD66</f>
        <v>Senegal</v>
      </c>
      <c r="J260" s="9" t="str">
        <f ca="1">+WORLDCUP!BD68</f>
        <v>RD Congo</v>
      </c>
      <c r="N260" s="16" t="s">
        <v>1045</v>
      </c>
      <c r="O260" s="16">
        <v>259</v>
      </c>
      <c r="P260" s="16" t="s">
        <v>103</v>
      </c>
      <c r="Q260" s="16" t="s">
        <v>112</v>
      </c>
      <c r="R260" s="16" t="s">
        <v>126</v>
      </c>
      <c r="S260" s="16" t="s">
        <v>94</v>
      </c>
      <c r="T260" s="16" t="s">
        <v>85</v>
      </c>
      <c r="U260" s="16" t="s">
        <v>99</v>
      </c>
      <c r="V260" s="16" t="s">
        <v>121</v>
      </c>
      <c r="W260" s="16" t="s">
        <v>130</v>
      </c>
    </row>
    <row r="261" spans="1:23" x14ac:dyDescent="0.2">
      <c r="A261" s="9" t="s">
        <v>1046</v>
      </c>
      <c r="B261" s="9">
        <f ca="1">+IF(A261=WORLDCUP!$BI$112,1,0)</f>
        <v>0</v>
      </c>
      <c r="C261" s="9" t="str">
        <f ca="1">+WORLDCUP!BD65</f>
        <v>Arabia Saudita</v>
      </c>
      <c r="D261" s="9" t="str">
        <f ca="1">+WORLDCUP!BD64</f>
        <v>Egipto</v>
      </c>
      <c r="E261" s="9" t="str">
        <f ca="1">+WORLDCUP!BD62</f>
        <v>Curazao</v>
      </c>
      <c r="F261" s="9" t="str">
        <f ca="1">+WORLDCUP!BD60</f>
        <v>Haití</v>
      </c>
      <c r="G261" s="9" t="str">
        <f ca="1">+WORLDCUP!BD58</f>
        <v>República Checa</v>
      </c>
      <c r="H261" s="9" t="str">
        <f ca="1">+WORLDCUP!BD61</f>
        <v>Australia</v>
      </c>
      <c r="I261" s="9" t="str">
        <f ca="1">+WORLDCUP!BD69</f>
        <v>Ghana</v>
      </c>
      <c r="J261" s="9" t="str">
        <f ca="1">+WORLDCUP!BD68</f>
        <v>RD Congo</v>
      </c>
      <c r="N261" s="16" t="s">
        <v>1046</v>
      </c>
      <c r="O261" s="16">
        <v>260</v>
      </c>
      <c r="P261" s="16" t="s">
        <v>117</v>
      </c>
      <c r="Q261" s="16" t="s">
        <v>112</v>
      </c>
      <c r="R261" s="16" t="s">
        <v>103</v>
      </c>
      <c r="S261" s="16" t="s">
        <v>94</v>
      </c>
      <c r="T261" s="16" t="s">
        <v>85</v>
      </c>
      <c r="U261" s="16" t="s">
        <v>99</v>
      </c>
      <c r="V261" s="16" t="s">
        <v>135</v>
      </c>
      <c r="W261" s="16" t="s">
        <v>130</v>
      </c>
    </row>
    <row r="262" spans="1:23" x14ac:dyDescent="0.2">
      <c r="A262" s="9" t="s">
        <v>1047</v>
      </c>
      <c r="B262" s="9">
        <f ca="1">+IF(A262=WORLDCUP!$BI$112,1,0)</f>
        <v>0</v>
      </c>
      <c r="C262" s="9" t="str">
        <f ca="1">+WORLDCUP!BD65</f>
        <v>Arabia Saudita</v>
      </c>
      <c r="D262" s="9" t="str">
        <f ca="1">+WORLDCUP!BD64</f>
        <v>Egipto</v>
      </c>
      <c r="E262" s="9" t="str">
        <f ca="1">+WORLDCUP!BD67</f>
        <v>Argelia</v>
      </c>
      <c r="F262" s="9" t="str">
        <f ca="1">+WORLDCUP!BD60</f>
        <v>Haití</v>
      </c>
      <c r="G262" s="9" t="str">
        <f ca="1">+WORLDCUP!BD58</f>
        <v>República Checa</v>
      </c>
      <c r="H262" s="9" t="str">
        <f ca="1">+WORLDCUP!BD61</f>
        <v>Australia</v>
      </c>
      <c r="I262" s="9" t="str">
        <f ca="1">+WORLDCUP!BD69</f>
        <v>Ghana</v>
      </c>
      <c r="J262" s="9" t="str">
        <f ca="1">+WORLDCUP!BD62</f>
        <v>Curazao</v>
      </c>
      <c r="N262" s="16" t="s">
        <v>1047</v>
      </c>
      <c r="O262" s="16">
        <v>261</v>
      </c>
      <c r="P262" s="16" t="s">
        <v>117</v>
      </c>
      <c r="Q262" s="16" t="s">
        <v>112</v>
      </c>
      <c r="R262" s="16" t="s">
        <v>126</v>
      </c>
      <c r="S262" s="16" t="s">
        <v>94</v>
      </c>
      <c r="T262" s="16" t="s">
        <v>85</v>
      </c>
      <c r="U262" s="16" t="s">
        <v>99</v>
      </c>
      <c r="V262" s="16" t="s">
        <v>135</v>
      </c>
      <c r="W262" s="16" t="s">
        <v>103</v>
      </c>
    </row>
    <row r="263" spans="1:23" x14ac:dyDescent="0.2">
      <c r="A263" s="9" t="s">
        <v>1048</v>
      </c>
      <c r="B263" s="9">
        <f ca="1">+IF(A263=WORLDCUP!$BI$112,1,0)</f>
        <v>0</v>
      </c>
      <c r="C263" s="9" t="str">
        <f ca="1">+WORLDCUP!BD65</f>
        <v>Arabia Saudita</v>
      </c>
      <c r="D263" s="9" t="str">
        <f ca="1">+WORLDCUP!BD64</f>
        <v>Egipto</v>
      </c>
      <c r="E263" s="9" t="str">
        <f ca="1">+WORLDCUP!BD67</f>
        <v>Argelia</v>
      </c>
      <c r="F263" s="9" t="str">
        <f ca="1">+WORLDCUP!BD60</f>
        <v>Haití</v>
      </c>
      <c r="G263" s="9" t="str">
        <f ca="1">+WORLDCUP!BD58</f>
        <v>República Checa</v>
      </c>
      <c r="H263" s="9" t="str">
        <f ca="1">+WORLDCUP!BD61</f>
        <v>Australia</v>
      </c>
      <c r="I263" s="9" t="str">
        <f ca="1">+WORLDCUP!BD62</f>
        <v>Curazao</v>
      </c>
      <c r="J263" s="9" t="str">
        <f ca="1">+WORLDCUP!BD68</f>
        <v>RD Congo</v>
      </c>
      <c r="N263" s="16" t="s">
        <v>1048</v>
      </c>
      <c r="O263" s="16">
        <v>262</v>
      </c>
      <c r="P263" s="16" t="s">
        <v>117</v>
      </c>
      <c r="Q263" s="16" t="s">
        <v>112</v>
      </c>
      <c r="R263" s="16" t="s">
        <v>126</v>
      </c>
      <c r="S263" s="16" t="s">
        <v>94</v>
      </c>
      <c r="T263" s="16" t="s">
        <v>85</v>
      </c>
      <c r="U263" s="16" t="s">
        <v>99</v>
      </c>
      <c r="V263" s="16" t="s">
        <v>103</v>
      </c>
      <c r="W263" s="16" t="s">
        <v>130</v>
      </c>
    </row>
    <row r="264" spans="1:23" x14ac:dyDescent="0.2">
      <c r="A264" s="9" t="s">
        <v>1049</v>
      </c>
      <c r="B264" s="9">
        <f ca="1">+IF(A264=WORLDCUP!$BI$112,1,0)</f>
        <v>0</v>
      </c>
      <c r="C264" s="9" t="str">
        <f ca="1">+WORLDCUP!BD65</f>
        <v>Arabia Saudita</v>
      </c>
      <c r="D264" s="9" t="str">
        <f ca="1">+WORLDCUP!BD64</f>
        <v>Egipto</v>
      </c>
      <c r="E264" s="9" t="str">
        <f ca="1">+WORLDCUP!BD62</f>
        <v>Curazao</v>
      </c>
      <c r="F264" s="9" t="str">
        <f ca="1">+WORLDCUP!BD60</f>
        <v>Haití</v>
      </c>
      <c r="G264" s="9" t="str">
        <f ca="1">+WORLDCUP!BD58</f>
        <v>República Checa</v>
      </c>
      <c r="H264" s="9" t="str">
        <f ca="1">+WORLDCUP!BD61</f>
        <v>Australia</v>
      </c>
      <c r="I264" s="9" t="str">
        <f ca="1">+WORLDCUP!BD69</f>
        <v>Ghana</v>
      </c>
      <c r="J264" s="9" t="str">
        <f ca="1">+WORLDCUP!BD66</f>
        <v>Senegal</v>
      </c>
      <c r="N264" s="16" t="s">
        <v>1049</v>
      </c>
      <c r="O264" s="16">
        <v>263</v>
      </c>
      <c r="P264" s="16" t="s">
        <v>117</v>
      </c>
      <c r="Q264" s="16" t="s">
        <v>112</v>
      </c>
      <c r="R264" s="16" t="s">
        <v>103</v>
      </c>
      <c r="S264" s="16" t="s">
        <v>94</v>
      </c>
      <c r="T264" s="16" t="s">
        <v>85</v>
      </c>
      <c r="U264" s="16" t="s">
        <v>99</v>
      </c>
      <c r="V264" s="16" t="s">
        <v>135</v>
      </c>
      <c r="W264" s="16" t="s">
        <v>121</v>
      </c>
    </row>
    <row r="265" spans="1:23" x14ac:dyDescent="0.2">
      <c r="A265" s="9" t="s">
        <v>1050</v>
      </c>
      <c r="B265" s="9">
        <f ca="1">+IF(A265=WORLDCUP!$BI$112,1,0)</f>
        <v>0</v>
      </c>
      <c r="C265" s="9" t="str">
        <f ca="1">+WORLDCUP!BD65</f>
        <v>Arabia Saudita</v>
      </c>
      <c r="D265" s="9" t="str">
        <f ca="1">+WORLDCUP!BD64</f>
        <v>Egipto</v>
      </c>
      <c r="E265" s="9" t="str">
        <f ca="1">+WORLDCUP!BD62</f>
        <v>Curazao</v>
      </c>
      <c r="F265" s="9" t="str">
        <f ca="1">+WORLDCUP!BD60</f>
        <v>Haití</v>
      </c>
      <c r="G265" s="9" t="str">
        <f ca="1">+WORLDCUP!BD58</f>
        <v>República Checa</v>
      </c>
      <c r="H265" s="9" t="str">
        <f ca="1">+WORLDCUP!BD61</f>
        <v>Australia</v>
      </c>
      <c r="I265" s="9" t="str">
        <f ca="1">+WORLDCUP!BD66</f>
        <v>Senegal</v>
      </c>
      <c r="J265" s="9" t="str">
        <f ca="1">+WORLDCUP!BD68</f>
        <v>RD Congo</v>
      </c>
      <c r="N265" s="16" t="s">
        <v>1050</v>
      </c>
      <c r="O265" s="16">
        <v>264</v>
      </c>
      <c r="P265" s="16" t="s">
        <v>117</v>
      </c>
      <c r="Q265" s="16" t="s">
        <v>112</v>
      </c>
      <c r="R265" s="16" t="s">
        <v>103</v>
      </c>
      <c r="S265" s="16" t="s">
        <v>94</v>
      </c>
      <c r="T265" s="16" t="s">
        <v>85</v>
      </c>
      <c r="U265" s="16" t="s">
        <v>99</v>
      </c>
      <c r="V265" s="16" t="s">
        <v>121</v>
      </c>
      <c r="W265" s="16" t="s">
        <v>130</v>
      </c>
    </row>
    <row r="266" spans="1:23" x14ac:dyDescent="0.2">
      <c r="A266" s="9" t="s">
        <v>1051</v>
      </c>
      <c r="B266" s="9">
        <f ca="1">+IF(A266=WORLDCUP!$BI$112,1,0)</f>
        <v>0</v>
      </c>
      <c r="C266" s="9" t="str">
        <f ca="1">+WORLDCUP!BD65</f>
        <v>Arabia Saudita</v>
      </c>
      <c r="D266" s="9" t="str">
        <f ca="1">+WORLDCUP!BD64</f>
        <v>Egipto</v>
      </c>
      <c r="E266" s="9" t="str">
        <f ca="1">+WORLDCUP!BD67</f>
        <v>Argelia</v>
      </c>
      <c r="F266" s="9" t="str">
        <f ca="1">+WORLDCUP!BD60</f>
        <v>Haití</v>
      </c>
      <c r="G266" s="9" t="str">
        <f ca="1">+WORLDCUP!BD58</f>
        <v>República Checa</v>
      </c>
      <c r="H266" s="9" t="str">
        <f ca="1">+WORLDCUP!BD61</f>
        <v>Australia</v>
      </c>
      <c r="I266" s="9" t="str">
        <f ca="1">+WORLDCUP!BD62</f>
        <v>Curazao</v>
      </c>
      <c r="J266" s="9" t="str">
        <f ca="1">+WORLDCUP!BD66</f>
        <v>Senegal</v>
      </c>
      <c r="N266" s="16" t="s">
        <v>1051</v>
      </c>
      <c r="O266" s="16">
        <v>265</v>
      </c>
      <c r="P266" s="16" t="s">
        <v>117</v>
      </c>
      <c r="Q266" s="16" t="s">
        <v>112</v>
      </c>
      <c r="R266" s="16" t="s">
        <v>126</v>
      </c>
      <c r="S266" s="16" t="s">
        <v>94</v>
      </c>
      <c r="T266" s="16" t="s">
        <v>85</v>
      </c>
      <c r="U266" s="16" t="s">
        <v>99</v>
      </c>
      <c r="V266" s="16" t="s">
        <v>103</v>
      </c>
      <c r="W266" s="16" t="s">
        <v>121</v>
      </c>
    </row>
    <row r="267" spans="1:23" x14ac:dyDescent="0.2">
      <c r="A267" s="9" t="s">
        <v>1052</v>
      </c>
      <c r="B267" s="9">
        <f ca="1">+IF(A267=WORLDCUP!$BI$112,1,0)</f>
        <v>0</v>
      </c>
      <c r="C267" s="9" t="str">
        <f ca="1">+WORLDCUP!BD60</f>
        <v>Haití</v>
      </c>
      <c r="D267" s="9" t="str">
        <f ca="1">+WORLDCUP!BD67</f>
        <v>Argelia</v>
      </c>
      <c r="E267" s="9" t="str">
        <f ca="1">+WORLDCUP!BD62</f>
        <v>Curazao</v>
      </c>
      <c r="F267" s="9" t="str">
        <f ca="1">+WORLDCUP!BD61</f>
        <v>Australia</v>
      </c>
      <c r="G267" s="9" t="str">
        <f ca="1">+WORLDCUP!BD58</f>
        <v>República Checa</v>
      </c>
      <c r="H267" s="9" t="str">
        <f ca="1">+WORLDCUP!BD63</f>
        <v>Suecia</v>
      </c>
      <c r="I267" s="9" t="str">
        <f ca="1">+WORLDCUP!BD69</f>
        <v>Ghana</v>
      </c>
      <c r="J267" s="9" t="str">
        <f ca="1">+WORLDCUP!BD68</f>
        <v>RD Congo</v>
      </c>
      <c r="N267" s="16" t="s">
        <v>1052</v>
      </c>
      <c r="O267" s="16">
        <v>266</v>
      </c>
      <c r="P267" s="16" t="s">
        <v>94</v>
      </c>
      <c r="Q267" s="16" t="s">
        <v>126</v>
      </c>
      <c r="R267" s="16" t="s">
        <v>103</v>
      </c>
      <c r="S267" s="16" t="s">
        <v>99</v>
      </c>
      <c r="T267" s="16" t="s">
        <v>85</v>
      </c>
      <c r="U267" s="16" t="s">
        <v>108</v>
      </c>
      <c r="V267" s="16" t="s">
        <v>135</v>
      </c>
      <c r="W267" s="16" t="s">
        <v>130</v>
      </c>
    </row>
    <row r="268" spans="1:23" x14ac:dyDescent="0.2">
      <c r="A268" s="9" t="s">
        <v>1053</v>
      </c>
      <c r="B268" s="9">
        <f ca="1">+IF(A268=WORLDCUP!$BI$112,1,0)</f>
        <v>0</v>
      </c>
      <c r="C268" s="9" t="str">
        <f ca="1">+WORLDCUP!BD60</f>
        <v>Haití</v>
      </c>
      <c r="D268" s="9" t="str">
        <f ca="1">+WORLDCUP!BD62</f>
        <v>Curazao</v>
      </c>
      <c r="E268" s="9" t="str">
        <f ca="1">+WORLDCUP!BD66</f>
        <v>Senegal</v>
      </c>
      <c r="F268" s="9" t="str">
        <f ca="1">+WORLDCUP!BD61</f>
        <v>Australia</v>
      </c>
      <c r="G268" s="9" t="str">
        <f ca="1">+WORLDCUP!BD58</f>
        <v>República Checa</v>
      </c>
      <c r="H268" s="9" t="str">
        <f ca="1">+WORLDCUP!BD63</f>
        <v>Suecia</v>
      </c>
      <c r="I268" s="9" t="str">
        <f ca="1">+WORLDCUP!BD69</f>
        <v>Ghana</v>
      </c>
      <c r="J268" s="9" t="str">
        <f ca="1">+WORLDCUP!BD68</f>
        <v>RD Congo</v>
      </c>
      <c r="N268" s="16" t="s">
        <v>1053</v>
      </c>
      <c r="O268" s="16">
        <v>267</v>
      </c>
      <c r="P268" s="16" t="s">
        <v>94</v>
      </c>
      <c r="Q268" s="16" t="s">
        <v>103</v>
      </c>
      <c r="R268" s="16" t="s">
        <v>121</v>
      </c>
      <c r="S268" s="16" t="s">
        <v>99</v>
      </c>
      <c r="T268" s="16" t="s">
        <v>85</v>
      </c>
      <c r="U268" s="16" t="s">
        <v>108</v>
      </c>
      <c r="V268" s="16" t="s">
        <v>135</v>
      </c>
      <c r="W268" s="16" t="s">
        <v>130</v>
      </c>
    </row>
    <row r="269" spans="1:23" x14ac:dyDescent="0.2">
      <c r="A269" s="9" t="s">
        <v>1054</v>
      </c>
      <c r="B269" s="9">
        <f ca="1">+IF(A269=WORLDCUP!$BI$112,1,0)</f>
        <v>0</v>
      </c>
      <c r="C269" s="9" t="str">
        <f ca="1">+WORLDCUP!BD60</f>
        <v>Haití</v>
      </c>
      <c r="D269" s="9" t="str">
        <f ca="1">+WORLDCUP!BD67</f>
        <v>Argelia</v>
      </c>
      <c r="E269" s="9" t="str">
        <f ca="1">+WORLDCUP!BD62</f>
        <v>Curazao</v>
      </c>
      <c r="F269" s="9" t="str">
        <f ca="1">+WORLDCUP!BD61</f>
        <v>Australia</v>
      </c>
      <c r="G269" s="9" t="str">
        <f ca="1">+WORLDCUP!BD58</f>
        <v>República Checa</v>
      </c>
      <c r="H269" s="9" t="str">
        <f ca="1">+WORLDCUP!BD63</f>
        <v>Suecia</v>
      </c>
      <c r="I269" s="9" t="str">
        <f ca="1">+WORLDCUP!BD69</f>
        <v>Ghana</v>
      </c>
      <c r="J269" s="9" t="str">
        <f ca="1">+WORLDCUP!BD66</f>
        <v>Senegal</v>
      </c>
      <c r="N269" s="16" t="s">
        <v>1054</v>
      </c>
      <c r="O269" s="16">
        <v>268</v>
      </c>
      <c r="P269" s="16" t="s">
        <v>94</v>
      </c>
      <c r="Q269" s="16" t="s">
        <v>126</v>
      </c>
      <c r="R269" s="16" t="s">
        <v>103</v>
      </c>
      <c r="S269" s="16" t="s">
        <v>99</v>
      </c>
      <c r="T269" s="16" t="s">
        <v>85</v>
      </c>
      <c r="U269" s="16" t="s">
        <v>108</v>
      </c>
      <c r="V269" s="16" t="s">
        <v>135</v>
      </c>
      <c r="W269" s="16" t="s">
        <v>121</v>
      </c>
    </row>
    <row r="270" spans="1:23" x14ac:dyDescent="0.2">
      <c r="A270" s="9" t="s">
        <v>1055</v>
      </c>
      <c r="B270" s="9">
        <f ca="1">+IF(A270=WORLDCUP!$BI$112,1,0)</f>
        <v>0</v>
      </c>
      <c r="C270" s="9" t="str">
        <f ca="1">+WORLDCUP!BD60</f>
        <v>Haití</v>
      </c>
      <c r="D270" s="9" t="str">
        <f ca="1">+WORLDCUP!BD67</f>
        <v>Argelia</v>
      </c>
      <c r="E270" s="9" t="str">
        <f ca="1">+WORLDCUP!BD62</f>
        <v>Curazao</v>
      </c>
      <c r="F270" s="9" t="str">
        <f ca="1">+WORLDCUP!BD61</f>
        <v>Australia</v>
      </c>
      <c r="G270" s="9" t="str">
        <f ca="1">+WORLDCUP!BD58</f>
        <v>República Checa</v>
      </c>
      <c r="H270" s="9" t="str">
        <f ca="1">+WORLDCUP!BD63</f>
        <v>Suecia</v>
      </c>
      <c r="I270" s="9" t="str">
        <f ca="1">+WORLDCUP!BD66</f>
        <v>Senegal</v>
      </c>
      <c r="J270" s="9" t="str">
        <f ca="1">+WORLDCUP!BD68</f>
        <v>RD Congo</v>
      </c>
      <c r="N270" s="16" t="s">
        <v>1055</v>
      </c>
      <c r="O270" s="16">
        <v>269</v>
      </c>
      <c r="P270" s="16" t="s">
        <v>94</v>
      </c>
      <c r="Q270" s="16" t="s">
        <v>126</v>
      </c>
      <c r="R270" s="16" t="s">
        <v>103</v>
      </c>
      <c r="S270" s="16" t="s">
        <v>99</v>
      </c>
      <c r="T270" s="16" t="s">
        <v>85</v>
      </c>
      <c r="U270" s="16" t="s">
        <v>108</v>
      </c>
      <c r="V270" s="16" t="s">
        <v>121</v>
      </c>
      <c r="W270" s="16" t="s">
        <v>130</v>
      </c>
    </row>
    <row r="271" spans="1:23" x14ac:dyDescent="0.2">
      <c r="A271" s="9" t="s">
        <v>1056</v>
      </c>
      <c r="B271" s="9">
        <f ca="1">+IF(A271=WORLDCUP!$BI$112,1,0)</f>
        <v>0</v>
      </c>
      <c r="C271" s="9" t="str">
        <f ca="1">+WORLDCUP!BD65</f>
        <v>Arabia Saudita</v>
      </c>
      <c r="D271" s="9" t="str">
        <f ca="1">+WORLDCUP!BD62</f>
        <v>Curazao</v>
      </c>
      <c r="E271" s="9" t="str">
        <f ca="1">+WORLDCUP!BD63</f>
        <v>Suecia</v>
      </c>
      <c r="F271" s="9" t="str">
        <f ca="1">+WORLDCUP!BD60</f>
        <v>Haití</v>
      </c>
      <c r="G271" s="9" t="str">
        <f ca="1">+WORLDCUP!BD58</f>
        <v>República Checa</v>
      </c>
      <c r="H271" s="9" t="str">
        <f ca="1">+WORLDCUP!BD61</f>
        <v>Australia</v>
      </c>
      <c r="I271" s="9" t="str">
        <f ca="1">+WORLDCUP!BD69</f>
        <v>Ghana</v>
      </c>
      <c r="J271" s="9" t="str">
        <f ca="1">+WORLDCUP!BD68</f>
        <v>RD Congo</v>
      </c>
      <c r="N271" s="16" t="s">
        <v>1056</v>
      </c>
      <c r="O271" s="16">
        <v>270</v>
      </c>
      <c r="P271" s="16" t="s">
        <v>117</v>
      </c>
      <c r="Q271" s="16" t="s">
        <v>103</v>
      </c>
      <c r="R271" s="16" t="s">
        <v>108</v>
      </c>
      <c r="S271" s="16" t="s">
        <v>94</v>
      </c>
      <c r="T271" s="16" t="s">
        <v>85</v>
      </c>
      <c r="U271" s="16" t="s">
        <v>99</v>
      </c>
      <c r="V271" s="16" t="s">
        <v>135</v>
      </c>
      <c r="W271" s="16" t="s">
        <v>130</v>
      </c>
    </row>
    <row r="272" spans="1:23" x14ac:dyDescent="0.2">
      <c r="A272" s="9" t="s">
        <v>1057</v>
      </c>
      <c r="B272" s="9">
        <f ca="1">+IF(A272=WORLDCUP!$BI$112,1,0)</f>
        <v>0</v>
      </c>
      <c r="C272" s="9" t="str">
        <f ca="1">+WORLDCUP!BD65</f>
        <v>Arabia Saudita</v>
      </c>
      <c r="D272" s="9" t="str">
        <f ca="1">+WORLDCUP!BD67</f>
        <v>Argelia</v>
      </c>
      <c r="E272" s="9" t="str">
        <f ca="1">+WORLDCUP!BD63</f>
        <v>Suecia</v>
      </c>
      <c r="F272" s="9" t="str">
        <f ca="1">+WORLDCUP!BD60</f>
        <v>Haití</v>
      </c>
      <c r="G272" s="9" t="str">
        <f ca="1">+WORLDCUP!BD58</f>
        <v>República Checa</v>
      </c>
      <c r="H272" s="9" t="str">
        <f ca="1">+WORLDCUP!BD61</f>
        <v>Australia</v>
      </c>
      <c r="I272" s="9" t="str">
        <f ca="1">+WORLDCUP!BD69</f>
        <v>Ghana</v>
      </c>
      <c r="J272" s="9" t="str">
        <f ca="1">+WORLDCUP!BD62</f>
        <v>Curazao</v>
      </c>
      <c r="N272" s="16" t="s">
        <v>1057</v>
      </c>
      <c r="O272" s="16">
        <v>271</v>
      </c>
      <c r="P272" s="16" t="s">
        <v>117</v>
      </c>
      <c r="Q272" s="16" t="s">
        <v>126</v>
      </c>
      <c r="R272" s="16" t="s">
        <v>108</v>
      </c>
      <c r="S272" s="16" t="s">
        <v>94</v>
      </c>
      <c r="T272" s="16" t="s">
        <v>85</v>
      </c>
      <c r="U272" s="16" t="s">
        <v>99</v>
      </c>
      <c r="V272" s="16" t="s">
        <v>135</v>
      </c>
      <c r="W272" s="16" t="s">
        <v>103</v>
      </c>
    </row>
    <row r="273" spans="1:23" x14ac:dyDescent="0.2">
      <c r="A273" s="9" t="s">
        <v>1058</v>
      </c>
      <c r="B273" s="9">
        <f ca="1">+IF(A273=WORLDCUP!$BI$112,1,0)</f>
        <v>0</v>
      </c>
      <c r="C273" s="9" t="str">
        <f ca="1">+WORLDCUP!BD65</f>
        <v>Arabia Saudita</v>
      </c>
      <c r="D273" s="9" t="str">
        <f ca="1">+WORLDCUP!BD67</f>
        <v>Argelia</v>
      </c>
      <c r="E273" s="9" t="str">
        <f ca="1">+WORLDCUP!BD62</f>
        <v>Curazao</v>
      </c>
      <c r="F273" s="9" t="str">
        <f ca="1">+WORLDCUP!BD60</f>
        <v>Haití</v>
      </c>
      <c r="G273" s="9" t="str">
        <f ca="1">+WORLDCUP!BD58</f>
        <v>República Checa</v>
      </c>
      <c r="H273" s="9" t="str">
        <f ca="1">+WORLDCUP!BD63</f>
        <v>Suecia</v>
      </c>
      <c r="I273" s="9" t="str">
        <f ca="1">+WORLDCUP!BD61</f>
        <v>Australia</v>
      </c>
      <c r="J273" s="9" t="str">
        <f ca="1">+WORLDCUP!BD68</f>
        <v>RD Congo</v>
      </c>
      <c r="N273" s="16" t="s">
        <v>1058</v>
      </c>
      <c r="O273" s="16">
        <v>272</v>
      </c>
      <c r="P273" s="16" t="s">
        <v>117</v>
      </c>
      <c r="Q273" s="16" t="s">
        <v>126</v>
      </c>
      <c r="R273" s="16" t="s">
        <v>103</v>
      </c>
      <c r="S273" s="16" t="s">
        <v>94</v>
      </c>
      <c r="T273" s="16" t="s">
        <v>85</v>
      </c>
      <c r="U273" s="16" t="s">
        <v>108</v>
      </c>
      <c r="V273" s="16" t="s">
        <v>99</v>
      </c>
      <c r="W273" s="16" t="s">
        <v>130</v>
      </c>
    </row>
    <row r="274" spans="1:23" x14ac:dyDescent="0.2">
      <c r="A274" s="9" t="s">
        <v>1059</v>
      </c>
      <c r="B274" s="9">
        <f ca="1">+IF(A274=WORLDCUP!$BI$112,1,0)</f>
        <v>0</v>
      </c>
      <c r="C274" s="9" t="str">
        <f ca="1">+WORLDCUP!BD65</f>
        <v>Arabia Saudita</v>
      </c>
      <c r="D274" s="9" t="str">
        <f ca="1">+WORLDCUP!BD62</f>
        <v>Curazao</v>
      </c>
      <c r="E274" s="9" t="str">
        <f ca="1">+WORLDCUP!BD63</f>
        <v>Suecia</v>
      </c>
      <c r="F274" s="9" t="str">
        <f ca="1">+WORLDCUP!BD60</f>
        <v>Haití</v>
      </c>
      <c r="G274" s="9" t="str">
        <f ca="1">+WORLDCUP!BD58</f>
        <v>República Checa</v>
      </c>
      <c r="H274" s="9" t="str">
        <f ca="1">+WORLDCUP!BD61</f>
        <v>Australia</v>
      </c>
      <c r="I274" s="9" t="str">
        <f ca="1">+WORLDCUP!BD69</f>
        <v>Ghana</v>
      </c>
      <c r="J274" s="9" t="str">
        <f ca="1">+WORLDCUP!BD66</f>
        <v>Senegal</v>
      </c>
      <c r="N274" s="16" t="s">
        <v>1059</v>
      </c>
      <c r="O274" s="16">
        <v>273</v>
      </c>
      <c r="P274" s="16" t="s">
        <v>117</v>
      </c>
      <c r="Q274" s="16" t="s">
        <v>103</v>
      </c>
      <c r="R274" s="16" t="s">
        <v>108</v>
      </c>
      <c r="S274" s="16" t="s">
        <v>94</v>
      </c>
      <c r="T274" s="16" t="s">
        <v>85</v>
      </c>
      <c r="U274" s="16" t="s">
        <v>99</v>
      </c>
      <c r="V274" s="16" t="s">
        <v>135</v>
      </c>
      <c r="W274" s="16" t="s">
        <v>121</v>
      </c>
    </row>
    <row r="275" spans="1:23" x14ac:dyDescent="0.2">
      <c r="A275" s="9" t="s">
        <v>1060</v>
      </c>
      <c r="B275" s="9">
        <f ca="1">+IF(A275=WORLDCUP!$BI$112,1,0)</f>
        <v>0</v>
      </c>
      <c r="C275" s="9" t="str">
        <f ca="1">+WORLDCUP!BD65</f>
        <v>Arabia Saudita</v>
      </c>
      <c r="D275" s="9" t="str">
        <f ca="1">+WORLDCUP!BD62</f>
        <v>Curazao</v>
      </c>
      <c r="E275" s="9" t="str">
        <f ca="1">+WORLDCUP!BD63</f>
        <v>Suecia</v>
      </c>
      <c r="F275" s="9" t="str">
        <f ca="1">+WORLDCUP!BD60</f>
        <v>Haití</v>
      </c>
      <c r="G275" s="9" t="str">
        <f ca="1">+WORLDCUP!BD58</f>
        <v>República Checa</v>
      </c>
      <c r="H275" s="9" t="str">
        <f ca="1">+WORLDCUP!BD61</f>
        <v>Australia</v>
      </c>
      <c r="I275" s="9" t="str">
        <f ca="1">+WORLDCUP!BD66</f>
        <v>Senegal</v>
      </c>
      <c r="J275" s="9" t="str">
        <f ca="1">+WORLDCUP!BD68</f>
        <v>RD Congo</v>
      </c>
      <c r="N275" s="16" t="s">
        <v>1060</v>
      </c>
      <c r="O275" s="16">
        <v>274</v>
      </c>
      <c r="P275" s="16" t="s">
        <v>117</v>
      </c>
      <c r="Q275" s="16" t="s">
        <v>103</v>
      </c>
      <c r="R275" s="16" t="s">
        <v>108</v>
      </c>
      <c r="S275" s="16" t="s">
        <v>94</v>
      </c>
      <c r="T275" s="16" t="s">
        <v>85</v>
      </c>
      <c r="U275" s="16" t="s">
        <v>99</v>
      </c>
      <c r="V275" s="16" t="s">
        <v>121</v>
      </c>
      <c r="W275" s="16" t="s">
        <v>130</v>
      </c>
    </row>
    <row r="276" spans="1:23" x14ac:dyDescent="0.2">
      <c r="A276" s="9" t="s">
        <v>1061</v>
      </c>
      <c r="B276" s="9">
        <f ca="1">+IF(A276=WORLDCUP!$BI$112,1,0)</f>
        <v>0</v>
      </c>
      <c r="C276" s="9" t="str">
        <f ca="1">+WORLDCUP!BD65</f>
        <v>Arabia Saudita</v>
      </c>
      <c r="D276" s="9" t="str">
        <f ca="1">+WORLDCUP!BD67</f>
        <v>Argelia</v>
      </c>
      <c r="E276" s="9" t="str">
        <f ca="1">+WORLDCUP!BD62</f>
        <v>Curazao</v>
      </c>
      <c r="F276" s="9" t="str">
        <f ca="1">+WORLDCUP!BD60</f>
        <v>Haití</v>
      </c>
      <c r="G276" s="9" t="str">
        <f ca="1">+WORLDCUP!BD58</f>
        <v>República Checa</v>
      </c>
      <c r="H276" s="9" t="str">
        <f ca="1">+WORLDCUP!BD63</f>
        <v>Suecia</v>
      </c>
      <c r="I276" s="9" t="str">
        <f ca="1">+WORLDCUP!BD61</f>
        <v>Australia</v>
      </c>
      <c r="J276" s="9" t="str">
        <f ca="1">+WORLDCUP!BD66</f>
        <v>Senegal</v>
      </c>
      <c r="N276" s="16" t="s">
        <v>1061</v>
      </c>
      <c r="O276" s="16">
        <v>275</v>
      </c>
      <c r="P276" s="16" t="s">
        <v>117</v>
      </c>
      <c r="Q276" s="16" t="s">
        <v>126</v>
      </c>
      <c r="R276" s="16" t="s">
        <v>103</v>
      </c>
      <c r="S276" s="16" t="s">
        <v>94</v>
      </c>
      <c r="T276" s="16" t="s">
        <v>85</v>
      </c>
      <c r="U276" s="16" t="s">
        <v>108</v>
      </c>
      <c r="V276" s="16" t="s">
        <v>99</v>
      </c>
      <c r="W276" s="16" t="s">
        <v>121</v>
      </c>
    </row>
    <row r="277" spans="1:23" x14ac:dyDescent="0.2">
      <c r="A277" s="9" t="s">
        <v>1062</v>
      </c>
      <c r="B277" s="9">
        <f ca="1">+IF(A277=WORLDCUP!$BI$112,1,0)</f>
        <v>0</v>
      </c>
      <c r="C277" s="9" t="str">
        <f ca="1">+WORLDCUP!BD60</f>
        <v>Haití</v>
      </c>
      <c r="D277" s="9" t="str">
        <f ca="1">+WORLDCUP!BD64</f>
        <v>Egipto</v>
      </c>
      <c r="E277" s="9" t="str">
        <f ca="1">+WORLDCUP!BD62</f>
        <v>Curazao</v>
      </c>
      <c r="F277" s="9" t="str">
        <f ca="1">+WORLDCUP!BD61</f>
        <v>Australia</v>
      </c>
      <c r="G277" s="9" t="str">
        <f ca="1">+WORLDCUP!BD58</f>
        <v>República Checa</v>
      </c>
      <c r="H277" s="9" t="str">
        <f ca="1">+WORLDCUP!BD63</f>
        <v>Suecia</v>
      </c>
      <c r="I277" s="9" t="str">
        <f ca="1">+WORLDCUP!BD69</f>
        <v>Ghana</v>
      </c>
      <c r="J277" s="9" t="str">
        <f ca="1">+WORLDCUP!BD68</f>
        <v>RD Congo</v>
      </c>
      <c r="N277" s="16" t="s">
        <v>1062</v>
      </c>
      <c r="O277" s="16">
        <v>276</v>
      </c>
      <c r="P277" s="16" t="s">
        <v>94</v>
      </c>
      <c r="Q277" s="16" t="s">
        <v>112</v>
      </c>
      <c r="R277" s="16" t="s">
        <v>103</v>
      </c>
      <c r="S277" s="16" t="s">
        <v>99</v>
      </c>
      <c r="T277" s="16" t="s">
        <v>85</v>
      </c>
      <c r="U277" s="16" t="s">
        <v>108</v>
      </c>
      <c r="V277" s="16" t="s">
        <v>135</v>
      </c>
      <c r="W277" s="16" t="s">
        <v>130</v>
      </c>
    </row>
    <row r="278" spans="1:23" x14ac:dyDescent="0.2">
      <c r="A278" s="9" t="s">
        <v>1063</v>
      </c>
      <c r="B278" s="9">
        <f ca="1">+IF(A278=WORLDCUP!$BI$112,1,0)</f>
        <v>0</v>
      </c>
      <c r="C278" s="9" t="str">
        <f ca="1">+WORLDCUP!BD60</f>
        <v>Haití</v>
      </c>
      <c r="D278" s="9" t="str">
        <f ca="1">+WORLDCUP!BD64</f>
        <v>Egipto</v>
      </c>
      <c r="E278" s="9" t="str">
        <f ca="1">+WORLDCUP!BD67</f>
        <v>Argelia</v>
      </c>
      <c r="F278" s="9" t="str">
        <f ca="1">+WORLDCUP!BD61</f>
        <v>Australia</v>
      </c>
      <c r="G278" s="9" t="str">
        <f ca="1">+WORLDCUP!BD58</f>
        <v>República Checa</v>
      </c>
      <c r="H278" s="9" t="str">
        <f ca="1">+WORLDCUP!BD63</f>
        <v>Suecia</v>
      </c>
      <c r="I278" s="9" t="str">
        <f ca="1">+WORLDCUP!BD69</f>
        <v>Ghana</v>
      </c>
      <c r="J278" s="9" t="str">
        <f ca="1">+WORLDCUP!BD62</f>
        <v>Curazao</v>
      </c>
      <c r="N278" s="16" t="s">
        <v>1063</v>
      </c>
      <c r="O278" s="16">
        <v>277</v>
      </c>
      <c r="P278" s="16" t="s">
        <v>94</v>
      </c>
      <c r="Q278" s="16" t="s">
        <v>112</v>
      </c>
      <c r="R278" s="16" t="s">
        <v>126</v>
      </c>
      <c r="S278" s="16" t="s">
        <v>99</v>
      </c>
      <c r="T278" s="16" t="s">
        <v>85</v>
      </c>
      <c r="U278" s="16" t="s">
        <v>108</v>
      </c>
      <c r="V278" s="16" t="s">
        <v>135</v>
      </c>
      <c r="W278" s="16" t="s">
        <v>103</v>
      </c>
    </row>
    <row r="279" spans="1:23" x14ac:dyDescent="0.2">
      <c r="A279" s="9" t="s">
        <v>1064</v>
      </c>
      <c r="B279" s="9">
        <f ca="1">+IF(A279=WORLDCUP!$BI$112,1,0)</f>
        <v>0</v>
      </c>
      <c r="C279" s="9" t="str">
        <f ca="1">+WORLDCUP!BD60</f>
        <v>Haití</v>
      </c>
      <c r="D279" s="9" t="str">
        <f ca="1">+WORLDCUP!BD64</f>
        <v>Egipto</v>
      </c>
      <c r="E279" s="9" t="str">
        <f ca="1">+WORLDCUP!BD67</f>
        <v>Argelia</v>
      </c>
      <c r="F279" s="9" t="str">
        <f ca="1">+WORLDCUP!BD61</f>
        <v>Australia</v>
      </c>
      <c r="G279" s="9" t="str">
        <f ca="1">+WORLDCUP!BD58</f>
        <v>República Checa</v>
      </c>
      <c r="H279" s="9" t="str">
        <f ca="1">+WORLDCUP!BD63</f>
        <v>Suecia</v>
      </c>
      <c r="I279" s="9" t="str">
        <f ca="1">+WORLDCUP!BD62</f>
        <v>Curazao</v>
      </c>
      <c r="J279" s="9" t="str">
        <f ca="1">+WORLDCUP!BD68</f>
        <v>RD Congo</v>
      </c>
      <c r="N279" s="16" t="s">
        <v>1064</v>
      </c>
      <c r="O279" s="16">
        <v>278</v>
      </c>
      <c r="P279" s="16" t="s">
        <v>94</v>
      </c>
      <c r="Q279" s="16" t="s">
        <v>112</v>
      </c>
      <c r="R279" s="16" t="s">
        <v>126</v>
      </c>
      <c r="S279" s="16" t="s">
        <v>99</v>
      </c>
      <c r="T279" s="16" t="s">
        <v>85</v>
      </c>
      <c r="U279" s="16" t="s">
        <v>108</v>
      </c>
      <c r="V279" s="16" t="s">
        <v>103</v>
      </c>
      <c r="W279" s="16" t="s">
        <v>130</v>
      </c>
    </row>
    <row r="280" spans="1:23" x14ac:dyDescent="0.2">
      <c r="A280" s="9" t="s">
        <v>1065</v>
      </c>
      <c r="B280" s="9">
        <f ca="1">+IF(A280=WORLDCUP!$BI$112,1,0)</f>
        <v>0</v>
      </c>
      <c r="C280" s="9" t="str">
        <f ca="1">+WORLDCUP!BD60</f>
        <v>Haití</v>
      </c>
      <c r="D280" s="9" t="str">
        <f ca="1">+WORLDCUP!BD64</f>
        <v>Egipto</v>
      </c>
      <c r="E280" s="9" t="str">
        <f ca="1">+WORLDCUP!BD62</f>
        <v>Curazao</v>
      </c>
      <c r="F280" s="9" t="str">
        <f ca="1">+WORLDCUP!BD61</f>
        <v>Australia</v>
      </c>
      <c r="G280" s="9" t="str">
        <f ca="1">+WORLDCUP!BD58</f>
        <v>República Checa</v>
      </c>
      <c r="H280" s="9" t="str">
        <f ca="1">+WORLDCUP!BD63</f>
        <v>Suecia</v>
      </c>
      <c r="I280" s="9" t="str">
        <f ca="1">+WORLDCUP!BD69</f>
        <v>Ghana</v>
      </c>
      <c r="J280" s="9" t="str">
        <f ca="1">+WORLDCUP!BD66</f>
        <v>Senegal</v>
      </c>
      <c r="N280" s="16" t="s">
        <v>1065</v>
      </c>
      <c r="O280" s="16">
        <v>279</v>
      </c>
      <c r="P280" s="16" t="s">
        <v>94</v>
      </c>
      <c r="Q280" s="16" t="s">
        <v>112</v>
      </c>
      <c r="R280" s="16" t="s">
        <v>103</v>
      </c>
      <c r="S280" s="16" t="s">
        <v>99</v>
      </c>
      <c r="T280" s="16" t="s">
        <v>85</v>
      </c>
      <c r="U280" s="16" t="s">
        <v>108</v>
      </c>
      <c r="V280" s="16" t="s">
        <v>135</v>
      </c>
      <c r="W280" s="16" t="s">
        <v>121</v>
      </c>
    </row>
    <row r="281" spans="1:23" x14ac:dyDescent="0.2">
      <c r="A281" s="9" t="s">
        <v>1066</v>
      </c>
      <c r="B281" s="9">
        <f ca="1">+IF(A281=WORLDCUP!$BI$112,1,0)</f>
        <v>0</v>
      </c>
      <c r="C281" s="9" t="str">
        <f ca="1">+WORLDCUP!BD60</f>
        <v>Haití</v>
      </c>
      <c r="D281" s="9" t="str">
        <f ca="1">+WORLDCUP!BD64</f>
        <v>Egipto</v>
      </c>
      <c r="E281" s="9" t="str">
        <f ca="1">+WORLDCUP!BD62</f>
        <v>Curazao</v>
      </c>
      <c r="F281" s="9" t="str">
        <f ca="1">+WORLDCUP!BD61</f>
        <v>Australia</v>
      </c>
      <c r="G281" s="9" t="str">
        <f ca="1">+WORLDCUP!BD58</f>
        <v>República Checa</v>
      </c>
      <c r="H281" s="9" t="str">
        <f ca="1">+WORLDCUP!BD63</f>
        <v>Suecia</v>
      </c>
      <c r="I281" s="9" t="str">
        <f ca="1">+WORLDCUP!BD66</f>
        <v>Senegal</v>
      </c>
      <c r="J281" s="9" t="str">
        <f ca="1">+WORLDCUP!BD68</f>
        <v>RD Congo</v>
      </c>
      <c r="N281" s="16" t="s">
        <v>1066</v>
      </c>
      <c r="O281" s="16">
        <v>280</v>
      </c>
      <c r="P281" s="16" t="s">
        <v>94</v>
      </c>
      <c r="Q281" s="16" t="s">
        <v>112</v>
      </c>
      <c r="R281" s="16" t="s">
        <v>103</v>
      </c>
      <c r="S281" s="16" t="s">
        <v>99</v>
      </c>
      <c r="T281" s="16" t="s">
        <v>85</v>
      </c>
      <c r="U281" s="16" t="s">
        <v>108</v>
      </c>
      <c r="V281" s="16" t="s">
        <v>121</v>
      </c>
      <c r="W281" s="16" t="s">
        <v>130</v>
      </c>
    </row>
    <row r="282" spans="1:23" x14ac:dyDescent="0.2">
      <c r="A282" s="9" t="s">
        <v>1067</v>
      </c>
      <c r="B282" s="9">
        <f ca="1">+IF(A282=WORLDCUP!$BI$112,1,0)</f>
        <v>0</v>
      </c>
      <c r="C282" s="9" t="str">
        <f ca="1">+WORLDCUP!BD60</f>
        <v>Haití</v>
      </c>
      <c r="D282" s="9" t="str">
        <f ca="1">+WORLDCUP!BD64</f>
        <v>Egipto</v>
      </c>
      <c r="E282" s="9" t="str">
        <f ca="1">+WORLDCUP!BD67</f>
        <v>Argelia</v>
      </c>
      <c r="F282" s="9" t="str">
        <f ca="1">+WORLDCUP!BD61</f>
        <v>Australia</v>
      </c>
      <c r="G282" s="9" t="str">
        <f ca="1">+WORLDCUP!BD58</f>
        <v>República Checa</v>
      </c>
      <c r="H282" s="9" t="str">
        <f ca="1">+WORLDCUP!BD63</f>
        <v>Suecia</v>
      </c>
      <c r="I282" s="9" t="str">
        <f ca="1">+WORLDCUP!BD62</f>
        <v>Curazao</v>
      </c>
      <c r="J282" s="9" t="str">
        <f ca="1">+WORLDCUP!BD66</f>
        <v>Senegal</v>
      </c>
      <c r="N282" s="16" t="s">
        <v>1067</v>
      </c>
      <c r="O282" s="16">
        <v>281</v>
      </c>
      <c r="P282" s="16" t="s">
        <v>94</v>
      </c>
      <c r="Q282" s="16" t="s">
        <v>112</v>
      </c>
      <c r="R282" s="16" t="s">
        <v>126</v>
      </c>
      <c r="S282" s="16" t="s">
        <v>99</v>
      </c>
      <c r="T282" s="16" t="s">
        <v>85</v>
      </c>
      <c r="U282" s="16" t="s">
        <v>108</v>
      </c>
      <c r="V282" s="16" t="s">
        <v>103</v>
      </c>
      <c r="W282" s="16" t="s">
        <v>121</v>
      </c>
    </row>
    <row r="283" spans="1:23" x14ac:dyDescent="0.2">
      <c r="A283" s="9" t="s">
        <v>1068</v>
      </c>
      <c r="B283" s="9">
        <f ca="1">+IF(A283=WORLDCUP!$BI$112,1,0)</f>
        <v>0</v>
      </c>
      <c r="C283" s="9" t="str">
        <f ca="1">+WORLDCUP!BD65</f>
        <v>Arabia Saudita</v>
      </c>
      <c r="D283" s="9" t="str">
        <f ca="1">+WORLDCUP!BD64</f>
        <v>Egipto</v>
      </c>
      <c r="E283" s="9" t="str">
        <f ca="1">+WORLDCUP!BD63</f>
        <v>Suecia</v>
      </c>
      <c r="F283" s="9" t="str">
        <f ca="1">+WORLDCUP!BD60</f>
        <v>Haití</v>
      </c>
      <c r="G283" s="9" t="str">
        <f ca="1">+WORLDCUP!BD58</f>
        <v>República Checa</v>
      </c>
      <c r="H283" s="9" t="str">
        <f ca="1">+WORLDCUP!BD61</f>
        <v>Australia</v>
      </c>
      <c r="I283" s="9" t="str">
        <f ca="1">+WORLDCUP!BD69</f>
        <v>Ghana</v>
      </c>
      <c r="J283" s="9" t="str">
        <f ca="1">+WORLDCUP!BD62</f>
        <v>Curazao</v>
      </c>
      <c r="N283" s="16" t="s">
        <v>1068</v>
      </c>
      <c r="O283" s="16">
        <v>282</v>
      </c>
      <c r="P283" s="16" t="s">
        <v>117</v>
      </c>
      <c r="Q283" s="16" t="s">
        <v>112</v>
      </c>
      <c r="R283" s="16" t="s">
        <v>108</v>
      </c>
      <c r="S283" s="16" t="s">
        <v>94</v>
      </c>
      <c r="T283" s="16" t="s">
        <v>85</v>
      </c>
      <c r="U283" s="16" t="s">
        <v>99</v>
      </c>
      <c r="V283" s="16" t="s">
        <v>135</v>
      </c>
      <c r="W283" s="16" t="s">
        <v>103</v>
      </c>
    </row>
    <row r="284" spans="1:23" x14ac:dyDescent="0.2">
      <c r="A284" s="9" t="s">
        <v>1069</v>
      </c>
      <c r="B284" s="9">
        <f ca="1">+IF(A284=WORLDCUP!$BI$112,1,0)</f>
        <v>0</v>
      </c>
      <c r="C284" s="9" t="str">
        <f ca="1">+WORLDCUP!BD65</f>
        <v>Arabia Saudita</v>
      </c>
      <c r="D284" s="9" t="str">
        <f ca="1">+WORLDCUP!BD64</f>
        <v>Egipto</v>
      </c>
      <c r="E284" s="9" t="str">
        <f ca="1">+WORLDCUP!BD62</f>
        <v>Curazao</v>
      </c>
      <c r="F284" s="9" t="str">
        <f ca="1">+WORLDCUP!BD60</f>
        <v>Haití</v>
      </c>
      <c r="G284" s="9" t="str">
        <f ca="1">+WORLDCUP!BD58</f>
        <v>República Checa</v>
      </c>
      <c r="H284" s="9" t="str">
        <f ca="1">+WORLDCUP!BD63</f>
        <v>Suecia</v>
      </c>
      <c r="I284" s="9" t="str">
        <f ca="1">+WORLDCUP!BD61</f>
        <v>Australia</v>
      </c>
      <c r="J284" s="9" t="str">
        <f ca="1">+WORLDCUP!BD68</f>
        <v>RD Congo</v>
      </c>
      <c r="N284" s="16" t="s">
        <v>1069</v>
      </c>
      <c r="O284" s="16">
        <v>283</v>
      </c>
      <c r="P284" s="16" t="s">
        <v>117</v>
      </c>
      <c r="Q284" s="16" t="s">
        <v>112</v>
      </c>
      <c r="R284" s="16" t="s">
        <v>103</v>
      </c>
      <c r="S284" s="16" t="s">
        <v>94</v>
      </c>
      <c r="T284" s="16" t="s">
        <v>85</v>
      </c>
      <c r="U284" s="16" t="s">
        <v>108</v>
      </c>
      <c r="V284" s="16" t="s">
        <v>99</v>
      </c>
      <c r="W284" s="16" t="s">
        <v>130</v>
      </c>
    </row>
    <row r="285" spans="1:23" x14ac:dyDescent="0.2">
      <c r="A285" s="9" t="s">
        <v>1070</v>
      </c>
      <c r="B285" s="9">
        <f ca="1">+IF(A285=WORLDCUP!$BI$112,1,0)</f>
        <v>0</v>
      </c>
      <c r="C285" s="9" t="str">
        <f ca="1">+WORLDCUP!BD65</f>
        <v>Arabia Saudita</v>
      </c>
      <c r="D285" s="9" t="str">
        <f ca="1">+WORLDCUP!BD64</f>
        <v>Egipto</v>
      </c>
      <c r="E285" s="9" t="str">
        <f ca="1">+WORLDCUP!BD67</f>
        <v>Argelia</v>
      </c>
      <c r="F285" s="9" t="str">
        <f ca="1">+WORLDCUP!BD60</f>
        <v>Haití</v>
      </c>
      <c r="G285" s="9" t="str">
        <f ca="1">+WORLDCUP!BD58</f>
        <v>República Checa</v>
      </c>
      <c r="H285" s="9" t="str">
        <f ca="1">+WORLDCUP!BD63</f>
        <v>Suecia</v>
      </c>
      <c r="I285" s="9" t="str">
        <f ca="1">+WORLDCUP!BD61</f>
        <v>Australia</v>
      </c>
      <c r="J285" s="9" t="str">
        <f ca="1">+WORLDCUP!BD62</f>
        <v>Curazao</v>
      </c>
      <c r="N285" s="16" t="s">
        <v>1070</v>
      </c>
      <c r="O285" s="16">
        <v>284</v>
      </c>
      <c r="P285" s="16" t="s">
        <v>117</v>
      </c>
      <c r="Q285" s="16" t="s">
        <v>112</v>
      </c>
      <c r="R285" s="16" t="s">
        <v>126</v>
      </c>
      <c r="S285" s="16" t="s">
        <v>94</v>
      </c>
      <c r="T285" s="16" t="s">
        <v>85</v>
      </c>
      <c r="U285" s="16" t="s">
        <v>108</v>
      </c>
      <c r="V285" s="16" t="s">
        <v>99</v>
      </c>
      <c r="W285" s="16" t="s">
        <v>103</v>
      </c>
    </row>
    <row r="286" spans="1:23" x14ac:dyDescent="0.2">
      <c r="A286" s="9" t="s">
        <v>1071</v>
      </c>
      <c r="B286" s="9">
        <f ca="1">+IF(A286=WORLDCUP!$BI$112,1,0)</f>
        <v>0</v>
      </c>
      <c r="C286" s="9" t="str">
        <f ca="1">+WORLDCUP!BD65</f>
        <v>Arabia Saudita</v>
      </c>
      <c r="D286" s="9" t="str">
        <f ca="1">+WORLDCUP!BD64</f>
        <v>Egipto</v>
      </c>
      <c r="E286" s="9" t="str">
        <f ca="1">+WORLDCUP!BD62</f>
        <v>Curazao</v>
      </c>
      <c r="F286" s="9" t="str">
        <f ca="1">+WORLDCUP!BD60</f>
        <v>Haití</v>
      </c>
      <c r="G286" s="9" t="str">
        <f ca="1">+WORLDCUP!BD58</f>
        <v>República Checa</v>
      </c>
      <c r="H286" s="9" t="str">
        <f ca="1">+WORLDCUP!BD63</f>
        <v>Suecia</v>
      </c>
      <c r="I286" s="9" t="str">
        <f ca="1">+WORLDCUP!BD61</f>
        <v>Australia</v>
      </c>
      <c r="J286" s="9" t="str">
        <f ca="1">+WORLDCUP!BD66</f>
        <v>Senegal</v>
      </c>
      <c r="N286" s="16" t="s">
        <v>1071</v>
      </c>
      <c r="O286" s="16">
        <v>285</v>
      </c>
      <c r="P286" s="16" t="s">
        <v>117</v>
      </c>
      <c r="Q286" s="16" t="s">
        <v>112</v>
      </c>
      <c r="R286" s="16" t="s">
        <v>103</v>
      </c>
      <c r="S286" s="16" t="s">
        <v>94</v>
      </c>
      <c r="T286" s="16" t="s">
        <v>85</v>
      </c>
      <c r="U286" s="16" t="s">
        <v>108</v>
      </c>
      <c r="V286" s="16" t="s">
        <v>99</v>
      </c>
      <c r="W286" s="16" t="s">
        <v>121</v>
      </c>
    </row>
    <row r="287" spans="1:23" x14ac:dyDescent="0.2">
      <c r="A287" s="9" t="s">
        <v>1072</v>
      </c>
      <c r="B287" s="9">
        <f ca="1">+IF(A287=WORLDCUP!$BI$112,1,0)</f>
        <v>0</v>
      </c>
      <c r="C287" s="9" t="str">
        <f ca="1">+WORLDCUP!BD65</f>
        <v>Arabia Saudita</v>
      </c>
      <c r="D287" s="9" t="str">
        <f ca="1">+WORLDCUP!BD67</f>
        <v>Argelia</v>
      </c>
      <c r="E287" s="9" t="str">
        <f ca="1">+WORLDCUP!BD59</f>
        <v>Catar</v>
      </c>
      <c r="F287" s="9" t="str">
        <f ca="1">+WORLDCUP!BD58</f>
        <v>República Checa</v>
      </c>
      <c r="G287" s="9" t="str">
        <f ca="1">+WORLDCUP!BD66</f>
        <v>Senegal</v>
      </c>
      <c r="H287" s="9" t="str">
        <f ca="1">+WORLDCUP!BD64</f>
        <v>Egipto</v>
      </c>
      <c r="I287" s="9" t="str">
        <f ca="1">+WORLDCUP!BD69</f>
        <v>Ghana</v>
      </c>
      <c r="J287" s="9" t="str">
        <f ca="1">+WORLDCUP!BD68</f>
        <v>RD Congo</v>
      </c>
      <c r="N287" s="16" t="s">
        <v>1072</v>
      </c>
      <c r="O287" s="16">
        <v>286</v>
      </c>
      <c r="P287" s="16" t="s">
        <v>117</v>
      </c>
      <c r="Q287" s="16" t="s">
        <v>126</v>
      </c>
      <c r="R287" s="16" t="s">
        <v>90</v>
      </c>
      <c r="S287" s="16" t="s">
        <v>85</v>
      </c>
      <c r="T287" s="16" t="s">
        <v>121</v>
      </c>
      <c r="U287" s="16" t="s">
        <v>112</v>
      </c>
      <c r="V287" s="16" t="s">
        <v>135</v>
      </c>
      <c r="W287" s="16" t="s">
        <v>130</v>
      </c>
    </row>
    <row r="288" spans="1:23" x14ac:dyDescent="0.2">
      <c r="A288" s="9" t="s">
        <v>1073</v>
      </c>
      <c r="B288" s="9">
        <f ca="1">+IF(A288=WORLDCUP!$BI$112,1,0)</f>
        <v>0</v>
      </c>
      <c r="C288" s="9" t="str">
        <f ca="1">+WORLDCUP!BD65</f>
        <v>Arabia Saudita</v>
      </c>
      <c r="D288" s="9" t="str">
        <f ca="1">+WORLDCUP!BD67</f>
        <v>Argelia</v>
      </c>
      <c r="E288" s="9" t="str">
        <f ca="1">+WORLDCUP!BD59</f>
        <v>Catar</v>
      </c>
      <c r="F288" s="9" t="str">
        <f ca="1">+WORLDCUP!BD58</f>
        <v>República Checa</v>
      </c>
      <c r="G288" s="9" t="str">
        <f ca="1">+WORLDCUP!BD66</f>
        <v>Senegal</v>
      </c>
      <c r="H288" s="9" t="str">
        <f ca="1">+WORLDCUP!BD63</f>
        <v>Suecia</v>
      </c>
      <c r="I288" s="9" t="str">
        <f ca="1">+WORLDCUP!BD69</f>
        <v>Ghana</v>
      </c>
      <c r="J288" s="9" t="str">
        <f ca="1">+WORLDCUP!BD68</f>
        <v>RD Congo</v>
      </c>
      <c r="N288" s="16" t="s">
        <v>1073</v>
      </c>
      <c r="O288" s="16">
        <v>287</v>
      </c>
      <c r="P288" s="16" t="s">
        <v>117</v>
      </c>
      <c r="Q288" s="16" t="s">
        <v>126</v>
      </c>
      <c r="R288" s="16" t="s">
        <v>90</v>
      </c>
      <c r="S288" s="16" t="s">
        <v>85</v>
      </c>
      <c r="T288" s="16" t="s">
        <v>121</v>
      </c>
      <c r="U288" s="16" t="s">
        <v>108</v>
      </c>
      <c r="V288" s="16" t="s">
        <v>135</v>
      </c>
      <c r="W288" s="16" t="s">
        <v>130</v>
      </c>
    </row>
    <row r="289" spans="1:23" x14ac:dyDescent="0.2">
      <c r="A289" s="9" t="s">
        <v>1074</v>
      </c>
      <c r="B289" s="9">
        <f ca="1">+IF(A289=WORLDCUP!$BI$112,1,0)</f>
        <v>0</v>
      </c>
      <c r="C289" s="9" t="str">
        <f ca="1">+WORLDCUP!BD66</f>
        <v>Senegal</v>
      </c>
      <c r="D289" s="9" t="str">
        <f ca="1">+WORLDCUP!BD67</f>
        <v>Argelia</v>
      </c>
      <c r="E289" s="9" t="str">
        <f ca="1">+WORLDCUP!BD59</f>
        <v>Catar</v>
      </c>
      <c r="F289" s="9" t="str">
        <f ca="1">+WORLDCUP!BD63</f>
        <v>Suecia</v>
      </c>
      <c r="G289" s="9" t="str">
        <f ca="1">+WORLDCUP!BD58</f>
        <v>República Checa</v>
      </c>
      <c r="H289" s="9" t="str">
        <f ca="1">+WORLDCUP!BD64</f>
        <v>Egipto</v>
      </c>
      <c r="I289" s="9" t="str">
        <f ca="1">+WORLDCUP!BD69</f>
        <v>Ghana</v>
      </c>
      <c r="J289" s="9" t="str">
        <f ca="1">+WORLDCUP!BD68</f>
        <v>RD Congo</v>
      </c>
      <c r="N289" s="16" t="s">
        <v>1074</v>
      </c>
      <c r="O289" s="16">
        <v>288</v>
      </c>
      <c r="P289" s="16" t="s">
        <v>121</v>
      </c>
      <c r="Q289" s="16" t="s">
        <v>126</v>
      </c>
      <c r="R289" s="16" t="s">
        <v>90</v>
      </c>
      <c r="S289" s="16" t="s">
        <v>108</v>
      </c>
      <c r="T289" s="16" t="s">
        <v>85</v>
      </c>
      <c r="U289" s="16" t="s">
        <v>112</v>
      </c>
      <c r="V289" s="16" t="s">
        <v>135</v>
      </c>
      <c r="W289" s="16" t="s">
        <v>130</v>
      </c>
    </row>
    <row r="290" spans="1:23" x14ac:dyDescent="0.2">
      <c r="A290" s="9" t="s">
        <v>1075</v>
      </c>
      <c r="B290" s="9">
        <f ca="1">+IF(A290=WORLDCUP!$BI$112,1,0)</f>
        <v>0</v>
      </c>
      <c r="C290" s="9" t="str">
        <f ca="1">+WORLDCUP!BD65</f>
        <v>Arabia Saudita</v>
      </c>
      <c r="D290" s="9" t="str">
        <f ca="1">+WORLDCUP!BD67</f>
        <v>Argelia</v>
      </c>
      <c r="E290" s="9" t="str">
        <f ca="1">+WORLDCUP!BD59</f>
        <v>Catar</v>
      </c>
      <c r="F290" s="9" t="str">
        <f ca="1">+WORLDCUP!BD63</f>
        <v>Suecia</v>
      </c>
      <c r="G290" s="9" t="str">
        <f ca="1">+WORLDCUP!BD58</f>
        <v>República Checa</v>
      </c>
      <c r="H290" s="9" t="str">
        <f ca="1">+WORLDCUP!BD64</f>
        <v>Egipto</v>
      </c>
      <c r="I290" s="9" t="str">
        <f ca="1">+WORLDCUP!BD69</f>
        <v>Ghana</v>
      </c>
      <c r="J290" s="9" t="str">
        <f ca="1">+WORLDCUP!BD68</f>
        <v>RD Congo</v>
      </c>
      <c r="N290" s="16" t="s">
        <v>1075</v>
      </c>
      <c r="O290" s="16">
        <v>289</v>
      </c>
      <c r="P290" s="16" t="s">
        <v>117</v>
      </c>
      <c r="Q290" s="16" t="s">
        <v>126</v>
      </c>
      <c r="R290" s="16" t="s">
        <v>90</v>
      </c>
      <c r="S290" s="16" t="s">
        <v>108</v>
      </c>
      <c r="T290" s="16" t="s">
        <v>85</v>
      </c>
      <c r="U290" s="16" t="s">
        <v>112</v>
      </c>
      <c r="V290" s="16" t="s">
        <v>135</v>
      </c>
      <c r="W290" s="16" t="s">
        <v>130</v>
      </c>
    </row>
    <row r="291" spans="1:23" x14ac:dyDescent="0.2">
      <c r="A291" s="9" t="s">
        <v>1076</v>
      </c>
      <c r="B291" s="9">
        <f ca="1">+IF(A291=WORLDCUP!$BI$112,1,0)</f>
        <v>0</v>
      </c>
      <c r="C291" s="9" t="str">
        <f ca="1">+WORLDCUP!BD65</f>
        <v>Arabia Saudita</v>
      </c>
      <c r="D291" s="9" t="str">
        <f ca="1">+WORLDCUP!BD64</f>
        <v>Egipto</v>
      </c>
      <c r="E291" s="9" t="str">
        <f ca="1">+WORLDCUP!BD59</f>
        <v>Catar</v>
      </c>
      <c r="F291" s="9" t="str">
        <f ca="1">+WORLDCUP!BD58</f>
        <v>República Checa</v>
      </c>
      <c r="G291" s="9" t="str">
        <f ca="1">+WORLDCUP!BD66</f>
        <v>Senegal</v>
      </c>
      <c r="H291" s="9" t="str">
        <f ca="1">+WORLDCUP!BD63</f>
        <v>Suecia</v>
      </c>
      <c r="I291" s="9" t="str">
        <f ca="1">+WORLDCUP!BD69</f>
        <v>Ghana</v>
      </c>
      <c r="J291" s="9" t="str">
        <f ca="1">+WORLDCUP!BD68</f>
        <v>RD Congo</v>
      </c>
      <c r="N291" s="16" t="s">
        <v>1076</v>
      </c>
      <c r="O291" s="16">
        <v>290</v>
      </c>
      <c r="P291" s="16" t="s">
        <v>117</v>
      </c>
      <c r="Q291" s="16" t="s">
        <v>112</v>
      </c>
      <c r="R291" s="16" t="s">
        <v>90</v>
      </c>
      <c r="S291" s="16" t="s">
        <v>85</v>
      </c>
      <c r="T291" s="16" t="s">
        <v>121</v>
      </c>
      <c r="U291" s="16" t="s">
        <v>108</v>
      </c>
      <c r="V291" s="16" t="s">
        <v>135</v>
      </c>
      <c r="W291" s="16" t="s">
        <v>130</v>
      </c>
    </row>
    <row r="292" spans="1:23" x14ac:dyDescent="0.2">
      <c r="A292" s="9" t="s">
        <v>1077</v>
      </c>
      <c r="B292" s="9">
        <f ca="1">+IF(A292=WORLDCUP!$BI$112,1,0)</f>
        <v>0</v>
      </c>
      <c r="C292" s="9" t="str">
        <f ca="1">+WORLDCUP!BD65</f>
        <v>Arabia Saudita</v>
      </c>
      <c r="D292" s="9" t="str">
        <f ca="1">+WORLDCUP!BD67</f>
        <v>Argelia</v>
      </c>
      <c r="E292" s="9" t="str">
        <f ca="1">+WORLDCUP!BD59</f>
        <v>Catar</v>
      </c>
      <c r="F292" s="9" t="str">
        <f ca="1">+WORLDCUP!BD63</f>
        <v>Suecia</v>
      </c>
      <c r="G292" s="9" t="str">
        <f ca="1">+WORLDCUP!BD58</f>
        <v>República Checa</v>
      </c>
      <c r="H292" s="9" t="str">
        <f ca="1">+WORLDCUP!BD64</f>
        <v>Egipto</v>
      </c>
      <c r="I292" s="9" t="str">
        <f ca="1">+WORLDCUP!BD69</f>
        <v>Ghana</v>
      </c>
      <c r="J292" s="9" t="str">
        <f ca="1">+WORLDCUP!BD66</f>
        <v>Senegal</v>
      </c>
      <c r="N292" s="16" t="s">
        <v>1077</v>
      </c>
      <c r="O292" s="16">
        <v>291</v>
      </c>
      <c r="P292" s="16" t="s">
        <v>117</v>
      </c>
      <c r="Q292" s="16" t="s">
        <v>126</v>
      </c>
      <c r="R292" s="16" t="s">
        <v>90</v>
      </c>
      <c r="S292" s="16" t="s">
        <v>108</v>
      </c>
      <c r="T292" s="16" t="s">
        <v>85</v>
      </c>
      <c r="U292" s="16" t="s">
        <v>112</v>
      </c>
      <c r="V292" s="16" t="s">
        <v>135</v>
      </c>
      <c r="W292" s="16" t="s">
        <v>121</v>
      </c>
    </row>
    <row r="293" spans="1:23" x14ac:dyDescent="0.2">
      <c r="A293" s="9" t="s">
        <v>1078</v>
      </c>
      <c r="B293" s="9">
        <f ca="1">+IF(A293=WORLDCUP!$BI$112,1,0)</f>
        <v>0</v>
      </c>
      <c r="C293" s="9" t="str">
        <f ca="1">+WORLDCUP!BD65</f>
        <v>Arabia Saudita</v>
      </c>
      <c r="D293" s="9" t="str">
        <f ca="1">+WORLDCUP!BD67</f>
        <v>Argelia</v>
      </c>
      <c r="E293" s="9" t="str">
        <f ca="1">+WORLDCUP!BD59</f>
        <v>Catar</v>
      </c>
      <c r="F293" s="9" t="str">
        <f ca="1">+WORLDCUP!BD63</f>
        <v>Suecia</v>
      </c>
      <c r="G293" s="9" t="str">
        <f ca="1">+WORLDCUP!BD58</f>
        <v>República Checa</v>
      </c>
      <c r="H293" s="9" t="str">
        <f ca="1">+WORLDCUP!BD64</f>
        <v>Egipto</v>
      </c>
      <c r="I293" s="9" t="str">
        <f ca="1">+WORLDCUP!BD66</f>
        <v>Senegal</v>
      </c>
      <c r="J293" s="9" t="str">
        <f ca="1">+WORLDCUP!BD68</f>
        <v>RD Congo</v>
      </c>
      <c r="N293" s="16" t="s">
        <v>1078</v>
      </c>
      <c r="O293" s="16">
        <v>292</v>
      </c>
      <c r="P293" s="16" t="s">
        <v>117</v>
      </c>
      <c r="Q293" s="16" t="s">
        <v>126</v>
      </c>
      <c r="R293" s="16" t="s">
        <v>90</v>
      </c>
      <c r="S293" s="16" t="s">
        <v>108</v>
      </c>
      <c r="T293" s="16" t="s">
        <v>85</v>
      </c>
      <c r="U293" s="16" t="s">
        <v>112</v>
      </c>
      <c r="V293" s="16" t="s">
        <v>121</v>
      </c>
      <c r="W293" s="16" t="s">
        <v>130</v>
      </c>
    </row>
    <row r="294" spans="1:23" x14ac:dyDescent="0.2">
      <c r="A294" s="9" t="s">
        <v>1079</v>
      </c>
      <c r="B294" s="9">
        <f ca="1">+IF(A294=WORLDCUP!$BI$112,1,0)</f>
        <v>0</v>
      </c>
      <c r="C294" s="9" t="str">
        <f ca="1">+WORLDCUP!BD62</f>
        <v>Curazao</v>
      </c>
      <c r="D294" s="9" t="str">
        <f ca="1">+WORLDCUP!BD67</f>
        <v>Argelia</v>
      </c>
      <c r="E294" s="9" t="str">
        <f ca="1">+WORLDCUP!BD59</f>
        <v>Catar</v>
      </c>
      <c r="F294" s="9" t="str">
        <f ca="1">+WORLDCUP!BD58</f>
        <v>República Checa</v>
      </c>
      <c r="G294" s="9" t="str">
        <f ca="1">+WORLDCUP!BD66</f>
        <v>Senegal</v>
      </c>
      <c r="H294" s="9" t="str">
        <f ca="1">+WORLDCUP!BD65</f>
        <v>Arabia Saudita</v>
      </c>
      <c r="I294" s="9" t="str">
        <f ca="1">+WORLDCUP!BD69</f>
        <v>Ghana</v>
      </c>
      <c r="J294" s="9" t="str">
        <f ca="1">+WORLDCUP!BD68</f>
        <v>RD Congo</v>
      </c>
      <c r="N294" s="16" t="s">
        <v>1079</v>
      </c>
      <c r="O294" s="16">
        <v>293</v>
      </c>
      <c r="P294" s="16" t="s">
        <v>103</v>
      </c>
      <c r="Q294" s="16" t="s">
        <v>126</v>
      </c>
      <c r="R294" s="16" t="s">
        <v>90</v>
      </c>
      <c r="S294" s="16" t="s">
        <v>85</v>
      </c>
      <c r="T294" s="16" t="s">
        <v>121</v>
      </c>
      <c r="U294" s="16" t="s">
        <v>117</v>
      </c>
      <c r="V294" s="16" t="s">
        <v>135</v>
      </c>
      <c r="W294" s="16" t="s">
        <v>130</v>
      </c>
    </row>
    <row r="295" spans="1:23" x14ac:dyDescent="0.2">
      <c r="A295" s="9" t="s">
        <v>1080</v>
      </c>
      <c r="B295" s="9">
        <f ca="1">+IF(A295=WORLDCUP!$BI$112,1,0)</f>
        <v>0</v>
      </c>
      <c r="C295" s="9" t="str">
        <f ca="1">+WORLDCUP!BD62</f>
        <v>Curazao</v>
      </c>
      <c r="D295" s="9" t="str">
        <f ca="1">+WORLDCUP!BD67</f>
        <v>Argelia</v>
      </c>
      <c r="E295" s="9" t="str">
        <f ca="1">+WORLDCUP!BD59</f>
        <v>Catar</v>
      </c>
      <c r="F295" s="9" t="str">
        <f ca="1">+WORLDCUP!BD58</f>
        <v>República Checa</v>
      </c>
      <c r="G295" s="9" t="str">
        <f ca="1">+WORLDCUP!BD66</f>
        <v>Senegal</v>
      </c>
      <c r="H295" s="9" t="str">
        <f ca="1">+WORLDCUP!BD64</f>
        <v>Egipto</v>
      </c>
      <c r="I295" s="9" t="str">
        <f ca="1">+WORLDCUP!BD69</f>
        <v>Ghana</v>
      </c>
      <c r="J295" s="9" t="str">
        <f ca="1">+WORLDCUP!BD68</f>
        <v>RD Congo</v>
      </c>
      <c r="N295" s="16" t="s">
        <v>1080</v>
      </c>
      <c r="O295" s="16">
        <v>294</v>
      </c>
      <c r="P295" s="16" t="s">
        <v>103</v>
      </c>
      <c r="Q295" s="16" t="s">
        <v>126</v>
      </c>
      <c r="R295" s="16" t="s">
        <v>90</v>
      </c>
      <c r="S295" s="16" t="s">
        <v>85</v>
      </c>
      <c r="T295" s="16" t="s">
        <v>121</v>
      </c>
      <c r="U295" s="16" t="s">
        <v>112</v>
      </c>
      <c r="V295" s="16" t="s">
        <v>135</v>
      </c>
      <c r="W295" s="16" t="s">
        <v>130</v>
      </c>
    </row>
    <row r="296" spans="1:23" x14ac:dyDescent="0.2">
      <c r="A296" s="9" t="s">
        <v>1081</v>
      </c>
      <c r="B296" s="9">
        <f ca="1">+IF(A296=WORLDCUP!$BI$112,1,0)</f>
        <v>0</v>
      </c>
      <c r="C296" s="9" t="str">
        <f ca="1">+WORLDCUP!BD62</f>
        <v>Curazao</v>
      </c>
      <c r="D296" s="9" t="str">
        <f ca="1">+WORLDCUP!BD67</f>
        <v>Argelia</v>
      </c>
      <c r="E296" s="9" t="str">
        <f ca="1">+WORLDCUP!BD59</f>
        <v>Catar</v>
      </c>
      <c r="F296" s="9" t="str">
        <f ca="1">+WORLDCUP!BD58</f>
        <v>República Checa</v>
      </c>
      <c r="G296" s="9" t="str">
        <f ca="1">+WORLDCUP!BD65</f>
        <v>Arabia Saudita</v>
      </c>
      <c r="H296" s="9" t="str">
        <f ca="1">+WORLDCUP!BD64</f>
        <v>Egipto</v>
      </c>
      <c r="I296" s="9" t="str">
        <f ca="1">+WORLDCUP!BD69</f>
        <v>Ghana</v>
      </c>
      <c r="J296" s="9" t="str">
        <f ca="1">+WORLDCUP!BD68</f>
        <v>RD Congo</v>
      </c>
      <c r="N296" s="16" t="s">
        <v>1081</v>
      </c>
      <c r="O296" s="16">
        <v>295</v>
      </c>
      <c r="P296" s="16" t="s">
        <v>103</v>
      </c>
      <c r="Q296" s="16" t="s">
        <v>126</v>
      </c>
      <c r="R296" s="16" t="s">
        <v>90</v>
      </c>
      <c r="S296" s="16" t="s">
        <v>85</v>
      </c>
      <c r="T296" s="16" t="s">
        <v>117</v>
      </c>
      <c r="U296" s="16" t="s">
        <v>112</v>
      </c>
      <c r="V296" s="16" t="s">
        <v>135</v>
      </c>
      <c r="W296" s="16" t="s">
        <v>130</v>
      </c>
    </row>
    <row r="297" spans="1:23" x14ac:dyDescent="0.2">
      <c r="A297" s="9" t="s">
        <v>1082</v>
      </c>
      <c r="B297" s="9">
        <f ca="1">+IF(A297=WORLDCUP!$BI$112,1,0)</f>
        <v>0</v>
      </c>
      <c r="C297" s="9" t="str">
        <f ca="1">+WORLDCUP!BD62</f>
        <v>Curazao</v>
      </c>
      <c r="D297" s="9" t="str">
        <f ca="1">+WORLDCUP!BD64</f>
        <v>Egipto</v>
      </c>
      <c r="E297" s="9" t="str">
        <f ca="1">+WORLDCUP!BD59</f>
        <v>Catar</v>
      </c>
      <c r="F297" s="9" t="str">
        <f ca="1">+WORLDCUP!BD58</f>
        <v>República Checa</v>
      </c>
      <c r="G297" s="9" t="str">
        <f ca="1">+WORLDCUP!BD66</f>
        <v>Senegal</v>
      </c>
      <c r="H297" s="9" t="str">
        <f ca="1">+WORLDCUP!BD65</f>
        <v>Arabia Saudita</v>
      </c>
      <c r="I297" s="9" t="str">
        <f ca="1">+WORLDCUP!BD69</f>
        <v>Ghana</v>
      </c>
      <c r="J297" s="9" t="str">
        <f ca="1">+WORLDCUP!BD68</f>
        <v>RD Congo</v>
      </c>
      <c r="N297" s="16" t="s">
        <v>1082</v>
      </c>
      <c r="O297" s="16">
        <v>296</v>
      </c>
      <c r="P297" s="16" t="s">
        <v>103</v>
      </c>
      <c r="Q297" s="16" t="s">
        <v>112</v>
      </c>
      <c r="R297" s="16" t="s">
        <v>90</v>
      </c>
      <c r="S297" s="16" t="s">
        <v>85</v>
      </c>
      <c r="T297" s="16" t="s">
        <v>121</v>
      </c>
      <c r="U297" s="16" t="s">
        <v>117</v>
      </c>
      <c r="V297" s="16" t="s">
        <v>135</v>
      </c>
      <c r="W297" s="16" t="s">
        <v>130</v>
      </c>
    </row>
    <row r="298" spans="1:23" x14ac:dyDescent="0.2">
      <c r="A298" s="9" t="s">
        <v>1083</v>
      </c>
      <c r="B298" s="9">
        <f ca="1">+IF(A298=WORLDCUP!$BI$112,1,0)</f>
        <v>0</v>
      </c>
      <c r="C298" s="9" t="str">
        <f ca="1">+WORLDCUP!BD62</f>
        <v>Curazao</v>
      </c>
      <c r="D298" s="9" t="str">
        <f ca="1">+WORLDCUP!BD67</f>
        <v>Argelia</v>
      </c>
      <c r="E298" s="9" t="str">
        <f ca="1">+WORLDCUP!BD59</f>
        <v>Catar</v>
      </c>
      <c r="F298" s="9" t="str">
        <f ca="1">+WORLDCUP!BD58</f>
        <v>República Checa</v>
      </c>
      <c r="G298" s="9" t="str">
        <f ca="1">+WORLDCUP!BD65</f>
        <v>Arabia Saudita</v>
      </c>
      <c r="H298" s="9" t="str">
        <f ca="1">+WORLDCUP!BD64</f>
        <v>Egipto</v>
      </c>
      <c r="I298" s="9" t="str">
        <f ca="1">+WORLDCUP!BD69</f>
        <v>Ghana</v>
      </c>
      <c r="J298" s="9" t="str">
        <f ca="1">+WORLDCUP!BD66</f>
        <v>Senegal</v>
      </c>
      <c r="N298" s="16" t="s">
        <v>1083</v>
      </c>
      <c r="O298" s="16">
        <v>297</v>
      </c>
      <c r="P298" s="16" t="s">
        <v>103</v>
      </c>
      <c r="Q298" s="16" t="s">
        <v>126</v>
      </c>
      <c r="R298" s="16" t="s">
        <v>90</v>
      </c>
      <c r="S298" s="16" t="s">
        <v>85</v>
      </c>
      <c r="T298" s="16" t="s">
        <v>117</v>
      </c>
      <c r="U298" s="16" t="s">
        <v>112</v>
      </c>
      <c r="V298" s="16" t="s">
        <v>135</v>
      </c>
      <c r="W298" s="16" t="s">
        <v>121</v>
      </c>
    </row>
    <row r="299" spans="1:23" x14ac:dyDescent="0.2">
      <c r="A299" s="9" t="s">
        <v>1084</v>
      </c>
      <c r="B299" s="9">
        <f ca="1">+IF(A299=WORLDCUP!$BI$112,1,0)</f>
        <v>0</v>
      </c>
      <c r="C299" s="9" t="str">
        <f ca="1">+WORLDCUP!BD62</f>
        <v>Curazao</v>
      </c>
      <c r="D299" s="9" t="str">
        <f ca="1">+WORLDCUP!BD67</f>
        <v>Argelia</v>
      </c>
      <c r="E299" s="9" t="str">
        <f ca="1">+WORLDCUP!BD59</f>
        <v>Catar</v>
      </c>
      <c r="F299" s="9" t="str">
        <f ca="1">+WORLDCUP!BD58</f>
        <v>República Checa</v>
      </c>
      <c r="G299" s="9" t="str">
        <f ca="1">+WORLDCUP!BD65</f>
        <v>Arabia Saudita</v>
      </c>
      <c r="H299" s="9" t="str">
        <f ca="1">+WORLDCUP!BD64</f>
        <v>Egipto</v>
      </c>
      <c r="I299" s="9" t="str">
        <f ca="1">+WORLDCUP!BD66</f>
        <v>Senegal</v>
      </c>
      <c r="J299" s="9" t="str">
        <f ca="1">+WORLDCUP!BD68</f>
        <v>RD Congo</v>
      </c>
      <c r="N299" s="16" t="s">
        <v>1084</v>
      </c>
      <c r="O299" s="16">
        <v>298</v>
      </c>
      <c r="P299" s="16" t="s">
        <v>103</v>
      </c>
      <c r="Q299" s="16" t="s">
        <v>126</v>
      </c>
      <c r="R299" s="16" t="s">
        <v>90</v>
      </c>
      <c r="S299" s="16" t="s">
        <v>85</v>
      </c>
      <c r="T299" s="16" t="s">
        <v>117</v>
      </c>
      <c r="U299" s="16" t="s">
        <v>112</v>
      </c>
      <c r="V299" s="16" t="s">
        <v>121</v>
      </c>
      <c r="W299" s="16" t="s">
        <v>130</v>
      </c>
    </row>
    <row r="300" spans="1:23" x14ac:dyDescent="0.2">
      <c r="A300" s="9" t="s">
        <v>1085</v>
      </c>
      <c r="B300" s="9">
        <f ca="1">+IF(A300=WORLDCUP!$BI$112,1,0)</f>
        <v>0</v>
      </c>
      <c r="C300" s="9" t="str">
        <f ca="1">+WORLDCUP!BD62</f>
        <v>Curazao</v>
      </c>
      <c r="D300" s="9" t="str">
        <f ca="1">+WORLDCUP!BD67</f>
        <v>Argelia</v>
      </c>
      <c r="E300" s="9" t="str">
        <f ca="1">+WORLDCUP!BD59</f>
        <v>Catar</v>
      </c>
      <c r="F300" s="9" t="str">
        <f ca="1">+WORLDCUP!BD58</f>
        <v>República Checa</v>
      </c>
      <c r="G300" s="9" t="str">
        <f ca="1">+WORLDCUP!BD66</f>
        <v>Senegal</v>
      </c>
      <c r="H300" s="9" t="str">
        <f ca="1">+WORLDCUP!BD63</f>
        <v>Suecia</v>
      </c>
      <c r="I300" s="9" t="str">
        <f ca="1">+WORLDCUP!BD69</f>
        <v>Ghana</v>
      </c>
      <c r="J300" s="9" t="str">
        <f ca="1">+WORLDCUP!BD68</f>
        <v>RD Congo</v>
      </c>
      <c r="N300" s="16" t="s">
        <v>1085</v>
      </c>
      <c r="O300" s="16">
        <v>299</v>
      </c>
      <c r="P300" s="16" t="s">
        <v>103</v>
      </c>
      <c r="Q300" s="16" t="s">
        <v>126</v>
      </c>
      <c r="R300" s="16" t="s">
        <v>90</v>
      </c>
      <c r="S300" s="16" t="s">
        <v>85</v>
      </c>
      <c r="T300" s="16" t="s">
        <v>121</v>
      </c>
      <c r="U300" s="16" t="s">
        <v>108</v>
      </c>
      <c r="V300" s="16" t="s">
        <v>135</v>
      </c>
      <c r="W300" s="16" t="s">
        <v>130</v>
      </c>
    </row>
    <row r="301" spans="1:23" x14ac:dyDescent="0.2">
      <c r="A301" s="9" t="s">
        <v>1086</v>
      </c>
      <c r="B301" s="9">
        <f ca="1">+IF(A301=WORLDCUP!$BI$112,1,0)</f>
        <v>0</v>
      </c>
      <c r="C301" s="9" t="str">
        <f ca="1">+WORLDCUP!BD62</f>
        <v>Curazao</v>
      </c>
      <c r="D301" s="9" t="str">
        <f ca="1">+WORLDCUP!BD67</f>
        <v>Argelia</v>
      </c>
      <c r="E301" s="9" t="str">
        <f ca="1">+WORLDCUP!BD59</f>
        <v>Catar</v>
      </c>
      <c r="F301" s="9" t="str">
        <f ca="1">+WORLDCUP!BD63</f>
        <v>Suecia</v>
      </c>
      <c r="G301" s="9" t="str">
        <f ca="1">+WORLDCUP!BD58</f>
        <v>República Checa</v>
      </c>
      <c r="H301" s="9" t="str">
        <f ca="1">+WORLDCUP!BD65</f>
        <v>Arabia Saudita</v>
      </c>
      <c r="I301" s="9" t="str">
        <f ca="1">+WORLDCUP!BD69</f>
        <v>Ghana</v>
      </c>
      <c r="J301" s="9" t="str">
        <f ca="1">+WORLDCUP!BD68</f>
        <v>RD Congo</v>
      </c>
      <c r="N301" s="16" t="s">
        <v>1086</v>
      </c>
      <c r="O301" s="16">
        <v>300</v>
      </c>
      <c r="P301" s="16" t="s">
        <v>103</v>
      </c>
      <c r="Q301" s="16" t="s">
        <v>126</v>
      </c>
      <c r="R301" s="16" t="s">
        <v>90</v>
      </c>
      <c r="S301" s="16" t="s">
        <v>108</v>
      </c>
      <c r="T301" s="16" t="s">
        <v>85</v>
      </c>
      <c r="U301" s="16" t="s">
        <v>117</v>
      </c>
      <c r="V301" s="16" t="s">
        <v>135</v>
      </c>
      <c r="W301" s="16" t="s">
        <v>130</v>
      </c>
    </row>
    <row r="302" spans="1:23" x14ac:dyDescent="0.2">
      <c r="A302" s="9" t="s">
        <v>1087</v>
      </c>
      <c r="B302" s="9">
        <f ca="1">+IF(A302=WORLDCUP!$BI$112,1,0)</f>
        <v>0</v>
      </c>
      <c r="C302" s="9" t="str">
        <f ca="1">+WORLDCUP!BD62</f>
        <v>Curazao</v>
      </c>
      <c r="D302" s="9" t="str">
        <f ca="1">+WORLDCUP!BD66</f>
        <v>Senegal</v>
      </c>
      <c r="E302" s="9" t="str">
        <f ca="1">+WORLDCUP!BD59</f>
        <v>Catar</v>
      </c>
      <c r="F302" s="9" t="str">
        <f ca="1">+WORLDCUP!BD63</f>
        <v>Suecia</v>
      </c>
      <c r="G302" s="9" t="str">
        <f ca="1">+WORLDCUP!BD58</f>
        <v>República Checa</v>
      </c>
      <c r="H302" s="9" t="str">
        <f ca="1">+WORLDCUP!BD65</f>
        <v>Arabia Saudita</v>
      </c>
      <c r="I302" s="9" t="str">
        <f ca="1">+WORLDCUP!BD69</f>
        <v>Ghana</v>
      </c>
      <c r="J302" s="9" t="str">
        <f ca="1">+WORLDCUP!BD68</f>
        <v>RD Congo</v>
      </c>
      <c r="N302" s="16" t="s">
        <v>1087</v>
      </c>
      <c r="O302" s="16">
        <v>301</v>
      </c>
      <c r="P302" s="16" t="s">
        <v>103</v>
      </c>
      <c r="Q302" s="16" t="s">
        <v>121</v>
      </c>
      <c r="R302" s="16" t="s">
        <v>90</v>
      </c>
      <c r="S302" s="16" t="s">
        <v>108</v>
      </c>
      <c r="T302" s="16" t="s">
        <v>85</v>
      </c>
      <c r="U302" s="16" t="s">
        <v>117</v>
      </c>
      <c r="V302" s="16" t="s">
        <v>135</v>
      </c>
      <c r="W302" s="16" t="s">
        <v>130</v>
      </c>
    </row>
    <row r="303" spans="1:23" x14ac:dyDescent="0.2">
      <c r="A303" s="9" t="s">
        <v>1088</v>
      </c>
      <c r="B303" s="9">
        <f ca="1">+IF(A303=WORLDCUP!$BI$112,1,0)</f>
        <v>0</v>
      </c>
      <c r="C303" s="9" t="str">
        <f ca="1">+WORLDCUP!BD62</f>
        <v>Curazao</v>
      </c>
      <c r="D303" s="9" t="str">
        <f ca="1">+WORLDCUP!BD67</f>
        <v>Argelia</v>
      </c>
      <c r="E303" s="9" t="str">
        <f ca="1">+WORLDCUP!BD59</f>
        <v>Catar</v>
      </c>
      <c r="F303" s="9" t="str">
        <f ca="1">+WORLDCUP!BD63</f>
        <v>Suecia</v>
      </c>
      <c r="G303" s="9" t="str">
        <f ca="1">+WORLDCUP!BD58</f>
        <v>República Checa</v>
      </c>
      <c r="H303" s="9" t="str">
        <f ca="1">+WORLDCUP!BD65</f>
        <v>Arabia Saudita</v>
      </c>
      <c r="I303" s="9" t="str">
        <f ca="1">+WORLDCUP!BD69</f>
        <v>Ghana</v>
      </c>
      <c r="J303" s="9" t="str">
        <f ca="1">+WORLDCUP!BD66</f>
        <v>Senegal</v>
      </c>
      <c r="N303" s="16" t="s">
        <v>1088</v>
      </c>
      <c r="O303" s="16">
        <v>302</v>
      </c>
      <c r="P303" s="16" t="s">
        <v>103</v>
      </c>
      <c r="Q303" s="16" t="s">
        <v>126</v>
      </c>
      <c r="R303" s="16" t="s">
        <v>90</v>
      </c>
      <c r="S303" s="16" t="s">
        <v>108</v>
      </c>
      <c r="T303" s="16" t="s">
        <v>85</v>
      </c>
      <c r="U303" s="16" t="s">
        <v>117</v>
      </c>
      <c r="V303" s="16" t="s">
        <v>135</v>
      </c>
      <c r="W303" s="16" t="s">
        <v>121</v>
      </c>
    </row>
    <row r="304" spans="1:23" x14ac:dyDescent="0.2">
      <c r="A304" s="9" t="s">
        <v>1089</v>
      </c>
      <c r="B304" s="9">
        <f ca="1">+IF(A304=WORLDCUP!$BI$112,1,0)</f>
        <v>0</v>
      </c>
      <c r="C304" s="9" t="str">
        <f ca="1">+WORLDCUP!BD62</f>
        <v>Curazao</v>
      </c>
      <c r="D304" s="9" t="str">
        <f ca="1">+WORLDCUP!BD67</f>
        <v>Argelia</v>
      </c>
      <c r="E304" s="9" t="str">
        <f ca="1">+WORLDCUP!BD59</f>
        <v>Catar</v>
      </c>
      <c r="F304" s="9" t="str">
        <f ca="1">+WORLDCUP!BD63</f>
        <v>Suecia</v>
      </c>
      <c r="G304" s="9" t="str">
        <f ca="1">+WORLDCUP!BD58</f>
        <v>República Checa</v>
      </c>
      <c r="H304" s="9" t="str">
        <f ca="1">+WORLDCUP!BD65</f>
        <v>Arabia Saudita</v>
      </c>
      <c r="I304" s="9" t="str">
        <f ca="1">+WORLDCUP!BD66</f>
        <v>Senegal</v>
      </c>
      <c r="J304" s="9" t="str">
        <f ca="1">+WORLDCUP!BD68</f>
        <v>RD Congo</v>
      </c>
      <c r="N304" s="16" t="s">
        <v>1089</v>
      </c>
      <c r="O304" s="16">
        <v>303</v>
      </c>
      <c r="P304" s="16" t="s">
        <v>103</v>
      </c>
      <c r="Q304" s="16" t="s">
        <v>126</v>
      </c>
      <c r="R304" s="16" t="s">
        <v>90</v>
      </c>
      <c r="S304" s="16" t="s">
        <v>108</v>
      </c>
      <c r="T304" s="16" t="s">
        <v>85</v>
      </c>
      <c r="U304" s="16" t="s">
        <v>117</v>
      </c>
      <c r="V304" s="16" t="s">
        <v>121</v>
      </c>
      <c r="W304" s="16" t="s">
        <v>130</v>
      </c>
    </row>
    <row r="305" spans="1:23" x14ac:dyDescent="0.2">
      <c r="A305" s="9" t="s">
        <v>1090</v>
      </c>
      <c r="B305" s="9">
        <f ca="1">+IF(A305=WORLDCUP!$BI$112,1,0)</f>
        <v>0</v>
      </c>
      <c r="C305" s="9" t="str">
        <f ca="1">+WORLDCUP!BD62</f>
        <v>Curazao</v>
      </c>
      <c r="D305" s="9" t="str">
        <f ca="1">+WORLDCUP!BD67</f>
        <v>Argelia</v>
      </c>
      <c r="E305" s="9" t="str">
        <f ca="1">+WORLDCUP!BD59</f>
        <v>Catar</v>
      </c>
      <c r="F305" s="9" t="str">
        <f ca="1">+WORLDCUP!BD63</f>
        <v>Suecia</v>
      </c>
      <c r="G305" s="9" t="str">
        <f ca="1">+WORLDCUP!BD58</f>
        <v>República Checa</v>
      </c>
      <c r="H305" s="9" t="str">
        <f ca="1">+WORLDCUP!BD64</f>
        <v>Egipto</v>
      </c>
      <c r="I305" s="9" t="str">
        <f ca="1">+WORLDCUP!BD69</f>
        <v>Ghana</v>
      </c>
      <c r="J305" s="9" t="str">
        <f ca="1">+WORLDCUP!BD68</f>
        <v>RD Congo</v>
      </c>
      <c r="N305" s="16" t="s">
        <v>1090</v>
      </c>
      <c r="O305" s="16">
        <v>304</v>
      </c>
      <c r="P305" s="16" t="s">
        <v>103</v>
      </c>
      <c r="Q305" s="16" t="s">
        <v>126</v>
      </c>
      <c r="R305" s="16" t="s">
        <v>90</v>
      </c>
      <c r="S305" s="16" t="s">
        <v>108</v>
      </c>
      <c r="T305" s="16" t="s">
        <v>85</v>
      </c>
      <c r="U305" s="16" t="s">
        <v>112</v>
      </c>
      <c r="V305" s="16" t="s">
        <v>135</v>
      </c>
      <c r="W305" s="16" t="s">
        <v>130</v>
      </c>
    </row>
    <row r="306" spans="1:23" x14ac:dyDescent="0.2">
      <c r="A306" s="9" t="s">
        <v>1091</v>
      </c>
      <c r="B306" s="9">
        <f ca="1">+IF(A306=WORLDCUP!$BI$112,1,0)</f>
        <v>0</v>
      </c>
      <c r="C306" s="9" t="str">
        <f ca="1">+WORLDCUP!BD62</f>
        <v>Curazao</v>
      </c>
      <c r="D306" s="9" t="str">
        <f ca="1">+WORLDCUP!BD64</f>
        <v>Egipto</v>
      </c>
      <c r="E306" s="9" t="str">
        <f ca="1">+WORLDCUP!BD59</f>
        <v>Catar</v>
      </c>
      <c r="F306" s="9" t="str">
        <f ca="1">+WORLDCUP!BD58</f>
        <v>República Checa</v>
      </c>
      <c r="G306" s="9" t="str">
        <f ca="1">+WORLDCUP!BD66</f>
        <v>Senegal</v>
      </c>
      <c r="H306" s="9" t="str">
        <f ca="1">+WORLDCUP!BD63</f>
        <v>Suecia</v>
      </c>
      <c r="I306" s="9" t="str">
        <f ca="1">+WORLDCUP!BD69</f>
        <v>Ghana</v>
      </c>
      <c r="J306" s="9" t="str">
        <f ca="1">+WORLDCUP!BD68</f>
        <v>RD Congo</v>
      </c>
      <c r="N306" s="16" t="s">
        <v>1091</v>
      </c>
      <c r="O306" s="16">
        <v>305</v>
      </c>
      <c r="P306" s="16" t="s">
        <v>103</v>
      </c>
      <c r="Q306" s="16" t="s">
        <v>112</v>
      </c>
      <c r="R306" s="16" t="s">
        <v>90</v>
      </c>
      <c r="S306" s="16" t="s">
        <v>85</v>
      </c>
      <c r="T306" s="16" t="s">
        <v>121</v>
      </c>
      <c r="U306" s="16" t="s">
        <v>108</v>
      </c>
      <c r="V306" s="16" t="s">
        <v>135</v>
      </c>
      <c r="W306" s="16" t="s">
        <v>130</v>
      </c>
    </row>
    <row r="307" spans="1:23" x14ac:dyDescent="0.2">
      <c r="A307" s="9" t="s">
        <v>1092</v>
      </c>
      <c r="B307" s="9">
        <f ca="1">+IF(A307=WORLDCUP!$BI$112,1,0)</f>
        <v>0</v>
      </c>
      <c r="C307" s="9" t="str">
        <f ca="1">+WORLDCUP!BD62</f>
        <v>Curazao</v>
      </c>
      <c r="D307" s="9" t="str">
        <f ca="1">+WORLDCUP!BD67</f>
        <v>Argelia</v>
      </c>
      <c r="E307" s="9" t="str">
        <f ca="1">+WORLDCUP!BD59</f>
        <v>Catar</v>
      </c>
      <c r="F307" s="9" t="str">
        <f ca="1">+WORLDCUP!BD63</f>
        <v>Suecia</v>
      </c>
      <c r="G307" s="9" t="str">
        <f ca="1">+WORLDCUP!BD58</f>
        <v>República Checa</v>
      </c>
      <c r="H307" s="9" t="str">
        <f ca="1">+WORLDCUP!BD64</f>
        <v>Egipto</v>
      </c>
      <c r="I307" s="9" t="str">
        <f ca="1">+WORLDCUP!BD69</f>
        <v>Ghana</v>
      </c>
      <c r="J307" s="9" t="str">
        <f ca="1">+WORLDCUP!BD66</f>
        <v>Senegal</v>
      </c>
      <c r="N307" s="16" t="s">
        <v>1092</v>
      </c>
      <c r="O307" s="16">
        <v>306</v>
      </c>
      <c r="P307" s="16" t="s">
        <v>103</v>
      </c>
      <c r="Q307" s="16" t="s">
        <v>126</v>
      </c>
      <c r="R307" s="16" t="s">
        <v>90</v>
      </c>
      <c r="S307" s="16" t="s">
        <v>108</v>
      </c>
      <c r="T307" s="16" t="s">
        <v>85</v>
      </c>
      <c r="U307" s="16" t="s">
        <v>112</v>
      </c>
      <c r="V307" s="16" t="s">
        <v>135</v>
      </c>
      <c r="W307" s="16" t="s">
        <v>121</v>
      </c>
    </row>
    <row r="308" spans="1:23" x14ac:dyDescent="0.2">
      <c r="A308" s="9" t="s">
        <v>1093</v>
      </c>
      <c r="B308" s="9">
        <f ca="1">+IF(A308=WORLDCUP!$BI$112,1,0)</f>
        <v>0</v>
      </c>
      <c r="C308" s="9" t="str">
        <f ca="1">+WORLDCUP!BD62</f>
        <v>Curazao</v>
      </c>
      <c r="D308" s="9" t="str">
        <f ca="1">+WORLDCUP!BD67</f>
        <v>Argelia</v>
      </c>
      <c r="E308" s="9" t="str">
        <f ca="1">+WORLDCUP!BD59</f>
        <v>Catar</v>
      </c>
      <c r="F308" s="9" t="str">
        <f ca="1">+WORLDCUP!BD63</f>
        <v>Suecia</v>
      </c>
      <c r="G308" s="9" t="str">
        <f ca="1">+WORLDCUP!BD58</f>
        <v>República Checa</v>
      </c>
      <c r="H308" s="9" t="str">
        <f ca="1">+WORLDCUP!BD64</f>
        <v>Egipto</v>
      </c>
      <c r="I308" s="9" t="str">
        <f ca="1">+WORLDCUP!BD66</f>
        <v>Senegal</v>
      </c>
      <c r="J308" s="9" t="str">
        <f ca="1">+WORLDCUP!BD68</f>
        <v>RD Congo</v>
      </c>
      <c r="N308" s="16" t="s">
        <v>1093</v>
      </c>
      <c r="O308" s="16">
        <v>307</v>
      </c>
      <c r="P308" s="16" t="s">
        <v>103</v>
      </c>
      <c r="Q308" s="16" t="s">
        <v>126</v>
      </c>
      <c r="R308" s="16" t="s">
        <v>90</v>
      </c>
      <c r="S308" s="16" t="s">
        <v>108</v>
      </c>
      <c r="T308" s="16" t="s">
        <v>85</v>
      </c>
      <c r="U308" s="16" t="s">
        <v>112</v>
      </c>
      <c r="V308" s="16" t="s">
        <v>121</v>
      </c>
      <c r="W308" s="16" t="s">
        <v>130</v>
      </c>
    </row>
    <row r="309" spans="1:23" x14ac:dyDescent="0.2">
      <c r="A309" s="9" t="s">
        <v>1094</v>
      </c>
      <c r="B309" s="9">
        <f ca="1">+IF(A309=WORLDCUP!$BI$112,1,0)</f>
        <v>0</v>
      </c>
      <c r="C309" s="9" t="str">
        <f ca="1">+WORLDCUP!BD62</f>
        <v>Curazao</v>
      </c>
      <c r="D309" s="9" t="str">
        <f ca="1">+WORLDCUP!BD64</f>
        <v>Egipto</v>
      </c>
      <c r="E309" s="9" t="str">
        <f ca="1">+WORLDCUP!BD59</f>
        <v>Catar</v>
      </c>
      <c r="F309" s="9" t="str">
        <f ca="1">+WORLDCUP!BD63</f>
        <v>Suecia</v>
      </c>
      <c r="G309" s="9" t="str">
        <f ca="1">+WORLDCUP!BD58</f>
        <v>República Checa</v>
      </c>
      <c r="H309" s="9" t="str">
        <f ca="1">+WORLDCUP!BD65</f>
        <v>Arabia Saudita</v>
      </c>
      <c r="I309" s="9" t="str">
        <f ca="1">+WORLDCUP!BD69</f>
        <v>Ghana</v>
      </c>
      <c r="J309" s="9" t="str">
        <f ca="1">+WORLDCUP!BD68</f>
        <v>RD Congo</v>
      </c>
      <c r="N309" s="16" t="s">
        <v>1094</v>
      </c>
      <c r="O309" s="16">
        <v>308</v>
      </c>
      <c r="P309" s="16" t="s">
        <v>103</v>
      </c>
      <c r="Q309" s="16" t="s">
        <v>112</v>
      </c>
      <c r="R309" s="16" t="s">
        <v>90</v>
      </c>
      <c r="S309" s="16" t="s">
        <v>108</v>
      </c>
      <c r="T309" s="16" t="s">
        <v>85</v>
      </c>
      <c r="U309" s="16" t="s">
        <v>117</v>
      </c>
      <c r="V309" s="16" t="s">
        <v>135</v>
      </c>
      <c r="W309" s="16" t="s">
        <v>130</v>
      </c>
    </row>
    <row r="310" spans="1:23" x14ac:dyDescent="0.2">
      <c r="A310" s="9" t="s">
        <v>1095</v>
      </c>
      <c r="B310" s="9">
        <f ca="1">+IF(A310=WORLDCUP!$BI$112,1,0)</f>
        <v>0</v>
      </c>
      <c r="C310" s="9" t="str">
        <f ca="1">+WORLDCUP!BD65</f>
        <v>Arabia Saudita</v>
      </c>
      <c r="D310" s="9" t="str">
        <f ca="1">+WORLDCUP!BD67</f>
        <v>Argelia</v>
      </c>
      <c r="E310" s="9" t="str">
        <f ca="1">+WORLDCUP!BD59</f>
        <v>Catar</v>
      </c>
      <c r="F310" s="9" t="str">
        <f ca="1">+WORLDCUP!BD63</f>
        <v>Suecia</v>
      </c>
      <c r="G310" s="9" t="str">
        <f ca="1">+WORLDCUP!BD58</f>
        <v>República Checa</v>
      </c>
      <c r="H310" s="9" t="str">
        <f ca="1">+WORLDCUP!BD64</f>
        <v>Egipto</v>
      </c>
      <c r="I310" s="9" t="str">
        <f ca="1">+WORLDCUP!BD69</f>
        <v>Ghana</v>
      </c>
      <c r="J310" s="9" t="str">
        <f ca="1">+WORLDCUP!BD62</f>
        <v>Curazao</v>
      </c>
      <c r="N310" s="16" t="s">
        <v>1095</v>
      </c>
      <c r="O310" s="16">
        <v>309</v>
      </c>
      <c r="P310" s="16" t="s">
        <v>117</v>
      </c>
      <c r="Q310" s="16" t="s">
        <v>126</v>
      </c>
      <c r="R310" s="16" t="s">
        <v>90</v>
      </c>
      <c r="S310" s="16" t="s">
        <v>108</v>
      </c>
      <c r="T310" s="16" t="s">
        <v>85</v>
      </c>
      <c r="U310" s="16" t="s">
        <v>112</v>
      </c>
      <c r="V310" s="16" t="s">
        <v>135</v>
      </c>
      <c r="W310" s="16" t="s">
        <v>103</v>
      </c>
    </row>
    <row r="311" spans="1:23" x14ac:dyDescent="0.2">
      <c r="A311" s="9" t="s">
        <v>1096</v>
      </c>
      <c r="B311" s="9">
        <f ca="1">+IF(A311=WORLDCUP!$BI$112,1,0)</f>
        <v>0</v>
      </c>
      <c r="C311" s="9" t="str">
        <f ca="1">+WORLDCUP!BD65</f>
        <v>Arabia Saudita</v>
      </c>
      <c r="D311" s="9" t="str">
        <f ca="1">+WORLDCUP!BD67</f>
        <v>Argelia</v>
      </c>
      <c r="E311" s="9" t="str">
        <f ca="1">+WORLDCUP!BD59</f>
        <v>Catar</v>
      </c>
      <c r="F311" s="9" t="str">
        <f ca="1">+WORLDCUP!BD63</f>
        <v>Suecia</v>
      </c>
      <c r="G311" s="9" t="str">
        <f ca="1">+WORLDCUP!BD58</f>
        <v>República Checa</v>
      </c>
      <c r="H311" s="9" t="str">
        <f ca="1">+WORLDCUP!BD64</f>
        <v>Egipto</v>
      </c>
      <c r="I311" s="9" t="str">
        <f ca="1">+WORLDCUP!BD62</f>
        <v>Curazao</v>
      </c>
      <c r="J311" s="9" t="str">
        <f ca="1">+WORLDCUP!BD68</f>
        <v>RD Congo</v>
      </c>
      <c r="N311" s="16" t="s">
        <v>1096</v>
      </c>
      <c r="O311" s="16">
        <v>310</v>
      </c>
      <c r="P311" s="16" t="s">
        <v>117</v>
      </c>
      <c r="Q311" s="16" t="s">
        <v>126</v>
      </c>
      <c r="R311" s="16" t="s">
        <v>90</v>
      </c>
      <c r="S311" s="16" t="s">
        <v>108</v>
      </c>
      <c r="T311" s="16" t="s">
        <v>85</v>
      </c>
      <c r="U311" s="16" t="s">
        <v>112</v>
      </c>
      <c r="V311" s="16" t="s">
        <v>103</v>
      </c>
      <c r="W311" s="16" t="s">
        <v>130</v>
      </c>
    </row>
    <row r="312" spans="1:23" x14ac:dyDescent="0.2">
      <c r="A312" s="9" t="s">
        <v>1097</v>
      </c>
      <c r="B312" s="9">
        <f ca="1">+IF(A312=WORLDCUP!$BI$112,1,0)</f>
        <v>0</v>
      </c>
      <c r="C312" s="9" t="str">
        <f ca="1">+WORLDCUP!BD62</f>
        <v>Curazao</v>
      </c>
      <c r="D312" s="9" t="str">
        <f ca="1">+WORLDCUP!BD64</f>
        <v>Egipto</v>
      </c>
      <c r="E312" s="9" t="str">
        <f ca="1">+WORLDCUP!BD59</f>
        <v>Catar</v>
      </c>
      <c r="F312" s="9" t="str">
        <f ca="1">+WORLDCUP!BD63</f>
        <v>Suecia</v>
      </c>
      <c r="G312" s="9" t="str">
        <f ca="1">+WORLDCUP!BD58</f>
        <v>República Checa</v>
      </c>
      <c r="H312" s="9" t="str">
        <f ca="1">+WORLDCUP!BD65</f>
        <v>Arabia Saudita</v>
      </c>
      <c r="I312" s="9" t="str">
        <f ca="1">+WORLDCUP!BD69</f>
        <v>Ghana</v>
      </c>
      <c r="J312" s="9" t="str">
        <f ca="1">+WORLDCUP!BD66</f>
        <v>Senegal</v>
      </c>
      <c r="N312" s="16" t="s">
        <v>1097</v>
      </c>
      <c r="O312" s="16">
        <v>311</v>
      </c>
      <c r="P312" s="16" t="s">
        <v>103</v>
      </c>
      <c r="Q312" s="16" t="s">
        <v>112</v>
      </c>
      <c r="R312" s="16" t="s">
        <v>90</v>
      </c>
      <c r="S312" s="16" t="s">
        <v>108</v>
      </c>
      <c r="T312" s="16" t="s">
        <v>85</v>
      </c>
      <c r="U312" s="16" t="s">
        <v>117</v>
      </c>
      <c r="V312" s="16" t="s">
        <v>135</v>
      </c>
      <c r="W312" s="16" t="s">
        <v>121</v>
      </c>
    </row>
    <row r="313" spans="1:23" x14ac:dyDescent="0.2">
      <c r="A313" s="9" t="s">
        <v>1098</v>
      </c>
      <c r="B313" s="9">
        <f ca="1">+IF(A313=WORLDCUP!$BI$112,1,0)</f>
        <v>0</v>
      </c>
      <c r="C313" s="9" t="str">
        <f ca="1">+WORLDCUP!BD62</f>
        <v>Curazao</v>
      </c>
      <c r="D313" s="9" t="str">
        <f ca="1">+WORLDCUP!BD64</f>
        <v>Egipto</v>
      </c>
      <c r="E313" s="9" t="str">
        <f ca="1">+WORLDCUP!BD59</f>
        <v>Catar</v>
      </c>
      <c r="F313" s="9" t="str">
        <f ca="1">+WORLDCUP!BD63</f>
        <v>Suecia</v>
      </c>
      <c r="G313" s="9" t="str">
        <f ca="1">+WORLDCUP!BD58</f>
        <v>República Checa</v>
      </c>
      <c r="H313" s="9" t="str">
        <f ca="1">+WORLDCUP!BD65</f>
        <v>Arabia Saudita</v>
      </c>
      <c r="I313" s="9" t="str">
        <f ca="1">+WORLDCUP!BD66</f>
        <v>Senegal</v>
      </c>
      <c r="J313" s="9" t="str">
        <f ca="1">+WORLDCUP!BD68</f>
        <v>RD Congo</v>
      </c>
      <c r="N313" s="16" t="s">
        <v>1098</v>
      </c>
      <c r="O313" s="16">
        <v>312</v>
      </c>
      <c r="P313" s="16" t="s">
        <v>103</v>
      </c>
      <c r="Q313" s="16" t="s">
        <v>112</v>
      </c>
      <c r="R313" s="16" t="s">
        <v>90</v>
      </c>
      <c r="S313" s="16" t="s">
        <v>108</v>
      </c>
      <c r="T313" s="16" t="s">
        <v>85</v>
      </c>
      <c r="U313" s="16" t="s">
        <v>117</v>
      </c>
      <c r="V313" s="16" t="s">
        <v>121</v>
      </c>
      <c r="W313" s="16" t="s">
        <v>130</v>
      </c>
    </row>
    <row r="314" spans="1:23" x14ac:dyDescent="0.2">
      <c r="A314" s="9" t="s">
        <v>1099</v>
      </c>
      <c r="B314" s="9">
        <f ca="1">+IF(A314=WORLDCUP!$BI$112,1,0)</f>
        <v>0</v>
      </c>
      <c r="C314" s="9" t="str">
        <f ca="1">+WORLDCUP!BD65</f>
        <v>Arabia Saudita</v>
      </c>
      <c r="D314" s="9" t="str">
        <f ca="1">+WORLDCUP!BD67</f>
        <v>Argelia</v>
      </c>
      <c r="E314" s="9" t="str">
        <f ca="1">+WORLDCUP!BD59</f>
        <v>Catar</v>
      </c>
      <c r="F314" s="9" t="str">
        <f ca="1">+WORLDCUP!BD63</f>
        <v>Suecia</v>
      </c>
      <c r="G314" s="9" t="str">
        <f ca="1">+WORLDCUP!BD58</f>
        <v>República Checa</v>
      </c>
      <c r="H314" s="9" t="str">
        <f ca="1">+WORLDCUP!BD64</f>
        <v>Egipto</v>
      </c>
      <c r="I314" s="9" t="str">
        <f ca="1">+WORLDCUP!BD62</f>
        <v>Curazao</v>
      </c>
      <c r="J314" s="9" t="str">
        <f ca="1">+WORLDCUP!BD66</f>
        <v>Senegal</v>
      </c>
      <c r="N314" s="16" t="s">
        <v>1099</v>
      </c>
      <c r="O314" s="16">
        <v>313</v>
      </c>
      <c r="P314" s="16" t="s">
        <v>117</v>
      </c>
      <c r="Q314" s="16" t="s">
        <v>126</v>
      </c>
      <c r="R314" s="16" t="s">
        <v>90</v>
      </c>
      <c r="S314" s="16" t="s">
        <v>108</v>
      </c>
      <c r="T314" s="16" t="s">
        <v>85</v>
      </c>
      <c r="U314" s="16" t="s">
        <v>112</v>
      </c>
      <c r="V314" s="16" t="s">
        <v>103</v>
      </c>
      <c r="W314" s="16" t="s">
        <v>121</v>
      </c>
    </row>
    <row r="315" spans="1:23" x14ac:dyDescent="0.2">
      <c r="A315" s="9" t="s">
        <v>1100</v>
      </c>
      <c r="B315" s="9">
        <f ca="1">+IF(A315=WORLDCUP!$BI$112,1,0)</f>
        <v>0</v>
      </c>
      <c r="C315" s="9" t="str">
        <f ca="1">+WORLDCUP!BD66</f>
        <v>Senegal</v>
      </c>
      <c r="D315" s="9" t="str">
        <f ca="1">+WORLDCUP!BD67</f>
        <v>Argelia</v>
      </c>
      <c r="E315" s="9" t="str">
        <f ca="1">+WORLDCUP!BD59</f>
        <v>Catar</v>
      </c>
      <c r="F315" s="9" t="str">
        <f ca="1">+WORLDCUP!BD61</f>
        <v>Australia</v>
      </c>
      <c r="G315" s="9" t="str">
        <f ca="1">+WORLDCUP!BD58</f>
        <v>República Checa</v>
      </c>
      <c r="H315" s="9" t="str">
        <f ca="1">+WORLDCUP!BD65</f>
        <v>Arabia Saudita</v>
      </c>
      <c r="I315" s="9" t="str">
        <f ca="1">+WORLDCUP!BD69</f>
        <v>Ghana</v>
      </c>
      <c r="J315" s="9" t="str">
        <f ca="1">+WORLDCUP!BD68</f>
        <v>RD Congo</v>
      </c>
      <c r="N315" s="16" t="s">
        <v>1100</v>
      </c>
      <c r="O315" s="16">
        <v>314</v>
      </c>
      <c r="P315" s="16" t="s">
        <v>121</v>
      </c>
      <c r="Q315" s="16" t="s">
        <v>126</v>
      </c>
      <c r="R315" s="16" t="s">
        <v>90</v>
      </c>
      <c r="S315" s="16" t="s">
        <v>99</v>
      </c>
      <c r="T315" s="16" t="s">
        <v>85</v>
      </c>
      <c r="U315" s="16" t="s">
        <v>117</v>
      </c>
      <c r="V315" s="16" t="s">
        <v>135</v>
      </c>
      <c r="W315" s="16" t="s">
        <v>130</v>
      </c>
    </row>
    <row r="316" spans="1:23" x14ac:dyDescent="0.2">
      <c r="A316" s="9" t="s">
        <v>1101</v>
      </c>
      <c r="B316" s="9">
        <f ca="1">+IF(A316=WORLDCUP!$BI$112,1,0)</f>
        <v>0</v>
      </c>
      <c r="C316" s="9" t="str">
        <f ca="1">+WORLDCUP!BD66</f>
        <v>Senegal</v>
      </c>
      <c r="D316" s="9" t="str">
        <f ca="1">+WORLDCUP!BD67</f>
        <v>Argelia</v>
      </c>
      <c r="E316" s="9" t="str">
        <f ca="1">+WORLDCUP!BD59</f>
        <v>Catar</v>
      </c>
      <c r="F316" s="9" t="str">
        <f ca="1">+WORLDCUP!BD61</f>
        <v>Australia</v>
      </c>
      <c r="G316" s="9" t="str">
        <f ca="1">+WORLDCUP!BD58</f>
        <v>República Checa</v>
      </c>
      <c r="H316" s="9" t="str">
        <f ca="1">+WORLDCUP!BD64</f>
        <v>Egipto</v>
      </c>
      <c r="I316" s="9" t="str">
        <f ca="1">+WORLDCUP!BD69</f>
        <v>Ghana</v>
      </c>
      <c r="J316" s="9" t="str">
        <f ca="1">+WORLDCUP!BD68</f>
        <v>RD Congo</v>
      </c>
      <c r="N316" s="16" t="s">
        <v>1101</v>
      </c>
      <c r="O316" s="16">
        <v>315</v>
      </c>
      <c r="P316" s="16" t="s">
        <v>121</v>
      </c>
      <c r="Q316" s="16" t="s">
        <v>126</v>
      </c>
      <c r="R316" s="16" t="s">
        <v>90</v>
      </c>
      <c r="S316" s="16" t="s">
        <v>99</v>
      </c>
      <c r="T316" s="16" t="s">
        <v>85</v>
      </c>
      <c r="U316" s="16" t="s">
        <v>112</v>
      </c>
      <c r="V316" s="16" t="s">
        <v>135</v>
      </c>
      <c r="W316" s="16" t="s">
        <v>130</v>
      </c>
    </row>
    <row r="317" spans="1:23" x14ac:dyDescent="0.2">
      <c r="A317" s="9" t="s">
        <v>1102</v>
      </c>
      <c r="B317" s="9">
        <f ca="1">+IF(A317=WORLDCUP!$BI$112,1,0)</f>
        <v>0</v>
      </c>
      <c r="C317" s="9" t="str">
        <f ca="1">+WORLDCUP!BD65</f>
        <v>Arabia Saudita</v>
      </c>
      <c r="D317" s="9" t="str">
        <f ca="1">+WORLDCUP!BD67</f>
        <v>Argelia</v>
      </c>
      <c r="E317" s="9" t="str">
        <f ca="1">+WORLDCUP!BD59</f>
        <v>Catar</v>
      </c>
      <c r="F317" s="9" t="str">
        <f ca="1">+WORLDCUP!BD61</f>
        <v>Australia</v>
      </c>
      <c r="G317" s="9" t="str">
        <f ca="1">+WORLDCUP!BD58</f>
        <v>República Checa</v>
      </c>
      <c r="H317" s="9" t="str">
        <f ca="1">+WORLDCUP!BD64</f>
        <v>Egipto</v>
      </c>
      <c r="I317" s="9" t="str">
        <f ca="1">+WORLDCUP!BD69</f>
        <v>Ghana</v>
      </c>
      <c r="J317" s="9" t="str">
        <f ca="1">+WORLDCUP!BD68</f>
        <v>RD Congo</v>
      </c>
      <c r="N317" s="16" t="s">
        <v>1102</v>
      </c>
      <c r="O317" s="16">
        <v>316</v>
      </c>
      <c r="P317" s="16" t="s">
        <v>117</v>
      </c>
      <c r="Q317" s="16" t="s">
        <v>126</v>
      </c>
      <c r="R317" s="16" t="s">
        <v>90</v>
      </c>
      <c r="S317" s="16" t="s">
        <v>99</v>
      </c>
      <c r="T317" s="16" t="s">
        <v>85</v>
      </c>
      <c r="U317" s="16" t="s">
        <v>112</v>
      </c>
      <c r="V317" s="16" t="s">
        <v>135</v>
      </c>
      <c r="W317" s="16" t="s">
        <v>130</v>
      </c>
    </row>
    <row r="318" spans="1:23" x14ac:dyDescent="0.2">
      <c r="A318" s="9" t="s">
        <v>1103</v>
      </c>
      <c r="B318" s="9">
        <f ca="1">+IF(A318=WORLDCUP!$BI$112,1,0)</f>
        <v>0</v>
      </c>
      <c r="C318" s="9" t="str">
        <f ca="1">+WORLDCUP!BD66</f>
        <v>Senegal</v>
      </c>
      <c r="D318" s="9" t="str">
        <f ca="1">+WORLDCUP!BD64</f>
        <v>Egipto</v>
      </c>
      <c r="E318" s="9" t="str">
        <f ca="1">+WORLDCUP!BD59</f>
        <v>Catar</v>
      </c>
      <c r="F318" s="9" t="str">
        <f ca="1">+WORLDCUP!BD61</f>
        <v>Australia</v>
      </c>
      <c r="G318" s="9" t="str">
        <f ca="1">+WORLDCUP!BD58</f>
        <v>República Checa</v>
      </c>
      <c r="H318" s="9" t="str">
        <f ca="1">+WORLDCUP!BD65</f>
        <v>Arabia Saudita</v>
      </c>
      <c r="I318" s="9" t="str">
        <f ca="1">+WORLDCUP!BD69</f>
        <v>Ghana</v>
      </c>
      <c r="J318" s="9" t="str">
        <f ca="1">+WORLDCUP!BD68</f>
        <v>RD Congo</v>
      </c>
      <c r="N318" s="16" t="s">
        <v>1103</v>
      </c>
      <c r="O318" s="16">
        <v>317</v>
      </c>
      <c r="P318" s="16" t="s">
        <v>121</v>
      </c>
      <c r="Q318" s="16" t="s">
        <v>112</v>
      </c>
      <c r="R318" s="16" t="s">
        <v>90</v>
      </c>
      <c r="S318" s="16" t="s">
        <v>99</v>
      </c>
      <c r="T318" s="16" t="s">
        <v>85</v>
      </c>
      <c r="U318" s="16" t="s">
        <v>117</v>
      </c>
      <c r="V318" s="16" t="s">
        <v>135</v>
      </c>
      <c r="W318" s="16" t="s">
        <v>130</v>
      </c>
    </row>
    <row r="319" spans="1:23" x14ac:dyDescent="0.2">
      <c r="A319" s="9" t="s">
        <v>1104</v>
      </c>
      <c r="B319" s="9">
        <f ca="1">+IF(A319=WORLDCUP!$BI$112,1,0)</f>
        <v>1</v>
      </c>
      <c r="C319" s="9" t="str">
        <f ca="1">+WORLDCUP!BD65</f>
        <v>Arabia Saudita</v>
      </c>
      <c r="D319" s="9" t="str">
        <f ca="1">+WORLDCUP!BD67</f>
        <v>Argelia</v>
      </c>
      <c r="E319" s="9" t="str">
        <f ca="1">+WORLDCUP!BD59</f>
        <v>Catar</v>
      </c>
      <c r="F319" s="9" t="str">
        <f ca="1">+WORLDCUP!BD61</f>
        <v>Australia</v>
      </c>
      <c r="G319" s="9" t="str">
        <f ca="1">+WORLDCUP!BD58</f>
        <v>República Checa</v>
      </c>
      <c r="H319" s="9" t="str">
        <f ca="1">+WORLDCUP!BD64</f>
        <v>Egipto</v>
      </c>
      <c r="I319" s="9" t="str">
        <f ca="1">+WORLDCUP!BD69</f>
        <v>Ghana</v>
      </c>
      <c r="J319" s="9" t="str">
        <f ca="1">+WORLDCUP!BD66</f>
        <v>Senegal</v>
      </c>
      <c r="N319" s="16" t="s">
        <v>1104</v>
      </c>
      <c r="O319" s="16">
        <v>318</v>
      </c>
      <c r="P319" s="16" t="s">
        <v>117</v>
      </c>
      <c r="Q319" s="16" t="s">
        <v>126</v>
      </c>
      <c r="R319" s="16" t="s">
        <v>90</v>
      </c>
      <c r="S319" s="16" t="s">
        <v>99</v>
      </c>
      <c r="T319" s="16" t="s">
        <v>85</v>
      </c>
      <c r="U319" s="16" t="s">
        <v>112</v>
      </c>
      <c r="V319" s="16" t="s">
        <v>135</v>
      </c>
      <c r="W319" s="16" t="s">
        <v>121</v>
      </c>
    </row>
    <row r="320" spans="1:23" x14ac:dyDescent="0.2">
      <c r="A320" s="9" t="s">
        <v>1105</v>
      </c>
      <c r="B320" s="9">
        <f ca="1">+IF(A320=WORLDCUP!$BI$112,1,0)</f>
        <v>0</v>
      </c>
      <c r="C320" s="9" t="str">
        <f ca="1">+WORLDCUP!BD65</f>
        <v>Arabia Saudita</v>
      </c>
      <c r="D320" s="9" t="str">
        <f ca="1">+WORLDCUP!BD67</f>
        <v>Argelia</v>
      </c>
      <c r="E320" s="9" t="str">
        <f ca="1">+WORLDCUP!BD59</f>
        <v>Catar</v>
      </c>
      <c r="F320" s="9" t="str">
        <f ca="1">+WORLDCUP!BD61</f>
        <v>Australia</v>
      </c>
      <c r="G320" s="9" t="str">
        <f ca="1">+WORLDCUP!BD58</f>
        <v>República Checa</v>
      </c>
      <c r="H320" s="9" t="str">
        <f ca="1">+WORLDCUP!BD64</f>
        <v>Egipto</v>
      </c>
      <c r="I320" s="9" t="str">
        <f ca="1">+WORLDCUP!BD66</f>
        <v>Senegal</v>
      </c>
      <c r="J320" s="9" t="str">
        <f ca="1">+WORLDCUP!BD68</f>
        <v>RD Congo</v>
      </c>
      <c r="N320" s="16" t="s">
        <v>1105</v>
      </c>
      <c r="O320" s="16">
        <v>319</v>
      </c>
      <c r="P320" s="16" t="s">
        <v>117</v>
      </c>
      <c r="Q320" s="16" t="s">
        <v>126</v>
      </c>
      <c r="R320" s="16" t="s">
        <v>90</v>
      </c>
      <c r="S320" s="16" t="s">
        <v>99</v>
      </c>
      <c r="T320" s="16" t="s">
        <v>85</v>
      </c>
      <c r="U320" s="16" t="s">
        <v>112</v>
      </c>
      <c r="V320" s="16" t="s">
        <v>121</v>
      </c>
      <c r="W320" s="16" t="s">
        <v>130</v>
      </c>
    </row>
    <row r="321" spans="1:23" x14ac:dyDescent="0.2">
      <c r="A321" s="9" t="s">
        <v>1106</v>
      </c>
      <c r="B321" s="9">
        <f ca="1">+IF(A321=WORLDCUP!$BI$112,1,0)</f>
        <v>0</v>
      </c>
      <c r="C321" s="9" t="str">
        <f ca="1">+WORLDCUP!BD66</f>
        <v>Senegal</v>
      </c>
      <c r="D321" s="9" t="str">
        <f ca="1">+WORLDCUP!BD67</f>
        <v>Argelia</v>
      </c>
      <c r="E321" s="9" t="str">
        <f ca="1">+WORLDCUP!BD59</f>
        <v>Catar</v>
      </c>
      <c r="F321" s="9" t="str">
        <f ca="1">+WORLDCUP!BD61</f>
        <v>Australia</v>
      </c>
      <c r="G321" s="9" t="str">
        <f ca="1">+WORLDCUP!BD58</f>
        <v>República Checa</v>
      </c>
      <c r="H321" s="9" t="str">
        <f ca="1">+WORLDCUP!BD63</f>
        <v>Suecia</v>
      </c>
      <c r="I321" s="9" t="str">
        <f ca="1">+WORLDCUP!BD69</f>
        <v>Ghana</v>
      </c>
      <c r="J321" s="9" t="str">
        <f ca="1">+WORLDCUP!BD68</f>
        <v>RD Congo</v>
      </c>
      <c r="N321" s="16" t="s">
        <v>1106</v>
      </c>
      <c r="O321" s="16">
        <v>320</v>
      </c>
      <c r="P321" s="16" t="s">
        <v>121</v>
      </c>
      <c r="Q321" s="16" t="s">
        <v>126</v>
      </c>
      <c r="R321" s="16" t="s">
        <v>90</v>
      </c>
      <c r="S321" s="16" t="s">
        <v>99</v>
      </c>
      <c r="T321" s="16" t="s">
        <v>85</v>
      </c>
      <c r="U321" s="16" t="s">
        <v>108</v>
      </c>
      <c r="V321" s="16" t="s">
        <v>135</v>
      </c>
      <c r="W321" s="16" t="s">
        <v>130</v>
      </c>
    </row>
    <row r="322" spans="1:23" x14ac:dyDescent="0.2">
      <c r="A322" s="9" t="s">
        <v>1107</v>
      </c>
      <c r="B322" s="9">
        <f ca="1">+IF(A322=WORLDCUP!$BI$112,1,0)</f>
        <v>0</v>
      </c>
      <c r="C322" s="9" t="str">
        <f ca="1">+WORLDCUP!BD65</f>
        <v>Arabia Saudita</v>
      </c>
      <c r="D322" s="9" t="str">
        <f ca="1">+WORLDCUP!BD67</f>
        <v>Argelia</v>
      </c>
      <c r="E322" s="9" t="str">
        <f ca="1">+WORLDCUP!BD59</f>
        <v>Catar</v>
      </c>
      <c r="F322" s="9" t="str">
        <f ca="1">+WORLDCUP!BD61</f>
        <v>Australia</v>
      </c>
      <c r="G322" s="9" t="str">
        <f ca="1">+WORLDCUP!BD58</f>
        <v>República Checa</v>
      </c>
      <c r="H322" s="9" t="str">
        <f ca="1">+WORLDCUP!BD63</f>
        <v>Suecia</v>
      </c>
      <c r="I322" s="9" t="str">
        <f ca="1">+WORLDCUP!BD69</f>
        <v>Ghana</v>
      </c>
      <c r="J322" s="9" t="str">
        <f ca="1">+WORLDCUP!BD68</f>
        <v>RD Congo</v>
      </c>
      <c r="N322" s="16" t="s">
        <v>1107</v>
      </c>
      <c r="O322" s="16">
        <v>321</v>
      </c>
      <c r="P322" s="16" t="s">
        <v>117</v>
      </c>
      <c r="Q322" s="16" t="s">
        <v>126</v>
      </c>
      <c r="R322" s="16" t="s">
        <v>90</v>
      </c>
      <c r="S322" s="16" t="s">
        <v>99</v>
      </c>
      <c r="T322" s="16" t="s">
        <v>85</v>
      </c>
      <c r="U322" s="16" t="s">
        <v>108</v>
      </c>
      <c r="V322" s="16" t="s">
        <v>135</v>
      </c>
      <c r="W322" s="16" t="s">
        <v>130</v>
      </c>
    </row>
    <row r="323" spans="1:23" x14ac:dyDescent="0.2">
      <c r="A323" s="9" t="s">
        <v>1108</v>
      </c>
      <c r="B323" s="9">
        <f ca="1">+IF(A323=WORLDCUP!$BI$112,1,0)</f>
        <v>0</v>
      </c>
      <c r="C323" s="9" t="str">
        <f ca="1">+WORLDCUP!BD65</f>
        <v>Arabia Saudita</v>
      </c>
      <c r="D323" s="9" t="str">
        <f ca="1">+WORLDCUP!BD66</f>
        <v>Senegal</v>
      </c>
      <c r="E323" s="9" t="str">
        <f ca="1">+WORLDCUP!BD59</f>
        <v>Catar</v>
      </c>
      <c r="F323" s="9" t="str">
        <f ca="1">+WORLDCUP!BD61</f>
        <v>Australia</v>
      </c>
      <c r="G323" s="9" t="str">
        <f ca="1">+WORLDCUP!BD58</f>
        <v>República Checa</v>
      </c>
      <c r="H323" s="9" t="str">
        <f ca="1">+WORLDCUP!BD63</f>
        <v>Suecia</v>
      </c>
      <c r="I323" s="9" t="str">
        <f ca="1">+WORLDCUP!BD69</f>
        <v>Ghana</v>
      </c>
      <c r="J323" s="9" t="str">
        <f ca="1">+WORLDCUP!BD68</f>
        <v>RD Congo</v>
      </c>
      <c r="N323" s="16" t="s">
        <v>1108</v>
      </c>
      <c r="O323" s="16">
        <v>322</v>
      </c>
      <c r="P323" s="16" t="s">
        <v>117</v>
      </c>
      <c r="Q323" s="16" t="s">
        <v>121</v>
      </c>
      <c r="R323" s="16" t="s">
        <v>90</v>
      </c>
      <c r="S323" s="16" t="s">
        <v>99</v>
      </c>
      <c r="T323" s="16" t="s">
        <v>85</v>
      </c>
      <c r="U323" s="16" t="s">
        <v>108</v>
      </c>
      <c r="V323" s="16" t="s">
        <v>135</v>
      </c>
      <c r="W323" s="16" t="s">
        <v>130</v>
      </c>
    </row>
    <row r="324" spans="1:23" x14ac:dyDescent="0.2">
      <c r="A324" s="9" t="s">
        <v>1109</v>
      </c>
      <c r="B324" s="9">
        <f ca="1">+IF(A324=WORLDCUP!$BI$112,1,0)</f>
        <v>0</v>
      </c>
      <c r="C324" s="9" t="str">
        <f ca="1">+WORLDCUP!BD65</f>
        <v>Arabia Saudita</v>
      </c>
      <c r="D324" s="9" t="str">
        <f ca="1">+WORLDCUP!BD67</f>
        <v>Argelia</v>
      </c>
      <c r="E324" s="9" t="str">
        <f ca="1">+WORLDCUP!BD59</f>
        <v>Catar</v>
      </c>
      <c r="F324" s="9" t="str">
        <f ca="1">+WORLDCUP!BD61</f>
        <v>Australia</v>
      </c>
      <c r="G324" s="9" t="str">
        <f ca="1">+WORLDCUP!BD58</f>
        <v>República Checa</v>
      </c>
      <c r="H324" s="9" t="str">
        <f ca="1">+WORLDCUP!BD63</f>
        <v>Suecia</v>
      </c>
      <c r="I324" s="9" t="str">
        <f ca="1">+WORLDCUP!BD69</f>
        <v>Ghana</v>
      </c>
      <c r="J324" s="9" t="str">
        <f ca="1">+WORLDCUP!BD66</f>
        <v>Senegal</v>
      </c>
      <c r="N324" s="16" t="s">
        <v>1109</v>
      </c>
      <c r="O324" s="16">
        <v>323</v>
      </c>
      <c r="P324" s="16" t="s">
        <v>117</v>
      </c>
      <c r="Q324" s="16" t="s">
        <v>126</v>
      </c>
      <c r="R324" s="16" t="s">
        <v>90</v>
      </c>
      <c r="S324" s="16" t="s">
        <v>99</v>
      </c>
      <c r="T324" s="16" t="s">
        <v>85</v>
      </c>
      <c r="U324" s="16" t="s">
        <v>108</v>
      </c>
      <c r="V324" s="16" t="s">
        <v>135</v>
      </c>
      <c r="W324" s="16" t="s">
        <v>121</v>
      </c>
    </row>
    <row r="325" spans="1:23" x14ac:dyDescent="0.2">
      <c r="A325" s="9" t="s">
        <v>1110</v>
      </c>
      <c r="B325" s="9">
        <f ca="1">+IF(A325=WORLDCUP!$BI$112,1,0)</f>
        <v>0</v>
      </c>
      <c r="C325" s="9" t="str">
        <f ca="1">+WORLDCUP!BD65</f>
        <v>Arabia Saudita</v>
      </c>
      <c r="D325" s="9" t="str">
        <f ca="1">+WORLDCUP!BD67</f>
        <v>Argelia</v>
      </c>
      <c r="E325" s="9" t="str">
        <f ca="1">+WORLDCUP!BD59</f>
        <v>Catar</v>
      </c>
      <c r="F325" s="9" t="str">
        <f ca="1">+WORLDCUP!BD61</f>
        <v>Australia</v>
      </c>
      <c r="G325" s="9" t="str">
        <f ca="1">+WORLDCUP!BD58</f>
        <v>República Checa</v>
      </c>
      <c r="H325" s="9" t="str">
        <f ca="1">+WORLDCUP!BD63</f>
        <v>Suecia</v>
      </c>
      <c r="I325" s="9" t="str">
        <f ca="1">+WORLDCUP!BD66</f>
        <v>Senegal</v>
      </c>
      <c r="J325" s="9" t="str">
        <f ca="1">+WORLDCUP!BD68</f>
        <v>RD Congo</v>
      </c>
      <c r="N325" s="16" t="s">
        <v>1110</v>
      </c>
      <c r="O325" s="16">
        <v>324</v>
      </c>
      <c r="P325" s="16" t="s">
        <v>117</v>
      </c>
      <c r="Q325" s="16" t="s">
        <v>126</v>
      </c>
      <c r="R325" s="16" t="s">
        <v>90</v>
      </c>
      <c r="S325" s="16" t="s">
        <v>99</v>
      </c>
      <c r="T325" s="16" t="s">
        <v>85</v>
      </c>
      <c r="U325" s="16" t="s">
        <v>108</v>
      </c>
      <c r="V325" s="16" t="s">
        <v>121</v>
      </c>
      <c r="W325" s="16" t="s">
        <v>130</v>
      </c>
    </row>
    <row r="326" spans="1:23" x14ac:dyDescent="0.2">
      <c r="A326" s="9" t="s">
        <v>1111</v>
      </c>
      <c r="B326" s="9">
        <f ca="1">+IF(A326=WORLDCUP!$BI$112,1,0)</f>
        <v>0</v>
      </c>
      <c r="C326" s="9" t="str">
        <f ca="1">+WORLDCUP!BD63</f>
        <v>Suecia</v>
      </c>
      <c r="D326" s="9" t="str">
        <f ca="1">+WORLDCUP!BD67</f>
        <v>Argelia</v>
      </c>
      <c r="E326" s="9" t="str">
        <f ca="1">+WORLDCUP!BD59</f>
        <v>Catar</v>
      </c>
      <c r="F326" s="9" t="str">
        <f ca="1">+WORLDCUP!BD61</f>
        <v>Australia</v>
      </c>
      <c r="G326" s="9" t="str">
        <f ca="1">+WORLDCUP!BD58</f>
        <v>República Checa</v>
      </c>
      <c r="H326" s="9" t="str">
        <f ca="1">+WORLDCUP!BD64</f>
        <v>Egipto</v>
      </c>
      <c r="I326" s="9" t="str">
        <f ca="1">+WORLDCUP!BD69</f>
        <v>Ghana</v>
      </c>
      <c r="J326" s="9" t="str">
        <f ca="1">+WORLDCUP!BD68</f>
        <v>RD Congo</v>
      </c>
      <c r="N326" s="16" t="s">
        <v>1111</v>
      </c>
      <c r="O326" s="16">
        <v>325</v>
      </c>
      <c r="P326" s="16" t="s">
        <v>108</v>
      </c>
      <c r="Q326" s="16" t="s">
        <v>126</v>
      </c>
      <c r="R326" s="16" t="s">
        <v>90</v>
      </c>
      <c r="S326" s="16" t="s">
        <v>99</v>
      </c>
      <c r="T326" s="16" t="s">
        <v>85</v>
      </c>
      <c r="U326" s="16" t="s">
        <v>112</v>
      </c>
      <c r="V326" s="16" t="s">
        <v>135</v>
      </c>
      <c r="W326" s="16" t="s">
        <v>130</v>
      </c>
    </row>
    <row r="327" spans="1:23" x14ac:dyDescent="0.2">
      <c r="A327" s="9" t="s">
        <v>1112</v>
      </c>
      <c r="B327" s="9">
        <f ca="1">+IF(A327=WORLDCUP!$BI$112,1,0)</f>
        <v>0</v>
      </c>
      <c r="C327" s="9" t="str">
        <f ca="1">+WORLDCUP!BD66</f>
        <v>Senegal</v>
      </c>
      <c r="D327" s="9" t="str">
        <f ca="1">+WORLDCUP!BD64</f>
        <v>Egipto</v>
      </c>
      <c r="E327" s="9" t="str">
        <f ca="1">+WORLDCUP!BD59</f>
        <v>Catar</v>
      </c>
      <c r="F327" s="9" t="str">
        <f ca="1">+WORLDCUP!BD61</f>
        <v>Australia</v>
      </c>
      <c r="G327" s="9" t="str">
        <f ca="1">+WORLDCUP!BD58</f>
        <v>República Checa</v>
      </c>
      <c r="H327" s="9" t="str">
        <f ca="1">+WORLDCUP!BD63</f>
        <v>Suecia</v>
      </c>
      <c r="I327" s="9" t="str">
        <f ca="1">+WORLDCUP!BD69</f>
        <v>Ghana</v>
      </c>
      <c r="J327" s="9" t="str">
        <f ca="1">+WORLDCUP!BD68</f>
        <v>RD Congo</v>
      </c>
      <c r="N327" s="16" t="s">
        <v>1112</v>
      </c>
      <c r="O327" s="16">
        <v>326</v>
      </c>
      <c r="P327" s="16" t="s">
        <v>121</v>
      </c>
      <c r="Q327" s="16" t="s">
        <v>112</v>
      </c>
      <c r="R327" s="16" t="s">
        <v>90</v>
      </c>
      <c r="S327" s="16" t="s">
        <v>99</v>
      </c>
      <c r="T327" s="16" t="s">
        <v>85</v>
      </c>
      <c r="U327" s="16" t="s">
        <v>108</v>
      </c>
      <c r="V327" s="16" t="s">
        <v>135</v>
      </c>
      <c r="W327" s="16" t="s">
        <v>130</v>
      </c>
    </row>
    <row r="328" spans="1:23" x14ac:dyDescent="0.2">
      <c r="A328" s="9" t="s">
        <v>1113</v>
      </c>
      <c r="B328" s="9">
        <f ca="1">+IF(A328=WORLDCUP!$BI$112,1,0)</f>
        <v>0</v>
      </c>
      <c r="C328" s="9" t="str">
        <f ca="1">+WORLDCUP!BD63</f>
        <v>Suecia</v>
      </c>
      <c r="D328" s="9" t="str">
        <f ca="1">+WORLDCUP!BD67</f>
        <v>Argelia</v>
      </c>
      <c r="E328" s="9" t="str">
        <f ca="1">+WORLDCUP!BD59</f>
        <v>Catar</v>
      </c>
      <c r="F328" s="9" t="str">
        <f ca="1">+WORLDCUP!BD61</f>
        <v>Australia</v>
      </c>
      <c r="G328" s="9" t="str">
        <f ca="1">+WORLDCUP!BD58</f>
        <v>República Checa</v>
      </c>
      <c r="H328" s="9" t="str">
        <f ca="1">+WORLDCUP!BD64</f>
        <v>Egipto</v>
      </c>
      <c r="I328" s="9" t="str">
        <f ca="1">+WORLDCUP!BD69</f>
        <v>Ghana</v>
      </c>
      <c r="J328" s="9" t="str">
        <f ca="1">+WORLDCUP!BD66</f>
        <v>Senegal</v>
      </c>
      <c r="N328" s="16" t="s">
        <v>1113</v>
      </c>
      <c r="O328" s="16">
        <v>327</v>
      </c>
      <c r="P328" s="16" t="s">
        <v>108</v>
      </c>
      <c r="Q328" s="16" t="s">
        <v>126</v>
      </c>
      <c r="R328" s="16" t="s">
        <v>90</v>
      </c>
      <c r="S328" s="16" t="s">
        <v>99</v>
      </c>
      <c r="T328" s="16" t="s">
        <v>85</v>
      </c>
      <c r="U328" s="16" t="s">
        <v>112</v>
      </c>
      <c r="V328" s="16" t="s">
        <v>135</v>
      </c>
      <c r="W328" s="16" t="s">
        <v>121</v>
      </c>
    </row>
    <row r="329" spans="1:23" x14ac:dyDescent="0.2">
      <c r="A329" s="9" t="s">
        <v>1114</v>
      </c>
      <c r="B329" s="9">
        <f ca="1">+IF(A329=WORLDCUP!$BI$112,1,0)</f>
        <v>0</v>
      </c>
      <c r="C329" s="9" t="str">
        <f ca="1">+WORLDCUP!BD63</f>
        <v>Suecia</v>
      </c>
      <c r="D329" s="9" t="str">
        <f ca="1">+WORLDCUP!BD67</f>
        <v>Argelia</v>
      </c>
      <c r="E329" s="9" t="str">
        <f ca="1">+WORLDCUP!BD59</f>
        <v>Catar</v>
      </c>
      <c r="F329" s="9" t="str">
        <f ca="1">+WORLDCUP!BD61</f>
        <v>Australia</v>
      </c>
      <c r="G329" s="9" t="str">
        <f ca="1">+WORLDCUP!BD58</f>
        <v>República Checa</v>
      </c>
      <c r="H329" s="9" t="str">
        <f ca="1">+WORLDCUP!BD64</f>
        <v>Egipto</v>
      </c>
      <c r="I329" s="9" t="str">
        <f ca="1">+WORLDCUP!BD66</f>
        <v>Senegal</v>
      </c>
      <c r="J329" s="9" t="str">
        <f ca="1">+WORLDCUP!BD68</f>
        <v>RD Congo</v>
      </c>
      <c r="N329" s="16" t="s">
        <v>1114</v>
      </c>
      <c r="O329" s="16">
        <v>328</v>
      </c>
      <c r="P329" s="16" t="s">
        <v>108</v>
      </c>
      <c r="Q329" s="16" t="s">
        <v>126</v>
      </c>
      <c r="R329" s="16" t="s">
        <v>90</v>
      </c>
      <c r="S329" s="16" t="s">
        <v>99</v>
      </c>
      <c r="T329" s="16" t="s">
        <v>85</v>
      </c>
      <c r="U329" s="16" t="s">
        <v>112</v>
      </c>
      <c r="V329" s="16" t="s">
        <v>121</v>
      </c>
      <c r="W329" s="16" t="s">
        <v>130</v>
      </c>
    </row>
    <row r="330" spans="1:23" x14ac:dyDescent="0.2">
      <c r="A330" s="9" t="s">
        <v>1115</v>
      </c>
      <c r="B330" s="9">
        <f ca="1">+IF(A330=WORLDCUP!$BI$112,1,0)</f>
        <v>0</v>
      </c>
      <c r="C330" s="9" t="str">
        <f ca="1">+WORLDCUP!BD65</f>
        <v>Arabia Saudita</v>
      </c>
      <c r="D330" s="9" t="str">
        <f ca="1">+WORLDCUP!BD64</f>
        <v>Egipto</v>
      </c>
      <c r="E330" s="9" t="str">
        <f ca="1">+WORLDCUP!BD59</f>
        <v>Catar</v>
      </c>
      <c r="F330" s="9" t="str">
        <f ca="1">+WORLDCUP!BD61</f>
        <v>Australia</v>
      </c>
      <c r="G330" s="9" t="str">
        <f ca="1">+WORLDCUP!BD58</f>
        <v>República Checa</v>
      </c>
      <c r="H330" s="9" t="str">
        <f ca="1">+WORLDCUP!BD63</f>
        <v>Suecia</v>
      </c>
      <c r="I330" s="9" t="str">
        <f ca="1">+WORLDCUP!BD69</f>
        <v>Ghana</v>
      </c>
      <c r="J330" s="9" t="str">
        <f ca="1">+WORLDCUP!BD68</f>
        <v>RD Congo</v>
      </c>
      <c r="N330" s="16" t="s">
        <v>1115</v>
      </c>
      <c r="O330" s="16">
        <v>329</v>
      </c>
      <c r="P330" s="16" t="s">
        <v>117</v>
      </c>
      <c r="Q330" s="16" t="s">
        <v>112</v>
      </c>
      <c r="R330" s="16" t="s">
        <v>90</v>
      </c>
      <c r="S330" s="16" t="s">
        <v>99</v>
      </c>
      <c r="T330" s="16" t="s">
        <v>85</v>
      </c>
      <c r="U330" s="16" t="s">
        <v>108</v>
      </c>
      <c r="V330" s="16" t="s">
        <v>135</v>
      </c>
      <c r="W330" s="16" t="s">
        <v>130</v>
      </c>
    </row>
    <row r="331" spans="1:23" x14ac:dyDescent="0.2">
      <c r="A331" s="9" t="s">
        <v>1116</v>
      </c>
      <c r="B331" s="9">
        <f ca="1">+IF(A331=WORLDCUP!$BI$112,1,0)</f>
        <v>0</v>
      </c>
      <c r="C331" s="9" t="str">
        <f ca="1">+WORLDCUP!BD65</f>
        <v>Arabia Saudita</v>
      </c>
      <c r="D331" s="9" t="str">
        <f ca="1">+WORLDCUP!BD64</f>
        <v>Egipto</v>
      </c>
      <c r="E331" s="9" t="str">
        <f ca="1">+WORLDCUP!BD59</f>
        <v>Catar</v>
      </c>
      <c r="F331" s="9" t="str">
        <f ca="1">+WORLDCUP!BD61</f>
        <v>Australia</v>
      </c>
      <c r="G331" s="9" t="str">
        <f ca="1">+WORLDCUP!BD58</f>
        <v>República Checa</v>
      </c>
      <c r="H331" s="9" t="str">
        <f ca="1">+WORLDCUP!BD63</f>
        <v>Suecia</v>
      </c>
      <c r="I331" s="9" t="str">
        <f ca="1">+WORLDCUP!BD69</f>
        <v>Ghana</v>
      </c>
      <c r="J331" s="9" t="str">
        <f ca="1">+WORLDCUP!BD67</f>
        <v>Argelia</v>
      </c>
      <c r="N331" s="16" t="s">
        <v>1116</v>
      </c>
      <c r="O331" s="16">
        <v>330</v>
      </c>
      <c r="P331" s="16" t="s">
        <v>117</v>
      </c>
      <c r="Q331" s="16" t="s">
        <v>112</v>
      </c>
      <c r="R331" s="16" t="s">
        <v>90</v>
      </c>
      <c r="S331" s="16" t="s">
        <v>99</v>
      </c>
      <c r="T331" s="16" t="s">
        <v>85</v>
      </c>
      <c r="U331" s="16" t="s">
        <v>108</v>
      </c>
      <c r="V331" s="16" t="s">
        <v>135</v>
      </c>
      <c r="W331" s="16" t="s">
        <v>126</v>
      </c>
    </row>
    <row r="332" spans="1:23" x14ac:dyDescent="0.2">
      <c r="A332" s="9" t="s">
        <v>1117</v>
      </c>
      <c r="B332" s="9">
        <f ca="1">+IF(A332=WORLDCUP!$BI$112,1,0)</f>
        <v>0</v>
      </c>
      <c r="C332" s="9" t="str">
        <f ca="1">+WORLDCUP!BD65</f>
        <v>Arabia Saudita</v>
      </c>
      <c r="D332" s="9" t="str">
        <f ca="1">+WORLDCUP!BD64</f>
        <v>Egipto</v>
      </c>
      <c r="E332" s="9" t="str">
        <f ca="1">+WORLDCUP!BD59</f>
        <v>Catar</v>
      </c>
      <c r="F332" s="9" t="str">
        <f ca="1">+WORLDCUP!BD61</f>
        <v>Australia</v>
      </c>
      <c r="G332" s="9" t="str">
        <f ca="1">+WORLDCUP!BD58</f>
        <v>República Checa</v>
      </c>
      <c r="H332" s="9" t="str">
        <f ca="1">+WORLDCUP!BD63</f>
        <v>Suecia</v>
      </c>
      <c r="I332" s="9" t="str">
        <f ca="1">+WORLDCUP!BD67</f>
        <v>Argelia</v>
      </c>
      <c r="J332" s="9" t="str">
        <f ca="1">+WORLDCUP!BD68</f>
        <v>RD Congo</v>
      </c>
      <c r="N332" s="16" t="s">
        <v>1117</v>
      </c>
      <c r="O332" s="16">
        <v>331</v>
      </c>
      <c r="P332" s="16" t="s">
        <v>117</v>
      </c>
      <c r="Q332" s="16" t="s">
        <v>112</v>
      </c>
      <c r="R332" s="16" t="s">
        <v>90</v>
      </c>
      <c r="S332" s="16" t="s">
        <v>99</v>
      </c>
      <c r="T332" s="16" t="s">
        <v>85</v>
      </c>
      <c r="U332" s="16" t="s">
        <v>108</v>
      </c>
      <c r="V332" s="16" t="s">
        <v>126</v>
      </c>
      <c r="W332" s="16" t="s">
        <v>130</v>
      </c>
    </row>
    <row r="333" spans="1:23" x14ac:dyDescent="0.2">
      <c r="A333" s="9" t="s">
        <v>1118</v>
      </c>
      <c r="B333" s="9">
        <f ca="1">+IF(A333=WORLDCUP!$BI$112,1,0)</f>
        <v>0</v>
      </c>
      <c r="C333" s="9" t="str">
        <f ca="1">+WORLDCUP!BD65</f>
        <v>Arabia Saudita</v>
      </c>
      <c r="D333" s="9" t="str">
        <f ca="1">+WORLDCUP!BD64</f>
        <v>Egipto</v>
      </c>
      <c r="E333" s="9" t="str">
        <f ca="1">+WORLDCUP!BD59</f>
        <v>Catar</v>
      </c>
      <c r="F333" s="9" t="str">
        <f ca="1">+WORLDCUP!BD61</f>
        <v>Australia</v>
      </c>
      <c r="G333" s="9" t="str">
        <f ca="1">+WORLDCUP!BD58</f>
        <v>República Checa</v>
      </c>
      <c r="H333" s="9" t="str">
        <f ca="1">+WORLDCUP!BD63</f>
        <v>Suecia</v>
      </c>
      <c r="I333" s="9" t="str">
        <f ca="1">+WORLDCUP!BD69</f>
        <v>Ghana</v>
      </c>
      <c r="J333" s="9" t="str">
        <f ca="1">+WORLDCUP!BD66</f>
        <v>Senegal</v>
      </c>
      <c r="N333" s="16" t="s">
        <v>1118</v>
      </c>
      <c r="O333" s="16">
        <v>332</v>
      </c>
      <c r="P333" s="16" t="s">
        <v>117</v>
      </c>
      <c r="Q333" s="16" t="s">
        <v>112</v>
      </c>
      <c r="R333" s="16" t="s">
        <v>90</v>
      </c>
      <c r="S333" s="16" t="s">
        <v>99</v>
      </c>
      <c r="T333" s="16" t="s">
        <v>85</v>
      </c>
      <c r="U333" s="16" t="s">
        <v>108</v>
      </c>
      <c r="V333" s="16" t="s">
        <v>135</v>
      </c>
      <c r="W333" s="16" t="s">
        <v>121</v>
      </c>
    </row>
    <row r="334" spans="1:23" x14ac:dyDescent="0.2">
      <c r="A334" s="9" t="s">
        <v>1119</v>
      </c>
      <c r="B334" s="9">
        <f ca="1">+IF(A334=WORLDCUP!$BI$112,1,0)</f>
        <v>0</v>
      </c>
      <c r="C334" s="9" t="str">
        <f ca="1">+WORLDCUP!BD65</f>
        <v>Arabia Saudita</v>
      </c>
      <c r="D334" s="9" t="str">
        <f ca="1">+WORLDCUP!BD64</f>
        <v>Egipto</v>
      </c>
      <c r="E334" s="9" t="str">
        <f ca="1">+WORLDCUP!BD59</f>
        <v>Catar</v>
      </c>
      <c r="F334" s="9" t="str">
        <f ca="1">+WORLDCUP!BD61</f>
        <v>Australia</v>
      </c>
      <c r="G334" s="9" t="str">
        <f ca="1">+WORLDCUP!BD58</f>
        <v>República Checa</v>
      </c>
      <c r="H334" s="9" t="str">
        <f ca="1">+WORLDCUP!BD63</f>
        <v>Suecia</v>
      </c>
      <c r="I334" s="9" t="str">
        <f ca="1">+WORLDCUP!BD66</f>
        <v>Senegal</v>
      </c>
      <c r="J334" s="9" t="str">
        <f ca="1">+WORLDCUP!BD68</f>
        <v>RD Congo</v>
      </c>
      <c r="N334" s="16" t="s">
        <v>1119</v>
      </c>
      <c r="O334" s="16">
        <v>333</v>
      </c>
      <c r="P334" s="16" t="s">
        <v>117</v>
      </c>
      <c r="Q334" s="16" t="s">
        <v>112</v>
      </c>
      <c r="R334" s="16" t="s">
        <v>90</v>
      </c>
      <c r="S334" s="16" t="s">
        <v>99</v>
      </c>
      <c r="T334" s="16" t="s">
        <v>85</v>
      </c>
      <c r="U334" s="16" t="s">
        <v>108</v>
      </c>
      <c r="V334" s="16" t="s">
        <v>121</v>
      </c>
      <c r="W334" s="16" t="s">
        <v>130</v>
      </c>
    </row>
    <row r="335" spans="1:23" x14ac:dyDescent="0.2">
      <c r="A335" s="9" t="s">
        <v>1120</v>
      </c>
      <c r="B335" s="9">
        <f ca="1">+IF(A335=WORLDCUP!$BI$112,1,0)</f>
        <v>0</v>
      </c>
      <c r="C335" s="9" t="str">
        <f ca="1">+WORLDCUP!BD65</f>
        <v>Arabia Saudita</v>
      </c>
      <c r="D335" s="9" t="str">
        <f ca="1">+WORLDCUP!BD64</f>
        <v>Egipto</v>
      </c>
      <c r="E335" s="9" t="str">
        <f ca="1">+WORLDCUP!BD59</f>
        <v>Catar</v>
      </c>
      <c r="F335" s="9" t="str">
        <f ca="1">+WORLDCUP!BD61</f>
        <v>Australia</v>
      </c>
      <c r="G335" s="9" t="str">
        <f ca="1">+WORLDCUP!BD58</f>
        <v>República Checa</v>
      </c>
      <c r="H335" s="9" t="str">
        <f ca="1">+WORLDCUP!BD63</f>
        <v>Suecia</v>
      </c>
      <c r="I335" s="9" t="str">
        <f ca="1">+WORLDCUP!BD66</f>
        <v>Senegal</v>
      </c>
      <c r="J335" s="9" t="str">
        <f ca="1">+WORLDCUP!BD67</f>
        <v>Argelia</v>
      </c>
      <c r="N335" s="16" t="s">
        <v>1120</v>
      </c>
      <c r="O335" s="16">
        <v>334</v>
      </c>
      <c r="P335" s="16" t="s">
        <v>117</v>
      </c>
      <c r="Q335" s="16" t="s">
        <v>112</v>
      </c>
      <c r="R335" s="16" t="s">
        <v>90</v>
      </c>
      <c r="S335" s="16" t="s">
        <v>99</v>
      </c>
      <c r="T335" s="16" t="s">
        <v>85</v>
      </c>
      <c r="U335" s="16" t="s">
        <v>108</v>
      </c>
      <c r="V335" s="16" t="s">
        <v>121</v>
      </c>
      <c r="W335" s="16" t="s">
        <v>126</v>
      </c>
    </row>
    <row r="336" spans="1:23" x14ac:dyDescent="0.2">
      <c r="A336" s="9" t="s">
        <v>1121</v>
      </c>
      <c r="B336" s="9">
        <f ca="1">+IF(A336=WORLDCUP!$BI$112,1,0)</f>
        <v>0</v>
      </c>
      <c r="C336" s="9" t="str">
        <f ca="1">+WORLDCUP!BD62</f>
        <v>Curazao</v>
      </c>
      <c r="D336" s="9" t="str">
        <f ca="1">+WORLDCUP!BD67</f>
        <v>Argelia</v>
      </c>
      <c r="E336" s="9" t="str">
        <f ca="1">+WORLDCUP!BD59</f>
        <v>Catar</v>
      </c>
      <c r="F336" s="9" t="str">
        <f ca="1">+WORLDCUP!BD58</f>
        <v>República Checa</v>
      </c>
      <c r="G336" s="9" t="str">
        <f ca="1">+WORLDCUP!BD66</f>
        <v>Senegal</v>
      </c>
      <c r="H336" s="9" t="str">
        <f ca="1">+WORLDCUP!BD61</f>
        <v>Australia</v>
      </c>
      <c r="I336" s="9" t="str">
        <f ca="1">+WORLDCUP!BD69</f>
        <v>Ghana</v>
      </c>
      <c r="J336" s="9" t="str">
        <f ca="1">+WORLDCUP!BD68</f>
        <v>RD Congo</v>
      </c>
      <c r="N336" s="16" t="s">
        <v>1121</v>
      </c>
      <c r="O336" s="16">
        <v>335</v>
      </c>
      <c r="P336" s="16" t="s">
        <v>103</v>
      </c>
      <c r="Q336" s="16" t="s">
        <v>126</v>
      </c>
      <c r="R336" s="16" t="s">
        <v>90</v>
      </c>
      <c r="S336" s="16" t="s">
        <v>85</v>
      </c>
      <c r="T336" s="16" t="s">
        <v>121</v>
      </c>
      <c r="U336" s="16" t="s">
        <v>99</v>
      </c>
      <c r="V336" s="16" t="s">
        <v>135</v>
      </c>
      <c r="W336" s="16" t="s">
        <v>130</v>
      </c>
    </row>
    <row r="337" spans="1:23" x14ac:dyDescent="0.2">
      <c r="A337" s="9" t="s">
        <v>1122</v>
      </c>
      <c r="B337" s="9">
        <f ca="1">+IF(A337=WORLDCUP!$BI$112,1,0)</f>
        <v>0</v>
      </c>
      <c r="C337" s="9" t="str">
        <f ca="1">+WORLDCUP!BD62</f>
        <v>Curazao</v>
      </c>
      <c r="D337" s="9" t="str">
        <f ca="1">+WORLDCUP!BD67</f>
        <v>Argelia</v>
      </c>
      <c r="E337" s="9" t="str">
        <f ca="1">+WORLDCUP!BD59</f>
        <v>Catar</v>
      </c>
      <c r="F337" s="9" t="str">
        <f ca="1">+WORLDCUP!BD61</f>
        <v>Australia</v>
      </c>
      <c r="G337" s="9" t="str">
        <f ca="1">+WORLDCUP!BD58</f>
        <v>República Checa</v>
      </c>
      <c r="H337" s="9" t="str">
        <f ca="1">+WORLDCUP!BD65</f>
        <v>Arabia Saudita</v>
      </c>
      <c r="I337" s="9" t="str">
        <f ca="1">+WORLDCUP!BD69</f>
        <v>Ghana</v>
      </c>
      <c r="J337" s="9" t="str">
        <f ca="1">+WORLDCUP!BD68</f>
        <v>RD Congo</v>
      </c>
      <c r="N337" s="16" t="s">
        <v>1122</v>
      </c>
      <c r="O337" s="16">
        <v>336</v>
      </c>
      <c r="P337" s="16" t="s">
        <v>103</v>
      </c>
      <c r="Q337" s="16" t="s">
        <v>126</v>
      </c>
      <c r="R337" s="16" t="s">
        <v>90</v>
      </c>
      <c r="S337" s="16" t="s">
        <v>99</v>
      </c>
      <c r="T337" s="16" t="s">
        <v>85</v>
      </c>
      <c r="U337" s="16" t="s">
        <v>117</v>
      </c>
      <c r="V337" s="16" t="s">
        <v>135</v>
      </c>
      <c r="W337" s="16" t="s">
        <v>130</v>
      </c>
    </row>
    <row r="338" spans="1:23" x14ac:dyDescent="0.2">
      <c r="A338" s="9" t="s">
        <v>1123</v>
      </c>
      <c r="B338" s="9">
        <f ca="1">+IF(A338=WORLDCUP!$BI$112,1,0)</f>
        <v>0</v>
      </c>
      <c r="C338" s="9" t="str">
        <f ca="1">+WORLDCUP!BD62</f>
        <v>Curazao</v>
      </c>
      <c r="D338" s="9" t="str">
        <f ca="1">+WORLDCUP!BD66</f>
        <v>Senegal</v>
      </c>
      <c r="E338" s="9" t="str">
        <f ca="1">+WORLDCUP!BD59</f>
        <v>Catar</v>
      </c>
      <c r="F338" s="9" t="str">
        <f ca="1">+WORLDCUP!BD61</f>
        <v>Australia</v>
      </c>
      <c r="G338" s="9" t="str">
        <f ca="1">+WORLDCUP!BD58</f>
        <v>República Checa</v>
      </c>
      <c r="H338" s="9" t="str">
        <f ca="1">+WORLDCUP!BD65</f>
        <v>Arabia Saudita</v>
      </c>
      <c r="I338" s="9" t="str">
        <f ca="1">+WORLDCUP!BD69</f>
        <v>Ghana</v>
      </c>
      <c r="J338" s="9" t="str">
        <f ca="1">+WORLDCUP!BD68</f>
        <v>RD Congo</v>
      </c>
      <c r="N338" s="16" t="s">
        <v>1123</v>
      </c>
      <c r="O338" s="16">
        <v>337</v>
      </c>
      <c r="P338" s="16" t="s">
        <v>103</v>
      </c>
      <c r="Q338" s="16" t="s">
        <v>121</v>
      </c>
      <c r="R338" s="16" t="s">
        <v>90</v>
      </c>
      <c r="S338" s="16" t="s">
        <v>99</v>
      </c>
      <c r="T338" s="16" t="s">
        <v>85</v>
      </c>
      <c r="U338" s="16" t="s">
        <v>117</v>
      </c>
      <c r="V338" s="16" t="s">
        <v>135</v>
      </c>
      <c r="W338" s="16" t="s">
        <v>130</v>
      </c>
    </row>
    <row r="339" spans="1:23" x14ac:dyDescent="0.2">
      <c r="A339" s="9" t="s">
        <v>1124</v>
      </c>
      <c r="B339" s="9">
        <f ca="1">+IF(A339=WORLDCUP!$BI$112,1,0)</f>
        <v>0</v>
      </c>
      <c r="C339" s="9" t="str">
        <f ca="1">+WORLDCUP!BD62</f>
        <v>Curazao</v>
      </c>
      <c r="D339" s="9" t="str">
        <f ca="1">+WORLDCUP!BD67</f>
        <v>Argelia</v>
      </c>
      <c r="E339" s="9" t="str">
        <f ca="1">+WORLDCUP!BD59</f>
        <v>Catar</v>
      </c>
      <c r="F339" s="9" t="str">
        <f ca="1">+WORLDCUP!BD61</f>
        <v>Australia</v>
      </c>
      <c r="G339" s="9" t="str">
        <f ca="1">+WORLDCUP!BD58</f>
        <v>República Checa</v>
      </c>
      <c r="H339" s="9" t="str">
        <f ca="1">+WORLDCUP!BD65</f>
        <v>Arabia Saudita</v>
      </c>
      <c r="I339" s="9" t="str">
        <f ca="1">+WORLDCUP!BD69</f>
        <v>Ghana</v>
      </c>
      <c r="J339" s="9" t="str">
        <f ca="1">+WORLDCUP!BD66</f>
        <v>Senegal</v>
      </c>
      <c r="N339" s="16" t="s">
        <v>1124</v>
      </c>
      <c r="O339" s="16">
        <v>338</v>
      </c>
      <c r="P339" s="16" t="s">
        <v>103</v>
      </c>
      <c r="Q339" s="16" t="s">
        <v>126</v>
      </c>
      <c r="R339" s="16" t="s">
        <v>90</v>
      </c>
      <c r="S339" s="16" t="s">
        <v>99</v>
      </c>
      <c r="T339" s="16" t="s">
        <v>85</v>
      </c>
      <c r="U339" s="16" t="s">
        <v>117</v>
      </c>
      <c r="V339" s="16" t="s">
        <v>135</v>
      </c>
      <c r="W339" s="16" t="s">
        <v>121</v>
      </c>
    </row>
    <row r="340" spans="1:23" x14ac:dyDescent="0.2">
      <c r="A340" s="9" t="s">
        <v>1125</v>
      </c>
      <c r="B340" s="9">
        <f ca="1">+IF(A340=WORLDCUP!$BI$112,1,0)</f>
        <v>0</v>
      </c>
      <c r="C340" s="9" t="str">
        <f ca="1">+WORLDCUP!BD62</f>
        <v>Curazao</v>
      </c>
      <c r="D340" s="9" t="str">
        <f ca="1">+WORLDCUP!BD67</f>
        <v>Argelia</v>
      </c>
      <c r="E340" s="9" t="str">
        <f ca="1">+WORLDCUP!BD59</f>
        <v>Catar</v>
      </c>
      <c r="F340" s="9" t="str">
        <f ca="1">+WORLDCUP!BD61</f>
        <v>Australia</v>
      </c>
      <c r="G340" s="9" t="str">
        <f ca="1">+WORLDCUP!BD58</f>
        <v>República Checa</v>
      </c>
      <c r="H340" s="9" t="str">
        <f ca="1">+WORLDCUP!BD65</f>
        <v>Arabia Saudita</v>
      </c>
      <c r="I340" s="9" t="str">
        <f ca="1">+WORLDCUP!BD66</f>
        <v>Senegal</v>
      </c>
      <c r="J340" s="9" t="str">
        <f ca="1">+WORLDCUP!BD68</f>
        <v>RD Congo</v>
      </c>
      <c r="N340" s="16" t="s">
        <v>1125</v>
      </c>
      <c r="O340" s="16">
        <v>339</v>
      </c>
      <c r="P340" s="16" t="s">
        <v>103</v>
      </c>
      <c r="Q340" s="16" t="s">
        <v>126</v>
      </c>
      <c r="R340" s="16" t="s">
        <v>90</v>
      </c>
      <c r="S340" s="16" t="s">
        <v>99</v>
      </c>
      <c r="T340" s="16" t="s">
        <v>85</v>
      </c>
      <c r="U340" s="16" t="s">
        <v>117</v>
      </c>
      <c r="V340" s="16" t="s">
        <v>121</v>
      </c>
      <c r="W340" s="16" t="s">
        <v>130</v>
      </c>
    </row>
    <row r="341" spans="1:23" x14ac:dyDescent="0.2">
      <c r="A341" s="9" t="s">
        <v>1126</v>
      </c>
      <c r="B341" s="9">
        <f ca="1">+IF(A341=WORLDCUP!$BI$112,1,0)</f>
        <v>0</v>
      </c>
      <c r="C341" s="9" t="str">
        <f ca="1">+WORLDCUP!BD62</f>
        <v>Curazao</v>
      </c>
      <c r="D341" s="9" t="str">
        <f ca="1">+WORLDCUP!BD67</f>
        <v>Argelia</v>
      </c>
      <c r="E341" s="9" t="str">
        <f ca="1">+WORLDCUP!BD59</f>
        <v>Catar</v>
      </c>
      <c r="F341" s="9" t="str">
        <f ca="1">+WORLDCUP!BD61</f>
        <v>Australia</v>
      </c>
      <c r="G341" s="9" t="str">
        <f ca="1">+WORLDCUP!BD58</f>
        <v>República Checa</v>
      </c>
      <c r="H341" s="9" t="str">
        <f ca="1">+WORLDCUP!BD64</f>
        <v>Egipto</v>
      </c>
      <c r="I341" s="9" t="str">
        <f ca="1">+WORLDCUP!BD69</f>
        <v>Ghana</v>
      </c>
      <c r="J341" s="9" t="str">
        <f ca="1">+WORLDCUP!BD68</f>
        <v>RD Congo</v>
      </c>
      <c r="N341" s="16" t="s">
        <v>1126</v>
      </c>
      <c r="O341" s="16">
        <v>340</v>
      </c>
      <c r="P341" s="16" t="s">
        <v>103</v>
      </c>
      <c r="Q341" s="16" t="s">
        <v>126</v>
      </c>
      <c r="R341" s="16" t="s">
        <v>90</v>
      </c>
      <c r="S341" s="16" t="s">
        <v>99</v>
      </c>
      <c r="T341" s="16" t="s">
        <v>85</v>
      </c>
      <c r="U341" s="16" t="s">
        <v>112</v>
      </c>
      <c r="V341" s="16" t="s">
        <v>135</v>
      </c>
      <c r="W341" s="16" t="s">
        <v>130</v>
      </c>
    </row>
    <row r="342" spans="1:23" x14ac:dyDescent="0.2">
      <c r="A342" s="9" t="s">
        <v>1127</v>
      </c>
      <c r="B342" s="9">
        <f ca="1">+IF(A342=WORLDCUP!$BI$112,1,0)</f>
        <v>0</v>
      </c>
      <c r="C342" s="9" t="str">
        <f ca="1">+WORLDCUP!BD62</f>
        <v>Curazao</v>
      </c>
      <c r="D342" s="9" t="str">
        <f ca="1">+WORLDCUP!BD64</f>
        <v>Egipto</v>
      </c>
      <c r="E342" s="9" t="str">
        <f ca="1">+WORLDCUP!BD59</f>
        <v>Catar</v>
      </c>
      <c r="F342" s="9" t="str">
        <f ca="1">+WORLDCUP!BD58</f>
        <v>República Checa</v>
      </c>
      <c r="G342" s="9" t="str">
        <f ca="1">+WORLDCUP!BD66</f>
        <v>Senegal</v>
      </c>
      <c r="H342" s="9" t="str">
        <f ca="1">+WORLDCUP!BD61</f>
        <v>Australia</v>
      </c>
      <c r="I342" s="9" t="str">
        <f ca="1">+WORLDCUP!BD69</f>
        <v>Ghana</v>
      </c>
      <c r="J342" s="9" t="str">
        <f ca="1">+WORLDCUP!BD68</f>
        <v>RD Congo</v>
      </c>
      <c r="N342" s="16" t="s">
        <v>1127</v>
      </c>
      <c r="O342" s="16">
        <v>341</v>
      </c>
      <c r="P342" s="16" t="s">
        <v>103</v>
      </c>
      <c r="Q342" s="16" t="s">
        <v>112</v>
      </c>
      <c r="R342" s="16" t="s">
        <v>90</v>
      </c>
      <c r="S342" s="16" t="s">
        <v>85</v>
      </c>
      <c r="T342" s="16" t="s">
        <v>121</v>
      </c>
      <c r="U342" s="16" t="s">
        <v>99</v>
      </c>
      <c r="V342" s="16" t="s">
        <v>135</v>
      </c>
      <c r="W342" s="16" t="s">
        <v>130</v>
      </c>
    </row>
    <row r="343" spans="1:23" x14ac:dyDescent="0.2">
      <c r="A343" s="9" t="s">
        <v>1128</v>
      </c>
      <c r="B343" s="9">
        <f ca="1">+IF(A343=WORLDCUP!$BI$112,1,0)</f>
        <v>0</v>
      </c>
      <c r="C343" s="9" t="str">
        <f ca="1">+WORLDCUP!BD62</f>
        <v>Curazao</v>
      </c>
      <c r="D343" s="9" t="str">
        <f ca="1">+WORLDCUP!BD67</f>
        <v>Argelia</v>
      </c>
      <c r="E343" s="9" t="str">
        <f ca="1">+WORLDCUP!BD59</f>
        <v>Catar</v>
      </c>
      <c r="F343" s="9" t="str">
        <f ca="1">+WORLDCUP!BD61</f>
        <v>Australia</v>
      </c>
      <c r="G343" s="9" t="str">
        <f ca="1">+WORLDCUP!BD58</f>
        <v>República Checa</v>
      </c>
      <c r="H343" s="9" t="str">
        <f ca="1">+WORLDCUP!BD64</f>
        <v>Egipto</v>
      </c>
      <c r="I343" s="9" t="str">
        <f ca="1">+WORLDCUP!BD69</f>
        <v>Ghana</v>
      </c>
      <c r="J343" s="9" t="str">
        <f ca="1">+WORLDCUP!BD66</f>
        <v>Senegal</v>
      </c>
      <c r="N343" s="16" t="s">
        <v>1128</v>
      </c>
      <c r="O343" s="16">
        <v>342</v>
      </c>
      <c r="P343" s="16" t="s">
        <v>103</v>
      </c>
      <c r="Q343" s="16" t="s">
        <v>126</v>
      </c>
      <c r="R343" s="16" t="s">
        <v>90</v>
      </c>
      <c r="S343" s="16" t="s">
        <v>99</v>
      </c>
      <c r="T343" s="16" t="s">
        <v>85</v>
      </c>
      <c r="U343" s="16" t="s">
        <v>112</v>
      </c>
      <c r="V343" s="16" t="s">
        <v>135</v>
      </c>
      <c r="W343" s="16" t="s">
        <v>121</v>
      </c>
    </row>
    <row r="344" spans="1:23" x14ac:dyDescent="0.2">
      <c r="A344" s="9" t="s">
        <v>1129</v>
      </c>
      <c r="B344" s="9">
        <f ca="1">+IF(A344=WORLDCUP!$BI$112,1,0)</f>
        <v>0</v>
      </c>
      <c r="C344" s="9" t="str">
        <f ca="1">+WORLDCUP!BD62</f>
        <v>Curazao</v>
      </c>
      <c r="D344" s="9" t="str">
        <f ca="1">+WORLDCUP!BD67</f>
        <v>Argelia</v>
      </c>
      <c r="E344" s="9" t="str">
        <f ca="1">+WORLDCUP!BD59</f>
        <v>Catar</v>
      </c>
      <c r="F344" s="9" t="str">
        <f ca="1">+WORLDCUP!BD61</f>
        <v>Australia</v>
      </c>
      <c r="G344" s="9" t="str">
        <f ca="1">+WORLDCUP!BD58</f>
        <v>República Checa</v>
      </c>
      <c r="H344" s="9" t="str">
        <f ca="1">+WORLDCUP!BD64</f>
        <v>Egipto</v>
      </c>
      <c r="I344" s="9" t="str">
        <f ca="1">+WORLDCUP!BD66</f>
        <v>Senegal</v>
      </c>
      <c r="J344" s="9" t="str">
        <f ca="1">+WORLDCUP!BD68</f>
        <v>RD Congo</v>
      </c>
      <c r="N344" s="16" t="s">
        <v>1129</v>
      </c>
      <c r="O344" s="16">
        <v>343</v>
      </c>
      <c r="P344" s="16" t="s">
        <v>103</v>
      </c>
      <c r="Q344" s="16" t="s">
        <v>126</v>
      </c>
      <c r="R344" s="16" t="s">
        <v>90</v>
      </c>
      <c r="S344" s="16" t="s">
        <v>99</v>
      </c>
      <c r="T344" s="16" t="s">
        <v>85</v>
      </c>
      <c r="U344" s="16" t="s">
        <v>112</v>
      </c>
      <c r="V344" s="16" t="s">
        <v>121</v>
      </c>
      <c r="W344" s="16" t="s">
        <v>130</v>
      </c>
    </row>
    <row r="345" spans="1:23" x14ac:dyDescent="0.2">
      <c r="A345" s="9" t="s">
        <v>1130</v>
      </c>
      <c r="B345" s="9">
        <f ca="1">+IF(A345=WORLDCUP!$BI$112,1,0)</f>
        <v>0</v>
      </c>
      <c r="C345" s="9" t="str">
        <f ca="1">+WORLDCUP!BD62</f>
        <v>Curazao</v>
      </c>
      <c r="D345" s="9" t="str">
        <f ca="1">+WORLDCUP!BD64</f>
        <v>Egipto</v>
      </c>
      <c r="E345" s="9" t="str">
        <f ca="1">+WORLDCUP!BD59</f>
        <v>Catar</v>
      </c>
      <c r="F345" s="9" t="str">
        <f ca="1">+WORLDCUP!BD61</f>
        <v>Australia</v>
      </c>
      <c r="G345" s="9" t="str">
        <f ca="1">+WORLDCUP!BD58</f>
        <v>República Checa</v>
      </c>
      <c r="H345" s="9" t="str">
        <f ca="1">+WORLDCUP!BD65</f>
        <v>Arabia Saudita</v>
      </c>
      <c r="I345" s="9" t="str">
        <f ca="1">+WORLDCUP!BD69</f>
        <v>Ghana</v>
      </c>
      <c r="J345" s="9" t="str">
        <f ca="1">+WORLDCUP!BD68</f>
        <v>RD Congo</v>
      </c>
      <c r="N345" s="16" t="s">
        <v>1130</v>
      </c>
      <c r="O345" s="16">
        <v>344</v>
      </c>
      <c r="P345" s="16" t="s">
        <v>103</v>
      </c>
      <c r="Q345" s="16" t="s">
        <v>112</v>
      </c>
      <c r="R345" s="16" t="s">
        <v>90</v>
      </c>
      <c r="S345" s="16" t="s">
        <v>99</v>
      </c>
      <c r="T345" s="16" t="s">
        <v>85</v>
      </c>
      <c r="U345" s="16" t="s">
        <v>117</v>
      </c>
      <c r="V345" s="16" t="s">
        <v>135</v>
      </c>
      <c r="W345" s="16" t="s">
        <v>130</v>
      </c>
    </row>
    <row r="346" spans="1:23" x14ac:dyDescent="0.2">
      <c r="A346" s="9" t="s">
        <v>1131</v>
      </c>
      <c r="B346" s="9">
        <f ca="1">+IF(A346=WORLDCUP!$BI$112,1,0)</f>
        <v>0</v>
      </c>
      <c r="C346" s="9" t="str">
        <f ca="1">+WORLDCUP!BD65</f>
        <v>Arabia Saudita</v>
      </c>
      <c r="D346" s="9" t="str">
        <f ca="1">+WORLDCUP!BD67</f>
        <v>Argelia</v>
      </c>
      <c r="E346" s="9" t="str">
        <f ca="1">+WORLDCUP!BD59</f>
        <v>Catar</v>
      </c>
      <c r="F346" s="9" t="str">
        <f ca="1">+WORLDCUP!BD61</f>
        <v>Australia</v>
      </c>
      <c r="G346" s="9" t="str">
        <f ca="1">+WORLDCUP!BD58</f>
        <v>República Checa</v>
      </c>
      <c r="H346" s="9" t="str">
        <f ca="1">+WORLDCUP!BD64</f>
        <v>Egipto</v>
      </c>
      <c r="I346" s="9" t="str">
        <f ca="1">+WORLDCUP!BD69</f>
        <v>Ghana</v>
      </c>
      <c r="J346" s="9" t="str">
        <f ca="1">+WORLDCUP!BD62</f>
        <v>Curazao</v>
      </c>
      <c r="N346" s="16" t="s">
        <v>1131</v>
      </c>
      <c r="O346" s="16">
        <v>345</v>
      </c>
      <c r="P346" s="16" t="s">
        <v>117</v>
      </c>
      <c r="Q346" s="16" t="s">
        <v>126</v>
      </c>
      <c r="R346" s="16" t="s">
        <v>90</v>
      </c>
      <c r="S346" s="16" t="s">
        <v>99</v>
      </c>
      <c r="T346" s="16" t="s">
        <v>85</v>
      </c>
      <c r="U346" s="16" t="s">
        <v>112</v>
      </c>
      <c r="V346" s="16" t="s">
        <v>135</v>
      </c>
      <c r="W346" s="16" t="s">
        <v>103</v>
      </c>
    </row>
    <row r="347" spans="1:23" x14ac:dyDescent="0.2">
      <c r="A347" s="9" t="s">
        <v>1132</v>
      </c>
      <c r="B347" s="9">
        <f ca="1">+IF(A347=WORLDCUP!$BI$112,1,0)</f>
        <v>0</v>
      </c>
      <c r="C347" s="9" t="str">
        <f ca="1">+WORLDCUP!BD65</f>
        <v>Arabia Saudita</v>
      </c>
      <c r="D347" s="9" t="str">
        <f ca="1">+WORLDCUP!BD67</f>
        <v>Argelia</v>
      </c>
      <c r="E347" s="9" t="str">
        <f ca="1">+WORLDCUP!BD59</f>
        <v>Catar</v>
      </c>
      <c r="F347" s="9" t="str">
        <f ca="1">+WORLDCUP!BD61</f>
        <v>Australia</v>
      </c>
      <c r="G347" s="9" t="str">
        <f ca="1">+WORLDCUP!BD58</f>
        <v>República Checa</v>
      </c>
      <c r="H347" s="9" t="str">
        <f ca="1">+WORLDCUP!BD64</f>
        <v>Egipto</v>
      </c>
      <c r="I347" s="9" t="str">
        <f ca="1">+WORLDCUP!BD62</f>
        <v>Curazao</v>
      </c>
      <c r="J347" s="9" t="str">
        <f ca="1">+WORLDCUP!BD68</f>
        <v>RD Congo</v>
      </c>
      <c r="N347" s="16" t="s">
        <v>1132</v>
      </c>
      <c r="O347" s="16">
        <v>346</v>
      </c>
      <c r="P347" s="16" t="s">
        <v>117</v>
      </c>
      <c r="Q347" s="16" t="s">
        <v>126</v>
      </c>
      <c r="R347" s="16" t="s">
        <v>90</v>
      </c>
      <c r="S347" s="16" t="s">
        <v>99</v>
      </c>
      <c r="T347" s="16" t="s">
        <v>85</v>
      </c>
      <c r="U347" s="16" t="s">
        <v>112</v>
      </c>
      <c r="V347" s="16" t="s">
        <v>103</v>
      </c>
      <c r="W347" s="16" t="s">
        <v>130</v>
      </c>
    </row>
    <row r="348" spans="1:23" x14ac:dyDescent="0.2">
      <c r="A348" s="9" t="s">
        <v>1133</v>
      </c>
      <c r="B348" s="9">
        <f ca="1">+IF(A348=WORLDCUP!$BI$112,1,0)</f>
        <v>0</v>
      </c>
      <c r="C348" s="9" t="str">
        <f ca="1">+WORLDCUP!BD62</f>
        <v>Curazao</v>
      </c>
      <c r="D348" s="9" t="str">
        <f ca="1">+WORLDCUP!BD64</f>
        <v>Egipto</v>
      </c>
      <c r="E348" s="9" t="str">
        <f ca="1">+WORLDCUP!BD59</f>
        <v>Catar</v>
      </c>
      <c r="F348" s="9" t="str">
        <f ca="1">+WORLDCUP!BD61</f>
        <v>Australia</v>
      </c>
      <c r="G348" s="9" t="str">
        <f ca="1">+WORLDCUP!BD58</f>
        <v>República Checa</v>
      </c>
      <c r="H348" s="9" t="str">
        <f ca="1">+WORLDCUP!BD65</f>
        <v>Arabia Saudita</v>
      </c>
      <c r="I348" s="9" t="str">
        <f ca="1">+WORLDCUP!BD69</f>
        <v>Ghana</v>
      </c>
      <c r="J348" s="9" t="str">
        <f ca="1">+WORLDCUP!BD66</f>
        <v>Senegal</v>
      </c>
      <c r="N348" s="16" t="s">
        <v>1133</v>
      </c>
      <c r="O348" s="16">
        <v>347</v>
      </c>
      <c r="P348" s="16" t="s">
        <v>103</v>
      </c>
      <c r="Q348" s="16" t="s">
        <v>112</v>
      </c>
      <c r="R348" s="16" t="s">
        <v>90</v>
      </c>
      <c r="S348" s="16" t="s">
        <v>99</v>
      </c>
      <c r="T348" s="16" t="s">
        <v>85</v>
      </c>
      <c r="U348" s="16" t="s">
        <v>117</v>
      </c>
      <c r="V348" s="16" t="s">
        <v>135</v>
      </c>
      <c r="W348" s="16" t="s">
        <v>121</v>
      </c>
    </row>
    <row r="349" spans="1:23" x14ac:dyDescent="0.2">
      <c r="A349" s="9" t="s">
        <v>1134</v>
      </c>
      <c r="B349" s="9">
        <f ca="1">+IF(A349=WORLDCUP!$BI$112,1,0)</f>
        <v>0</v>
      </c>
      <c r="C349" s="9" t="str">
        <f ca="1">+WORLDCUP!BD62</f>
        <v>Curazao</v>
      </c>
      <c r="D349" s="9" t="str">
        <f ca="1">+WORLDCUP!BD64</f>
        <v>Egipto</v>
      </c>
      <c r="E349" s="9" t="str">
        <f ca="1">+WORLDCUP!BD59</f>
        <v>Catar</v>
      </c>
      <c r="F349" s="9" t="str">
        <f ca="1">+WORLDCUP!BD61</f>
        <v>Australia</v>
      </c>
      <c r="G349" s="9" t="str">
        <f ca="1">+WORLDCUP!BD58</f>
        <v>República Checa</v>
      </c>
      <c r="H349" s="9" t="str">
        <f ca="1">+WORLDCUP!BD65</f>
        <v>Arabia Saudita</v>
      </c>
      <c r="I349" s="9" t="str">
        <f ca="1">+WORLDCUP!BD66</f>
        <v>Senegal</v>
      </c>
      <c r="J349" s="9" t="str">
        <f ca="1">+WORLDCUP!BD68</f>
        <v>RD Congo</v>
      </c>
      <c r="N349" s="16" t="s">
        <v>1134</v>
      </c>
      <c r="O349" s="16">
        <v>348</v>
      </c>
      <c r="P349" s="16" t="s">
        <v>103</v>
      </c>
      <c r="Q349" s="16" t="s">
        <v>112</v>
      </c>
      <c r="R349" s="16" t="s">
        <v>90</v>
      </c>
      <c r="S349" s="16" t="s">
        <v>99</v>
      </c>
      <c r="T349" s="16" t="s">
        <v>85</v>
      </c>
      <c r="U349" s="16" t="s">
        <v>117</v>
      </c>
      <c r="V349" s="16" t="s">
        <v>121</v>
      </c>
      <c r="W349" s="16" t="s">
        <v>130</v>
      </c>
    </row>
    <row r="350" spans="1:23" x14ac:dyDescent="0.2">
      <c r="A350" s="9" t="s">
        <v>1135</v>
      </c>
      <c r="B350" s="9">
        <f ca="1">+IF(A350=WORLDCUP!$BI$112,1,0)</f>
        <v>0</v>
      </c>
      <c r="C350" s="9" t="str">
        <f ca="1">+WORLDCUP!BD65</f>
        <v>Arabia Saudita</v>
      </c>
      <c r="D350" s="9" t="str">
        <f ca="1">+WORLDCUP!BD67</f>
        <v>Argelia</v>
      </c>
      <c r="E350" s="9" t="str">
        <f ca="1">+WORLDCUP!BD59</f>
        <v>Catar</v>
      </c>
      <c r="F350" s="9" t="str">
        <f ca="1">+WORLDCUP!BD61</f>
        <v>Australia</v>
      </c>
      <c r="G350" s="9" t="str">
        <f ca="1">+WORLDCUP!BD58</f>
        <v>República Checa</v>
      </c>
      <c r="H350" s="9" t="str">
        <f ca="1">+WORLDCUP!BD64</f>
        <v>Egipto</v>
      </c>
      <c r="I350" s="9" t="str">
        <f ca="1">+WORLDCUP!BD62</f>
        <v>Curazao</v>
      </c>
      <c r="J350" s="9" t="str">
        <f ca="1">+WORLDCUP!BD66</f>
        <v>Senegal</v>
      </c>
      <c r="N350" s="16" t="s">
        <v>1135</v>
      </c>
      <c r="O350" s="16">
        <v>349</v>
      </c>
      <c r="P350" s="16" t="s">
        <v>117</v>
      </c>
      <c r="Q350" s="16" t="s">
        <v>126</v>
      </c>
      <c r="R350" s="16" t="s">
        <v>90</v>
      </c>
      <c r="S350" s="16" t="s">
        <v>99</v>
      </c>
      <c r="T350" s="16" t="s">
        <v>85</v>
      </c>
      <c r="U350" s="16" t="s">
        <v>112</v>
      </c>
      <c r="V350" s="16" t="s">
        <v>103</v>
      </c>
      <c r="W350" s="16" t="s">
        <v>121</v>
      </c>
    </row>
    <row r="351" spans="1:23" x14ac:dyDescent="0.2">
      <c r="A351" s="9" t="s">
        <v>1136</v>
      </c>
      <c r="B351" s="9">
        <f ca="1">+IF(A351=WORLDCUP!$BI$112,1,0)</f>
        <v>0</v>
      </c>
      <c r="C351" s="9" t="str">
        <f ca="1">+WORLDCUP!BD62</f>
        <v>Curazao</v>
      </c>
      <c r="D351" s="9" t="str">
        <f ca="1">+WORLDCUP!BD67</f>
        <v>Argelia</v>
      </c>
      <c r="E351" s="9" t="str">
        <f ca="1">+WORLDCUP!BD59</f>
        <v>Catar</v>
      </c>
      <c r="F351" s="9" t="str">
        <f ca="1">+WORLDCUP!BD61</f>
        <v>Australia</v>
      </c>
      <c r="G351" s="9" t="str">
        <f ca="1">+WORLDCUP!BD58</f>
        <v>República Checa</v>
      </c>
      <c r="H351" s="9" t="str">
        <f ca="1">+WORLDCUP!BD63</f>
        <v>Suecia</v>
      </c>
      <c r="I351" s="9" t="str">
        <f ca="1">+WORLDCUP!BD69</f>
        <v>Ghana</v>
      </c>
      <c r="J351" s="9" t="str">
        <f ca="1">+WORLDCUP!BD68</f>
        <v>RD Congo</v>
      </c>
      <c r="N351" s="16" t="s">
        <v>1136</v>
      </c>
      <c r="O351" s="16">
        <v>350</v>
      </c>
      <c r="P351" s="16" t="s">
        <v>103</v>
      </c>
      <c r="Q351" s="16" t="s">
        <v>126</v>
      </c>
      <c r="R351" s="16" t="s">
        <v>90</v>
      </c>
      <c r="S351" s="16" t="s">
        <v>99</v>
      </c>
      <c r="T351" s="16" t="s">
        <v>85</v>
      </c>
      <c r="U351" s="16" t="s">
        <v>108</v>
      </c>
      <c r="V351" s="16" t="s">
        <v>135</v>
      </c>
      <c r="W351" s="16" t="s">
        <v>130</v>
      </c>
    </row>
    <row r="352" spans="1:23" x14ac:dyDescent="0.2">
      <c r="A352" s="9" t="s">
        <v>1137</v>
      </c>
      <c r="B352" s="9">
        <f ca="1">+IF(A352=WORLDCUP!$BI$112,1,0)</f>
        <v>0</v>
      </c>
      <c r="C352" s="9" t="str">
        <f ca="1">+WORLDCUP!BD62</f>
        <v>Curazao</v>
      </c>
      <c r="D352" s="9" t="str">
        <f ca="1">+WORLDCUP!BD66</f>
        <v>Senegal</v>
      </c>
      <c r="E352" s="9" t="str">
        <f ca="1">+WORLDCUP!BD59</f>
        <v>Catar</v>
      </c>
      <c r="F352" s="9" t="str">
        <f ca="1">+WORLDCUP!BD61</f>
        <v>Australia</v>
      </c>
      <c r="G352" s="9" t="str">
        <f ca="1">+WORLDCUP!BD58</f>
        <v>República Checa</v>
      </c>
      <c r="H352" s="9" t="str">
        <f ca="1">+WORLDCUP!BD63</f>
        <v>Suecia</v>
      </c>
      <c r="I352" s="9" t="str">
        <f ca="1">+WORLDCUP!BD69</f>
        <v>Ghana</v>
      </c>
      <c r="J352" s="9" t="str">
        <f ca="1">+WORLDCUP!BD68</f>
        <v>RD Congo</v>
      </c>
      <c r="N352" s="16" t="s">
        <v>1137</v>
      </c>
      <c r="O352" s="16">
        <v>351</v>
      </c>
      <c r="P352" s="16" t="s">
        <v>103</v>
      </c>
      <c r="Q352" s="16" t="s">
        <v>121</v>
      </c>
      <c r="R352" s="16" t="s">
        <v>90</v>
      </c>
      <c r="S352" s="16" t="s">
        <v>99</v>
      </c>
      <c r="T352" s="16" t="s">
        <v>85</v>
      </c>
      <c r="U352" s="16" t="s">
        <v>108</v>
      </c>
      <c r="V352" s="16" t="s">
        <v>135</v>
      </c>
      <c r="W352" s="16" t="s">
        <v>130</v>
      </c>
    </row>
    <row r="353" spans="1:23" x14ac:dyDescent="0.2">
      <c r="A353" s="9" t="s">
        <v>1138</v>
      </c>
      <c r="B353" s="9">
        <f ca="1">+IF(A353=WORLDCUP!$BI$112,1,0)</f>
        <v>0</v>
      </c>
      <c r="C353" s="9" t="str">
        <f ca="1">+WORLDCUP!BD62</f>
        <v>Curazao</v>
      </c>
      <c r="D353" s="9" t="str">
        <f ca="1">+WORLDCUP!BD67</f>
        <v>Argelia</v>
      </c>
      <c r="E353" s="9" t="str">
        <f ca="1">+WORLDCUP!BD59</f>
        <v>Catar</v>
      </c>
      <c r="F353" s="9" t="str">
        <f ca="1">+WORLDCUP!BD61</f>
        <v>Australia</v>
      </c>
      <c r="G353" s="9" t="str">
        <f ca="1">+WORLDCUP!BD58</f>
        <v>República Checa</v>
      </c>
      <c r="H353" s="9" t="str">
        <f ca="1">+WORLDCUP!BD63</f>
        <v>Suecia</v>
      </c>
      <c r="I353" s="9" t="str">
        <f ca="1">+WORLDCUP!BD69</f>
        <v>Ghana</v>
      </c>
      <c r="J353" s="9" t="str">
        <f ca="1">+WORLDCUP!BD66</f>
        <v>Senegal</v>
      </c>
      <c r="N353" s="16" t="s">
        <v>1138</v>
      </c>
      <c r="O353" s="16">
        <v>352</v>
      </c>
      <c r="P353" s="16" t="s">
        <v>103</v>
      </c>
      <c r="Q353" s="16" t="s">
        <v>126</v>
      </c>
      <c r="R353" s="16" t="s">
        <v>90</v>
      </c>
      <c r="S353" s="16" t="s">
        <v>99</v>
      </c>
      <c r="T353" s="16" t="s">
        <v>85</v>
      </c>
      <c r="U353" s="16" t="s">
        <v>108</v>
      </c>
      <c r="V353" s="16" t="s">
        <v>135</v>
      </c>
      <c r="W353" s="16" t="s">
        <v>121</v>
      </c>
    </row>
    <row r="354" spans="1:23" x14ac:dyDescent="0.2">
      <c r="A354" s="9" t="s">
        <v>1139</v>
      </c>
      <c r="B354" s="9">
        <f ca="1">+IF(A354=WORLDCUP!$BI$112,1,0)</f>
        <v>0</v>
      </c>
      <c r="C354" s="9" t="str">
        <f ca="1">+WORLDCUP!BD62</f>
        <v>Curazao</v>
      </c>
      <c r="D354" s="9" t="str">
        <f ca="1">+WORLDCUP!BD67</f>
        <v>Argelia</v>
      </c>
      <c r="E354" s="9" t="str">
        <f ca="1">+WORLDCUP!BD59</f>
        <v>Catar</v>
      </c>
      <c r="F354" s="9" t="str">
        <f ca="1">+WORLDCUP!BD61</f>
        <v>Australia</v>
      </c>
      <c r="G354" s="9" t="str">
        <f ca="1">+WORLDCUP!BD58</f>
        <v>República Checa</v>
      </c>
      <c r="H354" s="9" t="str">
        <f ca="1">+WORLDCUP!BD63</f>
        <v>Suecia</v>
      </c>
      <c r="I354" s="9" t="str">
        <f ca="1">+WORLDCUP!BD66</f>
        <v>Senegal</v>
      </c>
      <c r="J354" s="9" t="str">
        <f ca="1">+WORLDCUP!BD68</f>
        <v>RD Congo</v>
      </c>
      <c r="N354" s="16" t="s">
        <v>1139</v>
      </c>
      <c r="O354" s="16">
        <v>353</v>
      </c>
      <c r="P354" s="16" t="s">
        <v>103</v>
      </c>
      <c r="Q354" s="16" t="s">
        <v>126</v>
      </c>
      <c r="R354" s="16" t="s">
        <v>90</v>
      </c>
      <c r="S354" s="16" t="s">
        <v>99</v>
      </c>
      <c r="T354" s="16" t="s">
        <v>85</v>
      </c>
      <c r="U354" s="16" t="s">
        <v>108</v>
      </c>
      <c r="V354" s="16" t="s">
        <v>121</v>
      </c>
      <c r="W354" s="16" t="s">
        <v>130</v>
      </c>
    </row>
    <row r="355" spans="1:23" x14ac:dyDescent="0.2">
      <c r="A355" s="9" t="s">
        <v>1140</v>
      </c>
      <c r="B355" s="9">
        <f ca="1">+IF(A355=WORLDCUP!$BI$112,1,0)</f>
        <v>0</v>
      </c>
      <c r="C355" s="9" t="str">
        <f ca="1">+WORLDCUP!BD65</f>
        <v>Arabia Saudita</v>
      </c>
      <c r="D355" s="9" t="str">
        <f ca="1">+WORLDCUP!BD62</f>
        <v>Curazao</v>
      </c>
      <c r="E355" s="9" t="str">
        <f ca="1">+WORLDCUP!BD59</f>
        <v>Catar</v>
      </c>
      <c r="F355" s="9" t="str">
        <f ca="1">+WORLDCUP!BD61</f>
        <v>Australia</v>
      </c>
      <c r="G355" s="9" t="str">
        <f ca="1">+WORLDCUP!BD58</f>
        <v>República Checa</v>
      </c>
      <c r="H355" s="9" t="str">
        <f ca="1">+WORLDCUP!BD63</f>
        <v>Suecia</v>
      </c>
      <c r="I355" s="9" t="str">
        <f ca="1">+WORLDCUP!BD69</f>
        <v>Ghana</v>
      </c>
      <c r="J355" s="9" t="str">
        <f ca="1">+WORLDCUP!BD68</f>
        <v>RD Congo</v>
      </c>
      <c r="N355" s="16" t="s">
        <v>1140</v>
      </c>
      <c r="O355" s="16">
        <v>354</v>
      </c>
      <c r="P355" s="16" t="s">
        <v>117</v>
      </c>
      <c r="Q355" s="16" t="s">
        <v>103</v>
      </c>
      <c r="R355" s="16" t="s">
        <v>90</v>
      </c>
      <c r="S355" s="16" t="s">
        <v>99</v>
      </c>
      <c r="T355" s="16" t="s">
        <v>85</v>
      </c>
      <c r="U355" s="16" t="s">
        <v>108</v>
      </c>
      <c r="V355" s="16" t="s">
        <v>135</v>
      </c>
      <c r="W355" s="16" t="s">
        <v>130</v>
      </c>
    </row>
    <row r="356" spans="1:23" x14ac:dyDescent="0.2">
      <c r="A356" s="9" t="s">
        <v>1141</v>
      </c>
      <c r="B356" s="9">
        <f ca="1">+IF(A356=WORLDCUP!$BI$112,1,0)</f>
        <v>0</v>
      </c>
      <c r="C356" s="9" t="str">
        <f ca="1">+WORLDCUP!BD65</f>
        <v>Arabia Saudita</v>
      </c>
      <c r="D356" s="9" t="str">
        <f ca="1">+WORLDCUP!BD67</f>
        <v>Argelia</v>
      </c>
      <c r="E356" s="9" t="str">
        <f ca="1">+WORLDCUP!BD59</f>
        <v>Catar</v>
      </c>
      <c r="F356" s="9" t="str">
        <f ca="1">+WORLDCUP!BD61</f>
        <v>Australia</v>
      </c>
      <c r="G356" s="9" t="str">
        <f ca="1">+WORLDCUP!BD58</f>
        <v>República Checa</v>
      </c>
      <c r="H356" s="9" t="str">
        <f ca="1">+WORLDCUP!BD63</f>
        <v>Suecia</v>
      </c>
      <c r="I356" s="9" t="str">
        <f ca="1">+WORLDCUP!BD69</f>
        <v>Ghana</v>
      </c>
      <c r="J356" s="9" t="str">
        <f ca="1">+WORLDCUP!BD62</f>
        <v>Curazao</v>
      </c>
      <c r="N356" s="16" t="s">
        <v>1141</v>
      </c>
      <c r="O356" s="16">
        <v>355</v>
      </c>
      <c r="P356" s="16" t="s">
        <v>117</v>
      </c>
      <c r="Q356" s="16" t="s">
        <v>126</v>
      </c>
      <c r="R356" s="16" t="s">
        <v>90</v>
      </c>
      <c r="S356" s="16" t="s">
        <v>99</v>
      </c>
      <c r="T356" s="16" t="s">
        <v>85</v>
      </c>
      <c r="U356" s="16" t="s">
        <v>108</v>
      </c>
      <c r="V356" s="16" t="s">
        <v>135</v>
      </c>
      <c r="W356" s="16" t="s">
        <v>103</v>
      </c>
    </row>
    <row r="357" spans="1:23" x14ac:dyDescent="0.2">
      <c r="A357" s="9" t="s">
        <v>1142</v>
      </c>
      <c r="B357" s="9">
        <f ca="1">+IF(A357=WORLDCUP!$BI$112,1,0)</f>
        <v>0</v>
      </c>
      <c r="C357" s="9" t="str">
        <f ca="1">+WORLDCUP!BD65</f>
        <v>Arabia Saudita</v>
      </c>
      <c r="D357" s="9" t="str">
        <f ca="1">+WORLDCUP!BD67</f>
        <v>Argelia</v>
      </c>
      <c r="E357" s="9" t="str">
        <f ca="1">+WORLDCUP!BD59</f>
        <v>Catar</v>
      </c>
      <c r="F357" s="9" t="str">
        <f ca="1">+WORLDCUP!BD61</f>
        <v>Australia</v>
      </c>
      <c r="G357" s="9" t="str">
        <f ca="1">+WORLDCUP!BD58</f>
        <v>República Checa</v>
      </c>
      <c r="H357" s="9" t="str">
        <f ca="1">+WORLDCUP!BD63</f>
        <v>Suecia</v>
      </c>
      <c r="I357" s="9" t="str">
        <f ca="1">+WORLDCUP!BD62</f>
        <v>Curazao</v>
      </c>
      <c r="J357" s="9" t="str">
        <f ca="1">+WORLDCUP!BD68</f>
        <v>RD Congo</v>
      </c>
      <c r="N357" s="16" t="s">
        <v>1142</v>
      </c>
      <c r="O357" s="16">
        <v>356</v>
      </c>
      <c r="P357" s="16" t="s">
        <v>117</v>
      </c>
      <c r="Q357" s="16" t="s">
        <v>126</v>
      </c>
      <c r="R357" s="16" t="s">
        <v>90</v>
      </c>
      <c r="S357" s="16" t="s">
        <v>99</v>
      </c>
      <c r="T357" s="16" t="s">
        <v>85</v>
      </c>
      <c r="U357" s="16" t="s">
        <v>108</v>
      </c>
      <c r="V357" s="16" t="s">
        <v>103</v>
      </c>
      <c r="W357" s="16" t="s">
        <v>130</v>
      </c>
    </row>
    <row r="358" spans="1:23" x14ac:dyDescent="0.2">
      <c r="A358" s="9" t="s">
        <v>1143</v>
      </c>
      <c r="B358" s="9">
        <f ca="1">+IF(A358=WORLDCUP!$BI$112,1,0)</f>
        <v>0</v>
      </c>
      <c r="C358" s="9" t="str">
        <f ca="1">+WORLDCUP!BD65</f>
        <v>Arabia Saudita</v>
      </c>
      <c r="D358" s="9" t="str">
        <f ca="1">+WORLDCUP!BD62</f>
        <v>Curazao</v>
      </c>
      <c r="E358" s="9" t="str">
        <f ca="1">+WORLDCUP!BD59</f>
        <v>Catar</v>
      </c>
      <c r="F358" s="9" t="str">
        <f ca="1">+WORLDCUP!BD61</f>
        <v>Australia</v>
      </c>
      <c r="G358" s="9" t="str">
        <f ca="1">+WORLDCUP!BD58</f>
        <v>República Checa</v>
      </c>
      <c r="H358" s="9" t="str">
        <f ca="1">+WORLDCUP!BD63</f>
        <v>Suecia</v>
      </c>
      <c r="I358" s="9" t="str">
        <f ca="1">+WORLDCUP!BD69</f>
        <v>Ghana</v>
      </c>
      <c r="J358" s="9" t="str">
        <f ca="1">+WORLDCUP!BD66</f>
        <v>Senegal</v>
      </c>
      <c r="N358" s="16" t="s">
        <v>1143</v>
      </c>
      <c r="O358" s="16">
        <v>357</v>
      </c>
      <c r="P358" s="16" t="s">
        <v>117</v>
      </c>
      <c r="Q358" s="16" t="s">
        <v>103</v>
      </c>
      <c r="R358" s="16" t="s">
        <v>90</v>
      </c>
      <c r="S358" s="16" t="s">
        <v>99</v>
      </c>
      <c r="T358" s="16" t="s">
        <v>85</v>
      </c>
      <c r="U358" s="16" t="s">
        <v>108</v>
      </c>
      <c r="V358" s="16" t="s">
        <v>135</v>
      </c>
      <c r="W358" s="16" t="s">
        <v>121</v>
      </c>
    </row>
    <row r="359" spans="1:23" x14ac:dyDescent="0.2">
      <c r="A359" s="9" t="s">
        <v>1144</v>
      </c>
      <c r="B359" s="9">
        <f ca="1">+IF(A359=WORLDCUP!$BI$112,1,0)</f>
        <v>0</v>
      </c>
      <c r="C359" s="9" t="str">
        <f ca="1">+WORLDCUP!BD65</f>
        <v>Arabia Saudita</v>
      </c>
      <c r="D359" s="9" t="str">
        <f ca="1">+WORLDCUP!BD62</f>
        <v>Curazao</v>
      </c>
      <c r="E359" s="9" t="str">
        <f ca="1">+WORLDCUP!BD59</f>
        <v>Catar</v>
      </c>
      <c r="F359" s="9" t="str">
        <f ca="1">+WORLDCUP!BD61</f>
        <v>Australia</v>
      </c>
      <c r="G359" s="9" t="str">
        <f ca="1">+WORLDCUP!BD58</f>
        <v>República Checa</v>
      </c>
      <c r="H359" s="9" t="str">
        <f ca="1">+WORLDCUP!BD63</f>
        <v>Suecia</v>
      </c>
      <c r="I359" s="9" t="str">
        <f ca="1">+WORLDCUP!BD66</f>
        <v>Senegal</v>
      </c>
      <c r="J359" s="9" t="str">
        <f ca="1">+WORLDCUP!BD68</f>
        <v>RD Congo</v>
      </c>
      <c r="N359" s="16" t="s">
        <v>1144</v>
      </c>
      <c r="O359" s="16">
        <v>358</v>
      </c>
      <c r="P359" s="16" t="s">
        <v>117</v>
      </c>
      <c r="Q359" s="16" t="s">
        <v>103</v>
      </c>
      <c r="R359" s="16" t="s">
        <v>90</v>
      </c>
      <c r="S359" s="16" t="s">
        <v>99</v>
      </c>
      <c r="T359" s="16" t="s">
        <v>85</v>
      </c>
      <c r="U359" s="16" t="s">
        <v>108</v>
      </c>
      <c r="V359" s="16" t="s">
        <v>121</v>
      </c>
      <c r="W359" s="16" t="s">
        <v>130</v>
      </c>
    </row>
    <row r="360" spans="1:23" x14ac:dyDescent="0.2">
      <c r="A360" s="9" t="s">
        <v>1145</v>
      </c>
      <c r="B360" s="9">
        <f ca="1">+IF(A360=WORLDCUP!$BI$112,1,0)</f>
        <v>0</v>
      </c>
      <c r="C360" s="9" t="str">
        <f ca="1">+WORLDCUP!BD65</f>
        <v>Arabia Saudita</v>
      </c>
      <c r="D360" s="9" t="str">
        <f ca="1">+WORLDCUP!BD67</f>
        <v>Argelia</v>
      </c>
      <c r="E360" s="9" t="str">
        <f ca="1">+WORLDCUP!BD59</f>
        <v>Catar</v>
      </c>
      <c r="F360" s="9" t="str">
        <f ca="1">+WORLDCUP!BD61</f>
        <v>Australia</v>
      </c>
      <c r="G360" s="9" t="str">
        <f ca="1">+WORLDCUP!BD58</f>
        <v>República Checa</v>
      </c>
      <c r="H360" s="9" t="str">
        <f ca="1">+WORLDCUP!BD63</f>
        <v>Suecia</v>
      </c>
      <c r="I360" s="9" t="str">
        <f ca="1">+WORLDCUP!BD62</f>
        <v>Curazao</v>
      </c>
      <c r="J360" s="9" t="str">
        <f ca="1">+WORLDCUP!BD66</f>
        <v>Senegal</v>
      </c>
      <c r="N360" s="16" t="s">
        <v>1145</v>
      </c>
      <c r="O360" s="16">
        <v>359</v>
      </c>
      <c r="P360" s="16" t="s">
        <v>117</v>
      </c>
      <c r="Q360" s="16" t="s">
        <v>126</v>
      </c>
      <c r="R360" s="16" t="s">
        <v>90</v>
      </c>
      <c r="S360" s="16" t="s">
        <v>99</v>
      </c>
      <c r="T360" s="16" t="s">
        <v>85</v>
      </c>
      <c r="U360" s="16" t="s">
        <v>108</v>
      </c>
      <c r="V360" s="16" t="s">
        <v>103</v>
      </c>
      <c r="W360" s="16" t="s">
        <v>121</v>
      </c>
    </row>
    <row r="361" spans="1:23" x14ac:dyDescent="0.2">
      <c r="A361" s="9" t="s">
        <v>1146</v>
      </c>
      <c r="B361" s="9">
        <f ca="1">+IF(A361=WORLDCUP!$BI$112,1,0)</f>
        <v>0</v>
      </c>
      <c r="C361" s="9" t="str">
        <f ca="1">+WORLDCUP!BD62</f>
        <v>Curazao</v>
      </c>
      <c r="D361" s="9" t="str">
        <f ca="1">+WORLDCUP!BD64</f>
        <v>Egipto</v>
      </c>
      <c r="E361" s="9" t="str">
        <f ca="1">+WORLDCUP!BD59</f>
        <v>Catar</v>
      </c>
      <c r="F361" s="9" t="str">
        <f ca="1">+WORLDCUP!BD61</f>
        <v>Australia</v>
      </c>
      <c r="G361" s="9" t="str">
        <f ca="1">+WORLDCUP!BD58</f>
        <v>República Checa</v>
      </c>
      <c r="H361" s="9" t="str">
        <f ca="1">+WORLDCUP!BD63</f>
        <v>Suecia</v>
      </c>
      <c r="I361" s="9" t="str">
        <f ca="1">+WORLDCUP!BD69</f>
        <v>Ghana</v>
      </c>
      <c r="J361" s="9" t="str">
        <f ca="1">+WORLDCUP!BD68</f>
        <v>RD Congo</v>
      </c>
      <c r="N361" s="16" t="s">
        <v>1146</v>
      </c>
      <c r="O361" s="16">
        <v>360</v>
      </c>
      <c r="P361" s="16" t="s">
        <v>103</v>
      </c>
      <c r="Q361" s="16" t="s">
        <v>112</v>
      </c>
      <c r="R361" s="16" t="s">
        <v>90</v>
      </c>
      <c r="S361" s="16" t="s">
        <v>99</v>
      </c>
      <c r="T361" s="16" t="s">
        <v>85</v>
      </c>
      <c r="U361" s="16" t="s">
        <v>108</v>
      </c>
      <c r="V361" s="16" t="s">
        <v>135</v>
      </c>
      <c r="W361" s="16" t="s">
        <v>130</v>
      </c>
    </row>
    <row r="362" spans="1:23" x14ac:dyDescent="0.2">
      <c r="A362" s="9" t="s">
        <v>1147</v>
      </c>
      <c r="B362" s="9">
        <f ca="1">+IF(A362=WORLDCUP!$BI$112,1,0)</f>
        <v>0</v>
      </c>
      <c r="C362" s="9" t="str">
        <f ca="1">+WORLDCUP!BD62</f>
        <v>Curazao</v>
      </c>
      <c r="D362" s="9" t="str">
        <f ca="1">+WORLDCUP!BD64</f>
        <v>Egipto</v>
      </c>
      <c r="E362" s="9" t="str">
        <f ca="1">+WORLDCUP!BD59</f>
        <v>Catar</v>
      </c>
      <c r="F362" s="9" t="str">
        <f ca="1">+WORLDCUP!BD61</f>
        <v>Australia</v>
      </c>
      <c r="G362" s="9" t="str">
        <f ca="1">+WORLDCUP!BD58</f>
        <v>República Checa</v>
      </c>
      <c r="H362" s="9" t="str">
        <f ca="1">+WORLDCUP!BD63</f>
        <v>Suecia</v>
      </c>
      <c r="I362" s="9" t="str">
        <f ca="1">+WORLDCUP!BD69</f>
        <v>Ghana</v>
      </c>
      <c r="J362" s="9" t="str">
        <f ca="1">+WORLDCUP!BD67</f>
        <v>Argelia</v>
      </c>
      <c r="N362" s="16" t="s">
        <v>1147</v>
      </c>
      <c r="O362" s="16">
        <v>361</v>
      </c>
      <c r="P362" s="16" t="s">
        <v>103</v>
      </c>
      <c r="Q362" s="16" t="s">
        <v>112</v>
      </c>
      <c r="R362" s="16" t="s">
        <v>90</v>
      </c>
      <c r="S362" s="16" t="s">
        <v>99</v>
      </c>
      <c r="T362" s="16" t="s">
        <v>85</v>
      </c>
      <c r="U362" s="16" t="s">
        <v>108</v>
      </c>
      <c r="V362" s="16" t="s">
        <v>135</v>
      </c>
      <c r="W362" s="16" t="s">
        <v>126</v>
      </c>
    </row>
    <row r="363" spans="1:23" x14ac:dyDescent="0.2">
      <c r="A363" s="9" t="s">
        <v>1148</v>
      </c>
      <c r="B363" s="9">
        <f ca="1">+IF(A363=WORLDCUP!$BI$112,1,0)</f>
        <v>0</v>
      </c>
      <c r="C363" s="9" t="str">
        <f ca="1">+WORLDCUP!BD62</f>
        <v>Curazao</v>
      </c>
      <c r="D363" s="9" t="str">
        <f ca="1">+WORLDCUP!BD64</f>
        <v>Egipto</v>
      </c>
      <c r="E363" s="9" t="str">
        <f ca="1">+WORLDCUP!BD59</f>
        <v>Catar</v>
      </c>
      <c r="F363" s="9" t="str">
        <f ca="1">+WORLDCUP!BD61</f>
        <v>Australia</v>
      </c>
      <c r="G363" s="9" t="str">
        <f ca="1">+WORLDCUP!BD58</f>
        <v>República Checa</v>
      </c>
      <c r="H363" s="9" t="str">
        <f ca="1">+WORLDCUP!BD63</f>
        <v>Suecia</v>
      </c>
      <c r="I363" s="9" t="str">
        <f ca="1">+WORLDCUP!BD67</f>
        <v>Argelia</v>
      </c>
      <c r="J363" s="9" t="str">
        <f ca="1">+WORLDCUP!BD68</f>
        <v>RD Congo</v>
      </c>
      <c r="N363" s="16" t="s">
        <v>1148</v>
      </c>
      <c r="O363" s="16">
        <v>362</v>
      </c>
      <c r="P363" s="16" t="s">
        <v>103</v>
      </c>
      <c r="Q363" s="16" t="s">
        <v>112</v>
      </c>
      <c r="R363" s="16" t="s">
        <v>90</v>
      </c>
      <c r="S363" s="16" t="s">
        <v>99</v>
      </c>
      <c r="T363" s="16" t="s">
        <v>85</v>
      </c>
      <c r="U363" s="16" t="s">
        <v>108</v>
      </c>
      <c r="V363" s="16" t="s">
        <v>126</v>
      </c>
      <c r="W363" s="16" t="s">
        <v>130</v>
      </c>
    </row>
    <row r="364" spans="1:23" x14ac:dyDescent="0.2">
      <c r="A364" s="9" t="s">
        <v>1149</v>
      </c>
      <c r="B364" s="9">
        <f ca="1">+IF(A364=WORLDCUP!$BI$112,1,0)</f>
        <v>0</v>
      </c>
      <c r="C364" s="9" t="str">
        <f ca="1">+WORLDCUP!BD62</f>
        <v>Curazao</v>
      </c>
      <c r="D364" s="9" t="str">
        <f ca="1">+WORLDCUP!BD64</f>
        <v>Egipto</v>
      </c>
      <c r="E364" s="9" t="str">
        <f ca="1">+WORLDCUP!BD59</f>
        <v>Catar</v>
      </c>
      <c r="F364" s="9" t="str">
        <f ca="1">+WORLDCUP!BD61</f>
        <v>Australia</v>
      </c>
      <c r="G364" s="9" t="str">
        <f ca="1">+WORLDCUP!BD58</f>
        <v>República Checa</v>
      </c>
      <c r="H364" s="9" t="str">
        <f ca="1">+WORLDCUP!BD63</f>
        <v>Suecia</v>
      </c>
      <c r="I364" s="9" t="str">
        <f ca="1">+WORLDCUP!BD69</f>
        <v>Ghana</v>
      </c>
      <c r="J364" s="9" t="str">
        <f ca="1">+WORLDCUP!BD66</f>
        <v>Senegal</v>
      </c>
      <c r="N364" s="16" t="s">
        <v>1149</v>
      </c>
      <c r="O364" s="16">
        <v>363</v>
      </c>
      <c r="P364" s="16" t="s">
        <v>103</v>
      </c>
      <c r="Q364" s="16" t="s">
        <v>112</v>
      </c>
      <c r="R364" s="16" t="s">
        <v>90</v>
      </c>
      <c r="S364" s="16" t="s">
        <v>99</v>
      </c>
      <c r="T364" s="16" t="s">
        <v>85</v>
      </c>
      <c r="U364" s="16" t="s">
        <v>108</v>
      </c>
      <c r="V364" s="16" t="s">
        <v>135</v>
      </c>
      <c r="W364" s="16" t="s">
        <v>121</v>
      </c>
    </row>
    <row r="365" spans="1:23" x14ac:dyDescent="0.2">
      <c r="A365" s="9" t="s">
        <v>1150</v>
      </c>
      <c r="B365" s="9">
        <f ca="1">+IF(A365=WORLDCUP!$BI$112,1,0)</f>
        <v>0</v>
      </c>
      <c r="C365" s="9" t="str">
        <f ca="1">+WORLDCUP!BD62</f>
        <v>Curazao</v>
      </c>
      <c r="D365" s="9" t="str">
        <f ca="1">+WORLDCUP!BD64</f>
        <v>Egipto</v>
      </c>
      <c r="E365" s="9" t="str">
        <f ca="1">+WORLDCUP!BD59</f>
        <v>Catar</v>
      </c>
      <c r="F365" s="9" t="str">
        <f ca="1">+WORLDCUP!BD61</f>
        <v>Australia</v>
      </c>
      <c r="G365" s="9" t="str">
        <f ca="1">+WORLDCUP!BD58</f>
        <v>República Checa</v>
      </c>
      <c r="H365" s="9" t="str">
        <f ca="1">+WORLDCUP!BD63</f>
        <v>Suecia</v>
      </c>
      <c r="I365" s="9" t="str">
        <f ca="1">+WORLDCUP!BD66</f>
        <v>Senegal</v>
      </c>
      <c r="J365" s="9" t="str">
        <f ca="1">+WORLDCUP!BD68</f>
        <v>RD Congo</v>
      </c>
      <c r="N365" s="16" t="s">
        <v>1150</v>
      </c>
      <c r="O365" s="16">
        <v>364</v>
      </c>
      <c r="P365" s="16" t="s">
        <v>103</v>
      </c>
      <c r="Q365" s="16" t="s">
        <v>112</v>
      </c>
      <c r="R365" s="16" t="s">
        <v>90</v>
      </c>
      <c r="S365" s="16" t="s">
        <v>99</v>
      </c>
      <c r="T365" s="16" t="s">
        <v>85</v>
      </c>
      <c r="U365" s="16" t="s">
        <v>108</v>
      </c>
      <c r="V365" s="16" t="s">
        <v>121</v>
      </c>
      <c r="W365" s="16" t="s">
        <v>130</v>
      </c>
    </row>
    <row r="366" spans="1:23" x14ac:dyDescent="0.2">
      <c r="A366" s="9" t="s">
        <v>1151</v>
      </c>
      <c r="B366" s="9">
        <f ca="1">+IF(A366=WORLDCUP!$BI$112,1,0)</f>
        <v>0</v>
      </c>
      <c r="C366" s="9" t="str">
        <f ca="1">+WORLDCUP!BD62</f>
        <v>Curazao</v>
      </c>
      <c r="D366" s="9" t="str">
        <f ca="1">+WORLDCUP!BD64</f>
        <v>Egipto</v>
      </c>
      <c r="E366" s="9" t="str">
        <f ca="1">+WORLDCUP!BD59</f>
        <v>Catar</v>
      </c>
      <c r="F366" s="9" t="str">
        <f ca="1">+WORLDCUP!BD61</f>
        <v>Australia</v>
      </c>
      <c r="G366" s="9" t="str">
        <f ca="1">+WORLDCUP!BD58</f>
        <v>República Checa</v>
      </c>
      <c r="H366" s="9" t="str">
        <f ca="1">+WORLDCUP!BD63</f>
        <v>Suecia</v>
      </c>
      <c r="I366" s="9" t="str">
        <f ca="1">+WORLDCUP!BD66</f>
        <v>Senegal</v>
      </c>
      <c r="J366" s="9" t="str">
        <f ca="1">+WORLDCUP!BD67</f>
        <v>Argelia</v>
      </c>
      <c r="N366" s="16" t="s">
        <v>1151</v>
      </c>
      <c r="O366" s="16">
        <v>365</v>
      </c>
      <c r="P366" s="16" t="s">
        <v>103</v>
      </c>
      <c r="Q366" s="16" t="s">
        <v>112</v>
      </c>
      <c r="R366" s="16" t="s">
        <v>90</v>
      </c>
      <c r="S366" s="16" t="s">
        <v>99</v>
      </c>
      <c r="T366" s="16" t="s">
        <v>85</v>
      </c>
      <c r="U366" s="16" t="s">
        <v>108</v>
      </c>
      <c r="V366" s="16" t="s">
        <v>121</v>
      </c>
      <c r="W366" s="16" t="s">
        <v>126</v>
      </c>
    </row>
    <row r="367" spans="1:23" x14ac:dyDescent="0.2">
      <c r="A367" s="9" t="s">
        <v>1152</v>
      </c>
      <c r="B367" s="9">
        <f ca="1">+IF(A367=WORLDCUP!$BI$112,1,0)</f>
        <v>0</v>
      </c>
      <c r="C367" s="9" t="str">
        <f ca="1">+WORLDCUP!BD65</f>
        <v>Arabia Saudita</v>
      </c>
      <c r="D367" s="9" t="str">
        <f ca="1">+WORLDCUP!BD64</f>
        <v>Egipto</v>
      </c>
      <c r="E367" s="9" t="str">
        <f ca="1">+WORLDCUP!BD59</f>
        <v>Catar</v>
      </c>
      <c r="F367" s="9" t="str">
        <f ca="1">+WORLDCUP!BD61</f>
        <v>Australia</v>
      </c>
      <c r="G367" s="9" t="str">
        <f ca="1">+WORLDCUP!BD58</f>
        <v>República Checa</v>
      </c>
      <c r="H367" s="9" t="str">
        <f ca="1">+WORLDCUP!BD63</f>
        <v>Suecia</v>
      </c>
      <c r="I367" s="9" t="str">
        <f ca="1">+WORLDCUP!BD69</f>
        <v>Ghana</v>
      </c>
      <c r="J367" s="9" t="str">
        <f ca="1">+WORLDCUP!BD62</f>
        <v>Curazao</v>
      </c>
      <c r="N367" s="16" t="s">
        <v>1152</v>
      </c>
      <c r="O367" s="16">
        <v>366</v>
      </c>
      <c r="P367" s="16" t="s">
        <v>117</v>
      </c>
      <c r="Q367" s="16" t="s">
        <v>112</v>
      </c>
      <c r="R367" s="16" t="s">
        <v>90</v>
      </c>
      <c r="S367" s="16" t="s">
        <v>99</v>
      </c>
      <c r="T367" s="16" t="s">
        <v>85</v>
      </c>
      <c r="U367" s="16" t="s">
        <v>108</v>
      </c>
      <c r="V367" s="16" t="s">
        <v>135</v>
      </c>
      <c r="W367" s="16" t="s">
        <v>103</v>
      </c>
    </row>
    <row r="368" spans="1:23" x14ac:dyDescent="0.2">
      <c r="A368" s="9" t="s">
        <v>1153</v>
      </c>
      <c r="B368" s="9">
        <f ca="1">+IF(A368=WORLDCUP!$BI$112,1,0)</f>
        <v>0</v>
      </c>
      <c r="C368" s="9" t="str">
        <f ca="1">+WORLDCUP!BD65</f>
        <v>Arabia Saudita</v>
      </c>
      <c r="D368" s="9" t="str">
        <f ca="1">+WORLDCUP!BD64</f>
        <v>Egipto</v>
      </c>
      <c r="E368" s="9" t="str">
        <f ca="1">+WORLDCUP!BD59</f>
        <v>Catar</v>
      </c>
      <c r="F368" s="9" t="str">
        <f ca="1">+WORLDCUP!BD61</f>
        <v>Australia</v>
      </c>
      <c r="G368" s="9" t="str">
        <f ca="1">+WORLDCUP!BD58</f>
        <v>República Checa</v>
      </c>
      <c r="H368" s="9" t="str">
        <f ca="1">+WORLDCUP!BD63</f>
        <v>Suecia</v>
      </c>
      <c r="I368" s="9" t="str">
        <f ca="1">+WORLDCUP!BD62</f>
        <v>Curazao</v>
      </c>
      <c r="J368" s="9" t="str">
        <f ca="1">+WORLDCUP!BD68</f>
        <v>RD Congo</v>
      </c>
      <c r="N368" s="16" t="s">
        <v>1153</v>
      </c>
      <c r="O368" s="16">
        <v>367</v>
      </c>
      <c r="P368" s="16" t="s">
        <v>117</v>
      </c>
      <c r="Q368" s="16" t="s">
        <v>112</v>
      </c>
      <c r="R368" s="16" t="s">
        <v>90</v>
      </c>
      <c r="S368" s="16" t="s">
        <v>99</v>
      </c>
      <c r="T368" s="16" t="s">
        <v>85</v>
      </c>
      <c r="U368" s="16" t="s">
        <v>108</v>
      </c>
      <c r="V368" s="16" t="s">
        <v>103</v>
      </c>
      <c r="W368" s="16" t="s">
        <v>130</v>
      </c>
    </row>
    <row r="369" spans="1:23" x14ac:dyDescent="0.2">
      <c r="A369" s="9" t="s">
        <v>1154</v>
      </c>
      <c r="B369" s="9">
        <f ca="1">+IF(A369=WORLDCUP!$BI$112,1,0)</f>
        <v>0</v>
      </c>
      <c r="C369" s="9" t="str">
        <f ca="1">+WORLDCUP!BD65</f>
        <v>Arabia Saudita</v>
      </c>
      <c r="D369" s="9" t="str">
        <f ca="1">+WORLDCUP!BD64</f>
        <v>Egipto</v>
      </c>
      <c r="E369" s="9" t="str">
        <f ca="1">+WORLDCUP!BD59</f>
        <v>Catar</v>
      </c>
      <c r="F369" s="9" t="str">
        <f ca="1">+WORLDCUP!BD61</f>
        <v>Australia</v>
      </c>
      <c r="G369" s="9" t="str">
        <f ca="1">+WORLDCUP!BD58</f>
        <v>República Checa</v>
      </c>
      <c r="H369" s="9" t="str">
        <f ca="1">+WORLDCUP!BD63</f>
        <v>Suecia</v>
      </c>
      <c r="I369" s="9" t="str">
        <f ca="1">+WORLDCUP!BD62</f>
        <v>Curazao</v>
      </c>
      <c r="J369" s="9" t="str">
        <f ca="1">+WORLDCUP!BD67</f>
        <v>Argelia</v>
      </c>
      <c r="N369" s="16" t="s">
        <v>1154</v>
      </c>
      <c r="O369" s="16">
        <v>368</v>
      </c>
      <c r="P369" s="16" t="s">
        <v>117</v>
      </c>
      <c r="Q369" s="16" t="s">
        <v>112</v>
      </c>
      <c r="R369" s="16" t="s">
        <v>90</v>
      </c>
      <c r="S369" s="16" t="s">
        <v>99</v>
      </c>
      <c r="T369" s="16" t="s">
        <v>85</v>
      </c>
      <c r="U369" s="16" t="s">
        <v>108</v>
      </c>
      <c r="V369" s="16" t="s">
        <v>103</v>
      </c>
      <c r="W369" s="16" t="s">
        <v>126</v>
      </c>
    </row>
    <row r="370" spans="1:23" x14ac:dyDescent="0.2">
      <c r="A370" s="9" t="s">
        <v>1155</v>
      </c>
      <c r="B370" s="9">
        <f ca="1">+IF(A370=WORLDCUP!$BI$112,1,0)</f>
        <v>0</v>
      </c>
      <c r="C370" s="9" t="str">
        <f ca="1">+WORLDCUP!BD65</f>
        <v>Arabia Saudita</v>
      </c>
      <c r="D370" s="9" t="str">
        <f ca="1">+WORLDCUP!BD64</f>
        <v>Egipto</v>
      </c>
      <c r="E370" s="9" t="str">
        <f ca="1">+WORLDCUP!BD59</f>
        <v>Catar</v>
      </c>
      <c r="F370" s="9" t="str">
        <f ca="1">+WORLDCUP!BD61</f>
        <v>Australia</v>
      </c>
      <c r="G370" s="9" t="str">
        <f ca="1">+WORLDCUP!BD58</f>
        <v>República Checa</v>
      </c>
      <c r="H370" s="9" t="str">
        <f ca="1">+WORLDCUP!BD63</f>
        <v>Suecia</v>
      </c>
      <c r="I370" s="9" t="str">
        <f ca="1">+WORLDCUP!BD62</f>
        <v>Curazao</v>
      </c>
      <c r="J370" s="9" t="str">
        <f ca="1">+WORLDCUP!BD66</f>
        <v>Senegal</v>
      </c>
      <c r="N370" s="16" t="s">
        <v>1155</v>
      </c>
      <c r="O370" s="16">
        <v>369</v>
      </c>
      <c r="P370" s="16" t="s">
        <v>117</v>
      </c>
      <c r="Q370" s="16" t="s">
        <v>112</v>
      </c>
      <c r="R370" s="16" t="s">
        <v>90</v>
      </c>
      <c r="S370" s="16" t="s">
        <v>99</v>
      </c>
      <c r="T370" s="16" t="s">
        <v>85</v>
      </c>
      <c r="U370" s="16" t="s">
        <v>108</v>
      </c>
      <c r="V370" s="16" t="s">
        <v>103</v>
      </c>
      <c r="W370" s="16" t="s">
        <v>121</v>
      </c>
    </row>
    <row r="371" spans="1:23" x14ac:dyDescent="0.2">
      <c r="A371" s="9" t="s">
        <v>1156</v>
      </c>
      <c r="B371" s="9">
        <f ca="1">+IF(A371=WORLDCUP!$BI$112,1,0)</f>
        <v>0</v>
      </c>
      <c r="C371" s="9" t="str">
        <f ca="1">+WORLDCUP!BD66</f>
        <v>Senegal</v>
      </c>
      <c r="D371" s="9" t="str">
        <f ca="1">+WORLDCUP!BD67</f>
        <v>Argelia</v>
      </c>
      <c r="E371" s="9" t="str">
        <f ca="1">+WORLDCUP!BD59</f>
        <v>Catar</v>
      </c>
      <c r="F371" s="9" t="str">
        <f ca="1">+WORLDCUP!BD60</f>
        <v>Haití</v>
      </c>
      <c r="G371" s="9" t="str">
        <f ca="1">+WORLDCUP!BD58</f>
        <v>República Checa</v>
      </c>
      <c r="H371" s="9" t="str">
        <f ca="1">+WORLDCUP!BD65</f>
        <v>Arabia Saudita</v>
      </c>
      <c r="I371" s="9" t="str">
        <f ca="1">+WORLDCUP!BD69</f>
        <v>Ghana</v>
      </c>
      <c r="J371" s="9" t="str">
        <f ca="1">+WORLDCUP!BD68</f>
        <v>RD Congo</v>
      </c>
      <c r="N371" s="16" t="s">
        <v>1156</v>
      </c>
      <c r="O371" s="16">
        <v>370</v>
      </c>
      <c r="P371" s="16" t="s">
        <v>121</v>
      </c>
      <c r="Q371" s="16" t="s">
        <v>126</v>
      </c>
      <c r="R371" s="16" t="s">
        <v>90</v>
      </c>
      <c r="S371" s="16" t="s">
        <v>94</v>
      </c>
      <c r="T371" s="16" t="s">
        <v>85</v>
      </c>
      <c r="U371" s="16" t="s">
        <v>117</v>
      </c>
      <c r="V371" s="16" t="s">
        <v>135</v>
      </c>
      <c r="W371" s="16" t="s">
        <v>130</v>
      </c>
    </row>
    <row r="372" spans="1:23" x14ac:dyDescent="0.2">
      <c r="A372" s="9" t="s">
        <v>1157</v>
      </c>
      <c r="B372" s="9">
        <f ca="1">+IF(A372=WORLDCUP!$BI$112,1,0)</f>
        <v>0</v>
      </c>
      <c r="C372" s="9" t="str">
        <f ca="1">+WORLDCUP!BD66</f>
        <v>Senegal</v>
      </c>
      <c r="D372" s="9" t="str">
        <f ca="1">+WORLDCUP!BD67</f>
        <v>Argelia</v>
      </c>
      <c r="E372" s="9" t="str">
        <f ca="1">+WORLDCUP!BD59</f>
        <v>Catar</v>
      </c>
      <c r="F372" s="9" t="str">
        <f ca="1">+WORLDCUP!BD60</f>
        <v>Haití</v>
      </c>
      <c r="G372" s="9" t="str">
        <f ca="1">+WORLDCUP!BD58</f>
        <v>República Checa</v>
      </c>
      <c r="H372" s="9" t="str">
        <f ca="1">+WORLDCUP!BD64</f>
        <v>Egipto</v>
      </c>
      <c r="I372" s="9" t="str">
        <f ca="1">+WORLDCUP!BD69</f>
        <v>Ghana</v>
      </c>
      <c r="J372" s="9" t="str">
        <f ca="1">+WORLDCUP!BD68</f>
        <v>RD Congo</v>
      </c>
      <c r="N372" s="16" t="s">
        <v>1157</v>
      </c>
      <c r="O372" s="16">
        <v>371</v>
      </c>
      <c r="P372" s="16" t="s">
        <v>121</v>
      </c>
      <c r="Q372" s="16" t="s">
        <v>126</v>
      </c>
      <c r="R372" s="16" t="s">
        <v>90</v>
      </c>
      <c r="S372" s="16" t="s">
        <v>94</v>
      </c>
      <c r="T372" s="16" t="s">
        <v>85</v>
      </c>
      <c r="U372" s="16" t="s">
        <v>112</v>
      </c>
      <c r="V372" s="16" t="s">
        <v>135</v>
      </c>
      <c r="W372" s="16" t="s">
        <v>130</v>
      </c>
    </row>
    <row r="373" spans="1:23" x14ac:dyDescent="0.2">
      <c r="A373" s="9" t="s">
        <v>1158</v>
      </c>
      <c r="B373" s="9">
        <f ca="1">+IF(A373=WORLDCUP!$BI$112,1,0)</f>
        <v>0</v>
      </c>
      <c r="C373" s="9" t="str">
        <f ca="1">+WORLDCUP!BD65</f>
        <v>Arabia Saudita</v>
      </c>
      <c r="D373" s="9" t="str">
        <f ca="1">+WORLDCUP!BD67</f>
        <v>Argelia</v>
      </c>
      <c r="E373" s="9" t="str">
        <f ca="1">+WORLDCUP!BD59</f>
        <v>Catar</v>
      </c>
      <c r="F373" s="9" t="str">
        <f ca="1">+WORLDCUP!BD60</f>
        <v>Haití</v>
      </c>
      <c r="G373" s="9" t="str">
        <f ca="1">+WORLDCUP!BD58</f>
        <v>República Checa</v>
      </c>
      <c r="H373" s="9" t="str">
        <f ca="1">+WORLDCUP!BD64</f>
        <v>Egipto</v>
      </c>
      <c r="I373" s="9" t="str">
        <f ca="1">+WORLDCUP!BD69</f>
        <v>Ghana</v>
      </c>
      <c r="J373" s="9" t="str">
        <f ca="1">+WORLDCUP!BD68</f>
        <v>RD Congo</v>
      </c>
      <c r="N373" s="16" t="s">
        <v>1158</v>
      </c>
      <c r="O373" s="16">
        <v>372</v>
      </c>
      <c r="P373" s="16" t="s">
        <v>117</v>
      </c>
      <c r="Q373" s="16" t="s">
        <v>126</v>
      </c>
      <c r="R373" s="16" t="s">
        <v>90</v>
      </c>
      <c r="S373" s="16" t="s">
        <v>94</v>
      </c>
      <c r="T373" s="16" t="s">
        <v>85</v>
      </c>
      <c r="U373" s="16" t="s">
        <v>112</v>
      </c>
      <c r="V373" s="16" t="s">
        <v>135</v>
      </c>
      <c r="W373" s="16" t="s">
        <v>130</v>
      </c>
    </row>
    <row r="374" spans="1:23" x14ac:dyDescent="0.2">
      <c r="A374" s="9" t="s">
        <v>1159</v>
      </c>
      <c r="B374" s="9">
        <f ca="1">+IF(A374=WORLDCUP!$BI$112,1,0)</f>
        <v>0</v>
      </c>
      <c r="C374" s="9" t="str">
        <f ca="1">+WORLDCUP!BD66</f>
        <v>Senegal</v>
      </c>
      <c r="D374" s="9" t="str">
        <f ca="1">+WORLDCUP!BD64</f>
        <v>Egipto</v>
      </c>
      <c r="E374" s="9" t="str">
        <f ca="1">+WORLDCUP!BD59</f>
        <v>Catar</v>
      </c>
      <c r="F374" s="9" t="str">
        <f ca="1">+WORLDCUP!BD60</f>
        <v>Haití</v>
      </c>
      <c r="G374" s="9" t="str">
        <f ca="1">+WORLDCUP!BD58</f>
        <v>República Checa</v>
      </c>
      <c r="H374" s="9" t="str">
        <f ca="1">+WORLDCUP!BD65</f>
        <v>Arabia Saudita</v>
      </c>
      <c r="I374" s="9" t="str">
        <f ca="1">+WORLDCUP!BD69</f>
        <v>Ghana</v>
      </c>
      <c r="J374" s="9" t="str">
        <f ca="1">+WORLDCUP!BD68</f>
        <v>RD Congo</v>
      </c>
      <c r="N374" s="16" t="s">
        <v>1159</v>
      </c>
      <c r="O374" s="16">
        <v>373</v>
      </c>
      <c r="P374" s="16" t="s">
        <v>121</v>
      </c>
      <c r="Q374" s="16" t="s">
        <v>112</v>
      </c>
      <c r="R374" s="16" t="s">
        <v>90</v>
      </c>
      <c r="S374" s="16" t="s">
        <v>94</v>
      </c>
      <c r="T374" s="16" t="s">
        <v>85</v>
      </c>
      <c r="U374" s="16" t="s">
        <v>117</v>
      </c>
      <c r="V374" s="16" t="s">
        <v>135</v>
      </c>
      <c r="W374" s="16" t="s">
        <v>130</v>
      </c>
    </row>
    <row r="375" spans="1:23" x14ac:dyDescent="0.2">
      <c r="A375" s="9" t="s">
        <v>1160</v>
      </c>
      <c r="B375" s="9">
        <f ca="1">+IF(A375=WORLDCUP!$BI$112,1,0)</f>
        <v>0</v>
      </c>
      <c r="C375" s="9" t="str">
        <f ca="1">+WORLDCUP!BD65</f>
        <v>Arabia Saudita</v>
      </c>
      <c r="D375" s="9" t="str">
        <f ca="1">+WORLDCUP!BD67</f>
        <v>Argelia</v>
      </c>
      <c r="E375" s="9" t="str">
        <f ca="1">+WORLDCUP!BD59</f>
        <v>Catar</v>
      </c>
      <c r="F375" s="9" t="str">
        <f ca="1">+WORLDCUP!BD60</f>
        <v>Haití</v>
      </c>
      <c r="G375" s="9" t="str">
        <f ca="1">+WORLDCUP!BD58</f>
        <v>República Checa</v>
      </c>
      <c r="H375" s="9" t="str">
        <f ca="1">+WORLDCUP!BD64</f>
        <v>Egipto</v>
      </c>
      <c r="I375" s="9" t="str">
        <f ca="1">+WORLDCUP!BD69</f>
        <v>Ghana</v>
      </c>
      <c r="J375" s="9" t="str">
        <f ca="1">+WORLDCUP!BD66</f>
        <v>Senegal</v>
      </c>
      <c r="N375" s="16" t="s">
        <v>1160</v>
      </c>
      <c r="O375" s="16">
        <v>374</v>
      </c>
      <c r="P375" s="16" t="s">
        <v>117</v>
      </c>
      <c r="Q375" s="16" t="s">
        <v>126</v>
      </c>
      <c r="R375" s="16" t="s">
        <v>90</v>
      </c>
      <c r="S375" s="16" t="s">
        <v>94</v>
      </c>
      <c r="T375" s="16" t="s">
        <v>85</v>
      </c>
      <c r="U375" s="16" t="s">
        <v>112</v>
      </c>
      <c r="V375" s="16" t="s">
        <v>135</v>
      </c>
      <c r="W375" s="16" t="s">
        <v>121</v>
      </c>
    </row>
    <row r="376" spans="1:23" x14ac:dyDescent="0.2">
      <c r="A376" s="9" t="s">
        <v>1161</v>
      </c>
      <c r="B376" s="9">
        <f ca="1">+IF(A376=WORLDCUP!$BI$112,1,0)</f>
        <v>0</v>
      </c>
      <c r="C376" s="9" t="str">
        <f ca="1">+WORLDCUP!BD65</f>
        <v>Arabia Saudita</v>
      </c>
      <c r="D376" s="9" t="str">
        <f ca="1">+WORLDCUP!BD67</f>
        <v>Argelia</v>
      </c>
      <c r="E376" s="9" t="str">
        <f ca="1">+WORLDCUP!BD59</f>
        <v>Catar</v>
      </c>
      <c r="F376" s="9" t="str">
        <f ca="1">+WORLDCUP!BD60</f>
        <v>Haití</v>
      </c>
      <c r="G376" s="9" t="str">
        <f ca="1">+WORLDCUP!BD58</f>
        <v>República Checa</v>
      </c>
      <c r="H376" s="9" t="str">
        <f ca="1">+WORLDCUP!BD64</f>
        <v>Egipto</v>
      </c>
      <c r="I376" s="9" t="str">
        <f ca="1">+WORLDCUP!BD66</f>
        <v>Senegal</v>
      </c>
      <c r="J376" s="9" t="str">
        <f ca="1">+WORLDCUP!BD68</f>
        <v>RD Congo</v>
      </c>
      <c r="N376" s="16" t="s">
        <v>1161</v>
      </c>
      <c r="O376" s="16">
        <v>375</v>
      </c>
      <c r="P376" s="16" t="s">
        <v>117</v>
      </c>
      <c r="Q376" s="16" t="s">
        <v>126</v>
      </c>
      <c r="R376" s="16" t="s">
        <v>90</v>
      </c>
      <c r="S376" s="16" t="s">
        <v>94</v>
      </c>
      <c r="T376" s="16" t="s">
        <v>85</v>
      </c>
      <c r="U376" s="16" t="s">
        <v>112</v>
      </c>
      <c r="V376" s="16" t="s">
        <v>121</v>
      </c>
      <c r="W376" s="16" t="s">
        <v>130</v>
      </c>
    </row>
    <row r="377" spans="1:23" x14ac:dyDescent="0.2">
      <c r="A377" s="9" t="s">
        <v>1162</v>
      </c>
      <c r="B377" s="9">
        <f ca="1">+IF(A377=WORLDCUP!$BI$112,1,0)</f>
        <v>0</v>
      </c>
      <c r="C377" s="9" t="str">
        <f ca="1">+WORLDCUP!BD66</f>
        <v>Senegal</v>
      </c>
      <c r="D377" s="9" t="str">
        <f ca="1">+WORLDCUP!BD67</f>
        <v>Argelia</v>
      </c>
      <c r="E377" s="9" t="str">
        <f ca="1">+WORLDCUP!BD59</f>
        <v>Catar</v>
      </c>
      <c r="F377" s="9" t="str">
        <f ca="1">+WORLDCUP!BD60</f>
        <v>Haití</v>
      </c>
      <c r="G377" s="9" t="str">
        <f ca="1">+WORLDCUP!BD58</f>
        <v>República Checa</v>
      </c>
      <c r="H377" s="9" t="str">
        <f ca="1">+WORLDCUP!BD63</f>
        <v>Suecia</v>
      </c>
      <c r="I377" s="9" t="str">
        <f ca="1">+WORLDCUP!BD69</f>
        <v>Ghana</v>
      </c>
      <c r="J377" s="9" t="str">
        <f ca="1">+WORLDCUP!BD68</f>
        <v>RD Congo</v>
      </c>
      <c r="N377" s="16" t="s">
        <v>1162</v>
      </c>
      <c r="O377" s="16">
        <v>376</v>
      </c>
      <c r="P377" s="16" t="s">
        <v>121</v>
      </c>
      <c r="Q377" s="16" t="s">
        <v>126</v>
      </c>
      <c r="R377" s="16" t="s">
        <v>90</v>
      </c>
      <c r="S377" s="16" t="s">
        <v>94</v>
      </c>
      <c r="T377" s="16" t="s">
        <v>85</v>
      </c>
      <c r="U377" s="16" t="s">
        <v>108</v>
      </c>
      <c r="V377" s="16" t="s">
        <v>135</v>
      </c>
      <c r="W377" s="16" t="s">
        <v>130</v>
      </c>
    </row>
    <row r="378" spans="1:23" x14ac:dyDescent="0.2">
      <c r="A378" s="9" t="s">
        <v>1163</v>
      </c>
      <c r="B378" s="9">
        <f ca="1">+IF(A378=WORLDCUP!$BI$112,1,0)</f>
        <v>0</v>
      </c>
      <c r="C378" s="9" t="str">
        <f ca="1">+WORLDCUP!BD65</f>
        <v>Arabia Saudita</v>
      </c>
      <c r="D378" s="9" t="str">
        <f ca="1">+WORLDCUP!BD67</f>
        <v>Argelia</v>
      </c>
      <c r="E378" s="9" t="str">
        <f ca="1">+WORLDCUP!BD59</f>
        <v>Catar</v>
      </c>
      <c r="F378" s="9" t="str">
        <f ca="1">+WORLDCUP!BD60</f>
        <v>Haití</v>
      </c>
      <c r="G378" s="9" t="str">
        <f ca="1">+WORLDCUP!BD58</f>
        <v>República Checa</v>
      </c>
      <c r="H378" s="9" t="str">
        <f ca="1">+WORLDCUP!BD63</f>
        <v>Suecia</v>
      </c>
      <c r="I378" s="9" t="str">
        <f ca="1">+WORLDCUP!BD69</f>
        <v>Ghana</v>
      </c>
      <c r="J378" s="9" t="str">
        <f ca="1">+WORLDCUP!BD68</f>
        <v>RD Congo</v>
      </c>
      <c r="N378" s="16" t="s">
        <v>1163</v>
      </c>
      <c r="O378" s="16">
        <v>377</v>
      </c>
      <c r="P378" s="16" t="s">
        <v>117</v>
      </c>
      <c r="Q378" s="16" t="s">
        <v>126</v>
      </c>
      <c r="R378" s="16" t="s">
        <v>90</v>
      </c>
      <c r="S378" s="16" t="s">
        <v>94</v>
      </c>
      <c r="T378" s="16" t="s">
        <v>85</v>
      </c>
      <c r="U378" s="16" t="s">
        <v>108</v>
      </c>
      <c r="V378" s="16" t="s">
        <v>135</v>
      </c>
      <c r="W378" s="16" t="s">
        <v>130</v>
      </c>
    </row>
    <row r="379" spans="1:23" x14ac:dyDescent="0.2">
      <c r="A379" s="9" t="s">
        <v>1164</v>
      </c>
      <c r="B379" s="9">
        <f ca="1">+IF(A379=WORLDCUP!$BI$112,1,0)</f>
        <v>0</v>
      </c>
      <c r="C379" s="9" t="str">
        <f ca="1">+WORLDCUP!BD65</f>
        <v>Arabia Saudita</v>
      </c>
      <c r="D379" s="9" t="str">
        <f ca="1">+WORLDCUP!BD66</f>
        <v>Senegal</v>
      </c>
      <c r="E379" s="9" t="str">
        <f ca="1">+WORLDCUP!BD59</f>
        <v>Catar</v>
      </c>
      <c r="F379" s="9" t="str">
        <f ca="1">+WORLDCUP!BD60</f>
        <v>Haití</v>
      </c>
      <c r="G379" s="9" t="str">
        <f ca="1">+WORLDCUP!BD58</f>
        <v>República Checa</v>
      </c>
      <c r="H379" s="9" t="str">
        <f ca="1">+WORLDCUP!BD63</f>
        <v>Suecia</v>
      </c>
      <c r="I379" s="9" t="str">
        <f ca="1">+WORLDCUP!BD69</f>
        <v>Ghana</v>
      </c>
      <c r="J379" s="9" t="str">
        <f ca="1">+WORLDCUP!BD68</f>
        <v>RD Congo</v>
      </c>
      <c r="N379" s="16" t="s">
        <v>1164</v>
      </c>
      <c r="O379" s="16">
        <v>378</v>
      </c>
      <c r="P379" s="16" t="s">
        <v>117</v>
      </c>
      <c r="Q379" s="16" t="s">
        <v>121</v>
      </c>
      <c r="R379" s="16" t="s">
        <v>90</v>
      </c>
      <c r="S379" s="16" t="s">
        <v>94</v>
      </c>
      <c r="T379" s="16" t="s">
        <v>85</v>
      </c>
      <c r="U379" s="16" t="s">
        <v>108</v>
      </c>
      <c r="V379" s="16" t="s">
        <v>135</v>
      </c>
      <c r="W379" s="16" t="s">
        <v>130</v>
      </c>
    </row>
    <row r="380" spans="1:23" x14ac:dyDescent="0.2">
      <c r="A380" s="9" t="s">
        <v>1165</v>
      </c>
      <c r="B380" s="9">
        <f ca="1">+IF(A380=WORLDCUP!$BI$112,1,0)</f>
        <v>0</v>
      </c>
      <c r="C380" s="9" t="str">
        <f ca="1">+WORLDCUP!BD65</f>
        <v>Arabia Saudita</v>
      </c>
      <c r="D380" s="9" t="str">
        <f ca="1">+WORLDCUP!BD67</f>
        <v>Argelia</v>
      </c>
      <c r="E380" s="9" t="str">
        <f ca="1">+WORLDCUP!BD59</f>
        <v>Catar</v>
      </c>
      <c r="F380" s="9" t="str">
        <f ca="1">+WORLDCUP!BD60</f>
        <v>Haití</v>
      </c>
      <c r="G380" s="9" t="str">
        <f ca="1">+WORLDCUP!BD58</f>
        <v>República Checa</v>
      </c>
      <c r="H380" s="9" t="str">
        <f ca="1">+WORLDCUP!BD63</f>
        <v>Suecia</v>
      </c>
      <c r="I380" s="9" t="str">
        <f ca="1">+WORLDCUP!BD69</f>
        <v>Ghana</v>
      </c>
      <c r="J380" s="9" t="str">
        <f ca="1">+WORLDCUP!BD66</f>
        <v>Senegal</v>
      </c>
      <c r="N380" s="16" t="s">
        <v>1165</v>
      </c>
      <c r="O380" s="16">
        <v>379</v>
      </c>
      <c r="P380" s="16" t="s">
        <v>117</v>
      </c>
      <c r="Q380" s="16" t="s">
        <v>126</v>
      </c>
      <c r="R380" s="16" t="s">
        <v>90</v>
      </c>
      <c r="S380" s="16" t="s">
        <v>94</v>
      </c>
      <c r="T380" s="16" t="s">
        <v>85</v>
      </c>
      <c r="U380" s="16" t="s">
        <v>108</v>
      </c>
      <c r="V380" s="16" t="s">
        <v>135</v>
      </c>
      <c r="W380" s="16" t="s">
        <v>121</v>
      </c>
    </row>
    <row r="381" spans="1:23" x14ac:dyDescent="0.2">
      <c r="A381" s="9" t="s">
        <v>1166</v>
      </c>
      <c r="B381" s="9">
        <f ca="1">+IF(A381=WORLDCUP!$BI$112,1,0)</f>
        <v>0</v>
      </c>
      <c r="C381" s="9" t="str">
        <f ca="1">+WORLDCUP!BD65</f>
        <v>Arabia Saudita</v>
      </c>
      <c r="D381" s="9" t="str">
        <f ca="1">+WORLDCUP!BD67</f>
        <v>Argelia</v>
      </c>
      <c r="E381" s="9" t="str">
        <f ca="1">+WORLDCUP!BD59</f>
        <v>Catar</v>
      </c>
      <c r="F381" s="9" t="str">
        <f ca="1">+WORLDCUP!BD60</f>
        <v>Haití</v>
      </c>
      <c r="G381" s="9" t="str">
        <f ca="1">+WORLDCUP!BD58</f>
        <v>República Checa</v>
      </c>
      <c r="H381" s="9" t="str">
        <f ca="1">+WORLDCUP!BD63</f>
        <v>Suecia</v>
      </c>
      <c r="I381" s="9" t="str">
        <f ca="1">+WORLDCUP!BD66</f>
        <v>Senegal</v>
      </c>
      <c r="J381" s="9" t="str">
        <f ca="1">+WORLDCUP!BD68</f>
        <v>RD Congo</v>
      </c>
      <c r="N381" s="16" t="s">
        <v>1166</v>
      </c>
      <c r="O381" s="16">
        <v>380</v>
      </c>
      <c r="P381" s="16" t="s">
        <v>117</v>
      </c>
      <c r="Q381" s="16" t="s">
        <v>126</v>
      </c>
      <c r="R381" s="16" t="s">
        <v>90</v>
      </c>
      <c r="S381" s="16" t="s">
        <v>94</v>
      </c>
      <c r="T381" s="16" t="s">
        <v>85</v>
      </c>
      <c r="U381" s="16" t="s">
        <v>108</v>
      </c>
      <c r="V381" s="16" t="s">
        <v>121</v>
      </c>
      <c r="W381" s="16" t="s">
        <v>130</v>
      </c>
    </row>
    <row r="382" spans="1:23" x14ac:dyDescent="0.2">
      <c r="A382" s="9" t="s">
        <v>1167</v>
      </c>
      <c r="B382" s="9">
        <f ca="1">+IF(A382=WORLDCUP!$BI$112,1,0)</f>
        <v>0</v>
      </c>
      <c r="C382" s="9" t="str">
        <f ca="1">+WORLDCUP!BD60</f>
        <v>Haití</v>
      </c>
      <c r="D382" s="9" t="str">
        <f ca="1">+WORLDCUP!BD67</f>
        <v>Argelia</v>
      </c>
      <c r="E382" s="9" t="str">
        <f ca="1">+WORLDCUP!BD59</f>
        <v>Catar</v>
      </c>
      <c r="F382" s="9" t="str">
        <f ca="1">+WORLDCUP!BD63</f>
        <v>Suecia</v>
      </c>
      <c r="G382" s="9" t="str">
        <f ca="1">+WORLDCUP!BD58</f>
        <v>República Checa</v>
      </c>
      <c r="H382" s="9" t="str">
        <f ca="1">+WORLDCUP!BD64</f>
        <v>Egipto</v>
      </c>
      <c r="I382" s="9" t="str">
        <f ca="1">+WORLDCUP!BD69</f>
        <v>Ghana</v>
      </c>
      <c r="J382" s="9" t="str">
        <f ca="1">+WORLDCUP!BD68</f>
        <v>RD Congo</v>
      </c>
      <c r="N382" s="16" t="s">
        <v>1167</v>
      </c>
      <c r="O382" s="16">
        <v>381</v>
      </c>
      <c r="P382" s="16" t="s">
        <v>94</v>
      </c>
      <c r="Q382" s="16" t="s">
        <v>126</v>
      </c>
      <c r="R382" s="16" t="s">
        <v>90</v>
      </c>
      <c r="S382" s="16" t="s">
        <v>108</v>
      </c>
      <c r="T382" s="16" t="s">
        <v>85</v>
      </c>
      <c r="U382" s="16" t="s">
        <v>112</v>
      </c>
      <c r="V382" s="16" t="s">
        <v>135</v>
      </c>
      <c r="W382" s="16" t="s">
        <v>130</v>
      </c>
    </row>
    <row r="383" spans="1:23" x14ac:dyDescent="0.2">
      <c r="A383" s="9" t="s">
        <v>1168</v>
      </c>
      <c r="B383" s="9">
        <f ca="1">+IF(A383=WORLDCUP!$BI$112,1,0)</f>
        <v>0</v>
      </c>
      <c r="C383" s="9" t="str">
        <f ca="1">+WORLDCUP!BD66</f>
        <v>Senegal</v>
      </c>
      <c r="D383" s="9" t="str">
        <f ca="1">+WORLDCUP!BD64</f>
        <v>Egipto</v>
      </c>
      <c r="E383" s="9" t="str">
        <f ca="1">+WORLDCUP!BD59</f>
        <v>Catar</v>
      </c>
      <c r="F383" s="9" t="str">
        <f ca="1">+WORLDCUP!BD60</f>
        <v>Haití</v>
      </c>
      <c r="G383" s="9" t="str">
        <f ca="1">+WORLDCUP!BD58</f>
        <v>República Checa</v>
      </c>
      <c r="H383" s="9" t="str">
        <f ca="1">+WORLDCUP!BD63</f>
        <v>Suecia</v>
      </c>
      <c r="I383" s="9" t="str">
        <f ca="1">+WORLDCUP!BD69</f>
        <v>Ghana</v>
      </c>
      <c r="J383" s="9" t="str">
        <f ca="1">+WORLDCUP!BD68</f>
        <v>RD Congo</v>
      </c>
      <c r="N383" s="16" t="s">
        <v>1168</v>
      </c>
      <c r="O383" s="16">
        <v>382</v>
      </c>
      <c r="P383" s="16" t="s">
        <v>121</v>
      </c>
      <c r="Q383" s="16" t="s">
        <v>112</v>
      </c>
      <c r="R383" s="16" t="s">
        <v>90</v>
      </c>
      <c r="S383" s="16" t="s">
        <v>94</v>
      </c>
      <c r="T383" s="16" t="s">
        <v>85</v>
      </c>
      <c r="U383" s="16" t="s">
        <v>108</v>
      </c>
      <c r="V383" s="16" t="s">
        <v>135</v>
      </c>
      <c r="W383" s="16" t="s">
        <v>130</v>
      </c>
    </row>
    <row r="384" spans="1:23" x14ac:dyDescent="0.2">
      <c r="A384" s="9" t="s">
        <v>1169</v>
      </c>
      <c r="B384" s="9">
        <f ca="1">+IF(A384=WORLDCUP!$BI$112,1,0)</f>
        <v>0</v>
      </c>
      <c r="C384" s="9" t="str">
        <f ca="1">+WORLDCUP!BD60</f>
        <v>Haití</v>
      </c>
      <c r="D384" s="9" t="str">
        <f ca="1">+WORLDCUP!BD67</f>
        <v>Argelia</v>
      </c>
      <c r="E384" s="9" t="str">
        <f ca="1">+WORLDCUP!BD59</f>
        <v>Catar</v>
      </c>
      <c r="F384" s="9" t="str">
        <f ca="1">+WORLDCUP!BD63</f>
        <v>Suecia</v>
      </c>
      <c r="G384" s="9" t="str">
        <f ca="1">+WORLDCUP!BD58</f>
        <v>República Checa</v>
      </c>
      <c r="H384" s="9" t="str">
        <f ca="1">+WORLDCUP!BD64</f>
        <v>Egipto</v>
      </c>
      <c r="I384" s="9" t="str">
        <f ca="1">+WORLDCUP!BD69</f>
        <v>Ghana</v>
      </c>
      <c r="J384" s="9" t="str">
        <f ca="1">+WORLDCUP!BD66</f>
        <v>Senegal</v>
      </c>
      <c r="N384" s="16" t="s">
        <v>1169</v>
      </c>
      <c r="O384" s="16">
        <v>383</v>
      </c>
      <c r="P384" s="16" t="s">
        <v>94</v>
      </c>
      <c r="Q384" s="16" t="s">
        <v>126</v>
      </c>
      <c r="R384" s="16" t="s">
        <v>90</v>
      </c>
      <c r="S384" s="16" t="s">
        <v>108</v>
      </c>
      <c r="T384" s="16" t="s">
        <v>85</v>
      </c>
      <c r="U384" s="16" t="s">
        <v>112</v>
      </c>
      <c r="V384" s="16" t="s">
        <v>135</v>
      </c>
      <c r="W384" s="16" t="s">
        <v>121</v>
      </c>
    </row>
    <row r="385" spans="1:23" x14ac:dyDescent="0.2">
      <c r="A385" s="9" t="s">
        <v>1170</v>
      </c>
      <c r="B385" s="9">
        <f ca="1">+IF(A385=WORLDCUP!$BI$112,1,0)</f>
        <v>0</v>
      </c>
      <c r="C385" s="9" t="str">
        <f ca="1">+WORLDCUP!BD60</f>
        <v>Haití</v>
      </c>
      <c r="D385" s="9" t="str">
        <f ca="1">+WORLDCUP!BD67</f>
        <v>Argelia</v>
      </c>
      <c r="E385" s="9" t="str">
        <f ca="1">+WORLDCUP!BD59</f>
        <v>Catar</v>
      </c>
      <c r="F385" s="9" t="str">
        <f ca="1">+WORLDCUP!BD63</f>
        <v>Suecia</v>
      </c>
      <c r="G385" s="9" t="str">
        <f ca="1">+WORLDCUP!BD58</f>
        <v>República Checa</v>
      </c>
      <c r="H385" s="9" t="str">
        <f ca="1">+WORLDCUP!BD64</f>
        <v>Egipto</v>
      </c>
      <c r="I385" s="9" t="str">
        <f ca="1">+WORLDCUP!BD66</f>
        <v>Senegal</v>
      </c>
      <c r="J385" s="9" t="str">
        <f ca="1">+WORLDCUP!BD68</f>
        <v>RD Congo</v>
      </c>
      <c r="N385" s="16" t="s">
        <v>1170</v>
      </c>
      <c r="O385" s="16">
        <v>384</v>
      </c>
      <c r="P385" s="16" t="s">
        <v>94</v>
      </c>
      <c r="Q385" s="16" t="s">
        <v>126</v>
      </c>
      <c r="R385" s="16" t="s">
        <v>90</v>
      </c>
      <c r="S385" s="16" t="s">
        <v>108</v>
      </c>
      <c r="T385" s="16" t="s">
        <v>85</v>
      </c>
      <c r="U385" s="16" t="s">
        <v>112</v>
      </c>
      <c r="V385" s="16" t="s">
        <v>121</v>
      </c>
      <c r="W385" s="16" t="s">
        <v>130</v>
      </c>
    </row>
    <row r="386" spans="1:23" x14ac:dyDescent="0.2">
      <c r="A386" s="9" t="s">
        <v>1171</v>
      </c>
      <c r="B386" s="9">
        <f ca="1">+IF(A386=WORLDCUP!$BI$112,1,0)</f>
        <v>0</v>
      </c>
      <c r="C386" s="9" t="str">
        <f ca="1">+WORLDCUP!BD65</f>
        <v>Arabia Saudita</v>
      </c>
      <c r="D386" s="9" t="str">
        <f ca="1">+WORLDCUP!BD64</f>
        <v>Egipto</v>
      </c>
      <c r="E386" s="9" t="str">
        <f ca="1">+WORLDCUP!BD59</f>
        <v>Catar</v>
      </c>
      <c r="F386" s="9" t="str">
        <f ca="1">+WORLDCUP!BD60</f>
        <v>Haití</v>
      </c>
      <c r="G386" s="9" t="str">
        <f ca="1">+WORLDCUP!BD58</f>
        <v>República Checa</v>
      </c>
      <c r="H386" s="9" t="str">
        <f ca="1">+WORLDCUP!BD63</f>
        <v>Suecia</v>
      </c>
      <c r="I386" s="9" t="str">
        <f ca="1">+WORLDCUP!BD69</f>
        <v>Ghana</v>
      </c>
      <c r="J386" s="9" t="str">
        <f ca="1">+WORLDCUP!BD68</f>
        <v>RD Congo</v>
      </c>
      <c r="N386" s="16" t="s">
        <v>1171</v>
      </c>
      <c r="O386" s="16">
        <v>385</v>
      </c>
      <c r="P386" s="16" t="s">
        <v>117</v>
      </c>
      <c r="Q386" s="16" t="s">
        <v>112</v>
      </c>
      <c r="R386" s="16" t="s">
        <v>90</v>
      </c>
      <c r="S386" s="16" t="s">
        <v>94</v>
      </c>
      <c r="T386" s="16" t="s">
        <v>85</v>
      </c>
      <c r="U386" s="16" t="s">
        <v>108</v>
      </c>
      <c r="V386" s="16" t="s">
        <v>135</v>
      </c>
      <c r="W386" s="16" t="s">
        <v>130</v>
      </c>
    </row>
    <row r="387" spans="1:23" x14ac:dyDescent="0.2">
      <c r="A387" s="9" t="s">
        <v>1172</v>
      </c>
      <c r="B387" s="9">
        <f ca="1">+IF(A387=WORLDCUP!$BI$112,1,0)</f>
        <v>0</v>
      </c>
      <c r="C387" s="9" t="str">
        <f ca="1">+WORLDCUP!BD65</f>
        <v>Arabia Saudita</v>
      </c>
      <c r="D387" s="9" t="str">
        <f ca="1">+WORLDCUP!BD64</f>
        <v>Egipto</v>
      </c>
      <c r="E387" s="9" t="str">
        <f ca="1">+WORLDCUP!BD59</f>
        <v>Catar</v>
      </c>
      <c r="F387" s="9" t="str">
        <f ca="1">+WORLDCUP!BD60</f>
        <v>Haití</v>
      </c>
      <c r="G387" s="9" t="str">
        <f ca="1">+WORLDCUP!BD58</f>
        <v>República Checa</v>
      </c>
      <c r="H387" s="9" t="str">
        <f ca="1">+WORLDCUP!BD63</f>
        <v>Suecia</v>
      </c>
      <c r="I387" s="9" t="str">
        <f ca="1">+WORLDCUP!BD69</f>
        <v>Ghana</v>
      </c>
      <c r="J387" s="9" t="str">
        <f ca="1">+WORLDCUP!BD67</f>
        <v>Argelia</v>
      </c>
      <c r="N387" s="16" t="s">
        <v>1172</v>
      </c>
      <c r="O387" s="16">
        <v>386</v>
      </c>
      <c r="P387" s="16" t="s">
        <v>117</v>
      </c>
      <c r="Q387" s="16" t="s">
        <v>112</v>
      </c>
      <c r="R387" s="16" t="s">
        <v>90</v>
      </c>
      <c r="S387" s="16" t="s">
        <v>94</v>
      </c>
      <c r="T387" s="16" t="s">
        <v>85</v>
      </c>
      <c r="U387" s="16" t="s">
        <v>108</v>
      </c>
      <c r="V387" s="16" t="s">
        <v>135</v>
      </c>
      <c r="W387" s="16" t="s">
        <v>126</v>
      </c>
    </row>
    <row r="388" spans="1:23" x14ac:dyDescent="0.2">
      <c r="A388" s="9" t="s">
        <v>1173</v>
      </c>
      <c r="B388" s="9">
        <f ca="1">+IF(A388=WORLDCUP!$BI$112,1,0)</f>
        <v>0</v>
      </c>
      <c r="C388" s="9" t="str">
        <f ca="1">+WORLDCUP!BD65</f>
        <v>Arabia Saudita</v>
      </c>
      <c r="D388" s="9" t="str">
        <f ca="1">+WORLDCUP!BD64</f>
        <v>Egipto</v>
      </c>
      <c r="E388" s="9" t="str">
        <f ca="1">+WORLDCUP!BD59</f>
        <v>Catar</v>
      </c>
      <c r="F388" s="9" t="str">
        <f ca="1">+WORLDCUP!BD60</f>
        <v>Haití</v>
      </c>
      <c r="G388" s="9" t="str">
        <f ca="1">+WORLDCUP!BD58</f>
        <v>República Checa</v>
      </c>
      <c r="H388" s="9" t="str">
        <f ca="1">+WORLDCUP!BD63</f>
        <v>Suecia</v>
      </c>
      <c r="I388" s="9" t="str">
        <f ca="1">+WORLDCUP!BD67</f>
        <v>Argelia</v>
      </c>
      <c r="J388" s="9" t="str">
        <f ca="1">+WORLDCUP!BD68</f>
        <v>RD Congo</v>
      </c>
      <c r="N388" s="16" t="s">
        <v>1173</v>
      </c>
      <c r="O388" s="16">
        <v>387</v>
      </c>
      <c r="P388" s="16" t="s">
        <v>117</v>
      </c>
      <c r="Q388" s="16" t="s">
        <v>112</v>
      </c>
      <c r="R388" s="16" t="s">
        <v>90</v>
      </c>
      <c r="S388" s="16" t="s">
        <v>94</v>
      </c>
      <c r="T388" s="16" t="s">
        <v>85</v>
      </c>
      <c r="U388" s="16" t="s">
        <v>108</v>
      </c>
      <c r="V388" s="16" t="s">
        <v>126</v>
      </c>
      <c r="W388" s="16" t="s">
        <v>130</v>
      </c>
    </row>
    <row r="389" spans="1:23" x14ac:dyDescent="0.2">
      <c r="A389" s="9" t="s">
        <v>1174</v>
      </c>
      <c r="B389" s="9">
        <f ca="1">+IF(A389=WORLDCUP!$BI$112,1,0)</f>
        <v>0</v>
      </c>
      <c r="C389" s="9" t="str">
        <f ca="1">+WORLDCUP!BD65</f>
        <v>Arabia Saudita</v>
      </c>
      <c r="D389" s="9" t="str">
        <f ca="1">+WORLDCUP!BD64</f>
        <v>Egipto</v>
      </c>
      <c r="E389" s="9" t="str">
        <f ca="1">+WORLDCUP!BD59</f>
        <v>Catar</v>
      </c>
      <c r="F389" s="9" t="str">
        <f ca="1">+WORLDCUP!BD60</f>
        <v>Haití</v>
      </c>
      <c r="G389" s="9" t="str">
        <f ca="1">+WORLDCUP!BD58</f>
        <v>República Checa</v>
      </c>
      <c r="H389" s="9" t="str">
        <f ca="1">+WORLDCUP!BD63</f>
        <v>Suecia</v>
      </c>
      <c r="I389" s="9" t="str">
        <f ca="1">+WORLDCUP!BD69</f>
        <v>Ghana</v>
      </c>
      <c r="J389" s="9" t="str">
        <f ca="1">+WORLDCUP!BD66</f>
        <v>Senegal</v>
      </c>
      <c r="N389" s="16" t="s">
        <v>1174</v>
      </c>
      <c r="O389" s="16">
        <v>388</v>
      </c>
      <c r="P389" s="16" t="s">
        <v>117</v>
      </c>
      <c r="Q389" s="16" t="s">
        <v>112</v>
      </c>
      <c r="R389" s="16" t="s">
        <v>90</v>
      </c>
      <c r="S389" s="16" t="s">
        <v>94</v>
      </c>
      <c r="T389" s="16" t="s">
        <v>85</v>
      </c>
      <c r="U389" s="16" t="s">
        <v>108</v>
      </c>
      <c r="V389" s="16" t="s">
        <v>135</v>
      </c>
      <c r="W389" s="16" t="s">
        <v>121</v>
      </c>
    </row>
    <row r="390" spans="1:23" x14ac:dyDescent="0.2">
      <c r="A390" s="9" t="s">
        <v>1175</v>
      </c>
      <c r="B390" s="9">
        <f ca="1">+IF(A390=WORLDCUP!$BI$112,1,0)</f>
        <v>0</v>
      </c>
      <c r="C390" s="9" t="str">
        <f ca="1">+WORLDCUP!BD65</f>
        <v>Arabia Saudita</v>
      </c>
      <c r="D390" s="9" t="str">
        <f ca="1">+WORLDCUP!BD64</f>
        <v>Egipto</v>
      </c>
      <c r="E390" s="9" t="str">
        <f ca="1">+WORLDCUP!BD59</f>
        <v>Catar</v>
      </c>
      <c r="F390" s="9" t="str">
        <f ca="1">+WORLDCUP!BD60</f>
        <v>Haití</v>
      </c>
      <c r="G390" s="9" t="str">
        <f ca="1">+WORLDCUP!BD58</f>
        <v>República Checa</v>
      </c>
      <c r="H390" s="9" t="str">
        <f ca="1">+WORLDCUP!BD63</f>
        <v>Suecia</v>
      </c>
      <c r="I390" s="9" t="str">
        <f ca="1">+WORLDCUP!BD66</f>
        <v>Senegal</v>
      </c>
      <c r="J390" s="9" t="str">
        <f ca="1">+WORLDCUP!BD68</f>
        <v>RD Congo</v>
      </c>
      <c r="N390" s="16" t="s">
        <v>1175</v>
      </c>
      <c r="O390" s="16">
        <v>389</v>
      </c>
      <c r="P390" s="16" t="s">
        <v>117</v>
      </c>
      <c r="Q390" s="16" t="s">
        <v>112</v>
      </c>
      <c r="R390" s="16" t="s">
        <v>90</v>
      </c>
      <c r="S390" s="16" t="s">
        <v>94</v>
      </c>
      <c r="T390" s="16" t="s">
        <v>85</v>
      </c>
      <c r="U390" s="16" t="s">
        <v>108</v>
      </c>
      <c r="V390" s="16" t="s">
        <v>121</v>
      </c>
      <c r="W390" s="16" t="s">
        <v>130</v>
      </c>
    </row>
    <row r="391" spans="1:23" x14ac:dyDescent="0.2">
      <c r="A391" s="9" t="s">
        <v>1176</v>
      </c>
      <c r="B391" s="9">
        <f ca="1">+IF(A391=WORLDCUP!$BI$112,1,0)</f>
        <v>0</v>
      </c>
      <c r="C391" s="9" t="str">
        <f ca="1">+WORLDCUP!BD65</f>
        <v>Arabia Saudita</v>
      </c>
      <c r="D391" s="9" t="str">
        <f ca="1">+WORLDCUP!BD64</f>
        <v>Egipto</v>
      </c>
      <c r="E391" s="9" t="str">
        <f ca="1">+WORLDCUP!BD59</f>
        <v>Catar</v>
      </c>
      <c r="F391" s="9" t="str">
        <f ca="1">+WORLDCUP!BD60</f>
        <v>Haití</v>
      </c>
      <c r="G391" s="9" t="str">
        <f ca="1">+WORLDCUP!BD58</f>
        <v>República Checa</v>
      </c>
      <c r="H391" s="9" t="str">
        <f ca="1">+WORLDCUP!BD63</f>
        <v>Suecia</v>
      </c>
      <c r="I391" s="9" t="str">
        <f ca="1">+WORLDCUP!BD66</f>
        <v>Senegal</v>
      </c>
      <c r="J391" s="9" t="str">
        <f ca="1">+WORLDCUP!BD67</f>
        <v>Argelia</v>
      </c>
      <c r="N391" s="16" t="s">
        <v>1176</v>
      </c>
      <c r="O391" s="16">
        <v>390</v>
      </c>
      <c r="P391" s="16" t="s">
        <v>117</v>
      </c>
      <c r="Q391" s="16" t="s">
        <v>112</v>
      </c>
      <c r="R391" s="16" t="s">
        <v>90</v>
      </c>
      <c r="S391" s="16" t="s">
        <v>94</v>
      </c>
      <c r="T391" s="16" t="s">
        <v>85</v>
      </c>
      <c r="U391" s="16" t="s">
        <v>108</v>
      </c>
      <c r="V391" s="16" t="s">
        <v>121</v>
      </c>
      <c r="W391" s="16" t="s">
        <v>126</v>
      </c>
    </row>
    <row r="392" spans="1:23" x14ac:dyDescent="0.2">
      <c r="A392" s="9" t="s">
        <v>1177</v>
      </c>
      <c r="B392" s="9">
        <f ca="1">+IF(A392=WORLDCUP!$BI$112,1,0)</f>
        <v>0</v>
      </c>
      <c r="C392" s="9" t="str">
        <f ca="1">+WORLDCUP!BD62</f>
        <v>Curazao</v>
      </c>
      <c r="D392" s="9" t="str">
        <f ca="1">+WORLDCUP!BD67</f>
        <v>Argelia</v>
      </c>
      <c r="E392" s="9" t="str">
        <f ca="1">+WORLDCUP!BD59</f>
        <v>Catar</v>
      </c>
      <c r="F392" s="9" t="str">
        <f ca="1">+WORLDCUP!BD58</f>
        <v>República Checa</v>
      </c>
      <c r="G392" s="9" t="str">
        <f ca="1">+WORLDCUP!BD66</f>
        <v>Senegal</v>
      </c>
      <c r="H392" s="9" t="str">
        <f ca="1">+WORLDCUP!BD60</f>
        <v>Haití</v>
      </c>
      <c r="I392" s="9" t="str">
        <f ca="1">+WORLDCUP!BD69</f>
        <v>Ghana</v>
      </c>
      <c r="J392" s="9" t="str">
        <f ca="1">+WORLDCUP!BD68</f>
        <v>RD Congo</v>
      </c>
      <c r="N392" s="16" t="s">
        <v>1177</v>
      </c>
      <c r="O392" s="16">
        <v>391</v>
      </c>
      <c r="P392" s="16" t="s">
        <v>103</v>
      </c>
      <c r="Q392" s="16" t="s">
        <v>126</v>
      </c>
      <c r="R392" s="16" t="s">
        <v>90</v>
      </c>
      <c r="S392" s="16" t="s">
        <v>85</v>
      </c>
      <c r="T392" s="16" t="s">
        <v>121</v>
      </c>
      <c r="U392" s="16" t="s">
        <v>94</v>
      </c>
      <c r="V392" s="16" t="s">
        <v>135</v>
      </c>
      <c r="W392" s="16" t="s">
        <v>130</v>
      </c>
    </row>
    <row r="393" spans="1:23" x14ac:dyDescent="0.2">
      <c r="A393" s="9" t="s">
        <v>1178</v>
      </c>
      <c r="B393" s="9">
        <f ca="1">+IF(A393=WORLDCUP!$BI$112,1,0)</f>
        <v>0</v>
      </c>
      <c r="C393" s="9" t="str">
        <f ca="1">+WORLDCUP!BD62</f>
        <v>Curazao</v>
      </c>
      <c r="D393" s="9" t="str">
        <f ca="1">+WORLDCUP!BD67</f>
        <v>Argelia</v>
      </c>
      <c r="E393" s="9" t="str">
        <f ca="1">+WORLDCUP!BD59</f>
        <v>Catar</v>
      </c>
      <c r="F393" s="9" t="str">
        <f ca="1">+WORLDCUP!BD60</f>
        <v>Haití</v>
      </c>
      <c r="G393" s="9" t="str">
        <f ca="1">+WORLDCUP!BD58</f>
        <v>República Checa</v>
      </c>
      <c r="H393" s="9" t="str">
        <f ca="1">+WORLDCUP!BD65</f>
        <v>Arabia Saudita</v>
      </c>
      <c r="I393" s="9" t="str">
        <f ca="1">+WORLDCUP!BD69</f>
        <v>Ghana</v>
      </c>
      <c r="J393" s="9" t="str">
        <f ca="1">+WORLDCUP!BD68</f>
        <v>RD Congo</v>
      </c>
      <c r="N393" s="16" t="s">
        <v>1178</v>
      </c>
      <c r="O393" s="16">
        <v>392</v>
      </c>
      <c r="P393" s="16" t="s">
        <v>103</v>
      </c>
      <c r="Q393" s="16" t="s">
        <v>126</v>
      </c>
      <c r="R393" s="16" t="s">
        <v>90</v>
      </c>
      <c r="S393" s="16" t="s">
        <v>94</v>
      </c>
      <c r="T393" s="16" t="s">
        <v>85</v>
      </c>
      <c r="U393" s="16" t="s">
        <v>117</v>
      </c>
      <c r="V393" s="16" t="s">
        <v>135</v>
      </c>
      <c r="W393" s="16" t="s">
        <v>130</v>
      </c>
    </row>
    <row r="394" spans="1:23" x14ac:dyDescent="0.2">
      <c r="A394" s="9" t="s">
        <v>1179</v>
      </c>
      <c r="B394" s="9">
        <f ca="1">+IF(A394=WORLDCUP!$BI$112,1,0)</f>
        <v>0</v>
      </c>
      <c r="C394" s="9" t="str">
        <f ca="1">+WORLDCUP!BD62</f>
        <v>Curazao</v>
      </c>
      <c r="D394" s="9" t="str">
        <f ca="1">+WORLDCUP!BD66</f>
        <v>Senegal</v>
      </c>
      <c r="E394" s="9" t="str">
        <f ca="1">+WORLDCUP!BD59</f>
        <v>Catar</v>
      </c>
      <c r="F394" s="9" t="str">
        <f ca="1">+WORLDCUP!BD60</f>
        <v>Haití</v>
      </c>
      <c r="G394" s="9" t="str">
        <f ca="1">+WORLDCUP!BD58</f>
        <v>República Checa</v>
      </c>
      <c r="H394" s="9" t="str">
        <f ca="1">+WORLDCUP!BD65</f>
        <v>Arabia Saudita</v>
      </c>
      <c r="I394" s="9" t="str">
        <f ca="1">+WORLDCUP!BD69</f>
        <v>Ghana</v>
      </c>
      <c r="J394" s="9" t="str">
        <f ca="1">+WORLDCUP!BD68</f>
        <v>RD Congo</v>
      </c>
      <c r="N394" s="16" t="s">
        <v>1179</v>
      </c>
      <c r="O394" s="16">
        <v>393</v>
      </c>
      <c r="P394" s="16" t="s">
        <v>103</v>
      </c>
      <c r="Q394" s="16" t="s">
        <v>121</v>
      </c>
      <c r="R394" s="16" t="s">
        <v>90</v>
      </c>
      <c r="S394" s="16" t="s">
        <v>94</v>
      </c>
      <c r="T394" s="16" t="s">
        <v>85</v>
      </c>
      <c r="U394" s="16" t="s">
        <v>117</v>
      </c>
      <c r="V394" s="16" t="s">
        <v>135</v>
      </c>
      <c r="W394" s="16" t="s">
        <v>130</v>
      </c>
    </row>
    <row r="395" spans="1:23" x14ac:dyDescent="0.2">
      <c r="A395" s="9" t="s">
        <v>1180</v>
      </c>
      <c r="B395" s="9">
        <f ca="1">+IF(A395=WORLDCUP!$BI$112,1,0)</f>
        <v>0</v>
      </c>
      <c r="C395" s="9" t="str">
        <f ca="1">+WORLDCUP!BD62</f>
        <v>Curazao</v>
      </c>
      <c r="D395" s="9" t="str">
        <f ca="1">+WORLDCUP!BD67</f>
        <v>Argelia</v>
      </c>
      <c r="E395" s="9" t="str">
        <f ca="1">+WORLDCUP!BD59</f>
        <v>Catar</v>
      </c>
      <c r="F395" s="9" t="str">
        <f ca="1">+WORLDCUP!BD60</f>
        <v>Haití</v>
      </c>
      <c r="G395" s="9" t="str">
        <f ca="1">+WORLDCUP!BD58</f>
        <v>República Checa</v>
      </c>
      <c r="H395" s="9" t="str">
        <f ca="1">+WORLDCUP!BD65</f>
        <v>Arabia Saudita</v>
      </c>
      <c r="I395" s="9" t="str">
        <f ca="1">+WORLDCUP!BD69</f>
        <v>Ghana</v>
      </c>
      <c r="J395" s="9" t="str">
        <f ca="1">+WORLDCUP!BD66</f>
        <v>Senegal</v>
      </c>
      <c r="N395" s="16" t="s">
        <v>1180</v>
      </c>
      <c r="O395" s="16">
        <v>394</v>
      </c>
      <c r="P395" s="16" t="s">
        <v>103</v>
      </c>
      <c r="Q395" s="16" t="s">
        <v>126</v>
      </c>
      <c r="R395" s="16" t="s">
        <v>90</v>
      </c>
      <c r="S395" s="16" t="s">
        <v>94</v>
      </c>
      <c r="T395" s="16" t="s">
        <v>85</v>
      </c>
      <c r="U395" s="16" t="s">
        <v>117</v>
      </c>
      <c r="V395" s="16" t="s">
        <v>135</v>
      </c>
      <c r="W395" s="16" t="s">
        <v>121</v>
      </c>
    </row>
    <row r="396" spans="1:23" x14ac:dyDescent="0.2">
      <c r="A396" s="9" t="s">
        <v>1181</v>
      </c>
      <c r="B396" s="9">
        <f ca="1">+IF(A396=WORLDCUP!$BI$112,1,0)</f>
        <v>0</v>
      </c>
      <c r="C396" s="9" t="str">
        <f ca="1">+WORLDCUP!BD62</f>
        <v>Curazao</v>
      </c>
      <c r="D396" s="9" t="str">
        <f ca="1">+WORLDCUP!BD67</f>
        <v>Argelia</v>
      </c>
      <c r="E396" s="9" t="str">
        <f ca="1">+WORLDCUP!BD59</f>
        <v>Catar</v>
      </c>
      <c r="F396" s="9" t="str">
        <f ca="1">+WORLDCUP!BD60</f>
        <v>Haití</v>
      </c>
      <c r="G396" s="9" t="str">
        <f ca="1">+WORLDCUP!BD58</f>
        <v>República Checa</v>
      </c>
      <c r="H396" s="9" t="str">
        <f ca="1">+WORLDCUP!BD65</f>
        <v>Arabia Saudita</v>
      </c>
      <c r="I396" s="9" t="str">
        <f ca="1">+WORLDCUP!BD66</f>
        <v>Senegal</v>
      </c>
      <c r="J396" s="9" t="str">
        <f ca="1">+WORLDCUP!BD68</f>
        <v>RD Congo</v>
      </c>
      <c r="N396" s="16" t="s">
        <v>1181</v>
      </c>
      <c r="O396" s="16">
        <v>395</v>
      </c>
      <c r="P396" s="16" t="s">
        <v>103</v>
      </c>
      <c r="Q396" s="16" t="s">
        <v>126</v>
      </c>
      <c r="R396" s="16" t="s">
        <v>90</v>
      </c>
      <c r="S396" s="16" t="s">
        <v>94</v>
      </c>
      <c r="T396" s="16" t="s">
        <v>85</v>
      </c>
      <c r="U396" s="16" t="s">
        <v>117</v>
      </c>
      <c r="V396" s="16" t="s">
        <v>121</v>
      </c>
      <c r="W396" s="16" t="s">
        <v>130</v>
      </c>
    </row>
    <row r="397" spans="1:23" x14ac:dyDescent="0.2">
      <c r="A397" s="9" t="s">
        <v>1182</v>
      </c>
      <c r="B397" s="9">
        <f ca="1">+IF(A397=WORLDCUP!$BI$112,1,0)</f>
        <v>0</v>
      </c>
      <c r="C397" s="9" t="str">
        <f ca="1">+WORLDCUP!BD62</f>
        <v>Curazao</v>
      </c>
      <c r="D397" s="9" t="str">
        <f ca="1">+WORLDCUP!BD67</f>
        <v>Argelia</v>
      </c>
      <c r="E397" s="9" t="str">
        <f ca="1">+WORLDCUP!BD59</f>
        <v>Catar</v>
      </c>
      <c r="F397" s="9" t="str">
        <f ca="1">+WORLDCUP!BD60</f>
        <v>Haití</v>
      </c>
      <c r="G397" s="9" t="str">
        <f ca="1">+WORLDCUP!BD58</f>
        <v>República Checa</v>
      </c>
      <c r="H397" s="9" t="str">
        <f ca="1">+WORLDCUP!BD64</f>
        <v>Egipto</v>
      </c>
      <c r="I397" s="9" t="str">
        <f ca="1">+WORLDCUP!BD69</f>
        <v>Ghana</v>
      </c>
      <c r="J397" s="9" t="str">
        <f ca="1">+WORLDCUP!BD68</f>
        <v>RD Congo</v>
      </c>
      <c r="N397" s="16" t="s">
        <v>1182</v>
      </c>
      <c r="O397" s="16">
        <v>396</v>
      </c>
      <c r="P397" s="16" t="s">
        <v>103</v>
      </c>
      <c r="Q397" s="16" t="s">
        <v>126</v>
      </c>
      <c r="R397" s="16" t="s">
        <v>90</v>
      </c>
      <c r="S397" s="16" t="s">
        <v>94</v>
      </c>
      <c r="T397" s="16" t="s">
        <v>85</v>
      </c>
      <c r="U397" s="16" t="s">
        <v>112</v>
      </c>
      <c r="V397" s="16" t="s">
        <v>135</v>
      </c>
      <c r="W397" s="16" t="s">
        <v>130</v>
      </c>
    </row>
    <row r="398" spans="1:23" x14ac:dyDescent="0.2">
      <c r="A398" s="9" t="s">
        <v>1183</v>
      </c>
      <c r="B398" s="9">
        <f ca="1">+IF(A398=WORLDCUP!$BI$112,1,0)</f>
        <v>0</v>
      </c>
      <c r="C398" s="9" t="str">
        <f ca="1">+WORLDCUP!BD62</f>
        <v>Curazao</v>
      </c>
      <c r="D398" s="9" t="str">
        <f ca="1">+WORLDCUP!BD64</f>
        <v>Egipto</v>
      </c>
      <c r="E398" s="9" t="str">
        <f ca="1">+WORLDCUP!BD59</f>
        <v>Catar</v>
      </c>
      <c r="F398" s="9" t="str">
        <f ca="1">+WORLDCUP!BD58</f>
        <v>República Checa</v>
      </c>
      <c r="G398" s="9" t="str">
        <f ca="1">+WORLDCUP!BD66</f>
        <v>Senegal</v>
      </c>
      <c r="H398" s="9" t="str">
        <f ca="1">+WORLDCUP!BD60</f>
        <v>Haití</v>
      </c>
      <c r="I398" s="9" t="str">
        <f ca="1">+WORLDCUP!BD69</f>
        <v>Ghana</v>
      </c>
      <c r="J398" s="9" t="str">
        <f ca="1">+WORLDCUP!BD68</f>
        <v>RD Congo</v>
      </c>
      <c r="N398" s="16" t="s">
        <v>1183</v>
      </c>
      <c r="O398" s="16">
        <v>397</v>
      </c>
      <c r="P398" s="16" t="s">
        <v>103</v>
      </c>
      <c r="Q398" s="16" t="s">
        <v>112</v>
      </c>
      <c r="R398" s="16" t="s">
        <v>90</v>
      </c>
      <c r="S398" s="16" t="s">
        <v>85</v>
      </c>
      <c r="T398" s="16" t="s">
        <v>121</v>
      </c>
      <c r="U398" s="16" t="s">
        <v>94</v>
      </c>
      <c r="V398" s="16" t="s">
        <v>135</v>
      </c>
      <c r="W398" s="16" t="s">
        <v>130</v>
      </c>
    </row>
    <row r="399" spans="1:23" x14ac:dyDescent="0.2">
      <c r="A399" s="9" t="s">
        <v>1184</v>
      </c>
      <c r="B399" s="9">
        <f ca="1">+IF(A399=WORLDCUP!$BI$112,1,0)</f>
        <v>0</v>
      </c>
      <c r="C399" s="9" t="str">
        <f ca="1">+WORLDCUP!BD62</f>
        <v>Curazao</v>
      </c>
      <c r="D399" s="9" t="str">
        <f ca="1">+WORLDCUP!BD67</f>
        <v>Argelia</v>
      </c>
      <c r="E399" s="9" t="str">
        <f ca="1">+WORLDCUP!BD59</f>
        <v>Catar</v>
      </c>
      <c r="F399" s="9" t="str">
        <f ca="1">+WORLDCUP!BD60</f>
        <v>Haití</v>
      </c>
      <c r="G399" s="9" t="str">
        <f ca="1">+WORLDCUP!BD58</f>
        <v>República Checa</v>
      </c>
      <c r="H399" s="9" t="str">
        <f ca="1">+WORLDCUP!BD64</f>
        <v>Egipto</v>
      </c>
      <c r="I399" s="9" t="str">
        <f ca="1">+WORLDCUP!BD69</f>
        <v>Ghana</v>
      </c>
      <c r="J399" s="9" t="str">
        <f ca="1">+WORLDCUP!BD66</f>
        <v>Senegal</v>
      </c>
      <c r="N399" s="16" t="s">
        <v>1184</v>
      </c>
      <c r="O399" s="16">
        <v>398</v>
      </c>
      <c r="P399" s="16" t="s">
        <v>103</v>
      </c>
      <c r="Q399" s="16" t="s">
        <v>126</v>
      </c>
      <c r="R399" s="16" t="s">
        <v>90</v>
      </c>
      <c r="S399" s="16" t="s">
        <v>94</v>
      </c>
      <c r="T399" s="16" t="s">
        <v>85</v>
      </c>
      <c r="U399" s="16" t="s">
        <v>112</v>
      </c>
      <c r="V399" s="16" t="s">
        <v>135</v>
      </c>
      <c r="W399" s="16" t="s">
        <v>121</v>
      </c>
    </row>
    <row r="400" spans="1:23" x14ac:dyDescent="0.2">
      <c r="A400" s="9" t="s">
        <v>1185</v>
      </c>
      <c r="B400" s="9">
        <f ca="1">+IF(A400=WORLDCUP!$BI$112,1,0)</f>
        <v>0</v>
      </c>
      <c r="C400" s="9" t="str">
        <f ca="1">+WORLDCUP!BD62</f>
        <v>Curazao</v>
      </c>
      <c r="D400" s="9" t="str">
        <f ca="1">+WORLDCUP!BD67</f>
        <v>Argelia</v>
      </c>
      <c r="E400" s="9" t="str">
        <f ca="1">+WORLDCUP!BD59</f>
        <v>Catar</v>
      </c>
      <c r="F400" s="9" t="str">
        <f ca="1">+WORLDCUP!BD60</f>
        <v>Haití</v>
      </c>
      <c r="G400" s="9" t="str">
        <f ca="1">+WORLDCUP!BD58</f>
        <v>República Checa</v>
      </c>
      <c r="H400" s="9" t="str">
        <f ca="1">+WORLDCUP!BD64</f>
        <v>Egipto</v>
      </c>
      <c r="I400" s="9" t="str">
        <f ca="1">+WORLDCUP!BD66</f>
        <v>Senegal</v>
      </c>
      <c r="J400" s="9" t="str">
        <f ca="1">+WORLDCUP!BD68</f>
        <v>RD Congo</v>
      </c>
      <c r="N400" s="16" t="s">
        <v>1185</v>
      </c>
      <c r="O400" s="16">
        <v>399</v>
      </c>
      <c r="P400" s="16" t="s">
        <v>103</v>
      </c>
      <c r="Q400" s="16" t="s">
        <v>126</v>
      </c>
      <c r="R400" s="16" t="s">
        <v>90</v>
      </c>
      <c r="S400" s="16" t="s">
        <v>94</v>
      </c>
      <c r="T400" s="16" t="s">
        <v>85</v>
      </c>
      <c r="U400" s="16" t="s">
        <v>112</v>
      </c>
      <c r="V400" s="16" t="s">
        <v>121</v>
      </c>
      <c r="W400" s="16" t="s">
        <v>130</v>
      </c>
    </row>
    <row r="401" spans="1:23" x14ac:dyDescent="0.2">
      <c r="A401" s="9" t="s">
        <v>1186</v>
      </c>
      <c r="B401" s="9">
        <f ca="1">+IF(A401=WORLDCUP!$BI$112,1,0)</f>
        <v>0</v>
      </c>
      <c r="C401" s="9" t="str">
        <f ca="1">+WORLDCUP!BD62</f>
        <v>Curazao</v>
      </c>
      <c r="D401" s="9" t="str">
        <f ca="1">+WORLDCUP!BD64</f>
        <v>Egipto</v>
      </c>
      <c r="E401" s="9" t="str">
        <f ca="1">+WORLDCUP!BD59</f>
        <v>Catar</v>
      </c>
      <c r="F401" s="9" t="str">
        <f ca="1">+WORLDCUP!BD60</f>
        <v>Haití</v>
      </c>
      <c r="G401" s="9" t="str">
        <f ca="1">+WORLDCUP!BD58</f>
        <v>República Checa</v>
      </c>
      <c r="H401" s="9" t="str">
        <f ca="1">+WORLDCUP!BD65</f>
        <v>Arabia Saudita</v>
      </c>
      <c r="I401" s="9" t="str">
        <f ca="1">+WORLDCUP!BD69</f>
        <v>Ghana</v>
      </c>
      <c r="J401" s="9" t="str">
        <f ca="1">+WORLDCUP!BD68</f>
        <v>RD Congo</v>
      </c>
      <c r="N401" s="16" t="s">
        <v>1186</v>
      </c>
      <c r="O401" s="16">
        <v>400</v>
      </c>
      <c r="P401" s="16" t="s">
        <v>103</v>
      </c>
      <c r="Q401" s="16" t="s">
        <v>112</v>
      </c>
      <c r="R401" s="16" t="s">
        <v>90</v>
      </c>
      <c r="S401" s="16" t="s">
        <v>94</v>
      </c>
      <c r="T401" s="16" t="s">
        <v>85</v>
      </c>
      <c r="U401" s="16" t="s">
        <v>117</v>
      </c>
      <c r="V401" s="16" t="s">
        <v>135</v>
      </c>
      <c r="W401" s="16" t="s">
        <v>130</v>
      </c>
    </row>
    <row r="402" spans="1:23" x14ac:dyDescent="0.2">
      <c r="A402" s="9" t="s">
        <v>1187</v>
      </c>
      <c r="B402" s="9">
        <f ca="1">+IF(A402=WORLDCUP!$BI$112,1,0)</f>
        <v>0</v>
      </c>
      <c r="C402" s="9" t="str">
        <f ca="1">+WORLDCUP!BD65</f>
        <v>Arabia Saudita</v>
      </c>
      <c r="D402" s="9" t="str">
        <f ca="1">+WORLDCUP!BD67</f>
        <v>Argelia</v>
      </c>
      <c r="E402" s="9" t="str">
        <f ca="1">+WORLDCUP!BD59</f>
        <v>Catar</v>
      </c>
      <c r="F402" s="9" t="str">
        <f ca="1">+WORLDCUP!BD60</f>
        <v>Haití</v>
      </c>
      <c r="G402" s="9" t="str">
        <f ca="1">+WORLDCUP!BD58</f>
        <v>República Checa</v>
      </c>
      <c r="H402" s="9" t="str">
        <f ca="1">+WORLDCUP!BD64</f>
        <v>Egipto</v>
      </c>
      <c r="I402" s="9" t="str">
        <f ca="1">+WORLDCUP!BD69</f>
        <v>Ghana</v>
      </c>
      <c r="J402" s="9" t="str">
        <f ca="1">+WORLDCUP!BD62</f>
        <v>Curazao</v>
      </c>
      <c r="N402" s="16" t="s">
        <v>1187</v>
      </c>
      <c r="O402" s="16">
        <v>401</v>
      </c>
      <c r="P402" s="16" t="s">
        <v>117</v>
      </c>
      <c r="Q402" s="16" t="s">
        <v>126</v>
      </c>
      <c r="R402" s="16" t="s">
        <v>90</v>
      </c>
      <c r="S402" s="16" t="s">
        <v>94</v>
      </c>
      <c r="T402" s="16" t="s">
        <v>85</v>
      </c>
      <c r="U402" s="16" t="s">
        <v>112</v>
      </c>
      <c r="V402" s="16" t="s">
        <v>135</v>
      </c>
      <c r="W402" s="16" t="s">
        <v>103</v>
      </c>
    </row>
    <row r="403" spans="1:23" x14ac:dyDescent="0.2">
      <c r="A403" s="9" t="s">
        <v>1188</v>
      </c>
      <c r="B403" s="9">
        <f ca="1">+IF(A403=WORLDCUP!$BI$112,1,0)</f>
        <v>0</v>
      </c>
      <c r="C403" s="9" t="str">
        <f ca="1">+WORLDCUP!BD65</f>
        <v>Arabia Saudita</v>
      </c>
      <c r="D403" s="9" t="str">
        <f ca="1">+WORLDCUP!BD67</f>
        <v>Argelia</v>
      </c>
      <c r="E403" s="9" t="str">
        <f ca="1">+WORLDCUP!BD59</f>
        <v>Catar</v>
      </c>
      <c r="F403" s="9" t="str">
        <f ca="1">+WORLDCUP!BD60</f>
        <v>Haití</v>
      </c>
      <c r="G403" s="9" t="str">
        <f ca="1">+WORLDCUP!BD58</f>
        <v>República Checa</v>
      </c>
      <c r="H403" s="9" t="str">
        <f ca="1">+WORLDCUP!BD64</f>
        <v>Egipto</v>
      </c>
      <c r="I403" s="9" t="str">
        <f ca="1">+WORLDCUP!BD62</f>
        <v>Curazao</v>
      </c>
      <c r="J403" s="9" t="str">
        <f ca="1">+WORLDCUP!BD68</f>
        <v>RD Congo</v>
      </c>
      <c r="N403" s="16" t="s">
        <v>1188</v>
      </c>
      <c r="O403" s="16">
        <v>402</v>
      </c>
      <c r="P403" s="16" t="s">
        <v>117</v>
      </c>
      <c r="Q403" s="16" t="s">
        <v>126</v>
      </c>
      <c r="R403" s="16" t="s">
        <v>90</v>
      </c>
      <c r="S403" s="16" t="s">
        <v>94</v>
      </c>
      <c r="T403" s="16" t="s">
        <v>85</v>
      </c>
      <c r="U403" s="16" t="s">
        <v>112</v>
      </c>
      <c r="V403" s="16" t="s">
        <v>103</v>
      </c>
      <c r="W403" s="16" t="s">
        <v>130</v>
      </c>
    </row>
    <row r="404" spans="1:23" x14ac:dyDescent="0.2">
      <c r="A404" s="9" t="s">
        <v>1189</v>
      </c>
      <c r="B404" s="9">
        <f ca="1">+IF(A404=WORLDCUP!$BI$112,1,0)</f>
        <v>0</v>
      </c>
      <c r="C404" s="9" t="str">
        <f ca="1">+WORLDCUP!BD62</f>
        <v>Curazao</v>
      </c>
      <c r="D404" s="9" t="str">
        <f ca="1">+WORLDCUP!BD64</f>
        <v>Egipto</v>
      </c>
      <c r="E404" s="9" t="str">
        <f ca="1">+WORLDCUP!BD59</f>
        <v>Catar</v>
      </c>
      <c r="F404" s="9" t="str">
        <f ca="1">+WORLDCUP!BD60</f>
        <v>Haití</v>
      </c>
      <c r="G404" s="9" t="str">
        <f ca="1">+WORLDCUP!BD58</f>
        <v>República Checa</v>
      </c>
      <c r="H404" s="9" t="str">
        <f ca="1">+WORLDCUP!BD65</f>
        <v>Arabia Saudita</v>
      </c>
      <c r="I404" s="9" t="str">
        <f ca="1">+WORLDCUP!BD69</f>
        <v>Ghana</v>
      </c>
      <c r="J404" s="9" t="str">
        <f ca="1">+WORLDCUP!BD66</f>
        <v>Senegal</v>
      </c>
      <c r="N404" s="16" t="s">
        <v>1189</v>
      </c>
      <c r="O404" s="16">
        <v>403</v>
      </c>
      <c r="P404" s="16" t="s">
        <v>103</v>
      </c>
      <c r="Q404" s="16" t="s">
        <v>112</v>
      </c>
      <c r="R404" s="16" t="s">
        <v>90</v>
      </c>
      <c r="S404" s="16" t="s">
        <v>94</v>
      </c>
      <c r="T404" s="16" t="s">
        <v>85</v>
      </c>
      <c r="U404" s="16" t="s">
        <v>117</v>
      </c>
      <c r="V404" s="16" t="s">
        <v>135</v>
      </c>
      <c r="W404" s="16" t="s">
        <v>121</v>
      </c>
    </row>
    <row r="405" spans="1:23" x14ac:dyDescent="0.2">
      <c r="A405" s="9" t="s">
        <v>1190</v>
      </c>
      <c r="B405" s="9">
        <f ca="1">+IF(A405=WORLDCUP!$BI$112,1,0)</f>
        <v>0</v>
      </c>
      <c r="C405" s="9" t="str">
        <f ca="1">+WORLDCUP!BD62</f>
        <v>Curazao</v>
      </c>
      <c r="D405" s="9" t="str">
        <f ca="1">+WORLDCUP!BD64</f>
        <v>Egipto</v>
      </c>
      <c r="E405" s="9" t="str">
        <f ca="1">+WORLDCUP!BD59</f>
        <v>Catar</v>
      </c>
      <c r="F405" s="9" t="str">
        <f ca="1">+WORLDCUP!BD60</f>
        <v>Haití</v>
      </c>
      <c r="G405" s="9" t="str">
        <f ca="1">+WORLDCUP!BD58</f>
        <v>República Checa</v>
      </c>
      <c r="H405" s="9" t="str">
        <f ca="1">+WORLDCUP!BD65</f>
        <v>Arabia Saudita</v>
      </c>
      <c r="I405" s="9" t="str">
        <f ca="1">+WORLDCUP!BD66</f>
        <v>Senegal</v>
      </c>
      <c r="J405" s="9" t="str">
        <f ca="1">+WORLDCUP!BD68</f>
        <v>RD Congo</v>
      </c>
      <c r="N405" s="16" t="s">
        <v>1190</v>
      </c>
      <c r="O405" s="16">
        <v>404</v>
      </c>
      <c r="P405" s="16" t="s">
        <v>103</v>
      </c>
      <c r="Q405" s="16" t="s">
        <v>112</v>
      </c>
      <c r="R405" s="16" t="s">
        <v>90</v>
      </c>
      <c r="S405" s="16" t="s">
        <v>94</v>
      </c>
      <c r="T405" s="16" t="s">
        <v>85</v>
      </c>
      <c r="U405" s="16" t="s">
        <v>117</v>
      </c>
      <c r="V405" s="16" t="s">
        <v>121</v>
      </c>
      <c r="W405" s="16" t="s">
        <v>130</v>
      </c>
    </row>
    <row r="406" spans="1:23" x14ac:dyDescent="0.2">
      <c r="A406" s="9" t="s">
        <v>1191</v>
      </c>
      <c r="B406" s="9">
        <f ca="1">+IF(A406=WORLDCUP!$BI$112,1,0)</f>
        <v>0</v>
      </c>
      <c r="C406" s="9" t="str">
        <f ca="1">+WORLDCUP!BD65</f>
        <v>Arabia Saudita</v>
      </c>
      <c r="D406" s="9" t="str">
        <f ca="1">+WORLDCUP!BD67</f>
        <v>Argelia</v>
      </c>
      <c r="E406" s="9" t="str">
        <f ca="1">+WORLDCUP!BD59</f>
        <v>Catar</v>
      </c>
      <c r="F406" s="9" t="str">
        <f ca="1">+WORLDCUP!BD60</f>
        <v>Haití</v>
      </c>
      <c r="G406" s="9" t="str">
        <f ca="1">+WORLDCUP!BD58</f>
        <v>República Checa</v>
      </c>
      <c r="H406" s="9" t="str">
        <f ca="1">+WORLDCUP!BD64</f>
        <v>Egipto</v>
      </c>
      <c r="I406" s="9" t="str">
        <f ca="1">+WORLDCUP!BD62</f>
        <v>Curazao</v>
      </c>
      <c r="J406" s="9" t="str">
        <f ca="1">+WORLDCUP!BD66</f>
        <v>Senegal</v>
      </c>
      <c r="N406" s="16" t="s">
        <v>1191</v>
      </c>
      <c r="O406" s="16">
        <v>405</v>
      </c>
      <c r="P406" s="16" t="s">
        <v>117</v>
      </c>
      <c r="Q406" s="16" t="s">
        <v>126</v>
      </c>
      <c r="R406" s="16" t="s">
        <v>90</v>
      </c>
      <c r="S406" s="16" t="s">
        <v>94</v>
      </c>
      <c r="T406" s="16" t="s">
        <v>85</v>
      </c>
      <c r="U406" s="16" t="s">
        <v>112</v>
      </c>
      <c r="V406" s="16" t="s">
        <v>103</v>
      </c>
      <c r="W406" s="16" t="s">
        <v>121</v>
      </c>
    </row>
    <row r="407" spans="1:23" x14ac:dyDescent="0.2">
      <c r="A407" s="9" t="s">
        <v>1192</v>
      </c>
      <c r="B407" s="9">
        <f ca="1">+IF(A407=WORLDCUP!$BI$112,1,0)</f>
        <v>0</v>
      </c>
      <c r="C407" s="9" t="str">
        <f ca="1">+WORLDCUP!BD62</f>
        <v>Curazao</v>
      </c>
      <c r="D407" s="9" t="str">
        <f ca="1">+WORLDCUP!BD67</f>
        <v>Argelia</v>
      </c>
      <c r="E407" s="9" t="str">
        <f ca="1">+WORLDCUP!BD59</f>
        <v>Catar</v>
      </c>
      <c r="F407" s="9" t="str">
        <f ca="1">+WORLDCUP!BD60</f>
        <v>Haití</v>
      </c>
      <c r="G407" s="9" t="str">
        <f ca="1">+WORLDCUP!BD58</f>
        <v>República Checa</v>
      </c>
      <c r="H407" s="9" t="str">
        <f ca="1">+WORLDCUP!BD63</f>
        <v>Suecia</v>
      </c>
      <c r="I407" s="9" t="str">
        <f ca="1">+WORLDCUP!BD69</f>
        <v>Ghana</v>
      </c>
      <c r="J407" s="9" t="str">
        <f ca="1">+WORLDCUP!BD68</f>
        <v>RD Congo</v>
      </c>
      <c r="N407" s="16" t="s">
        <v>1192</v>
      </c>
      <c r="O407" s="16">
        <v>406</v>
      </c>
      <c r="P407" s="16" t="s">
        <v>103</v>
      </c>
      <c r="Q407" s="16" t="s">
        <v>126</v>
      </c>
      <c r="R407" s="16" t="s">
        <v>90</v>
      </c>
      <c r="S407" s="16" t="s">
        <v>94</v>
      </c>
      <c r="T407" s="16" t="s">
        <v>85</v>
      </c>
      <c r="U407" s="16" t="s">
        <v>108</v>
      </c>
      <c r="V407" s="16" t="s">
        <v>135</v>
      </c>
      <c r="W407" s="16" t="s">
        <v>130</v>
      </c>
    </row>
    <row r="408" spans="1:23" x14ac:dyDescent="0.2">
      <c r="A408" s="9" t="s">
        <v>1193</v>
      </c>
      <c r="B408" s="9">
        <f ca="1">+IF(A408=WORLDCUP!$BI$112,1,0)</f>
        <v>0</v>
      </c>
      <c r="C408" s="9" t="str">
        <f ca="1">+WORLDCUP!BD62</f>
        <v>Curazao</v>
      </c>
      <c r="D408" s="9" t="str">
        <f ca="1">+WORLDCUP!BD66</f>
        <v>Senegal</v>
      </c>
      <c r="E408" s="9" t="str">
        <f ca="1">+WORLDCUP!BD59</f>
        <v>Catar</v>
      </c>
      <c r="F408" s="9" t="str">
        <f ca="1">+WORLDCUP!BD60</f>
        <v>Haití</v>
      </c>
      <c r="G408" s="9" t="str">
        <f ca="1">+WORLDCUP!BD58</f>
        <v>República Checa</v>
      </c>
      <c r="H408" s="9" t="str">
        <f ca="1">+WORLDCUP!BD63</f>
        <v>Suecia</v>
      </c>
      <c r="I408" s="9" t="str">
        <f ca="1">+WORLDCUP!BD69</f>
        <v>Ghana</v>
      </c>
      <c r="J408" s="9" t="str">
        <f ca="1">+WORLDCUP!BD68</f>
        <v>RD Congo</v>
      </c>
      <c r="N408" s="16" t="s">
        <v>1193</v>
      </c>
      <c r="O408" s="16">
        <v>407</v>
      </c>
      <c r="P408" s="16" t="s">
        <v>103</v>
      </c>
      <c r="Q408" s="16" t="s">
        <v>121</v>
      </c>
      <c r="R408" s="16" t="s">
        <v>90</v>
      </c>
      <c r="S408" s="16" t="s">
        <v>94</v>
      </c>
      <c r="T408" s="16" t="s">
        <v>85</v>
      </c>
      <c r="U408" s="16" t="s">
        <v>108</v>
      </c>
      <c r="V408" s="16" t="s">
        <v>135</v>
      </c>
      <c r="W408" s="16" t="s">
        <v>130</v>
      </c>
    </row>
    <row r="409" spans="1:23" x14ac:dyDescent="0.2">
      <c r="A409" s="9" t="s">
        <v>1194</v>
      </c>
      <c r="B409" s="9">
        <f ca="1">+IF(A409=WORLDCUP!$BI$112,1,0)</f>
        <v>0</v>
      </c>
      <c r="C409" s="9" t="str">
        <f ca="1">+WORLDCUP!BD62</f>
        <v>Curazao</v>
      </c>
      <c r="D409" s="9" t="str">
        <f ca="1">+WORLDCUP!BD67</f>
        <v>Argelia</v>
      </c>
      <c r="E409" s="9" t="str">
        <f ca="1">+WORLDCUP!BD59</f>
        <v>Catar</v>
      </c>
      <c r="F409" s="9" t="str">
        <f ca="1">+WORLDCUP!BD60</f>
        <v>Haití</v>
      </c>
      <c r="G409" s="9" t="str">
        <f ca="1">+WORLDCUP!BD58</f>
        <v>República Checa</v>
      </c>
      <c r="H409" s="9" t="str">
        <f ca="1">+WORLDCUP!BD63</f>
        <v>Suecia</v>
      </c>
      <c r="I409" s="9" t="str">
        <f ca="1">+WORLDCUP!BD69</f>
        <v>Ghana</v>
      </c>
      <c r="J409" s="9" t="str">
        <f ca="1">+WORLDCUP!BD66</f>
        <v>Senegal</v>
      </c>
      <c r="N409" s="16" t="s">
        <v>1194</v>
      </c>
      <c r="O409" s="16">
        <v>408</v>
      </c>
      <c r="P409" s="16" t="s">
        <v>103</v>
      </c>
      <c r="Q409" s="16" t="s">
        <v>126</v>
      </c>
      <c r="R409" s="16" t="s">
        <v>90</v>
      </c>
      <c r="S409" s="16" t="s">
        <v>94</v>
      </c>
      <c r="T409" s="16" t="s">
        <v>85</v>
      </c>
      <c r="U409" s="16" t="s">
        <v>108</v>
      </c>
      <c r="V409" s="16" t="s">
        <v>135</v>
      </c>
      <c r="W409" s="16" t="s">
        <v>121</v>
      </c>
    </row>
    <row r="410" spans="1:23" x14ac:dyDescent="0.2">
      <c r="A410" s="9" t="s">
        <v>1195</v>
      </c>
      <c r="B410" s="9">
        <f ca="1">+IF(A410=WORLDCUP!$BI$112,1,0)</f>
        <v>0</v>
      </c>
      <c r="C410" s="9" t="str">
        <f ca="1">+WORLDCUP!BD62</f>
        <v>Curazao</v>
      </c>
      <c r="D410" s="9" t="str">
        <f ca="1">+WORLDCUP!BD67</f>
        <v>Argelia</v>
      </c>
      <c r="E410" s="9" t="str">
        <f ca="1">+WORLDCUP!BD59</f>
        <v>Catar</v>
      </c>
      <c r="F410" s="9" t="str">
        <f ca="1">+WORLDCUP!BD60</f>
        <v>Haití</v>
      </c>
      <c r="G410" s="9" t="str">
        <f ca="1">+WORLDCUP!BD58</f>
        <v>República Checa</v>
      </c>
      <c r="H410" s="9" t="str">
        <f ca="1">+WORLDCUP!BD63</f>
        <v>Suecia</v>
      </c>
      <c r="I410" s="9" t="str">
        <f ca="1">+WORLDCUP!BD66</f>
        <v>Senegal</v>
      </c>
      <c r="J410" s="9" t="str">
        <f ca="1">+WORLDCUP!BD68</f>
        <v>RD Congo</v>
      </c>
      <c r="N410" s="16" t="s">
        <v>1195</v>
      </c>
      <c r="O410" s="16">
        <v>409</v>
      </c>
      <c r="P410" s="16" t="s">
        <v>103</v>
      </c>
      <c r="Q410" s="16" t="s">
        <v>126</v>
      </c>
      <c r="R410" s="16" t="s">
        <v>90</v>
      </c>
      <c r="S410" s="16" t="s">
        <v>94</v>
      </c>
      <c r="T410" s="16" t="s">
        <v>85</v>
      </c>
      <c r="U410" s="16" t="s">
        <v>108</v>
      </c>
      <c r="V410" s="16" t="s">
        <v>121</v>
      </c>
      <c r="W410" s="16" t="s">
        <v>130</v>
      </c>
    </row>
    <row r="411" spans="1:23" x14ac:dyDescent="0.2">
      <c r="A411" s="9" t="s">
        <v>1196</v>
      </c>
      <c r="B411" s="9">
        <f ca="1">+IF(A411=WORLDCUP!$BI$112,1,0)</f>
        <v>0</v>
      </c>
      <c r="C411" s="9" t="str">
        <f ca="1">+WORLDCUP!BD65</f>
        <v>Arabia Saudita</v>
      </c>
      <c r="D411" s="9" t="str">
        <f ca="1">+WORLDCUP!BD62</f>
        <v>Curazao</v>
      </c>
      <c r="E411" s="9" t="str">
        <f ca="1">+WORLDCUP!BD59</f>
        <v>Catar</v>
      </c>
      <c r="F411" s="9" t="str">
        <f ca="1">+WORLDCUP!BD60</f>
        <v>Haití</v>
      </c>
      <c r="G411" s="9" t="str">
        <f ca="1">+WORLDCUP!BD58</f>
        <v>República Checa</v>
      </c>
      <c r="H411" s="9" t="str">
        <f ca="1">+WORLDCUP!BD63</f>
        <v>Suecia</v>
      </c>
      <c r="I411" s="9" t="str">
        <f ca="1">+WORLDCUP!BD69</f>
        <v>Ghana</v>
      </c>
      <c r="J411" s="9" t="str">
        <f ca="1">+WORLDCUP!BD68</f>
        <v>RD Congo</v>
      </c>
      <c r="N411" s="16" t="s">
        <v>1196</v>
      </c>
      <c r="O411" s="16">
        <v>410</v>
      </c>
      <c r="P411" s="16" t="s">
        <v>117</v>
      </c>
      <c r="Q411" s="16" t="s">
        <v>103</v>
      </c>
      <c r="R411" s="16" t="s">
        <v>90</v>
      </c>
      <c r="S411" s="16" t="s">
        <v>94</v>
      </c>
      <c r="T411" s="16" t="s">
        <v>85</v>
      </c>
      <c r="U411" s="16" t="s">
        <v>108</v>
      </c>
      <c r="V411" s="16" t="s">
        <v>135</v>
      </c>
      <c r="W411" s="16" t="s">
        <v>130</v>
      </c>
    </row>
    <row r="412" spans="1:23" x14ac:dyDescent="0.2">
      <c r="A412" s="9" t="s">
        <v>1197</v>
      </c>
      <c r="B412" s="9">
        <f ca="1">+IF(A412=WORLDCUP!$BI$112,1,0)</f>
        <v>0</v>
      </c>
      <c r="C412" s="9" t="str">
        <f ca="1">+WORLDCUP!BD65</f>
        <v>Arabia Saudita</v>
      </c>
      <c r="D412" s="9" t="str">
        <f ca="1">+WORLDCUP!BD67</f>
        <v>Argelia</v>
      </c>
      <c r="E412" s="9" t="str">
        <f ca="1">+WORLDCUP!BD59</f>
        <v>Catar</v>
      </c>
      <c r="F412" s="9" t="str">
        <f ca="1">+WORLDCUP!BD60</f>
        <v>Haití</v>
      </c>
      <c r="G412" s="9" t="str">
        <f ca="1">+WORLDCUP!BD58</f>
        <v>República Checa</v>
      </c>
      <c r="H412" s="9" t="str">
        <f ca="1">+WORLDCUP!BD63</f>
        <v>Suecia</v>
      </c>
      <c r="I412" s="9" t="str">
        <f ca="1">+WORLDCUP!BD69</f>
        <v>Ghana</v>
      </c>
      <c r="J412" s="9" t="str">
        <f ca="1">+WORLDCUP!BD62</f>
        <v>Curazao</v>
      </c>
      <c r="N412" s="16" t="s">
        <v>1197</v>
      </c>
      <c r="O412" s="16">
        <v>411</v>
      </c>
      <c r="P412" s="16" t="s">
        <v>117</v>
      </c>
      <c r="Q412" s="16" t="s">
        <v>126</v>
      </c>
      <c r="R412" s="16" t="s">
        <v>90</v>
      </c>
      <c r="S412" s="16" t="s">
        <v>94</v>
      </c>
      <c r="T412" s="16" t="s">
        <v>85</v>
      </c>
      <c r="U412" s="16" t="s">
        <v>108</v>
      </c>
      <c r="V412" s="16" t="s">
        <v>135</v>
      </c>
      <c r="W412" s="16" t="s">
        <v>103</v>
      </c>
    </row>
    <row r="413" spans="1:23" x14ac:dyDescent="0.2">
      <c r="A413" s="9" t="s">
        <v>1198</v>
      </c>
      <c r="B413" s="9">
        <f ca="1">+IF(A413=WORLDCUP!$BI$112,1,0)</f>
        <v>0</v>
      </c>
      <c r="C413" s="9" t="str">
        <f ca="1">+WORLDCUP!BD65</f>
        <v>Arabia Saudita</v>
      </c>
      <c r="D413" s="9" t="str">
        <f ca="1">+WORLDCUP!BD67</f>
        <v>Argelia</v>
      </c>
      <c r="E413" s="9" t="str">
        <f ca="1">+WORLDCUP!BD59</f>
        <v>Catar</v>
      </c>
      <c r="F413" s="9" t="str">
        <f ca="1">+WORLDCUP!BD60</f>
        <v>Haití</v>
      </c>
      <c r="G413" s="9" t="str">
        <f ca="1">+WORLDCUP!BD58</f>
        <v>República Checa</v>
      </c>
      <c r="H413" s="9" t="str">
        <f ca="1">+WORLDCUP!BD63</f>
        <v>Suecia</v>
      </c>
      <c r="I413" s="9" t="str">
        <f ca="1">+WORLDCUP!BD62</f>
        <v>Curazao</v>
      </c>
      <c r="J413" s="9" t="str">
        <f ca="1">+WORLDCUP!BD68</f>
        <v>RD Congo</v>
      </c>
      <c r="N413" s="16" t="s">
        <v>1198</v>
      </c>
      <c r="O413" s="16">
        <v>412</v>
      </c>
      <c r="P413" s="16" t="s">
        <v>117</v>
      </c>
      <c r="Q413" s="16" t="s">
        <v>126</v>
      </c>
      <c r="R413" s="16" t="s">
        <v>90</v>
      </c>
      <c r="S413" s="16" t="s">
        <v>94</v>
      </c>
      <c r="T413" s="16" t="s">
        <v>85</v>
      </c>
      <c r="U413" s="16" t="s">
        <v>108</v>
      </c>
      <c r="V413" s="16" t="s">
        <v>103</v>
      </c>
      <c r="W413" s="16" t="s">
        <v>130</v>
      </c>
    </row>
    <row r="414" spans="1:23" x14ac:dyDescent="0.2">
      <c r="A414" s="9" t="s">
        <v>1199</v>
      </c>
      <c r="B414" s="9">
        <f ca="1">+IF(A414=WORLDCUP!$BI$112,1,0)</f>
        <v>0</v>
      </c>
      <c r="C414" s="9" t="str">
        <f ca="1">+WORLDCUP!BD65</f>
        <v>Arabia Saudita</v>
      </c>
      <c r="D414" s="9" t="str">
        <f ca="1">+WORLDCUP!BD62</f>
        <v>Curazao</v>
      </c>
      <c r="E414" s="9" t="str">
        <f ca="1">+WORLDCUP!BD59</f>
        <v>Catar</v>
      </c>
      <c r="F414" s="9" t="str">
        <f ca="1">+WORLDCUP!BD60</f>
        <v>Haití</v>
      </c>
      <c r="G414" s="9" t="str">
        <f ca="1">+WORLDCUP!BD58</f>
        <v>República Checa</v>
      </c>
      <c r="H414" s="9" t="str">
        <f ca="1">+WORLDCUP!BD63</f>
        <v>Suecia</v>
      </c>
      <c r="I414" s="9" t="str">
        <f ca="1">+WORLDCUP!BD69</f>
        <v>Ghana</v>
      </c>
      <c r="J414" s="9" t="str">
        <f ca="1">+WORLDCUP!BD66</f>
        <v>Senegal</v>
      </c>
      <c r="N414" s="16" t="s">
        <v>1199</v>
      </c>
      <c r="O414" s="16">
        <v>413</v>
      </c>
      <c r="P414" s="16" t="s">
        <v>117</v>
      </c>
      <c r="Q414" s="16" t="s">
        <v>103</v>
      </c>
      <c r="R414" s="16" t="s">
        <v>90</v>
      </c>
      <c r="S414" s="16" t="s">
        <v>94</v>
      </c>
      <c r="T414" s="16" t="s">
        <v>85</v>
      </c>
      <c r="U414" s="16" t="s">
        <v>108</v>
      </c>
      <c r="V414" s="16" t="s">
        <v>135</v>
      </c>
      <c r="W414" s="16" t="s">
        <v>121</v>
      </c>
    </row>
    <row r="415" spans="1:23" x14ac:dyDescent="0.2">
      <c r="A415" s="9" t="s">
        <v>1200</v>
      </c>
      <c r="B415" s="9">
        <f ca="1">+IF(A415=WORLDCUP!$BI$112,1,0)</f>
        <v>0</v>
      </c>
      <c r="C415" s="9" t="str">
        <f ca="1">+WORLDCUP!BD65</f>
        <v>Arabia Saudita</v>
      </c>
      <c r="D415" s="9" t="str">
        <f ca="1">+WORLDCUP!BD62</f>
        <v>Curazao</v>
      </c>
      <c r="E415" s="9" t="str">
        <f ca="1">+WORLDCUP!BD59</f>
        <v>Catar</v>
      </c>
      <c r="F415" s="9" t="str">
        <f ca="1">+WORLDCUP!BD60</f>
        <v>Haití</v>
      </c>
      <c r="G415" s="9" t="str">
        <f ca="1">+WORLDCUP!BD58</f>
        <v>República Checa</v>
      </c>
      <c r="H415" s="9" t="str">
        <f ca="1">+WORLDCUP!BD63</f>
        <v>Suecia</v>
      </c>
      <c r="I415" s="9" t="str">
        <f ca="1">+WORLDCUP!BD66</f>
        <v>Senegal</v>
      </c>
      <c r="J415" s="9" t="str">
        <f ca="1">+WORLDCUP!BD68</f>
        <v>RD Congo</v>
      </c>
      <c r="N415" s="16" t="s">
        <v>1200</v>
      </c>
      <c r="O415" s="16">
        <v>414</v>
      </c>
      <c r="P415" s="16" t="s">
        <v>117</v>
      </c>
      <c r="Q415" s="16" t="s">
        <v>103</v>
      </c>
      <c r="R415" s="16" t="s">
        <v>90</v>
      </c>
      <c r="S415" s="16" t="s">
        <v>94</v>
      </c>
      <c r="T415" s="16" t="s">
        <v>85</v>
      </c>
      <c r="U415" s="16" t="s">
        <v>108</v>
      </c>
      <c r="V415" s="16" t="s">
        <v>121</v>
      </c>
      <c r="W415" s="16" t="s">
        <v>130</v>
      </c>
    </row>
    <row r="416" spans="1:23" x14ac:dyDescent="0.2">
      <c r="A416" s="9" t="s">
        <v>1201</v>
      </c>
      <c r="B416" s="9">
        <f ca="1">+IF(A416=WORLDCUP!$BI$112,1,0)</f>
        <v>0</v>
      </c>
      <c r="C416" s="9" t="str">
        <f ca="1">+WORLDCUP!BD65</f>
        <v>Arabia Saudita</v>
      </c>
      <c r="D416" s="9" t="str">
        <f ca="1">+WORLDCUP!BD67</f>
        <v>Argelia</v>
      </c>
      <c r="E416" s="9" t="str">
        <f ca="1">+WORLDCUP!BD59</f>
        <v>Catar</v>
      </c>
      <c r="F416" s="9" t="str">
        <f ca="1">+WORLDCUP!BD60</f>
        <v>Haití</v>
      </c>
      <c r="G416" s="9" t="str">
        <f ca="1">+WORLDCUP!BD58</f>
        <v>República Checa</v>
      </c>
      <c r="H416" s="9" t="str">
        <f ca="1">+WORLDCUP!BD63</f>
        <v>Suecia</v>
      </c>
      <c r="I416" s="9" t="str">
        <f ca="1">+WORLDCUP!BD62</f>
        <v>Curazao</v>
      </c>
      <c r="J416" s="9" t="str">
        <f ca="1">+WORLDCUP!BD66</f>
        <v>Senegal</v>
      </c>
      <c r="N416" s="16" t="s">
        <v>1201</v>
      </c>
      <c r="O416" s="16">
        <v>415</v>
      </c>
      <c r="P416" s="16" t="s">
        <v>117</v>
      </c>
      <c r="Q416" s="16" t="s">
        <v>126</v>
      </c>
      <c r="R416" s="16" t="s">
        <v>90</v>
      </c>
      <c r="S416" s="16" t="s">
        <v>94</v>
      </c>
      <c r="T416" s="16" t="s">
        <v>85</v>
      </c>
      <c r="U416" s="16" t="s">
        <v>108</v>
      </c>
      <c r="V416" s="16" t="s">
        <v>103</v>
      </c>
      <c r="W416" s="16" t="s">
        <v>121</v>
      </c>
    </row>
    <row r="417" spans="1:23" x14ac:dyDescent="0.2">
      <c r="A417" s="9" t="s">
        <v>1202</v>
      </c>
      <c r="B417" s="9">
        <f ca="1">+IF(A417=WORLDCUP!$BI$112,1,0)</f>
        <v>0</v>
      </c>
      <c r="C417" s="9" t="str">
        <f ca="1">+WORLDCUP!BD62</f>
        <v>Curazao</v>
      </c>
      <c r="D417" s="9" t="str">
        <f ca="1">+WORLDCUP!BD64</f>
        <v>Egipto</v>
      </c>
      <c r="E417" s="9" t="str">
        <f ca="1">+WORLDCUP!BD59</f>
        <v>Catar</v>
      </c>
      <c r="F417" s="9" t="str">
        <f ca="1">+WORLDCUP!BD60</f>
        <v>Haití</v>
      </c>
      <c r="G417" s="9" t="str">
        <f ca="1">+WORLDCUP!BD58</f>
        <v>República Checa</v>
      </c>
      <c r="H417" s="9" t="str">
        <f ca="1">+WORLDCUP!BD63</f>
        <v>Suecia</v>
      </c>
      <c r="I417" s="9" t="str">
        <f ca="1">+WORLDCUP!BD69</f>
        <v>Ghana</v>
      </c>
      <c r="J417" s="9" t="str">
        <f ca="1">+WORLDCUP!BD68</f>
        <v>RD Congo</v>
      </c>
      <c r="N417" s="16" t="s">
        <v>1202</v>
      </c>
      <c r="O417" s="16">
        <v>416</v>
      </c>
      <c r="P417" s="16" t="s">
        <v>103</v>
      </c>
      <c r="Q417" s="16" t="s">
        <v>112</v>
      </c>
      <c r="R417" s="16" t="s">
        <v>90</v>
      </c>
      <c r="S417" s="16" t="s">
        <v>94</v>
      </c>
      <c r="T417" s="16" t="s">
        <v>85</v>
      </c>
      <c r="U417" s="16" t="s">
        <v>108</v>
      </c>
      <c r="V417" s="16" t="s">
        <v>135</v>
      </c>
      <c r="W417" s="16" t="s">
        <v>130</v>
      </c>
    </row>
    <row r="418" spans="1:23" x14ac:dyDescent="0.2">
      <c r="A418" s="9" t="s">
        <v>1203</v>
      </c>
      <c r="B418" s="9">
        <f ca="1">+IF(A418=WORLDCUP!$BI$112,1,0)</f>
        <v>0</v>
      </c>
      <c r="C418" s="9" t="str">
        <f ca="1">+WORLDCUP!BD62</f>
        <v>Curazao</v>
      </c>
      <c r="D418" s="9" t="str">
        <f ca="1">+WORLDCUP!BD64</f>
        <v>Egipto</v>
      </c>
      <c r="E418" s="9" t="str">
        <f ca="1">+WORLDCUP!BD59</f>
        <v>Catar</v>
      </c>
      <c r="F418" s="9" t="str">
        <f ca="1">+WORLDCUP!BD60</f>
        <v>Haití</v>
      </c>
      <c r="G418" s="9" t="str">
        <f ca="1">+WORLDCUP!BD58</f>
        <v>República Checa</v>
      </c>
      <c r="H418" s="9" t="str">
        <f ca="1">+WORLDCUP!BD63</f>
        <v>Suecia</v>
      </c>
      <c r="I418" s="9" t="str">
        <f ca="1">+WORLDCUP!BD69</f>
        <v>Ghana</v>
      </c>
      <c r="J418" s="9" t="str">
        <f ca="1">+WORLDCUP!BD67</f>
        <v>Argelia</v>
      </c>
      <c r="N418" s="16" t="s">
        <v>1203</v>
      </c>
      <c r="O418" s="16">
        <v>417</v>
      </c>
      <c r="P418" s="16" t="s">
        <v>103</v>
      </c>
      <c r="Q418" s="16" t="s">
        <v>112</v>
      </c>
      <c r="R418" s="16" t="s">
        <v>90</v>
      </c>
      <c r="S418" s="16" t="s">
        <v>94</v>
      </c>
      <c r="T418" s="16" t="s">
        <v>85</v>
      </c>
      <c r="U418" s="16" t="s">
        <v>108</v>
      </c>
      <c r="V418" s="16" t="s">
        <v>135</v>
      </c>
      <c r="W418" s="16" t="s">
        <v>126</v>
      </c>
    </row>
    <row r="419" spans="1:23" x14ac:dyDescent="0.2">
      <c r="A419" s="9" t="s">
        <v>1204</v>
      </c>
      <c r="B419" s="9">
        <f ca="1">+IF(A419=WORLDCUP!$BI$112,1,0)</f>
        <v>0</v>
      </c>
      <c r="C419" s="9" t="str">
        <f ca="1">+WORLDCUP!BD62</f>
        <v>Curazao</v>
      </c>
      <c r="D419" s="9" t="str">
        <f ca="1">+WORLDCUP!BD64</f>
        <v>Egipto</v>
      </c>
      <c r="E419" s="9" t="str">
        <f ca="1">+WORLDCUP!BD59</f>
        <v>Catar</v>
      </c>
      <c r="F419" s="9" t="str">
        <f ca="1">+WORLDCUP!BD60</f>
        <v>Haití</v>
      </c>
      <c r="G419" s="9" t="str">
        <f ca="1">+WORLDCUP!BD58</f>
        <v>República Checa</v>
      </c>
      <c r="H419" s="9" t="str">
        <f ca="1">+WORLDCUP!BD63</f>
        <v>Suecia</v>
      </c>
      <c r="I419" s="9" t="str">
        <f ca="1">+WORLDCUP!BD67</f>
        <v>Argelia</v>
      </c>
      <c r="J419" s="9" t="str">
        <f ca="1">+WORLDCUP!BD68</f>
        <v>RD Congo</v>
      </c>
      <c r="N419" s="16" t="s">
        <v>1204</v>
      </c>
      <c r="O419" s="16">
        <v>418</v>
      </c>
      <c r="P419" s="16" t="s">
        <v>103</v>
      </c>
      <c r="Q419" s="16" t="s">
        <v>112</v>
      </c>
      <c r="R419" s="16" t="s">
        <v>90</v>
      </c>
      <c r="S419" s="16" t="s">
        <v>94</v>
      </c>
      <c r="T419" s="16" t="s">
        <v>85</v>
      </c>
      <c r="U419" s="16" t="s">
        <v>108</v>
      </c>
      <c r="V419" s="16" t="s">
        <v>126</v>
      </c>
      <c r="W419" s="16" t="s">
        <v>130</v>
      </c>
    </row>
    <row r="420" spans="1:23" x14ac:dyDescent="0.2">
      <c r="A420" s="9" t="s">
        <v>1205</v>
      </c>
      <c r="B420" s="9">
        <f ca="1">+IF(A420=WORLDCUP!$BI$112,1,0)</f>
        <v>0</v>
      </c>
      <c r="C420" s="9" t="str">
        <f ca="1">+WORLDCUP!BD62</f>
        <v>Curazao</v>
      </c>
      <c r="D420" s="9" t="str">
        <f ca="1">+WORLDCUP!BD64</f>
        <v>Egipto</v>
      </c>
      <c r="E420" s="9" t="str">
        <f ca="1">+WORLDCUP!BD59</f>
        <v>Catar</v>
      </c>
      <c r="F420" s="9" t="str">
        <f ca="1">+WORLDCUP!BD60</f>
        <v>Haití</v>
      </c>
      <c r="G420" s="9" t="str">
        <f ca="1">+WORLDCUP!BD58</f>
        <v>República Checa</v>
      </c>
      <c r="H420" s="9" t="str">
        <f ca="1">+WORLDCUP!BD63</f>
        <v>Suecia</v>
      </c>
      <c r="I420" s="9" t="str">
        <f ca="1">+WORLDCUP!BD69</f>
        <v>Ghana</v>
      </c>
      <c r="J420" s="9" t="str">
        <f ca="1">+WORLDCUP!BD66</f>
        <v>Senegal</v>
      </c>
      <c r="N420" s="16" t="s">
        <v>1205</v>
      </c>
      <c r="O420" s="16">
        <v>419</v>
      </c>
      <c r="P420" s="16" t="s">
        <v>103</v>
      </c>
      <c r="Q420" s="16" t="s">
        <v>112</v>
      </c>
      <c r="R420" s="16" t="s">
        <v>90</v>
      </c>
      <c r="S420" s="16" t="s">
        <v>94</v>
      </c>
      <c r="T420" s="16" t="s">
        <v>85</v>
      </c>
      <c r="U420" s="16" t="s">
        <v>108</v>
      </c>
      <c r="V420" s="16" t="s">
        <v>135</v>
      </c>
      <c r="W420" s="16" t="s">
        <v>121</v>
      </c>
    </row>
    <row r="421" spans="1:23" x14ac:dyDescent="0.2">
      <c r="A421" s="9" t="s">
        <v>1206</v>
      </c>
      <c r="B421" s="9">
        <f ca="1">+IF(A421=WORLDCUP!$BI$112,1,0)</f>
        <v>0</v>
      </c>
      <c r="C421" s="9" t="str">
        <f ca="1">+WORLDCUP!BD62</f>
        <v>Curazao</v>
      </c>
      <c r="D421" s="9" t="str">
        <f ca="1">+WORLDCUP!BD64</f>
        <v>Egipto</v>
      </c>
      <c r="E421" s="9" t="str">
        <f ca="1">+WORLDCUP!BD59</f>
        <v>Catar</v>
      </c>
      <c r="F421" s="9" t="str">
        <f ca="1">+WORLDCUP!BD60</f>
        <v>Haití</v>
      </c>
      <c r="G421" s="9" t="str">
        <f ca="1">+WORLDCUP!BD58</f>
        <v>República Checa</v>
      </c>
      <c r="H421" s="9" t="str">
        <f ca="1">+WORLDCUP!BD63</f>
        <v>Suecia</v>
      </c>
      <c r="I421" s="9" t="str">
        <f ca="1">+WORLDCUP!BD66</f>
        <v>Senegal</v>
      </c>
      <c r="J421" s="9" t="str">
        <f ca="1">+WORLDCUP!BD68</f>
        <v>RD Congo</v>
      </c>
      <c r="N421" s="16" t="s">
        <v>1206</v>
      </c>
      <c r="O421" s="16">
        <v>420</v>
      </c>
      <c r="P421" s="16" t="s">
        <v>103</v>
      </c>
      <c r="Q421" s="16" t="s">
        <v>112</v>
      </c>
      <c r="R421" s="16" t="s">
        <v>90</v>
      </c>
      <c r="S421" s="16" t="s">
        <v>94</v>
      </c>
      <c r="T421" s="16" t="s">
        <v>85</v>
      </c>
      <c r="U421" s="16" t="s">
        <v>108</v>
      </c>
      <c r="V421" s="16" t="s">
        <v>121</v>
      </c>
      <c r="W421" s="16" t="s">
        <v>130</v>
      </c>
    </row>
    <row r="422" spans="1:23" x14ac:dyDescent="0.2">
      <c r="A422" s="9" t="s">
        <v>1207</v>
      </c>
      <c r="B422" s="9">
        <f ca="1">+IF(A422=WORLDCUP!$BI$112,1,0)</f>
        <v>0</v>
      </c>
      <c r="C422" s="9" t="str">
        <f ca="1">+WORLDCUP!BD62</f>
        <v>Curazao</v>
      </c>
      <c r="D422" s="9" t="str">
        <f ca="1">+WORLDCUP!BD64</f>
        <v>Egipto</v>
      </c>
      <c r="E422" s="9" t="str">
        <f ca="1">+WORLDCUP!BD59</f>
        <v>Catar</v>
      </c>
      <c r="F422" s="9" t="str">
        <f ca="1">+WORLDCUP!BD60</f>
        <v>Haití</v>
      </c>
      <c r="G422" s="9" t="str">
        <f ca="1">+WORLDCUP!BD58</f>
        <v>República Checa</v>
      </c>
      <c r="H422" s="9" t="str">
        <f ca="1">+WORLDCUP!BD63</f>
        <v>Suecia</v>
      </c>
      <c r="I422" s="9" t="str">
        <f ca="1">+WORLDCUP!BD66</f>
        <v>Senegal</v>
      </c>
      <c r="J422" s="9" t="str">
        <f ca="1">+WORLDCUP!BD67</f>
        <v>Argelia</v>
      </c>
      <c r="N422" s="16" t="s">
        <v>1207</v>
      </c>
      <c r="O422" s="16">
        <v>421</v>
      </c>
      <c r="P422" s="16" t="s">
        <v>103</v>
      </c>
      <c r="Q422" s="16" t="s">
        <v>112</v>
      </c>
      <c r="R422" s="16" t="s">
        <v>90</v>
      </c>
      <c r="S422" s="16" t="s">
        <v>94</v>
      </c>
      <c r="T422" s="16" t="s">
        <v>85</v>
      </c>
      <c r="U422" s="16" t="s">
        <v>108</v>
      </c>
      <c r="V422" s="16" t="s">
        <v>121</v>
      </c>
      <c r="W422" s="16" t="s">
        <v>126</v>
      </c>
    </row>
    <row r="423" spans="1:23" x14ac:dyDescent="0.2">
      <c r="A423" s="9" t="s">
        <v>1208</v>
      </c>
      <c r="B423" s="9">
        <f ca="1">+IF(A423=WORLDCUP!$BI$112,1,0)</f>
        <v>0</v>
      </c>
      <c r="C423" s="9" t="str">
        <f ca="1">+WORLDCUP!BD65</f>
        <v>Arabia Saudita</v>
      </c>
      <c r="D423" s="9" t="str">
        <f ca="1">+WORLDCUP!BD64</f>
        <v>Egipto</v>
      </c>
      <c r="E423" s="9" t="str">
        <f ca="1">+WORLDCUP!BD59</f>
        <v>Catar</v>
      </c>
      <c r="F423" s="9" t="str">
        <f ca="1">+WORLDCUP!BD60</f>
        <v>Haití</v>
      </c>
      <c r="G423" s="9" t="str">
        <f ca="1">+WORLDCUP!BD58</f>
        <v>República Checa</v>
      </c>
      <c r="H423" s="9" t="str">
        <f ca="1">+WORLDCUP!BD63</f>
        <v>Suecia</v>
      </c>
      <c r="I423" s="9" t="str">
        <f ca="1">+WORLDCUP!BD69</f>
        <v>Ghana</v>
      </c>
      <c r="J423" s="9" t="str">
        <f ca="1">+WORLDCUP!BD62</f>
        <v>Curazao</v>
      </c>
      <c r="N423" s="16" t="s">
        <v>1208</v>
      </c>
      <c r="O423" s="16">
        <v>422</v>
      </c>
      <c r="P423" s="16" t="s">
        <v>117</v>
      </c>
      <c r="Q423" s="16" t="s">
        <v>112</v>
      </c>
      <c r="R423" s="16" t="s">
        <v>90</v>
      </c>
      <c r="S423" s="16" t="s">
        <v>94</v>
      </c>
      <c r="T423" s="16" t="s">
        <v>85</v>
      </c>
      <c r="U423" s="16" t="s">
        <v>108</v>
      </c>
      <c r="V423" s="16" t="s">
        <v>135</v>
      </c>
      <c r="W423" s="16" t="s">
        <v>103</v>
      </c>
    </row>
    <row r="424" spans="1:23" x14ac:dyDescent="0.2">
      <c r="A424" s="9" t="s">
        <v>1209</v>
      </c>
      <c r="B424" s="9">
        <f ca="1">+IF(A424=WORLDCUP!$BI$112,1,0)</f>
        <v>0</v>
      </c>
      <c r="C424" s="9" t="str">
        <f ca="1">+WORLDCUP!BD65</f>
        <v>Arabia Saudita</v>
      </c>
      <c r="D424" s="9" t="str">
        <f ca="1">+WORLDCUP!BD64</f>
        <v>Egipto</v>
      </c>
      <c r="E424" s="9" t="str">
        <f ca="1">+WORLDCUP!BD59</f>
        <v>Catar</v>
      </c>
      <c r="F424" s="9" t="str">
        <f ca="1">+WORLDCUP!BD60</f>
        <v>Haití</v>
      </c>
      <c r="G424" s="9" t="str">
        <f ca="1">+WORLDCUP!BD58</f>
        <v>República Checa</v>
      </c>
      <c r="H424" s="9" t="str">
        <f ca="1">+WORLDCUP!BD63</f>
        <v>Suecia</v>
      </c>
      <c r="I424" s="9" t="str">
        <f ca="1">+WORLDCUP!BD62</f>
        <v>Curazao</v>
      </c>
      <c r="J424" s="9" t="str">
        <f ca="1">+WORLDCUP!BD68</f>
        <v>RD Congo</v>
      </c>
      <c r="N424" s="16" t="s">
        <v>1209</v>
      </c>
      <c r="O424" s="16">
        <v>423</v>
      </c>
      <c r="P424" s="16" t="s">
        <v>117</v>
      </c>
      <c r="Q424" s="16" t="s">
        <v>112</v>
      </c>
      <c r="R424" s="16" t="s">
        <v>90</v>
      </c>
      <c r="S424" s="16" t="s">
        <v>94</v>
      </c>
      <c r="T424" s="16" t="s">
        <v>85</v>
      </c>
      <c r="U424" s="16" t="s">
        <v>108</v>
      </c>
      <c r="V424" s="16" t="s">
        <v>103</v>
      </c>
      <c r="W424" s="16" t="s">
        <v>130</v>
      </c>
    </row>
    <row r="425" spans="1:23" x14ac:dyDescent="0.2">
      <c r="A425" s="9" t="s">
        <v>1210</v>
      </c>
      <c r="B425" s="9">
        <f ca="1">+IF(A425=WORLDCUP!$BI$112,1,0)</f>
        <v>0</v>
      </c>
      <c r="C425" s="9" t="str">
        <f ca="1">+WORLDCUP!BD65</f>
        <v>Arabia Saudita</v>
      </c>
      <c r="D425" s="9" t="str">
        <f ca="1">+WORLDCUP!BD64</f>
        <v>Egipto</v>
      </c>
      <c r="E425" s="9" t="str">
        <f ca="1">+WORLDCUP!BD59</f>
        <v>Catar</v>
      </c>
      <c r="F425" s="9" t="str">
        <f ca="1">+WORLDCUP!BD60</f>
        <v>Haití</v>
      </c>
      <c r="G425" s="9" t="str">
        <f ca="1">+WORLDCUP!BD58</f>
        <v>República Checa</v>
      </c>
      <c r="H425" s="9" t="str">
        <f ca="1">+WORLDCUP!BD63</f>
        <v>Suecia</v>
      </c>
      <c r="I425" s="9" t="str">
        <f ca="1">+WORLDCUP!BD62</f>
        <v>Curazao</v>
      </c>
      <c r="J425" s="9" t="str">
        <f ca="1">+WORLDCUP!BD67</f>
        <v>Argelia</v>
      </c>
      <c r="N425" s="16" t="s">
        <v>1210</v>
      </c>
      <c r="O425" s="16">
        <v>424</v>
      </c>
      <c r="P425" s="16" t="s">
        <v>117</v>
      </c>
      <c r="Q425" s="16" t="s">
        <v>112</v>
      </c>
      <c r="R425" s="16" t="s">
        <v>90</v>
      </c>
      <c r="S425" s="16" t="s">
        <v>94</v>
      </c>
      <c r="T425" s="16" t="s">
        <v>85</v>
      </c>
      <c r="U425" s="16" t="s">
        <v>108</v>
      </c>
      <c r="V425" s="16" t="s">
        <v>103</v>
      </c>
      <c r="W425" s="16" t="s">
        <v>126</v>
      </c>
    </row>
    <row r="426" spans="1:23" x14ac:dyDescent="0.2">
      <c r="A426" s="9" t="s">
        <v>1211</v>
      </c>
      <c r="B426" s="9">
        <f ca="1">+IF(A426=WORLDCUP!$BI$112,1,0)</f>
        <v>0</v>
      </c>
      <c r="C426" s="9" t="str">
        <f ca="1">+WORLDCUP!BD65</f>
        <v>Arabia Saudita</v>
      </c>
      <c r="D426" s="9" t="str">
        <f ca="1">+WORLDCUP!BD64</f>
        <v>Egipto</v>
      </c>
      <c r="E426" s="9" t="str">
        <f ca="1">+WORLDCUP!BD59</f>
        <v>Catar</v>
      </c>
      <c r="F426" s="9" t="str">
        <f ca="1">+WORLDCUP!BD60</f>
        <v>Haití</v>
      </c>
      <c r="G426" s="9" t="str">
        <f ca="1">+WORLDCUP!BD58</f>
        <v>República Checa</v>
      </c>
      <c r="H426" s="9" t="str">
        <f ca="1">+WORLDCUP!BD63</f>
        <v>Suecia</v>
      </c>
      <c r="I426" s="9" t="str">
        <f ca="1">+WORLDCUP!BD62</f>
        <v>Curazao</v>
      </c>
      <c r="J426" s="9" t="str">
        <f ca="1">+WORLDCUP!BD66</f>
        <v>Senegal</v>
      </c>
      <c r="N426" s="16" t="s">
        <v>1211</v>
      </c>
      <c r="O426" s="16">
        <v>425</v>
      </c>
      <c r="P426" s="16" t="s">
        <v>117</v>
      </c>
      <c r="Q426" s="16" t="s">
        <v>112</v>
      </c>
      <c r="R426" s="16" t="s">
        <v>90</v>
      </c>
      <c r="S426" s="16" t="s">
        <v>94</v>
      </c>
      <c r="T426" s="16" t="s">
        <v>85</v>
      </c>
      <c r="U426" s="16" t="s">
        <v>108</v>
      </c>
      <c r="V426" s="16" t="s">
        <v>103</v>
      </c>
      <c r="W426" s="16" t="s">
        <v>121</v>
      </c>
    </row>
    <row r="427" spans="1:23" x14ac:dyDescent="0.2">
      <c r="A427" s="9" t="s">
        <v>1212</v>
      </c>
      <c r="B427" s="9">
        <f ca="1">+IF(A427=WORLDCUP!$BI$112,1,0)</f>
        <v>0</v>
      </c>
      <c r="C427" s="9" t="str">
        <f ca="1">+WORLDCUP!BD66</f>
        <v>Senegal</v>
      </c>
      <c r="D427" s="9" t="str">
        <f ca="1">+WORLDCUP!BD67</f>
        <v>Argelia</v>
      </c>
      <c r="E427" s="9" t="str">
        <f ca="1">+WORLDCUP!BD59</f>
        <v>Catar</v>
      </c>
      <c r="F427" s="9" t="str">
        <f ca="1">+WORLDCUP!BD60</f>
        <v>Haití</v>
      </c>
      <c r="G427" s="9" t="str">
        <f ca="1">+WORLDCUP!BD58</f>
        <v>República Checa</v>
      </c>
      <c r="H427" s="9" t="str">
        <f ca="1">+WORLDCUP!BD61</f>
        <v>Australia</v>
      </c>
      <c r="I427" s="9" t="str">
        <f ca="1">+WORLDCUP!BD69</f>
        <v>Ghana</v>
      </c>
      <c r="J427" s="9" t="str">
        <f ca="1">+WORLDCUP!BD68</f>
        <v>RD Congo</v>
      </c>
      <c r="N427" s="16" t="s">
        <v>1212</v>
      </c>
      <c r="O427" s="16">
        <v>426</v>
      </c>
      <c r="P427" s="16" t="s">
        <v>121</v>
      </c>
      <c r="Q427" s="16" t="s">
        <v>126</v>
      </c>
      <c r="R427" s="16" t="s">
        <v>90</v>
      </c>
      <c r="S427" s="16" t="s">
        <v>94</v>
      </c>
      <c r="T427" s="16" t="s">
        <v>85</v>
      </c>
      <c r="U427" s="16" t="s">
        <v>99</v>
      </c>
      <c r="V427" s="16" t="s">
        <v>135</v>
      </c>
      <c r="W427" s="16" t="s">
        <v>130</v>
      </c>
    </row>
    <row r="428" spans="1:23" x14ac:dyDescent="0.2">
      <c r="A428" s="9" t="s">
        <v>1213</v>
      </c>
      <c r="B428" s="9">
        <f ca="1">+IF(A428=WORLDCUP!$BI$112,1,0)</f>
        <v>0</v>
      </c>
      <c r="C428" s="9" t="str">
        <f ca="1">+WORLDCUP!BD65</f>
        <v>Arabia Saudita</v>
      </c>
      <c r="D428" s="9" t="str">
        <f ca="1">+WORLDCUP!BD67</f>
        <v>Argelia</v>
      </c>
      <c r="E428" s="9" t="str">
        <f ca="1">+WORLDCUP!BD59</f>
        <v>Catar</v>
      </c>
      <c r="F428" s="9" t="str">
        <f ca="1">+WORLDCUP!BD60</f>
        <v>Haití</v>
      </c>
      <c r="G428" s="9" t="str">
        <f ca="1">+WORLDCUP!BD58</f>
        <v>República Checa</v>
      </c>
      <c r="H428" s="9" t="str">
        <f ca="1">+WORLDCUP!BD61</f>
        <v>Australia</v>
      </c>
      <c r="I428" s="9" t="str">
        <f ca="1">+WORLDCUP!BD69</f>
        <v>Ghana</v>
      </c>
      <c r="J428" s="9" t="str">
        <f ca="1">+WORLDCUP!BD68</f>
        <v>RD Congo</v>
      </c>
      <c r="N428" s="16" t="s">
        <v>1213</v>
      </c>
      <c r="O428" s="16">
        <v>427</v>
      </c>
      <c r="P428" s="16" t="s">
        <v>117</v>
      </c>
      <c r="Q428" s="16" t="s">
        <v>126</v>
      </c>
      <c r="R428" s="16" t="s">
        <v>90</v>
      </c>
      <c r="S428" s="16" t="s">
        <v>94</v>
      </c>
      <c r="T428" s="16" t="s">
        <v>85</v>
      </c>
      <c r="U428" s="16" t="s">
        <v>99</v>
      </c>
      <c r="V428" s="16" t="s">
        <v>135</v>
      </c>
      <c r="W428" s="16" t="s">
        <v>130</v>
      </c>
    </row>
    <row r="429" spans="1:23" x14ac:dyDescent="0.2">
      <c r="A429" s="9" t="s">
        <v>1214</v>
      </c>
      <c r="B429" s="9">
        <f ca="1">+IF(A429=WORLDCUP!$BI$112,1,0)</f>
        <v>0</v>
      </c>
      <c r="C429" s="9" t="str">
        <f ca="1">+WORLDCUP!BD65</f>
        <v>Arabia Saudita</v>
      </c>
      <c r="D429" s="9" t="str">
        <f ca="1">+WORLDCUP!BD66</f>
        <v>Senegal</v>
      </c>
      <c r="E429" s="9" t="str">
        <f ca="1">+WORLDCUP!BD59</f>
        <v>Catar</v>
      </c>
      <c r="F429" s="9" t="str">
        <f ca="1">+WORLDCUP!BD60</f>
        <v>Haití</v>
      </c>
      <c r="G429" s="9" t="str">
        <f ca="1">+WORLDCUP!BD58</f>
        <v>República Checa</v>
      </c>
      <c r="H429" s="9" t="str">
        <f ca="1">+WORLDCUP!BD61</f>
        <v>Australia</v>
      </c>
      <c r="I429" s="9" t="str">
        <f ca="1">+WORLDCUP!BD69</f>
        <v>Ghana</v>
      </c>
      <c r="J429" s="9" t="str">
        <f ca="1">+WORLDCUP!BD68</f>
        <v>RD Congo</v>
      </c>
      <c r="N429" s="16" t="s">
        <v>1214</v>
      </c>
      <c r="O429" s="16">
        <v>428</v>
      </c>
      <c r="P429" s="16" t="s">
        <v>117</v>
      </c>
      <c r="Q429" s="16" t="s">
        <v>121</v>
      </c>
      <c r="R429" s="16" t="s">
        <v>90</v>
      </c>
      <c r="S429" s="16" t="s">
        <v>94</v>
      </c>
      <c r="T429" s="16" t="s">
        <v>85</v>
      </c>
      <c r="U429" s="16" t="s">
        <v>99</v>
      </c>
      <c r="V429" s="16" t="s">
        <v>135</v>
      </c>
      <c r="W429" s="16" t="s">
        <v>130</v>
      </c>
    </row>
    <row r="430" spans="1:23" x14ac:dyDescent="0.2">
      <c r="A430" s="9" t="s">
        <v>1215</v>
      </c>
      <c r="B430" s="9">
        <f ca="1">+IF(A430=WORLDCUP!$BI$112,1,0)</f>
        <v>0</v>
      </c>
      <c r="C430" s="9" t="str">
        <f ca="1">+WORLDCUP!BD65</f>
        <v>Arabia Saudita</v>
      </c>
      <c r="D430" s="9" t="str">
        <f ca="1">+WORLDCUP!BD67</f>
        <v>Argelia</v>
      </c>
      <c r="E430" s="9" t="str">
        <f ca="1">+WORLDCUP!BD59</f>
        <v>Catar</v>
      </c>
      <c r="F430" s="9" t="str">
        <f ca="1">+WORLDCUP!BD60</f>
        <v>Haití</v>
      </c>
      <c r="G430" s="9" t="str">
        <f ca="1">+WORLDCUP!BD58</f>
        <v>República Checa</v>
      </c>
      <c r="H430" s="9" t="str">
        <f ca="1">+WORLDCUP!BD61</f>
        <v>Australia</v>
      </c>
      <c r="I430" s="9" t="str">
        <f ca="1">+WORLDCUP!BD69</f>
        <v>Ghana</v>
      </c>
      <c r="J430" s="9" t="str">
        <f ca="1">+WORLDCUP!BD66</f>
        <v>Senegal</v>
      </c>
      <c r="N430" s="16" t="s">
        <v>1215</v>
      </c>
      <c r="O430" s="16">
        <v>429</v>
      </c>
      <c r="P430" s="16" t="s">
        <v>117</v>
      </c>
      <c r="Q430" s="16" t="s">
        <v>126</v>
      </c>
      <c r="R430" s="16" t="s">
        <v>90</v>
      </c>
      <c r="S430" s="16" t="s">
        <v>94</v>
      </c>
      <c r="T430" s="16" t="s">
        <v>85</v>
      </c>
      <c r="U430" s="16" t="s">
        <v>99</v>
      </c>
      <c r="V430" s="16" t="s">
        <v>135</v>
      </c>
      <c r="W430" s="16" t="s">
        <v>121</v>
      </c>
    </row>
    <row r="431" spans="1:23" x14ac:dyDescent="0.2">
      <c r="A431" s="9" t="s">
        <v>1216</v>
      </c>
      <c r="B431" s="9">
        <f ca="1">+IF(A431=WORLDCUP!$BI$112,1,0)</f>
        <v>0</v>
      </c>
      <c r="C431" s="9" t="str">
        <f ca="1">+WORLDCUP!BD65</f>
        <v>Arabia Saudita</v>
      </c>
      <c r="D431" s="9" t="str">
        <f ca="1">+WORLDCUP!BD67</f>
        <v>Argelia</v>
      </c>
      <c r="E431" s="9" t="str">
        <f ca="1">+WORLDCUP!BD59</f>
        <v>Catar</v>
      </c>
      <c r="F431" s="9" t="str">
        <f ca="1">+WORLDCUP!BD60</f>
        <v>Haití</v>
      </c>
      <c r="G431" s="9" t="str">
        <f ca="1">+WORLDCUP!BD58</f>
        <v>República Checa</v>
      </c>
      <c r="H431" s="9" t="str">
        <f ca="1">+WORLDCUP!BD61</f>
        <v>Australia</v>
      </c>
      <c r="I431" s="9" t="str">
        <f ca="1">+WORLDCUP!BD66</f>
        <v>Senegal</v>
      </c>
      <c r="J431" s="9" t="str">
        <f ca="1">+WORLDCUP!BD68</f>
        <v>RD Congo</v>
      </c>
      <c r="N431" s="16" t="s">
        <v>1216</v>
      </c>
      <c r="O431" s="16">
        <v>430</v>
      </c>
      <c r="P431" s="16" t="s">
        <v>117</v>
      </c>
      <c r="Q431" s="16" t="s">
        <v>126</v>
      </c>
      <c r="R431" s="16" t="s">
        <v>90</v>
      </c>
      <c r="S431" s="16" t="s">
        <v>94</v>
      </c>
      <c r="T431" s="16" t="s">
        <v>85</v>
      </c>
      <c r="U431" s="16" t="s">
        <v>99</v>
      </c>
      <c r="V431" s="16" t="s">
        <v>121</v>
      </c>
      <c r="W431" s="16" t="s">
        <v>130</v>
      </c>
    </row>
    <row r="432" spans="1:23" x14ac:dyDescent="0.2">
      <c r="A432" s="9" t="s">
        <v>1217</v>
      </c>
      <c r="B432" s="9">
        <f ca="1">+IF(A432=WORLDCUP!$BI$112,1,0)</f>
        <v>0</v>
      </c>
      <c r="C432" s="9" t="str">
        <f ca="1">+WORLDCUP!BD60</f>
        <v>Haití</v>
      </c>
      <c r="D432" s="9" t="str">
        <f ca="1">+WORLDCUP!BD67</f>
        <v>Argelia</v>
      </c>
      <c r="E432" s="9" t="str">
        <f ca="1">+WORLDCUP!BD59</f>
        <v>Catar</v>
      </c>
      <c r="F432" s="9" t="str">
        <f ca="1">+WORLDCUP!BD61</f>
        <v>Australia</v>
      </c>
      <c r="G432" s="9" t="str">
        <f ca="1">+WORLDCUP!BD58</f>
        <v>República Checa</v>
      </c>
      <c r="H432" s="9" t="str">
        <f ca="1">+WORLDCUP!BD64</f>
        <v>Egipto</v>
      </c>
      <c r="I432" s="9" t="str">
        <f ca="1">+WORLDCUP!BD69</f>
        <v>Ghana</v>
      </c>
      <c r="J432" s="9" t="str">
        <f ca="1">+WORLDCUP!BD68</f>
        <v>RD Congo</v>
      </c>
      <c r="N432" s="16" t="s">
        <v>1217</v>
      </c>
      <c r="O432" s="16">
        <v>431</v>
      </c>
      <c r="P432" s="16" t="s">
        <v>94</v>
      </c>
      <c r="Q432" s="16" t="s">
        <v>126</v>
      </c>
      <c r="R432" s="16" t="s">
        <v>90</v>
      </c>
      <c r="S432" s="16" t="s">
        <v>99</v>
      </c>
      <c r="T432" s="16" t="s">
        <v>85</v>
      </c>
      <c r="U432" s="16" t="s">
        <v>112</v>
      </c>
      <c r="V432" s="16" t="s">
        <v>135</v>
      </c>
      <c r="W432" s="16" t="s">
        <v>130</v>
      </c>
    </row>
    <row r="433" spans="1:23" x14ac:dyDescent="0.2">
      <c r="A433" s="9" t="s">
        <v>1218</v>
      </c>
      <c r="B433" s="9">
        <f ca="1">+IF(A433=WORLDCUP!$BI$112,1,0)</f>
        <v>0</v>
      </c>
      <c r="C433" s="9" t="str">
        <f ca="1">+WORLDCUP!BD66</f>
        <v>Senegal</v>
      </c>
      <c r="D433" s="9" t="str">
        <f ca="1">+WORLDCUP!BD64</f>
        <v>Egipto</v>
      </c>
      <c r="E433" s="9" t="str">
        <f ca="1">+WORLDCUP!BD59</f>
        <v>Catar</v>
      </c>
      <c r="F433" s="9" t="str">
        <f ca="1">+WORLDCUP!BD60</f>
        <v>Haití</v>
      </c>
      <c r="G433" s="9" t="str">
        <f ca="1">+WORLDCUP!BD58</f>
        <v>República Checa</v>
      </c>
      <c r="H433" s="9" t="str">
        <f ca="1">+WORLDCUP!BD61</f>
        <v>Australia</v>
      </c>
      <c r="I433" s="9" t="str">
        <f ca="1">+WORLDCUP!BD69</f>
        <v>Ghana</v>
      </c>
      <c r="J433" s="9" t="str">
        <f ca="1">+WORLDCUP!BD68</f>
        <v>RD Congo</v>
      </c>
      <c r="N433" s="16" t="s">
        <v>1218</v>
      </c>
      <c r="O433" s="16">
        <v>432</v>
      </c>
      <c r="P433" s="16" t="s">
        <v>121</v>
      </c>
      <c r="Q433" s="16" t="s">
        <v>112</v>
      </c>
      <c r="R433" s="16" t="s">
        <v>90</v>
      </c>
      <c r="S433" s="16" t="s">
        <v>94</v>
      </c>
      <c r="T433" s="16" t="s">
        <v>85</v>
      </c>
      <c r="U433" s="16" t="s">
        <v>99</v>
      </c>
      <c r="V433" s="16" t="s">
        <v>135</v>
      </c>
      <c r="W433" s="16" t="s">
        <v>130</v>
      </c>
    </row>
    <row r="434" spans="1:23" x14ac:dyDescent="0.2">
      <c r="A434" s="9" t="s">
        <v>1219</v>
      </c>
      <c r="B434" s="9">
        <f ca="1">+IF(A434=WORLDCUP!$BI$112,1,0)</f>
        <v>0</v>
      </c>
      <c r="C434" s="9" t="str">
        <f ca="1">+WORLDCUP!BD60</f>
        <v>Haití</v>
      </c>
      <c r="D434" s="9" t="str">
        <f ca="1">+WORLDCUP!BD67</f>
        <v>Argelia</v>
      </c>
      <c r="E434" s="9" t="str">
        <f ca="1">+WORLDCUP!BD59</f>
        <v>Catar</v>
      </c>
      <c r="F434" s="9" t="str">
        <f ca="1">+WORLDCUP!BD61</f>
        <v>Australia</v>
      </c>
      <c r="G434" s="9" t="str">
        <f ca="1">+WORLDCUP!BD58</f>
        <v>República Checa</v>
      </c>
      <c r="H434" s="9" t="str">
        <f ca="1">+WORLDCUP!BD64</f>
        <v>Egipto</v>
      </c>
      <c r="I434" s="9" t="str">
        <f ca="1">+WORLDCUP!BD69</f>
        <v>Ghana</v>
      </c>
      <c r="J434" s="9" t="str">
        <f ca="1">+WORLDCUP!BD66</f>
        <v>Senegal</v>
      </c>
      <c r="N434" s="16" t="s">
        <v>1219</v>
      </c>
      <c r="O434" s="16">
        <v>433</v>
      </c>
      <c r="P434" s="16" t="s">
        <v>94</v>
      </c>
      <c r="Q434" s="16" t="s">
        <v>126</v>
      </c>
      <c r="R434" s="16" t="s">
        <v>90</v>
      </c>
      <c r="S434" s="16" t="s">
        <v>99</v>
      </c>
      <c r="T434" s="16" t="s">
        <v>85</v>
      </c>
      <c r="U434" s="16" t="s">
        <v>112</v>
      </c>
      <c r="V434" s="16" t="s">
        <v>135</v>
      </c>
      <c r="W434" s="16" t="s">
        <v>121</v>
      </c>
    </row>
    <row r="435" spans="1:23" x14ac:dyDescent="0.2">
      <c r="A435" s="9" t="s">
        <v>1220</v>
      </c>
      <c r="B435" s="9">
        <f ca="1">+IF(A435=WORLDCUP!$BI$112,1,0)</f>
        <v>0</v>
      </c>
      <c r="C435" s="9" t="str">
        <f ca="1">+WORLDCUP!BD60</f>
        <v>Haití</v>
      </c>
      <c r="D435" s="9" t="str">
        <f ca="1">+WORLDCUP!BD67</f>
        <v>Argelia</v>
      </c>
      <c r="E435" s="9" t="str">
        <f ca="1">+WORLDCUP!BD59</f>
        <v>Catar</v>
      </c>
      <c r="F435" s="9" t="str">
        <f ca="1">+WORLDCUP!BD61</f>
        <v>Australia</v>
      </c>
      <c r="G435" s="9" t="str">
        <f ca="1">+WORLDCUP!BD58</f>
        <v>República Checa</v>
      </c>
      <c r="H435" s="9" t="str">
        <f ca="1">+WORLDCUP!BD64</f>
        <v>Egipto</v>
      </c>
      <c r="I435" s="9" t="str">
        <f ca="1">+WORLDCUP!BD66</f>
        <v>Senegal</v>
      </c>
      <c r="J435" s="9" t="str">
        <f ca="1">+WORLDCUP!BD68</f>
        <v>RD Congo</v>
      </c>
      <c r="N435" s="16" t="s">
        <v>1220</v>
      </c>
      <c r="O435" s="16">
        <v>434</v>
      </c>
      <c r="P435" s="16" t="s">
        <v>94</v>
      </c>
      <c r="Q435" s="16" t="s">
        <v>126</v>
      </c>
      <c r="R435" s="16" t="s">
        <v>90</v>
      </c>
      <c r="S435" s="16" t="s">
        <v>99</v>
      </c>
      <c r="T435" s="16" t="s">
        <v>85</v>
      </c>
      <c r="U435" s="16" t="s">
        <v>112</v>
      </c>
      <c r="V435" s="16" t="s">
        <v>121</v>
      </c>
      <c r="W435" s="16" t="s">
        <v>130</v>
      </c>
    </row>
    <row r="436" spans="1:23" x14ac:dyDescent="0.2">
      <c r="A436" s="9" t="s">
        <v>1221</v>
      </c>
      <c r="B436" s="9">
        <f ca="1">+IF(A436=WORLDCUP!$BI$112,1,0)</f>
        <v>0</v>
      </c>
      <c r="C436" s="9" t="str">
        <f ca="1">+WORLDCUP!BD65</f>
        <v>Arabia Saudita</v>
      </c>
      <c r="D436" s="9" t="str">
        <f ca="1">+WORLDCUP!BD64</f>
        <v>Egipto</v>
      </c>
      <c r="E436" s="9" t="str">
        <f ca="1">+WORLDCUP!BD59</f>
        <v>Catar</v>
      </c>
      <c r="F436" s="9" t="str">
        <f ca="1">+WORLDCUP!BD60</f>
        <v>Haití</v>
      </c>
      <c r="G436" s="9" t="str">
        <f ca="1">+WORLDCUP!BD58</f>
        <v>República Checa</v>
      </c>
      <c r="H436" s="9" t="str">
        <f ca="1">+WORLDCUP!BD61</f>
        <v>Australia</v>
      </c>
      <c r="I436" s="9" t="str">
        <f ca="1">+WORLDCUP!BD69</f>
        <v>Ghana</v>
      </c>
      <c r="J436" s="9" t="str">
        <f ca="1">+WORLDCUP!BD68</f>
        <v>RD Congo</v>
      </c>
      <c r="N436" s="16" t="s">
        <v>1221</v>
      </c>
      <c r="O436" s="16">
        <v>435</v>
      </c>
      <c r="P436" s="16" t="s">
        <v>117</v>
      </c>
      <c r="Q436" s="16" t="s">
        <v>112</v>
      </c>
      <c r="R436" s="16" t="s">
        <v>90</v>
      </c>
      <c r="S436" s="16" t="s">
        <v>94</v>
      </c>
      <c r="T436" s="16" t="s">
        <v>85</v>
      </c>
      <c r="U436" s="16" t="s">
        <v>99</v>
      </c>
      <c r="V436" s="16" t="s">
        <v>135</v>
      </c>
      <c r="W436" s="16" t="s">
        <v>130</v>
      </c>
    </row>
    <row r="437" spans="1:23" x14ac:dyDescent="0.2">
      <c r="A437" s="9" t="s">
        <v>1222</v>
      </c>
      <c r="B437" s="9">
        <f ca="1">+IF(A437=WORLDCUP!$BI$112,1,0)</f>
        <v>0</v>
      </c>
      <c r="C437" s="9" t="str">
        <f ca="1">+WORLDCUP!BD65</f>
        <v>Arabia Saudita</v>
      </c>
      <c r="D437" s="9" t="str">
        <f ca="1">+WORLDCUP!BD64</f>
        <v>Egipto</v>
      </c>
      <c r="E437" s="9" t="str">
        <f ca="1">+WORLDCUP!BD59</f>
        <v>Catar</v>
      </c>
      <c r="F437" s="9" t="str">
        <f ca="1">+WORLDCUP!BD60</f>
        <v>Haití</v>
      </c>
      <c r="G437" s="9" t="str">
        <f ca="1">+WORLDCUP!BD58</f>
        <v>República Checa</v>
      </c>
      <c r="H437" s="9" t="str">
        <f ca="1">+WORLDCUP!BD61</f>
        <v>Australia</v>
      </c>
      <c r="I437" s="9" t="str">
        <f ca="1">+WORLDCUP!BD69</f>
        <v>Ghana</v>
      </c>
      <c r="J437" s="9" t="str">
        <f ca="1">+WORLDCUP!BD67</f>
        <v>Argelia</v>
      </c>
      <c r="N437" s="16" t="s">
        <v>1222</v>
      </c>
      <c r="O437" s="16">
        <v>436</v>
      </c>
      <c r="P437" s="16" t="s">
        <v>117</v>
      </c>
      <c r="Q437" s="16" t="s">
        <v>112</v>
      </c>
      <c r="R437" s="16" t="s">
        <v>90</v>
      </c>
      <c r="S437" s="16" t="s">
        <v>94</v>
      </c>
      <c r="T437" s="16" t="s">
        <v>85</v>
      </c>
      <c r="U437" s="16" t="s">
        <v>99</v>
      </c>
      <c r="V437" s="16" t="s">
        <v>135</v>
      </c>
      <c r="W437" s="16" t="s">
        <v>126</v>
      </c>
    </row>
    <row r="438" spans="1:23" x14ac:dyDescent="0.2">
      <c r="A438" s="9" t="s">
        <v>1223</v>
      </c>
      <c r="B438" s="9">
        <f ca="1">+IF(A438=WORLDCUP!$BI$112,1,0)</f>
        <v>0</v>
      </c>
      <c r="C438" s="9" t="str">
        <f ca="1">+WORLDCUP!BD65</f>
        <v>Arabia Saudita</v>
      </c>
      <c r="D438" s="9" t="str">
        <f ca="1">+WORLDCUP!BD64</f>
        <v>Egipto</v>
      </c>
      <c r="E438" s="9" t="str">
        <f ca="1">+WORLDCUP!BD59</f>
        <v>Catar</v>
      </c>
      <c r="F438" s="9" t="str">
        <f ca="1">+WORLDCUP!BD60</f>
        <v>Haití</v>
      </c>
      <c r="G438" s="9" t="str">
        <f ca="1">+WORLDCUP!BD58</f>
        <v>República Checa</v>
      </c>
      <c r="H438" s="9" t="str">
        <f ca="1">+WORLDCUP!BD61</f>
        <v>Australia</v>
      </c>
      <c r="I438" s="9" t="str">
        <f ca="1">+WORLDCUP!BD67</f>
        <v>Argelia</v>
      </c>
      <c r="J438" s="9" t="str">
        <f ca="1">+WORLDCUP!BD68</f>
        <v>RD Congo</v>
      </c>
      <c r="N438" s="16" t="s">
        <v>1223</v>
      </c>
      <c r="O438" s="16">
        <v>437</v>
      </c>
      <c r="P438" s="16" t="s">
        <v>117</v>
      </c>
      <c r="Q438" s="16" t="s">
        <v>112</v>
      </c>
      <c r="R438" s="16" t="s">
        <v>90</v>
      </c>
      <c r="S438" s="16" t="s">
        <v>94</v>
      </c>
      <c r="T438" s="16" t="s">
        <v>85</v>
      </c>
      <c r="U438" s="16" t="s">
        <v>99</v>
      </c>
      <c r="V438" s="16" t="s">
        <v>126</v>
      </c>
      <c r="W438" s="16" t="s">
        <v>130</v>
      </c>
    </row>
    <row r="439" spans="1:23" x14ac:dyDescent="0.2">
      <c r="A439" s="9" t="s">
        <v>1224</v>
      </c>
      <c r="B439" s="9">
        <f ca="1">+IF(A439=WORLDCUP!$BI$112,1,0)</f>
        <v>0</v>
      </c>
      <c r="C439" s="9" t="str">
        <f ca="1">+WORLDCUP!BD65</f>
        <v>Arabia Saudita</v>
      </c>
      <c r="D439" s="9" t="str">
        <f ca="1">+WORLDCUP!BD64</f>
        <v>Egipto</v>
      </c>
      <c r="E439" s="9" t="str">
        <f ca="1">+WORLDCUP!BD59</f>
        <v>Catar</v>
      </c>
      <c r="F439" s="9" t="str">
        <f ca="1">+WORLDCUP!BD60</f>
        <v>Haití</v>
      </c>
      <c r="G439" s="9" t="str">
        <f ca="1">+WORLDCUP!BD58</f>
        <v>República Checa</v>
      </c>
      <c r="H439" s="9" t="str">
        <f ca="1">+WORLDCUP!BD61</f>
        <v>Australia</v>
      </c>
      <c r="I439" s="9" t="str">
        <f ca="1">+WORLDCUP!BD69</f>
        <v>Ghana</v>
      </c>
      <c r="J439" s="9" t="str">
        <f ca="1">+WORLDCUP!BD66</f>
        <v>Senegal</v>
      </c>
      <c r="N439" s="16" t="s">
        <v>1224</v>
      </c>
      <c r="O439" s="16">
        <v>438</v>
      </c>
      <c r="P439" s="16" t="s">
        <v>117</v>
      </c>
      <c r="Q439" s="16" t="s">
        <v>112</v>
      </c>
      <c r="R439" s="16" t="s">
        <v>90</v>
      </c>
      <c r="S439" s="16" t="s">
        <v>94</v>
      </c>
      <c r="T439" s="16" t="s">
        <v>85</v>
      </c>
      <c r="U439" s="16" t="s">
        <v>99</v>
      </c>
      <c r="V439" s="16" t="s">
        <v>135</v>
      </c>
      <c r="W439" s="16" t="s">
        <v>121</v>
      </c>
    </row>
    <row r="440" spans="1:23" x14ac:dyDescent="0.2">
      <c r="A440" s="9" t="s">
        <v>1225</v>
      </c>
      <c r="B440" s="9">
        <f ca="1">+IF(A440=WORLDCUP!$BI$112,1,0)</f>
        <v>0</v>
      </c>
      <c r="C440" s="9" t="str">
        <f ca="1">+WORLDCUP!BD65</f>
        <v>Arabia Saudita</v>
      </c>
      <c r="D440" s="9" t="str">
        <f ca="1">+WORLDCUP!BD64</f>
        <v>Egipto</v>
      </c>
      <c r="E440" s="9" t="str">
        <f ca="1">+WORLDCUP!BD59</f>
        <v>Catar</v>
      </c>
      <c r="F440" s="9" t="str">
        <f ca="1">+WORLDCUP!BD60</f>
        <v>Haití</v>
      </c>
      <c r="G440" s="9" t="str">
        <f ca="1">+WORLDCUP!BD58</f>
        <v>República Checa</v>
      </c>
      <c r="H440" s="9" t="str">
        <f ca="1">+WORLDCUP!BD61</f>
        <v>Australia</v>
      </c>
      <c r="I440" s="9" t="str">
        <f ca="1">+WORLDCUP!BD66</f>
        <v>Senegal</v>
      </c>
      <c r="J440" s="9" t="str">
        <f ca="1">+WORLDCUP!BD68</f>
        <v>RD Congo</v>
      </c>
      <c r="N440" s="16" t="s">
        <v>1225</v>
      </c>
      <c r="O440" s="16">
        <v>439</v>
      </c>
      <c r="P440" s="16" t="s">
        <v>117</v>
      </c>
      <c r="Q440" s="16" t="s">
        <v>112</v>
      </c>
      <c r="R440" s="16" t="s">
        <v>90</v>
      </c>
      <c r="S440" s="16" t="s">
        <v>94</v>
      </c>
      <c r="T440" s="16" t="s">
        <v>85</v>
      </c>
      <c r="U440" s="16" t="s">
        <v>99</v>
      </c>
      <c r="V440" s="16" t="s">
        <v>121</v>
      </c>
      <c r="W440" s="16" t="s">
        <v>130</v>
      </c>
    </row>
    <row r="441" spans="1:23" x14ac:dyDescent="0.2">
      <c r="A441" s="9" t="s">
        <v>1226</v>
      </c>
      <c r="B441" s="9">
        <f ca="1">+IF(A441=WORLDCUP!$BI$112,1,0)</f>
        <v>0</v>
      </c>
      <c r="C441" s="9" t="str">
        <f ca="1">+WORLDCUP!BD65</f>
        <v>Arabia Saudita</v>
      </c>
      <c r="D441" s="9" t="str">
        <f ca="1">+WORLDCUP!BD64</f>
        <v>Egipto</v>
      </c>
      <c r="E441" s="9" t="str">
        <f ca="1">+WORLDCUP!BD59</f>
        <v>Catar</v>
      </c>
      <c r="F441" s="9" t="str">
        <f ca="1">+WORLDCUP!BD60</f>
        <v>Haití</v>
      </c>
      <c r="G441" s="9" t="str">
        <f ca="1">+WORLDCUP!BD58</f>
        <v>República Checa</v>
      </c>
      <c r="H441" s="9" t="str">
        <f ca="1">+WORLDCUP!BD61</f>
        <v>Australia</v>
      </c>
      <c r="I441" s="9" t="str">
        <f ca="1">+WORLDCUP!BD66</f>
        <v>Senegal</v>
      </c>
      <c r="J441" s="9" t="str">
        <f ca="1">+WORLDCUP!BD67</f>
        <v>Argelia</v>
      </c>
      <c r="N441" s="16" t="s">
        <v>1226</v>
      </c>
      <c r="O441" s="16">
        <v>440</v>
      </c>
      <c r="P441" s="16" t="s">
        <v>117</v>
      </c>
      <c r="Q441" s="16" t="s">
        <v>112</v>
      </c>
      <c r="R441" s="16" t="s">
        <v>90</v>
      </c>
      <c r="S441" s="16" t="s">
        <v>94</v>
      </c>
      <c r="T441" s="16" t="s">
        <v>85</v>
      </c>
      <c r="U441" s="16" t="s">
        <v>99</v>
      </c>
      <c r="V441" s="16" t="s">
        <v>121</v>
      </c>
      <c r="W441" s="16" t="s">
        <v>126</v>
      </c>
    </row>
    <row r="442" spans="1:23" x14ac:dyDescent="0.2">
      <c r="A442" s="9" t="s">
        <v>1227</v>
      </c>
      <c r="B442" s="9">
        <f ca="1">+IF(A442=WORLDCUP!$BI$112,1,0)</f>
        <v>0</v>
      </c>
      <c r="C442" s="9" t="str">
        <f ca="1">+WORLDCUP!BD60</f>
        <v>Haití</v>
      </c>
      <c r="D442" s="9" t="str">
        <f ca="1">+WORLDCUP!BD67</f>
        <v>Argelia</v>
      </c>
      <c r="E442" s="9" t="str">
        <f ca="1">+WORLDCUP!BD59</f>
        <v>Catar</v>
      </c>
      <c r="F442" s="9" t="str">
        <f ca="1">+WORLDCUP!BD61</f>
        <v>Australia</v>
      </c>
      <c r="G442" s="9" t="str">
        <f ca="1">+WORLDCUP!BD58</f>
        <v>República Checa</v>
      </c>
      <c r="H442" s="9" t="str">
        <f ca="1">+WORLDCUP!BD63</f>
        <v>Suecia</v>
      </c>
      <c r="I442" s="9" t="str">
        <f ca="1">+WORLDCUP!BD69</f>
        <v>Ghana</v>
      </c>
      <c r="J442" s="9" t="str">
        <f ca="1">+WORLDCUP!BD68</f>
        <v>RD Congo</v>
      </c>
      <c r="N442" s="16" t="s">
        <v>1227</v>
      </c>
      <c r="O442" s="16">
        <v>441</v>
      </c>
      <c r="P442" s="16" t="s">
        <v>94</v>
      </c>
      <c r="Q442" s="16" t="s">
        <v>126</v>
      </c>
      <c r="R442" s="16" t="s">
        <v>90</v>
      </c>
      <c r="S442" s="16" t="s">
        <v>99</v>
      </c>
      <c r="T442" s="16" t="s">
        <v>85</v>
      </c>
      <c r="U442" s="16" t="s">
        <v>108</v>
      </c>
      <c r="V442" s="16" t="s">
        <v>135</v>
      </c>
      <c r="W442" s="16" t="s">
        <v>130</v>
      </c>
    </row>
    <row r="443" spans="1:23" x14ac:dyDescent="0.2">
      <c r="A443" s="9" t="s">
        <v>1228</v>
      </c>
      <c r="B443" s="9">
        <f ca="1">+IF(A443=WORLDCUP!$BI$112,1,0)</f>
        <v>0</v>
      </c>
      <c r="C443" s="9" t="str">
        <f ca="1">+WORLDCUP!BD60</f>
        <v>Haití</v>
      </c>
      <c r="D443" s="9" t="str">
        <f ca="1">+WORLDCUP!BD66</f>
        <v>Senegal</v>
      </c>
      <c r="E443" s="9" t="str">
        <f ca="1">+WORLDCUP!BD59</f>
        <v>Catar</v>
      </c>
      <c r="F443" s="9" t="str">
        <f ca="1">+WORLDCUP!BD61</f>
        <v>Australia</v>
      </c>
      <c r="G443" s="9" t="str">
        <f ca="1">+WORLDCUP!BD58</f>
        <v>República Checa</v>
      </c>
      <c r="H443" s="9" t="str">
        <f ca="1">+WORLDCUP!BD63</f>
        <v>Suecia</v>
      </c>
      <c r="I443" s="9" t="str">
        <f ca="1">+WORLDCUP!BD69</f>
        <v>Ghana</v>
      </c>
      <c r="J443" s="9" t="str">
        <f ca="1">+WORLDCUP!BD68</f>
        <v>RD Congo</v>
      </c>
      <c r="N443" s="16" t="s">
        <v>1228</v>
      </c>
      <c r="O443" s="16">
        <v>442</v>
      </c>
      <c r="P443" s="16" t="s">
        <v>94</v>
      </c>
      <c r="Q443" s="16" t="s">
        <v>121</v>
      </c>
      <c r="R443" s="16" t="s">
        <v>90</v>
      </c>
      <c r="S443" s="16" t="s">
        <v>99</v>
      </c>
      <c r="T443" s="16" t="s">
        <v>85</v>
      </c>
      <c r="U443" s="16" t="s">
        <v>108</v>
      </c>
      <c r="V443" s="16" t="s">
        <v>135</v>
      </c>
      <c r="W443" s="16" t="s">
        <v>130</v>
      </c>
    </row>
    <row r="444" spans="1:23" x14ac:dyDescent="0.2">
      <c r="A444" s="9" t="s">
        <v>1229</v>
      </c>
      <c r="B444" s="9">
        <f ca="1">+IF(A444=WORLDCUP!$BI$112,1,0)</f>
        <v>0</v>
      </c>
      <c r="C444" s="9" t="str">
        <f ca="1">+WORLDCUP!BD60</f>
        <v>Haití</v>
      </c>
      <c r="D444" s="9" t="str">
        <f ca="1">+WORLDCUP!BD67</f>
        <v>Argelia</v>
      </c>
      <c r="E444" s="9" t="str">
        <f ca="1">+WORLDCUP!BD59</f>
        <v>Catar</v>
      </c>
      <c r="F444" s="9" t="str">
        <f ca="1">+WORLDCUP!BD61</f>
        <v>Australia</v>
      </c>
      <c r="G444" s="9" t="str">
        <f ca="1">+WORLDCUP!BD58</f>
        <v>República Checa</v>
      </c>
      <c r="H444" s="9" t="str">
        <f ca="1">+WORLDCUP!BD63</f>
        <v>Suecia</v>
      </c>
      <c r="I444" s="9" t="str">
        <f ca="1">+WORLDCUP!BD69</f>
        <v>Ghana</v>
      </c>
      <c r="J444" s="9" t="str">
        <f ca="1">+WORLDCUP!BD66</f>
        <v>Senegal</v>
      </c>
      <c r="N444" s="16" t="s">
        <v>1229</v>
      </c>
      <c r="O444" s="16">
        <v>443</v>
      </c>
      <c r="P444" s="16" t="s">
        <v>94</v>
      </c>
      <c r="Q444" s="16" t="s">
        <v>126</v>
      </c>
      <c r="R444" s="16" t="s">
        <v>90</v>
      </c>
      <c r="S444" s="16" t="s">
        <v>99</v>
      </c>
      <c r="T444" s="16" t="s">
        <v>85</v>
      </c>
      <c r="U444" s="16" t="s">
        <v>108</v>
      </c>
      <c r="V444" s="16" t="s">
        <v>135</v>
      </c>
      <c r="W444" s="16" t="s">
        <v>121</v>
      </c>
    </row>
    <row r="445" spans="1:23" x14ac:dyDescent="0.2">
      <c r="A445" s="9" t="s">
        <v>1230</v>
      </c>
      <c r="B445" s="9">
        <f ca="1">+IF(A445=WORLDCUP!$BI$112,1,0)</f>
        <v>0</v>
      </c>
      <c r="C445" s="9" t="str">
        <f ca="1">+WORLDCUP!BD60</f>
        <v>Haití</v>
      </c>
      <c r="D445" s="9" t="str">
        <f ca="1">+WORLDCUP!BD67</f>
        <v>Argelia</v>
      </c>
      <c r="E445" s="9" t="str">
        <f ca="1">+WORLDCUP!BD59</f>
        <v>Catar</v>
      </c>
      <c r="F445" s="9" t="str">
        <f ca="1">+WORLDCUP!BD61</f>
        <v>Australia</v>
      </c>
      <c r="G445" s="9" t="str">
        <f ca="1">+WORLDCUP!BD58</f>
        <v>República Checa</v>
      </c>
      <c r="H445" s="9" t="str">
        <f ca="1">+WORLDCUP!BD63</f>
        <v>Suecia</v>
      </c>
      <c r="I445" s="9" t="str">
        <f ca="1">+WORLDCUP!BD66</f>
        <v>Senegal</v>
      </c>
      <c r="J445" s="9" t="str">
        <f ca="1">+WORLDCUP!BD68</f>
        <v>RD Congo</v>
      </c>
      <c r="N445" s="16" t="s">
        <v>1230</v>
      </c>
      <c r="O445" s="16">
        <v>444</v>
      </c>
      <c r="P445" s="16" t="s">
        <v>94</v>
      </c>
      <c r="Q445" s="16" t="s">
        <v>126</v>
      </c>
      <c r="R445" s="16" t="s">
        <v>90</v>
      </c>
      <c r="S445" s="16" t="s">
        <v>99</v>
      </c>
      <c r="T445" s="16" t="s">
        <v>85</v>
      </c>
      <c r="U445" s="16" t="s">
        <v>108</v>
      </c>
      <c r="V445" s="16" t="s">
        <v>121</v>
      </c>
      <c r="W445" s="16" t="s">
        <v>130</v>
      </c>
    </row>
    <row r="446" spans="1:23" x14ac:dyDescent="0.2">
      <c r="A446" s="9" t="s">
        <v>1231</v>
      </c>
      <c r="B446" s="9">
        <f ca="1">+IF(A446=WORLDCUP!$BI$112,1,0)</f>
        <v>0</v>
      </c>
      <c r="C446" s="9" t="str">
        <f ca="1">+WORLDCUP!BD65</f>
        <v>Arabia Saudita</v>
      </c>
      <c r="D446" s="9" t="str">
        <f ca="1">+WORLDCUP!BD63</f>
        <v>Suecia</v>
      </c>
      <c r="E446" s="9" t="str">
        <f ca="1">+WORLDCUP!BD59</f>
        <v>Catar</v>
      </c>
      <c r="F446" s="9" t="str">
        <f ca="1">+WORLDCUP!BD60</f>
        <v>Haití</v>
      </c>
      <c r="G446" s="9" t="str">
        <f ca="1">+WORLDCUP!BD58</f>
        <v>República Checa</v>
      </c>
      <c r="H446" s="9" t="str">
        <f ca="1">+WORLDCUP!BD61</f>
        <v>Australia</v>
      </c>
      <c r="I446" s="9" t="str">
        <f ca="1">+WORLDCUP!BD69</f>
        <v>Ghana</v>
      </c>
      <c r="J446" s="9" t="str">
        <f ca="1">+WORLDCUP!BD68</f>
        <v>RD Congo</v>
      </c>
      <c r="N446" s="16" t="s">
        <v>1231</v>
      </c>
      <c r="O446" s="16">
        <v>445</v>
      </c>
      <c r="P446" s="16" t="s">
        <v>117</v>
      </c>
      <c r="Q446" s="16" t="s">
        <v>108</v>
      </c>
      <c r="R446" s="16" t="s">
        <v>90</v>
      </c>
      <c r="S446" s="16" t="s">
        <v>94</v>
      </c>
      <c r="T446" s="16" t="s">
        <v>85</v>
      </c>
      <c r="U446" s="16" t="s">
        <v>99</v>
      </c>
      <c r="V446" s="16" t="s">
        <v>135</v>
      </c>
      <c r="W446" s="16" t="s">
        <v>130</v>
      </c>
    </row>
    <row r="447" spans="1:23" x14ac:dyDescent="0.2">
      <c r="A447" s="9" t="s">
        <v>1232</v>
      </c>
      <c r="B447" s="9">
        <f ca="1">+IF(A447=WORLDCUP!$BI$112,1,0)</f>
        <v>0</v>
      </c>
      <c r="C447" s="9" t="str">
        <f ca="1">+WORLDCUP!BD60</f>
        <v>Haití</v>
      </c>
      <c r="D447" s="9" t="str">
        <f ca="1">+WORLDCUP!BD67</f>
        <v>Argelia</v>
      </c>
      <c r="E447" s="9" t="str">
        <f ca="1">+WORLDCUP!BD59</f>
        <v>Catar</v>
      </c>
      <c r="F447" s="9" t="str">
        <f ca="1">+WORLDCUP!BD61</f>
        <v>Australia</v>
      </c>
      <c r="G447" s="9" t="str">
        <f ca="1">+WORLDCUP!BD58</f>
        <v>República Checa</v>
      </c>
      <c r="H447" s="9" t="str">
        <f ca="1">+WORLDCUP!BD63</f>
        <v>Suecia</v>
      </c>
      <c r="I447" s="9" t="str">
        <f ca="1">+WORLDCUP!BD69</f>
        <v>Ghana</v>
      </c>
      <c r="J447" s="9" t="str">
        <f ca="1">+WORLDCUP!BD65</f>
        <v>Arabia Saudita</v>
      </c>
      <c r="N447" s="16" t="s">
        <v>1232</v>
      </c>
      <c r="O447" s="16">
        <v>446</v>
      </c>
      <c r="P447" s="16" t="s">
        <v>94</v>
      </c>
      <c r="Q447" s="16" t="s">
        <v>126</v>
      </c>
      <c r="R447" s="16" t="s">
        <v>90</v>
      </c>
      <c r="S447" s="16" t="s">
        <v>99</v>
      </c>
      <c r="T447" s="16" t="s">
        <v>85</v>
      </c>
      <c r="U447" s="16" t="s">
        <v>108</v>
      </c>
      <c r="V447" s="16" t="s">
        <v>135</v>
      </c>
      <c r="W447" s="16" t="s">
        <v>117</v>
      </c>
    </row>
    <row r="448" spans="1:23" x14ac:dyDescent="0.2">
      <c r="A448" s="9" t="s">
        <v>1233</v>
      </c>
      <c r="B448" s="9">
        <f ca="1">+IF(A448=WORLDCUP!$BI$112,1,0)</f>
        <v>0</v>
      </c>
      <c r="C448" s="9" t="str">
        <f ca="1">+WORLDCUP!BD65</f>
        <v>Arabia Saudita</v>
      </c>
      <c r="D448" s="9" t="str">
        <f ca="1">+WORLDCUP!BD67</f>
        <v>Argelia</v>
      </c>
      <c r="E448" s="9" t="str">
        <f ca="1">+WORLDCUP!BD59</f>
        <v>Catar</v>
      </c>
      <c r="F448" s="9" t="str">
        <f ca="1">+WORLDCUP!BD60</f>
        <v>Haití</v>
      </c>
      <c r="G448" s="9" t="str">
        <f ca="1">+WORLDCUP!BD58</f>
        <v>República Checa</v>
      </c>
      <c r="H448" s="9" t="str">
        <f ca="1">+WORLDCUP!BD63</f>
        <v>Suecia</v>
      </c>
      <c r="I448" s="9" t="str">
        <f ca="1">+WORLDCUP!BD61</f>
        <v>Australia</v>
      </c>
      <c r="J448" s="9" t="str">
        <f ca="1">+WORLDCUP!BD68</f>
        <v>RD Congo</v>
      </c>
      <c r="N448" s="16" t="s">
        <v>1233</v>
      </c>
      <c r="O448" s="16">
        <v>447</v>
      </c>
      <c r="P448" s="16" t="s">
        <v>117</v>
      </c>
      <c r="Q448" s="16" t="s">
        <v>126</v>
      </c>
      <c r="R448" s="16" t="s">
        <v>90</v>
      </c>
      <c r="S448" s="16" t="s">
        <v>94</v>
      </c>
      <c r="T448" s="16" t="s">
        <v>85</v>
      </c>
      <c r="U448" s="16" t="s">
        <v>108</v>
      </c>
      <c r="V448" s="16" t="s">
        <v>99</v>
      </c>
      <c r="W448" s="16" t="s">
        <v>130</v>
      </c>
    </row>
    <row r="449" spans="1:23" x14ac:dyDescent="0.2">
      <c r="A449" s="9" t="s">
        <v>1234</v>
      </c>
      <c r="B449" s="9">
        <f ca="1">+IF(A449=WORLDCUP!$BI$112,1,0)</f>
        <v>0</v>
      </c>
      <c r="C449" s="9" t="str">
        <f ca="1">+WORLDCUP!BD65</f>
        <v>Arabia Saudita</v>
      </c>
      <c r="D449" s="9" t="str">
        <f ca="1">+WORLDCUP!BD63</f>
        <v>Suecia</v>
      </c>
      <c r="E449" s="9" t="str">
        <f ca="1">+WORLDCUP!BD59</f>
        <v>Catar</v>
      </c>
      <c r="F449" s="9" t="str">
        <f ca="1">+WORLDCUP!BD60</f>
        <v>Haití</v>
      </c>
      <c r="G449" s="9" t="str">
        <f ca="1">+WORLDCUP!BD58</f>
        <v>República Checa</v>
      </c>
      <c r="H449" s="9" t="str">
        <f ca="1">+WORLDCUP!BD61</f>
        <v>Australia</v>
      </c>
      <c r="I449" s="9" t="str">
        <f ca="1">+WORLDCUP!BD69</f>
        <v>Ghana</v>
      </c>
      <c r="J449" s="9" t="str">
        <f ca="1">+WORLDCUP!BD66</f>
        <v>Senegal</v>
      </c>
      <c r="N449" s="16" t="s">
        <v>1234</v>
      </c>
      <c r="O449" s="16">
        <v>448</v>
      </c>
      <c r="P449" s="16" t="s">
        <v>117</v>
      </c>
      <c r="Q449" s="16" t="s">
        <v>108</v>
      </c>
      <c r="R449" s="16" t="s">
        <v>90</v>
      </c>
      <c r="S449" s="16" t="s">
        <v>94</v>
      </c>
      <c r="T449" s="16" t="s">
        <v>85</v>
      </c>
      <c r="U449" s="16" t="s">
        <v>99</v>
      </c>
      <c r="V449" s="16" t="s">
        <v>135</v>
      </c>
      <c r="W449" s="16" t="s">
        <v>121</v>
      </c>
    </row>
    <row r="450" spans="1:23" x14ac:dyDescent="0.2">
      <c r="A450" s="9" t="s">
        <v>1235</v>
      </c>
      <c r="B450" s="9">
        <f ca="1">+IF(A450=WORLDCUP!$BI$112,1,0)</f>
        <v>0</v>
      </c>
      <c r="C450" s="9" t="str">
        <f ca="1">+WORLDCUP!BD65</f>
        <v>Arabia Saudita</v>
      </c>
      <c r="D450" s="9" t="str">
        <f ca="1">+WORLDCUP!BD63</f>
        <v>Suecia</v>
      </c>
      <c r="E450" s="9" t="str">
        <f ca="1">+WORLDCUP!BD59</f>
        <v>Catar</v>
      </c>
      <c r="F450" s="9" t="str">
        <f ca="1">+WORLDCUP!BD60</f>
        <v>Haití</v>
      </c>
      <c r="G450" s="9" t="str">
        <f ca="1">+WORLDCUP!BD58</f>
        <v>República Checa</v>
      </c>
      <c r="H450" s="9" t="str">
        <f ca="1">+WORLDCUP!BD61</f>
        <v>Australia</v>
      </c>
      <c r="I450" s="9" t="str">
        <f ca="1">+WORLDCUP!BD66</f>
        <v>Senegal</v>
      </c>
      <c r="J450" s="9" t="str">
        <f ca="1">+WORLDCUP!BD68</f>
        <v>RD Congo</v>
      </c>
      <c r="N450" s="16" t="s">
        <v>1235</v>
      </c>
      <c r="O450" s="16">
        <v>449</v>
      </c>
      <c r="P450" s="16" t="s">
        <v>117</v>
      </c>
      <c r="Q450" s="16" t="s">
        <v>108</v>
      </c>
      <c r="R450" s="16" t="s">
        <v>90</v>
      </c>
      <c r="S450" s="16" t="s">
        <v>94</v>
      </c>
      <c r="T450" s="16" t="s">
        <v>85</v>
      </c>
      <c r="U450" s="16" t="s">
        <v>99</v>
      </c>
      <c r="V450" s="16" t="s">
        <v>121</v>
      </c>
      <c r="W450" s="16" t="s">
        <v>130</v>
      </c>
    </row>
    <row r="451" spans="1:23" x14ac:dyDescent="0.2">
      <c r="A451" s="9" t="s">
        <v>1236</v>
      </c>
      <c r="B451" s="9">
        <f ca="1">+IF(A451=WORLDCUP!$BI$112,1,0)</f>
        <v>0</v>
      </c>
      <c r="C451" s="9" t="str">
        <f ca="1">+WORLDCUP!BD65</f>
        <v>Arabia Saudita</v>
      </c>
      <c r="D451" s="9" t="str">
        <f ca="1">+WORLDCUP!BD67</f>
        <v>Argelia</v>
      </c>
      <c r="E451" s="9" t="str">
        <f ca="1">+WORLDCUP!BD59</f>
        <v>Catar</v>
      </c>
      <c r="F451" s="9" t="str">
        <f ca="1">+WORLDCUP!BD60</f>
        <v>Haití</v>
      </c>
      <c r="G451" s="9" t="str">
        <f ca="1">+WORLDCUP!BD58</f>
        <v>República Checa</v>
      </c>
      <c r="H451" s="9" t="str">
        <f ca="1">+WORLDCUP!BD63</f>
        <v>Suecia</v>
      </c>
      <c r="I451" s="9" t="str">
        <f ca="1">+WORLDCUP!BD61</f>
        <v>Australia</v>
      </c>
      <c r="J451" s="9" t="str">
        <f ca="1">+WORLDCUP!BD66</f>
        <v>Senegal</v>
      </c>
      <c r="N451" s="16" t="s">
        <v>1236</v>
      </c>
      <c r="O451" s="16">
        <v>450</v>
      </c>
      <c r="P451" s="16" t="s">
        <v>117</v>
      </c>
      <c r="Q451" s="16" t="s">
        <v>126</v>
      </c>
      <c r="R451" s="16" t="s">
        <v>90</v>
      </c>
      <c r="S451" s="16" t="s">
        <v>94</v>
      </c>
      <c r="T451" s="16" t="s">
        <v>85</v>
      </c>
      <c r="U451" s="16" t="s">
        <v>108</v>
      </c>
      <c r="V451" s="16" t="s">
        <v>99</v>
      </c>
      <c r="W451" s="16" t="s">
        <v>121</v>
      </c>
    </row>
    <row r="452" spans="1:23" x14ac:dyDescent="0.2">
      <c r="A452" s="9" t="s">
        <v>1237</v>
      </c>
      <c r="B452" s="9">
        <f ca="1">+IF(A452=WORLDCUP!$BI$112,1,0)</f>
        <v>0</v>
      </c>
      <c r="C452" s="9" t="str">
        <f ca="1">+WORLDCUP!BD60</f>
        <v>Haití</v>
      </c>
      <c r="D452" s="9" t="str">
        <f ca="1">+WORLDCUP!BD64</f>
        <v>Egipto</v>
      </c>
      <c r="E452" s="9" t="str">
        <f ca="1">+WORLDCUP!BD59</f>
        <v>Catar</v>
      </c>
      <c r="F452" s="9" t="str">
        <f ca="1">+WORLDCUP!BD61</f>
        <v>Australia</v>
      </c>
      <c r="G452" s="9" t="str">
        <f ca="1">+WORLDCUP!BD58</f>
        <v>República Checa</v>
      </c>
      <c r="H452" s="9" t="str">
        <f ca="1">+WORLDCUP!BD63</f>
        <v>Suecia</v>
      </c>
      <c r="I452" s="9" t="str">
        <f ca="1">+WORLDCUP!BD69</f>
        <v>Ghana</v>
      </c>
      <c r="J452" s="9" t="str">
        <f ca="1">+WORLDCUP!BD68</f>
        <v>RD Congo</v>
      </c>
      <c r="N452" s="16" t="s">
        <v>1237</v>
      </c>
      <c r="O452" s="16">
        <v>451</v>
      </c>
      <c r="P452" s="16" t="s">
        <v>94</v>
      </c>
      <c r="Q452" s="16" t="s">
        <v>112</v>
      </c>
      <c r="R452" s="16" t="s">
        <v>90</v>
      </c>
      <c r="S452" s="16" t="s">
        <v>99</v>
      </c>
      <c r="T452" s="16" t="s">
        <v>85</v>
      </c>
      <c r="U452" s="16" t="s">
        <v>108</v>
      </c>
      <c r="V452" s="16" t="s">
        <v>135</v>
      </c>
      <c r="W452" s="16" t="s">
        <v>130</v>
      </c>
    </row>
    <row r="453" spans="1:23" x14ac:dyDescent="0.2">
      <c r="A453" s="9" t="s">
        <v>1238</v>
      </c>
      <c r="B453" s="9">
        <f ca="1">+IF(A453=WORLDCUP!$BI$112,1,0)</f>
        <v>0</v>
      </c>
      <c r="C453" s="9" t="str">
        <f ca="1">+WORLDCUP!BD60</f>
        <v>Haití</v>
      </c>
      <c r="D453" s="9" t="str">
        <f ca="1">+WORLDCUP!BD64</f>
        <v>Egipto</v>
      </c>
      <c r="E453" s="9" t="str">
        <f ca="1">+WORLDCUP!BD59</f>
        <v>Catar</v>
      </c>
      <c r="F453" s="9" t="str">
        <f ca="1">+WORLDCUP!BD61</f>
        <v>Australia</v>
      </c>
      <c r="G453" s="9" t="str">
        <f ca="1">+WORLDCUP!BD58</f>
        <v>República Checa</v>
      </c>
      <c r="H453" s="9" t="str">
        <f ca="1">+WORLDCUP!BD63</f>
        <v>Suecia</v>
      </c>
      <c r="I453" s="9" t="str">
        <f ca="1">+WORLDCUP!BD69</f>
        <v>Ghana</v>
      </c>
      <c r="J453" s="9" t="str">
        <f ca="1">+WORLDCUP!BD67</f>
        <v>Argelia</v>
      </c>
      <c r="N453" s="16" t="s">
        <v>1238</v>
      </c>
      <c r="O453" s="16">
        <v>452</v>
      </c>
      <c r="P453" s="16" t="s">
        <v>94</v>
      </c>
      <c r="Q453" s="16" t="s">
        <v>112</v>
      </c>
      <c r="R453" s="16" t="s">
        <v>90</v>
      </c>
      <c r="S453" s="16" t="s">
        <v>99</v>
      </c>
      <c r="T453" s="16" t="s">
        <v>85</v>
      </c>
      <c r="U453" s="16" t="s">
        <v>108</v>
      </c>
      <c r="V453" s="16" t="s">
        <v>135</v>
      </c>
      <c r="W453" s="16" t="s">
        <v>126</v>
      </c>
    </row>
    <row r="454" spans="1:23" x14ac:dyDescent="0.2">
      <c r="A454" s="9" t="s">
        <v>1239</v>
      </c>
      <c r="B454" s="9">
        <f ca="1">+IF(A454=WORLDCUP!$BI$112,1,0)</f>
        <v>0</v>
      </c>
      <c r="C454" s="9" t="str">
        <f ca="1">+WORLDCUP!BD60</f>
        <v>Haití</v>
      </c>
      <c r="D454" s="9" t="str">
        <f ca="1">+WORLDCUP!BD64</f>
        <v>Egipto</v>
      </c>
      <c r="E454" s="9" t="str">
        <f ca="1">+WORLDCUP!BD59</f>
        <v>Catar</v>
      </c>
      <c r="F454" s="9" t="str">
        <f ca="1">+WORLDCUP!BD61</f>
        <v>Australia</v>
      </c>
      <c r="G454" s="9" t="str">
        <f ca="1">+WORLDCUP!BD58</f>
        <v>República Checa</v>
      </c>
      <c r="H454" s="9" t="str">
        <f ca="1">+WORLDCUP!BD63</f>
        <v>Suecia</v>
      </c>
      <c r="I454" s="9" t="str">
        <f ca="1">+WORLDCUP!BD67</f>
        <v>Argelia</v>
      </c>
      <c r="J454" s="9" t="str">
        <f ca="1">+WORLDCUP!BD68</f>
        <v>RD Congo</v>
      </c>
      <c r="N454" s="16" t="s">
        <v>1239</v>
      </c>
      <c r="O454" s="16">
        <v>453</v>
      </c>
      <c r="P454" s="16" t="s">
        <v>94</v>
      </c>
      <c r="Q454" s="16" t="s">
        <v>112</v>
      </c>
      <c r="R454" s="16" t="s">
        <v>90</v>
      </c>
      <c r="S454" s="16" t="s">
        <v>99</v>
      </c>
      <c r="T454" s="16" t="s">
        <v>85</v>
      </c>
      <c r="U454" s="16" t="s">
        <v>108</v>
      </c>
      <c r="V454" s="16" t="s">
        <v>126</v>
      </c>
      <c r="W454" s="16" t="s">
        <v>130</v>
      </c>
    </row>
    <row r="455" spans="1:23" x14ac:dyDescent="0.2">
      <c r="A455" s="9" t="s">
        <v>1240</v>
      </c>
      <c r="B455" s="9">
        <f ca="1">+IF(A455=WORLDCUP!$BI$112,1,0)</f>
        <v>0</v>
      </c>
      <c r="C455" s="9" t="str">
        <f ca="1">+WORLDCUP!BD60</f>
        <v>Haití</v>
      </c>
      <c r="D455" s="9" t="str">
        <f ca="1">+WORLDCUP!BD64</f>
        <v>Egipto</v>
      </c>
      <c r="E455" s="9" t="str">
        <f ca="1">+WORLDCUP!BD59</f>
        <v>Catar</v>
      </c>
      <c r="F455" s="9" t="str">
        <f ca="1">+WORLDCUP!BD61</f>
        <v>Australia</v>
      </c>
      <c r="G455" s="9" t="str">
        <f ca="1">+WORLDCUP!BD58</f>
        <v>República Checa</v>
      </c>
      <c r="H455" s="9" t="str">
        <f ca="1">+WORLDCUP!BD63</f>
        <v>Suecia</v>
      </c>
      <c r="I455" s="9" t="str">
        <f ca="1">+WORLDCUP!BD69</f>
        <v>Ghana</v>
      </c>
      <c r="J455" s="9" t="str">
        <f ca="1">+WORLDCUP!BD66</f>
        <v>Senegal</v>
      </c>
      <c r="N455" s="16" t="s">
        <v>1240</v>
      </c>
      <c r="O455" s="16">
        <v>454</v>
      </c>
      <c r="P455" s="16" t="s">
        <v>94</v>
      </c>
      <c r="Q455" s="16" t="s">
        <v>112</v>
      </c>
      <c r="R455" s="16" t="s">
        <v>90</v>
      </c>
      <c r="S455" s="16" t="s">
        <v>99</v>
      </c>
      <c r="T455" s="16" t="s">
        <v>85</v>
      </c>
      <c r="U455" s="16" t="s">
        <v>108</v>
      </c>
      <c r="V455" s="16" t="s">
        <v>135</v>
      </c>
      <c r="W455" s="16" t="s">
        <v>121</v>
      </c>
    </row>
    <row r="456" spans="1:23" x14ac:dyDescent="0.2">
      <c r="A456" s="9" t="s">
        <v>1241</v>
      </c>
      <c r="B456" s="9">
        <f ca="1">+IF(A456=WORLDCUP!$BI$112,1,0)</f>
        <v>0</v>
      </c>
      <c r="C456" s="9" t="str">
        <f ca="1">+WORLDCUP!BD60</f>
        <v>Haití</v>
      </c>
      <c r="D456" s="9" t="str">
        <f ca="1">+WORLDCUP!BD64</f>
        <v>Egipto</v>
      </c>
      <c r="E456" s="9" t="str">
        <f ca="1">+WORLDCUP!BD59</f>
        <v>Catar</v>
      </c>
      <c r="F456" s="9" t="str">
        <f ca="1">+WORLDCUP!BD61</f>
        <v>Australia</v>
      </c>
      <c r="G456" s="9" t="str">
        <f ca="1">+WORLDCUP!BD58</f>
        <v>República Checa</v>
      </c>
      <c r="H456" s="9" t="str">
        <f ca="1">+WORLDCUP!BD63</f>
        <v>Suecia</v>
      </c>
      <c r="I456" s="9" t="str">
        <f ca="1">+WORLDCUP!BD66</f>
        <v>Senegal</v>
      </c>
      <c r="J456" s="9" t="str">
        <f ca="1">+WORLDCUP!BD68</f>
        <v>RD Congo</v>
      </c>
      <c r="N456" s="16" t="s">
        <v>1241</v>
      </c>
      <c r="O456" s="16">
        <v>455</v>
      </c>
      <c r="P456" s="16" t="s">
        <v>94</v>
      </c>
      <c r="Q456" s="16" t="s">
        <v>112</v>
      </c>
      <c r="R456" s="16" t="s">
        <v>90</v>
      </c>
      <c r="S456" s="16" t="s">
        <v>99</v>
      </c>
      <c r="T456" s="16" t="s">
        <v>85</v>
      </c>
      <c r="U456" s="16" t="s">
        <v>108</v>
      </c>
      <c r="V456" s="16" t="s">
        <v>121</v>
      </c>
      <c r="W456" s="16" t="s">
        <v>130</v>
      </c>
    </row>
    <row r="457" spans="1:23" x14ac:dyDescent="0.2">
      <c r="A457" s="9" t="s">
        <v>1242</v>
      </c>
      <c r="B457" s="9">
        <f ca="1">+IF(A457=WORLDCUP!$BI$112,1,0)</f>
        <v>0</v>
      </c>
      <c r="C457" s="9" t="str">
        <f ca="1">+WORLDCUP!BD60</f>
        <v>Haití</v>
      </c>
      <c r="D457" s="9" t="str">
        <f ca="1">+WORLDCUP!BD64</f>
        <v>Egipto</v>
      </c>
      <c r="E457" s="9" t="str">
        <f ca="1">+WORLDCUP!BD59</f>
        <v>Catar</v>
      </c>
      <c r="F457" s="9" t="str">
        <f ca="1">+WORLDCUP!BD61</f>
        <v>Australia</v>
      </c>
      <c r="G457" s="9" t="str">
        <f ca="1">+WORLDCUP!BD58</f>
        <v>República Checa</v>
      </c>
      <c r="H457" s="9" t="str">
        <f ca="1">+WORLDCUP!BD63</f>
        <v>Suecia</v>
      </c>
      <c r="I457" s="9" t="str">
        <f ca="1">+WORLDCUP!BD66</f>
        <v>Senegal</v>
      </c>
      <c r="J457" s="9" t="str">
        <f ca="1">+WORLDCUP!BD67</f>
        <v>Argelia</v>
      </c>
      <c r="N457" s="16" t="s">
        <v>1242</v>
      </c>
      <c r="O457" s="16">
        <v>456</v>
      </c>
      <c r="P457" s="16" t="s">
        <v>94</v>
      </c>
      <c r="Q457" s="16" t="s">
        <v>112</v>
      </c>
      <c r="R457" s="16" t="s">
        <v>90</v>
      </c>
      <c r="S457" s="16" t="s">
        <v>99</v>
      </c>
      <c r="T457" s="16" t="s">
        <v>85</v>
      </c>
      <c r="U457" s="16" t="s">
        <v>108</v>
      </c>
      <c r="V457" s="16" t="s">
        <v>121</v>
      </c>
      <c r="W457" s="16" t="s">
        <v>126</v>
      </c>
    </row>
    <row r="458" spans="1:23" x14ac:dyDescent="0.2">
      <c r="A458" s="9" t="s">
        <v>1243</v>
      </c>
      <c r="B458" s="9">
        <f ca="1">+IF(A458=WORLDCUP!$BI$112,1,0)</f>
        <v>0</v>
      </c>
      <c r="C458" s="9" t="str">
        <f ca="1">+WORLDCUP!BD60</f>
        <v>Haití</v>
      </c>
      <c r="D458" s="9" t="str">
        <f ca="1">+WORLDCUP!BD64</f>
        <v>Egipto</v>
      </c>
      <c r="E458" s="9" t="str">
        <f ca="1">+WORLDCUP!BD59</f>
        <v>Catar</v>
      </c>
      <c r="F458" s="9" t="str">
        <f ca="1">+WORLDCUP!BD61</f>
        <v>Australia</v>
      </c>
      <c r="G458" s="9" t="str">
        <f ca="1">+WORLDCUP!BD58</f>
        <v>República Checa</v>
      </c>
      <c r="H458" s="9" t="str">
        <f ca="1">+WORLDCUP!BD63</f>
        <v>Suecia</v>
      </c>
      <c r="I458" s="9" t="str">
        <f ca="1">+WORLDCUP!BD69</f>
        <v>Ghana</v>
      </c>
      <c r="J458" s="9" t="str">
        <f ca="1">+WORLDCUP!BD65</f>
        <v>Arabia Saudita</v>
      </c>
      <c r="N458" s="16" t="s">
        <v>1243</v>
      </c>
      <c r="O458" s="16">
        <v>457</v>
      </c>
      <c r="P458" s="16" t="s">
        <v>94</v>
      </c>
      <c r="Q458" s="16" t="s">
        <v>112</v>
      </c>
      <c r="R458" s="16" t="s">
        <v>90</v>
      </c>
      <c r="S458" s="16" t="s">
        <v>99</v>
      </c>
      <c r="T458" s="16" t="s">
        <v>85</v>
      </c>
      <c r="U458" s="16" t="s">
        <v>108</v>
      </c>
      <c r="V458" s="16" t="s">
        <v>135</v>
      </c>
      <c r="W458" s="16" t="s">
        <v>117</v>
      </c>
    </row>
    <row r="459" spans="1:23" x14ac:dyDescent="0.2">
      <c r="A459" s="9" t="s">
        <v>1244</v>
      </c>
      <c r="B459" s="9">
        <f ca="1">+IF(A459=WORLDCUP!$BI$112,1,0)</f>
        <v>0</v>
      </c>
      <c r="C459" s="9" t="str">
        <f ca="1">+WORLDCUP!BD65</f>
        <v>Arabia Saudita</v>
      </c>
      <c r="D459" s="9" t="str">
        <f ca="1">+WORLDCUP!BD64</f>
        <v>Egipto</v>
      </c>
      <c r="E459" s="9" t="str">
        <f ca="1">+WORLDCUP!BD59</f>
        <v>Catar</v>
      </c>
      <c r="F459" s="9" t="str">
        <f ca="1">+WORLDCUP!BD60</f>
        <v>Haití</v>
      </c>
      <c r="G459" s="9" t="str">
        <f ca="1">+WORLDCUP!BD58</f>
        <v>República Checa</v>
      </c>
      <c r="H459" s="9" t="str">
        <f ca="1">+WORLDCUP!BD63</f>
        <v>Suecia</v>
      </c>
      <c r="I459" s="9" t="str">
        <f ca="1">+WORLDCUP!BD61</f>
        <v>Australia</v>
      </c>
      <c r="J459" s="9" t="str">
        <f ca="1">+WORLDCUP!BD68</f>
        <v>RD Congo</v>
      </c>
      <c r="N459" s="16" t="s">
        <v>1244</v>
      </c>
      <c r="O459" s="16">
        <v>458</v>
      </c>
      <c r="P459" s="16" t="s">
        <v>117</v>
      </c>
      <c r="Q459" s="16" t="s">
        <v>112</v>
      </c>
      <c r="R459" s="16" t="s">
        <v>90</v>
      </c>
      <c r="S459" s="16" t="s">
        <v>94</v>
      </c>
      <c r="T459" s="16" t="s">
        <v>85</v>
      </c>
      <c r="U459" s="16" t="s">
        <v>108</v>
      </c>
      <c r="V459" s="16" t="s">
        <v>99</v>
      </c>
      <c r="W459" s="16" t="s">
        <v>130</v>
      </c>
    </row>
    <row r="460" spans="1:23" x14ac:dyDescent="0.2">
      <c r="A460" s="9" t="s">
        <v>1245</v>
      </c>
      <c r="B460" s="9">
        <f ca="1">+IF(A460=WORLDCUP!$BI$112,1,0)</f>
        <v>0</v>
      </c>
      <c r="C460" s="9" t="str">
        <f ca="1">+WORLDCUP!BD65</f>
        <v>Arabia Saudita</v>
      </c>
      <c r="D460" s="9" t="str">
        <f ca="1">+WORLDCUP!BD64</f>
        <v>Egipto</v>
      </c>
      <c r="E460" s="9" t="str">
        <f ca="1">+WORLDCUP!BD59</f>
        <v>Catar</v>
      </c>
      <c r="F460" s="9" t="str">
        <f ca="1">+WORLDCUP!BD60</f>
        <v>Haití</v>
      </c>
      <c r="G460" s="9" t="str">
        <f ca="1">+WORLDCUP!BD58</f>
        <v>República Checa</v>
      </c>
      <c r="H460" s="9" t="str">
        <f ca="1">+WORLDCUP!BD63</f>
        <v>Suecia</v>
      </c>
      <c r="I460" s="9" t="str">
        <f ca="1">+WORLDCUP!BD61</f>
        <v>Australia</v>
      </c>
      <c r="J460" s="9" t="str">
        <f ca="1">+WORLDCUP!BD67</f>
        <v>Argelia</v>
      </c>
      <c r="N460" s="16" t="s">
        <v>1245</v>
      </c>
      <c r="O460" s="16">
        <v>459</v>
      </c>
      <c r="P460" s="16" t="s">
        <v>117</v>
      </c>
      <c r="Q460" s="16" t="s">
        <v>112</v>
      </c>
      <c r="R460" s="16" t="s">
        <v>90</v>
      </c>
      <c r="S460" s="16" t="s">
        <v>94</v>
      </c>
      <c r="T460" s="16" t="s">
        <v>85</v>
      </c>
      <c r="U460" s="16" t="s">
        <v>108</v>
      </c>
      <c r="V460" s="16" t="s">
        <v>99</v>
      </c>
      <c r="W460" s="16" t="s">
        <v>126</v>
      </c>
    </row>
    <row r="461" spans="1:23" x14ac:dyDescent="0.2">
      <c r="A461" s="9" t="s">
        <v>1246</v>
      </c>
      <c r="B461" s="9">
        <f ca="1">+IF(A461=WORLDCUP!$BI$112,1,0)</f>
        <v>0</v>
      </c>
      <c r="C461" s="9" t="str">
        <f ca="1">+WORLDCUP!BD65</f>
        <v>Arabia Saudita</v>
      </c>
      <c r="D461" s="9" t="str">
        <f ca="1">+WORLDCUP!BD64</f>
        <v>Egipto</v>
      </c>
      <c r="E461" s="9" t="str">
        <f ca="1">+WORLDCUP!BD59</f>
        <v>Catar</v>
      </c>
      <c r="F461" s="9" t="str">
        <f ca="1">+WORLDCUP!BD60</f>
        <v>Haití</v>
      </c>
      <c r="G461" s="9" t="str">
        <f ca="1">+WORLDCUP!BD58</f>
        <v>República Checa</v>
      </c>
      <c r="H461" s="9" t="str">
        <f ca="1">+WORLDCUP!BD63</f>
        <v>Suecia</v>
      </c>
      <c r="I461" s="9" t="str">
        <f ca="1">+WORLDCUP!BD61</f>
        <v>Australia</v>
      </c>
      <c r="J461" s="9" t="str">
        <f ca="1">+WORLDCUP!BD66</f>
        <v>Senegal</v>
      </c>
      <c r="N461" s="16" t="s">
        <v>1246</v>
      </c>
      <c r="O461" s="16">
        <v>460</v>
      </c>
      <c r="P461" s="16" t="s">
        <v>117</v>
      </c>
      <c r="Q461" s="16" t="s">
        <v>112</v>
      </c>
      <c r="R461" s="16" t="s">
        <v>90</v>
      </c>
      <c r="S461" s="16" t="s">
        <v>94</v>
      </c>
      <c r="T461" s="16" t="s">
        <v>85</v>
      </c>
      <c r="U461" s="16" t="s">
        <v>108</v>
      </c>
      <c r="V461" s="16" t="s">
        <v>99</v>
      </c>
      <c r="W461" s="16" t="s">
        <v>121</v>
      </c>
    </row>
    <row r="462" spans="1:23" x14ac:dyDescent="0.2">
      <c r="A462" s="9" t="s">
        <v>1247</v>
      </c>
      <c r="B462" s="9">
        <f ca="1">+IF(A462=WORLDCUP!$BI$112,1,0)</f>
        <v>0</v>
      </c>
      <c r="C462" s="9" t="str">
        <f ca="1">+WORLDCUP!BD62</f>
        <v>Curazao</v>
      </c>
      <c r="D462" s="9" t="str">
        <f ca="1">+WORLDCUP!BD67</f>
        <v>Argelia</v>
      </c>
      <c r="E462" s="9" t="str">
        <f ca="1">+WORLDCUP!BD59</f>
        <v>Catar</v>
      </c>
      <c r="F462" s="9" t="str">
        <f ca="1">+WORLDCUP!BD60</f>
        <v>Haití</v>
      </c>
      <c r="G462" s="9" t="str">
        <f ca="1">+WORLDCUP!BD58</f>
        <v>República Checa</v>
      </c>
      <c r="H462" s="9" t="str">
        <f ca="1">+WORLDCUP!BD61</f>
        <v>Australia</v>
      </c>
      <c r="I462" s="9" t="str">
        <f ca="1">+WORLDCUP!BD69</f>
        <v>Ghana</v>
      </c>
      <c r="J462" s="9" t="str">
        <f ca="1">+WORLDCUP!BD68</f>
        <v>RD Congo</v>
      </c>
      <c r="N462" s="16" t="s">
        <v>1247</v>
      </c>
      <c r="O462" s="16">
        <v>461</v>
      </c>
      <c r="P462" s="16" t="s">
        <v>103</v>
      </c>
      <c r="Q462" s="16" t="s">
        <v>126</v>
      </c>
      <c r="R462" s="16" t="s">
        <v>90</v>
      </c>
      <c r="S462" s="16" t="s">
        <v>94</v>
      </c>
      <c r="T462" s="16" t="s">
        <v>85</v>
      </c>
      <c r="U462" s="16" t="s">
        <v>99</v>
      </c>
      <c r="V462" s="16" t="s">
        <v>135</v>
      </c>
      <c r="W462" s="16" t="s">
        <v>130</v>
      </c>
    </row>
    <row r="463" spans="1:23" x14ac:dyDescent="0.2">
      <c r="A463" s="9" t="s">
        <v>1248</v>
      </c>
      <c r="B463" s="9">
        <f ca="1">+IF(A463=WORLDCUP!$BI$112,1,0)</f>
        <v>0</v>
      </c>
      <c r="C463" s="9" t="str">
        <f ca="1">+WORLDCUP!BD62</f>
        <v>Curazao</v>
      </c>
      <c r="D463" s="9" t="str">
        <f ca="1">+WORLDCUP!BD66</f>
        <v>Senegal</v>
      </c>
      <c r="E463" s="9" t="str">
        <f ca="1">+WORLDCUP!BD59</f>
        <v>Catar</v>
      </c>
      <c r="F463" s="9" t="str">
        <f ca="1">+WORLDCUP!BD60</f>
        <v>Haití</v>
      </c>
      <c r="G463" s="9" t="str">
        <f ca="1">+WORLDCUP!BD58</f>
        <v>República Checa</v>
      </c>
      <c r="H463" s="9" t="str">
        <f ca="1">+WORLDCUP!BD61</f>
        <v>Australia</v>
      </c>
      <c r="I463" s="9" t="str">
        <f ca="1">+WORLDCUP!BD69</f>
        <v>Ghana</v>
      </c>
      <c r="J463" s="9" t="str">
        <f ca="1">+WORLDCUP!BD68</f>
        <v>RD Congo</v>
      </c>
      <c r="N463" s="16" t="s">
        <v>1248</v>
      </c>
      <c r="O463" s="16">
        <v>462</v>
      </c>
      <c r="P463" s="16" t="s">
        <v>103</v>
      </c>
      <c r="Q463" s="16" t="s">
        <v>121</v>
      </c>
      <c r="R463" s="16" t="s">
        <v>90</v>
      </c>
      <c r="S463" s="16" t="s">
        <v>94</v>
      </c>
      <c r="T463" s="16" t="s">
        <v>85</v>
      </c>
      <c r="U463" s="16" t="s">
        <v>99</v>
      </c>
      <c r="V463" s="16" t="s">
        <v>135</v>
      </c>
      <c r="W463" s="16" t="s">
        <v>130</v>
      </c>
    </row>
    <row r="464" spans="1:23" x14ac:dyDescent="0.2">
      <c r="A464" s="9" t="s">
        <v>1249</v>
      </c>
      <c r="B464" s="9">
        <f ca="1">+IF(A464=WORLDCUP!$BI$112,1,0)</f>
        <v>0</v>
      </c>
      <c r="C464" s="9" t="str">
        <f ca="1">+WORLDCUP!BD62</f>
        <v>Curazao</v>
      </c>
      <c r="D464" s="9" t="str">
        <f ca="1">+WORLDCUP!BD67</f>
        <v>Argelia</v>
      </c>
      <c r="E464" s="9" t="str">
        <f ca="1">+WORLDCUP!BD59</f>
        <v>Catar</v>
      </c>
      <c r="F464" s="9" t="str">
        <f ca="1">+WORLDCUP!BD60</f>
        <v>Haití</v>
      </c>
      <c r="G464" s="9" t="str">
        <f ca="1">+WORLDCUP!BD58</f>
        <v>República Checa</v>
      </c>
      <c r="H464" s="9" t="str">
        <f ca="1">+WORLDCUP!BD61</f>
        <v>Australia</v>
      </c>
      <c r="I464" s="9" t="str">
        <f ca="1">+WORLDCUP!BD69</f>
        <v>Ghana</v>
      </c>
      <c r="J464" s="9" t="str">
        <f ca="1">+WORLDCUP!BD66</f>
        <v>Senegal</v>
      </c>
      <c r="N464" s="16" t="s">
        <v>1249</v>
      </c>
      <c r="O464" s="16">
        <v>463</v>
      </c>
      <c r="P464" s="16" t="s">
        <v>103</v>
      </c>
      <c r="Q464" s="16" t="s">
        <v>126</v>
      </c>
      <c r="R464" s="16" t="s">
        <v>90</v>
      </c>
      <c r="S464" s="16" t="s">
        <v>94</v>
      </c>
      <c r="T464" s="16" t="s">
        <v>85</v>
      </c>
      <c r="U464" s="16" t="s">
        <v>99</v>
      </c>
      <c r="V464" s="16" t="s">
        <v>135</v>
      </c>
      <c r="W464" s="16" t="s">
        <v>121</v>
      </c>
    </row>
    <row r="465" spans="1:23" x14ac:dyDescent="0.2">
      <c r="A465" s="9" t="s">
        <v>1250</v>
      </c>
      <c r="B465" s="9">
        <f ca="1">+IF(A465=WORLDCUP!$BI$112,1,0)</f>
        <v>0</v>
      </c>
      <c r="C465" s="9" t="str">
        <f ca="1">+WORLDCUP!BD62</f>
        <v>Curazao</v>
      </c>
      <c r="D465" s="9" t="str">
        <f ca="1">+WORLDCUP!BD67</f>
        <v>Argelia</v>
      </c>
      <c r="E465" s="9" t="str">
        <f ca="1">+WORLDCUP!BD59</f>
        <v>Catar</v>
      </c>
      <c r="F465" s="9" t="str">
        <f ca="1">+WORLDCUP!BD60</f>
        <v>Haití</v>
      </c>
      <c r="G465" s="9" t="str">
        <f ca="1">+WORLDCUP!BD58</f>
        <v>República Checa</v>
      </c>
      <c r="H465" s="9" t="str">
        <f ca="1">+WORLDCUP!BD61</f>
        <v>Australia</v>
      </c>
      <c r="I465" s="9" t="str">
        <f ca="1">+WORLDCUP!BD66</f>
        <v>Senegal</v>
      </c>
      <c r="J465" s="9" t="str">
        <f ca="1">+WORLDCUP!BD68</f>
        <v>RD Congo</v>
      </c>
      <c r="N465" s="16" t="s">
        <v>1250</v>
      </c>
      <c r="O465" s="16">
        <v>464</v>
      </c>
      <c r="P465" s="16" t="s">
        <v>103</v>
      </c>
      <c r="Q465" s="16" t="s">
        <v>126</v>
      </c>
      <c r="R465" s="16" t="s">
        <v>90</v>
      </c>
      <c r="S465" s="16" t="s">
        <v>94</v>
      </c>
      <c r="T465" s="16" t="s">
        <v>85</v>
      </c>
      <c r="U465" s="16" t="s">
        <v>99</v>
      </c>
      <c r="V465" s="16" t="s">
        <v>121</v>
      </c>
      <c r="W465" s="16" t="s">
        <v>130</v>
      </c>
    </row>
    <row r="466" spans="1:23" x14ac:dyDescent="0.2">
      <c r="A466" s="9" t="s">
        <v>1251</v>
      </c>
      <c r="B466" s="9">
        <f ca="1">+IF(A466=WORLDCUP!$BI$112,1,0)</f>
        <v>0</v>
      </c>
      <c r="C466" s="9" t="str">
        <f ca="1">+WORLDCUP!BD65</f>
        <v>Arabia Saudita</v>
      </c>
      <c r="D466" s="9" t="str">
        <f ca="1">+WORLDCUP!BD62</f>
        <v>Curazao</v>
      </c>
      <c r="E466" s="9" t="str">
        <f ca="1">+WORLDCUP!BD59</f>
        <v>Catar</v>
      </c>
      <c r="F466" s="9" t="str">
        <f ca="1">+WORLDCUP!BD60</f>
        <v>Haití</v>
      </c>
      <c r="G466" s="9" t="str">
        <f ca="1">+WORLDCUP!BD58</f>
        <v>República Checa</v>
      </c>
      <c r="H466" s="9" t="str">
        <f ca="1">+WORLDCUP!BD61</f>
        <v>Australia</v>
      </c>
      <c r="I466" s="9" t="str">
        <f ca="1">+WORLDCUP!BD69</f>
        <v>Ghana</v>
      </c>
      <c r="J466" s="9" t="str">
        <f ca="1">+WORLDCUP!BD68</f>
        <v>RD Congo</v>
      </c>
      <c r="N466" s="16" t="s">
        <v>1251</v>
      </c>
      <c r="O466" s="16">
        <v>465</v>
      </c>
      <c r="P466" s="16" t="s">
        <v>117</v>
      </c>
      <c r="Q466" s="16" t="s">
        <v>103</v>
      </c>
      <c r="R466" s="16" t="s">
        <v>90</v>
      </c>
      <c r="S466" s="16" t="s">
        <v>94</v>
      </c>
      <c r="T466" s="16" t="s">
        <v>85</v>
      </c>
      <c r="U466" s="16" t="s">
        <v>99</v>
      </c>
      <c r="V466" s="16" t="s">
        <v>135</v>
      </c>
      <c r="W466" s="16" t="s">
        <v>130</v>
      </c>
    </row>
    <row r="467" spans="1:23" x14ac:dyDescent="0.2">
      <c r="A467" s="9" t="s">
        <v>1252</v>
      </c>
      <c r="B467" s="9">
        <f ca="1">+IF(A467=WORLDCUP!$BI$112,1,0)</f>
        <v>0</v>
      </c>
      <c r="C467" s="9" t="str">
        <f ca="1">+WORLDCUP!BD65</f>
        <v>Arabia Saudita</v>
      </c>
      <c r="D467" s="9" t="str">
        <f ca="1">+WORLDCUP!BD67</f>
        <v>Argelia</v>
      </c>
      <c r="E467" s="9" t="str">
        <f ca="1">+WORLDCUP!BD59</f>
        <v>Catar</v>
      </c>
      <c r="F467" s="9" t="str">
        <f ca="1">+WORLDCUP!BD60</f>
        <v>Haití</v>
      </c>
      <c r="G467" s="9" t="str">
        <f ca="1">+WORLDCUP!BD58</f>
        <v>República Checa</v>
      </c>
      <c r="H467" s="9" t="str">
        <f ca="1">+WORLDCUP!BD61</f>
        <v>Australia</v>
      </c>
      <c r="I467" s="9" t="str">
        <f ca="1">+WORLDCUP!BD69</f>
        <v>Ghana</v>
      </c>
      <c r="J467" s="9" t="str">
        <f ca="1">+WORLDCUP!BD62</f>
        <v>Curazao</v>
      </c>
      <c r="N467" s="16" t="s">
        <v>1252</v>
      </c>
      <c r="O467" s="16">
        <v>466</v>
      </c>
      <c r="P467" s="16" t="s">
        <v>117</v>
      </c>
      <c r="Q467" s="16" t="s">
        <v>126</v>
      </c>
      <c r="R467" s="16" t="s">
        <v>90</v>
      </c>
      <c r="S467" s="16" t="s">
        <v>94</v>
      </c>
      <c r="T467" s="16" t="s">
        <v>85</v>
      </c>
      <c r="U467" s="16" t="s">
        <v>99</v>
      </c>
      <c r="V467" s="16" t="s">
        <v>135</v>
      </c>
      <c r="W467" s="16" t="s">
        <v>103</v>
      </c>
    </row>
    <row r="468" spans="1:23" x14ac:dyDescent="0.2">
      <c r="A468" s="9" t="s">
        <v>1253</v>
      </c>
      <c r="B468" s="9">
        <f ca="1">+IF(A468=WORLDCUP!$BI$112,1,0)</f>
        <v>0</v>
      </c>
      <c r="C468" s="9" t="str">
        <f ca="1">+WORLDCUP!BD65</f>
        <v>Arabia Saudita</v>
      </c>
      <c r="D468" s="9" t="str">
        <f ca="1">+WORLDCUP!BD67</f>
        <v>Argelia</v>
      </c>
      <c r="E468" s="9" t="str">
        <f ca="1">+WORLDCUP!BD59</f>
        <v>Catar</v>
      </c>
      <c r="F468" s="9" t="str">
        <f ca="1">+WORLDCUP!BD60</f>
        <v>Haití</v>
      </c>
      <c r="G468" s="9" t="str">
        <f ca="1">+WORLDCUP!BD58</f>
        <v>República Checa</v>
      </c>
      <c r="H468" s="9" t="str">
        <f ca="1">+WORLDCUP!BD61</f>
        <v>Australia</v>
      </c>
      <c r="I468" s="9" t="str">
        <f ca="1">+WORLDCUP!BD62</f>
        <v>Curazao</v>
      </c>
      <c r="J468" s="9" t="str">
        <f ca="1">+WORLDCUP!BD68</f>
        <v>RD Congo</v>
      </c>
      <c r="N468" s="16" t="s">
        <v>1253</v>
      </c>
      <c r="O468" s="16">
        <v>467</v>
      </c>
      <c r="P468" s="16" t="s">
        <v>117</v>
      </c>
      <c r="Q468" s="16" t="s">
        <v>126</v>
      </c>
      <c r="R468" s="16" t="s">
        <v>90</v>
      </c>
      <c r="S468" s="16" t="s">
        <v>94</v>
      </c>
      <c r="T468" s="16" t="s">
        <v>85</v>
      </c>
      <c r="U468" s="16" t="s">
        <v>99</v>
      </c>
      <c r="V468" s="16" t="s">
        <v>103</v>
      </c>
      <c r="W468" s="16" t="s">
        <v>130</v>
      </c>
    </row>
    <row r="469" spans="1:23" x14ac:dyDescent="0.2">
      <c r="A469" s="9" t="s">
        <v>1254</v>
      </c>
      <c r="B469" s="9">
        <f ca="1">+IF(A469=WORLDCUP!$BI$112,1,0)</f>
        <v>0</v>
      </c>
      <c r="C469" s="9" t="str">
        <f ca="1">+WORLDCUP!BD65</f>
        <v>Arabia Saudita</v>
      </c>
      <c r="D469" s="9" t="str">
        <f ca="1">+WORLDCUP!BD62</f>
        <v>Curazao</v>
      </c>
      <c r="E469" s="9" t="str">
        <f ca="1">+WORLDCUP!BD59</f>
        <v>Catar</v>
      </c>
      <c r="F469" s="9" t="str">
        <f ca="1">+WORLDCUP!BD60</f>
        <v>Haití</v>
      </c>
      <c r="G469" s="9" t="str">
        <f ca="1">+WORLDCUP!BD58</f>
        <v>República Checa</v>
      </c>
      <c r="H469" s="9" t="str">
        <f ca="1">+WORLDCUP!BD61</f>
        <v>Australia</v>
      </c>
      <c r="I469" s="9" t="str">
        <f ca="1">+WORLDCUP!BD69</f>
        <v>Ghana</v>
      </c>
      <c r="J469" s="9" t="str">
        <f ca="1">+WORLDCUP!BD66</f>
        <v>Senegal</v>
      </c>
      <c r="N469" s="16" t="s">
        <v>1254</v>
      </c>
      <c r="O469" s="16">
        <v>468</v>
      </c>
      <c r="P469" s="16" t="s">
        <v>117</v>
      </c>
      <c r="Q469" s="16" t="s">
        <v>103</v>
      </c>
      <c r="R469" s="16" t="s">
        <v>90</v>
      </c>
      <c r="S469" s="16" t="s">
        <v>94</v>
      </c>
      <c r="T469" s="16" t="s">
        <v>85</v>
      </c>
      <c r="U469" s="16" t="s">
        <v>99</v>
      </c>
      <c r="V469" s="16" t="s">
        <v>135</v>
      </c>
      <c r="W469" s="16" t="s">
        <v>121</v>
      </c>
    </row>
    <row r="470" spans="1:23" x14ac:dyDescent="0.2">
      <c r="A470" s="9" t="s">
        <v>1255</v>
      </c>
      <c r="B470" s="9">
        <f ca="1">+IF(A470=WORLDCUP!$BI$112,1,0)</f>
        <v>0</v>
      </c>
      <c r="C470" s="9" t="str">
        <f ca="1">+WORLDCUP!BD65</f>
        <v>Arabia Saudita</v>
      </c>
      <c r="D470" s="9" t="str">
        <f ca="1">+WORLDCUP!BD62</f>
        <v>Curazao</v>
      </c>
      <c r="E470" s="9" t="str">
        <f ca="1">+WORLDCUP!BD59</f>
        <v>Catar</v>
      </c>
      <c r="F470" s="9" t="str">
        <f ca="1">+WORLDCUP!BD60</f>
        <v>Haití</v>
      </c>
      <c r="G470" s="9" t="str">
        <f ca="1">+WORLDCUP!BD58</f>
        <v>República Checa</v>
      </c>
      <c r="H470" s="9" t="str">
        <f ca="1">+WORLDCUP!BD61</f>
        <v>Australia</v>
      </c>
      <c r="I470" s="9" t="str">
        <f ca="1">+WORLDCUP!BD66</f>
        <v>Senegal</v>
      </c>
      <c r="J470" s="9" t="str">
        <f ca="1">+WORLDCUP!BD68</f>
        <v>RD Congo</v>
      </c>
      <c r="N470" s="16" t="s">
        <v>1255</v>
      </c>
      <c r="O470" s="16">
        <v>469</v>
      </c>
      <c r="P470" s="16" t="s">
        <v>117</v>
      </c>
      <c r="Q470" s="16" t="s">
        <v>103</v>
      </c>
      <c r="R470" s="16" t="s">
        <v>90</v>
      </c>
      <c r="S470" s="16" t="s">
        <v>94</v>
      </c>
      <c r="T470" s="16" t="s">
        <v>85</v>
      </c>
      <c r="U470" s="16" t="s">
        <v>99</v>
      </c>
      <c r="V470" s="16" t="s">
        <v>121</v>
      </c>
      <c r="W470" s="16" t="s">
        <v>130</v>
      </c>
    </row>
    <row r="471" spans="1:23" x14ac:dyDescent="0.2">
      <c r="A471" s="9" t="s">
        <v>1256</v>
      </c>
      <c r="B471" s="9">
        <f ca="1">+IF(A471=WORLDCUP!$BI$112,1,0)</f>
        <v>0</v>
      </c>
      <c r="C471" s="9" t="str">
        <f ca="1">+WORLDCUP!BD65</f>
        <v>Arabia Saudita</v>
      </c>
      <c r="D471" s="9" t="str">
        <f ca="1">+WORLDCUP!BD67</f>
        <v>Argelia</v>
      </c>
      <c r="E471" s="9" t="str">
        <f ca="1">+WORLDCUP!BD59</f>
        <v>Catar</v>
      </c>
      <c r="F471" s="9" t="str">
        <f ca="1">+WORLDCUP!BD60</f>
        <v>Haití</v>
      </c>
      <c r="G471" s="9" t="str">
        <f ca="1">+WORLDCUP!BD58</f>
        <v>República Checa</v>
      </c>
      <c r="H471" s="9" t="str">
        <f ca="1">+WORLDCUP!BD61</f>
        <v>Australia</v>
      </c>
      <c r="I471" s="9" t="str">
        <f ca="1">+WORLDCUP!BD62</f>
        <v>Curazao</v>
      </c>
      <c r="J471" s="9" t="str">
        <f ca="1">+WORLDCUP!BD66</f>
        <v>Senegal</v>
      </c>
      <c r="N471" s="16" t="s">
        <v>1256</v>
      </c>
      <c r="O471" s="16">
        <v>470</v>
      </c>
      <c r="P471" s="16" t="s">
        <v>117</v>
      </c>
      <c r="Q471" s="16" t="s">
        <v>126</v>
      </c>
      <c r="R471" s="16" t="s">
        <v>90</v>
      </c>
      <c r="S471" s="16" t="s">
        <v>94</v>
      </c>
      <c r="T471" s="16" t="s">
        <v>85</v>
      </c>
      <c r="U471" s="16" t="s">
        <v>99</v>
      </c>
      <c r="V471" s="16" t="s">
        <v>103</v>
      </c>
      <c r="W471" s="16" t="s">
        <v>121</v>
      </c>
    </row>
    <row r="472" spans="1:23" x14ac:dyDescent="0.2">
      <c r="A472" s="9" t="s">
        <v>1257</v>
      </c>
      <c r="B472" s="9">
        <f ca="1">+IF(A472=WORLDCUP!$BI$112,1,0)</f>
        <v>0</v>
      </c>
      <c r="C472" s="9" t="str">
        <f ca="1">+WORLDCUP!BD62</f>
        <v>Curazao</v>
      </c>
      <c r="D472" s="9" t="str">
        <f ca="1">+WORLDCUP!BD64</f>
        <v>Egipto</v>
      </c>
      <c r="E472" s="9" t="str">
        <f ca="1">+WORLDCUP!BD59</f>
        <v>Catar</v>
      </c>
      <c r="F472" s="9" t="str">
        <f ca="1">+WORLDCUP!BD60</f>
        <v>Haití</v>
      </c>
      <c r="G472" s="9" t="str">
        <f ca="1">+WORLDCUP!BD58</f>
        <v>República Checa</v>
      </c>
      <c r="H472" s="9" t="str">
        <f ca="1">+WORLDCUP!BD61</f>
        <v>Australia</v>
      </c>
      <c r="I472" s="9" t="str">
        <f ca="1">+WORLDCUP!BD69</f>
        <v>Ghana</v>
      </c>
      <c r="J472" s="9" t="str">
        <f ca="1">+WORLDCUP!BD68</f>
        <v>RD Congo</v>
      </c>
      <c r="N472" s="16" t="s">
        <v>1257</v>
      </c>
      <c r="O472" s="16">
        <v>471</v>
      </c>
      <c r="P472" s="16" t="s">
        <v>103</v>
      </c>
      <c r="Q472" s="16" t="s">
        <v>112</v>
      </c>
      <c r="R472" s="16" t="s">
        <v>90</v>
      </c>
      <c r="S472" s="16" t="s">
        <v>94</v>
      </c>
      <c r="T472" s="16" t="s">
        <v>85</v>
      </c>
      <c r="U472" s="16" t="s">
        <v>99</v>
      </c>
      <c r="V472" s="16" t="s">
        <v>135</v>
      </c>
      <c r="W472" s="16" t="s">
        <v>130</v>
      </c>
    </row>
    <row r="473" spans="1:23" x14ac:dyDescent="0.2">
      <c r="A473" s="9" t="s">
        <v>1258</v>
      </c>
      <c r="B473" s="9">
        <f ca="1">+IF(A473=WORLDCUP!$BI$112,1,0)</f>
        <v>0</v>
      </c>
      <c r="C473" s="9" t="str">
        <f ca="1">+WORLDCUP!BD62</f>
        <v>Curazao</v>
      </c>
      <c r="D473" s="9" t="str">
        <f ca="1">+WORLDCUP!BD64</f>
        <v>Egipto</v>
      </c>
      <c r="E473" s="9" t="str">
        <f ca="1">+WORLDCUP!BD59</f>
        <v>Catar</v>
      </c>
      <c r="F473" s="9" t="str">
        <f ca="1">+WORLDCUP!BD60</f>
        <v>Haití</v>
      </c>
      <c r="G473" s="9" t="str">
        <f ca="1">+WORLDCUP!BD58</f>
        <v>República Checa</v>
      </c>
      <c r="H473" s="9" t="str">
        <f ca="1">+WORLDCUP!BD61</f>
        <v>Australia</v>
      </c>
      <c r="I473" s="9" t="str">
        <f ca="1">+WORLDCUP!BD69</f>
        <v>Ghana</v>
      </c>
      <c r="J473" s="9" t="str">
        <f ca="1">+WORLDCUP!BD67</f>
        <v>Argelia</v>
      </c>
      <c r="N473" s="16" t="s">
        <v>1258</v>
      </c>
      <c r="O473" s="16">
        <v>472</v>
      </c>
      <c r="P473" s="16" t="s">
        <v>103</v>
      </c>
      <c r="Q473" s="16" t="s">
        <v>112</v>
      </c>
      <c r="R473" s="16" t="s">
        <v>90</v>
      </c>
      <c r="S473" s="16" t="s">
        <v>94</v>
      </c>
      <c r="T473" s="16" t="s">
        <v>85</v>
      </c>
      <c r="U473" s="16" t="s">
        <v>99</v>
      </c>
      <c r="V473" s="16" t="s">
        <v>135</v>
      </c>
      <c r="W473" s="16" t="s">
        <v>126</v>
      </c>
    </row>
    <row r="474" spans="1:23" x14ac:dyDescent="0.2">
      <c r="A474" s="9" t="s">
        <v>1259</v>
      </c>
      <c r="B474" s="9">
        <f ca="1">+IF(A474=WORLDCUP!$BI$112,1,0)</f>
        <v>0</v>
      </c>
      <c r="C474" s="9" t="str">
        <f ca="1">+WORLDCUP!BD62</f>
        <v>Curazao</v>
      </c>
      <c r="D474" s="9" t="str">
        <f ca="1">+WORLDCUP!BD64</f>
        <v>Egipto</v>
      </c>
      <c r="E474" s="9" t="str">
        <f ca="1">+WORLDCUP!BD59</f>
        <v>Catar</v>
      </c>
      <c r="F474" s="9" t="str">
        <f ca="1">+WORLDCUP!BD60</f>
        <v>Haití</v>
      </c>
      <c r="G474" s="9" t="str">
        <f ca="1">+WORLDCUP!BD58</f>
        <v>República Checa</v>
      </c>
      <c r="H474" s="9" t="str">
        <f ca="1">+WORLDCUP!BD61</f>
        <v>Australia</v>
      </c>
      <c r="I474" s="9" t="str">
        <f ca="1">+WORLDCUP!BD67</f>
        <v>Argelia</v>
      </c>
      <c r="J474" s="9" t="str">
        <f ca="1">+WORLDCUP!BD68</f>
        <v>RD Congo</v>
      </c>
      <c r="N474" s="16" t="s">
        <v>1259</v>
      </c>
      <c r="O474" s="16">
        <v>473</v>
      </c>
      <c r="P474" s="16" t="s">
        <v>103</v>
      </c>
      <c r="Q474" s="16" t="s">
        <v>112</v>
      </c>
      <c r="R474" s="16" t="s">
        <v>90</v>
      </c>
      <c r="S474" s="16" t="s">
        <v>94</v>
      </c>
      <c r="T474" s="16" t="s">
        <v>85</v>
      </c>
      <c r="U474" s="16" t="s">
        <v>99</v>
      </c>
      <c r="V474" s="16" t="s">
        <v>126</v>
      </c>
      <c r="W474" s="16" t="s">
        <v>130</v>
      </c>
    </row>
    <row r="475" spans="1:23" x14ac:dyDescent="0.2">
      <c r="A475" s="9" t="s">
        <v>1260</v>
      </c>
      <c r="B475" s="9">
        <f ca="1">+IF(A475=WORLDCUP!$BI$112,1,0)</f>
        <v>0</v>
      </c>
      <c r="C475" s="9" t="str">
        <f ca="1">+WORLDCUP!BD62</f>
        <v>Curazao</v>
      </c>
      <c r="D475" s="9" t="str">
        <f ca="1">+WORLDCUP!BD64</f>
        <v>Egipto</v>
      </c>
      <c r="E475" s="9" t="str">
        <f ca="1">+WORLDCUP!BD59</f>
        <v>Catar</v>
      </c>
      <c r="F475" s="9" t="str">
        <f ca="1">+WORLDCUP!BD60</f>
        <v>Haití</v>
      </c>
      <c r="G475" s="9" t="str">
        <f ca="1">+WORLDCUP!BD58</f>
        <v>República Checa</v>
      </c>
      <c r="H475" s="9" t="str">
        <f ca="1">+WORLDCUP!BD61</f>
        <v>Australia</v>
      </c>
      <c r="I475" s="9" t="str">
        <f ca="1">+WORLDCUP!BD69</f>
        <v>Ghana</v>
      </c>
      <c r="J475" s="9" t="str">
        <f ca="1">+WORLDCUP!BD66</f>
        <v>Senegal</v>
      </c>
      <c r="N475" s="16" t="s">
        <v>1260</v>
      </c>
      <c r="O475" s="16">
        <v>474</v>
      </c>
      <c r="P475" s="16" t="s">
        <v>103</v>
      </c>
      <c r="Q475" s="16" t="s">
        <v>112</v>
      </c>
      <c r="R475" s="16" t="s">
        <v>90</v>
      </c>
      <c r="S475" s="16" t="s">
        <v>94</v>
      </c>
      <c r="T475" s="16" t="s">
        <v>85</v>
      </c>
      <c r="U475" s="16" t="s">
        <v>99</v>
      </c>
      <c r="V475" s="16" t="s">
        <v>135</v>
      </c>
      <c r="W475" s="16" t="s">
        <v>121</v>
      </c>
    </row>
    <row r="476" spans="1:23" x14ac:dyDescent="0.2">
      <c r="A476" s="9" t="s">
        <v>1261</v>
      </c>
      <c r="B476" s="9">
        <f ca="1">+IF(A476=WORLDCUP!$BI$112,1,0)</f>
        <v>0</v>
      </c>
      <c r="C476" s="9" t="str">
        <f ca="1">+WORLDCUP!BD62</f>
        <v>Curazao</v>
      </c>
      <c r="D476" s="9" t="str">
        <f ca="1">+WORLDCUP!BD64</f>
        <v>Egipto</v>
      </c>
      <c r="E476" s="9" t="str">
        <f ca="1">+WORLDCUP!BD59</f>
        <v>Catar</v>
      </c>
      <c r="F476" s="9" t="str">
        <f ca="1">+WORLDCUP!BD60</f>
        <v>Haití</v>
      </c>
      <c r="G476" s="9" t="str">
        <f ca="1">+WORLDCUP!BD58</f>
        <v>República Checa</v>
      </c>
      <c r="H476" s="9" t="str">
        <f ca="1">+WORLDCUP!BD61</f>
        <v>Australia</v>
      </c>
      <c r="I476" s="9" t="str">
        <f ca="1">+WORLDCUP!BD66</f>
        <v>Senegal</v>
      </c>
      <c r="J476" s="9" t="str">
        <f ca="1">+WORLDCUP!BD68</f>
        <v>RD Congo</v>
      </c>
      <c r="N476" s="16" t="s">
        <v>1261</v>
      </c>
      <c r="O476" s="16">
        <v>475</v>
      </c>
      <c r="P476" s="16" t="s">
        <v>103</v>
      </c>
      <c r="Q476" s="16" t="s">
        <v>112</v>
      </c>
      <c r="R476" s="16" t="s">
        <v>90</v>
      </c>
      <c r="S476" s="16" t="s">
        <v>94</v>
      </c>
      <c r="T476" s="16" t="s">
        <v>85</v>
      </c>
      <c r="U476" s="16" t="s">
        <v>99</v>
      </c>
      <c r="V476" s="16" t="s">
        <v>121</v>
      </c>
      <c r="W476" s="16" t="s">
        <v>130</v>
      </c>
    </row>
    <row r="477" spans="1:23" x14ac:dyDescent="0.2">
      <c r="A477" s="9" t="s">
        <v>1262</v>
      </c>
      <c r="B477" s="9">
        <f ca="1">+IF(A477=WORLDCUP!$BI$112,1,0)</f>
        <v>0</v>
      </c>
      <c r="C477" s="9" t="str">
        <f ca="1">+WORLDCUP!BD62</f>
        <v>Curazao</v>
      </c>
      <c r="D477" s="9" t="str">
        <f ca="1">+WORLDCUP!BD64</f>
        <v>Egipto</v>
      </c>
      <c r="E477" s="9" t="str">
        <f ca="1">+WORLDCUP!BD59</f>
        <v>Catar</v>
      </c>
      <c r="F477" s="9" t="str">
        <f ca="1">+WORLDCUP!BD60</f>
        <v>Haití</v>
      </c>
      <c r="G477" s="9" t="str">
        <f ca="1">+WORLDCUP!BD58</f>
        <v>República Checa</v>
      </c>
      <c r="H477" s="9" t="str">
        <f ca="1">+WORLDCUP!BD61</f>
        <v>Australia</v>
      </c>
      <c r="I477" s="9" t="str">
        <f ca="1">+WORLDCUP!BD66</f>
        <v>Senegal</v>
      </c>
      <c r="J477" s="9" t="str">
        <f ca="1">+WORLDCUP!BD67</f>
        <v>Argelia</v>
      </c>
      <c r="N477" s="16" t="s">
        <v>1262</v>
      </c>
      <c r="O477" s="16">
        <v>476</v>
      </c>
      <c r="P477" s="16" t="s">
        <v>103</v>
      </c>
      <c r="Q477" s="16" t="s">
        <v>112</v>
      </c>
      <c r="R477" s="16" t="s">
        <v>90</v>
      </c>
      <c r="S477" s="16" t="s">
        <v>94</v>
      </c>
      <c r="T477" s="16" t="s">
        <v>85</v>
      </c>
      <c r="U477" s="16" t="s">
        <v>99</v>
      </c>
      <c r="V477" s="16" t="s">
        <v>121</v>
      </c>
      <c r="W477" s="16" t="s">
        <v>126</v>
      </c>
    </row>
    <row r="478" spans="1:23" x14ac:dyDescent="0.2">
      <c r="A478" s="9" t="s">
        <v>1263</v>
      </c>
      <c r="B478" s="9">
        <f ca="1">+IF(A478=WORLDCUP!$BI$112,1,0)</f>
        <v>0</v>
      </c>
      <c r="C478" s="9" t="str">
        <f ca="1">+WORLDCUP!BD65</f>
        <v>Arabia Saudita</v>
      </c>
      <c r="D478" s="9" t="str">
        <f ca="1">+WORLDCUP!BD64</f>
        <v>Egipto</v>
      </c>
      <c r="E478" s="9" t="str">
        <f ca="1">+WORLDCUP!BD59</f>
        <v>Catar</v>
      </c>
      <c r="F478" s="9" t="str">
        <f ca="1">+WORLDCUP!BD60</f>
        <v>Haití</v>
      </c>
      <c r="G478" s="9" t="str">
        <f ca="1">+WORLDCUP!BD58</f>
        <v>República Checa</v>
      </c>
      <c r="H478" s="9" t="str">
        <f ca="1">+WORLDCUP!BD61</f>
        <v>Australia</v>
      </c>
      <c r="I478" s="9" t="str">
        <f ca="1">+WORLDCUP!BD69</f>
        <v>Ghana</v>
      </c>
      <c r="J478" s="9" t="str">
        <f ca="1">+WORLDCUP!BD62</f>
        <v>Curazao</v>
      </c>
      <c r="N478" s="16" t="s">
        <v>1263</v>
      </c>
      <c r="O478" s="16">
        <v>477</v>
      </c>
      <c r="P478" s="16" t="s">
        <v>117</v>
      </c>
      <c r="Q478" s="16" t="s">
        <v>112</v>
      </c>
      <c r="R478" s="16" t="s">
        <v>90</v>
      </c>
      <c r="S478" s="16" t="s">
        <v>94</v>
      </c>
      <c r="T478" s="16" t="s">
        <v>85</v>
      </c>
      <c r="U478" s="16" t="s">
        <v>99</v>
      </c>
      <c r="V478" s="16" t="s">
        <v>135</v>
      </c>
      <c r="W478" s="16" t="s">
        <v>103</v>
      </c>
    </row>
    <row r="479" spans="1:23" x14ac:dyDescent="0.2">
      <c r="A479" s="9" t="s">
        <v>1264</v>
      </c>
      <c r="B479" s="9">
        <f ca="1">+IF(A479=WORLDCUP!$BI$112,1,0)</f>
        <v>0</v>
      </c>
      <c r="C479" s="9" t="str">
        <f ca="1">+WORLDCUP!BD65</f>
        <v>Arabia Saudita</v>
      </c>
      <c r="D479" s="9" t="str">
        <f ca="1">+WORLDCUP!BD64</f>
        <v>Egipto</v>
      </c>
      <c r="E479" s="9" t="str">
        <f ca="1">+WORLDCUP!BD59</f>
        <v>Catar</v>
      </c>
      <c r="F479" s="9" t="str">
        <f ca="1">+WORLDCUP!BD60</f>
        <v>Haití</v>
      </c>
      <c r="G479" s="9" t="str">
        <f ca="1">+WORLDCUP!BD58</f>
        <v>República Checa</v>
      </c>
      <c r="H479" s="9" t="str">
        <f ca="1">+WORLDCUP!BD61</f>
        <v>Australia</v>
      </c>
      <c r="I479" s="9" t="str">
        <f ca="1">+WORLDCUP!BD62</f>
        <v>Curazao</v>
      </c>
      <c r="J479" s="9" t="str">
        <f ca="1">+WORLDCUP!BD68</f>
        <v>RD Congo</v>
      </c>
      <c r="N479" s="16" t="s">
        <v>1264</v>
      </c>
      <c r="O479" s="16">
        <v>478</v>
      </c>
      <c r="P479" s="16" t="s">
        <v>117</v>
      </c>
      <c r="Q479" s="16" t="s">
        <v>112</v>
      </c>
      <c r="R479" s="16" t="s">
        <v>90</v>
      </c>
      <c r="S479" s="16" t="s">
        <v>94</v>
      </c>
      <c r="T479" s="16" t="s">
        <v>85</v>
      </c>
      <c r="U479" s="16" t="s">
        <v>99</v>
      </c>
      <c r="V479" s="16" t="s">
        <v>103</v>
      </c>
      <c r="W479" s="16" t="s">
        <v>130</v>
      </c>
    </row>
    <row r="480" spans="1:23" x14ac:dyDescent="0.2">
      <c r="A480" s="9" t="s">
        <v>1265</v>
      </c>
      <c r="B480" s="9">
        <f ca="1">+IF(A480=WORLDCUP!$BI$112,1,0)</f>
        <v>0</v>
      </c>
      <c r="C480" s="9" t="str">
        <f ca="1">+WORLDCUP!BD65</f>
        <v>Arabia Saudita</v>
      </c>
      <c r="D480" s="9" t="str">
        <f ca="1">+WORLDCUP!BD64</f>
        <v>Egipto</v>
      </c>
      <c r="E480" s="9" t="str">
        <f ca="1">+WORLDCUP!BD59</f>
        <v>Catar</v>
      </c>
      <c r="F480" s="9" t="str">
        <f ca="1">+WORLDCUP!BD60</f>
        <v>Haití</v>
      </c>
      <c r="G480" s="9" t="str">
        <f ca="1">+WORLDCUP!BD58</f>
        <v>República Checa</v>
      </c>
      <c r="H480" s="9" t="str">
        <f ca="1">+WORLDCUP!BD61</f>
        <v>Australia</v>
      </c>
      <c r="I480" s="9" t="str">
        <f ca="1">+WORLDCUP!BD62</f>
        <v>Curazao</v>
      </c>
      <c r="J480" s="9" t="str">
        <f ca="1">+WORLDCUP!BD67</f>
        <v>Argelia</v>
      </c>
      <c r="N480" s="16" t="s">
        <v>1265</v>
      </c>
      <c r="O480" s="16">
        <v>479</v>
      </c>
      <c r="P480" s="16" t="s">
        <v>117</v>
      </c>
      <c r="Q480" s="16" t="s">
        <v>112</v>
      </c>
      <c r="R480" s="16" t="s">
        <v>90</v>
      </c>
      <c r="S480" s="16" t="s">
        <v>94</v>
      </c>
      <c r="T480" s="16" t="s">
        <v>85</v>
      </c>
      <c r="U480" s="16" t="s">
        <v>99</v>
      </c>
      <c r="V480" s="16" t="s">
        <v>103</v>
      </c>
      <c r="W480" s="16" t="s">
        <v>126</v>
      </c>
    </row>
    <row r="481" spans="1:23" x14ac:dyDescent="0.2">
      <c r="A481" s="9" t="s">
        <v>1266</v>
      </c>
      <c r="B481" s="9">
        <f ca="1">+IF(A481=WORLDCUP!$BI$112,1,0)</f>
        <v>0</v>
      </c>
      <c r="C481" s="9" t="str">
        <f ca="1">+WORLDCUP!BD65</f>
        <v>Arabia Saudita</v>
      </c>
      <c r="D481" s="9" t="str">
        <f ca="1">+WORLDCUP!BD64</f>
        <v>Egipto</v>
      </c>
      <c r="E481" s="9" t="str">
        <f ca="1">+WORLDCUP!BD59</f>
        <v>Catar</v>
      </c>
      <c r="F481" s="9" t="str">
        <f ca="1">+WORLDCUP!BD60</f>
        <v>Haití</v>
      </c>
      <c r="G481" s="9" t="str">
        <f ca="1">+WORLDCUP!BD58</f>
        <v>República Checa</v>
      </c>
      <c r="H481" s="9" t="str">
        <f ca="1">+WORLDCUP!BD61</f>
        <v>Australia</v>
      </c>
      <c r="I481" s="9" t="str">
        <f ca="1">+WORLDCUP!BD62</f>
        <v>Curazao</v>
      </c>
      <c r="J481" s="9" t="str">
        <f ca="1">+WORLDCUP!BD66</f>
        <v>Senegal</v>
      </c>
      <c r="N481" s="16" t="s">
        <v>1266</v>
      </c>
      <c r="O481" s="16">
        <v>480</v>
      </c>
      <c r="P481" s="16" t="s">
        <v>117</v>
      </c>
      <c r="Q481" s="16" t="s">
        <v>112</v>
      </c>
      <c r="R481" s="16" t="s">
        <v>90</v>
      </c>
      <c r="S481" s="16" t="s">
        <v>94</v>
      </c>
      <c r="T481" s="16" t="s">
        <v>85</v>
      </c>
      <c r="U481" s="16" t="s">
        <v>99</v>
      </c>
      <c r="V481" s="16" t="s">
        <v>103</v>
      </c>
      <c r="W481" s="16" t="s">
        <v>121</v>
      </c>
    </row>
    <row r="482" spans="1:23" x14ac:dyDescent="0.2">
      <c r="A482" s="9" t="s">
        <v>1267</v>
      </c>
      <c r="B482" s="9">
        <f ca="1">+IF(A482=WORLDCUP!$BI$112,1,0)</f>
        <v>0</v>
      </c>
      <c r="C482" s="9" t="str">
        <f ca="1">+WORLDCUP!BD60</f>
        <v>Haití</v>
      </c>
      <c r="D482" s="9" t="str">
        <f ca="1">+WORLDCUP!BD62</f>
        <v>Curazao</v>
      </c>
      <c r="E482" s="9" t="str">
        <f ca="1">+WORLDCUP!BD59</f>
        <v>Catar</v>
      </c>
      <c r="F482" s="9" t="str">
        <f ca="1">+WORLDCUP!BD61</f>
        <v>Australia</v>
      </c>
      <c r="G482" s="9" t="str">
        <f ca="1">+WORLDCUP!BD58</f>
        <v>República Checa</v>
      </c>
      <c r="H482" s="9" t="str">
        <f ca="1">+WORLDCUP!BD63</f>
        <v>Suecia</v>
      </c>
      <c r="I482" s="9" t="str">
        <f ca="1">+WORLDCUP!BD69</f>
        <v>Ghana</v>
      </c>
      <c r="J482" s="9" t="str">
        <f ca="1">+WORLDCUP!BD68</f>
        <v>RD Congo</v>
      </c>
      <c r="N482" s="16" t="s">
        <v>1267</v>
      </c>
      <c r="O482" s="16">
        <v>481</v>
      </c>
      <c r="P482" s="16" t="s">
        <v>94</v>
      </c>
      <c r="Q482" s="16" t="s">
        <v>103</v>
      </c>
      <c r="R482" s="16" t="s">
        <v>90</v>
      </c>
      <c r="S482" s="16" t="s">
        <v>99</v>
      </c>
      <c r="T482" s="16" t="s">
        <v>85</v>
      </c>
      <c r="U482" s="16" t="s">
        <v>108</v>
      </c>
      <c r="V482" s="16" t="s">
        <v>135</v>
      </c>
      <c r="W482" s="16" t="s">
        <v>130</v>
      </c>
    </row>
    <row r="483" spans="1:23" x14ac:dyDescent="0.2">
      <c r="A483" s="9" t="s">
        <v>1268</v>
      </c>
      <c r="B483" s="9">
        <f ca="1">+IF(A483=WORLDCUP!$BI$112,1,0)</f>
        <v>0</v>
      </c>
      <c r="C483" s="9" t="str">
        <f ca="1">+WORLDCUP!BD60</f>
        <v>Haití</v>
      </c>
      <c r="D483" s="9" t="str">
        <f ca="1">+WORLDCUP!BD67</f>
        <v>Argelia</v>
      </c>
      <c r="E483" s="9" t="str">
        <f ca="1">+WORLDCUP!BD59</f>
        <v>Catar</v>
      </c>
      <c r="F483" s="9" t="str">
        <f ca="1">+WORLDCUP!BD61</f>
        <v>Australia</v>
      </c>
      <c r="G483" s="9" t="str">
        <f ca="1">+WORLDCUP!BD58</f>
        <v>República Checa</v>
      </c>
      <c r="H483" s="9" t="str">
        <f ca="1">+WORLDCUP!BD63</f>
        <v>Suecia</v>
      </c>
      <c r="I483" s="9" t="str">
        <f ca="1">+WORLDCUP!BD69</f>
        <v>Ghana</v>
      </c>
      <c r="J483" s="9" t="str">
        <f ca="1">+WORLDCUP!BD62</f>
        <v>Curazao</v>
      </c>
      <c r="N483" s="16" t="s">
        <v>1268</v>
      </c>
      <c r="O483" s="16">
        <v>482</v>
      </c>
      <c r="P483" s="16" t="s">
        <v>94</v>
      </c>
      <c r="Q483" s="16" t="s">
        <v>126</v>
      </c>
      <c r="R483" s="16" t="s">
        <v>90</v>
      </c>
      <c r="S483" s="16" t="s">
        <v>99</v>
      </c>
      <c r="T483" s="16" t="s">
        <v>85</v>
      </c>
      <c r="U483" s="16" t="s">
        <v>108</v>
      </c>
      <c r="V483" s="16" t="s">
        <v>135</v>
      </c>
      <c r="W483" s="16" t="s">
        <v>103</v>
      </c>
    </row>
    <row r="484" spans="1:23" x14ac:dyDescent="0.2">
      <c r="A484" s="9" t="s">
        <v>1269</v>
      </c>
      <c r="B484" s="9">
        <f ca="1">+IF(A484=WORLDCUP!$BI$112,1,0)</f>
        <v>0</v>
      </c>
      <c r="C484" s="9" t="str">
        <f ca="1">+WORLDCUP!BD60</f>
        <v>Haití</v>
      </c>
      <c r="D484" s="9" t="str">
        <f ca="1">+WORLDCUP!BD67</f>
        <v>Argelia</v>
      </c>
      <c r="E484" s="9" t="str">
        <f ca="1">+WORLDCUP!BD59</f>
        <v>Catar</v>
      </c>
      <c r="F484" s="9" t="str">
        <f ca="1">+WORLDCUP!BD61</f>
        <v>Australia</v>
      </c>
      <c r="G484" s="9" t="str">
        <f ca="1">+WORLDCUP!BD58</f>
        <v>República Checa</v>
      </c>
      <c r="H484" s="9" t="str">
        <f ca="1">+WORLDCUP!BD63</f>
        <v>Suecia</v>
      </c>
      <c r="I484" s="9" t="str">
        <f ca="1">+WORLDCUP!BD62</f>
        <v>Curazao</v>
      </c>
      <c r="J484" s="9" t="str">
        <f ca="1">+WORLDCUP!BD68</f>
        <v>RD Congo</v>
      </c>
      <c r="N484" s="16" t="s">
        <v>1269</v>
      </c>
      <c r="O484" s="16">
        <v>483</v>
      </c>
      <c r="P484" s="16" t="s">
        <v>94</v>
      </c>
      <c r="Q484" s="16" t="s">
        <v>126</v>
      </c>
      <c r="R484" s="16" t="s">
        <v>90</v>
      </c>
      <c r="S484" s="16" t="s">
        <v>99</v>
      </c>
      <c r="T484" s="16" t="s">
        <v>85</v>
      </c>
      <c r="U484" s="16" t="s">
        <v>108</v>
      </c>
      <c r="V484" s="16" t="s">
        <v>103</v>
      </c>
      <c r="W484" s="16" t="s">
        <v>130</v>
      </c>
    </row>
    <row r="485" spans="1:23" x14ac:dyDescent="0.2">
      <c r="A485" s="9" t="s">
        <v>1270</v>
      </c>
      <c r="B485" s="9">
        <f ca="1">+IF(A485=WORLDCUP!$BI$112,1,0)</f>
        <v>0</v>
      </c>
      <c r="C485" s="9" t="str">
        <f ca="1">+WORLDCUP!BD60</f>
        <v>Haití</v>
      </c>
      <c r="D485" s="9" t="str">
        <f ca="1">+WORLDCUP!BD62</f>
        <v>Curazao</v>
      </c>
      <c r="E485" s="9" t="str">
        <f ca="1">+WORLDCUP!BD59</f>
        <v>Catar</v>
      </c>
      <c r="F485" s="9" t="str">
        <f ca="1">+WORLDCUP!BD61</f>
        <v>Australia</v>
      </c>
      <c r="G485" s="9" t="str">
        <f ca="1">+WORLDCUP!BD58</f>
        <v>República Checa</v>
      </c>
      <c r="H485" s="9" t="str">
        <f ca="1">+WORLDCUP!BD63</f>
        <v>Suecia</v>
      </c>
      <c r="I485" s="9" t="str">
        <f ca="1">+WORLDCUP!BD69</f>
        <v>Ghana</v>
      </c>
      <c r="J485" s="9" t="str">
        <f ca="1">+WORLDCUP!BD66</f>
        <v>Senegal</v>
      </c>
      <c r="N485" s="16" t="s">
        <v>1270</v>
      </c>
      <c r="O485" s="16">
        <v>484</v>
      </c>
      <c r="P485" s="16" t="s">
        <v>94</v>
      </c>
      <c r="Q485" s="16" t="s">
        <v>103</v>
      </c>
      <c r="R485" s="16" t="s">
        <v>90</v>
      </c>
      <c r="S485" s="16" t="s">
        <v>99</v>
      </c>
      <c r="T485" s="16" t="s">
        <v>85</v>
      </c>
      <c r="U485" s="16" t="s">
        <v>108</v>
      </c>
      <c r="V485" s="16" t="s">
        <v>135</v>
      </c>
      <c r="W485" s="16" t="s">
        <v>121</v>
      </c>
    </row>
    <row r="486" spans="1:23" x14ac:dyDescent="0.2">
      <c r="A486" s="9" t="s">
        <v>1271</v>
      </c>
      <c r="B486" s="9">
        <f ca="1">+IF(A486=WORLDCUP!$BI$112,1,0)</f>
        <v>0</v>
      </c>
      <c r="C486" s="9" t="str">
        <f ca="1">+WORLDCUP!BD60</f>
        <v>Haití</v>
      </c>
      <c r="D486" s="9" t="str">
        <f ca="1">+WORLDCUP!BD62</f>
        <v>Curazao</v>
      </c>
      <c r="E486" s="9" t="str">
        <f ca="1">+WORLDCUP!BD59</f>
        <v>Catar</v>
      </c>
      <c r="F486" s="9" t="str">
        <f ca="1">+WORLDCUP!BD61</f>
        <v>Australia</v>
      </c>
      <c r="G486" s="9" t="str">
        <f ca="1">+WORLDCUP!BD58</f>
        <v>República Checa</v>
      </c>
      <c r="H486" s="9" t="str">
        <f ca="1">+WORLDCUP!BD63</f>
        <v>Suecia</v>
      </c>
      <c r="I486" s="9" t="str">
        <f ca="1">+WORLDCUP!BD66</f>
        <v>Senegal</v>
      </c>
      <c r="J486" s="9" t="str">
        <f ca="1">+WORLDCUP!BD68</f>
        <v>RD Congo</v>
      </c>
      <c r="N486" s="16" t="s">
        <v>1271</v>
      </c>
      <c r="O486" s="16">
        <v>485</v>
      </c>
      <c r="P486" s="16" t="s">
        <v>94</v>
      </c>
      <c r="Q486" s="16" t="s">
        <v>103</v>
      </c>
      <c r="R486" s="16" t="s">
        <v>90</v>
      </c>
      <c r="S486" s="16" t="s">
        <v>99</v>
      </c>
      <c r="T486" s="16" t="s">
        <v>85</v>
      </c>
      <c r="U486" s="16" t="s">
        <v>108</v>
      </c>
      <c r="V486" s="16" t="s">
        <v>121</v>
      </c>
      <c r="W486" s="16" t="s">
        <v>130</v>
      </c>
    </row>
    <row r="487" spans="1:23" x14ac:dyDescent="0.2">
      <c r="A487" s="9" t="s">
        <v>1272</v>
      </c>
      <c r="B487" s="9">
        <f ca="1">+IF(A487=WORLDCUP!$BI$112,1,0)</f>
        <v>0</v>
      </c>
      <c r="C487" s="9" t="str">
        <f ca="1">+WORLDCUP!BD60</f>
        <v>Haití</v>
      </c>
      <c r="D487" s="9" t="str">
        <f ca="1">+WORLDCUP!BD67</f>
        <v>Argelia</v>
      </c>
      <c r="E487" s="9" t="str">
        <f ca="1">+WORLDCUP!BD59</f>
        <v>Catar</v>
      </c>
      <c r="F487" s="9" t="str">
        <f ca="1">+WORLDCUP!BD61</f>
        <v>Australia</v>
      </c>
      <c r="G487" s="9" t="str">
        <f ca="1">+WORLDCUP!BD58</f>
        <v>República Checa</v>
      </c>
      <c r="H487" s="9" t="str">
        <f ca="1">+WORLDCUP!BD63</f>
        <v>Suecia</v>
      </c>
      <c r="I487" s="9" t="str">
        <f ca="1">+WORLDCUP!BD62</f>
        <v>Curazao</v>
      </c>
      <c r="J487" s="9" t="str">
        <f ca="1">+WORLDCUP!BD66</f>
        <v>Senegal</v>
      </c>
      <c r="N487" s="16" t="s">
        <v>1272</v>
      </c>
      <c r="O487" s="16">
        <v>486</v>
      </c>
      <c r="P487" s="16" t="s">
        <v>94</v>
      </c>
      <c r="Q487" s="16" t="s">
        <v>126</v>
      </c>
      <c r="R487" s="16" t="s">
        <v>90</v>
      </c>
      <c r="S487" s="16" t="s">
        <v>99</v>
      </c>
      <c r="T487" s="16" t="s">
        <v>85</v>
      </c>
      <c r="U487" s="16" t="s">
        <v>108</v>
      </c>
      <c r="V487" s="16" t="s">
        <v>103</v>
      </c>
      <c r="W487" s="16" t="s">
        <v>121</v>
      </c>
    </row>
    <row r="488" spans="1:23" x14ac:dyDescent="0.2">
      <c r="A488" s="9" t="s">
        <v>1273</v>
      </c>
      <c r="B488" s="9">
        <f ca="1">+IF(A488=WORLDCUP!$BI$112,1,0)</f>
        <v>0</v>
      </c>
      <c r="C488" s="9" t="str">
        <f ca="1">+WORLDCUP!BD65</f>
        <v>Arabia Saudita</v>
      </c>
      <c r="D488" s="9" t="str">
        <f ca="1">+WORLDCUP!BD63</f>
        <v>Suecia</v>
      </c>
      <c r="E488" s="9" t="str">
        <f ca="1">+WORLDCUP!BD59</f>
        <v>Catar</v>
      </c>
      <c r="F488" s="9" t="str">
        <f ca="1">+WORLDCUP!BD60</f>
        <v>Haití</v>
      </c>
      <c r="G488" s="9" t="str">
        <f ca="1">+WORLDCUP!BD58</f>
        <v>República Checa</v>
      </c>
      <c r="H488" s="9" t="str">
        <f ca="1">+WORLDCUP!BD61</f>
        <v>Australia</v>
      </c>
      <c r="I488" s="9" t="str">
        <f ca="1">+WORLDCUP!BD69</f>
        <v>Ghana</v>
      </c>
      <c r="J488" s="9" t="str">
        <f ca="1">+WORLDCUP!BD62</f>
        <v>Curazao</v>
      </c>
      <c r="N488" s="16" t="s">
        <v>1273</v>
      </c>
      <c r="O488" s="16">
        <v>487</v>
      </c>
      <c r="P488" s="16" t="s">
        <v>117</v>
      </c>
      <c r="Q488" s="16" t="s">
        <v>108</v>
      </c>
      <c r="R488" s="16" t="s">
        <v>90</v>
      </c>
      <c r="S488" s="16" t="s">
        <v>94</v>
      </c>
      <c r="T488" s="16" t="s">
        <v>85</v>
      </c>
      <c r="U488" s="16" t="s">
        <v>99</v>
      </c>
      <c r="V488" s="16" t="s">
        <v>135</v>
      </c>
      <c r="W488" s="16" t="s">
        <v>103</v>
      </c>
    </row>
    <row r="489" spans="1:23" x14ac:dyDescent="0.2">
      <c r="A489" s="9" t="s">
        <v>1274</v>
      </c>
      <c r="B489" s="9">
        <f ca="1">+IF(A489=WORLDCUP!$BI$112,1,0)</f>
        <v>0</v>
      </c>
      <c r="C489" s="9" t="str">
        <f ca="1">+WORLDCUP!BD65</f>
        <v>Arabia Saudita</v>
      </c>
      <c r="D489" s="9" t="str">
        <f ca="1">+WORLDCUP!BD62</f>
        <v>Curazao</v>
      </c>
      <c r="E489" s="9" t="str">
        <f ca="1">+WORLDCUP!BD59</f>
        <v>Catar</v>
      </c>
      <c r="F489" s="9" t="str">
        <f ca="1">+WORLDCUP!BD60</f>
        <v>Haití</v>
      </c>
      <c r="G489" s="9" t="str">
        <f ca="1">+WORLDCUP!BD58</f>
        <v>República Checa</v>
      </c>
      <c r="H489" s="9" t="str">
        <f ca="1">+WORLDCUP!BD63</f>
        <v>Suecia</v>
      </c>
      <c r="I489" s="9" t="str">
        <f ca="1">+WORLDCUP!BD61</f>
        <v>Australia</v>
      </c>
      <c r="J489" s="9" t="str">
        <f ca="1">+WORLDCUP!BD68</f>
        <v>RD Congo</v>
      </c>
      <c r="N489" s="16" t="s">
        <v>1274</v>
      </c>
      <c r="O489" s="16">
        <v>488</v>
      </c>
      <c r="P489" s="16" t="s">
        <v>117</v>
      </c>
      <c r="Q489" s="16" t="s">
        <v>103</v>
      </c>
      <c r="R489" s="16" t="s">
        <v>90</v>
      </c>
      <c r="S489" s="16" t="s">
        <v>94</v>
      </c>
      <c r="T489" s="16" t="s">
        <v>85</v>
      </c>
      <c r="U489" s="16" t="s">
        <v>108</v>
      </c>
      <c r="V489" s="16" t="s">
        <v>99</v>
      </c>
      <c r="W489" s="16" t="s">
        <v>130</v>
      </c>
    </row>
    <row r="490" spans="1:23" x14ac:dyDescent="0.2">
      <c r="A490" s="9" t="s">
        <v>1275</v>
      </c>
      <c r="B490" s="9">
        <f ca="1">+IF(A490=WORLDCUP!$BI$112,1,0)</f>
        <v>0</v>
      </c>
      <c r="C490" s="9" t="str">
        <f ca="1">+WORLDCUP!BD65</f>
        <v>Arabia Saudita</v>
      </c>
      <c r="D490" s="9" t="str">
        <f ca="1">+WORLDCUP!BD67</f>
        <v>Argelia</v>
      </c>
      <c r="E490" s="9" t="str">
        <f ca="1">+WORLDCUP!BD59</f>
        <v>Catar</v>
      </c>
      <c r="F490" s="9" t="str">
        <f ca="1">+WORLDCUP!BD60</f>
        <v>Haití</v>
      </c>
      <c r="G490" s="9" t="str">
        <f ca="1">+WORLDCUP!BD58</f>
        <v>República Checa</v>
      </c>
      <c r="H490" s="9" t="str">
        <f ca="1">+WORLDCUP!BD63</f>
        <v>Suecia</v>
      </c>
      <c r="I490" s="9" t="str">
        <f ca="1">+WORLDCUP!BD61</f>
        <v>Australia</v>
      </c>
      <c r="J490" s="9" t="str">
        <f ca="1">+WORLDCUP!BD62</f>
        <v>Curazao</v>
      </c>
      <c r="N490" s="16" t="s">
        <v>1275</v>
      </c>
      <c r="O490" s="16">
        <v>489</v>
      </c>
      <c r="P490" s="16" t="s">
        <v>117</v>
      </c>
      <c r="Q490" s="16" t="s">
        <v>126</v>
      </c>
      <c r="R490" s="16" t="s">
        <v>90</v>
      </c>
      <c r="S490" s="16" t="s">
        <v>94</v>
      </c>
      <c r="T490" s="16" t="s">
        <v>85</v>
      </c>
      <c r="U490" s="16" t="s">
        <v>108</v>
      </c>
      <c r="V490" s="16" t="s">
        <v>99</v>
      </c>
      <c r="W490" s="16" t="s">
        <v>103</v>
      </c>
    </row>
    <row r="491" spans="1:23" x14ac:dyDescent="0.2">
      <c r="A491" s="9" t="s">
        <v>1276</v>
      </c>
      <c r="B491" s="9">
        <f ca="1">+IF(A491=WORLDCUP!$BI$112,1,0)</f>
        <v>0</v>
      </c>
      <c r="C491" s="9" t="str">
        <f ca="1">+WORLDCUP!BD65</f>
        <v>Arabia Saudita</v>
      </c>
      <c r="D491" s="9" t="str">
        <f ca="1">+WORLDCUP!BD62</f>
        <v>Curazao</v>
      </c>
      <c r="E491" s="9" t="str">
        <f ca="1">+WORLDCUP!BD59</f>
        <v>Catar</v>
      </c>
      <c r="F491" s="9" t="str">
        <f ca="1">+WORLDCUP!BD60</f>
        <v>Haití</v>
      </c>
      <c r="G491" s="9" t="str">
        <f ca="1">+WORLDCUP!BD58</f>
        <v>República Checa</v>
      </c>
      <c r="H491" s="9" t="str">
        <f ca="1">+WORLDCUP!BD63</f>
        <v>Suecia</v>
      </c>
      <c r="I491" s="9" t="str">
        <f ca="1">+WORLDCUP!BD61</f>
        <v>Australia</v>
      </c>
      <c r="J491" s="9" t="str">
        <f ca="1">+WORLDCUP!BD66</f>
        <v>Senegal</v>
      </c>
      <c r="N491" s="16" t="s">
        <v>1276</v>
      </c>
      <c r="O491" s="16">
        <v>490</v>
      </c>
      <c r="P491" s="16" t="s">
        <v>117</v>
      </c>
      <c r="Q491" s="16" t="s">
        <v>103</v>
      </c>
      <c r="R491" s="16" t="s">
        <v>90</v>
      </c>
      <c r="S491" s="16" t="s">
        <v>94</v>
      </c>
      <c r="T491" s="16" t="s">
        <v>85</v>
      </c>
      <c r="U491" s="16" t="s">
        <v>108</v>
      </c>
      <c r="V491" s="16" t="s">
        <v>99</v>
      </c>
      <c r="W491" s="16" t="s">
        <v>121</v>
      </c>
    </row>
    <row r="492" spans="1:23" x14ac:dyDescent="0.2">
      <c r="A492" s="9" t="s">
        <v>1277</v>
      </c>
      <c r="B492" s="9">
        <f ca="1">+IF(A492=WORLDCUP!$BI$112,1,0)</f>
        <v>0</v>
      </c>
      <c r="C492" s="9" t="str">
        <f ca="1">+WORLDCUP!BD60</f>
        <v>Haití</v>
      </c>
      <c r="D492" s="9" t="str">
        <f ca="1">+WORLDCUP!BD64</f>
        <v>Egipto</v>
      </c>
      <c r="E492" s="9" t="str">
        <f ca="1">+WORLDCUP!BD59</f>
        <v>Catar</v>
      </c>
      <c r="F492" s="9" t="str">
        <f ca="1">+WORLDCUP!BD61</f>
        <v>Australia</v>
      </c>
      <c r="G492" s="9" t="str">
        <f ca="1">+WORLDCUP!BD58</f>
        <v>República Checa</v>
      </c>
      <c r="H492" s="9" t="str">
        <f ca="1">+WORLDCUP!BD63</f>
        <v>Suecia</v>
      </c>
      <c r="I492" s="9" t="str">
        <f ca="1">+WORLDCUP!BD69</f>
        <v>Ghana</v>
      </c>
      <c r="J492" s="9" t="str">
        <f ca="1">+WORLDCUP!BD62</f>
        <v>Curazao</v>
      </c>
      <c r="N492" s="16" t="s">
        <v>1277</v>
      </c>
      <c r="O492" s="16">
        <v>491</v>
      </c>
      <c r="P492" s="16" t="s">
        <v>94</v>
      </c>
      <c r="Q492" s="16" t="s">
        <v>112</v>
      </c>
      <c r="R492" s="16" t="s">
        <v>90</v>
      </c>
      <c r="S492" s="16" t="s">
        <v>99</v>
      </c>
      <c r="T492" s="16" t="s">
        <v>85</v>
      </c>
      <c r="U492" s="16" t="s">
        <v>108</v>
      </c>
      <c r="V492" s="16" t="s">
        <v>135</v>
      </c>
      <c r="W492" s="16" t="s">
        <v>103</v>
      </c>
    </row>
    <row r="493" spans="1:23" x14ac:dyDescent="0.2">
      <c r="A493" s="9" t="s">
        <v>1278</v>
      </c>
      <c r="B493" s="9">
        <f ca="1">+IF(A493=WORLDCUP!$BI$112,1,0)</f>
        <v>0</v>
      </c>
      <c r="C493" s="9" t="str">
        <f ca="1">+WORLDCUP!BD60</f>
        <v>Haití</v>
      </c>
      <c r="D493" s="9" t="str">
        <f ca="1">+WORLDCUP!BD64</f>
        <v>Egipto</v>
      </c>
      <c r="E493" s="9" t="str">
        <f ca="1">+WORLDCUP!BD59</f>
        <v>Catar</v>
      </c>
      <c r="F493" s="9" t="str">
        <f ca="1">+WORLDCUP!BD61</f>
        <v>Australia</v>
      </c>
      <c r="G493" s="9" t="str">
        <f ca="1">+WORLDCUP!BD58</f>
        <v>República Checa</v>
      </c>
      <c r="H493" s="9" t="str">
        <f ca="1">+WORLDCUP!BD63</f>
        <v>Suecia</v>
      </c>
      <c r="I493" s="9" t="str">
        <f ca="1">+WORLDCUP!BD62</f>
        <v>Curazao</v>
      </c>
      <c r="J493" s="9" t="str">
        <f ca="1">+WORLDCUP!BD68</f>
        <v>RD Congo</v>
      </c>
      <c r="N493" s="16" t="s">
        <v>1278</v>
      </c>
      <c r="O493" s="16">
        <v>492</v>
      </c>
      <c r="P493" s="16" t="s">
        <v>94</v>
      </c>
      <c r="Q493" s="16" t="s">
        <v>112</v>
      </c>
      <c r="R493" s="16" t="s">
        <v>90</v>
      </c>
      <c r="S493" s="16" t="s">
        <v>99</v>
      </c>
      <c r="T493" s="16" t="s">
        <v>85</v>
      </c>
      <c r="U493" s="16" t="s">
        <v>108</v>
      </c>
      <c r="V493" s="16" t="s">
        <v>103</v>
      </c>
      <c r="W493" s="16" t="s">
        <v>130</v>
      </c>
    </row>
    <row r="494" spans="1:23" x14ac:dyDescent="0.2">
      <c r="A494" s="9" t="s">
        <v>1279</v>
      </c>
      <c r="B494" s="9">
        <f ca="1">+IF(A494=WORLDCUP!$BI$112,1,0)</f>
        <v>0</v>
      </c>
      <c r="C494" s="9" t="str">
        <f ca="1">+WORLDCUP!BD60</f>
        <v>Haití</v>
      </c>
      <c r="D494" s="9" t="str">
        <f ca="1">+WORLDCUP!BD64</f>
        <v>Egipto</v>
      </c>
      <c r="E494" s="9" t="str">
        <f ca="1">+WORLDCUP!BD59</f>
        <v>Catar</v>
      </c>
      <c r="F494" s="9" t="str">
        <f ca="1">+WORLDCUP!BD61</f>
        <v>Australia</v>
      </c>
      <c r="G494" s="9" t="str">
        <f ca="1">+WORLDCUP!BD58</f>
        <v>República Checa</v>
      </c>
      <c r="H494" s="9" t="str">
        <f ca="1">+WORLDCUP!BD63</f>
        <v>Suecia</v>
      </c>
      <c r="I494" s="9" t="str">
        <f ca="1">+WORLDCUP!BD62</f>
        <v>Curazao</v>
      </c>
      <c r="J494" s="9" t="str">
        <f ca="1">+WORLDCUP!BD67</f>
        <v>Argelia</v>
      </c>
      <c r="N494" s="16" t="s">
        <v>1279</v>
      </c>
      <c r="O494" s="16">
        <v>493</v>
      </c>
      <c r="P494" s="16" t="s">
        <v>94</v>
      </c>
      <c r="Q494" s="16" t="s">
        <v>112</v>
      </c>
      <c r="R494" s="16" t="s">
        <v>90</v>
      </c>
      <c r="S494" s="16" t="s">
        <v>99</v>
      </c>
      <c r="T494" s="16" t="s">
        <v>85</v>
      </c>
      <c r="U494" s="16" t="s">
        <v>108</v>
      </c>
      <c r="V494" s="16" t="s">
        <v>103</v>
      </c>
      <c r="W494" s="16" t="s">
        <v>126</v>
      </c>
    </row>
    <row r="495" spans="1:23" x14ac:dyDescent="0.2">
      <c r="A495" s="9" t="s">
        <v>1280</v>
      </c>
      <c r="B495" s="9">
        <f ca="1">+IF(A495=WORLDCUP!$BI$112,1,0)</f>
        <v>0</v>
      </c>
      <c r="C495" s="9" t="str">
        <f ca="1">+WORLDCUP!BD60</f>
        <v>Haití</v>
      </c>
      <c r="D495" s="9" t="str">
        <f ca="1">+WORLDCUP!BD64</f>
        <v>Egipto</v>
      </c>
      <c r="E495" s="9" t="str">
        <f ca="1">+WORLDCUP!BD59</f>
        <v>Catar</v>
      </c>
      <c r="F495" s="9" t="str">
        <f ca="1">+WORLDCUP!BD61</f>
        <v>Australia</v>
      </c>
      <c r="G495" s="9" t="str">
        <f ca="1">+WORLDCUP!BD58</f>
        <v>República Checa</v>
      </c>
      <c r="H495" s="9" t="str">
        <f ca="1">+WORLDCUP!BD63</f>
        <v>Suecia</v>
      </c>
      <c r="I495" s="9" t="str">
        <f ca="1">+WORLDCUP!BD62</f>
        <v>Curazao</v>
      </c>
      <c r="J495" s="9" t="str">
        <f ca="1">+WORLDCUP!BD66</f>
        <v>Senegal</v>
      </c>
      <c r="N495" s="16" t="s">
        <v>1280</v>
      </c>
      <c r="O495" s="16">
        <v>494</v>
      </c>
      <c r="P495" s="16" t="s">
        <v>94</v>
      </c>
      <c r="Q495" s="16" t="s">
        <v>112</v>
      </c>
      <c r="R495" s="16" t="s">
        <v>90</v>
      </c>
      <c r="S495" s="16" t="s">
        <v>99</v>
      </c>
      <c r="T495" s="16" t="s">
        <v>85</v>
      </c>
      <c r="U495" s="16" t="s">
        <v>108</v>
      </c>
      <c r="V495" s="16" t="s">
        <v>103</v>
      </c>
      <c r="W495" s="16" t="s">
        <v>121</v>
      </c>
    </row>
    <row r="496" spans="1:23" x14ac:dyDescent="0.2">
      <c r="A496" s="9" t="s">
        <v>1281</v>
      </c>
      <c r="B496" s="9">
        <f ca="1">+IF(A496=WORLDCUP!$BI$112,1,0)</f>
        <v>0</v>
      </c>
      <c r="C496" s="9" t="str">
        <f ca="1">+WORLDCUP!BD65</f>
        <v>Arabia Saudita</v>
      </c>
      <c r="D496" s="9" t="str">
        <f ca="1">+WORLDCUP!BD64</f>
        <v>Egipto</v>
      </c>
      <c r="E496" s="9" t="str">
        <f ca="1">+WORLDCUP!BD59</f>
        <v>Catar</v>
      </c>
      <c r="F496" s="9" t="str">
        <f ca="1">+WORLDCUP!BD60</f>
        <v>Haití</v>
      </c>
      <c r="G496" s="9" t="str">
        <f ca="1">+WORLDCUP!BD58</f>
        <v>República Checa</v>
      </c>
      <c r="H496" s="9" t="str">
        <f ca="1">+WORLDCUP!BD63</f>
        <v>Suecia</v>
      </c>
      <c r="I496" s="9" t="str">
        <f ca="1">+WORLDCUP!BD61</f>
        <v>Australia</v>
      </c>
      <c r="J496" s="9" t="str">
        <f ca="1">+WORLDCUP!BD62</f>
        <v>Curazao</v>
      </c>
      <c r="N496" s="16" t="s">
        <v>1281</v>
      </c>
      <c r="O496" s="16">
        <v>495</v>
      </c>
      <c r="P496" s="16" t="s">
        <v>117</v>
      </c>
      <c r="Q496" s="16" t="s">
        <v>112</v>
      </c>
      <c r="R496" s="16" t="s">
        <v>90</v>
      </c>
      <c r="S496" s="16" t="s">
        <v>94</v>
      </c>
      <c r="T496" s="16" t="s">
        <v>85</v>
      </c>
      <c r="U496" s="16" t="s">
        <v>108</v>
      </c>
      <c r="V496" s="16" t="s">
        <v>99</v>
      </c>
      <c r="W496" s="16" t="s">
        <v>103</v>
      </c>
    </row>
    <row r="497" spans="1:10" x14ac:dyDescent="0.2">
      <c r="A497" s="396" t="s">
        <v>154</v>
      </c>
      <c r="B497" s="396"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4"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5"/>
      <c r="D3" s="685"/>
      <c r="E3" s="685"/>
      <c r="F3" s="685"/>
      <c r="G3" s="685"/>
      <c r="H3" s="685"/>
      <c r="I3" s="685"/>
      <c r="J3" s="686"/>
      <c r="K3" s="224"/>
      <c r="L3" s="331"/>
      <c r="M3" s="332"/>
      <c r="N3" s="332"/>
      <c r="O3" s="332"/>
      <c r="P3" s="332"/>
      <c r="Q3" s="332"/>
      <c r="R3" s="333"/>
    </row>
    <row r="4" spans="1:18" x14ac:dyDescent="0.2">
      <c r="A4" s="223"/>
      <c r="B4" s="687"/>
      <c r="C4" s="624"/>
      <c r="D4" s="624"/>
      <c r="E4" s="624"/>
      <c r="F4" s="624"/>
      <c r="G4" s="624"/>
      <c r="H4" s="624"/>
      <c r="I4" s="624"/>
      <c r="J4" s="688"/>
      <c r="K4" s="224"/>
      <c r="L4" s="330" t="str">
        <f>+Idiomas!D84</f>
        <v>· Selecciona el idioma y la zona horaria</v>
      </c>
      <c r="M4" s="232"/>
      <c r="N4" s="232"/>
      <c r="O4" s="232"/>
      <c r="P4" s="232"/>
      <c r="Q4" s="232"/>
      <c r="R4" s="334"/>
    </row>
    <row r="5" spans="1:18" x14ac:dyDescent="0.2">
      <c r="A5" s="223"/>
      <c r="B5" s="687"/>
      <c r="C5" s="624"/>
      <c r="D5" s="624"/>
      <c r="E5" s="624"/>
      <c r="F5" s="624"/>
      <c r="G5" s="624"/>
      <c r="H5" s="624"/>
      <c r="I5" s="624"/>
      <c r="J5" s="688"/>
      <c r="K5" s="224"/>
      <c r="L5" s="330" t="str">
        <f>+Idiomas!D85</f>
        <v>· Si vas a participar en una porra escribe tu nombre</v>
      </c>
      <c r="M5" s="232"/>
      <c r="N5" s="232"/>
      <c r="O5" s="232"/>
      <c r="P5" s="232"/>
      <c r="Q5" s="232"/>
      <c r="R5" s="334"/>
    </row>
    <row r="6" spans="1:18" x14ac:dyDescent="0.2">
      <c r="A6" s="223"/>
      <c r="B6" s="687"/>
      <c r="C6" s="624"/>
      <c r="D6" s="624"/>
      <c r="E6" s="624"/>
      <c r="F6" s="624"/>
      <c r="G6" s="624"/>
      <c r="H6" s="624"/>
      <c r="I6" s="624"/>
      <c r="J6" s="688"/>
      <c r="K6" s="224"/>
      <c r="L6" s="330" t="str">
        <f>+Idiomas!D86</f>
        <v>· Si vas a organizar una porra, puedes descargar el archivo excel de administración desde aquí</v>
      </c>
      <c r="M6" s="232"/>
      <c r="N6" s="232"/>
      <c r="O6" s="232"/>
      <c r="P6" s="232"/>
      <c r="Q6" s="232"/>
      <c r="R6" s="334"/>
    </row>
    <row r="7" spans="1:18" x14ac:dyDescent="0.2">
      <c r="A7" s="223"/>
      <c r="B7" s="687"/>
      <c r="C7" s="624"/>
      <c r="D7" s="624"/>
      <c r="E7" s="624"/>
      <c r="F7" s="624"/>
      <c r="G7" s="624"/>
      <c r="H7" s="624"/>
      <c r="I7" s="624"/>
      <c r="J7" s="688"/>
      <c r="K7" s="224"/>
      <c r="L7" s="335"/>
      <c r="M7" s="336"/>
      <c r="N7" s="336"/>
      <c r="O7" s="336"/>
      <c r="P7" s="336"/>
      <c r="Q7" s="336"/>
      <c r="R7" s="337"/>
    </row>
    <row r="8" spans="1:18" x14ac:dyDescent="0.2">
      <c r="A8" s="223"/>
      <c r="B8" s="687"/>
      <c r="C8" s="624"/>
      <c r="D8" s="624"/>
      <c r="E8" s="624"/>
      <c r="F8" s="624"/>
      <c r="G8" s="624"/>
      <c r="H8" s="624"/>
      <c r="I8" s="624"/>
      <c r="J8" s="688"/>
      <c r="K8" s="224"/>
    </row>
    <row r="9" spans="1:18" x14ac:dyDescent="0.2">
      <c r="A9" s="223"/>
      <c r="B9" s="687"/>
      <c r="C9" s="624"/>
      <c r="D9" s="624"/>
      <c r="E9" s="624"/>
      <c r="F9" s="624"/>
      <c r="G9" s="624"/>
      <c r="H9" s="624"/>
      <c r="I9" s="624"/>
      <c r="J9" s="688"/>
      <c r="K9" s="224"/>
      <c r="L9" s="259" t="s">
        <v>309</v>
      </c>
    </row>
    <row r="10" spans="1:18" x14ac:dyDescent="0.2">
      <c r="A10" s="223"/>
      <c r="B10" s="687"/>
      <c r="C10" s="624"/>
      <c r="D10" s="624"/>
      <c r="E10" s="624"/>
      <c r="F10" s="624"/>
      <c r="G10" s="624"/>
      <c r="H10" s="624"/>
      <c r="I10" s="624"/>
      <c r="J10" s="688"/>
      <c r="K10" s="224"/>
      <c r="L10" s="331"/>
      <c r="M10" s="332"/>
      <c r="N10" s="332"/>
      <c r="O10" s="332"/>
      <c r="P10" s="332"/>
      <c r="Q10" s="332"/>
      <c r="R10" s="333"/>
    </row>
    <row r="11" spans="1:18" x14ac:dyDescent="0.2">
      <c r="A11" s="223"/>
      <c r="B11" s="687"/>
      <c r="C11" s="624"/>
      <c r="D11" s="624"/>
      <c r="E11" s="624"/>
      <c r="F11" s="624"/>
      <c r="G11" s="624"/>
      <c r="H11" s="624"/>
      <c r="I11" s="624"/>
      <c r="J11" s="688"/>
      <c r="K11" s="224"/>
      <c r="L11" s="330" t="str">
        <f>+Idiomas!D87</f>
        <v>· Rellena los cuadros grises con los resultados de la fase de grupos para cada grupo</v>
      </c>
      <c r="M11" s="232"/>
      <c r="N11" s="232"/>
      <c r="O11" s="232"/>
      <c r="P11" s="232"/>
      <c r="Q11" s="232"/>
      <c r="R11" s="334"/>
    </row>
    <row r="12" spans="1:18" x14ac:dyDescent="0.2">
      <c r="A12" s="223"/>
      <c r="B12" s="689"/>
      <c r="C12" s="690"/>
      <c r="D12" s="690"/>
      <c r="E12" s="690"/>
      <c r="F12" s="690"/>
      <c r="G12" s="690"/>
      <c r="H12" s="690"/>
      <c r="I12" s="690"/>
      <c r="J12" s="691"/>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0</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8"/>
      <c r="V21" s="578"/>
      <c r="W21" s="578"/>
      <c r="X21" s="578"/>
      <c r="Y21" s="578"/>
      <c r="Z21" s="568"/>
      <c r="AA21" s="568"/>
      <c r="AB21" s="568"/>
      <c r="ET21" s="568"/>
      <c r="EU21" s="568"/>
      <c r="EV21" s="568"/>
      <c r="EW21" s="568"/>
      <c r="EX21" s="568"/>
      <c r="EY21" s="568"/>
      <c r="EZ21" s="568"/>
      <c r="FA21" s="568"/>
      <c r="FB21" s="568"/>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8"/>
      <c r="V22" s="578"/>
      <c r="W22" s="578"/>
      <c r="X22" s="578"/>
      <c r="Y22" s="578"/>
      <c r="Z22" s="568"/>
      <c r="AA22" s="568"/>
      <c r="AB22" s="568"/>
      <c r="ET22" s="568"/>
      <c r="EU22" s="568"/>
      <c r="EV22" s="568"/>
      <c r="EW22" s="568"/>
      <c r="EX22" s="568"/>
      <c r="EY22" s="568"/>
      <c r="EZ22" s="568"/>
      <c r="FA22" s="568"/>
      <c r="FB22" s="568"/>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8"/>
      <c r="V23" s="578"/>
      <c r="W23" s="578"/>
      <c r="X23" s="578"/>
      <c r="Y23" s="578"/>
      <c r="Z23" s="568"/>
      <c r="AA23" s="568"/>
      <c r="AB23" s="568"/>
      <c r="ET23" s="568"/>
      <c r="EU23" s="568"/>
      <c r="EV23" s="568"/>
      <c r="EW23" s="568"/>
      <c r="EX23" s="568"/>
      <c r="EY23" s="568"/>
      <c r="EZ23" s="568"/>
      <c r="FA23" s="568"/>
      <c r="FB23" s="568"/>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8"/>
      <c r="V24" s="578"/>
      <c r="W24" s="578"/>
      <c r="X24" s="578"/>
      <c r="Y24" s="578"/>
      <c r="Z24" s="568"/>
      <c r="AA24" s="568"/>
      <c r="AB24" s="568"/>
      <c r="ET24" s="568"/>
      <c r="EU24" s="568"/>
      <c r="EV24" s="568"/>
      <c r="EW24" s="568"/>
      <c r="EX24" s="568"/>
      <c r="EY24" s="568"/>
      <c r="EZ24" s="568"/>
      <c r="FA24" s="568"/>
      <c r="FB24" s="568"/>
    </row>
    <row r="25" spans="1:158" s="256" customFormat="1" ht="20" customHeight="1" x14ac:dyDescent="0.2">
      <c r="A25" s="252"/>
      <c r="B25" s="253"/>
      <c r="C25" s="258" t="s">
        <v>1288</v>
      </c>
      <c r="D25" s="267"/>
      <c r="E25" s="265">
        <v>2</v>
      </c>
      <c r="F25" s="267"/>
      <c r="G25" s="266">
        <v>0</v>
      </c>
      <c r="H25" s="254"/>
      <c r="I25" s="254"/>
      <c r="J25" s="255"/>
      <c r="K25" s="252"/>
      <c r="L25" s="338" t="s">
        <v>2</v>
      </c>
      <c r="T25" s="16"/>
      <c r="U25" s="578"/>
      <c r="V25" s="578"/>
      <c r="W25" s="578"/>
      <c r="X25" s="578"/>
      <c r="Y25" s="578"/>
      <c r="Z25" s="568"/>
      <c r="AA25" s="568"/>
      <c r="AB25" s="568"/>
      <c r="ET25" s="568"/>
      <c r="EU25" s="568"/>
      <c r="EV25" s="568"/>
      <c r="EW25" s="568"/>
      <c r="EX25" s="568"/>
      <c r="EY25" s="568"/>
      <c r="EZ25" s="568"/>
      <c r="FA25" s="568"/>
      <c r="FB25" s="568"/>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8"/>
      <c r="V26" s="578"/>
      <c r="W26" s="578"/>
      <c r="X26" s="578"/>
      <c r="Y26" s="578"/>
      <c r="Z26" s="568"/>
      <c r="AA26" s="568"/>
      <c r="AB26" s="568"/>
      <c r="ET26" s="568"/>
      <c r="EU26" s="568"/>
      <c r="EV26" s="568"/>
      <c r="EW26" s="568"/>
      <c r="EX26" s="568"/>
      <c r="EY26" s="568"/>
      <c r="EZ26" s="568"/>
      <c r="FA26" s="568"/>
      <c r="FB26" s="568"/>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8"/>
      <c r="V27" s="578"/>
      <c r="W27" s="578"/>
      <c r="X27" s="578"/>
      <c r="Y27" s="578"/>
      <c r="Z27" s="568"/>
      <c r="AA27" s="568"/>
      <c r="AB27" s="568"/>
      <c r="ET27" s="568"/>
      <c r="EU27" s="568"/>
      <c r="EV27" s="568"/>
      <c r="EW27" s="568"/>
      <c r="EX27" s="568"/>
      <c r="EY27" s="568"/>
      <c r="EZ27" s="568"/>
      <c r="FA27" s="568"/>
      <c r="FB27" s="568"/>
    </row>
    <row r="28" spans="1:158" s="256" customFormat="1" ht="2" customHeight="1" x14ac:dyDescent="0.2">
      <c r="A28" s="252"/>
      <c r="B28" s="253"/>
      <c r="C28" s="254"/>
      <c r="D28" s="254"/>
      <c r="E28" s="254"/>
      <c r="F28" s="254"/>
      <c r="G28" s="254"/>
      <c r="H28" s="254"/>
      <c r="I28" s="254"/>
      <c r="J28" s="255"/>
      <c r="K28" s="252"/>
      <c r="L28" s="384"/>
      <c r="M28" s="385"/>
      <c r="N28" s="385"/>
      <c r="O28" s="385"/>
      <c r="P28" s="385"/>
      <c r="Q28" s="385"/>
      <c r="R28" s="385"/>
      <c r="T28" s="16"/>
      <c r="U28" s="578"/>
      <c r="V28" s="578"/>
      <c r="W28" s="578"/>
      <c r="X28" s="578"/>
      <c r="Y28" s="578"/>
      <c r="Z28" s="568"/>
      <c r="AA28" s="568"/>
      <c r="AB28" s="568"/>
      <c r="ET28" s="568"/>
      <c r="EU28" s="568"/>
      <c r="EV28" s="568"/>
      <c r="EW28" s="568"/>
      <c r="EX28" s="568"/>
      <c r="EY28" s="568"/>
      <c r="EZ28" s="568"/>
      <c r="FA28" s="568"/>
      <c r="FB28" s="568"/>
    </row>
    <row r="29" spans="1:158" s="256" customFormat="1" ht="20" customHeight="1" x14ac:dyDescent="0.2">
      <c r="A29" s="252"/>
      <c r="B29" s="253"/>
      <c r="C29" s="258" t="s">
        <v>1290</v>
      </c>
      <c r="D29" s="267"/>
      <c r="E29" s="266">
        <v>0</v>
      </c>
      <c r="F29" s="267"/>
      <c r="G29" s="265">
        <v>2</v>
      </c>
      <c r="H29" s="254"/>
      <c r="I29" s="254"/>
      <c r="J29" s="255"/>
      <c r="K29" s="252"/>
      <c r="T29" s="16"/>
      <c r="U29" s="578"/>
      <c r="V29" s="578"/>
      <c r="W29" s="578"/>
      <c r="X29" s="578"/>
      <c r="Y29" s="578"/>
      <c r="Z29" s="568"/>
      <c r="AA29" s="568"/>
      <c r="AB29" s="568"/>
      <c r="ET29" s="568"/>
      <c r="EU29" s="568"/>
      <c r="EV29" s="568"/>
      <c r="EW29" s="568"/>
      <c r="EX29" s="568"/>
      <c r="EY29" s="568"/>
      <c r="EZ29" s="568"/>
      <c r="FA29" s="568"/>
      <c r="FB29" s="568"/>
    </row>
    <row r="30" spans="1:158" s="256" customFormat="1" ht="2" customHeight="1" x14ac:dyDescent="0.2">
      <c r="A30" s="252"/>
      <c r="B30" s="253"/>
      <c r="C30" s="254"/>
      <c r="D30" s="254"/>
      <c r="E30" s="254"/>
      <c r="F30" s="254"/>
      <c r="G30" s="254"/>
      <c r="H30" s="254"/>
      <c r="I30" s="254"/>
      <c r="J30" s="255"/>
      <c r="K30" s="252"/>
      <c r="T30" s="16"/>
      <c r="U30" s="578"/>
      <c r="V30" s="578"/>
      <c r="W30" s="578"/>
      <c r="X30" s="578"/>
      <c r="Y30" s="578"/>
      <c r="Z30" s="568"/>
      <c r="AA30" s="568"/>
      <c r="AB30" s="568"/>
      <c r="ET30" s="568"/>
      <c r="EU30" s="568"/>
      <c r="EV30" s="568"/>
      <c r="EW30" s="568"/>
      <c r="EX30" s="568"/>
      <c r="EY30" s="568"/>
      <c r="EZ30" s="568"/>
      <c r="FA30" s="568"/>
      <c r="FB30" s="568"/>
    </row>
    <row r="31" spans="1:158" s="256" customFormat="1" ht="20" customHeight="1" x14ac:dyDescent="0.2">
      <c r="A31" s="252"/>
      <c r="B31" s="253"/>
      <c r="C31" s="258" t="s">
        <v>1291</v>
      </c>
      <c r="D31" s="267"/>
      <c r="E31" s="265">
        <v>2</v>
      </c>
      <c r="F31" s="267"/>
      <c r="G31" s="266">
        <v>0</v>
      </c>
      <c r="H31" s="254"/>
      <c r="I31" s="254"/>
      <c r="J31" s="255"/>
      <c r="K31" s="252"/>
      <c r="T31" s="16"/>
      <c r="U31" s="578"/>
      <c r="V31" s="578"/>
      <c r="W31" s="578"/>
      <c r="X31" s="578"/>
      <c r="Y31" s="578"/>
      <c r="Z31" s="568"/>
      <c r="AA31" s="568"/>
      <c r="AB31" s="568"/>
      <c r="ET31" s="568"/>
      <c r="EU31" s="568"/>
      <c r="EV31" s="568"/>
      <c r="EW31" s="568"/>
      <c r="EX31" s="568"/>
      <c r="EY31" s="568"/>
      <c r="EZ31" s="568"/>
      <c r="FA31" s="568"/>
      <c r="FB31" s="568"/>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81" t="str">
        <f>HYPERLINK(Idiomas!D10,Idiomas!D9)</f>
        <v>▼ Descargar Excel Administrador Porra ▼</v>
      </c>
      <c r="C34" s="682"/>
      <c r="D34" s="682"/>
      <c r="E34" s="682"/>
      <c r="F34" s="682"/>
      <c r="G34" s="682"/>
      <c r="H34" s="682"/>
      <c r="I34" s="682"/>
      <c r="J34" s="683"/>
      <c r="K34" s="224"/>
      <c r="L34" s="282" t="s">
        <v>4</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69"/>
      <c r="P83" s="6"/>
      <c r="Q83" s="6"/>
      <c r="R83" s="6"/>
      <c r="U83" s="9"/>
      <c r="V83" s="9"/>
      <c r="W83" s="9"/>
      <c r="X83" s="9"/>
      <c r="Y83" s="9"/>
      <c r="Z83" s="6"/>
      <c r="AA83" s="6"/>
      <c r="AB83" s="6"/>
    </row>
    <row r="84" spans="12:28" ht="60" customHeight="1" x14ac:dyDescent="0.2">
      <c r="L84" s="3"/>
      <c r="M84" s="680"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4"/>
      <c r="O84" s="624"/>
      <c r="P84" s="624"/>
      <c r="Q84" s="624"/>
      <c r="R84" s="6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6" t="s">
        <v>1292</v>
      </c>
      <c r="N86" s="6"/>
      <c r="O86" s="6"/>
      <c r="P86" s="6"/>
      <c r="Q86" s="6"/>
      <c r="R86" s="6"/>
      <c r="T86" s="16" t="s">
        <v>1293</v>
      </c>
      <c r="U86" s="396" t="s">
        <v>1294</v>
      </c>
      <c r="V86" s="396" t="s">
        <v>1295</v>
      </c>
      <c r="W86" s="396" t="s">
        <v>1296</v>
      </c>
      <c r="X86" s="396" t="s">
        <v>1297</v>
      </c>
      <c r="Y86" s="396" t="s">
        <v>1298</v>
      </c>
      <c r="Z86" s="6"/>
      <c r="AA86" s="6"/>
      <c r="AB86" s="6"/>
    </row>
    <row r="87" spans="12:28" x14ac:dyDescent="0.2">
      <c r="L87" s="3"/>
      <c r="M87" s="598"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0" t="e">
        <v>#VALUE!</v>
      </c>
      <c r="Y88" s="9">
        <v>4</v>
      </c>
      <c r="Z88" s="6"/>
      <c r="AA88" s="6"/>
      <c r="AB88" s="6"/>
    </row>
    <row r="89" spans="12:28" ht="16" customHeight="1" x14ac:dyDescent="0.2">
      <c r="L89" s="3"/>
      <c r="M89" s="3"/>
      <c r="N89" s="3"/>
      <c r="O89" s="6"/>
      <c r="P89" s="6"/>
      <c r="Q89" s="6"/>
      <c r="R89" s="6"/>
      <c r="T89" s="16" t="s">
        <v>1307</v>
      </c>
      <c r="U89" s="9" t="s">
        <v>1308</v>
      </c>
      <c r="V89" s="9" t="s">
        <v>1308</v>
      </c>
      <c r="W89" s="571" t="s">
        <v>1309</v>
      </c>
      <c r="X89" s="570" t="e">
        <v>#VALUE!</v>
      </c>
      <c r="Y89" s="9">
        <v>-4</v>
      </c>
      <c r="Z89" s="6"/>
      <c r="AA89" s="6"/>
      <c r="AB89" s="6"/>
    </row>
    <row r="90" spans="12:28" ht="16" customHeight="1" x14ac:dyDescent="0.2">
      <c r="L90" s="3"/>
      <c r="M90" s="3"/>
      <c r="N90" s="3"/>
      <c r="O90" s="6"/>
      <c r="P90" s="6"/>
      <c r="Q90" s="6"/>
      <c r="R90" s="6"/>
      <c r="T90" s="16" t="s">
        <v>1310</v>
      </c>
      <c r="U90" s="9" t="s">
        <v>1311</v>
      </c>
      <c r="V90" s="9" t="s">
        <v>1312</v>
      </c>
      <c r="W90" s="572" t="s">
        <v>1313</v>
      </c>
      <c r="X90" s="570"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6" t="s">
        <v>1294</v>
      </c>
      <c r="O92" s="396" t="s">
        <v>1295</v>
      </c>
      <c r="P92" s="396" t="s">
        <v>1315</v>
      </c>
      <c r="Q92" s="396" t="s">
        <v>1316</v>
      </c>
      <c r="R92" s="396" t="s">
        <v>1297</v>
      </c>
      <c r="Z92" s="6"/>
      <c r="AA92" s="6"/>
      <c r="AB92" s="6"/>
    </row>
    <row r="93" spans="12:28" ht="25" customHeight="1" x14ac:dyDescent="0.2">
      <c r="L93" s="3"/>
      <c r="M93" s="9" t="s">
        <v>1314</v>
      </c>
      <c r="N93" s="573" t="s">
        <v>1317</v>
      </c>
      <c r="O93" s="573" t="s">
        <v>1318</v>
      </c>
      <c r="P93" s="573"/>
      <c r="Q93" s="573"/>
      <c r="R93" s="573"/>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9"/>
      <c r="EZ6119" s="599" t="s">
        <v>1320</v>
      </c>
      <c r="FA6119" s="599"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9"/>
      <c r="EZ6120" s="599" t="s">
        <v>1322</v>
      </c>
      <c r="FA6120" s="599"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9"/>
      <c r="EZ6121" s="599" t="s">
        <v>1324</v>
      </c>
      <c r="FA6121" s="599"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9"/>
      <c r="EZ6122" s="599" t="s">
        <v>1326</v>
      </c>
      <c r="FA6122" s="599"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9"/>
      <c r="EZ6123" s="599" t="s">
        <v>1327</v>
      </c>
      <c r="FA6123" s="599"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9"/>
      <c r="EZ6124" s="599" t="s">
        <v>1328</v>
      </c>
      <c r="FA6124" s="599"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9"/>
      <c r="EZ6125" s="599" t="s">
        <v>1329</v>
      </c>
      <c r="FA6125" s="599"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9"/>
      <c r="EZ6126" s="599" t="s">
        <v>1331</v>
      </c>
      <c r="FA6126" s="599"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9"/>
      <c r="EZ6127" s="599" t="s">
        <v>1333</v>
      </c>
      <c r="FA6127" s="599"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9"/>
      <c r="EZ6128" s="599" t="s">
        <v>1335</v>
      </c>
      <c r="FA6128" s="599"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9"/>
      <c r="EZ6129" s="599" t="s">
        <v>1337</v>
      </c>
      <c r="FA6129" s="599"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9"/>
      <c r="EZ6130" s="599" t="s">
        <v>1339</v>
      </c>
      <c r="FA6130" s="599"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9"/>
      <c r="EZ6131" s="599" t="s">
        <v>1340</v>
      </c>
      <c r="FA6131" s="599"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599"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9"/>
      <c r="EZ6133" s="599" t="s">
        <v>1344</v>
      </c>
      <c r="FA6133" s="599"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9"/>
      <c r="EZ6134" s="599" t="s">
        <v>1346</v>
      </c>
      <c r="FA6134" s="599"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9"/>
      <c r="EZ6135" s="599" t="s">
        <v>1348</v>
      </c>
      <c r="FA6135" s="599"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9"/>
      <c r="EZ6136" s="599" t="s">
        <v>1349</v>
      </c>
      <c r="FA6136" s="599"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9"/>
      <c r="EZ6137" s="599" t="s">
        <v>1351</v>
      </c>
      <c r="FA6137" s="599"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9"/>
      <c r="EZ6138" s="599" t="s">
        <v>1353</v>
      </c>
      <c r="FA6138" s="599"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9"/>
      <c r="EZ6139" s="599" t="s">
        <v>758</v>
      </c>
      <c r="FA6139" s="599"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9"/>
      <c r="EZ6140" s="599" t="s">
        <v>1355</v>
      </c>
      <c r="FA6140" s="599"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9"/>
      <c r="EZ6141" s="599" t="s">
        <v>1357</v>
      </c>
      <c r="FA6141" s="599"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9"/>
      <c r="EZ6142" s="599" t="s">
        <v>1358</v>
      </c>
      <c r="FA6142" s="599"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9"/>
      <c r="EZ6143" s="599" t="s">
        <v>1360</v>
      </c>
      <c r="FA6143" s="599"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9"/>
      <c r="EZ6144" s="599" t="str">
        <f>N87</f>
        <v>Irán</v>
      </c>
      <c r="FA6144" s="599"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9"/>
      <c r="EZ6145" s="599" t="s">
        <v>1362</v>
      </c>
      <c r="FA6145" s="599"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9"/>
      <c r="EZ6146" s="599" t="s">
        <v>1364</v>
      </c>
      <c r="FA6146" s="599"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9"/>
      <c r="EZ6147" s="599" t="s">
        <v>1366</v>
      </c>
      <c r="FA6147" s="599"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9"/>
      <c r="EZ6148" s="599" t="s">
        <v>1368</v>
      </c>
      <c r="FA6148" s="599"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9"/>
      <c r="EZ6149" s="599" t="s">
        <v>1370</v>
      </c>
      <c r="FA6149" s="599"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9"/>
      <c r="EZ6150" s="599" t="s">
        <v>1372</v>
      </c>
      <c r="FA6150" s="599"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9"/>
      <c r="EZ6151" s="599" t="s">
        <v>1374</v>
      </c>
      <c r="FA6151" s="599"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9"/>
      <c r="EZ6152" s="599" t="s">
        <v>1376</v>
      </c>
      <c r="FA6152" s="599"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9"/>
      <c r="EZ6153" s="599" t="s">
        <v>1378</v>
      </c>
      <c r="FA6153" s="599"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9"/>
      <c r="EZ6154" s="599" t="s">
        <v>1379</v>
      </c>
      <c r="FA6154" s="599"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9"/>
      <c r="EZ6155" s="599" t="s">
        <v>1380</v>
      </c>
      <c r="FA6155" s="599"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9"/>
      <c r="EZ6156" s="599" t="s">
        <v>1381</v>
      </c>
      <c r="FA6156" s="599"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9"/>
      <c r="EZ6157" s="599" t="s">
        <v>1383</v>
      </c>
      <c r="FA6157" s="599"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9"/>
      <c r="EZ6158" s="599" t="s">
        <v>1385</v>
      </c>
      <c r="FA6158" s="599"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9"/>
      <c r="EZ6159" s="599" t="s">
        <v>1387</v>
      </c>
      <c r="FA6159" s="599"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9"/>
      <c r="EZ6160" s="599" t="s">
        <v>1388</v>
      </c>
      <c r="FA6160" s="599"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1" customWidth="1"/>
    <col min="15" max="17" width="20.5" style="602" customWidth="1"/>
    <col min="18" max="16384" width="20.5" style="602"/>
  </cols>
  <sheetData>
    <row r="1" spans="1:18 8826:8826" ht="15" customHeight="1" x14ac:dyDescent="0.2">
      <c r="A1" s="396" t="s">
        <v>1402</v>
      </c>
      <c r="B1" s="396" t="s">
        <v>28</v>
      </c>
      <c r="C1" s="396" t="s">
        <v>327</v>
      </c>
      <c r="D1" s="396" t="s">
        <v>1403</v>
      </c>
      <c r="E1" s="9"/>
      <c r="F1" s="9" t="s">
        <v>1404</v>
      </c>
      <c r="G1" s="9"/>
      <c r="H1" s="396"/>
      <c r="I1" s="396"/>
      <c r="J1" s="9"/>
      <c r="K1" s="9" t="s">
        <v>402</v>
      </c>
      <c r="L1" s="9" t="s">
        <v>1405</v>
      </c>
      <c r="M1" s="9"/>
    </row>
    <row r="2" spans="1:18 8826:8826" ht="15" customHeight="1" x14ac:dyDescent="0.2">
      <c r="A2" s="9">
        <v>1</v>
      </c>
      <c r="B2" s="9" t="str">
        <f ca="1">+INDEX(Idiomas!$D$202:$D$249,MATCH(T_Equipos[[#This Row],[Num]],Idiomas!$C$202:$C$249,0))</f>
        <v>México</v>
      </c>
      <c r="C2" s="9" t="s">
        <v>29</v>
      </c>
      <c r="D2" s="9">
        <v>1</v>
      </c>
      <c r="E2" s="9"/>
      <c r="F2" s="9" t="s">
        <v>29</v>
      </c>
      <c r="G2" s="9"/>
      <c r="H2" s="9"/>
      <c r="I2" s="9"/>
      <c r="J2" s="9"/>
      <c r="K2" s="9" t="str">
        <f ca="1">Idiomas!D202</f>
        <v>Alemania</v>
      </c>
      <c r="L2" s="9" t="s">
        <v>1406</v>
      </c>
      <c r="M2" s="9" t="e">
        <v>#VALUE!</v>
      </c>
      <c r="MAL2" s="602" t="s">
        <v>1407</v>
      </c>
    </row>
    <row r="3" spans="1:18 8826:8826" ht="15" customHeight="1" x14ac:dyDescent="0.2">
      <c r="A3" s="9">
        <v>2</v>
      </c>
      <c r="B3" s="9" t="str">
        <f ca="1">+INDEX(Idiomas!$D$202:$D$249,MATCH(T_Equipos[[#This Row],[Num]],Idiomas!$C$202:$C$249,0))</f>
        <v>Sudáfrica</v>
      </c>
      <c r="C3" s="9" t="s">
        <v>29</v>
      </c>
      <c r="D3" s="9">
        <v>2</v>
      </c>
      <c r="E3" s="9"/>
      <c r="F3" s="9" t="s">
        <v>89</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29</v>
      </c>
      <c r="D4" s="9">
        <v>3</v>
      </c>
      <c r="E4" s="9"/>
      <c r="F4" s="9" t="s">
        <v>98</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29</v>
      </c>
      <c r="D5" s="9">
        <v>4</v>
      </c>
      <c r="E5" s="9"/>
      <c r="F5" s="9" t="s">
        <v>107</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89</v>
      </c>
      <c r="D6" s="9">
        <v>1</v>
      </c>
      <c r="E6" s="9"/>
      <c r="F6" s="9" t="s">
        <v>116</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89</v>
      </c>
      <c r="D7" s="9">
        <v>2</v>
      </c>
      <c r="E7" s="9"/>
      <c r="F7" s="9" t="s">
        <v>125</v>
      </c>
      <c r="G7" s="9"/>
      <c r="H7" s="9"/>
      <c r="I7" s="9"/>
      <c r="J7" s="9"/>
      <c r="K7" s="9" t="str">
        <f ca="1">Idiomas!D207</f>
        <v>Austria</v>
      </c>
      <c r="L7" s="603" t="s">
        <v>1412</v>
      </c>
      <c r="M7" s="603" t="e">
        <v>#VALUE!</v>
      </c>
    </row>
    <row r="8" spans="1:18 8826:8826" ht="15" customHeight="1" x14ac:dyDescent="0.2">
      <c r="A8" s="9">
        <v>7</v>
      </c>
      <c r="B8" s="9" t="str">
        <f ca="1">+INDEX(Idiomas!$D$202:$D$249,MATCH(T_Equipos[[#This Row],[Num]],Idiomas!$C$202:$C$249,0))</f>
        <v>Catar</v>
      </c>
      <c r="C8" s="9" t="s">
        <v>89</v>
      </c>
      <c r="D8" s="9">
        <v>3</v>
      </c>
      <c r="E8" s="9"/>
      <c r="F8" s="9" t="s">
        <v>134</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89</v>
      </c>
      <c r="D9" s="9">
        <v>4</v>
      </c>
      <c r="E9" s="9"/>
      <c r="F9" s="9" t="s">
        <v>139</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98</v>
      </c>
      <c r="D10" s="9">
        <v>1</v>
      </c>
      <c r="E10" s="9"/>
      <c r="F10" s="9" t="s">
        <v>140</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98</v>
      </c>
      <c r="D11" s="9">
        <v>2</v>
      </c>
      <c r="E11" s="9"/>
      <c r="F11" s="9" t="s">
        <v>141</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98</v>
      </c>
      <c r="D12" s="9">
        <v>3</v>
      </c>
      <c r="E12" s="9"/>
      <c r="F12" s="9" t="s">
        <v>142</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98</v>
      </c>
      <c r="D13" s="9">
        <v>4</v>
      </c>
      <c r="E13" s="9"/>
      <c r="F13" s="9" t="s">
        <v>143</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107</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107</v>
      </c>
      <c r="D15" s="9">
        <v>2</v>
      </c>
      <c r="E15" s="9"/>
      <c r="F15" s="9"/>
      <c r="G15" s="9"/>
      <c r="H15" s="9"/>
      <c r="I15" s="9"/>
      <c r="J15" s="9"/>
      <c r="K15" s="9" t="str">
        <f ca="1">Idiomas!D215</f>
        <v>Costa de Marfil</v>
      </c>
      <c r="L15" s="9" t="s">
        <v>1420</v>
      </c>
      <c r="M15" s="9" t="e">
        <v>#VALUE!</v>
      </c>
      <c r="P15" s="604"/>
      <c r="Q15" s="604"/>
      <c r="R15" s="604"/>
    </row>
    <row r="16" spans="1:18 8826:8826" ht="15" customHeight="1" x14ac:dyDescent="0.2">
      <c r="A16" s="9">
        <v>15</v>
      </c>
      <c r="B16" s="9" t="str">
        <f ca="1">+INDEX(Idiomas!$D$202:$D$249,MATCH(T_Equipos[[#This Row],[Num]],Idiomas!$C$202:$C$249,0))</f>
        <v>Australia</v>
      </c>
      <c r="C16" s="9" t="s">
        <v>107</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107</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116</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116</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116</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116</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125</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125</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125</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125</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134</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134</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134</v>
      </c>
      <c r="D28" s="9">
        <v>3</v>
      </c>
      <c r="E28" s="9"/>
      <c r="F28" s="9"/>
      <c r="G28" s="9"/>
      <c r="H28" s="9"/>
      <c r="I28" s="9"/>
      <c r="J28" s="9"/>
      <c r="K28" s="9" t="str">
        <f ca="1">Idiomas!D228</f>
        <v>Japón</v>
      </c>
      <c r="L28" s="9" t="s">
        <v>1432</v>
      </c>
      <c r="M28" s="9" t="e">
        <v>#VALUE!</v>
      </c>
      <c r="LS28" s="602" t="s">
        <v>1407</v>
      </c>
      <c r="MAL28" s="602" t="s">
        <v>1407</v>
      </c>
    </row>
    <row r="29" spans="1:331 8826:8826" ht="15" customHeight="1" x14ac:dyDescent="0.2">
      <c r="A29" s="9">
        <v>28</v>
      </c>
      <c r="B29" s="9" t="str">
        <f ca="1">+INDEX(Idiomas!$D$202:$D$249,MATCH(T_Equipos[[#This Row],[Num]],Idiomas!$C$202:$C$249,0))</f>
        <v>Nueva Zelanda</v>
      </c>
      <c r="C29" s="9" t="s">
        <v>134</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139</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139</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139</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139</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140</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140</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140</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140</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141</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141</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141</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141</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142</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142</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142</v>
      </c>
      <c r="D44" s="9">
        <v>3</v>
      </c>
      <c r="E44" s="9"/>
      <c r="F44" s="9"/>
      <c r="G44" s="9"/>
      <c r="H44" s="9"/>
      <c r="I44" s="9"/>
      <c r="J44" s="9"/>
      <c r="K44" s="9" t="str">
        <f ca="1">Idiomas!D244</f>
        <v>RD Congo</v>
      </c>
      <c r="L44" s="605" t="s">
        <v>1448</v>
      </c>
      <c r="M44" s="605" t="e">
        <v>#VALUE!</v>
      </c>
    </row>
    <row r="45" spans="1:13" ht="15" customHeight="1" x14ac:dyDescent="0.2">
      <c r="A45" s="9">
        <v>44</v>
      </c>
      <c r="B45" s="9" t="str">
        <f ca="1">+INDEX(Idiomas!$D$202:$D$249,MATCH(T_Equipos[[#This Row],[Num]],Idiomas!$C$202:$C$249,0))</f>
        <v>Colombia</v>
      </c>
      <c r="C45" s="9" t="s">
        <v>142</v>
      </c>
      <c r="D45" s="9">
        <v>4</v>
      </c>
      <c r="E45" s="9"/>
      <c r="F45" s="9"/>
      <c r="G45" s="9"/>
      <c r="H45" s="9"/>
      <c r="I45" s="9"/>
      <c r="J45" s="9"/>
      <c r="K45" s="9" t="str">
        <f ca="1">Idiomas!D245</f>
        <v>Irak</v>
      </c>
      <c r="L45" s="605" t="s">
        <v>1449</v>
      </c>
      <c r="M45" s="605" t="e">
        <v>#VALUE!</v>
      </c>
    </row>
    <row r="46" spans="1:13" ht="15" customHeight="1" x14ac:dyDescent="0.2">
      <c r="A46" s="9">
        <v>45</v>
      </c>
      <c r="B46" s="9" t="str">
        <f ca="1">+INDEX(Idiomas!$D$202:$D$249,MATCH(T_Equipos[[#This Row],[Num]],Idiomas!$C$202:$C$249,0))</f>
        <v>Inglaterra</v>
      </c>
      <c r="C46" s="9" t="s">
        <v>143</v>
      </c>
      <c r="D46" s="9">
        <v>1</v>
      </c>
      <c r="E46" s="9"/>
      <c r="F46" s="9"/>
      <c r="G46" s="9"/>
      <c r="H46" s="9"/>
      <c r="I46" s="9"/>
      <c r="J46" s="9"/>
      <c r="K46" s="9" t="str">
        <f ca="1">Idiomas!D246</f>
        <v>Bosnia y Herzegovina</v>
      </c>
      <c r="L46" s="606" t="s">
        <v>1450</v>
      </c>
      <c r="M46" s="606" t="e">
        <v>#VALUE!</v>
      </c>
    </row>
    <row r="47" spans="1:13" ht="15" customHeight="1" x14ac:dyDescent="0.2">
      <c r="A47" s="9">
        <v>46</v>
      </c>
      <c r="B47" s="9" t="str">
        <f ca="1">+INDEX(Idiomas!$D$202:$D$249,MATCH(T_Equipos[[#This Row],[Num]],Idiomas!$C$202:$C$249,0))</f>
        <v>Croacia</v>
      </c>
      <c r="C47" s="9" t="s">
        <v>143</v>
      </c>
      <c r="D47" s="9">
        <v>2</v>
      </c>
      <c r="E47" s="9"/>
      <c r="F47" s="9"/>
      <c r="G47" s="9"/>
      <c r="H47" s="9"/>
      <c r="I47" s="9"/>
      <c r="J47" s="9"/>
      <c r="K47" s="9" t="str">
        <f ca="1">Idiomas!D247</f>
        <v>Suecia</v>
      </c>
      <c r="L47" s="605" t="s">
        <v>1451</v>
      </c>
      <c r="M47" s="605" t="e">
        <v>#VALUE!</v>
      </c>
    </row>
    <row r="48" spans="1:13" ht="15" customHeight="1" x14ac:dyDescent="0.2">
      <c r="A48" s="9">
        <v>47</v>
      </c>
      <c r="B48" s="9" t="str">
        <f ca="1">+INDEX(Idiomas!$D$202:$D$249,MATCH(T_Equipos[[#This Row],[Num]],Idiomas!$C$202:$C$249,0))</f>
        <v>Ghana</v>
      </c>
      <c r="C48" s="9" t="s">
        <v>143</v>
      </c>
      <c r="D48" s="9">
        <v>3</v>
      </c>
      <c r="E48" s="9"/>
      <c r="F48" s="9"/>
      <c r="G48" s="9"/>
      <c r="H48" s="9"/>
      <c r="I48" s="9"/>
      <c r="J48" s="9"/>
      <c r="K48" s="9" t="str">
        <f ca="1">Idiomas!D248</f>
        <v>Turquía</v>
      </c>
      <c r="L48" s="605" t="s">
        <v>1452</v>
      </c>
      <c r="M48" s="605" t="e">
        <v>#VALUE!</v>
      </c>
    </row>
    <row r="49" spans="1:13" ht="15" customHeight="1" x14ac:dyDescent="0.2">
      <c r="A49" s="9">
        <v>48</v>
      </c>
      <c r="B49" s="9" t="str">
        <f ca="1">+INDEX(Idiomas!$D$202:$D$249,MATCH(T_Equipos[[#This Row],[Num]],Idiomas!$C$202:$C$249,0))</f>
        <v>Panamá</v>
      </c>
      <c r="C49" s="9" t="s">
        <v>143</v>
      </c>
      <c r="D49" s="9">
        <v>4</v>
      </c>
      <c r="E49" s="9"/>
      <c r="F49" s="9"/>
      <c r="G49" s="9"/>
      <c r="H49" s="9"/>
      <c r="I49" s="9"/>
      <c r="J49" s="9"/>
      <c r="K49" s="9" t="str">
        <f ca="1">Idiomas!D249</f>
        <v>República Checa</v>
      </c>
      <c r="L49" s="605" t="s">
        <v>1453</v>
      </c>
      <c r="M49" s="605" t="e">
        <v>#VALUE!</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0">
        <f ca="1">+INDEX($S$3:$S$86,MATCH($L$2,$Q$3:$Q$86,0))</f>
        <v>0.16666666666666666</v>
      </c>
      <c r="P2" s="397" t="s">
        <v>1402</v>
      </c>
      <c r="Q2" s="397" t="s">
        <v>1455</v>
      </c>
      <c r="R2" s="397" t="s">
        <v>1460</v>
      </c>
      <c r="S2" s="397" t="s">
        <v>1461</v>
      </c>
      <c r="T2" s="397" t="s">
        <v>1462</v>
      </c>
      <c r="U2" s="397" t="s">
        <v>1463</v>
      </c>
      <c r="V2" s="397" t="s">
        <v>1464</v>
      </c>
      <c r="W2" s="608" t="s">
        <v>1465</v>
      </c>
      <c r="X2" s="397" t="s">
        <v>1462</v>
      </c>
      <c r="AA2" s="397" t="s">
        <v>1402</v>
      </c>
      <c r="AB2" s="397" t="s">
        <v>1455</v>
      </c>
      <c r="AC2" s="397" t="s">
        <v>1460</v>
      </c>
      <c r="AD2" s="397" t="s">
        <v>1461</v>
      </c>
      <c r="AE2" s="397" t="s">
        <v>1462</v>
      </c>
      <c r="AF2" s="397" t="s">
        <v>1463</v>
      </c>
      <c r="AG2" s="397" t="s">
        <v>1464</v>
      </c>
      <c r="AH2" s="608" t="s">
        <v>1465</v>
      </c>
      <c r="AI2" s="397"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0">
        <f t="shared" ca="1" si="1"/>
        <v>8.3333333333333329E-2</v>
      </c>
      <c r="T3" s="16">
        <f t="shared" ca="1" si="1"/>
        <v>0</v>
      </c>
      <c r="U3" s="16">
        <f t="shared" ca="1" si="1"/>
        <v>6</v>
      </c>
      <c r="V3" s="610">
        <f t="shared" ca="1" si="1"/>
        <v>0.25</v>
      </c>
      <c r="W3" s="16">
        <f t="shared" ca="1" si="1"/>
        <v>1</v>
      </c>
      <c r="X3" s="16">
        <f t="shared" ref="X3:X50" ca="1" si="2">IFERROR(IF(Q3=$L$2,1,0),0)</f>
        <v>0</v>
      </c>
      <c r="AA3" s="16">
        <v>1</v>
      </c>
      <c r="AB3" s="16" t="str">
        <f ca="1">Idiomas!D202</f>
        <v>Alemania</v>
      </c>
      <c r="AC3" s="609">
        <v>2</v>
      </c>
      <c r="AD3" s="610">
        <f t="shared" ref="AD3:AD34" si="3">ABS(AC3/24)</f>
        <v>8.3333333333333329E-2</v>
      </c>
      <c r="AE3" s="16">
        <v>0</v>
      </c>
      <c r="AF3" s="16">
        <f t="shared" ref="AF3:AF34" ca="1" si="4">AC3-$M$2</f>
        <v>6</v>
      </c>
      <c r="AG3" s="610">
        <f t="shared" ref="AG3:AG34" ca="1" si="5">ABS(AF3/24)</f>
        <v>0.25</v>
      </c>
      <c r="AH3" s="16">
        <f t="shared" ref="AH3:AH34" ca="1" si="6">IF(AC3&gt;$M$2,1,IF(AC3=$M$2,0,-1))</f>
        <v>1</v>
      </c>
      <c r="AI3" s="16">
        <f t="shared" ref="AI3:AI50" ca="1" si="7">+COUNTIF($AB$3:$AB$50,"&lt;="&amp;AB3)</f>
        <v>1</v>
      </c>
    </row>
    <row r="4" spans="1:35" ht="16" customHeight="1" x14ac:dyDescent="0.2">
      <c r="A4" s="580">
        <v>46184.625</v>
      </c>
      <c r="B4" s="16"/>
      <c r="C4" s="580">
        <f t="shared" ref="C4:C9" ca="1" si="8">A4+INDEX($V$3:$V$86,MATCH($C$3,$P$3:$P$86,0))*INDEX($W$3:$W$86,MATCH($C$3,$P$3:$P$86,0))</f>
        <v>46184.625</v>
      </c>
      <c r="D4" s="607"/>
      <c r="E4" s="607"/>
      <c r="P4" s="16">
        <v>2</v>
      </c>
      <c r="Q4" s="16" t="str">
        <f t="shared" ca="1" si="0"/>
        <v>Arabia Saudita</v>
      </c>
      <c r="R4" s="16">
        <f t="shared" ca="1" si="1"/>
        <v>3</v>
      </c>
      <c r="S4" s="610">
        <f t="shared" ca="1" si="1"/>
        <v>0.125</v>
      </c>
      <c r="T4" s="16">
        <f t="shared" ca="1" si="1"/>
        <v>0</v>
      </c>
      <c r="U4" s="16">
        <f t="shared" ca="1" si="1"/>
        <v>7</v>
      </c>
      <c r="V4" s="610">
        <f t="shared" ca="1" si="1"/>
        <v>0.29166666666666669</v>
      </c>
      <c r="W4" s="16">
        <f t="shared" ca="1" si="1"/>
        <v>1</v>
      </c>
      <c r="X4" s="16">
        <f t="shared" ca="1" si="2"/>
        <v>0</v>
      </c>
      <c r="AA4" s="16">
        <v>2</v>
      </c>
      <c r="AB4" s="16" t="str">
        <f ca="1">Idiomas!D203</f>
        <v>Arabia Saudita</v>
      </c>
      <c r="AC4" s="609">
        <v>3</v>
      </c>
      <c r="AD4" s="610">
        <f t="shared" si="3"/>
        <v>0.125</v>
      </c>
      <c r="AE4" s="16">
        <v>0</v>
      </c>
      <c r="AF4" s="16">
        <f t="shared" ca="1" si="4"/>
        <v>7</v>
      </c>
      <c r="AG4" s="610">
        <f t="shared" ca="1" si="5"/>
        <v>0.29166666666666669</v>
      </c>
      <c r="AH4" s="16">
        <f t="shared" ca="1" si="6"/>
        <v>1</v>
      </c>
      <c r="AI4" s="16">
        <f t="shared" ca="1" si="7"/>
        <v>2</v>
      </c>
    </row>
    <row r="5" spans="1:35" ht="16" customHeight="1" x14ac:dyDescent="0.2">
      <c r="A5" s="580">
        <v>46184.916666666657</v>
      </c>
      <c r="B5" s="16"/>
      <c r="C5" s="580">
        <f t="shared" ca="1" si="8"/>
        <v>46184.916666666657</v>
      </c>
      <c r="D5" s="607"/>
      <c r="E5" s="607"/>
      <c r="P5" s="16">
        <v>3</v>
      </c>
      <c r="Q5" s="16" t="str">
        <f t="shared" ca="1" si="0"/>
        <v>Argelia</v>
      </c>
      <c r="R5" s="16">
        <f t="shared" ca="1" si="1"/>
        <v>1</v>
      </c>
      <c r="S5" s="610">
        <f t="shared" ca="1" si="1"/>
        <v>4.1666666666666664E-2</v>
      </c>
      <c r="T5" s="16">
        <f t="shared" ca="1" si="1"/>
        <v>0</v>
      </c>
      <c r="U5" s="16">
        <f t="shared" ca="1" si="1"/>
        <v>5</v>
      </c>
      <c r="V5" s="610">
        <f t="shared" ca="1" si="1"/>
        <v>0.20833333333333334</v>
      </c>
      <c r="W5" s="16">
        <f t="shared" ca="1" si="1"/>
        <v>1</v>
      </c>
      <c r="X5" s="16">
        <f t="shared" ca="1" si="2"/>
        <v>0</v>
      </c>
      <c r="AA5" s="16">
        <v>3</v>
      </c>
      <c r="AB5" s="16" t="str">
        <f ca="1">Idiomas!D204</f>
        <v>Argelia</v>
      </c>
      <c r="AC5" s="609">
        <v>1</v>
      </c>
      <c r="AD5" s="610">
        <f t="shared" si="3"/>
        <v>4.1666666666666664E-2</v>
      </c>
      <c r="AE5" s="16">
        <v>0</v>
      </c>
      <c r="AF5" s="16">
        <f t="shared" ca="1" si="4"/>
        <v>5</v>
      </c>
      <c r="AG5" s="610">
        <f t="shared" ca="1" si="5"/>
        <v>0.20833333333333334</v>
      </c>
      <c r="AH5" s="16">
        <f t="shared" ca="1" si="6"/>
        <v>1</v>
      </c>
      <c r="AI5" s="16">
        <f t="shared" ca="1" si="7"/>
        <v>3</v>
      </c>
    </row>
    <row r="6" spans="1:35" ht="16" customHeight="1" x14ac:dyDescent="0.2">
      <c r="A6" s="580">
        <v>46191.5</v>
      </c>
      <c r="B6" s="16"/>
      <c r="C6" s="580">
        <f t="shared" ca="1" si="8"/>
        <v>46191.5</v>
      </c>
      <c r="D6" s="607"/>
      <c r="E6" s="607"/>
      <c r="P6" s="16">
        <v>4</v>
      </c>
      <c r="Q6" s="16" t="str">
        <f t="shared" ca="1" si="0"/>
        <v>Argentina</v>
      </c>
      <c r="R6" s="16">
        <f t="shared" ca="1" si="1"/>
        <v>-3</v>
      </c>
      <c r="S6" s="610">
        <f t="shared" ca="1" si="1"/>
        <v>0.125</v>
      </c>
      <c r="T6" s="16">
        <f t="shared" ca="1" si="1"/>
        <v>0</v>
      </c>
      <c r="U6" s="16">
        <f t="shared" ca="1" si="1"/>
        <v>1</v>
      </c>
      <c r="V6" s="610">
        <f t="shared" ca="1" si="1"/>
        <v>4.1666666666666664E-2</v>
      </c>
      <c r="W6" s="16">
        <f t="shared" ca="1" si="1"/>
        <v>1</v>
      </c>
      <c r="X6" s="16">
        <f t="shared" ca="1" si="2"/>
        <v>0</v>
      </c>
      <c r="AA6" s="16">
        <v>4</v>
      </c>
      <c r="AB6" s="16" t="str">
        <f ca="1">Idiomas!D205</f>
        <v>Argentina</v>
      </c>
      <c r="AC6" s="609">
        <v>-3</v>
      </c>
      <c r="AD6" s="610">
        <f t="shared" si="3"/>
        <v>0.125</v>
      </c>
      <c r="AE6" s="16">
        <v>0</v>
      </c>
      <c r="AF6" s="16">
        <f t="shared" ca="1" si="4"/>
        <v>1</v>
      </c>
      <c r="AG6" s="610">
        <f t="shared" ca="1" si="5"/>
        <v>4.1666666666666664E-2</v>
      </c>
      <c r="AH6" s="16">
        <f t="shared" ca="1" si="6"/>
        <v>1</v>
      </c>
      <c r="AI6" s="16">
        <f t="shared" ca="1" si="7"/>
        <v>4</v>
      </c>
    </row>
    <row r="7" spans="1:35" ht="16" customHeight="1" x14ac:dyDescent="0.2">
      <c r="A7" s="580">
        <v>46191.875</v>
      </c>
      <c r="B7" s="16"/>
      <c r="C7" s="580">
        <f t="shared" ca="1" si="8"/>
        <v>46191.875</v>
      </c>
      <c r="D7" s="607"/>
      <c r="E7" s="607"/>
      <c r="P7" s="16">
        <v>5</v>
      </c>
      <c r="Q7" s="16" t="str">
        <f t="shared" ca="1" si="0"/>
        <v>Australia</v>
      </c>
      <c r="R7" s="16">
        <f t="shared" ca="1" si="1"/>
        <v>10.5</v>
      </c>
      <c r="S7" s="610">
        <f t="shared" ca="1" si="1"/>
        <v>0.4375</v>
      </c>
      <c r="T7" s="16">
        <f t="shared" ca="1" si="1"/>
        <v>0</v>
      </c>
      <c r="U7" s="16">
        <f t="shared" ca="1" si="1"/>
        <v>14.5</v>
      </c>
      <c r="V7" s="610">
        <f t="shared" ca="1" si="1"/>
        <v>0.60416666666666663</v>
      </c>
      <c r="W7" s="16">
        <f t="shared" ca="1" si="1"/>
        <v>1</v>
      </c>
      <c r="X7" s="16">
        <f t="shared" ca="1" si="2"/>
        <v>0</v>
      </c>
      <c r="AA7" s="16">
        <v>5</v>
      </c>
      <c r="AB7" s="16" t="str">
        <f ca="1">Idiomas!D206</f>
        <v>Australia</v>
      </c>
      <c r="AC7" s="609">
        <v>10.5</v>
      </c>
      <c r="AD7" s="610">
        <f t="shared" si="3"/>
        <v>0.4375</v>
      </c>
      <c r="AE7" s="16">
        <v>0</v>
      </c>
      <c r="AF7" s="16">
        <f t="shared" ca="1" si="4"/>
        <v>14.5</v>
      </c>
      <c r="AG7" s="610">
        <f t="shared" ca="1" si="5"/>
        <v>0.60416666666666663</v>
      </c>
      <c r="AH7" s="16">
        <f t="shared" ca="1" si="6"/>
        <v>1</v>
      </c>
      <c r="AI7" s="16">
        <f t="shared" ca="1" si="7"/>
        <v>5</v>
      </c>
    </row>
    <row r="8" spans="1:35" ht="16" customHeight="1" x14ac:dyDescent="0.2">
      <c r="A8" s="580">
        <v>46197.875</v>
      </c>
      <c r="B8" s="16"/>
      <c r="C8" s="580">
        <f t="shared" ca="1" si="8"/>
        <v>46197.875</v>
      </c>
      <c r="D8" s="607"/>
      <c r="E8" s="607"/>
      <c r="P8" s="16">
        <v>6</v>
      </c>
      <c r="Q8" s="16" t="str">
        <f t="shared" ca="1" si="0"/>
        <v>Austria</v>
      </c>
      <c r="R8" s="16">
        <f t="shared" ca="1" si="1"/>
        <v>2</v>
      </c>
      <c r="S8" s="610">
        <f t="shared" ca="1" si="1"/>
        <v>8.3333333333333329E-2</v>
      </c>
      <c r="T8" s="16">
        <f t="shared" ca="1" si="1"/>
        <v>0</v>
      </c>
      <c r="U8" s="16">
        <f t="shared" ca="1" si="1"/>
        <v>6</v>
      </c>
      <c r="V8" s="610">
        <f t="shared" ca="1" si="1"/>
        <v>0.25</v>
      </c>
      <c r="W8" s="16">
        <f t="shared" ca="1" si="1"/>
        <v>1</v>
      </c>
      <c r="X8" s="16">
        <f t="shared" ca="1" si="2"/>
        <v>0</v>
      </c>
      <c r="AA8" s="16">
        <v>6</v>
      </c>
      <c r="AB8" s="16" t="str">
        <f ca="1">Idiomas!D207</f>
        <v>Austria</v>
      </c>
      <c r="AC8" s="609">
        <v>2</v>
      </c>
      <c r="AD8" s="610">
        <f t="shared" si="3"/>
        <v>8.3333333333333329E-2</v>
      </c>
      <c r="AE8" s="16">
        <v>0</v>
      </c>
      <c r="AF8" s="16">
        <f t="shared" ca="1" si="4"/>
        <v>6</v>
      </c>
      <c r="AG8" s="610">
        <f t="shared" ca="1" si="5"/>
        <v>0.25</v>
      </c>
      <c r="AH8" s="16">
        <f t="shared" ca="1" si="6"/>
        <v>1</v>
      </c>
      <c r="AI8" s="16">
        <f t="shared" ca="1" si="7"/>
        <v>6</v>
      </c>
    </row>
    <row r="9" spans="1:35" ht="16" customHeight="1" x14ac:dyDescent="0.2">
      <c r="A9" s="580">
        <v>46197.875</v>
      </c>
      <c r="B9" s="16"/>
      <c r="C9" s="580">
        <f t="shared" ca="1" si="8"/>
        <v>46197.875</v>
      </c>
      <c r="D9" s="607"/>
      <c r="E9" s="607"/>
      <c r="P9" s="16">
        <v>7</v>
      </c>
      <c r="Q9" s="16" t="str">
        <f t="shared" ca="1" si="0"/>
        <v>Bélgica</v>
      </c>
      <c r="R9" s="16">
        <f t="shared" ca="1" si="1"/>
        <v>2</v>
      </c>
      <c r="S9" s="610">
        <f t="shared" ca="1" si="1"/>
        <v>8.3333333333333329E-2</v>
      </c>
      <c r="T9" s="16">
        <f t="shared" ca="1" si="1"/>
        <v>0</v>
      </c>
      <c r="U9" s="16">
        <f t="shared" ca="1" si="1"/>
        <v>6</v>
      </c>
      <c r="V9" s="610">
        <f t="shared" ca="1" si="1"/>
        <v>0.25</v>
      </c>
      <c r="W9" s="16">
        <f t="shared" ca="1" si="1"/>
        <v>1</v>
      </c>
      <c r="X9" s="16">
        <f t="shared" ca="1" si="2"/>
        <v>0</v>
      </c>
      <c r="AA9" s="16">
        <v>7</v>
      </c>
      <c r="AB9" s="16" t="str">
        <f ca="1">Idiomas!D208</f>
        <v>Bélgica</v>
      </c>
      <c r="AC9" s="609">
        <v>2</v>
      </c>
      <c r="AD9" s="610">
        <f t="shared" si="3"/>
        <v>8.3333333333333329E-2</v>
      </c>
      <c r="AE9" s="16">
        <v>0</v>
      </c>
      <c r="AF9" s="16">
        <f t="shared" ca="1" si="4"/>
        <v>6</v>
      </c>
      <c r="AG9" s="610">
        <f t="shared" ca="1" si="5"/>
        <v>0.25</v>
      </c>
      <c r="AH9" s="16">
        <f t="shared" ca="1" si="6"/>
        <v>1</v>
      </c>
      <c r="AI9" s="16">
        <f t="shared" ca="1" si="7"/>
        <v>7</v>
      </c>
    </row>
    <row r="10" spans="1:35" ht="16" customHeight="1" x14ac:dyDescent="0.2">
      <c r="A10" s="16"/>
      <c r="B10" s="16"/>
      <c r="C10" s="580"/>
      <c r="P10" s="16">
        <v>8</v>
      </c>
      <c r="Q10" s="16" t="str">
        <f t="shared" ca="1" si="0"/>
        <v>Bosnia y Herzegovina</v>
      </c>
      <c r="R10" s="16">
        <f t="shared" ca="1" si="1"/>
        <v>2</v>
      </c>
      <c r="S10" s="610">
        <f t="shared" ca="1" si="1"/>
        <v>8.3333333333333329E-2</v>
      </c>
      <c r="T10" s="16">
        <f t="shared" ca="1" si="1"/>
        <v>0</v>
      </c>
      <c r="U10" s="16">
        <f t="shared" ca="1" si="1"/>
        <v>6</v>
      </c>
      <c r="V10" s="610">
        <f t="shared" ca="1" si="1"/>
        <v>0.25</v>
      </c>
      <c r="W10" s="16">
        <f t="shared" ca="1" si="1"/>
        <v>1</v>
      </c>
      <c r="X10" s="16">
        <f t="shared" ca="1" si="2"/>
        <v>0</v>
      </c>
      <c r="AA10" s="16">
        <v>8</v>
      </c>
      <c r="AB10" s="16" t="str">
        <f ca="1">Idiomas!D209</f>
        <v>Brasil</v>
      </c>
      <c r="AC10" s="609">
        <v>-3</v>
      </c>
      <c r="AD10" s="610">
        <f t="shared" si="3"/>
        <v>0.125</v>
      </c>
      <c r="AE10" s="16">
        <v>0</v>
      </c>
      <c r="AF10" s="16">
        <f t="shared" ca="1" si="4"/>
        <v>1</v>
      </c>
      <c r="AG10" s="610">
        <f t="shared" ca="1" si="5"/>
        <v>4.1666666666666664E-2</v>
      </c>
      <c r="AH10" s="16">
        <f t="shared" ca="1" si="6"/>
        <v>1</v>
      </c>
      <c r="AI10" s="16">
        <f t="shared" ca="1" si="7"/>
        <v>9</v>
      </c>
    </row>
    <row r="11" spans="1:35" ht="16" customHeight="1" x14ac:dyDescent="0.2">
      <c r="A11" s="9" t="s">
        <v>1468</v>
      </c>
      <c r="B11" s="16"/>
      <c r="C11" s="580"/>
      <c r="P11" s="16">
        <v>9</v>
      </c>
      <c r="Q11" s="16" t="str">
        <f t="shared" ca="1" si="0"/>
        <v>Brasil</v>
      </c>
      <c r="R11" s="16">
        <f t="shared" ca="1" si="1"/>
        <v>-3</v>
      </c>
      <c r="S11" s="610">
        <f t="shared" ca="1" si="1"/>
        <v>0.125</v>
      </c>
      <c r="T11" s="16">
        <f t="shared" ca="1" si="1"/>
        <v>0</v>
      </c>
      <c r="U11" s="16">
        <f t="shared" ca="1" si="1"/>
        <v>1</v>
      </c>
      <c r="V11" s="610">
        <f t="shared" ca="1" si="1"/>
        <v>4.1666666666666664E-2</v>
      </c>
      <c r="W11" s="16">
        <f t="shared" ca="1" si="1"/>
        <v>1</v>
      </c>
      <c r="X11" s="16">
        <f t="shared" ca="1" si="2"/>
        <v>0</v>
      </c>
      <c r="AA11" s="16">
        <v>9</v>
      </c>
      <c r="AB11" s="16" t="str">
        <f ca="1">Idiomas!D210</f>
        <v>Cabo Verde</v>
      </c>
      <c r="AC11" s="609">
        <v>-1</v>
      </c>
      <c r="AD11" s="610">
        <f t="shared" si="3"/>
        <v>4.1666666666666664E-2</v>
      </c>
      <c r="AE11" s="16">
        <v>0</v>
      </c>
      <c r="AF11" s="16">
        <f t="shared" ca="1" si="4"/>
        <v>3</v>
      </c>
      <c r="AG11" s="610">
        <f t="shared" ca="1" si="5"/>
        <v>0.125</v>
      </c>
      <c r="AH11" s="16">
        <f t="shared" ca="1" si="6"/>
        <v>1</v>
      </c>
      <c r="AI11" s="16">
        <f t="shared" ca="1" si="7"/>
        <v>10</v>
      </c>
    </row>
    <row r="12" spans="1:35" ht="16" customHeight="1" x14ac:dyDescent="0.2">
      <c r="A12" s="580">
        <v>46185.625</v>
      </c>
      <c r="B12" s="16"/>
      <c r="C12" s="580">
        <f t="shared" ref="C12:C17" ca="1" si="9">A12+INDEX($V$3:$V$86,MATCH($C$3,$P$3:$P$86,0))*INDEX($W$3:$W$86,MATCH($C$3,$P$3:$P$86,0))</f>
        <v>46185.625</v>
      </c>
      <c r="D12" s="607"/>
      <c r="E12" s="607"/>
      <c r="P12" s="16">
        <v>10</v>
      </c>
      <c r="Q12" s="16" t="str">
        <f t="shared" ca="1" si="0"/>
        <v>Cabo Verde</v>
      </c>
      <c r="R12" s="16">
        <f t="shared" ca="1" si="1"/>
        <v>-1</v>
      </c>
      <c r="S12" s="610">
        <f t="shared" ca="1" si="1"/>
        <v>4.1666666666666664E-2</v>
      </c>
      <c r="T12" s="16">
        <f t="shared" ca="1" si="1"/>
        <v>0</v>
      </c>
      <c r="U12" s="16">
        <f t="shared" ca="1" si="1"/>
        <v>3</v>
      </c>
      <c r="V12" s="610">
        <f t="shared" ca="1" si="1"/>
        <v>0.125</v>
      </c>
      <c r="W12" s="16">
        <f t="shared" ca="1" si="1"/>
        <v>1</v>
      </c>
      <c r="X12" s="16">
        <f t="shared" ca="1" si="2"/>
        <v>0</v>
      </c>
      <c r="AA12" s="16">
        <v>10</v>
      </c>
      <c r="AB12" s="16" t="str">
        <f ca="1">Idiomas!D211</f>
        <v>Canadá</v>
      </c>
      <c r="AC12" s="609">
        <v>-4</v>
      </c>
      <c r="AD12" s="610">
        <f t="shared" si="3"/>
        <v>0.16666666666666666</v>
      </c>
      <c r="AE12" s="16">
        <v>0</v>
      </c>
      <c r="AF12" s="16">
        <f t="shared" ca="1" si="4"/>
        <v>0</v>
      </c>
      <c r="AG12" s="610">
        <f t="shared" ca="1" si="5"/>
        <v>0</v>
      </c>
      <c r="AH12" s="16">
        <f t="shared" ca="1" si="6"/>
        <v>0</v>
      </c>
      <c r="AI12" s="16">
        <f t="shared" ca="1" si="7"/>
        <v>11</v>
      </c>
    </row>
    <row r="13" spans="1:35" ht="16" customHeight="1" x14ac:dyDescent="0.2">
      <c r="A13" s="580">
        <v>46186.625</v>
      </c>
      <c r="B13" s="16"/>
      <c r="C13" s="580">
        <f t="shared" ca="1" si="9"/>
        <v>46186.625</v>
      </c>
      <c r="D13" s="607"/>
      <c r="E13" s="607"/>
      <c r="P13" s="16">
        <v>11</v>
      </c>
      <c r="Q13" s="16" t="str">
        <f t="shared" ca="1" si="0"/>
        <v>Canadá</v>
      </c>
      <c r="R13" s="16">
        <f t="shared" ref="R13:W22" ca="1" si="10">+INDEX($AC$3:$AH$86,MATCH($Q13,$AB$3:$AB$86,0),MATCH(R$2,$AC$2:$AH$2,0))</f>
        <v>-4</v>
      </c>
      <c r="S13" s="610">
        <f t="shared" ca="1" si="10"/>
        <v>0.16666666666666666</v>
      </c>
      <c r="T13" s="16">
        <f t="shared" ca="1" si="10"/>
        <v>0</v>
      </c>
      <c r="U13" s="16">
        <f t="shared" ca="1" si="10"/>
        <v>0</v>
      </c>
      <c r="V13" s="610">
        <f t="shared" ca="1" si="10"/>
        <v>0</v>
      </c>
      <c r="W13" s="16">
        <f t="shared" ca="1" si="10"/>
        <v>0</v>
      </c>
      <c r="X13" s="16">
        <f t="shared" ca="1" si="2"/>
        <v>0</v>
      </c>
      <c r="AA13" s="16">
        <v>11</v>
      </c>
      <c r="AB13" s="16" t="str">
        <f ca="1">Idiomas!D212</f>
        <v>Catar</v>
      </c>
      <c r="AC13" s="609">
        <v>3</v>
      </c>
      <c r="AD13" s="610">
        <f t="shared" si="3"/>
        <v>0.125</v>
      </c>
      <c r="AE13" s="16">
        <v>0</v>
      </c>
      <c r="AF13" s="16">
        <f t="shared" ca="1" si="4"/>
        <v>7</v>
      </c>
      <c r="AG13" s="610">
        <f t="shared" ca="1" si="5"/>
        <v>0.29166666666666669</v>
      </c>
      <c r="AH13" s="16">
        <f t="shared" ca="1" si="6"/>
        <v>1</v>
      </c>
      <c r="AI13" s="16">
        <f t="shared" ca="1" si="7"/>
        <v>12</v>
      </c>
    </row>
    <row r="14" spans="1:35" ht="16" customHeight="1" x14ac:dyDescent="0.2">
      <c r="A14" s="580">
        <v>46191.625</v>
      </c>
      <c r="B14" s="16"/>
      <c r="C14" s="580">
        <f t="shared" ca="1" si="9"/>
        <v>46191.625</v>
      </c>
      <c r="D14" s="607"/>
      <c r="E14" s="607"/>
      <c r="P14" s="16">
        <v>12</v>
      </c>
      <c r="Q14" s="16" t="str">
        <f t="shared" ca="1" si="0"/>
        <v>Catar</v>
      </c>
      <c r="R14" s="16">
        <f t="shared" ca="1" si="10"/>
        <v>3</v>
      </c>
      <c r="S14" s="610">
        <f t="shared" ca="1" si="10"/>
        <v>0.125</v>
      </c>
      <c r="T14" s="16">
        <f t="shared" ca="1" si="10"/>
        <v>0</v>
      </c>
      <c r="U14" s="16">
        <f t="shared" ca="1" si="10"/>
        <v>7</v>
      </c>
      <c r="V14" s="610">
        <f t="shared" ca="1" si="10"/>
        <v>0.29166666666666669</v>
      </c>
      <c r="W14" s="16">
        <f t="shared" ca="1" si="10"/>
        <v>1</v>
      </c>
      <c r="X14" s="16">
        <f t="shared" ca="1" si="2"/>
        <v>0</v>
      </c>
      <c r="AA14" s="16">
        <v>12</v>
      </c>
      <c r="AB14" s="16" t="str">
        <f ca="1">Idiomas!D213</f>
        <v>Colombia</v>
      </c>
      <c r="AC14" s="609">
        <v>-5</v>
      </c>
      <c r="AD14" s="610">
        <f t="shared" si="3"/>
        <v>0.20833333333333334</v>
      </c>
      <c r="AE14" s="16">
        <v>0</v>
      </c>
      <c r="AF14" s="16">
        <f t="shared" ca="1" si="4"/>
        <v>-1</v>
      </c>
      <c r="AG14" s="610">
        <f t="shared" ca="1" si="5"/>
        <v>4.1666666666666664E-2</v>
      </c>
      <c r="AH14" s="16">
        <f t="shared" ca="1" si="6"/>
        <v>-1</v>
      </c>
      <c r="AI14" s="16">
        <f t="shared" ca="1" si="7"/>
        <v>13</v>
      </c>
    </row>
    <row r="15" spans="1:35" ht="16" customHeight="1" x14ac:dyDescent="0.2">
      <c r="A15" s="580">
        <v>46191.75</v>
      </c>
      <c r="B15" s="16"/>
      <c r="C15" s="580">
        <f t="shared" ca="1" si="9"/>
        <v>46191.75</v>
      </c>
      <c r="D15" s="607"/>
      <c r="E15" s="607"/>
      <c r="P15" s="16">
        <v>13</v>
      </c>
      <c r="Q15" s="16" t="str">
        <f t="shared" ca="1" si="0"/>
        <v>Colombia</v>
      </c>
      <c r="R15" s="16">
        <f t="shared" ca="1" si="10"/>
        <v>-5</v>
      </c>
      <c r="S15" s="610">
        <f t="shared" ca="1" si="10"/>
        <v>0.20833333333333334</v>
      </c>
      <c r="T15" s="16">
        <f t="shared" ca="1" si="10"/>
        <v>0</v>
      </c>
      <c r="U15" s="16">
        <f t="shared" ca="1" si="10"/>
        <v>-1</v>
      </c>
      <c r="V15" s="610">
        <f t="shared" ca="1" si="10"/>
        <v>4.1666666666666664E-2</v>
      </c>
      <c r="W15" s="16">
        <f t="shared" ca="1" si="10"/>
        <v>-1</v>
      </c>
      <c r="X15" s="16">
        <f t="shared" ca="1" si="2"/>
        <v>0</v>
      </c>
      <c r="AA15" s="16">
        <v>13</v>
      </c>
      <c r="AB15" s="16" t="str">
        <f ca="1">Idiomas!D214</f>
        <v>Corea del Sur</v>
      </c>
      <c r="AC15" s="609">
        <v>9</v>
      </c>
      <c r="AD15" s="610">
        <f t="shared" si="3"/>
        <v>0.375</v>
      </c>
      <c r="AE15" s="16">
        <v>0</v>
      </c>
      <c r="AF15" s="16">
        <f t="shared" ca="1" si="4"/>
        <v>13</v>
      </c>
      <c r="AG15" s="610">
        <f t="shared" ca="1" si="5"/>
        <v>0.54166666666666663</v>
      </c>
      <c r="AH15" s="16">
        <f t="shared" ca="1" si="6"/>
        <v>1</v>
      </c>
      <c r="AI15" s="16">
        <f t="shared" ca="1" si="7"/>
        <v>14</v>
      </c>
    </row>
    <row r="16" spans="1:35" ht="16" customHeight="1" x14ac:dyDescent="0.2">
      <c r="A16" s="580">
        <v>46197.625</v>
      </c>
      <c r="B16" s="16"/>
      <c r="C16" s="580">
        <f t="shared" ca="1" si="9"/>
        <v>46197.625</v>
      </c>
      <c r="D16" s="607"/>
      <c r="E16" s="607"/>
      <c r="P16" s="16">
        <v>14</v>
      </c>
      <c r="Q16" s="16" t="str">
        <f t="shared" ca="1" si="0"/>
        <v>Corea del Sur</v>
      </c>
      <c r="R16" s="16">
        <f t="shared" ca="1" si="10"/>
        <v>9</v>
      </c>
      <c r="S16" s="610">
        <f t="shared" ca="1" si="10"/>
        <v>0.375</v>
      </c>
      <c r="T16" s="16">
        <f t="shared" ca="1" si="10"/>
        <v>0</v>
      </c>
      <c r="U16" s="16">
        <f t="shared" ca="1" si="10"/>
        <v>13</v>
      </c>
      <c r="V16" s="610">
        <f t="shared" ca="1" si="10"/>
        <v>0.54166666666666663</v>
      </c>
      <c r="W16" s="16">
        <f t="shared" ca="1" si="10"/>
        <v>1</v>
      </c>
      <c r="X16" s="16">
        <f t="shared" ca="1" si="2"/>
        <v>0</v>
      </c>
      <c r="AA16" s="16">
        <v>14</v>
      </c>
      <c r="AB16" s="16" t="str">
        <f ca="1">Idiomas!D215</f>
        <v>Costa de Marfil</v>
      </c>
      <c r="AC16" s="609">
        <v>0</v>
      </c>
      <c r="AD16" s="610">
        <f t="shared" si="3"/>
        <v>0</v>
      </c>
      <c r="AE16" s="16">
        <v>0</v>
      </c>
      <c r="AF16" s="16">
        <f t="shared" ca="1" si="4"/>
        <v>4</v>
      </c>
      <c r="AG16" s="610">
        <f t="shared" ca="1" si="5"/>
        <v>0.16666666666666666</v>
      </c>
      <c r="AH16" s="16">
        <f t="shared" ca="1" si="6"/>
        <v>1</v>
      </c>
      <c r="AI16" s="16">
        <f t="shared" ca="1" si="7"/>
        <v>15</v>
      </c>
    </row>
    <row r="17" spans="1:35" ht="16" customHeight="1" x14ac:dyDescent="0.2">
      <c r="A17" s="580">
        <v>46197.625</v>
      </c>
      <c r="B17" s="16"/>
      <c r="C17" s="580">
        <f t="shared" ca="1" si="9"/>
        <v>46197.625</v>
      </c>
      <c r="D17" s="607"/>
      <c r="E17" s="607"/>
      <c r="P17" s="16">
        <v>15</v>
      </c>
      <c r="Q17" s="16" t="str">
        <f t="shared" ca="1" si="0"/>
        <v>Costa de Marfil</v>
      </c>
      <c r="R17" s="16">
        <f t="shared" ca="1" si="10"/>
        <v>0</v>
      </c>
      <c r="S17" s="610">
        <f t="shared" ca="1" si="10"/>
        <v>0</v>
      </c>
      <c r="T17" s="16">
        <f t="shared" ca="1" si="10"/>
        <v>0</v>
      </c>
      <c r="U17" s="16">
        <f t="shared" ca="1" si="10"/>
        <v>4</v>
      </c>
      <c r="V17" s="610">
        <f t="shared" ca="1" si="10"/>
        <v>0.16666666666666666</v>
      </c>
      <c r="W17" s="16">
        <f t="shared" ca="1" si="10"/>
        <v>1</v>
      </c>
      <c r="X17" s="16">
        <f t="shared" ca="1" si="2"/>
        <v>0</v>
      </c>
      <c r="AA17" s="16">
        <v>15</v>
      </c>
      <c r="AB17" s="16" t="str">
        <f ca="1">Idiomas!D216</f>
        <v>Croacia</v>
      </c>
      <c r="AC17" s="609">
        <v>2</v>
      </c>
      <c r="AD17" s="610">
        <f t="shared" si="3"/>
        <v>8.3333333333333329E-2</v>
      </c>
      <c r="AE17" s="16">
        <v>0</v>
      </c>
      <c r="AF17" s="16">
        <f t="shared" ca="1" si="4"/>
        <v>6</v>
      </c>
      <c r="AG17" s="610">
        <f t="shared" ca="1" si="5"/>
        <v>0.25</v>
      </c>
      <c r="AH17" s="16">
        <f t="shared" ca="1" si="6"/>
        <v>1</v>
      </c>
      <c r="AI17" s="16">
        <f t="shared" ca="1" si="7"/>
        <v>16</v>
      </c>
    </row>
    <row r="18" spans="1:35" ht="16" customHeight="1" x14ac:dyDescent="0.2">
      <c r="A18" s="16"/>
      <c r="B18" s="16"/>
      <c r="C18" s="580"/>
      <c r="P18" s="16">
        <v>16</v>
      </c>
      <c r="Q18" s="16" t="str">
        <f t="shared" ca="1" si="0"/>
        <v>Croacia</v>
      </c>
      <c r="R18" s="16">
        <f t="shared" ca="1" si="10"/>
        <v>2</v>
      </c>
      <c r="S18" s="610">
        <f t="shared" ca="1" si="10"/>
        <v>8.3333333333333329E-2</v>
      </c>
      <c r="T18" s="16">
        <f t="shared" ca="1" si="10"/>
        <v>0</v>
      </c>
      <c r="U18" s="16">
        <f t="shared" ca="1" si="10"/>
        <v>6</v>
      </c>
      <c r="V18" s="610">
        <f t="shared" ca="1" si="10"/>
        <v>0.25</v>
      </c>
      <c r="W18" s="16">
        <f t="shared" ca="1" si="10"/>
        <v>1</v>
      </c>
      <c r="X18" s="16">
        <f t="shared" ca="1" si="2"/>
        <v>0</v>
      </c>
      <c r="AA18" s="16">
        <v>16</v>
      </c>
      <c r="AB18" s="16" t="str">
        <f ca="1">Idiomas!D217</f>
        <v>Curazao</v>
      </c>
      <c r="AC18" s="609">
        <v>-4</v>
      </c>
      <c r="AD18" s="610">
        <f t="shared" si="3"/>
        <v>0.16666666666666666</v>
      </c>
      <c r="AE18" s="16">
        <v>0</v>
      </c>
      <c r="AF18" s="16">
        <f t="shared" ca="1" si="4"/>
        <v>0</v>
      </c>
      <c r="AG18" s="610">
        <f t="shared" ca="1" si="5"/>
        <v>0</v>
      </c>
      <c r="AH18" s="16">
        <f t="shared" ca="1" si="6"/>
        <v>0</v>
      </c>
      <c r="AI18" s="16">
        <f t="shared" ca="1" si="7"/>
        <v>17</v>
      </c>
    </row>
    <row r="19" spans="1:35" ht="16" customHeight="1" x14ac:dyDescent="0.2">
      <c r="A19" s="9" t="s">
        <v>413</v>
      </c>
      <c r="B19" s="16"/>
      <c r="C19" s="580"/>
      <c r="P19" s="16">
        <v>17</v>
      </c>
      <c r="Q19" s="16" t="str">
        <f t="shared" ca="1" si="0"/>
        <v>Curazao</v>
      </c>
      <c r="R19" s="16">
        <f t="shared" ca="1" si="10"/>
        <v>-4</v>
      </c>
      <c r="S19" s="610">
        <f t="shared" ca="1" si="10"/>
        <v>0.16666666666666666</v>
      </c>
      <c r="T19" s="16">
        <f t="shared" ca="1" si="10"/>
        <v>0</v>
      </c>
      <c r="U19" s="16">
        <f t="shared" ca="1" si="10"/>
        <v>0</v>
      </c>
      <c r="V19" s="610">
        <f t="shared" ca="1" si="10"/>
        <v>0</v>
      </c>
      <c r="W19" s="16">
        <f t="shared" ca="1" si="10"/>
        <v>0</v>
      </c>
      <c r="X19" s="16">
        <f t="shared" ca="1" si="2"/>
        <v>0</v>
      </c>
      <c r="AA19" s="16">
        <v>17</v>
      </c>
      <c r="AB19" s="16" t="str">
        <f ca="1">Idiomas!D218</f>
        <v>Ecuador</v>
      </c>
      <c r="AC19" s="609">
        <v>-5</v>
      </c>
      <c r="AD19" s="610">
        <f t="shared" si="3"/>
        <v>0.20833333333333334</v>
      </c>
      <c r="AE19" s="16">
        <v>0</v>
      </c>
      <c r="AF19" s="16">
        <f t="shared" ca="1" si="4"/>
        <v>-1</v>
      </c>
      <c r="AG19" s="610">
        <f t="shared" ca="1" si="5"/>
        <v>4.1666666666666664E-2</v>
      </c>
      <c r="AH19" s="16">
        <f t="shared" ca="1" si="6"/>
        <v>-1</v>
      </c>
      <c r="AI19" s="16">
        <f t="shared" ca="1" si="7"/>
        <v>18</v>
      </c>
    </row>
    <row r="20" spans="1:35" ht="16" customHeight="1" x14ac:dyDescent="0.2">
      <c r="A20" s="580">
        <v>46186.75</v>
      </c>
      <c r="B20" s="16"/>
      <c r="C20" s="580">
        <f t="shared" ref="C20:C25" ca="1" si="11">A20+INDEX($V$3:$V$86,MATCH($C$3,$P$3:$P$86,0))*INDEX($W$3:$W$86,MATCH($C$3,$P$3:$P$86,0))</f>
        <v>46186.75</v>
      </c>
      <c r="D20" s="607"/>
      <c r="E20" s="607"/>
      <c r="P20" s="16">
        <v>18</v>
      </c>
      <c r="Q20" s="16" t="str">
        <f t="shared" ca="1" si="0"/>
        <v>Ecuador</v>
      </c>
      <c r="R20" s="16">
        <f t="shared" ca="1" si="10"/>
        <v>-5</v>
      </c>
      <c r="S20" s="610">
        <f t="shared" ca="1" si="10"/>
        <v>0.20833333333333334</v>
      </c>
      <c r="T20" s="16">
        <f t="shared" ca="1" si="10"/>
        <v>0</v>
      </c>
      <c r="U20" s="16">
        <f t="shared" ca="1" si="10"/>
        <v>-1</v>
      </c>
      <c r="V20" s="610">
        <f t="shared" ca="1" si="10"/>
        <v>4.1666666666666664E-2</v>
      </c>
      <c r="W20" s="16">
        <f t="shared" ca="1" si="10"/>
        <v>-1</v>
      </c>
      <c r="X20" s="16">
        <f t="shared" ca="1" si="2"/>
        <v>0</v>
      </c>
      <c r="AA20" s="16">
        <v>18</v>
      </c>
      <c r="AB20" s="16" t="str">
        <f ca="1">Idiomas!D219</f>
        <v>Egipto</v>
      </c>
      <c r="AC20" s="609">
        <v>3</v>
      </c>
      <c r="AD20" s="610">
        <f t="shared" si="3"/>
        <v>0.125</v>
      </c>
      <c r="AE20" s="16">
        <v>0</v>
      </c>
      <c r="AF20" s="16">
        <f t="shared" ca="1" si="4"/>
        <v>7</v>
      </c>
      <c r="AG20" s="610">
        <f t="shared" ca="1" si="5"/>
        <v>0.29166666666666669</v>
      </c>
      <c r="AH20" s="16">
        <f t="shared" ca="1" si="6"/>
        <v>1</v>
      </c>
      <c r="AI20" s="16">
        <f t="shared" ca="1" si="7"/>
        <v>19</v>
      </c>
    </row>
    <row r="21" spans="1:35" ht="16" customHeight="1" x14ac:dyDescent="0.2">
      <c r="A21" s="580">
        <v>46186.875</v>
      </c>
      <c r="B21" s="16"/>
      <c r="C21" s="580">
        <f t="shared" ca="1" si="11"/>
        <v>46186.875</v>
      </c>
      <c r="D21" s="607"/>
      <c r="E21" s="607"/>
      <c r="P21" s="16">
        <v>19</v>
      </c>
      <c r="Q21" s="16" t="str">
        <f t="shared" ca="1" si="0"/>
        <v>Egipto</v>
      </c>
      <c r="R21" s="16">
        <f t="shared" ca="1" si="10"/>
        <v>3</v>
      </c>
      <c r="S21" s="610">
        <f t="shared" ca="1" si="10"/>
        <v>0.125</v>
      </c>
      <c r="T21" s="16">
        <f t="shared" ca="1" si="10"/>
        <v>0</v>
      </c>
      <c r="U21" s="16">
        <f t="shared" ca="1" si="10"/>
        <v>7</v>
      </c>
      <c r="V21" s="610">
        <f t="shared" ca="1" si="10"/>
        <v>0.29166666666666669</v>
      </c>
      <c r="W21" s="16">
        <f t="shared" ca="1" si="10"/>
        <v>1</v>
      </c>
      <c r="X21" s="16">
        <f t="shared" ca="1" si="2"/>
        <v>0</v>
      </c>
      <c r="AA21" s="16">
        <v>19</v>
      </c>
      <c r="AB21" s="16" t="str">
        <f ca="1">Idiomas!D220</f>
        <v>Escocia</v>
      </c>
      <c r="AC21" s="609">
        <v>1</v>
      </c>
      <c r="AD21" s="610">
        <f t="shared" si="3"/>
        <v>4.1666666666666664E-2</v>
      </c>
      <c r="AE21" s="16">
        <v>0</v>
      </c>
      <c r="AF21" s="16">
        <f t="shared" ca="1" si="4"/>
        <v>5</v>
      </c>
      <c r="AG21" s="610">
        <f t="shared" ca="1" si="5"/>
        <v>0.20833333333333334</v>
      </c>
      <c r="AH21" s="16">
        <f t="shared" ca="1" si="6"/>
        <v>1</v>
      </c>
      <c r="AI21" s="16">
        <f t="shared" ca="1" si="7"/>
        <v>20</v>
      </c>
    </row>
    <row r="22" spans="1:35" ht="16" customHeight="1" x14ac:dyDescent="0.2">
      <c r="A22" s="580">
        <v>46192.75</v>
      </c>
      <c r="B22" s="16"/>
      <c r="C22" s="580">
        <f t="shared" ca="1" si="11"/>
        <v>46192.75</v>
      </c>
      <c r="D22" s="607"/>
      <c r="E22" s="607"/>
      <c r="P22" s="16">
        <v>20</v>
      </c>
      <c r="Q22" s="16" t="str">
        <f t="shared" ca="1" si="0"/>
        <v>Escocia</v>
      </c>
      <c r="R22" s="16">
        <f t="shared" ca="1" si="10"/>
        <v>1</v>
      </c>
      <c r="S22" s="610">
        <f t="shared" ca="1" si="10"/>
        <v>4.1666666666666664E-2</v>
      </c>
      <c r="T22" s="16">
        <f t="shared" ca="1" si="10"/>
        <v>0</v>
      </c>
      <c r="U22" s="16">
        <f t="shared" ca="1" si="10"/>
        <v>5</v>
      </c>
      <c r="V22" s="610">
        <f t="shared" ca="1" si="10"/>
        <v>0.20833333333333334</v>
      </c>
      <c r="W22" s="16">
        <f t="shared" ca="1" si="10"/>
        <v>1</v>
      </c>
      <c r="X22" s="16">
        <f t="shared" ca="1" si="2"/>
        <v>0</v>
      </c>
      <c r="AA22" s="16">
        <v>20</v>
      </c>
      <c r="AB22" s="16" t="str">
        <f ca="1">Idiomas!D221</f>
        <v>España</v>
      </c>
      <c r="AC22" s="609">
        <v>2</v>
      </c>
      <c r="AD22" s="610">
        <f t="shared" si="3"/>
        <v>8.3333333333333329E-2</v>
      </c>
      <c r="AE22" s="16">
        <v>0</v>
      </c>
      <c r="AF22" s="16">
        <f t="shared" ca="1" si="4"/>
        <v>6</v>
      </c>
      <c r="AG22" s="610">
        <f t="shared" ca="1" si="5"/>
        <v>0.25</v>
      </c>
      <c r="AH22" s="16">
        <f t="shared" ca="1" si="6"/>
        <v>1</v>
      </c>
      <c r="AI22" s="16">
        <f t="shared" ca="1" si="7"/>
        <v>21</v>
      </c>
    </row>
    <row r="23" spans="1:35" ht="16" customHeight="1" x14ac:dyDescent="0.2">
      <c r="A23" s="580">
        <v>46192.854166666657</v>
      </c>
      <c r="B23" s="16"/>
      <c r="C23" s="580">
        <f t="shared" ca="1" si="11"/>
        <v>46192.854166666657</v>
      </c>
      <c r="D23" s="607"/>
      <c r="E23" s="607"/>
      <c r="P23" s="16">
        <v>21</v>
      </c>
      <c r="Q23" s="16" t="str">
        <f t="shared" ca="1" si="0"/>
        <v>España</v>
      </c>
      <c r="R23" s="16">
        <f t="shared" ref="R23:W32" ca="1" si="12">+INDEX($AC$3:$AH$86,MATCH($Q23,$AB$3:$AB$86,0),MATCH(R$2,$AC$2:$AH$2,0))</f>
        <v>2</v>
      </c>
      <c r="S23" s="610">
        <f t="shared" ca="1" si="12"/>
        <v>8.3333333333333329E-2</v>
      </c>
      <c r="T23" s="16">
        <f t="shared" ca="1" si="12"/>
        <v>0</v>
      </c>
      <c r="U23" s="16">
        <f t="shared" ca="1" si="12"/>
        <v>6</v>
      </c>
      <c r="V23" s="610">
        <f t="shared" ca="1" si="12"/>
        <v>0.25</v>
      </c>
      <c r="W23" s="16">
        <f t="shared" ca="1" si="12"/>
        <v>1</v>
      </c>
      <c r="X23" s="16">
        <f t="shared" ca="1" si="2"/>
        <v>0</v>
      </c>
      <c r="AA23" s="16">
        <v>21</v>
      </c>
      <c r="AB23" s="16" t="str">
        <f ca="1">Idiomas!D222</f>
        <v>Estados Unidos</v>
      </c>
      <c r="AC23" s="609">
        <v>-4</v>
      </c>
      <c r="AD23" s="610">
        <f t="shared" si="3"/>
        <v>0.16666666666666666</v>
      </c>
      <c r="AE23" s="16">
        <v>1</v>
      </c>
      <c r="AF23" s="16">
        <f t="shared" ca="1" si="4"/>
        <v>0</v>
      </c>
      <c r="AG23" s="610">
        <f t="shared" ca="1" si="5"/>
        <v>0</v>
      </c>
      <c r="AH23" s="16">
        <f t="shared" ca="1" si="6"/>
        <v>0</v>
      </c>
      <c r="AI23" s="16">
        <f t="shared" ca="1" si="7"/>
        <v>22</v>
      </c>
    </row>
    <row r="24" spans="1:35" ht="16" customHeight="1" x14ac:dyDescent="0.2">
      <c r="A24" s="580">
        <v>46197.75</v>
      </c>
      <c r="B24" s="16"/>
      <c r="C24" s="580">
        <f t="shared" ca="1" si="11"/>
        <v>46197.75</v>
      </c>
      <c r="D24" s="607"/>
      <c r="E24" s="607"/>
      <c r="P24" s="16">
        <v>22</v>
      </c>
      <c r="Q24" s="16" t="str">
        <f t="shared" ca="1" si="0"/>
        <v>Estados Unidos</v>
      </c>
      <c r="R24" s="16">
        <f t="shared" ca="1" si="12"/>
        <v>-4</v>
      </c>
      <c r="S24" s="610">
        <f t="shared" ca="1" si="12"/>
        <v>0.16666666666666666</v>
      </c>
      <c r="T24" s="16">
        <f t="shared" ca="1" si="12"/>
        <v>1</v>
      </c>
      <c r="U24" s="16">
        <f t="shared" ca="1" si="12"/>
        <v>0</v>
      </c>
      <c r="V24" s="610">
        <f t="shared" ca="1" si="12"/>
        <v>0</v>
      </c>
      <c r="W24" s="16">
        <f t="shared" ca="1" si="12"/>
        <v>0</v>
      </c>
      <c r="X24" s="16">
        <f t="shared" ca="1" si="2"/>
        <v>1</v>
      </c>
      <c r="AA24" s="16">
        <v>22</v>
      </c>
      <c r="AB24" s="16" t="str">
        <f ca="1">Idiomas!D223</f>
        <v>Francia</v>
      </c>
      <c r="AC24" s="609">
        <v>2</v>
      </c>
      <c r="AD24" s="610">
        <f t="shared" si="3"/>
        <v>8.3333333333333329E-2</v>
      </c>
      <c r="AE24" s="16">
        <v>0</v>
      </c>
      <c r="AF24" s="16">
        <f t="shared" ca="1" si="4"/>
        <v>6</v>
      </c>
      <c r="AG24" s="610">
        <f t="shared" ca="1" si="5"/>
        <v>0.25</v>
      </c>
      <c r="AH24" s="16">
        <f t="shared" ca="1" si="6"/>
        <v>1</v>
      </c>
      <c r="AI24" s="16">
        <f t="shared" ca="1" si="7"/>
        <v>23</v>
      </c>
    </row>
    <row r="25" spans="1:35" ht="16" customHeight="1" x14ac:dyDescent="0.2">
      <c r="A25" s="580">
        <v>46197.75</v>
      </c>
      <c r="B25" s="16"/>
      <c r="C25" s="580">
        <f t="shared" ca="1" si="11"/>
        <v>46197.75</v>
      </c>
      <c r="D25" s="607"/>
      <c r="E25" s="607"/>
      <c r="P25" s="16">
        <v>23</v>
      </c>
      <c r="Q25" s="16" t="str">
        <f t="shared" ca="1" si="0"/>
        <v>Francia</v>
      </c>
      <c r="R25" s="16">
        <f t="shared" ca="1" si="12"/>
        <v>2</v>
      </c>
      <c r="S25" s="610">
        <f t="shared" ca="1" si="12"/>
        <v>8.3333333333333329E-2</v>
      </c>
      <c r="T25" s="16">
        <f t="shared" ca="1" si="12"/>
        <v>0</v>
      </c>
      <c r="U25" s="16">
        <f t="shared" ca="1" si="12"/>
        <v>6</v>
      </c>
      <c r="V25" s="610">
        <f t="shared" ca="1" si="12"/>
        <v>0.25</v>
      </c>
      <c r="W25" s="16">
        <f t="shared" ca="1" si="12"/>
        <v>1</v>
      </c>
      <c r="X25" s="16">
        <f t="shared" ca="1" si="2"/>
        <v>0</v>
      </c>
      <c r="AA25" s="16">
        <v>23</v>
      </c>
      <c r="AB25" s="16" t="str">
        <f ca="1">Idiomas!D224</f>
        <v>Ghana</v>
      </c>
      <c r="AC25" s="609">
        <v>0</v>
      </c>
      <c r="AD25" s="610">
        <f t="shared" si="3"/>
        <v>0</v>
      </c>
      <c r="AE25" s="16">
        <v>0</v>
      </c>
      <c r="AF25" s="16">
        <f t="shared" ca="1" si="4"/>
        <v>4</v>
      </c>
      <c r="AG25" s="610">
        <f t="shared" ca="1" si="5"/>
        <v>0.16666666666666666</v>
      </c>
      <c r="AH25" s="16">
        <f t="shared" ca="1" si="6"/>
        <v>1</v>
      </c>
      <c r="AI25" s="16">
        <f t="shared" ca="1" si="7"/>
        <v>24</v>
      </c>
    </row>
    <row r="26" spans="1:35" ht="16" customHeight="1" x14ac:dyDescent="0.2">
      <c r="A26" s="16"/>
      <c r="B26" s="16"/>
      <c r="C26" s="580"/>
      <c r="E26" s="607"/>
      <c r="P26" s="16">
        <v>24</v>
      </c>
      <c r="Q26" s="16" t="str">
        <f t="shared" ca="1" si="0"/>
        <v>Ghana</v>
      </c>
      <c r="R26" s="16">
        <f t="shared" ca="1" si="12"/>
        <v>0</v>
      </c>
      <c r="S26" s="610">
        <f t="shared" ca="1" si="12"/>
        <v>0</v>
      </c>
      <c r="T26" s="16">
        <f t="shared" ca="1" si="12"/>
        <v>0</v>
      </c>
      <c r="U26" s="16">
        <f t="shared" ca="1" si="12"/>
        <v>4</v>
      </c>
      <c r="V26" s="610">
        <f t="shared" ca="1" si="12"/>
        <v>0.16666666666666666</v>
      </c>
      <c r="W26" s="16">
        <f t="shared" ca="1" si="12"/>
        <v>1</v>
      </c>
      <c r="X26" s="16">
        <f t="shared" ca="1" si="2"/>
        <v>0</v>
      </c>
      <c r="AA26" s="16">
        <v>24</v>
      </c>
      <c r="AB26" s="16" t="str">
        <f ca="1">Idiomas!D225</f>
        <v>Haití</v>
      </c>
      <c r="AC26" s="609">
        <v>-4</v>
      </c>
      <c r="AD26" s="610">
        <f t="shared" si="3"/>
        <v>0.16666666666666666</v>
      </c>
      <c r="AE26" s="16">
        <v>0</v>
      </c>
      <c r="AF26" s="16">
        <f t="shared" ca="1" si="4"/>
        <v>0</v>
      </c>
      <c r="AG26" s="610">
        <f t="shared" ca="1" si="5"/>
        <v>0</v>
      </c>
      <c r="AH26" s="16">
        <f t="shared" ca="1" si="6"/>
        <v>0</v>
      </c>
      <c r="AI26" s="16">
        <f t="shared" ca="1" si="7"/>
        <v>25</v>
      </c>
    </row>
    <row r="27" spans="1:35" ht="16" customHeight="1" x14ac:dyDescent="0.2">
      <c r="A27" s="9" t="s">
        <v>415</v>
      </c>
      <c r="B27" s="16"/>
      <c r="C27" s="580"/>
      <c r="E27" s="607"/>
      <c r="P27" s="16">
        <v>25</v>
      </c>
      <c r="Q27" s="16" t="str">
        <f t="shared" ca="1" si="0"/>
        <v>Haití</v>
      </c>
      <c r="R27" s="16">
        <f t="shared" ca="1" si="12"/>
        <v>-4</v>
      </c>
      <c r="S27" s="610">
        <f t="shared" ca="1" si="12"/>
        <v>0.16666666666666666</v>
      </c>
      <c r="T27" s="16">
        <f t="shared" ca="1" si="12"/>
        <v>0</v>
      </c>
      <c r="U27" s="16">
        <f t="shared" ca="1" si="12"/>
        <v>0</v>
      </c>
      <c r="V27" s="610">
        <f t="shared" ca="1" si="12"/>
        <v>0</v>
      </c>
      <c r="W27" s="16">
        <f t="shared" ca="1" si="12"/>
        <v>0</v>
      </c>
      <c r="X27" s="16">
        <f t="shared" ca="1" si="2"/>
        <v>0</v>
      </c>
      <c r="AA27" s="16">
        <v>25</v>
      </c>
      <c r="AB27" s="16" t="str">
        <f ca="1">Idiomas!D226</f>
        <v>Inglaterra</v>
      </c>
      <c r="AC27" s="609">
        <v>1</v>
      </c>
      <c r="AD27" s="610">
        <f t="shared" si="3"/>
        <v>4.1666666666666664E-2</v>
      </c>
      <c r="AE27" s="16">
        <v>0</v>
      </c>
      <c r="AF27" s="16">
        <f t="shared" ca="1" si="4"/>
        <v>5</v>
      </c>
      <c r="AG27" s="610">
        <f t="shared" ca="1" si="5"/>
        <v>0.20833333333333334</v>
      </c>
      <c r="AH27" s="16">
        <f t="shared" ca="1" si="6"/>
        <v>1</v>
      </c>
      <c r="AI27" s="16">
        <f t="shared" ca="1" si="7"/>
        <v>26</v>
      </c>
    </row>
    <row r="28" spans="1:35" ht="16" customHeight="1" x14ac:dyDescent="0.2">
      <c r="A28" s="580">
        <v>46185.875</v>
      </c>
      <c r="B28" s="16"/>
      <c r="C28" s="580">
        <f t="shared" ref="C28:C33" ca="1" si="13">A28+INDEX($V$3:$V$86,MATCH($C$3,$P$3:$P$86,0))*INDEX($W$3:$W$86,MATCH($C$3,$P$3:$P$86,0))</f>
        <v>46185.875</v>
      </c>
      <c r="D28" s="607"/>
      <c r="E28" s="607"/>
      <c r="P28" s="16">
        <v>26</v>
      </c>
      <c r="Q28" s="16" t="str">
        <f t="shared" ca="1" si="0"/>
        <v>Inglaterra</v>
      </c>
      <c r="R28" s="16">
        <f t="shared" ca="1" si="12"/>
        <v>1</v>
      </c>
      <c r="S28" s="610">
        <f t="shared" ca="1" si="12"/>
        <v>4.1666666666666664E-2</v>
      </c>
      <c r="T28" s="16">
        <f t="shared" ca="1" si="12"/>
        <v>0</v>
      </c>
      <c r="U28" s="16">
        <f t="shared" ca="1" si="12"/>
        <v>5</v>
      </c>
      <c r="V28" s="610">
        <f t="shared" ca="1" si="12"/>
        <v>0.20833333333333334</v>
      </c>
      <c r="W28" s="16">
        <f t="shared" ca="1" si="12"/>
        <v>1</v>
      </c>
      <c r="X28" s="16">
        <f t="shared" ca="1" si="2"/>
        <v>0</v>
      </c>
      <c r="AA28" s="16">
        <v>26</v>
      </c>
      <c r="AB28" s="16" t="str">
        <f ca="1">Idiomas!D227</f>
        <v>Irán</v>
      </c>
      <c r="AC28" s="609">
        <f>+INDEX(Credits!$Y$87:$Y$91,MATCH(Credits!$EZ$6144,Credits!$U$87:$U$91,0))</f>
        <v>3.5</v>
      </c>
      <c r="AD28" s="610">
        <f t="shared" si="3"/>
        <v>0.14583333333333334</v>
      </c>
      <c r="AE28" s="16">
        <v>0</v>
      </c>
      <c r="AF28" s="16">
        <f t="shared" ca="1" si="4"/>
        <v>7.5</v>
      </c>
      <c r="AG28" s="610">
        <f t="shared" ca="1" si="5"/>
        <v>0.3125</v>
      </c>
      <c r="AH28" s="16">
        <f t="shared" ca="1" si="6"/>
        <v>1</v>
      </c>
      <c r="AI28" s="16">
        <f t="shared" ca="1" si="7"/>
        <v>28</v>
      </c>
    </row>
    <row r="29" spans="1:35" ht="16" customHeight="1" x14ac:dyDescent="0.2">
      <c r="A29" s="580">
        <v>46187</v>
      </c>
      <c r="B29" s="16"/>
      <c r="C29" s="580">
        <f t="shared" ca="1" si="13"/>
        <v>46187</v>
      </c>
      <c r="D29" s="607"/>
      <c r="E29" s="607"/>
      <c r="P29" s="16">
        <v>27</v>
      </c>
      <c r="Q29" s="16" t="str">
        <f t="shared" ca="1" si="0"/>
        <v>Irak</v>
      </c>
      <c r="R29" s="16">
        <f t="shared" ca="1" si="12"/>
        <v>3</v>
      </c>
      <c r="S29" s="610">
        <f t="shared" ca="1" si="12"/>
        <v>0.125</v>
      </c>
      <c r="T29" s="16">
        <f t="shared" ca="1" si="12"/>
        <v>0</v>
      </c>
      <c r="U29" s="16">
        <f t="shared" ca="1" si="12"/>
        <v>7</v>
      </c>
      <c r="V29" s="610">
        <f t="shared" ca="1" si="12"/>
        <v>0.29166666666666669</v>
      </c>
      <c r="W29" s="16">
        <f t="shared" ca="1" si="12"/>
        <v>1</v>
      </c>
      <c r="X29" s="16">
        <f t="shared" ca="1" si="2"/>
        <v>0</v>
      </c>
      <c r="AA29" s="16">
        <v>27</v>
      </c>
      <c r="AB29" s="16" t="str">
        <f ca="1">Idiomas!D228</f>
        <v>Japón</v>
      </c>
      <c r="AC29" s="609">
        <v>9</v>
      </c>
      <c r="AD29" s="610">
        <f t="shared" si="3"/>
        <v>0.375</v>
      </c>
      <c r="AE29" s="16">
        <v>0</v>
      </c>
      <c r="AF29" s="16">
        <f t="shared" ca="1" si="4"/>
        <v>13</v>
      </c>
      <c r="AG29" s="610">
        <f t="shared" ca="1" si="5"/>
        <v>0.54166666666666663</v>
      </c>
      <c r="AH29" s="16">
        <f t="shared" ca="1" si="6"/>
        <v>1</v>
      </c>
      <c r="AI29" s="16">
        <f t="shared" ca="1" si="7"/>
        <v>29</v>
      </c>
    </row>
    <row r="30" spans="1:35" ht="16" customHeight="1" x14ac:dyDescent="0.2">
      <c r="A30" s="580">
        <v>46192.625</v>
      </c>
      <c r="B30" s="16"/>
      <c r="C30" s="580">
        <f t="shared" ca="1" si="13"/>
        <v>46192.625</v>
      </c>
      <c r="D30" s="607"/>
      <c r="E30" s="607"/>
      <c r="P30" s="16">
        <v>28</v>
      </c>
      <c r="Q30" s="16" t="str">
        <f t="shared" ca="1" si="0"/>
        <v>Irán</v>
      </c>
      <c r="R30" s="16">
        <f t="shared" ca="1" si="12"/>
        <v>3.5</v>
      </c>
      <c r="S30" s="610">
        <f t="shared" ca="1" si="12"/>
        <v>0.14583333333333334</v>
      </c>
      <c r="T30" s="16">
        <f t="shared" ca="1" si="12"/>
        <v>0</v>
      </c>
      <c r="U30" s="16">
        <f t="shared" ca="1" si="12"/>
        <v>7.5</v>
      </c>
      <c r="V30" s="610">
        <f t="shared" ca="1" si="12"/>
        <v>0.3125</v>
      </c>
      <c r="W30" s="16">
        <f t="shared" ca="1" si="12"/>
        <v>1</v>
      </c>
      <c r="X30" s="16">
        <f t="shared" ca="1" si="2"/>
        <v>0</v>
      </c>
      <c r="AA30" s="16">
        <v>28</v>
      </c>
      <c r="AB30" s="16" t="str">
        <f ca="1">Idiomas!D229</f>
        <v>Jordania</v>
      </c>
      <c r="AC30" s="609">
        <v>3</v>
      </c>
      <c r="AD30" s="610">
        <f t="shared" si="3"/>
        <v>0.125</v>
      </c>
      <c r="AE30" s="16">
        <v>0</v>
      </c>
      <c r="AF30" s="16">
        <f t="shared" ca="1" si="4"/>
        <v>7</v>
      </c>
      <c r="AG30" s="610">
        <f t="shared" ca="1" si="5"/>
        <v>0.29166666666666669</v>
      </c>
      <c r="AH30" s="16">
        <f t="shared" ca="1" si="6"/>
        <v>1</v>
      </c>
      <c r="AI30" s="16">
        <f t="shared" ca="1" si="7"/>
        <v>30</v>
      </c>
    </row>
    <row r="31" spans="1:35" ht="16" customHeight="1" x14ac:dyDescent="0.2">
      <c r="A31" s="580">
        <v>46192.958333333343</v>
      </c>
      <c r="B31" s="16"/>
      <c r="C31" s="580">
        <f t="shared" ca="1" si="13"/>
        <v>46192.958333333343</v>
      </c>
      <c r="D31" s="607"/>
      <c r="E31" s="607"/>
      <c r="P31" s="16">
        <v>29</v>
      </c>
      <c r="Q31" s="16" t="str">
        <f t="shared" ca="1" si="0"/>
        <v>Japón</v>
      </c>
      <c r="R31" s="16">
        <f t="shared" ca="1" si="12"/>
        <v>9</v>
      </c>
      <c r="S31" s="610">
        <f t="shared" ca="1" si="12"/>
        <v>0.375</v>
      </c>
      <c r="T31" s="16">
        <f t="shared" ca="1" si="12"/>
        <v>0</v>
      </c>
      <c r="U31" s="16">
        <f t="shared" ca="1" si="12"/>
        <v>13</v>
      </c>
      <c r="V31" s="610">
        <f t="shared" ca="1" si="12"/>
        <v>0.54166666666666663</v>
      </c>
      <c r="W31" s="16">
        <f t="shared" ca="1" si="12"/>
        <v>1</v>
      </c>
      <c r="X31" s="16">
        <f t="shared" ca="1" si="2"/>
        <v>0</v>
      </c>
      <c r="AA31" s="16">
        <v>29</v>
      </c>
      <c r="AB31" s="16" t="str">
        <f ca="1">Idiomas!D230</f>
        <v>Marruecos</v>
      </c>
      <c r="AC31" s="609">
        <v>1</v>
      </c>
      <c r="AD31" s="610">
        <f t="shared" si="3"/>
        <v>4.1666666666666664E-2</v>
      </c>
      <c r="AE31" s="16">
        <v>0</v>
      </c>
      <c r="AF31" s="16">
        <f t="shared" ca="1" si="4"/>
        <v>5</v>
      </c>
      <c r="AG31" s="610">
        <f t="shared" ca="1" si="5"/>
        <v>0.20833333333333334</v>
      </c>
      <c r="AH31" s="16">
        <f t="shared" ca="1" si="6"/>
        <v>1</v>
      </c>
      <c r="AI31" s="16">
        <f t="shared" ca="1" si="7"/>
        <v>31</v>
      </c>
    </row>
    <row r="32" spans="1:35" ht="16" customHeight="1" x14ac:dyDescent="0.2">
      <c r="A32" s="580">
        <v>46198.916666666657</v>
      </c>
      <c r="B32" s="16"/>
      <c r="C32" s="580">
        <f t="shared" ca="1" si="13"/>
        <v>46198.916666666657</v>
      </c>
      <c r="D32" s="607"/>
      <c r="E32" s="607"/>
      <c r="P32" s="16">
        <v>30</v>
      </c>
      <c r="Q32" s="16" t="str">
        <f t="shared" ca="1" si="0"/>
        <v>Jordania</v>
      </c>
      <c r="R32" s="16">
        <f t="shared" ca="1" si="12"/>
        <v>3</v>
      </c>
      <c r="S32" s="610">
        <f t="shared" ca="1" si="12"/>
        <v>0.125</v>
      </c>
      <c r="T32" s="16">
        <f t="shared" ca="1" si="12"/>
        <v>0</v>
      </c>
      <c r="U32" s="16">
        <f t="shared" ca="1" si="12"/>
        <v>7</v>
      </c>
      <c r="V32" s="610">
        <f t="shared" ca="1" si="12"/>
        <v>0.29166666666666669</v>
      </c>
      <c r="W32" s="16">
        <f t="shared" ca="1" si="12"/>
        <v>1</v>
      </c>
      <c r="X32" s="16">
        <f t="shared" ca="1" si="2"/>
        <v>0</v>
      </c>
      <c r="AA32" s="16">
        <v>30</v>
      </c>
      <c r="AB32" s="16" t="str">
        <f ca="1">Idiomas!D231</f>
        <v>México</v>
      </c>
      <c r="AC32" s="609">
        <v>-6</v>
      </c>
      <c r="AD32" s="610">
        <f t="shared" si="3"/>
        <v>0.25</v>
      </c>
      <c r="AE32" s="16">
        <v>0</v>
      </c>
      <c r="AF32" s="16">
        <f t="shared" ca="1" si="4"/>
        <v>-2</v>
      </c>
      <c r="AG32" s="610">
        <f t="shared" ca="1" si="5"/>
        <v>8.3333333333333329E-2</v>
      </c>
      <c r="AH32" s="16">
        <f t="shared" ca="1" si="6"/>
        <v>-1</v>
      </c>
      <c r="AI32" s="16">
        <f t="shared" ca="1" si="7"/>
        <v>32</v>
      </c>
    </row>
    <row r="33" spans="1:35" ht="16" customHeight="1" x14ac:dyDescent="0.2">
      <c r="A33" s="580">
        <v>46198.916666666657</v>
      </c>
      <c r="B33" s="16"/>
      <c r="C33" s="580">
        <f t="shared" ca="1" si="13"/>
        <v>46198.916666666657</v>
      </c>
      <c r="D33" s="607"/>
      <c r="P33" s="16">
        <v>31</v>
      </c>
      <c r="Q33" s="16" t="str">
        <f t="shared" ca="1" si="0"/>
        <v>Marruecos</v>
      </c>
      <c r="R33" s="16">
        <f t="shared" ref="R33:W42" ca="1" si="14">+INDEX($AC$3:$AH$86,MATCH($Q33,$AB$3:$AB$86,0),MATCH(R$2,$AC$2:$AH$2,0))</f>
        <v>1</v>
      </c>
      <c r="S33" s="610">
        <f t="shared" ca="1" si="14"/>
        <v>4.1666666666666664E-2</v>
      </c>
      <c r="T33" s="16">
        <f t="shared" ca="1" si="14"/>
        <v>0</v>
      </c>
      <c r="U33" s="16">
        <f t="shared" ca="1" si="14"/>
        <v>5</v>
      </c>
      <c r="V33" s="610">
        <f t="shared" ca="1" si="14"/>
        <v>0.20833333333333334</v>
      </c>
      <c r="W33" s="16">
        <f t="shared" ca="1" si="14"/>
        <v>1</v>
      </c>
      <c r="X33" s="16">
        <f t="shared" ca="1" si="2"/>
        <v>0</v>
      </c>
      <c r="AA33" s="16">
        <v>31</v>
      </c>
      <c r="AB33" s="16" t="str">
        <f ca="1">Idiomas!D232</f>
        <v>Noruega</v>
      </c>
      <c r="AC33" s="609">
        <v>2</v>
      </c>
      <c r="AD33" s="610">
        <f t="shared" si="3"/>
        <v>8.3333333333333329E-2</v>
      </c>
      <c r="AE33" s="16">
        <v>0</v>
      </c>
      <c r="AF33" s="16">
        <f t="shared" ca="1" si="4"/>
        <v>6</v>
      </c>
      <c r="AG33" s="610">
        <f t="shared" ca="1" si="5"/>
        <v>0.25</v>
      </c>
      <c r="AH33" s="16">
        <f t="shared" ca="1" si="6"/>
        <v>1</v>
      </c>
      <c r="AI33" s="16">
        <f t="shared" ca="1" si="7"/>
        <v>33</v>
      </c>
    </row>
    <row r="34" spans="1:35" ht="16" customHeight="1" x14ac:dyDescent="0.2">
      <c r="A34" s="16"/>
      <c r="B34" s="16"/>
      <c r="C34" s="580"/>
      <c r="P34" s="16">
        <v>32</v>
      </c>
      <c r="Q34" s="16" t="str">
        <f t="shared" ca="1" si="0"/>
        <v>México</v>
      </c>
      <c r="R34" s="16">
        <f t="shared" ca="1" si="14"/>
        <v>-6</v>
      </c>
      <c r="S34" s="610">
        <f t="shared" ca="1" si="14"/>
        <v>0.25</v>
      </c>
      <c r="T34" s="16">
        <f t="shared" ca="1" si="14"/>
        <v>0</v>
      </c>
      <c r="U34" s="16">
        <f t="shared" ca="1" si="14"/>
        <v>-2</v>
      </c>
      <c r="V34" s="610">
        <f t="shared" ca="1" si="14"/>
        <v>8.3333333333333329E-2</v>
      </c>
      <c r="W34" s="16">
        <f t="shared" ca="1" si="14"/>
        <v>-1</v>
      </c>
      <c r="X34" s="16">
        <f t="shared" ca="1" si="2"/>
        <v>0</v>
      </c>
      <c r="AA34" s="16">
        <v>32</v>
      </c>
      <c r="AB34" s="16" t="str">
        <f ca="1">Idiomas!D233</f>
        <v>Nueva Zelanda</v>
      </c>
      <c r="AC34" s="609">
        <v>12</v>
      </c>
      <c r="AD34" s="610">
        <f t="shared" si="3"/>
        <v>0.5</v>
      </c>
      <c r="AE34" s="16">
        <v>0</v>
      </c>
      <c r="AF34" s="16">
        <f t="shared" ca="1" si="4"/>
        <v>16</v>
      </c>
      <c r="AG34" s="610">
        <f t="shared" ca="1" si="5"/>
        <v>0.66666666666666663</v>
      </c>
      <c r="AH34" s="16">
        <f t="shared" ca="1" si="6"/>
        <v>1</v>
      </c>
      <c r="AI34" s="16">
        <f t="shared" ca="1" si="7"/>
        <v>34</v>
      </c>
    </row>
    <row r="35" spans="1:35" ht="16" customHeight="1" x14ac:dyDescent="0.2">
      <c r="A35" s="9" t="s">
        <v>1469</v>
      </c>
      <c r="B35" s="16"/>
      <c r="C35" s="580"/>
      <c r="P35" s="16">
        <v>33</v>
      </c>
      <c r="Q35" s="16" t="str">
        <f t="shared" ca="1" si="0"/>
        <v>Noruega</v>
      </c>
      <c r="R35" s="16">
        <f t="shared" ca="1" si="14"/>
        <v>2</v>
      </c>
      <c r="S35" s="610">
        <f t="shared" ca="1" si="14"/>
        <v>8.3333333333333329E-2</v>
      </c>
      <c r="T35" s="16">
        <f t="shared" ca="1" si="14"/>
        <v>0</v>
      </c>
      <c r="U35" s="16">
        <f t="shared" ca="1" si="14"/>
        <v>6</v>
      </c>
      <c r="V35" s="610">
        <f t="shared" ca="1" si="14"/>
        <v>0.25</v>
      </c>
      <c r="W35" s="16">
        <f t="shared" ca="1" si="14"/>
        <v>1</v>
      </c>
      <c r="X35" s="16">
        <f t="shared" ca="1" si="2"/>
        <v>0</v>
      </c>
      <c r="AA35" s="16">
        <v>33</v>
      </c>
      <c r="AB35" s="16" t="str">
        <f ca="1">Idiomas!D234</f>
        <v>Países Bajos</v>
      </c>
      <c r="AC35" s="609">
        <v>2</v>
      </c>
      <c r="AD35" s="610">
        <f t="shared" ref="AD35:AD66" si="15">ABS(AC35/24)</f>
        <v>8.3333333333333329E-2</v>
      </c>
      <c r="AE35" s="16">
        <v>0</v>
      </c>
      <c r="AF35" s="16">
        <f t="shared" ref="AF35:AF66" ca="1" si="16">AC35-$M$2</f>
        <v>6</v>
      </c>
      <c r="AG35" s="610">
        <f t="shared" ref="AG35:AG66" ca="1" si="17">ABS(AF35/24)</f>
        <v>0.25</v>
      </c>
      <c r="AH35" s="16">
        <f t="shared" ref="AH35:AH66" ca="1" si="18">IF(AC35&gt;$M$2,1,IF(AC35=$M$2,0,-1))</f>
        <v>1</v>
      </c>
      <c r="AI35" s="16">
        <f t="shared" ca="1" si="7"/>
        <v>35</v>
      </c>
    </row>
    <row r="36" spans="1:35" ht="16" customHeight="1" x14ac:dyDescent="0.2">
      <c r="A36" s="580">
        <v>46187.541666666657</v>
      </c>
      <c r="B36" s="16"/>
      <c r="C36" s="580">
        <f t="shared" ref="C36:C41" ca="1" si="19">A36+INDEX($V$3:$V$86,MATCH($C$3,$P$3:$P$86,0))*INDEX($W$3:$W$86,MATCH($C$3,$P$3:$P$86,0))</f>
        <v>46187.541666666657</v>
      </c>
      <c r="D36" s="607"/>
      <c r="P36" s="16">
        <v>34</v>
      </c>
      <c r="Q36" s="16" t="str">
        <f t="shared" ca="1" si="0"/>
        <v>Nueva Zelanda</v>
      </c>
      <c r="R36" s="16">
        <f t="shared" ca="1" si="14"/>
        <v>12</v>
      </c>
      <c r="S36" s="610">
        <f t="shared" ca="1" si="14"/>
        <v>0.5</v>
      </c>
      <c r="T36" s="16">
        <f t="shared" ca="1" si="14"/>
        <v>0</v>
      </c>
      <c r="U36" s="16">
        <f t="shared" ca="1" si="14"/>
        <v>16</v>
      </c>
      <c r="V36" s="610">
        <f t="shared" ca="1" si="14"/>
        <v>0.66666666666666663</v>
      </c>
      <c r="W36" s="16">
        <f t="shared" ca="1" si="14"/>
        <v>1</v>
      </c>
      <c r="X36" s="16">
        <f t="shared" ca="1" si="2"/>
        <v>0</v>
      </c>
      <c r="AA36" s="16">
        <v>34</v>
      </c>
      <c r="AB36" s="16" t="str">
        <f ca="1">Idiomas!D235</f>
        <v>Panamá</v>
      </c>
      <c r="AC36" s="609">
        <v>-5</v>
      </c>
      <c r="AD36" s="610">
        <f t="shared" si="15"/>
        <v>0.20833333333333334</v>
      </c>
      <c r="AE36" s="16">
        <v>0</v>
      </c>
      <c r="AF36" s="16">
        <f t="shared" ca="1" si="16"/>
        <v>-1</v>
      </c>
      <c r="AG36" s="610">
        <f t="shared" ca="1" si="17"/>
        <v>4.1666666666666664E-2</v>
      </c>
      <c r="AH36" s="16">
        <f t="shared" ca="1" si="18"/>
        <v>-1</v>
      </c>
      <c r="AI36" s="16">
        <f t="shared" ca="1" si="7"/>
        <v>36</v>
      </c>
    </row>
    <row r="37" spans="1:35" ht="16" customHeight="1" x14ac:dyDescent="0.2">
      <c r="A37" s="580">
        <v>46187.791666666657</v>
      </c>
      <c r="B37" s="16"/>
      <c r="C37" s="580">
        <f t="shared" ca="1" si="19"/>
        <v>46187.791666666657</v>
      </c>
      <c r="D37" s="607"/>
      <c r="P37" s="16">
        <v>35</v>
      </c>
      <c r="Q37" s="16" t="str">
        <f t="shared" ca="1" si="0"/>
        <v>Países Bajos</v>
      </c>
      <c r="R37" s="16">
        <f t="shared" ca="1" si="14"/>
        <v>2</v>
      </c>
      <c r="S37" s="610">
        <f t="shared" ca="1" si="14"/>
        <v>8.3333333333333329E-2</v>
      </c>
      <c r="T37" s="16">
        <f t="shared" ca="1" si="14"/>
        <v>0</v>
      </c>
      <c r="U37" s="16">
        <f t="shared" ca="1" si="14"/>
        <v>6</v>
      </c>
      <c r="V37" s="610">
        <f t="shared" ca="1" si="14"/>
        <v>0.25</v>
      </c>
      <c r="W37" s="16">
        <f t="shared" ca="1" si="14"/>
        <v>1</v>
      </c>
      <c r="X37" s="16">
        <f t="shared" ca="1" si="2"/>
        <v>0</v>
      </c>
      <c r="AA37" s="16">
        <v>35</v>
      </c>
      <c r="AB37" s="16" t="str">
        <f ca="1">Idiomas!D236</f>
        <v>Paraguay</v>
      </c>
      <c r="AC37" s="609">
        <v>-4</v>
      </c>
      <c r="AD37" s="610">
        <f t="shared" si="15"/>
        <v>0.16666666666666666</v>
      </c>
      <c r="AE37" s="16">
        <v>0</v>
      </c>
      <c r="AF37" s="16">
        <f t="shared" ca="1" si="16"/>
        <v>0</v>
      </c>
      <c r="AG37" s="610">
        <f t="shared" ca="1" si="17"/>
        <v>0</v>
      </c>
      <c r="AH37" s="16">
        <f t="shared" ca="1" si="18"/>
        <v>0</v>
      </c>
      <c r="AI37" s="16">
        <f t="shared" ca="1" si="7"/>
        <v>37</v>
      </c>
    </row>
    <row r="38" spans="1:35" ht="16" customHeight="1" x14ac:dyDescent="0.2">
      <c r="A38" s="580">
        <v>46193.666666666657</v>
      </c>
      <c r="B38" s="16"/>
      <c r="C38" s="580">
        <f t="shared" ca="1" si="19"/>
        <v>46193.666666666657</v>
      </c>
      <c r="D38" s="607"/>
      <c r="P38" s="16">
        <v>36</v>
      </c>
      <c r="Q38" s="16" t="str">
        <f t="shared" ca="1" si="0"/>
        <v>Panamá</v>
      </c>
      <c r="R38" s="16">
        <f t="shared" ca="1" si="14"/>
        <v>-5</v>
      </c>
      <c r="S38" s="610">
        <f t="shared" ca="1" si="14"/>
        <v>0.20833333333333334</v>
      </c>
      <c r="T38" s="16">
        <f t="shared" ca="1" si="14"/>
        <v>0</v>
      </c>
      <c r="U38" s="16">
        <f t="shared" ca="1" si="14"/>
        <v>-1</v>
      </c>
      <c r="V38" s="610">
        <f t="shared" ca="1" si="14"/>
        <v>4.1666666666666664E-2</v>
      </c>
      <c r="W38" s="16">
        <f t="shared" ca="1" si="14"/>
        <v>-1</v>
      </c>
      <c r="X38" s="16">
        <f t="shared" ca="1" si="2"/>
        <v>0</v>
      </c>
      <c r="AA38" s="16">
        <v>36</v>
      </c>
      <c r="AB38" s="16" t="str">
        <f ca="1">Idiomas!D237</f>
        <v>Portugal</v>
      </c>
      <c r="AC38" s="609">
        <v>1</v>
      </c>
      <c r="AD38" s="610">
        <f t="shared" si="15"/>
        <v>4.1666666666666664E-2</v>
      </c>
      <c r="AE38" s="16">
        <v>0</v>
      </c>
      <c r="AF38" s="16">
        <f t="shared" ca="1" si="16"/>
        <v>5</v>
      </c>
      <c r="AG38" s="610">
        <f t="shared" ca="1" si="17"/>
        <v>0.20833333333333334</v>
      </c>
      <c r="AH38" s="16">
        <f t="shared" ca="1" si="18"/>
        <v>1</v>
      </c>
      <c r="AI38" s="16">
        <f t="shared" ca="1" si="7"/>
        <v>38</v>
      </c>
    </row>
    <row r="39" spans="1:35" ht="16" customHeight="1" x14ac:dyDescent="0.2">
      <c r="A39" s="580">
        <v>46193.833333333343</v>
      </c>
      <c r="B39" s="16"/>
      <c r="C39" s="580">
        <f t="shared" ca="1" si="19"/>
        <v>46193.833333333343</v>
      </c>
      <c r="D39" s="607"/>
      <c r="P39" s="16">
        <v>37</v>
      </c>
      <c r="Q39" s="16" t="str">
        <f t="shared" ca="1" si="0"/>
        <v>Paraguay</v>
      </c>
      <c r="R39" s="16">
        <f t="shared" ca="1" si="14"/>
        <v>-4</v>
      </c>
      <c r="S39" s="610">
        <f t="shared" ca="1" si="14"/>
        <v>0.16666666666666666</v>
      </c>
      <c r="T39" s="16">
        <f t="shared" ca="1" si="14"/>
        <v>0</v>
      </c>
      <c r="U39" s="16">
        <f t="shared" ca="1" si="14"/>
        <v>0</v>
      </c>
      <c r="V39" s="610">
        <f t="shared" ca="1" si="14"/>
        <v>0</v>
      </c>
      <c r="W39" s="16">
        <f t="shared" ca="1" si="14"/>
        <v>0</v>
      </c>
      <c r="X39" s="16">
        <f t="shared" ca="1" si="2"/>
        <v>0</v>
      </c>
      <c r="AA39" s="16">
        <v>37</v>
      </c>
      <c r="AB39" s="16" t="str">
        <f ca="1">Idiomas!D238</f>
        <v>Senegal</v>
      </c>
      <c r="AC39" s="609">
        <v>0</v>
      </c>
      <c r="AD39" s="610">
        <f t="shared" si="15"/>
        <v>0</v>
      </c>
      <c r="AE39" s="16">
        <v>0</v>
      </c>
      <c r="AF39" s="16">
        <f t="shared" ca="1" si="16"/>
        <v>4</v>
      </c>
      <c r="AG39" s="610">
        <f t="shared" ca="1" si="17"/>
        <v>0.16666666666666666</v>
      </c>
      <c r="AH39" s="16">
        <f t="shared" ca="1" si="18"/>
        <v>1</v>
      </c>
      <c r="AI39" s="16">
        <f t="shared" ca="1" si="7"/>
        <v>41</v>
      </c>
    </row>
    <row r="40" spans="1:35" ht="16" customHeight="1" x14ac:dyDescent="0.2">
      <c r="A40" s="580">
        <v>46198.666666666657</v>
      </c>
      <c r="B40" s="16"/>
      <c r="C40" s="580">
        <f t="shared" ca="1" si="19"/>
        <v>46198.666666666657</v>
      </c>
      <c r="D40" s="607"/>
      <c r="P40" s="16">
        <v>38</v>
      </c>
      <c r="Q40" s="16" t="str">
        <f t="shared" ca="1" si="0"/>
        <v>Portugal</v>
      </c>
      <c r="R40" s="16">
        <f t="shared" ca="1" si="14"/>
        <v>1</v>
      </c>
      <c r="S40" s="610">
        <f t="shared" ca="1" si="14"/>
        <v>4.1666666666666664E-2</v>
      </c>
      <c r="T40" s="16">
        <f t="shared" ca="1" si="14"/>
        <v>0</v>
      </c>
      <c r="U40" s="16">
        <f t="shared" ca="1" si="14"/>
        <v>5</v>
      </c>
      <c r="V40" s="610">
        <f t="shared" ca="1" si="14"/>
        <v>0.20833333333333334</v>
      </c>
      <c r="W40" s="16">
        <f t="shared" ca="1" si="14"/>
        <v>1</v>
      </c>
      <c r="X40" s="16">
        <f t="shared" ca="1" si="2"/>
        <v>0</v>
      </c>
      <c r="AA40" s="16">
        <v>38</v>
      </c>
      <c r="AB40" s="16" t="str">
        <f ca="1">Idiomas!D239</f>
        <v>Sudáfrica</v>
      </c>
      <c r="AC40" s="609">
        <v>2</v>
      </c>
      <c r="AD40" s="610">
        <f t="shared" si="15"/>
        <v>8.3333333333333329E-2</v>
      </c>
      <c r="AE40" s="16">
        <v>0</v>
      </c>
      <c r="AF40" s="16">
        <f t="shared" ca="1" si="16"/>
        <v>6</v>
      </c>
      <c r="AG40" s="610">
        <f t="shared" ca="1" si="17"/>
        <v>0.25</v>
      </c>
      <c r="AH40" s="16">
        <f t="shared" ca="1" si="18"/>
        <v>1</v>
      </c>
      <c r="AI40" s="16">
        <f t="shared" ca="1" si="7"/>
        <v>42</v>
      </c>
    </row>
    <row r="41" spans="1:35" ht="16" customHeight="1" x14ac:dyDescent="0.2">
      <c r="A41" s="580">
        <v>46198.666666666657</v>
      </c>
      <c r="B41" s="16"/>
      <c r="C41" s="580">
        <f t="shared" ca="1" si="19"/>
        <v>46198.666666666657</v>
      </c>
      <c r="D41" s="607"/>
      <c r="P41" s="16">
        <v>39</v>
      </c>
      <c r="Q41" s="16" t="str">
        <f t="shared" ca="1" si="0"/>
        <v>RD Congo</v>
      </c>
      <c r="R41" s="16">
        <f t="shared" ca="1" si="14"/>
        <v>1</v>
      </c>
      <c r="S41" s="610">
        <f t="shared" ca="1" si="14"/>
        <v>4.1666666666666664E-2</v>
      </c>
      <c r="T41" s="16">
        <f t="shared" ca="1" si="14"/>
        <v>0</v>
      </c>
      <c r="U41" s="16">
        <f t="shared" ca="1" si="14"/>
        <v>5</v>
      </c>
      <c r="V41" s="610">
        <f t="shared" ca="1" si="14"/>
        <v>0.20833333333333334</v>
      </c>
      <c r="W41" s="16">
        <f t="shared" ca="1" si="14"/>
        <v>1</v>
      </c>
      <c r="X41" s="16">
        <f t="shared" ca="1" si="2"/>
        <v>0</v>
      </c>
      <c r="AA41" s="16">
        <v>39</v>
      </c>
      <c r="AB41" s="16" t="str">
        <f ca="1">Idiomas!D240</f>
        <v>Suiza</v>
      </c>
      <c r="AC41" s="609">
        <v>2</v>
      </c>
      <c r="AD41" s="610">
        <f t="shared" si="15"/>
        <v>8.3333333333333329E-2</v>
      </c>
      <c r="AE41" s="16">
        <v>0</v>
      </c>
      <c r="AF41" s="16">
        <f t="shared" ca="1" si="16"/>
        <v>6</v>
      </c>
      <c r="AG41" s="610">
        <f t="shared" ca="1" si="17"/>
        <v>0.25</v>
      </c>
      <c r="AH41" s="16">
        <f t="shared" ca="1" si="18"/>
        <v>1</v>
      </c>
      <c r="AI41" s="16">
        <f t="shared" ca="1" si="7"/>
        <v>44</v>
      </c>
    </row>
    <row r="42" spans="1:35" ht="16" customHeight="1" x14ac:dyDescent="0.2">
      <c r="A42" s="16"/>
      <c r="B42" s="16"/>
      <c r="C42" s="580"/>
      <c r="P42" s="16">
        <v>40</v>
      </c>
      <c r="Q42" s="16" t="str">
        <f t="shared" ca="1" si="0"/>
        <v>República Checa</v>
      </c>
      <c r="R42" s="16">
        <f t="shared" ca="1" si="14"/>
        <v>2</v>
      </c>
      <c r="S42" s="610">
        <f t="shared" ca="1" si="14"/>
        <v>8.3333333333333329E-2</v>
      </c>
      <c r="T42" s="16">
        <f t="shared" ca="1" si="14"/>
        <v>0</v>
      </c>
      <c r="U42" s="16">
        <f t="shared" ca="1" si="14"/>
        <v>6</v>
      </c>
      <c r="V42" s="610">
        <f t="shared" ca="1" si="14"/>
        <v>0.25</v>
      </c>
      <c r="W42" s="16">
        <f t="shared" ca="1" si="14"/>
        <v>1</v>
      </c>
      <c r="X42" s="16">
        <f t="shared" ca="1" si="2"/>
        <v>0</v>
      </c>
      <c r="AA42" s="16">
        <v>40</v>
      </c>
      <c r="AB42" s="16" t="str">
        <f ca="1">Idiomas!D241</f>
        <v>Túnez</v>
      </c>
      <c r="AC42" s="609">
        <v>1</v>
      </c>
      <c r="AD42" s="610">
        <f t="shared" si="15"/>
        <v>4.1666666666666664E-2</v>
      </c>
      <c r="AE42" s="16">
        <v>0</v>
      </c>
      <c r="AF42" s="16">
        <f t="shared" ca="1" si="16"/>
        <v>5</v>
      </c>
      <c r="AG42" s="610">
        <f t="shared" ca="1" si="17"/>
        <v>0.20833333333333334</v>
      </c>
      <c r="AH42" s="16">
        <f t="shared" ca="1" si="18"/>
        <v>1</v>
      </c>
      <c r="AI42" s="16">
        <f t="shared" ca="1" si="7"/>
        <v>45</v>
      </c>
    </row>
    <row r="43" spans="1:35" ht="16" customHeight="1" x14ac:dyDescent="0.2">
      <c r="A43" s="9" t="s">
        <v>68</v>
      </c>
      <c r="B43" s="16"/>
      <c r="C43" s="580"/>
      <c r="P43" s="16">
        <v>41</v>
      </c>
      <c r="Q43" s="16" t="str">
        <f t="shared" ca="1" si="0"/>
        <v>Senegal</v>
      </c>
      <c r="R43" s="16">
        <f t="shared" ref="R43:W50" ca="1" si="20">+INDEX($AC$3:$AH$86,MATCH($Q43,$AB$3:$AB$86,0),MATCH(R$2,$AC$2:$AH$2,0))</f>
        <v>0</v>
      </c>
      <c r="S43" s="610">
        <f t="shared" ca="1" si="20"/>
        <v>0</v>
      </c>
      <c r="T43" s="16">
        <f t="shared" ca="1" si="20"/>
        <v>0</v>
      </c>
      <c r="U43" s="16">
        <f t="shared" ca="1" si="20"/>
        <v>4</v>
      </c>
      <c r="V43" s="610">
        <f t="shared" ca="1" si="20"/>
        <v>0.16666666666666666</v>
      </c>
      <c r="W43" s="16">
        <f t="shared" ca="1" si="20"/>
        <v>1</v>
      </c>
      <c r="X43" s="16">
        <f t="shared" ca="1" si="2"/>
        <v>0</v>
      </c>
      <c r="AA43" s="16">
        <v>41</v>
      </c>
      <c r="AB43" s="16" t="str">
        <f ca="1">Idiomas!D242</f>
        <v>Uruguay</v>
      </c>
      <c r="AC43" s="609">
        <v>-3</v>
      </c>
      <c r="AD43" s="610">
        <f t="shared" si="15"/>
        <v>0.125</v>
      </c>
      <c r="AE43" s="16">
        <v>0</v>
      </c>
      <c r="AF43" s="16">
        <f t="shared" ca="1" si="16"/>
        <v>1</v>
      </c>
      <c r="AG43" s="610">
        <f t="shared" ca="1" si="17"/>
        <v>4.1666666666666664E-2</v>
      </c>
      <c r="AH43" s="16">
        <f t="shared" ca="1" si="18"/>
        <v>1</v>
      </c>
      <c r="AI43" s="16">
        <f t="shared" ca="1" si="7"/>
        <v>47</v>
      </c>
    </row>
    <row r="44" spans="1:35" ht="16" customHeight="1" x14ac:dyDescent="0.2">
      <c r="A44" s="580">
        <v>46187.666666666657</v>
      </c>
      <c r="B44" s="16"/>
      <c r="C44" s="580">
        <f t="shared" ref="C44:C49" ca="1" si="21">A44+INDEX($V$3:$V$86,MATCH($C$3,$P$3:$P$86,0))*INDEX($W$3:$W$86,MATCH($C$3,$P$3:$P$86,0))</f>
        <v>46187.666666666657</v>
      </c>
      <c r="D44" s="607"/>
      <c r="P44" s="16">
        <v>42</v>
      </c>
      <c r="Q44" s="16" t="str">
        <f t="shared" ca="1" si="0"/>
        <v>Sudáfrica</v>
      </c>
      <c r="R44" s="16">
        <f t="shared" ca="1" si="20"/>
        <v>2</v>
      </c>
      <c r="S44" s="610">
        <f t="shared" ca="1" si="20"/>
        <v>8.3333333333333329E-2</v>
      </c>
      <c r="T44" s="16">
        <f t="shared" ca="1" si="20"/>
        <v>0</v>
      </c>
      <c r="U44" s="16">
        <f t="shared" ca="1" si="20"/>
        <v>6</v>
      </c>
      <c r="V44" s="610">
        <f t="shared" ca="1" si="20"/>
        <v>0.25</v>
      </c>
      <c r="W44" s="16">
        <f t="shared" ca="1" si="20"/>
        <v>1</v>
      </c>
      <c r="X44" s="16">
        <f t="shared" ca="1" si="2"/>
        <v>0</v>
      </c>
      <c r="AA44" s="16">
        <v>42</v>
      </c>
      <c r="AB44" s="16" t="str">
        <f ca="1">Idiomas!D243</f>
        <v>Uzbekistán</v>
      </c>
      <c r="AC44" s="609">
        <v>5</v>
      </c>
      <c r="AD44" s="610">
        <f t="shared" si="15"/>
        <v>0.20833333333333334</v>
      </c>
      <c r="AE44" s="16">
        <v>0</v>
      </c>
      <c r="AF44" s="16">
        <f t="shared" ca="1" si="16"/>
        <v>9</v>
      </c>
      <c r="AG44" s="610">
        <f t="shared" ca="1" si="17"/>
        <v>0.375</v>
      </c>
      <c r="AH44" s="16">
        <f t="shared" ca="1" si="18"/>
        <v>1</v>
      </c>
      <c r="AI44" s="16">
        <f t="shared" ca="1" si="7"/>
        <v>48</v>
      </c>
    </row>
    <row r="45" spans="1:35" x14ac:dyDescent="0.2">
      <c r="A45" s="580">
        <v>46187.916666666657</v>
      </c>
      <c r="B45" s="16"/>
      <c r="C45" s="580">
        <f t="shared" ca="1" si="21"/>
        <v>46187.916666666657</v>
      </c>
      <c r="D45" s="607"/>
      <c r="P45" s="16">
        <v>43</v>
      </c>
      <c r="Q45" s="16" t="str">
        <f t="shared" ca="1" si="0"/>
        <v>Suecia</v>
      </c>
      <c r="R45" s="16">
        <f t="shared" ca="1" si="20"/>
        <v>2</v>
      </c>
      <c r="S45" s="610">
        <f t="shared" ca="1" si="20"/>
        <v>8.3333333333333329E-2</v>
      </c>
      <c r="T45" s="16">
        <f t="shared" ca="1" si="20"/>
        <v>0</v>
      </c>
      <c r="U45" s="16">
        <f t="shared" ca="1" si="20"/>
        <v>6</v>
      </c>
      <c r="V45" s="610">
        <f t="shared" ca="1" si="20"/>
        <v>0.25</v>
      </c>
      <c r="W45" s="16">
        <f t="shared" ca="1" si="20"/>
        <v>1</v>
      </c>
      <c r="X45" s="16">
        <f t="shared" ca="1" si="2"/>
        <v>0</v>
      </c>
      <c r="AA45" s="16">
        <v>43</v>
      </c>
      <c r="AB45" s="16" t="str">
        <f ca="1">Idiomas!D244</f>
        <v>RD Congo</v>
      </c>
      <c r="AC45" s="16">
        <v>1</v>
      </c>
      <c r="AD45" s="610">
        <f t="shared" si="15"/>
        <v>4.1666666666666664E-2</v>
      </c>
      <c r="AE45" s="16">
        <v>0</v>
      </c>
      <c r="AF45" s="16">
        <f t="shared" ca="1" si="16"/>
        <v>5</v>
      </c>
      <c r="AG45" s="610">
        <f t="shared" ca="1" si="17"/>
        <v>0.20833333333333334</v>
      </c>
      <c r="AH45" s="16">
        <f t="shared" ca="1" si="18"/>
        <v>1</v>
      </c>
      <c r="AI45" s="16">
        <f t="shared" ca="1" si="7"/>
        <v>39</v>
      </c>
    </row>
    <row r="46" spans="1:35" x14ac:dyDescent="0.2">
      <c r="A46" s="580">
        <v>46193.541666666657</v>
      </c>
      <c r="B46" s="16"/>
      <c r="C46" s="580">
        <f t="shared" ca="1" si="21"/>
        <v>46193.541666666657</v>
      </c>
      <c r="D46" s="607"/>
      <c r="P46" s="16">
        <v>44</v>
      </c>
      <c r="Q46" s="16" t="str">
        <f t="shared" ca="1" si="0"/>
        <v>Suiza</v>
      </c>
      <c r="R46" s="16">
        <f t="shared" ca="1" si="20"/>
        <v>2</v>
      </c>
      <c r="S46" s="610">
        <f t="shared" ca="1" si="20"/>
        <v>8.3333333333333329E-2</v>
      </c>
      <c r="T46" s="16">
        <f t="shared" ca="1" si="20"/>
        <v>0</v>
      </c>
      <c r="U46" s="16">
        <f t="shared" ca="1" si="20"/>
        <v>6</v>
      </c>
      <c r="V46" s="610">
        <f t="shared" ca="1" si="20"/>
        <v>0.25</v>
      </c>
      <c r="W46" s="16">
        <f t="shared" ca="1" si="20"/>
        <v>1</v>
      </c>
      <c r="X46" s="16">
        <f t="shared" ca="1" si="2"/>
        <v>0</v>
      </c>
      <c r="AA46" s="16">
        <v>44</v>
      </c>
      <c r="AB46" s="16" t="str">
        <f ca="1">Idiomas!D245</f>
        <v>Irak</v>
      </c>
      <c r="AC46" s="16">
        <v>3</v>
      </c>
      <c r="AD46" s="610">
        <f t="shared" si="15"/>
        <v>0.125</v>
      </c>
      <c r="AE46" s="16">
        <v>0</v>
      </c>
      <c r="AF46" s="16">
        <f t="shared" ca="1" si="16"/>
        <v>7</v>
      </c>
      <c r="AG46" s="610">
        <f t="shared" ca="1" si="17"/>
        <v>0.29166666666666669</v>
      </c>
      <c r="AH46" s="16">
        <f t="shared" ca="1" si="18"/>
        <v>1</v>
      </c>
      <c r="AI46" s="16">
        <f t="shared" ca="1" si="7"/>
        <v>27</v>
      </c>
    </row>
    <row r="47" spans="1:35" x14ac:dyDescent="0.2">
      <c r="A47" s="580">
        <v>46194</v>
      </c>
      <c r="B47" s="16"/>
      <c r="C47" s="580">
        <f t="shared" ca="1" si="21"/>
        <v>46194</v>
      </c>
      <c r="D47" s="607"/>
      <c r="P47" s="16">
        <v>45</v>
      </c>
      <c r="Q47" s="16" t="str">
        <f t="shared" ca="1" si="0"/>
        <v>Túnez</v>
      </c>
      <c r="R47" s="16">
        <f t="shared" ca="1" si="20"/>
        <v>1</v>
      </c>
      <c r="S47" s="610">
        <f t="shared" ca="1" si="20"/>
        <v>4.1666666666666664E-2</v>
      </c>
      <c r="T47" s="16">
        <f t="shared" ca="1" si="20"/>
        <v>0</v>
      </c>
      <c r="U47" s="16">
        <f t="shared" ca="1" si="20"/>
        <v>5</v>
      </c>
      <c r="V47" s="610">
        <f t="shared" ca="1" si="20"/>
        <v>0.20833333333333334</v>
      </c>
      <c r="W47" s="16">
        <f t="shared" ca="1" si="20"/>
        <v>1</v>
      </c>
      <c r="X47" s="16">
        <f t="shared" ca="1" si="2"/>
        <v>0</v>
      </c>
      <c r="AA47" s="16">
        <v>45</v>
      </c>
      <c r="AB47" s="16" t="str">
        <f ca="1">Idiomas!D246</f>
        <v>Bosnia y Herzegovina</v>
      </c>
      <c r="AC47" s="16">
        <v>2</v>
      </c>
      <c r="AD47" s="610">
        <f t="shared" si="15"/>
        <v>8.3333333333333329E-2</v>
      </c>
      <c r="AE47" s="16">
        <v>0</v>
      </c>
      <c r="AF47" s="16">
        <f t="shared" ca="1" si="16"/>
        <v>6</v>
      </c>
      <c r="AG47" s="610">
        <f t="shared" ca="1" si="17"/>
        <v>0.25</v>
      </c>
      <c r="AH47" s="16">
        <f t="shared" ca="1" si="18"/>
        <v>1</v>
      </c>
      <c r="AI47" s="16">
        <f t="shared" ca="1" si="7"/>
        <v>8</v>
      </c>
    </row>
    <row r="48" spans="1:35" x14ac:dyDescent="0.2">
      <c r="A48" s="580">
        <v>46198.791666666657</v>
      </c>
      <c r="B48" s="16"/>
      <c r="C48" s="580">
        <f t="shared" ca="1" si="21"/>
        <v>46198.791666666657</v>
      </c>
      <c r="D48" s="607"/>
      <c r="P48" s="16">
        <v>46</v>
      </c>
      <c r="Q48" s="16" t="str">
        <f t="shared" ca="1" si="0"/>
        <v>Turquía</v>
      </c>
      <c r="R48" s="16">
        <f t="shared" ca="1" si="20"/>
        <v>3</v>
      </c>
      <c r="S48" s="610">
        <f t="shared" ca="1" si="20"/>
        <v>0.125</v>
      </c>
      <c r="T48" s="16">
        <f t="shared" ca="1" si="20"/>
        <v>0</v>
      </c>
      <c r="U48" s="16">
        <f t="shared" ca="1" si="20"/>
        <v>7</v>
      </c>
      <c r="V48" s="610">
        <f t="shared" ca="1" si="20"/>
        <v>0.29166666666666669</v>
      </c>
      <c r="W48" s="16">
        <f t="shared" ca="1" si="20"/>
        <v>1</v>
      </c>
      <c r="X48" s="16">
        <f t="shared" ca="1" si="2"/>
        <v>0</v>
      </c>
      <c r="AA48" s="16">
        <v>46</v>
      </c>
      <c r="AB48" s="16" t="str">
        <f ca="1">Idiomas!D247</f>
        <v>Suecia</v>
      </c>
      <c r="AC48" s="16">
        <v>2</v>
      </c>
      <c r="AD48" s="610">
        <f t="shared" si="15"/>
        <v>8.3333333333333329E-2</v>
      </c>
      <c r="AE48" s="16">
        <v>0</v>
      </c>
      <c r="AF48" s="16">
        <f t="shared" ca="1" si="16"/>
        <v>6</v>
      </c>
      <c r="AG48" s="610">
        <f t="shared" ca="1" si="17"/>
        <v>0.25</v>
      </c>
      <c r="AH48" s="16">
        <f t="shared" ca="1" si="18"/>
        <v>1</v>
      </c>
      <c r="AI48" s="16">
        <f t="shared" ca="1" si="7"/>
        <v>43</v>
      </c>
    </row>
    <row r="49" spans="1:35" x14ac:dyDescent="0.2">
      <c r="A49" s="580">
        <v>46198.791666666657</v>
      </c>
      <c r="B49" s="16"/>
      <c r="C49" s="580">
        <f t="shared" ca="1" si="21"/>
        <v>46198.791666666657</v>
      </c>
      <c r="D49" s="607"/>
      <c r="P49" s="16">
        <v>47</v>
      </c>
      <c r="Q49" s="16" t="str">
        <f t="shared" ca="1" si="0"/>
        <v>Uruguay</v>
      </c>
      <c r="R49" s="16">
        <f t="shared" ca="1" si="20"/>
        <v>-3</v>
      </c>
      <c r="S49" s="610">
        <f t="shared" ca="1" si="20"/>
        <v>0.125</v>
      </c>
      <c r="T49" s="16">
        <f t="shared" ca="1" si="20"/>
        <v>0</v>
      </c>
      <c r="U49" s="16">
        <f t="shared" ca="1" si="20"/>
        <v>1</v>
      </c>
      <c r="V49" s="610">
        <f t="shared" ca="1" si="20"/>
        <v>4.1666666666666664E-2</v>
      </c>
      <c r="W49" s="16">
        <f t="shared" ca="1" si="20"/>
        <v>1</v>
      </c>
      <c r="X49" s="16">
        <f t="shared" ca="1" si="2"/>
        <v>0</v>
      </c>
      <c r="AA49" s="16">
        <v>47</v>
      </c>
      <c r="AB49" s="16" t="str">
        <f ca="1">Idiomas!D248</f>
        <v>Turquía</v>
      </c>
      <c r="AC49" s="16">
        <v>3</v>
      </c>
      <c r="AD49" s="610">
        <f t="shared" si="15"/>
        <v>0.125</v>
      </c>
      <c r="AE49" s="16">
        <v>0</v>
      </c>
      <c r="AF49" s="16">
        <f t="shared" ca="1" si="16"/>
        <v>7</v>
      </c>
      <c r="AG49" s="610">
        <f t="shared" ca="1" si="17"/>
        <v>0.29166666666666669</v>
      </c>
      <c r="AH49" s="16">
        <f t="shared" ca="1" si="18"/>
        <v>1</v>
      </c>
      <c r="AI49" s="16">
        <f t="shared" ca="1" si="7"/>
        <v>46</v>
      </c>
    </row>
    <row r="50" spans="1:35" x14ac:dyDescent="0.2">
      <c r="A50" s="16"/>
      <c r="B50" s="16"/>
      <c r="C50" s="580"/>
      <c r="P50" s="16">
        <v>48</v>
      </c>
      <c r="Q50" s="16" t="str">
        <f t="shared" ca="1" si="0"/>
        <v>Uzbekistán</v>
      </c>
      <c r="R50" s="16">
        <f t="shared" ca="1" si="20"/>
        <v>5</v>
      </c>
      <c r="S50" s="610">
        <f t="shared" ca="1" si="20"/>
        <v>0.20833333333333334</v>
      </c>
      <c r="T50" s="16">
        <f t="shared" ca="1" si="20"/>
        <v>0</v>
      </c>
      <c r="U50" s="16">
        <f t="shared" ca="1" si="20"/>
        <v>9</v>
      </c>
      <c r="V50" s="610">
        <f t="shared" ca="1" si="20"/>
        <v>0.375</v>
      </c>
      <c r="W50" s="16">
        <f t="shared" ca="1" si="20"/>
        <v>1</v>
      </c>
      <c r="X50" s="16">
        <f t="shared" ca="1" si="2"/>
        <v>0</v>
      </c>
      <c r="AA50" s="16">
        <v>48</v>
      </c>
      <c r="AB50" s="16" t="str">
        <f ca="1">Idiomas!D249</f>
        <v>República Checa</v>
      </c>
      <c r="AC50" s="16">
        <v>2</v>
      </c>
      <c r="AD50" s="610">
        <f t="shared" si="15"/>
        <v>8.3333333333333329E-2</v>
      </c>
      <c r="AE50" s="16">
        <v>0</v>
      </c>
      <c r="AF50" s="16">
        <f t="shared" ca="1" si="16"/>
        <v>6</v>
      </c>
      <c r="AG50" s="610">
        <f t="shared" ca="1" si="17"/>
        <v>0.25</v>
      </c>
      <c r="AH50" s="16">
        <f t="shared" ca="1" si="18"/>
        <v>1</v>
      </c>
      <c r="AI50" s="16">
        <f t="shared" ca="1" si="7"/>
        <v>40</v>
      </c>
    </row>
    <row r="51" spans="1:35" x14ac:dyDescent="0.2">
      <c r="A51" s="9" t="s">
        <v>1470</v>
      </c>
      <c r="B51" s="16"/>
      <c r="C51" s="580"/>
      <c r="P51" s="16">
        <v>49</v>
      </c>
      <c r="Q51" s="16" t="s">
        <v>1471</v>
      </c>
      <c r="R51" s="16">
        <f t="shared" ref="R51:V60" ca="1" si="22">+INDEX($AC$3:$AH$86,MATCH($Q51,$AB$3:$AB$86,0),MATCH(R$2,$AC$2:$AH$2,0))</f>
        <v>-12</v>
      </c>
      <c r="S51" s="610">
        <f t="shared" ca="1" si="22"/>
        <v>0.5</v>
      </c>
      <c r="T51" s="16">
        <f t="shared" ca="1" si="22"/>
        <v>0</v>
      </c>
      <c r="U51" s="16">
        <f t="shared" ca="1" si="22"/>
        <v>-8</v>
      </c>
      <c r="V51" s="610">
        <f t="shared" ca="1" si="22"/>
        <v>0.33333333333333331</v>
      </c>
      <c r="W51" s="16">
        <f t="shared" ref="W51:W86" ca="1" si="23">IF(R51&gt;$M$2,1,IF(R51=$M$2,0,-1))</f>
        <v>-1</v>
      </c>
      <c r="X51" s="16"/>
      <c r="AA51" s="16">
        <v>49</v>
      </c>
      <c r="AB51" s="16" t="s">
        <v>1471</v>
      </c>
      <c r="AC51" s="16">
        <v>-12</v>
      </c>
      <c r="AD51" s="610">
        <f t="shared" si="15"/>
        <v>0.5</v>
      </c>
      <c r="AE51" s="16">
        <v>0</v>
      </c>
      <c r="AF51" s="16">
        <f t="shared" ca="1" si="16"/>
        <v>-8</v>
      </c>
      <c r="AG51" s="610">
        <f t="shared" ca="1" si="17"/>
        <v>0.33333333333333331</v>
      </c>
      <c r="AH51" s="16">
        <f t="shared" ca="1" si="18"/>
        <v>-1</v>
      </c>
      <c r="AI51" s="16"/>
    </row>
    <row r="52" spans="1:35" x14ac:dyDescent="0.2">
      <c r="A52" s="580">
        <v>46188.625</v>
      </c>
      <c r="B52" s="16"/>
      <c r="C52" s="580">
        <f t="shared" ref="C52:C57" ca="1" si="24">A52+INDEX($V$3:$V$86,MATCH($C$3,$P$3:$P$86,0))*INDEX($W$3:$W$86,MATCH($C$3,$P$3:$P$86,0))</f>
        <v>46188.625</v>
      </c>
      <c r="D52" s="607"/>
      <c r="P52" s="16">
        <v>50</v>
      </c>
      <c r="Q52" s="16" t="s">
        <v>1472</v>
      </c>
      <c r="R52" s="16">
        <f t="shared" ca="1" si="22"/>
        <v>-11</v>
      </c>
      <c r="S52" s="610">
        <f t="shared" ca="1" si="22"/>
        <v>0.45833333333333331</v>
      </c>
      <c r="T52" s="16">
        <f t="shared" ca="1" si="22"/>
        <v>0</v>
      </c>
      <c r="U52" s="16">
        <f t="shared" ca="1" si="22"/>
        <v>-7</v>
      </c>
      <c r="V52" s="610">
        <f t="shared" ca="1" si="22"/>
        <v>0.29166666666666669</v>
      </c>
      <c r="W52" s="16">
        <f t="shared" ca="1" si="23"/>
        <v>-1</v>
      </c>
      <c r="X52" s="16"/>
      <c r="AA52" s="16">
        <v>50</v>
      </c>
      <c r="AB52" s="16" t="s">
        <v>1472</v>
      </c>
      <c r="AC52" s="16">
        <v>-11</v>
      </c>
      <c r="AD52" s="610">
        <f t="shared" si="15"/>
        <v>0.45833333333333331</v>
      </c>
      <c r="AE52" s="16">
        <v>0</v>
      </c>
      <c r="AF52" s="16">
        <f t="shared" ca="1" si="16"/>
        <v>-7</v>
      </c>
      <c r="AG52" s="610">
        <f t="shared" ca="1" si="17"/>
        <v>0.29166666666666669</v>
      </c>
      <c r="AH52" s="16">
        <f t="shared" ca="1" si="18"/>
        <v>-1</v>
      </c>
      <c r="AI52" s="16"/>
    </row>
    <row r="53" spans="1:35" x14ac:dyDescent="0.2">
      <c r="A53" s="580">
        <v>46188.875</v>
      </c>
      <c r="B53" s="16"/>
      <c r="C53" s="580">
        <f t="shared" ca="1" si="24"/>
        <v>46188.875</v>
      </c>
      <c r="D53" s="607"/>
      <c r="P53" s="16">
        <v>51</v>
      </c>
      <c r="Q53" s="16" t="s">
        <v>1473</v>
      </c>
      <c r="R53" s="16">
        <f t="shared" ca="1" si="22"/>
        <v>-10</v>
      </c>
      <c r="S53" s="610">
        <f t="shared" ca="1" si="22"/>
        <v>0.41666666666666669</v>
      </c>
      <c r="T53" s="16">
        <f t="shared" ca="1" si="22"/>
        <v>0</v>
      </c>
      <c r="U53" s="16">
        <f t="shared" ca="1" si="22"/>
        <v>-6</v>
      </c>
      <c r="V53" s="610">
        <f t="shared" ca="1" si="22"/>
        <v>0.25</v>
      </c>
      <c r="W53" s="16">
        <f t="shared" ca="1" si="23"/>
        <v>-1</v>
      </c>
      <c r="X53" s="16"/>
      <c r="AA53" s="16">
        <v>51</v>
      </c>
      <c r="AB53" s="16" t="s">
        <v>1473</v>
      </c>
      <c r="AC53" s="16">
        <v>-10</v>
      </c>
      <c r="AD53" s="610">
        <f t="shared" si="15"/>
        <v>0.41666666666666669</v>
      </c>
      <c r="AE53" s="16">
        <v>0</v>
      </c>
      <c r="AF53" s="16">
        <f t="shared" ca="1" si="16"/>
        <v>-6</v>
      </c>
      <c r="AG53" s="610">
        <f t="shared" ca="1" si="17"/>
        <v>0.25</v>
      </c>
      <c r="AH53" s="16">
        <f t="shared" ca="1" si="18"/>
        <v>-1</v>
      </c>
      <c r="AI53" s="16"/>
    </row>
    <row r="54" spans="1:35" x14ac:dyDescent="0.2">
      <c r="A54" s="580">
        <v>46194.625</v>
      </c>
      <c r="B54" s="16"/>
      <c r="C54" s="580">
        <f t="shared" ca="1" si="24"/>
        <v>46194.625</v>
      </c>
      <c r="D54" s="607"/>
      <c r="P54" s="16">
        <v>52</v>
      </c>
      <c r="Q54" s="16" t="s">
        <v>1474</v>
      </c>
      <c r="R54" s="16">
        <f t="shared" ca="1" si="22"/>
        <v>-9</v>
      </c>
      <c r="S54" s="610">
        <f t="shared" ca="1" si="22"/>
        <v>0.375</v>
      </c>
      <c r="T54" s="16">
        <f t="shared" ca="1" si="22"/>
        <v>0</v>
      </c>
      <c r="U54" s="16">
        <f t="shared" ca="1" si="22"/>
        <v>-5</v>
      </c>
      <c r="V54" s="610">
        <f t="shared" ca="1" si="22"/>
        <v>0.20833333333333334</v>
      </c>
      <c r="W54" s="16">
        <f t="shared" ca="1" si="23"/>
        <v>-1</v>
      </c>
      <c r="X54" s="16"/>
      <c r="AA54" s="16">
        <v>52</v>
      </c>
      <c r="AB54" s="16" t="s">
        <v>1474</v>
      </c>
      <c r="AC54" s="16">
        <v>-9</v>
      </c>
      <c r="AD54" s="610">
        <f t="shared" si="15"/>
        <v>0.375</v>
      </c>
      <c r="AE54" s="16">
        <v>0</v>
      </c>
      <c r="AF54" s="16">
        <f t="shared" ca="1" si="16"/>
        <v>-5</v>
      </c>
      <c r="AG54" s="610">
        <f t="shared" ca="1" si="17"/>
        <v>0.20833333333333334</v>
      </c>
      <c r="AH54" s="16">
        <f t="shared" ca="1" si="18"/>
        <v>-1</v>
      </c>
      <c r="AI54" s="16"/>
    </row>
    <row r="55" spans="1:35" x14ac:dyDescent="0.2">
      <c r="A55" s="580">
        <v>46194.875</v>
      </c>
      <c r="B55" s="16"/>
      <c r="C55" s="580">
        <f t="shared" ca="1" si="24"/>
        <v>46194.875</v>
      </c>
      <c r="D55" s="607"/>
      <c r="P55" s="16">
        <v>53</v>
      </c>
      <c r="Q55" s="16" t="s">
        <v>1475</v>
      </c>
      <c r="R55" s="16">
        <f t="shared" ca="1" si="22"/>
        <v>-8</v>
      </c>
      <c r="S55" s="610">
        <f t="shared" ca="1" si="22"/>
        <v>0.33333333333333331</v>
      </c>
      <c r="T55" s="16">
        <f t="shared" ca="1" si="22"/>
        <v>0</v>
      </c>
      <c r="U55" s="16">
        <f t="shared" ca="1" si="22"/>
        <v>-4</v>
      </c>
      <c r="V55" s="610">
        <f t="shared" ca="1" si="22"/>
        <v>0.16666666666666666</v>
      </c>
      <c r="W55" s="16">
        <f t="shared" ca="1" si="23"/>
        <v>-1</v>
      </c>
      <c r="X55" s="16"/>
      <c r="AA55" s="16">
        <v>53</v>
      </c>
      <c r="AB55" s="16" t="s">
        <v>1475</v>
      </c>
      <c r="AC55" s="16">
        <v>-8</v>
      </c>
      <c r="AD55" s="610">
        <f t="shared" si="15"/>
        <v>0.33333333333333331</v>
      </c>
      <c r="AE55" s="16">
        <v>0</v>
      </c>
      <c r="AF55" s="16">
        <f t="shared" ca="1" si="16"/>
        <v>-4</v>
      </c>
      <c r="AG55" s="610">
        <f t="shared" ca="1" si="17"/>
        <v>0.16666666666666666</v>
      </c>
      <c r="AH55" s="16">
        <f t="shared" ca="1" si="18"/>
        <v>-1</v>
      </c>
      <c r="AI55" s="16"/>
    </row>
    <row r="56" spans="1:35" x14ac:dyDescent="0.2">
      <c r="A56" s="580">
        <v>46199.958333333343</v>
      </c>
      <c r="B56" s="16"/>
      <c r="C56" s="580">
        <f t="shared" ca="1" si="24"/>
        <v>46199.958333333343</v>
      </c>
      <c r="D56" s="607"/>
      <c r="P56" s="16">
        <v>54</v>
      </c>
      <c r="Q56" s="16" t="s">
        <v>1476</v>
      </c>
      <c r="R56" s="16">
        <f t="shared" ca="1" si="22"/>
        <v>-7</v>
      </c>
      <c r="S56" s="610">
        <f t="shared" ca="1" si="22"/>
        <v>0.29166666666666669</v>
      </c>
      <c r="T56" s="16">
        <f t="shared" ca="1" si="22"/>
        <v>0</v>
      </c>
      <c r="U56" s="16">
        <f t="shared" ca="1" si="22"/>
        <v>-3</v>
      </c>
      <c r="V56" s="610">
        <f t="shared" ca="1" si="22"/>
        <v>0.125</v>
      </c>
      <c r="W56" s="16">
        <f t="shared" ca="1" si="23"/>
        <v>-1</v>
      </c>
      <c r="X56" s="16"/>
      <c r="AA56" s="16">
        <v>54</v>
      </c>
      <c r="AB56" s="16" t="s">
        <v>1476</v>
      </c>
      <c r="AC56" s="16">
        <v>-7</v>
      </c>
      <c r="AD56" s="610">
        <f t="shared" si="15"/>
        <v>0.29166666666666669</v>
      </c>
      <c r="AE56" s="16">
        <v>0</v>
      </c>
      <c r="AF56" s="16">
        <f t="shared" ca="1" si="16"/>
        <v>-3</v>
      </c>
      <c r="AG56" s="610">
        <f t="shared" ca="1" si="17"/>
        <v>0.125</v>
      </c>
      <c r="AH56" s="16">
        <f t="shared" ca="1" si="18"/>
        <v>-1</v>
      </c>
      <c r="AI56" s="16"/>
    </row>
    <row r="57" spans="1:35" x14ac:dyDescent="0.2">
      <c r="A57" s="580">
        <v>46199.958333333343</v>
      </c>
      <c r="B57" s="16"/>
      <c r="C57" s="580">
        <f t="shared" ca="1" si="24"/>
        <v>46199.958333333343</v>
      </c>
      <c r="D57" s="607"/>
      <c r="P57" s="16">
        <v>55</v>
      </c>
      <c r="Q57" s="16" t="s">
        <v>1477</v>
      </c>
      <c r="R57" s="16">
        <f t="shared" ca="1" si="22"/>
        <v>-6</v>
      </c>
      <c r="S57" s="610">
        <f t="shared" ca="1" si="22"/>
        <v>0.25</v>
      </c>
      <c r="T57" s="16">
        <f t="shared" ca="1" si="22"/>
        <v>0</v>
      </c>
      <c r="U57" s="16">
        <f t="shared" ca="1" si="22"/>
        <v>-2</v>
      </c>
      <c r="V57" s="610">
        <f t="shared" ca="1" si="22"/>
        <v>8.3333333333333329E-2</v>
      </c>
      <c r="W57" s="16">
        <f t="shared" ca="1" si="23"/>
        <v>-1</v>
      </c>
      <c r="X57" s="16"/>
      <c r="AA57" s="16">
        <v>55</v>
      </c>
      <c r="AB57" s="16" t="s">
        <v>1477</v>
      </c>
      <c r="AC57" s="16">
        <v>-6</v>
      </c>
      <c r="AD57" s="610">
        <f t="shared" si="15"/>
        <v>0.25</v>
      </c>
      <c r="AE57" s="16">
        <v>0</v>
      </c>
      <c r="AF57" s="16">
        <f t="shared" ca="1" si="16"/>
        <v>-2</v>
      </c>
      <c r="AG57" s="610">
        <f t="shared" ca="1" si="17"/>
        <v>8.3333333333333329E-2</v>
      </c>
      <c r="AH57" s="16">
        <f t="shared" ca="1" si="18"/>
        <v>-1</v>
      </c>
      <c r="AI57" s="16"/>
    </row>
    <row r="58" spans="1:35" x14ac:dyDescent="0.2">
      <c r="A58" s="16"/>
      <c r="B58" s="16"/>
      <c r="C58" s="580"/>
      <c r="P58" s="16">
        <v>56</v>
      </c>
      <c r="Q58" s="16" t="s">
        <v>1478</v>
      </c>
      <c r="R58" s="16">
        <f t="shared" ca="1" si="22"/>
        <v>-5</v>
      </c>
      <c r="S58" s="610">
        <f t="shared" ca="1" si="22"/>
        <v>0.20833333333333334</v>
      </c>
      <c r="T58" s="16">
        <f t="shared" ca="1" si="22"/>
        <v>0</v>
      </c>
      <c r="U58" s="16">
        <f t="shared" ca="1" si="22"/>
        <v>-1</v>
      </c>
      <c r="V58" s="610">
        <f t="shared" ca="1" si="22"/>
        <v>4.1666666666666664E-2</v>
      </c>
      <c r="W58" s="16">
        <f t="shared" ca="1" si="23"/>
        <v>-1</v>
      </c>
      <c r="X58" s="16"/>
      <c r="AA58" s="16">
        <v>56</v>
      </c>
      <c r="AB58" s="16" t="s">
        <v>1478</v>
      </c>
      <c r="AC58" s="16">
        <v>-5</v>
      </c>
      <c r="AD58" s="610">
        <f t="shared" si="15"/>
        <v>0.20833333333333334</v>
      </c>
      <c r="AE58" s="16">
        <v>0</v>
      </c>
      <c r="AF58" s="16">
        <f t="shared" ca="1" si="16"/>
        <v>-1</v>
      </c>
      <c r="AG58" s="610">
        <f t="shared" ca="1" si="17"/>
        <v>4.1666666666666664E-2</v>
      </c>
      <c r="AH58" s="16">
        <f t="shared" ca="1" si="18"/>
        <v>-1</v>
      </c>
      <c r="AI58" s="16"/>
    </row>
    <row r="59" spans="1:35" x14ac:dyDescent="0.2">
      <c r="A59" s="9" t="s">
        <v>1479</v>
      </c>
      <c r="B59" s="16"/>
      <c r="C59" s="580"/>
      <c r="P59" s="16">
        <v>57</v>
      </c>
      <c r="Q59" s="16" t="s">
        <v>1</v>
      </c>
      <c r="R59" s="16">
        <f t="shared" ca="1" si="22"/>
        <v>-4</v>
      </c>
      <c r="S59" s="610">
        <f t="shared" ca="1" si="22"/>
        <v>0.16666666666666666</v>
      </c>
      <c r="T59" s="16">
        <f t="shared" ca="1" si="22"/>
        <v>0</v>
      </c>
      <c r="U59" s="16">
        <f t="shared" ca="1" si="22"/>
        <v>0</v>
      </c>
      <c r="V59" s="610">
        <f t="shared" ca="1" si="22"/>
        <v>0</v>
      </c>
      <c r="W59" s="16">
        <f t="shared" ca="1" si="23"/>
        <v>0</v>
      </c>
      <c r="X59" s="16"/>
      <c r="AA59" s="16">
        <v>57</v>
      </c>
      <c r="AB59" s="16" t="s">
        <v>1</v>
      </c>
      <c r="AC59" s="16">
        <v>-4</v>
      </c>
      <c r="AD59" s="610">
        <f t="shared" si="15"/>
        <v>0.16666666666666666</v>
      </c>
      <c r="AE59" s="16">
        <v>0</v>
      </c>
      <c r="AF59" s="16">
        <f t="shared" ca="1" si="16"/>
        <v>0</v>
      </c>
      <c r="AG59" s="610">
        <f t="shared" ca="1" si="17"/>
        <v>0</v>
      </c>
      <c r="AH59" s="16">
        <f t="shared" ca="1" si="18"/>
        <v>0</v>
      </c>
      <c r="AI59" s="16"/>
    </row>
    <row r="60" spans="1:35" x14ac:dyDescent="0.2">
      <c r="A60" s="580">
        <v>46188.5</v>
      </c>
      <c r="B60" s="16"/>
      <c r="C60" s="580">
        <f t="shared" ref="C60:C65" ca="1" si="25">A60+INDEX($V$3:$V$86,MATCH($C$3,$P$3:$P$86,0))*INDEX($W$3:$W$86,MATCH($C$3,$P$3:$P$86,0))</f>
        <v>46188.5</v>
      </c>
      <c r="D60" s="607"/>
      <c r="P60" s="16">
        <v>58</v>
      </c>
      <c r="Q60" s="16" t="s">
        <v>1480</v>
      </c>
      <c r="R60" s="16">
        <f t="shared" ca="1" si="22"/>
        <v>-3.5</v>
      </c>
      <c r="S60" s="610">
        <f t="shared" ca="1" si="22"/>
        <v>0.14583333333333334</v>
      </c>
      <c r="T60" s="16">
        <f t="shared" ca="1" si="22"/>
        <v>0</v>
      </c>
      <c r="U60" s="16">
        <f t="shared" ca="1" si="22"/>
        <v>0.5</v>
      </c>
      <c r="V60" s="610">
        <f t="shared" ca="1" si="22"/>
        <v>2.0833333333333332E-2</v>
      </c>
      <c r="W60" s="16">
        <f t="shared" ca="1" si="23"/>
        <v>1</v>
      </c>
      <c r="X60" s="16"/>
      <c r="AA60" s="16">
        <v>58</v>
      </c>
      <c r="AB60" s="16" t="s">
        <v>1480</v>
      </c>
      <c r="AC60" s="16">
        <v>-3.5</v>
      </c>
      <c r="AD60" s="610">
        <f t="shared" si="15"/>
        <v>0.14583333333333334</v>
      </c>
      <c r="AE60" s="16">
        <v>0</v>
      </c>
      <c r="AF60" s="16">
        <f t="shared" ca="1" si="16"/>
        <v>0.5</v>
      </c>
      <c r="AG60" s="610">
        <f t="shared" ca="1" si="17"/>
        <v>2.0833333333333332E-2</v>
      </c>
      <c r="AH60" s="16">
        <f t="shared" ca="1" si="18"/>
        <v>1</v>
      </c>
      <c r="AI60" s="16"/>
    </row>
    <row r="61" spans="1:35" x14ac:dyDescent="0.2">
      <c r="A61" s="580">
        <v>46188.75</v>
      </c>
      <c r="B61" s="16"/>
      <c r="C61" s="580">
        <f t="shared" ca="1" si="25"/>
        <v>46188.75</v>
      </c>
      <c r="D61" s="607"/>
      <c r="P61" s="16">
        <v>59</v>
      </c>
      <c r="Q61" s="16" t="s">
        <v>1481</v>
      </c>
      <c r="R61" s="16">
        <f t="shared" ref="R61:V70" ca="1" si="26">+INDEX($AC$3:$AH$86,MATCH($Q61,$AB$3:$AB$86,0),MATCH(R$2,$AC$2:$AH$2,0))</f>
        <v>-3</v>
      </c>
      <c r="S61" s="610">
        <f t="shared" ca="1" si="26"/>
        <v>0.125</v>
      </c>
      <c r="T61" s="16">
        <f t="shared" ca="1" si="26"/>
        <v>0</v>
      </c>
      <c r="U61" s="16">
        <f t="shared" ca="1" si="26"/>
        <v>1</v>
      </c>
      <c r="V61" s="610">
        <f t="shared" ca="1" si="26"/>
        <v>4.1666666666666664E-2</v>
      </c>
      <c r="W61" s="16">
        <f t="shared" ca="1" si="23"/>
        <v>1</v>
      </c>
      <c r="X61" s="16"/>
      <c r="AA61" s="16">
        <v>59</v>
      </c>
      <c r="AB61" s="16" t="s">
        <v>1481</v>
      </c>
      <c r="AC61" s="16">
        <v>-3</v>
      </c>
      <c r="AD61" s="610">
        <f t="shared" si="15"/>
        <v>0.125</v>
      </c>
      <c r="AE61" s="16">
        <v>0</v>
      </c>
      <c r="AF61" s="16">
        <f t="shared" ca="1" si="16"/>
        <v>1</v>
      </c>
      <c r="AG61" s="610">
        <f t="shared" ca="1" si="17"/>
        <v>4.1666666666666664E-2</v>
      </c>
      <c r="AH61" s="16">
        <f t="shared" ca="1" si="18"/>
        <v>1</v>
      </c>
      <c r="AI61" s="16"/>
    </row>
    <row r="62" spans="1:35" x14ac:dyDescent="0.2">
      <c r="A62" s="580">
        <v>46194.5</v>
      </c>
      <c r="B62" s="16"/>
      <c r="C62" s="580">
        <f t="shared" ca="1" si="25"/>
        <v>46194.5</v>
      </c>
      <c r="D62" s="607"/>
      <c r="P62" s="16">
        <v>60</v>
      </c>
      <c r="Q62" s="16" t="s">
        <v>1482</v>
      </c>
      <c r="R62" s="16">
        <f t="shared" ca="1" si="26"/>
        <v>-2</v>
      </c>
      <c r="S62" s="610">
        <f t="shared" ca="1" si="26"/>
        <v>8.3333333333333329E-2</v>
      </c>
      <c r="T62" s="16">
        <f t="shared" ca="1" si="26"/>
        <v>0</v>
      </c>
      <c r="U62" s="16">
        <f t="shared" ca="1" si="26"/>
        <v>2</v>
      </c>
      <c r="V62" s="610">
        <f t="shared" ca="1" si="26"/>
        <v>8.3333333333333329E-2</v>
      </c>
      <c r="W62" s="16">
        <f t="shared" ca="1" si="23"/>
        <v>1</v>
      </c>
      <c r="X62" s="16"/>
      <c r="AA62" s="16">
        <v>60</v>
      </c>
      <c r="AB62" s="16" t="s">
        <v>1482</v>
      </c>
      <c r="AC62" s="16">
        <v>-2</v>
      </c>
      <c r="AD62" s="610">
        <f t="shared" si="15"/>
        <v>8.3333333333333329E-2</v>
      </c>
      <c r="AE62" s="16">
        <v>0</v>
      </c>
      <c r="AF62" s="16">
        <f t="shared" ca="1" si="16"/>
        <v>2</v>
      </c>
      <c r="AG62" s="610">
        <f t="shared" ca="1" si="17"/>
        <v>8.3333333333333329E-2</v>
      </c>
      <c r="AH62" s="16">
        <f t="shared" ca="1" si="18"/>
        <v>1</v>
      </c>
      <c r="AI62" s="16"/>
    </row>
    <row r="63" spans="1:35" x14ac:dyDescent="0.2">
      <c r="A63" s="580">
        <v>46194.75</v>
      </c>
      <c r="B63" s="16"/>
      <c r="C63" s="580">
        <f t="shared" ca="1" si="25"/>
        <v>46194.75</v>
      </c>
      <c r="D63" s="607"/>
      <c r="P63" s="16">
        <v>61</v>
      </c>
      <c r="Q63" s="16" t="s">
        <v>1483</v>
      </c>
      <c r="R63" s="16">
        <f t="shared" ca="1" si="26"/>
        <v>-1</v>
      </c>
      <c r="S63" s="610">
        <f t="shared" ca="1" si="26"/>
        <v>4.1666666666666664E-2</v>
      </c>
      <c r="T63" s="16">
        <f t="shared" ca="1" si="26"/>
        <v>0</v>
      </c>
      <c r="U63" s="16">
        <f t="shared" ca="1" si="26"/>
        <v>3</v>
      </c>
      <c r="V63" s="610">
        <f t="shared" ca="1" si="26"/>
        <v>0.125</v>
      </c>
      <c r="W63" s="16">
        <f t="shared" ca="1" si="23"/>
        <v>1</v>
      </c>
      <c r="X63" s="16"/>
      <c r="AA63" s="16">
        <v>61</v>
      </c>
      <c r="AB63" s="16" t="s">
        <v>1483</v>
      </c>
      <c r="AC63" s="16">
        <v>-1</v>
      </c>
      <c r="AD63" s="610">
        <f t="shared" si="15"/>
        <v>4.1666666666666664E-2</v>
      </c>
      <c r="AE63" s="16">
        <v>0</v>
      </c>
      <c r="AF63" s="16">
        <f t="shared" ca="1" si="16"/>
        <v>3</v>
      </c>
      <c r="AG63" s="610">
        <f t="shared" ca="1" si="17"/>
        <v>0.125</v>
      </c>
      <c r="AH63" s="16">
        <f t="shared" ca="1" si="18"/>
        <v>1</v>
      </c>
      <c r="AI63" s="16"/>
    </row>
    <row r="64" spans="1:35" x14ac:dyDescent="0.2">
      <c r="A64" s="580">
        <v>46199.833333333343</v>
      </c>
      <c r="B64" s="16"/>
      <c r="C64" s="580">
        <f t="shared" ca="1" si="25"/>
        <v>46199.833333333343</v>
      </c>
      <c r="D64" s="607"/>
      <c r="P64" s="16">
        <v>62</v>
      </c>
      <c r="Q64" s="16" t="s">
        <v>1456</v>
      </c>
      <c r="R64" s="16">
        <f t="shared" ca="1" si="26"/>
        <v>0</v>
      </c>
      <c r="S64" s="610">
        <f t="shared" ca="1" si="26"/>
        <v>0</v>
      </c>
      <c r="T64" s="16">
        <f t="shared" ca="1" si="26"/>
        <v>0</v>
      </c>
      <c r="U64" s="16">
        <f t="shared" ca="1" si="26"/>
        <v>4</v>
      </c>
      <c r="V64" s="610">
        <f t="shared" ca="1" si="26"/>
        <v>0.16666666666666666</v>
      </c>
      <c r="W64" s="16">
        <f t="shared" ca="1" si="23"/>
        <v>1</v>
      </c>
      <c r="X64" s="16"/>
      <c r="AA64" s="16">
        <v>62</v>
      </c>
      <c r="AB64" s="16" t="s">
        <v>1456</v>
      </c>
      <c r="AC64" s="16">
        <v>0</v>
      </c>
      <c r="AD64" s="610">
        <f t="shared" si="15"/>
        <v>0</v>
      </c>
      <c r="AE64" s="16">
        <v>0</v>
      </c>
      <c r="AF64" s="16">
        <f t="shared" ca="1" si="16"/>
        <v>4</v>
      </c>
      <c r="AG64" s="610">
        <f t="shared" ca="1" si="17"/>
        <v>0.16666666666666666</v>
      </c>
      <c r="AH64" s="16">
        <f t="shared" ca="1" si="18"/>
        <v>1</v>
      </c>
      <c r="AI64" s="16"/>
    </row>
    <row r="65" spans="1:35" x14ac:dyDescent="0.2">
      <c r="A65" s="580">
        <v>46199.833333333343</v>
      </c>
      <c r="B65" s="16"/>
      <c r="C65" s="580">
        <f t="shared" ca="1" si="25"/>
        <v>46199.833333333343</v>
      </c>
      <c r="D65" s="607"/>
      <c r="P65" s="16">
        <v>63</v>
      </c>
      <c r="Q65" s="16" t="s">
        <v>1484</v>
      </c>
      <c r="R65" s="16">
        <f t="shared" ca="1" si="26"/>
        <v>1</v>
      </c>
      <c r="S65" s="610">
        <f t="shared" ca="1" si="26"/>
        <v>4.1666666666666664E-2</v>
      </c>
      <c r="T65" s="16">
        <f t="shared" ca="1" si="26"/>
        <v>0</v>
      </c>
      <c r="U65" s="16">
        <f t="shared" ca="1" si="26"/>
        <v>5</v>
      </c>
      <c r="V65" s="610">
        <f t="shared" ca="1" si="26"/>
        <v>0.20833333333333334</v>
      </c>
      <c r="W65" s="16">
        <f t="shared" ca="1" si="23"/>
        <v>1</v>
      </c>
      <c r="X65" s="16"/>
      <c r="AA65" s="16">
        <v>63</v>
      </c>
      <c r="AB65" s="16" t="s">
        <v>1484</v>
      </c>
      <c r="AC65" s="16">
        <v>1</v>
      </c>
      <c r="AD65" s="610">
        <f t="shared" si="15"/>
        <v>4.1666666666666664E-2</v>
      </c>
      <c r="AE65" s="16">
        <v>0</v>
      </c>
      <c r="AF65" s="16">
        <f t="shared" ca="1" si="16"/>
        <v>5</v>
      </c>
      <c r="AG65" s="610">
        <f t="shared" ca="1" si="17"/>
        <v>0.20833333333333334</v>
      </c>
      <c r="AH65" s="16">
        <f t="shared" ca="1" si="18"/>
        <v>1</v>
      </c>
      <c r="AI65" s="16"/>
    </row>
    <row r="66" spans="1:35" x14ac:dyDescent="0.2">
      <c r="A66" s="16"/>
      <c r="B66" s="16"/>
      <c r="C66" s="580"/>
      <c r="P66" s="16">
        <v>64</v>
      </c>
      <c r="Q66" s="16" t="s">
        <v>1485</v>
      </c>
      <c r="R66" s="16">
        <f t="shared" ca="1" si="26"/>
        <v>2</v>
      </c>
      <c r="S66" s="610">
        <f t="shared" ca="1" si="26"/>
        <v>8.3333333333333329E-2</v>
      </c>
      <c r="T66" s="16">
        <f t="shared" ca="1" si="26"/>
        <v>0</v>
      </c>
      <c r="U66" s="16">
        <f t="shared" ca="1" si="26"/>
        <v>6</v>
      </c>
      <c r="V66" s="610">
        <f t="shared" ca="1" si="26"/>
        <v>0.25</v>
      </c>
      <c r="W66" s="16">
        <f t="shared" ca="1" si="23"/>
        <v>1</v>
      </c>
      <c r="X66" s="16"/>
      <c r="AA66" s="16">
        <v>64</v>
      </c>
      <c r="AB66" s="16" t="s">
        <v>1485</v>
      </c>
      <c r="AC66" s="16">
        <v>2</v>
      </c>
      <c r="AD66" s="610">
        <f t="shared" si="15"/>
        <v>8.3333333333333329E-2</v>
      </c>
      <c r="AE66" s="16">
        <v>0</v>
      </c>
      <c r="AF66" s="16">
        <f t="shared" ca="1" si="16"/>
        <v>6</v>
      </c>
      <c r="AG66" s="610">
        <f t="shared" ca="1" si="17"/>
        <v>0.25</v>
      </c>
      <c r="AH66" s="16">
        <f t="shared" ca="1" si="18"/>
        <v>1</v>
      </c>
      <c r="AI66" s="16"/>
    </row>
    <row r="67" spans="1:35" x14ac:dyDescent="0.2">
      <c r="A67" s="9" t="s">
        <v>1486</v>
      </c>
      <c r="B67" s="16"/>
      <c r="C67" s="580"/>
      <c r="P67" s="16">
        <v>65</v>
      </c>
      <c r="Q67" s="16" t="s">
        <v>1487</v>
      </c>
      <c r="R67" s="16">
        <f t="shared" ca="1" si="26"/>
        <v>3</v>
      </c>
      <c r="S67" s="610">
        <f t="shared" ca="1" si="26"/>
        <v>0.125</v>
      </c>
      <c r="T67" s="16">
        <f t="shared" ca="1" si="26"/>
        <v>0</v>
      </c>
      <c r="U67" s="16">
        <f t="shared" ca="1" si="26"/>
        <v>7</v>
      </c>
      <c r="V67" s="610">
        <f t="shared" ca="1" si="26"/>
        <v>0.29166666666666669</v>
      </c>
      <c r="W67" s="16">
        <f t="shared" ca="1" si="23"/>
        <v>1</v>
      </c>
      <c r="X67" s="16"/>
      <c r="AA67" s="16">
        <v>65</v>
      </c>
      <c r="AB67" s="16" t="s">
        <v>1487</v>
      </c>
      <c r="AC67" s="16">
        <v>3</v>
      </c>
      <c r="AD67" s="610">
        <f t="shared" ref="AD67:AD86" si="27">ABS(AC67/24)</f>
        <v>0.125</v>
      </c>
      <c r="AE67" s="16">
        <v>0</v>
      </c>
      <c r="AF67" s="16">
        <f t="shared" ref="AF67:AF86" ca="1" si="28">AC67-$M$2</f>
        <v>7</v>
      </c>
      <c r="AG67" s="610">
        <f t="shared" ref="AG67:AG86" ca="1" si="29">ABS(AF67/24)</f>
        <v>0.29166666666666669</v>
      </c>
      <c r="AH67" s="16">
        <f t="shared" ref="AH67:AH86" ca="1" si="30">IF(AC67&gt;$M$2,1,IF(AC67=$M$2,0,-1))</f>
        <v>1</v>
      </c>
      <c r="AI67" s="16"/>
    </row>
    <row r="68" spans="1:35" x14ac:dyDescent="0.2">
      <c r="A68" s="580">
        <v>46189.625</v>
      </c>
      <c r="B68" s="16"/>
      <c r="C68" s="580">
        <f t="shared" ref="C68:C73" ca="1" si="31">A68+INDEX($V$3:$V$86,MATCH($C$3,$P$3:$P$86,0))*INDEX($W$3:$W$86,MATCH($C$3,$P$3:$P$86,0))</f>
        <v>46189.625</v>
      </c>
      <c r="D68" s="607"/>
      <c r="P68" s="16">
        <v>66</v>
      </c>
      <c r="Q68" s="16" t="s">
        <v>1488</v>
      </c>
      <c r="R68" s="16">
        <f t="shared" ca="1" si="26"/>
        <v>3.5</v>
      </c>
      <c r="S68" s="610">
        <f t="shared" ca="1" si="26"/>
        <v>0.14583333333333334</v>
      </c>
      <c r="T68" s="16">
        <f t="shared" ca="1" si="26"/>
        <v>0</v>
      </c>
      <c r="U68" s="16">
        <f t="shared" ca="1" si="26"/>
        <v>7.5</v>
      </c>
      <c r="V68" s="610">
        <f t="shared" ca="1" si="26"/>
        <v>0.3125</v>
      </c>
      <c r="W68" s="16">
        <f t="shared" ca="1" si="23"/>
        <v>1</v>
      </c>
      <c r="X68" s="16"/>
      <c r="AA68" s="16">
        <v>66</v>
      </c>
      <c r="AB68" s="16" t="s">
        <v>1488</v>
      </c>
      <c r="AC68" s="16">
        <v>3.5</v>
      </c>
      <c r="AD68" s="610">
        <f t="shared" si="27"/>
        <v>0.14583333333333334</v>
      </c>
      <c r="AE68" s="16">
        <v>0</v>
      </c>
      <c r="AF68" s="16">
        <f t="shared" ca="1" si="28"/>
        <v>7.5</v>
      </c>
      <c r="AG68" s="610">
        <f t="shared" ca="1" si="29"/>
        <v>0.3125</v>
      </c>
      <c r="AH68" s="16">
        <f t="shared" ca="1" si="30"/>
        <v>1</v>
      </c>
      <c r="AI68" s="16"/>
    </row>
    <row r="69" spans="1:35" x14ac:dyDescent="0.2">
      <c r="A69" s="580">
        <v>46189.75</v>
      </c>
      <c r="B69" s="16"/>
      <c r="C69" s="580">
        <f t="shared" ca="1" si="31"/>
        <v>46189.75</v>
      </c>
      <c r="D69" s="607"/>
      <c r="P69" s="16">
        <v>67</v>
      </c>
      <c r="Q69" s="16" t="s">
        <v>1489</v>
      </c>
      <c r="R69" s="16">
        <f t="shared" ca="1" si="26"/>
        <v>4</v>
      </c>
      <c r="S69" s="610">
        <f t="shared" ca="1" si="26"/>
        <v>0.16666666666666666</v>
      </c>
      <c r="T69" s="16">
        <f t="shared" ca="1" si="26"/>
        <v>0</v>
      </c>
      <c r="U69" s="16">
        <f t="shared" ca="1" si="26"/>
        <v>8</v>
      </c>
      <c r="V69" s="610">
        <f t="shared" ca="1" si="26"/>
        <v>0.33333333333333331</v>
      </c>
      <c r="W69" s="16">
        <f t="shared" ca="1" si="23"/>
        <v>1</v>
      </c>
      <c r="X69" s="16"/>
      <c r="AA69" s="16">
        <v>67</v>
      </c>
      <c r="AB69" s="16" t="s">
        <v>1489</v>
      </c>
      <c r="AC69" s="16">
        <v>4</v>
      </c>
      <c r="AD69" s="610">
        <f t="shared" si="27"/>
        <v>0.16666666666666666</v>
      </c>
      <c r="AE69" s="16">
        <v>0</v>
      </c>
      <c r="AF69" s="16">
        <f t="shared" ca="1" si="28"/>
        <v>8</v>
      </c>
      <c r="AG69" s="610">
        <f t="shared" ca="1" si="29"/>
        <v>0.33333333333333331</v>
      </c>
      <c r="AH69" s="16">
        <f t="shared" ca="1" si="30"/>
        <v>1</v>
      </c>
      <c r="AI69" s="16"/>
    </row>
    <row r="70" spans="1:35" x14ac:dyDescent="0.2">
      <c r="A70" s="580">
        <v>46195.708333333343</v>
      </c>
      <c r="B70" s="16"/>
      <c r="C70" s="580">
        <f t="shared" ca="1" si="31"/>
        <v>46195.708333333343</v>
      </c>
      <c r="D70" s="607"/>
      <c r="P70" s="16">
        <v>68</v>
      </c>
      <c r="Q70" s="16" t="s">
        <v>1490</v>
      </c>
      <c r="R70" s="16">
        <f t="shared" ca="1" si="26"/>
        <v>4.5</v>
      </c>
      <c r="S70" s="610">
        <f t="shared" ca="1" si="26"/>
        <v>0.1875</v>
      </c>
      <c r="T70" s="16">
        <f t="shared" ca="1" si="26"/>
        <v>0</v>
      </c>
      <c r="U70" s="16">
        <f t="shared" ca="1" si="26"/>
        <v>8.5</v>
      </c>
      <c r="V70" s="610">
        <f t="shared" ca="1" si="26"/>
        <v>0.35416666666666669</v>
      </c>
      <c r="W70" s="16">
        <f t="shared" ca="1" si="23"/>
        <v>1</v>
      </c>
      <c r="X70" s="16"/>
      <c r="AA70" s="16">
        <v>68</v>
      </c>
      <c r="AB70" s="16" t="s">
        <v>1490</v>
      </c>
      <c r="AC70" s="16">
        <v>4.5</v>
      </c>
      <c r="AD70" s="610">
        <f t="shared" si="27"/>
        <v>0.1875</v>
      </c>
      <c r="AE70" s="16">
        <v>0</v>
      </c>
      <c r="AF70" s="16">
        <f t="shared" ca="1" si="28"/>
        <v>8.5</v>
      </c>
      <c r="AG70" s="610">
        <f t="shared" ca="1" si="29"/>
        <v>0.35416666666666669</v>
      </c>
      <c r="AH70" s="16">
        <f t="shared" ca="1" si="30"/>
        <v>1</v>
      </c>
      <c r="AI70" s="16"/>
    </row>
    <row r="71" spans="1:35" x14ac:dyDescent="0.2">
      <c r="A71" s="580">
        <v>46195.833333333343</v>
      </c>
      <c r="B71" s="16"/>
      <c r="C71" s="580">
        <f t="shared" ca="1" si="31"/>
        <v>46195.833333333343</v>
      </c>
      <c r="D71" s="607"/>
      <c r="P71" s="16">
        <v>69</v>
      </c>
      <c r="Q71" s="16" t="s">
        <v>1491</v>
      </c>
      <c r="R71" s="16">
        <f t="shared" ref="R71:V80" ca="1" si="32">+INDEX($AC$3:$AH$86,MATCH($Q71,$AB$3:$AB$86,0),MATCH(R$2,$AC$2:$AH$2,0))</f>
        <v>5</v>
      </c>
      <c r="S71" s="610">
        <f t="shared" ca="1" si="32"/>
        <v>0.20833333333333334</v>
      </c>
      <c r="T71" s="16">
        <f t="shared" ca="1" si="32"/>
        <v>0</v>
      </c>
      <c r="U71" s="16">
        <f t="shared" ca="1" si="32"/>
        <v>9</v>
      </c>
      <c r="V71" s="610">
        <f t="shared" ca="1" si="32"/>
        <v>0.375</v>
      </c>
      <c r="W71" s="16">
        <f t="shared" ca="1" si="23"/>
        <v>1</v>
      </c>
      <c r="X71" s="16"/>
      <c r="AA71" s="16">
        <v>69</v>
      </c>
      <c r="AB71" s="16" t="s">
        <v>1491</v>
      </c>
      <c r="AC71" s="16">
        <v>5</v>
      </c>
      <c r="AD71" s="610">
        <f t="shared" si="27"/>
        <v>0.20833333333333334</v>
      </c>
      <c r="AE71" s="16">
        <v>0</v>
      </c>
      <c r="AF71" s="16">
        <f t="shared" ca="1" si="28"/>
        <v>9</v>
      </c>
      <c r="AG71" s="610">
        <f t="shared" ca="1" si="29"/>
        <v>0.375</v>
      </c>
      <c r="AH71" s="16">
        <f t="shared" ca="1" si="30"/>
        <v>1</v>
      </c>
      <c r="AI71" s="16"/>
    </row>
    <row r="72" spans="1:35" x14ac:dyDescent="0.2">
      <c r="A72" s="580">
        <v>46199.625</v>
      </c>
      <c r="B72" s="16"/>
      <c r="C72" s="580">
        <f t="shared" ca="1" si="31"/>
        <v>46199.625</v>
      </c>
      <c r="D72" s="607"/>
      <c r="P72" s="16">
        <v>70</v>
      </c>
      <c r="Q72" s="16" t="s">
        <v>1492</v>
      </c>
      <c r="R72" s="16">
        <f t="shared" ca="1" si="32"/>
        <v>5.5</v>
      </c>
      <c r="S72" s="610">
        <f t="shared" ca="1" si="32"/>
        <v>0.22916666666666666</v>
      </c>
      <c r="T72" s="16">
        <f t="shared" ca="1" si="32"/>
        <v>0</v>
      </c>
      <c r="U72" s="16">
        <f t="shared" ca="1" si="32"/>
        <v>9.5</v>
      </c>
      <c r="V72" s="610">
        <f t="shared" ca="1" si="32"/>
        <v>0.39583333333333331</v>
      </c>
      <c r="W72" s="16">
        <f t="shared" ca="1" si="23"/>
        <v>1</v>
      </c>
      <c r="X72" s="16"/>
      <c r="AA72" s="16">
        <v>70</v>
      </c>
      <c r="AB72" s="16" t="s">
        <v>1492</v>
      </c>
      <c r="AC72" s="16">
        <v>5.5</v>
      </c>
      <c r="AD72" s="610">
        <f t="shared" si="27"/>
        <v>0.22916666666666666</v>
      </c>
      <c r="AE72" s="16">
        <v>0</v>
      </c>
      <c r="AF72" s="16">
        <f t="shared" ca="1" si="28"/>
        <v>9.5</v>
      </c>
      <c r="AG72" s="610">
        <f t="shared" ca="1" si="29"/>
        <v>0.39583333333333331</v>
      </c>
      <c r="AH72" s="16">
        <f t="shared" ca="1" si="30"/>
        <v>1</v>
      </c>
      <c r="AI72" s="16"/>
    </row>
    <row r="73" spans="1:35" x14ac:dyDescent="0.2">
      <c r="A73" s="580">
        <v>46199.625</v>
      </c>
      <c r="B73" s="16"/>
      <c r="C73" s="580">
        <f t="shared" ca="1" si="31"/>
        <v>46199.625</v>
      </c>
      <c r="D73" s="607"/>
      <c r="P73" s="16">
        <v>71</v>
      </c>
      <c r="Q73" s="16" t="s">
        <v>1493</v>
      </c>
      <c r="R73" s="16">
        <f t="shared" ca="1" si="32"/>
        <v>5.75</v>
      </c>
      <c r="S73" s="610">
        <f t="shared" ca="1" si="32"/>
        <v>0.23958333333333334</v>
      </c>
      <c r="T73" s="16">
        <f t="shared" ca="1" si="32"/>
        <v>0</v>
      </c>
      <c r="U73" s="16">
        <f t="shared" ca="1" si="32"/>
        <v>9.75</v>
      </c>
      <c r="V73" s="610">
        <f t="shared" ca="1" si="32"/>
        <v>0.40625</v>
      </c>
      <c r="W73" s="16">
        <f t="shared" ca="1" si="23"/>
        <v>1</v>
      </c>
      <c r="X73" s="16"/>
      <c r="AA73" s="16">
        <v>71</v>
      </c>
      <c r="AB73" s="16" t="s">
        <v>1493</v>
      </c>
      <c r="AC73" s="16">
        <v>5.75</v>
      </c>
      <c r="AD73" s="610">
        <f t="shared" si="27"/>
        <v>0.23958333333333334</v>
      </c>
      <c r="AE73" s="16">
        <v>0</v>
      </c>
      <c r="AF73" s="16">
        <f t="shared" ca="1" si="28"/>
        <v>9.75</v>
      </c>
      <c r="AG73" s="610">
        <f t="shared" ca="1" si="29"/>
        <v>0.40625</v>
      </c>
      <c r="AH73" s="16">
        <f t="shared" ca="1" si="30"/>
        <v>1</v>
      </c>
      <c r="AI73" s="16"/>
    </row>
    <row r="74" spans="1:35" x14ac:dyDescent="0.2">
      <c r="A74" s="16"/>
      <c r="B74" s="16"/>
      <c r="C74" s="580"/>
      <c r="P74" s="16">
        <v>72</v>
      </c>
      <c r="Q74" s="16" t="s">
        <v>1494</v>
      </c>
      <c r="R74" s="16">
        <f t="shared" ca="1" si="32"/>
        <v>6</v>
      </c>
      <c r="S74" s="610">
        <f t="shared" ca="1" si="32"/>
        <v>0.25</v>
      </c>
      <c r="T74" s="16">
        <f t="shared" ca="1" si="32"/>
        <v>0</v>
      </c>
      <c r="U74" s="16">
        <f t="shared" ca="1" si="32"/>
        <v>10</v>
      </c>
      <c r="V74" s="610">
        <f t="shared" ca="1" si="32"/>
        <v>0.41666666666666669</v>
      </c>
      <c r="W74" s="16">
        <f t="shared" ca="1" si="23"/>
        <v>1</v>
      </c>
      <c r="X74" s="16"/>
      <c r="AA74" s="16">
        <v>72</v>
      </c>
      <c r="AB74" s="16" t="s">
        <v>1494</v>
      </c>
      <c r="AC74" s="16">
        <v>6</v>
      </c>
      <c r="AD74" s="610">
        <f t="shared" si="27"/>
        <v>0.25</v>
      </c>
      <c r="AE74" s="16">
        <v>0</v>
      </c>
      <c r="AF74" s="16">
        <f t="shared" ca="1" si="28"/>
        <v>10</v>
      </c>
      <c r="AG74" s="610">
        <f t="shared" ca="1" si="29"/>
        <v>0.41666666666666669</v>
      </c>
      <c r="AH74" s="16">
        <f t="shared" ca="1" si="30"/>
        <v>1</v>
      </c>
      <c r="AI74" s="16"/>
    </row>
    <row r="75" spans="1:35" x14ac:dyDescent="0.2">
      <c r="A75" s="9" t="s">
        <v>1495</v>
      </c>
      <c r="B75" s="16"/>
      <c r="C75" s="580"/>
      <c r="P75" s="16">
        <v>73</v>
      </c>
      <c r="Q75" s="16" t="s">
        <v>1496</v>
      </c>
      <c r="R75" s="16">
        <f t="shared" ca="1" si="32"/>
        <v>6.5</v>
      </c>
      <c r="S75" s="610">
        <f t="shared" ca="1" si="32"/>
        <v>0.27083333333333331</v>
      </c>
      <c r="T75" s="16">
        <f t="shared" ca="1" si="32"/>
        <v>0</v>
      </c>
      <c r="U75" s="16">
        <f t="shared" ca="1" si="32"/>
        <v>10.5</v>
      </c>
      <c r="V75" s="610">
        <f t="shared" ca="1" si="32"/>
        <v>0.4375</v>
      </c>
      <c r="W75" s="16">
        <f t="shared" ca="1" si="23"/>
        <v>1</v>
      </c>
      <c r="X75" s="16"/>
      <c r="AA75" s="16">
        <v>73</v>
      </c>
      <c r="AB75" s="16" t="s">
        <v>1496</v>
      </c>
      <c r="AC75" s="16">
        <v>6.5</v>
      </c>
      <c r="AD75" s="610">
        <f t="shared" si="27"/>
        <v>0.27083333333333331</v>
      </c>
      <c r="AE75" s="16">
        <v>0</v>
      </c>
      <c r="AF75" s="16">
        <f t="shared" ca="1" si="28"/>
        <v>10.5</v>
      </c>
      <c r="AG75" s="610">
        <f t="shared" ca="1" si="29"/>
        <v>0.4375</v>
      </c>
      <c r="AH75" s="16">
        <f t="shared" ca="1" si="30"/>
        <v>1</v>
      </c>
      <c r="AI75" s="16"/>
    </row>
    <row r="76" spans="1:35" x14ac:dyDescent="0.2">
      <c r="A76" s="580">
        <v>46189.875</v>
      </c>
      <c r="B76" s="16"/>
      <c r="C76" s="580">
        <f t="shared" ref="C76:C81" ca="1" si="33">A76+INDEX($V$3:$V$86,MATCH($C$3,$P$3:$P$86,0))*INDEX($W$3:$W$86,MATCH($C$3,$P$3:$P$86,0))</f>
        <v>46189.875</v>
      </c>
      <c r="D76" s="607"/>
      <c r="P76" s="16">
        <v>74</v>
      </c>
      <c r="Q76" s="16" t="s">
        <v>1497</v>
      </c>
      <c r="R76" s="16">
        <f t="shared" ca="1" si="32"/>
        <v>7</v>
      </c>
      <c r="S76" s="610">
        <f t="shared" ca="1" si="32"/>
        <v>0.29166666666666669</v>
      </c>
      <c r="T76" s="16">
        <f t="shared" ca="1" si="32"/>
        <v>0</v>
      </c>
      <c r="U76" s="16">
        <f t="shared" ca="1" si="32"/>
        <v>11</v>
      </c>
      <c r="V76" s="610">
        <f t="shared" ca="1" si="32"/>
        <v>0.45833333333333331</v>
      </c>
      <c r="W76" s="16">
        <f t="shared" ca="1" si="23"/>
        <v>1</v>
      </c>
      <c r="X76" s="16"/>
      <c r="AA76" s="16">
        <v>74</v>
      </c>
      <c r="AB76" s="16" t="s">
        <v>1497</v>
      </c>
      <c r="AC76" s="16">
        <v>7</v>
      </c>
      <c r="AD76" s="610">
        <f t="shared" si="27"/>
        <v>0.29166666666666669</v>
      </c>
      <c r="AE76" s="16">
        <v>0</v>
      </c>
      <c r="AF76" s="16">
        <f t="shared" ca="1" si="28"/>
        <v>11</v>
      </c>
      <c r="AG76" s="610">
        <f t="shared" ca="1" si="29"/>
        <v>0.45833333333333331</v>
      </c>
      <c r="AH76" s="16">
        <f t="shared" ca="1" si="30"/>
        <v>1</v>
      </c>
      <c r="AI76" s="16"/>
    </row>
    <row r="77" spans="1:35" x14ac:dyDescent="0.2">
      <c r="A77" s="580">
        <v>46190</v>
      </c>
      <c r="B77" s="16"/>
      <c r="C77" s="580">
        <f t="shared" ca="1" si="33"/>
        <v>46190</v>
      </c>
      <c r="D77" s="607"/>
      <c r="P77" s="16">
        <v>75</v>
      </c>
      <c r="Q77" s="16" t="s">
        <v>1498</v>
      </c>
      <c r="R77" s="16">
        <f t="shared" ca="1" si="32"/>
        <v>8</v>
      </c>
      <c r="S77" s="610">
        <f t="shared" ca="1" si="32"/>
        <v>0.33333333333333331</v>
      </c>
      <c r="T77" s="16">
        <f t="shared" ca="1" si="32"/>
        <v>0</v>
      </c>
      <c r="U77" s="16">
        <f t="shared" ca="1" si="32"/>
        <v>12</v>
      </c>
      <c r="V77" s="610">
        <f t="shared" ca="1" si="32"/>
        <v>0.5</v>
      </c>
      <c r="W77" s="16">
        <f t="shared" ca="1" si="23"/>
        <v>1</v>
      </c>
      <c r="X77" s="16"/>
      <c r="AA77" s="16">
        <v>75</v>
      </c>
      <c r="AB77" s="16" t="s">
        <v>1498</v>
      </c>
      <c r="AC77" s="16">
        <v>8</v>
      </c>
      <c r="AD77" s="610">
        <f t="shared" si="27"/>
        <v>0.33333333333333331</v>
      </c>
      <c r="AE77" s="16">
        <v>0</v>
      </c>
      <c r="AF77" s="16">
        <f t="shared" ca="1" si="28"/>
        <v>12</v>
      </c>
      <c r="AG77" s="610">
        <f t="shared" ca="1" si="29"/>
        <v>0.5</v>
      </c>
      <c r="AH77" s="16">
        <f t="shared" ca="1" si="30"/>
        <v>1</v>
      </c>
      <c r="AI77" s="16"/>
    </row>
    <row r="78" spans="1:35" x14ac:dyDescent="0.2">
      <c r="A78" s="580">
        <v>46195.541666666657</v>
      </c>
      <c r="B78" s="16"/>
      <c r="C78" s="580">
        <f t="shared" ca="1" si="33"/>
        <v>46195.541666666657</v>
      </c>
      <c r="D78" s="607"/>
      <c r="P78" s="16">
        <v>76</v>
      </c>
      <c r="Q78" s="16" t="s">
        <v>1499</v>
      </c>
      <c r="R78" s="16">
        <f t="shared" ca="1" si="32"/>
        <v>9</v>
      </c>
      <c r="S78" s="610">
        <f t="shared" ca="1" si="32"/>
        <v>0.375</v>
      </c>
      <c r="T78" s="16">
        <f t="shared" ca="1" si="32"/>
        <v>0</v>
      </c>
      <c r="U78" s="16">
        <f t="shared" ca="1" si="32"/>
        <v>13</v>
      </c>
      <c r="V78" s="610">
        <f t="shared" ca="1" si="32"/>
        <v>0.54166666666666663</v>
      </c>
      <c r="W78" s="16">
        <f t="shared" ca="1" si="23"/>
        <v>1</v>
      </c>
      <c r="X78" s="16"/>
      <c r="AA78" s="16">
        <v>76</v>
      </c>
      <c r="AB78" s="16" t="s">
        <v>1499</v>
      </c>
      <c r="AC78" s="16">
        <v>9</v>
      </c>
      <c r="AD78" s="610">
        <f t="shared" si="27"/>
        <v>0.375</v>
      </c>
      <c r="AE78" s="16">
        <v>0</v>
      </c>
      <c r="AF78" s="16">
        <f t="shared" ca="1" si="28"/>
        <v>13</v>
      </c>
      <c r="AG78" s="610">
        <f t="shared" ca="1" si="29"/>
        <v>0.54166666666666663</v>
      </c>
      <c r="AH78" s="16">
        <f t="shared" ca="1" si="30"/>
        <v>1</v>
      </c>
      <c r="AI78" s="16"/>
    </row>
    <row r="79" spans="1:35" x14ac:dyDescent="0.2">
      <c r="A79" s="580">
        <v>46195.958333333343</v>
      </c>
      <c r="B79" s="16"/>
      <c r="C79" s="580">
        <f t="shared" ca="1" si="33"/>
        <v>46195.958333333343</v>
      </c>
      <c r="D79" s="607"/>
      <c r="P79" s="16">
        <v>77</v>
      </c>
      <c r="Q79" s="16" t="s">
        <v>1500</v>
      </c>
      <c r="R79" s="16">
        <f t="shared" ca="1" si="32"/>
        <v>9.5</v>
      </c>
      <c r="S79" s="610">
        <f t="shared" ca="1" si="32"/>
        <v>0.39583333333333331</v>
      </c>
      <c r="T79" s="16">
        <f t="shared" ca="1" si="32"/>
        <v>0</v>
      </c>
      <c r="U79" s="16">
        <f t="shared" ca="1" si="32"/>
        <v>13.5</v>
      </c>
      <c r="V79" s="610">
        <f t="shared" ca="1" si="32"/>
        <v>0.5625</v>
      </c>
      <c r="W79" s="16">
        <f t="shared" ca="1" si="23"/>
        <v>1</v>
      </c>
      <c r="X79" s="16"/>
      <c r="AA79" s="16">
        <v>77</v>
      </c>
      <c r="AB79" s="16" t="s">
        <v>1500</v>
      </c>
      <c r="AC79" s="16">
        <v>9.5</v>
      </c>
      <c r="AD79" s="610">
        <f t="shared" si="27"/>
        <v>0.39583333333333331</v>
      </c>
      <c r="AE79" s="16">
        <v>0</v>
      </c>
      <c r="AF79" s="16">
        <f t="shared" ca="1" si="28"/>
        <v>13.5</v>
      </c>
      <c r="AG79" s="610">
        <f t="shared" ca="1" si="29"/>
        <v>0.5625</v>
      </c>
      <c r="AH79" s="16">
        <f t="shared" ca="1" si="30"/>
        <v>1</v>
      </c>
      <c r="AI79" s="16"/>
    </row>
    <row r="80" spans="1:35" x14ac:dyDescent="0.2">
      <c r="A80" s="580">
        <v>46200.916666666657</v>
      </c>
      <c r="B80" s="16"/>
      <c r="C80" s="580">
        <f t="shared" ca="1" si="33"/>
        <v>46200.916666666657</v>
      </c>
      <c r="D80" s="607"/>
      <c r="P80" s="16">
        <v>78</v>
      </c>
      <c r="Q80" s="16" t="s">
        <v>1501</v>
      </c>
      <c r="R80" s="16">
        <f t="shared" ca="1" si="32"/>
        <v>10</v>
      </c>
      <c r="S80" s="610">
        <f t="shared" ca="1" si="32"/>
        <v>0.41666666666666669</v>
      </c>
      <c r="T80" s="16">
        <f t="shared" ca="1" si="32"/>
        <v>0</v>
      </c>
      <c r="U80" s="16">
        <f t="shared" ca="1" si="32"/>
        <v>14</v>
      </c>
      <c r="V80" s="610">
        <f t="shared" ca="1" si="32"/>
        <v>0.58333333333333337</v>
      </c>
      <c r="W80" s="16">
        <f t="shared" ca="1" si="23"/>
        <v>1</v>
      </c>
      <c r="X80" s="16"/>
      <c r="AA80" s="16">
        <v>78</v>
      </c>
      <c r="AB80" s="16" t="s">
        <v>1501</v>
      </c>
      <c r="AC80" s="16">
        <v>10</v>
      </c>
      <c r="AD80" s="610">
        <f t="shared" si="27"/>
        <v>0.41666666666666669</v>
      </c>
      <c r="AE80" s="16">
        <v>0</v>
      </c>
      <c r="AF80" s="16">
        <f t="shared" ca="1" si="28"/>
        <v>14</v>
      </c>
      <c r="AG80" s="610">
        <f t="shared" ca="1" si="29"/>
        <v>0.58333333333333337</v>
      </c>
      <c r="AH80" s="16">
        <f t="shared" ca="1" si="30"/>
        <v>1</v>
      </c>
      <c r="AI80" s="16"/>
    </row>
    <row r="81" spans="1:35" x14ac:dyDescent="0.2">
      <c r="A81" s="580">
        <v>46200.916666666657</v>
      </c>
      <c r="B81" s="16"/>
      <c r="C81" s="580">
        <f t="shared" ca="1" si="33"/>
        <v>46200.916666666657</v>
      </c>
      <c r="D81" s="607"/>
      <c r="P81" s="16">
        <v>79</v>
      </c>
      <c r="Q81" s="16" t="s">
        <v>1502</v>
      </c>
      <c r="R81" s="16">
        <f t="shared" ref="R81:V86" ca="1" si="34">+INDEX($AC$3:$AH$86,MATCH($Q81,$AB$3:$AB$86,0),MATCH(R$2,$AC$2:$AH$2,0))</f>
        <v>10.5</v>
      </c>
      <c r="S81" s="610">
        <f t="shared" ca="1" si="34"/>
        <v>0.4375</v>
      </c>
      <c r="T81" s="16">
        <f t="shared" ca="1" si="34"/>
        <v>0</v>
      </c>
      <c r="U81" s="16">
        <f t="shared" ca="1" si="34"/>
        <v>14.5</v>
      </c>
      <c r="V81" s="610">
        <f t="shared" ca="1" si="34"/>
        <v>0.60416666666666663</v>
      </c>
      <c r="W81" s="16">
        <f t="shared" ca="1" si="23"/>
        <v>1</v>
      </c>
      <c r="X81" s="16"/>
      <c r="AA81" s="16">
        <v>79</v>
      </c>
      <c r="AB81" s="16" t="s">
        <v>1502</v>
      </c>
      <c r="AC81" s="16">
        <v>10.5</v>
      </c>
      <c r="AD81" s="610">
        <f t="shared" si="27"/>
        <v>0.4375</v>
      </c>
      <c r="AE81" s="16">
        <v>0</v>
      </c>
      <c r="AF81" s="16">
        <f t="shared" ca="1" si="28"/>
        <v>14.5</v>
      </c>
      <c r="AG81" s="610">
        <f t="shared" ca="1" si="29"/>
        <v>0.60416666666666663</v>
      </c>
      <c r="AH81" s="16">
        <f t="shared" ca="1" si="30"/>
        <v>1</v>
      </c>
      <c r="AI81" s="16"/>
    </row>
    <row r="82" spans="1:35" x14ac:dyDescent="0.2">
      <c r="A82" s="16"/>
      <c r="B82" s="16"/>
      <c r="C82" s="580"/>
      <c r="P82" s="16">
        <v>80</v>
      </c>
      <c r="Q82" s="16" t="s">
        <v>1503</v>
      </c>
      <c r="R82" s="16">
        <f t="shared" ca="1" si="34"/>
        <v>11</v>
      </c>
      <c r="S82" s="610">
        <f t="shared" ca="1" si="34"/>
        <v>0.45833333333333331</v>
      </c>
      <c r="T82" s="16">
        <f t="shared" ca="1" si="34"/>
        <v>0</v>
      </c>
      <c r="U82" s="16">
        <f t="shared" ca="1" si="34"/>
        <v>15</v>
      </c>
      <c r="V82" s="610">
        <f t="shared" ca="1" si="34"/>
        <v>0.625</v>
      </c>
      <c r="W82" s="16">
        <f t="shared" ca="1" si="23"/>
        <v>1</v>
      </c>
      <c r="X82" s="16"/>
      <c r="AA82" s="16">
        <v>80</v>
      </c>
      <c r="AB82" s="16" t="s">
        <v>1503</v>
      </c>
      <c r="AC82" s="16">
        <v>11</v>
      </c>
      <c r="AD82" s="610">
        <f t="shared" si="27"/>
        <v>0.45833333333333331</v>
      </c>
      <c r="AE82" s="16">
        <v>0</v>
      </c>
      <c r="AF82" s="16">
        <f t="shared" ca="1" si="28"/>
        <v>15</v>
      </c>
      <c r="AG82" s="610">
        <f t="shared" ca="1" si="29"/>
        <v>0.625</v>
      </c>
      <c r="AH82" s="16">
        <f t="shared" ca="1" si="30"/>
        <v>1</v>
      </c>
      <c r="AI82" s="16"/>
    </row>
    <row r="83" spans="1:35" x14ac:dyDescent="0.2">
      <c r="A83" s="9" t="s">
        <v>1504</v>
      </c>
      <c r="B83" s="16"/>
      <c r="C83" s="580"/>
      <c r="P83" s="16">
        <v>81</v>
      </c>
      <c r="Q83" s="16" t="s">
        <v>1505</v>
      </c>
      <c r="R83" s="16">
        <f t="shared" ca="1" si="34"/>
        <v>12</v>
      </c>
      <c r="S83" s="610">
        <f t="shared" ca="1" si="34"/>
        <v>0.5</v>
      </c>
      <c r="T83" s="16">
        <f t="shared" ca="1" si="34"/>
        <v>0</v>
      </c>
      <c r="U83" s="16">
        <f t="shared" ca="1" si="34"/>
        <v>16</v>
      </c>
      <c r="V83" s="610">
        <f t="shared" ca="1" si="34"/>
        <v>0.66666666666666663</v>
      </c>
      <c r="W83" s="16">
        <f t="shared" ca="1" si="23"/>
        <v>1</v>
      </c>
      <c r="X83" s="16"/>
      <c r="AA83" s="16">
        <v>81</v>
      </c>
      <c r="AB83" s="16" t="s">
        <v>1505</v>
      </c>
      <c r="AC83" s="16">
        <v>12</v>
      </c>
      <c r="AD83" s="610">
        <f t="shared" si="27"/>
        <v>0.5</v>
      </c>
      <c r="AE83" s="16">
        <v>0</v>
      </c>
      <c r="AF83" s="16">
        <f t="shared" ca="1" si="28"/>
        <v>16</v>
      </c>
      <c r="AG83" s="610">
        <f t="shared" ca="1" si="29"/>
        <v>0.66666666666666663</v>
      </c>
      <c r="AH83" s="16">
        <f t="shared" ca="1" si="30"/>
        <v>1</v>
      </c>
      <c r="AI83" s="16"/>
    </row>
    <row r="84" spans="1:35" x14ac:dyDescent="0.2">
      <c r="A84" s="580">
        <v>46190.541666666657</v>
      </c>
      <c r="B84" s="16"/>
      <c r="C84" s="580">
        <f t="shared" ref="C84:C89" ca="1" si="35">A84+INDEX($V$3:$V$86,MATCH($C$3,$P$3:$P$86,0))*INDEX($W$3:$W$86,MATCH($C$3,$P$3:$P$86,0))</f>
        <v>46190.541666666657</v>
      </c>
      <c r="D84" s="607"/>
      <c r="P84" s="16">
        <v>82</v>
      </c>
      <c r="Q84" s="16" t="s">
        <v>1506</v>
      </c>
      <c r="R84" s="16">
        <f t="shared" ca="1" si="34"/>
        <v>12.75</v>
      </c>
      <c r="S84" s="610">
        <f t="shared" ca="1" si="34"/>
        <v>0.53125</v>
      </c>
      <c r="T84" s="16">
        <f t="shared" ca="1" si="34"/>
        <v>0</v>
      </c>
      <c r="U84" s="16">
        <f t="shared" ca="1" si="34"/>
        <v>16.75</v>
      </c>
      <c r="V84" s="610">
        <f t="shared" ca="1" si="34"/>
        <v>0.69791666666666663</v>
      </c>
      <c r="W84" s="16">
        <f t="shared" ca="1" si="23"/>
        <v>1</v>
      </c>
      <c r="X84" s="16"/>
      <c r="AA84" s="16">
        <v>82</v>
      </c>
      <c r="AB84" s="16" t="s">
        <v>1506</v>
      </c>
      <c r="AC84" s="16">
        <v>12.75</v>
      </c>
      <c r="AD84" s="610">
        <f t="shared" si="27"/>
        <v>0.53125</v>
      </c>
      <c r="AE84" s="16">
        <v>0</v>
      </c>
      <c r="AF84" s="16">
        <f t="shared" ca="1" si="28"/>
        <v>16.75</v>
      </c>
      <c r="AG84" s="610">
        <f t="shared" ca="1" si="29"/>
        <v>0.69791666666666663</v>
      </c>
      <c r="AH84" s="16">
        <f t="shared" ca="1" si="30"/>
        <v>1</v>
      </c>
      <c r="AI84" s="16"/>
    </row>
    <row r="85" spans="1:35" x14ac:dyDescent="0.2">
      <c r="A85" s="580">
        <v>46190.916666666657</v>
      </c>
      <c r="B85" s="16"/>
      <c r="C85" s="580">
        <f t="shared" ca="1" si="35"/>
        <v>46190.916666666657</v>
      </c>
      <c r="D85" s="607"/>
      <c r="P85" s="16">
        <v>83</v>
      </c>
      <c r="Q85" s="16" t="s">
        <v>1507</v>
      </c>
      <c r="R85" s="16">
        <f t="shared" ca="1" si="34"/>
        <v>13</v>
      </c>
      <c r="S85" s="610">
        <f t="shared" ca="1" si="34"/>
        <v>0.54166666666666663</v>
      </c>
      <c r="T85" s="16">
        <f t="shared" ca="1" si="34"/>
        <v>0</v>
      </c>
      <c r="U85" s="16">
        <f t="shared" ca="1" si="34"/>
        <v>17</v>
      </c>
      <c r="V85" s="610">
        <f t="shared" ca="1" si="34"/>
        <v>0.70833333333333337</v>
      </c>
      <c r="W85" s="16">
        <f t="shared" ca="1" si="23"/>
        <v>1</v>
      </c>
      <c r="X85" s="16"/>
      <c r="AA85" s="16">
        <v>83</v>
      </c>
      <c r="AB85" s="16" t="s">
        <v>1507</v>
      </c>
      <c r="AC85" s="16">
        <v>13</v>
      </c>
      <c r="AD85" s="610">
        <f t="shared" si="27"/>
        <v>0.54166666666666663</v>
      </c>
      <c r="AE85" s="16">
        <v>0</v>
      </c>
      <c r="AF85" s="16">
        <f t="shared" ca="1" si="28"/>
        <v>17</v>
      </c>
      <c r="AG85" s="610">
        <f t="shared" ca="1" si="29"/>
        <v>0.70833333333333337</v>
      </c>
      <c r="AH85" s="16">
        <f t="shared" ca="1" si="30"/>
        <v>1</v>
      </c>
      <c r="AI85" s="16"/>
    </row>
    <row r="86" spans="1:35" x14ac:dyDescent="0.2">
      <c r="A86" s="580">
        <v>46196.541666666657</v>
      </c>
      <c r="B86" s="16"/>
      <c r="C86" s="580">
        <f t="shared" ca="1" si="35"/>
        <v>46196.541666666657</v>
      </c>
      <c r="D86" s="607"/>
      <c r="P86" s="16">
        <v>84</v>
      </c>
      <c r="Q86" s="16" t="s">
        <v>1508</v>
      </c>
      <c r="R86" s="16">
        <f t="shared" ca="1" si="34"/>
        <v>14</v>
      </c>
      <c r="S86" s="610">
        <f t="shared" ca="1" si="34"/>
        <v>0.58333333333333337</v>
      </c>
      <c r="T86" s="16">
        <f t="shared" ca="1" si="34"/>
        <v>0</v>
      </c>
      <c r="U86" s="16">
        <f t="shared" ca="1" si="34"/>
        <v>18</v>
      </c>
      <c r="V86" s="610">
        <f t="shared" ca="1" si="34"/>
        <v>0.75</v>
      </c>
      <c r="W86" s="16">
        <f t="shared" ca="1" si="23"/>
        <v>1</v>
      </c>
      <c r="X86" s="16"/>
      <c r="AA86" s="16">
        <v>84</v>
      </c>
      <c r="AB86" s="16" t="s">
        <v>1508</v>
      </c>
      <c r="AC86" s="16">
        <v>14</v>
      </c>
      <c r="AD86" s="610">
        <f t="shared" si="27"/>
        <v>0.58333333333333337</v>
      </c>
      <c r="AE86" s="16">
        <v>0</v>
      </c>
      <c r="AF86" s="16">
        <f t="shared" ca="1" si="28"/>
        <v>18</v>
      </c>
      <c r="AG86" s="610">
        <f t="shared" ca="1" si="29"/>
        <v>0.75</v>
      </c>
      <c r="AH86" s="16">
        <f t="shared" ca="1" si="30"/>
        <v>1</v>
      </c>
      <c r="AI86" s="16"/>
    </row>
    <row r="87" spans="1:35" x14ac:dyDescent="0.2">
      <c r="A87" s="580">
        <v>46196.916666666657</v>
      </c>
      <c r="B87" s="16"/>
      <c r="C87" s="580">
        <f t="shared" ca="1" si="35"/>
        <v>46196.916666666657</v>
      </c>
      <c r="D87" s="607"/>
    </row>
    <row r="88" spans="1:35" x14ac:dyDescent="0.2">
      <c r="A88" s="580">
        <v>46200.8125</v>
      </c>
      <c r="B88" s="16"/>
      <c r="C88" s="580">
        <f t="shared" ca="1" si="35"/>
        <v>46200.8125</v>
      </c>
      <c r="D88" s="607"/>
    </row>
    <row r="89" spans="1:35" x14ac:dyDescent="0.2">
      <c r="A89" s="580">
        <v>46200.8125</v>
      </c>
      <c r="B89" s="16"/>
      <c r="C89" s="580">
        <f t="shared" ca="1" si="35"/>
        <v>46200.8125</v>
      </c>
      <c r="D89" s="607"/>
    </row>
    <row r="90" spans="1:35" x14ac:dyDescent="0.2">
      <c r="A90" s="16"/>
      <c r="B90" s="16"/>
      <c r="C90" s="580"/>
    </row>
    <row r="91" spans="1:35" x14ac:dyDescent="0.2">
      <c r="A91" s="9" t="s">
        <v>1509</v>
      </c>
      <c r="B91" s="16"/>
      <c r="C91" s="580"/>
    </row>
    <row r="92" spans="1:35" x14ac:dyDescent="0.2">
      <c r="A92" s="580">
        <v>46190.666666666657</v>
      </c>
      <c r="B92" s="16"/>
      <c r="C92" s="580">
        <f t="shared" ref="C92:C97" ca="1" si="36">A92+INDEX($V$3:$V$86,MATCH($C$3,$P$3:$P$86,0))*INDEX($W$3:$W$86,MATCH($C$3,$P$3:$P$86,0))</f>
        <v>46190.666666666657</v>
      </c>
      <c r="D92" s="607"/>
    </row>
    <row r="93" spans="1:35" x14ac:dyDescent="0.2">
      <c r="A93" s="580">
        <v>46190.791666666657</v>
      </c>
      <c r="B93" s="16"/>
      <c r="C93" s="580">
        <f t="shared" ca="1" si="36"/>
        <v>46190.791666666657</v>
      </c>
      <c r="D93" s="607"/>
    </row>
    <row r="94" spans="1:35" x14ac:dyDescent="0.2">
      <c r="A94" s="580">
        <v>46196.666666666657</v>
      </c>
      <c r="B94" s="16"/>
      <c r="C94" s="580">
        <f t="shared" ca="1" si="36"/>
        <v>46196.666666666657</v>
      </c>
      <c r="D94" s="607"/>
    </row>
    <row r="95" spans="1:35" x14ac:dyDescent="0.2">
      <c r="A95" s="580">
        <v>46196.791666666657</v>
      </c>
      <c r="B95" s="16"/>
      <c r="C95" s="580">
        <f t="shared" ca="1" si="36"/>
        <v>46196.791666666657</v>
      </c>
      <c r="D95" s="607"/>
    </row>
    <row r="96" spans="1:35" x14ac:dyDescent="0.2">
      <c r="A96" s="580">
        <v>46200.708333333343</v>
      </c>
      <c r="B96" s="16"/>
      <c r="C96" s="580">
        <f t="shared" ca="1" si="36"/>
        <v>46200.708333333343</v>
      </c>
      <c r="D96" s="607"/>
    </row>
    <row r="97" spans="1:10" x14ac:dyDescent="0.2">
      <c r="A97" s="580">
        <v>46200.708333333343</v>
      </c>
      <c r="B97" s="16"/>
      <c r="C97" s="580">
        <f t="shared" ca="1" si="36"/>
        <v>46200.708333333343</v>
      </c>
      <c r="D97" s="607"/>
    </row>
    <row r="98" spans="1:10" x14ac:dyDescent="0.2">
      <c r="A98" s="16"/>
      <c r="B98" s="16"/>
      <c r="C98" s="16"/>
    </row>
    <row r="99" spans="1:10" x14ac:dyDescent="0.2">
      <c r="A99" s="16"/>
      <c r="B99" s="16"/>
      <c r="C99" s="16"/>
    </row>
    <row r="100" spans="1:10" x14ac:dyDescent="0.2">
      <c r="A100" s="611" t="s">
        <v>1510</v>
      </c>
      <c r="B100" s="16"/>
      <c r="C100" s="580"/>
      <c r="F100" s="16" t="s">
        <v>1511</v>
      </c>
      <c r="G100" s="16"/>
      <c r="I100" s="16" t="s">
        <v>1512</v>
      </c>
      <c r="J100" s="16"/>
    </row>
    <row r="101" spans="1:10" x14ac:dyDescent="0.2">
      <c r="A101" s="580">
        <v>46201.625</v>
      </c>
      <c r="B101" s="16"/>
      <c r="C101" s="580">
        <f t="shared" ref="C101:C116" ca="1" si="37">A101+INDEX($V$3:$V$86,MATCH($C$3,$P$3:$P$86,0))*INDEX($W$3:$W$86,MATCH($C$3,$P$3:$P$86,0))</f>
        <v>46201.625</v>
      </c>
      <c r="F101" s="16">
        <v>73</v>
      </c>
      <c r="G101" s="580">
        <v>46201.625</v>
      </c>
      <c r="I101" s="16">
        <v>73</v>
      </c>
      <c r="J101" s="580">
        <v>46201.625</v>
      </c>
    </row>
    <row r="102" spans="1:10" x14ac:dyDescent="0.2">
      <c r="A102" s="580">
        <v>46202.541666666657</v>
      </c>
      <c r="B102" s="16"/>
      <c r="C102" s="580">
        <f t="shared" ca="1" si="37"/>
        <v>46202.541666666657</v>
      </c>
      <c r="F102" s="16">
        <v>76</v>
      </c>
      <c r="G102" s="580">
        <v>46202.541666666657</v>
      </c>
      <c r="I102" s="16">
        <v>74</v>
      </c>
      <c r="J102" s="580">
        <v>46202.6875</v>
      </c>
    </row>
    <row r="103" spans="1:10" x14ac:dyDescent="0.2">
      <c r="A103" s="580">
        <v>46202.6875</v>
      </c>
      <c r="B103" s="16"/>
      <c r="C103" s="580">
        <f t="shared" ca="1" si="37"/>
        <v>46202.6875</v>
      </c>
      <c r="F103" s="16">
        <v>74</v>
      </c>
      <c r="G103" s="580">
        <v>46202.6875</v>
      </c>
      <c r="I103" s="16">
        <v>75</v>
      </c>
      <c r="J103" s="580">
        <v>46202.875</v>
      </c>
    </row>
    <row r="104" spans="1:10" x14ac:dyDescent="0.2">
      <c r="A104" s="580">
        <v>46202.875</v>
      </c>
      <c r="B104" s="16"/>
      <c r="C104" s="580">
        <f t="shared" ca="1" si="37"/>
        <v>46202.875</v>
      </c>
      <c r="F104" s="16">
        <v>75</v>
      </c>
      <c r="G104" s="580">
        <v>46202.875</v>
      </c>
      <c r="I104" s="16">
        <v>76</v>
      </c>
      <c r="J104" s="580">
        <v>46202.541666666657</v>
      </c>
    </row>
    <row r="105" spans="1:10" x14ac:dyDescent="0.2">
      <c r="A105" s="580">
        <v>46203.541666666657</v>
      </c>
      <c r="B105" s="16"/>
      <c r="C105" s="580">
        <f t="shared" ca="1" si="37"/>
        <v>46203.541666666657</v>
      </c>
      <c r="F105" s="16">
        <v>78</v>
      </c>
      <c r="G105" s="580">
        <v>46203.541666666657</v>
      </c>
      <c r="I105" s="16">
        <v>77</v>
      </c>
      <c r="J105" s="580">
        <v>46203.708333333343</v>
      </c>
    </row>
    <row r="106" spans="1:10" x14ac:dyDescent="0.2">
      <c r="A106" s="580">
        <v>46203.708333333343</v>
      </c>
      <c r="B106" s="16"/>
      <c r="C106" s="580">
        <f t="shared" ca="1" si="37"/>
        <v>46203.708333333343</v>
      </c>
      <c r="F106" s="16">
        <v>77</v>
      </c>
      <c r="G106" s="580">
        <v>46203.708333333343</v>
      </c>
      <c r="I106" s="16">
        <v>78</v>
      </c>
      <c r="J106" s="580">
        <v>46203.541666666657</v>
      </c>
    </row>
    <row r="107" spans="1:10" x14ac:dyDescent="0.2">
      <c r="A107" s="580">
        <v>46203.875</v>
      </c>
      <c r="B107" s="16"/>
      <c r="C107" s="580">
        <f t="shared" ca="1" si="37"/>
        <v>46203.875</v>
      </c>
      <c r="F107" s="16">
        <v>79</v>
      </c>
      <c r="G107" s="580">
        <v>46203.875</v>
      </c>
      <c r="I107" s="16">
        <v>79</v>
      </c>
      <c r="J107" s="580">
        <v>46203.875</v>
      </c>
    </row>
    <row r="108" spans="1:10" x14ac:dyDescent="0.2">
      <c r="A108" s="580">
        <v>46204.5</v>
      </c>
      <c r="B108" s="16"/>
      <c r="C108" s="580">
        <f t="shared" ca="1" si="37"/>
        <v>46204.5</v>
      </c>
      <c r="F108" s="16">
        <v>80</v>
      </c>
      <c r="G108" s="580">
        <v>46204.5</v>
      </c>
      <c r="I108" s="16">
        <v>80</v>
      </c>
      <c r="J108" s="580">
        <v>46204.5</v>
      </c>
    </row>
    <row r="109" spans="1:10" x14ac:dyDescent="0.2">
      <c r="A109" s="580">
        <v>46204.666666666657</v>
      </c>
      <c r="B109" s="16"/>
      <c r="C109" s="580">
        <f t="shared" ca="1" si="37"/>
        <v>46204.666666666657</v>
      </c>
      <c r="F109" s="16">
        <v>82</v>
      </c>
      <c r="G109" s="580">
        <v>46204.666666666657</v>
      </c>
      <c r="I109" s="16">
        <v>81</v>
      </c>
      <c r="J109" s="580">
        <v>46204.833333333343</v>
      </c>
    </row>
    <row r="110" spans="1:10" x14ac:dyDescent="0.2">
      <c r="A110" s="580">
        <v>46204.833333333343</v>
      </c>
      <c r="B110" s="16"/>
      <c r="C110" s="580">
        <f t="shared" ca="1" si="37"/>
        <v>46204.833333333343</v>
      </c>
      <c r="F110" s="16">
        <v>81</v>
      </c>
      <c r="G110" s="580">
        <v>46204.833333333343</v>
      </c>
      <c r="I110" s="16">
        <v>82</v>
      </c>
      <c r="J110" s="580">
        <v>46204.666666666657</v>
      </c>
    </row>
    <row r="111" spans="1:10" x14ac:dyDescent="0.2">
      <c r="A111" s="580">
        <v>46205.625</v>
      </c>
      <c r="B111" s="16"/>
      <c r="C111" s="580">
        <f t="shared" ca="1" si="37"/>
        <v>46205.625</v>
      </c>
      <c r="F111" s="16">
        <v>84</v>
      </c>
      <c r="G111" s="580">
        <v>46205.625</v>
      </c>
      <c r="I111" s="16">
        <v>83</v>
      </c>
      <c r="J111" s="580">
        <v>46205.791666666657</v>
      </c>
    </row>
    <row r="112" spans="1:10" x14ac:dyDescent="0.2">
      <c r="A112" s="580">
        <v>46205.791666666657</v>
      </c>
      <c r="B112" s="16"/>
      <c r="C112" s="580">
        <f t="shared" ca="1" si="37"/>
        <v>46205.791666666657</v>
      </c>
      <c r="F112" s="16">
        <v>83</v>
      </c>
      <c r="G112" s="580">
        <v>46205.791666666657</v>
      </c>
      <c r="I112" s="16">
        <v>84</v>
      </c>
      <c r="J112" s="580">
        <v>46205.625</v>
      </c>
    </row>
    <row r="113" spans="1:10" x14ac:dyDescent="0.2">
      <c r="A113" s="580">
        <v>46205.958333333343</v>
      </c>
      <c r="B113" s="16"/>
      <c r="C113" s="580">
        <f t="shared" ca="1" si="37"/>
        <v>46205.958333333343</v>
      </c>
      <c r="F113" s="16">
        <v>85</v>
      </c>
      <c r="G113" s="580">
        <v>46205.958333333343</v>
      </c>
      <c r="I113" s="16">
        <v>85</v>
      </c>
      <c r="J113" s="580">
        <v>46205.958333333343</v>
      </c>
    </row>
    <row r="114" spans="1:10" x14ac:dyDescent="0.2">
      <c r="A114" s="580">
        <v>46206.583333333343</v>
      </c>
      <c r="B114" s="16"/>
      <c r="C114" s="580">
        <f t="shared" ca="1" si="37"/>
        <v>46206.583333333343</v>
      </c>
      <c r="F114" s="16">
        <v>88</v>
      </c>
      <c r="G114" s="580">
        <v>46206.583333333343</v>
      </c>
      <c r="I114" s="16">
        <v>86</v>
      </c>
      <c r="J114" s="580">
        <v>46206.75</v>
      </c>
    </row>
    <row r="115" spans="1:10" x14ac:dyDescent="0.2">
      <c r="A115" s="580">
        <v>46206.75</v>
      </c>
      <c r="B115" s="16"/>
      <c r="C115" s="580">
        <f t="shared" ca="1" si="37"/>
        <v>46206.75</v>
      </c>
      <c r="F115" s="16">
        <v>86</v>
      </c>
      <c r="G115" s="580">
        <v>46206.75</v>
      </c>
      <c r="I115" s="16">
        <v>87</v>
      </c>
      <c r="J115" s="580">
        <v>46206.895833333343</v>
      </c>
    </row>
    <row r="116" spans="1:10" x14ac:dyDescent="0.2">
      <c r="A116" s="580">
        <v>46206.895833333343</v>
      </c>
      <c r="B116" s="16"/>
      <c r="C116" s="580">
        <f t="shared" ca="1" si="37"/>
        <v>46206.895833333343</v>
      </c>
      <c r="F116" s="16">
        <v>87</v>
      </c>
      <c r="G116" s="580">
        <v>46206.895833333343</v>
      </c>
      <c r="I116" s="16">
        <v>88</v>
      </c>
      <c r="J116" s="580">
        <v>46206.583333333343</v>
      </c>
    </row>
    <row r="117" spans="1:10" x14ac:dyDescent="0.2">
      <c r="A117" s="16"/>
      <c r="B117" s="16"/>
      <c r="C117" s="580"/>
      <c r="F117" s="16"/>
      <c r="G117" s="580"/>
      <c r="I117" s="16"/>
      <c r="J117" s="16"/>
    </row>
    <row r="118" spans="1:10" x14ac:dyDescent="0.2">
      <c r="A118" s="16"/>
      <c r="B118" s="16"/>
      <c r="C118" s="580"/>
      <c r="F118" s="16"/>
      <c r="G118" s="580"/>
      <c r="I118" s="16"/>
      <c r="J118" s="16"/>
    </row>
    <row r="119" spans="1:10" x14ac:dyDescent="0.2">
      <c r="A119" s="611" t="s">
        <v>1513</v>
      </c>
      <c r="B119" s="16"/>
      <c r="C119" s="16"/>
      <c r="F119" s="16"/>
      <c r="G119" s="580"/>
      <c r="I119" s="16"/>
      <c r="J119" s="16"/>
    </row>
    <row r="120" spans="1:10" x14ac:dyDescent="0.2">
      <c r="A120" s="580">
        <v>46207.541666666657</v>
      </c>
      <c r="B120" s="16"/>
      <c r="C120" s="580">
        <f t="shared" ref="C120:C127" ca="1" si="38">A120+INDEX($V$3:$V$86,MATCH($C$3,$P$3:$P$86,0))*INDEX($W$3:$W$86,MATCH($C$3,$P$3:$P$86,0))</f>
        <v>46207.541666666657</v>
      </c>
      <c r="D120" s="607"/>
      <c r="F120" s="16">
        <v>90</v>
      </c>
      <c r="G120" s="580">
        <v>46207.541666666657</v>
      </c>
      <c r="I120" s="16">
        <v>89</v>
      </c>
      <c r="J120" s="580">
        <v>46207.708333333343</v>
      </c>
    </row>
    <row r="121" spans="1:10" x14ac:dyDescent="0.2">
      <c r="A121" s="580">
        <v>46207.708333333343</v>
      </c>
      <c r="B121" s="16"/>
      <c r="C121" s="580">
        <f t="shared" ca="1" si="38"/>
        <v>46207.708333333343</v>
      </c>
      <c r="D121" s="607"/>
      <c r="F121" s="16">
        <v>89</v>
      </c>
      <c r="G121" s="580">
        <v>46207.708333333343</v>
      </c>
      <c r="I121" s="16">
        <v>90</v>
      </c>
      <c r="J121" s="580">
        <v>46207.541666666657</v>
      </c>
    </row>
    <row r="122" spans="1:10" x14ac:dyDescent="0.2">
      <c r="A122" s="580">
        <v>46208.666666666657</v>
      </c>
      <c r="B122" s="16"/>
      <c r="C122" s="580">
        <f t="shared" ca="1" si="38"/>
        <v>46208.666666666657</v>
      </c>
      <c r="D122" s="607"/>
      <c r="F122" s="16">
        <v>91</v>
      </c>
      <c r="G122" s="580">
        <v>46208.666666666657</v>
      </c>
      <c r="I122" s="16">
        <v>91</v>
      </c>
      <c r="J122" s="580">
        <v>46208.666666666657</v>
      </c>
    </row>
    <row r="123" spans="1:10" x14ac:dyDescent="0.2">
      <c r="A123" s="580">
        <v>46208.833333333343</v>
      </c>
      <c r="B123" s="16"/>
      <c r="C123" s="580">
        <f t="shared" ca="1" si="38"/>
        <v>46208.833333333343</v>
      </c>
      <c r="D123" s="607"/>
      <c r="F123" s="16">
        <v>92</v>
      </c>
      <c r="G123" s="580">
        <v>46208.833333333343</v>
      </c>
      <c r="I123" s="16">
        <v>92</v>
      </c>
      <c r="J123" s="580">
        <v>46208.833333333343</v>
      </c>
    </row>
    <row r="124" spans="1:10" x14ac:dyDescent="0.2">
      <c r="A124" s="580">
        <v>46209.625</v>
      </c>
      <c r="B124" s="16"/>
      <c r="C124" s="580">
        <f t="shared" ca="1" si="38"/>
        <v>46209.625</v>
      </c>
      <c r="D124" s="607"/>
      <c r="F124" s="16">
        <v>93</v>
      </c>
      <c r="G124" s="580">
        <v>46209.625</v>
      </c>
      <c r="I124" s="16">
        <v>93</v>
      </c>
      <c r="J124" s="580">
        <v>46209.625</v>
      </c>
    </row>
    <row r="125" spans="1:10" x14ac:dyDescent="0.2">
      <c r="A125" s="580">
        <v>46209.833333333343</v>
      </c>
      <c r="B125" s="16"/>
      <c r="C125" s="580">
        <f t="shared" ca="1" si="38"/>
        <v>46209.833333333343</v>
      </c>
      <c r="D125" s="607"/>
      <c r="F125" s="16">
        <v>94</v>
      </c>
      <c r="G125" s="580">
        <v>46209.833333333343</v>
      </c>
      <c r="I125" s="16">
        <v>94</v>
      </c>
      <c r="J125" s="580">
        <v>46209.833333333343</v>
      </c>
    </row>
    <row r="126" spans="1:10" x14ac:dyDescent="0.2">
      <c r="A126" s="580">
        <v>46210.5</v>
      </c>
      <c r="B126" s="16"/>
      <c r="C126" s="580">
        <f t="shared" ca="1" si="38"/>
        <v>46210.5</v>
      </c>
      <c r="D126" s="607"/>
      <c r="F126" s="16">
        <v>95</v>
      </c>
      <c r="G126" s="580">
        <v>46210.5</v>
      </c>
      <c r="I126" s="16">
        <v>95</v>
      </c>
      <c r="J126" s="580">
        <v>46210.5</v>
      </c>
    </row>
    <row r="127" spans="1:10" x14ac:dyDescent="0.2">
      <c r="A127" s="580">
        <v>46210.666666666657</v>
      </c>
      <c r="B127" s="16"/>
      <c r="C127" s="580">
        <f t="shared" ca="1" si="38"/>
        <v>46210.666666666657</v>
      </c>
      <c r="D127" s="607"/>
      <c r="F127" s="16">
        <v>96</v>
      </c>
      <c r="G127" s="580">
        <v>46210.666666666657</v>
      </c>
      <c r="I127" s="16">
        <v>96</v>
      </c>
      <c r="J127" s="580">
        <v>46210.666666666657</v>
      </c>
    </row>
    <row r="128" spans="1:10" x14ac:dyDescent="0.2">
      <c r="A128" s="16"/>
      <c r="B128" s="16"/>
      <c r="C128" s="16"/>
      <c r="F128" s="16"/>
      <c r="G128" s="580"/>
      <c r="I128" s="16"/>
      <c r="J128" s="16"/>
    </row>
    <row r="129" spans="1:10" x14ac:dyDescent="0.2">
      <c r="A129" s="16"/>
      <c r="B129" s="16"/>
      <c r="C129" s="16"/>
      <c r="F129" s="16"/>
      <c r="G129" s="580"/>
      <c r="I129" s="16"/>
      <c r="J129" s="16"/>
    </row>
    <row r="130" spans="1:10" x14ac:dyDescent="0.2">
      <c r="A130" s="611" t="s">
        <v>1514</v>
      </c>
      <c r="B130" s="16"/>
      <c r="C130" s="580"/>
      <c r="F130" s="16"/>
      <c r="G130" s="580"/>
      <c r="I130" s="16"/>
      <c r="J130" s="16"/>
    </row>
    <row r="131" spans="1:10" x14ac:dyDescent="0.2">
      <c r="A131" s="580">
        <v>46212.666666666657</v>
      </c>
      <c r="B131" s="16"/>
      <c r="C131" s="580">
        <f ca="1">A131+INDEX($V$3:$V$86,MATCH($C$3,$P$3:$P$86,0))*INDEX($W$3:$W$86,MATCH($C$3,$P$3:$P$86,0))</f>
        <v>46212.666666666657</v>
      </c>
      <c r="D131" s="607"/>
      <c r="F131" s="16">
        <v>97</v>
      </c>
      <c r="G131" s="580">
        <v>46212.666666666657</v>
      </c>
      <c r="I131" s="16">
        <v>97</v>
      </c>
      <c r="J131" s="580">
        <v>46212.666666666657</v>
      </c>
    </row>
    <row r="132" spans="1:10" x14ac:dyDescent="0.2">
      <c r="A132" s="580">
        <v>46213.625</v>
      </c>
      <c r="B132" s="16"/>
      <c r="C132" s="580">
        <f ca="1">A132+INDEX($V$3:$V$86,MATCH($C$3,$P$3:$P$86,0))*INDEX($W$3:$W$86,MATCH($C$3,$P$3:$P$86,0))</f>
        <v>46213.625</v>
      </c>
      <c r="D132" s="607"/>
      <c r="F132" s="16">
        <v>98</v>
      </c>
      <c r="G132" s="580">
        <v>46213.625</v>
      </c>
      <c r="I132" s="16">
        <v>98</v>
      </c>
      <c r="J132" s="580">
        <v>46213.625</v>
      </c>
    </row>
    <row r="133" spans="1:10" x14ac:dyDescent="0.2">
      <c r="A133" s="580">
        <v>46214.708333333343</v>
      </c>
      <c r="B133" s="16"/>
      <c r="C133" s="580">
        <f ca="1">A133+INDEX($V$3:$V$86,MATCH($C$3,$P$3:$P$86,0))*INDEX($W$3:$W$86,MATCH($C$3,$P$3:$P$86,0))</f>
        <v>46214.708333333343</v>
      </c>
      <c r="D133" s="607"/>
      <c r="F133" s="16">
        <v>99</v>
      </c>
      <c r="G133" s="580">
        <v>46214.708333333343</v>
      </c>
      <c r="I133" s="16">
        <v>99</v>
      </c>
      <c r="J133" s="580">
        <v>46214.708333333343</v>
      </c>
    </row>
    <row r="134" spans="1:10" x14ac:dyDescent="0.2">
      <c r="A134" s="580">
        <v>46214.875</v>
      </c>
      <c r="B134" s="16"/>
      <c r="C134" s="580">
        <f ca="1">A134+INDEX($V$3:$V$86,MATCH($C$3,$P$3:$P$86,0))*INDEX($W$3:$W$86,MATCH($C$3,$P$3:$P$86,0))</f>
        <v>46214.875</v>
      </c>
      <c r="D134" s="607"/>
      <c r="F134" s="16">
        <v>100</v>
      </c>
      <c r="G134" s="580">
        <v>46214.875</v>
      </c>
      <c r="I134" s="16">
        <v>100</v>
      </c>
      <c r="J134" s="580">
        <v>46214.875</v>
      </c>
    </row>
    <row r="135" spans="1:10" x14ac:dyDescent="0.2">
      <c r="A135" s="16"/>
      <c r="B135" s="16"/>
      <c r="C135" s="580"/>
    </row>
    <row r="136" spans="1:10" x14ac:dyDescent="0.2">
      <c r="A136" s="16"/>
      <c r="B136" s="16"/>
      <c r="C136" s="16"/>
    </row>
    <row r="137" spans="1:10" x14ac:dyDescent="0.2">
      <c r="A137" s="612" t="s">
        <v>1515</v>
      </c>
      <c r="B137" s="16"/>
      <c r="C137" s="580"/>
    </row>
    <row r="138" spans="1:10" x14ac:dyDescent="0.2">
      <c r="A138" s="580">
        <v>46217.625</v>
      </c>
      <c r="B138" s="16"/>
      <c r="C138" s="580">
        <f ca="1">A138+INDEX($V$3:$V$86,MATCH($C$3,$P$3:$P$86,0))*INDEX($W$3:$W$86,MATCH($C$3,$P$3:$P$86,0))</f>
        <v>46217.625</v>
      </c>
      <c r="D138" s="607"/>
    </row>
    <row r="139" spans="1:10" x14ac:dyDescent="0.2">
      <c r="A139" s="580">
        <v>46218.625</v>
      </c>
      <c r="B139" s="16"/>
      <c r="C139" s="580">
        <f ca="1">A139+INDEX($V$3:$V$86,MATCH($C$3,$P$3:$P$86,0))*INDEX($W$3:$W$86,MATCH($C$3,$P$3:$P$86,0))</f>
        <v>46218.625</v>
      </c>
      <c r="D139" s="607"/>
    </row>
    <row r="140" spans="1:10" x14ac:dyDescent="0.2">
      <c r="A140" s="16"/>
      <c r="B140" s="16"/>
      <c r="C140" s="580"/>
    </row>
    <row r="141" spans="1:10" x14ac:dyDescent="0.2">
      <c r="A141" s="16"/>
      <c r="B141" s="16"/>
      <c r="C141" s="16"/>
    </row>
    <row r="142" spans="1:10" x14ac:dyDescent="0.2">
      <c r="A142" s="613" t="s">
        <v>233</v>
      </c>
      <c r="B142" s="16"/>
      <c r="C142" s="16"/>
    </row>
    <row r="143" spans="1:10" x14ac:dyDescent="0.2">
      <c r="A143" s="580">
        <v>46221.708333333343</v>
      </c>
      <c r="B143" s="16"/>
      <c r="C143" s="580">
        <f ca="1">A143+INDEX($V$3:$V$86,MATCH($C$3,$P$3:$P$86,0))*INDEX($W$3:$W$86,MATCH($C$3,$P$3:$P$86,0))</f>
        <v>46221.708333333343</v>
      </c>
      <c r="D143" s="607"/>
    </row>
    <row r="144" spans="1:10" x14ac:dyDescent="0.2">
      <c r="A144" s="16"/>
      <c r="B144" s="16"/>
      <c r="C144" s="16"/>
    </row>
    <row r="145" spans="1:4" x14ac:dyDescent="0.2">
      <c r="A145" s="16"/>
      <c r="B145" s="16"/>
      <c r="C145" s="16"/>
    </row>
    <row r="146" spans="1:4" x14ac:dyDescent="0.2">
      <c r="A146" s="614" t="s">
        <v>125</v>
      </c>
      <c r="B146" s="16"/>
      <c r="C146" s="580"/>
    </row>
    <row r="147" spans="1:4" x14ac:dyDescent="0.2">
      <c r="A147" s="580">
        <v>46222.625</v>
      </c>
      <c r="B147" s="16"/>
      <c r="C147" s="580">
        <f ca="1">A147+INDEX($V$3:$V$86,MATCH($C$3,$P$3:$P$86,0))*INDEX($W$3:$W$86,MATCH($C$3,$P$3:$P$86,0))</f>
        <v>46222.625</v>
      </c>
      <c r="D147" s="607"/>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Home</vt:lpstr>
      <vt:lpstr>WORLDCUP</vt:lpstr>
      <vt:lpstr>16</vt:lpstr>
      <vt:lpstr>8</vt:lpstr>
      <vt:lpstr>4</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David Caicedo (Chile)</cp:lastModifiedBy>
  <cp:revision/>
  <dcterms:created xsi:type="dcterms:W3CDTF">2015-10-31T09:41:54Z</dcterms:created>
  <dcterms:modified xsi:type="dcterms:W3CDTF">2026-07-09T20:33:51Z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
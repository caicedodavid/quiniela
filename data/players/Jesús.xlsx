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48ACB74-F8B4-F44D-9EA7-49AC057378B3}" xr6:coauthVersionLast="47" xr6:coauthVersionMax="47" xr10:uidLastSave="{00000000-0000-0000-0000-000000000000}"/>
  <bookViews>
    <workbookView xWindow="0" yWindow="660" windowWidth="26040" windowHeight="11960" activeTab="5" xr2:uid="{00000000-000D-0000-FFFF-FFFF00000000}"/>
  </bookViews>
  <sheets>
    <sheet name="Home" sheetId="1" r:id="rId1"/>
    <sheet name="16" sheetId="6" r:id="rId2"/>
    <sheet name="8" sheetId="7" r:id="rId3"/>
    <sheet name="4" sheetId="8" r:id="rId4"/>
    <sheet name="2" sheetId="9" r:id="rId5"/>
    <sheet name="1" sheetId="10" r:id="rId6"/>
    <sheet name="WORLDCUP" sheetId="2" r:id="rId7"/>
    <sheet name="Pool" sheetId="3" r:id="rId8"/>
    <sheet name="Fixture" sheetId="4" r:id="rId9"/>
    <sheet name="Credits" sheetId="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C250" i="3" s="1" a="1"/>
  <c r="C250" i="3"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AG132" i="2" s="1" a="1"/>
  <c r="AG132" i="2" s="1"/>
  <c r="Z131" i="2" a="1"/>
  <c r="Z131" i="2" s="1"/>
  <c r="D131" i="2" a="1"/>
  <c r="D131" i="2" s="1"/>
  <c r="M138" i="2" s="1" a="1"/>
  <c r="M138" i="2" s="1"/>
  <c r="AA138" i="2" s="1" a="1"/>
  <c r="AA138"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AG125" i="2" s="1" a="1"/>
  <c r="AG125" i="2" s="1"/>
  <c r="Z124" i="2" a="1"/>
  <c r="Z124" i="2" s="1"/>
  <c r="D124" i="2" a="1"/>
  <c r="D124" i="2" s="1"/>
  <c r="Z123" i="2" a="1"/>
  <c r="Z123" i="2" s="1"/>
  <c r="D123" i="2" a="1"/>
  <c r="D123" i="2" s="1"/>
  <c r="Z122" i="2" a="1"/>
  <c r="Z122" i="2" s="1"/>
  <c r="D122" i="2" a="1"/>
  <c r="D122" i="2" s="1"/>
  <c r="Z121" i="2" a="1"/>
  <c r="Z121" i="2" s="1"/>
  <c r="D121" i="2" a="1"/>
  <c r="D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AF114" i="2" a="1"/>
  <c r="AF114" i="2" s="1"/>
  <c r="C159" i="3" s="1" a="1"/>
  <c r="C159" i="3" s="1"/>
  <c r="Z114" i="2" a="1"/>
  <c r="Z114" i="2" s="1"/>
  <c r="D114" i="2" a="1"/>
  <c r="D114" i="2"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N122" i="2" s="1" a="1"/>
  <c r="N122" i="2" s="1"/>
  <c r="AF122" i="2" s="1" a="1"/>
  <c r="AF122" i="2" s="1"/>
  <c r="C192" i="3" s="1" a="1"/>
  <c r="C192" i="3"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R47" i="4" s="1" a="1"/>
  <c r="R47" i="4" s="1"/>
  <c r="AA96" i="2" a="1"/>
  <c r="AA96" i="2" s="1"/>
  <c r="Z96" i="2" a="1"/>
  <c r="Z96" i="2" s="1"/>
  <c r="D96" i="2" a="1"/>
  <c r="D96" i="2" s="1"/>
  <c r="AY95" i="2" a="1"/>
  <c r="AY95" i="2" s="1"/>
  <c r="AI95" i="2" a="1"/>
  <c r="AI95" i="2" s="1"/>
  <c r="AG95" i="2" a="1"/>
  <c r="AG95" i="2" s="1"/>
  <c r="AF95" i="2" a="1"/>
  <c r="AF95" i="2"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R43" i="4" s="1" a="1"/>
  <c r="R43" i="4"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AA79" i="2" a="1"/>
  <c r="AA79" i="2" s="1"/>
  <c r="Z79" i="2" a="1"/>
  <c r="Z79" i="2" s="1"/>
  <c r="D79" i="2" a="1"/>
  <c r="D79" i="2" s="1"/>
  <c r="AY78" i="2" a="1"/>
  <c r="AY78" i="2" s="1"/>
  <c r="AI78" i="2" a="1"/>
  <c r="AI78" i="2" s="1"/>
  <c r="AG78" i="2" a="1"/>
  <c r="AG78" i="2" s="1"/>
  <c r="AF78" i="2" a="1"/>
  <c r="AF78" i="2" s="1"/>
  <c r="R29" i="4" s="1" a="1"/>
  <c r="R29" i="4" s="1"/>
  <c r="AA78" i="2" a="1"/>
  <c r="AA78" i="2" s="1"/>
  <c r="O29" i="4" s="1" a="1"/>
  <c r="O29" i="4"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O20" i="4" s="1" a="1"/>
  <c r="O20" i="4"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F23" i="4" s="1" a="1"/>
  <c r="F23" i="4"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L61" i="2" l="1" a="1"/>
  <c r="L61" i="2" s="1"/>
  <c r="R52" i="2" a="1"/>
  <c r="R52" i="2" s="1"/>
  <c r="R70" i="2" a="1"/>
  <c r="R70" i="2" s="1"/>
  <c r="T21" i="2" a="1"/>
  <c r="T21" i="2" s="1"/>
  <c r="K53" i="2" a="1"/>
  <c r="K53" i="2" s="1"/>
  <c r="L7" i="2" a="1"/>
  <c r="L7" i="2" s="1"/>
  <c r="R46" i="2" a="1"/>
  <c r="R46" i="2" s="1"/>
  <c r="T93" i="2" a="1"/>
  <c r="T93" i="2" s="1"/>
  <c r="O56" i="2" a="1"/>
  <c r="O56" i="2" s="1"/>
  <c r="U84" i="2" a="1"/>
  <c r="U84" i="2" s="1"/>
  <c r="L80" i="2" a="1"/>
  <c r="L80" i="2" s="1"/>
  <c r="Q5" i="2" a="1"/>
  <c r="Q5" i="2" s="1"/>
  <c r="L96" i="2" a="1"/>
  <c r="L96" i="2" s="1"/>
  <c r="K23" i="2" a="1"/>
  <c r="K23" i="2" s="1"/>
  <c r="U37" i="2" a="1"/>
  <c r="U37" i="2" s="1"/>
  <c r="N32" i="2" a="1"/>
  <c r="N32" i="2" s="1"/>
  <c r="E9" i="2" a="1"/>
  <c r="E9" i="2" s="1"/>
  <c r="K60" i="2" a="1"/>
  <c r="K60" i="2" s="1"/>
  <c r="L73" i="2" a="1"/>
  <c r="L73" i="2" s="1"/>
  <c r="E15" i="2" a="1"/>
  <c r="E15" i="2" s="1"/>
  <c r="U25" i="2" a="1"/>
  <c r="U25" i="2" s="1"/>
  <c r="E39" i="2" a="1"/>
  <c r="E39" i="2" s="1"/>
  <c r="R72" i="2" a="1"/>
  <c r="R72" i="2" s="1"/>
  <c r="Q80" i="2" a="1"/>
  <c r="Q80" i="2" s="1"/>
  <c r="R80" i="2" a="1"/>
  <c r="R80" i="2" s="1"/>
  <c r="O48" i="2" a="1"/>
  <c r="O48" i="2" s="1"/>
  <c r="K61" i="2" a="1"/>
  <c r="K61" i="2" s="1"/>
  <c r="T73" i="2" a="1"/>
  <c r="T73" i="2" s="1"/>
  <c r="O12" i="2" a="1"/>
  <c r="O12" i="2" s="1"/>
  <c r="F55" i="2" a="1"/>
  <c r="F55" i="2" s="1"/>
  <c r="AG131" i="2" a="1"/>
  <c r="AG131" i="2" s="1"/>
  <c r="N53" i="2" a="1"/>
  <c r="N53" i="2" s="1"/>
  <c r="AG105" i="2" a="1"/>
  <c r="AG105" i="2" s="1"/>
  <c r="E95" i="2" a="1"/>
  <c r="E95" i="2" s="1"/>
  <c r="H49" i="2" a="1"/>
  <c r="H49" i="2" s="1"/>
  <c r="N23" i="2" a="1"/>
  <c r="N23" i="2" s="1"/>
  <c r="F37" i="2" a="1"/>
  <c r="F37" i="2" s="1"/>
  <c r="H80" i="2" a="1"/>
  <c r="H80" i="2" s="1"/>
  <c r="L94" i="2" a="1"/>
  <c r="L94" i="2" s="1"/>
  <c r="L16" i="2" a="1"/>
  <c r="L16" i="2" s="1"/>
  <c r="R23" i="2" a="1"/>
  <c r="R23" i="2" s="1"/>
  <c r="R55" i="2" a="1"/>
  <c r="R55" i="2" s="1"/>
  <c r="K80" i="2" a="1"/>
  <c r="K80" i="2" s="1"/>
  <c r="T85" i="2" a="1"/>
  <c r="T85" i="2" s="1"/>
  <c r="E48" i="2" a="1"/>
  <c r="E48" i="2" s="1"/>
  <c r="L8" i="2" a="1"/>
  <c r="L8" i="2" s="1"/>
  <c r="O6" i="2" a="1"/>
  <c r="O6" i="2" s="1"/>
  <c r="O7" i="2" a="1"/>
  <c r="O7" i="2" s="1"/>
  <c r="U23" i="2" a="1"/>
  <c r="U23" i="2" s="1"/>
  <c r="U24" i="2" a="1"/>
  <c r="U24" i="2" s="1"/>
  <c r="K37" i="2" a="1"/>
  <c r="K37" i="2" s="1"/>
  <c r="L76" i="2" a="1"/>
  <c r="L76" i="2" s="1"/>
  <c r="F76" i="2" a="1"/>
  <c r="F76" i="2" s="1"/>
  <c r="N76" i="2" a="1"/>
  <c r="N76" i="2" s="1"/>
  <c r="AG134" i="2" a="1"/>
  <c r="AG134" i="2" s="1"/>
  <c r="N139" i="2" a="1"/>
  <c r="N139" i="2" s="1"/>
  <c r="AF139" i="2" s="1" a="1"/>
  <c r="AF139" i="2" s="1"/>
  <c r="C229" i="3" s="1" a="1"/>
  <c r="C229" i="3" s="1"/>
  <c r="R30" i="4" a="1"/>
  <c r="R30" i="4" s="1"/>
  <c r="L79" i="2" a="1"/>
  <c r="L79" i="2" s="1"/>
  <c r="R87" i="2" a="1"/>
  <c r="R87" i="2" s="1"/>
  <c r="Q87" i="2" a="1"/>
  <c r="Q87" i="2" s="1"/>
  <c r="F87" i="2" a="1"/>
  <c r="F87" i="2" s="1"/>
  <c r="K84" i="2" a="1"/>
  <c r="K84" i="2" s="1"/>
  <c r="H84" i="2" a="1"/>
  <c r="H84" i="2" s="1"/>
  <c r="Q44" i="2" a="1"/>
  <c r="Q44" i="2" s="1"/>
  <c r="K44" i="2" a="1"/>
  <c r="K44" i="2" s="1"/>
  <c r="I44" i="2" a="1"/>
  <c r="I44" i="2" s="1"/>
  <c r="H44" i="2" a="1"/>
  <c r="H44" i="2" s="1"/>
  <c r="U44" i="2" a="1"/>
  <c r="U44" i="2" s="1"/>
  <c r="T44" i="2" a="1"/>
  <c r="T44" i="2" s="1"/>
  <c r="N78" i="2" a="1"/>
  <c r="N78" i="2" s="1"/>
  <c r="L78" i="2" a="1"/>
  <c r="L78" i="2" s="1"/>
  <c r="K78" i="2" a="1"/>
  <c r="K78" i="2" s="1"/>
  <c r="T78" i="2" a="1"/>
  <c r="T78" i="2" s="1"/>
  <c r="N86" i="2" a="1"/>
  <c r="N86" i="2" s="1"/>
  <c r="I86" i="2" a="1"/>
  <c r="I86" i="2" s="1"/>
  <c r="H86" i="2" a="1"/>
  <c r="H86" i="2" s="1"/>
  <c r="E86" i="2" a="1"/>
  <c r="E86" i="2" s="1"/>
  <c r="T86" i="2" a="1"/>
  <c r="T86" i="2" s="1"/>
  <c r="R86" i="2" a="1"/>
  <c r="R86" i="2" s="1"/>
  <c r="K86" i="2" a="1"/>
  <c r="K86" i="2" s="1"/>
  <c r="O44" i="4" a="1"/>
  <c r="O44" i="4" s="1"/>
  <c r="E93" i="2" a="1"/>
  <c r="E93" i="2" s="1"/>
  <c r="M131" i="2" a="1"/>
  <c r="M131" i="2" s="1"/>
  <c r="AA131" i="2" s="1" a="1"/>
  <c r="AA131" i="2" s="1"/>
  <c r="AG121" i="2" a="1"/>
  <c r="AG121" i="2" s="1"/>
  <c r="R35" i="4" a="1"/>
  <c r="R35" i="4" s="1"/>
  <c r="L84" i="2" a="1"/>
  <c r="L84" i="2" s="1"/>
  <c r="I84" i="2" a="1"/>
  <c r="I84" i="2" s="1"/>
  <c r="F84" i="2" a="1"/>
  <c r="F84" i="2" s="1"/>
  <c r="Q33" i="2" a="1"/>
  <c r="Q33" i="2" s="1"/>
  <c r="O33" i="2" a="1"/>
  <c r="O33" i="2" s="1"/>
  <c r="Q47" i="2" a="1"/>
  <c r="Q47" i="2" s="1"/>
  <c r="E47" i="2" a="1"/>
  <c r="E47" i="2" s="1"/>
  <c r="T47" i="2" a="1"/>
  <c r="T47" i="2" s="1"/>
  <c r="T62" i="2" a="1"/>
  <c r="T62" i="2" s="1"/>
  <c r="Q62" i="2" a="1"/>
  <c r="Q62" i="2" s="1"/>
  <c r="E62" i="2" a="1"/>
  <c r="E62" i="2" s="1"/>
  <c r="Q68" i="2" a="1"/>
  <c r="Q68" i="2" s="1"/>
  <c r="K68" i="2" a="1"/>
  <c r="K68" i="2" s="1"/>
  <c r="E97" i="2" a="1"/>
  <c r="E97" i="2" s="1"/>
  <c r="T97" i="2" a="1"/>
  <c r="T97" i="2" s="1"/>
  <c r="Q97" i="2" a="1"/>
  <c r="Q97" i="2" s="1"/>
  <c r="O97" i="2" a="1"/>
  <c r="O97" i="2" s="1"/>
  <c r="H97" i="2" a="1"/>
  <c r="H97" i="2" s="1"/>
  <c r="F97" i="2" a="1"/>
  <c r="F97" i="2" s="1"/>
  <c r="R65" i="2" a="1"/>
  <c r="R65" i="2" s="1"/>
  <c r="N65" i="2" a="1"/>
  <c r="N65" i="2" s="1"/>
  <c r="L65" i="2" a="1"/>
  <c r="L65" i="2" s="1"/>
  <c r="Q57" i="2" a="1"/>
  <c r="Q57" i="2" s="1"/>
  <c r="T57" i="2" a="1"/>
  <c r="T57" i="2" s="1"/>
  <c r="R57" i="2" a="1"/>
  <c r="R57" i="2" s="1"/>
  <c r="O4" i="2" a="1"/>
  <c r="O4" i="2" s="1"/>
  <c r="I4" i="2" a="1"/>
  <c r="I4" i="2" s="1"/>
  <c r="H4" i="2" a="1"/>
  <c r="H4" i="2" s="1"/>
  <c r="U36" i="2" a="1"/>
  <c r="U36" i="2" s="1"/>
  <c r="M121" i="2" a="1"/>
  <c r="M121" i="2" s="1"/>
  <c r="AA120" i="2" s="1" a="1"/>
  <c r="AA120" i="2" s="1"/>
  <c r="C182" i="3" s="1" a="1"/>
  <c r="C182" i="3" s="1"/>
  <c r="AG101" i="2" a="1"/>
  <c r="AG101" i="2" s="1"/>
  <c r="N133" i="2" a="1"/>
  <c r="N133" i="2" s="1"/>
  <c r="AF133" i="2" s="1" a="1"/>
  <c r="AF133" i="2" s="1"/>
  <c r="C216" i="3" s="1" a="1"/>
  <c r="C216" i="3" s="1"/>
  <c r="AG123" i="2" a="1"/>
  <c r="AG123" i="2" s="1"/>
  <c r="BO18" i="4" a="1"/>
  <c r="BO18" i="4" s="1"/>
  <c r="BO5" i="4" a="1"/>
  <c r="BO5" i="4" s="1"/>
  <c r="L60" i="2" a="1"/>
  <c r="L60" i="2" s="1"/>
  <c r="N7" i="2" a="1"/>
  <c r="N7" i="2" s="1"/>
  <c r="H7" i="2" a="1"/>
  <c r="H7" i="2" s="1"/>
  <c r="K21" i="2" a="1"/>
  <c r="K21" i="2" s="1"/>
  <c r="T46" i="2" a="1"/>
  <c r="T46" i="2" s="1"/>
  <c r="U48" i="2" a="1"/>
  <c r="U48" i="2" s="1"/>
  <c r="K55" i="2" a="1"/>
  <c r="K55" i="2" s="1"/>
  <c r="N73" i="2" a="1"/>
  <c r="N73" i="2" s="1"/>
  <c r="R94" i="2" a="1"/>
  <c r="R94" i="2" s="1"/>
  <c r="E21" i="2" a="1"/>
  <c r="E21" i="2" s="1"/>
  <c r="T15" i="2" a="1"/>
  <c r="T15" i="2" s="1"/>
  <c r="H37" i="2" a="1"/>
  <c r="H37" i="2" s="1"/>
  <c r="R49" i="2" a="1"/>
  <c r="R49" i="2" s="1"/>
  <c r="O55" i="2" a="1"/>
  <c r="O55" i="2" s="1"/>
  <c r="U94" i="2" a="1"/>
  <c r="U94" i="2" s="1"/>
  <c r="Q55" i="2" a="1"/>
  <c r="Q55" i="2" s="1"/>
  <c r="N132" i="2" a="1"/>
  <c r="N132" i="2" s="1"/>
  <c r="AF132" i="2" s="1" a="1"/>
  <c r="AF132" i="2" s="1"/>
  <c r="C215" i="3" s="1" a="1"/>
  <c r="C215" i="3" s="1"/>
  <c r="F93" i="2" a="1"/>
  <c r="F93" i="2" s="1"/>
  <c r="H25" i="2" a="1"/>
  <c r="H25" i="2" s="1"/>
  <c r="U16" i="2" a="1"/>
  <c r="U16" i="2" s="1"/>
  <c r="Q8" i="2" a="1"/>
  <c r="Q8" i="2" s="1"/>
  <c r="H93" i="2" a="1"/>
  <c r="H93" i="2" s="1"/>
  <c r="K16" i="2" a="1"/>
  <c r="K16" i="2" s="1"/>
  <c r="N21" i="2" a="1"/>
  <c r="N21" i="2" s="1"/>
  <c r="N36" i="2" a="1"/>
  <c r="N36" i="2" s="1"/>
  <c r="U52" i="2" a="1"/>
  <c r="U52" i="2" s="1"/>
  <c r="E55" i="2" a="1"/>
  <c r="E55" i="2" s="1"/>
  <c r="O60" i="2" a="1"/>
  <c r="O60" i="2" s="1"/>
  <c r="L63" i="2" a="1"/>
  <c r="L63" i="2" s="1"/>
  <c r="R84" i="2" a="1"/>
  <c r="R84" i="2" s="1"/>
  <c r="K85" i="2" a="1"/>
  <c r="K85" i="2" s="1"/>
  <c r="I93" i="2" a="1"/>
  <c r="I93" i="2" s="1"/>
  <c r="AG108" i="2" a="1"/>
  <c r="AG108" i="2" s="1"/>
  <c r="H21" i="2" a="1"/>
  <c r="H21" i="2" s="1"/>
  <c r="T55" i="2" a="1"/>
  <c r="T55" i="2" s="1"/>
  <c r="K25" i="2" a="1"/>
  <c r="K25" i="2" s="1"/>
  <c r="U55" i="2" a="1"/>
  <c r="U55" i="2" s="1"/>
  <c r="O25" i="2" a="1"/>
  <c r="O25" i="2" s="1"/>
  <c r="R60" i="2" a="1"/>
  <c r="R60" i="2" s="1"/>
  <c r="T64" i="2" a="1"/>
  <c r="T64" i="2" s="1"/>
  <c r="F68" i="2" a="1"/>
  <c r="F68" i="2" s="1"/>
  <c r="E70" i="2" a="1"/>
  <c r="E70" i="2" s="1"/>
  <c r="L85" i="2" a="1"/>
  <c r="L85" i="2" s="1"/>
  <c r="K87" i="2" a="1"/>
  <c r="K87" i="2" s="1"/>
  <c r="B23" i="3" a="1"/>
  <c r="B23" i="3" s="1"/>
  <c r="E16" i="2" a="1"/>
  <c r="E16" i="2" s="1"/>
  <c r="BW10" i="2" s="1" a="1"/>
  <c r="BW10" i="2" s="1"/>
  <c r="O36" i="2" a="1"/>
  <c r="O36" i="2" s="1"/>
  <c r="F46" i="2" a="1"/>
  <c r="F46" i="2" s="1"/>
  <c r="R16" i="2" a="1"/>
  <c r="R16" i="2" s="1"/>
  <c r="R25" i="2" a="1"/>
  <c r="R25" i="2" s="1"/>
  <c r="T36" i="2" a="1"/>
  <c r="T36" i="2" s="1"/>
  <c r="H39" i="2" a="1"/>
  <c r="H39" i="2" s="1"/>
  <c r="H46" i="2" a="1"/>
  <c r="H46" i="2" s="1"/>
  <c r="O61" i="2" a="1"/>
  <c r="O61" i="2" s="1"/>
  <c r="F70" i="2" a="1"/>
  <c r="F70" i="2" s="1"/>
  <c r="T84" i="2" a="1"/>
  <c r="T84" i="2" s="1"/>
  <c r="U85" i="2" a="1"/>
  <c r="U85" i="2" s="1"/>
  <c r="Q93" i="2" a="1"/>
  <c r="Q93" i="2" s="1"/>
  <c r="F94" i="2" a="1"/>
  <c r="F94" i="2" s="1"/>
  <c r="AG120" i="2" a="1"/>
  <c r="AG120" i="2" s="1"/>
  <c r="AG126" i="2" a="1"/>
  <c r="AG126" i="2" s="1"/>
  <c r="H23" i="2" a="1"/>
  <c r="H23" i="2" s="1"/>
  <c r="Q46" i="2" a="1"/>
  <c r="Q46" i="2" s="1"/>
  <c r="I48" i="2" a="1"/>
  <c r="I48" i="2" s="1"/>
  <c r="H55" i="2" a="1"/>
  <c r="H55" i="2" s="1"/>
  <c r="H64" i="2" a="1"/>
  <c r="H64" i="2" s="1"/>
  <c r="L68" i="2" a="1"/>
  <c r="L68" i="2" s="1"/>
  <c r="Q70" i="2" a="1"/>
  <c r="Q70" i="2" s="1"/>
  <c r="I73" i="2" a="1"/>
  <c r="I73" i="2" s="1"/>
  <c r="I94" i="2" a="1"/>
  <c r="I94" i="2" s="1"/>
  <c r="L37" i="2" a="1"/>
  <c r="L37" i="2" s="1"/>
  <c r="I55" i="2" a="1"/>
  <c r="I55" i="2" s="1"/>
  <c r="I61" i="2" a="1"/>
  <c r="I61" i="2" s="1"/>
  <c r="BK7" i="2" a="1"/>
  <c r="BK7" i="2" s="1"/>
  <c r="C5" i="4" a="1"/>
  <c r="C5" i="4" s="1"/>
  <c r="B30" i="3" a="1"/>
  <c r="B30" i="3" s="1"/>
  <c r="CK8" i="2" a="1"/>
  <c r="CK8" i="2" s="1"/>
  <c r="CI9" i="2" a="1"/>
  <c r="CI9" i="2" s="1"/>
  <c r="BV6" i="2" a="1"/>
  <c r="BV6" i="2" s="1"/>
  <c r="F4" i="4" a="1"/>
  <c r="F4" i="4" s="1"/>
  <c r="BI9" i="2" a="1"/>
  <c r="BI9" i="2" s="1"/>
  <c r="BI8" i="2" a="1"/>
  <c r="BI8" i="2" s="1"/>
  <c r="AV81" i="2" a="1"/>
  <c r="AV81" i="2" s="1"/>
  <c r="DQ53" i="2" a="1"/>
  <c r="DQ53" i="2" s="1"/>
  <c r="DJ53" i="2" s="1" a="1"/>
  <c r="DJ53" i="2" s="1"/>
  <c r="AV94" i="2" a="1"/>
  <c r="AV94" i="2" s="1"/>
  <c r="AV54" i="2" a="1"/>
  <c r="AV54" i="2" s="1"/>
  <c r="AV72" i="2" a="1"/>
  <c r="AV72" i="2" s="1"/>
  <c r="DQ46" i="2" a="1"/>
  <c r="DQ46" i="2" s="1"/>
  <c r="DJ46" i="2" s="1" a="1"/>
  <c r="DJ46" i="2" s="1"/>
  <c r="AV71" i="2" a="1"/>
  <c r="AV71" i="2" s="1"/>
  <c r="DQ50" i="2" a="1"/>
  <c r="DQ50" i="2" s="1"/>
  <c r="DJ50" i="2" s="1" a="1"/>
  <c r="DJ50" i="2" s="1"/>
  <c r="AV57" i="2" a="1"/>
  <c r="AV57" i="2" s="1"/>
  <c r="AV70" i="2" a="1"/>
  <c r="AV70" i="2" s="1"/>
  <c r="DQ51" i="2" a="1"/>
  <c r="DQ51" i="2" s="1"/>
  <c r="DJ51" i="2" s="1" a="1"/>
  <c r="DJ51" i="2" s="1"/>
  <c r="DQ49" i="2" a="1"/>
  <c r="DQ49" i="2" s="1"/>
  <c r="DJ49" i="2" s="1" a="1"/>
  <c r="DJ49" i="2" s="1"/>
  <c r="AV63" i="2" a="1"/>
  <c r="AV63" i="2" s="1"/>
  <c r="DQ52" i="2" a="1"/>
  <c r="DQ52" i="2" s="1"/>
  <c r="DJ52" i="2" s="1" a="1"/>
  <c r="DJ52" i="2" s="1"/>
  <c r="DQ48" i="2" a="1"/>
  <c r="DQ48" i="2" s="1"/>
  <c r="DJ48" i="2" s="1" a="1"/>
  <c r="DJ48" i="2" s="1"/>
  <c r="AV65" i="2" a="1"/>
  <c r="AV65" i="2" s="1"/>
  <c r="DQ47" i="2" a="1"/>
  <c r="DQ47" i="2" s="1"/>
  <c r="DJ47" i="2" s="1" a="1"/>
  <c r="DJ47" i="2" s="1"/>
  <c r="DQ43" i="2" a="1"/>
  <c r="DQ43" i="2" s="1"/>
  <c r="DJ43" i="2" s="1" a="1"/>
  <c r="DJ43" i="2" s="1"/>
  <c r="DQ41" i="2" a="1"/>
  <c r="DQ41" i="2" s="1"/>
  <c r="DJ41" i="2" s="1" a="1"/>
  <c r="DJ41" i="2" s="1"/>
  <c r="DQ40" i="2" a="1"/>
  <c r="DQ40" i="2" s="1"/>
  <c r="DJ40" i="2" s="1" a="1"/>
  <c r="DJ40" i="2" s="1"/>
  <c r="DQ39" i="2" a="1"/>
  <c r="DQ39" i="2" s="1"/>
  <c r="DJ39" i="2" s="1" a="1"/>
  <c r="DJ39" i="2" s="1"/>
  <c r="DQ38" i="2" a="1"/>
  <c r="DQ38" i="2" s="1"/>
  <c r="DJ38" i="2" s="1" a="1"/>
  <c r="DJ38" i="2" s="1"/>
  <c r="DQ44" i="2" a="1"/>
  <c r="DQ44" i="2" s="1"/>
  <c r="DJ44" i="2" s="1" a="1"/>
  <c r="DJ44" i="2" s="1"/>
  <c r="AV47" i="2" a="1"/>
  <c r="AV47" i="2" s="1"/>
  <c r="DQ45" i="2" a="1"/>
  <c r="DQ45" i="2" s="1"/>
  <c r="DJ45" i="2" s="1" a="1"/>
  <c r="DJ45" i="2" s="1"/>
  <c r="DQ36" i="2" a="1"/>
  <c r="DQ36" i="2" s="1"/>
  <c r="DJ36" i="2" s="1" a="1"/>
  <c r="DJ36" i="2" s="1"/>
  <c r="DQ34" i="2" a="1"/>
  <c r="DQ34" i="2" s="1"/>
  <c r="DJ34" i="2" s="1" a="1"/>
  <c r="DJ34" i="2" s="1"/>
  <c r="DQ42" i="2" a="1"/>
  <c r="DQ42" i="2" s="1"/>
  <c r="DJ42" i="2" s="1" a="1"/>
  <c r="DJ42" i="2" s="1"/>
  <c r="DQ37" i="2" a="1"/>
  <c r="DQ37" i="2" s="1"/>
  <c r="DJ37" i="2" s="1" a="1"/>
  <c r="DJ37" i="2" s="1"/>
  <c r="DQ27" i="2" a="1"/>
  <c r="DQ27" i="2" s="1"/>
  <c r="DJ27" i="2" s="1" a="1"/>
  <c r="DJ27" i="2" s="1"/>
  <c r="AV41" i="2" a="1"/>
  <c r="AV41" i="2" s="1"/>
  <c r="DQ24" i="2" a="1"/>
  <c r="DQ24" i="2" s="1"/>
  <c r="DJ24" i="2" s="1" a="1"/>
  <c r="DJ24" i="2" s="1"/>
  <c r="DQ35" i="2" a="1"/>
  <c r="DQ35" i="2" s="1"/>
  <c r="DJ35" i="2" s="1" a="1"/>
  <c r="DJ35" i="2" s="1"/>
  <c r="DQ31" i="2" a="1"/>
  <c r="DQ31" i="2" s="1"/>
  <c r="DJ31" i="2" s="1" a="1"/>
  <c r="DJ31" i="2" s="1"/>
  <c r="DQ23" i="2" a="1"/>
  <c r="DQ23" i="2" s="1"/>
  <c r="DJ23" i="2" s="1" a="1"/>
  <c r="DJ23" i="2" s="1"/>
  <c r="DQ33" i="2" a="1"/>
  <c r="DQ33" i="2" s="1"/>
  <c r="DJ33" i="2" s="1" a="1"/>
  <c r="DJ33" i="2" s="1"/>
  <c r="DQ30" i="2" a="1"/>
  <c r="DQ30" i="2" s="1"/>
  <c r="DJ30" i="2" s="1" a="1"/>
  <c r="DJ30" i="2" s="1"/>
  <c r="DQ21" i="2" a="1"/>
  <c r="DQ21" i="2" s="1"/>
  <c r="DJ21" i="2" s="1" a="1"/>
  <c r="DJ21" i="2" s="1"/>
  <c r="AV31" i="2" a="1"/>
  <c r="AV31" i="2" s="1"/>
  <c r="DQ29" i="2" a="1"/>
  <c r="DQ29" i="2" s="1"/>
  <c r="DJ29" i="2" s="1" a="1"/>
  <c r="DJ29" i="2" s="1"/>
  <c r="DQ26" i="2" a="1"/>
  <c r="DQ26" i="2" s="1"/>
  <c r="DJ26" i="2" s="1" a="1"/>
  <c r="DJ26" i="2" s="1"/>
  <c r="DQ25" i="2" a="1"/>
  <c r="DQ25" i="2" s="1"/>
  <c r="DJ25" i="2" s="1" a="1"/>
  <c r="DJ25" i="2" s="1"/>
  <c r="DQ22" i="2" a="1"/>
  <c r="DQ22" i="2" s="1"/>
  <c r="DJ22" i="2" s="1" a="1"/>
  <c r="DJ22" i="2" s="1"/>
  <c r="DQ28" i="2" a="1"/>
  <c r="DQ28" i="2" s="1"/>
  <c r="DJ28" i="2" s="1" a="1"/>
  <c r="DJ28" i="2" s="1"/>
  <c r="DQ32" i="2" a="1"/>
  <c r="DQ32" i="2" s="1"/>
  <c r="DJ32" i="2" s="1" a="1"/>
  <c r="DJ32" i="2" s="1"/>
  <c r="DQ17" i="2" a="1"/>
  <c r="DQ17" i="2" s="1"/>
  <c r="DJ17" i="2" s="1" a="1"/>
  <c r="DJ17" i="2" s="1"/>
  <c r="DQ19" i="2" a="1"/>
  <c r="DQ19" i="2" s="1"/>
  <c r="DJ19" i="2" s="1" a="1"/>
  <c r="DJ19" i="2" s="1"/>
  <c r="AV15" i="2" a="1"/>
  <c r="AV15" i="2" s="1"/>
  <c r="DQ14" i="2" a="1"/>
  <c r="DQ14" i="2" s="1"/>
  <c r="DJ14" i="2" s="1" a="1"/>
  <c r="DJ14" i="2" s="1"/>
  <c r="DQ7" i="2" a="1"/>
  <c r="DQ7" i="2" s="1"/>
  <c r="DJ7" i="2" s="1" a="1"/>
  <c r="DJ7" i="2" s="1"/>
  <c r="DQ6" i="2" a="1"/>
  <c r="DQ6" i="2" s="1"/>
  <c r="DJ6" i="2" s="1" a="1"/>
  <c r="DJ6" i="2" s="1"/>
  <c r="DQ15" i="2" a="1"/>
  <c r="DQ15" i="2" s="1"/>
  <c r="DJ15" i="2" s="1" a="1"/>
  <c r="DJ15" i="2" s="1"/>
  <c r="DQ11" i="2" a="1"/>
  <c r="DQ11" i="2" s="1"/>
  <c r="DJ11" i="2" s="1" a="1"/>
  <c r="DJ11" i="2" s="1"/>
  <c r="DQ9" i="2" a="1"/>
  <c r="DQ9" i="2" s="1"/>
  <c r="DJ9" i="2" s="1" a="1"/>
  <c r="DJ9" i="2" s="1"/>
  <c r="DQ8" i="2" a="1"/>
  <c r="DQ8" i="2" s="1"/>
  <c r="DJ8" i="2" s="1" a="1"/>
  <c r="DJ8" i="2" s="1"/>
  <c r="DQ10" i="2" a="1"/>
  <c r="DQ10" i="2" s="1"/>
  <c r="DJ10" i="2" s="1" a="1"/>
  <c r="DJ10" i="2" s="1"/>
  <c r="AV22" i="2" a="1"/>
  <c r="AV22" i="2" s="1"/>
  <c r="DQ20" i="2" a="1"/>
  <c r="DQ20" i="2" s="1"/>
  <c r="DJ20" i="2" s="1" a="1"/>
  <c r="DJ20" i="2" s="1"/>
  <c r="DQ16" i="2" a="1"/>
  <c r="DQ16" i="2" s="1"/>
  <c r="DJ16" i="2" s="1" a="1"/>
  <c r="DJ16" i="2" s="1"/>
  <c r="DQ13" i="2" a="1"/>
  <c r="DQ13" i="2" s="1"/>
  <c r="DJ13" i="2" s="1" a="1"/>
  <c r="DJ13" i="2" s="1"/>
  <c r="DQ18" i="2" a="1"/>
  <c r="DQ18" i="2" s="1"/>
  <c r="DJ18" i="2" s="1" a="1"/>
  <c r="DJ18" i="2" s="1"/>
  <c r="DQ12" i="2" a="1"/>
  <c r="DQ12" i="2" s="1"/>
  <c r="DJ12" i="2" s="1" a="1"/>
  <c r="DJ12" i="2" s="1"/>
  <c r="BG18" i="2" a="1"/>
  <c r="BG18" i="2" s="1"/>
  <c r="BH7" i="2" a="1"/>
  <c r="BH7" i="2" s="1"/>
  <c r="F4" i="2" a="1"/>
  <c r="F4" i="2" s="1"/>
  <c r="T4" i="2" a="1"/>
  <c r="T4" i="2" s="1"/>
  <c r="E6" i="2" a="1"/>
  <c r="E6" i="2" s="1"/>
  <c r="BU7" i="2" s="1" a="1"/>
  <c r="BU7" i="2" s="1"/>
  <c r="U6" i="2" a="1"/>
  <c r="U6" i="2" s="1"/>
  <c r="H5" i="2" a="1"/>
  <c r="H5" i="2" s="1"/>
  <c r="F6" i="2" a="1"/>
  <c r="F6" i="2" s="1"/>
  <c r="BG12" i="2" a="1"/>
  <c r="BG12" i="2" s="1"/>
  <c r="BH17" i="2" a="1"/>
  <c r="BH17" i="2" s="1"/>
  <c r="F20" i="4" a="1"/>
  <c r="F20" i="4" s="1"/>
  <c r="I21" i="2" a="1"/>
  <c r="I21" i="2" s="1"/>
  <c r="U21" i="2" a="1"/>
  <c r="U21" i="2" s="1"/>
  <c r="F21" i="2" a="1"/>
  <c r="F21" i="2" s="1"/>
  <c r="R21" i="2" a="1"/>
  <c r="R21" i="2" s="1"/>
  <c r="O21" i="2" a="1"/>
  <c r="O21" i="2" s="1"/>
  <c r="C12" i="4" a="1"/>
  <c r="C12" i="4" s="1"/>
  <c r="B9" i="3" a="1"/>
  <c r="B9" i="3" s="1"/>
  <c r="BW13" i="2" a="1"/>
  <c r="BW13" i="2" s="1"/>
  <c r="F14" i="4" a="1"/>
  <c r="F14" i="4" s="1"/>
  <c r="I15" i="2" a="1"/>
  <c r="I15" i="2" s="1"/>
  <c r="F3" i="4" a="1"/>
  <c r="F3" i="4" s="1"/>
  <c r="BI52" i="2" a="1"/>
  <c r="BI52" i="2" s="1"/>
  <c r="BI50" i="2" a="1"/>
  <c r="BI50" i="2" s="1"/>
  <c r="BK51" i="2" a="1"/>
  <c r="BK51" i="2" s="1"/>
  <c r="BK53" i="2" a="1"/>
  <c r="BK53" i="2" s="1"/>
  <c r="BK48" i="2" a="1"/>
  <c r="BK48" i="2" s="1"/>
  <c r="BI51" i="2" a="1"/>
  <c r="BI51" i="2" s="1"/>
  <c r="BI53" i="2" a="1"/>
  <c r="BI53" i="2" s="1"/>
  <c r="BK52" i="2" a="1"/>
  <c r="BK52" i="2" s="1"/>
  <c r="BI46" i="2" a="1"/>
  <c r="BI46" i="2" s="1"/>
  <c r="BI45" i="2" a="1"/>
  <c r="BI45" i="2" s="1"/>
  <c r="BK50" i="2" a="1"/>
  <c r="BK50" i="2" s="1"/>
  <c r="BI47" i="2" a="1"/>
  <c r="BI47" i="2" s="1"/>
  <c r="BK46" i="2" a="1"/>
  <c r="BK46" i="2" s="1"/>
  <c r="BI48" i="2" a="1"/>
  <c r="BI48" i="2" s="1"/>
  <c r="BK49" i="2" a="1"/>
  <c r="BK49" i="2" s="1"/>
  <c r="BK45" i="2" a="1"/>
  <c r="BK45" i="2" s="1"/>
  <c r="BK47" i="2" a="1"/>
  <c r="BK47" i="2" s="1"/>
  <c r="BI49" i="2" a="1"/>
  <c r="BI49" i="2" s="1"/>
  <c r="BK39" i="2" a="1"/>
  <c r="BK39" i="2" s="1"/>
  <c r="BK32" i="2" a="1"/>
  <c r="BK32" i="2" s="1"/>
  <c r="BI35" i="2" a="1"/>
  <c r="BI35" i="2" s="1"/>
  <c r="BK30" i="2" a="1"/>
  <c r="BK30" i="2" s="1"/>
  <c r="BK28" i="2" a="1"/>
  <c r="BK28" i="2" s="1"/>
  <c r="BK26" i="2" a="1"/>
  <c r="BK26" i="2" s="1"/>
  <c r="BI23" i="2" a="1"/>
  <c r="BI23" i="2" s="1"/>
  <c r="BI39" i="2" a="1"/>
  <c r="BI39" i="2" s="1"/>
  <c r="BK42" i="2" a="1"/>
  <c r="BK42" i="2" s="1"/>
  <c r="BK41" i="2" a="1"/>
  <c r="BK41" i="2" s="1"/>
  <c r="BK38" i="2" a="1"/>
  <c r="BK38" i="2" s="1"/>
  <c r="BK44" i="2" a="1"/>
  <c r="BK44" i="2" s="1"/>
  <c r="BK37" i="2" a="1"/>
  <c r="BK37" i="2" s="1"/>
  <c r="BK36" i="2" a="1"/>
  <c r="BK36" i="2" s="1"/>
  <c r="BK43" i="2" a="1"/>
  <c r="BK43" i="2" s="1"/>
  <c r="BI42" i="2" a="1"/>
  <c r="BI42" i="2" s="1"/>
  <c r="BI41" i="2" a="1"/>
  <c r="BI41" i="2" s="1"/>
  <c r="BK40" i="2" a="1"/>
  <c r="BK40" i="2" s="1"/>
  <c r="BI44" i="2" a="1"/>
  <c r="BI44" i="2" s="1"/>
  <c r="BI38" i="2" a="1"/>
  <c r="BI38" i="2" s="1"/>
  <c r="BI36" i="2" a="1"/>
  <c r="BI36" i="2" s="1"/>
  <c r="BI37" i="2" a="1"/>
  <c r="BI37" i="2" s="1"/>
  <c r="BK35" i="2" a="1"/>
  <c r="BK35" i="2" s="1"/>
  <c r="BI43" i="2" a="1"/>
  <c r="BI43" i="2" s="1"/>
  <c r="BI40" i="2" a="1"/>
  <c r="BI40" i="2" s="1"/>
  <c r="BK33" i="2" a="1"/>
  <c r="BK33" i="2" s="1"/>
  <c r="BI34" i="2" a="1"/>
  <c r="BI34" i="2" s="1"/>
  <c r="BI32" i="2" a="1"/>
  <c r="BI32" i="2" s="1"/>
  <c r="BI25" i="2" a="1"/>
  <c r="BI25" i="2" s="1"/>
  <c r="BI28" i="2" a="1"/>
  <c r="BI28" i="2" s="1"/>
  <c r="BI33" i="2" a="1"/>
  <c r="BI33" i="2" s="1"/>
  <c r="BI22" i="2" a="1"/>
  <c r="BI22" i="2" s="1"/>
  <c r="BI21" i="2" a="1"/>
  <c r="BI21" i="2" s="1"/>
  <c r="BK19" i="2" a="1"/>
  <c r="BK19" i="2" s="1"/>
  <c r="BK23" i="2" a="1"/>
  <c r="BK23" i="2" s="1"/>
  <c r="BK31" i="2" a="1"/>
  <c r="BK31" i="2" s="1"/>
  <c r="BK15" i="2" a="1"/>
  <c r="BK15" i="2" s="1"/>
  <c r="BK29" i="2" a="1"/>
  <c r="BK29" i="2" s="1"/>
  <c r="BK27" i="2" a="1"/>
  <c r="BK27" i="2" s="1"/>
  <c r="BI30" i="2" a="1"/>
  <c r="BI30" i="2" s="1"/>
  <c r="BK25" i="2" a="1"/>
  <c r="BK25" i="2" s="1"/>
  <c r="BK34" i="2" a="1"/>
  <c r="BK34" i="2" s="1"/>
  <c r="BI31" i="2" a="1"/>
  <c r="BI31" i="2" s="1"/>
  <c r="BK22" i="2" a="1"/>
  <c r="BK22" i="2" s="1"/>
  <c r="BI29" i="2" a="1"/>
  <c r="BI29" i="2" s="1"/>
  <c r="BI27" i="2" a="1"/>
  <c r="BI27" i="2" s="1"/>
  <c r="BI26" i="2" a="1"/>
  <c r="BI26" i="2" s="1"/>
  <c r="BK21" i="2" a="1"/>
  <c r="BK21" i="2" s="1"/>
  <c r="BK20" i="2" a="1"/>
  <c r="BK20" i="2" s="1"/>
  <c r="BK10" i="2" a="1"/>
  <c r="BK10" i="2" s="1"/>
  <c r="BK9" i="2" a="1"/>
  <c r="BK9" i="2" s="1"/>
  <c r="BK8" i="2" a="1"/>
  <c r="BK8" i="2" s="1"/>
  <c r="BI15" i="2" a="1"/>
  <c r="BI15" i="2" s="1"/>
  <c r="BK14" i="2" a="1"/>
  <c r="BK14" i="2" s="1"/>
  <c r="BK12" i="2" a="1"/>
  <c r="BK12" i="2" s="1"/>
  <c r="BI7" i="2" a="1"/>
  <c r="BI7" i="2" s="1"/>
  <c r="BI6" i="2" a="1"/>
  <c r="BI6" i="2" s="1"/>
  <c r="BI19" i="2" a="1"/>
  <c r="BI19" i="2" s="1"/>
  <c r="BK16" i="2" a="1"/>
  <c r="BK16" i="2" s="1"/>
  <c r="BK13" i="2" a="1"/>
  <c r="BK13" i="2" s="1"/>
  <c r="BK24" i="2" a="1"/>
  <c r="BK24" i="2" s="1"/>
  <c r="BI20" i="2" a="1"/>
  <c r="BI20" i="2" s="1"/>
  <c r="BK18" i="2" a="1"/>
  <c r="BK18" i="2" s="1"/>
  <c r="BI11" i="2" a="1"/>
  <c r="BI11" i="2" s="1"/>
  <c r="BI24" i="2" a="1"/>
  <c r="BI24" i="2" s="1"/>
  <c r="BK17" i="2" a="1"/>
  <c r="BK17" i="2" s="1"/>
  <c r="BI16" i="2" a="1"/>
  <c r="BI16" i="2" s="1"/>
  <c r="BI14" i="2" a="1"/>
  <c r="BI14" i="2" s="1"/>
  <c r="BI12" i="2" a="1"/>
  <c r="BI12" i="2" s="1"/>
  <c r="BI18" i="2" a="1"/>
  <c r="BI18" i="2" s="1"/>
  <c r="BI13" i="2" a="1"/>
  <c r="BI13" i="2" s="1"/>
  <c r="BI17" i="2" a="1"/>
  <c r="BI17" i="2" s="1"/>
  <c r="I5" i="2" a="1"/>
  <c r="I5" i="2" s="1"/>
  <c r="K6" i="2" a="1"/>
  <c r="K6" i="2" s="1"/>
  <c r="BH6" i="2" a="1"/>
  <c r="BH6" i="2" s="1"/>
  <c r="AL7" i="2" a="1"/>
  <c r="AL7" i="2" s="1"/>
  <c r="H5" i="4" s="1" a="1"/>
  <c r="H5" i="4" s="1"/>
  <c r="CI10" i="2" a="1"/>
  <c r="CI10" i="2" s="1"/>
  <c r="BU11" i="2" a="1"/>
  <c r="BU11" i="2" s="1"/>
  <c r="I17" i="2" a="1"/>
  <c r="I17" i="2" s="1"/>
  <c r="F17" i="2" a="1"/>
  <c r="F17" i="2" s="1"/>
  <c r="L17" i="2" a="1"/>
  <c r="L17" i="2" s="1"/>
  <c r="K17" i="2" a="1"/>
  <c r="K17" i="2" s="1"/>
  <c r="U17" i="2" a="1"/>
  <c r="U17" i="2" s="1"/>
  <c r="H17" i="2" a="1"/>
  <c r="H17" i="2" s="1"/>
  <c r="T17" i="2" a="1"/>
  <c r="T17" i="2" s="1"/>
  <c r="R17" i="2" a="1"/>
  <c r="R17" i="2" s="1"/>
  <c r="E17" i="2" a="1"/>
  <c r="E17" i="2" s="1"/>
  <c r="Q17" i="2" a="1"/>
  <c r="Q17" i="2" s="1"/>
  <c r="N17" i="2" a="1"/>
  <c r="N17" i="2" s="1"/>
  <c r="CI12" i="2" s="1" a="1"/>
  <c r="CI12" i="2" s="1"/>
  <c r="O9" i="2" a="1"/>
  <c r="O9" i="2" s="1"/>
  <c r="C11" i="4" a="1"/>
  <c r="C11" i="4" s="1"/>
  <c r="B8" i="3" a="1"/>
  <c r="B8" i="3" s="1"/>
  <c r="AV16" i="2" a="1"/>
  <c r="AV16" i="2" s="1"/>
  <c r="AL16" i="2" a="1"/>
  <c r="AL16" i="2" s="1"/>
  <c r="H14" i="4" s="1" a="1"/>
  <c r="H14" i="4" s="1"/>
  <c r="O17" i="2" a="1"/>
  <c r="O17" i="2" s="1"/>
  <c r="H20" i="2" a="1"/>
  <c r="H20" i="2" s="1"/>
  <c r="Q20" i="2" a="1"/>
  <c r="Q20" i="2" s="1"/>
  <c r="F20" i="2" a="1"/>
  <c r="F20" i="2" s="1"/>
  <c r="E20" i="2" a="1"/>
  <c r="E20" i="2" s="1"/>
  <c r="K20" i="2" a="1"/>
  <c r="K20" i="2" s="1"/>
  <c r="O20" i="2" a="1"/>
  <c r="O20" i="2" s="1"/>
  <c r="N20" i="2" a="1"/>
  <c r="N20" i="2" s="1"/>
  <c r="L20" i="2" a="1"/>
  <c r="L20" i="2" s="1"/>
  <c r="I20" i="2" a="1"/>
  <c r="I20" i="2" s="1"/>
  <c r="U20" i="2" a="1"/>
  <c r="U20" i="2" s="1"/>
  <c r="T20" i="2" a="1"/>
  <c r="T20" i="2" s="1"/>
  <c r="R20" i="2" a="1"/>
  <c r="R20" i="2" s="1"/>
  <c r="AV7" i="2" a="1"/>
  <c r="AV7" i="2" s="1"/>
  <c r="AL8" i="2" a="1"/>
  <c r="AL8" i="2" s="1"/>
  <c r="AV8" i="2" a="1"/>
  <c r="AV8" i="2" s="1"/>
  <c r="BV11" i="2" a="1"/>
  <c r="BV11" i="2" s="1"/>
  <c r="N9" i="2" a="1"/>
  <c r="N9" i="2" s="1"/>
  <c r="AL9" i="2" a="1"/>
  <c r="AL9" i="2" s="1"/>
  <c r="H7" i="4" s="1" a="1"/>
  <c r="H7" i="4" s="1"/>
  <c r="AV9" i="2" a="1"/>
  <c r="AV9" i="2" s="1"/>
  <c r="K5" i="2" a="1"/>
  <c r="K5" i="2" s="1"/>
  <c r="R13" i="2" a="1"/>
  <c r="R13" i="2" s="1"/>
  <c r="H13" i="2" a="1"/>
  <c r="H13" i="2" s="1"/>
  <c r="E13" i="2" a="1"/>
  <c r="E13" i="2" s="1"/>
  <c r="Q13" i="2" a="1"/>
  <c r="Q13" i="2" s="1"/>
  <c r="F13" i="2" a="1"/>
  <c r="F13" i="2" s="1"/>
  <c r="O13" i="2" a="1"/>
  <c r="O13" i="2" s="1"/>
  <c r="N13" i="2" a="1"/>
  <c r="N13" i="2" s="1"/>
  <c r="L13" i="2" a="1"/>
  <c r="L13" i="2" s="1"/>
  <c r="T13" i="2" a="1"/>
  <c r="T13" i="2" s="1"/>
  <c r="AV14" i="2" a="1"/>
  <c r="AV14" i="2" s="1"/>
  <c r="AL14" i="2" a="1"/>
  <c r="AL14" i="2" s="1"/>
  <c r="H12" i="4" s="1" a="1"/>
  <c r="H12" i="4" s="1"/>
  <c r="L15" i="2" a="1"/>
  <c r="L15" i="2" s="1"/>
  <c r="B57" i="3" a="1"/>
  <c r="B57" i="3" s="1"/>
  <c r="C16" i="4" a="1"/>
  <c r="C16" i="4" s="1"/>
  <c r="BU17" i="2" a="1"/>
  <c r="BU17" i="2" s="1"/>
  <c r="T7" i="2" a="1"/>
  <c r="T7" i="2" s="1"/>
  <c r="K7" i="2" a="1"/>
  <c r="K7" i="2" s="1"/>
  <c r="R7" i="2" a="1"/>
  <c r="R7" i="2" s="1"/>
  <c r="I7" i="2" a="1"/>
  <c r="I7" i="2" s="1"/>
  <c r="Q7" i="2" a="1"/>
  <c r="Q7" i="2" s="1"/>
  <c r="N8" i="2" a="1"/>
  <c r="N8" i="2" s="1"/>
  <c r="CI6" i="2" s="1" a="1"/>
  <c r="CI6" i="2" s="1"/>
  <c r="K4" i="2" a="1"/>
  <c r="K4" i="2" s="1"/>
  <c r="L6" i="2" a="1"/>
  <c r="L6" i="2" s="1"/>
  <c r="BK6" i="2" a="1"/>
  <c r="BK6" i="2" s="1"/>
  <c r="O5" i="2" a="1"/>
  <c r="O5" i="2" s="1"/>
  <c r="AV6" i="2" a="1"/>
  <c r="AV6" i="2" s="1"/>
  <c r="E7" i="2" a="1"/>
  <c r="E7" i="2" s="1"/>
  <c r="U7" i="2" a="1"/>
  <c r="U7" i="2" s="1"/>
  <c r="CJ7" i="2" a="1"/>
  <c r="CJ7" i="2" s="1"/>
  <c r="BV9" i="2" a="1"/>
  <c r="BV9" i="2" s="1"/>
  <c r="N6" i="2" a="1"/>
  <c r="N6" i="2" s="1"/>
  <c r="AL6" i="2" a="1"/>
  <c r="AL6" i="2" s="1"/>
  <c r="L12" i="2" a="1"/>
  <c r="L12" i="2" s="1"/>
  <c r="U12" i="2" a="1"/>
  <c r="U12" i="2" s="1"/>
  <c r="I12" i="2" a="1"/>
  <c r="I12" i="2" s="1"/>
  <c r="K12" i="2" a="1"/>
  <c r="K12" i="2" s="1"/>
  <c r="T12" i="2" a="1"/>
  <c r="T12" i="2" s="1"/>
  <c r="R12" i="2" a="1"/>
  <c r="R12" i="2" s="1"/>
  <c r="H12" i="2" a="1"/>
  <c r="H12" i="2" s="1"/>
  <c r="Q12" i="2" a="1"/>
  <c r="Q12" i="2" s="1"/>
  <c r="F12" i="2" a="1"/>
  <c r="F12" i="2" s="1"/>
  <c r="I13" i="2" a="1"/>
  <c r="I13" i="2" s="1"/>
  <c r="BV8" i="2" a="1"/>
  <c r="BV8" i="2" s="1"/>
  <c r="U9" i="2" a="1"/>
  <c r="U9" i="2" s="1"/>
  <c r="R9" i="2" a="1"/>
  <c r="R9" i="2" s="1"/>
  <c r="BG8" i="2" a="1"/>
  <c r="BG8" i="2" s="1"/>
  <c r="BG9" i="2" a="1"/>
  <c r="BG9" i="2" s="1"/>
  <c r="F7" i="2" a="1"/>
  <c r="F7" i="2" s="1"/>
  <c r="BW6" i="2" s="1" a="1"/>
  <c r="BW6" i="2" s="1"/>
  <c r="T8" i="2" a="1"/>
  <c r="T8" i="2" s="1"/>
  <c r="K8" i="2" a="1"/>
  <c r="K8" i="2" s="1"/>
  <c r="R8" i="2" a="1"/>
  <c r="R8" i="2" s="1"/>
  <c r="I8" i="2" a="1"/>
  <c r="I8" i="2" s="1"/>
  <c r="O8" i="2" a="1"/>
  <c r="O8" i="2" s="1"/>
  <c r="F8" i="2" a="1"/>
  <c r="F8" i="2" s="1"/>
  <c r="U8" i="2" a="1"/>
  <c r="U8" i="2" s="1"/>
  <c r="BW8" i="2" a="1"/>
  <c r="BW8" i="2" s="1"/>
  <c r="BG10" i="2" a="1"/>
  <c r="BG10" i="2" s="1"/>
  <c r="BK11" i="2" a="1"/>
  <c r="BK11" i="2" s="1"/>
  <c r="K13" i="2" a="1"/>
  <c r="K13" i="2" s="1"/>
  <c r="BG13" i="2" a="1"/>
  <c r="BG13" i="2" s="1"/>
  <c r="T14" i="2" a="1"/>
  <c r="T14" i="2" s="1"/>
  <c r="I14" i="2" a="1"/>
  <c r="I14" i="2" s="1"/>
  <c r="R14" i="2" a="1"/>
  <c r="R14" i="2" s="1"/>
  <c r="H14" i="2" a="1"/>
  <c r="H14" i="2" s="1"/>
  <c r="O14" i="2" a="1"/>
  <c r="O14" i="2" s="1"/>
  <c r="Q14" i="2" a="1"/>
  <c r="Q14" i="2" s="1"/>
  <c r="F14" i="2" a="1"/>
  <c r="F14" i="2" s="1"/>
  <c r="E14" i="2" a="1"/>
  <c r="E14" i="2" s="1"/>
  <c r="N14" i="2" a="1"/>
  <c r="N14" i="2" s="1"/>
  <c r="U14" i="2" a="1"/>
  <c r="U14" i="2" s="1"/>
  <c r="K14" i="2" a="1"/>
  <c r="K14" i="2" s="1"/>
  <c r="BG16" i="2" a="1"/>
  <c r="BG16" i="2" s="1"/>
  <c r="E12" i="2" a="1"/>
  <c r="E12" i="2" s="1"/>
  <c r="O15" i="2" a="1"/>
  <c r="O15" i="2" s="1"/>
  <c r="C3" i="4" a="1"/>
  <c r="C3" i="4" s="1"/>
  <c r="B6" i="3" a="1"/>
  <c r="B6" i="3" s="1"/>
  <c r="CI53" i="2" a="1"/>
  <c r="CI53" i="2" s="1"/>
  <c r="CJ53" i="2" a="1"/>
  <c r="CJ53" i="2" s="1"/>
  <c r="BV53" i="2" a="1"/>
  <c r="BV53" i="2" s="1"/>
  <c r="BV51" i="2" a="1"/>
  <c r="BV51" i="2" s="1"/>
  <c r="CK46" i="2" a="1"/>
  <c r="CK46" i="2" s="1"/>
  <c r="BH50" i="2" a="1"/>
  <c r="BH50" i="2" s="1"/>
  <c r="BV49" i="2" a="1"/>
  <c r="BV49" i="2" s="1"/>
  <c r="CI48" i="2" a="1"/>
  <c r="CI48" i="2" s="1"/>
  <c r="BH52" i="2" a="1"/>
  <c r="BH52" i="2" s="1"/>
  <c r="BU51" i="2" a="1"/>
  <c r="BU51" i="2" s="1"/>
  <c r="BJ51" i="2" a="1"/>
  <c r="BJ51" i="2" s="1"/>
  <c r="CK50" i="2" a="1"/>
  <c r="CK50" i="2" s="1"/>
  <c r="BG50" i="2" a="1"/>
  <c r="BG50" i="2" s="1"/>
  <c r="BU53" i="2" a="1"/>
  <c r="BU53" i="2" s="1"/>
  <c r="BG52" i="2" a="1"/>
  <c r="BG52" i="2" s="1"/>
  <c r="CJ50" i="2" a="1"/>
  <c r="CJ50" i="2" s="1"/>
  <c r="BJ53" i="2" a="1"/>
  <c r="BJ53" i="2" s="1"/>
  <c r="BW50" i="2" a="1"/>
  <c r="BW50" i="2" s="1"/>
  <c r="BJ48" i="2" a="1"/>
  <c r="BJ48" i="2" s="1"/>
  <c r="BU47" i="2" a="1"/>
  <c r="BU47" i="2" s="1"/>
  <c r="CJ52" i="2" a="1"/>
  <c r="CJ52" i="2" s="1"/>
  <c r="BV52" i="2" a="1"/>
  <c r="BV52" i="2" s="1"/>
  <c r="BH51" i="2" a="1"/>
  <c r="BH51" i="2" s="1"/>
  <c r="BV50" i="2" a="1"/>
  <c r="BV50" i="2" s="1"/>
  <c r="BG51" i="2" a="1"/>
  <c r="BG51" i="2" s="1"/>
  <c r="BH53" i="2" a="1"/>
  <c r="BH53" i="2" s="1"/>
  <c r="BU52" i="2" a="1"/>
  <c r="BU52" i="2" s="1"/>
  <c r="BG49" i="2" a="1"/>
  <c r="BG49" i="2" s="1"/>
  <c r="BH47" i="2" a="1"/>
  <c r="BH47" i="2" s="1"/>
  <c r="BG53" i="2" a="1"/>
  <c r="BG53" i="2" s="1"/>
  <c r="BJ52" i="2" a="1"/>
  <c r="BJ52" i="2" s="1"/>
  <c r="CJ51" i="2" a="1"/>
  <c r="CJ51" i="2" s="1"/>
  <c r="BJ50" i="2" a="1"/>
  <c r="BJ50" i="2" s="1"/>
  <c r="CJ49" i="2" a="1"/>
  <c r="CJ49" i="2" s="1"/>
  <c r="BG48" i="2" a="1"/>
  <c r="BG48" i="2" s="1"/>
  <c r="BH46" i="2" a="1"/>
  <c r="BH46" i="2" s="1"/>
  <c r="BW46" i="2" a="1"/>
  <c r="BW46" i="2" s="1"/>
  <c r="BG44" i="2" a="1"/>
  <c r="BG44" i="2" s="1"/>
  <c r="BG43" i="2" a="1"/>
  <c r="BG43" i="2" s="1"/>
  <c r="BG45" i="2" a="1"/>
  <c r="BG45" i="2" s="1"/>
  <c r="BG47" i="2" a="1"/>
  <c r="BG47" i="2" s="1"/>
  <c r="CJ46" i="2" a="1"/>
  <c r="CJ46" i="2" s="1"/>
  <c r="BV46" i="2" a="1"/>
  <c r="BV46" i="2" s="1"/>
  <c r="BJ46" i="2" a="1"/>
  <c r="BJ46" i="2" s="1"/>
  <c r="CK44" i="2" a="1"/>
  <c r="CK44" i="2" s="1"/>
  <c r="BJ42" i="2" a="1"/>
  <c r="BJ42" i="2" s="1"/>
  <c r="BJ41" i="2" a="1"/>
  <c r="BJ41" i="2" s="1"/>
  <c r="BJ40" i="2" a="1"/>
  <c r="BJ40" i="2" s="1"/>
  <c r="BJ39" i="2" a="1"/>
  <c r="BJ39" i="2" s="1"/>
  <c r="CI47" i="2" a="1"/>
  <c r="CI47" i="2" s="1"/>
  <c r="BG46" i="2" a="1"/>
  <c r="BG46" i="2" s="1"/>
  <c r="BV44" i="2" a="1"/>
  <c r="BV44" i="2" s="1"/>
  <c r="BU48" i="2" a="1"/>
  <c r="BU48" i="2" s="1"/>
  <c r="BH48" i="2" a="1"/>
  <c r="BH48" i="2" s="1"/>
  <c r="BJ49" i="2" a="1"/>
  <c r="BJ49" i="2" s="1"/>
  <c r="CI45" i="2" a="1"/>
  <c r="CI45" i="2" s="1"/>
  <c r="BJ45" i="2" a="1"/>
  <c r="BJ45" i="2" s="1"/>
  <c r="BH49" i="2" a="1"/>
  <c r="BH49" i="2" s="1"/>
  <c r="BJ47" i="2" a="1"/>
  <c r="BJ47" i="2" s="1"/>
  <c r="BU45" i="2" a="1"/>
  <c r="BU45" i="2" s="1"/>
  <c r="BH45" i="2" a="1"/>
  <c r="BH45" i="2" s="1"/>
  <c r="BH44" i="2" a="1"/>
  <c r="BH44" i="2" s="1"/>
  <c r="BV42" i="2" a="1"/>
  <c r="BV42" i="2" s="1"/>
  <c r="BH43" i="2" a="1"/>
  <c r="BH43" i="2" s="1"/>
  <c r="BH37" i="2" a="1"/>
  <c r="BH37" i="2" s="1"/>
  <c r="BJ35" i="2" a="1"/>
  <c r="BJ35" i="2" s="1"/>
  <c r="CK34" i="2" a="1"/>
  <c r="CK34" i="2" s="1"/>
  <c r="BU33" i="2" a="1"/>
  <c r="BU33" i="2" s="1"/>
  <c r="BV31" i="2" a="1"/>
  <c r="BV31" i="2" s="1"/>
  <c r="BH40" i="2" a="1"/>
  <c r="BH40" i="2" s="1"/>
  <c r="BV39" i="2" a="1"/>
  <c r="BV39" i="2" s="1"/>
  <c r="CK38" i="2" a="1"/>
  <c r="CK38" i="2" s="1"/>
  <c r="BG38" i="2" a="1"/>
  <c r="BG38" i="2" s="1"/>
  <c r="BG37" i="2" a="1"/>
  <c r="BG37" i="2" s="1"/>
  <c r="CJ36" i="2" a="1"/>
  <c r="CJ36" i="2" s="1"/>
  <c r="CJ34" i="2" a="1"/>
  <c r="CJ34" i="2" s="1"/>
  <c r="BJ32" i="2" a="1"/>
  <c r="BJ32" i="2" s="1"/>
  <c r="CI29" i="2" a="1"/>
  <c r="CI29" i="2" s="1"/>
  <c r="BV29" i="2" a="1"/>
  <c r="BV29" i="2" s="1"/>
  <c r="BV28" i="2" a="1"/>
  <c r="BV28" i="2" s="1"/>
  <c r="BH25" i="2" a="1"/>
  <c r="BH25" i="2" s="1"/>
  <c r="CJ41" i="2" a="1"/>
  <c r="CJ41" i="2" s="1"/>
  <c r="BG40" i="2" a="1"/>
  <c r="BG40" i="2" s="1"/>
  <c r="CJ38" i="2" a="1"/>
  <c r="CJ38" i="2" s="1"/>
  <c r="BW38" i="2" a="1"/>
  <c r="BW38" i="2" s="1"/>
  <c r="CJ37" i="2" a="1"/>
  <c r="CJ37" i="2" s="1"/>
  <c r="CK42" i="2" a="1"/>
  <c r="CK42" i="2" s="1"/>
  <c r="BW42" i="2" a="1"/>
  <c r="BW42" i="2" s="1"/>
  <c r="BH35" i="2" a="1"/>
  <c r="BH35" i="2" s="1"/>
  <c r="BV41" i="2" a="1"/>
  <c r="BV41" i="2" s="1"/>
  <c r="BH39" i="2" a="1"/>
  <c r="BH39" i="2" s="1"/>
  <c r="BV38" i="2" a="1"/>
  <c r="BV38" i="2" s="1"/>
  <c r="CJ42" i="2" a="1"/>
  <c r="CJ42" i="2" s="1"/>
  <c r="BV37" i="2" a="1"/>
  <c r="BV37" i="2" s="1"/>
  <c r="BG35" i="2" a="1"/>
  <c r="BG35" i="2" s="1"/>
  <c r="CJ44" i="2" a="1"/>
  <c r="CJ44" i="2" s="1"/>
  <c r="CJ40" i="2" a="1"/>
  <c r="CJ40" i="2" s="1"/>
  <c r="BG39" i="2" a="1"/>
  <c r="BG39" i="2" s="1"/>
  <c r="BJ38" i="2" a="1"/>
  <c r="BJ38" i="2" s="1"/>
  <c r="CF37" i="2" a="1"/>
  <c r="CF37" i="2" s="1"/>
  <c r="BJ44" i="2" a="1"/>
  <c r="BJ44" i="2" s="1"/>
  <c r="BJ37" i="2" a="1"/>
  <c r="BJ37" i="2" s="1"/>
  <c r="CJ33" i="2" a="1"/>
  <c r="CJ33" i="2" s="1"/>
  <c r="BU43" i="2" a="1"/>
  <c r="BU43" i="2" s="1"/>
  <c r="BJ43" i="2" a="1"/>
  <c r="BJ43" i="2" s="1"/>
  <c r="BH42" i="2" a="1"/>
  <c r="BH42" i="2" s="1"/>
  <c r="BH41" i="2" a="1"/>
  <c r="BH41" i="2" s="1"/>
  <c r="CI40" i="2" a="1"/>
  <c r="CI40" i="2" s="1"/>
  <c r="BV40" i="2" a="1"/>
  <c r="BV40" i="2" s="1"/>
  <c r="CI35" i="2" a="1"/>
  <c r="CI35" i="2" s="1"/>
  <c r="BU40" i="2" a="1"/>
  <c r="BU40" i="2" s="1"/>
  <c r="BV35" i="2" a="1"/>
  <c r="BV35" i="2" s="1"/>
  <c r="CI33" i="2" a="1"/>
  <c r="CI33" i="2" s="1"/>
  <c r="BV33" i="2" a="1"/>
  <c r="BV33" i="2" s="1"/>
  <c r="CJ31" i="2" a="1"/>
  <c r="CJ31" i="2" s="1"/>
  <c r="CI43" i="2" a="1"/>
  <c r="CI43" i="2" s="1"/>
  <c r="BG42" i="2" a="1"/>
  <c r="BG42" i="2" s="1"/>
  <c r="BG41" i="2" a="1"/>
  <c r="BG41" i="2" s="1"/>
  <c r="CJ39" i="2" a="1"/>
  <c r="CJ39" i="2" s="1"/>
  <c r="BH38" i="2" a="1"/>
  <c r="BH38" i="2" s="1"/>
  <c r="BH36" i="2" a="1"/>
  <c r="BH36" i="2" s="1"/>
  <c r="BH65" i="2" s="1" a="1"/>
  <c r="BH65" i="2" s="1"/>
  <c r="BU35" i="2" a="1"/>
  <c r="BU35" i="2" s="1"/>
  <c r="BH34" i="2" a="1"/>
  <c r="BH34" i="2" s="1"/>
  <c r="BV34" i="2" a="1"/>
  <c r="BV34" i="2" s="1"/>
  <c r="BV32" i="2" a="1"/>
  <c r="BV32" i="2" s="1"/>
  <c r="BG30" i="2" a="1"/>
  <c r="BG30" i="2" s="1"/>
  <c r="CJ24" i="2" a="1"/>
  <c r="CJ24" i="2" s="1"/>
  <c r="BJ22" i="2" a="1"/>
  <c r="BJ22" i="2" s="1"/>
  <c r="BG34" i="2" a="1"/>
  <c r="BG34" i="2" s="1"/>
  <c r="BJ33" i="2" a="1"/>
  <c r="BJ33" i="2" s="1"/>
  <c r="BG31" i="2" a="1"/>
  <c r="BG31" i="2" s="1"/>
  <c r="BH29" i="2" a="1"/>
  <c r="BH29" i="2" s="1"/>
  <c r="BH27" i="2" a="1"/>
  <c r="BH27" i="2" s="1"/>
  <c r="BH32" i="2" a="1"/>
  <c r="BH32" i="2" s="1"/>
  <c r="CK30" i="2" a="1"/>
  <c r="CK30" i="2" s="1"/>
  <c r="BG27" i="2" a="1"/>
  <c r="BG27" i="2" s="1"/>
  <c r="BG26" i="2" a="1"/>
  <c r="BG26" i="2" s="1"/>
  <c r="BG25" i="2" a="1"/>
  <c r="BG25" i="2" s="1"/>
  <c r="CJ32" i="2" a="1"/>
  <c r="CJ32" i="2" s="1"/>
  <c r="BG29" i="2" a="1"/>
  <c r="BG29" i="2" s="1"/>
  <c r="BH28" i="2" a="1"/>
  <c r="BH28" i="2" s="1"/>
  <c r="BH63" i="2" s="1" a="1"/>
  <c r="BH63" i="2" s="1"/>
  <c r="BJ24" i="2" a="1"/>
  <c r="BJ24" i="2" s="1"/>
  <c r="CJ23" i="2" a="1"/>
  <c r="CJ23" i="2" s="1"/>
  <c r="BH18" i="2" a="1"/>
  <c r="BH18" i="2" s="1"/>
  <c r="BV17" i="2" a="1"/>
  <c r="BV17" i="2" s="1"/>
  <c r="CI16" i="2" a="1"/>
  <c r="CI16" i="2" s="1"/>
  <c r="BW15" i="2" a="1"/>
  <c r="BW15" i="2" s="1"/>
  <c r="BJ36" i="2" a="1"/>
  <c r="BJ36" i="2" s="1"/>
  <c r="BJ65" i="2" s="1" a="1"/>
  <c r="BJ65" i="2" s="1"/>
  <c r="BH33" i="2" a="1"/>
  <c r="BH33" i="2" s="1"/>
  <c r="BG32" i="2" a="1"/>
  <c r="BG32" i="2" s="1"/>
  <c r="CJ30" i="2" a="1"/>
  <c r="CJ30" i="2" s="1"/>
  <c r="BW30" i="2" a="1"/>
  <c r="BW30" i="2" s="1"/>
  <c r="CI23" i="2" a="1"/>
  <c r="CI23" i="2" s="1"/>
  <c r="BV23" i="2" a="1"/>
  <c r="BV23" i="2" s="1"/>
  <c r="BH22" i="2" a="1"/>
  <c r="BH22" i="2" s="1"/>
  <c r="BH20" i="2" a="1"/>
  <c r="BH20" i="2" s="1"/>
  <c r="BG36" i="2" a="1"/>
  <c r="BG36" i="2" s="1"/>
  <c r="BG65" i="2" s="1" a="1"/>
  <c r="BG65" i="2" s="1"/>
  <c r="BV30" i="2" a="1"/>
  <c r="BV30" i="2" s="1"/>
  <c r="BG28" i="2" a="1"/>
  <c r="BG28" i="2" s="1"/>
  <c r="BG63" i="2" s="1" a="1"/>
  <c r="BG63" i="2" s="1"/>
  <c r="CJ27" i="2" a="1"/>
  <c r="CJ27" i="2" s="1"/>
  <c r="CK26" i="2" a="1"/>
  <c r="CK26" i="2" s="1"/>
  <c r="BG33" i="2" a="1"/>
  <c r="BG33" i="2" s="1"/>
  <c r="BJ30" i="2" a="1"/>
  <c r="BJ30" i="2" s="1"/>
  <c r="BW26" i="2" a="1"/>
  <c r="BW26" i="2" s="1"/>
  <c r="BH24" i="2" a="1"/>
  <c r="BH24" i="2" s="1"/>
  <c r="BU23" i="2" a="1"/>
  <c r="BU23" i="2" s="1"/>
  <c r="BJ23" i="2" a="1"/>
  <c r="BJ23" i="2" s="1"/>
  <c r="CK21" i="2" a="1"/>
  <c r="CK21" i="2" s="1"/>
  <c r="BG21" i="2" a="1"/>
  <c r="BG21" i="2" s="1"/>
  <c r="BG20" i="2" a="1"/>
  <c r="BG20" i="2" s="1"/>
  <c r="CJ18" i="2" a="1"/>
  <c r="CJ18" i="2" s="1"/>
  <c r="BJ17" i="2" a="1"/>
  <c r="BJ17" i="2" s="1"/>
  <c r="BU16" i="2" a="1"/>
  <c r="BU16" i="2" s="1"/>
  <c r="BV14" i="2" a="1"/>
  <c r="BV14" i="2" s="1"/>
  <c r="BJ31" i="2" a="1"/>
  <c r="BJ31" i="2" s="1"/>
  <c r="CJ29" i="2" a="1"/>
  <c r="CJ29" i="2" s="1"/>
  <c r="CT27" i="2" a="1"/>
  <c r="CT27" i="2" s="1"/>
  <c r="CJ26" i="2" a="1"/>
  <c r="CJ26" i="2" s="1"/>
  <c r="CJ25" i="2" a="1"/>
  <c r="CJ25" i="2" s="1"/>
  <c r="BG24" i="2" a="1"/>
  <c r="BG24" i="2" s="1"/>
  <c r="BU27" i="2" a="1"/>
  <c r="BU27" i="2" s="1"/>
  <c r="BV26" i="2" a="1"/>
  <c r="BV26" i="2" s="1"/>
  <c r="BV25" i="2" a="1"/>
  <c r="BV25" i="2" s="1"/>
  <c r="BV36" i="2" a="1"/>
  <c r="BV36" i="2" s="1"/>
  <c r="BU29" i="2" a="1"/>
  <c r="BU29" i="2" s="1"/>
  <c r="BJ29" i="2" a="1"/>
  <c r="BJ29" i="2" s="1"/>
  <c r="BJ27" i="2" a="1"/>
  <c r="BJ27" i="2" s="1"/>
  <c r="BJ26" i="2" a="1"/>
  <c r="BJ26" i="2" s="1"/>
  <c r="CJ35" i="2" a="1"/>
  <c r="CJ35" i="2" s="1"/>
  <c r="BH30" i="2" a="1"/>
  <c r="BH30" i="2" s="1"/>
  <c r="BJ25" i="2" a="1"/>
  <c r="BJ25" i="2" s="1"/>
  <c r="BG23" i="2" a="1"/>
  <c r="BG23" i="2" s="1"/>
  <c r="BV21" i="2" a="1"/>
  <c r="BV21" i="2" s="1"/>
  <c r="BW34" i="2" a="1"/>
  <c r="BW34" i="2" s="1"/>
  <c r="BJ34" i="2" a="1"/>
  <c r="BJ34" i="2" s="1"/>
  <c r="BH31" i="2" a="1"/>
  <c r="BH31" i="2" s="1"/>
  <c r="BJ28" i="2" a="1"/>
  <c r="BJ28" i="2" s="1"/>
  <c r="BJ63" i="2" s="1" a="1"/>
  <c r="BJ63" i="2" s="1"/>
  <c r="BU20" i="2" a="1"/>
  <c r="BU20" i="2" s="1"/>
  <c r="BG17" i="2" a="1"/>
  <c r="BG17" i="2" s="1"/>
  <c r="CA16" i="2" a="1"/>
  <c r="CA16" i="2" s="1"/>
  <c r="BV24" i="2" a="1"/>
  <c r="BV24" i="2" s="1"/>
  <c r="BH21" i="2" a="1"/>
  <c r="BH21" i="2" s="1"/>
  <c r="BJ15" i="2" a="1"/>
  <c r="BJ15" i="2" s="1"/>
  <c r="CJ14" i="2" a="1"/>
  <c r="CJ14" i="2" s="1"/>
  <c r="BW14" i="2" a="1"/>
  <c r="BW14" i="2" s="1"/>
  <c r="CT13" i="2" a="1"/>
  <c r="CT13" i="2" s="1"/>
  <c r="BH23" i="2" a="1"/>
  <c r="BH23" i="2" s="1"/>
  <c r="BG22" i="2" a="1"/>
  <c r="BG22" i="2" s="1"/>
  <c r="BV12" i="2" a="1"/>
  <c r="BV12" i="2" s="1"/>
  <c r="BJ7" i="2" a="1"/>
  <c r="BJ7" i="2" s="1"/>
  <c r="BH26" i="2" a="1"/>
  <c r="BH26" i="2" s="1"/>
  <c r="BW21" i="2" a="1"/>
  <c r="BW21" i="2" s="1"/>
  <c r="BJ20" i="2" a="1"/>
  <c r="BJ20" i="2" s="1"/>
  <c r="BJ19" i="2" a="1"/>
  <c r="BJ19" i="2" s="1"/>
  <c r="BV13" i="2" a="1"/>
  <c r="BV13" i="2" s="1"/>
  <c r="CB11" i="2" a="1"/>
  <c r="CB11" i="2" s="1"/>
  <c r="BJ11" i="2" a="1"/>
  <c r="BJ11" i="2" s="1"/>
  <c r="BU10" i="2" a="1"/>
  <c r="BU10" i="2" s="1"/>
  <c r="BU9" i="2" a="1"/>
  <c r="BU9" i="2" s="1"/>
  <c r="BX9" i="2" s="1" a="1"/>
  <c r="BX9" i="2" s="1"/>
  <c r="BJ6" i="2" a="1"/>
  <c r="BJ6" i="2" s="1"/>
  <c r="CK6" i="2" a="1"/>
  <c r="CK6" i="2" s="1"/>
  <c r="BJ13" i="2" a="1"/>
  <c r="BJ13" i="2" s="1"/>
  <c r="BW22" i="2" a="1"/>
  <c r="BW22" i="2" s="1"/>
  <c r="BV19" i="2" a="1"/>
  <c r="BV19" i="2" s="1"/>
  <c r="BH15" i="2" a="1"/>
  <c r="BH15" i="2" s="1"/>
  <c r="BU12" i="2" a="1"/>
  <c r="BU12" i="2" s="1"/>
  <c r="BJ10" i="2" a="1"/>
  <c r="BJ10" i="2" s="1"/>
  <c r="BJ9" i="2" a="1"/>
  <c r="BJ9" i="2" s="1"/>
  <c r="BJ8" i="2" a="1"/>
  <c r="BJ8" i="2" s="1"/>
  <c r="BV20" i="2" a="1"/>
  <c r="BV20" i="2" s="1"/>
  <c r="BV16" i="2" a="1"/>
  <c r="BV16" i="2" s="1"/>
  <c r="BJ16" i="2" a="1"/>
  <c r="BJ16" i="2" s="1"/>
  <c r="BJ60" i="2" s="1" a="1"/>
  <c r="BJ60" i="2" s="1"/>
  <c r="BJ14" i="2" a="1"/>
  <c r="BJ14" i="2" s="1"/>
  <c r="CP13" i="2" a="1"/>
  <c r="CP13" i="2" s="1"/>
  <c r="BJ12" i="2" a="1"/>
  <c r="BJ12" i="2" s="1"/>
  <c r="BJ59" i="2" s="1" a="1"/>
  <c r="BJ59" i="2" s="1"/>
  <c r="CA11" i="2" a="1"/>
  <c r="CA11" i="2" s="1"/>
  <c r="BV22" i="2" a="1"/>
  <c r="BV22" i="2" s="1"/>
  <c r="CJ19" i="2" a="1"/>
  <c r="CJ19" i="2" s="1"/>
  <c r="BH19" i="2" a="1"/>
  <c r="BH19" i="2" s="1"/>
  <c r="CK18" i="2" a="1"/>
  <c r="CK18" i="2" s="1"/>
  <c r="BV18" i="2" a="1"/>
  <c r="BV18" i="2" s="1"/>
  <c r="BJ18" i="2" a="1"/>
  <c r="BJ18" i="2" s="1"/>
  <c r="CJ16" i="2" a="1"/>
  <c r="CJ16" i="2" s="1"/>
  <c r="BG15" i="2" a="1"/>
  <c r="BG15" i="2" s="1"/>
  <c r="CI19" i="2" a="1"/>
  <c r="CI19" i="2" s="1"/>
  <c r="BG19" i="2" a="1"/>
  <c r="BG19" i="2" s="1"/>
  <c r="CO13" i="2" a="1"/>
  <c r="CO13" i="2" s="1"/>
  <c r="CT11" i="2" a="1"/>
  <c r="CT11" i="2" s="1"/>
  <c r="CJ11" i="2" a="1"/>
  <c r="CJ11" i="2" s="1"/>
  <c r="BH11" i="2" a="1"/>
  <c r="BH11" i="2" s="1"/>
  <c r="BH16" i="2" a="1"/>
  <c r="BH16" i="2" s="1"/>
  <c r="BH14" i="2" a="1"/>
  <c r="BH14" i="2" s="1"/>
  <c r="BH10" i="2" a="1"/>
  <c r="BH10" i="2" s="1"/>
  <c r="CJ9" i="2" a="1"/>
  <c r="CJ9" i="2" s="1"/>
  <c r="BH9" i="2" a="1"/>
  <c r="BH9" i="2" s="1"/>
  <c r="CJ20" i="2" a="1"/>
  <c r="CJ20" i="2" s="1"/>
  <c r="CJ17" i="2" a="1"/>
  <c r="CJ17" i="2" s="1"/>
  <c r="BH13" i="2" a="1"/>
  <c r="BH13" i="2" s="1"/>
  <c r="BH12" i="2" a="1"/>
  <c r="BH12" i="2" s="1"/>
  <c r="BH59" i="2" s="1" a="1"/>
  <c r="BH59" i="2" s="1"/>
  <c r="CI11" i="2" a="1"/>
  <c r="CI11" i="2" s="1"/>
  <c r="BW11" i="2" a="1"/>
  <c r="BW11" i="2" s="1"/>
  <c r="BG11" i="2" a="1"/>
  <c r="BG11" i="2" s="1"/>
  <c r="CJ10" i="2" a="1"/>
  <c r="CJ10" i="2" s="1"/>
  <c r="CJ8" i="2" a="1"/>
  <c r="CJ8" i="2" s="1"/>
  <c r="BH8" i="2" a="1"/>
  <c r="BH8" i="2" s="1"/>
  <c r="BH58" i="2" s="1" a="1"/>
  <c r="BH58" i="2" s="1"/>
  <c r="CI7" i="2" a="1"/>
  <c r="CI7" i="2" s="1"/>
  <c r="CL7" i="2" s="1" a="1"/>
  <c r="CL7" i="2" s="1"/>
  <c r="CK22" i="2" a="1"/>
  <c r="CK22" i="2" s="1"/>
  <c r="CJ21" i="2" a="1"/>
  <c r="CJ21" i="2" s="1"/>
  <c r="CJ22" i="2" a="1"/>
  <c r="CJ22" i="2" s="1"/>
  <c r="CI20" i="2" a="1"/>
  <c r="CI20" i="2" s="1"/>
  <c r="CI17" i="2" a="1"/>
  <c r="CI17" i="2" s="1"/>
  <c r="CK15" i="2" a="1"/>
  <c r="CK15" i="2" s="1"/>
  <c r="CK13" i="2" a="1"/>
  <c r="CK13" i="2" s="1"/>
  <c r="BJ21" i="2" a="1"/>
  <c r="BJ21" i="2" s="1"/>
  <c r="CB16" i="2" a="1"/>
  <c r="CB16" i="2" s="1"/>
  <c r="CJ15" i="2" a="1"/>
  <c r="CJ15" i="2" s="1"/>
  <c r="BV15" i="2" a="1"/>
  <c r="BV15" i="2" s="1"/>
  <c r="CK14" i="2" a="1"/>
  <c r="CK14" i="2" s="1"/>
  <c r="CJ13" i="2" a="1"/>
  <c r="CJ13" i="2" s="1"/>
  <c r="BW12" i="2" a="1"/>
  <c r="BW12" i="2" s="1"/>
  <c r="B7" i="3" a="1"/>
  <c r="B7" i="3" s="1"/>
  <c r="C4" i="4" a="1"/>
  <c r="C4" i="4" s="1"/>
  <c r="BG6" i="2" a="1"/>
  <c r="BG6" i="2" s="1"/>
  <c r="Q4" i="2" a="1"/>
  <c r="Q4" i="2" s="1"/>
  <c r="N5" i="2" a="1"/>
  <c r="N5" i="2" s="1"/>
  <c r="CK9" i="2" s="1" a="1"/>
  <c r="CK9" i="2" s="1"/>
  <c r="E5" i="2" a="1"/>
  <c r="E5" i="2" s="1"/>
  <c r="U5" i="2" a="1"/>
  <c r="U5" i="2" s="1"/>
  <c r="L5" i="2" a="1"/>
  <c r="L5" i="2" s="1"/>
  <c r="R6" i="2" a="1"/>
  <c r="R6" i="2" s="1"/>
  <c r="CP9" i="2" s="1" a="1"/>
  <c r="CP9" i="2" s="1"/>
  <c r="I6" i="2" a="1"/>
  <c r="I6" i="2" s="1"/>
  <c r="CB9" i="2" s="1" a="1"/>
  <c r="CB9" i="2" s="1"/>
  <c r="Q6" i="2" a="1"/>
  <c r="Q6" i="2" s="1"/>
  <c r="H6" i="2" a="1"/>
  <c r="H6" i="2" s="1"/>
  <c r="B31" i="3" a="1"/>
  <c r="B31" i="3" s="1"/>
  <c r="C6" i="4" a="1"/>
  <c r="C6" i="4" s="1"/>
  <c r="C7" i="4" a="1"/>
  <c r="C7" i="4" s="1"/>
  <c r="B54" i="3" a="1"/>
  <c r="B54" i="3" s="1"/>
  <c r="B55" i="3" a="1"/>
  <c r="B55" i="3" s="1"/>
  <c r="C8" i="4" a="1"/>
  <c r="C8" i="4" s="1"/>
  <c r="T9" i="2" a="1"/>
  <c r="T9" i="2" s="1"/>
  <c r="K9" i="2" a="1"/>
  <c r="K9" i="2" s="1"/>
  <c r="BV7" i="2" a="1"/>
  <c r="BV7" i="2" s="1"/>
  <c r="E8" i="2" a="1"/>
  <c r="E8" i="2" s="1"/>
  <c r="F9" i="2" a="1"/>
  <c r="F9" i="2" s="1"/>
  <c r="BI10" i="2" a="1"/>
  <c r="BI10" i="2" s="1"/>
  <c r="L14" i="2" a="1"/>
  <c r="L14" i="2" s="1"/>
  <c r="CF13" i="2" s="1" a="1"/>
  <c r="CF13" i="2" s="1"/>
  <c r="AV17" i="2" a="1"/>
  <c r="AV17" i="2" s="1"/>
  <c r="AL17" i="2" a="1"/>
  <c r="AL17" i="2" s="1"/>
  <c r="CO11" i="2" a="1"/>
  <c r="CO11" i="2" s="1"/>
  <c r="CK12" i="2" a="1"/>
  <c r="CK12" i="2" s="1"/>
  <c r="BG14" i="2" a="1"/>
  <c r="BG14" i="2" s="1"/>
  <c r="N4" i="2" a="1"/>
  <c r="N4" i="2" s="1"/>
  <c r="CK7" i="2" s="1" a="1"/>
  <c r="CK7" i="2" s="1"/>
  <c r="E4" i="2" a="1"/>
  <c r="E4" i="2" s="1"/>
  <c r="U4" i="2" a="1"/>
  <c r="U4" i="2" s="1"/>
  <c r="CT6" i="2" s="1" a="1"/>
  <c r="CT6" i="2" s="1"/>
  <c r="L4" i="2" a="1"/>
  <c r="L4" i="2" s="1"/>
  <c r="CF6" i="2" s="1" a="1"/>
  <c r="CF6" i="2" s="1"/>
  <c r="R5" i="2" a="1"/>
  <c r="R5" i="2" s="1"/>
  <c r="T6" i="2" a="1"/>
  <c r="T6" i="2" s="1"/>
  <c r="CT7" i="2" s="1" a="1"/>
  <c r="CT7" i="2" s="1"/>
  <c r="AL94" i="2" a="1"/>
  <c r="AL94" i="2" s="1"/>
  <c r="T44" i="4" s="1" a="1"/>
  <c r="T44" i="4" s="1"/>
  <c r="AL89" i="2" a="1"/>
  <c r="AL89" i="2" s="1"/>
  <c r="T39" i="4" s="1" a="1"/>
  <c r="T39" i="4" s="1"/>
  <c r="AL81" i="2" a="1"/>
  <c r="AL81" i="2" s="1"/>
  <c r="T31" i="4" s="1" a="1"/>
  <c r="T31" i="4" s="1"/>
  <c r="BD65" i="2" a="1"/>
  <c r="BD65" i="2" s="1"/>
  <c r="BH66" i="2" a="1"/>
  <c r="BH66" i="2" s="1"/>
  <c r="BI65" i="2" a="1"/>
  <c r="BI65" i="2" s="1"/>
  <c r="BD58" i="2" a="1"/>
  <c r="BD58" i="2" s="1"/>
  <c r="BD66" i="2" a="1"/>
  <c r="BD66" i="2" s="1"/>
  <c r="BD63" i="2" a="1"/>
  <c r="BD63" i="2" s="1"/>
  <c r="AL54" i="2" a="1"/>
  <c r="AL54" i="2" s="1"/>
  <c r="T4" i="4" s="1" a="1"/>
  <c r="T4" i="4" s="1"/>
  <c r="AL72" i="2" a="1"/>
  <c r="AL72" i="2" s="1"/>
  <c r="BJ66" i="2" a="1"/>
  <c r="BJ66" i="2" s="1"/>
  <c r="AL62" i="2" a="1"/>
  <c r="AL62" i="2" s="1"/>
  <c r="T12" i="4" s="1" a="1"/>
  <c r="T12" i="4" s="1"/>
  <c r="AL80" i="2" a="1"/>
  <c r="AL80" i="2" s="1"/>
  <c r="T30" i="4" s="1" a="1"/>
  <c r="T30" i="4" s="1"/>
  <c r="BK58" i="2" a="1"/>
  <c r="BK58" i="2" s="1"/>
  <c r="BK66" i="2" a="1"/>
  <c r="BK66" i="2" s="1"/>
  <c r="BI58" i="2" a="1"/>
  <c r="BI58" i="2" s="1"/>
  <c r="BG58" i="2" a="1"/>
  <c r="BG58" i="2" s="1"/>
  <c r="BD62" i="2" a="1"/>
  <c r="BD62" i="2" s="1"/>
  <c r="BJ69" i="2" a="1"/>
  <c r="BJ69" i="2" s="1"/>
  <c r="AL47" i="2" a="1"/>
  <c r="AL47" i="2" s="1"/>
  <c r="AL39" i="2" a="1"/>
  <c r="AL39" i="2" s="1"/>
  <c r="AL33" i="2" a="1"/>
  <c r="AL33" i="2" s="1"/>
  <c r="H31" i="4" s="1" a="1"/>
  <c r="H31" i="4" s="1"/>
  <c r="AL41" i="2" a="1"/>
  <c r="AL41" i="2" s="1"/>
  <c r="H39" i="4" s="1" a="1"/>
  <c r="H39" i="4" s="1"/>
  <c r="AL31" i="2" a="1"/>
  <c r="AL31" i="2" s="1"/>
  <c r="AL15" i="2" a="1"/>
  <c r="AL15" i="2" s="1"/>
  <c r="BG7" i="2" a="1"/>
  <c r="BG7" i="2" s="1"/>
  <c r="R4" i="2" a="1"/>
  <c r="R4" i="2" s="1"/>
  <c r="F5" i="2" a="1"/>
  <c r="F5" i="2" s="1"/>
  <c r="BU8" i="2" s="1" a="1"/>
  <c r="BU8" i="2" s="1"/>
  <c r="BX8" i="2" s="1" a="1"/>
  <c r="BX8" i="2" s="1"/>
  <c r="T5" i="2" a="1"/>
  <c r="T5" i="2" s="1"/>
  <c r="CT9" i="2" s="1" a="1"/>
  <c r="CT9" i="2" s="1"/>
  <c r="CJ6" i="2" a="1"/>
  <c r="CJ6" i="2" s="1"/>
  <c r="H8" i="2" a="1"/>
  <c r="H8" i="2" s="1"/>
  <c r="CB6" i="2" s="1" a="1"/>
  <c r="CB6" i="2" s="1"/>
  <c r="I9" i="2" a="1"/>
  <c r="I9" i="2" s="1"/>
  <c r="CF9" i="2" a="1"/>
  <c r="CF9" i="2" s="1"/>
  <c r="N12" i="2" a="1"/>
  <c r="N12" i="2" s="1"/>
  <c r="CK11" i="2" s="1" a="1"/>
  <c r="CK11" i="2" s="1"/>
  <c r="U13" i="2" a="1"/>
  <c r="U13" i="2" s="1"/>
  <c r="CT12" i="2" s="1" a="1"/>
  <c r="CT12" i="2" s="1"/>
  <c r="N15" i="2" a="1"/>
  <c r="N15" i="2" s="1"/>
  <c r="CJ12" i="2" s="1" a="1"/>
  <c r="CJ12" i="2" s="1"/>
  <c r="O16" i="2" a="1"/>
  <c r="O16" i="2" s="1"/>
  <c r="CI13" i="2" s="1" a="1"/>
  <c r="CI13" i="2" s="1"/>
  <c r="R24" i="2" a="1"/>
  <c r="R24" i="2" s="1"/>
  <c r="AL25" i="2" a="1"/>
  <c r="AL25" i="2" s="1"/>
  <c r="H23" i="4" s="1" a="1"/>
  <c r="H23" i="4" s="1"/>
  <c r="AV25" i="2" a="1"/>
  <c r="AV25" i="2" s="1"/>
  <c r="AV30" i="2" a="1"/>
  <c r="AV30" i="2" s="1"/>
  <c r="Q22" i="2" a="1"/>
  <c r="Q22" i="2" s="1"/>
  <c r="CO15" i="2" s="1" a="1"/>
  <c r="CO15" i="2" s="1"/>
  <c r="F22" i="2" a="1"/>
  <c r="F22" i="2" s="1"/>
  <c r="E22" i="2" a="1"/>
  <c r="E22" i="2" s="1"/>
  <c r="N22" i="2" a="1"/>
  <c r="N22" i="2" s="1"/>
  <c r="CI15" i="2" s="1" a="1"/>
  <c r="CI15" i="2" s="1"/>
  <c r="U22" i="2" a="1"/>
  <c r="U22" i="2" s="1"/>
  <c r="CT17" i="2" s="1" a="1"/>
  <c r="CT17" i="2" s="1"/>
  <c r="R22" i="2" a="1"/>
  <c r="R22" i="2" s="1"/>
  <c r="H22" i="2" a="1"/>
  <c r="H22" i="2" s="1"/>
  <c r="F16" i="2" a="1"/>
  <c r="F16" i="2" s="1"/>
  <c r="BU13" i="2" s="1" a="1"/>
  <c r="BU13" i="2" s="1"/>
  <c r="BX13" i="2" s="1" a="1"/>
  <c r="BX13" i="2" s="1"/>
  <c r="C21" i="4" a="1"/>
  <c r="C21" i="4" s="1"/>
  <c r="B34" i="3" a="1"/>
  <c r="B34" i="3" s="1"/>
  <c r="AV32" i="2" a="1"/>
  <c r="AV32" i="2" s="1"/>
  <c r="H9" i="2" a="1"/>
  <c r="H9" i="2" s="1"/>
  <c r="CB8" i="2" s="1" a="1"/>
  <c r="CB8" i="2" s="1"/>
  <c r="Q9" i="2" a="1"/>
  <c r="Q9" i="2" s="1"/>
  <c r="C13" i="4" a="1"/>
  <c r="C13" i="4" s="1"/>
  <c r="B32" i="3" a="1"/>
  <c r="B32" i="3" s="1"/>
  <c r="F15" i="2" a="1"/>
  <c r="F15" i="2" s="1"/>
  <c r="BV10" i="2" s="1" a="1"/>
  <c r="BV10" i="2" s="1"/>
  <c r="Q15" i="2" a="1"/>
  <c r="Q15" i="2" s="1"/>
  <c r="CO12" i="2" s="1" a="1"/>
  <c r="CO12" i="2" s="1"/>
  <c r="H16" i="2" a="1"/>
  <c r="H16" i="2" s="1"/>
  <c r="CB10" i="2" s="1" a="1"/>
  <c r="CB10" i="2" s="1"/>
  <c r="I16" i="2" a="1"/>
  <c r="I16" i="2" s="1"/>
  <c r="CB13" i="2" s="1" a="1"/>
  <c r="CB13" i="2" s="1"/>
  <c r="L21" i="2" a="1"/>
  <c r="L21" i="2" s="1"/>
  <c r="CF16" i="2" s="1" a="1"/>
  <c r="CF16" i="2" s="1"/>
  <c r="I22" i="2" a="1"/>
  <c r="I22" i="2" s="1"/>
  <c r="I31" i="2" a="1"/>
  <c r="I31" i="2" s="1"/>
  <c r="H31" i="2" a="1"/>
  <c r="H31" i="2" s="1"/>
  <c r="T31" i="2" a="1"/>
  <c r="T31" i="2" s="1"/>
  <c r="R31" i="2" a="1"/>
  <c r="R31" i="2" s="1"/>
  <c r="F31" i="2" a="1"/>
  <c r="F31" i="2" s="1"/>
  <c r="Q31" i="2" a="1"/>
  <c r="Q31" i="2" s="1"/>
  <c r="E31" i="2" a="1"/>
  <c r="E31" i="2" s="1"/>
  <c r="O31" i="2" a="1"/>
  <c r="O31" i="2" s="1"/>
  <c r="N31" i="2" a="1"/>
  <c r="N31" i="2" s="1"/>
  <c r="L31" i="2" a="1"/>
  <c r="L31" i="2" s="1"/>
  <c r="K31" i="2" a="1"/>
  <c r="K31" i="2" s="1"/>
  <c r="U31" i="2" a="1"/>
  <c r="U31" i="2" s="1"/>
  <c r="B10" i="3" a="1"/>
  <c r="B10" i="3" s="1"/>
  <c r="C19" i="4" a="1"/>
  <c r="C19" i="4" s="1"/>
  <c r="K22" i="2" a="1"/>
  <c r="K22" i="2" s="1"/>
  <c r="N24" i="2" a="1"/>
  <c r="N24" i="2" s="1"/>
  <c r="O24" i="2" a="1"/>
  <c r="O24" i="2" s="1"/>
  <c r="E24" i="2" a="1"/>
  <c r="E24" i="2" s="1"/>
  <c r="L24" i="2" a="1"/>
  <c r="L24" i="2" s="1"/>
  <c r="T24" i="2" a="1"/>
  <c r="T24" i="2" s="1"/>
  <c r="CT14" i="2" s="1" a="1"/>
  <c r="CT14" i="2" s="1"/>
  <c r="I24" i="2" a="1"/>
  <c r="I24" i="2" s="1"/>
  <c r="F24" i="2" a="1"/>
  <c r="F24" i="2" s="1"/>
  <c r="Q24" i="2" a="1"/>
  <c r="Q24" i="2" s="1"/>
  <c r="CP14" i="2" s="1" a="1"/>
  <c r="CP14" i="2" s="1"/>
  <c r="R30" i="2" a="1"/>
  <c r="R30" i="2" s="1"/>
  <c r="H30" i="2" a="1"/>
  <c r="H30" i="2" s="1"/>
  <c r="Q30" i="2" a="1"/>
  <c r="Q30" i="2" s="1"/>
  <c r="F30" i="2" a="1"/>
  <c r="F30" i="2" s="1"/>
  <c r="E30" i="2" a="1"/>
  <c r="E30" i="2" s="1"/>
  <c r="O30" i="2" a="1"/>
  <c r="O30" i="2" s="1"/>
  <c r="N30" i="2" a="1"/>
  <c r="N30" i="2" s="1"/>
  <c r="L30" i="2" a="1"/>
  <c r="L30" i="2" s="1"/>
  <c r="U30" i="2" a="1"/>
  <c r="U30" i="2" s="1"/>
  <c r="K30" i="2" a="1"/>
  <c r="K30" i="2" s="1"/>
  <c r="T30" i="2" a="1"/>
  <c r="T30" i="2" s="1"/>
  <c r="I30" i="2" a="1"/>
  <c r="I30" i="2" s="1"/>
  <c r="L32" i="2" a="1"/>
  <c r="L32" i="2" s="1"/>
  <c r="K15" i="2" a="1"/>
  <c r="K15" i="2" s="1"/>
  <c r="CF12" i="2" s="1" a="1"/>
  <c r="CF12" i="2" s="1"/>
  <c r="U15" i="2" a="1"/>
  <c r="U15" i="2" s="1"/>
  <c r="C15" i="4" a="1"/>
  <c r="C15" i="4" s="1"/>
  <c r="B56" i="3" a="1"/>
  <c r="B56" i="3" s="1"/>
  <c r="L22" i="2" a="1"/>
  <c r="L22" i="2" s="1"/>
  <c r="H24" i="2" a="1"/>
  <c r="H24" i="2" s="1"/>
  <c r="AV24" i="2" a="1"/>
  <c r="AV24" i="2" s="1"/>
  <c r="AL24" i="2" a="1"/>
  <c r="AL24" i="2" s="1"/>
  <c r="C24" i="4" a="1"/>
  <c r="C24" i="4" s="1"/>
  <c r="B59" i="3" a="1"/>
  <c r="B59" i="3" s="1"/>
  <c r="Q25" i="2" a="1"/>
  <c r="Q25" i="2" s="1"/>
  <c r="E25" i="2" a="1"/>
  <c r="E25" i="2" s="1"/>
  <c r="N25" i="2" a="1"/>
  <c r="N25" i="2" s="1"/>
  <c r="CK16" i="2" s="1" a="1"/>
  <c r="CK16" i="2" s="1"/>
  <c r="H29" i="2" a="1"/>
  <c r="H29" i="2" s="1"/>
  <c r="T29" i="2" a="1"/>
  <c r="T29" i="2" s="1"/>
  <c r="I29" i="2" a="1"/>
  <c r="I29" i="2" s="1"/>
  <c r="R29" i="2" a="1"/>
  <c r="R29" i="2" s="1"/>
  <c r="Q29" i="2" a="1"/>
  <c r="Q29" i="2" s="1"/>
  <c r="F29" i="2" a="1"/>
  <c r="F29" i="2" s="1"/>
  <c r="O29" i="2" a="1"/>
  <c r="O29" i="2" s="1"/>
  <c r="E29" i="2" a="1"/>
  <c r="E29" i="2" s="1"/>
  <c r="N29" i="2" a="1"/>
  <c r="N29" i="2" s="1"/>
  <c r="L29" i="2" a="1"/>
  <c r="L29" i="2" s="1"/>
  <c r="U29" i="2" a="1"/>
  <c r="U29" i="2" s="1"/>
  <c r="K29" i="2" a="1"/>
  <c r="K29" i="2" s="1"/>
  <c r="O22" i="2" a="1"/>
  <c r="O22" i="2" s="1"/>
  <c r="AL22" i="2" a="1"/>
  <c r="AL22" i="2" s="1"/>
  <c r="H20" i="4" s="1" a="1"/>
  <c r="H20" i="4" s="1"/>
  <c r="T25" i="2" a="1"/>
  <c r="T25" i="2" s="1"/>
  <c r="U28" i="2" a="1"/>
  <c r="U28" i="2" s="1"/>
  <c r="Q28" i="2" a="1"/>
  <c r="Q28" i="2" s="1"/>
  <c r="F28" i="2" a="1"/>
  <c r="F28" i="2" s="1"/>
  <c r="E28" i="2" a="1"/>
  <c r="E28" i="2" s="1"/>
  <c r="O28" i="2" a="1"/>
  <c r="O28" i="2" s="1"/>
  <c r="N28" i="2" a="1"/>
  <c r="N28" i="2" s="1"/>
  <c r="L28" i="2" a="1"/>
  <c r="L28" i="2" s="1"/>
  <c r="K28" i="2" a="1"/>
  <c r="K28" i="2" s="1"/>
  <c r="T28" i="2" a="1"/>
  <c r="T28" i="2" s="1"/>
  <c r="I28" i="2" a="1"/>
  <c r="I28" i="2" s="1"/>
  <c r="R28" i="2" a="1"/>
  <c r="R28" i="2" s="1"/>
  <c r="H28" i="2" a="1"/>
  <c r="H28" i="2" s="1"/>
  <c r="L9" i="2" a="1"/>
  <c r="L9" i="2" s="1"/>
  <c r="CF7" i="2" s="1" a="1"/>
  <c r="CF7" i="2" s="1"/>
  <c r="T16" i="2" a="1"/>
  <c r="T16" i="2" s="1"/>
  <c r="Q16" i="2" a="1"/>
  <c r="Q16" i="2" s="1"/>
  <c r="N16" i="2" a="1"/>
  <c r="N16" i="2" s="1"/>
  <c r="CK10" i="2" s="1" a="1"/>
  <c r="CK10" i="2" s="1"/>
  <c r="E23" i="2" a="1"/>
  <c r="E23" i="2" s="1"/>
  <c r="F23" i="2" a="1"/>
  <c r="F23" i="2" s="1"/>
  <c r="Q23" i="2" a="1"/>
  <c r="Q23" i="2" s="1"/>
  <c r="CP16" i="2" s="1" a="1"/>
  <c r="CP16" i="2" s="1"/>
  <c r="O23" i="2" a="1"/>
  <c r="O23" i="2" s="1"/>
  <c r="L23" i="2" a="1"/>
  <c r="L23" i="2" s="1"/>
  <c r="T23" i="2" a="1"/>
  <c r="T23" i="2" s="1"/>
  <c r="I23" i="2" a="1"/>
  <c r="I23" i="2" s="1"/>
  <c r="K24" i="2" a="1"/>
  <c r="K24" i="2" s="1"/>
  <c r="R15" i="2" a="1"/>
  <c r="R15" i="2" s="1"/>
  <c r="H15" i="2" a="1"/>
  <c r="H15" i="2" s="1"/>
  <c r="CB12" i="2" s="1" a="1"/>
  <c r="CB12" i="2" s="1"/>
  <c r="C14" i="4" a="1"/>
  <c r="C14" i="4" s="1"/>
  <c r="B33" i="3" a="1"/>
  <c r="B33" i="3" s="1"/>
  <c r="T22" i="2" a="1"/>
  <c r="T22" i="2" s="1"/>
  <c r="CT15" i="2" s="1" a="1"/>
  <c r="CT15" i="2" s="1"/>
  <c r="AV23" i="2" a="1"/>
  <c r="AV23" i="2" s="1"/>
  <c r="AL23" i="2" a="1"/>
  <c r="AL23" i="2" s="1"/>
  <c r="Q21" i="2" a="1"/>
  <c r="Q21" i="2" s="1"/>
  <c r="L25" i="2" a="1"/>
  <c r="L25" i="2" s="1"/>
  <c r="AL30" i="2" a="1"/>
  <c r="AL30" i="2" s="1"/>
  <c r="AL32" i="2" a="1"/>
  <c r="AL32" i="2" s="1"/>
  <c r="AV39" i="2" a="1"/>
  <c r="AV39" i="2" s="1"/>
  <c r="C28" i="4" a="1"/>
  <c r="C28" i="4" s="1"/>
  <c r="B13" i="3" a="1"/>
  <c r="B13" i="3" s="1"/>
  <c r="E32" i="2" a="1"/>
  <c r="E32" i="2" s="1"/>
  <c r="BW18" i="2" s="1" a="1"/>
  <c r="BW18" i="2" s="1"/>
  <c r="H33" i="2" a="1"/>
  <c r="H33" i="2" s="1"/>
  <c r="F33" i="2" a="1"/>
  <c r="F33" i="2" s="1"/>
  <c r="BU19" i="2" s="1" a="1"/>
  <c r="BU19" i="2" s="1"/>
  <c r="K33" i="2" a="1"/>
  <c r="K33" i="2" s="1"/>
  <c r="I33" i="2" a="1"/>
  <c r="I33" i="2" s="1"/>
  <c r="R33" i="2" a="1"/>
  <c r="R33" i="2" s="1"/>
  <c r="T33" i="2" a="1"/>
  <c r="T33" i="2" s="1"/>
  <c r="L38" i="2" a="1"/>
  <c r="L38" i="2" s="1"/>
  <c r="U38" i="2" a="1"/>
  <c r="U38" i="2" s="1"/>
  <c r="K38" i="2" a="1"/>
  <c r="K38" i="2" s="1"/>
  <c r="T38" i="2" a="1"/>
  <c r="T38" i="2" s="1"/>
  <c r="I38" i="2" a="1"/>
  <c r="I38" i="2" s="1"/>
  <c r="R38" i="2" a="1"/>
  <c r="R38" i="2" s="1"/>
  <c r="H38" i="2" a="1"/>
  <c r="H38" i="2" s="1"/>
  <c r="Q38" i="2" a="1"/>
  <c r="Q38" i="2" s="1"/>
  <c r="F38" i="2" a="1"/>
  <c r="F38" i="2" s="1"/>
  <c r="O38" i="2" a="1"/>
  <c r="O38" i="2" s="1"/>
  <c r="E38" i="2" a="1"/>
  <c r="E38" i="2" s="1"/>
  <c r="BW24" i="2" s="1" a="1"/>
  <c r="BW24" i="2" s="1"/>
  <c r="N38" i="2" a="1"/>
  <c r="N38" i="2" s="1"/>
  <c r="F32" i="2" a="1"/>
  <c r="F32" i="2" s="1"/>
  <c r="U33" i="2" a="1"/>
  <c r="U33" i="2" s="1"/>
  <c r="C30" i="4" a="1"/>
  <c r="C30" i="4" s="1"/>
  <c r="B37" i="3" a="1"/>
  <c r="B37" i="3" s="1"/>
  <c r="H32" i="2" a="1"/>
  <c r="H32" i="2" s="1"/>
  <c r="U32" i="2" a="1"/>
  <c r="U32" i="2" s="1"/>
  <c r="C22" i="4" a="1"/>
  <c r="C22" i="4" s="1"/>
  <c r="B35" i="3" a="1"/>
  <c r="B35" i="3" s="1"/>
  <c r="F25" i="2" a="1"/>
  <c r="F25" i="2" s="1"/>
  <c r="C29" i="4" a="1"/>
  <c r="C29" i="4" s="1"/>
  <c r="B36" i="3" a="1"/>
  <c r="B36" i="3" s="1"/>
  <c r="I32" i="2" a="1"/>
  <c r="I32" i="2" s="1"/>
  <c r="E33" i="2" a="1"/>
  <c r="E33" i="2" s="1"/>
  <c r="C27" i="4" a="1"/>
  <c r="C27" i="4" s="1"/>
  <c r="B12" i="3" a="1"/>
  <c r="B12" i="3" s="1"/>
  <c r="K32" i="2" a="1"/>
  <c r="K32" i="2" s="1"/>
  <c r="C32" i="4" a="1"/>
  <c r="C32" i="4" s="1"/>
  <c r="B61" i="3" a="1"/>
  <c r="B61" i="3" s="1"/>
  <c r="C31" i="4" a="1"/>
  <c r="C31" i="4" s="1"/>
  <c r="B60" i="3" a="1"/>
  <c r="B60" i="3" s="1"/>
  <c r="T40" i="2" a="1"/>
  <c r="T40" i="2" s="1"/>
  <c r="K40" i="2" a="1"/>
  <c r="K40" i="2" s="1"/>
  <c r="L40" i="2" a="1"/>
  <c r="L40" i="2" s="1"/>
  <c r="U40" i="2" a="1"/>
  <c r="U40" i="2" s="1"/>
  <c r="I40" i="2" a="1"/>
  <c r="I40" i="2" s="1"/>
  <c r="R40" i="2" a="1"/>
  <c r="R40" i="2" s="1"/>
  <c r="H40" i="2" a="1"/>
  <c r="H40" i="2" s="1"/>
  <c r="Q40" i="2" a="1"/>
  <c r="Q40" i="2" s="1"/>
  <c r="F40" i="2" a="1"/>
  <c r="F40" i="2" s="1"/>
  <c r="O40" i="2" a="1"/>
  <c r="O40" i="2" s="1"/>
  <c r="E40" i="2" a="1"/>
  <c r="E40" i="2" s="1"/>
  <c r="BU24" i="2" s="1" a="1"/>
  <c r="BU24" i="2" s="1"/>
  <c r="BX24" i="2" s="1" a="1"/>
  <c r="BX24" i="2" s="1"/>
  <c r="N40" i="2" a="1"/>
  <c r="N40" i="2" s="1"/>
  <c r="CI24" i="2" s="1" a="1"/>
  <c r="CI24" i="2" s="1"/>
  <c r="CL24" i="2" s="1" a="1"/>
  <c r="CL24" i="2" s="1"/>
  <c r="I25" i="2" a="1"/>
  <c r="I25" i="2" s="1"/>
  <c r="CA15" i="2" s="1" a="1"/>
  <c r="CA15" i="2" s="1"/>
  <c r="C35" i="4" a="1"/>
  <c r="C35" i="4" s="1"/>
  <c r="B14" i="3" a="1"/>
  <c r="B14" i="3" s="1"/>
  <c r="T41" i="2" a="1"/>
  <c r="T41" i="2" s="1"/>
  <c r="K41" i="2" a="1"/>
  <c r="K41" i="2" s="1"/>
  <c r="R41" i="2" a="1"/>
  <c r="R41" i="2" s="1"/>
  <c r="H41" i="2" a="1"/>
  <c r="H41" i="2" s="1"/>
  <c r="Q41" i="2" a="1"/>
  <c r="Q41" i="2" s="1"/>
  <c r="F41" i="2" a="1"/>
  <c r="F41" i="2" s="1"/>
  <c r="BW25" i="2" s="1" a="1"/>
  <c r="BW25" i="2" s="1"/>
  <c r="O41" i="2" a="1"/>
  <c r="O41" i="2" s="1"/>
  <c r="CK25" i="2" s="1" a="1"/>
  <c r="CK25" i="2" s="1"/>
  <c r="E41" i="2" a="1"/>
  <c r="E41" i="2" s="1"/>
  <c r="N41" i="2" a="1"/>
  <c r="N41" i="2" s="1"/>
  <c r="L41" i="2" a="1"/>
  <c r="L41" i="2" s="1"/>
  <c r="U41" i="2" a="1"/>
  <c r="U41" i="2" s="1"/>
  <c r="I41" i="2" a="1"/>
  <c r="I41" i="2" s="1"/>
  <c r="C20" i="4" a="1"/>
  <c r="C20" i="4" s="1"/>
  <c r="B11" i="3" a="1"/>
  <c r="B11" i="3" s="1"/>
  <c r="C23" i="4" a="1"/>
  <c r="C23" i="4" s="1"/>
  <c r="B58" i="3" a="1"/>
  <c r="B58" i="3" s="1"/>
  <c r="L33" i="2" a="1"/>
  <c r="L33" i="2" s="1"/>
  <c r="C36" i="4" a="1"/>
  <c r="C36" i="4" s="1"/>
  <c r="B15" i="3" a="1"/>
  <c r="B15" i="3" s="1"/>
  <c r="Q37" i="2" a="1"/>
  <c r="Q37" i="2" s="1"/>
  <c r="E37" i="2" a="1"/>
  <c r="E37" i="2" s="1"/>
  <c r="N37" i="2" a="1"/>
  <c r="N37" i="2" s="1"/>
  <c r="B62" i="3" a="1"/>
  <c r="B62" i="3" s="1"/>
  <c r="C39" i="4" a="1"/>
  <c r="C39" i="4" s="1"/>
  <c r="F36" i="4" a="1"/>
  <c r="F36" i="4" s="1"/>
  <c r="I37" i="2" a="1"/>
  <c r="I37" i="2" s="1"/>
  <c r="R37" i="2" a="1"/>
  <c r="R37" i="2" s="1"/>
  <c r="AL38" i="2" a="1"/>
  <c r="AL38" i="2" s="1"/>
  <c r="H36" i="4" s="1" a="1"/>
  <c r="H36" i="4" s="1"/>
  <c r="AV38" i="2" a="1"/>
  <c r="AV38" i="2" s="1"/>
  <c r="C40" i="4" a="1"/>
  <c r="C40" i="4" s="1"/>
  <c r="B63" i="3" a="1"/>
  <c r="B63" i="3" s="1"/>
  <c r="R32" i="2" a="1"/>
  <c r="R32" i="2" s="1"/>
  <c r="Q32" i="2" a="1"/>
  <c r="Q32" i="2" s="1"/>
  <c r="T32" i="2" a="1"/>
  <c r="T32" i="2" s="1"/>
  <c r="O32" i="2" a="1"/>
  <c r="O32" i="2" s="1"/>
  <c r="N33" i="2" a="1"/>
  <c r="N33" i="2" s="1"/>
  <c r="AV33" i="2" a="1"/>
  <c r="AV33" i="2" s="1"/>
  <c r="F36" i="2" a="1"/>
  <c r="F36" i="2" s="1"/>
  <c r="E36" i="2" a="1"/>
  <c r="E36" i="2" s="1"/>
  <c r="L36" i="2" a="1"/>
  <c r="L36" i="2" s="1"/>
  <c r="K36" i="2" a="1"/>
  <c r="K36" i="2" s="1"/>
  <c r="I36" i="2" a="1"/>
  <c r="I36" i="2" s="1"/>
  <c r="R36" i="2" a="1"/>
  <c r="R36" i="2" s="1"/>
  <c r="H36" i="2" a="1"/>
  <c r="H36" i="2" s="1"/>
  <c r="Q36" i="2" a="1"/>
  <c r="Q36" i="2" s="1"/>
  <c r="F38" i="4" a="1"/>
  <c r="F38" i="4" s="1"/>
  <c r="O39" i="2" a="1"/>
  <c r="O39" i="2" s="1"/>
  <c r="L39" i="2" a="1"/>
  <c r="L39" i="2" s="1"/>
  <c r="U39" i="2" a="1"/>
  <c r="U39" i="2" s="1"/>
  <c r="I39" i="2" a="1"/>
  <c r="I39" i="2" s="1"/>
  <c r="R39" i="2" a="1"/>
  <c r="R39" i="2" s="1"/>
  <c r="F39" i="2" a="1"/>
  <c r="F39" i="2" s="1"/>
  <c r="C37" i="4" a="1"/>
  <c r="C37" i="4" s="1"/>
  <c r="B38" i="3" a="1"/>
  <c r="B38" i="3" s="1"/>
  <c r="Q39" i="2" a="1"/>
  <c r="Q39" i="2" s="1"/>
  <c r="AV40" i="2" a="1"/>
  <c r="AV40" i="2" s="1"/>
  <c r="AV46" i="2" a="1"/>
  <c r="AV46" i="2" s="1"/>
  <c r="AL46" i="2" a="1"/>
  <c r="AL46" i="2" s="1"/>
  <c r="H44" i="4" s="1" a="1"/>
  <c r="H44" i="4" s="1"/>
  <c r="O37" i="2" a="1"/>
  <c r="O37" i="2" s="1"/>
  <c r="C38" i="4" a="1"/>
  <c r="C38" i="4" s="1"/>
  <c r="B39" i="3" a="1"/>
  <c r="B39" i="3" s="1"/>
  <c r="T39" i="2" a="1"/>
  <c r="T39" i="2" s="1"/>
  <c r="K39" i="2" a="1"/>
  <c r="K39" i="2" s="1"/>
  <c r="N39" i="2" a="1"/>
  <c r="N39" i="2" s="1"/>
  <c r="AL40" i="2" a="1"/>
  <c r="AL40" i="2" s="1"/>
  <c r="N45" i="2" a="1"/>
  <c r="N45" i="2" s="1"/>
  <c r="H45" i="2" a="1"/>
  <c r="H45" i="2" s="1"/>
  <c r="R45" i="2" a="1"/>
  <c r="R45" i="2" s="1"/>
  <c r="F45" i="2" a="1"/>
  <c r="F45" i="2" s="1"/>
  <c r="BU28" i="2" s="1" a="1"/>
  <c r="BU28" i="2" s="1"/>
  <c r="BX28" i="2" s="1" a="1"/>
  <c r="BX28" i="2" s="1"/>
  <c r="Q45" i="2" a="1"/>
  <c r="Q45" i="2" s="1"/>
  <c r="E45" i="2" a="1"/>
  <c r="E45" i="2" s="1"/>
  <c r="O45" i="2" a="1"/>
  <c r="O45" i="2" s="1"/>
  <c r="CI28" i="2" s="1" a="1"/>
  <c r="CI28" i="2" s="1"/>
  <c r="L45" i="2" a="1"/>
  <c r="L45" i="2" s="1"/>
  <c r="K45" i="2" a="1"/>
  <c r="K45" i="2" s="1"/>
  <c r="U45" i="2" a="1"/>
  <c r="U45" i="2" s="1"/>
  <c r="I45" i="2" a="1"/>
  <c r="I45" i="2" s="1"/>
  <c r="T45" i="2" a="1"/>
  <c r="T45" i="2" s="1"/>
  <c r="T37" i="2" a="1"/>
  <c r="T37" i="2" s="1"/>
  <c r="F46" i="4" a="1"/>
  <c r="F46" i="4" s="1"/>
  <c r="F47" i="2" a="1"/>
  <c r="F47" i="2" s="1"/>
  <c r="R47" i="2" a="1"/>
  <c r="R47" i="2" s="1"/>
  <c r="O47" i="2" a="1"/>
  <c r="O47" i="2" s="1"/>
  <c r="E44" i="2" a="1"/>
  <c r="E44" i="2" s="1"/>
  <c r="BW27" i="2" s="1" a="1"/>
  <c r="BW27" i="2" s="1"/>
  <c r="O44" i="2" a="1"/>
  <c r="O44" i="2" s="1"/>
  <c r="K48" i="2" a="1"/>
  <c r="K48" i="2" s="1"/>
  <c r="Q48" i="2" a="1"/>
  <c r="Q48" i="2" s="1"/>
  <c r="R4" i="4" a="1"/>
  <c r="R4" i="4" s="1"/>
  <c r="O53" i="2" a="1"/>
  <c r="O53" i="2" s="1"/>
  <c r="CI32" i="2" s="1" a="1"/>
  <c r="CI32" i="2" s="1"/>
  <c r="AV55" i="2" a="1"/>
  <c r="AV55" i="2" s="1"/>
  <c r="AL55" i="2" a="1"/>
  <c r="AL55" i="2" s="1"/>
  <c r="E46" i="2" a="1"/>
  <c r="E46" i="2" s="1"/>
  <c r="BW28" i="2" s="1" a="1"/>
  <c r="BW28" i="2" s="1"/>
  <c r="N46" i="2" a="1"/>
  <c r="N46" i="2" s="1"/>
  <c r="CK28" i="2" s="1" a="1"/>
  <c r="CK28" i="2" s="1"/>
  <c r="O46" i="2" a="1"/>
  <c r="O46" i="2" s="1"/>
  <c r="BS61" i="2" a="1"/>
  <c r="BS61" i="2" s="1"/>
  <c r="BS69" i="2" a="1"/>
  <c r="BS69" i="2" s="1"/>
  <c r="BS60" i="2" a="1"/>
  <c r="BS60" i="2" s="1"/>
  <c r="F44" i="2" a="1"/>
  <c r="F44" i="2" s="1"/>
  <c r="R44" i="2" a="1"/>
  <c r="R44" i="2" s="1"/>
  <c r="U47" i="2" a="1"/>
  <c r="U47" i="2" s="1"/>
  <c r="I47" i="2" a="1"/>
  <c r="I47" i="2" s="1"/>
  <c r="N47" i="2" a="1"/>
  <c r="N47" i="2" s="1"/>
  <c r="CI27" i="2" s="1" a="1"/>
  <c r="CI27" i="2" s="1"/>
  <c r="T48" i="2" a="1"/>
  <c r="T48" i="2" s="1"/>
  <c r="T49" i="2" a="1"/>
  <c r="T49" i="2" s="1"/>
  <c r="I49" i="2" a="1"/>
  <c r="I49" i="2" s="1"/>
  <c r="Q49" i="2" a="1"/>
  <c r="Q49" i="2" s="1"/>
  <c r="O49" i="2" a="1"/>
  <c r="O49" i="2" s="1"/>
  <c r="L49" i="2" a="1"/>
  <c r="L49" i="2" s="1"/>
  <c r="U49" i="2" a="1"/>
  <c r="U49" i="2" s="1"/>
  <c r="C48" i="4" a="1"/>
  <c r="C48" i="4" s="1"/>
  <c r="B65" i="3" a="1"/>
  <c r="B65" i="3" s="1"/>
  <c r="E49" i="2" a="1"/>
  <c r="E49" i="2" s="1"/>
  <c r="C44" i="4" a="1"/>
  <c r="C44" i="4" s="1"/>
  <c r="B17" i="3" a="1"/>
  <c r="B17" i="3" s="1"/>
  <c r="F49" i="2" a="1"/>
  <c r="F49" i="2" s="1"/>
  <c r="AL64" i="2" a="1"/>
  <c r="AL64" i="2" s="1"/>
  <c r="T14" i="4" s="1" a="1"/>
  <c r="T14" i="4" s="1"/>
  <c r="AV64" i="2" a="1"/>
  <c r="AV64" i="2" s="1"/>
  <c r="C47" i="4" a="1"/>
  <c r="C47" i="4" s="1"/>
  <c r="B64" i="3" a="1"/>
  <c r="B64" i="3" s="1"/>
  <c r="I46" i="2" a="1"/>
  <c r="I46" i="2" s="1"/>
  <c r="CA26" i="2" s="1" a="1"/>
  <c r="CA26" i="2" s="1"/>
  <c r="K49" i="2" a="1"/>
  <c r="K49" i="2" s="1"/>
  <c r="AV49" i="2" a="1"/>
  <c r="AV49" i="2" s="1"/>
  <c r="L44" i="2" a="1"/>
  <c r="L44" i="2" s="1"/>
  <c r="U46" i="2" a="1"/>
  <c r="U46" i="2" s="1"/>
  <c r="H47" i="2" a="1"/>
  <c r="H47" i="2" s="1"/>
  <c r="CB27" i="2" s="1" a="1"/>
  <c r="CB27" i="2" s="1"/>
  <c r="C43" i="4" a="1"/>
  <c r="C43" i="4" s="1"/>
  <c r="B16" i="3" a="1"/>
  <c r="B16" i="3" s="1"/>
  <c r="K46" i="2" a="1"/>
  <c r="K46" i="2" s="1"/>
  <c r="C46" i="4" a="1"/>
  <c r="C46" i="4" s="1"/>
  <c r="B41" i="3" a="1"/>
  <c r="B41" i="3" s="1"/>
  <c r="N48" i="2" a="1"/>
  <c r="N48" i="2" s="1"/>
  <c r="CJ28" i="2" s="1" a="1"/>
  <c r="CJ28" i="2" s="1"/>
  <c r="N49" i="2" a="1"/>
  <c r="N49" i="2" s="1"/>
  <c r="AL49" i="2" a="1"/>
  <c r="AL49" i="2" s="1"/>
  <c r="U54" i="2" a="1"/>
  <c r="U54" i="2" s="1"/>
  <c r="CT30" i="2" s="1" a="1"/>
  <c r="CT30" i="2" s="1"/>
  <c r="I54" i="2" a="1"/>
  <c r="I54" i="2" s="1"/>
  <c r="R54" i="2" a="1"/>
  <c r="R54" i="2" s="1"/>
  <c r="CP30" i="2" s="1" a="1"/>
  <c r="CP30" i="2" s="1"/>
  <c r="H54" i="2" a="1"/>
  <c r="H54" i="2" s="1"/>
  <c r="T54" i="2" a="1"/>
  <c r="T54" i="2" s="1"/>
  <c r="F54" i="2" a="1"/>
  <c r="F54" i="2" s="1"/>
  <c r="K54" i="2" a="1"/>
  <c r="K54" i="2" s="1"/>
  <c r="Q54" i="2" a="1"/>
  <c r="Q54" i="2" s="1"/>
  <c r="O54" i="2" a="1"/>
  <c r="O54" i="2" s="1"/>
  <c r="N54" i="2" a="1"/>
  <c r="N54" i="2" s="1"/>
  <c r="L54" i="2" a="1"/>
  <c r="L54" i="2" s="1"/>
  <c r="E54" i="2" a="1"/>
  <c r="E54" i="2" s="1"/>
  <c r="N44" i="2" a="1"/>
  <c r="N44" i="2" s="1"/>
  <c r="CK27" i="2" s="1" a="1"/>
  <c r="CK27" i="2" s="1"/>
  <c r="K47" i="2" a="1"/>
  <c r="K47" i="2" s="1"/>
  <c r="O3" i="4" a="1"/>
  <c r="O3" i="4" s="1"/>
  <c r="B18" i="3" a="1"/>
  <c r="B18" i="3" s="1"/>
  <c r="L46" i="2" a="1"/>
  <c r="L46" i="2" s="1"/>
  <c r="L47" i="2" a="1"/>
  <c r="L47" i="2" s="1"/>
  <c r="AL48" i="2" a="1"/>
  <c r="AL48" i="2" s="1"/>
  <c r="H46" i="4" s="1" a="1"/>
  <c r="H46" i="4" s="1"/>
  <c r="AV48" i="2" a="1"/>
  <c r="AV48" i="2" s="1"/>
  <c r="I52" i="2" a="1"/>
  <c r="I52" i="2" s="1"/>
  <c r="BS59" i="2" a="1"/>
  <c r="BS59" i="2" s="1"/>
  <c r="R64" i="2" a="1"/>
  <c r="R64" i="2" s="1"/>
  <c r="AL70" i="2" a="1"/>
  <c r="AL70" i="2" s="1"/>
  <c r="C45" i="4" a="1"/>
  <c r="C45" i="4" s="1"/>
  <c r="B40" i="3" a="1"/>
  <c r="B40" i="3" s="1"/>
  <c r="L48" i="2" a="1"/>
  <c r="L48" i="2" s="1"/>
  <c r="T52" i="2" a="1"/>
  <c r="T52" i="2" s="1"/>
  <c r="BG59" i="2" a="1"/>
  <c r="BG59" i="2" s="1"/>
  <c r="BI59" i="2" a="1"/>
  <c r="BI59" i="2" s="1"/>
  <c r="BD59" i="2" a="1"/>
  <c r="BD59" i="2" s="1"/>
  <c r="K52" i="2" a="1"/>
  <c r="K52" i="2" s="1"/>
  <c r="U53" i="2" a="1"/>
  <c r="U53" i="2" s="1"/>
  <c r="L53" i="2" a="1"/>
  <c r="L53" i="2" s="1"/>
  <c r="R53" i="2" a="1"/>
  <c r="R53" i="2" s="1"/>
  <c r="H53" i="2" a="1"/>
  <c r="H53" i="2" s="1"/>
  <c r="Q53" i="2" a="1"/>
  <c r="Q53" i="2" s="1"/>
  <c r="CO33" i="2" s="1" a="1"/>
  <c r="CO33" i="2" s="1"/>
  <c r="BS66" i="2" a="1"/>
  <c r="BS66" i="2" s="1"/>
  <c r="R13" i="4" a="1"/>
  <c r="R13" i="4" s="1"/>
  <c r="O62" i="2" a="1"/>
  <c r="O62" i="2" s="1"/>
  <c r="CI34" i="2" s="1" a="1"/>
  <c r="CI34" i="2" s="1"/>
  <c r="CL34" i="2" s="1" a="1"/>
  <c r="CL34" i="2" s="1"/>
  <c r="L62" i="2" a="1"/>
  <c r="L62" i="2" s="1"/>
  <c r="BH64" i="2" a="1"/>
  <c r="BH64" i="2" s="1"/>
  <c r="BJ64" i="2" a="1"/>
  <c r="BJ64" i="2" s="1"/>
  <c r="BG64" i="2" a="1"/>
  <c r="BG64" i="2" s="1"/>
  <c r="BK64" i="2" a="1"/>
  <c r="BK64" i="2" s="1"/>
  <c r="BI64" i="2" a="1"/>
  <c r="BI64" i="2" s="1"/>
  <c r="BD64" i="2" a="1"/>
  <c r="BD64" i="2" s="1"/>
  <c r="O7" i="4" a="1"/>
  <c r="O7" i="4" s="1"/>
  <c r="B66" i="3" a="1"/>
  <c r="B66" i="3" s="1"/>
  <c r="BK60" i="2" a="1"/>
  <c r="BK60" i="2" s="1"/>
  <c r="BH60" i="2" a="1"/>
  <c r="BH60" i="2" s="1"/>
  <c r="BD60" i="2" a="1"/>
  <c r="BD60" i="2" s="1"/>
  <c r="BG60" i="2" a="1"/>
  <c r="BG60" i="2" s="1"/>
  <c r="O14" i="4" a="1"/>
  <c r="O14" i="4" s="1"/>
  <c r="B45" i="3" a="1"/>
  <c r="B45" i="3" s="1"/>
  <c r="BK65" i="2" a="1"/>
  <c r="BK65" i="2" s="1"/>
  <c r="BH68" i="2" a="1"/>
  <c r="BH68" i="2" s="1"/>
  <c r="BJ68" i="2" a="1"/>
  <c r="BJ68" i="2" s="1"/>
  <c r="BI68" i="2" a="1"/>
  <c r="BI68" i="2" s="1"/>
  <c r="BG68" i="2" a="1"/>
  <c r="BG68" i="2" s="1"/>
  <c r="BK68" i="2" a="1"/>
  <c r="BK68" i="2" s="1"/>
  <c r="O23" i="4" a="1"/>
  <c r="O23" i="4" s="1"/>
  <c r="B70" i="3" a="1"/>
  <c r="B70" i="3" s="1"/>
  <c r="Q72" i="2" a="1"/>
  <c r="Q72" i="2" s="1"/>
  <c r="L52" i="2" a="1"/>
  <c r="L52" i="2" s="1"/>
  <c r="F62" i="2" a="1"/>
  <c r="F62" i="2" s="1"/>
  <c r="E53" i="2" a="1"/>
  <c r="E53" i="2" s="1"/>
  <c r="BK59" i="2" a="1"/>
  <c r="BK59" i="2" s="1"/>
  <c r="BI60" i="2" a="1"/>
  <c r="BI60" i="2" s="1"/>
  <c r="BD68" i="2" a="1"/>
  <c r="BD68" i="2" s="1"/>
  <c r="N69" i="2" a="1"/>
  <c r="N69" i="2" s="1"/>
  <c r="K69" i="2" a="1"/>
  <c r="K69" i="2" s="1"/>
  <c r="E69" i="2" a="1"/>
  <c r="E69" i="2" s="1"/>
  <c r="Q69" i="2" a="1"/>
  <c r="Q69" i="2" s="1"/>
  <c r="O69" i="2" a="1"/>
  <c r="O69" i="2" s="1"/>
  <c r="L69" i="2" a="1"/>
  <c r="L69" i="2" s="1"/>
  <c r="I69" i="2" a="1"/>
  <c r="I69" i="2" s="1"/>
  <c r="H69" i="2" a="1"/>
  <c r="H69" i="2" s="1"/>
  <c r="R69" i="2" a="1"/>
  <c r="R69" i="2" s="1"/>
  <c r="F48" i="2" a="1"/>
  <c r="F48" i="2" s="1"/>
  <c r="BV27" i="2" s="1" a="1"/>
  <c r="BV27" i="2" s="1"/>
  <c r="N52" i="2" a="1"/>
  <c r="N52" i="2" s="1"/>
  <c r="CK31" i="2" s="1" a="1"/>
  <c r="CK31" i="2" s="1"/>
  <c r="T53" i="2" a="1"/>
  <c r="T53" i="2" s="1"/>
  <c r="E57" i="2" a="1"/>
  <c r="E57" i="2" s="1"/>
  <c r="N57" i="2" a="1"/>
  <c r="N57" i="2" s="1"/>
  <c r="U57" i="2" a="1"/>
  <c r="U57" i="2" s="1"/>
  <c r="K57" i="2" a="1"/>
  <c r="K57" i="2" s="1"/>
  <c r="O57" i="2" a="1"/>
  <c r="O57" i="2" s="1"/>
  <c r="CK33" i="2" s="1" a="1"/>
  <c r="CK33" i="2" s="1"/>
  <c r="L57" i="2" a="1"/>
  <c r="L57" i="2" s="1"/>
  <c r="I57" i="2" a="1"/>
  <c r="I57" i="2" s="1"/>
  <c r="BK61" i="2" a="1"/>
  <c r="BK61" i="2" s="1"/>
  <c r="BD61" i="2" a="1"/>
  <c r="BD61" i="2" s="1"/>
  <c r="BJ61" i="2" a="1"/>
  <c r="BJ61" i="2" s="1"/>
  <c r="BI61" i="2" a="1"/>
  <c r="BI61" i="2" s="1"/>
  <c r="I62" i="2" a="1"/>
  <c r="I62" i="2" s="1"/>
  <c r="K77" i="2" a="1"/>
  <c r="K77" i="2" s="1"/>
  <c r="T77" i="2" a="1"/>
  <c r="T77" i="2" s="1"/>
  <c r="H77" i="2" a="1"/>
  <c r="H77" i="2" s="1"/>
  <c r="F77" i="2" a="1"/>
  <c r="F77" i="2" s="1"/>
  <c r="U77" i="2" a="1"/>
  <c r="U77" i="2" s="1"/>
  <c r="L77" i="2" a="1"/>
  <c r="L77" i="2" s="1"/>
  <c r="CF44" i="2" s="1" a="1"/>
  <c r="CF44" i="2" s="1"/>
  <c r="I77" i="2" a="1"/>
  <c r="I77" i="2" s="1"/>
  <c r="E77" i="2" a="1"/>
  <c r="E77" i="2" s="1"/>
  <c r="O77" i="2" a="1"/>
  <c r="O77" i="2" s="1"/>
  <c r="N77" i="2" a="1"/>
  <c r="N77" i="2" s="1"/>
  <c r="R77" i="2" a="1"/>
  <c r="R77" i="2" s="1"/>
  <c r="Q77" i="2" a="1"/>
  <c r="Q77" i="2" s="1"/>
  <c r="E52" i="2" a="1"/>
  <c r="E52" i="2" s="1"/>
  <c r="BW31" i="2" s="1" a="1"/>
  <c r="BW31" i="2" s="1"/>
  <c r="F53" i="2" a="1"/>
  <c r="F53" i="2" s="1"/>
  <c r="BU32" i="2" s="1" a="1"/>
  <c r="BU32" i="2" s="1"/>
  <c r="BX32" i="2" s="1" a="1"/>
  <c r="BX32" i="2" s="1"/>
  <c r="T56" i="2" a="1"/>
  <c r="T56" i="2" s="1"/>
  <c r="I56" i="2" a="1"/>
  <c r="I56" i="2" s="1"/>
  <c r="H56" i="2" a="1"/>
  <c r="H56" i="2" s="1"/>
  <c r="Q56" i="2" a="1"/>
  <c r="Q56" i="2" s="1"/>
  <c r="F56" i="2" a="1"/>
  <c r="F56" i="2" s="1"/>
  <c r="BU31" i="2" s="1" a="1"/>
  <c r="BU31" i="2" s="1"/>
  <c r="BX31" i="2" s="1" a="1"/>
  <c r="BX31" i="2" s="1"/>
  <c r="U56" i="2" a="1"/>
  <c r="U56" i="2" s="1"/>
  <c r="E56" i="2" a="1"/>
  <c r="E56" i="2" s="1"/>
  <c r="R56" i="2" a="1"/>
  <c r="R56" i="2" s="1"/>
  <c r="F63" i="2" a="1"/>
  <c r="F63" i="2" s="1"/>
  <c r="T63" i="2" a="1"/>
  <c r="T63" i="2" s="1"/>
  <c r="I63" i="2" a="1"/>
  <c r="I63" i="2" s="1"/>
  <c r="R63" i="2" a="1"/>
  <c r="R63" i="2" s="1"/>
  <c r="Q63" i="2" a="1"/>
  <c r="Q63" i="2" s="1"/>
  <c r="U63" i="2" a="1"/>
  <c r="U63" i="2" s="1"/>
  <c r="O63" i="2" a="1"/>
  <c r="O63" i="2" s="1"/>
  <c r="N63" i="2" a="1"/>
  <c r="N63" i="2" s="1"/>
  <c r="BD67" i="2" a="1"/>
  <c r="BD67" i="2" s="1"/>
  <c r="BK67" i="2" a="1"/>
  <c r="BK67" i="2" s="1"/>
  <c r="BJ67" i="2" a="1"/>
  <c r="BJ67" i="2" s="1"/>
  <c r="BI67" i="2" a="1"/>
  <c r="BI67" i="2" s="1"/>
  <c r="BH67" i="2" a="1"/>
  <c r="BH67" i="2" s="1"/>
  <c r="BG67" i="2" a="1"/>
  <c r="BG67" i="2" s="1"/>
  <c r="F69" i="2" a="1"/>
  <c r="F69" i="2" s="1"/>
  <c r="R71" i="2" a="1"/>
  <c r="R71" i="2" s="1"/>
  <c r="H71" i="2" a="1"/>
  <c r="H71" i="2" s="1"/>
  <c r="E71" i="2" a="1"/>
  <c r="E71" i="2" s="1"/>
  <c r="T71" i="2" a="1"/>
  <c r="T71" i="2" s="1"/>
  <c r="O71" i="2" a="1"/>
  <c r="O71" i="2" s="1"/>
  <c r="N71" i="2" a="1"/>
  <c r="N71" i="2" s="1"/>
  <c r="U71" i="2" a="1"/>
  <c r="U71" i="2" s="1"/>
  <c r="I71" i="2" a="1"/>
  <c r="I71" i="2" s="1"/>
  <c r="L71" i="2" a="1"/>
  <c r="L71" i="2" s="1"/>
  <c r="K71" i="2" a="1"/>
  <c r="K71" i="2" s="1"/>
  <c r="CF39" i="2" s="1" a="1"/>
  <c r="CF39" i="2" s="1"/>
  <c r="F71" i="2" a="1"/>
  <c r="F71" i="2" s="1"/>
  <c r="Q71" i="2" a="1"/>
  <c r="Q71" i="2" s="1"/>
  <c r="H48" i="2" a="1"/>
  <c r="H48" i="2" s="1"/>
  <c r="R48" i="2" a="1"/>
  <c r="R48" i="2" s="1"/>
  <c r="CO27" i="2" s="1" a="1"/>
  <c r="CO27" i="2" s="1"/>
  <c r="O52" i="2" a="1"/>
  <c r="O52" i="2" s="1"/>
  <c r="I53" i="2" a="1"/>
  <c r="I53" i="2" s="1"/>
  <c r="K56" i="2" a="1"/>
  <c r="K56" i="2" s="1"/>
  <c r="AV56" i="2" a="1"/>
  <c r="AV56" i="2" s="1"/>
  <c r="AL56" i="2" a="1"/>
  <c r="AL56" i="2" s="1"/>
  <c r="AL63" i="2" a="1"/>
  <c r="AL63" i="2" s="1"/>
  <c r="T13" i="4" s="1" a="1"/>
  <c r="T13" i="4" s="1"/>
  <c r="I64" i="2" a="1"/>
  <c r="I64" i="2" s="1"/>
  <c r="BS65" i="2" a="1"/>
  <c r="BS65" i="2" s="1"/>
  <c r="T69" i="2" a="1"/>
  <c r="T69" i="2" s="1"/>
  <c r="BH69" i="2" a="1"/>
  <c r="BH69" i="2" s="1"/>
  <c r="BG69" i="2" a="1"/>
  <c r="BG69" i="2" s="1"/>
  <c r="BD69" i="2" a="1"/>
  <c r="BD69" i="2" s="1"/>
  <c r="BK69" i="2" a="1"/>
  <c r="BK69" i="2" s="1"/>
  <c r="F52" i="2" a="1"/>
  <c r="F52" i="2" s="1"/>
  <c r="Q52" i="2" a="1"/>
  <c r="Q52" i="2" s="1"/>
  <c r="F57" i="2" a="1"/>
  <c r="F57" i="2" s="1"/>
  <c r="BG61" i="2" a="1"/>
  <c r="BG61" i="2" s="1"/>
  <c r="E63" i="2" a="1"/>
  <c r="E63" i="2" s="1"/>
  <c r="BS64" i="2" a="1"/>
  <c r="BS64" i="2" s="1"/>
  <c r="AL65" i="2" a="1"/>
  <c r="AL65" i="2" s="1"/>
  <c r="U69" i="2" a="1"/>
  <c r="U69" i="2" s="1"/>
  <c r="H52" i="2" a="1"/>
  <c r="H52" i="2" s="1"/>
  <c r="B19" i="3" a="1"/>
  <c r="B19" i="3" s="1"/>
  <c r="O4" i="4" a="1"/>
  <c r="O4" i="4" s="1"/>
  <c r="O5" i="4" a="1"/>
  <c r="O5" i="4" s="1"/>
  <c r="B42" i="3" a="1"/>
  <c r="B42" i="3" s="1"/>
  <c r="L56" i="2" a="1"/>
  <c r="L56" i="2" s="1"/>
  <c r="AL57" i="2" a="1"/>
  <c r="AL57" i="2" s="1"/>
  <c r="Q60" i="2" a="1"/>
  <c r="Q60" i="2" s="1"/>
  <c r="F60" i="2" a="1"/>
  <c r="F60" i="2" s="1"/>
  <c r="N60" i="2" a="1"/>
  <c r="N60" i="2" s="1"/>
  <c r="I60" i="2" a="1"/>
  <c r="I60" i="2" s="1"/>
  <c r="H60" i="2" a="1"/>
  <c r="H60" i="2" s="1"/>
  <c r="U60" i="2" a="1"/>
  <c r="U60" i="2" s="1"/>
  <c r="E60" i="2" a="1"/>
  <c r="E60" i="2" s="1"/>
  <c r="T60" i="2" a="1"/>
  <c r="T60" i="2" s="1"/>
  <c r="O12" i="4" a="1"/>
  <c r="O12" i="4" s="1"/>
  <c r="B21" i="3" a="1"/>
  <c r="B21" i="3" s="1"/>
  <c r="H61" i="2" a="1"/>
  <c r="H61" i="2" s="1"/>
  <c r="BH61" i="2" a="1"/>
  <c r="BH61" i="2" s="1"/>
  <c r="BS62" i="2" a="1"/>
  <c r="BS62" i="2" s="1"/>
  <c r="H63" i="2" a="1"/>
  <c r="H63" i="2" s="1"/>
  <c r="BS63" i="2" a="1"/>
  <c r="BS63" i="2" s="1"/>
  <c r="N56" i="2" a="1"/>
  <c r="N56" i="2" s="1"/>
  <c r="H57" i="2" a="1"/>
  <c r="H57" i="2" s="1"/>
  <c r="K63" i="2" a="1"/>
  <c r="K63" i="2" s="1"/>
  <c r="BI69" i="2" a="1"/>
  <c r="BI69" i="2" s="1"/>
  <c r="O22" i="4" a="1"/>
  <c r="O22" i="4" s="1"/>
  <c r="B47" i="3" a="1"/>
  <c r="B47" i="3" s="1"/>
  <c r="BJ62" i="2" a="1"/>
  <c r="BJ62" i="2" s="1"/>
  <c r="BI62" i="2" a="1"/>
  <c r="BI62" i="2" s="1"/>
  <c r="BH62" i="2" a="1"/>
  <c r="BH62" i="2" s="1"/>
  <c r="BG62" i="2" a="1"/>
  <c r="BG62" i="2" s="1"/>
  <c r="O15" i="4" a="1"/>
  <c r="O15" i="4" s="1"/>
  <c r="B68" i="3" a="1"/>
  <c r="B68" i="3" s="1"/>
  <c r="AV80" i="2" a="1"/>
  <c r="AV80" i="2" s="1"/>
  <c r="R88" i="2" a="1"/>
  <c r="R88" i="2" s="1"/>
  <c r="O39" i="4" a="1"/>
  <c r="O39" i="4" s="1"/>
  <c r="B74" i="3" a="1"/>
  <c r="B74" i="3" s="1"/>
  <c r="AV87" i="2" a="1"/>
  <c r="AV87" i="2" s="1"/>
  <c r="AL87" i="2" a="1"/>
  <c r="AL87" i="2" s="1"/>
  <c r="AL79" i="2" a="1"/>
  <c r="AL79" i="2" s="1"/>
  <c r="AV79" i="2" a="1"/>
  <c r="AV79" i="2" s="1"/>
  <c r="B71" i="3" a="1"/>
  <c r="B71" i="3" s="1"/>
  <c r="O24" i="4" a="1"/>
  <c r="O24" i="4" s="1"/>
  <c r="E73" i="2" a="1"/>
  <c r="E73" i="2" s="1"/>
  <c r="K73" i="2" a="1"/>
  <c r="K73" i="2" s="1"/>
  <c r="K79" i="2" a="1"/>
  <c r="K79" i="2" s="1"/>
  <c r="T79" i="2" a="1"/>
  <c r="T79" i="2" s="1"/>
  <c r="H79" i="2" a="1"/>
  <c r="H79" i="2" s="1"/>
  <c r="F79" i="2" a="1"/>
  <c r="F79" i="2" s="1"/>
  <c r="BV45" i="2" s="1" a="1"/>
  <c r="BV45" i="2" s="1"/>
  <c r="U79" i="2" a="1"/>
  <c r="U79" i="2" s="1"/>
  <c r="E79" i="2" a="1"/>
  <c r="E79" i="2" s="1"/>
  <c r="BV43" i="2" s="1" a="1"/>
  <c r="BV43" i="2" s="1"/>
  <c r="R79" i="2" a="1"/>
  <c r="R79" i="2" s="1"/>
  <c r="Q79" i="2" a="1"/>
  <c r="Q79" i="2" s="1"/>
  <c r="O79" i="2" a="1"/>
  <c r="O79" i="2" s="1"/>
  <c r="CJ45" i="2" s="1" a="1"/>
  <c r="CJ45" i="2" s="1"/>
  <c r="I79" i="2" a="1"/>
  <c r="I79" i="2" s="1"/>
  <c r="AL88" i="2" a="1"/>
  <c r="AL88" i="2" s="1"/>
  <c r="AV88" i="2" a="1"/>
  <c r="AV88" i="2" s="1"/>
  <c r="I81" i="2" a="1"/>
  <c r="I81" i="2" s="1"/>
  <c r="R81" i="2" a="1"/>
  <c r="R81" i="2" s="1"/>
  <c r="H81" i="2" a="1"/>
  <c r="H81" i="2" s="1"/>
  <c r="F81" i="2" a="1"/>
  <c r="F81" i="2" s="1"/>
  <c r="N81" i="2" a="1"/>
  <c r="N81" i="2" s="1"/>
  <c r="T81" i="2" a="1"/>
  <c r="T81" i="2" s="1"/>
  <c r="Q81" i="2" a="1"/>
  <c r="Q81" i="2" s="1"/>
  <c r="L81" i="2" a="1"/>
  <c r="L81" i="2" s="1"/>
  <c r="U81" i="2" a="1"/>
  <c r="U81" i="2" s="1"/>
  <c r="AV86" i="2" a="1"/>
  <c r="AV86" i="2" s="1"/>
  <c r="BJ58" i="2" a="1"/>
  <c r="BJ58" i="2" s="1"/>
  <c r="B22" i="3" a="1"/>
  <c r="B22" i="3" s="1"/>
  <c r="O19" i="4" a="1"/>
  <c r="O19" i="4" s="1"/>
  <c r="L72" i="2" a="1"/>
  <c r="L72" i="2" s="1"/>
  <c r="U72" i="2" a="1"/>
  <c r="U72" i="2" s="1"/>
  <c r="I72" i="2" a="1"/>
  <c r="I72" i="2" s="1"/>
  <c r="K72" i="2" a="1"/>
  <c r="K72" i="2" s="1"/>
  <c r="H72" i="2" a="1"/>
  <c r="H72" i="2" s="1"/>
  <c r="F72" i="2" a="1"/>
  <c r="F72" i="2" s="1"/>
  <c r="BW41" i="2" s="1" a="1"/>
  <c r="BW41" i="2" s="1"/>
  <c r="T72" i="2" a="1"/>
  <c r="T72" i="2" s="1"/>
  <c r="O72" i="2" a="1"/>
  <c r="O72" i="2" s="1"/>
  <c r="CK41" i="2" s="1" a="1"/>
  <c r="CK41" i="2" s="1"/>
  <c r="E81" i="2" a="1"/>
  <c r="E81" i="2" s="1"/>
  <c r="O45" i="4" a="1"/>
  <c r="O45" i="4" s="1"/>
  <c r="B52" i="3" a="1"/>
  <c r="B52" i="3" s="1"/>
  <c r="Q94" i="2" a="1"/>
  <c r="Q94" i="2" s="1"/>
  <c r="E94" i="2" a="1"/>
  <c r="E94" i="2" s="1"/>
  <c r="BW52" i="2" s="1" a="1"/>
  <c r="BW52" i="2" s="1"/>
  <c r="N94" i="2" a="1"/>
  <c r="N94" i="2" s="1"/>
  <c r="H94" i="2" a="1"/>
  <c r="H94" i="2" s="1"/>
  <c r="CB52" i="2" s="1" a="1"/>
  <c r="CB52" i="2" s="1"/>
  <c r="N125" i="2" a="1"/>
  <c r="N125" i="2" s="1"/>
  <c r="AF125" i="2" s="1" a="1"/>
  <c r="AF125" i="2" s="1"/>
  <c r="C195" i="3" s="1" a="1"/>
  <c r="C195" i="3" s="1"/>
  <c r="AG109" i="2" a="1"/>
  <c r="AG109" i="2" s="1"/>
  <c r="BK62" i="2" a="1"/>
  <c r="BK62" i="2" s="1"/>
  <c r="AV73" i="2" a="1"/>
  <c r="AV73" i="2" s="1"/>
  <c r="AL73" i="2" a="1"/>
  <c r="AL73" i="2" s="1"/>
  <c r="N79" i="2" a="1"/>
  <c r="N79" i="2" s="1"/>
  <c r="CJ43" i="2" s="1" a="1"/>
  <c r="CJ43" i="2" s="1"/>
  <c r="AL86" i="2" a="1"/>
  <c r="AL86" i="2" s="1"/>
  <c r="T36" i="4" s="1" a="1"/>
  <c r="T36" i="4" s="1"/>
  <c r="U89" i="2" a="1"/>
  <c r="U89" i="2" s="1"/>
  <c r="O47" i="4" a="1"/>
  <c r="O47" i="4" s="1"/>
  <c r="B76" i="3" a="1"/>
  <c r="B76" i="3" s="1"/>
  <c r="N96" i="2" a="1"/>
  <c r="N96" i="2" s="1"/>
  <c r="H96" i="2" a="1"/>
  <c r="H96" i="2" s="1"/>
  <c r="AL97" i="2" a="1"/>
  <c r="AL97" i="2" s="1"/>
  <c r="T47" i="4" s="1" a="1"/>
  <c r="T47" i="4" s="1"/>
  <c r="AV97" i="2" a="1"/>
  <c r="AV97" i="2" s="1"/>
  <c r="R61" i="2" a="1"/>
  <c r="R61" i="2" s="1"/>
  <c r="F61" i="2" a="1"/>
  <c r="F61" i="2" s="1"/>
  <c r="BW36" i="2" s="1" a="1"/>
  <c r="BW36" i="2" s="1"/>
  <c r="Q61" i="2" a="1"/>
  <c r="Q61" i="2" s="1"/>
  <c r="N61" i="2" a="1"/>
  <c r="N61" i="2" s="1"/>
  <c r="T61" i="2" a="1"/>
  <c r="T61" i="2" s="1"/>
  <c r="E64" i="2" a="1"/>
  <c r="E64" i="2" s="1"/>
  <c r="BU36" i="2" s="1" a="1"/>
  <c r="BU36" i="2" s="1"/>
  <c r="O64" i="2" a="1"/>
  <c r="O64" i="2" s="1"/>
  <c r="N64" i="2" a="1"/>
  <c r="N64" i="2" s="1"/>
  <c r="CI36" i="2" s="1" a="1"/>
  <c r="CI36" i="2" s="1"/>
  <c r="CL36" i="2" s="1" a="1"/>
  <c r="CL36" i="2" s="1"/>
  <c r="L64" i="2" a="1"/>
  <c r="L64" i="2" s="1"/>
  <c r="U64" i="2" a="1"/>
  <c r="U64" i="2" s="1"/>
  <c r="K64" i="2" a="1"/>
  <c r="K64" i="2" s="1"/>
  <c r="Q64" i="2" a="1"/>
  <c r="Q64" i="2" s="1"/>
  <c r="F64" i="2" a="1"/>
  <c r="F64" i="2" s="1"/>
  <c r="T65" i="2" a="1"/>
  <c r="T65" i="2" s="1"/>
  <c r="I65" i="2" a="1"/>
  <c r="I65" i="2" s="1"/>
  <c r="H65" i="2" a="1"/>
  <c r="H65" i="2" s="1"/>
  <c r="Q65" i="2" a="1"/>
  <c r="Q65" i="2" s="1"/>
  <c r="F65" i="2" a="1"/>
  <c r="F65" i="2" s="1"/>
  <c r="BW37" i="2" s="1" a="1"/>
  <c r="BW37" i="2" s="1"/>
  <c r="O65" i="2" a="1"/>
  <c r="O65" i="2" s="1"/>
  <c r="CK37" i="2" s="1" a="1"/>
  <c r="CK37" i="2" s="1"/>
  <c r="E65" i="2" a="1"/>
  <c r="E65" i="2" s="1"/>
  <c r="U65" i="2" a="1"/>
  <c r="U65" i="2" s="1"/>
  <c r="K65" i="2" a="1"/>
  <c r="K65" i="2" s="1"/>
  <c r="I68" i="2" a="1"/>
  <c r="I68" i="2" s="1"/>
  <c r="R68" i="2" a="1"/>
  <c r="R68" i="2" s="1"/>
  <c r="O68" i="2" a="1"/>
  <c r="O68" i="2" s="1"/>
  <c r="T68" i="2" a="1"/>
  <c r="T68" i="2" s="1"/>
  <c r="E68" i="2" a="1"/>
  <c r="E68" i="2" s="1"/>
  <c r="N68" i="2" a="1"/>
  <c r="N68" i="2" s="1"/>
  <c r="U68" i="2" a="1"/>
  <c r="U68" i="2" s="1"/>
  <c r="H68" i="2" a="1"/>
  <c r="H68" i="2" s="1"/>
  <c r="AL71" i="2" a="1"/>
  <c r="AL71" i="2" s="1"/>
  <c r="E72" i="2" a="1"/>
  <c r="E72" i="2" s="1"/>
  <c r="BU38" i="2" s="1" a="1"/>
  <c r="BU38" i="2" s="1"/>
  <c r="BX38" i="2" s="1" a="1"/>
  <c r="BX38" i="2" s="1"/>
  <c r="K81" i="2" a="1"/>
  <c r="K81" i="2" s="1"/>
  <c r="CF42" i="2" s="1" a="1"/>
  <c r="CF42" i="2" s="1"/>
  <c r="U88" i="2" a="1"/>
  <c r="U88" i="2" s="1"/>
  <c r="T88" i="2" a="1"/>
  <c r="T88" i="2" s="1"/>
  <c r="I88" i="2" a="1"/>
  <c r="I88" i="2" s="1"/>
  <c r="K88" i="2" a="1"/>
  <c r="K88" i="2" s="1"/>
  <c r="Q88" i="2" a="1"/>
  <c r="Q88" i="2" s="1"/>
  <c r="CP46" i="2" s="1" a="1"/>
  <c r="CP46" i="2" s="1"/>
  <c r="O88" i="2" a="1"/>
  <c r="O88" i="2" s="1"/>
  <c r="CK49" i="2" s="1" a="1"/>
  <c r="CK49" i="2" s="1"/>
  <c r="N88" i="2" a="1"/>
  <c r="N88" i="2" s="1"/>
  <c r="F88" i="2" a="1"/>
  <c r="F88" i="2" s="1"/>
  <c r="BW49" i="2" s="1" a="1"/>
  <c r="BW49" i="2" s="1"/>
  <c r="E88" i="2" a="1"/>
  <c r="E88" i="2" s="1"/>
  <c r="B43" i="3" a="1"/>
  <c r="B43" i="3" s="1"/>
  <c r="O6" i="4" a="1"/>
  <c r="O6" i="4" s="1"/>
  <c r="AV62" i="2" a="1"/>
  <c r="AV62" i="2" s="1"/>
  <c r="O16" i="4" a="1"/>
  <c r="O16" i="4" s="1"/>
  <c r="B69" i="3" a="1"/>
  <c r="B69" i="3" s="1"/>
  <c r="AV78" i="2" a="1"/>
  <c r="AV78" i="2" s="1"/>
  <c r="AL78" i="2" a="1"/>
  <c r="AL78" i="2" s="1"/>
  <c r="O81" i="2" a="1"/>
  <c r="O81" i="2" s="1"/>
  <c r="H88" i="2" a="1"/>
  <c r="H88" i="2" s="1"/>
  <c r="CB46" i="2" s="1" a="1"/>
  <c r="CB46" i="2" s="1"/>
  <c r="R46" i="4" a="1"/>
  <c r="R46" i="4" s="1"/>
  <c r="U95" i="2" a="1"/>
  <c r="U95" i="2" s="1"/>
  <c r="F95" i="2" a="1"/>
  <c r="F95" i="2" s="1"/>
  <c r="I95" i="2" a="1"/>
  <c r="I95" i="2" s="1"/>
  <c r="L95" i="2" a="1"/>
  <c r="L95" i="2" s="1"/>
  <c r="BS58" i="2" a="1"/>
  <c r="BS58" i="2" s="1"/>
  <c r="BS68" i="2" a="1"/>
  <c r="BS68" i="2" s="1"/>
  <c r="BS67" i="2" a="1"/>
  <c r="BS67" i="2" s="1"/>
  <c r="E61" i="2" a="1"/>
  <c r="E61" i="2" s="1"/>
  <c r="U61" i="2" a="1"/>
  <c r="U61" i="2" s="1"/>
  <c r="CT36" i="2" s="1" a="1"/>
  <c r="CT36" i="2" s="1"/>
  <c r="U62" i="2" a="1"/>
  <c r="U62" i="2" s="1"/>
  <c r="N72" i="2" a="1"/>
  <c r="N72" i="2" s="1"/>
  <c r="L88" i="2" a="1"/>
  <c r="L88" i="2" s="1"/>
  <c r="N70" i="2" a="1"/>
  <c r="N70" i="2" s="1"/>
  <c r="K70" i="2" a="1"/>
  <c r="K70" i="2" s="1"/>
  <c r="O70" i="2" a="1"/>
  <c r="O70" i="2" s="1"/>
  <c r="I78" i="2" a="1"/>
  <c r="I78" i="2" s="1"/>
  <c r="O46" i="4" a="1"/>
  <c r="O46" i="4" s="1"/>
  <c r="B53" i="3" a="1"/>
  <c r="B53" i="3" s="1"/>
  <c r="O40" i="4" a="1"/>
  <c r="O40" i="4" s="1"/>
  <c r="B75" i="3" a="1"/>
  <c r="B75" i="3" s="1"/>
  <c r="N120" i="2" a="1"/>
  <c r="N120" i="2" s="1"/>
  <c r="AF121" i="2" s="1" a="1"/>
  <c r="AF121" i="2" s="1"/>
  <c r="C191" i="3" s="1" a="1"/>
  <c r="C191" i="3" s="1"/>
  <c r="AG106" i="2" a="1"/>
  <c r="AG106" i="2" s="1"/>
  <c r="N134" i="2" a="1"/>
  <c r="N134" i="2" s="1"/>
  <c r="AF134" i="2" s="1" a="1"/>
  <c r="AF134" i="2" s="1"/>
  <c r="C217" i="3" s="1" a="1"/>
  <c r="C217" i="3" s="1"/>
  <c r="AG127" i="2" a="1"/>
  <c r="AG127" i="2" s="1"/>
  <c r="C226" i="3" a="1"/>
  <c r="C226" i="3" s="1"/>
  <c r="F89" i="2" a="1"/>
  <c r="F89" i="2" s="1"/>
  <c r="BV47" i="2" s="1" a="1"/>
  <c r="BV47" i="2" s="1"/>
  <c r="R89" i="2" a="1"/>
  <c r="R89" i="2" s="1"/>
  <c r="H89" i="2" a="1"/>
  <c r="H89" i="2" s="1"/>
  <c r="O89" i="2" a="1"/>
  <c r="O89" i="2" s="1"/>
  <c r="CJ47" i="2" s="1" a="1"/>
  <c r="CJ47" i="2" s="1"/>
  <c r="E89" i="2" a="1"/>
  <c r="E89" i="2" s="1"/>
  <c r="BV48" i="2" s="1" a="1"/>
  <c r="BV48" i="2" s="1"/>
  <c r="N89" i="2" a="1"/>
  <c r="N89" i="2" s="1"/>
  <c r="CJ48" i="2" s="1" a="1"/>
  <c r="CJ48" i="2" s="1"/>
  <c r="T89" i="2" a="1"/>
  <c r="T89" i="2" s="1"/>
  <c r="CT48" i="2" s="1" a="1"/>
  <c r="CT48" i="2" s="1"/>
  <c r="I89" i="2" a="1"/>
  <c r="I89" i="2" s="1"/>
  <c r="C203" i="3" a="1"/>
  <c r="C203" i="3" s="1"/>
  <c r="C185" i="3" a="1"/>
  <c r="C185" i="3" s="1"/>
  <c r="B203" i="3" a="1"/>
  <c r="B203" i="3" s="1"/>
  <c r="B48" i="3" a="1"/>
  <c r="B48" i="3" s="1"/>
  <c r="N121" i="2" a="1"/>
  <c r="N121" i="2" s="1"/>
  <c r="AF120" i="2" s="1" a="1"/>
  <c r="AF120" i="2" s="1"/>
  <c r="C190" i="3" s="1" a="1"/>
  <c r="C190" i="3" s="1"/>
  <c r="AG104" i="2" a="1"/>
  <c r="AG104" i="2" s="1"/>
  <c r="O43" i="4" a="1"/>
  <c r="O43" i="4" s="1"/>
  <c r="B28" i="3" a="1"/>
  <c r="B28" i="3" s="1"/>
  <c r="AV95" i="2" a="1"/>
  <c r="AV95" i="2" s="1"/>
  <c r="AV96" i="2" a="1"/>
  <c r="AV96" i="2" s="1"/>
  <c r="AL96" i="2" a="1"/>
  <c r="AL96" i="2" s="1"/>
  <c r="BI63" i="2" a="1"/>
  <c r="BI63" i="2" s="1"/>
  <c r="BI66" i="2" a="1"/>
  <c r="BI66" i="2" s="1"/>
  <c r="BG66" i="2" a="1"/>
  <c r="BG66" i="2" s="1"/>
  <c r="H70" i="2" a="1"/>
  <c r="H70" i="2" s="1"/>
  <c r="T70" i="2" a="1"/>
  <c r="T70" i="2" s="1"/>
  <c r="O78" i="2" a="1"/>
  <c r="O78" i="2" s="1"/>
  <c r="O80" i="2" a="1"/>
  <c r="O80" i="2" s="1"/>
  <c r="CK43" i="2" s="1" a="1"/>
  <c r="CK43" i="2" s="1"/>
  <c r="E80" i="2" a="1"/>
  <c r="E80" i="2" s="1"/>
  <c r="N80" i="2" a="1"/>
  <c r="N80" i="2" s="1"/>
  <c r="U80" i="2" a="1"/>
  <c r="U80" i="2" s="1"/>
  <c r="T80" i="2" a="1"/>
  <c r="T80" i="2" s="1"/>
  <c r="F80" i="2" a="1"/>
  <c r="F80" i="2" s="1"/>
  <c r="K89" i="2" a="1"/>
  <c r="K89" i="2" s="1"/>
  <c r="CF48" i="2" s="1" a="1"/>
  <c r="CF48" i="2" s="1"/>
  <c r="O93" i="2" a="1"/>
  <c r="O93" i="2" s="1"/>
  <c r="CI52" i="2" s="1" a="1"/>
  <c r="CI52" i="2" s="1"/>
  <c r="CL52" i="2" s="1" a="1"/>
  <c r="CL52" i="2" s="1"/>
  <c r="AK8" i="4" a="1"/>
  <c r="AK8" i="4" s="1"/>
  <c r="AF40" i="4" a="1"/>
  <c r="AF40" i="4" s="1"/>
  <c r="AN38" i="4" a="1"/>
  <c r="AN38" i="4" s="1"/>
  <c r="AJ31" i="4" a="1"/>
  <c r="AJ31" i="4" s="1"/>
  <c r="AF34" i="4" a="1"/>
  <c r="AF34" i="4" s="1"/>
  <c r="AO13" i="4" a="1"/>
  <c r="AO13" i="4" s="1"/>
  <c r="AG10" i="4" a="1"/>
  <c r="AG10" i="4" s="1"/>
  <c r="AB19" i="4" a="1"/>
  <c r="AB19" i="4" s="1"/>
  <c r="AJ8" i="4" a="1"/>
  <c r="AJ8" i="4" s="1"/>
  <c r="AB16" i="4" a="1"/>
  <c r="AB16" i="4" s="1"/>
  <c r="AA19" i="4" a="1"/>
  <c r="AA19" i="4" s="1"/>
  <c r="L55" i="2" a="1"/>
  <c r="L55" i="2" s="1"/>
  <c r="O11" i="4" a="1"/>
  <c r="O11" i="4" s="1"/>
  <c r="B20" i="3" a="1"/>
  <c r="B20" i="3" s="1"/>
  <c r="K62" i="2" a="1"/>
  <c r="K62" i="2" s="1"/>
  <c r="BK63" i="2" a="1"/>
  <c r="BK63" i="2" s="1"/>
  <c r="U70" i="2" a="1"/>
  <c r="U70" i="2" s="1"/>
  <c r="Q73" i="2" a="1"/>
  <c r="Q73" i="2" s="1"/>
  <c r="F73" i="2" a="1"/>
  <c r="F73" i="2" s="1"/>
  <c r="BU39" i="2" s="1" a="1"/>
  <c r="BU39" i="2" s="1"/>
  <c r="BX39" i="2" s="1" a="1"/>
  <c r="BX39" i="2" s="1"/>
  <c r="O73" i="2" a="1"/>
  <c r="O73" i="2" s="1"/>
  <c r="CI39" i="2" s="1" a="1"/>
  <c r="CI39" i="2" s="1"/>
  <c r="CL39" i="2" s="1" a="1"/>
  <c r="CL39" i="2" s="1"/>
  <c r="U73" i="2" a="1"/>
  <c r="U73" i="2" s="1"/>
  <c r="H73" i="2" a="1"/>
  <c r="H73" i="2" s="1"/>
  <c r="R73" i="2" a="1"/>
  <c r="R73" i="2" s="1"/>
  <c r="T76" i="2" a="1"/>
  <c r="T76" i="2" s="1"/>
  <c r="I76" i="2" a="1"/>
  <c r="I76" i="2" s="1"/>
  <c r="Q76" i="2" a="1"/>
  <c r="Q76" i="2" s="1"/>
  <c r="O76" i="2" a="1"/>
  <c r="O76" i="2" s="1"/>
  <c r="E76" i="2" a="1"/>
  <c r="E76" i="2" s="1"/>
  <c r="K76" i="2" a="1"/>
  <c r="K76" i="2" s="1"/>
  <c r="R76" i="2" a="1"/>
  <c r="R76" i="2" s="1"/>
  <c r="O28" i="4" a="1"/>
  <c r="O28" i="4" s="1"/>
  <c r="B25" i="3" a="1"/>
  <c r="B25" i="3" s="1"/>
  <c r="R78" i="2" a="1"/>
  <c r="R78" i="2" s="1"/>
  <c r="U92" i="2" a="1"/>
  <c r="U92" i="2" s="1"/>
  <c r="K92" i="2" a="1"/>
  <c r="K92" i="2" s="1"/>
  <c r="I92" i="2" a="1"/>
  <c r="I92" i="2" s="1"/>
  <c r="R92" i="2" a="1"/>
  <c r="R92" i="2" s="1"/>
  <c r="F92" i="2" a="1"/>
  <c r="F92" i="2" s="1"/>
  <c r="Q92" i="2" a="1"/>
  <c r="Q92" i="2" s="1"/>
  <c r="O92" i="2" a="1"/>
  <c r="O92" i="2" s="1"/>
  <c r="N92" i="2" a="1"/>
  <c r="N92" i="2" s="1"/>
  <c r="CK51" i="2" s="1" a="1"/>
  <c r="CK51" i="2" s="1"/>
  <c r="T92" i="2" a="1"/>
  <c r="T92" i="2" s="1"/>
  <c r="H92" i="2" a="1"/>
  <c r="H92" i="2" s="1"/>
  <c r="AG107" i="2" a="1"/>
  <c r="AG107" i="2" s="1"/>
  <c r="N55" i="2" a="1"/>
  <c r="N55" i="2" s="1"/>
  <c r="CI31" i="2" s="1" a="1"/>
  <c r="CI31" i="2" s="1"/>
  <c r="CL31" i="2" s="1" a="1"/>
  <c r="CL31" i="2" s="1"/>
  <c r="I70" i="2" a="1"/>
  <c r="I70" i="2" s="1"/>
  <c r="U76" i="2" a="1"/>
  <c r="U76" i="2" s="1"/>
  <c r="Q78" i="2" a="1"/>
  <c r="Q78" i="2" s="1"/>
  <c r="F78" i="2" a="1"/>
  <c r="F78" i="2" s="1"/>
  <c r="U78" i="2" a="1"/>
  <c r="U78" i="2" s="1"/>
  <c r="H78" i="2" a="1"/>
  <c r="H78" i="2" s="1"/>
  <c r="O36" i="4" a="1"/>
  <c r="O36" i="4" s="1"/>
  <c r="B27" i="3" a="1"/>
  <c r="B27" i="3" s="1"/>
  <c r="Q85" i="2" a="1"/>
  <c r="Q85" i="2" s="1"/>
  <c r="R38" i="4" a="1"/>
  <c r="R38" i="4" s="1"/>
  <c r="L87" i="2" a="1"/>
  <c r="L87" i="2" s="1"/>
  <c r="U87" i="2" a="1"/>
  <c r="U87" i="2" s="1"/>
  <c r="I87" i="2" a="1"/>
  <c r="I87" i="2" s="1"/>
  <c r="O87" i="2" a="1"/>
  <c r="O87" i="2" s="1"/>
  <c r="L89" i="2" a="1"/>
  <c r="L89" i="2" s="1"/>
  <c r="CF47" i="2" s="1" a="1"/>
  <c r="CF47" i="2" s="1"/>
  <c r="E92" i="2" a="1"/>
  <c r="E92" i="2" s="1"/>
  <c r="BW51" i="2" s="1" a="1"/>
  <c r="BW51" i="2" s="1"/>
  <c r="N95" i="2" a="1"/>
  <c r="N95" i="2" s="1"/>
  <c r="CI51" i="2" s="1" a="1"/>
  <c r="CI51" i="2" s="1"/>
  <c r="CL51" i="2" s="1" a="1"/>
  <c r="CL51" i="2" s="1"/>
  <c r="M125" i="2" a="1"/>
  <c r="M125" i="2" s="1"/>
  <c r="AA125" i="2" s="1" a="1"/>
  <c r="AA125" i="2" s="1"/>
  <c r="AE22" i="4" s="1" a="1"/>
  <c r="AE22" i="4" s="1"/>
  <c r="AG110" i="2" a="1"/>
  <c r="AG110" i="2" s="1"/>
  <c r="B67" i="3" a="1"/>
  <c r="B67" i="3" s="1"/>
  <c r="O8" i="4" a="1"/>
  <c r="O8" i="4" s="1"/>
  <c r="R62" i="2" a="1"/>
  <c r="R62" i="2" s="1"/>
  <c r="H62" i="2" a="1"/>
  <c r="H62" i="2" s="1"/>
  <c r="CA36" i="2" s="1" a="1"/>
  <c r="CA36" i="2" s="1"/>
  <c r="O13" i="4" a="1"/>
  <c r="O13" i="4" s="1"/>
  <c r="B44" i="3" a="1"/>
  <c r="B44" i="3" s="1"/>
  <c r="O21" i="4" a="1"/>
  <c r="O21" i="4" s="1"/>
  <c r="B46" i="3" a="1"/>
  <c r="B46" i="3" s="1"/>
  <c r="R36" i="4" a="1"/>
  <c r="R36" i="4" s="1"/>
  <c r="F85" i="2" a="1"/>
  <c r="F85" i="2" s="1"/>
  <c r="BW48" i="2" s="1" a="1"/>
  <c r="BW48" i="2" s="1"/>
  <c r="Q89" i="2" a="1"/>
  <c r="Q89" i="2" s="1"/>
  <c r="M126" i="2" a="1"/>
  <c r="M126" i="2" s="1"/>
  <c r="AA126" i="2" s="1" a="1"/>
  <c r="AA126" i="2" s="1"/>
  <c r="AG115" i="2" a="1"/>
  <c r="AG115" i="2" s="1"/>
  <c r="M147" i="2" a="1"/>
  <c r="M147" i="2" s="1"/>
  <c r="AG138" i="2" a="1"/>
  <c r="AG138" i="2" s="1"/>
  <c r="M143" i="2" a="1"/>
  <c r="M143" i="2" s="1"/>
  <c r="B29" i="3" a="1"/>
  <c r="B29" i="3" s="1"/>
  <c r="N62" i="2" a="1"/>
  <c r="N62" i="2" s="1"/>
  <c r="CK36" i="2" s="1" a="1"/>
  <c r="CK36" i="2" s="1"/>
  <c r="L70" i="2" a="1"/>
  <c r="L70" i="2" s="1"/>
  <c r="H76" i="2" a="1"/>
  <c r="H76" i="2" s="1"/>
  <c r="O27" i="4" a="1"/>
  <c r="O27" i="4" s="1"/>
  <c r="B24" i="3" a="1"/>
  <c r="B24" i="3" s="1"/>
  <c r="E78" i="2" a="1"/>
  <c r="E78" i="2" s="1"/>
  <c r="BW44" i="2" s="1" a="1"/>
  <c r="BW44" i="2" s="1"/>
  <c r="O30" i="4" a="1"/>
  <c r="O30" i="4" s="1"/>
  <c r="B49" i="3" a="1"/>
  <c r="B49" i="3" s="1"/>
  <c r="I80" i="2" a="1"/>
  <c r="I80" i="2" s="1"/>
  <c r="O35" i="4" a="1"/>
  <c r="O35" i="4" s="1"/>
  <c r="B26" i="3" a="1"/>
  <c r="B26" i="3" s="1"/>
  <c r="R37" i="4" a="1"/>
  <c r="R37" i="4" s="1"/>
  <c r="O86" i="2" a="1"/>
  <c r="O86" i="2" s="1"/>
  <c r="U86" i="2" a="1"/>
  <c r="U86" i="2" s="1"/>
  <c r="L92" i="2" a="1"/>
  <c r="L92" i="2" s="1"/>
  <c r="B220" i="3" a="1"/>
  <c r="B220" i="3" s="1"/>
  <c r="C210" i="3" a="1"/>
  <c r="C210" i="3" s="1"/>
  <c r="C220" i="3" a="1"/>
  <c r="C220" i="3" s="1"/>
  <c r="I85" i="2" a="1"/>
  <c r="I85" i="2" s="1"/>
  <c r="E87" i="2" a="1"/>
  <c r="E87" i="2" s="1"/>
  <c r="L93" i="2" a="1"/>
  <c r="L93" i="2" s="1"/>
  <c r="K93" i="2" a="1"/>
  <c r="K93" i="2" s="1"/>
  <c r="T96" i="2" a="1"/>
  <c r="T96" i="2" s="1"/>
  <c r="K96" i="2" a="1"/>
  <c r="K96" i="2" s="1"/>
  <c r="R96" i="2" a="1"/>
  <c r="R96" i="2" s="1"/>
  <c r="I96" i="2" a="1"/>
  <c r="I96" i="2" s="1"/>
  <c r="U96" i="2" a="1"/>
  <c r="U96" i="2" s="1"/>
  <c r="F96" i="2" a="1"/>
  <c r="F96" i="2" s="1"/>
  <c r="Q96" i="2" a="1"/>
  <c r="Q96" i="2" s="1"/>
  <c r="E96" i="2" a="1"/>
  <c r="E96" i="2" s="1"/>
  <c r="M122" i="2" a="1"/>
  <c r="M122" i="2" s="1"/>
  <c r="AA122" i="2" s="1" a="1"/>
  <c r="AA122" i="2" s="1"/>
  <c r="AG102" i="2" a="1"/>
  <c r="AG102" i="2" s="1"/>
  <c r="O32" i="4" a="1"/>
  <c r="O32" i="4" s="1"/>
  <c r="B73" i="3" a="1"/>
  <c r="B73" i="3" s="1"/>
  <c r="H85" i="2" a="1"/>
  <c r="H85" i="2" s="1"/>
  <c r="N85" i="2" a="1"/>
  <c r="N85" i="2" s="1"/>
  <c r="T87" i="2" a="1"/>
  <c r="T87" i="2" s="1"/>
  <c r="R93" i="2" a="1"/>
  <c r="R93" i="2" s="1"/>
  <c r="M120" i="2" a="1"/>
  <c r="M120" i="2" s="1"/>
  <c r="AA121" i="2" s="1" a="1"/>
  <c r="AA121" i="2" s="1"/>
  <c r="AE4" i="4" s="1" a="1"/>
  <c r="AE4" i="4" s="1"/>
  <c r="AG103" i="2" a="1"/>
  <c r="AG103" i="2" s="1"/>
  <c r="N124" i="2" a="1"/>
  <c r="N124" i="2" s="1"/>
  <c r="AF124" i="2" s="1" a="1"/>
  <c r="AF124" i="2" s="1"/>
  <c r="C194" i="3" s="1" a="1"/>
  <c r="C194" i="3" s="1"/>
  <c r="AG111" i="2" a="1"/>
  <c r="AG111" i="2" s="1"/>
  <c r="N127" i="2" a="1"/>
  <c r="N127" i="2" s="1"/>
  <c r="AF127" i="2" s="1" a="1"/>
  <c r="AF127" i="2" s="1"/>
  <c r="C197" i="3" s="1" a="1"/>
  <c r="C197" i="3" s="1"/>
  <c r="AG116" i="2" a="1"/>
  <c r="AG116" i="2" s="1"/>
  <c r="E85" i="2" a="1"/>
  <c r="E85" i="2" s="1"/>
  <c r="BU49" i="2" s="1" a="1"/>
  <c r="BU49" i="2" s="1"/>
  <c r="BX49" i="2" s="1" a="1"/>
  <c r="BX49" i="2" s="1"/>
  <c r="O85" i="2" a="1"/>
  <c r="O85" i="2" s="1"/>
  <c r="CK48" i="2" s="1" a="1"/>
  <c r="CK48" i="2" s="1"/>
  <c r="L86" i="2" a="1"/>
  <c r="L86" i="2" s="1"/>
  <c r="O37" i="4" a="1"/>
  <c r="O37" i="4" s="1"/>
  <c r="B50" i="3" a="1"/>
  <c r="B50" i="3" s="1"/>
  <c r="U93" i="2" a="1"/>
  <c r="U93" i="2" s="1"/>
  <c r="T95" i="2" a="1"/>
  <c r="T95" i="2" s="1"/>
  <c r="K95" i="2" a="1"/>
  <c r="K95" i="2" s="1"/>
  <c r="Q95" i="2" a="1"/>
  <c r="Q95" i="2" s="1"/>
  <c r="O95" i="2" a="1"/>
  <c r="O95" i="2" s="1"/>
  <c r="R95" i="2" a="1"/>
  <c r="R95" i="2" s="1"/>
  <c r="AL95" i="2" a="1"/>
  <c r="AL95" i="2" s="1"/>
  <c r="M124" i="2" a="1"/>
  <c r="M124" i="2" s="1"/>
  <c r="AA124" i="2" s="1" a="1"/>
  <c r="AA124" i="2" s="1"/>
  <c r="AE16" i="4" s="1" a="1"/>
  <c r="AE16" i="4" s="1"/>
  <c r="AG112" i="2" a="1"/>
  <c r="AG112" i="2" s="1"/>
  <c r="Q84" i="2" a="1"/>
  <c r="Q84" i="2" s="1"/>
  <c r="N84" i="2" a="1"/>
  <c r="N84" i="2" s="1"/>
  <c r="O38" i="4" a="1"/>
  <c r="O38" i="4" s="1"/>
  <c r="B51" i="3" a="1"/>
  <c r="B51" i="3" s="1"/>
  <c r="N126" i="2" a="1"/>
  <c r="N126" i="2" s="1"/>
  <c r="AF126" i="2" s="1" a="1"/>
  <c r="AF126" i="2" s="1"/>
  <c r="C196" i="3" s="1" a="1"/>
  <c r="C196" i="3" s="1"/>
  <c r="AG114" i="2" a="1"/>
  <c r="AG114" i="2" s="1"/>
  <c r="M133" i="2" a="1"/>
  <c r="M133" i="2" s="1"/>
  <c r="AA133" i="2" s="1" a="1"/>
  <c r="AA133" i="2" s="1"/>
  <c r="AI31" i="4" s="1" a="1"/>
  <c r="AI31" i="4" s="1"/>
  <c r="AG122" i="2" a="1"/>
  <c r="AG122" i="2" s="1"/>
  <c r="M132" i="2" a="1"/>
  <c r="M132" i="2" s="1"/>
  <c r="AA132" i="2" s="1" a="1"/>
  <c r="AA132" i="2" s="1"/>
  <c r="AI19" i="4" s="1" a="1"/>
  <c r="AI19" i="4" s="1"/>
  <c r="AG124" i="2" a="1"/>
  <c r="AG124" i="2" s="1"/>
  <c r="B72" i="3" a="1"/>
  <c r="B72" i="3" s="1"/>
  <c r="R85" i="2" a="1"/>
  <c r="R85" i="2" s="1"/>
  <c r="H87" i="2" a="1"/>
  <c r="H87" i="2" s="1"/>
  <c r="N87" i="2" a="1"/>
  <c r="N87" i="2" s="1"/>
  <c r="AV89" i="2" a="1"/>
  <c r="AV89" i="2" s="1"/>
  <c r="T94" i="2" a="1"/>
  <c r="T94" i="2" s="1"/>
  <c r="K94" i="2" a="1"/>
  <c r="K94" i="2" s="1"/>
  <c r="O94" i="2" a="1"/>
  <c r="O94" i="2" s="1"/>
  <c r="O96" i="2" a="1"/>
  <c r="O96" i="2" s="1"/>
  <c r="C247" i="3" a="1"/>
  <c r="C247" i="3" s="1"/>
  <c r="B247" i="3" a="1"/>
  <c r="B247" i="3" s="1"/>
  <c r="C240" i="3" a="1"/>
  <c r="C240" i="3" s="1"/>
  <c r="E84" i="2" a="1"/>
  <c r="E84" i="2" s="1"/>
  <c r="O84" i="2" a="1"/>
  <c r="O84" i="2" s="1"/>
  <c r="F86" i="2" a="1"/>
  <c r="F86" i="2" s="1"/>
  <c r="Q86" i="2" a="1"/>
  <c r="Q86" i="2" s="1"/>
  <c r="N93" i="2" a="1"/>
  <c r="N93" i="2" s="1"/>
  <c r="H95" i="2" a="1"/>
  <c r="H95" i="2" s="1"/>
  <c r="N97" i="2" a="1"/>
  <c r="N97" i="2" s="1"/>
  <c r="U97" i="2" a="1"/>
  <c r="U97" i="2" s="1"/>
  <c r="K97" i="2" a="1"/>
  <c r="K97" i="2" s="1"/>
  <c r="L97" i="2" a="1"/>
  <c r="L97" i="2" s="1"/>
  <c r="I97" i="2" a="1"/>
  <c r="I97" i="2" s="1"/>
  <c r="R97" i="2" a="1"/>
  <c r="R97" i="2" s="1"/>
  <c r="B244" i="3" a="1"/>
  <c r="B244" i="3" s="1"/>
  <c r="C244" i="3" a="1"/>
  <c r="C244" i="3" s="1"/>
  <c r="C236" i="3" a="1"/>
  <c r="C236" i="3" s="1"/>
  <c r="C213" i="3" a="1"/>
  <c r="C213" i="3" s="1"/>
  <c r="AG139" i="2" a="1"/>
  <c r="AG139" i="2" s="1"/>
  <c r="N147" i="2" a="1"/>
  <c r="N147" i="2" s="1"/>
  <c r="N143" i="2" a="1"/>
  <c r="N143" i="2" s="1"/>
  <c r="AZ25" i="4" a="1"/>
  <c r="AZ25" i="4" s="1"/>
  <c r="C252" i="3" a="1"/>
  <c r="C252" i="3" s="1"/>
  <c r="O48" i="4" a="1"/>
  <c r="O48" i="4" s="1"/>
  <c r="B77" i="3" a="1"/>
  <c r="B77" i="3" s="1"/>
  <c r="AG152" i="2" a="1"/>
  <c r="AG152" i="2" s="1"/>
  <c r="BO12" i="4" a="1"/>
  <c r="BO12" i="4" s="1"/>
  <c r="BO51" i="4" a="1"/>
  <c r="BO51" i="4" s="1"/>
  <c r="BO44" i="4" a="1"/>
  <c r="BO44" i="4" s="1"/>
  <c r="BO50" i="4" a="1"/>
  <c r="BO50" i="4" s="1"/>
  <c r="BO46" i="4" a="1"/>
  <c r="BO46" i="4" s="1"/>
  <c r="BO45" i="4" a="1"/>
  <c r="BO45" i="4" s="1"/>
  <c r="BO47" i="4" a="1"/>
  <c r="BO47" i="4" s="1"/>
  <c r="BO43" i="4" a="1"/>
  <c r="BO43" i="4" s="1"/>
  <c r="BO42" i="4" a="1"/>
  <c r="BO42" i="4" s="1"/>
  <c r="BO41" i="4" a="1"/>
  <c r="BO41" i="4" s="1"/>
  <c r="BO31" i="4" a="1"/>
  <c r="BO31" i="4" s="1"/>
  <c r="BO33" i="4" a="1"/>
  <c r="BO33" i="4" s="1"/>
  <c r="BO25" i="4" a="1"/>
  <c r="BO25" i="4" s="1"/>
  <c r="BO48" i="4" a="1"/>
  <c r="BO48" i="4" s="1"/>
  <c r="BO49" i="4" a="1"/>
  <c r="BO49" i="4" s="1"/>
  <c r="BO32" i="4" a="1"/>
  <c r="BO32" i="4" s="1"/>
  <c r="BO28" i="4" a="1"/>
  <c r="BO28" i="4" s="1"/>
  <c r="BO40" i="4" a="1"/>
  <c r="BO40" i="4" s="1"/>
  <c r="BO38" i="4" a="1"/>
  <c r="BO38" i="4" s="1"/>
  <c r="BO27" i="4" a="1"/>
  <c r="BO27" i="4" s="1"/>
  <c r="BO30" i="4" a="1"/>
  <c r="BO30" i="4" s="1"/>
  <c r="BO23" i="4" a="1"/>
  <c r="BO23" i="4" s="1"/>
  <c r="BO21" i="4" a="1"/>
  <c r="BO21" i="4" s="1"/>
  <c r="BO17" i="4" a="1"/>
  <c r="BO17" i="4" s="1"/>
  <c r="BO26" i="4" a="1"/>
  <c r="BO26" i="4" s="1"/>
  <c r="BO36" i="4" a="1"/>
  <c r="BO36" i="4" s="1"/>
  <c r="BO7" i="4" a="1"/>
  <c r="BO7" i="4" s="1"/>
  <c r="BO6" i="4" a="1"/>
  <c r="BO6" i="4" s="1"/>
  <c r="BO34" i="4" a="1"/>
  <c r="BO34" i="4" s="1"/>
  <c r="BO19" i="4" a="1"/>
  <c r="BO19" i="4" s="1"/>
  <c r="BO14" i="4" a="1"/>
  <c r="BO14" i="4" s="1"/>
  <c r="BO20" i="4" a="1"/>
  <c r="BO20" i="4" s="1"/>
  <c r="BO9" i="4" a="1"/>
  <c r="BO9" i="4" s="1"/>
  <c r="BO29" i="4" a="1"/>
  <c r="BO29" i="4" s="1"/>
  <c r="BO16" i="4" a="1"/>
  <c r="BO16" i="4" s="1"/>
  <c r="BO35" i="4" a="1"/>
  <c r="BO35" i="4" s="1"/>
  <c r="BO15" i="4" a="1"/>
  <c r="BO15" i="4" s="1"/>
  <c r="BO8" i="4" a="1"/>
  <c r="BO8" i="4" s="1"/>
  <c r="BO39" i="4" a="1"/>
  <c r="BO39" i="4" s="1"/>
  <c r="BO13" i="4" a="1"/>
  <c r="BO13" i="4" s="1"/>
  <c r="BO22" i="4" a="1"/>
  <c r="BO22" i="4" s="1"/>
  <c r="BO11" i="4" a="1"/>
  <c r="BO11" i="4" s="1"/>
  <c r="BO10" i="4" a="1"/>
  <c r="BO10" i="4" s="1"/>
  <c r="BO24" i="4" a="1"/>
  <c r="BO24" i="4" s="1"/>
  <c r="BO4" i="4" a="1"/>
  <c r="BO4" i="4" s="1"/>
  <c r="BO37" i="4" a="1"/>
  <c r="BO37" i="4" s="1"/>
  <c r="AA16" i="4" a="1"/>
  <c r="AA16" i="4" s="1"/>
  <c r="AG133" i="2" a="1"/>
  <c r="AG133" i="2" s="1"/>
  <c r="M139" i="2" a="1"/>
  <c r="M139" i="2" s="1"/>
  <c r="AA139" i="2" s="1" a="1"/>
  <c r="AA139" i="2" s="1"/>
  <c r="BA21" i="4" a="1"/>
  <c r="BA21" i="4" s="1"/>
  <c r="AG150" i="2" a="1"/>
  <c r="AG150" i="2" s="1"/>
  <c r="AG11" i="4" a="1"/>
  <c r="AG11" i="4" s="1"/>
  <c r="M127" i="2" a="1"/>
  <c r="M127" i="2" s="1"/>
  <c r="AA127" i="2" s="1" a="1"/>
  <c r="AA127" i="2" s="1"/>
  <c r="AE46" i="4" s="1" a="1"/>
  <c r="AE46" i="4" s="1"/>
  <c r="AG113" i="2" a="1"/>
  <c r="AG113" i="2" s="1"/>
  <c r="BB23" i="4" a="1"/>
  <c r="BB23" i="4" s="1"/>
  <c r="C251" i="3" a="1"/>
  <c r="C251" i="3" s="1"/>
  <c r="AC16" i="4" a="1"/>
  <c r="AC16" i="4" s="1"/>
  <c r="AB33" i="4" a="1"/>
  <c r="AB33" i="4" s="1"/>
  <c r="AF4" i="4" a="1"/>
  <c r="AF4" i="4" s="1"/>
  <c r="AG151" i="2" a="1"/>
  <c r="AG151" i="2" s="1"/>
  <c r="AB48" i="4" a="1"/>
  <c r="AB48" i="4" s="1"/>
  <c r="AJ43" i="4" a="1"/>
  <c r="AJ43" i="4" s="1"/>
  <c r="AK44" i="4" a="1"/>
  <c r="AK44" i="4" s="1"/>
  <c r="AC49" i="4" a="1"/>
  <c r="AC49" i="4" s="1"/>
  <c r="AG46" i="4" a="1"/>
  <c r="AG46" i="4" s="1"/>
  <c r="AJ44" i="4" a="1"/>
  <c r="AJ44" i="4" s="1"/>
  <c r="AF46" i="4" a="1"/>
  <c r="AF46" i="4" s="1"/>
  <c r="AJ32" i="4" a="1"/>
  <c r="AJ32" i="4" s="1"/>
  <c r="AB46" i="4" a="1"/>
  <c r="AB46" i="4" s="1"/>
  <c r="AC45" i="4" a="1"/>
  <c r="AC45" i="4" s="1"/>
  <c r="AB42" i="4" a="1"/>
  <c r="AB42" i="4" s="1"/>
  <c r="AC34" i="4" a="1"/>
  <c r="AC34" i="4" s="1"/>
  <c r="AI32" i="4" a="1"/>
  <c r="AI32" i="4" s="1"/>
  <c r="AA31" i="4" a="1"/>
  <c r="AA31" i="4" s="1"/>
  <c r="AB30" i="4" a="1"/>
  <c r="AB30" i="4" s="1"/>
  <c r="AG23" i="4" a="1"/>
  <c r="AG23" i="4" s="1"/>
  <c r="AC22" i="4" a="1"/>
  <c r="AC22" i="4" s="1"/>
  <c r="AB45" i="4" a="1"/>
  <c r="AB45" i="4" s="1"/>
  <c r="AC43" i="4" a="1"/>
  <c r="AC43" i="4" s="1"/>
  <c r="AG41" i="4" a="1"/>
  <c r="AG41" i="4" s="1"/>
  <c r="AS31" i="4" a="1"/>
  <c r="AS31" i="4" s="1"/>
  <c r="AG28" i="4" a="1"/>
  <c r="AG28" i="4" s="1"/>
  <c r="AU26" i="4" a="1"/>
  <c r="AU26" i="4" s="1"/>
  <c r="AC25" i="4" a="1"/>
  <c r="AC25" i="4" s="1"/>
  <c r="AB43" i="4" a="1"/>
  <c r="AB43" i="4" s="1"/>
  <c r="AG40" i="4" a="1"/>
  <c r="AG40" i="4" s="1"/>
  <c r="AO37" i="4" a="1"/>
  <c r="AO37" i="4" s="1"/>
  <c r="AB34" i="4" a="1"/>
  <c r="AB34" i="4" s="1"/>
  <c r="AR31" i="4" a="1"/>
  <c r="AR31" i="4" s="1"/>
  <c r="AF28" i="4" a="1"/>
  <c r="AF28" i="4" s="1"/>
  <c r="AB25" i="4" a="1"/>
  <c r="AB25" i="4" s="1"/>
  <c r="AF23" i="4" a="1"/>
  <c r="AF23" i="4" s="1"/>
  <c r="AF41" i="4" a="1"/>
  <c r="AF41" i="4" s="1"/>
  <c r="AC33" i="4" a="1"/>
  <c r="AC33" i="4" s="1"/>
  <c r="AQ31" i="4" a="1"/>
  <c r="AQ31" i="4" s="1"/>
  <c r="AC48" i="4" a="1"/>
  <c r="AC48" i="4" s="1"/>
  <c r="AF47" i="4" a="1"/>
  <c r="AF47" i="4" s="1"/>
  <c r="AC46" i="4" a="1"/>
  <c r="AC46" i="4" s="1"/>
  <c r="AK43" i="4" a="1"/>
  <c r="AK43" i="4" s="1"/>
  <c r="AE34" i="4" a="1"/>
  <c r="AE34" i="4" s="1"/>
  <c r="AI43" i="4" a="1"/>
  <c r="AI43" i="4" s="1"/>
  <c r="AC42" i="4" a="1"/>
  <c r="AC42" i="4" s="1"/>
  <c r="AA40" i="4" a="1"/>
  <c r="AA40" i="4" s="1"/>
  <c r="AB39" i="4" a="1"/>
  <c r="AB39" i="4" s="1"/>
  <c r="AC36" i="4" a="1"/>
  <c r="AC36" i="4" s="1"/>
  <c r="AG35" i="4" a="1"/>
  <c r="AG35" i="4" s="1"/>
  <c r="AC28" i="4" a="1"/>
  <c r="AC28" i="4" s="1"/>
  <c r="AC27" i="4" a="1"/>
  <c r="AC27" i="4" s="1"/>
  <c r="AB24" i="4" a="1"/>
  <c r="AB24" i="4" s="1"/>
  <c r="AC19" i="4" a="1"/>
  <c r="AC19" i="4" s="1"/>
  <c r="AB15" i="4" a="1"/>
  <c r="AB15" i="4" s="1"/>
  <c r="AB27" i="4" a="1"/>
  <c r="AB27" i="4" s="1"/>
  <c r="AB36" i="4" a="1"/>
  <c r="AB36" i="4" s="1"/>
  <c r="AF35" i="4" a="1"/>
  <c r="AF35" i="4" s="1"/>
  <c r="AG29" i="4" a="1"/>
  <c r="AG29" i="4" s="1"/>
  <c r="AB28" i="4" a="1"/>
  <c r="AB28" i="4" s="1"/>
  <c r="AW26" i="4" a="1"/>
  <c r="AW26" i="4" s="1"/>
  <c r="AE35" i="4" a="1"/>
  <c r="AE35" i="4" s="1"/>
  <c r="AF29" i="4" a="1"/>
  <c r="AF29" i="4" s="1"/>
  <c r="AB49" i="4" a="1"/>
  <c r="AB49" i="4" s="1"/>
  <c r="AN37" i="4" a="1"/>
  <c r="AN37" i="4" s="1"/>
  <c r="AK31" i="4" a="1"/>
  <c r="AK31" i="4" s="1"/>
  <c r="AE29" i="4" a="1"/>
  <c r="AE29" i="4" s="1"/>
  <c r="AA28" i="4" a="1"/>
  <c r="AA28" i="4" s="1"/>
  <c r="AV26" i="4" a="1"/>
  <c r="AV26" i="4" s="1"/>
  <c r="AW25" i="4" a="1"/>
  <c r="AW25" i="4" s="1"/>
  <c r="AC21" i="4" a="1"/>
  <c r="AC21" i="4" s="1"/>
  <c r="AB40" i="4" a="1"/>
  <c r="AB40" i="4" s="1"/>
  <c r="AC39" i="4" a="1"/>
  <c r="AC39" i="4" s="1"/>
  <c r="AG34" i="4" a="1"/>
  <c r="AG34" i="4" s="1"/>
  <c r="AG47" i="4" a="1"/>
  <c r="AG47" i="4" s="1"/>
  <c r="AM38" i="4" a="1"/>
  <c r="AM38" i="4" s="1"/>
  <c r="AF17" i="4" a="1"/>
  <c r="AF17" i="4" s="1"/>
  <c r="AC13" i="4" a="1"/>
  <c r="AC13" i="4" s="1"/>
  <c r="AC6" i="4" a="1"/>
  <c r="AC6" i="4" s="1"/>
  <c r="AF5" i="4" a="1"/>
  <c r="AF5" i="4" s="1"/>
  <c r="AC4" i="4" a="1"/>
  <c r="AC4" i="4" s="1"/>
  <c r="AC40" i="4" a="1"/>
  <c r="AC40" i="4" s="1"/>
  <c r="AC37" i="4" a="1"/>
  <c r="AC37" i="4" s="1"/>
  <c r="AC24" i="4" a="1"/>
  <c r="AC24" i="4" s="1"/>
  <c r="AK20" i="4" a="1"/>
  <c r="AK20" i="4" s="1"/>
  <c r="AF11" i="4" a="1"/>
  <c r="AF11" i="4" s="1"/>
  <c r="AA10" i="4" a="1"/>
  <c r="AA10" i="4" s="1"/>
  <c r="AJ7" i="4" a="1"/>
  <c r="AJ7" i="4" s="1"/>
  <c r="AC30" i="4" a="1"/>
  <c r="AC30" i="4" s="1"/>
  <c r="AV25" i="4" a="1"/>
  <c r="AV25" i="4" s="1"/>
  <c r="AG22" i="4" a="1"/>
  <c r="AG22" i="4" s="1"/>
  <c r="AJ20" i="4" a="1"/>
  <c r="AJ20" i="4" s="1"/>
  <c r="AK19" i="4" a="1"/>
  <c r="AK19" i="4" s="1"/>
  <c r="AG16" i="4" a="1"/>
  <c r="AG16" i="4" s="1"/>
  <c r="AO14" i="4" a="1"/>
  <c r="AO14" i="4" s="1"/>
  <c r="AB13" i="4" a="1"/>
  <c r="AB13" i="4" s="1"/>
  <c r="AC9" i="4" a="1"/>
  <c r="AC9" i="4" s="1"/>
  <c r="AB6" i="4" a="1"/>
  <c r="AB6" i="4" s="1"/>
  <c r="AB4" i="4" a="1"/>
  <c r="AB4" i="4" s="1"/>
  <c r="AA43" i="4" a="1"/>
  <c r="AA43" i="4" s="1"/>
  <c r="AB37" i="4" a="1"/>
  <c r="AB37" i="4" s="1"/>
  <c r="AS32" i="4" a="1"/>
  <c r="AS32" i="4" s="1"/>
  <c r="AI20" i="4" a="1"/>
  <c r="AI20" i="4" s="1"/>
  <c r="AA13" i="4" a="1"/>
  <c r="AA13" i="4" s="1"/>
  <c r="AB9" i="4" a="1"/>
  <c r="AB9" i="4" s="1"/>
  <c r="AI7" i="4" a="1"/>
  <c r="AI7" i="4" s="1"/>
  <c r="AU25" i="4" a="1"/>
  <c r="AU25" i="4" s="1"/>
  <c r="AF22" i="4" a="1"/>
  <c r="AF22" i="4" s="1"/>
  <c r="AB21" i="4" a="1"/>
  <c r="AB21" i="4" s="1"/>
  <c r="AJ19" i="4" a="1"/>
  <c r="AJ19" i="4" s="1"/>
  <c r="AF16" i="4" a="1"/>
  <c r="AF16" i="4" s="1"/>
  <c r="AN14" i="4" a="1"/>
  <c r="AN14" i="4" s="1"/>
  <c r="AO38" i="4" a="1"/>
  <c r="AO38" i="4" s="1"/>
  <c r="AB31" i="4" a="1"/>
  <c r="AB31" i="4" s="1"/>
  <c r="AB18" i="4" a="1"/>
  <c r="AB18" i="4" s="1"/>
  <c r="AG17" i="4" a="1"/>
  <c r="AG17" i="4" s="1"/>
  <c r="AC15" i="4" a="1"/>
  <c r="AC15" i="4" s="1"/>
  <c r="AM13" i="4" a="1"/>
  <c r="AM13" i="4" s="1"/>
  <c r="AI8" i="4" a="1"/>
  <c r="AI8" i="4" s="1"/>
  <c r="AG5" i="4" a="1"/>
  <c r="AG5" i="4" s="1"/>
  <c r="AQ32" i="4" a="1"/>
  <c r="AQ32" i="4" s="1"/>
  <c r="AB22" i="4" a="1"/>
  <c r="AB22" i="4" s="1"/>
  <c r="AC12" i="4" a="1"/>
  <c r="AC12" i="4" s="1"/>
  <c r="AE10" i="4" a="1"/>
  <c r="AE10" i="4" s="1"/>
  <c r="AK7" i="4" a="1"/>
  <c r="AK7" i="4" s="1"/>
  <c r="AK32" i="4" a="1"/>
  <c r="AK32" i="4" s="1"/>
  <c r="AC18" i="4" a="1"/>
  <c r="AC18" i="4" s="1"/>
  <c r="AB12" i="4" a="1"/>
  <c r="AB12" i="4" s="1"/>
  <c r="AC7" i="4" a="1"/>
  <c r="AC7" i="4" s="1"/>
  <c r="AC10" i="4" a="1"/>
  <c r="AC10" i="4" s="1"/>
  <c r="AB10" i="4" a="1"/>
  <c r="AB10" i="4" s="1"/>
  <c r="AB7" i="4" a="1"/>
  <c r="AB7" i="4" s="1"/>
  <c r="AG4" i="4" a="1"/>
  <c r="AG4" i="4" s="1"/>
  <c r="AC3" i="4" a="1"/>
  <c r="AC3" i="4" s="1"/>
  <c r="AB3" i="4" a="1"/>
  <c r="AB3" i="4" s="1"/>
  <c r="AR32" i="4" a="1"/>
  <c r="AR32" i="4" s="1"/>
  <c r="AC31" i="4" a="1"/>
  <c r="AC31" i="4" s="1"/>
  <c r="AF10" i="4" a="1"/>
  <c r="AF10" i="4" s="1"/>
  <c r="AN13" i="4" a="1"/>
  <c r="AN13" i="4" s="1"/>
  <c r="N138" i="2" a="1"/>
  <c r="N138" i="2" s="1"/>
  <c r="AF138" i="2" s="1" a="1"/>
  <c r="AF138" i="2" s="1"/>
  <c r="C228" i="3" s="1" a="1"/>
  <c r="C228" i="3" s="1"/>
  <c r="CF10" i="2" l="1" a="1"/>
  <c r="CF10" i="2" s="1"/>
  <c r="CL32" i="2" a="1"/>
  <c r="CL32" i="2" s="1"/>
  <c r="CT46" i="2" a="1"/>
  <c r="CT46" i="2" s="1"/>
  <c r="CF38" i="2" a="1"/>
  <c r="CF38" i="2" s="1"/>
  <c r="CK24" i="2" a="1"/>
  <c r="CK24" i="2" s="1"/>
  <c r="CL27" i="2" a="1"/>
  <c r="CL27" i="2" s="1"/>
  <c r="CO52" i="2" a="1"/>
  <c r="CO52" i="2" s="1"/>
  <c r="CI8" i="2" a="1"/>
  <c r="CI8" i="2" s="1"/>
  <c r="CP11" i="2" a="1"/>
  <c r="CP11" i="2" s="1"/>
  <c r="CO38" i="2" a="1"/>
  <c r="CO38" i="2" s="1"/>
  <c r="CP39" i="2" a="1"/>
  <c r="CP39" i="2" s="1"/>
  <c r="CI49" i="2" a="1"/>
  <c r="CI49" i="2" s="1"/>
  <c r="CL49" i="2" s="1" a="1"/>
  <c r="CL49" i="2" s="1"/>
  <c r="CF45" i="2" a="1"/>
  <c r="CF45" i="2" s="1"/>
  <c r="BU30" i="2" a="1"/>
  <c r="BU30" i="2" s="1"/>
  <c r="BX30" i="2" s="1" a="1"/>
  <c r="BX30" i="2" s="1"/>
  <c r="BL58" i="2" a="1"/>
  <c r="BL58" i="2" s="1"/>
  <c r="AE47" i="4" a="1"/>
  <c r="AE47" i="4" s="1"/>
  <c r="CT22" i="2" a="1"/>
  <c r="CT22" i="2" s="1"/>
  <c r="BX36" i="2" a="1"/>
  <c r="BX36" i="2" s="1"/>
  <c r="CA35" i="2" a="1"/>
  <c r="CA35" i="2" s="1"/>
  <c r="BX52" i="2" a="1"/>
  <c r="BX52" i="2" s="1"/>
  <c r="CO36" i="2" a="1"/>
  <c r="CO36" i="2" s="1"/>
  <c r="BX40" i="2" a="1"/>
  <c r="BX40" i="2" s="1"/>
  <c r="CP53" i="2" a="1"/>
  <c r="CP53" i="2" s="1"/>
  <c r="CA48" i="2" a="1"/>
  <c r="CA48" i="2" s="1"/>
  <c r="CB34" i="2" a="1"/>
  <c r="CB34" i="2" s="1"/>
  <c r="CI25" i="2" a="1"/>
  <c r="CI25" i="2" s="1"/>
  <c r="CL25" i="2" s="1" a="1"/>
  <c r="CL25" i="2" s="1"/>
  <c r="CP7" i="2" a="1"/>
  <c r="CP7" i="2" s="1"/>
  <c r="CB50" i="2" a="1"/>
  <c r="CB50" i="2" s="1"/>
  <c r="CF33" i="2" a="1"/>
  <c r="CF33" i="2" s="1"/>
  <c r="BW33" i="2" a="1"/>
  <c r="BW33" i="2" s="1"/>
  <c r="CT31" i="2" a="1"/>
  <c r="CT31" i="2" s="1"/>
  <c r="CL17" i="2" a="1"/>
  <c r="CL17" i="2" s="1"/>
  <c r="CB47" i="2" a="1"/>
  <c r="CB47" i="2" s="1"/>
  <c r="CF31" i="2" a="1"/>
  <c r="CF31" i="2" s="1"/>
  <c r="B223" i="3" a="1"/>
  <c r="B223" i="3" s="1"/>
  <c r="C223" i="3" a="1"/>
  <c r="C223" i="3" s="1"/>
  <c r="CF8" i="2" a="1"/>
  <c r="CF8" i="2" s="1"/>
  <c r="CL40" i="2" a="1"/>
  <c r="CL40" i="2" s="1"/>
  <c r="BW53" i="2" a="1"/>
  <c r="BW53" i="2" s="1"/>
  <c r="CB39" i="2" a="1"/>
  <c r="CB39" i="2" s="1"/>
  <c r="CT47" i="2" a="1"/>
  <c r="CT47" i="2" s="1"/>
  <c r="BU37" i="2" a="1"/>
  <c r="BU37" i="2" s="1"/>
  <c r="BX37" i="2" s="1" a="1"/>
  <c r="BX37" i="2" s="1"/>
  <c r="CP32" i="2" a="1"/>
  <c r="CP32" i="2" s="1"/>
  <c r="BW32" i="2" a="1"/>
  <c r="BW32" i="2" s="1"/>
  <c r="CP19" i="2" a="1"/>
  <c r="CP19" i="2" s="1"/>
  <c r="CI14" i="2" a="1"/>
  <c r="CI14" i="2" s="1"/>
  <c r="CL14" i="2" s="1" a="1"/>
  <c r="CL14" i="2" s="1"/>
  <c r="CT21" i="2" a="1"/>
  <c r="CT21" i="2" s="1"/>
  <c r="CB17" i="2" a="1"/>
  <c r="CB17" i="2" s="1"/>
  <c r="CI50" i="2" a="1"/>
  <c r="CI50" i="2" s="1"/>
  <c r="CL50" i="2" s="1" a="1"/>
  <c r="CL50" i="2" s="1"/>
  <c r="CI22" i="2" a="1"/>
  <c r="CI22" i="2" s="1"/>
  <c r="CL22" i="2" s="1" a="1"/>
  <c r="CL22" i="2" s="1"/>
  <c r="CP28" i="2" a="1"/>
  <c r="CP28" i="2" s="1"/>
  <c r="BW19" i="2" a="1"/>
  <c r="BW19" i="2" s="1"/>
  <c r="BX12" i="2" a="1"/>
  <c r="BX12" i="2" s="1"/>
  <c r="CB38" i="2" a="1"/>
  <c r="CB38" i="2" s="1"/>
  <c r="CP20" i="2" a="1"/>
  <c r="CP20" i="2" s="1"/>
  <c r="CB7" i="2" a="1"/>
  <c r="CB7" i="2" s="1"/>
  <c r="CI30" i="2" a="1"/>
  <c r="CI30" i="2" s="1"/>
  <c r="CL30" i="2" s="1" a="1"/>
  <c r="CL30" i="2" s="1"/>
  <c r="CF22" i="2" a="1"/>
  <c r="CF22" i="2" s="1"/>
  <c r="CF35" i="2" a="1"/>
  <c r="CF35" i="2" s="1"/>
  <c r="CF27" i="2" a="1"/>
  <c r="CF27" i="2" s="1"/>
  <c r="CT28" i="2" a="1"/>
  <c r="CT28" i="2" s="1"/>
  <c r="CA14" i="2" a="1"/>
  <c r="CA14" i="2" s="1"/>
  <c r="CP49" i="2" a="1"/>
  <c r="CP49" i="2" s="1"/>
  <c r="CT23" i="2" a="1"/>
  <c r="CT23" i="2" s="1"/>
  <c r="CT53" i="2" a="1"/>
  <c r="CT53" i="2" s="1"/>
  <c r="CF32" i="2" a="1"/>
  <c r="CF32" i="2" s="1"/>
  <c r="CB19" i="2" a="1"/>
  <c r="CB19" i="2" s="1"/>
  <c r="CL13" i="2" a="1"/>
  <c r="CL13" i="2" s="1"/>
  <c r="BW7" i="2" a="1"/>
  <c r="BW7" i="2" s="1"/>
  <c r="CL53" i="2" a="1"/>
  <c r="CL53" i="2" s="1"/>
  <c r="CF41" i="2" a="1"/>
  <c r="CF41" i="2" s="1"/>
  <c r="CP43" i="2" a="1"/>
  <c r="CP43" i="2" s="1"/>
  <c r="CK39" i="2" a="1"/>
  <c r="CK39" i="2" s="1"/>
  <c r="BU34" i="2" a="1"/>
  <c r="BU34" i="2" s="1"/>
  <c r="BX34" i="2" s="1" a="1"/>
  <c r="BX34" i="2" s="1"/>
  <c r="CT51" i="2" a="1"/>
  <c r="CT51" i="2" s="1"/>
  <c r="CB42" i="2" a="1"/>
  <c r="CB42" i="2" s="1"/>
  <c r="CO40" i="2" a="1"/>
  <c r="CO40" i="2" s="1"/>
  <c r="BX19" i="2" a="1"/>
  <c r="BX19" i="2" s="1"/>
  <c r="CI26" i="2" a="1"/>
  <c r="CI26" i="2" s="1"/>
  <c r="CL26" i="2" s="1" a="1"/>
  <c r="CL26" i="2" s="1"/>
  <c r="CF25" i="2" a="1"/>
  <c r="CF25" i="2" s="1"/>
  <c r="CT20" i="2" a="1"/>
  <c r="CT20" i="2" s="1"/>
  <c r="CF20" i="2" a="1"/>
  <c r="CF20" i="2" s="1"/>
  <c r="BU42" i="2" a="1"/>
  <c r="BU42" i="2" s="1"/>
  <c r="BX42" i="2" s="1" a="1"/>
  <c r="BX42" i="2" s="1"/>
  <c r="CP50" i="2" a="1"/>
  <c r="CP50" i="2" s="1"/>
  <c r="BF62" i="2" a="1"/>
  <c r="BF62" i="2" s="1"/>
  <c r="CO29" i="2" a="1"/>
  <c r="CO29" i="2" s="1"/>
  <c r="BF65" i="2" a="1"/>
  <c r="BF65" i="2" s="1"/>
  <c r="BW29" i="2" a="1"/>
  <c r="BW29" i="2" s="1"/>
  <c r="CT8" i="2" a="1"/>
  <c r="CT8" i="2" s="1"/>
  <c r="BW20" i="2" a="1"/>
  <c r="BW20" i="2" s="1"/>
  <c r="BW35" i="2" a="1"/>
  <c r="BW35" i="2" s="1"/>
  <c r="CB49" i="2" a="1"/>
  <c r="CB49" i="2" s="1"/>
  <c r="CT50" i="2" a="1"/>
  <c r="CT50" i="2" s="1"/>
  <c r="CF34" i="2" a="1"/>
  <c r="CF34" i="2" s="1"/>
  <c r="CB22" i="2" a="1"/>
  <c r="CB22" i="2" s="1"/>
  <c r="AE5" i="4" a="1"/>
  <c r="AE5" i="4" s="1"/>
  <c r="CK47" i="2" a="1"/>
  <c r="CK47" i="2" s="1"/>
  <c r="CT49" i="2" a="1"/>
  <c r="CT49" i="2" s="1"/>
  <c r="CT39" i="2" a="1"/>
  <c r="CT39" i="2" s="1"/>
  <c r="CT37" i="2" a="1"/>
  <c r="CT37" i="2" s="1"/>
  <c r="CK40" i="2" a="1"/>
  <c r="CK40" i="2" s="1"/>
  <c r="CF19" i="2" a="1"/>
  <c r="CF19" i="2" s="1"/>
  <c r="CT24" i="2" a="1"/>
  <c r="CT24" i="2" s="1"/>
  <c r="CO10" i="2" a="1"/>
  <c r="CO10" i="2" s="1"/>
  <c r="CT18" i="2" a="1"/>
  <c r="CT18" i="2" s="1"/>
  <c r="CF17" i="2" a="1"/>
  <c r="CF17" i="2" s="1"/>
  <c r="BU21" i="2" a="1"/>
  <c r="BU21" i="2" s="1"/>
  <c r="BX21" i="2" s="1" a="1"/>
  <c r="BX21" i="2" s="1"/>
  <c r="BW17" i="2" a="1"/>
  <c r="BW17" i="2" s="1"/>
  <c r="CI46" i="2" a="1"/>
  <c r="CI46" i="2" s="1"/>
  <c r="CL46" i="2" s="1" a="1"/>
  <c r="CL46" i="2" s="1"/>
  <c r="CK52" i="2" a="1"/>
  <c r="CK52" i="2" s="1"/>
  <c r="CP25" i="2" a="1"/>
  <c r="CP25" i="2" s="1"/>
  <c r="BU18" i="2" a="1"/>
  <c r="BU18" i="2" s="1"/>
  <c r="BX18" i="2" s="1" a="1"/>
  <c r="BX18" i="2" s="1"/>
  <c r="CK45" i="2" a="1"/>
  <c r="CK45" i="2" s="1"/>
  <c r="CT42" i="2" a="1"/>
  <c r="CT42" i="2" s="1"/>
  <c r="BW45" i="2" a="1"/>
  <c r="BW45" i="2" s="1"/>
  <c r="CO41" i="2" a="1"/>
  <c r="CO41" i="2" s="1"/>
  <c r="BL59" i="2" a="1"/>
  <c r="BL59" i="2" s="1"/>
  <c r="CT26" i="2" a="1"/>
  <c r="CT26" i="2" s="1"/>
  <c r="CO23" i="2" a="1"/>
  <c r="CO23" i="2" s="1"/>
  <c r="CL20" i="2" a="1"/>
  <c r="CL20" i="2" s="1"/>
  <c r="CP34" i="2" a="1"/>
  <c r="CP34" i="2" s="1"/>
  <c r="CO51" i="2" a="1"/>
  <c r="CO51" i="2" s="1"/>
  <c r="CF43" i="2" a="1"/>
  <c r="CF43" i="2" s="1"/>
  <c r="CO47" i="2" a="1"/>
  <c r="CO47" i="2" s="1"/>
  <c r="CK35" i="2" a="1"/>
  <c r="CK35" i="2" s="1"/>
  <c r="BU41" i="2" a="1"/>
  <c r="BU41" i="2" s="1"/>
  <c r="BX41" i="2" s="1" a="1"/>
  <c r="BX41" i="2" s="1"/>
  <c r="CF15" i="2" a="1"/>
  <c r="CF15" i="2" s="1"/>
  <c r="CF14" i="2" a="1"/>
  <c r="CF14" i="2" s="1"/>
  <c r="CL19" i="2" a="1"/>
  <c r="CL19" i="2" s="1"/>
  <c r="CP37" i="2" a="1"/>
  <c r="CP37" i="2" s="1"/>
  <c r="CT33" i="2" a="1"/>
  <c r="CT33" i="2" s="1"/>
  <c r="CT29" i="2" a="1"/>
  <c r="CT29" i="2" s="1"/>
  <c r="CO24" i="2" a="1"/>
  <c r="CO24" i="2" s="1"/>
  <c r="CO18" i="2" a="1"/>
  <c r="CO18" i="2" s="1"/>
  <c r="CF11" i="2" a="1"/>
  <c r="CF11" i="2" s="1"/>
  <c r="BW47" i="2" a="1"/>
  <c r="BW47" i="2" s="1"/>
  <c r="CF52" i="2" a="1"/>
  <c r="CF52" i="2" s="1"/>
  <c r="CA43" i="2" a="1"/>
  <c r="CA43" i="2" s="1"/>
  <c r="CO42" i="2" a="1"/>
  <c r="CO42" i="2" s="1"/>
  <c r="CF53" i="2" a="1"/>
  <c r="CF53" i="2" s="1"/>
  <c r="CT34" i="2" a="1"/>
  <c r="CT34" i="2" s="1"/>
  <c r="BW40" i="2" a="1"/>
  <c r="BW40" i="2" s="1"/>
  <c r="CA37" i="2" a="1"/>
  <c r="CA37" i="2" s="1"/>
  <c r="CF26" i="2" a="1"/>
  <c r="CF26" i="2" s="1"/>
  <c r="CP26" i="2" a="1"/>
  <c r="CP26" i="2" s="1"/>
  <c r="CA25" i="2" a="1"/>
  <c r="CA25" i="2" s="1"/>
  <c r="BU22" i="2" a="1"/>
  <c r="BU22" i="2" s="1"/>
  <c r="BX22" i="2" s="1" a="1"/>
  <c r="BX22" i="2" s="1"/>
  <c r="CA24" i="2" a="1"/>
  <c r="CA24" i="2" s="1"/>
  <c r="CA23" i="2" a="1"/>
  <c r="CA23" i="2" s="1"/>
  <c r="CT16" i="2" a="1"/>
  <c r="CT16" i="2" s="1"/>
  <c r="CA18" i="2" a="1"/>
  <c r="CA18" i="2" s="1"/>
  <c r="CK17" i="2" a="1"/>
  <c r="CK17" i="2" s="1"/>
  <c r="CT10" i="2" a="1"/>
  <c r="CT10" i="2" s="1"/>
  <c r="BL69" i="2" a="1"/>
  <c r="BL69" i="2" s="1"/>
  <c r="BX29" i="2" a="1"/>
  <c r="BX29" i="2" s="1"/>
  <c r="CL33" i="2" a="1"/>
  <c r="CL33" i="2" s="1"/>
  <c r="CA10" i="2" a="1"/>
  <c r="CA10" i="2" s="1"/>
  <c r="CC10" i="2" s="1" a="1"/>
  <c r="CC10" i="2" s="1"/>
  <c r="CO48" i="2" a="1"/>
  <c r="CO48" i="2" s="1"/>
  <c r="CB53" i="2" a="1"/>
  <c r="CB53" i="2" s="1"/>
  <c r="CT40" i="2" a="1"/>
  <c r="CT40" i="2" s="1"/>
  <c r="BF67" i="2" a="1"/>
  <c r="BF67" i="2" s="1"/>
  <c r="BU26" i="2" a="1"/>
  <c r="BU26" i="2" s="1"/>
  <c r="BX26" i="2" s="1" a="1"/>
  <c r="BX26" i="2" s="1"/>
  <c r="CF28" i="2" a="1"/>
  <c r="CF28" i="2" s="1"/>
  <c r="CT25" i="2" a="1"/>
  <c r="CT25" i="2" s="1"/>
  <c r="CT19" i="2" a="1"/>
  <c r="CT19" i="2" s="1"/>
  <c r="CB21" i="2" a="1"/>
  <c r="CB21" i="2" s="1"/>
  <c r="CO14" i="2" a="1"/>
  <c r="CO14" i="2" s="1"/>
  <c r="CA17" i="2" a="1"/>
  <c r="CA17" i="2" s="1"/>
  <c r="CF23" i="2" a="1"/>
  <c r="CF23" i="2" s="1"/>
  <c r="CP17" i="2" a="1"/>
  <c r="CP17" i="2" s="1"/>
  <c r="CP8" i="2" a="1"/>
  <c r="CP8" i="2" s="1"/>
  <c r="CO7" i="2" a="1"/>
  <c r="CO7" i="2" s="1"/>
  <c r="CQ7" i="2" s="1" a="1"/>
  <c r="CQ7" i="2" s="1"/>
  <c r="CF36" i="2" a="1"/>
  <c r="CF36" i="2" s="1"/>
  <c r="CT38" i="2" a="1"/>
  <c r="CT38" i="2" s="1"/>
  <c r="CP44" i="2" a="1"/>
  <c r="CP44" i="2" s="1"/>
  <c r="CP35" i="2" a="1"/>
  <c r="CP35" i="2" s="1"/>
  <c r="CF18" i="2" a="1"/>
  <c r="CF18" i="2" s="1"/>
  <c r="CA8" i="2" a="1"/>
  <c r="CA8" i="2" s="1"/>
  <c r="CL11" i="2" a="1"/>
  <c r="CL11" i="2" s="1"/>
  <c r="BX35" i="2" a="1"/>
  <c r="BX35" i="2" s="1"/>
  <c r="BX11" i="2" a="1"/>
  <c r="BX11" i="2" s="1"/>
  <c r="CF51" i="2" a="1"/>
  <c r="CF51" i="2" s="1"/>
  <c r="CK53" i="2" a="1"/>
  <c r="CK53" i="2" s="1"/>
  <c r="CI42" i="2" a="1"/>
  <c r="CI42" i="2" s="1"/>
  <c r="CL42" i="2" s="1" a="1"/>
  <c r="CL42" i="2" s="1"/>
  <c r="BU50" i="2" a="1"/>
  <c r="BU50" i="2" s="1"/>
  <c r="BX50" i="2" s="1" a="1"/>
  <c r="BX50" i="2" s="1"/>
  <c r="CA41" i="2" a="1"/>
  <c r="CA41" i="2" s="1"/>
  <c r="BL67" i="2" a="1"/>
  <c r="BL67" i="2" s="1"/>
  <c r="CO31" i="2" a="1"/>
  <c r="CO31" i="2" s="1"/>
  <c r="BL61" i="2" a="1"/>
  <c r="BL61" i="2" s="1"/>
  <c r="CT32" i="2" a="1"/>
  <c r="CT32" i="2" s="1"/>
  <c r="CK32" i="2" a="1"/>
  <c r="CK32" i="2" s="1"/>
  <c r="CK29" i="2" a="1"/>
  <c r="CK29" i="2" s="1"/>
  <c r="BU15" i="2" a="1"/>
  <c r="BU15" i="2" s="1"/>
  <c r="BX15" i="2" s="1" a="1"/>
  <c r="BX15" i="2" s="1"/>
  <c r="BU14" i="2" a="1"/>
  <c r="BU14" i="2" s="1"/>
  <c r="BX14" i="2" s="1" a="1"/>
  <c r="BX14" i="2" s="1"/>
  <c r="CK19" i="2" a="1"/>
  <c r="CK19" i="2" s="1"/>
  <c r="CF21" i="2" a="1"/>
  <c r="CF21" i="2" s="1"/>
  <c r="BW9" i="2" a="1"/>
  <c r="BW9" i="2" s="1"/>
  <c r="BW39" i="2" a="1"/>
  <c r="BW39" i="2" s="1"/>
  <c r="CA45" i="2" a="1"/>
  <c r="CA45" i="2" s="1"/>
  <c r="CT41" i="2" a="1"/>
  <c r="CT41" i="2" s="1"/>
  <c r="CI44" i="2" a="1"/>
  <c r="CI44" i="2" s="1"/>
  <c r="CL44" i="2" s="1" a="1"/>
  <c r="CL44" i="2" s="1"/>
  <c r="CA30" i="2" a="1"/>
  <c r="CA30" i="2" s="1"/>
  <c r="CP23" i="2" a="1"/>
  <c r="CP23" i="2" s="1"/>
  <c r="CQ23" i="2" s="1" a="1"/>
  <c r="CQ23" i="2" s="1"/>
  <c r="CP24" i="2" a="1"/>
  <c r="CP24" i="2" s="1"/>
  <c r="BW16" i="2" a="1"/>
  <c r="BW16" i="2" s="1"/>
  <c r="CI18" i="2" a="1"/>
  <c r="CI18" i="2" s="1"/>
  <c r="CL18" i="2" s="1" a="1"/>
  <c r="CL18" i="2" s="1"/>
  <c r="CL6" i="2" a="1"/>
  <c r="CL6" i="2" s="1"/>
  <c r="CB51" i="2" a="1"/>
  <c r="CB51" i="2" s="1"/>
  <c r="AE11" i="4" a="1"/>
  <c r="AE11" i="4" s="1"/>
  <c r="AI44" i="4" a="1"/>
  <c r="AI44" i="4" s="1"/>
  <c r="CF50" i="2" a="1"/>
  <c r="CF50" i="2" s="1"/>
  <c r="CI21" i="2" a="1"/>
  <c r="CI21" i="2" s="1"/>
  <c r="CL21" i="2" s="1" a="1"/>
  <c r="CL21" i="2" s="1"/>
  <c r="CI38" i="2" a="1"/>
  <c r="CI38" i="2" s="1"/>
  <c r="CL38" i="2" s="1" a="1"/>
  <c r="CL38" i="2" s="1"/>
  <c r="CI41" i="2" a="1"/>
  <c r="CI41" i="2" s="1"/>
  <c r="CL41" i="2" s="1" a="1"/>
  <c r="CL41" i="2" s="1"/>
  <c r="CA44" i="2" a="1"/>
  <c r="CA44" i="2" s="1"/>
  <c r="CA33" i="2" a="1"/>
  <c r="CA33" i="2" s="1"/>
  <c r="CA40" i="2" a="1"/>
  <c r="CA40" i="2" s="1"/>
  <c r="CF30" i="2" a="1"/>
  <c r="CF30" i="2" s="1"/>
  <c r="CP22" i="2" a="1"/>
  <c r="CP22" i="2" s="1"/>
  <c r="CK23" i="2" a="1"/>
  <c r="CK23" i="2" s="1"/>
  <c r="CL15" i="2" a="1"/>
  <c r="CL15" i="2" s="1"/>
  <c r="CQ13" i="2" a="1"/>
  <c r="CQ13" i="2" s="1"/>
  <c r="CC11" i="2" a="1"/>
  <c r="CC11" i="2" s="1"/>
  <c r="BX51" i="2" a="1"/>
  <c r="BX51" i="2" s="1"/>
  <c r="BW43" i="2" a="1"/>
  <c r="BW43" i="2" s="1"/>
  <c r="CP45" i="2" a="1"/>
  <c r="CP45" i="2" s="1"/>
  <c r="CB32" i="2" a="1"/>
  <c r="CB32" i="2" s="1"/>
  <c r="CI37" i="2" a="1"/>
  <c r="CI37" i="2" s="1"/>
  <c r="CL37" i="2" s="1" a="1"/>
  <c r="CL37" i="2" s="1"/>
  <c r="CF40" i="2" a="1"/>
  <c r="CF40" i="2" s="1"/>
  <c r="CF29" i="2" a="1"/>
  <c r="CF29" i="2" s="1"/>
  <c r="BW23" i="2" a="1"/>
  <c r="BW23" i="2" s="1"/>
  <c r="CB14" i="2" a="1"/>
  <c r="CB14" i="2" s="1"/>
  <c r="CC14" i="2" s="1" a="1"/>
  <c r="CC14" i="2" s="1"/>
  <c r="CK20" i="2" a="1"/>
  <c r="CK20" i="2" s="1"/>
  <c r="CB26" i="2" a="1"/>
  <c r="CB26" i="2" s="1"/>
  <c r="CC26" i="2" s="1" a="1"/>
  <c r="CC26" i="2" s="1"/>
  <c r="CA13" i="2" a="1"/>
  <c r="CA13" i="2" s="1"/>
  <c r="CC13" i="2" s="1" a="1"/>
  <c r="CC13" i="2" s="1"/>
  <c r="CP10" i="2" a="1"/>
  <c r="CP10" i="2" s="1"/>
  <c r="CQ10" i="2" s="1" a="1"/>
  <c r="CQ10" i="2" s="1"/>
  <c r="CT52" i="2" a="1"/>
  <c r="CT52" i="2" s="1"/>
  <c r="CT44" i="2" a="1"/>
  <c r="CT44" i="2" s="1"/>
  <c r="BU46" i="2" a="1"/>
  <c r="BU46" i="2" s="1"/>
  <c r="BX46" i="2" s="1" a="1"/>
  <c r="BX46" i="2" s="1"/>
  <c r="CF46" i="2" a="1"/>
  <c r="CF46" i="2" s="1"/>
  <c r="CF49" i="2" a="1"/>
  <c r="CF49" i="2" s="1"/>
  <c r="CT43" i="2" a="1"/>
  <c r="CT43" i="2" s="1"/>
  <c r="CT35" i="2" a="1"/>
  <c r="CT35" i="2" s="1"/>
  <c r="CT45" i="2" a="1"/>
  <c r="CT45" i="2" s="1"/>
  <c r="CB31" i="2" a="1"/>
  <c r="CB31" i="2" s="1"/>
  <c r="BU44" i="2" a="1"/>
  <c r="BU44" i="2" s="1"/>
  <c r="BX44" i="2" s="1" a="1"/>
  <c r="BX44" i="2" s="1"/>
  <c r="CA29" i="2" a="1"/>
  <c r="CA29" i="2" s="1"/>
  <c r="CA28" i="2" a="1"/>
  <c r="CA28" i="2" s="1"/>
  <c r="BU25" i="2" a="1"/>
  <c r="BU25" i="2" s="1"/>
  <c r="BX25" i="2" s="1" a="1"/>
  <c r="BX25" i="2" s="1"/>
  <c r="CF24" i="2" a="1"/>
  <c r="CF24" i="2" s="1"/>
  <c r="CB20" i="2" a="1"/>
  <c r="CB20" i="2" s="1"/>
  <c r="CO21" i="2" a="1"/>
  <c r="CO21" i="2" s="1"/>
  <c r="BU6" i="2" a="1"/>
  <c r="BU6" i="2" s="1"/>
  <c r="BX6" i="2" s="1" a="1"/>
  <c r="BX6" i="2" s="1"/>
  <c r="CL28" i="2" a="1"/>
  <c r="CL28" i="2" s="1"/>
  <c r="AE23" i="4" a="1"/>
  <c r="AE23" i="4" s="1"/>
  <c r="B233" i="3" a="1"/>
  <c r="B233" i="3" s="1"/>
  <c r="C227" i="3" a="1"/>
  <c r="C227" i="3" s="1"/>
  <c r="C233" i="3" a="1"/>
  <c r="C233" i="3" s="1"/>
  <c r="BL60" i="2" a="1"/>
  <c r="BL60" i="2" s="1"/>
  <c r="AR49" i="2" a="1"/>
  <c r="AR49" i="2" s="1"/>
  <c r="AO49" i="2" a="1"/>
  <c r="AO49" i="2" s="1"/>
  <c r="AS49" i="2" a="1"/>
  <c r="AS49" i="2" s="1"/>
  <c r="AQ49" i="2" a="1"/>
  <c r="AQ49" i="2" s="1"/>
  <c r="AP49" i="2" a="1"/>
  <c r="AP49" i="2" s="1"/>
  <c r="AQ40" i="2" a="1"/>
  <c r="AQ40" i="2" s="1"/>
  <c r="AS40" i="2" a="1"/>
  <c r="AS40" i="2" s="1"/>
  <c r="AR40" i="2" a="1"/>
  <c r="AR40" i="2" s="1"/>
  <c r="AP40" i="2" a="1"/>
  <c r="AP40" i="2" s="1"/>
  <c r="AO40" i="2" a="1"/>
  <c r="AO40" i="2" s="1"/>
  <c r="AO23" i="2" a="1"/>
  <c r="AO23" i="2" s="1"/>
  <c r="AR23" i="2" a="1"/>
  <c r="AR23" i="2" s="1"/>
  <c r="AQ23" i="2" a="1"/>
  <c r="AQ23" i="2" s="1"/>
  <c r="AP23" i="2" a="1"/>
  <c r="AP23" i="2" s="1"/>
  <c r="AS23" i="2" a="1"/>
  <c r="AS23" i="2" s="1"/>
  <c r="CC17" i="2" a="1"/>
  <c r="CC17" i="2" s="1"/>
  <c r="CP12" i="2" a="1"/>
  <c r="CP12" i="2" s="1"/>
  <c r="CQ12" i="2" s="1" a="1"/>
  <c r="CQ12" i="2" s="1"/>
  <c r="CO8" i="2" a="1"/>
  <c r="CO8" i="2" s="1"/>
  <c r="CQ8" i="2" s="1" a="1"/>
  <c r="CQ8" i="2" s="1"/>
  <c r="CZ15" i="2" a="1"/>
  <c r="CZ15" i="2" s="1"/>
  <c r="BL15" i="2" a="1"/>
  <c r="BL15" i="2" s="1"/>
  <c r="CW15" i="2" s="1" a="1"/>
  <c r="CW15" i="2" s="1"/>
  <c r="CZ25" i="2" a="1"/>
  <c r="CZ25" i="2" s="1"/>
  <c r="BL25" i="2" a="1"/>
  <c r="BL25" i="2" s="1"/>
  <c r="CW25" i="2" s="1" a="1"/>
  <c r="CW25" i="2" s="1"/>
  <c r="CB24" i="2" a="1"/>
  <c r="CB24" i="2" s="1"/>
  <c r="BF33" i="2" a="1"/>
  <c r="BF33" i="2" s="1"/>
  <c r="BO33" i="2" s="1" a="1"/>
  <c r="BO33" i="2" s="1"/>
  <c r="BE33" i="2" a="1"/>
  <c r="BE33" i="2" s="1"/>
  <c r="BR33" i="2" s="1" a="1"/>
  <c r="BR33" i="2" s="1"/>
  <c r="CP36" i="2" a="1"/>
  <c r="CP36" i="2" s="1"/>
  <c r="CQ36" i="2" s="1" a="1"/>
  <c r="CQ36" i="2" s="1"/>
  <c r="CO26" i="2" a="1"/>
  <c r="CO26" i="2" s="1"/>
  <c r="CQ26" i="2" s="1" a="1"/>
  <c r="CQ26" i="2" s="1"/>
  <c r="CO37" i="2" a="1"/>
  <c r="CO37" i="2" s="1"/>
  <c r="CO34" i="2" a="1"/>
  <c r="CO34" i="2" s="1"/>
  <c r="CQ34" i="2" s="1" a="1"/>
  <c r="CQ34" i="2" s="1"/>
  <c r="CA39" i="2" a="1"/>
  <c r="CA39" i="2" s="1"/>
  <c r="CC39" i="2" s="1" a="1"/>
  <c r="CC39" i="2" s="1"/>
  <c r="CO39" i="2" a="1"/>
  <c r="CO39" i="2" s="1"/>
  <c r="CQ39" i="2" s="1" a="1"/>
  <c r="CQ39" i="2" s="1"/>
  <c r="CP33" i="2" a="1"/>
  <c r="CP33" i="2" s="1"/>
  <c r="CQ33" i="2" s="1" a="1"/>
  <c r="CQ33" i="2" s="1"/>
  <c r="CO43" i="2" a="1"/>
  <c r="CO43" i="2" s="1"/>
  <c r="CQ43" i="2" s="1" a="1"/>
  <c r="CQ43" i="2" s="1"/>
  <c r="CZ39" i="2" a="1"/>
  <c r="CZ39" i="2" s="1"/>
  <c r="BL39" i="2" a="1"/>
  <c r="BL39" i="2" s="1"/>
  <c r="CW39" i="2" s="1" a="1"/>
  <c r="CW39" i="2" s="1"/>
  <c r="CB44" i="2" a="1"/>
  <c r="CB44" i="2" s="1"/>
  <c r="CP52" i="2" a="1"/>
  <c r="CP52" i="2" s="1"/>
  <c r="CQ52" i="2" s="1" a="1"/>
  <c r="CQ52" i="2" s="1"/>
  <c r="BF53" i="2" a="1"/>
  <c r="BF53" i="2" s="1"/>
  <c r="BO53" i="2" s="1" a="1"/>
  <c r="BO53" i="2" s="1"/>
  <c r="BE53" i="2" a="1"/>
  <c r="BE53" i="2" s="1"/>
  <c r="BR53" i="2" s="1" a="1"/>
  <c r="BR53" i="2" s="1"/>
  <c r="BF52" i="2" a="1"/>
  <c r="BF52" i="2" s="1"/>
  <c r="BO52" i="2" s="1" a="1"/>
  <c r="BO52" i="2" s="1"/>
  <c r="BE52" i="2" a="1"/>
  <c r="BE52" i="2" s="1"/>
  <c r="BR52" i="2" s="1" a="1"/>
  <c r="BR52" i="2" s="1"/>
  <c r="CA50" i="2" a="1"/>
  <c r="CA50" i="2" s="1"/>
  <c r="CC50" i="2" s="1" a="1"/>
  <c r="CC50" i="2" s="1"/>
  <c r="BE10" i="2" a="1"/>
  <c r="BE10" i="2" s="1"/>
  <c r="BR10" i="2" s="1" a="1"/>
  <c r="BR10" i="2" s="1"/>
  <c r="BF10" i="2" a="1"/>
  <c r="BF10" i="2" s="1"/>
  <c r="AN14" i="2" s="1" a="1"/>
  <c r="AN14" i="2" s="1"/>
  <c r="C184" i="3" a="1"/>
  <c r="C184" i="3" s="1"/>
  <c r="B202" i="3" a="1"/>
  <c r="B202" i="3" s="1"/>
  <c r="C202" i="3" a="1"/>
  <c r="C202" i="3" s="1"/>
  <c r="BT65" i="2" a="1"/>
  <c r="BT65" i="2" s="1"/>
  <c r="CO20" i="2" a="1"/>
  <c r="CO20" i="2" s="1"/>
  <c r="CQ20" i="2" s="1" a="1"/>
  <c r="CQ20" i="2" s="1"/>
  <c r="CO17" i="2" a="1"/>
  <c r="CO17" i="2" s="1"/>
  <c r="CQ17" i="2" s="1" a="1"/>
  <c r="CQ17" i="2" s="1"/>
  <c r="BL13" i="2" a="1"/>
  <c r="BL13" i="2" s="1"/>
  <c r="CW13" i="2" s="1" a="1"/>
  <c r="CW13" i="2" s="1"/>
  <c r="CZ13" i="2" a="1"/>
  <c r="CZ13" i="2" s="1"/>
  <c r="CO9" i="2" a="1"/>
  <c r="CO9" i="2" s="1"/>
  <c r="CQ9" i="2" s="1" a="1"/>
  <c r="CQ9" i="2" s="1"/>
  <c r="CP18" i="2" a="1"/>
  <c r="CP18" i="2" s="1"/>
  <c r="CQ18" i="2" s="1" a="1"/>
  <c r="CQ18" i="2" s="1"/>
  <c r="CP29" i="2" a="1"/>
  <c r="CP29" i="2" s="1"/>
  <c r="CQ29" i="2" s="1" a="1"/>
  <c r="CQ29" i="2" s="1"/>
  <c r="BL23" i="2" a="1"/>
  <c r="BL23" i="2" s="1"/>
  <c r="CW23" i="2" s="1" a="1"/>
  <c r="CW23" i="2" s="1"/>
  <c r="CZ23" i="2" a="1"/>
  <c r="CZ23" i="2" s="1"/>
  <c r="CA20" i="2" a="1"/>
  <c r="CA20" i="2" s="1"/>
  <c r="CA38" i="2" a="1"/>
  <c r="CA38" i="2" s="1"/>
  <c r="CC38" i="2" s="1" a="1"/>
  <c r="CC38" i="2" s="1"/>
  <c r="CP38" i="2" a="1"/>
  <c r="CP38" i="2" s="1"/>
  <c r="CQ38" i="2" s="1" a="1"/>
  <c r="CQ38" i="2" s="1"/>
  <c r="CP31" i="2" a="1"/>
  <c r="CP31" i="2" s="1"/>
  <c r="CQ31" i="2" s="1" a="1"/>
  <c r="CQ31" i="2" s="1"/>
  <c r="CO44" i="2" a="1"/>
  <c r="CO44" i="2" s="1"/>
  <c r="BE51" i="2" a="1"/>
  <c r="BE51" i="2" s="1"/>
  <c r="BR51" i="2" s="1" a="1"/>
  <c r="BR51" i="2" s="1"/>
  <c r="BF51" i="2" a="1"/>
  <c r="BF51" i="2" s="1"/>
  <c r="BO51" i="2" s="1" a="1"/>
  <c r="BO51" i="2" s="1"/>
  <c r="BE9" i="2" a="1"/>
  <c r="BE9" i="2" s="1"/>
  <c r="BR9" i="2" s="1" a="1"/>
  <c r="BR9" i="2" s="1"/>
  <c r="BF9" i="2" a="1"/>
  <c r="BF9" i="2" s="1"/>
  <c r="BO9" i="2" s="1" a="1"/>
  <c r="BO9" i="2" s="1"/>
  <c r="BX17" i="2" a="1"/>
  <c r="BX17" i="2" s="1"/>
  <c r="B206" i="3" a="1"/>
  <c r="B206" i="3" s="1"/>
  <c r="C188" i="3" a="1"/>
  <c r="C188" i="3" s="1"/>
  <c r="C206" i="3" a="1"/>
  <c r="C206" i="3" s="1"/>
  <c r="AQ32" i="2" a="1"/>
  <c r="AQ32" i="2" s="1"/>
  <c r="AP32" i="2" a="1"/>
  <c r="AP32" i="2" s="1"/>
  <c r="AR32" i="2" a="1"/>
  <c r="AR32" i="2" s="1"/>
  <c r="AS32" i="2" a="1"/>
  <c r="AS32" i="2" s="1"/>
  <c r="AO32" i="2" a="1"/>
  <c r="AO32" i="2" s="1"/>
  <c r="AO80" i="2" a="1"/>
  <c r="AO80" i="2" s="1"/>
  <c r="AS80" i="2" a="1"/>
  <c r="AS80" i="2" s="1"/>
  <c r="AR80" i="2" a="1"/>
  <c r="AR80" i="2" s="1"/>
  <c r="AQ80" i="2" a="1"/>
  <c r="AQ80" i="2" s="1"/>
  <c r="AP80" i="2" a="1"/>
  <c r="AP80" i="2" s="1"/>
  <c r="C232" i="3" a="1"/>
  <c r="C232" i="3" s="1"/>
  <c r="AQ70" i="2" a="1"/>
  <c r="AQ70" i="2" s="1"/>
  <c r="AO70" i="2" a="1"/>
  <c r="AO70" i="2" s="1"/>
  <c r="AR70" i="2" a="1"/>
  <c r="AR70" i="2" s="1"/>
  <c r="AP70" i="2" a="1"/>
  <c r="AP70" i="2" s="1"/>
  <c r="AS70" i="2" a="1"/>
  <c r="AS70" i="2" s="1"/>
  <c r="AP17" i="2" a="1"/>
  <c r="AP17" i="2" s="1"/>
  <c r="AO17" i="2" a="1"/>
  <c r="AO17" i="2" s="1"/>
  <c r="AS17" i="2" a="1"/>
  <c r="AS17" i="2" s="1"/>
  <c r="AR17" i="2" a="1"/>
  <c r="AR17" i="2" s="1"/>
  <c r="AQ17" i="2" a="1"/>
  <c r="AQ17" i="2" s="1"/>
  <c r="BF11" i="2" a="1"/>
  <c r="BF11" i="2" s="1"/>
  <c r="BO11" i="2" s="1" a="1"/>
  <c r="BO11" i="2" s="1"/>
  <c r="BE11" i="2" a="1"/>
  <c r="BE11" i="2" s="1"/>
  <c r="BR11" i="2" s="1" a="1"/>
  <c r="BR11" i="2" s="1"/>
  <c r="CA6" i="2" a="1"/>
  <c r="CA6" i="2" s="1"/>
  <c r="CC6" i="2" s="1" a="1"/>
  <c r="CC6" i="2" s="1"/>
  <c r="BX20" i="2" a="1"/>
  <c r="BX20" i="2" s="1"/>
  <c r="CZ27" i="2" a="1"/>
  <c r="CZ27" i="2" s="1"/>
  <c r="BL27" i="2" a="1"/>
  <c r="BL27" i="2" s="1"/>
  <c r="CW27" i="2" s="1" a="1"/>
  <c r="CW27" i="2" s="1"/>
  <c r="CO35" i="2" a="1"/>
  <c r="CO35" i="2" s="1"/>
  <c r="BX23" i="2" a="1"/>
  <c r="BX23" i="2" s="1"/>
  <c r="CB28" i="2" a="1"/>
  <c r="CB28" i="2" s="1"/>
  <c r="BF25" i="2" a="1"/>
  <c r="BF25" i="2" s="1"/>
  <c r="BO25" i="2" s="1" a="1"/>
  <c r="BO25" i="2" s="1"/>
  <c r="BE25" i="2" a="1"/>
  <c r="BE25" i="2" s="1"/>
  <c r="BR25" i="2" s="1" a="1"/>
  <c r="BR25" i="2" s="1"/>
  <c r="CP21" i="2" a="1"/>
  <c r="CP21" i="2" s="1"/>
  <c r="CB43" i="2" a="1"/>
  <c r="CB43" i="2" s="1"/>
  <c r="CC43" i="2" s="1" a="1"/>
  <c r="CC43" i="2" s="1"/>
  <c r="CO22" i="2" a="1"/>
  <c r="CO22" i="2" s="1"/>
  <c r="BL32" i="2" a="1"/>
  <c r="BL32" i="2" s="1"/>
  <c r="CW32" i="2" s="1" a="1"/>
  <c r="CW32" i="2" s="1"/>
  <c r="CZ32" i="2" a="1"/>
  <c r="CZ32" i="2" s="1"/>
  <c r="CZ35" i="2" a="1"/>
  <c r="CZ35" i="2" s="1"/>
  <c r="BL35" i="2" a="1"/>
  <c r="BL35" i="2" s="1"/>
  <c r="CW35" i="2" s="1" a="1"/>
  <c r="CW35" i="2" s="1"/>
  <c r="BX45" i="2" a="1"/>
  <c r="BX45" i="2" s="1"/>
  <c r="CA46" i="2" a="1"/>
  <c r="CA46" i="2" s="1"/>
  <c r="CC46" i="2" s="1" a="1"/>
  <c r="CC46" i="2" s="1"/>
  <c r="BF46" i="2" a="1"/>
  <c r="BF46" i="2" s="1"/>
  <c r="AN86" i="2" s="1" a="1"/>
  <c r="AN86" i="2" s="1"/>
  <c r="BE46" i="2" a="1"/>
  <c r="BE46" i="2" s="1"/>
  <c r="BR46" i="2" s="1" a="1"/>
  <c r="BR46" i="2" s="1"/>
  <c r="CZ40" i="2" a="1"/>
  <c r="CZ40" i="2" s="1"/>
  <c r="BL40" i="2" a="1"/>
  <c r="BL40" i="2" s="1"/>
  <c r="CW40" i="2" s="1" a="1"/>
  <c r="CW40" i="2" s="1"/>
  <c r="BE47" i="2" a="1"/>
  <c r="BE47" i="2" s="1"/>
  <c r="BR47" i="2" s="1" a="1"/>
  <c r="BR47" i="2" s="1"/>
  <c r="BF47" i="2" a="1"/>
  <c r="BF47" i="2" s="1"/>
  <c r="BO47" i="2" s="1" a="1"/>
  <c r="BO47" i="2" s="1"/>
  <c r="CB45" i="2" a="1"/>
  <c r="CB45" i="2" s="1"/>
  <c r="CO45" i="2" a="1"/>
  <c r="CO45" i="2" s="1"/>
  <c r="BX47" i="2" a="1"/>
  <c r="BX47" i="2" s="1"/>
  <c r="BX53" i="2" a="1"/>
  <c r="BX53" i="2" s="1"/>
  <c r="CP51" i="2" a="1"/>
  <c r="CP51" i="2" s="1"/>
  <c r="CQ51" i="2" s="1" a="1"/>
  <c r="CQ51" i="2" s="1"/>
  <c r="BE8" i="2" a="1"/>
  <c r="BE8" i="2" s="1"/>
  <c r="BR8" i="2" s="1" a="1"/>
  <c r="BR8" i="2" s="1"/>
  <c r="BF8" i="2" a="1"/>
  <c r="BF8" i="2" s="1"/>
  <c r="BO8" i="2" s="1" a="1"/>
  <c r="BO8" i="2" s="1"/>
  <c r="DF9" i="2" a="1"/>
  <c r="DF9" i="2" s="1"/>
  <c r="DF8" i="2" a="1"/>
  <c r="DF8" i="2" s="1"/>
  <c r="DF6" i="2" a="1"/>
  <c r="DF6" i="2" s="1"/>
  <c r="DF7" i="2" a="1"/>
  <c r="DF7" i="2" s="1"/>
  <c r="AP73" i="2" a="1"/>
  <c r="AP73" i="2" s="1"/>
  <c r="AS73" i="2" a="1"/>
  <c r="AS73" i="2" s="1"/>
  <c r="AO73" i="2" a="1"/>
  <c r="AO73" i="2" s="1"/>
  <c r="AR73" i="2" a="1"/>
  <c r="AR73" i="2" s="1"/>
  <c r="AQ73" i="2" a="1"/>
  <c r="AQ73" i="2" s="1"/>
  <c r="BT58" i="2" a="1"/>
  <c r="BT58" i="2" s="1"/>
  <c r="BU58" i="2" s="1" a="1"/>
  <c r="BU58" i="2" s="1"/>
  <c r="AS88" i="2" a="1"/>
  <c r="AS88" i="2" s="1"/>
  <c r="AR88" i="2" a="1"/>
  <c r="AR88" i="2" s="1"/>
  <c r="AP88" i="2" a="1"/>
  <c r="AP88" i="2" s="1"/>
  <c r="AO88" i="2" a="1"/>
  <c r="AO88" i="2" s="1"/>
  <c r="AQ88" i="2" a="1"/>
  <c r="AQ88" i="2" s="1"/>
  <c r="AS31" i="2" a="1"/>
  <c r="AS31" i="2" s="1"/>
  <c r="AR31" i="2" a="1"/>
  <c r="AR31" i="2" s="1"/>
  <c r="AQ31" i="2" a="1"/>
  <c r="AQ31" i="2" s="1"/>
  <c r="AP31" i="2" a="1"/>
  <c r="AP31" i="2" s="1"/>
  <c r="AO31" i="2" a="1"/>
  <c r="AO31" i="2" s="1"/>
  <c r="BF66" i="2" a="1"/>
  <c r="BF66" i="2" s="1"/>
  <c r="BL68" i="2" a="1"/>
  <c r="BL68" i="2" s="1"/>
  <c r="AM14" i="4" a="1"/>
  <c r="AM14" i="4" s="1"/>
  <c r="AR79" i="2" a="1"/>
  <c r="AR79" i="2" s="1"/>
  <c r="AS79" i="2" a="1"/>
  <c r="AS79" i="2" s="1"/>
  <c r="AQ79" i="2" a="1"/>
  <c r="AQ79" i="2" s="1"/>
  <c r="AP79" i="2" a="1"/>
  <c r="AP79" i="2" s="1"/>
  <c r="AO79" i="2" a="1"/>
  <c r="AO79" i="2" s="1"/>
  <c r="BF61" i="2" a="1"/>
  <c r="BF61" i="2" s="1"/>
  <c r="C204" i="3" a="1"/>
  <c r="C204" i="3" s="1"/>
  <c r="B204" i="3" a="1"/>
  <c r="B204" i="3" s="1"/>
  <c r="C186" i="3" a="1"/>
  <c r="C186" i="3" s="1"/>
  <c r="AR96" i="2" a="1"/>
  <c r="AR96" i="2" s="1"/>
  <c r="AP96" i="2" a="1"/>
  <c r="AP96" i="2" s="1"/>
  <c r="AS96" i="2" a="1"/>
  <c r="AS96" i="2" s="1"/>
  <c r="AO96" i="2" a="1"/>
  <c r="AO96" i="2" s="1"/>
  <c r="AQ96" i="2" a="1"/>
  <c r="AQ96" i="2" s="1"/>
  <c r="B200" i="3" a="1"/>
  <c r="B200" i="3" s="1"/>
  <c r="AE28" i="4" a="1"/>
  <c r="AE28" i="4" s="1"/>
  <c r="BT69" i="2" a="1"/>
  <c r="BT69" i="2" s="1"/>
  <c r="BU69" i="2" s="1" a="1"/>
  <c r="BU69" i="2" s="1"/>
  <c r="CA19" i="2" a="1"/>
  <c r="CA19" i="2" s="1"/>
  <c r="CC19" i="2" s="1" a="1"/>
  <c r="CC19" i="2" s="1"/>
  <c r="CB33" i="2" a="1"/>
  <c r="CB33" i="2" s="1"/>
  <c r="CP27" i="2" a="1"/>
  <c r="CP27" i="2" s="1"/>
  <c r="CQ27" i="2" s="1" a="1"/>
  <c r="CQ27" i="2" s="1"/>
  <c r="CA22" i="2" a="1"/>
  <c r="CA22" i="2" s="1"/>
  <c r="CC22" i="2" s="1" a="1"/>
  <c r="CC22" i="2" s="1"/>
  <c r="CL16" i="2" a="1"/>
  <c r="CL16" i="2" s="1"/>
  <c r="CO28" i="2" a="1"/>
  <c r="CO28" i="2" s="1"/>
  <c r="CQ28" i="2" s="1" a="1"/>
  <c r="CQ28" i="2" s="1"/>
  <c r="CB25" i="2" a="1"/>
  <c r="CB25" i="2" s="1"/>
  <c r="CB29" i="2" a="1"/>
  <c r="CB29" i="2" s="1"/>
  <c r="CZ22" i="2" a="1"/>
  <c r="CZ22" i="2" s="1"/>
  <c r="BL22" i="2" a="1"/>
  <c r="BL22" i="2" s="1"/>
  <c r="CW22" i="2" s="1" a="1"/>
  <c r="CW22" i="2" s="1"/>
  <c r="CZ37" i="2" a="1"/>
  <c r="CZ37" i="2" s="1"/>
  <c r="BL37" i="2" a="1"/>
  <c r="BL37" i="2" s="1"/>
  <c r="CW37" i="2" s="1" a="1"/>
  <c r="CW37" i="2" s="1"/>
  <c r="CB23" i="2" a="1"/>
  <c r="CB23" i="2" s="1"/>
  <c r="CC23" i="2" s="1" a="1"/>
  <c r="CC23" i="2" s="1"/>
  <c r="BL49" i="2" a="1"/>
  <c r="BL49" i="2" s="1"/>
  <c r="CW49" i="2" s="1" a="1"/>
  <c r="CW49" i="2" s="1"/>
  <c r="CZ49" i="2" a="1"/>
  <c r="CZ49" i="2" s="1"/>
  <c r="CB40" i="2" a="1"/>
  <c r="CB40" i="2" s="1"/>
  <c r="CP47" i="2" a="1"/>
  <c r="CP47" i="2" s="1"/>
  <c r="CQ47" i="2" s="1" a="1"/>
  <c r="CQ47" i="2" s="1"/>
  <c r="H15" i="4" a="1"/>
  <c r="H15" i="4" s="1"/>
  <c r="T38" i="4" a="1"/>
  <c r="T38" i="4" s="1"/>
  <c r="CL8" i="2" a="1"/>
  <c r="CL8" i="2" s="1"/>
  <c r="CL9" i="2" a="1"/>
  <c r="CL9" i="2" s="1"/>
  <c r="BT67" i="2" a="1"/>
  <c r="BT67" i="2" s="1"/>
  <c r="BU67" i="2" s="1" a="1"/>
  <c r="BU67" i="2" s="1"/>
  <c r="BE14" i="2" a="1"/>
  <c r="BE14" i="2" s="1"/>
  <c r="BR14" i="2" s="1" a="1"/>
  <c r="BR14" i="2" s="1"/>
  <c r="BF14" i="2" a="1"/>
  <c r="BF14" i="2" s="1"/>
  <c r="AN22" i="2" s="1" a="1"/>
  <c r="AN22" i="2" s="1"/>
  <c r="AS97" i="2" a="1"/>
  <c r="AS97" i="2" s="1"/>
  <c r="AR97" i="2" a="1"/>
  <c r="AR97" i="2" s="1"/>
  <c r="AQ97" i="2" a="1"/>
  <c r="AQ97" i="2" s="1"/>
  <c r="AO97" i="2" a="1"/>
  <c r="AO97" i="2" s="1"/>
  <c r="AP97" i="2" a="1"/>
  <c r="AP97" i="2" s="1"/>
  <c r="AR65" i="2" a="1"/>
  <c r="AR65" i="2" s="1"/>
  <c r="AQ65" i="2" a="1"/>
  <c r="AQ65" i="2" s="1"/>
  <c r="AP65" i="2" a="1"/>
  <c r="AP65" i="2" s="1"/>
  <c r="AS65" i="2" a="1"/>
  <c r="AS65" i="2" s="1"/>
  <c r="AO65" i="2" a="1"/>
  <c r="AO65" i="2" s="1"/>
  <c r="AQ33" i="2" a="1"/>
  <c r="AQ33" i="2" s="1"/>
  <c r="AS33" i="2" a="1"/>
  <c r="AS33" i="2" s="1"/>
  <c r="AR33" i="2" a="1"/>
  <c r="AR33" i="2" s="1"/>
  <c r="AP33" i="2" a="1"/>
  <c r="AP33" i="2" s="1"/>
  <c r="AO33" i="2" a="1"/>
  <c r="AO33" i="2" s="1"/>
  <c r="AS72" i="2" a="1"/>
  <c r="AS72" i="2" s="1"/>
  <c r="AQ72" i="2" a="1"/>
  <c r="AQ72" i="2" s="1"/>
  <c r="AO72" i="2" a="1"/>
  <c r="AO72" i="2" s="1"/>
  <c r="AR72" i="2" a="1"/>
  <c r="AR72" i="2" s="1"/>
  <c r="AP72" i="2" a="1"/>
  <c r="AP72" i="2" s="1"/>
  <c r="AR81" i="2" a="1"/>
  <c r="AR81" i="2" s="1"/>
  <c r="AQ81" i="2" a="1"/>
  <c r="AQ81" i="2" s="1"/>
  <c r="AP81" i="2" a="1"/>
  <c r="AP81" i="2" s="1"/>
  <c r="AO81" i="2" a="1"/>
  <c r="AO81" i="2" s="1"/>
  <c r="AS81" i="2" a="1"/>
  <c r="AS81" i="2" s="1"/>
  <c r="AQ71" i="2" a="1"/>
  <c r="AQ71" i="2" s="1"/>
  <c r="AO71" i="2" a="1"/>
  <c r="AO71" i="2" s="1"/>
  <c r="AS71" i="2" a="1"/>
  <c r="AS71" i="2" s="1"/>
  <c r="AR71" i="2" a="1"/>
  <c r="AR71" i="2" s="1"/>
  <c r="AP71" i="2" a="1"/>
  <c r="AP71" i="2" s="1"/>
  <c r="BT62" i="2" a="1"/>
  <c r="BT62" i="2" s="1"/>
  <c r="AP63" i="2" a="1"/>
  <c r="AP63" i="2" s="1"/>
  <c r="AS63" i="2" a="1"/>
  <c r="AS63" i="2" s="1"/>
  <c r="AQ63" i="2" a="1"/>
  <c r="AQ63" i="2" s="1"/>
  <c r="AO63" i="2" a="1"/>
  <c r="AO63" i="2" s="1"/>
  <c r="AR63" i="2" a="1"/>
  <c r="AR63" i="2" s="1"/>
  <c r="AS47" i="2" a="1"/>
  <c r="AS47" i="2" s="1"/>
  <c r="AR47" i="2" a="1"/>
  <c r="AR47" i="2" s="1"/>
  <c r="AQ47" i="2" a="1"/>
  <c r="AQ47" i="2" s="1"/>
  <c r="AP47" i="2" a="1"/>
  <c r="AP47" i="2" s="1"/>
  <c r="AO47" i="2" a="1"/>
  <c r="AO47" i="2" s="1"/>
  <c r="AQ54" i="2" a="1"/>
  <c r="AQ54" i="2" s="1"/>
  <c r="AO54" i="2" a="1"/>
  <c r="AO54" i="2" s="1"/>
  <c r="AS54" i="2" a="1"/>
  <c r="AS54" i="2" s="1"/>
  <c r="AR54" i="2" a="1"/>
  <c r="AR54" i="2" s="1"/>
  <c r="AP54" i="2" a="1"/>
  <c r="AP54" i="2" s="1"/>
  <c r="AS89" i="2" a="1"/>
  <c r="AS89" i="2" s="1"/>
  <c r="AR89" i="2" a="1"/>
  <c r="AR89" i="2" s="1"/>
  <c r="AP89" i="2" a="1"/>
  <c r="AP89" i="2" s="1"/>
  <c r="AQ89" i="2" a="1"/>
  <c r="AQ89" i="2" s="1"/>
  <c r="AO89" i="2" a="1"/>
  <c r="AO89" i="2" s="1"/>
  <c r="AS57" i="2" a="1"/>
  <c r="AS57" i="2" s="1"/>
  <c r="AR57" i="2" a="1"/>
  <c r="AR57" i="2" s="1"/>
  <c r="AQ57" i="2" a="1"/>
  <c r="AQ57" i="2" s="1"/>
  <c r="AP57" i="2" a="1"/>
  <c r="AP57" i="2" s="1"/>
  <c r="AO57" i="2" a="1"/>
  <c r="AO57" i="2" s="1"/>
  <c r="AR56" i="2" a="1"/>
  <c r="AR56" i="2" s="1"/>
  <c r="AP56" i="2" a="1"/>
  <c r="AP56" i="2" s="1"/>
  <c r="AO56" i="2" a="1"/>
  <c r="AO56" i="2" s="1"/>
  <c r="AS56" i="2" a="1"/>
  <c r="AS56" i="2" s="1"/>
  <c r="AQ56" i="2" a="1"/>
  <c r="AQ56" i="2" s="1"/>
  <c r="AS25" i="2" a="1"/>
  <c r="AS25" i="2" s="1"/>
  <c r="AR25" i="2" a="1"/>
  <c r="AR25" i="2" s="1"/>
  <c r="AQ25" i="2" a="1"/>
  <c r="AQ25" i="2" s="1"/>
  <c r="AP25" i="2" a="1"/>
  <c r="AP25" i="2" s="1"/>
  <c r="AO25" i="2" a="1"/>
  <c r="AO25" i="2" s="1"/>
  <c r="AQ94" i="2" a="1"/>
  <c r="AQ94" i="2" s="1"/>
  <c r="AS94" i="2" a="1"/>
  <c r="AS94" i="2" s="1"/>
  <c r="AR94" i="2" a="1"/>
  <c r="AR94" i="2" s="1"/>
  <c r="AP94" i="2" a="1"/>
  <c r="AP94" i="2" s="1"/>
  <c r="AO94" i="2" a="1"/>
  <c r="AO94" i="2" s="1"/>
  <c r="AO87" i="2" a="1"/>
  <c r="AO87" i="2" s="1"/>
  <c r="AS87" i="2" a="1"/>
  <c r="AS87" i="2" s="1"/>
  <c r="AR87" i="2" a="1"/>
  <c r="AR87" i="2" s="1"/>
  <c r="AQ87" i="2" a="1"/>
  <c r="AQ87" i="2" s="1"/>
  <c r="AP87" i="2" a="1"/>
  <c r="AP87" i="2" s="1"/>
  <c r="BF64" i="2" a="1"/>
  <c r="BF64" i="2" s="1"/>
  <c r="BT59" i="2" a="1"/>
  <c r="BT59" i="2" s="1"/>
  <c r="BU59" i="2" s="1" a="1"/>
  <c r="BU59" i="2" s="1"/>
  <c r="BT60" i="2" a="1"/>
  <c r="BT60" i="2" s="1"/>
  <c r="AM37" i="4" a="1"/>
  <c r="AM37" i="4" s="1"/>
  <c r="BL64" i="2" a="1"/>
  <c r="BL64" i="2" s="1"/>
  <c r="BL63" i="2" a="1"/>
  <c r="BL63" i="2" s="1"/>
  <c r="BN51" i="4" a="1"/>
  <c r="BN51" i="4" s="1"/>
  <c r="BN44" i="4" a="1"/>
  <c r="BN44" i="4" s="1"/>
  <c r="BN50" i="4" a="1"/>
  <c r="BN50" i="4" s="1"/>
  <c r="BN49" i="4" a="1"/>
  <c r="BN49" i="4" s="1"/>
  <c r="BN46" i="4" a="1"/>
  <c r="BN46" i="4" s="1"/>
  <c r="BN34" i="4" a="1"/>
  <c r="BN34" i="4" s="1"/>
  <c r="BN48" i="4" a="1"/>
  <c r="BN48" i="4" s="1"/>
  <c r="BN36" i="4" a="1"/>
  <c r="BN36" i="4" s="1"/>
  <c r="BN30" i="4" a="1"/>
  <c r="BN30" i="4" s="1"/>
  <c r="BN28" i="4" a="1"/>
  <c r="BN28" i="4" s="1"/>
  <c r="BN20" i="4" a="1"/>
  <c r="BN20" i="4" s="1"/>
  <c r="BN47" i="4" a="1"/>
  <c r="BN47" i="4" s="1"/>
  <c r="BN43" i="4" a="1"/>
  <c r="BN43" i="4" s="1"/>
  <c r="BN42" i="4" a="1"/>
  <c r="BN42" i="4" s="1"/>
  <c r="BN37" i="4" a="1"/>
  <c r="BN37" i="4" s="1"/>
  <c r="BN9" i="4" a="1"/>
  <c r="BN9" i="4" s="1"/>
  <c r="BN32" i="4" a="1"/>
  <c r="BN32" i="4" s="1"/>
  <c r="BN24" i="4" a="1"/>
  <c r="BN24" i="4" s="1"/>
  <c r="BN40" i="4" a="1"/>
  <c r="BN40" i="4" s="1"/>
  <c r="BN38" i="4" a="1"/>
  <c r="BN38" i="4" s="1"/>
  <c r="BN33" i="4" a="1"/>
  <c r="BN33" i="4" s="1"/>
  <c r="BN27" i="4" a="1"/>
  <c r="BN27" i="4" s="1"/>
  <c r="BN23" i="4" a="1"/>
  <c r="BN23" i="4" s="1"/>
  <c r="BN35" i="4" a="1"/>
  <c r="BN35" i="4" s="1"/>
  <c r="BN17" i="4" a="1"/>
  <c r="BN17" i="4" s="1"/>
  <c r="BN15" i="4" a="1"/>
  <c r="BN15" i="4" s="1"/>
  <c r="BN11" i="4" a="1"/>
  <c r="BN11" i="4" s="1"/>
  <c r="BN31" i="4" a="1"/>
  <c r="BN31" i="4" s="1"/>
  <c r="BN7" i="4" a="1"/>
  <c r="BN7" i="4" s="1"/>
  <c r="BN6" i="4" a="1"/>
  <c r="BN6" i="4" s="1"/>
  <c r="BN14" i="4" a="1"/>
  <c r="BN14" i="4" s="1"/>
  <c r="BN19" i="4" a="1"/>
  <c r="BN19" i="4" s="1"/>
  <c r="BN45" i="4" a="1"/>
  <c r="BN45" i="4" s="1"/>
  <c r="BN41" i="4" a="1"/>
  <c r="BN41" i="4" s="1"/>
  <c r="BN39" i="4" a="1"/>
  <c r="BN39" i="4" s="1"/>
  <c r="BN18" i="4" a="1"/>
  <c r="BN18" i="4" s="1"/>
  <c r="BN5" i="4" a="1"/>
  <c r="BN5" i="4" s="1"/>
  <c r="BN26" i="4" a="1"/>
  <c r="BN26" i="4" s="1"/>
  <c r="BN8" i="4" a="1"/>
  <c r="BN8" i="4" s="1"/>
  <c r="BN21" i="4" a="1"/>
  <c r="BN21" i="4" s="1"/>
  <c r="BN25" i="4" a="1"/>
  <c r="BN25" i="4" s="1"/>
  <c r="BN22" i="4" a="1"/>
  <c r="BN22" i="4" s="1"/>
  <c r="BN13" i="4" a="1"/>
  <c r="BN13" i="4" s="1"/>
  <c r="BN4" i="4" a="1"/>
  <c r="BN4" i="4" s="1"/>
  <c r="BN16" i="4" a="1"/>
  <c r="BN16" i="4" s="1"/>
  <c r="BN29" i="4" a="1"/>
  <c r="BN29" i="4" s="1"/>
  <c r="BN12" i="4" a="1"/>
  <c r="BN12" i="4" s="1"/>
  <c r="BN10" i="4" a="1"/>
  <c r="BN10" i="4" s="1"/>
  <c r="BM48" i="4" a="1"/>
  <c r="BM48" i="4" s="1"/>
  <c r="BM31" i="4" a="1"/>
  <c r="BM31" i="4" s="1"/>
  <c r="BM43" i="4" a="1"/>
  <c r="BM43" i="4" s="1"/>
  <c r="BM51" i="4" a="1"/>
  <c r="BM51" i="4" s="1"/>
  <c r="BM44" i="4" a="1"/>
  <c r="BM44" i="4" s="1"/>
  <c r="BM50" i="4" a="1"/>
  <c r="BM50" i="4" s="1"/>
  <c r="BM29" i="4" a="1"/>
  <c r="BM29" i="4" s="1"/>
  <c r="BM49" i="4" a="1"/>
  <c r="BM49" i="4" s="1"/>
  <c r="BM46" i="4" a="1"/>
  <c r="BM46" i="4" s="1"/>
  <c r="BM30" i="4" a="1"/>
  <c r="BM30" i="4" s="1"/>
  <c r="BM28" i="4" a="1"/>
  <c r="BM28" i="4" s="1"/>
  <c r="BM47" i="4" a="1"/>
  <c r="BM47" i="4" s="1"/>
  <c r="BM39" i="4" a="1"/>
  <c r="BM39" i="4" s="1"/>
  <c r="BM35" i="4" a="1"/>
  <c r="BM35" i="4" s="1"/>
  <c r="BM34" i="4" a="1"/>
  <c r="BM34" i="4" s="1"/>
  <c r="BM32" i="4" a="1"/>
  <c r="BM32" i="4" s="1"/>
  <c r="BM20" i="4" a="1"/>
  <c r="BM20" i="4" s="1"/>
  <c r="BM42" i="4" a="1"/>
  <c r="BM42" i="4" s="1"/>
  <c r="BM37" i="4" a="1"/>
  <c r="BM37" i="4" s="1"/>
  <c r="BM38" i="4" a="1"/>
  <c r="BM38" i="4" s="1"/>
  <c r="BM24" i="4" a="1"/>
  <c r="BM24" i="4" s="1"/>
  <c r="BM40" i="4" a="1"/>
  <c r="BM40" i="4" s="1"/>
  <c r="BM33" i="4" a="1"/>
  <c r="BM33" i="4" s="1"/>
  <c r="BM45" i="4" a="1"/>
  <c r="BM45" i="4" s="1"/>
  <c r="BM36" i="4" a="1"/>
  <c r="BM36" i="4" s="1"/>
  <c r="BM18" i="4" a="1"/>
  <c r="BM18" i="4" s="1"/>
  <c r="BM5" i="4" a="1"/>
  <c r="BM5" i="4" s="1"/>
  <c r="BM26" i="4" a="1"/>
  <c r="BM26" i="4" s="1"/>
  <c r="BM15" i="4" a="1"/>
  <c r="BM15" i="4" s="1"/>
  <c r="BM23" i="4" a="1"/>
  <c r="BM23" i="4" s="1"/>
  <c r="BM17" i="4" a="1"/>
  <c r="BM17" i="4" s="1"/>
  <c r="BM11" i="4" a="1"/>
  <c r="BM11" i="4" s="1"/>
  <c r="BM7" i="4" a="1"/>
  <c r="BM7" i="4" s="1"/>
  <c r="BM6" i="4" a="1"/>
  <c r="BM6" i="4" s="1"/>
  <c r="BM9" i="4" a="1"/>
  <c r="BM9" i="4" s="1"/>
  <c r="BM27" i="4" a="1"/>
  <c r="BM27" i="4" s="1"/>
  <c r="BM12" i="4" a="1"/>
  <c r="BM12" i="4" s="1"/>
  <c r="BM8" i="4" a="1"/>
  <c r="BM8" i="4" s="1"/>
  <c r="BM14" i="4" a="1"/>
  <c r="BM14" i="4" s="1"/>
  <c r="BM41" i="4" a="1"/>
  <c r="BM41" i="4" s="1"/>
  <c r="BM21" i="4" a="1"/>
  <c r="BM21" i="4" s="1"/>
  <c r="BM16" i="4" a="1"/>
  <c r="BM16" i="4" s="1"/>
  <c r="BM4" i="4" a="1"/>
  <c r="BM4" i="4" s="1"/>
  <c r="BM19" i="4" a="1"/>
  <c r="BM19" i="4" s="1"/>
  <c r="BM13" i="4" a="1"/>
  <c r="BM13" i="4" s="1"/>
  <c r="BM10" i="4" a="1"/>
  <c r="BM10" i="4" s="1"/>
  <c r="BM25" i="4" a="1"/>
  <c r="BM25" i="4" s="1"/>
  <c r="BM22" i="4" a="1"/>
  <c r="BM22" i="4" s="1"/>
  <c r="B221" i="3" a="1"/>
  <c r="B221" i="3" s="1"/>
  <c r="C211" i="3" a="1"/>
  <c r="C211" i="3" s="1"/>
  <c r="C221" i="3" a="1"/>
  <c r="C221" i="3" s="1"/>
  <c r="C200" i="3" a="1"/>
  <c r="C200" i="3" s="1"/>
  <c r="AP78" i="2" a="1"/>
  <c r="AP78" i="2" s="1"/>
  <c r="AS78" i="2" a="1"/>
  <c r="AS78" i="2" s="1"/>
  <c r="AO78" i="2" a="1"/>
  <c r="AO78" i="2" s="1"/>
  <c r="AR78" i="2" a="1"/>
  <c r="AR78" i="2" s="1"/>
  <c r="AQ78" i="2" a="1"/>
  <c r="AQ78" i="2" s="1"/>
  <c r="AQ86" i="2" a="1"/>
  <c r="AQ86" i="2" s="1"/>
  <c r="AP86" i="2" a="1"/>
  <c r="AP86" i="2" s="1"/>
  <c r="AO86" i="2" a="1"/>
  <c r="AO86" i="2" s="1"/>
  <c r="AS86" i="2" a="1"/>
  <c r="AS86" i="2" s="1"/>
  <c r="AR86" i="2" a="1"/>
  <c r="AR86" i="2" s="1"/>
  <c r="BF63" i="2" a="1"/>
  <c r="BF63" i="2" s="1"/>
  <c r="BF60" i="2" a="1"/>
  <c r="BF60" i="2" s="1"/>
  <c r="BT61" i="2" a="1"/>
  <c r="BT61" i="2" s="1"/>
  <c r="AS38" i="2" a="1"/>
  <c r="AS38" i="2" s="1"/>
  <c r="AR38" i="2" a="1"/>
  <c r="AR38" i="2" s="1"/>
  <c r="AQ38" i="2" a="1"/>
  <c r="AQ38" i="2" s="1"/>
  <c r="AP38" i="2" a="1"/>
  <c r="AP38" i="2" s="1"/>
  <c r="AO38" i="2" a="1"/>
  <c r="AO38" i="2" s="1"/>
  <c r="AO24" i="2" a="1"/>
  <c r="AO24" i="2" s="1"/>
  <c r="AS24" i="2" a="1"/>
  <c r="AS24" i="2" s="1"/>
  <c r="AQ24" i="2" a="1"/>
  <c r="AQ24" i="2" s="1"/>
  <c r="AP24" i="2" a="1"/>
  <c r="AP24" i="2" s="1"/>
  <c r="AR24" i="2" a="1"/>
  <c r="AR24" i="2" s="1"/>
  <c r="BF58" i="2" a="1"/>
  <c r="BF58" i="2" s="1"/>
  <c r="CA9" i="2" a="1"/>
  <c r="CA9" i="2" s="1"/>
  <c r="CC9" i="2" s="1" a="1"/>
  <c r="CC9" i="2" s="1"/>
  <c r="BE6" i="2" a="1"/>
  <c r="BE6" i="2" s="1"/>
  <c r="BR6" i="2" s="1" a="1"/>
  <c r="BR6" i="2" s="1"/>
  <c r="BF6" i="2" a="1"/>
  <c r="BF6" i="2" s="1"/>
  <c r="CZ21" i="2" a="1"/>
  <c r="CZ21" i="2" s="1"/>
  <c r="BL21" i="2" a="1"/>
  <c r="BL21" i="2" s="1"/>
  <c r="CW21" i="2" s="1" a="1"/>
  <c r="CW21" i="2" s="1"/>
  <c r="CB15" i="2" a="1"/>
  <c r="CB15" i="2" s="1"/>
  <c r="CC15" i="2" s="1" a="1"/>
  <c r="CC15" i="2" s="1"/>
  <c r="CZ12" i="2" a="1"/>
  <c r="CZ12" i="2" s="1"/>
  <c r="BL12" i="2" a="1"/>
  <c r="BL12" i="2" s="1"/>
  <c r="CW12" i="2" s="1" a="1"/>
  <c r="CW12" i="2" s="1"/>
  <c r="CA7" i="2" a="1"/>
  <c r="CA7" i="2" s="1"/>
  <c r="CC7" i="2" s="1" a="1"/>
  <c r="CC7" i="2" s="1"/>
  <c r="CZ6" i="2" a="1"/>
  <c r="CZ6" i="2" s="1"/>
  <c r="BL6" i="2" a="1"/>
  <c r="BL6" i="2" s="1"/>
  <c r="CW6" i="2" s="1" a="1"/>
  <c r="CW6" i="2" s="1"/>
  <c r="CO16" i="2" a="1"/>
  <c r="CO16" i="2" s="1"/>
  <c r="CQ16" i="2" s="1" a="1"/>
  <c r="CQ16" i="2" s="1"/>
  <c r="CB18" i="2" a="1"/>
  <c r="CB18" i="2" s="1"/>
  <c r="CC18" i="2" s="1" a="1"/>
  <c r="CC18" i="2" s="1"/>
  <c r="CZ34" i="2" a="1"/>
  <c r="CZ34" i="2" s="1"/>
  <c r="BL34" i="2" a="1"/>
  <c r="BL34" i="2" s="1"/>
  <c r="CW34" i="2" s="1" a="1"/>
  <c r="CW34" i="2" s="1"/>
  <c r="BE29" i="2" a="1"/>
  <c r="BE29" i="2" s="1"/>
  <c r="BR29" i="2" s="1" a="1"/>
  <c r="BR29" i="2" s="1"/>
  <c r="BF29" i="2" a="1"/>
  <c r="BF29" i="2" s="1"/>
  <c r="BO29" i="2" s="1" a="1"/>
  <c r="BO29" i="2" s="1"/>
  <c r="CO25" i="2" a="1"/>
  <c r="CO25" i="2" s="1"/>
  <c r="CQ25" i="2" s="1" a="1"/>
  <c r="CQ25" i="2" s="1"/>
  <c r="CZ47" i="2" a="1"/>
  <c r="CZ47" i="2" s="1"/>
  <c r="BL47" i="2" a="1"/>
  <c r="BL47" i="2" s="1"/>
  <c r="CW47" i="2" s="1" a="1"/>
  <c r="CW47" i="2" s="1"/>
  <c r="CP48" i="2" a="1"/>
  <c r="CP48" i="2" s="1"/>
  <c r="CQ48" i="2" s="1" a="1"/>
  <c r="CQ48" i="2" s="1"/>
  <c r="CZ41" i="2" a="1"/>
  <c r="CZ41" i="2" s="1"/>
  <c r="BL41" i="2" a="1"/>
  <c r="BL41" i="2" s="1"/>
  <c r="CW41" i="2" s="1" a="1"/>
  <c r="CW41" i="2" s="1"/>
  <c r="CB48" i="2" a="1"/>
  <c r="CB48" i="2" s="1"/>
  <c r="CC48" i="2" s="1" a="1"/>
  <c r="CC48" i="2" s="1"/>
  <c r="CO46" i="2" a="1"/>
  <c r="CO46" i="2" s="1"/>
  <c r="CQ46" i="2" s="1" a="1"/>
  <c r="CQ46" i="2" s="1"/>
  <c r="CA47" i="2" a="1"/>
  <c r="CA47" i="2" s="1"/>
  <c r="CC47" i="2" s="1" a="1"/>
  <c r="CC47" i="2" s="1"/>
  <c r="CO53" i="2" a="1"/>
  <c r="CO53" i="2" s="1"/>
  <c r="CQ53" i="2" s="1" a="1"/>
  <c r="CQ53" i="2" s="1"/>
  <c r="CZ48" i="2" a="1"/>
  <c r="CZ48" i="2" s="1"/>
  <c r="BL48" i="2" a="1"/>
  <c r="BL48" i="2" s="1"/>
  <c r="CW48" i="2" s="1" a="1"/>
  <c r="CW48" i="2" s="1"/>
  <c r="CA52" i="2" a="1"/>
  <c r="CA52" i="2" s="1"/>
  <c r="CC52" i="2" s="1" a="1"/>
  <c r="CC52" i="2" s="1"/>
  <c r="T6" i="4" a="1"/>
  <c r="T6" i="4" s="1"/>
  <c r="AR8" i="2" a="1"/>
  <c r="AR8" i="2" s="1"/>
  <c r="AQ8" i="2" a="1"/>
  <c r="AQ8" i="2" s="1"/>
  <c r="AO8" i="2" a="1"/>
  <c r="AO8" i="2" s="1"/>
  <c r="AS8" i="2" a="1"/>
  <c r="AS8" i="2" s="1"/>
  <c r="AP8" i="2" a="1"/>
  <c r="AP8" i="2" s="1"/>
  <c r="AE17" i="4" a="1"/>
  <c r="AE17" i="4" s="1"/>
  <c r="B201" i="3" a="1"/>
  <c r="B201" i="3" s="1"/>
  <c r="C201" i="3" a="1"/>
  <c r="C201" i="3" s="1"/>
  <c r="C183" i="3" a="1"/>
  <c r="C183" i="3" s="1"/>
  <c r="AQ95" i="2" a="1"/>
  <c r="AQ95" i="2" s="1"/>
  <c r="AS95" i="2" a="1"/>
  <c r="AS95" i="2" s="1"/>
  <c r="AR95" i="2" a="1"/>
  <c r="AR95" i="2" s="1"/>
  <c r="AO95" i="2" a="1"/>
  <c r="AO95" i="2" s="1"/>
  <c r="AP95" i="2" a="1"/>
  <c r="AP95" i="2" s="1"/>
  <c r="BL62" i="2" a="1"/>
  <c r="BL62" i="2" s="1"/>
  <c r="BF15" i="2" a="1"/>
  <c r="BF15" i="2" s="1"/>
  <c r="BO15" i="2" s="1" a="1"/>
  <c r="BO15" i="2" s="1"/>
  <c r="BE15" i="2" a="1"/>
  <c r="BE15" i="2" s="1"/>
  <c r="BR15" i="2" s="1" a="1"/>
  <c r="BR15" i="2" s="1"/>
  <c r="AE40" i="4" a="1"/>
  <c r="AE40" i="4" s="1"/>
  <c r="BF59" i="2" a="1"/>
  <c r="BF59" i="2" s="1"/>
  <c r="AQ48" i="2" a="1"/>
  <c r="AQ48" i="2" s="1"/>
  <c r="AP48" i="2" a="1"/>
  <c r="AP48" i="2" s="1"/>
  <c r="AS48" i="2" a="1"/>
  <c r="AS48" i="2" s="1"/>
  <c r="AR48" i="2" a="1"/>
  <c r="AR48" i="2" s="1"/>
  <c r="AO48" i="2" a="1"/>
  <c r="AO48" i="2" s="1"/>
  <c r="AP64" i="2" a="1"/>
  <c r="AP64" i="2" s="1"/>
  <c r="AO64" i="2" a="1"/>
  <c r="AO64" i="2" s="1"/>
  <c r="AQ64" i="2" a="1"/>
  <c r="AQ64" i="2" s="1"/>
  <c r="AR64" i="2" a="1"/>
  <c r="AR64" i="2" s="1"/>
  <c r="AS64" i="2" a="1"/>
  <c r="AS64" i="2" s="1"/>
  <c r="CP6" i="2" a="1"/>
  <c r="CP6" i="2" s="1"/>
  <c r="CO6" i="2" a="1"/>
  <c r="CO6" i="2" s="1"/>
  <c r="CZ19" i="2" a="1"/>
  <c r="CZ19" i="2" s="1"/>
  <c r="BL19" i="2" a="1"/>
  <c r="BL19" i="2" s="1"/>
  <c r="CW19" i="2" s="1" a="1"/>
  <c r="CW19" i="2" s="1"/>
  <c r="CB30" i="2" a="1"/>
  <c r="CB30" i="2" s="1"/>
  <c r="CZ29" i="2" a="1"/>
  <c r="CZ29" i="2" s="1"/>
  <c r="BL29" i="2" a="1"/>
  <c r="BL29" i="2" s="1"/>
  <c r="CW29" i="2" s="1" a="1"/>
  <c r="CW29" i="2" s="1"/>
  <c r="BX16" i="2" a="1"/>
  <c r="BX16" i="2" s="1"/>
  <c r="BF28" i="2" a="1"/>
  <c r="BF28" i="2" s="1"/>
  <c r="BO28" i="2" s="1" a="1"/>
  <c r="BO28" i="2" s="1"/>
  <c r="BE28" i="2" a="1"/>
  <c r="BE28" i="2" s="1"/>
  <c r="BR28" i="2" s="1" a="1"/>
  <c r="BR28" i="2" s="1"/>
  <c r="CL23" i="2" a="1"/>
  <c r="CL23" i="2" s="1"/>
  <c r="BF26" i="2" a="1"/>
  <c r="BF26" i="2" s="1"/>
  <c r="BE26" i="2" a="1"/>
  <c r="BE26" i="2" s="1"/>
  <c r="BR26" i="2" s="1" a="1"/>
  <c r="BR26" i="2" s="1"/>
  <c r="BE31" i="2" a="1"/>
  <c r="BE31" i="2" s="1"/>
  <c r="BR31" i="2" s="1" a="1"/>
  <c r="BR31" i="2" s="1"/>
  <c r="BF31" i="2" a="1"/>
  <c r="BF31" i="2" s="1"/>
  <c r="BO31" i="2" s="1" a="1"/>
  <c r="BO31" i="2" s="1"/>
  <c r="BF41" i="2" a="1"/>
  <c r="BF41" i="2" s="1"/>
  <c r="BO41" i="2" s="1" a="1"/>
  <c r="BO41" i="2" s="1"/>
  <c r="BE41" i="2" a="1"/>
  <c r="BE41" i="2" s="1"/>
  <c r="BR41" i="2" s="1" a="1"/>
  <c r="BR41" i="2" s="1"/>
  <c r="CB37" i="2" a="1"/>
  <c r="CB37" i="2" s="1"/>
  <c r="CC37" i="2" s="1" a="1"/>
  <c r="CC37" i="2" s="1"/>
  <c r="CB35" i="2" a="1"/>
  <c r="CB35" i="2" s="1"/>
  <c r="CC35" i="2" s="1" a="1"/>
  <c r="CC35" i="2" s="1"/>
  <c r="CP40" i="2" a="1"/>
  <c r="CP40" i="2" s="1"/>
  <c r="CQ40" i="2" s="1" a="1"/>
  <c r="CQ40" i="2" s="1"/>
  <c r="CB41" i="2" a="1"/>
  <c r="CB41" i="2" s="1"/>
  <c r="CC41" i="2" s="1" a="1"/>
  <c r="CC41" i="2" s="1"/>
  <c r="CP42" i="2" a="1"/>
  <c r="CP42" i="2" s="1"/>
  <c r="BF48" i="2" a="1"/>
  <c r="BF48" i="2" s="1"/>
  <c r="BO48" i="2" s="1" a="1"/>
  <c r="BO48" i="2" s="1"/>
  <c r="BE48" i="2" a="1"/>
  <c r="BE48" i="2" s="1"/>
  <c r="BR48" i="2" s="1" a="1"/>
  <c r="BR48" i="2" s="1"/>
  <c r="CO49" i="2" a="1"/>
  <c r="CO49" i="2" s="1"/>
  <c r="CQ49" i="2" s="1" a="1"/>
  <c r="CQ49" i="2" s="1"/>
  <c r="CL48" i="2" a="1"/>
  <c r="CL48" i="2" s="1"/>
  <c r="H22" i="4" a="1"/>
  <c r="H22" i="4" s="1"/>
  <c r="T15" i="4" a="1"/>
  <c r="T15" i="4" s="1"/>
  <c r="AR14" i="2" a="1"/>
  <c r="AR14" i="2" s="1"/>
  <c r="AQ14" i="2" a="1"/>
  <c r="AQ14" i="2" s="1"/>
  <c r="AO14" i="2" a="1"/>
  <c r="AO14" i="2" s="1"/>
  <c r="AP14" i="2" a="1"/>
  <c r="AP14" i="2" s="1"/>
  <c r="AS14" i="2" a="1"/>
  <c r="AS14" i="2" s="1"/>
  <c r="CL10" i="2" a="1"/>
  <c r="CL10" i="2" s="1"/>
  <c r="BF7" i="2" a="1"/>
  <c r="BF7" i="2" s="1"/>
  <c r="BO7" i="2" s="1" a="1"/>
  <c r="BO7" i="2" s="1"/>
  <c r="BE7" i="2" a="1"/>
  <c r="BE7" i="2" s="1"/>
  <c r="BR7" i="2" s="1" a="1"/>
  <c r="BR7" i="2" s="1"/>
  <c r="CC8" i="2" a="1"/>
  <c r="CC8" i="2" s="1"/>
  <c r="CA12" i="2" a="1"/>
  <c r="CA12" i="2" s="1"/>
  <c r="CC12" i="2" s="1" a="1"/>
  <c r="CC12" i="2" s="1"/>
  <c r="BL18" i="2" a="1"/>
  <c r="BL18" i="2" s="1"/>
  <c r="CW18" i="2" s="1" a="1"/>
  <c r="CW18" i="2" s="1"/>
  <c r="CZ18" i="2" a="1"/>
  <c r="CZ18" i="2" s="1"/>
  <c r="CZ8" i="2" a="1"/>
  <c r="CZ8" i="2" s="1"/>
  <c r="BL8" i="2" a="1"/>
  <c r="BL8" i="2" s="1"/>
  <c r="CW8" i="2" s="1" a="1"/>
  <c r="CW8" i="2" s="1"/>
  <c r="CZ20" i="2" a="1"/>
  <c r="CZ20" i="2" s="1"/>
  <c r="BL20" i="2" a="1"/>
  <c r="BL20" i="2" s="1"/>
  <c r="CW20" i="2" s="1" a="1"/>
  <c r="CW20" i="2" s="1"/>
  <c r="CA21" i="2" a="1"/>
  <c r="CA21" i="2" s="1"/>
  <c r="CC21" i="2" s="1" a="1"/>
  <c r="CC21" i="2" s="1"/>
  <c r="CO30" i="2" a="1"/>
  <c r="CO30" i="2" s="1"/>
  <c r="CQ30" i="2" s="1" a="1"/>
  <c r="CQ30" i="2" s="1"/>
  <c r="BX27" i="2" a="1"/>
  <c r="BX27" i="2" s="1"/>
  <c r="CA31" i="2" a="1"/>
  <c r="CA31" i="2" s="1"/>
  <c r="BF27" i="2" a="1"/>
  <c r="BF27" i="2" s="1"/>
  <c r="BO27" i="2" s="1" a="1"/>
  <c r="BO27" i="2" s="1"/>
  <c r="BE27" i="2" a="1"/>
  <c r="BE27" i="2" s="1"/>
  <c r="BR27" i="2" s="1" a="1"/>
  <c r="BR27" i="2" s="1"/>
  <c r="BL42" i="2" a="1"/>
  <c r="BL42" i="2" s="1"/>
  <c r="CW42" i="2" s="1" a="1"/>
  <c r="CW42" i="2" s="1"/>
  <c r="CZ42" i="2" a="1"/>
  <c r="CZ42" i="2" s="1"/>
  <c r="CA49" i="2" a="1"/>
  <c r="CA49" i="2" s="1"/>
  <c r="CC49" i="2" s="1" a="1"/>
  <c r="CC49" i="2" s="1"/>
  <c r="BE49" i="2" a="1"/>
  <c r="BE49" i="2" s="1"/>
  <c r="BR49" i="2" s="1" a="1"/>
  <c r="BR49" i="2" s="1"/>
  <c r="BF49" i="2" a="1"/>
  <c r="BF49" i="2" s="1"/>
  <c r="BO49" i="2" s="1" a="1"/>
  <c r="BO49" i="2" s="1"/>
  <c r="CA53" i="2" a="1"/>
  <c r="CA53" i="2" s="1"/>
  <c r="CC53" i="2" s="1" a="1"/>
  <c r="CC53" i="2" s="1"/>
  <c r="T20" i="4" a="1"/>
  <c r="T20" i="4" s="1"/>
  <c r="T28" i="4" a="1"/>
  <c r="T28" i="4" s="1"/>
  <c r="T37" i="4" a="1"/>
  <c r="T37" i="4" s="1"/>
  <c r="H21" i="4" a="1"/>
  <c r="H21" i="4" s="1"/>
  <c r="H38" i="4" a="1"/>
  <c r="H38" i="4" s="1"/>
  <c r="AQ7" i="2" a="1"/>
  <c r="AQ7" i="2" s="1"/>
  <c r="AP7" i="2" a="1"/>
  <c r="AP7" i="2" s="1"/>
  <c r="AS7" i="2" a="1"/>
  <c r="AS7" i="2" s="1"/>
  <c r="AR7" i="2" a="1"/>
  <c r="AR7" i="2" s="1"/>
  <c r="AO7" i="2" a="1"/>
  <c r="AO7" i="2" s="1"/>
  <c r="AO46" i="2" a="1"/>
  <c r="AO46" i="2" s="1"/>
  <c r="AQ46" i="2" a="1"/>
  <c r="AQ46" i="2" s="1"/>
  <c r="AP46" i="2" a="1"/>
  <c r="AP46" i="2" s="1"/>
  <c r="AS46" i="2" a="1"/>
  <c r="AS46" i="2" s="1"/>
  <c r="AR46" i="2" a="1"/>
  <c r="AR46" i="2" s="1"/>
  <c r="AQ15" i="2" a="1"/>
  <c r="AQ15" i="2" s="1"/>
  <c r="AS15" i="2" a="1"/>
  <c r="AS15" i="2" s="1"/>
  <c r="AR15" i="2" a="1"/>
  <c r="AR15" i="2" s="1"/>
  <c r="AP15" i="2" a="1"/>
  <c r="AP15" i="2" s="1"/>
  <c r="AO15" i="2" a="1"/>
  <c r="AO15" i="2" s="1"/>
  <c r="BL14" i="2" a="1"/>
  <c r="BL14" i="2" s="1"/>
  <c r="CW14" i="2" s="1" a="1"/>
  <c r="CW14" i="2" s="1"/>
  <c r="CZ14" i="2" a="1"/>
  <c r="CZ14" i="2" s="1"/>
  <c r="BX10" i="2" a="1"/>
  <c r="BX10" i="2" s="1"/>
  <c r="BF22" i="2" a="1"/>
  <c r="BF22" i="2" s="1"/>
  <c r="AN38" i="2" s="1" a="1"/>
  <c r="AN38" i="2" s="1"/>
  <c r="BE22" i="2" a="1"/>
  <c r="BE22" i="2" s="1"/>
  <c r="BR22" i="2" s="1" a="1"/>
  <c r="BR22" i="2" s="1"/>
  <c r="BL17" i="2" a="1"/>
  <c r="BL17" i="2" s="1"/>
  <c r="CW17" i="2" s="1" a="1"/>
  <c r="CW17" i="2" s="1"/>
  <c r="CZ17" i="2" a="1"/>
  <c r="CZ17" i="2" s="1"/>
  <c r="CA27" i="2" a="1"/>
  <c r="CA27" i="2" s="1"/>
  <c r="CC27" i="2" s="1" a="1"/>
  <c r="CC27" i="2" s="1"/>
  <c r="CA34" i="2" a="1"/>
  <c r="CA34" i="2" s="1"/>
  <c r="CC34" i="2" s="1" a="1"/>
  <c r="CC34" i="2" s="1"/>
  <c r="BF42" i="2" a="1"/>
  <c r="BF42" i="2" s="1"/>
  <c r="BE42" i="2" a="1"/>
  <c r="BE42" i="2" s="1"/>
  <c r="BR42" i="2" s="1" a="1"/>
  <c r="BR42" i="2" s="1"/>
  <c r="CP41" i="2" a="1"/>
  <c r="CP41" i="2" s="1"/>
  <c r="CQ41" i="2" s="1" a="1"/>
  <c r="CQ41" i="2" s="1"/>
  <c r="CZ44" i="2" a="1"/>
  <c r="CZ44" i="2" s="1"/>
  <c r="BL44" i="2" a="1"/>
  <c r="BL44" i="2" s="1"/>
  <c r="CW44" i="2" s="1" a="1"/>
  <c r="CW44" i="2" s="1"/>
  <c r="BF37" i="2" a="1"/>
  <c r="BF37" i="2" s="1"/>
  <c r="BO37" i="2" s="1" a="1"/>
  <c r="BO37" i="2" s="1"/>
  <c r="BE37" i="2" a="1"/>
  <c r="BE37" i="2" s="1"/>
  <c r="BR37" i="2" s="1" a="1"/>
  <c r="BR37" i="2" s="1"/>
  <c r="CA42" i="2" a="1"/>
  <c r="CA42" i="2" s="1"/>
  <c r="CC42" i="2" s="1" a="1"/>
  <c r="CC42" i="2" s="1"/>
  <c r="BL45" i="2" a="1"/>
  <c r="BL45" i="2" s="1"/>
  <c r="CW45" i="2" s="1" a="1"/>
  <c r="CW45" i="2" s="1"/>
  <c r="CZ45" i="2" a="1"/>
  <c r="CZ45" i="2" s="1"/>
  <c r="CA51" i="2" a="1"/>
  <c r="CA51" i="2" s="1"/>
  <c r="CL12" i="2" a="1"/>
  <c r="CL12" i="2" s="1"/>
  <c r="H13" i="4" a="1"/>
  <c r="H13" i="4" s="1"/>
  <c r="AR16" i="2" a="1"/>
  <c r="AR16" i="2" s="1"/>
  <c r="AQ16" i="2" a="1"/>
  <c r="AQ16" i="2" s="1"/>
  <c r="AP16" i="2" a="1"/>
  <c r="AP16" i="2" s="1"/>
  <c r="AO16" i="2" a="1"/>
  <c r="AO16" i="2" s="1"/>
  <c r="AS16" i="2" a="1"/>
  <c r="AS16" i="2" s="1"/>
  <c r="BE12" i="2" a="1"/>
  <c r="BE12" i="2" s="1"/>
  <c r="BR12" i="2" s="1" a="1"/>
  <c r="BR12" i="2" s="1"/>
  <c r="BF12" i="2" a="1"/>
  <c r="BF12" i="2" s="1"/>
  <c r="BO12" i="2" s="1" a="1"/>
  <c r="BO12" i="2" s="1"/>
  <c r="BE18" i="2" a="1"/>
  <c r="BE18" i="2" s="1"/>
  <c r="BR18" i="2" s="1" a="1"/>
  <c r="BR18" i="2" s="1"/>
  <c r="BF18" i="2" a="1"/>
  <c r="BF18" i="2" s="1"/>
  <c r="AN30" i="2" s="1" a="1"/>
  <c r="AN30" i="2" s="1"/>
  <c r="C222" i="3" a="1"/>
  <c r="C222" i="3" s="1"/>
  <c r="C212" i="3" a="1"/>
  <c r="C212" i="3" s="1"/>
  <c r="B222" i="3" a="1"/>
  <c r="B222" i="3" s="1"/>
  <c r="C187" i="3" a="1"/>
  <c r="C187" i="3" s="1"/>
  <c r="C205" i="3" a="1"/>
  <c r="C205" i="3" s="1"/>
  <c r="B205" i="3" a="1"/>
  <c r="B205" i="3" s="1"/>
  <c r="CQ14" i="2" a="1"/>
  <c r="CQ14" i="2" s="1"/>
  <c r="CP15" i="2" a="1"/>
  <c r="CP15" i="2" s="1"/>
  <c r="CQ15" i="2" s="1" a="1"/>
  <c r="CQ15" i="2" s="1"/>
  <c r="CZ9" i="2" a="1"/>
  <c r="CZ9" i="2" s="1"/>
  <c r="BL9" i="2" a="1"/>
  <c r="BL9" i="2" s="1"/>
  <c r="CW9" i="2" s="1" a="1"/>
  <c r="CW9" i="2" s="1"/>
  <c r="CZ30" i="2" a="1"/>
  <c r="CZ30" i="2" s="1"/>
  <c r="BL30" i="2" a="1"/>
  <c r="BL30" i="2" s="1"/>
  <c r="CW30" i="2" s="1" a="1"/>
  <c r="CW30" i="2" s="1"/>
  <c r="BF32" i="2" a="1"/>
  <c r="BF32" i="2" s="1"/>
  <c r="BO32" i="2" s="1" a="1"/>
  <c r="BO32" i="2" s="1"/>
  <c r="BE32" i="2" a="1"/>
  <c r="BE32" i="2" s="1"/>
  <c r="BR32" i="2" s="1" a="1"/>
  <c r="BR32" i="2" s="1"/>
  <c r="BF35" i="2" a="1"/>
  <c r="BF35" i="2" s="1"/>
  <c r="BO35" i="2" s="1" a="1"/>
  <c r="BO35" i="2" s="1"/>
  <c r="BE35" i="2" a="1"/>
  <c r="BE35" i="2" s="1"/>
  <c r="BR35" i="2" s="1" a="1"/>
  <c r="BR35" i="2" s="1"/>
  <c r="CL45" i="2" a="1"/>
  <c r="CL45" i="2" s="1"/>
  <c r="BF45" i="2" a="1"/>
  <c r="BF45" i="2" s="1"/>
  <c r="BO45" i="2" s="1" a="1"/>
  <c r="BO45" i="2" s="1"/>
  <c r="BE45" i="2" a="1"/>
  <c r="BE45" i="2" s="1"/>
  <c r="BR45" i="2" s="1" a="1"/>
  <c r="BR45" i="2" s="1"/>
  <c r="CZ50" i="2" a="1"/>
  <c r="CZ50" i="2" s="1"/>
  <c r="BL50" i="2" a="1"/>
  <c r="BL50" i="2" s="1"/>
  <c r="CW50" i="2" s="1" a="1"/>
  <c r="CW50" i="2" s="1"/>
  <c r="BF50" i="2" a="1"/>
  <c r="BF50" i="2" s="1"/>
  <c r="BE50" i="2" a="1"/>
  <c r="BE50" i="2" s="1"/>
  <c r="BR50" i="2" s="1" a="1"/>
  <c r="BR50" i="2" s="1"/>
  <c r="AQ6" i="2" a="1"/>
  <c r="AQ6" i="2" s="1"/>
  <c r="AP6" i="2" a="1"/>
  <c r="AP6" i="2" s="1"/>
  <c r="AR6" i="2" a="1"/>
  <c r="AR6" i="2" s="1"/>
  <c r="AS6" i="2" a="1"/>
  <c r="AS6" i="2" s="1"/>
  <c r="AO6" i="2" a="1"/>
  <c r="AO6" i="2" s="1"/>
  <c r="T46" i="4" a="1"/>
  <c r="T46" i="4" s="1"/>
  <c r="T22" i="4" a="1"/>
  <c r="T22" i="4" s="1"/>
  <c r="AE41" i="4" a="1"/>
  <c r="AE41" i="4" s="1"/>
  <c r="BF68" i="2" a="1"/>
  <c r="BF68" i="2" s="1"/>
  <c r="AO55" i="2" a="1"/>
  <c r="AO55" i="2" s="1"/>
  <c r="AQ55" i="2" a="1"/>
  <c r="AQ55" i="2" s="1"/>
  <c r="AP55" i="2" a="1"/>
  <c r="AP55" i="2" s="1"/>
  <c r="AS55" i="2" a="1"/>
  <c r="AS55" i="2" s="1"/>
  <c r="AR55" i="2" a="1"/>
  <c r="AR55" i="2" s="1"/>
  <c r="AQ30" i="2" a="1"/>
  <c r="AQ30" i="2" s="1"/>
  <c r="AR30" i="2" a="1"/>
  <c r="AR30" i="2" s="1"/>
  <c r="AP30" i="2" a="1"/>
  <c r="AP30" i="2" s="1"/>
  <c r="AO30" i="2" a="1"/>
  <c r="AO30" i="2" s="1"/>
  <c r="AS30" i="2" a="1"/>
  <c r="AS30" i="2" s="1"/>
  <c r="AP22" i="2" a="1"/>
  <c r="AP22" i="2" s="1"/>
  <c r="AO22" i="2" a="1"/>
  <c r="AO22" i="2" s="1"/>
  <c r="AS22" i="2" a="1"/>
  <c r="AS22" i="2" s="1"/>
  <c r="AQ22" i="2" a="1"/>
  <c r="AQ22" i="2" s="1"/>
  <c r="AR22" i="2" a="1"/>
  <c r="AR22" i="2" s="1"/>
  <c r="AQ41" i="2" a="1"/>
  <c r="AQ41" i="2" s="1"/>
  <c r="AS41" i="2" a="1"/>
  <c r="AS41" i="2" s="1"/>
  <c r="AR41" i="2" a="1"/>
  <c r="AR41" i="2" s="1"/>
  <c r="AP41" i="2" a="1"/>
  <c r="AP41" i="2" s="1"/>
  <c r="AO41" i="2" a="1"/>
  <c r="AO41" i="2" s="1"/>
  <c r="AQ62" i="2" a="1"/>
  <c r="AQ62" i="2" s="1"/>
  <c r="AO62" i="2" a="1"/>
  <c r="AO62" i="2" s="1"/>
  <c r="AS62" i="2" a="1"/>
  <c r="AS62" i="2" s="1"/>
  <c r="AR62" i="2" a="1"/>
  <c r="AR62" i="2" s="1"/>
  <c r="AP62" i="2" a="1"/>
  <c r="AP62" i="2" s="1"/>
  <c r="BL65" i="2" a="1"/>
  <c r="BL65" i="2" s="1"/>
  <c r="BL16" i="2" a="1"/>
  <c r="BL16" i="2" s="1"/>
  <c r="CW16" i="2" s="1" a="1"/>
  <c r="CW16" i="2" s="1"/>
  <c r="CZ16" i="2" a="1"/>
  <c r="CZ16" i="2" s="1"/>
  <c r="CZ11" i="2" a="1"/>
  <c r="CZ11" i="2" s="1"/>
  <c r="BL11" i="2" a="1"/>
  <c r="BL11" i="2" s="1"/>
  <c r="CW11" i="2" s="1" a="1"/>
  <c r="CW11" i="2" s="1"/>
  <c r="CC16" i="2" a="1"/>
  <c r="CC16" i="2" s="1"/>
  <c r="CZ28" i="2" a="1"/>
  <c r="CZ28" i="2" s="1"/>
  <c r="BL28" i="2" a="1"/>
  <c r="BL28" i="2" s="1"/>
  <c r="CW28" i="2" s="1" a="1"/>
  <c r="CW28" i="2" s="1"/>
  <c r="BF23" i="2" a="1"/>
  <c r="BF23" i="2" s="1"/>
  <c r="BO23" i="2" s="1" a="1"/>
  <c r="BO23" i="2" s="1"/>
  <c r="BE23" i="2" a="1"/>
  <c r="BE23" i="2" s="1"/>
  <c r="BR23" i="2" s="1" a="1"/>
  <c r="BR23" i="2" s="1"/>
  <c r="CO32" i="2" a="1"/>
  <c r="CO32" i="2" s="1"/>
  <c r="CQ32" i="2" s="1" a="1"/>
  <c r="CQ32" i="2" s="1"/>
  <c r="CA32" i="2" a="1"/>
  <c r="CA32" i="2" s="1"/>
  <c r="BL31" i="2" a="1"/>
  <c r="BL31" i="2" s="1"/>
  <c r="CW31" i="2" s="1" a="1"/>
  <c r="CW31" i="2" s="1"/>
  <c r="CZ31" i="2" a="1"/>
  <c r="CZ31" i="2" s="1"/>
  <c r="CO19" i="2" a="1"/>
  <c r="CO19" i="2" s="1"/>
  <c r="CQ19" i="2" s="1" a="1"/>
  <c r="CQ19" i="2" s="1"/>
  <c r="BF36" i="2" a="1"/>
  <c r="BF36" i="2" s="1"/>
  <c r="BO36" i="2" s="1" a="1"/>
  <c r="BO36" i="2" s="1"/>
  <c r="BE36" i="2" a="1"/>
  <c r="BE36" i="2" s="1"/>
  <c r="BR36" i="2" s="1" a="1"/>
  <c r="BR36" i="2" s="1"/>
  <c r="CZ24" i="2" a="1"/>
  <c r="CZ24" i="2" s="1"/>
  <c r="BL24" i="2" a="1"/>
  <c r="BL24" i="2" s="1"/>
  <c r="CW24" i="2" s="1" a="1"/>
  <c r="CW24" i="2" s="1"/>
  <c r="BL33" i="2" a="1"/>
  <c r="BL33" i="2" s="1"/>
  <c r="CW33" i="2" s="1" a="1"/>
  <c r="CW33" i="2" s="1"/>
  <c r="CZ33" i="2" a="1"/>
  <c r="CZ33" i="2" s="1"/>
  <c r="CL35" i="2" a="1"/>
  <c r="CL35" i="2" s="1"/>
  <c r="CZ43" i="2" a="1"/>
  <c r="CZ43" i="2" s="1"/>
  <c r="BL43" i="2" a="1"/>
  <c r="BL43" i="2" s="1"/>
  <c r="CW43" i="2" s="1" a="1"/>
  <c r="CW43" i="2" s="1"/>
  <c r="CZ38" i="2" a="1"/>
  <c r="CZ38" i="2" s="1"/>
  <c r="BL38" i="2" a="1"/>
  <c r="BL38" i="2" s="1"/>
  <c r="CW38" i="2" s="1" a="1"/>
  <c r="CW38" i="2" s="1"/>
  <c r="CO50" i="2" a="1"/>
  <c r="CO50" i="2" s="1"/>
  <c r="CQ50" i="2" s="1" a="1"/>
  <c r="CQ50" i="2" s="1"/>
  <c r="CZ53" i="2" a="1"/>
  <c r="CZ53" i="2" s="1"/>
  <c r="BL53" i="2" a="1"/>
  <c r="BL53" i="2" s="1"/>
  <c r="CW53" i="2" s="1" a="1"/>
  <c r="CW53" i="2" s="1"/>
  <c r="BE16" i="2" a="1"/>
  <c r="BE16" i="2" s="1"/>
  <c r="BR16" i="2" s="1" a="1"/>
  <c r="BR16" i="2" s="1"/>
  <c r="BF16" i="2" a="1"/>
  <c r="BF16" i="2" s="1"/>
  <c r="BO16" i="2" s="1" a="1"/>
  <c r="BO16" i="2" s="1"/>
  <c r="BE13" i="2" a="1"/>
  <c r="BE13" i="2" s="1"/>
  <c r="BR13" i="2" s="1" a="1"/>
  <c r="BR13" i="2" s="1"/>
  <c r="BF13" i="2" a="1"/>
  <c r="BF13" i="2" s="1"/>
  <c r="BO13" i="2" s="1" a="1"/>
  <c r="BO13" i="2" s="1"/>
  <c r="T5" i="4" a="1"/>
  <c r="T5" i="4" s="1"/>
  <c r="T21" i="4" a="1"/>
  <c r="T21" i="4" s="1"/>
  <c r="H6" i="4" a="1"/>
  <c r="H6" i="4" s="1"/>
  <c r="CQ11" i="2" a="1"/>
  <c r="CQ11" i="2" s="1"/>
  <c r="CZ10" i="2" a="1"/>
  <c r="CZ10" i="2" s="1"/>
  <c r="BL10" i="2" a="1"/>
  <c r="BL10" i="2" s="1"/>
  <c r="CW10" i="2" s="1" a="1"/>
  <c r="CW10" i="2" s="1"/>
  <c r="CZ7" i="2" a="1"/>
  <c r="CZ7" i="2" s="1"/>
  <c r="BL7" i="2" a="1"/>
  <c r="BL7" i="2" s="1"/>
  <c r="CW7" i="2" s="1" a="1"/>
  <c r="CW7" i="2" s="1"/>
  <c r="BE17" i="2" a="1"/>
  <c r="BE17" i="2" s="1"/>
  <c r="BR17" i="2" s="1" a="1"/>
  <c r="BR17" i="2" s="1"/>
  <c r="BF17" i="2" a="1"/>
  <c r="BF17" i="2" s="1"/>
  <c r="BO17" i="2" s="1" a="1"/>
  <c r="BO17" i="2" s="1"/>
  <c r="BF20" i="2" a="1"/>
  <c r="BF20" i="2" s="1"/>
  <c r="BO20" i="2" s="1" a="1"/>
  <c r="BO20" i="2" s="1"/>
  <c r="BE20" i="2" a="1"/>
  <c r="BE20" i="2" s="1"/>
  <c r="BR20" i="2" s="1" a="1"/>
  <c r="BR20" i="2" s="1"/>
  <c r="BF30" i="2" a="1"/>
  <c r="BF30" i="2" s="1"/>
  <c r="BE30" i="2" a="1"/>
  <c r="BE30" i="2" s="1"/>
  <c r="BR30" i="2" s="1" a="1"/>
  <c r="BR30" i="2" s="1"/>
  <c r="CL43" i="2" a="1"/>
  <c r="CL43" i="2" s="1"/>
  <c r="CB36" i="2" a="1"/>
  <c r="CB36" i="2" s="1"/>
  <c r="CC36" i="2" s="1" a="1"/>
  <c r="CC36" i="2" s="1"/>
  <c r="BX43" i="2" a="1"/>
  <c r="BX43" i="2" s="1"/>
  <c r="BF40" i="2" a="1"/>
  <c r="BF40" i="2" s="1"/>
  <c r="BO40" i="2" s="1" a="1"/>
  <c r="BO40" i="2" s="1"/>
  <c r="BE40" i="2" a="1"/>
  <c r="BE40" i="2" s="1"/>
  <c r="BR40" i="2" s="1" a="1"/>
  <c r="BR40" i="2" s="1"/>
  <c r="CL29" i="2" a="1"/>
  <c r="CL29" i="2" s="1"/>
  <c r="BX48" i="2" a="1"/>
  <c r="BX48" i="2" s="1"/>
  <c r="CL47" i="2" a="1"/>
  <c r="CL47" i="2" s="1"/>
  <c r="CZ46" i="2" a="1"/>
  <c r="CZ46" i="2" s="1"/>
  <c r="BL46" i="2" a="1"/>
  <c r="BL46" i="2" s="1"/>
  <c r="CW46" i="2" s="1" a="1"/>
  <c r="CW46" i="2" s="1"/>
  <c r="BF43" i="2" a="1"/>
  <c r="BF43" i="2" s="1"/>
  <c r="BO43" i="2" s="1" a="1"/>
  <c r="BO43" i="2" s="1"/>
  <c r="BE43" i="2" a="1"/>
  <c r="BE43" i="2" s="1"/>
  <c r="BR43" i="2" s="1" a="1"/>
  <c r="BR43" i="2" s="1"/>
  <c r="CZ51" i="2" a="1"/>
  <c r="CZ51" i="2" s="1"/>
  <c r="BL51" i="2" a="1"/>
  <c r="BL51" i="2" s="1"/>
  <c r="CW51" i="2" s="1" a="1"/>
  <c r="CW51" i="2" s="1"/>
  <c r="H4" i="4" a="1"/>
  <c r="H4" i="4" s="1"/>
  <c r="H28" i="4" a="1"/>
  <c r="H28" i="4" s="1"/>
  <c r="T7" i="4" a="1"/>
  <c r="T7" i="4" s="1"/>
  <c r="H47" i="4" a="1"/>
  <c r="H47" i="4" s="1"/>
  <c r="H29" i="4" a="1"/>
  <c r="H29" i="4" s="1"/>
  <c r="T23" i="4" a="1"/>
  <c r="T23" i="4" s="1"/>
  <c r="H45" i="4" a="1"/>
  <c r="H45" i="4" s="1"/>
  <c r="AR9" i="2" a="1"/>
  <c r="AR9" i="2" s="1"/>
  <c r="AQ9" i="2" a="1"/>
  <c r="AQ9" i="2" s="1"/>
  <c r="AO9" i="2" a="1"/>
  <c r="AO9" i="2" s="1"/>
  <c r="AS9" i="2" a="1"/>
  <c r="AS9" i="2" s="1"/>
  <c r="AP9" i="2" a="1"/>
  <c r="AP9" i="2" s="1"/>
  <c r="C207" i="3" a="1"/>
  <c r="C207" i="3" s="1"/>
  <c r="C189" i="3" a="1"/>
  <c r="C189" i="3" s="1"/>
  <c r="B207" i="3" a="1"/>
  <c r="B207" i="3" s="1"/>
  <c r="BT68" i="2" a="1"/>
  <c r="BT68" i="2" s="1"/>
  <c r="BF69" i="2" a="1"/>
  <c r="BF69" i="2" s="1"/>
  <c r="BT66" i="2" a="1"/>
  <c r="BT66" i="2" s="1"/>
  <c r="B232" i="3" a="1"/>
  <c r="B232" i="3" s="1"/>
  <c r="BT63" i="2" a="1"/>
  <c r="BT63" i="2" s="1"/>
  <c r="BU63" i="2" s="1" a="1"/>
  <c r="BU63" i="2" s="1"/>
  <c r="BL66" i="2" a="1"/>
  <c r="BL66" i="2" s="1"/>
  <c r="BT64" i="2" a="1"/>
  <c r="BT64" i="2" s="1"/>
  <c r="AQ39" i="2" a="1"/>
  <c r="AQ39" i="2" s="1"/>
  <c r="AP39" i="2" a="1"/>
  <c r="AP39" i="2" s="1"/>
  <c r="AO39" i="2" a="1"/>
  <c r="AO39" i="2" s="1"/>
  <c r="AS39" i="2" a="1"/>
  <c r="AS39" i="2" s="1"/>
  <c r="AR39" i="2" a="1"/>
  <c r="AR39" i="2" s="1"/>
  <c r="BF19" i="2" a="1"/>
  <c r="BF19" i="2" s="1"/>
  <c r="BO19" i="2" s="1" a="1"/>
  <c r="BO19" i="2" s="1"/>
  <c r="BE19" i="2" a="1"/>
  <c r="BE19" i="2" s="1"/>
  <c r="BR19" i="2" s="1" a="1"/>
  <c r="BR19" i="2" s="1"/>
  <c r="CZ26" i="2" a="1"/>
  <c r="CZ26" i="2" s="1"/>
  <c r="BL26" i="2" a="1"/>
  <c r="BL26" i="2" s="1"/>
  <c r="CW26" i="2" s="1" a="1"/>
  <c r="CW26" i="2" s="1"/>
  <c r="BE24" i="2" a="1"/>
  <c r="BE24" i="2" s="1"/>
  <c r="BR24" i="2" s="1" a="1"/>
  <c r="BR24" i="2" s="1"/>
  <c r="BF24" i="2" a="1"/>
  <c r="BF24" i="2" s="1"/>
  <c r="BO24" i="2" s="1" a="1"/>
  <c r="BO24" i="2" s="1"/>
  <c r="BE21" i="2" a="1"/>
  <c r="BE21" i="2" s="1"/>
  <c r="BR21" i="2" s="1" a="1"/>
  <c r="BR21" i="2" s="1"/>
  <c r="BF21" i="2" a="1"/>
  <c r="BF21" i="2" s="1"/>
  <c r="BO21" i="2" s="1" a="1"/>
  <c r="BO21" i="2" s="1"/>
  <c r="BL36" i="2" a="1"/>
  <c r="BL36" i="2" s="1"/>
  <c r="CW36" i="2" s="1" a="1"/>
  <c r="CW36" i="2" s="1"/>
  <c r="CZ36" i="2" a="1"/>
  <c r="CZ36" i="2" s="1"/>
  <c r="BF34" i="2" a="1"/>
  <c r="BF34" i="2" s="1"/>
  <c r="AN62" i="2" s="1" a="1"/>
  <c r="AN62" i="2" s="1"/>
  <c r="BE34" i="2" a="1"/>
  <c r="BE34" i="2" s="1"/>
  <c r="BR34" i="2" s="1" a="1"/>
  <c r="BR34" i="2" s="1"/>
  <c r="BF39" i="2" a="1"/>
  <c r="BF39" i="2" s="1"/>
  <c r="BO39" i="2" s="1" a="1"/>
  <c r="BO39" i="2" s="1"/>
  <c r="BE39" i="2" a="1"/>
  <c r="BE39" i="2" s="1"/>
  <c r="BR39" i="2" s="1" a="1"/>
  <c r="BR39" i="2" s="1"/>
  <c r="BF38" i="2" a="1"/>
  <c r="BF38" i="2" s="1"/>
  <c r="BE38" i="2" a="1"/>
  <c r="BE38" i="2" s="1"/>
  <c r="BR38" i="2" s="1" a="1"/>
  <c r="BR38" i="2" s="1"/>
  <c r="BX33" i="2" a="1"/>
  <c r="BX33" i="2" s="1"/>
  <c r="BF44" i="2" a="1"/>
  <c r="BF44" i="2" s="1"/>
  <c r="BO44" i="2" s="1" a="1"/>
  <c r="BO44" i="2" s="1"/>
  <c r="BE44" i="2" a="1"/>
  <c r="BE44" i="2" s="1"/>
  <c r="BR44" i="2" s="1" a="1"/>
  <c r="BR44" i="2" s="1"/>
  <c r="CZ52" i="2" a="1"/>
  <c r="CZ52" i="2" s="1"/>
  <c r="BL52" i="2" a="1"/>
  <c r="BL52" i="2" s="1"/>
  <c r="CW52" i="2" s="1" a="1"/>
  <c r="CW52" i="2" s="1"/>
  <c r="BX7" i="2" a="1"/>
  <c r="BX7" i="2" s="1"/>
  <c r="H30" i="4" a="1"/>
  <c r="H30" i="4" s="1"/>
  <c r="T29" i="4" a="1"/>
  <c r="T29" i="4" s="1"/>
  <c r="T45" i="4" a="1"/>
  <c r="T45" i="4" s="1"/>
  <c r="H37" i="4" a="1"/>
  <c r="H37" i="4" s="1"/>
  <c r="CC31" i="2" l="1" a="1"/>
  <c r="CC31" i="2" s="1"/>
  <c r="CQ42" i="2" a="1"/>
  <c r="CQ42" i="2" s="1"/>
  <c r="BU61" i="2" a="1"/>
  <c r="BU61" i="2" s="1"/>
  <c r="AT71" i="2" a="1"/>
  <c r="AT71" i="2" s="1"/>
  <c r="V21" i="4" s="1" a="1"/>
  <c r="V21" i="4" s="1"/>
  <c r="CC40" i="2" a="1"/>
  <c r="CC40" i="2" s="1"/>
  <c r="AT41" i="2" a="1"/>
  <c r="AT41" i="2" s="1"/>
  <c r="J39" i="4" s="1" a="1"/>
  <c r="J39" i="4" s="1"/>
  <c r="BL19" i="4" a="1"/>
  <c r="BL19" i="4" s="1"/>
  <c r="BK19" i="4" s="1" a="1"/>
  <c r="BK19" i="4" s="1"/>
  <c r="BJ19" i="4" s="1" a="1"/>
  <c r="BJ19" i="4" s="1"/>
  <c r="BL38" i="4" a="1"/>
  <c r="BL38" i="4" s="1"/>
  <c r="BK38" i="4" s="1" a="1"/>
  <c r="BK38" i="4" s="1"/>
  <c r="BJ38" i="4" s="1" a="1"/>
  <c r="BJ38" i="4" s="1"/>
  <c r="CC33" i="2" a="1"/>
  <c r="CC33" i="2" s="1"/>
  <c r="CC51" i="2" a="1"/>
  <c r="CC51" i="2" s="1"/>
  <c r="BL47" i="4" a="1"/>
  <c r="BL47" i="4" s="1"/>
  <c r="BK47" i="4" s="1" a="1"/>
  <c r="BK47" i="4" s="1"/>
  <c r="BJ47" i="4" s="1" a="1"/>
  <c r="BJ47" i="4" s="1"/>
  <c r="CC32" i="2" a="1"/>
  <c r="CC32" i="2" s="1"/>
  <c r="BL29" i="4" a="1"/>
  <c r="BL29" i="4" s="1"/>
  <c r="BK29" i="4" s="1" a="1"/>
  <c r="BK29" i="4" s="1"/>
  <c r="BJ29" i="4" s="1" a="1"/>
  <c r="BJ29" i="4" s="1"/>
  <c r="CC24" i="2" a="1"/>
  <c r="CC24" i="2" s="1"/>
  <c r="K5" i="4" a="1"/>
  <c r="K5" i="4" s="1"/>
  <c r="CC30" i="2" a="1"/>
  <c r="CC30" i="2" s="1"/>
  <c r="CQ37" i="2" a="1"/>
  <c r="CQ37" i="2" s="1"/>
  <c r="BL32" i="4" a="1"/>
  <c r="BL32" i="4" s="1"/>
  <c r="BK32" i="4" s="1" a="1"/>
  <c r="BK32" i="4" s="1"/>
  <c r="BJ32" i="4" s="1" a="1"/>
  <c r="BJ32" i="4" s="1"/>
  <c r="CC25" i="2" a="1"/>
  <c r="CC25" i="2" s="1"/>
  <c r="K44" i="4" a="1"/>
  <c r="K44" i="4" s="1"/>
  <c r="AM14" i="2" a="1"/>
  <c r="AM14" i="2" s="1"/>
  <c r="I12" i="4" s="1" a="1"/>
  <c r="I12" i="4" s="1"/>
  <c r="BL8" i="4" a="1"/>
  <c r="BL8" i="4" s="1"/>
  <c r="BK8" i="4" s="1" a="1"/>
  <c r="BK8" i="4" s="1"/>
  <c r="BJ8" i="4" s="1" a="1"/>
  <c r="BJ8" i="4" s="1"/>
  <c r="BL35" i="4" a="1"/>
  <c r="BL35" i="4" s="1"/>
  <c r="BK35" i="4" s="1" a="1"/>
  <c r="BK35" i="4" s="1"/>
  <c r="BJ35" i="4" s="1" a="1"/>
  <c r="BJ35" i="4" s="1"/>
  <c r="AM15" i="2" a="1"/>
  <c r="AM15" i="2" s="1"/>
  <c r="I13" i="4" s="1" a="1"/>
  <c r="I13" i="4" s="1"/>
  <c r="CC44" i="2" a="1"/>
  <c r="CC44" i="2" s="1"/>
  <c r="AN9" i="2" a="1"/>
  <c r="AN9" i="2" s="1"/>
  <c r="BL51" i="4" a="1"/>
  <c r="BL51" i="4" s="1"/>
  <c r="BK51" i="4" s="1" a="1"/>
  <c r="BK51" i="4" s="1"/>
  <c r="BJ51" i="4" s="1" a="1"/>
  <c r="BJ51" i="4" s="1"/>
  <c r="CC45" i="2" a="1"/>
  <c r="CC45" i="2" s="1"/>
  <c r="BL49" i="4" a="1"/>
  <c r="BL49" i="4" s="1"/>
  <c r="BK49" i="4" s="1" a="1"/>
  <c r="BK49" i="4" s="1"/>
  <c r="BJ49" i="4" s="1" a="1"/>
  <c r="BJ49" i="4" s="1"/>
  <c r="AN95" i="2" a="1"/>
  <c r="AN95" i="2" s="1"/>
  <c r="BL25" i="4" a="1"/>
  <c r="BL25" i="4" s="1"/>
  <c r="BK25" i="4" s="1" a="1"/>
  <c r="BK25" i="4" s="1"/>
  <c r="BJ25" i="4" s="1" a="1"/>
  <c r="BJ25" i="4" s="1"/>
  <c r="AN55" i="2" a="1"/>
  <c r="AN55" i="2" s="1"/>
  <c r="BL4" i="4" a="1"/>
  <c r="BL4" i="4" s="1"/>
  <c r="BK4" i="4" s="1" a="1"/>
  <c r="BK4" i="4" s="1"/>
  <c r="BJ4" i="4" s="1" a="1"/>
  <c r="BJ4" i="4" s="1"/>
  <c r="AN57" i="2" a="1"/>
  <c r="AN57" i="2" s="1"/>
  <c r="BL11" i="4" a="1"/>
  <c r="BL11" i="4" s="1"/>
  <c r="BK11" i="4" s="1" a="1"/>
  <c r="BK11" i="4" s="1"/>
  <c r="BJ11" i="4" s="1" a="1"/>
  <c r="BJ11" i="4" s="1"/>
  <c r="BL12" i="4" a="1"/>
  <c r="BL12" i="4" s="1"/>
  <c r="BK12" i="4" s="1" a="1"/>
  <c r="BK12" i="4" s="1"/>
  <c r="BJ12" i="4" s="1" a="1"/>
  <c r="BJ12" i="4" s="1"/>
  <c r="CC29" i="2" a="1"/>
  <c r="CC29" i="2" s="1"/>
  <c r="CC28" i="2" a="1"/>
  <c r="CC28" i="2" s="1"/>
  <c r="AN8" i="2" a="1"/>
  <c r="AN8" i="2" s="1"/>
  <c r="AM57" i="2" a="1"/>
  <c r="AM57" i="2" s="1"/>
  <c r="U7" i="4" s="1" a="1"/>
  <c r="U7" i="4" s="1"/>
  <c r="CQ44" i="2" a="1"/>
  <c r="CQ44" i="2" s="1"/>
  <c r="AT9" i="2" a="1"/>
  <c r="AT9" i="2" s="1"/>
  <c r="J7" i="4" s="1" a="1"/>
  <c r="J7" i="4" s="1"/>
  <c r="AM95" i="2" a="1"/>
  <c r="AM95" i="2" s="1"/>
  <c r="U45" i="4" s="1" a="1"/>
  <c r="U45" i="4" s="1"/>
  <c r="CC20" i="2" a="1"/>
  <c r="CC20" i="2" s="1"/>
  <c r="BL27" i="4" a="1"/>
  <c r="BL27" i="4" s="1"/>
  <c r="BK27" i="4" s="1" a="1"/>
  <c r="BK27" i="4" s="1"/>
  <c r="BJ27" i="4" s="1" a="1"/>
  <c r="BJ27" i="4" s="1"/>
  <c r="BL13" i="4" a="1"/>
  <c r="BL13" i="4" s="1"/>
  <c r="BK13" i="4" s="1" a="1"/>
  <c r="BK13" i="4" s="1"/>
  <c r="BJ13" i="4" s="1" a="1"/>
  <c r="BJ13" i="4" s="1"/>
  <c r="BL45" i="4" a="1"/>
  <c r="BL45" i="4" s="1"/>
  <c r="BK45" i="4" s="1" a="1"/>
  <c r="BK45" i="4" s="1"/>
  <c r="BJ45" i="4" s="1" a="1"/>
  <c r="BJ45" i="4" s="1"/>
  <c r="BU60" i="2" a="1"/>
  <c r="BU60" i="2" s="1"/>
  <c r="AM8" i="2" a="1"/>
  <c r="AM8" i="2" s="1"/>
  <c r="I6" i="4" s="1" a="1"/>
  <c r="I6" i="4" s="1"/>
  <c r="BL37" i="4" a="1"/>
  <c r="BL37" i="4" s="1"/>
  <c r="BK37" i="4" s="1" a="1"/>
  <c r="BK37" i="4" s="1"/>
  <c r="BJ37" i="4" s="1" a="1"/>
  <c r="BJ37" i="4" s="1"/>
  <c r="K37" i="4" a="1"/>
  <c r="K37" i="4" s="1"/>
  <c r="AM41" i="2" a="1"/>
  <c r="AM41" i="2" s="1"/>
  <c r="I39" i="4" s="1" a="1"/>
  <c r="I39" i="4" s="1"/>
  <c r="BL15" i="4" a="1"/>
  <c r="BL15" i="4" s="1"/>
  <c r="BK15" i="4" s="1" a="1"/>
  <c r="BK15" i="4" s="1"/>
  <c r="BJ15" i="4" s="1" a="1"/>
  <c r="BJ15" i="4" s="1"/>
  <c r="BL44" i="4" a="1"/>
  <c r="BL44" i="4" s="1"/>
  <c r="BK44" i="4" s="1" a="1"/>
  <c r="BK44" i="4" s="1"/>
  <c r="BJ44" i="4" s="1" a="1"/>
  <c r="BJ44" i="4" s="1"/>
  <c r="AM87" i="2" a="1"/>
  <c r="AM87" i="2" s="1"/>
  <c r="U37" i="4" s="1" a="1"/>
  <c r="U37" i="4" s="1"/>
  <c r="AT6" i="2" a="1"/>
  <c r="AT6" i="2" s="1"/>
  <c r="J4" i="4" s="1" a="1"/>
  <c r="J4" i="4" s="1"/>
  <c r="BL36" i="4" a="1"/>
  <c r="BL36" i="4" s="1"/>
  <c r="BK36" i="4" s="1" a="1"/>
  <c r="BK36" i="4" s="1"/>
  <c r="BJ36" i="4" s="1" a="1"/>
  <c r="BJ36" i="4" s="1"/>
  <c r="BL5" i="4" a="1"/>
  <c r="BL5" i="4" s="1"/>
  <c r="BK5" i="4" s="1" a="1"/>
  <c r="BK5" i="4" s="1"/>
  <c r="BJ5" i="4" s="1" a="1"/>
  <c r="BJ5" i="4" s="1"/>
  <c r="BL43" i="4" a="1"/>
  <c r="BL43" i="4" s="1"/>
  <c r="BK43" i="4" s="1" a="1"/>
  <c r="BK43" i="4" s="1"/>
  <c r="BJ43" i="4" s="1" a="1"/>
  <c r="BJ43" i="4" s="1"/>
  <c r="AM97" i="2" a="1"/>
  <c r="AM97" i="2" s="1"/>
  <c r="U47" i="4" s="1" a="1"/>
  <c r="U47" i="4" s="1"/>
  <c r="K21" i="4" a="1"/>
  <c r="K21" i="4" s="1"/>
  <c r="W44" i="4" a="1"/>
  <c r="W44" i="4" s="1"/>
  <c r="CQ22" i="2" a="1"/>
  <c r="CQ22" i="2" s="1"/>
  <c r="K20" i="4" a="1"/>
  <c r="K20" i="4" s="1"/>
  <c r="W12" i="4" a="1"/>
  <c r="W12" i="4" s="1"/>
  <c r="BL39" i="4" a="1"/>
  <c r="BL39" i="4" s="1"/>
  <c r="BK39" i="4" s="1" a="1"/>
  <c r="BK39" i="4" s="1"/>
  <c r="BJ39" i="4" s="1" a="1"/>
  <c r="BJ39" i="4" s="1"/>
  <c r="BL48" i="4" a="1"/>
  <c r="BL48" i="4" s="1"/>
  <c r="BK48" i="4" s="1" a="1"/>
  <c r="BK48" i="4" s="1"/>
  <c r="BJ48" i="4" s="1" a="1"/>
  <c r="BJ48" i="4" s="1"/>
  <c r="BL17" i="4" a="1"/>
  <c r="BL17" i="4" s="1"/>
  <c r="BK17" i="4" s="1" a="1"/>
  <c r="BK17" i="4" s="1"/>
  <c r="BJ17" i="4" s="1" a="1"/>
  <c r="BJ17" i="4" s="1"/>
  <c r="AT65" i="2" a="1"/>
  <c r="AT65" i="2" s="1"/>
  <c r="V15" i="4" s="1" a="1"/>
  <c r="V15" i="4" s="1"/>
  <c r="BU68" i="2" a="1"/>
  <c r="BU68" i="2" s="1"/>
  <c r="AN15" i="2" a="1"/>
  <c r="AN15" i="2" s="1"/>
  <c r="AT47" i="2" a="1"/>
  <c r="AT47" i="2" s="1"/>
  <c r="J45" i="4" s="1" a="1"/>
  <c r="J45" i="4" s="1"/>
  <c r="BL7" i="4" a="1"/>
  <c r="BL7" i="4" s="1"/>
  <c r="BK7" i="4" s="1" a="1"/>
  <c r="BK7" i="4" s="1"/>
  <c r="BJ7" i="4" s="1" a="1"/>
  <c r="BJ7" i="4" s="1"/>
  <c r="BL46" i="4" a="1"/>
  <c r="BL46" i="4" s="1"/>
  <c r="BK46" i="4" s="1" a="1"/>
  <c r="BK46" i="4" s="1"/>
  <c r="BJ46" i="4" s="1" a="1"/>
  <c r="BJ46" i="4" s="1"/>
  <c r="BL33" i="4" a="1"/>
  <c r="BL33" i="4" s="1"/>
  <c r="BK33" i="4" s="1" a="1"/>
  <c r="BK33" i="4" s="1"/>
  <c r="BJ33" i="4" s="1" a="1"/>
  <c r="BJ33" i="4" s="1"/>
  <c r="BL30" i="4" a="1"/>
  <c r="BL30" i="4" s="1"/>
  <c r="BK30" i="4" s="1" a="1"/>
  <c r="BK30" i="4" s="1"/>
  <c r="BJ30" i="4" s="1" a="1"/>
  <c r="BJ30" i="4" s="1"/>
  <c r="W20" i="4" a="1"/>
  <c r="W20" i="4" s="1"/>
  <c r="AT63" i="2" a="1"/>
  <c r="AT63" i="2" s="1"/>
  <c r="V13" i="4" s="1" a="1"/>
  <c r="V13" i="4" s="1"/>
  <c r="W47" i="4" a="1"/>
  <c r="W47" i="4" s="1"/>
  <c r="CQ45" i="2" a="1"/>
  <c r="CQ45" i="2" s="1"/>
  <c r="BL40" i="4" a="1"/>
  <c r="BL40" i="4" s="1"/>
  <c r="BK40" i="4" s="1" a="1"/>
  <c r="BK40" i="4" s="1"/>
  <c r="BJ40" i="4" s="1" a="1"/>
  <c r="BJ40" i="4" s="1"/>
  <c r="BU64" i="2" a="1"/>
  <c r="BU64" i="2" s="1"/>
  <c r="AT38" i="2" a="1"/>
  <c r="AT38" i="2" s="1"/>
  <c r="J36" i="4" s="1" a="1"/>
  <c r="J36" i="4" s="1"/>
  <c r="BL16" i="4" a="1"/>
  <c r="BL16" i="4" s="1"/>
  <c r="BK16" i="4" s="1" a="1"/>
  <c r="BK16" i="4" s="1"/>
  <c r="BJ16" i="4" s="1" a="1"/>
  <c r="BJ16" i="4" s="1"/>
  <c r="BL23" i="4" a="1"/>
  <c r="BL23" i="4" s="1"/>
  <c r="BK23" i="4" s="1" a="1"/>
  <c r="BK23" i="4" s="1"/>
  <c r="BJ23" i="4" s="1" a="1"/>
  <c r="BJ23" i="4" s="1"/>
  <c r="BL42" i="4" a="1"/>
  <c r="BL42" i="4" s="1"/>
  <c r="BK42" i="4" s="1" a="1"/>
  <c r="BK42" i="4" s="1"/>
  <c r="BJ42" i="4" s="1" a="1"/>
  <c r="BJ42" i="4" s="1"/>
  <c r="BL50" i="4" a="1"/>
  <c r="BL50" i="4" s="1"/>
  <c r="BK50" i="4" s="1" a="1"/>
  <c r="BK50" i="4" s="1"/>
  <c r="BJ50" i="4" s="1" a="1"/>
  <c r="BJ50" i="4" s="1"/>
  <c r="BL22" i="4" a="1"/>
  <c r="BL22" i="4" s="1"/>
  <c r="BK22" i="4" s="1" a="1"/>
  <c r="BK22" i="4" s="1"/>
  <c r="BJ22" i="4" s="1" a="1"/>
  <c r="BJ22" i="4" s="1"/>
  <c r="BL6" i="4" a="1"/>
  <c r="BL6" i="4" s="1"/>
  <c r="BK6" i="4" s="1" a="1"/>
  <c r="BK6" i="4" s="1"/>
  <c r="BJ6" i="4" s="1" a="1"/>
  <c r="BJ6" i="4" s="1"/>
  <c r="BL34" i="4" a="1"/>
  <c r="BL34" i="4" s="1"/>
  <c r="BK34" i="4" s="1" a="1"/>
  <c r="BK34" i="4" s="1"/>
  <c r="BJ34" i="4" s="1" a="1"/>
  <c r="BJ34" i="4" s="1"/>
  <c r="AN97" i="2" a="1"/>
  <c r="AN97" i="2" s="1"/>
  <c r="K29" i="4" a="1"/>
  <c r="K29" i="4" s="1"/>
  <c r="BL41" i="4" a="1"/>
  <c r="BL41" i="4" s="1"/>
  <c r="BK41" i="4" s="1" a="1"/>
  <c r="BK41" i="4" s="1"/>
  <c r="BJ41" i="4" s="1" a="1"/>
  <c r="BJ41" i="4" s="1"/>
  <c r="CQ21" i="2" a="1"/>
  <c r="CQ21" i="2" s="1"/>
  <c r="K7" i="4" a="1"/>
  <c r="K7" i="4" s="1"/>
  <c r="BL26" i="4" a="1"/>
  <c r="BL26" i="4" s="1"/>
  <c r="BK26" i="4" s="1" a="1"/>
  <c r="BK26" i="4" s="1"/>
  <c r="BJ26" i="4" s="1" a="1"/>
  <c r="BJ26" i="4" s="1"/>
  <c r="AT87" i="2" a="1"/>
  <c r="AT87" i="2" s="1"/>
  <c r="V37" i="4" s="1" a="1"/>
  <c r="V37" i="4" s="1"/>
  <c r="AN24" i="2" a="1"/>
  <c r="AN24" i="2" s="1"/>
  <c r="AN89" i="2" a="1"/>
  <c r="AN89" i="2" s="1"/>
  <c r="K38" i="4" a="1"/>
  <c r="K38" i="4" s="1"/>
  <c r="AM9" i="2" a="1"/>
  <c r="AM9" i="2" s="1"/>
  <c r="I7" i="4" s="1" a="1"/>
  <c r="I7" i="4" s="1"/>
  <c r="AN41" i="2" a="1"/>
  <c r="AN41" i="2" s="1"/>
  <c r="AT16" i="2" a="1"/>
  <c r="AT16" i="2" s="1"/>
  <c r="J14" i="4" s="1" a="1"/>
  <c r="J14" i="4" s="1"/>
  <c r="AM56" i="2" a="1"/>
  <c r="AM56" i="2" s="1"/>
  <c r="U6" i="4" s="1" a="1"/>
  <c r="U6" i="4" s="1"/>
  <c r="BL24" i="4" a="1"/>
  <c r="BL24" i="4" s="1"/>
  <c r="BK24" i="4" s="1" a="1"/>
  <c r="BK24" i="4" s="1"/>
  <c r="BJ24" i="4" s="1" a="1"/>
  <c r="BJ24" i="4" s="1"/>
  <c r="K36" i="4" a="1"/>
  <c r="K36" i="4" s="1"/>
  <c r="W39" i="4" a="1"/>
  <c r="W39" i="4" s="1"/>
  <c r="W29" i="4" a="1"/>
  <c r="W29" i="4" s="1"/>
  <c r="AM96" i="2" a="1"/>
  <c r="AM96" i="2" s="1"/>
  <c r="U46" i="4" s="1" a="1"/>
  <c r="U46" i="4" s="1"/>
  <c r="AN63" i="2" a="1"/>
  <c r="AN63" i="2" s="1"/>
  <c r="W5" i="4" a="1"/>
  <c r="W5" i="4" s="1"/>
  <c r="K46" i="4" a="1"/>
  <c r="K46" i="4" s="1"/>
  <c r="BL21" i="4" a="1"/>
  <c r="BL21" i="4" s="1"/>
  <c r="BK21" i="4" s="1" a="1"/>
  <c r="BK21" i="4" s="1"/>
  <c r="BJ21" i="4" s="1" a="1"/>
  <c r="BJ21" i="4" s="1"/>
  <c r="AT48" i="2" a="1"/>
  <c r="AT48" i="2" s="1"/>
  <c r="J46" i="4" s="1" a="1"/>
  <c r="J46" i="4" s="1"/>
  <c r="AM30" i="2" a="1"/>
  <c r="AM30" i="2" s="1"/>
  <c r="I28" i="4" s="1" a="1"/>
  <c r="I28" i="4" s="1"/>
  <c r="W13" i="4" a="1"/>
  <c r="W13" i="4" s="1"/>
  <c r="AN33" i="2" a="1"/>
  <c r="AN33" i="2" s="1"/>
  <c r="CQ6" i="2" a="1"/>
  <c r="CQ6" i="2" s="1"/>
  <c r="W36" i="4" a="1"/>
  <c r="W36" i="4" s="1"/>
  <c r="K23" i="4" a="1"/>
  <c r="K23" i="4" s="1"/>
  <c r="W4" i="4" a="1"/>
  <c r="W4" i="4" s="1"/>
  <c r="AN96" i="2" a="1"/>
  <c r="AN96" i="2" s="1"/>
  <c r="K15" i="4" a="1"/>
  <c r="K15" i="4" s="1"/>
  <c r="BL18" i="4" a="1"/>
  <c r="BL18" i="4" s="1"/>
  <c r="BK18" i="4" s="1" a="1"/>
  <c r="BK18" i="4" s="1"/>
  <c r="BJ18" i="4" s="1" a="1"/>
  <c r="BJ18" i="4" s="1"/>
  <c r="AM46" i="2" a="1"/>
  <c r="AM46" i="2" s="1"/>
  <c r="I44" i="4" s="1" a="1"/>
  <c r="I44" i="4" s="1"/>
  <c r="W14" i="4" a="1"/>
  <c r="W14" i="4" s="1"/>
  <c r="AT39" i="2" a="1"/>
  <c r="AT39" i="2" s="1"/>
  <c r="J37" i="4" s="1" a="1"/>
  <c r="J37" i="4" s="1"/>
  <c r="AT22" i="2" a="1"/>
  <c r="AT22" i="2" s="1"/>
  <c r="J20" i="4" s="1" a="1"/>
  <c r="J20" i="4" s="1"/>
  <c r="BL14" i="4" a="1"/>
  <c r="BL14" i="4" s="1"/>
  <c r="BK14" i="4" s="1" a="1"/>
  <c r="BK14" i="4" s="1"/>
  <c r="BJ14" i="4" s="1" a="1"/>
  <c r="BJ14" i="4" s="1"/>
  <c r="BL31" i="4" a="1"/>
  <c r="BL31" i="4" s="1"/>
  <c r="BK31" i="4" s="1" a="1"/>
  <c r="BK31" i="4" s="1"/>
  <c r="BJ31" i="4" s="1" a="1"/>
  <c r="BJ31" i="4" s="1"/>
  <c r="K14" i="4" a="1"/>
  <c r="K14" i="4" s="1"/>
  <c r="AT14" i="2" a="1"/>
  <c r="AT14" i="2" s="1"/>
  <c r="J12" i="4" s="1" a="1"/>
  <c r="J12" i="4" s="1"/>
  <c r="BL9" i="4" a="1"/>
  <c r="BL9" i="4" s="1"/>
  <c r="BK9" i="4" s="1" a="1"/>
  <c r="BK9" i="4" s="1"/>
  <c r="BJ9" i="4" s="1" a="1"/>
  <c r="BJ9" i="4" s="1"/>
  <c r="BL28" i="4" a="1"/>
  <c r="BL28" i="4" s="1"/>
  <c r="BK28" i="4" s="1" a="1"/>
  <c r="BK28" i="4" s="1"/>
  <c r="BJ28" i="4" s="1" a="1"/>
  <c r="BJ28" i="4" s="1"/>
  <c r="BL20" i="4" a="1"/>
  <c r="BL20" i="4" s="1"/>
  <c r="BK20" i="4" s="1" a="1"/>
  <c r="BK20" i="4" s="1"/>
  <c r="BJ20" i="4" s="1" a="1"/>
  <c r="BJ20" i="4" s="1"/>
  <c r="AT56" i="2" a="1"/>
  <c r="AT56" i="2" s="1"/>
  <c r="V6" i="4" s="1" a="1"/>
  <c r="V6" i="4" s="1"/>
  <c r="AT89" i="2" a="1"/>
  <c r="AT89" i="2" s="1"/>
  <c r="V39" i="4" s="1" a="1"/>
  <c r="V39" i="4" s="1"/>
  <c r="W31" i="4" a="1"/>
  <c r="W31" i="4" s="1"/>
  <c r="CQ35" i="2" a="1"/>
  <c r="CQ35" i="2" s="1"/>
  <c r="AM6" i="2" a="1"/>
  <c r="AM6" i="2" s="1"/>
  <c r="I4" i="4" s="1" a="1"/>
  <c r="I4" i="4" s="1"/>
  <c r="K13" i="4" a="1"/>
  <c r="K13" i="4" s="1"/>
  <c r="AM64" i="2" a="1"/>
  <c r="AM64" i="2" s="1"/>
  <c r="U14" i="4" s="1" a="1"/>
  <c r="U14" i="4" s="1"/>
  <c r="BL10" i="4" a="1"/>
  <c r="BL10" i="4" s="1"/>
  <c r="BK10" i="4" s="1" a="1"/>
  <c r="BK10" i="4" s="1"/>
  <c r="BJ10" i="4" s="1" a="1"/>
  <c r="BJ10" i="4" s="1"/>
  <c r="BU62" i="2" a="1"/>
  <c r="BU62" i="2" s="1"/>
  <c r="AN81" i="2" a="1"/>
  <c r="AN81" i="2" s="1"/>
  <c r="AT97" i="2" a="1"/>
  <c r="AT97" i="2" s="1"/>
  <c r="V47" i="4" s="1" a="1"/>
  <c r="V47" i="4" s="1"/>
  <c r="AT32" i="2" a="1"/>
  <c r="AT32" i="2" s="1"/>
  <c r="J30" i="4" s="1" a="1"/>
  <c r="J30" i="4" s="1"/>
  <c r="AN73" i="2" a="1"/>
  <c r="AN73" i="2" s="1"/>
  <c r="CQ24" i="2" a="1"/>
  <c r="CQ24" i="2" s="1"/>
  <c r="W28" i="4" a="1"/>
  <c r="W28" i="4" s="1"/>
  <c r="W21" i="4" a="1"/>
  <c r="W21" i="4" s="1"/>
  <c r="AT15" i="2" a="1"/>
  <c r="AT15" i="2" s="1"/>
  <c r="J13" i="4" s="1" a="1"/>
  <c r="J13" i="4" s="1"/>
  <c r="AT95" i="2" a="1"/>
  <c r="AT95" i="2" s="1"/>
  <c r="V45" i="4" s="1" a="1"/>
  <c r="V45" i="4" s="1"/>
  <c r="K6" i="4" a="1"/>
  <c r="K6" i="4" s="1"/>
  <c r="AM24" i="2" a="1"/>
  <c r="AM24" i="2" s="1"/>
  <c r="I22" i="4" s="1" a="1"/>
  <c r="I22" i="4" s="1"/>
  <c r="AM38" i="2" a="1"/>
  <c r="AM38" i="2" s="1"/>
  <c r="I36" i="4" s="1" a="1"/>
  <c r="I36" i="4" s="1"/>
  <c r="AT94" i="2" a="1"/>
  <c r="AT94" i="2" s="1"/>
  <c r="V44" i="4" s="1" a="1"/>
  <c r="V44" i="4" s="1"/>
  <c r="W7" i="4" a="1"/>
  <c r="W7" i="4" s="1"/>
  <c r="K45" i="4" a="1"/>
  <c r="K45" i="4" s="1"/>
  <c r="AM81" i="2" a="1"/>
  <c r="AM81" i="2" s="1"/>
  <c r="U31" i="4" s="1" a="1"/>
  <c r="U31" i="4" s="1"/>
  <c r="AM31" i="2" a="1"/>
  <c r="AM31" i="2" s="1"/>
  <c r="I29" i="4" s="1" a="1"/>
  <c r="I29" i="4" s="1"/>
  <c r="AT49" i="2" a="1"/>
  <c r="AT49" i="2" s="1"/>
  <c r="J47" i="4" s="1" a="1"/>
  <c r="J47" i="4" s="1"/>
  <c r="H107" i="2" a="1"/>
  <c r="H107" i="2" s="1"/>
  <c r="M110" i="2" s="1" a="1"/>
  <c r="M110" i="2" s="1"/>
  <c r="AA109" i="2" s="1" a="1"/>
  <c r="AA109" i="2" s="1"/>
  <c r="DK33" i="2" a="1"/>
  <c r="DK33" i="2" s="1"/>
  <c r="DL33" i="2" s="1" a="1"/>
  <c r="DL33" i="2" s="1"/>
  <c r="DK31" i="2" a="1"/>
  <c r="DK31" i="2" s="1"/>
  <c r="DL31" i="2" s="1" a="1"/>
  <c r="DL31" i="2" s="1"/>
  <c r="DK32" i="2" a="1"/>
  <c r="DK32" i="2" s="1"/>
  <c r="DL32" i="2" s="1" a="1"/>
  <c r="DL32" i="2" s="1"/>
  <c r="DK30" i="2" a="1"/>
  <c r="DK30" i="2" s="1"/>
  <c r="DL30" i="2" s="1" a="1"/>
  <c r="DL30" i="2" s="1"/>
  <c r="BO30" i="2" a="1"/>
  <c r="BO30" i="2" s="1"/>
  <c r="AM55" i="2" a="1"/>
  <c r="AM55" i="2" s="1"/>
  <c r="U5" i="4" s="1" a="1"/>
  <c r="U5" i="4" s="1"/>
  <c r="AT46" i="2" a="1"/>
  <c r="AT46" i="2" s="1"/>
  <c r="J44" i="4" s="1" a="1"/>
  <c r="J44" i="4" s="1"/>
  <c r="H106" i="2" a="1"/>
  <c r="H106" i="2" s="1"/>
  <c r="M103" i="2" s="1" a="1"/>
  <c r="M103" i="2" s="1"/>
  <c r="AA104" i="2" s="1" a="1"/>
  <c r="AA104" i="2" s="1"/>
  <c r="DK26" i="2" a="1"/>
  <c r="DK26" i="2" s="1"/>
  <c r="DL26" i="2" s="1" a="1"/>
  <c r="DL26" i="2" s="1"/>
  <c r="DK29" i="2" a="1"/>
  <c r="DK29" i="2" s="1"/>
  <c r="DL29" i="2" s="1" a="1"/>
  <c r="DL29" i="2" s="1"/>
  <c r="DK28" i="2" a="1"/>
  <c r="DK28" i="2" s="1"/>
  <c r="DL28" i="2" s="1" a="1"/>
  <c r="DL28" i="2" s="1"/>
  <c r="DK27" i="2" a="1"/>
  <c r="DK27" i="2" s="1"/>
  <c r="DL27" i="2" s="1" a="1"/>
  <c r="DL27" i="2" s="1"/>
  <c r="BO26" i="2" a="1"/>
  <c r="BO26" i="2" s="1"/>
  <c r="AM48" i="2" a="1"/>
  <c r="AM48" i="2" s="1"/>
  <c r="I46" i="4" s="1" a="1"/>
  <c r="I46" i="4" s="1"/>
  <c r="AM72" i="2" a="1"/>
  <c r="AM72" i="2" s="1"/>
  <c r="U22" i="4" s="1" a="1"/>
  <c r="U22" i="4" s="1"/>
  <c r="AT79" i="2" a="1"/>
  <c r="AT79" i="2" s="1"/>
  <c r="V29" i="4" s="1" a="1"/>
  <c r="V29" i="4" s="1"/>
  <c r="AN31" i="2" a="1"/>
  <c r="AN31" i="2" s="1"/>
  <c r="AT88" i="2" a="1"/>
  <c r="AT88" i="2" s="1"/>
  <c r="V38" i="4" s="1" a="1"/>
  <c r="V38" i="4" s="1"/>
  <c r="AT80" i="2" a="1"/>
  <c r="AT80" i="2" s="1"/>
  <c r="V30" i="4" s="1" a="1"/>
  <c r="V30" i="4" s="1"/>
  <c r="H102" i="2" a="1"/>
  <c r="H102" i="2" s="1"/>
  <c r="M113" i="2" s="1" a="1"/>
  <c r="M113" i="2" s="1"/>
  <c r="AA113" i="2" s="1" a="1"/>
  <c r="AA113" i="2" s="1"/>
  <c r="DK12" i="2" a="1"/>
  <c r="DK12" i="2" s="1"/>
  <c r="DL12" i="2" s="1" a="1"/>
  <c r="DL12" i="2" s="1"/>
  <c r="DK13" i="2" a="1"/>
  <c r="DK13" i="2" s="1"/>
  <c r="DL13" i="2" s="1" a="1"/>
  <c r="DL13" i="2" s="1"/>
  <c r="DK11" i="2" a="1"/>
  <c r="DK11" i="2" s="1"/>
  <c r="DL11" i="2" s="1" a="1"/>
  <c r="DL11" i="2" s="1"/>
  <c r="BO10" i="2" a="1"/>
  <c r="BO10" i="2" s="1"/>
  <c r="DK10" i="2" a="1"/>
  <c r="DK10" i="2" s="1"/>
  <c r="DL10" i="2" s="1" a="1"/>
  <c r="DL10" i="2" s="1"/>
  <c r="AN49" i="2" a="1"/>
  <c r="AN49" i="2" s="1"/>
  <c r="H109" i="2" a="1"/>
  <c r="H109" i="2" s="1"/>
  <c r="M105" i="2" s="1" a="1"/>
  <c r="M105" i="2" s="1"/>
  <c r="AA106" i="2" s="1" a="1"/>
  <c r="AA106" i="2" s="1"/>
  <c r="DK40" i="2" a="1"/>
  <c r="DK40" i="2" s="1"/>
  <c r="DL40" i="2" s="1" a="1"/>
  <c r="DL40" i="2" s="1"/>
  <c r="DK39" i="2" a="1"/>
  <c r="DK39" i="2" s="1"/>
  <c r="DL39" i="2" s="1" a="1"/>
  <c r="DL39" i="2" s="1"/>
  <c r="DK41" i="2" a="1"/>
  <c r="DK41" i="2" s="1"/>
  <c r="DL41" i="2" s="1" a="1"/>
  <c r="DL41" i="2" s="1"/>
  <c r="DK38" i="2" a="1"/>
  <c r="DK38" i="2" s="1"/>
  <c r="DL38" i="2" s="1" a="1"/>
  <c r="DL38" i="2" s="1"/>
  <c r="BO38" i="2" a="1"/>
  <c r="BO38" i="2" s="1"/>
  <c r="H112" i="2" a="1"/>
  <c r="H112" i="2" s="1"/>
  <c r="M108" i="2" s="1" a="1"/>
  <c r="M108" i="2" s="1"/>
  <c r="AA108" i="2" s="1" a="1"/>
  <c r="AA108" i="2" s="1"/>
  <c r="DK53" i="2" a="1"/>
  <c r="DK53" i="2" s="1"/>
  <c r="DL53" i="2" s="1" a="1"/>
  <c r="DL53" i="2" s="1"/>
  <c r="DK52" i="2" a="1"/>
  <c r="DK52" i="2" s="1"/>
  <c r="DL52" i="2" s="1" a="1"/>
  <c r="DL52" i="2" s="1"/>
  <c r="DK51" i="2" a="1"/>
  <c r="DK51" i="2" s="1"/>
  <c r="DL51" i="2" s="1" a="1"/>
  <c r="DL51" i="2" s="1"/>
  <c r="BO50" i="2" a="1"/>
  <c r="BO50" i="2" s="1"/>
  <c r="DK50" i="2" a="1"/>
  <c r="DK50" i="2" s="1"/>
  <c r="DL50" i="2" s="1" a="1"/>
  <c r="DL50" i="2" s="1"/>
  <c r="AN64" i="2" a="1"/>
  <c r="AN64" i="2" s="1"/>
  <c r="AM78" i="2" a="1"/>
  <c r="AM78" i="2" s="1"/>
  <c r="U28" i="4" s="1" a="1"/>
  <c r="U28" i="4" s="1"/>
  <c r="W37" i="4" a="1"/>
  <c r="W37" i="4" s="1"/>
  <c r="AN47" i="2" a="1"/>
  <c r="AN47" i="2" s="1"/>
  <c r="AM33" i="2" a="1"/>
  <c r="AM33" i="2" s="1"/>
  <c r="I31" i="4" s="1" a="1"/>
  <c r="I31" i="4" s="1"/>
  <c r="H103" i="2" a="1"/>
  <c r="H103" i="2" s="1"/>
  <c r="M104" i="2" s="1" a="1"/>
  <c r="M104" i="2" s="1"/>
  <c r="AA102" i="2" s="1" a="1"/>
  <c r="AA102" i="2" s="1"/>
  <c r="DK15" i="2" a="1"/>
  <c r="DK15" i="2" s="1"/>
  <c r="DL15" i="2" s="1" a="1"/>
  <c r="DL15" i="2" s="1"/>
  <c r="DK16" i="2" a="1"/>
  <c r="DK16" i="2" s="1"/>
  <c r="DL16" i="2" s="1" a="1"/>
  <c r="DL16" i="2" s="1"/>
  <c r="DK17" i="2" a="1"/>
  <c r="DK17" i="2" s="1"/>
  <c r="DL17" i="2" s="1" a="1"/>
  <c r="DL17" i="2" s="1"/>
  <c r="DK14" i="2" a="1"/>
  <c r="DK14" i="2" s="1"/>
  <c r="DL14" i="2" s="1" a="1"/>
  <c r="DL14" i="2" s="1"/>
  <c r="BO14" i="2" a="1"/>
  <c r="BO14" i="2" s="1"/>
  <c r="AM79" i="2" a="1"/>
  <c r="AM79" i="2" s="1"/>
  <c r="U29" i="4" s="1" a="1"/>
  <c r="U29" i="4" s="1"/>
  <c r="AM88" i="2" a="1"/>
  <c r="AM88" i="2" s="1"/>
  <c r="U38" i="4" s="1" a="1"/>
  <c r="U38" i="4" s="1"/>
  <c r="W30" i="4" a="1"/>
  <c r="W30" i="4" s="1"/>
  <c r="AT78" i="2" a="1"/>
  <c r="AT78" i="2" s="1"/>
  <c r="V28" i="4" s="1" a="1"/>
  <c r="V28" i="4" s="1"/>
  <c r="AT54" i="2" a="1"/>
  <c r="AT54" i="2" s="1"/>
  <c r="V4" i="4" s="1" a="1"/>
  <c r="V4" i="4" s="1"/>
  <c r="AN71" i="2" a="1"/>
  <c r="AN71" i="2" s="1"/>
  <c r="AN79" i="2" a="1"/>
  <c r="AN79" i="2" s="1"/>
  <c r="AM70" i="2" a="1"/>
  <c r="AM70" i="2" s="1"/>
  <c r="U20" i="4" s="1" a="1"/>
  <c r="U20" i="4" s="1"/>
  <c r="AM49" i="2" a="1"/>
  <c r="AM49" i="2" s="1"/>
  <c r="I47" i="4" s="1" a="1"/>
  <c r="I47" i="4" s="1"/>
  <c r="K39" i="4" a="1"/>
  <c r="K39" i="4" s="1"/>
  <c r="AT30" i="2" a="1"/>
  <c r="AT30" i="2" s="1"/>
  <c r="J28" i="4" s="1" a="1"/>
  <c r="J28" i="4" s="1"/>
  <c r="AT55" i="2" a="1"/>
  <c r="AT55" i="2" s="1"/>
  <c r="V5" i="4" s="1" a="1"/>
  <c r="V5" i="4" s="1"/>
  <c r="AN46" i="2" a="1"/>
  <c r="AN46" i="2" s="1"/>
  <c r="W45" i="4" a="1"/>
  <c r="W45" i="4" s="1"/>
  <c r="AN25" i="2" a="1"/>
  <c r="AN25" i="2" s="1"/>
  <c r="AM71" i="2" a="1"/>
  <c r="AM71" i="2" s="1"/>
  <c r="U21" i="4" s="1" a="1"/>
  <c r="U21" i="4" s="1"/>
  <c r="W15" i="4" a="1"/>
  <c r="W15" i="4" s="1"/>
  <c r="BV67" i="2" a="1"/>
  <c r="BV67" i="2" s="1"/>
  <c r="AT96" i="2" a="1"/>
  <c r="AT96" i="2" s="1"/>
  <c r="V46" i="4" s="1" a="1"/>
  <c r="V46" i="4" s="1"/>
  <c r="BV58" i="2" a="1"/>
  <c r="BV58" i="2" s="1"/>
  <c r="AN80" i="2" a="1"/>
  <c r="AN80" i="2" s="1"/>
  <c r="BU65" i="2" a="1"/>
  <c r="BU65" i="2" s="1"/>
  <c r="H101" i="2" a="1"/>
  <c r="H101" i="2" s="1"/>
  <c r="BO6" i="2" a="1"/>
  <c r="BO6" i="2" s="1"/>
  <c r="DK7" i="2" a="1"/>
  <c r="DK7" i="2" s="1"/>
  <c r="DL7" i="2" s="1" a="1"/>
  <c r="DL7" i="2" s="1"/>
  <c r="DK9" i="2" a="1"/>
  <c r="DK9" i="2" s="1"/>
  <c r="DL9" i="2" s="1" a="1"/>
  <c r="DL9" i="2" s="1"/>
  <c r="DK8" i="2" a="1"/>
  <c r="DK8" i="2" s="1"/>
  <c r="DL8" i="2" s="1" a="1"/>
  <c r="DL8" i="2" s="1"/>
  <c r="DK6" i="2" a="1"/>
  <c r="DK6" i="2" s="1"/>
  <c r="DL6" i="2" s="1" a="1"/>
  <c r="DL6" i="2" s="1"/>
  <c r="AN56" i="2" a="1"/>
  <c r="AN56" i="2" s="1"/>
  <c r="AN54" i="2" a="1"/>
  <c r="AN54" i="2" s="1"/>
  <c r="AM73" i="2" a="1"/>
  <c r="AM73" i="2" s="1"/>
  <c r="U23" i="4" s="1" a="1"/>
  <c r="U23" i="4" s="1"/>
  <c r="K47" i="4" a="1"/>
  <c r="K47" i="4" s="1"/>
  <c r="H108" i="2" a="1"/>
  <c r="H108" i="2" s="1"/>
  <c r="M112" i="2" s="1" a="1"/>
  <c r="M112" i="2" s="1"/>
  <c r="AA111" i="2" s="1" a="1"/>
  <c r="AA111" i="2" s="1"/>
  <c r="DK36" i="2" a="1"/>
  <c r="DK36" i="2" s="1"/>
  <c r="DL36" i="2" s="1" a="1"/>
  <c r="DL36" i="2" s="1"/>
  <c r="DK34" i="2" a="1"/>
  <c r="DK34" i="2" s="1"/>
  <c r="DL34" i="2" s="1" a="1"/>
  <c r="DL34" i="2" s="1"/>
  <c r="DK37" i="2" a="1"/>
  <c r="DK37" i="2" s="1"/>
  <c r="DL37" i="2" s="1" a="1"/>
  <c r="DL37" i="2" s="1"/>
  <c r="BO34" i="2" a="1"/>
  <c r="BO34" i="2" s="1"/>
  <c r="DK35" i="2" a="1"/>
  <c r="DK35" i="2" s="1"/>
  <c r="DL35" i="2" s="1" a="1"/>
  <c r="DL35" i="2" s="1"/>
  <c r="BV63" i="2" a="1"/>
  <c r="BV63" i="2" s="1"/>
  <c r="AT64" i="2" a="1"/>
  <c r="AT64" i="2" s="1"/>
  <c r="V14" i="4" s="1" a="1"/>
  <c r="V14" i="4" s="1"/>
  <c r="AN87" i="2" a="1"/>
  <c r="AN87" i="2" s="1"/>
  <c r="K31" i="4" a="1"/>
  <c r="K31" i="4" s="1"/>
  <c r="H111" i="2" a="1"/>
  <c r="H111" i="2" s="1"/>
  <c r="DK49" i="2" a="1"/>
  <c r="DK49" i="2" s="1"/>
  <c r="DL49" i="2" s="1" a="1"/>
  <c r="DL49" i="2" s="1"/>
  <c r="DK48" i="2" a="1"/>
  <c r="DK48" i="2" s="1"/>
  <c r="DL48" i="2" s="1" a="1"/>
  <c r="DL48" i="2" s="1"/>
  <c r="BO46" i="2" a="1"/>
  <c r="BO46" i="2" s="1"/>
  <c r="DK46" i="2" a="1"/>
  <c r="DK46" i="2" s="1"/>
  <c r="DL46" i="2" s="1" a="1"/>
  <c r="DL46" i="2" s="1"/>
  <c r="DK47" i="2" a="1"/>
  <c r="DK47" i="2" s="1"/>
  <c r="DL47" i="2" s="1" a="1"/>
  <c r="DL47" i="2" s="1"/>
  <c r="AT70" i="2" a="1"/>
  <c r="AT70" i="2" s="1"/>
  <c r="V20" i="4" s="1" a="1"/>
  <c r="V20" i="4" s="1"/>
  <c r="AM32" i="2" a="1"/>
  <c r="AM32" i="2" s="1"/>
  <c r="I30" i="4" s="1" a="1"/>
  <c r="I30" i="4" s="1"/>
  <c r="AM23" i="2" a="1"/>
  <c r="AM23" i="2" s="1"/>
  <c r="I21" i="4" s="1" a="1"/>
  <c r="I21" i="4" s="1"/>
  <c r="AM40" i="2" a="1"/>
  <c r="AM40" i="2" s="1"/>
  <c r="I38" i="4" s="1" a="1"/>
  <c r="I38" i="4" s="1"/>
  <c r="H110" i="2" a="1"/>
  <c r="H110" i="2" s="1"/>
  <c r="M114" i="2" s="1" a="1"/>
  <c r="M114" i="2" s="1"/>
  <c r="AA115" i="2" s="1" a="1"/>
  <c r="AA115" i="2" s="1"/>
  <c r="DK43" i="2" a="1"/>
  <c r="DK43" i="2" s="1"/>
  <c r="DL43" i="2" s="1" a="1"/>
  <c r="DL43" i="2" s="1"/>
  <c r="DK42" i="2" a="1"/>
  <c r="DK42" i="2" s="1"/>
  <c r="DL42" i="2" s="1" a="1"/>
  <c r="DL42" i="2" s="1"/>
  <c r="DK45" i="2" a="1"/>
  <c r="DK45" i="2" s="1"/>
  <c r="DL45" i="2" s="1" a="1"/>
  <c r="DL45" i="2" s="1"/>
  <c r="DK44" i="2" a="1"/>
  <c r="DK44" i="2" s="1"/>
  <c r="DL44" i="2" s="1" a="1"/>
  <c r="DL44" i="2" s="1"/>
  <c r="BO42" i="2" a="1"/>
  <c r="BO42" i="2" s="1"/>
  <c r="AT86" i="2" a="1"/>
  <c r="AT86" i="2" s="1"/>
  <c r="V36" i="4" s="1" a="1"/>
  <c r="V36" i="4" s="1"/>
  <c r="W6" i="4" a="1"/>
  <c r="W6" i="4" s="1"/>
  <c r="AM54" i="2" a="1"/>
  <c r="AM54" i="2" s="1"/>
  <c r="U4" i="4" s="1" a="1"/>
  <c r="U4" i="4" s="1"/>
  <c r="AM63" i="2" a="1"/>
  <c r="AM63" i="2" s="1"/>
  <c r="U13" i="4" s="1" a="1"/>
  <c r="U13" i="4" s="1"/>
  <c r="W22" i="4" a="1"/>
  <c r="W22" i="4" s="1"/>
  <c r="W46" i="4" a="1"/>
  <c r="W46" i="4" s="1"/>
  <c r="W23" i="4" a="1"/>
  <c r="W23" i="4" s="1"/>
  <c r="AT17" i="2" a="1"/>
  <c r="AT17" i="2" s="1"/>
  <c r="J15" i="4" s="1" a="1"/>
  <c r="J15" i="4" s="1"/>
  <c r="AN70" i="2" a="1"/>
  <c r="AN70" i="2" s="1"/>
  <c r="AN32" i="2" a="1"/>
  <c r="AN32" i="2" s="1"/>
  <c r="AT23" i="2" a="1"/>
  <c r="AT23" i="2" s="1"/>
  <c r="J21" i="4" s="1" a="1"/>
  <c r="J21" i="4" s="1"/>
  <c r="AT40" i="2" a="1"/>
  <c r="AT40" i="2" s="1"/>
  <c r="J38" i="4" s="1" a="1"/>
  <c r="J38" i="4" s="1"/>
  <c r="K12" i="4" a="1"/>
  <c r="K12" i="4" s="1"/>
  <c r="AM86" i="2" a="1"/>
  <c r="AM86" i="2" s="1"/>
  <c r="U36" i="4" s="1" a="1"/>
  <c r="U36" i="4" s="1"/>
  <c r="AN78" i="2" a="1"/>
  <c r="AN78" i="2" s="1"/>
  <c r="AM94" i="2" a="1"/>
  <c r="AM94" i="2" s="1"/>
  <c r="U44" i="4" s="1" a="1"/>
  <c r="U44" i="4" s="1"/>
  <c r="AM89" i="2" a="1"/>
  <c r="AM89" i="2" s="1"/>
  <c r="U39" i="4" s="1" a="1"/>
  <c r="U39" i="4" s="1"/>
  <c r="AM47" i="2" a="1"/>
  <c r="AM47" i="2" s="1"/>
  <c r="I45" i="4" s="1" a="1"/>
  <c r="I45" i="4" s="1"/>
  <c r="AN72" i="2" a="1"/>
  <c r="AN72" i="2" s="1"/>
  <c r="AT33" i="2" a="1"/>
  <c r="AT33" i="2" s="1"/>
  <c r="J31" i="4" s="1" a="1"/>
  <c r="J31" i="4" s="1"/>
  <c r="AN17" i="2" a="1"/>
  <c r="AN17" i="2" s="1"/>
  <c r="AN40" i="2" a="1"/>
  <c r="AN40" i="2" s="1"/>
  <c r="AM39" i="2" a="1"/>
  <c r="AM39" i="2" s="1"/>
  <c r="I37" i="4" s="1" a="1"/>
  <c r="I37" i="4" s="1"/>
  <c r="AM62" i="2" a="1"/>
  <c r="AM62" i="2" s="1"/>
  <c r="U12" i="4" s="1" a="1"/>
  <c r="U12" i="4" s="1"/>
  <c r="AT7" i="2" a="1"/>
  <c r="AT7" i="2" s="1"/>
  <c r="J5" i="4" s="1" a="1"/>
  <c r="J5" i="4" s="1"/>
  <c r="AN39" i="2" a="1"/>
  <c r="AN39" i="2" s="1"/>
  <c r="K28" i="4" a="1"/>
  <c r="K28" i="4" s="1"/>
  <c r="AM16" i="2" a="1"/>
  <c r="AM16" i="2" s="1"/>
  <c r="I14" i="4" s="1" a="1"/>
  <c r="I14" i="4" s="1"/>
  <c r="H105" i="2" a="1"/>
  <c r="H105" i="2" s="1"/>
  <c r="DK25" i="2" a="1"/>
  <c r="DK25" i="2" s="1"/>
  <c r="DL25" i="2" s="1" a="1"/>
  <c r="DL25" i="2" s="1"/>
  <c r="DK22" i="2" a="1"/>
  <c r="DK22" i="2" s="1"/>
  <c r="DL22" i="2" s="1" a="1"/>
  <c r="DL22" i="2" s="1"/>
  <c r="BO22" i="2" a="1"/>
  <c r="BO22" i="2" s="1"/>
  <c r="DK24" i="2" a="1"/>
  <c r="DK24" i="2" s="1"/>
  <c r="DL24" i="2" s="1" a="1"/>
  <c r="DL24" i="2" s="1"/>
  <c r="DK23" i="2" a="1"/>
  <c r="DK23" i="2" s="1"/>
  <c r="DL23" i="2" s="1" a="1"/>
  <c r="DL23" i="2" s="1"/>
  <c r="AM7" i="2" a="1"/>
  <c r="AM7" i="2" s="1"/>
  <c r="I5" i="4" s="1" a="1"/>
  <c r="I5" i="4" s="1"/>
  <c r="AN48" i="2" a="1"/>
  <c r="AN48" i="2" s="1"/>
  <c r="AT8" i="2" a="1"/>
  <c r="AT8" i="2" s="1"/>
  <c r="J6" i="4" s="1" a="1"/>
  <c r="J6" i="4" s="1"/>
  <c r="AN94" i="2" a="1"/>
  <c r="AN94" i="2" s="1"/>
  <c r="AT57" i="2" a="1"/>
  <c r="AT57" i="2" s="1"/>
  <c r="V7" i="4" s="1" a="1"/>
  <c r="V7" i="4" s="1"/>
  <c r="AN23" i="2" a="1"/>
  <c r="AN23" i="2" s="1"/>
  <c r="H104" i="2" a="1"/>
  <c r="H104" i="2" s="1"/>
  <c r="DK19" i="2" a="1"/>
  <c r="DK19" i="2" s="1"/>
  <c r="DL19" i="2" s="1" a="1"/>
  <c r="DL19" i="2" s="1"/>
  <c r="BO18" i="2" a="1"/>
  <c r="BO18" i="2" s="1"/>
  <c r="DK21" i="2" a="1"/>
  <c r="DK21" i="2" s="1"/>
  <c r="DL21" i="2" s="1" a="1"/>
  <c r="DL21" i="2" s="1"/>
  <c r="DK20" i="2" a="1"/>
  <c r="DK20" i="2" s="1"/>
  <c r="DL20" i="2" s="1" a="1"/>
  <c r="DL20" i="2" s="1"/>
  <c r="DK18" i="2" a="1"/>
  <c r="DK18" i="2" s="1"/>
  <c r="DL18" i="2" s="1" a="1"/>
  <c r="DL18" i="2" s="1"/>
  <c r="BU66" i="2" a="1"/>
  <c r="BU66" i="2" s="1"/>
  <c r="BV61" i="2" s="1" a="1"/>
  <c r="BV61" i="2" s="1"/>
  <c r="AT62" i="2" a="1"/>
  <c r="AT62" i="2" s="1"/>
  <c r="V12" i="4" s="1" a="1"/>
  <c r="V12" i="4" s="1"/>
  <c r="AM22" i="2" a="1"/>
  <c r="AM22" i="2" s="1"/>
  <c r="I20" i="4" s="1" a="1"/>
  <c r="I20" i="4" s="1"/>
  <c r="K4" i="4" a="1"/>
  <c r="K4" i="4" s="1"/>
  <c r="AN6" i="2" a="1"/>
  <c r="AN6" i="2" s="1"/>
  <c r="AN16" i="2" a="1"/>
  <c r="AN16" i="2" s="1"/>
  <c r="AN7" i="2" a="1"/>
  <c r="AN7" i="2" s="1"/>
  <c r="K22" i="4" a="1"/>
  <c r="K22" i="4" s="1"/>
  <c r="BV59" i="2" a="1"/>
  <c r="BV59" i="2" s="1"/>
  <c r="AM25" i="2" a="1"/>
  <c r="AM25" i="2" s="1"/>
  <c r="I23" i="4" s="1" a="1"/>
  <c r="I23" i="4" s="1"/>
  <c r="AM65" i="2" a="1"/>
  <c r="AM65" i="2" s="1"/>
  <c r="U15" i="4" s="1" a="1"/>
  <c r="U15" i="4" s="1"/>
  <c r="W38" i="4" a="1"/>
  <c r="W38" i="4" s="1"/>
  <c r="AM17" i="2" a="1"/>
  <c r="AM17" i="2" s="1"/>
  <c r="I15" i="4" s="1" a="1"/>
  <c r="I15" i="4" s="1"/>
  <c r="AM80" i="2" a="1"/>
  <c r="AM80" i="2" s="1"/>
  <c r="U30" i="4" s="1" a="1"/>
  <c r="U30" i="4" s="1"/>
  <c r="AT24" i="2" a="1"/>
  <c r="AT24" i="2" s="1"/>
  <c r="J22" i="4" s="1" a="1"/>
  <c r="J22" i="4" s="1"/>
  <c r="AT25" i="2" a="1"/>
  <c r="AT25" i="2" s="1"/>
  <c r="J23" i="4" s="1" a="1"/>
  <c r="J23" i="4" s="1"/>
  <c r="AT81" i="2" a="1"/>
  <c r="AT81" i="2" s="1"/>
  <c r="V31" i="4" s="1" a="1"/>
  <c r="V31" i="4" s="1"/>
  <c r="AT72" i="2" a="1"/>
  <c r="AT72" i="2" s="1"/>
  <c r="V22" i="4" s="1" a="1"/>
  <c r="V22" i="4" s="1"/>
  <c r="AN65" i="2" a="1"/>
  <c r="AN65" i="2" s="1"/>
  <c r="AT31" i="2" a="1"/>
  <c r="AT31" i="2" s="1"/>
  <c r="J29" i="4" s="1" a="1"/>
  <c r="J29" i="4" s="1"/>
  <c r="AN88" i="2" a="1"/>
  <c r="AN88" i="2" s="1"/>
  <c r="AT73" i="2" a="1"/>
  <c r="AT73" i="2" s="1"/>
  <c r="V23" i="4" s="1" a="1"/>
  <c r="V23" i="4" s="1"/>
  <c r="K30" i="4" a="1"/>
  <c r="K30" i="4" s="1"/>
  <c r="BV60" i="2" l="1" a="1"/>
  <c r="BV60" i="2" s="1"/>
  <c r="BV62" i="2" a="1"/>
  <c r="BV62" i="2" s="1"/>
  <c r="BV68" i="2" a="1"/>
  <c r="BV68" i="2" s="1"/>
  <c r="C97" i="3" a="1"/>
  <c r="C97" i="3" s="1"/>
  <c r="C94" i="3" a="1"/>
  <c r="C94" i="3" s="1"/>
  <c r="C110" i="3" a="1"/>
  <c r="C110" i="3" s="1"/>
  <c r="C88" i="3" a="1"/>
  <c r="C88" i="3" s="1"/>
  <c r="BV69" i="2" a="1"/>
  <c r="BV69" i="2" s="1"/>
  <c r="C95" i="3" a="1"/>
  <c r="C95" i="3" s="1"/>
  <c r="BV65" i="2" a="1"/>
  <c r="BV65" i="2" s="1"/>
  <c r="C121" i="3" a="1"/>
  <c r="C121" i="3" s="1"/>
  <c r="C108" i="3" a="1"/>
  <c r="C108" i="3" s="1"/>
  <c r="C109" i="3" a="1"/>
  <c r="C109" i="3" s="1"/>
  <c r="C86" i="3" a="1"/>
  <c r="C86" i="3" s="1"/>
  <c r="C111" i="3" a="1"/>
  <c r="C111" i="3" s="1"/>
  <c r="AU31" i="2" a="1"/>
  <c r="AU31" i="2" s="1"/>
  <c r="DM19" i="2" a="1"/>
  <c r="DM19" i="2" s="1"/>
  <c r="M116" i="2" a="1"/>
  <c r="M116" i="2" s="1"/>
  <c r="AA114" i="2" s="1" a="1"/>
  <c r="AA114" i="2" s="1"/>
  <c r="M109" i="2" a="1"/>
  <c r="M109" i="2" s="1"/>
  <c r="AA110" i="2" s="1" a="1"/>
  <c r="AA110" i="2" s="1"/>
  <c r="AU40" i="2" a="1"/>
  <c r="AU40" i="2" s="1"/>
  <c r="DM24" i="2" a="1"/>
  <c r="DM24" i="2" s="1"/>
  <c r="C178" i="3" a="1"/>
  <c r="C178" i="3" s="1"/>
  <c r="B178" i="3" a="1"/>
  <c r="B178" i="3" s="1"/>
  <c r="C144" i="3" a="1"/>
  <c r="C144" i="3" s="1"/>
  <c r="AA39" i="4" a="1"/>
  <c r="AA39" i="4" s="1"/>
  <c r="C174" i="3" a="1"/>
  <c r="C174" i="3" s="1"/>
  <c r="B174" i="3" a="1"/>
  <c r="B174" i="3" s="1"/>
  <c r="C140" i="3" a="1"/>
  <c r="C140" i="3" s="1"/>
  <c r="AA18" i="4" a="1"/>
  <c r="AA18" i="4" s="1"/>
  <c r="AU9" i="2" a="1"/>
  <c r="AU9" i="2" s="1"/>
  <c r="DM9" i="2" a="1"/>
  <c r="DM9" i="2" s="1"/>
  <c r="C87" i="3" a="1"/>
  <c r="C87" i="3" s="1"/>
  <c r="C131" i="3" a="1"/>
  <c r="C131" i="3" s="1"/>
  <c r="C165" i="3" a="1"/>
  <c r="C165" i="3" s="1"/>
  <c r="B165" i="3" a="1"/>
  <c r="B165" i="3" s="1"/>
  <c r="AA27" i="4" a="1"/>
  <c r="AA27" i="4" s="1"/>
  <c r="BV64" i="2" a="1"/>
  <c r="BV64" i="2" s="1"/>
  <c r="AU15" i="2" a="1"/>
  <c r="AU15" i="2" s="1"/>
  <c r="DM11" i="2" a="1"/>
  <c r="DM11" i="2" s="1"/>
  <c r="C167" i="3" a="1"/>
  <c r="C167" i="3" s="1"/>
  <c r="B167" i="3" a="1"/>
  <c r="B167" i="3" s="1"/>
  <c r="C133" i="3" a="1"/>
  <c r="C133" i="3" s="1"/>
  <c r="AA12" i="4" a="1"/>
  <c r="AA12" i="4" s="1"/>
  <c r="C89" i="3" a="1"/>
  <c r="C89" i="3" s="1"/>
  <c r="AU7" i="2" a="1"/>
  <c r="AU7" i="2" s="1"/>
  <c r="DM7" i="2" a="1"/>
  <c r="DM7" i="2" s="1"/>
  <c r="C101" i="3" a="1"/>
  <c r="C101" i="3" s="1"/>
  <c r="C100" i="3" a="1"/>
  <c r="C100" i="3" s="1"/>
  <c r="C103" i="3" a="1"/>
  <c r="C103" i="3" s="1"/>
  <c r="C102" i="3" a="1"/>
  <c r="C102" i="3" s="1"/>
  <c r="AU17" i="2" a="1"/>
  <c r="AU17" i="2" s="1"/>
  <c r="DM13" i="2" a="1"/>
  <c r="DM13" i="2" s="1"/>
  <c r="C83" i="3" a="1"/>
  <c r="C83" i="3" s="1"/>
  <c r="C82" i="3" a="1"/>
  <c r="C82" i="3" s="1"/>
  <c r="C81" i="3" a="1"/>
  <c r="C81" i="3" s="1"/>
  <c r="C80" i="3" a="1"/>
  <c r="C80" i="3" s="1"/>
  <c r="AU38" i="2" a="1"/>
  <c r="AU38" i="2" s="1"/>
  <c r="DM22" i="2" a="1"/>
  <c r="DM22" i="2" s="1"/>
  <c r="AU70" i="2" a="1"/>
  <c r="AU70" i="2" s="1"/>
  <c r="DM38" i="2" a="1"/>
  <c r="DM38" i="2" s="1"/>
  <c r="AU16" i="2" a="1"/>
  <c r="AU16" i="2" s="1"/>
  <c r="DM12" i="2" a="1"/>
  <c r="DM12" i="2" s="1"/>
  <c r="C123" i="3" a="1"/>
  <c r="C123" i="3" s="1"/>
  <c r="AU41" i="2" a="1"/>
  <c r="AU41" i="2" s="1"/>
  <c r="DM25" i="2" a="1"/>
  <c r="DM25" i="2" s="1"/>
  <c r="H113" i="2" a="1"/>
  <c r="H113" i="2" s="1"/>
  <c r="M107" i="2" a="1"/>
  <c r="M107" i="2" s="1"/>
  <c r="AA107" i="2" s="1" a="1"/>
  <c r="AA107" i="2" s="1"/>
  <c r="M101" i="2" a="1"/>
  <c r="M101" i="2" s="1"/>
  <c r="AA101" i="2" s="1" a="1"/>
  <c r="AA101" i="2" s="1"/>
  <c r="AU73" i="2" a="1"/>
  <c r="AU73" i="2" s="1"/>
  <c r="DM41" i="2" a="1"/>
  <c r="DM41" i="2" s="1"/>
  <c r="C142" i="3" a="1"/>
  <c r="C142" i="3" s="1"/>
  <c r="B176" i="3" a="1"/>
  <c r="B176" i="3" s="1"/>
  <c r="C176" i="3" a="1"/>
  <c r="C176" i="3" s="1"/>
  <c r="AA45" i="4" a="1"/>
  <c r="AA45" i="4" s="1"/>
  <c r="C122" i="3" a="1"/>
  <c r="C122" i="3" s="1"/>
  <c r="BV66" i="2" a="1"/>
  <c r="BV66" i="2" s="1"/>
  <c r="AU71" i="2" a="1"/>
  <c r="AU71" i="2" s="1"/>
  <c r="DM39" i="2" a="1"/>
  <c r="DM39" i="2" s="1"/>
  <c r="C120" i="3" a="1"/>
  <c r="C120" i="3" s="1"/>
  <c r="AU54" i="2" a="1"/>
  <c r="AU54" i="2" s="1"/>
  <c r="DM30" i="2" a="1"/>
  <c r="DM30" i="2" s="1"/>
  <c r="C93" i="3" a="1"/>
  <c r="C93" i="3" s="1"/>
  <c r="C113" i="3" a="1"/>
  <c r="C113" i="3" s="1"/>
  <c r="C112" i="3" a="1"/>
  <c r="C112" i="3" s="1"/>
  <c r="C114" i="3" a="1"/>
  <c r="C114" i="3" s="1"/>
  <c r="C115" i="3" a="1"/>
  <c r="C115" i="3" s="1"/>
  <c r="AU87" i="2" a="1"/>
  <c r="AU87" i="2" s="1"/>
  <c r="DM47" i="2" a="1"/>
  <c r="DM47" i="2" s="1"/>
  <c r="AU72" i="2" a="1"/>
  <c r="AU72" i="2" s="1"/>
  <c r="DM40" i="2" a="1"/>
  <c r="DM40" i="2" s="1"/>
  <c r="AU56" i="2" a="1"/>
  <c r="AU56" i="2" s="1"/>
  <c r="DM32" i="2" a="1"/>
  <c r="DM32" i="2" s="1"/>
  <c r="C92" i="3" a="1"/>
  <c r="C92" i="3" s="1"/>
  <c r="AU86" i="2" a="1"/>
  <c r="AU86" i="2" s="1"/>
  <c r="DM46" i="2" a="1"/>
  <c r="DM46" i="2" s="1"/>
  <c r="AU94" i="2" a="1"/>
  <c r="AU94" i="2" s="1"/>
  <c r="DM50" i="2" a="1"/>
  <c r="DM50" i="2" s="1"/>
  <c r="B169" i="3" a="1"/>
  <c r="B169" i="3" s="1"/>
  <c r="C135" i="3" a="1"/>
  <c r="C135" i="3" s="1"/>
  <c r="C169" i="3" a="1"/>
  <c r="C169" i="3" s="1"/>
  <c r="AA6" i="4" a="1"/>
  <c r="AA6" i="4" s="1"/>
  <c r="AU55" i="2" a="1"/>
  <c r="AU55" i="2" s="1"/>
  <c r="DM31" i="2" a="1"/>
  <c r="DM31" i="2" s="1"/>
  <c r="AU30" i="2" a="1"/>
  <c r="AU30" i="2" s="1"/>
  <c r="DM18" i="2" a="1"/>
  <c r="DM18" i="2" s="1"/>
  <c r="C125" i="3" a="1"/>
  <c r="C125" i="3" s="1"/>
  <c r="C124" i="3" a="1"/>
  <c r="C124" i="3" s="1"/>
  <c r="C127" i="3" a="1"/>
  <c r="C127" i="3" s="1"/>
  <c r="C126" i="3" a="1"/>
  <c r="C126" i="3" s="1"/>
  <c r="AU63" i="2" a="1"/>
  <c r="AU63" i="2" s="1"/>
  <c r="DM35" i="2" a="1"/>
  <c r="DM35" i="2" s="1"/>
  <c r="AU57" i="2" a="1"/>
  <c r="AU57" i="2" s="1"/>
  <c r="DM33" i="2" a="1"/>
  <c r="DM33" i="2" s="1"/>
  <c r="AU32" i="2" a="1"/>
  <c r="AU32" i="2" s="1"/>
  <c r="DM20" i="2" a="1"/>
  <c r="DM20" i="2" s="1"/>
  <c r="AU80" i="2" a="1"/>
  <c r="AU80" i="2" s="1"/>
  <c r="DM44" i="2" a="1"/>
  <c r="DM44" i="2" s="1"/>
  <c r="AU88" i="2" a="1"/>
  <c r="AU88" i="2" s="1"/>
  <c r="DM48" i="2" a="1"/>
  <c r="DM48" i="2" s="1"/>
  <c r="C107" i="3" a="1"/>
  <c r="C107" i="3" s="1"/>
  <c r="C106" i="3" a="1"/>
  <c r="C106" i="3" s="1"/>
  <c r="C105" i="3" a="1"/>
  <c r="C105" i="3" s="1"/>
  <c r="C104" i="3" a="1"/>
  <c r="C104" i="3" s="1"/>
  <c r="AU22" i="2" a="1"/>
  <c r="AU22" i="2" s="1"/>
  <c r="DM14" i="2" a="1"/>
  <c r="DM14" i="2" s="1"/>
  <c r="AU95" i="2" a="1"/>
  <c r="AU95" i="2" s="1"/>
  <c r="DM51" i="2" a="1"/>
  <c r="DM51" i="2" s="1"/>
  <c r="AU47" i="2" a="1"/>
  <c r="AU47" i="2" s="1"/>
  <c r="DM27" i="2" a="1"/>
  <c r="DM27" i="2" s="1"/>
  <c r="C138" i="3" a="1"/>
  <c r="C138" i="3" s="1"/>
  <c r="C172" i="3" a="1"/>
  <c r="C172" i="3" s="1"/>
  <c r="B172" i="3" a="1"/>
  <c r="B172" i="3" s="1"/>
  <c r="AA24" i="4" a="1"/>
  <c r="AA24" i="4" s="1"/>
  <c r="C99" i="3" a="1"/>
  <c r="C99" i="3" s="1"/>
  <c r="M102" i="2" a="1"/>
  <c r="M102" i="2" s="1"/>
  <c r="AA103" i="2" s="1" a="1"/>
  <c r="AA103" i="2" s="1"/>
  <c r="M106" i="2" a="1"/>
  <c r="M106" i="2" s="1"/>
  <c r="AA105" i="2" s="1" a="1"/>
  <c r="AA105" i="2" s="1"/>
  <c r="AU33" i="2" a="1"/>
  <c r="AU33" i="2" s="1"/>
  <c r="DM21" i="2" a="1"/>
  <c r="DM21" i="2" s="1"/>
  <c r="AU81" i="2" a="1"/>
  <c r="AU81" i="2" s="1"/>
  <c r="DM45" i="2" a="1"/>
  <c r="DM45" i="2" s="1"/>
  <c r="AU89" i="2" a="1"/>
  <c r="AU89" i="2" s="1"/>
  <c r="DM49" i="2" a="1"/>
  <c r="DM49" i="2" s="1"/>
  <c r="AU65" i="2" a="1"/>
  <c r="AU65" i="2" s="1"/>
  <c r="DM37" i="2" a="1"/>
  <c r="DM37" i="2" s="1"/>
  <c r="C84" i="3" a="1"/>
  <c r="C84" i="3" s="1"/>
  <c r="AU25" i="2" a="1"/>
  <c r="AU25" i="2" s="1"/>
  <c r="DM17" i="2" a="1"/>
  <c r="DM17" i="2" s="1"/>
  <c r="AU96" i="2" a="1"/>
  <c r="AU96" i="2" s="1"/>
  <c r="DM52" i="2" a="1"/>
  <c r="DM52" i="2" s="1"/>
  <c r="AU48" i="2" a="1"/>
  <c r="AU48" i="2" s="1"/>
  <c r="DM28" i="2" a="1"/>
  <c r="DM28" i="2" s="1"/>
  <c r="C91" i="3" a="1"/>
  <c r="C91" i="3" s="1"/>
  <c r="C98" i="3" a="1"/>
  <c r="C98" i="3" s="1"/>
  <c r="AU78" i="2" a="1"/>
  <c r="AU78" i="2" s="1"/>
  <c r="DM42" i="2" a="1"/>
  <c r="DM42" i="2" s="1"/>
  <c r="M115" i="2" a="1"/>
  <c r="M115" i="2" s="1"/>
  <c r="AA116" i="2" s="1" a="1"/>
  <c r="AA116" i="2" s="1"/>
  <c r="M111" i="2" a="1"/>
  <c r="M111" i="2" s="1"/>
  <c r="AA112" i="2" s="1" a="1"/>
  <c r="AA112" i="2" s="1"/>
  <c r="AU62" i="2" a="1"/>
  <c r="AU62" i="2" s="1"/>
  <c r="DM34" i="2" a="1"/>
  <c r="DM34" i="2" s="1"/>
  <c r="AU6" i="2" a="1"/>
  <c r="AU6" i="2" s="1"/>
  <c r="DM6" i="2" a="1"/>
  <c r="DM6" i="2" s="1"/>
  <c r="C85" i="3" a="1"/>
  <c r="C85" i="3" s="1"/>
  <c r="AU24" i="2" a="1"/>
  <c r="AU24" i="2" s="1"/>
  <c r="DM16" i="2" a="1"/>
  <c r="DM16" i="2" s="1"/>
  <c r="AU97" i="2" a="1"/>
  <c r="AU97" i="2" s="1"/>
  <c r="DM53" i="2" a="1"/>
  <c r="DM53" i="2" s="1"/>
  <c r="AU14" i="2" a="1"/>
  <c r="AU14" i="2" s="1"/>
  <c r="DM10" i="2" a="1"/>
  <c r="DM10" i="2" s="1"/>
  <c r="AU49" i="2" a="1"/>
  <c r="AU49" i="2" s="1"/>
  <c r="DM29" i="2" a="1"/>
  <c r="DM29" i="2" s="1"/>
  <c r="C90" i="3" a="1"/>
  <c r="C90" i="3" s="1"/>
  <c r="C96" i="3" a="1"/>
  <c r="C96" i="3" s="1"/>
  <c r="AU39" i="2" a="1"/>
  <c r="AU39" i="2" s="1"/>
  <c r="DM23" i="2" a="1"/>
  <c r="DM23" i="2" s="1"/>
  <c r="C119" i="3" a="1"/>
  <c r="C119" i="3" s="1"/>
  <c r="C118" i="3" a="1"/>
  <c r="C118" i="3" s="1"/>
  <c r="C117" i="3" a="1"/>
  <c r="C117" i="3" s="1"/>
  <c r="C116" i="3" a="1"/>
  <c r="C116" i="3" s="1"/>
  <c r="AU79" i="2" a="1"/>
  <c r="AU79" i="2" s="1"/>
  <c r="DM43" i="2" a="1"/>
  <c r="DM43" i="2" s="1"/>
  <c r="AU64" i="2" a="1"/>
  <c r="AU64" i="2" s="1"/>
  <c r="DM36" i="2" a="1"/>
  <c r="DM36" i="2" s="1"/>
  <c r="AU8" i="2" a="1"/>
  <c r="AU8" i="2" s="1"/>
  <c r="DM8" i="2" a="1"/>
  <c r="DM8" i="2" s="1"/>
  <c r="AU23" i="2" a="1"/>
  <c r="AU23" i="2" s="1"/>
  <c r="DM15" i="2" a="1"/>
  <c r="DM15" i="2" s="1"/>
  <c r="B171" i="3" a="1"/>
  <c r="B171" i="3" s="1"/>
  <c r="C137" i="3" a="1"/>
  <c r="C137" i="3" s="1"/>
  <c r="C171" i="3" a="1"/>
  <c r="C171" i="3" s="1"/>
  <c r="AA36" i="4" a="1"/>
  <c r="AA36" i="4" s="1"/>
  <c r="AU46" i="2" a="1"/>
  <c r="AU46" i="2" s="1"/>
  <c r="DM26" i="2" a="1"/>
  <c r="DM26" i="2" s="1"/>
  <c r="AU5" i="2" l="1" a="1"/>
  <c r="AU5" i="2" s="1"/>
  <c r="AV4" i="2" s="1" a="1"/>
  <c r="AV4" i="2" s="1"/>
  <c r="AU77" i="2" a="1"/>
  <c r="AU77" i="2" s="1"/>
  <c r="AV76" i="2" s="1" a="1"/>
  <c r="AV76" i="2" s="1"/>
  <c r="AU93" i="2" a="1"/>
  <c r="AU93" i="2" s="1"/>
  <c r="AV92" i="2" s="1" a="1"/>
  <c r="AV92" i="2" s="1"/>
  <c r="BW65" i="2" a="1"/>
  <c r="BW65" i="2" s="1"/>
  <c r="BX65" i="2" s="1" a="1"/>
  <c r="BX65" i="2" s="1"/>
  <c r="BW63" i="2" a="1"/>
  <c r="BW63" i="2" s="1"/>
  <c r="BX63" i="2" s="1" a="1"/>
  <c r="BX63" i="2" s="1"/>
  <c r="AU37" i="2" a="1"/>
  <c r="AU37" i="2" s="1"/>
  <c r="AV36" i="2" s="1" a="1"/>
  <c r="AV36" i="2" s="1"/>
  <c r="BW66" i="2" a="1"/>
  <c r="BW66" i="2" s="1"/>
  <c r="BX66" i="2" s="1" a="1"/>
  <c r="BX66" i="2" s="1"/>
  <c r="BW59" i="2" a="1"/>
  <c r="BW59" i="2" s="1"/>
  <c r="BW69" i="2" a="1"/>
  <c r="BW69" i="2" s="1"/>
  <c r="C173" i="3" a="1"/>
  <c r="C173" i="3" s="1"/>
  <c r="B173" i="3" a="1"/>
  <c r="B173" i="3" s="1"/>
  <c r="C139" i="3" a="1"/>
  <c r="C139" i="3" s="1"/>
  <c r="AA21" i="4" a="1"/>
  <c r="AA21" i="4" s="1"/>
  <c r="BW68" i="2" a="1"/>
  <c r="BW68" i="2" s="1"/>
  <c r="AU29" i="2" a="1"/>
  <c r="AU29" i="2" s="1"/>
  <c r="AV28" i="2" s="1" a="1"/>
  <c r="AV28" i="2" s="1"/>
  <c r="AU85" i="2" a="1"/>
  <c r="AU85" i="2" s="1"/>
  <c r="AV84" i="2" s="1" a="1"/>
  <c r="AV84" i="2" s="1"/>
  <c r="C177" i="3" a="1"/>
  <c r="C177" i="3" s="1"/>
  <c r="C143" i="3" a="1"/>
  <c r="C143" i="3" s="1"/>
  <c r="B177" i="3" a="1"/>
  <c r="B177" i="3" s="1"/>
  <c r="AA42" i="4" a="1"/>
  <c r="AA42" i="4" s="1"/>
  <c r="AU61" i="2" a="1"/>
  <c r="AU61" i="2" s="1"/>
  <c r="AV60" i="2" s="1" a="1"/>
  <c r="AV60" i="2" s="1"/>
  <c r="AU69" i="2" a="1"/>
  <c r="AU69" i="2" s="1"/>
  <c r="AV68" i="2" s="1" a="1"/>
  <c r="AV68" i="2" s="1"/>
  <c r="B175" i="3" a="1"/>
  <c r="B175" i="3" s="1"/>
  <c r="C175" i="3" a="1"/>
  <c r="C175" i="3" s="1"/>
  <c r="C141" i="3" a="1"/>
  <c r="C141" i="3" s="1"/>
  <c r="AA15" i="4" a="1"/>
  <c r="AA15" i="4" s="1"/>
  <c r="AU53" i="2" a="1"/>
  <c r="AU53" i="2" s="1"/>
  <c r="AV52" i="2" s="1" a="1"/>
  <c r="AV52" i="2" s="1"/>
  <c r="BW58" i="2" a="1"/>
  <c r="BW58" i="2" s="1"/>
  <c r="C179" i="3" a="1"/>
  <c r="C179" i="3" s="1"/>
  <c r="B179" i="3" a="1"/>
  <c r="B179" i="3" s="1"/>
  <c r="C145" i="3" a="1"/>
  <c r="C145" i="3" s="1"/>
  <c r="AA48" i="4" a="1"/>
  <c r="AA48" i="4" s="1"/>
  <c r="C134" i="3" a="1"/>
  <c r="C134" i="3" s="1"/>
  <c r="C168" i="3" a="1"/>
  <c r="C168" i="3" s="1"/>
  <c r="B168" i="3" a="1"/>
  <c r="B168" i="3" s="1"/>
  <c r="AA30" i="4" a="1"/>
  <c r="AA30" i="4" s="1"/>
  <c r="BW62" i="2" a="1"/>
  <c r="BW62" i="2" s="1"/>
  <c r="AU45" i="2" a="1"/>
  <c r="AU45" i="2" s="1"/>
  <c r="AV44" i="2" s="1" a="1"/>
  <c r="AV44" i="2" s="1"/>
  <c r="AU13" i="2" a="1"/>
  <c r="AU13" i="2" s="1"/>
  <c r="AV12" i="2" s="1" a="1"/>
  <c r="AV12" i="2" s="1"/>
  <c r="B166" i="3" a="1"/>
  <c r="B166" i="3" s="1"/>
  <c r="C166" i="3" a="1"/>
  <c r="C166" i="3" s="1"/>
  <c r="C132" i="3" a="1"/>
  <c r="C132" i="3" s="1"/>
  <c r="AA3" i="4" a="1"/>
  <c r="AA3" i="4" s="1"/>
  <c r="AU21" i="2" a="1"/>
  <c r="AU21" i="2" s="1"/>
  <c r="AV20" i="2" s="1" a="1"/>
  <c r="AV20" i="2" s="1"/>
  <c r="B164" i="3" a="1"/>
  <c r="B164" i="3" s="1"/>
  <c r="C130" i="3" a="1"/>
  <c r="C130" i="3" s="1"/>
  <c r="C164" i="3" a="1"/>
  <c r="C164" i="3" s="1"/>
  <c r="AA9" i="4" a="1"/>
  <c r="AA9" i="4" s="1"/>
  <c r="C170" i="3" a="1"/>
  <c r="C170" i="3" s="1"/>
  <c r="C136" i="3" a="1"/>
  <c r="C136" i="3" s="1"/>
  <c r="B170" i="3" a="1"/>
  <c r="B170" i="3" s="1"/>
  <c r="AA33" i="4" a="1"/>
  <c r="AA33" i="4" s="1"/>
  <c r="BW64" i="2" a="1"/>
  <c r="BW64" i="2" s="1"/>
  <c r="BX64" i="2" s="1" a="1"/>
  <c r="BX64" i="2" s="1"/>
  <c r="BW60" i="2" a="1"/>
  <c r="BW60" i="2" s="1"/>
  <c r="BW67" i="2" a="1"/>
  <c r="BW67" i="2" s="1"/>
  <c r="AZ103" i="2" a="1"/>
  <c r="AZ103" i="2" s="1"/>
  <c r="AZ110" i="2" a="1"/>
  <c r="AZ110" i="2" s="1"/>
  <c r="AZ108" i="2" a="1"/>
  <c r="AZ108" i="2" s="1"/>
  <c r="AZ105" i="2" a="1"/>
  <c r="AZ105" i="2" s="1"/>
  <c r="AZ109" i="2" a="1"/>
  <c r="AZ109" i="2" s="1"/>
  <c r="AZ107" i="2" a="1"/>
  <c r="AZ107" i="2" s="1"/>
  <c r="AZ104" i="2" a="1"/>
  <c r="AZ104" i="2" s="1"/>
  <c r="AZ106" i="2" a="1"/>
  <c r="AZ106" i="2" s="1"/>
  <c r="AA37" i="4" a="1"/>
  <c r="AA37" i="4" s="1"/>
  <c r="AA46" i="4" a="1"/>
  <c r="AA46" i="4" s="1"/>
  <c r="AA22" i="4" a="1"/>
  <c r="AA22" i="4" s="1"/>
  <c r="AA49" i="4" a="1"/>
  <c r="AA49" i="4" s="1"/>
  <c r="AA4" i="4" a="1"/>
  <c r="AA4" i="4" s="1"/>
  <c r="AA25" i="4" a="1"/>
  <c r="AA25" i="4" s="1"/>
  <c r="AA7" i="4" a="1"/>
  <c r="AA7" i="4" s="1"/>
  <c r="AA34" i="4" a="1"/>
  <c r="AA34" i="4" s="1"/>
  <c r="BW61" i="2" a="1"/>
  <c r="BW61" i="2" s="1"/>
  <c r="BI50" i="4" l="1" a="1"/>
  <c r="BI50" i="4" s="1"/>
  <c r="BH50" i="4" s="1" a="1"/>
  <c r="BH50" i="4" s="1"/>
  <c r="BI46" i="4" a="1"/>
  <c r="BI46" i="4" s="1"/>
  <c r="BH46" i="4" s="1" a="1"/>
  <c r="BH46" i="4" s="1"/>
  <c r="BI49" i="4" a="1"/>
  <c r="BI49" i="4" s="1"/>
  <c r="BH49" i="4" s="1" a="1"/>
  <c r="BH49" i="4" s="1"/>
  <c r="BI45" i="4" a="1"/>
  <c r="BI45" i="4" s="1"/>
  <c r="BH45" i="4" s="1" a="1"/>
  <c r="BH45" i="4" s="1"/>
  <c r="BI44" i="4" a="1"/>
  <c r="BI44" i="4" s="1"/>
  <c r="BH44" i="4" s="1" a="1"/>
  <c r="BH44" i="4" s="1"/>
  <c r="BI40" i="4" a="1"/>
  <c r="BI40" i="4" s="1"/>
  <c r="BH40" i="4" s="1" a="1"/>
  <c r="BH40" i="4" s="1"/>
  <c r="BI37" i="4" a="1"/>
  <c r="BI37" i="4" s="1"/>
  <c r="BH37" i="4" s="1" a="1"/>
  <c r="BH37" i="4" s="1"/>
  <c r="BI33" i="4" a="1"/>
  <c r="BI33" i="4" s="1"/>
  <c r="BH33" i="4" s="1" a="1"/>
  <c r="BH33" i="4" s="1"/>
  <c r="BI38" i="4" a="1"/>
  <c r="BI38" i="4" s="1"/>
  <c r="BH38" i="4" s="1" a="1"/>
  <c r="BH38" i="4" s="1"/>
  <c r="BI29" i="4" a="1"/>
  <c r="BI29" i="4" s="1"/>
  <c r="BH29" i="4" s="1" a="1"/>
  <c r="BH29" i="4" s="1"/>
  <c r="BI48" i="4" a="1"/>
  <c r="BI48" i="4" s="1"/>
  <c r="BH48" i="4" s="1" a="1"/>
  <c r="BH48" i="4" s="1"/>
  <c r="BI36" i="4" a="1"/>
  <c r="BI36" i="4" s="1"/>
  <c r="BH36" i="4" s="1" a="1"/>
  <c r="BH36" i="4" s="1"/>
  <c r="BI25" i="4" a="1"/>
  <c r="BI25" i="4" s="1"/>
  <c r="BH25" i="4" s="1" a="1"/>
  <c r="BH25" i="4" s="1"/>
  <c r="BI35" i="4" a="1"/>
  <c r="BI35" i="4" s="1"/>
  <c r="BH35" i="4" s="1" a="1"/>
  <c r="BH35" i="4" s="1"/>
  <c r="BI32" i="4" a="1"/>
  <c r="BI32" i="4" s="1"/>
  <c r="BH32" i="4" s="1" a="1"/>
  <c r="BH32" i="4" s="1"/>
  <c r="BI51" i="4" a="1"/>
  <c r="BI51" i="4" s="1"/>
  <c r="BH51" i="4" s="1" a="1"/>
  <c r="BH51" i="4" s="1"/>
  <c r="BI41" i="4" a="1"/>
  <c r="BI41" i="4" s="1"/>
  <c r="BH41" i="4" s="1" a="1"/>
  <c r="BH41" i="4" s="1"/>
  <c r="BI17" i="4" a="1"/>
  <c r="BI17" i="4" s="1"/>
  <c r="BH17" i="4" s="1" a="1"/>
  <c r="BH17" i="4" s="1"/>
  <c r="BI11" i="4" a="1"/>
  <c r="BI11" i="4" s="1"/>
  <c r="BH11" i="4" s="1" a="1"/>
  <c r="BH11" i="4" s="1"/>
  <c r="BI31" i="4" a="1"/>
  <c r="BI31" i="4" s="1"/>
  <c r="BH31" i="4" s="1" a="1"/>
  <c r="BH31" i="4" s="1"/>
  <c r="BI22" i="4" a="1"/>
  <c r="BI22" i="4" s="1"/>
  <c r="BH22" i="4" s="1" a="1"/>
  <c r="BH22" i="4" s="1"/>
  <c r="BI43" i="4" a="1"/>
  <c r="BI43" i="4" s="1"/>
  <c r="BH43" i="4" s="1" a="1"/>
  <c r="BH43" i="4" s="1"/>
  <c r="BI21" i="4" a="1"/>
  <c r="BI21" i="4" s="1"/>
  <c r="BH21" i="4" s="1" a="1"/>
  <c r="BH21" i="4" s="1"/>
  <c r="BI16" i="4" a="1"/>
  <c r="BI16" i="4" s="1"/>
  <c r="BH16" i="4" s="1" a="1"/>
  <c r="BH16" i="4" s="1"/>
  <c r="BI9" i="4" a="1"/>
  <c r="BI9" i="4" s="1"/>
  <c r="BH9" i="4" s="1" a="1"/>
  <c r="BH9" i="4" s="1"/>
  <c r="BI27" i="4" a="1"/>
  <c r="BI27" i="4" s="1"/>
  <c r="BH27" i="4" s="1" a="1"/>
  <c r="BH27" i="4" s="1"/>
  <c r="BI28" i="4" a="1"/>
  <c r="BI28" i="4" s="1"/>
  <c r="BH28" i="4" s="1" a="1"/>
  <c r="BH28" i="4" s="1"/>
  <c r="BI10" i="4" a="1"/>
  <c r="BI10" i="4" s="1"/>
  <c r="BH10" i="4" s="1" a="1"/>
  <c r="BH10" i="4" s="1"/>
  <c r="BI12" i="4" a="1"/>
  <c r="BI12" i="4" s="1"/>
  <c r="BH12" i="4" s="1" a="1"/>
  <c r="BH12" i="4" s="1"/>
  <c r="BI42" i="4" a="1"/>
  <c r="BI42" i="4" s="1"/>
  <c r="BH42" i="4" s="1" a="1"/>
  <c r="BH42" i="4" s="1"/>
  <c r="BI34" i="4" a="1"/>
  <c r="BI34" i="4" s="1"/>
  <c r="BH34" i="4" s="1" a="1"/>
  <c r="BH34" i="4" s="1"/>
  <c r="BI26" i="4" a="1"/>
  <c r="BI26" i="4" s="1"/>
  <c r="BH26" i="4" s="1" a="1"/>
  <c r="BH26" i="4" s="1"/>
  <c r="BI18" i="4" a="1"/>
  <c r="BI18" i="4" s="1"/>
  <c r="BH18" i="4" s="1" a="1"/>
  <c r="BH18" i="4" s="1"/>
  <c r="BI13" i="4" a="1"/>
  <c r="BI13" i="4" s="1"/>
  <c r="BH13" i="4" s="1" a="1"/>
  <c r="BH13" i="4" s="1"/>
  <c r="BI8" i="4" a="1"/>
  <c r="BI8" i="4" s="1"/>
  <c r="BH8" i="4" s="1" a="1"/>
  <c r="BH8" i="4" s="1"/>
  <c r="BI4" i="4" a="1"/>
  <c r="BI4" i="4" s="1"/>
  <c r="BH4" i="4" s="1" a="1"/>
  <c r="BH4" i="4" s="1"/>
  <c r="BI20" i="4" a="1"/>
  <c r="BI20" i="4" s="1"/>
  <c r="BH20" i="4" s="1" a="1"/>
  <c r="BH20" i="4" s="1"/>
  <c r="BI19" i="4" a="1"/>
  <c r="BI19" i="4" s="1"/>
  <c r="BH19" i="4" s="1" a="1"/>
  <c r="BH19" i="4" s="1"/>
  <c r="BI7" i="4" a="1"/>
  <c r="BI7" i="4" s="1"/>
  <c r="BH7" i="4" s="1" a="1"/>
  <c r="BH7" i="4" s="1"/>
  <c r="BI6" i="4" a="1"/>
  <c r="BI6" i="4" s="1"/>
  <c r="BH6" i="4" s="1" a="1"/>
  <c r="BH6" i="4" s="1"/>
  <c r="BI24" i="4" a="1"/>
  <c r="BI24" i="4" s="1"/>
  <c r="BH24" i="4" s="1" a="1"/>
  <c r="BH24" i="4" s="1"/>
  <c r="BI23" i="4" a="1"/>
  <c r="BI23" i="4" s="1"/>
  <c r="BH23" i="4" s="1" a="1"/>
  <c r="BH23" i="4" s="1"/>
  <c r="BI39" i="4" a="1"/>
  <c r="BI39" i="4" s="1"/>
  <c r="BH39" i="4" s="1" a="1"/>
  <c r="BH39" i="4" s="1"/>
  <c r="BI47" i="4" a="1"/>
  <c r="BI47" i="4" s="1"/>
  <c r="BH47" i="4" s="1" a="1"/>
  <c r="BH47" i="4" s="1"/>
  <c r="BI5" i="4" a="1"/>
  <c r="BI5" i="4" s="1"/>
  <c r="BH5" i="4" s="1" a="1"/>
  <c r="BH5" i="4" s="1"/>
  <c r="BI15" i="4" a="1"/>
  <c r="BI15" i="4" s="1"/>
  <c r="BH15" i="4" s="1" a="1"/>
  <c r="BH15" i="4" s="1"/>
  <c r="BI30" i="4" a="1"/>
  <c r="BI30" i="4" s="1"/>
  <c r="BH30" i="4" s="1" a="1"/>
  <c r="BH30" i="4" s="1"/>
  <c r="BI14" i="4" a="1"/>
  <c r="BI14" i="4" s="1"/>
  <c r="BH14" i="4" s="1" a="1"/>
  <c r="BH14" i="4" s="1"/>
  <c r="BX67" i="2" a="1"/>
  <c r="BX67" i="2" s="1"/>
  <c r="BX60" i="2" a="1"/>
  <c r="BX60" i="2" s="1"/>
  <c r="BX69" i="2" a="1"/>
  <c r="BX69" i="2" s="1"/>
  <c r="BY64" i="2" s="1" a="1"/>
  <c r="BY64" i="2" s="1"/>
  <c r="BX59" i="2" a="1"/>
  <c r="BX59" i="2" s="1"/>
  <c r="DF44" i="2" a="1"/>
  <c r="DF44" i="2" s="1"/>
  <c r="DF37" i="2" a="1"/>
  <c r="DF37" i="2" s="1"/>
  <c r="DF31" i="2" a="1"/>
  <c r="DF31" i="2" s="1"/>
  <c r="DF17" i="2" a="1"/>
  <c r="DF17" i="2" s="1"/>
  <c r="DF45" i="2" a="1"/>
  <c r="DF45" i="2" s="1"/>
  <c r="DF36" i="2" a="1"/>
  <c r="DF36" i="2" s="1"/>
  <c r="DF33" i="2" a="1"/>
  <c r="DF33" i="2" s="1"/>
  <c r="DF48" i="2" a="1"/>
  <c r="DF48" i="2" s="1"/>
  <c r="DF30" i="2" a="1"/>
  <c r="DF30" i="2" s="1"/>
  <c r="DF34" i="2" a="1"/>
  <c r="DF34" i="2" s="1"/>
  <c r="DF14" i="2" a="1"/>
  <c r="DF14" i="2" s="1"/>
  <c r="DF47" i="2" a="1"/>
  <c r="DF47" i="2" s="1"/>
  <c r="DF32" i="2" a="1"/>
  <c r="DF32" i="2" s="1"/>
  <c r="DF43" i="2" a="1"/>
  <c r="DF43" i="2" s="1"/>
  <c r="DF27" i="2" a="1"/>
  <c r="DF27" i="2" s="1"/>
  <c r="DF11" i="2" a="1"/>
  <c r="DF11" i="2" s="1"/>
  <c r="DF41" i="2" a="1"/>
  <c r="DF41" i="2" s="1"/>
  <c r="DF20" i="2" a="1"/>
  <c r="DF20" i="2" s="1"/>
  <c r="DF10" i="2" a="1"/>
  <c r="DF10" i="2" s="1"/>
  <c r="DF15" i="2" a="1"/>
  <c r="DF15" i="2" s="1"/>
  <c r="DF52" i="2" a="1"/>
  <c r="DF52" i="2" s="1"/>
  <c r="DF38" i="2" a="1"/>
  <c r="DF38" i="2" s="1"/>
  <c r="DF29" i="2" a="1"/>
  <c r="DF29" i="2" s="1"/>
  <c r="DF24" i="2" a="1"/>
  <c r="DF24" i="2" s="1"/>
  <c r="DF53" i="2" a="1"/>
  <c r="DF53" i="2" s="1"/>
  <c r="DF35" i="2" a="1"/>
  <c r="DF35" i="2" s="1"/>
  <c r="DF26" i="2" a="1"/>
  <c r="DF26" i="2" s="1"/>
  <c r="DF19" i="2" a="1"/>
  <c r="DF19" i="2" s="1"/>
  <c r="DF50" i="2" a="1"/>
  <c r="DF50" i="2" s="1"/>
  <c r="DF23" i="2" a="1"/>
  <c r="DF23" i="2" s="1"/>
  <c r="DF22" i="2" a="1"/>
  <c r="DF22" i="2" s="1"/>
  <c r="DF16" i="2" a="1"/>
  <c r="DF16" i="2" s="1"/>
  <c r="DF51" i="2" a="1"/>
  <c r="DF51" i="2" s="1"/>
  <c r="DF40" i="2" a="1"/>
  <c r="DF40" i="2" s="1"/>
  <c r="DF21" i="2" a="1"/>
  <c r="DF21" i="2" s="1"/>
  <c r="DF18" i="2" a="1"/>
  <c r="DF18" i="2" s="1"/>
  <c r="DF49" i="2" a="1"/>
  <c r="DF49" i="2" s="1"/>
  <c r="DF42" i="2" a="1"/>
  <c r="DF42" i="2" s="1"/>
  <c r="DF25" i="2" a="1"/>
  <c r="DF25" i="2" s="1"/>
  <c r="DF12" i="2" a="1"/>
  <c r="DF12" i="2" s="1"/>
  <c r="DF46" i="2" a="1"/>
  <c r="DF46" i="2" s="1"/>
  <c r="DF39" i="2" a="1"/>
  <c r="DF39" i="2" s="1"/>
  <c r="DF28" i="2" a="1"/>
  <c r="DF28" i="2" s="1"/>
  <c r="DF13" i="2" a="1"/>
  <c r="DF13" i="2" s="1"/>
  <c r="BX61" i="2" a="1"/>
  <c r="BX61" i="2" s="1"/>
  <c r="BX58" i="2" a="1"/>
  <c r="BX58" i="2" s="1"/>
  <c r="BX62" i="2" a="1"/>
  <c r="BX62" i="2" s="1"/>
  <c r="BY62" i="2" s="1" a="1"/>
  <c r="BY62" i="2" s="1"/>
  <c r="BX68" i="2" a="1"/>
  <c r="BX68" i="2" s="1"/>
  <c r="BY65" i="2" l="1" a="1"/>
  <c r="BY65" i="2" s="1"/>
  <c r="BY69" i="2" a="1"/>
  <c r="BY69" i="2" s="1"/>
  <c r="BY59" i="2" a="1"/>
  <c r="BY59" i="2" s="1"/>
  <c r="BY66" i="2" a="1"/>
  <c r="BY66" i="2" s="1"/>
  <c r="BY60" i="2" a="1"/>
  <c r="BY60" i="2" s="1"/>
  <c r="BY58" i="2" a="1"/>
  <c r="BY58" i="2" s="1"/>
  <c r="BY63" i="2" a="1"/>
  <c r="BY63" i="2" s="1"/>
  <c r="BY61" i="2" a="1"/>
  <c r="BY61" i="2" s="1"/>
  <c r="BY68" i="2" a="1"/>
  <c r="BY68" i="2" s="1"/>
  <c r="BY67" i="2" a="1"/>
  <c r="BY67" i="2" s="1"/>
  <c r="BZ69" i="2" l="1" a="1"/>
  <c r="BZ69" i="2" s="1"/>
  <c r="CE69" i="2" s="1" a="1"/>
  <c r="CE69" i="2" s="1"/>
  <c r="BZ60" i="2" a="1"/>
  <c r="BZ60" i="2" s="1"/>
  <c r="CE60" i="2" s="1" a="1"/>
  <c r="CE60" i="2" s="1"/>
  <c r="BZ64" i="2" a="1"/>
  <c r="BZ64" i="2" s="1"/>
  <c r="CA64" i="2" s="1" a="1"/>
  <c r="CA64" i="2" s="1"/>
  <c r="BZ66" i="2" a="1"/>
  <c r="BZ66" i="2" s="1"/>
  <c r="CE66" i="2" s="1" a="1"/>
  <c r="CE66" i="2" s="1"/>
  <c r="BZ62" i="2" a="1"/>
  <c r="BZ62" i="2" s="1"/>
  <c r="CE62" i="2" s="1" a="1"/>
  <c r="CE62" i="2" s="1"/>
  <c r="BZ61" i="2" a="1"/>
  <c r="BZ61" i="2" s="1"/>
  <c r="BZ63" i="2" a="1"/>
  <c r="BZ63" i="2" s="1"/>
  <c r="BZ58" i="2" a="1"/>
  <c r="BZ58" i="2" s="1"/>
  <c r="BZ59" i="2" a="1"/>
  <c r="BZ59" i="2" s="1"/>
  <c r="BZ67" i="2" a="1"/>
  <c r="BZ67" i="2" s="1"/>
  <c r="BZ65" i="2" a="1"/>
  <c r="BZ65" i="2" s="1"/>
  <c r="BZ68" i="2" a="1"/>
  <c r="BZ68" i="2" s="1"/>
  <c r="CA69" i="2" l="1" a="1"/>
  <c r="CA69" i="2" s="1"/>
  <c r="CE64" i="2" a="1"/>
  <c r="CE64" i="2" s="1"/>
  <c r="CA66" i="2" a="1"/>
  <c r="CA66" i="2" s="1"/>
  <c r="CA62" i="2" a="1"/>
  <c r="CA62" i="2" s="1"/>
  <c r="CA60" i="2" a="1"/>
  <c r="CA60" i="2" s="1"/>
  <c r="CE68" i="2" a="1"/>
  <c r="CE68" i="2" s="1"/>
  <c r="CA68" i="2" a="1"/>
  <c r="CA68" i="2" s="1"/>
  <c r="CE65" i="2" a="1"/>
  <c r="CE65" i="2" s="1"/>
  <c r="CA65" i="2" a="1"/>
  <c r="CA65" i="2" s="1"/>
  <c r="CA61" i="2" a="1"/>
  <c r="CA61" i="2" s="1"/>
  <c r="CE61" i="2" a="1"/>
  <c r="CE61" i="2" s="1"/>
  <c r="CA67" i="2" a="1"/>
  <c r="CA67" i="2" s="1"/>
  <c r="CE67" i="2" a="1"/>
  <c r="CE67" i="2" s="1"/>
  <c r="CE59" i="2" a="1"/>
  <c r="CE59" i="2" s="1"/>
  <c r="CA59" i="2" a="1"/>
  <c r="CA59" i="2" s="1"/>
  <c r="CA58" i="2" a="1"/>
  <c r="CA58" i="2" s="1"/>
  <c r="CE58" i="2" a="1"/>
  <c r="CE58" i="2" s="1"/>
  <c r="CA63" i="2" a="1"/>
  <c r="CA63" i="2" s="1"/>
  <c r="CE63" i="2" a="1"/>
  <c r="CE63" i="2" s="1"/>
  <c r="CB65" i="2" l="1" a="1"/>
  <c r="CB65" i="2" s="1"/>
  <c r="BM65" i="2" s="1" a="1"/>
  <c r="BM65" i="2" s="1"/>
  <c r="CB61" i="2" a="1"/>
  <c r="CB61" i="2" s="1"/>
  <c r="BM61" i="2" s="1" a="1"/>
  <c r="BM61" i="2" s="1"/>
  <c r="CF65" i="2" a="1"/>
  <c r="CF65" i="2" s="1"/>
  <c r="BN65" i="2" s="1" a="1"/>
  <c r="BN65" i="2" s="1"/>
  <c r="CF58" i="2" a="1"/>
  <c r="CF58" i="2" s="1"/>
  <c r="BN58" i="2" s="1" a="1"/>
  <c r="BN58" i="2" s="1"/>
  <c r="CF66" i="2" a="1"/>
  <c r="CF66" i="2" s="1"/>
  <c r="BN66" i="2" s="1" a="1"/>
  <c r="BN66" i="2" s="1"/>
  <c r="CF69" i="2" a="1"/>
  <c r="CF69" i="2" s="1"/>
  <c r="BN69" i="2" s="1" a="1"/>
  <c r="BN69" i="2" s="1"/>
  <c r="CF62" i="2" a="1"/>
  <c r="CF62" i="2" s="1"/>
  <c r="BN62" i="2" s="1" a="1"/>
  <c r="BN62" i="2" s="1"/>
  <c r="CF63" i="2" a="1"/>
  <c r="CF63" i="2" s="1"/>
  <c r="BN63" i="2" s="1" a="1"/>
  <c r="BN63" i="2" s="1"/>
  <c r="CB63" i="2" a="1"/>
  <c r="CB63" i="2" s="1"/>
  <c r="BM63" i="2" s="1" a="1"/>
  <c r="BM63" i="2" s="1"/>
  <c r="CB58" i="2" a="1"/>
  <c r="CB58" i="2" s="1"/>
  <c r="BM58" i="2" s="1" a="1"/>
  <c r="BM58" i="2" s="1"/>
  <c r="CB66" i="2" a="1"/>
  <c r="CB66" i="2" s="1"/>
  <c r="BM66" i="2" s="1" a="1"/>
  <c r="BM66" i="2" s="1"/>
  <c r="CB62" i="2" a="1"/>
  <c r="CB62" i="2" s="1"/>
  <c r="BM62" i="2" s="1" a="1"/>
  <c r="BM62" i="2" s="1"/>
  <c r="CB69" i="2" a="1"/>
  <c r="CB69" i="2" s="1"/>
  <c r="BM69" i="2" s="1" a="1"/>
  <c r="BM69" i="2" s="1"/>
  <c r="CB68" i="2" a="1"/>
  <c r="CB68" i="2" s="1"/>
  <c r="BM68" i="2" s="1" a="1"/>
  <c r="BM68" i="2" s="1"/>
  <c r="CF59" i="2" a="1"/>
  <c r="CF59" i="2" s="1"/>
  <c r="BN59" i="2" s="1" a="1"/>
  <c r="BN59" i="2" s="1"/>
  <c r="CF68" i="2" a="1"/>
  <c r="CF68" i="2" s="1"/>
  <c r="BN68" i="2" s="1" a="1"/>
  <c r="BN68" i="2" s="1"/>
  <c r="CB60" i="2" a="1"/>
  <c r="CB60" i="2" s="1"/>
  <c r="BM60" i="2" s="1" a="1"/>
  <c r="BM60" i="2" s="1"/>
  <c r="CB64" i="2" a="1"/>
  <c r="CB64" i="2" s="1"/>
  <c r="BM64" i="2" s="1" a="1"/>
  <c r="BM64" i="2" s="1"/>
  <c r="CB59" i="2" a="1"/>
  <c r="CB59" i="2" s="1"/>
  <c r="BM59" i="2" s="1" a="1"/>
  <c r="BM59" i="2" s="1"/>
  <c r="CF67" i="2" a="1"/>
  <c r="CF67" i="2" s="1"/>
  <c r="BN67" i="2" s="1" a="1"/>
  <c r="BN67" i="2" s="1"/>
  <c r="CF60" i="2" a="1"/>
  <c r="CF60" i="2" s="1"/>
  <c r="BN60" i="2" s="1" a="1"/>
  <c r="BN60" i="2" s="1"/>
  <c r="CB67" i="2" a="1"/>
  <c r="CB67" i="2" s="1"/>
  <c r="BM67" i="2" s="1" a="1"/>
  <c r="BM67" i="2" s="1"/>
  <c r="CF64" i="2" a="1"/>
  <c r="CF64" i="2" s="1"/>
  <c r="BN64" i="2" s="1" a="1"/>
  <c r="BN64" i="2" s="1"/>
  <c r="CF61" i="2" a="1"/>
  <c r="CF61" i="2" s="1"/>
  <c r="BN61" i="2" s="1" a="1"/>
  <c r="BN61" i="2" s="1"/>
  <c r="AV108" i="2" l="1" a="1"/>
  <c r="AV108" i="2" s="1"/>
  <c r="AV111" i="2" a="1"/>
  <c r="AV111" i="2" s="1"/>
  <c r="AV106" i="2" a="1"/>
  <c r="AV106" i="2" s="1"/>
  <c r="AV113" i="2" a="1"/>
  <c r="AV113" i="2" s="1"/>
  <c r="AV109" i="2" a="1"/>
  <c r="AV109" i="2" s="1"/>
  <c r="AV103" i="2" a="1"/>
  <c r="AV103" i="2" s="1"/>
  <c r="AV105" i="2" a="1"/>
  <c r="AV105" i="2" s="1"/>
  <c r="AV102" i="2" a="1"/>
  <c r="AV102" i="2" s="1"/>
  <c r="DQ65" i="2" a="1"/>
  <c r="DQ65" i="2" s="1"/>
  <c r="DJ65" i="2" s="1" a="1"/>
  <c r="DJ65" i="2" s="1"/>
  <c r="AV112" i="2" a="1"/>
  <c r="AV112" i="2" s="1"/>
  <c r="AV107" i="2" a="1"/>
  <c r="AV107" i="2" s="1"/>
  <c r="DQ68" i="2" a="1"/>
  <c r="DQ68" i="2" s="1"/>
  <c r="DJ68" i="2" s="1" a="1"/>
  <c r="DJ68" i="2" s="1"/>
  <c r="DQ63" i="2" a="1"/>
  <c r="DQ63" i="2" s="1"/>
  <c r="DJ63" i="2" s="1" a="1"/>
  <c r="DJ63" i="2" s="1"/>
  <c r="DQ67" i="2" a="1"/>
  <c r="DQ67" i="2" s="1"/>
  <c r="DJ67" i="2" s="1" a="1"/>
  <c r="DJ67" i="2" s="1"/>
  <c r="AV110" i="2" a="1"/>
  <c r="AV110" i="2" s="1"/>
  <c r="AV104" i="2" a="1"/>
  <c r="AV104" i="2" s="1"/>
  <c r="DQ62" i="2" a="1"/>
  <c r="DQ62" i="2" s="1"/>
  <c r="DJ62" i="2" s="1" a="1"/>
  <c r="DJ62" i="2" s="1"/>
  <c r="DQ61" i="2" a="1"/>
  <c r="DQ61" i="2" s="1"/>
  <c r="DJ61" i="2" s="1" a="1"/>
  <c r="DJ61" i="2" s="1"/>
  <c r="DQ66" i="2" a="1"/>
  <c r="DQ66" i="2" s="1"/>
  <c r="DJ66" i="2" s="1" a="1"/>
  <c r="DJ66" i="2" s="1"/>
  <c r="DQ64" i="2" a="1"/>
  <c r="DQ64" i="2" s="1"/>
  <c r="DJ64" i="2" s="1" a="1"/>
  <c r="DJ64" i="2" s="1"/>
  <c r="DQ60" i="2" a="1"/>
  <c r="DQ60" i="2" s="1"/>
  <c r="DJ60" i="2" s="1" a="1"/>
  <c r="DJ60" i="2" s="1"/>
  <c r="DQ69" i="2" a="1"/>
  <c r="DQ69" i="2" s="1"/>
  <c r="DJ69" i="2" s="1" a="1"/>
  <c r="DJ69" i="2" s="1"/>
  <c r="DQ59" i="2" a="1"/>
  <c r="DQ59" i="2" s="1"/>
  <c r="DJ59" i="2" s="1" a="1"/>
  <c r="DJ59" i="2" s="1"/>
  <c r="DQ58" i="2" a="1"/>
  <c r="DQ58" i="2" s="1"/>
  <c r="DJ58" i="2" s="1" a="1"/>
  <c r="DJ58" i="2" s="1"/>
  <c r="AL103" i="2" a="1"/>
  <c r="AL103" i="2" s="1"/>
  <c r="AL113" i="2" a="1"/>
  <c r="AL113" i="2" s="1"/>
  <c r="AL110" i="2" a="1"/>
  <c r="AL110" i="2" s="1"/>
  <c r="AL108" i="2" a="1"/>
  <c r="AL108" i="2" s="1"/>
  <c r="AL109" i="2" a="1"/>
  <c r="AL109" i="2" s="1"/>
  <c r="AL105" i="2" a="1"/>
  <c r="AL105" i="2" s="1"/>
  <c r="AL107" i="2" a="1"/>
  <c r="AL107" i="2" s="1"/>
  <c r="AL106" i="2" a="1"/>
  <c r="AL106" i="2" s="1"/>
  <c r="AL102" i="2" a="1"/>
  <c r="AL102" i="2" s="1"/>
  <c r="AL104" i="2" a="1"/>
  <c r="AL104" i="2" s="1"/>
  <c r="AL112" i="2" a="1"/>
  <c r="AL112" i="2" s="1"/>
  <c r="AL111" i="2" a="1"/>
  <c r="AL111" i="2" s="1"/>
  <c r="DL59" i="2" l="1" a="1"/>
  <c r="DL59" i="2" s="1"/>
  <c r="AU103" i="2" s="1" a="1"/>
  <c r="AU103" i="2" s="1"/>
  <c r="DL58" i="2" a="1"/>
  <c r="DL58" i="2" s="1"/>
  <c r="AU102" i="2" s="1" a="1"/>
  <c r="AU102" i="2" s="1"/>
  <c r="BF105" i="2" a="1"/>
  <c r="BF105" i="2" s="1"/>
  <c r="AT104" i="2" a="1"/>
  <c r="AT104" i="2" s="1"/>
  <c r="AM104" i="2" a="1"/>
  <c r="AM104" i="2" s="1"/>
  <c r="AN104" i="2" a="1"/>
  <c r="AN104" i="2" s="1"/>
  <c r="AR104" i="2" a="1"/>
  <c r="AR104" i="2" s="1"/>
  <c r="AS104" i="2" a="1"/>
  <c r="AS104" i="2" s="1"/>
  <c r="AP104" i="2" a="1"/>
  <c r="AP104" i="2" s="1"/>
  <c r="AO104" i="2" a="1"/>
  <c r="AO104" i="2" s="1"/>
  <c r="AQ104" i="2" a="1"/>
  <c r="AQ104" i="2" s="1"/>
  <c r="DL62" i="2" a="1"/>
  <c r="DL62" i="2" s="1"/>
  <c r="AU106" i="2" s="1" a="1"/>
  <c r="AU106" i="2" s="1"/>
  <c r="AP111" i="2" a="1"/>
  <c r="AP111" i="2" s="1"/>
  <c r="AM111" i="2" a="1"/>
  <c r="AM111" i="2" s="1"/>
  <c r="AT111" i="2" a="1"/>
  <c r="AT111" i="2" s="1"/>
  <c r="AO111" i="2" a="1"/>
  <c r="AO111" i="2" s="1"/>
  <c r="AN111" i="2" a="1"/>
  <c r="AN111" i="2" s="1"/>
  <c r="AR111" i="2" a="1"/>
  <c r="AR111" i="2" s="1"/>
  <c r="AQ111" i="2" a="1"/>
  <c r="AQ111" i="2" s="1"/>
  <c r="AS111" i="2" a="1"/>
  <c r="AS111" i="2" s="1"/>
  <c r="AO112" i="2" a="1"/>
  <c r="AO112" i="2" s="1"/>
  <c r="AP112" i="2" a="1"/>
  <c r="AP112" i="2" s="1"/>
  <c r="AR112" i="2" a="1"/>
  <c r="AR112" i="2" s="1"/>
  <c r="AM112" i="2" a="1"/>
  <c r="AM112" i="2" s="1"/>
  <c r="AQ112" i="2" a="1"/>
  <c r="AQ112" i="2" s="1"/>
  <c r="AT112" i="2" a="1"/>
  <c r="AT112" i="2" s="1"/>
  <c r="AN112" i="2" a="1"/>
  <c r="AN112" i="2" s="1"/>
  <c r="AS112" i="2" a="1"/>
  <c r="AS112" i="2" s="1"/>
  <c r="DL60" i="2" a="1"/>
  <c r="DL60" i="2" s="1"/>
  <c r="AU104" i="2" s="1" a="1"/>
  <c r="AU104" i="2" s="1"/>
  <c r="DL64" i="2" a="1"/>
  <c r="DL64" i="2" s="1"/>
  <c r="AU108" i="2" s="1" a="1"/>
  <c r="AU108" i="2" s="1"/>
  <c r="CD61" i="2" a="1"/>
  <c r="CD61" i="2" s="1"/>
  <c r="CD64" i="2" a="1"/>
  <c r="CD64" i="2" s="1"/>
  <c r="CD67" i="2" a="1"/>
  <c r="CD67" i="2" s="1"/>
  <c r="CD58" i="2" a="1"/>
  <c r="CD58" i="2" s="1"/>
  <c r="CD63" i="2" a="1"/>
  <c r="CD63" i="2" s="1"/>
  <c r="CD69" i="2" a="1"/>
  <c r="CD69" i="2" s="1"/>
  <c r="CD60" i="2" a="1"/>
  <c r="CD60" i="2" s="1"/>
  <c r="CD59" i="2" a="1"/>
  <c r="CD59" i="2" s="1"/>
  <c r="CD65" i="2" a="1"/>
  <c r="CD65" i="2" s="1"/>
  <c r="CD62" i="2" a="1"/>
  <c r="CD62" i="2" s="1"/>
  <c r="CD66" i="2" a="1"/>
  <c r="CD66" i="2" s="1"/>
  <c r="CD68" i="2" a="1"/>
  <c r="CD68" i="2" s="1"/>
  <c r="BF108" i="2" a="1"/>
  <c r="BF108" i="2" s="1"/>
  <c r="AO107" i="2" a="1"/>
  <c r="AO107" i="2" s="1"/>
  <c r="AT107" i="2" a="1"/>
  <c r="AT107" i="2" s="1"/>
  <c r="AR107" i="2" a="1"/>
  <c r="AR107" i="2" s="1"/>
  <c r="AN107" i="2" a="1"/>
  <c r="AN107" i="2" s="1"/>
  <c r="AM107" i="2" a="1"/>
  <c r="AM107" i="2" s="1"/>
  <c r="AQ107" i="2" a="1"/>
  <c r="AQ107" i="2" s="1"/>
  <c r="AS107" i="2" a="1"/>
  <c r="AS107" i="2" s="1"/>
  <c r="AP107" i="2" a="1"/>
  <c r="AP107" i="2" s="1"/>
  <c r="BF110" i="2" a="1"/>
  <c r="BF110" i="2" s="1"/>
  <c r="AP109" i="2" a="1"/>
  <c r="AP109" i="2" s="1"/>
  <c r="AQ109" i="2" a="1"/>
  <c r="AQ109" i="2" s="1"/>
  <c r="AN109" i="2" a="1"/>
  <c r="AN109" i="2" s="1"/>
  <c r="AO109" i="2" a="1"/>
  <c r="AO109" i="2" s="1"/>
  <c r="AM109" i="2" a="1"/>
  <c r="AM109" i="2" s="1"/>
  <c r="AS109" i="2" a="1"/>
  <c r="AS109" i="2" s="1"/>
  <c r="AT109" i="2" a="1"/>
  <c r="AT109" i="2" s="1"/>
  <c r="AR109" i="2" a="1"/>
  <c r="AR109" i="2" s="1"/>
  <c r="DL69" i="2" a="1"/>
  <c r="DL69" i="2" s="1"/>
  <c r="AU113" i="2" s="1" a="1"/>
  <c r="AU113" i="2" s="1"/>
  <c r="DL61" i="2" a="1"/>
  <c r="DL61" i="2" s="1"/>
  <c r="AU105" i="2" s="1" a="1"/>
  <c r="AU105" i="2" s="1"/>
  <c r="BF109" i="2" a="1"/>
  <c r="BF109" i="2" s="1"/>
  <c r="AQ108" i="2" a="1"/>
  <c r="AQ108" i="2" s="1"/>
  <c r="AT108" i="2" a="1"/>
  <c r="AT108" i="2" s="1"/>
  <c r="AR108" i="2" a="1"/>
  <c r="AR108" i="2" s="1"/>
  <c r="AP108" i="2" a="1"/>
  <c r="AP108" i="2" s="1"/>
  <c r="AN108" i="2" a="1"/>
  <c r="AN108" i="2" s="1"/>
  <c r="AM108" i="2" a="1"/>
  <c r="AM108" i="2" s="1"/>
  <c r="AO108" i="2" a="1"/>
  <c r="AO108" i="2" s="1"/>
  <c r="AS108" i="2" a="1"/>
  <c r="AS108" i="2" s="1"/>
  <c r="AS113" i="2" a="1"/>
  <c r="AS113" i="2" s="1"/>
  <c r="AT113" i="2" a="1"/>
  <c r="AT113" i="2" s="1"/>
  <c r="AQ113" i="2" a="1"/>
  <c r="AQ113" i="2" s="1"/>
  <c r="AO113" i="2" a="1"/>
  <c r="AO113" i="2" s="1"/>
  <c r="AR113" i="2" a="1"/>
  <c r="AR113" i="2" s="1"/>
  <c r="AM113" i="2" a="1"/>
  <c r="AM113" i="2" s="1"/>
  <c r="AP113" i="2" a="1"/>
  <c r="AP113" i="2" s="1"/>
  <c r="AN113" i="2" a="1"/>
  <c r="AN113" i="2" s="1"/>
  <c r="DL67" i="2" a="1"/>
  <c r="DL67" i="2" s="1"/>
  <c r="AU111" i="2" s="1" a="1"/>
  <c r="AU111" i="2" s="1"/>
  <c r="DL68" i="2" a="1"/>
  <c r="DL68" i="2" s="1"/>
  <c r="AU112" i="2" s="1" a="1"/>
  <c r="AU112" i="2" s="1"/>
  <c r="BF103" i="2" a="1"/>
  <c r="BF103" i="2" s="1"/>
  <c r="AN102" i="2" a="1"/>
  <c r="AN102" i="2" s="1"/>
  <c r="AS102" i="2" a="1"/>
  <c r="AS102" i="2" s="1"/>
  <c r="AO102" i="2" a="1"/>
  <c r="AO102" i="2" s="1"/>
  <c r="AQ102" i="2" a="1"/>
  <c r="AQ102" i="2" s="1"/>
  <c r="AT102" i="2" a="1"/>
  <c r="AT102" i="2" s="1"/>
  <c r="AR102" i="2" a="1"/>
  <c r="AR102" i="2" s="1"/>
  <c r="AM102" i="2" a="1"/>
  <c r="AM102" i="2" s="1"/>
  <c r="AP102" i="2" a="1"/>
  <c r="AP102" i="2" s="1"/>
  <c r="DL65" i="2" a="1"/>
  <c r="DL65" i="2" s="1"/>
  <c r="AU109" i="2" s="1" a="1"/>
  <c r="AU109" i="2" s="1"/>
  <c r="BF107" i="2" a="1"/>
  <c r="BF107" i="2" s="1"/>
  <c r="AS106" i="2" a="1"/>
  <c r="AS106" i="2" s="1"/>
  <c r="AQ106" i="2" a="1"/>
  <c r="AQ106" i="2" s="1"/>
  <c r="AP106" i="2" a="1"/>
  <c r="AP106" i="2" s="1"/>
  <c r="AO106" i="2" a="1"/>
  <c r="AO106" i="2" s="1"/>
  <c r="AR106" i="2" a="1"/>
  <c r="AR106" i="2" s="1"/>
  <c r="AN106" i="2" a="1"/>
  <c r="AN106" i="2" s="1"/>
  <c r="AT106" i="2" a="1"/>
  <c r="AT106" i="2" s="1"/>
  <c r="AM106" i="2" a="1"/>
  <c r="AM106" i="2" s="1"/>
  <c r="DL66" i="2" a="1"/>
  <c r="DL66" i="2" s="1"/>
  <c r="AU110" i="2" s="1" a="1"/>
  <c r="AU110" i="2" s="1"/>
  <c r="BF106" i="2" a="1"/>
  <c r="BF106" i="2" s="1"/>
  <c r="AN105" i="2" a="1"/>
  <c r="AN105" i="2" s="1"/>
  <c r="AS105" i="2" a="1"/>
  <c r="AS105" i="2" s="1"/>
  <c r="AO105" i="2" a="1"/>
  <c r="AO105" i="2" s="1"/>
  <c r="AT105" i="2" a="1"/>
  <c r="AT105" i="2" s="1"/>
  <c r="AQ105" i="2" a="1"/>
  <c r="AQ105" i="2" s="1"/>
  <c r="AP105" i="2" a="1"/>
  <c r="AP105" i="2" s="1"/>
  <c r="AM105" i="2" a="1"/>
  <c r="AM105" i="2" s="1"/>
  <c r="AR105" i="2" a="1"/>
  <c r="AR105" i="2" s="1"/>
  <c r="AQ110" i="2" a="1"/>
  <c r="AQ110" i="2" s="1"/>
  <c r="AO110" i="2" a="1"/>
  <c r="AO110" i="2" s="1"/>
  <c r="AT110" i="2" a="1"/>
  <c r="AT110" i="2" s="1"/>
  <c r="AN110" i="2" a="1"/>
  <c r="AN110" i="2" s="1"/>
  <c r="AP110" i="2" a="1"/>
  <c r="AP110" i="2" s="1"/>
  <c r="AS110" i="2" a="1"/>
  <c r="AS110" i="2" s="1"/>
  <c r="AM110" i="2" a="1"/>
  <c r="AM110" i="2" s="1"/>
  <c r="AR110" i="2" a="1"/>
  <c r="AR110" i="2" s="1"/>
  <c r="BF104" i="2" a="1"/>
  <c r="BF104" i="2" s="1"/>
  <c r="AN103" i="2" a="1"/>
  <c r="AN103" i="2" s="1"/>
  <c r="AP103" i="2" a="1"/>
  <c r="AP103" i="2" s="1"/>
  <c r="AT103" i="2" a="1"/>
  <c r="AT103" i="2" s="1"/>
  <c r="AQ103" i="2" a="1"/>
  <c r="AQ103" i="2" s="1"/>
  <c r="AS103" i="2" a="1"/>
  <c r="AS103" i="2" s="1"/>
  <c r="AO103" i="2" a="1"/>
  <c r="AO103" i="2" s="1"/>
  <c r="AR103" i="2" a="1"/>
  <c r="AR103" i="2" s="1"/>
  <c r="AM103" i="2" a="1"/>
  <c r="AM103" i="2" s="1"/>
  <c r="DL63" i="2" a="1"/>
  <c r="DL63" i="2" s="1"/>
  <c r="AU107" i="2" s="1" a="1"/>
  <c r="AU107" i="2" s="1"/>
  <c r="BG103" i="2" l="1" a="1"/>
  <c r="BG103" i="2" s="1"/>
  <c r="DM63" i="2" a="1"/>
  <c r="DM63" i="2" s="1"/>
  <c r="DM64" i="2" a="1"/>
  <c r="DM64" i="2" s="1"/>
  <c r="BG108" i="2" a="1"/>
  <c r="BG108" i="2" s="1"/>
  <c r="BG104" i="2" a="1"/>
  <c r="BG104" i="2" s="1"/>
  <c r="BJ109" i="2" s="1" a="1"/>
  <c r="BJ109" i="2" s="1"/>
  <c r="BG109" i="2" a="1"/>
  <c r="BG109" i="2" s="1"/>
  <c r="BG110" i="2" a="1"/>
  <c r="BG110" i="2" s="1"/>
  <c r="DM61" i="2" a="1"/>
  <c r="DM61" i="2" s="1"/>
  <c r="DM60" i="2" a="1"/>
  <c r="DM60" i="2" s="1"/>
  <c r="BJ103" i="2" a="1"/>
  <c r="BJ103" i="2" s="1"/>
  <c r="BG107" i="2" a="1"/>
  <c r="BG107" i="2" s="1"/>
  <c r="DM69" i="2" a="1"/>
  <c r="DM69" i="2" s="1"/>
  <c r="BG106" i="2" a="1"/>
  <c r="BG106" i="2" s="1"/>
  <c r="DM68" i="2" a="1"/>
  <c r="DM68" i="2" s="1"/>
  <c r="BG105" i="2" a="1"/>
  <c r="BG105" i="2" s="1"/>
  <c r="DM65" i="2" a="1"/>
  <c r="DM65" i="2" s="1"/>
  <c r="AU101" i="2" a="1"/>
  <c r="AU101" i="2" s="1"/>
  <c r="AV100" i="2" s="1" a="1"/>
  <c r="AV100" i="2" s="1"/>
  <c r="DM66" i="2" a="1"/>
  <c r="DM66" i="2" s="1"/>
  <c r="DM67" i="2" a="1"/>
  <c r="DM67" i="2" s="1"/>
  <c r="DM58" i="2" a="1"/>
  <c r="DM58" i="2" s="1"/>
  <c r="DM62" i="2" a="1"/>
  <c r="DM62" i="2" s="1"/>
  <c r="DM59" i="2" a="1"/>
  <c r="DM59" i="2" s="1"/>
  <c r="BJ106" i="2" l="1" a="1"/>
  <c r="BJ106" i="2" s="1"/>
  <c r="BJ105" i="2" a="1"/>
  <c r="BJ105" i="2" s="1"/>
  <c r="BJ104" i="2" a="1"/>
  <c r="BJ104" i="2" s="1"/>
  <c r="BJ107" i="2" a="1"/>
  <c r="BJ107" i="2" s="1"/>
  <c r="BJ108" i="2" a="1"/>
  <c r="BJ108" i="2" s="1"/>
  <c r="BJ110" i="2" a="1"/>
  <c r="BJ110"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<sst xmlns="http://schemas.openxmlformats.org/spreadsheetml/2006/main" count="1770" uniqueCount="551">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</sst>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34" fillId="31" borderId="32" xfId="0" applyNumberFormat="1" applyFont="1" applyFill="1" applyBorder="1" applyAlignment="1">
      <alignment horizontal="left" vertical="center" wrapText="1"/>
    </xf>
    <xf numFmtId="0" fontId="0" fillId="3" borderId="32" xfId="0" applyFill="1" applyBorder="1"/>
    <xf numFmtId="49" fontId="77" fillId="6" borderId="5" xfId="0" applyNumberFormat="1" applyFont="1" applyFill="1" applyBorder="1" applyAlignment="1">
      <alignment horizontal="center" vertical="center"/>
    </xf>
    <xf numFmtId="0" fontId="0" fillId="3" borderId="5" xfId="0" applyFill="1" applyBorder="1"/>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0" fontId="0" fillId="3" borderId="27" xfId="0" applyFill="1" applyBorder="1"/>
    <xf numFmtId="49" fontId="31" fillId="30" borderId="100" xfId="0" applyNumberFormat="1" applyFont="1" applyFill="1" applyBorder="1" applyAlignment="1">
      <alignment horizontal="left" vertical="center" wrapText="1"/>
    </xf>
    <xf numFmtId="0" fontId="0" fillId="3" borderId="100" xfId="0" applyFill="1" applyBorder="1"/>
    <xf numFmtId="0" fontId="0" fillId="3" borderId="101" xfId="0" applyFill="1" applyBorder="1"/>
    <xf numFmtId="49" fontId="76" fillId="27" borderId="6" xfId="0" applyNumberFormat="1" applyFont="1" applyFill="1" applyBorder="1" applyAlignment="1">
      <alignment horizontal="center" vertical="top"/>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76" fillId="6" borderId="5"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49" fontId="31" fillId="31" borderId="6" xfId="0" applyNumberFormat="1" applyFont="1" applyFill="1" applyBorder="1" applyAlignment="1">
      <alignment horizontal="left" vertical="center" wrapText="1"/>
    </xf>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76" fillId="13" borderId="5" xfId="0" applyNumberFormat="1" applyFont="1" applyFill="1" applyBorder="1" applyAlignment="1">
      <alignment horizontal="center" vertical="center"/>
    </xf>
    <xf numFmtId="49" fontId="31" fillId="31" borderId="32" xfId="0" applyNumberFormat="1" applyFont="1" applyFill="1" applyBorder="1" applyAlignment="1">
      <alignment horizontal="left" vertical="center" wrapText="1"/>
    </xf>
    <xf numFmtId="49" fontId="31" fillId="35" borderId="6" xfId="0" applyNumberFormat="1" applyFont="1" applyFill="1" applyBorder="1" applyAlignment="1">
      <alignment horizontal="left" vertical="center" wrapText="1"/>
    </xf>
    <xf numFmtId="49" fontId="76" fillId="28" borderId="6" xfId="0" applyNumberFormat="1" applyFont="1" applyFill="1" applyBorder="1" applyAlignment="1">
      <alignment horizontal="center" vertical="top"/>
    </xf>
    <xf numFmtId="49" fontId="31" fillId="31" borderId="100" xfId="0" applyNumberFormat="1" applyFont="1" applyFill="1" applyBorder="1" applyAlignment="1">
      <alignment horizontal="left" vertical="center" wrapText="1"/>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6" fillId="33" borderId="6" xfId="0" applyNumberFormat="1" applyFont="1" applyFill="1" applyBorder="1" applyAlignment="1">
      <alignment horizontal="center" vertical="top" wrapText="1"/>
    </xf>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091B-96A1-F843-A41D-A7E0C61D9B0D}">
  <dimension ref="A1:D16"/>
  <sheetViews>
    <sheetView workbookViewId="0">
      <selection activeCell="G17" sqref="G17"/>
    </sheetView>
  </sheetViews>
  <sheetFormatPr baseColWidth="10" defaultRowHeight="15" x14ac:dyDescent="0.2"/>
  <sheetData>
    <row r="1" spans="1:4" x14ac:dyDescent="0.2">
      <c r="A1" s="749" t="s">
        <v>111</v>
      </c>
      <c r="B1">
        <v>1</v>
      </c>
      <c r="C1">
        <v>3</v>
      </c>
      <c r="D1" s="749" t="s">
        <v>122</v>
      </c>
    </row>
    <row r="2" spans="1:4" x14ac:dyDescent="0.2">
      <c r="A2" s="749" t="s">
        <v>131</v>
      </c>
      <c r="B2">
        <v>3</v>
      </c>
      <c r="C2">
        <v>0</v>
      </c>
      <c r="D2" s="749" t="s">
        <v>159</v>
      </c>
    </row>
    <row r="3" spans="1:4" x14ac:dyDescent="0.2">
      <c r="A3" s="749" t="s">
        <v>148</v>
      </c>
      <c r="B3">
        <v>3</v>
      </c>
      <c r="C3">
        <v>0</v>
      </c>
      <c r="D3" s="749" t="s">
        <v>142</v>
      </c>
    </row>
    <row r="4" spans="1:4" x14ac:dyDescent="0.2">
      <c r="A4" s="749" t="s">
        <v>157</v>
      </c>
      <c r="B4">
        <v>2</v>
      </c>
      <c r="C4">
        <v>1</v>
      </c>
      <c r="D4" s="749" t="s">
        <v>133</v>
      </c>
    </row>
    <row r="5" spans="1:4" x14ac:dyDescent="0.2">
      <c r="A5" s="749" t="s">
        <v>152</v>
      </c>
      <c r="B5">
        <v>0</v>
      </c>
      <c r="C5">
        <v>3</v>
      </c>
      <c r="D5" s="749" t="s">
        <v>189</v>
      </c>
    </row>
    <row r="6" spans="1:4" x14ac:dyDescent="0.2">
      <c r="A6" s="749" t="s">
        <v>183</v>
      </c>
      <c r="B6">
        <v>3</v>
      </c>
      <c r="C6">
        <v>1</v>
      </c>
      <c r="D6" s="749" t="s">
        <v>161</v>
      </c>
    </row>
    <row r="7" spans="1:4" x14ac:dyDescent="0.2">
      <c r="A7" s="749" t="s">
        <v>49</v>
      </c>
      <c r="B7">
        <v>1</v>
      </c>
      <c r="C7">
        <v>1</v>
      </c>
      <c r="D7" s="749" t="s">
        <v>154</v>
      </c>
    </row>
    <row r="8" spans="1:4" x14ac:dyDescent="0.2">
      <c r="A8" s="749" t="s">
        <v>209</v>
      </c>
      <c r="B8">
        <v>3</v>
      </c>
      <c r="C8">
        <v>0</v>
      </c>
      <c r="D8" s="749" t="s">
        <v>202</v>
      </c>
    </row>
    <row r="9" spans="1:4" x14ac:dyDescent="0.2">
      <c r="A9" s="749" t="s">
        <v>165</v>
      </c>
      <c r="B9">
        <v>2</v>
      </c>
      <c r="C9">
        <v>1</v>
      </c>
      <c r="D9" s="749" t="s">
        <v>185</v>
      </c>
    </row>
    <row r="10" spans="1:4" x14ac:dyDescent="0.2">
      <c r="A10" s="749" t="s">
        <v>140</v>
      </c>
      <c r="B10">
        <v>2</v>
      </c>
      <c r="C10">
        <v>0</v>
      </c>
      <c r="D10" s="749" t="s">
        <v>124</v>
      </c>
    </row>
    <row r="11" spans="1:4" x14ac:dyDescent="0.2">
      <c r="A11" s="749" t="s">
        <v>174</v>
      </c>
      <c r="B11">
        <v>3</v>
      </c>
      <c r="C11">
        <v>0</v>
      </c>
      <c r="D11" s="749" t="s">
        <v>195</v>
      </c>
    </row>
    <row r="12" spans="1:4" x14ac:dyDescent="0.2">
      <c r="A12" s="749" t="s">
        <v>200</v>
      </c>
      <c r="B12">
        <v>2</v>
      </c>
      <c r="C12">
        <v>1</v>
      </c>
      <c r="D12" s="749" t="s">
        <v>211</v>
      </c>
    </row>
    <row r="13" spans="1:4" x14ac:dyDescent="0.2">
      <c r="A13" s="749" t="s">
        <v>128</v>
      </c>
      <c r="B13">
        <v>2</v>
      </c>
      <c r="C13">
        <v>0</v>
      </c>
      <c r="D13" s="749" t="s">
        <v>193</v>
      </c>
    </row>
    <row r="14" spans="1:4" x14ac:dyDescent="0.2">
      <c r="A14" s="749" t="s">
        <v>144</v>
      </c>
      <c r="B14">
        <v>1</v>
      </c>
      <c r="C14">
        <v>2</v>
      </c>
      <c r="D14" s="749" t="s">
        <v>167</v>
      </c>
    </row>
    <row r="15" spans="1:4" x14ac:dyDescent="0.2">
      <c r="A15" s="749" t="s">
        <v>191</v>
      </c>
      <c r="B15">
        <v>4</v>
      </c>
      <c r="C15">
        <v>0</v>
      </c>
      <c r="D15" s="749" t="s">
        <v>176</v>
      </c>
    </row>
    <row r="16" spans="1:4" x14ac:dyDescent="0.2">
      <c r="A16" s="749" t="s">
        <v>206</v>
      </c>
      <c r="B16">
        <v>3</v>
      </c>
      <c r="C16">
        <v>1</v>
      </c>
      <c r="D16" s="749"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DA041-77C0-4345-9B2A-2659720DAFD7}">
  <dimension ref="A1:D8"/>
  <sheetViews>
    <sheetView workbookViewId="0">
      <selection activeCell="J8" sqref="I1:J8"/>
    </sheetView>
  </sheetViews>
  <sheetFormatPr baseColWidth="10" defaultRowHeight="15" x14ac:dyDescent="0.2"/>
  <sheetData>
    <row r="1" spans="1:4" x14ac:dyDescent="0.2">
      <c r="A1" t="s">
        <v>122</v>
      </c>
      <c r="B1">
        <v>1</v>
      </c>
      <c r="C1">
        <v>3</v>
      </c>
      <c r="D1" t="s">
        <v>133</v>
      </c>
    </row>
    <row r="2" spans="1:4" x14ac:dyDescent="0.2">
      <c r="A2" t="s">
        <v>142</v>
      </c>
      <c r="B2">
        <v>0</v>
      </c>
      <c r="C2">
        <v>2</v>
      </c>
      <c r="D2" t="s">
        <v>183</v>
      </c>
    </row>
    <row r="3" spans="1:4" x14ac:dyDescent="0.2">
      <c r="A3" t="s">
        <v>131</v>
      </c>
      <c r="B3">
        <v>2</v>
      </c>
      <c r="C3">
        <v>1</v>
      </c>
      <c r="D3" t="s">
        <v>189</v>
      </c>
    </row>
    <row r="4" spans="1:4" x14ac:dyDescent="0.2">
      <c r="A4" t="s">
        <v>49</v>
      </c>
      <c r="B4">
        <v>1</v>
      </c>
      <c r="C4">
        <v>2</v>
      </c>
      <c r="D4" t="s">
        <v>209</v>
      </c>
    </row>
    <row r="5" spans="1:4" x14ac:dyDescent="0.2">
      <c r="A5" t="s">
        <v>200</v>
      </c>
      <c r="B5">
        <v>1</v>
      </c>
      <c r="C5">
        <v>3</v>
      </c>
      <c r="D5" t="s">
        <v>174</v>
      </c>
    </row>
    <row r="6" spans="1:4" x14ac:dyDescent="0.2">
      <c r="A6" t="s">
        <v>140</v>
      </c>
      <c r="B6">
        <v>1</v>
      </c>
      <c r="C6">
        <v>0</v>
      </c>
      <c r="D6" t="s">
        <v>165</v>
      </c>
    </row>
    <row r="7" spans="1:4" x14ac:dyDescent="0.2">
      <c r="A7" t="s">
        <v>191</v>
      </c>
      <c r="B7">
        <v>3</v>
      </c>
      <c r="C7">
        <v>0</v>
      </c>
      <c r="D7" t="s">
        <v>167</v>
      </c>
    </row>
    <row r="8" spans="1:4" x14ac:dyDescent="0.2">
      <c r="A8" t="s">
        <v>128</v>
      </c>
      <c r="B8">
        <v>2</v>
      </c>
      <c r="C8">
        <v>3</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19A2-6F59-1B4F-9978-3FB912BBE5BB}">
  <dimension ref="A1:D4"/>
  <sheetViews>
    <sheetView workbookViewId="0">
      <selection activeCell="K4" sqref="J1:K4"/>
    </sheetView>
  </sheetViews>
  <sheetFormatPr baseColWidth="10" defaultRowHeight="15" x14ac:dyDescent="0.2"/>
  <sheetData>
    <row r="1" spans="1:4" x14ac:dyDescent="0.2">
      <c r="A1" s="749" t="s">
        <v>183</v>
      </c>
      <c r="B1">
        <v>3</v>
      </c>
      <c r="C1">
        <v>1</v>
      </c>
      <c r="D1" s="749" t="s">
        <v>133</v>
      </c>
    </row>
    <row r="2" spans="1:4" x14ac:dyDescent="0.2">
      <c r="A2" s="749" t="s">
        <v>174</v>
      </c>
      <c r="B2">
        <v>2</v>
      </c>
      <c r="C2">
        <v>0</v>
      </c>
      <c r="D2" s="749" t="s">
        <v>165</v>
      </c>
    </row>
    <row r="3" spans="1:4" x14ac:dyDescent="0.2">
      <c r="A3" s="749" t="s">
        <v>189</v>
      </c>
      <c r="B3">
        <v>2</v>
      </c>
      <c r="C3">
        <v>2</v>
      </c>
      <c r="D3" s="749" t="s">
        <v>209</v>
      </c>
    </row>
    <row r="4" spans="1:4" x14ac:dyDescent="0.2">
      <c r="A4" s="749" t="s">
        <v>191</v>
      </c>
      <c r="B4">
        <v>2</v>
      </c>
      <c r="C4">
        <v>0</v>
      </c>
      <c r="D4" s="74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498DB-EB87-5844-A138-48E5E6E78C0C}">
  <dimension ref="A1:D3"/>
  <sheetViews>
    <sheetView workbookViewId="0">
      <selection activeCell="B3" sqref="B3"/>
    </sheetView>
  </sheetViews>
  <sheetFormatPr baseColWidth="10" defaultRowHeight="15" x14ac:dyDescent="0.2"/>
  <sheetData>
    <row r="1" spans="1:4" x14ac:dyDescent="0.2">
      <c r="A1" s="749" t="s">
        <v>183</v>
      </c>
      <c r="B1" s="749">
        <v>3</v>
      </c>
      <c r="C1" s="749">
        <v>1</v>
      </c>
      <c r="D1" s="749" t="s">
        <v>174</v>
      </c>
    </row>
    <row r="2" spans="1:4" x14ac:dyDescent="0.2">
      <c r="A2" s="749" t="s">
        <v>209</v>
      </c>
      <c r="B2" s="749">
        <v>1</v>
      </c>
      <c r="C2" s="749">
        <v>2</v>
      </c>
      <c r="D2" s="749" t="s">
        <v>191</v>
      </c>
    </row>
    <row r="3" spans="1:4" x14ac:dyDescent="0.2">
      <c r="A3" t="s">
        <v>183</v>
      </c>
      <c r="B3">
        <v>3</v>
      </c>
      <c r="C3">
        <v>1</v>
      </c>
      <c r="D3" t="s">
        <v>209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556A-1893-E146-8C18-70C01D5F2F51}">
  <dimension ref="A1:D1"/>
  <sheetViews>
    <sheetView tabSelected="1" workbookViewId="0">
      <selection activeCell="E10" sqref="E10"/>
    </sheetView>
  </sheetViews>
  <sheetFormatPr baseColWidth="10" defaultRowHeight="15" x14ac:dyDescent="0.2"/>
  <sheetData>
    <row r="1" spans="1:4" x14ac:dyDescent="0.2">
      <c r="A1" t="s">
        <v>174</v>
      </c>
      <c r="B1">
        <v>2</v>
      </c>
      <c r="C1">
        <v>1</v>
      </c>
      <c r="D1" t="s">
        <v>191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82" t="s">
        <v>0</v>
      </c>
      <c r="X1" s="783"/>
      <c r="Y1" s="783"/>
      <c r="Z1" s="783"/>
      <c r="AA1" s="783"/>
      <c r="AB1" s="783"/>
      <c r="AC1" s="783"/>
      <c r="AD1" s="783"/>
      <c r="AE1" s="783"/>
      <c r="AF1" s="783"/>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87"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70" t="str" cm="1">
        <f t="array" ref="AJ4">CONCATENATE(AJ3," ",B4)</f>
        <v>Grupo A</v>
      </c>
      <c r="AK4" s="771"/>
      <c r="AL4" s="771"/>
      <c r="AM4" s="771"/>
      <c r="AN4" s="771"/>
      <c r="AO4" s="771"/>
      <c r="AP4" s="771"/>
      <c r="AQ4" s="771"/>
      <c r="AR4" s="771"/>
      <c r="AS4" s="771"/>
      <c r="AT4" s="772"/>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77"/>
      <c r="X5" s="96">
        <v>46184.916666666657</v>
      </c>
      <c r="Y5" s="97">
        <v>46184.916666666657</v>
      </c>
      <c r="Z5" s="113" t="str" cm="1">
        <f t="array" ref="Z5">$Z$4</f>
        <v>J1</v>
      </c>
      <c r="AA5" s="99" t="str" cm="1">
        <f t="array" ref="AA5">A7</f>
        <v>Corea del Sur</v>
      </c>
      <c r="AB5" s="100"/>
      <c r="AC5" s="114">
        <v>1</v>
      </c>
      <c r="AD5" s="114">
        <v>0</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Visitante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78"/>
      <c r="X6" s="96">
        <v>46191.5</v>
      </c>
      <c r="Y6" s="97">
        <v>46191.5</v>
      </c>
      <c r="Z6" s="98" t="s">
        <v>112</v>
      </c>
      <c r="AA6" s="99" t="str" cm="1">
        <f t="array" ref="AA6">A8</f>
        <v>República Checa</v>
      </c>
      <c r="AB6" s="100"/>
      <c r="AC6" s="114">
        <v>1</v>
      </c>
      <c r="AD6" s="114">
        <v>2</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6</v>
      </c>
      <c r="AN6" s="131" cm="1">
        <f t="array" ref="AN6">INDEX($BE$6:$BN$53,MATCH($AL6,$BD$6:$BD$53,0),MATCH(AN$5,$BE$5:$BN$5,0))</f>
        <v>3</v>
      </c>
      <c r="AO6" s="131" cm="1">
        <f t="array" ref="AO6">INDEX($BE$6:$BN$53,MATCH($AL6,$BD$6:$BD$53,0),MATCH(AO$5,$BE$5:$BN$5,0))</f>
        <v>2</v>
      </c>
      <c r="AP6" s="131" cm="1">
        <f t="array" ref="AP6">INDEX($BE$6:$BN$53,MATCH($AL6,$BD$6:$BD$53,0),MATCH(AP$5,$BE$5:$BN$5,0))</f>
        <v>0</v>
      </c>
      <c r="AQ6" s="131" cm="1">
        <f t="array" ref="AQ6">INDEX($BE$6:$BN$53,MATCH($AL6,$BD$6:$BD$53,0),MATCH(AQ$5,$BE$5:$BN$5,0))</f>
        <v>1</v>
      </c>
      <c r="AR6" s="131" cm="1">
        <f t="array" ref="AR6">INDEX($BE$6:$BN$53,MATCH($AL6,$BD$6:$BD$53,0),MATCH(AR$5,$BE$5:$BN$5,0))</f>
        <v>3</v>
      </c>
      <c r="AS6" s="131" cm="1">
        <f t="array" ref="AS6">INDEX($BE$6:$BN$53,MATCH($AL6,$BD$6:$BD$53,0),MATCH(AS$5,$BE$5:$BN$5,0))</f>
        <v>3</v>
      </c>
      <c r="AT6" s="132" cm="1">
        <f t="array" ref="AT6">INDEX($BE$6:$BN$53,MATCH($AL6,$BD$6:$BD$53,0),MATCH(AT$5,$BE$5:$BN$5,0))</f>
        <v>0</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6</v>
      </c>
      <c r="BF6" s="139" cm="1">
        <f t="array" ref="BF6">BG6+BH6+BI6</f>
        <v>3</v>
      </c>
      <c r="BG6" s="139" cm="1">
        <f t="array" ref="BG6">COUNTIFS($AA$4:$AA$97,BD6,$D$4:$D$97,"Local")+COUNTIFS($AF$4:$AF$97,BD6,$D$4:$D$97,"Visitante")</f>
        <v>2</v>
      </c>
      <c r="BH6" s="139" cm="1">
        <f t="array" ref="BH6">COUNTIFS($AA$4:$AA$97,BD6,$D$4:$D$97,"Empate")+COUNTIFS($AF$4:$AF$97,BD6,$D$4:$D$97,"Empate")</f>
        <v>0</v>
      </c>
      <c r="BI6" s="139" cm="1">
        <f t="array" ref="BI6">COUNTIFS($AF$4:$AF$97,BD6,$D$4:$D$97,"Local")+COUNTIFS($AA$4:$AA$97,BD6,$D$4:$D$97,"Visitante")</f>
        <v>1</v>
      </c>
      <c r="BJ6" s="139" cm="1">
        <f t="array" ref="BJ6">SUMIFS($AC$4:$AC$97,$AA$4:$AA$97,BD6,$D$4:$D$97,"&lt;&gt;"&amp;"Pendiente",$AC$4:$AC$97,"&lt;&gt;"&amp;"",$AD$4:$AD$97,"&lt;&gt;"&amp;"")+SUMIFS($AD$4:$AD$97,$AF$4:$AF$97,BD6,$D$4:$D$97,"&lt;&gt;"&amp;"Pendiente",$AC$4:$AC$97,"&lt;&gt;"&amp;"",$AD$4:$AD$97,"&lt;&gt;"&amp;"")</f>
        <v>3</v>
      </c>
      <c r="BK6" s="139" cm="1">
        <f t="array" ref="BK6">SUMIFS($AC$4:$AC$97,$AF$4:$AF$97,BD6,$D$4:$D$97,"&lt;&gt;"&amp;"Pendiente",$AC$4:$AC$97,"&lt;&gt;"&amp;"",$AD$4:$AD$97,"&lt;&gt;"&amp;"")+SUMIFS($AD$4:$AD$97,$AA$4:$AA$97,BD6,$D$4:$D$97,"&lt;&gt;"&amp;"Pendiente",$AC$4:$AC$97,"&lt;&gt;"&amp;"",$AD$4:$AD$97,"&lt;&gt;"&amp;"")</f>
        <v>3</v>
      </c>
      <c r="BL6" s="139" cm="1">
        <f t="array" ref="BL6">BJ6-BK6</f>
        <v>0</v>
      </c>
      <c r="BM6" s="126" t="str" cm="1">
        <f t="array" ref="BM6">DD6&amp;BC6</f>
        <v>1A</v>
      </c>
      <c r="BN6" s="126" t="str" cm="1">
        <f t="array" ref="BN6">DH6&amp;BC6</f>
        <v>1A</v>
      </c>
      <c r="BO6" s="139" cm="1">
        <f t="array" ref="BO6">IF(AND($AJ$99=144,BF6&gt;=1),1,0)</f>
        <v>0</v>
      </c>
      <c r="BP6" s="139">
        <v>1</v>
      </c>
      <c r="BQ6" s="112" t="s">
        <v>113</v>
      </c>
      <c r="BR6" s="139" cm="1">
        <f t="array" ref="BR6">IF($BQ6="-","-",BE6)</f>
        <v>6</v>
      </c>
      <c r="BS6" s="139">
        <v>1</v>
      </c>
      <c r="BT6" s="112" t="s">
        <v>113</v>
      </c>
      <c r="BU6" s="139" cm="1">
        <f t="array" ref="BU6">IF($BT6="-","-",COUNTIFS($AA$4:$AA$97,$BD6,$D$4:$D$97,"Local",$F$4:$F$97,$BT6)+COUNTIFS($AF$4:$AF$97,$BD6,$D$4:$D$97,"Visitante",$E$4:$E$97,$BT6))</f>
        <v>2</v>
      </c>
      <c r="BV6" s="139" cm="1">
        <f t="array" ref="BV6">IF($BT6="-","-",COUNTIFS($AA$4:$AA$97,$BD6,$D$4:$D$97,"Empate",$F$4:$F$97,$BT6)+COUNTIFS($AF$4:$AF$97,$BD6,$D$4:$D$97,"Empate",$E$4:$E$97,$BT6))</f>
        <v>0</v>
      </c>
      <c r="BW6" s="139" cm="1">
        <f t="array" ref="BW6">IF($BT6="-","-",COUNTIFS($AA$4:$AA$97,$BD6,$D$4:$D$97,"Visitante",$F$4:$F$97,$BT6)+COUNTIFS($AF$4:$AF$97,$BD6,$D$4:$D$97,"Local",$E$4:$E$97,$BT6))</f>
        <v>1</v>
      </c>
      <c r="BX6" s="139" cm="1">
        <f t="array" ref="BX6">IF($BT6="-","-",BU6*3+BV6)</f>
        <v>6</v>
      </c>
      <c r="BY6" s="139">
        <v>1</v>
      </c>
      <c r="BZ6" s="112" t="s">
        <v>113</v>
      </c>
      <c r="CA6" s="139" cm="1">
        <f t="array" ref="CA6">IF($BZ6="-","-",SUMIFS($AC$4:$AC$97,$AA$4:$AA$97,$BD6,$I$4:$I$97,$BZ6)+SUMIFS($AD$4:$AD$97,$AF$4:$AF$97,$BD6,$H$4:$H$97,$BZ6))</f>
        <v>3</v>
      </c>
      <c r="CB6" s="139" cm="1">
        <f t="array" ref="CB6">IF($BZ6="-","-",SUMIFS($AD$4:$AD$97,$AA$4:$AA$97,$BD6,$I$4:$I$97,$BZ6)+SUMIFS($AC$4:$AC$97,$AF$4:$AF$97,$BD6,$H$4:$H$97,$BZ6))</f>
        <v>3</v>
      </c>
      <c r="CC6" s="139" cm="1">
        <f t="array" ref="CC6">IF($BZ6="-","-",CA6-CB6)</f>
        <v>0</v>
      </c>
      <c r="CD6" s="139">
        <v>1</v>
      </c>
      <c r="CE6" s="112" t="s">
        <v>113</v>
      </c>
      <c r="CF6" s="139" cm="1">
        <f t="array" ref="CF6">IF($CE6="-","-",SUMIFS($AC$4:$AC$97,$AA$4:$AA$97,$BD6,$L$4:$L$97,$CE6)+SUMIFS($AD$4:$AD$97,$AF$4:$AF$97,$BD6,$K$4:$K$97,$CE6))</f>
        <v>3</v>
      </c>
      <c r="CG6" s="139">
        <v>1</v>
      </c>
      <c r="CH6" s="112" t="s">
        <v>113</v>
      </c>
      <c r="CI6" s="139" cm="1">
        <f t="array" ref="CI6">IF($CH6="-","-",COUNTIFS($AA$4:$AA$97,$BD6,$D$4:$D$97,"Local",$O$4:$O$97,$CH6)+COUNTIFS($AF$4:$AF$97,$BD6,$D$4:$D$97,"Visitante",$N$4:$N$97,$CH6))</f>
        <v>2</v>
      </c>
      <c r="CJ6" s="139" cm="1">
        <f t="array" ref="CJ6">IF($CH6="-","-",COUNTIFS($AA$4:$AA$97,$BD6,$D$4:$D$97,"Empate",$O$4:$O$97,$CH6)+COUNTIFS($AF$4:$AF$97,$BD6,$D$4:$D$97,"Empate",$N$4:$N$97,$CH6))</f>
        <v>0</v>
      </c>
      <c r="CK6" s="139" cm="1">
        <f t="array" ref="CK6">IF($CH6="-","-",COUNTIFS($AA$4:$AA$97,$BD6,$D$4:$D$97,"Visitante",$O$4:$O$97,$CH6)+COUNTIFS($AF$4:$AF$97,$BD6,$D$4:$D$97,"Local",$N$4:$N$97,$CH6))</f>
        <v>1</v>
      </c>
      <c r="CL6" s="139" cm="1">
        <f t="array" ref="CL6">IF($CH6="-","-",CI6*3+CJ6)</f>
        <v>6</v>
      </c>
      <c r="CM6" s="139">
        <v>1</v>
      </c>
      <c r="CN6" s="112" t="s">
        <v>113</v>
      </c>
      <c r="CO6" s="139" cm="1">
        <f t="array" ref="CO6">IF($CN6="-","-",SUMIFS($AC$4:$AC$97,$AA$4:$AA$97,$BD6,$R$4:$R$97,$CN6)+SUMIFS($AD$4:$AD$97,$AF$4:$AF$97,$BD6,$Q$4:$Q$97,$CN6))</f>
        <v>3</v>
      </c>
      <c r="CP6" s="139" cm="1">
        <f t="array" ref="CP6">IF($CN6="-","-",SUMIFS($AD$4:$AD$97,$AA$4:$AA$97,$BD6,$R$4:$R$97,$CN6)+SUMIFS($AC$4:$AC$97,$AF$4:$AF$97,$BD6,$Q$4:$Q$97,$CN6))</f>
        <v>3</v>
      </c>
      <c r="CQ6" s="139" cm="1">
        <f t="array" ref="CQ6">IF($CN6="-","-",CO6-CP6)</f>
        <v>0</v>
      </c>
      <c r="CR6" s="139">
        <v>1</v>
      </c>
      <c r="CS6" s="112" t="s">
        <v>113</v>
      </c>
      <c r="CT6" s="139" cm="1">
        <f t="array" ref="CT6">IF($CS6="-","-",SUMIFS($AC$4:$AC$97,$AA$4:$AA$97,$BD6,$U$4:$U$97,$CS6)+SUMIFS($AD$4:$AD$97,$AF$4:$AF$97,$BD6,$T$4:$T$97,$CS6))</f>
        <v>3</v>
      </c>
      <c r="CU6" s="139">
        <v>1</v>
      </c>
      <c r="CV6" s="112" t="s">
        <v>113</v>
      </c>
      <c r="CW6" s="139" cm="1">
        <f t="array" ref="CW6">IF(CV6="-","-",BL6)</f>
        <v>0</v>
      </c>
      <c r="CX6" s="139">
        <v>1</v>
      </c>
      <c r="CY6" s="112" t="s">
        <v>113</v>
      </c>
      <c r="CZ6" s="139" cm="1">
        <f t="array" ref="CZ6">IF(CY6="-","-",BJ6)</f>
        <v>3</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Visitante</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78"/>
      <c r="X7" s="96">
        <v>46191.875</v>
      </c>
      <c r="Y7" s="97">
        <v>46191.875</v>
      </c>
      <c r="Z7" s="113" t="str" cm="1">
        <f t="array" ref="Z7">$Z$6</f>
        <v>J2</v>
      </c>
      <c r="AA7" s="99" t="str" cm="1">
        <f t="array" ref="AA7">A5</f>
        <v>México</v>
      </c>
      <c r="AB7" s="100"/>
      <c r="AC7" s="114">
        <v>0</v>
      </c>
      <c r="AD7" s="114">
        <v>2</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3</v>
      </c>
      <c r="AN7" s="144" cm="1">
        <f t="array" ref="AN7">INDEX($BE$6:$BN$53,MATCH($AL7,$BD$6:$BD$53,0),MATCH(AN$5,$BE$5:$BN$5,0))</f>
        <v>3</v>
      </c>
      <c r="AO7" s="144" cm="1">
        <f t="array" ref="AO7">INDEX($BE$6:$BN$53,MATCH($AL7,$BD$6:$BD$53,0),MATCH(AO$5,$BE$5:$BN$5,0))</f>
        <v>1</v>
      </c>
      <c r="AP7" s="144" cm="1">
        <f t="array" ref="AP7">INDEX($BE$6:$BN$53,MATCH($AL7,$BD$6:$BD$53,0),MATCH(AP$5,$BE$5:$BN$5,0))</f>
        <v>0</v>
      </c>
      <c r="AQ7" s="144" cm="1">
        <f t="array" ref="AQ7">INDEX($BE$6:$BN$53,MATCH($AL7,$BD$6:$BD$53,0),MATCH(AQ$5,$BE$5:$BN$5,0))</f>
        <v>2</v>
      </c>
      <c r="AR7" s="144" cm="1">
        <f t="array" ref="AR7">INDEX($BE$6:$BN$53,MATCH($AL7,$BD$6:$BD$53,0),MATCH(AR$5,$BE$5:$BN$5,0))</f>
        <v>4</v>
      </c>
      <c r="AS7" s="144" cm="1">
        <f t="array" ref="AS7">INDEX($BE$6:$BN$53,MATCH($AL7,$BD$6:$BD$53,0),MATCH(AS$5,$BE$5:$BN$5,0))</f>
        <v>5</v>
      </c>
      <c r="AT7" s="145" cm="1">
        <f t="array" ref="AT7">INDEX($BE$6:$BN$53,MATCH($AL7,$BD$6:$BD$53,0),MATCH(AT$5,$BE$5:$BN$5,0))</f>
        <v>-1</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3</v>
      </c>
      <c r="BF7" s="139" cm="1">
        <f t="array" ref="BF7">BG7+BH7+BI7</f>
        <v>3</v>
      </c>
      <c r="BG7" s="139" cm="1">
        <f t="array" ref="BG7">COUNTIFS($AA$4:$AA$97,BD7,$D$4:$D$97,"Local")+COUNTIFS($AF$4:$AF$97,BD7,$D$4:$D$97,"Visitante")</f>
        <v>1</v>
      </c>
      <c r="BH7" s="139" cm="1">
        <f t="array" ref="BH7">COUNTIFS($AA$4:$AA$97,BD7,$D$4:$D$97,"Empate")+COUNTIFS($AF$4:$AF$97,BD7,$D$4:$D$97,"Empate")</f>
        <v>0</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4</v>
      </c>
      <c r="BK7" s="139" cm="1">
        <f t="array" ref="BK7">SUMIFS($AC$4:$AC$97,$AF$4:$AF$97,BD7,$D$4:$D$97,"&lt;&gt;"&amp;"Pendiente",$AC$4:$AC$97,"&lt;&gt;"&amp;"",$AD$4:$AD$97,"&lt;&gt;"&amp;"")+SUMIFS($AD$4:$AD$97,$AA$4:$AA$97,BD7,$D$4:$D$97,"&lt;&gt;"&amp;"Pendiente",$AC$4:$AC$97,"&lt;&gt;"&amp;"",$AD$4:$AD$97,"&lt;&gt;"&amp;"")</f>
        <v>5</v>
      </c>
      <c r="BL7" s="139" cm="1">
        <f t="array" ref="BL7">BJ7-BK7</f>
        <v>-1</v>
      </c>
      <c r="BM7" s="126" t="str" cm="1">
        <f t="array" ref="BM7">DD7&amp;BC7</f>
        <v>2A</v>
      </c>
      <c r="BN7" s="126" t="str" cm="1">
        <f t="array" ref="BN7">DH7&amp;BC7</f>
        <v>2A</v>
      </c>
      <c r="BO7" s="139" cm="1">
        <f t="array" ref="BO7">IF(AND($AJ$99=144,BF7&gt;=1),1,0)</f>
        <v>0</v>
      </c>
      <c r="BP7" s="139">
        <v>1</v>
      </c>
      <c r="BQ7" s="112" t="s">
        <v>113</v>
      </c>
      <c r="BR7" s="139" cm="1">
        <f t="array" ref="BR7">IF($BQ7="-","-",BE7)</f>
        <v>3</v>
      </c>
      <c r="BS7" s="139">
        <v>1</v>
      </c>
      <c r="BT7" s="112" t="s">
        <v>113</v>
      </c>
      <c r="BU7" s="139" cm="1">
        <f t="array" ref="BU7">IF($BT7="-","-",COUNTIFS($AA$4:$AA$97,$BD7,$D$4:$D$97,"Local",$F$4:$F$97,$BT7)+COUNTIFS($AF$4:$AF$97,$BD7,$D$4:$D$97,"Visitante",$E$4:$E$97,$BT7))</f>
        <v>1</v>
      </c>
      <c r="BV7" s="139" cm="1">
        <f t="array" ref="BV7">IF($BT7="-","-",COUNTIFS($AA$4:$AA$97,$BD7,$D$4:$D$97,"Empate",$F$4:$F$97,$BT7)+COUNTIFS($AF$4:$AF$97,$BD7,$D$4:$D$97,"Empate",$E$4:$E$97,$BT7))</f>
        <v>0</v>
      </c>
      <c r="BW7" s="139" cm="1">
        <f t="array" ref="BW7">IF($BT7="-","-",COUNTIFS($AA$4:$AA$97,$BD7,$D$4:$D$97,"Visitante",$F$4:$F$97,$BT7)+COUNTIFS($AF$4:$AF$97,$BD7,$D$4:$D$97,"Local",$E$4:$E$97,$BT7))</f>
        <v>2</v>
      </c>
      <c r="BX7" s="139" cm="1">
        <f t="array" ref="BX7">IF($BT7="-","-",BU7*3+BV7)</f>
        <v>3</v>
      </c>
      <c r="BY7" s="139">
        <v>1</v>
      </c>
      <c r="BZ7" s="112" t="s">
        <v>113</v>
      </c>
      <c r="CA7" s="139" cm="1">
        <f t="array" ref="CA7">IF($BZ7="-","-",SUMIFS($AC$4:$AC$97,$AA$4:$AA$97,$BD7,$I$4:$I$97,$BZ7)+SUMIFS($AD$4:$AD$97,$AF$4:$AF$97,$BD7,$H$4:$H$97,$BZ7))</f>
        <v>4</v>
      </c>
      <c r="CB7" s="139" cm="1">
        <f t="array" ref="CB7">IF($BZ7="-","-",SUMIFS($AD$4:$AD$97,$AA$4:$AA$97,$BD7,$I$4:$I$97,$BZ7)+SUMIFS($AC$4:$AC$97,$AF$4:$AF$97,$BD7,$H$4:$H$97,$BZ7))</f>
        <v>5</v>
      </c>
      <c r="CC7" s="139" cm="1">
        <f t="array" ref="CC7">IF($BZ7="-","-",CA7-CB7)</f>
        <v>-1</v>
      </c>
      <c r="CD7" s="139">
        <v>1</v>
      </c>
      <c r="CE7" s="112" t="s">
        <v>113</v>
      </c>
      <c r="CF7" s="139" cm="1">
        <f t="array" ref="CF7">IF($CE7="-","-",SUMIFS($AC$4:$AC$97,$AA$4:$AA$97,$BD7,$L$4:$L$97,$CE7)+SUMIFS($AD$4:$AD$97,$AF$4:$AF$97,$BD7,$K$4:$K$97,$CE7))</f>
        <v>4</v>
      </c>
      <c r="CG7" s="139">
        <v>1</v>
      </c>
      <c r="CH7" s="112" t="s">
        <v>113</v>
      </c>
      <c r="CI7" s="139" cm="1">
        <f t="array" ref="CI7">IF($CH7="-","-",COUNTIFS($AA$4:$AA$97,$BD7,$D$4:$D$97,"Local",$O$4:$O$97,$CH7)+COUNTIFS($AF$4:$AF$97,$BD7,$D$4:$D$97,"Visitante",$N$4:$N$97,$CH7))</f>
        <v>1</v>
      </c>
      <c r="CJ7" s="139" cm="1">
        <f t="array" ref="CJ7">IF($CH7="-","-",COUNTIFS($AA$4:$AA$97,$BD7,$D$4:$D$97,"Empate",$O$4:$O$97,$CH7)+COUNTIFS($AF$4:$AF$97,$BD7,$D$4:$D$97,"Empate",$N$4:$N$97,$CH7))</f>
        <v>0</v>
      </c>
      <c r="CK7" s="139" cm="1">
        <f t="array" ref="CK7">IF($CH7="-","-",COUNTIFS($AA$4:$AA$97,$BD7,$D$4:$D$97,"Visitante",$O$4:$O$97,$CH7)+COUNTIFS($AF$4:$AF$97,$BD7,$D$4:$D$97,"Local",$N$4:$N$97,$CH7))</f>
        <v>2</v>
      </c>
      <c r="CL7" s="139" cm="1">
        <f t="array" ref="CL7">IF($CH7="-","-",CI7*3+CJ7)</f>
        <v>3</v>
      </c>
      <c r="CM7" s="139">
        <v>1</v>
      </c>
      <c r="CN7" s="112" t="s">
        <v>113</v>
      </c>
      <c r="CO7" s="139" cm="1">
        <f t="array" ref="CO7">IF($CN7="-","-",SUMIFS($AC$4:$AC$97,$AA$4:$AA$97,$BD7,$R$4:$R$97,$CN7)+SUMIFS($AD$4:$AD$97,$AF$4:$AF$97,$BD7,$Q$4:$Q$97,$CN7))</f>
        <v>4</v>
      </c>
      <c r="CP7" s="139" cm="1">
        <f t="array" ref="CP7">IF($CN7="-","-",SUMIFS($AD$4:$AD$97,$AA$4:$AA$97,$BD7,$R$4:$R$97,$CN7)+SUMIFS($AC$4:$AC$97,$AF$4:$AF$97,$BD7,$Q$4:$Q$97,$CN7))</f>
        <v>5</v>
      </c>
      <c r="CQ7" s="139" cm="1">
        <f t="array" ref="CQ7">IF($CN7="-","-",CO7-CP7)</f>
        <v>-1</v>
      </c>
      <c r="CR7" s="139">
        <v>1</v>
      </c>
      <c r="CS7" s="112" t="s">
        <v>113</v>
      </c>
      <c r="CT7" s="139" cm="1">
        <f t="array" ref="CT7">IF($CS7="-","-",SUMIFS($AC$4:$AC$97,$AA$4:$AA$97,$BD7,$U$4:$U$97,$CS7)+SUMIFS($AD$4:$AD$97,$AF$4:$AF$97,$BD7,$T$4:$T$97,$CS7))</f>
        <v>4</v>
      </c>
      <c r="CU7" s="139">
        <v>1</v>
      </c>
      <c r="CV7" s="112" t="s">
        <v>113</v>
      </c>
      <c r="CW7" s="139" cm="1">
        <f t="array" ref="CW7">IF(CV7="-","-",BL7)</f>
        <v>-1</v>
      </c>
      <c r="CX7" s="139">
        <v>1</v>
      </c>
      <c r="CY7" s="112" t="s">
        <v>113</v>
      </c>
      <c r="CZ7" s="139" cm="1">
        <f t="array" ref="CZ7">IF(CY7="-","-",BJ7)</f>
        <v>4</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78"/>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9</v>
      </c>
      <c r="AN8" s="144" cm="1">
        <f t="array" ref="AN8">INDEX($BE$6:$BN$53,MATCH($AL8,$BD$6:$BD$53,0),MATCH(AN$5,$BE$5:$BN$5,0))</f>
        <v>3</v>
      </c>
      <c r="AO8" s="144" cm="1">
        <f t="array" ref="AO8">INDEX($BE$6:$BN$53,MATCH($AL8,$BD$6:$BD$53,0),MATCH(AO$5,$BE$5:$BN$5,0))</f>
        <v>3</v>
      </c>
      <c r="AP8" s="144" cm="1">
        <f t="array" ref="AP8">INDEX($BE$6:$BN$53,MATCH($AL8,$BD$6:$BD$53,0),MATCH(AP$5,$BE$5:$BN$5,0))</f>
        <v>0</v>
      </c>
      <c r="AQ8" s="144" cm="1">
        <f t="array" ref="AQ8">INDEX($BE$6:$BN$53,MATCH($AL8,$BD$6:$BD$53,0),MATCH(AQ$5,$BE$5:$BN$5,0))</f>
        <v>0</v>
      </c>
      <c r="AR8" s="144" cm="1">
        <f t="array" ref="AR8">INDEX($BE$6:$BN$53,MATCH($AL8,$BD$6:$BD$53,0),MATCH(AR$5,$BE$5:$BN$5,0))</f>
        <v>5</v>
      </c>
      <c r="AS8" s="144" cm="1">
        <f t="array" ref="AS8">INDEX($BE$6:$BN$53,MATCH($AL8,$BD$6:$BD$53,0),MATCH(AS$5,$BE$5:$BN$5,0))</f>
        <v>1</v>
      </c>
      <c r="AT8" s="145" cm="1">
        <f t="array" ref="AT8">INDEX($BE$6:$BN$53,MATCH($AL8,$BD$6:$BD$53,0),MATCH(AT$5,$BE$5:$BN$5,0))</f>
        <v>4</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9</v>
      </c>
      <c r="BF8" s="139" cm="1">
        <f t="array" ref="BF8">BG8+BH8+BI8</f>
        <v>3</v>
      </c>
      <c r="BG8" s="139" cm="1">
        <f t="array" ref="BG8">COUNTIFS($AA$4:$AA$97,BD8,$D$4:$D$97,"Local")+COUNTIFS($AF$4:$AF$97,BD8,$D$4:$D$97,"Visitante")</f>
        <v>3</v>
      </c>
      <c r="BH8" s="139" cm="1">
        <f t="array" ref="BH8">COUNTIFS($AA$4:$AA$97,BD8,$D$4:$D$97,"Empate")+COUNTIFS($AF$4:$AF$97,BD8,$D$4:$D$97,"Empate")</f>
        <v>0</v>
      </c>
      <c r="BI8" s="139" cm="1">
        <f t="array" ref="BI8">COUNTIFS($AF$4:$AF$97,BD8,$D$4:$D$97,"Local")+COUNTIFS($AA$4:$AA$97,BD8,$D$4:$D$97,"Visitante")</f>
        <v>0</v>
      </c>
      <c r="BJ8" s="139" cm="1">
        <f t="array" ref="BJ8">SUMIFS($AC$4:$AC$97,$AA$4:$AA$97,BD8,$D$4:$D$97,"&lt;&gt;"&amp;"Pendiente",$AC$4:$AC$97,"&lt;&gt;"&amp;"",$AD$4:$AD$97,"&lt;&gt;"&amp;"")+SUMIFS($AD$4:$AD$97,$AF$4:$AF$97,BD8,$D$4:$D$97,"&lt;&gt;"&amp;"Pendiente",$AC$4:$AC$97,"&lt;&gt;"&amp;"",$AD$4:$AD$97,"&lt;&gt;"&amp;"")</f>
        <v>5</v>
      </c>
      <c r="BK8" s="139" cm="1">
        <f t="array" ref="BK8">SUMIFS($AC$4:$AC$97,$AF$4:$AF$97,BD8,$D$4:$D$97,"&lt;&gt;"&amp;"Pendiente",$AC$4:$AC$97,"&lt;&gt;"&amp;"",$AD$4:$AD$97,"&lt;&gt;"&amp;"")+SUMIFS($AD$4:$AD$97,$AA$4:$AA$97,BD8,$D$4:$D$97,"&lt;&gt;"&amp;"Pendiente",$AC$4:$AC$97,"&lt;&gt;"&amp;"",$AD$4:$AD$97,"&lt;&gt;"&amp;"")</f>
        <v>1</v>
      </c>
      <c r="BL8" s="139" cm="1">
        <f t="array" ref="BL8">BJ8-BK8</f>
        <v>4</v>
      </c>
      <c r="BM8" s="126" t="str" cm="1">
        <f t="array" ref="BM8">DD8&amp;BC8</f>
        <v>3A</v>
      </c>
      <c r="BN8" s="126" t="str" cm="1">
        <f t="array" ref="BN8">DH8&amp;BC8</f>
        <v>3A</v>
      </c>
      <c r="BO8" s="139" cm="1">
        <f t="array" ref="BO8">IF(AND($AJ$99=144,BF8&gt;=1),1,0)</f>
        <v>0</v>
      </c>
      <c r="BP8" s="139">
        <v>1</v>
      </c>
      <c r="BQ8" s="112" t="s">
        <v>113</v>
      </c>
      <c r="BR8" s="139" cm="1">
        <f t="array" ref="BR8">IF($BQ8="-","-",BE8)</f>
        <v>9</v>
      </c>
      <c r="BS8" s="139">
        <v>1</v>
      </c>
      <c r="BT8" s="112" t="s">
        <v>113</v>
      </c>
      <c r="BU8" s="139" cm="1">
        <f t="array" ref="BU8">IF($BT8="-","-",COUNTIFS($AA$4:$AA$97,$BD8,$D$4:$D$97,"Local",$F$4:$F$97,$BT8)+COUNTIFS($AF$4:$AF$97,$BD8,$D$4:$D$97,"Visitante",$E$4:$E$97,$BT8))</f>
        <v>3</v>
      </c>
      <c r="BV8" s="139" cm="1">
        <f t="array" ref="BV8">IF($BT8="-","-",COUNTIFS($AA$4:$AA$97,$BD8,$D$4:$D$97,"Empate",$F$4:$F$97,$BT8)+COUNTIFS($AF$4:$AF$97,$BD8,$D$4:$D$97,"Empate",$E$4:$E$97,$BT8))</f>
        <v>0</v>
      </c>
      <c r="BW8" s="139" cm="1">
        <f t="array" ref="BW8">IF($BT8="-","-",COUNTIFS($AA$4:$AA$97,$BD8,$D$4:$D$97,"Visitante",$F$4:$F$97,$BT8)+COUNTIFS($AF$4:$AF$97,$BD8,$D$4:$D$97,"Local",$E$4:$E$97,$BT8))</f>
        <v>0</v>
      </c>
      <c r="BX8" s="139" cm="1">
        <f t="array" ref="BX8">IF($BT8="-","-",BU8*3+BV8)</f>
        <v>9</v>
      </c>
      <c r="BY8" s="139">
        <v>1</v>
      </c>
      <c r="BZ8" s="112" t="s">
        <v>113</v>
      </c>
      <c r="CA8" s="139" cm="1">
        <f t="array" ref="CA8">IF($BZ8="-","-",SUMIFS($AC$4:$AC$97,$AA$4:$AA$97,$BD8,$I$4:$I$97,$BZ8)+SUMIFS($AD$4:$AD$97,$AF$4:$AF$97,$BD8,$H$4:$H$97,$BZ8))</f>
        <v>5</v>
      </c>
      <c r="CB8" s="139" cm="1">
        <f t="array" ref="CB8">IF($BZ8="-","-",SUMIFS($AD$4:$AD$97,$AA$4:$AA$97,$BD8,$I$4:$I$97,$BZ8)+SUMIFS($AC$4:$AC$97,$AF$4:$AF$97,$BD8,$H$4:$H$97,$BZ8))</f>
        <v>1</v>
      </c>
      <c r="CC8" s="139" cm="1">
        <f t="array" ref="CC8">IF($BZ8="-","-",CA8-CB8)</f>
        <v>4</v>
      </c>
      <c r="CD8" s="139">
        <v>1</v>
      </c>
      <c r="CE8" s="112" t="s">
        <v>113</v>
      </c>
      <c r="CF8" s="139" cm="1">
        <f t="array" ref="CF8">IF($CE8="-","-",SUMIFS($AC$4:$AC$97,$AA$4:$AA$97,$BD8,$L$4:$L$97,$CE8)+SUMIFS($AD$4:$AD$97,$AF$4:$AF$97,$BD8,$K$4:$K$97,$CE8))</f>
        <v>5</v>
      </c>
      <c r="CG8" s="139">
        <v>1</v>
      </c>
      <c r="CH8" s="112" t="s">
        <v>113</v>
      </c>
      <c r="CI8" s="139" cm="1">
        <f t="array" ref="CI8">IF($CH8="-","-",COUNTIFS($AA$4:$AA$97,$BD8,$D$4:$D$97,"Local",$O$4:$O$97,$CH8)+COUNTIFS($AF$4:$AF$97,$BD8,$D$4:$D$97,"Visitante",$N$4:$N$97,$CH8))</f>
        <v>3</v>
      </c>
      <c r="CJ8" s="139" cm="1">
        <f t="array" ref="CJ8">IF($CH8="-","-",COUNTIFS($AA$4:$AA$97,$BD8,$D$4:$D$97,"Empate",$O$4:$O$97,$CH8)+COUNTIFS($AF$4:$AF$97,$BD8,$D$4:$D$97,"Empate",$N$4:$N$97,$CH8))</f>
        <v>0</v>
      </c>
      <c r="CK8" s="139" cm="1">
        <f t="array" ref="CK8">IF($CH8="-","-",COUNTIFS($AA$4:$AA$97,$BD8,$D$4:$D$97,"Visitante",$O$4:$O$97,$CH8)+COUNTIFS($AF$4:$AF$97,$BD8,$D$4:$D$97,"Local",$N$4:$N$97,$CH8))</f>
        <v>0</v>
      </c>
      <c r="CL8" s="139" cm="1">
        <f t="array" ref="CL8">IF($CH8="-","-",CI8*3+CJ8)</f>
        <v>9</v>
      </c>
      <c r="CM8" s="139">
        <v>1</v>
      </c>
      <c r="CN8" s="112" t="s">
        <v>113</v>
      </c>
      <c r="CO8" s="139" cm="1">
        <f t="array" ref="CO8">IF($CN8="-","-",SUMIFS($AC$4:$AC$97,$AA$4:$AA$97,$BD8,$R$4:$R$97,$CN8)+SUMIFS($AD$4:$AD$97,$AF$4:$AF$97,$BD8,$Q$4:$Q$97,$CN8))</f>
        <v>5</v>
      </c>
      <c r="CP8" s="139" cm="1">
        <f t="array" ref="CP8">IF($CN8="-","-",SUMIFS($AD$4:$AD$97,$AA$4:$AA$97,$BD8,$R$4:$R$97,$CN8)+SUMIFS($AC$4:$AC$97,$AF$4:$AF$97,$BD8,$Q$4:$Q$97,$CN8))</f>
        <v>1</v>
      </c>
      <c r="CQ8" s="139" cm="1">
        <f t="array" ref="CQ8">IF($CN8="-","-",CO8-CP8)</f>
        <v>4</v>
      </c>
      <c r="CR8" s="139">
        <v>1</v>
      </c>
      <c r="CS8" s="112" t="s">
        <v>113</v>
      </c>
      <c r="CT8" s="139" cm="1">
        <f t="array" ref="CT8">IF($CS8="-","-",SUMIFS($AC$4:$AC$97,$AA$4:$AA$97,$BD8,$U$4:$U$97,$CS8)+SUMIFS($AD$4:$AD$97,$AF$4:$AF$97,$BD8,$T$4:$T$97,$CS8))</f>
        <v>5</v>
      </c>
      <c r="CU8" s="139">
        <v>1</v>
      </c>
      <c r="CV8" s="112" t="s">
        <v>113</v>
      </c>
      <c r="CW8" s="139" cm="1">
        <f t="array" ref="CW8">IF(CV8="-","-",BL8)</f>
        <v>4</v>
      </c>
      <c r="CX8" s="139">
        <v>1</v>
      </c>
      <c r="CY8" s="112" t="s">
        <v>113</v>
      </c>
      <c r="CZ8" s="139" cm="1">
        <f t="array" ref="CZ8">IF(CY8="-","-",BJ8)</f>
        <v>5</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79"/>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0</v>
      </c>
      <c r="AN9" s="160" cm="1">
        <f t="array" ref="AN9">INDEX($BE$6:$BN$53,MATCH($AL9,$BD$6:$BD$53,0),MATCH(AN$5,$BE$5:$BN$5,0))</f>
        <v>3</v>
      </c>
      <c r="AO9" s="160" cm="1">
        <f t="array" ref="AO9">INDEX($BE$6:$BN$53,MATCH($AL9,$BD$6:$BD$53,0),MATCH(AO$5,$BE$5:$BN$5,0))</f>
        <v>0</v>
      </c>
      <c r="AP9" s="160" cm="1">
        <f t="array" ref="AP9">INDEX($BE$6:$BN$53,MATCH($AL9,$BD$6:$BD$53,0),MATCH(AP$5,$BE$5:$BN$5,0))</f>
        <v>0</v>
      </c>
      <c r="AQ9" s="160" cm="1">
        <f t="array" ref="AQ9">INDEX($BE$6:$BN$53,MATCH($AL9,$BD$6:$BD$53,0),MATCH(AQ$5,$BE$5:$BN$5,0))</f>
        <v>3</v>
      </c>
      <c r="AR9" s="160" cm="1">
        <f t="array" ref="AR9">INDEX($BE$6:$BN$53,MATCH($AL9,$BD$6:$BD$53,0),MATCH(AR$5,$BE$5:$BN$5,0))</f>
        <v>1</v>
      </c>
      <c r="AS9" s="160" cm="1">
        <f t="array" ref="AS9">INDEX($BE$6:$BN$53,MATCH($AL9,$BD$6:$BD$53,0),MATCH(AS$5,$BE$5:$BN$5,0))</f>
        <v>4</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0</v>
      </c>
      <c r="BF9" s="139" cm="1">
        <f t="array" ref="BF9">BG9+BH9+BI9</f>
        <v>3</v>
      </c>
      <c r="BG9" s="139" cm="1">
        <f t="array" ref="BG9">COUNTIFS($AA$4:$AA$97,BD9,$D$4:$D$97,"Local")+COUNTIFS($AF$4:$AF$97,BD9,$D$4:$D$97,"Visitante")</f>
        <v>0</v>
      </c>
      <c r="BH9" s="139" cm="1">
        <f t="array" ref="BH9">COUNTIFS($AA$4:$AA$97,BD9,$D$4:$D$97,"Empate")+COUNTIFS($AF$4:$AF$97,BD9,$D$4:$D$97,"Empate")</f>
        <v>0</v>
      </c>
      <c r="BI9" s="139" cm="1">
        <f t="array" ref="BI9">COUNTIFS($AF$4:$AF$97,BD9,$D$4:$D$97,"Local")+COUNTIFS($AA$4:$AA$97,BD9,$D$4:$D$97,"Visitante")</f>
        <v>3</v>
      </c>
      <c r="BJ9" s="139" cm="1">
        <f t="array" ref="BJ9">SUMIFS($AC$4:$AC$97,$AA$4:$AA$97,BD9,$D$4:$D$97,"&lt;&gt;"&amp;"Pendiente",$AC$4:$AC$97,"&lt;&gt;"&amp;"",$AD$4:$AD$97,"&lt;&gt;"&amp;"")+SUMIFS($AD$4:$AD$97,$AF$4:$AF$97,BD9,$D$4:$D$97,"&lt;&gt;"&amp;"Pendiente",$AC$4:$AC$97,"&lt;&gt;"&amp;"",$AD$4:$AD$97,"&lt;&gt;"&amp;"")</f>
        <v>1</v>
      </c>
      <c r="BK9" s="139" cm="1">
        <f t="array" ref="BK9">SUMIFS($AC$4:$AC$97,$AF$4:$AF$97,BD9,$D$4:$D$97,"&lt;&gt;"&amp;"Pendiente",$AC$4:$AC$97,"&lt;&gt;"&amp;"",$AD$4:$AD$97,"&lt;&gt;"&amp;"")+SUMIFS($AD$4:$AD$97,$AA$4:$AA$97,BD9,$D$4:$D$97,"&lt;&gt;"&amp;"Pendiente",$AC$4:$AC$97,"&lt;&gt;"&amp;"",$AD$4:$AD$97,"&lt;&gt;"&amp;"")</f>
        <v>4</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0</v>
      </c>
      <c r="BS9" s="139">
        <v>1</v>
      </c>
      <c r="BT9" s="112" t="s">
        <v>113</v>
      </c>
      <c r="BU9" s="139" cm="1">
        <f t="array" ref="BU9">IF($BT9="-","-",COUNTIFS($AA$4:$AA$97,$BD9,$D$4:$D$97,"Local",$F$4:$F$97,$BT9)+COUNTIFS($AF$4:$AF$97,$BD9,$D$4:$D$97,"Visitante",$E$4:$E$97,$BT9))</f>
        <v>0</v>
      </c>
      <c r="BV9" s="139" cm="1">
        <f t="array" ref="BV9">IF($BT9="-","-",COUNTIFS($AA$4:$AA$97,$BD9,$D$4:$D$97,"Empate",$F$4:$F$97,$BT9)+COUNTIFS($AF$4:$AF$97,$BD9,$D$4:$D$97,"Empate",$E$4:$E$97,$BT9))</f>
        <v>0</v>
      </c>
      <c r="BW9" s="139" cm="1">
        <f t="array" ref="BW9">IF($BT9="-","-",COUNTIFS($AA$4:$AA$97,$BD9,$D$4:$D$97,"Visitante",$F$4:$F$97,$BT9)+COUNTIFS($AF$4:$AF$97,$BD9,$D$4:$D$97,"Local",$E$4:$E$97,$BT9))</f>
        <v>3</v>
      </c>
      <c r="BX9" s="139" cm="1">
        <f t="array" ref="BX9">IF($BT9="-","-",BU9*3+BV9)</f>
        <v>0</v>
      </c>
      <c r="BY9" s="139">
        <v>1</v>
      </c>
      <c r="BZ9" s="112" t="s">
        <v>113</v>
      </c>
      <c r="CA9" s="139" cm="1">
        <f t="array" ref="CA9">IF($BZ9="-","-",SUMIFS($AC$4:$AC$97,$AA$4:$AA$97,$BD9,$I$4:$I$97,$BZ9)+SUMIFS($AD$4:$AD$97,$AF$4:$AF$97,$BD9,$H$4:$H$97,$BZ9))</f>
        <v>1</v>
      </c>
      <c r="CB9" s="139" cm="1">
        <f t="array" ref="CB9">IF($BZ9="-","-",SUMIFS($AD$4:$AD$97,$AA$4:$AA$97,$BD9,$I$4:$I$97,$BZ9)+SUMIFS($AC$4:$AC$97,$AF$4:$AF$97,$BD9,$H$4:$H$97,$BZ9))</f>
        <v>4</v>
      </c>
      <c r="CC9" s="139" cm="1">
        <f t="array" ref="CC9">IF($BZ9="-","-",CA9-CB9)</f>
        <v>-3</v>
      </c>
      <c r="CD9" s="139">
        <v>1</v>
      </c>
      <c r="CE9" s="112" t="s">
        <v>113</v>
      </c>
      <c r="CF9" s="139" cm="1">
        <f t="array" ref="CF9">IF($CE9="-","-",SUMIFS($AC$4:$AC$97,$AA$4:$AA$97,$BD9,$L$4:$L$97,$CE9)+SUMIFS($AD$4:$AD$97,$AF$4:$AF$97,$BD9,$K$4:$K$97,$CE9))</f>
        <v>1</v>
      </c>
      <c r="CG9" s="139">
        <v>1</v>
      </c>
      <c r="CH9" s="112" t="s">
        <v>113</v>
      </c>
      <c r="CI9" s="139" cm="1">
        <f t="array" ref="CI9">IF($CH9="-","-",COUNTIFS($AA$4:$AA$97,$BD9,$D$4:$D$97,"Local",$O$4:$O$97,$CH9)+COUNTIFS($AF$4:$AF$97,$BD9,$D$4:$D$97,"Visitante",$N$4:$N$97,$CH9))</f>
        <v>0</v>
      </c>
      <c r="CJ9" s="139" cm="1">
        <f t="array" ref="CJ9">IF($CH9="-","-",COUNTIFS($AA$4:$AA$97,$BD9,$D$4:$D$97,"Empate",$O$4:$O$97,$CH9)+COUNTIFS($AF$4:$AF$97,$BD9,$D$4:$D$97,"Empate",$N$4:$N$97,$CH9))</f>
        <v>0</v>
      </c>
      <c r="CK9" s="139" cm="1">
        <f t="array" ref="CK9">IF($CH9="-","-",COUNTIFS($AA$4:$AA$97,$BD9,$D$4:$D$97,"Visitante",$O$4:$O$97,$CH9)+COUNTIFS($AF$4:$AF$97,$BD9,$D$4:$D$97,"Local",$N$4:$N$97,$CH9))</f>
        <v>3</v>
      </c>
      <c r="CL9" s="139" cm="1">
        <f t="array" ref="CL9">IF($CH9="-","-",CI9*3+CJ9)</f>
        <v>0</v>
      </c>
      <c r="CM9" s="139">
        <v>1</v>
      </c>
      <c r="CN9" s="112" t="s">
        <v>113</v>
      </c>
      <c r="CO9" s="139" cm="1">
        <f t="array" ref="CO9">IF($CN9="-","-",SUMIFS($AC$4:$AC$97,$AA$4:$AA$97,$BD9,$R$4:$R$97,$CN9)+SUMIFS($AD$4:$AD$97,$AF$4:$AF$97,$BD9,$Q$4:$Q$97,$CN9))</f>
        <v>1</v>
      </c>
      <c r="CP9" s="139" cm="1">
        <f t="array" ref="CP9">IF($CN9="-","-",SUMIFS($AD$4:$AD$97,$AA$4:$AA$97,$BD9,$R$4:$R$97,$CN9)+SUMIFS($AC$4:$AC$97,$AF$4:$AF$97,$BD9,$Q$4:$Q$97,$CN9))</f>
        <v>4</v>
      </c>
      <c r="CQ9" s="139" cm="1">
        <f t="array" ref="CQ9">IF($CN9="-","-",CO9-CP9)</f>
        <v>-3</v>
      </c>
      <c r="CR9" s="139">
        <v>1</v>
      </c>
      <c r="CS9" s="112" t="s">
        <v>113</v>
      </c>
      <c r="CT9" s="139" cm="1">
        <f t="array" ref="CT9">IF($CS9="-","-",SUMIFS($AC$4:$AC$97,$AA$4:$AA$97,$BD9,$U$4:$U$97,$CS9)+SUMIFS($AD$4:$AD$97,$AF$4:$AF$97,$BD9,$T$4:$T$97,$CS9))</f>
        <v>1</v>
      </c>
      <c r="CU9" s="139">
        <v>1</v>
      </c>
      <c r="CV9" s="112" t="s">
        <v>113</v>
      </c>
      <c r="CW9" s="139" cm="1">
        <f t="array" ref="CW9">IF(CV9="-","-",BL9)</f>
        <v>-3</v>
      </c>
      <c r="CX9" s="139">
        <v>1</v>
      </c>
      <c r="CY9" s="112" t="s">
        <v>113</v>
      </c>
      <c r="CZ9" s="139" cm="1">
        <f t="array" ref="CZ9">IF(CY9="-","-",BJ9)</f>
        <v>1</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4</v>
      </c>
      <c r="BF10" s="139" cm="1">
        <f t="array" ref="BF10">BG10+BH10+BI10</f>
        <v>3</v>
      </c>
      <c r="BG10" s="139" cm="1">
        <f t="array" ref="BG10">COUNTIFS($AA$4:$AA$97,BD10,$D$4:$D$97,"Local")+COUNTIFS($AF$4:$AF$97,BD10,$D$4:$D$97,"Visitante")</f>
        <v>1</v>
      </c>
      <c r="BH10" s="139" cm="1">
        <f t="array" ref="BH10">COUNTIFS($AA$4:$AA$97,BD10,$D$4:$D$97,"Empate")+COUNTIFS($AF$4:$AF$97,BD10,$D$4:$D$97,"Empate")</f>
        <v>1</v>
      </c>
      <c r="BI10" s="139" cm="1">
        <f t="array" ref="BI10">COUNTIFS($AF$4:$AF$97,BD10,$D$4:$D$97,"Local")+COUNTIFS($AA$4:$AA$97,BD10,$D$4:$D$97,"Visitante")</f>
        <v>1</v>
      </c>
      <c r="BJ10" s="139" cm="1">
        <f t="array" ref="BJ10">SUMIFS($AC$4:$AC$97,$AA$4:$AA$97,BD10,$D$4:$D$97,"&lt;&gt;"&amp;"Pendiente",$AC$4:$AC$97,"&lt;&gt;"&amp;"",$AD$4:$AD$97,"&lt;&gt;"&amp;"")+SUMIFS($AD$4:$AD$97,$AF$4:$AF$97,BD10,$D$4:$D$97,"&lt;&gt;"&amp;"Pendiente",$AC$4:$AC$97,"&lt;&gt;"&amp;"",$AD$4:$AD$97,"&lt;&gt;"&amp;"")</f>
        <v>5</v>
      </c>
      <c r="BK10" s="139" cm="1">
        <f t="array" ref="BK10">SUMIFS($AC$4:$AC$97,$AF$4:$AF$97,BD10,$D$4:$D$97,"&lt;&gt;"&amp;"Pendiente",$AC$4:$AC$97,"&lt;&gt;"&amp;"",$AD$4:$AD$97,"&lt;&gt;"&amp;"")+SUMIFS($AD$4:$AD$97,$AA$4:$AA$97,BD10,$D$4:$D$97,"&lt;&gt;"&amp;"Pendiente",$AC$4:$AC$97,"&lt;&gt;"&amp;"",$AD$4:$AD$97,"&lt;&gt;"&amp;"")</f>
        <v>4</v>
      </c>
      <c r="BL10" s="139" cm="1">
        <f t="array" ref="BL10">BJ10-BK10</f>
        <v>1</v>
      </c>
      <c r="BM10" s="126" t="str" cm="1">
        <f t="array" ref="BM10">DD10&amp;BC10</f>
        <v>1B</v>
      </c>
      <c r="BN10" s="126" t="str" cm="1">
        <f t="array" ref="BN10">DH10&amp;BC10</f>
        <v>1B</v>
      </c>
      <c r="BO10" s="139" cm="1">
        <f t="array" ref="BO10">IF(AND($AJ$99=144,BF10&gt;=1),1,0)</f>
        <v>0</v>
      </c>
      <c r="BP10" s="139">
        <v>1</v>
      </c>
      <c r="BQ10" s="112" t="s">
        <v>113</v>
      </c>
      <c r="BR10" s="139" cm="1">
        <f t="array" ref="BR10">IF($BQ10="-","-",BE10)</f>
        <v>4</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1</v>
      </c>
      <c r="BW10" s="139" cm="1">
        <f t="array" ref="BW10">IF($BT10="-","-",COUNTIFS($AA$4:$AA$97,$BD10,$D$4:$D$97,"Visitante",$F$4:$F$97,$BT10)+COUNTIFS($AF$4:$AF$97,$BD10,$D$4:$D$97,"Local",$E$4:$E$97,$BT10))</f>
        <v>1</v>
      </c>
      <c r="BX10" s="139" cm="1">
        <f t="array" ref="BX10">IF($BT10="-","-",BU10*3+BV10)</f>
        <v>4</v>
      </c>
      <c r="BY10" s="139">
        <v>1</v>
      </c>
      <c r="BZ10" s="112" t="s">
        <v>113</v>
      </c>
      <c r="CA10" s="139" cm="1">
        <f t="array" ref="CA10">IF($BZ10="-","-",SUMIFS($AC$4:$AC$97,$AA$4:$AA$97,$BD10,$I$4:$I$97,$BZ10)+SUMIFS($AD$4:$AD$97,$AF$4:$AF$97,$BD10,$H$4:$H$97,$BZ10))</f>
        <v>5</v>
      </c>
      <c r="CB10" s="139" cm="1">
        <f t="array" ref="CB10">IF($BZ10="-","-",SUMIFS($AD$4:$AD$97,$AA$4:$AA$97,$BD10,$I$4:$I$97,$BZ10)+SUMIFS($AC$4:$AC$97,$AF$4:$AF$97,$BD10,$H$4:$H$97,$BZ10))</f>
        <v>4</v>
      </c>
      <c r="CC10" s="139" cm="1">
        <f t="array" ref="CC10">IF($BZ10="-","-",CA10-CB10)</f>
        <v>1</v>
      </c>
      <c r="CD10" s="139">
        <v>1</v>
      </c>
      <c r="CE10" s="112" t="s">
        <v>113</v>
      </c>
      <c r="CF10" s="139" cm="1">
        <f t="array" ref="CF10">IF($CE10="-","-",SUMIFS($AC$4:$AC$97,$AA$4:$AA$97,$BD10,$L$4:$L$97,$CE10)+SUMIFS($AD$4:$AD$97,$AF$4:$AF$97,$BD10,$K$4:$K$97,$CE10))</f>
        <v>5</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1</v>
      </c>
      <c r="CK10" s="139" cm="1">
        <f t="array" ref="CK10">IF($CH10="-","-",COUNTIFS($AA$4:$AA$97,$BD10,$D$4:$D$97,"Visitante",$O$4:$O$97,$CH10)+COUNTIFS($AF$4:$AF$97,$BD10,$D$4:$D$97,"Local",$N$4:$N$97,$CH10))</f>
        <v>1</v>
      </c>
      <c r="CL10" s="139" cm="1">
        <f t="array" ref="CL10">IF($CH10="-","-",CI10*3+CJ10)</f>
        <v>4</v>
      </c>
      <c r="CM10" s="139">
        <v>1</v>
      </c>
      <c r="CN10" s="112" t="s">
        <v>113</v>
      </c>
      <c r="CO10" s="139" cm="1">
        <f t="array" ref="CO10">IF($CN10="-","-",SUMIFS($AC$4:$AC$97,$AA$4:$AA$97,$BD10,$R$4:$R$97,$CN10)+SUMIFS($AD$4:$AD$97,$AF$4:$AF$97,$BD10,$Q$4:$Q$97,$CN10))</f>
        <v>5</v>
      </c>
      <c r="CP10" s="139" cm="1">
        <f t="array" ref="CP10">IF($CN10="-","-",SUMIFS($AD$4:$AD$97,$AA$4:$AA$97,$BD10,$R$4:$R$97,$CN10)+SUMIFS($AC$4:$AC$97,$AF$4:$AF$97,$BD10,$Q$4:$Q$97,$CN10))</f>
        <v>4</v>
      </c>
      <c r="CQ10" s="139" cm="1">
        <f t="array" ref="CQ10">IF($CN10="-","-",CO10-CP10)</f>
        <v>1</v>
      </c>
      <c r="CR10" s="139">
        <v>1</v>
      </c>
      <c r="CS10" s="112" t="s">
        <v>113</v>
      </c>
      <c r="CT10" s="139" cm="1">
        <f t="array" ref="CT10">IF($CS10="-","-",SUMIFS($AC$4:$AC$97,$AA$4:$AA$97,$BD10,$U$4:$U$97,$CS10)+SUMIFS($AD$4:$AD$97,$AF$4:$AF$97,$BD10,$T$4:$T$97,$CS10))</f>
        <v>5</v>
      </c>
      <c r="CU10" s="139">
        <v>1</v>
      </c>
      <c r="CV10" s="112" t="s">
        <v>113</v>
      </c>
      <c r="CW10" s="139" cm="1">
        <f t="array" ref="CW10">IF(CV10="-","-",BL10)</f>
        <v>1</v>
      </c>
      <c r="CX10" s="139">
        <v>1</v>
      </c>
      <c r="CY10" s="112" t="s">
        <v>113</v>
      </c>
      <c r="CZ10" s="139" cm="1">
        <f t="array" ref="CZ10">IF(CY10="-","-",BJ10)</f>
        <v>5</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96" t="s">
        <v>121</v>
      </c>
      <c r="X12" s="96">
        <v>46185.625</v>
      </c>
      <c r="Y12" s="97">
        <v>46185.625</v>
      </c>
      <c r="Z12" s="113" t="str" cm="1">
        <f t="array" ref="Z12">$Z$4</f>
        <v>J1</v>
      </c>
      <c r="AA12" s="99" t="str" cm="1">
        <f t="array" ref="AA12">A13</f>
        <v>Canadá</v>
      </c>
      <c r="AB12" s="100"/>
      <c r="AC12" s="101">
        <v>2</v>
      </c>
      <c r="AD12" s="101">
        <v>0</v>
      </c>
      <c r="AE12" s="102"/>
      <c r="AF12" s="103" t="str" cm="1">
        <f t="array" ref="AF12">A14</f>
        <v>Bosnia y Herzegovina</v>
      </c>
      <c r="AG12" s="104" cm="1">
        <f t="array" ref="AG12">IF(NOT(OR(ISBLANK(AC12),ISBLANK(AD12))),1,0)</f>
        <v>1</v>
      </c>
      <c r="AH12" s="105">
        <v>3</v>
      </c>
      <c r="AI12" s="106"/>
      <c r="AJ12" s="770" t="str" cm="1">
        <f t="array" ref="AJ12">CONCATENATE(AJ3," ",B12)</f>
        <v>Grupo B</v>
      </c>
      <c r="AK12" s="771"/>
      <c r="AL12" s="771"/>
      <c r="AM12" s="771"/>
      <c r="AN12" s="771"/>
      <c r="AO12" s="771"/>
      <c r="AP12" s="771"/>
      <c r="AQ12" s="771"/>
      <c r="AR12" s="771"/>
      <c r="AS12" s="771"/>
      <c r="AT12" s="772"/>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5</v>
      </c>
      <c r="BF12" s="139" cm="1">
        <f t="array" ref="BF12">BG12+BH12+BI12</f>
        <v>3</v>
      </c>
      <c r="BG12" s="139" cm="1">
        <f t="array" ref="BG12">COUNTIFS($AA$4:$AA$97,BD12,$D$4:$D$97,"Local")+COUNTIFS($AF$4:$AF$97,BD12,$D$4:$D$97,"Visitante")</f>
        <v>1</v>
      </c>
      <c r="BH12" s="139" cm="1">
        <f t="array" ref="BH12">COUNTIFS($AA$4:$AA$97,BD12,$D$4:$D$97,"Empate")+COUNTIFS($AF$4:$AF$97,BD12,$D$4:$D$97,"Empate")</f>
        <v>2</v>
      </c>
      <c r="BI12" s="139" cm="1">
        <f t="array" ref="BI12">COUNTIFS($AF$4:$AF$97,BD12,$D$4:$D$97,"Local")+COUNTIFS($AA$4:$AA$97,BD12,$D$4:$D$97,"Visitante")</f>
        <v>0</v>
      </c>
      <c r="BJ12" s="139" cm="1">
        <f t="array" ref="BJ12">SUMIFS($AC$4:$AC$97,$AA$4:$AA$97,BD12,$D$4:$D$97,"&lt;&gt;"&amp;"Pendiente",$AC$4:$AC$97,"&lt;&gt;"&amp;"",$AD$4:$AD$97,"&lt;&gt;"&amp;"")+SUMIFS($AD$4:$AD$97,$AF$4:$AF$97,BD12,$D$4:$D$97,"&lt;&gt;"&amp;"Pendiente",$AC$4:$AC$97,"&lt;&gt;"&amp;"",$AD$4:$AD$97,"&lt;&gt;"&amp;"")</f>
        <v>4</v>
      </c>
      <c r="BK12" s="139" cm="1">
        <f t="array" ref="BK12">SUMIFS($AC$4:$AC$97,$AF$4:$AF$97,BD12,$D$4:$D$97,"&lt;&gt;"&amp;"Pendiente",$AC$4:$AC$97,"&lt;&gt;"&amp;"",$AD$4:$AD$97,"&lt;&gt;"&amp;"")+SUMIFS($AD$4:$AD$97,$AA$4:$AA$97,BD12,$D$4:$D$97,"&lt;&gt;"&amp;"Pendiente",$AC$4:$AC$97,"&lt;&gt;"&amp;"",$AD$4:$AD$97,"&lt;&gt;"&amp;"")</f>
        <v>3</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5</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2</v>
      </c>
      <c r="BW12" s="139" cm="1">
        <f t="array" ref="BW12">IF($BT12="-","-",COUNTIFS($AA$4:$AA$97,$BD12,$D$4:$D$97,"Visitante",$F$4:$F$97,$BT12)+COUNTIFS($AF$4:$AF$97,$BD12,$D$4:$D$97,"Local",$E$4:$E$97,$BT12))</f>
        <v>0</v>
      </c>
      <c r="BX12" s="139" cm="1">
        <f t="array" ref="BX12">IF($BT12="-","-",BU12*3+BV12)</f>
        <v>5</v>
      </c>
      <c r="BY12" s="139">
        <v>1</v>
      </c>
      <c r="BZ12" s="112" t="s">
        <v>113</v>
      </c>
      <c r="CA12" s="139" cm="1">
        <f t="array" ref="CA12">IF($BZ12="-","-",SUMIFS($AC$4:$AC$97,$AA$4:$AA$97,$BD12,$I$4:$I$97,$BZ12)+SUMIFS($AD$4:$AD$97,$AF$4:$AF$97,$BD12,$H$4:$H$97,$BZ12))</f>
        <v>4</v>
      </c>
      <c r="CB12" s="139" cm="1">
        <f t="array" ref="CB12">IF($BZ12="-","-",SUMIFS($AD$4:$AD$97,$AA$4:$AA$97,$BD12,$I$4:$I$97,$BZ12)+SUMIFS($AC$4:$AC$97,$AF$4:$AF$97,$BD12,$H$4:$H$97,$BZ12))</f>
        <v>3</v>
      </c>
      <c r="CC12" s="139" cm="1">
        <f t="array" ref="CC12">IF($BZ12="-","-",CA12-CB12)</f>
        <v>1</v>
      </c>
      <c r="CD12" s="139">
        <v>1</v>
      </c>
      <c r="CE12" s="112" t="s">
        <v>113</v>
      </c>
      <c r="CF12" s="139" cm="1">
        <f t="array" ref="CF12">IF($CE12="-","-",SUMIFS($AC$4:$AC$97,$AA$4:$AA$97,$BD12,$L$4:$L$97,$CE12)+SUMIFS($AD$4:$AD$97,$AF$4:$AF$97,$BD12,$K$4:$K$97,$CE12))</f>
        <v>4</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2</v>
      </c>
      <c r="CK12" s="139" cm="1">
        <f t="array" ref="CK12">IF($CH12="-","-",COUNTIFS($AA$4:$AA$97,$BD12,$D$4:$D$97,"Visitante",$O$4:$O$97,$CH12)+COUNTIFS($AF$4:$AF$97,$BD12,$D$4:$D$97,"Local",$N$4:$N$97,$CH12))</f>
        <v>0</v>
      </c>
      <c r="CL12" s="139" cm="1">
        <f t="array" ref="CL12">IF($CH12="-","-",CI12*3+CJ12)</f>
        <v>5</v>
      </c>
      <c r="CM12" s="139">
        <v>1</v>
      </c>
      <c r="CN12" s="112" t="s">
        <v>113</v>
      </c>
      <c r="CO12" s="139" cm="1">
        <f t="array" ref="CO12">IF($CN12="-","-",SUMIFS($AC$4:$AC$97,$AA$4:$AA$97,$BD12,$R$4:$R$97,$CN12)+SUMIFS($AD$4:$AD$97,$AF$4:$AF$97,$BD12,$Q$4:$Q$97,$CN12))</f>
        <v>4</v>
      </c>
      <c r="CP12" s="139" cm="1">
        <f t="array" ref="CP12">IF($CN12="-","-",SUMIFS($AD$4:$AD$97,$AA$4:$AA$97,$BD12,$R$4:$R$97,$CN12)+SUMIFS($AC$4:$AC$97,$AF$4:$AF$97,$BD12,$Q$4:$Q$97,$CN12))</f>
        <v>3</v>
      </c>
      <c r="CQ12" s="139" cm="1">
        <f t="array" ref="CQ12">IF($CN12="-","-",CO12-CP12)</f>
        <v>1</v>
      </c>
      <c r="CR12" s="139">
        <v>1</v>
      </c>
      <c r="CS12" s="112" t="s">
        <v>113</v>
      </c>
      <c r="CT12" s="139" cm="1">
        <f t="array" ref="CT12">IF($CS12="-","-",SUMIFS($AC$4:$AC$97,$AA$4:$AA$97,$BD12,$U$4:$U$97,$CS12)+SUMIFS($AD$4:$AD$97,$AF$4:$AF$97,$BD12,$T$4:$T$97,$CS12))</f>
        <v>4</v>
      </c>
      <c r="CU12" s="139">
        <v>1</v>
      </c>
      <c r="CV12" s="112" t="s">
        <v>113</v>
      </c>
      <c r="CW12" s="139" cm="1">
        <f t="array" ref="CW12">IF(CV12="-","-",BL12)</f>
        <v>1</v>
      </c>
      <c r="CX12" s="139">
        <v>1</v>
      </c>
      <c r="CY12" s="112" t="s">
        <v>113</v>
      </c>
      <c r="CZ12" s="139" cm="1">
        <f t="array" ref="CZ12">IF(CY12="-","-",BJ12)</f>
        <v>4</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77"/>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7</v>
      </c>
      <c r="BF13" s="139" cm="1">
        <f t="array" ref="BF13">BG13+BH13+BI13</f>
        <v>3</v>
      </c>
      <c r="BG13" s="139" cm="1">
        <f t="array" ref="BG13">COUNTIFS($AA$4:$AA$97,BD13,$D$4:$D$97,"Local")+COUNTIFS($AF$4:$AF$97,BD13,$D$4:$D$97,"Visitante")</f>
        <v>2</v>
      </c>
      <c r="BH13" s="139" cm="1">
        <f t="array" ref="BH13">COUNTIFS($AA$4:$AA$97,BD13,$D$4:$D$97,"Empate")+COUNTIFS($AF$4:$AF$97,BD13,$D$4:$D$97,"Empate")</f>
        <v>1</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7</v>
      </c>
      <c r="BS13" s="139">
        <v>1</v>
      </c>
      <c r="BT13" s="112" t="s">
        <v>113</v>
      </c>
      <c r="BU13" s="139" cm="1">
        <f t="array" ref="BU13">IF($BT13="-","-",COUNTIFS($AA$4:$AA$97,$BD13,$D$4:$D$97,"Local",$F$4:$F$97,$BT13)+COUNTIFS($AF$4:$AF$97,$BD13,$D$4:$D$97,"Visitante",$E$4:$E$97,$BT13))</f>
        <v>2</v>
      </c>
      <c r="BV13" s="139" cm="1">
        <f t="array" ref="BV13">IF($BT13="-","-",COUNTIFS($AA$4:$AA$97,$BD13,$D$4:$D$97,"Empate",$F$4:$F$97,$BT13)+COUNTIFS($AF$4:$AF$97,$BD13,$D$4:$D$97,"Empate",$E$4:$E$97,$BT13))</f>
        <v>1</v>
      </c>
      <c r="BW13" s="139" cm="1">
        <f t="array" ref="BW13">IF($BT13="-","-",COUNTIFS($AA$4:$AA$97,$BD13,$D$4:$D$97,"Visitante",$F$4:$F$97,$BT13)+COUNTIFS($AF$4:$AF$97,$BD13,$D$4:$D$97,"Local",$E$4:$E$97,$BT13))</f>
        <v>0</v>
      </c>
      <c r="BX13" s="139" cm="1">
        <f t="array" ref="BX13">IF($BT13="-","-",BU13*3+BV13)</f>
        <v>7</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2</v>
      </c>
      <c r="CJ13" s="139" cm="1">
        <f t="array" ref="CJ13">IF($CH13="-","-",COUNTIFS($AA$4:$AA$97,$BD13,$D$4:$D$97,"Empate",$O$4:$O$97,$CH13)+COUNTIFS($AF$4:$AF$97,$BD13,$D$4:$D$97,"Empate",$N$4:$N$97,$CH13))</f>
        <v>1</v>
      </c>
      <c r="CK13" s="139" cm="1">
        <f t="array" ref="CK13">IF($CH13="-","-",COUNTIFS($AA$4:$AA$97,$BD13,$D$4:$D$97,"Visitante",$O$4:$O$97,$CH13)+COUNTIFS($AF$4:$AF$97,$BD13,$D$4:$D$97,"Local",$N$4:$N$97,$CH13))</f>
        <v>0</v>
      </c>
      <c r="CL13" s="139" cm="1">
        <f t="array" ref="CL13">IF($CH13="-","-",CI13*3+CJ13)</f>
        <v>7</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78"/>
      <c r="X14" s="96">
        <v>46191.625</v>
      </c>
      <c r="Y14" s="97">
        <v>46191.625</v>
      </c>
      <c r="Z14" s="113" t="str" cm="1">
        <f t="array" ref="Z14">$Z$6</f>
        <v>J2</v>
      </c>
      <c r="AA14" s="99" t="str" cm="1">
        <f t="array" ref="AA14">A16</f>
        <v>Suiza</v>
      </c>
      <c r="AB14" s="100"/>
      <c r="AC14" s="114">
        <v>2</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4</v>
      </c>
      <c r="AN14" s="131" cm="1">
        <f t="array" ref="AN14">INDEX($BE$6:$BN$53,MATCH($AL14,$BD$6:$BD$53,0),MATCH(AN$5,$BE$5:$BN$5,0))</f>
        <v>3</v>
      </c>
      <c r="AO14" s="131" cm="1">
        <f t="array" ref="AO14">INDEX($BE$6:$BN$53,MATCH($AL14,$BD$6:$BD$53,0),MATCH(AO$5,$BE$5:$BN$5,0))</f>
        <v>1</v>
      </c>
      <c r="AP14" s="131" cm="1">
        <f t="array" ref="AP14">INDEX($BE$6:$BN$53,MATCH($AL14,$BD$6:$BD$53,0),MATCH(AP$5,$BE$5:$BN$5,0))</f>
        <v>1</v>
      </c>
      <c r="AQ14" s="131" cm="1">
        <f t="array" ref="AQ14">INDEX($BE$6:$BN$53,MATCH($AL14,$BD$6:$BD$53,0),MATCH(AQ$5,$BE$5:$BN$5,0))</f>
        <v>1</v>
      </c>
      <c r="AR14" s="131" cm="1">
        <f t="array" ref="AR14">INDEX($BE$6:$BN$53,MATCH($AL14,$BD$6:$BD$53,0),MATCH(AR$5,$BE$5:$BN$5,0))</f>
        <v>5</v>
      </c>
      <c r="AS14" s="131" cm="1">
        <f t="array" ref="AS14">INDEX($BE$6:$BN$53,MATCH($AL14,$BD$6:$BD$53,0),MATCH(AS$5,$BE$5:$BN$5,0))</f>
        <v>4</v>
      </c>
      <c r="AT14" s="205" cm="1">
        <f t="array" ref="AT14">INDEX($BE$6:$BN$53,MATCH($AL14,$BD$6:$BD$53,0),MATCH(AT$5,$BE$5:$BN$5,0))</f>
        <v>1</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7</v>
      </c>
      <c r="BK14" s="139" cm="1">
        <f t="array" ref="BK14">SUMIFS($AC$4:$AC$97,$AF$4:$AF$97,BD14,$D$4:$D$97,"&lt;&gt;"&amp;"Pendiente",$AC$4:$AC$97,"&lt;&gt;"&amp;"",$AD$4:$AD$97,"&lt;&gt;"&amp;"")+SUMIFS($AD$4:$AD$97,$AA$4:$AA$97,BD14,$D$4:$D$97,"&lt;&gt;"&amp;"Pendiente",$AC$4:$AC$97,"&lt;&gt;"&amp;"",$AD$4:$AD$97,"&lt;&gt;"&amp;"")</f>
        <v>2</v>
      </c>
      <c r="BL14" s="139" cm="1">
        <f t="array" ref="BL14">BJ14-BK14</f>
        <v>5</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7</v>
      </c>
      <c r="CB14" s="139" cm="1">
        <f t="array" ref="CB14">IF($BZ14="-","-",SUMIFS($AD$4:$AD$97,$AA$4:$AA$97,$BD14,$I$4:$I$97,$BZ14)+SUMIFS($AC$4:$AC$97,$AF$4:$AF$97,$BD14,$H$4:$H$97,$BZ14))</f>
        <v>2</v>
      </c>
      <c r="CC14" s="139" cm="1">
        <f t="array" ref="CC14">IF($BZ14="-","-",CA14-CB14)</f>
        <v>5</v>
      </c>
      <c r="CD14" s="139">
        <v>1</v>
      </c>
      <c r="CE14" s="112" t="s">
        <v>113</v>
      </c>
      <c r="CF14" s="139" cm="1">
        <f t="array" ref="CF14">IF($CE14="-","-",SUMIFS($AC$4:$AC$97,$AA$4:$AA$97,$BD14,$L$4:$L$97,$CE14)+SUMIFS($AD$4:$AD$97,$AF$4:$AF$97,$BD14,$K$4:$K$97,$CE14))</f>
        <v>7</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7</v>
      </c>
      <c r="CP14" s="139" cm="1">
        <f t="array" ref="CP14">IF($CN14="-","-",SUMIFS($AD$4:$AD$97,$AA$4:$AA$97,$BD14,$R$4:$R$97,$CN14)+SUMIFS($AC$4:$AC$97,$AF$4:$AF$97,$BD14,$Q$4:$Q$97,$CN14))</f>
        <v>2</v>
      </c>
      <c r="CQ14" s="139" cm="1">
        <f t="array" ref="CQ14">IF($CN14="-","-",CO14-CP14)</f>
        <v>5</v>
      </c>
      <c r="CR14" s="139">
        <v>1</v>
      </c>
      <c r="CS14" s="112" t="s">
        <v>113</v>
      </c>
      <c r="CT14" s="139" cm="1">
        <f t="array" ref="CT14">IF($CS14="-","-",SUMIFS($AC$4:$AC$97,$AA$4:$AA$97,$BD14,$U$4:$U$97,$CS14)+SUMIFS($AD$4:$AD$97,$AF$4:$AF$97,$BD14,$T$4:$T$97,$CS14))</f>
        <v>7</v>
      </c>
      <c r="CU14" s="139">
        <v>1</v>
      </c>
      <c r="CV14" s="112" t="s">
        <v>113</v>
      </c>
      <c r="CW14" s="139" cm="1">
        <f t="array" ref="CW14">IF(CV14="-","-",BL14)</f>
        <v>5</v>
      </c>
      <c r="CX14" s="139">
        <v>1</v>
      </c>
      <c r="CY14" s="112" t="s">
        <v>113</v>
      </c>
      <c r="CZ14" s="139" cm="1">
        <f t="array" ref="CZ14">IF(CY14="-","-",BJ14)</f>
        <v>7</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Empate</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78"/>
      <c r="X15" s="96">
        <v>46191.75</v>
      </c>
      <c r="Y15" s="97">
        <v>46191.75</v>
      </c>
      <c r="Z15" s="113" t="str" cm="1">
        <f t="array" ref="Z15">$Z$6</f>
        <v>J2</v>
      </c>
      <c r="AA15" s="99" t="str" cm="1">
        <f t="array" ref="AA15">A13</f>
        <v>Canadá</v>
      </c>
      <c r="AB15" s="100"/>
      <c r="AC15" s="114">
        <v>2</v>
      </c>
      <c r="AD15" s="114">
        <v>2</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5</v>
      </c>
      <c r="BK15" s="139" cm="1">
        <f t="array" ref="BK15">SUMIFS($AC$4:$AC$97,$AF$4:$AF$97,BD15,$D$4:$D$97,"&lt;&gt;"&amp;"Pendiente",$AC$4:$AC$97,"&lt;&gt;"&amp;"",$AD$4:$AD$97,"&lt;&gt;"&amp;"")+SUMIFS($AD$4:$AD$97,$AA$4:$AA$97,BD15,$D$4:$D$97,"&lt;&gt;"&amp;"Pendiente",$AC$4:$AC$97,"&lt;&gt;"&amp;"",$AD$4:$AD$97,"&lt;&gt;"&amp;"")</f>
        <v>2</v>
      </c>
      <c r="BL15" s="139" cm="1">
        <f t="array" ref="BL15">BJ15-BK15</f>
        <v>3</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5</v>
      </c>
      <c r="CB15" s="139" cm="1">
        <f t="array" ref="CB15">IF($BZ15="-","-",SUMIFS($AD$4:$AD$97,$AA$4:$AA$97,$BD15,$I$4:$I$97,$BZ15)+SUMIFS($AC$4:$AC$97,$AF$4:$AF$97,$BD15,$H$4:$H$97,$BZ15))</f>
        <v>2</v>
      </c>
      <c r="CC15" s="139" cm="1">
        <f t="array" ref="CC15">IF($BZ15="-","-",CA15-CB15)</f>
        <v>3</v>
      </c>
      <c r="CD15" s="139">
        <v>1</v>
      </c>
      <c r="CE15" s="112" t="s">
        <v>113</v>
      </c>
      <c r="CF15" s="139" cm="1">
        <f t="array" ref="CF15">IF($CE15="-","-",SUMIFS($AC$4:$AC$97,$AA$4:$AA$97,$BD15,$L$4:$L$97,$CE15)+SUMIFS($AD$4:$AD$97,$AF$4:$AF$97,$BD15,$K$4:$K$97,$CE15))</f>
        <v>5</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5</v>
      </c>
      <c r="CP15" s="139" cm="1">
        <f t="array" ref="CP15">IF($CN15="-","-",SUMIFS($AD$4:$AD$97,$AA$4:$AA$97,$BD15,$R$4:$R$97,$CN15)+SUMIFS($AC$4:$AC$97,$AF$4:$AF$97,$BD15,$Q$4:$Q$97,$CN15))</f>
        <v>2</v>
      </c>
      <c r="CQ15" s="139" cm="1">
        <f t="array" ref="CQ15">IF($CN15="-","-",CO15-CP15)</f>
        <v>3</v>
      </c>
      <c r="CR15" s="139">
        <v>1</v>
      </c>
      <c r="CS15" s="112" t="s">
        <v>113</v>
      </c>
      <c r="CT15" s="139" cm="1">
        <f t="array" ref="CT15">IF($CS15="-","-",SUMIFS($AC$4:$AC$97,$AA$4:$AA$97,$BD15,$U$4:$U$97,$CS15)+SUMIFS($AD$4:$AD$97,$AF$4:$AF$97,$BD15,$T$4:$T$97,$CS15))</f>
        <v>5</v>
      </c>
      <c r="CU15" s="139">
        <v>1</v>
      </c>
      <c r="CV15" s="112" t="s">
        <v>113</v>
      </c>
      <c r="CW15" s="139" cm="1">
        <f t="array" ref="CW15">IF(CV15="-","-",BL15)</f>
        <v>3</v>
      </c>
      <c r="CX15" s="139">
        <v>1</v>
      </c>
      <c r="CY15" s="112" t="s">
        <v>113</v>
      </c>
      <c r="CZ15" s="139" cm="1">
        <f t="array" ref="CZ15">IF(CY15="-","-",BJ15)</f>
        <v>5</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Local</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78"/>
      <c r="X16" s="96">
        <v>46197.625</v>
      </c>
      <c r="Y16" s="97">
        <v>46197.625</v>
      </c>
      <c r="Z16" s="113" t="str" cm="1">
        <f t="array" ref="Z16">$Z$8</f>
        <v>J3</v>
      </c>
      <c r="AA16" s="99" t="str" cm="1">
        <f t="array" ref="AA16">A16</f>
        <v>Suiza</v>
      </c>
      <c r="AB16" s="100"/>
      <c r="AC16" s="114">
        <v>2</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5</v>
      </c>
      <c r="AN16" s="144" cm="1">
        <f t="array" ref="AN16">INDEX($BE$6:$BN$53,MATCH($AL16,$BD$6:$BD$53,0),MATCH(AN$5,$BE$5:$BN$5,0))</f>
        <v>3</v>
      </c>
      <c r="AO16" s="144" cm="1">
        <f t="array" ref="AO16">INDEX($BE$6:$BN$53,MATCH($AL16,$BD$6:$BD$53,0),MATCH(AO$5,$BE$5:$BN$5,0))</f>
        <v>1</v>
      </c>
      <c r="AP16" s="144" cm="1">
        <f t="array" ref="AP16">INDEX($BE$6:$BN$53,MATCH($AL16,$BD$6:$BD$53,0),MATCH(AP$5,$BE$5:$BN$5,0))</f>
        <v>2</v>
      </c>
      <c r="AQ16" s="144" cm="1">
        <f t="array" ref="AQ16">INDEX($BE$6:$BN$53,MATCH($AL16,$BD$6:$BD$53,0),MATCH(AQ$5,$BE$5:$BN$5,0))</f>
        <v>0</v>
      </c>
      <c r="AR16" s="144" cm="1">
        <f t="array" ref="AR16">INDEX($BE$6:$BN$53,MATCH($AL16,$BD$6:$BD$53,0),MATCH(AR$5,$BE$5:$BN$5,0))</f>
        <v>4</v>
      </c>
      <c r="AS16" s="144" cm="1">
        <f t="array" ref="AS16">INDEX($BE$6:$BN$53,MATCH($AL16,$BD$6:$BD$53,0),MATCH(AS$5,$BE$5:$BN$5,0))</f>
        <v>3</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1</v>
      </c>
      <c r="BF16" s="139" cm="1">
        <f t="array" ref="BF16">BG16+BH16+BI16</f>
        <v>3</v>
      </c>
      <c r="BG16" s="139" cm="1">
        <f t="array" ref="BG16">COUNTIFS($AA$4:$AA$97,BD16,$D$4:$D$97,"Local")+COUNTIFS($AF$4:$AF$97,BD16,$D$4:$D$97,"Visitante")</f>
        <v>0</v>
      </c>
      <c r="BH16" s="139" cm="1">
        <f t="array" ref="BH16">COUNTIFS($AA$4:$AA$97,BD16,$D$4:$D$97,"Empate")+COUNTIFS($AF$4:$AF$97,BD16,$D$4:$D$97,"Empate")</f>
        <v>1</v>
      </c>
      <c r="BI16" s="139" cm="1">
        <f t="array" ref="BI16">COUNTIFS($AF$4:$AF$97,BD16,$D$4:$D$97,"Local")+COUNTIFS($AA$4:$AA$97,BD16,$D$4:$D$97,"Visitante")</f>
        <v>2</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4</v>
      </c>
      <c r="BL16" s="139" cm="1">
        <f t="array" ref="BL16">BJ16-BK16</f>
        <v>-4</v>
      </c>
      <c r="BM16" s="126" t="str" cm="1">
        <f t="array" ref="BM16">DD16&amp;BC16</f>
        <v>3C</v>
      </c>
      <c r="BN16" s="126" t="str" cm="1">
        <f t="array" ref="BN16">DH16&amp;BC16</f>
        <v>3C</v>
      </c>
      <c r="BO16" s="139" cm="1">
        <f t="array" ref="BO16">IF(AND($AJ$99=144,BF16&gt;=1),1,0)</f>
        <v>0</v>
      </c>
      <c r="BP16" s="139">
        <v>1</v>
      </c>
      <c r="BQ16" s="112" t="s">
        <v>113</v>
      </c>
      <c r="BR16" s="139" cm="1">
        <f t="array" ref="BR16">IF($BQ16="-","-",BE16)</f>
        <v>1</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1</v>
      </c>
      <c r="BW16" s="139" cm="1">
        <f t="array" ref="BW16">IF($BT16="-","-",COUNTIFS($AA$4:$AA$97,$BD16,$D$4:$D$97,"Visitante",$F$4:$F$97,$BT16)+COUNTIFS($AF$4:$AF$97,$BD16,$D$4:$D$97,"Local",$E$4:$E$97,$BT16))</f>
        <v>2</v>
      </c>
      <c r="BX16" s="139" cm="1">
        <f t="array" ref="BX16">IF($BT16="-","-",BU16*3+BV16)</f>
        <v>1</v>
      </c>
      <c r="BY16" s="139">
        <v>1</v>
      </c>
      <c r="BZ16" s="112" t="s">
        <v>113</v>
      </c>
      <c r="CA16" s="139" cm="1">
        <f t="array" ref="CA16">IF($BZ16="-","-",SUMIFS($AC$4:$AC$97,$AA$4:$AA$97,$BD16,$I$4:$I$97,$BZ16)+SUMIFS($AD$4:$AD$97,$AF$4:$AF$97,$BD16,$H$4:$H$97,$BZ16))</f>
        <v>0</v>
      </c>
      <c r="CB16" s="139" cm="1">
        <f t="array" ref="CB16">IF($BZ16="-","-",SUMIFS($AD$4:$AD$97,$AA$4:$AA$97,$BD16,$I$4:$I$97,$BZ16)+SUMIFS($AC$4:$AC$97,$AF$4:$AF$97,$BD16,$H$4:$H$97,$BZ16))</f>
        <v>4</v>
      </c>
      <c r="CC16" s="139" cm="1">
        <f t="array" ref="CC16">IF($BZ16="-","-",CA16-CB16)</f>
        <v>-4</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1</v>
      </c>
      <c r="CK16" s="139" cm="1">
        <f t="array" ref="CK16">IF($CH16="-","-",COUNTIFS($AA$4:$AA$97,$BD16,$D$4:$D$97,"Visitante",$O$4:$O$97,$CH16)+COUNTIFS($AF$4:$AF$97,$BD16,$D$4:$D$97,"Local",$N$4:$N$97,$CH16))</f>
        <v>2</v>
      </c>
      <c r="CL16" s="139" cm="1">
        <f t="array" ref="CL16">IF($CH16="-","-",CI16*3+CJ16)</f>
        <v>1</v>
      </c>
      <c r="CM16" s="139">
        <v>1</v>
      </c>
      <c r="CN16" s="112" t="s">
        <v>113</v>
      </c>
      <c r="CO16" s="139" cm="1">
        <f t="array" ref="CO16">IF($CN16="-","-",SUMIFS($AC$4:$AC$97,$AA$4:$AA$97,$BD16,$R$4:$R$97,$CN16)+SUMIFS($AD$4:$AD$97,$AF$4:$AF$97,$BD16,$Q$4:$Q$97,$CN16))</f>
        <v>0</v>
      </c>
      <c r="CP16" s="139" cm="1">
        <f t="array" ref="CP16">IF($CN16="-","-",SUMIFS($AD$4:$AD$97,$AA$4:$AA$97,$BD16,$R$4:$R$97,$CN16)+SUMIFS($AC$4:$AC$97,$AF$4:$AF$97,$BD16,$Q$4:$Q$97,$CN16))</f>
        <v>4</v>
      </c>
      <c r="CQ16" s="139" cm="1">
        <f t="array" ref="CQ16">IF($CN16="-","-",CO16-CP16)</f>
        <v>-4</v>
      </c>
      <c r="CR16" s="139">
        <v>1</v>
      </c>
      <c r="CS16" s="112" t="s">
        <v>113</v>
      </c>
      <c r="CT16" s="139" cm="1">
        <f t="array" ref="CT16">IF($CS16="-","-",SUMIFS($AC$4:$AC$97,$AA$4:$AA$97,$BD16,$U$4:$U$97,$CS16)+SUMIFS($AD$4:$AD$97,$AF$4:$AF$97,$BD16,$T$4:$T$97,$CS16))</f>
        <v>0</v>
      </c>
      <c r="CU16" s="139">
        <v>1</v>
      </c>
      <c r="CV16" s="112" t="s">
        <v>113</v>
      </c>
      <c r="CW16" s="139" cm="1">
        <f t="array" ref="CW16">IF(CV16="-","-",BL16)</f>
        <v>-4</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79"/>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7</v>
      </c>
      <c r="AN17" s="214" cm="1">
        <f t="array" ref="AN17">INDEX($BE$6:$BN$53,MATCH($AL17,$BD$6:$BD$53,0),MATCH(AN$5,$BE$5:$BN$5,0))</f>
        <v>3</v>
      </c>
      <c r="AO17" s="214" cm="1">
        <f t="array" ref="AO17">INDEX($BE$6:$BN$53,MATCH($AL17,$BD$6:$BD$53,0),MATCH(AO$5,$BE$5:$BN$5,0))</f>
        <v>2</v>
      </c>
      <c r="AP17" s="214" cm="1">
        <f t="array" ref="AP17">INDEX($BE$6:$BN$53,MATCH($AL17,$BD$6:$BD$53,0),MATCH(AP$5,$BE$5:$BN$5,0))</f>
        <v>1</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1</v>
      </c>
      <c r="BF17" s="139" cm="1">
        <f t="array" ref="BF17">BG17+BH17+BI17</f>
        <v>3</v>
      </c>
      <c r="BG17" s="139" cm="1">
        <f t="array" ref="BG17">COUNTIFS($AA$4:$AA$97,BD17,$D$4:$D$97,"Local")+COUNTIFS($AF$4:$AF$97,BD17,$D$4:$D$97,"Visitante")</f>
        <v>0</v>
      </c>
      <c r="BH17" s="139" cm="1">
        <f t="array" ref="BH17">COUNTIFS($AA$4:$AA$97,BD17,$D$4:$D$97,"Empate")+COUNTIFS($AF$4:$AF$97,BD17,$D$4:$D$97,"Empate")</f>
        <v>1</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1</v>
      </c>
      <c r="BK17" s="139" cm="1">
        <f t="array" ref="BK17">SUMIFS($AC$4:$AC$97,$AF$4:$AF$97,BD17,$D$4:$D$97,"&lt;&gt;"&amp;"Pendiente",$AC$4:$AC$97,"&lt;&gt;"&amp;"",$AD$4:$AD$97,"&lt;&gt;"&amp;"")+SUMIFS($AD$4:$AD$97,$AA$4:$AA$97,BD17,$D$4:$D$97,"&lt;&gt;"&amp;"Pendiente",$AC$4:$AC$97,"&lt;&gt;"&amp;"",$AD$4:$AD$97,"&lt;&gt;"&amp;"")</f>
        <v>5</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1</v>
      </c>
      <c r="BS17" s="139">
        <v>1</v>
      </c>
      <c r="BT17" s="112" t="s">
        <v>113</v>
      </c>
      <c r="BU17" s="139" cm="1">
        <f t="array" ref="BU17">IF($BT17="-","-",COUNTIFS($AA$4:$AA$97,$BD17,$D$4:$D$97,"Local",$F$4:$F$97,$BT17)+COUNTIFS($AF$4:$AF$97,$BD17,$D$4:$D$97,"Visitante",$E$4:$E$97,$BT17))</f>
        <v>0</v>
      </c>
      <c r="BV17" s="139" cm="1">
        <f t="array" ref="BV17">IF($BT17="-","-",COUNTIFS($AA$4:$AA$97,$BD17,$D$4:$D$97,"Empate",$F$4:$F$97,$BT17)+COUNTIFS($AF$4:$AF$97,$BD17,$D$4:$D$97,"Empate",$E$4:$E$97,$BT17))</f>
        <v>1</v>
      </c>
      <c r="BW17" s="139" cm="1">
        <f t="array" ref="BW17">IF($BT17="-","-",COUNTIFS($AA$4:$AA$97,$BD17,$D$4:$D$97,"Visitante",$F$4:$F$97,$BT17)+COUNTIFS($AF$4:$AF$97,$BD17,$D$4:$D$97,"Local",$E$4:$E$97,$BT17))</f>
        <v>2</v>
      </c>
      <c r="BX17" s="139" cm="1">
        <f t="array" ref="BX17">IF($BT17="-","-",BU17*3+BV17)</f>
        <v>1</v>
      </c>
      <c r="BY17" s="139">
        <v>1</v>
      </c>
      <c r="BZ17" s="112" t="s">
        <v>113</v>
      </c>
      <c r="CA17" s="139" cm="1">
        <f t="array" ref="CA17">IF($BZ17="-","-",SUMIFS($AC$4:$AC$97,$AA$4:$AA$97,$BD17,$I$4:$I$97,$BZ17)+SUMIFS($AD$4:$AD$97,$AF$4:$AF$97,$BD17,$H$4:$H$97,$BZ17))</f>
        <v>1</v>
      </c>
      <c r="CB17" s="139" cm="1">
        <f t="array" ref="CB17">IF($BZ17="-","-",SUMIFS($AD$4:$AD$97,$AA$4:$AA$97,$BD17,$I$4:$I$97,$BZ17)+SUMIFS($AC$4:$AC$97,$AF$4:$AF$97,$BD17,$H$4:$H$97,$BZ17))</f>
        <v>5</v>
      </c>
      <c r="CC17" s="139" cm="1">
        <f t="array" ref="CC17">IF($BZ17="-","-",CA17-CB17)</f>
        <v>-4</v>
      </c>
      <c r="CD17" s="139">
        <v>1</v>
      </c>
      <c r="CE17" s="112" t="s">
        <v>113</v>
      </c>
      <c r="CF17" s="139" cm="1">
        <f t="array" ref="CF17">IF($CE17="-","-",SUMIFS($AC$4:$AC$97,$AA$4:$AA$97,$BD17,$L$4:$L$97,$CE17)+SUMIFS($AD$4:$AD$97,$AF$4:$AF$97,$BD17,$K$4:$K$97,$CE17))</f>
        <v>1</v>
      </c>
      <c r="CG17" s="139">
        <v>1</v>
      </c>
      <c r="CH17" s="112" t="s">
        <v>113</v>
      </c>
      <c r="CI17" s="139" cm="1">
        <f t="array" ref="CI17">IF($CH17="-","-",COUNTIFS($AA$4:$AA$97,$BD17,$D$4:$D$97,"Local",$O$4:$O$97,$CH17)+COUNTIFS($AF$4:$AF$97,$BD17,$D$4:$D$97,"Visitante",$N$4:$N$97,$CH17))</f>
        <v>0</v>
      </c>
      <c r="CJ17" s="139" cm="1">
        <f t="array" ref="CJ17">IF($CH17="-","-",COUNTIFS($AA$4:$AA$97,$BD17,$D$4:$D$97,"Empate",$O$4:$O$97,$CH17)+COUNTIFS($AF$4:$AF$97,$BD17,$D$4:$D$97,"Empate",$N$4:$N$97,$CH17))</f>
        <v>1</v>
      </c>
      <c r="CK17" s="139" cm="1">
        <f t="array" ref="CK17">IF($CH17="-","-",COUNTIFS($AA$4:$AA$97,$BD17,$D$4:$D$97,"Visitante",$O$4:$O$97,$CH17)+COUNTIFS($AF$4:$AF$97,$BD17,$D$4:$D$97,"Local",$N$4:$N$97,$CH17))</f>
        <v>2</v>
      </c>
      <c r="CL17" s="139" cm="1">
        <f t="array" ref="CL17">IF($CH17="-","-",CI17*3+CJ17)</f>
        <v>1</v>
      </c>
      <c r="CM17" s="139">
        <v>1</v>
      </c>
      <c r="CN17" s="112" t="s">
        <v>113</v>
      </c>
      <c r="CO17" s="139" cm="1">
        <f t="array" ref="CO17">IF($CN17="-","-",SUMIFS($AC$4:$AC$97,$AA$4:$AA$97,$BD17,$R$4:$R$97,$CN17)+SUMIFS($AD$4:$AD$97,$AF$4:$AF$97,$BD17,$Q$4:$Q$97,$CN17))</f>
        <v>1</v>
      </c>
      <c r="CP17" s="139" cm="1">
        <f t="array" ref="CP17">IF($CN17="-","-",SUMIFS($AD$4:$AD$97,$AA$4:$AA$97,$BD17,$R$4:$R$97,$CN17)+SUMIFS($AC$4:$AC$97,$AF$4:$AF$97,$BD17,$Q$4:$Q$97,$CN17))</f>
        <v>5</v>
      </c>
      <c r="CQ17" s="139" cm="1">
        <f t="array" ref="CQ17">IF($CN17="-","-",CO17-CP17)</f>
        <v>-4</v>
      </c>
      <c r="CR17" s="139">
        <v>1</v>
      </c>
      <c r="CS17" s="112" t="s">
        <v>113</v>
      </c>
      <c r="CT17" s="139" cm="1">
        <f t="array" ref="CT17">IF($CS17="-","-",SUMIFS($AC$4:$AC$97,$AA$4:$AA$97,$BD17,$U$4:$U$97,$CS17)+SUMIFS($AD$4:$AD$97,$AF$4:$AF$97,$BD17,$T$4:$T$97,$CS17))</f>
        <v>1</v>
      </c>
      <c r="CU17" s="139">
        <v>1</v>
      </c>
      <c r="CV17" s="112" t="s">
        <v>113</v>
      </c>
      <c r="CW17" s="139" cm="1">
        <f t="array" ref="CW17">IF(CV17="-","-",BL17)</f>
        <v>-4</v>
      </c>
      <c r="CX17" s="139">
        <v>1</v>
      </c>
      <c r="CY17" s="112" t="s">
        <v>113</v>
      </c>
      <c r="CZ17" s="139" cm="1">
        <f t="array" ref="CZ17">IF(CY17="-","-",BJ17)</f>
        <v>1</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6</v>
      </c>
      <c r="BF18" s="139" cm="1">
        <f t="array" ref="BF18">BG18+BH18+BI18</f>
        <v>3</v>
      </c>
      <c r="BG18" s="139" cm="1">
        <f t="array" ref="BG18">COUNTIFS($AA$4:$AA$97,BD18,$D$4:$D$97,"Local")+COUNTIFS($AF$4:$AF$97,BD18,$D$4:$D$97,"Visitante")</f>
        <v>2</v>
      </c>
      <c r="BH18" s="139" cm="1">
        <f t="array" ref="BH18">COUNTIFS($AA$4:$AA$97,BD18,$D$4:$D$97,"Empate")+COUNTIFS($AF$4:$AF$97,BD18,$D$4:$D$97,"Empate")</f>
        <v>0</v>
      </c>
      <c r="BI18" s="139" cm="1">
        <f t="array" ref="BI18">COUNTIFS($AF$4:$AF$97,BD18,$D$4:$D$97,"Local")+COUNTIFS($AA$4:$AA$97,BD18,$D$4:$D$97,"Visitante")</f>
        <v>1</v>
      </c>
      <c r="BJ18" s="139" cm="1">
        <f t="array" ref="BJ18">SUMIFS($AC$4:$AC$97,$AA$4:$AA$97,BD18,$D$4:$D$97,"&lt;&gt;"&amp;"Pendiente",$AC$4:$AC$97,"&lt;&gt;"&amp;"",$AD$4:$AD$97,"&lt;&gt;"&amp;"")+SUMIFS($AD$4:$AD$97,$AF$4:$AF$97,BD18,$D$4:$D$97,"&lt;&gt;"&amp;"Pendiente",$AC$4:$AC$97,"&lt;&gt;"&amp;"",$AD$4:$AD$97,"&lt;&gt;"&amp;"")</f>
        <v>3</v>
      </c>
      <c r="BK18" s="139" cm="1">
        <f t="array" ref="BK18">SUMIFS($AC$4:$AC$97,$AF$4:$AF$97,BD18,$D$4:$D$97,"&lt;&gt;"&amp;"Pendiente",$AC$4:$AC$97,"&lt;&gt;"&amp;"",$AD$4:$AD$97,"&lt;&gt;"&amp;"")+SUMIFS($AD$4:$AD$97,$AA$4:$AA$97,BD18,$D$4:$D$97,"&lt;&gt;"&amp;"Pendiente",$AC$4:$AC$97,"&lt;&gt;"&amp;"",$AD$4:$AD$97,"&lt;&gt;"&amp;"")</f>
        <v>2</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6</v>
      </c>
      <c r="BS18" s="139">
        <v>1</v>
      </c>
      <c r="BT18" s="112" t="s">
        <v>113</v>
      </c>
      <c r="BU18" s="139" cm="1">
        <f t="array" ref="BU18">IF($BT18="-","-",COUNTIFS($AA$4:$AA$97,$BD18,$D$4:$D$97,"Local",$F$4:$F$97,$BT18)+COUNTIFS($AF$4:$AF$97,$BD18,$D$4:$D$97,"Visitante",$E$4:$E$97,$BT18))</f>
        <v>2</v>
      </c>
      <c r="BV18" s="139" cm="1">
        <f t="array" ref="BV18">IF($BT18="-","-",COUNTIFS($AA$4:$AA$97,$BD18,$D$4:$D$97,"Empate",$F$4:$F$97,$BT18)+COUNTIFS($AF$4:$AF$97,$BD18,$D$4:$D$97,"Empate",$E$4:$E$97,$BT18))</f>
        <v>0</v>
      </c>
      <c r="BW18" s="139" cm="1">
        <f t="array" ref="BW18">IF($BT18="-","-",COUNTIFS($AA$4:$AA$97,$BD18,$D$4:$D$97,"Visitante",$F$4:$F$97,$BT18)+COUNTIFS($AF$4:$AF$97,$BD18,$D$4:$D$97,"Local",$E$4:$E$97,$BT18))</f>
        <v>1</v>
      </c>
      <c r="BX18" s="139" cm="1">
        <f t="array" ref="BX18">IF($BT18="-","-",BU18*3+BV18)</f>
        <v>6</v>
      </c>
      <c r="BY18" s="139">
        <v>1</v>
      </c>
      <c r="BZ18" s="112" t="s">
        <v>113</v>
      </c>
      <c r="CA18" s="139" cm="1">
        <f t="array" ref="CA18">IF($BZ18="-","-",SUMIFS($AC$4:$AC$97,$AA$4:$AA$97,$BD18,$I$4:$I$97,$BZ18)+SUMIFS($AD$4:$AD$97,$AF$4:$AF$97,$BD18,$H$4:$H$97,$BZ18))</f>
        <v>3</v>
      </c>
      <c r="CB18" s="139" cm="1">
        <f t="array" ref="CB18">IF($BZ18="-","-",SUMIFS($AD$4:$AD$97,$AA$4:$AA$97,$BD18,$I$4:$I$97,$BZ18)+SUMIFS($AC$4:$AC$97,$AF$4:$AF$97,$BD18,$H$4:$H$97,$BZ18))</f>
        <v>2</v>
      </c>
      <c r="CC18" s="139" cm="1">
        <f t="array" ref="CC18">IF($BZ18="-","-",CA18-CB18)</f>
        <v>1</v>
      </c>
      <c r="CD18" s="139">
        <v>1</v>
      </c>
      <c r="CE18" s="112" t="s">
        <v>113</v>
      </c>
      <c r="CF18" s="139" cm="1">
        <f t="array" ref="CF18">IF($CE18="-","-",SUMIFS($AC$4:$AC$97,$AA$4:$AA$97,$BD18,$L$4:$L$97,$CE18)+SUMIFS($AD$4:$AD$97,$AF$4:$AF$97,$BD18,$K$4:$K$97,$CE18))</f>
        <v>3</v>
      </c>
      <c r="CG18" s="139">
        <v>1</v>
      </c>
      <c r="CH18" s="112" t="s">
        <v>113</v>
      </c>
      <c r="CI18" s="139" cm="1">
        <f t="array" ref="CI18">IF($CH18="-","-",COUNTIFS($AA$4:$AA$97,$BD18,$D$4:$D$97,"Local",$O$4:$O$97,$CH18)+COUNTIFS($AF$4:$AF$97,$BD18,$D$4:$D$97,"Visitante",$N$4:$N$97,$CH18))</f>
        <v>2</v>
      </c>
      <c r="CJ18" s="139" cm="1">
        <f t="array" ref="CJ18">IF($CH18="-","-",COUNTIFS($AA$4:$AA$97,$BD18,$D$4:$D$97,"Empate",$O$4:$O$97,$CH18)+COUNTIFS($AF$4:$AF$97,$BD18,$D$4:$D$97,"Empate",$N$4:$N$97,$CH18))</f>
        <v>0</v>
      </c>
      <c r="CK18" s="139" cm="1">
        <f t="array" ref="CK18">IF($CH18="-","-",COUNTIFS($AA$4:$AA$97,$BD18,$D$4:$D$97,"Visitante",$O$4:$O$97,$CH18)+COUNTIFS($AF$4:$AF$97,$BD18,$D$4:$D$97,"Local",$N$4:$N$97,$CH18))</f>
        <v>1</v>
      </c>
      <c r="CL18" s="139" cm="1">
        <f t="array" ref="CL18">IF($CH18="-","-",CI18*3+CJ18)</f>
        <v>6</v>
      </c>
      <c r="CM18" s="139">
        <v>1</v>
      </c>
      <c r="CN18" s="112" t="s">
        <v>113</v>
      </c>
      <c r="CO18" s="139" cm="1">
        <f t="array" ref="CO18">IF($CN18="-","-",SUMIFS($AC$4:$AC$97,$AA$4:$AA$97,$BD18,$R$4:$R$97,$CN18)+SUMIFS($AD$4:$AD$97,$AF$4:$AF$97,$BD18,$Q$4:$Q$97,$CN18))</f>
        <v>3</v>
      </c>
      <c r="CP18" s="139" cm="1">
        <f t="array" ref="CP18">IF($CN18="-","-",SUMIFS($AD$4:$AD$97,$AA$4:$AA$97,$BD18,$R$4:$R$97,$CN18)+SUMIFS($AC$4:$AC$97,$AF$4:$AF$97,$BD18,$Q$4:$Q$97,$CN18))</f>
        <v>2</v>
      </c>
      <c r="CQ18" s="139" cm="1">
        <f t="array" ref="CQ18">IF($CN18="-","-",CO18-CP18)</f>
        <v>1</v>
      </c>
      <c r="CR18" s="139">
        <v>1</v>
      </c>
      <c r="CS18" s="112" t="s">
        <v>113</v>
      </c>
      <c r="CT18" s="139" cm="1">
        <f t="array" ref="CT18">IF($CS18="-","-",SUMIFS($AC$4:$AC$97,$AA$4:$AA$97,$BD18,$U$4:$U$97,$CS18)+SUMIFS($AD$4:$AD$97,$AF$4:$AF$97,$BD18,$T$4:$T$97,$CS18))</f>
        <v>3</v>
      </c>
      <c r="CU18" s="139">
        <v>1</v>
      </c>
      <c r="CV18" s="112" t="s">
        <v>113</v>
      </c>
      <c r="CW18" s="139" cm="1">
        <f t="array" ref="CW18">IF(CV18="-","-",BL18)</f>
        <v>1</v>
      </c>
      <c r="CX18" s="139">
        <v>1</v>
      </c>
      <c r="CY18" s="112" t="s">
        <v>113</v>
      </c>
      <c r="CZ18" s="139" cm="1">
        <f t="array" ref="CZ18">IF(CY18="-","-",BJ18)</f>
        <v>3</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3</v>
      </c>
      <c r="BF19" s="139" cm="1">
        <f t="array" ref="BF19">BG19+BH19+BI19</f>
        <v>3</v>
      </c>
      <c r="BG19" s="139" cm="1">
        <f t="array" ref="BG19">COUNTIFS($AA$4:$AA$97,BD19,$D$4:$D$97,"Local")+COUNTIFS($AF$4:$AF$97,BD19,$D$4:$D$97,"Visitante")</f>
        <v>1</v>
      </c>
      <c r="BH19" s="139" cm="1">
        <f t="array" ref="BH19">COUNTIFS($AA$4:$AA$97,BD19,$D$4:$D$97,"Empate")+COUNTIFS($AF$4:$AF$97,BD19,$D$4:$D$97,"Empate")</f>
        <v>0</v>
      </c>
      <c r="BI19" s="139" cm="1">
        <f t="array" ref="BI19">COUNTIFS($AF$4:$AF$97,BD19,$D$4:$D$97,"Local")+COUNTIFS($AA$4:$AA$97,BD19,$D$4:$D$97,"Visitante")</f>
        <v>2</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4</v>
      </c>
      <c r="BL19" s="139" cm="1">
        <f t="array" ref="BL19">BJ19-BK19</f>
        <v>-1</v>
      </c>
      <c r="BM19" s="126" t="str" cm="1">
        <f t="array" ref="BM19">DD19&amp;BC19</f>
        <v>2D</v>
      </c>
      <c r="BN19" s="126" t="str" cm="1">
        <f t="array" ref="BN19">DH19&amp;BC19</f>
        <v>2D</v>
      </c>
      <c r="BO19" s="139" cm="1">
        <f t="array" ref="BO19">IF(AND($AJ$99=144,BF19&gt;=1),1,0)</f>
        <v>0</v>
      </c>
      <c r="BP19" s="139">
        <v>1</v>
      </c>
      <c r="BQ19" s="112" t="s">
        <v>113</v>
      </c>
      <c r="BR19" s="139" cm="1">
        <f t="array" ref="BR19">IF($BQ19="-","-",BE19)</f>
        <v>3</v>
      </c>
      <c r="BS19" s="139">
        <v>1</v>
      </c>
      <c r="BT19" s="112" t="s">
        <v>113</v>
      </c>
      <c r="BU19" s="139" cm="1">
        <f t="array" ref="BU19">IF($BT19="-","-",COUNTIFS($AA$4:$AA$97,$BD19,$D$4:$D$97,"Local",$F$4:$F$97,$BT19)+COUNTIFS($AF$4:$AF$97,$BD19,$D$4:$D$97,"Visitante",$E$4:$E$97,$BT19))</f>
        <v>1</v>
      </c>
      <c r="BV19" s="139" cm="1">
        <f t="array" ref="BV19">IF($BT19="-","-",COUNTIFS($AA$4:$AA$97,$BD19,$D$4:$D$97,"Empate",$F$4:$F$97,$BT19)+COUNTIFS($AF$4:$AF$97,$BD19,$D$4:$D$97,"Empate",$E$4:$E$97,$BT19))</f>
        <v>0</v>
      </c>
      <c r="BW19" s="139" cm="1">
        <f t="array" ref="BW19">IF($BT19="-","-",COUNTIFS($AA$4:$AA$97,$BD19,$D$4:$D$97,"Visitante",$F$4:$F$97,$BT19)+COUNTIFS($AF$4:$AF$97,$BD19,$D$4:$D$97,"Local",$E$4:$E$97,$BT19))</f>
        <v>2</v>
      </c>
      <c r="BX19" s="139" cm="1">
        <f t="array" ref="BX19">IF($BT19="-","-",BU19*3+BV19)</f>
        <v>3</v>
      </c>
      <c r="BY19" s="139">
        <v>1</v>
      </c>
      <c r="BZ19" s="112" t="s">
        <v>113</v>
      </c>
      <c r="CA19" s="139" cm="1">
        <f t="array" ref="CA19">IF($BZ19="-","-",SUMIFS($AC$4:$AC$97,$AA$4:$AA$97,$BD19,$I$4:$I$97,$BZ19)+SUMIFS($AD$4:$AD$97,$AF$4:$AF$97,$BD19,$H$4:$H$97,$BZ19))</f>
        <v>3</v>
      </c>
      <c r="CB19" s="139" cm="1">
        <f t="array" ref="CB19">IF($BZ19="-","-",SUMIFS($AD$4:$AD$97,$AA$4:$AA$97,$BD19,$I$4:$I$97,$BZ19)+SUMIFS($AC$4:$AC$97,$AF$4:$AF$97,$BD19,$H$4:$H$97,$BZ19))</f>
        <v>4</v>
      </c>
      <c r="CC19" s="139" cm="1">
        <f t="array" ref="CC19">IF($BZ19="-","-",CA19-CB19)</f>
        <v>-1</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1</v>
      </c>
      <c r="CJ19" s="139" cm="1">
        <f t="array" ref="CJ19">IF($CH19="-","-",COUNTIFS($AA$4:$AA$97,$BD19,$D$4:$D$97,"Empate",$O$4:$O$97,$CH19)+COUNTIFS($AF$4:$AF$97,$BD19,$D$4:$D$97,"Empate",$N$4:$N$97,$CH19))</f>
        <v>0</v>
      </c>
      <c r="CK19" s="139" cm="1">
        <f t="array" ref="CK19">IF($CH19="-","-",COUNTIFS($AA$4:$AA$97,$BD19,$D$4:$D$97,"Visitante",$O$4:$O$97,$CH19)+COUNTIFS($AF$4:$AF$97,$BD19,$D$4:$D$97,"Local",$N$4:$N$97,$CH19))</f>
        <v>2</v>
      </c>
      <c r="CL19" s="139" cm="1">
        <f t="array" ref="CL19">IF($CH19="-","-",CI19*3+CJ19)</f>
        <v>3</v>
      </c>
      <c r="CM19" s="139">
        <v>1</v>
      </c>
      <c r="CN19" s="112" t="s">
        <v>113</v>
      </c>
      <c r="CO19" s="139" cm="1">
        <f t="array" ref="CO19">IF($CN19="-","-",SUMIFS($AC$4:$AC$97,$AA$4:$AA$97,$BD19,$R$4:$R$97,$CN19)+SUMIFS($AD$4:$AD$97,$AF$4:$AF$97,$BD19,$Q$4:$Q$97,$CN19))</f>
        <v>3</v>
      </c>
      <c r="CP19" s="139" cm="1">
        <f t="array" ref="CP19">IF($CN19="-","-",SUMIFS($AD$4:$AD$97,$AA$4:$AA$97,$BD19,$R$4:$R$97,$CN19)+SUMIFS($AC$4:$AC$97,$AF$4:$AF$97,$BD19,$Q$4:$Q$97,$CN19))</f>
        <v>4</v>
      </c>
      <c r="CQ19" s="139" cm="1">
        <f t="array" ref="CQ19">IF($CN19="-","-",CO19-CP19)</f>
        <v>-1</v>
      </c>
      <c r="CR19" s="139">
        <v>1</v>
      </c>
      <c r="CS19" s="112" t="s">
        <v>113</v>
      </c>
      <c r="CT19" s="139" cm="1">
        <f t="array" ref="CT19">IF($CS19="-","-",SUMIFS($AC$4:$AC$97,$AA$4:$AA$97,$BD19,$U$4:$U$97,$CS19)+SUMIFS($AD$4:$AD$97,$AF$4:$AF$97,$BD19,$T$4:$T$97,$CS19))</f>
        <v>3</v>
      </c>
      <c r="CU19" s="139">
        <v>1</v>
      </c>
      <c r="CV19" s="112" t="s">
        <v>113</v>
      </c>
      <c r="CW19" s="139" cm="1">
        <f t="array" ref="CW19">IF(CV19="-","-",BL19)</f>
        <v>-1</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95"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70" t="str" cm="1">
        <f t="array" ref="AJ20">CONCATENATE(AJ3," ",B20)</f>
        <v>Grupo C</v>
      </c>
      <c r="AK20" s="771"/>
      <c r="AL20" s="771"/>
      <c r="AM20" s="771"/>
      <c r="AN20" s="771"/>
      <c r="AO20" s="771"/>
      <c r="AP20" s="771"/>
      <c r="AQ20" s="771"/>
      <c r="AR20" s="771"/>
      <c r="AS20" s="771"/>
      <c r="AT20" s="772"/>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2</v>
      </c>
      <c r="BK20" s="139" cm="1">
        <f t="array" ref="BK20">SUMIFS($AC$4:$AC$97,$AF$4:$AF$97,BD20,$D$4:$D$97,"&lt;&gt;"&amp;"Pendiente",$AC$4:$AC$97,"&lt;&gt;"&amp;"",$AD$4:$AD$97,"&lt;&gt;"&amp;"")+SUMIFS($AD$4:$AD$97,$AA$4:$AA$97,BD20,$D$4:$D$97,"&lt;&gt;"&amp;"Pendiente",$AC$4:$AC$97,"&lt;&gt;"&amp;"",$AD$4:$AD$97,"&lt;&gt;"&amp;"")</f>
        <v>6</v>
      </c>
      <c r="BL20" s="139" cm="1">
        <f t="array" ref="BL20">BJ20-BK20</f>
        <v>-4</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2</v>
      </c>
      <c r="CB20" s="139" cm="1">
        <f t="array" ref="CB20">IF($BZ20="-","-",SUMIFS($AD$4:$AD$97,$AA$4:$AA$97,$BD20,$I$4:$I$97,$BZ20)+SUMIFS($AC$4:$AC$97,$AF$4:$AF$97,$BD20,$H$4:$H$97,$BZ20))</f>
        <v>6</v>
      </c>
      <c r="CC20" s="139" cm="1">
        <f t="array" ref="CC20">IF($BZ20="-","-",CA20-CB20)</f>
        <v>-4</v>
      </c>
      <c r="CD20" s="139">
        <v>1</v>
      </c>
      <c r="CE20" s="112" t="s">
        <v>113</v>
      </c>
      <c r="CF20" s="139" cm="1">
        <f t="array" ref="CF20">IF($CE20="-","-",SUMIFS($AC$4:$AC$97,$AA$4:$AA$97,$BD20,$L$4:$L$97,$CE20)+SUMIFS($AD$4:$AD$97,$AF$4:$AF$97,$BD20,$K$4:$K$97,$CE20))</f>
        <v>2</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2</v>
      </c>
      <c r="CP20" s="139" cm="1">
        <f t="array" ref="CP20">IF($CN20="-","-",SUMIFS($AD$4:$AD$97,$AA$4:$AA$97,$BD20,$R$4:$R$97,$CN20)+SUMIFS($AC$4:$AC$97,$AF$4:$AF$97,$BD20,$Q$4:$Q$97,$CN20))</f>
        <v>6</v>
      </c>
      <c r="CQ20" s="139" cm="1">
        <f t="array" ref="CQ20">IF($CN20="-","-",CO20-CP20)</f>
        <v>-4</v>
      </c>
      <c r="CR20" s="139">
        <v>1</v>
      </c>
      <c r="CS20" s="112" t="s">
        <v>113</v>
      </c>
      <c r="CT20" s="139" cm="1">
        <f t="array" ref="CT20">IF($CS20="-","-",SUMIFS($AC$4:$AC$97,$AA$4:$AA$97,$BD20,$U$4:$U$97,$CS20)+SUMIFS($AD$4:$AD$97,$AF$4:$AF$97,$BD20,$T$4:$T$97,$CS20))</f>
        <v>2</v>
      </c>
      <c r="CU20" s="139">
        <v>1</v>
      </c>
      <c r="CV20" s="112" t="s">
        <v>113</v>
      </c>
      <c r="CW20" s="139" cm="1">
        <f t="array" ref="CW20">IF(CV20="-","-",BL20)</f>
        <v>-4</v>
      </c>
      <c r="CX20" s="139">
        <v>1</v>
      </c>
      <c r="CY20" s="112" t="s">
        <v>113</v>
      </c>
      <c r="CZ20" s="139" cm="1">
        <f t="array" ref="CZ20">IF(CY20="-","-",BJ20)</f>
        <v>2</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Empate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77"/>
      <c r="X21" s="96">
        <v>46186.875</v>
      </c>
      <c r="Y21" s="97">
        <v>46186.875</v>
      </c>
      <c r="Z21" s="113" t="str" cm="1">
        <f t="array" ref="Z21">$Z$4</f>
        <v>J1</v>
      </c>
      <c r="AA21" s="99" t="str" cm="1">
        <f t="array" ref="AA21">A23</f>
        <v>Haití</v>
      </c>
      <c r="AB21" s="100"/>
      <c r="AC21" s="114">
        <v>0</v>
      </c>
      <c r="AD21" s="114">
        <v>0</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9</v>
      </c>
      <c r="BF21" s="139" cm="1">
        <f t="array" ref="BF21">BG21+BH21+BI21</f>
        <v>3</v>
      </c>
      <c r="BG21" s="139" cm="1">
        <f t="array" ref="BG21">COUNTIFS($AA$4:$AA$97,BD21,$D$4:$D$97,"Local")+COUNTIFS($AF$4:$AF$97,BD21,$D$4:$D$97,"Visitante")</f>
        <v>3</v>
      </c>
      <c r="BH21" s="139" cm="1">
        <f t="array" ref="BH21">COUNTIFS($AA$4:$AA$97,BD21,$D$4:$D$97,"Empate")+COUNTIFS($AF$4:$AF$97,BD21,$D$4:$D$97,"Empate")</f>
        <v>0</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3</v>
      </c>
      <c r="BL21" s="139" cm="1">
        <f t="array" ref="BL21">BJ21-BK21</f>
        <v>4</v>
      </c>
      <c r="BM21" s="126" t="str" cm="1">
        <f t="array" ref="BM21">DD21&amp;BC21</f>
        <v>4D</v>
      </c>
      <c r="BN21" s="126" t="str" cm="1">
        <f t="array" ref="BN21">DH21&amp;BC21</f>
        <v>4D</v>
      </c>
      <c r="BO21" s="139" cm="1">
        <f t="array" ref="BO21">IF(AND($AJ$99=144,BF21&gt;=1),1,0)</f>
        <v>0</v>
      </c>
      <c r="BP21" s="139">
        <v>1</v>
      </c>
      <c r="BQ21" s="112" t="s">
        <v>113</v>
      </c>
      <c r="BR21" s="139" cm="1">
        <f t="array" ref="BR21">IF($BQ21="-","-",BE21)</f>
        <v>9</v>
      </c>
      <c r="BS21" s="139">
        <v>1</v>
      </c>
      <c r="BT21" s="112" t="s">
        <v>113</v>
      </c>
      <c r="BU21" s="139" cm="1">
        <f t="array" ref="BU21">IF($BT21="-","-",COUNTIFS($AA$4:$AA$97,$BD21,$D$4:$D$97,"Local",$F$4:$F$97,$BT21)+COUNTIFS($AF$4:$AF$97,$BD21,$D$4:$D$97,"Visitante",$E$4:$E$97,$BT21))</f>
        <v>3</v>
      </c>
      <c r="BV21" s="139" cm="1">
        <f t="array" ref="BV21">IF($BT21="-","-",COUNTIFS($AA$4:$AA$97,$BD21,$D$4:$D$97,"Empate",$F$4:$F$97,$BT21)+COUNTIFS($AF$4:$AF$97,$BD21,$D$4:$D$97,"Empate",$E$4:$E$97,$BT21))</f>
        <v>0</v>
      </c>
      <c r="BW21" s="139" cm="1">
        <f t="array" ref="BW21">IF($BT21="-","-",COUNTIFS($AA$4:$AA$97,$BD21,$D$4:$D$97,"Visitante",$F$4:$F$97,$BT21)+COUNTIFS($AF$4:$AF$97,$BD21,$D$4:$D$97,"Local",$E$4:$E$97,$BT21))</f>
        <v>0</v>
      </c>
      <c r="BX21" s="139" cm="1">
        <f t="array" ref="BX21">IF($BT21="-","-",BU21*3+BV21)</f>
        <v>9</v>
      </c>
      <c r="BY21" s="139">
        <v>1</v>
      </c>
      <c r="BZ21" s="112" t="s">
        <v>113</v>
      </c>
      <c r="CA21" s="139" cm="1">
        <f t="array" ref="CA21">IF($BZ21="-","-",SUMIFS($AC$4:$AC$97,$AA$4:$AA$97,$BD21,$I$4:$I$97,$BZ21)+SUMIFS($AD$4:$AD$97,$AF$4:$AF$97,$BD21,$H$4:$H$97,$BZ21))</f>
        <v>7</v>
      </c>
      <c r="CB21" s="139" cm="1">
        <f t="array" ref="CB21">IF($BZ21="-","-",SUMIFS($AD$4:$AD$97,$AA$4:$AA$97,$BD21,$I$4:$I$97,$BZ21)+SUMIFS($AC$4:$AC$97,$AF$4:$AF$97,$BD21,$H$4:$H$97,$BZ21))</f>
        <v>3</v>
      </c>
      <c r="CC21" s="139" cm="1">
        <f t="array" ref="CC21">IF($BZ21="-","-",CA21-CB21)</f>
        <v>4</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3</v>
      </c>
      <c r="CJ21" s="139" cm="1">
        <f t="array" ref="CJ21">IF($CH21="-","-",COUNTIFS($AA$4:$AA$97,$BD21,$D$4:$D$97,"Empate",$O$4:$O$97,$CH21)+COUNTIFS($AF$4:$AF$97,$BD21,$D$4:$D$97,"Empate",$N$4:$N$97,$CH21))</f>
        <v>0</v>
      </c>
      <c r="CK21" s="139" cm="1">
        <f t="array" ref="CK21">IF($CH21="-","-",COUNTIFS($AA$4:$AA$97,$BD21,$D$4:$D$97,"Visitante",$O$4:$O$97,$CH21)+COUNTIFS($AF$4:$AF$97,$BD21,$D$4:$D$97,"Local",$N$4:$N$97,$CH21))</f>
        <v>0</v>
      </c>
      <c r="CL21" s="139" cm="1">
        <f t="array" ref="CL21">IF($CH21="-","-",CI21*3+CJ21)</f>
        <v>9</v>
      </c>
      <c r="CM21" s="139">
        <v>1</v>
      </c>
      <c r="CN21" s="112" t="s">
        <v>113</v>
      </c>
      <c r="CO21" s="139" cm="1">
        <f t="array" ref="CO21">IF($CN21="-","-",SUMIFS($AC$4:$AC$97,$AA$4:$AA$97,$BD21,$R$4:$R$97,$CN21)+SUMIFS($AD$4:$AD$97,$AF$4:$AF$97,$BD21,$Q$4:$Q$97,$CN21))</f>
        <v>7</v>
      </c>
      <c r="CP21" s="139" cm="1">
        <f t="array" ref="CP21">IF($CN21="-","-",SUMIFS($AD$4:$AD$97,$AA$4:$AA$97,$BD21,$R$4:$R$97,$CN21)+SUMIFS($AC$4:$AC$97,$AF$4:$AF$97,$BD21,$Q$4:$Q$97,$CN21))</f>
        <v>3</v>
      </c>
      <c r="CQ21" s="139" cm="1">
        <f t="array" ref="CQ21">IF($CN21="-","-",CO21-CP21)</f>
        <v>4</v>
      </c>
      <c r="CR21" s="139">
        <v>1</v>
      </c>
      <c r="CS21" s="112" t="s">
        <v>113</v>
      </c>
      <c r="CT21" s="139" cm="1">
        <f t="array" ref="CT21">IF($CS21="-","-",SUMIFS($AC$4:$AC$97,$AA$4:$AA$97,$BD21,$U$4:$U$97,$CS21)+SUMIFS($AD$4:$AD$97,$AF$4:$AF$97,$BD21,$T$4:$T$97,$CS21))</f>
        <v>7</v>
      </c>
      <c r="CU21" s="139">
        <v>1</v>
      </c>
      <c r="CV21" s="112" t="s">
        <v>113</v>
      </c>
      <c r="CW21" s="139" cm="1">
        <f t="array" ref="CW21">IF(CV21="-","-",BL21)</f>
        <v>4</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78"/>
      <c r="X22" s="96">
        <v>46192.75</v>
      </c>
      <c r="Y22" s="97">
        <v>46192.75</v>
      </c>
      <c r="Z22" s="113" t="str" cm="1">
        <f t="array" ref="Z22">$Z$6</f>
        <v>J2</v>
      </c>
      <c r="AA22" s="99" t="str" cm="1">
        <f t="array" ref="AA22">A24</f>
        <v>Escocia</v>
      </c>
      <c r="AB22" s="100"/>
      <c r="AC22" s="114">
        <v>0</v>
      </c>
      <c r="AD22" s="114">
        <v>2</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7</v>
      </c>
      <c r="AS22" s="131" cm="1">
        <f t="array" ref="AS22">INDEX($BE$6:$BN$53,MATCH($AL22,$BD$6:$BD$53,0),MATCH(AS$5,$BE$5:$BN$5,0))</f>
        <v>2</v>
      </c>
      <c r="AT22" s="132" cm="1">
        <f t="array" ref="AT22">INDEX($BE$6:$BN$53,MATCH($AL22,$BD$6:$BD$53,0),MATCH(AT$5,$BE$5:$BN$5,0))</f>
        <v>5</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7</v>
      </c>
      <c r="BK22" s="139" cm="1">
        <f t="array" ref="BK22">SUMIFS($AC$4:$AC$97,$AF$4:$AF$97,BD22,$D$4:$D$97,"&lt;&gt;"&amp;"Pendiente",$AC$4:$AC$97,"&lt;&gt;"&amp;"",$AD$4:$AD$97,"&lt;&gt;"&amp;"")+SUMIFS($AD$4:$AD$97,$AA$4:$AA$97,BD22,$D$4:$D$97,"&lt;&gt;"&amp;"Pendiente",$AC$4:$AC$97,"&lt;&gt;"&amp;"",$AD$4:$AD$97,"&lt;&gt;"&amp;"")</f>
        <v>1</v>
      </c>
      <c r="BL22" s="139" cm="1">
        <f t="array" ref="BL22">BJ22-BK22</f>
        <v>6</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7</v>
      </c>
      <c r="CB22" s="139" cm="1">
        <f t="array" ref="CB22">IF($BZ22="-","-",SUMIFS($AD$4:$AD$97,$AA$4:$AA$97,$BD22,$I$4:$I$97,$BZ22)+SUMIFS($AC$4:$AC$97,$AF$4:$AF$97,$BD22,$H$4:$H$97,$BZ22))</f>
        <v>1</v>
      </c>
      <c r="CC22" s="139" cm="1">
        <f t="array" ref="CC22">IF($BZ22="-","-",CA22-CB22)</f>
        <v>6</v>
      </c>
      <c r="CD22" s="139">
        <v>1</v>
      </c>
      <c r="CE22" s="112" t="s">
        <v>113</v>
      </c>
      <c r="CF22" s="139" cm="1">
        <f t="array" ref="CF22">IF($CE22="-","-",SUMIFS($AC$4:$AC$97,$AA$4:$AA$97,$BD22,$L$4:$L$97,$CE22)+SUMIFS($AD$4:$AD$97,$AF$4:$AF$97,$BD22,$K$4:$K$97,$CE22))</f>
        <v>7</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7</v>
      </c>
      <c r="CP22" s="139" cm="1">
        <f t="array" ref="CP22">IF($CN22="-","-",SUMIFS($AD$4:$AD$97,$AA$4:$AA$97,$BD22,$R$4:$R$97,$CN22)+SUMIFS($AC$4:$AC$97,$AF$4:$AF$97,$BD22,$Q$4:$Q$97,$CN22))</f>
        <v>1</v>
      </c>
      <c r="CQ22" s="139" cm="1">
        <f t="array" ref="CQ22">IF($CN22="-","-",CO22-CP22)</f>
        <v>6</v>
      </c>
      <c r="CR22" s="139">
        <v>1</v>
      </c>
      <c r="CS22" s="112" t="s">
        <v>113</v>
      </c>
      <c r="CT22" s="139" cm="1">
        <f t="array" ref="CT22">IF($CS22="-","-",SUMIFS($AC$4:$AC$97,$AA$4:$AA$97,$BD22,$U$4:$U$97,$CS22)+SUMIFS($AD$4:$AD$97,$AF$4:$AF$97,$BD22,$T$4:$T$97,$CS22))</f>
        <v>7</v>
      </c>
      <c r="CU22" s="139">
        <v>1</v>
      </c>
      <c r="CV22" s="112" t="s">
        <v>113</v>
      </c>
      <c r="CW22" s="139" cm="1">
        <f t="array" ref="CW22">IF(CV22="-","-",BL22)</f>
        <v>6</v>
      </c>
      <c r="CX22" s="139">
        <v>1</v>
      </c>
      <c r="CY22" s="112" t="s">
        <v>113</v>
      </c>
      <c r="CZ22" s="139" cm="1">
        <f t="array" ref="CZ22">IF(CY22="-","-",BJ22)</f>
        <v>7</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78"/>
      <c r="X23" s="96">
        <v>46192.854166666657</v>
      </c>
      <c r="Y23" s="97">
        <v>46192.854166666657</v>
      </c>
      <c r="Z23" s="113" t="str" cm="1">
        <f t="array" ref="Z23">$Z$6</f>
        <v>J2</v>
      </c>
      <c r="AA23" s="99" t="str" cm="1">
        <f t="array" ref="AA23">A21</f>
        <v>Brasil</v>
      </c>
      <c r="AB23" s="100"/>
      <c r="AC23" s="114">
        <v>2</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5</v>
      </c>
      <c r="AS23" s="144" cm="1">
        <f t="array" ref="AS23">INDEX($BE$6:$BN$53,MATCH($AL23,$BD$6:$BD$53,0),MATCH(AS$5,$BE$5:$BN$5,0))</f>
        <v>2</v>
      </c>
      <c r="AT23" s="145" cm="1">
        <f t="array" ref="AT23">INDEX($BE$6:$BN$53,MATCH($AL23,$BD$6:$BD$53,0),MATCH(AT$5,$BE$5:$BN$5,0))</f>
        <v>3</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8</v>
      </c>
      <c r="BL23" s="139" cm="1">
        <f t="array" ref="BL23">BJ23-BK23</f>
        <v>-7</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8</v>
      </c>
      <c r="CC23" s="139" cm="1">
        <f t="array" ref="CC23">IF($BZ23="-","-",CA23-CB23)</f>
        <v>-7</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8</v>
      </c>
      <c r="CQ23" s="139" cm="1">
        <f t="array" ref="CQ23">IF($CN23="-","-",CO23-CP23)</f>
        <v>-7</v>
      </c>
      <c r="CR23" s="139">
        <v>1</v>
      </c>
      <c r="CS23" s="112" t="s">
        <v>113</v>
      </c>
      <c r="CT23" s="139" cm="1">
        <f t="array" ref="CT23">IF($CS23="-","-",SUMIFS($AC$4:$AC$97,$AA$4:$AA$97,$BD23,$U$4:$U$97,$CS23)+SUMIFS($AD$4:$AD$97,$AF$4:$AF$97,$BD23,$T$4:$T$97,$CS23))</f>
        <v>1</v>
      </c>
      <c r="CU23" s="139">
        <v>1</v>
      </c>
      <c r="CV23" s="112" t="s">
        <v>113</v>
      </c>
      <c r="CW23" s="139" cm="1">
        <f t="array" ref="CW23">IF(CV23="-","-",BL23)</f>
        <v>-7</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78"/>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1</v>
      </c>
      <c r="AN24" s="144" cm="1">
        <f t="array" ref="AN24">INDEX($BE$6:$BN$53,MATCH($AL24,$BD$6:$BD$53,0),MATCH(AN$5,$BE$5:$BN$5,0))</f>
        <v>3</v>
      </c>
      <c r="AO24" s="144" cm="1">
        <f t="array" ref="AO24">INDEX($BE$6:$BN$53,MATCH($AL24,$BD$6:$BD$53,0),MATCH(AO$5,$BE$5:$BN$5,0))</f>
        <v>0</v>
      </c>
      <c r="AP24" s="144" cm="1">
        <f t="array" ref="AP24">INDEX($BE$6:$BN$53,MATCH($AL24,$BD$6:$BD$53,0),MATCH(AP$5,$BE$5:$BN$5,0))</f>
        <v>1</v>
      </c>
      <c r="AQ24" s="144" cm="1">
        <f t="array" ref="AQ24">INDEX($BE$6:$BN$53,MATCH($AL24,$BD$6:$BD$53,0),MATCH(AQ$5,$BE$5:$BN$5,0))</f>
        <v>2</v>
      </c>
      <c r="AR24" s="144" cm="1">
        <f t="array" ref="AR24">INDEX($BE$6:$BN$53,MATCH($AL24,$BD$6:$BD$53,0),MATCH(AR$5,$BE$5:$BN$5,0))</f>
        <v>0</v>
      </c>
      <c r="AS24" s="144" cm="1">
        <f t="array" ref="AS24">INDEX($BE$6:$BN$53,MATCH($AL24,$BD$6:$BD$53,0),MATCH(AS$5,$BE$5:$BN$5,0))</f>
        <v>4</v>
      </c>
      <c r="AT24" s="145" cm="1">
        <f t="array" ref="AT24">INDEX($BE$6:$BN$53,MATCH($AL24,$BD$6:$BD$53,0),MATCH(AT$5,$BE$5:$BN$5,0))</f>
        <v>-4</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6</v>
      </c>
      <c r="BL24" s="139" cm="1">
        <f t="array" ref="BL24">BJ24-BK24</f>
        <v>-2</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6</v>
      </c>
      <c r="CC24" s="139" cm="1">
        <f t="array" ref="CC24">IF($BZ24="-","-",CA24-CB24)</f>
        <v>-2</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6</v>
      </c>
      <c r="CQ24" s="139" cm="1">
        <f t="array" ref="CQ24">IF($CN24="-","-",CO24-CP24)</f>
        <v>-2</v>
      </c>
      <c r="CR24" s="139">
        <v>1</v>
      </c>
      <c r="CS24" s="112" t="s">
        <v>113</v>
      </c>
      <c r="CT24" s="139" cm="1">
        <f t="array" ref="CT24">IF($CS24="-","-",SUMIFS($AC$4:$AC$97,$AA$4:$AA$97,$BD24,$U$4:$U$97,$CS24)+SUMIFS($AD$4:$AD$97,$AF$4:$AF$97,$BD24,$T$4:$T$97,$CS24))</f>
        <v>4</v>
      </c>
      <c r="CU24" s="139">
        <v>1</v>
      </c>
      <c r="CV24" s="112" t="s">
        <v>113</v>
      </c>
      <c r="CW24" s="139" cm="1">
        <f t="array" ref="CW24">IF(CV24="-","-",BL24)</f>
        <v>-2</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79"/>
      <c r="X25" s="148">
        <v>46197.75</v>
      </c>
      <c r="Y25" s="149">
        <v>46197.75</v>
      </c>
      <c r="Z25" s="150" t="str" cm="1">
        <f t="array" ref="Z25">$Z$8</f>
        <v>J3</v>
      </c>
      <c r="AA25" s="151" t="str" cm="1">
        <f t="array" ref="AA25">A22</f>
        <v>Marruecos</v>
      </c>
      <c r="AB25" s="152"/>
      <c r="AC25" s="153">
        <v>2</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1</v>
      </c>
      <c r="AN25" s="160" cm="1">
        <f t="array" ref="AN25">INDEX($BE$6:$BN$53,MATCH($AL25,$BD$6:$BD$53,0),MATCH(AN$5,$BE$5:$BN$5,0))</f>
        <v>3</v>
      </c>
      <c r="AO25" s="160" cm="1">
        <f t="array" ref="AO25">INDEX($BE$6:$BN$53,MATCH($AL25,$BD$6:$BD$53,0),MATCH(AO$5,$BE$5:$BN$5,0))</f>
        <v>0</v>
      </c>
      <c r="AP25" s="160" cm="1">
        <f t="array" ref="AP25">INDEX($BE$6:$BN$53,MATCH($AL25,$BD$6:$BD$53,0),MATCH(AP$5,$BE$5:$BN$5,0))</f>
        <v>1</v>
      </c>
      <c r="AQ25" s="160" cm="1">
        <f t="array" ref="AQ25">INDEX($BE$6:$BN$53,MATCH($AL25,$BD$6:$BD$53,0),MATCH(AQ$5,$BE$5:$BN$5,0))</f>
        <v>2</v>
      </c>
      <c r="AR25" s="160" cm="1">
        <f t="array" ref="AR25">INDEX($BE$6:$BN$53,MATCH($AL25,$BD$6:$BD$53,0),MATCH(AR$5,$BE$5:$BN$5,0))</f>
        <v>1</v>
      </c>
      <c r="AS25" s="160" cm="1">
        <f t="array" ref="AS25">INDEX($BE$6:$BN$53,MATCH($AL25,$BD$6:$BD$53,0),MATCH(AS$5,$BE$5:$BN$5,0))</f>
        <v>5</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6</v>
      </c>
      <c r="BK25" s="139" cm="1">
        <f t="array" ref="BK25">SUMIFS($AC$4:$AC$97,$AF$4:$AF$97,BD25,$D$4:$D$97,"&lt;&gt;"&amp;"Pendiente",$AC$4:$AC$97,"&lt;&gt;"&amp;"",$AD$4:$AD$97,"&lt;&gt;"&amp;"")+SUMIFS($AD$4:$AD$97,$AA$4:$AA$97,BD25,$D$4:$D$97,"&lt;&gt;"&amp;"Pendiente",$AC$4:$AC$97,"&lt;&gt;"&amp;"",$AD$4:$AD$97,"&lt;&gt;"&amp;"")</f>
        <v>3</v>
      </c>
      <c r="BL25" s="139" cm="1">
        <f t="array" ref="BL25">BJ25-BK25</f>
        <v>3</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6</v>
      </c>
      <c r="CB25" s="139" cm="1">
        <f t="array" ref="CB25">IF($BZ25="-","-",SUMIFS($AD$4:$AD$97,$AA$4:$AA$97,$BD25,$I$4:$I$97,$BZ25)+SUMIFS($AC$4:$AC$97,$AF$4:$AF$97,$BD25,$H$4:$H$97,$BZ25))</f>
        <v>3</v>
      </c>
      <c r="CC25" s="139" cm="1">
        <f t="array" ref="CC25">IF($BZ25="-","-",CA25-CB25)</f>
        <v>3</v>
      </c>
      <c r="CD25" s="139">
        <v>1</v>
      </c>
      <c r="CE25" s="112" t="s">
        <v>113</v>
      </c>
      <c r="CF25" s="139" cm="1">
        <f t="array" ref="CF25">IF($CE25="-","-",SUMIFS($AC$4:$AC$97,$AA$4:$AA$97,$BD25,$L$4:$L$97,$CE25)+SUMIFS($AD$4:$AD$97,$AF$4:$AF$97,$BD25,$K$4:$K$97,$CE25))</f>
        <v>6</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6</v>
      </c>
      <c r="CP25" s="139" cm="1">
        <f t="array" ref="CP25">IF($CN25="-","-",SUMIFS($AD$4:$AD$97,$AA$4:$AA$97,$BD25,$R$4:$R$97,$CN25)+SUMIFS($AC$4:$AC$97,$AF$4:$AF$97,$BD25,$Q$4:$Q$97,$CN25))</f>
        <v>3</v>
      </c>
      <c r="CQ25" s="139" cm="1">
        <f t="array" ref="CQ25">IF($CN25="-","-",CO25-CP25)</f>
        <v>3</v>
      </c>
      <c r="CR25" s="139">
        <v>1</v>
      </c>
      <c r="CS25" s="112" t="s">
        <v>113</v>
      </c>
      <c r="CT25" s="139" cm="1">
        <f t="array" ref="CT25">IF($CS25="-","-",SUMIFS($AC$4:$AC$97,$AA$4:$AA$97,$BD25,$U$4:$U$97,$CS25)+SUMIFS($AD$4:$AD$97,$AF$4:$AF$97,$BD25,$T$4:$T$97,$CS25))</f>
        <v>6</v>
      </c>
      <c r="CU25" s="139">
        <v>1</v>
      </c>
      <c r="CV25" s="112" t="s">
        <v>113</v>
      </c>
      <c r="CW25" s="139" cm="1">
        <f t="array" ref="CW25">IF(CV25="-","-",BL25)</f>
        <v>3</v>
      </c>
      <c r="CX25" s="139">
        <v>1</v>
      </c>
      <c r="CY25" s="112" t="s">
        <v>113</v>
      </c>
      <c r="CZ25" s="139" cm="1">
        <f t="array" ref="CZ25">IF(CY25="-","-",BJ25)</f>
        <v>6</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7</v>
      </c>
      <c r="BK26" s="139" cm="1">
        <f t="array" ref="BK26">SUMIFS($AC$4:$AC$97,$AF$4:$AF$97,BD26,$D$4:$D$97,"&lt;&gt;"&amp;"Pendiente",$AC$4:$AC$97,"&lt;&gt;"&amp;"",$AD$4:$AD$97,"&lt;&gt;"&amp;"")+SUMIFS($AD$4:$AD$97,$AA$4:$AA$97,BD26,$D$4:$D$97,"&lt;&gt;"&amp;"Pendiente",$AC$4:$AC$97,"&lt;&gt;"&amp;"",$AD$4:$AD$97,"&lt;&gt;"&amp;"")</f>
        <v>3</v>
      </c>
      <c r="BL26" s="139" cm="1">
        <f t="array" ref="BL26">BJ26-BK26</f>
        <v>4</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7</v>
      </c>
      <c r="CB26" s="139" cm="1">
        <f t="array" ref="CB26">IF($BZ26="-","-",SUMIFS($AD$4:$AD$97,$AA$4:$AA$97,$BD26,$I$4:$I$97,$BZ26)+SUMIFS($AC$4:$AC$97,$AF$4:$AF$97,$BD26,$H$4:$H$97,$BZ26))</f>
        <v>3</v>
      </c>
      <c r="CC26" s="139" cm="1">
        <f t="array" ref="CC26">IF($BZ26="-","-",CA26-CB26)</f>
        <v>4</v>
      </c>
      <c r="CD26" s="139">
        <v>1</v>
      </c>
      <c r="CE26" s="112" t="s">
        <v>113</v>
      </c>
      <c r="CF26" s="139" cm="1">
        <f t="array" ref="CF26">IF($CE26="-","-",SUMIFS($AC$4:$AC$97,$AA$4:$AA$97,$BD26,$L$4:$L$97,$CE26)+SUMIFS($AD$4:$AD$97,$AF$4:$AF$97,$BD26,$K$4:$K$97,$CE26))</f>
        <v>7</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7</v>
      </c>
      <c r="CP26" s="139" cm="1">
        <f t="array" ref="CP26">IF($CN26="-","-",SUMIFS($AD$4:$AD$97,$AA$4:$AA$97,$BD26,$R$4:$R$97,$CN26)+SUMIFS($AC$4:$AC$97,$AF$4:$AF$97,$BD26,$Q$4:$Q$97,$CN26))</f>
        <v>3</v>
      </c>
      <c r="CQ26" s="139" cm="1">
        <f t="array" ref="CQ26">IF($CN26="-","-",CO26-CP26)</f>
        <v>4</v>
      </c>
      <c r="CR26" s="139">
        <v>1</v>
      </c>
      <c r="CS26" s="112" t="s">
        <v>113</v>
      </c>
      <c r="CT26" s="139" cm="1">
        <f t="array" ref="CT26">IF($CS26="-","-",SUMIFS($AC$4:$AC$97,$AA$4:$AA$97,$BD26,$U$4:$U$97,$CS26)+SUMIFS($AD$4:$AD$97,$AF$4:$AF$97,$BD26,$T$4:$T$97,$CS26))</f>
        <v>7</v>
      </c>
      <c r="CU26" s="139">
        <v>1</v>
      </c>
      <c r="CV26" s="112" t="s">
        <v>113</v>
      </c>
      <c r="CW26" s="139" cm="1">
        <f t="array" ref="CW26">IF(CV26="-","-",BL26)</f>
        <v>4</v>
      </c>
      <c r="CX26" s="139">
        <v>1</v>
      </c>
      <c r="CY26" s="112" t="s">
        <v>113</v>
      </c>
      <c r="CZ26" s="139" cm="1">
        <f t="array" ref="CZ26">IF(CY26="-","-",BJ26)</f>
        <v>7</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4</v>
      </c>
      <c r="BK27" s="139" cm="1">
        <f t="array" ref="BK27">SUMIFS($AC$4:$AC$97,$AF$4:$AF$97,BD27,$D$4:$D$97,"&lt;&gt;"&amp;"Pendiente",$AC$4:$AC$97,"&lt;&gt;"&amp;"",$AD$4:$AD$97,"&lt;&gt;"&amp;"")+SUMIFS($AD$4:$AD$97,$AA$4:$AA$97,BD27,$D$4:$D$97,"&lt;&gt;"&amp;"Pendiente",$AC$4:$AC$97,"&lt;&gt;"&amp;"",$AD$4:$AD$97,"&lt;&gt;"&amp;"")</f>
        <v>3</v>
      </c>
      <c r="BL27" s="139" cm="1">
        <f t="array" ref="BL27">BJ27-BK27</f>
        <v>1</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4</v>
      </c>
      <c r="CB27" s="139" cm="1">
        <f t="array" ref="CB27">IF($BZ27="-","-",SUMIFS($AD$4:$AD$97,$AA$4:$AA$97,$BD27,$I$4:$I$97,$BZ27)+SUMIFS($AC$4:$AC$97,$AF$4:$AF$97,$BD27,$H$4:$H$97,$BZ27))</f>
        <v>3</v>
      </c>
      <c r="CC27" s="139" cm="1">
        <f t="array" ref="CC27">IF($BZ27="-","-",CA27-CB27)</f>
        <v>1</v>
      </c>
      <c r="CD27" s="139">
        <v>1</v>
      </c>
      <c r="CE27" s="112" t="s">
        <v>113</v>
      </c>
      <c r="CF27" s="139" cm="1">
        <f t="array" ref="CF27">IF($CE27="-","-",SUMIFS($AC$4:$AC$97,$AA$4:$AA$97,$BD27,$L$4:$L$97,$CE27)+SUMIFS($AD$4:$AD$97,$AF$4:$AF$97,$BD27,$K$4:$K$97,$CE27))</f>
        <v>4</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4</v>
      </c>
      <c r="CP27" s="139" cm="1">
        <f t="array" ref="CP27">IF($CN27="-","-",SUMIFS($AD$4:$AD$97,$AA$4:$AA$97,$BD27,$R$4:$R$97,$CN27)+SUMIFS($AC$4:$AC$97,$AF$4:$AF$97,$BD27,$Q$4:$Q$97,$CN27))</f>
        <v>3</v>
      </c>
      <c r="CQ27" s="139" cm="1">
        <f t="array" ref="CQ27">IF($CN27="-","-",CO27-CP27)</f>
        <v>1</v>
      </c>
      <c r="CR27" s="139">
        <v>1</v>
      </c>
      <c r="CS27" s="112" t="s">
        <v>113</v>
      </c>
      <c r="CT27" s="139" cm="1">
        <f t="array" ref="CT27">IF($CS27="-","-",SUMIFS($AC$4:$AC$97,$AA$4:$AA$97,$BD27,$U$4:$U$97,$CS27)+SUMIFS($AD$4:$AD$97,$AF$4:$AF$97,$BD27,$T$4:$T$97,$CS27))</f>
        <v>4</v>
      </c>
      <c r="CU27" s="139">
        <v>1</v>
      </c>
      <c r="CV27" s="112" t="s">
        <v>113</v>
      </c>
      <c r="CW27" s="139" cm="1">
        <f t="array" ref="CW27">IF(CV27="-","-",BL27)</f>
        <v>1</v>
      </c>
      <c r="CX27" s="139">
        <v>1</v>
      </c>
      <c r="CY27" s="112" t="s">
        <v>113</v>
      </c>
      <c r="CZ27" s="139" cm="1">
        <f t="array" ref="CZ27">IF(CY27="-","-",BJ27)</f>
        <v>4</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Local</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86" t="s">
        <v>139</v>
      </c>
      <c r="X28" s="96">
        <v>46185.875</v>
      </c>
      <c r="Y28" s="97">
        <v>46185.875</v>
      </c>
      <c r="Z28" s="113" t="str" cm="1">
        <f t="array" ref="Z28">$Z$4</f>
        <v>J1</v>
      </c>
      <c r="AA28" s="99" t="str" cm="1">
        <f t="array" ref="AA28">A29</f>
        <v>Estados Unidos</v>
      </c>
      <c r="AB28" s="100"/>
      <c r="AC28" s="101">
        <v>1</v>
      </c>
      <c r="AD28" s="101">
        <v>0</v>
      </c>
      <c r="AE28" s="102"/>
      <c r="AF28" s="103" t="str" cm="1">
        <f t="array" ref="AF28">A30</f>
        <v>Paraguay</v>
      </c>
      <c r="AG28" s="104" cm="1">
        <f t="array" ref="AG28">IF(NOT(OR(ISBLANK(AC28),ISBLANK(AD28))),1,0)</f>
        <v>1</v>
      </c>
      <c r="AH28" s="105">
        <v>4</v>
      </c>
      <c r="AI28" s="106"/>
      <c r="AJ28" s="770" t="str" cm="1">
        <f t="array" ref="AJ28">CONCATENATE(AJ3," ",B28)</f>
        <v>Grupo D</v>
      </c>
      <c r="AK28" s="771"/>
      <c r="AL28" s="771"/>
      <c r="AM28" s="771"/>
      <c r="AN28" s="771"/>
      <c r="AO28" s="771"/>
      <c r="AP28" s="771"/>
      <c r="AQ28" s="771"/>
      <c r="AR28" s="771"/>
      <c r="AS28" s="771"/>
      <c r="AT28" s="772"/>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4</v>
      </c>
      <c r="BK28" s="139" cm="1">
        <f t="array" ref="BK28">SUMIFS($AC$4:$AC$97,$AF$4:$AF$97,BD28,$D$4:$D$97,"&lt;&gt;"&amp;"Pendiente",$AC$4:$AC$97,"&lt;&gt;"&amp;"",$AD$4:$AD$97,"&lt;&gt;"&amp;"")+SUMIFS($AD$4:$AD$97,$AA$4:$AA$97,BD28,$D$4:$D$97,"&lt;&gt;"&amp;"Pendiente",$AC$4:$AC$97,"&lt;&gt;"&amp;"",$AD$4:$AD$97,"&lt;&gt;"&amp;"")</f>
        <v>3</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4</v>
      </c>
      <c r="CB28" s="139" cm="1">
        <f t="array" ref="CB28">IF($BZ28="-","-",SUMIFS($AD$4:$AD$97,$AA$4:$AA$97,$BD28,$I$4:$I$97,$BZ28)+SUMIFS($AC$4:$AC$97,$AF$4:$AF$97,$BD28,$H$4:$H$97,$BZ28))</f>
        <v>3</v>
      </c>
      <c r="CC28" s="139" cm="1">
        <f t="array" ref="CC28">IF($BZ28="-","-",CA28-CB28)</f>
        <v>1</v>
      </c>
      <c r="CD28" s="139">
        <v>1</v>
      </c>
      <c r="CE28" s="112" t="s">
        <v>113</v>
      </c>
      <c r="CF28" s="139" cm="1">
        <f t="array" ref="CF28">IF($CE28="-","-",SUMIFS($AC$4:$AC$97,$AA$4:$AA$97,$BD28,$L$4:$L$97,$CE28)+SUMIFS($AD$4:$AD$97,$AF$4:$AF$97,$BD28,$K$4:$K$97,$CE28))</f>
        <v>4</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4</v>
      </c>
      <c r="CP28" s="139" cm="1">
        <f t="array" ref="CP28">IF($CN28="-","-",SUMIFS($AD$4:$AD$97,$AA$4:$AA$97,$BD28,$R$4:$R$97,$CN28)+SUMIFS($AC$4:$AC$97,$AF$4:$AF$97,$BD28,$Q$4:$Q$97,$CN28))</f>
        <v>3</v>
      </c>
      <c r="CQ28" s="139" cm="1">
        <f t="array" ref="CQ28">IF($CN28="-","-",CO28-CP28)</f>
        <v>1</v>
      </c>
      <c r="CR28" s="139">
        <v>1</v>
      </c>
      <c r="CS28" s="112" t="s">
        <v>113</v>
      </c>
      <c r="CT28" s="139" cm="1">
        <f t="array" ref="CT28">IF($CS28="-","-",SUMIFS($AC$4:$AC$97,$AA$4:$AA$97,$BD28,$U$4:$U$97,$CS28)+SUMIFS($AD$4:$AD$97,$AF$4:$AF$97,$BD28,$T$4:$T$97,$CS28))</f>
        <v>4</v>
      </c>
      <c r="CU28" s="139">
        <v>1</v>
      </c>
      <c r="CV28" s="112" t="s">
        <v>113</v>
      </c>
      <c r="CW28" s="139" cm="1">
        <f t="array" ref="CW28">IF(CV28="-","-",BL28)</f>
        <v>1</v>
      </c>
      <c r="CX28" s="139">
        <v>1</v>
      </c>
      <c r="CY28" s="112" t="s">
        <v>113</v>
      </c>
      <c r="CZ28" s="139" cm="1">
        <f t="array" ref="CZ28">IF(CY28="-","-",BJ28)</f>
        <v>4</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77"/>
      <c r="X29" s="96">
        <v>46187</v>
      </c>
      <c r="Y29" s="97">
        <v>46187</v>
      </c>
      <c r="Z29" s="113" t="str" cm="1">
        <f t="array" ref="Z29">$Z$4</f>
        <v>J1</v>
      </c>
      <c r="AA29" s="99" t="str" cm="1">
        <f t="array" ref="AA29">A31</f>
        <v>Australia</v>
      </c>
      <c r="AB29" s="100"/>
      <c r="AC29" s="114">
        <v>1</v>
      </c>
      <c r="AD29" s="114">
        <v>3</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1</v>
      </c>
      <c r="BK29" s="139" cm="1">
        <f t="array" ref="BK29">SUMIFS($AC$4:$AC$97,$AF$4:$AF$97,BD29,$D$4:$D$97,"&lt;&gt;"&amp;"Pendiente",$AC$4:$AC$97,"&lt;&gt;"&amp;"",$AD$4:$AD$97,"&lt;&gt;"&amp;"")+SUMIFS($AD$4:$AD$97,$AA$4:$AA$97,BD29,$D$4:$D$97,"&lt;&gt;"&amp;"Pendiente",$AC$4:$AC$97,"&lt;&gt;"&amp;"",$AD$4:$AD$97,"&lt;&gt;"&amp;"")</f>
        <v>7</v>
      </c>
      <c r="BL29" s="139" cm="1">
        <f t="array" ref="BL29">BJ29-BK29</f>
        <v>-6</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1</v>
      </c>
      <c r="CB29" s="139" cm="1">
        <f t="array" ref="CB29">IF($BZ29="-","-",SUMIFS($AD$4:$AD$97,$AA$4:$AA$97,$BD29,$I$4:$I$97,$BZ29)+SUMIFS($AC$4:$AC$97,$AF$4:$AF$97,$BD29,$H$4:$H$97,$BZ29))</f>
        <v>7</v>
      </c>
      <c r="CC29" s="139" cm="1">
        <f t="array" ref="CC29">IF($BZ29="-","-",CA29-CB29)</f>
        <v>-6</v>
      </c>
      <c r="CD29" s="139">
        <v>1</v>
      </c>
      <c r="CE29" s="112" t="s">
        <v>113</v>
      </c>
      <c r="CF29" s="139" cm="1">
        <f t="array" ref="CF29">IF($CE29="-","-",SUMIFS($AC$4:$AC$97,$AA$4:$AA$97,$BD29,$L$4:$L$97,$CE29)+SUMIFS($AD$4:$AD$97,$AF$4:$AF$97,$BD29,$K$4:$K$97,$CE29))</f>
        <v>1</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1</v>
      </c>
      <c r="CP29" s="139" cm="1">
        <f t="array" ref="CP29">IF($CN29="-","-",SUMIFS($AD$4:$AD$97,$AA$4:$AA$97,$BD29,$R$4:$R$97,$CN29)+SUMIFS($AC$4:$AC$97,$AF$4:$AF$97,$BD29,$Q$4:$Q$97,$CN29))</f>
        <v>7</v>
      </c>
      <c r="CQ29" s="139" cm="1">
        <f t="array" ref="CQ29">IF($CN29="-","-",CO29-CP29)</f>
        <v>-6</v>
      </c>
      <c r="CR29" s="139">
        <v>1</v>
      </c>
      <c r="CS29" s="112" t="s">
        <v>113</v>
      </c>
      <c r="CT29" s="139" cm="1">
        <f t="array" ref="CT29">IF($CS29="-","-",SUMIFS($AC$4:$AC$97,$AA$4:$AA$97,$BD29,$U$4:$U$97,$CS29)+SUMIFS($AD$4:$AD$97,$AF$4:$AF$97,$BD29,$T$4:$T$97,$CS29))</f>
        <v>1</v>
      </c>
      <c r="CU29" s="139">
        <v>1</v>
      </c>
      <c r="CV29" s="112" t="s">
        <v>113</v>
      </c>
      <c r="CW29" s="139" cm="1">
        <f t="array" ref="CW29">IF(CV29="-","-",BL29)</f>
        <v>-6</v>
      </c>
      <c r="CX29" s="139">
        <v>1</v>
      </c>
      <c r="CY29" s="112" t="s">
        <v>113</v>
      </c>
      <c r="CZ29" s="139" cm="1">
        <f t="array" ref="CZ29">IF(CY29="-","-",BJ29)</f>
        <v>1</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78"/>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6</v>
      </c>
      <c r="AN30" s="131" cm="1">
        <f t="array" ref="AN30">INDEX($BE$6:$BN$53,MATCH($AL30,$BD$6:$BD$53,0),MATCH(AN$5,$BE$5:$BN$5,0))</f>
        <v>3</v>
      </c>
      <c r="AO30" s="131" cm="1">
        <f t="array" ref="AO30">INDEX($BE$6:$BN$53,MATCH($AL30,$BD$6:$BD$53,0),MATCH(AO$5,$BE$5:$BN$5,0))</f>
        <v>2</v>
      </c>
      <c r="AP30" s="131" cm="1">
        <f t="array" ref="AP30">INDEX($BE$6:$BN$53,MATCH($AL30,$BD$6:$BD$53,0),MATCH(AP$5,$BE$5:$BN$5,0))</f>
        <v>0</v>
      </c>
      <c r="AQ30" s="131" cm="1">
        <f t="array" ref="AQ30">INDEX($BE$6:$BN$53,MATCH($AL30,$BD$6:$BD$53,0),MATCH(AQ$5,$BE$5:$BN$5,0))</f>
        <v>1</v>
      </c>
      <c r="AR30" s="131" cm="1">
        <f t="array" ref="AR30">INDEX($BE$6:$BN$53,MATCH($AL30,$BD$6:$BD$53,0),MATCH(AR$5,$BE$5:$BN$5,0))</f>
        <v>3</v>
      </c>
      <c r="AS30" s="131" cm="1">
        <f t="array" ref="AS30">INDEX($BE$6:$BN$53,MATCH($AL30,$BD$6:$BD$53,0),MATCH(AS$5,$BE$5:$BN$5,0))</f>
        <v>2</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6</v>
      </c>
      <c r="BK30" s="139" cm="1">
        <f t="array" ref="BK30">SUMIFS($AC$4:$AC$97,$AF$4:$AF$97,BD30,$D$4:$D$97,"&lt;&gt;"&amp;"Pendiente",$AC$4:$AC$97,"&lt;&gt;"&amp;"",$AD$4:$AD$97,"&lt;&gt;"&amp;"")+SUMIFS($AD$4:$AD$97,$AA$4:$AA$97,BD30,$D$4:$D$97,"&lt;&gt;"&amp;"Pendiente",$AC$4:$AC$97,"&lt;&gt;"&amp;"",$AD$4:$AD$97,"&lt;&gt;"&amp;"")</f>
        <v>2</v>
      </c>
      <c r="BL30" s="139" cm="1">
        <f t="array" ref="BL30">BJ30-BK30</f>
        <v>4</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6</v>
      </c>
      <c r="CB30" s="139" cm="1">
        <f t="array" ref="CB30">IF($BZ30="-","-",SUMIFS($AD$4:$AD$97,$AA$4:$AA$97,$BD30,$I$4:$I$97,$BZ30)+SUMIFS($AC$4:$AC$97,$AF$4:$AF$97,$BD30,$H$4:$H$97,$BZ30))</f>
        <v>2</v>
      </c>
      <c r="CC30" s="139" cm="1">
        <f t="array" ref="CC30">IF($BZ30="-","-",CA30-CB30)</f>
        <v>4</v>
      </c>
      <c r="CD30" s="139">
        <v>1</v>
      </c>
      <c r="CE30" s="112" t="s">
        <v>113</v>
      </c>
      <c r="CF30" s="139" cm="1">
        <f t="array" ref="CF30">IF($CE30="-","-",SUMIFS($AC$4:$AC$97,$AA$4:$AA$97,$BD30,$L$4:$L$97,$CE30)+SUMIFS($AD$4:$AD$97,$AF$4:$AF$97,$BD30,$K$4:$K$97,$CE30))</f>
        <v>6</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6</v>
      </c>
      <c r="CP30" s="139" cm="1">
        <f t="array" ref="CP30">IF($CN30="-","-",SUMIFS($AD$4:$AD$97,$AA$4:$AA$97,$BD30,$R$4:$R$97,$CN30)+SUMIFS($AC$4:$AC$97,$AF$4:$AF$97,$BD30,$Q$4:$Q$97,$CN30))</f>
        <v>2</v>
      </c>
      <c r="CQ30" s="139" cm="1">
        <f t="array" ref="CQ30">IF($CN30="-","-",CO30-CP30)</f>
        <v>4</v>
      </c>
      <c r="CR30" s="139">
        <v>1</v>
      </c>
      <c r="CS30" s="112" t="s">
        <v>113</v>
      </c>
      <c r="CT30" s="139" cm="1">
        <f t="array" ref="CT30">IF($CS30="-","-",SUMIFS($AC$4:$AC$97,$AA$4:$AA$97,$BD30,$U$4:$U$97,$CS30)+SUMIFS($AD$4:$AD$97,$AF$4:$AF$97,$BD30,$T$4:$T$97,$CS30))</f>
        <v>6</v>
      </c>
      <c r="CU30" s="139">
        <v>1</v>
      </c>
      <c r="CV30" s="112" t="s">
        <v>113</v>
      </c>
      <c r="CW30" s="139" cm="1">
        <f t="array" ref="CW30">IF(CV30="-","-",BL30)</f>
        <v>4</v>
      </c>
      <c r="CX30" s="139">
        <v>1</v>
      </c>
      <c r="CY30" s="112" t="s">
        <v>113</v>
      </c>
      <c r="CZ30" s="139" cm="1">
        <f t="array" ref="CZ30">IF(CY30="-","-",BJ30)</f>
        <v>6</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Local</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78"/>
      <c r="X31" s="96">
        <v>46192.958333333343</v>
      </c>
      <c r="Y31" s="97">
        <v>46192.958333333343</v>
      </c>
      <c r="Z31" s="113" t="str" cm="1">
        <f t="array" ref="Z31">$Z$6</f>
        <v>J2</v>
      </c>
      <c r="AA31" s="99" t="str" cm="1">
        <f t="array" ref="AA31">A32</f>
        <v>Turquía</v>
      </c>
      <c r="AB31" s="100"/>
      <c r="AC31" s="114">
        <v>3</v>
      </c>
      <c r="AD31" s="114">
        <v>2</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3</v>
      </c>
      <c r="AN31" s="144" cm="1">
        <f t="array" ref="AN31">INDEX($BE$6:$BN$53,MATCH($AL31,$BD$6:$BD$53,0),MATCH(AN$5,$BE$5:$BN$5,0))</f>
        <v>3</v>
      </c>
      <c r="AO31" s="144" cm="1">
        <f t="array" ref="AO31">INDEX($BE$6:$BN$53,MATCH($AL31,$BD$6:$BD$53,0),MATCH(AO$5,$BE$5:$BN$5,0))</f>
        <v>1</v>
      </c>
      <c r="AP31" s="144" cm="1">
        <f t="array" ref="AP31">INDEX($BE$6:$BN$53,MATCH($AL31,$BD$6:$BD$53,0),MATCH(AP$5,$BE$5:$BN$5,0))</f>
        <v>0</v>
      </c>
      <c r="AQ31" s="144" cm="1">
        <f t="array" ref="AQ31">INDEX($BE$6:$BN$53,MATCH($AL31,$BD$6:$BD$53,0),MATCH(AQ$5,$BE$5:$BN$5,0))</f>
        <v>2</v>
      </c>
      <c r="AR31" s="144" cm="1">
        <f t="array" ref="AR31">INDEX($BE$6:$BN$53,MATCH($AL31,$BD$6:$BD$53,0),MATCH(AR$5,$BE$5:$BN$5,0))</f>
        <v>3</v>
      </c>
      <c r="AS31" s="144" cm="1">
        <f t="array" ref="AS31">INDEX($BE$6:$BN$53,MATCH($AL31,$BD$6:$BD$53,0),MATCH(AS$5,$BE$5:$BN$5,0))</f>
        <v>4</v>
      </c>
      <c r="AT31" s="145" cm="1">
        <f t="array" ref="AT31">INDEX($BE$6:$BN$53,MATCH($AL31,$BD$6:$BD$53,0),MATCH(AT$5,$BE$5:$BN$5,0))</f>
        <v>-1</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2</v>
      </c>
      <c r="BL31" s="139" cm="1">
        <f t="array" ref="BL31">BJ31-BK31</f>
        <v>1</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3</v>
      </c>
      <c r="CB31" s="139" cm="1">
        <f t="array" ref="CB31">IF($BZ31="-","-",SUMIFS($AD$4:$AD$97,$AA$4:$AA$97,$BD31,$I$4:$I$97,$BZ31)+SUMIFS($AC$4:$AC$97,$AF$4:$AF$97,$BD31,$H$4:$H$97,$BZ31))</f>
        <v>2</v>
      </c>
      <c r="CC31" s="139" cm="1">
        <f t="array" ref="CC31">IF($BZ31="-","-",CA31-CB31)</f>
        <v>1</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3</v>
      </c>
      <c r="CP31" s="139" cm="1">
        <f t="array" ref="CP31">IF($CN31="-","-",SUMIFS($AD$4:$AD$97,$AA$4:$AA$97,$BD31,$R$4:$R$97,$CN31)+SUMIFS($AC$4:$AC$97,$AF$4:$AF$97,$BD31,$Q$4:$Q$97,$CN31))</f>
        <v>2</v>
      </c>
      <c r="CQ31" s="139" cm="1">
        <f t="array" ref="CQ31">IF($CN31="-","-",CO31-CP31)</f>
        <v>1</v>
      </c>
      <c r="CR31" s="139">
        <v>1</v>
      </c>
      <c r="CS31" s="112" t="s">
        <v>113</v>
      </c>
      <c r="CT31" s="139" cm="1">
        <f t="array" ref="CT31">IF($CS31="-","-",SUMIFS($AC$4:$AC$97,$AA$4:$AA$97,$BD31,$U$4:$U$97,$CS31)+SUMIFS($AD$4:$AD$97,$AF$4:$AF$97,$BD31,$T$4:$T$97,$CS31))</f>
        <v>3</v>
      </c>
      <c r="CU31" s="139">
        <v>1</v>
      </c>
      <c r="CV31" s="112" t="s">
        <v>113</v>
      </c>
      <c r="CW31" s="139" cm="1">
        <f t="array" ref="CW31">IF(CV31="-","-",BL31)</f>
        <v>1</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78"/>
      <c r="X32" s="96">
        <v>46198.916666666657</v>
      </c>
      <c r="Y32" s="97">
        <v>46198.916666666657</v>
      </c>
      <c r="Z32" s="113" t="str" cm="1">
        <f t="array" ref="Z32">$Z$8</f>
        <v>J3</v>
      </c>
      <c r="AA32" s="99" t="str" cm="1">
        <f t="array" ref="AA32">A32</f>
        <v>Turquía</v>
      </c>
      <c r="AB32" s="100"/>
      <c r="AC32" s="114">
        <v>1</v>
      </c>
      <c r="AD32" s="114">
        <v>0</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2</v>
      </c>
      <c r="AS32" s="144" cm="1">
        <f t="array" ref="AS32">INDEX($BE$6:$BN$53,MATCH($AL32,$BD$6:$BD$53,0),MATCH(AS$5,$BE$5:$BN$5,0))</f>
        <v>6</v>
      </c>
      <c r="AT32" s="145" cm="1">
        <f t="array" ref="AT32">INDEX($BE$6:$BN$53,MATCH($AL32,$BD$6:$BD$53,0),MATCH(AT$5,$BE$5:$BN$5,0))</f>
        <v>-4</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3</v>
      </c>
      <c r="BF32" s="139" cm="1">
        <f t="array" ref="BF32">BG32+BH32+BI32</f>
        <v>3</v>
      </c>
      <c r="BG32" s="139" cm="1">
        <f t="array" ref="BG32">COUNTIFS($AA$4:$AA$97,BD32,$D$4:$D$97,"Local")+COUNTIFS($AF$4:$AF$97,BD32,$D$4:$D$97,"Visitante")</f>
        <v>1</v>
      </c>
      <c r="BH32" s="139" cm="1">
        <f t="array" ref="BH32">COUNTIFS($AA$4:$AA$97,BD32,$D$4:$D$97,"Empate")+COUNTIFS($AF$4:$AF$97,BD32,$D$4:$D$97,"Empate")</f>
        <v>0</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3</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0</v>
      </c>
      <c r="BW32" s="139" cm="1">
        <f t="array" ref="BW32">IF($BT32="-","-",COUNTIFS($AA$4:$AA$97,$BD32,$D$4:$D$97,"Visitante",$F$4:$F$97,$BT32)+COUNTIFS($AF$4:$AF$97,$BD32,$D$4:$D$97,"Local",$E$4:$E$97,$BT32))</f>
        <v>2</v>
      </c>
      <c r="BX32" s="139" cm="1">
        <f t="array" ref="BX32">IF($BT32="-","-",BU32*3+BV32)</f>
        <v>3</v>
      </c>
      <c r="BY32" s="139">
        <v>1</v>
      </c>
      <c r="BZ32" s="112" t="s">
        <v>113</v>
      </c>
      <c r="CA32" s="139" cm="1">
        <f t="array" ref="CA32">IF($BZ32="-","-",SUMIFS($AC$4:$AC$97,$AA$4:$AA$97,$BD32,$I$4:$I$97,$BZ32)+SUMIFS($AD$4:$AD$97,$AF$4:$AF$97,$BD32,$H$4:$H$97,$BZ32))</f>
        <v>2</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0</v>
      </c>
      <c r="CK32" s="139" cm="1">
        <f t="array" ref="CK32">IF($CH32="-","-",COUNTIFS($AA$4:$AA$97,$BD32,$D$4:$D$97,"Visitante",$O$4:$O$97,$CH32)+COUNTIFS($AF$4:$AF$97,$BD32,$D$4:$D$97,"Local",$N$4:$N$97,$CH32))</f>
        <v>2</v>
      </c>
      <c r="CL32" s="139" cm="1">
        <f t="array" ref="CL32">IF($CH32="-","-",CI32*3+CJ32)</f>
        <v>3</v>
      </c>
      <c r="CM32" s="139">
        <v>1</v>
      </c>
      <c r="CN32" s="112" t="s">
        <v>113</v>
      </c>
      <c r="CO32" s="139" cm="1">
        <f t="array" ref="CO32">IF($CN32="-","-",SUMIFS($AC$4:$AC$97,$AA$4:$AA$97,$BD32,$R$4:$R$97,$CN32)+SUMIFS($AD$4:$AD$97,$AF$4:$AF$97,$BD32,$Q$4:$Q$97,$CN32))</f>
        <v>2</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2</v>
      </c>
      <c r="CU32" s="139">
        <v>1</v>
      </c>
      <c r="CV32" s="112" t="s">
        <v>113</v>
      </c>
      <c r="CW32" s="139" cm="1">
        <f t="array" ref="CW32">IF(CV32="-","-",BL32)</f>
        <v>-1</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79"/>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9</v>
      </c>
      <c r="AN33" s="160" cm="1">
        <f t="array" ref="AN33">INDEX($BE$6:$BN$53,MATCH($AL33,$BD$6:$BD$53,0),MATCH(AN$5,$BE$5:$BN$5,0))</f>
        <v>3</v>
      </c>
      <c r="AO33" s="160" cm="1">
        <f t="array" ref="AO33">INDEX($BE$6:$BN$53,MATCH($AL33,$BD$6:$BD$53,0),MATCH(AO$5,$BE$5:$BN$5,0))</f>
        <v>3</v>
      </c>
      <c r="AP33" s="160" cm="1">
        <f t="array" ref="AP33">INDEX($BE$6:$BN$53,MATCH($AL33,$BD$6:$BD$53,0),MATCH(AP$5,$BE$5:$BN$5,0))</f>
        <v>0</v>
      </c>
      <c r="AQ33" s="160" cm="1">
        <f t="array" ref="AQ33">INDEX($BE$6:$BN$53,MATCH($AL33,$BD$6:$BD$53,0),MATCH(AQ$5,$BE$5:$BN$5,0))</f>
        <v>0</v>
      </c>
      <c r="AR33" s="160" cm="1">
        <f t="array" ref="AR33">INDEX($BE$6:$BN$53,MATCH($AL33,$BD$6:$BD$53,0),MATCH(AR$5,$BE$5:$BN$5,0))</f>
        <v>7</v>
      </c>
      <c r="AS33" s="160" cm="1">
        <f t="array" ref="AS33">INDEX($BE$6:$BN$53,MATCH($AL33,$BD$6:$BD$53,0),MATCH(AS$5,$BE$5:$BN$5,0))</f>
        <v>3</v>
      </c>
      <c r="AT33" s="161" cm="1">
        <f t="array" ref="AT33">INDEX($BE$6:$BN$53,MATCH($AL33,$BD$6:$BD$53,0),MATCH(AT$5,$BE$5:$BN$5,0))</f>
        <v>4</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0</v>
      </c>
      <c r="BF33" s="139" cm="1">
        <f t="array" ref="BF33">BG33+BH33+BI33</f>
        <v>3</v>
      </c>
      <c r="BG33" s="139" cm="1">
        <f t="array" ref="BG33">COUNTIFS($AA$4:$AA$97,BD33,$D$4:$D$97,"Local")+COUNTIFS($AF$4:$AF$97,BD33,$D$4:$D$97,"Visitante")</f>
        <v>0</v>
      </c>
      <c r="BH33" s="139" cm="1">
        <f t="array" ref="BH33">COUNTIFS($AA$4:$AA$97,BD33,$D$4:$D$97,"Empate")+COUNTIFS($AF$4:$AF$97,BD33,$D$4:$D$97,"Empate")</f>
        <v>0</v>
      </c>
      <c r="BI33" s="139" cm="1">
        <f t="array" ref="BI33">COUNTIFS($AF$4:$AF$97,BD33,$D$4:$D$97,"Local")+COUNTIFS($AA$4:$AA$97,BD33,$D$4:$D$97,"Visitante")</f>
        <v>3</v>
      </c>
      <c r="BJ33" s="139" cm="1">
        <f t="array" ref="BJ33">SUMIFS($AC$4:$AC$97,$AA$4:$AA$97,BD33,$D$4:$D$97,"&lt;&gt;"&amp;"Pendiente",$AC$4:$AC$97,"&lt;&gt;"&amp;"",$AD$4:$AD$97,"&lt;&gt;"&amp;"")+SUMIFS($AD$4:$AD$97,$AF$4:$AF$97,BD33,$D$4:$D$97,"&lt;&gt;"&amp;"Pendiente",$AC$4:$AC$97,"&lt;&gt;"&amp;"",$AD$4:$AD$97,"&lt;&gt;"&amp;"")</f>
        <v>2</v>
      </c>
      <c r="BK33" s="139" cm="1">
        <f t="array" ref="BK33">SUMIFS($AC$4:$AC$97,$AF$4:$AF$97,BD33,$D$4:$D$97,"&lt;&gt;"&amp;"Pendiente",$AC$4:$AC$97,"&lt;&gt;"&amp;"",$AD$4:$AD$97,"&lt;&gt;"&amp;"")+SUMIFS($AD$4:$AD$97,$AA$4:$AA$97,BD33,$D$4:$D$97,"&lt;&gt;"&amp;"Pendiente",$AC$4:$AC$97,"&lt;&gt;"&amp;"",$AD$4:$AD$97,"&lt;&gt;"&amp;"")</f>
        <v>6</v>
      </c>
      <c r="BL33" s="139" cm="1">
        <f t="array" ref="BL33">BJ33-BK33</f>
        <v>-4</v>
      </c>
      <c r="BM33" s="126" t="str" cm="1">
        <f t="array" ref="BM33">DD33&amp;BC33</f>
        <v>4G</v>
      </c>
      <c r="BN33" s="126" t="str" cm="1">
        <f t="array" ref="BN33">DH33&amp;BC33</f>
        <v>4G</v>
      </c>
      <c r="BO33" s="139" cm="1">
        <f t="array" ref="BO33">IF(AND($AJ$99=144,BF33&gt;=1),1,0)</f>
        <v>0</v>
      </c>
      <c r="BP33" s="139">
        <v>1</v>
      </c>
      <c r="BQ33" s="112" t="s">
        <v>113</v>
      </c>
      <c r="BR33" s="139" cm="1">
        <f t="array" ref="BR33">IF($BQ33="-","-",BE33)</f>
        <v>0</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0</v>
      </c>
      <c r="BW33" s="139" cm="1">
        <f t="array" ref="BW33">IF($BT33="-","-",COUNTIFS($AA$4:$AA$97,$BD33,$D$4:$D$97,"Visitante",$F$4:$F$97,$BT33)+COUNTIFS($AF$4:$AF$97,$BD33,$D$4:$D$97,"Local",$E$4:$E$97,$BT33))</f>
        <v>3</v>
      </c>
      <c r="BX33" s="139" cm="1">
        <f t="array" ref="BX33">IF($BT33="-","-",BU33*3+BV33)</f>
        <v>0</v>
      </c>
      <c r="BY33" s="139">
        <v>1</v>
      </c>
      <c r="BZ33" s="112" t="s">
        <v>113</v>
      </c>
      <c r="CA33" s="139" cm="1">
        <f t="array" ref="CA33">IF($BZ33="-","-",SUMIFS($AC$4:$AC$97,$AA$4:$AA$97,$BD33,$I$4:$I$97,$BZ33)+SUMIFS($AD$4:$AD$97,$AF$4:$AF$97,$BD33,$H$4:$H$97,$BZ33))</f>
        <v>2</v>
      </c>
      <c r="CB33" s="139" cm="1">
        <f t="array" ref="CB33">IF($BZ33="-","-",SUMIFS($AD$4:$AD$97,$AA$4:$AA$97,$BD33,$I$4:$I$97,$BZ33)+SUMIFS($AC$4:$AC$97,$AF$4:$AF$97,$BD33,$H$4:$H$97,$BZ33))</f>
        <v>6</v>
      </c>
      <c r="CC33" s="139" cm="1">
        <f t="array" ref="CC33">IF($BZ33="-","-",CA33-CB33)</f>
        <v>-4</v>
      </c>
      <c r="CD33" s="139">
        <v>1</v>
      </c>
      <c r="CE33" s="112" t="s">
        <v>113</v>
      </c>
      <c r="CF33" s="139" cm="1">
        <f t="array" ref="CF33">IF($CE33="-","-",SUMIFS($AC$4:$AC$97,$AA$4:$AA$97,$BD33,$L$4:$L$97,$CE33)+SUMIFS($AD$4:$AD$97,$AF$4:$AF$97,$BD33,$K$4:$K$97,$CE33))</f>
        <v>2</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0</v>
      </c>
      <c r="CK33" s="139" cm="1">
        <f t="array" ref="CK33">IF($CH33="-","-",COUNTIFS($AA$4:$AA$97,$BD33,$D$4:$D$97,"Visitante",$O$4:$O$97,$CH33)+COUNTIFS($AF$4:$AF$97,$BD33,$D$4:$D$97,"Local",$N$4:$N$97,$CH33))</f>
        <v>3</v>
      </c>
      <c r="CL33" s="139" cm="1">
        <f t="array" ref="CL33">IF($CH33="-","-",CI33*3+CJ33)</f>
        <v>0</v>
      </c>
      <c r="CM33" s="139">
        <v>1</v>
      </c>
      <c r="CN33" s="112" t="s">
        <v>113</v>
      </c>
      <c r="CO33" s="139" cm="1">
        <f t="array" ref="CO33">IF($CN33="-","-",SUMIFS($AC$4:$AC$97,$AA$4:$AA$97,$BD33,$R$4:$R$97,$CN33)+SUMIFS($AD$4:$AD$97,$AF$4:$AF$97,$BD33,$Q$4:$Q$97,$CN33))</f>
        <v>2</v>
      </c>
      <c r="CP33" s="139" cm="1">
        <f t="array" ref="CP33">IF($CN33="-","-",SUMIFS($AD$4:$AD$97,$AA$4:$AA$97,$BD33,$R$4:$R$97,$CN33)+SUMIFS($AC$4:$AC$97,$AF$4:$AF$97,$BD33,$Q$4:$Q$97,$CN33))</f>
        <v>6</v>
      </c>
      <c r="CQ33" s="139" cm="1">
        <f t="array" ref="CQ33">IF($CN33="-","-",CO33-CP33)</f>
        <v>-4</v>
      </c>
      <c r="CR33" s="139">
        <v>1</v>
      </c>
      <c r="CS33" s="112" t="s">
        <v>113</v>
      </c>
      <c r="CT33" s="139" cm="1">
        <f t="array" ref="CT33">IF($CS33="-","-",SUMIFS($AC$4:$AC$97,$AA$4:$AA$97,$BD33,$U$4:$U$97,$CS33)+SUMIFS($AD$4:$AD$97,$AF$4:$AF$97,$BD33,$T$4:$T$97,$CS33))</f>
        <v>2</v>
      </c>
      <c r="CU33" s="139">
        <v>1</v>
      </c>
      <c r="CV33" s="112" t="s">
        <v>113</v>
      </c>
      <c r="CW33" s="139" cm="1">
        <f t="array" ref="CW33">IF(CV33="-","-",BL33)</f>
        <v>-4</v>
      </c>
      <c r="CX33" s="139">
        <v>1</v>
      </c>
      <c r="CY33" s="112" t="s">
        <v>113</v>
      </c>
      <c r="CZ33" s="139" cm="1">
        <f t="array" ref="CZ33">IF(CY33="-","-",BJ33)</f>
        <v>2</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7</v>
      </c>
      <c r="BK34" s="139" cm="1">
        <f t="array" ref="BK34">SUMIFS($AC$4:$AC$97,$AF$4:$AF$97,BD34,$D$4:$D$97,"&lt;&gt;"&amp;"Pendiente",$AC$4:$AC$97,"&lt;&gt;"&amp;"",$AD$4:$AD$97,"&lt;&gt;"&amp;"")+SUMIFS($AD$4:$AD$97,$AA$4:$AA$97,BD34,$D$4:$D$97,"&lt;&gt;"&amp;"Pendiente",$AC$4:$AC$97,"&lt;&gt;"&amp;"",$AD$4:$AD$97,"&lt;&gt;"&amp;"")</f>
        <v>1</v>
      </c>
      <c r="BL34" s="139" cm="1">
        <f t="array" ref="BL34">BJ34-BK34</f>
        <v>6</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7</v>
      </c>
      <c r="CB34" s="139" cm="1">
        <f t="array" ref="CB34">IF($BZ34="-","-",SUMIFS($AD$4:$AD$97,$AA$4:$AA$97,$BD34,$I$4:$I$97,$BZ34)+SUMIFS($AC$4:$AC$97,$AF$4:$AF$97,$BD34,$H$4:$H$97,$BZ34))</f>
        <v>1</v>
      </c>
      <c r="CC34" s="139" cm="1">
        <f t="array" ref="CC34">IF($BZ34="-","-",CA34-CB34)</f>
        <v>6</v>
      </c>
      <c r="CD34" s="139">
        <v>1</v>
      </c>
      <c r="CE34" s="112" t="s">
        <v>113</v>
      </c>
      <c r="CF34" s="139" cm="1">
        <f t="array" ref="CF34">IF($CE34="-","-",SUMIFS($AC$4:$AC$97,$AA$4:$AA$97,$BD34,$L$4:$L$97,$CE34)+SUMIFS($AD$4:$AD$97,$AF$4:$AF$97,$BD34,$K$4:$K$97,$CE34))</f>
        <v>7</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7</v>
      </c>
      <c r="CP34" s="139" cm="1">
        <f t="array" ref="CP34">IF($CN34="-","-",SUMIFS($AD$4:$AD$97,$AA$4:$AA$97,$BD34,$R$4:$R$97,$CN34)+SUMIFS($AC$4:$AC$97,$AF$4:$AF$97,$BD34,$Q$4:$Q$97,$CN34))</f>
        <v>1</v>
      </c>
      <c r="CQ34" s="139" cm="1">
        <f t="array" ref="CQ34">IF($CN34="-","-",CO34-CP34)</f>
        <v>6</v>
      </c>
      <c r="CR34" s="139">
        <v>1</v>
      </c>
      <c r="CS34" s="112" t="s">
        <v>113</v>
      </c>
      <c r="CT34" s="139" cm="1">
        <f t="array" ref="CT34">IF($CS34="-","-",SUMIFS($AC$4:$AC$97,$AA$4:$AA$97,$BD34,$U$4:$U$97,$CS34)+SUMIFS($AD$4:$AD$97,$AF$4:$AF$97,$BD34,$T$4:$T$97,$CS34))</f>
        <v>7</v>
      </c>
      <c r="CU34" s="139">
        <v>1</v>
      </c>
      <c r="CV34" s="112" t="s">
        <v>113</v>
      </c>
      <c r="CW34" s="139" cm="1">
        <f t="array" ref="CW34">IF(CV34="-","-",BL34)</f>
        <v>6</v>
      </c>
      <c r="CX34" s="139">
        <v>1</v>
      </c>
      <c r="CY34" s="112" t="s">
        <v>113</v>
      </c>
      <c r="CZ34" s="139" cm="1">
        <f t="array" ref="CZ34">IF(CY34="-","-",BJ34)</f>
        <v>7</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1</v>
      </c>
      <c r="BK35" s="139" cm="1">
        <f t="array" ref="BK35">SUMIFS($AC$4:$AC$97,$AF$4:$AF$97,BD35,$D$4:$D$97,"&lt;&gt;"&amp;"Pendiente",$AC$4:$AC$97,"&lt;&gt;"&amp;"",$AD$4:$AD$97,"&lt;&gt;"&amp;"")+SUMIFS($AD$4:$AD$97,$AA$4:$AA$97,BD35,$D$4:$D$97,"&lt;&gt;"&amp;"Pendiente",$AC$4:$AC$97,"&lt;&gt;"&amp;"",$AD$4:$AD$97,"&lt;&gt;"&amp;"")</f>
        <v>7</v>
      </c>
      <c r="BL35" s="139" cm="1">
        <f t="array" ref="BL35">BJ35-BK35</f>
        <v>-6</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1</v>
      </c>
      <c r="CB35" s="139" cm="1">
        <f t="array" ref="CB35">IF($BZ35="-","-",SUMIFS($AD$4:$AD$97,$AA$4:$AA$97,$BD35,$I$4:$I$97,$BZ35)+SUMIFS($AC$4:$AC$97,$AF$4:$AF$97,$BD35,$H$4:$H$97,$BZ35))</f>
        <v>7</v>
      </c>
      <c r="CC35" s="139" cm="1">
        <f t="array" ref="CC35">IF($BZ35="-","-",CA35-CB35)</f>
        <v>-6</v>
      </c>
      <c r="CD35" s="139">
        <v>1</v>
      </c>
      <c r="CE35" s="112" t="s">
        <v>113</v>
      </c>
      <c r="CF35" s="139" cm="1">
        <f t="array" ref="CF35">IF($CE35="-","-",SUMIFS($AC$4:$AC$97,$AA$4:$AA$97,$BD35,$L$4:$L$97,$CE35)+SUMIFS($AD$4:$AD$97,$AF$4:$AF$97,$BD35,$K$4:$K$97,$CE35))</f>
        <v>1</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1</v>
      </c>
      <c r="CP35" s="139" cm="1">
        <f t="array" ref="CP35">IF($CN35="-","-",SUMIFS($AD$4:$AD$97,$AA$4:$AA$97,$BD35,$R$4:$R$97,$CN35)+SUMIFS($AC$4:$AC$97,$AF$4:$AF$97,$BD35,$Q$4:$Q$97,$CN35))</f>
        <v>7</v>
      </c>
      <c r="CQ35" s="139" cm="1">
        <f t="array" ref="CQ35">IF($CN35="-","-",CO35-CP35)</f>
        <v>-6</v>
      </c>
      <c r="CR35" s="139">
        <v>1</v>
      </c>
      <c r="CS35" s="112" t="s">
        <v>113</v>
      </c>
      <c r="CT35" s="139" cm="1">
        <f t="array" ref="CT35">IF($CS35="-","-",SUMIFS($AC$4:$AC$97,$AA$4:$AA$97,$BD35,$U$4:$U$97,$CS35)+SUMIFS($AD$4:$AD$97,$AF$4:$AF$97,$BD35,$T$4:$T$97,$CS35))</f>
        <v>1</v>
      </c>
      <c r="CU35" s="139">
        <v>1</v>
      </c>
      <c r="CV35" s="112" t="s">
        <v>113</v>
      </c>
      <c r="CW35" s="139" cm="1">
        <f t="array" ref="CW35">IF(CV35="-","-",BL35)</f>
        <v>-6</v>
      </c>
      <c r="CX35" s="139">
        <v>1</v>
      </c>
      <c r="CY35" s="112" t="s">
        <v>113</v>
      </c>
      <c r="CZ35" s="139" cm="1">
        <f t="array" ref="CZ35">IF(CY35="-","-",BJ35)</f>
        <v>1</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90" t="s">
        <v>55</v>
      </c>
      <c r="X36" s="96">
        <v>46187.541666666657</v>
      </c>
      <c r="Y36" s="97">
        <v>46187.541666666657</v>
      </c>
      <c r="Z36" s="113" t="str" cm="1">
        <f t="array" ref="Z36">$Z$4</f>
        <v>J1</v>
      </c>
      <c r="AA36" s="99" t="str" cm="1">
        <f t="array" ref="AA36">A37</f>
        <v>Alemania</v>
      </c>
      <c r="AB36" s="100"/>
      <c r="AC36" s="101">
        <v>3</v>
      </c>
      <c r="AD36" s="101">
        <v>0</v>
      </c>
      <c r="AE36" s="102"/>
      <c r="AF36" s="103" t="str" cm="1">
        <f t="array" ref="AF36">A38</f>
        <v>Curazao</v>
      </c>
      <c r="AG36" s="104" cm="1">
        <f t="array" ref="AG36">IF(NOT(OR(ISBLANK(AC36),ISBLANK(AD36))),1,0)</f>
        <v>1</v>
      </c>
      <c r="AH36" s="105">
        <v>10</v>
      </c>
      <c r="AI36" s="106"/>
      <c r="AJ36" s="770" t="str" cm="1">
        <f t="array" ref="AJ36">CONCATENATE(AJ3," ",B36)</f>
        <v>Grupo E</v>
      </c>
      <c r="AK36" s="771"/>
      <c r="AL36" s="771"/>
      <c r="AM36" s="771"/>
      <c r="AN36" s="771"/>
      <c r="AO36" s="771"/>
      <c r="AP36" s="771"/>
      <c r="AQ36" s="771"/>
      <c r="AR36" s="771"/>
      <c r="AS36" s="771"/>
      <c r="AT36" s="772"/>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5</v>
      </c>
      <c r="BL36" s="139" cm="1">
        <f t="array" ref="BL36">BJ36-BK36</f>
        <v>-2</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5</v>
      </c>
      <c r="CC36" s="139" cm="1">
        <f t="array" ref="CC36">IF($BZ36="-","-",CA36-CB36)</f>
        <v>-2</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5</v>
      </c>
      <c r="CQ36" s="139" cm="1">
        <f t="array" ref="CQ36">IF($CN36="-","-",CO36-CP36)</f>
        <v>-2</v>
      </c>
      <c r="CR36" s="139">
        <v>1</v>
      </c>
      <c r="CS36" s="112" t="s">
        <v>113</v>
      </c>
      <c r="CT36" s="139" cm="1">
        <f t="array" ref="CT36">IF($CS36="-","-",SUMIFS($AC$4:$AC$97,$AA$4:$AA$97,$BD36,$U$4:$U$97,$CS36)+SUMIFS($AD$4:$AD$97,$AF$4:$AF$97,$BD36,$T$4:$T$97,$CS36))</f>
        <v>3</v>
      </c>
      <c r="CU36" s="139">
        <v>1</v>
      </c>
      <c r="CV36" s="112" t="s">
        <v>113</v>
      </c>
      <c r="CW36" s="139" cm="1">
        <f t="array" ref="CW36">IF(CV36="-","-",BL36)</f>
        <v>-2</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77"/>
      <c r="X37" s="96">
        <v>46187.791666666657</v>
      </c>
      <c r="Y37" s="97">
        <v>46187.791666666657</v>
      </c>
      <c r="Z37" s="113" t="str" cm="1">
        <f t="array" ref="Z37">$Z$4</f>
        <v>J1</v>
      </c>
      <c r="AA37" s="99" t="str" cm="1">
        <f t="array" ref="AA37">A39</f>
        <v>Costa de Marfil</v>
      </c>
      <c r="AB37" s="100"/>
      <c r="AC37" s="114">
        <v>1</v>
      </c>
      <c r="AD37" s="114">
        <v>3</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5</v>
      </c>
      <c r="BK37" s="139" cm="1">
        <f t="array" ref="BK37">SUMIFS($AC$4:$AC$97,$AF$4:$AF$97,BD37,$D$4:$D$97,"&lt;&gt;"&amp;"Pendiente",$AC$4:$AC$97,"&lt;&gt;"&amp;"",$AD$4:$AD$97,"&lt;&gt;"&amp;"")+SUMIFS($AD$4:$AD$97,$AA$4:$AA$97,BD37,$D$4:$D$97,"&lt;&gt;"&amp;"Pendiente",$AC$4:$AC$97,"&lt;&gt;"&amp;"",$AD$4:$AD$97,"&lt;&gt;"&amp;"")</f>
        <v>3</v>
      </c>
      <c r="BL37" s="139" cm="1">
        <f t="array" ref="BL37">BJ37-BK37</f>
        <v>2</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5</v>
      </c>
      <c r="CB37" s="139" cm="1">
        <f t="array" ref="CB37">IF($BZ37="-","-",SUMIFS($AD$4:$AD$97,$AA$4:$AA$97,$BD37,$I$4:$I$97,$BZ37)+SUMIFS($AC$4:$AC$97,$AF$4:$AF$97,$BD37,$H$4:$H$97,$BZ37))</f>
        <v>3</v>
      </c>
      <c r="CC37" s="139" cm="1">
        <f t="array" ref="CC37">IF($BZ37="-","-",CA37-CB37)</f>
        <v>2</v>
      </c>
      <c r="CD37" s="139">
        <v>1</v>
      </c>
      <c r="CE37" s="112" t="s">
        <v>113</v>
      </c>
      <c r="CF37" s="139" cm="1">
        <f t="array" ref="CF37">IF($CE37="-","-",SUMIFS($AC$4:$AC$97,$AA$4:$AA$97,$BD37,$L$4:$L$97,$CE37)+SUMIFS($AD$4:$AD$97,$AF$4:$AF$97,$BD37,$K$4:$K$97,$CE37))</f>
        <v>5</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5</v>
      </c>
      <c r="CP37" s="139" cm="1">
        <f t="array" ref="CP37">IF($CN37="-","-",SUMIFS($AD$4:$AD$97,$AA$4:$AA$97,$BD37,$R$4:$R$97,$CN37)+SUMIFS($AC$4:$AC$97,$AF$4:$AF$97,$BD37,$Q$4:$Q$97,$CN37))</f>
        <v>3</v>
      </c>
      <c r="CQ37" s="139" cm="1">
        <f t="array" ref="CQ37">IF($CN37="-","-",CO37-CP37)</f>
        <v>2</v>
      </c>
      <c r="CR37" s="139">
        <v>1</v>
      </c>
      <c r="CS37" s="112" t="s">
        <v>113</v>
      </c>
      <c r="CT37" s="139" cm="1">
        <f t="array" ref="CT37">IF($CS37="-","-",SUMIFS($AC$4:$AC$97,$AA$4:$AA$97,$BD37,$U$4:$U$97,$CS37)+SUMIFS($AD$4:$AD$97,$AF$4:$AF$97,$BD37,$T$4:$T$97,$CS37))</f>
        <v>5</v>
      </c>
      <c r="CU37" s="139">
        <v>1</v>
      </c>
      <c r="CV37" s="112" t="s">
        <v>113</v>
      </c>
      <c r="CW37" s="139" cm="1">
        <f t="array" ref="CW37">IF(CV37="-","-",BL37)</f>
        <v>2</v>
      </c>
      <c r="CX37" s="139">
        <v>1</v>
      </c>
      <c r="CY37" s="112" t="s">
        <v>113</v>
      </c>
      <c r="CZ37" s="139" cm="1">
        <f t="array" ref="CZ37">IF(CY37="-","-",BJ37)</f>
        <v>5</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78"/>
      <c r="X38" s="96">
        <v>46193.666666666657</v>
      </c>
      <c r="Y38" s="97">
        <v>46193.666666666657</v>
      </c>
      <c r="Z38" s="113" t="str" cm="1">
        <f t="array" ref="Z38">$Z$6</f>
        <v>J2</v>
      </c>
      <c r="AA38" s="99" t="str" cm="1">
        <f t="array" ref="AA38">A37</f>
        <v>Alemania</v>
      </c>
      <c r="AB38" s="100"/>
      <c r="AC38" s="114">
        <v>2</v>
      </c>
      <c r="AD38" s="114">
        <v>0</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7</v>
      </c>
      <c r="AS38" s="131" cm="1">
        <f t="array" ref="AS38">INDEX($BE$6:$BN$53,MATCH($AL38,$BD$6:$BD$53,0),MATCH(AS$5,$BE$5:$BN$5,0))</f>
        <v>1</v>
      </c>
      <c r="AT38" s="132" cm="1">
        <f t="array" ref="AT38">INDEX($BE$6:$BN$53,MATCH($AL38,$BD$6:$BD$53,0),MATCH(AT$5,$BE$5:$BN$5,0))</f>
        <v>6</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8</v>
      </c>
      <c r="BK38" s="139" cm="1">
        <f t="array" ref="BK38">SUMIFS($AC$4:$AC$97,$AF$4:$AF$97,BD38,$D$4:$D$97,"&lt;&gt;"&amp;"Pendiente",$AC$4:$AC$97,"&lt;&gt;"&amp;"",$AD$4:$AD$97,"&lt;&gt;"&amp;"")+SUMIFS($AD$4:$AD$97,$AA$4:$AA$97,BD38,$D$4:$D$97,"&lt;&gt;"&amp;"Pendiente",$AC$4:$AC$97,"&lt;&gt;"&amp;"",$AD$4:$AD$97,"&lt;&gt;"&amp;"")</f>
        <v>2</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8</v>
      </c>
      <c r="CB38" s="139" cm="1">
        <f t="array" ref="CB38">IF($BZ38="-","-",SUMIFS($AD$4:$AD$97,$AA$4:$AA$97,$BD38,$I$4:$I$97,$BZ38)+SUMIFS($AC$4:$AC$97,$AF$4:$AF$97,$BD38,$H$4:$H$97,$BZ38))</f>
        <v>2</v>
      </c>
      <c r="CC38" s="139" cm="1">
        <f t="array" ref="CC38">IF($BZ38="-","-",CA38-CB38)</f>
        <v>6</v>
      </c>
      <c r="CD38" s="139">
        <v>1</v>
      </c>
      <c r="CE38" s="112" t="s">
        <v>113</v>
      </c>
      <c r="CF38" s="139" cm="1">
        <f t="array" ref="CF38">IF($CE38="-","-",SUMIFS($AC$4:$AC$97,$AA$4:$AA$97,$BD38,$L$4:$L$97,$CE38)+SUMIFS($AD$4:$AD$97,$AF$4:$AF$97,$BD38,$K$4:$K$97,$CE38))</f>
        <v>8</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8</v>
      </c>
      <c r="CP38" s="139" cm="1">
        <f t="array" ref="CP38">IF($CN38="-","-",SUMIFS($AD$4:$AD$97,$AA$4:$AA$97,$BD38,$R$4:$R$97,$CN38)+SUMIFS($AC$4:$AC$97,$AF$4:$AF$97,$BD38,$Q$4:$Q$97,$CN38))</f>
        <v>2</v>
      </c>
      <c r="CQ38" s="139" cm="1">
        <f t="array" ref="CQ38">IF($CN38="-","-",CO38-CP38)</f>
        <v>6</v>
      </c>
      <c r="CR38" s="139">
        <v>1</v>
      </c>
      <c r="CS38" s="112" t="s">
        <v>113</v>
      </c>
      <c r="CT38" s="139" cm="1">
        <f t="array" ref="CT38">IF($CS38="-","-",SUMIFS($AC$4:$AC$97,$AA$4:$AA$97,$BD38,$U$4:$U$97,$CS38)+SUMIFS($AD$4:$AD$97,$AF$4:$AF$97,$BD38,$T$4:$T$97,$CS38))</f>
        <v>8</v>
      </c>
      <c r="CU38" s="139">
        <v>1</v>
      </c>
      <c r="CV38" s="112" t="s">
        <v>113</v>
      </c>
      <c r="CW38" s="139" cm="1">
        <f t="array" ref="CW38">IF(CV38="-","-",BL38)</f>
        <v>6</v>
      </c>
      <c r="CX38" s="139">
        <v>1</v>
      </c>
      <c r="CY38" s="112" t="s">
        <v>113</v>
      </c>
      <c r="CZ38" s="139" cm="1">
        <f t="array" ref="CZ38">IF(CY38="-","-",BJ38)</f>
        <v>8</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78"/>
      <c r="X39" s="96">
        <v>46193.833333333343</v>
      </c>
      <c r="Y39" s="97">
        <v>46193.833333333343</v>
      </c>
      <c r="Z39" s="113" t="str" cm="1">
        <f t="array" ref="Z39">$Z$6</f>
        <v>J2</v>
      </c>
      <c r="AA39" s="99" t="str" cm="1">
        <f t="array" ref="AA39">A40</f>
        <v>Ecuador</v>
      </c>
      <c r="AB39" s="100"/>
      <c r="AC39" s="114">
        <v>2</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8</v>
      </c>
      <c r="AT39" s="145" cm="1">
        <f t="array" ref="AT39">INDEX($BE$6:$BN$53,MATCH($AL39,$BD$6:$BD$53,0),MATCH(AT$5,$BE$5:$BN$5,0))</f>
        <v>-7</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5</v>
      </c>
      <c r="BK39" s="139" cm="1">
        <f t="array" ref="BK39">SUMIFS($AC$4:$AC$97,$AF$4:$AF$97,BD39,$D$4:$D$97,"&lt;&gt;"&amp;"Pendiente",$AC$4:$AC$97,"&lt;&gt;"&amp;"",$AD$4:$AD$97,"&lt;&gt;"&amp;"")+SUMIFS($AD$4:$AD$97,$AA$4:$AA$97,BD39,$D$4:$D$97,"&lt;&gt;"&amp;"Pendiente",$AC$4:$AC$97,"&lt;&gt;"&amp;"",$AD$4:$AD$97,"&lt;&gt;"&amp;"")</f>
        <v>6</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5</v>
      </c>
      <c r="CB39" s="139" cm="1">
        <f t="array" ref="CB39">IF($BZ39="-","-",SUMIFS($AD$4:$AD$97,$AA$4:$AA$97,$BD39,$I$4:$I$97,$BZ39)+SUMIFS($AC$4:$AC$97,$AF$4:$AF$97,$BD39,$H$4:$H$97,$BZ39))</f>
        <v>6</v>
      </c>
      <c r="CC39" s="139" cm="1">
        <f t="array" ref="CC39">IF($BZ39="-","-",CA39-CB39)</f>
        <v>-1</v>
      </c>
      <c r="CD39" s="139">
        <v>1</v>
      </c>
      <c r="CE39" s="112" t="s">
        <v>113</v>
      </c>
      <c r="CF39" s="139" cm="1">
        <f t="array" ref="CF39">IF($CE39="-","-",SUMIFS($AC$4:$AC$97,$AA$4:$AA$97,$BD39,$L$4:$L$97,$CE39)+SUMIFS($AD$4:$AD$97,$AF$4:$AF$97,$BD39,$K$4:$K$97,$CE39))</f>
        <v>5</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5</v>
      </c>
      <c r="CP39" s="139" cm="1">
        <f t="array" ref="CP39">IF($CN39="-","-",SUMIFS($AD$4:$AD$97,$AA$4:$AA$97,$BD39,$R$4:$R$97,$CN39)+SUMIFS($AC$4:$AC$97,$AF$4:$AF$97,$BD39,$Q$4:$Q$97,$CN39))</f>
        <v>6</v>
      </c>
      <c r="CQ39" s="139" cm="1">
        <f t="array" ref="CQ39">IF($CN39="-","-",CO39-CP39)</f>
        <v>-1</v>
      </c>
      <c r="CR39" s="139">
        <v>1</v>
      </c>
      <c r="CS39" s="112" t="s">
        <v>113</v>
      </c>
      <c r="CT39" s="139" cm="1">
        <f t="array" ref="CT39">IF($CS39="-","-",SUMIFS($AC$4:$AC$97,$AA$4:$AA$97,$BD39,$U$4:$U$97,$CS39)+SUMIFS($AD$4:$AD$97,$AF$4:$AF$97,$BD39,$T$4:$T$97,$CS39))</f>
        <v>5</v>
      </c>
      <c r="CU39" s="139">
        <v>1</v>
      </c>
      <c r="CV39" s="112" t="s">
        <v>113</v>
      </c>
      <c r="CW39" s="139" cm="1">
        <f t="array" ref="CW39">IF(CV39="-","-",BL39)</f>
        <v>-1</v>
      </c>
      <c r="CX39" s="139">
        <v>1</v>
      </c>
      <c r="CY39" s="112" t="s">
        <v>113</v>
      </c>
      <c r="CZ39" s="139" cm="1">
        <f t="array" ref="CZ39">IF(CY39="-","-",BJ39)</f>
        <v>5</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78"/>
      <c r="X40" s="96">
        <v>46198.666666666657</v>
      </c>
      <c r="Y40" s="97">
        <v>46198.666666666657</v>
      </c>
      <c r="Z40" s="113" t="str" cm="1">
        <f t="array" ref="Z40">$Z$8</f>
        <v>J3</v>
      </c>
      <c r="AA40" s="99" t="str" cm="1">
        <f t="array" ref="AA40">A38</f>
        <v>Curazao</v>
      </c>
      <c r="AB40" s="100"/>
      <c r="AC40" s="114">
        <v>1</v>
      </c>
      <c r="AD40" s="114">
        <v>3</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6</v>
      </c>
      <c r="AT40" s="145" cm="1">
        <f t="array" ref="AT40">INDEX($BE$6:$BN$53,MATCH($AL40,$BD$6:$BD$53,0),MATCH(AT$5,$BE$5:$BN$5,0))</f>
        <v>-2</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79"/>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6</v>
      </c>
      <c r="AS41" s="160" cm="1">
        <f t="array" ref="AS41">INDEX($BE$6:$BN$53,MATCH($AL41,$BD$6:$BD$53,0),MATCH(AS$5,$BE$5:$BN$5,0))</f>
        <v>3</v>
      </c>
      <c r="AT41" s="161" cm="1">
        <f t="array" ref="AT41">INDEX($BE$6:$BN$53,MATCH($AL41,$BD$6:$BD$53,0),MATCH(AT$5,$BE$5:$BN$5,0))</f>
        <v>3</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8</v>
      </c>
      <c r="BK42" s="139" cm="1">
        <f t="array" ref="BK42">SUMIFS($AC$4:$AC$97,$AF$4:$AF$97,BD42,$D$4:$D$97,"&lt;&gt;"&amp;"Pendiente",$AC$4:$AC$97,"&lt;&gt;"&amp;"",$AD$4:$AD$97,"&lt;&gt;"&amp;"")+SUMIFS($AD$4:$AD$97,$AA$4:$AA$97,BD42,$D$4:$D$97,"&lt;&gt;"&amp;"Pendiente",$AC$4:$AC$97,"&lt;&gt;"&amp;"",$AD$4:$AD$97,"&lt;&gt;"&amp;"")</f>
        <v>1</v>
      </c>
      <c r="BL42" s="139" cm="1">
        <f t="array" ref="BL42">BJ42-BK42</f>
        <v>7</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8</v>
      </c>
      <c r="CB42" s="139" cm="1">
        <f t="array" ref="CB42">IF($BZ42="-","-",SUMIFS($AD$4:$AD$97,$AA$4:$AA$97,$BD42,$I$4:$I$97,$BZ42)+SUMIFS($AC$4:$AC$97,$AF$4:$AF$97,$BD42,$H$4:$H$97,$BZ42))</f>
        <v>1</v>
      </c>
      <c r="CC42" s="139" cm="1">
        <f t="array" ref="CC42">IF($BZ42="-","-",CA42-CB42)</f>
        <v>7</v>
      </c>
      <c r="CD42" s="139">
        <v>1</v>
      </c>
      <c r="CE42" s="112" t="s">
        <v>113</v>
      </c>
      <c r="CF42" s="139" cm="1">
        <f t="array" ref="CF42">IF($CE42="-","-",SUMIFS($AC$4:$AC$97,$AA$4:$AA$97,$BD42,$L$4:$L$97,$CE42)+SUMIFS($AD$4:$AD$97,$AF$4:$AF$97,$BD42,$K$4:$K$97,$CE42))</f>
        <v>8</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8</v>
      </c>
      <c r="CP42" s="139" cm="1">
        <f t="array" ref="CP42">IF($CN42="-","-",SUMIFS($AD$4:$AD$97,$AA$4:$AA$97,$BD42,$R$4:$R$97,$CN42)+SUMIFS($AC$4:$AC$97,$AF$4:$AF$97,$BD42,$Q$4:$Q$97,$CN42))</f>
        <v>1</v>
      </c>
      <c r="CQ42" s="139" cm="1">
        <f t="array" ref="CQ42">IF($CN42="-","-",CO42-CP42)</f>
        <v>7</v>
      </c>
      <c r="CR42" s="139">
        <v>1</v>
      </c>
      <c r="CS42" s="112" t="s">
        <v>113</v>
      </c>
      <c r="CT42" s="139" cm="1">
        <f t="array" ref="CT42">IF($CS42="-","-",SUMIFS($AC$4:$AC$97,$AA$4:$AA$97,$BD42,$U$4:$U$97,$CS42)+SUMIFS($AD$4:$AD$97,$AF$4:$AF$97,$BD42,$T$4:$T$97,$CS42))</f>
        <v>8</v>
      </c>
      <c r="CU42" s="139">
        <v>1</v>
      </c>
      <c r="CV42" s="112" t="s">
        <v>113</v>
      </c>
      <c r="CW42" s="139" cm="1">
        <f t="array" ref="CW42">IF(CV42="-","-",BL42)</f>
        <v>7</v>
      </c>
      <c r="CX42" s="139">
        <v>1</v>
      </c>
      <c r="CY42" s="112" t="s">
        <v>113</v>
      </c>
      <c r="CZ42" s="139" cm="1">
        <f t="array" ref="CZ42">IF(CY42="-","-",BJ42)</f>
        <v>8</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6</v>
      </c>
      <c r="BL43" s="139" cm="1">
        <f t="array" ref="BL43">BJ43-BK43</f>
        <v>-4</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2</v>
      </c>
      <c r="CB43" s="139" cm="1">
        <f t="array" ref="CB43">IF($BZ43="-","-",SUMIFS($AD$4:$AD$97,$AA$4:$AA$97,$BD43,$I$4:$I$97,$BZ43)+SUMIFS($AC$4:$AC$97,$AF$4:$AF$97,$BD43,$H$4:$H$97,$BZ43))</f>
        <v>6</v>
      </c>
      <c r="CC43" s="139" cm="1">
        <f t="array" ref="CC43">IF($BZ43="-","-",CA43-CB43)</f>
        <v>-4</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2</v>
      </c>
      <c r="CP43" s="139" cm="1">
        <f t="array" ref="CP43">IF($CN43="-","-",SUMIFS($AD$4:$AD$97,$AA$4:$AA$97,$BD43,$R$4:$R$97,$CN43)+SUMIFS($AC$4:$AC$97,$AF$4:$AF$97,$BD43,$Q$4:$Q$97,$CN43))</f>
        <v>6</v>
      </c>
      <c r="CQ43" s="139" cm="1">
        <f t="array" ref="CQ43">IF($CN43="-","-",CO43-CP43)</f>
        <v>-4</v>
      </c>
      <c r="CR43" s="139">
        <v>1</v>
      </c>
      <c r="CS43" s="112" t="s">
        <v>113</v>
      </c>
      <c r="CT43" s="139" cm="1">
        <f t="array" ref="CT43">IF($CS43="-","-",SUMIFS($AC$4:$AC$97,$AA$4:$AA$97,$BD43,$U$4:$U$97,$CS43)+SUMIFS($AD$4:$AD$97,$AF$4:$AF$97,$BD43,$T$4:$T$97,$CS43))</f>
        <v>2</v>
      </c>
      <c r="CU43" s="139">
        <v>1</v>
      </c>
      <c r="CV43" s="112" t="s">
        <v>113</v>
      </c>
      <c r="CW43" s="139" cm="1">
        <f t="array" ref="CW43">IF(CV43="-","-",BL43)</f>
        <v>-4</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93"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70" t="str" cm="1">
        <f t="array" ref="AJ44">CONCATENATE(AJ3," ",B44)</f>
        <v>Grupo F</v>
      </c>
      <c r="AK44" s="771"/>
      <c r="AL44" s="771"/>
      <c r="AM44" s="771"/>
      <c r="AN44" s="771"/>
      <c r="AO44" s="771"/>
      <c r="AP44" s="771"/>
      <c r="AQ44" s="771"/>
      <c r="AR44" s="771"/>
      <c r="AS44" s="771"/>
      <c r="AT44" s="772"/>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3</v>
      </c>
      <c r="BL44" s="139" cm="1">
        <f t="array" ref="BL44">BJ44-BK44</f>
        <v>1</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3</v>
      </c>
      <c r="CC44" s="139" cm="1">
        <f t="array" ref="CC44">IF($BZ44="-","-",CA44-CB44)</f>
        <v>1</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3</v>
      </c>
      <c r="CQ44" s="139" cm="1">
        <f t="array" ref="CQ44">IF($CN44="-","-",CO44-CP44)</f>
        <v>1</v>
      </c>
      <c r="CR44" s="139">
        <v>1</v>
      </c>
      <c r="CS44" s="112" t="s">
        <v>113</v>
      </c>
      <c r="CT44" s="139" cm="1">
        <f t="array" ref="CT44">IF($CS44="-","-",SUMIFS($AC$4:$AC$97,$AA$4:$AA$97,$BD44,$U$4:$U$97,$CS44)+SUMIFS($AD$4:$AD$97,$AF$4:$AF$97,$BD44,$T$4:$T$97,$CS44))</f>
        <v>4</v>
      </c>
      <c r="CU44" s="139">
        <v>1</v>
      </c>
      <c r="CV44" s="112" t="s">
        <v>113</v>
      </c>
      <c r="CW44" s="139" cm="1">
        <f t="array" ref="CW44">IF(CV44="-","-",BL44)</f>
        <v>1</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77"/>
      <c r="X45" s="96">
        <v>46187.916666666657</v>
      </c>
      <c r="Y45" s="97">
        <v>46187.916666666657</v>
      </c>
      <c r="Z45" s="113" t="str" cm="1">
        <f t="array" ref="Z45">$Z$4</f>
        <v>J1</v>
      </c>
      <c r="AA45" s="99" t="str" cm="1">
        <f t="array" ref="AA45">A47</f>
        <v>Suecia</v>
      </c>
      <c r="AB45" s="100"/>
      <c r="AC45" s="114">
        <v>2</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1</v>
      </c>
      <c r="BK45" s="139" cm="1">
        <f t="array" ref="BK45">SUMIFS($AC$4:$AC$97,$AF$4:$AF$97,BD45,$D$4:$D$97,"&lt;&gt;"&amp;"Pendiente",$AC$4:$AC$97,"&lt;&gt;"&amp;"",$AD$4:$AD$97,"&lt;&gt;"&amp;"")+SUMIFS($AD$4:$AD$97,$AA$4:$AA$97,BD45,$D$4:$D$97,"&lt;&gt;"&amp;"Pendiente",$AC$4:$AC$97,"&lt;&gt;"&amp;"",$AD$4:$AD$97,"&lt;&gt;"&amp;"")</f>
        <v>5</v>
      </c>
      <c r="BL45" s="139" cm="1">
        <f t="array" ref="BL45">BJ45-BK45</f>
        <v>-4</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1</v>
      </c>
      <c r="CB45" s="139" cm="1">
        <f t="array" ref="CB45">IF($BZ45="-","-",SUMIFS($AD$4:$AD$97,$AA$4:$AA$97,$BD45,$I$4:$I$97,$BZ45)+SUMIFS($AC$4:$AC$97,$AF$4:$AF$97,$BD45,$H$4:$H$97,$BZ45))</f>
        <v>5</v>
      </c>
      <c r="CC45" s="139" cm="1">
        <f t="array" ref="CC45">IF($BZ45="-","-",CA45-CB45)</f>
        <v>-4</v>
      </c>
      <c r="CD45" s="139">
        <v>1</v>
      </c>
      <c r="CE45" s="112" t="s">
        <v>113</v>
      </c>
      <c r="CF45" s="139" cm="1">
        <f t="array" ref="CF45">IF($CE45="-","-",SUMIFS($AC$4:$AC$97,$AA$4:$AA$97,$BD45,$L$4:$L$97,$CE45)+SUMIFS($AD$4:$AD$97,$AF$4:$AF$97,$BD45,$K$4:$K$97,$CE45))</f>
        <v>1</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1</v>
      </c>
      <c r="CP45" s="139" cm="1">
        <f t="array" ref="CP45">IF($CN45="-","-",SUMIFS($AD$4:$AD$97,$AA$4:$AA$97,$BD45,$R$4:$R$97,$CN45)+SUMIFS($AC$4:$AC$97,$AF$4:$AF$97,$BD45,$Q$4:$Q$97,$CN45))</f>
        <v>5</v>
      </c>
      <c r="CQ45" s="139" cm="1">
        <f t="array" ref="CQ45">IF($CN45="-","-",CO45-CP45)</f>
        <v>-4</v>
      </c>
      <c r="CR45" s="139">
        <v>1</v>
      </c>
      <c r="CS45" s="112" t="s">
        <v>113</v>
      </c>
      <c r="CT45" s="139" cm="1">
        <f t="array" ref="CT45">IF($CS45="-","-",SUMIFS($AC$4:$AC$97,$AA$4:$AA$97,$BD45,$U$4:$U$97,$CS45)+SUMIFS($AD$4:$AD$97,$AF$4:$AF$97,$BD45,$T$4:$T$97,$CS45))</f>
        <v>1</v>
      </c>
      <c r="CU45" s="139">
        <v>1</v>
      </c>
      <c r="CV45" s="112" t="s">
        <v>113</v>
      </c>
      <c r="CW45" s="139" cm="1">
        <f t="array" ref="CW45">IF(CV45="-","-",BL45)</f>
        <v>-4</v>
      </c>
      <c r="CX45" s="139">
        <v>1</v>
      </c>
      <c r="CY45" s="112" t="s">
        <v>113</v>
      </c>
      <c r="CZ45" s="139" cm="1">
        <f t="array" ref="CZ45">IF(CY45="-","-",BJ45)</f>
        <v>1</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78"/>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7</v>
      </c>
      <c r="AS46" s="131" cm="1">
        <f t="array" ref="AS46">INDEX($BE$6:$BN$53,MATCH($AL46,$BD$6:$BD$53,0),MATCH(AS$5,$BE$5:$BN$5,0))</f>
        <v>3</v>
      </c>
      <c r="AT46" s="132" cm="1">
        <f t="array" ref="AT46">INDEX($BE$6:$BN$53,MATCH($AL46,$BD$6:$BD$53,0),MATCH(AT$5,$BE$5:$BN$5,0))</f>
        <v>4</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6</v>
      </c>
      <c r="BK46" s="139" cm="1">
        <f t="array" ref="BK46">SUMIFS($AC$4:$AC$97,$AF$4:$AF$97,BD46,$D$4:$D$97,"&lt;&gt;"&amp;"Pendiente",$AC$4:$AC$97,"&lt;&gt;"&amp;"",$AD$4:$AD$97,"&lt;&gt;"&amp;"")+SUMIFS($AD$4:$AD$97,$AA$4:$AA$97,BD46,$D$4:$D$97,"&lt;&gt;"&amp;"Pendiente",$AC$4:$AC$97,"&lt;&gt;"&amp;"",$AD$4:$AD$97,"&lt;&gt;"&amp;"")</f>
        <v>2</v>
      </c>
      <c r="BL46" s="139" cm="1">
        <f t="array" ref="BL46">BJ46-BK46</f>
        <v>4</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6</v>
      </c>
      <c r="CB46" s="139" cm="1">
        <f t="array" ref="CB46">IF($BZ46="-","-",SUMIFS($AD$4:$AD$97,$AA$4:$AA$97,$BD46,$I$4:$I$97,$BZ46)+SUMIFS($AC$4:$AC$97,$AF$4:$AF$97,$BD46,$H$4:$H$97,$BZ46))</f>
        <v>2</v>
      </c>
      <c r="CC46" s="139" cm="1">
        <f t="array" ref="CC46">IF($BZ46="-","-",CA46-CB46)</f>
        <v>4</v>
      </c>
      <c r="CD46" s="139">
        <v>1</v>
      </c>
      <c r="CE46" s="112" t="s">
        <v>113</v>
      </c>
      <c r="CF46" s="139" cm="1">
        <f t="array" ref="CF46">IF($CE46="-","-",SUMIFS($AC$4:$AC$97,$AA$4:$AA$97,$BD46,$L$4:$L$97,$CE46)+SUMIFS($AD$4:$AD$97,$AF$4:$AF$97,$BD46,$K$4:$K$97,$CE46))</f>
        <v>6</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6</v>
      </c>
      <c r="CP46" s="139" cm="1">
        <f t="array" ref="CP46">IF($CN46="-","-",SUMIFS($AD$4:$AD$97,$AA$4:$AA$97,$BD46,$R$4:$R$97,$CN46)+SUMIFS($AC$4:$AC$97,$AF$4:$AF$97,$BD46,$Q$4:$Q$97,$CN46))</f>
        <v>2</v>
      </c>
      <c r="CQ46" s="139" cm="1">
        <f t="array" ref="CQ46">IF($CN46="-","-",CO46-CP46)</f>
        <v>4</v>
      </c>
      <c r="CR46" s="139">
        <v>1</v>
      </c>
      <c r="CS46" s="112" t="s">
        <v>113</v>
      </c>
      <c r="CT46" s="139" cm="1">
        <f t="array" ref="CT46">IF($CS46="-","-",SUMIFS($AC$4:$AC$97,$AA$4:$AA$97,$BD46,$U$4:$U$97,$CS46)+SUMIFS($AD$4:$AD$97,$AF$4:$AF$97,$BD46,$T$4:$T$97,$CS46))</f>
        <v>6</v>
      </c>
      <c r="CU46" s="139">
        <v>1</v>
      </c>
      <c r="CV46" s="112" t="s">
        <v>113</v>
      </c>
      <c r="CW46" s="139" cm="1">
        <f t="array" ref="CW46">IF(CV46="-","-",BL46)</f>
        <v>4</v>
      </c>
      <c r="CX46" s="139">
        <v>1</v>
      </c>
      <c r="CY46" s="112" t="s">
        <v>113</v>
      </c>
      <c r="CZ46" s="139" cm="1">
        <f t="array" ref="CZ46">IF(CY46="-","-",BJ46)</f>
        <v>6</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78"/>
      <c r="X47" s="96">
        <v>46194</v>
      </c>
      <c r="Y47" s="97">
        <v>46194</v>
      </c>
      <c r="Z47" s="113" t="str" cm="1">
        <f t="array" ref="Z47">$Z$6</f>
        <v>J2</v>
      </c>
      <c r="AA47" s="99" t="str" cm="1">
        <f t="array" ref="AA47">A48</f>
        <v>Túnez</v>
      </c>
      <c r="AB47" s="100"/>
      <c r="AC47" s="114">
        <v>0</v>
      </c>
      <c r="AD47" s="114">
        <v>2</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4</v>
      </c>
      <c r="AS47" s="144" cm="1">
        <f t="array" ref="AS47">INDEX($BE$6:$BN$53,MATCH($AL47,$BD$6:$BD$53,0),MATCH(AS$5,$BE$5:$BN$5,0))</f>
        <v>3</v>
      </c>
      <c r="AT47" s="145" cm="1">
        <f t="array" ref="AT47">INDEX($BE$6:$BN$53,MATCH($AL47,$BD$6:$BD$53,0),MATCH(AT$5,$BE$5:$BN$5,0))</f>
        <v>1</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1</v>
      </c>
      <c r="BF47" s="139" cm="1">
        <f t="array" ref="BF47">BG47+BH47+BI47</f>
        <v>3</v>
      </c>
      <c r="BG47" s="139" cm="1">
        <f t="array" ref="BG47">COUNTIFS($AA$4:$AA$97,BD47,$D$4:$D$97,"Local")+COUNTIFS($AF$4:$AF$97,BD47,$D$4:$D$97,"Visitante")</f>
        <v>0</v>
      </c>
      <c r="BH47" s="139" cm="1">
        <f t="array" ref="BH47">COUNTIFS($AA$4:$AA$97,BD47,$D$4:$D$97,"Empate")+COUNTIFS($AF$4:$AF$97,BD47,$D$4:$D$97,"Empate")</f>
        <v>1</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1</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1</v>
      </c>
      <c r="BW47" s="139" cm="1">
        <f t="array" ref="BW47">IF($BT47="-","-",COUNTIFS($AA$4:$AA$97,$BD47,$D$4:$D$97,"Visitante",$F$4:$F$97,$BT47)+COUNTIFS($AF$4:$AF$97,$BD47,$D$4:$D$97,"Local",$E$4:$E$97,$BT47))</f>
        <v>2</v>
      </c>
      <c r="BX47" s="139" cm="1">
        <f t="array" ref="BX47">IF($BT47="-","-",BU47*3+BV47)</f>
        <v>1</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1</v>
      </c>
      <c r="CK47" s="139" cm="1">
        <f t="array" ref="CK47">IF($CH47="-","-",COUNTIFS($AA$4:$AA$97,$BD47,$D$4:$D$97,"Visitante",$O$4:$O$97,$CH47)+COUNTIFS($AF$4:$AF$97,$BD47,$D$4:$D$97,"Local",$N$4:$N$97,$CH47))</f>
        <v>2</v>
      </c>
      <c r="CL47" s="139" cm="1">
        <f t="array" ref="CL47">IF($CH47="-","-",CI47*3+CJ47)</f>
        <v>1</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78"/>
      <c r="X48" s="96">
        <v>46198.791666666657</v>
      </c>
      <c r="Y48" s="97">
        <v>46198.791666666657</v>
      </c>
      <c r="Z48" s="113" t="str" cm="1">
        <f t="array" ref="Z48">$Z$8</f>
        <v>J3</v>
      </c>
      <c r="AA48" s="99" t="str" cm="1">
        <f t="array" ref="AA48">A46</f>
        <v>Japón</v>
      </c>
      <c r="AB48" s="100"/>
      <c r="AC48" s="114">
        <v>1</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4</v>
      </c>
      <c r="AS48" s="144" cm="1">
        <f t="array" ref="AS48">INDEX($BE$6:$BN$53,MATCH($AL48,$BD$6:$BD$53,0),MATCH(AS$5,$BE$5:$BN$5,0))</f>
        <v>3</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1</v>
      </c>
      <c r="BF48" s="139" cm="1">
        <f t="array" ref="BF48">BG48+BH48+BI48</f>
        <v>3</v>
      </c>
      <c r="BG48" s="139" cm="1">
        <f t="array" ref="BG48">COUNTIFS($AA$4:$AA$97,BD48,$D$4:$D$97,"Local")+COUNTIFS($AF$4:$AF$97,BD48,$D$4:$D$97,"Visitante")</f>
        <v>0</v>
      </c>
      <c r="BH48" s="139" cm="1">
        <f t="array" ref="BH48">COUNTIFS($AA$4:$AA$97,BD48,$D$4:$D$97,"Empate")+COUNTIFS($AF$4:$AF$97,BD48,$D$4:$D$97,"Empate")</f>
        <v>1</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1</v>
      </c>
      <c r="BK48" s="139" cm="1">
        <f t="array" ref="BK48">SUMIFS($AC$4:$AC$97,$AF$4:$AF$97,BD48,$D$4:$D$97,"&lt;&gt;"&amp;"Pendiente",$AC$4:$AC$97,"&lt;&gt;"&amp;"",$AD$4:$AD$97,"&lt;&gt;"&amp;"")+SUMIFS($AD$4:$AD$97,$AA$4:$AA$97,BD48,$D$4:$D$97,"&lt;&gt;"&amp;"Pendiente",$AC$4:$AC$97,"&lt;&gt;"&amp;"",$AD$4:$AD$97,"&lt;&gt;"&amp;"")</f>
        <v>3</v>
      </c>
      <c r="BL48" s="139" cm="1">
        <f t="array" ref="BL48">BJ48-BK48</f>
        <v>-2</v>
      </c>
      <c r="BM48" s="126" t="str" cm="1">
        <f t="array" ref="BM48">DD48&amp;BC48</f>
        <v>3K</v>
      </c>
      <c r="BN48" s="126" t="str" cm="1">
        <f t="array" ref="BN48">DH48&amp;BC48</f>
        <v>3K</v>
      </c>
      <c r="BO48" s="139" cm="1">
        <f t="array" ref="BO48">IF(AND($AJ$99=144,BF48&gt;=1),1,0)</f>
        <v>0</v>
      </c>
      <c r="BP48" s="139">
        <v>1</v>
      </c>
      <c r="BQ48" s="112" t="s">
        <v>113</v>
      </c>
      <c r="BR48" s="139" cm="1">
        <f t="array" ref="BR48">IF($BQ48="-","-",BE48)</f>
        <v>1</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1</v>
      </c>
      <c r="BW48" s="139" cm="1">
        <f t="array" ref="BW48">IF($BT48="-","-",COUNTIFS($AA$4:$AA$97,$BD48,$D$4:$D$97,"Visitante",$F$4:$F$97,$BT48)+COUNTIFS($AF$4:$AF$97,$BD48,$D$4:$D$97,"Local",$E$4:$E$97,$BT48))</f>
        <v>2</v>
      </c>
      <c r="BX48" s="139" cm="1">
        <f t="array" ref="BX48">IF($BT48="-","-",BU48*3+BV48)</f>
        <v>1</v>
      </c>
      <c r="BY48" s="139">
        <v>1</v>
      </c>
      <c r="BZ48" s="112" t="s">
        <v>113</v>
      </c>
      <c r="CA48" s="139" cm="1">
        <f t="array" ref="CA48">IF($BZ48="-","-",SUMIFS($AC$4:$AC$97,$AA$4:$AA$97,$BD48,$I$4:$I$97,$BZ48)+SUMIFS($AD$4:$AD$97,$AF$4:$AF$97,$BD48,$H$4:$H$97,$BZ48))</f>
        <v>1</v>
      </c>
      <c r="CB48" s="139" cm="1">
        <f t="array" ref="CB48">IF($BZ48="-","-",SUMIFS($AD$4:$AD$97,$AA$4:$AA$97,$BD48,$I$4:$I$97,$BZ48)+SUMIFS($AC$4:$AC$97,$AF$4:$AF$97,$BD48,$H$4:$H$97,$BZ48))</f>
        <v>3</v>
      </c>
      <c r="CC48" s="139" cm="1">
        <f t="array" ref="CC48">IF($BZ48="-","-",CA48-CB48)</f>
        <v>-2</v>
      </c>
      <c r="CD48" s="139">
        <v>1</v>
      </c>
      <c r="CE48" s="112" t="s">
        <v>113</v>
      </c>
      <c r="CF48" s="139" cm="1">
        <f t="array" ref="CF48">IF($CE48="-","-",SUMIFS($AC$4:$AC$97,$AA$4:$AA$97,$BD48,$L$4:$L$97,$CE48)+SUMIFS($AD$4:$AD$97,$AF$4:$AF$97,$BD48,$K$4:$K$97,$CE48))</f>
        <v>1</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1</v>
      </c>
      <c r="CK48" s="139" cm="1">
        <f t="array" ref="CK48">IF($CH48="-","-",COUNTIFS($AA$4:$AA$97,$BD48,$D$4:$D$97,"Visitante",$O$4:$O$97,$CH48)+COUNTIFS($AF$4:$AF$97,$BD48,$D$4:$D$97,"Local",$N$4:$N$97,$CH48))</f>
        <v>2</v>
      </c>
      <c r="CL48" s="139" cm="1">
        <f t="array" ref="CL48">IF($CH48="-","-",CI48*3+CJ48)</f>
        <v>1</v>
      </c>
      <c r="CM48" s="139">
        <v>1</v>
      </c>
      <c r="CN48" s="112" t="s">
        <v>113</v>
      </c>
      <c r="CO48" s="139" cm="1">
        <f t="array" ref="CO48">IF($CN48="-","-",SUMIFS($AC$4:$AC$97,$AA$4:$AA$97,$BD48,$R$4:$R$97,$CN48)+SUMIFS($AD$4:$AD$97,$AF$4:$AF$97,$BD48,$Q$4:$Q$97,$CN48))</f>
        <v>1</v>
      </c>
      <c r="CP48" s="139" cm="1">
        <f t="array" ref="CP48">IF($CN48="-","-",SUMIFS($AD$4:$AD$97,$AA$4:$AA$97,$BD48,$R$4:$R$97,$CN48)+SUMIFS($AC$4:$AC$97,$AF$4:$AF$97,$BD48,$Q$4:$Q$97,$CN48))</f>
        <v>3</v>
      </c>
      <c r="CQ48" s="139" cm="1">
        <f t="array" ref="CQ48">IF($CN48="-","-",CO48-CP48)</f>
        <v>-2</v>
      </c>
      <c r="CR48" s="139">
        <v>1</v>
      </c>
      <c r="CS48" s="112" t="s">
        <v>113</v>
      </c>
      <c r="CT48" s="139" cm="1">
        <f t="array" ref="CT48">IF($CS48="-","-",SUMIFS($AC$4:$AC$97,$AA$4:$AA$97,$BD48,$U$4:$U$97,$CS48)+SUMIFS($AD$4:$AD$97,$AF$4:$AF$97,$BD48,$T$4:$T$97,$CS48))</f>
        <v>1</v>
      </c>
      <c r="CU48" s="139">
        <v>1</v>
      </c>
      <c r="CV48" s="112" t="s">
        <v>113</v>
      </c>
      <c r="CW48" s="139" cm="1">
        <f t="array" ref="CW48">IF(CV48="-","-",BL48)</f>
        <v>-2</v>
      </c>
      <c r="CX48" s="139">
        <v>1</v>
      </c>
      <c r="CY48" s="112" t="s">
        <v>113</v>
      </c>
      <c r="CZ48" s="139" cm="1">
        <f t="array" ref="CZ48">IF(CY48="-","-",BJ48)</f>
        <v>1</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79"/>
      <c r="X49" s="148">
        <v>46198.791666666657</v>
      </c>
      <c r="Y49" s="149">
        <v>46198.791666666657</v>
      </c>
      <c r="Z49" s="150" t="str" cm="1">
        <f t="array" ref="Z49">$Z$8</f>
        <v>J3</v>
      </c>
      <c r="AA49" s="151" t="str" cm="1">
        <f t="array" ref="AA49">A48</f>
        <v>Túnez</v>
      </c>
      <c r="AB49" s="152"/>
      <c r="AC49" s="153">
        <v>1</v>
      </c>
      <c r="AD49" s="153">
        <v>3</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1</v>
      </c>
      <c r="AS49" s="160" cm="1">
        <f t="array" ref="AS49">INDEX($BE$6:$BN$53,MATCH($AL49,$BD$6:$BD$53,0),MATCH(AS$5,$BE$5:$BN$5,0))</f>
        <v>7</v>
      </c>
      <c r="AT49" s="161" cm="1">
        <f t="array" ref="AT49">INDEX($BE$6:$BN$53,MATCH($AL49,$BD$6:$BD$53,0),MATCH(AT$5,$BE$5:$BN$5,0))</f>
        <v>-6</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2</v>
      </c>
      <c r="BL49" s="139" cm="1">
        <f t="array" ref="BL49">BJ49-BK49</f>
        <v>2</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2</v>
      </c>
      <c r="CC49" s="139" cm="1">
        <f t="array" ref="CC49">IF($BZ49="-","-",CA49-CB49)</f>
        <v>2</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2</v>
      </c>
      <c r="CQ49" s="139" cm="1">
        <f t="array" ref="CQ49">IF($CN49="-","-",CO49-CP49)</f>
        <v>2</v>
      </c>
      <c r="CR49" s="139">
        <v>1</v>
      </c>
      <c r="CS49" s="112" t="s">
        <v>113</v>
      </c>
      <c r="CT49" s="139" cm="1">
        <f t="array" ref="CT49">IF($CS49="-","-",SUMIFS($AC$4:$AC$97,$AA$4:$AA$97,$BD49,$U$4:$U$97,$CS49)+SUMIFS($AD$4:$AD$97,$AF$4:$AF$97,$BD49,$T$4:$T$97,$CS49))</f>
        <v>4</v>
      </c>
      <c r="CU49" s="139">
        <v>1</v>
      </c>
      <c r="CV49" s="112" t="s">
        <v>113</v>
      </c>
      <c r="CW49" s="139" cm="1">
        <f t="array" ref="CW49">IF(CV49="-","-",BL49)</f>
        <v>2</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6</v>
      </c>
      <c r="BF51" s="139" cm="1">
        <f t="array" ref="BF51">BG51+BH51+BI51</f>
        <v>3</v>
      </c>
      <c r="BG51" s="139" cm="1">
        <f t="array" ref="BG51">COUNTIFS($AA$4:$AA$97,BD51,$D$4:$D$97,"Local")+COUNTIFS($AF$4:$AF$97,BD51,$D$4:$D$97,"Visitante")</f>
        <v>2</v>
      </c>
      <c r="BH51" s="139" cm="1">
        <f t="array" ref="BH51">COUNTIFS($AA$4:$AA$97,BD51,$D$4:$D$97,"Empate")+COUNTIFS($AF$4:$AF$97,BD51,$D$4:$D$97,"Empate")</f>
        <v>0</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3</v>
      </c>
      <c r="BL51" s="139" cm="1">
        <f t="array" ref="BL51">BJ51-BK51</f>
        <v>2</v>
      </c>
      <c r="BM51" s="126" t="str" cm="1">
        <f t="array" ref="BM51">DD51&amp;BC51</f>
        <v>2L</v>
      </c>
      <c r="BN51" s="126" t="str" cm="1">
        <f t="array" ref="BN51">DH51&amp;BC51</f>
        <v>2L</v>
      </c>
      <c r="BO51" s="139" cm="1">
        <f t="array" ref="BO51">IF(AND($AJ$99=144,BF51&gt;=1),1,0)</f>
        <v>0</v>
      </c>
      <c r="BP51" s="139">
        <v>1</v>
      </c>
      <c r="BQ51" s="112" t="s">
        <v>113</v>
      </c>
      <c r="BR51" s="139" cm="1">
        <f t="array" ref="BR51">IF($BQ51="-","-",BE51)</f>
        <v>6</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0</v>
      </c>
      <c r="BW51" s="139" cm="1">
        <f t="array" ref="BW51">IF($BT51="-","-",COUNTIFS($AA$4:$AA$97,$BD51,$D$4:$D$97,"Visitante",$F$4:$F$97,$BT51)+COUNTIFS($AF$4:$AF$97,$BD51,$D$4:$D$97,"Local",$E$4:$E$97,$BT51))</f>
        <v>1</v>
      </c>
      <c r="BX51" s="139" cm="1">
        <f t="array" ref="BX51">IF($BT51="-","-",BU51*3+BV51)</f>
        <v>6</v>
      </c>
      <c r="BY51" s="139">
        <v>1</v>
      </c>
      <c r="BZ51" s="112" t="s">
        <v>113</v>
      </c>
      <c r="CA51" s="139" cm="1">
        <f t="array" ref="CA51">IF($BZ51="-","-",SUMIFS($AC$4:$AC$97,$AA$4:$AA$97,$BD51,$I$4:$I$97,$BZ51)+SUMIFS($AD$4:$AD$97,$AF$4:$AF$97,$BD51,$H$4:$H$97,$BZ51))</f>
        <v>5</v>
      </c>
      <c r="CB51" s="139" cm="1">
        <f t="array" ref="CB51">IF($BZ51="-","-",SUMIFS($AD$4:$AD$97,$AA$4:$AA$97,$BD51,$I$4:$I$97,$BZ51)+SUMIFS($AC$4:$AC$97,$AF$4:$AF$97,$BD51,$H$4:$H$97,$BZ51))</f>
        <v>3</v>
      </c>
      <c r="CC51" s="139" cm="1">
        <f t="array" ref="CC51">IF($BZ51="-","-",CA51-CB51)</f>
        <v>2</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0</v>
      </c>
      <c r="CK51" s="139" cm="1">
        <f t="array" ref="CK51">IF($CH51="-","-",COUNTIFS($AA$4:$AA$97,$BD51,$D$4:$D$97,"Visitante",$O$4:$O$97,$CH51)+COUNTIFS($AF$4:$AF$97,$BD51,$D$4:$D$97,"Local",$N$4:$N$97,$CH51))</f>
        <v>1</v>
      </c>
      <c r="CL51" s="139" cm="1">
        <f t="array" ref="CL51">IF($CH51="-","-",CI51*3+CJ51)</f>
        <v>6</v>
      </c>
      <c r="CM51" s="139">
        <v>1</v>
      </c>
      <c r="CN51" s="112" t="s">
        <v>113</v>
      </c>
      <c r="CO51" s="139" cm="1">
        <f t="array" ref="CO51">IF($CN51="-","-",SUMIFS($AC$4:$AC$97,$AA$4:$AA$97,$BD51,$R$4:$R$97,$CN51)+SUMIFS($AD$4:$AD$97,$AF$4:$AF$97,$BD51,$Q$4:$Q$97,$CN51))</f>
        <v>5</v>
      </c>
      <c r="CP51" s="139" cm="1">
        <f t="array" ref="CP51">IF($CN51="-","-",SUMIFS($AD$4:$AD$97,$AA$4:$AA$97,$BD51,$R$4:$R$97,$CN51)+SUMIFS($AC$4:$AC$97,$AF$4:$AF$97,$BD51,$Q$4:$Q$97,$CN51))</f>
        <v>3</v>
      </c>
      <c r="CQ51" s="139" cm="1">
        <f t="array" ref="CQ51">IF($CN51="-","-",CO51-CP51)</f>
        <v>2</v>
      </c>
      <c r="CR51" s="139">
        <v>1</v>
      </c>
      <c r="CS51" s="112" t="s">
        <v>113</v>
      </c>
      <c r="CT51" s="139" cm="1">
        <f t="array" ref="CT51">IF($CS51="-","-",SUMIFS($AC$4:$AC$97,$AA$4:$AA$97,$BD51,$U$4:$U$97,$CS51)+SUMIFS($AD$4:$AD$97,$AF$4:$AF$97,$BD51,$T$4:$T$97,$CS51))</f>
        <v>5</v>
      </c>
      <c r="CU51" s="139">
        <v>1</v>
      </c>
      <c r="CV51" s="112" t="s">
        <v>113</v>
      </c>
      <c r="CW51" s="139" cm="1">
        <f t="array" ref="CW51">IF(CV51="-","-",BL51)</f>
        <v>2</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88" t="s">
        <v>54</v>
      </c>
      <c r="X52" s="96">
        <v>46188.625</v>
      </c>
      <c r="Y52" s="97">
        <v>46188.625</v>
      </c>
      <c r="Z52" s="113" t="str" cm="1">
        <f t="array" ref="Z52">$Z$4</f>
        <v>J1</v>
      </c>
      <c r="AA52" s="99" t="str" cm="1">
        <f t="array" ref="AA52">A53</f>
        <v>Bélgica</v>
      </c>
      <c r="AB52" s="100"/>
      <c r="AC52" s="101">
        <v>1</v>
      </c>
      <c r="AD52" s="101">
        <v>0</v>
      </c>
      <c r="AE52" s="102"/>
      <c r="AF52" s="103" t="str" cm="1">
        <f t="array" ref="AF52">A54</f>
        <v>Egipto</v>
      </c>
      <c r="AG52" s="104" cm="1">
        <f t="array" ref="AG52">IF(NOT(OR(ISBLANK(AC52),ISBLANK(AD52))),1,0)</f>
        <v>1</v>
      </c>
      <c r="AH52" s="105">
        <v>16</v>
      </c>
      <c r="AI52" s="106"/>
      <c r="AJ52" s="770" t="str" cm="1">
        <f t="array" ref="AJ52">CONCATENATE($AJ$3," ",B52)</f>
        <v>Grupo G</v>
      </c>
      <c r="AK52" s="771"/>
      <c r="AL52" s="771"/>
      <c r="AM52" s="771"/>
      <c r="AN52" s="771"/>
      <c r="AO52" s="771"/>
      <c r="AP52" s="771"/>
      <c r="AQ52" s="771"/>
      <c r="AR52" s="771"/>
      <c r="AS52" s="771"/>
      <c r="AT52" s="772"/>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3</v>
      </c>
      <c r="BF52" s="139" cm="1">
        <f t="array" ref="BF52">BG52+BH52+BI52</f>
        <v>3</v>
      </c>
      <c r="BG52" s="139" cm="1">
        <f t="array" ref="BG52">COUNTIFS($AA$4:$AA$97,BD52,$D$4:$D$97,"Local")+COUNTIFS($AF$4:$AF$97,BD52,$D$4:$D$97,"Visitante")</f>
        <v>1</v>
      </c>
      <c r="BH52" s="139" cm="1">
        <f t="array" ref="BH52">COUNTIFS($AA$4:$AA$97,BD52,$D$4:$D$97,"Empate")+COUNTIFS($AF$4:$AF$97,BD52,$D$4:$D$97,"Empate")</f>
        <v>0</v>
      </c>
      <c r="BI52" s="139" cm="1">
        <f t="array" ref="BI52">COUNTIFS($AF$4:$AF$97,BD52,$D$4:$D$97,"Local")+COUNTIFS($AA$4:$AA$97,BD52,$D$4:$D$97,"Visitante")</f>
        <v>2</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3</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0</v>
      </c>
      <c r="BW52" s="139" cm="1">
        <f t="array" ref="BW52">IF($BT52="-","-",COUNTIFS($AA$4:$AA$97,$BD52,$D$4:$D$97,"Visitante",$F$4:$F$97,$BT52)+COUNTIFS($AF$4:$AF$97,$BD52,$D$4:$D$97,"Local",$E$4:$E$97,$BT52))</f>
        <v>2</v>
      </c>
      <c r="BX52" s="139" cm="1">
        <f t="array" ref="BX52">IF($BT52="-","-",BU52*3+BV52)</f>
        <v>3</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0</v>
      </c>
      <c r="CK52" s="139" cm="1">
        <f t="array" ref="CK52">IF($CH52="-","-",COUNTIFS($AA$4:$AA$97,$BD52,$D$4:$D$97,"Visitante",$O$4:$O$97,$CH52)+COUNTIFS($AF$4:$AF$97,$BD52,$D$4:$D$97,"Local",$N$4:$N$97,$CH52))</f>
        <v>2</v>
      </c>
      <c r="CL52" s="139" cm="1">
        <f t="array" ref="CL52">IF($CH52="-","-",CI52*3+CJ52)</f>
        <v>3</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77"/>
      <c r="X53" s="96">
        <v>46188.875</v>
      </c>
      <c r="Y53" s="97">
        <v>46188.875</v>
      </c>
      <c r="Z53" s="113" t="str" cm="1">
        <f t="array" ref="Z53">$Z$4</f>
        <v>J1</v>
      </c>
      <c r="AA53" s="99" t="str" cm="1">
        <f t="array" ref="AA53">A55</f>
        <v>Irán</v>
      </c>
      <c r="AB53" s="100"/>
      <c r="AC53" s="114">
        <v>1</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6</v>
      </c>
      <c r="BL53" s="139" cm="1">
        <f t="array" ref="BL53">BJ53-BK53</f>
        <v>-5</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6</v>
      </c>
      <c r="CC53" s="139" cm="1">
        <f t="array" ref="CC53">IF($BZ53="-","-",CA53-CB53)</f>
        <v>-5</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6</v>
      </c>
      <c r="CQ53" s="139" cm="1">
        <f t="array" ref="CQ53">IF($CN53="-","-",CO53-CP53)</f>
        <v>-5</v>
      </c>
      <c r="CR53" s="139">
        <v>1</v>
      </c>
      <c r="CS53" s="112" t="s">
        <v>113</v>
      </c>
      <c r="CT53" s="139" cm="1">
        <f t="array" ref="CT53">IF($CS53="-","-",SUMIFS($AC$4:$AC$97,$AA$4:$AA$97,$BD53,$U$4:$U$97,$CS53)+SUMIFS($AD$4:$AD$97,$AF$4:$AF$97,$BD53,$T$4:$T$97,$CS53))</f>
        <v>1</v>
      </c>
      <c r="CU53" s="139">
        <v>1</v>
      </c>
      <c r="CV53" s="112" t="s">
        <v>113</v>
      </c>
      <c r="CW53" s="139" cm="1">
        <f t="array" ref="CW53">IF(CV53="-","-",BL53)</f>
        <v>-5</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78"/>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6</v>
      </c>
      <c r="AS54" s="131" cm="1">
        <f t="array" ref="AS54">INDEX($BE$6:$BN$53,MATCH($AL54,$BD$6:$BD$53,0),MATCH(AS$5,$BE$5:$BN$5,0))</f>
        <v>2</v>
      </c>
      <c r="AT54" s="132" cm="1">
        <f t="array" ref="AT54">INDEX($BE$6:$BN$53,MATCH($AL54,$BD$6:$BD$53,0),MATCH(AT$5,$BE$5:$BN$5,0))</f>
        <v>4</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78"/>
      <c r="X55" s="96">
        <v>46194.875</v>
      </c>
      <c r="Y55" s="97">
        <v>46194.875</v>
      </c>
      <c r="Z55" s="113" t="str" cm="1">
        <f t="array" ref="Z55">$Z$6</f>
        <v>J2</v>
      </c>
      <c r="AA55" s="99" t="str" cm="1">
        <f t="array" ref="AA55">A56</f>
        <v>Nueva Zelanda</v>
      </c>
      <c r="AB55" s="100"/>
      <c r="AC55" s="114">
        <v>1</v>
      </c>
      <c r="AD55" s="114">
        <v>2</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3</v>
      </c>
      <c r="AS55" s="144" cm="1">
        <f t="array" ref="AS55">INDEX($BE$6:$BN$53,MATCH($AL55,$BD$6:$BD$53,0),MATCH(AS$5,$BE$5:$BN$5,0))</f>
        <v>2</v>
      </c>
      <c r="AT55" s="145" cm="1">
        <f t="array" ref="AT55">INDEX($BE$6:$BN$53,MATCH($AL55,$BD$6:$BD$53,0),MATCH(AT$5,$BE$5:$BN$5,0))</f>
        <v>1</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78"/>
      <c r="X56" s="96">
        <v>46199.958333333343</v>
      </c>
      <c r="Y56" s="97">
        <v>46199.958333333343</v>
      </c>
      <c r="Z56" s="113" t="str" cm="1">
        <f t="array" ref="Z56">$Z$8</f>
        <v>J3</v>
      </c>
      <c r="AA56" s="99" t="str" cm="1">
        <f t="array" ref="AA56">A54</f>
        <v>Egipto</v>
      </c>
      <c r="AB56" s="100"/>
      <c r="AC56" s="114">
        <v>1</v>
      </c>
      <c r="AD56" s="114">
        <v>0</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3</v>
      </c>
      <c r="AN56" s="144" cm="1">
        <f t="array" ref="AN56">INDEX($BE$6:$BN$53,MATCH($AL56,$BD$6:$BD$53,0),MATCH(AN$5,$BE$5:$BN$5,0))</f>
        <v>3</v>
      </c>
      <c r="AO56" s="144" cm="1">
        <f t="array" ref="AO56">INDEX($BE$6:$BN$53,MATCH($AL56,$BD$6:$BD$53,0),MATCH(AO$5,$BE$5:$BN$5,0))</f>
        <v>1</v>
      </c>
      <c r="AP56" s="144" cm="1">
        <f t="array" ref="AP56">INDEX($BE$6:$BN$53,MATCH($AL56,$BD$6:$BD$53,0),MATCH(AP$5,$BE$5:$BN$5,0))</f>
        <v>0</v>
      </c>
      <c r="AQ56" s="144" cm="1">
        <f t="array" ref="AQ56">INDEX($BE$6:$BN$53,MATCH($AL56,$BD$6:$BD$53,0),MATCH(AQ$5,$BE$5:$BN$5,0))</f>
        <v>2</v>
      </c>
      <c r="AR56" s="144" cm="1">
        <f t="array" ref="AR56">INDEX($BE$6:$BN$53,MATCH($AL56,$BD$6:$BD$53,0),MATCH(AR$5,$BE$5:$BN$5,0))</f>
        <v>2</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79"/>
      <c r="X57" s="148">
        <v>46199.958333333343</v>
      </c>
      <c r="Y57" s="149">
        <v>46199.958333333343</v>
      </c>
      <c r="Z57" s="150" t="str" cm="1">
        <f t="array" ref="Z57">$Z$8</f>
        <v>J3</v>
      </c>
      <c r="AA57" s="151" t="str" cm="1">
        <f t="array" ref="AA57">A56</f>
        <v>Nueva Zelanda</v>
      </c>
      <c r="AB57" s="152"/>
      <c r="AC57" s="153">
        <v>1</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0</v>
      </c>
      <c r="AN57" s="160" cm="1">
        <f t="array" ref="AN57">INDEX($BE$6:$BN$53,MATCH($AL57,$BD$6:$BD$53,0),MATCH(AN$5,$BE$5:$BN$5,0))</f>
        <v>3</v>
      </c>
      <c r="AO57" s="160" cm="1">
        <f t="array" ref="AO57">INDEX($BE$6:$BN$53,MATCH($AL57,$BD$6:$BD$53,0),MATCH(AO$5,$BE$5:$BN$5,0))</f>
        <v>0</v>
      </c>
      <c r="AP57" s="160" cm="1">
        <f t="array" ref="AP57">INDEX($BE$6:$BN$53,MATCH($AL57,$BD$6:$BD$53,0),MATCH(AP$5,$BE$5:$BN$5,0))</f>
        <v>0</v>
      </c>
      <c r="AQ57" s="160" cm="1">
        <f t="array" ref="AQ57">INDEX($BE$6:$BN$53,MATCH($AL57,$BD$6:$BD$53,0),MATCH(AQ$5,$BE$5:$BN$5,0))</f>
        <v>3</v>
      </c>
      <c r="AR57" s="160" cm="1">
        <f t="array" ref="AR57">INDEX($BE$6:$BN$53,MATCH($AL57,$BD$6:$BD$53,0),MATCH(AR$5,$BE$5:$BN$5,0))</f>
        <v>2</v>
      </c>
      <c r="AS57" s="160" cm="1">
        <f t="array" ref="AS57">INDEX($BE$6:$BN$53,MATCH($AL57,$BD$6:$BD$53,0),MATCH(AS$5,$BE$5:$BN$5,0))</f>
        <v>6</v>
      </c>
      <c r="AT57" s="161" cm="1">
        <f t="array" ref="AT57">INDEX($BE$6:$BN$53,MATCH($AL57,$BD$6:$BD$53,0),MATCH(AT$5,$BE$5:$BN$5,0))</f>
        <v>-4</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9</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3</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0</v>
      </c>
      <c r="BJ58" s="139" cm="1">
        <f t="array" ref="BJ58">CHOOSE($BB$57,INDEX($BJ$6:$BJ$53,MATCH($BB58,$BN$6:$BN$53,0)),INDEX($BJ$6:$BJ$53,MATCH($BB58,$BN$6:$BN$53,0))-(SUMIFS($AC$4:$AC$97,$AA$4:$AA$97,$BD58,$AF$4:$AF$97,INDEX($BD$6:$BD$53,MATCH(BO58,$BN$6:$BN$53,0)))+SUMIFS($AD$4:$AD$97,$AF$4:$AF$97,$BD58,$AA$4:$AA$97,INDEX($BD$6:$BD$53,MATCH(BO58,$BN$6:$BN$53,0)))),IFERROR(INDEX($BJ$6:$BJ$53,MATCH($BB58,$BN$6:$BN$53,0))/BF58,0))</f>
        <v>5</v>
      </c>
      <c r="BK58" s="139" cm="1">
        <f t="array" ref="BK58">CHOOSE($BB$57,INDEX($BK$6:$BK$53,MATCH($BB58,$BN$6:$BN$53,0)),INDEX($BK$6:$BK$53,MATCH($BB58,$BN$6:$BN$53,0))-(SUMIFS($AD$4:$AD$97,$AA$4:$AA$97,$BD58,$AF$4:$AF$97,INDEX($BD$6:$BD$53,MATCH(BO58,$BN$6:$BN$53,0)))+SUMIFS($AC$4:$AC$97,$AF$4:$AF$97,$BD58,$AA$4:$AA$97,INDEX($BD$6:$BD$53,MATCH(BO58,$BN$6:$BN$53,0)))),IFERROR(INDEX($BK$6:$BK$53,MATCH($BB58,$BN$6:$BN$53,0))/BF58,0))</f>
        <v>1</v>
      </c>
      <c r="BL58" s="139" cm="1">
        <f t="array" ref="BL58">BJ58-BK58</f>
        <v>4</v>
      </c>
      <c r="BM58" s="139" cm="1">
        <f t="array" ref="BM58">CB58</f>
        <v>1</v>
      </c>
      <c r="BN58" s="139" cm="1">
        <f t="array" ref="BN58">CF58</f>
        <v>1</v>
      </c>
      <c r="BO58" s="126" t="str" cm="1">
        <f t="array" ref="BO58">"4"&amp;BC58</f>
        <v>4A</v>
      </c>
      <c r="BP58" s="126"/>
      <c r="BQ58" s="126"/>
      <c r="BR58" s="139" cm="1">
        <f t="array" ref="BR58">BE58</f>
        <v>9</v>
      </c>
      <c r="BS58" s="139" cm="1">
        <f t="array" ref="BS58">COUNTIFS(BR$58:BR$69,"&gt;"&amp;BR58)+1</f>
        <v>1</v>
      </c>
      <c r="BT58" s="126" t="str" cm="1">
        <f t="array" ref="BT58">IF(COUNTIF(BS$58:BS$69,BS58)=1,"-","Pos. "&amp;BS58&amp;" ("&amp;COUNTIF(BS$58:BS$69,BS58)&amp;")")</f>
        <v>-</v>
      </c>
      <c r="BU58" s="126" t="str" cm="1">
        <f t="array" ref="BU58">IF(BT58="-","-",BL58)</f>
        <v>-</v>
      </c>
      <c r="BV58" s="139" cm="1">
        <f t="array" ref="BV58">BS58+COUNTIFS(BT$58:BT$69,BT58,BU$58:BU$69,"&gt;"&amp;BU58)</f>
        <v>1</v>
      </c>
      <c r="BW58" s="126" t="str" cm="1">
        <f t="array" ref="BW58">IF(COUNTIF(BV$58:BV$69,BV58)=1,"-","Pos. "&amp;BV58&amp;" ("&amp;COUNTIF(BV$58:BV$69,BV58)&amp;")")</f>
        <v>-</v>
      </c>
      <c r="BX58" s="126" t="str" cm="1">
        <f t="array" ref="BX58">IF(BW58="-","-",BJ58)</f>
        <v>-</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5</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2</v>
      </c>
      <c r="BI59" s="139" cm="1">
        <f t="array" ref="BI59">CHOOSE(IF($BB$57=2,2,1),INDEX($BI$6:$BI$53,MATCH($BB59,$BN$6:$BN$53,0)),INDEX($BI$6:$BI$53,MATCH($BB59,$BN$6:$BN$53,0))-(COUNTIFS($AA$4:$AA$97,$BD59,$AF$4:$AF$97,INDEX($BD$6:$BD$53,MATCH(BO59,$BN$6:$BN$53,0)),$D$4:$D$97,"Visitante")+COUNTIFS($AF$4:$AF$97,$BD59,$AA$4:$AA$97,INDEX($BD$6:$BD$53,MATCH(BO59,$BN$6:$BN$53,0)),$D$4:$D$97,"Local")))</f>
        <v>0</v>
      </c>
      <c r="BJ59" s="139" cm="1">
        <f t="array" ref="BJ59">CHOOSE($BB$57,INDEX($BJ$6:$BJ$53,MATCH($BB59,$BN$6:$BN$53,0)),INDEX($BJ$6:$BJ$53,MATCH($BB59,$BN$6:$BN$53,0))-(SUMIFS($AC$4:$AC$97,$AA$4:$AA$97,$BD59,$AF$4:$AF$97,INDEX($BD$6:$BD$53,MATCH(BO59,$BN$6:$BN$53,0)))+SUMIFS($AD$4:$AD$97,$AF$4:$AF$97,$BD59,$AA$4:$AA$97,INDEX($BD$6:$BD$53,MATCH(BO59,$BN$6:$BN$53,0)))),IFERROR(INDEX($BJ$6:$BJ$53,MATCH($BB59,$BN$6:$BN$53,0))/BF59,0))</f>
        <v>4</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1</v>
      </c>
      <c r="BM59" s="139" cm="1">
        <f t="array" ref="BM59">CB59</f>
        <v>3</v>
      </c>
      <c r="BN59" s="139" cm="1">
        <f t="array" ref="BN59">CF59</f>
        <v>3</v>
      </c>
      <c r="BO59" s="126" t="str" cm="1">
        <f t="array" ref="BO59">"4"&amp;BC59</f>
        <v>4B</v>
      </c>
      <c r="BP59" s="126"/>
      <c r="BQ59" s="126"/>
      <c r="BR59" s="139" cm="1">
        <f t="array" ref="BR59">BE59</f>
        <v>5</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91" t="s">
        <v>173</v>
      </c>
      <c r="X60" s="96">
        <v>46188.5</v>
      </c>
      <c r="Y60" s="97">
        <v>46188.5</v>
      </c>
      <c r="Z60" s="113" t="str" cm="1">
        <f t="array" ref="Z60">$Z$4</f>
        <v>J1</v>
      </c>
      <c r="AA60" s="99" t="str" cm="1">
        <f t="array" ref="AA60">A61</f>
        <v>España</v>
      </c>
      <c r="AB60" s="100"/>
      <c r="AC60" s="101">
        <v>3</v>
      </c>
      <c r="AD60" s="101">
        <v>0</v>
      </c>
      <c r="AE60" s="102"/>
      <c r="AF60" s="103" t="str" cm="1">
        <f t="array" ref="AF60">A62</f>
        <v>Cabo Verde</v>
      </c>
      <c r="AG60" s="104" cm="1">
        <f t="array" ref="AG60">IF(NOT(OR(ISBLANK(AC60),ISBLANK(AD60))),1,0)</f>
        <v>1</v>
      </c>
      <c r="AH60" s="105">
        <v>14</v>
      </c>
      <c r="AI60" s="106"/>
      <c r="AJ60" s="770" t="str" cm="1">
        <f t="array" ref="AJ60">CONCATENATE(AJ3," ",B60)</f>
        <v>Grupo H</v>
      </c>
      <c r="AK60" s="771"/>
      <c r="AL60" s="771"/>
      <c r="AM60" s="771"/>
      <c r="AN60" s="771"/>
      <c r="AO60" s="771"/>
      <c r="AP60" s="771"/>
      <c r="AQ60" s="771"/>
      <c r="AR60" s="771"/>
      <c r="AS60" s="771"/>
      <c r="AT60" s="772"/>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1</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1</v>
      </c>
      <c r="BI60" s="139" cm="1">
        <f t="array" ref="BI60">CHOOSE(IF($BB$57=2,2,1),INDEX($BI$6:$BI$53,MATCH($BB60,$BN$6:$BN$53,0)),INDEX($BI$6:$BI$53,MATCH($BB60,$BN$6:$BN$53,0))-(COUNTIFS($AA$4:$AA$97,$BD60,$AF$4:$AF$97,INDEX($BD$6:$BD$53,MATCH(BO60,$BN$6:$BN$53,0)),$D$4:$D$97,"Visitante")+COUNTIFS($AF$4:$AF$97,$BD60,$AA$4:$AA$97,INDEX($BD$6:$BD$53,MATCH(BO60,$BN$6:$BN$53,0)),$D$4:$D$97,"Local")))</f>
        <v>2</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4</v>
      </c>
      <c r="BL60" s="139" cm="1">
        <f t="array" ref="BL60">BJ60-BK60</f>
        <v>-4</v>
      </c>
      <c r="BM60" s="139" cm="1">
        <f t="array" ref="BM60">CB60</f>
        <v>10</v>
      </c>
      <c r="BN60" s="139" cm="1">
        <f t="array" ref="BN60">CF60</f>
        <v>10</v>
      </c>
      <c r="BO60" s="126" t="str" cm="1">
        <f t="array" ref="BO60">"4"&amp;BC60</f>
        <v>4C</v>
      </c>
      <c r="BP60" s="126"/>
      <c r="BQ60" s="126"/>
      <c r="BR60" s="139" cm="1">
        <f t="array" ref="BR60">BE60</f>
        <v>1</v>
      </c>
      <c r="BS60" s="139" cm="1">
        <f t="array" ref="BS60">COUNTIFS(BR$58:BR$69,"&gt;"&amp;BR60)+1</f>
        <v>9</v>
      </c>
      <c r="BT60" s="126" t="str" cm="1">
        <f t="array" ref="BT60">IF(COUNTIF(BS$58:BS$69,BS60)=1,"-","Pos. "&amp;BS60&amp;" ("&amp;COUNTIF(BS$58:BS$69,BS60)&amp;")")</f>
        <v>Pos. 9 (2)</v>
      </c>
      <c r="BU60" s="139" cm="1">
        <f t="array" ref="BU60">IF(BT60="-","-",BL60)</f>
        <v>-4</v>
      </c>
      <c r="BV60" s="139" cm="1">
        <f t="array" ref="BV60">BS60+COUNTIFS(BT$58:BT$69,BT60,BU$58:BU$69,"&gt;"&amp;BU60)</f>
        <v>10</v>
      </c>
      <c r="BW60" s="126" t="str" cm="1">
        <f t="array" ref="BW60">IF(COUNTIF(BV$58:BV$69,BV60)=1,"-","Pos. "&amp;BV60&amp;" ("&amp;COUNTIF(BV$58:BV$69,BV60)&amp;")")</f>
        <v>-</v>
      </c>
      <c r="BX60" s="126" t="str" cm="1">
        <f t="array" ref="BX60">IF(BW60="-","-",BJ60)</f>
        <v>-</v>
      </c>
      <c r="BY60" s="139" cm="1">
        <f t="array" ref="BY60">BV60+COUNTIFS(BW$58:BW$69,BW60,BX$58:BX$69,"&gt;"&amp;BX60)</f>
        <v>10</v>
      </c>
      <c r="BZ60" s="126" t="str" cm="1">
        <f t="array" ref="BZ60">IF(COUNTIF(BY$58:BY$69,BY60)=1,"-","Pos. "&amp;BY60&amp;" ("&amp;COUNTIF(BY$58:BY$69,BY60)&amp;")")</f>
        <v>-</v>
      </c>
      <c r="CA60" s="126" t="str" cm="1">
        <f t="array" ref="CA60">IF(BZ60="-","-",COUNTIF($BD$58:$BD$69,"&gt;"&amp;BD60))</f>
        <v>-</v>
      </c>
      <c r="CB60" s="139" cm="1">
        <f t="array" ref="CB60">BY60+COUNTIFS(BZ$58:BZ$69,BZ60,CA$58:CA$69,"&gt;"&amp;CA60)</f>
        <v>10</v>
      </c>
      <c r="CC60" s="126"/>
      <c r="CD60" s="139" cm="1">
        <f t="array" ref="CD60">IF(OR(INDEX($AW$102:$AW$113,MATCH($BD60,$AV$102:$AV$113,0))="",BZ60="-"),CB60,INDEX($AW$102:$AW$113,MATCH($BD60,$AV$102:$AV$113,0))+CB60/1000)</f>
        <v>10</v>
      </c>
      <c r="CE60" s="126" t="str" cm="1">
        <f t="array" ref="CE60">IF(BZ60="-","-",COUNTIF(CD$58:CD$69,"&lt;"&amp;CD60))</f>
        <v>-</v>
      </c>
      <c r="CF60" s="139" cm="1">
        <f t="array" ref="CF60">BY60+COUNTIFS(BZ$58:BZ$69,BZ60,CE$58:CE$69,"&lt;"&amp;CE60)</f>
        <v>10</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77"/>
      <c r="X61" s="96">
        <v>46188.75</v>
      </c>
      <c r="Y61" s="97">
        <v>46188.75</v>
      </c>
      <c r="Z61" s="113" t="str" cm="1">
        <f t="array" ref="Z61">$Z$4</f>
        <v>J1</v>
      </c>
      <c r="AA61" s="99" t="str" cm="1">
        <f t="array" ref="AA61">A63</f>
        <v>Arabia Saudita</v>
      </c>
      <c r="AB61" s="100"/>
      <c r="AC61" s="114">
        <v>1</v>
      </c>
      <c r="AD61" s="114">
        <v>2</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2</v>
      </c>
      <c r="BK61" s="139" cm="1">
        <f t="array" ref="BK61">CHOOSE($BB$57,INDEX($BK$6:$BK$53,MATCH($BB61,$BN$6:$BN$53,0)),INDEX($BK$6:$BK$53,MATCH($BB61,$BN$6:$BN$53,0))-(SUMIFS($AD$4:$AD$97,$AA$4:$AA$97,$BD61,$AF$4:$AF$97,INDEX($BD$6:$BD$53,MATCH(BO61,$BN$6:$BN$53,0)))+SUMIFS($AC$4:$AC$97,$AF$4:$AF$97,$BD61,$AA$4:$AA$97,INDEX($BD$6:$BD$53,MATCH(BO61,$BN$6:$BN$53,0)))),IFERROR(INDEX($BK$6:$BK$53,MATCH($BB61,$BN$6:$BN$53,0))/BF61,0))</f>
        <v>6</v>
      </c>
      <c r="BL61" s="139" cm="1">
        <f t="array" ref="BL61">BJ61-BK61</f>
        <v>-4</v>
      </c>
      <c r="BM61" s="139" cm="1">
        <f t="array" ref="BM61">CB61</f>
        <v>11</v>
      </c>
      <c r="BN61" s="139" cm="1">
        <f t="array" ref="BN61">CF61</f>
        <v>11</v>
      </c>
      <c r="BO61" s="126" t="str" cm="1">
        <f t="array" ref="BO61">"4"&amp;BC61</f>
        <v>4D</v>
      </c>
      <c r="BP61" s="126"/>
      <c r="BQ61" s="126"/>
      <c r="BR61" s="139" cm="1">
        <f t="array" ref="BR61">BE61</f>
        <v>0</v>
      </c>
      <c r="BS61" s="139" cm="1">
        <f t="array" ref="BS61">COUNTIFS(BR$58:BR$69,"&gt;"&amp;BR61)+1</f>
        <v>11</v>
      </c>
      <c r="BT61" s="126" t="str" cm="1">
        <f t="array" ref="BT61">IF(COUNTIF(BS$58:BS$69,BS61)=1,"-","Pos. "&amp;BS61&amp;" ("&amp;COUNTIF(BS$58:BS$69,BS61)&amp;")")</f>
        <v>Pos. 11 (2)</v>
      </c>
      <c r="BU61" s="139" cm="1">
        <f t="array" ref="BU61">IF(BT61="-","-",BL61)</f>
        <v>-4</v>
      </c>
      <c r="BV61" s="139" cm="1">
        <f t="array" ref="BV61">BS61+COUNTIFS(BT$58:BT$69,BT61,BU$58:BU$69,"&gt;"&amp;BU61)</f>
        <v>11</v>
      </c>
      <c r="BW61" s="126" t="str" cm="1">
        <f t="array" ref="BW61">IF(COUNTIF(BV$58:BV$69,BV61)=1,"-","Pos. "&amp;BV61&amp;" ("&amp;COUNTIF(BV$58:BV$69,BV61)&amp;")")</f>
        <v>-</v>
      </c>
      <c r="BX61" s="126" t="str" cm="1">
        <f t="array" ref="BX61">IF(BW61="-","-",BJ61)</f>
        <v>-</v>
      </c>
      <c r="BY61" s="139" cm="1">
        <f t="array" ref="BY61">BV61+COUNTIFS(BW$58:BW$69,BW61,BX$58:BX$69,"&gt;"&amp;BX61)</f>
        <v>11</v>
      </c>
      <c r="BZ61" s="126" t="str" cm="1">
        <f t="array" ref="BZ61">IF(COUNTIF(BY$58:BY$69,BY61)=1,"-","Pos. "&amp;BY61&amp;" ("&amp;COUNTIF(BY$58:BY$69,BY61)&amp;")")</f>
        <v>-</v>
      </c>
      <c r="CA61" s="126" t="str" cm="1">
        <f t="array" ref="CA61">IF(BZ61="-","-",COUNTIF($BD$58:$BD$69,"&gt;"&amp;BD61))</f>
        <v>-</v>
      </c>
      <c r="CB61" s="139" cm="1">
        <f t="array" ref="CB61">BY61+COUNTIFS(BZ$58:BZ$69,BZ61,CA$58:CA$69,"&gt;"&amp;CA61)</f>
        <v>11</v>
      </c>
      <c r="CC61" s="126"/>
      <c r="CD61" s="139" cm="1">
        <f t="array" ref="CD61">IF(OR(INDEX($AW$102:$AW$113,MATCH($BD61,$AV$102:$AV$113,0))="",BZ61="-"),CB61,INDEX($AW$102:$AW$113,MATCH($BD61,$AV$102:$AV$113,0))+CB61/1000)</f>
        <v>11</v>
      </c>
      <c r="CE61" s="126" t="str" cm="1">
        <f t="array" ref="CE61">IF(BZ61="-","-",COUNTIF(CD$58:CD$69,"&lt;"&amp;CD61))</f>
        <v>-</v>
      </c>
      <c r="CF61" s="139" cm="1">
        <f t="array" ref="CF61">BY61+COUNTIFS(BZ$58:BZ$69,BZ61,CE$58:CE$69,"&lt;"&amp;CE61)</f>
        <v>11</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78"/>
      <c r="X62" s="96">
        <v>46194.5</v>
      </c>
      <c r="Y62" s="97">
        <v>46194.5</v>
      </c>
      <c r="Z62" s="113" t="str" cm="1">
        <f t="array" ref="Z62">$Z$6</f>
        <v>J2</v>
      </c>
      <c r="AA62" s="99" t="str" cm="1">
        <f t="array" ref="AA62">A61</f>
        <v>España</v>
      </c>
      <c r="AB62" s="100"/>
      <c r="AC62" s="114">
        <v>2</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7</v>
      </c>
      <c r="AS62" s="131" cm="1">
        <f t="array" ref="AS62">INDEX($BE$6:$BN$53,MATCH($AL62,$BD$6:$BD$53,0),MATCH(AS$5,$BE$5:$BN$5,0))</f>
        <v>1</v>
      </c>
      <c r="AT62" s="132" cm="1">
        <f t="array" ref="AT62">INDEX($BE$6:$BN$53,MATCH($AL62,$BD$6:$BD$53,0),MATCH(AT$5,$BE$5:$BN$5,0))</f>
        <v>6</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6</v>
      </c>
      <c r="BL62" s="139" cm="1">
        <f t="array" ref="BL62">BJ62-BK62</f>
        <v>-2</v>
      </c>
      <c r="BM62" s="139" cm="1">
        <f t="array" ref="BM62">CB62</f>
        <v>7</v>
      </c>
      <c r="BN62" s="139" cm="1">
        <f t="array" ref="BN62">CF62</f>
        <v>7</v>
      </c>
      <c r="BO62" s="126" t="str" cm="1">
        <f t="array" ref="BO62">"4"&amp;BC62</f>
        <v>4E</v>
      </c>
      <c r="BP62" s="126"/>
      <c r="BQ62" s="126"/>
      <c r="BR62" s="139" cm="1">
        <f t="array" ref="BR62">BE62</f>
        <v>3</v>
      </c>
      <c r="BS62" s="139" cm="1">
        <f t="array" ref="BS62">COUNTIFS(BR$58:BR$69,"&gt;"&amp;BR62)+1</f>
        <v>5</v>
      </c>
      <c r="BT62" s="126" t="str" cm="1">
        <f t="array" ref="BT62">IF(COUNTIF(BS$58:BS$69,BS62)=1,"-","Pos. "&amp;BS62&amp;" ("&amp;COUNTIF(BS$58:BS$69,BS62)&amp;")")</f>
        <v>Pos. 5 (4)</v>
      </c>
      <c r="BU62" s="139" cm="1">
        <f t="array" ref="BU62">IF(BT62="-","-",BL62)</f>
        <v>-2</v>
      </c>
      <c r="BV62" s="139" cm="1">
        <f t="array" ref="BV62">BS62+COUNTIFS(BT$58:BT$69,BT62,BU$58:BU$69,"&gt;"&amp;BU62)</f>
        <v>7</v>
      </c>
      <c r="BW62" s="126" t="str" cm="1">
        <f t="array" ref="BW62">IF(COUNTIF(BV$58:BV$69,BV62)=1,"-","Pos. "&amp;BV62&amp;" ("&amp;COUNTIF(BV$58:BV$69,BV62)&amp;")")</f>
        <v>Pos. 7 (2)</v>
      </c>
      <c r="BX62" s="139" cm="1">
        <f t="array" ref="BX62">IF(BW62="-","-",BJ62)</f>
        <v>4</v>
      </c>
      <c r="BY62" s="139" cm="1">
        <f t="array" ref="BY62">BV62+COUNTIFS(BW$58:BW$69,BW62,BX$58:BX$69,"&gt;"&amp;BX62)</f>
        <v>7</v>
      </c>
      <c r="BZ62" s="126" t="str" cm="1">
        <f t="array" ref="BZ62">IF(COUNTIF(BY$58:BY$69,BY62)=1,"-","Pos. "&amp;BY62&amp;" ("&amp;COUNTIF(BY$58:BY$69,BY62)&amp;")")</f>
        <v>-</v>
      </c>
      <c r="CA62" s="126" t="str" cm="1">
        <f t="array" ref="CA62">IF(BZ62="-","-",COUNTIF($BD$58:$BD$69,"&gt;"&amp;BD62))</f>
        <v>-</v>
      </c>
      <c r="CB62" s="139" cm="1">
        <f t="array" ref="CB62">BY62+COUNTIFS(BZ$58:BZ$69,BZ62,CA$58:CA$69,"&gt;"&amp;CA62)</f>
        <v>7</v>
      </c>
      <c r="CC62" s="126"/>
      <c r="CD62" s="139" cm="1">
        <f t="array" ref="CD62">IF(OR(INDEX($AW$102:$AW$113,MATCH($BD62,$AV$102:$AV$113,0))="",BZ62="-"),CB62,INDEX($AW$102:$AW$113,MATCH($BD62,$AV$102:$AV$113,0))+CB62/1000)</f>
        <v>7</v>
      </c>
      <c r="CE62" s="126" t="str" cm="1">
        <f t="array" ref="CE62">IF(BZ62="-","-",COUNTIF(CD$58:CD$69,"&lt;"&amp;CD62))</f>
        <v>-</v>
      </c>
      <c r="CF62" s="139" cm="1">
        <f t="array" ref="CF62">BY62+COUNTIFS(BZ$58:BZ$69,BZ62,CE$58:CE$69,"&lt;"&amp;CE62)</f>
        <v>7</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Ghana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78"/>
      <c r="X63" s="96">
        <v>46194.75</v>
      </c>
      <c r="Y63" s="97">
        <v>46194.75</v>
      </c>
      <c r="Z63" s="113" t="str" cm="1">
        <f t="array" ref="Z63">$Z$6</f>
        <v>J2</v>
      </c>
      <c r="AA63" s="99" t="str" cm="1">
        <f t="array" ref="AA63">A64</f>
        <v>Uruguay</v>
      </c>
      <c r="AB63" s="100"/>
      <c r="AC63" s="114">
        <v>2</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1</v>
      </c>
      <c r="AS63" s="144" cm="1">
        <f t="array" ref="AS63">INDEX($BE$6:$BN$53,MATCH($AL63,$BD$6:$BD$53,0),MATCH(AS$5,$BE$5:$BN$5,0))</f>
        <v>7</v>
      </c>
      <c r="AT63" s="145" cm="1">
        <f t="array" ref="AT63">INDEX($BE$6:$BN$53,MATCH($AL63,$BD$6:$BD$53,0),MATCH(AT$5,$BE$5:$BN$5,0))</f>
        <v>-6</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4</v>
      </c>
      <c r="BK63" s="139" cm="1">
        <f t="array" ref="BK63">CHOOSE($BB$57,INDEX($BK$6:$BK$53,MATCH($BB63,$BN$6:$BN$53,0)),INDEX($BK$6:$BK$53,MATCH($BB63,$BN$6:$BN$53,0))-(SUMIFS($AD$4:$AD$97,$AA$4:$AA$97,$BD63,$AF$4:$AF$97,INDEX($BD$6:$BD$53,MATCH(BO63,$BN$6:$BN$53,0)))+SUMIFS($AC$4:$AC$97,$AF$4:$AF$97,$BD63,$AA$4:$AA$97,INDEX($BD$6:$BD$53,MATCH(BO63,$BN$6:$BN$53,0)))),IFERROR(INDEX($BK$6:$BK$53,MATCH($BB63,$BN$6:$BN$53,0))/BF63,0))</f>
        <v>3</v>
      </c>
      <c r="BL63" s="139" cm="1">
        <f t="array" ref="BL63">BJ63-BK63</f>
        <v>1</v>
      </c>
      <c r="BM63" s="139" cm="1">
        <f t="array" ref="BM63">CB63</f>
        <v>4</v>
      </c>
      <c r="BN63" s="139" cm="1">
        <f t="array" ref="BN63">CF63</f>
        <v>4</v>
      </c>
      <c r="BO63" s="126" t="str" cm="1">
        <f t="array" ref="BO63">"4"&amp;BC63</f>
        <v>4F</v>
      </c>
      <c r="BP63" s="126"/>
      <c r="BQ63" s="126"/>
      <c r="BR63" s="139" cm="1">
        <f t="array" ref="BR63">BE63</f>
        <v>4</v>
      </c>
      <c r="BS63" s="139" cm="1">
        <f t="array" ref="BS63">COUNTIFS(BR$58:BR$69,"&gt;"&amp;BR63)+1</f>
        <v>4</v>
      </c>
      <c r="BT63" s="126" t="str" cm="1">
        <f t="array" ref="BT63">IF(COUNTIF(BS$58:BS$69,BS63)=1,"-","Pos. "&amp;BS63&amp;" ("&amp;COUNTIF(BS$58:BS$69,BS63)&amp;")")</f>
        <v>-</v>
      </c>
      <c r="BU63" s="126" t="str" cm="1">
        <f t="array" ref="BU63">IF(BT63="-","-",BL63)</f>
        <v>-</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Irán</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78"/>
      <c r="X64" s="96">
        <v>46199.833333333343</v>
      </c>
      <c r="Y64" s="97">
        <v>46199.833333333343</v>
      </c>
      <c r="Z64" s="113" t="str" cm="1">
        <f t="array" ref="Z64">$Z$8</f>
        <v>J3</v>
      </c>
      <c r="AA64" s="99" t="str" cm="1">
        <f t="array" ref="AA64">A62</f>
        <v>Cabo Verde</v>
      </c>
      <c r="AB64" s="100"/>
      <c r="AC64" s="114">
        <v>1</v>
      </c>
      <c r="AD64" s="114">
        <v>2</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5</v>
      </c>
      <c r="AT64" s="145" cm="1">
        <f t="array" ref="AT64">INDEX($BE$6:$BN$53,MATCH($AL64,$BD$6:$BD$53,0),MATCH(AT$5,$BE$5:$BN$5,0))</f>
        <v>-2</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3</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0</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6</v>
      </c>
      <c r="BN64" s="139" cm="1">
        <f t="array" ref="BN64">CF64</f>
        <v>6</v>
      </c>
      <c r="BO64" s="126" t="str" cm="1">
        <f t="array" ref="BO64">"4"&amp;BC64</f>
        <v>4G</v>
      </c>
      <c r="BP64" s="126"/>
      <c r="BQ64" s="126"/>
      <c r="BR64" s="139" cm="1">
        <f t="array" ref="BR64">BE64</f>
        <v>3</v>
      </c>
      <c r="BS64" s="139" cm="1">
        <f t="array" ref="BS64">COUNTIFS(BR$58:BR$69,"&gt;"&amp;BR64)+1</f>
        <v>5</v>
      </c>
      <c r="BT64" s="126" t="str" cm="1">
        <f t="array" ref="BT64">IF(COUNTIF(BS$58:BS$69,BS64)=1,"-","Pos. "&amp;BS64&amp;" ("&amp;COUNTIF(BS$58:BS$69,BS64)&amp;")")</f>
        <v>Pos. 5 (4)</v>
      </c>
      <c r="BU64" s="139" cm="1">
        <f t="array" ref="BU64">IF(BT64="-","-",BL64)</f>
        <v>-1</v>
      </c>
      <c r="BV64" s="139" cm="1">
        <f t="array" ref="BV64">BS64+COUNTIFS(BT$58:BT$69,BT64,BU$58:BU$69,"&gt;"&amp;BU64)</f>
        <v>5</v>
      </c>
      <c r="BW64" s="126" t="str" cm="1">
        <f t="array" ref="BW64">IF(COUNTIF(BV$58:BV$69,BV64)=1,"-","Pos. "&amp;BV64&amp;" ("&amp;COUNTIF(BV$58:BV$69,BV64)&amp;")")</f>
        <v>Pos. 5 (2)</v>
      </c>
      <c r="BX64" s="139" cm="1">
        <f t="array" ref="BX64">IF(BW64="-","-",BJ64)</f>
        <v>2</v>
      </c>
      <c r="BY64" s="139" cm="1">
        <f t="array" ref="BY64">BV64+COUNTIFS(BW$58:BW$69,BW64,BX$58:BX$69,"&gt;"&amp;BX64)</f>
        <v>6</v>
      </c>
      <c r="BZ64" s="126" t="str" cm="1">
        <f t="array" ref="BZ64">IF(COUNTIF(BY$58:BY$69,BY64)=1,"-","Pos. "&amp;BY64&amp;" ("&amp;COUNTIF(BY$58:BY$69,BY64)&amp;")")</f>
        <v>-</v>
      </c>
      <c r="CA64" s="126" t="str" cm="1">
        <f t="array" ref="CA64">IF(BZ64="-","-",COUNTIF($BD$58:$BD$69,"&gt;"&amp;BD64))</f>
        <v>-</v>
      </c>
      <c r="CB64" s="139" cm="1">
        <f t="array" ref="CB64">BY64+COUNTIFS(BZ$58:BZ$69,BZ64,CA$58:CA$69,"&gt;"&amp;CA64)</f>
        <v>6</v>
      </c>
      <c r="CC64" s="126"/>
      <c r="CD64" s="139" cm="1">
        <f t="array" ref="CD64">IF(OR(INDEX($AW$102:$AW$113,MATCH($BD64,$AV$102:$AV$113,0))="",BZ64="-"),CB64,INDEX($AW$102:$AW$113,MATCH($BD64,$AV$102:$AV$113,0))+CB64/1000)</f>
        <v>6</v>
      </c>
      <c r="CE64" s="126" t="str" cm="1">
        <f t="array" ref="CE64">IF(BZ64="-","-",COUNTIF(CD$58:CD$69,"&lt;"&amp;CD64))</f>
        <v>-</v>
      </c>
      <c r="CF64" s="139" cm="1">
        <f t="array" ref="CF64">BY64+COUNTIFS(BZ$58:BZ$69,BZ64,CE$58:CE$69,"&lt;"&amp;CE64)</f>
        <v>6</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Costa de Marfil</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79"/>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5</v>
      </c>
      <c r="AS65" s="160" cm="1">
        <f t="array" ref="AS65">INDEX($BE$6:$BN$53,MATCH($AL65,$BD$6:$BD$53,0),MATCH(AS$5,$BE$5:$BN$5,0))</f>
        <v>3</v>
      </c>
      <c r="AT65" s="161" cm="1">
        <f t="array" ref="AT65">INDEX($BE$6:$BN$53,MATCH($AL65,$BD$6:$BD$53,0),MATCH(AT$5,$BE$5:$BN$5,0))</f>
        <v>2</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5</v>
      </c>
      <c r="BL65" s="139" cm="1">
        <f t="array" ref="BL65">BJ65-BK65</f>
        <v>-2</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5</v>
      </c>
      <c r="BT65" s="126" t="str" cm="1">
        <f t="array" ref="BT65">IF(COUNTIF(BS$58:BS$69,BS65)=1,"-","Pos. "&amp;BS65&amp;" ("&amp;COUNTIF(BS$58:BS$69,BS65)&amp;")")</f>
        <v>Pos. 5 (4)</v>
      </c>
      <c r="BU65" s="139" cm="1">
        <f t="array" ref="BU65">IF(BT65="-","-",BL65)</f>
        <v>-2</v>
      </c>
      <c r="BV65" s="139" cm="1">
        <f t="array" ref="BV65">BS65+COUNTIFS(BT$58:BT$69,BT65,BU$58:BU$69,"&gt;"&amp;BU65)</f>
        <v>7</v>
      </c>
      <c r="BW65" s="126" t="str" cm="1">
        <f t="array" ref="BW65">IF(COUNTIF(BV$58:BV$69,BV65)=1,"-","Pos. "&amp;BV65&amp;" ("&amp;COUNTIF(BV$58:BV$69,BV65)&amp;")")</f>
        <v>Pos. 7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12</v>
      </c>
      <c r="BN66" s="139" cm="1">
        <f t="array" ref="BN66">CF66</f>
        <v>12</v>
      </c>
      <c r="BO66" s="126" t="str" cm="1">
        <f t="array" ref="BO66">"4"&amp;BC66</f>
        <v>4I</v>
      </c>
      <c r="BP66" s="126"/>
      <c r="BQ66" s="126"/>
      <c r="BR66" s="139" cm="1">
        <f t="array" ref="BR66">BE66</f>
        <v>0</v>
      </c>
      <c r="BS66" s="139" cm="1">
        <f t="array" ref="BS66">COUNTIFS(BR$58:BR$69,"&gt;"&amp;BR66)+1</f>
        <v>11</v>
      </c>
      <c r="BT66" s="126" t="str" cm="1">
        <f t="array" ref="BT66">IF(COUNTIF(BS$58:BS$69,BS66)=1,"-","Pos. "&amp;BS66&amp;" ("&amp;COUNTIF(BS$58:BS$69,BS66)&amp;")")</f>
        <v>Pos. 11 (2)</v>
      </c>
      <c r="BU66" s="139" cm="1">
        <f t="array" ref="BU66">IF(BT66="-","-",BL66)</f>
        <v>-7</v>
      </c>
      <c r="BV66" s="139" cm="1">
        <f t="array" ref="BV66">BS66+COUNTIFS(BT$58:BT$69,BT66,BU$58:BU$69,"&gt;"&amp;BU66)</f>
        <v>12</v>
      </c>
      <c r="BW66" s="126" t="str" cm="1">
        <f t="array" ref="BW66">IF(COUNTIF(BV$58:BV$69,BV66)=1,"-","Pos. "&amp;BV66&amp;" ("&amp;COUNTIF(BV$58:BV$69,BV66)&amp;")")</f>
        <v>-</v>
      </c>
      <c r="BX66" s="126" t="str" cm="1">
        <f t="array" ref="BX66">IF(BW66="-","-",BJ66)</f>
        <v>-</v>
      </c>
      <c r="BY66" s="139" cm="1">
        <f t="array" ref="BY66">BV66+COUNTIFS(BW$58:BW$69,BW66,BX$58:BX$69,"&gt;"&amp;BX66)</f>
        <v>12</v>
      </c>
      <c r="BZ66" s="126" t="str" cm="1">
        <f t="array" ref="BZ66">IF(COUNTIF(BY$58:BY$69,BY66)=1,"-","Pos. "&amp;BY66&amp;" ("&amp;COUNTIF(BY$58:BY$69,BY66)&amp;")")</f>
        <v>-</v>
      </c>
      <c r="CA66" s="126" t="str" cm="1">
        <f t="array" ref="CA66">IF(BZ66="-","-",COUNTIF($BD$58:$BD$69,"&gt;"&amp;BD66))</f>
        <v>-</v>
      </c>
      <c r="CB66" s="139" cm="1">
        <f t="array" ref="CB66">BY66+COUNTIFS(BZ$58:BZ$69,BZ66,CA$58:CA$69,"&gt;"&amp;CA66)</f>
        <v>12</v>
      </c>
      <c r="CC66" s="126"/>
      <c r="CD66" s="139" cm="1">
        <f t="array" ref="CD66">IF(OR(INDEX($AW$102:$AW$113,MATCH($BD66,$AV$102:$AV$113,0))="",BZ66="-"),CB66,INDEX($AW$102:$AW$113,MATCH($BD66,$AV$102:$AV$113,0))+CB66/1000)</f>
        <v>12</v>
      </c>
      <c r="CE66" s="126" t="str" cm="1">
        <f t="array" ref="CE66">IF(BZ66="-","-",COUNTIF(CD$58:CD$69,"&lt;"&amp;CD66))</f>
        <v>-</v>
      </c>
      <c r="CF66" s="139" cm="1">
        <f t="array" ref="CF66">BY66+COUNTIFS(BZ$58:BZ$69,BZ66,CE$58:CE$69,"&lt;"&amp;CE66)</f>
        <v>12</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1</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2</v>
      </c>
      <c r="BT67" s="126" t="str" cm="1">
        <f t="array" ref="BT67">IF(COUNTIF(BS$58:BS$69,BS67)=1,"-","Pos. "&amp;BS67&amp;" ("&amp;COUNTIF(BS$58:BS$69,BS67)&amp;")")</f>
        <v>-</v>
      </c>
      <c r="BU67" s="126" t="str" cm="1">
        <f t="array" ref="BU67">IF(BT67="-","-",BL67)</f>
        <v>-</v>
      </c>
      <c r="BV67" s="139" cm="1">
        <f t="array" ref="BV67">BS67+COUNTIFS(BT$58:BT$69,BT67,BU$58:BU$69,"&gt;"&amp;BU67)</f>
        <v>2</v>
      </c>
      <c r="BW67" s="126" t="str" cm="1">
        <f t="array" ref="BW67">IF(COUNTIF(BV$58:BV$69,BV67)=1,"-","Pos. "&amp;BV67&amp;" ("&amp;COUNTIF(BV$58:BV$69,BV67)&amp;")")</f>
        <v>-</v>
      </c>
      <c r="BX67" s="126" t="str" cm="1">
        <f t="array" ref="BX67">IF(BW67="-","-",BJ67)</f>
        <v>-</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Haití</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94" t="s">
        <v>182</v>
      </c>
      <c r="X68" s="96">
        <v>46189.625</v>
      </c>
      <c r="Y68" s="97">
        <v>46189.625</v>
      </c>
      <c r="Z68" s="113" t="str" cm="1">
        <f t="array" ref="Z68">$Z$4</f>
        <v>J1</v>
      </c>
      <c r="AA68" s="99" t="str" cm="1">
        <f t="array" ref="AA68">A69</f>
        <v>Francia</v>
      </c>
      <c r="AB68" s="100"/>
      <c r="AC68" s="101">
        <v>3</v>
      </c>
      <c r="AD68" s="101">
        <v>1</v>
      </c>
      <c r="AE68" s="102"/>
      <c r="AF68" s="103" t="str" cm="1">
        <f t="array" ref="AF68">A70</f>
        <v>Senegal</v>
      </c>
      <c r="AG68" s="104" cm="1">
        <f t="array" ref="AG68">IF(NOT(OR(ISBLANK(AC68),ISBLANK(AD68))),1,0)</f>
        <v>1</v>
      </c>
      <c r="AH68" s="105">
        <v>17</v>
      </c>
      <c r="AI68" s="106"/>
      <c r="AJ68" s="770" t="str" cm="1">
        <f t="array" ref="AJ68">CONCATENATE(AJ3," ",B68)</f>
        <v>Grupo I</v>
      </c>
      <c r="AK68" s="771"/>
      <c r="AL68" s="771"/>
      <c r="AM68" s="771"/>
      <c r="AN68" s="771"/>
      <c r="AO68" s="771"/>
      <c r="AP68" s="771"/>
      <c r="AQ68" s="771"/>
      <c r="AR68" s="771"/>
      <c r="AS68" s="771"/>
      <c r="AT68" s="772"/>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1</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1</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1</v>
      </c>
      <c r="BK68" s="139" cm="1">
        <f t="array" ref="BK68">CHOOSE($BB$57,INDEX($BK$6:$BK$53,MATCH($BB68,$BN$6:$BN$53,0)),INDEX($BK$6:$BK$53,MATCH($BB68,$BN$6:$BN$53,0))-(SUMIFS($AD$4:$AD$97,$AA$4:$AA$97,$BD68,$AF$4:$AF$97,INDEX($BD$6:$BD$53,MATCH(BO68,$BN$6:$BN$53,0)))+SUMIFS($AC$4:$AC$97,$AF$4:$AF$97,$BD68,$AA$4:$AA$97,INDEX($BD$6:$BD$53,MATCH(BO68,$BN$6:$BN$53,0)))),IFERROR(INDEX($BK$6:$BK$53,MATCH($BB68,$BN$6:$BN$53,0))/BF68,0))</f>
        <v>3</v>
      </c>
      <c r="BL68" s="139" cm="1">
        <f t="array" ref="BL68">BJ68-BK68</f>
        <v>-2</v>
      </c>
      <c r="BM68" s="139" cm="1">
        <f t="array" ref="BM68">CB68</f>
        <v>9</v>
      </c>
      <c r="BN68" s="139" cm="1">
        <f t="array" ref="BN68">CF68</f>
        <v>9</v>
      </c>
      <c r="BO68" s="126" t="str" cm="1">
        <f t="array" ref="BO68">"4"&amp;BC68</f>
        <v>4K</v>
      </c>
      <c r="BP68" s="126"/>
      <c r="BQ68" s="126"/>
      <c r="BR68" s="139" cm="1">
        <f t="array" ref="BR68">BE68</f>
        <v>1</v>
      </c>
      <c r="BS68" s="139" cm="1">
        <f t="array" ref="BS68">COUNTIFS(BR$58:BR$69,"&gt;"&amp;BR68)+1</f>
        <v>9</v>
      </c>
      <c r="BT68" s="126" t="str" cm="1">
        <f t="array" ref="BT68">IF(COUNTIF(BS$58:BS$69,BS68)=1,"-","Pos. "&amp;BS68&amp;" ("&amp;COUNTIF(BS$58:BS$69,BS68)&amp;")")</f>
        <v>Pos. 9 (2)</v>
      </c>
      <c r="BU68" s="139" cm="1">
        <f t="array" ref="BU68">IF(BT68="-","-",BL68)</f>
        <v>-2</v>
      </c>
      <c r="BV68" s="139" cm="1">
        <f t="array" ref="BV68">BS68+COUNTIFS(BT$58:BT$69,BT68,BU$58:BU$69,"&gt;"&amp;BU68)</f>
        <v>9</v>
      </c>
      <c r="BW68" s="126" t="str" cm="1">
        <f t="array" ref="BW68">IF(COUNTIF(BV$58:BV$69,BV68)=1,"-","Pos. "&amp;BV68&amp;" ("&amp;COUNTIF(BV$58:BV$69,BV68)&amp;")")</f>
        <v>-</v>
      </c>
      <c r="BX68" s="126" t="str" cm="1">
        <f t="array" ref="BX68">IF(BW68="-","-",BJ68)</f>
        <v>-</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Australia</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77"/>
      <c r="X69" s="96">
        <v>46189.75</v>
      </c>
      <c r="Y69" s="97">
        <v>46189.75</v>
      </c>
      <c r="Z69" s="113" t="str" cm="1">
        <f t="array" ref="Z69">$Z$4</f>
        <v>J1</v>
      </c>
      <c r="AA69" s="99" t="str" cm="1">
        <f t="array" ref="AA69">A71</f>
        <v>Irak</v>
      </c>
      <c r="AB69" s="100"/>
      <c r="AC69" s="114">
        <v>0</v>
      </c>
      <c r="AD69" s="114">
        <v>2</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3</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2</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5</v>
      </c>
      <c r="BN69" s="139" cm="1">
        <f t="array" ref="BN69">CF69</f>
        <v>5</v>
      </c>
      <c r="BO69" s="126" t="str" cm="1">
        <f t="array" ref="BO69">"4"&amp;BC69</f>
        <v>4L</v>
      </c>
      <c r="BP69" s="126"/>
      <c r="BQ69" s="126"/>
      <c r="BR69" s="139" cm="1">
        <f t="array" ref="BR69">BE69</f>
        <v>3</v>
      </c>
      <c r="BS69" s="139" cm="1">
        <f t="array" ref="BS69">COUNTIFS(BR$58:BR$69,"&gt;"&amp;BR69)+1</f>
        <v>5</v>
      </c>
      <c r="BT69" s="126" t="str" cm="1">
        <f t="array" ref="BT69">IF(COUNTIF(BS$58:BS$69,BS69)=1,"-","Pos. "&amp;BS69&amp;" ("&amp;COUNTIF(BS$58:BS$69,BS69)&amp;")")</f>
        <v>Pos. 5 (4)</v>
      </c>
      <c r="BU69" s="139" cm="1">
        <f t="array" ref="BU69">IF(BT69="-","-",BL69)</f>
        <v>-1</v>
      </c>
      <c r="BV69" s="139" cm="1">
        <f t="array" ref="BV69">BS69+COUNTIFS(BT$58:BT$69,BT69,BU$58:BU$69,"&gt;"&amp;BU69)</f>
        <v>5</v>
      </c>
      <c r="BW69" s="126" t="str" cm="1">
        <f t="array" ref="BW69">IF(COUNTIF(BV$58:BV$69,BV69)=1,"-","Pos. "&amp;BV69&amp;" ("&amp;COUNTIF(BV$58:BV$69,BV69)&amp;")")</f>
        <v>Pos. 5 (2)</v>
      </c>
      <c r="BX69" s="139" cm="1">
        <f t="array" ref="BX69">IF(BW69="-","-",BJ69)</f>
        <v>3</v>
      </c>
      <c r="BY69" s="139" cm="1">
        <f t="array" ref="BY69">BV69+COUNTIFS(BW$58:BW$69,BW69,BX$58:BX$69,"&gt;"&amp;BX69)</f>
        <v>5</v>
      </c>
      <c r="BZ69" s="126" t="str" cm="1">
        <f t="array" ref="BZ69">IF(COUNTIF(BY$58:BY$69,BY69)=1,"-","Pos. "&amp;BY69&amp;" ("&amp;COUNTIF(BY$58:BY$69,BY69)&amp;")")</f>
        <v>-</v>
      </c>
      <c r="CA69" s="126" t="str" cm="1">
        <f t="array" ref="CA69">IF(BZ69="-","-",COUNTIF($BD$58:$BD$69,"&gt;"&amp;BD69))</f>
        <v>-</v>
      </c>
      <c r="CB69" s="139" cm="1">
        <f t="array" ref="CB69">BY69+COUNTIFS(BZ$58:BZ$69,BZ69,CA$58:CA$69,"&gt;"&amp;CA69)</f>
        <v>5</v>
      </c>
      <c r="CC69" s="126"/>
      <c r="CD69" s="139" cm="1">
        <f t="array" ref="CD69">IF(OR(INDEX($AW$102:$AW$113,MATCH($BD69,$AV$102:$AV$113,0))="",BZ69="-"),CB69,INDEX($AW$102:$AW$113,MATCH($BD69,$AV$102:$AV$113,0))+CB69/1000)</f>
        <v>5</v>
      </c>
      <c r="CE69" s="126" t="str" cm="1">
        <f t="array" ref="CE69">IF(BZ69="-","-",COUNTIF(CD$58:CD$69,"&lt;"&amp;CD69))</f>
        <v>-</v>
      </c>
      <c r="CF69" s="139" cm="1">
        <f t="array" ref="CF69">BY69+COUNTIFS(BZ$58:BZ$69,BZ69,CE$58:CE$69,"&lt;"&amp;CE69)</f>
        <v>5</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Irak</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78"/>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8</v>
      </c>
      <c r="AS70" s="131" cm="1">
        <f t="array" ref="AS70">INDEX($BE$6:$BN$53,MATCH($AL70,$BD$6:$BD$53,0),MATCH(AS$5,$BE$5:$BN$5,0))</f>
        <v>2</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78"/>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5</v>
      </c>
      <c r="AS71" s="144" cm="1">
        <f t="array" ref="AS71">INDEX($BE$6:$BN$53,MATCH($AL71,$BD$6:$BD$53,0),MATCH(AS$5,$BE$5:$BN$5,0))</f>
        <v>6</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78"/>
      <c r="X72" s="96">
        <v>46199.625</v>
      </c>
      <c r="Y72" s="97">
        <v>46199.625</v>
      </c>
      <c r="Z72" s="113" t="str" cm="1">
        <f t="array" ref="Z72">$Z$8</f>
        <v>J3</v>
      </c>
      <c r="AA72" s="99" t="str" cm="1">
        <f t="array" ref="AA72">A72</f>
        <v>Noruega</v>
      </c>
      <c r="AB72" s="100"/>
      <c r="AC72" s="114">
        <v>1</v>
      </c>
      <c r="AD72" s="114">
        <v>2</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79"/>
      <c r="X73" s="148">
        <v>46199.625</v>
      </c>
      <c r="Y73" s="149">
        <v>46199.625</v>
      </c>
      <c r="Z73" s="150" t="str" cm="1">
        <f t="array" ref="Z73">$Z$8</f>
        <v>J3</v>
      </c>
      <c r="AA73" s="151" t="str" cm="1">
        <f t="array" ref="AA73">A70</f>
        <v>Senegal</v>
      </c>
      <c r="AB73" s="152"/>
      <c r="AC73" s="153">
        <v>3</v>
      </c>
      <c r="AD73" s="153">
        <v>1</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76" t="s">
        <v>53</v>
      </c>
      <c r="X76" s="96">
        <v>46189.875</v>
      </c>
      <c r="Y76" s="97">
        <v>46189.875</v>
      </c>
      <c r="Z76" s="113" t="str" cm="1">
        <f t="array" ref="Z76">$Z$4</f>
        <v>J1</v>
      </c>
      <c r="AA76" s="99" t="str" cm="1">
        <f t="array" ref="AA76">A77</f>
        <v>Argentina</v>
      </c>
      <c r="AB76" s="100"/>
      <c r="AC76" s="101">
        <v>3</v>
      </c>
      <c r="AD76" s="101">
        <v>0</v>
      </c>
      <c r="AE76" s="102"/>
      <c r="AF76" s="103" t="str" cm="1">
        <f t="array" ref="AF76">A78</f>
        <v>Argelia</v>
      </c>
      <c r="AG76" s="104" cm="1">
        <f t="array" ref="AG76">IF(NOT(OR(ISBLANK(AC76),ISBLANK(AD76))),1,0)</f>
        <v>1</v>
      </c>
      <c r="AH76" s="105">
        <v>19</v>
      </c>
      <c r="AI76" s="106"/>
      <c r="AJ76" s="770" t="str" cm="1">
        <f t="array" ref="AJ76">CONCATENATE(AJ3," ",B76)</f>
        <v>Grupo J</v>
      </c>
      <c r="AK76" s="771"/>
      <c r="AL76" s="771"/>
      <c r="AM76" s="771"/>
      <c r="AN76" s="771"/>
      <c r="AO76" s="771"/>
      <c r="AP76" s="771"/>
      <c r="AQ76" s="771"/>
      <c r="AR76" s="771"/>
      <c r="AS76" s="771"/>
      <c r="AT76" s="772"/>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77"/>
      <c r="X77" s="96">
        <v>46190</v>
      </c>
      <c r="Y77" s="97">
        <v>46190</v>
      </c>
      <c r="Z77" s="113" t="str" cm="1">
        <f t="array" ref="Z77">$Z$4</f>
        <v>J1</v>
      </c>
      <c r="AA77" s="99" t="str" cm="1">
        <f t="array" ref="AA77">A79</f>
        <v>Austria</v>
      </c>
      <c r="AB77" s="100"/>
      <c r="AC77" s="114">
        <v>1</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78"/>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8</v>
      </c>
      <c r="AS78" s="131" cm="1">
        <f t="array" ref="AS78">INDEX($BE$6:$BN$53,MATCH($AL78,$BD$6:$BD$53,0),MATCH(AS$5,$BE$5:$BN$5,0))</f>
        <v>1</v>
      </c>
      <c r="AT78" s="132" cm="1">
        <f t="array" ref="AT78">INDEX($BE$6:$BN$53,MATCH($AL78,$BD$6:$BD$53,0),MATCH(AT$5,$BE$5:$BN$5,0))</f>
        <v>7</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78"/>
      <c r="X79" s="96">
        <v>46195.958333333343</v>
      </c>
      <c r="Y79" s="97">
        <v>46195.958333333343</v>
      </c>
      <c r="Z79" s="113" t="str" cm="1">
        <f t="array" ref="Z79">$Z$6</f>
        <v>J2</v>
      </c>
      <c r="AA79" s="99" t="str" cm="1">
        <f t="array" ref="AA79">A80</f>
        <v>Jordania</v>
      </c>
      <c r="AB79" s="100"/>
      <c r="AC79" s="114">
        <v>1</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2</v>
      </c>
      <c r="AS79" s="144" cm="1">
        <f t="array" ref="AS79">INDEX($BE$6:$BN$53,MATCH($AL79,$BD$6:$BD$53,0),MATCH(AS$5,$BE$5:$BN$5,0))</f>
        <v>6</v>
      </c>
      <c r="AT79" s="145" cm="1">
        <f t="array" ref="AT79">INDEX($BE$6:$BN$53,MATCH($AL79,$BD$6:$BD$53,0),MATCH(AT$5,$BE$5:$BN$5,0))</f>
        <v>-4</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78"/>
      <c r="X80" s="96">
        <v>46200.916666666657</v>
      </c>
      <c r="Y80" s="97">
        <v>46200.916666666657</v>
      </c>
      <c r="Z80" s="113" t="str" cm="1">
        <f t="array" ref="Z80">$Z$8</f>
        <v>J3</v>
      </c>
      <c r="AA80" s="99" t="str" cm="1">
        <f t="array" ref="AA80">A78</f>
        <v>Argelia</v>
      </c>
      <c r="AB80" s="100"/>
      <c r="AC80" s="114">
        <v>1</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3</v>
      </c>
      <c r="AT80" s="145" cm="1">
        <f t="array" ref="AT80">INDEX($BE$6:$BN$53,MATCH($AL80,$BD$6:$BD$53,0),MATCH(AT$5,$BE$5:$BN$5,0))</f>
        <v>1</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79"/>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1</v>
      </c>
      <c r="AS81" s="160" cm="1">
        <f t="array" ref="AS81">INDEX($BE$6:$BN$53,MATCH($AL81,$BD$6:$BD$53,0),MATCH(AS$5,$BE$5:$BN$5,0))</f>
        <v>5</v>
      </c>
      <c r="AT81" s="161" cm="1">
        <f t="array" ref="AT81">INDEX($BE$6:$BN$53,MATCH($AL81,$BD$6:$BD$53,0),MATCH(AT$5,$BE$5:$BN$5,0))</f>
        <v>-4</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89"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70" t="str" cm="1">
        <f t="array" ref="AJ84">CONCATENATE(AJ3," ",B84)</f>
        <v>Grupo K</v>
      </c>
      <c r="AK84" s="771"/>
      <c r="AL84" s="771"/>
      <c r="AM84" s="771"/>
      <c r="AN84" s="771"/>
      <c r="AO84" s="771"/>
      <c r="AP84" s="771"/>
      <c r="AQ84" s="771"/>
      <c r="AR84" s="771"/>
      <c r="AS84" s="771"/>
      <c r="AT84" s="772"/>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77"/>
      <c r="X85" s="96">
        <v>46190.916666666657</v>
      </c>
      <c r="Y85" s="97">
        <v>46190.916666666657</v>
      </c>
      <c r="Z85" s="113" t="str" cm="1">
        <f t="array" ref="Z85">$Z$4</f>
        <v>J1</v>
      </c>
      <c r="AA85" s="99" t="str" cm="1">
        <f t="array" ref="AA85">A87</f>
        <v>Uzbekistán</v>
      </c>
      <c r="AB85" s="100"/>
      <c r="AC85" s="114">
        <v>0</v>
      </c>
      <c r="AD85" s="114">
        <v>1</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78"/>
      <c r="X86" s="96">
        <v>46196.541666666657</v>
      </c>
      <c r="Y86" s="97">
        <v>46196.541666666657</v>
      </c>
      <c r="Z86" s="113" t="str" cm="1">
        <f t="array" ref="Z86">$Z$6</f>
        <v>J2</v>
      </c>
      <c r="AA86" s="99" t="str" cm="1">
        <f t="array" ref="AA86">A85</f>
        <v>Portugal</v>
      </c>
      <c r="AB86" s="100"/>
      <c r="AC86" s="114">
        <v>2</v>
      </c>
      <c r="AD86" s="114">
        <v>1</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6</v>
      </c>
      <c r="AS86" s="131" cm="1">
        <f t="array" ref="AS86">INDEX($BE$6:$BN$53,MATCH($AL86,$BD$6:$BD$53,0),MATCH(AS$5,$BE$5:$BN$5,0))</f>
        <v>2</v>
      </c>
      <c r="AT86" s="132" cm="1">
        <f t="array" ref="AT86">INDEX($BE$6:$BN$53,MATCH($AL86,$BD$6:$BD$53,0),MATCH(AT$5,$BE$5:$BN$5,0))</f>
        <v>4</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78"/>
      <c r="X87" s="96">
        <v>46196.916666666657</v>
      </c>
      <c r="Y87" s="97">
        <v>46196.916666666657</v>
      </c>
      <c r="Z87" s="113" t="str" cm="1">
        <f t="array" ref="Z87">$Z$6</f>
        <v>J2</v>
      </c>
      <c r="AA87" s="99" t="str" cm="1">
        <f t="array" ref="AA87">A88</f>
        <v>Colombia</v>
      </c>
      <c r="AB87" s="100"/>
      <c r="AC87" s="114">
        <v>2</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1</v>
      </c>
      <c r="AN87" s="144" cm="1">
        <f t="array" ref="AN87">INDEX($BE$6:$BN$53,MATCH($AL87,$BD$6:$BD$53,0),MATCH(AN$5,$BE$5:$BN$5,0))</f>
        <v>3</v>
      </c>
      <c r="AO87" s="144" cm="1">
        <f t="array" ref="AO87">INDEX($BE$6:$BN$53,MATCH($AL87,$BD$6:$BD$53,0),MATCH(AO$5,$BE$5:$BN$5,0))</f>
        <v>0</v>
      </c>
      <c r="AP87" s="144" cm="1">
        <f t="array" ref="AP87">INDEX($BE$6:$BN$53,MATCH($AL87,$BD$6:$BD$53,0),MATCH(AP$5,$BE$5:$BN$5,0))</f>
        <v>1</v>
      </c>
      <c r="AQ87" s="144" cm="1">
        <f t="array" ref="AQ87">INDEX($BE$6:$BN$53,MATCH($AL87,$BD$6:$BD$53,0),MATCH(AQ$5,$BE$5:$BN$5,0))</f>
        <v>2</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78"/>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1</v>
      </c>
      <c r="AN88" s="144" cm="1">
        <f t="array" ref="AN88">INDEX($BE$6:$BN$53,MATCH($AL88,$BD$6:$BD$53,0),MATCH(AN$5,$BE$5:$BN$5,0))</f>
        <v>3</v>
      </c>
      <c r="AO88" s="144" cm="1">
        <f t="array" ref="AO88">INDEX($BE$6:$BN$53,MATCH($AL88,$BD$6:$BD$53,0),MATCH(AO$5,$BE$5:$BN$5,0))</f>
        <v>0</v>
      </c>
      <c r="AP88" s="144" cm="1">
        <f t="array" ref="AP88">INDEX($BE$6:$BN$53,MATCH($AL88,$BD$6:$BD$53,0),MATCH(AP$5,$BE$5:$BN$5,0))</f>
        <v>1</v>
      </c>
      <c r="AQ88" s="144" cm="1">
        <f t="array" ref="AQ88">INDEX($BE$6:$BN$53,MATCH($AL88,$BD$6:$BD$53,0),MATCH(AQ$5,$BE$5:$BN$5,0))</f>
        <v>2</v>
      </c>
      <c r="AR88" s="144" cm="1">
        <f t="array" ref="AR88">INDEX($BE$6:$BN$53,MATCH($AL88,$BD$6:$BD$53,0),MATCH(AR$5,$BE$5:$BN$5,0))</f>
        <v>1</v>
      </c>
      <c r="AS88" s="144" cm="1">
        <f t="array" ref="AS88">INDEX($BE$6:$BN$53,MATCH($AL88,$BD$6:$BD$53,0),MATCH(AS$5,$BE$5:$BN$5,0))</f>
        <v>3</v>
      </c>
      <c r="AT88" s="145" cm="1">
        <f t="array" ref="AT88">INDEX($BE$6:$BN$53,MATCH($AL88,$BD$6:$BD$53,0),MATCH(AT$5,$BE$5:$BN$5,0))</f>
        <v>-2</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Empate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79"/>
      <c r="X89" s="148">
        <v>46200.8125</v>
      </c>
      <c r="Y89" s="149">
        <v>46200.8125</v>
      </c>
      <c r="Z89" s="150" t="str" cm="1">
        <f t="array" ref="Z89">$Z$8</f>
        <v>J3</v>
      </c>
      <c r="AA89" s="151" t="str" cm="1">
        <f t="array" ref="AA89">A86</f>
        <v>RD Congo</v>
      </c>
      <c r="AB89" s="152"/>
      <c r="AC89" s="153">
        <v>0</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2</v>
      </c>
      <c r="AT89" s="161" cm="1">
        <f t="array" ref="AT89">INDEX($BE$6:$BN$53,MATCH($AL89,$BD$6:$BD$53,0),MATCH(AT$5,$BE$5:$BN$5,0))</f>
        <v>2</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92" t="s">
        <v>208</v>
      </c>
      <c r="X92" s="96">
        <v>46190.666666666657</v>
      </c>
      <c r="Y92" s="97">
        <v>46190.666666666657</v>
      </c>
      <c r="Z92" s="113" t="str" cm="1">
        <f t="array" ref="Z92">$Z$4</f>
        <v>J1</v>
      </c>
      <c r="AA92" s="99" t="str" cm="1">
        <f t="array" ref="AA92">A93</f>
        <v>Inglaterra</v>
      </c>
      <c r="AB92" s="100"/>
      <c r="AC92" s="101">
        <v>1</v>
      </c>
      <c r="AD92" s="101">
        <v>0</v>
      </c>
      <c r="AE92" s="102"/>
      <c r="AF92" s="103" t="str" cm="1">
        <f t="array" ref="AF92">A94</f>
        <v>Croacia</v>
      </c>
      <c r="AG92" s="104" cm="1">
        <f t="array" ref="AG92">IF(NOT(OR(ISBLANK(AC92),ISBLANK(AD92))),1,0)</f>
        <v>1</v>
      </c>
      <c r="AH92" s="105">
        <v>22</v>
      </c>
      <c r="AI92" s="106"/>
      <c r="AJ92" s="770" t="str" cm="1">
        <f t="array" ref="AJ92">CONCATENATE(AJ3," ",B92)</f>
        <v>Grupo L</v>
      </c>
      <c r="AK92" s="771"/>
      <c r="AL92" s="771"/>
      <c r="AM92" s="771"/>
      <c r="AN92" s="771"/>
      <c r="AO92" s="771"/>
      <c r="AP92" s="771"/>
      <c r="AQ92" s="771"/>
      <c r="AR92" s="771"/>
      <c r="AS92" s="771"/>
      <c r="AT92" s="772"/>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77"/>
      <c r="X93" s="96">
        <v>46190.791666666657</v>
      </c>
      <c r="Y93" s="97">
        <v>46190.791666666657</v>
      </c>
      <c r="Z93" s="113" t="str" cm="1">
        <f t="array" ref="Z93">$Z$4</f>
        <v>J1</v>
      </c>
      <c r="AA93" s="99" t="str" cm="1">
        <f t="array" ref="AA93">A95</f>
        <v>Ghana</v>
      </c>
      <c r="AB93" s="100"/>
      <c r="AC93" s="114">
        <v>1</v>
      </c>
      <c r="AD93" s="114">
        <v>0</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78"/>
      <c r="X94" s="96">
        <v>46196.666666666657</v>
      </c>
      <c r="Y94" s="97">
        <v>46196.666666666657</v>
      </c>
      <c r="Z94" s="113" t="str" cm="1">
        <f t="array" ref="Z94">$Z$6</f>
        <v>J2</v>
      </c>
      <c r="AA94" s="99" t="str" cm="1">
        <f t="array" ref="AA94">A93</f>
        <v>Inglaterra</v>
      </c>
      <c r="AB94" s="100"/>
      <c r="AC94" s="114">
        <v>2</v>
      </c>
      <c r="AD94" s="114">
        <v>1</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78"/>
      <c r="X95" s="96">
        <v>46196.791666666657</v>
      </c>
      <c r="Y95" s="97">
        <v>46196.791666666657</v>
      </c>
      <c r="Z95" s="113" t="str" cm="1">
        <f t="array" ref="Z95">$Z$6</f>
        <v>J2</v>
      </c>
      <c r="AA95" s="99" t="str" cm="1">
        <f t="array" ref="AA95">A96</f>
        <v>Panamá</v>
      </c>
      <c r="AB95" s="100"/>
      <c r="AC95" s="114">
        <v>1</v>
      </c>
      <c r="AD95" s="114">
        <v>3</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6</v>
      </c>
      <c r="AN95" s="144" cm="1">
        <f t="array" ref="AN95">INDEX($BE$6:$BN$53,MATCH($AL95,$BD$6:$BD$53,0),MATCH(AN$5,$BE$5:$BN$5,0))</f>
        <v>3</v>
      </c>
      <c r="AO95" s="144" cm="1">
        <f t="array" ref="AO95">INDEX($BE$6:$BN$53,MATCH($AL95,$BD$6:$BD$53,0),MATCH(AO$5,$BE$5:$BN$5,0))</f>
        <v>2</v>
      </c>
      <c r="AP95" s="144" cm="1">
        <f t="array" ref="AP95">INDEX($BE$6:$BN$53,MATCH($AL95,$BD$6:$BD$53,0),MATCH(AP$5,$BE$5:$BN$5,0))</f>
        <v>0</v>
      </c>
      <c r="AQ95" s="144" cm="1">
        <f t="array" ref="AQ95">INDEX($BE$6:$BN$53,MATCH($AL95,$BD$6:$BD$53,0),MATCH(AQ$5,$BE$5:$BN$5,0))</f>
        <v>1</v>
      </c>
      <c r="AR95" s="144" cm="1">
        <f t="array" ref="AR95">INDEX($BE$6:$BN$53,MATCH($AL95,$BD$6:$BD$53,0),MATCH(AR$5,$BE$5:$BN$5,0))</f>
        <v>5</v>
      </c>
      <c r="AS95" s="144" cm="1">
        <f t="array" ref="AS95">INDEX($BE$6:$BN$53,MATCH($AL95,$BD$6:$BD$53,0),MATCH(AS$5,$BE$5:$BN$5,0))</f>
        <v>3</v>
      </c>
      <c r="AT95" s="145" cm="1">
        <f t="array" ref="AT95">INDEX($BE$6:$BN$53,MATCH($AL95,$BD$6:$BD$53,0),MATCH(AT$5,$BE$5:$BN$5,0))</f>
        <v>2</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78"/>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3</v>
      </c>
      <c r="AN96" s="144" cm="1">
        <f t="array" ref="AN96">INDEX($BE$6:$BN$53,MATCH($AL96,$BD$6:$BD$53,0),MATCH(AN$5,$BE$5:$BN$5,0))</f>
        <v>3</v>
      </c>
      <c r="AO96" s="144" cm="1">
        <f t="array" ref="AO96">INDEX($BE$6:$BN$53,MATCH($AL96,$BD$6:$BD$53,0),MATCH(AO$5,$BE$5:$BN$5,0))</f>
        <v>1</v>
      </c>
      <c r="AP96" s="144" cm="1">
        <f t="array" ref="AP96">INDEX($BE$6:$BN$53,MATCH($AL96,$BD$6:$BD$53,0),MATCH(AP$5,$BE$5:$BN$5,0))</f>
        <v>0</v>
      </c>
      <c r="AQ96" s="144" cm="1">
        <f t="array" ref="AQ96">INDEX($BE$6:$BN$53,MATCH($AL96,$BD$6:$BD$53,0),MATCH(AQ$5,$BE$5:$BN$5,0))</f>
        <v>2</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79"/>
      <c r="X97" s="148">
        <v>46200.708333333343</v>
      </c>
      <c r="Y97" s="149">
        <v>46200.708333333343</v>
      </c>
      <c r="Z97" s="150" t="str" cm="1">
        <f t="array" ref="Z97">$Z$8</f>
        <v>J3</v>
      </c>
      <c r="AA97" s="151" t="str" cm="1">
        <f t="array" ref="AA97">A94</f>
        <v>Croacia</v>
      </c>
      <c r="AB97" s="152"/>
      <c r="AC97" s="153">
        <v>2</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6</v>
      </c>
      <c r="AT97" s="161" cm="1">
        <f t="array" ref="AT97">INDEX($BE$6:$BN$53,MATCH($AL97,$BD$6:$BD$53,0),MATCH(AT$5,$BE$5:$BN$5,0))</f>
        <v>-5</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61" t="s">
        <v>220</v>
      </c>
      <c r="X99" s="762"/>
      <c r="Y99" s="763"/>
      <c r="Z99" s="763"/>
      <c r="AA99" s="763"/>
      <c r="AB99" s="763"/>
      <c r="AC99" s="763"/>
      <c r="AD99" s="763"/>
      <c r="AE99" s="763"/>
      <c r="AF99" s="764"/>
      <c r="AG99" s="228"/>
      <c r="AH99" s="134"/>
      <c r="AI99" s="217"/>
      <c r="AJ99" s="229"/>
      <c r="AK99" s="773" t="s">
        <v>221</v>
      </c>
      <c r="AL99" s="774"/>
      <c r="AM99" s="774"/>
      <c r="AN99" s="774"/>
      <c r="AO99" s="774"/>
      <c r="AP99" s="774"/>
      <c r="AQ99" s="774"/>
      <c r="AR99" s="774"/>
      <c r="AS99" s="774"/>
      <c r="AT99" s="774"/>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75" t="s">
        <v>229</v>
      </c>
      <c r="AK100" s="771"/>
      <c r="AL100" s="771"/>
      <c r="AM100" s="771"/>
      <c r="AN100" s="771"/>
      <c r="AO100" s="771"/>
      <c r="AP100" s="771"/>
      <c r="AQ100" s="771"/>
      <c r="AR100" s="771"/>
      <c r="AS100" s="771"/>
      <c r="AT100" s="772"/>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85"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77"/>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9</v>
      </c>
      <c r="AN102" s="257" cm="1">
        <f t="array" ref="AN102">IF($H$113&gt;=48,INDEX($BE$58:$BN$69,MATCH($AL102,$BD$58:$BD$69,0),MATCH(AN$5,$BE$57:$BN$57,0)),$BB58)</f>
        <v>3</v>
      </c>
      <c r="AO102" s="257" cm="1">
        <f t="array" ref="AO102">IF($H$113&gt;=48,INDEX($BE$58:$BN$69,MATCH($AL102,$BD$58:$BD$69,0),MATCH(AO$5,$BE$57:$BN$57,0)),$BB58)</f>
        <v>3</v>
      </c>
      <c r="AP102" s="257" cm="1">
        <f t="array" ref="AP102">IF($H$113&gt;=48,INDEX($BE$58:$BN$69,MATCH($AL102,$BD$58:$BD$69,0),MATCH(AP$5,$BE$57:$BN$57,0)),$BB58)</f>
        <v>0</v>
      </c>
      <c r="AQ102" s="257" cm="1">
        <f t="array" ref="AQ102">IF($H$113&gt;=48,INDEX($BE$58:$BN$69,MATCH($AL102,$BD$58:$BD$69,0),MATCH(AQ$5,$BE$57:$BN$57,0)),$BB58)</f>
        <v>0</v>
      </c>
      <c r="AR102" s="257" cm="1">
        <f t="array" ref="AR102">IF($H$113&gt;=48,INDEX($BE$58:$BN$69,MATCH($AL102,$BD$58:$BD$69,0),MATCH(AR$5,$BE$57:$BN$57,0)),$BB58)</f>
        <v>5</v>
      </c>
      <c r="AS102" s="257" cm="1">
        <f t="array" ref="AS102">IF($H$113&gt;=48,INDEX($BE$58:$BN$69,MATCH($AL102,$BD$58:$BD$69,0),MATCH(AS$5,$BE$57:$BN$57,0)),$BB58)</f>
        <v>1</v>
      </c>
      <c r="AT102" s="258" cm="1">
        <f t="array" ref="AT102">IF($H$113&gt;=48,INDEX($BE$58:$BN$69,MATCH($AL102,$BD$58:$BD$69,0),MATCH(AT$5,$BE$57:$BN$57,0)),$BB58)</f>
        <v>4</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78"/>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78"/>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5</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2</v>
      </c>
      <c r="AQ104" s="144" cm="1">
        <f t="array" ref="AQ104">IF($H$113&gt;=48,INDEX($BE$58:$BN$69,MATCH($AL104,$BD$58:$BD$69,0),MATCH(AQ$5,$BE$57:$BN$57,0)),$BB60)</f>
        <v>0</v>
      </c>
      <c r="AR104" s="144" cm="1">
        <f t="array" ref="AR104">IF($H$113&gt;=48,INDEX($BE$58:$BN$69,MATCH($AL104,$BD$58:$BD$69,0),MATCH(AR$5,$BE$57:$BN$57,0)),$BB60)</f>
        <v>4</v>
      </c>
      <c r="AS104" s="144" cm="1">
        <f t="array" ref="AS104">IF($H$113&gt;=48,INDEX($BE$58:$BN$69,MATCH($AL104,$BD$58:$BD$69,0),MATCH(AS$5,$BE$57:$BN$57,0)),$BB60)</f>
        <v>3</v>
      </c>
      <c r="AT104" s="145" cm="1">
        <f t="array" ref="AT104">IF($H$113&gt;=48,INDEX($BE$58:$BN$69,MATCH($AL104,$BD$58:$BD$69,0),MATCH(AT$5,$BE$57:$BN$57,0)),$BB60)</f>
        <v>1</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78"/>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4</v>
      </c>
      <c r="AS105" s="144" cm="1">
        <f t="array" ref="AS105">IF($H$113&gt;=48,INDEX($BE$58:$BN$69,MATCH($AL105,$BD$58:$BD$69,0),MATCH(AS$5,$BE$57:$BN$57,0)),$BB61)</f>
        <v>3</v>
      </c>
      <c r="AT105" s="145" cm="1">
        <f t="array" ref="AT105">IF($H$113&gt;=48,INDEX($BE$58:$BN$69,MATCH($AL105,$BD$58:$BD$69,0),MATCH(AT$5,$BE$57:$BN$57,0)),$BB61)</f>
        <v>1</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78"/>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Ghana</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4</v>
      </c>
      <c r="AT106" s="145" cm="1">
        <f t="array" ref="AT106">IF($H$113&gt;=48,INDEX($BE$58:$BN$69,MATCH($AL106,$BD$58:$BD$69,0),MATCH(AT$5,$BE$57:$BN$57,0)),$BB62)</f>
        <v>-1</v>
      </c>
      <c r="AU106" s="133" cm="1">
        <f t="array" ref="AU106">IF($H$113=144,INDEX($DL$58:$DL$69,MATCH(AI106,$DP$58:$DP$69,0)),"")</f>
        <v>1</v>
      </c>
      <c r="AV106" s="134" t="str" cm="1">
        <f t="array" ref="AV106">INDEX($BD$58:$BD$69,MATCH(AI106,$BM$58:$BM$69,0))</f>
        <v>Ghana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78"/>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Irán</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3</v>
      </c>
      <c r="AT107" s="145" cm="1">
        <f t="array" ref="AT107">IF($H$113&gt;=48,INDEX($BE$58:$BN$69,MATCH($AL107,$BD$58:$BD$69,0),MATCH(AT$5,$BE$57:$BN$57,0)),$BB63)</f>
        <v>-1</v>
      </c>
      <c r="AU107" s="133" cm="1">
        <f t="array" ref="AU107">IF($H$113=144,INDEX($DL$58:$DL$69,MATCH(AI107,$DP$58:$DP$69,0)),"")</f>
        <v>1</v>
      </c>
      <c r="AV107" s="134" t="str" cm="1">
        <f t="array" ref="AV107">INDEX($BD$58:$BD$69,MATCH(AI107,$BM$58:$BM$69,0))</f>
        <v>Irán</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L</v>
      </c>
      <c r="BG107" s="265" cm="1">
        <f t="array" ref="BG107">COUNTIF($BF$103:$BF$110,"&lt;="&amp;BF107)</f>
        <v>8</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78"/>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Costa de Marfil</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4</v>
      </c>
      <c r="AS108" s="144" cm="1">
        <f t="array" ref="AS108">IF($H$113&gt;=48,INDEX($BE$58:$BN$69,MATCH($AL108,$BD$58:$BD$69,0),MATCH(AS$5,$BE$57:$BN$57,0)),$BB64)</f>
        <v>6</v>
      </c>
      <c r="AT108" s="145" cm="1">
        <f t="array" ref="AT108">IF($H$113&gt;=48,INDEX($BE$58:$BN$69,MATCH($AL108,$BD$58:$BD$69,0),MATCH(AT$5,$BE$57:$BN$57,0)),$BB64)</f>
        <v>-2</v>
      </c>
      <c r="AU108" s="133" cm="1">
        <f t="array" ref="AU108">IF($H$113=144,INDEX($DL$58:$DL$69,MATCH(AI108,$DP$58:$DP$69,0)),"")</f>
        <v>1</v>
      </c>
      <c r="AV108" s="134" t="str" cm="1">
        <f t="array" ref="AV108">INDEX($BD$58:$BD$69,MATCH(AI108,$BM$58:$BM$69,0))</f>
        <v>Costa de Marfil</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G</v>
      </c>
      <c r="BG108" s="265" cm="1">
        <f t="array" ref="BG108">COUNTIF($BF$103:$BF$110,"&lt;="&amp;BF108)</f>
        <v>5</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78"/>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5</v>
      </c>
      <c r="AT109" s="145" cm="1">
        <f t="array" ref="AT109">IF($H$113&gt;=48,INDEX($BE$58:$BN$69,MATCH($AL109,$BD$58:$BD$69,0),MATCH(AT$5,$BE$57:$BN$57,0)),$BB65)</f>
        <v>-2</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E</v>
      </c>
      <c r="BG109" s="265" cm="1">
        <f t="array" ref="BG109">COUNTIF($BF$103:$BF$110,"&lt;="&amp;BF109)</f>
        <v>3</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78"/>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1</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1</v>
      </c>
      <c r="AQ110" s="144" cm="1">
        <f t="array" ref="AQ110">IF($H$113&gt;=48,INDEX($BE$58:$BN$69,MATCH($AL110,$BD$58:$BD$69,0),MATCH(AQ$5,$BE$57:$BN$57,0)),$BB66)</f>
        <v>2</v>
      </c>
      <c r="AR110" s="144" cm="1">
        <f t="array" ref="AR110">IF($H$113&gt;=48,INDEX($BE$58:$BN$69,MATCH($AL110,$BD$58:$BD$69,0),MATCH(AR$5,$BE$57:$BN$57,0)),$BB66)</f>
        <v>1</v>
      </c>
      <c r="AS110" s="144" cm="1">
        <f t="array" ref="AS110">IF($H$113&gt;=48,INDEX($BE$58:$BN$69,MATCH($AL110,$BD$58:$BD$69,0),MATCH(AS$5,$BE$57:$BN$57,0)),$BB66)</f>
        <v>3</v>
      </c>
      <c r="AT110" s="145" cm="1">
        <f t="array" ref="AT110">IF($H$113&gt;=48,INDEX($BE$58:$BN$69,MATCH($AL110,$BD$58:$BD$69,0),MATCH(AT$5,$BE$57:$BN$57,0)),$BB66)</f>
        <v>-2</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78"/>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Haití</v>
      </c>
      <c r="AM111" s="262" cm="1">
        <f t="array" ref="AM111">IF($H$113&gt;=48,INDEX($BE$58:$BN$69,MATCH($AL111,$BD$58:$BD$69,0),MATCH(AM$5,$BE$57:$BN$57,0)),$BB67)</f>
        <v>1</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1</v>
      </c>
      <c r="AQ111" s="144" cm="1">
        <f t="array" ref="AQ111">IF($H$113&gt;=48,INDEX($BE$58:$BN$69,MATCH($AL111,$BD$58:$BD$69,0),MATCH(AQ$5,$BE$57:$BN$57,0)),$BB67)</f>
        <v>2</v>
      </c>
      <c r="AR111" s="144" cm="1">
        <f t="array" ref="AR111">IF($H$113&gt;=48,INDEX($BE$58:$BN$69,MATCH($AL111,$BD$58:$BD$69,0),MATCH(AR$5,$BE$57:$BN$57,0)),$BB67)</f>
        <v>0</v>
      </c>
      <c r="AS111" s="144" cm="1">
        <f t="array" ref="AS111">IF($H$113&gt;=48,INDEX($BE$58:$BN$69,MATCH($AL111,$BD$58:$BD$69,0),MATCH(AS$5,$BE$57:$BN$57,0)),$BB67)</f>
        <v>4</v>
      </c>
      <c r="AT111" s="145" cm="1">
        <f t="array" ref="AT111">IF($H$113&gt;=48,INDEX($BE$58:$BN$69,MATCH($AL111,$BD$58:$BD$69,0),MATCH(AT$5,$BE$57:$BN$57,0)),$BB67)</f>
        <v>-4</v>
      </c>
      <c r="AU111" s="133" cm="1">
        <f t="array" ref="AU111">IF($H$113=144,INDEX($DL$58:$DL$69,MATCH(AI111,$DP$58:$DP$69,0)),"")</f>
        <v>1</v>
      </c>
      <c r="AV111" s="134" t="str" cm="1">
        <f t="array" ref="AV111">INDEX($BD$58:$BD$69,MATCH(AI111,$BM$58:$BM$69,0))</f>
        <v>Haití</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78"/>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Australia</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2</v>
      </c>
      <c r="AS112" s="144" cm="1">
        <f t="array" ref="AS112">IF($H$113&gt;=48,INDEX($BE$58:$BN$69,MATCH($AL112,$BD$58:$BD$69,0),MATCH(AS$5,$BE$57:$BN$57,0)),$BB68)</f>
        <v>6</v>
      </c>
      <c r="AT112" s="145" cm="1">
        <f t="array" ref="AT112">IF($H$113&gt;=48,INDEX($BE$58:$BN$69,MATCH($AL112,$BD$58:$BD$69,0),MATCH(AT$5,$BE$57:$BN$57,0)),$BB68)</f>
        <v>-4</v>
      </c>
      <c r="AU112" s="133" cm="1">
        <f t="array" ref="AU112">IF($H$113=144,INDEX($DL$58:$DL$69,MATCH(AI112,$DP$58:$DP$69,0)),"")</f>
        <v>1</v>
      </c>
      <c r="AV112" s="134" t="str" cm="1">
        <f t="array" ref="AV112">INDEX($BD$58:$BD$69,MATCH(AI112,$BM$58:$BM$69,0))</f>
        <v>Australia</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78"/>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Irak</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8</v>
      </c>
      <c r="AT113" s="161" cm="1">
        <f t="array" ref="AT113">IF($H$113&gt;=48,INDEX($BE$58:$BN$69,MATCH($AL113,$BD$58:$BD$69,0),MATCH(AT$5,$BE$57:$BN$57,0)),$BB69)</f>
        <v>-7</v>
      </c>
      <c r="AU113" s="133" cm="1">
        <f t="array" ref="AU113">IF($H$113=144,INDEX($DL$58:$DL$69,MATCH(AI113,$DP$58:$DP$69,0)),"")</f>
        <v>1</v>
      </c>
      <c r="AV113" s="134" t="str" cm="1">
        <f t="array" ref="AV113">INDEX($BD$58:$BD$69,MATCH(AI113,$BM$58:$BM$69,0))</f>
        <v>Irak</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78"/>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78"/>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79"/>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61" t="s">
        <v>277</v>
      </c>
      <c r="X118" s="762"/>
      <c r="Y118" s="763"/>
      <c r="Z118" s="763"/>
      <c r="AA118" s="763"/>
      <c r="AB118" s="763"/>
      <c r="AC118" s="763"/>
      <c r="AD118" s="763"/>
      <c r="AE118" s="763"/>
      <c r="AF118" s="764"/>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6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7"/>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8"/>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8"/>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8"/>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8"/>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8"/>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69"/>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61" t="s">
        <v>295</v>
      </c>
      <c r="X129" s="762"/>
      <c r="Y129" s="763"/>
      <c r="Z129" s="763"/>
      <c r="AA129" s="763"/>
      <c r="AB129" s="763"/>
      <c r="AC129" s="763"/>
      <c r="AD129" s="763"/>
      <c r="AE129" s="763"/>
      <c r="AF129" s="764"/>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84"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7"/>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8"/>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69"/>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61" t="s">
        <v>306</v>
      </c>
      <c r="X136" s="762"/>
      <c r="Y136" s="763"/>
      <c r="Z136" s="763"/>
      <c r="AA136" s="763"/>
      <c r="AB136" s="763"/>
      <c r="AC136" s="763"/>
      <c r="AD136" s="763"/>
      <c r="AE136" s="763"/>
      <c r="AF136" s="764"/>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80"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81"/>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61" t="s">
        <v>315</v>
      </c>
      <c r="X141" s="762"/>
      <c r="Y141" s="763"/>
      <c r="Z141" s="763"/>
      <c r="AA141" s="763"/>
      <c r="AB141" s="763"/>
      <c r="AC141" s="763"/>
      <c r="AD141" s="763"/>
      <c r="AE141" s="763"/>
      <c r="AF141" s="764"/>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61" t="s">
        <v>318</v>
      </c>
      <c r="X145" s="762"/>
      <c r="Y145" s="763"/>
      <c r="Z145" s="763"/>
      <c r="AA145" s="765"/>
      <c r="AB145" s="763"/>
      <c r="AC145" s="763"/>
      <c r="AD145" s="763"/>
      <c r="AE145" s="763"/>
      <c r="AF145" s="764"/>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59" t="s">
        <v>327</v>
      </c>
      <c r="AI154" s="760"/>
      <c r="AJ154" s="760"/>
      <c r="AK154" s="760"/>
      <c r="AL154" s="760"/>
      <c r="AM154" s="760"/>
      <c r="AN154" s="760"/>
      <c r="AO154" s="760"/>
      <c r="AP154" s="760"/>
      <c r="AQ154" s="760"/>
      <c r="AR154" s="760"/>
      <c r="AS154" s="760"/>
      <c r="AT154" s="760"/>
      <c r="AU154" s="760"/>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AJ84:AT84"/>
    <mergeCell ref="AJ92:AT92"/>
    <mergeCell ref="W99:AF99"/>
    <mergeCell ref="AK99:AT99"/>
    <mergeCell ref="AJ100:AT100"/>
    <mergeCell ref="AJ44:AT44"/>
    <mergeCell ref="AJ52:AT52"/>
    <mergeCell ref="AJ60:AT60"/>
    <mergeCell ref="AJ68:AT68"/>
    <mergeCell ref="AJ76:AT76"/>
    <mergeCell ref="AJ4:AT4"/>
    <mergeCell ref="AJ12:AT12"/>
    <mergeCell ref="AJ20:AT20"/>
    <mergeCell ref="AJ28:AT28"/>
    <mergeCell ref="AJ36:AT36"/>
    <mergeCell ref="AH154:AU154"/>
    <mergeCell ref="W118:AF118"/>
    <mergeCell ref="W129:AF129"/>
    <mergeCell ref="W136:AF136"/>
    <mergeCell ref="W141:AF141"/>
    <mergeCell ref="W145:AF145"/>
    <mergeCell ref="W120:W127"/>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09" t="s">
        <v>334</v>
      </c>
      <c r="F1" s="810"/>
      <c r="G1" s="810"/>
      <c r="H1" s="810"/>
      <c r="I1" s="810"/>
      <c r="J1" s="810"/>
      <c r="K1" s="810"/>
      <c r="L1" s="810"/>
      <c r="M1" s="810"/>
      <c r="N1" s="811"/>
    </row>
    <row r="2" spans="1:14" ht="20" customHeight="1" x14ac:dyDescent="0.25">
      <c r="A2" s="363"/>
      <c r="B2" s="364"/>
      <c r="C2" s="365"/>
      <c r="D2" s="366"/>
      <c r="E2" s="753"/>
      <c r="F2" s="753"/>
      <c r="G2" s="753"/>
      <c r="H2" s="753"/>
      <c r="I2" s="753"/>
      <c r="J2" s="753"/>
      <c r="K2" s="753"/>
      <c r="L2" s="753"/>
      <c r="M2" s="753"/>
      <c r="N2" s="812"/>
    </row>
    <row r="3" spans="1:14" ht="35" customHeight="1" x14ac:dyDescent="0.25">
      <c r="A3" s="368"/>
      <c r="B3" s="369" t="s">
        <v>11</v>
      </c>
      <c r="C3" s="370"/>
      <c r="D3" s="366"/>
      <c r="E3" s="816" t="s">
        <v>335</v>
      </c>
      <c r="F3" s="817"/>
      <c r="G3" s="804"/>
      <c r="H3" s="804"/>
      <c r="I3" s="804"/>
      <c r="J3" s="804"/>
      <c r="K3" s="804"/>
      <c r="L3" s="804"/>
      <c r="M3" s="804"/>
      <c r="N3" s="818"/>
    </row>
    <row r="4" spans="1:14" ht="45" customHeight="1" x14ac:dyDescent="0.25">
      <c r="A4" s="363"/>
      <c r="B4" s="374"/>
      <c r="C4" s="375" t="s">
        <v>336</v>
      </c>
      <c r="D4" s="366"/>
      <c r="E4" s="805" t="s">
        <v>337</v>
      </c>
      <c r="F4" s="806"/>
      <c r="G4" s="806"/>
      <c r="H4" s="806"/>
      <c r="I4" s="806"/>
      <c r="J4" s="806"/>
      <c r="K4" s="806"/>
      <c r="L4" s="806"/>
      <c r="M4" s="807"/>
      <c r="N4" s="377"/>
    </row>
    <row r="5" spans="1:14" ht="19" customHeight="1" x14ac:dyDescent="0.2">
      <c r="A5" s="378"/>
      <c r="B5" s="379" t="s">
        <v>338</v>
      </c>
      <c r="C5" s="380" t="str" cm="1">
        <f t="array" ref="C5">Home!C10</f>
        <v>Nombre</v>
      </c>
      <c r="D5" s="381"/>
      <c r="E5" s="823" t="s">
        <v>339</v>
      </c>
      <c r="F5" s="806"/>
      <c r="G5" s="806"/>
      <c r="H5" s="806"/>
      <c r="I5" s="806"/>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01" t="s">
        <v>47</v>
      </c>
      <c r="E6" s="820" t="s">
        <v>341</v>
      </c>
      <c r="F6" s="798"/>
      <c r="G6" s="798"/>
      <c r="H6" s="798"/>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1|1-0</v>
      </c>
      <c r="D7" s="802"/>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1|2-0</v>
      </c>
      <c r="D8" s="803"/>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X|0-0</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1|1-0</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2|1-3</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1|3-0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2|1-3</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1|2-0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1|1-0</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1|1-0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1|3-0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2|1-2</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1|3-1</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2|0-2</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1|3-0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1|1-0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2|0-1</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1|1-0</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1|1-0</v>
      </c>
      <c r="D29" s="804"/>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2|1-2</v>
      </c>
      <c r="D30" s="829" t="s">
        <v>112</v>
      </c>
      <c r="E30" s="820" t="s">
        <v>353</v>
      </c>
      <c r="F30" s="798"/>
      <c r="G30" s="798"/>
      <c r="H30" s="798"/>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2|0-2</v>
      </c>
      <c r="D31" s="798"/>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1|2-1</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X|2-2</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2|0-2</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1|2-0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1|3-2</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1|2-0</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1|2-0</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2|0-2</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2|1-2</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1|2-0</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1|2-0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X|1-1</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1|2-1</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1|2-0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1|2-1</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2|1-3</v>
      </c>
      <c r="D53" s="804"/>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25" t="s">
        <v>118</v>
      </c>
      <c r="E54" s="820" t="s">
        <v>365</v>
      </c>
      <c r="F54" s="798"/>
      <c r="G54" s="798"/>
      <c r="H54" s="798"/>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798"/>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1|2-1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1|2-0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1|1-0</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2|1-3</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X|1-1</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2|1-3</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1|1-0</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2|1-3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2|1-2</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2|1-2</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1|3-1</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2|1-2</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X|0-0</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19"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800"/>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800"/>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800"/>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1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800"/>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800"/>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800"/>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19"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800"/>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800"/>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800"/>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1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800"/>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800"/>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800"/>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19"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800"/>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800"/>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800"/>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1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800"/>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800"/>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800"/>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19"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800"/>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800"/>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800"/>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1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800"/>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800"/>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800"/>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19"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800"/>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800"/>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800"/>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1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800"/>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800"/>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800"/>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19"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800"/>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800"/>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800"/>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1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800"/>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800"/>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800"/>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799"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800"/>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800"/>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800"/>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800"/>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800"/>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800"/>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800"/>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800"/>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800"/>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800"/>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800"/>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800"/>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800"/>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800"/>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800"/>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800"/>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800"/>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800"/>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800"/>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800"/>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800"/>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800"/>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800"/>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800"/>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800"/>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800"/>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800"/>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800"/>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800"/>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800"/>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800"/>
      <c r="B161" s="395" t="str" cm="1">
        <f t="array" ref="B161">B160</f>
        <v>Dieciseisavofinalista</v>
      </c>
      <c r="C161" s="395" t="str" cm="1">
        <f t="array" ref="C161">WORLDCUP!AF116</f>
        <v>3DEIJL</v>
      </c>
      <c r="D161" s="804"/>
      <c r="E161" s="372"/>
      <c r="F161" s="372"/>
      <c r="G161" s="372"/>
      <c r="H161" s="372"/>
      <c r="I161" s="396"/>
      <c r="J161" s="371"/>
      <c r="K161" s="372"/>
      <c r="L161" s="406"/>
      <c r="M161" s="407"/>
      <c r="N161" s="377"/>
    </row>
    <row r="162" spans="1:14" ht="20" customHeight="1" x14ac:dyDescent="0.2">
      <c r="A162" s="378"/>
      <c r="B162" s="398"/>
      <c r="C162" s="398"/>
      <c r="D162" s="388"/>
      <c r="E162" s="830" t="s">
        <v>427</v>
      </c>
      <c r="F162" s="827"/>
      <c r="G162" s="806"/>
      <c r="H162" s="806"/>
      <c r="I162" s="806"/>
      <c r="J162" s="806"/>
      <c r="K162" s="806"/>
      <c r="L162" s="828"/>
      <c r="M162" s="408"/>
      <c r="N162" s="377"/>
    </row>
    <row r="163" spans="1:14" ht="23" customHeight="1" x14ac:dyDescent="0.25">
      <c r="A163" s="378"/>
      <c r="B163" s="404" t="s">
        <v>428</v>
      </c>
      <c r="C163" s="400"/>
      <c r="D163" s="13"/>
      <c r="E163" s="826" t="s">
        <v>429</v>
      </c>
      <c r="F163" s="827"/>
      <c r="G163" s="806"/>
      <c r="H163" s="806"/>
      <c r="I163" s="806"/>
      <c r="J163" s="806"/>
      <c r="K163" s="806"/>
      <c r="L163" s="828"/>
      <c r="M163" s="409"/>
      <c r="N163" s="377"/>
    </row>
    <row r="164" spans="1:14" ht="15" customHeight="1" x14ac:dyDescent="0.2">
      <c r="A164" s="799"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797" t="s">
        <v>430</v>
      </c>
      <c r="F164" s="798"/>
      <c r="G164" s="798"/>
      <c r="H164" s="798"/>
      <c r="I164" s="410"/>
      <c r="J164" s="388"/>
      <c r="K164" s="388"/>
      <c r="L164" s="388"/>
      <c r="M164" s="411"/>
      <c r="N164" s="377"/>
    </row>
    <row r="165" spans="1:14" ht="15" customHeight="1" x14ac:dyDescent="0.2">
      <c r="A165" s="800"/>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800"/>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800"/>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800"/>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800"/>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800"/>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800"/>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800"/>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800"/>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800"/>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800"/>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800"/>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800"/>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800"/>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800"/>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799"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800"/>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800"/>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800"/>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800"/>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800"/>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800"/>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800"/>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800"/>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800"/>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800"/>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800"/>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800"/>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800"/>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800"/>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800"/>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799"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822" t="s">
        <v>280</v>
      </c>
      <c r="E200" s="815" t="s">
        <v>434</v>
      </c>
      <c r="F200" s="753"/>
      <c r="G200" s="753"/>
      <c r="H200" s="753"/>
      <c r="I200" s="412"/>
      <c r="J200" s="13"/>
      <c r="K200" s="13"/>
      <c r="L200" s="13"/>
      <c r="M200" s="411"/>
      <c r="N200" s="377"/>
    </row>
    <row r="201" spans="1:14" ht="15" customHeight="1" x14ac:dyDescent="0.2">
      <c r="A201" s="800"/>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800"/>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800"/>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800"/>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800"/>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800"/>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800"/>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799"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800"/>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800"/>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800"/>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800"/>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800"/>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800"/>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800"/>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799"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15" t="s">
        <v>438</v>
      </c>
      <c r="F220" s="753"/>
      <c r="G220" s="753"/>
      <c r="H220" s="753"/>
      <c r="I220" s="412"/>
      <c r="J220" s="13"/>
      <c r="K220" s="13"/>
      <c r="L220" s="13"/>
      <c r="M220" s="411"/>
      <c r="N220" s="377"/>
    </row>
    <row r="221" spans="1:14" ht="15" customHeight="1" x14ac:dyDescent="0.2">
      <c r="A221" s="800"/>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800"/>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800"/>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799"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800"/>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800"/>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800"/>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814"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822" t="s">
        <v>311</v>
      </c>
      <c r="E232" s="815" t="s">
        <v>442</v>
      </c>
      <c r="F232" s="753"/>
      <c r="G232" s="753"/>
      <c r="H232" s="753"/>
      <c r="I232" s="412"/>
      <c r="J232" s="13"/>
      <c r="K232" s="13"/>
      <c r="L232" s="13"/>
      <c r="M232" s="411"/>
      <c r="N232" s="377"/>
    </row>
    <row r="233" spans="1:14" ht="15" customHeight="1" x14ac:dyDescent="0.2">
      <c r="A233" s="800"/>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814"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800"/>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814"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800"/>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31" t="s">
        <v>447</v>
      </c>
      <c r="E244" s="824"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21"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orientation="portrait"/>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1</v>
      </c>
      <c r="Q3" s="454" cm="1">
        <f t="array" ref="Q3">IF(ISBLANK(INDEX(WORLDCUP!$AD$4:$AD$147,MATCH(M3,WORLDCUP!$AH$4:$AH$147,0))),"",INDEX(WORLDCUP!$AD$4:$AD$147,MATCH(M3,WORLDCUP!$AH$4:$AH$147,0)))</f>
        <v>0</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0</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6</v>
      </c>
      <c r="J4" s="492" cm="1">
        <f t="array" ref="J4">INDEX(WORLDCUP!$AT$6:$AT$97,MATCH(L4,WORLDCUP!$AI$6:$AI$97,0))</f>
        <v>0</v>
      </c>
      <c r="K4" s="493" t="str" cm="1">
        <f t="array" ref="K4">INDEX(WORLDCUP!$AR$6:$AR$97,MATCH(L4,WORLDCUP!$AI$6:$AI$97,0))&amp;"-"&amp;INDEX(WORLDCUP!$AS$6:$AS$97,MATCH(L4,WORLDCUP!$AI$6:$AI$97,0))</f>
        <v>3-3</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4</v>
      </c>
      <c r="W4" s="493" t="str" cm="1">
        <f t="array" ref="W4">INDEX(WORLDCUP!$AR$6:$AR$97,MATCH(X4,WORLDCUP!$AI$6:$AI$97,0))&amp;"-"&amp;INDEX(WORLDCUP!$AS$6:$AS$97,MATCH(X4,WORLDCUP!$AI$6:$AI$97,0))</f>
        <v>6-2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2</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3</v>
      </c>
      <c r="J5" s="144" cm="1">
        <f t="array" ref="J5">INDEX(WORLDCUP!$AT$6:$AT$97,MATCH(L5,WORLDCUP!$AI$6:$AI$97,0))</f>
        <v>-1</v>
      </c>
      <c r="K5" s="512" t="str" cm="1">
        <f t="array" ref="K5">INDEX(WORLDCUP!$AR$6:$AR$97,MATCH(L5,WORLDCUP!$AI$6:$AI$97,0))&amp;"-"&amp;INDEX(WORLDCUP!$AS$6:$AS$97,MATCH(L5,WORLDCUP!$AI$6:$AI$97,0))</f>
        <v>4-5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1</v>
      </c>
      <c r="W5" s="512" t="str" cm="1">
        <f t="array" ref="W5">INDEX(WORLDCUP!$AR$6:$AR$97,MATCH(X5,WORLDCUP!$AI$6:$AI$97,0))&amp;"-"&amp;INDEX(WORLDCUP!$AS$6:$AS$97,MATCH(X5,WORLDCUP!$AI$6:$AI$97,0))</f>
        <v>3-2</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0</v>
      </c>
      <c r="E6" s="114" cm="1">
        <f t="array" ref="E6">IF(ISBLANK(INDEX(WORLDCUP!$AD$4:$AD$147,MATCH(A6,WORLDCUP!$AH$4:$AH$147,0))),"",INDEX(WORLDCUP!$AD$4:$AD$147,MATCH(A6,WORLDCUP!$AH$4:$AH$147,0)))</f>
        <v>2</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9</v>
      </c>
      <c r="J6" s="144" cm="1">
        <f t="array" ref="J6">INDEX(WORLDCUP!$AT$6:$AT$97,MATCH(L6,WORLDCUP!$AI$6:$AI$97,0))</f>
        <v>4</v>
      </c>
      <c r="K6" s="512" t="str" cm="1">
        <f t="array" ref="K6">INDEX(WORLDCUP!$AR$6:$AR$97,MATCH(L6,WORLDCUP!$AI$6:$AI$97,0))&amp;"-"&amp;INDEX(WORLDCUP!$AS$6:$AS$97,MATCH(L6,WORLDCUP!$AI$6:$AI$97,0))</f>
        <v>5-1</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2</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3</v>
      </c>
      <c r="V6" s="144" cm="1">
        <f t="array" ref="V6">INDEX(WORLDCUP!$AT$6:$AT$97,MATCH(X6,WORLDCUP!$AI$6:$AI$97,0))</f>
        <v>-1</v>
      </c>
      <c r="W6" s="512" t="str" cm="1">
        <f t="array" ref="W6">INDEX(WORLDCUP!$AR$6:$AR$97,MATCH(X6,WORLDCUP!$AI$6:$AI$97,0))&amp;"-"&amp;INDEX(WORLDCUP!$AS$6:$AS$97,MATCH(X6,WORLDCUP!$AI$6:$AI$97,0))</f>
        <v>2-3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0</v>
      </c>
      <c r="J7" s="525" cm="1">
        <f t="array" ref="J7">INDEX(WORLDCUP!$AT$6:$AT$97,MATCH(L7,WORLDCUP!$AI$6:$AI$97,0))</f>
        <v>-3</v>
      </c>
      <c r="K7" s="526" t="str" cm="1">
        <f t="array" ref="K7">INDEX(WORLDCUP!$AR$6:$AR$97,MATCH(L7,WORLDCUP!$AI$6:$AI$97,0))&amp;"-"&amp;INDEX(WORLDCUP!$AS$6:$AS$97,MATCH(L7,WORLDCUP!$AI$6:$AI$97,0))</f>
        <v>1-4</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0</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0</v>
      </c>
      <c r="V7" s="525" cm="1">
        <f t="array" ref="V7">INDEX(WORLDCUP!$AT$6:$AT$97,MATCH(X7,WORLDCUP!$AI$6:$AI$97,0))</f>
        <v>-4</v>
      </c>
      <c r="W7" s="526" t="str" cm="1">
        <f t="array" ref="W7">INDEX(WORLDCUP!$AR$6:$AR$97,MATCH(X7,WORLDCUP!$AI$6:$AI$97,0))&amp;"-"&amp;INDEX(WORLDCUP!$AS$6:$AS$97,MATCH(X7,WORLDCUP!$AI$6:$AI$97,0))</f>
        <v>2-6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1</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2</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3</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4</v>
      </c>
      <c r="J12" s="492" cm="1">
        <f t="array" ref="J12">INDEX(WORLDCUP!$AT$6:$AT$97,MATCH(L12,WORLDCUP!$AI$6:$AI$97,0))</f>
        <v>1</v>
      </c>
      <c r="K12" s="493" t="str" cm="1">
        <f t="array" ref="K12">INDEX(WORLDCUP!$AR$6:$AR$97,MATCH(L12,WORLDCUP!$AI$6:$AI$97,0))&amp;"-"&amp;INDEX(WORLDCUP!$AS$6:$AS$97,MATCH(L12,WORLDCUP!$AI$6:$AI$97,0))</f>
        <v>5-4</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2</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6</v>
      </c>
      <c r="W12" s="493" t="str" cm="1">
        <f t="array" ref="W12">INDEX(WORLDCUP!$AR$6:$AR$97,MATCH(X12,WORLDCUP!$AI$6:$AI$97,0))&amp;"-"&amp;INDEX(WORLDCUP!$AS$6:$AS$97,MATCH(X12,WORLDCUP!$AI$6:$AI$97,0))</f>
        <v>7-1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2</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2</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-6</v>
      </c>
      <c r="W13" s="512" t="str" cm="1">
        <f t="array" ref="W13">INDEX(WORLDCUP!$AR$6:$AR$97,MATCH(X13,WORLDCUP!$AI$6:$AI$97,0))&amp;"-"&amp;INDEX(WORLDCUP!$AS$6:$AS$97,MATCH(X13,WORLDCUP!$AI$6:$AI$97,0))</f>
        <v>1-7</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2</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5</v>
      </c>
      <c r="J14" s="144" cm="1">
        <f t="array" ref="J14">INDEX(WORLDCUP!$AT$6:$AT$97,MATCH(L14,WORLDCUP!$AI$6:$AI$97,0))</f>
        <v>1</v>
      </c>
      <c r="K14" s="512" t="str" cm="1">
        <f t="array" ref="K14">INDEX(WORLDCUP!$AR$6:$AR$97,MATCH(L14,WORLDCUP!$AI$6:$AI$97,0))&amp;"-"&amp;INDEX(WORLDCUP!$AS$6:$AS$97,MATCH(L14,WORLDCUP!$AI$6:$AI$97,0))</f>
        <v>4-3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2</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-2</v>
      </c>
      <c r="W14" s="512" t="str" cm="1">
        <f t="array" ref="W14">INDEX(WORLDCUP!$AR$6:$AR$97,MATCH(X14,WORLDCUP!$AI$6:$AI$97,0))&amp;"-"&amp;INDEX(WORLDCUP!$AS$6:$AS$97,MATCH(X14,WORLDCUP!$AI$6:$AI$97,0))</f>
        <v>3-5</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2</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7</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1</v>
      </c>
      <c r="Q15" s="114" cm="1">
        <f t="array" ref="Q15">IF(ISBLANK(INDEX(WORLDCUP!$AD$4:$AD$147,MATCH(M15,WORLDCUP!$AH$4:$AH$147,0))),"",INDEX(WORLDCUP!$AD$4:$AD$147,MATCH(M15,WORLDCUP!$AH$4:$AH$147,0)))</f>
        <v>2</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2</v>
      </c>
      <c r="W15" s="526" t="str" cm="1">
        <f t="array" ref="W15">INDEX(WORLDCUP!$AR$6:$AR$97,MATCH(X15,WORLDCUP!$AI$6:$AI$97,0))&amp;"-"&amp;INDEX(WORLDCUP!$AS$6:$AS$97,MATCH(X15,WORLDCUP!$AI$6:$AI$97,0))</f>
        <v>5-3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3</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0</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5</v>
      </c>
      <c r="K20" s="493" t="str" cm="1">
        <f t="array" ref="K20">INDEX(WORLDCUP!$AR$6:$AR$97,MATCH(L20,WORLDCUP!$AI$6:$AI$97,0))&amp;"-"&amp;INDEX(WORLDCUP!$AS$6:$AS$97,MATCH(L20,WORLDCUP!$AI$6:$AI$97,0))</f>
        <v>7-2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2</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8-2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2</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3</v>
      </c>
      <c r="K21" s="512" t="str" cm="1">
        <f t="array" ref="K21">INDEX(WORLDCUP!$AR$6:$AR$97,MATCH(L21,WORLDCUP!$AI$6:$AI$97,0))&amp;"-"&amp;INDEX(WORLDCUP!$AS$6:$AS$97,MATCH(L21,WORLDCUP!$AI$6:$AI$97,0))</f>
        <v>5-2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5-6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2</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1</v>
      </c>
      <c r="J22" s="144" cm="1">
        <f t="array" ref="J22">INDEX(WORLDCUP!$AT$6:$AT$97,MATCH(L22,WORLDCUP!$AI$6:$AI$97,0))</f>
        <v>-4</v>
      </c>
      <c r="K22" s="512" t="str" cm="1">
        <f t="array" ref="K22">INDEX(WORLDCUP!$AR$6:$AR$97,MATCH(L22,WORLDCUP!$AI$6:$AI$97,0))&amp;"-"&amp;INDEX(WORLDCUP!$AS$6:$AS$97,MATCH(L22,WORLDCUP!$AI$6:$AI$97,0))</f>
        <v>0-4</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1</v>
      </c>
      <c r="J23" s="525" cm="1">
        <f t="array" ref="J23">INDEX(WORLDCUP!$AT$6:$AT$97,MATCH(L23,WORLDCUP!$AI$6:$AI$97,0))</f>
        <v>-4</v>
      </c>
      <c r="K23" s="526" t="str" cm="1">
        <f t="array" ref="K23">INDEX(WORLDCUP!$AR$6:$AR$97,MATCH(L23,WORLDCUP!$AI$6:$AI$97,0))&amp;"-"&amp;INDEX(WORLDCUP!$AS$6:$AS$97,MATCH(L23,WORLDCUP!$AI$6:$AI$97,0))</f>
        <v>1-5</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2</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2</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3</v>
      </c>
      <c r="Q24" s="153" cm="1">
        <f t="array" ref="Q24">IF(ISBLANK(INDEX(WORLDCUP!$AD$4:$AD$147,MATCH(M24,WORLDCUP!$AH$4:$AH$147,0))),"",INDEX(WORLDCUP!$AD$4:$AD$147,MATCH(M24,WORLDCUP!$AH$4:$AH$147,0)))</f>
        <v>1</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0</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3</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3</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6</v>
      </c>
      <c r="J28" s="492" cm="1">
        <f t="array" ref="J28">INDEX(WORLDCUP!$AT$6:$AT$97,MATCH(L28,WORLDCUP!$AI$6:$AI$97,0))</f>
        <v>1</v>
      </c>
      <c r="K28" s="493" t="str" cm="1">
        <f t="array" ref="K28">INDEX(WORLDCUP!$AR$6:$AR$97,MATCH(L28,WORLDCUP!$AI$6:$AI$97,0))&amp;"-"&amp;INDEX(WORLDCUP!$AS$6:$AS$97,MATCH(L28,WORLDCUP!$AI$6:$AI$97,0))</f>
        <v>3-2</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1</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7</v>
      </c>
      <c r="W28" s="493" t="str" cm="1">
        <f t="array" ref="W28">INDEX(WORLDCUP!$AR$6:$AR$97,MATCH(X28,WORLDCUP!$AI$6:$AI$97,0))&amp;"-"&amp;INDEX(WORLDCUP!$AS$6:$AS$97,MATCH(X28,WORLDCUP!$AI$6:$AI$97,0))</f>
        <v>8-1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3</v>
      </c>
      <c r="J29" s="144" cm="1">
        <f t="array" ref="J29">INDEX(WORLDCUP!$AT$6:$AT$97,MATCH(L29,WORLDCUP!$AI$6:$AI$97,0))</f>
        <v>-1</v>
      </c>
      <c r="K29" s="512" t="str" cm="1">
        <f t="array" ref="K29">INDEX(WORLDCUP!$AR$6:$AR$97,MATCH(L29,WORLDCUP!$AI$6:$AI$97,0))&amp;"-"&amp;INDEX(WORLDCUP!$AS$6:$AS$97,MATCH(L29,WORLDCUP!$AI$6:$AI$97,0))</f>
        <v>3-4</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-4</v>
      </c>
      <c r="W29" s="512" t="str" cm="1">
        <f t="array" ref="W29">INDEX(WORLDCUP!$AR$6:$AR$97,MATCH(X29,WORLDCUP!$AI$6:$AI$97,0))&amp;"-"&amp;INDEX(WORLDCUP!$AS$6:$AS$97,MATCH(X29,WORLDCUP!$AI$6:$AI$97,0))</f>
        <v>2-6</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3</v>
      </c>
      <c r="E30" s="114" cm="1">
        <f t="array" ref="E30">IF(ISBLANK(INDEX(WORLDCUP!$AD$4:$AD$147,MATCH(A30,WORLDCUP!$AH$4:$AH$147,0))),"",INDEX(WORLDCUP!$AD$4:$AD$147,MATCH(A30,WORLDCUP!$AH$4:$AH$147,0)))</f>
        <v>2</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-4</v>
      </c>
      <c r="K30" s="512" t="str" cm="1">
        <f t="array" ref="K30">INDEX(WORLDCUP!$AR$6:$AR$97,MATCH(L30,WORLDCUP!$AI$6:$AI$97,0))&amp;"-"&amp;INDEX(WORLDCUP!$AS$6:$AS$97,MATCH(L30,WORLDCUP!$AI$6:$AI$97,0))</f>
        <v>2-6</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1</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1</v>
      </c>
      <c r="W30" s="512" t="str" cm="1">
        <f t="array" ref="W30">INDEX(WORLDCUP!$AR$6:$AR$97,MATCH(X30,WORLDCUP!$AI$6:$AI$97,0))&amp;"-"&amp;INDEX(WORLDCUP!$AS$6:$AS$97,MATCH(X30,WORLDCUP!$AI$6:$AI$97,0))</f>
        <v>4-3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1</v>
      </c>
      <c r="E31" s="114" cm="1">
        <f t="array" ref="E31">IF(ISBLANK(INDEX(WORLDCUP!$AD$4:$AD$147,MATCH(A31,WORLDCUP!$AH$4:$AH$147,0))),"",INDEX(WORLDCUP!$AD$4:$AD$147,MATCH(A31,WORLDCUP!$AH$4:$AH$147,0)))</f>
        <v>0</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9</v>
      </c>
      <c r="J31" s="525" cm="1">
        <f t="array" ref="J31">INDEX(WORLDCUP!$AT$6:$AT$97,MATCH(L31,WORLDCUP!$AI$6:$AI$97,0))</f>
        <v>4</v>
      </c>
      <c r="K31" s="526" t="str" cm="1">
        <f t="array" ref="K31">INDEX(WORLDCUP!$AR$6:$AR$97,MATCH(L31,WORLDCUP!$AI$6:$AI$97,0))&amp;"-"&amp;INDEX(WORLDCUP!$AS$6:$AS$97,MATCH(L31,WORLDCUP!$AI$6:$AI$97,0))</f>
        <v>7-3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1</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-4</v>
      </c>
      <c r="W31" s="526" t="str" cm="1">
        <f t="array" ref="W31">INDEX(WORLDCUP!$AR$6:$AR$97,MATCH(X31,WORLDCUP!$AI$6:$AI$97,0))&amp;"-"&amp;INDEX(WORLDCUP!$AS$6:$AS$97,MATCH(X31,WORLDCUP!$AI$6:$AI$97,0))</f>
        <v>1-5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3</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3</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6</v>
      </c>
      <c r="K36" s="493" t="str" cm="1">
        <f t="array" ref="K36">INDEX(WORLDCUP!$AR$6:$AR$97,MATCH(L36,WORLDCUP!$AI$6:$AI$97,0))&amp;"-"&amp;INDEX(WORLDCUP!$AS$6:$AS$97,MATCH(L36,WORLDCUP!$AI$6:$AI$97,0))</f>
        <v>7-1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1</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4</v>
      </c>
      <c r="W36" s="493" t="str" cm="1">
        <f t="array" ref="W36">INDEX(WORLDCUP!$AR$6:$AR$97,MATCH(X36,WORLDCUP!$AI$6:$AI$97,0))&amp;"-"&amp;INDEX(WORLDCUP!$AS$6:$AS$97,MATCH(X36,WORLDCUP!$AI$6:$AI$97,0))</f>
        <v>6-2</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0</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-7</v>
      </c>
      <c r="K37" s="512" t="str" cm="1">
        <f t="array" ref="K37">INDEX(WORLDCUP!$AR$6:$AR$97,MATCH(L37,WORLDCUP!$AI$6:$AI$97,0))&amp;"-"&amp;INDEX(WORLDCUP!$AS$6:$AS$97,MATCH(L37,WORLDCUP!$AI$6:$AI$97,0))</f>
        <v>1-8</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2</v>
      </c>
      <c r="Q37" s="114" cm="1">
        <f t="array" ref="Q37">IF(ISBLANK(INDEX(WORLDCUP!$AD$4:$AD$147,MATCH(M37,WORLDCUP!$AH$4:$AH$147,0))),"",INDEX(WORLDCUP!$AD$4:$AD$147,MATCH(M37,WORLDCUP!$AH$4:$AH$147,0)))</f>
        <v>1</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1</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2</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-2</v>
      </c>
      <c r="K38" s="512" t="str" cm="1">
        <f t="array" ref="K38">INDEX(WORLDCUP!$AR$6:$AR$97,MATCH(L38,WORLDCUP!$AI$6:$AI$97,0))&amp;"-"&amp;INDEX(WORLDCUP!$AS$6:$AS$97,MATCH(L38,WORLDCUP!$AI$6:$AI$97,0))</f>
        <v>4-6</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2</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1</v>
      </c>
      <c r="V38" s="144" cm="1">
        <f t="array" ref="V38">INDEX(WORLDCUP!$AT$6:$AT$97,MATCH(X38,WORLDCUP!$AI$6:$AI$97,0))</f>
        <v>-2</v>
      </c>
      <c r="W38" s="512" t="str" cm="1">
        <f t="array" ref="W38">INDEX(WORLDCUP!$AR$6:$AR$97,MATCH(X38,WORLDCUP!$AI$6:$AI$97,0))&amp;"-"&amp;INDEX(WORLDCUP!$AS$6:$AS$97,MATCH(X38,WORLDCUP!$AI$6:$AI$97,0))</f>
        <v>1-3</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1</v>
      </c>
      <c r="E39" s="114" cm="1">
        <f t="array" ref="E39">IF(ISBLANK(INDEX(WORLDCUP!$AD$4:$AD$147,MATCH(A39,WORLDCUP!$AH$4:$AH$147,0))),"",INDEX(WORLDCUP!$AD$4:$AD$147,MATCH(A39,WORLDCUP!$AH$4:$AH$147,0)))</f>
        <v>3</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3</v>
      </c>
      <c r="K39" s="526" t="str" cm="1">
        <f t="array" ref="K39">INDEX(WORLDCUP!$AR$6:$AR$97,MATCH(L39,WORLDCUP!$AI$6:$AI$97,0))&amp;"-"&amp;INDEX(WORLDCUP!$AS$6:$AS$97,MATCH(L39,WORLDCUP!$AI$6:$AI$97,0))</f>
        <v>6-3</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2</v>
      </c>
      <c r="W39" s="526" t="str" cm="1">
        <f t="array" ref="W39">INDEX(WORLDCUP!$AR$6:$AR$97,MATCH(X39,WORLDCUP!$AI$6:$AI$97,0))&amp;"-"&amp;INDEX(WORLDCUP!$AS$6:$AS$97,MATCH(X39,WORLDCUP!$AI$6:$AI$97,0))</f>
        <v>4-2</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0</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2</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4</v>
      </c>
      <c r="K44" s="493" t="str" cm="1">
        <f t="array" ref="K44">INDEX(WORLDCUP!$AR$6:$AR$97,MATCH(L44,WORLDCUP!$AI$6:$AI$97,0))&amp;"-"&amp;INDEX(WORLDCUP!$AS$6:$AS$97,MATCH(L44,WORLDCUP!$AI$6:$AI$97,0))</f>
        <v>7-3</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1</v>
      </c>
      <c r="Q44" s="114" cm="1">
        <f t="array" ref="Q44">IF(ISBLANK(INDEX(WORLDCUP!$AD$4:$AD$147,MATCH(M44,WORLDCUP!$AH$4:$AH$147,0))),"",INDEX(WORLDCUP!$AD$4:$AD$147,MATCH(M44,WORLDCUP!$AH$4:$AH$147,0)))</f>
        <v>0</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1</v>
      </c>
      <c r="K45" s="512" t="str" cm="1">
        <f t="array" ref="K45">INDEX(WORLDCUP!$AR$6:$AR$97,MATCH(L45,WORLDCUP!$AI$6:$AI$97,0))&amp;"-"&amp;INDEX(WORLDCUP!$AS$6:$AS$97,MATCH(L45,WORLDCUP!$AI$6:$AI$97,0))</f>
        <v>4-3</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1</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6</v>
      </c>
      <c r="V45" s="144" cm="1">
        <f t="array" ref="V45">INDEX(WORLDCUP!$AT$6:$AT$97,MATCH(X45,WORLDCUP!$AI$6:$AI$97,0))</f>
        <v>2</v>
      </c>
      <c r="W45" s="512" t="str" cm="1">
        <f t="array" ref="W45">INDEX(WORLDCUP!$AR$6:$AR$97,MATCH(X45,WORLDCUP!$AI$6:$AI$97,0))&amp;"-"&amp;INDEX(WORLDCUP!$AS$6:$AS$97,MATCH(X45,WORLDCUP!$AI$6:$AI$97,0))</f>
        <v>5-3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2</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4-3</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3</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3</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1</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-6</v>
      </c>
      <c r="K47" s="526" t="str" cm="1">
        <f t="array" ref="K47">INDEX(WORLDCUP!$AR$6:$AR$97,MATCH(L47,WORLDCUP!$AI$6:$AI$97,0))&amp;"-"&amp;INDEX(WORLDCUP!$AS$6:$AS$97,MATCH(L47,WORLDCUP!$AI$6:$AI$97,0))</f>
        <v>1-7</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-5</v>
      </c>
      <c r="W47" s="526" t="str" cm="1">
        <f t="array" ref="W47">INDEX(WORLDCUP!$AR$6:$AR$97,MATCH(X47,WORLDCUP!$AI$6:$AI$97,0))&amp;"-"&amp;INDEX(WORLDCUP!$AS$6:$AS$97,MATCH(X47,WORLDCUP!$AI$6:$AI$97,0))</f>
        <v>1-6</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1</v>
      </c>
      <c r="E48" s="153" cm="1">
        <f t="array" ref="E48">IF(ISBLANK(INDEX(WORLDCUP!$AD$4:$AD$147,MATCH(A48,WORLDCUP!$AH$4:$AH$147,0))),"",INDEX(WORLDCUP!$AD$4:$AD$147,MATCH(A48,WORLDCUP!$AH$4:$AH$147,0)))</f>
        <v>3</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Home</vt:lpstr>
      <vt:lpstr>16</vt:lpstr>
      <vt:lpstr>8</vt:lpstr>
      <vt:lpstr>4</vt:lpstr>
      <vt:lpstr>2</vt:lpstr>
      <vt:lpstr>1</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2026-07-19T03:05:20Z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2026-06-28T18:19:12Z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27e0a6cc-abb0-4749-9485-4003351133e7</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
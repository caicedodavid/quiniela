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ome" sheetId="1" r:id="rId5"/>
    <sheet name="WORLDCUP" sheetId="2" r:id="rId6"/>
    <sheet name="Pool" sheetId="3" r:id="rId7"/>
    <sheet name="Fixture" sheetId="4" r:id="rId8"/>
    <sheet name="Credits"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<sst xmlns="http://schemas.openxmlformats.org/spreadsheetml/2006/main" uniqueCount="1258">
  <si>
    <t>XXIII Mundial USA/MEX/CAN 2026</t>
  </si>
  <si>
    <t>📋 Selecciona idioma</t>
  </si>
  <si>
    <t>Español</t>
  </si>
  <si>
    <r>
      <rPr>
        <sz val="14"/>
        <color indexed="9"/>
        <rFont val="Arial"/>
      </rPr>
      <t>Introducir resultados</t>
    </r>
  </si>
  <si>
    <t>🕒 Selecciona horario</t>
  </si>
  <si>
    <t>UTC -4</t>
  </si>
  <si>
    <r>
      <rPr>
        <sz val="14"/>
        <color indexed="9"/>
        <rFont val="Arial"/>
      </rPr>
      <t>Fixture</t>
    </r>
  </si>
  <si>
    <t>✍️ Escribe tu nombre</t>
  </si>
  <si>
    <t>Nombre</t>
  </si>
  <si>
    <r>
      <rPr>
        <sz val="14"/>
        <color indexed="9"/>
        <rFont val="Arial"/>
      </rPr>
      <t>Help</t>
    </r>
  </si>
  <si>
    <t>Si quieres organizar una porra (quiniela) con tu grupo puedes descargar el archivo de adminsitrador desde el enlace de abajo</t>
  </si>
  <si>
    <t>▼ Descargar Excel Administrador Porra ▼</t>
  </si>
  <si>
    <r>
      <rPr>
        <sz val="14"/>
        <color indexed="23"/>
        <rFont val="Arial"/>
      </rPr>
      <t>Video►Tutorial</t>
    </r>
  </si>
  <si>
    <t xml:space="preserve"> </t>
  </si>
  <si>
    <t>Share:</t>
  </si>
  <si>
    <r>
      <rPr>
        <b val="1"/>
        <sz val="12"/>
        <color indexed="12"/>
        <rFont val="Arial"/>
      </rPr>
      <t>Whatsapp</t>
    </r>
  </si>
  <si>
    <r>
      <rPr>
        <b val="1"/>
        <sz val="12"/>
        <color indexed="12"/>
        <rFont val="Arial"/>
      </rPr>
      <t>Telegram</t>
    </r>
  </si>
  <si>
    <r>
      <rPr>
        <b val="1"/>
        <sz val="12"/>
        <color indexed="12"/>
        <rFont val="Arial"/>
      </rPr>
      <t>Mail</t>
    </r>
  </si>
  <si>
    <r>
      <rPr>
        <b val="1"/>
        <sz val="12"/>
        <color indexed="12"/>
        <rFont val="Arial"/>
      </rPr>
      <t>X</t>
    </r>
  </si>
  <si>
    <r>
      <rPr>
        <b val="1"/>
        <sz val="12"/>
        <color indexed="12"/>
        <rFont val="Arial"/>
      </rPr>
      <t>in</t>
    </r>
  </si>
  <si>
    <t>© Miguel Angel Tejero. 2026</t>
  </si>
  <si>
    <r>
      <rPr>
        <b val="1"/>
        <sz val="10"/>
        <color indexed="29"/>
        <rFont val="Verdana"/>
      </rPr>
      <t>Donar</t>
    </r>
  </si>
  <si>
    <t>Horarios!$P$3</t>
  </si>
  <si>
    <t>WINNER</t>
  </si>
  <si>
    <t>Empate1L</t>
  </si>
  <si>
    <t>Empate1V</t>
  </si>
  <si>
    <t>Empate2L</t>
  </si>
  <si>
    <t>Empate2V</t>
  </si>
  <si>
    <t>Empate3L</t>
  </si>
  <si>
    <t>Empate3V</t>
  </si>
  <si>
    <t>Empate4L</t>
  </si>
  <si>
    <t>Empate4V</t>
  </si>
  <si>
    <t>Empate5L</t>
  </si>
  <si>
    <t>Empate5V</t>
  </si>
  <si>
    <t>Empate6L</t>
  </si>
  <si>
    <t>Empate6V</t>
  </si>
  <si>
    <t>Fecha</t>
  </si>
  <si>
    <t>Hora</t>
  </si>
  <si>
    <t>Jor.</t>
  </si>
  <si>
    <t>Casa</t>
  </si>
  <si>
    <t>Gol</t>
  </si>
  <si>
    <t>Fuera</t>
  </si>
  <si>
    <t>Grupo</t>
  </si>
  <si>
    <t>¡EMPATE! Puedes seleccionar el orden de los empatados.</t>
  </si>
  <si>
    <t>No</t>
  </si>
  <si>
    <t>NombreEquipo</t>
  </si>
  <si>
    <t>A</t>
  </si>
  <si>
    <t>Local</t>
  </si>
  <si>
    <r>
      <rPr>
        <sz val="11"/>
        <color indexed="12"/>
        <rFont val="Calibri"/>
      </rPr>
      <t>P.1 (4)</t>
    </r>
  </si>
  <si>
    <t>J1</t>
  </si>
  <si>
    <r>
      <rPr>
        <sz val="11"/>
        <color indexed="15"/>
        <rFont val="Calibri"/>
      </rPr>
      <t>México</t>
    </r>
  </si>
  <si>
    <r>
      <rPr>
        <sz val="11"/>
        <color indexed="15"/>
        <rFont val="Calibri"/>
      </rPr>
      <t>Sudáfrica</t>
    </r>
  </si>
  <si>
    <r>
      <rPr>
        <sz val="11"/>
        <color indexed="15"/>
        <rFont val="Cambria"/>
      </rPr>
      <t>Grupo A</t>
    </r>
  </si>
  <si>
    <r>
      <rPr>
        <sz val="8"/>
        <color indexed="15"/>
        <rFont val="Calibri"/>
      </rPr>
      <t>¡EMPATE! Puedes seleccionar el orden de los empatados.</t>
    </r>
  </si>
  <si>
    <t>Grupos: bombo; terceros: orden alfa</t>
  </si>
  <si>
    <t>México</t>
  </si>
  <si>
    <r>
      <rPr>
        <sz val="10"/>
        <color indexed="15"/>
        <rFont val="Calibri"/>
      </rPr>
      <t>J1</t>
    </r>
  </si>
  <si>
    <r>
      <rPr>
        <sz val="11"/>
        <color indexed="15"/>
        <rFont val="Calibri"/>
      </rPr>
      <t>Corea del Sur</t>
    </r>
  </si>
  <si>
    <r>
      <rPr>
        <sz val="11"/>
        <color indexed="15"/>
        <rFont val="Calibri"/>
      </rPr>
      <t>República Checa</t>
    </r>
  </si>
  <si>
    <t>Pos</t>
  </si>
  <si>
    <t>Selección</t>
  </si>
  <si>
    <t>Pts</t>
  </si>
  <si>
    <t>J</t>
  </si>
  <si>
    <t>G</t>
  </si>
  <si>
    <t>E</t>
  </si>
  <si>
    <t>P</t>
  </si>
  <si>
    <t>GF</t>
  </si>
  <si>
    <t>GC</t>
  </si>
  <si>
    <t>DG</t>
  </si>
  <si>
    <r>
      <rPr>
        <sz val="10"/>
        <color indexed="15"/>
        <rFont val="Cambria"/>
      </rPr>
      <t>Selección</t>
    </r>
  </si>
  <si>
    <t>Puntos penalizados</t>
  </si>
  <si>
    <r>
      <rPr>
        <sz val="11"/>
        <color indexed="12"/>
        <rFont val="Calibri"/>
      </rPr>
      <t>Pts</t>
    </r>
  </si>
  <si>
    <r>
      <rPr>
        <sz val="11"/>
        <color indexed="12"/>
        <rFont val="Calibri"/>
      </rPr>
      <t>J</t>
    </r>
  </si>
  <si>
    <r>
      <rPr>
        <sz val="11"/>
        <color indexed="12"/>
        <rFont val="Calibri"/>
      </rPr>
      <t>G</t>
    </r>
  </si>
  <si>
    <r>
      <rPr>
        <sz val="11"/>
        <color indexed="12"/>
        <rFont val="Calibri"/>
      </rPr>
      <t>E</t>
    </r>
  </si>
  <si>
    <r>
      <rPr>
        <sz val="11"/>
        <color indexed="12"/>
        <rFont val="Calibri"/>
      </rPr>
      <t>P</t>
    </r>
  </si>
  <si>
    <r>
      <rPr>
        <sz val="11"/>
        <color indexed="12"/>
        <rFont val="Calibri"/>
      </rPr>
      <t>GF</t>
    </r>
  </si>
  <si>
    <r>
      <rPr>
        <sz val="11"/>
        <color indexed="12"/>
        <rFont val="Calibri"/>
      </rPr>
      <t>GC</t>
    </r>
  </si>
  <si>
    <r>
      <rPr>
        <sz val="11"/>
        <color indexed="12"/>
        <rFont val="Calibri"/>
      </rPr>
      <t>DG</t>
    </r>
  </si>
  <si>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</si>
  <si>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</si>
  <si>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</si>
  <si>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</si>
  <si>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</si>
  <si>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</si>
  <si>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</si>
  <si>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</si>
  <si>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</si>
  <si>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</si>
  <si>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</si>
  <si>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</si>
  <si>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</si>
  <si>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</si>
  <si>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</si>
  <si>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</si>
  <si>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</si>
  <si>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</si>
  <si>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</si>
  <si>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</si>
  <si>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</si>
  <si>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</si>
  <si>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</si>
  <si>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</si>
  <si>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</si>
  <si>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</si>
  <si>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</si>
  <si>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</si>
  <si>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</si>
  <si>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</si>
  <si>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</si>
  <si>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</si>
  <si>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</si>
  <si>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</si>
  <si>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Posicion8</t>
  </si>
  <si>
    <t>Empate8</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</si>
  <si>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</si>
  <si>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</si>
  <si>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</si>
  <si>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</si>
  <si>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</si>
  <si>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</si>
  <si>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</si>
  <si>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</si>
  <si>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</si>
  <si>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</si>
  <si>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</si>
  <si>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</si>
  <si>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</si>
  <si>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</si>
  <si>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Sudáfrica</t>
  </si>
  <si>
    <t>Visitante</t>
  </si>
  <si>
    <t>J2</t>
  </si>
  <si>
    <r>
      <rPr>
        <sz val="11"/>
        <color indexed="9"/>
        <rFont val="Calibri"/>
      </rPr>
      <t>1</t>
    </r>
    <r>
      <rPr>
        <sz val="11"/>
        <color indexed="12"/>
        <rFont val="Calibri"/>
      </rPr>
      <t>A</t>
    </r>
  </si>
  <si>
    <r>
      <rPr>
        <b val="1"/>
        <sz val="10"/>
        <color indexed="9"/>
        <rFont val="Calibri"/>
      </rPr>
      <t>México</t>
    </r>
  </si>
  <si>
    <r>
      <rPr>
        <sz val="11"/>
        <color indexed="12"/>
        <rFont val="Calibri"/>
      </rPr>
      <t>1A</t>
    </r>
  </si>
  <si>
    <t>P.1 (4)</t>
  </si>
  <si>
    <t>1.4</t>
  </si>
  <si>
    <t>1A</t>
  </si>
  <si>
    <r>
      <rPr>
        <sz val="11"/>
        <color indexed="12"/>
        <rFont val="Calibri"/>
      </rPr>
      <t>México</t>
    </r>
  </si>
  <si>
    <t>Corea del Sur</t>
  </si>
  <si>
    <r>
      <rPr>
        <sz val="10"/>
        <color indexed="15"/>
        <rFont val="Calibri"/>
      </rPr>
      <t>J2</t>
    </r>
  </si>
  <si>
    <r>
      <rPr>
        <sz val="11"/>
        <color indexed="9"/>
        <rFont val="Calibri"/>
      </rPr>
      <t>2</t>
    </r>
    <r>
      <rPr>
        <sz val="11"/>
        <color indexed="12"/>
        <rFont val="Calibri"/>
      </rPr>
      <t>A</t>
    </r>
  </si>
  <si>
    <r>
      <rPr>
        <b val="1"/>
        <sz val="10"/>
        <color indexed="9"/>
        <rFont val="Calibri"/>
      </rPr>
      <t>Sudáfrica</t>
    </r>
  </si>
  <si>
    <r>
      <rPr>
        <sz val="11"/>
        <color indexed="12"/>
        <rFont val="Calibri"/>
      </rPr>
      <t>2A</t>
    </r>
  </si>
  <si>
    <t>2A</t>
  </si>
  <si>
    <r>
      <rPr>
        <sz val="11"/>
        <color indexed="12"/>
        <rFont val="Calibri"/>
      </rPr>
      <t>Sudáfrica</t>
    </r>
  </si>
  <si>
    <t>República Checa</t>
  </si>
  <si>
    <t>J3</t>
  </si>
  <si>
    <r>
      <rPr>
        <sz val="11"/>
        <color indexed="9"/>
        <rFont val="Calibri"/>
      </rPr>
      <t>3</t>
    </r>
    <r>
      <rPr>
        <sz val="11"/>
        <color indexed="12"/>
        <rFont val="Calibri"/>
      </rPr>
      <t>A</t>
    </r>
  </si>
  <si>
    <r>
      <rPr>
        <b val="1"/>
        <sz val="10"/>
        <color indexed="9"/>
        <rFont val="Calibri"/>
      </rPr>
      <t>Corea del Sur</t>
    </r>
  </si>
  <si>
    <r>
      <rPr>
        <sz val="11"/>
        <color indexed="12"/>
        <rFont val="Calibri"/>
      </rPr>
      <t>3A</t>
    </r>
  </si>
  <si>
    <t>3A</t>
  </si>
  <si>
    <r>
      <rPr>
        <sz val="11"/>
        <color indexed="12"/>
        <rFont val="Calibri"/>
      </rPr>
      <t>Corea del Sur</t>
    </r>
  </si>
  <si>
    <r>
      <rPr>
        <sz val="10"/>
        <color indexed="15"/>
        <rFont val="Calibri"/>
      </rPr>
      <t>J3</t>
    </r>
  </si>
  <si>
    <r>
      <rPr>
        <sz val="11"/>
        <color indexed="9"/>
        <rFont val="Calibri"/>
      </rPr>
      <t>4</t>
    </r>
    <r>
      <rPr>
        <sz val="11"/>
        <color indexed="12"/>
        <rFont val="Calibri"/>
      </rPr>
      <t>A</t>
    </r>
  </si>
  <si>
    <r>
      <rPr>
        <b val="1"/>
        <sz val="10"/>
        <color indexed="9"/>
        <rFont val="Calibri"/>
      </rPr>
      <t>República Checa</t>
    </r>
  </si>
  <si>
    <r>
      <rPr>
        <sz val="11"/>
        <color indexed="12"/>
        <rFont val="Calibri"/>
      </rPr>
      <t>4A</t>
    </r>
  </si>
  <si>
    <t>4A</t>
  </si>
  <si>
    <r>
      <rPr>
        <sz val="11"/>
        <color indexed="12"/>
        <rFont val="Calibri"/>
      </rPr>
      <t>República Checa</t>
    </r>
  </si>
  <si>
    <t>B</t>
  </si>
  <si>
    <t>Canadá</t>
  </si>
  <si>
    <r>
      <rPr>
        <sz val="11"/>
        <color indexed="12"/>
        <rFont val="Calibri"/>
      </rPr>
      <t>1B</t>
    </r>
  </si>
  <si>
    <t>1B</t>
  </si>
  <si>
    <r>
      <rPr>
        <sz val="11"/>
        <color indexed="12"/>
        <rFont val="Calibri"/>
      </rPr>
      <t>Canadá</t>
    </r>
  </si>
  <si>
    <r>
      <rPr>
        <sz val="11"/>
        <color indexed="15"/>
        <rFont val="Cambria"/>
      </rPr>
      <t>Fecha</t>
    </r>
  </si>
  <si>
    <r>
      <rPr>
        <sz val="11"/>
        <color indexed="15"/>
        <rFont val="Cambria"/>
      </rPr>
      <t>Hora</t>
    </r>
  </si>
  <si>
    <r>
      <rPr>
        <sz val="11"/>
        <color indexed="15"/>
        <rFont val="Cambria"/>
      </rPr>
      <t>Jor.</t>
    </r>
  </si>
  <si>
    <r>
      <rPr>
        <sz val="11"/>
        <color indexed="15"/>
        <rFont val="Cambria"/>
      </rPr>
      <t>Casa</t>
    </r>
  </si>
  <si>
    <r>
      <rPr>
        <sz val="11"/>
        <color indexed="15"/>
        <rFont val="Cambria"/>
      </rPr>
      <t>Gol</t>
    </r>
  </si>
  <si>
    <r>
      <rPr>
        <sz val="11"/>
        <color indexed="15"/>
        <rFont val="Cambria"/>
      </rPr>
      <t>Fuera</t>
    </r>
  </si>
  <si>
    <t>Bosnia y Herzegovina</t>
  </si>
  <si>
    <r>
      <rPr>
        <sz val="11"/>
        <color indexed="12"/>
        <rFont val="Calibri"/>
      </rPr>
      <t>2B</t>
    </r>
  </si>
  <si>
    <t>2B</t>
  </si>
  <si>
    <r>
      <rPr>
        <sz val="11"/>
        <color indexed="12"/>
        <rFont val="Calibri"/>
      </rPr>
      <t>Bosnia y Herzegovina</t>
    </r>
  </si>
  <si>
    <r>
      <rPr>
        <sz val="11"/>
        <color indexed="15"/>
        <rFont val="Calibri"/>
      </rPr>
      <t>Canadá</t>
    </r>
  </si>
  <si>
    <r>
      <rPr>
        <sz val="11"/>
        <color indexed="15"/>
        <rFont val="Calibri"/>
      </rPr>
      <t>Bosnia y Herzegovina</t>
    </r>
  </si>
  <si>
    <r>
      <rPr>
        <sz val="11"/>
        <color indexed="15"/>
        <rFont val="Cambria"/>
      </rPr>
      <t>Grupo B</t>
    </r>
  </si>
  <si>
    <t>Catar</t>
  </si>
  <si>
    <r>
      <rPr>
        <sz val="11"/>
        <color indexed="12"/>
        <rFont val="Calibri"/>
      </rPr>
      <t>3B</t>
    </r>
  </si>
  <si>
    <t>3B</t>
  </si>
  <si>
    <r>
      <rPr>
        <sz val="11"/>
        <color indexed="12"/>
        <rFont val="Calibri"/>
      </rPr>
      <t>Catar</t>
    </r>
  </si>
  <si>
    <t>Empate</t>
  </si>
  <si>
    <r>
      <rPr>
        <sz val="11"/>
        <color indexed="15"/>
        <rFont val="Calibri"/>
      </rPr>
      <t>Catar</t>
    </r>
  </si>
  <si>
    <r>
      <rPr>
        <sz val="11"/>
        <color indexed="15"/>
        <rFont val="Calibri"/>
      </rPr>
      <t>Suiza</t>
    </r>
  </si>
  <si>
    <r>
      <rPr>
        <sz val="11"/>
        <color indexed="15"/>
        <rFont val="Cambria"/>
      </rPr>
      <t>Pos</t>
    </r>
  </si>
  <si>
    <r>
      <rPr>
        <sz val="11"/>
        <color indexed="15"/>
        <rFont val="Cambria"/>
      </rPr>
      <t>Selección</t>
    </r>
  </si>
  <si>
    <r>
      <rPr>
        <sz val="11"/>
        <color indexed="15"/>
        <rFont val="Cambria"/>
      </rPr>
      <t>Pts</t>
    </r>
  </si>
  <si>
    <r>
      <rPr>
        <sz val="11"/>
        <color indexed="15"/>
        <rFont val="Cambria"/>
      </rPr>
      <t>J</t>
    </r>
  </si>
  <si>
    <r>
      <rPr>
        <sz val="11"/>
        <color indexed="15"/>
        <rFont val="Cambria"/>
      </rPr>
      <t>G</t>
    </r>
  </si>
  <si>
    <r>
      <rPr>
        <sz val="11"/>
        <color indexed="15"/>
        <rFont val="Cambria"/>
      </rPr>
      <t>E</t>
    </r>
  </si>
  <si>
    <r>
      <rPr>
        <sz val="11"/>
        <color indexed="15"/>
        <rFont val="Cambria"/>
      </rPr>
      <t>P</t>
    </r>
  </si>
  <si>
    <r>
      <rPr>
        <sz val="11"/>
        <color indexed="15"/>
        <rFont val="Cambria"/>
      </rPr>
      <t>GF</t>
    </r>
  </si>
  <si>
    <r>
      <rPr>
        <sz val="11"/>
        <color indexed="15"/>
        <rFont val="Cambria"/>
      </rPr>
      <t>GC</t>
    </r>
  </si>
  <si>
    <r>
      <rPr>
        <sz val="11"/>
        <color indexed="15"/>
        <rFont val="Cambria"/>
      </rPr>
      <t>DG</t>
    </r>
  </si>
  <si>
    <t>Suiza</t>
  </si>
  <si>
    <r>
      <rPr>
        <sz val="11"/>
        <color indexed="12"/>
        <rFont val="Calibri"/>
      </rPr>
      <t>4B</t>
    </r>
  </si>
  <si>
    <t>4B</t>
  </si>
  <si>
    <r>
      <rPr>
        <sz val="11"/>
        <color indexed="12"/>
        <rFont val="Calibri"/>
      </rPr>
      <t>Suiza</t>
    </r>
  </si>
  <si>
    <r>
      <rPr>
        <sz val="11"/>
        <color indexed="9"/>
        <rFont val="Calibri"/>
      </rPr>
      <t>1</t>
    </r>
    <r>
      <rPr>
        <sz val="11"/>
        <color indexed="12"/>
        <rFont val="Calibri"/>
      </rPr>
      <t>B</t>
    </r>
  </si>
  <si>
    <r>
      <rPr>
        <b val="1"/>
        <sz val="10"/>
        <color indexed="9"/>
        <rFont val="Calibri"/>
      </rPr>
      <t>Canadá</t>
    </r>
  </si>
  <si>
    <t>C</t>
  </si>
  <si>
    <t>Brasil</t>
  </si>
  <si>
    <r>
      <rPr>
        <sz val="11"/>
        <color indexed="12"/>
        <rFont val="Calibri"/>
      </rPr>
      <t>1C</t>
    </r>
  </si>
  <si>
    <t>1C</t>
  </si>
  <si>
    <r>
      <rPr>
        <sz val="11"/>
        <color indexed="12"/>
        <rFont val="Calibri"/>
      </rPr>
      <t>Brasil</t>
    </r>
  </si>
  <si>
    <r>
      <rPr>
        <sz val="11"/>
        <color indexed="9"/>
        <rFont val="Calibri"/>
      </rPr>
      <t>2</t>
    </r>
    <r>
      <rPr>
        <sz val="11"/>
        <color indexed="12"/>
        <rFont val="Calibri"/>
      </rPr>
      <t>B</t>
    </r>
  </si>
  <si>
    <r>
      <rPr>
        <b val="1"/>
        <sz val="10"/>
        <color indexed="9"/>
        <rFont val="Calibri"/>
      </rPr>
      <t>Bosnia y Herzegovina</t>
    </r>
  </si>
  <si>
    <t>Marruecos</t>
  </si>
  <si>
    <r>
      <rPr>
        <sz val="11"/>
        <color indexed="12"/>
        <rFont val="Calibri"/>
      </rPr>
      <t>2C</t>
    </r>
  </si>
  <si>
    <t>2C</t>
  </si>
  <si>
    <r>
      <rPr>
        <sz val="11"/>
        <color indexed="12"/>
        <rFont val="Calibri"/>
      </rPr>
      <t>Marruecos</t>
    </r>
  </si>
  <si>
    <r>
      <rPr>
        <sz val="11"/>
        <color indexed="9"/>
        <rFont val="Calibri"/>
      </rPr>
      <t>3</t>
    </r>
    <r>
      <rPr>
        <sz val="11"/>
        <color indexed="12"/>
        <rFont val="Calibri"/>
      </rPr>
      <t>B</t>
    </r>
  </si>
  <si>
    <r>
      <rPr>
        <b val="1"/>
        <sz val="10"/>
        <color indexed="9"/>
        <rFont val="Calibri"/>
      </rPr>
      <t>Catar</t>
    </r>
  </si>
  <si>
    <t>Haití</t>
  </si>
  <si>
    <r>
      <rPr>
        <sz val="11"/>
        <color indexed="12"/>
        <rFont val="Calibri"/>
      </rPr>
      <t>3C</t>
    </r>
  </si>
  <si>
    <t>3C</t>
  </si>
  <si>
    <r>
      <rPr>
        <sz val="11"/>
        <color indexed="12"/>
        <rFont val="Calibri"/>
      </rPr>
      <t>Haití</t>
    </r>
  </si>
  <si>
    <r>
      <rPr>
        <sz val="11"/>
        <color indexed="9"/>
        <rFont val="Calibri"/>
      </rPr>
      <t>4</t>
    </r>
    <r>
      <rPr>
        <sz val="11"/>
        <color indexed="12"/>
        <rFont val="Calibri"/>
      </rPr>
      <t>B</t>
    </r>
  </si>
  <si>
    <r>
      <rPr>
        <b val="1"/>
        <sz val="10"/>
        <color indexed="9"/>
        <rFont val="Calibri"/>
      </rPr>
      <t>Suiza</t>
    </r>
  </si>
  <si>
    <t>Escocia</t>
  </si>
  <si>
    <r>
      <rPr>
        <sz val="11"/>
        <color indexed="12"/>
        <rFont val="Calibri"/>
      </rPr>
      <t>4C</t>
    </r>
  </si>
  <si>
    <t>4C</t>
  </si>
  <si>
    <r>
      <rPr>
        <sz val="11"/>
        <color indexed="12"/>
        <rFont val="Calibri"/>
      </rPr>
      <t>Escocia</t>
    </r>
  </si>
  <si>
    <t>D</t>
  </si>
  <si>
    <t>Estados Unidos</t>
  </si>
  <si>
    <r>
      <rPr>
        <sz val="11"/>
        <color indexed="12"/>
        <rFont val="Calibri"/>
      </rPr>
      <t>1D</t>
    </r>
  </si>
  <si>
    <t>1D</t>
  </si>
  <si>
    <r>
      <rPr>
        <sz val="11"/>
        <color indexed="12"/>
        <rFont val="Calibri"/>
      </rPr>
      <t>Estados Unidos</t>
    </r>
  </si>
  <si>
    <t>Paraguay</t>
  </si>
  <si>
    <r>
      <rPr>
        <sz val="11"/>
        <color indexed="12"/>
        <rFont val="Calibri"/>
      </rPr>
      <t>2D</t>
    </r>
  </si>
  <si>
    <t>2D</t>
  </si>
  <si>
    <r>
      <rPr>
        <sz val="11"/>
        <color indexed="12"/>
        <rFont val="Calibri"/>
      </rPr>
      <t>Paraguay</t>
    </r>
  </si>
  <si>
    <r>
      <rPr>
        <sz val="11"/>
        <color indexed="15"/>
        <rFont val="Calibri"/>
      </rPr>
      <t>Brasil</t>
    </r>
  </si>
  <si>
    <r>
      <rPr>
        <sz val="11"/>
        <color indexed="15"/>
        <rFont val="Calibri"/>
      </rPr>
      <t>Marruecos</t>
    </r>
  </si>
  <si>
    <r>
      <rPr>
        <sz val="11"/>
        <color indexed="15"/>
        <rFont val="Cambria"/>
      </rPr>
      <t>Grupo C</t>
    </r>
  </si>
  <si>
    <t>Australia</t>
  </si>
  <si>
    <r>
      <rPr>
        <sz val="11"/>
        <color indexed="12"/>
        <rFont val="Calibri"/>
      </rPr>
      <t>3D</t>
    </r>
  </si>
  <si>
    <t>3D</t>
  </si>
  <si>
    <r>
      <rPr>
        <sz val="11"/>
        <color indexed="12"/>
        <rFont val="Calibri"/>
      </rPr>
      <t>Australia</t>
    </r>
  </si>
  <si>
    <r>
      <rPr>
        <sz val="11"/>
        <color indexed="15"/>
        <rFont val="Calibri"/>
      </rPr>
      <t>Haití</t>
    </r>
  </si>
  <si>
    <r>
      <rPr>
        <sz val="11"/>
        <color indexed="15"/>
        <rFont val="Calibri"/>
      </rPr>
      <t>Escocia</t>
    </r>
  </si>
  <si>
    <t>Turquía</t>
  </si>
  <si>
    <r>
      <rPr>
        <sz val="11"/>
        <color indexed="12"/>
        <rFont val="Calibri"/>
      </rPr>
      <t>4D</t>
    </r>
  </si>
  <si>
    <t>4D</t>
  </si>
  <si>
    <r>
      <rPr>
        <sz val="11"/>
        <color indexed="12"/>
        <rFont val="Calibri"/>
      </rPr>
      <t>Turquía</t>
    </r>
  </si>
  <si>
    <r>
      <rPr>
        <sz val="11"/>
        <color indexed="9"/>
        <rFont val="Calibri"/>
      </rPr>
      <t>1</t>
    </r>
    <r>
      <rPr>
        <sz val="11"/>
        <color indexed="12"/>
        <rFont val="Calibri"/>
      </rPr>
      <t>C</t>
    </r>
  </si>
  <si>
    <r>
      <rPr>
        <b val="1"/>
        <sz val="10"/>
        <color indexed="9"/>
        <rFont val="Calibri"/>
      </rPr>
      <t>Brasil</t>
    </r>
  </si>
  <si>
    <t>Alemania</t>
  </si>
  <si>
    <r>
      <rPr>
        <sz val="11"/>
        <color indexed="12"/>
        <rFont val="Calibri"/>
      </rPr>
      <t>1E</t>
    </r>
  </si>
  <si>
    <t>1E</t>
  </si>
  <si>
    <r>
      <rPr>
        <sz val="11"/>
        <color indexed="12"/>
        <rFont val="Calibri"/>
      </rPr>
      <t>Alemania</t>
    </r>
  </si>
  <si>
    <r>
      <rPr>
        <sz val="11"/>
        <color indexed="9"/>
        <rFont val="Calibri"/>
      </rPr>
      <t>2</t>
    </r>
    <r>
      <rPr>
        <sz val="11"/>
        <color indexed="12"/>
        <rFont val="Calibri"/>
      </rPr>
      <t>C</t>
    </r>
  </si>
  <si>
    <r>
      <rPr>
        <b val="1"/>
        <sz val="10"/>
        <color indexed="9"/>
        <rFont val="Calibri"/>
      </rPr>
      <t>Marruecos</t>
    </r>
  </si>
  <si>
    <t>Curazao</t>
  </si>
  <si>
    <r>
      <rPr>
        <sz val="11"/>
        <color indexed="12"/>
        <rFont val="Calibri"/>
      </rPr>
      <t>2E</t>
    </r>
  </si>
  <si>
    <t>2E</t>
  </si>
  <si>
    <r>
      <rPr>
        <sz val="11"/>
        <color indexed="12"/>
        <rFont val="Calibri"/>
      </rPr>
      <t>Curazao</t>
    </r>
  </si>
  <si>
    <r>
      <rPr>
        <sz val="11"/>
        <color indexed="9"/>
        <rFont val="Calibri"/>
      </rPr>
      <t>3</t>
    </r>
    <r>
      <rPr>
        <sz val="11"/>
        <color indexed="12"/>
        <rFont val="Calibri"/>
      </rPr>
      <t>C</t>
    </r>
  </si>
  <si>
    <r>
      <rPr>
        <b val="1"/>
        <sz val="10"/>
        <color indexed="9"/>
        <rFont val="Calibri"/>
      </rPr>
      <t>Haití</t>
    </r>
  </si>
  <si>
    <t>Costa de Marfil</t>
  </si>
  <si>
    <r>
      <rPr>
        <sz val="11"/>
        <color indexed="12"/>
        <rFont val="Calibri"/>
      </rPr>
      <t>3E</t>
    </r>
  </si>
  <si>
    <t>3E</t>
  </si>
  <si>
    <r>
      <rPr>
        <sz val="11"/>
        <color indexed="12"/>
        <rFont val="Calibri"/>
      </rPr>
      <t>Costa de Marfil</t>
    </r>
  </si>
  <si>
    <r>
      <rPr>
        <sz val="11"/>
        <color indexed="9"/>
        <rFont val="Calibri"/>
      </rPr>
      <t>4</t>
    </r>
    <r>
      <rPr>
        <sz val="11"/>
        <color indexed="12"/>
        <rFont val="Calibri"/>
      </rPr>
      <t>C</t>
    </r>
  </si>
  <si>
    <r>
      <rPr>
        <b val="1"/>
        <sz val="10"/>
        <color indexed="9"/>
        <rFont val="Calibri"/>
      </rPr>
      <t>Escocia</t>
    </r>
  </si>
  <si>
    <t>Ecuador</t>
  </si>
  <si>
    <r>
      <rPr>
        <sz val="11"/>
        <color indexed="12"/>
        <rFont val="Calibri"/>
      </rPr>
      <t>4E</t>
    </r>
  </si>
  <si>
    <t>4E</t>
  </si>
  <si>
    <r>
      <rPr>
        <sz val="11"/>
        <color indexed="12"/>
        <rFont val="Calibri"/>
      </rPr>
      <t>Ecuador</t>
    </r>
  </si>
  <si>
    <t>F</t>
  </si>
  <si>
    <t>Países Bajos</t>
  </si>
  <si>
    <r>
      <rPr>
        <sz val="11"/>
        <color indexed="12"/>
        <rFont val="Calibri"/>
      </rPr>
      <t>1F</t>
    </r>
  </si>
  <si>
    <t>1F</t>
  </si>
  <si>
    <r>
      <rPr>
        <sz val="11"/>
        <color indexed="12"/>
        <rFont val="Calibri"/>
      </rPr>
      <t>Países Bajos</t>
    </r>
  </si>
  <si>
    <t>Japón</t>
  </si>
  <si>
    <r>
      <rPr>
        <sz val="11"/>
        <color indexed="12"/>
        <rFont val="Calibri"/>
      </rPr>
      <t>2F</t>
    </r>
  </si>
  <si>
    <t>2F</t>
  </si>
  <si>
    <r>
      <rPr>
        <sz val="11"/>
        <color indexed="12"/>
        <rFont val="Calibri"/>
      </rPr>
      <t>Japón</t>
    </r>
  </si>
  <si>
    <r>
      <rPr>
        <sz val="11"/>
        <color indexed="15"/>
        <rFont val="Calibri"/>
      </rPr>
      <t>Estados Unidos</t>
    </r>
  </si>
  <si>
    <r>
      <rPr>
        <sz val="11"/>
        <color indexed="15"/>
        <rFont val="Calibri"/>
      </rPr>
      <t>Paraguay</t>
    </r>
  </si>
  <si>
    <r>
      <rPr>
        <sz val="11"/>
        <color indexed="15"/>
        <rFont val="Cambria"/>
      </rPr>
      <t>Grupo D</t>
    </r>
  </si>
  <si>
    <t>Suecia</t>
  </si>
  <si>
    <r>
      <rPr>
        <sz val="11"/>
        <color indexed="12"/>
        <rFont val="Calibri"/>
      </rPr>
      <t>3F</t>
    </r>
  </si>
  <si>
    <t>3F</t>
  </si>
  <si>
    <r>
      <rPr>
        <sz val="11"/>
        <color indexed="12"/>
        <rFont val="Calibri"/>
      </rPr>
      <t>Suecia</t>
    </r>
  </si>
  <si>
    <r>
      <rPr>
        <sz val="11"/>
        <color indexed="15"/>
        <rFont val="Calibri"/>
      </rPr>
      <t>Australia</t>
    </r>
  </si>
  <si>
    <r>
      <rPr>
        <sz val="11"/>
        <color indexed="15"/>
        <rFont val="Calibri"/>
      </rPr>
      <t>Turquía</t>
    </r>
  </si>
  <si>
    <t>Túnez</t>
  </si>
  <si>
    <r>
      <rPr>
        <sz val="11"/>
        <color indexed="12"/>
        <rFont val="Calibri"/>
      </rPr>
      <t>4F</t>
    </r>
  </si>
  <si>
    <t>4F</t>
  </si>
  <si>
    <r>
      <rPr>
        <sz val="11"/>
        <color indexed="12"/>
        <rFont val="Calibri"/>
      </rPr>
      <t>Túnez</t>
    </r>
  </si>
  <si>
    <r>
      <rPr>
        <sz val="11"/>
        <color indexed="9"/>
        <rFont val="Calibri"/>
      </rPr>
      <t>1</t>
    </r>
    <r>
      <rPr>
        <sz val="11"/>
        <color indexed="12"/>
        <rFont val="Calibri"/>
      </rPr>
      <t>D</t>
    </r>
  </si>
  <si>
    <r>
      <rPr>
        <b val="1"/>
        <sz val="10"/>
        <color indexed="9"/>
        <rFont val="Calibri"/>
      </rPr>
      <t>Estados Unidos</t>
    </r>
  </si>
  <si>
    <t>Bélgica</t>
  </si>
  <si>
    <r>
      <rPr>
        <sz val="11"/>
        <color indexed="12"/>
        <rFont val="Calibri"/>
      </rPr>
      <t>1G</t>
    </r>
  </si>
  <si>
    <t>1G</t>
  </si>
  <si>
    <r>
      <rPr>
        <sz val="11"/>
        <color indexed="12"/>
        <rFont val="Calibri"/>
      </rPr>
      <t>Bélgica</t>
    </r>
  </si>
  <si>
    <r>
      <rPr>
        <sz val="11"/>
        <color indexed="9"/>
        <rFont val="Calibri"/>
      </rPr>
      <t>2</t>
    </r>
    <r>
      <rPr>
        <sz val="11"/>
        <color indexed="12"/>
        <rFont val="Calibri"/>
      </rPr>
      <t>D</t>
    </r>
  </si>
  <si>
    <r>
      <rPr>
        <b val="1"/>
        <sz val="10"/>
        <color indexed="9"/>
        <rFont val="Calibri"/>
      </rPr>
      <t>Paraguay</t>
    </r>
  </si>
  <si>
    <t>Egipto</t>
  </si>
  <si>
    <r>
      <rPr>
        <sz val="11"/>
        <color indexed="12"/>
        <rFont val="Calibri"/>
      </rPr>
      <t>2G</t>
    </r>
  </si>
  <si>
    <t>2G</t>
  </si>
  <si>
    <r>
      <rPr>
        <sz val="11"/>
        <color indexed="12"/>
        <rFont val="Calibri"/>
      </rPr>
      <t>Egipto</t>
    </r>
  </si>
  <si>
    <r>
      <rPr>
        <sz val="11"/>
        <color indexed="9"/>
        <rFont val="Calibri"/>
      </rPr>
      <t>3</t>
    </r>
    <r>
      <rPr>
        <sz val="11"/>
        <color indexed="12"/>
        <rFont val="Calibri"/>
      </rPr>
      <t>D</t>
    </r>
  </si>
  <si>
    <r>
      <rPr>
        <b val="1"/>
        <sz val="10"/>
        <color indexed="9"/>
        <rFont val="Calibri"/>
      </rPr>
      <t>Australia</t>
    </r>
  </si>
  <si>
    <t>Irán</t>
  </si>
  <si>
    <r>
      <rPr>
        <sz val="11"/>
        <color indexed="12"/>
        <rFont val="Calibri"/>
      </rPr>
      <t>3G</t>
    </r>
  </si>
  <si>
    <t>3G</t>
  </si>
  <si>
    <r>
      <rPr>
        <sz val="11"/>
        <color indexed="12"/>
        <rFont val="Calibri"/>
      </rPr>
      <t>Irán</t>
    </r>
  </si>
  <si>
    <r>
      <rPr>
        <sz val="11"/>
        <color indexed="9"/>
        <rFont val="Calibri"/>
      </rPr>
      <t>4</t>
    </r>
    <r>
      <rPr>
        <sz val="11"/>
        <color indexed="12"/>
        <rFont val="Calibri"/>
      </rPr>
      <t>D</t>
    </r>
  </si>
  <si>
    <r>
      <rPr>
        <b val="1"/>
        <sz val="10"/>
        <color indexed="9"/>
        <rFont val="Calibri"/>
      </rPr>
      <t>Turquía</t>
    </r>
  </si>
  <si>
    <t>Nueva Zelanda</t>
  </si>
  <si>
    <r>
      <rPr>
        <sz val="11"/>
        <color indexed="12"/>
        <rFont val="Calibri"/>
      </rPr>
      <t>4G</t>
    </r>
  </si>
  <si>
    <t>4G</t>
  </si>
  <si>
    <r>
      <rPr>
        <sz val="11"/>
        <color indexed="12"/>
        <rFont val="Calibri"/>
      </rPr>
      <t>Nueva Zelanda</t>
    </r>
  </si>
  <si>
    <t>H</t>
  </si>
  <si>
    <t>España</t>
  </si>
  <si>
    <r>
      <rPr>
        <sz val="11"/>
        <color indexed="12"/>
        <rFont val="Calibri"/>
      </rPr>
      <t>1H</t>
    </r>
  </si>
  <si>
    <t>1H</t>
  </si>
  <si>
    <r>
      <rPr>
        <sz val="11"/>
        <color indexed="12"/>
        <rFont val="Calibri"/>
      </rPr>
      <t>España</t>
    </r>
  </si>
  <si>
    <t>Cabo Verde</t>
  </si>
  <si>
    <r>
      <rPr>
        <sz val="11"/>
        <color indexed="12"/>
        <rFont val="Calibri"/>
      </rPr>
      <t>2H</t>
    </r>
  </si>
  <si>
    <t>2H</t>
  </si>
  <si>
    <r>
      <rPr>
        <sz val="11"/>
        <color indexed="12"/>
        <rFont val="Calibri"/>
      </rPr>
      <t>Cabo Verde</t>
    </r>
  </si>
  <si>
    <r>
      <rPr>
        <sz val="11"/>
        <color indexed="15"/>
        <rFont val="Calibri"/>
      </rPr>
      <t>Alemania</t>
    </r>
  </si>
  <si>
    <r>
      <rPr>
        <sz val="11"/>
        <color indexed="15"/>
        <rFont val="Calibri"/>
      </rPr>
      <t>Curazao</t>
    </r>
  </si>
  <si>
    <r>
      <rPr>
        <sz val="11"/>
        <color indexed="15"/>
        <rFont val="Cambria"/>
      </rPr>
      <t>Grupo E</t>
    </r>
  </si>
  <si>
    <t>Arabia Saudita</t>
  </si>
  <si>
    <r>
      <rPr>
        <sz val="11"/>
        <color indexed="12"/>
        <rFont val="Calibri"/>
      </rPr>
      <t>3H</t>
    </r>
  </si>
  <si>
    <t>3H</t>
  </si>
  <si>
    <r>
      <rPr>
        <sz val="11"/>
        <color indexed="12"/>
        <rFont val="Calibri"/>
      </rPr>
      <t>Arabia Saudita</t>
    </r>
  </si>
  <si>
    <r>
      <rPr>
        <sz val="11"/>
        <color indexed="15"/>
        <rFont val="Calibri"/>
      </rPr>
      <t>Costa de Marfil</t>
    </r>
  </si>
  <si>
    <r>
      <rPr>
        <sz val="11"/>
        <color indexed="15"/>
        <rFont val="Calibri"/>
      </rPr>
      <t>Ecuador</t>
    </r>
  </si>
  <si>
    <t>Uruguay</t>
  </si>
  <si>
    <r>
      <rPr>
        <sz val="11"/>
        <color indexed="12"/>
        <rFont val="Calibri"/>
      </rPr>
      <t>4H</t>
    </r>
  </si>
  <si>
    <t>4H</t>
  </si>
  <si>
    <r>
      <rPr>
        <sz val="11"/>
        <color indexed="12"/>
        <rFont val="Calibri"/>
      </rPr>
      <t>Uruguay</t>
    </r>
  </si>
  <si>
    <r>
      <rPr>
        <sz val="11"/>
        <color indexed="9"/>
        <rFont val="Calibri"/>
      </rPr>
      <t>1</t>
    </r>
    <r>
      <rPr>
        <sz val="11"/>
        <color indexed="12"/>
        <rFont val="Calibri"/>
      </rPr>
      <t>E</t>
    </r>
  </si>
  <si>
    <r>
      <rPr>
        <b val="1"/>
        <sz val="10"/>
        <color indexed="9"/>
        <rFont val="Calibri"/>
      </rPr>
      <t>Alemania</t>
    </r>
  </si>
  <si>
    <t>I</t>
  </si>
  <si>
    <t>Francia</t>
  </si>
  <si>
    <r>
      <rPr>
        <sz val="11"/>
        <color indexed="12"/>
        <rFont val="Calibri"/>
      </rPr>
      <t>1I</t>
    </r>
  </si>
  <si>
    <t>1I</t>
  </si>
  <si>
    <r>
      <rPr>
        <sz val="11"/>
        <color indexed="12"/>
        <rFont val="Calibri"/>
      </rPr>
      <t>Francia</t>
    </r>
  </si>
  <si>
    <r>
      <rPr>
        <sz val="11"/>
        <color indexed="9"/>
        <rFont val="Calibri"/>
      </rPr>
      <t>2</t>
    </r>
    <r>
      <rPr>
        <sz val="11"/>
        <color indexed="12"/>
        <rFont val="Calibri"/>
      </rPr>
      <t>E</t>
    </r>
  </si>
  <si>
    <r>
      <rPr>
        <b val="1"/>
        <sz val="10"/>
        <color indexed="9"/>
        <rFont val="Calibri"/>
      </rPr>
      <t>Curazao</t>
    </r>
  </si>
  <si>
    <t>Senegal</t>
  </si>
  <si>
    <r>
      <rPr>
        <sz val="11"/>
        <color indexed="12"/>
        <rFont val="Calibri"/>
      </rPr>
      <t>2I</t>
    </r>
  </si>
  <si>
    <t>2I</t>
  </si>
  <si>
    <r>
      <rPr>
        <sz val="11"/>
        <color indexed="12"/>
        <rFont val="Calibri"/>
      </rPr>
      <t>Senegal</t>
    </r>
  </si>
  <si>
    <r>
      <rPr>
        <sz val="11"/>
        <color indexed="9"/>
        <rFont val="Calibri"/>
      </rPr>
      <t>3</t>
    </r>
    <r>
      <rPr>
        <sz val="11"/>
        <color indexed="12"/>
        <rFont val="Calibri"/>
      </rPr>
      <t>E</t>
    </r>
  </si>
  <si>
    <r>
      <rPr>
        <b val="1"/>
        <sz val="10"/>
        <color indexed="9"/>
        <rFont val="Calibri"/>
      </rPr>
      <t>Costa de Marfil</t>
    </r>
  </si>
  <si>
    <t>Irak</t>
  </si>
  <si>
    <r>
      <rPr>
        <sz val="11"/>
        <color indexed="12"/>
        <rFont val="Calibri"/>
      </rPr>
      <t>3I</t>
    </r>
  </si>
  <si>
    <t>3I</t>
  </si>
  <si>
    <r>
      <rPr>
        <sz val="11"/>
        <color indexed="12"/>
        <rFont val="Calibri"/>
      </rPr>
      <t>Irak</t>
    </r>
  </si>
  <si>
    <r>
      <rPr>
        <sz val="11"/>
        <color indexed="9"/>
        <rFont val="Calibri"/>
      </rPr>
      <t>4</t>
    </r>
    <r>
      <rPr>
        <sz val="11"/>
        <color indexed="12"/>
        <rFont val="Calibri"/>
      </rPr>
      <t>E</t>
    </r>
  </si>
  <si>
    <r>
      <rPr>
        <b val="1"/>
        <sz val="10"/>
        <color indexed="9"/>
        <rFont val="Calibri"/>
      </rPr>
      <t>Ecuador</t>
    </r>
  </si>
  <si>
    <t>Noruega</t>
  </si>
  <si>
    <r>
      <rPr>
        <sz val="11"/>
        <color indexed="12"/>
        <rFont val="Calibri"/>
      </rPr>
      <t>4I</t>
    </r>
  </si>
  <si>
    <t>4I</t>
  </si>
  <si>
    <r>
      <rPr>
        <sz val="11"/>
        <color indexed="12"/>
        <rFont val="Calibri"/>
      </rPr>
      <t>Noruega</t>
    </r>
  </si>
  <si>
    <t>Argentina</t>
  </si>
  <si>
    <r>
      <rPr>
        <sz val="11"/>
        <color indexed="12"/>
        <rFont val="Calibri"/>
      </rPr>
      <t>1J</t>
    </r>
  </si>
  <si>
    <t>1J</t>
  </si>
  <si>
    <r>
      <rPr>
        <sz val="11"/>
        <color indexed="12"/>
        <rFont val="Calibri"/>
      </rPr>
      <t>Argentina</t>
    </r>
  </si>
  <si>
    <t>Argelia</t>
  </si>
  <si>
    <r>
      <rPr>
        <sz val="11"/>
        <color indexed="12"/>
        <rFont val="Calibri"/>
      </rPr>
      <t>2J</t>
    </r>
  </si>
  <si>
    <t>2J</t>
  </si>
  <si>
    <r>
      <rPr>
        <sz val="11"/>
        <color indexed="12"/>
        <rFont val="Calibri"/>
      </rPr>
      <t>Argelia</t>
    </r>
  </si>
  <si>
    <r>
      <rPr>
        <sz val="11"/>
        <color indexed="15"/>
        <rFont val="Calibri"/>
      </rPr>
      <t>Países Bajos</t>
    </r>
  </si>
  <si>
    <r>
      <rPr>
        <sz val="11"/>
        <color indexed="15"/>
        <rFont val="Calibri"/>
      </rPr>
      <t>Japón</t>
    </r>
  </si>
  <si>
    <r>
      <rPr>
        <sz val="11"/>
        <color indexed="15"/>
        <rFont val="Cambria"/>
      </rPr>
      <t>Grupo F</t>
    </r>
  </si>
  <si>
    <t>Austria</t>
  </si>
  <si>
    <r>
      <rPr>
        <sz val="11"/>
        <color indexed="12"/>
        <rFont val="Calibri"/>
      </rPr>
      <t>3J</t>
    </r>
  </si>
  <si>
    <t>3J</t>
  </si>
  <si>
    <r>
      <rPr>
        <sz val="11"/>
        <color indexed="12"/>
        <rFont val="Calibri"/>
      </rPr>
      <t>Austria</t>
    </r>
  </si>
  <si>
    <r>
      <rPr>
        <sz val="11"/>
        <color indexed="15"/>
        <rFont val="Calibri"/>
      </rPr>
      <t>Suecia</t>
    </r>
  </si>
  <si>
    <r>
      <rPr>
        <sz val="11"/>
        <color indexed="15"/>
        <rFont val="Calibri"/>
      </rPr>
      <t>Túnez</t>
    </r>
  </si>
  <si>
    <t>Jordania</t>
  </si>
  <si>
    <r>
      <rPr>
        <sz val="11"/>
        <color indexed="12"/>
        <rFont val="Calibri"/>
      </rPr>
      <t>4J</t>
    </r>
  </si>
  <si>
    <t>4J</t>
  </si>
  <si>
    <r>
      <rPr>
        <sz val="11"/>
        <color indexed="12"/>
        <rFont val="Calibri"/>
      </rPr>
      <t>Jordania</t>
    </r>
  </si>
  <si>
    <r>
      <rPr>
        <sz val="11"/>
        <color indexed="9"/>
        <rFont val="Calibri"/>
      </rPr>
      <t>1</t>
    </r>
    <r>
      <rPr>
        <sz val="11"/>
        <color indexed="12"/>
        <rFont val="Calibri"/>
      </rPr>
      <t>F</t>
    </r>
  </si>
  <si>
    <r>
      <rPr>
        <b val="1"/>
        <sz val="10"/>
        <color indexed="9"/>
        <rFont val="Calibri"/>
      </rPr>
      <t>Países Bajos</t>
    </r>
  </si>
  <si>
    <t>K</t>
  </si>
  <si>
    <t>Portugal</t>
  </si>
  <si>
    <r>
      <rPr>
        <sz val="11"/>
        <color indexed="12"/>
        <rFont val="Calibri"/>
      </rPr>
      <t>1K</t>
    </r>
  </si>
  <si>
    <t>1K</t>
  </si>
  <si>
    <r>
      <rPr>
        <sz val="11"/>
        <color indexed="12"/>
        <rFont val="Calibri"/>
      </rPr>
      <t>Portugal</t>
    </r>
  </si>
  <si>
    <r>
      <rPr>
        <sz val="11"/>
        <color indexed="9"/>
        <rFont val="Calibri"/>
      </rPr>
      <t>2</t>
    </r>
    <r>
      <rPr>
        <sz val="11"/>
        <color indexed="12"/>
        <rFont val="Calibri"/>
      </rPr>
      <t>F</t>
    </r>
  </si>
  <si>
    <r>
      <rPr>
        <b val="1"/>
        <sz val="10"/>
        <color indexed="9"/>
        <rFont val="Calibri"/>
      </rPr>
      <t>Japón</t>
    </r>
  </si>
  <si>
    <t>RD Congo</t>
  </si>
  <si>
    <r>
      <rPr>
        <sz val="11"/>
        <color indexed="12"/>
        <rFont val="Calibri"/>
      </rPr>
      <t>2K</t>
    </r>
  </si>
  <si>
    <t>2K</t>
  </si>
  <si>
    <r>
      <rPr>
        <sz val="11"/>
        <color indexed="12"/>
        <rFont val="Calibri"/>
      </rPr>
      <t>RD Congo</t>
    </r>
  </si>
  <si>
    <r>
      <rPr>
        <sz val="11"/>
        <color indexed="9"/>
        <rFont val="Calibri"/>
      </rPr>
      <t>3</t>
    </r>
    <r>
      <rPr>
        <sz val="11"/>
        <color indexed="12"/>
        <rFont val="Calibri"/>
      </rPr>
      <t>F</t>
    </r>
  </si>
  <si>
    <r>
      <rPr>
        <b val="1"/>
        <sz val="10"/>
        <color indexed="9"/>
        <rFont val="Calibri"/>
      </rPr>
      <t>Suecia</t>
    </r>
  </si>
  <si>
    <t>Uzbekistán</t>
  </si>
  <si>
    <r>
      <rPr>
        <sz val="11"/>
        <color indexed="12"/>
        <rFont val="Calibri"/>
      </rPr>
      <t>3K</t>
    </r>
  </si>
  <si>
    <t>3K</t>
  </si>
  <si>
    <r>
      <rPr>
        <sz val="11"/>
        <color indexed="12"/>
        <rFont val="Calibri"/>
      </rPr>
      <t>Uzbekistán</t>
    </r>
  </si>
  <si>
    <r>
      <rPr>
        <sz val="11"/>
        <color indexed="9"/>
        <rFont val="Calibri"/>
      </rPr>
      <t>4</t>
    </r>
    <r>
      <rPr>
        <sz val="11"/>
        <color indexed="12"/>
        <rFont val="Calibri"/>
      </rPr>
      <t>F</t>
    </r>
  </si>
  <si>
    <r>
      <rPr>
        <b val="1"/>
        <sz val="10"/>
        <color indexed="9"/>
        <rFont val="Calibri"/>
      </rPr>
      <t>Túnez</t>
    </r>
  </si>
  <si>
    <t>Colombia</t>
  </si>
  <si>
    <r>
      <rPr>
        <sz val="11"/>
        <color indexed="12"/>
        <rFont val="Calibri"/>
      </rPr>
      <t>4K</t>
    </r>
  </si>
  <si>
    <t>4K</t>
  </si>
  <si>
    <r>
      <rPr>
        <sz val="11"/>
        <color indexed="12"/>
        <rFont val="Calibri"/>
      </rPr>
      <t>Colombia</t>
    </r>
  </si>
  <si>
    <t>L</t>
  </si>
  <si>
    <t>Inglaterra</t>
  </si>
  <si>
    <r>
      <rPr>
        <sz val="11"/>
        <color indexed="12"/>
        <rFont val="Calibri"/>
      </rPr>
      <t>1L</t>
    </r>
  </si>
  <si>
    <t>1L</t>
  </si>
  <si>
    <r>
      <rPr>
        <sz val="11"/>
        <color indexed="12"/>
        <rFont val="Calibri"/>
      </rPr>
      <t>Inglaterra</t>
    </r>
  </si>
  <si>
    <t>Croacia</t>
  </si>
  <si>
    <r>
      <rPr>
        <sz val="11"/>
        <color indexed="12"/>
        <rFont val="Calibri"/>
      </rPr>
      <t>2L</t>
    </r>
  </si>
  <si>
    <t>2L</t>
  </si>
  <si>
    <r>
      <rPr>
        <sz val="11"/>
        <color indexed="12"/>
        <rFont val="Calibri"/>
      </rPr>
      <t>Croacia</t>
    </r>
  </si>
  <si>
    <r>
      <rPr>
        <sz val="11"/>
        <color indexed="15"/>
        <rFont val="Calibri"/>
      </rPr>
      <t>Bélgica</t>
    </r>
  </si>
  <si>
    <r>
      <rPr>
        <sz val="11"/>
        <color indexed="15"/>
        <rFont val="Calibri"/>
      </rPr>
      <t>Egipto</t>
    </r>
  </si>
  <si>
    <r>
      <rPr>
        <sz val="11"/>
        <color indexed="15"/>
        <rFont val="Cambria"/>
      </rPr>
      <t>Grupo G</t>
    </r>
  </si>
  <si>
    <t>Ghana</t>
  </si>
  <si>
    <r>
      <rPr>
        <sz val="11"/>
        <color indexed="12"/>
        <rFont val="Calibri"/>
      </rPr>
      <t>3L</t>
    </r>
  </si>
  <si>
    <t>3L</t>
  </si>
  <si>
    <r>
      <rPr>
        <sz val="11"/>
        <color indexed="12"/>
        <rFont val="Calibri"/>
      </rPr>
      <t>Ghana</t>
    </r>
  </si>
  <si>
    <r>
      <rPr>
        <sz val="11"/>
        <color indexed="15"/>
        <rFont val="Calibri"/>
      </rPr>
      <t>Irán</t>
    </r>
  </si>
  <si>
    <r>
      <rPr>
        <sz val="11"/>
        <color indexed="15"/>
        <rFont val="Calibri"/>
      </rPr>
      <t>Nueva Zelanda</t>
    </r>
  </si>
  <si>
    <t>Panamá</t>
  </si>
  <si>
    <r>
      <rPr>
        <sz val="11"/>
        <color indexed="12"/>
        <rFont val="Calibri"/>
      </rPr>
      <t>4L</t>
    </r>
  </si>
  <si>
    <t>4L</t>
  </si>
  <si>
    <r>
      <rPr>
        <sz val="11"/>
        <color indexed="12"/>
        <rFont val="Calibri"/>
      </rPr>
      <t>Panamá</t>
    </r>
  </si>
  <si>
    <r>
      <rPr>
        <sz val="11"/>
        <color indexed="9"/>
        <rFont val="Calibri"/>
      </rPr>
      <t>1</t>
    </r>
    <r>
      <rPr>
        <sz val="11"/>
        <color indexed="12"/>
        <rFont val="Calibri"/>
      </rPr>
      <t>G</t>
    </r>
  </si>
  <si>
    <r>
      <rPr>
        <b val="1"/>
        <sz val="10"/>
        <color indexed="9"/>
        <rFont val="Calibri"/>
      </rPr>
      <t>Bélgica</t>
    </r>
  </si>
  <si>
    <r>
      <rPr>
        <sz val="11"/>
        <color indexed="9"/>
        <rFont val="Calibri"/>
      </rPr>
      <t>2</t>
    </r>
    <r>
      <rPr>
        <sz val="11"/>
        <color indexed="12"/>
        <rFont val="Calibri"/>
      </rPr>
      <t>G</t>
    </r>
  </si>
  <si>
    <r>
      <rPr>
        <b val="1"/>
        <sz val="10"/>
        <color indexed="9"/>
        <rFont val="Calibri"/>
      </rPr>
      <t>Egipto</t>
    </r>
  </si>
  <si>
    <r>
      <rPr>
        <sz val="11"/>
        <color indexed="9"/>
        <rFont val="Calibri"/>
      </rPr>
      <t>3</t>
    </r>
    <r>
      <rPr>
        <sz val="11"/>
        <color indexed="12"/>
        <rFont val="Calibri"/>
      </rPr>
      <t>G</t>
    </r>
  </si>
  <si>
    <r>
      <rPr>
        <b val="1"/>
        <sz val="10"/>
        <color indexed="9"/>
        <rFont val="Calibri"/>
      </rPr>
      <t>Irán</t>
    </r>
  </si>
  <si>
    <t>1; normal 2; sin ultimo clas, 3, media total</t>
  </si>
  <si>
    <r>
      <rPr>
        <sz val="11"/>
        <color indexed="9"/>
        <rFont val="Calibri"/>
      </rPr>
      <t>4</t>
    </r>
    <r>
      <rPr>
        <sz val="11"/>
        <color indexed="12"/>
        <rFont val="Calibri"/>
      </rPr>
      <t>G</t>
    </r>
  </si>
  <si>
    <r>
      <rPr>
        <b val="1"/>
        <sz val="10"/>
        <color indexed="9"/>
        <rFont val="Calibri"/>
      </rPr>
      <t>Nueva Zelanda</t>
    </r>
  </si>
  <si>
    <r>
      <rPr>
        <sz val="11"/>
        <color indexed="12"/>
        <rFont val="Calibri"/>
      </rPr>
      <t>Grupo</t>
    </r>
  </si>
  <si>
    <r>
      <rPr>
        <sz val="11"/>
        <color indexed="12"/>
        <rFont val="Calibri"/>
      </rPr>
      <t>Selección</t>
    </r>
  </si>
  <si>
    <r>
      <rPr>
        <sz val="11"/>
        <color indexed="12"/>
        <rFont val="Calibri"/>
      </rPr>
      <t>PosF1</t>
    </r>
  </si>
  <si>
    <r>
      <rPr>
        <sz val="11"/>
        <color indexed="12"/>
        <rFont val="Calibri"/>
      </rPr>
      <t>PosF3</t>
    </r>
  </si>
  <si>
    <t>OrdenAlfa</t>
  </si>
  <si>
    <t>-</t>
  </si>
  <si>
    <t>1.1</t>
  </si>
  <si>
    <t>2.1</t>
  </si>
  <si>
    <r>
      <rPr>
        <sz val="11"/>
        <color indexed="15"/>
        <rFont val="Calibri"/>
      </rPr>
      <t>España</t>
    </r>
  </si>
  <si>
    <r>
      <rPr>
        <sz val="11"/>
        <color indexed="15"/>
        <rFont val="Calibri"/>
      </rPr>
      <t>Cabo Verde</t>
    </r>
  </si>
  <si>
    <r>
      <rPr>
        <sz val="11"/>
        <color indexed="15"/>
        <rFont val="Cambria"/>
      </rPr>
      <t>Grupo H</t>
    </r>
  </si>
  <si>
    <t>Pos. 9 (2)</t>
  </si>
  <si>
    <t>3.1</t>
  </si>
  <si>
    <r>
      <rPr>
        <sz val="11"/>
        <color indexed="15"/>
        <rFont val="Calibri"/>
      </rPr>
      <t>Arabia Saudita</t>
    </r>
  </si>
  <si>
    <r>
      <rPr>
        <sz val="11"/>
        <color indexed="15"/>
        <rFont val="Calibri"/>
      </rPr>
      <t>Uruguay</t>
    </r>
  </si>
  <si>
    <t>Pos. 11 (2)</t>
  </si>
  <si>
    <t>4.1</t>
  </si>
  <si>
    <r>
      <rPr>
        <sz val="11"/>
        <color indexed="9"/>
        <rFont val="Calibri"/>
      </rPr>
      <t>1</t>
    </r>
    <r>
      <rPr>
        <sz val="11"/>
        <color indexed="12"/>
        <rFont val="Calibri"/>
      </rPr>
      <t>H</t>
    </r>
  </si>
  <si>
    <r>
      <rPr>
        <b val="1"/>
        <sz val="10"/>
        <color indexed="9"/>
        <rFont val="Calibri"/>
      </rPr>
      <t>España</t>
    </r>
  </si>
  <si>
    <t>Pos. 5 (4)</t>
  </si>
  <si>
    <t>Pos. 7 (2)</t>
  </si>
  <si>
    <t>5.1</t>
  </si>
  <si>
    <r>
      <rPr>
        <sz val="11"/>
        <color indexed="9"/>
        <rFont val="Calibri"/>
      </rPr>
      <t>2</t>
    </r>
    <r>
      <rPr>
        <sz val="11"/>
        <color indexed="12"/>
        <rFont val="Calibri"/>
      </rPr>
      <t>H</t>
    </r>
  </si>
  <si>
    <r>
      <rPr>
        <b val="1"/>
        <sz val="10"/>
        <color indexed="9"/>
        <rFont val="Calibri"/>
      </rPr>
      <t>Cabo Verde</t>
    </r>
  </si>
  <si>
    <t>6.1</t>
  </si>
  <si>
    <r>
      <rPr>
        <sz val="11"/>
        <color indexed="9"/>
        <rFont val="Calibri"/>
      </rPr>
      <t>3</t>
    </r>
    <r>
      <rPr>
        <sz val="11"/>
        <color indexed="12"/>
        <rFont val="Calibri"/>
      </rPr>
      <t>H</t>
    </r>
  </si>
  <si>
    <r>
      <rPr>
        <b val="1"/>
        <sz val="10"/>
        <color indexed="9"/>
        <rFont val="Calibri"/>
      </rPr>
      <t>Arabia Saudita</t>
    </r>
  </si>
  <si>
    <t>Pos. 5 (2)</t>
  </si>
  <si>
    <t>7.1</t>
  </si>
  <si>
    <r>
      <rPr>
        <sz val="11"/>
        <color indexed="9"/>
        <rFont val="Calibri"/>
      </rPr>
      <t>4</t>
    </r>
    <r>
      <rPr>
        <sz val="11"/>
        <color indexed="12"/>
        <rFont val="Calibri"/>
      </rPr>
      <t>H</t>
    </r>
  </si>
  <si>
    <r>
      <rPr>
        <b val="1"/>
        <sz val="10"/>
        <color indexed="9"/>
        <rFont val="Calibri"/>
      </rPr>
      <t>Uruguay</t>
    </r>
  </si>
  <si>
    <t>8.1</t>
  </si>
  <si>
    <t>9.1</t>
  </si>
  <si>
    <t>10.1</t>
  </si>
  <si>
    <r>
      <rPr>
        <sz val="11"/>
        <color indexed="15"/>
        <rFont val="Calibri"/>
      </rPr>
      <t>Francia</t>
    </r>
  </si>
  <si>
    <r>
      <rPr>
        <sz val="11"/>
        <color indexed="15"/>
        <rFont val="Calibri"/>
      </rPr>
      <t>Senegal</t>
    </r>
  </si>
  <si>
    <r>
      <rPr>
        <sz val="11"/>
        <color indexed="15"/>
        <rFont val="Cambria"/>
      </rPr>
      <t>Grupo I</t>
    </r>
  </si>
  <si>
    <t>11.1</t>
  </si>
  <si>
    <r>
      <rPr>
        <sz val="11"/>
        <color indexed="15"/>
        <rFont val="Calibri"/>
      </rPr>
      <t>Irak</t>
    </r>
  </si>
  <si>
    <r>
      <rPr>
        <sz val="11"/>
        <color indexed="15"/>
        <rFont val="Calibri"/>
      </rPr>
      <t>Noruega</t>
    </r>
  </si>
  <si>
    <t>12.1</t>
  </si>
  <si>
    <r>
      <rPr>
        <sz val="11"/>
        <color indexed="9"/>
        <rFont val="Calibri"/>
      </rPr>
      <t>1</t>
    </r>
    <r>
      <rPr>
        <sz val="11"/>
        <color indexed="12"/>
        <rFont val="Calibri"/>
      </rPr>
      <t>I</t>
    </r>
  </si>
  <si>
    <r>
      <rPr>
        <b val="1"/>
        <sz val="10"/>
        <color indexed="9"/>
        <rFont val="Calibri"/>
      </rPr>
      <t>Francia</t>
    </r>
  </si>
  <si>
    <r>
      <rPr>
        <sz val="11"/>
        <color indexed="9"/>
        <rFont val="Calibri"/>
      </rPr>
      <t>2</t>
    </r>
    <r>
      <rPr>
        <sz val="11"/>
        <color indexed="12"/>
        <rFont val="Calibri"/>
      </rPr>
      <t>I</t>
    </r>
  </si>
  <si>
    <r>
      <rPr>
        <b val="1"/>
        <sz val="10"/>
        <color indexed="9"/>
        <rFont val="Calibri"/>
      </rPr>
      <t>Senegal</t>
    </r>
  </si>
  <si>
    <r>
      <rPr>
        <sz val="11"/>
        <color indexed="9"/>
        <rFont val="Calibri"/>
      </rPr>
      <t>3</t>
    </r>
    <r>
      <rPr>
        <sz val="11"/>
        <color indexed="12"/>
        <rFont val="Calibri"/>
      </rPr>
      <t>I</t>
    </r>
  </si>
  <si>
    <r>
      <rPr>
        <b val="1"/>
        <sz val="10"/>
        <color indexed="9"/>
        <rFont val="Calibri"/>
      </rPr>
      <t>Irak</t>
    </r>
  </si>
  <si>
    <r>
      <rPr>
        <sz val="11"/>
        <color indexed="9"/>
        <rFont val="Calibri"/>
      </rPr>
      <t>4</t>
    </r>
    <r>
      <rPr>
        <sz val="11"/>
        <color indexed="12"/>
        <rFont val="Calibri"/>
      </rPr>
      <t>I</t>
    </r>
  </si>
  <si>
    <r>
      <rPr>
        <b val="1"/>
        <sz val="10"/>
        <color indexed="9"/>
        <rFont val="Calibri"/>
      </rPr>
      <t>Noruega</t>
    </r>
  </si>
  <si>
    <r>
      <rPr>
        <sz val="11"/>
        <color indexed="15"/>
        <rFont val="Calibri"/>
      </rPr>
      <t>Argentina</t>
    </r>
  </si>
  <si>
    <r>
      <rPr>
        <sz val="11"/>
        <color indexed="15"/>
        <rFont val="Calibri"/>
      </rPr>
      <t>Argelia</t>
    </r>
  </si>
  <si>
    <r>
      <rPr>
        <sz val="11"/>
        <color indexed="15"/>
        <rFont val="Cambria"/>
      </rPr>
      <t>Grupo J</t>
    </r>
  </si>
  <si>
    <r>
      <rPr>
        <sz val="11"/>
        <color indexed="15"/>
        <rFont val="Calibri"/>
      </rPr>
      <t>Austria</t>
    </r>
  </si>
  <si>
    <r>
      <rPr>
        <sz val="11"/>
        <color indexed="15"/>
        <rFont val="Calibri"/>
      </rPr>
      <t>Jordania</t>
    </r>
  </si>
  <si>
    <r>
      <rPr>
        <sz val="11"/>
        <color indexed="9"/>
        <rFont val="Calibri"/>
      </rPr>
      <t>1</t>
    </r>
    <r>
      <rPr>
        <sz val="11"/>
        <color indexed="12"/>
        <rFont val="Calibri"/>
      </rPr>
      <t>J</t>
    </r>
  </si>
  <si>
    <r>
      <rPr>
        <b val="1"/>
        <sz val="10"/>
        <color indexed="9"/>
        <rFont val="Calibri"/>
      </rPr>
      <t>Argentina</t>
    </r>
  </si>
  <si>
    <r>
      <rPr>
        <sz val="11"/>
        <color indexed="9"/>
        <rFont val="Calibri"/>
      </rPr>
      <t>2</t>
    </r>
    <r>
      <rPr>
        <sz val="11"/>
        <color indexed="12"/>
        <rFont val="Calibri"/>
      </rPr>
      <t>J</t>
    </r>
  </si>
  <si>
    <r>
      <rPr>
        <b val="1"/>
        <sz val="10"/>
        <color indexed="9"/>
        <rFont val="Calibri"/>
      </rPr>
      <t>Argelia</t>
    </r>
  </si>
  <si>
    <r>
      <rPr>
        <sz val="11"/>
        <color indexed="9"/>
        <rFont val="Calibri"/>
      </rPr>
      <t>3</t>
    </r>
    <r>
      <rPr>
        <sz val="11"/>
        <color indexed="12"/>
        <rFont val="Calibri"/>
      </rPr>
      <t>J</t>
    </r>
  </si>
  <si>
    <r>
      <rPr>
        <b val="1"/>
        <sz val="10"/>
        <color indexed="9"/>
        <rFont val="Calibri"/>
      </rPr>
      <t>Austria</t>
    </r>
  </si>
  <si>
    <r>
      <rPr>
        <sz val="11"/>
        <color indexed="9"/>
        <rFont val="Calibri"/>
      </rPr>
      <t>4</t>
    </r>
    <r>
      <rPr>
        <sz val="11"/>
        <color indexed="12"/>
        <rFont val="Calibri"/>
      </rPr>
      <t>J</t>
    </r>
  </si>
  <si>
    <r>
      <rPr>
        <b val="1"/>
        <sz val="10"/>
        <color indexed="9"/>
        <rFont val="Calibri"/>
      </rPr>
      <t>Jordania</t>
    </r>
  </si>
  <si>
    <r>
      <rPr>
        <sz val="11"/>
        <color indexed="15"/>
        <rFont val="Calibri"/>
      </rPr>
      <t>Portugal</t>
    </r>
  </si>
  <si>
    <r>
      <rPr>
        <sz val="11"/>
        <color indexed="15"/>
        <rFont val="Calibri"/>
      </rPr>
      <t>RD Congo</t>
    </r>
  </si>
  <si>
    <r>
      <rPr>
        <sz val="11"/>
        <color indexed="15"/>
        <rFont val="Cambria"/>
      </rPr>
      <t>Grupo K</t>
    </r>
  </si>
  <si>
    <r>
      <rPr>
        <sz val="11"/>
        <color indexed="15"/>
        <rFont val="Calibri"/>
      </rPr>
      <t>Uzbekistán</t>
    </r>
  </si>
  <si>
    <r>
      <rPr>
        <sz val="11"/>
        <color indexed="15"/>
        <rFont val="Calibri"/>
      </rPr>
      <t>Colombia</t>
    </r>
  </si>
  <si>
    <r>
      <rPr>
        <sz val="11"/>
        <color indexed="9"/>
        <rFont val="Calibri"/>
      </rPr>
      <t>1</t>
    </r>
    <r>
      <rPr>
        <sz val="11"/>
        <color indexed="12"/>
        <rFont val="Calibri"/>
      </rPr>
      <t>K</t>
    </r>
  </si>
  <si>
    <r>
      <rPr>
        <b val="1"/>
        <sz val="10"/>
        <color indexed="9"/>
        <rFont val="Calibri"/>
      </rPr>
      <t>Portugal</t>
    </r>
  </si>
  <si>
    <r>
      <rPr>
        <sz val="11"/>
        <color indexed="9"/>
        <rFont val="Calibri"/>
      </rPr>
      <t>2</t>
    </r>
    <r>
      <rPr>
        <sz val="11"/>
        <color indexed="12"/>
        <rFont val="Calibri"/>
      </rPr>
      <t>K</t>
    </r>
  </si>
  <si>
    <r>
      <rPr>
        <b val="1"/>
        <sz val="10"/>
        <color indexed="9"/>
        <rFont val="Calibri"/>
      </rPr>
      <t>RD Congo</t>
    </r>
  </si>
  <si>
    <r>
      <rPr>
        <sz val="11"/>
        <color indexed="9"/>
        <rFont val="Calibri"/>
      </rPr>
      <t>3</t>
    </r>
    <r>
      <rPr>
        <sz val="11"/>
        <color indexed="12"/>
        <rFont val="Calibri"/>
      </rPr>
      <t>K</t>
    </r>
  </si>
  <si>
    <r>
      <rPr>
        <b val="1"/>
        <sz val="10"/>
        <color indexed="9"/>
        <rFont val="Calibri"/>
      </rPr>
      <t>Uzbekistán</t>
    </r>
  </si>
  <si>
    <r>
      <rPr>
        <sz val="11"/>
        <color indexed="9"/>
        <rFont val="Calibri"/>
      </rPr>
      <t>4</t>
    </r>
    <r>
      <rPr>
        <sz val="11"/>
        <color indexed="12"/>
        <rFont val="Calibri"/>
      </rPr>
      <t>K</t>
    </r>
  </si>
  <si>
    <r>
      <rPr>
        <b val="1"/>
        <sz val="10"/>
        <color indexed="9"/>
        <rFont val="Calibri"/>
      </rPr>
      <t>Colombia</t>
    </r>
  </si>
  <si>
    <r>
      <rPr>
        <sz val="11"/>
        <color indexed="15"/>
        <rFont val="Calibri"/>
      </rPr>
      <t>Inglaterra</t>
    </r>
  </si>
  <si>
    <r>
      <rPr>
        <sz val="11"/>
        <color indexed="15"/>
        <rFont val="Calibri"/>
      </rPr>
      <t>Croacia</t>
    </r>
  </si>
  <si>
    <r>
      <rPr>
        <sz val="11"/>
        <color indexed="15"/>
        <rFont val="Cambria"/>
      </rPr>
      <t>Grupo L</t>
    </r>
  </si>
  <si>
    <r>
      <rPr>
        <sz val="11"/>
        <color indexed="15"/>
        <rFont val="Calibri"/>
      </rPr>
      <t>Ghana</t>
    </r>
  </si>
  <si>
    <r>
      <rPr>
        <sz val="11"/>
        <color indexed="15"/>
        <rFont val="Calibri"/>
      </rPr>
      <t>Panamá</t>
    </r>
  </si>
  <si>
    <r>
      <rPr>
        <sz val="11"/>
        <color indexed="9"/>
        <rFont val="Calibri"/>
      </rPr>
      <t>1</t>
    </r>
    <r>
      <rPr>
        <sz val="11"/>
        <color indexed="12"/>
        <rFont val="Calibri"/>
      </rPr>
      <t>L</t>
    </r>
  </si>
  <si>
    <r>
      <rPr>
        <b val="1"/>
        <sz val="10"/>
        <color indexed="9"/>
        <rFont val="Calibri"/>
      </rPr>
      <t>Inglaterra</t>
    </r>
  </si>
  <si>
    <r>
      <rPr>
        <sz val="11"/>
        <color indexed="9"/>
        <rFont val="Calibri"/>
      </rPr>
      <t>2</t>
    </r>
    <r>
      <rPr>
        <sz val="11"/>
        <color indexed="12"/>
        <rFont val="Calibri"/>
      </rPr>
      <t>L</t>
    </r>
  </si>
  <si>
    <r>
      <rPr>
        <b val="1"/>
        <sz val="10"/>
        <color indexed="9"/>
        <rFont val="Calibri"/>
      </rPr>
      <t>Croacia</t>
    </r>
  </si>
  <si>
    <r>
      <rPr>
        <sz val="11"/>
        <color indexed="9"/>
        <rFont val="Calibri"/>
      </rPr>
      <t>3</t>
    </r>
    <r>
      <rPr>
        <sz val="11"/>
        <color indexed="12"/>
        <rFont val="Calibri"/>
      </rPr>
      <t>L</t>
    </r>
  </si>
  <si>
    <r>
      <rPr>
        <b val="1"/>
        <sz val="10"/>
        <color indexed="9"/>
        <rFont val="Calibri"/>
      </rPr>
      <t>Ghana</t>
    </r>
  </si>
  <si>
    <r>
      <rPr>
        <sz val="11"/>
        <color indexed="9"/>
        <rFont val="Calibri"/>
      </rPr>
      <t>4</t>
    </r>
    <r>
      <rPr>
        <sz val="11"/>
        <color indexed="12"/>
        <rFont val="Calibri"/>
      </rPr>
      <t>L</t>
    </r>
  </si>
  <si>
    <r>
      <rPr>
        <b val="1"/>
        <sz val="10"/>
        <color indexed="9"/>
        <rFont val="Calibri"/>
      </rPr>
      <t>Panamá</t>
    </r>
  </si>
  <si>
    <t>EN 16 y en el 3ºy4º puesto son diferentes</t>
  </si>
  <si>
    <t>Dieciseisavos de final</t>
  </si>
  <si>
    <t>La clasificación de los mejores terceros aparece al final de la J1</t>
  </si>
  <si>
    <t>NO BORRAR ESTO EN 16S</t>
  </si>
  <si>
    <t>PARTIDO</t>
  </si>
  <si>
    <t>FECHA</t>
  </si>
  <si>
    <t>LOCAL</t>
  </si>
  <si>
    <t>VISITANTE</t>
  </si>
  <si>
    <t>#</t>
  </si>
  <si>
    <t>X</t>
  </si>
  <si>
    <t>Mejores terceros</t>
  </si>
  <si>
    <t>W73</t>
  </si>
  <si>
    <t>2A-2B</t>
  </si>
  <si>
    <t>1/16</t>
  </si>
  <si>
    <r>
      <rPr>
        <sz val="11"/>
        <color indexed="15"/>
        <rFont val="Calibri"/>
      </rPr>
      <t>2B</t>
    </r>
  </si>
  <si>
    <r>
      <rPr>
        <sz val="11"/>
        <color indexed="15"/>
        <rFont val="Calibri"/>
      </rPr>
      <t>ABEFGHJL</t>
    </r>
  </si>
  <si>
    <t>3ABCDF</t>
  </si>
  <si>
    <t>W76</t>
  </si>
  <si>
    <t>TOTAL</t>
  </si>
  <si>
    <t>1E-3ABCDF</t>
  </si>
  <si>
    <r>
      <rPr>
        <sz val="11"/>
        <color indexed="15"/>
        <rFont val="Calibri"/>
      </rPr>
      <t>2F</t>
    </r>
  </si>
  <si>
    <t>Los 8 mejores terceros son…</t>
  </si>
  <si>
    <t>GRUPO</t>
  </si>
  <si>
    <t>ORDEN</t>
  </si>
  <si>
    <t>Por orden alfabetico</t>
  </si>
  <si>
    <t>W74</t>
  </si>
  <si>
    <t>1F-2C</t>
  </si>
  <si>
    <r>
      <rPr>
        <sz val="11"/>
        <color indexed="15"/>
        <rFont val="Calibri"/>
      </rPr>
      <t>3ABCDF</t>
    </r>
  </si>
  <si>
    <t xml:space="preserve">1A - </t>
  </si>
  <si>
    <r>
      <rPr>
        <sz val="11"/>
        <color indexed="12"/>
        <rFont val="Calibri"/>
      </rPr>
      <t>A</t>
    </r>
  </si>
  <si>
    <t>W75</t>
  </si>
  <si>
    <t>1C-2F</t>
  </si>
  <si>
    <r>
      <rPr>
        <sz val="11"/>
        <color indexed="15"/>
        <rFont val="Calibri"/>
      </rPr>
      <t>2C</t>
    </r>
  </si>
  <si>
    <t xml:space="preserve">1B - </t>
  </si>
  <si>
    <r>
      <rPr>
        <sz val="11"/>
        <color indexed="12"/>
        <rFont val="Calibri"/>
      </rPr>
      <t>B</t>
    </r>
  </si>
  <si>
    <t>3CDFGH</t>
  </si>
  <si>
    <t>W78</t>
  </si>
  <si>
    <t>1I-3CDFGH</t>
  </si>
  <si>
    <r>
      <rPr>
        <sz val="11"/>
        <color indexed="15"/>
        <rFont val="Calibri"/>
      </rPr>
      <t>2I</t>
    </r>
  </si>
  <si>
    <t xml:space="preserve">1D - </t>
  </si>
  <si>
    <t>W77</t>
  </si>
  <si>
    <t>2E-2I</t>
  </si>
  <si>
    <r>
      <rPr>
        <sz val="11"/>
        <color indexed="15"/>
        <rFont val="Calibri"/>
      </rPr>
      <t>3CDFGH</t>
    </r>
  </si>
  <si>
    <t xml:space="preserve">1E - </t>
  </si>
  <si>
    <r>
      <rPr>
        <sz val="11"/>
        <color indexed="12"/>
        <rFont val="Calibri"/>
      </rPr>
      <t>F</t>
    </r>
  </si>
  <si>
    <t>3CEFHI</t>
  </si>
  <si>
    <t>W79</t>
  </si>
  <si>
    <t>1A-3CEFHI</t>
  </si>
  <si>
    <r>
      <rPr>
        <sz val="11"/>
        <color indexed="15"/>
        <rFont val="Calibri"/>
      </rPr>
      <t>3CEFHI</t>
    </r>
  </si>
  <si>
    <t xml:space="preserve">1G - </t>
  </si>
  <si>
    <r>
      <rPr>
        <sz val="11"/>
        <color indexed="12"/>
        <rFont val="Calibri"/>
      </rPr>
      <t>L</t>
    </r>
  </si>
  <si>
    <t>3EHIJK</t>
  </si>
  <si>
    <t>W80</t>
  </si>
  <si>
    <t>1L-3EHIJK</t>
  </si>
  <si>
    <r>
      <rPr>
        <sz val="11"/>
        <color indexed="15"/>
        <rFont val="Calibri"/>
      </rPr>
      <t>3EHIJK</t>
    </r>
  </si>
  <si>
    <t xml:space="preserve">1I - </t>
  </si>
  <si>
    <r>
      <rPr>
        <sz val="11"/>
        <color indexed="12"/>
        <rFont val="Calibri"/>
      </rPr>
      <t>H</t>
    </r>
  </si>
  <si>
    <t>3BEFIJ</t>
  </si>
  <si>
    <t>W82</t>
  </si>
  <si>
    <t>1D-3BEFIJ</t>
  </si>
  <si>
    <r>
      <rPr>
        <sz val="11"/>
        <color indexed="15"/>
        <rFont val="Calibri"/>
      </rPr>
      <t>3AEHIJ</t>
    </r>
  </si>
  <si>
    <t xml:space="preserve">1K - </t>
  </si>
  <si>
    <t>3AEHIJ</t>
  </si>
  <si>
    <t>W81</t>
  </si>
  <si>
    <t>1G-3AEHIJ</t>
  </si>
  <si>
    <r>
      <rPr>
        <sz val="11"/>
        <color indexed="15"/>
        <rFont val="Calibri"/>
      </rPr>
      <t>3BEFIJ</t>
    </r>
  </si>
  <si>
    <t xml:space="preserve">1L - </t>
  </si>
  <si>
    <t>W84</t>
  </si>
  <si>
    <t>2K-2L</t>
  </si>
  <si>
    <r>
      <rPr>
        <sz val="11"/>
        <color indexed="15"/>
        <rFont val="Calibri"/>
      </rPr>
      <t>2J</t>
    </r>
  </si>
  <si>
    <t>Corresponde a los grupos…</t>
  </si>
  <si>
    <t>W83</t>
  </si>
  <si>
    <t>1H-2J</t>
  </si>
  <si>
    <r>
      <rPr>
        <sz val="11"/>
        <color indexed="15"/>
        <rFont val="Calibri"/>
      </rPr>
      <t>2L</t>
    </r>
  </si>
  <si>
    <r>
      <rPr>
        <sz val="11"/>
        <color indexed="12"/>
        <rFont val="Calibri"/>
      </rPr>
      <t>ABEFGHJL</t>
    </r>
  </si>
  <si>
    <t>3EFGIJ</t>
  </si>
  <si>
    <t>W85</t>
  </si>
  <si>
    <t>1B-3EFGIJ</t>
  </si>
  <si>
    <r>
      <rPr>
        <sz val="11"/>
        <color indexed="15"/>
        <rFont val="Calibri"/>
      </rPr>
      <t>3EFGIJ</t>
    </r>
  </si>
  <si>
    <t>W88</t>
  </si>
  <si>
    <t>1J-2H</t>
  </si>
  <si>
    <r>
      <rPr>
        <sz val="11"/>
        <color indexed="15"/>
        <rFont val="Calibri"/>
      </rPr>
      <t>2G</t>
    </r>
  </si>
  <si>
    <t>3DEIJL</t>
  </si>
  <si>
    <t>W86</t>
  </si>
  <si>
    <t>1K-3DEIJL</t>
  </si>
  <si>
    <r>
      <rPr>
        <sz val="11"/>
        <color indexed="15"/>
        <rFont val="Calibri"/>
      </rPr>
      <t>2H</t>
    </r>
  </si>
  <si>
    <t>W87</t>
  </si>
  <si>
    <t>2D-2G</t>
  </si>
  <si>
    <r>
      <rPr>
        <sz val="11"/>
        <color indexed="15"/>
        <rFont val="Calibri"/>
      </rPr>
      <t>3DEIJL</t>
    </r>
  </si>
  <si>
    <t>Octavos de final</t>
  </si>
  <si>
    <t>W90</t>
  </si>
  <si>
    <t>W74-W77</t>
  </si>
  <si>
    <r>
      <rPr>
        <sz val="11"/>
        <color indexed="12"/>
        <rFont val="Calibri"/>
      </rPr>
      <t>W74</t>
    </r>
  </si>
  <si>
    <r>
      <rPr>
        <sz val="11"/>
        <color indexed="12"/>
        <rFont val="Calibri"/>
      </rPr>
      <t>W77</t>
    </r>
  </si>
  <si>
    <t>1/8</t>
  </si>
  <si>
    <r>
      <rPr>
        <sz val="11"/>
        <color indexed="15"/>
        <rFont val="Calibri"/>
      </rPr>
      <t>W73</t>
    </r>
  </si>
  <si>
    <r>
      <rPr>
        <sz val="11"/>
        <color indexed="15"/>
        <rFont val="Calibri"/>
      </rPr>
      <t>W75</t>
    </r>
  </si>
  <si>
    <t>W89</t>
  </si>
  <si>
    <t>W73-W75</t>
  </si>
  <si>
    <r>
      <rPr>
        <sz val="11"/>
        <color indexed="12"/>
        <rFont val="Calibri"/>
      </rPr>
      <t>W73</t>
    </r>
  </si>
  <si>
    <r>
      <rPr>
        <sz val="11"/>
        <color indexed="12"/>
        <rFont val="Calibri"/>
      </rPr>
      <t>W75</t>
    </r>
  </si>
  <si>
    <r>
      <rPr>
        <sz val="11"/>
        <color indexed="15"/>
        <rFont val="Calibri"/>
      </rPr>
      <t>W74</t>
    </r>
  </si>
  <si>
    <r>
      <rPr>
        <sz val="11"/>
        <color indexed="15"/>
        <rFont val="Calibri"/>
      </rPr>
      <t>W77</t>
    </r>
  </si>
  <si>
    <t>W91</t>
  </si>
  <si>
    <t>W76-W78</t>
  </si>
  <si>
    <r>
      <rPr>
        <sz val="11"/>
        <color indexed="12"/>
        <rFont val="Calibri"/>
      </rPr>
      <t>W76</t>
    </r>
  </si>
  <si>
    <r>
      <rPr>
        <sz val="11"/>
        <color indexed="12"/>
        <rFont val="Calibri"/>
      </rPr>
      <t>W78</t>
    </r>
  </si>
  <si>
    <r>
      <rPr>
        <sz val="11"/>
        <color indexed="15"/>
        <rFont val="Calibri"/>
      </rPr>
      <t>W76</t>
    </r>
  </si>
  <si>
    <r>
      <rPr>
        <sz val="11"/>
        <color indexed="15"/>
        <rFont val="Calibri"/>
      </rPr>
      <t>W78</t>
    </r>
  </si>
  <si>
    <t>W92</t>
  </si>
  <si>
    <t>W79-W80</t>
  </si>
  <si>
    <r>
      <rPr>
        <sz val="11"/>
        <color indexed="12"/>
        <rFont val="Calibri"/>
      </rPr>
      <t>W79</t>
    </r>
  </si>
  <si>
    <r>
      <rPr>
        <sz val="11"/>
        <color indexed="12"/>
        <rFont val="Calibri"/>
      </rPr>
      <t>W80</t>
    </r>
  </si>
  <si>
    <r>
      <rPr>
        <sz val="11"/>
        <color indexed="15"/>
        <rFont val="Calibri"/>
      </rPr>
      <t>W79</t>
    </r>
  </si>
  <si>
    <r>
      <rPr>
        <sz val="11"/>
        <color indexed="15"/>
        <rFont val="Calibri"/>
      </rPr>
      <t>W80</t>
    </r>
  </si>
  <si>
    <t>W93</t>
  </si>
  <si>
    <t>W83-W84</t>
  </si>
  <si>
    <r>
      <rPr>
        <sz val="11"/>
        <color indexed="12"/>
        <rFont val="Calibri"/>
      </rPr>
      <t>W83</t>
    </r>
  </si>
  <si>
    <r>
      <rPr>
        <sz val="11"/>
        <color indexed="12"/>
        <rFont val="Calibri"/>
      </rPr>
      <t>W84</t>
    </r>
  </si>
  <si>
    <r>
      <rPr>
        <sz val="11"/>
        <color indexed="15"/>
        <rFont val="Calibri"/>
      </rPr>
      <t>W83</t>
    </r>
  </si>
  <si>
    <r>
      <rPr>
        <sz val="11"/>
        <color indexed="15"/>
        <rFont val="Calibri"/>
      </rPr>
      <t>W84</t>
    </r>
  </si>
  <si>
    <t>W94</t>
  </si>
  <si>
    <t>W81-W82</t>
  </si>
  <si>
    <r>
      <rPr>
        <sz val="11"/>
        <color indexed="12"/>
        <rFont val="Calibri"/>
      </rPr>
      <t>W81</t>
    </r>
  </si>
  <si>
    <r>
      <rPr>
        <sz val="11"/>
        <color indexed="12"/>
        <rFont val="Calibri"/>
      </rPr>
      <t>W82</t>
    </r>
  </si>
  <si>
    <r>
      <rPr>
        <sz val="11"/>
        <color indexed="15"/>
        <rFont val="Calibri"/>
      </rPr>
      <t>W81</t>
    </r>
  </si>
  <si>
    <r>
      <rPr>
        <sz val="11"/>
        <color indexed="15"/>
        <rFont val="Calibri"/>
      </rPr>
      <t>W82</t>
    </r>
  </si>
  <si>
    <t>W95</t>
  </si>
  <si>
    <t>W86-W88</t>
  </si>
  <si>
    <r>
      <rPr>
        <sz val="11"/>
        <color indexed="12"/>
        <rFont val="Calibri"/>
      </rPr>
      <t>W86</t>
    </r>
  </si>
  <si>
    <r>
      <rPr>
        <sz val="11"/>
        <color indexed="12"/>
        <rFont val="Calibri"/>
      </rPr>
      <t>W88</t>
    </r>
  </si>
  <si>
    <r>
      <rPr>
        <sz val="11"/>
        <color indexed="15"/>
        <rFont val="Calibri"/>
      </rPr>
      <t>W86</t>
    </r>
  </si>
  <si>
    <r>
      <rPr>
        <sz val="11"/>
        <color indexed="15"/>
        <rFont val="Calibri"/>
      </rPr>
      <t>W88</t>
    </r>
  </si>
  <si>
    <t>W96</t>
  </si>
  <si>
    <t>W85-W87</t>
  </si>
  <si>
    <r>
      <rPr>
        <sz val="11"/>
        <color indexed="12"/>
        <rFont val="Calibri"/>
      </rPr>
      <t>W85</t>
    </r>
  </si>
  <si>
    <r>
      <rPr>
        <sz val="11"/>
        <color indexed="12"/>
        <rFont val="Calibri"/>
      </rPr>
      <t>W87</t>
    </r>
  </si>
  <si>
    <r>
      <rPr>
        <sz val="11"/>
        <color indexed="15"/>
        <rFont val="Calibri"/>
      </rPr>
      <t>W85</t>
    </r>
  </si>
  <si>
    <r>
      <rPr>
        <sz val="11"/>
        <color indexed="15"/>
        <rFont val="Calibri"/>
      </rPr>
      <t>W87</t>
    </r>
  </si>
  <si>
    <t>Cuartos de final</t>
  </si>
  <si>
    <t>W97</t>
  </si>
  <si>
    <t>W89-W90</t>
  </si>
  <si>
    <r>
      <rPr>
        <sz val="11"/>
        <color indexed="12"/>
        <rFont val="Calibri"/>
      </rPr>
      <t>W89</t>
    </r>
  </si>
  <si>
    <r>
      <rPr>
        <sz val="11"/>
        <color indexed="12"/>
        <rFont val="Calibri"/>
      </rPr>
      <t>W90</t>
    </r>
  </si>
  <si>
    <t>1/4</t>
  </si>
  <si>
    <r>
      <rPr>
        <sz val="11"/>
        <color indexed="15"/>
        <rFont val="Calibri"/>
      </rPr>
      <t>W89</t>
    </r>
  </si>
  <si>
    <r>
      <rPr>
        <sz val="11"/>
        <color indexed="15"/>
        <rFont val="Calibri"/>
      </rPr>
      <t>W90</t>
    </r>
  </si>
  <si>
    <t>W98</t>
  </si>
  <si>
    <t>W93-W94</t>
  </si>
  <si>
    <r>
      <rPr>
        <sz val="11"/>
        <color indexed="12"/>
        <rFont val="Calibri"/>
      </rPr>
      <t>W93</t>
    </r>
  </si>
  <si>
    <r>
      <rPr>
        <sz val="11"/>
        <color indexed="12"/>
        <rFont val="Calibri"/>
      </rPr>
      <t>W94</t>
    </r>
  </si>
  <si>
    <r>
      <rPr>
        <sz val="11"/>
        <color indexed="15"/>
        <rFont val="Calibri"/>
      </rPr>
      <t>W93</t>
    </r>
  </si>
  <si>
    <r>
      <rPr>
        <sz val="11"/>
        <color indexed="15"/>
        <rFont val="Calibri"/>
      </rPr>
      <t>W94</t>
    </r>
  </si>
  <si>
    <t>W99</t>
  </si>
  <si>
    <t>W91-W92</t>
  </si>
  <si>
    <r>
      <rPr>
        <sz val="11"/>
        <color indexed="12"/>
        <rFont val="Calibri"/>
      </rPr>
      <t>W91</t>
    </r>
  </si>
  <si>
    <r>
      <rPr>
        <sz val="11"/>
        <color indexed="12"/>
        <rFont val="Calibri"/>
      </rPr>
      <t>W92</t>
    </r>
  </si>
  <si>
    <r>
      <rPr>
        <sz val="11"/>
        <color indexed="15"/>
        <rFont val="Calibri"/>
      </rPr>
      <t>W91</t>
    </r>
  </si>
  <si>
    <r>
      <rPr>
        <sz val="11"/>
        <color indexed="15"/>
        <rFont val="Calibri"/>
      </rPr>
      <t>W92</t>
    </r>
  </si>
  <si>
    <t>W100</t>
  </si>
  <si>
    <t>W95-W96</t>
  </si>
  <si>
    <r>
      <rPr>
        <sz val="11"/>
        <color indexed="12"/>
        <rFont val="Calibri"/>
      </rPr>
      <t>W95</t>
    </r>
  </si>
  <si>
    <r>
      <rPr>
        <sz val="11"/>
        <color indexed="12"/>
        <rFont val="Calibri"/>
      </rPr>
      <t>W96</t>
    </r>
  </si>
  <si>
    <r>
      <rPr>
        <sz val="11"/>
        <color indexed="15"/>
        <rFont val="Calibri"/>
      </rPr>
      <t>W95</t>
    </r>
  </si>
  <si>
    <r>
      <rPr>
        <sz val="11"/>
        <color indexed="15"/>
        <rFont val="Calibri"/>
      </rPr>
      <t>W96</t>
    </r>
  </si>
  <si>
    <t>EL 34 y la FINAL van diferentes como cogen los equipos, van directos, sin formulas previas</t>
  </si>
  <si>
    <t>Semifinales</t>
  </si>
  <si>
    <t>LOOSERS</t>
  </si>
  <si>
    <t>W101</t>
  </si>
  <si>
    <t>L101</t>
  </si>
  <si>
    <t>W97-W98</t>
  </si>
  <si>
    <r>
      <rPr>
        <sz val="11"/>
        <color indexed="12"/>
        <rFont val="Calibri"/>
      </rPr>
      <t>W97</t>
    </r>
  </si>
  <si>
    <r>
      <rPr>
        <sz val="11"/>
        <color indexed="12"/>
        <rFont val="Calibri"/>
      </rPr>
      <t>W98</t>
    </r>
  </si>
  <si>
    <t>1/2</t>
  </si>
  <si>
    <r>
      <rPr>
        <sz val="11"/>
        <color indexed="15"/>
        <rFont val="Calibri"/>
      </rPr>
      <t>W97</t>
    </r>
  </si>
  <si>
    <r>
      <rPr>
        <sz val="11"/>
        <color indexed="15"/>
        <rFont val="Calibri"/>
      </rPr>
      <t>W98</t>
    </r>
  </si>
  <si>
    <t>W102</t>
  </si>
  <si>
    <t>L102</t>
  </si>
  <si>
    <t>W99-W100</t>
  </si>
  <si>
    <r>
      <rPr>
        <sz val="11"/>
        <color indexed="12"/>
        <rFont val="Calibri"/>
      </rPr>
      <t>W99</t>
    </r>
  </si>
  <si>
    <r>
      <rPr>
        <sz val="11"/>
        <color indexed="12"/>
        <rFont val="Calibri"/>
      </rPr>
      <t>W100</t>
    </r>
  </si>
  <si>
    <r>
      <rPr>
        <sz val="11"/>
        <color indexed="15"/>
        <rFont val="Calibri"/>
      </rPr>
      <t>W99</t>
    </r>
  </si>
  <si>
    <r>
      <rPr>
        <sz val="11"/>
        <color indexed="15"/>
        <rFont val="Calibri"/>
      </rPr>
      <t>W100</t>
    </r>
  </si>
  <si>
    <t>3º y 4º puesto</t>
  </si>
  <si>
    <t>W103</t>
  </si>
  <si>
    <t>L101-L102</t>
  </si>
  <si>
    <r>
      <rPr>
        <sz val="11"/>
        <color indexed="12"/>
        <rFont val="Calibri"/>
      </rPr>
      <t>W101</t>
    </r>
  </si>
  <si>
    <r>
      <rPr>
        <sz val="11"/>
        <color indexed="12"/>
        <rFont val="Calibri"/>
      </rPr>
      <t>W102</t>
    </r>
  </si>
  <si>
    <t>3-4</t>
  </si>
  <si>
    <t>Final</t>
  </si>
  <si>
    <t>W104</t>
  </si>
  <si>
    <t>LF</t>
  </si>
  <si>
    <t>W101-W102</t>
  </si>
  <si>
    <t>PORRA INCOMPLETA:</t>
  </si>
  <si>
    <t>Aún falta alguna apuesta</t>
  </si>
  <si>
    <t>Cuadro de honor</t>
  </si>
  <si>
    <t>🥇Campeón</t>
  </si>
  <si>
    <t>WF</t>
  </si>
  <si>
    <t>🥈Subcampeón</t>
  </si>
  <si>
    <t>🥉3º puesto</t>
  </si>
  <si>
    <t>W34</t>
  </si>
  <si>
    <t>Bota de Oro  (máximo goleador)</t>
  </si>
  <si>
    <t>Escribe un jugador</t>
  </si>
  <si>
    <t>Bota de Plata (2º máximo goleador)</t>
  </si>
  <si>
    <t>Bota de Bronce (3º máximo goleador)</t>
  </si>
  <si>
    <t>Balón de Oro  (mejor jugador)</t>
  </si>
  <si>
    <t>Balón de Plata (2º mejor jugador)</t>
  </si>
  <si>
    <t>Balón de Bronce (3º mejor jugador)</t>
  </si>
  <si>
    <t>Para el administrador de la porra</t>
  </si>
  <si>
    <t>EL ADMINISTRADOR DE LA PORRA SEGUIRÁ LAS INSTRUCCIONES DE AQUÍ ABAJO</t>
  </si>
  <si>
    <t>·Si haceis todo el Mundial de golpe, copiar de la C5 a la C258 y pegar valores en la plantilla de Administrador.</t>
  </si>
  <si>
    <t>¡No tocar nada, se rellena solo!</t>
  </si>
  <si>
    <t>·Si haceis toda la fase de grupos de golpe y las eliminatorias aparte, copiar primero de la C5 a la C161 y pegar valores en la plantilla de Administrador. Y también copiar y pegar valores de la C253 a la C258. En dieciseisavos seguir las instrucciones de abajo.</t>
  </si>
  <si>
    <t>FASE DE GRUPOS</t>
  </si>
  <si>
    <r>
      <rPr>
        <sz val="11"/>
        <color indexed="15"/>
        <rFont val="Calibri"/>
      </rPr>
      <t>Nombre</t>
    </r>
  </si>
  <si>
    <t>·Si haceis jornada a jornada seguir las instrucciones de cada jornada</t>
  </si>
  <si>
    <t>A1</t>
  </si>
  <si>
    <r>
      <rPr>
        <sz val="11"/>
        <color indexed="15"/>
        <rFont val="Calibri"/>
      </rPr>
      <t>México-Sudáfrica</t>
    </r>
  </si>
  <si>
    <t>1|2-1</t>
  </si>
  <si>
    <t>·Para la primera jornada copiar de la C5 a la C29 y pega valores en la plantilla de administrador. ¡OJO! COPIAR TAMBIÉN de la C253 a la C258.</t>
  </si>
  <si>
    <r>
      <rPr>
        <sz val="11"/>
        <color indexed="15"/>
        <rFont val="Calibri"/>
      </rPr>
      <t>Corea del Sur-República Checa</t>
    </r>
  </si>
  <si>
    <t>1|1-0</t>
  </si>
  <si>
    <t>B1</t>
  </si>
  <si>
    <r>
      <rPr>
        <sz val="11"/>
        <color indexed="15"/>
        <rFont val="Calibri"/>
      </rPr>
      <t>Canadá-Bosnia y Herzegovina</t>
    </r>
  </si>
  <si>
    <t>1|2-0</t>
  </si>
  <si>
    <r>
      <rPr>
        <sz val="11"/>
        <color indexed="15"/>
        <rFont val="Calibri"/>
      </rPr>
      <t>Catar-Suiza</t>
    </r>
  </si>
  <si>
    <t>X|1-1</t>
  </si>
  <si>
    <t>C1</t>
  </si>
  <si>
    <r>
      <rPr>
        <sz val="11"/>
        <color indexed="15"/>
        <rFont val="Calibri"/>
      </rPr>
      <t>Brasil-Marruecos</t>
    </r>
  </si>
  <si>
    <r>
      <rPr>
        <sz val="11"/>
        <color indexed="15"/>
        <rFont val="Calibri"/>
      </rPr>
      <t>Haití-Escocia</t>
    </r>
  </si>
  <si>
    <t>X|0-0</t>
  </si>
  <si>
    <t>D1</t>
  </si>
  <si>
    <r>
      <rPr>
        <sz val="11"/>
        <color indexed="15"/>
        <rFont val="Calibri"/>
      </rPr>
      <t>Estados Unidos-Paraguay</t>
    </r>
  </si>
  <si>
    <r>
      <rPr>
        <sz val="11"/>
        <color indexed="15"/>
        <rFont val="Calibri"/>
      </rPr>
      <t>Australia-Turquía</t>
    </r>
  </si>
  <si>
    <t>2|1-3</t>
  </si>
  <si>
    <t>E1</t>
  </si>
  <si>
    <r>
      <rPr>
        <sz val="11"/>
        <color indexed="15"/>
        <rFont val="Calibri"/>
      </rPr>
      <t>Alemania-Curazao</t>
    </r>
  </si>
  <si>
    <t>1|3-0</t>
  </si>
  <si>
    <r>
      <rPr>
        <sz val="11"/>
        <color indexed="15"/>
        <rFont val="Calibri"/>
      </rPr>
      <t>Costa de Marfil-Ecuador</t>
    </r>
  </si>
  <si>
    <t>F1</t>
  </si>
  <si>
    <r>
      <rPr>
        <sz val="11"/>
        <color indexed="15"/>
        <rFont val="Calibri"/>
      </rPr>
      <t>Países Bajos-Japón</t>
    </r>
  </si>
  <si>
    <r>
      <rPr>
        <sz val="11"/>
        <color indexed="15"/>
        <rFont val="Calibri"/>
      </rPr>
      <t>Suecia-Túnez</t>
    </r>
  </si>
  <si>
    <t>G1</t>
  </si>
  <si>
    <r>
      <rPr>
        <sz val="11"/>
        <color indexed="15"/>
        <rFont val="Calibri"/>
      </rPr>
      <t>Bélgica-Egipto</t>
    </r>
  </si>
  <si>
    <r>
      <rPr>
        <sz val="11"/>
        <color indexed="15"/>
        <rFont val="Calibri"/>
      </rPr>
      <t>Irán-Nueva Zelanda</t>
    </r>
  </si>
  <si>
    <t>H1</t>
  </si>
  <si>
    <r>
      <rPr>
        <sz val="11"/>
        <color indexed="15"/>
        <rFont val="Calibri"/>
      </rPr>
      <t>España-Cabo Verde</t>
    </r>
  </si>
  <si>
    <r>
      <rPr>
        <sz val="11"/>
        <color indexed="15"/>
        <rFont val="Calibri"/>
      </rPr>
      <t>Arabia Saudita-Uruguay</t>
    </r>
  </si>
  <si>
    <t>2|1-2</t>
  </si>
  <si>
    <t>I1</t>
  </si>
  <si>
    <r>
      <rPr>
        <sz val="11"/>
        <color indexed="15"/>
        <rFont val="Calibri"/>
      </rPr>
      <t>Francia-Senegal</t>
    </r>
  </si>
  <si>
    <t>1|3-1</t>
  </si>
  <si>
    <r>
      <rPr>
        <sz val="11"/>
        <color indexed="15"/>
        <rFont val="Calibri"/>
      </rPr>
      <t>Irak-Noruega</t>
    </r>
  </si>
  <si>
    <t>2|0-2</t>
  </si>
  <si>
    <r>
      <rPr>
        <sz val="11"/>
        <color indexed="15"/>
        <rFont val="Calibri"/>
      </rPr>
      <t>Argentina-Argelia</t>
    </r>
  </si>
  <si>
    <r>
      <rPr>
        <sz val="11"/>
        <color indexed="15"/>
        <rFont val="Calibri"/>
      </rPr>
      <t>Austria-Jordania</t>
    </r>
  </si>
  <si>
    <t>K1</t>
  </si>
  <si>
    <r>
      <rPr>
        <sz val="11"/>
        <color indexed="15"/>
        <rFont val="Calibri"/>
      </rPr>
      <t>Portugal-RD Congo</t>
    </r>
  </si>
  <si>
    <r>
      <rPr>
        <sz val="11"/>
        <color indexed="15"/>
        <rFont val="Calibri"/>
      </rPr>
      <t>Uzbekistán-Colombia</t>
    </r>
  </si>
  <si>
    <t>2|0-1</t>
  </si>
  <si>
    <t>L1</t>
  </si>
  <si>
    <r>
      <rPr>
        <sz val="11"/>
        <color indexed="15"/>
        <rFont val="Calibri"/>
      </rPr>
      <t>Inglaterra-Croacia</t>
    </r>
  </si>
  <si>
    <r>
      <rPr>
        <sz val="11"/>
        <color indexed="15"/>
        <rFont val="Calibri"/>
      </rPr>
      <t>Ghana-Panamá</t>
    </r>
  </si>
  <si>
    <t>A2</t>
  </si>
  <si>
    <r>
      <rPr>
        <sz val="11"/>
        <color indexed="15"/>
        <rFont val="Calibri"/>
      </rPr>
      <t>República Checa-Sudáfrica</t>
    </r>
  </si>
  <si>
    <t>·Para la segunda jornada copiar de la C30 a la C53 y pega valores en la plantilla de administrador.</t>
  </si>
  <si>
    <r>
      <rPr>
        <sz val="11"/>
        <color indexed="15"/>
        <rFont val="Calibri"/>
      </rPr>
      <t>México-Corea del Sur</t>
    </r>
  </si>
  <si>
    <t>B2</t>
  </si>
  <si>
    <r>
      <rPr>
        <sz val="11"/>
        <color indexed="15"/>
        <rFont val="Calibri"/>
      </rPr>
      <t>Suiza-Bosnia y Herzegovina</t>
    </r>
  </si>
  <si>
    <r>
      <rPr>
        <sz val="11"/>
        <color indexed="15"/>
        <rFont val="Calibri"/>
      </rPr>
      <t>Canadá-Catar</t>
    </r>
  </si>
  <si>
    <t>X|2-2</t>
  </si>
  <si>
    <t>C2</t>
  </si>
  <si>
    <r>
      <rPr>
        <sz val="11"/>
        <color indexed="15"/>
        <rFont val="Calibri"/>
      </rPr>
      <t>Escocia-Marruecos</t>
    </r>
  </si>
  <si>
    <r>
      <rPr>
        <sz val="11"/>
        <color indexed="15"/>
        <rFont val="Calibri"/>
      </rPr>
      <t>Brasil-Haití</t>
    </r>
  </si>
  <si>
    <t>D2</t>
  </si>
  <si>
    <r>
      <rPr>
        <sz val="11"/>
        <color indexed="15"/>
        <rFont val="Calibri"/>
      </rPr>
      <t>Estados Unidos-Australia</t>
    </r>
  </si>
  <si>
    <r>
      <rPr>
        <sz val="11"/>
        <color indexed="15"/>
        <rFont val="Calibri"/>
      </rPr>
      <t>Turquía-Paraguay</t>
    </r>
  </si>
  <si>
    <t>1|3-2</t>
  </si>
  <si>
    <t>E2</t>
  </si>
  <si>
    <r>
      <rPr>
        <sz val="11"/>
        <color indexed="15"/>
        <rFont val="Calibri"/>
      </rPr>
      <t>Alemania-Costa de Marfil</t>
    </r>
  </si>
  <si>
    <r>
      <rPr>
        <sz val="11"/>
        <color indexed="15"/>
        <rFont val="Calibri"/>
      </rPr>
      <t>Ecuador-Curazao</t>
    </r>
  </si>
  <si>
    <t>F2</t>
  </si>
  <si>
    <r>
      <rPr>
        <sz val="11"/>
        <color indexed="15"/>
        <rFont val="Calibri"/>
      </rPr>
      <t>Países Bajos-Suecia</t>
    </r>
  </si>
  <si>
    <r>
      <rPr>
        <sz val="11"/>
        <color indexed="15"/>
        <rFont val="Calibri"/>
      </rPr>
      <t>Túnez-Japón</t>
    </r>
  </si>
  <si>
    <t>G2</t>
  </si>
  <si>
    <r>
      <rPr>
        <sz val="11"/>
        <color indexed="15"/>
        <rFont val="Calibri"/>
      </rPr>
      <t>Bélgica-Irán</t>
    </r>
  </si>
  <si>
    <r>
      <rPr>
        <sz val="11"/>
        <color indexed="15"/>
        <rFont val="Calibri"/>
      </rPr>
      <t>Nueva Zelanda-Egipto</t>
    </r>
  </si>
  <si>
    <t>H2</t>
  </si>
  <si>
    <r>
      <rPr>
        <sz val="11"/>
        <color indexed="15"/>
        <rFont val="Calibri"/>
      </rPr>
      <t>España-Arabia Saudita</t>
    </r>
  </si>
  <si>
    <r>
      <rPr>
        <sz val="11"/>
        <color indexed="15"/>
        <rFont val="Calibri"/>
      </rPr>
      <t>Uruguay-Cabo Verde</t>
    </r>
  </si>
  <si>
    <t>I2</t>
  </si>
  <si>
    <r>
      <rPr>
        <sz val="11"/>
        <color indexed="15"/>
        <rFont val="Calibri"/>
      </rPr>
      <t>Francia-Irak</t>
    </r>
  </si>
  <si>
    <r>
      <rPr>
        <sz val="11"/>
        <color indexed="15"/>
        <rFont val="Calibri"/>
      </rPr>
      <t>Noruega-Senegal</t>
    </r>
  </si>
  <si>
    <r>
      <rPr>
        <sz val="11"/>
        <color indexed="15"/>
        <rFont val="Calibri"/>
      </rPr>
      <t>Argentina-Austria</t>
    </r>
  </si>
  <si>
    <r>
      <rPr>
        <sz val="11"/>
        <color indexed="15"/>
        <rFont val="Calibri"/>
      </rPr>
      <t>Jordania-Argelia</t>
    </r>
  </si>
  <si>
    <t>K2</t>
  </si>
  <si>
    <r>
      <rPr>
        <sz val="11"/>
        <color indexed="15"/>
        <rFont val="Calibri"/>
      </rPr>
      <t>Portugal-Uzbekistán</t>
    </r>
  </si>
  <si>
    <r>
      <rPr>
        <sz val="11"/>
        <color indexed="15"/>
        <rFont val="Calibri"/>
      </rPr>
      <t>Colombia-RD Congo</t>
    </r>
  </si>
  <si>
    <t>L2</t>
  </si>
  <si>
    <r>
      <rPr>
        <sz val="11"/>
        <color indexed="15"/>
        <rFont val="Calibri"/>
      </rPr>
      <t>Inglaterra-Ghana</t>
    </r>
  </si>
  <si>
    <r>
      <rPr>
        <sz val="11"/>
        <color indexed="15"/>
        <rFont val="Calibri"/>
      </rPr>
      <t>Panamá-Croacia</t>
    </r>
  </si>
  <si>
    <t>A3</t>
  </si>
  <si>
    <r>
      <rPr>
        <sz val="11"/>
        <color indexed="15"/>
        <rFont val="Calibri"/>
      </rPr>
      <t>República Checa-México</t>
    </r>
  </si>
  <si>
    <t>·Para la tercera jornada copiar de la C54 a la C161 y pega valores en la plantilla de administrador.</t>
  </si>
  <si>
    <r>
      <rPr>
        <sz val="11"/>
        <color indexed="15"/>
        <rFont val="Calibri"/>
      </rPr>
      <t>Sudáfrica-Corea del Sur</t>
    </r>
  </si>
  <si>
    <t>B3</t>
  </si>
  <si>
    <r>
      <rPr>
        <sz val="11"/>
        <color indexed="15"/>
        <rFont val="Calibri"/>
      </rPr>
      <t>Suiza-Canadá</t>
    </r>
  </si>
  <si>
    <r>
      <rPr>
        <sz val="11"/>
        <color indexed="15"/>
        <rFont val="Calibri"/>
      </rPr>
      <t>Bosnia y Herzegovina-Catar</t>
    </r>
  </si>
  <si>
    <t>C3</t>
  </si>
  <si>
    <r>
      <rPr>
        <sz val="11"/>
        <color indexed="15"/>
        <rFont val="Calibri"/>
      </rPr>
      <t>Escocia-Brasil</t>
    </r>
  </si>
  <si>
    <r>
      <rPr>
        <sz val="11"/>
        <color indexed="15"/>
        <rFont val="Calibri"/>
      </rPr>
      <t>Marruecos-Haití</t>
    </r>
  </si>
  <si>
    <t>D3</t>
  </si>
  <si>
    <r>
      <rPr>
        <sz val="11"/>
        <color indexed="15"/>
        <rFont val="Calibri"/>
      </rPr>
      <t>Turquía-Estados Unidos</t>
    </r>
  </si>
  <si>
    <r>
      <rPr>
        <sz val="11"/>
        <color indexed="15"/>
        <rFont val="Calibri"/>
      </rPr>
      <t>Paraguay-Australia</t>
    </r>
  </si>
  <si>
    <t>E3</t>
  </si>
  <si>
    <r>
      <rPr>
        <sz val="11"/>
        <color indexed="15"/>
        <rFont val="Calibri"/>
      </rPr>
      <t>Curazao-Costa de Marfil</t>
    </r>
  </si>
  <si>
    <r>
      <rPr>
        <sz val="11"/>
        <color indexed="15"/>
        <rFont val="Calibri"/>
      </rPr>
      <t>Ecuador-Alemania</t>
    </r>
  </si>
  <si>
    <t>F3</t>
  </si>
  <si>
    <r>
      <rPr>
        <sz val="11"/>
        <color indexed="15"/>
        <rFont val="Calibri"/>
      </rPr>
      <t>Japón-Suecia</t>
    </r>
  </si>
  <si>
    <r>
      <rPr>
        <sz val="11"/>
        <color indexed="15"/>
        <rFont val="Calibri"/>
      </rPr>
      <t>Túnez-Países Bajos</t>
    </r>
  </si>
  <si>
    <t>G3</t>
  </si>
  <si>
    <r>
      <rPr>
        <sz val="11"/>
        <color indexed="15"/>
        <rFont val="Calibri"/>
      </rPr>
      <t>Egipto-Irán</t>
    </r>
  </si>
  <si>
    <r>
      <rPr>
        <sz val="11"/>
        <color indexed="15"/>
        <rFont val="Calibri"/>
      </rPr>
      <t>Nueva Zelanda-Bélgica</t>
    </r>
  </si>
  <si>
    <t>H3</t>
  </si>
  <si>
    <r>
      <rPr>
        <sz val="11"/>
        <color indexed="15"/>
        <rFont val="Calibri"/>
      </rPr>
      <t>Cabo Verde-Arabia Saudita</t>
    </r>
  </si>
  <si>
    <r>
      <rPr>
        <sz val="11"/>
        <color indexed="15"/>
        <rFont val="Calibri"/>
      </rPr>
      <t>Uruguay-España</t>
    </r>
  </si>
  <si>
    <t>I3</t>
  </si>
  <si>
    <r>
      <rPr>
        <sz val="11"/>
        <color indexed="15"/>
        <rFont val="Calibri"/>
      </rPr>
      <t>Noruega-Francia</t>
    </r>
  </si>
  <si>
    <r>
      <rPr>
        <sz val="11"/>
        <color indexed="15"/>
        <rFont val="Calibri"/>
      </rPr>
      <t>Senegal-Irak</t>
    </r>
  </si>
  <si>
    <r>
      <rPr>
        <sz val="11"/>
        <color indexed="15"/>
        <rFont val="Calibri"/>
      </rPr>
      <t>Argelia-Austria</t>
    </r>
  </si>
  <si>
    <r>
      <rPr>
        <sz val="11"/>
        <color indexed="15"/>
        <rFont val="Calibri"/>
      </rPr>
      <t>Jordania-Argentina</t>
    </r>
  </si>
  <si>
    <t>2|0-3</t>
  </si>
  <si>
    <t>K3</t>
  </si>
  <si>
    <r>
      <rPr>
        <sz val="11"/>
        <color indexed="15"/>
        <rFont val="Calibri"/>
      </rPr>
      <t>Colombia-Portugal</t>
    </r>
  </si>
  <si>
    <r>
      <rPr>
        <sz val="11"/>
        <color indexed="15"/>
        <rFont val="Calibri"/>
      </rPr>
      <t>RD Congo-Uzbekistán</t>
    </r>
  </si>
  <si>
    <t>L3</t>
  </si>
  <si>
    <r>
      <rPr>
        <sz val="11"/>
        <color indexed="15"/>
        <rFont val="Calibri"/>
      </rPr>
      <t>Panamá-Inglaterra</t>
    </r>
  </si>
  <si>
    <r>
      <rPr>
        <sz val="11"/>
        <color indexed="15"/>
        <rFont val="Calibri"/>
      </rPr>
      <t>Croacia-Ghana</t>
    </r>
  </si>
  <si>
    <t>POSICIÓN GRUPOS</t>
  </si>
  <si>
    <t>1º GRUPO A</t>
  </si>
  <si>
    <t>2º GRUPO A</t>
  </si>
  <si>
    <t>3º GRUPO A</t>
  </si>
  <si>
    <t>4º GRUPO A</t>
  </si>
  <si>
    <t>1º GRUPO B</t>
  </si>
  <si>
    <t>2º GRUPO B</t>
  </si>
  <si>
    <t>3º GRUPO B</t>
  </si>
  <si>
    <t>4º GRUPO B</t>
  </si>
  <si>
    <t>1º GRUPO C</t>
  </si>
  <si>
    <t>2º GRUPO C</t>
  </si>
  <si>
    <t>3º GRUPO C</t>
  </si>
  <si>
    <t>4º GRUPO C</t>
  </si>
  <si>
    <t>1º GRUPO D</t>
  </si>
  <si>
    <t>2º GRUPO D</t>
  </si>
  <si>
    <t>3º GRUPO D</t>
  </si>
  <si>
    <t>4º GRUPO D</t>
  </si>
  <si>
    <t>1º GRUPO E</t>
  </si>
  <si>
    <t>2º GRUPO E</t>
  </si>
  <si>
    <t>3º GRUPO E</t>
  </si>
  <si>
    <t>4º GRUPO E</t>
  </si>
  <si>
    <t>1º GRUPO F</t>
  </si>
  <si>
    <t>2º GRUPO F</t>
  </si>
  <si>
    <t>3º GRUPO F</t>
  </si>
  <si>
    <t>4º GRUPO F</t>
  </si>
  <si>
    <t>1º GRUPO G</t>
  </si>
  <si>
    <t>2º GRUPO G</t>
  </si>
  <si>
    <t>3º GRUPO G</t>
  </si>
  <si>
    <t>4º GRUPO G</t>
  </si>
  <si>
    <t>1º GRUPO H</t>
  </si>
  <si>
    <t>2º GRUPO H</t>
  </si>
  <si>
    <t>3º GRUPO H</t>
  </si>
  <si>
    <t>4º GRUPO H</t>
  </si>
  <si>
    <t>1º GRUPO I</t>
  </si>
  <si>
    <t>2º GRUPO I</t>
  </si>
  <si>
    <t>3º GRUPO I</t>
  </si>
  <si>
    <t>4º GRUPO I</t>
  </si>
  <si>
    <t>1º GRUPO J</t>
  </si>
  <si>
    <t>2º GRUPO J</t>
  </si>
  <si>
    <t>3º GRUPO J</t>
  </si>
  <si>
    <t>4º GRUPO J</t>
  </si>
  <si>
    <t>1º GRUPO K</t>
  </si>
  <si>
    <t>2º GRUPO K</t>
  </si>
  <si>
    <t>3º GRUPO K</t>
  </si>
  <si>
    <t>4º GRUPO K</t>
  </si>
  <si>
    <t>1º GRUPO L</t>
  </si>
  <si>
    <t>2º GRUPO L</t>
  </si>
  <si>
    <t>3º GRUPO L</t>
  </si>
  <si>
    <t>4º GRUPO L</t>
  </si>
  <si>
    <t>CLASIFICADOS PARA DIECISEISAVOS</t>
  </si>
  <si>
    <t>Dieciseisavofinalista</t>
  </si>
  <si>
    <r>
      <rPr>
        <sz val="11"/>
        <color indexed="15"/>
        <rFont val="Calibri"/>
      </rPr>
      <t>Dieciseisavofinalista</t>
    </r>
  </si>
  <si>
    <t>·Si haceis todas las eliminatorias de golpe, copiar de la C164 a la C252 y pegar valores en la plantilla de Administrador.</t>
  </si>
  <si>
    <t>ENFRENTAMIENTOS DIECISEISAVOS</t>
  </si>
  <si>
    <t>·Si haceis eliminatoria a eliminatoria seguir las instrucciones de cada eliminatoria.</t>
  </si>
  <si>
    <r>
      <rPr>
        <sz val="11"/>
        <color indexed="15"/>
        <rFont val="Calibri"/>
      </rPr>
      <t>Sudáfrica-2B</t>
    </r>
  </si>
  <si>
    <r>
      <rPr>
        <sz val="11"/>
        <color indexed="15"/>
        <rFont val="Calibri"/>
      </rPr>
      <t>Sudáfrica-2B·0|-</t>
    </r>
  </si>
  <si>
    <t>·Para los dieciseisavos copiar de la C164 a la C197 y pega valores en la plantilla de administrador.</t>
  </si>
  <si>
    <r>
      <rPr>
        <sz val="11"/>
        <color indexed="15"/>
        <rFont val="Calibri"/>
      </rPr>
      <t>Brasil-2F</t>
    </r>
  </si>
  <si>
    <r>
      <rPr>
        <sz val="11"/>
        <color indexed="15"/>
        <rFont val="Calibri"/>
      </rPr>
      <t>Brasil-2F·0|-</t>
    </r>
  </si>
  <si>
    <r>
      <rPr>
        <sz val="11"/>
        <color indexed="15"/>
        <rFont val="Calibri"/>
      </rPr>
      <t>Alemania-3ABCDF</t>
    </r>
  </si>
  <si>
    <r>
      <rPr>
        <sz val="11"/>
        <color indexed="15"/>
        <rFont val="Calibri"/>
      </rPr>
      <t>Alemania-3ABCDF·0|-</t>
    </r>
  </si>
  <si>
    <r>
      <rPr>
        <sz val="11"/>
        <color indexed="15"/>
        <rFont val="Calibri"/>
      </rPr>
      <t>Países Bajos-2C</t>
    </r>
  </si>
  <si>
    <r>
      <rPr>
        <sz val="11"/>
        <color indexed="15"/>
        <rFont val="Calibri"/>
      </rPr>
      <t>Países Bajos-2C·0|-</t>
    </r>
  </si>
  <si>
    <r>
      <rPr>
        <sz val="11"/>
        <color indexed="15"/>
        <rFont val="Calibri"/>
      </rPr>
      <t>Curazao-2I</t>
    </r>
  </si>
  <si>
    <r>
      <rPr>
        <sz val="11"/>
        <color indexed="15"/>
        <rFont val="Calibri"/>
      </rPr>
      <t>Curazao-2I·0|-</t>
    </r>
  </si>
  <si>
    <r>
      <rPr>
        <sz val="11"/>
        <color indexed="15"/>
        <rFont val="Calibri"/>
      </rPr>
      <t>Francia-3CDFGH</t>
    </r>
  </si>
  <si>
    <r>
      <rPr>
        <sz val="11"/>
        <color indexed="15"/>
        <rFont val="Calibri"/>
      </rPr>
      <t>Francia-3CDFGH·0|-</t>
    </r>
  </si>
  <si>
    <r>
      <rPr>
        <sz val="11"/>
        <color indexed="15"/>
        <rFont val="Calibri"/>
      </rPr>
      <t>México-3CEFHI</t>
    </r>
  </si>
  <si>
    <r>
      <rPr>
        <sz val="11"/>
        <color indexed="15"/>
        <rFont val="Calibri"/>
      </rPr>
      <t>México-3CEFHI·0|-</t>
    </r>
  </si>
  <si>
    <r>
      <rPr>
        <sz val="11"/>
        <color indexed="15"/>
        <rFont val="Calibri"/>
      </rPr>
      <t>Inglaterra-3EHIJK</t>
    </r>
  </si>
  <si>
    <r>
      <rPr>
        <sz val="11"/>
        <color indexed="15"/>
        <rFont val="Calibri"/>
      </rPr>
      <t>Inglaterra-3EHIJK·0|-</t>
    </r>
  </si>
  <si>
    <r>
      <rPr>
        <sz val="11"/>
        <color indexed="15"/>
        <rFont val="Calibri"/>
      </rPr>
      <t>Bélgica-3AEHIJ</t>
    </r>
  </si>
  <si>
    <r>
      <rPr>
        <sz val="11"/>
        <color indexed="15"/>
        <rFont val="Calibri"/>
      </rPr>
      <t>Bélgica-3AEHIJ·0|-</t>
    </r>
  </si>
  <si>
    <r>
      <rPr>
        <sz val="11"/>
        <color indexed="15"/>
        <rFont val="Calibri"/>
      </rPr>
      <t>Estados Unidos-3BEFIJ</t>
    </r>
  </si>
  <si>
    <r>
      <rPr>
        <sz val="11"/>
        <color indexed="15"/>
        <rFont val="Calibri"/>
      </rPr>
      <t>Estados Unidos-3BEFIJ·0|-</t>
    </r>
  </si>
  <si>
    <r>
      <rPr>
        <sz val="11"/>
        <color indexed="15"/>
        <rFont val="Calibri"/>
      </rPr>
      <t>España-2J</t>
    </r>
  </si>
  <si>
    <r>
      <rPr>
        <sz val="11"/>
        <color indexed="15"/>
        <rFont val="Calibri"/>
      </rPr>
      <t>España-2J·0|-</t>
    </r>
  </si>
  <si>
    <r>
      <rPr>
        <sz val="11"/>
        <color indexed="15"/>
        <rFont val="Calibri"/>
      </rPr>
      <t>RD Congo-2L</t>
    </r>
  </si>
  <si>
    <r>
      <rPr>
        <sz val="11"/>
        <color indexed="15"/>
        <rFont val="Calibri"/>
      </rPr>
      <t>RD Congo-2L·0|-</t>
    </r>
  </si>
  <si>
    <r>
      <rPr>
        <sz val="11"/>
        <color indexed="15"/>
        <rFont val="Calibri"/>
      </rPr>
      <t>Canadá-3EFGIJ</t>
    </r>
  </si>
  <si>
    <r>
      <rPr>
        <sz val="11"/>
        <color indexed="15"/>
        <rFont val="Calibri"/>
      </rPr>
      <t>Canadá-3EFGIJ·0|-</t>
    </r>
  </si>
  <si>
    <r>
      <rPr>
        <sz val="11"/>
        <color indexed="15"/>
        <rFont val="Calibri"/>
      </rPr>
      <t>Paraguay-2G</t>
    </r>
  </si>
  <si>
    <r>
      <rPr>
        <sz val="11"/>
        <color indexed="15"/>
        <rFont val="Calibri"/>
      </rPr>
      <t>Paraguay-2G·0|-</t>
    </r>
  </si>
  <si>
    <r>
      <rPr>
        <sz val="11"/>
        <color indexed="15"/>
        <rFont val="Calibri"/>
      </rPr>
      <t>Argentina-2H</t>
    </r>
  </si>
  <si>
    <r>
      <rPr>
        <sz val="11"/>
        <color indexed="15"/>
        <rFont val="Calibri"/>
      </rPr>
      <t>Argentina-2H·0|-</t>
    </r>
  </si>
  <si>
    <r>
      <rPr>
        <sz val="11"/>
        <color indexed="15"/>
        <rFont val="Calibri"/>
      </rPr>
      <t>Portugal-3DEIJL</t>
    </r>
  </si>
  <si>
    <r>
      <rPr>
        <sz val="11"/>
        <color indexed="15"/>
        <rFont val="Calibri"/>
      </rPr>
      <t>Portugal-3DEIJL·0|-</t>
    </r>
  </si>
  <si>
    <t>CLASIFICADOS PARA OCTAVOS</t>
  </si>
  <si>
    <t>Octavofinalista</t>
  </si>
  <si>
    <r>
      <rPr>
        <sz val="11"/>
        <color indexed="15"/>
        <rFont val="Calibri"/>
      </rPr>
      <t>Octavofinalista</t>
    </r>
  </si>
  <si>
    <t>ENFRENTAMIENTOS OCTAVOS</t>
  </si>
  <si>
    <r>
      <rPr>
        <sz val="11"/>
        <color indexed="15"/>
        <rFont val="Calibri"/>
      </rPr>
      <t>W73-W75</t>
    </r>
  </si>
  <si>
    <r>
      <rPr>
        <sz val="11"/>
        <color indexed="15"/>
        <rFont val="Calibri"/>
      </rPr>
      <t>W73-W75·0|-</t>
    </r>
  </si>
  <si>
    <t>·Para los octavos de final copiar de la C200 a la C217 y pega valores en la plantilla de administrador.</t>
  </si>
  <si>
    <r>
      <rPr>
        <sz val="11"/>
        <color indexed="15"/>
        <rFont val="Calibri"/>
      </rPr>
      <t>W74-W77</t>
    </r>
  </si>
  <si>
    <r>
      <rPr>
        <sz val="11"/>
        <color indexed="15"/>
        <rFont val="Calibri"/>
      </rPr>
      <t>W74-W77·0|-</t>
    </r>
  </si>
  <si>
    <r>
      <rPr>
        <sz val="11"/>
        <color indexed="15"/>
        <rFont val="Calibri"/>
      </rPr>
      <t>W76-W78</t>
    </r>
  </si>
  <si>
    <r>
      <rPr>
        <sz val="11"/>
        <color indexed="15"/>
        <rFont val="Calibri"/>
      </rPr>
      <t>W76-W78·0|-</t>
    </r>
  </si>
  <si>
    <r>
      <rPr>
        <sz val="11"/>
        <color indexed="15"/>
        <rFont val="Calibri"/>
      </rPr>
      <t>W79-W80</t>
    </r>
  </si>
  <si>
    <r>
      <rPr>
        <sz val="11"/>
        <color indexed="15"/>
        <rFont val="Calibri"/>
      </rPr>
      <t>W79-W80·0|-</t>
    </r>
  </si>
  <si>
    <r>
      <rPr>
        <sz val="11"/>
        <color indexed="15"/>
        <rFont val="Calibri"/>
      </rPr>
      <t>W83-W84</t>
    </r>
  </si>
  <si>
    <r>
      <rPr>
        <sz val="11"/>
        <color indexed="15"/>
        <rFont val="Calibri"/>
      </rPr>
      <t>W83-W84·0|-</t>
    </r>
  </si>
  <si>
    <r>
      <rPr>
        <sz val="11"/>
        <color indexed="15"/>
        <rFont val="Calibri"/>
      </rPr>
      <t>W81-W82</t>
    </r>
  </si>
  <si>
    <r>
      <rPr>
        <sz val="11"/>
        <color indexed="15"/>
        <rFont val="Calibri"/>
      </rPr>
      <t>W81-W82·0|-</t>
    </r>
  </si>
  <si>
    <r>
      <rPr>
        <sz val="11"/>
        <color indexed="15"/>
        <rFont val="Calibri"/>
      </rPr>
      <t>W86-W88</t>
    </r>
  </si>
  <si>
    <r>
      <rPr>
        <sz val="11"/>
        <color indexed="15"/>
        <rFont val="Calibri"/>
      </rPr>
      <t>W86-W88·0|-</t>
    </r>
  </si>
  <si>
    <r>
      <rPr>
        <sz val="11"/>
        <color indexed="15"/>
        <rFont val="Calibri"/>
      </rPr>
      <t>W85-W87</t>
    </r>
  </si>
  <si>
    <r>
      <rPr>
        <sz val="11"/>
        <color indexed="15"/>
        <rFont val="Calibri"/>
      </rPr>
      <t>W85-W87·0|-</t>
    </r>
  </si>
  <si>
    <t>CLASIFICADOS PARA CUARTOS</t>
  </si>
  <si>
    <t>Cuartofinalista</t>
  </si>
  <si>
    <r>
      <rPr>
        <sz val="11"/>
        <color indexed="15"/>
        <rFont val="Calibri"/>
      </rPr>
      <t>Cuartofinalista</t>
    </r>
  </si>
  <si>
    <t>ENFRENTAMIENTOS CUARTOS</t>
  </si>
  <si>
    <r>
      <rPr>
        <sz val="11"/>
        <color indexed="15"/>
        <rFont val="Calibri"/>
      </rPr>
      <t>W89-W90</t>
    </r>
  </si>
  <si>
    <r>
      <rPr>
        <sz val="11"/>
        <color indexed="15"/>
        <rFont val="Calibri"/>
      </rPr>
      <t>W89-W90·0|-</t>
    </r>
  </si>
  <si>
    <t>·Para los cuartos de final copiar de la C220 a la C229 y pega valores en la plantilla de administrador.</t>
  </si>
  <si>
    <r>
      <rPr>
        <sz val="11"/>
        <color indexed="15"/>
        <rFont val="Calibri"/>
      </rPr>
      <t>W93-W94</t>
    </r>
  </si>
  <si>
    <r>
      <rPr>
        <sz val="11"/>
        <color indexed="15"/>
        <rFont val="Calibri"/>
      </rPr>
      <t>W93-W94·0|-</t>
    </r>
  </si>
  <si>
    <r>
      <rPr>
        <sz val="11"/>
        <color indexed="15"/>
        <rFont val="Calibri"/>
      </rPr>
      <t>W91-W92</t>
    </r>
  </si>
  <si>
    <r>
      <rPr>
        <sz val="11"/>
        <color indexed="15"/>
        <rFont val="Calibri"/>
      </rPr>
      <t>W91-W92·0|-</t>
    </r>
  </si>
  <si>
    <r>
      <rPr>
        <sz val="11"/>
        <color indexed="15"/>
        <rFont val="Calibri"/>
      </rPr>
      <t>W95-W96</t>
    </r>
  </si>
  <si>
    <r>
      <rPr>
        <sz val="11"/>
        <color indexed="15"/>
        <rFont val="Calibri"/>
      </rPr>
      <t>W95-W96·0|-</t>
    </r>
  </si>
  <si>
    <t>CLASIFICADOS PARA SEMIFINALES</t>
  </si>
  <si>
    <t>Semifinalista</t>
  </si>
  <si>
    <t>ENFRENTAMIENTOS SEMIFINALES</t>
  </si>
  <si>
    <r>
      <rPr>
        <sz val="11"/>
        <color indexed="15"/>
        <rFont val="Calibri"/>
      </rPr>
      <t>W97-W98</t>
    </r>
  </si>
  <si>
    <r>
      <rPr>
        <sz val="11"/>
        <color indexed="15"/>
        <rFont val="Calibri"/>
      </rPr>
      <t>W97-W98·0|-</t>
    </r>
  </si>
  <si>
    <t>·Para las semifinales copiar de la C232 a la C241 y pega valores en la plantilla de administrador.</t>
  </si>
  <si>
    <r>
      <rPr>
        <sz val="11"/>
        <color indexed="15"/>
        <rFont val="Calibri"/>
      </rPr>
      <t>W99-W100</t>
    </r>
  </si>
  <si>
    <r>
      <rPr>
        <sz val="11"/>
        <color indexed="15"/>
        <rFont val="Calibri"/>
      </rPr>
      <t>W99-W100·0|-</t>
    </r>
  </si>
  <si>
    <t>CLASIFICADOS PARA EL 3º y 4º PUESTO</t>
  </si>
  <si>
    <r>
      <rPr>
        <sz val="11"/>
        <color indexed="15"/>
        <rFont val="Calibri"/>
      </rPr>
      <t>L101</t>
    </r>
  </si>
  <si>
    <r>
      <rPr>
        <sz val="11"/>
        <color indexed="15"/>
        <rFont val="Calibri"/>
      </rPr>
      <t>L102</t>
    </r>
  </si>
  <si>
    <t>CLASIFICADOS PARA LA FINAL</t>
  </si>
  <si>
    <t>Finalista</t>
  </si>
  <si>
    <r>
      <rPr>
        <sz val="11"/>
        <color indexed="15"/>
        <rFont val="Calibri"/>
      </rPr>
      <t>W101</t>
    </r>
  </si>
  <si>
    <r>
      <rPr>
        <sz val="11"/>
        <color indexed="15"/>
        <rFont val="Calibri"/>
      </rPr>
      <t>Finalista</t>
    </r>
  </si>
  <si>
    <r>
      <rPr>
        <sz val="11"/>
        <color indexed="15"/>
        <rFont val="Calibri"/>
      </rPr>
      <t>W102</t>
    </r>
  </si>
  <si>
    <t>3º-4º puesto</t>
  </si>
  <si>
    <r>
      <rPr>
        <sz val="11"/>
        <color indexed="15"/>
        <rFont val="Calibri"/>
      </rPr>
      <t>L101-L102</t>
    </r>
  </si>
  <si>
    <r>
      <rPr>
        <sz val="11"/>
        <color indexed="15"/>
        <rFont val="Calibri"/>
      </rPr>
      <t>L101-L102·0|-</t>
    </r>
  </si>
  <si>
    <t>3-4
&amp;
F</t>
  </si>
  <si>
    <t>·Para el 3º y 4º puesto y la Final copiar de la C244 a la C252 y pega valores en la plantilla de administrador.</t>
  </si>
  <si>
    <t>ENFRENTAMIENTO FINAL</t>
  </si>
  <si>
    <r>
      <rPr>
        <sz val="11"/>
        <color indexed="15"/>
        <rFont val="Calibri"/>
      </rPr>
      <t>W101-W102</t>
    </r>
  </si>
  <si>
    <r>
      <rPr>
        <sz val="11"/>
        <color indexed="15"/>
        <rFont val="Calibri"/>
      </rPr>
      <t>W101-W102·0|-</t>
    </r>
  </si>
  <si>
    <t>CUADRO DE HONOR</t>
  </si>
  <si>
    <r>
      <rPr>
        <sz val="11"/>
        <color indexed="15"/>
        <rFont val="Calibri"/>
      </rPr>
      <t>🥇Campeón</t>
    </r>
  </si>
  <si>
    <r>
      <rPr>
        <sz val="11"/>
        <color indexed="15"/>
        <rFont val="Calibri"/>
      </rPr>
      <t>WF</t>
    </r>
  </si>
  <si>
    <r>
      <rPr>
        <sz val="11"/>
        <color indexed="15"/>
        <rFont val="Calibri"/>
      </rPr>
      <t>🥈Subcampeón</t>
    </r>
  </si>
  <si>
    <r>
      <rPr>
        <sz val="11"/>
        <color indexed="15"/>
        <rFont val="Calibri"/>
      </rPr>
      <t>LF</t>
    </r>
  </si>
  <si>
    <r>
      <rPr>
        <sz val="11"/>
        <color indexed="15"/>
        <rFont val="Calibri"/>
      </rPr>
      <t>🥉3º puesto</t>
    </r>
  </si>
  <si>
    <r>
      <rPr>
        <sz val="11"/>
        <color indexed="15"/>
        <rFont val="Calibri"/>
      </rPr>
      <t>W34</t>
    </r>
  </si>
  <si>
    <r>
      <rPr>
        <sz val="11"/>
        <color indexed="15"/>
        <rFont val="Calibri"/>
      </rPr>
      <t>Bota de Oro  (máximo goleador)</t>
    </r>
  </si>
  <si>
    <r>
      <rPr>
        <sz val="11"/>
        <color indexed="15"/>
        <rFont val="Calibri"/>
      </rPr>
      <t>Escribe un jugador</t>
    </r>
  </si>
  <si>
    <t>·Al inicio de la competición si se hace por fases copiar de la C253 a la C258 y pegarla al final del jugador en el archivo de administrador.</t>
  </si>
  <si>
    <r>
      <rPr>
        <sz val="11"/>
        <color indexed="15"/>
        <rFont val="Calibri"/>
      </rPr>
      <t>Bota de Plata (2º máximo goleador)</t>
    </r>
  </si>
  <si>
    <r>
      <rPr>
        <sz val="11"/>
        <color indexed="15"/>
        <rFont val="Calibri"/>
      </rPr>
      <t>Bota de Bronce (3º máximo goleador)</t>
    </r>
  </si>
  <si>
    <r>
      <rPr>
        <sz val="11"/>
        <color indexed="15"/>
        <rFont val="Calibri"/>
      </rPr>
      <t>Balón de Oro  (mejor jugador)</t>
    </r>
  </si>
  <si>
    <r>
      <rPr>
        <sz val="11"/>
        <color indexed="15"/>
        <rFont val="Calibri"/>
      </rPr>
      <t>Balón de Plata (2º mejor jugador)</t>
    </r>
  </si>
  <si>
    <r>
      <rPr>
        <sz val="11"/>
        <color indexed="15"/>
        <rFont val="Calibri"/>
      </rPr>
      <t>Balón de Bronce (3º mejor jugador)</t>
    </r>
  </si>
  <si>
    <t>Méx</t>
  </si>
  <si>
    <t>Sud</t>
  </si>
  <si>
    <t>Sel</t>
  </si>
  <si>
    <r>
      <rPr>
        <b val="1"/>
        <sz val="11"/>
        <color indexed="15"/>
        <rFont val="Calibri"/>
      </rPr>
      <t>DG</t>
    </r>
  </si>
  <si>
    <r>
      <rPr>
        <b val="1"/>
        <sz val="11"/>
        <color indexed="15"/>
        <rFont val="Calibri"/>
      </rPr>
      <t>GF-GC</t>
    </r>
  </si>
  <si>
    <t>Bél</t>
  </si>
  <si>
    <t>Egi</t>
  </si>
  <si>
    <r>
      <rPr>
        <b val="1"/>
        <sz val="11"/>
        <color indexed="15"/>
        <rFont val="Calibri"/>
      </rPr>
      <t>Sel</t>
    </r>
  </si>
  <si>
    <r>
      <rPr>
        <b val="1"/>
        <sz val="11"/>
        <color indexed="15"/>
        <rFont val="Calibri"/>
      </rPr>
      <t>Pts</t>
    </r>
  </si>
  <si>
    <t>Ale</t>
  </si>
  <si>
    <t>3º</t>
  </si>
  <si>
    <t>2º</t>
  </si>
  <si>
    <t>1º</t>
  </si>
  <si>
    <t>Cor</t>
  </si>
  <si>
    <t>Rep</t>
  </si>
  <si>
    <r>
      <rPr>
        <b val="1"/>
        <sz val="11"/>
        <color indexed="15"/>
        <rFont val="Calibri"/>
      </rPr>
      <t>Méx</t>
    </r>
  </si>
  <si>
    <t>3-3</t>
  </si>
  <si>
    <t>Irá</t>
  </si>
  <si>
    <t>Nue</t>
  </si>
  <si>
    <r>
      <rPr>
        <b val="1"/>
        <sz val="11"/>
        <color indexed="15"/>
        <rFont val="Calibri"/>
      </rPr>
      <t>Bél</t>
    </r>
  </si>
  <si>
    <t>6-2</t>
  </si>
  <si>
    <r>
      <rPr>
        <b val="1"/>
        <sz val="11"/>
        <color indexed="15"/>
        <rFont val="Calibri"/>
      </rPr>
      <t>3AB</t>
    </r>
  </si>
  <si>
    <r>
      <rPr>
        <b val="1"/>
        <sz val="11"/>
        <color indexed="15"/>
        <rFont val="Calibri"/>
      </rPr>
      <t>Sud</t>
    </r>
  </si>
  <si>
    <t>4-5</t>
  </si>
  <si>
    <r>
      <rPr>
        <b val="1"/>
        <sz val="11"/>
        <color indexed="15"/>
        <rFont val="Calibri"/>
      </rPr>
      <t>Egi</t>
    </r>
  </si>
  <si>
    <t>3-2</t>
  </si>
  <si>
    <r>
      <rPr>
        <b val="1"/>
        <sz val="11"/>
        <color indexed="15"/>
        <rFont val="Calibri"/>
      </rPr>
      <t>Cor</t>
    </r>
  </si>
  <si>
    <t>5-1</t>
  </si>
  <si>
    <r>
      <rPr>
        <b val="1"/>
        <sz val="11"/>
        <color indexed="15"/>
        <rFont val="Calibri"/>
      </rPr>
      <t>Irá</t>
    </r>
  </si>
  <si>
    <t>2-3</t>
  </si>
  <si>
    <t>Fra</t>
  </si>
  <si>
    <r>
      <rPr>
        <b val="1"/>
        <sz val="11"/>
        <color indexed="15"/>
        <rFont val="Calibri"/>
      </rPr>
      <t>Rep</t>
    </r>
  </si>
  <si>
    <t>1-4</t>
  </si>
  <si>
    <r>
      <rPr>
        <b val="1"/>
        <sz val="11"/>
        <color indexed="15"/>
        <rFont val="Calibri"/>
      </rPr>
      <t>Nue</t>
    </r>
  </si>
  <si>
    <t>2-6</t>
  </si>
  <si>
    <r>
      <rPr>
        <b val="1"/>
        <sz val="11"/>
        <color indexed="15"/>
        <rFont val="Calibri"/>
      </rPr>
      <t>3CD</t>
    </r>
  </si>
  <si>
    <t>Can</t>
  </si>
  <si>
    <t>Bos</t>
  </si>
  <si>
    <t>Esp</t>
  </si>
  <si>
    <t>Cab</t>
  </si>
  <si>
    <t>Cat</t>
  </si>
  <si>
    <t>Sui</t>
  </si>
  <si>
    <r>
      <rPr>
        <b val="1"/>
        <sz val="11"/>
        <color indexed="15"/>
        <rFont val="Calibri"/>
      </rPr>
      <t>Can</t>
    </r>
  </si>
  <si>
    <t>5-4</t>
  </si>
  <si>
    <t>Ara</t>
  </si>
  <si>
    <t>Uru</t>
  </si>
  <si>
    <r>
      <rPr>
        <b val="1"/>
        <sz val="11"/>
        <color indexed="15"/>
        <rFont val="Calibri"/>
      </rPr>
      <t>Esp</t>
    </r>
  </si>
  <si>
    <t>7-1</t>
  </si>
  <si>
    <t>Paí</t>
  </si>
  <si>
    <r>
      <rPr>
        <b val="1"/>
        <sz val="11"/>
        <color indexed="15"/>
        <rFont val="Calibri"/>
      </rPr>
      <t>Bos</t>
    </r>
  </si>
  <si>
    <t>1-5</t>
  </si>
  <si>
    <r>
      <rPr>
        <b val="1"/>
        <sz val="11"/>
        <color indexed="15"/>
        <rFont val="Calibri"/>
      </rPr>
      <t>Cab</t>
    </r>
  </si>
  <si>
    <t>1-7</t>
  </si>
  <si>
    <r>
      <rPr>
        <b val="1"/>
        <sz val="11"/>
        <color indexed="15"/>
        <rFont val="Calibri"/>
      </rPr>
      <t>Cat</t>
    </r>
  </si>
  <si>
    <t>4-3</t>
  </si>
  <si>
    <r>
      <rPr>
        <b val="1"/>
        <sz val="11"/>
        <color indexed="15"/>
        <rFont val="Calibri"/>
      </rPr>
      <t>Ara</t>
    </r>
  </si>
  <si>
    <t>3-5</t>
  </si>
  <si>
    <r>
      <rPr>
        <b val="1"/>
        <sz val="11"/>
        <color indexed="15"/>
        <rFont val="Calibri"/>
      </rPr>
      <t>Sui</t>
    </r>
  </si>
  <si>
    <t>5-3</t>
  </si>
  <si>
    <r>
      <rPr>
        <b val="1"/>
        <sz val="11"/>
        <color indexed="15"/>
        <rFont val="Calibri"/>
      </rPr>
      <t>Uru</t>
    </r>
  </si>
  <si>
    <t xml:space="preserve">RD </t>
  </si>
  <si>
    <t>Bra</t>
  </si>
  <si>
    <t>Mar</t>
  </si>
  <si>
    <t>Sen</t>
  </si>
  <si>
    <t>Hai</t>
  </si>
  <si>
    <t>Esc</t>
  </si>
  <si>
    <r>
      <rPr>
        <b val="1"/>
        <sz val="11"/>
        <color indexed="15"/>
        <rFont val="Calibri"/>
      </rPr>
      <t>Bra</t>
    </r>
  </si>
  <si>
    <t>7-2</t>
  </si>
  <si>
    <t>Ira</t>
  </si>
  <si>
    <t>Nor</t>
  </si>
  <si>
    <r>
      <rPr>
        <b val="1"/>
        <sz val="11"/>
        <color indexed="15"/>
        <rFont val="Calibri"/>
      </rPr>
      <t>Fra</t>
    </r>
  </si>
  <si>
    <t>8-2</t>
  </si>
  <si>
    <r>
      <rPr>
        <b val="1"/>
        <sz val="11"/>
        <color indexed="15"/>
        <rFont val="Calibri"/>
      </rPr>
      <t>Mar</t>
    </r>
  </si>
  <si>
    <t>5-2</t>
  </si>
  <si>
    <r>
      <rPr>
        <b val="1"/>
        <sz val="11"/>
        <color indexed="15"/>
        <rFont val="Calibri"/>
      </rPr>
      <t>Sen</t>
    </r>
  </si>
  <si>
    <t>5-6</t>
  </si>
  <si>
    <t>Est</t>
  </si>
  <si>
    <r>
      <rPr>
        <b val="1"/>
        <sz val="11"/>
        <color indexed="15"/>
        <rFont val="Calibri"/>
      </rPr>
      <t>Hai</t>
    </r>
  </si>
  <si>
    <t>0-4</t>
  </si>
  <si>
    <r>
      <rPr>
        <b val="1"/>
        <sz val="11"/>
        <color indexed="15"/>
        <rFont val="Calibri"/>
      </rPr>
      <t>Ira</t>
    </r>
  </si>
  <si>
    <t>1-8</t>
  </si>
  <si>
    <r>
      <rPr>
        <b val="1"/>
        <sz val="11"/>
        <color indexed="15"/>
        <rFont val="Calibri"/>
      </rPr>
      <t>3BE</t>
    </r>
  </si>
  <si>
    <r>
      <rPr>
        <b val="1"/>
        <sz val="11"/>
        <color indexed="15"/>
        <rFont val="Calibri"/>
      </rPr>
      <t>Esc</t>
    </r>
  </si>
  <si>
    <r>
      <rPr>
        <b val="1"/>
        <sz val="11"/>
        <color indexed="15"/>
        <rFont val="Calibri"/>
      </rPr>
      <t>Nor</t>
    </r>
  </si>
  <si>
    <r>
      <rPr>
        <b val="1"/>
        <sz val="11"/>
        <color indexed="15"/>
        <rFont val="Calibri"/>
      </rPr>
      <t>3AE</t>
    </r>
  </si>
  <si>
    <t>Par</t>
  </si>
  <si>
    <t>Arg</t>
  </si>
  <si>
    <t>Aus</t>
  </si>
  <si>
    <t>Tur</t>
  </si>
  <si>
    <r>
      <rPr>
        <b val="1"/>
        <sz val="11"/>
        <color indexed="15"/>
        <rFont val="Calibri"/>
      </rPr>
      <t>Est</t>
    </r>
  </si>
  <si>
    <t>Jor</t>
  </si>
  <si>
    <r>
      <rPr>
        <b val="1"/>
        <sz val="11"/>
        <color indexed="15"/>
        <rFont val="Calibri"/>
      </rPr>
      <t>Arg</t>
    </r>
  </si>
  <si>
    <t>8-1</t>
  </si>
  <si>
    <r>
      <rPr>
        <b val="1"/>
        <sz val="11"/>
        <color indexed="15"/>
        <rFont val="Calibri"/>
      </rPr>
      <t>Par</t>
    </r>
  </si>
  <si>
    <r>
      <rPr>
        <b val="1"/>
        <sz val="11"/>
        <color indexed="15"/>
        <rFont val="Calibri"/>
      </rPr>
      <t>Aus</t>
    </r>
  </si>
  <si>
    <t>Cur</t>
  </si>
  <si>
    <r>
      <rPr>
        <b val="1"/>
        <sz val="11"/>
        <color indexed="15"/>
        <rFont val="Calibri"/>
      </rPr>
      <t>Tur</t>
    </r>
  </si>
  <si>
    <t>7-3</t>
  </si>
  <si>
    <r>
      <rPr>
        <b val="1"/>
        <sz val="11"/>
        <color indexed="15"/>
        <rFont val="Calibri"/>
      </rPr>
      <t>Jor</t>
    </r>
  </si>
  <si>
    <r>
      <rPr>
        <b val="1"/>
        <sz val="11"/>
        <color indexed="15"/>
        <rFont val="Calibri"/>
      </rPr>
      <t>3CE</t>
    </r>
  </si>
  <si>
    <t>Por</t>
  </si>
  <si>
    <t>Cos</t>
  </si>
  <si>
    <t>Ecu</t>
  </si>
  <si>
    <r>
      <rPr>
        <b val="1"/>
        <sz val="11"/>
        <color indexed="15"/>
        <rFont val="Calibri"/>
      </rPr>
      <t>Ale</t>
    </r>
  </si>
  <si>
    <t>Uzb</t>
  </si>
  <si>
    <t>Col</t>
  </si>
  <si>
    <r>
      <rPr>
        <b val="1"/>
        <sz val="11"/>
        <color indexed="15"/>
        <rFont val="Calibri"/>
      </rPr>
      <t>Por</t>
    </r>
  </si>
  <si>
    <t>Ing</t>
  </si>
  <si>
    <r>
      <rPr>
        <b val="1"/>
        <sz val="11"/>
        <color indexed="15"/>
        <rFont val="Calibri"/>
      </rPr>
      <t xml:space="preserve">RD </t>
    </r>
  </si>
  <si>
    <r>
      <rPr>
        <b val="1"/>
        <sz val="11"/>
        <color indexed="15"/>
        <rFont val="Calibri"/>
      </rPr>
      <t>3EH</t>
    </r>
  </si>
  <si>
    <t>4-6</t>
  </si>
  <si>
    <r>
      <rPr>
        <b val="1"/>
        <sz val="11"/>
        <color indexed="15"/>
        <rFont val="Calibri"/>
      </rPr>
      <t>Uzb</t>
    </r>
  </si>
  <si>
    <t>1-3</t>
  </si>
  <si>
    <t>6-3</t>
  </si>
  <si>
    <r>
      <rPr>
        <b val="1"/>
        <sz val="11"/>
        <color indexed="15"/>
        <rFont val="Calibri"/>
      </rPr>
      <t>Col</t>
    </r>
  </si>
  <si>
    <t>4-2</t>
  </si>
  <si>
    <t>Jap</t>
  </si>
  <si>
    <t>Cro</t>
  </si>
  <si>
    <t>Sue</t>
  </si>
  <si>
    <t>Tún</t>
  </si>
  <si>
    <t>Gha</t>
  </si>
  <si>
    <t>Pan</t>
  </si>
  <si>
    <r>
      <rPr>
        <b val="1"/>
        <sz val="11"/>
        <color indexed="15"/>
        <rFont val="Calibri"/>
      </rPr>
      <t>Ing</t>
    </r>
  </si>
  <si>
    <r>
      <rPr>
        <b val="1"/>
        <sz val="11"/>
        <color indexed="15"/>
        <rFont val="Calibri"/>
      </rPr>
      <t>Jap</t>
    </r>
  </si>
  <si>
    <r>
      <rPr>
        <b val="1"/>
        <sz val="11"/>
        <color indexed="15"/>
        <rFont val="Calibri"/>
      </rPr>
      <t>Cro</t>
    </r>
  </si>
  <si>
    <r>
      <rPr>
        <b val="1"/>
        <sz val="11"/>
        <color indexed="15"/>
        <rFont val="Calibri"/>
      </rPr>
      <t>Sue</t>
    </r>
  </si>
  <si>
    <r>
      <rPr>
        <b val="1"/>
        <sz val="11"/>
        <color indexed="15"/>
        <rFont val="Calibri"/>
      </rPr>
      <t>Gha</t>
    </r>
  </si>
  <si>
    <r>
      <rPr>
        <b val="1"/>
        <sz val="11"/>
        <color indexed="15"/>
        <rFont val="Calibri"/>
      </rPr>
      <t>3EF</t>
    </r>
  </si>
  <si>
    <r>
      <rPr>
        <b val="1"/>
        <sz val="11"/>
        <color indexed="15"/>
        <rFont val="Calibri"/>
      </rPr>
      <t>Tún</t>
    </r>
  </si>
  <si>
    <r>
      <rPr>
        <b val="1"/>
        <sz val="11"/>
        <color indexed="15"/>
        <rFont val="Calibri"/>
      </rPr>
      <t>Pan</t>
    </r>
  </si>
  <si>
    <t>1-6</t>
  </si>
  <si>
    <r>
      <rPr>
        <b val="1"/>
        <sz val="11"/>
        <color indexed="15"/>
        <rFont val="Calibri"/>
      </rPr>
      <t>3DE</t>
    </r>
  </si>
  <si>
    <t>Limitación de responsabilidad:</t>
  </si>
  <si>
    <t>Home</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</si>
  <si>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</si>
  <si>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Selecciona el idioma y la zona horaria</t>
  </si>
  <si>
    <t>· Si vas a participar en una porra escribe tu nombre</t>
  </si>
  <si>
    <t>· Si vas a organizar una porra, puedes descargar el archivo excel de administración desde aquí</t>
  </si>
  <si>
    <t>WORLDCUP</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</si>
  <si>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</si>
  <si>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</si>
  <si>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</si>
  <si>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</si>
  <si>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Autor:</t>
  </si>
  <si>
    <r>
      <rPr>
        <sz val="11"/>
        <color indexed="15"/>
        <rFont val="Calibri"/>
      </rPr>
      <t>Miguel Angel Tejero</t>
    </r>
  </si>
  <si>
    <r>
      <rPr>
        <sz val="11"/>
        <color indexed="15"/>
        <rFont val="Calibri"/>
      </rPr>
      <t>matejero.es</t>
    </r>
  </si>
  <si>
    <r>
      <rPr>
        <sz val="11"/>
        <color indexed="15"/>
        <rFont val="Calibri"/>
      </rPr>
      <t>matejero.com</t>
    </r>
  </si>
  <si>
    <t>· Si vas a participar en una porra, rellenar los mejores jugadores y los máximos goleadores</t>
  </si>
  <si>
    <t>Útima versión</t>
  </si>
  <si>
    <t>Pool</t>
  </si>
  <si>
    <t>PARA DESCARGAR, CLICK EN</t>
  </si>
  <si>
    <t>File</t>
  </si>
  <si>
    <t>English</t>
  </si>
  <si>
    <t>· En esta hoja no hay que escribir nada</t>
  </si>
  <si>
    <t>Admin Excel World Cup 2026</t>
  </si>
  <si>
    <t>· Sirve para que el organizador de la porra, copie estos resultados y los pegue en el archivo de administrador</t>
  </si>
  <si>
    <t>Excel Champions League 2025-2026</t>
  </si>
  <si>
    <t>Excel Liga Española 1ª División 2025-2026</t>
  </si>
  <si>
    <t>Fixture</t>
  </si>
  <si>
    <t>Excel Liga Española 2ª División 2025-2026</t>
  </si>
  <si>
    <t>· En esta hoja se muestran de un vistazo todos los resultados introducidos en la hoja WORLDCUP, en esta hoja no se rellena nada.</t>
  </si>
  <si>
    <t>Excel Premier League 2025-2026</t>
  </si>
  <si>
    <t>Excel Libertadores/Sudamericana 2026</t>
  </si>
  <si>
    <t>Si Irán no participa en el mundial y le sustituye otra selección, selecciona el país sustituto en el desplegable. Si no aparece, elige 'Otro/Other' e ingresa manualmente el nombre (español e inglés), su zona UTC y, opcionalmente, la imagen de su bandera.</t>
  </si>
  <si>
    <t>Select Nation</t>
  </si>
  <si>
    <t>ID</t>
  </si>
  <si>
    <t>ESP</t>
  </si>
  <si>
    <t>ENG</t>
  </si>
  <si>
    <t>Emoji (mac)</t>
  </si>
  <si>
    <t>Flag image (Windows)</t>
  </si>
  <si>
    <t>Time (UTC)</t>
  </si>
  <si>
    <t>Irán/Iran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</si>
  <si>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</si>
  <si>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</si>
  <si>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</si>
  <si>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</si>
  <si>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</si>
  <si>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</si>
  <si>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</si>
  <si>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</si>
  <si>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</si>
  <si>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</si>
  <si>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</si>
  <si>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</si>
  <si>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</si>
  <si>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</si>
  <si>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r>
      <rPr>
        <sz val="11"/>
        <color indexed="12"/>
        <rFont val="Calibri"/>
      </rPr>
      <t>Escribe el país</t>
    </r>
  </si>
  <si>
    <r>
      <rPr>
        <sz val="11"/>
        <color indexed="12"/>
        <rFont val="Calibri"/>
      </rPr>
      <t>Write the nation</t>
    </r>
  </si>
  <si>
    <t>Select Time (UTC)</t>
  </si>
  <si>
    <t>Flag emoji (mac)</t>
  </si>
  <si>
    <t>Escribe el país</t>
  </si>
  <si>
    <t>Write the nation</t>
  </si>
  <si>
    <t>List</t>
  </si>
  <si>
    <t>Germany</t>
  </si>
  <si>
    <t>Saudi Arabia</t>
  </si>
  <si>
    <t>Algeria</t>
  </si>
  <si>
    <t>Belgium</t>
  </si>
  <si>
    <t>Brazil</t>
  </si>
  <si>
    <t>Cape Verde</t>
  </si>
  <si>
    <t>Canada</t>
  </si>
  <si>
    <t>Qatar</t>
  </si>
  <si>
    <t>South Korea</t>
  </si>
  <si>
    <t>Ivory Coast</t>
  </si>
  <si>
    <t>Croatia</t>
  </si>
  <si>
    <t>Curaçao</t>
  </si>
  <si>
    <t>Egypt</t>
  </si>
  <si>
    <t>Scotland</t>
  </si>
  <si>
    <t>Spain</t>
  </si>
  <si>
    <t>United States</t>
  </si>
  <si>
    <t>France</t>
  </si>
  <si>
    <t>Haiti</t>
  </si>
  <si>
    <t>England</t>
  </si>
  <si>
    <r>
      <rPr>
        <sz val="11"/>
        <color indexed="12"/>
        <rFont val="Calibri (Cuerpo)"/>
      </rPr>
      <t>Irán</t>
    </r>
  </si>
  <si>
    <r>
      <rPr>
        <sz val="11"/>
        <color indexed="12"/>
        <rFont val="Calibri (Cuerpo)"/>
      </rPr>
      <t>Iran</t>
    </r>
  </si>
  <si>
    <t>Japan</t>
  </si>
  <si>
    <t>Jordan</t>
  </si>
  <si>
    <t>Morocco</t>
  </si>
  <si>
    <t>Mexico</t>
  </si>
  <si>
    <t>Norway</t>
  </si>
  <si>
    <t>New Zealand</t>
  </si>
  <si>
    <t>Netherlands</t>
  </si>
  <si>
    <t>Panama</t>
  </si>
  <si>
    <t>South Africa</t>
  </si>
  <si>
    <t>Switzerland</t>
  </si>
  <si>
    <t>Tunisia</t>
  </si>
  <si>
    <t>Uzbekistan</t>
  </si>
  <si>
    <t>DR Congo</t>
  </si>
  <si>
    <t>Iraq</t>
  </si>
  <si>
    <t>Bosnia and Herzegovina</t>
  </si>
  <si>
    <t>Sweden</t>
  </si>
  <si>
    <t>Turkey</t>
  </si>
  <si>
    <t>Czech Republic</t>
  </si>
</sst>
</file>

<file path=xl/styles.xml><?xml version="1.0" encoding="utf-8"?>
<styleSheet xmlns="http://schemas.openxmlformats.org/spreadsheetml/2006/main">
  <numFmts count="2">
    <numFmt numFmtId="0" formatCode="General"/>
    <numFmt numFmtId="59" formatCode="&quot; &quot;;&quot; &quot;"/>
  </numFmts>
  <fonts count="89">
    <font>
      <sz val="11"/>
      <color indexed="8"/>
      <name val="Calibri"/>
    </font>
    <font>
      <sz val="12"/>
      <color indexed="8"/>
      <name val="Helvetica Neue"/>
    </font>
    <font>
      <sz val="15"/>
      <color indexed="8"/>
      <name val="Calibri"/>
    </font>
    <font>
      <sz val="11"/>
      <color indexed="8"/>
      <name val="Arial"/>
    </font>
    <font>
      <u val="single"/>
      <sz val="11"/>
      <color indexed="8"/>
      <name val="Arial"/>
    </font>
    <font>
      <sz val="26"/>
      <color indexed="11"/>
      <name val="Cambria"/>
    </font>
    <font>
      <sz val="11"/>
      <color indexed="13"/>
      <name val="Calibri"/>
    </font>
    <font>
      <u val="single"/>
      <sz val="11"/>
      <color indexed="14"/>
      <name val="Arial"/>
    </font>
    <font>
      <sz val="11"/>
      <color indexed="15"/>
      <name val="Arial"/>
    </font>
    <font>
      <sz val="14"/>
      <color indexed="17"/>
      <name val="Arial"/>
    </font>
    <font>
      <sz val="11"/>
      <color indexed="18"/>
      <name val="Arial"/>
    </font>
    <font>
      <sz val="14"/>
      <color indexed="15"/>
      <name val="Arial"/>
    </font>
    <font>
      <sz val="14"/>
      <color indexed="9"/>
      <name val="Arial"/>
    </font>
    <font>
      <sz val="12"/>
      <color indexed="8"/>
      <name val="Arial"/>
    </font>
    <font>
      <sz val="11"/>
      <color indexed="12"/>
      <name val="Arial"/>
    </font>
    <font>
      <sz val="11"/>
      <color indexed="20"/>
      <name val="Arial"/>
    </font>
    <font>
      <b val="1"/>
      <sz val="16"/>
      <color indexed="12"/>
      <name val="Arial"/>
    </font>
    <font>
      <sz val="14"/>
      <color indexed="23"/>
      <name val="Arial"/>
    </font>
    <font>
      <sz val="26"/>
      <color indexed="23"/>
      <name val="Arial"/>
    </font>
    <font>
      <sz val="48"/>
      <color indexed="23"/>
      <name val="Arial"/>
    </font>
    <font>
      <sz val="20"/>
      <color indexed="23"/>
      <name val="Arial"/>
    </font>
    <font>
      <b val="1"/>
      <sz val="12"/>
      <color indexed="12"/>
      <name val="Arial"/>
    </font>
    <font>
      <sz val="11"/>
      <color indexed="29"/>
      <name val="Arial"/>
    </font>
    <font>
      <b val="1"/>
      <sz val="10"/>
      <color indexed="29"/>
      <name val="Verdana"/>
    </font>
    <font>
      <sz val="10"/>
      <color indexed="20"/>
      <name val="Arial"/>
    </font>
    <font>
      <sz val="11"/>
      <color indexed="12"/>
      <name val="Calibri"/>
    </font>
    <font>
      <sz val="20"/>
      <color indexed="11"/>
      <name val="Cambria"/>
    </font>
    <font>
      <b val="1"/>
      <sz val="11"/>
      <color indexed="8"/>
      <name val="Calibri"/>
    </font>
    <font>
      <b val="1"/>
      <sz val="11"/>
      <color indexed="9"/>
      <name val="Calibri"/>
    </font>
    <font>
      <sz val="11"/>
      <color indexed="15"/>
      <name val="Cambria"/>
    </font>
    <font>
      <b val="1"/>
      <sz val="11"/>
      <color indexed="32"/>
      <name val="Calibri"/>
    </font>
    <font>
      <b val="1"/>
      <sz val="11"/>
      <color indexed="33"/>
      <name val="Calibri"/>
    </font>
    <font>
      <sz val="8"/>
      <color indexed="9"/>
      <name val="Calibri"/>
    </font>
    <font>
      <sz val="10"/>
      <color indexed="15"/>
      <name val="Calibri"/>
    </font>
    <font>
      <b val="1"/>
      <sz val="11"/>
      <color indexed="13"/>
      <name val="Calibri"/>
    </font>
    <font>
      <b val="1"/>
      <sz val="36"/>
      <color indexed="12"/>
      <name val="Calibri"/>
    </font>
    <font>
      <sz val="11"/>
      <color indexed="15"/>
      <name val="Calibri"/>
    </font>
    <font>
      <sz val="8"/>
      <color indexed="8"/>
      <name val="Calibri"/>
    </font>
    <font>
      <sz val="10"/>
      <color indexed="9"/>
      <name val="Calibri"/>
    </font>
    <font>
      <sz val="8"/>
      <color indexed="15"/>
      <name val="Calibri"/>
    </font>
    <font>
      <sz val="8"/>
      <color indexed="34"/>
      <name val="Calibri"/>
    </font>
    <font>
      <sz val="10"/>
      <color indexed="15"/>
      <name val="Cambria"/>
    </font>
    <font>
      <sz val="11"/>
      <color indexed="9"/>
      <name val="Calibri"/>
    </font>
    <font>
      <b val="1"/>
      <sz val="11"/>
      <color indexed="15"/>
      <name val="Calibri"/>
    </font>
    <font>
      <b val="1"/>
      <sz val="8"/>
      <color indexed="9"/>
      <name val="Calibri"/>
    </font>
    <font>
      <b val="1"/>
      <sz val="10"/>
      <color indexed="9"/>
      <name val="Calibri"/>
    </font>
    <font>
      <sz val="10"/>
      <color indexed="17"/>
      <name val="Calibri"/>
    </font>
    <font>
      <b val="1"/>
      <sz val="10"/>
      <color indexed="17"/>
      <name val="Calibri"/>
    </font>
    <font>
      <sz val="8"/>
      <color indexed="12"/>
      <name val="Calibri"/>
    </font>
    <font>
      <b val="1"/>
      <sz val="11"/>
      <color indexed="12"/>
      <name val="Calibri"/>
    </font>
    <font>
      <b val="1"/>
      <sz val="8"/>
      <color indexed="8"/>
      <name val="Calibri"/>
    </font>
    <font>
      <sz val="11"/>
      <color indexed="17"/>
      <name val="Calibri"/>
    </font>
    <font>
      <b val="1"/>
      <sz val="11"/>
      <color indexed="17"/>
      <name val="Calibri"/>
    </font>
    <font>
      <sz val="8"/>
      <color indexed="17"/>
      <name val="Calibri"/>
    </font>
    <font>
      <sz val="10"/>
      <color indexed="12"/>
      <name val="Calibri"/>
    </font>
    <font>
      <b val="1"/>
      <sz val="10"/>
      <color indexed="12"/>
      <name val="Calibri"/>
    </font>
    <font>
      <b val="1"/>
      <sz val="8"/>
      <color indexed="12"/>
      <name val="Calibri"/>
    </font>
    <font>
      <sz val="11"/>
      <color indexed="33"/>
      <name val="Calibri"/>
    </font>
    <font>
      <b val="1"/>
      <sz val="8"/>
      <color indexed="50"/>
      <name val="Calibri"/>
    </font>
    <font>
      <b val="1"/>
      <sz val="18"/>
      <color indexed="12"/>
      <name val="Calibri"/>
    </font>
    <font>
      <sz val="10"/>
      <color indexed="8"/>
      <name val="Calibri"/>
    </font>
    <font>
      <b val="1"/>
      <sz val="10"/>
      <color indexed="8"/>
      <name val="Calibri"/>
    </font>
    <font>
      <b val="1"/>
      <sz val="10"/>
      <color indexed="34"/>
      <name val="Calibri"/>
    </font>
    <font>
      <b val="1"/>
      <sz val="11"/>
      <color indexed="34"/>
      <name val="Calibri"/>
    </font>
    <font>
      <b val="1"/>
      <sz val="20"/>
      <color indexed="12"/>
      <name val="Calibri"/>
    </font>
    <font>
      <u val="single"/>
      <sz val="11"/>
      <color indexed="14"/>
      <name val="Calibri"/>
    </font>
    <font>
      <b val="1"/>
      <sz val="16"/>
      <color indexed="12"/>
      <name val="Calibri"/>
    </font>
    <font>
      <b val="1"/>
      <sz val="14"/>
      <color indexed="12"/>
      <name val="Calibri"/>
    </font>
    <font>
      <sz val="11"/>
      <color indexed="12"/>
      <name val="Cambria"/>
    </font>
    <font>
      <sz val="11"/>
      <color indexed="17"/>
      <name val="Cambria"/>
    </font>
    <font>
      <b val="1"/>
      <sz val="15"/>
      <color indexed="8"/>
      <name val="Calibri"/>
    </font>
    <font>
      <sz val="15"/>
      <color indexed="15"/>
      <name val="Cambria"/>
    </font>
    <font>
      <b val="1"/>
      <sz val="15"/>
      <color indexed="15"/>
      <name val="Calibri"/>
    </font>
    <font>
      <sz val="14"/>
      <color indexed="15"/>
      <name val="Cambria"/>
    </font>
    <font>
      <b val="1"/>
      <sz val="8"/>
      <color indexed="12"/>
      <name val="Arial"/>
    </font>
    <font>
      <sz val="15"/>
      <color indexed="23"/>
      <name val="Cambria"/>
    </font>
    <font>
      <b val="1"/>
      <sz val="64"/>
      <color indexed="15"/>
      <name val="Calibri"/>
    </font>
    <font>
      <b val="1"/>
      <sz val="14"/>
      <color indexed="15"/>
      <name val="Calibri"/>
    </font>
    <font>
      <b val="1"/>
      <sz val="36"/>
      <color indexed="15"/>
      <name val="Calibri"/>
    </font>
    <font>
      <b val="1"/>
      <sz val="20"/>
      <color indexed="15"/>
      <name val="Calibri"/>
    </font>
    <font>
      <b val="1"/>
      <sz val="16"/>
      <color indexed="15"/>
      <name val="Calibri"/>
    </font>
    <font>
      <sz val="14"/>
      <color indexed="15"/>
      <name val="Calibri"/>
    </font>
    <font>
      <sz val="12"/>
      <color indexed="15"/>
      <name val="Calibri"/>
    </font>
    <font>
      <u val="single"/>
      <sz val="11"/>
      <color indexed="15"/>
      <name val="Calibri"/>
    </font>
    <font>
      <b val="1"/>
      <sz val="11"/>
      <color rgb="ff58b771"/>
      <name val="Calibri"/>
    </font>
    <font>
      <b val="1"/>
      <sz val="14"/>
      <color indexed="12"/>
      <name val="Arial"/>
    </font>
    <font>
      <sz val="11"/>
      <color indexed="8"/>
      <name val="Calibri (Cuerpo)"/>
    </font>
    <font>
      <sz val="11"/>
      <color indexed="12"/>
      <name val="Calibri (Cuerpo)"/>
    </font>
    <font>
      <sz val="12"/>
      <color indexed="12"/>
      <name val="Calibri"/>
    </font>
  </fonts>
  <fills count="4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6"/>
        <bgColor auto="1"/>
      </patternFill>
    </fill>
    <fill>
      <patternFill patternType="solid">
        <fgColor indexed="21"/>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8"/>
        <bgColor auto="1"/>
      </patternFill>
    </fill>
    <fill>
      <patternFill patternType="solid">
        <fgColor indexed="28"/>
        <bgColor auto="1"/>
      </patternFill>
    </fill>
    <fill>
      <patternFill patternType="solid">
        <fgColor indexed="30"/>
        <bgColor auto="1"/>
      </patternFill>
    </fill>
    <fill>
      <patternFill patternType="solid">
        <fgColor indexed="31"/>
        <bgColor auto="1"/>
      </patternFill>
    </fill>
    <fill>
      <patternFill patternType="solid">
        <fgColor indexed="13"/>
        <bgColor auto="1"/>
      </patternFill>
    </fill>
    <fill>
      <patternFill patternType="solid">
        <fgColor indexed="37"/>
        <bgColor auto="1"/>
      </patternFill>
    </fill>
    <fill>
      <patternFill patternType="solid">
        <fgColor indexed="38"/>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51"/>
        <bgColor auto="1"/>
      </patternFill>
    </fill>
    <fill>
      <patternFill patternType="solid">
        <fgColor indexed="52"/>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8"/>
        <bgColor auto="1"/>
      </patternFill>
    </fill>
    <fill>
      <patternFill patternType="solid">
        <fgColor indexed="57"/>
        <bgColor auto="1"/>
      </patternFill>
    </fill>
    <fill>
      <patternFill patternType="solid">
        <fgColor indexed="59"/>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e5dfec"/>
        <bgColor auto="1"/>
      </patternFill>
    </fill>
    <fill>
      <patternFill patternType="solid">
        <fgColor rgb="fff2dbdb"/>
        <bgColor auto="1"/>
      </patternFill>
    </fill>
    <fill>
      <patternFill patternType="solid">
        <fgColor rgb="ffffc7ce"/>
        <bgColor auto="1"/>
      </patternFill>
    </fill>
    <fill>
      <patternFill patternType="solid">
        <fgColor rgb="ffcd7f32"/>
        <bgColor auto="1"/>
      </patternFill>
    </fill>
    <fill>
      <patternFill patternType="solid">
        <fgColor rgb="ffc0c0c0"/>
        <bgColor auto="1"/>
      </patternFill>
    </fill>
    <fill>
      <patternFill patternType="solid">
        <fgColor rgb="ffefb810"/>
        <bgColor auto="1"/>
      </patternFill>
    </fill>
    <fill>
      <patternFill patternType="solid">
        <fgColor rgb="fff1e96b"/>
        <bgColor auto="1"/>
      </patternFill>
    </fill>
  </fills>
  <borders count="183">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diagonal/>
    </border>
    <border>
      <left/>
      <right/>
      <top/>
      <bottom style="thin">
        <color indexed="16"/>
      </bottom>
      <diagonal/>
    </border>
    <border>
      <left/>
      <right/>
      <top/>
      <bottom style="medium">
        <color indexed="12"/>
      </bottom>
      <diagonal/>
    </border>
    <border>
      <left/>
      <right style="thin">
        <color indexed="16"/>
      </right>
      <top/>
      <bottom/>
      <diagonal/>
    </border>
    <border>
      <left style="thin">
        <color indexed="16"/>
      </left>
      <right/>
      <top style="thin">
        <color indexed="16"/>
      </top>
      <bottom/>
      <diagonal/>
    </border>
    <border>
      <left/>
      <right style="medium">
        <color indexed="19"/>
      </right>
      <top style="medium">
        <color indexed="12"/>
      </top>
      <bottom style="medium">
        <color indexed="19"/>
      </bottom>
      <diagonal/>
    </border>
    <border>
      <left style="medium">
        <color indexed="19"/>
      </left>
      <right/>
      <top/>
      <bottom/>
      <diagonal/>
    </border>
    <border>
      <left/>
      <right/>
      <top style="medium">
        <color indexed="19"/>
      </top>
      <bottom style="medium">
        <color indexed="12"/>
      </bottom>
      <diagonal/>
    </border>
    <border>
      <left/>
      <right/>
      <top style="medium">
        <color indexed="19"/>
      </top>
      <bottom/>
      <diagonal/>
    </border>
    <border>
      <left/>
      <right style="medium">
        <color indexed="12"/>
      </right>
      <top/>
      <bottom/>
      <diagonal/>
    </border>
    <border>
      <left style="medium">
        <color indexed="12"/>
      </left>
      <right style="medium">
        <color indexed="22"/>
      </right>
      <top style="medium">
        <color indexed="12"/>
      </top>
      <bottom style="medium">
        <color indexed="22"/>
      </bottom>
      <diagonal/>
    </border>
    <border>
      <left style="medium">
        <color indexed="22"/>
      </left>
      <right/>
      <top style="medium">
        <color indexed="12"/>
      </top>
      <bottom style="medium">
        <color indexed="22"/>
      </bottom>
      <diagonal/>
    </border>
    <border>
      <left/>
      <right/>
      <top style="medium">
        <color indexed="12"/>
      </top>
      <bottom style="medium">
        <color indexed="22"/>
      </bottom>
      <diagonal/>
    </border>
    <border>
      <left/>
      <right style="medium">
        <color indexed="22"/>
      </right>
      <top style="medium">
        <color indexed="12"/>
      </top>
      <bottom style="medium">
        <color indexed="22"/>
      </bottom>
      <diagonal/>
    </border>
    <border>
      <left style="medium">
        <color indexed="22"/>
      </left>
      <right style="medium">
        <color indexed="12"/>
      </right>
      <top/>
      <bottom/>
      <diagonal/>
    </border>
    <border>
      <left style="medium">
        <color indexed="22"/>
      </left>
      <right/>
      <top/>
      <bottom/>
      <diagonal/>
    </border>
    <border>
      <left/>
      <right/>
      <top style="medium">
        <color indexed="22"/>
      </top>
      <bottom/>
      <diagonal/>
    </border>
    <border>
      <left style="medium">
        <color indexed="12"/>
      </left>
      <right style="medium">
        <color indexed="12"/>
      </right>
      <top style="medium">
        <color indexed="12"/>
      </top>
      <bottom style="medium">
        <color indexed="12"/>
      </bottom>
      <diagonal/>
    </border>
    <border>
      <left style="medium">
        <color indexed="12"/>
      </left>
      <right/>
      <top/>
      <bottom/>
      <diagonal/>
    </border>
    <border>
      <left/>
      <right/>
      <top/>
      <bottom style="thin">
        <color indexed="12"/>
      </bottom>
      <diagonal/>
    </border>
    <border>
      <left/>
      <right/>
      <top style="medium">
        <color indexed="12"/>
      </top>
      <bottom/>
      <diagonal/>
    </border>
    <border>
      <left/>
      <right style="thin">
        <color indexed="12"/>
      </right>
      <top/>
      <bottom/>
      <diagonal/>
    </border>
    <border>
      <left style="thin">
        <color indexed="12"/>
      </left>
      <right style="medium">
        <color indexed="12"/>
      </right>
      <top style="thin">
        <color indexed="12"/>
      </top>
      <bottom style="thin">
        <color indexed="12"/>
      </bottom>
      <diagonal/>
    </border>
    <border>
      <left style="medium">
        <color indexed="12"/>
      </left>
      <right style="medium">
        <color indexed="19"/>
      </right>
      <top style="medium">
        <color indexed="12"/>
      </top>
      <bottom style="medium">
        <color indexed="19"/>
      </bottom>
      <diagonal/>
    </border>
    <border>
      <left/>
      <right/>
      <top style="thin">
        <color indexed="12"/>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medium">
        <color indexed="31"/>
      </bottom>
      <diagonal/>
    </border>
    <border>
      <left style="thin">
        <color indexed="10"/>
      </left>
      <right style="medium">
        <color indexed="31"/>
      </right>
      <top/>
      <bottom/>
      <diagonal/>
    </border>
    <border>
      <left style="medium">
        <color indexed="31"/>
      </left>
      <right/>
      <top style="medium">
        <color indexed="31"/>
      </top>
      <bottom/>
      <diagonal/>
    </border>
    <border>
      <left/>
      <right/>
      <top style="medium">
        <color indexed="31"/>
      </top>
      <bottom/>
      <diagonal/>
    </border>
    <border>
      <left/>
      <right style="medium">
        <color indexed="31"/>
      </right>
      <top style="medium">
        <color indexed="31"/>
      </top>
      <bottom/>
      <diagonal/>
    </border>
    <border>
      <left style="medium">
        <color indexed="31"/>
      </left>
      <right/>
      <top/>
      <bottom/>
      <diagonal/>
    </border>
    <border>
      <left style="medium">
        <color indexed="31"/>
      </left>
      <right/>
      <top/>
      <bottom style="medium">
        <color indexed="31"/>
      </bottom>
      <diagonal/>
    </border>
    <border>
      <left/>
      <right style="thin">
        <color indexed="31"/>
      </right>
      <top/>
      <bottom/>
      <diagonal/>
    </border>
    <border>
      <left style="thin">
        <color indexed="31"/>
      </left>
      <right/>
      <top/>
      <bottom/>
      <diagonal/>
    </border>
    <border>
      <left style="thin">
        <color indexed="31"/>
      </left>
      <right style="thin">
        <color indexed="31"/>
      </right>
      <top/>
      <bottom style="thin">
        <color indexed="31"/>
      </bottom>
      <diagonal/>
    </border>
    <border>
      <left/>
      <right style="medium">
        <color indexed="31"/>
      </right>
      <top/>
      <bottom/>
      <diagonal/>
    </border>
    <border>
      <left style="thin">
        <color indexed="31"/>
      </left>
      <right style="thin">
        <color indexed="31"/>
      </right>
      <top style="thin">
        <color indexed="31"/>
      </top>
      <bottom style="thin">
        <color indexed="31"/>
      </bottom>
      <diagonal/>
    </border>
    <border>
      <left style="medium">
        <color indexed="31"/>
      </left>
      <right/>
      <top/>
      <bottom style="thin">
        <color indexed="35"/>
      </bottom>
      <diagonal/>
    </border>
    <border>
      <left/>
      <right/>
      <top/>
      <bottom style="thin">
        <color indexed="35"/>
      </bottom>
      <diagonal/>
    </border>
    <border>
      <left/>
      <right style="medium">
        <color indexed="31"/>
      </right>
      <top/>
      <bottom style="thin">
        <color indexed="35"/>
      </bottom>
      <diagonal/>
    </border>
    <border>
      <left style="medium">
        <color indexed="31"/>
      </left>
      <right/>
      <top style="medium">
        <color indexed="31"/>
      </top>
      <bottom style="thin">
        <color indexed="36"/>
      </bottom>
      <diagonal/>
    </border>
    <border>
      <left/>
      <right style="medium">
        <color indexed="31"/>
      </right>
      <top style="medium">
        <color indexed="31"/>
      </top>
      <bottom style="thin">
        <color indexed="36"/>
      </bottom>
      <diagonal/>
    </border>
    <border>
      <left style="medium">
        <color indexed="31"/>
      </left>
      <right/>
      <top style="thin">
        <color indexed="35"/>
      </top>
      <bottom/>
      <diagonal/>
    </border>
    <border>
      <left/>
      <right/>
      <top style="thin">
        <color indexed="35"/>
      </top>
      <bottom/>
      <diagonal/>
    </border>
    <border>
      <left/>
      <right style="medium">
        <color indexed="31"/>
      </right>
      <top style="thin">
        <color indexed="35"/>
      </top>
      <bottom/>
      <diagonal/>
    </border>
    <border>
      <left style="medium">
        <color indexed="31"/>
      </left>
      <right style="thin">
        <color indexed="31"/>
      </right>
      <top style="thin">
        <color indexed="36"/>
      </top>
      <bottom style="thin">
        <color indexed="36"/>
      </bottom>
      <diagonal/>
    </border>
    <border>
      <left style="thin">
        <color indexed="31"/>
      </left>
      <right style="medium">
        <color indexed="31"/>
      </right>
      <top style="thin">
        <color indexed="36"/>
      </top>
      <bottom style="thin">
        <color indexed="36"/>
      </bottom>
      <diagonal/>
    </border>
    <border>
      <left/>
      <right style="thin">
        <color indexed="31"/>
      </right>
      <top/>
      <bottom style="medium">
        <color indexed="31"/>
      </bottom>
      <diagonal/>
    </border>
    <border>
      <left style="thin">
        <color indexed="31"/>
      </left>
      <right/>
      <top/>
      <bottom style="medium">
        <color indexed="31"/>
      </bottom>
      <diagonal/>
    </border>
    <border>
      <left style="thin">
        <color indexed="31"/>
      </left>
      <right style="thin">
        <color indexed="31"/>
      </right>
      <top style="thin">
        <color indexed="31"/>
      </top>
      <bottom style="medium">
        <color indexed="31"/>
      </bottom>
      <diagonal/>
    </border>
    <border>
      <left/>
      <right style="medium">
        <color indexed="31"/>
      </right>
      <top/>
      <bottom style="medium">
        <color indexed="31"/>
      </bottom>
      <diagonal/>
    </border>
    <border>
      <left style="medium">
        <color indexed="31"/>
      </left>
      <right style="thin">
        <color indexed="31"/>
      </right>
      <top style="thin">
        <color indexed="36"/>
      </top>
      <bottom style="medium">
        <color indexed="31"/>
      </bottom>
      <diagonal/>
    </border>
    <border>
      <left style="thin">
        <color indexed="31"/>
      </left>
      <right style="medium">
        <color indexed="31"/>
      </right>
      <top style="thin">
        <color indexed="36"/>
      </top>
      <bottom style="medium">
        <color indexed="31"/>
      </bottom>
      <diagonal/>
    </border>
    <border>
      <left/>
      <right/>
      <top style="medium">
        <color indexed="31"/>
      </top>
      <bottom style="medium">
        <color indexed="31"/>
      </bottom>
      <diagonal/>
    </border>
    <border>
      <left/>
      <right style="medium">
        <color indexed="39"/>
      </right>
      <top/>
      <bottom/>
      <diagonal/>
    </border>
    <border>
      <left style="medium">
        <color indexed="39"/>
      </left>
      <right/>
      <top style="thin">
        <color indexed="35"/>
      </top>
      <bottom/>
      <diagonal/>
    </border>
    <border>
      <left/>
      <right style="medium">
        <color indexed="39"/>
      </right>
      <top style="thin">
        <color indexed="35"/>
      </top>
      <bottom/>
      <diagonal/>
    </border>
    <border>
      <left style="medium">
        <color indexed="39"/>
      </left>
      <right/>
      <top/>
      <bottom/>
      <diagonal/>
    </border>
    <border>
      <left style="medium">
        <color indexed="39"/>
      </left>
      <right/>
      <top/>
      <bottom style="medium">
        <color indexed="39"/>
      </bottom>
      <diagonal/>
    </border>
    <border>
      <left/>
      <right/>
      <top/>
      <bottom style="medium">
        <color indexed="39"/>
      </bottom>
      <diagonal/>
    </border>
    <border>
      <left/>
      <right style="medium">
        <color indexed="39"/>
      </right>
      <top/>
      <bottom style="medium">
        <color indexed="39"/>
      </bottom>
      <diagonal/>
    </border>
    <border>
      <left/>
      <right/>
      <top style="medium">
        <color indexed="39"/>
      </top>
      <bottom/>
      <diagonal/>
    </border>
    <border>
      <left style="medium">
        <color indexed="31"/>
      </left>
      <right/>
      <top style="medium">
        <color indexed="31"/>
      </top>
      <bottom style="medium">
        <color indexed="31"/>
      </bottom>
      <diagonal/>
    </border>
    <border>
      <left/>
      <right style="medium">
        <color indexed="31"/>
      </right>
      <top style="medium">
        <color indexed="31"/>
      </top>
      <bottom style="medium">
        <color indexed="31"/>
      </bottom>
      <diagonal/>
    </border>
    <border>
      <left style="thin">
        <color indexed="31"/>
      </left>
      <right style="thin">
        <color indexed="12"/>
      </right>
      <top/>
      <bottom style="thin">
        <color indexed="31"/>
      </bottom>
      <diagonal/>
    </border>
    <border>
      <left style="thin">
        <color indexed="12"/>
      </left>
      <right/>
      <top/>
      <bottom/>
      <diagonal/>
    </border>
    <border>
      <left style="thin">
        <color indexed="31"/>
      </left>
      <right style="thin">
        <color indexed="12"/>
      </right>
      <top style="thin">
        <color indexed="31"/>
      </top>
      <bottom style="thin">
        <color indexed="31"/>
      </bottom>
      <diagonal/>
    </border>
    <border>
      <left style="medium">
        <color indexed="31"/>
      </left>
      <right style="medium">
        <color indexed="31"/>
      </right>
      <top/>
      <bottom style="medium">
        <color indexed="31"/>
      </bottom>
      <diagonal/>
    </border>
    <border>
      <left style="thin">
        <color indexed="12"/>
      </left>
      <right style="thin">
        <color indexed="12"/>
      </right>
      <top/>
      <bottom style="thin">
        <color indexed="12"/>
      </bottom>
      <diagonal/>
    </border>
    <border>
      <left style="medium">
        <color indexed="31"/>
      </left>
      <right style="medium">
        <color indexed="31"/>
      </right>
      <top style="medium">
        <color indexed="31"/>
      </top>
      <bottom/>
      <diagonal/>
    </border>
    <border>
      <left style="thin">
        <color indexed="12"/>
      </left>
      <right style="thin">
        <color indexed="12"/>
      </right>
      <top style="thin">
        <color indexed="12"/>
      </top>
      <bottom style="thin">
        <color indexed="12"/>
      </bottom>
      <diagonal/>
    </border>
    <border>
      <left style="medium">
        <color indexed="31"/>
      </left>
      <right style="medium">
        <color indexed="31"/>
      </right>
      <top/>
      <bottom/>
      <diagonal/>
    </border>
    <border>
      <left/>
      <right style="thin">
        <color indexed="12"/>
      </right>
      <top/>
      <bottom style="medium">
        <color indexed="31"/>
      </bottom>
      <diagonal/>
    </border>
    <border>
      <left style="thin">
        <color indexed="12"/>
      </left>
      <right style="thin">
        <color indexed="12"/>
      </right>
      <top style="thin">
        <color indexed="12"/>
      </top>
      <bottom style="medium">
        <color indexed="31"/>
      </bottom>
      <diagonal/>
    </border>
    <border>
      <left style="thin">
        <color indexed="12"/>
      </left>
      <right/>
      <top/>
      <bottom style="medium">
        <color indexed="31"/>
      </bottom>
      <diagonal/>
    </border>
    <border>
      <left/>
      <right style="thin">
        <color indexed="24"/>
      </right>
      <top/>
      <bottom/>
      <diagonal/>
    </border>
    <border>
      <left style="thin">
        <color indexed="24"/>
      </left>
      <right/>
      <top/>
      <bottom/>
      <diagonal/>
    </border>
    <border>
      <left/>
      <right style="thin">
        <color indexed="24"/>
      </right>
      <top/>
      <bottom style="medium">
        <color indexed="31"/>
      </bottom>
      <diagonal/>
    </border>
    <border>
      <left style="thin">
        <color indexed="24"/>
      </left>
      <right/>
      <top/>
      <bottom style="medium">
        <color indexed="31"/>
      </bottom>
      <diagonal/>
    </border>
    <border>
      <left style="medium">
        <color indexed="31"/>
      </left>
      <right style="medium">
        <color indexed="31"/>
      </right>
      <top style="medium">
        <color indexed="31"/>
      </top>
      <bottom style="medium">
        <color indexed="31"/>
      </bottom>
      <diagonal/>
    </border>
    <border>
      <left style="thin">
        <color indexed="12"/>
      </left>
      <right style="thin">
        <color indexed="12"/>
      </right>
      <top/>
      <bottom style="medium">
        <color indexed="31"/>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style="medium">
        <color indexed="12"/>
      </right>
      <top/>
      <bottom/>
      <diagonal/>
    </border>
    <border>
      <left/>
      <right style="thin">
        <color indexed="12"/>
      </right>
      <top/>
      <bottom style="thin">
        <color indexed="12"/>
      </bottom>
      <diagonal/>
    </border>
    <border>
      <left style="thin">
        <color indexed="12"/>
      </left>
      <right/>
      <top/>
      <bottom style="thin">
        <color indexed="12"/>
      </bottom>
      <diagonal/>
    </border>
    <border>
      <left/>
      <right/>
      <top/>
      <bottom style="thin">
        <color indexed="31"/>
      </bottom>
      <diagonal/>
    </border>
    <border>
      <left/>
      <right/>
      <top style="thin">
        <color indexed="12"/>
      </top>
      <bottom style="thin">
        <color indexed="12"/>
      </bottom>
      <diagonal/>
    </border>
    <border>
      <left/>
      <right style="thin">
        <color indexed="12"/>
      </right>
      <top style="thin">
        <color indexed="12"/>
      </top>
      <bottom/>
      <diagonal/>
    </border>
    <border>
      <left style="thin">
        <color indexed="12"/>
      </left>
      <right style="thin">
        <color indexed="12"/>
      </right>
      <top/>
      <bottom/>
      <diagonal/>
    </border>
    <border>
      <left/>
      <right style="thin">
        <color indexed="12"/>
      </right>
      <top style="thin">
        <color indexed="12"/>
      </top>
      <bottom style="thin">
        <color indexed="12"/>
      </bottom>
      <diagonal/>
    </border>
    <border>
      <left/>
      <right style="thin">
        <color indexed="31"/>
      </right>
      <top style="thin">
        <color indexed="31"/>
      </top>
      <bottom style="thin">
        <color indexed="31"/>
      </bottom>
      <diagonal/>
    </border>
    <border>
      <left style="thin">
        <color indexed="31"/>
      </left>
      <right/>
      <top/>
      <bottom style="thin">
        <color indexed="12"/>
      </bottom>
      <diagonal/>
    </border>
    <border>
      <left style="thin">
        <color indexed="12"/>
      </left>
      <right/>
      <top style="thin">
        <color indexed="12"/>
      </top>
      <bottom/>
      <diagonal/>
    </border>
    <border>
      <left style="thin">
        <color indexed="31"/>
      </left>
      <right/>
      <top style="thin">
        <color indexed="12"/>
      </top>
      <bottom/>
      <diagonal/>
    </border>
    <border>
      <left/>
      <right/>
      <top style="thin">
        <color indexed="31"/>
      </top>
      <bottom style="thin">
        <color indexed="31"/>
      </bottom>
      <diagonal/>
    </border>
    <border>
      <left/>
      <right/>
      <top style="thin">
        <color indexed="31"/>
      </top>
      <bottom/>
      <diagonal/>
    </border>
    <border>
      <left style="thin">
        <color indexed="12"/>
      </left>
      <right/>
      <top style="thin">
        <color indexed="12"/>
      </top>
      <bottom style="thin">
        <color indexed="12"/>
      </bottom>
      <diagonal/>
    </border>
    <border>
      <left style="thin">
        <color indexed="12"/>
      </left>
      <right style="thin">
        <color indexed="12"/>
      </right>
      <top style="thin">
        <color indexed="12"/>
      </top>
      <bottom/>
      <diagonal/>
    </border>
    <border>
      <left/>
      <right/>
      <top/>
      <bottom style="thin">
        <color indexed="57"/>
      </bottom>
      <diagonal/>
    </border>
    <border>
      <left/>
      <right/>
      <top/>
      <bottom style="thin">
        <color indexed="55"/>
      </bottom>
      <diagonal/>
    </border>
    <border>
      <left/>
      <right/>
      <top style="thin">
        <color indexed="57"/>
      </top>
      <bottom/>
      <diagonal/>
    </border>
    <border>
      <left/>
      <right/>
      <top style="thin">
        <color indexed="55"/>
      </top>
      <bottom/>
      <diagonal/>
    </border>
    <border>
      <left/>
      <right style="thin">
        <color indexed="55"/>
      </right>
      <top/>
      <bottom style="thin">
        <color indexed="55"/>
      </bottom>
      <diagonal/>
    </border>
    <border>
      <left style="thin">
        <color indexed="55"/>
      </left>
      <right/>
      <top/>
      <bottom style="thin">
        <color indexed="55"/>
      </bottom>
      <diagonal/>
    </border>
    <border>
      <left/>
      <right style="thin">
        <color indexed="12"/>
      </right>
      <top/>
      <bottom style="thin">
        <color indexed="10"/>
      </bottom>
      <diagonal/>
    </border>
    <border>
      <left style="thin">
        <color indexed="12"/>
      </left>
      <right style="thin">
        <color indexed="12"/>
      </right>
      <top/>
      <bottom style="thin">
        <color indexed="10"/>
      </bottom>
      <diagonal/>
    </border>
    <border>
      <left/>
      <right/>
      <top/>
      <bottom style="thin">
        <color indexed="18"/>
      </bottom>
      <diagonal/>
    </border>
    <border>
      <left/>
      <right/>
      <top/>
      <bottom style="thin">
        <color indexed="24"/>
      </bottom>
      <diagonal/>
    </border>
    <border>
      <left/>
      <right style="thin">
        <color indexed="10"/>
      </right>
      <top/>
      <bottom style="thin">
        <color indexed="24"/>
      </bottom>
      <diagonal/>
    </border>
    <border>
      <left style="medium">
        <color indexed="31"/>
      </left>
      <right style="thin">
        <color indexed="31"/>
      </right>
      <top style="medium">
        <color indexed="31"/>
      </top>
      <bottom/>
      <diagonal/>
    </border>
    <border>
      <left style="thin">
        <color indexed="31"/>
      </left>
      <right style="thin">
        <color indexed="31"/>
      </right>
      <top style="medium">
        <color indexed="31"/>
      </top>
      <bottom style="thin">
        <color indexed="31"/>
      </bottom>
      <diagonal/>
    </border>
    <border>
      <left style="thin">
        <color indexed="31"/>
      </left>
      <right/>
      <top style="medium">
        <color indexed="31"/>
      </top>
      <bottom style="thin">
        <color indexed="31"/>
      </bottom>
      <diagonal/>
    </border>
    <border>
      <left/>
      <right/>
      <top style="medium">
        <color indexed="31"/>
      </top>
      <bottom style="thin">
        <color indexed="31"/>
      </bottom>
      <diagonal/>
    </border>
    <border>
      <left/>
      <right style="medium">
        <color indexed="31"/>
      </right>
      <top style="medium">
        <color indexed="31"/>
      </top>
      <bottom style="thin">
        <color indexed="31"/>
      </bottom>
      <diagonal/>
    </border>
    <border>
      <left/>
      <right style="thin">
        <color indexed="18"/>
      </right>
      <top/>
      <bottom/>
      <diagonal/>
    </border>
    <border>
      <left style="thin">
        <color indexed="18"/>
      </left>
      <right style="thin">
        <color indexed="18"/>
      </right>
      <top style="thin">
        <color indexed="18"/>
      </top>
      <bottom style="thin">
        <color indexed="18"/>
      </bottom>
      <diagonal/>
    </border>
    <border>
      <left style="thin">
        <color indexed="18"/>
      </left>
      <right/>
      <top/>
      <bottom style="mediumDashed">
        <color indexed="18"/>
      </bottom>
      <diagonal/>
    </border>
    <border>
      <left style="thin">
        <color indexed="24"/>
      </left>
      <right/>
      <top style="thin">
        <color indexed="24"/>
      </top>
      <bottom style="thin">
        <color indexed="13"/>
      </bottom>
      <diagonal/>
    </border>
    <border>
      <left/>
      <right/>
      <top style="thin">
        <color indexed="24"/>
      </top>
      <bottom style="thin">
        <color indexed="13"/>
      </bottom>
      <diagonal/>
    </border>
    <border>
      <left/>
      <right style="thin">
        <color indexed="24"/>
      </right>
      <top style="thin">
        <color indexed="24"/>
      </top>
      <bottom style="thin">
        <color indexed="13"/>
      </bottom>
      <diagonal/>
    </border>
    <border>
      <left style="medium">
        <color indexed="31"/>
      </left>
      <right style="thin">
        <color indexed="31"/>
      </right>
      <top/>
      <bottom/>
      <diagonal/>
    </border>
    <border>
      <left style="thin">
        <color indexed="31"/>
      </left>
      <right/>
      <top style="thin">
        <color indexed="31"/>
      </top>
      <bottom/>
      <diagonal/>
    </border>
    <border>
      <left/>
      <right style="medium">
        <color indexed="31"/>
      </right>
      <top style="thin">
        <color indexed="31"/>
      </top>
      <bottom/>
      <diagonal/>
    </border>
    <border>
      <left style="thin">
        <color indexed="18"/>
      </left>
      <right style="mediumDashed">
        <color indexed="18"/>
      </right>
      <top style="mediumDashed">
        <color indexed="18"/>
      </top>
      <bottom/>
      <diagonal/>
    </border>
    <border>
      <left style="mediumDashed">
        <color indexed="18"/>
      </left>
      <right style="thin">
        <color indexed="18"/>
      </right>
      <top/>
      <bottom style="mediumDashed">
        <color indexed="18"/>
      </bottom>
      <diagonal/>
    </border>
    <border>
      <left style="thin">
        <color indexed="24"/>
      </left>
      <right/>
      <top style="thin">
        <color indexed="13"/>
      </top>
      <bottom style="thin">
        <color indexed="13"/>
      </bottom>
      <diagonal/>
    </border>
    <border>
      <left/>
      <right/>
      <top style="thin">
        <color indexed="13"/>
      </top>
      <bottom style="thin">
        <color indexed="13"/>
      </bottom>
      <diagonal/>
    </border>
    <border>
      <left/>
      <right style="thin">
        <color indexed="24"/>
      </right>
      <top style="thin">
        <color indexed="13"/>
      </top>
      <bottom style="thin">
        <color indexed="13"/>
      </bottom>
      <diagonal/>
    </border>
    <border>
      <left/>
      <right/>
      <top style="thin">
        <color indexed="18"/>
      </top>
      <bottom style="thin">
        <color indexed="18"/>
      </bottom>
      <diagonal/>
    </border>
    <border>
      <left/>
      <right style="mediumDashed">
        <color indexed="18"/>
      </right>
      <top/>
      <bottom/>
      <diagonal/>
    </border>
    <border>
      <left style="mediumDashed">
        <color indexed="18"/>
      </left>
      <right style="thin">
        <color indexed="18"/>
      </right>
      <top style="mediumDashed">
        <color indexed="18"/>
      </top>
      <bottom/>
      <diagonal/>
    </border>
    <border>
      <left style="mediumDashed">
        <color indexed="18"/>
      </left>
      <right/>
      <top/>
      <bottom/>
      <diagonal/>
    </border>
    <border>
      <left style="thin">
        <color indexed="18"/>
      </left>
      <right style="mediumDashed">
        <color indexed="18"/>
      </right>
      <top/>
      <bottom style="mediumDashed">
        <color indexed="18"/>
      </bottom>
      <diagonal/>
    </border>
    <border>
      <left/>
      <right/>
      <top style="thin">
        <color indexed="18"/>
      </top>
      <bottom/>
      <diagonal/>
    </border>
    <border>
      <left/>
      <right style="medium">
        <color indexed="31"/>
      </right>
      <top/>
      <bottom style="thin">
        <color indexed="31"/>
      </bottom>
      <diagonal/>
    </border>
    <border>
      <left style="thin">
        <color indexed="18"/>
      </left>
      <right/>
      <top style="mediumDashed">
        <color indexed="18"/>
      </top>
      <bottom/>
      <diagonal/>
    </border>
    <border>
      <left style="medium">
        <color indexed="31"/>
      </left>
      <right style="thin">
        <color indexed="31"/>
      </right>
      <top/>
      <bottom style="medium">
        <color indexed="31"/>
      </bottom>
      <diagonal/>
    </border>
    <border>
      <left/>
      <right/>
      <top style="thin">
        <color indexed="31"/>
      </top>
      <bottom style="medium">
        <color indexed="31"/>
      </bottom>
      <diagonal/>
    </border>
    <border>
      <left/>
      <right style="medium">
        <color indexed="31"/>
      </right>
      <top style="thin">
        <color indexed="31"/>
      </top>
      <bottom style="medium">
        <color indexed="31"/>
      </bottom>
      <diagonal/>
    </border>
    <border>
      <left/>
      <right/>
      <top/>
      <bottom style="mediumDashed">
        <color indexed="18"/>
      </bottom>
      <diagonal/>
    </border>
    <border>
      <left style="mediumDashed">
        <color indexed="18"/>
      </left>
      <right/>
      <top style="mediumDashed">
        <color indexed="18"/>
      </top>
      <bottom/>
      <diagonal/>
    </border>
    <border>
      <left/>
      <right/>
      <top style="mediumDashed">
        <color indexed="18"/>
      </top>
      <bottom/>
      <diagonal/>
    </border>
    <border>
      <left/>
      <right style="mediumDashed">
        <color indexed="18"/>
      </right>
      <top style="mediumDashed">
        <color indexed="18"/>
      </top>
      <bottom/>
      <diagonal/>
    </border>
    <border>
      <left style="mediumDashed">
        <color indexed="18"/>
      </left>
      <right/>
      <top/>
      <bottom style="mediumDashed">
        <color indexed="18"/>
      </bottom>
      <diagonal/>
    </border>
    <border>
      <left/>
      <right style="thin">
        <color indexed="18"/>
      </right>
      <top/>
      <bottom style="mediumDashed">
        <color indexed="18"/>
      </bottom>
      <diagonal/>
    </border>
    <border>
      <left/>
      <right style="mediumDashed">
        <color indexed="18"/>
      </right>
      <top/>
      <bottom style="mediumDashed">
        <color indexed="18"/>
      </bottom>
      <diagonal/>
    </border>
    <border>
      <left/>
      <right style="thin">
        <color indexed="18"/>
      </right>
      <top style="mediumDashed">
        <color indexed="18"/>
      </top>
      <bottom/>
      <diagonal/>
    </border>
    <border>
      <left style="thin">
        <color indexed="24"/>
      </left>
      <right/>
      <top style="thin">
        <color indexed="13"/>
      </top>
      <bottom style="thin">
        <color indexed="24"/>
      </bottom>
      <diagonal/>
    </border>
    <border>
      <left/>
      <right/>
      <top style="thin">
        <color indexed="13"/>
      </top>
      <bottom style="thin">
        <color indexed="24"/>
      </bottom>
      <diagonal/>
    </border>
    <border>
      <left/>
      <right style="thin">
        <color indexed="24"/>
      </right>
      <top style="thin">
        <color indexed="13"/>
      </top>
      <bottom style="thin">
        <color indexed="24"/>
      </bottom>
      <diagonal/>
    </border>
    <border>
      <left/>
      <right/>
      <top style="thin">
        <color indexed="24"/>
      </top>
      <bottom/>
      <diagonal/>
    </border>
    <border>
      <left/>
      <right style="thin">
        <color indexed="10"/>
      </right>
      <top style="thin">
        <color indexed="24"/>
      </top>
      <bottom/>
      <diagonal/>
    </border>
    <border>
      <left>
        <color rgb="00000000"/>
      </left>
      <right>
        <color rgb="00000000"/>
      </right>
      <top>
        <color rgb="00000000"/>
      </top>
      <bottom>
        <color rgb="00000000"/>
      </bottom>
      <diagonal/>
    </border>
    <border>
      <left/>
      <right/>
      <top/>
      <bottom style="thin">
        <color indexed="15"/>
      </bottom>
      <diagonal/>
    </border>
    <border>
      <left style="thin">
        <color indexed="10"/>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style="thin">
        <color indexed="15"/>
      </right>
      <top/>
      <bottom style="thin">
        <color indexed="15"/>
      </bottom>
      <diagonal/>
    </border>
    <border>
      <left/>
      <right/>
      <top style="thin">
        <color indexed="15"/>
      </top>
      <bottom style="thin">
        <color indexed="15"/>
      </bottom>
      <diagonal/>
    </border>
    <border>
      <left style="thin">
        <color indexed="15"/>
      </left>
      <right style="thin">
        <color indexed="31"/>
      </right>
      <top/>
      <bottom/>
      <diagonal/>
    </border>
    <border>
      <left style="thin">
        <color indexed="31"/>
      </left>
      <right style="thin">
        <color indexed="31"/>
      </right>
      <top/>
      <bottom/>
      <diagonal/>
    </border>
    <border>
      <left/>
      <right/>
      <top style="thin">
        <color indexed="31"/>
      </top>
      <bottom style="thin">
        <color indexed="15"/>
      </bottom>
      <diagonal/>
    </border>
    <border>
      <left style="thin">
        <color indexed="10"/>
      </left>
      <right style="medium">
        <color indexed="12"/>
      </right>
      <top/>
      <bottom/>
      <diagonal/>
    </border>
  </borders>
  <cellStyleXfs count="1">
    <xf numFmtId="0" fontId="0" applyNumberFormat="0" applyFont="1" applyFill="0" applyBorder="0" applyAlignment="1" applyProtection="0">
      <alignment vertical="bottom"/>
    </xf>
  </cellStyleXfs>
  <cellXfs count="8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borderId="4" applyNumberFormat="0" applyFont="1" applyFill="0" applyBorder="1" applyAlignment="1" applyProtection="0">
      <alignmen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4" fillId="2" borderId="6" applyNumberFormat="0" applyFont="1" applyFill="1" applyBorder="1" applyAlignment="1" applyProtection="0">
      <alignment vertical="bottom"/>
    </xf>
    <xf numFmtId="0" fontId="0" fillId="2" borderId="6" applyNumberFormat="0" applyFont="1" applyFill="1" applyBorder="1" applyAlignment="1" applyProtection="0">
      <alignment vertical="center"/>
    </xf>
    <xf numFmtId="0" fontId="0" fillId="2" borderId="7" applyNumberFormat="0" applyFont="1" applyFill="1" applyBorder="1" applyAlignment="1" applyProtection="0">
      <alignment vertical="bottom"/>
    </xf>
    <xf numFmtId="0" fontId="0" borderId="8" applyNumberFormat="0" applyFont="1" applyFill="0" applyBorder="1" applyAlignment="1" applyProtection="0">
      <alignment vertical="bottom"/>
    </xf>
    <xf numFmtId="49" fontId="5" fillId="2" borderId="6" applyNumberFormat="1" applyFont="1" applyFill="1" applyBorder="1" applyAlignment="1" applyProtection="0">
      <alignment horizontal="center" vertical="center"/>
    </xf>
    <xf numFmtId="0" fontId="0" fillId="3" borderId="6" applyNumberFormat="0" applyFont="1" applyFill="1" applyBorder="1" applyAlignment="1" applyProtection="0">
      <alignment vertical="bottom"/>
    </xf>
    <xf numFmtId="0" fontId="6" borderId="8" applyNumberFormat="0" applyFont="1" applyFill="0" applyBorder="1" applyAlignment="1" applyProtection="0">
      <alignment vertical="bottom"/>
    </xf>
    <xf numFmtId="0" fontId="7" fillId="2" borderId="6" applyNumberFormat="0" applyFont="1" applyFill="1" applyBorder="1" applyAlignment="1" applyProtection="0">
      <alignment vertical="bottom"/>
    </xf>
    <xf numFmtId="49" fontId="8" fillId="2" borderId="9" applyNumberFormat="1" applyFont="1" applyFill="1" applyBorder="1" applyAlignment="1" applyProtection="0">
      <alignment vertical="bottom"/>
    </xf>
    <xf numFmtId="0" fontId="0" fillId="2" borderId="10" applyNumberFormat="0" applyFont="1" applyFill="1" applyBorder="1" applyAlignment="1" applyProtection="0">
      <alignment vertical="bottom"/>
    </xf>
    <xf numFmtId="0" fontId="9" fillId="2" borderId="6" applyNumberFormat="0" applyFont="1" applyFill="1" applyBorder="1" applyAlignment="1" applyProtection="0">
      <alignment horizontal="center" vertical="bottom"/>
    </xf>
    <xf numFmtId="0" fontId="3" fillId="2" borderId="6" applyNumberFormat="0" applyFont="1" applyFill="1" applyBorder="1" applyAlignment="1" applyProtection="0">
      <alignment horizontal="center" vertical="bottom" wrapText="1"/>
    </xf>
    <xf numFmtId="0" fontId="10" fillId="2" borderId="11" applyNumberFormat="0" applyFont="1" applyFill="1" applyBorder="1" applyAlignment="1" applyProtection="0">
      <alignment horizontal="left" vertical="center"/>
    </xf>
    <xf numFmtId="49" fontId="11" fillId="3" borderId="12" applyNumberFormat="1" applyFont="1" applyFill="1" applyBorder="1" applyAlignment="1" applyProtection="0">
      <alignment horizontal="left" vertical="center"/>
    </xf>
    <xf numFmtId="49" fontId="12" fillId="4" borderId="13" applyNumberFormat="1" applyFont="1" applyFill="1" applyBorder="1" applyAlignment="1" applyProtection="0">
      <alignment horizontal="center" vertical="center"/>
    </xf>
    <xf numFmtId="0" fontId="0" fillId="2" borderId="14" applyNumberFormat="0" applyFont="1" applyFill="1" applyBorder="1" applyAlignment="1" applyProtection="0">
      <alignment vertical="bottom"/>
    </xf>
    <xf numFmtId="0" fontId="10" fillId="2" borderId="6" applyNumberFormat="0" applyFont="1" applyFill="1" applyBorder="1" applyAlignment="1" applyProtection="0">
      <alignment horizontal="left" vertical="bottom"/>
    </xf>
    <xf numFmtId="0" fontId="0" fillId="2" borderId="15" applyNumberFormat="0" applyFont="1" applyFill="1" applyBorder="1" applyAlignment="1" applyProtection="0">
      <alignment vertical="center"/>
    </xf>
    <xf numFmtId="0" fontId="0" fillId="2" borderId="16" applyNumberFormat="0" applyFont="1" applyFill="1" applyBorder="1" applyAlignment="1" applyProtection="0">
      <alignment vertical="center"/>
    </xf>
    <xf numFmtId="0" fontId="13" fillId="2" borderId="6" applyNumberFormat="0" applyFont="1" applyFill="1" applyBorder="1" applyAlignment="1" applyProtection="0">
      <alignment vertical="center" wrapText="1"/>
    </xf>
    <xf numFmtId="0" fontId="13" fillId="2" borderId="6" applyNumberFormat="0" applyFont="1" applyFill="1" applyBorder="1" applyAlignment="1" applyProtection="0">
      <alignment vertical="center"/>
    </xf>
    <xf numFmtId="0" fontId="14" fillId="2" borderId="6" applyNumberFormat="0" applyFont="1" applyFill="1" applyBorder="1" applyAlignment="1" applyProtection="0">
      <alignment vertical="bottom"/>
    </xf>
    <xf numFmtId="49" fontId="15" fillId="2" borderId="10" applyNumberFormat="1" applyFont="1" applyFill="1" applyBorder="1" applyAlignment="1" applyProtection="0">
      <alignment horizontal="center" vertical="center" wrapText="1"/>
    </xf>
    <xf numFmtId="0" fontId="0" fillId="3" borderId="10" applyNumberFormat="0" applyFont="1" applyFill="1" applyBorder="1" applyAlignment="1" applyProtection="0">
      <alignment vertical="bottom"/>
    </xf>
    <xf numFmtId="0" fontId="0" fillId="2" borderId="10" applyNumberFormat="0" applyFont="1" applyFill="1" applyBorder="1" applyAlignment="1" applyProtection="0">
      <alignment vertical="center"/>
    </xf>
    <xf numFmtId="0" fontId="0" fillId="2" borderId="17" applyNumberFormat="0" applyFont="1" applyFill="1" applyBorder="1" applyAlignment="1" applyProtection="0">
      <alignment vertical="bottom"/>
    </xf>
    <xf numFmtId="49" fontId="16" fillId="5" borderId="18" applyNumberFormat="1" applyFont="1" applyFill="1" applyBorder="1" applyAlignment="1" applyProtection="0">
      <alignment horizontal="center" vertical="center"/>
    </xf>
    <xf numFmtId="0" fontId="0" fillId="3" borderId="19" applyNumberFormat="0" applyFont="1" applyFill="1" applyBorder="1" applyAlignment="1" applyProtection="0">
      <alignment vertical="bottom"/>
    </xf>
    <xf numFmtId="0" fontId="0" fillId="3" borderId="20" applyNumberFormat="0" applyFont="1" applyFill="1" applyBorder="1" applyAlignment="1" applyProtection="0">
      <alignment vertical="bottom"/>
    </xf>
    <xf numFmtId="0" fontId="0" fillId="3" borderId="21" applyNumberFormat="0" applyFont="1" applyFill="1" applyBorder="1" applyAlignment="1" applyProtection="0">
      <alignment vertical="bottom"/>
    </xf>
    <xf numFmtId="0" fontId="0" fillId="2" borderId="22" applyNumberFormat="0" applyFont="1" applyFill="1" applyBorder="1" applyAlignment="1" applyProtection="0">
      <alignment vertical="center"/>
    </xf>
    <xf numFmtId="49" fontId="17" fillId="6" borderId="18" applyNumberFormat="1" applyFont="1" applyFill="1" applyBorder="1" applyAlignment="1" applyProtection="0">
      <alignment horizontal="center" vertical="center"/>
    </xf>
    <xf numFmtId="0" fontId="18" fillId="2" borderId="23" applyNumberFormat="0" applyFont="1" applyFill="1" applyBorder="1" applyAlignment="1" applyProtection="0">
      <alignment horizontal="center" vertical="center"/>
    </xf>
    <xf numFmtId="0" fontId="19" fillId="2" borderId="6" applyNumberFormat="0" applyFont="1" applyFill="1" applyBorder="1" applyAlignment="1" applyProtection="0">
      <alignment horizontal="center" vertical="center"/>
    </xf>
    <xf numFmtId="0" fontId="20" fillId="2" borderId="6" applyNumberFormat="0" applyFont="1" applyFill="1" applyBorder="1" applyAlignment="1" applyProtection="0">
      <alignment horizontal="center" vertical="center"/>
    </xf>
    <xf numFmtId="0" fontId="0" fillId="2" borderId="24" applyNumberFormat="0" applyFont="1" applyFill="1" applyBorder="1" applyAlignment="1" applyProtection="0">
      <alignment vertical="center"/>
    </xf>
    <xf numFmtId="49" fontId="0" fillId="2" borderId="6" applyNumberFormat="1" applyFont="1" applyFill="1" applyBorder="1" applyAlignment="1" applyProtection="0">
      <alignment vertical="bottom"/>
    </xf>
    <xf numFmtId="49" fontId="15" fillId="2" borderId="10" applyNumberFormat="1" applyFont="1" applyFill="1" applyBorder="1" applyAlignment="1" applyProtection="0">
      <alignment horizontal="left" vertical="center"/>
    </xf>
    <xf numFmtId="49" fontId="21" fillId="7" borderId="25" applyNumberFormat="1" applyFont="1" applyFill="1" applyBorder="1" applyAlignment="1" applyProtection="0">
      <alignment horizontal="center" vertical="center"/>
    </xf>
    <xf numFmtId="49" fontId="21" fillId="8" borderId="25" applyNumberFormat="1" applyFont="1" applyFill="1" applyBorder="1" applyAlignment="1" applyProtection="0">
      <alignment horizontal="center" vertical="center"/>
    </xf>
    <xf numFmtId="49" fontId="21" fillId="9" borderId="25" applyNumberFormat="1" applyFont="1" applyFill="1" applyBorder="1" applyAlignment="1" applyProtection="0">
      <alignment horizontal="center" vertical="center"/>
    </xf>
    <xf numFmtId="49" fontId="21" fillId="10" borderId="25" applyNumberFormat="1" applyFont="1" applyFill="1" applyBorder="1" applyAlignment="1" applyProtection="0">
      <alignment horizontal="center" vertical="center"/>
    </xf>
    <xf numFmtId="49" fontId="21" fillId="11" borderId="25" applyNumberFormat="1" applyFont="1" applyFill="1" applyBorder="1" applyAlignment="1" applyProtection="0">
      <alignment horizontal="center" vertical="center"/>
    </xf>
    <xf numFmtId="0" fontId="0" fillId="2" borderId="26" applyNumberFormat="0" applyFont="1" applyFill="1" applyBorder="1" applyAlignment="1" applyProtection="0">
      <alignment vertical="center"/>
    </xf>
    <xf numFmtId="0" fontId="0" fillId="2" borderId="27" applyNumberFormat="0" applyFont="1" applyFill="1" applyBorder="1" applyAlignment="1" applyProtection="0">
      <alignment vertical="center"/>
    </xf>
    <xf numFmtId="0" fontId="0" fillId="2" borderId="28" applyNumberFormat="0" applyFont="1" applyFill="1" applyBorder="1" applyAlignment="1" applyProtection="0">
      <alignment vertical="center"/>
    </xf>
    <xf numFmtId="0" fontId="0" fillId="2" borderId="29" applyNumberFormat="0" applyFont="1" applyFill="1" applyBorder="1" applyAlignment="1" applyProtection="0">
      <alignment vertical="center"/>
    </xf>
    <xf numFmtId="49" fontId="22" fillId="2" borderId="30" applyNumberFormat="1" applyFont="1" applyFill="1" applyBorder="1" applyAlignment="1" applyProtection="0">
      <alignment vertical="center"/>
    </xf>
    <xf numFmtId="49" fontId="23" fillId="12" borderId="31" applyNumberFormat="1" applyFont="1" applyFill="1" applyBorder="1" applyAlignment="1" applyProtection="0">
      <alignment horizontal="center" vertical="center"/>
    </xf>
    <xf numFmtId="0" fontId="24" fillId="2" borderId="6" applyNumberFormat="0" applyFont="1" applyFill="1" applyBorder="1" applyAlignment="1" applyProtection="0">
      <alignment horizontal="left" vertical="center" wrapText="1"/>
    </xf>
    <xf numFmtId="0" fontId="0" fillId="2" borderId="32" applyNumberFormat="0" applyFont="1" applyFill="1" applyBorder="1" applyAlignment="1" applyProtection="0">
      <alignment vertical="center"/>
    </xf>
    <xf numFmtId="0" fontId="0" fillId="2" borderId="16" applyNumberFormat="0" applyFont="1" applyFill="1" applyBorder="1" applyAlignment="1" applyProtection="0">
      <alignment vertical="bottom"/>
    </xf>
    <xf numFmtId="0" fontId="3" fillId="2" borderId="6" applyNumberFormat="0" applyFont="1" applyFill="1" applyBorder="1" applyAlignment="1" applyProtection="0">
      <alignment vertical="bottom"/>
    </xf>
    <xf numFmtId="0" fontId="0" fillId="2" borderId="33" applyNumberFormat="0" applyFont="1" applyFill="1" applyBorder="1" applyAlignment="1" applyProtection="0">
      <alignment vertical="bottom"/>
    </xf>
    <xf numFmtId="0" fontId="0" fillId="2" borderId="34" applyNumberFormat="0" applyFont="1" applyFill="1" applyBorder="1" applyAlignment="1" applyProtection="0">
      <alignment vertical="bottom"/>
    </xf>
    <xf numFmtId="0" fontId="3" fillId="2" borderId="34" applyNumberFormat="0" applyFont="1" applyFill="1" applyBorder="1" applyAlignment="1" applyProtection="0">
      <alignment vertical="bottom"/>
    </xf>
    <xf numFmtId="0" fontId="0" fillId="2" borderId="35" applyNumberFormat="0" applyFont="1" applyFill="1" applyBorder="1" applyAlignment="1" applyProtection="0">
      <alignment vertical="bottom"/>
    </xf>
    <xf numFmtId="0" fontId="0" borderId="36" applyNumberFormat="0" applyFont="1" applyFill="0" applyBorder="1" applyAlignment="1" applyProtection="0">
      <alignment vertical="bottom"/>
    </xf>
    <xf numFmtId="0" fontId="0" applyNumberFormat="1" applyFont="1" applyFill="0" applyBorder="0" applyAlignment="1" applyProtection="0">
      <alignment vertical="bottom"/>
    </xf>
    <xf numFmtId="0" fontId="25" borderId="4" applyNumberFormat="0" applyFont="1" applyFill="0" applyBorder="1" applyAlignment="1" applyProtection="0">
      <alignment vertical="bottom"/>
    </xf>
    <xf numFmtId="0" fontId="3" fillId="2" borderId="1" applyNumberFormat="0" applyFont="1" applyFill="1" applyBorder="1" applyAlignment="1" applyProtection="0">
      <alignment vertical="center"/>
    </xf>
    <xf numFmtId="49" fontId="26" fillId="2" borderId="2"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27" fillId="2" borderId="2" applyNumberFormat="0" applyFont="1" applyFill="1" applyBorder="1" applyAlignment="1" applyProtection="0">
      <alignment vertical="center"/>
    </xf>
    <xf numFmtId="0" fontId="28" fillId="2" borderId="2" applyNumberFormat="0" applyFont="1" applyFill="1" applyBorder="1" applyAlignment="1" applyProtection="0">
      <alignment vertical="center"/>
    </xf>
    <xf numFmtId="0" fontId="27" fillId="2" borderId="2" applyNumberFormat="0" applyFont="1" applyFill="1" applyBorder="1" applyAlignment="1" applyProtection="0">
      <alignment vertical="bottom"/>
    </xf>
    <xf numFmtId="0" fontId="28" fillId="2" borderId="2" applyNumberFormat="0" applyFont="1" applyFill="1" applyBorder="1" applyAlignment="1" applyProtection="0">
      <alignment horizontal="center" vertical="center"/>
    </xf>
    <xf numFmtId="49" fontId="25"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25" borderId="8" applyNumberFormat="0" applyFont="1" applyFill="0" applyBorder="1" applyAlignment="1" applyProtection="0">
      <alignment vertical="bottom"/>
    </xf>
    <xf numFmtId="0" fontId="3" fillId="2" borderId="5" applyNumberFormat="0" applyFont="1" applyFill="1" applyBorder="1" applyAlignment="1" applyProtection="0">
      <alignment vertical="bottom"/>
    </xf>
    <xf numFmtId="0" fontId="27" fillId="2" borderId="37" applyNumberFormat="0" applyFont="1" applyFill="1" applyBorder="1" applyAlignment="1" applyProtection="0">
      <alignment horizontal="center" vertical="center"/>
    </xf>
    <xf numFmtId="0" fontId="27" fillId="2" borderId="37" applyNumberFormat="0" applyFont="1" applyFill="1" applyBorder="1" applyAlignment="1" applyProtection="0">
      <alignment vertical="center"/>
    </xf>
    <xf numFmtId="0" fontId="27" fillId="2" borderId="6" applyNumberFormat="0" applyFont="1" applyFill="1" applyBorder="1" applyAlignment="1" applyProtection="0">
      <alignment vertical="bottom"/>
    </xf>
    <xf numFmtId="0" fontId="28" fillId="2" borderId="6" applyNumberFormat="0" applyFont="1" applyFill="1" applyBorder="1" applyAlignment="1" applyProtection="0">
      <alignment vertical="bottom"/>
    </xf>
    <xf numFmtId="0" fontId="28" fillId="2" borderId="6" applyNumberFormat="0" applyFont="1" applyFill="1" applyBorder="1" applyAlignment="1" applyProtection="0">
      <alignment horizontal="center" vertical="bottom"/>
    </xf>
    <xf numFmtId="0" fontId="27" fillId="2" borderId="6" applyNumberFormat="0" applyFont="1" applyFill="1" applyBorder="1" applyAlignment="1" applyProtection="0">
      <alignment horizontal="left" vertical="bottom"/>
    </xf>
    <xf numFmtId="0" fontId="27" fillId="2" borderId="6" applyNumberFormat="0" applyFont="1" applyFill="1" applyBorder="1" applyAlignment="1" applyProtection="0">
      <alignment horizontal="center"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25" borderId="8" applyNumberFormat="1" applyFont="1" applyFill="0" applyBorder="1" applyAlignment="1" applyProtection="0">
      <alignment vertical="bottom"/>
    </xf>
    <xf numFmtId="0" fontId="3" fillId="2" borderId="38" applyNumberFormat="0" applyFont="1" applyFill="1" applyBorder="1" applyAlignment="1" applyProtection="0">
      <alignment vertical="bottom"/>
    </xf>
    <xf numFmtId="0" fontId="27" fillId="13" borderId="39" applyNumberFormat="0" applyFont="1" applyFill="1" applyBorder="1" applyAlignment="1" applyProtection="0">
      <alignment horizontal="left" vertical="top"/>
    </xf>
    <xf numFmtId="49" fontId="29" fillId="13" borderId="40" applyNumberFormat="1" applyFont="1" applyFill="1" applyBorder="1" applyAlignment="1" applyProtection="0">
      <alignment horizontal="center" vertical="top"/>
    </xf>
    <xf numFmtId="49" fontId="29" fillId="13" borderId="40" applyNumberFormat="1" applyFont="1" applyFill="1" applyBorder="1" applyAlignment="1" applyProtection="0">
      <alignment horizontal="center" vertical="bottom"/>
    </xf>
    <xf numFmtId="49" fontId="29" fillId="13" borderId="40" applyNumberFormat="1" applyFont="1" applyFill="1" applyBorder="1" applyAlignment="1" applyProtection="0">
      <alignment horizontal="right" vertical="bottom"/>
    </xf>
    <xf numFmtId="0" fontId="29" fillId="13" borderId="40" applyNumberFormat="0" applyFont="1" applyFill="1" applyBorder="1" applyAlignment="1" applyProtection="0">
      <alignment horizontal="left" vertical="bottom"/>
    </xf>
    <xf numFmtId="49" fontId="29" fillId="13" borderId="41" applyNumberFormat="1" applyFont="1" applyFill="1" applyBorder="1" applyAlignment="1" applyProtection="0">
      <alignment horizontal="left" vertical="bottom"/>
    </xf>
    <xf numFmtId="0" fontId="27" fillId="2" borderId="42" applyNumberFormat="0" applyFont="1" applyFill="1" applyBorder="1" applyAlignment="1" applyProtection="0">
      <alignment vertical="bottom"/>
    </xf>
    <xf numFmtId="49" fontId="28" fillId="2" borderId="37" applyNumberFormat="1" applyFont="1" applyFill="1" applyBorder="1" applyAlignment="1" applyProtection="0">
      <alignment vertical="bottom"/>
    </xf>
    <xf numFmtId="0" fontId="30" fillId="2" borderId="37" applyNumberFormat="0" applyFont="1" applyFill="1" applyBorder="1" applyAlignment="1" applyProtection="0">
      <alignment vertical="bottom"/>
    </xf>
    <xf numFmtId="0" fontId="31" fillId="2" borderId="37" applyNumberFormat="0" applyFont="1" applyFill="1" applyBorder="1" applyAlignment="1" applyProtection="0">
      <alignment vertical="bottom"/>
    </xf>
    <xf numFmtId="49" fontId="32" fillId="2" borderId="6" applyNumberFormat="1" applyFont="1" applyFill="1" applyBorder="1" applyAlignment="1" applyProtection="0">
      <alignment horizontal="left" vertical="bottom"/>
    </xf>
    <xf numFmtId="0" fontId="31" fillId="2" borderId="6" applyNumberFormat="0" applyFont="1" applyFill="1" applyBorder="1" applyAlignment="1" applyProtection="0">
      <alignment horizontal="center" vertical="bottom"/>
    </xf>
    <xf numFmtId="0" fontId="33" fillId="2" borderId="6" applyNumberFormat="0" applyFont="1" applyFill="1" applyBorder="1" applyAlignment="1" applyProtection="0">
      <alignment horizontal="right" vertical="center"/>
    </xf>
    <xf numFmtId="49" fontId="34" fillId="2" borderId="6" applyNumberFormat="1" applyFont="1" applyFill="1" applyBorder="1" applyAlignment="1" applyProtection="0">
      <alignment vertical="center"/>
    </xf>
    <xf numFmtId="0" fontId="25" borderId="8" applyNumberFormat="1" applyFont="1" applyFill="0" applyBorder="1" applyAlignment="1" applyProtection="0">
      <alignment vertical="bottom"/>
    </xf>
    <xf numFmtId="49" fontId="35" fillId="13" borderId="43" applyNumberFormat="1" applyFont="1" applyFill="1" applyBorder="1" applyAlignment="1" applyProtection="0">
      <alignment horizontal="center" vertical="center"/>
    </xf>
    <xf numFmtId="14" fontId="33" fillId="14" borderId="6" applyNumberFormat="1" applyFont="1" applyFill="1" applyBorder="1" applyAlignment="1" applyProtection="0">
      <alignment horizontal="center" vertical="center"/>
    </xf>
    <xf numFmtId="20" fontId="33" fillId="14" borderId="6" applyNumberFormat="1" applyFont="1" applyFill="1" applyBorder="1" applyAlignment="1" applyProtection="0">
      <alignment horizontal="center" vertical="center"/>
    </xf>
    <xf numFmtId="49" fontId="33" fillId="14" borderId="44" applyNumberFormat="1" applyFont="1" applyFill="1" applyBorder="1" applyAlignment="1" applyProtection="0">
      <alignment horizontal="center" vertical="center"/>
    </xf>
    <xf numFmtId="0" fontId="36" fillId="14" borderId="45" applyNumberFormat="0" applyFont="1" applyFill="1" applyBorder="1" applyAlignment="1" applyProtection="0">
      <alignment horizontal="right" vertical="bottom"/>
    </xf>
    <xf numFmtId="0" fontId="36" fillId="14" borderId="44" applyNumberFormat="0" applyFont="1" applyFill="1" applyBorder="1" applyAlignment="1" applyProtection="0">
      <alignment horizontal="right" vertical="bottom" wrapText="1"/>
    </xf>
    <xf numFmtId="0" fontId="36" fillId="14" borderId="46" applyNumberFormat="1" applyFont="1" applyFill="1" applyBorder="1" applyAlignment="1" applyProtection="0">
      <alignment horizontal="center" vertical="bottom"/>
    </xf>
    <xf numFmtId="0" fontId="36" fillId="14" borderId="45" applyNumberFormat="0" applyFont="1" applyFill="1" applyBorder="1" applyAlignment="1" applyProtection="0">
      <alignment horizontal="left" vertical="bottom" wrapText="1"/>
    </xf>
    <xf numFmtId="0" fontId="36" fillId="14" borderId="47" applyNumberFormat="0" applyFont="1" applyFill="1" applyBorder="1" applyAlignment="1" applyProtection="0">
      <alignment horizontal="left" vertical="bottom"/>
    </xf>
    <xf numFmtId="0" fontId="37" fillId="2" borderId="42" applyNumberFormat="1" applyFont="1" applyFill="1" applyBorder="1" applyAlignment="1" applyProtection="0">
      <alignment horizontal="center" vertical="center"/>
    </xf>
    <xf numFmtId="0" fontId="38" fillId="2" borderId="6" applyNumberFormat="1" applyFont="1" applyFill="1" applyBorder="1" applyAlignment="1" applyProtection="0">
      <alignment horizontal="left" vertical="center"/>
    </xf>
    <xf numFmtId="0" fontId="0" fillId="2" borderId="47" applyNumberFormat="0" applyFont="1" applyFill="1" applyBorder="1" applyAlignment="1" applyProtection="0">
      <alignment vertical="bottom"/>
    </xf>
    <xf numFmtId="0" fontId="29" fillId="13" borderId="39" applyNumberFormat="0" applyFont="1" applyFill="1" applyBorder="1" applyAlignment="1" applyProtection="0">
      <alignment horizontal="center" vertical="bottom"/>
    </xf>
    <xf numFmtId="0" fontId="29" fillId="13" borderId="40" applyNumberFormat="0" applyFont="1" applyFill="1" applyBorder="1" applyAlignment="1" applyProtection="0">
      <alignment horizontal="center" vertical="bottom"/>
    </xf>
    <xf numFmtId="0" fontId="29" fillId="13" borderId="41" applyNumberFormat="0" applyFont="1" applyFill="1" applyBorder="1" applyAlignment="1" applyProtection="0">
      <alignment horizontal="center" vertical="bottom"/>
    </xf>
    <xf numFmtId="0" fontId="28" fillId="2" borderId="42" applyNumberFormat="0" applyFont="1" applyFill="1" applyBorder="1" applyAlignment="1" applyProtection="0">
      <alignment horizontal="center" vertical="bottom"/>
    </xf>
    <xf numFmtId="0" fontId="39" fillId="2" borderId="6" applyNumberFormat="0" applyFont="1" applyFill="1" applyBorder="1" applyAlignment="1" applyProtection="0">
      <alignment vertical="center"/>
    </xf>
    <xf numFmtId="0" fontId="40" fillId="2" borderId="6" applyNumberFormat="0" applyFont="1" applyFill="1" applyBorder="1" applyAlignment="1" applyProtection="0">
      <alignment vertical="center"/>
    </xf>
    <xf numFmtId="0" fontId="0" fillId="2" borderId="37" applyNumberFormat="0" applyFont="1" applyFill="1" applyBorder="1" applyAlignment="1" applyProtection="0">
      <alignment vertical="bottom"/>
    </xf>
    <xf numFmtId="49" fontId="25" borderId="6" applyNumberFormat="1" applyFont="1" applyFill="0" applyBorder="1" applyAlignment="1" applyProtection="0">
      <alignment vertical="bottom"/>
    </xf>
    <xf numFmtId="0" fontId="0" borderId="39" applyNumberFormat="0" applyFont="1" applyFill="0" applyBorder="1" applyAlignment="1" applyProtection="0">
      <alignment vertical="bottom"/>
    </xf>
    <xf numFmtId="0" fontId="33" fillId="14" borderId="44" applyNumberFormat="0" applyFont="1" applyFill="1" applyBorder="1" applyAlignment="1" applyProtection="0">
      <alignment horizontal="center" vertical="center"/>
    </xf>
    <xf numFmtId="0" fontId="36" fillId="14" borderId="48" applyNumberFormat="1" applyFont="1" applyFill="1" applyBorder="1" applyAlignment="1" applyProtection="0">
      <alignment horizontal="center" vertical="bottom"/>
    </xf>
    <xf numFmtId="49" fontId="29" fillId="13" borderId="49" applyNumberFormat="1" applyFont="1" applyFill="1" applyBorder="1" applyAlignment="1" applyProtection="0">
      <alignment horizontal="center" vertical="center"/>
    </xf>
    <xf numFmtId="0" fontId="29" fillId="13" borderId="50" applyNumberFormat="0" applyFont="1" applyFill="1" applyBorder="1" applyAlignment="1" applyProtection="0">
      <alignment horizontal="center" vertical="center"/>
    </xf>
    <xf numFmtId="49" fontId="29" fillId="13" borderId="50" applyNumberFormat="1" applyFont="1" applyFill="1" applyBorder="1" applyAlignment="1" applyProtection="0">
      <alignment horizontal="left" vertical="center"/>
    </xf>
    <xf numFmtId="49" fontId="29" fillId="13" borderId="50" applyNumberFormat="1" applyFont="1" applyFill="1" applyBorder="1" applyAlignment="1" applyProtection="0">
      <alignment horizontal="center" vertical="center"/>
    </xf>
    <xf numFmtId="49" fontId="29" fillId="13" borderId="51" applyNumberFormat="1" applyFont="1" applyFill="1" applyBorder="1" applyAlignment="1" applyProtection="0">
      <alignment horizontal="center" vertical="center"/>
    </xf>
    <xf numFmtId="0" fontId="28" fillId="2" borderId="42" applyNumberFormat="1" applyFont="1" applyFill="1" applyBorder="1" applyAlignment="1" applyProtection="0">
      <alignment horizontal="center" vertical="bottom"/>
    </xf>
    <xf numFmtId="0" fontId="32" fillId="2" borderId="6" applyNumberFormat="0" applyFont="1" applyFill="1" applyBorder="1" applyAlignment="1" applyProtection="0">
      <alignment vertical="center"/>
    </xf>
    <xf numFmtId="0" fontId="40" fillId="2" borderId="47" applyNumberFormat="0" applyFont="1" applyFill="1" applyBorder="1" applyAlignment="1" applyProtection="0">
      <alignment vertical="center"/>
    </xf>
    <xf numFmtId="0" fontId="41" fillId="13" borderId="52" applyNumberFormat="0" applyFont="1" applyFill="1" applyBorder="1" applyAlignment="1" applyProtection="0">
      <alignment horizontal="left" vertical="center"/>
    </xf>
    <xf numFmtId="49" fontId="41" fillId="13" borderId="53" applyNumberFormat="1" applyFont="1" applyFill="1" applyBorder="1" applyAlignment="1" applyProtection="0">
      <alignment horizontal="center" vertical="center"/>
    </xf>
    <xf numFmtId="0" fontId="0" fillId="2" borderId="42" applyNumberFormat="0" applyFont="1" applyFill="1" applyBorder="1" applyAlignment="1" applyProtection="0">
      <alignment vertical="bottom"/>
    </xf>
    <xf numFmtId="0" fontId="25" borderId="6" applyNumberFormat="0" applyFont="1" applyFill="0" applyBorder="1" applyAlignment="1" applyProtection="0">
      <alignment vertical="bottom"/>
    </xf>
    <xf numFmtId="0" fontId="0" borderId="42" applyNumberFormat="0" applyFont="1" applyFill="0" applyBorder="1" applyAlignment="1" applyProtection="0">
      <alignment vertical="bottom"/>
    </xf>
    <xf numFmtId="0" fontId="36" fillId="14" borderId="54" applyNumberFormat="1" applyFont="1" applyFill="1" applyBorder="1" applyAlignment="1" applyProtection="0">
      <alignment horizontal="center" vertical="center"/>
    </xf>
    <xf numFmtId="0" fontId="36" fillId="14" borderId="55" applyNumberFormat="0" applyFont="1" applyFill="1" applyBorder="1" applyAlignment="1" applyProtection="0">
      <alignment horizontal="center" vertical="center" wrapText="1"/>
    </xf>
    <xf numFmtId="0" fontId="36" fillId="14" borderId="55" applyNumberFormat="0" applyFont="1" applyFill="1" applyBorder="1" applyAlignment="1" applyProtection="0">
      <alignment horizontal="left" vertical="center"/>
    </xf>
    <xf numFmtId="0" fontId="43" fillId="14" borderId="55" applyNumberFormat="1" applyFont="1" applyFill="1" applyBorder="1" applyAlignment="1" applyProtection="0">
      <alignment horizontal="center" vertical="center"/>
    </xf>
    <xf numFmtId="0" fontId="36" fillId="14" borderId="55" applyNumberFormat="1" applyFont="1" applyFill="1" applyBorder="1" applyAlignment="1" applyProtection="0">
      <alignment horizontal="center" vertical="center"/>
    </xf>
    <xf numFmtId="0" fontId="36" fillId="14" borderId="56" applyNumberFormat="1" applyFont="1" applyFill="1" applyBorder="1" applyAlignment="1" applyProtection="0">
      <alignment horizontal="center" vertical="center"/>
    </xf>
    <xf numFmtId="0" fontId="44" fillId="2" borderId="42" applyNumberFormat="1" applyFont="1" applyFill="1" applyBorder="1" applyAlignment="1" applyProtection="0">
      <alignment horizontal="center" vertical="center"/>
    </xf>
    <xf numFmtId="0" fontId="45" fillId="2" borderId="6" applyNumberFormat="0" applyFont="1" applyFill="1" applyBorder="1" applyAlignment="1" applyProtection="0">
      <alignment horizontal="left" vertical="center"/>
    </xf>
    <xf numFmtId="0" fontId="46" fillId="2" borderId="6" applyNumberFormat="0" applyFont="1" applyFill="1" applyBorder="1" applyAlignment="1" applyProtection="0">
      <alignment horizontal="center" vertical="center"/>
    </xf>
    <xf numFmtId="0" fontId="47" fillId="2" borderId="47" applyNumberFormat="0" applyFont="1" applyFill="1" applyBorder="1" applyAlignment="1" applyProtection="0">
      <alignment horizontal="center" vertical="center"/>
    </xf>
    <xf numFmtId="0" fontId="36" fillId="3" borderId="57" applyNumberFormat="0" applyFont="1" applyFill="1" applyBorder="1" applyAlignment="1" applyProtection="0">
      <alignment horizontal="left" vertical="center"/>
    </xf>
    <xf numFmtId="0" fontId="36" fillId="3" borderId="58" applyNumberFormat="0" applyFont="1" applyFill="1" applyBorder="1" applyAlignment="1" applyProtection="0">
      <alignment horizontal="center" vertical="center"/>
    </xf>
    <xf numFmtId="0" fontId="25" borderId="6" applyNumberFormat="1" applyFont="1" applyFill="0" applyBorder="1" applyAlignment="1" applyProtection="0">
      <alignment vertical="bottom"/>
    </xf>
    <xf numFmtId="0" fontId="36" fillId="14" borderId="42" applyNumberFormat="1" applyFont="1" applyFill="1" applyBorder="1" applyAlignment="1" applyProtection="0">
      <alignment horizontal="center" vertical="center"/>
    </xf>
    <xf numFmtId="0" fontId="36" fillId="14" borderId="6" applyNumberFormat="0" applyFont="1" applyFill="1" applyBorder="1" applyAlignment="1" applyProtection="0">
      <alignment horizontal="center" vertical="center" wrapText="1"/>
    </xf>
    <xf numFmtId="0" fontId="36" fillId="14" borderId="6" applyNumberFormat="0" applyFont="1" applyFill="1" applyBorder="1" applyAlignment="1" applyProtection="0">
      <alignment horizontal="left" vertical="center"/>
    </xf>
    <xf numFmtId="0" fontId="43" fillId="14" borderId="6" applyNumberFormat="1" applyFont="1" applyFill="1" applyBorder="1" applyAlignment="1" applyProtection="0">
      <alignment horizontal="center" vertical="center"/>
    </xf>
    <xf numFmtId="0" fontId="36" fillId="14" borderId="6" applyNumberFormat="1" applyFont="1" applyFill="1" applyBorder="1" applyAlignment="1" applyProtection="0">
      <alignment horizontal="center" vertical="center"/>
    </xf>
    <xf numFmtId="0" fontId="36" fillId="14" borderId="47" applyNumberFormat="1" applyFont="1" applyFill="1" applyBorder="1" applyAlignment="1" applyProtection="0">
      <alignment horizontal="center" vertical="center"/>
    </xf>
    <xf numFmtId="0" fontId="36" fillId="15" borderId="57" applyNumberFormat="0" applyFont="1" applyFill="1" applyBorder="1" applyAlignment="1" applyProtection="0">
      <alignment horizontal="left" vertical="center"/>
    </xf>
    <xf numFmtId="0" fontId="36" fillId="15" borderId="58" applyNumberFormat="0" applyFont="1" applyFill="1" applyBorder="1" applyAlignment="1" applyProtection="0">
      <alignment horizontal="center" vertical="center"/>
    </xf>
    <xf numFmtId="0" fontId="0" borderId="43" applyNumberFormat="0" applyFont="1" applyFill="0" applyBorder="1" applyAlignment="1" applyProtection="0">
      <alignment vertical="bottom"/>
    </xf>
    <xf numFmtId="14" fontId="33" fillId="14" borderId="37" applyNumberFormat="1" applyFont="1" applyFill="1" applyBorder="1" applyAlignment="1" applyProtection="0">
      <alignment horizontal="center" vertical="center"/>
    </xf>
    <xf numFmtId="20" fontId="33" fillId="14" borderId="37" applyNumberFormat="1" applyFont="1" applyFill="1" applyBorder="1" applyAlignment="1" applyProtection="0">
      <alignment horizontal="center" vertical="center"/>
    </xf>
    <xf numFmtId="0" fontId="33" fillId="14" borderId="59" applyNumberFormat="0" applyFont="1" applyFill="1" applyBorder="1" applyAlignment="1" applyProtection="0">
      <alignment horizontal="center" vertical="center"/>
    </xf>
    <xf numFmtId="0" fontId="36" fillId="14" borderId="60" applyNumberFormat="0" applyFont="1" applyFill="1" applyBorder="1" applyAlignment="1" applyProtection="0">
      <alignment horizontal="right" vertical="bottom"/>
    </xf>
    <xf numFmtId="0" fontId="36" fillId="14" borderId="59" applyNumberFormat="0" applyFont="1" applyFill="1" applyBorder="1" applyAlignment="1" applyProtection="0">
      <alignment horizontal="right" vertical="bottom" wrapText="1"/>
    </xf>
    <xf numFmtId="0" fontId="36" fillId="14" borderId="61" applyNumberFormat="1" applyFont="1" applyFill="1" applyBorder="1" applyAlignment="1" applyProtection="0">
      <alignment horizontal="center" vertical="bottom"/>
    </xf>
    <xf numFmtId="0" fontId="36" fillId="14" borderId="60" applyNumberFormat="0" applyFont="1" applyFill="1" applyBorder="1" applyAlignment="1" applyProtection="0">
      <alignment horizontal="left" vertical="bottom" wrapText="1"/>
    </xf>
    <xf numFmtId="0" fontId="36" fillId="14" borderId="62" applyNumberFormat="0" applyFont="1" applyFill="1" applyBorder="1" applyAlignment="1" applyProtection="0">
      <alignment horizontal="left" vertical="bottom"/>
    </xf>
    <xf numFmtId="0" fontId="36" fillId="14" borderId="43" applyNumberFormat="1" applyFont="1" applyFill="1" applyBorder="1" applyAlignment="1" applyProtection="0">
      <alignment horizontal="center" vertical="center"/>
    </xf>
    <xf numFmtId="0" fontId="36" fillId="14" borderId="37" applyNumberFormat="0" applyFont="1" applyFill="1" applyBorder="1" applyAlignment="1" applyProtection="0">
      <alignment horizontal="center" vertical="center" wrapText="1"/>
    </xf>
    <xf numFmtId="0" fontId="36" fillId="14" borderId="37" applyNumberFormat="0" applyFont="1" applyFill="1" applyBorder="1" applyAlignment="1" applyProtection="0">
      <alignment horizontal="left" vertical="center"/>
    </xf>
    <xf numFmtId="0" fontId="43" fillId="14" borderId="37" applyNumberFormat="1" applyFont="1" applyFill="1" applyBorder="1" applyAlignment="1" applyProtection="0">
      <alignment horizontal="center" vertical="center"/>
    </xf>
    <xf numFmtId="0" fontId="36" fillId="14" borderId="37" applyNumberFormat="1" applyFont="1" applyFill="1" applyBorder="1" applyAlignment="1" applyProtection="0">
      <alignment horizontal="center" vertical="center"/>
    </xf>
    <xf numFmtId="0" fontId="36" fillId="14" borderId="62" applyNumberFormat="1" applyFont="1" applyFill="1" applyBorder="1" applyAlignment="1" applyProtection="0">
      <alignment horizontal="center" vertical="center"/>
    </xf>
    <xf numFmtId="0" fontId="36" fillId="15" borderId="63" applyNumberFormat="0" applyFont="1" applyFill="1" applyBorder="1" applyAlignment="1" applyProtection="0">
      <alignment horizontal="left" vertical="center"/>
    </xf>
    <xf numFmtId="0" fontId="36" fillId="15" borderId="64" applyNumberFormat="0" applyFont="1" applyFill="1" applyBorder="1" applyAlignment="1" applyProtection="0">
      <alignment horizontal="center" vertical="center"/>
    </xf>
    <xf numFmtId="14" fontId="25" fillId="2" borderId="65" applyNumberFormat="1" applyFont="1" applyFill="1" applyBorder="1" applyAlignment="1" applyProtection="0">
      <alignment vertical="bottom"/>
    </xf>
    <xf numFmtId="14" fontId="48" fillId="2" borderId="65" applyNumberFormat="1" applyFont="1" applyFill="1" applyBorder="1" applyAlignment="1" applyProtection="0">
      <alignment vertical="bottom"/>
    </xf>
    <xf numFmtId="14" fontId="25" fillId="2" borderId="65" applyNumberFormat="1" applyFont="1" applyFill="1" applyBorder="1" applyAlignment="1" applyProtection="0">
      <alignment horizontal="center" vertical="center"/>
    </xf>
    <xf numFmtId="0" fontId="25" fillId="2" borderId="65" applyNumberFormat="0" applyFont="1" applyFill="1" applyBorder="1" applyAlignment="1" applyProtection="0">
      <alignment horizontal="right" vertical="bottom"/>
    </xf>
    <xf numFmtId="0" fontId="25" fillId="2" borderId="65" applyNumberFormat="0" applyFont="1" applyFill="1" applyBorder="1" applyAlignment="1" applyProtection="0">
      <alignment vertical="bottom" wrapText="1"/>
    </xf>
    <xf numFmtId="0" fontId="25" fillId="2" borderId="65" applyNumberFormat="0" applyFont="1" applyFill="1" applyBorder="1" applyAlignment="1" applyProtection="0">
      <alignment vertical="bottom"/>
    </xf>
    <xf numFmtId="0" fontId="25" fillId="2" borderId="65" applyNumberFormat="0" applyFont="1" applyFill="1" applyBorder="1" applyAlignment="1" applyProtection="0">
      <alignment horizontal="left" vertical="bottom"/>
    </xf>
    <xf numFmtId="0" fontId="37" fillId="2" borderId="6" applyNumberFormat="0" applyFont="1" applyFill="1" applyBorder="1" applyAlignment="1" applyProtection="0">
      <alignment horizontal="center" vertical="center"/>
    </xf>
    <xf numFmtId="0" fontId="38" fillId="2" borderId="6" applyNumberFormat="0" applyFont="1" applyFill="1" applyBorder="1" applyAlignment="1" applyProtection="0">
      <alignment horizontal="left" vertical="center"/>
    </xf>
    <xf numFmtId="0" fontId="25" fillId="2" borderId="40" applyNumberFormat="0" applyFont="1" applyFill="1" applyBorder="1" applyAlignment="1" applyProtection="0">
      <alignment horizontal="center" vertical="center"/>
    </xf>
    <xf numFmtId="0" fontId="25" fillId="2" borderId="40" applyNumberFormat="0" applyFont="1" applyFill="1" applyBorder="1" applyAlignment="1" applyProtection="0">
      <alignment horizontal="center" vertical="center" wrapText="1"/>
    </xf>
    <xf numFmtId="0" fontId="31" fillId="2" borderId="40" applyNumberFormat="0" applyFont="1" applyFill="1" applyBorder="1" applyAlignment="1" applyProtection="0">
      <alignment vertical="bottom"/>
    </xf>
    <xf numFmtId="0" fontId="49" fillId="2" borderId="40" applyNumberFormat="0" applyFont="1" applyFill="1" applyBorder="1" applyAlignment="1" applyProtection="0">
      <alignment horizontal="center" vertical="center"/>
    </xf>
    <xf numFmtId="0" fontId="44" fillId="2" borderId="6" applyNumberFormat="0" applyFont="1" applyFill="1" applyBorder="1" applyAlignment="1" applyProtection="0">
      <alignment horizontal="center" vertical="center"/>
    </xf>
    <xf numFmtId="0" fontId="45" fillId="2" borderId="6" applyNumberFormat="0" applyFont="1" applyFill="1" applyBorder="1" applyAlignment="1" applyProtection="0">
      <alignment horizontal="center" vertical="center"/>
    </xf>
    <xf numFmtId="0" fontId="47" fillId="2" borderId="6" applyNumberFormat="0" applyFont="1" applyFill="1" applyBorder="1" applyAlignment="1" applyProtection="0">
      <alignment horizontal="center" vertical="center"/>
    </xf>
    <xf numFmtId="14" fontId="25" fillId="2" borderId="40" applyNumberFormat="1" applyFont="1" applyFill="1" applyBorder="1" applyAlignment="1" applyProtection="0">
      <alignment vertical="bottom"/>
    </xf>
    <xf numFmtId="14" fontId="48" fillId="2" borderId="40" applyNumberFormat="1" applyFont="1" applyFill="1" applyBorder="1" applyAlignment="1" applyProtection="0">
      <alignment vertical="bottom"/>
    </xf>
    <xf numFmtId="0" fontId="29" fillId="13" borderId="40" applyNumberFormat="0" applyFont="1" applyFill="1" applyBorder="1" applyAlignment="1" applyProtection="0">
      <alignment horizontal="center" vertical="top"/>
    </xf>
    <xf numFmtId="0" fontId="29" fillId="13" borderId="40" applyNumberFormat="0" applyFont="1" applyFill="1" applyBorder="1" applyAlignment="1" applyProtection="0">
      <alignment horizontal="right" vertical="bottom"/>
    </xf>
    <xf numFmtId="0" fontId="29" fillId="13" borderId="41" applyNumberFormat="0" applyFont="1" applyFill="1" applyBorder="1" applyAlignment="1" applyProtection="0">
      <alignment horizontal="left" vertical="bottom"/>
    </xf>
    <xf numFmtId="0" fontId="50" fillId="2" borderId="42" applyNumberFormat="0" applyFont="1" applyFill="1" applyBorder="1" applyAlignment="1" applyProtection="0">
      <alignment vertical="bottom"/>
    </xf>
    <xf numFmtId="0" fontId="31" fillId="2" borderId="37" applyNumberFormat="0" applyFont="1" applyFill="1" applyBorder="1" applyAlignment="1" applyProtection="0">
      <alignment horizontal="center" vertical="bottom" wrapText="1"/>
    </xf>
    <xf numFmtId="0" fontId="44" fillId="2" borderId="6" applyNumberFormat="0" applyFont="1" applyFill="1" applyBorder="1" applyAlignment="1" applyProtection="0">
      <alignment horizontal="center" vertical="bottom"/>
    </xf>
    <xf numFmtId="0" fontId="51" fillId="2" borderId="6" applyNumberFormat="0" applyFont="1" applyFill="1" applyBorder="1" applyAlignment="1" applyProtection="0">
      <alignment horizontal="center" vertical="bottom"/>
    </xf>
    <xf numFmtId="0" fontId="52" fillId="2" borderId="6" applyNumberFormat="0" applyFont="1" applyFill="1" applyBorder="1" applyAlignment="1" applyProtection="0">
      <alignment horizontal="center" vertical="bottom"/>
    </xf>
    <xf numFmtId="14" fontId="25" fillId="2" borderId="6" applyNumberFormat="1" applyFont="1" applyFill="1" applyBorder="1" applyAlignment="1" applyProtection="0">
      <alignment vertical="bottom"/>
    </xf>
    <xf numFmtId="14" fontId="48" fillId="2" borderId="6" applyNumberFormat="1" applyFont="1" applyFill="1" applyBorder="1" applyAlignment="1" applyProtection="0">
      <alignment vertical="bottom"/>
    </xf>
    <xf numFmtId="49" fontId="35" fillId="16" borderId="43" applyNumberFormat="1" applyFont="1" applyFill="1" applyBorder="1" applyAlignment="1" applyProtection="0">
      <alignment horizontal="center" vertical="center"/>
    </xf>
    <xf numFmtId="0" fontId="44" fillId="2" borderId="42" applyNumberFormat="0" applyFont="1" applyFill="1" applyBorder="1" applyAlignment="1" applyProtection="0">
      <alignment horizontal="center" vertical="bottom"/>
    </xf>
    <xf numFmtId="0" fontId="53" fillId="2" borderId="6" applyNumberFormat="0" applyFont="1" applyFill="1" applyBorder="1" applyAlignment="1" applyProtection="0">
      <alignment vertical="center" wrapText="1"/>
    </xf>
    <xf numFmtId="14" fontId="25" fillId="2" borderId="37" applyNumberFormat="1" applyFont="1" applyFill="1" applyBorder="1" applyAlignment="1" applyProtection="0">
      <alignment vertical="bottom"/>
    </xf>
    <xf numFmtId="14" fontId="48" fillId="2" borderId="37" applyNumberFormat="1" applyFont="1" applyFill="1" applyBorder="1" applyAlignment="1" applyProtection="0">
      <alignment vertical="bottom"/>
    </xf>
    <xf numFmtId="0" fontId="29" fillId="13" borderId="49" applyNumberFormat="0" applyFont="1" applyFill="1" applyBorder="1" applyAlignment="1" applyProtection="0">
      <alignment horizontal="center" vertical="center"/>
    </xf>
    <xf numFmtId="0" fontId="29" fillId="13" borderId="50" applyNumberFormat="0" applyFont="1" applyFill="1" applyBorder="1" applyAlignment="1" applyProtection="0">
      <alignment horizontal="left" vertical="center"/>
    </xf>
    <xf numFmtId="0" fontId="29" fillId="13" borderId="51" applyNumberFormat="0" applyFont="1" applyFill="1" applyBorder="1" applyAlignment="1" applyProtection="0">
      <alignment horizontal="center" vertical="center"/>
    </xf>
    <xf numFmtId="0" fontId="44" fillId="2" borderId="42" applyNumberFormat="1" applyFont="1" applyFill="1" applyBorder="1" applyAlignment="1" applyProtection="0">
      <alignment horizontal="center" vertical="bottom"/>
    </xf>
    <xf numFmtId="0" fontId="53" fillId="2" borderId="6" applyNumberFormat="0" applyFont="1" applyFill="1" applyBorder="1" applyAlignment="1" applyProtection="0">
      <alignment vertical="center"/>
    </xf>
    <xf numFmtId="0" fontId="53" fillId="2" borderId="47" applyNumberFormat="0" applyFont="1" applyFill="1" applyBorder="1" applyAlignment="1" applyProtection="0">
      <alignment vertical="center"/>
    </xf>
    <xf numFmtId="0" fontId="0" fillId="2" borderId="66" applyNumberFormat="0" applyFont="1" applyFill="1" applyBorder="1" applyAlignment="1" applyProtection="0">
      <alignment vertical="bottom"/>
    </xf>
    <xf numFmtId="0" fontId="36" fillId="14" borderId="67" applyNumberFormat="1" applyFont="1" applyFill="1" applyBorder="1" applyAlignment="1" applyProtection="0">
      <alignment horizontal="center" vertical="center"/>
    </xf>
    <xf numFmtId="0" fontId="36" fillId="14" borderId="55" applyNumberFormat="0" applyFont="1" applyFill="1" applyBorder="1" applyAlignment="1" applyProtection="0">
      <alignment vertical="center"/>
    </xf>
    <xf numFmtId="0" fontId="36" fillId="14" borderId="68" applyNumberFormat="1" applyFont="1" applyFill="1" applyBorder="1" applyAlignment="1" applyProtection="0">
      <alignment horizontal="center" vertical="center"/>
    </xf>
    <xf numFmtId="0" fontId="44" fillId="2" borderId="69" applyNumberFormat="1" applyFont="1" applyFill="1" applyBorder="1" applyAlignment="1" applyProtection="0">
      <alignment horizontal="center" vertical="center"/>
    </xf>
    <xf numFmtId="0" fontId="36" fillId="14" borderId="69" applyNumberFormat="1" applyFont="1" applyFill="1" applyBorder="1" applyAlignment="1" applyProtection="0">
      <alignment horizontal="center" vertical="center"/>
    </xf>
    <xf numFmtId="0" fontId="36" fillId="14" borderId="6" applyNumberFormat="0" applyFont="1" applyFill="1" applyBorder="1" applyAlignment="1" applyProtection="0">
      <alignment vertical="center"/>
    </xf>
    <xf numFmtId="0" fontId="36" fillId="14" borderId="66" applyNumberFormat="1" applyFont="1" applyFill="1" applyBorder="1" applyAlignment="1" applyProtection="0">
      <alignment horizontal="center" vertical="center"/>
    </xf>
    <xf numFmtId="0" fontId="36" fillId="14" borderId="70" applyNumberFormat="1" applyFont="1" applyFill="1" applyBorder="1" applyAlignment="1" applyProtection="0">
      <alignment horizontal="center" vertical="center"/>
    </xf>
    <xf numFmtId="0" fontId="36" fillId="14" borderId="71" applyNumberFormat="0" applyFont="1" applyFill="1" applyBorder="1" applyAlignment="1" applyProtection="0">
      <alignment vertical="center"/>
    </xf>
    <xf numFmtId="0" fontId="36" fillId="14" borderId="71" applyNumberFormat="0" applyFont="1" applyFill="1" applyBorder="1" applyAlignment="1" applyProtection="0">
      <alignment horizontal="left" vertical="center"/>
    </xf>
    <xf numFmtId="0" fontId="43" fillId="14" borderId="71" applyNumberFormat="1" applyFont="1" applyFill="1" applyBorder="1" applyAlignment="1" applyProtection="0">
      <alignment horizontal="center" vertical="center"/>
    </xf>
    <xf numFmtId="0" fontId="36" fillId="14" borderId="71" applyNumberFormat="1" applyFont="1" applyFill="1" applyBorder="1" applyAlignment="1" applyProtection="0">
      <alignment horizontal="center" vertical="center"/>
    </xf>
    <xf numFmtId="0" fontId="36" fillId="14" borderId="72" applyNumberFormat="1" applyFont="1" applyFill="1" applyBorder="1" applyAlignment="1" applyProtection="0">
      <alignment horizontal="center" vertical="center"/>
    </xf>
    <xf numFmtId="0" fontId="50" fillId="2" borderId="6" applyNumberFormat="0" applyFont="1" applyFill="1" applyBorder="1" applyAlignment="1" applyProtection="0">
      <alignment vertical="center"/>
    </xf>
    <xf numFmtId="0" fontId="28" fillId="2" borderId="6" applyNumberFormat="0" applyFont="1" applyFill="1" applyBorder="1" applyAlignment="1" applyProtection="0">
      <alignment vertical="center"/>
    </xf>
    <xf numFmtId="0" fontId="25" fillId="2" borderId="73" applyNumberFormat="0" applyFont="1" applyFill="1" applyBorder="1" applyAlignment="1" applyProtection="0">
      <alignment horizontal="center" vertical="center"/>
    </xf>
    <xf numFmtId="0" fontId="25" fillId="2" borderId="73" applyNumberFormat="0" applyFont="1" applyFill="1" applyBorder="1" applyAlignment="1" applyProtection="0">
      <alignment horizontal="center" vertical="center" wrapText="1"/>
    </xf>
    <xf numFmtId="0" fontId="31" fillId="2" borderId="73" applyNumberFormat="0" applyFont="1" applyFill="1" applyBorder="1" applyAlignment="1" applyProtection="0">
      <alignment vertical="bottom"/>
    </xf>
    <xf numFmtId="0" fontId="49" fillId="2" borderId="73" applyNumberFormat="0" applyFont="1" applyFill="1" applyBorder="1" applyAlignment="1" applyProtection="0">
      <alignment horizontal="center" vertical="center"/>
    </xf>
    <xf numFmtId="49" fontId="35" fillId="17" borderId="43" applyNumberFormat="1" applyFont="1" applyFill="1" applyBorder="1" applyAlignment="1" applyProtection="0">
      <alignment horizontal="center" vertical="center"/>
    </xf>
    <xf numFmtId="0" fontId="36" fillId="14" borderId="37" applyNumberFormat="0" applyFont="1" applyFill="1" applyBorder="1" applyAlignment="1" applyProtection="0">
      <alignment vertical="center"/>
    </xf>
    <xf numFmtId="49" fontId="35" fillId="18" borderId="43" applyNumberFormat="1" applyFont="1" applyFill="1" applyBorder="1" applyAlignment="1" applyProtection="0">
      <alignment horizontal="center" vertical="center"/>
    </xf>
    <xf numFmtId="49" fontId="35" fillId="19" borderId="43" applyNumberFormat="1" applyFont="1" applyFill="1" applyBorder="1" applyAlignment="1" applyProtection="0">
      <alignment horizontal="center" vertical="center"/>
    </xf>
    <xf numFmtId="49" fontId="35" fillId="20" borderId="43" applyNumberFormat="1" applyFont="1" applyFill="1" applyBorder="1" applyAlignment="1" applyProtection="0">
      <alignment horizontal="center" vertical="center"/>
    </xf>
    <xf numFmtId="49" fontId="35" fillId="21" borderId="43" applyNumberFormat="1" applyFont="1" applyFill="1" applyBorder="1" applyAlignment="1" applyProtection="0">
      <alignment horizontal="center" vertical="center"/>
    </xf>
    <xf numFmtId="49" fontId="35" fillId="22" borderId="43" applyNumberFormat="1" applyFont="1" applyFill="1" applyBorder="1" applyAlignment="1" applyProtection="0">
      <alignment horizontal="center" vertical="center"/>
    </xf>
    <xf numFmtId="49" fontId="35" fillId="23" borderId="43" applyNumberFormat="1" applyFont="1" applyFill="1" applyBorder="1" applyAlignment="1" applyProtection="0">
      <alignment horizontal="center" vertical="center"/>
    </xf>
    <xf numFmtId="49" fontId="35" fillId="24" borderId="43" applyNumberFormat="1" applyFont="1" applyFill="1" applyBorder="1" applyAlignment="1" applyProtection="0">
      <alignment horizontal="center" vertical="center"/>
    </xf>
    <xf numFmtId="49" fontId="35" fillId="25" borderId="43" applyNumberFormat="1" applyFont="1" applyFill="1" applyBorder="1" applyAlignment="1" applyProtection="0">
      <alignment horizontal="center" vertical="center"/>
    </xf>
    <xf numFmtId="0" fontId="29" fillId="13" borderId="40" applyNumberFormat="0" applyFont="1" applyFill="1" applyBorder="1" applyAlignment="1" applyProtection="0">
      <alignment horizontal="left" vertical="top"/>
    </xf>
    <xf numFmtId="0" fontId="29" fillId="13" borderId="40" applyNumberFormat="0" applyFont="1" applyFill="1" applyBorder="1" applyAlignment="1" applyProtection="0">
      <alignment horizontal="right" vertical="top"/>
    </xf>
    <xf numFmtId="0" fontId="29" fillId="13" borderId="41" applyNumberFormat="0" applyFont="1" applyFill="1" applyBorder="1" applyAlignment="1" applyProtection="0">
      <alignment horizontal="left" vertical="top"/>
    </xf>
    <xf numFmtId="49" fontId="35" fillId="26" borderId="43" applyNumberFormat="1" applyFont="1" applyFill="1" applyBorder="1" applyAlignment="1" applyProtection="0">
      <alignment horizontal="center" vertical="center"/>
    </xf>
    <xf numFmtId="0" fontId="54" fillId="2" borderId="6" applyNumberFormat="0" applyFont="1" applyFill="1" applyBorder="1" applyAlignment="1" applyProtection="0">
      <alignment horizontal="center" vertical="center"/>
    </xf>
    <xf numFmtId="0" fontId="55" fillId="2" borderId="6" applyNumberFormat="0" applyFont="1" applyFill="1" applyBorder="1" applyAlignment="1" applyProtection="0">
      <alignment horizontal="center" vertical="center"/>
    </xf>
    <xf numFmtId="49" fontId="29" fillId="13" borderId="74" applyNumberFormat="1" applyFont="1" applyFill="1" applyBorder="1" applyAlignment="1" applyProtection="0">
      <alignment horizontal="center" vertical="center"/>
    </xf>
    <xf numFmtId="0" fontId="56" fillId="13" borderId="65" applyNumberFormat="0" applyFont="1" applyFill="1" applyBorder="1" applyAlignment="1" applyProtection="0">
      <alignment horizontal="center" vertical="center"/>
    </xf>
    <xf numFmtId="0" fontId="49" fillId="13" borderId="65" applyNumberFormat="0" applyFont="1" applyFill="1" applyBorder="1" applyAlignment="1" applyProtection="0">
      <alignment horizontal="center" vertical="center"/>
    </xf>
    <xf numFmtId="0" fontId="49" fillId="13" borderId="75" applyNumberFormat="0" applyFont="1" applyFill="1" applyBorder="1" applyAlignment="1" applyProtection="0">
      <alignment horizontal="center" vertical="center"/>
    </xf>
    <xf numFmtId="0" fontId="50" fillId="2" borderId="42" applyNumberFormat="0" applyFont="1" applyFill="1" applyBorder="1" applyAlignment="1" applyProtection="0">
      <alignment horizontal="center" vertical="center"/>
    </xf>
    <xf numFmtId="0" fontId="36" fillId="2" borderId="37" applyNumberFormat="0" applyFont="1" applyFill="1" applyBorder="1" applyAlignment="1" applyProtection="0">
      <alignment horizontal="center" vertical="center"/>
    </xf>
    <xf numFmtId="49" fontId="57" fillId="2" borderId="37" applyNumberFormat="1" applyFont="1" applyFill="1" applyBorder="1" applyAlignment="1" applyProtection="0">
      <alignment horizontal="center" vertical="bottom"/>
    </xf>
    <xf numFmtId="0" fontId="31" fillId="2" borderId="37" applyNumberFormat="0" applyFont="1" applyFill="1" applyBorder="1" applyAlignment="1" applyProtection="0">
      <alignment horizontal="center" vertical="bottom"/>
    </xf>
    <xf numFmtId="0" fontId="25" fillId="2" borderId="6" applyNumberFormat="0" applyFont="1" applyFill="1" applyBorder="1" applyAlignment="1" applyProtection="0">
      <alignment horizontal="center" vertical="bottom"/>
    </xf>
    <xf numFmtId="0" fontId="49" fillId="2" borderId="6" applyNumberFormat="0" applyFont="1" applyFill="1" applyBorder="1" applyAlignment="1" applyProtection="0">
      <alignment horizontal="center" vertical="bottom"/>
    </xf>
    <xf numFmtId="49" fontId="29" fillId="13" borderId="40" applyNumberFormat="1" applyFont="1" applyFill="1" applyBorder="1" applyAlignment="1" applyProtection="0">
      <alignment horizontal="left" vertical="top"/>
    </xf>
    <xf numFmtId="0" fontId="58" fillId="2" borderId="42" applyNumberFormat="0" applyFont="1" applyFill="1" applyBorder="1" applyAlignment="1" applyProtection="0">
      <alignment horizontal="center" vertical="center"/>
    </xf>
    <xf numFmtId="0" fontId="28" fillId="2" borderId="47" applyNumberFormat="0" applyFont="1" applyFill="1" applyBorder="1" applyAlignment="1" applyProtection="0">
      <alignment vertical="center"/>
    </xf>
    <xf numFmtId="49" fontId="29" fillId="13" borderId="39" applyNumberFormat="1" applyFont="1" applyFill="1" applyBorder="1" applyAlignment="1" applyProtection="0">
      <alignment horizontal="center" vertical="bottom"/>
    </xf>
    <xf numFmtId="0" fontId="32" fillId="2" borderId="42" applyNumberFormat="0" applyFont="1" applyFill="1" applyBorder="1" applyAlignment="1" applyProtection="0">
      <alignment horizontal="center" vertical="bottom"/>
    </xf>
    <xf numFmtId="0" fontId="25" fillId="2" borderId="6" applyNumberFormat="0" applyFont="1" applyFill="1" applyBorder="1" applyAlignment="1" applyProtection="0">
      <alignment vertical="bottom"/>
    </xf>
    <xf numFmtId="49" fontId="59" fillId="27" borderId="43" applyNumberFormat="1" applyFont="1" applyFill="1" applyBorder="1" applyAlignment="1" applyProtection="0">
      <alignment horizontal="center" vertical="center"/>
    </xf>
    <xf numFmtId="0" fontId="33" fillId="14" borderId="44" applyNumberFormat="1" applyFont="1" applyFill="1" applyBorder="1" applyAlignment="1" applyProtection="0">
      <alignment horizontal="center" vertical="center"/>
    </xf>
    <xf numFmtId="0" fontId="36" fillId="14" borderId="45" applyNumberFormat="0" applyFont="1" applyFill="1" applyBorder="1" applyAlignment="1" applyProtection="0">
      <alignment horizontal="right" vertical="center"/>
    </xf>
    <xf numFmtId="0" fontId="36" fillId="14" borderId="44" applyNumberFormat="0" applyFont="1" applyFill="1" applyBorder="1" applyAlignment="1" applyProtection="0">
      <alignment horizontal="center" vertical="bottom"/>
    </xf>
    <xf numFmtId="0" fontId="36" fillId="14" borderId="46" applyNumberFormat="0" applyFont="1" applyFill="1" applyBorder="1" applyAlignment="1" applyProtection="0">
      <alignment horizontal="center" vertical="bottom"/>
    </xf>
    <xf numFmtId="0" fontId="36" fillId="14" borderId="76" applyNumberFormat="0" applyFont="1" applyFill="1" applyBorder="1" applyAlignment="1" applyProtection="0">
      <alignment horizontal="center" vertical="bottom"/>
    </xf>
    <xf numFmtId="0" fontId="36" fillId="14" borderId="77" applyNumberFormat="0" applyFont="1" applyFill="1" applyBorder="1" applyAlignment="1" applyProtection="0">
      <alignment horizontal="center" vertical="bottom"/>
    </xf>
    <xf numFmtId="0" fontId="36" fillId="14" borderId="47" applyNumberFormat="0" applyFont="1" applyFill="1" applyBorder="1" applyAlignment="1" applyProtection="0">
      <alignment horizontal="left" vertical="center"/>
    </xf>
    <xf numFmtId="0" fontId="29" fillId="13" borderId="43" applyNumberFormat="0" applyFont="1" applyFill="1" applyBorder="1" applyAlignment="1" applyProtection="0">
      <alignment horizontal="center" vertical="center"/>
    </xf>
    <xf numFmtId="0" fontId="29" fillId="13" borderId="37" applyNumberFormat="0" applyFont="1" applyFill="1" applyBorder="1" applyAlignment="1" applyProtection="0">
      <alignment horizontal="center" vertical="center"/>
    </xf>
    <xf numFmtId="0" fontId="29" fillId="13" borderId="37" applyNumberFormat="0" applyFont="1" applyFill="1" applyBorder="1" applyAlignment="1" applyProtection="0">
      <alignment horizontal="left" vertical="center"/>
    </xf>
    <xf numFmtId="0" fontId="29" fillId="13" borderId="62" applyNumberFormat="0" applyFont="1" applyFill="1" applyBorder="1" applyAlignment="1" applyProtection="0">
      <alignment horizontal="center" vertical="center"/>
    </xf>
    <xf numFmtId="0" fontId="43" fillId="2" borderId="6" applyNumberFormat="0" applyFont="1" applyFill="1" applyBorder="1" applyAlignment="1" applyProtection="0">
      <alignment vertical="bottom"/>
    </xf>
    <xf numFmtId="0" fontId="36" fillId="2" borderId="6" applyNumberFormat="0" applyFont="1" applyFill="1" applyBorder="1" applyAlignment="1" applyProtection="0">
      <alignment horizontal="center" vertical="bottom"/>
    </xf>
    <xf numFmtId="0" fontId="36" fillId="14" borderId="48" applyNumberFormat="0" applyFont="1" applyFill="1" applyBorder="1" applyAlignment="1" applyProtection="0">
      <alignment horizontal="center" vertical="bottom"/>
    </xf>
    <xf numFmtId="0" fontId="36" fillId="14" borderId="45" applyNumberFormat="0" applyFont="1" applyFill="1" applyBorder="1" applyAlignment="1" applyProtection="0">
      <alignment horizontal="center" vertical="bottom"/>
    </xf>
    <xf numFmtId="0" fontId="45" fillId="2" borderId="47" applyNumberFormat="1" applyFont="1" applyFill="1" applyBorder="1" applyAlignment="1" applyProtection="0">
      <alignment horizontal="left" vertical="center"/>
    </xf>
    <xf numFmtId="0" fontId="36" fillId="14" borderId="39" applyNumberFormat="1" applyFont="1" applyFill="1" applyBorder="1" applyAlignment="1" applyProtection="0">
      <alignment horizontal="center" vertical="center"/>
    </xf>
    <xf numFmtId="0" fontId="0" fillId="14" borderId="40" applyNumberFormat="0" applyFont="1" applyFill="1" applyBorder="1" applyAlignment="1" applyProtection="0">
      <alignment vertical="center"/>
    </xf>
    <xf numFmtId="0" fontId="36" fillId="14" borderId="40" applyNumberFormat="0" applyFont="1" applyFill="1" applyBorder="1" applyAlignment="1" applyProtection="0">
      <alignment horizontal="left" vertical="center"/>
    </xf>
    <xf numFmtId="1" fontId="43" fillId="14" borderId="40" applyNumberFormat="1" applyFont="1" applyFill="1" applyBorder="1" applyAlignment="1" applyProtection="0">
      <alignment horizontal="center" vertical="center"/>
    </xf>
    <xf numFmtId="0" fontId="36" fillId="14" borderId="40" applyNumberFormat="1" applyFont="1" applyFill="1" applyBorder="1" applyAlignment="1" applyProtection="0">
      <alignment horizontal="center" vertical="center"/>
    </xf>
    <xf numFmtId="0" fontId="36" fillId="14" borderId="41" applyNumberFormat="1" applyFont="1" applyFill="1" applyBorder="1" applyAlignment="1" applyProtection="0">
      <alignment horizontal="center" vertical="center"/>
    </xf>
    <xf numFmtId="0" fontId="60" fillId="2" borderId="6" applyNumberFormat="0" applyFont="1" applyFill="1" applyBorder="1" applyAlignment="1" applyProtection="0">
      <alignment horizontal="center" vertical="center"/>
    </xf>
    <xf numFmtId="0" fontId="61" fillId="2" borderId="6" applyNumberFormat="0" applyFont="1" applyFill="1" applyBorder="1" applyAlignment="1" applyProtection="0">
      <alignment horizontal="center" vertical="center"/>
    </xf>
    <xf numFmtId="49" fontId="0" borderId="6" applyNumberFormat="1" applyFont="1" applyFill="0" applyBorder="1" applyAlignment="1" applyProtection="0">
      <alignment vertical="bottom"/>
    </xf>
    <xf numFmtId="1" fontId="43" fillId="14" borderId="6" applyNumberFormat="1" applyFont="1" applyFill="1" applyBorder="1" applyAlignment="1" applyProtection="0">
      <alignment horizontal="center" vertical="center"/>
    </xf>
    <xf numFmtId="14" fontId="36" fillId="2" borderId="6" applyNumberFormat="1" applyFont="1" applyFill="1" applyBorder="1" applyAlignment="1" applyProtection="0">
      <alignment horizontal="right" vertical="bottom"/>
    </xf>
    <xf numFmtId="0" fontId="36" fillId="2" borderId="6" applyNumberFormat="0" applyFont="1" applyFill="1" applyBorder="1" applyAlignment="1" applyProtection="0">
      <alignment horizontal="left" vertical="bottom"/>
    </xf>
    <xf numFmtId="0" fontId="0" borderId="6" applyNumberFormat="1" applyFont="1" applyFill="0" applyBorder="1" applyAlignment="1" applyProtection="0">
      <alignment vertical="bottom"/>
    </xf>
    <xf numFmtId="14" fontId="36" fillId="2" borderId="6" applyNumberFormat="1" applyFont="1" applyFill="1" applyBorder="1" applyAlignment="1" applyProtection="0">
      <alignment vertical="bottom"/>
    </xf>
    <xf numFmtId="0" fontId="36" fillId="14" borderId="78" applyNumberFormat="0" applyFont="1" applyFill="1" applyBorder="1" applyAlignment="1" applyProtection="0">
      <alignment horizontal="center" vertical="bottom"/>
    </xf>
    <xf numFmtId="1" fontId="43" fillId="14" borderId="37" applyNumberFormat="1" applyFont="1" applyFill="1" applyBorder="1" applyAlignment="1" applyProtection="0">
      <alignment horizontal="center" vertical="center"/>
    </xf>
    <xf numFmtId="0" fontId="62" fillId="2" borderId="6" applyNumberFormat="0" applyFont="1" applyFill="1" applyBorder="1" applyAlignment="1" applyProtection="0">
      <alignment horizontal="center" vertical="center"/>
    </xf>
    <xf numFmtId="0" fontId="31" fillId="2" borderId="6" applyNumberFormat="0" applyFont="1" applyFill="1" applyBorder="1" applyAlignment="1" applyProtection="0">
      <alignment vertical="bottom"/>
    </xf>
    <xf numFmtId="0" fontId="31" fillId="2" borderId="6" applyNumberFormat="0" applyFont="1" applyFill="1" applyBorder="1" applyAlignment="1" applyProtection="0">
      <alignment vertical="bottom" wrapText="1"/>
    </xf>
    <xf numFmtId="0" fontId="0" fillId="2" borderId="6" applyNumberFormat="0" applyFont="1" applyFill="1" applyBorder="1" applyAlignment="1" applyProtection="0">
      <alignment horizontal="left" vertical="center"/>
    </xf>
    <xf numFmtId="0" fontId="63" fillId="2" borderId="6" applyNumberFormat="0" applyFont="1" applyFill="1" applyBorder="1" applyAlignment="1" applyProtection="0">
      <alignment horizontal="center" vertical="bottom"/>
    </xf>
    <xf numFmtId="0" fontId="33" fillId="14" borderId="59" applyNumberFormat="1" applyFont="1" applyFill="1" applyBorder="1" applyAlignment="1" applyProtection="0">
      <alignment horizontal="center" vertical="center"/>
    </xf>
    <xf numFmtId="0" fontId="36" fillId="14" borderId="60" applyNumberFormat="0" applyFont="1" applyFill="1" applyBorder="1" applyAlignment="1" applyProtection="0">
      <alignment horizontal="right" vertical="center"/>
    </xf>
    <xf numFmtId="0" fontId="36" fillId="14" borderId="59" applyNumberFormat="0" applyFont="1" applyFill="1" applyBorder="1" applyAlignment="1" applyProtection="0">
      <alignment horizontal="center" vertical="bottom"/>
    </xf>
    <xf numFmtId="0" fontId="36" fillId="14" borderId="61" applyNumberFormat="0" applyFont="1" applyFill="1" applyBorder="1" applyAlignment="1" applyProtection="0">
      <alignment horizontal="center" vertical="bottom"/>
    </xf>
    <xf numFmtId="0" fontId="36" fillId="14" borderId="60" applyNumberFormat="0" applyFont="1" applyFill="1" applyBorder="1" applyAlignment="1" applyProtection="0">
      <alignment horizontal="center" vertical="bottom"/>
    </xf>
    <xf numFmtId="0" fontId="36" fillId="14" borderId="62" applyNumberFormat="0" applyFont="1" applyFill="1" applyBorder="1" applyAlignment="1" applyProtection="0">
      <alignment horizontal="left" vertical="center"/>
    </xf>
    <xf numFmtId="0" fontId="42" fillId="2" borderId="6" applyNumberFormat="0" applyFont="1" applyFill="1" applyBorder="1" applyAlignment="1" applyProtection="0">
      <alignment horizontal="left" vertical="bottom"/>
    </xf>
    <xf numFmtId="0" fontId="42" fillId="2" borderId="6" applyNumberFormat="0" applyFont="1" applyFill="1" applyBorder="1" applyAlignment="1" applyProtection="0">
      <alignment vertical="bottom"/>
    </xf>
    <xf numFmtId="0" fontId="50" fillId="2" borderId="6" applyNumberFormat="0" applyFont="1" applyFill="1" applyBorder="1" applyAlignment="1" applyProtection="0">
      <alignment horizontal="center" vertical="center"/>
    </xf>
    <xf numFmtId="49" fontId="64" fillId="28" borderId="79" applyNumberFormat="1" applyFont="1" applyFill="1" applyBorder="1" applyAlignment="1" applyProtection="0">
      <alignment horizontal="center" vertical="center"/>
    </xf>
    <xf numFmtId="14" fontId="33" fillId="14" borderId="42" applyNumberFormat="1" applyFont="1" applyFill="1" applyBorder="1" applyAlignment="1" applyProtection="0">
      <alignment horizontal="center" vertical="center"/>
    </xf>
    <xf numFmtId="0" fontId="36" fillId="14" borderId="29" applyNumberFormat="0" applyFont="1" applyFill="1" applyBorder="1" applyAlignment="1" applyProtection="0">
      <alignment horizontal="center" vertical="bottom"/>
    </xf>
    <xf numFmtId="0" fontId="36" fillId="14" borderId="80" applyNumberFormat="0" applyFont="1" applyFill="1" applyBorder="1" applyAlignment="1" applyProtection="0">
      <alignment horizontal="center" vertical="bottom"/>
    </xf>
    <xf numFmtId="0" fontId="65" fillId="2" borderId="6" applyNumberFormat="0" applyFont="1" applyFill="1" applyBorder="1" applyAlignment="1" applyProtection="0">
      <alignment horizontal="center" vertical="bottom"/>
    </xf>
    <xf numFmtId="0" fontId="0" borderId="81" applyNumberFormat="0" applyFont="1" applyFill="0" applyBorder="1" applyAlignment="1" applyProtection="0">
      <alignment vertical="bottom"/>
    </xf>
    <xf numFmtId="0" fontId="36" fillId="14" borderId="82" applyNumberFormat="0" applyFont="1" applyFill="1" applyBorder="1" applyAlignment="1" applyProtection="0">
      <alignment horizontal="center" vertical="bottom"/>
    </xf>
    <xf numFmtId="0" fontId="0" borderId="83" applyNumberFormat="0" applyFont="1" applyFill="0" applyBorder="1" applyAlignment="1" applyProtection="0">
      <alignment vertical="bottom"/>
    </xf>
    <xf numFmtId="0" fontId="0" borderId="79" applyNumberFormat="0" applyFont="1" applyFill="0" applyBorder="1" applyAlignment="1" applyProtection="0">
      <alignment vertical="bottom"/>
    </xf>
    <xf numFmtId="14" fontId="33" fillId="14" borderId="43" applyNumberFormat="1" applyFont="1" applyFill="1" applyBorder="1" applyAlignment="1" applyProtection="0">
      <alignment horizontal="center" vertical="center"/>
    </xf>
    <xf numFmtId="0" fontId="36" fillId="14" borderId="84" applyNumberFormat="0" applyFont="1" applyFill="1" applyBorder="1" applyAlignment="1" applyProtection="0">
      <alignment horizontal="center" vertical="bottom"/>
    </xf>
    <xf numFmtId="0" fontId="36" fillId="14" borderId="85" applyNumberFormat="0" applyFont="1" applyFill="1" applyBorder="1" applyAlignment="1" applyProtection="0">
      <alignment horizontal="center" vertical="bottom"/>
    </xf>
    <xf numFmtId="0" fontId="36" fillId="14" borderId="86" applyNumberFormat="0" applyFont="1" applyFill="1" applyBorder="1" applyAlignment="1" applyProtection="0">
      <alignment horizontal="center" vertical="bottom"/>
    </xf>
    <xf numFmtId="49" fontId="64" fillId="27" borderId="79" applyNumberFormat="1" applyFont="1" applyFill="1" applyBorder="1" applyAlignment="1" applyProtection="0">
      <alignment horizontal="center" vertical="center"/>
    </xf>
    <xf numFmtId="0" fontId="33" fillId="14" borderId="87" applyNumberFormat="1" applyFont="1" applyFill="1" applyBorder="1" applyAlignment="1" applyProtection="0">
      <alignment horizontal="center" vertical="center"/>
    </xf>
    <xf numFmtId="0" fontId="36" fillId="14" borderId="88" applyNumberFormat="0" applyFont="1" applyFill="1" applyBorder="1" applyAlignment="1" applyProtection="0">
      <alignment horizontal="right" vertical="center"/>
    </xf>
    <xf numFmtId="0" fontId="33" fillId="14" borderId="89" applyNumberFormat="1" applyFont="1" applyFill="1" applyBorder="1" applyAlignment="1" applyProtection="0">
      <alignment horizontal="center" vertical="center"/>
    </xf>
    <xf numFmtId="0" fontId="36" fillId="14" borderId="90" applyNumberFormat="0" applyFont="1" applyFill="1" applyBorder="1" applyAlignment="1" applyProtection="0">
      <alignment horizontal="right" vertical="center"/>
    </xf>
    <xf numFmtId="0" fontId="38" fillId="2" borderId="6" applyNumberFormat="0" applyFont="1" applyFill="1" applyBorder="1" applyAlignment="1" applyProtection="0">
      <alignment horizontal="center" vertical="center"/>
    </xf>
    <xf numFmtId="49" fontId="66" fillId="28" borderId="79" applyNumberFormat="1" applyFont="1" applyFill="1" applyBorder="1" applyAlignment="1" applyProtection="0">
      <alignment horizontal="center" vertical="center"/>
    </xf>
    <xf numFmtId="0" fontId="0" borderId="91" applyNumberFormat="0" applyFont="1" applyFill="0" applyBorder="1" applyAlignment="1" applyProtection="0">
      <alignment vertical="bottom"/>
    </xf>
    <xf numFmtId="0" fontId="52" fillId="13" borderId="39" applyNumberFormat="0" applyFont="1" applyFill="1" applyBorder="1" applyAlignment="1" applyProtection="0">
      <alignment horizontal="left" vertical="top"/>
    </xf>
    <xf numFmtId="49" fontId="67" fillId="27" borderId="79" applyNumberFormat="1" applyFont="1" applyFill="1" applyBorder="1" applyAlignment="1" applyProtection="0">
      <alignment horizontal="center" vertical="center"/>
    </xf>
    <xf numFmtId="0" fontId="36" fillId="14" borderId="84" applyNumberFormat="0" applyFont="1" applyFill="1" applyBorder="1" applyAlignment="1" applyProtection="0">
      <alignment horizontal="center" vertical="center"/>
    </xf>
    <xf numFmtId="0" fontId="36" fillId="14" borderId="92" applyNumberFormat="0" applyFont="1" applyFill="1" applyBorder="1" applyAlignment="1" applyProtection="0">
      <alignment horizontal="center" vertical="center"/>
    </xf>
    <xf numFmtId="0" fontId="36" fillId="14" borderId="86" applyNumberFormat="0" applyFont="1" applyFill="1" applyBorder="1" applyAlignment="1" applyProtection="0">
      <alignment horizontal="center" vertical="center"/>
    </xf>
    <xf numFmtId="0" fontId="36" fillId="14" borderId="62" applyNumberFormat="0" applyFont="1" applyFill="1" applyBorder="1" applyAlignment="1" applyProtection="0">
      <alignment vertical="center"/>
    </xf>
    <xf numFmtId="0" fontId="68" fillId="13" borderId="65" applyNumberFormat="0" applyFont="1" applyFill="1" applyBorder="1" applyAlignment="1" applyProtection="0">
      <alignment horizontal="center" vertical="center"/>
    </xf>
    <xf numFmtId="0" fontId="27" fillId="2" borderId="6" applyNumberFormat="0" applyFont="1" applyFill="1" applyBorder="1" applyAlignment="1" applyProtection="0">
      <alignment horizontal="center" vertical="center"/>
    </xf>
    <xf numFmtId="49" fontId="66" fillId="27" borderId="79" applyNumberFormat="1" applyFont="1" applyFill="1" applyBorder="1" applyAlignment="1" applyProtection="0">
      <alignment horizontal="center" vertical="center"/>
    </xf>
    <xf numFmtId="49" fontId="42" fillId="2" borderId="6" applyNumberFormat="1" applyFont="1" applyFill="1" applyBorder="1" applyAlignment="1" applyProtection="0">
      <alignment vertical="bottom"/>
    </xf>
    <xf numFmtId="0" fontId="29" fillId="13" borderId="39" applyNumberFormat="0" applyFont="1" applyFill="1" applyBorder="1" applyAlignment="1" applyProtection="0">
      <alignment horizontal="left" vertical="center"/>
    </xf>
    <xf numFmtId="0" fontId="52" fillId="13" borderId="40" applyNumberFormat="0" applyFont="1" applyFill="1" applyBorder="1" applyAlignment="1" applyProtection="0">
      <alignment horizontal="center" vertical="bottom"/>
    </xf>
    <xf numFmtId="0" fontId="52" fillId="13" borderId="40" applyNumberFormat="0" applyFont="1" applyFill="1" applyBorder="1" applyAlignment="1" applyProtection="0">
      <alignment horizontal="left" vertical="bottom"/>
    </xf>
    <xf numFmtId="49" fontId="29" fillId="13" borderId="65" applyNumberFormat="1" applyFont="1" applyFill="1" applyBorder="1" applyAlignment="1" applyProtection="0">
      <alignment horizontal="right" vertical="bottom"/>
    </xf>
    <xf numFmtId="0" fontId="52" fillId="13" borderId="65" applyNumberFormat="0" applyFont="1" applyFill="1" applyBorder="1" applyAlignment="1" applyProtection="0">
      <alignment horizontal="left" vertical="bottom"/>
    </xf>
    <xf numFmtId="0" fontId="52" fillId="13" borderId="65" applyNumberFormat="0" applyFont="1" applyFill="1" applyBorder="1" applyAlignment="1" applyProtection="0">
      <alignment horizontal="center" vertical="bottom"/>
    </xf>
    <xf numFmtId="0" fontId="52" fillId="13" borderId="75" applyNumberFormat="0" applyFont="1" applyFill="1" applyBorder="1" applyAlignment="1" applyProtection="0">
      <alignment horizontal="left" vertical="bottom"/>
    </xf>
    <xf numFmtId="0" fontId="50" fillId="2" borderId="42" applyNumberFormat="0" applyFont="1" applyFill="1" applyBorder="1" applyAlignment="1" applyProtection="0">
      <alignment horizontal="left" vertical="center"/>
    </xf>
    <xf numFmtId="0" fontId="28" fillId="2" borderId="6" applyNumberFormat="0" applyFont="1" applyFill="1" applyBorder="1" applyAlignment="1" applyProtection="0">
      <alignment horizontal="center" vertical="center"/>
    </xf>
    <xf numFmtId="49" fontId="41" fillId="13" borderId="42" applyNumberFormat="1" applyFont="1" applyFill="1" applyBorder="1" applyAlignment="1" applyProtection="0">
      <alignment horizontal="left" vertical="center"/>
    </xf>
    <xf numFmtId="0" fontId="69" fillId="13" borderId="6" applyNumberFormat="0" applyFont="1" applyFill="1" applyBorder="1" applyAlignment="1" applyProtection="0">
      <alignment horizontal="left" vertical="center"/>
    </xf>
    <xf numFmtId="0" fontId="52" fillId="13" borderId="6" applyNumberFormat="0" applyFont="1" applyFill="1" applyBorder="1" applyAlignment="1" applyProtection="0">
      <alignment horizontal="left" vertical="center"/>
    </xf>
    <xf numFmtId="0" fontId="52" fillId="13" borderId="47" applyNumberFormat="0" applyFont="1" applyFill="1" applyBorder="1" applyAlignment="1" applyProtection="0">
      <alignment horizontal="left" vertical="center"/>
    </xf>
    <xf numFmtId="0" fontId="36" fillId="14" borderId="39" applyNumberFormat="0" applyFont="1" applyFill="1" applyBorder="1" applyAlignment="1" applyProtection="0">
      <alignment vertical="center"/>
    </xf>
    <xf numFmtId="0" fontId="0" fillId="14" borderId="41" applyNumberFormat="0" applyFont="1" applyFill="1" applyBorder="1" applyAlignment="1" applyProtection="0">
      <alignment vertical="center"/>
    </xf>
    <xf numFmtId="0" fontId="36" fillId="14" borderId="42" applyNumberFormat="0" applyFont="1" applyFill="1" applyBorder="1" applyAlignment="1" applyProtection="0">
      <alignment vertical="center"/>
    </xf>
    <xf numFmtId="0" fontId="0" fillId="14" borderId="6" applyNumberFormat="0" applyFont="1" applyFill="1" applyBorder="1" applyAlignment="1" applyProtection="0">
      <alignment vertical="center"/>
    </xf>
    <xf numFmtId="0" fontId="0" fillId="14" borderId="47" applyNumberFormat="0" applyFont="1" applyFill="1" applyBorder="1" applyAlignment="1" applyProtection="0">
      <alignment vertical="center"/>
    </xf>
    <xf numFmtId="14" fontId="42" fillId="2" borderId="6" applyNumberFormat="1" applyFont="1" applyFill="1" applyBorder="1" applyAlignment="1" applyProtection="0">
      <alignment vertical="bottom"/>
    </xf>
    <xf numFmtId="14" fontId="25" fillId="2" borderId="6" applyNumberFormat="1" applyFont="1" applyFill="1" applyBorder="1" applyAlignment="1" applyProtection="0">
      <alignment horizontal="center" vertical="center"/>
    </xf>
    <xf numFmtId="0" fontId="25" fillId="2" borderId="6" applyNumberFormat="0" applyFont="1" applyFill="1" applyBorder="1" applyAlignment="1" applyProtection="0">
      <alignment horizontal="right" vertical="bottom"/>
    </xf>
    <xf numFmtId="49" fontId="41" fillId="13" borderId="43" applyNumberFormat="1" applyFont="1" applyFill="1" applyBorder="1" applyAlignment="1" applyProtection="0">
      <alignment horizontal="left" vertical="center"/>
    </xf>
    <xf numFmtId="0" fontId="69" fillId="13" borderId="37" applyNumberFormat="0" applyFont="1" applyFill="1" applyBorder="1" applyAlignment="1" applyProtection="0">
      <alignment horizontal="left" vertical="center"/>
    </xf>
    <xf numFmtId="0" fontId="52" fillId="13" borderId="37" applyNumberFormat="0" applyFont="1" applyFill="1" applyBorder="1" applyAlignment="1" applyProtection="0">
      <alignment horizontal="left" vertical="center"/>
    </xf>
    <xf numFmtId="0" fontId="52" fillId="13" borderId="62" applyNumberFormat="0" applyFont="1" applyFill="1" applyBorder="1" applyAlignment="1" applyProtection="0">
      <alignment horizontal="left" vertical="center"/>
    </xf>
    <xf numFmtId="0" fontId="36" fillId="14" borderId="43" applyNumberFormat="0" applyFont="1" applyFill="1" applyBorder="1" applyAlignment="1" applyProtection="0">
      <alignment vertical="center"/>
    </xf>
    <xf numFmtId="0" fontId="0" fillId="14" borderId="37" applyNumberFormat="0" applyFont="1" applyFill="1" applyBorder="1" applyAlignment="1" applyProtection="0">
      <alignment vertical="center"/>
    </xf>
    <xf numFmtId="0" fontId="0" fillId="14" borderId="62" applyNumberFormat="0" applyFont="1" applyFill="1" applyBorder="1" applyAlignment="1" applyProtection="0">
      <alignment vertical="center"/>
    </xf>
    <xf numFmtId="49" fontId="41" fillId="13" borderId="39" applyNumberFormat="1" applyFont="1" applyFill="1" applyBorder="1" applyAlignment="1" applyProtection="0">
      <alignment horizontal="left" vertical="center"/>
    </xf>
    <xf numFmtId="0" fontId="52" fillId="13" borderId="40" applyNumberFormat="0" applyFont="1" applyFill="1" applyBorder="1" applyAlignment="1" applyProtection="0">
      <alignment horizontal="left" vertical="center"/>
    </xf>
    <xf numFmtId="0" fontId="52" fillId="13" borderId="41" applyNumberFormat="0" applyFont="1" applyFill="1" applyBorder="1" applyAlignment="1" applyProtection="0">
      <alignment horizontal="left" vertical="center"/>
    </xf>
    <xf numFmtId="49" fontId="36" fillId="14" borderId="39" applyNumberFormat="1" applyFont="1" applyFill="1" applyBorder="1" applyAlignment="1" applyProtection="0">
      <alignment vertical="center"/>
    </xf>
    <xf numFmtId="49" fontId="42" fillId="2" borderId="6" applyNumberFormat="1" applyFont="1" applyFill="1" applyBorder="1" applyAlignment="1" applyProtection="0">
      <alignment horizontal="center" vertical="center"/>
    </xf>
    <xf numFmtId="49" fontId="36" fillId="14" borderId="42" applyNumberFormat="1" applyFont="1" applyFill="1" applyBorder="1" applyAlignment="1" applyProtection="0">
      <alignment vertical="center"/>
    </xf>
    <xf numFmtId="49" fontId="36" fillId="14" borderId="43" applyNumberFormat="1" applyFont="1" applyFill="1" applyBorder="1" applyAlignment="1" applyProtection="0">
      <alignment vertical="center"/>
    </xf>
    <xf numFmtId="0" fontId="28" fillId="2" borderId="6" applyNumberFormat="0" applyFont="1" applyFill="1" applyBorder="1" applyAlignment="1" applyProtection="0">
      <alignment horizontal="left" vertical="center"/>
    </xf>
    <xf numFmtId="14" fontId="25" fillId="2" borderId="40" applyNumberFormat="1" applyFont="1" applyFill="1" applyBorder="1" applyAlignment="1" applyProtection="0">
      <alignment horizontal="center" vertical="center"/>
    </xf>
    <xf numFmtId="0" fontId="25" fillId="2" borderId="40" applyNumberFormat="0" applyFont="1" applyFill="1" applyBorder="1" applyAlignment="1" applyProtection="0">
      <alignment horizontal="right" vertical="bottom"/>
    </xf>
    <xf numFmtId="0" fontId="25" fillId="2" borderId="40" applyNumberFormat="0" applyFont="1" applyFill="1" applyBorder="1" applyAlignment="1" applyProtection="0">
      <alignment vertical="bottom" wrapText="1"/>
    </xf>
    <xf numFmtId="0" fontId="25" fillId="2" borderId="40" applyNumberFormat="0" applyFont="1" applyFill="1" applyBorder="1" applyAlignment="1" applyProtection="0">
      <alignment vertical="bottom"/>
    </xf>
    <xf numFmtId="0" fontId="25" fillId="2" borderId="6" applyNumberFormat="0" applyFont="1" applyFill="1" applyBorder="1" applyAlignment="1" applyProtection="0">
      <alignment vertical="bottom" wrapText="1"/>
    </xf>
    <xf numFmtId="0" fontId="42" fillId="2" borderId="6" applyNumberFormat="0" applyFont="1" applyFill="1" applyBorder="1" applyAlignment="1" applyProtection="0">
      <alignment horizontal="left" vertical="center"/>
    </xf>
    <xf numFmtId="0" fontId="57" fillId="2" borderId="6" applyNumberFormat="0" applyFont="1" applyFill="1" applyBorder="1" applyAlignment="1" applyProtection="0">
      <alignment vertical="bottom"/>
    </xf>
    <xf numFmtId="14" fontId="48" fillId="2" borderId="8" applyNumberFormat="1" applyFont="1" applyFill="1" applyBorder="1" applyAlignment="1" applyProtection="0">
      <alignment vertical="bottom"/>
    </xf>
    <xf numFmtId="14" fontId="25" fillId="2" borderId="8" applyNumberFormat="1" applyFont="1" applyFill="1" applyBorder="1" applyAlignment="1" applyProtection="0">
      <alignment vertical="bottom"/>
    </xf>
    <xf numFmtId="14" fontId="25" fillId="2" borderId="5"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42" fillId="3" borderId="6" applyNumberFormat="0" applyFont="1" applyFill="1" applyBorder="1" applyAlignment="1" applyProtection="0">
      <alignment vertical="bottom"/>
    </xf>
    <xf numFmtId="0" fontId="0" borderId="33" applyNumberFormat="0" applyFont="1" applyFill="0" applyBorder="1" applyAlignment="1" applyProtection="0">
      <alignment vertical="bottom"/>
    </xf>
    <xf numFmtId="0" fontId="0" borderId="34" applyNumberFormat="0" applyFont="1" applyFill="0" applyBorder="1" applyAlignment="1" applyProtection="0">
      <alignment vertical="bottom"/>
    </xf>
    <xf numFmtId="0" fontId="0" fillId="3" borderId="34" applyNumberFormat="0" applyFont="1" applyFill="1" applyBorder="1" applyAlignment="1" applyProtection="0">
      <alignment vertical="bottom"/>
    </xf>
    <xf numFmtId="0" fontId="0" borderId="35" applyNumberFormat="0" applyFont="1" applyFill="0" applyBorder="1" applyAlignment="1" applyProtection="0">
      <alignment vertical="bottom"/>
    </xf>
    <xf numFmtId="0" fontId="0" applyNumberFormat="1" applyFont="1" applyFill="0" applyBorder="0" applyAlignment="1" applyProtection="0">
      <alignment vertical="bottom"/>
    </xf>
    <xf numFmtId="0" fontId="70" fillId="2" borderId="93" applyNumberFormat="0" applyFont="1" applyFill="1" applyBorder="1" applyAlignment="1" applyProtection="0">
      <alignment vertical="bottom"/>
    </xf>
    <xf numFmtId="0" fontId="70" fillId="2" borderId="94" applyNumberFormat="0" applyFont="1" applyFill="1" applyBorder="1" applyAlignment="1" applyProtection="0">
      <alignment vertical="bottom"/>
    </xf>
    <xf numFmtId="49" fontId="71" fillId="2" borderId="94" applyNumberFormat="1" applyFont="1" applyFill="1" applyBorder="1" applyAlignment="1" applyProtection="0">
      <alignment horizontal="center" vertical="bottom"/>
    </xf>
    <xf numFmtId="0" fontId="72" fillId="2" borderId="94" applyNumberFormat="0" applyFont="1" applyFill="1" applyBorder="1" applyAlignment="1" applyProtection="0">
      <alignment vertical="bottom"/>
    </xf>
    <xf numFmtId="49" fontId="73" fillId="2" borderId="2" applyNumberFormat="1" applyFont="1" applyFill="1" applyBorder="1" applyAlignment="1" applyProtection="0">
      <alignment horizontal="center" vertical="center"/>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0" fontId="70" fillId="2" borderId="95" applyNumberFormat="0" applyFont="1" applyFill="1" applyBorder="1" applyAlignment="1" applyProtection="0">
      <alignment vertical="bottom"/>
    </xf>
    <xf numFmtId="0" fontId="70" fillId="2" borderId="10" applyNumberFormat="0" applyFont="1" applyFill="1" applyBorder="1" applyAlignment="1" applyProtection="0">
      <alignment vertical="bottom"/>
    </xf>
    <xf numFmtId="0" fontId="70" fillId="2" borderId="6" applyNumberFormat="0" applyFont="1" applyFill="1" applyBorder="1" applyAlignment="1" applyProtection="0">
      <alignment vertical="bottom"/>
    </xf>
    <xf numFmtId="0" fontId="72" fillId="2" borderId="6"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0" fontId="70" fillId="2" borderId="96" applyNumberFormat="0" applyFont="1" applyFill="1" applyBorder="1" applyAlignment="1" applyProtection="0">
      <alignment vertical="bottom"/>
    </xf>
    <xf numFmtId="49" fontId="74" fillId="5" borderId="18" applyNumberFormat="1" applyFont="1" applyFill="1" applyBorder="1" applyAlignment="1" applyProtection="0">
      <alignment horizontal="center" vertical="center" wrapText="1"/>
    </xf>
    <xf numFmtId="0" fontId="70" fillId="2" borderId="23" applyNumberFormat="0" applyFont="1" applyFill="1" applyBorder="1" applyAlignment="1" applyProtection="0">
      <alignment vertical="bottom"/>
    </xf>
    <xf numFmtId="49" fontId="33" fillId="29" borderId="97" applyNumberFormat="1" applyFont="1" applyFill="1" applyBorder="1" applyAlignment="1" applyProtection="0">
      <alignment horizontal="left" vertical="center" wrapText="1"/>
    </xf>
    <xf numFmtId="0" fontId="0" fillId="3" borderId="98" applyNumberFormat="0" applyFont="1" applyFill="1" applyBorder="1" applyAlignment="1" applyProtection="0">
      <alignment vertical="bottom"/>
    </xf>
    <xf numFmtId="0" fontId="0" fillId="3" borderId="27" applyNumberFormat="0" applyFont="1" applyFill="1" applyBorder="1" applyAlignment="1" applyProtection="0">
      <alignment vertical="bottom"/>
    </xf>
    <xf numFmtId="0" fontId="0" fillId="3" borderId="29" applyNumberFormat="0" applyFont="1" applyFill="1" applyBorder="1" applyAlignment="1" applyProtection="0">
      <alignment vertical="bottom"/>
    </xf>
    <xf numFmtId="0" fontId="70" fillId="2" borderId="24" applyNumberFormat="0" applyFont="1" applyFill="1" applyBorder="1" applyAlignment="1" applyProtection="0">
      <alignment vertical="bottom"/>
    </xf>
    <xf numFmtId="49" fontId="75" fillId="2" borderId="99" applyNumberFormat="1" applyFont="1" applyFill="1" applyBorder="1" applyAlignment="1" applyProtection="0">
      <alignment horizontal="center" vertical="center"/>
    </xf>
    <xf numFmtId="49" fontId="33" fillId="30" borderId="100" applyNumberFormat="1" applyFont="1" applyFill="1" applyBorder="1" applyAlignment="1" applyProtection="0">
      <alignment horizontal="left" vertical="center" wrapText="1"/>
    </xf>
    <xf numFmtId="0" fontId="0" fillId="3" borderId="100" applyNumberFormat="0" applyFont="1" applyFill="1" applyBorder="1" applyAlignment="1" applyProtection="0">
      <alignment vertical="bottom"/>
    </xf>
    <xf numFmtId="0" fontId="0" fillId="3" borderId="101" applyNumberFormat="0" applyFont="1" applyFill="1" applyBorder="1" applyAlignment="1" applyProtection="0">
      <alignment vertical="bottom"/>
    </xf>
    <xf numFmtId="0" fontId="0" fillId="29" borderId="102" applyNumberFormat="0" applyFont="1" applyFill="1" applyBorder="1" applyAlignment="1" applyProtection="0">
      <alignment vertical="bottom"/>
    </xf>
    <xf numFmtId="0" fontId="36" fillId="3" borderId="5" applyNumberFormat="0" applyFont="1" applyFill="1" applyBorder="1" applyAlignment="1" applyProtection="0">
      <alignment vertical="bottom"/>
    </xf>
    <xf numFmtId="49" fontId="73" borderId="44" applyNumberFormat="1" applyFont="1" applyFill="0" applyBorder="1" applyAlignment="1" applyProtection="0">
      <alignment vertical="bottom"/>
    </xf>
    <xf numFmtId="0" fontId="36" borderId="48" applyNumberFormat="0" applyFont="1" applyFill="0" applyBorder="1" applyAlignment="1" applyProtection="0">
      <alignment vertical="bottom"/>
    </xf>
    <xf numFmtId="0" fontId="0" fillId="3" borderId="45" applyNumberFormat="0" applyFont="1" applyFill="1" applyBorder="1" applyAlignment="1" applyProtection="0">
      <alignment vertical="bottom"/>
    </xf>
    <xf numFmtId="49" fontId="33" fillId="31" borderId="100" applyNumberFormat="1" applyFont="1" applyFill="1" applyBorder="1" applyAlignment="1" applyProtection="0">
      <alignment horizontal="left" vertical="center" wrapText="1"/>
    </xf>
    <xf numFmtId="0" fontId="0" fillId="31" borderId="100" applyNumberFormat="0" applyFont="1" applyFill="1" applyBorder="1" applyAlignment="1" applyProtection="0">
      <alignment vertical="bottom"/>
    </xf>
    <xf numFmtId="0" fontId="0" fillId="31" borderId="103" applyNumberFormat="0" applyFont="1" applyFill="1" applyBorder="1" applyAlignment="1" applyProtection="0">
      <alignment vertical="bottom"/>
    </xf>
    <xf numFmtId="0" fontId="0" fillId="30" borderId="102" applyNumberFormat="0" applyFont="1" applyFill="1" applyBorder="1" applyAlignment="1" applyProtection="0">
      <alignment vertical="bottom"/>
    </xf>
    <xf numFmtId="49" fontId="43" fillId="13" borderId="5" applyNumberFormat="1" applyFont="1" applyFill="1" applyBorder="1" applyAlignment="1" applyProtection="0">
      <alignment horizontal="center" vertical="center"/>
    </xf>
    <xf numFmtId="0" fontId="36" fillId="13" borderId="6" applyNumberFormat="0" applyFont="1" applyFill="1" applyBorder="1" applyAlignment="1" applyProtection="0">
      <alignment vertical="bottom"/>
    </xf>
    <xf numFmtId="0" fontId="36" borderId="104" applyNumberFormat="0" applyFont="1" applyFill="0" applyBorder="1" applyAlignment="1" applyProtection="0">
      <alignment vertical="bottom"/>
    </xf>
    <xf numFmtId="49" fontId="76" fillId="13" borderId="105" applyNumberFormat="1" applyFont="1" applyFill="1" applyBorder="1" applyAlignment="1" applyProtection="0">
      <alignment horizontal="center" vertical="top"/>
    </xf>
    <xf numFmtId="49" fontId="33" fillId="31" borderId="32" applyNumberFormat="1" applyFont="1" applyFill="1" applyBorder="1" applyAlignment="1" applyProtection="0">
      <alignment horizontal="left" vertical="center" wrapText="1"/>
    </xf>
    <xf numFmtId="0" fontId="0" fillId="3" borderId="32" applyNumberFormat="0" applyFont="1" applyFill="1" applyBorder="1" applyAlignment="1" applyProtection="0">
      <alignment vertical="bottom"/>
    </xf>
    <xf numFmtId="0" fontId="36" fillId="31" borderId="101" applyNumberFormat="0" applyFont="1" applyFill="1" applyBorder="1" applyAlignment="1" applyProtection="0">
      <alignment horizontal="left" vertical="center" wrapText="1"/>
    </xf>
    <xf numFmtId="0" fontId="0" fillId="3" borderId="106" applyNumberFormat="0" applyFont="1" applyFill="1" applyBorder="1" applyAlignment="1" applyProtection="0">
      <alignment vertical="bottom"/>
    </xf>
    <xf numFmtId="0" fontId="0" fillId="3" borderId="107" applyNumberFormat="0" applyFont="1" applyFill="1" applyBorder="1" applyAlignment="1" applyProtection="0">
      <alignment vertical="bottom"/>
    </xf>
    <xf numFmtId="0" fontId="36" fillId="31" borderId="29" applyNumberFormat="0" applyFont="1" applyFill="1" applyBorder="1" applyAlignment="1" applyProtection="0">
      <alignment horizontal="left" vertical="center" wrapText="1"/>
    </xf>
    <xf numFmtId="0" fontId="0" fillId="3" borderId="77" applyNumberFormat="0" applyFont="1" applyFill="1" applyBorder="1" applyAlignment="1" applyProtection="0">
      <alignment vertical="bottom"/>
    </xf>
    <xf numFmtId="49" fontId="43" fillId="14" borderId="5" applyNumberFormat="1" applyFont="1" applyFill="1" applyBorder="1" applyAlignment="1" applyProtection="0">
      <alignment horizontal="center" vertical="center"/>
    </xf>
    <xf numFmtId="0" fontId="36" fillId="14" borderId="6" applyNumberFormat="0" applyFont="1" applyFill="1" applyBorder="1" applyAlignment="1" applyProtection="0">
      <alignment vertical="bottom"/>
    </xf>
    <xf numFmtId="0" fontId="36" borderId="108" applyNumberFormat="0" applyFont="1" applyFill="0" applyBorder="1" applyAlignment="1" applyProtection="0">
      <alignment vertical="bottom"/>
    </xf>
    <xf numFmtId="0" fontId="36" fillId="31" borderId="97" applyNumberFormat="0" applyFont="1" applyFill="1" applyBorder="1" applyAlignment="1" applyProtection="0">
      <alignment horizontal="left" vertical="center" wrapText="1"/>
    </xf>
    <xf numFmtId="49" fontId="76" fillId="6" borderId="100" applyNumberFormat="1" applyFont="1" applyFill="1" applyBorder="1" applyAlignment="1" applyProtection="0">
      <alignment horizontal="center" vertical="top"/>
    </xf>
    <xf numFmtId="49" fontId="76" fillId="32" borderId="100" applyNumberFormat="1" applyFont="1" applyFill="1" applyBorder="1" applyAlignment="1" applyProtection="0">
      <alignment horizontal="center" vertical="top"/>
    </xf>
    <xf numFmtId="0" fontId="36" borderId="6" applyNumberFormat="0" applyFont="1" applyFill="0" applyBorder="1" applyAlignment="1" applyProtection="0">
      <alignment vertical="bottom"/>
    </xf>
    <xf numFmtId="0" fontId="36" borderId="109" applyNumberFormat="0" applyFont="1" applyFill="0" applyBorder="1" applyAlignment="1" applyProtection="0">
      <alignment vertical="bottom"/>
    </xf>
    <xf numFmtId="49" fontId="77" borderId="6" applyNumberFormat="1" applyFont="1" applyFill="0" applyBorder="1" applyAlignment="1" applyProtection="0">
      <alignment vertical="bottom"/>
    </xf>
    <xf numFmtId="0" fontId="36" borderId="99" applyNumberFormat="0" applyFont="1" applyFill="0" applyBorder="1" applyAlignment="1" applyProtection="0">
      <alignment vertical="bottom"/>
    </xf>
    <xf numFmtId="49" fontId="78" fillId="13" borderId="5" applyNumberFormat="1" applyFont="1" applyFill="1" applyBorder="1" applyAlignment="1" applyProtection="0">
      <alignment horizontal="center" vertical="center"/>
    </xf>
    <xf numFmtId="49" fontId="36" fillId="6" borderId="6" applyNumberFormat="1" applyFont="1" applyFill="1" applyBorder="1" applyAlignment="1" applyProtection="0">
      <alignment vertical="bottom"/>
    </xf>
    <xf numFmtId="0" fontId="0" fillId="3" borderId="5" applyNumberFormat="0" applyFont="1" applyFill="1" applyBorder="1" applyAlignment="1" applyProtection="0">
      <alignment vertical="bottom"/>
    </xf>
    <xf numFmtId="49" fontId="78" fillId="6" borderId="5" applyNumberFormat="1" applyFont="1" applyFill="1" applyBorder="1" applyAlignment="1" applyProtection="0">
      <alignment horizontal="center" vertical="center"/>
    </xf>
    <xf numFmtId="49" fontId="36" fillId="14" borderId="6" applyNumberFormat="1" applyFont="1" applyFill="1" applyBorder="1" applyAlignment="1" applyProtection="0">
      <alignment vertical="bottom"/>
    </xf>
    <xf numFmtId="49" fontId="77" borderId="99" applyNumberFormat="1" applyFont="1" applyFill="0" applyBorder="1" applyAlignment="1" applyProtection="0">
      <alignment vertical="bottom"/>
    </xf>
    <xf numFmtId="49" fontId="79" fillId="6" borderId="5" applyNumberFormat="1" applyFont="1" applyFill="1" applyBorder="1" applyAlignment="1" applyProtection="0">
      <alignment horizontal="center" vertical="center"/>
    </xf>
    <xf numFmtId="49" fontId="36" borderId="108" applyNumberFormat="1" applyFont="1" applyFill="0" applyBorder="1" applyAlignment="1" applyProtection="0">
      <alignment vertical="bottom"/>
    </xf>
    <xf numFmtId="0" fontId="0" fillId="3" borderId="97" applyNumberFormat="0" applyFont="1" applyFill="1" applyBorder="1" applyAlignment="1" applyProtection="0">
      <alignment vertical="bottom"/>
    </xf>
    <xf numFmtId="0" fontId="0" fillId="30" borderId="80" applyNumberFormat="0" applyFont="1" applyFill="1" applyBorder="1" applyAlignment="1" applyProtection="0">
      <alignment vertical="bottom"/>
    </xf>
    <xf numFmtId="49" fontId="33" fillId="30" borderId="103" applyNumberFormat="1" applyFont="1" applyFill="1" applyBorder="1" applyAlignment="1" applyProtection="0">
      <alignment horizontal="left" vertical="center" wrapText="1"/>
    </xf>
    <xf numFmtId="0" fontId="0" fillId="3" borderId="110" applyNumberFormat="0" applyFont="1" applyFill="1" applyBorder="1" applyAlignment="1" applyProtection="0">
      <alignment vertical="bottom"/>
    </xf>
    <xf numFmtId="0" fontId="0" fillId="3" borderId="103" applyNumberFormat="0" applyFont="1" applyFill="1" applyBorder="1" applyAlignment="1" applyProtection="0">
      <alignment vertical="bottom"/>
    </xf>
    <xf numFmtId="0" fontId="33" fillId="3" borderId="111" applyNumberFormat="0" applyFont="1" applyFill="1" applyBorder="1" applyAlignment="1" applyProtection="0">
      <alignment vertical="center" wrapText="1"/>
    </xf>
    <xf numFmtId="49" fontId="33" fillId="31" borderId="103" applyNumberFormat="1" applyFont="1" applyFill="1" applyBorder="1" applyAlignment="1" applyProtection="0">
      <alignment horizontal="left" vertical="center" wrapText="1"/>
    </xf>
    <xf numFmtId="0" fontId="33" fillId="30" borderId="102" applyNumberFormat="0" applyFont="1" applyFill="1" applyBorder="1" applyAlignment="1" applyProtection="0">
      <alignment vertical="center" wrapText="1"/>
    </xf>
    <xf numFmtId="49" fontId="78" fillId="27" borderId="6" applyNumberFormat="1" applyFont="1" applyFill="1" applyBorder="1" applyAlignment="1" applyProtection="0">
      <alignment horizontal="center" vertical="top"/>
    </xf>
    <xf numFmtId="49" fontId="36" fillId="31" borderId="32" applyNumberFormat="1" applyFont="1" applyFill="1" applyBorder="1" applyAlignment="1" applyProtection="0">
      <alignment horizontal="left" vertical="center" wrapText="1"/>
    </xf>
    <xf numFmtId="0" fontId="36" fillId="31" borderId="32" applyNumberFormat="0" applyFont="1" applyFill="1" applyBorder="1" applyAlignment="1" applyProtection="0">
      <alignment horizontal="left" vertical="center" wrapText="1"/>
    </xf>
    <xf numFmtId="0" fontId="33" fillId="30" borderId="29" applyNumberFormat="0" applyFont="1" applyFill="1" applyBorder="1" applyAlignment="1" applyProtection="0">
      <alignment vertical="center" wrapText="1"/>
    </xf>
    <xf numFmtId="0" fontId="36" fillId="31" borderId="6" applyNumberFormat="0" applyFont="1" applyFill="1" applyBorder="1" applyAlignment="1" applyProtection="0">
      <alignment horizontal="left" vertical="center" wrapText="1"/>
    </xf>
    <xf numFmtId="0" fontId="0" fillId="3" borderId="112" applyNumberFormat="0" applyFont="1" applyFill="1" applyBorder="1" applyAlignment="1" applyProtection="0">
      <alignment vertical="bottom"/>
    </xf>
    <xf numFmtId="0" fontId="36" fillId="31" borderId="113" applyNumberFormat="0" applyFont="1" applyFill="1" applyBorder="1" applyAlignment="1" applyProtection="0">
      <alignment horizontal="left" vertical="center" wrapText="1"/>
    </xf>
    <xf numFmtId="0" fontId="0" fillId="3" borderId="114" applyNumberFormat="0" applyFont="1" applyFill="1" applyBorder="1" applyAlignment="1" applyProtection="0">
      <alignment vertical="bottom"/>
    </xf>
    <xf numFmtId="0" fontId="36" fillId="3" borderId="115" applyNumberFormat="0" applyFont="1" applyFill="1" applyBorder="1" applyAlignment="1" applyProtection="0">
      <alignment horizontal="left" vertical="center" wrapText="1"/>
    </xf>
    <xf numFmtId="0" fontId="36" fillId="3" borderId="6" applyNumberFormat="0" applyFont="1" applyFill="1" applyBorder="1" applyAlignment="1" applyProtection="0">
      <alignment horizontal="left" vertical="center" wrapText="1"/>
    </xf>
    <xf numFmtId="49" fontId="78" fillId="28" borderId="6" applyNumberFormat="1" applyFont="1" applyFill="1" applyBorder="1" applyAlignment="1" applyProtection="0">
      <alignment horizontal="center" vertical="top"/>
    </xf>
    <xf numFmtId="49" fontId="33" fillId="31" borderId="6" applyNumberFormat="1" applyFont="1" applyFill="1" applyBorder="1" applyAlignment="1" applyProtection="0">
      <alignment horizontal="left" vertical="center" wrapText="1"/>
    </xf>
    <xf numFmtId="49" fontId="80" fillId="6" borderId="5" applyNumberFormat="1" applyFont="1" applyFill="1" applyBorder="1" applyAlignment="1" applyProtection="0">
      <alignment horizontal="center" vertical="center"/>
    </xf>
    <xf numFmtId="0" fontId="0" fillId="3" borderId="6" applyNumberFormat="0" applyFont="1" applyFill="1" applyBorder="1" applyAlignment="1" applyProtection="0">
      <alignment vertical="center" wrapText="1"/>
    </xf>
    <xf numFmtId="0" fontId="0" fillId="3" borderId="113" applyNumberFormat="0" applyFont="1" applyFill="1" applyBorder="1" applyAlignment="1" applyProtection="0">
      <alignment vertical="bottom"/>
    </xf>
    <xf numFmtId="0" fontId="0" fillId="3" borderId="116" applyNumberFormat="0" applyFont="1" applyFill="1" applyBorder="1" applyAlignment="1" applyProtection="0">
      <alignment vertical="bottom"/>
    </xf>
    <xf numFmtId="0" fontId="36" fillId="31" borderId="117" applyNumberFormat="0" applyFont="1" applyFill="1" applyBorder="1" applyAlignment="1" applyProtection="0">
      <alignment horizontal="left" vertical="center" wrapText="1"/>
    </xf>
    <xf numFmtId="0" fontId="0" fillId="3" borderId="115" applyNumberFormat="0" applyFont="1" applyFill="1" applyBorder="1" applyAlignment="1" applyProtection="0">
      <alignment vertical="bottom"/>
    </xf>
    <xf numFmtId="49" fontId="78" fillId="33" borderId="6" applyNumberFormat="1" applyFont="1" applyFill="1" applyBorder="1" applyAlignment="1" applyProtection="0">
      <alignment horizontal="center" vertical="top" wrapText="1"/>
    </xf>
    <xf numFmtId="49" fontId="33" fillId="34" borderId="6" applyNumberFormat="1" applyFont="1" applyFill="1" applyBorder="1" applyAlignment="1" applyProtection="0">
      <alignment horizontal="center" vertical="center" wrapText="1"/>
    </xf>
    <xf numFmtId="0" fontId="0" fillId="34" borderId="6" applyNumberFormat="0" applyFont="1" applyFill="1" applyBorder="1" applyAlignment="1" applyProtection="0">
      <alignment vertical="top" wrapText="1"/>
    </xf>
    <xf numFmtId="0" fontId="81" fillId="6" borderId="5" applyNumberFormat="0" applyFont="1" applyFill="1" applyBorder="1" applyAlignment="1" applyProtection="0">
      <alignment horizontal="left" vertical="center"/>
    </xf>
    <xf numFmtId="0" fontId="82" fillId="6" borderId="5" applyNumberFormat="0" applyFont="1" applyFill="1" applyBorder="1" applyAlignment="1" applyProtection="0">
      <alignment horizontal="left" vertical="center"/>
    </xf>
    <xf numFmtId="0" fontId="33" fillId="30" borderId="97" applyNumberFormat="0" applyFont="1" applyFill="1" applyBorder="1" applyAlignment="1" applyProtection="0">
      <alignment vertical="center" wrapText="1"/>
    </xf>
    <xf numFmtId="0" fontId="81" fillId="13" borderId="5" applyNumberFormat="0" applyFont="1" applyFill="1" applyBorder="1" applyAlignment="1" applyProtection="0">
      <alignment horizontal="left" vertical="center"/>
    </xf>
    <xf numFmtId="0" fontId="81" fillId="35" borderId="6" applyNumberFormat="0" applyFont="1" applyFill="1" applyBorder="1" applyAlignment="1" applyProtection="0">
      <alignment horizontal="left" vertical="center"/>
    </xf>
    <xf numFmtId="49" fontId="33" fillId="35" borderId="6" applyNumberFormat="1" applyFont="1" applyFill="1" applyBorder="1" applyAlignment="1" applyProtection="0">
      <alignment horizontal="left" vertical="center" wrapText="1"/>
    </xf>
    <xf numFmtId="0" fontId="0" fillId="35" borderId="6" applyNumberFormat="0" applyFont="1" applyFill="1" applyBorder="1" applyAlignment="1" applyProtection="0">
      <alignment vertical="center" wrapText="1"/>
    </xf>
    <xf numFmtId="0" fontId="0" fillId="35" borderId="29" applyNumberFormat="0" applyFont="1" applyFill="1" applyBorder="1" applyAlignment="1" applyProtection="0">
      <alignment vertical="center" wrapText="1"/>
    </xf>
    <xf numFmtId="0" fontId="0" fillId="35" borderId="111" applyNumberFormat="0" applyFont="1" applyFill="1" applyBorder="1" applyAlignment="1" applyProtection="0">
      <alignment vertical="center" wrapText="1"/>
    </xf>
    <xf numFmtId="0" fontId="82" fillId="13" borderId="5" applyNumberFormat="0" applyFont="1" applyFill="1" applyBorder="1" applyAlignment="1" applyProtection="0">
      <alignment horizontal="left" vertical="center"/>
    </xf>
    <xf numFmtId="0" fontId="0" fillId="35" borderId="102" applyNumberFormat="0" applyFont="1" applyFill="1" applyBorder="1" applyAlignment="1" applyProtection="0">
      <alignment vertical="center" wrapText="1"/>
    </xf>
    <xf numFmtId="0" fontId="82" fillId="6" borderId="33" applyNumberFormat="0" applyFont="1" applyFill="1" applyBorder="1" applyAlignment="1" applyProtection="0">
      <alignment horizontal="left" vertical="center"/>
    </xf>
    <xf numFmtId="0" fontId="81" fillId="35" borderId="34" applyNumberFormat="0" applyFont="1" applyFill="1" applyBorder="1" applyAlignment="1" applyProtection="0">
      <alignment horizontal="left" vertical="center"/>
    </xf>
    <xf numFmtId="0" fontId="0" fillId="35" borderId="34" applyNumberFormat="0" applyFont="1" applyFill="1" applyBorder="1" applyAlignment="1" applyProtection="0">
      <alignment vertical="center" wrapText="1"/>
    </xf>
    <xf numFmtId="0" fontId="0" fillId="35" borderId="118" applyNumberFormat="0" applyFont="1" applyFill="1" applyBorder="1" applyAlignment="1" applyProtection="0">
      <alignment vertical="center" wrapText="1"/>
    </xf>
    <xf numFmtId="0" fontId="0" fillId="35" borderId="119" applyNumberFormat="0" applyFont="1" applyFill="1" applyBorder="1" applyAlignment="1" applyProtection="0">
      <alignment vertical="center" wrapText="1"/>
    </xf>
    <xf numFmtId="0" fontId="0" fillId="29" borderId="119" applyNumberFormat="0" applyFont="1" applyFill="1" applyBorder="1" applyAlignment="1" applyProtection="0">
      <alignment vertical="bottom"/>
    </xf>
    <xf numFmtId="0" fontId="0" applyNumberFormat="1" applyFont="1" applyFill="0" applyBorder="0" applyAlignment="1" applyProtection="0">
      <alignment vertical="bottom"/>
    </xf>
    <xf numFmtId="0" fontId="42" fillId="2" borderId="2" applyNumberFormat="0" applyFont="1" applyFill="1" applyBorder="1" applyAlignment="1" applyProtection="0">
      <alignment vertical="bottom"/>
    </xf>
    <xf numFmtId="0" fontId="27" fillId="2" borderId="37" applyNumberFormat="0" applyFont="1" applyFill="1" applyBorder="1" applyAlignment="1" applyProtection="0">
      <alignment vertical="bottom"/>
    </xf>
    <xf numFmtId="0" fontId="49" fillId="2" borderId="37" applyNumberFormat="0" applyFont="1" applyFill="1" applyBorder="1" applyAlignment="1" applyProtection="0">
      <alignment vertical="bottom"/>
    </xf>
    <xf numFmtId="16" fontId="27" fillId="2" borderId="37" applyNumberFormat="1" applyFont="1" applyFill="1" applyBorder="1" applyAlignment="1" applyProtection="0">
      <alignment vertical="bottom"/>
    </xf>
    <xf numFmtId="0" fontId="49" fillId="2" borderId="6" applyNumberFormat="0" applyFont="1" applyFill="1" applyBorder="1" applyAlignment="1" applyProtection="0">
      <alignment vertical="bottom"/>
    </xf>
    <xf numFmtId="0" fontId="0" fillId="2" borderId="120" applyNumberFormat="0" applyFont="1" applyFill="1" applyBorder="1" applyAlignment="1" applyProtection="0">
      <alignment vertical="bottom"/>
    </xf>
    <xf numFmtId="0" fontId="0" fillId="2" borderId="6" applyNumberFormat="0" applyFont="1" applyFill="1" applyBorder="1" applyAlignment="1" applyProtection="0">
      <alignment horizontal="center" vertical="center"/>
    </xf>
    <xf numFmtId="0" fontId="42" fillId="2" borderId="6" applyNumberFormat="0" applyFont="1" applyFill="1" applyBorder="1" applyAlignment="1" applyProtection="0">
      <alignment horizontal="center" vertical="center"/>
    </xf>
    <xf numFmtId="0" fontId="0" fillId="3" borderId="121" applyNumberFormat="0" applyFont="1" applyFill="1" applyBorder="1" applyAlignment="1" applyProtection="0">
      <alignment vertical="bottom"/>
    </xf>
    <xf numFmtId="0" fontId="0" fillId="3" borderId="122" applyNumberFormat="0" applyFont="1" applyFill="1" applyBorder="1" applyAlignment="1" applyProtection="0">
      <alignment vertical="bottom"/>
    </xf>
    <xf numFmtId="0" fontId="0" fillId="2" borderId="38" applyNumberFormat="1" applyFont="1" applyFill="1" applyBorder="1" applyAlignment="1" applyProtection="0">
      <alignment vertical="bottom"/>
    </xf>
    <xf numFmtId="49" fontId="49" fillId="36" borderId="123" applyNumberFormat="1" applyFont="1" applyFill="1" applyBorder="1" applyAlignment="1" applyProtection="0">
      <alignment horizontal="center" vertical="center"/>
    </xf>
    <xf numFmtId="0" fontId="36" fillId="14" borderId="124" applyNumberFormat="0" applyFont="1" applyFill="1" applyBorder="1" applyAlignment="1" applyProtection="0">
      <alignment horizontal="left" vertical="bottom"/>
    </xf>
    <xf numFmtId="0" fontId="36" fillId="14" borderId="124" applyNumberFormat="1" applyFont="1" applyFill="1" applyBorder="1" applyAlignment="1" applyProtection="0">
      <alignment horizontal="center" vertical="bottom"/>
    </xf>
    <xf numFmtId="0" fontId="36" fillId="14" borderId="124" applyNumberFormat="0" applyFont="1" applyFill="1" applyBorder="1" applyAlignment="1" applyProtection="0">
      <alignment vertical="bottom"/>
    </xf>
    <xf numFmtId="0" fontId="43" fillId="6" borderId="125" applyNumberFormat="0" applyFont="1" applyFill="1" applyBorder="1" applyAlignment="1" applyProtection="0">
      <alignment horizontal="left" vertical="center"/>
    </xf>
    <xf numFmtId="0" fontId="43" fillId="6" borderId="126" applyNumberFormat="0" applyFont="1" applyFill="1" applyBorder="1" applyAlignment="1" applyProtection="0">
      <alignment horizontal="left" vertical="center"/>
    </xf>
    <xf numFmtId="49" fontId="43" fillId="6" borderId="126" applyNumberFormat="1" applyFont="1" applyFill="1" applyBorder="1" applyAlignment="1" applyProtection="0">
      <alignment horizontal="center" vertical="center"/>
    </xf>
    <xf numFmtId="0" fontId="43" fillId="6" borderId="126" applyNumberFormat="0" applyFont="1" applyFill="1" applyBorder="1" applyAlignment="1" applyProtection="0">
      <alignment horizontal="center" vertical="center"/>
    </xf>
    <xf numFmtId="0" fontId="43" fillId="6" borderId="127" applyNumberFormat="0" applyFont="1" applyFill="1" applyBorder="1" applyAlignment="1" applyProtection="0">
      <alignment horizontal="center" vertical="center"/>
    </xf>
    <xf numFmtId="0" fontId="42" fillId="2" borderId="83" applyNumberFormat="0" applyFont="1" applyFill="1" applyBorder="1" applyAlignment="1" applyProtection="0">
      <alignment vertical="bottom"/>
    </xf>
    <xf numFmtId="0" fontId="0" fillId="2" borderId="83" applyNumberFormat="1" applyFont="1" applyFill="1" applyBorder="1" applyAlignment="1" applyProtection="0">
      <alignment vertical="bottom"/>
    </xf>
    <xf numFmtId="49" fontId="49" fillId="21" borderId="123" applyNumberFormat="1" applyFont="1" applyFill="1" applyBorder="1" applyAlignment="1" applyProtection="0">
      <alignment horizontal="center" vertical="center"/>
    </xf>
    <xf numFmtId="0" fontId="0" fillId="2" borderId="83" applyNumberFormat="0" applyFont="1" applyFill="1" applyBorder="1" applyAlignment="1" applyProtection="0">
      <alignment vertical="bottom"/>
    </xf>
    <xf numFmtId="0" fontId="42" fillId="2" borderId="42" applyNumberFormat="1" applyFont="1" applyFill="1" applyBorder="1" applyAlignment="1" applyProtection="0">
      <alignment vertical="bottom"/>
    </xf>
    <xf numFmtId="49" fontId="36" fillId="2" borderId="128" applyNumberFormat="1" applyFont="1" applyFill="1" applyBorder="1" applyAlignment="1" applyProtection="0">
      <alignment horizontal="center" vertical="bottom"/>
    </xf>
    <xf numFmtId="0" fontId="43" fillId="37" borderId="129" applyNumberFormat="0" applyFont="1" applyFill="1" applyBorder="1" applyAlignment="1" applyProtection="0">
      <alignment horizontal="center" vertical="center"/>
    </xf>
    <xf numFmtId="0" fontId="36" fillId="37" borderId="129" applyNumberFormat="0" applyFont="1" applyFill="1" applyBorder="1" applyAlignment="1" applyProtection="0">
      <alignment horizontal="center" vertical="center"/>
    </xf>
    <xf numFmtId="0" fontId="36" fillId="37" borderId="130" applyNumberFormat="0" applyFont="1" applyFill="1" applyBorder="1" applyAlignment="1" applyProtection="0">
      <alignment horizontal="center" vertical="top"/>
    </xf>
    <xf numFmtId="0" fontId="36" fillId="38" borderId="120" applyNumberFormat="0" applyFont="1" applyFill="1" applyBorder="1" applyAlignment="1" applyProtection="0">
      <alignment vertical="bottom"/>
    </xf>
    <xf numFmtId="0" fontId="36" fillId="38" borderId="6" applyNumberFormat="0" applyFont="1" applyFill="1" applyBorder="1" applyAlignment="1" applyProtection="0">
      <alignment vertical="bottom"/>
    </xf>
    <xf numFmtId="0" fontId="0" fillId="39" borderId="6" applyNumberFormat="0" applyFont="1" applyFill="1" applyBorder="1" applyAlignment="1" applyProtection="0">
      <alignment horizontal="center" vertical="center"/>
    </xf>
    <xf numFmtId="0" fontId="36" fillId="40" borderId="6" applyNumberFormat="0" applyFont="1" applyFill="1" applyBorder="1" applyAlignment="1" applyProtection="0">
      <alignment horizontal="center" vertical="center"/>
    </xf>
    <xf numFmtId="0" fontId="0" fillId="41" borderId="6" applyNumberFormat="0" applyFont="1" applyFill="1" applyBorder="1" applyAlignment="1" applyProtection="0">
      <alignment horizontal="center" vertical="center"/>
    </xf>
    <xf numFmtId="0" fontId="36" fillId="6" borderId="6" applyNumberFormat="0" applyFont="1" applyFill="1" applyBorder="1" applyAlignment="1" applyProtection="0">
      <alignment horizontal="center" vertical="center"/>
    </xf>
    <xf numFmtId="0" fontId="0" fillId="3" borderId="87" applyNumberFormat="0" applyFont="1" applyFill="1" applyBorder="1" applyAlignment="1" applyProtection="0">
      <alignment vertical="bottom"/>
    </xf>
    <xf numFmtId="0" fontId="0" fillId="3" borderId="131" applyNumberFormat="0" applyFont="1" applyFill="1" applyBorder="1" applyAlignment="1" applyProtection="0">
      <alignment horizontal="right" vertical="bottom"/>
    </xf>
    <xf numFmtId="49" fontId="27" fillId="42" borderId="132" applyNumberFormat="1" applyFont="1" applyFill="1" applyBorder="1" applyAlignment="1" applyProtection="0">
      <alignment horizontal="center" vertical="bottom"/>
    </xf>
    <xf numFmtId="49" fontId="27" fillId="37" borderId="132" applyNumberFormat="1" applyFont="1" applyFill="1" applyBorder="1" applyAlignment="1" applyProtection="0">
      <alignment horizontal="center" vertical="bottom"/>
    </xf>
    <xf numFmtId="49" fontId="27" fillId="38" borderId="132" applyNumberFormat="1" applyFont="1" applyFill="1" applyBorder="1" applyAlignment="1" applyProtection="0">
      <alignment horizontal="center" vertical="bottom"/>
    </xf>
    <xf numFmtId="49" fontId="27" fillId="39" borderId="132" applyNumberFormat="1" applyFont="1" applyFill="1" applyBorder="1" applyAlignment="1" applyProtection="0">
      <alignment horizontal="center" vertical="bottom"/>
    </xf>
    <xf numFmtId="49" fontId="27" fillId="40" borderId="132" applyNumberFormat="1" applyFont="1" applyFill="1" applyBorder="1" applyAlignment="1" applyProtection="0">
      <alignment horizontal="center" vertical="bottom"/>
    </xf>
    <xf numFmtId="49" fontId="27" fillId="43" borderId="132" applyNumberFormat="1" applyFont="1" applyFill="1" applyBorder="1" applyAlignment="1" applyProtection="0">
      <alignment horizontal="center" vertical="bottom"/>
    </xf>
    <xf numFmtId="49" fontId="27" fillId="44" borderId="132" applyNumberFormat="1" applyFont="1" applyFill="1" applyBorder="1" applyAlignment="1" applyProtection="0">
      <alignment horizontal="center" vertical="bottom"/>
    </xf>
    <xf numFmtId="49" fontId="27" fillId="45" borderId="133" applyNumberFormat="1" applyFont="1" applyFill="1" applyBorder="1" applyAlignment="1" applyProtection="0">
      <alignment horizontal="center" vertical="bottom"/>
    </xf>
    <xf numFmtId="0" fontId="49" fillId="36" borderId="134" applyNumberFormat="0" applyFont="1" applyFill="1" applyBorder="1" applyAlignment="1" applyProtection="0">
      <alignment horizontal="center" vertical="center"/>
    </xf>
    <xf numFmtId="0" fontId="36" fillId="14" borderId="48" applyNumberFormat="0" applyFont="1" applyFill="1" applyBorder="1" applyAlignment="1" applyProtection="0">
      <alignment horizontal="left" vertical="bottom"/>
    </xf>
    <xf numFmtId="0" fontId="36" fillId="14" borderId="48" applyNumberFormat="0" applyFont="1" applyFill="1" applyBorder="1" applyAlignment="1" applyProtection="0">
      <alignment vertical="bottom"/>
    </xf>
    <xf numFmtId="0" fontId="36" fillId="14" borderId="135" applyNumberFormat="1" applyFont="1" applyFill="1" applyBorder="1" applyAlignment="1" applyProtection="0">
      <alignment vertical="bottom"/>
    </xf>
    <xf numFmtId="0" fontId="43" fillId="14" borderId="109" applyNumberFormat="0" applyFont="1" applyFill="1" applyBorder="1" applyAlignment="1" applyProtection="0">
      <alignment horizontal="left" vertical="bottom"/>
    </xf>
    <xf numFmtId="0" fontId="43" fillId="14" borderId="109" applyNumberFormat="1" applyFont="1" applyFill="1" applyBorder="1" applyAlignment="1" applyProtection="0">
      <alignment horizontal="center" vertical="center"/>
    </xf>
    <xf numFmtId="0" fontId="36" fillId="14" borderId="109" applyNumberFormat="1" applyFont="1" applyFill="1" applyBorder="1" applyAlignment="1" applyProtection="0">
      <alignment horizontal="center" vertical="center"/>
    </xf>
    <xf numFmtId="0" fontId="36" fillId="14" borderId="136" applyNumberFormat="0" applyFont="1" applyFill="1" applyBorder="1" applyAlignment="1" applyProtection="0">
      <alignment horizontal="center" vertical="center"/>
    </xf>
    <xf numFmtId="49" fontId="42" fillId="2" borderId="83" applyNumberFormat="1" applyFont="1" applyFill="1" applyBorder="1" applyAlignment="1" applyProtection="0">
      <alignment vertical="bottom"/>
    </xf>
    <xf numFmtId="0" fontId="49" fillId="21" borderId="134" applyNumberFormat="0" applyFont="1" applyFill="1" applyBorder="1" applyAlignment="1" applyProtection="0">
      <alignment horizontal="center" vertical="center"/>
    </xf>
    <xf numFmtId="49" fontId="0" fillId="2" borderId="83" applyNumberFormat="1" applyFont="1" applyFill="1" applyBorder="1" applyAlignment="1" applyProtection="0">
      <alignment vertical="bottom"/>
    </xf>
    <xf numFmtId="0" fontId="36" fillId="37" borderId="137" applyNumberFormat="0" applyFont="1" applyFill="1" applyBorder="1" applyAlignment="1" applyProtection="0">
      <alignment horizontal="center" vertical="center"/>
    </xf>
    <xf numFmtId="0" fontId="42" fillId="2" borderId="138" applyNumberFormat="1" applyFont="1" applyFill="1" applyBorder="1" applyAlignment="1" applyProtection="0">
      <alignment horizontal="right" vertical="center"/>
    </xf>
    <xf numFmtId="0" fontId="43" fillId="38" borderId="129" applyNumberFormat="0" applyFont="1" applyFill="1" applyBorder="1" applyAlignment="1" applyProtection="0">
      <alignment horizontal="center" vertical="center"/>
    </xf>
    <xf numFmtId="0" fontId="36" fillId="38" borderId="129" applyNumberFormat="0" applyFont="1" applyFill="1" applyBorder="1" applyAlignment="1" applyProtection="0">
      <alignment horizontal="center" vertical="center"/>
    </xf>
    <xf numFmtId="0" fontId="36" fillId="38" borderId="130" applyNumberFormat="0" applyFont="1" applyFill="1" applyBorder="1" applyAlignment="1" applyProtection="0">
      <alignment horizontal="center" vertical="center"/>
    </xf>
    <xf numFmtId="0" fontId="36" fillId="39" borderId="6" applyNumberFormat="0" applyFont="1" applyFill="1" applyBorder="1" applyAlignment="1" applyProtection="0">
      <alignment horizontal="center" vertical="center"/>
    </xf>
    <xf numFmtId="0" fontId="36" fillId="41" borderId="6" applyNumberFormat="0" applyFont="1" applyFill="1" applyBorder="1" applyAlignment="1" applyProtection="0">
      <alignment horizontal="center" vertical="center"/>
    </xf>
    <xf numFmtId="0" fontId="29" fillId="2" borderId="6" applyNumberFormat="0" applyFont="1" applyFill="1" applyBorder="1" applyAlignment="1" applyProtection="0">
      <alignment vertical="bottom"/>
    </xf>
    <xf numFmtId="49" fontId="0" fillId="3" borderId="139" applyNumberFormat="1" applyFont="1" applyFill="1" applyBorder="1" applyAlignment="1" applyProtection="0">
      <alignment horizontal="right" vertical="bottom"/>
    </xf>
    <xf numFmtId="59" fontId="0" fillId="3" borderId="140" applyNumberFormat="1" applyFont="1" applyFill="1" applyBorder="1" applyAlignment="1" applyProtection="0">
      <alignment vertical="bottom"/>
    </xf>
    <xf numFmtId="59" fontId="42" fillId="3" borderId="140" applyNumberFormat="1" applyFont="1" applyFill="1" applyBorder="1" applyAlignment="1" applyProtection="0">
      <alignment vertical="bottom"/>
    </xf>
    <xf numFmtId="59" fontId="25" fillId="3" borderId="140" applyNumberFormat="1" applyFont="1" applyFill="1" applyBorder="1" applyAlignment="1" applyProtection="0">
      <alignment vertical="bottom"/>
    </xf>
    <xf numFmtId="59" fontId="0" fillId="3" borderId="141" applyNumberFormat="1" applyFont="1" applyFill="1" applyBorder="1" applyAlignment="1" applyProtection="0">
      <alignment vertical="bottom"/>
    </xf>
    <xf numFmtId="0" fontId="36" fillId="14" borderId="45" applyNumberFormat="1" applyFont="1" applyFill="1" applyBorder="1" applyAlignment="1" applyProtection="0">
      <alignment vertical="bottom"/>
    </xf>
    <xf numFmtId="0" fontId="43" fillId="14" borderId="6" applyNumberFormat="0" applyFont="1" applyFill="1" applyBorder="1" applyAlignment="1" applyProtection="0">
      <alignment horizontal="left" vertical="bottom"/>
    </xf>
    <xf numFmtId="0" fontId="36" fillId="14" borderId="47" applyNumberFormat="0" applyFont="1" applyFill="1" applyBorder="1" applyAlignment="1" applyProtection="0">
      <alignment horizontal="center" vertical="center"/>
    </xf>
    <xf numFmtId="0" fontId="42" fillId="2" borderId="42" applyNumberFormat="0" applyFont="1" applyFill="1" applyBorder="1" applyAlignment="1" applyProtection="0">
      <alignment vertical="bottom"/>
    </xf>
    <xf numFmtId="0" fontId="36" fillId="37" borderId="142" applyNumberFormat="0" applyFont="1" applyFill="1" applyBorder="1" applyAlignment="1" applyProtection="0">
      <alignment horizontal="center" vertical="center"/>
    </xf>
    <xf numFmtId="0" fontId="36" fillId="37" borderId="143" applyNumberFormat="0" applyFont="1" applyFill="1" applyBorder="1" applyAlignment="1" applyProtection="0">
      <alignment horizontal="center" vertical="center"/>
    </xf>
    <xf numFmtId="0" fontId="42" fillId="2" borderId="144" applyNumberFormat="1" applyFont="1" applyFill="1" applyBorder="1" applyAlignment="1" applyProtection="0">
      <alignment vertical="bottom"/>
    </xf>
    <xf numFmtId="0" fontId="36" fillId="38" borderId="137" applyNumberFormat="0" applyFont="1" applyFill="1" applyBorder="1" applyAlignment="1" applyProtection="0">
      <alignment horizontal="center" vertical="center"/>
    </xf>
    <xf numFmtId="0" fontId="42" fillId="2" borderId="145" applyNumberFormat="0" applyFont="1" applyFill="1" applyBorder="1" applyAlignment="1" applyProtection="0">
      <alignment vertical="bottom"/>
    </xf>
    <xf numFmtId="0" fontId="36" fillId="37" borderId="146" applyNumberFormat="0" applyFont="1" applyFill="1" applyBorder="1" applyAlignment="1" applyProtection="0">
      <alignment horizontal="center" vertical="top"/>
    </xf>
    <xf numFmtId="0" fontId="36" fillId="38" borderId="147" applyNumberFormat="0" applyFont="1" applyFill="1" applyBorder="1" applyAlignment="1" applyProtection="0">
      <alignment horizontal="center" vertical="center"/>
    </xf>
    <xf numFmtId="0" fontId="36" fillId="38" borderId="143" applyNumberFormat="0" applyFont="1" applyFill="1" applyBorder="1" applyAlignment="1" applyProtection="0">
      <alignment horizontal="center" vertical="center"/>
    </xf>
    <xf numFmtId="0" fontId="36" fillId="39" borderId="120" applyNumberFormat="0" applyFont="1" applyFill="1" applyBorder="1" applyAlignment="1" applyProtection="0">
      <alignment horizontal="center" vertical="center"/>
    </xf>
    <xf numFmtId="0" fontId="43" fillId="14" borderId="99" applyNumberFormat="0" applyFont="1" applyFill="1" applyBorder="1" applyAlignment="1" applyProtection="0">
      <alignment horizontal="left" vertical="bottom"/>
    </xf>
    <xf numFmtId="0" fontId="43" fillId="14" borderId="99" applyNumberFormat="1" applyFont="1" applyFill="1" applyBorder="1" applyAlignment="1" applyProtection="0">
      <alignment horizontal="center" vertical="center"/>
    </xf>
    <xf numFmtId="0" fontId="36" fillId="14" borderId="99" applyNumberFormat="1" applyFont="1" applyFill="1" applyBorder="1" applyAlignment="1" applyProtection="0">
      <alignment horizontal="center" vertical="center"/>
    </xf>
    <xf numFmtId="0" fontId="36" fillId="14" borderId="148" applyNumberFormat="0" applyFont="1" applyFill="1" applyBorder="1" applyAlignment="1" applyProtection="0">
      <alignment horizontal="center" vertical="center"/>
    </xf>
    <xf numFmtId="0" fontId="36" fillId="37" borderId="149" applyNumberFormat="0" applyFont="1" applyFill="1" applyBorder="1" applyAlignment="1" applyProtection="0">
      <alignment horizontal="center" vertical="bottom"/>
    </xf>
    <xf numFmtId="0" fontId="36" fillId="38" borderId="6" applyNumberFormat="0" applyFont="1" applyFill="1" applyBorder="1" applyAlignment="1" applyProtection="0">
      <alignment horizontal="center" vertical="center"/>
    </xf>
    <xf numFmtId="0" fontId="43" fillId="39" borderId="129" applyNumberFormat="0" applyFont="1" applyFill="1" applyBorder="1" applyAlignment="1" applyProtection="0">
      <alignment horizontal="center" vertical="center"/>
    </xf>
    <xf numFmtId="0" fontId="36" fillId="39" borderId="129" applyNumberFormat="0" applyFont="1" applyFill="1" applyBorder="1" applyAlignment="1" applyProtection="0">
      <alignment horizontal="center" vertical="center"/>
    </xf>
    <xf numFmtId="0" fontId="36" fillId="39" borderId="130" applyNumberFormat="0" applyFont="1" applyFill="1" applyBorder="1" applyAlignment="1" applyProtection="0">
      <alignment horizontal="center" vertical="center"/>
    </xf>
    <xf numFmtId="0" fontId="49" fillId="36" borderId="150" applyNumberFormat="0" applyFont="1" applyFill="1" applyBorder="1" applyAlignment="1" applyProtection="0">
      <alignment horizontal="center" vertical="center"/>
    </xf>
    <xf numFmtId="0" fontId="36" fillId="14" borderId="61" applyNumberFormat="0" applyFont="1" applyFill="1" applyBorder="1" applyAlignment="1" applyProtection="0">
      <alignment horizontal="left" vertical="bottom"/>
    </xf>
    <xf numFmtId="0" fontId="36" fillId="14" borderId="61" applyNumberFormat="0" applyFont="1" applyFill="1" applyBorder="1" applyAlignment="1" applyProtection="0">
      <alignment vertical="bottom"/>
    </xf>
    <xf numFmtId="0" fontId="36" fillId="6" borderId="60" applyNumberFormat="0" applyFont="1" applyFill="1" applyBorder="1" applyAlignment="1" applyProtection="0">
      <alignment horizontal="left" vertical="bottom"/>
    </xf>
    <xf numFmtId="0" fontId="36" fillId="6" borderId="151" applyNumberFormat="0" applyFont="1" applyFill="1" applyBorder="1" applyAlignment="1" applyProtection="0">
      <alignment horizontal="left" vertical="bottom"/>
    </xf>
    <xf numFmtId="0" fontId="36" fillId="6" borderId="151" applyNumberFormat="0" applyFont="1" applyFill="1" applyBorder="1" applyAlignment="1" applyProtection="0">
      <alignment vertical="bottom"/>
    </xf>
    <xf numFmtId="0" fontId="36" fillId="6" borderId="152" applyNumberFormat="0" applyFont="1" applyFill="1" applyBorder="1" applyAlignment="1" applyProtection="0">
      <alignment vertical="bottom"/>
    </xf>
    <xf numFmtId="0" fontId="49" fillId="21" borderId="150" applyNumberFormat="0" applyFont="1" applyFill="1" applyBorder="1" applyAlignment="1" applyProtection="0">
      <alignment horizontal="center" vertical="center"/>
    </xf>
    <xf numFmtId="0" fontId="36" fillId="37" borderId="142" applyNumberFormat="0" applyFont="1" applyFill="1" applyBorder="1" applyAlignment="1" applyProtection="0">
      <alignment vertical="bottom"/>
    </xf>
    <xf numFmtId="0" fontId="36" fillId="37" borderId="6" applyNumberFormat="0" applyFont="1" applyFill="1" applyBorder="1" applyAlignment="1" applyProtection="0">
      <alignment vertical="bottom"/>
    </xf>
    <xf numFmtId="0" fontId="36" fillId="39" borderId="137" applyNumberFormat="0" applyFont="1" applyFill="1" applyBorder="1" applyAlignment="1" applyProtection="0">
      <alignment horizontal="center" vertical="center"/>
    </xf>
    <xf numFmtId="0" fontId="42" fillId="2" borderId="145" applyNumberFormat="0" applyFont="1" applyFill="1" applyBorder="1" applyAlignment="1" applyProtection="0">
      <alignment horizontal="center" vertical="center"/>
    </xf>
    <xf numFmtId="0" fontId="49" fillId="2" borderId="40" applyNumberFormat="0" applyFont="1" applyFill="1" applyBorder="1" applyAlignment="1" applyProtection="0">
      <alignment vertical="bottom"/>
    </xf>
    <xf numFmtId="0" fontId="0" fillId="2" borderId="40" applyNumberFormat="0" applyFont="1" applyFill="1" applyBorder="1" applyAlignment="1" applyProtection="0">
      <alignment horizontal="left" vertical="bottom"/>
    </xf>
    <xf numFmtId="0" fontId="0" fillId="2" borderId="40" applyNumberFormat="0" applyFont="1" applyFill="1" applyBorder="1" applyAlignment="1" applyProtection="0">
      <alignment horizontal="center" vertical="bottom"/>
    </xf>
    <xf numFmtId="0" fontId="0" fillId="2" borderId="40" applyNumberFormat="0" applyFont="1" applyFill="1" applyBorder="1" applyAlignment="1" applyProtection="0">
      <alignment vertical="bottom"/>
    </xf>
    <xf numFmtId="0" fontId="42" fillId="2" borderId="6" applyNumberFormat="1" applyFont="1" applyFill="1" applyBorder="1" applyAlignment="1" applyProtection="0">
      <alignment vertical="bottom"/>
    </xf>
    <xf numFmtId="0" fontId="36" fillId="37" borderId="130" applyNumberFormat="0" applyFont="1" applyFill="1" applyBorder="1" applyAlignment="1" applyProtection="0">
      <alignment horizontal="center" vertical="center"/>
    </xf>
    <xf numFmtId="0" fontId="36" fillId="39" borderId="147" applyNumberFormat="0" applyFont="1" applyFill="1" applyBorder="1" applyAlignment="1" applyProtection="0">
      <alignment horizontal="center" vertical="center"/>
    </xf>
    <xf numFmtId="0" fontId="36" fillId="39" borderId="143" applyNumberFormat="0" applyFont="1" applyFill="1" applyBorder="1" applyAlignment="1" applyProtection="0">
      <alignment horizontal="center" vertical="center"/>
    </xf>
    <xf numFmtId="0" fontId="0" fillId="2" borderId="37" applyNumberFormat="0" applyFont="1" applyFill="1" applyBorder="1" applyAlignment="1" applyProtection="0">
      <alignment horizontal="left" vertical="bottom"/>
    </xf>
    <xf numFmtId="0" fontId="0" fillId="2" borderId="37" applyNumberFormat="0" applyFont="1" applyFill="1" applyBorder="1" applyAlignment="1" applyProtection="0">
      <alignment horizontal="center" vertical="bottom"/>
    </xf>
    <xf numFmtId="0" fontId="36" fillId="38" borderId="146" applyNumberFormat="0" applyFont="1" applyFill="1" applyBorder="1" applyAlignment="1" applyProtection="0">
      <alignment horizontal="center" vertical="center"/>
    </xf>
    <xf numFmtId="0" fontId="0" fillId="2" borderId="6" applyNumberFormat="0" applyFont="1" applyFill="1" applyBorder="1" applyAlignment="1" applyProtection="0">
      <alignment horizontal="left" vertical="bottom"/>
    </xf>
    <xf numFmtId="0" fontId="0" fillId="2" borderId="6" applyNumberFormat="0" applyFont="1" applyFill="1" applyBorder="1" applyAlignment="1" applyProtection="0">
      <alignment horizontal="center" vertical="bottom"/>
    </xf>
    <xf numFmtId="49" fontId="49" fillId="16" borderId="123" applyNumberFormat="1" applyFont="1" applyFill="1" applyBorder="1" applyAlignment="1" applyProtection="0">
      <alignment horizontal="center" vertical="center"/>
    </xf>
    <xf numFmtId="49" fontId="49" fillId="22" borderId="123" applyNumberFormat="1" applyFont="1" applyFill="1" applyBorder="1" applyAlignment="1" applyProtection="0">
      <alignment horizontal="center" vertical="center"/>
    </xf>
    <xf numFmtId="0" fontId="36" fillId="38" borderId="149" applyNumberFormat="0" applyFont="1" applyFill="1" applyBorder="1" applyAlignment="1" applyProtection="0">
      <alignment horizontal="center" vertical="center"/>
    </xf>
    <xf numFmtId="0" fontId="49" fillId="16" borderId="134" applyNumberFormat="0" applyFont="1" applyFill="1" applyBorder="1" applyAlignment="1" applyProtection="0">
      <alignment horizontal="center" vertical="center"/>
    </xf>
    <xf numFmtId="0" fontId="49" fillId="22" borderId="134" applyNumberFormat="0" applyFont="1" applyFill="1" applyBorder="1" applyAlignment="1" applyProtection="0">
      <alignment horizontal="center" vertical="center"/>
    </xf>
    <xf numFmtId="0" fontId="36" fillId="37" borderId="146" applyNumberFormat="0" applyFont="1" applyFill="1" applyBorder="1" applyAlignment="1" applyProtection="0">
      <alignment horizontal="center" vertical="center"/>
    </xf>
    <xf numFmtId="0" fontId="36" fillId="38" borderId="147" applyNumberFormat="0" applyFont="1" applyFill="1" applyBorder="1" applyAlignment="1" applyProtection="0">
      <alignment vertical="bottom"/>
    </xf>
    <xf numFmtId="0" fontId="36" fillId="40" borderId="120" applyNumberFormat="0" applyFont="1" applyFill="1" applyBorder="1" applyAlignment="1" applyProtection="0">
      <alignment horizontal="center" vertical="center"/>
    </xf>
    <xf numFmtId="0" fontId="36" fillId="37" borderId="149" applyNumberFormat="0" applyFont="1" applyFill="1" applyBorder="1" applyAlignment="1" applyProtection="0">
      <alignment horizontal="center" vertical="center"/>
    </xf>
    <xf numFmtId="0" fontId="43" fillId="40" borderId="129" applyNumberFormat="0" applyFont="1" applyFill="1" applyBorder="1" applyAlignment="1" applyProtection="0">
      <alignment horizontal="center" vertical="center"/>
    </xf>
    <xf numFmtId="0" fontId="36" fillId="40" borderId="129" applyNumberFormat="0" applyFont="1" applyFill="1" applyBorder="1" applyAlignment="1" applyProtection="0">
      <alignment horizontal="center" vertical="center"/>
    </xf>
    <xf numFmtId="0" fontId="36" fillId="40" borderId="130" applyNumberFormat="0" applyFont="1" applyFill="1" applyBorder="1" applyAlignment="1" applyProtection="0">
      <alignment horizontal="center" vertical="center"/>
    </xf>
    <xf numFmtId="0" fontId="36" fillId="40" borderId="137" applyNumberFormat="0" applyFont="1" applyFill="1" applyBorder="1" applyAlignment="1" applyProtection="0">
      <alignment horizontal="center" vertical="center"/>
    </xf>
    <xf numFmtId="0" fontId="36" fillId="40" borderId="147" applyNumberFormat="0" applyFont="1" applyFill="1" applyBorder="1" applyAlignment="1" applyProtection="0">
      <alignment horizontal="center" vertical="center"/>
    </xf>
    <xf numFmtId="0" fontId="36" fillId="40" borderId="143" applyNumberFormat="0" applyFont="1" applyFill="1" applyBorder="1" applyAlignment="1" applyProtection="0">
      <alignment horizontal="center" vertical="center"/>
    </xf>
    <xf numFmtId="0" fontId="49" fillId="16" borderId="150" applyNumberFormat="0" applyFont="1" applyFill="1" applyBorder="1" applyAlignment="1" applyProtection="0">
      <alignment horizontal="center" vertical="center"/>
    </xf>
    <xf numFmtId="0" fontId="49" fillId="22" borderId="150" applyNumberFormat="0" applyFont="1" applyFill="1" applyBorder="1" applyAlignment="1" applyProtection="0">
      <alignment horizontal="center" vertical="center"/>
    </xf>
    <xf numFmtId="49" fontId="29" fillId="2" borderId="6" applyNumberFormat="1" applyFont="1" applyFill="1" applyBorder="1" applyAlignment="1" applyProtection="0">
      <alignment horizontal="center" vertical="bottom"/>
    </xf>
    <xf numFmtId="0" fontId="29" fillId="2" borderId="6" applyNumberFormat="0" applyFont="1" applyFill="1" applyBorder="1" applyAlignment="1" applyProtection="0">
      <alignment horizontal="center" vertical="bottom"/>
    </xf>
    <xf numFmtId="49" fontId="49" fillId="46" borderId="123" applyNumberFormat="1" applyFont="1" applyFill="1" applyBorder="1" applyAlignment="1" applyProtection="0">
      <alignment horizontal="center" vertical="center"/>
    </xf>
    <xf numFmtId="49" fontId="49" fillId="23" borderId="123" applyNumberFormat="1" applyFont="1" applyFill="1" applyBorder="1" applyAlignment="1" applyProtection="0">
      <alignment horizontal="center" vertical="center"/>
    </xf>
    <xf numFmtId="0" fontId="36" fillId="39" borderId="146" applyNumberFormat="0" applyFont="1" applyFill="1" applyBorder="1" applyAlignment="1" applyProtection="0">
      <alignment horizontal="center" vertical="center"/>
    </xf>
    <xf numFmtId="0" fontId="0" fillId="2" borderId="153" applyNumberFormat="0" applyFont="1" applyFill="1" applyBorder="1" applyAlignment="1" applyProtection="0">
      <alignment vertical="bottom"/>
    </xf>
    <xf numFmtId="0" fontId="49" fillId="46" borderId="134" applyNumberFormat="0" applyFont="1" applyFill="1" applyBorder="1" applyAlignment="1" applyProtection="0">
      <alignment horizontal="center" vertical="center"/>
    </xf>
    <xf numFmtId="0" fontId="49" fillId="23" borderId="134" applyNumberFormat="0" applyFont="1" applyFill="1" applyBorder="1" applyAlignment="1" applyProtection="0">
      <alignment horizontal="center" vertical="center"/>
    </xf>
    <xf numFmtId="0" fontId="36" fillId="39" borderId="149" applyNumberFormat="0" applyFont="1" applyFill="1" applyBorder="1" applyAlignment="1" applyProtection="0">
      <alignment horizontal="center" vertical="center"/>
    </xf>
    <xf numFmtId="0" fontId="83" fillId="6" borderId="6" applyNumberFormat="0" applyFont="1" applyFill="1" applyBorder="1" applyAlignment="1" applyProtection="0">
      <alignment horizontal="center" vertical="center"/>
    </xf>
    <xf numFmtId="0" fontId="36" fillId="6" borderId="6" applyNumberFormat="0" applyFont="1" applyFill="1" applyBorder="1" applyAlignment="1" applyProtection="0">
      <alignment vertical="bottom"/>
    </xf>
    <xf numFmtId="0" fontId="42" fillId="2" borderId="143" applyNumberFormat="0" applyFont="1" applyFill="1" applyBorder="1" applyAlignment="1" applyProtection="0">
      <alignment vertical="bottom"/>
    </xf>
    <xf numFmtId="0" fontId="0" fillId="14" borderId="154" applyNumberFormat="0" applyFont="1" applyFill="1" applyBorder="1" applyAlignment="1" applyProtection="0">
      <alignment horizontal="center" vertical="bottom"/>
    </xf>
    <xf numFmtId="0" fontId="0" fillId="14" borderId="155" applyNumberFormat="0" applyFont="1" applyFill="1" applyBorder="1" applyAlignment="1" applyProtection="0">
      <alignment horizontal="center" vertical="bottom"/>
    </xf>
    <xf numFmtId="0" fontId="0" fillId="14" borderId="156" applyNumberFormat="0" applyFont="1" applyFill="1" applyBorder="1" applyAlignment="1" applyProtection="0">
      <alignment horizontal="center" vertical="bottom"/>
    </xf>
    <xf numFmtId="0" fontId="0" fillId="2" borderId="145" applyNumberFormat="0" applyFont="1" applyFill="1" applyBorder="1" applyAlignment="1" applyProtection="0">
      <alignment vertical="bottom"/>
    </xf>
    <xf numFmtId="0" fontId="0" fillId="14" borderId="145" applyNumberFormat="0" applyFont="1" applyFill="1" applyBorder="1" applyAlignment="1" applyProtection="0">
      <alignment horizontal="center" vertical="bottom"/>
    </xf>
    <xf numFmtId="0" fontId="36" fillId="14" borderId="6" applyNumberFormat="0" applyFont="1" applyFill="1" applyBorder="1" applyAlignment="1" applyProtection="0">
      <alignment horizontal="center" vertical="bottom"/>
    </xf>
    <xf numFmtId="0" fontId="0" fillId="14" borderId="143" applyNumberFormat="0" applyFont="1" applyFill="1" applyBorder="1" applyAlignment="1" applyProtection="0">
      <alignment horizontal="center" vertical="bottom"/>
    </xf>
    <xf numFmtId="0" fontId="36" fillId="45" borderId="6" applyNumberFormat="0" applyFont="1" applyFill="1" applyBorder="1" applyAlignment="1" applyProtection="0">
      <alignment horizontal="center" vertical="bottom"/>
    </xf>
    <xf numFmtId="0" fontId="49" fillId="46" borderId="150" applyNumberFormat="0" applyFont="1" applyFill="1" applyBorder="1" applyAlignment="1" applyProtection="0">
      <alignment horizontal="center" vertical="center"/>
    </xf>
    <xf numFmtId="0" fontId="49" fillId="23" borderId="150" applyNumberFormat="0" applyFont="1" applyFill="1" applyBorder="1" applyAlignment="1" applyProtection="0">
      <alignment horizontal="center" vertical="center"/>
    </xf>
    <xf numFmtId="0" fontId="36" fillId="6" borderId="120" applyNumberFormat="0" applyFont="1" applyFill="1" applyBorder="1" applyAlignment="1" applyProtection="0">
      <alignment horizontal="center" vertical="center"/>
    </xf>
    <xf numFmtId="0" fontId="36" fillId="44" borderId="6" applyNumberFormat="0" applyFont="1" applyFill="1" applyBorder="1" applyAlignment="1" applyProtection="0">
      <alignment horizontal="center" vertical="bottom"/>
    </xf>
    <xf numFmtId="0" fontId="42" fillId="2" borderId="157" applyNumberFormat="0" applyFont="1" applyFill="1" applyBorder="1" applyAlignment="1" applyProtection="0">
      <alignment vertical="bottom"/>
    </xf>
    <xf numFmtId="0" fontId="36" fillId="41" borderId="153" applyNumberFormat="0" applyFont="1" applyFill="1" applyBorder="1" applyAlignment="1" applyProtection="0">
      <alignment horizontal="center" vertical="center"/>
    </xf>
    <xf numFmtId="0" fontId="42" fillId="2" borderId="158" applyNumberFormat="1" applyFont="1" applyFill="1" applyBorder="1" applyAlignment="1" applyProtection="0">
      <alignment vertical="bottom"/>
    </xf>
    <xf numFmtId="0" fontId="43" fillId="6" borderId="129" applyNumberFormat="0" applyFont="1" applyFill="1" applyBorder="1" applyAlignment="1" applyProtection="0">
      <alignment horizontal="center" vertical="center"/>
    </xf>
    <xf numFmtId="0" fontId="36" fillId="6" borderId="129" applyNumberFormat="0" applyFont="1" applyFill="1" applyBorder="1" applyAlignment="1" applyProtection="0">
      <alignment horizontal="center" vertical="center"/>
    </xf>
    <xf numFmtId="0" fontId="36" fillId="6" borderId="130" applyNumberFormat="0" applyFont="1" applyFill="1" applyBorder="1" applyAlignment="1" applyProtection="0">
      <alignment horizontal="center" vertical="center"/>
    </xf>
    <xf numFmtId="0" fontId="42" fillId="2" borderId="159" applyNumberFormat="0" applyFont="1" applyFill="1" applyBorder="1" applyAlignment="1" applyProtection="0">
      <alignment vertical="bottom"/>
    </xf>
    <xf numFmtId="0" fontId="42" fillId="2" borderId="154" applyNumberFormat="0" applyFont="1" applyFill="1" applyBorder="1" applyAlignment="1" applyProtection="0">
      <alignment vertical="bottom"/>
    </xf>
    <xf numFmtId="0" fontId="36" fillId="41" borderId="155" applyNumberFormat="0" applyFont="1" applyFill="1" applyBorder="1" applyAlignment="1" applyProtection="0">
      <alignment horizontal="center" vertical="center"/>
    </xf>
    <xf numFmtId="0" fontId="42" fillId="2" borderId="160" applyNumberFormat="1" applyFont="1" applyFill="1" applyBorder="1" applyAlignment="1" applyProtection="0">
      <alignment vertical="bottom"/>
    </xf>
    <xf numFmtId="0" fontId="36" fillId="6" borderId="149" applyNumberFormat="0" applyFont="1" applyFill="1" applyBorder="1" applyAlignment="1" applyProtection="0">
      <alignment horizontal="center" vertical="center"/>
    </xf>
    <xf numFmtId="0" fontId="42" fillId="2" borderId="156" applyNumberFormat="0" applyFont="1" applyFill="1" applyBorder="1" applyAlignment="1" applyProtection="0">
      <alignment vertical="bottom"/>
    </xf>
    <xf numFmtId="0" fontId="36" fillId="43" borderId="6" applyNumberFormat="0" applyFont="1" applyFill="1" applyBorder="1" applyAlignment="1" applyProtection="0">
      <alignment horizontal="center" vertical="bottom"/>
    </xf>
    <xf numFmtId="49" fontId="49" fillId="18" borderId="123" applyNumberFormat="1" applyFont="1" applyFill="1" applyBorder="1" applyAlignment="1" applyProtection="0">
      <alignment horizontal="center" vertical="center"/>
    </xf>
    <xf numFmtId="49" fontId="49" fillId="24" borderId="123" applyNumberFormat="1" applyFont="1" applyFill="1" applyBorder="1" applyAlignment="1" applyProtection="0">
      <alignment horizontal="center" vertical="center"/>
    </xf>
    <xf numFmtId="0" fontId="36" fillId="6" borderId="147" applyNumberFormat="0" applyFont="1" applyFill="1" applyBorder="1" applyAlignment="1" applyProtection="0">
      <alignment horizontal="center" vertical="center"/>
    </xf>
    <xf numFmtId="0" fontId="49" fillId="18" borderId="134" applyNumberFormat="0" applyFont="1" applyFill="1" applyBorder="1" applyAlignment="1" applyProtection="0">
      <alignment horizontal="center" vertical="center"/>
    </xf>
    <xf numFmtId="0" fontId="49" fillId="24" borderId="134" applyNumberFormat="0" applyFont="1" applyFill="1" applyBorder="1" applyAlignment="1" applyProtection="0">
      <alignment horizontal="center" vertical="center"/>
    </xf>
    <xf numFmtId="0" fontId="36" fillId="41" borderId="120" applyNumberFormat="0" applyFont="1" applyFill="1" applyBorder="1" applyAlignment="1" applyProtection="0">
      <alignment horizontal="center" vertical="center"/>
    </xf>
    <xf numFmtId="0" fontId="42" fillId="2" borderId="138" applyNumberFormat="1" applyFont="1" applyFill="1" applyBorder="1" applyAlignment="1" applyProtection="0">
      <alignment horizontal="center" vertical="center"/>
    </xf>
    <xf numFmtId="0" fontId="43" fillId="41" borderId="129" applyNumberFormat="0" applyFont="1" applyFill="1" applyBorder="1" applyAlignment="1" applyProtection="0">
      <alignment horizontal="center" vertical="center"/>
    </xf>
    <xf numFmtId="0" fontId="36" fillId="41" borderId="129" applyNumberFormat="0" applyFont="1" applyFill="1" applyBorder="1" applyAlignment="1" applyProtection="0">
      <alignment horizontal="center" vertical="center"/>
    </xf>
    <xf numFmtId="0" fontId="36" fillId="41" borderId="130" applyNumberFormat="0" applyFont="1" applyFill="1" applyBorder="1" applyAlignment="1" applyProtection="0">
      <alignment horizontal="center" vertical="center"/>
    </xf>
    <xf numFmtId="0" fontId="42" fillId="2" borderId="153" applyNumberFormat="0" applyFont="1" applyFill="1" applyBorder="1" applyAlignment="1" applyProtection="0">
      <alignment vertical="bottom"/>
    </xf>
    <xf numFmtId="0" fontId="36" fillId="6" borderId="153" applyNumberFormat="0" applyFont="1" applyFill="1" applyBorder="1" applyAlignment="1" applyProtection="0">
      <alignment horizontal="center" vertical="center"/>
    </xf>
    <xf numFmtId="0" fontId="0" fillId="14" borderId="157" applyNumberFormat="0" applyFont="1" applyFill="1" applyBorder="1" applyAlignment="1" applyProtection="0">
      <alignment horizontal="center" vertical="bottom"/>
    </xf>
    <xf numFmtId="0" fontId="0" fillId="14" borderId="153" applyNumberFormat="0" applyFont="1" applyFill="1" applyBorder="1" applyAlignment="1" applyProtection="0">
      <alignment horizontal="center" vertical="bottom"/>
    </xf>
    <xf numFmtId="0" fontId="0" fillId="14" borderId="159" applyNumberFormat="0" applyFont="1" applyFill="1" applyBorder="1" applyAlignment="1" applyProtection="0">
      <alignment horizontal="center" vertical="bottom"/>
    </xf>
    <xf numFmtId="0" fontId="49" fillId="18" borderId="150" applyNumberFormat="0" applyFont="1" applyFill="1" applyBorder="1" applyAlignment="1" applyProtection="0">
      <alignment horizontal="center" vertical="center"/>
    </xf>
    <xf numFmtId="0" fontId="49" fillId="24" borderId="150" applyNumberFormat="0" applyFont="1" applyFill="1" applyBorder="1" applyAlignment="1" applyProtection="0">
      <alignment horizontal="center" vertical="center"/>
    </xf>
    <xf numFmtId="0" fontId="42" fillId="2" borderId="144" applyNumberFormat="1" applyFont="1" applyFill="1" applyBorder="1" applyAlignment="1" applyProtection="0">
      <alignment horizontal="center" vertical="center"/>
    </xf>
    <xf numFmtId="0" fontId="36" fillId="41" borderId="149" applyNumberFormat="0" applyFont="1" applyFill="1" applyBorder="1" applyAlignment="1" applyProtection="0">
      <alignment horizontal="center" vertical="center"/>
    </xf>
    <xf numFmtId="0" fontId="42" fillId="2" borderId="155" applyNumberFormat="0" applyFont="1" applyFill="1" applyBorder="1" applyAlignment="1" applyProtection="0">
      <alignment vertical="bottom"/>
    </xf>
    <xf numFmtId="0" fontId="36" fillId="6" borderId="155" applyNumberFormat="0" applyFont="1" applyFill="1" applyBorder="1" applyAlignment="1" applyProtection="0">
      <alignment horizontal="center" vertical="center"/>
    </xf>
    <xf numFmtId="0" fontId="0" fillId="2" borderId="155" applyNumberFormat="0" applyFont="1" applyFill="1" applyBorder="1" applyAlignment="1" applyProtection="0">
      <alignment vertical="bottom"/>
    </xf>
    <xf numFmtId="0" fontId="36" fillId="41" borderId="147" applyNumberFormat="0" applyFont="1" applyFill="1" applyBorder="1" applyAlignment="1" applyProtection="0">
      <alignment horizontal="center" vertical="center"/>
    </xf>
    <xf numFmtId="49" fontId="49" fillId="19" borderId="123" applyNumberFormat="1" applyFont="1" applyFill="1" applyBorder="1" applyAlignment="1" applyProtection="0">
      <alignment horizontal="center" vertical="center"/>
    </xf>
    <xf numFmtId="49" fontId="49" fillId="25" borderId="123" applyNumberFormat="1" applyFont="1" applyFill="1" applyBorder="1" applyAlignment="1" applyProtection="0">
      <alignment horizontal="center" vertical="center"/>
    </xf>
    <xf numFmtId="0" fontId="36" fillId="40" borderId="6" applyNumberFormat="0" applyFont="1" applyFill="1" applyBorder="1" applyAlignment="1" applyProtection="0">
      <alignment horizontal="left" vertical="center"/>
    </xf>
    <xf numFmtId="0" fontId="49" fillId="19" borderId="134" applyNumberFormat="0" applyFont="1" applyFill="1" applyBorder="1" applyAlignment="1" applyProtection="0">
      <alignment horizontal="center" vertical="center"/>
    </xf>
    <xf numFmtId="0" fontId="49" fillId="25" borderId="134" applyNumberFormat="0" applyFont="1" applyFill="1" applyBorder="1" applyAlignment="1" applyProtection="0">
      <alignment horizontal="center" vertical="center"/>
    </xf>
    <xf numFmtId="0" fontId="36" fillId="40" borderId="146" applyNumberFormat="0" applyFont="1" applyFill="1" applyBorder="1" applyAlignment="1" applyProtection="0">
      <alignment horizontal="center" vertical="center"/>
    </xf>
    <xf numFmtId="0" fontId="36" fillId="40" borderId="149" applyNumberFormat="0" applyFont="1" applyFill="1" applyBorder="1" applyAlignment="1" applyProtection="0">
      <alignment horizontal="center" vertical="center"/>
    </xf>
    <xf numFmtId="0" fontId="49" fillId="19" borderId="150" applyNumberFormat="0" applyFont="1" applyFill="1" applyBorder="1" applyAlignment="1" applyProtection="0">
      <alignment horizontal="center" vertical="center"/>
    </xf>
    <xf numFmtId="0" fontId="49" fillId="25" borderId="150" applyNumberFormat="0" applyFont="1" applyFill="1" applyBorder="1" applyAlignment="1" applyProtection="0">
      <alignment horizontal="center" vertical="center"/>
    </xf>
    <xf numFmtId="49" fontId="49" fillId="20" borderId="123" applyNumberFormat="1" applyFont="1" applyFill="1" applyBorder="1" applyAlignment="1" applyProtection="0">
      <alignment horizontal="center" vertical="center"/>
    </xf>
    <xf numFmtId="49" fontId="49" fillId="26" borderId="123" applyNumberFormat="1" applyFont="1" applyFill="1" applyBorder="1" applyAlignment="1" applyProtection="0">
      <alignment horizontal="center" vertical="center"/>
    </xf>
    <xf numFmtId="0" fontId="49" fillId="20" borderId="134" applyNumberFormat="0" applyFont="1" applyFill="1" applyBorder="1" applyAlignment="1" applyProtection="0">
      <alignment horizontal="center" vertical="center"/>
    </xf>
    <xf numFmtId="0" fontId="49" fillId="26" borderId="134" applyNumberFormat="0" applyFont="1" applyFill="1" applyBorder="1" applyAlignment="1" applyProtection="0">
      <alignment horizontal="center" vertical="center"/>
    </xf>
    <xf numFmtId="0" fontId="49" fillId="20" borderId="150" applyNumberFormat="0" applyFont="1" applyFill="1" applyBorder="1" applyAlignment="1" applyProtection="0">
      <alignment horizontal="center" vertical="center"/>
    </xf>
    <xf numFmtId="0" fontId="49" fillId="26" borderId="150" applyNumberFormat="0" applyFont="1" applyFill="1" applyBorder="1" applyAlignment="1" applyProtection="0">
      <alignment horizontal="center" vertical="center"/>
    </xf>
    <xf numFmtId="0" fontId="0" fillId="37" borderId="147" applyNumberFormat="0" applyFont="1" applyFill="1" applyBorder="1" applyAlignment="1" applyProtection="0">
      <alignment vertical="bottom"/>
    </xf>
    <xf numFmtId="0" fontId="0" fillId="37" borderId="6" applyNumberFormat="0" applyFont="1" applyFill="1" applyBorder="1" applyAlignment="1" applyProtection="0">
      <alignment vertical="bottom"/>
    </xf>
    <xf numFmtId="0" fontId="0" fillId="38" borderId="6" applyNumberFormat="0" applyFont="1" applyFill="1" applyBorder="1" applyAlignment="1" applyProtection="0">
      <alignment vertical="bottom"/>
    </xf>
    <xf numFmtId="0" fontId="0" fillId="6" borderId="6" applyNumberFormat="0" applyFont="1" applyFill="1" applyBorder="1" applyAlignment="1" applyProtection="0">
      <alignment horizontal="center" vertical="center"/>
    </xf>
    <xf numFmtId="49" fontId="0" fillId="3" borderId="161" applyNumberFormat="1" applyFont="1" applyFill="1" applyBorder="1" applyAlignment="1" applyProtection="0">
      <alignment horizontal="right" vertical="bottom"/>
    </xf>
    <xf numFmtId="59" fontId="0" fillId="3" borderId="162" applyNumberFormat="1" applyFont="1" applyFill="1" applyBorder="1" applyAlignment="1" applyProtection="0">
      <alignment vertical="bottom"/>
    </xf>
    <xf numFmtId="59" fontId="42" fillId="3" borderId="162" applyNumberFormat="1" applyFont="1" applyFill="1" applyBorder="1" applyAlignment="1" applyProtection="0">
      <alignment vertical="bottom"/>
    </xf>
    <xf numFmtId="59" fontId="25" fillId="3" borderId="162" applyNumberFormat="1" applyFont="1" applyFill="1" applyBorder="1" applyAlignment="1" applyProtection="0">
      <alignment vertical="bottom"/>
    </xf>
    <xf numFmtId="59" fontId="0" fillId="3" borderId="163" applyNumberFormat="1" applyFont="1" applyFill="1" applyBorder="1" applyAlignment="1" applyProtection="0">
      <alignment vertical="bottom"/>
    </xf>
    <xf numFmtId="0" fontId="0" fillId="3" borderId="164" applyNumberFormat="0" applyFont="1" applyFill="1" applyBorder="1" applyAlignment="1" applyProtection="0">
      <alignment vertical="bottom"/>
    </xf>
    <xf numFmtId="0" fontId="0" fillId="3" borderId="165" applyNumberFormat="0" applyFont="1" applyFill="1" applyBorder="1" applyAlignment="1" applyProtection="0">
      <alignment vertical="bottom"/>
    </xf>
    <xf numFmtId="0" fontId="25" fillId="3" borderId="6" applyNumberFormat="0" applyFont="1" applyFill="1" applyBorder="1" applyAlignment="1" applyProtection="0">
      <alignment vertical="bottom"/>
    </xf>
    <xf numFmtId="0" fontId="0" fillId="3" borderId="33" applyNumberFormat="0" applyFont="1" applyFill="1" applyBorder="1" applyAlignment="1" applyProtection="0">
      <alignment vertical="bottom"/>
    </xf>
    <xf numFmtId="0" fontId="0" fillId="3" borderId="35" applyNumberFormat="0" applyFont="1" applyFill="1" applyBorder="1" applyAlignment="1" applyProtection="0">
      <alignment vertical="bottom"/>
    </xf>
    <xf numFmtId="0" fontId="0" applyNumberFormat="1" applyFont="1" applyFill="0" applyBorder="0" applyAlignment="1" applyProtection="0">
      <alignment vertical="bottom"/>
    </xf>
    <xf numFmtId="0" fontId="0" fillId="3" borderId="166" applyNumberFormat="1" applyFont="1" applyFill="1" applyBorder="1" applyAlignment="1" applyProtection="0">
      <alignment vertical="bottom"/>
    </xf>
    <xf numFmtId="0" fontId="0" borderId="166" applyNumberFormat="1" applyFont="1" applyFill="0" applyBorder="1" applyAlignment="1" applyProtection="0">
      <alignment vertical="bottom"/>
    </xf>
    <xf numFmtId="0" fontId="25" fillId="3" borderId="166" applyNumberFormat="1" applyFont="1" applyFill="1" applyBorder="1" applyAlignment="1" applyProtection="0">
      <alignment vertical="bottom"/>
    </xf>
    <xf numFmtId="0" fontId="36" fillId="3" borderId="1" applyNumberFormat="0" applyFont="1" applyFill="1" applyBorder="1" applyAlignment="1" applyProtection="0">
      <alignment vertical="bottom"/>
    </xf>
    <xf numFmtId="0" fontId="36" fillId="3" borderId="2" applyNumberFormat="0" applyFont="1" applyFill="1" applyBorder="1" applyAlignment="1" applyProtection="0">
      <alignment vertical="bottom"/>
    </xf>
    <xf numFmtId="0" fontId="36" fillId="3" borderId="2" applyNumberFormat="0" applyFont="1" applyFill="1" applyBorder="1" applyAlignment="1" applyProtection="0">
      <alignment vertical="top" wrapText="1"/>
    </xf>
    <xf numFmtId="49" fontId="29" fillId="3" borderId="167" applyNumberFormat="1" applyFont="1" applyFill="1" applyBorder="1" applyAlignment="1" applyProtection="0">
      <alignment vertical="top"/>
    </xf>
    <xf numFmtId="0" fontId="43" fillId="3" borderId="167" applyNumberFormat="0" applyFont="1" applyFill="1" applyBorder="1" applyAlignment="1" applyProtection="0">
      <alignment vertical="top"/>
    </xf>
    <xf numFmtId="0" fontId="36" fillId="3" borderId="167" applyNumberFormat="0" applyFont="1" applyFill="1" applyBorder="1" applyAlignment="1" applyProtection="0">
      <alignment vertical="top"/>
    </xf>
    <xf numFmtId="0" fontId="36" fillId="3" borderId="6" applyNumberFormat="0" applyFont="1" applyFill="1" applyBorder="1" applyAlignment="1" applyProtection="0">
      <alignment vertical="bottom"/>
    </xf>
    <xf numFmtId="0" fontId="36" fillId="3" borderId="167" applyNumberFormat="0" applyFont="1" applyFill="1" applyBorder="1" applyAlignment="1" applyProtection="0">
      <alignment vertical="bottom"/>
    </xf>
    <xf numFmtId="0" fontId="36" fillId="3" borderId="168" applyNumberFormat="0" applyFont="1" applyFill="1" applyBorder="1" applyAlignment="1" applyProtection="0">
      <alignment vertical="bottom"/>
    </xf>
    <xf numFmtId="49" fontId="36" fillId="2" borderId="169" applyNumberFormat="1" applyFont="1" applyFill="1" applyBorder="1" applyAlignment="1" applyProtection="0">
      <alignment horizontal="left" vertical="center" wrapText="1"/>
    </xf>
    <xf numFmtId="0" fontId="36" fillId="3" borderId="170" applyNumberFormat="0" applyFont="1" applyFill="1" applyBorder="1" applyAlignment="1" applyProtection="0">
      <alignment vertical="bottom"/>
    </xf>
    <xf numFmtId="0" fontId="36" fillId="2" borderId="171" applyNumberFormat="0" applyFont="1" applyFill="1" applyBorder="1" applyAlignment="1" applyProtection="0">
      <alignment vertical="center"/>
    </xf>
    <xf numFmtId="0" fontId="36" fillId="2" borderId="172" applyNumberFormat="0" applyFont="1" applyFill="1" applyBorder="1" applyAlignment="1" applyProtection="0">
      <alignment vertical="center"/>
    </xf>
    <xf numFmtId="0" fontId="36" fillId="2" borderId="173" applyNumberFormat="0" applyFont="1" applyFill="1" applyBorder="1" applyAlignment="1" applyProtection="0">
      <alignment vertical="center"/>
    </xf>
    <xf numFmtId="49" fontId="36" fillId="2" borderId="174" applyNumberFormat="1" applyFont="1" applyFill="1" applyBorder="1" applyAlignment="1" applyProtection="0">
      <alignment vertical="center"/>
    </xf>
    <xf numFmtId="0" fontId="36" fillId="2" borderId="6" applyNumberFormat="0" applyFont="1" applyFill="1" applyBorder="1" applyAlignment="1" applyProtection="0">
      <alignment vertical="center"/>
    </xf>
    <xf numFmtId="0" fontId="36" fillId="2" borderId="175" applyNumberFormat="0" applyFont="1" applyFill="1" applyBorder="1" applyAlignment="1" applyProtection="0">
      <alignment vertical="center"/>
    </xf>
    <xf numFmtId="0" fontId="36" fillId="2" borderId="176" applyNumberFormat="0" applyFont="1" applyFill="1" applyBorder="1" applyAlignment="1" applyProtection="0">
      <alignment vertical="center"/>
    </xf>
    <xf numFmtId="0" fontId="36" fillId="2" borderId="167" applyNumberFormat="0" applyFont="1" applyFill="1" applyBorder="1" applyAlignment="1" applyProtection="0">
      <alignment vertical="center"/>
    </xf>
    <xf numFmtId="0" fontId="36" fillId="2" borderId="177" applyNumberFormat="0" applyFont="1" applyFill="1" applyBorder="1" applyAlignment="1" applyProtection="0">
      <alignment vertical="center"/>
    </xf>
    <xf numFmtId="0" fontId="36" fillId="3" borderId="174" applyNumberFormat="0" applyFont="1" applyFill="1" applyBorder="1" applyAlignment="1" applyProtection="0">
      <alignment vertical="bottom"/>
    </xf>
    <xf numFmtId="0" fontId="36" fillId="3" borderId="178" applyNumberFormat="0" applyFont="1" applyFill="1" applyBorder="1" applyAlignment="1" applyProtection="0">
      <alignment vertical="center" wrapText="1"/>
    </xf>
    <xf numFmtId="0" fontId="36" fillId="3" borderId="175" applyNumberFormat="0" applyFont="1" applyFill="1" applyBorder="1" applyAlignment="1" applyProtection="0">
      <alignment vertical="bottom"/>
    </xf>
    <xf numFmtId="0" fontId="0" fillId="2" borderId="171" applyNumberFormat="0" applyFont="1" applyFill="1" applyBorder="1" applyAlignment="1" applyProtection="0">
      <alignment vertical="bottom"/>
    </xf>
    <xf numFmtId="0" fontId="0" fillId="2" borderId="172" applyNumberFormat="0" applyFont="1" applyFill="1" applyBorder="1" applyAlignment="1" applyProtection="0">
      <alignment vertical="bottom"/>
    </xf>
    <xf numFmtId="0" fontId="0" fillId="2" borderId="173" applyNumberFormat="0" applyFont="1" applyFill="1" applyBorder="1" applyAlignment="1" applyProtection="0">
      <alignment vertical="bottom"/>
    </xf>
    <xf numFmtId="49" fontId="29" fillId="2" borderId="174" applyNumberFormat="1" applyFont="1" applyFill="1" applyBorder="1" applyAlignment="1" applyProtection="0">
      <alignment horizontal="right" vertical="center"/>
    </xf>
    <xf numFmtId="49" fontId="36" fillId="2" borderId="6" applyNumberFormat="1" applyFont="1" applyFill="1" applyBorder="1" applyAlignment="1" applyProtection="0">
      <alignment vertical="center"/>
    </xf>
    <xf numFmtId="0" fontId="36" fillId="2" borderId="6" applyNumberFormat="0" applyFont="1" applyFill="1" applyBorder="1" applyAlignment="1" applyProtection="0">
      <alignment vertical="center" wrapText="1"/>
    </xf>
    <xf numFmtId="0" fontId="36" fillId="2" borderId="175" applyNumberFormat="0" applyFont="1" applyFill="1" applyBorder="1" applyAlignment="1" applyProtection="0">
      <alignment vertical="center" wrapText="1"/>
    </xf>
    <xf numFmtId="49" fontId="29" fillId="2" borderId="174" applyNumberFormat="1" applyFont="1" applyFill="1" applyBorder="1" applyAlignment="1" applyProtection="0">
      <alignment horizontal="right" vertical="top"/>
    </xf>
    <xf numFmtId="14" fontId="36" fillId="2" borderId="6" applyNumberFormat="1" applyFont="1" applyFill="1" applyBorder="1" applyAlignment="1" applyProtection="0">
      <alignment horizontal="left" vertical="top"/>
    </xf>
    <xf numFmtId="0" fontId="36" fillId="2" borderId="6" applyNumberFormat="0" applyFont="1" applyFill="1" applyBorder="1" applyAlignment="1" applyProtection="0">
      <alignment vertical="top"/>
    </xf>
    <xf numFmtId="0" fontId="36" fillId="2" borderId="6" applyNumberFormat="0" applyFont="1" applyFill="1" applyBorder="1" applyAlignment="1" applyProtection="0">
      <alignment vertical="top" wrapText="1"/>
    </xf>
    <xf numFmtId="0" fontId="36" fillId="2" borderId="175" applyNumberFormat="0" applyFont="1" applyFill="1" applyBorder="1" applyAlignment="1" applyProtection="0">
      <alignment vertical="bottom"/>
    </xf>
    <xf numFmtId="0" fontId="36" fillId="2" borderId="176" applyNumberFormat="0" applyFont="1" applyFill="1" applyBorder="1" applyAlignment="1" applyProtection="0">
      <alignment vertical="bottom"/>
    </xf>
    <xf numFmtId="0" fontId="36" fillId="2" borderId="167" applyNumberFormat="0" applyFont="1" applyFill="1" applyBorder="1" applyAlignment="1" applyProtection="0">
      <alignment vertical="bottom"/>
    </xf>
    <xf numFmtId="0" fontId="36" fillId="2" borderId="177" applyNumberFormat="0" applyFont="1" applyFill="1" applyBorder="1" applyAlignment="1" applyProtection="0">
      <alignment vertical="bottom"/>
    </xf>
    <xf numFmtId="0" fontId="36" fillId="3" borderId="178" applyNumberFormat="0" applyFont="1" applyFill="1" applyBorder="1" applyAlignment="1" applyProtection="0">
      <alignment vertical="bottom"/>
    </xf>
    <xf numFmtId="0" fontId="36" fillId="2" borderId="171" applyNumberFormat="0" applyFont="1" applyFill="1" applyBorder="1" applyAlignment="1" applyProtection="0">
      <alignment horizontal="right" vertical="bottom"/>
    </xf>
    <xf numFmtId="49" fontId="36" fillId="2" borderId="172" applyNumberFormat="1" applyFont="1" applyFill="1" applyBorder="1" applyAlignment="1" applyProtection="0">
      <alignment horizontal="right" vertical="bottom"/>
    </xf>
    <xf numFmtId="0" fontId="36" fillId="2" borderId="172" applyNumberFormat="0" applyFont="1" applyFill="1" applyBorder="1" applyAlignment="1" applyProtection="0">
      <alignment horizontal="right" vertical="bottom"/>
    </xf>
    <xf numFmtId="0" fontId="84" fillId="2" borderId="172" applyNumberFormat="1" applyFont="1" applyFill="1" applyBorder="1" applyAlignment="1" applyProtection="0">
      <alignment horizontal="left" vertical="bottom"/>
    </xf>
    <xf numFmtId="0" fontId="36" fillId="2" borderId="172" applyNumberFormat="0" applyFont="1" applyFill="1" applyBorder="1" applyAlignment="1" applyProtection="0">
      <alignment horizontal="left" vertical="bottom"/>
    </xf>
    <xf numFmtId="0" fontId="36" fillId="2" borderId="172" applyNumberFormat="0" applyFont="1" applyFill="1" applyBorder="1" applyAlignment="1" applyProtection="0">
      <alignment vertical="bottom"/>
    </xf>
    <xf numFmtId="0" fontId="36" fillId="2" borderId="173" applyNumberFormat="0" applyFont="1" applyFill="1" applyBorder="1" applyAlignment="1" applyProtection="0">
      <alignment vertical="bottom"/>
    </xf>
    <xf numFmtId="0" fontId="0" fillId="2" borderId="174" applyNumberFormat="0" applyFont="1" applyFill="1" applyBorder="1" applyAlignment="1" applyProtection="0">
      <alignment vertical="bottom"/>
    </xf>
    <xf numFmtId="49" fontId="29" fillId="2" borderId="99" applyNumberFormat="1" applyFont="1" applyFill="1" applyBorder="1" applyAlignment="1" applyProtection="0">
      <alignment horizontal="left" vertical="center"/>
    </xf>
    <xf numFmtId="0" fontId="29" fillId="2" borderId="6" applyNumberFormat="0" applyFont="1" applyFill="1" applyBorder="1" applyAlignment="1" applyProtection="0">
      <alignment horizontal="left" vertical="center"/>
    </xf>
    <xf numFmtId="49" fontId="29" fillId="2" borderId="99" applyNumberFormat="1" applyFont="1" applyFill="1" applyBorder="1" applyAlignment="1" applyProtection="0">
      <alignment horizontal="center" vertical="center"/>
    </xf>
    <xf numFmtId="0" fontId="29" fillId="2" borderId="6" applyNumberFormat="0" applyFont="1" applyFill="1" applyBorder="1" applyAlignment="1" applyProtection="0">
      <alignment horizontal="center" vertical="center"/>
    </xf>
    <xf numFmtId="0" fontId="36" fillId="2" borderId="6" applyNumberFormat="0" applyFont="1" applyFill="1" applyBorder="1" applyAlignment="1" applyProtection="0">
      <alignment vertical="bottom"/>
    </xf>
    <xf numFmtId="0" fontId="0" fillId="3" borderId="166" applyNumberFormat="1" applyFont="1" applyFill="1" applyBorder="1" applyAlignment="1" applyProtection="0">
      <alignment vertical="center"/>
    </xf>
    <xf numFmtId="0" fontId="0" fillId="2" borderId="179" applyNumberFormat="0" applyFont="1" applyFill="1" applyBorder="1" applyAlignment="1" applyProtection="0">
      <alignment vertical="center"/>
    </xf>
    <xf numFmtId="49" fontId="36" fillId="2" borderId="48" applyNumberFormat="1" applyFont="1" applyFill="1" applyBorder="1" applyAlignment="1" applyProtection="0">
      <alignment vertical="center"/>
    </xf>
    <xf numFmtId="0" fontId="36" fillId="2" borderId="180" applyNumberFormat="0" applyFont="1" applyFill="1" applyBorder="1" applyAlignment="1" applyProtection="0">
      <alignment vertical="center"/>
    </xf>
    <xf numFmtId="0" fontId="65" fillId="3" borderId="48" applyNumberFormat="1" applyFont="1" applyFill="1" applyBorder="1" applyAlignment="1" applyProtection="0">
      <alignment horizontal="center" vertical="bottom"/>
    </xf>
    <xf numFmtId="0" fontId="36" fillId="2" borderId="45" applyNumberFormat="0" applyFont="1" applyFill="1" applyBorder="1" applyAlignment="1" applyProtection="0">
      <alignment vertical="center"/>
    </xf>
    <xf numFmtId="0" fontId="0" fillId="2" borderId="174" applyNumberFormat="0" applyFont="1" applyFill="1" applyBorder="1" applyAlignment="1" applyProtection="0">
      <alignment vertical="center"/>
    </xf>
    <xf numFmtId="0" fontId="36" fillId="2" borderId="108" applyNumberFormat="0" applyFont="1" applyFill="1" applyBorder="1" applyAlignment="1" applyProtection="0">
      <alignment vertical="center"/>
    </xf>
    <xf numFmtId="0" fontId="36" fillId="2" borderId="174" applyNumberFormat="0" applyFont="1" applyFill="1" applyBorder="1" applyAlignment="1" applyProtection="0">
      <alignment vertical="center"/>
    </xf>
    <xf numFmtId="0" fontId="83" fillId="3" borderId="48" applyNumberFormat="1" applyFont="1" applyFill="1" applyBorder="1" applyAlignment="1" applyProtection="0">
      <alignment horizontal="center" vertical="bottom"/>
    </xf>
    <xf numFmtId="0" fontId="36" fillId="3" borderId="48" applyNumberFormat="1" applyFont="1" applyFill="1" applyBorder="1" applyAlignment="1" applyProtection="0">
      <alignment horizontal="center" vertical="bottom"/>
    </xf>
    <xf numFmtId="49" fontId="29" fillId="3" borderId="6" applyNumberFormat="1" applyFont="1" applyFill="1" applyBorder="1" applyAlignment="1" applyProtection="0">
      <alignment vertical="bottom"/>
    </xf>
    <xf numFmtId="49" fontId="36" fillId="2" borderId="171" applyNumberFormat="1" applyFont="1" applyFill="1" applyBorder="1" applyAlignment="1" applyProtection="0">
      <alignment vertical="center"/>
    </xf>
    <xf numFmtId="0" fontId="0" fillId="2" borderId="176" applyNumberFormat="0" applyFont="1" applyFill="1" applyBorder="1" applyAlignment="1" applyProtection="0">
      <alignment vertical="center"/>
    </xf>
    <xf numFmtId="0" fontId="0" fillId="2" borderId="167" applyNumberFormat="0" applyFont="1" applyFill="1" applyBorder="1" applyAlignment="1" applyProtection="0">
      <alignment vertical="center"/>
    </xf>
    <xf numFmtId="0" fontId="36" fillId="2" borderId="181" applyNumberFormat="0" applyFont="1" applyFill="1" applyBorder="1" applyAlignment="1" applyProtection="0">
      <alignment vertical="bottom"/>
    </xf>
    <xf numFmtId="0" fontId="0" fillId="3" borderId="6" applyNumberFormat="0" applyFont="1" applyFill="1" applyBorder="1" applyAlignment="1" applyProtection="0">
      <alignment vertical="center"/>
    </xf>
    <xf numFmtId="0" fontId="36" fillId="3" borderId="182" applyNumberFormat="0" applyFont="1" applyFill="1" applyBorder="1" applyAlignment="1" applyProtection="0">
      <alignment vertical="bottom"/>
    </xf>
    <xf numFmtId="49" fontId="85" fillId="5" borderId="18" applyNumberFormat="1" applyFont="1" applyFill="1" applyBorder="1" applyAlignment="1" applyProtection="0">
      <alignment horizontal="center" vertical="center"/>
    </xf>
    <xf numFmtId="0" fontId="36" fillId="3" borderId="22" applyNumberFormat="0" applyFont="1" applyFill="1" applyBorder="1" applyAlignment="1" applyProtection="0">
      <alignment vertical="bottom"/>
    </xf>
    <xf numFmtId="0" fontId="36" fillId="3" borderId="24" applyNumberFormat="0" applyFont="1" applyFill="1" applyBorder="1" applyAlignment="1" applyProtection="0">
      <alignment vertical="bottom"/>
    </xf>
    <xf numFmtId="0" fontId="86" fillId="3" borderId="6" applyNumberFormat="0" applyFont="1" applyFill="1" applyBorder="1" applyAlignment="1" applyProtection="0">
      <alignment vertical="bottom"/>
    </xf>
    <xf numFmtId="49" fontId="25" fillId="3" borderId="6" applyNumberFormat="1" applyFont="1" applyFill="1" applyBorder="1" applyAlignment="1" applyProtection="0">
      <alignment horizontal="left" vertical="center" wrapText="1"/>
    </xf>
    <xf numFmtId="49" fontId="49" fillId="3" borderId="6" applyNumberFormat="1" applyFont="1" applyFill="1" applyBorder="1" applyAlignment="1" applyProtection="0">
      <alignment vertical="bottom"/>
    </xf>
    <xf numFmtId="49" fontId="0" fillId="3" borderId="6" applyNumberFormat="1" applyFont="1" applyFill="1" applyBorder="1" applyAlignment="1" applyProtection="0">
      <alignment vertical="bottom"/>
    </xf>
    <xf numFmtId="49" fontId="25" fillId="3" borderId="6" applyNumberFormat="1" applyFont="1" applyFill="1" applyBorder="1" applyAlignment="1" applyProtection="0">
      <alignment vertical="bottom"/>
    </xf>
    <xf numFmtId="1" fontId="0" fillId="3" borderId="6" applyNumberFormat="1" applyFont="1" applyFill="1" applyBorder="1" applyAlignment="1" applyProtection="0">
      <alignment vertical="bottom"/>
    </xf>
    <xf numFmtId="0" fontId="0" fillId="3" borderId="6" applyNumberFormat="1" applyFont="1" applyFill="1" applyBorder="1" applyAlignment="1" applyProtection="0">
      <alignment vertical="bottom"/>
    </xf>
    <xf numFmtId="1" fontId="87" fillId="3" borderId="6" applyNumberFormat="1" applyFont="1" applyFill="1" applyBorder="1" applyAlignment="1" applyProtection="0">
      <alignment vertical="bottom"/>
    </xf>
    <xf numFmtId="49" fontId="88" fillId="3" borderId="6" applyNumberFormat="1" applyFont="1" applyFill="1" applyBorder="1" applyAlignment="1" applyProtection="0">
      <alignment vertical="bottom"/>
    </xf>
    <xf numFmtId="49" fontId="25" fillId="3" borderId="6" applyNumberFormat="1" applyFont="1" applyFill="1" applyBorder="1" applyAlignment="1" applyProtection="0">
      <alignment horizontal="left" vertical="center"/>
    </xf>
    <xf numFmtId="0" fontId="25" fillId="3" borderId="6" applyNumberFormat="0" applyFont="1" applyFill="1" applyBorder="1" applyAlignment="1" applyProtection="0">
      <alignment horizontal="left" vertical="center"/>
    </xf>
    <xf numFmtId="0" fontId="87" fillId="3" borderId="6" applyNumberFormat="0" applyFont="1" applyFill="1" applyBorder="1" applyAlignment="1" applyProtection="0">
      <alignment vertical="bottom"/>
    </xf>
    <xf numFmtId="49" fontId="87" fillId="3" borderId="6" applyNumberFormat="1" applyFont="1" applyFill="1" applyBorder="1" applyAlignment="1" applyProtection="0">
      <alignment vertical="bottom"/>
    </xf>
    <xf numFmtId="49" fontId="25" fillId="3" borderId="34" applyNumberFormat="1" applyFont="1" applyFill="1" applyBorder="1" applyAlignment="1" applyProtection="0">
      <alignment vertical="bottom"/>
    </xf>
    <xf numFmtId="0" fontId="25" fillId="3" borderId="34"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eeeee"/>
      <rgbColor rgb="ffaaaaaa"/>
      <rgbColor rgb="ff133461"/>
      <rgbColor rgb="ffffffff"/>
      <rgbColor rgb="fff2f2f2"/>
      <rgbColor rgb="ff0000ff"/>
      <rgbColor rgb="ff1b4066"/>
      <rgbColor rgb="ff3e70a6"/>
      <rgbColor rgb="ff3f3f3f"/>
      <rgbColor rgb="ffa5a5a5"/>
      <rgbColor rgb="ff2c4d73"/>
      <rgbColor rgb="ff828081"/>
      <rgbColor rgb="ffff8800"/>
      <rgbColor rgb="ff7f7f7f"/>
      <rgbColor rgb="ffff0000"/>
      <rgbColor rgb="ffd8d8d8"/>
      <rgbColor rgb="ff0c9f14"/>
      <rgbColor rgb="ff33a9e8"/>
      <rgbColor rgb="ffe62125"/>
      <rgbColor rgb="ff0077b5"/>
      <rgbColor rgb="ff003087"/>
      <rgbColor rgb="ffffc439"/>
      <rgbColor rgb="ffbfbfbf"/>
      <rgbColor rgb="ff0056a4"/>
      <rgbColor rgb="ff1f497d"/>
      <rgbColor rgb="ff0056a3"/>
      <rgbColor rgb="ffcacaca"/>
      <rgbColor rgb="ffeeece1"/>
      <rgbColor rgb="ffe7e6e6"/>
      <rgbColor rgb="ffe50009"/>
      <rgbColor rgb="ffa9a9a9"/>
      <rgbColor rgb="fff2eb71"/>
      <rgbColor rgb="ff2e5da6"/>
      <rgbColor rgb="fff27c0f"/>
      <rgbColor rgb="ff00684e"/>
      <rgbColor rgb="ffb9afd2"/>
      <rgbColor rgb="ff6dbbb7"/>
      <rgbColor rgb="ff532c92"/>
      <rgbColor rgb="fff6ab9e"/>
      <rgbColor rgb="ffea3270"/>
      <rgbColor rgb="ff860020"/>
      <rgbColor rgb="ff002060"/>
      <rgbColor rgb="ffee7701"/>
      <rgbColor rgb="ff65bbb0"/>
      <rgbColor rgb="ffb6dde8"/>
      <rgbColor rgb="ff92d050"/>
      <rgbColor rgb="ffb2b1a8"/>
      <rgbColor rgb="ffc2d69b"/>
      <rgbColor rgb="ffc3bc96"/>
      <rgbColor rgb="ffb37836"/>
      <rgbColor rgb="ffffbe56"/>
      <rgbColor rgb="ff78bb69"/>
      <rgbColor rgb="fffde9d9"/>
      <rgbColor rgb="ffdbe5f1"/>
      <rgbColor rgb="ffeaf1d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a.me/?text=Te%20env%C3%ADo%20el%20Excel%20del%20Mundial%202026%20para%20descargarlo:%20https://matejero.es/excel-porra-mundial/" TargetMode="External"/><Relationship Id="rId3" Type="http://schemas.openxmlformats.org/officeDocument/2006/relationships/hyperlink" Target="https://t.me/share/url?url=https://matejero.es/excel-porra-mundial/&amp;text=Te%20env%C3%ADo%20el%20Excel%20del%20Mundial%202026%20para%20descargarlo" TargetMode="External"/><Relationship Id="rId4" Type="http://schemas.openxmlformats.org/officeDocument/2006/relationships/hyperlink" Target="mailto:?subject=Excel%20Mundial%202026&amp;body=Te%20env%C3%ADo%20el%20Excel%20del%20Mundial%202026%20para%20descargarlo:%20https://matejero.es/excel-porra-mundial/" TargetMode="External"/><Relationship Id="rId5" Type="http://schemas.openxmlformats.org/officeDocument/2006/relationships/hyperlink" Target="https://twitter.com/intent/tweet?text=Acabo%20de%20descargar%20el%20Excel%20del%20Mundial%202026.%20https://matejero.es/excel-porra-mundial/" TargetMode="External"/><Relationship Id="rId6" Type="http://schemas.openxmlformats.org/officeDocument/2006/relationships/hyperlink" Target="https://www.linkedin.com/sharing/share-offsite/?url=https://matejero.es/excel-porra-mundial/" TargetMode="External"/><Relationship Id="rId7" Type="http://schemas.openxmlformats.org/officeDocument/2006/relationships/hyperlink" Target="https://www.paypal.com/donate?business=PJ2B6ZBH7ZHR4&amp;currency_code=EUR"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youtu.be/Vh--XEkQDFg" TargetMode="External"/></Relationships>

</file>

<file path=xl/worksheets/sheet1.xml><?xml version="1.0" encoding="utf-8"?>
<worksheet xmlns:r="http://schemas.openxmlformats.org/officeDocument/2006/relationships" xmlns="http://schemas.openxmlformats.org/spreadsheetml/2006/main">
  <dimension ref="A1:AZ50"/>
  <sheetViews>
    <sheetView workbookViewId="0" showGridLines="0" defaultGridColor="1"/>
  </sheetViews>
  <sheetFormatPr defaultColWidth="10.8333" defaultRowHeight="15" customHeight="1" outlineLevelRow="0" outlineLevelCol="0"/>
  <cols>
    <col min="1" max="1" width="3.85156" style="1" customWidth="1"/>
    <col min="2" max="2" width="15.8516" style="1" customWidth="1"/>
    <col min="3" max="3" width="26.8516" style="1" customWidth="1"/>
    <col min="4" max="4" width="5.85156" style="1" customWidth="1"/>
    <col min="5" max="9" width="11.3516" style="1" customWidth="1"/>
    <col min="10" max="10" width="5.85156" style="1" customWidth="1"/>
    <col min="11" max="11" width="26.8516" style="1" customWidth="1"/>
    <col min="12" max="12" width="15.8516" style="1" customWidth="1"/>
    <col min="13" max="13" width="10.5" style="1" customWidth="1"/>
    <col min="14" max="15" width="10.8516" style="1" customWidth="1"/>
    <col min="16" max="16" width="12.1719" style="1" customWidth="1"/>
    <col min="17" max="17" width="6.17188" style="1" customWidth="1"/>
    <col min="18" max="31" width="10.8516" style="1" customWidth="1"/>
    <col min="32" max="52" hidden="1" width="10.8333" style="1" customWidth="1"/>
    <col min="53" max="16384" width="10.8516" style="1" customWidth="1"/>
  </cols>
  <sheetData>
    <row r="1" ht="15" customHeight="1">
      <c r="A1" s="2"/>
      <c r="B1" s="3"/>
      <c r="C1" s="3"/>
      <c r="D1" s="3"/>
      <c r="E1" s="4"/>
      <c r="F1" s="4"/>
      <c r="G1" s="4"/>
      <c r="H1" s="4"/>
      <c r="I1" s="4"/>
      <c r="J1" s="4"/>
      <c r="K1" s="4"/>
      <c r="L1" s="3"/>
      <c r="M1" s="3"/>
      <c r="N1" s="3"/>
      <c r="O1" s="3"/>
      <c r="P1" s="3"/>
      <c r="Q1" s="3"/>
      <c r="R1" s="3"/>
      <c r="S1" s="3"/>
      <c r="T1" s="3"/>
      <c r="U1" s="3"/>
      <c r="V1" s="3"/>
      <c r="W1" s="3"/>
      <c r="X1" s="3"/>
      <c r="Y1" s="3"/>
      <c r="Z1" s="3"/>
      <c r="AA1" s="3"/>
      <c r="AB1" s="3"/>
      <c r="AC1" s="3"/>
      <c r="AD1" s="3"/>
      <c r="AE1" s="5"/>
      <c r="AF1" s="6"/>
      <c r="AG1" s="6"/>
      <c r="AH1" s="6"/>
      <c r="AI1" s="6"/>
      <c r="AJ1" s="6"/>
      <c r="AK1" s="6"/>
      <c r="AL1" s="6"/>
      <c r="AM1" s="6"/>
      <c r="AN1" s="6"/>
      <c r="AO1" s="6"/>
      <c r="AP1" s="6"/>
      <c r="AQ1" s="6"/>
      <c r="AR1" s="6"/>
      <c r="AS1" s="6"/>
      <c r="AT1" s="6"/>
      <c r="AU1" s="6"/>
      <c r="AV1" s="6"/>
      <c r="AW1" s="6"/>
      <c r="AX1" s="6"/>
      <c r="AY1" s="6"/>
      <c r="AZ1" s="6"/>
    </row>
    <row r="2" ht="15" customHeight="1">
      <c r="A2" s="7"/>
      <c r="B2" s="8"/>
      <c r="C2" s="9"/>
      <c r="D2" s="8"/>
      <c r="E2" s="10"/>
      <c r="F2" s="10"/>
      <c r="G2" s="10"/>
      <c r="H2" s="10"/>
      <c r="I2" s="10"/>
      <c r="J2" s="10"/>
      <c r="K2" s="10"/>
      <c r="L2" s="8"/>
      <c r="M2" s="8"/>
      <c r="N2" s="8"/>
      <c r="O2" s="8"/>
      <c r="P2" s="8"/>
      <c r="Q2" s="8"/>
      <c r="R2" s="8"/>
      <c r="S2" s="8"/>
      <c r="T2" s="8"/>
      <c r="U2" s="8"/>
      <c r="V2" s="8"/>
      <c r="W2" s="8"/>
      <c r="X2" s="8"/>
      <c r="Y2" s="8"/>
      <c r="Z2" s="8"/>
      <c r="AA2" s="8"/>
      <c r="AB2" s="8"/>
      <c r="AC2" s="8"/>
      <c r="AD2" s="8"/>
      <c r="AE2" s="11"/>
      <c r="AF2" s="12"/>
      <c r="AG2" s="12"/>
      <c r="AH2" s="12"/>
      <c r="AI2" s="12"/>
      <c r="AJ2" s="12"/>
      <c r="AK2" s="12"/>
      <c r="AL2" s="12"/>
      <c r="AM2" s="12"/>
      <c r="AN2" s="12"/>
      <c r="AO2" s="12"/>
      <c r="AP2" s="12"/>
      <c r="AQ2" s="12"/>
      <c r="AR2" s="12"/>
      <c r="AS2" s="12"/>
      <c r="AT2" s="12"/>
      <c r="AU2" s="12"/>
      <c r="AV2" s="12"/>
      <c r="AW2" s="12"/>
      <c r="AX2" s="12"/>
      <c r="AY2" s="12"/>
      <c r="AZ2" s="12"/>
    </row>
    <row r="3" ht="35" customHeight="1">
      <c r="A3" s="7"/>
      <c r="B3" t="s" s="13">
        <v>0</v>
      </c>
      <c r="C3" s="14"/>
      <c r="D3" s="14"/>
      <c r="E3" s="14"/>
      <c r="F3" s="14"/>
      <c r="G3" s="14"/>
      <c r="H3" s="14"/>
      <c r="I3" s="14"/>
      <c r="J3" s="14"/>
      <c r="K3" s="14"/>
      <c r="L3" s="14"/>
      <c r="M3" s="8"/>
      <c r="N3" s="8"/>
      <c r="O3" s="8"/>
      <c r="P3" s="8"/>
      <c r="Q3" s="8"/>
      <c r="R3" s="8"/>
      <c r="S3" s="8"/>
      <c r="T3" s="8"/>
      <c r="U3" s="8"/>
      <c r="V3" s="8"/>
      <c r="W3" s="8"/>
      <c r="X3" s="8"/>
      <c r="Y3" s="8"/>
      <c r="Z3" s="8"/>
      <c r="AA3" s="8"/>
      <c r="AB3" s="8"/>
      <c r="AC3" s="8"/>
      <c r="AD3" s="8"/>
      <c r="AE3" s="11"/>
      <c r="AF3" s="12"/>
      <c r="AG3" s="12"/>
      <c r="AH3" s="12"/>
      <c r="AI3" s="12"/>
      <c r="AJ3" s="12"/>
      <c r="AK3" s="12"/>
      <c r="AL3" s="12"/>
      <c r="AM3" s="12"/>
      <c r="AN3" s="12"/>
      <c r="AO3" s="12"/>
      <c r="AP3" s="12"/>
      <c r="AQ3" s="12"/>
      <c r="AR3" s="12"/>
      <c r="AS3" s="12"/>
      <c r="AT3" s="12"/>
      <c r="AU3" s="12"/>
      <c r="AV3" s="12"/>
      <c r="AW3" s="12"/>
      <c r="AX3" s="12"/>
      <c r="AY3" s="12"/>
      <c r="AZ3" s="15"/>
    </row>
    <row r="4" ht="15" customHeight="1">
      <c r="A4" s="7"/>
      <c r="B4" s="8"/>
      <c r="C4" s="8"/>
      <c r="D4" s="8"/>
      <c r="E4" s="10"/>
      <c r="F4" s="10"/>
      <c r="G4" s="10"/>
      <c r="H4" s="10"/>
      <c r="I4" s="10"/>
      <c r="J4" s="10"/>
      <c r="K4" s="10"/>
      <c r="L4" s="16"/>
      <c r="M4" s="8"/>
      <c r="N4" s="8"/>
      <c r="O4" s="8"/>
      <c r="P4" s="8"/>
      <c r="Q4" s="8"/>
      <c r="R4" s="8"/>
      <c r="S4" s="8"/>
      <c r="T4" s="8"/>
      <c r="U4" s="8"/>
      <c r="V4" s="8"/>
      <c r="W4" s="8"/>
      <c r="X4" s="8"/>
      <c r="Y4" s="8"/>
      <c r="Z4" s="8"/>
      <c r="AA4" s="8"/>
      <c r="AB4" s="8"/>
      <c r="AC4" s="8"/>
      <c r="AD4" s="8"/>
      <c r="AE4" s="11"/>
      <c r="AF4" s="12"/>
      <c r="AG4" s="12"/>
      <c r="AH4" s="12"/>
      <c r="AI4" s="12"/>
      <c r="AJ4" s="12"/>
      <c r="AK4" s="12"/>
      <c r="AL4" s="12"/>
      <c r="AM4" s="12"/>
      <c r="AN4" s="12"/>
      <c r="AO4" s="12"/>
      <c r="AP4" s="12"/>
      <c r="AQ4" s="12"/>
      <c r="AR4" s="12"/>
      <c r="AS4" s="12"/>
      <c r="AT4" s="12"/>
      <c r="AU4" s="12"/>
      <c r="AV4" s="12"/>
      <c r="AW4" s="12"/>
      <c r="AX4" s="12"/>
      <c r="AY4" s="12"/>
      <c r="AZ4" s="12"/>
    </row>
    <row r="5" ht="20" customHeight="1">
      <c r="A5" s="7"/>
      <c r="B5" s="8"/>
      <c r="C5" t="s" s="17">
        <v>1</v>
      </c>
      <c r="D5" s="8"/>
      <c r="E5" s="8"/>
      <c r="F5" s="8"/>
      <c r="G5" s="8"/>
      <c r="H5" s="8"/>
      <c r="I5" s="8"/>
      <c r="J5" s="8"/>
      <c r="K5" s="18"/>
      <c r="L5" s="19"/>
      <c r="M5" s="20"/>
      <c r="N5" s="20"/>
      <c r="O5" s="20"/>
      <c r="P5" s="8"/>
      <c r="Q5" s="8"/>
      <c r="R5" s="8"/>
      <c r="S5" s="8"/>
      <c r="T5" s="8"/>
      <c r="U5" s="8"/>
      <c r="V5" s="8"/>
      <c r="W5" s="8"/>
      <c r="X5" s="8"/>
      <c r="Y5" s="8"/>
      <c r="Z5" s="8"/>
      <c r="AA5" s="8"/>
      <c r="AB5" s="8"/>
      <c r="AC5" s="8"/>
      <c r="AD5" s="8"/>
      <c r="AE5" s="11"/>
      <c r="AF5" s="12"/>
      <c r="AG5" s="12"/>
      <c r="AH5" s="12"/>
      <c r="AI5" s="12"/>
      <c r="AJ5" s="12"/>
      <c r="AK5" s="12"/>
      <c r="AL5" s="12"/>
      <c r="AM5" s="12"/>
      <c r="AN5" s="12"/>
      <c r="AO5" s="12"/>
      <c r="AP5" s="12"/>
      <c r="AQ5" s="12"/>
      <c r="AR5" s="12"/>
      <c r="AS5" s="12"/>
      <c r="AT5" s="12"/>
      <c r="AU5" s="12"/>
      <c r="AV5" s="12"/>
      <c r="AW5" s="12"/>
      <c r="AX5" s="12"/>
      <c r="AY5" s="12"/>
      <c r="AZ5" s="12"/>
    </row>
    <row r="6" ht="25" customHeight="1">
      <c r="A6" s="7"/>
      <c r="B6" s="21"/>
      <c r="C6" t="s" s="22">
        <v>2</v>
      </c>
      <c r="D6" s="8"/>
      <c r="E6" s="10"/>
      <c r="F6" s="10"/>
      <c r="G6" s="10"/>
      <c r="H6" s="10"/>
      <c r="I6" s="10"/>
      <c r="J6" s="10"/>
      <c r="K6" t="s" s="23">
        <v>3</v>
      </c>
      <c r="L6" s="24"/>
      <c r="M6" s="8"/>
      <c r="N6" s="8"/>
      <c r="O6" s="8"/>
      <c r="P6" s="8"/>
      <c r="Q6" s="8"/>
      <c r="R6" s="8"/>
      <c r="S6" s="8"/>
      <c r="T6" s="8"/>
      <c r="U6" s="8"/>
      <c r="V6" s="8"/>
      <c r="W6" s="8"/>
      <c r="X6" s="8"/>
      <c r="Y6" s="8"/>
      <c r="Z6" s="8"/>
      <c r="AA6" s="8"/>
      <c r="AB6" s="8"/>
      <c r="AC6" s="8"/>
      <c r="AD6" s="8"/>
      <c r="AE6" s="11"/>
      <c r="AF6" s="12"/>
      <c r="AG6" s="12"/>
      <c r="AH6" s="12"/>
      <c r="AI6" s="12"/>
      <c r="AJ6" s="12"/>
      <c r="AK6" s="12"/>
      <c r="AL6" s="12"/>
      <c r="AM6" s="12"/>
      <c r="AN6" s="12"/>
      <c r="AO6" s="12"/>
      <c r="AP6" s="12"/>
      <c r="AQ6" s="12"/>
      <c r="AR6" s="12"/>
      <c r="AS6" s="12"/>
      <c r="AT6" s="12"/>
      <c r="AU6" s="12"/>
      <c r="AV6" s="12"/>
      <c r="AW6" s="12"/>
      <c r="AX6" s="12"/>
      <c r="AY6" s="12"/>
      <c r="AZ6" s="12"/>
    </row>
    <row r="7" ht="20" customHeight="1">
      <c r="A7" s="7"/>
      <c r="B7" s="25"/>
      <c r="C7" t="s" s="17">
        <v>4</v>
      </c>
      <c r="D7" s="8"/>
      <c r="E7" s="10"/>
      <c r="F7" s="10"/>
      <c r="G7" s="10"/>
      <c r="H7" s="10"/>
      <c r="I7" s="10"/>
      <c r="J7" s="10"/>
      <c r="K7" s="26"/>
      <c r="L7" s="8"/>
      <c r="M7" s="8"/>
      <c r="N7" s="8"/>
      <c r="O7" s="8"/>
      <c r="P7" s="8"/>
      <c r="Q7" s="8"/>
      <c r="R7" s="8"/>
      <c r="S7" s="8"/>
      <c r="T7" s="8"/>
      <c r="U7" s="8"/>
      <c r="V7" s="8"/>
      <c r="W7" s="8"/>
      <c r="X7" s="8"/>
      <c r="Y7" s="8"/>
      <c r="Z7" s="8"/>
      <c r="AA7" s="8"/>
      <c r="AB7" s="8"/>
      <c r="AC7" s="8"/>
      <c r="AD7" s="8"/>
      <c r="AE7" s="11"/>
      <c r="AF7" s="12"/>
      <c r="AG7" s="12"/>
      <c r="AH7" s="12"/>
      <c r="AI7" s="12"/>
      <c r="AJ7" s="12"/>
      <c r="AK7" s="12"/>
      <c r="AL7" s="12"/>
      <c r="AM7" s="12"/>
      <c r="AN7" s="12"/>
      <c r="AO7" s="12"/>
      <c r="AP7" s="12"/>
      <c r="AQ7" s="12"/>
      <c r="AR7" s="12"/>
      <c r="AS7" s="12"/>
      <c r="AT7" s="12"/>
      <c r="AU7" s="12"/>
      <c r="AV7" s="12"/>
      <c r="AW7" s="12"/>
      <c r="AX7" s="12"/>
      <c r="AY7" s="12"/>
      <c r="AZ7" s="12"/>
    </row>
    <row r="8" ht="25" customHeight="1">
      <c r="A8" s="7"/>
      <c r="B8" s="21"/>
      <c r="C8" t="s" s="22">
        <v>5</v>
      </c>
      <c r="D8" s="8"/>
      <c r="E8" s="10"/>
      <c r="F8" s="10"/>
      <c r="G8" s="10"/>
      <c r="H8" s="10"/>
      <c r="I8" s="10"/>
      <c r="J8" s="10"/>
      <c r="K8" t="s" s="23">
        <v>6</v>
      </c>
      <c r="L8" s="24"/>
      <c r="M8" s="8"/>
      <c r="N8" s="8"/>
      <c r="O8" s="8"/>
      <c r="P8" s="8"/>
      <c r="Q8" s="8"/>
      <c r="R8" s="8"/>
      <c r="S8" s="8"/>
      <c r="T8" s="8"/>
      <c r="U8" s="8"/>
      <c r="V8" s="8"/>
      <c r="W8" s="8"/>
      <c r="X8" s="8"/>
      <c r="Y8" s="8"/>
      <c r="Z8" s="8"/>
      <c r="AA8" s="8"/>
      <c r="AB8" s="8"/>
      <c r="AC8" s="8"/>
      <c r="AD8" s="8"/>
      <c r="AE8" s="11"/>
      <c r="AF8" s="12"/>
      <c r="AG8" s="12"/>
      <c r="AH8" s="12"/>
      <c r="AI8" s="12"/>
      <c r="AJ8" s="12"/>
      <c r="AK8" s="12"/>
      <c r="AL8" s="12"/>
      <c r="AM8" s="12"/>
      <c r="AN8" s="12"/>
      <c r="AO8" s="12"/>
      <c r="AP8" s="12"/>
      <c r="AQ8" s="12"/>
      <c r="AR8" s="12"/>
      <c r="AS8" s="12"/>
      <c r="AT8" s="12"/>
      <c r="AU8" s="12"/>
      <c r="AV8" s="12"/>
      <c r="AW8" s="12"/>
      <c r="AX8" s="12"/>
      <c r="AY8" s="12"/>
      <c r="AZ8" s="12"/>
    </row>
    <row r="9" ht="20" customHeight="1">
      <c r="A9" s="7"/>
      <c r="B9" s="25"/>
      <c r="C9" t="s" s="17">
        <v>7</v>
      </c>
      <c r="D9" s="8"/>
      <c r="E9" s="10"/>
      <c r="F9" s="10"/>
      <c r="G9" s="10"/>
      <c r="H9" s="10"/>
      <c r="I9" s="10"/>
      <c r="J9" s="10"/>
      <c r="K9" s="26"/>
      <c r="L9" s="8"/>
      <c r="M9" s="8"/>
      <c r="N9" s="8"/>
      <c r="O9" s="8"/>
      <c r="P9" s="8"/>
      <c r="Q9" s="8"/>
      <c r="R9" s="8"/>
      <c r="S9" s="8"/>
      <c r="T9" s="8"/>
      <c r="U9" s="8"/>
      <c r="V9" s="8"/>
      <c r="W9" s="8"/>
      <c r="X9" s="8"/>
      <c r="Y9" s="8"/>
      <c r="Z9" s="8"/>
      <c r="AA9" s="8"/>
      <c r="AB9" s="8"/>
      <c r="AC9" s="8"/>
      <c r="AD9" s="8"/>
      <c r="AE9" s="11"/>
      <c r="AF9" s="12"/>
      <c r="AG9" s="12"/>
      <c r="AH9" s="12"/>
      <c r="AI9" s="12"/>
      <c r="AJ9" s="12"/>
      <c r="AK9" s="12"/>
      <c r="AL9" s="12"/>
      <c r="AM9" s="12"/>
      <c r="AN9" s="12"/>
      <c r="AO9" s="12"/>
      <c r="AP9" s="12"/>
      <c r="AQ9" s="12"/>
      <c r="AR9" s="12"/>
      <c r="AS9" s="12"/>
      <c r="AT9" s="12"/>
      <c r="AU9" s="12"/>
      <c r="AV9" s="12"/>
      <c r="AW9" s="12"/>
      <c r="AX9" s="12"/>
      <c r="AY9" s="12"/>
      <c r="AZ9" s="12"/>
    </row>
    <row r="10" ht="25" customHeight="1">
      <c r="A10" s="7"/>
      <c r="B10" s="21"/>
      <c r="C10" t="s" s="22">
        <v>8</v>
      </c>
      <c r="D10" s="8"/>
      <c r="E10" s="10"/>
      <c r="F10" s="10"/>
      <c r="G10" s="10"/>
      <c r="H10" s="10"/>
      <c r="I10" s="10"/>
      <c r="J10" s="10"/>
      <c r="K10" t="s" s="23">
        <v>9</v>
      </c>
      <c r="L10" s="24"/>
      <c r="M10" s="8"/>
      <c r="N10" s="8"/>
      <c r="O10" s="8"/>
      <c r="P10" s="8"/>
      <c r="Q10" s="8"/>
      <c r="R10" s="8"/>
      <c r="S10" s="8"/>
      <c r="T10" s="8"/>
      <c r="U10" s="8"/>
      <c r="V10" s="8"/>
      <c r="W10" s="8"/>
      <c r="X10" s="8"/>
      <c r="Y10" s="8"/>
      <c r="Z10" s="8"/>
      <c r="AA10" s="8"/>
      <c r="AB10" s="8"/>
      <c r="AC10" s="8"/>
      <c r="AD10" s="8"/>
      <c r="AE10" s="11"/>
      <c r="AF10" s="12"/>
      <c r="AG10" s="12"/>
      <c r="AH10" s="12"/>
      <c r="AI10" s="12"/>
      <c r="AJ10" s="12"/>
      <c r="AK10" s="12"/>
      <c r="AL10" s="12"/>
      <c r="AM10" s="12"/>
      <c r="AN10" s="12"/>
      <c r="AO10" s="12"/>
      <c r="AP10" s="12"/>
      <c r="AQ10" s="12"/>
      <c r="AR10" s="12"/>
      <c r="AS10" s="12"/>
      <c r="AT10" s="12"/>
      <c r="AU10" s="12"/>
      <c r="AV10" s="12"/>
      <c r="AW10" s="12"/>
      <c r="AX10" s="12"/>
      <c r="AY10" s="12"/>
      <c r="AZ10" s="12"/>
    </row>
    <row r="11" ht="20" customHeight="1">
      <c r="A11" s="7"/>
      <c r="B11" s="8"/>
      <c r="C11" s="8"/>
      <c r="D11" s="8"/>
      <c r="E11" s="10"/>
      <c r="F11" s="10"/>
      <c r="G11" s="10"/>
      <c r="H11" s="10"/>
      <c r="I11" s="10"/>
      <c r="J11" s="10"/>
      <c r="K11" s="27"/>
      <c r="L11" s="8"/>
      <c r="M11" s="8"/>
      <c r="N11" s="8"/>
      <c r="O11" s="8"/>
      <c r="P11" s="8"/>
      <c r="Q11" s="8"/>
      <c r="R11" s="8"/>
      <c r="S11" s="8"/>
      <c r="T11" s="8"/>
      <c r="U11" s="8"/>
      <c r="V11" s="8"/>
      <c r="W11" s="8"/>
      <c r="X11" s="8"/>
      <c r="Y11" s="8"/>
      <c r="Z11" s="8"/>
      <c r="AA11" s="8"/>
      <c r="AB11" s="8"/>
      <c r="AC11" s="8"/>
      <c r="AD11" s="8"/>
      <c r="AE11" s="11"/>
      <c r="AF11" s="12"/>
      <c r="AG11" s="12"/>
      <c r="AH11" s="12"/>
      <c r="AI11" s="12"/>
      <c r="AJ11" s="12"/>
      <c r="AK11" s="12"/>
      <c r="AL11" s="12"/>
      <c r="AM11" s="12"/>
      <c r="AN11" s="12"/>
      <c r="AO11" s="12"/>
      <c r="AP11" s="12"/>
      <c r="AQ11" s="12"/>
      <c r="AR11" s="12"/>
      <c r="AS11" s="12"/>
      <c r="AT11" s="12"/>
      <c r="AU11" s="12"/>
      <c r="AV11" s="12"/>
      <c r="AW11" s="12"/>
      <c r="AX11" s="12"/>
      <c r="AY11" s="12"/>
      <c r="AZ11" s="12"/>
    </row>
    <row r="12" ht="25" customHeight="1">
      <c r="A12" s="7"/>
      <c r="B12" s="8"/>
      <c r="C12" s="8"/>
      <c r="D12" s="8"/>
      <c r="E12" s="10"/>
      <c r="F12" s="10"/>
      <c r="G12" s="10"/>
      <c r="H12" s="10"/>
      <c r="I12" s="10"/>
      <c r="J12" s="10"/>
      <c r="K12" s="10"/>
      <c r="L12" s="8"/>
      <c r="M12" s="8"/>
      <c r="N12" s="8"/>
      <c r="O12" s="8"/>
      <c r="P12" s="8"/>
      <c r="Q12" s="8"/>
      <c r="R12" s="8"/>
      <c r="S12" s="8"/>
      <c r="T12" s="8"/>
      <c r="U12" s="8"/>
      <c r="V12" s="8"/>
      <c r="W12" s="8"/>
      <c r="X12" s="8"/>
      <c r="Y12" s="8"/>
      <c r="Z12" s="8"/>
      <c r="AA12" s="8"/>
      <c r="AB12" s="8"/>
      <c r="AC12" s="8"/>
      <c r="AD12" s="8"/>
      <c r="AE12" s="11"/>
      <c r="AF12" s="12"/>
      <c r="AG12" s="12"/>
      <c r="AH12" s="12"/>
      <c r="AI12" s="12"/>
      <c r="AJ12" s="12"/>
      <c r="AK12" s="12"/>
      <c r="AL12" s="12"/>
      <c r="AM12" s="12"/>
      <c r="AN12" s="12"/>
      <c r="AO12" s="12"/>
      <c r="AP12" s="12"/>
      <c r="AQ12" s="12"/>
      <c r="AR12" s="12"/>
      <c r="AS12" s="12"/>
      <c r="AT12" s="12"/>
      <c r="AU12" s="12"/>
      <c r="AV12" s="12"/>
      <c r="AW12" s="12"/>
      <c r="AX12" s="12"/>
      <c r="AY12" s="12"/>
      <c r="AZ12" s="12"/>
    </row>
    <row r="13" ht="16" customHeight="1">
      <c r="A13" s="7"/>
      <c r="B13" s="8"/>
      <c r="C13" s="28"/>
      <c r="D13" s="8"/>
      <c r="E13" s="10"/>
      <c r="F13" s="10"/>
      <c r="G13" s="10"/>
      <c r="H13" s="10"/>
      <c r="I13" s="10"/>
      <c r="J13" s="10"/>
      <c r="K13" s="10"/>
      <c r="L13" s="8"/>
      <c r="M13" s="8"/>
      <c r="N13" s="8"/>
      <c r="O13" s="8"/>
      <c r="P13" s="8"/>
      <c r="Q13" s="8"/>
      <c r="R13" s="8"/>
      <c r="S13" s="8"/>
      <c r="T13" s="8"/>
      <c r="U13" s="8"/>
      <c r="V13" s="8"/>
      <c r="W13" s="8"/>
      <c r="X13" s="8"/>
      <c r="Y13" s="8"/>
      <c r="Z13" s="8"/>
      <c r="AA13" s="8"/>
      <c r="AB13" s="8"/>
      <c r="AC13" s="8"/>
      <c r="AD13" s="8"/>
      <c r="AE13" s="11"/>
      <c r="AF13" s="12"/>
      <c r="AG13" s="12"/>
      <c r="AH13" s="12"/>
      <c r="AI13" s="12"/>
      <c r="AJ13" s="12"/>
      <c r="AK13" s="12"/>
      <c r="AL13" s="12"/>
      <c r="AM13" s="12"/>
      <c r="AN13" s="12"/>
      <c r="AO13" s="12"/>
      <c r="AP13" s="12"/>
      <c r="AQ13" s="12"/>
      <c r="AR13" s="12"/>
      <c r="AS13" s="12"/>
      <c r="AT13" s="12"/>
      <c r="AU13" s="12"/>
      <c r="AV13" s="12"/>
      <c r="AW13" s="12"/>
      <c r="AX13" s="12"/>
      <c r="AY13" s="12"/>
      <c r="AZ13" s="12"/>
    </row>
    <row r="14" ht="15" customHeight="1">
      <c r="A14" s="7"/>
      <c r="B14" s="29"/>
      <c r="C14" s="29"/>
      <c r="D14" s="8"/>
      <c r="E14" s="10"/>
      <c r="F14" s="10"/>
      <c r="G14" s="10"/>
      <c r="H14" s="10"/>
      <c r="I14" s="10"/>
      <c r="J14" s="10"/>
      <c r="K14" s="10"/>
      <c r="L14" s="30"/>
      <c r="M14" s="8"/>
      <c r="N14" s="8"/>
      <c r="O14" s="8"/>
      <c r="P14" s="8"/>
      <c r="Q14" s="8"/>
      <c r="R14" s="8"/>
      <c r="S14" s="8"/>
      <c r="T14" s="8"/>
      <c r="U14" s="8"/>
      <c r="V14" s="8"/>
      <c r="W14" s="8"/>
      <c r="X14" s="8"/>
      <c r="Y14" s="8"/>
      <c r="Z14" s="8"/>
      <c r="AA14" s="8"/>
      <c r="AB14" s="8"/>
      <c r="AC14" s="8"/>
      <c r="AD14" s="8"/>
      <c r="AE14" s="11"/>
      <c r="AF14" s="12"/>
      <c r="AG14" s="12"/>
      <c r="AH14" s="12"/>
      <c r="AI14" s="12"/>
      <c r="AJ14" s="12"/>
      <c r="AK14" s="12"/>
      <c r="AL14" s="12"/>
      <c r="AM14" s="12"/>
      <c r="AN14" s="12"/>
      <c r="AO14" s="12"/>
      <c r="AP14" s="12"/>
      <c r="AQ14" s="12"/>
      <c r="AR14" s="12"/>
      <c r="AS14" s="12"/>
      <c r="AT14" s="12"/>
      <c r="AU14" s="12"/>
      <c r="AV14" s="12"/>
      <c r="AW14" s="12"/>
      <c r="AX14" s="12"/>
      <c r="AY14" s="12"/>
      <c r="AZ14" s="12"/>
    </row>
    <row r="15" ht="15" customHeight="1">
      <c r="A15" s="7"/>
      <c r="B15" s="29"/>
      <c r="C15" s="29"/>
      <c r="D15" s="8"/>
      <c r="E15" s="10"/>
      <c r="F15" s="10"/>
      <c r="G15" s="10"/>
      <c r="H15" s="10"/>
      <c r="I15" s="10"/>
      <c r="J15" s="10"/>
      <c r="K15" s="10"/>
      <c r="L15" s="8"/>
      <c r="M15" s="8"/>
      <c r="N15" s="8"/>
      <c r="O15" s="8"/>
      <c r="P15" s="8"/>
      <c r="Q15" s="8"/>
      <c r="R15" s="8"/>
      <c r="S15" s="8"/>
      <c r="T15" s="8"/>
      <c r="U15" s="8"/>
      <c r="V15" s="8"/>
      <c r="W15" s="8"/>
      <c r="X15" s="8"/>
      <c r="Y15" s="8"/>
      <c r="Z15" s="8"/>
      <c r="AA15" s="8"/>
      <c r="AB15" s="8"/>
      <c r="AC15" s="8"/>
      <c r="AD15" s="8"/>
      <c r="AE15" s="11"/>
      <c r="AF15" s="12"/>
      <c r="AG15" s="12"/>
      <c r="AH15" s="12"/>
      <c r="AI15" s="12"/>
      <c r="AJ15" s="12"/>
      <c r="AK15" s="12"/>
      <c r="AL15" s="12"/>
      <c r="AM15" s="12"/>
      <c r="AN15" s="12"/>
      <c r="AO15" s="12"/>
      <c r="AP15" s="12"/>
      <c r="AQ15" s="12"/>
      <c r="AR15" s="12"/>
      <c r="AS15" s="12"/>
      <c r="AT15" s="12"/>
      <c r="AU15" s="12"/>
      <c r="AV15" s="12"/>
      <c r="AW15" s="12"/>
      <c r="AX15" s="12"/>
      <c r="AY15" s="12"/>
      <c r="AZ15" s="12"/>
    </row>
    <row r="16" ht="40" customHeight="1">
      <c r="A16" s="7"/>
      <c r="B16" s="8"/>
      <c r="C16" s="8"/>
      <c r="D16" s="8"/>
      <c r="E16" t="s" s="31">
        <v>10</v>
      </c>
      <c r="F16" s="32"/>
      <c r="G16" s="32"/>
      <c r="H16" s="32"/>
      <c r="I16" s="32"/>
      <c r="J16" s="10"/>
      <c r="K16" s="33"/>
      <c r="L16" s="8"/>
      <c r="M16" s="8"/>
      <c r="N16" s="8"/>
      <c r="O16" s="8"/>
      <c r="P16" s="8"/>
      <c r="Q16" s="8"/>
      <c r="R16" s="8"/>
      <c r="S16" s="8"/>
      <c r="T16" s="8"/>
      <c r="U16" s="8"/>
      <c r="V16" s="8"/>
      <c r="W16" s="8"/>
      <c r="X16" s="8"/>
      <c r="Y16" s="8"/>
      <c r="Z16" s="8"/>
      <c r="AA16" s="8"/>
      <c r="AB16" s="8"/>
      <c r="AC16" s="8"/>
      <c r="AD16" s="8"/>
      <c r="AE16" s="11"/>
      <c r="AF16" s="12"/>
      <c r="AG16" s="12"/>
      <c r="AH16" s="12"/>
      <c r="AI16" s="12"/>
      <c r="AJ16" s="12"/>
      <c r="AK16" s="12"/>
      <c r="AL16" s="12"/>
      <c r="AM16" s="12"/>
      <c r="AN16" s="12"/>
      <c r="AO16" s="12"/>
      <c r="AP16" s="12"/>
      <c r="AQ16" s="12"/>
      <c r="AR16" s="12"/>
      <c r="AS16" s="12"/>
      <c r="AT16" s="12"/>
      <c r="AU16" s="12"/>
      <c r="AV16" s="12"/>
      <c r="AW16" s="12"/>
      <c r="AX16" s="12"/>
      <c r="AY16" s="12"/>
      <c r="AZ16" s="12"/>
    </row>
    <row r="17" ht="40" customHeight="1">
      <c r="A17" s="7"/>
      <c r="B17" s="8"/>
      <c r="C17" s="8"/>
      <c r="D17" s="34"/>
      <c r="E17" t="s" s="35">
        <v>11</v>
      </c>
      <c r="F17" s="36"/>
      <c r="G17" s="37"/>
      <c r="H17" s="37"/>
      <c r="I17" s="38"/>
      <c r="J17" s="39"/>
      <c r="K17" t="s" s="40">
        <v>12</v>
      </c>
      <c r="L17" s="41"/>
      <c r="M17" s="8"/>
      <c r="N17" s="42"/>
      <c r="O17" s="43"/>
      <c r="P17" s="8"/>
      <c r="Q17" s="8"/>
      <c r="R17" s="8"/>
      <c r="S17" s="8"/>
      <c r="T17" s="8"/>
      <c r="U17" s="8"/>
      <c r="V17" s="8"/>
      <c r="W17" s="8"/>
      <c r="X17" s="8"/>
      <c r="Y17" s="8"/>
      <c r="Z17" s="8"/>
      <c r="AA17" s="8"/>
      <c r="AB17" s="8"/>
      <c r="AC17" s="8"/>
      <c r="AD17" s="8"/>
      <c r="AE17" s="11"/>
      <c r="AF17" s="12"/>
      <c r="AG17" s="12"/>
      <c r="AH17" s="12"/>
      <c r="AI17" s="12"/>
      <c r="AJ17" s="12"/>
      <c r="AK17" s="12"/>
      <c r="AL17" s="12"/>
      <c r="AM17" s="12"/>
      <c r="AN17" s="12"/>
      <c r="AO17" s="12"/>
      <c r="AP17" s="12"/>
      <c r="AQ17" s="12"/>
      <c r="AR17" s="12"/>
      <c r="AS17" s="12"/>
      <c r="AT17" s="12"/>
      <c r="AU17" s="12"/>
      <c r="AV17" s="12"/>
      <c r="AW17" s="12"/>
      <c r="AX17" s="12"/>
      <c r="AY17" s="12"/>
      <c r="AZ17" s="12"/>
    </row>
    <row r="18" ht="15" customHeight="1">
      <c r="A18" s="7"/>
      <c r="B18" s="8"/>
      <c r="C18" s="8"/>
      <c r="D18" s="8"/>
      <c r="E18" s="44"/>
      <c r="F18" s="44"/>
      <c r="G18" s="44"/>
      <c r="H18" s="44"/>
      <c r="I18" s="44"/>
      <c r="J18" s="10"/>
      <c r="K18" s="44"/>
      <c r="L18" s="8"/>
      <c r="M18" s="8"/>
      <c r="N18" s="8"/>
      <c r="O18" s="8"/>
      <c r="P18" s="8"/>
      <c r="Q18" s="8"/>
      <c r="R18" s="8"/>
      <c r="S18" s="8"/>
      <c r="T18" s="8"/>
      <c r="U18" s="8"/>
      <c r="V18" s="8"/>
      <c r="W18" s="8"/>
      <c r="X18" s="8"/>
      <c r="Y18" s="8"/>
      <c r="Z18" s="8"/>
      <c r="AA18" s="8"/>
      <c r="AB18" s="8"/>
      <c r="AC18" s="8"/>
      <c r="AD18" s="8"/>
      <c r="AE18" s="11"/>
      <c r="AF18" s="12"/>
      <c r="AG18" s="12"/>
      <c r="AH18" s="12"/>
      <c r="AI18" s="12"/>
      <c r="AJ18" s="12"/>
      <c r="AK18" s="12"/>
      <c r="AL18" s="12"/>
      <c r="AM18" s="12"/>
      <c r="AN18" s="12"/>
      <c r="AO18" s="12"/>
      <c r="AP18" s="12"/>
      <c r="AQ18" s="12"/>
      <c r="AR18" s="12"/>
      <c r="AS18" s="12"/>
      <c r="AT18" s="12"/>
      <c r="AU18" s="12"/>
      <c r="AV18" s="12"/>
      <c r="AW18" s="12"/>
      <c r="AX18" s="12"/>
      <c r="AY18" s="12"/>
      <c r="AZ18" s="12"/>
    </row>
    <row r="19" ht="15" customHeight="1">
      <c r="A19" s="7"/>
      <c r="B19" s="8"/>
      <c r="C19" s="8"/>
      <c r="D19" s="8"/>
      <c r="E19" s="10"/>
      <c r="F19" s="10"/>
      <c r="G19" s="10"/>
      <c r="H19" s="10"/>
      <c r="I19" s="10"/>
      <c r="J19" s="10"/>
      <c r="K19" s="10"/>
      <c r="L19" s="8"/>
      <c r="M19" s="8"/>
      <c r="N19" s="8"/>
      <c r="O19" s="8"/>
      <c r="P19" s="8"/>
      <c r="Q19" s="8"/>
      <c r="R19" s="8"/>
      <c r="S19" s="8"/>
      <c r="T19" s="8"/>
      <c r="U19" s="8"/>
      <c r="V19" s="8"/>
      <c r="W19" s="8"/>
      <c r="X19" s="8"/>
      <c r="Y19" s="8"/>
      <c r="Z19" s="8"/>
      <c r="AA19" s="8"/>
      <c r="AB19" s="8"/>
      <c r="AC19" s="8"/>
      <c r="AD19" s="8"/>
      <c r="AE19" s="11"/>
      <c r="AF19" s="12"/>
      <c r="AG19" s="12"/>
      <c r="AH19" s="12"/>
      <c r="AI19" s="12"/>
      <c r="AJ19" s="12"/>
      <c r="AK19" s="12"/>
      <c r="AL19" s="12"/>
      <c r="AM19" s="12"/>
      <c r="AN19" s="12"/>
      <c r="AO19" s="12"/>
      <c r="AP19" s="12"/>
      <c r="AQ19" s="12"/>
      <c r="AR19" s="12"/>
      <c r="AS19" s="12"/>
      <c r="AT19" s="12"/>
      <c r="AU19" s="12"/>
      <c r="AV19" s="12"/>
      <c r="AW19" s="12"/>
      <c r="AX19" s="12"/>
      <c r="AY19" s="12"/>
      <c r="AZ19" s="12"/>
    </row>
    <row r="20" ht="15" customHeight="1">
      <c r="A20" s="7"/>
      <c r="B20" t="s" s="45">
        <v>13</v>
      </c>
      <c r="C20" s="8"/>
      <c r="D20" s="8"/>
      <c r="E20" s="10"/>
      <c r="F20" s="10"/>
      <c r="G20" s="10"/>
      <c r="H20" s="10"/>
      <c r="I20" s="10"/>
      <c r="J20" s="10"/>
      <c r="K20" s="10"/>
      <c r="L20" s="8"/>
      <c r="M20" s="8"/>
      <c r="N20" s="8"/>
      <c r="O20" s="8"/>
      <c r="P20" s="8"/>
      <c r="Q20" s="8"/>
      <c r="R20" s="8"/>
      <c r="S20" s="8"/>
      <c r="T20" s="8"/>
      <c r="U20" s="8"/>
      <c r="V20" s="8"/>
      <c r="W20" s="8"/>
      <c r="X20" s="8"/>
      <c r="Y20" s="8"/>
      <c r="Z20" s="8"/>
      <c r="AA20" s="8"/>
      <c r="AB20" s="8"/>
      <c r="AC20" s="8"/>
      <c r="AD20" s="8"/>
      <c r="AE20" s="11"/>
      <c r="AF20" s="12"/>
      <c r="AG20" s="12"/>
      <c r="AH20" s="12"/>
      <c r="AI20" s="12"/>
      <c r="AJ20" s="12"/>
      <c r="AK20" s="12"/>
      <c r="AL20" s="12"/>
      <c r="AM20" s="12"/>
      <c r="AN20" s="12"/>
      <c r="AO20" s="12"/>
      <c r="AP20" s="12"/>
      <c r="AQ20" s="12"/>
      <c r="AR20" s="12"/>
      <c r="AS20" s="12"/>
      <c r="AT20" s="12"/>
      <c r="AU20" s="12"/>
      <c r="AV20" s="12"/>
      <c r="AW20" s="12"/>
      <c r="AX20" s="12"/>
      <c r="AY20" s="12"/>
      <c r="AZ20" s="12"/>
    </row>
    <row r="21" ht="15" customHeight="1">
      <c r="A21" s="7"/>
      <c r="B21" t="s" s="45">
        <v>13</v>
      </c>
      <c r="C21" s="8"/>
      <c r="D21" s="8"/>
      <c r="E21" t="s" s="46">
        <v>14</v>
      </c>
      <c r="F21" s="33"/>
      <c r="G21" s="33"/>
      <c r="H21" s="33"/>
      <c r="I21" s="33"/>
      <c r="J21" s="10"/>
      <c r="K21" s="10"/>
      <c r="L21" s="8"/>
      <c r="M21" s="8"/>
      <c r="N21" s="8"/>
      <c r="O21" s="8"/>
      <c r="P21" s="8"/>
      <c r="Q21" s="8"/>
      <c r="R21" s="8"/>
      <c r="S21" s="8"/>
      <c r="T21" s="8"/>
      <c r="U21" s="8"/>
      <c r="V21" s="8"/>
      <c r="W21" s="8"/>
      <c r="X21" s="8"/>
      <c r="Y21" s="8"/>
      <c r="Z21" s="8"/>
      <c r="AA21" s="8"/>
      <c r="AB21" s="8"/>
      <c r="AC21" s="8"/>
      <c r="AD21" s="8"/>
      <c r="AE21" s="11"/>
      <c r="AF21" s="12"/>
      <c r="AG21" s="12"/>
      <c r="AH21" s="12"/>
      <c r="AI21" s="12"/>
      <c r="AJ21" s="12"/>
      <c r="AK21" s="12"/>
      <c r="AL21" s="12"/>
      <c r="AM21" s="12"/>
      <c r="AN21" s="12"/>
      <c r="AO21" s="12"/>
      <c r="AP21" s="12"/>
      <c r="AQ21" s="12"/>
      <c r="AR21" s="12"/>
      <c r="AS21" s="12"/>
      <c r="AT21" s="12"/>
      <c r="AU21" s="12"/>
      <c r="AV21" s="12"/>
      <c r="AW21" s="12"/>
      <c r="AX21" s="12"/>
      <c r="AY21" s="12"/>
      <c r="AZ21" s="12"/>
    </row>
    <row r="22" ht="31" customHeight="1">
      <c r="A22" s="7"/>
      <c r="B22" t="s" s="45">
        <v>13</v>
      </c>
      <c r="C22" s="8"/>
      <c r="D22" s="34"/>
      <c r="E22" t="s" s="47">
        <v>15</v>
      </c>
      <c r="F22" t="s" s="48">
        <v>16</v>
      </c>
      <c r="G22" t="s" s="49">
        <v>17</v>
      </c>
      <c r="H22" t="s" s="50">
        <v>18</v>
      </c>
      <c r="I22" t="s" s="51">
        <v>19</v>
      </c>
      <c r="J22" s="52"/>
      <c r="K22" s="53"/>
      <c r="L22" s="18"/>
      <c r="M22" s="8"/>
      <c r="N22" s="8"/>
      <c r="O22" s="8"/>
      <c r="P22" s="8"/>
      <c r="Q22" s="8"/>
      <c r="R22" s="8"/>
      <c r="S22" s="8"/>
      <c r="T22" s="8"/>
      <c r="U22" s="8"/>
      <c r="V22" s="8"/>
      <c r="W22" s="8"/>
      <c r="X22" s="8"/>
      <c r="Y22" s="8"/>
      <c r="Z22" s="8"/>
      <c r="AA22" s="8"/>
      <c r="AB22" s="8"/>
      <c r="AC22" s="8"/>
      <c r="AD22" s="8"/>
      <c r="AE22" s="11"/>
      <c r="AF22" s="12"/>
      <c r="AG22" s="12"/>
      <c r="AH22" s="12"/>
      <c r="AI22" s="12"/>
      <c r="AJ22" s="12"/>
      <c r="AK22" s="12"/>
      <c r="AL22" s="12"/>
      <c r="AM22" s="12"/>
      <c r="AN22" s="12"/>
      <c r="AO22" s="12"/>
      <c r="AP22" s="12"/>
      <c r="AQ22" s="12"/>
      <c r="AR22" s="12"/>
      <c r="AS22" s="12"/>
      <c r="AT22" s="12"/>
      <c r="AU22" s="12"/>
      <c r="AV22" s="12"/>
      <c r="AW22" s="12"/>
      <c r="AX22" s="12"/>
      <c r="AY22" s="12"/>
      <c r="AZ22" s="12"/>
    </row>
    <row r="23" ht="20" customHeight="1">
      <c r="A23" s="7"/>
      <c r="B23" t="s" s="45">
        <v>13</v>
      </c>
      <c r="C23" s="8"/>
      <c r="D23" s="8"/>
      <c r="E23" s="54"/>
      <c r="F23" s="54"/>
      <c r="G23" s="54"/>
      <c r="H23" s="54"/>
      <c r="I23" s="54"/>
      <c r="J23" s="55"/>
      <c r="K23" t="s" s="56">
        <v>20</v>
      </c>
      <c r="L23" t="s" s="57">
        <v>21</v>
      </c>
      <c r="M23" s="24"/>
      <c r="N23" s="8"/>
      <c r="O23" s="8"/>
      <c r="P23" s="8"/>
      <c r="Q23" s="8"/>
      <c r="R23" s="8"/>
      <c r="S23" s="8"/>
      <c r="T23" s="8"/>
      <c r="U23" s="8"/>
      <c r="V23" s="8"/>
      <c r="W23" s="8"/>
      <c r="X23" s="8"/>
      <c r="Y23" s="8"/>
      <c r="Z23" s="8"/>
      <c r="AA23" s="8"/>
      <c r="AB23" s="8"/>
      <c r="AC23" s="8"/>
      <c r="AD23" s="8"/>
      <c r="AE23" s="11"/>
      <c r="AF23" s="12"/>
      <c r="AG23" s="12"/>
      <c r="AH23" s="12"/>
      <c r="AI23" s="12"/>
      <c r="AJ23" s="12"/>
      <c r="AK23" s="12"/>
      <c r="AL23" s="12"/>
      <c r="AM23" s="12"/>
      <c r="AN23" s="12"/>
      <c r="AO23" s="12"/>
      <c r="AP23" s="12"/>
      <c r="AQ23" s="12"/>
      <c r="AR23" s="12"/>
      <c r="AS23" s="12"/>
      <c r="AT23" s="12"/>
      <c r="AU23" s="12"/>
      <c r="AV23" s="12"/>
      <c r="AW23" s="12"/>
      <c r="AX23" s="12"/>
      <c r="AY23" s="12"/>
      <c r="AZ23" s="12"/>
    </row>
    <row r="24" ht="30" customHeight="1">
      <c r="A24" s="7"/>
      <c r="B24" s="58"/>
      <c r="C24" s="14"/>
      <c r="D24" s="8"/>
      <c r="E24" s="10"/>
      <c r="F24" s="10"/>
      <c r="G24" s="10"/>
      <c r="H24" s="10"/>
      <c r="I24" s="10"/>
      <c r="J24" s="10"/>
      <c r="K24" s="59"/>
      <c r="L24" s="60"/>
      <c r="M24" s="8"/>
      <c r="N24" s="8"/>
      <c r="O24" s="8"/>
      <c r="P24" s="8"/>
      <c r="Q24" s="8"/>
      <c r="R24" s="8"/>
      <c r="S24" s="8"/>
      <c r="T24" s="8"/>
      <c r="U24" s="8"/>
      <c r="V24" s="8"/>
      <c r="W24" s="8"/>
      <c r="X24" s="8"/>
      <c r="Y24" s="8"/>
      <c r="Z24" s="8"/>
      <c r="AA24" s="8"/>
      <c r="AB24" s="8"/>
      <c r="AC24" s="8"/>
      <c r="AD24" s="8"/>
      <c r="AE24" s="11"/>
      <c r="AF24" s="12"/>
      <c r="AG24" s="12"/>
      <c r="AH24" s="12"/>
      <c r="AI24" s="12"/>
      <c r="AJ24" s="12"/>
      <c r="AK24" s="12"/>
      <c r="AL24" s="12"/>
      <c r="AM24" s="12"/>
      <c r="AN24" s="12"/>
      <c r="AO24" s="12"/>
      <c r="AP24" s="12"/>
      <c r="AQ24" s="12"/>
      <c r="AR24" s="12"/>
      <c r="AS24" s="12"/>
      <c r="AT24" s="12"/>
      <c r="AU24" s="12"/>
      <c r="AV24" s="12"/>
      <c r="AW24" s="12"/>
      <c r="AX24" s="12"/>
      <c r="AY24" s="12"/>
      <c r="AZ24" s="12"/>
    </row>
    <row r="25" ht="15" customHeight="1">
      <c r="A25" s="7"/>
      <c r="B25" s="8"/>
      <c r="C25" s="8"/>
      <c r="D25" s="8"/>
      <c r="E25" s="10"/>
      <c r="F25" s="10"/>
      <c r="G25" s="10"/>
      <c r="H25" s="10"/>
      <c r="I25" s="10"/>
      <c r="J25" s="10"/>
      <c r="K25" s="10"/>
      <c r="L25" s="8"/>
      <c r="M25" s="8"/>
      <c r="N25" s="8"/>
      <c r="O25" s="8"/>
      <c r="P25" s="8"/>
      <c r="Q25" s="8"/>
      <c r="R25" s="8"/>
      <c r="S25" s="8"/>
      <c r="T25" s="8"/>
      <c r="U25" s="8"/>
      <c r="V25" s="8"/>
      <c r="W25" s="8"/>
      <c r="X25" s="8"/>
      <c r="Y25" s="8"/>
      <c r="Z25" s="8"/>
      <c r="AA25" s="8"/>
      <c r="AB25" s="8"/>
      <c r="AC25" s="8"/>
      <c r="AD25" s="8"/>
      <c r="AE25" s="11"/>
      <c r="AF25" s="12"/>
      <c r="AG25" s="12"/>
      <c r="AH25" s="12"/>
      <c r="AI25" s="12"/>
      <c r="AJ25" s="12"/>
      <c r="AK25" s="12"/>
      <c r="AL25" s="12"/>
      <c r="AM25" s="12"/>
      <c r="AN25" s="12"/>
      <c r="AO25" s="12"/>
      <c r="AP25" s="12"/>
      <c r="AQ25" s="12"/>
      <c r="AR25" s="12"/>
      <c r="AS25" s="12"/>
      <c r="AT25" s="12"/>
      <c r="AU25" s="12"/>
      <c r="AV25" s="12"/>
      <c r="AW25" s="12"/>
      <c r="AX25" s="12"/>
      <c r="AY25" s="12"/>
      <c r="AZ25" s="12"/>
    </row>
    <row r="26" ht="15" customHeight="1">
      <c r="A26" s="7"/>
      <c r="B26" s="8"/>
      <c r="C26" s="8"/>
      <c r="D26" s="8"/>
      <c r="E26" s="61"/>
      <c r="F26" s="61"/>
      <c r="G26" s="61"/>
      <c r="H26" s="61"/>
      <c r="I26" s="61"/>
      <c r="J26" s="10"/>
      <c r="K26" s="61"/>
      <c r="L26" s="8"/>
      <c r="M26" s="8"/>
      <c r="N26" s="8"/>
      <c r="O26" s="8"/>
      <c r="P26" s="8"/>
      <c r="Q26" s="8"/>
      <c r="R26" s="8"/>
      <c r="S26" s="8"/>
      <c r="T26" s="8"/>
      <c r="U26" s="8"/>
      <c r="V26" s="8"/>
      <c r="W26" s="8"/>
      <c r="X26" s="8"/>
      <c r="Y26" s="8"/>
      <c r="Z26" s="8"/>
      <c r="AA26" s="8"/>
      <c r="AB26" s="8"/>
      <c r="AC26" s="8"/>
      <c r="AD26" s="8"/>
      <c r="AE26" s="11"/>
      <c r="AF26" s="12"/>
      <c r="AG26" s="12"/>
      <c r="AH26" s="12"/>
      <c r="AI26" s="12"/>
      <c r="AJ26" s="12"/>
      <c r="AK26" s="12"/>
      <c r="AL26" s="12"/>
      <c r="AM26" s="12"/>
      <c r="AN26" s="12"/>
      <c r="AO26" s="12"/>
      <c r="AP26" s="12"/>
      <c r="AQ26" s="12"/>
      <c r="AR26" s="12"/>
      <c r="AS26" s="12"/>
      <c r="AT26" s="12"/>
      <c r="AU26" s="12"/>
      <c r="AV26" s="12"/>
      <c r="AW26" s="12"/>
      <c r="AX26" s="12"/>
      <c r="AY26" s="12"/>
      <c r="AZ26" s="12"/>
    </row>
    <row r="27" ht="15" customHeight="1">
      <c r="A27" s="7"/>
      <c r="B27" s="8"/>
      <c r="C27" s="8"/>
      <c r="D27" s="8"/>
      <c r="E27" s="61"/>
      <c r="F27" s="61"/>
      <c r="G27" s="61"/>
      <c r="H27" s="61"/>
      <c r="I27" s="61"/>
      <c r="J27" s="10"/>
      <c r="K27" s="61"/>
      <c r="L27" s="8"/>
      <c r="M27" s="8"/>
      <c r="N27" s="8"/>
      <c r="O27" s="8"/>
      <c r="P27" s="8"/>
      <c r="Q27" s="8"/>
      <c r="R27" s="8"/>
      <c r="S27" s="8"/>
      <c r="T27" s="8"/>
      <c r="U27" s="8"/>
      <c r="V27" s="8"/>
      <c r="W27" s="8"/>
      <c r="X27" s="8"/>
      <c r="Y27" s="8"/>
      <c r="Z27" s="8"/>
      <c r="AA27" s="8"/>
      <c r="AB27" s="8"/>
      <c r="AC27" s="8"/>
      <c r="AD27" s="8"/>
      <c r="AE27" s="11"/>
      <c r="AF27" s="12"/>
      <c r="AG27" s="12"/>
      <c r="AH27" s="12"/>
      <c r="AI27" s="12"/>
      <c r="AJ27" s="12"/>
      <c r="AK27" s="12"/>
      <c r="AL27" s="12"/>
      <c r="AM27" s="12"/>
      <c r="AN27" s="12"/>
      <c r="AO27" s="12"/>
      <c r="AP27" s="12"/>
      <c r="AQ27" s="12"/>
      <c r="AR27" s="12"/>
      <c r="AS27" s="12"/>
      <c r="AT27" s="12"/>
      <c r="AU27" s="12"/>
      <c r="AV27" s="12"/>
      <c r="AW27" s="12"/>
      <c r="AX27" s="12"/>
      <c r="AY27" s="12"/>
      <c r="AZ27" s="12"/>
    </row>
    <row r="28" ht="15" customHeight="1">
      <c r="A28" s="7"/>
      <c r="B28" s="8"/>
      <c r="C28" s="8"/>
      <c r="D28" s="8"/>
      <c r="E28" s="61"/>
      <c r="F28" s="61"/>
      <c r="G28" s="61"/>
      <c r="H28" s="61"/>
      <c r="I28" s="61"/>
      <c r="J28" s="10"/>
      <c r="K28" s="61"/>
      <c r="L28" s="8"/>
      <c r="M28" s="8"/>
      <c r="N28" s="8"/>
      <c r="O28" s="8"/>
      <c r="P28" s="8"/>
      <c r="Q28" s="8"/>
      <c r="R28" s="8"/>
      <c r="S28" s="8"/>
      <c r="T28" s="8"/>
      <c r="U28" s="8"/>
      <c r="V28" s="8"/>
      <c r="W28" s="8"/>
      <c r="X28" s="8"/>
      <c r="Y28" s="8"/>
      <c r="Z28" s="8"/>
      <c r="AA28" s="8"/>
      <c r="AB28" s="8"/>
      <c r="AC28" s="8"/>
      <c r="AD28" s="8"/>
      <c r="AE28" s="11"/>
      <c r="AF28" s="12"/>
      <c r="AG28" s="12"/>
      <c r="AH28" s="12"/>
      <c r="AI28" s="12"/>
      <c r="AJ28" s="12"/>
      <c r="AK28" s="12"/>
      <c r="AL28" s="12"/>
      <c r="AM28" s="12"/>
      <c r="AN28" s="12"/>
      <c r="AO28" s="12"/>
      <c r="AP28" s="12"/>
      <c r="AQ28" s="12"/>
      <c r="AR28" s="12"/>
      <c r="AS28" s="12"/>
      <c r="AT28" s="12"/>
      <c r="AU28" s="12"/>
      <c r="AV28" s="12"/>
      <c r="AW28" s="12"/>
      <c r="AX28" s="12"/>
      <c r="AY28" s="12"/>
      <c r="AZ28" s="12"/>
    </row>
    <row r="29" ht="15" customHeight="1">
      <c r="A29" s="7"/>
      <c r="B29" s="8"/>
      <c r="C29" s="8"/>
      <c r="D29" s="8"/>
      <c r="E29" s="61"/>
      <c r="F29" s="61"/>
      <c r="G29" s="61"/>
      <c r="H29" s="61"/>
      <c r="I29" s="61"/>
      <c r="J29" s="61"/>
      <c r="K29" s="61"/>
      <c r="L29" s="8"/>
      <c r="M29" s="8"/>
      <c r="N29" s="8"/>
      <c r="O29" s="8"/>
      <c r="P29" s="8"/>
      <c r="Q29" s="8"/>
      <c r="R29" s="8"/>
      <c r="S29" s="8"/>
      <c r="T29" s="8"/>
      <c r="U29" s="8"/>
      <c r="V29" s="8"/>
      <c r="W29" s="8"/>
      <c r="X29" s="8"/>
      <c r="Y29" s="8"/>
      <c r="Z29" s="8"/>
      <c r="AA29" s="8"/>
      <c r="AB29" s="8"/>
      <c r="AC29" s="8"/>
      <c r="AD29" s="8"/>
      <c r="AE29" s="11"/>
      <c r="AF29" s="12"/>
      <c r="AG29" s="12"/>
      <c r="AH29" s="12"/>
      <c r="AI29" s="12"/>
      <c r="AJ29" s="12"/>
      <c r="AK29" s="12"/>
      <c r="AL29" s="12"/>
      <c r="AM29" s="12"/>
      <c r="AN29" s="12"/>
      <c r="AO29" s="12"/>
      <c r="AP29" s="12"/>
      <c r="AQ29" s="12"/>
      <c r="AR29" s="12"/>
      <c r="AS29" s="12"/>
      <c r="AT29" s="12"/>
      <c r="AU29" s="12"/>
      <c r="AV29" s="12"/>
      <c r="AW29" s="12"/>
      <c r="AX29" s="12"/>
      <c r="AY29" s="12"/>
      <c r="AZ29" s="12"/>
    </row>
    <row r="30" ht="15" customHeight="1">
      <c r="A30" s="7"/>
      <c r="B30" s="8"/>
      <c r="C30" s="8"/>
      <c r="D30" s="8"/>
      <c r="E30" s="61"/>
      <c r="F30" s="61"/>
      <c r="G30" s="61"/>
      <c r="H30" s="61"/>
      <c r="I30" s="61"/>
      <c r="J30" s="61"/>
      <c r="K30" s="61"/>
      <c r="L30" s="8"/>
      <c r="M30" s="8"/>
      <c r="N30" s="8"/>
      <c r="O30" s="8"/>
      <c r="P30" s="8"/>
      <c r="Q30" s="8"/>
      <c r="R30" s="8"/>
      <c r="S30" s="8"/>
      <c r="T30" s="8"/>
      <c r="U30" s="8"/>
      <c r="V30" s="8"/>
      <c r="W30" s="8"/>
      <c r="X30" s="8"/>
      <c r="Y30" s="8"/>
      <c r="Z30" s="8"/>
      <c r="AA30" s="8"/>
      <c r="AB30" s="8"/>
      <c r="AC30" s="8"/>
      <c r="AD30" s="8"/>
      <c r="AE30" s="11"/>
      <c r="AF30" s="12"/>
      <c r="AG30" s="12"/>
      <c r="AH30" s="12"/>
      <c r="AI30" s="12"/>
      <c r="AJ30" s="12"/>
      <c r="AK30" s="12"/>
      <c r="AL30" s="12"/>
      <c r="AM30" s="12"/>
      <c r="AN30" s="12"/>
      <c r="AO30" s="12"/>
      <c r="AP30" s="12"/>
      <c r="AQ30" s="12"/>
      <c r="AR30" s="12"/>
      <c r="AS30" s="12"/>
      <c r="AT30" s="12"/>
      <c r="AU30" s="12"/>
      <c r="AV30" s="12"/>
      <c r="AW30" s="12"/>
      <c r="AX30" s="12"/>
      <c r="AY30" s="12"/>
      <c r="AZ30" s="12"/>
    </row>
    <row r="31" ht="15" customHeight="1">
      <c r="A31" s="7"/>
      <c r="B31" s="8"/>
      <c r="C31" s="8"/>
      <c r="D31" s="8"/>
      <c r="E31" s="61"/>
      <c r="F31" s="61"/>
      <c r="G31" s="61"/>
      <c r="H31" s="61"/>
      <c r="I31" s="61"/>
      <c r="J31" s="61"/>
      <c r="K31" s="61"/>
      <c r="L31" s="8"/>
      <c r="M31" s="8"/>
      <c r="N31" s="8"/>
      <c r="O31" s="8"/>
      <c r="P31" s="8"/>
      <c r="Q31" s="8"/>
      <c r="R31" s="8"/>
      <c r="S31" s="8"/>
      <c r="T31" s="8"/>
      <c r="U31" s="8"/>
      <c r="V31" s="8"/>
      <c r="W31" s="8"/>
      <c r="X31" s="8"/>
      <c r="Y31" s="8"/>
      <c r="Z31" s="8"/>
      <c r="AA31" s="8"/>
      <c r="AB31" s="8"/>
      <c r="AC31" s="8"/>
      <c r="AD31" s="8"/>
      <c r="AE31" s="11"/>
      <c r="AF31" s="12"/>
      <c r="AG31" s="12"/>
      <c r="AH31" s="12"/>
      <c r="AI31" s="12"/>
      <c r="AJ31" s="12"/>
      <c r="AK31" s="12"/>
      <c r="AL31" s="12"/>
      <c r="AM31" s="12"/>
      <c r="AN31" s="12"/>
      <c r="AO31" s="12"/>
      <c r="AP31" s="12"/>
      <c r="AQ31" s="12"/>
      <c r="AR31" s="12"/>
      <c r="AS31" s="12"/>
      <c r="AT31" s="12"/>
      <c r="AU31" s="12"/>
      <c r="AV31" s="12"/>
      <c r="AW31" s="12"/>
      <c r="AX31" s="12"/>
      <c r="AY31" s="12"/>
      <c r="AZ31" s="12"/>
    </row>
    <row r="32" ht="15" customHeight="1">
      <c r="A32" s="7"/>
      <c r="B32" s="8"/>
      <c r="C32" s="8"/>
      <c r="D32" s="8"/>
      <c r="E32" s="61"/>
      <c r="F32" s="61"/>
      <c r="G32" s="61"/>
      <c r="H32" s="61"/>
      <c r="I32" s="61"/>
      <c r="J32" s="61"/>
      <c r="K32" s="61"/>
      <c r="L32" s="8"/>
      <c r="M32" s="8"/>
      <c r="N32" s="8"/>
      <c r="O32" s="8"/>
      <c r="P32" s="8"/>
      <c r="Q32" s="8"/>
      <c r="R32" s="8"/>
      <c r="S32" s="8"/>
      <c r="T32" s="8"/>
      <c r="U32" s="8"/>
      <c r="V32" s="8"/>
      <c r="W32" s="8"/>
      <c r="X32" s="8"/>
      <c r="Y32" s="8"/>
      <c r="Z32" s="8"/>
      <c r="AA32" s="8"/>
      <c r="AB32" s="8"/>
      <c r="AC32" s="8"/>
      <c r="AD32" s="8"/>
      <c r="AE32" s="11"/>
      <c r="AF32" s="12"/>
      <c r="AG32" s="12"/>
      <c r="AH32" s="12"/>
      <c r="AI32" s="12"/>
      <c r="AJ32" s="12"/>
      <c r="AK32" s="12"/>
      <c r="AL32" s="12"/>
      <c r="AM32" s="12"/>
      <c r="AN32" s="12"/>
      <c r="AO32" s="12"/>
      <c r="AP32" s="12"/>
      <c r="AQ32" s="12"/>
      <c r="AR32" s="12"/>
      <c r="AS32" s="12"/>
      <c r="AT32" s="12"/>
      <c r="AU32" s="12"/>
      <c r="AV32" s="12"/>
      <c r="AW32" s="12"/>
      <c r="AX32" s="12"/>
      <c r="AY32" s="12"/>
      <c r="AZ32" s="12"/>
    </row>
    <row r="33" ht="15" customHeight="1">
      <c r="A33" s="7"/>
      <c r="B33" s="8"/>
      <c r="C33" s="8"/>
      <c r="D33" s="8"/>
      <c r="E33" s="61"/>
      <c r="F33" s="61"/>
      <c r="G33" s="61"/>
      <c r="H33" s="61"/>
      <c r="I33" s="61"/>
      <c r="J33" s="61"/>
      <c r="K33" s="61"/>
      <c r="L33" s="8"/>
      <c r="M33" s="8"/>
      <c r="N33" s="8"/>
      <c r="O33" s="8"/>
      <c r="P33" s="8"/>
      <c r="Q33" s="8"/>
      <c r="R33" s="8"/>
      <c r="S33" s="8"/>
      <c r="T33" s="8"/>
      <c r="U33" s="8"/>
      <c r="V33" s="8"/>
      <c r="W33" s="8"/>
      <c r="X33" s="8"/>
      <c r="Y33" s="8"/>
      <c r="Z33" s="8"/>
      <c r="AA33" s="8"/>
      <c r="AB33" s="8"/>
      <c r="AC33" s="8"/>
      <c r="AD33" s="8"/>
      <c r="AE33" s="11"/>
      <c r="AF33" s="12"/>
      <c r="AG33" s="12"/>
      <c r="AH33" s="12"/>
      <c r="AI33" s="12"/>
      <c r="AJ33" s="12"/>
      <c r="AK33" s="12"/>
      <c r="AL33" s="12"/>
      <c r="AM33" s="12"/>
      <c r="AN33" s="12"/>
      <c r="AO33" s="12"/>
      <c r="AP33" s="12"/>
      <c r="AQ33" s="12"/>
      <c r="AR33" s="12"/>
      <c r="AS33" s="12"/>
      <c r="AT33" s="12"/>
      <c r="AU33" s="12"/>
      <c r="AV33" s="12"/>
      <c r="AW33" s="12"/>
      <c r="AX33" s="12"/>
      <c r="AY33" s="12"/>
      <c r="AZ33" s="12"/>
    </row>
    <row r="34" ht="15" customHeight="1">
      <c r="A34" s="7"/>
      <c r="B34" s="8"/>
      <c r="C34" s="8"/>
      <c r="D34" s="8"/>
      <c r="E34" s="61"/>
      <c r="F34" s="61"/>
      <c r="G34" s="61"/>
      <c r="H34" s="61"/>
      <c r="I34" s="61"/>
      <c r="J34" s="61"/>
      <c r="K34" s="61"/>
      <c r="L34" s="8"/>
      <c r="M34" s="8"/>
      <c r="N34" s="8"/>
      <c r="O34" s="8"/>
      <c r="P34" s="8"/>
      <c r="Q34" s="8"/>
      <c r="R34" s="8"/>
      <c r="S34" s="8"/>
      <c r="T34" s="8"/>
      <c r="U34" s="8"/>
      <c r="V34" s="8"/>
      <c r="W34" s="8"/>
      <c r="X34" s="8"/>
      <c r="Y34" s="8"/>
      <c r="Z34" s="8"/>
      <c r="AA34" s="8"/>
      <c r="AB34" s="8"/>
      <c r="AC34" s="8"/>
      <c r="AD34" s="8"/>
      <c r="AE34" s="11"/>
      <c r="AF34" s="12"/>
      <c r="AG34" s="12"/>
      <c r="AH34" s="12"/>
      <c r="AI34" s="12"/>
      <c r="AJ34" s="12"/>
      <c r="AK34" s="12"/>
      <c r="AL34" s="12"/>
      <c r="AM34" s="12"/>
      <c r="AN34" s="12"/>
      <c r="AO34" s="12"/>
      <c r="AP34" s="12"/>
      <c r="AQ34" s="12"/>
      <c r="AR34" s="12"/>
      <c r="AS34" s="12"/>
      <c r="AT34" s="12"/>
      <c r="AU34" s="12"/>
      <c r="AV34" s="12"/>
      <c r="AW34" s="12"/>
      <c r="AX34" s="12"/>
      <c r="AY34" s="12"/>
      <c r="AZ34" s="12"/>
    </row>
    <row r="35" ht="15" customHeight="1">
      <c r="A35" s="7"/>
      <c r="B35" s="8"/>
      <c r="C35" s="8"/>
      <c r="D35" s="8"/>
      <c r="E35" s="61"/>
      <c r="F35" s="61"/>
      <c r="G35" s="61"/>
      <c r="H35" s="61"/>
      <c r="I35" s="61"/>
      <c r="J35" s="61"/>
      <c r="K35" s="61"/>
      <c r="L35" s="8"/>
      <c r="M35" s="8"/>
      <c r="N35" s="8"/>
      <c r="O35" s="8"/>
      <c r="P35" s="8"/>
      <c r="Q35" s="8"/>
      <c r="R35" s="8"/>
      <c r="S35" s="8"/>
      <c r="T35" s="8"/>
      <c r="U35" s="8"/>
      <c r="V35" s="8"/>
      <c r="W35" s="8"/>
      <c r="X35" s="8"/>
      <c r="Y35" s="8"/>
      <c r="Z35" s="8"/>
      <c r="AA35" s="8"/>
      <c r="AB35" s="8"/>
      <c r="AC35" s="8"/>
      <c r="AD35" s="8"/>
      <c r="AE35" s="11"/>
      <c r="AF35" s="12"/>
      <c r="AG35" s="12"/>
      <c r="AH35" s="12"/>
      <c r="AI35" s="12"/>
      <c r="AJ35" s="12"/>
      <c r="AK35" s="12"/>
      <c r="AL35" s="12"/>
      <c r="AM35" s="12"/>
      <c r="AN35" s="12"/>
      <c r="AO35" s="12"/>
      <c r="AP35" s="12"/>
      <c r="AQ35" s="12"/>
      <c r="AR35" s="12"/>
      <c r="AS35" s="12"/>
      <c r="AT35" s="12"/>
      <c r="AU35" s="12"/>
      <c r="AV35" s="12"/>
      <c r="AW35" s="12"/>
      <c r="AX35" s="12"/>
      <c r="AY35" s="12"/>
      <c r="AZ35" s="12"/>
    </row>
    <row r="36" ht="15" customHeight="1">
      <c r="A36" s="7"/>
      <c r="B36" s="8"/>
      <c r="C36" s="8"/>
      <c r="D36" s="8"/>
      <c r="E36" s="61"/>
      <c r="F36" s="61"/>
      <c r="G36" s="61"/>
      <c r="H36" s="61"/>
      <c r="I36" s="61"/>
      <c r="J36" s="61"/>
      <c r="K36" s="61"/>
      <c r="L36" s="8"/>
      <c r="M36" s="8"/>
      <c r="N36" s="8"/>
      <c r="O36" s="8"/>
      <c r="P36" s="8"/>
      <c r="Q36" s="8"/>
      <c r="R36" s="8"/>
      <c r="S36" s="8"/>
      <c r="T36" s="8"/>
      <c r="U36" s="8"/>
      <c r="V36" s="8"/>
      <c r="W36" s="8"/>
      <c r="X36" s="8"/>
      <c r="Y36" s="8"/>
      <c r="Z36" s="8"/>
      <c r="AA36" s="8"/>
      <c r="AB36" s="8"/>
      <c r="AC36" s="8"/>
      <c r="AD36" s="8"/>
      <c r="AE36" s="11"/>
      <c r="AF36" s="12"/>
      <c r="AG36" s="12"/>
      <c r="AH36" s="12"/>
      <c r="AI36" s="12"/>
      <c r="AJ36" s="12"/>
      <c r="AK36" s="12"/>
      <c r="AL36" s="12"/>
      <c r="AM36" s="12"/>
      <c r="AN36" s="12"/>
      <c r="AO36" s="12"/>
      <c r="AP36" s="12"/>
      <c r="AQ36" s="12"/>
      <c r="AR36" s="12"/>
      <c r="AS36" s="12"/>
      <c r="AT36" s="12"/>
      <c r="AU36" s="12"/>
      <c r="AV36" s="12"/>
      <c r="AW36" s="12"/>
      <c r="AX36" s="12"/>
      <c r="AY36" s="12"/>
      <c r="AZ36" s="12"/>
    </row>
    <row r="37" ht="15" customHeight="1">
      <c r="A37" s="7"/>
      <c r="B37" s="8"/>
      <c r="C37" s="8"/>
      <c r="D37" s="8"/>
      <c r="E37" s="61"/>
      <c r="F37" s="61"/>
      <c r="G37" s="61"/>
      <c r="H37" s="61"/>
      <c r="I37" s="61"/>
      <c r="J37" s="61"/>
      <c r="K37" s="61"/>
      <c r="L37" s="8"/>
      <c r="M37" s="8"/>
      <c r="N37" s="8"/>
      <c r="O37" s="8"/>
      <c r="P37" s="8"/>
      <c r="Q37" s="8"/>
      <c r="R37" s="8"/>
      <c r="S37" s="8"/>
      <c r="T37" s="8"/>
      <c r="U37" s="8"/>
      <c r="V37" s="8"/>
      <c r="W37" s="8"/>
      <c r="X37" s="8"/>
      <c r="Y37" s="8"/>
      <c r="Z37" s="8"/>
      <c r="AA37" s="8"/>
      <c r="AB37" s="8"/>
      <c r="AC37" s="8"/>
      <c r="AD37" s="8"/>
      <c r="AE37" s="11"/>
      <c r="AF37" s="12"/>
      <c r="AG37" s="12"/>
      <c r="AH37" s="12"/>
      <c r="AI37" s="12"/>
      <c r="AJ37" s="12"/>
      <c r="AK37" s="12"/>
      <c r="AL37" s="12"/>
      <c r="AM37" s="12"/>
      <c r="AN37" s="12"/>
      <c r="AO37" s="12"/>
      <c r="AP37" s="12"/>
      <c r="AQ37" s="12"/>
      <c r="AR37" s="12"/>
      <c r="AS37" s="12"/>
      <c r="AT37" s="12"/>
      <c r="AU37" s="12"/>
      <c r="AV37" s="12"/>
      <c r="AW37" s="12"/>
      <c r="AX37" s="12"/>
      <c r="AY37" s="12"/>
      <c r="AZ37" s="12"/>
    </row>
    <row r="38" ht="15" customHeight="1">
      <c r="A38" s="7"/>
      <c r="B38" s="8"/>
      <c r="C38" s="8"/>
      <c r="D38" s="8"/>
      <c r="E38" s="61"/>
      <c r="F38" s="61"/>
      <c r="G38" s="61"/>
      <c r="H38" s="61"/>
      <c r="I38" s="61"/>
      <c r="J38" s="61"/>
      <c r="K38" s="61"/>
      <c r="L38" s="8"/>
      <c r="M38" s="8"/>
      <c r="N38" s="8"/>
      <c r="O38" s="8"/>
      <c r="P38" s="8"/>
      <c r="Q38" s="8"/>
      <c r="R38" s="8"/>
      <c r="S38" s="8"/>
      <c r="T38" s="8"/>
      <c r="U38" s="8"/>
      <c r="V38" s="8"/>
      <c r="W38" s="8"/>
      <c r="X38" s="8"/>
      <c r="Y38" s="8"/>
      <c r="Z38" s="8"/>
      <c r="AA38" s="8"/>
      <c r="AB38" s="8"/>
      <c r="AC38" s="8"/>
      <c r="AD38" s="8"/>
      <c r="AE38" s="11"/>
      <c r="AF38" s="12"/>
      <c r="AG38" s="12"/>
      <c r="AH38" s="12"/>
      <c r="AI38" s="12"/>
      <c r="AJ38" s="12"/>
      <c r="AK38" s="12"/>
      <c r="AL38" s="12"/>
      <c r="AM38" s="12"/>
      <c r="AN38" s="12"/>
      <c r="AO38" s="12"/>
      <c r="AP38" s="12"/>
      <c r="AQ38" s="12"/>
      <c r="AR38" s="12"/>
      <c r="AS38" s="12"/>
      <c r="AT38" s="12"/>
      <c r="AU38" s="12"/>
      <c r="AV38" s="12"/>
      <c r="AW38" s="12"/>
      <c r="AX38" s="12"/>
      <c r="AY38" s="12"/>
      <c r="AZ38" s="12"/>
    </row>
    <row r="39" ht="15" customHeight="1">
      <c r="A39" s="7"/>
      <c r="B39" s="8"/>
      <c r="C39" s="8"/>
      <c r="D39" s="8"/>
      <c r="E39" s="61"/>
      <c r="F39" s="61"/>
      <c r="G39" s="61"/>
      <c r="H39" s="61"/>
      <c r="I39" s="61"/>
      <c r="J39" s="61"/>
      <c r="K39" s="61"/>
      <c r="L39" s="8"/>
      <c r="M39" s="8"/>
      <c r="N39" s="8"/>
      <c r="O39" s="8"/>
      <c r="P39" s="8"/>
      <c r="Q39" s="8"/>
      <c r="R39" s="8"/>
      <c r="S39" s="8"/>
      <c r="T39" s="8"/>
      <c r="U39" s="8"/>
      <c r="V39" s="8"/>
      <c r="W39" s="8"/>
      <c r="X39" s="8"/>
      <c r="Y39" s="8"/>
      <c r="Z39" s="8"/>
      <c r="AA39" s="8"/>
      <c r="AB39" s="8"/>
      <c r="AC39" s="8"/>
      <c r="AD39" s="8"/>
      <c r="AE39" s="11"/>
      <c r="AF39" s="12"/>
      <c r="AG39" s="12"/>
      <c r="AH39" s="12"/>
      <c r="AI39" s="12"/>
      <c r="AJ39" s="12"/>
      <c r="AK39" s="12"/>
      <c r="AL39" s="12"/>
      <c r="AM39" s="12"/>
      <c r="AN39" s="12"/>
      <c r="AO39" s="12"/>
      <c r="AP39" s="12"/>
      <c r="AQ39" s="12"/>
      <c r="AR39" s="12"/>
      <c r="AS39" s="12"/>
      <c r="AT39" s="12"/>
      <c r="AU39" s="12"/>
      <c r="AV39" s="12"/>
      <c r="AW39" s="12"/>
      <c r="AX39" s="12"/>
      <c r="AY39" s="12"/>
      <c r="AZ39" s="12"/>
    </row>
    <row r="40" ht="15" customHeight="1">
      <c r="A40" s="7"/>
      <c r="B40" s="8"/>
      <c r="C40" s="8"/>
      <c r="D40" s="8"/>
      <c r="E40" s="61"/>
      <c r="F40" s="61"/>
      <c r="G40" s="61"/>
      <c r="H40" s="61"/>
      <c r="I40" s="61"/>
      <c r="J40" s="61"/>
      <c r="K40" s="61"/>
      <c r="L40" s="8"/>
      <c r="M40" s="8"/>
      <c r="N40" s="8"/>
      <c r="O40" s="8"/>
      <c r="P40" s="8"/>
      <c r="Q40" s="8"/>
      <c r="R40" s="8"/>
      <c r="S40" s="8"/>
      <c r="T40" s="8"/>
      <c r="U40" s="8"/>
      <c r="V40" s="8"/>
      <c r="W40" s="8"/>
      <c r="X40" s="8"/>
      <c r="Y40" s="8"/>
      <c r="Z40" s="8"/>
      <c r="AA40" s="8"/>
      <c r="AB40" s="8"/>
      <c r="AC40" s="8"/>
      <c r="AD40" s="8"/>
      <c r="AE40" s="11"/>
      <c r="AF40" s="12"/>
      <c r="AG40" s="12"/>
      <c r="AH40" s="12"/>
      <c r="AI40" s="12"/>
      <c r="AJ40" s="12"/>
      <c r="AK40" s="12"/>
      <c r="AL40" s="12"/>
      <c r="AM40" s="12"/>
      <c r="AN40" s="12"/>
      <c r="AO40" s="12"/>
      <c r="AP40" s="12"/>
      <c r="AQ40" s="12"/>
      <c r="AR40" s="12"/>
      <c r="AS40" s="12"/>
      <c r="AT40" s="12"/>
      <c r="AU40" s="12"/>
      <c r="AV40" s="12"/>
      <c r="AW40" s="12"/>
      <c r="AX40" s="12"/>
      <c r="AY40" s="12"/>
      <c r="AZ40" s="12"/>
    </row>
    <row r="41" ht="15" customHeight="1">
      <c r="A41" s="7"/>
      <c r="B41" s="8"/>
      <c r="C41" s="8"/>
      <c r="D41" s="8"/>
      <c r="E41" s="61"/>
      <c r="F41" s="61"/>
      <c r="G41" s="61"/>
      <c r="H41" s="61"/>
      <c r="I41" s="61"/>
      <c r="J41" s="61"/>
      <c r="K41" s="61"/>
      <c r="L41" s="8"/>
      <c r="M41" s="8"/>
      <c r="N41" s="8"/>
      <c r="O41" s="8"/>
      <c r="P41" s="8"/>
      <c r="Q41" s="8"/>
      <c r="R41" s="8"/>
      <c r="S41" s="8"/>
      <c r="T41" s="8"/>
      <c r="U41" s="8"/>
      <c r="V41" s="8"/>
      <c r="W41" s="8"/>
      <c r="X41" s="8"/>
      <c r="Y41" s="8"/>
      <c r="Z41" s="8"/>
      <c r="AA41" s="8"/>
      <c r="AB41" s="8"/>
      <c r="AC41" s="8"/>
      <c r="AD41" s="8"/>
      <c r="AE41" s="11"/>
      <c r="AF41" s="12"/>
      <c r="AG41" s="12"/>
      <c r="AH41" s="12"/>
      <c r="AI41" s="12"/>
      <c r="AJ41" s="12"/>
      <c r="AK41" s="12"/>
      <c r="AL41" s="12"/>
      <c r="AM41" s="12"/>
      <c r="AN41" s="12"/>
      <c r="AO41" s="12"/>
      <c r="AP41" s="12"/>
      <c r="AQ41" s="12"/>
      <c r="AR41" s="12"/>
      <c r="AS41" s="12"/>
      <c r="AT41" s="12"/>
      <c r="AU41" s="12"/>
      <c r="AV41" s="12"/>
      <c r="AW41" s="12"/>
      <c r="AX41" s="12"/>
      <c r="AY41" s="12"/>
      <c r="AZ41" s="12"/>
    </row>
    <row r="42" ht="15" customHeight="1">
      <c r="A42" s="7"/>
      <c r="B42" s="8"/>
      <c r="C42" s="8"/>
      <c r="D42" s="8"/>
      <c r="E42" s="61"/>
      <c r="F42" s="61"/>
      <c r="G42" s="61"/>
      <c r="H42" s="61"/>
      <c r="I42" s="61"/>
      <c r="J42" s="61"/>
      <c r="K42" s="61"/>
      <c r="L42" s="8"/>
      <c r="M42" s="8"/>
      <c r="N42" s="8"/>
      <c r="O42" s="8"/>
      <c r="P42" s="8"/>
      <c r="Q42" s="8"/>
      <c r="R42" s="8"/>
      <c r="S42" s="8"/>
      <c r="T42" s="8"/>
      <c r="U42" s="8"/>
      <c r="V42" s="8"/>
      <c r="W42" s="8"/>
      <c r="X42" s="8"/>
      <c r="Y42" s="8"/>
      <c r="Z42" s="8"/>
      <c r="AA42" s="8"/>
      <c r="AB42" s="8"/>
      <c r="AC42" s="8"/>
      <c r="AD42" s="8"/>
      <c r="AE42" s="11"/>
      <c r="AF42" s="12"/>
      <c r="AG42" s="12"/>
      <c r="AH42" s="12"/>
      <c r="AI42" s="12"/>
      <c r="AJ42" s="12"/>
      <c r="AK42" s="12"/>
      <c r="AL42" s="12"/>
      <c r="AM42" s="12"/>
      <c r="AN42" s="12"/>
      <c r="AO42" s="12"/>
      <c r="AP42" s="12"/>
      <c r="AQ42" s="12"/>
      <c r="AR42" s="12"/>
      <c r="AS42" s="12"/>
      <c r="AT42" s="12"/>
      <c r="AU42" s="12"/>
      <c r="AV42" s="12"/>
      <c r="AW42" s="12"/>
      <c r="AX42" s="12"/>
      <c r="AY42" s="12"/>
      <c r="AZ42" s="12"/>
    </row>
    <row r="43" ht="15" customHeight="1">
      <c r="A43" s="7"/>
      <c r="B43" s="8"/>
      <c r="C43" s="8"/>
      <c r="D43" s="8"/>
      <c r="E43" s="61"/>
      <c r="F43" s="61"/>
      <c r="G43" s="61"/>
      <c r="H43" s="61"/>
      <c r="I43" s="61"/>
      <c r="J43" s="61"/>
      <c r="K43" s="61"/>
      <c r="L43" s="8"/>
      <c r="M43" s="8"/>
      <c r="N43" s="8"/>
      <c r="O43" s="8"/>
      <c r="P43" s="8"/>
      <c r="Q43" s="8"/>
      <c r="R43" s="8"/>
      <c r="S43" s="8"/>
      <c r="T43" s="8"/>
      <c r="U43" s="8"/>
      <c r="V43" s="8"/>
      <c r="W43" s="8"/>
      <c r="X43" s="8"/>
      <c r="Y43" s="8"/>
      <c r="Z43" s="8"/>
      <c r="AA43" s="8"/>
      <c r="AB43" s="8"/>
      <c r="AC43" s="8"/>
      <c r="AD43" s="8"/>
      <c r="AE43" s="11"/>
      <c r="AF43" s="12"/>
      <c r="AG43" s="12"/>
      <c r="AH43" s="12"/>
      <c r="AI43" s="12"/>
      <c r="AJ43" s="12"/>
      <c r="AK43" s="12"/>
      <c r="AL43" s="12"/>
      <c r="AM43" s="12"/>
      <c r="AN43" s="12"/>
      <c r="AO43" s="12"/>
      <c r="AP43" s="12"/>
      <c r="AQ43" s="12"/>
      <c r="AR43" s="12"/>
      <c r="AS43" s="12"/>
      <c r="AT43" s="12"/>
      <c r="AU43" s="12"/>
      <c r="AV43" s="12"/>
      <c r="AW43" s="12"/>
      <c r="AX43" s="12"/>
      <c r="AY43" s="12"/>
      <c r="AZ43" s="12"/>
    </row>
    <row r="44" ht="15" customHeight="1">
      <c r="A44" s="7"/>
      <c r="B44" s="8"/>
      <c r="C44" s="8"/>
      <c r="D44" s="8"/>
      <c r="E44" s="61"/>
      <c r="F44" s="61"/>
      <c r="G44" s="61"/>
      <c r="H44" s="61"/>
      <c r="I44" s="61"/>
      <c r="J44" s="61"/>
      <c r="K44" s="61"/>
      <c r="L44" s="8"/>
      <c r="M44" s="8"/>
      <c r="N44" s="8"/>
      <c r="O44" s="8"/>
      <c r="P44" s="8"/>
      <c r="Q44" s="8"/>
      <c r="R44" s="8"/>
      <c r="S44" s="8"/>
      <c r="T44" s="8"/>
      <c r="U44" s="8"/>
      <c r="V44" s="8"/>
      <c r="W44" s="8"/>
      <c r="X44" s="8"/>
      <c r="Y44" s="8"/>
      <c r="Z44" s="8"/>
      <c r="AA44" s="8"/>
      <c r="AB44" s="8"/>
      <c r="AC44" s="8"/>
      <c r="AD44" s="8"/>
      <c r="AE44" s="11"/>
      <c r="AF44" s="12"/>
      <c r="AG44" s="12"/>
      <c r="AH44" s="12"/>
      <c r="AI44" s="12"/>
      <c r="AJ44" s="12"/>
      <c r="AK44" s="12"/>
      <c r="AL44" s="12"/>
      <c r="AM44" s="12"/>
      <c r="AN44" s="12"/>
      <c r="AO44" s="12"/>
      <c r="AP44" s="12"/>
      <c r="AQ44" s="12"/>
      <c r="AR44" s="12"/>
      <c r="AS44" s="12"/>
      <c r="AT44" s="12"/>
      <c r="AU44" s="12"/>
      <c r="AV44" s="12"/>
      <c r="AW44" s="12"/>
      <c r="AX44" s="12"/>
      <c r="AY44" s="12"/>
      <c r="AZ44" s="12"/>
    </row>
    <row r="45" ht="15" customHeight="1">
      <c r="A45" s="7"/>
      <c r="B45" s="8"/>
      <c r="C45" s="8"/>
      <c r="D45" s="8"/>
      <c r="E45" s="61"/>
      <c r="F45" s="61"/>
      <c r="G45" s="61"/>
      <c r="H45" s="61"/>
      <c r="I45" s="61"/>
      <c r="J45" s="61"/>
      <c r="K45" s="61"/>
      <c r="L45" s="8"/>
      <c r="M45" s="8"/>
      <c r="N45" s="8"/>
      <c r="O45" s="8"/>
      <c r="P45" s="8"/>
      <c r="Q45" s="8"/>
      <c r="R45" s="8"/>
      <c r="S45" s="8"/>
      <c r="T45" s="8"/>
      <c r="U45" s="8"/>
      <c r="V45" s="8"/>
      <c r="W45" s="8"/>
      <c r="X45" s="8"/>
      <c r="Y45" s="8"/>
      <c r="Z45" s="8"/>
      <c r="AA45" s="8"/>
      <c r="AB45" s="8"/>
      <c r="AC45" s="8"/>
      <c r="AD45" s="8"/>
      <c r="AE45" s="11"/>
      <c r="AF45" s="12"/>
      <c r="AG45" s="12"/>
      <c r="AH45" s="12"/>
      <c r="AI45" s="12"/>
      <c r="AJ45" s="12"/>
      <c r="AK45" s="12"/>
      <c r="AL45" s="12"/>
      <c r="AM45" s="12"/>
      <c r="AN45" s="12"/>
      <c r="AO45" s="12"/>
      <c r="AP45" s="12"/>
      <c r="AQ45" s="12"/>
      <c r="AR45" s="12"/>
      <c r="AS45" s="12"/>
      <c r="AT45" s="12"/>
      <c r="AU45" s="12"/>
      <c r="AV45" s="12"/>
      <c r="AW45" s="12"/>
      <c r="AX45" s="12"/>
      <c r="AY45" s="12"/>
      <c r="AZ45" s="12"/>
    </row>
    <row r="46" ht="15" customHeight="1">
      <c r="A46" s="7"/>
      <c r="B46" s="8"/>
      <c r="C46" s="8"/>
      <c r="D46" s="8"/>
      <c r="E46" s="61"/>
      <c r="F46" s="61"/>
      <c r="G46" s="61"/>
      <c r="H46" s="61"/>
      <c r="I46" s="61"/>
      <c r="J46" s="61"/>
      <c r="K46" s="61"/>
      <c r="L46" s="8"/>
      <c r="M46" s="8"/>
      <c r="N46" s="8"/>
      <c r="O46" s="8"/>
      <c r="P46" s="8"/>
      <c r="Q46" s="8"/>
      <c r="R46" s="8"/>
      <c r="S46" s="8"/>
      <c r="T46" s="8"/>
      <c r="U46" s="8"/>
      <c r="V46" s="8"/>
      <c r="W46" s="8"/>
      <c r="X46" s="8"/>
      <c r="Y46" s="8"/>
      <c r="Z46" s="8"/>
      <c r="AA46" s="8"/>
      <c r="AB46" s="8"/>
      <c r="AC46" s="8"/>
      <c r="AD46" s="8"/>
      <c r="AE46" s="11"/>
      <c r="AF46" s="12"/>
      <c r="AG46" s="12"/>
      <c r="AH46" s="12"/>
      <c r="AI46" s="12"/>
      <c r="AJ46" s="12"/>
      <c r="AK46" s="12"/>
      <c r="AL46" s="12"/>
      <c r="AM46" s="12"/>
      <c r="AN46" s="12"/>
      <c r="AO46" s="12"/>
      <c r="AP46" s="12"/>
      <c r="AQ46" s="12"/>
      <c r="AR46" s="12"/>
      <c r="AS46" s="12"/>
      <c r="AT46" s="12"/>
      <c r="AU46" s="12"/>
      <c r="AV46" s="12"/>
      <c r="AW46" s="12"/>
      <c r="AX46" s="12"/>
      <c r="AY46" s="12"/>
      <c r="AZ46" s="12"/>
    </row>
    <row r="47" ht="15" customHeight="1">
      <c r="A47" s="7"/>
      <c r="B47" s="8"/>
      <c r="C47" s="8"/>
      <c r="D47" s="8"/>
      <c r="E47" s="61"/>
      <c r="F47" s="61"/>
      <c r="G47" s="61"/>
      <c r="H47" s="61"/>
      <c r="I47" s="61"/>
      <c r="J47" s="61"/>
      <c r="K47" s="61"/>
      <c r="L47" s="8"/>
      <c r="M47" s="8"/>
      <c r="N47" s="8"/>
      <c r="O47" s="8"/>
      <c r="P47" s="8"/>
      <c r="Q47" s="8"/>
      <c r="R47" s="8"/>
      <c r="S47" s="8"/>
      <c r="T47" s="8"/>
      <c r="U47" s="8"/>
      <c r="V47" s="8"/>
      <c r="W47" s="8"/>
      <c r="X47" s="8"/>
      <c r="Y47" s="8"/>
      <c r="Z47" s="8"/>
      <c r="AA47" s="8"/>
      <c r="AB47" s="8"/>
      <c r="AC47" s="8"/>
      <c r="AD47" s="8"/>
      <c r="AE47" s="11"/>
      <c r="AF47" s="12"/>
      <c r="AG47" s="12"/>
      <c r="AH47" s="12"/>
      <c r="AI47" s="12"/>
      <c r="AJ47" s="12"/>
      <c r="AK47" s="12"/>
      <c r="AL47" s="12"/>
      <c r="AM47" s="12"/>
      <c r="AN47" s="12"/>
      <c r="AO47" s="12"/>
      <c r="AP47" s="12"/>
      <c r="AQ47" s="12"/>
      <c r="AR47" s="12"/>
      <c r="AS47" s="12"/>
      <c r="AT47" s="12"/>
      <c r="AU47" s="12"/>
      <c r="AV47" s="12"/>
      <c r="AW47" s="12"/>
      <c r="AX47" s="12"/>
      <c r="AY47" s="12"/>
      <c r="AZ47" s="12"/>
    </row>
    <row r="48" ht="15" customHeight="1">
      <c r="A48" s="7"/>
      <c r="B48" s="8"/>
      <c r="C48" s="8"/>
      <c r="D48" s="8"/>
      <c r="E48" s="61"/>
      <c r="F48" s="61"/>
      <c r="G48" s="61"/>
      <c r="H48" s="61"/>
      <c r="I48" s="61"/>
      <c r="J48" s="61"/>
      <c r="K48" s="61"/>
      <c r="L48" s="8"/>
      <c r="M48" s="8"/>
      <c r="N48" s="8"/>
      <c r="O48" s="8"/>
      <c r="P48" s="8"/>
      <c r="Q48" s="8"/>
      <c r="R48" s="8"/>
      <c r="S48" s="8"/>
      <c r="T48" s="8"/>
      <c r="U48" s="8"/>
      <c r="V48" s="8"/>
      <c r="W48" s="8"/>
      <c r="X48" s="8"/>
      <c r="Y48" s="8"/>
      <c r="Z48" s="8"/>
      <c r="AA48" s="8"/>
      <c r="AB48" s="8"/>
      <c r="AC48" s="8"/>
      <c r="AD48" s="8"/>
      <c r="AE48" s="11"/>
      <c r="AF48" s="12"/>
      <c r="AG48" s="12"/>
      <c r="AH48" s="12"/>
      <c r="AI48" s="12"/>
      <c r="AJ48" s="12"/>
      <c r="AK48" s="12"/>
      <c r="AL48" s="12"/>
      <c r="AM48" s="12"/>
      <c r="AN48" s="12"/>
      <c r="AO48" s="12"/>
      <c r="AP48" s="12"/>
      <c r="AQ48" s="12"/>
      <c r="AR48" s="12"/>
      <c r="AS48" s="12"/>
      <c r="AT48" s="12"/>
      <c r="AU48" s="12"/>
      <c r="AV48" s="12"/>
      <c r="AW48" s="12"/>
      <c r="AX48" s="12"/>
      <c r="AY48" s="12"/>
      <c r="AZ48" s="12"/>
    </row>
    <row r="49" ht="15" customHeight="1">
      <c r="A49" s="7"/>
      <c r="B49" s="8"/>
      <c r="C49" s="8"/>
      <c r="D49" s="8"/>
      <c r="E49" s="61"/>
      <c r="F49" s="61"/>
      <c r="G49" s="61"/>
      <c r="H49" s="61"/>
      <c r="I49" s="61"/>
      <c r="J49" s="61"/>
      <c r="K49" s="61"/>
      <c r="L49" s="8"/>
      <c r="M49" s="8"/>
      <c r="N49" s="8"/>
      <c r="O49" s="8"/>
      <c r="P49" s="8"/>
      <c r="Q49" s="8"/>
      <c r="R49" s="8"/>
      <c r="S49" s="8"/>
      <c r="T49" s="8"/>
      <c r="U49" s="8"/>
      <c r="V49" s="8"/>
      <c r="W49" s="8"/>
      <c r="X49" s="8"/>
      <c r="Y49" s="8"/>
      <c r="Z49" s="8"/>
      <c r="AA49" s="8"/>
      <c r="AB49" s="8"/>
      <c r="AC49" s="8"/>
      <c r="AD49" s="8"/>
      <c r="AE49" s="11"/>
      <c r="AF49" s="12"/>
      <c r="AG49" s="12"/>
      <c r="AH49" s="12"/>
      <c r="AI49" s="12"/>
      <c r="AJ49" s="12"/>
      <c r="AK49" s="12"/>
      <c r="AL49" s="12"/>
      <c r="AM49" s="12"/>
      <c r="AN49" s="12"/>
      <c r="AO49" s="12"/>
      <c r="AP49" s="12"/>
      <c r="AQ49" s="12"/>
      <c r="AR49" s="12"/>
      <c r="AS49" s="12"/>
      <c r="AT49" s="12"/>
      <c r="AU49" s="12"/>
      <c r="AV49" s="12"/>
      <c r="AW49" s="12"/>
      <c r="AX49" s="12"/>
      <c r="AY49" s="12"/>
      <c r="AZ49" s="12"/>
    </row>
    <row r="50" ht="15" customHeight="1">
      <c r="A50" s="62"/>
      <c r="B50" s="63"/>
      <c r="C50" s="63"/>
      <c r="D50" s="63"/>
      <c r="E50" s="64"/>
      <c r="F50" s="64"/>
      <c r="G50" s="64"/>
      <c r="H50" s="64"/>
      <c r="I50" s="64"/>
      <c r="J50" s="64"/>
      <c r="K50" s="64"/>
      <c r="L50" s="63"/>
      <c r="M50" s="63"/>
      <c r="N50" s="63"/>
      <c r="O50" s="63"/>
      <c r="P50" s="63"/>
      <c r="Q50" s="63"/>
      <c r="R50" s="63"/>
      <c r="S50" s="63"/>
      <c r="T50" s="63"/>
      <c r="U50" s="63"/>
      <c r="V50" s="63"/>
      <c r="W50" s="63"/>
      <c r="X50" s="63"/>
      <c r="Y50" s="63"/>
      <c r="Z50" s="63"/>
      <c r="AA50" s="63"/>
      <c r="AB50" s="63"/>
      <c r="AC50" s="63"/>
      <c r="AD50" s="63"/>
      <c r="AE50" s="65"/>
      <c r="AF50" s="66"/>
      <c r="AG50" s="66"/>
      <c r="AH50" s="66"/>
      <c r="AI50" s="66"/>
      <c r="AJ50" s="66"/>
      <c r="AK50" s="66"/>
      <c r="AL50" s="66"/>
      <c r="AM50" s="66"/>
      <c r="AN50" s="66"/>
      <c r="AO50" s="66"/>
      <c r="AP50" s="66"/>
      <c r="AQ50" s="66"/>
      <c r="AR50" s="66"/>
      <c r="AS50" s="66"/>
      <c r="AT50" s="66"/>
      <c r="AU50" s="66"/>
      <c r="AV50" s="66"/>
      <c r="AW50" s="66"/>
      <c r="AX50" s="66"/>
      <c r="AY50" s="66"/>
      <c r="AZ50" s="66"/>
    </row>
  </sheetData>
  <mergeCells count="4">
    <mergeCell ref="E16:I16"/>
    <mergeCell ref="B24:C24"/>
    <mergeCell ref="E17:I17"/>
    <mergeCell ref="B3:L3"/>
  </mergeCells>
  <hyperlinks>
    <hyperlink ref="K6" location="'WORLDCUP'!R1C1" tooltip="" display="Introducir resultados"/>
    <hyperlink ref="K8" location="'Fixture'!R1C1" tooltip="" display="Fixture"/>
    <hyperlink ref="K10" location="'Credits'!R1C1" tooltip="" display="Help"/>
    <hyperlink ref="K17" r:id="rId1" location="" tooltip="" display="Video►Tutorial"/>
    <hyperlink ref="E22" r:id="rId2" location="" tooltip="" display="Whatsapp"/>
    <hyperlink ref="F22" r:id="rId3" location="" tooltip="" display="Telegram"/>
    <hyperlink ref="G22" r:id="rId4" location="" tooltip="" display="Mail"/>
    <hyperlink ref="H22" r:id="rId5" location="" tooltip="" display="X"/>
    <hyperlink ref="I22" r:id="rId6" location="" tooltip="" display="in"/>
    <hyperlink ref="L23" r:id="rId7" location="" tooltip="" display="Donar"/>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DU191"/>
  <sheetViews>
    <sheetView workbookViewId="0" showGridLines="0" defaultGridColor="1"/>
  </sheetViews>
  <sheetFormatPr defaultColWidth="10.8333" defaultRowHeight="15" customHeight="1" outlineLevelRow="0" outlineLevelCol="0"/>
  <cols>
    <col min="1" max="21" hidden="1" width="10.8333" style="67" customWidth="1"/>
    <col min="22" max="22" width="3.5" style="67" customWidth="1"/>
    <col min="23" max="23" width="6.67188" style="67" customWidth="1"/>
    <col min="24" max="24" width="11.8516" style="67" customWidth="1"/>
    <col min="25" max="25" width="6.85156" style="67" customWidth="1"/>
    <col min="26" max="26" width="5.17188" style="67" customWidth="1"/>
    <col min="27" max="27" width="20.8516" style="67" customWidth="1"/>
    <col min="28" max="28" width="3.35156" style="67" customWidth="1"/>
    <col min="29" max="30" width="5.35156" style="67" customWidth="1"/>
    <col min="31" max="31" width="3.35156" style="67" customWidth="1"/>
    <col min="32" max="32" width="20.8516" style="67" customWidth="1"/>
    <col min="33" max="33" width="3.5" style="67" customWidth="1"/>
    <col min="34" max="34" width="5.17188" style="67" customWidth="1"/>
    <col min="35" max="35" width="3.35156" style="67" customWidth="1"/>
    <col min="36" max="36" width="4.35156" style="67" customWidth="1"/>
    <col min="37" max="37" width="3.35156" style="67" customWidth="1"/>
    <col min="38" max="38" width="20.8516" style="67" customWidth="1"/>
    <col min="39" max="39" width="5.85156" style="67" customWidth="1"/>
    <col min="40" max="43" width="4.35156" style="67" customWidth="1"/>
    <col min="44" max="45" width="4.67188" style="67" customWidth="1"/>
    <col min="46" max="46" width="4.85156" style="67" customWidth="1"/>
    <col min="47" max="47" width="3.35156" style="67" customWidth="1"/>
    <col min="48" max="48" width="18.5" style="67" customWidth="1"/>
    <col min="49" max="50" width="3.5" style="67" customWidth="1"/>
    <col min="51" max="51" width="19.6719" style="67" customWidth="1"/>
    <col min="52" max="52" width="15.8516" style="67" customWidth="1"/>
    <col min="53" max="53" width="3" style="67" customWidth="1"/>
    <col min="54" max="102" hidden="1" width="10.8333" style="67" customWidth="1"/>
    <col min="103" max="103" width="10.8516" style="67" customWidth="1"/>
    <col min="104" max="112" hidden="1" width="10.8333" style="67" customWidth="1"/>
    <col min="113" max="113" width="10.8516" style="67" customWidth="1"/>
    <col min="114" max="116" hidden="1" width="10.8333" style="67" customWidth="1"/>
    <col min="117" max="117" width="10.8516" style="67" customWidth="1"/>
    <col min="118" max="123" hidden="1" width="10.8333" style="67" customWidth="1"/>
    <col min="124" max="124" width="10.8516" style="67" customWidth="1"/>
    <col min="125" max="125" hidden="1" width="10.8333" style="67" customWidth="1"/>
    <col min="126" max="16384" width="10.8516" style="67" customWidth="1"/>
  </cols>
  <sheetData>
    <row r="1" ht="30" customHeight="1">
      <c r="A1" s="68"/>
      <c r="B1" s="68"/>
      <c r="C1" s="68"/>
      <c r="D1" s="68"/>
      <c r="E1" s="68"/>
      <c r="F1" s="68"/>
      <c r="G1" s="68"/>
      <c r="H1" s="68"/>
      <c r="I1" s="68"/>
      <c r="J1" s="68"/>
      <c r="K1" s="68"/>
      <c r="L1" s="68"/>
      <c r="M1" s="68"/>
      <c r="N1" s="68"/>
      <c r="O1" s="68"/>
      <c r="P1" s="68"/>
      <c r="Q1" s="68"/>
      <c r="R1" s="68"/>
      <c r="S1" s="68"/>
      <c r="T1" s="68"/>
      <c r="U1" s="68"/>
      <c r="V1" s="69"/>
      <c r="W1" t="s" s="70">
        <v>0</v>
      </c>
      <c r="X1" s="71"/>
      <c r="Y1" s="71"/>
      <c r="Z1" s="71"/>
      <c r="AA1" s="71"/>
      <c r="AB1" s="71"/>
      <c r="AC1" s="71"/>
      <c r="AD1" s="71"/>
      <c r="AE1" s="71"/>
      <c r="AF1" s="71"/>
      <c r="AG1" s="72"/>
      <c r="AH1" s="73"/>
      <c r="AI1" s="73"/>
      <c r="AJ1" s="72"/>
      <c r="AK1" s="72"/>
      <c r="AL1" s="74"/>
      <c r="AM1" s="72"/>
      <c r="AN1" s="72"/>
      <c r="AO1" s="72"/>
      <c r="AP1" s="72"/>
      <c r="AQ1" s="72"/>
      <c r="AR1" s="72"/>
      <c r="AS1" s="72"/>
      <c r="AT1" s="72"/>
      <c r="AU1" s="75"/>
      <c r="AV1" s="72"/>
      <c r="AW1" s="72"/>
      <c r="AX1" s="72"/>
      <c r="AY1" s="72"/>
      <c r="AZ1" s="72"/>
      <c r="BA1" s="3"/>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t="s" s="76">
        <v>22</v>
      </c>
      <c r="DO1" s="71"/>
      <c r="DP1" s="71"/>
      <c r="DQ1" s="71"/>
      <c r="DR1" s="71"/>
      <c r="DS1" s="71"/>
      <c r="DT1" s="77"/>
      <c r="DU1" s="6"/>
    </row>
    <row r="2" ht="10" customHeight="1">
      <c r="A2" s="78"/>
      <c r="B2" s="78"/>
      <c r="C2" s="78"/>
      <c r="D2" s="78"/>
      <c r="E2" s="78"/>
      <c r="F2" s="78"/>
      <c r="G2" s="78"/>
      <c r="H2" s="78"/>
      <c r="I2" s="78"/>
      <c r="J2" s="78"/>
      <c r="K2" s="78"/>
      <c r="L2" s="78"/>
      <c r="M2" s="78"/>
      <c r="N2" s="78"/>
      <c r="O2" s="78"/>
      <c r="P2" s="78"/>
      <c r="Q2" s="78"/>
      <c r="R2" s="78"/>
      <c r="S2" s="78"/>
      <c r="T2" s="78"/>
      <c r="U2" s="78"/>
      <c r="V2" s="79"/>
      <c r="W2" s="80"/>
      <c r="X2" s="80"/>
      <c r="Y2" s="81"/>
      <c r="Z2" s="80"/>
      <c r="AA2" s="80"/>
      <c r="AB2" s="80"/>
      <c r="AC2" s="80"/>
      <c r="AD2" s="80"/>
      <c r="AE2" s="80"/>
      <c r="AF2" s="80"/>
      <c r="AG2" s="82"/>
      <c r="AH2" s="83"/>
      <c r="AI2" s="83"/>
      <c r="AJ2" s="82"/>
      <c r="AK2" s="82"/>
      <c r="AL2" s="82"/>
      <c r="AM2" s="82"/>
      <c r="AN2" s="82"/>
      <c r="AO2" s="82"/>
      <c r="AP2" s="82"/>
      <c r="AQ2" s="82"/>
      <c r="AR2" s="82"/>
      <c r="AS2" s="82"/>
      <c r="AT2" s="82"/>
      <c r="AU2" s="84"/>
      <c r="AV2" s="84"/>
      <c r="AW2" s="85"/>
      <c r="AX2" s="85"/>
      <c r="AY2" s="86"/>
      <c r="AZ2" s="86"/>
      <c r="BA2" s="8"/>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8"/>
      <c r="DU2" s="12"/>
    </row>
    <row r="3" ht="16" customHeight="1">
      <c r="A3" s="78"/>
      <c r="B3" s="78"/>
      <c r="C3" s="78"/>
      <c r="D3" t="s" s="89">
        <v>23</v>
      </c>
      <c r="E3" t="s" s="89">
        <v>24</v>
      </c>
      <c r="F3" t="s" s="89">
        <v>25</v>
      </c>
      <c r="G3" s="78"/>
      <c r="H3" t="s" s="89">
        <v>26</v>
      </c>
      <c r="I3" t="s" s="89">
        <v>27</v>
      </c>
      <c r="J3" s="78"/>
      <c r="K3" t="s" s="89">
        <v>28</v>
      </c>
      <c r="L3" t="s" s="89">
        <v>29</v>
      </c>
      <c r="M3" s="78"/>
      <c r="N3" t="s" s="89">
        <v>30</v>
      </c>
      <c r="O3" t="s" s="89">
        <v>31</v>
      </c>
      <c r="P3" s="78"/>
      <c r="Q3" t="s" s="89">
        <v>32</v>
      </c>
      <c r="R3" t="s" s="89">
        <v>33</v>
      </c>
      <c r="S3" s="78"/>
      <c r="T3" t="s" s="89">
        <v>34</v>
      </c>
      <c r="U3" t="s" s="89">
        <v>35</v>
      </c>
      <c r="V3" s="90"/>
      <c r="W3" s="91"/>
      <c r="X3" t="s" s="92">
        <v>36</v>
      </c>
      <c r="Y3" t="s" s="92">
        <v>37</v>
      </c>
      <c r="Z3" t="s" s="93">
        <v>38</v>
      </c>
      <c r="AA3" t="s" s="94">
        <v>39</v>
      </c>
      <c r="AB3" s="95"/>
      <c r="AC3" t="s" s="93">
        <v>40</v>
      </c>
      <c r="AD3" t="s" s="93">
        <v>40</v>
      </c>
      <c r="AE3" s="95"/>
      <c r="AF3" t="s" s="96">
        <v>41</v>
      </c>
      <c r="AG3" s="97"/>
      <c r="AH3" s="83"/>
      <c r="AI3" s="83"/>
      <c r="AJ3" t="s" s="98">
        <v>42</v>
      </c>
      <c r="AK3" s="99"/>
      <c r="AL3" s="100"/>
      <c r="AM3" s="100"/>
      <c r="AN3" s="100"/>
      <c r="AO3" s="100"/>
      <c r="AP3" s="100"/>
      <c r="AQ3" s="100"/>
      <c r="AR3" s="100"/>
      <c r="AS3" s="100"/>
      <c r="AT3" s="100"/>
      <c r="AU3" s="84"/>
      <c r="AV3" t="s" s="101">
        <v>43</v>
      </c>
      <c r="AW3" s="102"/>
      <c r="AX3" s="102"/>
      <c r="AY3" s="103"/>
      <c r="AZ3" t="s" s="104">
        <v>44</v>
      </c>
      <c r="BA3" s="8"/>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8"/>
      <c r="DU3" s="12"/>
    </row>
    <row r="4" ht="16" customHeight="1">
      <c r="A4" t="s" s="89">
        <v>45</v>
      </c>
      <c r="B4" t="s" s="89">
        <v>46</v>
      </c>
      <c r="C4" s="105">
        <v>4</v>
      </c>
      <c r="D4" t="str" s="78" cm="1">
        <f t="array" ref="D4">IF(OR(AC4="",AD4=""),"Pendiente",IF(AC4&gt;AD4,"Local",IF(AC4&lt;AD4,"Visitante","Empate")))</f>
        <v>Local</v>
      </c>
      <c r="E4" t="str" s="78" cm="1">
        <f t="array" ref="E4">IF(D4="Pendiente","-",INDEX($BT$6:$BT$53,MATCH($AA4,$BD$6:$BD$53,0)))</f>
        <v>P.1 (4)</v>
      </c>
      <c r="F4" t="str" s="78" cm="1">
        <f t="array" ref="F4">IF(D4="Pendiente","-",INDEX($BT$6:$BT$53,MATCH($AF4,$BD$6:$BD$53,0)))</f>
        <v>P.1 (4)</v>
      </c>
      <c r="G4" s="78"/>
      <c r="H4" t="str" s="78" cm="1">
        <f t="array" ref="H4">IF(D4="Pendiente","-",INDEX($BZ$6:$BZ$53,MATCH($AA4,$BD$6:$BD$53,0)))</f>
        <v>P.1 (4)</v>
      </c>
      <c r="I4" t="str" s="78" cm="1">
        <f t="array" ref="I4">IF(D4="Pendiente","-",INDEX($BZ$6:$BZ$53,MATCH($AF4,$BD$6:$BD$53,0)))</f>
        <v>P.1 (4)</v>
      </c>
      <c r="J4" s="78"/>
      <c r="K4" t="str" s="78" cm="1">
        <f t="array" ref="K4">IF(D4="Pendiente","-",INDEX($CE$6:$CE$53,MATCH($AA4,$BD$6:$BD$53,0)))</f>
        <v>P.1 (4)</v>
      </c>
      <c r="L4" t="str" s="78" cm="1">
        <f t="array" ref="L4">IF(D4="Pendiente","-",INDEX($CE$6:$CE$53,MATCH($AF4,$BD$6:$BD$53,0)))</f>
        <v>P.1 (4)</v>
      </c>
      <c r="M4" s="78"/>
      <c r="N4" t="str" s="78" cm="1">
        <f t="array" ref="N4">IF(D4="Pendiente","-",INDEX($CH$6:$CH$53,MATCH($AA4,$BD$6:$BD$53,0)))</f>
        <v>P.1 (4)</v>
      </c>
      <c r="O4" t="str" s="78" cm="1">
        <f t="array" ref="O4">IF(D4="Pendiente","-",INDEX($CH$6:$CH$53,MATCH($AF4,$BD$6:$BD$53,0)))</f>
        <v>P.1 (4)</v>
      </c>
      <c r="P4" s="78"/>
      <c r="Q4" t="str" s="78" cm="1">
        <f t="array" ref="Q4">IF(D4="Pendiente","-",INDEX($CN$6:$CN$53,MATCH($AA4,$BD$6:$BD$53,0)))</f>
        <v>P.1 (4)</v>
      </c>
      <c r="R4" t="str" s="78" cm="1">
        <f t="array" ref="R4">IF(D4="Pendiente","-",INDEX($CN$6:$CN$53,MATCH($AF4,$BD$6:$BD$53,0)))</f>
        <v>P.1 (4)</v>
      </c>
      <c r="S4" s="78"/>
      <c r="T4" t="str" s="78" cm="1">
        <f t="array" ref="T4">IF(D4="Pendiente","-",INDEX($CS$6:$CS$53,MATCH($AA4,$BD$6:$BD$53,0)))</f>
        <v>P.1 (4)</v>
      </c>
      <c r="U4" t="str" s="78" cm="1">
        <f t="array" ref="U4">IF(D4="Pendiente","-",INDEX($CS$6:$CS$53,MATCH($AF4,$BD$6:$BD$53,0)))</f>
        <v>P.1 (4)</v>
      </c>
      <c r="V4" s="90"/>
      <c r="W4" t="s" s="106">
        <v>46</v>
      </c>
      <c r="X4" s="107">
        <v>46184.625</v>
      </c>
      <c r="Y4" s="108">
        <v>46184.625</v>
      </c>
      <c r="Z4" t="s" s="109">
        <v>49</v>
      </c>
      <c r="AA4" t="str" s="110" cm="1">
        <f t="array" ref="AA4">A5</f>
        <v>México</v>
      </c>
      <c r="AB4" s="111"/>
      <c r="AC4" s="112">
        <v>2</v>
      </c>
      <c r="AD4" s="112">
        <v>1</v>
      </c>
      <c r="AE4" s="113"/>
      <c r="AF4" t="str" s="114" cm="1">
        <f t="array" ref="AF4">A6</f>
        <v>Sudáfrica</v>
      </c>
      <c r="AG4" s="115" cm="1">
        <f t="array" ref="AG4">IF(NOT(OR(ISBLANK(AC4),ISBLANK(AD4))),1,0)</f>
        <v>1</v>
      </c>
      <c r="AH4" s="116">
        <v>1</v>
      </c>
      <c r="AI4" s="117"/>
      <c r="AJ4" t="str" s="118" cm="1">
        <f t="array" ref="AJ4">CONCATENATE(AJ3," ",B4)</f>
        <v>Grupo A</v>
      </c>
      <c r="AK4" s="119"/>
      <c r="AL4" s="119"/>
      <c r="AM4" s="119"/>
      <c r="AN4" s="119"/>
      <c r="AO4" s="119"/>
      <c r="AP4" s="119"/>
      <c r="AQ4" s="119"/>
      <c r="AR4" s="119"/>
      <c r="AS4" s="119"/>
      <c r="AT4" s="120"/>
      <c r="AU4" s="121"/>
      <c r="AV4" t="str" s="122" cm="1">
        <f t="array" ref="AV4">IF(AU5&gt;0,$AV$3,"")</f>
        <v>¡EMPATE! Puedes seleccionar el orden de los empatados.</v>
      </c>
      <c r="AW4" s="123"/>
      <c r="AX4" s="123"/>
      <c r="AY4" s="124"/>
      <c r="AZ4" s="124"/>
      <c r="BA4" s="8"/>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c r="CJ4" s="87"/>
      <c r="CK4" s="87"/>
      <c r="CL4" s="87"/>
      <c r="CM4" s="87"/>
      <c r="CN4" s="87"/>
      <c r="CO4" s="87"/>
      <c r="CP4" s="87"/>
      <c r="CQ4" s="87"/>
      <c r="CR4" s="87"/>
      <c r="CS4" s="87"/>
      <c r="CT4" s="87"/>
      <c r="CU4" s="87"/>
      <c r="CV4" s="87"/>
      <c r="CW4" s="87"/>
      <c r="CX4" s="87"/>
      <c r="CY4" s="87"/>
      <c r="CZ4" s="87"/>
      <c r="DA4" s="87"/>
      <c r="DB4" s="87"/>
      <c r="DC4" t="s" s="125">
        <v>54</v>
      </c>
      <c r="DD4" s="87"/>
      <c r="DE4" s="87"/>
      <c r="DF4" s="87"/>
      <c r="DG4" s="87"/>
      <c r="DH4" s="87"/>
      <c r="DI4" s="87"/>
      <c r="DJ4" s="87"/>
      <c r="DK4" s="87"/>
      <c r="DL4" s="87"/>
      <c r="DM4" s="87"/>
      <c r="DN4" s="87"/>
      <c r="DO4" s="87"/>
      <c r="DP4" s="87"/>
      <c r="DQ4" s="87"/>
      <c r="DR4" s="87"/>
      <c r="DS4" s="87"/>
      <c r="DT4" s="88"/>
      <c r="DU4" s="12"/>
    </row>
    <row r="5" ht="16" customHeight="1">
      <c r="A5" t="s" s="89">
        <v>55</v>
      </c>
      <c r="B5" s="78"/>
      <c r="C5" s="78"/>
      <c r="D5" t="str" s="78" cm="1">
        <f t="array" ref="D5">IF(OR(AC5="",AD5=""),"Pendiente",IF(AC5&gt;AD5,"Local",IF(AC5&lt;AD5,"Visitante","Empate")))</f>
        <v>Local</v>
      </c>
      <c r="E5" t="str" s="78" cm="1">
        <f t="array" ref="E5">IF(D5="Pendiente","-",INDEX($BT$6:$BT$53,MATCH($AA5,$BD$6:$BD$53,0)))</f>
        <v>P.1 (4)</v>
      </c>
      <c r="F5" t="str" s="78" cm="1">
        <f t="array" ref="F5">IF(D5="Pendiente","-",INDEX($BT$6:$BT$53,MATCH($AF5,$BD$6:$BD$53,0)))</f>
        <v>P.1 (4)</v>
      </c>
      <c r="G5" s="78"/>
      <c r="H5" t="str" s="78" cm="1">
        <f t="array" ref="H5">IF(D5="Pendiente","-",INDEX($BZ$6:$BZ$53,MATCH($AA5,$BD$6:$BD$53,0)))</f>
        <v>P.1 (4)</v>
      </c>
      <c r="I5" t="str" s="78" cm="1">
        <f t="array" ref="I5">IF(D5="Pendiente","-",INDEX($BZ$6:$BZ$53,MATCH($AF5,$BD$6:$BD$53,0)))</f>
        <v>P.1 (4)</v>
      </c>
      <c r="J5" s="78"/>
      <c r="K5" t="str" s="78" cm="1">
        <f t="array" ref="K5">IF(D5="Pendiente","-",INDEX($CE$6:$CE$53,MATCH($AA5,$BD$6:$BD$53,0)))</f>
        <v>P.1 (4)</v>
      </c>
      <c r="L5" t="str" s="78" cm="1">
        <f t="array" ref="L5">IF(D5="Pendiente","-",INDEX($CE$6:$CE$53,MATCH($AF5,$BD$6:$BD$53,0)))</f>
        <v>P.1 (4)</v>
      </c>
      <c r="M5" s="78"/>
      <c r="N5" t="str" s="78" cm="1">
        <f t="array" ref="N5">IF(D5="Pendiente","-",INDEX($CH$6:$CH$53,MATCH($AA5,$BD$6:$BD$53,0)))</f>
        <v>P.1 (4)</v>
      </c>
      <c r="O5" t="str" s="78" cm="1">
        <f t="array" ref="O5">IF(D5="Pendiente","-",INDEX($CH$6:$CH$53,MATCH($AF5,$BD$6:$BD$53,0)))</f>
        <v>P.1 (4)</v>
      </c>
      <c r="P5" s="78"/>
      <c r="Q5" t="str" s="78" cm="1">
        <f t="array" ref="Q5">IF(D5="Pendiente","-",INDEX($CN$6:$CN$53,MATCH($AA5,$BD$6:$BD$53,0)))</f>
        <v>P.1 (4)</v>
      </c>
      <c r="R5" t="str" s="78" cm="1">
        <f t="array" ref="R5">IF(D5="Pendiente","-",INDEX($CN$6:$CN$53,MATCH($AF5,$BD$6:$BD$53,0)))</f>
        <v>P.1 (4)</v>
      </c>
      <c r="S5" s="78"/>
      <c r="T5" t="str" s="78" cm="1">
        <f t="array" ref="T5">IF(D5="Pendiente","-",INDEX($CS$6:$CS$53,MATCH($AA5,$BD$6:$BD$53,0)))</f>
        <v>P.1 (4)</v>
      </c>
      <c r="U5" t="str" s="78" cm="1">
        <f t="array" ref="U5">IF(D5="Pendiente","-",INDEX($CS$6:$CS$53,MATCH($AF5,$BD$6:$BD$53,0)))</f>
        <v>P.1 (4)</v>
      </c>
      <c r="V5" s="90"/>
      <c r="W5" s="126"/>
      <c r="X5" s="107">
        <v>46184.916666666657</v>
      </c>
      <c r="Y5" s="108">
        <v>46184.916666666657</v>
      </c>
      <c r="Z5" t="str" s="127" cm="1">
        <f t="array" ref="Z5">$Z$4</f>
        <v>J1</v>
      </c>
      <c r="AA5" t="str" s="110" cm="1">
        <f t="array" ref="AA5">A7</f>
        <v>Corea del Sur</v>
      </c>
      <c r="AB5" s="111"/>
      <c r="AC5" s="128">
        <v>1</v>
      </c>
      <c r="AD5" s="128">
        <v>0</v>
      </c>
      <c r="AE5" s="113"/>
      <c r="AF5" t="str" s="114" cm="1">
        <f t="array" ref="AF5">A8</f>
        <v>República Checa</v>
      </c>
      <c r="AG5" s="115" cm="1">
        <f t="array" ref="AG5">IF(NOT(OR(ISBLANK(AC5),ISBLANK(AD5))),1,0)</f>
        <v>1</v>
      </c>
      <c r="AH5" s="116">
        <v>2</v>
      </c>
      <c r="AI5" s="117"/>
      <c r="AJ5" t="s" s="129">
        <v>59</v>
      </c>
      <c r="AK5" s="130"/>
      <c r="AL5" t="s" s="131">
        <v>60</v>
      </c>
      <c r="AM5" t="s" s="132">
        <v>61</v>
      </c>
      <c r="AN5" t="s" s="132">
        <v>62</v>
      </c>
      <c r="AO5" t="s" s="132">
        <v>63</v>
      </c>
      <c r="AP5" t="s" s="132">
        <v>64</v>
      </c>
      <c r="AQ5" t="s" s="132">
        <v>65</v>
      </c>
      <c r="AR5" t="s" s="132">
        <v>66</v>
      </c>
      <c r="AS5" t="s" s="132">
        <v>67</v>
      </c>
      <c r="AT5" t="s" s="133">
        <v>68</v>
      </c>
      <c r="AU5" s="134" cm="1">
        <f t="array" ref="AU5">COUNTIF(AU6:AU9,"&gt;1")</f>
        <v>4</v>
      </c>
      <c r="AV5" s="135"/>
      <c r="AW5" s="123"/>
      <c r="AX5" s="136"/>
      <c r="AY5" t="str" s="137" cm="1">
        <f t="array" ref="AY5">AL5</f>
        <v>Selección</v>
      </c>
      <c r="AZ5" t="s" s="138">
        <v>70</v>
      </c>
      <c r="BA5" s="139"/>
      <c r="BB5" s="87"/>
      <c r="BC5" t="s" s="125">
        <v>42</v>
      </c>
      <c r="BD5" t="s" s="125">
        <v>60</v>
      </c>
      <c r="BE5" t="str" s="140" cm="1">
        <f t="array" ref="BE5">AM5</f>
        <v>Pts</v>
      </c>
      <c r="BF5" t="str" s="140" cm="1">
        <f t="array" ref="BF5">AN5</f>
        <v>J</v>
      </c>
      <c r="BG5" t="str" s="140" cm="1">
        <f t="array" ref="BG5">AO5</f>
        <v>G</v>
      </c>
      <c r="BH5" t="str" s="140" cm="1">
        <f t="array" ref="BH5">AP5</f>
        <v>E</v>
      </c>
      <c r="BI5" t="str" s="140" cm="1">
        <f t="array" ref="BI5">AQ5</f>
        <v>P</v>
      </c>
      <c r="BJ5" t="str" s="140" cm="1">
        <f t="array" ref="BJ5">AR5</f>
        <v>GF</v>
      </c>
      <c r="BK5" t="str" s="140" cm="1">
        <f t="array" ref="BK5">AS5</f>
        <v>GC</v>
      </c>
      <c r="BL5" t="str" s="140" cm="1">
        <f t="array" ref="BL5">AT5</f>
        <v>DG</v>
      </c>
      <c r="BM5" t="s" s="125">
        <v>79</v>
      </c>
      <c r="BN5" t="s" s="125">
        <v>80</v>
      </c>
      <c r="BO5" t="s" s="125">
        <v>81</v>
      </c>
      <c r="BP5" t="s" s="125">
        <v>82</v>
      </c>
      <c r="BQ5" t="s" s="125">
        <v>83</v>
      </c>
      <c r="BR5" t="s" s="125">
        <v>84</v>
      </c>
      <c r="BS5" t="s" s="125">
        <v>85</v>
      </c>
      <c r="BT5" t="s" s="125">
        <v>86</v>
      </c>
      <c r="BU5" t="s" s="125">
        <v>87</v>
      </c>
      <c r="BV5" t="s" s="125">
        <v>88</v>
      </c>
      <c r="BW5" t="s" s="125">
        <v>89</v>
      </c>
      <c r="BX5" t="s" s="125">
        <v>90</v>
      </c>
      <c r="BY5" t="s" s="125">
        <v>91</v>
      </c>
      <c r="BZ5" t="s" s="125">
        <v>92</v>
      </c>
      <c r="CA5" t="s" s="125">
        <v>93</v>
      </c>
      <c r="CB5" t="s" s="125">
        <v>94</v>
      </c>
      <c r="CC5" t="s" s="125">
        <v>95</v>
      </c>
      <c r="CD5" t="s" s="125">
        <v>96</v>
      </c>
      <c r="CE5" t="s" s="125">
        <v>97</v>
      </c>
      <c r="CF5" t="s" s="125">
        <v>93</v>
      </c>
      <c r="CG5" t="s" s="125">
        <v>98</v>
      </c>
      <c r="CH5" t="s" s="125">
        <v>99</v>
      </c>
      <c r="CI5" t="s" s="125">
        <v>100</v>
      </c>
      <c r="CJ5" t="s" s="125">
        <v>101</v>
      </c>
      <c r="CK5" t="s" s="125">
        <v>102</v>
      </c>
      <c r="CL5" t="s" s="125">
        <v>103</v>
      </c>
      <c r="CM5" t="s" s="125">
        <v>104</v>
      </c>
      <c r="CN5" t="s" s="125">
        <v>105</v>
      </c>
      <c r="CO5" t="s" s="125">
        <v>106</v>
      </c>
      <c r="CP5" t="s" s="125">
        <v>107</v>
      </c>
      <c r="CQ5" t="s" s="125">
        <v>108</v>
      </c>
      <c r="CR5" t="s" s="125">
        <v>109</v>
      </c>
      <c r="CS5" t="s" s="125">
        <v>110</v>
      </c>
      <c r="CT5" t="s" s="125">
        <v>106</v>
      </c>
      <c r="CU5" t="s" s="125">
        <v>111</v>
      </c>
      <c r="CV5" t="s" s="125">
        <v>112</v>
      </c>
      <c r="CW5" t="s" s="125">
        <v>68</v>
      </c>
      <c r="CX5" t="s" s="125">
        <v>113</v>
      </c>
      <c r="CY5" t="s" s="125">
        <v>114</v>
      </c>
      <c r="CZ5" t="s" s="125">
        <v>66</v>
      </c>
      <c r="DA5" t="s" s="125">
        <v>115</v>
      </c>
      <c r="DB5" t="s" s="125">
        <v>116</v>
      </c>
      <c r="DC5" t="s" s="125">
        <v>117</v>
      </c>
      <c r="DD5" t="s" s="125">
        <v>118</v>
      </c>
      <c r="DE5" s="140"/>
      <c r="DF5" t="s" s="125">
        <v>119</v>
      </c>
      <c r="DG5" t="s" s="125">
        <v>120</v>
      </c>
      <c r="DH5" t="s" s="125">
        <v>121</v>
      </c>
      <c r="DI5" s="140"/>
      <c r="DJ5" t="s" s="125">
        <v>122</v>
      </c>
      <c r="DK5" t="s" s="125">
        <v>123</v>
      </c>
      <c r="DL5" t="s" s="125">
        <v>124</v>
      </c>
      <c r="DM5" t="s" s="125">
        <v>125</v>
      </c>
      <c r="DN5" t="s" s="125">
        <v>126</v>
      </c>
      <c r="DO5" s="140"/>
      <c r="DP5" t="s" s="125">
        <v>127</v>
      </c>
      <c r="DQ5" t="s" s="125">
        <v>128</v>
      </c>
      <c r="DR5" s="87"/>
      <c r="DS5" s="87"/>
      <c r="DT5" s="88"/>
      <c r="DU5" s="12"/>
    </row>
    <row r="6" ht="16" customHeight="1">
      <c r="A6" t="s" s="89">
        <v>129</v>
      </c>
      <c r="B6" s="78"/>
      <c r="C6" s="78"/>
      <c r="D6" t="str" s="78" cm="1">
        <f t="array" ref="D6">IF(OR(AC6="",AD6=""),"Pendiente",IF(AC6&gt;AD6,"Local",IF(AC6&lt;AD6,"Visitante","Empate")))</f>
        <v>Visitante</v>
      </c>
      <c r="E6" t="str" s="78" cm="1">
        <f t="array" ref="E6">IF(D6="Pendiente","-",INDEX($BT$6:$BT$53,MATCH($AA6,$BD$6:$BD$53,0)))</f>
        <v>P.1 (4)</v>
      </c>
      <c r="F6" t="str" s="78" cm="1">
        <f t="array" ref="F6">IF(D6="Pendiente","-",INDEX($BT$6:$BT$53,MATCH($AF6,$BD$6:$BD$53,0)))</f>
        <v>P.1 (4)</v>
      </c>
      <c r="G6" s="78"/>
      <c r="H6" t="str" s="78" cm="1">
        <f t="array" ref="H6">IF(D6="Pendiente","-",INDEX($BZ$6:$BZ$53,MATCH($AA6,$BD$6:$BD$53,0)))</f>
        <v>P.1 (4)</v>
      </c>
      <c r="I6" t="str" s="78" cm="1">
        <f t="array" ref="I6">IF(D6="Pendiente","-",INDEX($BZ$6:$BZ$53,MATCH($AF6,$BD$6:$BD$53,0)))</f>
        <v>P.1 (4)</v>
      </c>
      <c r="J6" s="78"/>
      <c r="K6" t="str" s="78" cm="1">
        <f t="array" ref="K6">IF(D6="Pendiente","-",INDEX($CE$6:$CE$53,MATCH($AA6,$BD$6:$BD$53,0)))</f>
        <v>P.1 (4)</v>
      </c>
      <c r="L6" t="str" s="78" cm="1">
        <f t="array" ref="L6">IF(D6="Pendiente","-",INDEX($CE$6:$CE$53,MATCH($AF6,$BD$6:$BD$53,0)))</f>
        <v>P.1 (4)</v>
      </c>
      <c r="M6" s="78"/>
      <c r="N6" t="str" s="78" cm="1">
        <f t="array" ref="N6">IF(D6="Pendiente","-",INDEX($CH$6:$CH$53,MATCH($AA6,$BD$6:$BD$53,0)))</f>
        <v>P.1 (4)</v>
      </c>
      <c r="O6" t="str" s="78" cm="1">
        <f t="array" ref="O6">IF(D6="Pendiente","-",INDEX($CH$6:$CH$53,MATCH($AF6,$BD$6:$BD$53,0)))</f>
        <v>P.1 (4)</v>
      </c>
      <c r="P6" s="78"/>
      <c r="Q6" t="str" s="78" cm="1">
        <f t="array" ref="Q6">IF(D6="Pendiente","-",INDEX($CN$6:$CN$53,MATCH($AA6,$BD$6:$BD$53,0)))</f>
        <v>P.1 (4)</v>
      </c>
      <c r="R6" t="str" s="78" cm="1">
        <f t="array" ref="R6">IF(D6="Pendiente","-",INDEX($CN$6:$CN$53,MATCH($AF6,$BD$6:$BD$53,0)))</f>
        <v>P.1 (4)</v>
      </c>
      <c r="S6" s="78"/>
      <c r="T6" t="str" s="78" cm="1">
        <f t="array" ref="T6">IF(D6="Pendiente","-",INDEX($CS$6:$CS$53,MATCH($AA6,$BD$6:$BD$53,0)))</f>
        <v>P.1 (4)</v>
      </c>
      <c r="U6" t="str" s="78" cm="1">
        <f t="array" ref="U6">IF(D6="Pendiente","-",INDEX($CS$6:$CS$53,MATCH($AF6,$BD$6:$BD$53,0)))</f>
        <v>P.1 (4)</v>
      </c>
      <c r="V6" s="90"/>
      <c r="W6" s="141"/>
      <c r="X6" s="107">
        <v>46191.5</v>
      </c>
      <c r="Y6" s="108">
        <v>46191.5</v>
      </c>
      <c r="Z6" t="s" s="109">
        <v>131</v>
      </c>
      <c r="AA6" t="str" s="110" cm="1">
        <f t="array" ref="AA6">A8</f>
        <v>República Checa</v>
      </c>
      <c r="AB6" s="111"/>
      <c r="AC6" s="128">
        <v>1</v>
      </c>
      <c r="AD6" s="128">
        <v>2</v>
      </c>
      <c r="AE6" s="113"/>
      <c r="AF6" t="str" s="114" cm="1">
        <f t="array" ref="AF6">A6</f>
        <v>Sudáfrica</v>
      </c>
      <c r="AG6" s="115" cm="1">
        <f t="array" ref="AG6">IF(NOT(OR(ISBLANK(AC6),ISBLANK(AD6))),1,0)</f>
        <v>1</v>
      </c>
      <c r="AH6" s="116">
        <v>25</v>
      </c>
      <c r="AI6" t="str" s="117" cm="1">
        <f t="array" ref="AI6">AJ6&amp;$B$4</f>
        <v>1A</v>
      </c>
      <c r="AJ6" s="142">
        <v>1</v>
      </c>
      <c r="AK6" s="143"/>
      <c r="AL6" t="str" s="144" cm="1">
        <f t="array" ref="AL6">_xlfn.IFERROR(INDEX($BD$6:$BD$53,MATCH(AI6,$BN$6:$BN$53,0)),"")</f>
        <v>México</v>
      </c>
      <c r="AM6" s="145" cm="1">
        <f t="array" ref="AM6">INDEX($BE$6:$BN$53,MATCH($AL6,$BD$6:$BD$53,0),MATCH(AM$5,$BE$5:$BN$5,0))</f>
        <v>6</v>
      </c>
      <c r="AN6" s="146" cm="1">
        <f t="array" ref="AN6">INDEX($BE$6:$BN$53,MATCH($AL6,$BD$6:$BD$53,0),MATCH(AN$5,$BE$5:$BN$5,0))</f>
        <v>3</v>
      </c>
      <c r="AO6" s="146" cm="1">
        <f t="array" ref="AO6">INDEX($BE$6:$BN$53,MATCH($AL6,$BD$6:$BD$53,0),MATCH(AO$5,$BE$5:$BN$5,0))</f>
        <v>2</v>
      </c>
      <c r="AP6" s="146" cm="1">
        <f t="array" ref="AP6">INDEX($BE$6:$BN$53,MATCH($AL6,$BD$6:$BD$53,0),MATCH(AP$5,$BE$5:$BN$5,0))</f>
        <v>0</v>
      </c>
      <c r="AQ6" s="146" cm="1">
        <f t="array" ref="AQ6">INDEX($BE$6:$BN$53,MATCH($AL6,$BD$6:$BD$53,0),MATCH(AQ$5,$BE$5:$BN$5,0))</f>
        <v>1</v>
      </c>
      <c r="AR6" s="146" cm="1">
        <f t="array" ref="AR6">INDEX($BE$6:$BN$53,MATCH($AL6,$BD$6:$BD$53,0),MATCH(AR$5,$BE$5:$BN$5,0))</f>
        <v>3</v>
      </c>
      <c r="AS6" s="146" cm="1">
        <f t="array" ref="AS6">INDEX($BE$6:$BN$53,MATCH($AL6,$BD$6:$BD$53,0),MATCH(AS$5,$BE$5:$BN$5,0))</f>
        <v>3</v>
      </c>
      <c r="AT6" s="147" cm="1">
        <f t="array" ref="AT6">INDEX($BE$6:$BN$53,MATCH($AL6,$BD$6:$BD$53,0),MATCH(AT$5,$BE$5:$BN$5,0))</f>
        <v>0</v>
      </c>
      <c r="AU6" s="148" cm="1">
        <f t="array" ref="AU6">INDEX($DL$6:$DL$53,MATCH(AI6,$DP$6:$DP$53,0))</f>
        <v>4</v>
      </c>
      <c r="AV6" t="str" s="149" cm="1">
        <f t="array" ref="AV6">INDEX($BD$6:$BD$53,MATCH(AI6,$BM$6:$BM$53,0))</f>
        <v>México</v>
      </c>
      <c r="AW6" s="150"/>
      <c r="AX6" s="151"/>
      <c r="AY6" t="str" s="152" cm="1">
        <f t="array" ref="AY6">A5</f>
        <v>México</v>
      </c>
      <c r="AZ6" s="153"/>
      <c r="BA6" s="139"/>
      <c r="BB6" s="87"/>
      <c r="BC6" t="s" s="125">
        <v>46</v>
      </c>
      <c r="BD6" t="s" s="125">
        <v>55</v>
      </c>
      <c r="BE6" s="154" cm="1">
        <f t="array" ref="BE6">BG6*3+BH6+IF($AZ$3="No",0,INDEX($AZ$6:$AZ$97,MATCH(BD6,$AY$6:$AY$97,0)))</f>
        <v>6</v>
      </c>
      <c r="BF6" s="154" cm="1">
        <f t="array" ref="BF6">BG6+BH6+BI6</f>
        <v>3</v>
      </c>
      <c r="BG6" s="154" cm="1">
        <f t="array" ref="BG6">_xlfn.COUNTIFS($AA$4:$AA$97,BD6,$D$4:$D$97,"Local")+_xlfn.COUNTIFS($AF$4:$AF$97,BD6,$D$4:$D$97,"Visitante")</f>
        <v>2</v>
      </c>
      <c r="BH6" s="154" cm="1">
        <f t="array" ref="BH6">_xlfn.COUNTIFS($AA$4:$AA$97,BD6,$D$4:$D$97,"Empate")+_xlfn.COUNTIFS($AF$4:$AF$97,BD6,$D$4:$D$97,"Empate")</f>
        <v>0</v>
      </c>
      <c r="BI6" s="154" cm="1">
        <f t="array" ref="BI6">_xlfn.COUNTIFS($AF$4:$AF$97,BD6,$D$4:$D$97,"Local")+_xlfn.COUNTIFS($AA$4:$AA$97,BD6,$D$4:$D$97,"Visitante")</f>
        <v>1</v>
      </c>
      <c r="BJ6" s="154" cm="1">
        <f t="array" ref="BJ6">_xlfn.SUMIFS($AC$4:$AC$97,$AA$4:$AA$97,BD6,$D$4:$D$97,"&lt;&gt;"&amp;"Pendiente",$AC$4:$AC$97,"&lt;&gt;"&amp;"",$AD$4:$AD$97,"&lt;&gt;"&amp;"")+_xlfn.SUMIFS($AD$4:$AD$97,$AF$4:$AF$97,BD6,$D$4:$D$97,"&lt;&gt;"&amp;"Pendiente",$AC$4:$AC$97,"&lt;&gt;"&amp;"",$AD$4:$AD$97,"&lt;&gt;"&amp;"")</f>
        <v>3</v>
      </c>
      <c r="BK6" s="154" cm="1">
        <f t="array" ref="BK6">_xlfn.SUMIFS($AC$4:$AC$97,$AF$4:$AF$97,BD6,$D$4:$D$97,"&lt;&gt;"&amp;"Pendiente",$AC$4:$AC$97,"&lt;&gt;"&amp;"",$AD$4:$AD$97,"&lt;&gt;"&amp;"")+_xlfn.SUMIFS($AD$4:$AD$97,$AA$4:$AA$97,BD6,$D$4:$D$97,"&lt;&gt;"&amp;"Pendiente",$AC$4:$AC$97,"&lt;&gt;"&amp;"",$AD$4:$AD$97,"&lt;&gt;"&amp;"")</f>
        <v>3</v>
      </c>
      <c r="BL6" s="154" cm="1">
        <f t="array" ref="BL6">BJ6-BK6</f>
        <v>0</v>
      </c>
      <c r="BM6" t="str" s="140" cm="1">
        <f t="array" ref="BM6">DD6&amp;BC6</f>
        <v>1A</v>
      </c>
      <c r="BN6" t="str" s="140" cm="1">
        <f t="array" ref="BN6">DH6&amp;BC6</f>
        <v>1A</v>
      </c>
      <c r="BO6" s="154" cm="1">
        <f t="array" ref="BO6">IF(AND($AJ$99=144,BF6&gt;=1),1,0)</f>
        <v>0</v>
      </c>
      <c r="BP6" s="154">
        <v>1</v>
      </c>
      <c r="BQ6" t="s" s="125">
        <v>135</v>
      </c>
      <c r="BR6" s="154" cm="1">
        <f t="array" ref="BR6">IF($BQ6="-","-",BE6)</f>
        <v>6</v>
      </c>
      <c r="BS6" s="154">
        <v>1</v>
      </c>
      <c r="BT6" t="s" s="125">
        <v>135</v>
      </c>
      <c r="BU6" s="154" cm="1">
        <f t="array" ref="BU6">IF($BT6="-","-",_xlfn.COUNTIFS($AA$4:$AA$97,$BD6,$D$4:$D$97,"Local",$F$4:$F$97,$BT6)+_xlfn.COUNTIFS($AF$4:$AF$97,$BD6,$D$4:$D$97,"Visitante",$E$4:$E$97,$BT6))</f>
        <v>2</v>
      </c>
      <c r="BV6" s="154" cm="1">
        <f t="array" ref="BV6">IF($BT6="-","-",_xlfn.COUNTIFS($AA$4:$AA$97,$BD6,$D$4:$D$97,"Empate",$F$4:$F$97,$BT6)+_xlfn.COUNTIFS($AF$4:$AF$97,$BD6,$D$4:$D$97,"Empate",$E$4:$E$97,$BT6))</f>
        <v>0</v>
      </c>
      <c r="BW6" s="154" cm="1">
        <f t="array" ref="BW6">IF($BT6="-","-",_xlfn.COUNTIFS($AA$4:$AA$97,$BD6,$D$4:$D$97,"Visitante",$F$4:$F$97,$BT6)+_xlfn.COUNTIFS($AF$4:$AF$97,$BD6,$D$4:$D$97,"Local",$E$4:$E$97,$BT6))</f>
        <v>1</v>
      </c>
      <c r="BX6" s="154" cm="1">
        <f t="array" ref="BX6">IF($BT6="-","-",BU6*3+BV6)</f>
        <v>6</v>
      </c>
      <c r="BY6" s="154">
        <v>1</v>
      </c>
      <c r="BZ6" t="s" s="125">
        <v>135</v>
      </c>
      <c r="CA6" s="154" cm="1">
        <f t="array" ref="CA6">IF($BZ6="-","-",_xlfn.SUMIFS($AC$4:$AC$97,$AA$4:$AA$97,$BD6,$I$4:$I$97,$BZ6)+_xlfn.SUMIFS($AD$4:$AD$97,$AF$4:$AF$97,$BD6,$H$4:$H$97,$BZ6))</f>
        <v>3</v>
      </c>
      <c r="CB6" s="154" cm="1">
        <f t="array" ref="CB6">IF($BZ6="-","-",_xlfn.SUMIFS($AD$4:$AD$97,$AA$4:$AA$97,$BD6,$I$4:$I$97,$BZ6)+_xlfn.SUMIFS($AC$4:$AC$97,$AF$4:$AF$97,$BD6,$H$4:$H$97,$BZ6))</f>
        <v>3</v>
      </c>
      <c r="CC6" s="154" cm="1">
        <f t="array" ref="CC6">IF($BZ6="-","-",CA6-CB6)</f>
        <v>0</v>
      </c>
      <c r="CD6" s="154">
        <v>1</v>
      </c>
      <c r="CE6" t="s" s="125">
        <v>135</v>
      </c>
      <c r="CF6" s="154" cm="1">
        <f t="array" ref="CF6">IF($CE6="-","-",_xlfn.SUMIFS($AC$4:$AC$97,$AA$4:$AA$97,$BD6,$L$4:$L$97,$CE6)+_xlfn.SUMIFS($AD$4:$AD$97,$AF$4:$AF$97,$BD6,$K$4:$K$97,$CE6))</f>
        <v>3</v>
      </c>
      <c r="CG6" s="154">
        <v>1</v>
      </c>
      <c r="CH6" t="s" s="125">
        <v>135</v>
      </c>
      <c r="CI6" s="154" cm="1">
        <f t="array" ref="CI6">IF($CH6="-","-",_xlfn.COUNTIFS($AA$4:$AA$97,$BD6,$D$4:$D$97,"Local",$O$4:$O$97,$CH6)+_xlfn.COUNTIFS($AF$4:$AF$97,$BD6,$D$4:$D$97,"Visitante",$N$4:$N$97,$CH6))</f>
        <v>2</v>
      </c>
      <c r="CJ6" s="154" cm="1">
        <f t="array" ref="CJ6">IF($CH6="-","-",_xlfn.COUNTIFS($AA$4:$AA$97,$BD6,$D$4:$D$97,"Empate",$O$4:$O$97,$CH6)+_xlfn.COUNTIFS($AF$4:$AF$97,$BD6,$D$4:$D$97,"Empate",$N$4:$N$97,$CH6))</f>
        <v>0</v>
      </c>
      <c r="CK6" s="154" cm="1">
        <f t="array" ref="CK6">IF($CH6="-","-",_xlfn.COUNTIFS($AA$4:$AA$97,$BD6,$D$4:$D$97,"Visitante",$O$4:$O$97,$CH6)+_xlfn.COUNTIFS($AF$4:$AF$97,$BD6,$D$4:$D$97,"Local",$N$4:$N$97,$CH6))</f>
        <v>1</v>
      </c>
      <c r="CL6" s="154" cm="1">
        <f t="array" ref="CL6">IF($CH6="-","-",CI6*3+CJ6)</f>
        <v>6</v>
      </c>
      <c r="CM6" s="154">
        <v>1</v>
      </c>
      <c r="CN6" t="s" s="125">
        <v>135</v>
      </c>
      <c r="CO6" s="154" cm="1">
        <f t="array" ref="CO6">IF($CN6="-","-",_xlfn.SUMIFS($AC$4:$AC$97,$AA$4:$AA$97,$BD6,$R$4:$R$97,$CN6)+_xlfn.SUMIFS($AD$4:$AD$97,$AF$4:$AF$97,$BD6,$Q$4:$Q$97,$CN6))</f>
        <v>3</v>
      </c>
      <c r="CP6" s="154" cm="1">
        <f t="array" ref="CP6">IF($CN6="-","-",_xlfn.SUMIFS($AD$4:$AD$97,$AA$4:$AA$97,$BD6,$R$4:$R$97,$CN6)+_xlfn.SUMIFS($AC$4:$AC$97,$AF$4:$AF$97,$BD6,$Q$4:$Q$97,$CN6))</f>
        <v>3</v>
      </c>
      <c r="CQ6" s="154" cm="1">
        <f t="array" ref="CQ6">IF($CN6="-","-",CO6-CP6)</f>
        <v>0</v>
      </c>
      <c r="CR6" s="154">
        <v>1</v>
      </c>
      <c r="CS6" t="s" s="125">
        <v>135</v>
      </c>
      <c r="CT6" s="154" cm="1">
        <f t="array" ref="CT6">IF($CS6="-","-",_xlfn.SUMIFS($AC$4:$AC$97,$AA$4:$AA$97,$BD6,$U$4:$U$97,$CS6)+_xlfn.SUMIFS($AD$4:$AD$97,$AF$4:$AF$97,$BD6,$T$4:$T$97,$CS6))</f>
        <v>3</v>
      </c>
      <c r="CU6" s="154">
        <v>1</v>
      </c>
      <c r="CV6" t="s" s="125">
        <v>135</v>
      </c>
      <c r="CW6" s="154" cm="1">
        <f t="array" ref="CW6">IF(CV6="-","-",BL6)</f>
        <v>0</v>
      </c>
      <c r="CX6" s="154">
        <v>1</v>
      </c>
      <c r="CY6" t="s" s="125">
        <v>135</v>
      </c>
      <c r="CZ6" s="154" cm="1">
        <f t="array" ref="CZ6">IF(CY6="-","-",BJ6)</f>
        <v>3</v>
      </c>
      <c r="DA6" s="154">
        <v>1</v>
      </c>
      <c r="DB6" t="s" s="125">
        <v>135</v>
      </c>
      <c r="DC6" s="154">
        <v>1</v>
      </c>
      <c r="DD6" s="154">
        <v>1</v>
      </c>
      <c r="DE6" s="140"/>
      <c r="DF6" s="154" cm="1">
        <f t="array" ref="DF6">IF(OR(INDEX($AW$6:$AW$97,MATCH($BD6,$AV$6:$AV$97,0))="",DB6="-"),DD6,INDEX($AW$6:$AW$97,MATCH($BD6,$AV$6:$AV$97,0))+DD6/1000)</f>
        <v>1</v>
      </c>
      <c r="DG6" s="154">
        <v>0</v>
      </c>
      <c r="DH6" s="154">
        <v>1</v>
      </c>
      <c r="DI6" s="140"/>
      <c r="DJ6" s="154" cm="1">
        <f t="array" ref="DJ6">INDEX($DA$6:$DA$53,MATCH($DQ6,$BD$6:$BD$53,0))</f>
        <v>1</v>
      </c>
      <c r="DK6" s="154" cm="1">
        <f t="array" ref="DK6">SUMIF($BC$6:$BC$53,BC6,$BF$6:$BF$53)</f>
        <v>12</v>
      </c>
      <c r="DL6" s="154" cm="1">
        <f t="array" ref="DL6">IF(OR(DK6=12,$AJ$99=144),_xlfn.COUNTIFS($DJ$6:$DJ$53,DJ6,$BC$6:$BC$53,BC6),1)</f>
        <v>4</v>
      </c>
      <c r="DM6" t="str" s="140" cm="1">
        <f t="array" ref="DM6">DJ6&amp;"."&amp;DL6</f>
        <v>1.4</v>
      </c>
      <c r="DN6" s="154">
        <v>1</v>
      </c>
      <c r="DO6" s="140"/>
      <c r="DP6" t="s" s="125">
        <v>137</v>
      </c>
      <c r="DQ6" t="str" s="140" cm="1">
        <f t="array" ref="DQ6">INDEX($BD$6:$BD$53,MATCH(DP6,$BM$6:$BM$53,0))</f>
        <v>México</v>
      </c>
      <c r="DR6" s="87"/>
      <c r="DS6" s="87"/>
      <c r="DT6" s="88"/>
      <c r="DU6" s="12"/>
    </row>
    <row r="7" ht="16" customHeight="1">
      <c r="A7" t="s" s="89">
        <v>139</v>
      </c>
      <c r="B7" s="78"/>
      <c r="C7" s="78"/>
      <c r="D7" t="str" s="78" cm="1">
        <f t="array" ref="D7">IF(OR(AC7="",AD7=""),"Pendiente",IF(AC7&gt;AD7,"Local",IF(AC7&lt;AD7,"Visitante","Empate")))</f>
        <v>Visitante</v>
      </c>
      <c r="E7" t="str" s="78" cm="1">
        <f t="array" ref="E7">IF(D7="Pendiente","-",INDEX($BT$6:$BT$53,MATCH($AA7,$BD$6:$BD$53,0)))</f>
        <v>P.1 (4)</v>
      </c>
      <c r="F7" t="str" s="78" cm="1">
        <f t="array" ref="F7">IF(D7="Pendiente","-",INDEX($BT$6:$BT$53,MATCH($AF7,$BD$6:$BD$53,0)))</f>
        <v>P.1 (4)</v>
      </c>
      <c r="G7" s="78"/>
      <c r="H7" t="str" s="78" cm="1">
        <f t="array" ref="H7">IF(D7="Pendiente","-",INDEX($BZ$6:$BZ$53,MATCH($AA7,$BD$6:$BD$53,0)))</f>
        <v>P.1 (4)</v>
      </c>
      <c r="I7" t="str" s="78" cm="1">
        <f t="array" ref="I7">IF(D7="Pendiente","-",INDEX($BZ$6:$BZ$53,MATCH($AF7,$BD$6:$BD$53,0)))</f>
        <v>P.1 (4)</v>
      </c>
      <c r="J7" s="78"/>
      <c r="K7" t="str" s="78" cm="1">
        <f t="array" ref="K7">IF(D7="Pendiente","-",INDEX($CE$6:$CE$53,MATCH($AA7,$BD$6:$BD$53,0)))</f>
        <v>P.1 (4)</v>
      </c>
      <c r="L7" t="str" s="78" cm="1">
        <f t="array" ref="L7">IF(D7="Pendiente","-",INDEX($CE$6:$CE$53,MATCH($AF7,$BD$6:$BD$53,0)))</f>
        <v>P.1 (4)</v>
      </c>
      <c r="M7" s="78"/>
      <c r="N7" t="str" s="78" cm="1">
        <f t="array" ref="N7">IF(D7="Pendiente","-",INDEX($CH$6:$CH$53,MATCH($AA7,$BD$6:$BD$53,0)))</f>
        <v>P.1 (4)</v>
      </c>
      <c r="O7" t="str" s="78" cm="1">
        <f t="array" ref="O7">IF(D7="Pendiente","-",INDEX($CH$6:$CH$53,MATCH($AF7,$BD$6:$BD$53,0)))</f>
        <v>P.1 (4)</v>
      </c>
      <c r="P7" s="78"/>
      <c r="Q7" t="str" s="78" cm="1">
        <f t="array" ref="Q7">IF(D7="Pendiente","-",INDEX($CN$6:$CN$53,MATCH($AA7,$BD$6:$BD$53,0)))</f>
        <v>P.1 (4)</v>
      </c>
      <c r="R7" t="str" s="78" cm="1">
        <f t="array" ref="R7">IF(D7="Pendiente","-",INDEX($CN$6:$CN$53,MATCH($AF7,$BD$6:$BD$53,0)))</f>
        <v>P.1 (4)</v>
      </c>
      <c r="S7" s="78"/>
      <c r="T7" t="str" s="78" cm="1">
        <f t="array" ref="T7">IF(D7="Pendiente","-",INDEX($CS$6:$CS$53,MATCH($AA7,$BD$6:$BD$53,0)))</f>
        <v>P.1 (4)</v>
      </c>
      <c r="U7" t="str" s="78" cm="1">
        <f t="array" ref="U7">IF(D7="Pendiente","-",INDEX($CS$6:$CS$53,MATCH($AF7,$BD$6:$BD$53,0)))</f>
        <v>P.1 (4)</v>
      </c>
      <c r="V7" s="90"/>
      <c r="W7" s="141"/>
      <c r="X7" s="107">
        <v>46191.875</v>
      </c>
      <c r="Y7" s="108">
        <v>46191.875</v>
      </c>
      <c r="Z7" t="str" s="127" cm="1">
        <f t="array" ref="Z7">$Z$6</f>
        <v>J2</v>
      </c>
      <c r="AA7" t="str" s="110" cm="1">
        <f t="array" ref="AA7">A5</f>
        <v>México</v>
      </c>
      <c r="AB7" s="111"/>
      <c r="AC7" s="128">
        <v>0</v>
      </c>
      <c r="AD7" s="128">
        <v>2</v>
      </c>
      <c r="AE7" s="113"/>
      <c r="AF7" t="str" s="114" cm="1">
        <f t="array" ref="AF7">A7</f>
        <v>Corea del Sur</v>
      </c>
      <c r="AG7" s="115" cm="1">
        <f t="array" ref="AG7">IF(NOT(OR(ISBLANK(AC7),ISBLANK(AD7))),1,0)</f>
        <v>1</v>
      </c>
      <c r="AH7" s="116">
        <v>28</v>
      </c>
      <c r="AI7" t="str" s="117" cm="1">
        <f t="array" ref="AI7">AJ7&amp;$B$4</f>
        <v>2A</v>
      </c>
      <c r="AJ7" s="155">
        <v>2</v>
      </c>
      <c r="AK7" s="156"/>
      <c r="AL7" t="str" s="157" cm="1">
        <f t="array" ref="AL7">_xlfn.IFERROR(INDEX($BD$6:$BD$53,MATCH(AI7,$BN$6:$BN$53,0)),"")</f>
        <v>Sudáfrica</v>
      </c>
      <c r="AM7" s="158" cm="1">
        <f t="array" ref="AM7">INDEX($BE$6:$BN$53,MATCH($AL7,$BD$6:$BD$53,0),MATCH(AM$5,$BE$5:$BN$5,0))</f>
        <v>3</v>
      </c>
      <c r="AN7" s="159" cm="1">
        <f t="array" ref="AN7">INDEX($BE$6:$BN$53,MATCH($AL7,$BD$6:$BD$53,0),MATCH(AN$5,$BE$5:$BN$5,0))</f>
        <v>3</v>
      </c>
      <c r="AO7" s="159" cm="1">
        <f t="array" ref="AO7">INDEX($BE$6:$BN$53,MATCH($AL7,$BD$6:$BD$53,0),MATCH(AO$5,$BE$5:$BN$5,0))</f>
        <v>1</v>
      </c>
      <c r="AP7" s="159" cm="1">
        <f t="array" ref="AP7">INDEX($BE$6:$BN$53,MATCH($AL7,$BD$6:$BD$53,0),MATCH(AP$5,$BE$5:$BN$5,0))</f>
        <v>0</v>
      </c>
      <c r="AQ7" s="159" cm="1">
        <f t="array" ref="AQ7">INDEX($BE$6:$BN$53,MATCH($AL7,$BD$6:$BD$53,0),MATCH(AQ$5,$BE$5:$BN$5,0))</f>
        <v>2</v>
      </c>
      <c r="AR7" s="159" cm="1">
        <f t="array" ref="AR7">INDEX($BE$6:$BN$53,MATCH($AL7,$BD$6:$BD$53,0),MATCH(AR$5,$BE$5:$BN$5,0))</f>
        <v>4</v>
      </c>
      <c r="AS7" s="159" cm="1">
        <f t="array" ref="AS7">INDEX($BE$6:$BN$53,MATCH($AL7,$BD$6:$BD$53,0),MATCH(AS$5,$BE$5:$BN$5,0))</f>
        <v>5</v>
      </c>
      <c r="AT7" s="160" cm="1">
        <f t="array" ref="AT7">INDEX($BE$6:$BN$53,MATCH($AL7,$BD$6:$BD$53,0),MATCH(AT$5,$BE$5:$BN$5,0))</f>
        <v>-1</v>
      </c>
      <c r="AU7" s="148" cm="1">
        <f t="array" ref="AU7">INDEX($DL$6:$DL$53,MATCH(AI7,$DP$6:$DP$53,0))</f>
        <v>4</v>
      </c>
      <c r="AV7" t="str" s="149" cm="1">
        <f t="array" ref="AV7">INDEX($BD$6:$BD$53,MATCH(AI7,$BM$6:$BM$53,0))</f>
        <v>Sudáfrica</v>
      </c>
      <c r="AW7" s="150"/>
      <c r="AX7" s="151"/>
      <c r="AY7" t="str" s="161" cm="1">
        <f t="array" ref="AY7">A6</f>
        <v>Sudáfrica</v>
      </c>
      <c r="AZ7" s="162"/>
      <c r="BA7" s="139"/>
      <c r="BB7" s="87"/>
      <c r="BC7" t="s" s="125">
        <v>46</v>
      </c>
      <c r="BD7" t="s" s="125">
        <v>129</v>
      </c>
      <c r="BE7" s="154" cm="1">
        <f t="array" ref="BE7">BG7*3+BH7+IF($AZ$3="No",0,INDEX($AZ$6:$AZ$97,MATCH(BD7,$AY$6:$AY$97,0)))</f>
        <v>3</v>
      </c>
      <c r="BF7" s="154" cm="1">
        <f t="array" ref="BF7">BG7+BH7+BI7</f>
        <v>3</v>
      </c>
      <c r="BG7" s="154" cm="1">
        <f t="array" ref="BG7">_xlfn.COUNTIFS($AA$4:$AA$97,BD7,$D$4:$D$97,"Local")+_xlfn.COUNTIFS($AF$4:$AF$97,BD7,$D$4:$D$97,"Visitante")</f>
        <v>1</v>
      </c>
      <c r="BH7" s="154" cm="1">
        <f t="array" ref="BH7">_xlfn.COUNTIFS($AA$4:$AA$97,BD7,$D$4:$D$97,"Empate")+_xlfn.COUNTIFS($AF$4:$AF$97,BD7,$D$4:$D$97,"Empate")</f>
        <v>0</v>
      </c>
      <c r="BI7" s="154" cm="1">
        <f t="array" ref="BI7">_xlfn.COUNTIFS($AF$4:$AF$97,BD7,$D$4:$D$97,"Local")+_xlfn.COUNTIFS($AA$4:$AA$97,BD7,$D$4:$D$97,"Visitante")</f>
        <v>2</v>
      </c>
      <c r="BJ7" s="154" cm="1">
        <f t="array" ref="BJ7">_xlfn.SUMIFS($AC$4:$AC$97,$AA$4:$AA$97,BD7,$D$4:$D$97,"&lt;&gt;"&amp;"Pendiente",$AC$4:$AC$97,"&lt;&gt;"&amp;"",$AD$4:$AD$97,"&lt;&gt;"&amp;"")+_xlfn.SUMIFS($AD$4:$AD$97,$AF$4:$AF$97,BD7,$D$4:$D$97,"&lt;&gt;"&amp;"Pendiente",$AC$4:$AC$97,"&lt;&gt;"&amp;"",$AD$4:$AD$97,"&lt;&gt;"&amp;"")</f>
        <v>4</v>
      </c>
      <c r="BK7" s="154" cm="1">
        <f t="array" ref="BK7">_xlfn.SUMIFS($AC$4:$AC$97,$AF$4:$AF$97,BD7,$D$4:$D$97,"&lt;&gt;"&amp;"Pendiente",$AC$4:$AC$97,"&lt;&gt;"&amp;"",$AD$4:$AD$97,"&lt;&gt;"&amp;"")+_xlfn.SUMIFS($AD$4:$AD$97,$AA$4:$AA$97,BD7,$D$4:$D$97,"&lt;&gt;"&amp;"Pendiente",$AC$4:$AC$97,"&lt;&gt;"&amp;"",$AD$4:$AD$97,"&lt;&gt;"&amp;"")</f>
        <v>5</v>
      </c>
      <c r="BL7" s="154" cm="1">
        <f t="array" ref="BL7">BJ7-BK7</f>
        <v>-1</v>
      </c>
      <c r="BM7" t="str" s="140" cm="1">
        <f t="array" ref="BM7">DD7&amp;BC7</f>
        <v>2A</v>
      </c>
      <c r="BN7" t="str" s="140" cm="1">
        <f t="array" ref="BN7">DH7&amp;BC7</f>
        <v>2A</v>
      </c>
      <c r="BO7" s="154" cm="1">
        <f t="array" ref="BO7">IF(AND($AJ$99=144,BF7&gt;=1),1,0)</f>
        <v>0</v>
      </c>
      <c r="BP7" s="154">
        <v>1</v>
      </c>
      <c r="BQ7" t="s" s="125">
        <v>135</v>
      </c>
      <c r="BR7" s="154" cm="1">
        <f t="array" ref="BR7">IF($BQ7="-","-",BE7)</f>
        <v>3</v>
      </c>
      <c r="BS7" s="154">
        <v>1</v>
      </c>
      <c r="BT7" t="s" s="125">
        <v>135</v>
      </c>
      <c r="BU7" s="154" cm="1">
        <f t="array" ref="BU7">IF($BT7="-","-",_xlfn.COUNTIFS($AA$4:$AA$97,$BD7,$D$4:$D$97,"Local",$F$4:$F$97,$BT7)+_xlfn.COUNTIFS($AF$4:$AF$97,$BD7,$D$4:$D$97,"Visitante",$E$4:$E$97,$BT7))</f>
        <v>1</v>
      </c>
      <c r="BV7" s="154" cm="1">
        <f t="array" ref="BV7">IF($BT7="-","-",_xlfn.COUNTIFS($AA$4:$AA$97,$BD7,$D$4:$D$97,"Empate",$F$4:$F$97,$BT7)+_xlfn.COUNTIFS($AF$4:$AF$97,$BD7,$D$4:$D$97,"Empate",$E$4:$E$97,$BT7))</f>
        <v>0</v>
      </c>
      <c r="BW7" s="154" cm="1">
        <f t="array" ref="BW7">IF($BT7="-","-",_xlfn.COUNTIFS($AA$4:$AA$97,$BD7,$D$4:$D$97,"Visitante",$F$4:$F$97,$BT7)+_xlfn.COUNTIFS($AF$4:$AF$97,$BD7,$D$4:$D$97,"Local",$E$4:$E$97,$BT7))</f>
        <v>2</v>
      </c>
      <c r="BX7" s="154" cm="1">
        <f t="array" ref="BX7">IF($BT7="-","-",BU7*3+BV7)</f>
        <v>3</v>
      </c>
      <c r="BY7" s="154">
        <v>1</v>
      </c>
      <c r="BZ7" t="s" s="125">
        <v>135</v>
      </c>
      <c r="CA7" s="154" cm="1">
        <f t="array" ref="CA7">IF($BZ7="-","-",_xlfn.SUMIFS($AC$4:$AC$97,$AA$4:$AA$97,$BD7,$I$4:$I$97,$BZ7)+_xlfn.SUMIFS($AD$4:$AD$97,$AF$4:$AF$97,$BD7,$H$4:$H$97,$BZ7))</f>
        <v>4</v>
      </c>
      <c r="CB7" s="154" cm="1">
        <f t="array" ref="CB7">IF($BZ7="-","-",_xlfn.SUMIFS($AD$4:$AD$97,$AA$4:$AA$97,$BD7,$I$4:$I$97,$BZ7)+_xlfn.SUMIFS($AC$4:$AC$97,$AF$4:$AF$97,$BD7,$H$4:$H$97,$BZ7))</f>
        <v>5</v>
      </c>
      <c r="CC7" s="154" cm="1">
        <f t="array" ref="CC7">IF($BZ7="-","-",CA7-CB7)</f>
        <v>-1</v>
      </c>
      <c r="CD7" s="154">
        <v>1</v>
      </c>
      <c r="CE7" t="s" s="125">
        <v>135</v>
      </c>
      <c r="CF7" s="154" cm="1">
        <f t="array" ref="CF7">IF($CE7="-","-",_xlfn.SUMIFS($AC$4:$AC$97,$AA$4:$AA$97,$BD7,$L$4:$L$97,$CE7)+_xlfn.SUMIFS($AD$4:$AD$97,$AF$4:$AF$97,$BD7,$K$4:$K$97,$CE7))</f>
        <v>4</v>
      </c>
      <c r="CG7" s="154">
        <v>1</v>
      </c>
      <c r="CH7" t="s" s="125">
        <v>135</v>
      </c>
      <c r="CI7" s="154" cm="1">
        <f t="array" ref="CI7">IF($CH7="-","-",_xlfn.COUNTIFS($AA$4:$AA$97,$BD7,$D$4:$D$97,"Local",$O$4:$O$97,$CH7)+_xlfn.COUNTIFS($AF$4:$AF$97,$BD7,$D$4:$D$97,"Visitante",$N$4:$N$97,$CH7))</f>
        <v>1</v>
      </c>
      <c r="CJ7" s="154" cm="1">
        <f t="array" ref="CJ7">IF($CH7="-","-",_xlfn.COUNTIFS($AA$4:$AA$97,$BD7,$D$4:$D$97,"Empate",$O$4:$O$97,$CH7)+_xlfn.COUNTIFS($AF$4:$AF$97,$BD7,$D$4:$D$97,"Empate",$N$4:$N$97,$CH7))</f>
        <v>0</v>
      </c>
      <c r="CK7" s="154" cm="1">
        <f t="array" ref="CK7">IF($CH7="-","-",_xlfn.COUNTIFS($AA$4:$AA$97,$BD7,$D$4:$D$97,"Visitante",$O$4:$O$97,$CH7)+_xlfn.COUNTIFS($AF$4:$AF$97,$BD7,$D$4:$D$97,"Local",$N$4:$N$97,$CH7))</f>
        <v>2</v>
      </c>
      <c r="CL7" s="154" cm="1">
        <f t="array" ref="CL7">IF($CH7="-","-",CI7*3+CJ7)</f>
        <v>3</v>
      </c>
      <c r="CM7" s="154">
        <v>1</v>
      </c>
      <c r="CN7" t="s" s="125">
        <v>135</v>
      </c>
      <c r="CO7" s="154" cm="1">
        <f t="array" ref="CO7">IF($CN7="-","-",_xlfn.SUMIFS($AC$4:$AC$97,$AA$4:$AA$97,$BD7,$R$4:$R$97,$CN7)+_xlfn.SUMIFS($AD$4:$AD$97,$AF$4:$AF$97,$BD7,$Q$4:$Q$97,$CN7))</f>
        <v>4</v>
      </c>
      <c r="CP7" s="154" cm="1">
        <f t="array" ref="CP7">IF($CN7="-","-",_xlfn.SUMIFS($AD$4:$AD$97,$AA$4:$AA$97,$BD7,$R$4:$R$97,$CN7)+_xlfn.SUMIFS($AC$4:$AC$97,$AF$4:$AF$97,$BD7,$Q$4:$Q$97,$CN7))</f>
        <v>5</v>
      </c>
      <c r="CQ7" s="154" cm="1">
        <f t="array" ref="CQ7">IF($CN7="-","-",CO7-CP7)</f>
        <v>-1</v>
      </c>
      <c r="CR7" s="154">
        <v>1</v>
      </c>
      <c r="CS7" t="s" s="125">
        <v>135</v>
      </c>
      <c r="CT7" s="154" cm="1">
        <f t="array" ref="CT7">IF($CS7="-","-",_xlfn.SUMIFS($AC$4:$AC$97,$AA$4:$AA$97,$BD7,$U$4:$U$97,$CS7)+_xlfn.SUMIFS($AD$4:$AD$97,$AF$4:$AF$97,$BD7,$T$4:$T$97,$CS7))</f>
        <v>4</v>
      </c>
      <c r="CU7" s="154">
        <v>1</v>
      </c>
      <c r="CV7" t="s" s="125">
        <v>135</v>
      </c>
      <c r="CW7" s="154" cm="1">
        <f t="array" ref="CW7">IF(CV7="-","-",BL7)</f>
        <v>-1</v>
      </c>
      <c r="CX7" s="154">
        <v>1</v>
      </c>
      <c r="CY7" t="s" s="125">
        <v>135</v>
      </c>
      <c r="CZ7" s="154" cm="1">
        <f t="array" ref="CZ7">IF(CY7="-","-",BJ7)</f>
        <v>4</v>
      </c>
      <c r="DA7" s="154">
        <v>1</v>
      </c>
      <c r="DB7" t="s" s="125">
        <v>135</v>
      </c>
      <c r="DC7" s="154">
        <v>2</v>
      </c>
      <c r="DD7" s="154">
        <v>2</v>
      </c>
      <c r="DE7" s="140"/>
      <c r="DF7" s="154" cm="1">
        <f t="array" ref="DF7">IF(OR(INDEX($AW$6:$AW$97,MATCH($BD7,$AV$6:$AV$97,0))="",DB7="-"),DD7,INDEX($AW$6:$AW$97,MATCH($BD7,$AV$6:$AV$97,0))+DD7/1000)</f>
        <v>2</v>
      </c>
      <c r="DG7" s="154">
        <v>1</v>
      </c>
      <c r="DH7" s="154">
        <v>2</v>
      </c>
      <c r="DI7" s="140"/>
      <c r="DJ7" s="154" cm="1">
        <f t="array" ref="DJ7">INDEX($DA$6:$DA$53,MATCH($DQ7,$BD$6:$BD$53,0))</f>
        <v>1</v>
      </c>
      <c r="DK7" s="154" cm="1">
        <f t="array" ref="DK7">SUMIF($BC$6:$BC$53,BC7,$BF$6:$BF$53)</f>
        <v>12</v>
      </c>
      <c r="DL7" s="154" cm="1">
        <f t="array" ref="DL7">IF(OR(DK7=12,$AJ$99=144),_xlfn.COUNTIFS($DJ$6:$DJ$53,DJ7,$BC$6:$BC$53,BC7),1)</f>
        <v>4</v>
      </c>
      <c r="DM7" t="str" s="140" cm="1">
        <f t="array" ref="DM7">DJ7&amp;"."&amp;DL7</f>
        <v>1.4</v>
      </c>
      <c r="DN7" s="154">
        <v>1</v>
      </c>
      <c r="DO7" s="140"/>
      <c r="DP7" t="s" s="125">
        <v>144</v>
      </c>
      <c r="DQ7" t="str" s="140" cm="1">
        <f t="array" ref="DQ7">INDEX($BD$6:$BD$53,MATCH(DP7,$BM$6:$BM$53,0))</f>
        <v>Sudáfrica</v>
      </c>
      <c r="DR7" s="87"/>
      <c r="DS7" s="87"/>
      <c r="DT7" s="88"/>
      <c r="DU7" s="12"/>
    </row>
    <row r="8" ht="16" customHeight="1">
      <c r="A8" t="s" s="89">
        <v>146</v>
      </c>
      <c r="B8" s="78"/>
      <c r="C8" s="78"/>
      <c r="D8" t="str" s="78" cm="1">
        <f t="array" ref="D8">IF(OR(AC8="",AD8=""),"Pendiente",IF(AC8&gt;AD8,"Local",IF(AC8&lt;AD8,"Visitante","Empate")))</f>
        <v>Visitante</v>
      </c>
      <c r="E8" t="str" s="78" cm="1">
        <f t="array" ref="E8">IF(D8="Pendiente","-",INDEX($BT$6:$BT$53,MATCH($AA8,$BD$6:$BD$53,0)))</f>
        <v>P.1 (4)</v>
      </c>
      <c r="F8" t="str" s="78" cm="1">
        <f t="array" ref="F8">IF(D8="Pendiente","-",INDEX($BT$6:$BT$53,MATCH($AF8,$BD$6:$BD$53,0)))</f>
        <v>P.1 (4)</v>
      </c>
      <c r="G8" s="78"/>
      <c r="H8" t="str" s="78" cm="1">
        <f t="array" ref="H8">IF(D8="Pendiente","-",INDEX($BZ$6:$BZ$53,MATCH($AA8,$BD$6:$BD$53,0)))</f>
        <v>P.1 (4)</v>
      </c>
      <c r="I8" t="str" s="78" cm="1">
        <f t="array" ref="I8">IF(D8="Pendiente","-",INDEX($BZ$6:$BZ$53,MATCH($AF8,$BD$6:$BD$53,0)))</f>
        <v>P.1 (4)</v>
      </c>
      <c r="J8" s="78"/>
      <c r="K8" t="str" s="78" cm="1">
        <f t="array" ref="K8">IF(D8="Pendiente","-",INDEX($CE$6:$CE$53,MATCH($AA8,$BD$6:$BD$53,0)))</f>
        <v>P.1 (4)</v>
      </c>
      <c r="L8" t="str" s="78" cm="1">
        <f t="array" ref="L8">IF(D8="Pendiente","-",INDEX($CE$6:$CE$53,MATCH($AF8,$BD$6:$BD$53,0)))</f>
        <v>P.1 (4)</v>
      </c>
      <c r="M8" s="78"/>
      <c r="N8" t="str" s="78" cm="1">
        <f t="array" ref="N8">IF(D8="Pendiente","-",INDEX($CH$6:$CH$53,MATCH($AA8,$BD$6:$BD$53,0)))</f>
        <v>P.1 (4)</v>
      </c>
      <c r="O8" t="str" s="78" cm="1">
        <f t="array" ref="O8">IF(D8="Pendiente","-",INDEX($CH$6:$CH$53,MATCH($AF8,$BD$6:$BD$53,0)))</f>
        <v>P.1 (4)</v>
      </c>
      <c r="P8" s="78"/>
      <c r="Q8" t="str" s="78" cm="1">
        <f t="array" ref="Q8">IF(D8="Pendiente","-",INDEX($CN$6:$CN$53,MATCH($AA8,$BD$6:$BD$53,0)))</f>
        <v>P.1 (4)</v>
      </c>
      <c r="R8" t="str" s="78" cm="1">
        <f t="array" ref="R8">IF(D8="Pendiente","-",INDEX($CN$6:$CN$53,MATCH($AF8,$BD$6:$BD$53,0)))</f>
        <v>P.1 (4)</v>
      </c>
      <c r="S8" s="78"/>
      <c r="T8" t="str" s="78" cm="1">
        <f t="array" ref="T8">IF(D8="Pendiente","-",INDEX($CS$6:$CS$53,MATCH($AA8,$BD$6:$BD$53,0)))</f>
        <v>P.1 (4)</v>
      </c>
      <c r="U8" t="str" s="78" cm="1">
        <f t="array" ref="U8">IF(D8="Pendiente","-",INDEX($CS$6:$CS$53,MATCH($AF8,$BD$6:$BD$53,0)))</f>
        <v>P.1 (4)</v>
      </c>
      <c r="V8" s="90"/>
      <c r="W8" s="141"/>
      <c r="X8" s="107">
        <v>46197.875</v>
      </c>
      <c r="Y8" s="108">
        <v>46197.875</v>
      </c>
      <c r="Z8" t="s" s="109">
        <v>147</v>
      </c>
      <c r="AA8" t="str" s="110" cm="1">
        <f t="array" ref="AA8">A8</f>
        <v>República Checa</v>
      </c>
      <c r="AB8" s="111"/>
      <c r="AC8" s="128">
        <v>0</v>
      </c>
      <c r="AD8" s="128">
        <v>1</v>
      </c>
      <c r="AE8" s="113"/>
      <c r="AF8" t="str" s="114" cm="1">
        <f t="array" ref="AF8">A5</f>
        <v>México</v>
      </c>
      <c r="AG8" s="115" cm="1">
        <f t="array" ref="AG8">IF(NOT(OR(ISBLANK(AC8),ISBLANK(AD8))),1,0)</f>
        <v>1</v>
      </c>
      <c r="AH8" s="116">
        <v>53</v>
      </c>
      <c r="AI8" t="str" s="117" cm="1">
        <f t="array" ref="AI8">AJ8&amp;$B$4</f>
        <v>3A</v>
      </c>
      <c r="AJ8" s="155">
        <v>3</v>
      </c>
      <c r="AK8" s="156"/>
      <c r="AL8" t="str" s="157" cm="1">
        <f t="array" ref="AL8">_xlfn.IFERROR(INDEX($BD$6:$BD$53,MATCH(AI8,$BN$6:$BN$53,0)),"")</f>
        <v>Corea del Sur</v>
      </c>
      <c r="AM8" s="158" cm="1">
        <f t="array" ref="AM8">INDEX($BE$6:$BN$53,MATCH($AL8,$BD$6:$BD$53,0),MATCH(AM$5,$BE$5:$BN$5,0))</f>
        <v>9</v>
      </c>
      <c r="AN8" s="159" cm="1">
        <f t="array" ref="AN8">INDEX($BE$6:$BN$53,MATCH($AL8,$BD$6:$BD$53,0),MATCH(AN$5,$BE$5:$BN$5,0))</f>
        <v>3</v>
      </c>
      <c r="AO8" s="159" cm="1">
        <f t="array" ref="AO8">INDEX($BE$6:$BN$53,MATCH($AL8,$BD$6:$BD$53,0),MATCH(AO$5,$BE$5:$BN$5,0))</f>
        <v>3</v>
      </c>
      <c r="AP8" s="159" cm="1">
        <f t="array" ref="AP8">INDEX($BE$6:$BN$53,MATCH($AL8,$BD$6:$BD$53,0),MATCH(AP$5,$BE$5:$BN$5,0))</f>
        <v>0</v>
      </c>
      <c r="AQ8" s="159" cm="1">
        <f t="array" ref="AQ8">INDEX($BE$6:$BN$53,MATCH($AL8,$BD$6:$BD$53,0),MATCH(AQ$5,$BE$5:$BN$5,0))</f>
        <v>0</v>
      </c>
      <c r="AR8" s="159" cm="1">
        <f t="array" ref="AR8">INDEX($BE$6:$BN$53,MATCH($AL8,$BD$6:$BD$53,0),MATCH(AR$5,$BE$5:$BN$5,0))</f>
        <v>5</v>
      </c>
      <c r="AS8" s="159" cm="1">
        <f t="array" ref="AS8">INDEX($BE$6:$BN$53,MATCH($AL8,$BD$6:$BD$53,0),MATCH(AS$5,$BE$5:$BN$5,0))</f>
        <v>1</v>
      </c>
      <c r="AT8" s="160" cm="1">
        <f t="array" ref="AT8">INDEX($BE$6:$BN$53,MATCH($AL8,$BD$6:$BD$53,0),MATCH(AT$5,$BE$5:$BN$5,0))</f>
        <v>4</v>
      </c>
      <c r="AU8" s="148" cm="1">
        <f t="array" ref="AU8">INDEX($DL$6:$DL$53,MATCH(AI8,$DP$6:$DP$53,0))</f>
        <v>4</v>
      </c>
      <c r="AV8" t="str" s="149" cm="1">
        <f t="array" ref="AV8">INDEX($BD$6:$BD$53,MATCH(AI8,$BM$6:$BM$53,0))</f>
        <v>Corea del Sur</v>
      </c>
      <c r="AW8" s="150"/>
      <c r="AX8" s="151"/>
      <c r="AY8" t="str" s="152" cm="1">
        <f t="array" ref="AY8">A7</f>
        <v>Corea del Sur</v>
      </c>
      <c r="AZ8" s="153"/>
      <c r="BA8" s="139"/>
      <c r="BB8" s="87"/>
      <c r="BC8" t="s" s="125">
        <v>46</v>
      </c>
      <c r="BD8" t="s" s="125">
        <v>139</v>
      </c>
      <c r="BE8" s="154" cm="1">
        <f t="array" ref="BE8">BG8*3+BH8+IF($AZ$3="No",0,INDEX($AZ$6:$AZ$97,MATCH(BD8,$AY$6:$AY$97,0)))</f>
        <v>9</v>
      </c>
      <c r="BF8" s="154" cm="1">
        <f t="array" ref="BF8">BG8+BH8+BI8</f>
        <v>3</v>
      </c>
      <c r="BG8" s="154" cm="1">
        <f t="array" ref="BG8">_xlfn.COUNTIFS($AA$4:$AA$97,BD8,$D$4:$D$97,"Local")+_xlfn.COUNTIFS($AF$4:$AF$97,BD8,$D$4:$D$97,"Visitante")</f>
        <v>3</v>
      </c>
      <c r="BH8" s="154" cm="1">
        <f t="array" ref="BH8">_xlfn.COUNTIFS($AA$4:$AA$97,BD8,$D$4:$D$97,"Empate")+_xlfn.COUNTIFS($AF$4:$AF$97,BD8,$D$4:$D$97,"Empate")</f>
        <v>0</v>
      </c>
      <c r="BI8" s="154" cm="1">
        <f t="array" ref="BI8">_xlfn.COUNTIFS($AF$4:$AF$97,BD8,$D$4:$D$97,"Local")+_xlfn.COUNTIFS($AA$4:$AA$97,BD8,$D$4:$D$97,"Visitante")</f>
        <v>0</v>
      </c>
      <c r="BJ8" s="154" cm="1">
        <f t="array" ref="BJ8">_xlfn.SUMIFS($AC$4:$AC$97,$AA$4:$AA$97,BD8,$D$4:$D$97,"&lt;&gt;"&amp;"Pendiente",$AC$4:$AC$97,"&lt;&gt;"&amp;"",$AD$4:$AD$97,"&lt;&gt;"&amp;"")+_xlfn.SUMIFS($AD$4:$AD$97,$AF$4:$AF$97,BD8,$D$4:$D$97,"&lt;&gt;"&amp;"Pendiente",$AC$4:$AC$97,"&lt;&gt;"&amp;"",$AD$4:$AD$97,"&lt;&gt;"&amp;"")</f>
        <v>5</v>
      </c>
      <c r="BK8" s="154" cm="1">
        <f t="array" ref="BK8">_xlfn.SUMIFS($AC$4:$AC$97,$AF$4:$AF$97,BD8,$D$4:$D$97,"&lt;&gt;"&amp;"Pendiente",$AC$4:$AC$97,"&lt;&gt;"&amp;"",$AD$4:$AD$97,"&lt;&gt;"&amp;"")+_xlfn.SUMIFS($AD$4:$AD$97,$AA$4:$AA$97,BD8,$D$4:$D$97,"&lt;&gt;"&amp;"Pendiente",$AC$4:$AC$97,"&lt;&gt;"&amp;"",$AD$4:$AD$97,"&lt;&gt;"&amp;"")</f>
        <v>1</v>
      </c>
      <c r="BL8" s="154" cm="1">
        <f t="array" ref="BL8">BJ8-BK8</f>
        <v>4</v>
      </c>
      <c r="BM8" t="str" s="140" cm="1">
        <f t="array" ref="BM8">DD8&amp;BC8</f>
        <v>3A</v>
      </c>
      <c r="BN8" t="str" s="140" cm="1">
        <f t="array" ref="BN8">DH8&amp;BC8</f>
        <v>3A</v>
      </c>
      <c r="BO8" s="154" cm="1">
        <f t="array" ref="BO8">IF(AND($AJ$99=144,BF8&gt;=1),1,0)</f>
        <v>0</v>
      </c>
      <c r="BP8" s="154">
        <v>1</v>
      </c>
      <c r="BQ8" t="s" s="125">
        <v>135</v>
      </c>
      <c r="BR8" s="154" cm="1">
        <f t="array" ref="BR8">IF($BQ8="-","-",BE8)</f>
        <v>9</v>
      </c>
      <c r="BS8" s="154">
        <v>1</v>
      </c>
      <c r="BT8" t="s" s="125">
        <v>135</v>
      </c>
      <c r="BU8" s="154" cm="1">
        <f t="array" ref="BU8">IF($BT8="-","-",_xlfn.COUNTIFS($AA$4:$AA$97,$BD8,$D$4:$D$97,"Local",$F$4:$F$97,$BT8)+_xlfn.COUNTIFS($AF$4:$AF$97,$BD8,$D$4:$D$97,"Visitante",$E$4:$E$97,$BT8))</f>
        <v>3</v>
      </c>
      <c r="BV8" s="154" cm="1">
        <f t="array" ref="BV8">IF($BT8="-","-",_xlfn.COUNTIFS($AA$4:$AA$97,$BD8,$D$4:$D$97,"Empate",$F$4:$F$97,$BT8)+_xlfn.COUNTIFS($AF$4:$AF$97,$BD8,$D$4:$D$97,"Empate",$E$4:$E$97,$BT8))</f>
        <v>0</v>
      </c>
      <c r="BW8" s="154" cm="1">
        <f t="array" ref="BW8">IF($BT8="-","-",_xlfn.COUNTIFS($AA$4:$AA$97,$BD8,$D$4:$D$97,"Visitante",$F$4:$F$97,$BT8)+_xlfn.COUNTIFS($AF$4:$AF$97,$BD8,$D$4:$D$97,"Local",$E$4:$E$97,$BT8))</f>
        <v>0</v>
      </c>
      <c r="BX8" s="154" cm="1">
        <f t="array" ref="BX8">IF($BT8="-","-",BU8*3+BV8)</f>
        <v>9</v>
      </c>
      <c r="BY8" s="154">
        <v>1</v>
      </c>
      <c r="BZ8" t="s" s="125">
        <v>135</v>
      </c>
      <c r="CA8" s="154" cm="1">
        <f t="array" ref="CA8">IF($BZ8="-","-",_xlfn.SUMIFS($AC$4:$AC$97,$AA$4:$AA$97,$BD8,$I$4:$I$97,$BZ8)+_xlfn.SUMIFS($AD$4:$AD$97,$AF$4:$AF$97,$BD8,$H$4:$H$97,$BZ8))</f>
        <v>5</v>
      </c>
      <c r="CB8" s="154" cm="1">
        <f t="array" ref="CB8">IF($BZ8="-","-",_xlfn.SUMIFS($AD$4:$AD$97,$AA$4:$AA$97,$BD8,$I$4:$I$97,$BZ8)+_xlfn.SUMIFS($AC$4:$AC$97,$AF$4:$AF$97,$BD8,$H$4:$H$97,$BZ8))</f>
        <v>1</v>
      </c>
      <c r="CC8" s="154" cm="1">
        <f t="array" ref="CC8">IF($BZ8="-","-",CA8-CB8)</f>
        <v>4</v>
      </c>
      <c r="CD8" s="154">
        <v>1</v>
      </c>
      <c r="CE8" t="s" s="125">
        <v>135</v>
      </c>
      <c r="CF8" s="154" cm="1">
        <f t="array" ref="CF8">IF($CE8="-","-",_xlfn.SUMIFS($AC$4:$AC$97,$AA$4:$AA$97,$BD8,$L$4:$L$97,$CE8)+_xlfn.SUMIFS($AD$4:$AD$97,$AF$4:$AF$97,$BD8,$K$4:$K$97,$CE8))</f>
        <v>5</v>
      </c>
      <c r="CG8" s="154">
        <v>1</v>
      </c>
      <c r="CH8" t="s" s="125">
        <v>135</v>
      </c>
      <c r="CI8" s="154" cm="1">
        <f t="array" ref="CI8">IF($CH8="-","-",_xlfn.COUNTIFS($AA$4:$AA$97,$BD8,$D$4:$D$97,"Local",$O$4:$O$97,$CH8)+_xlfn.COUNTIFS($AF$4:$AF$97,$BD8,$D$4:$D$97,"Visitante",$N$4:$N$97,$CH8))</f>
        <v>3</v>
      </c>
      <c r="CJ8" s="154" cm="1">
        <f t="array" ref="CJ8">IF($CH8="-","-",_xlfn.COUNTIFS($AA$4:$AA$97,$BD8,$D$4:$D$97,"Empate",$O$4:$O$97,$CH8)+_xlfn.COUNTIFS($AF$4:$AF$97,$BD8,$D$4:$D$97,"Empate",$N$4:$N$97,$CH8))</f>
        <v>0</v>
      </c>
      <c r="CK8" s="154" cm="1">
        <f t="array" ref="CK8">IF($CH8="-","-",_xlfn.COUNTIFS($AA$4:$AA$97,$BD8,$D$4:$D$97,"Visitante",$O$4:$O$97,$CH8)+_xlfn.COUNTIFS($AF$4:$AF$97,$BD8,$D$4:$D$97,"Local",$N$4:$N$97,$CH8))</f>
        <v>0</v>
      </c>
      <c r="CL8" s="154" cm="1">
        <f t="array" ref="CL8">IF($CH8="-","-",CI8*3+CJ8)</f>
        <v>9</v>
      </c>
      <c r="CM8" s="154">
        <v>1</v>
      </c>
      <c r="CN8" t="s" s="125">
        <v>135</v>
      </c>
      <c r="CO8" s="154" cm="1">
        <f t="array" ref="CO8">IF($CN8="-","-",_xlfn.SUMIFS($AC$4:$AC$97,$AA$4:$AA$97,$BD8,$R$4:$R$97,$CN8)+_xlfn.SUMIFS($AD$4:$AD$97,$AF$4:$AF$97,$BD8,$Q$4:$Q$97,$CN8))</f>
        <v>5</v>
      </c>
      <c r="CP8" s="154" cm="1">
        <f t="array" ref="CP8">IF($CN8="-","-",_xlfn.SUMIFS($AD$4:$AD$97,$AA$4:$AA$97,$BD8,$R$4:$R$97,$CN8)+_xlfn.SUMIFS($AC$4:$AC$97,$AF$4:$AF$97,$BD8,$Q$4:$Q$97,$CN8))</f>
        <v>1</v>
      </c>
      <c r="CQ8" s="154" cm="1">
        <f t="array" ref="CQ8">IF($CN8="-","-",CO8-CP8)</f>
        <v>4</v>
      </c>
      <c r="CR8" s="154">
        <v>1</v>
      </c>
      <c r="CS8" t="s" s="125">
        <v>135</v>
      </c>
      <c r="CT8" s="154" cm="1">
        <f t="array" ref="CT8">IF($CS8="-","-",_xlfn.SUMIFS($AC$4:$AC$97,$AA$4:$AA$97,$BD8,$U$4:$U$97,$CS8)+_xlfn.SUMIFS($AD$4:$AD$97,$AF$4:$AF$97,$BD8,$T$4:$T$97,$CS8))</f>
        <v>5</v>
      </c>
      <c r="CU8" s="154">
        <v>1</v>
      </c>
      <c r="CV8" t="s" s="125">
        <v>135</v>
      </c>
      <c r="CW8" s="154" cm="1">
        <f t="array" ref="CW8">IF(CV8="-","-",BL8)</f>
        <v>4</v>
      </c>
      <c r="CX8" s="154">
        <v>1</v>
      </c>
      <c r="CY8" t="s" s="125">
        <v>135</v>
      </c>
      <c r="CZ8" s="154" cm="1">
        <f t="array" ref="CZ8">IF(CY8="-","-",BJ8)</f>
        <v>5</v>
      </c>
      <c r="DA8" s="154">
        <v>1</v>
      </c>
      <c r="DB8" t="s" s="125">
        <v>135</v>
      </c>
      <c r="DC8" s="154">
        <v>3</v>
      </c>
      <c r="DD8" s="154">
        <v>3</v>
      </c>
      <c r="DE8" s="140"/>
      <c r="DF8" s="154" cm="1">
        <f t="array" ref="DF8">IF(OR(INDEX($AW$6:$AW$97,MATCH($BD8,$AV$6:$AV$97,0))="",DB8="-"),DD8,INDEX($AW$6:$AW$97,MATCH($BD8,$AV$6:$AV$97,0))+DD8/1000)</f>
        <v>3</v>
      </c>
      <c r="DG8" s="154">
        <v>2</v>
      </c>
      <c r="DH8" s="154">
        <v>3</v>
      </c>
      <c r="DI8" s="140"/>
      <c r="DJ8" s="154" cm="1">
        <f t="array" ref="DJ8">INDEX($DA$6:$DA$53,MATCH($DQ8,$BD$6:$BD$53,0))</f>
        <v>1</v>
      </c>
      <c r="DK8" s="154" cm="1">
        <f t="array" ref="DK8">SUMIF($BC$6:$BC$53,BC8,$BF$6:$BF$53)</f>
        <v>12</v>
      </c>
      <c r="DL8" s="154" cm="1">
        <f t="array" ref="DL8">IF(OR(DK8=12,$AJ$99=144),_xlfn.COUNTIFS($DJ$6:$DJ$53,DJ8,$BC$6:$BC$53,BC8),1)</f>
        <v>4</v>
      </c>
      <c r="DM8" t="str" s="140" cm="1">
        <f t="array" ref="DM8">DJ8&amp;"."&amp;DL8</f>
        <v>1.4</v>
      </c>
      <c r="DN8" s="154">
        <v>1</v>
      </c>
      <c r="DO8" s="140"/>
      <c r="DP8" t="s" s="125">
        <v>151</v>
      </c>
      <c r="DQ8" t="str" s="140" cm="1">
        <f t="array" ref="DQ8">INDEX($BD$6:$BD$53,MATCH(DP8,$BM$6:$BM$53,0))</f>
        <v>Corea del Sur</v>
      </c>
      <c r="DR8" s="87"/>
      <c r="DS8" s="87"/>
      <c r="DT8" s="88"/>
      <c r="DU8" s="12"/>
    </row>
    <row r="9" ht="16" customHeight="1">
      <c r="A9" s="78"/>
      <c r="B9" s="78"/>
      <c r="C9" s="78"/>
      <c r="D9" t="str" s="78" cm="1">
        <f t="array" ref="D9">IF(OR(AC9="",AD9=""),"Pendiente",IF(AC9&gt;AD9,"Local",IF(AC9&lt;AD9,"Visitante","Empate")))</f>
        <v>Visitante</v>
      </c>
      <c r="E9" t="str" s="78" cm="1">
        <f t="array" ref="E9">IF(D9="Pendiente","-",INDEX($BT$6:$BT$53,MATCH($AA9,$BD$6:$BD$53,0)))</f>
        <v>P.1 (4)</v>
      </c>
      <c r="F9" t="str" s="78" cm="1">
        <f t="array" ref="F9">IF(D9="Pendiente","-",INDEX($BT$6:$BT$53,MATCH($AF9,$BD$6:$BD$53,0)))</f>
        <v>P.1 (4)</v>
      </c>
      <c r="G9" s="78"/>
      <c r="H9" t="str" s="78" cm="1">
        <f t="array" ref="H9">IF(D9="Pendiente","-",INDEX($BZ$6:$BZ$53,MATCH($AA9,$BD$6:$BD$53,0)))</f>
        <v>P.1 (4)</v>
      </c>
      <c r="I9" t="str" s="78" cm="1">
        <f t="array" ref="I9">IF(D9="Pendiente","-",INDEX($BZ$6:$BZ$53,MATCH($AF9,$BD$6:$BD$53,0)))</f>
        <v>P.1 (4)</v>
      </c>
      <c r="J9" s="78"/>
      <c r="K9" t="str" s="78" cm="1">
        <f t="array" ref="K9">IF(D9="Pendiente","-",INDEX($CE$6:$CE$53,MATCH($AA9,$BD$6:$BD$53,0)))</f>
        <v>P.1 (4)</v>
      </c>
      <c r="L9" t="str" s="78" cm="1">
        <f t="array" ref="L9">IF(D9="Pendiente","-",INDEX($CE$6:$CE$53,MATCH($AF9,$BD$6:$BD$53,0)))</f>
        <v>P.1 (4)</v>
      </c>
      <c r="M9" s="78"/>
      <c r="N9" t="str" s="78" cm="1">
        <f t="array" ref="N9">IF(D9="Pendiente","-",INDEX($CH$6:$CH$53,MATCH($AA9,$BD$6:$BD$53,0)))</f>
        <v>P.1 (4)</v>
      </c>
      <c r="O9" t="str" s="78" cm="1">
        <f t="array" ref="O9">IF(D9="Pendiente","-",INDEX($CH$6:$CH$53,MATCH($AF9,$BD$6:$BD$53,0)))</f>
        <v>P.1 (4)</v>
      </c>
      <c r="P9" s="78"/>
      <c r="Q9" t="str" s="78" cm="1">
        <f t="array" ref="Q9">IF(D9="Pendiente","-",INDEX($CN$6:$CN$53,MATCH($AA9,$BD$6:$BD$53,0)))</f>
        <v>P.1 (4)</v>
      </c>
      <c r="R9" t="str" s="78" cm="1">
        <f t="array" ref="R9">IF(D9="Pendiente","-",INDEX($CN$6:$CN$53,MATCH($AF9,$BD$6:$BD$53,0)))</f>
        <v>P.1 (4)</v>
      </c>
      <c r="S9" s="78"/>
      <c r="T9" t="str" s="78" cm="1">
        <f t="array" ref="T9">IF(D9="Pendiente","-",INDEX($CS$6:$CS$53,MATCH($AA9,$BD$6:$BD$53,0)))</f>
        <v>P.1 (4)</v>
      </c>
      <c r="U9" t="str" s="78" cm="1">
        <f t="array" ref="U9">IF(D9="Pendiente","-",INDEX($CS$6:$CS$53,MATCH($AF9,$BD$6:$BD$53,0)))</f>
        <v>P.1 (4)</v>
      </c>
      <c r="V9" s="90"/>
      <c r="W9" s="163"/>
      <c r="X9" s="164">
        <v>46197.875</v>
      </c>
      <c r="Y9" s="165">
        <v>46197.875</v>
      </c>
      <c r="Z9" t="str" s="166" cm="1">
        <f t="array" ref="Z9">$Z$8</f>
        <v>J3</v>
      </c>
      <c r="AA9" t="str" s="167" cm="1">
        <f t="array" ref="AA9">A6</f>
        <v>Sudáfrica</v>
      </c>
      <c r="AB9" s="168"/>
      <c r="AC9" s="169">
        <v>1</v>
      </c>
      <c r="AD9" s="169">
        <v>2</v>
      </c>
      <c r="AE9" s="170"/>
      <c r="AF9" t="str" s="171" cm="1">
        <f t="array" ref="AF9">A7</f>
        <v>Corea del Sur</v>
      </c>
      <c r="AG9" s="115" cm="1">
        <f t="array" ref="AG9">IF(NOT(OR(ISBLANK(AC9),ISBLANK(AD9))),1,0)</f>
        <v>1</v>
      </c>
      <c r="AH9" s="116">
        <v>54</v>
      </c>
      <c r="AI9" t="str" s="117" cm="1">
        <f t="array" ref="AI9">AJ9&amp;$B$4</f>
        <v>4A</v>
      </c>
      <c r="AJ9" s="172">
        <v>4</v>
      </c>
      <c r="AK9" s="173"/>
      <c r="AL9" t="str" s="174" cm="1">
        <f t="array" ref="AL9">_xlfn.IFERROR(INDEX($BD$6:$BD$53,MATCH(AI9,$BN$6:$BN$53,0)),"")</f>
        <v>República Checa</v>
      </c>
      <c r="AM9" s="175" cm="1">
        <f t="array" ref="AM9">INDEX($BE$6:$BN$53,MATCH($AL9,$BD$6:$BD$53,0),MATCH(AM$5,$BE$5:$BN$5,0))</f>
        <v>0</v>
      </c>
      <c r="AN9" s="176" cm="1">
        <f t="array" ref="AN9">INDEX($BE$6:$BN$53,MATCH($AL9,$BD$6:$BD$53,0),MATCH(AN$5,$BE$5:$BN$5,0))</f>
        <v>3</v>
      </c>
      <c r="AO9" s="176" cm="1">
        <f t="array" ref="AO9">INDEX($BE$6:$BN$53,MATCH($AL9,$BD$6:$BD$53,0),MATCH(AO$5,$BE$5:$BN$5,0))</f>
        <v>0</v>
      </c>
      <c r="AP9" s="176" cm="1">
        <f t="array" ref="AP9">INDEX($BE$6:$BN$53,MATCH($AL9,$BD$6:$BD$53,0),MATCH(AP$5,$BE$5:$BN$5,0))</f>
        <v>0</v>
      </c>
      <c r="AQ9" s="176" cm="1">
        <f t="array" ref="AQ9">INDEX($BE$6:$BN$53,MATCH($AL9,$BD$6:$BD$53,0),MATCH(AQ$5,$BE$5:$BN$5,0))</f>
        <v>3</v>
      </c>
      <c r="AR9" s="176" cm="1">
        <f t="array" ref="AR9">INDEX($BE$6:$BN$53,MATCH($AL9,$BD$6:$BD$53,0),MATCH(AR$5,$BE$5:$BN$5,0))</f>
        <v>1</v>
      </c>
      <c r="AS9" s="176" cm="1">
        <f t="array" ref="AS9">INDEX($BE$6:$BN$53,MATCH($AL9,$BD$6:$BD$53,0),MATCH(AS$5,$BE$5:$BN$5,0))</f>
        <v>4</v>
      </c>
      <c r="AT9" s="177" cm="1">
        <f t="array" ref="AT9">INDEX($BE$6:$BN$53,MATCH($AL9,$BD$6:$BD$53,0),MATCH(AT$5,$BE$5:$BN$5,0))</f>
        <v>-3</v>
      </c>
      <c r="AU9" s="148" cm="1">
        <f t="array" ref="AU9">INDEX($DL$6:$DL$53,MATCH(AI9,$DP$6:$DP$53,0))</f>
        <v>4</v>
      </c>
      <c r="AV9" t="str" s="149" cm="1">
        <f t="array" ref="AV9">INDEX($BD$6:$BD$53,MATCH(AI9,$BM$6:$BM$53,0))</f>
        <v>República Checa</v>
      </c>
      <c r="AW9" s="150"/>
      <c r="AX9" s="151"/>
      <c r="AY9" t="str" s="178" cm="1">
        <f t="array" ref="AY9">A8</f>
        <v>República Checa</v>
      </c>
      <c r="AZ9" s="179"/>
      <c r="BA9" s="139"/>
      <c r="BB9" s="87"/>
      <c r="BC9" t="s" s="125">
        <v>46</v>
      </c>
      <c r="BD9" t="s" s="125">
        <v>146</v>
      </c>
      <c r="BE9" s="154" cm="1">
        <f t="array" ref="BE9">BG9*3+BH9+IF($AZ$3="No",0,INDEX($AZ$6:$AZ$97,MATCH(BD9,$AY$6:$AY$97,0)))</f>
        <v>0</v>
      </c>
      <c r="BF9" s="154" cm="1">
        <f t="array" ref="BF9">BG9+BH9+BI9</f>
        <v>3</v>
      </c>
      <c r="BG9" s="154" cm="1">
        <f t="array" ref="BG9">_xlfn.COUNTIFS($AA$4:$AA$97,BD9,$D$4:$D$97,"Local")+_xlfn.COUNTIFS($AF$4:$AF$97,BD9,$D$4:$D$97,"Visitante")</f>
        <v>0</v>
      </c>
      <c r="BH9" s="154" cm="1">
        <f t="array" ref="BH9">_xlfn.COUNTIFS($AA$4:$AA$97,BD9,$D$4:$D$97,"Empate")+_xlfn.COUNTIFS($AF$4:$AF$97,BD9,$D$4:$D$97,"Empate")</f>
        <v>0</v>
      </c>
      <c r="BI9" s="154" cm="1">
        <f t="array" ref="BI9">_xlfn.COUNTIFS($AF$4:$AF$97,BD9,$D$4:$D$97,"Local")+_xlfn.COUNTIFS($AA$4:$AA$97,BD9,$D$4:$D$97,"Visitante")</f>
        <v>3</v>
      </c>
      <c r="BJ9" s="154" cm="1">
        <f t="array" ref="BJ9">_xlfn.SUMIFS($AC$4:$AC$97,$AA$4:$AA$97,BD9,$D$4:$D$97,"&lt;&gt;"&amp;"Pendiente",$AC$4:$AC$97,"&lt;&gt;"&amp;"",$AD$4:$AD$97,"&lt;&gt;"&amp;"")+_xlfn.SUMIFS($AD$4:$AD$97,$AF$4:$AF$97,BD9,$D$4:$D$97,"&lt;&gt;"&amp;"Pendiente",$AC$4:$AC$97,"&lt;&gt;"&amp;"",$AD$4:$AD$97,"&lt;&gt;"&amp;"")</f>
        <v>1</v>
      </c>
      <c r="BK9" s="154" cm="1">
        <f t="array" ref="BK9">_xlfn.SUMIFS($AC$4:$AC$97,$AF$4:$AF$97,BD9,$D$4:$D$97,"&lt;&gt;"&amp;"Pendiente",$AC$4:$AC$97,"&lt;&gt;"&amp;"",$AD$4:$AD$97,"&lt;&gt;"&amp;"")+_xlfn.SUMIFS($AD$4:$AD$97,$AA$4:$AA$97,BD9,$D$4:$D$97,"&lt;&gt;"&amp;"Pendiente",$AC$4:$AC$97,"&lt;&gt;"&amp;"",$AD$4:$AD$97,"&lt;&gt;"&amp;"")</f>
        <v>4</v>
      </c>
      <c r="BL9" s="154" cm="1">
        <f t="array" ref="BL9">BJ9-BK9</f>
        <v>-3</v>
      </c>
      <c r="BM9" t="str" s="140" cm="1">
        <f t="array" ref="BM9">DD9&amp;BC9</f>
        <v>4A</v>
      </c>
      <c r="BN9" t="str" s="140" cm="1">
        <f t="array" ref="BN9">DH9&amp;BC9</f>
        <v>4A</v>
      </c>
      <c r="BO9" s="154" cm="1">
        <f t="array" ref="BO9">IF(AND($AJ$99=144,BF9&gt;=1),1,0)</f>
        <v>0</v>
      </c>
      <c r="BP9" s="154">
        <v>1</v>
      </c>
      <c r="BQ9" t="s" s="125">
        <v>135</v>
      </c>
      <c r="BR9" s="154" cm="1">
        <f t="array" ref="BR9">IF($BQ9="-","-",BE9)</f>
        <v>0</v>
      </c>
      <c r="BS9" s="154">
        <v>1</v>
      </c>
      <c r="BT9" t="s" s="125">
        <v>135</v>
      </c>
      <c r="BU9" s="154" cm="1">
        <f t="array" ref="BU9">IF($BT9="-","-",_xlfn.COUNTIFS($AA$4:$AA$97,$BD9,$D$4:$D$97,"Local",$F$4:$F$97,$BT9)+_xlfn.COUNTIFS($AF$4:$AF$97,$BD9,$D$4:$D$97,"Visitante",$E$4:$E$97,$BT9))</f>
        <v>0</v>
      </c>
      <c r="BV9" s="154" cm="1">
        <f t="array" ref="BV9">IF($BT9="-","-",_xlfn.COUNTIFS($AA$4:$AA$97,$BD9,$D$4:$D$97,"Empate",$F$4:$F$97,$BT9)+_xlfn.COUNTIFS($AF$4:$AF$97,$BD9,$D$4:$D$97,"Empate",$E$4:$E$97,$BT9))</f>
        <v>0</v>
      </c>
      <c r="BW9" s="154" cm="1">
        <f t="array" ref="BW9">IF($BT9="-","-",_xlfn.COUNTIFS($AA$4:$AA$97,$BD9,$D$4:$D$97,"Visitante",$F$4:$F$97,$BT9)+_xlfn.COUNTIFS($AF$4:$AF$97,$BD9,$D$4:$D$97,"Local",$E$4:$E$97,$BT9))</f>
        <v>3</v>
      </c>
      <c r="BX9" s="154" cm="1">
        <f t="array" ref="BX9">IF($BT9="-","-",BU9*3+BV9)</f>
        <v>0</v>
      </c>
      <c r="BY9" s="154">
        <v>1</v>
      </c>
      <c r="BZ9" t="s" s="125">
        <v>135</v>
      </c>
      <c r="CA9" s="154" cm="1">
        <f t="array" ref="CA9">IF($BZ9="-","-",_xlfn.SUMIFS($AC$4:$AC$97,$AA$4:$AA$97,$BD9,$I$4:$I$97,$BZ9)+_xlfn.SUMIFS($AD$4:$AD$97,$AF$4:$AF$97,$BD9,$H$4:$H$97,$BZ9))</f>
        <v>1</v>
      </c>
      <c r="CB9" s="154" cm="1">
        <f t="array" ref="CB9">IF($BZ9="-","-",_xlfn.SUMIFS($AD$4:$AD$97,$AA$4:$AA$97,$BD9,$I$4:$I$97,$BZ9)+_xlfn.SUMIFS($AC$4:$AC$97,$AF$4:$AF$97,$BD9,$H$4:$H$97,$BZ9))</f>
        <v>4</v>
      </c>
      <c r="CC9" s="154" cm="1">
        <f t="array" ref="CC9">IF($BZ9="-","-",CA9-CB9)</f>
        <v>-3</v>
      </c>
      <c r="CD9" s="154">
        <v>1</v>
      </c>
      <c r="CE9" t="s" s="125">
        <v>135</v>
      </c>
      <c r="CF9" s="154" cm="1">
        <f t="array" ref="CF9">IF($CE9="-","-",_xlfn.SUMIFS($AC$4:$AC$97,$AA$4:$AA$97,$BD9,$L$4:$L$97,$CE9)+_xlfn.SUMIFS($AD$4:$AD$97,$AF$4:$AF$97,$BD9,$K$4:$K$97,$CE9))</f>
        <v>1</v>
      </c>
      <c r="CG9" s="154">
        <v>1</v>
      </c>
      <c r="CH9" t="s" s="125">
        <v>135</v>
      </c>
      <c r="CI9" s="154" cm="1">
        <f t="array" ref="CI9">IF($CH9="-","-",_xlfn.COUNTIFS($AA$4:$AA$97,$BD9,$D$4:$D$97,"Local",$O$4:$O$97,$CH9)+_xlfn.COUNTIFS($AF$4:$AF$97,$BD9,$D$4:$D$97,"Visitante",$N$4:$N$97,$CH9))</f>
        <v>0</v>
      </c>
      <c r="CJ9" s="154" cm="1">
        <f t="array" ref="CJ9">IF($CH9="-","-",_xlfn.COUNTIFS($AA$4:$AA$97,$BD9,$D$4:$D$97,"Empate",$O$4:$O$97,$CH9)+_xlfn.COUNTIFS($AF$4:$AF$97,$BD9,$D$4:$D$97,"Empate",$N$4:$N$97,$CH9))</f>
        <v>0</v>
      </c>
      <c r="CK9" s="154" cm="1">
        <f t="array" ref="CK9">IF($CH9="-","-",_xlfn.COUNTIFS($AA$4:$AA$97,$BD9,$D$4:$D$97,"Visitante",$O$4:$O$97,$CH9)+_xlfn.COUNTIFS($AF$4:$AF$97,$BD9,$D$4:$D$97,"Local",$N$4:$N$97,$CH9))</f>
        <v>3</v>
      </c>
      <c r="CL9" s="154" cm="1">
        <f t="array" ref="CL9">IF($CH9="-","-",CI9*3+CJ9)</f>
        <v>0</v>
      </c>
      <c r="CM9" s="154">
        <v>1</v>
      </c>
      <c r="CN9" t="s" s="125">
        <v>135</v>
      </c>
      <c r="CO9" s="154" cm="1">
        <f t="array" ref="CO9">IF($CN9="-","-",_xlfn.SUMIFS($AC$4:$AC$97,$AA$4:$AA$97,$BD9,$R$4:$R$97,$CN9)+_xlfn.SUMIFS($AD$4:$AD$97,$AF$4:$AF$97,$BD9,$Q$4:$Q$97,$CN9))</f>
        <v>1</v>
      </c>
      <c r="CP9" s="154" cm="1">
        <f t="array" ref="CP9">IF($CN9="-","-",_xlfn.SUMIFS($AD$4:$AD$97,$AA$4:$AA$97,$BD9,$R$4:$R$97,$CN9)+_xlfn.SUMIFS($AC$4:$AC$97,$AF$4:$AF$97,$BD9,$Q$4:$Q$97,$CN9))</f>
        <v>4</v>
      </c>
      <c r="CQ9" s="154" cm="1">
        <f t="array" ref="CQ9">IF($CN9="-","-",CO9-CP9)</f>
        <v>-3</v>
      </c>
      <c r="CR9" s="154">
        <v>1</v>
      </c>
      <c r="CS9" t="s" s="125">
        <v>135</v>
      </c>
      <c r="CT9" s="154" cm="1">
        <f t="array" ref="CT9">IF($CS9="-","-",_xlfn.SUMIFS($AC$4:$AC$97,$AA$4:$AA$97,$BD9,$U$4:$U$97,$CS9)+_xlfn.SUMIFS($AD$4:$AD$97,$AF$4:$AF$97,$BD9,$T$4:$T$97,$CS9))</f>
        <v>1</v>
      </c>
      <c r="CU9" s="154">
        <v>1</v>
      </c>
      <c r="CV9" t="s" s="125">
        <v>135</v>
      </c>
      <c r="CW9" s="154" cm="1">
        <f t="array" ref="CW9">IF(CV9="-","-",BL9)</f>
        <v>-3</v>
      </c>
      <c r="CX9" s="154">
        <v>1</v>
      </c>
      <c r="CY9" t="s" s="125">
        <v>135</v>
      </c>
      <c r="CZ9" s="154" cm="1">
        <f t="array" ref="CZ9">IF(CY9="-","-",BJ9)</f>
        <v>1</v>
      </c>
      <c r="DA9" s="154">
        <v>1</v>
      </c>
      <c r="DB9" t="s" s="125">
        <v>135</v>
      </c>
      <c r="DC9" s="154">
        <v>4</v>
      </c>
      <c r="DD9" s="154">
        <v>4</v>
      </c>
      <c r="DE9" s="140"/>
      <c r="DF9" s="154" cm="1">
        <f t="array" ref="DF9">IF(OR(INDEX($AW$6:$AW$97,MATCH($BD9,$AV$6:$AV$97,0))="",DB9="-"),DD9,INDEX($AW$6:$AW$97,MATCH($BD9,$AV$6:$AV$97,0))+DD9/1000)</f>
        <v>4</v>
      </c>
      <c r="DG9" s="154">
        <v>3</v>
      </c>
      <c r="DH9" s="154">
        <v>4</v>
      </c>
      <c r="DI9" s="140"/>
      <c r="DJ9" s="154" cm="1">
        <f t="array" ref="DJ9">INDEX($DA$6:$DA$53,MATCH($DQ9,$BD$6:$BD$53,0))</f>
        <v>1</v>
      </c>
      <c r="DK9" s="154" cm="1">
        <f t="array" ref="DK9">SUMIF($BC$6:$BC$53,BC9,$BF$6:$BF$53)</f>
        <v>12</v>
      </c>
      <c r="DL9" s="154" cm="1">
        <f t="array" ref="DL9">IF(OR(DK9=12,$AJ$99=144),_xlfn.COUNTIFS($DJ$6:$DJ$53,DJ9,$BC$6:$BC$53,BC9),1)</f>
        <v>4</v>
      </c>
      <c r="DM9" t="str" s="140" cm="1">
        <f t="array" ref="DM9">DJ9&amp;"."&amp;DL9</f>
        <v>1.4</v>
      </c>
      <c r="DN9" s="154">
        <v>1</v>
      </c>
      <c r="DO9" s="140"/>
      <c r="DP9" t="s" s="125">
        <v>157</v>
      </c>
      <c r="DQ9" t="str" s="140" cm="1">
        <f t="array" ref="DQ9">INDEX($BD$6:$BD$53,MATCH(DP9,$BM$6:$BM$53,0))</f>
        <v>República Checa</v>
      </c>
      <c r="DR9" s="87"/>
      <c r="DS9" s="87"/>
      <c r="DT9" s="88"/>
      <c r="DU9" s="12"/>
    </row>
    <row r="10" ht="16" customHeight="1">
      <c r="A10" s="78"/>
      <c r="B10" s="78"/>
      <c r="C10" s="78"/>
      <c r="D10" s="78"/>
      <c r="E10" s="78"/>
      <c r="F10" s="78"/>
      <c r="G10" s="78"/>
      <c r="H10" s="78"/>
      <c r="I10" s="78"/>
      <c r="J10" s="78"/>
      <c r="K10" s="78"/>
      <c r="L10" s="78"/>
      <c r="M10" s="78"/>
      <c r="N10" s="78"/>
      <c r="O10" s="78"/>
      <c r="P10" s="78"/>
      <c r="Q10" s="78"/>
      <c r="R10" s="78"/>
      <c r="S10" s="78"/>
      <c r="T10" s="78"/>
      <c r="U10" s="78"/>
      <c r="V10" s="79"/>
      <c r="W10" s="180"/>
      <c r="X10" s="181"/>
      <c r="Y10" s="180"/>
      <c r="Z10" s="182"/>
      <c r="AA10" s="183"/>
      <c r="AB10" s="184"/>
      <c r="AC10" s="185"/>
      <c r="AD10" s="185"/>
      <c r="AE10" s="184"/>
      <c r="AF10" s="186"/>
      <c r="AG10" s="187"/>
      <c r="AH10" s="188"/>
      <c r="AI10" s="8"/>
      <c r="AJ10" s="189"/>
      <c r="AK10" s="190"/>
      <c r="AL10" s="191"/>
      <c r="AM10" s="192"/>
      <c r="AN10" s="189"/>
      <c r="AO10" s="189"/>
      <c r="AP10" s="189"/>
      <c r="AQ10" s="189"/>
      <c r="AR10" s="189"/>
      <c r="AS10" s="189"/>
      <c r="AT10" s="189"/>
      <c r="AU10" s="193"/>
      <c r="AV10" s="194"/>
      <c r="AW10" s="150"/>
      <c r="AX10" s="195"/>
      <c r="AY10" s="196"/>
      <c r="AZ10" s="197"/>
      <c r="BA10" s="8"/>
      <c r="BB10" s="87"/>
      <c r="BC10" t="s" s="125">
        <v>159</v>
      </c>
      <c r="BD10" t="s" s="125">
        <v>160</v>
      </c>
      <c r="BE10" s="154" cm="1">
        <f t="array" ref="BE10">BG10*3+BH10+IF($AZ$3="No",0,INDEX($AZ$6:$AZ$97,MATCH(BD10,$AY$6:$AY$97,0)))</f>
        <v>4</v>
      </c>
      <c r="BF10" s="154" cm="1">
        <f t="array" ref="BF10">BG10+BH10+BI10</f>
        <v>3</v>
      </c>
      <c r="BG10" s="154" cm="1">
        <f t="array" ref="BG10">_xlfn.COUNTIFS($AA$4:$AA$97,BD10,$D$4:$D$97,"Local")+_xlfn.COUNTIFS($AF$4:$AF$97,BD10,$D$4:$D$97,"Visitante")</f>
        <v>1</v>
      </c>
      <c r="BH10" s="154" cm="1">
        <f t="array" ref="BH10">_xlfn.COUNTIFS($AA$4:$AA$97,BD10,$D$4:$D$97,"Empate")+_xlfn.COUNTIFS($AF$4:$AF$97,BD10,$D$4:$D$97,"Empate")</f>
        <v>1</v>
      </c>
      <c r="BI10" s="154" cm="1">
        <f t="array" ref="BI10">_xlfn.COUNTIFS($AF$4:$AF$97,BD10,$D$4:$D$97,"Local")+_xlfn.COUNTIFS($AA$4:$AA$97,BD10,$D$4:$D$97,"Visitante")</f>
        <v>1</v>
      </c>
      <c r="BJ10" s="154" cm="1">
        <f t="array" ref="BJ10">_xlfn.SUMIFS($AC$4:$AC$97,$AA$4:$AA$97,BD10,$D$4:$D$97,"&lt;&gt;"&amp;"Pendiente",$AC$4:$AC$97,"&lt;&gt;"&amp;"",$AD$4:$AD$97,"&lt;&gt;"&amp;"")+_xlfn.SUMIFS($AD$4:$AD$97,$AF$4:$AF$97,BD10,$D$4:$D$97,"&lt;&gt;"&amp;"Pendiente",$AC$4:$AC$97,"&lt;&gt;"&amp;"",$AD$4:$AD$97,"&lt;&gt;"&amp;"")</f>
        <v>5</v>
      </c>
      <c r="BK10" s="154" cm="1">
        <f t="array" ref="BK10">_xlfn.SUMIFS($AC$4:$AC$97,$AF$4:$AF$97,BD10,$D$4:$D$97,"&lt;&gt;"&amp;"Pendiente",$AC$4:$AC$97,"&lt;&gt;"&amp;"",$AD$4:$AD$97,"&lt;&gt;"&amp;"")+_xlfn.SUMIFS($AD$4:$AD$97,$AA$4:$AA$97,BD10,$D$4:$D$97,"&lt;&gt;"&amp;"Pendiente",$AC$4:$AC$97,"&lt;&gt;"&amp;"",$AD$4:$AD$97,"&lt;&gt;"&amp;"")</f>
        <v>4</v>
      </c>
      <c r="BL10" s="154" cm="1">
        <f t="array" ref="BL10">BJ10-BK10</f>
        <v>1</v>
      </c>
      <c r="BM10" t="str" s="140" cm="1">
        <f t="array" ref="BM10">DD10&amp;BC10</f>
        <v>1B</v>
      </c>
      <c r="BN10" t="str" s="140" cm="1">
        <f t="array" ref="BN10">DH10&amp;BC10</f>
        <v>1B</v>
      </c>
      <c r="BO10" s="154" cm="1">
        <f t="array" ref="BO10">IF(AND($AJ$99=144,BF10&gt;=1),1,0)</f>
        <v>0</v>
      </c>
      <c r="BP10" s="154">
        <v>1</v>
      </c>
      <c r="BQ10" t="s" s="125">
        <v>135</v>
      </c>
      <c r="BR10" s="154" cm="1">
        <f t="array" ref="BR10">IF($BQ10="-","-",BE10)</f>
        <v>4</v>
      </c>
      <c r="BS10" s="154">
        <v>1</v>
      </c>
      <c r="BT10" t="s" s="125">
        <v>135</v>
      </c>
      <c r="BU10" s="154" cm="1">
        <f t="array" ref="BU10">IF($BT10="-","-",_xlfn.COUNTIFS($AA$4:$AA$97,$BD10,$D$4:$D$97,"Local",$F$4:$F$97,$BT10)+_xlfn.COUNTIFS($AF$4:$AF$97,$BD10,$D$4:$D$97,"Visitante",$E$4:$E$97,$BT10))</f>
        <v>1</v>
      </c>
      <c r="BV10" s="154" cm="1">
        <f t="array" ref="BV10">IF($BT10="-","-",_xlfn.COUNTIFS($AA$4:$AA$97,$BD10,$D$4:$D$97,"Empate",$F$4:$F$97,$BT10)+_xlfn.COUNTIFS($AF$4:$AF$97,$BD10,$D$4:$D$97,"Empate",$E$4:$E$97,$BT10))</f>
        <v>1</v>
      </c>
      <c r="BW10" s="154" cm="1">
        <f t="array" ref="BW10">IF($BT10="-","-",_xlfn.COUNTIFS($AA$4:$AA$97,$BD10,$D$4:$D$97,"Visitante",$F$4:$F$97,$BT10)+_xlfn.COUNTIFS($AF$4:$AF$97,$BD10,$D$4:$D$97,"Local",$E$4:$E$97,$BT10))</f>
        <v>1</v>
      </c>
      <c r="BX10" s="154" cm="1">
        <f t="array" ref="BX10">IF($BT10="-","-",BU10*3+BV10)</f>
        <v>4</v>
      </c>
      <c r="BY10" s="154">
        <v>1</v>
      </c>
      <c r="BZ10" t="s" s="125">
        <v>135</v>
      </c>
      <c r="CA10" s="154" cm="1">
        <f t="array" ref="CA10">IF($BZ10="-","-",_xlfn.SUMIFS($AC$4:$AC$97,$AA$4:$AA$97,$BD10,$I$4:$I$97,$BZ10)+_xlfn.SUMIFS($AD$4:$AD$97,$AF$4:$AF$97,$BD10,$H$4:$H$97,$BZ10))</f>
        <v>5</v>
      </c>
      <c r="CB10" s="154" cm="1">
        <f t="array" ref="CB10">IF($BZ10="-","-",_xlfn.SUMIFS($AD$4:$AD$97,$AA$4:$AA$97,$BD10,$I$4:$I$97,$BZ10)+_xlfn.SUMIFS($AC$4:$AC$97,$AF$4:$AF$97,$BD10,$H$4:$H$97,$BZ10))</f>
        <v>4</v>
      </c>
      <c r="CC10" s="154" cm="1">
        <f t="array" ref="CC10">IF($BZ10="-","-",CA10-CB10)</f>
        <v>1</v>
      </c>
      <c r="CD10" s="154">
        <v>1</v>
      </c>
      <c r="CE10" t="s" s="125">
        <v>135</v>
      </c>
      <c r="CF10" s="154" cm="1">
        <f t="array" ref="CF10">IF($CE10="-","-",_xlfn.SUMIFS($AC$4:$AC$97,$AA$4:$AA$97,$BD10,$L$4:$L$97,$CE10)+_xlfn.SUMIFS($AD$4:$AD$97,$AF$4:$AF$97,$BD10,$K$4:$K$97,$CE10))</f>
        <v>5</v>
      </c>
      <c r="CG10" s="154">
        <v>1</v>
      </c>
      <c r="CH10" t="s" s="125">
        <v>135</v>
      </c>
      <c r="CI10" s="154" cm="1">
        <f t="array" ref="CI10">IF($CH10="-","-",_xlfn.COUNTIFS($AA$4:$AA$97,$BD10,$D$4:$D$97,"Local",$O$4:$O$97,$CH10)+_xlfn.COUNTIFS($AF$4:$AF$97,$BD10,$D$4:$D$97,"Visitante",$N$4:$N$97,$CH10))</f>
        <v>1</v>
      </c>
      <c r="CJ10" s="154" cm="1">
        <f t="array" ref="CJ10">IF($CH10="-","-",_xlfn.COUNTIFS($AA$4:$AA$97,$BD10,$D$4:$D$97,"Empate",$O$4:$O$97,$CH10)+_xlfn.COUNTIFS($AF$4:$AF$97,$BD10,$D$4:$D$97,"Empate",$N$4:$N$97,$CH10))</f>
        <v>1</v>
      </c>
      <c r="CK10" s="154" cm="1">
        <f t="array" ref="CK10">IF($CH10="-","-",_xlfn.COUNTIFS($AA$4:$AA$97,$BD10,$D$4:$D$97,"Visitante",$O$4:$O$97,$CH10)+_xlfn.COUNTIFS($AF$4:$AF$97,$BD10,$D$4:$D$97,"Local",$N$4:$N$97,$CH10))</f>
        <v>1</v>
      </c>
      <c r="CL10" s="154" cm="1">
        <f t="array" ref="CL10">IF($CH10="-","-",CI10*3+CJ10)</f>
        <v>4</v>
      </c>
      <c r="CM10" s="154">
        <v>1</v>
      </c>
      <c r="CN10" t="s" s="125">
        <v>135</v>
      </c>
      <c r="CO10" s="154" cm="1">
        <f t="array" ref="CO10">IF($CN10="-","-",_xlfn.SUMIFS($AC$4:$AC$97,$AA$4:$AA$97,$BD10,$R$4:$R$97,$CN10)+_xlfn.SUMIFS($AD$4:$AD$97,$AF$4:$AF$97,$BD10,$Q$4:$Q$97,$CN10))</f>
        <v>5</v>
      </c>
      <c r="CP10" s="154" cm="1">
        <f t="array" ref="CP10">IF($CN10="-","-",_xlfn.SUMIFS($AD$4:$AD$97,$AA$4:$AA$97,$BD10,$R$4:$R$97,$CN10)+_xlfn.SUMIFS($AC$4:$AC$97,$AF$4:$AF$97,$BD10,$Q$4:$Q$97,$CN10))</f>
        <v>4</v>
      </c>
      <c r="CQ10" s="154" cm="1">
        <f t="array" ref="CQ10">IF($CN10="-","-",CO10-CP10)</f>
        <v>1</v>
      </c>
      <c r="CR10" s="154">
        <v>1</v>
      </c>
      <c r="CS10" t="s" s="125">
        <v>135</v>
      </c>
      <c r="CT10" s="154" cm="1">
        <f t="array" ref="CT10">IF($CS10="-","-",_xlfn.SUMIFS($AC$4:$AC$97,$AA$4:$AA$97,$BD10,$U$4:$U$97,$CS10)+_xlfn.SUMIFS($AD$4:$AD$97,$AF$4:$AF$97,$BD10,$T$4:$T$97,$CS10))</f>
        <v>5</v>
      </c>
      <c r="CU10" s="154">
        <v>1</v>
      </c>
      <c r="CV10" t="s" s="125">
        <v>135</v>
      </c>
      <c r="CW10" s="154" cm="1">
        <f t="array" ref="CW10">IF(CV10="-","-",BL10)</f>
        <v>1</v>
      </c>
      <c r="CX10" s="154">
        <v>1</v>
      </c>
      <c r="CY10" t="s" s="125">
        <v>135</v>
      </c>
      <c r="CZ10" s="154" cm="1">
        <f t="array" ref="CZ10">IF(CY10="-","-",BJ10)</f>
        <v>5</v>
      </c>
      <c r="DA10" s="154">
        <v>1</v>
      </c>
      <c r="DB10" t="s" s="125">
        <v>135</v>
      </c>
      <c r="DC10" s="154">
        <v>1</v>
      </c>
      <c r="DD10" s="154">
        <v>1</v>
      </c>
      <c r="DE10" s="140"/>
      <c r="DF10" s="154" cm="1">
        <f t="array" ref="DF10">IF(OR(INDEX($AW$6:$AW$97,MATCH($BD10,$AV$6:$AV$97,0))="",DB10="-"),DD10,INDEX($AW$6:$AW$97,MATCH($BD10,$AV$6:$AV$97,0))+DD10/1000)</f>
        <v>1</v>
      </c>
      <c r="DG10" s="154">
        <v>0</v>
      </c>
      <c r="DH10" s="154">
        <v>1</v>
      </c>
      <c r="DI10" s="140"/>
      <c r="DJ10" s="154" cm="1">
        <f t="array" ref="DJ10">INDEX($DA$6:$DA$53,MATCH($DQ10,$BD$6:$BD$53,0))</f>
        <v>1</v>
      </c>
      <c r="DK10" s="154" cm="1">
        <f t="array" ref="DK10">SUMIF($BC$6:$BC$53,BC10,$BF$6:$BF$53)</f>
        <v>12</v>
      </c>
      <c r="DL10" s="154" cm="1">
        <f t="array" ref="DL10">IF(OR(DK10=12,$AJ$99=144),_xlfn.COUNTIFS($DJ$6:$DJ$53,DJ10,$BC$6:$BC$53,BC10),1)</f>
        <v>4</v>
      </c>
      <c r="DM10" t="str" s="140" cm="1">
        <f t="array" ref="DM10">DJ10&amp;"."&amp;DL10</f>
        <v>1.4</v>
      </c>
      <c r="DN10" s="154">
        <v>1</v>
      </c>
      <c r="DO10" s="140"/>
      <c r="DP10" t="s" s="125">
        <v>162</v>
      </c>
      <c r="DQ10" t="str" s="140" cm="1">
        <f t="array" ref="DQ10">INDEX($BD$6:$BD$53,MATCH(DP10,$BM$6:$BM$53,0))</f>
        <v>Canadá</v>
      </c>
      <c r="DR10" s="87"/>
      <c r="DS10" s="87"/>
      <c r="DT10" s="88"/>
      <c r="DU10" s="12"/>
    </row>
    <row r="11" ht="16" customHeight="1">
      <c r="A11" s="78"/>
      <c r="B11" s="78"/>
      <c r="C11" s="78"/>
      <c r="D11" s="78"/>
      <c r="E11" s="78"/>
      <c r="F11" s="78"/>
      <c r="G11" s="78"/>
      <c r="H11" s="78"/>
      <c r="I11" s="78"/>
      <c r="J11" s="78"/>
      <c r="K11" s="78"/>
      <c r="L11" s="78"/>
      <c r="M11" s="78"/>
      <c r="N11" s="78"/>
      <c r="O11" s="78"/>
      <c r="P11" s="78"/>
      <c r="Q11" s="78"/>
      <c r="R11" s="78"/>
      <c r="S11" s="78"/>
      <c r="T11" s="78"/>
      <c r="U11" s="78"/>
      <c r="V11" s="90"/>
      <c r="W11" s="91"/>
      <c r="X11" t="str" s="198" cm="1">
        <f t="array" ref="X11">X3</f>
        <v>Fecha</v>
      </c>
      <c r="Y11" t="str" s="198" cm="1">
        <f t="array" ref="Y11">Y3</f>
        <v>Hora</v>
      </c>
      <c r="Z11" t="str" s="119" cm="1">
        <f t="array" ref="Z11">Z3</f>
        <v>Jor.</v>
      </c>
      <c r="AA11" t="str" s="199" cm="1">
        <f t="array" ref="AA11">AA3</f>
        <v>Casa</v>
      </c>
      <c r="AB11" s="95"/>
      <c r="AC11" t="str" s="119" cm="1">
        <f t="array" ref="AC11">AC3</f>
        <v>Gol</v>
      </c>
      <c r="AD11" t="str" s="119" cm="1">
        <f t="array" ref="AD11">AD3</f>
        <v>Gol</v>
      </c>
      <c r="AE11" s="95"/>
      <c r="AF11" t="str" s="200" cm="1">
        <f t="array" ref="AF11">AF3</f>
        <v>Fuera</v>
      </c>
      <c r="AG11" s="201"/>
      <c r="AH11" s="188"/>
      <c r="AI11" s="83"/>
      <c r="AJ11" s="100"/>
      <c r="AK11" s="202"/>
      <c r="AL11" s="100"/>
      <c r="AM11" s="100"/>
      <c r="AN11" s="100"/>
      <c r="AO11" s="100"/>
      <c r="AP11" s="100"/>
      <c r="AQ11" s="100"/>
      <c r="AR11" s="100"/>
      <c r="AS11" s="100"/>
      <c r="AT11" s="100"/>
      <c r="AU11" s="203"/>
      <c r="AV11" s="84"/>
      <c r="AW11" s="204"/>
      <c r="AX11" s="205"/>
      <c r="AY11" s="206"/>
      <c r="AZ11" s="207"/>
      <c r="BA11" s="8"/>
      <c r="BB11" s="87"/>
      <c r="BC11" t="s" s="125">
        <v>159</v>
      </c>
      <c r="BD11" t="s" s="125">
        <v>170</v>
      </c>
      <c r="BE11" s="154" cm="1">
        <f t="array" ref="BE11">BG11*3+BH11+IF($AZ$3="No",0,INDEX($AZ$6:$AZ$97,MATCH(BD11,$AY$6:$AY$97,0)))</f>
        <v>0</v>
      </c>
      <c r="BF11" s="154" cm="1">
        <f t="array" ref="BF11">BG11+BH11+BI11</f>
        <v>3</v>
      </c>
      <c r="BG11" s="154" cm="1">
        <f t="array" ref="BG11">_xlfn.COUNTIFS($AA$4:$AA$97,BD11,$D$4:$D$97,"Local")+_xlfn.COUNTIFS($AF$4:$AF$97,BD11,$D$4:$D$97,"Visitante")</f>
        <v>0</v>
      </c>
      <c r="BH11" s="154" cm="1">
        <f t="array" ref="BH11">_xlfn.COUNTIFS($AA$4:$AA$97,BD11,$D$4:$D$97,"Empate")+_xlfn.COUNTIFS($AF$4:$AF$97,BD11,$D$4:$D$97,"Empate")</f>
        <v>0</v>
      </c>
      <c r="BI11" s="154" cm="1">
        <f t="array" ref="BI11">_xlfn.COUNTIFS($AF$4:$AF$97,BD11,$D$4:$D$97,"Local")+_xlfn.COUNTIFS($AA$4:$AA$97,BD11,$D$4:$D$97,"Visitante")</f>
        <v>3</v>
      </c>
      <c r="BJ11" s="154" cm="1">
        <f t="array" ref="BJ11">_xlfn.SUMIFS($AC$4:$AC$97,$AA$4:$AA$97,BD11,$D$4:$D$97,"&lt;&gt;"&amp;"Pendiente",$AC$4:$AC$97,"&lt;&gt;"&amp;"",$AD$4:$AD$97,"&lt;&gt;"&amp;"")+_xlfn.SUMIFS($AD$4:$AD$97,$AF$4:$AF$97,BD11,$D$4:$D$97,"&lt;&gt;"&amp;"Pendiente",$AC$4:$AC$97,"&lt;&gt;"&amp;"",$AD$4:$AD$97,"&lt;&gt;"&amp;"")</f>
        <v>1</v>
      </c>
      <c r="BK11" s="154" cm="1">
        <f t="array" ref="BK11">_xlfn.SUMIFS($AC$4:$AC$97,$AF$4:$AF$97,BD11,$D$4:$D$97,"&lt;&gt;"&amp;"Pendiente",$AC$4:$AC$97,"&lt;&gt;"&amp;"",$AD$4:$AD$97,"&lt;&gt;"&amp;"")+_xlfn.SUMIFS($AD$4:$AD$97,$AA$4:$AA$97,BD11,$D$4:$D$97,"&lt;&gt;"&amp;"Pendiente",$AC$4:$AC$97,"&lt;&gt;"&amp;"",$AD$4:$AD$97,"&lt;&gt;"&amp;"")</f>
        <v>5</v>
      </c>
      <c r="BL11" s="154" cm="1">
        <f t="array" ref="BL11">BJ11-BK11</f>
        <v>-4</v>
      </c>
      <c r="BM11" t="str" s="140" cm="1">
        <f t="array" ref="BM11">DD11&amp;BC11</f>
        <v>2B</v>
      </c>
      <c r="BN11" t="str" s="140" cm="1">
        <f t="array" ref="BN11">DH11&amp;BC11</f>
        <v>2B</v>
      </c>
      <c r="BO11" s="154" cm="1">
        <f t="array" ref="BO11">IF(AND($AJ$99=144,BF11&gt;=1),1,0)</f>
        <v>0</v>
      </c>
      <c r="BP11" s="154">
        <v>1</v>
      </c>
      <c r="BQ11" t="s" s="125">
        <v>135</v>
      </c>
      <c r="BR11" s="154" cm="1">
        <f t="array" ref="BR11">IF($BQ11="-","-",BE11)</f>
        <v>0</v>
      </c>
      <c r="BS11" s="154">
        <v>1</v>
      </c>
      <c r="BT11" t="s" s="125">
        <v>135</v>
      </c>
      <c r="BU11" s="154" cm="1">
        <f t="array" ref="BU11">IF($BT11="-","-",_xlfn.COUNTIFS($AA$4:$AA$97,$BD11,$D$4:$D$97,"Local",$F$4:$F$97,$BT11)+_xlfn.COUNTIFS($AF$4:$AF$97,$BD11,$D$4:$D$97,"Visitante",$E$4:$E$97,$BT11))</f>
        <v>0</v>
      </c>
      <c r="BV11" s="154" cm="1">
        <f t="array" ref="BV11">IF($BT11="-","-",_xlfn.COUNTIFS($AA$4:$AA$97,$BD11,$D$4:$D$97,"Empate",$F$4:$F$97,$BT11)+_xlfn.COUNTIFS($AF$4:$AF$97,$BD11,$D$4:$D$97,"Empate",$E$4:$E$97,$BT11))</f>
        <v>0</v>
      </c>
      <c r="BW11" s="154" cm="1">
        <f t="array" ref="BW11">IF($BT11="-","-",_xlfn.COUNTIFS($AA$4:$AA$97,$BD11,$D$4:$D$97,"Visitante",$F$4:$F$97,$BT11)+_xlfn.COUNTIFS($AF$4:$AF$97,$BD11,$D$4:$D$97,"Local",$E$4:$E$97,$BT11))</f>
        <v>3</v>
      </c>
      <c r="BX11" s="154" cm="1">
        <f t="array" ref="BX11">IF($BT11="-","-",BU11*3+BV11)</f>
        <v>0</v>
      </c>
      <c r="BY11" s="154">
        <v>1</v>
      </c>
      <c r="BZ11" t="s" s="125">
        <v>135</v>
      </c>
      <c r="CA11" s="154" cm="1">
        <f t="array" ref="CA11">IF($BZ11="-","-",_xlfn.SUMIFS($AC$4:$AC$97,$AA$4:$AA$97,$BD11,$I$4:$I$97,$BZ11)+_xlfn.SUMIFS($AD$4:$AD$97,$AF$4:$AF$97,$BD11,$H$4:$H$97,$BZ11))</f>
        <v>1</v>
      </c>
      <c r="CB11" s="154" cm="1">
        <f t="array" ref="CB11">IF($BZ11="-","-",_xlfn.SUMIFS($AD$4:$AD$97,$AA$4:$AA$97,$BD11,$I$4:$I$97,$BZ11)+_xlfn.SUMIFS($AC$4:$AC$97,$AF$4:$AF$97,$BD11,$H$4:$H$97,$BZ11))</f>
        <v>5</v>
      </c>
      <c r="CC11" s="154" cm="1">
        <f t="array" ref="CC11">IF($BZ11="-","-",CA11-CB11)</f>
        <v>-4</v>
      </c>
      <c r="CD11" s="154">
        <v>1</v>
      </c>
      <c r="CE11" t="s" s="125">
        <v>135</v>
      </c>
      <c r="CF11" s="154" cm="1">
        <f t="array" ref="CF11">IF($CE11="-","-",_xlfn.SUMIFS($AC$4:$AC$97,$AA$4:$AA$97,$BD11,$L$4:$L$97,$CE11)+_xlfn.SUMIFS($AD$4:$AD$97,$AF$4:$AF$97,$BD11,$K$4:$K$97,$CE11))</f>
        <v>1</v>
      </c>
      <c r="CG11" s="154">
        <v>1</v>
      </c>
      <c r="CH11" t="s" s="125">
        <v>135</v>
      </c>
      <c r="CI11" s="154" cm="1">
        <f t="array" ref="CI11">IF($CH11="-","-",_xlfn.COUNTIFS($AA$4:$AA$97,$BD11,$D$4:$D$97,"Local",$O$4:$O$97,$CH11)+_xlfn.COUNTIFS($AF$4:$AF$97,$BD11,$D$4:$D$97,"Visitante",$N$4:$N$97,$CH11))</f>
        <v>0</v>
      </c>
      <c r="CJ11" s="154" cm="1">
        <f t="array" ref="CJ11">IF($CH11="-","-",_xlfn.COUNTIFS($AA$4:$AA$97,$BD11,$D$4:$D$97,"Empate",$O$4:$O$97,$CH11)+_xlfn.COUNTIFS($AF$4:$AF$97,$BD11,$D$4:$D$97,"Empate",$N$4:$N$97,$CH11))</f>
        <v>0</v>
      </c>
      <c r="CK11" s="154" cm="1">
        <f t="array" ref="CK11">IF($CH11="-","-",_xlfn.COUNTIFS($AA$4:$AA$97,$BD11,$D$4:$D$97,"Visitante",$O$4:$O$97,$CH11)+_xlfn.COUNTIFS($AF$4:$AF$97,$BD11,$D$4:$D$97,"Local",$N$4:$N$97,$CH11))</f>
        <v>3</v>
      </c>
      <c r="CL11" s="154" cm="1">
        <f t="array" ref="CL11">IF($CH11="-","-",CI11*3+CJ11)</f>
        <v>0</v>
      </c>
      <c r="CM11" s="154">
        <v>1</v>
      </c>
      <c r="CN11" t="s" s="125">
        <v>135</v>
      </c>
      <c r="CO11" s="154" cm="1">
        <f t="array" ref="CO11">IF($CN11="-","-",_xlfn.SUMIFS($AC$4:$AC$97,$AA$4:$AA$97,$BD11,$R$4:$R$97,$CN11)+_xlfn.SUMIFS($AD$4:$AD$97,$AF$4:$AF$97,$BD11,$Q$4:$Q$97,$CN11))</f>
        <v>1</v>
      </c>
      <c r="CP11" s="154" cm="1">
        <f t="array" ref="CP11">IF($CN11="-","-",_xlfn.SUMIFS($AD$4:$AD$97,$AA$4:$AA$97,$BD11,$R$4:$R$97,$CN11)+_xlfn.SUMIFS($AC$4:$AC$97,$AF$4:$AF$97,$BD11,$Q$4:$Q$97,$CN11))</f>
        <v>5</v>
      </c>
      <c r="CQ11" s="154" cm="1">
        <f t="array" ref="CQ11">IF($CN11="-","-",CO11-CP11)</f>
        <v>-4</v>
      </c>
      <c r="CR11" s="154">
        <v>1</v>
      </c>
      <c r="CS11" t="s" s="125">
        <v>135</v>
      </c>
      <c r="CT11" s="154" cm="1">
        <f t="array" ref="CT11">IF($CS11="-","-",_xlfn.SUMIFS($AC$4:$AC$97,$AA$4:$AA$97,$BD11,$U$4:$U$97,$CS11)+_xlfn.SUMIFS($AD$4:$AD$97,$AF$4:$AF$97,$BD11,$T$4:$T$97,$CS11))</f>
        <v>1</v>
      </c>
      <c r="CU11" s="154">
        <v>1</v>
      </c>
      <c r="CV11" t="s" s="125">
        <v>135</v>
      </c>
      <c r="CW11" s="154" cm="1">
        <f t="array" ref="CW11">IF(CV11="-","-",BL11)</f>
        <v>-4</v>
      </c>
      <c r="CX11" s="154">
        <v>1</v>
      </c>
      <c r="CY11" t="s" s="125">
        <v>135</v>
      </c>
      <c r="CZ11" s="154" cm="1">
        <f t="array" ref="CZ11">IF(CY11="-","-",BJ11)</f>
        <v>1</v>
      </c>
      <c r="DA11" s="154">
        <v>1</v>
      </c>
      <c r="DB11" t="s" s="125">
        <v>135</v>
      </c>
      <c r="DC11" s="154">
        <v>2</v>
      </c>
      <c r="DD11" s="154">
        <v>2</v>
      </c>
      <c r="DE11" s="140"/>
      <c r="DF11" s="154" cm="1">
        <f t="array" ref="DF11">IF(OR(INDEX($AW$6:$AW$97,MATCH($BD11,$AV$6:$AV$97,0))="",DB11="-"),DD11,INDEX($AW$6:$AW$97,MATCH($BD11,$AV$6:$AV$97,0))+DD11/1000)</f>
        <v>2</v>
      </c>
      <c r="DG11" s="154">
        <v>1</v>
      </c>
      <c r="DH11" s="154">
        <v>2</v>
      </c>
      <c r="DI11" s="140"/>
      <c r="DJ11" s="154" cm="1">
        <f t="array" ref="DJ11">INDEX($DA$6:$DA$53,MATCH($DQ11,$BD$6:$BD$53,0))</f>
        <v>1</v>
      </c>
      <c r="DK11" s="154" cm="1">
        <f t="array" ref="DK11">SUMIF($BC$6:$BC$53,BC11,$BF$6:$BF$53)</f>
        <v>12</v>
      </c>
      <c r="DL11" s="154" cm="1">
        <f t="array" ref="DL11">IF(OR(DK11=12,$AJ$99=144),_xlfn.COUNTIFS($DJ$6:$DJ$53,DJ11,$BC$6:$BC$53,BC11),1)</f>
        <v>4</v>
      </c>
      <c r="DM11" t="str" s="140" cm="1">
        <f t="array" ref="DM11">DJ11&amp;"."&amp;DL11</f>
        <v>1.4</v>
      </c>
      <c r="DN11" s="154">
        <v>1</v>
      </c>
      <c r="DO11" s="140"/>
      <c r="DP11" t="s" s="125">
        <v>172</v>
      </c>
      <c r="DQ11" t="str" s="140" cm="1">
        <f t="array" ref="DQ11">INDEX($BD$6:$BD$53,MATCH(DP11,$BM$6:$BM$53,0))</f>
        <v>Bosnia y Herzegovina</v>
      </c>
      <c r="DR11" s="87"/>
      <c r="DS11" s="87"/>
      <c r="DT11" s="88"/>
      <c r="DU11" s="12"/>
    </row>
    <row r="12" ht="16" customHeight="1">
      <c r="A12" t="s" s="89">
        <v>45</v>
      </c>
      <c r="B12" t="s" s="89">
        <v>159</v>
      </c>
      <c r="C12" s="105">
        <v>4</v>
      </c>
      <c r="D12" t="str" s="78" cm="1">
        <f t="array" ref="D12">IF(OR(AC12="",AD12=""),"Pendiente",IF(AC12&gt;AD12,"Local",IF(AC12&lt;AD12,"Visitante","Empate")))</f>
        <v>Local</v>
      </c>
      <c r="E12" t="str" s="78" cm="1">
        <f t="array" ref="E12">IF(D12="Pendiente","-",INDEX($BT$6:$BT$53,MATCH($AA12,$BD$6:$BD$53,0)))</f>
        <v>P.1 (4)</v>
      </c>
      <c r="F12" t="str" s="78" cm="1">
        <f t="array" ref="F12">IF(D12="Pendiente","-",INDEX($BT$6:$BT$53,MATCH($AF12,$BD$6:$BD$53,0)))</f>
        <v>P.1 (4)</v>
      </c>
      <c r="G12" s="78"/>
      <c r="H12" t="str" s="78" cm="1">
        <f t="array" ref="H12">IF(D12="Pendiente","-",INDEX($BZ$6:$BZ$53,MATCH($AA12,$BD$6:$BD$53,0)))</f>
        <v>P.1 (4)</v>
      </c>
      <c r="I12" t="str" s="78" cm="1">
        <f t="array" ref="I12">IF(D12="Pendiente","-",INDEX($BZ$6:$BZ$53,MATCH($AF12,$BD$6:$BD$53,0)))</f>
        <v>P.1 (4)</v>
      </c>
      <c r="J12" s="78"/>
      <c r="K12" t="str" s="78" cm="1">
        <f t="array" ref="K12">IF(D12="Pendiente","-",INDEX($CE$6:$CE$53,MATCH($AA12,$BD$6:$BD$53,0)))</f>
        <v>P.1 (4)</v>
      </c>
      <c r="L12" t="str" s="78" cm="1">
        <f t="array" ref="L12">IF(D12="Pendiente","-",INDEX($CE$6:$CE$53,MATCH($AF12,$BD$6:$BD$53,0)))</f>
        <v>P.1 (4)</v>
      </c>
      <c r="M12" s="78"/>
      <c r="N12" t="str" s="78" cm="1">
        <f t="array" ref="N12">IF(D12="Pendiente","-",INDEX($CH$6:$CH$53,MATCH($AA12,$BD$6:$BD$53,0)))</f>
        <v>P.1 (4)</v>
      </c>
      <c r="O12" t="str" s="78" cm="1">
        <f t="array" ref="O12">IF(D12="Pendiente","-",INDEX($CH$6:$CH$53,MATCH($AF12,$BD$6:$BD$53,0)))</f>
        <v>P.1 (4)</v>
      </c>
      <c r="P12" s="78"/>
      <c r="Q12" t="str" s="78" cm="1">
        <f t="array" ref="Q12">IF(D12="Pendiente","-",INDEX($CN$6:$CN$53,MATCH($AA12,$BD$6:$BD$53,0)))</f>
        <v>P.1 (4)</v>
      </c>
      <c r="R12" t="str" s="78" cm="1">
        <f t="array" ref="R12">IF(D12="Pendiente","-",INDEX($CN$6:$CN$53,MATCH($AF12,$BD$6:$BD$53,0)))</f>
        <v>P.1 (4)</v>
      </c>
      <c r="S12" s="78"/>
      <c r="T12" t="str" s="78" cm="1">
        <f t="array" ref="T12">IF(D12="Pendiente","-",INDEX($CS$6:$CS$53,MATCH($AA12,$BD$6:$BD$53,0)))</f>
        <v>P.1 (4)</v>
      </c>
      <c r="U12" t="str" s="78" cm="1">
        <f t="array" ref="U12">IF(D12="Pendiente","-",INDEX($CS$6:$CS$53,MATCH($AF12,$BD$6:$BD$53,0)))</f>
        <v>P.1 (4)</v>
      </c>
      <c r="V12" s="90"/>
      <c r="W12" t="s" s="208">
        <v>159</v>
      </c>
      <c r="X12" s="107">
        <v>46185.625</v>
      </c>
      <c r="Y12" s="108">
        <v>46185.625</v>
      </c>
      <c r="Z12" t="str" s="127" cm="1">
        <f t="array" ref="Z12">$Z$4</f>
        <v>J1</v>
      </c>
      <c r="AA12" t="str" s="110" cm="1">
        <f t="array" ref="AA12">A13</f>
        <v>Canadá</v>
      </c>
      <c r="AB12" s="111"/>
      <c r="AC12" s="112">
        <v>2</v>
      </c>
      <c r="AD12" s="112">
        <v>0</v>
      </c>
      <c r="AE12" s="113"/>
      <c r="AF12" t="str" s="114" cm="1">
        <f t="array" ref="AF12">A14</f>
        <v>Bosnia y Herzegovina</v>
      </c>
      <c r="AG12" s="115" cm="1">
        <f t="array" ref="AG12">IF(NOT(OR(ISBLANK(AC12),ISBLANK(AD12))),1,0)</f>
        <v>1</v>
      </c>
      <c r="AH12" s="116">
        <v>3</v>
      </c>
      <c r="AI12" s="117"/>
      <c r="AJ12" t="str" s="118" cm="1">
        <f t="array" ref="AJ12">CONCATENATE(AJ3," ",B12)</f>
        <v>Grupo B</v>
      </c>
      <c r="AK12" s="119"/>
      <c r="AL12" s="119"/>
      <c r="AM12" s="119"/>
      <c r="AN12" s="119"/>
      <c r="AO12" s="119"/>
      <c r="AP12" s="119"/>
      <c r="AQ12" s="119"/>
      <c r="AR12" s="119"/>
      <c r="AS12" s="119"/>
      <c r="AT12" s="120"/>
      <c r="AU12" s="209"/>
      <c r="AV12" t="str" s="122" cm="1">
        <f t="array" ref="AV12">IF(AU13&gt;0,$AV$3,"")</f>
        <v>¡EMPATE! Puedes seleccionar el orden de los empatados.</v>
      </c>
      <c r="AW12" s="210"/>
      <c r="AX12" s="210"/>
      <c r="AY12" s="211"/>
      <c r="AZ12" s="212"/>
      <c r="BA12" s="8"/>
      <c r="BB12" s="87"/>
      <c r="BC12" t="s" s="125">
        <v>159</v>
      </c>
      <c r="BD12" t="s" s="125">
        <v>177</v>
      </c>
      <c r="BE12" s="154" cm="1">
        <f t="array" ref="BE12">BG12*3+BH12+IF($AZ$3="No",0,INDEX($AZ$6:$AZ$97,MATCH(BD12,$AY$6:$AY$97,0)))</f>
        <v>5</v>
      </c>
      <c r="BF12" s="154" cm="1">
        <f t="array" ref="BF12">BG12+BH12+BI12</f>
        <v>3</v>
      </c>
      <c r="BG12" s="154" cm="1">
        <f t="array" ref="BG12">_xlfn.COUNTIFS($AA$4:$AA$97,BD12,$D$4:$D$97,"Local")+_xlfn.COUNTIFS($AF$4:$AF$97,BD12,$D$4:$D$97,"Visitante")</f>
        <v>1</v>
      </c>
      <c r="BH12" s="154" cm="1">
        <f t="array" ref="BH12">_xlfn.COUNTIFS($AA$4:$AA$97,BD12,$D$4:$D$97,"Empate")+_xlfn.COUNTIFS($AF$4:$AF$97,BD12,$D$4:$D$97,"Empate")</f>
        <v>2</v>
      </c>
      <c r="BI12" s="154" cm="1">
        <f t="array" ref="BI12">_xlfn.COUNTIFS($AF$4:$AF$97,BD12,$D$4:$D$97,"Local")+_xlfn.COUNTIFS($AA$4:$AA$97,BD12,$D$4:$D$97,"Visitante")</f>
        <v>0</v>
      </c>
      <c r="BJ12" s="154" cm="1">
        <f t="array" ref="BJ12">_xlfn.SUMIFS($AC$4:$AC$97,$AA$4:$AA$97,BD12,$D$4:$D$97,"&lt;&gt;"&amp;"Pendiente",$AC$4:$AC$97,"&lt;&gt;"&amp;"",$AD$4:$AD$97,"&lt;&gt;"&amp;"")+_xlfn.SUMIFS($AD$4:$AD$97,$AF$4:$AF$97,BD12,$D$4:$D$97,"&lt;&gt;"&amp;"Pendiente",$AC$4:$AC$97,"&lt;&gt;"&amp;"",$AD$4:$AD$97,"&lt;&gt;"&amp;"")</f>
        <v>4</v>
      </c>
      <c r="BK12" s="154" cm="1">
        <f t="array" ref="BK12">_xlfn.SUMIFS($AC$4:$AC$97,$AF$4:$AF$97,BD12,$D$4:$D$97,"&lt;&gt;"&amp;"Pendiente",$AC$4:$AC$97,"&lt;&gt;"&amp;"",$AD$4:$AD$97,"&lt;&gt;"&amp;"")+_xlfn.SUMIFS($AD$4:$AD$97,$AA$4:$AA$97,BD12,$D$4:$D$97,"&lt;&gt;"&amp;"Pendiente",$AC$4:$AC$97,"&lt;&gt;"&amp;"",$AD$4:$AD$97,"&lt;&gt;"&amp;"")</f>
        <v>3</v>
      </c>
      <c r="BL12" s="154" cm="1">
        <f t="array" ref="BL12">BJ12-BK12</f>
        <v>1</v>
      </c>
      <c r="BM12" t="str" s="140" cm="1">
        <f t="array" ref="BM12">DD12&amp;BC12</f>
        <v>3B</v>
      </c>
      <c r="BN12" t="str" s="140" cm="1">
        <f t="array" ref="BN12">DH12&amp;BC12</f>
        <v>3B</v>
      </c>
      <c r="BO12" s="154" cm="1">
        <f t="array" ref="BO12">IF(AND($AJ$99=144,BF12&gt;=1),1,0)</f>
        <v>0</v>
      </c>
      <c r="BP12" s="154">
        <v>1</v>
      </c>
      <c r="BQ12" t="s" s="125">
        <v>135</v>
      </c>
      <c r="BR12" s="154" cm="1">
        <f t="array" ref="BR12">IF($BQ12="-","-",BE12)</f>
        <v>5</v>
      </c>
      <c r="BS12" s="154">
        <v>1</v>
      </c>
      <c r="BT12" t="s" s="125">
        <v>135</v>
      </c>
      <c r="BU12" s="154" cm="1">
        <f t="array" ref="BU12">IF($BT12="-","-",_xlfn.COUNTIFS($AA$4:$AA$97,$BD12,$D$4:$D$97,"Local",$F$4:$F$97,$BT12)+_xlfn.COUNTIFS($AF$4:$AF$97,$BD12,$D$4:$D$97,"Visitante",$E$4:$E$97,$BT12))</f>
        <v>1</v>
      </c>
      <c r="BV12" s="154" cm="1">
        <f t="array" ref="BV12">IF($BT12="-","-",_xlfn.COUNTIFS($AA$4:$AA$97,$BD12,$D$4:$D$97,"Empate",$F$4:$F$97,$BT12)+_xlfn.COUNTIFS($AF$4:$AF$97,$BD12,$D$4:$D$97,"Empate",$E$4:$E$97,$BT12))</f>
        <v>2</v>
      </c>
      <c r="BW12" s="154" cm="1">
        <f t="array" ref="BW12">IF($BT12="-","-",_xlfn.COUNTIFS($AA$4:$AA$97,$BD12,$D$4:$D$97,"Visitante",$F$4:$F$97,$BT12)+_xlfn.COUNTIFS($AF$4:$AF$97,$BD12,$D$4:$D$97,"Local",$E$4:$E$97,$BT12))</f>
        <v>0</v>
      </c>
      <c r="BX12" s="154" cm="1">
        <f t="array" ref="BX12">IF($BT12="-","-",BU12*3+BV12)</f>
        <v>5</v>
      </c>
      <c r="BY12" s="154">
        <v>1</v>
      </c>
      <c r="BZ12" t="s" s="125">
        <v>135</v>
      </c>
      <c r="CA12" s="154" cm="1">
        <f t="array" ref="CA12">IF($BZ12="-","-",_xlfn.SUMIFS($AC$4:$AC$97,$AA$4:$AA$97,$BD12,$I$4:$I$97,$BZ12)+_xlfn.SUMIFS($AD$4:$AD$97,$AF$4:$AF$97,$BD12,$H$4:$H$97,$BZ12))</f>
        <v>4</v>
      </c>
      <c r="CB12" s="154" cm="1">
        <f t="array" ref="CB12">IF($BZ12="-","-",_xlfn.SUMIFS($AD$4:$AD$97,$AA$4:$AA$97,$BD12,$I$4:$I$97,$BZ12)+_xlfn.SUMIFS($AC$4:$AC$97,$AF$4:$AF$97,$BD12,$H$4:$H$97,$BZ12))</f>
        <v>3</v>
      </c>
      <c r="CC12" s="154" cm="1">
        <f t="array" ref="CC12">IF($BZ12="-","-",CA12-CB12)</f>
        <v>1</v>
      </c>
      <c r="CD12" s="154">
        <v>1</v>
      </c>
      <c r="CE12" t="s" s="125">
        <v>135</v>
      </c>
      <c r="CF12" s="154" cm="1">
        <f t="array" ref="CF12">IF($CE12="-","-",_xlfn.SUMIFS($AC$4:$AC$97,$AA$4:$AA$97,$BD12,$L$4:$L$97,$CE12)+_xlfn.SUMIFS($AD$4:$AD$97,$AF$4:$AF$97,$BD12,$K$4:$K$97,$CE12))</f>
        <v>4</v>
      </c>
      <c r="CG12" s="154">
        <v>1</v>
      </c>
      <c r="CH12" t="s" s="125">
        <v>135</v>
      </c>
      <c r="CI12" s="154" cm="1">
        <f t="array" ref="CI12">IF($CH12="-","-",_xlfn.COUNTIFS($AA$4:$AA$97,$BD12,$D$4:$D$97,"Local",$O$4:$O$97,$CH12)+_xlfn.COUNTIFS($AF$4:$AF$97,$BD12,$D$4:$D$97,"Visitante",$N$4:$N$97,$CH12))</f>
        <v>1</v>
      </c>
      <c r="CJ12" s="154" cm="1">
        <f t="array" ref="CJ12">IF($CH12="-","-",_xlfn.COUNTIFS($AA$4:$AA$97,$BD12,$D$4:$D$97,"Empate",$O$4:$O$97,$CH12)+_xlfn.COUNTIFS($AF$4:$AF$97,$BD12,$D$4:$D$97,"Empate",$N$4:$N$97,$CH12))</f>
        <v>2</v>
      </c>
      <c r="CK12" s="154" cm="1">
        <f t="array" ref="CK12">IF($CH12="-","-",_xlfn.COUNTIFS($AA$4:$AA$97,$BD12,$D$4:$D$97,"Visitante",$O$4:$O$97,$CH12)+_xlfn.COUNTIFS($AF$4:$AF$97,$BD12,$D$4:$D$97,"Local",$N$4:$N$97,$CH12))</f>
        <v>0</v>
      </c>
      <c r="CL12" s="154" cm="1">
        <f t="array" ref="CL12">IF($CH12="-","-",CI12*3+CJ12)</f>
        <v>5</v>
      </c>
      <c r="CM12" s="154">
        <v>1</v>
      </c>
      <c r="CN12" t="s" s="125">
        <v>135</v>
      </c>
      <c r="CO12" s="154" cm="1">
        <f t="array" ref="CO12">IF($CN12="-","-",_xlfn.SUMIFS($AC$4:$AC$97,$AA$4:$AA$97,$BD12,$R$4:$R$97,$CN12)+_xlfn.SUMIFS($AD$4:$AD$97,$AF$4:$AF$97,$BD12,$Q$4:$Q$97,$CN12))</f>
        <v>4</v>
      </c>
      <c r="CP12" s="154" cm="1">
        <f t="array" ref="CP12">IF($CN12="-","-",_xlfn.SUMIFS($AD$4:$AD$97,$AA$4:$AA$97,$BD12,$R$4:$R$97,$CN12)+_xlfn.SUMIFS($AC$4:$AC$97,$AF$4:$AF$97,$BD12,$Q$4:$Q$97,$CN12))</f>
        <v>3</v>
      </c>
      <c r="CQ12" s="154" cm="1">
        <f t="array" ref="CQ12">IF($CN12="-","-",CO12-CP12)</f>
        <v>1</v>
      </c>
      <c r="CR12" s="154">
        <v>1</v>
      </c>
      <c r="CS12" t="s" s="125">
        <v>135</v>
      </c>
      <c r="CT12" s="154" cm="1">
        <f t="array" ref="CT12">IF($CS12="-","-",_xlfn.SUMIFS($AC$4:$AC$97,$AA$4:$AA$97,$BD12,$U$4:$U$97,$CS12)+_xlfn.SUMIFS($AD$4:$AD$97,$AF$4:$AF$97,$BD12,$T$4:$T$97,$CS12))</f>
        <v>4</v>
      </c>
      <c r="CU12" s="154">
        <v>1</v>
      </c>
      <c r="CV12" t="s" s="125">
        <v>135</v>
      </c>
      <c r="CW12" s="154" cm="1">
        <f t="array" ref="CW12">IF(CV12="-","-",BL12)</f>
        <v>1</v>
      </c>
      <c r="CX12" s="154">
        <v>1</v>
      </c>
      <c r="CY12" t="s" s="125">
        <v>135</v>
      </c>
      <c r="CZ12" s="154" cm="1">
        <f t="array" ref="CZ12">IF(CY12="-","-",BJ12)</f>
        <v>4</v>
      </c>
      <c r="DA12" s="154">
        <v>1</v>
      </c>
      <c r="DB12" t="s" s="125">
        <v>135</v>
      </c>
      <c r="DC12" s="154">
        <v>3</v>
      </c>
      <c r="DD12" s="154">
        <v>3</v>
      </c>
      <c r="DE12" s="140"/>
      <c r="DF12" s="154" cm="1">
        <f t="array" ref="DF12">IF(OR(INDEX($AW$6:$AW$97,MATCH($BD12,$AV$6:$AV$97,0))="",DB12="-"),DD12,INDEX($AW$6:$AW$97,MATCH($BD12,$AV$6:$AV$97,0))+DD12/1000)</f>
        <v>3</v>
      </c>
      <c r="DG12" s="154">
        <v>2</v>
      </c>
      <c r="DH12" s="154">
        <v>3</v>
      </c>
      <c r="DI12" s="140"/>
      <c r="DJ12" s="154" cm="1">
        <f t="array" ref="DJ12">INDEX($DA$6:$DA$53,MATCH($DQ12,$BD$6:$BD$53,0))</f>
        <v>1</v>
      </c>
      <c r="DK12" s="154" cm="1">
        <f t="array" ref="DK12">SUMIF($BC$6:$BC$53,BC12,$BF$6:$BF$53)</f>
        <v>12</v>
      </c>
      <c r="DL12" s="154" cm="1">
        <f t="array" ref="DL12">IF(OR(DK12=12,$AJ$99=144),_xlfn.COUNTIFS($DJ$6:$DJ$53,DJ12,$BC$6:$BC$53,BC12),1)</f>
        <v>4</v>
      </c>
      <c r="DM12" t="str" s="140" cm="1">
        <f t="array" ref="DM12">DJ12&amp;"."&amp;DL12</f>
        <v>1.4</v>
      </c>
      <c r="DN12" s="154">
        <v>1</v>
      </c>
      <c r="DO12" s="140"/>
      <c r="DP12" t="s" s="125">
        <v>179</v>
      </c>
      <c r="DQ12" t="str" s="140" cm="1">
        <f t="array" ref="DQ12">INDEX($BD$6:$BD$53,MATCH(DP12,$BM$6:$BM$53,0))</f>
        <v>Catar</v>
      </c>
      <c r="DR12" s="87"/>
      <c r="DS12" s="87"/>
      <c r="DT12" s="88"/>
      <c r="DU12" s="12"/>
    </row>
    <row r="13" ht="16" customHeight="1">
      <c r="A13" t="s" s="89">
        <v>160</v>
      </c>
      <c r="B13" s="78"/>
      <c r="C13" s="78"/>
      <c r="D13" t="str" s="78" cm="1">
        <f t="array" ref="D13">IF(OR(AC13="",AD13=""),"Pendiente",IF(AC13&gt;AD13,"Local",IF(AC13&lt;AD13,"Visitante","Empate")))</f>
        <v>Empate</v>
      </c>
      <c r="E13" t="str" s="78" cm="1">
        <f t="array" ref="E13">IF(D13="Pendiente","-",INDEX($BT$6:$BT$53,MATCH($AA13,$BD$6:$BD$53,0)))</f>
        <v>P.1 (4)</v>
      </c>
      <c r="F13" t="str" s="78" cm="1">
        <f t="array" ref="F13">IF(D13="Pendiente","-",INDEX($BT$6:$BT$53,MATCH($AF13,$BD$6:$BD$53,0)))</f>
        <v>P.1 (4)</v>
      </c>
      <c r="G13" s="78"/>
      <c r="H13" t="str" s="78" cm="1">
        <f t="array" ref="H13">IF(D13="Pendiente","-",INDEX($BZ$6:$BZ$53,MATCH($AA13,$BD$6:$BD$53,0)))</f>
        <v>P.1 (4)</v>
      </c>
      <c r="I13" t="str" s="78" cm="1">
        <f t="array" ref="I13">IF(D13="Pendiente","-",INDEX($BZ$6:$BZ$53,MATCH($AF13,$BD$6:$BD$53,0)))</f>
        <v>P.1 (4)</v>
      </c>
      <c r="J13" s="78"/>
      <c r="K13" t="str" s="78" cm="1">
        <f t="array" ref="K13">IF(D13="Pendiente","-",INDEX($CE$6:$CE$53,MATCH($AA13,$BD$6:$BD$53,0)))</f>
        <v>P.1 (4)</v>
      </c>
      <c r="L13" t="str" s="78" cm="1">
        <f t="array" ref="L13">IF(D13="Pendiente","-",INDEX($CE$6:$CE$53,MATCH($AF13,$BD$6:$BD$53,0)))</f>
        <v>P.1 (4)</v>
      </c>
      <c r="M13" s="78"/>
      <c r="N13" t="str" s="78" cm="1">
        <f t="array" ref="N13">IF(D13="Pendiente","-",INDEX($CH$6:$CH$53,MATCH($AA13,$BD$6:$BD$53,0)))</f>
        <v>P.1 (4)</v>
      </c>
      <c r="O13" t="str" s="78" cm="1">
        <f t="array" ref="O13">IF(D13="Pendiente","-",INDEX($CH$6:$CH$53,MATCH($AF13,$BD$6:$BD$53,0)))</f>
        <v>P.1 (4)</v>
      </c>
      <c r="P13" s="78"/>
      <c r="Q13" t="str" s="78" cm="1">
        <f t="array" ref="Q13">IF(D13="Pendiente","-",INDEX($CN$6:$CN$53,MATCH($AA13,$BD$6:$BD$53,0)))</f>
        <v>P.1 (4)</v>
      </c>
      <c r="R13" t="str" s="78" cm="1">
        <f t="array" ref="R13">IF(D13="Pendiente","-",INDEX($CN$6:$CN$53,MATCH($AF13,$BD$6:$BD$53,0)))</f>
        <v>P.1 (4)</v>
      </c>
      <c r="S13" s="78"/>
      <c r="T13" t="str" s="78" cm="1">
        <f t="array" ref="T13">IF(D13="Pendiente","-",INDEX($CS$6:$CS$53,MATCH($AA13,$BD$6:$BD$53,0)))</f>
        <v>P.1 (4)</v>
      </c>
      <c r="U13" t="str" s="78" cm="1">
        <f t="array" ref="U13">IF(D13="Pendiente","-",INDEX($CS$6:$CS$53,MATCH($AF13,$BD$6:$BD$53,0)))</f>
        <v>P.1 (4)</v>
      </c>
      <c r="V13" s="90"/>
      <c r="W13" s="126"/>
      <c r="X13" s="107">
        <v>46186.625</v>
      </c>
      <c r="Y13" s="108">
        <v>46186.625</v>
      </c>
      <c r="Z13" t="str" s="127" cm="1">
        <f t="array" ref="Z13">$Z$4</f>
        <v>J1</v>
      </c>
      <c r="AA13" t="str" s="110" cm="1">
        <f t="array" ref="AA13">A15</f>
        <v>Catar</v>
      </c>
      <c r="AB13" s="111"/>
      <c r="AC13" s="128">
        <v>1</v>
      </c>
      <c r="AD13" s="128">
        <v>1</v>
      </c>
      <c r="AE13" s="113"/>
      <c r="AF13" t="str" s="114" cm="1">
        <f t="array" ref="AF13">A16</f>
        <v>Suiza</v>
      </c>
      <c r="AG13" s="115" cm="1">
        <f t="array" ref="AG13">IF(NOT(OR(ISBLANK(AC13),ISBLANK(AD13))),1,0)</f>
        <v>1</v>
      </c>
      <c r="AH13" s="116">
        <v>8</v>
      </c>
      <c r="AI13" s="117"/>
      <c r="AJ13" t="str" s="213" cm="1">
        <f t="array" ref="AJ13">AJ5</f>
        <v>Pos</v>
      </c>
      <c r="AK13" s="130"/>
      <c r="AL13" t="str" s="214" cm="1">
        <f t="array" ref="AL13">AL5</f>
        <v>Selección</v>
      </c>
      <c r="AM13" t="str" s="130" cm="1">
        <f t="array" ref="AM13">AM5</f>
        <v>Pts</v>
      </c>
      <c r="AN13" t="str" s="130" cm="1">
        <f t="array" ref="AN13">AN5</f>
        <v>J</v>
      </c>
      <c r="AO13" t="str" s="130" cm="1">
        <f t="array" ref="AO13">AO5</f>
        <v>G</v>
      </c>
      <c r="AP13" t="str" s="130" cm="1">
        <f t="array" ref="AP13">AP5</f>
        <v>E</v>
      </c>
      <c r="AQ13" t="str" s="130" cm="1">
        <f t="array" ref="AQ13">AQ5</f>
        <v>P</v>
      </c>
      <c r="AR13" t="str" s="130" cm="1">
        <f t="array" ref="AR13">AR5</f>
        <v>GF</v>
      </c>
      <c r="AS13" t="str" s="130" cm="1">
        <f t="array" ref="AS13">AS5</f>
        <v>GC</v>
      </c>
      <c r="AT13" t="str" s="215" cm="1">
        <f t="array" ref="AT13">AT5</f>
        <v>DG</v>
      </c>
      <c r="AU13" s="216" cm="1">
        <f t="array" ref="AU13">COUNTIF(AU14:AU17,"&gt;1")</f>
        <v>4</v>
      </c>
      <c r="AV13" s="135"/>
      <c r="AW13" s="217"/>
      <c r="AX13" s="218"/>
      <c r="AY13" t="str" s="137" cm="1">
        <f t="array" ref="AY13">AL13</f>
        <v>Selección</v>
      </c>
      <c r="AZ13" t="s" s="138">
        <v>70</v>
      </c>
      <c r="BA13" s="139"/>
      <c r="BB13" s="87"/>
      <c r="BC13" t="s" s="125">
        <v>159</v>
      </c>
      <c r="BD13" t="s" s="125">
        <v>194</v>
      </c>
      <c r="BE13" s="154" cm="1">
        <f t="array" ref="BE13">BG13*3+BH13+IF($AZ$3="No",0,INDEX($AZ$6:$AZ$97,MATCH(BD13,$AY$6:$AY$97,0)))</f>
        <v>7</v>
      </c>
      <c r="BF13" s="154" cm="1">
        <f t="array" ref="BF13">BG13+BH13+BI13</f>
        <v>3</v>
      </c>
      <c r="BG13" s="154" cm="1">
        <f t="array" ref="BG13">_xlfn.COUNTIFS($AA$4:$AA$97,BD13,$D$4:$D$97,"Local")+_xlfn.COUNTIFS($AF$4:$AF$97,BD13,$D$4:$D$97,"Visitante")</f>
        <v>2</v>
      </c>
      <c r="BH13" s="154" cm="1">
        <f t="array" ref="BH13">_xlfn.COUNTIFS($AA$4:$AA$97,BD13,$D$4:$D$97,"Empate")+_xlfn.COUNTIFS($AF$4:$AF$97,BD13,$D$4:$D$97,"Empate")</f>
        <v>1</v>
      </c>
      <c r="BI13" s="154" cm="1">
        <f t="array" ref="BI13">_xlfn.COUNTIFS($AF$4:$AF$97,BD13,$D$4:$D$97,"Local")+_xlfn.COUNTIFS($AA$4:$AA$97,BD13,$D$4:$D$97,"Visitante")</f>
        <v>0</v>
      </c>
      <c r="BJ13" s="154" cm="1">
        <f t="array" ref="BJ13">_xlfn.SUMIFS($AC$4:$AC$97,$AA$4:$AA$97,BD13,$D$4:$D$97,"&lt;&gt;"&amp;"Pendiente",$AC$4:$AC$97,"&lt;&gt;"&amp;"",$AD$4:$AD$97,"&lt;&gt;"&amp;"")+_xlfn.SUMIFS($AD$4:$AD$97,$AF$4:$AF$97,BD13,$D$4:$D$97,"&lt;&gt;"&amp;"Pendiente",$AC$4:$AC$97,"&lt;&gt;"&amp;"",$AD$4:$AD$97,"&lt;&gt;"&amp;"")</f>
        <v>5</v>
      </c>
      <c r="BK13" s="154" cm="1">
        <f t="array" ref="BK13">_xlfn.SUMIFS($AC$4:$AC$97,$AF$4:$AF$97,BD13,$D$4:$D$97,"&lt;&gt;"&amp;"Pendiente",$AC$4:$AC$97,"&lt;&gt;"&amp;"",$AD$4:$AD$97,"&lt;&gt;"&amp;"")+_xlfn.SUMIFS($AD$4:$AD$97,$AA$4:$AA$97,BD13,$D$4:$D$97,"&lt;&gt;"&amp;"Pendiente",$AC$4:$AC$97,"&lt;&gt;"&amp;"",$AD$4:$AD$97,"&lt;&gt;"&amp;"")</f>
        <v>3</v>
      </c>
      <c r="BL13" s="154" cm="1">
        <f t="array" ref="BL13">BJ13-BK13</f>
        <v>2</v>
      </c>
      <c r="BM13" t="str" s="140" cm="1">
        <f t="array" ref="BM13">DD13&amp;BC13</f>
        <v>4B</v>
      </c>
      <c r="BN13" t="str" s="140" cm="1">
        <f t="array" ref="BN13">DH13&amp;BC13</f>
        <v>4B</v>
      </c>
      <c r="BO13" s="154" cm="1">
        <f t="array" ref="BO13">IF(AND($AJ$99=144,BF13&gt;=1),1,0)</f>
        <v>0</v>
      </c>
      <c r="BP13" s="154">
        <v>1</v>
      </c>
      <c r="BQ13" t="s" s="125">
        <v>135</v>
      </c>
      <c r="BR13" s="154" cm="1">
        <f t="array" ref="BR13">IF($BQ13="-","-",BE13)</f>
        <v>7</v>
      </c>
      <c r="BS13" s="154">
        <v>1</v>
      </c>
      <c r="BT13" t="s" s="125">
        <v>135</v>
      </c>
      <c r="BU13" s="154" cm="1">
        <f t="array" ref="BU13">IF($BT13="-","-",_xlfn.COUNTIFS($AA$4:$AA$97,$BD13,$D$4:$D$97,"Local",$F$4:$F$97,$BT13)+_xlfn.COUNTIFS($AF$4:$AF$97,$BD13,$D$4:$D$97,"Visitante",$E$4:$E$97,$BT13))</f>
        <v>2</v>
      </c>
      <c r="BV13" s="154" cm="1">
        <f t="array" ref="BV13">IF($BT13="-","-",_xlfn.COUNTIFS($AA$4:$AA$97,$BD13,$D$4:$D$97,"Empate",$F$4:$F$97,$BT13)+_xlfn.COUNTIFS($AF$4:$AF$97,$BD13,$D$4:$D$97,"Empate",$E$4:$E$97,$BT13))</f>
        <v>1</v>
      </c>
      <c r="BW13" s="154" cm="1">
        <f t="array" ref="BW13">IF($BT13="-","-",_xlfn.COUNTIFS($AA$4:$AA$97,$BD13,$D$4:$D$97,"Visitante",$F$4:$F$97,$BT13)+_xlfn.COUNTIFS($AF$4:$AF$97,$BD13,$D$4:$D$97,"Local",$E$4:$E$97,$BT13))</f>
        <v>0</v>
      </c>
      <c r="BX13" s="154" cm="1">
        <f t="array" ref="BX13">IF($BT13="-","-",BU13*3+BV13)</f>
        <v>7</v>
      </c>
      <c r="BY13" s="154">
        <v>1</v>
      </c>
      <c r="BZ13" t="s" s="125">
        <v>135</v>
      </c>
      <c r="CA13" s="154" cm="1">
        <f t="array" ref="CA13">IF($BZ13="-","-",_xlfn.SUMIFS($AC$4:$AC$97,$AA$4:$AA$97,$BD13,$I$4:$I$97,$BZ13)+_xlfn.SUMIFS($AD$4:$AD$97,$AF$4:$AF$97,$BD13,$H$4:$H$97,$BZ13))</f>
        <v>5</v>
      </c>
      <c r="CB13" s="154" cm="1">
        <f t="array" ref="CB13">IF($BZ13="-","-",_xlfn.SUMIFS($AD$4:$AD$97,$AA$4:$AA$97,$BD13,$I$4:$I$97,$BZ13)+_xlfn.SUMIFS($AC$4:$AC$97,$AF$4:$AF$97,$BD13,$H$4:$H$97,$BZ13))</f>
        <v>3</v>
      </c>
      <c r="CC13" s="154" cm="1">
        <f t="array" ref="CC13">IF($BZ13="-","-",CA13-CB13)</f>
        <v>2</v>
      </c>
      <c r="CD13" s="154">
        <v>1</v>
      </c>
      <c r="CE13" t="s" s="125">
        <v>135</v>
      </c>
      <c r="CF13" s="154" cm="1">
        <f t="array" ref="CF13">IF($CE13="-","-",_xlfn.SUMIFS($AC$4:$AC$97,$AA$4:$AA$97,$BD13,$L$4:$L$97,$CE13)+_xlfn.SUMIFS($AD$4:$AD$97,$AF$4:$AF$97,$BD13,$K$4:$K$97,$CE13))</f>
        <v>5</v>
      </c>
      <c r="CG13" s="154">
        <v>1</v>
      </c>
      <c r="CH13" t="s" s="125">
        <v>135</v>
      </c>
      <c r="CI13" s="154" cm="1">
        <f t="array" ref="CI13">IF($CH13="-","-",_xlfn.COUNTIFS($AA$4:$AA$97,$BD13,$D$4:$D$97,"Local",$O$4:$O$97,$CH13)+_xlfn.COUNTIFS($AF$4:$AF$97,$BD13,$D$4:$D$97,"Visitante",$N$4:$N$97,$CH13))</f>
        <v>2</v>
      </c>
      <c r="CJ13" s="154" cm="1">
        <f t="array" ref="CJ13">IF($CH13="-","-",_xlfn.COUNTIFS($AA$4:$AA$97,$BD13,$D$4:$D$97,"Empate",$O$4:$O$97,$CH13)+_xlfn.COUNTIFS($AF$4:$AF$97,$BD13,$D$4:$D$97,"Empate",$N$4:$N$97,$CH13))</f>
        <v>1</v>
      </c>
      <c r="CK13" s="154" cm="1">
        <f t="array" ref="CK13">IF($CH13="-","-",_xlfn.COUNTIFS($AA$4:$AA$97,$BD13,$D$4:$D$97,"Visitante",$O$4:$O$97,$CH13)+_xlfn.COUNTIFS($AF$4:$AF$97,$BD13,$D$4:$D$97,"Local",$N$4:$N$97,$CH13))</f>
        <v>0</v>
      </c>
      <c r="CL13" s="154" cm="1">
        <f t="array" ref="CL13">IF($CH13="-","-",CI13*3+CJ13)</f>
        <v>7</v>
      </c>
      <c r="CM13" s="154">
        <v>1</v>
      </c>
      <c r="CN13" t="s" s="125">
        <v>135</v>
      </c>
      <c r="CO13" s="154" cm="1">
        <f t="array" ref="CO13">IF($CN13="-","-",_xlfn.SUMIFS($AC$4:$AC$97,$AA$4:$AA$97,$BD13,$R$4:$R$97,$CN13)+_xlfn.SUMIFS($AD$4:$AD$97,$AF$4:$AF$97,$BD13,$Q$4:$Q$97,$CN13))</f>
        <v>5</v>
      </c>
      <c r="CP13" s="154" cm="1">
        <f t="array" ref="CP13">IF($CN13="-","-",_xlfn.SUMIFS($AD$4:$AD$97,$AA$4:$AA$97,$BD13,$R$4:$R$97,$CN13)+_xlfn.SUMIFS($AC$4:$AC$97,$AF$4:$AF$97,$BD13,$Q$4:$Q$97,$CN13))</f>
        <v>3</v>
      </c>
      <c r="CQ13" s="154" cm="1">
        <f t="array" ref="CQ13">IF($CN13="-","-",CO13-CP13)</f>
        <v>2</v>
      </c>
      <c r="CR13" s="154">
        <v>1</v>
      </c>
      <c r="CS13" t="s" s="125">
        <v>135</v>
      </c>
      <c r="CT13" s="154" cm="1">
        <f t="array" ref="CT13">IF($CS13="-","-",_xlfn.SUMIFS($AC$4:$AC$97,$AA$4:$AA$97,$BD13,$U$4:$U$97,$CS13)+_xlfn.SUMIFS($AD$4:$AD$97,$AF$4:$AF$97,$BD13,$T$4:$T$97,$CS13))</f>
        <v>5</v>
      </c>
      <c r="CU13" s="154">
        <v>1</v>
      </c>
      <c r="CV13" t="s" s="125">
        <v>135</v>
      </c>
      <c r="CW13" s="154" cm="1">
        <f t="array" ref="CW13">IF(CV13="-","-",BL13)</f>
        <v>2</v>
      </c>
      <c r="CX13" s="154">
        <v>1</v>
      </c>
      <c r="CY13" t="s" s="125">
        <v>135</v>
      </c>
      <c r="CZ13" s="154" cm="1">
        <f t="array" ref="CZ13">IF(CY13="-","-",BJ13)</f>
        <v>5</v>
      </c>
      <c r="DA13" s="154">
        <v>1</v>
      </c>
      <c r="DB13" t="s" s="125">
        <v>135</v>
      </c>
      <c r="DC13" s="154">
        <v>4</v>
      </c>
      <c r="DD13" s="154">
        <v>4</v>
      </c>
      <c r="DE13" s="140"/>
      <c r="DF13" s="154" cm="1">
        <f t="array" ref="DF13">IF(OR(INDEX($AW$6:$AW$97,MATCH($BD13,$AV$6:$AV$97,0))="",DB13="-"),DD13,INDEX($AW$6:$AW$97,MATCH($BD13,$AV$6:$AV$97,0))+DD13/1000)</f>
        <v>4</v>
      </c>
      <c r="DG13" s="154">
        <v>3</v>
      </c>
      <c r="DH13" s="154">
        <v>4</v>
      </c>
      <c r="DI13" s="140"/>
      <c r="DJ13" s="154" cm="1">
        <f t="array" ref="DJ13">INDEX($DA$6:$DA$53,MATCH($DQ13,$BD$6:$BD$53,0))</f>
        <v>1</v>
      </c>
      <c r="DK13" s="154" cm="1">
        <f t="array" ref="DK13">SUMIF($BC$6:$BC$53,BC13,$BF$6:$BF$53)</f>
        <v>12</v>
      </c>
      <c r="DL13" s="154" cm="1">
        <f t="array" ref="DL13">IF(OR(DK13=12,$AJ$99=144),_xlfn.COUNTIFS($DJ$6:$DJ$53,DJ13,$BC$6:$BC$53,BC13),1)</f>
        <v>4</v>
      </c>
      <c r="DM13" t="str" s="140" cm="1">
        <f t="array" ref="DM13">DJ13&amp;"."&amp;DL13</f>
        <v>1.4</v>
      </c>
      <c r="DN13" s="154">
        <v>1</v>
      </c>
      <c r="DO13" s="140"/>
      <c r="DP13" t="s" s="125">
        <v>196</v>
      </c>
      <c r="DQ13" t="str" s="140" cm="1">
        <f t="array" ref="DQ13">INDEX($BD$6:$BD$53,MATCH(DP13,$BM$6:$BM$53,0))</f>
        <v>Suiza</v>
      </c>
      <c r="DR13" s="87"/>
      <c r="DS13" s="87"/>
      <c r="DT13" s="88"/>
      <c r="DU13" s="12"/>
    </row>
    <row r="14" ht="16" customHeight="1">
      <c r="A14" t="s" s="89">
        <v>170</v>
      </c>
      <c r="B14" s="78"/>
      <c r="C14" s="78"/>
      <c r="D14" t="str" s="78" cm="1">
        <f t="array" ref="D14">IF(OR(AC14="",AD14=""),"Pendiente",IF(AC14&gt;AD14,"Local",IF(AC14&lt;AD14,"Visitante","Empate")))</f>
        <v>Local</v>
      </c>
      <c r="E14" t="str" s="78" cm="1">
        <f t="array" ref="E14">IF(D14="Pendiente","-",INDEX($BT$6:$BT$53,MATCH($AA14,$BD$6:$BD$53,0)))</f>
        <v>P.1 (4)</v>
      </c>
      <c r="F14" t="str" s="78" cm="1">
        <f t="array" ref="F14">IF(D14="Pendiente","-",INDEX($BT$6:$BT$53,MATCH($AF14,$BD$6:$BD$53,0)))</f>
        <v>P.1 (4)</v>
      </c>
      <c r="G14" s="78"/>
      <c r="H14" t="str" s="78" cm="1">
        <f t="array" ref="H14">IF(D14="Pendiente","-",INDEX($BZ$6:$BZ$53,MATCH($AA14,$BD$6:$BD$53,0)))</f>
        <v>P.1 (4)</v>
      </c>
      <c r="I14" t="str" s="78" cm="1">
        <f t="array" ref="I14">IF(D14="Pendiente","-",INDEX($BZ$6:$BZ$53,MATCH($AF14,$BD$6:$BD$53,0)))</f>
        <v>P.1 (4)</v>
      </c>
      <c r="J14" s="78"/>
      <c r="K14" t="str" s="78" cm="1">
        <f t="array" ref="K14">IF(D14="Pendiente","-",INDEX($CE$6:$CE$53,MATCH($AA14,$BD$6:$BD$53,0)))</f>
        <v>P.1 (4)</v>
      </c>
      <c r="L14" t="str" s="78" cm="1">
        <f t="array" ref="L14">IF(D14="Pendiente","-",INDEX($CE$6:$CE$53,MATCH($AF14,$BD$6:$BD$53,0)))</f>
        <v>P.1 (4)</v>
      </c>
      <c r="M14" s="78"/>
      <c r="N14" t="str" s="78" cm="1">
        <f t="array" ref="N14">IF(D14="Pendiente","-",INDEX($CH$6:$CH$53,MATCH($AA14,$BD$6:$BD$53,0)))</f>
        <v>P.1 (4)</v>
      </c>
      <c r="O14" t="str" s="78" cm="1">
        <f t="array" ref="O14">IF(D14="Pendiente","-",INDEX($CH$6:$CH$53,MATCH($AF14,$BD$6:$BD$53,0)))</f>
        <v>P.1 (4)</v>
      </c>
      <c r="P14" s="78"/>
      <c r="Q14" t="str" s="78" cm="1">
        <f t="array" ref="Q14">IF(D14="Pendiente","-",INDEX($CN$6:$CN$53,MATCH($AA14,$BD$6:$BD$53,0)))</f>
        <v>P.1 (4)</v>
      </c>
      <c r="R14" t="str" s="78" cm="1">
        <f t="array" ref="R14">IF(D14="Pendiente","-",INDEX($CN$6:$CN$53,MATCH($AF14,$BD$6:$BD$53,0)))</f>
        <v>P.1 (4)</v>
      </c>
      <c r="S14" s="78"/>
      <c r="T14" t="str" s="78" cm="1">
        <f t="array" ref="T14">IF(D14="Pendiente","-",INDEX($CS$6:$CS$53,MATCH($AA14,$BD$6:$BD$53,0)))</f>
        <v>P.1 (4)</v>
      </c>
      <c r="U14" t="str" s="78" cm="1">
        <f t="array" ref="U14">IF(D14="Pendiente","-",INDEX($CS$6:$CS$53,MATCH($AF14,$BD$6:$BD$53,0)))</f>
        <v>P.1 (4)</v>
      </c>
      <c r="V14" s="90"/>
      <c r="W14" s="141"/>
      <c r="X14" s="107">
        <v>46191.625</v>
      </c>
      <c r="Y14" s="108">
        <v>46191.625</v>
      </c>
      <c r="Z14" t="str" s="127" cm="1">
        <f t="array" ref="Z14">$Z$6</f>
        <v>J2</v>
      </c>
      <c r="AA14" t="str" s="110" cm="1">
        <f t="array" ref="AA14">A16</f>
        <v>Suiza</v>
      </c>
      <c r="AB14" s="111"/>
      <c r="AC14" s="128">
        <v>2</v>
      </c>
      <c r="AD14" s="128">
        <v>1</v>
      </c>
      <c r="AE14" s="113"/>
      <c r="AF14" t="str" s="114" cm="1">
        <f t="array" ref="AF14">A14</f>
        <v>Bosnia y Herzegovina</v>
      </c>
      <c r="AG14" s="115" cm="1">
        <f t="array" ref="AG14">IF(NOT(OR(ISBLANK(AC14),ISBLANK(AD14))),1,0)</f>
        <v>1</v>
      </c>
      <c r="AH14" s="116">
        <v>26</v>
      </c>
      <c r="AI14" t="str" s="219" cm="1">
        <f t="array" ref="AI14">AJ14&amp;$B$12</f>
        <v>1B</v>
      </c>
      <c r="AJ14" s="220">
        <v>1</v>
      </c>
      <c r="AK14" s="221"/>
      <c r="AL14" t="str" s="144" cm="1">
        <f t="array" ref="AL14">_xlfn.IFERROR(INDEX($BD$6:$BD$53,MATCH(AI14,$BN$6:$BN$53,0)),"")</f>
        <v>Canadá</v>
      </c>
      <c r="AM14" s="145" cm="1">
        <f t="array" ref="AM14">INDEX($BE$6:$BN$53,MATCH($AL14,$BD$6:$BD$53,0),MATCH(AM$5,$BE$5:$BN$5,0))</f>
        <v>4</v>
      </c>
      <c r="AN14" s="146" cm="1">
        <f t="array" ref="AN14">INDEX($BE$6:$BN$53,MATCH($AL14,$BD$6:$BD$53,0),MATCH(AN$5,$BE$5:$BN$5,0))</f>
        <v>3</v>
      </c>
      <c r="AO14" s="146" cm="1">
        <f t="array" ref="AO14">INDEX($BE$6:$BN$53,MATCH($AL14,$BD$6:$BD$53,0),MATCH(AO$5,$BE$5:$BN$5,0))</f>
        <v>1</v>
      </c>
      <c r="AP14" s="146" cm="1">
        <f t="array" ref="AP14">INDEX($BE$6:$BN$53,MATCH($AL14,$BD$6:$BD$53,0),MATCH(AP$5,$BE$5:$BN$5,0))</f>
        <v>1</v>
      </c>
      <c r="AQ14" s="146" cm="1">
        <f t="array" ref="AQ14">INDEX($BE$6:$BN$53,MATCH($AL14,$BD$6:$BD$53,0),MATCH(AQ$5,$BE$5:$BN$5,0))</f>
        <v>1</v>
      </c>
      <c r="AR14" s="146" cm="1">
        <f t="array" ref="AR14">INDEX($BE$6:$BN$53,MATCH($AL14,$BD$6:$BD$53,0),MATCH(AR$5,$BE$5:$BN$5,0))</f>
        <v>5</v>
      </c>
      <c r="AS14" s="146" cm="1">
        <f t="array" ref="AS14">INDEX($BE$6:$BN$53,MATCH($AL14,$BD$6:$BD$53,0),MATCH(AS$5,$BE$5:$BN$5,0))</f>
        <v>4</v>
      </c>
      <c r="AT14" s="222" cm="1">
        <f t="array" ref="AT14">INDEX($BE$6:$BN$53,MATCH($AL14,$BD$6:$BD$53,0),MATCH(AT$5,$BE$5:$BN$5,0))</f>
        <v>1</v>
      </c>
      <c r="AU14" s="223" cm="1">
        <f t="array" ref="AU14">INDEX($DL$6:$DL$53,MATCH(AI14,$DP$6:$DP$53,0))</f>
        <v>4</v>
      </c>
      <c r="AV14" t="str" s="149" cm="1">
        <f t="array" ref="AV14">INDEX($BD$6:$BD$53,MATCH(AI14,$BM$6:$BM$53,0))</f>
        <v>Canadá</v>
      </c>
      <c r="AW14" s="150"/>
      <c r="AX14" s="151"/>
      <c r="AY14" t="str" s="152" cm="1">
        <f t="array" ref="AY14">A13</f>
        <v>Canadá</v>
      </c>
      <c r="AZ14" s="153"/>
      <c r="BA14" s="139"/>
      <c r="BB14" s="87"/>
      <c r="BC14" t="s" s="125">
        <v>200</v>
      </c>
      <c r="BD14" t="s" s="125">
        <v>201</v>
      </c>
      <c r="BE14" s="154" cm="1">
        <f t="array" ref="BE14">BG14*3+BH14+IF($AZ$3="No",0,INDEX($AZ$6:$AZ$97,MATCH(BD14,$AY$6:$AY$97,0)))</f>
        <v>9</v>
      </c>
      <c r="BF14" s="154" cm="1">
        <f t="array" ref="BF14">BG14+BH14+BI14</f>
        <v>3</v>
      </c>
      <c r="BG14" s="154" cm="1">
        <f t="array" ref="BG14">_xlfn.COUNTIFS($AA$4:$AA$97,BD14,$D$4:$D$97,"Local")+_xlfn.COUNTIFS($AF$4:$AF$97,BD14,$D$4:$D$97,"Visitante")</f>
        <v>3</v>
      </c>
      <c r="BH14" s="154" cm="1">
        <f t="array" ref="BH14">_xlfn.COUNTIFS($AA$4:$AA$97,BD14,$D$4:$D$97,"Empate")+_xlfn.COUNTIFS($AF$4:$AF$97,BD14,$D$4:$D$97,"Empate")</f>
        <v>0</v>
      </c>
      <c r="BI14" s="154" cm="1">
        <f t="array" ref="BI14">_xlfn.COUNTIFS($AF$4:$AF$97,BD14,$D$4:$D$97,"Local")+_xlfn.COUNTIFS($AA$4:$AA$97,BD14,$D$4:$D$97,"Visitante")</f>
        <v>0</v>
      </c>
      <c r="BJ14" s="154" cm="1">
        <f t="array" ref="BJ14">_xlfn.SUMIFS($AC$4:$AC$97,$AA$4:$AA$97,BD14,$D$4:$D$97,"&lt;&gt;"&amp;"Pendiente",$AC$4:$AC$97,"&lt;&gt;"&amp;"",$AD$4:$AD$97,"&lt;&gt;"&amp;"")+_xlfn.SUMIFS($AD$4:$AD$97,$AF$4:$AF$97,BD14,$D$4:$D$97,"&lt;&gt;"&amp;"Pendiente",$AC$4:$AC$97,"&lt;&gt;"&amp;"",$AD$4:$AD$97,"&lt;&gt;"&amp;"")</f>
        <v>7</v>
      </c>
      <c r="BK14" s="154" cm="1">
        <f t="array" ref="BK14">_xlfn.SUMIFS($AC$4:$AC$97,$AF$4:$AF$97,BD14,$D$4:$D$97,"&lt;&gt;"&amp;"Pendiente",$AC$4:$AC$97,"&lt;&gt;"&amp;"",$AD$4:$AD$97,"&lt;&gt;"&amp;"")+_xlfn.SUMIFS($AD$4:$AD$97,$AA$4:$AA$97,BD14,$D$4:$D$97,"&lt;&gt;"&amp;"Pendiente",$AC$4:$AC$97,"&lt;&gt;"&amp;"",$AD$4:$AD$97,"&lt;&gt;"&amp;"")</f>
        <v>2</v>
      </c>
      <c r="BL14" s="154" cm="1">
        <f t="array" ref="BL14">BJ14-BK14</f>
        <v>5</v>
      </c>
      <c r="BM14" t="str" s="140" cm="1">
        <f t="array" ref="BM14">DD14&amp;BC14</f>
        <v>1C</v>
      </c>
      <c r="BN14" t="str" s="140" cm="1">
        <f t="array" ref="BN14">DH14&amp;BC14</f>
        <v>1C</v>
      </c>
      <c r="BO14" s="154" cm="1">
        <f t="array" ref="BO14">IF(AND($AJ$99=144,BF14&gt;=1),1,0)</f>
        <v>0</v>
      </c>
      <c r="BP14" s="154">
        <v>1</v>
      </c>
      <c r="BQ14" t="s" s="125">
        <v>135</v>
      </c>
      <c r="BR14" s="154" cm="1">
        <f t="array" ref="BR14">IF($BQ14="-","-",BE14)</f>
        <v>9</v>
      </c>
      <c r="BS14" s="154">
        <v>1</v>
      </c>
      <c r="BT14" t="s" s="125">
        <v>135</v>
      </c>
      <c r="BU14" s="154" cm="1">
        <f t="array" ref="BU14">IF($BT14="-","-",_xlfn.COUNTIFS($AA$4:$AA$97,$BD14,$D$4:$D$97,"Local",$F$4:$F$97,$BT14)+_xlfn.COUNTIFS($AF$4:$AF$97,$BD14,$D$4:$D$97,"Visitante",$E$4:$E$97,$BT14))</f>
        <v>3</v>
      </c>
      <c r="BV14" s="154" cm="1">
        <f t="array" ref="BV14">IF($BT14="-","-",_xlfn.COUNTIFS($AA$4:$AA$97,$BD14,$D$4:$D$97,"Empate",$F$4:$F$97,$BT14)+_xlfn.COUNTIFS($AF$4:$AF$97,$BD14,$D$4:$D$97,"Empate",$E$4:$E$97,$BT14))</f>
        <v>0</v>
      </c>
      <c r="BW14" s="154" cm="1">
        <f t="array" ref="BW14">IF($BT14="-","-",_xlfn.COUNTIFS($AA$4:$AA$97,$BD14,$D$4:$D$97,"Visitante",$F$4:$F$97,$BT14)+_xlfn.COUNTIFS($AF$4:$AF$97,$BD14,$D$4:$D$97,"Local",$E$4:$E$97,$BT14))</f>
        <v>0</v>
      </c>
      <c r="BX14" s="154" cm="1">
        <f t="array" ref="BX14">IF($BT14="-","-",BU14*3+BV14)</f>
        <v>9</v>
      </c>
      <c r="BY14" s="154">
        <v>1</v>
      </c>
      <c r="BZ14" t="s" s="125">
        <v>135</v>
      </c>
      <c r="CA14" s="154" cm="1">
        <f t="array" ref="CA14">IF($BZ14="-","-",_xlfn.SUMIFS($AC$4:$AC$97,$AA$4:$AA$97,$BD14,$I$4:$I$97,$BZ14)+_xlfn.SUMIFS($AD$4:$AD$97,$AF$4:$AF$97,$BD14,$H$4:$H$97,$BZ14))</f>
        <v>7</v>
      </c>
      <c r="CB14" s="154" cm="1">
        <f t="array" ref="CB14">IF($BZ14="-","-",_xlfn.SUMIFS($AD$4:$AD$97,$AA$4:$AA$97,$BD14,$I$4:$I$97,$BZ14)+_xlfn.SUMIFS($AC$4:$AC$97,$AF$4:$AF$97,$BD14,$H$4:$H$97,$BZ14))</f>
        <v>2</v>
      </c>
      <c r="CC14" s="154" cm="1">
        <f t="array" ref="CC14">IF($BZ14="-","-",CA14-CB14)</f>
        <v>5</v>
      </c>
      <c r="CD14" s="154">
        <v>1</v>
      </c>
      <c r="CE14" t="s" s="125">
        <v>135</v>
      </c>
      <c r="CF14" s="154" cm="1">
        <f t="array" ref="CF14">IF($CE14="-","-",_xlfn.SUMIFS($AC$4:$AC$97,$AA$4:$AA$97,$BD14,$L$4:$L$97,$CE14)+_xlfn.SUMIFS($AD$4:$AD$97,$AF$4:$AF$97,$BD14,$K$4:$K$97,$CE14))</f>
        <v>7</v>
      </c>
      <c r="CG14" s="154">
        <v>1</v>
      </c>
      <c r="CH14" t="s" s="125">
        <v>135</v>
      </c>
      <c r="CI14" s="154" cm="1">
        <f t="array" ref="CI14">IF($CH14="-","-",_xlfn.COUNTIFS($AA$4:$AA$97,$BD14,$D$4:$D$97,"Local",$O$4:$O$97,$CH14)+_xlfn.COUNTIFS($AF$4:$AF$97,$BD14,$D$4:$D$97,"Visitante",$N$4:$N$97,$CH14))</f>
        <v>3</v>
      </c>
      <c r="CJ14" s="154" cm="1">
        <f t="array" ref="CJ14">IF($CH14="-","-",_xlfn.COUNTIFS($AA$4:$AA$97,$BD14,$D$4:$D$97,"Empate",$O$4:$O$97,$CH14)+_xlfn.COUNTIFS($AF$4:$AF$97,$BD14,$D$4:$D$97,"Empate",$N$4:$N$97,$CH14))</f>
        <v>0</v>
      </c>
      <c r="CK14" s="154" cm="1">
        <f t="array" ref="CK14">IF($CH14="-","-",_xlfn.COUNTIFS($AA$4:$AA$97,$BD14,$D$4:$D$97,"Visitante",$O$4:$O$97,$CH14)+_xlfn.COUNTIFS($AF$4:$AF$97,$BD14,$D$4:$D$97,"Local",$N$4:$N$97,$CH14))</f>
        <v>0</v>
      </c>
      <c r="CL14" s="154" cm="1">
        <f t="array" ref="CL14">IF($CH14="-","-",CI14*3+CJ14)</f>
        <v>9</v>
      </c>
      <c r="CM14" s="154">
        <v>1</v>
      </c>
      <c r="CN14" t="s" s="125">
        <v>135</v>
      </c>
      <c r="CO14" s="154" cm="1">
        <f t="array" ref="CO14">IF($CN14="-","-",_xlfn.SUMIFS($AC$4:$AC$97,$AA$4:$AA$97,$BD14,$R$4:$R$97,$CN14)+_xlfn.SUMIFS($AD$4:$AD$97,$AF$4:$AF$97,$BD14,$Q$4:$Q$97,$CN14))</f>
        <v>7</v>
      </c>
      <c r="CP14" s="154" cm="1">
        <f t="array" ref="CP14">IF($CN14="-","-",_xlfn.SUMIFS($AD$4:$AD$97,$AA$4:$AA$97,$BD14,$R$4:$R$97,$CN14)+_xlfn.SUMIFS($AC$4:$AC$97,$AF$4:$AF$97,$BD14,$Q$4:$Q$97,$CN14))</f>
        <v>2</v>
      </c>
      <c r="CQ14" s="154" cm="1">
        <f t="array" ref="CQ14">IF($CN14="-","-",CO14-CP14)</f>
        <v>5</v>
      </c>
      <c r="CR14" s="154">
        <v>1</v>
      </c>
      <c r="CS14" t="s" s="125">
        <v>135</v>
      </c>
      <c r="CT14" s="154" cm="1">
        <f t="array" ref="CT14">IF($CS14="-","-",_xlfn.SUMIFS($AC$4:$AC$97,$AA$4:$AA$97,$BD14,$U$4:$U$97,$CS14)+_xlfn.SUMIFS($AD$4:$AD$97,$AF$4:$AF$97,$BD14,$T$4:$T$97,$CS14))</f>
        <v>7</v>
      </c>
      <c r="CU14" s="154">
        <v>1</v>
      </c>
      <c r="CV14" t="s" s="125">
        <v>135</v>
      </c>
      <c r="CW14" s="154" cm="1">
        <f t="array" ref="CW14">IF(CV14="-","-",BL14)</f>
        <v>5</v>
      </c>
      <c r="CX14" s="154">
        <v>1</v>
      </c>
      <c r="CY14" t="s" s="125">
        <v>135</v>
      </c>
      <c r="CZ14" s="154" cm="1">
        <f t="array" ref="CZ14">IF(CY14="-","-",BJ14)</f>
        <v>7</v>
      </c>
      <c r="DA14" s="154">
        <v>1</v>
      </c>
      <c r="DB14" t="s" s="125">
        <v>135</v>
      </c>
      <c r="DC14" s="154">
        <v>1</v>
      </c>
      <c r="DD14" s="154">
        <v>1</v>
      </c>
      <c r="DE14" s="140"/>
      <c r="DF14" s="154" cm="1">
        <f t="array" ref="DF14">IF(OR(INDEX($AW$6:$AW$97,MATCH($BD14,$AV$6:$AV$97,0))="",DB14="-"),DD14,INDEX($AW$6:$AW$97,MATCH($BD14,$AV$6:$AV$97,0))+DD14/1000)</f>
        <v>1</v>
      </c>
      <c r="DG14" s="154">
        <v>0</v>
      </c>
      <c r="DH14" s="154">
        <v>1</v>
      </c>
      <c r="DI14" s="140"/>
      <c r="DJ14" s="154" cm="1">
        <f t="array" ref="DJ14">INDEX($DA$6:$DA$53,MATCH($DQ14,$BD$6:$BD$53,0))</f>
        <v>1</v>
      </c>
      <c r="DK14" s="154" cm="1">
        <f t="array" ref="DK14">SUMIF($BC$6:$BC$53,BC14,$BF$6:$BF$53)</f>
        <v>12</v>
      </c>
      <c r="DL14" s="154" cm="1">
        <f t="array" ref="DL14">IF(OR(DK14=12,$AJ$99=144),_xlfn.COUNTIFS($DJ$6:$DJ$53,DJ14,$BC$6:$BC$53,BC14),1)</f>
        <v>4</v>
      </c>
      <c r="DM14" t="str" s="140" cm="1">
        <f t="array" ref="DM14">DJ14&amp;"."&amp;DL14</f>
        <v>1.4</v>
      </c>
      <c r="DN14" s="154">
        <v>1</v>
      </c>
      <c r="DO14" s="140"/>
      <c r="DP14" t="s" s="125">
        <v>203</v>
      </c>
      <c r="DQ14" t="str" s="140" cm="1">
        <f t="array" ref="DQ14">INDEX($BD$6:$BD$53,MATCH(DP14,$BM$6:$BM$53,0))</f>
        <v>Brasil</v>
      </c>
      <c r="DR14" s="87"/>
      <c r="DS14" s="87"/>
      <c r="DT14" s="88"/>
      <c r="DU14" s="12"/>
    </row>
    <row r="15" ht="16" customHeight="1">
      <c r="A15" t="s" s="89">
        <v>177</v>
      </c>
      <c r="B15" s="78"/>
      <c r="C15" s="78"/>
      <c r="D15" t="str" s="78" cm="1">
        <f t="array" ref="D15">IF(OR(AC15="",AD15=""),"Pendiente",IF(AC15&gt;AD15,"Local",IF(AC15&lt;AD15,"Visitante","Empate")))</f>
        <v>Empate</v>
      </c>
      <c r="E15" t="str" s="78" cm="1">
        <f t="array" ref="E15">IF(D15="Pendiente","-",INDEX($BT$6:$BT$53,MATCH($AA15,$BD$6:$BD$53,0)))</f>
        <v>P.1 (4)</v>
      </c>
      <c r="F15" t="str" s="78" cm="1">
        <f t="array" ref="F15">IF(D15="Pendiente","-",INDEX($BT$6:$BT$53,MATCH($AF15,$BD$6:$BD$53,0)))</f>
        <v>P.1 (4)</v>
      </c>
      <c r="G15" s="78"/>
      <c r="H15" t="str" s="78" cm="1">
        <f t="array" ref="H15">IF(D15="Pendiente","-",INDEX($BZ$6:$BZ$53,MATCH($AA15,$BD$6:$BD$53,0)))</f>
        <v>P.1 (4)</v>
      </c>
      <c r="I15" t="str" s="78" cm="1">
        <f t="array" ref="I15">IF(D15="Pendiente","-",INDEX($BZ$6:$BZ$53,MATCH($AF15,$BD$6:$BD$53,0)))</f>
        <v>P.1 (4)</v>
      </c>
      <c r="J15" s="78"/>
      <c r="K15" t="str" s="78" cm="1">
        <f t="array" ref="K15">IF(D15="Pendiente","-",INDEX($CE$6:$CE$53,MATCH($AA15,$BD$6:$BD$53,0)))</f>
        <v>P.1 (4)</v>
      </c>
      <c r="L15" t="str" s="78" cm="1">
        <f t="array" ref="L15">IF(D15="Pendiente","-",INDEX($CE$6:$CE$53,MATCH($AF15,$BD$6:$BD$53,0)))</f>
        <v>P.1 (4)</v>
      </c>
      <c r="M15" s="78"/>
      <c r="N15" t="str" s="78" cm="1">
        <f t="array" ref="N15">IF(D15="Pendiente","-",INDEX($CH$6:$CH$53,MATCH($AA15,$BD$6:$BD$53,0)))</f>
        <v>P.1 (4)</v>
      </c>
      <c r="O15" t="str" s="78" cm="1">
        <f t="array" ref="O15">IF(D15="Pendiente","-",INDEX($CH$6:$CH$53,MATCH($AF15,$BD$6:$BD$53,0)))</f>
        <v>P.1 (4)</v>
      </c>
      <c r="P15" s="78"/>
      <c r="Q15" t="str" s="78" cm="1">
        <f t="array" ref="Q15">IF(D15="Pendiente","-",INDEX($CN$6:$CN$53,MATCH($AA15,$BD$6:$BD$53,0)))</f>
        <v>P.1 (4)</v>
      </c>
      <c r="R15" t="str" s="78" cm="1">
        <f t="array" ref="R15">IF(D15="Pendiente","-",INDEX($CN$6:$CN$53,MATCH($AF15,$BD$6:$BD$53,0)))</f>
        <v>P.1 (4)</v>
      </c>
      <c r="S15" s="78"/>
      <c r="T15" t="str" s="78" cm="1">
        <f t="array" ref="T15">IF(D15="Pendiente","-",INDEX($CS$6:$CS$53,MATCH($AA15,$BD$6:$BD$53,0)))</f>
        <v>P.1 (4)</v>
      </c>
      <c r="U15" t="str" s="78" cm="1">
        <f t="array" ref="U15">IF(D15="Pendiente","-",INDEX($CS$6:$CS$53,MATCH($AF15,$BD$6:$BD$53,0)))</f>
        <v>P.1 (4)</v>
      </c>
      <c r="V15" s="90"/>
      <c r="W15" s="141"/>
      <c r="X15" s="107">
        <v>46191.75</v>
      </c>
      <c r="Y15" s="108">
        <v>46191.75</v>
      </c>
      <c r="Z15" t="str" s="127" cm="1">
        <f t="array" ref="Z15">$Z$6</f>
        <v>J2</v>
      </c>
      <c r="AA15" t="str" s="110" cm="1">
        <f t="array" ref="AA15">A13</f>
        <v>Canadá</v>
      </c>
      <c r="AB15" s="111"/>
      <c r="AC15" s="128">
        <v>2</v>
      </c>
      <c r="AD15" s="128">
        <v>2</v>
      </c>
      <c r="AE15" s="113"/>
      <c r="AF15" t="str" s="114" cm="1">
        <f t="array" ref="AF15">A15</f>
        <v>Catar</v>
      </c>
      <c r="AG15" s="115" cm="1">
        <f t="array" ref="AG15">IF(NOT(OR(ISBLANK(AC15),ISBLANK(AD15))),1,0)</f>
        <v>1</v>
      </c>
      <c r="AH15" s="116">
        <v>27</v>
      </c>
      <c r="AI15" t="str" s="219" cm="1">
        <f t="array" ref="AI15">AJ15&amp;$B$12</f>
        <v>2B</v>
      </c>
      <c r="AJ15" s="224">
        <v>2</v>
      </c>
      <c r="AK15" s="225"/>
      <c r="AL15" t="str" s="157" cm="1">
        <f t="array" ref="AL15">_xlfn.IFERROR(INDEX($BD$6:$BD$53,MATCH(AI15,$BN$6:$BN$53,0)),"")</f>
        <v>Bosnia y Herzegovina</v>
      </c>
      <c r="AM15" s="158" cm="1">
        <f t="array" ref="AM15">INDEX($BE$6:$BN$53,MATCH($AL15,$BD$6:$BD$53,0),MATCH(AM$5,$BE$5:$BN$5,0))</f>
        <v>0</v>
      </c>
      <c r="AN15" s="159" cm="1">
        <f t="array" ref="AN15">INDEX($BE$6:$BN$53,MATCH($AL15,$BD$6:$BD$53,0),MATCH(AN$5,$BE$5:$BN$5,0))</f>
        <v>3</v>
      </c>
      <c r="AO15" s="159" cm="1">
        <f t="array" ref="AO15">INDEX($BE$6:$BN$53,MATCH($AL15,$BD$6:$BD$53,0),MATCH(AO$5,$BE$5:$BN$5,0))</f>
        <v>0</v>
      </c>
      <c r="AP15" s="159" cm="1">
        <f t="array" ref="AP15">INDEX($BE$6:$BN$53,MATCH($AL15,$BD$6:$BD$53,0),MATCH(AP$5,$BE$5:$BN$5,0))</f>
        <v>0</v>
      </c>
      <c r="AQ15" s="159" cm="1">
        <f t="array" ref="AQ15">INDEX($BE$6:$BN$53,MATCH($AL15,$BD$6:$BD$53,0),MATCH(AQ$5,$BE$5:$BN$5,0))</f>
        <v>3</v>
      </c>
      <c r="AR15" s="159" cm="1">
        <f t="array" ref="AR15">INDEX($BE$6:$BN$53,MATCH($AL15,$BD$6:$BD$53,0),MATCH(AR$5,$BE$5:$BN$5,0))</f>
        <v>1</v>
      </c>
      <c r="AS15" s="159" cm="1">
        <f t="array" ref="AS15">INDEX($BE$6:$BN$53,MATCH($AL15,$BD$6:$BD$53,0),MATCH(AS$5,$BE$5:$BN$5,0))</f>
        <v>5</v>
      </c>
      <c r="AT15" s="226" cm="1">
        <f t="array" ref="AT15">INDEX($BE$6:$BN$53,MATCH($AL15,$BD$6:$BD$53,0),MATCH(AT$5,$BE$5:$BN$5,0))</f>
        <v>-4</v>
      </c>
      <c r="AU15" s="223" cm="1">
        <f t="array" ref="AU15">INDEX($DL$6:$DL$53,MATCH(AI15,$DP$6:$DP$53,0))</f>
        <v>4</v>
      </c>
      <c r="AV15" t="str" s="149" cm="1">
        <f t="array" ref="AV15">INDEX($BD$6:$BD$53,MATCH(AI15,$BM$6:$BM$53,0))</f>
        <v>Bosnia y Herzegovina</v>
      </c>
      <c r="AW15" s="150"/>
      <c r="AX15" s="151"/>
      <c r="AY15" t="str" s="161" cm="1">
        <f t="array" ref="AY15">A14</f>
        <v>Bosnia y Herzegovina</v>
      </c>
      <c r="AZ15" s="162"/>
      <c r="BA15" s="139"/>
      <c r="BB15" s="87"/>
      <c r="BC15" t="s" s="125">
        <v>200</v>
      </c>
      <c r="BD15" t="s" s="125">
        <v>207</v>
      </c>
      <c r="BE15" s="154" cm="1">
        <f t="array" ref="BE15">BG15*3+BH15+IF($AZ$3="No",0,INDEX($AZ$6:$AZ$97,MATCH(BD15,$AY$6:$AY$97,0)))</f>
        <v>6</v>
      </c>
      <c r="BF15" s="154" cm="1">
        <f t="array" ref="BF15">BG15+BH15+BI15</f>
        <v>3</v>
      </c>
      <c r="BG15" s="154" cm="1">
        <f t="array" ref="BG15">_xlfn.COUNTIFS($AA$4:$AA$97,BD15,$D$4:$D$97,"Local")+_xlfn.COUNTIFS($AF$4:$AF$97,BD15,$D$4:$D$97,"Visitante")</f>
        <v>2</v>
      </c>
      <c r="BH15" s="154" cm="1">
        <f t="array" ref="BH15">_xlfn.COUNTIFS($AA$4:$AA$97,BD15,$D$4:$D$97,"Empate")+_xlfn.COUNTIFS($AF$4:$AF$97,BD15,$D$4:$D$97,"Empate")</f>
        <v>0</v>
      </c>
      <c r="BI15" s="154" cm="1">
        <f t="array" ref="BI15">_xlfn.COUNTIFS($AF$4:$AF$97,BD15,$D$4:$D$97,"Local")+_xlfn.COUNTIFS($AA$4:$AA$97,BD15,$D$4:$D$97,"Visitante")</f>
        <v>1</v>
      </c>
      <c r="BJ15" s="154" cm="1">
        <f t="array" ref="BJ15">_xlfn.SUMIFS($AC$4:$AC$97,$AA$4:$AA$97,BD15,$D$4:$D$97,"&lt;&gt;"&amp;"Pendiente",$AC$4:$AC$97,"&lt;&gt;"&amp;"",$AD$4:$AD$97,"&lt;&gt;"&amp;"")+_xlfn.SUMIFS($AD$4:$AD$97,$AF$4:$AF$97,BD15,$D$4:$D$97,"&lt;&gt;"&amp;"Pendiente",$AC$4:$AC$97,"&lt;&gt;"&amp;"",$AD$4:$AD$97,"&lt;&gt;"&amp;"")</f>
        <v>5</v>
      </c>
      <c r="BK15" s="154" cm="1">
        <f t="array" ref="BK15">_xlfn.SUMIFS($AC$4:$AC$97,$AF$4:$AF$97,BD15,$D$4:$D$97,"&lt;&gt;"&amp;"Pendiente",$AC$4:$AC$97,"&lt;&gt;"&amp;"",$AD$4:$AD$97,"&lt;&gt;"&amp;"")+_xlfn.SUMIFS($AD$4:$AD$97,$AA$4:$AA$97,BD15,$D$4:$D$97,"&lt;&gt;"&amp;"Pendiente",$AC$4:$AC$97,"&lt;&gt;"&amp;"",$AD$4:$AD$97,"&lt;&gt;"&amp;"")</f>
        <v>2</v>
      </c>
      <c r="BL15" s="154" cm="1">
        <f t="array" ref="BL15">BJ15-BK15</f>
        <v>3</v>
      </c>
      <c r="BM15" t="str" s="140" cm="1">
        <f t="array" ref="BM15">DD15&amp;BC15</f>
        <v>2C</v>
      </c>
      <c r="BN15" t="str" s="140" cm="1">
        <f t="array" ref="BN15">DH15&amp;BC15</f>
        <v>2C</v>
      </c>
      <c r="BO15" s="154" cm="1">
        <f t="array" ref="BO15">IF(AND($AJ$99=144,BF15&gt;=1),1,0)</f>
        <v>0</v>
      </c>
      <c r="BP15" s="154">
        <v>1</v>
      </c>
      <c r="BQ15" t="s" s="125">
        <v>135</v>
      </c>
      <c r="BR15" s="154" cm="1">
        <f t="array" ref="BR15">IF($BQ15="-","-",BE15)</f>
        <v>6</v>
      </c>
      <c r="BS15" s="154">
        <v>1</v>
      </c>
      <c r="BT15" t="s" s="125">
        <v>135</v>
      </c>
      <c r="BU15" s="154" cm="1">
        <f t="array" ref="BU15">IF($BT15="-","-",_xlfn.COUNTIFS($AA$4:$AA$97,$BD15,$D$4:$D$97,"Local",$F$4:$F$97,$BT15)+_xlfn.COUNTIFS($AF$4:$AF$97,$BD15,$D$4:$D$97,"Visitante",$E$4:$E$97,$BT15))</f>
        <v>2</v>
      </c>
      <c r="BV15" s="154" cm="1">
        <f t="array" ref="BV15">IF($BT15="-","-",_xlfn.COUNTIFS($AA$4:$AA$97,$BD15,$D$4:$D$97,"Empate",$F$4:$F$97,$BT15)+_xlfn.COUNTIFS($AF$4:$AF$97,$BD15,$D$4:$D$97,"Empate",$E$4:$E$97,$BT15))</f>
        <v>0</v>
      </c>
      <c r="BW15" s="154" cm="1">
        <f t="array" ref="BW15">IF($BT15="-","-",_xlfn.COUNTIFS($AA$4:$AA$97,$BD15,$D$4:$D$97,"Visitante",$F$4:$F$97,$BT15)+_xlfn.COUNTIFS($AF$4:$AF$97,$BD15,$D$4:$D$97,"Local",$E$4:$E$97,$BT15))</f>
        <v>1</v>
      </c>
      <c r="BX15" s="154" cm="1">
        <f t="array" ref="BX15">IF($BT15="-","-",BU15*3+BV15)</f>
        <v>6</v>
      </c>
      <c r="BY15" s="154">
        <v>1</v>
      </c>
      <c r="BZ15" t="s" s="125">
        <v>135</v>
      </c>
      <c r="CA15" s="154" cm="1">
        <f t="array" ref="CA15">IF($BZ15="-","-",_xlfn.SUMIFS($AC$4:$AC$97,$AA$4:$AA$97,$BD15,$I$4:$I$97,$BZ15)+_xlfn.SUMIFS($AD$4:$AD$97,$AF$4:$AF$97,$BD15,$H$4:$H$97,$BZ15))</f>
        <v>5</v>
      </c>
      <c r="CB15" s="154" cm="1">
        <f t="array" ref="CB15">IF($BZ15="-","-",_xlfn.SUMIFS($AD$4:$AD$97,$AA$4:$AA$97,$BD15,$I$4:$I$97,$BZ15)+_xlfn.SUMIFS($AC$4:$AC$97,$AF$4:$AF$97,$BD15,$H$4:$H$97,$BZ15))</f>
        <v>2</v>
      </c>
      <c r="CC15" s="154" cm="1">
        <f t="array" ref="CC15">IF($BZ15="-","-",CA15-CB15)</f>
        <v>3</v>
      </c>
      <c r="CD15" s="154">
        <v>1</v>
      </c>
      <c r="CE15" t="s" s="125">
        <v>135</v>
      </c>
      <c r="CF15" s="154" cm="1">
        <f t="array" ref="CF15">IF($CE15="-","-",_xlfn.SUMIFS($AC$4:$AC$97,$AA$4:$AA$97,$BD15,$L$4:$L$97,$CE15)+_xlfn.SUMIFS($AD$4:$AD$97,$AF$4:$AF$97,$BD15,$K$4:$K$97,$CE15))</f>
        <v>5</v>
      </c>
      <c r="CG15" s="154">
        <v>1</v>
      </c>
      <c r="CH15" t="s" s="125">
        <v>135</v>
      </c>
      <c r="CI15" s="154" cm="1">
        <f t="array" ref="CI15">IF($CH15="-","-",_xlfn.COUNTIFS($AA$4:$AA$97,$BD15,$D$4:$D$97,"Local",$O$4:$O$97,$CH15)+_xlfn.COUNTIFS($AF$4:$AF$97,$BD15,$D$4:$D$97,"Visitante",$N$4:$N$97,$CH15))</f>
        <v>2</v>
      </c>
      <c r="CJ15" s="154" cm="1">
        <f t="array" ref="CJ15">IF($CH15="-","-",_xlfn.COUNTIFS($AA$4:$AA$97,$BD15,$D$4:$D$97,"Empate",$O$4:$O$97,$CH15)+_xlfn.COUNTIFS($AF$4:$AF$97,$BD15,$D$4:$D$97,"Empate",$N$4:$N$97,$CH15))</f>
        <v>0</v>
      </c>
      <c r="CK15" s="154" cm="1">
        <f t="array" ref="CK15">IF($CH15="-","-",_xlfn.COUNTIFS($AA$4:$AA$97,$BD15,$D$4:$D$97,"Visitante",$O$4:$O$97,$CH15)+_xlfn.COUNTIFS($AF$4:$AF$97,$BD15,$D$4:$D$97,"Local",$N$4:$N$97,$CH15))</f>
        <v>1</v>
      </c>
      <c r="CL15" s="154" cm="1">
        <f t="array" ref="CL15">IF($CH15="-","-",CI15*3+CJ15)</f>
        <v>6</v>
      </c>
      <c r="CM15" s="154">
        <v>1</v>
      </c>
      <c r="CN15" t="s" s="125">
        <v>135</v>
      </c>
      <c r="CO15" s="154" cm="1">
        <f t="array" ref="CO15">IF($CN15="-","-",_xlfn.SUMIFS($AC$4:$AC$97,$AA$4:$AA$97,$BD15,$R$4:$R$97,$CN15)+_xlfn.SUMIFS($AD$4:$AD$97,$AF$4:$AF$97,$BD15,$Q$4:$Q$97,$CN15))</f>
        <v>5</v>
      </c>
      <c r="CP15" s="154" cm="1">
        <f t="array" ref="CP15">IF($CN15="-","-",_xlfn.SUMIFS($AD$4:$AD$97,$AA$4:$AA$97,$BD15,$R$4:$R$97,$CN15)+_xlfn.SUMIFS($AC$4:$AC$97,$AF$4:$AF$97,$BD15,$Q$4:$Q$97,$CN15))</f>
        <v>2</v>
      </c>
      <c r="CQ15" s="154" cm="1">
        <f t="array" ref="CQ15">IF($CN15="-","-",CO15-CP15)</f>
        <v>3</v>
      </c>
      <c r="CR15" s="154">
        <v>1</v>
      </c>
      <c r="CS15" t="s" s="125">
        <v>135</v>
      </c>
      <c r="CT15" s="154" cm="1">
        <f t="array" ref="CT15">IF($CS15="-","-",_xlfn.SUMIFS($AC$4:$AC$97,$AA$4:$AA$97,$BD15,$U$4:$U$97,$CS15)+_xlfn.SUMIFS($AD$4:$AD$97,$AF$4:$AF$97,$BD15,$T$4:$T$97,$CS15))</f>
        <v>5</v>
      </c>
      <c r="CU15" s="154">
        <v>1</v>
      </c>
      <c r="CV15" t="s" s="125">
        <v>135</v>
      </c>
      <c r="CW15" s="154" cm="1">
        <f t="array" ref="CW15">IF(CV15="-","-",BL15)</f>
        <v>3</v>
      </c>
      <c r="CX15" s="154">
        <v>1</v>
      </c>
      <c r="CY15" t="s" s="125">
        <v>135</v>
      </c>
      <c r="CZ15" s="154" cm="1">
        <f t="array" ref="CZ15">IF(CY15="-","-",BJ15)</f>
        <v>5</v>
      </c>
      <c r="DA15" s="154">
        <v>1</v>
      </c>
      <c r="DB15" t="s" s="125">
        <v>135</v>
      </c>
      <c r="DC15" s="154">
        <v>2</v>
      </c>
      <c r="DD15" s="154">
        <v>2</v>
      </c>
      <c r="DE15" s="140"/>
      <c r="DF15" s="154" cm="1">
        <f t="array" ref="DF15">IF(OR(INDEX($AW$6:$AW$97,MATCH($BD15,$AV$6:$AV$97,0))="",DB15="-"),DD15,INDEX($AW$6:$AW$97,MATCH($BD15,$AV$6:$AV$97,0))+DD15/1000)</f>
        <v>2</v>
      </c>
      <c r="DG15" s="154">
        <v>1</v>
      </c>
      <c r="DH15" s="154">
        <v>2</v>
      </c>
      <c r="DI15" s="140"/>
      <c r="DJ15" s="154" cm="1">
        <f t="array" ref="DJ15">INDEX($DA$6:$DA$53,MATCH($DQ15,$BD$6:$BD$53,0))</f>
        <v>1</v>
      </c>
      <c r="DK15" s="154" cm="1">
        <f t="array" ref="DK15">SUMIF($BC$6:$BC$53,BC15,$BF$6:$BF$53)</f>
        <v>12</v>
      </c>
      <c r="DL15" s="154" cm="1">
        <f t="array" ref="DL15">IF(OR(DK15=12,$AJ$99=144),_xlfn.COUNTIFS($DJ$6:$DJ$53,DJ15,$BC$6:$BC$53,BC15),1)</f>
        <v>4</v>
      </c>
      <c r="DM15" t="str" s="140" cm="1">
        <f t="array" ref="DM15">DJ15&amp;"."&amp;DL15</f>
        <v>1.4</v>
      </c>
      <c r="DN15" s="154">
        <v>1</v>
      </c>
      <c r="DO15" s="140"/>
      <c r="DP15" t="s" s="125">
        <v>209</v>
      </c>
      <c r="DQ15" t="str" s="140" cm="1">
        <f t="array" ref="DQ15">INDEX($BD$6:$BD$53,MATCH(DP15,$BM$6:$BM$53,0))</f>
        <v>Marruecos</v>
      </c>
      <c r="DR15" s="87"/>
      <c r="DS15" s="87"/>
      <c r="DT15" s="88"/>
      <c r="DU15" s="12"/>
    </row>
    <row r="16" ht="16" customHeight="1">
      <c r="A16" t="s" s="89">
        <v>194</v>
      </c>
      <c r="B16" s="78"/>
      <c r="C16" s="78"/>
      <c r="D16" t="str" s="78" cm="1">
        <f t="array" ref="D16">IF(OR(AC16="",AD16=""),"Pendiente",IF(AC16&gt;AD16,"Local",IF(AC16&lt;AD16,"Visitante","Empate")))</f>
        <v>Local</v>
      </c>
      <c r="E16" t="str" s="78" cm="1">
        <f t="array" ref="E16">IF(D16="Pendiente","-",INDEX($BT$6:$BT$53,MATCH($AA16,$BD$6:$BD$53,0)))</f>
        <v>P.1 (4)</v>
      </c>
      <c r="F16" t="str" s="78" cm="1">
        <f t="array" ref="F16">IF(D16="Pendiente","-",INDEX($BT$6:$BT$53,MATCH($AF16,$BD$6:$BD$53,0)))</f>
        <v>P.1 (4)</v>
      </c>
      <c r="G16" s="78"/>
      <c r="H16" t="str" s="78" cm="1">
        <f t="array" ref="H16">IF(D16="Pendiente","-",INDEX($BZ$6:$BZ$53,MATCH($AA16,$BD$6:$BD$53,0)))</f>
        <v>P.1 (4)</v>
      </c>
      <c r="I16" t="str" s="78" cm="1">
        <f t="array" ref="I16">IF(D16="Pendiente","-",INDEX($BZ$6:$BZ$53,MATCH($AF16,$BD$6:$BD$53,0)))</f>
        <v>P.1 (4)</v>
      </c>
      <c r="J16" s="78"/>
      <c r="K16" t="str" s="78" cm="1">
        <f t="array" ref="K16">IF(D16="Pendiente","-",INDEX($CE$6:$CE$53,MATCH($AA16,$BD$6:$BD$53,0)))</f>
        <v>P.1 (4)</v>
      </c>
      <c r="L16" t="str" s="78" cm="1">
        <f t="array" ref="L16">IF(D16="Pendiente","-",INDEX($CE$6:$CE$53,MATCH($AF16,$BD$6:$BD$53,0)))</f>
        <v>P.1 (4)</v>
      </c>
      <c r="M16" s="78"/>
      <c r="N16" t="str" s="78" cm="1">
        <f t="array" ref="N16">IF(D16="Pendiente","-",INDEX($CH$6:$CH$53,MATCH($AA16,$BD$6:$BD$53,0)))</f>
        <v>P.1 (4)</v>
      </c>
      <c r="O16" t="str" s="78" cm="1">
        <f t="array" ref="O16">IF(D16="Pendiente","-",INDEX($CH$6:$CH$53,MATCH($AF16,$BD$6:$BD$53,0)))</f>
        <v>P.1 (4)</v>
      </c>
      <c r="P16" s="78"/>
      <c r="Q16" t="str" s="78" cm="1">
        <f t="array" ref="Q16">IF(D16="Pendiente","-",INDEX($CN$6:$CN$53,MATCH($AA16,$BD$6:$BD$53,0)))</f>
        <v>P.1 (4)</v>
      </c>
      <c r="R16" t="str" s="78" cm="1">
        <f t="array" ref="R16">IF(D16="Pendiente","-",INDEX($CN$6:$CN$53,MATCH($AF16,$BD$6:$BD$53,0)))</f>
        <v>P.1 (4)</v>
      </c>
      <c r="S16" s="78"/>
      <c r="T16" t="str" s="78" cm="1">
        <f t="array" ref="T16">IF(D16="Pendiente","-",INDEX($CS$6:$CS$53,MATCH($AA16,$BD$6:$BD$53,0)))</f>
        <v>P.1 (4)</v>
      </c>
      <c r="U16" t="str" s="78" cm="1">
        <f t="array" ref="U16">IF(D16="Pendiente","-",INDEX($CS$6:$CS$53,MATCH($AF16,$BD$6:$BD$53,0)))</f>
        <v>P.1 (4)</v>
      </c>
      <c r="V16" s="90"/>
      <c r="W16" s="141"/>
      <c r="X16" s="107">
        <v>46197.625</v>
      </c>
      <c r="Y16" s="108">
        <v>46197.625</v>
      </c>
      <c r="Z16" t="str" s="127" cm="1">
        <f t="array" ref="Z16">$Z$8</f>
        <v>J3</v>
      </c>
      <c r="AA16" t="str" s="110" cm="1">
        <f t="array" ref="AA16">A16</f>
        <v>Suiza</v>
      </c>
      <c r="AB16" s="111"/>
      <c r="AC16" s="128">
        <v>2</v>
      </c>
      <c r="AD16" s="128">
        <v>1</v>
      </c>
      <c r="AE16" s="113"/>
      <c r="AF16" t="str" s="114" cm="1">
        <f t="array" ref="AF16">A13</f>
        <v>Canadá</v>
      </c>
      <c r="AG16" s="115" cm="1">
        <f t="array" ref="AG16">IF(NOT(OR(ISBLANK(AC16),ISBLANK(AD16))),1,0)</f>
        <v>1</v>
      </c>
      <c r="AH16" s="116">
        <v>51</v>
      </c>
      <c r="AI16" t="str" s="219" cm="1">
        <f t="array" ref="AI16">AJ16&amp;$B$12</f>
        <v>3B</v>
      </c>
      <c r="AJ16" s="224">
        <v>3</v>
      </c>
      <c r="AK16" s="225"/>
      <c r="AL16" t="str" s="157" cm="1">
        <f t="array" ref="AL16">_xlfn.IFERROR(INDEX($BD$6:$BD$53,MATCH(AI16,$BN$6:$BN$53,0)),"")</f>
        <v>Catar</v>
      </c>
      <c r="AM16" s="158" cm="1">
        <f t="array" ref="AM16">INDEX($BE$6:$BN$53,MATCH($AL16,$BD$6:$BD$53,0),MATCH(AM$5,$BE$5:$BN$5,0))</f>
        <v>5</v>
      </c>
      <c r="AN16" s="159" cm="1">
        <f t="array" ref="AN16">INDEX($BE$6:$BN$53,MATCH($AL16,$BD$6:$BD$53,0),MATCH(AN$5,$BE$5:$BN$5,0))</f>
        <v>3</v>
      </c>
      <c r="AO16" s="159" cm="1">
        <f t="array" ref="AO16">INDEX($BE$6:$BN$53,MATCH($AL16,$BD$6:$BD$53,0),MATCH(AO$5,$BE$5:$BN$5,0))</f>
        <v>1</v>
      </c>
      <c r="AP16" s="159" cm="1">
        <f t="array" ref="AP16">INDEX($BE$6:$BN$53,MATCH($AL16,$BD$6:$BD$53,0),MATCH(AP$5,$BE$5:$BN$5,0))</f>
        <v>2</v>
      </c>
      <c r="AQ16" s="159" cm="1">
        <f t="array" ref="AQ16">INDEX($BE$6:$BN$53,MATCH($AL16,$BD$6:$BD$53,0),MATCH(AQ$5,$BE$5:$BN$5,0))</f>
        <v>0</v>
      </c>
      <c r="AR16" s="159" cm="1">
        <f t="array" ref="AR16">INDEX($BE$6:$BN$53,MATCH($AL16,$BD$6:$BD$53,0),MATCH(AR$5,$BE$5:$BN$5,0))</f>
        <v>4</v>
      </c>
      <c r="AS16" s="159" cm="1">
        <f t="array" ref="AS16">INDEX($BE$6:$BN$53,MATCH($AL16,$BD$6:$BD$53,0),MATCH(AS$5,$BE$5:$BN$5,0))</f>
        <v>3</v>
      </c>
      <c r="AT16" s="226" cm="1">
        <f t="array" ref="AT16">INDEX($BE$6:$BN$53,MATCH($AL16,$BD$6:$BD$53,0),MATCH(AT$5,$BE$5:$BN$5,0))</f>
        <v>1</v>
      </c>
      <c r="AU16" s="223" cm="1">
        <f t="array" ref="AU16">INDEX($DL$6:$DL$53,MATCH(AI16,$DP$6:$DP$53,0))</f>
        <v>4</v>
      </c>
      <c r="AV16" t="str" s="149" cm="1">
        <f t="array" ref="AV16">INDEX($BD$6:$BD$53,MATCH(AI16,$BM$6:$BM$53,0))</f>
        <v>Catar</v>
      </c>
      <c r="AW16" s="150"/>
      <c r="AX16" s="151"/>
      <c r="AY16" t="str" s="152" cm="1">
        <f t="array" ref="AY16">A15</f>
        <v>Catar</v>
      </c>
      <c r="AZ16" s="153"/>
      <c r="BA16" s="139"/>
      <c r="BB16" s="87"/>
      <c r="BC16" t="s" s="125">
        <v>200</v>
      </c>
      <c r="BD16" t="s" s="125">
        <v>213</v>
      </c>
      <c r="BE16" s="154" cm="1">
        <f t="array" ref="BE16">BG16*3+BH16+IF($AZ$3="No",0,INDEX($AZ$6:$AZ$97,MATCH(BD16,$AY$6:$AY$97,0)))</f>
        <v>1</v>
      </c>
      <c r="BF16" s="154" cm="1">
        <f t="array" ref="BF16">BG16+BH16+BI16</f>
        <v>3</v>
      </c>
      <c r="BG16" s="154" cm="1">
        <f t="array" ref="BG16">_xlfn.COUNTIFS($AA$4:$AA$97,BD16,$D$4:$D$97,"Local")+_xlfn.COUNTIFS($AF$4:$AF$97,BD16,$D$4:$D$97,"Visitante")</f>
        <v>0</v>
      </c>
      <c r="BH16" s="154" cm="1">
        <f t="array" ref="BH16">_xlfn.COUNTIFS($AA$4:$AA$97,BD16,$D$4:$D$97,"Empate")+_xlfn.COUNTIFS($AF$4:$AF$97,BD16,$D$4:$D$97,"Empate")</f>
        <v>1</v>
      </c>
      <c r="BI16" s="154" cm="1">
        <f t="array" ref="BI16">_xlfn.COUNTIFS($AF$4:$AF$97,BD16,$D$4:$D$97,"Local")+_xlfn.COUNTIFS($AA$4:$AA$97,BD16,$D$4:$D$97,"Visitante")</f>
        <v>2</v>
      </c>
      <c r="BJ16" s="154" cm="1">
        <f t="array" ref="BJ16">_xlfn.SUMIFS($AC$4:$AC$97,$AA$4:$AA$97,BD16,$D$4:$D$97,"&lt;&gt;"&amp;"Pendiente",$AC$4:$AC$97,"&lt;&gt;"&amp;"",$AD$4:$AD$97,"&lt;&gt;"&amp;"")+_xlfn.SUMIFS($AD$4:$AD$97,$AF$4:$AF$97,BD16,$D$4:$D$97,"&lt;&gt;"&amp;"Pendiente",$AC$4:$AC$97,"&lt;&gt;"&amp;"",$AD$4:$AD$97,"&lt;&gt;"&amp;"")</f>
        <v>0</v>
      </c>
      <c r="BK16" s="154" cm="1">
        <f t="array" ref="BK16">_xlfn.SUMIFS($AC$4:$AC$97,$AF$4:$AF$97,BD16,$D$4:$D$97,"&lt;&gt;"&amp;"Pendiente",$AC$4:$AC$97,"&lt;&gt;"&amp;"",$AD$4:$AD$97,"&lt;&gt;"&amp;"")+_xlfn.SUMIFS($AD$4:$AD$97,$AA$4:$AA$97,BD16,$D$4:$D$97,"&lt;&gt;"&amp;"Pendiente",$AC$4:$AC$97,"&lt;&gt;"&amp;"",$AD$4:$AD$97,"&lt;&gt;"&amp;"")</f>
        <v>4</v>
      </c>
      <c r="BL16" s="154" cm="1">
        <f t="array" ref="BL16">BJ16-BK16</f>
        <v>-4</v>
      </c>
      <c r="BM16" t="str" s="140" cm="1">
        <f t="array" ref="BM16">DD16&amp;BC16</f>
        <v>3C</v>
      </c>
      <c r="BN16" t="str" s="140" cm="1">
        <f t="array" ref="BN16">DH16&amp;BC16</f>
        <v>3C</v>
      </c>
      <c r="BO16" s="154" cm="1">
        <f t="array" ref="BO16">IF(AND($AJ$99=144,BF16&gt;=1),1,0)</f>
        <v>0</v>
      </c>
      <c r="BP16" s="154">
        <v>1</v>
      </c>
      <c r="BQ16" t="s" s="125">
        <v>135</v>
      </c>
      <c r="BR16" s="154" cm="1">
        <f t="array" ref="BR16">IF($BQ16="-","-",BE16)</f>
        <v>1</v>
      </c>
      <c r="BS16" s="154">
        <v>1</v>
      </c>
      <c r="BT16" t="s" s="125">
        <v>135</v>
      </c>
      <c r="BU16" s="154" cm="1">
        <f t="array" ref="BU16">IF($BT16="-","-",_xlfn.COUNTIFS($AA$4:$AA$97,$BD16,$D$4:$D$97,"Local",$F$4:$F$97,$BT16)+_xlfn.COUNTIFS($AF$4:$AF$97,$BD16,$D$4:$D$97,"Visitante",$E$4:$E$97,$BT16))</f>
        <v>0</v>
      </c>
      <c r="BV16" s="154" cm="1">
        <f t="array" ref="BV16">IF($BT16="-","-",_xlfn.COUNTIFS($AA$4:$AA$97,$BD16,$D$4:$D$97,"Empate",$F$4:$F$97,$BT16)+_xlfn.COUNTIFS($AF$4:$AF$97,$BD16,$D$4:$D$97,"Empate",$E$4:$E$97,$BT16))</f>
        <v>1</v>
      </c>
      <c r="BW16" s="154" cm="1">
        <f t="array" ref="BW16">IF($BT16="-","-",_xlfn.COUNTIFS($AA$4:$AA$97,$BD16,$D$4:$D$97,"Visitante",$F$4:$F$97,$BT16)+_xlfn.COUNTIFS($AF$4:$AF$97,$BD16,$D$4:$D$97,"Local",$E$4:$E$97,$BT16))</f>
        <v>2</v>
      </c>
      <c r="BX16" s="154" cm="1">
        <f t="array" ref="BX16">IF($BT16="-","-",BU16*3+BV16)</f>
        <v>1</v>
      </c>
      <c r="BY16" s="154">
        <v>1</v>
      </c>
      <c r="BZ16" t="s" s="125">
        <v>135</v>
      </c>
      <c r="CA16" s="154" cm="1">
        <f t="array" ref="CA16">IF($BZ16="-","-",_xlfn.SUMIFS($AC$4:$AC$97,$AA$4:$AA$97,$BD16,$I$4:$I$97,$BZ16)+_xlfn.SUMIFS($AD$4:$AD$97,$AF$4:$AF$97,$BD16,$H$4:$H$97,$BZ16))</f>
        <v>0</v>
      </c>
      <c r="CB16" s="154" cm="1">
        <f t="array" ref="CB16">IF($BZ16="-","-",_xlfn.SUMIFS($AD$4:$AD$97,$AA$4:$AA$97,$BD16,$I$4:$I$97,$BZ16)+_xlfn.SUMIFS($AC$4:$AC$97,$AF$4:$AF$97,$BD16,$H$4:$H$97,$BZ16))</f>
        <v>4</v>
      </c>
      <c r="CC16" s="154" cm="1">
        <f t="array" ref="CC16">IF($BZ16="-","-",CA16-CB16)</f>
        <v>-4</v>
      </c>
      <c r="CD16" s="154">
        <v>1</v>
      </c>
      <c r="CE16" t="s" s="125">
        <v>135</v>
      </c>
      <c r="CF16" s="154" cm="1">
        <f t="array" ref="CF16">IF($CE16="-","-",_xlfn.SUMIFS($AC$4:$AC$97,$AA$4:$AA$97,$BD16,$L$4:$L$97,$CE16)+_xlfn.SUMIFS($AD$4:$AD$97,$AF$4:$AF$97,$BD16,$K$4:$K$97,$CE16))</f>
        <v>0</v>
      </c>
      <c r="CG16" s="154">
        <v>1</v>
      </c>
      <c r="CH16" t="s" s="125">
        <v>135</v>
      </c>
      <c r="CI16" s="154" cm="1">
        <f t="array" ref="CI16">IF($CH16="-","-",_xlfn.COUNTIFS($AA$4:$AA$97,$BD16,$D$4:$D$97,"Local",$O$4:$O$97,$CH16)+_xlfn.COUNTIFS($AF$4:$AF$97,$BD16,$D$4:$D$97,"Visitante",$N$4:$N$97,$CH16))</f>
        <v>0</v>
      </c>
      <c r="CJ16" s="154" cm="1">
        <f t="array" ref="CJ16">IF($CH16="-","-",_xlfn.COUNTIFS($AA$4:$AA$97,$BD16,$D$4:$D$97,"Empate",$O$4:$O$97,$CH16)+_xlfn.COUNTIFS($AF$4:$AF$97,$BD16,$D$4:$D$97,"Empate",$N$4:$N$97,$CH16))</f>
        <v>1</v>
      </c>
      <c r="CK16" s="154" cm="1">
        <f t="array" ref="CK16">IF($CH16="-","-",_xlfn.COUNTIFS($AA$4:$AA$97,$BD16,$D$4:$D$97,"Visitante",$O$4:$O$97,$CH16)+_xlfn.COUNTIFS($AF$4:$AF$97,$BD16,$D$4:$D$97,"Local",$N$4:$N$97,$CH16))</f>
        <v>2</v>
      </c>
      <c r="CL16" s="154" cm="1">
        <f t="array" ref="CL16">IF($CH16="-","-",CI16*3+CJ16)</f>
        <v>1</v>
      </c>
      <c r="CM16" s="154">
        <v>1</v>
      </c>
      <c r="CN16" t="s" s="125">
        <v>135</v>
      </c>
      <c r="CO16" s="154" cm="1">
        <f t="array" ref="CO16">IF($CN16="-","-",_xlfn.SUMIFS($AC$4:$AC$97,$AA$4:$AA$97,$BD16,$R$4:$R$97,$CN16)+_xlfn.SUMIFS($AD$4:$AD$97,$AF$4:$AF$97,$BD16,$Q$4:$Q$97,$CN16))</f>
        <v>0</v>
      </c>
      <c r="CP16" s="154" cm="1">
        <f t="array" ref="CP16">IF($CN16="-","-",_xlfn.SUMIFS($AD$4:$AD$97,$AA$4:$AA$97,$BD16,$R$4:$R$97,$CN16)+_xlfn.SUMIFS($AC$4:$AC$97,$AF$4:$AF$97,$BD16,$Q$4:$Q$97,$CN16))</f>
        <v>4</v>
      </c>
      <c r="CQ16" s="154" cm="1">
        <f t="array" ref="CQ16">IF($CN16="-","-",CO16-CP16)</f>
        <v>-4</v>
      </c>
      <c r="CR16" s="154">
        <v>1</v>
      </c>
      <c r="CS16" t="s" s="125">
        <v>135</v>
      </c>
      <c r="CT16" s="154" cm="1">
        <f t="array" ref="CT16">IF($CS16="-","-",_xlfn.SUMIFS($AC$4:$AC$97,$AA$4:$AA$97,$BD16,$U$4:$U$97,$CS16)+_xlfn.SUMIFS($AD$4:$AD$97,$AF$4:$AF$97,$BD16,$T$4:$T$97,$CS16))</f>
        <v>0</v>
      </c>
      <c r="CU16" s="154">
        <v>1</v>
      </c>
      <c r="CV16" t="s" s="125">
        <v>135</v>
      </c>
      <c r="CW16" s="154" cm="1">
        <f t="array" ref="CW16">IF(CV16="-","-",BL16)</f>
        <v>-4</v>
      </c>
      <c r="CX16" s="154">
        <v>1</v>
      </c>
      <c r="CY16" t="s" s="125">
        <v>135</v>
      </c>
      <c r="CZ16" s="154" cm="1">
        <f t="array" ref="CZ16">IF(CY16="-","-",BJ16)</f>
        <v>0</v>
      </c>
      <c r="DA16" s="154">
        <v>1</v>
      </c>
      <c r="DB16" t="s" s="125">
        <v>135</v>
      </c>
      <c r="DC16" s="154">
        <v>3</v>
      </c>
      <c r="DD16" s="154">
        <v>3</v>
      </c>
      <c r="DE16" s="140"/>
      <c r="DF16" s="154" cm="1">
        <f t="array" ref="DF16">IF(OR(INDEX($AW$6:$AW$97,MATCH($BD16,$AV$6:$AV$97,0))="",DB16="-"),DD16,INDEX($AW$6:$AW$97,MATCH($BD16,$AV$6:$AV$97,0))+DD16/1000)</f>
        <v>3</v>
      </c>
      <c r="DG16" s="154">
        <v>2</v>
      </c>
      <c r="DH16" s="154">
        <v>3</v>
      </c>
      <c r="DI16" s="140"/>
      <c r="DJ16" s="154" cm="1">
        <f t="array" ref="DJ16">INDEX($DA$6:$DA$53,MATCH($DQ16,$BD$6:$BD$53,0))</f>
        <v>1</v>
      </c>
      <c r="DK16" s="154" cm="1">
        <f t="array" ref="DK16">SUMIF($BC$6:$BC$53,BC16,$BF$6:$BF$53)</f>
        <v>12</v>
      </c>
      <c r="DL16" s="154" cm="1">
        <f t="array" ref="DL16">IF(OR(DK16=12,$AJ$99=144),_xlfn.COUNTIFS($DJ$6:$DJ$53,DJ16,$BC$6:$BC$53,BC16),1)</f>
        <v>4</v>
      </c>
      <c r="DM16" t="str" s="140" cm="1">
        <f t="array" ref="DM16">DJ16&amp;"."&amp;DL16</f>
        <v>1.4</v>
      </c>
      <c r="DN16" s="154">
        <v>1</v>
      </c>
      <c r="DO16" s="140"/>
      <c r="DP16" t="s" s="125">
        <v>215</v>
      </c>
      <c r="DQ16" t="str" s="140" cm="1">
        <f t="array" ref="DQ16">INDEX($BD$6:$BD$53,MATCH(DP16,$BM$6:$BM$53,0))</f>
        <v>Haití</v>
      </c>
      <c r="DR16" s="87"/>
      <c r="DS16" s="87"/>
      <c r="DT16" s="88"/>
      <c r="DU16" s="12"/>
    </row>
    <row r="17" ht="16" customHeight="1">
      <c r="A17" s="78"/>
      <c r="B17" s="78"/>
      <c r="C17" s="78"/>
      <c r="D17" t="str" s="78" cm="1">
        <f t="array" ref="D17">IF(OR(AC17="",AD17=""),"Pendiente",IF(AC17&gt;AD17,"Local",IF(AC17&lt;AD17,"Visitante","Empate")))</f>
        <v>Visitante</v>
      </c>
      <c r="E17" t="str" s="78" cm="1">
        <f t="array" ref="E17">IF(D17="Pendiente","-",INDEX($BT$6:$BT$53,MATCH($AA17,$BD$6:$BD$53,0)))</f>
        <v>P.1 (4)</v>
      </c>
      <c r="F17" t="str" s="78" cm="1">
        <f t="array" ref="F17">IF(D17="Pendiente","-",INDEX($BT$6:$BT$53,MATCH($AF17,$BD$6:$BD$53,0)))</f>
        <v>P.1 (4)</v>
      </c>
      <c r="G17" s="78"/>
      <c r="H17" t="str" s="78" cm="1">
        <f t="array" ref="H17">IF(D17="Pendiente","-",INDEX($BZ$6:$BZ$53,MATCH($AA17,$BD$6:$BD$53,0)))</f>
        <v>P.1 (4)</v>
      </c>
      <c r="I17" t="str" s="78" cm="1">
        <f t="array" ref="I17">IF(D17="Pendiente","-",INDEX($BZ$6:$BZ$53,MATCH($AF17,$BD$6:$BD$53,0)))</f>
        <v>P.1 (4)</v>
      </c>
      <c r="J17" s="78"/>
      <c r="K17" t="str" s="78" cm="1">
        <f t="array" ref="K17">IF(D17="Pendiente","-",INDEX($CE$6:$CE$53,MATCH($AA17,$BD$6:$BD$53,0)))</f>
        <v>P.1 (4)</v>
      </c>
      <c r="L17" t="str" s="78" cm="1">
        <f t="array" ref="L17">IF(D17="Pendiente","-",INDEX($CE$6:$CE$53,MATCH($AF17,$BD$6:$BD$53,0)))</f>
        <v>P.1 (4)</v>
      </c>
      <c r="M17" s="78"/>
      <c r="N17" t="str" s="78" cm="1">
        <f t="array" ref="N17">IF(D17="Pendiente","-",INDEX($CH$6:$CH$53,MATCH($AA17,$BD$6:$BD$53,0)))</f>
        <v>P.1 (4)</v>
      </c>
      <c r="O17" t="str" s="78" cm="1">
        <f t="array" ref="O17">IF(D17="Pendiente","-",INDEX($CH$6:$CH$53,MATCH($AF17,$BD$6:$BD$53,0)))</f>
        <v>P.1 (4)</v>
      </c>
      <c r="P17" s="78"/>
      <c r="Q17" t="str" s="78" cm="1">
        <f t="array" ref="Q17">IF(D17="Pendiente","-",INDEX($CN$6:$CN$53,MATCH($AA17,$BD$6:$BD$53,0)))</f>
        <v>P.1 (4)</v>
      </c>
      <c r="R17" t="str" s="78" cm="1">
        <f t="array" ref="R17">IF(D17="Pendiente","-",INDEX($CN$6:$CN$53,MATCH($AF17,$BD$6:$BD$53,0)))</f>
        <v>P.1 (4)</v>
      </c>
      <c r="S17" s="78"/>
      <c r="T17" t="str" s="78" cm="1">
        <f t="array" ref="T17">IF(D17="Pendiente","-",INDEX($CS$6:$CS$53,MATCH($AA17,$BD$6:$BD$53,0)))</f>
        <v>P.1 (4)</v>
      </c>
      <c r="U17" t="str" s="78" cm="1">
        <f t="array" ref="U17">IF(D17="Pendiente","-",INDEX($CS$6:$CS$53,MATCH($AF17,$BD$6:$BD$53,0)))</f>
        <v>P.1 (4)</v>
      </c>
      <c r="V17" s="90"/>
      <c r="W17" s="163"/>
      <c r="X17" s="164">
        <v>46197.625</v>
      </c>
      <c r="Y17" s="165">
        <v>46197.625</v>
      </c>
      <c r="Z17" t="str" s="166" cm="1">
        <f t="array" ref="Z17">$Z$8</f>
        <v>J3</v>
      </c>
      <c r="AA17" t="str" s="167" cm="1">
        <f t="array" ref="AA17">A14</f>
        <v>Bosnia y Herzegovina</v>
      </c>
      <c r="AB17" s="168"/>
      <c r="AC17" s="169">
        <v>0</v>
      </c>
      <c r="AD17" s="169">
        <v>1</v>
      </c>
      <c r="AE17" s="170"/>
      <c r="AF17" t="str" s="171" cm="1">
        <f t="array" ref="AF17">A15</f>
        <v>Catar</v>
      </c>
      <c r="AG17" s="115" cm="1">
        <f t="array" ref="AG17">IF(NOT(OR(ISBLANK(AC17),ISBLANK(AD17))),1,0)</f>
        <v>1</v>
      </c>
      <c r="AH17" s="116">
        <v>52</v>
      </c>
      <c r="AI17" t="str" s="219" cm="1">
        <f t="array" ref="AI17">AJ17&amp;$B$12</f>
        <v>4B</v>
      </c>
      <c r="AJ17" s="227">
        <v>4</v>
      </c>
      <c r="AK17" s="228"/>
      <c r="AL17" t="str" s="229" cm="1">
        <f t="array" ref="AL17">_xlfn.IFERROR(INDEX($BD$6:$BD$53,MATCH(AI17,$BN$6:$BN$53,0)),"")</f>
        <v>Suiza</v>
      </c>
      <c r="AM17" s="230" cm="1">
        <f t="array" ref="AM17">INDEX($BE$6:$BN$53,MATCH($AL17,$BD$6:$BD$53,0),MATCH(AM$5,$BE$5:$BN$5,0))</f>
        <v>7</v>
      </c>
      <c r="AN17" s="231" cm="1">
        <f t="array" ref="AN17">INDEX($BE$6:$BN$53,MATCH($AL17,$BD$6:$BD$53,0),MATCH(AN$5,$BE$5:$BN$5,0))</f>
        <v>3</v>
      </c>
      <c r="AO17" s="231" cm="1">
        <f t="array" ref="AO17">INDEX($BE$6:$BN$53,MATCH($AL17,$BD$6:$BD$53,0),MATCH(AO$5,$BE$5:$BN$5,0))</f>
        <v>2</v>
      </c>
      <c r="AP17" s="231" cm="1">
        <f t="array" ref="AP17">INDEX($BE$6:$BN$53,MATCH($AL17,$BD$6:$BD$53,0),MATCH(AP$5,$BE$5:$BN$5,0))</f>
        <v>1</v>
      </c>
      <c r="AQ17" s="231" cm="1">
        <f t="array" ref="AQ17">INDEX($BE$6:$BN$53,MATCH($AL17,$BD$6:$BD$53,0),MATCH(AQ$5,$BE$5:$BN$5,0))</f>
        <v>0</v>
      </c>
      <c r="AR17" s="231" cm="1">
        <f t="array" ref="AR17">INDEX($BE$6:$BN$53,MATCH($AL17,$BD$6:$BD$53,0),MATCH(AR$5,$BE$5:$BN$5,0))</f>
        <v>5</v>
      </c>
      <c r="AS17" s="231" cm="1">
        <f t="array" ref="AS17">INDEX($BE$6:$BN$53,MATCH($AL17,$BD$6:$BD$53,0),MATCH(AS$5,$BE$5:$BN$5,0))</f>
        <v>3</v>
      </c>
      <c r="AT17" s="232" cm="1">
        <f t="array" ref="AT17">INDEX($BE$6:$BN$53,MATCH($AL17,$BD$6:$BD$53,0),MATCH(AT$5,$BE$5:$BN$5,0))</f>
        <v>2</v>
      </c>
      <c r="AU17" s="223" cm="1">
        <f t="array" ref="AU17">INDEX($DL$6:$DL$53,MATCH(AI17,$DP$6:$DP$53,0))</f>
        <v>4</v>
      </c>
      <c r="AV17" t="str" s="149" cm="1">
        <f t="array" ref="AV17">INDEX($BD$6:$BD$53,MATCH(AI17,$BM$6:$BM$53,0))</f>
        <v>Suiza</v>
      </c>
      <c r="AW17" s="150"/>
      <c r="AX17" s="151"/>
      <c r="AY17" t="str" s="178" cm="1">
        <f t="array" ref="AY17">A16</f>
        <v>Suiza</v>
      </c>
      <c r="AZ17" s="179"/>
      <c r="BA17" s="139"/>
      <c r="BB17" s="87"/>
      <c r="BC17" t="s" s="125">
        <v>200</v>
      </c>
      <c r="BD17" t="s" s="125">
        <v>219</v>
      </c>
      <c r="BE17" s="154" cm="1">
        <f t="array" ref="BE17">BG17*3+BH17+IF($AZ$3="No",0,INDEX($AZ$6:$AZ$97,MATCH(BD17,$AY$6:$AY$97,0)))</f>
        <v>1</v>
      </c>
      <c r="BF17" s="154" cm="1">
        <f t="array" ref="BF17">BG17+BH17+BI17</f>
        <v>3</v>
      </c>
      <c r="BG17" s="154" cm="1">
        <f t="array" ref="BG17">_xlfn.COUNTIFS($AA$4:$AA$97,BD17,$D$4:$D$97,"Local")+_xlfn.COUNTIFS($AF$4:$AF$97,BD17,$D$4:$D$97,"Visitante")</f>
        <v>0</v>
      </c>
      <c r="BH17" s="154" cm="1">
        <f t="array" ref="BH17">_xlfn.COUNTIFS($AA$4:$AA$97,BD17,$D$4:$D$97,"Empate")+_xlfn.COUNTIFS($AF$4:$AF$97,BD17,$D$4:$D$97,"Empate")</f>
        <v>1</v>
      </c>
      <c r="BI17" s="154" cm="1">
        <f t="array" ref="BI17">_xlfn.COUNTIFS($AF$4:$AF$97,BD17,$D$4:$D$97,"Local")+_xlfn.COUNTIFS($AA$4:$AA$97,BD17,$D$4:$D$97,"Visitante")</f>
        <v>2</v>
      </c>
      <c r="BJ17" s="154" cm="1">
        <f t="array" ref="BJ17">_xlfn.SUMIFS($AC$4:$AC$97,$AA$4:$AA$97,BD17,$D$4:$D$97,"&lt;&gt;"&amp;"Pendiente",$AC$4:$AC$97,"&lt;&gt;"&amp;"",$AD$4:$AD$97,"&lt;&gt;"&amp;"")+_xlfn.SUMIFS($AD$4:$AD$97,$AF$4:$AF$97,BD17,$D$4:$D$97,"&lt;&gt;"&amp;"Pendiente",$AC$4:$AC$97,"&lt;&gt;"&amp;"",$AD$4:$AD$97,"&lt;&gt;"&amp;"")</f>
        <v>1</v>
      </c>
      <c r="BK17" s="154" cm="1">
        <f t="array" ref="BK17">_xlfn.SUMIFS($AC$4:$AC$97,$AF$4:$AF$97,BD17,$D$4:$D$97,"&lt;&gt;"&amp;"Pendiente",$AC$4:$AC$97,"&lt;&gt;"&amp;"",$AD$4:$AD$97,"&lt;&gt;"&amp;"")+_xlfn.SUMIFS($AD$4:$AD$97,$AA$4:$AA$97,BD17,$D$4:$D$97,"&lt;&gt;"&amp;"Pendiente",$AC$4:$AC$97,"&lt;&gt;"&amp;"",$AD$4:$AD$97,"&lt;&gt;"&amp;"")</f>
        <v>5</v>
      </c>
      <c r="BL17" s="154" cm="1">
        <f t="array" ref="BL17">BJ17-BK17</f>
        <v>-4</v>
      </c>
      <c r="BM17" t="str" s="140" cm="1">
        <f t="array" ref="BM17">DD17&amp;BC17</f>
        <v>4C</v>
      </c>
      <c r="BN17" t="str" s="140" cm="1">
        <f t="array" ref="BN17">DH17&amp;BC17</f>
        <v>4C</v>
      </c>
      <c r="BO17" s="154" cm="1">
        <f t="array" ref="BO17">IF(AND($AJ$99=144,BF17&gt;=1),1,0)</f>
        <v>0</v>
      </c>
      <c r="BP17" s="154">
        <v>1</v>
      </c>
      <c r="BQ17" t="s" s="125">
        <v>135</v>
      </c>
      <c r="BR17" s="154" cm="1">
        <f t="array" ref="BR17">IF($BQ17="-","-",BE17)</f>
        <v>1</v>
      </c>
      <c r="BS17" s="154">
        <v>1</v>
      </c>
      <c r="BT17" t="s" s="125">
        <v>135</v>
      </c>
      <c r="BU17" s="154" cm="1">
        <f t="array" ref="BU17">IF($BT17="-","-",_xlfn.COUNTIFS($AA$4:$AA$97,$BD17,$D$4:$D$97,"Local",$F$4:$F$97,$BT17)+_xlfn.COUNTIFS($AF$4:$AF$97,$BD17,$D$4:$D$97,"Visitante",$E$4:$E$97,$BT17))</f>
        <v>0</v>
      </c>
      <c r="BV17" s="154" cm="1">
        <f t="array" ref="BV17">IF($BT17="-","-",_xlfn.COUNTIFS($AA$4:$AA$97,$BD17,$D$4:$D$97,"Empate",$F$4:$F$97,$BT17)+_xlfn.COUNTIFS($AF$4:$AF$97,$BD17,$D$4:$D$97,"Empate",$E$4:$E$97,$BT17))</f>
        <v>1</v>
      </c>
      <c r="BW17" s="154" cm="1">
        <f t="array" ref="BW17">IF($BT17="-","-",_xlfn.COUNTIFS($AA$4:$AA$97,$BD17,$D$4:$D$97,"Visitante",$F$4:$F$97,$BT17)+_xlfn.COUNTIFS($AF$4:$AF$97,$BD17,$D$4:$D$97,"Local",$E$4:$E$97,$BT17))</f>
        <v>2</v>
      </c>
      <c r="BX17" s="154" cm="1">
        <f t="array" ref="BX17">IF($BT17="-","-",BU17*3+BV17)</f>
        <v>1</v>
      </c>
      <c r="BY17" s="154">
        <v>1</v>
      </c>
      <c r="BZ17" t="s" s="125">
        <v>135</v>
      </c>
      <c r="CA17" s="154" cm="1">
        <f t="array" ref="CA17">IF($BZ17="-","-",_xlfn.SUMIFS($AC$4:$AC$97,$AA$4:$AA$97,$BD17,$I$4:$I$97,$BZ17)+_xlfn.SUMIFS($AD$4:$AD$97,$AF$4:$AF$97,$BD17,$H$4:$H$97,$BZ17))</f>
        <v>1</v>
      </c>
      <c r="CB17" s="154" cm="1">
        <f t="array" ref="CB17">IF($BZ17="-","-",_xlfn.SUMIFS($AD$4:$AD$97,$AA$4:$AA$97,$BD17,$I$4:$I$97,$BZ17)+_xlfn.SUMIFS($AC$4:$AC$97,$AF$4:$AF$97,$BD17,$H$4:$H$97,$BZ17))</f>
        <v>5</v>
      </c>
      <c r="CC17" s="154" cm="1">
        <f t="array" ref="CC17">IF($BZ17="-","-",CA17-CB17)</f>
        <v>-4</v>
      </c>
      <c r="CD17" s="154">
        <v>1</v>
      </c>
      <c r="CE17" t="s" s="125">
        <v>135</v>
      </c>
      <c r="CF17" s="154" cm="1">
        <f t="array" ref="CF17">IF($CE17="-","-",_xlfn.SUMIFS($AC$4:$AC$97,$AA$4:$AA$97,$BD17,$L$4:$L$97,$CE17)+_xlfn.SUMIFS($AD$4:$AD$97,$AF$4:$AF$97,$BD17,$K$4:$K$97,$CE17))</f>
        <v>1</v>
      </c>
      <c r="CG17" s="154">
        <v>1</v>
      </c>
      <c r="CH17" t="s" s="125">
        <v>135</v>
      </c>
      <c r="CI17" s="154" cm="1">
        <f t="array" ref="CI17">IF($CH17="-","-",_xlfn.COUNTIFS($AA$4:$AA$97,$BD17,$D$4:$D$97,"Local",$O$4:$O$97,$CH17)+_xlfn.COUNTIFS($AF$4:$AF$97,$BD17,$D$4:$D$97,"Visitante",$N$4:$N$97,$CH17))</f>
        <v>0</v>
      </c>
      <c r="CJ17" s="154" cm="1">
        <f t="array" ref="CJ17">IF($CH17="-","-",_xlfn.COUNTIFS($AA$4:$AA$97,$BD17,$D$4:$D$97,"Empate",$O$4:$O$97,$CH17)+_xlfn.COUNTIFS($AF$4:$AF$97,$BD17,$D$4:$D$97,"Empate",$N$4:$N$97,$CH17))</f>
        <v>1</v>
      </c>
      <c r="CK17" s="154" cm="1">
        <f t="array" ref="CK17">IF($CH17="-","-",_xlfn.COUNTIFS($AA$4:$AA$97,$BD17,$D$4:$D$97,"Visitante",$O$4:$O$97,$CH17)+_xlfn.COUNTIFS($AF$4:$AF$97,$BD17,$D$4:$D$97,"Local",$N$4:$N$97,$CH17))</f>
        <v>2</v>
      </c>
      <c r="CL17" s="154" cm="1">
        <f t="array" ref="CL17">IF($CH17="-","-",CI17*3+CJ17)</f>
        <v>1</v>
      </c>
      <c r="CM17" s="154">
        <v>1</v>
      </c>
      <c r="CN17" t="s" s="125">
        <v>135</v>
      </c>
      <c r="CO17" s="154" cm="1">
        <f t="array" ref="CO17">IF($CN17="-","-",_xlfn.SUMIFS($AC$4:$AC$97,$AA$4:$AA$97,$BD17,$R$4:$R$97,$CN17)+_xlfn.SUMIFS($AD$4:$AD$97,$AF$4:$AF$97,$BD17,$Q$4:$Q$97,$CN17))</f>
        <v>1</v>
      </c>
      <c r="CP17" s="154" cm="1">
        <f t="array" ref="CP17">IF($CN17="-","-",_xlfn.SUMIFS($AD$4:$AD$97,$AA$4:$AA$97,$BD17,$R$4:$R$97,$CN17)+_xlfn.SUMIFS($AC$4:$AC$97,$AF$4:$AF$97,$BD17,$Q$4:$Q$97,$CN17))</f>
        <v>5</v>
      </c>
      <c r="CQ17" s="154" cm="1">
        <f t="array" ref="CQ17">IF($CN17="-","-",CO17-CP17)</f>
        <v>-4</v>
      </c>
      <c r="CR17" s="154">
        <v>1</v>
      </c>
      <c r="CS17" t="s" s="125">
        <v>135</v>
      </c>
      <c r="CT17" s="154" cm="1">
        <f t="array" ref="CT17">IF($CS17="-","-",_xlfn.SUMIFS($AC$4:$AC$97,$AA$4:$AA$97,$BD17,$U$4:$U$97,$CS17)+_xlfn.SUMIFS($AD$4:$AD$97,$AF$4:$AF$97,$BD17,$T$4:$T$97,$CS17))</f>
        <v>1</v>
      </c>
      <c r="CU17" s="154">
        <v>1</v>
      </c>
      <c r="CV17" t="s" s="125">
        <v>135</v>
      </c>
      <c r="CW17" s="154" cm="1">
        <f t="array" ref="CW17">IF(CV17="-","-",BL17)</f>
        <v>-4</v>
      </c>
      <c r="CX17" s="154">
        <v>1</v>
      </c>
      <c r="CY17" t="s" s="125">
        <v>135</v>
      </c>
      <c r="CZ17" s="154" cm="1">
        <f t="array" ref="CZ17">IF(CY17="-","-",BJ17)</f>
        <v>1</v>
      </c>
      <c r="DA17" s="154">
        <v>1</v>
      </c>
      <c r="DB17" t="s" s="125">
        <v>135</v>
      </c>
      <c r="DC17" s="154">
        <v>4</v>
      </c>
      <c r="DD17" s="154">
        <v>4</v>
      </c>
      <c r="DE17" s="140"/>
      <c r="DF17" s="154" cm="1">
        <f t="array" ref="DF17">IF(OR(INDEX($AW$6:$AW$97,MATCH($BD17,$AV$6:$AV$97,0))="",DB17="-"),DD17,INDEX($AW$6:$AW$97,MATCH($BD17,$AV$6:$AV$97,0))+DD17/1000)</f>
        <v>4</v>
      </c>
      <c r="DG17" s="154">
        <v>3</v>
      </c>
      <c r="DH17" s="154">
        <v>4</v>
      </c>
      <c r="DI17" s="140"/>
      <c r="DJ17" s="154" cm="1">
        <f t="array" ref="DJ17">INDEX($DA$6:$DA$53,MATCH($DQ17,$BD$6:$BD$53,0))</f>
        <v>1</v>
      </c>
      <c r="DK17" s="154" cm="1">
        <f t="array" ref="DK17">SUMIF($BC$6:$BC$53,BC17,$BF$6:$BF$53)</f>
        <v>12</v>
      </c>
      <c r="DL17" s="154" cm="1">
        <f t="array" ref="DL17">IF(OR(DK17=12,$AJ$99=144),_xlfn.COUNTIFS($DJ$6:$DJ$53,DJ17,$BC$6:$BC$53,BC17),1)</f>
        <v>4</v>
      </c>
      <c r="DM17" t="str" s="140" cm="1">
        <f t="array" ref="DM17">DJ17&amp;"."&amp;DL17</f>
        <v>1.4</v>
      </c>
      <c r="DN17" s="154">
        <v>1</v>
      </c>
      <c r="DO17" s="140"/>
      <c r="DP17" t="s" s="125">
        <v>221</v>
      </c>
      <c r="DQ17" t="str" s="140" cm="1">
        <f t="array" ref="DQ17">INDEX($BD$6:$BD$53,MATCH(DP17,$BM$6:$BM$53,0))</f>
        <v>Escocia</v>
      </c>
      <c r="DR17" s="87"/>
      <c r="DS17" s="87"/>
      <c r="DT17" s="88"/>
      <c r="DU17" s="12"/>
    </row>
    <row r="18" ht="16" customHeight="1">
      <c r="A18" s="78"/>
      <c r="B18" s="78"/>
      <c r="C18" s="78"/>
      <c r="D18" s="78"/>
      <c r="E18" s="78"/>
      <c r="F18" s="78"/>
      <c r="G18" s="78"/>
      <c r="H18" s="78"/>
      <c r="I18" s="78"/>
      <c r="J18" s="78"/>
      <c r="K18" s="78"/>
      <c r="L18" s="78"/>
      <c r="M18" s="78"/>
      <c r="N18" s="78"/>
      <c r="O18" s="78"/>
      <c r="P18" s="78"/>
      <c r="Q18" s="78"/>
      <c r="R18" s="78"/>
      <c r="S18" s="78"/>
      <c r="T18" s="78"/>
      <c r="U18" s="78"/>
      <c r="V18" s="79"/>
      <c r="W18" s="180"/>
      <c r="X18" s="181"/>
      <c r="Y18" s="180"/>
      <c r="Z18" s="182"/>
      <c r="AA18" s="183"/>
      <c r="AB18" s="184"/>
      <c r="AC18" s="185"/>
      <c r="AD18" s="185"/>
      <c r="AE18" s="184"/>
      <c r="AF18" s="186"/>
      <c r="AG18" s="233"/>
      <c r="AH18" s="188"/>
      <c r="AI18" s="234"/>
      <c r="AJ18" s="235"/>
      <c r="AK18" s="236"/>
      <c r="AL18" s="237"/>
      <c r="AM18" s="238"/>
      <c r="AN18" s="235"/>
      <c r="AO18" s="235"/>
      <c r="AP18" s="235"/>
      <c r="AQ18" s="235"/>
      <c r="AR18" s="235"/>
      <c r="AS18" s="235"/>
      <c r="AT18" s="235"/>
      <c r="AU18" s="193"/>
      <c r="AV18" s="194"/>
      <c r="AW18" s="150"/>
      <c r="AX18" s="195"/>
      <c r="AY18" s="196"/>
      <c r="AZ18" s="197"/>
      <c r="BA18" s="8"/>
      <c r="BB18" s="87"/>
      <c r="BC18" t="s" s="125">
        <v>223</v>
      </c>
      <c r="BD18" t="s" s="125">
        <v>224</v>
      </c>
      <c r="BE18" s="154" cm="1">
        <f t="array" ref="BE18">BG18*3+BH18+IF($AZ$3="No",0,INDEX($AZ$6:$AZ$97,MATCH(BD18,$AY$6:$AY$97,0)))</f>
        <v>6</v>
      </c>
      <c r="BF18" s="154" cm="1">
        <f t="array" ref="BF18">BG18+BH18+BI18</f>
        <v>3</v>
      </c>
      <c r="BG18" s="154" cm="1">
        <f t="array" ref="BG18">_xlfn.COUNTIFS($AA$4:$AA$97,BD18,$D$4:$D$97,"Local")+_xlfn.COUNTIFS($AF$4:$AF$97,BD18,$D$4:$D$97,"Visitante")</f>
        <v>2</v>
      </c>
      <c r="BH18" s="154" cm="1">
        <f t="array" ref="BH18">_xlfn.COUNTIFS($AA$4:$AA$97,BD18,$D$4:$D$97,"Empate")+_xlfn.COUNTIFS($AF$4:$AF$97,BD18,$D$4:$D$97,"Empate")</f>
        <v>0</v>
      </c>
      <c r="BI18" s="154" cm="1">
        <f t="array" ref="BI18">_xlfn.COUNTIFS($AF$4:$AF$97,BD18,$D$4:$D$97,"Local")+_xlfn.COUNTIFS($AA$4:$AA$97,BD18,$D$4:$D$97,"Visitante")</f>
        <v>1</v>
      </c>
      <c r="BJ18" s="154" cm="1">
        <f t="array" ref="BJ18">_xlfn.SUMIFS($AC$4:$AC$97,$AA$4:$AA$97,BD18,$D$4:$D$97,"&lt;&gt;"&amp;"Pendiente",$AC$4:$AC$97,"&lt;&gt;"&amp;"",$AD$4:$AD$97,"&lt;&gt;"&amp;"")+_xlfn.SUMIFS($AD$4:$AD$97,$AF$4:$AF$97,BD18,$D$4:$D$97,"&lt;&gt;"&amp;"Pendiente",$AC$4:$AC$97,"&lt;&gt;"&amp;"",$AD$4:$AD$97,"&lt;&gt;"&amp;"")</f>
        <v>3</v>
      </c>
      <c r="BK18" s="154" cm="1">
        <f t="array" ref="BK18">_xlfn.SUMIFS($AC$4:$AC$97,$AF$4:$AF$97,BD18,$D$4:$D$97,"&lt;&gt;"&amp;"Pendiente",$AC$4:$AC$97,"&lt;&gt;"&amp;"",$AD$4:$AD$97,"&lt;&gt;"&amp;"")+_xlfn.SUMIFS($AD$4:$AD$97,$AA$4:$AA$97,BD18,$D$4:$D$97,"&lt;&gt;"&amp;"Pendiente",$AC$4:$AC$97,"&lt;&gt;"&amp;"",$AD$4:$AD$97,"&lt;&gt;"&amp;"")</f>
        <v>2</v>
      </c>
      <c r="BL18" s="154" cm="1">
        <f t="array" ref="BL18">BJ18-BK18</f>
        <v>1</v>
      </c>
      <c r="BM18" t="str" s="140" cm="1">
        <f t="array" ref="BM18">DD18&amp;BC18</f>
        <v>1D</v>
      </c>
      <c r="BN18" t="str" s="140" cm="1">
        <f t="array" ref="BN18">DH18&amp;BC18</f>
        <v>1D</v>
      </c>
      <c r="BO18" s="154" cm="1">
        <f t="array" ref="BO18">IF(AND($AJ$99=144,BF18&gt;=1),1,0)</f>
        <v>0</v>
      </c>
      <c r="BP18" s="154">
        <v>1</v>
      </c>
      <c r="BQ18" t="s" s="125">
        <v>135</v>
      </c>
      <c r="BR18" s="154" cm="1">
        <f t="array" ref="BR18">IF($BQ18="-","-",BE18)</f>
        <v>6</v>
      </c>
      <c r="BS18" s="154">
        <v>1</v>
      </c>
      <c r="BT18" t="s" s="125">
        <v>135</v>
      </c>
      <c r="BU18" s="154" cm="1">
        <f t="array" ref="BU18">IF($BT18="-","-",_xlfn.COUNTIFS($AA$4:$AA$97,$BD18,$D$4:$D$97,"Local",$F$4:$F$97,$BT18)+_xlfn.COUNTIFS($AF$4:$AF$97,$BD18,$D$4:$D$97,"Visitante",$E$4:$E$97,$BT18))</f>
        <v>2</v>
      </c>
      <c r="BV18" s="154" cm="1">
        <f t="array" ref="BV18">IF($BT18="-","-",_xlfn.COUNTIFS($AA$4:$AA$97,$BD18,$D$4:$D$97,"Empate",$F$4:$F$97,$BT18)+_xlfn.COUNTIFS($AF$4:$AF$97,$BD18,$D$4:$D$97,"Empate",$E$4:$E$97,$BT18))</f>
        <v>0</v>
      </c>
      <c r="BW18" s="154" cm="1">
        <f t="array" ref="BW18">IF($BT18="-","-",_xlfn.COUNTIFS($AA$4:$AA$97,$BD18,$D$4:$D$97,"Visitante",$F$4:$F$97,$BT18)+_xlfn.COUNTIFS($AF$4:$AF$97,$BD18,$D$4:$D$97,"Local",$E$4:$E$97,$BT18))</f>
        <v>1</v>
      </c>
      <c r="BX18" s="154" cm="1">
        <f t="array" ref="BX18">IF($BT18="-","-",BU18*3+BV18)</f>
        <v>6</v>
      </c>
      <c r="BY18" s="154">
        <v>1</v>
      </c>
      <c r="BZ18" t="s" s="125">
        <v>135</v>
      </c>
      <c r="CA18" s="154" cm="1">
        <f t="array" ref="CA18">IF($BZ18="-","-",_xlfn.SUMIFS($AC$4:$AC$97,$AA$4:$AA$97,$BD18,$I$4:$I$97,$BZ18)+_xlfn.SUMIFS($AD$4:$AD$97,$AF$4:$AF$97,$BD18,$H$4:$H$97,$BZ18))</f>
        <v>3</v>
      </c>
      <c r="CB18" s="154" cm="1">
        <f t="array" ref="CB18">IF($BZ18="-","-",_xlfn.SUMIFS($AD$4:$AD$97,$AA$4:$AA$97,$BD18,$I$4:$I$97,$BZ18)+_xlfn.SUMIFS($AC$4:$AC$97,$AF$4:$AF$97,$BD18,$H$4:$H$97,$BZ18))</f>
        <v>2</v>
      </c>
      <c r="CC18" s="154" cm="1">
        <f t="array" ref="CC18">IF($BZ18="-","-",CA18-CB18)</f>
        <v>1</v>
      </c>
      <c r="CD18" s="154">
        <v>1</v>
      </c>
      <c r="CE18" t="s" s="125">
        <v>135</v>
      </c>
      <c r="CF18" s="154" cm="1">
        <f t="array" ref="CF18">IF($CE18="-","-",_xlfn.SUMIFS($AC$4:$AC$97,$AA$4:$AA$97,$BD18,$L$4:$L$97,$CE18)+_xlfn.SUMIFS($AD$4:$AD$97,$AF$4:$AF$97,$BD18,$K$4:$K$97,$CE18))</f>
        <v>3</v>
      </c>
      <c r="CG18" s="154">
        <v>1</v>
      </c>
      <c r="CH18" t="s" s="125">
        <v>135</v>
      </c>
      <c r="CI18" s="154" cm="1">
        <f t="array" ref="CI18">IF($CH18="-","-",_xlfn.COUNTIFS($AA$4:$AA$97,$BD18,$D$4:$D$97,"Local",$O$4:$O$97,$CH18)+_xlfn.COUNTIFS($AF$4:$AF$97,$BD18,$D$4:$D$97,"Visitante",$N$4:$N$97,$CH18))</f>
        <v>2</v>
      </c>
      <c r="CJ18" s="154" cm="1">
        <f t="array" ref="CJ18">IF($CH18="-","-",_xlfn.COUNTIFS($AA$4:$AA$97,$BD18,$D$4:$D$97,"Empate",$O$4:$O$97,$CH18)+_xlfn.COUNTIFS($AF$4:$AF$97,$BD18,$D$4:$D$97,"Empate",$N$4:$N$97,$CH18))</f>
        <v>0</v>
      </c>
      <c r="CK18" s="154" cm="1">
        <f t="array" ref="CK18">IF($CH18="-","-",_xlfn.COUNTIFS($AA$4:$AA$97,$BD18,$D$4:$D$97,"Visitante",$O$4:$O$97,$CH18)+_xlfn.COUNTIFS($AF$4:$AF$97,$BD18,$D$4:$D$97,"Local",$N$4:$N$97,$CH18))</f>
        <v>1</v>
      </c>
      <c r="CL18" s="154" cm="1">
        <f t="array" ref="CL18">IF($CH18="-","-",CI18*3+CJ18)</f>
        <v>6</v>
      </c>
      <c r="CM18" s="154">
        <v>1</v>
      </c>
      <c r="CN18" t="s" s="125">
        <v>135</v>
      </c>
      <c r="CO18" s="154" cm="1">
        <f t="array" ref="CO18">IF($CN18="-","-",_xlfn.SUMIFS($AC$4:$AC$97,$AA$4:$AA$97,$BD18,$R$4:$R$97,$CN18)+_xlfn.SUMIFS($AD$4:$AD$97,$AF$4:$AF$97,$BD18,$Q$4:$Q$97,$CN18))</f>
        <v>3</v>
      </c>
      <c r="CP18" s="154" cm="1">
        <f t="array" ref="CP18">IF($CN18="-","-",_xlfn.SUMIFS($AD$4:$AD$97,$AA$4:$AA$97,$BD18,$R$4:$R$97,$CN18)+_xlfn.SUMIFS($AC$4:$AC$97,$AF$4:$AF$97,$BD18,$Q$4:$Q$97,$CN18))</f>
        <v>2</v>
      </c>
      <c r="CQ18" s="154" cm="1">
        <f t="array" ref="CQ18">IF($CN18="-","-",CO18-CP18)</f>
        <v>1</v>
      </c>
      <c r="CR18" s="154">
        <v>1</v>
      </c>
      <c r="CS18" t="s" s="125">
        <v>135</v>
      </c>
      <c r="CT18" s="154" cm="1">
        <f t="array" ref="CT18">IF($CS18="-","-",_xlfn.SUMIFS($AC$4:$AC$97,$AA$4:$AA$97,$BD18,$U$4:$U$97,$CS18)+_xlfn.SUMIFS($AD$4:$AD$97,$AF$4:$AF$97,$BD18,$T$4:$T$97,$CS18))</f>
        <v>3</v>
      </c>
      <c r="CU18" s="154">
        <v>1</v>
      </c>
      <c r="CV18" t="s" s="125">
        <v>135</v>
      </c>
      <c r="CW18" s="154" cm="1">
        <f t="array" ref="CW18">IF(CV18="-","-",BL18)</f>
        <v>1</v>
      </c>
      <c r="CX18" s="154">
        <v>1</v>
      </c>
      <c r="CY18" t="s" s="125">
        <v>135</v>
      </c>
      <c r="CZ18" s="154" cm="1">
        <f t="array" ref="CZ18">IF(CY18="-","-",BJ18)</f>
        <v>3</v>
      </c>
      <c r="DA18" s="154">
        <v>1</v>
      </c>
      <c r="DB18" t="s" s="125">
        <v>135</v>
      </c>
      <c r="DC18" s="154">
        <v>1</v>
      </c>
      <c r="DD18" s="154">
        <v>1</v>
      </c>
      <c r="DE18" s="140"/>
      <c r="DF18" s="154" cm="1">
        <f t="array" ref="DF18">IF(OR(INDEX($AW$6:$AW$97,MATCH($BD18,$AV$6:$AV$97,0))="",DB18="-"),DD18,INDEX($AW$6:$AW$97,MATCH($BD18,$AV$6:$AV$97,0))+DD18/1000)</f>
        <v>1</v>
      </c>
      <c r="DG18" s="154">
        <v>0</v>
      </c>
      <c r="DH18" s="154">
        <v>1</v>
      </c>
      <c r="DI18" s="140"/>
      <c r="DJ18" s="154" cm="1">
        <f t="array" ref="DJ18">INDEX($DA$6:$DA$53,MATCH($DQ18,$BD$6:$BD$53,0))</f>
        <v>1</v>
      </c>
      <c r="DK18" s="154" cm="1">
        <f t="array" ref="DK18">SUMIF($BC$6:$BC$53,BC18,$BF$6:$BF$53)</f>
        <v>12</v>
      </c>
      <c r="DL18" s="154" cm="1">
        <f t="array" ref="DL18">IF(OR(DK18=12,$AJ$99=144),_xlfn.COUNTIFS($DJ$6:$DJ$53,DJ18,$BC$6:$BC$53,BC18),1)</f>
        <v>4</v>
      </c>
      <c r="DM18" t="str" s="140" cm="1">
        <f t="array" ref="DM18">DJ18&amp;"."&amp;DL18</f>
        <v>1.4</v>
      </c>
      <c r="DN18" s="154">
        <v>1</v>
      </c>
      <c r="DO18" s="140"/>
      <c r="DP18" t="s" s="125">
        <v>226</v>
      </c>
      <c r="DQ18" t="str" s="140" cm="1">
        <f t="array" ref="DQ18">INDEX($BD$6:$BD$53,MATCH(DP18,$BM$6:$BM$53,0))</f>
        <v>Estados Unidos</v>
      </c>
      <c r="DR18" s="87"/>
      <c r="DS18" s="87"/>
      <c r="DT18" s="88"/>
      <c r="DU18" s="12"/>
    </row>
    <row r="19" ht="16" customHeight="1">
      <c r="A19" s="78"/>
      <c r="B19" s="78"/>
      <c r="C19" s="78"/>
      <c r="D19" s="78"/>
      <c r="E19" s="78"/>
      <c r="F19" s="78"/>
      <c r="G19" s="78"/>
      <c r="H19" s="78"/>
      <c r="I19" s="78"/>
      <c r="J19" s="78"/>
      <c r="K19" s="78"/>
      <c r="L19" s="78"/>
      <c r="M19" s="78"/>
      <c r="N19" s="78"/>
      <c r="O19" s="78"/>
      <c r="P19" s="78"/>
      <c r="Q19" s="78"/>
      <c r="R19" s="78"/>
      <c r="S19" s="78"/>
      <c r="T19" s="78"/>
      <c r="U19" s="78"/>
      <c r="V19" s="90"/>
      <c r="W19" s="91"/>
      <c r="X19" t="str" s="198" cm="1">
        <f t="array" ref="X19">X3</f>
        <v>Fecha</v>
      </c>
      <c r="Y19" t="str" s="198" cm="1">
        <f t="array" ref="Y19">Y3</f>
        <v>Hora</v>
      </c>
      <c r="Z19" t="str" s="119" cm="1">
        <f t="array" ref="Z19">Z3</f>
        <v>Jor.</v>
      </c>
      <c r="AA19" t="str" s="199" cm="1">
        <f t="array" ref="AA19">AA3</f>
        <v>Casa</v>
      </c>
      <c r="AB19" s="95"/>
      <c r="AC19" t="str" s="119" cm="1">
        <f t="array" ref="AC19">AC3</f>
        <v>Gol</v>
      </c>
      <c r="AD19" t="str" s="119" cm="1">
        <f t="array" ref="AD19">AD3</f>
        <v>Gol</v>
      </c>
      <c r="AE19" s="95"/>
      <c r="AF19" t="str" s="200" cm="1">
        <f t="array" ref="AF19">AF3</f>
        <v>Fuera</v>
      </c>
      <c r="AG19" s="201"/>
      <c r="AH19" s="188"/>
      <c r="AI19" s="83"/>
      <c r="AJ19" s="100"/>
      <c r="AK19" s="202"/>
      <c r="AL19" s="100"/>
      <c r="AM19" s="100"/>
      <c r="AN19" s="100"/>
      <c r="AO19" s="100"/>
      <c r="AP19" s="100"/>
      <c r="AQ19" s="100"/>
      <c r="AR19" s="100"/>
      <c r="AS19" s="100"/>
      <c r="AT19" s="100"/>
      <c r="AU19" s="203"/>
      <c r="AV19" s="84"/>
      <c r="AW19" s="204"/>
      <c r="AX19" s="205"/>
      <c r="AY19" s="206"/>
      <c r="AZ19" s="207"/>
      <c r="BA19" s="8"/>
      <c r="BB19" s="87"/>
      <c r="BC19" t="s" s="125">
        <v>223</v>
      </c>
      <c r="BD19" t="s" s="125">
        <v>228</v>
      </c>
      <c r="BE19" s="154" cm="1">
        <f t="array" ref="BE19">BG19*3+BH19+IF($AZ$3="No",0,INDEX($AZ$6:$AZ$97,MATCH(BD19,$AY$6:$AY$97,0)))</f>
        <v>3</v>
      </c>
      <c r="BF19" s="154" cm="1">
        <f t="array" ref="BF19">BG19+BH19+BI19</f>
        <v>3</v>
      </c>
      <c r="BG19" s="154" cm="1">
        <f t="array" ref="BG19">_xlfn.COUNTIFS($AA$4:$AA$97,BD19,$D$4:$D$97,"Local")+_xlfn.COUNTIFS($AF$4:$AF$97,BD19,$D$4:$D$97,"Visitante")</f>
        <v>1</v>
      </c>
      <c r="BH19" s="154" cm="1">
        <f t="array" ref="BH19">_xlfn.COUNTIFS($AA$4:$AA$97,BD19,$D$4:$D$97,"Empate")+_xlfn.COUNTIFS($AF$4:$AF$97,BD19,$D$4:$D$97,"Empate")</f>
        <v>0</v>
      </c>
      <c r="BI19" s="154" cm="1">
        <f t="array" ref="BI19">_xlfn.COUNTIFS($AF$4:$AF$97,BD19,$D$4:$D$97,"Local")+_xlfn.COUNTIFS($AA$4:$AA$97,BD19,$D$4:$D$97,"Visitante")</f>
        <v>2</v>
      </c>
      <c r="BJ19" s="154" cm="1">
        <f t="array" ref="BJ19">_xlfn.SUMIFS($AC$4:$AC$97,$AA$4:$AA$97,BD19,$D$4:$D$97,"&lt;&gt;"&amp;"Pendiente",$AC$4:$AC$97,"&lt;&gt;"&amp;"",$AD$4:$AD$97,"&lt;&gt;"&amp;"")+_xlfn.SUMIFS($AD$4:$AD$97,$AF$4:$AF$97,BD19,$D$4:$D$97,"&lt;&gt;"&amp;"Pendiente",$AC$4:$AC$97,"&lt;&gt;"&amp;"",$AD$4:$AD$97,"&lt;&gt;"&amp;"")</f>
        <v>3</v>
      </c>
      <c r="BK19" s="154" cm="1">
        <f t="array" ref="BK19">_xlfn.SUMIFS($AC$4:$AC$97,$AF$4:$AF$97,BD19,$D$4:$D$97,"&lt;&gt;"&amp;"Pendiente",$AC$4:$AC$97,"&lt;&gt;"&amp;"",$AD$4:$AD$97,"&lt;&gt;"&amp;"")+_xlfn.SUMIFS($AD$4:$AD$97,$AA$4:$AA$97,BD19,$D$4:$D$97,"&lt;&gt;"&amp;"Pendiente",$AC$4:$AC$97,"&lt;&gt;"&amp;"",$AD$4:$AD$97,"&lt;&gt;"&amp;"")</f>
        <v>4</v>
      </c>
      <c r="BL19" s="154" cm="1">
        <f t="array" ref="BL19">BJ19-BK19</f>
        <v>-1</v>
      </c>
      <c r="BM19" t="str" s="140" cm="1">
        <f t="array" ref="BM19">DD19&amp;BC19</f>
        <v>2D</v>
      </c>
      <c r="BN19" t="str" s="140" cm="1">
        <f t="array" ref="BN19">DH19&amp;BC19</f>
        <v>2D</v>
      </c>
      <c r="BO19" s="154" cm="1">
        <f t="array" ref="BO19">IF(AND($AJ$99=144,BF19&gt;=1),1,0)</f>
        <v>0</v>
      </c>
      <c r="BP19" s="154">
        <v>1</v>
      </c>
      <c r="BQ19" t="s" s="125">
        <v>135</v>
      </c>
      <c r="BR19" s="154" cm="1">
        <f t="array" ref="BR19">IF($BQ19="-","-",BE19)</f>
        <v>3</v>
      </c>
      <c r="BS19" s="154">
        <v>1</v>
      </c>
      <c r="BT19" t="s" s="125">
        <v>135</v>
      </c>
      <c r="BU19" s="154" cm="1">
        <f t="array" ref="BU19">IF($BT19="-","-",_xlfn.COUNTIFS($AA$4:$AA$97,$BD19,$D$4:$D$97,"Local",$F$4:$F$97,$BT19)+_xlfn.COUNTIFS($AF$4:$AF$97,$BD19,$D$4:$D$97,"Visitante",$E$4:$E$97,$BT19))</f>
        <v>1</v>
      </c>
      <c r="BV19" s="154" cm="1">
        <f t="array" ref="BV19">IF($BT19="-","-",_xlfn.COUNTIFS($AA$4:$AA$97,$BD19,$D$4:$D$97,"Empate",$F$4:$F$97,$BT19)+_xlfn.COUNTIFS($AF$4:$AF$97,$BD19,$D$4:$D$97,"Empate",$E$4:$E$97,$BT19))</f>
        <v>0</v>
      </c>
      <c r="BW19" s="154" cm="1">
        <f t="array" ref="BW19">IF($BT19="-","-",_xlfn.COUNTIFS($AA$4:$AA$97,$BD19,$D$4:$D$97,"Visitante",$F$4:$F$97,$BT19)+_xlfn.COUNTIFS($AF$4:$AF$97,$BD19,$D$4:$D$97,"Local",$E$4:$E$97,$BT19))</f>
        <v>2</v>
      </c>
      <c r="BX19" s="154" cm="1">
        <f t="array" ref="BX19">IF($BT19="-","-",BU19*3+BV19)</f>
        <v>3</v>
      </c>
      <c r="BY19" s="154">
        <v>1</v>
      </c>
      <c r="BZ19" t="s" s="125">
        <v>135</v>
      </c>
      <c r="CA19" s="154" cm="1">
        <f t="array" ref="CA19">IF($BZ19="-","-",_xlfn.SUMIFS($AC$4:$AC$97,$AA$4:$AA$97,$BD19,$I$4:$I$97,$BZ19)+_xlfn.SUMIFS($AD$4:$AD$97,$AF$4:$AF$97,$BD19,$H$4:$H$97,$BZ19))</f>
        <v>3</v>
      </c>
      <c r="CB19" s="154" cm="1">
        <f t="array" ref="CB19">IF($BZ19="-","-",_xlfn.SUMIFS($AD$4:$AD$97,$AA$4:$AA$97,$BD19,$I$4:$I$97,$BZ19)+_xlfn.SUMIFS($AC$4:$AC$97,$AF$4:$AF$97,$BD19,$H$4:$H$97,$BZ19))</f>
        <v>4</v>
      </c>
      <c r="CC19" s="154" cm="1">
        <f t="array" ref="CC19">IF($BZ19="-","-",CA19-CB19)</f>
        <v>-1</v>
      </c>
      <c r="CD19" s="154">
        <v>1</v>
      </c>
      <c r="CE19" t="s" s="125">
        <v>135</v>
      </c>
      <c r="CF19" s="154" cm="1">
        <f t="array" ref="CF19">IF($CE19="-","-",_xlfn.SUMIFS($AC$4:$AC$97,$AA$4:$AA$97,$BD19,$L$4:$L$97,$CE19)+_xlfn.SUMIFS($AD$4:$AD$97,$AF$4:$AF$97,$BD19,$K$4:$K$97,$CE19))</f>
        <v>3</v>
      </c>
      <c r="CG19" s="154">
        <v>1</v>
      </c>
      <c r="CH19" t="s" s="125">
        <v>135</v>
      </c>
      <c r="CI19" s="154" cm="1">
        <f t="array" ref="CI19">IF($CH19="-","-",_xlfn.COUNTIFS($AA$4:$AA$97,$BD19,$D$4:$D$97,"Local",$O$4:$O$97,$CH19)+_xlfn.COUNTIFS($AF$4:$AF$97,$BD19,$D$4:$D$97,"Visitante",$N$4:$N$97,$CH19))</f>
        <v>1</v>
      </c>
      <c r="CJ19" s="154" cm="1">
        <f t="array" ref="CJ19">IF($CH19="-","-",_xlfn.COUNTIFS($AA$4:$AA$97,$BD19,$D$4:$D$97,"Empate",$O$4:$O$97,$CH19)+_xlfn.COUNTIFS($AF$4:$AF$97,$BD19,$D$4:$D$97,"Empate",$N$4:$N$97,$CH19))</f>
        <v>0</v>
      </c>
      <c r="CK19" s="154" cm="1">
        <f t="array" ref="CK19">IF($CH19="-","-",_xlfn.COUNTIFS($AA$4:$AA$97,$BD19,$D$4:$D$97,"Visitante",$O$4:$O$97,$CH19)+_xlfn.COUNTIFS($AF$4:$AF$97,$BD19,$D$4:$D$97,"Local",$N$4:$N$97,$CH19))</f>
        <v>2</v>
      </c>
      <c r="CL19" s="154" cm="1">
        <f t="array" ref="CL19">IF($CH19="-","-",CI19*3+CJ19)</f>
        <v>3</v>
      </c>
      <c r="CM19" s="154">
        <v>1</v>
      </c>
      <c r="CN19" t="s" s="125">
        <v>135</v>
      </c>
      <c r="CO19" s="154" cm="1">
        <f t="array" ref="CO19">IF($CN19="-","-",_xlfn.SUMIFS($AC$4:$AC$97,$AA$4:$AA$97,$BD19,$R$4:$R$97,$CN19)+_xlfn.SUMIFS($AD$4:$AD$97,$AF$4:$AF$97,$BD19,$Q$4:$Q$97,$CN19))</f>
        <v>3</v>
      </c>
      <c r="CP19" s="154" cm="1">
        <f t="array" ref="CP19">IF($CN19="-","-",_xlfn.SUMIFS($AD$4:$AD$97,$AA$4:$AA$97,$BD19,$R$4:$R$97,$CN19)+_xlfn.SUMIFS($AC$4:$AC$97,$AF$4:$AF$97,$BD19,$Q$4:$Q$97,$CN19))</f>
        <v>4</v>
      </c>
      <c r="CQ19" s="154" cm="1">
        <f t="array" ref="CQ19">IF($CN19="-","-",CO19-CP19)</f>
        <v>-1</v>
      </c>
      <c r="CR19" s="154">
        <v>1</v>
      </c>
      <c r="CS19" t="s" s="125">
        <v>135</v>
      </c>
      <c r="CT19" s="154" cm="1">
        <f t="array" ref="CT19">IF($CS19="-","-",_xlfn.SUMIFS($AC$4:$AC$97,$AA$4:$AA$97,$BD19,$U$4:$U$97,$CS19)+_xlfn.SUMIFS($AD$4:$AD$97,$AF$4:$AF$97,$BD19,$T$4:$T$97,$CS19))</f>
        <v>3</v>
      </c>
      <c r="CU19" s="154">
        <v>1</v>
      </c>
      <c r="CV19" t="s" s="125">
        <v>135</v>
      </c>
      <c r="CW19" s="154" cm="1">
        <f t="array" ref="CW19">IF(CV19="-","-",BL19)</f>
        <v>-1</v>
      </c>
      <c r="CX19" s="154">
        <v>1</v>
      </c>
      <c r="CY19" t="s" s="125">
        <v>135</v>
      </c>
      <c r="CZ19" s="154" cm="1">
        <f t="array" ref="CZ19">IF(CY19="-","-",BJ19)</f>
        <v>3</v>
      </c>
      <c r="DA19" s="154">
        <v>1</v>
      </c>
      <c r="DB19" t="s" s="125">
        <v>135</v>
      </c>
      <c r="DC19" s="154">
        <v>2</v>
      </c>
      <c r="DD19" s="154">
        <v>2</v>
      </c>
      <c r="DE19" s="140"/>
      <c r="DF19" s="154" cm="1">
        <f t="array" ref="DF19">IF(OR(INDEX($AW$6:$AW$97,MATCH($BD19,$AV$6:$AV$97,0))="",DB19="-"),DD19,INDEX($AW$6:$AW$97,MATCH($BD19,$AV$6:$AV$97,0))+DD19/1000)</f>
        <v>2</v>
      </c>
      <c r="DG19" s="154">
        <v>1</v>
      </c>
      <c r="DH19" s="154">
        <v>2</v>
      </c>
      <c r="DI19" s="140"/>
      <c r="DJ19" s="154" cm="1">
        <f t="array" ref="DJ19">INDEX($DA$6:$DA$53,MATCH($DQ19,$BD$6:$BD$53,0))</f>
        <v>1</v>
      </c>
      <c r="DK19" s="154" cm="1">
        <f t="array" ref="DK19">SUMIF($BC$6:$BC$53,BC19,$BF$6:$BF$53)</f>
        <v>12</v>
      </c>
      <c r="DL19" s="154" cm="1">
        <f t="array" ref="DL19">IF(OR(DK19=12,$AJ$99=144),_xlfn.COUNTIFS($DJ$6:$DJ$53,DJ19,$BC$6:$BC$53,BC19),1)</f>
        <v>4</v>
      </c>
      <c r="DM19" t="str" s="140" cm="1">
        <f t="array" ref="DM19">DJ19&amp;"."&amp;DL19</f>
        <v>1.4</v>
      </c>
      <c r="DN19" s="154">
        <v>1</v>
      </c>
      <c r="DO19" s="140"/>
      <c r="DP19" t="s" s="125">
        <v>230</v>
      </c>
      <c r="DQ19" t="str" s="140" cm="1">
        <f t="array" ref="DQ19">INDEX($BD$6:$BD$53,MATCH(DP19,$BM$6:$BM$53,0))</f>
        <v>Paraguay</v>
      </c>
      <c r="DR19" s="87"/>
      <c r="DS19" s="87"/>
      <c r="DT19" s="88"/>
      <c r="DU19" s="12"/>
    </row>
    <row r="20" ht="16" customHeight="1">
      <c r="A20" t="s" s="89">
        <v>45</v>
      </c>
      <c r="B20" t="s" s="89">
        <v>200</v>
      </c>
      <c r="C20" s="105">
        <v>4</v>
      </c>
      <c r="D20" t="str" s="78" cm="1">
        <f t="array" ref="D20">IF(OR(AC20="",AD20=""),"Pendiente",IF(AC20&gt;AD20,"Local",IF(AC20&lt;AD20,"Visitante","Empate")))</f>
        <v>Local</v>
      </c>
      <c r="E20" t="str" s="78" cm="1">
        <f t="array" ref="E20">IF(D20="Pendiente","-",INDEX($BT$6:$BT$53,MATCH($AA20,$BD$6:$BD$53,0)))</f>
        <v>P.1 (4)</v>
      </c>
      <c r="F20" t="str" s="78" cm="1">
        <f t="array" ref="F20">IF(D20="Pendiente","-",INDEX($BT$6:$BT$53,MATCH($AF20,$BD$6:$BD$53,0)))</f>
        <v>P.1 (4)</v>
      </c>
      <c r="G20" s="78"/>
      <c r="H20" t="str" s="78" cm="1">
        <f t="array" ref="H20">IF(D20="Pendiente","-",INDEX($BZ$6:$BZ$53,MATCH($AA20,$BD$6:$BD$53,0)))</f>
        <v>P.1 (4)</v>
      </c>
      <c r="I20" t="str" s="78" cm="1">
        <f t="array" ref="I20">IF(D20="Pendiente","-",INDEX($BZ$6:$BZ$53,MATCH($AF20,$BD$6:$BD$53,0)))</f>
        <v>P.1 (4)</v>
      </c>
      <c r="J20" s="78"/>
      <c r="K20" t="str" s="78" cm="1">
        <f t="array" ref="K20">IF(D20="Pendiente","-",INDEX($CE$6:$CE$53,MATCH($AA20,$BD$6:$BD$53,0)))</f>
        <v>P.1 (4)</v>
      </c>
      <c r="L20" t="str" s="78" cm="1">
        <f t="array" ref="L20">IF(D20="Pendiente","-",INDEX($CE$6:$CE$53,MATCH($AF20,$BD$6:$BD$53,0)))</f>
        <v>P.1 (4)</v>
      </c>
      <c r="M20" s="78"/>
      <c r="N20" t="str" s="78" cm="1">
        <f t="array" ref="N20">IF(D20="Pendiente","-",INDEX($CH$6:$CH$53,MATCH($AA20,$BD$6:$BD$53,0)))</f>
        <v>P.1 (4)</v>
      </c>
      <c r="O20" t="str" s="78" cm="1">
        <f t="array" ref="O20">IF(D20="Pendiente","-",INDEX($CH$6:$CH$53,MATCH($AF20,$BD$6:$BD$53,0)))</f>
        <v>P.1 (4)</v>
      </c>
      <c r="P20" s="78"/>
      <c r="Q20" t="str" s="78" cm="1">
        <f t="array" ref="Q20">IF(D20="Pendiente","-",INDEX($CN$6:$CN$53,MATCH($AA20,$BD$6:$BD$53,0)))</f>
        <v>P.1 (4)</v>
      </c>
      <c r="R20" t="str" s="78" cm="1">
        <f t="array" ref="R20">IF(D20="Pendiente","-",INDEX($CN$6:$CN$53,MATCH($AF20,$BD$6:$BD$53,0)))</f>
        <v>P.1 (4)</v>
      </c>
      <c r="S20" s="78"/>
      <c r="T20" t="str" s="78" cm="1">
        <f t="array" ref="T20">IF(D20="Pendiente","-",INDEX($CS$6:$CS$53,MATCH($AA20,$BD$6:$BD$53,0)))</f>
        <v>P.1 (4)</v>
      </c>
      <c r="U20" t="str" s="78" cm="1">
        <f t="array" ref="U20">IF(D20="Pendiente","-",INDEX($CS$6:$CS$53,MATCH($AF20,$BD$6:$BD$53,0)))</f>
        <v>P.1 (4)</v>
      </c>
      <c r="V20" s="90"/>
      <c r="W20" t="s" s="239">
        <v>200</v>
      </c>
      <c r="X20" s="107">
        <v>46186.75</v>
      </c>
      <c r="Y20" s="108">
        <v>46186.75</v>
      </c>
      <c r="Z20" t="str" s="127" cm="1">
        <f t="array" ref="Z20">$Z$4</f>
        <v>J1</v>
      </c>
      <c r="AA20" t="str" s="110" cm="1">
        <f t="array" ref="AA20">A21</f>
        <v>Brasil</v>
      </c>
      <c r="AB20" s="111"/>
      <c r="AC20" s="112">
        <v>2</v>
      </c>
      <c r="AD20" s="112">
        <v>1</v>
      </c>
      <c r="AE20" s="113"/>
      <c r="AF20" t="str" s="114" cm="1">
        <f t="array" ref="AF20">A22</f>
        <v>Marruecos</v>
      </c>
      <c r="AG20" s="115" cm="1">
        <f t="array" ref="AG20">IF(NOT(OR(ISBLANK(AC20),ISBLANK(AD20))),1,0)</f>
        <v>1</v>
      </c>
      <c r="AH20" s="116">
        <v>7</v>
      </c>
      <c r="AI20" s="117"/>
      <c r="AJ20" t="str" s="118" cm="1">
        <f t="array" ref="AJ20">CONCATENATE(AJ3," ",B20)</f>
        <v>Grupo C</v>
      </c>
      <c r="AK20" s="119"/>
      <c r="AL20" s="119"/>
      <c r="AM20" s="119"/>
      <c r="AN20" s="119"/>
      <c r="AO20" s="119"/>
      <c r="AP20" s="119"/>
      <c r="AQ20" s="119"/>
      <c r="AR20" s="119"/>
      <c r="AS20" s="119"/>
      <c r="AT20" s="120"/>
      <c r="AU20" s="209"/>
      <c r="AV20" t="str" s="122" cm="1">
        <f t="array" ref="AV20">IF(AU21&gt;0,$AV$3,"")</f>
        <v>¡EMPATE! Puedes seleccionar el orden de los empatados.</v>
      </c>
      <c r="AW20" s="217"/>
      <c r="AX20" s="217"/>
      <c r="AY20" s="211"/>
      <c r="AZ20" s="212"/>
      <c r="BA20" s="8"/>
      <c r="BB20" s="87"/>
      <c r="BC20" t="s" s="125">
        <v>223</v>
      </c>
      <c r="BD20" t="s" s="125">
        <v>235</v>
      </c>
      <c r="BE20" s="154" cm="1">
        <f t="array" ref="BE20">BG20*3+BH20+IF($AZ$3="No",0,INDEX($AZ$6:$AZ$97,MATCH(BD20,$AY$6:$AY$97,0)))</f>
        <v>0</v>
      </c>
      <c r="BF20" s="154" cm="1">
        <f t="array" ref="BF20">BG20+BH20+BI20</f>
        <v>3</v>
      </c>
      <c r="BG20" s="154" cm="1">
        <f t="array" ref="BG20">_xlfn.COUNTIFS($AA$4:$AA$97,BD20,$D$4:$D$97,"Local")+_xlfn.COUNTIFS($AF$4:$AF$97,BD20,$D$4:$D$97,"Visitante")</f>
        <v>0</v>
      </c>
      <c r="BH20" s="154" cm="1">
        <f t="array" ref="BH20">_xlfn.COUNTIFS($AA$4:$AA$97,BD20,$D$4:$D$97,"Empate")+_xlfn.COUNTIFS($AF$4:$AF$97,BD20,$D$4:$D$97,"Empate")</f>
        <v>0</v>
      </c>
      <c r="BI20" s="154" cm="1">
        <f t="array" ref="BI20">_xlfn.COUNTIFS($AF$4:$AF$97,BD20,$D$4:$D$97,"Local")+_xlfn.COUNTIFS($AA$4:$AA$97,BD20,$D$4:$D$97,"Visitante")</f>
        <v>3</v>
      </c>
      <c r="BJ20" s="154" cm="1">
        <f t="array" ref="BJ20">_xlfn.SUMIFS($AC$4:$AC$97,$AA$4:$AA$97,BD20,$D$4:$D$97,"&lt;&gt;"&amp;"Pendiente",$AC$4:$AC$97,"&lt;&gt;"&amp;"",$AD$4:$AD$97,"&lt;&gt;"&amp;"")+_xlfn.SUMIFS($AD$4:$AD$97,$AF$4:$AF$97,BD20,$D$4:$D$97,"&lt;&gt;"&amp;"Pendiente",$AC$4:$AC$97,"&lt;&gt;"&amp;"",$AD$4:$AD$97,"&lt;&gt;"&amp;"")</f>
        <v>2</v>
      </c>
      <c r="BK20" s="154" cm="1">
        <f t="array" ref="BK20">_xlfn.SUMIFS($AC$4:$AC$97,$AF$4:$AF$97,BD20,$D$4:$D$97,"&lt;&gt;"&amp;"Pendiente",$AC$4:$AC$97,"&lt;&gt;"&amp;"",$AD$4:$AD$97,"&lt;&gt;"&amp;"")+_xlfn.SUMIFS($AD$4:$AD$97,$AA$4:$AA$97,BD20,$D$4:$D$97,"&lt;&gt;"&amp;"Pendiente",$AC$4:$AC$97,"&lt;&gt;"&amp;"",$AD$4:$AD$97,"&lt;&gt;"&amp;"")</f>
        <v>6</v>
      </c>
      <c r="BL20" s="154" cm="1">
        <f t="array" ref="BL20">BJ20-BK20</f>
        <v>-4</v>
      </c>
      <c r="BM20" t="str" s="140" cm="1">
        <f t="array" ref="BM20">DD20&amp;BC20</f>
        <v>3D</v>
      </c>
      <c r="BN20" t="str" s="140" cm="1">
        <f t="array" ref="BN20">DH20&amp;BC20</f>
        <v>3D</v>
      </c>
      <c r="BO20" s="154" cm="1">
        <f t="array" ref="BO20">IF(AND($AJ$99=144,BF20&gt;=1),1,0)</f>
        <v>0</v>
      </c>
      <c r="BP20" s="154">
        <v>1</v>
      </c>
      <c r="BQ20" t="s" s="125">
        <v>135</v>
      </c>
      <c r="BR20" s="154" cm="1">
        <f t="array" ref="BR20">IF($BQ20="-","-",BE20)</f>
        <v>0</v>
      </c>
      <c r="BS20" s="154">
        <v>1</v>
      </c>
      <c r="BT20" t="s" s="125">
        <v>135</v>
      </c>
      <c r="BU20" s="154" cm="1">
        <f t="array" ref="BU20">IF($BT20="-","-",_xlfn.COUNTIFS($AA$4:$AA$97,$BD20,$D$4:$D$97,"Local",$F$4:$F$97,$BT20)+_xlfn.COUNTIFS($AF$4:$AF$97,$BD20,$D$4:$D$97,"Visitante",$E$4:$E$97,$BT20))</f>
        <v>0</v>
      </c>
      <c r="BV20" s="154" cm="1">
        <f t="array" ref="BV20">IF($BT20="-","-",_xlfn.COUNTIFS($AA$4:$AA$97,$BD20,$D$4:$D$97,"Empate",$F$4:$F$97,$BT20)+_xlfn.COUNTIFS($AF$4:$AF$97,$BD20,$D$4:$D$97,"Empate",$E$4:$E$97,$BT20))</f>
        <v>0</v>
      </c>
      <c r="BW20" s="154" cm="1">
        <f t="array" ref="BW20">IF($BT20="-","-",_xlfn.COUNTIFS($AA$4:$AA$97,$BD20,$D$4:$D$97,"Visitante",$F$4:$F$97,$BT20)+_xlfn.COUNTIFS($AF$4:$AF$97,$BD20,$D$4:$D$97,"Local",$E$4:$E$97,$BT20))</f>
        <v>3</v>
      </c>
      <c r="BX20" s="154" cm="1">
        <f t="array" ref="BX20">IF($BT20="-","-",BU20*3+BV20)</f>
        <v>0</v>
      </c>
      <c r="BY20" s="154">
        <v>1</v>
      </c>
      <c r="BZ20" t="s" s="125">
        <v>135</v>
      </c>
      <c r="CA20" s="154" cm="1">
        <f t="array" ref="CA20">IF($BZ20="-","-",_xlfn.SUMIFS($AC$4:$AC$97,$AA$4:$AA$97,$BD20,$I$4:$I$97,$BZ20)+_xlfn.SUMIFS($AD$4:$AD$97,$AF$4:$AF$97,$BD20,$H$4:$H$97,$BZ20))</f>
        <v>2</v>
      </c>
      <c r="CB20" s="154" cm="1">
        <f t="array" ref="CB20">IF($BZ20="-","-",_xlfn.SUMIFS($AD$4:$AD$97,$AA$4:$AA$97,$BD20,$I$4:$I$97,$BZ20)+_xlfn.SUMIFS($AC$4:$AC$97,$AF$4:$AF$97,$BD20,$H$4:$H$97,$BZ20))</f>
        <v>6</v>
      </c>
      <c r="CC20" s="154" cm="1">
        <f t="array" ref="CC20">IF($BZ20="-","-",CA20-CB20)</f>
        <v>-4</v>
      </c>
      <c r="CD20" s="154">
        <v>1</v>
      </c>
      <c r="CE20" t="s" s="125">
        <v>135</v>
      </c>
      <c r="CF20" s="154" cm="1">
        <f t="array" ref="CF20">IF($CE20="-","-",_xlfn.SUMIFS($AC$4:$AC$97,$AA$4:$AA$97,$BD20,$L$4:$L$97,$CE20)+_xlfn.SUMIFS($AD$4:$AD$97,$AF$4:$AF$97,$BD20,$K$4:$K$97,$CE20))</f>
        <v>2</v>
      </c>
      <c r="CG20" s="154">
        <v>1</v>
      </c>
      <c r="CH20" t="s" s="125">
        <v>135</v>
      </c>
      <c r="CI20" s="154" cm="1">
        <f t="array" ref="CI20">IF($CH20="-","-",_xlfn.COUNTIFS($AA$4:$AA$97,$BD20,$D$4:$D$97,"Local",$O$4:$O$97,$CH20)+_xlfn.COUNTIFS($AF$4:$AF$97,$BD20,$D$4:$D$97,"Visitante",$N$4:$N$97,$CH20))</f>
        <v>0</v>
      </c>
      <c r="CJ20" s="154" cm="1">
        <f t="array" ref="CJ20">IF($CH20="-","-",_xlfn.COUNTIFS($AA$4:$AA$97,$BD20,$D$4:$D$97,"Empate",$O$4:$O$97,$CH20)+_xlfn.COUNTIFS($AF$4:$AF$97,$BD20,$D$4:$D$97,"Empate",$N$4:$N$97,$CH20))</f>
        <v>0</v>
      </c>
      <c r="CK20" s="154" cm="1">
        <f t="array" ref="CK20">IF($CH20="-","-",_xlfn.COUNTIFS($AA$4:$AA$97,$BD20,$D$4:$D$97,"Visitante",$O$4:$O$97,$CH20)+_xlfn.COUNTIFS($AF$4:$AF$97,$BD20,$D$4:$D$97,"Local",$N$4:$N$97,$CH20))</f>
        <v>3</v>
      </c>
      <c r="CL20" s="154" cm="1">
        <f t="array" ref="CL20">IF($CH20="-","-",CI20*3+CJ20)</f>
        <v>0</v>
      </c>
      <c r="CM20" s="154">
        <v>1</v>
      </c>
      <c r="CN20" t="s" s="125">
        <v>135</v>
      </c>
      <c r="CO20" s="154" cm="1">
        <f t="array" ref="CO20">IF($CN20="-","-",_xlfn.SUMIFS($AC$4:$AC$97,$AA$4:$AA$97,$BD20,$R$4:$R$97,$CN20)+_xlfn.SUMIFS($AD$4:$AD$97,$AF$4:$AF$97,$BD20,$Q$4:$Q$97,$CN20))</f>
        <v>2</v>
      </c>
      <c r="CP20" s="154" cm="1">
        <f t="array" ref="CP20">IF($CN20="-","-",_xlfn.SUMIFS($AD$4:$AD$97,$AA$4:$AA$97,$BD20,$R$4:$R$97,$CN20)+_xlfn.SUMIFS($AC$4:$AC$97,$AF$4:$AF$97,$BD20,$Q$4:$Q$97,$CN20))</f>
        <v>6</v>
      </c>
      <c r="CQ20" s="154" cm="1">
        <f t="array" ref="CQ20">IF($CN20="-","-",CO20-CP20)</f>
        <v>-4</v>
      </c>
      <c r="CR20" s="154">
        <v>1</v>
      </c>
      <c r="CS20" t="s" s="125">
        <v>135</v>
      </c>
      <c r="CT20" s="154" cm="1">
        <f t="array" ref="CT20">IF($CS20="-","-",_xlfn.SUMIFS($AC$4:$AC$97,$AA$4:$AA$97,$BD20,$U$4:$U$97,$CS20)+_xlfn.SUMIFS($AD$4:$AD$97,$AF$4:$AF$97,$BD20,$T$4:$T$97,$CS20))</f>
        <v>2</v>
      </c>
      <c r="CU20" s="154">
        <v>1</v>
      </c>
      <c r="CV20" t="s" s="125">
        <v>135</v>
      </c>
      <c r="CW20" s="154" cm="1">
        <f t="array" ref="CW20">IF(CV20="-","-",BL20)</f>
        <v>-4</v>
      </c>
      <c r="CX20" s="154">
        <v>1</v>
      </c>
      <c r="CY20" t="s" s="125">
        <v>135</v>
      </c>
      <c r="CZ20" s="154" cm="1">
        <f t="array" ref="CZ20">IF(CY20="-","-",BJ20)</f>
        <v>2</v>
      </c>
      <c r="DA20" s="154">
        <v>1</v>
      </c>
      <c r="DB20" t="s" s="125">
        <v>135</v>
      </c>
      <c r="DC20" s="154">
        <v>3</v>
      </c>
      <c r="DD20" s="154">
        <v>3</v>
      </c>
      <c r="DE20" s="140"/>
      <c r="DF20" s="154" cm="1">
        <f t="array" ref="DF20">IF(OR(INDEX($AW$6:$AW$97,MATCH($BD20,$AV$6:$AV$97,0))="",DB20="-"),DD20,INDEX($AW$6:$AW$97,MATCH($BD20,$AV$6:$AV$97,0))+DD20/1000)</f>
        <v>3</v>
      </c>
      <c r="DG20" s="154">
        <v>2</v>
      </c>
      <c r="DH20" s="154">
        <v>3</v>
      </c>
      <c r="DI20" s="140"/>
      <c r="DJ20" s="154" cm="1">
        <f t="array" ref="DJ20">INDEX($DA$6:$DA$53,MATCH($DQ20,$BD$6:$BD$53,0))</f>
        <v>1</v>
      </c>
      <c r="DK20" s="154" cm="1">
        <f t="array" ref="DK20">SUMIF($BC$6:$BC$53,BC20,$BF$6:$BF$53)</f>
        <v>12</v>
      </c>
      <c r="DL20" s="154" cm="1">
        <f t="array" ref="DL20">IF(OR(DK20=12,$AJ$99=144),_xlfn.COUNTIFS($DJ$6:$DJ$53,DJ20,$BC$6:$BC$53,BC20),1)</f>
        <v>4</v>
      </c>
      <c r="DM20" t="str" s="140" cm="1">
        <f t="array" ref="DM20">DJ20&amp;"."&amp;DL20</f>
        <v>1.4</v>
      </c>
      <c r="DN20" s="154">
        <v>1</v>
      </c>
      <c r="DO20" s="140"/>
      <c r="DP20" t="s" s="125">
        <v>237</v>
      </c>
      <c r="DQ20" t="str" s="140" cm="1">
        <f t="array" ref="DQ20">INDEX($BD$6:$BD$53,MATCH(DP20,$BM$6:$BM$53,0))</f>
        <v>Australia</v>
      </c>
      <c r="DR20" s="87"/>
      <c r="DS20" s="87"/>
      <c r="DT20" s="88"/>
      <c r="DU20" s="12"/>
    </row>
    <row r="21" ht="16" customHeight="1">
      <c r="A21" t="s" s="89">
        <v>201</v>
      </c>
      <c r="B21" s="78"/>
      <c r="C21" s="78"/>
      <c r="D21" t="str" s="78" cm="1">
        <f t="array" ref="D21">IF(OR(AC21="",AD21=""),"Pendiente",IF(AC21&gt;AD21,"Local",IF(AC21&lt;AD21,"Visitante","Empate")))</f>
        <v>Empate</v>
      </c>
      <c r="E21" t="str" s="78" cm="1">
        <f t="array" ref="E21">IF(D21="Pendiente","-",INDEX($BT$6:$BT$53,MATCH($AA21,$BD$6:$BD$53,0)))</f>
        <v>P.1 (4)</v>
      </c>
      <c r="F21" t="str" s="78" cm="1">
        <f t="array" ref="F21">IF(D21="Pendiente","-",INDEX($BT$6:$BT$53,MATCH($AF21,$BD$6:$BD$53,0)))</f>
        <v>P.1 (4)</v>
      </c>
      <c r="G21" s="78"/>
      <c r="H21" t="str" s="78" cm="1">
        <f t="array" ref="H21">IF(D21="Pendiente","-",INDEX($BZ$6:$BZ$53,MATCH($AA21,$BD$6:$BD$53,0)))</f>
        <v>P.1 (4)</v>
      </c>
      <c r="I21" t="str" s="78" cm="1">
        <f t="array" ref="I21">IF(D21="Pendiente","-",INDEX($BZ$6:$BZ$53,MATCH($AF21,$BD$6:$BD$53,0)))</f>
        <v>P.1 (4)</v>
      </c>
      <c r="J21" s="78"/>
      <c r="K21" t="str" s="78" cm="1">
        <f t="array" ref="K21">IF(D21="Pendiente","-",INDEX($CE$6:$CE$53,MATCH($AA21,$BD$6:$BD$53,0)))</f>
        <v>P.1 (4)</v>
      </c>
      <c r="L21" t="str" s="78" cm="1">
        <f t="array" ref="L21">IF(D21="Pendiente","-",INDEX($CE$6:$CE$53,MATCH($AF21,$BD$6:$BD$53,0)))</f>
        <v>P.1 (4)</v>
      </c>
      <c r="M21" s="78"/>
      <c r="N21" t="str" s="78" cm="1">
        <f t="array" ref="N21">IF(D21="Pendiente","-",INDEX($CH$6:$CH$53,MATCH($AA21,$BD$6:$BD$53,0)))</f>
        <v>P.1 (4)</v>
      </c>
      <c r="O21" t="str" s="78" cm="1">
        <f t="array" ref="O21">IF(D21="Pendiente","-",INDEX($CH$6:$CH$53,MATCH($AF21,$BD$6:$BD$53,0)))</f>
        <v>P.1 (4)</v>
      </c>
      <c r="P21" s="78"/>
      <c r="Q21" t="str" s="78" cm="1">
        <f t="array" ref="Q21">IF(D21="Pendiente","-",INDEX($CN$6:$CN$53,MATCH($AA21,$BD$6:$BD$53,0)))</f>
        <v>P.1 (4)</v>
      </c>
      <c r="R21" t="str" s="78" cm="1">
        <f t="array" ref="R21">IF(D21="Pendiente","-",INDEX($CN$6:$CN$53,MATCH($AF21,$BD$6:$BD$53,0)))</f>
        <v>P.1 (4)</v>
      </c>
      <c r="S21" s="78"/>
      <c r="T21" t="str" s="78" cm="1">
        <f t="array" ref="T21">IF(D21="Pendiente","-",INDEX($CS$6:$CS$53,MATCH($AA21,$BD$6:$BD$53,0)))</f>
        <v>P.1 (4)</v>
      </c>
      <c r="U21" t="str" s="78" cm="1">
        <f t="array" ref="U21">IF(D21="Pendiente","-",INDEX($CS$6:$CS$53,MATCH($AF21,$BD$6:$BD$53,0)))</f>
        <v>P.1 (4)</v>
      </c>
      <c r="V21" s="90"/>
      <c r="W21" s="126"/>
      <c r="X21" s="107">
        <v>46186.875</v>
      </c>
      <c r="Y21" s="108">
        <v>46186.875</v>
      </c>
      <c r="Z21" t="str" s="127" cm="1">
        <f t="array" ref="Z21">$Z$4</f>
        <v>J1</v>
      </c>
      <c r="AA21" t="str" s="110" cm="1">
        <f t="array" ref="AA21">A23</f>
        <v>Haití</v>
      </c>
      <c r="AB21" s="111"/>
      <c r="AC21" s="128">
        <v>0</v>
      </c>
      <c r="AD21" s="128">
        <v>0</v>
      </c>
      <c r="AE21" s="113"/>
      <c r="AF21" t="str" s="114" cm="1">
        <f t="array" ref="AF21">A24</f>
        <v>Escocia</v>
      </c>
      <c r="AG21" s="115" cm="1">
        <f t="array" ref="AG21">IF(NOT(OR(ISBLANK(AC21),ISBLANK(AD21))),1,0)</f>
        <v>1</v>
      </c>
      <c r="AH21" s="116">
        <v>5</v>
      </c>
      <c r="AI21" s="117"/>
      <c r="AJ21" t="str" s="213" cm="1">
        <f t="array" ref="AJ21">AJ5</f>
        <v>Pos</v>
      </c>
      <c r="AK21" s="130"/>
      <c r="AL21" t="str" s="214" cm="1">
        <f t="array" ref="AL21">AL5</f>
        <v>Selección</v>
      </c>
      <c r="AM21" t="str" s="130" cm="1">
        <f t="array" ref="AM21">AM5</f>
        <v>Pts</v>
      </c>
      <c r="AN21" t="str" s="130" cm="1">
        <f t="array" ref="AN21">AN5</f>
        <v>J</v>
      </c>
      <c r="AO21" t="str" s="130" cm="1">
        <f t="array" ref="AO21">AO5</f>
        <v>G</v>
      </c>
      <c r="AP21" t="str" s="130" cm="1">
        <f t="array" ref="AP21">AP5</f>
        <v>E</v>
      </c>
      <c r="AQ21" t="str" s="130" cm="1">
        <f t="array" ref="AQ21">AQ5</f>
        <v>P</v>
      </c>
      <c r="AR21" t="str" s="130" cm="1">
        <f t="array" ref="AR21">AR5</f>
        <v>GF</v>
      </c>
      <c r="AS21" t="str" s="130" cm="1">
        <f t="array" ref="AS21">AS5</f>
        <v>GC</v>
      </c>
      <c r="AT21" t="str" s="215" cm="1">
        <f t="array" ref="AT21">AT5</f>
        <v>DG</v>
      </c>
      <c r="AU21" s="216" cm="1">
        <f t="array" ref="AU21">COUNTIF(AU22:AU25,"&gt;1")</f>
        <v>4</v>
      </c>
      <c r="AV21" s="135"/>
      <c r="AW21" s="217"/>
      <c r="AX21" s="218"/>
      <c r="AY21" t="str" s="137" cm="1">
        <f t="array" ref="AY21">AL21</f>
        <v>Selección</v>
      </c>
      <c r="AZ21" t="s" s="138">
        <v>70</v>
      </c>
      <c r="BA21" s="139"/>
      <c r="BB21" s="87"/>
      <c r="BC21" t="s" s="125">
        <v>223</v>
      </c>
      <c r="BD21" t="s" s="125">
        <v>241</v>
      </c>
      <c r="BE21" s="154" cm="1">
        <f t="array" ref="BE21">BG21*3+BH21+IF($AZ$3="No",0,INDEX($AZ$6:$AZ$97,MATCH(BD21,$AY$6:$AY$97,0)))</f>
        <v>9</v>
      </c>
      <c r="BF21" s="154" cm="1">
        <f t="array" ref="BF21">BG21+BH21+BI21</f>
        <v>3</v>
      </c>
      <c r="BG21" s="154" cm="1">
        <f t="array" ref="BG21">_xlfn.COUNTIFS($AA$4:$AA$97,BD21,$D$4:$D$97,"Local")+_xlfn.COUNTIFS($AF$4:$AF$97,BD21,$D$4:$D$97,"Visitante")</f>
        <v>3</v>
      </c>
      <c r="BH21" s="154" cm="1">
        <f t="array" ref="BH21">_xlfn.COUNTIFS($AA$4:$AA$97,BD21,$D$4:$D$97,"Empate")+_xlfn.COUNTIFS($AF$4:$AF$97,BD21,$D$4:$D$97,"Empate")</f>
        <v>0</v>
      </c>
      <c r="BI21" s="154" cm="1">
        <f t="array" ref="BI21">_xlfn.COUNTIFS($AF$4:$AF$97,BD21,$D$4:$D$97,"Local")+_xlfn.COUNTIFS($AA$4:$AA$97,BD21,$D$4:$D$97,"Visitante")</f>
        <v>0</v>
      </c>
      <c r="BJ21" s="154" cm="1">
        <f t="array" ref="BJ21">_xlfn.SUMIFS($AC$4:$AC$97,$AA$4:$AA$97,BD21,$D$4:$D$97,"&lt;&gt;"&amp;"Pendiente",$AC$4:$AC$97,"&lt;&gt;"&amp;"",$AD$4:$AD$97,"&lt;&gt;"&amp;"")+_xlfn.SUMIFS($AD$4:$AD$97,$AF$4:$AF$97,BD21,$D$4:$D$97,"&lt;&gt;"&amp;"Pendiente",$AC$4:$AC$97,"&lt;&gt;"&amp;"",$AD$4:$AD$97,"&lt;&gt;"&amp;"")</f>
        <v>7</v>
      </c>
      <c r="BK21" s="154" cm="1">
        <f t="array" ref="BK21">_xlfn.SUMIFS($AC$4:$AC$97,$AF$4:$AF$97,BD21,$D$4:$D$97,"&lt;&gt;"&amp;"Pendiente",$AC$4:$AC$97,"&lt;&gt;"&amp;"",$AD$4:$AD$97,"&lt;&gt;"&amp;"")+_xlfn.SUMIFS($AD$4:$AD$97,$AA$4:$AA$97,BD21,$D$4:$D$97,"&lt;&gt;"&amp;"Pendiente",$AC$4:$AC$97,"&lt;&gt;"&amp;"",$AD$4:$AD$97,"&lt;&gt;"&amp;"")</f>
        <v>3</v>
      </c>
      <c r="BL21" s="154" cm="1">
        <f t="array" ref="BL21">BJ21-BK21</f>
        <v>4</v>
      </c>
      <c r="BM21" t="str" s="140" cm="1">
        <f t="array" ref="BM21">DD21&amp;BC21</f>
        <v>4D</v>
      </c>
      <c r="BN21" t="str" s="140" cm="1">
        <f t="array" ref="BN21">DH21&amp;BC21</f>
        <v>4D</v>
      </c>
      <c r="BO21" s="154" cm="1">
        <f t="array" ref="BO21">IF(AND($AJ$99=144,BF21&gt;=1),1,0)</f>
        <v>0</v>
      </c>
      <c r="BP21" s="154">
        <v>1</v>
      </c>
      <c r="BQ21" t="s" s="125">
        <v>135</v>
      </c>
      <c r="BR21" s="154" cm="1">
        <f t="array" ref="BR21">IF($BQ21="-","-",BE21)</f>
        <v>9</v>
      </c>
      <c r="BS21" s="154">
        <v>1</v>
      </c>
      <c r="BT21" t="s" s="125">
        <v>135</v>
      </c>
      <c r="BU21" s="154" cm="1">
        <f t="array" ref="BU21">IF($BT21="-","-",_xlfn.COUNTIFS($AA$4:$AA$97,$BD21,$D$4:$D$97,"Local",$F$4:$F$97,$BT21)+_xlfn.COUNTIFS($AF$4:$AF$97,$BD21,$D$4:$D$97,"Visitante",$E$4:$E$97,$BT21))</f>
        <v>3</v>
      </c>
      <c r="BV21" s="154" cm="1">
        <f t="array" ref="BV21">IF($BT21="-","-",_xlfn.COUNTIFS($AA$4:$AA$97,$BD21,$D$4:$D$97,"Empate",$F$4:$F$97,$BT21)+_xlfn.COUNTIFS($AF$4:$AF$97,$BD21,$D$4:$D$97,"Empate",$E$4:$E$97,$BT21))</f>
        <v>0</v>
      </c>
      <c r="BW21" s="154" cm="1">
        <f t="array" ref="BW21">IF($BT21="-","-",_xlfn.COUNTIFS($AA$4:$AA$97,$BD21,$D$4:$D$97,"Visitante",$F$4:$F$97,$BT21)+_xlfn.COUNTIFS($AF$4:$AF$97,$BD21,$D$4:$D$97,"Local",$E$4:$E$97,$BT21))</f>
        <v>0</v>
      </c>
      <c r="BX21" s="154" cm="1">
        <f t="array" ref="BX21">IF($BT21="-","-",BU21*3+BV21)</f>
        <v>9</v>
      </c>
      <c r="BY21" s="154">
        <v>1</v>
      </c>
      <c r="BZ21" t="s" s="125">
        <v>135</v>
      </c>
      <c r="CA21" s="154" cm="1">
        <f t="array" ref="CA21">IF($BZ21="-","-",_xlfn.SUMIFS($AC$4:$AC$97,$AA$4:$AA$97,$BD21,$I$4:$I$97,$BZ21)+_xlfn.SUMIFS($AD$4:$AD$97,$AF$4:$AF$97,$BD21,$H$4:$H$97,$BZ21))</f>
        <v>7</v>
      </c>
      <c r="CB21" s="154" cm="1">
        <f t="array" ref="CB21">IF($BZ21="-","-",_xlfn.SUMIFS($AD$4:$AD$97,$AA$4:$AA$97,$BD21,$I$4:$I$97,$BZ21)+_xlfn.SUMIFS($AC$4:$AC$97,$AF$4:$AF$97,$BD21,$H$4:$H$97,$BZ21))</f>
        <v>3</v>
      </c>
      <c r="CC21" s="154" cm="1">
        <f t="array" ref="CC21">IF($BZ21="-","-",CA21-CB21)</f>
        <v>4</v>
      </c>
      <c r="CD21" s="154">
        <v>1</v>
      </c>
      <c r="CE21" t="s" s="125">
        <v>135</v>
      </c>
      <c r="CF21" s="154" cm="1">
        <f t="array" ref="CF21">IF($CE21="-","-",_xlfn.SUMIFS($AC$4:$AC$97,$AA$4:$AA$97,$BD21,$L$4:$L$97,$CE21)+_xlfn.SUMIFS($AD$4:$AD$97,$AF$4:$AF$97,$BD21,$K$4:$K$97,$CE21))</f>
        <v>7</v>
      </c>
      <c r="CG21" s="154">
        <v>1</v>
      </c>
      <c r="CH21" t="s" s="125">
        <v>135</v>
      </c>
      <c r="CI21" s="154" cm="1">
        <f t="array" ref="CI21">IF($CH21="-","-",_xlfn.COUNTIFS($AA$4:$AA$97,$BD21,$D$4:$D$97,"Local",$O$4:$O$97,$CH21)+_xlfn.COUNTIFS($AF$4:$AF$97,$BD21,$D$4:$D$97,"Visitante",$N$4:$N$97,$CH21))</f>
        <v>3</v>
      </c>
      <c r="CJ21" s="154" cm="1">
        <f t="array" ref="CJ21">IF($CH21="-","-",_xlfn.COUNTIFS($AA$4:$AA$97,$BD21,$D$4:$D$97,"Empate",$O$4:$O$97,$CH21)+_xlfn.COUNTIFS($AF$4:$AF$97,$BD21,$D$4:$D$97,"Empate",$N$4:$N$97,$CH21))</f>
        <v>0</v>
      </c>
      <c r="CK21" s="154" cm="1">
        <f t="array" ref="CK21">IF($CH21="-","-",_xlfn.COUNTIFS($AA$4:$AA$97,$BD21,$D$4:$D$97,"Visitante",$O$4:$O$97,$CH21)+_xlfn.COUNTIFS($AF$4:$AF$97,$BD21,$D$4:$D$97,"Local",$N$4:$N$97,$CH21))</f>
        <v>0</v>
      </c>
      <c r="CL21" s="154" cm="1">
        <f t="array" ref="CL21">IF($CH21="-","-",CI21*3+CJ21)</f>
        <v>9</v>
      </c>
      <c r="CM21" s="154">
        <v>1</v>
      </c>
      <c r="CN21" t="s" s="125">
        <v>135</v>
      </c>
      <c r="CO21" s="154" cm="1">
        <f t="array" ref="CO21">IF($CN21="-","-",_xlfn.SUMIFS($AC$4:$AC$97,$AA$4:$AA$97,$BD21,$R$4:$R$97,$CN21)+_xlfn.SUMIFS($AD$4:$AD$97,$AF$4:$AF$97,$BD21,$Q$4:$Q$97,$CN21))</f>
        <v>7</v>
      </c>
      <c r="CP21" s="154" cm="1">
        <f t="array" ref="CP21">IF($CN21="-","-",_xlfn.SUMIFS($AD$4:$AD$97,$AA$4:$AA$97,$BD21,$R$4:$R$97,$CN21)+_xlfn.SUMIFS($AC$4:$AC$97,$AF$4:$AF$97,$BD21,$Q$4:$Q$97,$CN21))</f>
        <v>3</v>
      </c>
      <c r="CQ21" s="154" cm="1">
        <f t="array" ref="CQ21">IF($CN21="-","-",CO21-CP21)</f>
        <v>4</v>
      </c>
      <c r="CR21" s="154">
        <v>1</v>
      </c>
      <c r="CS21" t="s" s="125">
        <v>135</v>
      </c>
      <c r="CT21" s="154" cm="1">
        <f t="array" ref="CT21">IF($CS21="-","-",_xlfn.SUMIFS($AC$4:$AC$97,$AA$4:$AA$97,$BD21,$U$4:$U$97,$CS21)+_xlfn.SUMIFS($AD$4:$AD$97,$AF$4:$AF$97,$BD21,$T$4:$T$97,$CS21))</f>
        <v>7</v>
      </c>
      <c r="CU21" s="154">
        <v>1</v>
      </c>
      <c r="CV21" t="s" s="125">
        <v>135</v>
      </c>
      <c r="CW21" s="154" cm="1">
        <f t="array" ref="CW21">IF(CV21="-","-",BL21)</f>
        <v>4</v>
      </c>
      <c r="CX21" s="154">
        <v>1</v>
      </c>
      <c r="CY21" t="s" s="125">
        <v>135</v>
      </c>
      <c r="CZ21" s="154" cm="1">
        <f t="array" ref="CZ21">IF(CY21="-","-",BJ21)</f>
        <v>7</v>
      </c>
      <c r="DA21" s="154">
        <v>1</v>
      </c>
      <c r="DB21" t="s" s="125">
        <v>135</v>
      </c>
      <c r="DC21" s="154">
        <v>4</v>
      </c>
      <c r="DD21" s="154">
        <v>4</v>
      </c>
      <c r="DE21" s="140"/>
      <c r="DF21" s="154" cm="1">
        <f t="array" ref="DF21">IF(OR(INDEX($AW$6:$AW$97,MATCH($BD21,$AV$6:$AV$97,0))="",DB21="-"),DD21,INDEX($AW$6:$AW$97,MATCH($BD21,$AV$6:$AV$97,0))+DD21/1000)</f>
        <v>4</v>
      </c>
      <c r="DG21" s="154">
        <v>3</v>
      </c>
      <c r="DH21" s="154">
        <v>4</v>
      </c>
      <c r="DI21" s="140"/>
      <c r="DJ21" s="154" cm="1">
        <f t="array" ref="DJ21">INDEX($DA$6:$DA$53,MATCH($DQ21,$BD$6:$BD$53,0))</f>
        <v>1</v>
      </c>
      <c r="DK21" s="154" cm="1">
        <f t="array" ref="DK21">SUMIF($BC$6:$BC$53,BC21,$BF$6:$BF$53)</f>
        <v>12</v>
      </c>
      <c r="DL21" s="154" cm="1">
        <f t="array" ref="DL21">IF(OR(DK21=12,$AJ$99=144),_xlfn.COUNTIFS($DJ$6:$DJ$53,DJ21,$BC$6:$BC$53,BC21),1)</f>
        <v>4</v>
      </c>
      <c r="DM21" t="str" s="140" cm="1">
        <f t="array" ref="DM21">DJ21&amp;"."&amp;DL21</f>
        <v>1.4</v>
      </c>
      <c r="DN21" s="154">
        <v>1</v>
      </c>
      <c r="DO21" s="140"/>
      <c r="DP21" t="s" s="125">
        <v>243</v>
      </c>
      <c r="DQ21" t="str" s="140" cm="1">
        <f t="array" ref="DQ21">INDEX($BD$6:$BD$53,MATCH(DP21,$BM$6:$BM$53,0))</f>
        <v>Turquía</v>
      </c>
      <c r="DR21" s="87"/>
      <c r="DS21" s="87"/>
      <c r="DT21" s="88"/>
      <c r="DU21" s="12"/>
    </row>
    <row r="22" ht="16" customHeight="1">
      <c r="A22" t="s" s="89">
        <v>207</v>
      </c>
      <c r="B22" s="78"/>
      <c r="C22" s="78"/>
      <c r="D22" t="str" s="78" cm="1">
        <f t="array" ref="D22">IF(OR(AC22="",AD22=""),"Pendiente",IF(AC22&gt;AD22,"Local",IF(AC22&lt;AD22,"Visitante","Empate")))</f>
        <v>Visitante</v>
      </c>
      <c r="E22" t="str" s="78" cm="1">
        <f t="array" ref="E22">IF(D22="Pendiente","-",INDEX($BT$6:$BT$53,MATCH($AA22,$BD$6:$BD$53,0)))</f>
        <v>P.1 (4)</v>
      </c>
      <c r="F22" t="str" s="78" cm="1">
        <f t="array" ref="F22">IF(D22="Pendiente","-",INDEX($BT$6:$BT$53,MATCH($AF22,$BD$6:$BD$53,0)))</f>
        <v>P.1 (4)</v>
      </c>
      <c r="G22" s="78"/>
      <c r="H22" t="str" s="78" cm="1">
        <f t="array" ref="H22">IF(D22="Pendiente","-",INDEX($BZ$6:$BZ$53,MATCH($AA22,$BD$6:$BD$53,0)))</f>
        <v>P.1 (4)</v>
      </c>
      <c r="I22" t="str" s="78" cm="1">
        <f t="array" ref="I22">IF(D22="Pendiente","-",INDEX($BZ$6:$BZ$53,MATCH($AF22,$BD$6:$BD$53,0)))</f>
        <v>P.1 (4)</v>
      </c>
      <c r="J22" s="78"/>
      <c r="K22" t="str" s="78" cm="1">
        <f t="array" ref="K22">IF(D22="Pendiente","-",INDEX($CE$6:$CE$53,MATCH($AA22,$BD$6:$BD$53,0)))</f>
        <v>P.1 (4)</v>
      </c>
      <c r="L22" t="str" s="78" cm="1">
        <f t="array" ref="L22">IF(D22="Pendiente","-",INDEX($CE$6:$CE$53,MATCH($AF22,$BD$6:$BD$53,0)))</f>
        <v>P.1 (4)</v>
      </c>
      <c r="M22" s="78"/>
      <c r="N22" t="str" s="78" cm="1">
        <f t="array" ref="N22">IF(D22="Pendiente","-",INDEX($CH$6:$CH$53,MATCH($AA22,$BD$6:$BD$53,0)))</f>
        <v>P.1 (4)</v>
      </c>
      <c r="O22" t="str" s="78" cm="1">
        <f t="array" ref="O22">IF(D22="Pendiente","-",INDEX($CH$6:$CH$53,MATCH($AF22,$BD$6:$BD$53,0)))</f>
        <v>P.1 (4)</v>
      </c>
      <c r="P22" s="78"/>
      <c r="Q22" t="str" s="78" cm="1">
        <f t="array" ref="Q22">IF(D22="Pendiente","-",INDEX($CN$6:$CN$53,MATCH($AA22,$BD$6:$BD$53,0)))</f>
        <v>P.1 (4)</v>
      </c>
      <c r="R22" t="str" s="78" cm="1">
        <f t="array" ref="R22">IF(D22="Pendiente","-",INDEX($CN$6:$CN$53,MATCH($AF22,$BD$6:$BD$53,0)))</f>
        <v>P.1 (4)</v>
      </c>
      <c r="S22" s="78"/>
      <c r="T22" t="str" s="78" cm="1">
        <f t="array" ref="T22">IF(D22="Pendiente","-",INDEX($CS$6:$CS$53,MATCH($AA22,$BD$6:$BD$53,0)))</f>
        <v>P.1 (4)</v>
      </c>
      <c r="U22" t="str" s="78" cm="1">
        <f t="array" ref="U22">IF(D22="Pendiente","-",INDEX($CS$6:$CS$53,MATCH($AF22,$BD$6:$BD$53,0)))</f>
        <v>P.1 (4)</v>
      </c>
      <c r="V22" s="90"/>
      <c r="W22" s="141"/>
      <c r="X22" s="107">
        <v>46192.75</v>
      </c>
      <c r="Y22" s="108">
        <v>46192.75</v>
      </c>
      <c r="Z22" t="str" s="127" cm="1">
        <f t="array" ref="Z22">$Z$6</f>
        <v>J2</v>
      </c>
      <c r="AA22" t="str" s="110" cm="1">
        <f t="array" ref="AA22">A24</f>
        <v>Escocia</v>
      </c>
      <c r="AB22" s="111"/>
      <c r="AC22" s="128">
        <v>0</v>
      </c>
      <c r="AD22" s="128">
        <v>2</v>
      </c>
      <c r="AE22" s="113"/>
      <c r="AF22" t="str" s="114" cm="1">
        <f t="array" ref="AF22">A22</f>
        <v>Marruecos</v>
      </c>
      <c r="AG22" s="115" cm="1">
        <f t="array" ref="AG22">IF(NOT(OR(ISBLANK(AC22),ISBLANK(AD22))),1,0)</f>
        <v>1</v>
      </c>
      <c r="AH22" s="116">
        <v>30</v>
      </c>
      <c r="AI22" t="str" s="117" cm="1">
        <f t="array" ref="AI22">AJ22&amp;$B$20</f>
        <v>1C</v>
      </c>
      <c r="AJ22" s="142">
        <v>1</v>
      </c>
      <c r="AK22" s="221"/>
      <c r="AL22" t="str" s="144" cm="1">
        <f t="array" ref="AL22">_xlfn.IFERROR(INDEX($BD$6:$BD$53,MATCH(AI22,$BN$6:$BN$53,0)),"")</f>
        <v>Brasil</v>
      </c>
      <c r="AM22" s="145" cm="1">
        <f t="array" ref="AM22">INDEX($BE$6:$BN$53,MATCH($AL22,$BD$6:$BD$53,0),MATCH(AM$5,$BE$5:$BN$5,0))</f>
        <v>9</v>
      </c>
      <c r="AN22" s="146" cm="1">
        <f t="array" ref="AN22">INDEX($BE$6:$BN$53,MATCH($AL22,$BD$6:$BD$53,0),MATCH(AN$5,$BE$5:$BN$5,0))</f>
        <v>3</v>
      </c>
      <c r="AO22" s="146" cm="1">
        <f t="array" ref="AO22">INDEX($BE$6:$BN$53,MATCH($AL22,$BD$6:$BD$53,0),MATCH(AO$5,$BE$5:$BN$5,0))</f>
        <v>3</v>
      </c>
      <c r="AP22" s="146" cm="1">
        <f t="array" ref="AP22">INDEX($BE$6:$BN$53,MATCH($AL22,$BD$6:$BD$53,0),MATCH(AP$5,$BE$5:$BN$5,0))</f>
        <v>0</v>
      </c>
      <c r="AQ22" s="146" cm="1">
        <f t="array" ref="AQ22">INDEX($BE$6:$BN$53,MATCH($AL22,$BD$6:$BD$53,0),MATCH(AQ$5,$BE$5:$BN$5,0))</f>
        <v>0</v>
      </c>
      <c r="AR22" s="146" cm="1">
        <f t="array" ref="AR22">INDEX($BE$6:$BN$53,MATCH($AL22,$BD$6:$BD$53,0),MATCH(AR$5,$BE$5:$BN$5,0))</f>
        <v>7</v>
      </c>
      <c r="AS22" s="146" cm="1">
        <f t="array" ref="AS22">INDEX($BE$6:$BN$53,MATCH($AL22,$BD$6:$BD$53,0),MATCH(AS$5,$BE$5:$BN$5,0))</f>
        <v>2</v>
      </c>
      <c r="AT22" s="147" cm="1">
        <f t="array" ref="AT22">INDEX($BE$6:$BN$53,MATCH($AL22,$BD$6:$BD$53,0),MATCH(AT$5,$BE$5:$BN$5,0))</f>
        <v>5</v>
      </c>
      <c r="AU22" s="148" cm="1">
        <f t="array" ref="AU22">INDEX($DL$6:$DL$53,MATCH(AI22,$DP$6:$DP$53,0))</f>
        <v>4</v>
      </c>
      <c r="AV22" t="str" s="149" cm="1">
        <f t="array" ref="AV22">INDEX($BD$6:$BD$53,MATCH(AI22,$BM$6:$BM$53,0))</f>
        <v>Brasil</v>
      </c>
      <c r="AW22" s="150"/>
      <c r="AX22" s="151"/>
      <c r="AY22" t="str" s="152" cm="1">
        <f t="array" ref="AY22">A21</f>
        <v>Brasil</v>
      </c>
      <c r="AZ22" s="153"/>
      <c r="BA22" s="139"/>
      <c r="BB22" s="87"/>
      <c r="BC22" t="s" s="125">
        <v>64</v>
      </c>
      <c r="BD22" t="s" s="125">
        <v>247</v>
      </c>
      <c r="BE22" s="154" cm="1">
        <f t="array" ref="BE22">BG22*3+BH22+IF($AZ$3="No",0,INDEX($AZ$6:$AZ$97,MATCH(BD22,$AY$6:$AY$97,0)))</f>
        <v>9</v>
      </c>
      <c r="BF22" s="154" cm="1">
        <f t="array" ref="BF22">BG22+BH22+BI22</f>
        <v>3</v>
      </c>
      <c r="BG22" s="154" cm="1">
        <f t="array" ref="BG22">_xlfn.COUNTIFS($AA$4:$AA$97,BD22,$D$4:$D$97,"Local")+_xlfn.COUNTIFS($AF$4:$AF$97,BD22,$D$4:$D$97,"Visitante")</f>
        <v>3</v>
      </c>
      <c r="BH22" s="154" cm="1">
        <f t="array" ref="BH22">_xlfn.COUNTIFS($AA$4:$AA$97,BD22,$D$4:$D$97,"Empate")+_xlfn.COUNTIFS($AF$4:$AF$97,BD22,$D$4:$D$97,"Empate")</f>
        <v>0</v>
      </c>
      <c r="BI22" s="154" cm="1">
        <f t="array" ref="BI22">_xlfn.COUNTIFS($AF$4:$AF$97,BD22,$D$4:$D$97,"Local")+_xlfn.COUNTIFS($AA$4:$AA$97,BD22,$D$4:$D$97,"Visitante")</f>
        <v>0</v>
      </c>
      <c r="BJ22" s="154" cm="1">
        <f t="array" ref="BJ22">_xlfn.SUMIFS($AC$4:$AC$97,$AA$4:$AA$97,BD22,$D$4:$D$97,"&lt;&gt;"&amp;"Pendiente",$AC$4:$AC$97,"&lt;&gt;"&amp;"",$AD$4:$AD$97,"&lt;&gt;"&amp;"")+_xlfn.SUMIFS($AD$4:$AD$97,$AF$4:$AF$97,BD22,$D$4:$D$97,"&lt;&gt;"&amp;"Pendiente",$AC$4:$AC$97,"&lt;&gt;"&amp;"",$AD$4:$AD$97,"&lt;&gt;"&amp;"")</f>
        <v>7</v>
      </c>
      <c r="BK22" s="154" cm="1">
        <f t="array" ref="BK22">_xlfn.SUMIFS($AC$4:$AC$97,$AF$4:$AF$97,BD22,$D$4:$D$97,"&lt;&gt;"&amp;"Pendiente",$AC$4:$AC$97,"&lt;&gt;"&amp;"",$AD$4:$AD$97,"&lt;&gt;"&amp;"")+_xlfn.SUMIFS($AD$4:$AD$97,$AA$4:$AA$97,BD22,$D$4:$D$97,"&lt;&gt;"&amp;"Pendiente",$AC$4:$AC$97,"&lt;&gt;"&amp;"",$AD$4:$AD$97,"&lt;&gt;"&amp;"")</f>
        <v>1</v>
      </c>
      <c r="BL22" s="154" cm="1">
        <f t="array" ref="BL22">BJ22-BK22</f>
        <v>6</v>
      </c>
      <c r="BM22" t="str" s="140" cm="1">
        <f t="array" ref="BM22">DD22&amp;BC22</f>
        <v>1E</v>
      </c>
      <c r="BN22" t="str" s="140" cm="1">
        <f t="array" ref="BN22">DH22&amp;BC22</f>
        <v>1E</v>
      </c>
      <c r="BO22" s="154" cm="1">
        <f t="array" ref="BO22">IF(AND($AJ$99=144,BF22&gt;=1),1,0)</f>
        <v>0</v>
      </c>
      <c r="BP22" s="154">
        <v>1</v>
      </c>
      <c r="BQ22" t="s" s="125">
        <v>135</v>
      </c>
      <c r="BR22" s="154" cm="1">
        <f t="array" ref="BR22">IF($BQ22="-","-",BE22)</f>
        <v>9</v>
      </c>
      <c r="BS22" s="154">
        <v>1</v>
      </c>
      <c r="BT22" t="s" s="125">
        <v>135</v>
      </c>
      <c r="BU22" s="154" cm="1">
        <f t="array" ref="BU22">IF($BT22="-","-",_xlfn.COUNTIFS($AA$4:$AA$97,$BD22,$D$4:$D$97,"Local",$F$4:$F$97,$BT22)+_xlfn.COUNTIFS($AF$4:$AF$97,$BD22,$D$4:$D$97,"Visitante",$E$4:$E$97,$BT22))</f>
        <v>3</v>
      </c>
      <c r="BV22" s="154" cm="1">
        <f t="array" ref="BV22">IF($BT22="-","-",_xlfn.COUNTIFS($AA$4:$AA$97,$BD22,$D$4:$D$97,"Empate",$F$4:$F$97,$BT22)+_xlfn.COUNTIFS($AF$4:$AF$97,$BD22,$D$4:$D$97,"Empate",$E$4:$E$97,$BT22))</f>
        <v>0</v>
      </c>
      <c r="BW22" s="154" cm="1">
        <f t="array" ref="BW22">IF($BT22="-","-",_xlfn.COUNTIFS($AA$4:$AA$97,$BD22,$D$4:$D$97,"Visitante",$F$4:$F$97,$BT22)+_xlfn.COUNTIFS($AF$4:$AF$97,$BD22,$D$4:$D$97,"Local",$E$4:$E$97,$BT22))</f>
        <v>0</v>
      </c>
      <c r="BX22" s="154" cm="1">
        <f t="array" ref="BX22">IF($BT22="-","-",BU22*3+BV22)</f>
        <v>9</v>
      </c>
      <c r="BY22" s="154">
        <v>1</v>
      </c>
      <c r="BZ22" t="s" s="125">
        <v>135</v>
      </c>
      <c r="CA22" s="154" cm="1">
        <f t="array" ref="CA22">IF($BZ22="-","-",_xlfn.SUMIFS($AC$4:$AC$97,$AA$4:$AA$97,$BD22,$I$4:$I$97,$BZ22)+_xlfn.SUMIFS($AD$4:$AD$97,$AF$4:$AF$97,$BD22,$H$4:$H$97,$BZ22))</f>
        <v>7</v>
      </c>
      <c r="CB22" s="154" cm="1">
        <f t="array" ref="CB22">IF($BZ22="-","-",_xlfn.SUMIFS($AD$4:$AD$97,$AA$4:$AA$97,$BD22,$I$4:$I$97,$BZ22)+_xlfn.SUMIFS($AC$4:$AC$97,$AF$4:$AF$97,$BD22,$H$4:$H$97,$BZ22))</f>
        <v>1</v>
      </c>
      <c r="CC22" s="154" cm="1">
        <f t="array" ref="CC22">IF($BZ22="-","-",CA22-CB22)</f>
        <v>6</v>
      </c>
      <c r="CD22" s="154">
        <v>1</v>
      </c>
      <c r="CE22" t="s" s="125">
        <v>135</v>
      </c>
      <c r="CF22" s="154" cm="1">
        <f t="array" ref="CF22">IF($CE22="-","-",_xlfn.SUMIFS($AC$4:$AC$97,$AA$4:$AA$97,$BD22,$L$4:$L$97,$CE22)+_xlfn.SUMIFS($AD$4:$AD$97,$AF$4:$AF$97,$BD22,$K$4:$K$97,$CE22))</f>
        <v>7</v>
      </c>
      <c r="CG22" s="154">
        <v>1</v>
      </c>
      <c r="CH22" t="s" s="125">
        <v>135</v>
      </c>
      <c r="CI22" s="154" cm="1">
        <f t="array" ref="CI22">IF($CH22="-","-",_xlfn.COUNTIFS($AA$4:$AA$97,$BD22,$D$4:$D$97,"Local",$O$4:$O$97,$CH22)+_xlfn.COUNTIFS($AF$4:$AF$97,$BD22,$D$4:$D$97,"Visitante",$N$4:$N$97,$CH22))</f>
        <v>3</v>
      </c>
      <c r="CJ22" s="154" cm="1">
        <f t="array" ref="CJ22">IF($CH22="-","-",_xlfn.COUNTIFS($AA$4:$AA$97,$BD22,$D$4:$D$97,"Empate",$O$4:$O$97,$CH22)+_xlfn.COUNTIFS($AF$4:$AF$97,$BD22,$D$4:$D$97,"Empate",$N$4:$N$97,$CH22))</f>
        <v>0</v>
      </c>
      <c r="CK22" s="154" cm="1">
        <f t="array" ref="CK22">IF($CH22="-","-",_xlfn.COUNTIFS($AA$4:$AA$97,$BD22,$D$4:$D$97,"Visitante",$O$4:$O$97,$CH22)+_xlfn.COUNTIFS($AF$4:$AF$97,$BD22,$D$4:$D$97,"Local",$N$4:$N$97,$CH22))</f>
        <v>0</v>
      </c>
      <c r="CL22" s="154" cm="1">
        <f t="array" ref="CL22">IF($CH22="-","-",CI22*3+CJ22)</f>
        <v>9</v>
      </c>
      <c r="CM22" s="154">
        <v>1</v>
      </c>
      <c r="CN22" t="s" s="125">
        <v>135</v>
      </c>
      <c r="CO22" s="154" cm="1">
        <f t="array" ref="CO22">IF($CN22="-","-",_xlfn.SUMIFS($AC$4:$AC$97,$AA$4:$AA$97,$BD22,$R$4:$R$97,$CN22)+_xlfn.SUMIFS($AD$4:$AD$97,$AF$4:$AF$97,$BD22,$Q$4:$Q$97,$CN22))</f>
        <v>7</v>
      </c>
      <c r="CP22" s="154" cm="1">
        <f t="array" ref="CP22">IF($CN22="-","-",_xlfn.SUMIFS($AD$4:$AD$97,$AA$4:$AA$97,$BD22,$R$4:$R$97,$CN22)+_xlfn.SUMIFS($AC$4:$AC$97,$AF$4:$AF$97,$BD22,$Q$4:$Q$97,$CN22))</f>
        <v>1</v>
      </c>
      <c r="CQ22" s="154" cm="1">
        <f t="array" ref="CQ22">IF($CN22="-","-",CO22-CP22)</f>
        <v>6</v>
      </c>
      <c r="CR22" s="154">
        <v>1</v>
      </c>
      <c r="CS22" t="s" s="125">
        <v>135</v>
      </c>
      <c r="CT22" s="154" cm="1">
        <f t="array" ref="CT22">IF($CS22="-","-",_xlfn.SUMIFS($AC$4:$AC$97,$AA$4:$AA$97,$BD22,$U$4:$U$97,$CS22)+_xlfn.SUMIFS($AD$4:$AD$97,$AF$4:$AF$97,$BD22,$T$4:$T$97,$CS22))</f>
        <v>7</v>
      </c>
      <c r="CU22" s="154">
        <v>1</v>
      </c>
      <c r="CV22" t="s" s="125">
        <v>135</v>
      </c>
      <c r="CW22" s="154" cm="1">
        <f t="array" ref="CW22">IF(CV22="-","-",BL22)</f>
        <v>6</v>
      </c>
      <c r="CX22" s="154">
        <v>1</v>
      </c>
      <c r="CY22" t="s" s="125">
        <v>135</v>
      </c>
      <c r="CZ22" s="154" cm="1">
        <f t="array" ref="CZ22">IF(CY22="-","-",BJ22)</f>
        <v>7</v>
      </c>
      <c r="DA22" s="154">
        <v>1</v>
      </c>
      <c r="DB22" t="s" s="125">
        <v>135</v>
      </c>
      <c r="DC22" s="154">
        <v>1</v>
      </c>
      <c r="DD22" s="154">
        <v>1</v>
      </c>
      <c r="DE22" s="140"/>
      <c r="DF22" s="154" cm="1">
        <f t="array" ref="DF22">IF(OR(INDEX($AW$6:$AW$97,MATCH($BD22,$AV$6:$AV$97,0))="",DB22="-"),DD22,INDEX($AW$6:$AW$97,MATCH($BD22,$AV$6:$AV$97,0))+DD22/1000)</f>
        <v>1</v>
      </c>
      <c r="DG22" s="154">
        <v>0</v>
      </c>
      <c r="DH22" s="154">
        <v>1</v>
      </c>
      <c r="DI22" s="140"/>
      <c r="DJ22" s="154" cm="1">
        <f t="array" ref="DJ22">INDEX($DA$6:$DA$53,MATCH($DQ22,$BD$6:$BD$53,0))</f>
        <v>1</v>
      </c>
      <c r="DK22" s="154" cm="1">
        <f t="array" ref="DK22">SUMIF($BC$6:$BC$53,BC22,$BF$6:$BF$53)</f>
        <v>12</v>
      </c>
      <c r="DL22" s="154" cm="1">
        <f t="array" ref="DL22">IF(OR(DK22=12,$AJ$99=144),_xlfn.COUNTIFS($DJ$6:$DJ$53,DJ22,$BC$6:$BC$53,BC22),1)</f>
        <v>4</v>
      </c>
      <c r="DM22" t="str" s="140" cm="1">
        <f t="array" ref="DM22">DJ22&amp;"."&amp;DL22</f>
        <v>1.4</v>
      </c>
      <c r="DN22" s="154">
        <v>1</v>
      </c>
      <c r="DO22" s="140"/>
      <c r="DP22" t="s" s="125">
        <v>249</v>
      </c>
      <c r="DQ22" t="str" s="140" cm="1">
        <f t="array" ref="DQ22">INDEX($BD$6:$BD$53,MATCH(DP22,$BM$6:$BM$53,0))</f>
        <v>Alemania</v>
      </c>
      <c r="DR22" s="87"/>
      <c r="DS22" s="87"/>
      <c r="DT22" s="88"/>
      <c r="DU22" s="12"/>
    </row>
    <row r="23" ht="16" customHeight="1">
      <c r="A23" t="s" s="89">
        <v>213</v>
      </c>
      <c r="B23" s="78"/>
      <c r="C23" s="78"/>
      <c r="D23" t="str" s="78" cm="1">
        <f t="array" ref="D23">IF(OR(AC23="",AD23=""),"Pendiente",IF(AC23&gt;AD23,"Local",IF(AC23&lt;AD23,"Visitante","Empate")))</f>
        <v>Local</v>
      </c>
      <c r="E23" t="str" s="78" cm="1">
        <f t="array" ref="E23">IF(D23="Pendiente","-",INDEX($BT$6:$BT$53,MATCH($AA23,$BD$6:$BD$53,0)))</f>
        <v>P.1 (4)</v>
      </c>
      <c r="F23" t="str" s="78" cm="1">
        <f t="array" ref="F23">IF(D23="Pendiente","-",INDEX($BT$6:$BT$53,MATCH($AF23,$BD$6:$BD$53,0)))</f>
        <v>P.1 (4)</v>
      </c>
      <c r="G23" s="78"/>
      <c r="H23" t="str" s="78" cm="1">
        <f t="array" ref="H23">IF(D23="Pendiente","-",INDEX($BZ$6:$BZ$53,MATCH($AA23,$BD$6:$BD$53,0)))</f>
        <v>P.1 (4)</v>
      </c>
      <c r="I23" t="str" s="78" cm="1">
        <f t="array" ref="I23">IF(D23="Pendiente","-",INDEX($BZ$6:$BZ$53,MATCH($AF23,$BD$6:$BD$53,0)))</f>
        <v>P.1 (4)</v>
      </c>
      <c r="J23" s="78"/>
      <c r="K23" t="str" s="78" cm="1">
        <f t="array" ref="K23">IF(D23="Pendiente","-",INDEX($CE$6:$CE$53,MATCH($AA23,$BD$6:$BD$53,0)))</f>
        <v>P.1 (4)</v>
      </c>
      <c r="L23" t="str" s="78" cm="1">
        <f t="array" ref="L23">IF(D23="Pendiente","-",INDEX($CE$6:$CE$53,MATCH($AF23,$BD$6:$BD$53,0)))</f>
        <v>P.1 (4)</v>
      </c>
      <c r="M23" s="78"/>
      <c r="N23" t="str" s="78" cm="1">
        <f t="array" ref="N23">IF(D23="Pendiente","-",INDEX($CH$6:$CH$53,MATCH($AA23,$BD$6:$BD$53,0)))</f>
        <v>P.1 (4)</v>
      </c>
      <c r="O23" t="str" s="78" cm="1">
        <f t="array" ref="O23">IF(D23="Pendiente","-",INDEX($CH$6:$CH$53,MATCH($AF23,$BD$6:$BD$53,0)))</f>
        <v>P.1 (4)</v>
      </c>
      <c r="P23" s="78"/>
      <c r="Q23" t="str" s="78" cm="1">
        <f t="array" ref="Q23">IF(D23="Pendiente","-",INDEX($CN$6:$CN$53,MATCH($AA23,$BD$6:$BD$53,0)))</f>
        <v>P.1 (4)</v>
      </c>
      <c r="R23" t="str" s="78" cm="1">
        <f t="array" ref="R23">IF(D23="Pendiente","-",INDEX($CN$6:$CN$53,MATCH($AF23,$BD$6:$BD$53,0)))</f>
        <v>P.1 (4)</v>
      </c>
      <c r="S23" s="78"/>
      <c r="T23" t="str" s="78" cm="1">
        <f t="array" ref="T23">IF(D23="Pendiente","-",INDEX($CS$6:$CS$53,MATCH($AA23,$BD$6:$BD$53,0)))</f>
        <v>P.1 (4)</v>
      </c>
      <c r="U23" t="str" s="78" cm="1">
        <f t="array" ref="U23">IF(D23="Pendiente","-",INDEX($CS$6:$CS$53,MATCH($AF23,$BD$6:$BD$53,0)))</f>
        <v>P.1 (4)</v>
      </c>
      <c r="V23" s="90"/>
      <c r="W23" s="141"/>
      <c r="X23" s="107">
        <v>46192.854166666657</v>
      </c>
      <c r="Y23" s="108">
        <v>46192.854166666657</v>
      </c>
      <c r="Z23" t="str" s="127" cm="1">
        <f t="array" ref="Z23">$Z$6</f>
        <v>J2</v>
      </c>
      <c r="AA23" t="str" s="110" cm="1">
        <f t="array" ref="AA23">A21</f>
        <v>Brasil</v>
      </c>
      <c r="AB23" s="111"/>
      <c r="AC23" s="128">
        <v>2</v>
      </c>
      <c r="AD23" s="128">
        <v>0</v>
      </c>
      <c r="AE23" s="113"/>
      <c r="AF23" t="str" s="114" cm="1">
        <f t="array" ref="AF23">A23</f>
        <v>Haití</v>
      </c>
      <c r="AG23" s="115" cm="1">
        <f t="array" ref="AG23">IF(NOT(OR(ISBLANK(AC23),ISBLANK(AD23))),1,0)</f>
        <v>1</v>
      </c>
      <c r="AH23" s="116">
        <v>29</v>
      </c>
      <c r="AI23" t="str" s="117" cm="1">
        <f t="array" ref="AI23">AJ23&amp;$B$20</f>
        <v>2C</v>
      </c>
      <c r="AJ23" s="155">
        <v>2</v>
      </c>
      <c r="AK23" s="225"/>
      <c r="AL23" t="str" s="157" cm="1">
        <f t="array" ref="AL23">_xlfn.IFERROR(INDEX($BD$6:$BD$53,MATCH(AI23,$BN$6:$BN$53,0)),"")</f>
        <v>Marruecos</v>
      </c>
      <c r="AM23" s="158" cm="1">
        <f t="array" ref="AM23">INDEX($BE$6:$BN$53,MATCH($AL23,$BD$6:$BD$53,0),MATCH(AM$5,$BE$5:$BN$5,0))</f>
        <v>6</v>
      </c>
      <c r="AN23" s="159" cm="1">
        <f t="array" ref="AN23">INDEX($BE$6:$BN$53,MATCH($AL23,$BD$6:$BD$53,0),MATCH(AN$5,$BE$5:$BN$5,0))</f>
        <v>3</v>
      </c>
      <c r="AO23" s="159" cm="1">
        <f t="array" ref="AO23">INDEX($BE$6:$BN$53,MATCH($AL23,$BD$6:$BD$53,0),MATCH(AO$5,$BE$5:$BN$5,0))</f>
        <v>2</v>
      </c>
      <c r="AP23" s="159" cm="1">
        <f t="array" ref="AP23">INDEX($BE$6:$BN$53,MATCH($AL23,$BD$6:$BD$53,0),MATCH(AP$5,$BE$5:$BN$5,0))</f>
        <v>0</v>
      </c>
      <c r="AQ23" s="159" cm="1">
        <f t="array" ref="AQ23">INDEX($BE$6:$BN$53,MATCH($AL23,$BD$6:$BD$53,0),MATCH(AQ$5,$BE$5:$BN$5,0))</f>
        <v>1</v>
      </c>
      <c r="AR23" s="159" cm="1">
        <f t="array" ref="AR23">INDEX($BE$6:$BN$53,MATCH($AL23,$BD$6:$BD$53,0),MATCH(AR$5,$BE$5:$BN$5,0))</f>
        <v>5</v>
      </c>
      <c r="AS23" s="159" cm="1">
        <f t="array" ref="AS23">INDEX($BE$6:$BN$53,MATCH($AL23,$BD$6:$BD$53,0),MATCH(AS$5,$BE$5:$BN$5,0))</f>
        <v>2</v>
      </c>
      <c r="AT23" s="160" cm="1">
        <f t="array" ref="AT23">INDEX($BE$6:$BN$53,MATCH($AL23,$BD$6:$BD$53,0),MATCH(AT$5,$BE$5:$BN$5,0))</f>
        <v>3</v>
      </c>
      <c r="AU23" s="148" cm="1">
        <f t="array" ref="AU23">INDEX($DL$6:$DL$53,MATCH(AI23,$DP$6:$DP$53,0))</f>
        <v>4</v>
      </c>
      <c r="AV23" t="str" s="149" cm="1">
        <f t="array" ref="AV23">INDEX($BD$6:$BD$53,MATCH(AI23,$BM$6:$BM$53,0))</f>
        <v>Marruecos</v>
      </c>
      <c r="AW23" s="150"/>
      <c r="AX23" s="151"/>
      <c r="AY23" t="str" s="161" cm="1">
        <f t="array" ref="AY23">A22</f>
        <v>Marruecos</v>
      </c>
      <c r="AZ23" s="162"/>
      <c r="BA23" s="139"/>
      <c r="BB23" s="87"/>
      <c r="BC23" t="s" s="125">
        <v>64</v>
      </c>
      <c r="BD23" t="s" s="125">
        <v>253</v>
      </c>
      <c r="BE23" s="154" cm="1">
        <f t="array" ref="BE23">BG23*3+BH23+IF($AZ$3="No",0,INDEX($AZ$6:$AZ$97,MATCH(BD23,$AY$6:$AY$97,0)))</f>
        <v>0</v>
      </c>
      <c r="BF23" s="154" cm="1">
        <f t="array" ref="BF23">BG23+BH23+BI23</f>
        <v>3</v>
      </c>
      <c r="BG23" s="154" cm="1">
        <f t="array" ref="BG23">_xlfn.COUNTIFS($AA$4:$AA$97,BD23,$D$4:$D$97,"Local")+_xlfn.COUNTIFS($AF$4:$AF$97,BD23,$D$4:$D$97,"Visitante")</f>
        <v>0</v>
      </c>
      <c r="BH23" s="154" cm="1">
        <f t="array" ref="BH23">_xlfn.COUNTIFS($AA$4:$AA$97,BD23,$D$4:$D$97,"Empate")+_xlfn.COUNTIFS($AF$4:$AF$97,BD23,$D$4:$D$97,"Empate")</f>
        <v>0</v>
      </c>
      <c r="BI23" s="154" cm="1">
        <f t="array" ref="BI23">_xlfn.COUNTIFS($AF$4:$AF$97,BD23,$D$4:$D$97,"Local")+_xlfn.COUNTIFS($AA$4:$AA$97,BD23,$D$4:$D$97,"Visitante")</f>
        <v>3</v>
      </c>
      <c r="BJ23" s="154" cm="1">
        <f t="array" ref="BJ23">_xlfn.SUMIFS($AC$4:$AC$97,$AA$4:$AA$97,BD23,$D$4:$D$97,"&lt;&gt;"&amp;"Pendiente",$AC$4:$AC$97,"&lt;&gt;"&amp;"",$AD$4:$AD$97,"&lt;&gt;"&amp;"")+_xlfn.SUMIFS($AD$4:$AD$97,$AF$4:$AF$97,BD23,$D$4:$D$97,"&lt;&gt;"&amp;"Pendiente",$AC$4:$AC$97,"&lt;&gt;"&amp;"",$AD$4:$AD$97,"&lt;&gt;"&amp;"")</f>
        <v>1</v>
      </c>
      <c r="BK23" s="154" cm="1">
        <f t="array" ref="BK23">_xlfn.SUMIFS($AC$4:$AC$97,$AF$4:$AF$97,BD23,$D$4:$D$97,"&lt;&gt;"&amp;"Pendiente",$AC$4:$AC$97,"&lt;&gt;"&amp;"",$AD$4:$AD$97,"&lt;&gt;"&amp;"")+_xlfn.SUMIFS($AD$4:$AD$97,$AA$4:$AA$97,BD23,$D$4:$D$97,"&lt;&gt;"&amp;"Pendiente",$AC$4:$AC$97,"&lt;&gt;"&amp;"",$AD$4:$AD$97,"&lt;&gt;"&amp;"")</f>
        <v>8</v>
      </c>
      <c r="BL23" s="154" cm="1">
        <f t="array" ref="BL23">BJ23-BK23</f>
        <v>-7</v>
      </c>
      <c r="BM23" t="str" s="140" cm="1">
        <f t="array" ref="BM23">DD23&amp;BC23</f>
        <v>2E</v>
      </c>
      <c r="BN23" t="str" s="140" cm="1">
        <f t="array" ref="BN23">DH23&amp;BC23</f>
        <v>2E</v>
      </c>
      <c r="BO23" s="154" cm="1">
        <f t="array" ref="BO23">IF(AND($AJ$99=144,BF23&gt;=1),1,0)</f>
        <v>0</v>
      </c>
      <c r="BP23" s="154">
        <v>1</v>
      </c>
      <c r="BQ23" t="s" s="125">
        <v>135</v>
      </c>
      <c r="BR23" s="154" cm="1">
        <f t="array" ref="BR23">IF($BQ23="-","-",BE23)</f>
        <v>0</v>
      </c>
      <c r="BS23" s="154">
        <v>1</v>
      </c>
      <c r="BT23" t="s" s="125">
        <v>135</v>
      </c>
      <c r="BU23" s="154" cm="1">
        <f t="array" ref="BU23">IF($BT23="-","-",_xlfn.COUNTIFS($AA$4:$AA$97,$BD23,$D$4:$D$97,"Local",$F$4:$F$97,$BT23)+_xlfn.COUNTIFS($AF$4:$AF$97,$BD23,$D$4:$D$97,"Visitante",$E$4:$E$97,$BT23))</f>
        <v>0</v>
      </c>
      <c r="BV23" s="154" cm="1">
        <f t="array" ref="BV23">IF($BT23="-","-",_xlfn.COUNTIFS($AA$4:$AA$97,$BD23,$D$4:$D$97,"Empate",$F$4:$F$97,$BT23)+_xlfn.COUNTIFS($AF$4:$AF$97,$BD23,$D$4:$D$97,"Empate",$E$4:$E$97,$BT23))</f>
        <v>0</v>
      </c>
      <c r="BW23" s="154" cm="1">
        <f t="array" ref="BW23">IF($BT23="-","-",_xlfn.COUNTIFS($AA$4:$AA$97,$BD23,$D$4:$D$97,"Visitante",$F$4:$F$97,$BT23)+_xlfn.COUNTIFS($AF$4:$AF$97,$BD23,$D$4:$D$97,"Local",$E$4:$E$97,$BT23))</f>
        <v>3</v>
      </c>
      <c r="BX23" s="154" cm="1">
        <f t="array" ref="BX23">IF($BT23="-","-",BU23*3+BV23)</f>
        <v>0</v>
      </c>
      <c r="BY23" s="154">
        <v>1</v>
      </c>
      <c r="BZ23" t="s" s="125">
        <v>135</v>
      </c>
      <c r="CA23" s="154" cm="1">
        <f t="array" ref="CA23">IF($BZ23="-","-",_xlfn.SUMIFS($AC$4:$AC$97,$AA$4:$AA$97,$BD23,$I$4:$I$97,$BZ23)+_xlfn.SUMIFS($AD$4:$AD$97,$AF$4:$AF$97,$BD23,$H$4:$H$97,$BZ23))</f>
        <v>1</v>
      </c>
      <c r="CB23" s="154" cm="1">
        <f t="array" ref="CB23">IF($BZ23="-","-",_xlfn.SUMIFS($AD$4:$AD$97,$AA$4:$AA$97,$BD23,$I$4:$I$97,$BZ23)+_xlfn.SUMIFS($AC$4:$AC$97,$AF$4:$AF$97,$BD23,$H$4:$H$97,$BZ23))</f>
        <v>8</v>
      </c>
      <c r="CC23" s="154" cm="1">
        <f t="array" ref="CC23">IF($BZ23="-","-",CA23-CB23)</f>
        <v>-7</v>
      </c>
      <c r="CD23" s="154">
        <v>1</v>
      </c>
      <c r="CE23" t="s" s="125">
        <v>135</v>
      </c>
      <c r="CF23" s="154" cm="1">
        <f t="array" ref="CF23">IF($CE23="-","-",_xlfn.SUMIFS($AC$4:$AC$97,$AA$4:$AA$97,$BD23,$L$4:$L$97,$CE23)+_xlfn.SUMIFS($AD$4:$AD$97,$AF$4:$AF$97,$BD23,$K$4:$K$97,$CE23))</f>
        <v>1</v>
      </c>
      <c r="CG23" s="154">
        <v>1</v>
      </c>
      <c r="CH23" t="s" s="125">
        <v>135</v>
      </c>
      <c r="CI23" s="154" cm="1">
        <f t="array" ref="CI23">IF($CH23="-","-",_xlfn.COUNTIFS($AA$4:$AA$97,$BD23,$D$4:$D$97,"Local",$O$4:$O$97,$CH23)+_xlfn.COUNTIFS($AF$4:$AF$97,$BD23,$D$4:$D$97,"Visitante",$N$4:$N$97,$CH23))</f>
        <v>0</v>
      </c>
      <c r="CJ23" s="154" cm="1">
        <f t="array" ref="CJ23">IF($CH23="-","-",_xlfn.COUNTIFS($AA$4:$AA$97,$BD23,$D$4:$D$97,"Empate",$O$4:$O$97,$CH23)+_xlfn.COUNTIFS($AF$4:$AF$97,$BD23,$D$4:$D$97,"Empate",$N$4:$N$97,$CH23))</f>
        <v>0</v>
      </c>
      <c r="CK23" s="154" cm="1">
        <f t="array" ref="CK23">IF($CH23="-","-",_xlfn.COUNTIFS($AA$4:$AA$97,$BD23,$D$4:$D$97,"Visitante",$O$4:$O$97,$CH23)+_xlfn.COUNTIFS($AF$4:$AF$97,$BD23,$D$4:$D$97,"Local",$N$4:$N$97,$CH23))</f>
        <v>3</v>
      </c>
      <c r="CL23" s="154" cm="1">
        <f t="array" ref="CL23">IF($CH23="-","-",CI23*3+CJ23)</f>
        <v>0</v>
      </c>
      <c r="CM23" s="154">
        <v>1</v>
      </c>
      <c r="CN23" t="s" s="125">
        <v>135</v>
      </c>
      <c r="CO23" s="154" cm="1">
        <f t="array" ref="CO23">IF($CN23="-","-",_xlfn.SUMIFS($AC$4:$AC$97,$AA$4:$AA$97,$BD23,$R$4:$R$97,$CN23)+_xlfn.SUMIFS($AD$4:$AD$97,$AF$4:$AF$97,$BD23,$Q$4:$Q$97,$CN23))</f>
        <v>1</v>
      </c>
      <c r="CP23" s="154" cm="1">
        <f t="array" ref="CP23">IF($CN23="-","-",_xlfn.SUMIFS($AD$4:$AD$97,$AA$4:$AA$97,$BD23,$R$4:$R$97,$CN23)+_xlfn.SUMIFS($AC$4:$AC$97,$AF$4:$AF$97,$BD23,$Q$4:$Q$97,$CN23))</f>
        <v>8</v>
      </c>
      <c r="CQ23" s="154" cm="1">
        <f t="array" ref="CQ23">IF($CN23="-","-",CO23-CP23)</f>
        <v>-7</v>
      </c>
      <c r="CR23" s="154">
        <v>1</v>
      </c>
      <c r="CS23" t="s" s="125">
        <v>135</v>
      </c>
      <c r="CT23" s="154" cm="1">
        <f t="array" ref="CT23">IF($CS23="-","-",_xlfn.SUMIFS($AC$4:$AC$97,$AA$4:$AA$97,$BD23,$U$4:$U$97,$CS23)+_xlfn.SUMIFS($AD$4:$AD$97,$AF$4:$AF$97,$BD23,$T$4:$T$97,$CS23))</f>
        <v>1</v>
      </c>
      <c r="CU23" s="154">
        <v>1</v>
      </c>
      <c r="CV23" t="s" s="125">
        <v>135</v>
      </c>
      <c r="CW23" s="154" cm="1">
        <f t="array" ref="CW23">IF(CV23="-","-",BL23)</f>
        <v>-7</v>
      </c>
      <c r="CX23" s="154">
        <v>1</v>
      </c>
      <c r="CY23" t="s" s="125">
        <v>135</v>
      </c>
      <c r="CZ23" s="154" cm="1">
        <f t="array" ref="CZ23">IF(CY23="-","-",BJ23)</f>
        <v>1</v>
      </c>
      <c r="DA23" s="154">
        <v>1</v>
      </c>
      <c r="DB23" t="s" s="125">
        <v>135</v>
      </c>
      <c r="DC23" s="154">
        <v>2</v>
      </c>
      <c r="DD23" s="154">
        <v>2</v>
      </c>
      <c r="DE23" s="140"/>
      <c r="DF23" s="154" cm="1">
        <f t="array" ref="DF23">IF(OR(INDEX($AW$6:$AW$97,MATCH($BD23,$AV$6:$AV$97,0))="",DB23="-"),DD23,INDEX($AW$6:$AW$97,MATCH($BD23,$AV$6:$AV$97,0))+DD23/1000)</f>
        <v>2</v>
      </c>
      <c r="DG23" s="154">
        <v>1</v>
      </c>
      <c r="DH23" s="154">
        <v>2</v>
      </c>
      <c r="DI23" s="140"/>
      <c r="DJ23" s="154" cm="1">
        <f t="array" ref="DJ23">INDEX($DA$6:$DA$53,MATCH($DQ23,$BD$6:$BD$53,0))</f>
        <v>1</v>
      </c>
      <c r="DK23" s="154" cm="1">
        <f t="array" ref="DK23">SUMIF($BC$6:$BC$53,BC23,$BF$6:$BF$53)</f>
        <v>12</v>
      </c>
      <c r="DL23" s="154" cm="1">
        <f t="array" ref="DL23">IF(OR(DK23=12,$AJ$99=144),_xlfn.COUNTIFS($DJ$6:$DJ$53,DJ23,$BC$6:$BC$53,BC23),1)</f>
        <v>4</v>
      </c>
      <c r="DM23" t="str" s="140" cm="1">
        <f t="array" ref="DM23">DJ23&amp;"."&amp;DL23</f>
        <v>1.4</v>
      </c>
      <c r="DN23" s="154">
        <v>1</v>
      </c>
      <c r="DO23" s="140"/>
      <c r="DP23" t="s" s="125">
        <v>255</v>
      </c>
      <c r="DQ23" t="str" s="140" cm="1">
        <f t="array" ref="DQ23">INDEX($BD$6:$BD$53,MATCH(DP23,$BM$6:$BM$53,0))</f>
        <v>Curazao</v>
      </c>
      <c r="DR23" s="87"/>
      <c r="DS23" s="87"/>
      <c r="DT23" s="88"/>
      <c r="DU23" s="12"/>
    </row>
    <row r="24" ht="16" customHeight="1">
      <c r="A24" t="s" s="89">
        <v>219</v>
      </c>
      <c r="B24" s="78"/>
      <c r="C24" s="78"/>
      <c r="D24" t="str" s="78" cm="1">
        <f t="array" ref="D24">IF(OR(AC24="",AD24=""),"Pendiente",IF(AC24&gt;AD24,"Local",IF(AC24&lt;AD24,"Visitante","Empate")))</f>
        <v>Visitante</v>
      </c>
      <c r="E24" t="str" s="78" cm="1">
        <f t="array" ref="E24">IF(D24="Pendiente","-",INDEX($BT$6:$BT$53,MATCH($AA24,$BD$6:$BD$53,0)))</f>
        <v>P.1 (4)</v>
      </c>
      <c r="F24" t="str" s="78" cm="1">
        <f t="array" ref="F24">IF(D24="Pendiente","-",INDEX($BT$6:$BT$53,MATCH($AF24,$BD$6:$BD$53,0)))</f>
        <v>P.1 (4)</v>
      </c>
      <c r="G24" s="78"/>
      <c r="H24" t="str" s="78" cm="1">
        <f t="array" ref="H24">IF(D24="Pendiente","-",INDEX($BZ$6:$BZ$53,MATCH($AA24,$BD$6:$BD$53,0)))</f>
        <v>P.1 (4)</v>
      </c>
      <c r="I24" t="str" s="78" cm="1">
        <f t="array" ref="I24">IF(D24="Pendiente","-",INDEX($BZ$6:$BZ$53,MATCH($AF24,$BD$6:$BD$53,0)))</f>
        <v>P.1 (4)</v>
      </c>
      <c r="J24" s="78"/>
      <c r="K24" t="str" s="78" cm="1">
        <f t="array" ref="K24">IF(D24="Pendiente","-",INDEX($CE$6:$CE$53,MATCH($AA24,$BD$6:$BD$53,0)))</f>
        <v>P.1 (4)</v>
      </c>
      <c r="L24" t="str" s="78" cm="1">
        <f t="array" ref="L24">IF(D24="Pendiente","-",INDEX($CE$6:$CE$53,MATCH($AF24,$BD$6:$BD$53,0)))</f>
        <v>P.1 (4)</v>
      </c>
      <c r="M24" s="78"/>
      <c r="N24" t="str" s="78" cm="1">
        <f t="array" ref="N24">IF(D24="Pendiente","-",INDEX($CH$6:$CH$53,MATCH($AA24,$BD$6:$BD$53,0)))</f>
        <v>P.1 (4)</v>
      </c>
      <c r="O24" t="str" s="78" cm="1">
        <f t="array" ref="O24">IF(D24="Pendiente","-",INDEX($CH$6:$CH$53,MATCH($AF24,$BD$6:$BD$53,0)))</f>
        <v>P.1 (4)</v>
      </c>
      <c r="P24" s="78"/>
      <c r="Q24" t="str" s="78" cm="1">
        <f t="array" ref="Q24">IF(D24="Pendiente","-",INDEX($CN$6:$CN$53,MATCH($AA24,$BD$6:$BD$53,0)))</f>
        <v>P.1 (4)</v>
      </c>
      <c r="R24" t="str" s="78" cm="1">
        <f t="array" ref="R24">IF(D24="Pendiente","-",INDEX($CN$6:$CN$53,MATCH($AF24,$BD$6:$BD$53,0)))</f>
        <v>P.1 (4)</v>
      </c>
      <c r="S24" s="78"/>
      <c r="T24" t="str" s="78" cm="1">
        <f t="array" ref="T24">IF(D24="Pendiente","-",INDEX($CS$6:$CS$53,MATCH($AA24,$BD$6:$BD$53,0)))</f>
        <v>P.1 (4)</v>
      </c>
      <c r="U24" t="str" s="78" cm="1">
        <f t="array" ref="U24">IF(D24="Pendiente","-",INDEX($CS$6:$CS$53,MATCH($AF24,$BD$6:$BD$53,0)))</f>
        <v>P.1 (4)</v>
      </c>
      <c r="V24" s="90"/>
      <c r="W24" s="141"/>
      <c r="X24" s="107">
        <v>46197.75</v>
      </c>
      <c r="Y24" s="108">
        <v>46197.75</v>
      </c>
      <c r="Z24" t="str" s="127" cm="1">
        <f t="array" ref="Z24">$Z$8</f>
        <v>J3</v>
      </c>
      <c r="AA24" t="str" s="110" cm="1">
        <f t="array" ref="AA24">A24</f>
        <v>Escocia</v>
      </c>
      <c r="AB24" s="111"/>
      <c r="AC24" s="128">
        <v>1</v>
      </c>
      <c r="AD24" s="128">
        <v>3</v>
      </c>
      <c r="AE24" s="113"/>
      <c r="AF24" t="str" s="114" cm="1">
        <f t="array" ref="AF24">A21</f>
        <v>Brasil</v>
      </c>
      <c r="AG24" s="115" cm="1">
        <f t="array" ref="AG24">IF(NOT(OR(ISBLANK(AC24),ISBLANK(AD24))),1,0)</f>
        <v>1</v>
      </c>
      <c r="AH24" s="116">
        <v>49</v>
      </c>
      <c r="AI24" t="str" s="117" cm="1">
        <f t="array" ref="AI24">AJ24&amp;$B$20</f>
        <v>3C</v>
      </c>
      <c r="AJ24" s="155">
        <v>3</v>
      </c>
      <c r="AK24" s="225"/>
      <c r="AL24" t="str" s="157" cm="1">
        <f t="array" ref="AL24">_xlfn.IFERROR(INDEX($BD$6:$BD$53,MATCH(AI24,$BN$6:$BN$53,0)),"")</f>
        <v>Haití</v>
      </c>
      <c r="AM24" s="158" cm="1">
        <f t="array" ref="AM24">INDEX($BE$6:$BN$53,MATCH($AL24,$BD$6:$BD$53,0),MATCH(AM$5,$BE$5:$BN$5,0))</f>
        <v>1</v>
      </c>
      <c r="AN24" s="159" cm="1">
        <f t="array" ref="AN24">INDEX($BE$6:$BN$53,MATCH($AL24,$BD$6:$BD$53,0),MATCH(AN$5,$BE$5:$BN$5,0))</f>
        <v>3</v>
      </c>
      <c r="AO24" s="159" cm="1">
        <f t="array" ref="AO24">INDEX($BE$6:$BN$53,MATCH($AL24,$BD$6:$BD$53,0),MATCH(AO$5,$BE$5:$BN$5,0))</f>
        <v>0</v>
      </c>
      <c r="AP24" s="159" cm="1">
        <f t="array" ref="AP24">INDEX($BE$6:$BN$53,MATCH($AL24,$BD$6:$BD$53,0),MATCH(AP$5,$BE$5:$BN$5,0))</f>
        <v>1</v>
      </c>
      <c r="AQ24" s="159" cm="1">
        <f t="array" ref="AQ24">INDEX($BE$6:$BN$53,MATCH($AL24,$BD$6:$BD$53,0),MATCH(AQ$5,$BE$5:$BN$5,0))</f>
        <v>2</v>
      </c>
      <c r="AR24" s="159" cm="1">
        <f t="array" ref="AR24">INDEX($BE$6:$BN$53,MATCH($AL24,$BD$6:$BD$53,0),MATCH(AR$5,$BE$5:$BN$5,0))</f>
        <v>0</v>
      </c>
      <c r="AS24" s="159" cm="1">
        <f t="array" ref="AS24">INDEX($BE$6:$BN$53,MATCH($AL24,$BD$6:$BD$53,0),MATCH(AS$5,$BE$5:$BN$5,0))</f>
        <v>4</v>
      </c>
      <c r="AT24" s="160" cm="1">
        <f t="array" ref="AT24">INDEX($BE$6:$BN$53,MATCH($AL24,$BD$6:$BD$53,0),MATCH(AT$5,$BE$5:$BN$5,0))</f>
        <v>-4</v>
      </c>
      <c r="AU24" s="148" cm="1">
        <f t="array" ref="AU24">INDEX($DL$6:$DL$53,MATCH(AI24,$DP$6:$DP$53,0))</f>
        <v>4</v>
      </c>
      <c r="AV24" t="str" s="149" cm="1">
        <f t="array" ref="AV24">INDEX($BD$6:$BD$53,MATCH(AI24,$BM$6:$BM$53,0))</f>
        <v>Haití</v>
      </c>
      <c r="AW24" s="150"/>
      <c r="AX24" s="151"/>
      <c r="AY24" t="str" s="152" cm="1">
        <f t="array" ref="AY24">A23</f>
        <v>Haití</v>
      </c>
      <c r="AZ24" s="153"/>
      <c r="BA24" s="139"/>
      <c r="BB24" s="87"/>
      <c r="BC24" t="s" s="125">
        <v>64</v>
      </c>
      <c r="BD24" t="s" s="125">
        <v>259</v>
      </c>
      <c r="BE24" s="154" cm="1">
        <f t="array" ref="BE24">BG24*3+BH24+IF($AZ$3="No",0,INDEX($AZ$6:$AZ$97,MATCH(BD24,$AY$6:$AY$97,0)))</f>
        <v>3</v>
      </c>
      <c r="BF24" s="154" cm="1">
        <f t="array" ref="BF24">BG24+BH24+BI24</f>
        <v>3</v>
      </c>
      <c r="BG24" s="154" cm="1">
        <f t="array" ref="BG24">_xlfn.COUNTIFS($AA$4:$AA$97,BD24,$D$4:$D$97,"Local")+_xlfn.COUNTIFS($AF$4:$AF$97,BD24,$D$4:$D$97,"Visitante")</f>
        <v>1</v>
      </c>
      <c r="BH24" s="154" cm="1">
        <f t="array" ref="BH24">_xlfn.COUNTIFS($AA$4:$AA$97,BD24,$D$4:$D$97,"Empate")+_xlfn.COUNTIFS($AF$4:$AF$97,BD24,$D$4:$D$97,"Empate")</f>
        <v>0</v>
      </c>
      <c r="BI24" s="154" cm="1">
        <f t="array" ref="BI24">_xlfn.COUNTIFS($AF$4:$AF$97,BD24,$D$4:$D$97,"Local")+_xlfn.COUNTIFS($AA$4:$AA$97,BD24,$D$4:$D$97,"Visitante")</f>
        <v>2</v>
      </c>
      <c r="BJ24" s="154" cm="1">
        <f t="array" ref="BJ24">_xlfn.SUMIFS($AC$4:$AC$97,$AA$4:$AA$97,BD24,$D$4:$D$97,"&lt;&gt;"&amp;"Pendiente",$AC$4:$AC$97,"&lt;&gt;"&amp;"",$AD$4:$AD$97,"&lt;&gt;"&amp;"")+_xlfn.SUMIFS($AD$4:$AD$97,$AF$4:$AF$97,BD24,$D$4:$D$97,"&lt;&gt;"&amp;"Pendiente",$AC$4:$AC$97,"&lt;&gt;"&amp;"",$AD$4:$AD$97,"&lt;&gt;"&amp;"")</f>
        <v>4</v>
      </c>
      <c r="BK24" s="154" cm="1">
        <f t="array" ref="BK24">_xlfn.SUMIFS($AC$4:$AC$97,$AF$4:$AF$97,BD24,$D$4:$D$97,"&lt;&gt;"&amp;"Pendiente",$AC$4:$AC$97,"&lt;&gt;"&amp;"",$AD$4:$AD$97,"&lt;&gt;"&amp;"")+_xlfn.SUMIFS($AD$4:$AD$97,$AA$4:$AA$97,BD24,$D$4:$D$97,"&lt;&gt;"&amp;"Pendiente",$AC$4:$AC$97,"&lt;&gt;"&amp;"",$AD$4:$AD$97,"&lt;&gt;"&amp;"")</f>
        <v>6</v>
      </c>
      <c r="BL24" s="154" cm="1">
        <f t="array" ref="BL24">BJ24-BK24</f>
        <v>-2</v>
      </c>
      <c r="BM24" t="str" s="140" cm="1">
        <f t="array" ref="BM24">DD24&amp;BC24</f>
        <v>3E</v>
      </c>
      <c r="BN24" t="str" s="140" cm="1">
        <f t="array" ref="BN24">DH24&amp;BC24</f>
        <v>3E</v>
      </c>
      <c r="BO24" s="154" cm="1">
        <f t="array" ref="BO24">IF(AND($AJ$99=144,BF24&gt;=1),1,0)</f>
        <v>0</v>
      </c>
      <c r="BP24" s="154">
        <v>1</v>
      </c>
      <c r="BQ24" t="s" s="125">
        <v>135</v>
      </c>
      <c r="BR24" s="154" cm="1">
        <f t="array" ref="BR24">IF($BQ24="-","-",BE24)</f>
        <v>3</v>
      </c>
      <c r="BS24" s="154">
        <v>1</v>
      </c>
      <c r="BT24" t="s" s="125">
        <v>135</v>
      </c>
      <c r="BU24" s="154" cm="1">
        <f t="array" ref="BU24">IF($BT24="-","-",_xlfn.COUNTIFS($AA$4:$AA$97,$BD24,$D$4:$D$97,"Local",$F$4:$F$97,$BT24)+_xlfn.COUNTIFS($AF$4:$AF$97,$BD24,$D$4:$D$97,"Visitante",$E$4:$E$97,$BT24))</f>
        <v>1</v>
      </c>
      <c r="BV24" s="154" cm="1">
        <f t="array" ref="BV24">IF($BT24="-","-",_xlfn.COUNTIFS($AA$4:$AA$97,$BD24,$D$4:$D$97,"Empate",$F$4:$F$97,$BT24)+_xlfn.COUNTIFS($AF$4:$AF$97,$BD24,$D$4:$D$97,"Empate",$E$4:$E$97,$BT24))</f>
        <v>0</v>
      </c>
      <c r="BW24" s="154" cm="1">
        <f t="array" ref="BW24">IF($BT24="-","-",_xlfn.COUNTIFS($AA$4:$AA$97,$BD24,$D$4:$D$97,"Visitante",$F$4:$F$97,$BT24)+_xlfn.COUNTIFS($AF$4:$AF$97,$BD24,$D$4:$D$97,"Local",$E$4:$E$97,$BT24))</f>
        <v>2</v>
      </c>
      <c r="BX24" s="154" cm="1">
        <f t="array" ref="BX24">IF($BT24="-","-",BU24*3+BV24)</f>
        <v>3</v>
      </c>
      <c r="BY24" s="154">
        <v>1</v>
      </c>
      <c r="BZ24" t="s" s="125">
        <v>135</v>
      </c>
      <c r="CA24" s="154" cm="1">
        <f t="array" ref="CA24">IF($BZ24="-","-",_xlfn.SUMIFS($AC$4:$AC$97,$AA$4:$AA$97,$BD24,$I$4:$I$97,$BZ24)+_xlfn.SUMIFS($AD$4:$AD$97,$AF$4:$AF$97,$BD24,$H$4:$H$97,$BZ24))</f>
        <v>4</v>
      </c>
      <c r="CB24" s="154" cm="1">
        <f t="array" ref="CB24">IF($BZ24="-","-",_xlfn.SUMIFS($AD$4:$AD$97,$AA$4:$AA$97,$BD24,$I$4:$I$97,$BZ24)+_xlfn.SUMIFS($AC$4:$AC$97,$AF$4:$AF$97,$BD24,$H$4:$H$97,$BZ24))</f>
        <v>6</v>
      </c>
      <c r="CC24" s="154" cm="1">
        <f t="array" ref="CC24">IF($BZ24="-","-",CA24-CB24)</f>
        <v>-2</v>
      </c>
      <c r="CD24" s="154">
        <v>1</v>
      </c>
      <c r="CE24" t="s" s="125">
        <v>135</v>
      </c>
      <c r="CF24" s="154" cm="1">
        <f t="array" ref="CF24">IF($CE24="-","-",_xlfn.SUMIFS($AC$4:$AC$97,$AA$4:$AA$97,$BD24,$L$4:$L$97,$CE24)+_xlfn.SUMIFS($AD$4:$AD$97,$AF$4:$AF$97,$BD24,$K$4:$K$97,$CE24))</f>
        <v>4</v>
      </c>
      <c r="CG24" s="154">
        <v>1</v>
      </c>
      <c r="CH24" t="s" s="125">
        <v>135</v>
      </c>
      <c r="CI24" s="154" cm="1">
        <f t="array" ref="CI24">IF($CH24="-","-",_xlfn.COUNTIFS($AA$4:$AA$97,$BD24,$D$4:$D$97,"Local",$O$4:$O$97,$CH24)+_xlfn.COUNTIFS($AF$4:$AF$97,$BD24,$D$4:$D$97,"Visitante",$N$4:$N$97,$CH24))</f>
        <v>1</v>
      </c>
      <c r="CJ24" s="154" cm="1">
        <f t="array" ref="CJ24">IF($CH24="-","-",_xlfn.COUNTIFS($AA$4:$AA$97,$BD24,$D$4:$D$97,"Empate",$O$4:$O$97,$CH24)+_xlfn.COUNTIFS($AF$4:$AF$97,$BD24,$D$4:$D$97,"Empate",$N$4:$N$97,$CH24))</f>
        <v>0</v>
      </c>
      <c r="CK24" s="154" cm="1">
        <f t="array" ref="CK24">IF($CH24="-","-",_xlfn.COUNTIFS($AA$4:$AA$97,$BD24,$D$4:$D$97,"Visitante",$O$4:$O$97,$CH24)+_xlfn.COUNTIFS($AF$4:$AF$97,$BD24,$D$4:$D$97,"Local",$N$4:$N$97,$CH24))</f>
        <v>2</v>
      </c>
      <c r="CL24" s="154" cm="1">
        <f t="array" ref="CL24">IF($CH24="-","-",CI24*3+CJ24)</f>
        <v>3</v>
      </c>
      <c r="CM24" s="154">
        <v>1</v>
      </c>
      <c r="CN24" t="s" s="125">
        <v>135</v>
      </c>
      <c r="CO24" s="154" cm="1">
        <f t="array" ref="CO24">IF($CN24="-","-",_xlfn.SUMIFS($AC$4:$AC$97,$AA$4:$AA$97,$BD24,$R$4:$R$97,$CN24)+_xlfn.SUMIFS($AD$4:$AD$97,$AF$4:$AF$97,$BD24,$Q$4:$Q$97,$CN24))</f>
        <v>4</v>
      </c>
      <c r="CP24" s="154" cm="1">
        <f t="array" ref="CP24">IF($CN24="-","-",_xlfn.SUMIFS($AD$4:$AD$97,$AA$4:$AA$97,$BD24,$R$4:$R$97,$CN24)+_xlfn.SUMIFS($AC$4:$AC$97,$AF$4:$AF$97,$BD24,$Q$4:$Q$97,$CN24))</f>
        <v>6</v>
      </c>
      <c r="CQ24" s="154" cm="1">
        <f t="array" ref="CQ24">IF($CN24="-","-",CO24-CP24)</f>
        <v>-2</v>
      </c>
      <c r="CR24" s="154">
        <v>1</v>
      </c>
      <c r="CS24" t="s" s="125">
        <v>135</v>
      </c>
      <c r="CT24" s="154" cm="1">
        <f t="array" ref="CT24">IF($CS24="-","-",_xlfn.SUMIFS($AC$4:$AC$97,$AA$4:$AA$97,$BD24,$U$4:$U$97,$CS24)+_xlfn.SUMIFS($AD$4:$AD$97,$AF$4:$AF$97,$BD24,$T$4:$T$97,$CS24))</f>
        <v>4</v>
      </c>
      <c r="CU24" s="154">
        <v>1</v>
      </c>
      <c r="CV24" t="s" s="125">
        <v>135</v>
      </c>
      <c r="CW24" s="154" cm="1">
        <f t="array" ref="CW24">IF(CV24="-","-",BL24)</f>
        <v>-2</v>
      </c>
      <c r="CX24" s="154">
        <v>1</v>
      </c>
      <c r="CY24" t="s" s="125">
        <v>135</v>
      </c>
      <c r="CZ24" s="154" cm="1">
        <f t="array" ref="CZ24">IF(CY24="-","-",BJ24)</f>
        <v>4</v>
      </c>
      <c r="DA24" s="154">
        <v>1</v>
      </c>
      <c r="DB24" t="s" s="125">
        <v>135</v>
      </c>
      <c r="DC24" s="154">
        <v>3</v>
      </c>
      <c r="DD24" s="154">
        <v>3</v>
      </c>
      <c r="DE24" s="140"/>
      <c r="DF24" s="154" cm="1">
        <f t="array" ref="DF24">IF(OR(INDEX($AW$6:$AW$97,MATCH($BD24,$AV$6:$AV$97,0))="",DB24="-"),DD24,INDEX($AW$6:$AW$97,MATCH($BD24,$AV$6:$AV$97,0))+DD24/1000)</f>
        <v>3</v>
      </c>
      <c r="DG24" s="154">
        <v>2</v>
      </c>
      <c r="DH24" s="154">
        <v>3</v>
      </c>
      <c r="DI24" s="140"/>
      <c r="DJ24" s="154" cm="1">
        <f t="array" ref="DJ24">INDEX($DA$6:$DA$53,MATCH($DQ24,$BD$6:$BD$53,0))</f>
        <v>1</v>
      </c>
      <c r="DK24" s="154" cm="1">
        <f t="array" ref="DK24">SUMIF($BC$6:$BC$53,BC24,$BF$6:$BF$53)</f>
        <v>12</v>
      </c>
      <c r="DL24" s="154" cm="1">
        <f t="array" ref="DL24">IF(OR(DK24=12,$AJ$99=144),_xlfn.COUNTIFS($DJ$6:$DJ$53,DJ24,$BC$6:$BC$53,BC24),1)</f>
        <v>4</v>
      </c>
      <c r="DM24" t="str" s="140" cm="1">
        <f t="array" ref="DM24">DJ24&amp;"."&amp;DL24</f>
        <v>1.4</v>
      </c>
      <c r="DN24" s="154">
        <v>1</v>
      </c>
      <c r="DO24" s="140"/>
      <c r="DP24" t="s" s="125">
        <v>261</v>
      </c>
      <c r="DQ24" t="str" s="140" cm="1">
        <f t="array" ref="DQ24">INDEX($BD$6:$BD$53,MATCH(DP24,$BM$6:$BM$53,0))</f>
        <v>Costa de Marfil</v>
      </c>
      <c r="DR24" s="87"/>
      <c r="DS24" s="87"/>
      <c r="DT24" s="88"/>
      <c r="DU24" s="12"/>
    </row>
    <row r="25" ht="16" customHeight="1">
      <c r="A25" s="78"/>
      <c r="B25" s="78"/>
      <c r="C25" s="78"/>
      <c r="D25" t="str" s="78" cm="1">
        <f t="array" ref="D25">IF(OR(AC25="",AD25=""),"Pendiente",IF(AC25&gt;AD25,"Local",IF(AC25&lt;AD25,"Visitante","Empate")))</f>
        <v>Local</v>
      </c>
      <c r="E25" t="str" s="78" cm="1">
        <f t="array" ref="E25">IF(D25="Pendiente","-",INDEX($BT$6:$BT$53,MATCH($AA25,$BD$6:$BD$53,0)))</f>
        <v>P.1 (4)</v>
      </c>
      <c r="F25" t="str" s="78" cm="1">
        <f t="array" ref="F25">IF(D25="Pendiente","-",INDEX($BT$6:$BT$53,MATCH($AF25,$BD$6:$BD$53,0)))</f>
        <v>P.1 (4)</v>
      </c>
      <c r="G25" s="78"/>
      <c r="H25" t="str" s="78" cm="1">
        <f t="array" ref="H25">IF(D25="Pendiente","-",INDEX($BZ$6:$BZ$53,MATCH($AA25,$BD$6:$BD$53,0)))</f>
        <v>P.1 (4)</v>
      </c>
      <c r="I25" t="str" s="78" cm="1">
        <f t="array" ref="I25">IF(D25="Pendiente","-",INDEX($BZ$6:$BZ$53,MATCH($AF25,$BD$6:$BD$53,0)))</f>
        <v>P.1 (4)</v>
      </c>
      <c r="J25" s="78"/>
      <c r="K25" t="str" s="78" cm="1">
        <f t="array" ref="K25">IF(D25="Pendiente","-",INDEX($CE$6:$CE$53,MATCH($AA25,$BD$6:$BD$53,0)))</f>
        <v>P.1 (4)</v>
      </c>
      <c r="L25" t="str" s="78" cm="1">
        <f t="array" ref="L25">IF(D25="Pendiente","-",INDEX($CE$6:$CE$53,MATCH($AF25,$BD$6:$BD$53,0)))</f>
        <v>P.1 (4)</v>
      </c>
      <c r="M25" s="78"/>
      <c r="N25" t="str" s="78" cm="1">
        <f t="array" ref="N25">IF(D25="Pendiente","-",INDEX($CH$6:$CH$53,MATCH($AA25,$BD$6:$BD$53,0)))</f>
        <v>P.1 (4)</v>
      </c>
      <c r="O25" t="str" s="78" cm="1">
        <f t="array" ref="O25">IF(D25="Pendiente","-",INDEX($CH$6:$CH$53,MATCH($AF25,$BD$6:$BD$53,0)))</f>
        <v>P.1 (4)</v>
      </c>
      <c r="P25" s="78"/>
      <c r="Q25" t="str" s="78" cm="1">
        <f t="array" ref="Q25">IF(D25="Pendiente","-",INDEX($CN$6:$CN$53,MATCH($AA25,$BD$6:$BD$53,0)))</f>
        <v>P.1 (4)</v>
      </c>
      <c r="R25" t="str" s="78" cm="1">
        <f t="array" ref="R25">IF(D25="Pendiente","-",INDEX($CN$6:$CN$53,MATCH($AF25,$BD$6:$BD$53,0)))</f>
        <v>P.1 (4)</v>
      </c>
      <c r="S25" s="78"/>
      <c r="T25" t="str" s="78" cm="1">
        <f t="array" ref="T25">IF(D25="Pendiente","-",INDEX($CS$6:$CS$53,MATCH($AA25,$BD$6:$BD$53,0)))</f>
        <v>P.1 (4)</v>
      </c>
      <c r="U25" t="str" s="78" cm="1">
        <f t="array" ref="U25">IF(D25="Pendiente","-",INDEX($CS$6:$CS$53,MATCH($AF25,$BD$6:$BD$53,0)))</f>
        <v>P.1 (4)</v>
      </c>
      <c r="V25" s="90"/>
      <c r="W25" s="163"/>
      <c r="X25" s="164">
        <v>46197.75</v>
      </c>
      <c r="Y25" s="165">
        <v>46197.75</v>
      </c>
      <c r="Z25" t="str" s="166" cm="1">
        <f t="array" ref="Z25">$Z$8</f>
        <v>J3</v>
      </c>
      <c r="AA25" t="str" s="167" cm="1">
        <f t="array" ref="AA25">A22</f>
        <v>Marruecos</v>
      </c>
      <c r="AB25" s="168"/>
      <c r="AC25" s="169">
        <v>2</v>
      </c>
      <c r="AD25" s="169">
        <v>0</v>
      </c>
      <c r="AE25" s="170"/>
      <c r="AF25" t="str" s="171" cm="1">
        <f t="array" ref="AF25">A23</f>
        <v>Haití</v>
      </c>
      <c r="AG25" s="115" cm="1">
        <f t="array" ref="AG25">IF(NOT(OR(ISBLANK(AC25),ISBLANK(AD25))),1,0)</f>
        <v>1</v>
      </c>
      <c r="AH25" s="116">
        <v>50</v>
      </c>
      <c r="AI25" t="str" s="117" cm="1">
        <f t="array" ref="AI25">AJ25&amp;$B$20</f>
        <v>4C</v>
      </c>
      <c r="AJ25" s="172">
        <v>4</v>
      </c>
      <c r="AK25" s="240"/>
      <c r="AL25" t="str" s="174" cm="1">
        <f t="array" ref="AL25">_xlfn.IFERROR(INDEX($BD$6:$BD$53,MATCH(AI25,$BN$6:$BN$53,0)),"")</f>
        <v>Escocia</v>
      </c>
      <c r="AM25" s="175" cm="1">
        <f t="array" ref="AM25">INDEX($BE$6:$BN$53,MATCH($AL25,$BD$6:$BD$53,0),MATCH(AM$5,$BE$5:$BN$5,0))</f>
        <v>1</v>
      </c>
      <c r="AN25" s="176" cm="1">
        <f t="array" ref="AN25">INDEX($BE$6:$BN$53,MATCH($AL25,$BD$6:$BD$53,0),MATCH(AN$5,$BE$5:$BN$5,0))</f>
        <v>3</v>
      </c>
      <c r="AO25" s="176" cm="1">
        <f t="array" ref="AO25">INDEX($BE$6:$BN$53,MATCH($AL25,$BD$6:$BD$53,0),MATCH(AO$5,$BE$5:$BN$5,0))</f>
        <v>0</v>
      </c>
      <c r="AP25" s="176" cm="1">
        <f t="array" ref="AP25">INDEX($BE$6:$BN$53,MATCH($AL25,$BD$6:$BD$53,0),MATCH(AP$5,$BE$5:$BN$5,0))</f>
        <v>1</v>
      </c>
      <c r="AQ25" s="176" cm="1">
        <f t="array" ref="AQ25">INDEX($BE$6:$BN$53,MATCH($AL25,$BD$6:$BD$53,0),MATCH(AQ$5,$BE$5:$BN$5,0))</f>
        <v>2</v>
      </c>
      <c r="AR25" s="176" cm="1">
        <f t="array" ref="AR25">INDEX($BE$6:$BN$53,MATCH($AL25,$BD$6:$BD$53,0),MATCH(AR$5,$BE$5:$BN$5,0))</f>
        <v>1</v>
      </c>
      <c r="AS25" s="176" cm="1">
        <f t="array" ref="AS25">INDEX($BE$6:$BN$53,MATCH($AL25,$BD$6:$BD$53,0),MATCH(AS$5,$BE$5:$BN$5,0))</f>
        <v>5</v>
      </c>
      <c r="AT25" s="177" cm="1">
        <f t="array" ref="AT25">INDEX($BE$6:$BN$53,MATCH($AL25,$BD$6:$BD$53,0),MATCH(AT$5,$BE$5:$BN$5,0))</f>
        <v>-4</v>
      </c>
      <c r="AU25" s="148" cm="1">
        <f t="array" ref="AU25">INDEX($DL$6:$DL$53,MATCH(AI25,$DP$6:$DP$53,0))</f>
        <v>4</v>
      </c>
      <c r="AV25" t="str" s="149" cm="1">
        <f t="array" ref="AV25">INDEX($BD$6:$BD$53,MATCH(AI25,$BM$6:$BM$53,0))</f>
        <v>Escocia</v>
      </c>
      <c r="AW25" s="150"/>
      <c r="AX25" s="151"/>
      <c r="AY25" t="str" s="178" cm="1">
        <f t="array" ref="AY25">A24</f>
        <v>Escocia</v>
      </c>
      <c r="AZ25" s="179"/>
      <c r="BA25" s="139"/>
      <c r="BB25" s="87"/>
      <c r="BC25" t="s" s="125">
        <v>64</v>
      </c>
      <c r="BD25" t="s" s="125">
        <v>265</v>
      </c>
      <c r="BE25" s="154" cm="1">
        <f t="array" ref="BE25">BG25*3+BH25+IF($AZ$3="No",0,INDEX($AZ$6:$AZ$97,MATCH(BD25,$AY$6:$AY$97,0)))</f>
        <v>6</v>
      </c>
      <c r="BF25" s="154" cm="1">
        <f t="array" ref="BF25">BG25+BH25+BI25</f>
        <v>3</v>
      </c>
      <c r="BG25" s="154" cm="1">
        <f t="array" ref="BG25">_xlfn.COUNTIFS($AA$4:$AA$97,BD25,$D$4:$D$97,"Local")+_xlfn.COUNTIFS($AF$4:$AF$97,BD25,$D$4:$D$97,"Visitante")</f>
        <v>2</v>
      </c>
      <c r="BH25" s="154" cm="1">
        <f t="array" ref="BH25">_xlfn.COUNTIFS($AA$4:$AA$97,BD25,$D$4:$D$97,"Empate")+_xlfn.COUNTIFS($AF$4:$AF$97,BD25,$D$4:$D$97,"Empate")</f>
        <v>0</v>
      </c>
      <c r="BI25" s="154" cm="1">
        <f t="array" ref="BI25">_xlfn.COUNTIFS($AF$4:$AF$97,BD25,$D$4:$D$97,"Local")+_xlfn.COUNTIFS($AA$4:$AA$97,BD25,$D$4:$D$97,"Visitante")</f>
        <v>1</v>
      </c>
      <c r="BJ25" s="154" cm="1">
        <f t="array" ref="BJ25">_xlfn.SUMIFS($AC$4:$AC$97,$AA$4:$AA$97,BD25,$D$4:$D$97,"&lt;&gt;"&amp;"Pendiente",$AC$4:$AC$97,"&lt;&gt;"&amp;"",$AD$4:$AD$97,"&lt;&gt;"&amp;"")+_xlfn.SUMIFS($AD$4:$AD$97,$AF$4:$AF$97,BD25,$D$4:$D$97,"&lt;&gt;"&amp;"Pendiente",$AC$4:$AC$97,"&lt;&gt;"&amp;"",$AD$4:$AD$97,"&lt;&gt;"&amp;"")</f>
        <v>6</v>
      </c>
      <c r="BK25" s="154" cm="1">
        <f t="array" ref="BK25">_xlfn.SUMIFS($AC$4:$AC$97,$AF$4:$AF$97,BD25,$D$4:$D$97,"&lt;&gt;"&amp;"Pendiente",$AC$4:$AC$97,"&lt;&gt;"&amp;"",$AD$4:$AD$97,"&lt;&gt;"&amp;"")+_xlfn.SUMIFS($AD$4:$AD$97,$AA$4:$AA$97,BD25,$D$4:$D$97,"&lt;&gt;"&amp;"Pendiente",$AC$4:$AC$97,"&lt;&gt;"&amp;"",$AD$4:$AD$97,"&lt;&gt;"&amp;"")</f>
        <v>3</v>
      </c>
      <c r="BL25" s="154" cm="1">
        <f t="array" ref="BL25">BJ25-BK25</f>
        <v>3</v>
      </c>
      <c r="BM25" t="str" s="140" cm="1">
        <f t="array" ref="BM25">DD25&amp;BC25</f>
        <v>4E</v>
      </c>
      <c r="BN25" t="str" s="140" cm="1">
        <f t="array" ref="BN25">DH25&amp;BC25</f>
        <v>4E</v>
      </c>
      <c r="BO25" s="154" cm="1">
        <f t="array" ref="BO25">IF(AND($AJ$99=144,BF25&gt;=1),1,0)</f>
        <v>0</v>
      </c>
      <c r="BP25" s="154">
        <v>1</v>
      </c>
      <c r="BQ25" t="s" s="125">
        <v>135</v>
      </c>
      <c r="BR25" s="154" cm="1">
        <f t="array" ref="BR25">IF($BQ25="-","-",BE25)</f>
        <v>6</v>
      </c>
      <c r="BS25" s="154">
        <v>1</v>
      </c>
      <c r="BT25" t="s" s="125">
        <v>135</v>
      </c>
      <c r="BU25" s="154" cm="1">
        <f t="array" ref="BU25">IF($BT25="-","-",_xlfn.COUNTIFS($AA$4:$AA$97,$BD25,$D$4:$D$97,"Local",$F$4:$F$97,$BT25)+_xlfn.COUNTIFS($AF$4:$AF$97,$BD25,$D$4:$D$97,"Visitante",$E$4:$E$97,$BT25))</f>
        <v>2</v>
      </c>
      <c r="BV25" s="154" cm="1">
        <f t="array" ref="BV25">IF($BT25="-","-",_xlfn.COUNTIFS($AA$4:$AA$97,$BD25,$D$4:$D$97,"Empate",$F$4:$F$97,$BT25)+_xlfn.COUNTIFS($AF$4:$AF$97,$BD25,$D$4:$D$97,"Empate",$E$4:$E$97,$BT25))</f>
        <v>0</v>
      </c>
      <c r="BW25" s="154" cm="1">
        <f t="array" ref="BW25">IF($BT25="-","-",_xlfn.COUNTIFS($AA$4:$AA$97,$BD25,$D$4:$D$97,"Visitante",$F$4:$F$97,$BT25)+_xlfn.COUNTIFS($AF$4:$AF$97,$BD25,$D$4:$D$97,"Local",$E$4:$E$97,$BT25))</f>
        <v>1</v>
      </c>
      <c r="BX25" s="154" cm="1">
        <f t="array" ref="BX25">IF($BT25="-","-",BU25*3+BV25)</f>
        <v>6</v>
      </c>
      <c r="BY25" s="154">
        <v>1</v>
      </c>
      <c r="BZ25" t="s" s="125">
        <v>135</v>
      </c>
      <c r="CA25" s="154" cm="1">
        <f t="array" ref="CA25">IF($BZ25="-","-",_xlfn.SUMIFS($AC$4:$AC$97,$AA$4:$AA$97,$BD25,$I$4:$I$97,$BZ25)+_xlfn.SUMIFS($AD$4:$AD$97,$AF$4:$AF$97,$BD25,$H$4:$H$97,$BZ25))</f>
        <v>6</v>
      </c>
      <c r="CB25" s="154" cm="1">
        <f t="array" ref="CB25">IF($BZ25="-","-",_xlfn.SUMIFS($AD$4:$AD$97,$AA$4:$AA$97,$BD25,$I$4:$I$97,$BZ25)+_xlfn.SUMIFS($AC$4:$AC$97,$AF$4:$AF$97,$BD25,$H$4:$H$97,$BZ25))</f>
        <v>3</v>
      </c>
      <c r="CC25" s="154" cm="1">
        <f t="array" ref="CC25">IF($BZ25="-","-",CA25-CB25)</f>
        <v>3</v>
      </c>
      <c r="CD25" s="154">
        <v>1</v>
      </c>
      <c r="CE25" t="s" s="125">
        <v>135</v>
      </c>
      <c r="CF25" s="154" cm="1">
        <f t="array" ref="CF25">IF($CE25="-","-",_xlfn.SUMIFS($AC$4:$AC$97,$AA$4:$AA$97,$BD25,$L$4:$L$97,$CE25)+_xlfn.SUMIFS($AD$4:$AD$97,$AF$4:$AF$97,$BD25,$K$4:$K$97,$CE25))</f>
        <v>6</v>
      </c>
      <c r="CG25" s="154">
        <v>1</v>
      </c>
      <c r="CH25" t="s" s="125">
        <v>135</v>
      </c>
      <c r="CI25" s="154" cm="1">
        <f t="array" ref="CI25">IF($CH25="-","-",_xlfn.COUNTIFS($AA$4:$AA$97,$BD25,$D$4:$D$97,"Local",$O$4:$O$97,$CH25)+_xlfn.COUNTIFS($AF$4:$AF$97,$BD25,$D$4:$D$97,"Visitante",$N$4:$N$97,$CH25))</f>
        <v>2</v>
      </c>
      <c r="CJ25" s="154" cm="1">
        <f t="array" ref="CJ25">IF($CH25="-","-",_xlfn.COUNTIFS($AA$4:$AA$97,$BD25,$D$4:$D$97,"Empate",$O$4:$O$97,$CH25)+_xlfn.COUNTIFS($AF$4:$AF$97,$BD25,$D$4:$D$97,"Empate",$N$4:$N$97,$CH25))</f>
        <v>0</v>
      </c>
      <c r="CK25" s="154" cm="1">
        <f t="array" ref="CK25">IF($CH25="-","-",_xlfn.COUNTIFS($AA$4:$AA$97,$BD25,$D$4:$D$97,"Visitante",$O$4:$O$97,$CH25)+_xlfn.COUNTIFS($AF$4:$AF$97,$BD25,$D$4:$D$97,"Local",$N$4:$N$97,$CH25))</f>
        <v>1</v>
      </c>
      <c r="CL25" s="154" cm="1">
        <f t="array" ref="CL25">IF($CH25="-","-",CI25*3+CJ25)</f>
        <v>6</v>
      </c>
      <c r="CM25" s="154">
        <v>1</v>
      </c>
      <c r="CN25" t="s" s="125">
        <v>135</v>
      </c>
      <c r="CO25" s="154" cm="1">
        <f t="array" ref="CO25">IF($CN25="-","-",_xlfn.SUMIFS($AC$4:$AC$97,$AA$4:$AA$97,$BD25,$R$4:$R$97,$CN25)+_xlfn.SUMIFS($AD$4:$AD$97,$AF$4:$AF$97,$BD25,$Q$4:$Q$97,$CN25))</f>
        <v>6</v>
      </c>
      <c r="CP25" s="154" cm="1">
        <f t="array" ref="CP25">IF($CN25="-","-",_xlfn.SUMIFS($AD$4:$AD$97,$AA$4:$AA$97,$BD25,$R$4:$R$97,$CN25)+_xlfn.SUMIFS($AC$4:$AC$97,$AF$4:$AF$97,$BD25,$Q$4:$Q$97,$CN25))</f>
        <v>3</v>
      </c>
      <c r="CQ25" s="154" cm="1">
        <f t="array" ref="CQ25">IF($CN25="-","-",CO25-CP25)</f>
        <v>3</v>
      </c>
      <c r="CR25" s="154">
        <v>1</v>
      </c>
      <c r="CS25" t="s" s="125">
        <v>135</v>
      </c>
      <c r="CT25" s="154" cm="1">
        <f t="array" ref="CT25">IF($CS25="-","-",_xlfn.SUMIFS($AC$4:$AC$97,$AA$4:$AA$97,$BD25,$U$4:$U$97,$CS25)+_xlfn.SUMIFS($AD$4:$AD$97,$AF$4:$AF$97,$BD25,$T$4:$T$97,$CS25))</f>
        <v>6</v>
      </c>
      <c r="CU25" s="154">
        <v>1</v>
      </c>
      <c r="CV25" t="s" s="125">
        <v>135</v>
      </c>
      <c r="CW25" s="154" cm="1">
        <f t="array" ref="CW25">IF(CV25="-","-",BL25)</f>
        <v>3</v>
      </c>
      <c r="CX25" s="154">
        <v>1</v>
      </c>
      <c r="CY25" t="s" s="125">
        <v>135</v>
      </c>
      <c r="CZ25" s="154" cm="1">
        <f t="array" ref="CZ25">IF(CY25="-","-",BJ25)</f>
        <v>6</v>
      </c>
      <c r="DA25" s="154">
        <v>1</v>
      </c>
      <c r="DB25" t="s" s="125">
        <v>135</v>
      </c>
      <c r="DC25" s="154">
        <v>4</v>
      </c>
      <c r="DD25" s="154">
        <v>4</v>
      </c>
      <c r="DE25" s="140"/>
      <c r="DF25" s="154" cm="1">
        <f t="array" ref="DF25">IF(OR(INDEX($AW$6:$AW$97,MATCH($BD25,$AV$6:$AV$97,0))="",DB25="-"),DD25,INDEX($AW$6:$AW$97,MATCH($BD25,$AV$6:$AV$97,0))+DD25/1000)</f>
        <v>4</v>
      </c>
      <c r="DG25" s="154">
        <v>3</v>
      </c>
      <c r="DH25" s="154">
        <v>4</v>
      </c>
      <c r="DI25" s="140"/>
      <c r="DJ25" s="154" cm="1">
        <f t="array" ref="DJ25">INDEX($DA$6:$DA$53,MATCH($DQ25,$BD$6:$BD$53,0))</f>
        <v>1</v>
      </c>
      <c r="DK25" s="154" cm="1">
        <f t="array" ref="DK25">SUMIF($BC$6:$BC$53,BC25,$BF$6:$BF$53)</f>
        <v>12</v>
      </c>
      <c r="DL25" s="154" cm="1">
        <f t="array" ref="DL25">IF(OR(DK25=12,$AJ$99=144),_xlfn.COUNTIFS($DJ$6:$DJ$53,DJ25,$BC$6:$BC$53,BC25),1)</f>
        <v>4</v>
      </c>
      <c r="DM25" t="str" s="140" cm="1">
        <f t="array" ref="DM25">DJ25&amp;"."&amp;DL25</f>
        <v>1.4</v>
      </c>
      <c r="DN25" s="154">
        <v>1</v>
      </c>
      <c r="DO25" s="140"/>
      <c r="DP25" t="s" s="125">
        <v>267</v>
      </c>
      <c r="DQ25" t="str" s="140" cm="1">
        <f t="array" ref="DQ25">INDEX($BD$6:$BD$53,MATCH(DP25,$BM$6:$BM$53,0))</f>
        <v>Ecuador</v>
      </c>
      <c r="DR25" s="87"/>
      <c r="DS25" s="87"/>
      <c r="DT25" s="88"/>
      <c r="DU25" s="12"/>
    </row>
    <row r="26" ht="16" customHeight="1">
      <c r="A26" s="78"/>
      <c r="B26" s="78"/>
      <c r="C26" s="78"/>
      <c r="D26" s="78"/>
      <c r="E26" s="78"/>
      <c r="F26" s="78"/>
      <c r="G26" s="78"/>
      <c r="H26" s="78"/>
      <c r="I26" s="78"/>
      <c r="J26" s="78"/>
      <c r="K26" s="78"/>
      <c r="L26" s="78"/>
      <c r="M26" s="78"/>
      <c r="N26" s="78"/>
      <c r="O26" s="78"/>
      <c r="P26" s="78"/>
      <c r="Q26" s="78"/>
      <c r="R26" s="78"/>
      <c r="S26" s="78"/>
      <c r="T26" s="78"/>
      <c r="U26" s="78"/>
      <c r="V26" s="79"/>
      <c r="W26" s="180"/>
      <c r="X26" s="181"/>
      <c r="Y26" s="180"/>
      <c r="Z26" s="182"/>
      <c r="AA26" s="183"/>
      <c r="AB26" s="184"/>
      <c r="AC26" s="185"/>
      <c r="AD26" s="185"/>
      <c r="AE26" s="184"/>
      <c r="AF26" s="186"/>
      <c r="AG26" s="233"/>
      <c r="AH26" s="188"/>
      <c r="AI26" s="234"/>
      <c r="AJ26" s="189"/>
      <c r="AK26" s="190"/>
      <c r="AL26" s="191"/>
      <c r="AM26" s="192"/>
      <c r="AN26" s="189"/>
      <c r="AO26" s="189"/>
      <c r="AP26" s="189"/>
      <c r="AQ26" s="189"/>
      <c r="AR26" s="189"/>
      <c r="AS26" s="189"/>
      <c r="AT26" s="189"/>
      <c r="AU26" s="193"/>
      <c r="AV26" s="194"/>
      <c r="AW26" s="150"/>
      <c r="AX26" s="195"/>
      <c r="AY26" s="196"/>
      <c r="AZ26" s="197"/>
      <c r="BA26" s="8"/>
      <c r="BB26" s="87"/>
      <c r="BC26" t="s" s="125">
        <v>269</v>
      </c>
      <c r="BD26" t="s" s="125">
        <v>270</v>
      </c>
      <c r="BE26" s="154" cm="1">
        <f t="array" ref="BE26">BG26*3+BH26+IF($AZ$3="No",0,INDEX($AZ$6:$AZ$97,MATCH(BD26,$AY$6:$AY$97,0)))</f>
        <v>9</v>
      </c>
      <c r="BF26" s="154" cm="1">
        <f t="array" ref="BF26">BG26+BH26+BI26</f>
        <v>3</v>
      </c>
      <c r="BG26" s="154" cm="1">
        <f t="array" ref="BG26">_xlfn.COUNTIFS($AA$4:$AA$97,BD26,$D$4:$D$97,"Local")+_xlfn.COUNTIFS($AF$4:$AF$97,BD26,$D$4:$D$97,"Visitante")</f>
        <v>3</v>
      </c>
      <c r="BH26" s="154" cm="1">
        <f t="array" ref="BH26">_xlfn.COUNTIFS($AA$4:$AA$97,BD26,$D$4:$D$97,"Empate")+_xlfn.COUNTIFS($AF$4:$AF$97,BD26,$D$4:$D$97,"Empate")</f>
        <v>0</v>
      </c>
      <c r="BI26" s="154" cm="1">
        <f t="array" ref="BI26">_xlfn.COUNTIFS($AF$4:$AF$97,BD26,$D$4:$D$97,"Local")+_xlfn.COUNTIFS($AA$4:$AA$97,BD26,$D$4:$D$97,"Visitante")</f>
        <v>0</v>
      </c>
      <c r="BJ26" s="154" cm="1">
        <f t="array" ref="BJ26">_xlfn.SUMIFS($AC$4:$AC$97,$AA$4:$AA$97,BD26,$D$4:$D$97,"&lt;&gt;"&amp;"Pendiente",$AC$4:$AC$97,"&lt;&gt;"&amp;"",$AD$4:$AD$97,"&lt;&gt;"&amp;"")+_xlfn.SUMIFS($AD$4:$AD$97,$AF$4:$AF$97,BD26,$D$4:$D$97,"&lt;&gt;"&amp;"Pendiente",$AC$4:$AC$97,"&lt;&gt;"&amp;"",$AD$4:$AD$97,"&lt;&gt;"&amp;"")</f>
        <v>7</v>
      </c>
      <c r="BK26" s="154" cm="1">
        <f t="array" ref="BK26">_xlfn.SUMIFS($AC$4:$AC$97,$AF$4:$AF$97,BD26,$D$4:$D$97,"&lt;&gt;"&amp;"Pendiente",$AC$4:$AC$97,"&lt;&gt;"&amp;"",$AD$4:$AD$97,"&lt;&gt;"&amp;"")+_xlfn.SUMIFS($AD$4:$AD$97,$AA$4:$AA$97,BD26,$D$4:$D$97,"&lt;&gt;"&amp;"Pendiente",$AC$4:$AC$97,"&lt;&gt;"&amp;"",$AD$4:$AD$97,"&lt;&gt;"&amp;"")</f>
        <v>3</v>
      </c>
      <c r="BL26" s="154" cm="1">
        <f t="array" ref="BL26">BJ26-BK26</f>
        <v>4</v>
      </c>
      <c r="BM26" t="str" s="140" cm="1">
        <f t="array" ref="BM26">DD26&amp;BC26</f>
        <v>1F</v>
      </c>
      <c r="BN26" t="str" s="140" cm="1">
        <f t="array" ref="BN26">DH26&amp;BC26</f>
        <v>1F</v>
      </c>
      <c r="BO26" s="154" cm="1">
        <f t="array" ref="BO26">IF(AND($AJ$99=144,BF26&gt;=1),1,0)</f>
        <v>0</v>
      </c>
      <c r="BP26" s="154">
        <v>1</v>
      </c>
      <c r="BQ26" t="s" s="125">
        <v>135</v>
      </c>
      <c r="BR26" s="154" cm="1">
        <f t="array" ref="BR26">IF($BQ26="-","-",BE26)</f>
        <v>9</v>
      </c>
      <c r="BS26" s="154">
        <v>1</v>
      </c>
      <c r="BT26" t="s" s="125">
        <v>135</v>
      </c>
      <c r="BU26" s="154" cm="1">
        <f t="array" ref="BU26">IF($BT26="-","-",_xlfn.COUNTIFS($AA$4:$AA$97,$BD26,$D$4:$D$97,"Local",$F$4:$F$97,$BT26)+_xlfn.COUNTIFS($AF$4:$AF$97,$BD26,$D$4:$D$97,"Visitante",$E$4:$E$97,$BT26))</f>
        <v>3</v>
      </c>
      <c r="BV26" s="154" cm="1">
        <f t="array" ref="BV26">IF($BT26="-","-",_xlfn.COUNTIFS($AA$4:$AA$97,$BD26,$D$4:$D$97,"Empate",$F$4:$F$97,$BT26)+_xlfn.COUNTIFS($AF$4:$AF$97,$BD26,$D$4:$D$97,"Empate",$E$4:$E$97,$BT26))</f>
        <v>0</v>
      </c>
      <c r="BW26" s="154" cm="1">
        <f t="array" ref="BW26">IF($BT26="-","-",_xlfn.COUNTIFS($AA$4:$AA$97,$BD26,$D$4:$D$97,"Visitante",$F$4:$F$97,$BT26)+_xlfn.COUNTIFS($AF$4:$AF$97,$BD26,$D$4:$D$97,"Local",$E$4:$E$97,$BT26))</f>
        <v>0</v>
      </c>
      <c r="BX26" s="154" cm="1">
        <f t="array" ref="BX26">IF($BT26="-","-",BU26*3+BV26)</f>
        <v>9</v>
      </c>
      <c r="BY26" s="154">
        <v>1</v>
      </c>
      <c r="BZ26" t="s" s="125">
        <v>135</v>
      </c>
      <c r="CA26" s="154" cm="1">
        <f t="array" ref="CA26">IF($BZ26="-","-",_xlfn.SUMIFS($AC$4:$AC$97,$AA$4:$AA$97,$BD26,$I$4:$I$97,$BZ26)+_xlfn.SUMIFS($AD$4:$AD$97,$AF$4:$AF$97,$BD26,$H$4:$H$97,$BZ26))</f>
        <v>7</v>
      </c>
      <c r="CB26" s="154" cm="1">
        <f t="array" ref="CB26">IF($BZ26="-","-",_xlfn.SUMIFS($AD$4:$AD$97,$AA$4:$AA$97,$BD26,$I$4:$I$97,$BZ26)+_xlfn.SUMIFS($AC$4:$AC$97,$AF$4:$AF$97,$BD26,$H$4:$H$97,$BZ26))</f>
        <v>3</v>
      </c>
      <c r="CC26" s="154" cm="1">
        <f t="array" ref="CC26">IF($BZ26="-","-",CA26-CB26)</f>
        <v>4</v>
      </c>
      <c r="CD26" s="154">
        <v>1</v>
      </c>
      <c r="CE26" t="s" s="125">
        <v>135</v>
      </c>
      <c r="CF26" s="154" cm="1">
        <f t="array" ref="CF26">IF($CE26="-","-",_xlfn.SUMIFS($AC$4:$AC$97,$AA$4:$AA$97,$BD26,$L$4:$L$97,$CE26)+_xlfn.SUMIFS($AD$4:$AD$97,$AF$4:$AF$97,$BD26,$K$4:$K$97,$CE26))</f>
        <v>7</v>
      </c>
      <c r="CG26" s="154">
        <v>1</v>
      </c>
      <c r="CH26" t="s" s="125">
        <v>135</v>
      </c>
      <c r="CI26" s="154" cm="1">
        <f t="array" ref="CI26">IF($CH26="-","-",_xlfn.COUNTIFS($AA$4:$AA$97,$BD26,$D$4:$D$97,"Local",$O$4:$O$97,$CH26)+_xlfn.COUNTIFS($AF$4:$AF$97,$BD26,$D$4:$D$97,"Visitante",$N$4:$N$97,$CH26))</f>
        <v>3</v>
      </c>
      <c r="CJ26" s="154" cm="1">
        <f t="array" ref="CJ26">IF($CH26="-","-",_xlfn.COUNTIFS($AA$4:$AA$97,$BD26,$D$4:$D$97,"Empate",$O$4:$O$97,$CH26)+_xlfn.COUNTIFS($AF$4:$AF$97,$BD26,$D$4:$D$97,"Empate",$N$4:$N$97,$CH26))</f>
        <v>0</v>
      </c>
      <c r="CK26" s="154" cm="1">
        <f t="array" ref="CK26">IF($CH26="-","-",_xlfn.COUNTIFS($AA$4:$AA$97,$BD26,$D$4:$D$97,"Visitante",$O$4:$O$97,$CH26)+_xlfn.COUNTIFS($AF$4:$AF$97,$BD26,$D$4:$D$97,"Local",$N$4:$N$97,$CH26))</f>
        <v>0</v>
      </c>
      <c r="CL26" s="154" cm="1">
        <f t="array" ref="CL26">IF($CH26="-","-",CI26*3+CJ26)</f>
        <v>9</v>
      </c>
      <c r="CM26" s="154">
        <v>1</v>
      </c>
      <c r="CN26" t="s" s="125">
        <v>135</v>
      </c>
      <c r="CO26" s="154" cm="1">
        <f t="array" ref="CO26">IF($CN26="-","-",_xlfn.SUMIFS($AC$4:$AC$97,$AA$4:$AA$97,$BD26,$R$4:$R$97,$CN26)+_xlfn.SUMIFS($AD$4:$AD$97,$AF$4:$AF$97,$BD26,$Q$4:$Q$97,$CN26))</f>
        <v>7</v>
      </c>
      <c r="CP26" s="154" cm="1">
        <f t="array" ref="CP26">IF($CN26="-","-",_xlfn.SUMIFS($AD$4:$AD$97,$AA$4:$AA$97,$BD26,$R$4:$R$97,$CN26)+_xlfn.SUMIFS($AC$4:$AC$97,$AF$4:$AF$97,$BD26,$Q$4:$Q$97,$CN26))</f>
        <v>3</v>
      </c>
      <c r="CQ26" s="154" cm="1">
        <f t="array" ref="CQ26">IF($CN26="-","-",CO26-CP26)</f>
        <v>4</v>
      </c>
      <c r="CR26" s="154">
        <v>1</v>
      </c>
      <c r="CS26" t="s" s="125">
        <v>135</v>
      </c>
      <c r="CT26" s="154" cm="1">
        <f t="array" ref="CT26">IF($CS26="-","-",_xlfn.SUMIFS($AC$4:$AC$97,$AA$4:$AA$97,$BD26,$U$4:$U$97,$CS26)+_xlfn.SUMIFS($AD$4:$AD$97,$AF$4:$AF$97,$BD26,$T$4:$T$97,$CS26))</f>
        <v>7</v>
      </c>
      <c r="CU26" s="154">
        <v>1</v>
      </c>
      <c r="CV26" t="s" s="125">
        <v>135</v>
      </c>
      <c r="CW26" s="154" cm="1">
        <f t="array" ref="CW26">IF(CV26="-","-",BL26)</f>
        <v>4</v>
      </c>
      <c r="CX26" s="154">
        <v>1</v>
      </c>
      <c r="CY26" t="s" s="125">
        <v>135</v>
      </c>
      <c r="CZ26" s="154" cm="1">
        <f t="array" ref="CZ26">IF(CY26="-","-",BJ26)</f>
        <v>7</v>
      </c>
      <c r="DA26" s="154">
        <v>1</v>
      </c>
      <c r="DB26" t="s" s="125">
        <v>135</v>
      </c>
      <c r="DC26" s="154">
        <v>1</v>
      </c>
      <c r="DD26" s="154">
        <v>1</v>
      </c>
      <c r="DE26" s="140"/>
      <c r="DF26" s="154" cm="1">
        <f t="array" ref="DF26">IF(OR(INDEX($AW$6:$AW$97,MATCH($BD26,$AV$6:$AV$97,0))="",DB26="-"),DD26,INDEX($AW$6:$AW$97,MATCH($BD26,$AV$6:$AV$97,0))+DD26/1000)</f>
        <v>1</v>
      </c>
      <c r="DG26" s="154">
        <v>0</v>
      </c>
      <c r="DH26" s="154">
        <v>1</v>
      </c>
      <c r="DI26" s="140"/>
      <c r="DJ26" s="154" cm="1">
        <f t="array" ref="DJ26">INDEX($DA$6:$DA$53,MATCH($DQ26,$BD$6:$BD$53,0))</f>
        <v>1</v>
      </c>
      <c r="DK26" s="154" cm="1">
        <f t="array" ref="DK26">SUMIF($BC$6:$BC$53,BC26,$BF$6:$BF$53)</f>
        <v>12</v>
      </c>
      <c r="DL26" s="154" cm="1">
        <f t="array" ref="DL26">IF(OR(DK26=12,$AJ$99=144),_xlfn.COUNTIFS($DJ$6:$DJ$53,DJ26,$BC$6:$BC$53,BC26),1)</f>
        <v>4</v>
      </c>
      <c r="DM26" t="str" s="140" cm="1">
        <f t="array" ref="DM26">DJ26&amp;"."&amp;DL26</f>
        <v>1.4</v>
      </c>
      <c r="DN26" s="154">
        <v>1</v>
      </c>
      <c r="DO26" s="140"/>
      <c r="DP26" t="s" s="125">
        <v>272</v>
      </c>
      <c r="DQ26" t="str" s="140" cm="1">
        <f t="array" ref="DQ26">INDEX($BD$6:$BD$53,MATCH(DP26,$BM$6:$BM$53,0))</f>
        <v>Países Bajos</v>
      </c>
      <c r="DR26" s="87"/>
      <c r="DS26" s="87"/>
      <c r="DT26" s="88"/>
      <c r="DU26" s="12"/>
    </row>
    <row r="27" ht="16" customHeight="1">
      <c r="A27" s="78"/>
      <c r="B27" s="78"/>
      <c r="C27" s="78"/>
      <c r="D27" s="78"/>
      <c r="E27" s="78"/>
      <c r="F27" s="78"/>
      <c r="G27" s="78"/>
      <c r="H27" s="78"/>
      <c r="I27" s="78"/>
      <c r="J27" s="78"/>
      <c r="K27" s="78"/>
      <c r="L27" s="78"/>
      <c r="M27" s="78"/>
      <c r="N27" s="78"/>
      <c r="O27" s="78"/>
      <c r="P27" s="78"/>
      <c r="Q27" s="78"/>
      <c r="R27" s="78"/>
      <c r="S27" s="78"/>
      <c r="T27" s="78"/>
      <c r="U27" s="78"/>
      <c r="V27" s="90"/>
      <c r="W27" s="91"/>
      <c r="X27" t="str" s="198" cm="1">
        <f t="array" ref="X27">X11</f>
        <v>Fecha</v>
      </c>
      <c r="Y27" t="str" s="198" cm="1">
        <f t="array" ref="Y27">Y11</f>
        <v>Hora</v>
      </c>
      <c r="Z27" t="str" s="119" cm="1">
        <f t="array" ref="Z27">Z11</f>
        <v>Jor.</v>
      </c>
      <c r="AA27" t="str" s="199" cm="1">
        <f t="array" ref="AA27">AA11</f>
        <v>Casa</v>
      </c>
      <c r="AB27" s="95"/>
      <c r="AC27" t="str" s="119" cm="1">
        <f t="array" ref="AC27">AC3</f>
        <v>Gol</v>
      </c>
      <c r="AD27" t="str" s="119" cm="1">
        <f t="array" ref="AD27">AD3</f>
        <v>Gol</v>
      </c>
      <c r="AE27" s="95"/>
      <c r="AF27" t="str" s="200" cm="1">
        <f t="array" ref="AF27">AF11</f>
        <v>Fuera</v>
      </c>
      <c r="AG27" s="201"/>
      <c r="AH27" s="188"/>
      <c r="AI27" s="83"/>
      <c r="AJ27" s="100"/>
      <c r="AK27" s="202"/>
      <c r="AL27" s="100"/>
      <c r="AM27" s="100"/>
      <c r="AN27" s="100"/>
      <c r="AO27" s="100"/>
      <c r="AP27" s="100"/>
      <c r="AQ27" s="100"/>
      <c r="AR27" s="100"/>
      <c r="AS27" s="100"/>
      <c r="AT27" s="100"/>
      <c r="AU27" s="203"/>
      <c r="AV27" s="84"/>
      <c r="AW27" s="204"/>
      <c r="AX27" s="205"/>
      <c r="AY27" s="206"/>
      <c r="AZ27" s="207"/>
      <c r="BA27" s="8"/>
      <c r="BB27" s="87"/>
      <c r="BC27" t="s" s="125">
        <v>269</v>
      </c>
      <c r="BD27" t="s" s="125">
        <v>274</v>
      </c>
      <c r="BE27" s="154" cm="1">
        <f t="array" ref="BE27">BG27*3+BH27+IF($AZ$3="No",0,INDEX($AZ$6:$AZ$97,MATCH(BD27,$AY$6:$AY$97,0)))</f>
        <v>4</v>
      </c>
      <c r="BF27" s="154" cm="1">
        <f t="array" ref="BF27">BG27+BH27+BI27</f>
        <v>3</v>
      </c>
      <c r="BG27" s="154" cm="1">
        <f t="array" ref="BG27">_xlfn.COUNTIFS($AA$4:$AA$97,BD27,$D$4:$D$97,"Local")+_xlfn.COUNTIFS($AF$4:$AF$97,BD27,$D$4:$D$97,"Visitante")</f>
        <v>1</v>
      </c>
      <c r="BH27" s="154" cm="1">
        <f t="array" ref="BH27">_xlfn.COUNTIFS($AA$4:$AA$97,BD27,$D$4:$D$97,"Empate")+_xlfn.COUNTIFS($AF$4:$AF$97,BD27,$D$4:$D$97,"Empate")</f>
        <v>1</v>
      </c>
      <c r="BI27" s="154" cm="1">
        <f t="array" ref="BI27">_xlfn.COUNTIFS($AF$4:$AF$97,BD27,$D$4:$D$97,"Local")+_xlfn.COUNTIFS($AA$4:$AA$97,BD27,$D$4:$D$97,"Visitante")</f>
        <v>1</v>
      </c>
      <c r="BJ27" s="154" cm="1">
        <f t="array" ref="BJ27">_xlfn.SUMIFS($AC$4:$AC$97,$AA$4:$AA$97,BD27,$D$4:$D$97,"&lt;&gt;"&amp;"Pendiente",$AC$4:$AC$97,"&lt;&gt;"&amp;"",$AD$4:$AD$97,"&lt;&gt;"&amp;"")+_xlfn.SUMIFS($AD$4:$AD$97,$AF$4:$AF$97,BD27,$D$4:$D$97,"&lt;&gt;"&amp;"Pendiente",$AC$4:$AC$97,"&lt;&gt;"&amp;"",$AD$4:$AD$97,"&lt;&gt;"&amp;"")</f>
        <v>4</v>
      </c>
      <c r="BK27" s="154" cm="1">
        <f t="array" ref="BK27">_xlfn.SUMIFS($AC$4:$AC$97,$AF$4:$AF$97,BD27,$D$4:$D$97,"&lt;&gt;"&amp;"Pendiente",$AC$4:$AC$97,"&lt;&gt;"&amp;"",$AD$4:$AD$97,"&lt;&gt;"&amp;"")+_xlfn.SUMIFS($AD$4:$AD$97,$AA$4:$AA$97,BD27,$D$4:$D$97,"&lt;&gt;"&amp;"Pendiente",$AC$4:$AC$97,"&lt;&gt;"&amp;"",$AD$4:$AD$97,"&lt;&gt;"&amp;"")</f>
        <v>3</v>
      </c>
      <c r="BL27" s="154" cm="1">
        <f t="array" ref="BL27">BJ27-BK27</f>
        <v>1</v>
      </c>
      <c r="BM27" t="str" s="140" cm="1">
        <f t="array" ref="BM27">DD27&amp;BC27</f>
        <v>2F</v>
      </c>
      <c r="BN27" t="str" s="140" cm="1">
        <f t="array" ref="BN27">DH27&amp;BC27</f>
        <v>2F</v>
      </c>
      <c r="BO27" s="154" cm="1">
        <f t="array" ref="BO27">IF(AND($AJ$99=144,BF27&gt;=1),1,0)</f>
        <v>0</v>
      </c>
      <c r="BP27" s="154">
        <v>1</v>
      </c>
      <c r="BQ27" t="s" s="125">
        <v>135</v>
      </c>
      <c r="BR27" s="154" cm="1">
        <f t="array" ref="BR27">IF($BQ27="-","-",BE27)</f>
        <v>4</v>
      </c>
      <c r="BS27" s="154">
        <v>1</v>
      </c>
      <c r="BT27" t="s" s="125">
        <v>135</v>
      </c>
      <c r="BU27" s="154" cm="1">
        <f t="array" ref="BU27">IF($BT27="-","-",_xlfn.COUNTIFS($AA$4:$AA$97,$BD27,$D$4:$D$97,"Local",$F$4:$F$97,$BT27)+_xlfn.COUNTIFS($AF$4:$AF$97,$BD27,$D$4:$D$97,"Visitante",$E$4:$E$97,$BT27))</f>
        <v>1</v>
      </c>
      <c r="BV27" s="154" cm="1">
        <f t="array" ref="BV27">IF($BT27="-","-",_xlfn.COUNTIFS($AA$4:$AA$97,$BD27,$D$4:$D$97,"Empate",$F$4:$F$97,$BT27)+_xlfn.COUNTIFS($AF$4:$AF$97,$BD27,$D$4:$D$97,"Empate",$E$4:$E$97,$BT27))</f>
        <v>1</v>
      </c>
      <c r="BW27" s="154" cm="1">
        <f t="array" ref="BW27">IF($BT27="-","-",_xlfn.COUNTIFS($AA$4:$AA$97,$BD27,$D$4:$D$97,"Visitante",$F$4:$F$97,$BT27)+_xlfn.COUNTIFS($AF$4:$AF$97,$BD27,$D$4:$D$97,"Local",$E$4:$E$97,$BT27))</f>
        <v>1</v>
      </c>
      <c r="BX27" s="154" cm="1">
        <f t="array" ref="BX27">IF($BT27="-","-",BU27*3+BV27)</f>
        <v>4</v>
      </c>
      <c r="BY27" s="154">
        <v>1</v>
      </c>
      <c r="BZ27" t="s" s="125">
        <v>135</v>
      </c>
      <c r="CA27" s="154" cm="1">
        <f t="array" ref="CA27">IF($BZ27="-","-",_xlfn.SUMIFS($AC$4:$AC$97,$AA$4:$AA$97,$BD27,$I$4:$I$97,$BZ27)+_xlfn.SUMIFS($AD$4:$AD$97,$AF$4:$AF$97,$BD27,$H$4:$H$97,$BZ27))</f>
        <v>4</v>
      </c>
      <c r="CB27" s="154" cm="1">
        <f t="array" ref="CB27">IF($BZ27="-","-",_xlfn.SUMIFS($AD$4:$AD$97,$AA$4:$AA$97,$BD27,$I$4:$I$97,$BZ27)+_xlfn.SUMIFS($AC$4:$AC$97,$AF$4:$AF$97,$BD27,$H$4:$H$97,$BZ27))</f>
        <v>3</v>
      </c>
      <c r="CC27" s="154" cm="1">
        <f t="array" ref="CC27">IF($BZ27="-","-",CA27-CB27)</f>
        <v>1</v>
      </c>
      <c r="CD27" s="154">
        <v>1</v>
      </c>
      <c r="CE27" t="s" s="125">
        <v>135</v>
      </c>
      <c r="CF27" s="154" cm="1">
        <f t="array" ref="CF27">IF($CE27="-","-",_xlfn.SUMIFS($AC$4:$AC$97,$AA$4:$AA$97,$BD27,$L$4:$L$97,$CE27)+_xlfn.SUMIFS($AD$4:$AD$97,$AF$4:$AF$97,$BD27,$K$4:$K$97,$CE27))</f>
        <v>4</v>
      </c>
      <c r="CG27" s="154">
        <v>1</v>
      </c>
      <c r="CH27" t="s" s="125">
        <v>135</v>
      </c>
      <c r="CI27" s="154" cm="1">
        <f t="array" ref="CI27">IF($CH27="-","-",_xlfn.COUNTIFS($AA$4:$AA$97,$BD27,$D$4:$D$97,"Local",$O$4:$O$97,$CH27)+_xlfn.COUNTIFS($AF$4:$AF$97,$BD27,$D$4:$D$97,"Visitante",$N$4:$N$97,$CH27))</f>
        <v>1</v>
      </c>
      <c r="CJ27" s="154" cm="1">
        <f t="array" ref="CJ27">IF($CH27="-","-",_xlfn.COUNTIFS($AA$4:$AA$97,$BD27,$D$4:$D$97,"Empate",$O$4:$O$97,$CH27)+_xlfn.COUNTIFS($AF$4:$AF$97,$BD27,$D$4:$D$97,"Empate",$N$4:$N$97,$CH27))</f>
        <v>1</v>
      </c>
      <c r="CK27" s="154" cm="1">
        <f t="array" ref="CK27">IF($CH27="-","-",_xlfn.COUNTIFS($AA$4:$AA$97,$BD27,$D$4:$D$97,"Visitante",$O$4:$O$97,$CH27)+_xlfn.COUNTIFS($AF$4:$AF$97,$BD27,$D$4:$D$97,"Local",$N$4:$N$97,$CH27))</f>
        <v>1</v>
      </c>
      <c r="CL27" s="154" cm="1">
        <f t="array" ref="CL27">IF($CH27="-","-",CI27*3+CJ27)</f>
        <v>4</v>
      </c>
      <c r="CM27" s="154">
        <v>1</v>
      </c>
      <c r="CN27" t="s" s="125">
        <v>135</v>
      </c>
      <c r="CO27" s="154" cm="1">
        <f t="array" ref="CO27">IF($CN27="-","-",_xlfn.SUMIFS($AC$4:$AC$97,$AA$4:$AA$97,$BD27,$R$4:$R$97,$CN27)+_xlfn.SUMIFS($AD$4:$AD$97,$AF$4:$AF$97,$BD27,$Q$4:$Q$97,$CN27))</f>
        <v>4</v>
      </c>
      <c r="CP27" s="154" cm="1">
        <f t="array" ref="CP27">IF($CN27="-","-",_xlfn.SUMIFS($AD$4:$AD$97,$AA$4:$AA$97,$BD27,$R$4:$R$97,$CN27)+_xlfn.SUMIFS($AC$4:$AC$97,$AF$4:$AF$97,$BD27,$Q$4:$Q$97,$CN27))</f>
        <v>3</v>
      </c>
      <c r="CQ27" s="154" cm="1">
        <f t="array" ref="CQ27">IF($CN27="-","-",CO27-CP27)</f>
        <v>1</v>
      </c>
      <c r="CR27" s="154">
        <v>1</v>
      </c>
      <c r="CS27" t="s" s="125">
        <v>135</v>
      </c>
      <c r="CT27" s="154" cm="1">
        <f t="array" ref="CT27">IF($CS27="-","-",_xlfn.SUMIFS($AC$4:$AC$97,$AA$4:$AA$97,$BD27,$U$4:$U$97,$CS27)+_xlfn.SUMIFS($AD$4:$AD$97,$AF$4:$AF$97,$BD27,$T$4:$T$97,$CS27))</f>
        <v>4</v>
      </c>
      <c r="CU27" s="154">
        <v>1</v>
      </c>
      <c r="CV27" t="s" s="125">
        <v>135</v>
      </c>
      <c r="CW27" s="154" cm="1">
        <f t="array" ref="CW27">IF(CV27="-","-",BL27)</f>
        <v>1</v>
      </c>
      <c r="CX27" s="154">
        <v>1</v>
      </c>
      <c r="CY27" t="s" s="125">
        <v>135</v>
      </c>
      <c r="CZ27" s="154" cm="1">
        <f t="array" ref="CZ27">IF(CY27="-","-",BJ27)</f>
        <v>4</v>
      </c>
      <c r="DA27" s="154">
        <v>1</v>
      </c>
      <c r="DB27" t="s" s="125">
        <v>135</v>
      </c>
      <c r="DC27" s="154">
        <v>2</v>
      </c>
      <c r="DD27" s="154">
        <v>2</v>
      </c>
      <c r="DE27" s="140"/>
      <c r="DF27" s="154" cm="1">
        <f t="array" ref="DF27">IF(OR(INDEX($AW$6:$AW$97,MATCH($BD27,$AV$6:$AV$97,0))="",DB27="-"),DD27,INDEX($AW$6:$AW$97,MATCH($BD27,$AV$6:$AV$97,0))+DD27/1000)</f>
        <v>2</v>
      </c>
      <c r="DG27" s="154">
        <v>1</v>
      </c>
      <c r="DH27" s="154">
        <v>2</v>
      </c>
      <c r="DI27" s="140"/>
      <c r="DJ27" s="154" cm="1">
        <f t="array" ref="DJ27">INDEX($DA$6:$DA$53,MATCH($DQ27,$BD$6:$BD$53,0))</f>
        <v>1</v>
      </c>
      <c r="DK27" s="154" cm="1">
        <f t="array" ref="DK27">SUMIF($BC$6:$BC$53,BC27,$BF$6:$BF$53)</f>
        <v>12</v>
      </c>
      <c r="DL27" s="154" cm="1">
        <f t="array" ref="DL27">IF(OR(DK27=12,$AJ$99=144),_xlfn.COUNTIFS($DJ$6:$DJ$53,DJ27,$BC$6:$BC$53,BC27),1)</f>
        <v>4</v>
      </c>
      <c r="DM27" t="str" s="140" cm="1">
        <f t="array" ref="DM27">DJ27&amp;"."&amp;DL27</f>
        <v>1.4</v>
      </c>
      <c r="DN27" s="154">
        <v>1</v>
      </c>
      <c r="DO27" s="140"/>
      <c r="DP27" t="s" s="125">
        <v>276</v>
      </c>
      <c r="DQ27" t="str" s="140" cm="1">
        <f t="array" ref="DQ27">INDEX($BD$6:$BD$53,MATCH(DP27,$BM$6:$BM$53,0))</f>
        <v>Japón</v>
      </c>
      <c r="DR27" s="87"/>
      <c r="DS27" s="87"/>
      <c r="DT27" s="88"/>
      <c r="DU27" s="12"/>
    </row>
    <row r="28" ht="16" customHeight="1">
      <c r="A28" t="s" s="89">
        <v>45</v>
      </c>
      <c r="B28" t="s" s="89">
        <v>223</v>
      </c>
      <c r="C28" s="105">
        <v>4</v>
      </c>
      <c r="D28" t="str" s="78" cm="1">
        <f t="array" ref="D28">IF(OR(AC28="",AD28=""),"Pendiente",IF(AC28&gt;AD28,"Local",IF(AC28&lt;AD28,"Visitante","Empate")))</f>
        <v>Local</v>
      </c>
      <c r="E28" t="str" s="78" cm="1">
        <f t="array" ref="E28">IF(D28="Pendiente","-",INDEX($BT$6:$BT$53,MATCH($AA28,$BD$6:$BD$53,0)))</f>
        <v>P.1 (4)</v>
      </c>
      <c r="F28" t="str" s="78" cm="1">
        <f t="array" ref="F28">IF(D28="Pendiente","-",INDEX($BT$6:$BT$53,MATCH($AF28,$BD$6:$BD$53,0)))</f>
        <v>P.1 (4)</v>
      </c>
      <c r="G28" s="78"/>
      <c r="H28" t="str" s="78" cm="1">
        <f t="array" ref="H28">IF(D28="Pendiente","-",INDEX($BZ$6:$BZ$53,MATCH($AA28,$BD$6:$BD$53,0)))</f>
        <v>P.1 (4)</v>
      </c>
      <c r="I28" t="str" s="78" cm="1">
        <f t="array" ref="I28">IF(D28="Pendiente","-",INDEX($BZ$6:$BZ$53,MATCH($AF28,$BD$6:$BD$53,0)))</f>
        <v>P.1 (4)</v>
      </c>
      <c r="J28" s="78"/>
      <c r="K28" t="str" s="78" cm="1">
        <f t="array" ref="K28">IF(D28="Pendiente","-",INDEX($CE$6:$CE$53,MATCH($AA28,$BD$6:$BD$53,0)))</f>
        <v>P.1 (4)</v>
      </c>
      <c r="L28" t="str" s="78" cm="1">
        <f t="array" ref="L28">IF(D28="Pendiente","-",INDEX($CE$6:$CE$53,MATCH($AF28,$BD$6:$BD$53,0)))</f>
        <v>P.1 (4)</v>
      </c>
      <c r="M28" s="78"/>
      <c r="N28" t="str" s="78" cm="1">
        <f t="array" ref="N28">IF(D28="Pendiente","-",INDEX($CH$6:$CH$53,MATCH($AA28,$BD$6:$BD$53,0)))</f>
        <v>P.1 (4)</v>
      </c>
      <c r="O28" t="str" s="78" cm="1">
        <f t="array" ref="O28">IF(D28="Pendiente","-",INDEX($CH$6:$CH$53,MATCH($AF28,$BD$6:$BD$53,0)))</f>
        <v>P.1 (4)</v>
      </c>
      <c r="P28" s="78"/>
      <c r="Q28" t="str" s="78" cm="1">
        <f t="array" ref="Q28">IF(D28="Pendiente","-",INDEX($CN$6:$CN$53,MATCH($AA28,$BD$6:$BD$53,0)))</f>
        <v>P.1 (4)</v>
      </c>
      <c r="R28" t="str" s="78" cm="1">
        <f t="array" ref="R28">IF(D28="Pendiente","-",INDEX($CN$6:$CN$53,MATCH($AF28,$BD$6:$BD$53,0)))</f>
        <v>P.1 (4)</v>
      </c>
      <c r="S28" s="78"/>
      <c r="T28" t="str" s="78" cm="1">
        <f t="array" ref="T28">IF(D28="Pendiente","-",INDEX($CS$6:$CS$53,MATCH($AA28,$BD$6:$BD$53,0)))</f>
        <v>P.1 (4)</v>
      </c>
      <c r="U28" t="str" s="78" cm="1">
        <f t="array" ref="U28">IF(D28="Pendiente","-",INDEX($CS$6:$CS$53,MATCH($AF28,$BD$6:$BD$53,0)))</f>
        <v>P.1 (4)</v>
      </c>
      <c r="V28" s="90"/>
      <c r="W28" t="s" s="241">
        <v>223</v>
      </c>
      <c r="X28" s="107">
        <v>46185.875</v>
      </c>
      <c r="Y28" s="108">
        <v>46185.875</v>
      </c>
      <c r="Z28" t="str" s="127" cm="1">
        <f t="array" ref="Z28">$Z$4</f>
        <v>J1</v>
      </c>
      <c r="AA28" t="str" s="110" cm="1">
        <f t="array" ref="AA28">A29</f>
        <v>Estados Unidos</v>
      </c>
      <c r="AB28" s="111"/>
      <c r="AC28" s="112">
        <v>1</v>
      </c>
      <c r="AD28" s="112">
        <v>0</v>
      </c>
      <c r="AE28" s="113"/>
      <c r="AF28" t="str" s="114" cm="1">
        <f t="array" ref="AF28">A30</f>
        <v>Paraguay</v>
      </c>
      <c r="AG28" s="115" cm="1">
        <f t="array" ref="AG28">IF(NOT(OR(ISBLANK(AC28),ISBLANK(AD28))),1,0)</f>
        <v>1</v>
      </c>
      <c r="AH28" s="116">
        <v>4</v>
      </c>
      <c r="AI28" s="117"/>
      <c r="AJ28" t="str" s="118" cm="1">
        <f t="array" ref="AJ28">CONCATENATE(AJ3," ",B28)</f>
        <v>Grupo D</v>
      </c>
      <c r="AK28" s="119"/>
      <c r="AL28" s="119"/>
      <c r="AM28" s="119"/>
      <c r="AN28" s="119"/>
      <c r="AO28" s="119"/>
      <c r="AP28" s="119"/>
      <c r="AQ28" s="119"/>
      <c r="AR28" s="119"/>
      <c r="AS28" s="119"/>
      <c r="AT28" s="120"/>
      <c r="AU28" s="209"/>
      <c r="AV28" t="str" s="122" cm="1">
        <f t="array" ref="AV28">IF(AU29&gt;0,$AV$3,"")</f>
        <v>¡EMPATE! Puedes seleccionar el orden de los empatados.</v>
      </c>
      <c r="AW28" s="217"/>
      <c r="AX28" s="217"/>
      <c r="AY28" s="211"/>
      <c r="AZ28" s="212"/>
      <c r="BA28" s="8"/>
      <c r="BB28" s="87"/>
      <c r="BC28" t="s" s="125">
        <v>269</v>
      </c>
      <c r="BD28" t="s" s="125">
        <v>281</v>
      </c>
      <c r="BE28" s="154" cm="1">
        <f t="array" ref="BE28">BG28*3+BH28+IF($AZ$3="No",0,INDEX($AZ$6:$AZ$97,MATCH(BD28,$AY$6:$AY$97,0)))</f>
        <v>4</v>
      </c>
      <c r="BF28" s="154" cm="1">
        <f t="array" ref="BF28">BG28+BH28+BI28</f>
        <v>3</v>
      </c>
      <c r="BG28" s="154" cm="1">
        <f t="array" ref="BG28">_xlfn.COUNTIFS($AA$4:$AA$97,BD28,$D$4:$D$97,"Local")+_xlfn.COUNTIFS($AF$4:$AF$97,BD28,$D$4:$D$97,"Visitante")</f>
        <v>1</v>
      </c>
      <c r="BH28" s="154" cm="1">
        <f t="array" ref="BH28">_xlfn.COUNTIFS($AA$4:$AA$97,BD28,$D$4:$D$97,"Empate")+_xlfn.COUNTIFS($AF$4:$AF$97,BD28,$D$4:$D$97,"Empate")</f>
        <v>1</v>
      </c>
      <c r="BI28" s="154" cm="1">
        <f t="array" ref="BI28">_xlfn.COUNTIFS($AF$4:$AF$97,BD28,$D$4:$D$97,"Local")+_xlfn.COUNTIFS($AA$4:$AA$97,BD28,$D$4:$D$97,"Visitante")</f>
        <v>1</v>
      </c>
      <c r="BJ28" s="154" cm="1">
        <f t="array" ref="BJ28">_xlfn.SUMIFS($AC$4:$AC$97,$AA$4:$AA$97,BD28,$D$4:$D$97,"&lt;&gt;"&amp;"Pendiente",$AC$4:$AC$97,"&lt;&gt;"&amp;"",$AD$4:$AD$97,"&lt;&gt;"&amp;"")+_xlfn.SUMIFS($AD$4:$AD$97,$AF$4:$AF$97,BD28,$D$4:$D$97,"&lt;&gt;"&amp;"Pendiente",$AC$4:$AC$97,"&lt;&gt;"&amp;"",$AD$4:$AD$97,"&lt;&gt;"&amp;"")</f>
        <v>4</v>
      </c>
      <c r="BK28" s="154" cm="1">
        <f t="array" ref="BK28">_xlfn.SUMIFS($AC$4:$AC$97,$AF$4:$AF$97,BD28,$D$4:$D$97,"&lt;&gt;"&amp;"Pendiente",$AC$4:$AC$97,"&lt;&gt;"&amp;"",$AD$4:$AD$97,"&lt;&gt;"&amp;"")+_xlfn.SUMIFS($AD$4:$AD$97,$AA$4:$AA$97,BD28,$D$4:$D$97,"&lt;&gt;"&amp;"Pendiente",$AC$4:$AC$97,"&lt;&gt;"&amp;"",$AD$4:$AD$97,"&lt;&gt;"&amp;"")</f>
        <v>3</v>
      </c>
      <c r="BL28" s="154" cm="1">
        <f t="array" ref="BL28">BJ28-BK28</f>
        <v>1</v>
      </c>
      <c r="BM28" t="str" s="140" cm="1">
        <f t="array" ref="BM28">DD28&amp;BC28</f>
        <v>3F</v>
      </c>
      <c r="BN28" t="str" s="140" cm="1">
        <f t="array" ref="BN28">DH28&amp;BC28</f>
        <v>3F</v>
      </c>
      <c r="BO28" s="154" cm="1">
        <f t="array" ref="BO28">IF(AND($AJ$99=144,BF28&gt;=1),1,0)</f>
        <v>0</v>
      </c>
      <c r="BP28" s="154">
        <v>1</v>
      </c>
      <c r="BQ28" t="s" s="125">
        <v>135</v>
      </c>
      <c r="BR28" s="154" cm="1">
        <f t="array" ref="BR28">IF($BQ28="-","-",BE28)</f>
        <v>4</v>
      </c>
      <c r="BS28" s="154">
        <v>1</v>
      </c>
      <c r="BT28" t="s" s="125">
        <v>135</v>
      </c>
      <c r="BU28" s="154" cm="1">
        <f t="array" ref="BU28">IF($BT28="-","-",_xlfn.COUNTIFS($AA$4:$AA$97,$BD28,$D$4:$D$97,"Local",$F$4:$F$97,$BT28)+_xlfn.COUNTIFS($AF$4:$AF$97,$BD28,$D$4:$D$97,"Visitante",$E$4:$E$97,$BT28))</f>
        <v>1</v>
      </c>
      <c r="BV28" s="154" cm="1">
        <f t="array" ref="BV28">IF($BT28="-","-",_xlfn.COUNTIFS($AA$4:$AA$97,$BD28,$D$4:$D$97,"Empate",$F$4:$F$97,$BT28)+_xlfn.COUNTIFS($AF$4:$AF$97,$BD28,$D$4:$D$97,"Empate",$E$4:$E$97,$BT28))</f>
        <v>1</v>
      </c>
      <c r="BW28" s="154" cm="1">
        <f t="array" ref="BW28">IF($BT28="-","-",_xlfn.COUNTIFS($AA$4:$AA$97,$BD28,$D$4:$D$97,"Visitante",$F$4:$F$97,$BT28)+_xlfn.COUNTIFS($AF$4:$AF$97,$BD28,$D$4:$D$97,"Local",$E$4:$E$97,$BT28))</f>
        <v>1</v>
      </c>
      <c r="BX28" s="154" cm="1">
        <f t="array" ref="BX28">IF($BT28="-","-",BU28*3+BV28)</f>
        <v>4</v>
      </c>
      <c r="BY28" s="154">
        <v>1</v>
      </c>
      <c r="BZ28" t="s" s="125">
        <v>135</v>
      </c>
      <c r="CA28" s="154" cm="1">
        <f t="array" ref="CA28">IF($BZ28="-","-",_xlfn.SUMIFS($AC$4:$AC$97,$AA$4:$AA$97,$BD28,$I$4:$I$97,$BZ28)+_xlfn.SUMIFS($AD$4:$AD$97,$AF$4:$AF$97,$BD28,$H$4:$H$97,$BZ28))</f>
        <v>4</v>
      </c>
      <c r="CB28" s="154" cm="1">
        <f t="array" ref="CB28">IF($BZ28="-","-",_xlfn.SUMIFS($AD$4:$AD$97,$AA$4:$AA$97,$BD28,$I$4:$I$97,$BZ28)+_xlfn.SUMIFS($AC$4:$AC$97,$AF$4:$AF$97,$BD28,$H$4:$H$97,$BZ28))</f>
        <v>3</v>
      </c>
      <c r="CC28" s="154" cm="1">
        <f t="array" ref="CC28">IF($BZ28="-","-",CA28-CB28)</f>
        <v>1</v>
      </c>
      <c r="CD28" s="154">
        <v>1</v>
      </c>
      <c r="CE28" t="s" s="125">
        <v>135</v>
      </c>
      <c r="CF28" s="154" cm="1">
        <f t="array" ref="CF28">IF($CE28="-","-",_xlfn.SUMIFS($AC$4:$AC$97,$AA$4:$AA$97,$BD28,$L$4:$L$97,$CE28)+_xlfn.SUMIFS($AD$4:$AD$97,$AF$4:$AF$97,$BD28,$K$4:$K$97,$CE28))</f>
        <v>4</v>
      </c>
      <c r="CG28" s="154">
        <v>1</v>
      </c>
      <c r="CH28" t="s" s="125">
        <v>135</v>
      </c>
      <c r="CI28" s="154" cm="1">
        <f t="array" ref="CI28">IF($CH28="-","-",_xlfn.COUNTIFS($AA$4:$AA$97,$BD28,$D$4:$D$97,"Local",$O$4:$O$97,$CH28)+_xlfn.COUNTIFS($AF$4:$AF$97,$BD28,$D$4:$D$97,"Visitante",$N$4:$N$97,$CH28))</f>
        <v>1</v>
      </c>
      <c r="CJ28" s="154" cm="1">
        <f t="array" ref="CJ28">IF($CH28="-","-",_xlfn.COUNTIFS($AA$4:$AA$97,$BD28,$D$4:$D$97,"Empate",$O$4:$O$97,$CH28)+_xlfn.COUNTIFS($AF$4:$AF$97,$BD28,$D$4:$D$97,"Empate",$N$4:$N$97,$CH28))</f>
        <v>1</v>
      </c>
      <c r="CK28" s="154" cm="1">
        <f t="array" ref="CK28">IF($CH28="-","-",_xlfn.COUNTIFS($AA$4:$AA$97,$BD28,$D$4:$D$97,"Visitante",$O$4:$O$97,$CH28)+_xlfn.COUNTIFS($AF$4:$AF$97,$BD28,$D$4:$D$97,"Local",$N$4:$N$97,$CH28))</f>
        <v>1</v>
      </c>
      <c r="CL28" s="154" cm="1">
        <f t="array" ref="CL28">IF($CH28="-","-",CI28*3+CJ28)</f>
        <v>4</v>
      </c>
      <c r="CM28" s="154">
        <v>1</v>
      </c>
      <c r="CN28" t="s" s="125">
        <v>135</v>
      </c>
      <c r="CO28" s="154" cm="1">
        <f t="array" ref="CO28">IF($CN28="-","-",_xlfn.SUMIFS($AC$4:$AC$97,$AA$4:$AA$97,$BD28,$R$4:$R$97,$CN28)+_xlfn.SUMIFS($AD$4:$AD$97,$AF$4:$AF$97,$BD28,$Q$4:$Q$97,$CN28))</f>
        <v>4</v>
      </c>
      <c r="CP28" s="154" cm="1">
        <f t="array" ref="CP28">IF($CN28="-","-",_xlfn.SUMIFS($AD$4:$AD$97,$AA$4:$AA$97,$BD28,$R$4:$R$97,$CN28)+_xlfn.SUMIFS($AC$4:$AC$97,$AF$4:$AF$97,$BD28,$Q$4:$Q$97,$CN28))</f>
        <v>3</v>
      </c>
      <c r="CQ28" s="154" cm="1">
        <f t="array" ref="CQ28">IF($CN28="-","-",CO28-CP28)</f>
        <v>1</v>
      </c>
      <c r="CR28" s="154">
        <v>1</v>
      </c>
      <c r="CS28" t="s" s="125">
        <v>135</v>
      </c>
      <c r="CT28" s="154" cm="1">
        <f t="array" ref="CT28">IF($CS28="-","-",_xlfn.SUMIFS($AC$4:$AC$97,$AA$4:$AA$97,$BD28,$U$4:$U$97,$CS28)+_xlfn.SUMIFS($AD$4:$AD$97,$AF$4:$AF$97,$BD28,$T$4:$T$97,$CS28))</f>
        <v>4</v>
      </c>
      <c r="CU28" s="154">
        <v>1</v>
      </c>
      <c r="CV28" t="s" s="125">
        <v>135</v>
      </c>
      <c r="CW28" s="154" cm="1">
        <f t="array" ref="CW28">IF(CV28="-","-",BL28)</f>
        <v>1</v>
      </c>
      <c r="CX28" s="154">
        <v>1</v>
      </c>
      <c r="CY28" t="s" s="125">
        <v>135</v>
      </c>
      <c r="CZ28" s="154" cm="1">
        <f t="array" ref="CZ28">IF(CY28="-","-",BJ28)</f>
        <v>4</v>
      </c>
      <c r="DA28" s="154">
        <v>1</v>
      </c>
      <c r="DB28" t="s" s="125">
        <v>135</v>
      </c>
      <c r="DC28" s="154">
        <v>3</v>
      </c>
      <c r="DD28" s="154">
        <v>3</v>
      </c>
      <c r="DE28" s="140"/>
      <c r="DF28" s="154" cm="1">
        <f t="array" ref="DF28">IF(OR(INDEX($AW$6:$AW$97,MATCH($BD28,$AV$6:$AV$97,0))="",DB28="-"),DD28,INDEX($AW$6:$AW$97,MATCH($BD28,$AV$6:$AV$97,0))+DD28/1000)</f>
        <v>3</v>
      </c>
      <c r="DG28" s="154">
        <v>2</v>
      </c>
      <c r="DH28" s="154">
        <v>3</v>
      </c>
      <c r="DI28" s="140"/>
      <c r="DJ28" s="154" cm="1">
        <f t="array" ref="DJ28">INDEX($DA$6:$DA$53,MATCH($DQ28,$BD$6:$BD$53,0))</f>
        <v>1</v>
      </c>
      <c r="DK28" s="154" cm="1">
        <f t="array" ref="DK28">SUMIF($BC$6:$BC$53,BC28,$BF$6:$BF$53)</f>
        <v>12</v>
      </c>
      <c r="DL28" s="154" cm="1">
        <f t="array" ref="DL28">IF(OR(DK28=12,$AJ$99=144),_xlfn.COUNTIFS($DJ$6:$DJ$53,DJ28,$BC$6:$BC$53,BC28),1)</f>
        <v>4</v>
      </c>
      <c r="DM28" t="str" s="140" cm="1">
        <f t="array" ref="DM28">DJ28&amp;"."&amp;DL28</f>
        <v>1.4</v>
      </c>
      <c r="DN28" s="154">
        <v>1</v>
      </c>
      <c r="DO28" s="140"/>
      <c r="DP28" t="s" s="125">
        <v>283</v>
      </c>
      <c r="DQ28" t="str" s="140" cm="1">
        <f t="array" ref="DQ28">INDEX($BD$6:$BD$53,MATCH(DP28,$BM$6:$BM$53,0))</f>
        <v>Suecia</v>
      </c>
      <c r="DR28" s="87"/>
      <c r="DS28" s="87"/>
      <c r="DT28" s="88"/>
      <c r="DU28" s="12"/>
    </row>
    <row r="29" ht="16" customHeight="1">
      <c r="A29" t="s" s="89">
        <v>224</v>
      </c>
      <c r="B29" s="78"/>
      <c r="C29" s="78"/>
      <c r="D29" t="str" s="78" cm="1">
        <f t="array" ref="D29">IF(OR(AC29="",AD29=""),"Pendiente",IF(AC29&gt;AD29,"Local",IF(AC29&lt;AD29,"Visitante","Empate")))</f>
        <v>Visitante</v>
      </c>
      <c r="E29" t="str" s="78" cm="1">
        <f t="array" ref="E29">IF(D29="Pendiente","-",INDEX($BT$6:$BT$53,MATCH($AA29,$BD$6:$BD$53,0)))</f>
        <v>P.1 (4)</v>
      </c>
      <c r="F29" t="str" s="78" cm="1">
        <f t="array" ref="F29">IF(D29="Pendiente","-",INDEX($BT$6:$BT$53,MATCH($AF29,$BD$6:$BD$53,0)))</f>
        <v>P.1 (4)</v>
      </c>
      <c r="G29" s="78"/>
      <c r="H29" t="str" s="78" cm="1">
        <f t="array" ref="H29">IF(D29="Pendiente","-",INDEX($BZ$6:$BZ$53,MATCH($AA29,$BD$6:$BD$53,0)))</f>
        <v>P.1 (4)</v>
      </c>
      <c r="I29" t="str" s="78" cm="1">
        <f t="array" ref="I29">IF(D29="Pendiente","-",INDEX($BZ$6:$BZ$53,MATCH($AF29,$BD$6:$BD$53,0)))</f>
        <v>P.1 (4)</v>
      </c>
      <c r="J29" s="78"/>
      <c r="K29" t="str" s="78" cm="1">
        <f t="array" ref="K29">IF(D29="Pendiente","-",INDEX($CE$6:$CE$53,MATCH($AA29,$BD$6:$BD$53,0)))</f>
        <v>P.1 (4)</v>
      </c>
      <c r="L29" t="str" s="78" cm="1">
        <f t="array" ref="L29">IF(D29="Pendiente","-",INDEX($CE$6:$CE$53,MATCH($AF29,$BD$6:$BD$53,0)))</f>
        <v>P.1 (4)</v>
      </c>
      <c r="M29" s="78"/>
      <c r="N29" t="str" s="78" cm="1">
        <f t="array" ref="N29">IF(D29="Pendiente","-",INDEX($CH$6:$CH$53,MATCH($AA29,$BD$6:$BD$53,0)))</f>
        <v>P.1 (4)</v>
      </c>
      <c r="O29" t="str" s="78" cm="1">
        <f t="array" ref="O29">IF(D29="Pendiente","-",INDEX($CH$6:$CH$53,MATCH($AF29,$BD$6:$BD$53,0)))</f>
        <v>P.1 (4)</v>
      </c>
      <c r="P29" s="78"/>
      <c r="Q29" t="str" s="78" cm="1">
        <f t="array" ref="Q29">IF(D29="Pendiente","-",INDEX($CN$6:$CN$53,MATCH($AA29,$BD$6:$BD$53,0)))</f>
        <v>P.1 (4)</v>
      </c>
      <c r="R29" t="str" s="78" cm="1">
        <f t="array" ref="R29">IF(D29="Pendiente","-",INDEX($CN$6:$CN$53,MATCH($AF29,$BD$6:$BD$53,0)))</f>
        <v>P.1 (4)</v>
      </c>
      <c r="S29" s="78"/>
      <c r="T29" t="str" s="78" cm="1">
        <f t="array" ref="T29">IF(D29="Pendiente","-",INDEX($CS$6:$CS$53,MATCH($AA29,$BD$6:$BD$53,0)))</f>
        <v>P.1 (4)</v>
      </c>
      <c r="U29" t="str" s="78" cm="1">
        <f t="array" ref="U29">IF(D29="Pendiente","-",INDEX($CS$6:$CS$53,MATCH($AF29,$BD$6:$BD$53,0)))</f>
        <v>P.1 (4)</v>
      </c>
      <c r="V29" s="90"/>
      <c r="W29" s="126"/>
      <c r="X29" s="107">
        <v>46187</v>
      </c>
      <c r="Y29" s="108">
        <v>46187</v>
      </c>
      <c r="Z29" t="str" s="127" cm="1">
        <f t="array" ref="Z29">$Z$4</f>
        <v>J1</v>
      </c>
      <c r="AA29" t="str" s="110" cm="1">
        <f t="array" ref="AA29">A31</f>
        <v>Australia</v>
      </c>
      <c r="AB29" s="111"/>
      <c r="AC29" s="128">
        <v>1</v>
      </c>
      <c r="AD29" s="128">
        <v>3</v>
      </c>
      <c r="AE29" s="113"/>
      <c r="AF29" t="str" s="114" cm="1">
        <f t="array" ref="AF29">A32</f>
        <v>Turquía</v>
      </c>
      <c r="AG29" s="115" cm="1">
        <f t="array" ref="AG29">IF(NOT(OR(ISBLANK(AC29),ISBLANK(AD29))),1,0)</f>
        <v>1</v>
      </c>
      <c r="AH29" s="116">
        <v>6</v>
      </c>
      <c r="AI29" s="117"/>
      <c r="AJ29" t="str" s="213" cm="1">
        <f t="array" ref="AJ29">AJ5</f>
        <v>Pos</v>
      </c>
      <c r="AK29" s="130"/>
      <c r="AL29" t="str" s="214" cm="1">
        <f t="array" ref="AL29">AL5</f>
        <v>Selección</v>
      </c>
      <c r="AM29" t="str" s="130" cm="1">
        <f t="array" ref="AM29">AM5</f>
        <v>Pts</v>
      </c>
      <c r="AN29" t="str" s="130" cm="1">
        <f t="array" ref="AN29">AN5</f>
        <v>J</v>
      </c>
      <c r="AO29" t="str" s="130" cm="1">
        <f t="array" ref="AO29">AO5</f>
        <v>G</v>
      </c>
      <c r="AP29" t="str" s="130" cm="1">
        <f t="array" ref="AP29">AP5</f>
        <v>E</v>
      </c>
      <c r="AQ29" t="str" s="130" cm="1">
        <f t="array" ref="AQ29">AQ5</f>
        <v>P</v>
      </c>
      <c r="AR29" t="str" s="130" cm="1">
        <f t="array" ref="AR29">AR5</f>
        <v>GF</v>
      </c>
      <c r="AS29" t="str" s="130" cm="1">
        <f t="array" ref="AS29">AS5</f>
        <v>GC</v>
      </c>
      <c r="AT29" t="str" s="215" cm="1">
        <f t="array" ref="AT29">AT5</f>
        <v>DG</v>
      </c>
      <c r="AU29" s="216" cm="1">
        <f t="array" ref="AU29">COUNTIF(AU30:AU33,"&gt;1")</f>
        <v>4</v>
      </c>
      <c r="AV29" s="135"/>
      <c r="AW29" s="217"/>
      <c r="AX29" s="218"/>
      <c r="AY29" t="str" s="137" cm="1">
        <f t="array" ref="AY29">AL29</f>
        <v>Selección</v>
      </c>
      <c r="AZ29" t="s" s="138">
        <v>70</v>
      </c>
      <c r="BA29" s="139"/>
      <c r="BB29" s="87"/>
      <c r="BC29" t="s" s="125">
        <v>269</v>
      </c>
      <c r="BD29" t="s" s="125">
        <v>287</v>
      </c>
      <c r="BE29" s="154" cm="1">
        <f t="array" ref="BE29">BG29*3+BH29+IF($AZ$3="No",0,INDEX($AZ$6:$AZ$97,MATCH(BD29,$AY$6:$AY$97,0)))</f>
        <v>0</v>
      </c>
      <c r="BF29" s="154" cm="1">
        <f t="array" ref="BF29">BG29+BH29+BI29</f>
        <v>3</v>
      </c>
      <c r="BG29" s="154" cm="1">
        <f t="array" ref="BG29">_xlfn.COUNTIFS($AA$4:$AA$97,BD29,$D$4:$D$97,"Local")+_xlfn.COUNTIFS($AF$4:$AF$97,BD29,$D$4:$D$97,"Visitante")</f>
        <v>0</v>
      </c>
      <c r="BH29" s="154" cm="1">
        <f t="array" ref="BH29">_xlfn.COUNTIFS($AA$4:$AA$97,BD29,$D$4:$D$97,"Empate")+_xlfn.COUNTIFS($AF$4:$AF$97,BD29,$D$4:$D$97,"Empate")</f>
        <v>0</v>
      </c>
      <c r="BI29" s="154" cm="1">
        <f t="array" ref="BI29">_xlfn.COUNTIFS($AF$4:$AF$97,BD29,$D$4:$D$97,"Local")+_xlfn.COUNTIFS($AA$4:$AA$97,BD29,$D$4:$D$97,"Visitante")</f>
        <v>3</v>
      </c>
      <c r="BJ29" s="154" cm="1">
        <f t="array" ref="BJ29">_xlfn.SUMIFS($AC$4:$AC$97,$AA$4:$AA$97,BD29,$D$4:$D$97,"&lt;&gt;"&amp;"Pendiente",$AC$4:$AC$97,"&lt;&gt;"&amp;"",$AD$4:$AD$97,"&lt;&gt;"&amp;"")+_xlfn.SUMIFS($AD$4:$AD$97,$AF$4:$AF$97,BD29,$D$4:$D$97,"&lt;&gt;"&amp;"Pendiente",$AC$4:$AC$97,"&lt;&gt;"&amp;"",$AD$4:$AD$97,"&lt;&gt;"&amp;"")</f>
        <v>1</v>
      </c>
      <c r="BK29" s="154" cm="1">
        <f t="array" ref="BK29">_xlfn.SUMIFS($AC$4:$AC$97,$AF$4:$AF$97,BD29,$D$4:$D$97,"&lt;&gt;"&amp;"Pendiente",$AC$4:$AC$97,"&lt;&gt;"&amp;"",$AD$4:$AD$97,"&lt;&gt;"&amp;"")+_xlfn.SUMIFS($AD$4:$AD$97,$AA$4:$AA$97,BD29,$D$4:$D$97,"&lt;&gt;"&amp;"Pendiente",$AC$4:$AC$97,"&lt;&gt;"&amp;"",$AD$4:$AD$97,"&lt;&gt;"&amp;"")</f>
        <v>7</v>
      </c>
      <c r="BL29" s="154" cm="1">
        <f t="array" ref="BL29">BJ29-BK29</f>
        <v>-6</v>
      </c>
      <c r="BM29" t="str" s="140" cm="1">
        <f t="array" ref="BM29">DD29&amp;BC29</f>
        <v>4F</v>
      </c>
      <c r="BN29" t="str" s="140" cm="1">
        <f t="array" ref="BN29">DH29&amp;BC29</f>
        <v>4F</v>
      </c>
      <c r="BO29" s="154" cm="1">
        <f t="array" ref="BO29">IF(AND($AJ$99=144,BF29&gt;=1),1,0)</f>
        <v>0</v>
      </c>
      <c r="BP29" s="154">
        <v>1</v>
      </c>
      <c r="BQ29" t="s" s="125">
        <v>135</v>
      </c>
      <c r="BR29" s="154" cm="1">
        <f t="array" ref="BR29">IF($BQ29="-","-",BE29)</f>
        <v>0</v>
      </c>
      <c r="BS29" s="154">
        <v>1</v>
      </c>
      <c r="BT29" t="s" s="125">
        <v>135</v>
      </c>
      <c r="BU29" s="154" cm="1">
        <f t="array" ref="BU29">IF($BT29="-","-",_xlfn.COUNTIFS($AA$4:$AA$97,$BD29,$D$4:$D$97,"Local",$F$4:$F$97,$BT29)+_xlfn.COUNTIFS($AF$4:$AF$97,$BD29,$D$4:$D$97,"Visitante",$E$4:$E$97,$BT29))</f>
        <v>0</v>
      </c>
      <c r="BV29" s="154" cm="1">
        <f t="array" ref="BV29">IF($BT29="-","-",_xlfn.COUNTIFS($AA$4:$AA$97,$BD29,$D$4:$D$97,"Empate",$F$4:$F$97,$BT29)+_xlfn.COUNTIFS($AF$4:$AF$97,$BD29,$D$4:$D$97,"Empate",$E$4:$E$97,$BT29))</f>
        <v>0</v>
      </c>
      <c r="BW29" s="154" cm="1">
        <f t="array" ref="BW29">IF($BT29="-","-",_xlfn.COUNTIFS($AA$4:$AA$97,$BD29,$D$4:$D$97,"Visitante",$F$4:$F$97,$BT29)+_xlfn.COUNTIFS($AF$4:$AF$97,$BD29,$D$4:$D$97,"Local",$E$4:$E$97,$BT29))</f>
        <v>3</v>
      </c>
      <c r="BX29" s="154" cm="1">
        <f t="array" ref="BX29">IF($BT29="-","-",BU29*3+BV29)</f>
        <v>0</v>
      </c>
      <c r="BY29" s="154">
        <v>1</v>
      </c>
      <c r="BZ29" t="s" s="125">
        <v>135</v>
      </c>
      <c r="CA29" s="154" cm="1">
        <f t="array" ref="CA29">IF($BZ29="-","-",_xlfn.SUMIFS($AC$4:$AC$97,$AA$4:$AA$97,$BD29,$I$4:$I$97,$BZ29)+_xlfn.SUMIFS($AD$4:$AD$97,$AF$4:$AF$97,$BD29,$H$4:$H$97,$BZ29))</f>
        <v>1</v>
      </c>
      <c r="CB29" s="154" cm="1">
        <f t="array" ref="CB29">IF($BZ29="-","-",_xlfn.SUMIFS($AD$4:$AD$97,$AA$4:$AA$97,$BD29,$I$4:$I$97,$BZ29)+_xlfn.SUMIFS($AC$4:$AC$97,$AF$4:$AF$97,$BD29,$H$4:$H$97,$BZ29))</f>
        <v>7</v>
      </c>
      <c r="CC29" s="154" cm="1">
        <f t="array" ref="CC29">IF($BZ29="-","-",CA29-CB29)</f>
        <v>-6</v>
      </c>
      <c r="CD29" s="154">
        <v>1</v>
      </c>
      <c r="CE29" t="s" s="125">
        <v>135</v>
      </c>
      <c r="CF29" s="154" cm="1">
        <f t="array" ref="CF29">IF($CE29="-","-",_xlfn.SUMIFS($AC$4:$AC$97,$AA$4:$AA$97,$BD29,$L$4:$L$97,$CE29)+_xlfn.SUMIFS($AD$4:$AD$97,$AF$4:$AF$97,$BD29,$K$4:$K$97,$CE29))</f>
        <v>1</v>
      </c>
      <c r="CG29" s="154">
        <v>1</v>
      </c>
      <c r="CH29" t="s" s="125">
        <v>135</v>
      </c>
      <c r="CI29" s="154" cm="1">
        <f t="array" ref="CI29">IF($CH29="-","-",_xlfn.COUNTIFS($AA$4:$AA$97,$BD29,$D$4:$D$97,"Local",$O$4:$O$97,$CH29)+_xlfn.COUNTIFS($AF$4:$AF$97,$BD29,$D$4:$D$97,"Visitante",$N$4:$N$97,$CH29))</f>
        <v>0</v>
      </c>
      <c r="CJ29" s="154" cm="1">
        <f t="array" ref="CJ29">IF($CH29="-","-",_xlfn.COUNTIFS($AA$4:$AA$97,$BD29,$D$4:$D$97,"Empate",$O$4:$O$97,$CH29)+_xlfn.COUNTIFS($AF$4:$AF$97,$BD29,$D$4:$D$97,"Empate",$N$4:$N$97,$CH29))</f>
        <v>0</v>
      </c>
      <c r="CK29" s="154" cm="1">
        <f t="array" ref="CK29">IF($CH29="-","-",_xlfn.COUNTIFS($AA$4:$AA$97,$BD29,$D$4:$D$97,"Visitante",$O$4:$O$97,$CH29)+_xlfn.COUNTIFS($AF$4:$AF$97,$BD29,$D$4:$D$97,"Local",$N$4:$N$97,$CH29))</f>
        <v>3</v>
      </c>
      <c r="CL29" s="154" cm="1">
        <f t="array" ref="CL29">IF($CH29="-","-",CI29*3+CJ29)</f>
        <v>0</v>
      </c>
      <c r="CM29" s="154">
        <v>1</v>
      </c>
      <c r="CN29" t="s" s="125">
        <v>135</v>
      </c>
      <c r="CO29" s="154" cm="1">
        <f t="array" ref="CO29">IF($CN29="-","-",_xlfn.SUMIFS($AC$4:$AC$97,$AA$4:$AA$97,$BD29,$R$4:$R$97,$CN29)+_xlfn.SUMIFS($AD$4:$AD$97,$AF$4:$AF$97,$BD29,$Q$4:$Q$97,$CN29))</f>
        <v>1</v>
      </c>
      <c r="CP29" s="154" cm="1">
        <f t="array" ref="CP29">IF($CN29="-","-",_xlfn.SUMIFS($AD$4:$AD$97,$AA$4:$AA$97,$BD29,$R$4:$R$97,$CN29)+_xlfn.SUMIFS($AC$4:$AC$97,$AF$4:$AF$97,$BD29,$Q$4:$Q$97,$CN29))</f>
        <v>7</v>
      </c>
      <c r="CQ29" s="154" cm="1">
        <f t="array" ref="CQ29">IF($CN29="-","-",CO29-CP29)</f>
        <v>-6</v>
      </c>
      <c r="CR29" s="154">
        <v>1</v>
      </c>
      <c r="CS29" t="s" s="125">
        <v>135</v>
      </c>
      <c r="CT29" s="154" cm="1">
        <f t="array" ref="CT29">IF($CS29="-","-",_xlfn.SUMIFS($AC$4:$AC$97,$AA$4:$AA$97,$BD29,$U$4:$U$97,$CS29)+_xlfn.SUMIFS($AD$4:$AD$97,$AF$4:$AF$97,$BD29,$T$4:$T$97,$CS29))</f>
        <v>1</v>
      </c>
      <c r="CU29" s="154">
        <v>1</v>
      </c>
      <c r="CV29" t="s" s="125">
        <v>135</v>
      </c>
      <c r="CW29" s="154" cm="1">
        <f t="array" ref="CW29">IF(CV29="-","-",BL29)</f>
        <v>-6</v>
      </c>
      <c r="CX29" s="154">
        <v>1</v>
      </c>
      <c r="CY29" t="s" s="125">
        <v>135</v>
      </c>
      <c r="CZ29" s="154" cm="1">
        <f t="array" ref="CZ29">IF(CY29="-","-",BJ29)</f>
        <v>1</v>
      </c>
      <c r="DA29" s="154">
        <v>1</v>
      </c>
      <c r="DB29" t="s" s="125">
        <v>135</v>
      </c>
      <c r="DC29" s="154">
        <v>4</v>
      </c>
      <c r="DD29" s="154">
        <v>4</v>
      </c>
      <c r="DE29" s="140"/>
      <c r="DF29" s="154" cm="1">
        <f t="array" ref="DF29">IF(OR(INDEX($AW$6:$AW$97,MATCH($BD29,$AV$6:$AV$97,0))="",DB29="-"),DD29,INDEX($AW$6:$AW$97,MATCH($BD29,$AV$6:$AV$97,0))+DD29/1000)</f>
        <v>4</v>
      </c>
      <c r="DG29" s="154">
        <v>3</v>
      </c>
      <c r="DH29" s="154">
        <v>4</v>
      </c>
      <c r="DI29" s="140"/>
      <c r="DJ29" s="154" cm="1">
        <f t="array" ref="DJ29">INDEX($DA$6:$DA$53,MATCH($DQ29,$BD$6:$BD$53,0))</f>
        <v>1</v>
      </c>
      <c r="DK29" s="154" cm="1">
        <f t="array" ref="DK29">SUMIF($BC$6:$BC$53,BC29,$BF$6:$BF$53)</f>
        <v>12</v>
      </c>
      <c r="DL29" s="154" cm="1">
        <f t="array" ref="DL29">IF(OR(DK29=12,$AJ$99=144),_xlfn.COUNTIFS($DJ$6:$DJ$53,DJ29,$BC$6:$BC$53,BC29),1)</f>
        <v>4</v>
      </c>
      <c r="DM29" t="str" s="140" cm="1">
        <f t="array" ref="DM29">DJ29&amp;"."&amp;DL29</f>
        <v>1.4</v>
      </c>
      <c r="DN29" s="154">
        <v>1</v>
      </c>
      <c r="DO29" s="140"/>
      <c r="DP29" t="s" s="125">
        <v>289</v>
      </c>
      <c r="DQ29" t="str" s="140" cm="1">
        <f t="array" ref="DQ29">INDEX($BD$6:$BD$53,MATCH(DP29,$BM$6:$BM$53,0))</f>
        <v>Túnez</v>
      </c>
      <c r="DR29" s="87"/>
      <c r="DS29" s="87"/>
      <c r="DT29" s="88"/>
      <c r="DU29" s="12"/>
    </row>
    <row r="30" ht="16" customHeight="1">
      <c r="A30" t="s" s="89">
        <v>228</v>
      </c>
      <c r="B30" s="78"/>
      <c r="C30" s="78"/>
      <c r="D30" t="str" s="78" cm="1">
        <f t="array" ref="D30">IF(OR(AC30="",AD30=""),"Pendiente",IF(AC30&gt;AD30,"Local",IF(AC30&lt;AD30,"Visitante","Empate")))</f>
        <v>Local</v>
      </c>
      <c r="E30" t="str" s="78" cm="1">
        <f t="array" ref="E30">IF(D30="Pendiente","-",INDEX($BT$6:$BT$53,MATCH($AA30,$BD$6:$BD$53,0)))</f>
        <v>P.1 (4)</v>
      </c>
      <c r="F30" t="str" s="78" cm="1">
        <f t="array" ref="F30">IF(D30="Pendiente","-",INDEX($BT$6:$BT$53,MATCH($AF30,$BD$6:$BD$53,0)))</f>
        <v>P.1 (4)</v>
      </c>
      <c r="G30" s="78"/>
      <c r="H30" t="str" s="78" cm="1">
        <f t="array" ref="H30">IF(D30="Pendiente","-",INDEX($BZ$6:$BZ$53,MATCH($AA30,$BD$6:$BD$53,0)))</f>
        <v>P.1 (4)</v>
      </c>
      <c r="I30" t="str" s="78" cm="1">
        <f t="array" ref="I30">IF(D30="Pendiente","-",INDEX($BZ$6:$BZ$53,MATCH($AF30,$BD$6:$BD$53,0)))</f>
        <v>P.1 (4)</v>
      </c>
      <c r="J30" s="78"/>
      <c r="K30" t="str" s="78" cm="1">
        <f t="array" ref="K30">IF(D30="Pendiente","-",INDEX($CE$6:$CE$53,MATCH($AA30,$BD$6:$BD$53,0)))</f>
        <v>P.1 (4)</v>
      </c>
      <c r="L30" t="str" s="78" cm="1">
        <f t="array" ref="L30">IF(D30="Pendiente","-",INDEX($CE$6:$CE$53,MATCH($AF30,$BD$6:$BD$53,0)))</f>
        <v>P.1 (4)</v>
      </c>
      <c r="M30" s="78"/>
      <c r="N30" t="str" s="78" cm="1">
        <f t="array" ref="N30">IF(D30="Pendiente","-",INDEX($CH$6:$CH$53,MATCH($AA30,$BD$6:$BD$53,0)))</f>
        <v>P.1 (4)</v>
      </c>
      <c r="O30" t="str" s="78" cm="1">
        <f t="array" ref="O30">IF(D30="Pendiente","-",INDEX($CH$6:$CH$53,MATCH($AF30,$BD$6:$BD$53,0)))</f>
        <v>P.1 (4)</v>
      </c>
      <c r="P30" s="78"/>
      <c r="Q30" t="str" s="78" cm="1">
        <f t="array" ref="Q30">IF(D30="Pendiente","-",INDEX($CN$6:$CN$53,MATCH($AA30,$BD$6:$BD$53,0)))</f>
        <v>P.1 (4)</v>
      </c>
      <c r="R30" t="str" s="78" cm="1">
        <f t="array" ref="R30">IF(D30="Pendiente","-",INDEX($CN$6:$CN$53,MATCH($AF30,$BD$6:$BD$53,0)))</f>
        <v>P.1 (4)</v>
      </c>
      <c r="S30" s="78"/>
      <c r="T30" t="str" s="78" cm="1">
        <f t="array" ref="T30">IF(D30="Pendiente","-",INDEX($CS$6:$CS$53,MATCH($AA30,$BD$6:$BD$53,0)))</f>
        <v>P.1 (4)</v>
      </c>
      <c r="U30" t="str" s="78" cm="1">
        <f t="array" ref="U30">IF(D30="Pendiente","-",INDEX($CS$6:$CS$53,MATCH($AF30,$BD$6:$BD$53,0)))</f>
        <v>P.1 (4)</v>
      </c>
      <c r="V30" s="90"/>
      <c r="W30" s="141"/>
      <c r="X30" s="107">
        <v>46192.625</v>
      </c>
      <c r="Y30" s="108">
        <v>46192.625</v>
      </c>
      <c r="Z30" t="str" s="127" cm="1">
        <f t="array" ref="Z30">$Z$6</f>
        <v>J2</v>
      </c>
      <c r="AA30" t="str" s="110" cm="1">
        <f t="array" ref="AA30">A29</f>
        <v>Estados Unidos</v>
      </c>
      <c r="AB30" s="111"/>
      <c r="AC30" s="128">
        <v>2</v>
      </c>
      <c r="AD30" s="128">
        <v>1</v>
      </c>
      <c r="AE30" s="113"/>
      <c r="AF30" t="str" s="114" cm="1">
        <f t="array" ref="AF30">A31</f>
        <v>Australia</v>
      </c>
      <c r="AG30" s="115" cm="1">
        <f t="array" ref="AG30">IF(NOT(OR(ISBLANK(AC30),ISBLANK(AD30))),1,0)</f>
        <v>1</v>
      </c>
      <c r="AH30" s="116">
        <v>32</v>
      </c>
      <c r="AI30" t="str" s="117" cm="1">
        <f t="array" ref="AI30">AJ30&amp;$B$28</f>
        <v>1D</v>
      </c>
      <c r="AJ30" s="142">
        <v>1</v>
      </c>
      <c r="AK30" s="221"/>
      <c r="AL30" t="str" s="144" cm="1">
        <f t="array" ref="AL30">_xlfn.IFERROR(INDEX($BD$6:$BD$53,MATCH(AI30,$BN$6:$BN$53,0)),"")</f>
        <v>Estados Unidos</v>
      </c>
      <c r="AM30" s="145" cm="1">
        <f t="array" ref="AM30">INDEX($BE$6:$BN$53,MATCH($AL30,$BD$6:$BD$53,0),MATCH(AM$5,$BE$5:$BN$5,0))</f>
        <v>6</v>
      </c>
      <c r="AN30" s="146" cm="1">
        <f t="array" ref="AN30">INDEX($BE$6:$BN$53,MATCH($AL30,$BD$6:$BD$53,0),MATCH(AN$5,$BE$5:$BN$5,0))</f>
        <v>3</v>
      </c>
      <c r="AO30" s="146" cm="1">
        <f t="array" ref="AO30">INDEX($BE$6:$BN$53,MATCH($AL30,$BD$6:$BD$53,0),MATCH(AO$5,$BE$5:$BN$5,0))</f>
        <v>2</v>
      </c>
      <c r="AP30" s="146" cm="1">
        <f t="array" ref="AP30">INDEX($BE$6:$BN$53,MATCH($AL30,$BD$6:$BD$53,0),MATCH(AP$5,$BE$5:$BN$5,0))</f>
        <v>0</v>
      </c>
      <c r="AQ30" s="146" cm="1">
        <f t="array" ref="AQ30">INDEX($BE$6:$BN$53,MATCH($AL30,$BD$6:$BD$53,0),MATCH(AQ$5,$BE$5:$BN$5,0))</f>
        <v>1</v>
      </c>
      <c r="AR30" s="146" cm="1">
        <f t="array" ref="AR30">INDEX($BE$6:$BN$53,MATCH($AL30,$BD$6:$BD$53,0),MATCH(AR$5,$BE$5:$BN$5,0))</f>
        <v>3</v>
      </c>
      <c r="AS30" s="146" cm="1">
        <f t="array" ref="AS30">INDEX($BE$6:$BN$53,MATCH($AL30,$BD$6:$BD$53,0),MATCH(AS$5,$BE$5:$BN$5,0))</f>
        <v>2</v>
      </c>
      <c r="AT30" s="147" cm="1">
        <f t="array" ref="AT30">INDEX($BE$6:$BN$53,MATCH($AL30,$BD$6:$BD$53,0),MATCH(AT$5,$BE$5:$BN$5,0))</f>
        <v>1</v>
      </c>
      <c r="AU30" s="148" cm="1">
        <f t="array" ref="AU30">INDEX($DL$6:$DL$53,MATCH(AI30,$DP$6:$DP$53,0))</f>
        <v>4</v>
      </c>
      <c r="AV30" t="str" s="149" cm="1">
        <f t="array" ref="AV30">INDEX($BD$6:$BD$53,MATCH(AI30,$BM$6:$BM$53,0))</f>
        <v>Estados Unidos</v>
      </c>
      <c r="AW30" s="150"/>
      <c r="AX30" s="151"/>
      <c r="AY30" t="str" s="152" cm="1">
        <f t="array" ref="AY30">A29</f>
        <v>Estados Unidos</v>
      </c>
      <c r="AZ30" s="153"/>
      <c r="BA30" s="139"/>
      <c r="BB30" s="87"/>
      <c r="BC30" t="s" s="125">
        <v>63</v>
      </c>
      <c r="BD30" t="s" s="125">
        <v>293</v>
      </c>
      <c r="BE30" s="154" cm="1">
        <f t="array" ref="BE30">BG30*3+BH30+IF($AZ$3="No",0,INDEX($AZ$6:$AZ$97,MATCH(BD30,$AY$6:$AY$97,0)))</f>
        <v>9</v>
      </c>
      <c r="BF30" s="154" cm="1">
        <f t="array" ref="BF30">BG30+BH30+BI30</f>
        <v>3</v>
      </c>
      <c r="BG30" s="154" cm="1">
        <f t="array" ref="BG30">_xlfn.COUNTIFS($AA$4:$AA$97,BD30,$D$4:$D$97,"Local")+_xlfn.COUNTIFS($AF$4:$AF$97,BD30,$D$4:$D$97,"Visitante")</f>
        <v>3</v>
      </c>
      <c r="BH30" s="154" cm="1">
        <f t="array" ref="BH30">_xlfn.COUNTIFS($AA$4:$AA$97,BD30,$D$4:$D$97,"Empate")+_xlfn.COUNTIFS($AF$4:$AF$97,BD30,$D$4:$D$97,"Empate")</f>
        <v>0</v>
      </c>
      <c r="BI30" s="154" cm="1">
        <f t="array" ref="BI30">_xlfn.COUNTIFS($AF$4:$AF$97,BD30,$D$4:$D$97,"Local")+_xlfn.COUNTIFS($AA$4:$AA$97,BD30,$D$4:$D$97,"Visitante")</f>
        <v>0</v>
      </c>
      <c r="BJ30" s="154" cm="1">
        <f t="array" ref="BJ30">_xlfn.SUMIFS($AC$4:$AC$97,$AA$4:$AA$97,BD30,$D$4:$D$97,"&lt;&gt;"&amp;"Pendiente",$AC$4:$AC$97,"&lt;&gt;"&amp;"",$AD$4:$AD$97,"&lt;&gt;"&amp;"")+_xlfn.SUMIFS($AD$4:$AD$97,$AF$4:$AF$97,BD30,$D$4:$D$97,"&lt;&gt;"&amp;"Pendiente",$AC$4:$AC$97,"&lt;&gt;"&amp;"",$AD$4:$AD$97,"&lt;&gt;"&amp;"")</f>
        <v>6</v>
      </c>
      <c r="BK30" s="154" cm="1">
        <f t="array" ref="BK30">_xlfn.SUMIFS($AC$4:$AC$97,$AF$4:$AF$97,BD30,$D$4:$D$97,"&lt;&gt;"&amp;"Pendiente",$AC$4:$AC$97,"&lt;&gt;"&amp;"",$AD$4:$AD$97,"&lt;&gt;"&amp;"")+_xlfn.SUMIFS($AD$4:$AD$97,$AA$4:$AA$97,BD30,$D$4:$D$97,"&lt;&gt;"&amp;"Pendiente",$AC$4:$AC$97,"&lt;&gt;"&amp;"",$AD$4:$AD$97,"&lt;&gt;"&amp;"")</f>
        <v>2</v>
      </c>
      <c r="BL30" s="154" cm="1">
        <f t="array" ref="BL30">BJ30-BK30</f>
        <v>4</v>
      </c>
      <c r="BM30" t="str" s="140" cm="1">
        <f t="array" ref="BM30">DD30&amp;BC30</f>
        <v>1G</v>
      </c>
      <c r="BN30" t="str" s="140" cm="1">
        <f t="array" ref="BN30">DH30&amp;BC30</f>
        <v>1G</v>
      </c>
      <c r="BO30" s="154" cm="1">
        <f t="array" ref="BO30">IF(AND($AJ$99=144,BF30&gt;=1),1,0)</f>
        <v>0</v>
      </c>
      <c r="BP30" s="154">
        <v>1</v>
      </c>
      <c r="BQ30" t="s" s="125">
        <v>135</v>
      </c>
      <c r="BR30" s="154" cm="1">
        <f t="array" ref="BR30">IF($BQ30="-","-",BE30)</f>
        <v>9</v>
      </c>
      <c r="BS30" s="154">
        <v>1</v>
      </c>
      <c r="BT30" t="s" s="125">
        <v>135</v>
      </c>
      <c r="BU30" s="154" cm="1">
        <f t="array" ref="BU30">IF($BT30="-","-",_xlfn.COUNTIFS($AA$4:$AA$97,$BD30,$D$4:$D$97,"Local",$F$4:$F$97,$BT30)+_xlfn.COUNTIFS($AF$4:$AF$97,$BD30,$D$4:$D$97,"Visitante",$E$4:$E$97,$BT30))</f>
        <v>3</v>
      </c>
      <c r="BV30" s="154" cm="1">
        <f t="array" ref="BV30">IF($BT30="-","-",_xlfn.COUNTIFS($AA$4:$AA$97,$BD30,$D$4:$D$97,"Empate",$F$4:$F$97,$BT30)+_xlfn.COUNTIFS($AF$4:$AF$97,$BD30,$D$4:$D$97,"Empate",$E$4:$E$97,$BT30))</f>
        <v>0</v>
      </c>
      <c r="BW30" s="154" cm="1">
        <f t="array" ref="BW30">IF($BT30="-","-",_xlfn.COUNTIFS($AA$4:$AA$97,$BD30,$D$4:$D$97,"Visitante",$F$4:$F$97,$BT30)+_xlfn.COUNTIFS($AF$4:$AF$97,$BD30,$D$4:$D$97,"Local",$E$4:$E$97,$BT30))</f>
        <v>0</v>
      </c>
      <c r="BX30" s="154" cm="1">
        <f t="array" ref="BX30">IF($BT30="-","-",BU30*3+BV30)</f>
        <v>9</v>
      </c>
      <c r="BY30" s="154">
        <v>1</v>
      </c>
      <c r="BZ30" t="s" s="125">
        <v>135</v>
      </c>
      <c r="CA30" s="154" cm="1">
        <f t="array" ref="CA30">IF($BZ30="-","-",_xlfn.SUMIFS($AC$4:$AC$97,$AA$4:$AA$97,$BD30,$I$4:$I$97,$BZ30)+_xlfn.SUMIFS($AD$4:$AD$97,$AF$4:$AF$97,$BD30,$H$4:$H$97,$BZ30))</f>
        <v>6</v>
      </c>
      <c r="CB30" s="154" cm="1">
        <f t="array" ref="CB30">IF($BZ30="-","-",_xlfn.SUMIFS($AD$4:$AD$97,$AA$4:$AA$97,$BD30,$I$4:$I$97,$BZ30)+_xlfn.SUMIFS($AC$4:$AC$97,$AF$4:$AF$97,$BD30,$H$4:$H$97,$BZ30))</f>
        <v>2</v>
      </c>
      <c r="CC30" s="154" cm="1">
        <f t="array" ref="CC30">IF($BZ30="-","-",CA30-CB30)</f>
        <v>4</v>
      </c>
      <c r="CD30" s="154">
        <v>1</v>
      </c>
      <c r="CE30" t="s" s="125">
        <v>135</v>
      </c>
      <c r="CF30" s="154" cm="1">
        <f t="array" ref="CF30">IF($CE30="-","-",_xlfn.SUMIFS($AC$4:$AC$97,$AA$4:$AA$97,$BD30,$L$4:$L$97,$CE30)+_xlfn.SUMIFS($AD$4:$AD$97,$AF$4:$AF$97,$BD30,$K$4:$K$97,$CE30))</f>
        <v>6</v>
      </c>
      <c r="CG30" s="154">
        <v>1</v>
      </c>
      <c r="CH30" t="s" s="125">
        <v>135</v>
      </c>
      <c r="CI30" s="154" cm="1">
        <f t="array" ref="CI30">IF($CH30="-","-",_xlfn.COUNTIFS($AA$4:$AA$97,$BD30,$D$4:$D$97,"Local",$O$4:$O$97,$CH30)+_xlfn.COUNTIFS($AF$4:$AF$97,$BD30,$D$4:$D$97,"Visitante",$N$4:$N$97,$CH30))</f>
        <v>3</v>
      </c>
      <c r="CJ30" s="154" cm="1">
        <f t="array" ref="CJ30">IF($CH30="-","-",_xlfn.COUNTIFS($AA$4:$AA$97,$BD30,$D$4:$D$97,"Empate",$O$4:$O$97,$CH30)+_xlfn.COUNTIFS($AF$4:$AF$97,$BD30,$D$4:$D$97,"Empate",$N$4:$N$97,$CH30))</f>
        <v>0</v>
      </c>
      <c r="CK30" s="154" cm="1">
        <f t="array" ref="CK30">IF($CH30="-","-",_xlfn.COUNTIFS($AA$4:$AA$97,$BD30,$D$4:$D$97,"Visitante",$O$4:$O$97,$CH30)+_xlfn.COUNTIFS($AF$4:$AF$97,$BD30,$D$4:$D$97,"Local",$N$4:$N$97,$CH30))</f>
        <v>0</v>
      </c>
      <c r="CL30" s="154" cm="1">
        <f t="array" ref="CL30">IF($CH30="-","-",CI30*3+CJ30)</f>
        <v>9</v>
      </c>
      <c r="CM30" s="154">
        <v>1</v>
      </c>
      <c r="CN30" t="s" s="125">
        <v>135</v>
      </c>
      <c r="CO30" s="154" cm="1">
        <f t="array" ref="CO30">IF($CN30="-","-",_xlfn.SUMIFS($AC$4:$AC$97,$AA$4:$AA$97,$BD30,$R$4:$R$97,$CN30)+_xlfn.SUMIFS($AD$4:$AD$97,$AF$4:$AF$97,$BD30,$Q$4:$Q$97,$CN30))</f>
        <v>6</v>
      </c>
      <c r="CP30" s="154" cm="1">
        <f t="array" ref="CP30">IF($CN30="-","-",_xlfn.SUMIFS($AD$4:$AD$97,$AA$4:$AA$97,$BD30,$R$4:$R$97,$CN30)+_xlfn.SUMIFS($AC$4:$AC$97,$AF$4:$AF$97,$BD30,$Q$4:$Q$97,$CN30))</f>
        <v>2</v>
      </c>
      <c r="CQ30" s="154" cm="1">
        <f t="array" ref="CQ30">IF($CN30="-","-",CO30-CP30)</f>
        <v>4</v>
      </c>
      <c r="CR30" s="154">
        <v>1</v>
      </c>
      <c r="CS30" t="s" s="125">
        <v>135</v>
      </c>
      <c r="CT30" s="154" cm="1">
        <f t="array" ref="CT30">IF($CS30="-","-",_xlfn.SUMIFS($AC$4:$AC$97,$AA$4:$AA$97,$BD30,$U$4:$U$97,$CS30)+_xlfn.SUMIFS($AD$4:$AD$97,$AF$4:$AF$97,$BD30,$T$4:$T$97,$CS30))</f>
        <v>6</v>
      </c>
      <c r="CU30" s="154">
        <v>1</v>
      </c>
      <c r="CV30" t="s" s="125">
        <v>135</v>
      </c>
      <c r="CW30" s="154" cm="1">
        <f t="array" ref="CW30">IF(CV30="-","-",BL30)</f>
        <v>4</v>
      </c>
      <c r="CX30" s="154">
        <v>1</v>
      </c>
      <c r="CY30" t="s" s="125">
        <v>135</v>
      </c>
      <c r="CZ30" s="154" cm="1">
        <f t="array" ref="CZ30">IF(CY30="-","-",BJ30)</f>
        <v>6</v>
      </c>
      <c r="DA30" s="154">
        <v>1</v>
      </c>
      <c r="DB30" t="s" s="125">
        <v>135</v>
      </c>
      <c r="DC30" s="154">
        <v>1</v>
      </c>
      <c r="DD30" s="154">
        <v>1</v>
      </c>
      <c r="DE30" s="140"/>
      <c r="DF30" s="154" cm="1">
        <f t="array" ref="DF30">IF(OR(INDEX($AW$6:$AW$97,MATCH($BD30,$AV$6:$AV$97,0))="",DB30="-"),DD30,INDEX($AW$6:$AW$97,MATCH($BD30,$AV$6:$AV$97,0))+DD30/1000)</f>
        <v>1</v>
      </c>
      <c r="DG30" s="154">
        <v>0</v>
      </c>
      <c r="DH30" s="154">
        <v>1</v>
      </c>
      <c r="DI30" s="140"/>
      <c r="DJ30" s="154" cm="1">
        <f t="array" ref="DJ30">INDEX($DA$6:$DA$53,MATCH($DQ30,$BD$6:$BD$53,0))</f>
        <v>1</v>
      </c>
      <c r="DK30" s="154" cm="1">
        <f t="array" ref="DK30">SUMIF($BC$6:$BC$53,BC30,$BF$6:$BF$53)</f>
        <v>12</v>
      </c>
      <c r="DL30" s="154" cm="1">
        <f t="array" ref="DL30">IF(OR(DK30=12,$AJ$99=144),_xlfn.COUNTIFS($DJ$6:$DJ$53,DJ30,$BC$6:$BC$53,BC30),1)</f>
        <v>4</v>
      </c>
      <c r="DM30" t="str" s="140" cm="1">
        <f t="array" ref="DM30">DJ30&amp;"."&amp;DL30</f>
        <v>1.4</v>
      </c>
      <c r="DN30" s="154">
        <v>1</v>
      </c>
      <c r="DO30" s="140"/>
      <c r="DP30" t="s" s="125">
        <v>295</v>
      </c>
      <c r="DQ30" t="str" s="140" cm="1">
        <f t="array" ref="DQ30">INDEX($BD$6:$BD$53,MATCH(DP30,$BM$6:$BM$53,0))</f>
        <v>Bélgica</v>
      </c>
      <c r="DR30" s="87"/>
      <c r="DS30" s="87"/>
      <c r="DT30" s="88"/>
      <c r="DU30" s="12"/>
    </row>
    <row r="31" ht="16" customHeight="1">
      <c r="A31" t="s" s="89">
        <v>235</v>
      </c>
      <c r="B31" s="78"/>
      <c r="C31" s="78"/>
      <c r="D31" t="str" s="78" cm="1">
        <f t="array" ref="D31">IF(OR(AC31="",AD31=""),"Pendiente",IF(AC31&gt;AD31,"Local",IF(AC31&lt;AD31,"Visitante","Empate")))</f>
        <v>Local</v>
      </c>
      <c r="E31" t="str" s="78" cm="1">
        <f t="array" ref="E31">IF(D31="Pendiente","-",INDEX($BT$6:$BT$53,MATCH($AA31,$BD$6:$BD$53,0)))</f>
        <v>P.1 (4)</v>
      </c>
      <c r="F31" t="str" s="78" cm="1">
        <f t="array" ref="F31">IF(D31="Pendiente","-",INDEX($BT$6:$BT$53,MATCH($AF31,$BD$6:$BD$53,0)))</f>
        <v>P.1 (4)</v>
      </c>
      <c r="G31" s="78"/>
      <c r="H31" t="str" s="78" cm="1">
        <f t="array" ref="H31">IF(D31="Pendiente","-",INDEX($BZ$6:$BZ$53,MATCH($AA31,$BD$6:$BD$53,0)))</f>
        <v>P.1 (4)</v>
      </c>
      <c r="I31" t="str" s="78" cm="1">
        <f t="array" ref="I31">IF(D31="Pendiente","-",INDEX($BZ$6:$BZ$53,MATCH($AF31,$BD$6:$BD$53,0)))</f>
        <v>P.1 (4)</v>
      </c>
      <c r="J31" s="78"/>
      <c r="K31" t="str" s="78" cm="1">
        <f t="array" ref="K31">IF(D31="Pendiente","-",INDEX($CE$6:$CE$53,MATCH($AA31,$BD$6:$BD$53,0)))</f>
        <v>P.1 (4)</v>
      </c>
      <c r="L31" t="str" s="78" cm="1">
        <f t="array" ref="L31">IF(D31="Pendiente","-",INDEX($CE$6:$CE$53,MATCH($AF31,$BD$6:$BD$53,0)))</f>
        <v>P.1 (4)</v>
      </c>
      <c r="M31" s="78"/>
      <c r="N31" t="str" s="78" cm="1">
        <f t="array" ref="N31">IF(D31="Pendiente","-",INDEX($CH$6:$CH$53,MATCH($AA31,$BD$6:$BD$53,0)))</f>
        <v>P.1 (4)</v>
      </c>
      <c r="O31" t="str" s="78" cm="1">
        <f t="array" ref="O31">IF(D31="Pendiente","-",INDEX($CH$6:$CH$53,MATCH($AF31,$BD$6:$BD$53,0)))</f>
        <v>P.1 (4)</v>
      </c>
      <c r="P31" s="78"/>
      <c r="Q31" t="str" s="78" cm="1">
        <f t="array" ref="Q31">IF(D31="Pendiente","-",INDEX($CN$6:$CN$53,MATCH($AA31,$BD$6:$BD$53,0)))</f>
        <v>P.1 (4)</v>
      </c>
      <c r="R31" t="str" s="78" cm="1">
        <f t="array" ref="R31">IF(D31="Pendiente","-",INDEX($CN$6:$CN$53,MATCH($AF31,$BD$6:$BD$53,0)))</f>
        <v>P.1 (4)</v>
      </c>
      <c r="S31" s="78"/>
      <c r="T31" t="str" s="78" cm="1">
        <f t="array" ref="T31">IF(D31="Pendiente","-",INDEX($CS$6:$CS$53,MATCH($AA31,$BD$6:$BD$53,0)))</f>
        <v>P.1 (4)</v>
      </c>
      <c r="U31" t="str" s="78" cm="1">
        <f t="array" ref="U31">IF(D31="Pendiente","-",INDEX($CS$6:$CS$53,MATCH($AF31,$BD$6:$BD$53,0)))</f>
        <v>P.1 (4)</v>
      </c>
      <c r="V31" s="90"/>
      <c r="W31" s="141"/>
      <c r="X31" s="107">
        <v>46192.958333333343</v>
      </c>
      <c r="Y31" s="108">
        <v>46192.958333333343</v>
      </c>
      <c r="Z31" t="str" s="127" cm="1">
        <f t="array" ref="Z31">$Z$6</f>
        <v>J2</v>
      </c>
      <c r="AA31" t="str" s="110" cm="1">
        <f t="array" ref="AA31">A32</f>
        <v>Turquía</v>
      </c>
      <c r="AB31" s="111"/>
      <c r="AC31" s="128">
        <v>3</v>
      </c>
      <c r="AD31" s="128">
        <v>2</v>
      </c>
      <c r="AE31" s="113"/>
      <c r="AF31" t="str" s="114" cm="1">
        <f t="array" ref="AF31">A30</f>
        <v>Paraguay</v>
      </c>
      <c r="AG31" s="115" cm="1">
        <f t="array" ref="AG31">IF(NOT(OR(ISBLANK(AC31),ISBLANK(AD31))),1,0)</f>
        <v>1</v>
      </c>
      <c r="AH31" s="116">
        <v>31</v>
      </c>
      <c r="AI31" t="str" s="117" cm="1">
        <f t="array" ref="AI31">AJ31&amp;$B$28</f>
        <v>2D</v>
      </c>
      <c r="AJ31" s="155">
        <v>2</v>
      </c>
      <c r="AK31" s="225"/>
      <c r="AL31" t="str" s="157" cm="1">
        <f t="array" ref="AL31">_xlfn.IFERROR(INDEX($BD$6:$BD$53,MATCH(AI31,$BN$6:$BN$53,0)),"")</f>
        <v>Paraguay</v>
      </c>
      <c r="AM31" s="158" cm="1">
        <f t="array" ref="AM31">INDEX($BE$6:$BN$53,MATCH($AL31,$BD$6:$BD$53,0),MATCH(AM$5,$BE$5:$BN$5,0))</f>
        <v>3</v>
      </c>
      <c r="AN31" s="159" cm="1">
        <f t="array" ref="AN31">INDEX($BE$6:$BN$53,MATCH($AL31,$BD$6:$BD$53,0),MATCH(AN$5,$BE$5:$BN$5,0))</f>
        <v>3</v>
      </c>
      <c r="AO31" s="159" cm="1">
        <f t="array" ref="AO31">INDEX($BE$6:$BN$53,MATCH($AL31,$BD$6:$BD$53,0),MATCH(AO$5,$BE$5:$BN$5,0))</f>
        <v>1</v>
      </c>
      <c r="AP31" s="159" cm="1">
        <f t="array" ref="AP31">INDEX($BE$6:$BN$53,MATCH($AL31,$BD$6:$BD$53,0),MATCH(AP$5,$BE$5:$BN$5,0))</f>
        <v>0</v>
      </c>
      <c r="AQ31" s="159" cm="1">
        <f t="array" ref="AQ31">INDEX($BE$6:$BN$53,MATCH($AL31,$BD$6:$BD$53,0),MATCH(AQ$5,$BE$5:$BN$5,0))</f>
        <v>2</v>
      </c>
      <c r="AR31" s="159" cm="1">
        <f t="array" ref="AR31">INDEX($BE$6:$BN$53,MATCH($AL31,$BD$6:$BD$53,0),MATCH(AR$5,$BE$5:$BN$5,0))</f>
        <v>3</v>
      </c>
      <c r="AS31" s="159" cm="1">
        <f t="array" ref="AS31">INDEX($BE$6:$BN$53,MATCH($AL31,$BD$6:$BD$53,0),MATCH(AS$5,$BE$5:$BN$5,0))</f>
        <v>4</v>
      </c>
      <c r="AT31" s="160" cm="1">
        <f t="array" ref="AT31">INDEX($BE$6:$BN$53,MATCH($AL31,$BD$6:$BD$53,0),MATCH(AT$5,$BE$5:$BN$5,0))</f>
        <v>-1</v>
      </c>
      <c r="AU31" s="148" cm="1">
        <f t="array" ref="AU31">INDEX($DL$6:$DL$53,MATCH(AI31,$DP$6:$DP$53,0))</f>
        <v>4</v>
      </c>
      <c r="AV31" t="str" s="149" cm="1">
        <f t="array" ref="AV31">INDEX($BD$6:$BD$53,MATCH(AI31,$BM$6:$BM$53,0))</f>
        <v>Paraguay</v>
      </c>
      <c r="AW31" s="150"/>
      <c r="AX31" s="151"/>
      <c r="AY31" t="str" s="161" cm="1">
        <f t="array" ref="AY31">A30</f>
        <v>Paraguay</v>
      </c>
      <c r="AZ31" s="162"/>
      <c r="BA31" s="139"/>
      <c r="BB31" s="87"/>
      <c r="BC31" t="s" s="125">
        <v>63</v>
      </c>
      <c r="BD31" t="s" s="125">
        <v>299</v>
      </c>
      <c r="BE31" s="154" cm="1">
        <f t="array" ref="BE31">BG31*3+BH31+IF($AZ$3="No",0,INDEX($AZ$6:$AZ$97,MATCH(BD31,$AY$6:$AY$97,0)))</f>
        <v>6</v>
      </c>
      <c r="BF31" s="154" cm="1">
        <f t="array" ref="BF31">BG31+BH31+BI31</f>
        <v>3</v>
      </c>
      <c r="BG31" s="154" cm="1">
        <f t="array" ref="BG31">_xlfn.COUNTIFS($AA$4:$AA$97,BD31,$D$4:$D$97,"Local")+_xlfn.COUNTIFS($AF$4:$AF$97,BD31,$D$4:$D$97,"Visitante")</f>
        <v>2</v>
      </c>
      <c r="BH31" s="154" cm="1">
        <f t="array" ref="BH31">_xlfn.COUNTIFS($AA$4:$AA$97,BD31,$D$4:$D$97,"Empate")+_xlfn.COUNTIFS($AF$4:$AF$97,BD31,$D$4:$D$97,"Empate")</f>
        <v>0</v>
      </c>
      <c r="BI31" s="154" cm="1">
        <f t="array" ref="BI31">_xlfn.COUNTIFS($AF$4:$AF$97,BD31,$D$4:$D$97,"Local")+_xlfn.COUNTIFS($AA$4:$AA$97,BD31,$D$4:$D$97,"Visitante")</f>
        <v>1</v>
      </c>
      <c r="BJ31" s="154" cm="1">
        <f t="array" ref="BJ31">_xlfn.SUMIFS($AC$4:$AC$97,$AA$4:$AA$97,BD31,$D$4:$D$97,"&lt;&gt;"&amp;"Pendiente",$AC$4:$AC$97,"&lt;&gt;"&amp;"",$AD$4:$AD$97,"&lt;&gt;"&amp;"")+_xlfn.SUMIFS($AD$4:$AD$97,$AF$4:$AF$97,BD31,$D$4:$D$97,"&lt;&gt;"&amp;"Pendiente",$AC$4:$AC$97,"&lt;&gt;"&amp;"",$AD$4:$AD$97,"&lt;&gt;"&amp;"")</f>
        <v>3</v>
      </c>
      <c r="BK31" s="154" cm="1">
        <f t="array" ref="BK31">_xlfn.SUMIFS($AC$4:$AC$97,$AF$4:$AF$97,BD31,$D$4:$D$97,"&lt;&gt;"&amp;"Pendiente",$AC$4:$AC$97,"&lt;&gt;"&amp;"",$AD$4:$AD$97,"&lt;&gt;"&amp;"")+_xlfn.SUMIFS($AD$4:$AD$97,$AA$4:$AA$97,BD31,$D$4:$D$97,"&lt;&gt;"&amp;"Pendiente",$AC$4:$AC$97,"&lt;&gt;"&amp;"",$AD$4:$AD$97,"&lt;&gt;"&amp;"")</f>
        <v>2</v>
      </c>
      <c r="BL31" s="154" cm="1">
        <f t="array" ref="BL31">BJ31-BK31</f>
        <v>1</v>
      </c>
      <c r="BM31" t="str" s="140" cm="1">
        <f t="array" ref="BM31">DD31&amp;BC31</f>
        <v>2G</v>
      </c>
      <c r="BN31" t="str" s="140" cm="1">
        <f t="array" ref="BN31">DH31&amp;BC31</f>
        <v>2G</v>
      </c>
      <c r="BO31" s="154" cm="1">
        <f t="array" ref="BO31">IF(AND($AJ$99=144,BF31&gt;=1),1,0)</f>
        <v>0</v>
      </c>
      <c r="BP31" s="154">
        <v>1</v>
      </c>
      <c r="BQ31" t="s" s="125">
        <v>135</v>
      </c>
      <c r="BR31" s="154" cm="1">
        <f t="array" ref="BR31">IF($BQ31="-","-",BE31)</f>
        <v>6</v>
      </c>
      <c r="BS31" s="154">
        <v>1</v>
      </c>
      <c r="BT31" t="s" s="125">
        <v>135</v>
      </c>
      <c r="BU31" s="154" cm="1">
        <f t="array" ref="BU31">IF($BT31="-","-",_xlfn.COUNTIFS($AA$4:$AA$97,$BD31,$D$4:$D$97,"Local",$F$4:$F$97,$BT31)+_xlfn.COUNTIFS($AF$4:$AF$97,$BD31,$D$4:$D$97,"Visitante",$E$4:$E$97,$BT31))</f>
        <v>2</v>
      </c>
      <c r="BV31" s="154" cm="1">
        <f t="array" ref="BV31">IF($BT31="-","-",_xlfn.COUNTIFS($AA$4:$AA$97,$BD31,$D$4:$D$97,"Empate",$F$4:$F$97,$BT31)+_xlfn.COUNTIFS($AF$4:$AF$97,$BD31,$D$4:$D$97,"Empate",$E$4:$E$97,$BT31))</f>
        <v>0</v>
      </c>
      <c r="BW31" s="154" cm="1">
        <f t="array" ref="BW31">IF($BT31="-","-",_xlfn.COUNTIFS($AA$4:$AA$97,$BD31,$D$4:$D$97,"Visitante",$F$4:$F$97,$BT31)+_xlfn.COUNTIFS($AF$4:$AF$97,$BD31,$D$4:$D$97,"Local",$E$4:$E$97,$BT31))</f>
        <v>1</v>
      </c>
      <c r="BX31" s="154" cm="1">
        <f t="array" ref="BX31">IF($BT31="-","-",BU31*3+BV31)</f>
        <v>6</v>
      </c>
      <c r="BY31" s="154">
        <v>1</v>
      </c>
      <c r="BZ31" t="s" s="125">
        <v>135</v>
      </c>
      <c r="CA31" s="154" cm="1">
        <f t="array" ref="CA31">IF($BZ31="-","-",_xlfn.SUMIFS($AC$4:$AC$97,$AA$4:$AA$97,$BD31,$I$4:$I$97,$BZ31)+_xlfn.SUMIFS($AD$4:$AD$97,$AF$4:$AF$97,$BD31,$H$4:$H$97,$BZ31))</f>
        <v>3</v>
      </c>
      <c r="CB31" s="154" cm="1">
        <f t="array" ref="CB31">IF($BZ31="-","-",_xlfn.SUMIFS($AD$4:$AD$97,$AA$4:$AA$97,$BD31,$I$4:$I$97,$BZ31)+_xlfn.SUMIFS($AC$4:$AC$97,$AF$4:$AF$97,$BD31,$H$4:$H$97,$BZ31))</f>
        <v>2</v>
      </c>
      <c r="CC31" s="154" cm="1">
        <f t="array" ref="CC31">IF($BZ31="-","-",CA31-CB31)</f>
        <v>1</v>
      </c>
      <c r="CD31" s="154">
        <v>1</v>
      </c>
      <c r="CE31" t="s" s="125">
        <v>135</v>
      </c>
      <c r="CF31" s="154" cm="1">
        <f t="array" ref="CF31">IF($CE31="-","-",_xlfn.SUMIFS($AC$4:$AC$97,$AA$4:$AA$97,$BD31,$L$4:$L$97,$CE31)+_xlfn.SUMIFS($AD$4:$AD$97,$AF$4:$AF$97,$BD31,$K$4:$K$97,$CE31))</f>
        <v>3</v>
      </c>
      <c r="CG31" s="154">
        <v>1</v>
      </c>
      <c r="CH31" t="s" s="125">
        <v>135</v>
      </c>
      <c r="CI31" s="154" cm="1">
        <f t="array" ref="CI31">IF($CH31="-","-",_xlfn.COUNTIFS($AA$4:$AA$97,$BD31,$D$4:$D$97,"Local",$O$4:$O$97,$CH31)+_xlfn.COUNTIFS($AF$4:$AF$97,$BD31,$D$4:$D$97,"Visitante",$N$4:$N$97,$CH31))</f>
        <v>2</v>
      </c>
      <c r="CJ31" s="154" cm="1">
        <f t="array" ref="CJ31">IF($CH31="-","-",_xlfn.COUNTIFS($AA$4:$AA$97,$BD31,$D$4:$D$97,"Empate",$O$4:$O$97,$CH31)+_xlfn.COUNTIFS($AF$4:$AF$97,$BD31,$D$4:$D$97,"Empate",$N$4:$N$97,$CH31))</f>
        <v>0</v>
      </c>
      <c r="CK31" s="154" cm="1">
        <f t="array" ref="CK31">IF($CH31="-","-",_xlfn.COUNTIFS($AA$4:$AA$97,$BD31,$D$4:$D$97,"Visitante",$O$4:$O$97,$CH31)+_xlfn.COUNTIFS($AF$4:$AF$97,$BD31,$D$4:$D$97,"Local",$N$4:$N$97,$CH31))</f>
        <v>1</v>
      </c>
      <c r="CL31" s="154" cm="1">
        <f t="array" ref="CL31">IF($CH31="-","-",CI31*3+CJ31)</f>
        <v>6</v>
      </c>
      <c r="CM31" s="154">
        <v>1</v>
      </c>
      <c r="CN31" t="s" s="125">
        <v>135</v>
      </c>
      <c r="CO31" s="154" cm="1">
        <f t="array" ref="CO31">IF($CN31="-","-",_xlfn.SUMIFS($AC$4:$AC$97,$AA$4:$AA$97,$BD31,$R$4:$R$97,$CN31)+_xlfn.SUMIFS($AD$4:$AD$97,$AF$4:$AF$97,$BD31,$Q$4:$Q$97,$CN31))</f>
        <v>3</v>
      </c>
      <c r="CP31" s="154" cm="1">
        <f t="array" ref="CP31">IF($CN31="-","-",_xlfn.SUMIFS($AD$4:$AD$97,$AA$4:$AA$97,$BD31,$R$4:$R$97,$CN31)+_xlfn.SUMIFS($AC$4:$AC$97,$AF$4:$AF$97,$BD31,$Q$4:$Q$97,$CN31))</f>
        <v>2</v>
      </c>
      <c r="CQ31" s="154" cm="1">
        <f t="array" ref="CQ31">IF($CN31="-","-",CO31-CP31)</f>
        <v>1</v>
      </c>
      <c r="CR31" s="154">
        <v>1</v>
      </c>
      <c r="CS31" t="s" s="125">
        <v>135</v>
      </c>
      <c r="CT31" s="154" cm="1">
        <f t="array" ref="CT31">IF($CS31="-","-",_xlfn.SUMIFS($AC$4:$AC$97,$AA$4:$AA$97,$BD31,$U$4:$U$97,$CS31)+_xlfn.SUMIFS($AD$4:$AD$97,$AF$4:$AF$97,$BD31,$T$4:$T$97,$CS31))</f>
        <v>3</v>
      </c>
      <c r="CU31" s="154">
        <v>1</v>
      </c>
      <c r="CV31" t="s" s="125">
        <v>135</v>
      </c>
      <c r="CW31" s="154" cm="1">
        <f t="array" ref="CW31">IF(CV31="-","-",BL31)</f>
        <v>1</v>
      </c>
      <c r="CX31" s="154">
        <v>1</v>
      </c>
      <c r="CY31" t="s" s="125">
        <v>135</v>
      </c>
      <c r="CZ31" s="154" cm="1">
        <f t="array" ref="CZ31">IF(CY31="-","-",BJ31)</f>
        <v>3</v>
      </c>
      <c r="DA31" s="154">
        <v>1</v>
      </c>
      <c r="DB31" t="s" s="125">
        <v>135</v>
      </c>
      <c r="DC31" s="154">
        <v>2</v>
      </c>
      <c r="DD31" s="154">
        <v>2</v>
      </c>
      <c r="DE31" s="140"/>
      <c r="DF31" s="154" cm="1">
        <f t="array" ref="DF31">IF(OR(INDEX($AW$6:$AW$97,MATCH($BD31,$AV$6:$AV$97,0))="",DB31="-"),DD31,INDEX($AW$6:$AW$97,MATCH($BD31,$AV$6:$AV$97,0))+DD31/1000)</f>
        <v>2</v>
      </c>
      <c r="DG31" s="154">
        <v>1</v>
      </c>
      <c r="DH31" s="154">
        <v>2</v>
      </c>
      <c r="DI31" s="140"/>
      <c r="DJ31" s="154" cm="1">
        <f t="array" ref="DJ31">INDEX($DA$6:$DA$53,MATCH($DQ31,$BD$6:$BD$53,0))</f>
        <v>1</v>
      </c>
      <c r="DK31" s="154" cm="1">
        <f t="array" ref="DK31">SUMIF($BC$6:$BC$53,BC31,$BF$6:$BF$53)</f>
        <v>12</v>
      </c>
      <c r="DL31" s="154" cm="1">
        <f t="array" ref="DL31">IF(OR(DK31=12,$AJ$99=144),_xlfn.COUNTIFS($DJ$6:$DJ$53,DJ31,$BC$6:$BC$53,BC31),1)</f>
        <v>4</v>
      </c>
      <c r="DM31" t="str" s="140" cm="1">
        <f t="array" ref="DM31">DJ31&amp;"."&amp;DL31</f>
        <v>1.4</v>
      </c>
      <c r="DN31" s="154">
        <v>1</v>
      </c>
      <c r="DO31" s="140"/>
      <c r="DP31" t="s" s="125">
        <v>301</v>
      </c>
      <c r="DQ31" t="str" s="140" cm="1">
        <f t="array" ref="DQ31">INDEX($BD$6:$BD$53,MATCH(DP31,$BM$6:$BM$53,0))</f>
        <v>Egipto</v>
      </c>
      <c r="DR31" s="87"/>
      <c r="DS31" s="87"/>
      <c r="DT31" s="88"/>
      <c r="DU31" s="12"/>
    </row>
    <row r="32" ht="16" customHeight="1">
      <c r="A32" t="s" s="89">
        <v>241</v>
      </c>
      <c r="B32" s="78"/>
      <c r="C32" s="78"/>
      <c r="D32" t="str" s="78" cm="1">
        <f t="array" ref="D32">IF(OR(AC32="",AD32=""),"Pendiente",IF(AC32&gt;AD32,"Local",IF(AC32&lt;AD32,"Visitante","Empate")))</f>
        <v>Local</v>
      </c>
      <c r="E32" t="str" s="78" cm="1">
        <f t="array" ref="E32">IF(D32="Pendiente","-",INDEX($BT$6:$BT$53,MATCH($AA32,$BD$6:$BD$53,0)))</f>
        <v>P.1 (4)</v>
      </c>
      <c r="F32" t="str" s="78" cm="1">
        <f t="array" ref="F32">IF(D32="Pendiente","-",INDEX($BT$6:$BT$53,MATCH($AF32,$BD$6:$BD$53,0)))</f>
        <v>P.1 (4)</v>
      </c>
      <c r="G32" s="78"/>
      <c r="H32" t="str" s="78" cm="1">
        <f t="array" ref="H32">IF(D32="Pendiente","-",INDEX($BZ$6:$BZ$53,MATCH($AA32,$BD$6:$BD$53,0)))</f>
        <v>P.1 (4)</v>
      </c>
      <c r="I32" t="str" s="78" cm="1">
        <f t="array" ref="I32">IF(D32="Pendiente","-",INDEX($BZ$6:$BZ$53,MATCH($AF32,$BD$6:$BD$53,0)))</f>
        <v>P.1 (4)</v>
      </c>
      <c r="J32" s="78"/>
      <c r="K32" t="str" s="78" cm="1">
        <f t="array" ref="K32">IF(D32="Pendiente","-",INDEX($CE$6:$CE$53,MATCH($AA32,$BD$6:$BD$53,0)))</f>
        <v>P.1 (4)</v>
      </c>
      <c r="L32" t="str" s="78" cm="1">
        <f t="array" ref="L32">IF(D32="Pendiente","-",INDEX($CE$6:$CE$53,MATCH($AF32,$BD$6:$BD$53,0)))</f>
        <v>P.1 (4)</v>
      </c>
      <c r="M32" s="78"/>
      <c r="N32" t="str" s="78" cm="1">
        <f t="array" ref="N32">IF(D32="Pendiente","-",INDEX($CH$6:$CH$53,MATCH($AA32,$BD$6:$BD$53,0)))</f>
        <v>P.1 (4)</v>
      </c>
      <c r="O32" t="str" s="78" cm="1">
        <f t="array" ref="O32">IF(D32="Pendiente","-",INDEX($CH$6:$CH$53,MATCH($AF32,$BD$6:$BD$53,0)))</f>
        <v>P.1 (4)</v>
      </c>
      <c r="P32" s="78"/>
      <c r="Q32" t="str" s="78" cm="1">
        <f t="array" ref="Q32">IF(D32="Pendiente","-",INDEX($CN$6:$CN$53,MATCH($AA32,$BD$6:$BD$53,0)))</f>
        <v>P.1 (4)</v>
      </c>
      <c r="R32" t="str" s="78" cm="1">
        <f t="array" ref="R32">IF(D32="Pendiente","-",INDEX($CN$6:$CN$53,MATCH($AF32,$BD$6:$BD$53,0)))</f>
        <v>P.1 (4)</v>
      </c>
      <c r="S32" s="78"/>
      <c r="T32" t="str" s="78" cm="1">
        <f t="array" ref="T32">IF(D32="Pendiente","-",INDEX($CS$6:$CS$53,MATCH($AA32,$BD$6:$BD$53,0)))</f>
        <v>P.1 (4)</v>
      </c>
      <c r="U32" t="str" s="78" cm="1">
        <f t="array" ref="U32">IF(D32="Pendiente","-",INDEX($CS$6:$CS$53,MATCH($AF32,$BD$6:$BD$53,0)))</f>
        <v>P.1 (4)</v>
      </c>
      <c r="V32" s="90"/>
      <c r="W32" s="141"/>
      <c r="X32" s="107">
        <v>46198.916666666657</v>
      </c>
      <c r="Y32" s="108">
        <v>46198.916666666657</v>
      </c>
      <c r="Z32" t="str" s="127" cm="1">
        <f t="array" ref="Z32">$Z$8</f>
        <v>J3</v>
      </c>
      <c r="AA32" t="str" s="110" cm="1">
        <f t="array" ref="AA32">A32</f>
        <v>Turquía</v>
      </c>
      <c r="AB32" s="111"/>
      <c r="AC32" s="128">
        <v>1</v>
      </c>
      <c r="AD32" s="128">
        <v>0</v>
      </c>
      <c r="AE32" s="113"/>
      <c r="AF32" t="str" s="114" cm="1">
        <f t="array" ref="AF32">A29</f>
        <v>Estados Unidos</v>
      </c>
      <c r="AG32" s="115" cm="1">
        <f t="array" ref="AG32">IF(NOT(OR(ISBLANK(AC32),ISBLANK(AD32))),1,0)</f>
        <v>1</v>
      </c>
      <c r="AH32" s="116">
        <v>59</v>
      </c>
      <c r="AI32" t="str" s="117" cm="1">
        <f t="array" ref="AI32">AJ32&amp;$B$28</f>
        <v>3D</v>
      </c>
      <c r="AJ32" s="155">
        <v>3</v>
      </c>
      <c r="AK32" s="225"/>
      <c r="AL32" t="str" s="157" cm="1">
        <f t="array" ref="AL32">_xlfn.IFERROR(INDEX($BD$6:$BD$53,MATCH(AI32,$BN$6:$BN$53,0)),"")</f>
        <v>Australia</v>
      </c>
      <c r="AM32" s="158" cm="1">
        <f t="array" ref="AM32">INDEX($BE$6:$BN$53,MATCH($AL32,$BD$6:$BD$53,0),MATCH(AM$5,$BE$5:$BN$5,0))</f>
        <v>0</v>
      </c>
      <c r="AN32" s="159" cm="1">
        <f t="array" ref="AN32">INDEX($BE$6:$BN$53,MATCH($AL32,$BD$6:$BD$53,0),MATCH(AN$5,$BE$5:$BN$5,0))</f>
        <v>3</v>
      </c>
      <c r="AO32" s="159" cm="1">
        <f t="array" ref="AO32">INDEX($BE$6:$BN$53,MATCH($AL32,$BD$6:$BD$53,0),MATCH(AO$5,$BE$5:$BN$5,0))</f>
        <v>0</v>
      </c>
      <c r="AP32" s="159" cm="1">
        <f t="array" ref="AP32">INDEX($BE$6:$BN$53,MATCH($AL32,$BD$6:$BD$53,0),MATCH(AP$5,$BE$5:$BN$5,0))</f>
        <v>0</v>
      </c>
      <c r="AQ32" s="159" cm="1">
        <f t="array" ref="AQ32">INDEX($BE$6:$BN$53,MATCH($AL32,$BD$6:$BD$53,0),MATCH(AQ$5,$BE$5:$BN$5,0))</f>
        <v>3</v>
      </c>
      <c r="AR32" s="159" cm="1">
        <f t="array" ref="AR32">INDEX($BE$6:$BN$53,MATCH($AL32,$BD$6:$BD$53,0),MATCH(AR$5,$BE$5:$BN$5,0))</f>
        <v>2</v>
      </c>
      <c r="AS32" s="159" cm="1">
        <f t="array" ref="AS32">INDEX($BE$6:$BN$53,MATCH($AL32,$BD$6:$BD$53,0),MATCH(AS$5,$BE$5:$BN$5,0))</f>
        <v>6</v>
      </c>
      <c r="AT32" s="160" cm="1">
        <f t="array" ref="AT32">INDEX($BE$6:$BN$53,MATCH($AL32,$BD$6:$BD$53,0),MATCH(AT$5,$BE$5:$BN$5,0))</f>
        <v>-4</v>
      </c>
      <c r="AU32" s="148" cm="1">
        <f t="array" ref="AU32">INDEX($DL$6:$DL$53,MATCH(AI32,$DP$6:$DP$53,0))</f>
        <v>4</v>
      </c>
      <c r="AV32" t="str" s="149" cm="1">
        <f t="array" ref="AV32">INDEX($BD$6:$BD$53,MATCH(AI32,$BM$6:$BM$53,0))</f>
        <v>Australia</v>
      </c>
      <c r="AW32" s="150"/>
      <c r="AX32" s="151"/>
      <c r="AY32" t="str" s="152" cm="1">
        <f t="array" ref="AY32">A31</f>
        <v>Australia</v>
      </c>
      <c r="AZ32" s="153"/>
      <c r="BA32" s="139"/>
      <c r="BB32" s="87"/>
      <c r="BC32" t="s" s="125">
        <v>63</v>
      </c>
      <c r="BD32" t="s" s="125">
        <v>305</v>
      </c>
      <c r="BE32" s="154" cm="1">
        <f t="array" ref="BE32">BG32*3+BH32+IF($AZ$3="No",0,INDEX($AZ$6:$AZ$97,MATCH(BD32,$AY$6:$AY$97,0)))</f>
        <v>3</v>
      </c>
      <c r="BF32" s="154" cm="1">
        <f t="array" ref="BF32">BG32+BH32+BI32</f>
        <v>3</v>
      </c>
      <c r="BG32" s="154" cm="1">
        <f t="array" ref="BG32">_xlfn.COUNTIFS($AA$4:$AA$97,BD32,$D$4:$D$97,"Local")+_xlfn.COUNTIFS($AF$4:$AF$97,BD32,$D$4:$D$97,"Visitante")</f>
        <v>1</v>
      </c>
      <c r="BH32" s="154" cm="1">
        <f t="array" ref="BH32">_xlfn.COUNTIFS($AA$4:$AA$97,BD32,$D$4:$D$97,"Empate")+_xlfn.COUNTIFS($AF$4:$AF$97,BD32,$D$4:$D$97,"Empate")</f>
        <v>0</v>
      </c>
      <c r="BI32" s="154" cm="1">
        <f t="array" ref="BI32">_xlfn.COUNTIFS($AF$4:$AF$97,BD32,$D$4:$D$97,"Local")+_xlfn.COUNTIFS($AA$4:$AA$97,BD32,$D$4:$D$97,"Visitante")</f>
        <v>2</v>
      </c>
      <c r="BJ32" s="154" cm="1">
        <f t="array" ref="BJ32">_xlfn.SUMIFS($AC$4:$AC$97,$AA$4:$AA$97,BD32,$D$4:$D$97,"&lt;&gt;"&amp;"Pendiente",$AC$4:$AC$97,"&lt;&gt;"&amp;"",$AD$4:$AD$97,"&lt;&gt;"&amp;"")+_xlfn.SUMIFS($AD$4:$AD$97,$AF$4:$AF$97,BD32,$D$4:$D$97,"&lt;&gt;"&amp;"Pendiente",$AC$4:$AC$97,"&lt;&gt;"&amp;"",$AD$4:$AD$97,"&lt;&gt;"&amp;"")</f>
        <v>2</v>
      </c>
      <c r="BK32" s="154" cm="1">
        <f t="array" ref="BK32">_xlfn.SUMIFS($AC$4:$AC$97,$AF$4:$AF$97,BD32,$D$4:$D$97,"&lt;&gt;"&amp;"Pendiente",$AC$4:$AC$97,"&lt;&gt;"&amp;"",$AD$4:$AD$97,"&lt;&gt;"&amp;"")+_xlfn.SUMIFS($AD$4:$AD$97,$AA$4:$AA$97,BD32,$D$4:$D$97,"&lt;&gt;"&amp;"Pendiente",$AC$4:$AC$97,"&lt;&gt;"&amp;"",$AD$4:$AD$97,"&lt;&gt;"&amp;"")</f>
        <v>3</v>
      </c>
      <c r="BL32" s="154" cm="1">
        <f t="array" ref="BL32">BJ32-BK32</f>
        <v>-1</v>
      </c>
      <c r="BM32" t="str" s="140" cm="1">
        <f t="array" ref="BM32">DD32&amp;BC32</f>
        <v>3G</v>
      </c>
      <c r="BN32" t="str" s="140" cm="1">
        <f t="array" ref="BN32">DH32&amp;BC32</f>
        <v>3G</v>
      </c>
      <c r="BO32" s="154" cm="1">
        <f t="array" ref="BO32">IF(AND($AJ$99=144,BF32&gt;=1),1,0)</f>
        <v>0</v>
      </c>
      <c r="BP32" s="154">
        <v>1</v>
      </c>
      <c r="BQ32" t="s" s="125">
        <v>135</v>
      </c>
      <c r="BR32" s="154" cm="1">
        <f t="array" ref="BR32">IF($BQ32="-","-",BE32)</f>
        <v>3</v>
      </c>
      <c r="BS32" s="154">
        <v>1</v>
      </c>
      <c r="BT32" t="s" s="125">
        <v>135</v>
      </c>
      <c r="BU32" s="154" cm="1">
        <f t="array" ref="BU32">IF($BT32="-","-",_xlfn.COUNTIFS($AA$4:$AA$97,$BD32,$D$4:$D$97,"Local",$F$4:$F$97,$BT32)+_xlfn.COUNTIFS($AF$4:$AF$97,$BD32,$D$4:$D$97,"Visitante",$E$4:$E$97,$BT32))</f>
        <v>1</v>
      </c>
      <c r="BV32" s="154" cm="1">
        <f t="array" ref="BV32">IF($BT32="-","-",_xlfn.COUNTIFS($AA$4:$AA$97,$BD32,$D$4:$D$97,"Empate",$F$4:$F$97,$BT32)+_xlfn.COUNTIFS($AF$4:$AF$97,$BD32,$D$4:$D$97,"Empate",$E$4:$E$97,$BT32))</f>
        <v>0</v>
      </c>
      <c r="BW32" s="154" cm="1">
        <f t="array" ref="BW32">IF($BT32="-","-",_xlfn.COUNTIFS($AA$4:$AA$97,$BD32,$D$4:$D$97,"Visitante",$F$4:$F$97,$BT32)+_xlfn.COUNTIFS($AF$4:$AF$97,$BD32,$D$4:$D$97,"Local",$E$4:$E$97,$BT32))</f>
        <v>2</v>
      </c>
      <c r="BX32" s="154" cm="1">
        <f t="array" ref="BX32">IF($BT32="-","-",BU32*3+BV32)</f>
        <v>3</v>
      </c>
      <c r="BY32" s="154">
        <v>1</v>
      </c>
      <c r="BZ32" t="s" s="125">
        <v>135</v>
      </c>
      <c r="CA32" s="154" cm="1">
        <f t="array" ref="CA32">IF($BZ32="-","-",_xlfn.SUMIFS($AC$4:$AC$97,$AA$4:$AA$97,$BD32,$I$4:$I$97,$BZ32)+_xlfn.SUMIFS($AD$4:$AD$97,$AF$4:$AF$97,$BD32,$H$4:$H$97,$BZ32))</f>
        <v>2</v>
      </c>
      <c r="CB32" s="154" cm="1">
        <f t="array" ref="CB32">IF($BZ32="-","-",_xlfn.SUMIFS($AD$4:$AD$97,$AA$4:$AA$97,$BD32,$I$4:$I$97,$BZ32)+_xlfn.SUMIFS($AC$4:$AC$97,$AF$4:$AF$97,$BD32,$H$4:$H$97,$BZ32))</f>
        <v>3</v>
      </c>
      <c r="CC32" s="154" cm="1">
        <f t="array" ref="CC32">IF($BZ32="-","-",CA32-CB32)</f>
        <v>-1</v>
      </c>
      <c r="CD32" s="154">
        <v>1</v>
      </c>
      <c r="CE32" t="s" s="125">
        <v>135</v>
      </c>
      <c r="CF32" s="154" cm="1">
        <f t="array" ref="CF32">IF($CE32="-","-",_xlfn.SUMIFS($AC$4:$AC$97,$AA$4:$AA$97,$BD32,$L$4:$L$97,$CE32)+_xlfn.SUMIFS($AD$4:$AD$97,$AF$4:$AF$97,$BD32,$K$4:$K$97,$CE32))</f>
        <v>2</v>
      </c>
      <c r="CG32" s="154">
        <v>1</v>
      </c>
      <c r="CH32" t="s" s="125">
        <v>135</v>
      </c>
      <c r="CI32" s="154" cm="1">
        <f t="array" ref="CI32">IF($CH32="-","-",_xlfn.COUNTIFS($AA$4:$AA$97,$BD32,$D$4:$D$97,"Local",$O$4:$O$97,$CH32)+_xlfn.COUNTIFS($AF$4:$AF$97,$BD32,$D$4:$D$97,"Visitante",$N$4:$N$97,$CH32))</f>
        <v>1</v>
      </c>
      <c r="CJ32" s="154" cm="1">
        <f t="array" ref="CJ32">IF($CH32="-","-",_xlfn.COUNTIFS($AA$4:$AA$97,$BD32,$D$4:$D$97,"Empate",$O$4:$O$97,$CH32)+_xlfn.COUNTIFS($AF$4:$AF$97,$BD32,$D$4:$D$97,"Empate",$N$4:$N$97,$CH32))</f>
        <v>0</v>
      </c>
      <c r="CK32" s="154" cm="1">
        <f t="array" ref="CK32">IF($CH32="-","-",_xlfn.COUNTIFS($AA$4:$AA$97,$BD32,$D$4:$D$97,"Visitante",$O$4:$O$97,$CH32)+_xlfn.COUNTIFS($AF$4:$AF$97,$BD32,$D$4:$D$97,"Local",$N$4:$N$97,$CH32))</f>
        <v>2</v>
      </c>
      <c r="CL32" s="154" cm="1">
        <f t="array" ref="CL32">IF($CH32="-","-",CI32*3+CJ32)</f>
        <v>3</v>
      </c>
      <c r="CM32" s="154">
        <v>1</v>
      </c>
      <c r="CN32" t="s" s="125">
        <v>135</v>
      </c>
      <c r="CO32" s="154" cm="1">
        <f t="array" ref="CO32">IF($CN32="-","-",_xlfn.SUMIFS($AC$4:$AC$97,$AA$4:$AA$97,$BD32,$R$4:$R$97,$CN32)+_xlfn.SUMIFS($AD$4:$AD$97,$AF$4:$AF$97,$BD32,$Q$4:$Q$97,$CN32))</f>
        <v>2</v>
      </c>
      <c r="CP32" s="154" cm="1">
        <f t="array" ref="CP32">IF($CN32="-","-",_xlfn.SUMIFS($AD$4:$AD$97,$AA$4:$AA$97,$BD32,$R$4:$R$97,$CN32)+_xlfn.SUMIFS($AC$4:$AC$97,$AF$4:$AF$97,$BD32,$Q$4:$Q$97,$CN32))</f>
        <v>3</v>
      </c>
      <c r="CQ32" s="154" cm="1">
        <f t="array" ref="CQ32">IF($CN32="-","-",CO32-CP32)</f>
        <v>-1</v>
      </c>
      <c r="CR32" s="154">
        <v>1</v>
      </c>
      <c r="CS32" t="s" s="125">
        <v>135</v>
      </c>
      <c r="CT32" s="154" cm="1">
        <f t="array" ref="CT32">IF($CS32="-","-",_xlfn.SUMIFS($AC$4:$AC$97,$AA$4:$AA$97,$BD32,$U$4:$U$97,$CS32)+_xlfn.SUMIFS($AD$4:$AD$97,$AF$4:$AF$97,$BD32,$T$4:$T$97,$CS32))</f>
        <v>2</v>
      </c>
      <c r="CU32" s="154">
        <v>1</v>
      </c>
      <c r="CV32" t="s" s="125">
        <v>135</v>
      </c>
      <c r="CW32" s="154" cm="1">
        <f t="array" ref="CW32">IF(CV32="-","-",BL32)</f>
        <v>-1</v>
      </c>
      <c r="CX32" s="154">
        <v>1</v>
      </c>
      <c r="CY32" t="s" s="125">
        <v>135</v>
      </c>
      <c r="CZ32" s="154" cm="1">
        <f t="array" ref="CZ32">IF(CY32="-","-",BJ32)</f>
        <v>2</v>
      </c>
      <c r="DA32" s="154">
        <v>1</v>
      </c>
      <c r="DB32" t="s" s="125">
        <v>135</v>
      </c>
      <c r="DC32" s="154">
        <v>3</v>
      </c>
      <c r="DD32" s="154">
        <v>3</v>
      </c>
      <c r="DE32" s="140"/>
      <c r="DF32" s="154" cm="1">
        <f t="array" ref="DF32">IF(OR(INDEX($AW$6:$AW$97,MATCH($BD32,$AV$6:$AV$97,0))="",DB32="-"),DD32,INDEX($AW$6:$AW$97,MATCH($BD32,$AV$6:$AV$97,0))+DD32/1000)</f>
        <v>3</v>
      </c>
      <c r="DG32" s="154">
        <v>2</v>
      </c>
      <c r="DH32" s="154">
        <v>3</v>
      </c>
      <c r="DI32" s="140"/>
      <c r="DJ32" s="154" cm="1">
        <f t="array" ref="DJ32">INDEX($DA$6:$DA$53,MATCH($DQ32,$BD$6:$BD$53,0))</f>
        <v>1</v>
      </c>
      <c r="DK32" s="154" cm="1">
        <f t="array" ref="DK32">SUMIF($BC$6:$BC$53,BC32,$BF$6:$BF$53)</f>
        <v>12</v>
      </c>
      <c r="DL32" s="154" cm="1">
        <f t="array" ref="DL32">IF(OR(DK32=12,$AJ$99=144),_xlfn.COUNTIFS($DJ$6:$DJ$53,DJ32,$BC$6:$BC$53,BC32),1)</f>
        <v>4</v>
      </c>
      <c r="DM32" t="str" s="140" cm="1">
        <f t="array" ref="DM32">DJ32&amp;"."&amp;DL32</f>
        <v>1.4</v>
      </c>
      <c r="DN32" s="154">
        <v>1</v>
      </c>
      <c r="DO32" s="140"/>
      <c r="DP32" t="s" s="125">
        <v>307</v>
      </c>
      <c r="DQ32" t="str" s="140" cm="1">
        <f t="array" ref="DQ32">INDEX($BD$6:$BD$53,MATCH(DP32,$BM$6:$BM$53,0))</f>
        <v>Irán</v>
      </c>
      <c r="DR32" s="87"/>
      <c r="DS32" s="87"/>
      <c r="DT32" s="88"/>
      <c r="DU32" s="12"/>
    </row>
    <row r="33" ht="16" customHeight="1">
      <c r="A33" s="78"/>
      <c r="B33" s="78"/>
      <c r="C33" s="78"/>
      <c r="D33" t="str" s="78" cm="1">
        <f t="array" ref="D33">IF(OR(AC33="",AD33=""),"Pendiente",IF(AC33&gt;AD33,"Local",IF(AC33&lt;AD33,"Visitante","Empate")))</f>
        <v>Local</v>
      </c>
      <c r="E33" t="str" s="78" cm="1">
        <f t="array" ref="E33">IF(D33="Pendiente","-",INDEX($BT$6:$BT$53,MATCH($AA33,$BD$6:$BD$53,0)))</f>
        <v>P.1 (4)</v>
      </c>
      <c r="F33" t="str" s="78" cm="1">
        <f t="array" ref="F33">IF(D33="Pendiente","-",INDEX($BT$6:$BT$53,MATCH($AF33,$BD$6:$BD$53,0)))</f>
        <v>P.1 (4)</v>
      </c>
      <c r="G33" s="78"/>
      <c r="H33" t="str" s="78" cm="1">
        <f t="array" ref="H33">IF(D33="Pendiente","-",INDEX($BZ$6:$BZ$53,MATCH($AA33,$BD$6:$BD$53,0)))</f>
        <v>P.1 (4)</v>
      </c>
      <c r="I33" t="str" s="78" cm="1">
        <f t="array" ref="I33">IF(D33="Pendiente","-",INDEX($BZ$6:$BZ$53,MATCH($AF33,$BD$6:$BD$53,0)))</f>
        <v>P.1 (4)</v>
      </c>
      <c r="J33" s="78"/>
      <c r="K33" t="str" s="78" cm="1">
        <f t="array" ref="K33">IF(D33="Pendiente","-",INDEX($CE$6:$CE$53,MATCH($AA33,$BD$6:$BD$53,0)))</f>
        <v>P.1 (4)</v>
      </c>
      <c r="L33" t="str" s="78" cm="1">
        <f t="array" ref="L33">IF(D33="Pendiente","-",INDEX($CE$6:$CE$53,MATCH($AF33,$BD$6:$BD$53,0)))</f>
        <v>P.1 (4)</v>
      </c>
      <c r="M33" s="78"/>
      <c r="N33" t="str" s="78" cm="1">
        <f t="array" ref="N33">IF(D33="Pendiente","-",INDEX($CH$6:$CH$53,MATCH($AA33,$BD$6:$BD$53,0)))</f>
        <v>P.1 (4)</v>
      </c>
      <c r="O33" t="str" s="78" cm="1">
        <f t="array" ref="O33">IF(D33="Pendiente","-",INDEX($CH$6:$CH$53,MATCH($AF33,$BD$6:$BD$53,0)))</f>
        <v>P.1 (4)</v>
      </c>
      <c r="P33" s="78"/>
      <c r="Q33" t="str" s="78" cm="1">
        <f t="array" ref="Q33">IF(D33="Pendiente","-",INDEX($CN$6:$CN$53,MATCH($AA33,$BD$6:$BD$53,0)))</f>
        <v>P.1 (4)</v>
      </c>
      <c r="R33" t="str" s="78" cm="1">
        <f t="array" ref="R33">IF(D33="Pendiente","-",INDEX($CN$6:$CN$53,MATCH($AF33,$BD$6:$BD$53,0)))</f>
        <v>P.1 (4)</v>
      </c>
      <c r="S33" s="78"/>
      <c r="T33" t="str" s="78" cm="1">
        <f t="array" ref="T33">IF(D33="Pendiente","-",INDEX($CS$6:$CS$53,MATCH($AA33,$BD$6:$BD$53,0)))</f>
        <v>P.1 (4)</v>
      </c>
      <c r="U33" t="str" s="78" cm="1">
        <f t="array" ref="U33">IF(D33="Pendiente","-",INDEX($CS$6:$CS$53,MATCH($AF33,$BD$6:$BD$53,0)))</f>
        <v>P.1 (4)</v>
      </c>
      <c r="V33" s="90"/>
      <c r="W33" s="163"/>
      <c r="X33" s="164">
        <v>46198.916666666657</v>
      </c>
      <c r="Y33" s="165">
        <v>46198.916666666657</v>
      </c>
      <c r="Z33" t="str" s="166" cm="1">
        <f t="array" ref="Z33">$Z$8</f>
        <v>J3</v>
      </c>
      <c r="AA33" t="str" s="167" cm="1">
        <f t="array" ref="AA33">A30</f>
        <v>Paraguay</v>
      </c>
      <c r="AB33" s="168"/>
      <c r="AC33" s="169">
        <v>1</v>
      </c>
      <c r="AD33" s="169">
        <v>0</v>
      </c>
      <c r="AE33" s="170"/>
      <c r="AF33" t="str" s="171" cm="1">
        <f t="array" ref="AF33">A31</f>
        <v>Australia</v>
      </c>
      <c r="AG33" s="115" cm="1">
        <f t="array" ref="AG33">IF(NOT(OR(ISBLANK(AC33),ISBLANK(AD33))),1,0)</f>
        <v>1</v>
      </c>
      <c r="AH33" s="116">
        <v>60</v>
      </c>
      <c r="AI33" t="str" s="117" cm="1">
        <f t="array" ref="AI33">AJ33&amp;$B$28</f>
        <v>4D</v>
      </c>
      <c r="AJ33" s="172">
        <v>4</v>
      </c>
      <c r="AK33" s="240"/>
      <c r="AL33" t="str" s="174" cm="1">
        <f t="array" ref="AL33">_xlfn.IFERROR(INDEX($BD$6:$BD$53,MATCH(AI33,$BN$6:$BN$53,0)),"")</f>
        <v>Turquía</v>
      </c>
      <c r="AM33" s="175" cm="1">
        <f t="array" ref="AM33">INDEX($BE$6:$BN$53,MATCH($AL33,$BD$6:$BD$53,0),MATCH(AM$5,$BE$5:$BN$5,0))</f>
        <v>9</v>
      </c>
      <c r="AN33" s="176" cm="1">
        <f t="array" ref="AN33">INDEX($BE$6:$BN$53,MATCH($AL33,$BD$6:$BD$53,0),MATCH(AN$5,$BE$5:$BN$5,0))</f>
        <v>3</v>
      </c>
      <c r="AO33" s="176" cm="1">
        <f t="array" ref="AO33">INDEX($BE$6:$BN$53,MATCH($AL33,$BD$6:$BD$53,0),MATCH(AO$5,$BE$5:$BN$5,0))</f>
        <v>3</v>
      </c>
      <c r="AP33" s="176" cm="1">
        <f t="array" ref="AP33">INDEX($BE$6:$BN$53,MATCH($AL33,$BD$6:$BD$53,0),MATCH(AP$5,$BE$5:$BN$5,0))</f>
        <v>0</v>
      </c>
      <c r="AQ33" s="176" cm="1">
        <f t="array" ref="AQ33">INDEX($BE$6:$BN$53,MATCH($AL33,$BD$6:$BD$53,0),MATCH(AQ$5,$BE$5:$BN$5,0))</f>
        <v>0</v>
      </c>
      <c r="AR33" s="176" cm="1">
        <f t="array" ref="AR33">INDEX($BE$6:$BN$53,MATCH($AL33,$BD$6:$BD$53,0),MATCH(AR$5,$BE$5:$BN$5,0))</f>
        <v>7</v>
      </c>
      <c r="AS33" s="176" cm="1">
        <f t="array" ref="AS33">INDEX($BE$6:$BN$53,MATCH($AL33,$BD$6:$BD$53,0),MATCH(AS$5,$BE$5:$BN$5,0))</f>
        <v>3</v>
      </c>
      <c r="AT33" s="177" cm="1">
        <f t="array" ref="AT33">INDEX($BE$6:$BN$53,MATCH($AL33,$BD$6:$BD$53,0),MATCH(AT$5,$BE$5:$BN$5,0))</f>
        <v>4</v>
      </c>
      <c r="AU33" s="148" cm="1">
        <f t="array" ref="AU33">INDEX($DL$6:$DL$53,MATCH(AI33,$DP$6:$DP$53,0))</f>
        <v>4</v>
      </c>
      <c r="AV33" t="str" s="149" cm="1">
        <f t="array" ref="AV33">INDEX($BD$6:$BD$53,MATCH(AI33,$BM$6:$BM$53,0))</f>
        <v>Turquía</v>
      </c>
      <c r="AW33" s="150"/>
      <c r="AX33" s="151"/>
      <c r="AY33" t="str" s="178" cm="1">
        <f t="array" ref="AY33">A32</f>
        <v>Turquía</v>
      </c>
      <c r="AZ33" s="179"/>
      <c r="BA33" s="139"/>
      <c r="BB33" s="87"/>
      <c r="BC33" t="s" s="125">
        <v>63</v>
      </c>
      <c r="BD33" t="s" s="125">
        <v>311</v>
      </c>
      <c r="BE33" s="154" cm="1">
        <f t="array" ref="BE33">BG33*3+BH33+IF($AZ$3="No",0,INDEX($AZ$6:$AZ$97,MATCH(BD33,$AY$6:$AY$97,0)))</f>
        <v>0</v>
      </c>
      <c r="BF33" s="154" cm="1">
        <f t="array" ref="BF33">BG33+BH33+BI33</f>
        <v>3</v>
      </c>
      <c r="BG33" s="154" cm="1">
        <f t="array" ref="BG33">_xlfn.COUNTIFS($AA$4:$AA$97,BD33,$D$4:$D$97,"Local")+_xlfn.COUNTIFS($AF$4:$AF$97,BD33,$D$4:$D$97,"Visitante")</f>
        <v>0</v>
      </c>
      <c r="BH33" s="154" cm="1">
        <f t="array" ref="BH33">_xlfn.COUNTIFS($AA$4:$AA$97,BD33,$D$4:$D$97,"Empate")+_xlfn.COUNTIFS($AF$4:$AF$97,BD33,$D$4:$D$97,"Empate")</f>
        <v>0</v>
      </c>
      <c r="BI33" s="154" cm="1">
        <f t="array" ref="BI33">_xlfn.COUNTIFS($AF$4:$AF$97,BD33,$D$4:$D$97,"Local")+_xlfn.COUNTIFS($AA$4:$AA$97,BD33,$D$4:$D$97,"Visitante")</f>
        <v>3</v>
      </c>
      <c r="BJ33" s="154" cm="1">
        <f t="array" ref="BJ33">_xlfn.SUMIFS($AC$4:$AC$97,$AA$4:$AA$97,BD33,$D$4:$D$97,"&lt;&gt;"&amp;"Pendiente",$AC$4:$AC$97,"&lt;&gt;"&amp;"",$AD$4:$AD$97,"&lt;&gt;"&amp;"")+_xlfn.SUMIFS($AD$4:$AD$97,$AF$4:$AF$97,BD33,$D$4:$D$97,"&lt;&gt;"&amp;"Pendiente",$AC$4:$AC$97,"&lt;&gt;"&amp;"",$AD$4:$AD$97,"&lt;&gt;"&amp;"")</f>
        <v>2</v>
      </c>
      <c r="BK33" s="154" cm="1">
        <f t="array" ref="BK33">_xlfn.SUMIFS($AC$4:$AC$97,$AF$4:$AF$97,BD33,$D$4:$D$97,"&lt;&gt;"&amp;"Pendiente",$AC$4:$AC$97,"&lt;&gt;"&amp;"",$AD$4:$AD$97,"&lt;&gt;"&amp;"")+_xlfn.SUMIFS($AD$4:$AD$97,$AA$4:$AA$97,BD33,$D$4:$D$97,"&lt;&gt;"&amp;"Pendiente",$AC$4:$AC$97,"&lt;&gt;"&amp;"",$AD$4:$AD$97,"&lt;&gt;"&amp;"")</f>
        <v>6</v>
      </c>
      <c r="BL33" s="154" cm="1">
        <f t="array" ref="BL33">BJ33-BK33</f>
        <v>-4</v>
      </c>
      <c r="BM33" t="str" s="140" cm="1">
        <f t="array" ref="BM33">DD33&amp;BC33</f>
        <v>4G</v>
      </c>
      <c r="BN33" t="str" s="140" cm="1">
        <f t="array" ref="BN33">DH33&amp;BC33</f>
        <v>4G</v>
      </c>
      <c r="BO33" s="154" cm="1">
        <f t="array" ref="BO33">IF(AND($AJ$99=144,BF33&gt;=1),1,0)</f>
        <v>0</v>
      </c>
      <c r="BP33" s="154">
        <v>1</v>
      </c>
      <c r="BQ33" t="s" s="125">
        <v>135</v>
      </c>
      <c r="BR33" s="154" cm="1">
        <f t="array" ref="BR33">IF($BQ33="-","-",BE33)</f>
        <v>0</v>
      </c>
      <c r="BS33" s="154">
        <v>1</v>
      </c>
      <c r="BT33" t="s" s="125">
        <v>135</v>
      </c>
      <c r="BU33" s="154" cm="1">
        <f t="array" ref="BU33">IF($BT33="-","-",_xlfn.COUNTIFS($AA$4:$AA$97,$BD33,$D$4:$D$97,"Local",$F$4:$F$97,$BT33)+_xlfn.COUNTIFS($AF$4:$AF$97,$BD33,$D$4:$D$97,"Visitante",$E$4:$E$97,$BT33))</f>
        <v>0</v>
      </c>
      <c r="BV33" s="154" cm="1">
        <f t="array" ref="BV33">IF($BT33="-","-",_xlfn.COUNTIFS($AA$4:$AA$97,$BD33,$D$4:$D$97,"Empate",$F$4:$F$97,$BT33)+_xlfn.COUNTIFS($AF$4:$AF$97,$BD33,$D$4:$D$97,"Empate",$E$4:$E$97,$BT33))</f>
        <v>0</v>
      </c>
      <c r="BW33" s="154" cm="1">
        <f t="array" ref="BW33">IF($BT33="-","-",_xlfn.COUNTIFS($AA$4:$AA$97,$BD33,$D$4:$D$97,"Visitante",$F$4:$F$97,$BT33)+_xlfn.COUNTIFS($AF$4:$AF$97,$BD33,$D$4:$D$97,"Local",$E$4:$E$97,$BT33))</f>
        <v>3</v>
      </c>
      <c r="BX33" s="154" cm="1">
        <f t="array" ref="BX33">IF($BT33="-","-",BU33*3+BV33)</f>
        <v>0</v>
      </c>
      <c r="BY33" s="154">
        <v>1</v>
      </c>
      <c r="BZ33" t="s" s="125">
        <v>135</v>
      </c>
      <c r="CA33" s="154" cm="1">
        <f t="array" ref="CA33">IF($BZ33="-","-",_xlfn.SUMIFS($AC$4:$AC$97,$AA$4:$AA$97,$BD33,$I$4:$I$97,$BZ33)+_xlfn.SUMIFS($AD$4:$AD$97,$AF$4:$AF$97,$BD33,$H$4:$H$97,$BZ33))</f>
        <v>2</v>
      </c>
      <c r="CB33" s="154" cm="1">
        <f t="array" ref="CB33">IF($BZ33="-","-",_xlfn.SUMIFS($AD$4:$AD$97,$AA$4:$AA$97,$BD33,$I$4:$I$97,$BZ33)+_xlfn.SUMIFS($AC$4:$AC$97,$AF$4:$AF$97,$BD33,$H$4:$H$97,$BZ33))</f>
        <v>6</v>
      </c>
      <c r="CC33" s="154" cm="1">
        <f t="array" ref="CC33">IF($BZ33="-","-",CA33-CB33)</f>
        <v>-4</v>
      </c>
      <c r="CD33" s="154">
        <v>1</v>
      </c>
      <c r="CE33" t="s" s="125">
        <v>135</v>
      </c>
      <c r="CF33" s="154" cm="1">
        <f t="array" ref="CF33">IF($CE33="-","-",_xlfn.SUMIFS($AC$4:$AC$97,$AA$4:$AA$97,$BD33,$L$4:$L$97,$CE33)+_xlfn.SUMIFS($AD$4:$AD$97,$AF$4:$AF$97,$BD33,$K$4:$K$97,$CE33))</f>
        <v>2</v>
      </c>
      <c r="CG33" s="154">
        <v>1</v>
      </c>
      <c r="CH33" t="s" s="125">
        <v>135</v>
      </c>
      <c r="CI33" s="154" cm="1">
        <f t="array" ref="CI33">IF($CH33="-","-",_xlfn.COUNTIFS($AA$4:$AA$97,$BD33,$D$4:$D$97,"Local",$O$4:$O$97,$CH33)+_xlfn.COUNTIFS($AF$4:$AF$97,$BD33,$D$4:$D$97,"Visitante",$N$4:$N$97,$CH33))</f>
        <v>0</v>
      </c>
      <c r="CJ33" s="154" cm="1">
        <f t="array" ref="CJ33">IF($CH33="-","-",_xlfn.COUNTIFS($AA$4:$AA$97,$BD33,$D$4:$D$97,"Empate",$O$4:$O$97,$CH33)+_xlfn.COUNTIFS($AF$4:$AF$97,$BD33,$D$4:$D$97,"Empate",$N$4:$N$97,$CH33))</f>
        <v>0</v>
      </c>
      <c r="CK33" s="154" cm="1">
        <f t="array" ref="CK33">IF($CH33="-","-",_xlfn.COUNTIFS($AA$4:$AA$97,$BD33,$D$4:$D$97,"Visitante",$O$4:$O$97,$CH33)+_xlfn.COUNTIFS($AF$4:$AF$97,$BD33,$D$4:$D$97,"Local",$N$4:$N$97,$CH33))</f>
        <v>3</v>
      </c>
      <c r="CL33" s="154" cm="1">
        <f t="array" ref="CL33">IF($CH33="-","-",CI33*3+CJ33)</f>
        <v>0</v>
      </c>
      <c r="CM33" s="154">
        <v>1</v>
      </c>
      <c r="CN33" t="s" s="125">
        <v>135</v>
      </c>
      <c r="CO33" s="154" cm="1">
        <f t="array" ref="CO33">IF($CN33="-","-",_xlfn.SUMIFS($AC$4:$AC$97,$AA$4:$AA$97,$BD33,$R$4:$R$97,$CN33)+_xlfn.SUMIFS($AD$4:$AD$97,$AF$4:$AF$97,$BD33,$Q$4:$Q$97,$CN33))</f>
        <v>2</v>
      </c>
      <c r="CP33" s="154" cm="1">
        <f t="array" ref="CP33">IF($CN33="-","-",_xlfn.SUMIFS($AD$4:$AD$97,$AA$4:$AA$97,$BD33,$R$4:$R$97,$CN33)+_xlfn.SUMIFS($AC$4:$AC$97,$AF$4:$AF$97,$BD33,$Q$4:$Q$97,$CN33))</f>
        <v>6</v>
      </c>
      <c r="CQ33" s="154" cm="1">
        <f t="array" ref="CQ33">IF($CN33="-","-",CO33-CP33)</f>
        <v>-4</v>
      </c>
      <c r="CR33" s="154">
        <v>1</v>
      </c>
      <c r="CS33" t="s" s="125">
        <v>135</v>
      </c>
      <c r="CT33" s="154" cm="1">
        <f t="array" ref="CT33">IF($CS33="-","-",_xlfn.SUMIFS($AC$4:$AC$97,$AA$4:$AA$97,$BD33,$U$4:$U$97,$CS33)+_xlfn.SUMIFS($AD$4:$AD$97,$AF$4:$AF$97,$BD33,$T$4:$T$97,$CS33))</f>
        <v>2</v>
      </c>
      <c r="CU33" s="154">
        <v>1</v>
      </c>
      <c r="CV33" t="s" s="125">
        <v>135</v>
      </c>
      <c r="CW33" s="154" cm="1">
        <f t="array" ref="CW33">IF(CV33="-","-",BL33)</f>
        <v>-4</v>
      </c>
      <c r="CX33" s="154">
        <v>1</v>
      </c>
      <c r="CY33" t="s" s="125">
        <v>135</v>
      </c>
      <c r="CZ33" s="154" cm="1">
        <f t="array" ref="CZ33">IF(CY33="-","-",BJ33)</f>
        <v>2</v>
      </c>
      <c r="DA33" s="154">
        <v>1</v>
      </c>
      <c r="DB33" t="s" s="125">
        <v>135</v>
      </c>
      <c r="DC33" s="154">
        <v>4</v>
      </c>
      <c r="DD33" s="154">
        <v>4</v>
      </c>
      <c r="DE33" s="140"/>
      <c r="DF33" s="154" cm="1">
        <f t="array" ref="DF33">IF(OR(INDEX($AW$6:$AW$97,MATCH($BD33,$AV$6:$AV$97,0))="",DB33="-"),DD33,INDEX($AW$6:$AW$97,MATCH($BD33,$AV$6:$AV$97,0))+DD33/1000)</f>
        <v>4</v>
      </c>
      <c r="DG33" s="154">
        <v>3</v>
      </c>
      <c r="DH33" s="154">
        <v>4</v>
      </c>
      <c r="DI33" s="140"/>
      <c r="DJ33" s="154" cm="1">
        <f t="array" ref="DJ33">INDEX($DA$6:$DA$53,MATCH($DQ33,$BD$6:$BD$53,0))</f>
        <v>1</v>
      </c>
      <c r="DK33" s="154" cm="1">
        <f t="array" ref="DK33">SUMIF($BC$6:$BC$53,BC33,$BF$6:$BF$53)</f>
        <v>12</v>
      </c>
      <c r="DL33" s="154" cm="1">
        <f t="array" ref="DL33">IF(OR(DK33=12,$AJ$99=144),_xlfn.COUNTIFS($DJ$6:$DJ$53,DJ33,$BC$6:$BC$53,BC33),1)</f>
        <v>4</v>
      </c>
      <c r="DM33" t="str" s="140" cm="1">
        <f t="array" ref="DM33">DJ33&amp;"."&amp;DL33</f>
        <v>1.4</v>
      </c>
      <c r="DN33" s="154">
        <v>1</v>
      </c>
      <c r="DO33" s="140"/>
      <c r="DP33" t="s" s="125">
        <v>313</v>
      </c>
      <c r="DQ33" t="str" s="140" cm="1">
        <f t="array" ref="DQ33">INDEX($BD$6:$BD$53,MATCH(DP33,$BM$6:$BM$53,0))</f>
        <v>Nueva Zelanda</v>
      </c>
      <c r="DR33" s="87"/>
      <c r="DS33" s="87"/>
      <c r="DT33" s="88"/>
      <c r="DU33" s="12"/>
    </row>
    <row r="34" ht="16" customHeight="1">
      <c r="A34" s="78"/>
      <c r="B34" s="78"/>
      <c r="C34" s="78"/>
      <c r="D34" s="78"/>
      <c r="E34" s="78"/>
      <c r="F34" s="78"/>
      <c r="G34" s="78"/>
      <c r="H34" s="78"/>
      <c r="I34" s="78"/>
      <c r="J34" s="78"/>
      <c r="K34" s="78"/>
      <c r="L34" s="78"/>
      <c r="M34" s="78"/>
      <c r="N34" s="78"/>
      <c r="O34" s="78"/>
      <c r="P34" s="78"/>
      <c r="Q34" s="78"/>
      <c r="R34" s="78"/>
      <c r="S34" s="78"/>
      <c r="T34" s="78"/>
      <c r="U34" s="78"/>
      <c r="V34" s="79"/>
      <c r="W34" s="180"/>
      <c r="X34" s="181"/>
      <c r="Y34" s="180"/>
      <c r="Z34" s="182"/>
      <c r="AA34" s="183"/>
      <c r="AB34" s="184"/>
      <c r="AC34" s="185"/>
      <c r="AD34" s="185"/>
      <c r="AE34" s="184"/>
      <c r="AF34" s="186"/>
      <c r="AG34" s="233"/>
      <c r="AH34" s="188"/>
      <c r="AI34" s="234"/>
      <c r="AJ34" s="189"/>
      <c r="AK34" s="190"/>
      <c r="AL34" s="191"/>
      <c r="AM34" s="192"/>
      <c r="AN34" s="189"/>
      <c r="AO34" s="189"/>
      <c r="AP34" s="189"/>
      <c r="AQ34" s="189"/>
      <c r="AR34" s="189"/>
      <c r="AS34" s="189"/>
      <c r="AT34" s="189"/>
      <c r="AU34" s="193"/>
      <c r="AV34" s="194"/>
      <c r="AW34" s="150"/>
      <c r="AX34" s="195"/>
      <c r="AY34" s="196"/>
      <c r="AZ34" s="197"/>
      <c r="BA34" s="8"/>
      <c r="BB34" s="87"/>
      <c r="BC34" t="s" s="125">
        <v>315</v>
      </c>
      <c r="BD34" t="s" s="125">
        <v>316</v>
      </c>
      <c r="BE34" s="154" cm="1">
        <f t="array" ref="BE34">BG34*3+BH34+IF($AZ$3="No",0,INDEX($AZ$6:$AZ$97,MATCH(BD34,$AY$6:$AY$97,0)))</f>
        <v>9</v>
      </c>
      <c r="BF34" s="154" cm="1">
        <f t="array" ref="BF34">BG34+BH34+BI34</f>
        <v>3</v>
      </c>
      <c r="BG34" s="154" cm="1">
        <f t="array" ref="BG34">_xlfn.COUNTIFS($AA$4:$AA$97,BD34,$D$4:$D$97,"Local")+_xlfn.COUNTIFS($AF$4:$AF$97,BD34,$D$4:$D$97,"Visitante")</f>
        <v>3</v>
      </c>
      <c r="BH34" s="154" cm="1">
        <f t="array" ref="BH34">_xlfn.COUNTIFS($AA$4:$AA$97,BD34,$D$4:$D$97,"Empate")+_xlfn.COUNTIFS($AF$4:$AF$97,BD34,$D$4:$D$97,"Empate")</f>
        <v>0</v>
      </c>
      <c r="BI34" s="154" cm="1">
        <f t="array" ref="BI34">_xlfn.COUNTIFS($AF$4:$AF$97,BD34,$D$4:$D$97,"Local")+_xlfn.COUNTIFS($AA$4:$AA$97,BD34,$D$4:$D$97,"Visitante")</f>
        <v>0</v>
      </c>
      <c r="BJ34" s="154" cm="1">
        <f t="array" ref="BJ34">_xlfn.SUMIFS($AC$4:$AC$97,$AA$4:$AA$97,BD34,$D$4:$D$97,"&lt;&gt;"&amp;"Pendiente",$AC$4:$AC$97,"&lt;&gt;"&amp;"",$AD$4:$AD$97,"&lt;&gt;"&amp;"")+_xlfn.SUMIFS($AD$4:$AD$97,$AF$4:$AF$97,BD34,$D$4:$D$97,"&lt;&gt;"&amp;"Pendiente",$AC$4:$AC$97,"&lt;&gt;"&amp;"",$AD$4:$AD$97,"&lt;&gt;"&amp;"")</f>
        <v>7</v>
      </c>
      <c r="BK34" s="154" cm="1">
        <f t="array" ref="BK34">_xlfn.SUMIFS($AC$4:$AC$97,$AF$4:$AF$97,BD34,$D$4:$D$97,"&lt;&gt;"&amp;"Pendiente",$AC$4:$AC$97,"&lt;&gt;"&amp;"",$AD$4:$AD$97,"&lt;&gt;"&amp;"")+_xlfn.SUMIFS($AD$4:$AD$97,$AA$4:$AA$97,BD34,$D$4:$D$97,"&lt;&gt;"&amp;"Pendiente",$AC$4:$AC$97,"&lt;&gt;"&amp;"",$AD$4:$AD$97,"&lt;&gt;"&amp;"")</f>
        <v>1</v>
      </c>
      <c r="BL34" s="154" cm="1">
        <f t="array" ref="BL34">BJ34-BK34</f>
        <v>6</v>
      </c>
      <c r="BM34" t="str" s="140" cm="1">
        <f t="array" ref="BM34">DD34&amp;BC34</f>
        <v>1H</v>
      </c>
      <c r="BN34" t="str" s="140" cm="1">
        <f t="array" ref="BN34">DH34&amp;BC34</f>
        <v>1H</v>
      </c>
      <c r="BO34" s="154" cm="1">
        <f t="array" ref="BO34">IF(AND($AJ$99=144,BF34&gt;=1),1,0)</f>
        <v>0</v>
      </c>
      <c r="BP34" s="154">
        <v>1</v>
      </c>
      <c r="BQ34" t="s" s="125">
        <v>135</v>
      </c>
      <c r="BR34" s="154" cm="1">
        <f t="array" ref="BR34">IF($BQ34="-","-",BE34)</f>
        <v>9</v>
      </c>
      <c r="BS34" s="154">
        <v>1</v>
      </c>
      <c r="BT34" t="s" s="125">
        <v>135</v>
      </c>
      <c r="BU34" s="154" cm="1">
        <f t="array" ref="BU34">IF($BT34="-","-",_xlfn.COUNTIFS($AA$4:$AA$97,$BD34,$D$4:$D$97,"Local",$F$4:$F$97,$BT34)+_xlfn.COUNTIFS($AF$4:$AF$97,$BD34,$D$4:$D$97,"Visitante",$E$4:$E$97,$BT34))</f>
        <v>3</v>
      </c>
      <c r="BV34" s="154" cm="1">
        <f t="array" ref="BV34">IF($BT34="-","-",_xlfn.COUNTIFS($AA$4:$AA$97,$BD34,$D$4:$D$97,"Empate",$F$4:$F$97,$BT34)+_xlfn.COUNTIFS($AF$4:$AF$97,$BD34,$D$4:$D$97,"Empate",$E$4:$E$97,$BT34))</f>
        <v>0</v>
      </c>
      <c r="BW34" s="154" cm="1">
        <f t="array" ref="BW34">IF($BT34="-","-",_xlfn.COUNTIFS($AA$4:$AA$97,$BD34,$D$4:$D$97,"Visitante",$F$4:$F$97,$BT34)+_xlfn.COUNTIFS($AF$4:$AF$97,$BD34,$D$4:$D$97,"Local",$E$4:$E$97,$BT34))</f>
        <v>0</v>
      </c>
      <c r="BX34" s="154" cm="1">
        <f t="array" ref="BX34">IF($BT34="-","-",BU34*3+BV34)</f>
        <v>9</v>
      </c>
      <c r="BY34" s="154">
        <v>1</v>
      </c>
      <c r="BZ34" t="s" s="125">
        <v>135</v>
      </c>
      <c r="CA34" s="154" cm="1">
        <f t="array" ref="CA34">IF($BZ34="-","-",_xlfn.SUMIFS($AC$4:$AC$97,$AA$4:$AA$97,$BD34,$I$4:$I$97,$BZ34)+_xlfn.SUMIFS($AD$4:$AD$97,$AF$4:$AF$97,$BD34,$H$4:$H$97,$BZ34))</f>
        <v>7</v>
      </c>
      <c r="CB34" s="154" cm="1">
        <f t="array" ref="CB34">IF($BZ34="-","-",_xlfn.SUMIFS($AD$4:$AD$97,$AA$4:$AA$97,$BD34,$I$4:$I$97,$BZ34)+_xlfn.SUMIFS($AC$4:$AC$97,$AF$4:$AF$97,$BD34,$H$4:$H$97,$BZ34))</f>
        <v>1</v>
      </c>
      <c r="CC34" s="154" cm="1">
        <f t="array" ref="CC34">IF($BZ34="-","-",CA34-CB34)</f>
        <v>6</v>
      </c>
      <c r="CD34" s="154">
        <v>1</v>
      </c>
      <c r="CE34" t="s" s="125">
        <v>135</v>
      </c>
      <c r="CF34" s="154" cm="1">
        <f t="array" ref="CF34">IF($CE34="-","-",_xlfn.SUMIFS($AC$4:$AC$97,$AA$4:$AA$97,$BD34,$L$4:$L$97,$CE34)+_xlfn.SUMIFS($AD$4:$AD$97,$AF$4:$AF$97,$BD34,$K$4:$K$97,$CE34))</f>
        <v>7</v>
      </c>
      <c r="CG34" s="154">
        <v>1</v>
      </c>
      <c r="CH34" t="s" s="125">
        <v>135</v>
      </c>
      <c r="CI34" s="154" cm="1">
        <f t="array" ref="CI34">IF($CH34="-","-",_xlfn.COUNTIFS($AA$4:$AA$97,$BD34,$D$4:$D$97,"Local",$O$4:$O$97,$CH34)+_xlfn.COUNTIFS($AF$4:$AF$97,$BD34,$D$4:$D$97,"Visitante",$N$4:$N$97,$CH34))</f>
        <v>3</v>
      </c>
      <c r="CJ34" s="154" cm="1">
        <f t="array" ref="CJ34">IF($CH34="-","-",_xlfn.COUNTIFS($AA$4:$AA$97,$BD34,$D$4:$D$97,"Empate",$O$4:$O$97,$CH34)+_xlfn.COUNTIFS($AF$4:$AF$97,$BD34,$D$4:$D$97,"Empate",$N$4:$N$97,$CH34))</f>
        <v>0</v>
      </c>
      <c r="CK34" s="154" cm="1">
        <f t="array" ref="CK34">IF($CH34="-","-",_xlfn.COUNTIFS($AA$4:$AA$97,$BD34,$D$4:$D$97,"Visitante",$O$4:$O$97,$CH34)+_xlfn.COUNTIFS($AF$4:$AF$97,$BD34,$D$4:$D$97,"Local",$N$4:$N$97,$CH34))</f>
        <v>0</v>
      </c>
      <c r="CL34" s="154" cm="1">
        <f t="array" ref="CL34">IF($CH34="-","-",CI34*3+CJ34)</f>
        <v>9</v>
      </c>
      <c r="CM34" s="154">
        <v>1</v>
      </c>
      <c r="CN34" t="s" s="125">
        <v>135</v>
      </c>
      <c r="CO34" s="154" cm="1">
        <f t="array" ref="CO34">IF($CN34="-","-",_xlfn.SUMIFS($AC$4:$AC$97,$AA$4:$AA$97,$BD34,$R$4:$R$97,$CN34)+_xlfn.SUMIFS($AD$4:$AD$97,$AF$4:$AF$97,$BD34,$Q$4:$Q$97,$CN34))</f>
        <v>7</v>
      </c>
      <c r="CP34" s="154" cm="1">
        <f t="array" ref="CP34">IF($CN34="-","-",_xlfn.SUMIFS($AD$4:$AD$97,$AA$4:$AA$97,$BD34,$R$4:$R$97,$CN34)+_xlfn.SUMIFS($AC$4:$AC$97,$AF$4:$AF$97,$BD34,$Q$4:$Q$97,$CN34))</f>
        <v>1</v>
      </c>
      <c r="CQ34" s="154" cm="1">
        <f t="array" ref="CQ34">IF($CN34="-","-",CO34-CP34)</f>
        <v>6</v>
      </c>
      <c r="CR34" s="154">
        <v>1</v>
      </c>
      <c r="CS34" t="s" s="125">
        <v>135</v>
      </c>
      <c r="CT34" s="154" cm="1">
        <f t="array" ref="CT34">IF($CS34="-","-",_xlfn.SUMIFS($AC$4:$AC$97,$AA$4:$AA$97,$BD34,$U$4:$U$97,$CS34)+_xlfn.SUMIFS($AD$4:$AD$97,$AF$4:$AF$97,$BD34,$T$4:$T$97,$CS34))</f>
        <v>7</v>
      </c>
      <c r="CU34" s="154">
        <v>1</v>
      </c>
      <c r="CV34" t="s" s="125">
        <v>135</v>
      </c>
      <c r="CW34" s="154" cm="1">
        <f t="array" ref="CW34">IF(CV34="-","-",BL34)</f>
        <v>6</v>
      </c>
      <c r="CX34" s="154">
        <v>1</v>
      </c>
      <c r="CY34" t="s" s="125">
        <v>135</v>
      </c>
      <c r="CZ34" s="154" cm="1">
        <f t="array" ref="CZ34">IF(CY34="-","-",BJ34)</f>
        <v>7</v>
      </c>
      <c r="DA34" s="154">
        <v>1</v>
      </c>
      <c r="DB34" t="s" s="125">
        <v>135</v>
      </c>
      <c r="DC34" s="154">
        <v>1</v>
      </c>
      <c r="DD34" s="154">
        <v>1</v>
      </c>
      <c r="DE34" s="140"/>
      <c r="DF34" s="154" cm="1">
        <f t="array" ref="DF34">IF(OR(INDEX($AW$6:$AW$97,MATCH($BD34,$AV$6:$AV$97,0))="",DB34="-"),DD34,INDEX($AW$6:$AW$97,MATCH($BD34,$AV$6:$AV$97,0))+DD34/1000)</f>
        <v>1</v>
      </c>
      <c r="DG34" s="154">
        <v>0</v>
      </c>
      <c r="DH34" s="154">
        <v>1</v>
      </c>
      <c r="DI34" s="140"/>
      <c r="DJ34" s="154" cm="1">
        <f t="array" ref="DJ34">INDEX($DA$6:$DA$53,MATCH($DQ34,$BD$6:$BD$53,0))</f>
        <v>1</v>
      </c>
      <c r="DK34" s="154" cm="1">
        <f t="array" ref="DK34">SUMIF($BC$6:$BC$53,BC34,$BF$6:$BF$53)</f>
        <v>12</v>
      </c>
      <c r="DL34" s="154" cm="1">
        <f t="array" ref="DL34">IF(OR(DK34=12,$AJ$99=144),_xlfn.COUNTIFS($DJ$6:$DJ$53,DJ34,$BC$6:$BC$53,BC34),1)</f>
        <v>4</v>
      </c>
      <c r="DM34" t="str" s="140" cm="1">
        <f t="array" ref="DM34">DJ34&amp;"."&amp;DL34</f>
        <v>1.4</v>
      </c>
      <c r="DN34" s="154">
        <v>1</v>
      </c>
      <c r="DO34" s="140"/>
      <c r="DP34" t="s" s="125">
        <v>318</v>
      </c>
      <c r="DQ34" t="str" s="140" cm="1">
        <f t="array" ref="DQ34">INDEX($BD$6:$BD$53,MATCH(DP34,$BM$6:$BM$53,0))</f>
        <v>España</v>
      </c>
      <c r="DR34" s="87"/>
      <c r="DS34" s="87"/>
      <c r="DT34" s="88"/>
      <c r="DU34" s="12"/>
    </row>
    <row r="35" ht="16" customHeight="1">
      <c r="A35" s="78"/>
      <c r="B35" s="78"/>
      <c r="C35" s="78"/>
      <c r="D35" s="78"/>
      <c r="E35" s="78"/>
      <c r="F35" s="78"/>
      <c r="G35" s="78"/>
      <c r="H35" s="78"/>
      <c r="I35" s="78"/>
      <c r="J35" s="78"/>
      <c r="K35" s="78"/>
      <c r="L35" s="78"/>
      <c r="M35" s="78"/>
      <c r="N35" s="78"/>
      <c r="O35" s="78"/>
      <c r="P35" s="78"/>
      <c r="Q35" s="78"/>
      <c r="R35" s="78"/>
      <c r="S35" s="78"/>
      <c r="T35" s="78"/>
      <c r="U35" s="78"/>
      <c r="V35" s="90"/>
      <c r="W35" s="91"/>
      <c r="X35" t="str" s="198" cm="1">
        <f t="array" ref="X35">X19</f>
        <v>Fecha</v>
      </c>
      <c r="Y35" t="str" s="198" cm="1">
        <f t="array" ref="Y35">Y19</f>
        <v>Hora</v>
      </c>
      <c r="Z35" t="str" s="119" cm="1">
        <f t="array" ref="Z35">Z19</f>
        <v>Jor.</v>
      </c>
      <c r="AA35" t="str" s="199" cm="1">
        <f t="array" ref="AA35">AA19</f>
        <v>Casa</v>
      </c>
      <c r="AB35" s="95"/>
      <c r="AC35" t="str" s="119" cm="1">
        <f t="array" ref="AC35">AC3</f>
        <v>Gol</v>
      </c>
      <c r="AD35" t="str" s="119" cm="1">
        <f t="array" ref="AD35">AD3</f>
        <v>Gol</v>
      </c>
      <c r="AE35" s="95"/>
      <c r="AF35" t="str" s="200" cm="1">
        <f t="array" ref="AF35">AF19</f>
        <v>Fuera</v>
      </c>
      <c r="AG35" s="201"/>
      <c r="AH35" s="188"/>
      <c r="AI35" s="83"/>
      <c r="AJ35" s="100"/>
      <c r="AK35" s="202"/>
      <c r="AL35" s="100"/>
      <c r="AM35" s="100"/>
      <c r="AN35" s="100"/>
      <c r="AO35" s="100"/>
      <c r="AP35" s="100"/>
      <c r="AQ35" s="100"/>
      <c r="AR35" s="100"/>
      <c r="AS35" s="100"/>
      <c r="AT35" s="100"/>
      <c r="AU35" s="203"/>
      <c r="AV35" s="84"/>
      <c r="AW35" s="204"/>
      <c r="AX35" s="205"/>
      <c r="AY35" s="206"/>
      <c r="AZ35" s="207"/>
      <c r="BA35" s="8"/>
      <c r="BB35" s="87"/>
      <c r="BC35" t="s" s="125">
        <v>315</v>
      </c>
      <c r="BD35" t="s" s="125">
        <v>320</v>
      </c>
      <c r="BE35" s="154" cm="1">
        <f t="array" ref="BE35">BG35*3+BH35+IF($AZ$3="No",0,INDEX($AZ$6:$AZ$97,MATCH(BD35,$AY$6:$AY$97,0)))</f>
        <v>0</v>
      </c>
      <c r="BF35" s="154" cm="1">
        <f t="array" ref="BF35">BG35+BH35+BI35</f>
        <v>3</v>
      </c>
      <c r="BG35" s="154" cm="1">
        <f t="array" ref="BG35">_xlfn.COUNTIFS($AA$4:$AA$97,BD35,$D$4:$D$97,"Local")+_xlfn.COUNTIFS($AF$4:$AF$97,BD35,$D$4:$D$97,"Visitante")</f>
        <v>0</v>
      </c>
      <c r="BH35" s="154" cm="1">
        <f t="array" ref="BH35">_xlfn.COUNTIFS($AA$4:$AA$97,BD35,$D$4:$D$97,"Empate")+_xlfn.COUNTIFS($AF$4:$AF$97,BD35,$D$4:$D$97,"Empate")</f>
        <v>0</v>
      </c>
      <c r="BI35" s="154" cm="1">
        <f t="array" ref="BI35">_xlfn.COUNTIFS($AF$4:$AF$97,BD35,$D$4:$D$97,"Local")+_xlfn.COUNTIFS($AA$4:$AA$97,BD35,$D$4:$D$97,"Visitante")</f>
        <v>3</v>
      </c>
      <c r="BJ35" s="154" cm="1">
        <f t="array" ref="BJ35">_xlfn.SUMIFS($AC$4:$AC$97,$AA$4:$AA$97,BD35,$D$4:$D$97,"&lt;&gt;"&amp;"Pendiente",$AC$4:$AC$97,"&lt;&gt;"&amp;"",$AD$4:$AD$97,"&lt;&gt;"&amp;"")+_xlfn.SUMIFS($AD$4:$AD$97,$AF$4:$AF$97,BD35,$D$4:$D$97,"&lt;&gt;"&amp;"Pendiente",$AC$4:$AC$97,"&lt;&gt;"&amp;"",$AD$4:$AD$97,"&lt;&gt;"&amp;"")</f>
        <v>1</v>
      </c>
      <c r="BK35" s="154" cm="1">
        <f t="array" ref="BK35">_xlfn.SUMIFS($AC$4:$AC$97,$AF$4:$AF$97,BD35,$D$4:$D$97,"&lt;&gt;"&amp;"Pendiente",$AC$4:$AC$97,"&lt;&gt;"&amp;"",$AD$4:$AD$97,"&lt;&gt;"&amp;"")+_xlfn.SUMIFS($AD$4:$AD$97,$AA$4:$AA$97,BD35,$D$4:$D$97,"&lt;&gt;"&amp;"Pendiente",$AC$4:$AC$97,"&lt;&gt;"&amp;"",$AD$4:$AD$97,"&lt;&gt;"&amp;"")</f>
        <v>7</v>
      </c>
      <c r="BL35" s="154" cm="1">
        <f t="array" ref="BL35">BJ35-BK35</f>
        <v>-6</v>
      </c>
      <c r="BM35" t="str" s="140" cm="1">
        <f t="array" ref="BM35">DD35&amp;BC35</f>
        <v>2H</v>
      </c>
      <c r="BN35" t="str" s="140" cm="1">
        <f t="array" ref="BN35">DH35&amp;BC35</f>
        <v>2H</v>
      </c>
      <c r="BO35" s="154" cm="1">
        <f t="array" ref="BO35">IF(AND($AJ$99=144,BF35&gt;=1),1,0)</f>
        <v>0</v>
      </c>
      <c r="BP35" s="154">
        <v>1</v>
      </c>
      <c r="BQ35" t="s" s="125">
        <v>135</v>
      </c>
      <c r="BR35" s="154" cm="1">
        <f t="array" ref="BR35">IF($BQ35="-","-",BE35)</f>
        <v>0</v>
      </c>
      <c r="BS35" s="154">
        <v>1</v>
      </c>
      <c r="BT35" t="s" s="125">
        <v>135</v>
      </c>
      <c r="BU35" s="154" cm="1">
        <f t="array" ref="BU35">IF($BT35="-","-",_xlfn.COUNTIFS($AA$4:$AA$97,$BD35,$D$4:$D$97,"Local",$F$4:$F$97,$BT35)+_xlfn.COUNTIFS($AF$4:$AF$97,$BD35,$D$4:$D$97,"Visitante",$E$4:$E$97,$BT35))</f>
        <v>0</v>
      </c>
      <c r="BV35" s="154" cm="1">
        <f t="array" ref="BV35">IF($BT35="-","-",_xlfn.COUNTIFS($AA$4:$AA$97,$BD35,$D$4:$D$97,"Empate",$F$4:$F$97,$BT35)+_xlfn.COUNTIFS($AF$4:$AF$97,$BD35,$D$4:$D$97,"Empate",$E$4:$E$97,$BT35))</f>
        <v>0</v>
      </c>
      <c r="BW35" s="154" cm="1">
        <f t="array" ref="BW35">IF($BT35="-","-",_xlfn.COUNTIFS($AA$4:$AA$97,$BD35,$D$4:$D$97,"Visitante",$F$4:$F$97,$BT35)+_xlfn.COUNTIFS($AF$4:$AF$97,$BD35,$D$4:$D$97,"Local",$E$4:$E$97,$BT35))</f>
        <v>3</v>
      </c>
      <c r="BX35" s="154" cm="1">
        <f t="array" ref="BX35">IF($BT35="-","-",BU35*3+BV35)</f>
        <v>0</v>
      </c>
      <c r="BY35" s="154">
        <v>1</v>
      </c>
      <c r="BZ35" t="s" s="125">
        <v>135</v>
      </c>
      <c r="CA35" s="154" cm="1">
        <f t="array" ref="CA35">IF($BZ35="-","-",_xlfn.SUMIFS($AC$4:$AC$97,$AA$4:$AA$97,$BD35,$I$4:$I$97,$BZ35)+_xlfn.SUMIFS($AD$4:$AD$97,$AF$4:$AF$97,$BD35,$H$4:$H$97,$BZ35))</f>
        <v>1</v>
      </c>
      <c r="CB35" s="154" cm="1">
        <f t="array" ref="CB35">IF($BZ35="-","-",_xlfn.SUMIFS($AD$4:$AD$97,$AA$4:$AA$97,$BD35,$I$4:$I$97,$BZ35)+_xlfn.SUMIFS($AC$4:$AC$97,$AF$4:$AF$97,$BD35,$H$4:$H$97,$BZ35))</f>
        <v>7</v>
      </c>
      <c r="CC35" s="154" cm="1">
        <f t="array" ref="CC35">IF($BZ35="-","-",CA35-CB35)</f>
        <v>-6</v>
      </c>
      <c r="CD35" s="154">
        <v>1</v>
      </c>
      <c r="CE35" t="s" s="125">
        <v>135</v>
      </c>
      <c r="CF35" s="154" cm="1">
        <f t="array" ref="CF35">IF($CE35="-","-",_xlfn.SUMIFS($AC$4:$AC$97,$AA$4:$AA$97,$BD35,$L$4:$L$97,$CE35)+_xlfn.SUMIFS($AD$4:$AD$97,$AF$4:$AF$97,$BD35,$K$4:$K$97,$CE35))</f>
        <v>1</v>
      </c>
      <c r="CG35" s="154">
        <v>1</v>
      </c>
      <c r="CH35" t="s" s="125">
        <v>135</v>
      </c>
      <c r="CI35" s="154" cm="1">
        <f t="array" ref="CI35">IF($CH35="-","-",_xlfn.COUNTIFS($AA$4:$AA$97,$BD35,$D$4:$D$97,"Local",$O$4:$O$97,$CH35)+_xlfn.COUNTIFS($AF$4:$AF$97,$BD35,$D$4:$D$97,"Visitante",$N$4:$N$97,$CH35))</f>
        <v>0</v>
      </c>
      <c r="CJ35" s="154" cm="1">
        <f t="array" ref="CJ35">IF($CH35="-","-",_xlfn.COUNTIFS($AA$4:$AA$97,$BD35,$D$4:$D$97,"Empate",$O$4:$O$97,$CH35)+_xlfn.COUNTIFS($AF$4:$AF$97,$BD35,$D$4:$D$97,"Empate",$N$4:$N$97,$CH35))</f>
        <v>0</v>
      </c>
      <c r="CK35" s="154" cm="1">
        <f t="array" ref="CK35">IF($CH35="-","-",_xlfn.COUNTIFS($AA$4:$AA$97,$BD35,$D$4:$D$97,"Visitante",$O$4:$O$97,$CH35)+_xlfn.COUNTIFS($AF$4:$AF$97,$BD35,$D$4:$D$97,"Local",$N$4:$N$97,$CH35))</f>
        <v>3</v>
      </c>
      <c r="CL35" s="154" cm="1">
        <f t="array" ref="CL35">IF($CH35="-","-",CI35*3+CJ35)</f>
        <v>0</v>
      </c>
      <c r="CM35" s="154">
        <v>1</v>
      </c>
      <c r="CN35" t="s" s="125">
        <v>135</v>
      </c>
      <c r="CO35" s="154" cm="1">
        <f t="array" ref="CO35">IF($CN35="-","-",_xlfn.SUMIFS($AC$4:$AC$97,$AA$4:$AA$97,$BD35,$R$4:$R$97,$CN35)+_xlfn.SUMIFS($AD$4:$AD$97,$AF$4:$AF$97,$BD35,$Q$4:$Q$97,$CN35))</f>
        <v>1</v>
      </c>
      <c r="CP35" s="154" cm="1">
        <f t="array" ref="CP35">IF($CN35="-","-",_xlfn.SUMIFS($AD$4:$AD$97,$AA$4:$AA$97,$BD35,$R$4:$R$97,$CN35)+_xlfn.SUMIFS($AC$4:$AC$97,$AF$4:$AF$97,$BD35,$Q$4:$Q$97,$CN35))</f>
        <v>7</v>
      </c>
      <c r="CQ35" s="154" cm="1">
        <f t="array" ref="CQ35">IF($CN35="-","-",CO35-CP35)</f>
        <v>-6</v>
      </c>
      <c r="CR35" s="154">
        <v>1</v>
      </c>
      <c r="CS35" t="s" s="125">
        <v>135</v>
      </c>
      <c r="CT35" s="154" cm="1">
        <f t="array" ref="CT35">IF($CS35="-","-",_xlfn.SUMIFS($AC$4:$AC$97,$AA$4:$AA$97,$BD35,$U$4:$U$97,$CS35)+_xlfn.SUMIFS($AD$4:$AD$97,$AF$4:$AF$97,$BD35,$T$4:$T$97,$CS35))</f>
        <v>1</v>
      </c>
      <c r="CU35" s="154">
        <v>1</v>
      </c>
      <c r="CV35" t="s" s="125">
        <v>135</v>
      </c>
      <c r="CW35" s="154" cm="1">
        <f t="array" ref="CW35">IF(CV35="-","-",BL35)</f>
        <v>-6</v>
      </c>
      <c r="CX35" s="154">
        <v>1</v>
      </c>
      <c r="CY35" t="s" s="125">
        <v>135</v>
      </c>
      <c r="CZ35" s="154" cm="1">
        <f t="array" ref="CZ35">IF(CY35="-","-",BJ35)</f>
        <v>1</v>
      </c>
      <c r="DA35" s="154">
        <v>1</v>
      </c>
      <c r="DB35" t="s" s="125">
        <v>135</v>
      </c>
      <c r="DC35" s="154">
        <v>2</v>
      </c>
      <c r="DD35" s="154">
        <v>2</v>
      </c>
      <c r="DE35" s="140"/>
      <c r="DF35" s="154" cm="1">
        <f t="array" ref="DF35">IF(OR(INDEX($AW$6:$AW$97,MATCH($BD35,$AV$6:$AV$97,0))="",DB35="-"),DD35,INDEX($AW$6:$AW$97,MATCH($BD35,$AV$6:$AV$97,0))+DD35/1000)</f>
        <v>2</v>
      </c>
      <c r="DG35" s="154">
        <v>1</v>
      </c>
      <c r="DH35" s="154">
        <v>2</v>
      </c>
      <c r="DI35" s="140"/>
      <c r="DJ35" s="154" cm="1">
        <f t="array" ref="DJ35">INDEX($DA$6:$DA$53,MATCH($DQ35,$BD$6:$BD$53,0))</f>
        <v>1</v>
      </c>
      <c r="DK35" s="154" cm="1">
        <f t="array" ref="DK35">SUMIF($BC$6:$BC$53,BC35,$BF$6:$BF$53)</f>
        <v>12</v>
      </c>
      <c r="DL35" s="154" cm="1">
        <f t="array" ref="DL35">IF(OR(DK35=12,$AJ$99=144),_xlfn.COUNTIFS($DJ$6:$DJ$53,DJ35,$BC$6:$BC$53,BC35),1)</f>
        <v>4</v>
      </c>
      <c r="DM35" t="str" s="140" cm="1">
        <f t="array" ref="DM35">DJ35&amp;"."&amp;DL35</f>
        <v>1.4</v>
      </c>
      <c r="DN35" s="154">
        <v>1</v>
      </c>
      <c r="DO35" s="140"/>
      <c r="DP35" t="s" s="125">
        <v>322</v>
      </c>
      <c r="DQ35" t="str" s="140" cm="1">
        <f t="array" ref="DQ35">INDEX($BD$6:$BD$53,MATCH(DP35,$BM$6:$BM$53,0))</f>
        <v>Cabo Verde</v>
      </c>
      <c r="DR35" s="87"/>
      <c r="DS35" s="87"/>
      <c r="DT35" s="88"/>
      <c r="DU35" s="12"/>
    </row>
    <row r="36" ht="16" customHeight="1">
      <c r="A36" t="s" s="89">
        <v>45</v>
      </c>
      <c r="B36" t="s" s="89">
        <v>64</v>
      </c>
      <c r="C36" s="105">
        <v>4</v>
      </c>
      <c r="D36" t="str" s="78" cm="1">
        <f t="array" ref="D36">IF(OR(AC36="",AD36=""),"Pendiente",IF(AC36&gt;AD36,"Local",IF(AC36&lt;AD36,"Visitante","Empate")))</f>
        <v>Local</v>
      </c>
      <c r="E36" t="str" s="78" cm="1">
        <f t="array" ref="E36">IF(D36="Pendiente","-",INDEX($BT$6:$BT$53,MATCH($AA36,$BD$6:$BD$53,0)))</f>
        <v>P.1 (4)</v>
      </c>
      <c r="F36" t="str" s="78" cm="1">
        <f t="array" ref="F36">IF(D36="Pendiente","-",INDEX($BT$6:$BT$53,MATCH($AF36,$BD$6:$BD$53,0)))</f>
        <v>P.1 (4)</v>
      </c>
      <c r="G36" s="78"/>
      <c r="H36" t="str" s="78" cm="1">
        <f t="array" ref="H36">IF(D36="Pendiente","-",INDEX($BZ$6:$BZ$53,MATCH($AA36,$BD$6:$BD$53,0)))</f>
        <v>P.1 (4)</v>
      </c>
      <c r="I36" t="str" s="78" cm="1">
        <f t="array" ref="I36">IF(D36="Pendiente","-",INDEX($BZ$6:$BZ$53,MATCH($AF36,$BD$6:$BD$53,0)))</f>
        <v>P.1 (4)</v>
      </c>
      <c r="J36" s="78"/>
      <c r="K36" t="str" s="78" cm="1">
        <f t="array" ref="K36">IF(D36="Pendiente","-",INDEX($CE$6:$CE$53,MATCH($AA36,$BD$6:$BD$53,0)))</f>
        <v>P.1 (4)</v>
      </c>
      <c r="L36" t="str" s="78" cm="1">
        <f t="array" ref="L36">IF(D36="Pendiente","-",INDEX($CE$6:$CE$53,MATCH($AF36,$BD$6:$BD$53,0)))</f>
        <v>P.1 (4)</v>
      </c>
      <c r="M36" s="78"/>
      <c r="N36" t="str" s="78" cm="1">
        <f t="array" ref="N36">IF(D36="Pendiente","-",INDEX($CH$6:$CH$53,MATCH($AA36,$BD$6:$BD$53,0)))</f>
        <v>P.1 (4)</v>
      </c>
      <c r="O36" t="str" s="78" cm="1">
        <f t="array" ref="O36">IF(D36="Pendiente","-",INDEX($CH$6:$CH$53,MATCH($AF36,$BD$6:$BD$53,0)))</f>
        <v>P.1 (4)</v>
      </c>
      <c r="P36" s="78"/>
      <c r="Q36" t="str" s="78" cm="1">
        <f t="array" ref="Q36">IF(D36="Pendiente","-",INDEX($CN$6:$CN$53,MATCH($AA36,$BD$6:$BD$53,0)))</f>
        <v>P.1 (4)</v>
      </c>
      <c r="R36" t="str" s="78" cm="1">
        <f t="array" ref="R36">IF(D36="Pendiente","-",INDEX($CN$6:$CN$53,MATCH($AF36,$BD$6:$BD$53,0)))</f>
        <v>P.1 (4)</v>
      </c>
      <c r="S36" s="78"/>
      <c r="T36" t="str" s="78" cm="1">
        <f t="array" ref="T36">IF(D36="Pendiente","-",INDEX($CS$6:$CS$53,MATCH($AA36,$BD$6:$BD$53,0)))</f>
        <v>P.1 (4)</v>
      </c>
      <c r="U36" t="str" s="78" cm="1">
        <f t="array" ref="U36">IF(D36="Pendiente","-",INDEX($CS$6:$CS$53,MATCH($AF36,$BD$6:$BD$53,0)))</f>
        <v>P.1 (4)</v>
      </c>
      <c r="V36" s="90"/>
      <c r="W36" t="s" s="242">
        <v>64</v>
      </c>
      <c r="X36" s="107">
        <v>46187.541666666657</v>
      </c>
      <c r="Y36" s="108">
        <v>46187.541666666657</v>
      </c>
      <c r="Z36" t="str" s="127" cm="1">
        <f t="array" ref="Z36">$Z$4</f>
        <v>J1</v>
      </c>
      <c r="AA36" t="str" s="110" cm="1">
        <f t="array" ref="AA36">A37</f>
        <v>Alemania</v>
      </c>
      <c r="AB36" s="111"/>
      <c r="AC36" s="112">
        <v>3</v>
      </c>
      <c r="AD36" s="112">
        <v>0</v>
      </c>
      <c r="AE36" s="113"/>
      <c r="AF36" t="str" s="114" cm="1">
        <f t="array" ref="AF36">A38</f>
        <v>Curazao</v>
      </c>
      <c r="AG36" s="115" cm="1">
        <f t="array" ref="AG36">IF(NOT(OR(ISBLANK(AC36),ISBLANK(AD36))),1,0)</f>
        <v>1</v>
      </c>
      <c r="AH36" s="116">
        <v>10</v>
      </c>
      <c r="AI36" s="117"/>
      <c r="AJ36" t="str" s="118" cm="1">
        <f t="array" ref="AJ36">CONCATENATE(AJ3," ",B36)</f>
        <v>Grupo E</v>
      </c>
      <c r="AK36" s="119"/>
      <c r="AL36" s="119"/>
      <c r="AM36" s="119"/>
      <c r="AN36" s="119"/>
      <c r="AO36" s="119"/>
      <c r="AP36" s="119"/>
      <c r="AQ36" s="119"/>
      <c r="AR36" s="119"/>
      <c r="AS36" s="119"/>
      <c r="AT36" s="120"/>
      <c r="AU36" s="209"/>
      <c r="AV36" t="str" s="122" cm="1">
        <f t="array" ref="AV36">IF(AU37&gt;0,$AV$3,"")</f>
        <v>¡EMPATE! Puedes seleccionar el orden de los empatados.</v>
      </c>
      <c r="AW36" s="217"/>
      <c r="AX36" s="217"/>
      <c r="AY36" s="211"/>
      <c r="AZ36" s="212"/>
      <c r="BA36" s="8"/>
      <c r="BB36" s="87"/>
      <c r="BC36" t="s" s="125">
        <v>315</v>
      </c>
      <c r="BD36" t="s" s="125">
        <v>327</v>
      </c>
      <c r="BE36" s="154" cm="1">
        <f t="array" ref="BE36">BG36*3+BH36+IF($AZ$3="No",0,INDEX($AZ$6:$AZ$97,MATCH(BD36,$AY$6:$AY$97,0)))</f>
        <v>3</v>
      </c>
      <c r="BF36" s="154" cm="1">
        <f t="array" ref="BF36">BG36+BH36+BI36</f>
        <v>3</v>
      </c>
      <c r="BG36" s="154" cm="1">
        <f t="array" ref="BG36">_xlfn.COUNTIFS($AA$4:$AA$97,BD36,$D$4:$D$97,"Local")+_xlfn.COUNTIFS($AF$4:$AF$97,BD36,$D$4:$D$97,"Visitante")</f>
        <v>1</v>
      </c>
      <c r="BH36" s="154" cm="1">
        <f t="array" ref="BH36">_xlfn.COUNTIFS($AA$4:$AA$97,BD36,$D$4:$D$97,"Empate")+_xlfn.COUNTIFS($AF$4:$AF$97,BD36,$D$4:$D$97,"Empate")</f>
        <v>0</v>
      </c>
      <c r="BI36" s="154" cm="1">
        <f t="array" ref="BI36">_xlfn.COUNTIFS($AF$4:$AF$97,BD36,$D$4:$D$97,"Local")+_xlfn.COUNTIFS($AA$4:$AA$97,BD36,$D$4:$D$97,"Visitante")</f>
        <v>2</v>
      </c>
      <c r="BJ36" s="154" cm="1">
        <f t="array" ref="BJ36">_xlfn.SUMIFS($AC$4:$AC$97,$AA$4:$AA$97,BD36,$D$4:$D$97,"&lt;&gt;"&amp;"Pendiente",$AC$4:$AC$97,"&lt;&gt;"&amp;"",$AD$4:$AD$97,"&lt;&gt;"&amp;"")+_xlfn.SUMIFS($AD$4:$AD$97,$AF$4:$AF$97,BD36,$D$4:$D$97,"&lt;&gt;"&amp;"Pendiente",$AC$4:$AC$97,"&lt;&gt;"&amp;"",$AD$4:$AD$97,"&lt;&gt;"&amp;"")</f>
        <v>3</v>
      </c>
      <c r="BK36" s="154" cm="1">
        <f t="array" ref="BK36">_xlfn.SUMIFS($AC$4:$AC$97,$AF$4:$AF$97,BD36,$D$4:$D$97,"&lt;&gt;"&amp;"Pendiente",$AC$4:$AC$97,"&lt;&gt;"&amp;"",$AD$4:$AD$97,"&lt;&gt;"&amp;"")+_xlfn.SUMIFS($AD$4:$AD$97,$AA$4:$AA$97,BD36,$D$4:$D$97,"&lt;&gt;"&amp;"Pendiente",$AC$4:$AC$97,"&lt;&gt;"&amp;"",$AD$4:$AD$97,"&lt;&gt;"&amp;"")</f>
        <v>5</v>
      </c>
      <c r="BL36" s="154" cm="1">
        <f t="array" ref="BL36">BJ36-BK36</f>
        <v>-2</v>
      </c>
      <c r="BM36" t="str" s="140" cm="1">
        <f t="array" ref="BM36">DD36&amp;BC36</f>
        <v>3H</v>
      </c>
      <c r="BN36" t="str" s="140" cm="1">
        <f t="array" ref="BN36">DH36&amp;BC36</f>
        <v>3H</v>
      </c>
      <c r="BO36" s="154" cm="1">
        <f t="array" ref="BO36">IF(AND($AJ$99=144,BF36&gt;=1),1,0)</f>
        <v>0</v>
      </c>
      <c r="BP36" s="154">
        <v>1</v>
      </c>
      <c r="BQ36" t="s" s="125">
        <v>135</v>
      </c>
      <c r="BR36" s="154" cm="1">
        <f t="array" ref="BR36">IF($BQ36="-","-",BE36)</f>
        <v>3</v>
      </c>
      <c r="BS36" s="154">
        <v>1</v>
      </c>
      <c r="BT36" t="s" s="125">
        <v>135</v>
      </c>
      <c r="BU36" s="154" cm="1">
        <f t="array" ref="BU36">IF($BT36="-","-",_xlfn.COUNTIFS($AA$4:$AA$97,$BD36,$D$4:$D$97,"Local",$F$4:$F$97,$BT36)+_xlfn.COUNTIFS($AF$4:$AF$97,$BD36,$D$4:$D$97,"Visitante",$E$4:$E$97,$BT36))</f>
        <v>1</v>
      </c>
      <c r="BV36" s="154" cm="1">
        <f t="array" ref="BV36">IF($BT36="-","-",_xlfn.COUNTIFS($AA$4:$AA$97,$BD36,$D$4:$D$97,"Empate",$F$4:$F$97,$BT36)+_xlfn.COUNTIFS($AF$4:$AF$97,$BD36,$D$4:$D$97,"Empate",$E$4:$E$97,$BT36))</f>
        <v>0</v>
      </c>
      <c r="BW36" s="154" cm="1">
        <f t="array" ref="BW36">IF($BT36="-","-",_xlfn.COUNTIFS($AA$4:$AA$97,$BD36,$D$4:$D$97,"Visitante",$F$4:$F$97,$BT36)+_xlfn.COUNTIFS($AF$4:$AF$97,$BD36,$D$4:$D$97,"Local",$E$4:$E$97,$BT36))</f>
        <v>2</v>
      </c>
      <c r="BX36" s="154" cm="1">
        <f t="array" ref="BX36">IF($BT36="-","-",BU36*3+BV36)</f>
        <v>3</v>
      </c>
      <c r="BY36" s="154">
        <v>1</v>
      </c>
      <c r="BZ36" t="s" s="125">
        <v>135</v>
      </c>
      <c r="CA36" s="154" cm="1">
        <f t="array" ref="CA36">IF($BZ36="-","-",_xlfn.SUMIFS($AC$4:$AC$97,$AA$4:$AA$97,$BD36,$I$4:$I$97,$BZ36)+_xlfn.SUMIFS($AD$4:$AD$97,$AF$4:$AF$97,$BD36,$H$4:$H$97,$BZ36))</f>
        <v>3</v>
      </c>
      <c r="CB36" s="154" cm="1">
        <f t="array" ref="CB36">IF($BZ36="-","-",_xlfn.SUMIFS($AD$4:$AD$97,$AA$4:$AA$97,$BD36,$I$4:$I$97,$BZ36)+_xlfn.SUMIFS($AC$4:$AC$97,$AF$4:$AF$97,$BD36,$H$4:$H$97,$BZ36))</f>
        <v>5</v>
      </c>
      <c r="CC36" s="154" cm="1">
        <f t="array" ref="CC36">IF($BZ36="-","-",CA36-CB36)</f>
        <v>-2</v>
      </c>
      <c r="CD36" s="154">
        <v>1</v>
      </c>
      <c r="CE36" t="s" s="125">
        <v>135</v>
      </c>
      <c r="CF36" s="154" cm="1">
        <f t="array" ref="CF36">IF($CE36="-","-",_xlfn.SUMIFS($AC$4:$AC$97,$AA$4:$AA$97,$BD36,$L$4:$L$97,$CE36)+_xlfn.SUMIFS($AD$4:$AD$97,$AF$4:$AF$97,$BD36,$K$4:$K$97,$CE36))</f>
        <v>3</v>
      </c>
      <c r="CG36" s="154">
        <v>1</v>
      </c>
      <c r="CH36" t="s" s="125">
        <v>135</v>
      </c>
      <c r="CI36" s="154" cm="1">
        <f t="array" ref="CI36">IF($CH36="-","-",_xlfn.COUNTIFS($AA$4:$AA$97,$BD36,$D$4:$D$97,"Local",$O$4:$O$97,$CH36)+_xlfn.COUNTIFS($AF$4:$AF$97,$BD36,$D$4:$D$97,"Visitante",$N$4:$N$97,$CH36))</f>
        <v>1</v>
      </c>
      <c r="CJ36" s="154" cm="1">
        <f t="array" ref="CJ36">IF($CH36="-","-",_xlfn.COUNTIFS($AA$4:$AA$97,$BD36,$D$4:$D$97,"Empate",$O$4:$O$97,$CH36)+_xlfn.COUNTIFS($AF$4:$AF$97,$BD36,$D$4:$D$97,"Empate",$N$4:$N$97,$CH36))</f>
        <v>0</v>
      </c>
      <c r="CK36" s="154" cm="1">
        <f t="array" ref="CK36">IF($CH36="-","-",_xlfn.COUNTIFS($AA$4:$AA$97,$BD36,$D$4:$D$97,"Visitante",$O$4:$O$97,$CH36)+_xlfn.COUNTIFS($AF$4:$AF$97,$BD36,$D$4:$D$97,"Local",$N$4:$N$97,$CH36))</f>
        <v>2</v>
      </c>
      <c r="CL36" s="154" cm="1">
        <f t="array" ref="CL36">IF($CH36="-","-",CI36*3+CJ36)</f>
        <v>3</v>
      </c>
      <c r="CM36" s="154">
        <v>1</v>
      </c>
      <c r="CN36" t="s" s="125">
        <v>135</v>
      </c>
      <c r="CO36" s="154" cm="1">
        <f t="array" ref="CO36">IF($CN36="-","-",_xlfn.SUMIFS($AC$4:$AC$97,$AA$4:$AA$97,$BD36,$R$4:$R$97,$CN36)+_xlfn.SUMIFS($AD$4:$AD$97,$AF$4:$AF$97,$BD36,$Q$4:$Q$97,$CN36))</f>
        <v>3</v>
      </c>
      <c r="CP36" s="154" cm="1">
        <f t="array" ref="CP36">IF($CN36="-","-",_xlfn.SUMIFS($AD$4:$AD$97,$AA$4:$AA$97,$BD36,$R$4:$R$97,$CN36)+_xlfn.SUMIFS($AC$4:$AC$97,$AF$4:$AF$97,$BD36,$Q$4:$Q$97,$CN36))</f>
        <v>5</v>
      </c>
      <c r="CQ36" s="154" cm="1">
        <f t="array" ref="CQ36">IF($CN36="-","-",CO36-CP36)</f>
        <v>-2</v>
      </c>
      <c r="CR36" s="154">
        <v>1</v>
      </c>
      <c r="CS36" t="s" s="125">
        <v>135</v>
      </c>
      <c r="CT36" s="154" cm="1">
        <f t="array" ref="CT36">IF($CS36="-","-",_xlfn.SUMIFS($AC$4:$AC$97,$AA$4:$AA$97,$BD36,$U$4:$U$97,$CS36)+_xlfn.SUMIFS($AD$4:$AD$97,$AF$4:$AF$97,$BD36,$T$4:$T$97,$CS36))</f>
        <v>3</v>
      </c>
      <c r="CU36" s="154">
        <v>1</v>
      </c>
      <c r="CV36" t="s" s="125">
        <v>135</v>
      </c>
      <c r="CW36" s="154" cm="1">
        <f t="array" ref="CW36">IF(CV36="-","-",BL36)</f>
        <v>-2</v>
      </c>
      <c r="CX36" s="154">
        <v>1</v>
      </c>
      <c r="CY36" t="s" s="125">
        <v>135</v>
      </c>
      <c r="CZ36" s="154" cm="1">
        <f t="array" ref="CZ36">IF(CY36="-","-",BJ36)</f>
        <v>3</v>
      </c>
      <c r="DA36" s="154">
        <v>1</v>
      </c>
      <c r="DB36" t="s" s="125">
        <v>135</v>
      </c>
      <c r="DC36" s="154">
        <v>3</v>
      </c>
      <c r="DD36" s="154">
        <v>3</v>
      </c>
      <c r="DE36" s="140"/>
      <c r="DF36" s="154" cm="1">
        <f t="array" ref="DF36">IF(OR(INDEX($AW$6:$AW$97,MATCH($BD36,$AV$6:$AV$97,0))="",DB36="-"),DD36,INDEX($AW$6:$AW$97,MATCH($BD36,$AV$6:$AV$97,0))+DD36/1000)</f>
        <v>3</v>
      </c>
      <c r="DG36" s="154">
        <v>2</v>
      </c>
      <c r="DH36" s="154">
        <v>3</v>
      </c>
      <c r="DI36" s="140"/>
      <c r="DJ36" s="154" cm="1">
        <f t="array" ref="DJ36">INDEX($DA$6:$DA$53,MATCH($DQ36,$BD$6:$BD$53,0))</f>
        <v>1</v>
      </c>
      <c r="DK36" s="154" cm="1">
        <f t="array" ref="DK36">SUMIF($BC$6:$BC$53,BC36,$BF$6:$BF$53)</f>
        <v>12</v>
      </c>
      <c r="DL36" s="154" cm="1">
        <f t="array" ref="DL36">IF(OR(DK36=12,$AJ$99=144),_xlfn.COUNTIFS($DJ$6:$DJ$53,DJ36,$BC$6:$BC$53,BC36),1)</f>
        <v>4</v>
      </c>
      <c r="DM36" t="str" s="140" cm="1">
        <f t="array" ref="DM36">DJ36&amp;"."&amp;DL36</f>
        <v>1.4</v>
      </c>
      <c r="DN36" s="154">
        <v>1</v>
      </c>
      <c r="DO36" s="140"/>
      <c r="DP36" t="s" s="125">
        <v>329</v>
      </c>
      <c r="DQ36" t="str" s="140" cm="1">
        <f t="array" ref="DQ36">INDEX($BD$6:$BD$53,MATCH(DP36,$BM$6:$BM$53,0))</f>
        <v>Arabia Saudita</v>
      </c>
      <c r="DR36" s="87"/>
      <c r="DS36" s="87"/>
      <c r="DT36" s="88"/>
      <c r="DU36" s="12"/>
    </row>
    <row r="37" ht="16" customHeight="1">
      <c r="A37" t="s" s="89">
        <v>247</v>
      </c>
      <c r="B37" s="78"/>
      <c r="C37" s="78"/>
      <c r="D37" t="str" s="78" cm="1">
        <f t="array" ref="D37">IF(OR(AC37="",AD37=""),"Pendiente",IF(AC37&gt;AD37,"Local",IF(AC37&lt;AD37,"Visitante","Empate")))</f>
        <v>Visitante</v>
      </c>
      <c r="E37" t="str" s="78" cm="1">
        <f t="array" ref="E37">IF(D37="Pendiente","-",INDEX($BT$6:$BT$53,MATCH($AA37,$BD$6:$BD$53,0)))</f>
        <v>P.1 (4)</v>
      </c>
      <c r="F37" t="str" s="78" cm="1">
        <f t="array" ref="F37">IF(D37="Pendiente","-",INDEX($BT$6:$BT$53,MATCH($AF37,$BD$6:$BD$53,0)))</f>
        <v>P.1 (4)</v>
      </c>
      <c r="G37" s="78"/>
      <c r="H37" t="str" s="78" cm="1">
        <f t="array" ref="H37">IF(D37="Pendiente","-",INDEX($BZ$6:$BZ$53,MATCH($AA37,$BD$6:$BD$53,0)))</f>
        <v>P.1 (4)</v>
      </c>
      <c r="I37" t="str" s="78" cm="1">
        <f t="array" ref="I37">IF(D37="Pendiente","-",INDEX($BZ$6:$BZ$53,MATCH($AF37,$BD$6:$BD$53,0)))</f>
        <v>P.1 (4)</v>
      </c>
      <c r="J37" s="78"/>
      <c r="K37" t="str" s="78" cm="1">
        <f t="array" ref="K37">IF(D37="Pendiente","-",INDEX($CE$6:$CE$53,MATCH($AA37,$BD$6:$BD$53,0)))</f>
        <v>P.1 (4)</v>
      </c>
      <c r="L37" t="str" s="78" cm="1">
        <f t="array" ref="L37">IF(D37="Pendiente","-",INDEX($CE$6:$CE$53,MATCH($AF37,$BD$6:$BD$53,0)))</f>
        <v>P.1 (4)</v>
      </c>
      <c r="M37" s="78"/>
      <c r="N37" t="str" s="78" cm="1">
        <f t="array" ref="N37">IF(D37="Pendiente","-",INDEX($CH$6:$CH$53,MATCH($AA37,$BD$6:$BD$53,0)))</f>
        <v>P.1 (4)</v>
      </c>
      <c r="O37" t="str" s="78" cm="1">
        <f t="array" ref="O37">IF(D37="Pendiente","-",INDEX($CH$6:$CH$53,MATCH($AF37,$BD$6:$BD$53,0)))</f>
        <v>P.1 (4)</v>
      </c>
      <c r="P37" s="78"/>
      <c r="Q37" t="str" s="78" cm="1">
        <f t="array" ref="Q37">IF(D37="Pendiente","-",INDEX($CN$6:$CN$53,MATCH($AA37,$BD$6:$BD$53,0)))</f>
        <v>P.1 (4)</v>
      </c>
      <c r="R37" t="str" s="78" cm="1">
        <f t="array" ref="R37">IF(D37="Pendiente","-",INDEX($CN$6:$CN$53,MATCH($AF37,$BD$6:$BD$53,0)))</f>
        <v>P.1 (4)</v>
      </c>
      <c r="S37" s="78"/>
      <c r="T37" t="str" s="78" cm="1">
        <f t="array" ref="T37">IF(D37="Pendiente","-",INDEX($CS$6:$CS$53,MATCH($AA37,$BD$6:$BD$53,0)))</f>
        <v>P.1 (4)</v>
      </c>
      <c r="U37" t="str" s="78" cm="1">
        <f t="array" ref="U37">IF(D37="Pendiente","-",INDEX($CS$6:$CS$53,MATCH($AF37,$BD$6:$BD$53,0)))</f>
        <v>P.1 (4)</v>
      </c>
      <c r="V37" s="90"/>
      <c r="W37" s="126"/>
      <c r="X37" s="107">
        <v>46187.791666666657</v>
      </c>
      <c r="Y37" s="108">
        <v>46187.791666666657</v>
      </c>
      <c r="Z37" t="str" s="127" cm="1">
        <f t="array" ref="Z37">$Z$4</f>
        <v>J1</v>
      </c>
      <c r="AA37" t="str" s="110" cm="1">
        <f t="array" ref="AA37">A39</f>
        <v>Costa de Marfil</v>
      </c>
      <c r="AB37" s="111"/>
      <c r="AC37" s="128">
        <v>1</v>
      </c>
      <c r="AD37" s="128">
        <v>3</v>
      </c>
      <c r="AE37" s="113"/>
      <c r="AF37" t="str" s="114" cm="1">
        <f t="array" ref="AF37">A40</f>
        <v>Ecuador</v>
      </c>
      <c r="AG37" s="115" cm="1">
        <f t="array" ref="AG37">IF(NOT(OR(ISBLANK(AC37),ISBLANK(AD37))),1,0)</f>
        <v>1</v>
      </c>
      <c r="AH37" s="116">
        <v>9</v>
      </c>
      <c r="AI37" s="117"/>
      <c r="AJ37" t="str" s="213" cm="1">
        <f t="array" ref="AJ37">AJ5</f>
        <v>Pos</v>
      </c>
      <c r="AK37" s="130"/>
      <c r="AL37" t="str" s="214" cm="1">
        <f t="array" ref="AL37">AL5</f>
        <v>Selección</v>
      </c>
      <c r="AM37" t="str" s="130" cm="1">
        <f t="array" ref="AM37">AM5</f>
        <v>Pts</v>
      </c>
      <c r="AN37" t="str" s="130" cm="1">
        <f t="array" ref="AN37">AN5</f>
        <v>J</v>
      </c>
      <c r="AO37" t="str" s="130" cm="1">
        <f t="array" ref="AO37">AO5</f>
        <v>G</v>
      </c>
      <c r="AP37" t="str" s="130" cm="1">
        <f t="array" ref="AP37">AP5</f>
        <v>E</v>
      </c>
      <c r="AQ37" t="str" s="130" cm="1">
        <f t="array" ref="AQ37">AQ5</f>
        <v>P</v>
      </c>
      <c r="AR37" t="str" s="130" cm="1">
        <f t="array" ref="AR37">AR5</f>
        <v>GF</v>
      </c>
      <c r="AS37" t="str" s="130" cm="1">
        <f t="array" ref="AS37">AS5</f>
        <v>GC</v>
      </c>
      <c r="AT37" t="str" s="215" cm="1">
        <f t="array" ref="AT37">AT5</f>
        <v>DG</v>
      </c>
      <c r="AU37" s="216" cm="1">
        <f t="array" ref="AU37">COUNTIF(AU38:AU41,"&gt;1")</f>
        <v>4</v>
      </c>
      <c r="AV37" s="135"/>
      <c r="AW37" s="217"/>
      <c r="AX37" s="218"/>
      <c r="AY37" t="str" s="137" cm="1">
        <f t="array" ref="AY37">AL37</f>
        <v>Selección</v>
      </c>
      <c r="AZ37" t="s" s="138">
        <v>70</v>
      </c>
      <c r="BA37" s="139"/>
      <c r="BB37" s="87"/>
      <c r="BC37" t="s" s="125">
        <v>315</v>
      </c>
      <c r="BD37" t="s" s="125">
        <v>333</v>
      </c>
      <c r="BE37" s="154" cm="1">
        <f t="array" ref="BE37">BG37*3+BH37+IF($AZ$3="No",0,INDEX($AZ$6:$AZ$97,MATCH(BD37,$AY$6:$AY$97,0)))</f>
        <v>6</v>
      </c>
      <c r="BF37" s="154" cm="1">
        <f t="array" ref="BF37">BG37+BH37+BI37</f>
        <v>3</v>
      </c>
      <c r="BG37" s="154" cm="1">
        <f t="array" ref="BG37">_xlfn.COUNTIFS($AA$4:$AA$97,BD37,$D$4:$D$97,"Local")+_xlfn.COUNTIFS($AF$4:$AF$97,BD37,$D$4:$D$97,"Visitante")</f>
        <v>2</v>
      </c>
      <c r="BH37" s="154" cm="1">
        <f t="array" ref="BH37">_xlfn.COUNTIFS($AA$4:$AA$97,BD37,$D$4:$D$97,"Empate")+_xlfn.COUNTIFS($AF$4:$AF$97,BD37,$D$4:$D$97,"Empate")</f>
        <v>0</v>
      </c>
      <c r="BI37" s="154" cm="1">
        <f t="array" ref="BI37">_xlfn.COUNTIFS($AF$4:$AF$97,BD37,$D$4:$D$97,"Local")+_xlfn.COUNTIFS($AA$4:$AA$97,BD37,$D$4:$D$97,"Visitante")</f>
        <v>1</v>
      </c>
      <c r="BJ37" s="154" cm="1">
        <f t="array" ref="BJ37">_xlfn.SUMIFS($AC$4:$AC$97,$AA$4:$AA$97,BD37,$D$4:$D$97,"&lt;&gt;"&amp;"Pendiente",$AC$4:$AC$97,"&lt;&gt;"&amp;"",$AD$4:$AD$97,"&lt;&gt;"&amp;"")+_xlfn.SUMIFS($AD$4:$AD$97,$AF$4:$AF$97,BD37,$D$4:$D$97,"&lt;&gt;"&amp;"Pendiente",$AC$4:$AC$97,"&lt;&gt;"&amp;"",$AD$4:$AD$97,"&lt;&gt;"&amp;"")</f>
        <v>5</v>
      </c>
      <c r="BK37" s="154" cm="1">
        <f t="array" ref="BK37">_xlfn.SUMIFS($AC$4:$AC$97,$AF$4:$AF$97,BD37,$D$4:$D$97,"&lt;&gt;"&amp;"Pendiente",$AC$4:$AC$97,"&lt;&gt;"&amp;"",$AD$4:$AD$97,"&lt;&gt;"&amp;"")+_xlfn.SUMIFS($AD$4:$AD$97,$AA$4:$AA$97,BD37,$D$4:$D$97,"&lt;&gt;"&amp;"Pendiente",$AC$4:$AC$97,"&lt;&gt;"&amp;"",$AD$4:$AD$97,"&lt;&gt;"&amp;"")</f>
        <v>3</v>
      </c>
      <c r="BL37" s="154" cm="1">
        <f t="array" ref="BL37">BJ37-BK37</f>
        <v>2</v>
      </c>
      <c r="BM37" t="str" s="140" cm="1">
        <f t="array" ref="BM37">DD37&amp;BC37</f>
        <v>4H</v>
      </c>
      <c r="BN37" t="str" s="140" cm="1">
        <f t="array" ref="BN37">DH37&amp;BC37</f>
        <v>4H</v>
      </c>
      <c r="BO37" s="154" cm="1">
        <f t="array" ref="BO37">IF(AND($AJ$99=144,BF37&gt;=1),1,0)</f>
        <v>0</v>
      </c>
      <c r="BP37" s="154">
        <v>1</v>
      </c>
      <c r="BQ37" t="s" s="125">
        <v>135</v>
      </c>
      <c r="BR37" s="154" cm="1">
        <f t="array" ref="BR37">IF($BQ37="-","-",BE37)</f>
        <v>6</v>
      </c>
      <c r="BS37" s="154">
        <v>1</v>
      </c>
      <c r="BT37" t="s" s="125">
        <v>135</v>
      </c>
      <c r="BU37" s="154" cm="1">
        <f t="array" ref="BU37">IF($BT37="-","-",_xlfn.COUNTIFS($AA$4:$AA$97,$BD37,$D$4:$D$97,"Local",$F$4:$F$97,$BT37)+_xlfn.COUNTIFS($AF$4:$AF$97,$BD37,$D$4:$D$97,"Visitante",$E$4:$E$97,$BT37))</f>
        <v>2</v>
      </c>
      <c r="BV37" s="154" cm="1">
        <f t="array" ref="BV37">IF($BT37="-","-",_xlfn.COUNTIFS($AA$4:$AA$97,$BD37,$D$4:$D$97,"Empate",$F$4:$F$97,$BT37)+_xlfn.COUNTIFS($AF$4:$AF$97,$BD37,$D$4:$D$97,"Empate",$E$4:$E$97,$BT37))</f>
        <v>0</v>
      </c>
      <c r="BW37" s="154" cm="1">
        <f t="array" ref="BW37">IF($BT37="-","-",_xlfn.COUNTIFS($AA$4:$AA$97,$BD37,$D$4:$D$97,"Visitante",$F$4:$F$97,$BT37)+_xlfn.COUNTIFS($AF$4:$AF$97,$BD37,$D$4:$D$97,"Local",$E$4:$E$97,$BT37))</f>
        <v>1</v>
      </c>
      <c r="BX37" s="154" cm="1">
        <f t="array" ref="BX37">IF($BT37="-","-",BU37*3+BV37)</f>
        <v>6</v>
      </c>
      <c r="BY37" s="154">
        <v>1</v>
      </c>
      <c r="BZ37" t="s" s="125">
        <v>135</v>
      </c>
      <c r="CA37" s="154" cm="1">
        <f t="array" ref="CA37">IF($BZ37="-","-",_xlfn.SUMIFS($AC$4:$AC$97,$AA$4:$AA$97,$BD37,$I$4:$I$97,$BZ37)+_xlfn.SUMIFS($AD$4:$AD$97,$AF$4:$AF$97,$BD37,$H$4:$H$97,$BZ37))</f>
        <v>5</v>
      </c>
      <c r="CB37" s="154" cm="1">
        <f t="array" ref="CB37">IF($BZ37="-","-",_xlfn.SUMIFS($AD$4:$AD$97,$AA$4:$AA$97,$BD37,$I$4:$I$97,$BZ37)+_xlfn.SUMIFS($AC$4:$AC$97,$AF$4:$AF$97,$BD37,$H$4:$H$97,$BZ37))</f>
        <v>3</v>
      </c>
      <c r="CC37" s="154" cm="1">
        <f t="array" ref="CC37">IF($BZ37="-","-",CA37-CB37)</f>
        <v>2</v>
      </c>
      <c r="CD37" s="154">
        <v>1</v>
      </c>
      <c r="CE37" t="s" s="125">
        <v>135</v>
      </c>
      <c r="CF37" s="154" cm="1">
        <f t="array" ref="CF37">IF($CE37="-","-",_xlfn.SUMIFS($AC$4:$AC$97,$AA$4:$AA$97,$BD37,$L$4:$L$97,$CE37)+_xlfn.SUMIFS($AD$4:$AD$97,$AF$4:$AF$97,$BD37,$K$4:$K$97,$CE37))</f>
        <v>5</v>
      </c>
      <c r="CG37" s="154">
        <v>1</v>
      </c>
      <c r="CH37" t="s" s="125">
        <v>135</v>
      </c>
      <c r="CI37" s="154" cm="1">
        <f t="array" ref="CI37">IF($CH37="-","-",_xlfn.COUNTIFS($AA$4:$AA$97,$BD37,$D$4:$D$97,"Local",$O$4:$O$97,$CH37)+_xlfn.COUNTIFS($AF$4:$AF$97,$BD37,$D$4:$D$97,"Visitante",$N$4:$N$97,$CH37))</f>
        <v>2</v>
      </c>
      <c r="CJ37" s="154" cm="1">
        <f t="array" ref="CJ37">IF($CH37="-","-",_xlfn.COUNTIFS($AA$4:$AA$97,$BD37,$D$4:$D$97,"Empate",$O$4:$O$97,$CH37)+_xlfn.COUNTIFS($AF$4:$AF$97,$BD37,$D$4:$D$97,"Empate",$N$4:$N$97,$CH37))</f>
        <v>0</v>
      </c>
      <c r="CK37" s="154" cm="1">
        <f t="array" ref="CK37">IF($CH37="-","-",_xlfn.COUNTIFS($AA$4:$AA$97,$BD37,$D$4:$D$97,"Visitante",$O$4:$O$97,$CH37)+_xlfn.COUNTIFS($AF$4:$AF$97,$BD37,$D$4:$D$97,"Local",$N$4:$N$97,$CH37))</f>
        <v>1</v>
      </c>
      <c r="CL37" s="154" cm="1">
        <f t="array" ref="CL37">IF($CH37="-","-",CI37*3+CJ37)</f>
        <v>6</v>
      </c>
      <c r="CM37" s="154">
        <v>1</v>
      </c>
      <c r="CN37" t="s" s="125">
        <v>135</v>
      </c>
      <c r="CO37" s="154" cm="1">
        <f t="array" ref="CO37">IF($CN37="-","-",_xlfn.SUMIFS($AC$4:$AC$97,$AA$4:$AA$97,$BD37,$R$4:$R$97,$CN37)+_xlfn.SUMIFS($AD$4:$AD$97,$AF$4:$AF$97,$BD37,$Q$4:$Q$97,$CN37))</f>
        <v>5</v>
      </c>
      <c r="CP37" s="154" cm="1">
        <f t="array" ref="CP37">IF($CN37="-","-",_xlfn.SUMIFS($AD$4:$AD$97,$AA$4:$AA$97,$BD37,$R$4:$R$97,$CN37)+_xlfn.SUMIFS($AC$4:$AC$97,$AF$4:$AF$97,$BD37,$Q$4:$Q$97,$CN37))</f>
        <v>3</v>
      </c>
      <c r="CQ37" s="154" cm="1">
        <f t="array" ref="CQ37">IF($CN37="-","-",CO37-CP37)</f>
        <v>2</v>
      </c>
      <c r="CR37" s="154">
        <v>1</v>
      </c>
      <c r="CS37" t="s" s="125">
        <v>135</v>
      </c>
      <c r="CT37" s="154" cm="1">
        <f t="array" ref="CT37">IF($CS37="-","-",_xlfn.SUMIFS($AC$4:$AC$97,$AA$4:$AA$97,$BD37,$U$4:$U$97,$CS37)+_xlfn.SUMIFS($AD$4:$AD$97,$AF$4:$AF$97,$BD37,$T$4:$T$97,$CS37))</f>
        <v>5</v>
      </c>
      <c r="CU37" s="154">
        <v>1</v>
      </c>
      <c r="CV37" t="s" s="125">
        <v>135</v>
      </c>
      <c r="CW37" s="154" cm="1">
        <f t="array" ref="CW37">IF(CV37="-","-",BL37)</f>
        <v>2</v>
      </c>
      <c r="CX37" s="154">
        <v>1</v>
      </c>
      <c r="CY37" t="s" s="125">
        <v>135</v>
      </c>
      <c r="CZ37" s="154" cm="1">
        <f t="array" ref="CZ37">IF(CY37="-","-",BJ37)</f>
        <v>5</v>
      </c>
      <c r="DA37" s="154">
        <v>1</v>
      </c>
      <c r="DB37" t="s" s="125">
        <v>135</v>
      </c>
      <c r="DC37" s="154">
        <v>4</v>
      </c>
      <c r="DD37" s="154">
        <v>4</v>
      </c>
      <c r="DE37" s="140"/>
      <c r="DF37" s="154" cm="1">
        <f t="array" ref="DF37">IF(OR(INDEX($AW$6:$AW$97,MATCH($BD37,$AV$6:$AV$97,0))="",DB37="-"),DD37,INDEX($AW$6:$AW$97,MATCH($BD37,$AV$6:$AV$97,0))+DD37/1000)</f>
        <v>4</v>
      </c>
      <c r="DG37" s="154">
        <v>3</v>
      </c>
      <c r="DH37" s="154">
        <v>4</v>
      </c>
      <c r="DI37" s="140"/>
      <c r="DJ37" s="154" cm="1">
        <f t="array" ref="DJ37">INDEX($DA$6:$DA$53,MATCH($DQ37,$BD$6:$BD$53,0))</f>
        <v>1</v>
      </c>
      <c r="DK37" s="154" cm="1">
        <f t="array" ref="DK37">SUMIF($BC$6:$BC$53,BC37,$BF$6:$BF$53)</f>
        <v>12</v>
      </c>
      <c r="DL37" s="154" cm="1">
        <f t="array" ref="DL37">IF(OR(DK37=12,$AJ$99=144),_xlfn.COUNTIFS($DJ$6:$DJ$53,DJ37,$BC$6:$BC$53,BC37),1)</f>
        <v>4</v>
      </c>
      <c r="DM37" t="str" s="140" cm="1">
        <f t="array" ref="DM37">DJ37&amp;"."&amp;DL37</f>
        <v>1.4</v>
      </c>
      <c r="DN37" s="154">
        <v>1</v>
      </c>
      <c r="DO37" s="140"/>
      <c r="DP37" t="s" s="125">
        <v>335</v>
      </c>
      <c r="DQ37" t="str" s="140" cm="1">
        <f t="array" ref="DQ37">INDEX($BD$6:$BD$53,MATCH(DP37,$BM$6:$BM$53,0))</f>
        <v>Uruguay</v>
      </c>
      <c r="DR37" s="87"/>
      <c r="DS37" s="87"/>
      <c r="DT37" s="88"/>
      <c r="DU37" s="12"/>
    </row>
    <row r="38" ht="16" customHeight="1">
      <c r="A38" t="s" s="89">
        <v>253</v>
      </c>
      <c r="B38" s="78"/>
      <c r="C38" s="78"/>
      <c r="D38" t="str" s="78" cm="1">
        <f t="array" ref="D38">IF(OR(AC38="",AD38=""),"Pendiente",IF(AC38&gt;AD38,"Local",IF(AC38&lt;AD38,"Visitante","Empate")))</f>
        <v>Local</v>
      </c>
      <c r="E38" t="str" s="78" cm="1">
        <f t="array" ref="E38">IF(D38="Pendiente","-",INDEX($BT$6:$BT$53,MATCH($AA38,$BD$6:$BD$53,0)))</f>
        <v>P.1 (4)</v>
      </c>
      <c r="F38" t="str" s="78" cm="1">
        <f t="array" ref="F38">IF(D38="Pendiente","-",INDEX($BT$6:$BT$53,MATCH($AF38,$BD$6:$BD$53,0)))</f>
        <v>P.1 (4)</v>
      </c>
      <c r="G38" s="78"/>
      <c r="H38" t="str" s="78" cm="1">
        <f t="array" ref="H38">IF(D38="Pendiente","-",INDEX($BZ$6:$BZ$53,MATCH($AA38,$BD$6:$BD$53,0)))</f>
        <v>P.1 (4)</v>
      </c>
      <c r="I38" t="str" s="78" cm="1">
        <f t="array" ref="I38">IF(D38="Pendiente","-",INDEX($BZ$6:$BZ$53,MATCH($AF38,$BD$6:$BD$53,0)))</f>
        <v>P.1 (4)</v>
      </c>
      <c r="J38" s="78"/>
      <c r="K38" t="str" s="78" cm="1">
        <f t="array" ref="K38">IF(D38="Pendiente","-",INDEX($CE$6:$CE$53,MATCH($AA38,$BD$6:$BD$53,0)))</f>
        <v>P.1 (4)</v>
      </c>
      <c r="L38" t="str" s="78" cm="1">
        <f t="array" ref="L38">IF(D38="Pendiente","-",INDEX($CE$6:$CE$53,MATCH($AF38,$BD$6:$BD$53,0)))</f>
        <v>P.1 (4)</v>
      </c>
      <c r="M38" s="78"/>
      <c r="N38" t="str" s="78" cm="1">
        <f t="array" ref="N38">IF(D38="Pendiente","-",INDEX($CH$6:$CH$53,MATCH($AA38,$BD$6:$BD$53,0)))</f>
        <v>P.1 (4)</v>
      </c>
      <c r="O38" t="str" s="78" cm="1">
        <f t="array" ref="O38">IF(D38="Pendiente","-",INDEX($CH$6:$CH$53,MATCH($AF38,$BD$6:$BD$53,0)))</f>
        <v>P.1 (4)</v>
      </c>
      <c r="P38" s="78"/>
      <c r="Q38" t="str" s="78" cm="1">
        <f t="array" ref="Q38">IF(D38="Pendiente","-",INDEX($CN$6:$CN$53,MATCH($AA38,$BD$6:$BD$53,0)))</f>
        <v>P.1 (4)</v>
      </c>
      <c r="R38" t="str" s="78" cm="1">
        <f t="array" ref="R38">IF(D38="Pendiente","-",INDEX($CN$6:$CN$53,MATCH($AF38,$BD$6:$BD$53,0)))</f>
        <v>P.1 (4)</v>
      </c>
      <c r="S38" s="78"/>
      <c r="T38" t="str" s="78" cm="1">
        <f t="array" ref="T38">IF(D38="Pendiente","-",INDEX($CS$6:$CS$53,MATCH($AA38,$BD$6:$BD$53,0)))</f>
        <v>P.1 (4)</v>
      </c>
      <c r="U38" t="str" s="78" cm="1">
        <f t="array" ref="U38">IF(D38="Pendiente","-",INDEX($CS$6:$CS$53,MATCH($AF38,$BD$6:$BD$53,0)))</f>
        <v>P.1 (4)</v>
      </c>
      <c r="V38" s="90"/>
      <c r="W38" s="141"/>
      <c r="X38" s="107">
        <v>46193.666666666657</v>
      </c>
      <c r="Y38" s="108">
        <v>46193.666666666657</v>
      </c>
      <c r="Z38" t="str" s="127" cm="1">
        <f t="array" ref="Z38">$Z$6</f>
        <v>J2</v>
      </c>
      <c r="AA38" t="str" s="110" cm="1">
        <f t="array" ref="AA38">A37</f>
        <v>Alemania</v>
      </c>
      <c r="AB38" s="111"/>
      <c r="AC38" s="128">
        <v>2</v>
      </c>
      <c r="AD38" s="128">
        <v>0</v>
      </c>
      <c r="AE38" s="113"/>
      <c r="AF38" t="str" s="114" cm="1">
        <f t="array" ref="AF38">A39</f>
        <v>Costa de Marfil</v>
      </c>
      <c r="AG38" s="115" cm="1">
        <f t="array" ref="AG38">IF(NOT(OR(ISBLANK(AC38),ISBLANK(AD38))),1,0)</f>
        <v>1</v>
      </c>
      <c r="AH38" s="116">
        <v>33</v>
      </c>
      <c r="AI38" t="str" s="117" cm="1">
        <f t="array" ref="AI38">AJ38&amp;$B$36</f>
        <v>1E</v>
      </c>
      <c r="AJ38" s="142">
        <v>1</v>
      </c>
      <c r="AK38" s="221"/>
      <c r="AL38" t="str" s="144" cm="1">
        <f t="array" ref="AL38">_xlfn.IFERROR(INDEX($BD$6:$BD$53,MATCH(AI38,$BN$6:$BN$53,0)),"")</f>
        <v>Alemania</v>
      </c>
      <c r="AM38" s="145" cm="1">
        <f t="array" ref="AM38">INDEX($BE$6:$BN$53,MATCH($AL38,$BD$6:$BD$53,0),MATCH(AM$5,$BE$5:$BN$5,0))</f>
        <v>9</v>
      </c>
      <c r="AN38" s="146" cm="1">
        <f t="array" ref="AN38">INDEX($BE$6:$BN$53,MATCH($AL38,$BD$6:$BD$53,0),MATCH(AN$5,$BE$5:$BN$5,0))</f>
        <v>3</v>
      </c>
      <c r="AO38" s="146" cm="1">
        <f t="array" ref="AO38">INDEX($BE$6:$BN$53,MATCH($AL38,$BD$6:$BD$53,0),MATCH(AO$5,$BE$5:$BN$5,0))</f>
        <v>3</v>
      </c>
      <c r="AP38" s="146" cm="1">
        <f t="array" ref="AP38">INDEX($BE$6:$BN$53,MATCH($AL38,$BD$6:$BD$53,0),MATCH(AP$5,$BE$5:$BN$5,0))</f>
        <v>0</v>
      </c>
      <c r="AQ38" s="146" cm="1">
        <f t="array" ref="AQ38">INDEX($BE$6:$BN$53,MATCH($AL38,$BD$6:$BD$53,0),MATCH(AQ$5,$BE$5:$BN$5,0))</f>
        <v>0</v>
      </c>
      <c r="AR38" s="146" cm="1">
        <f t="array" ref="AR38">INDEX($BE$6:$BN$53,MATCH($AL38,$BD$6:$BD$53,0),MATCH(AR$5,$BE$5:$BN$5,0))</f>
        <v>7</v>
      </c>
      <c r="AS38" s="146" cm="1">
        <f t="array" ref="AS38">INDEX($BE$6:$BN$53,MATCH($AL38,$BD$6:$BD$53,0),MATCH(AS$5,$BE$5:$BN$5,0))</f>
        <v>1</v>
      </c>
      <c r="AT38" s="147" cm="1">
        <f t="array" ref="AT38">INDEX($BE$6:$BN$53,MATCH($AL38,$BD$6:$BD$53,0),MATCH(AT$5,$BE$5:$BN$5,0))</f>
        <v>6</v>
      </c>
      <c r="AU38" s="148" cm="1">
        <f t="array" ref="AU38">INDEX($DL$6:$DL$53,MATCH(AI38,$DP$6:$DP$53,0))</f>
        <v>4</v>
      </c>
      <c r="AV38" t="str" s="149" cm="1">
        <f t="array" ref="AV38">INDEX($BD$6:$BD$53,MATCH(AI38,$BM$6:$BM$53,0))</f>
        <v>Alemania</v>
      </c>
      <c r="AW38" s="150"/>
      <c r="AX38" s="151"/>
      <c r="AY38" t="str" s="152" cm="1">
        <f t="array" ref="AY38">A37</f>
        <v>Alemania</v>
      </c>
      <c r="AZ38" s="153"/>
      <c r="BA38" s="139"/>
      <c r="BB38" s="87"/>
      <c r="BC38" t="s" s="125">
        <v>339</v>
      </c>
      <c r="BD38" t="s" s="125">
        <v>340</v>
      </c>
      <c r="BE38" s="154" cm="1">
        <f t="array" ref="BE38">BG38*3+BH38+IF($AZ$3="No",0,INDEX($AZ$6:$AZ$97,MATCH(BD38,$AY$6:$AY$97,0)))</f>
        <v>9</v>
      </c>
      <c r="BF38" s="154" cm="1">
        <f t="array" ref="BF38">BG38+BH38+BI38</f>
        <v>3</v>
      </c>
      <c r="BG38" s="154" cm="1">
        <f t="array" ref="BG38">_xlfn.COUNTIFS($AA$4:$AA$97,BD38,$D$4:$D$97,"Local")+_xlfn.COUNTIFS($AF$4:$AF$97,BD38,$D$4:$D$97,"Visitante")</f>
        <v>3</v>
      </c>
      <c r="BH38" s="154" cm="1">
        <f t="array" ref="BH38">_xlfn.COUNTIFS($AA$4:$AA$97,BD38,$D$4:$D$97,"Empate")+_xlfn.COUNTIFS($AF$4:$AF$97,BD38,$D$4:$D$97,"Empate")</f>
        <v>0</v>
      </c>
      <c r="BI38" s="154" cm="1">
        <f t="array" ref="BI38">_xlfn.COUNTIFS($AF$4:$AF$97,BD38,$D$4:$D$97,"Local")+_xlfn.COUNTIFS($AA$4:$AA$97,BD38,$D$4:$D$97,"Visitante")</f>
        <v>0</v>
      </c>
      <c r="BJ38" s="154" cm="1">
        <f t="array" ref="BJ38">_xlfn.SUMIFS($AC$4:$AC$97,$AA$4:$AA$97,BD38,$D$4:$D$97,"&lt;&gt;"&amp;"Pendiente",$AC$4:$AC$97,"&lt;&gt;"&amp;"",$AD$4:$AD$97,"&lt;&gt;"&amp;"")+_xlfn.SUMIFS($AD$4:$AD$97,$AF$4:$AF$97,BD38,$D$4:$D$97,"&lt;&gt;"&amp;"Pendiente",$AC$4:$AC$97,"&lt;&gt;"&amp;"",$AD$4:$AD$97,"&lt;&gt;"&amp;"")</f>
        <v>8</v>
      </c>
      <c r="BK38" s="154" cm="1">
        <f t="array" ref="BK38">_xlfn.SUMIFS($AC$4:$AC$97,$AF$4:$AF$97,BD38,$D$4:$D$97,"&lt;&gt;"&amp;"Pendiente",$AC$4:$AC$97,"&lt;&gt;"&amp;"",$AD$4:$AD$97,"&lt;&gt;"&amp;"")+_xlfn.SUMIFS($AD$4:$AD$97,$AA$4:$AA$97,BD38,$D$4:$D$97,"&lt;&gt;"&amp;"Pendiente",$AC$4:$AC$97,"&lt;&gt;"&amp;"",$AD$4:$AD$97,"&lt;&gt;"&amp;"")</f>
        <v>2</v>
      </c>
      <c r="BL38" s="154" cm="1">
        <f t="array" ref="BL38">BJ38-BK38</f>
        <v>6</v>
      </c>
      <c r="BM38" t="str" s="140" cm="1">
        <f t="array" ref="BM38">DD38&amp;BC38</f>
        <v>1I</v>
      </c>
      <c r="BN38" t="str" s="140" cm="1">
        <f t="array" ref="BN38">DH38&amp;BC38</f>
        <v>1I</v>
      </c>
      <c r="BO38" s="154" cm="1">
        <f t="array" ref="BO38">IF(AND($AJ$99=144,BF38&gt;=1),1,0)</f>
        <v>0</v>
      </c>
      <c r="BP38" s="154">
        <v>1</v>
      </c>
      <c r="BQ38" t="s" s="125">
        <v>135</v>
      </c>
      <c r="BR38" s="154" cm="1">
        <f t="array" ref="BR38">IF($BQ38="-","-",BE38)</f>
        <v>9</v>
      </c>
      <c r="BS38" s="154">
        <v>1</v>
      </c>
      <c r="BT38" t="s" s="125">
        <v>135</v>
      </c>
      <c r="BU38" s="154" cm="1">
        <f t="array" ref="BU38">IF($BT38="-","-",_xlfn.COUNTIFS($AA$4:$AA$97,$BD38,$D$4:$D$97,"Local",$F$4:$F$97,$BT38)+_xlfn.COUNTIFS($AF$4:$AF$97,$BD38,$D$4:$D$97,"Visitante",$E$4:$E$97,$BT38))</f>
        <v>3</v>
      </c>
      <c r="BV38" s="154" cm="1">
        <f t="array" ref="BV38">IF($BT38="-","-",_xlfn.COUNTIFS($AA$4:$AA$97,$BD38,$D$4:$D$97,"Empate",$F$4:$F$97,$BT38)+_xlfn.COUNTIFS($AF$4:$AF$97,$BD38,$D$4:$D$97,"Empate",$E$4:$E$97,$BT38))</f>
        <v>0</v>
      </c>
      <c r="BW38" s="154" cm="1">
        <f t="array" ref="BW38">IF($BT38="-","-",_xlfn.COUNTIFS($AA$4:$AA$97,$BD38,$D$4:$D$97,"Visitante",$F$4:$F$97,$BT38)+_xlfn.COUNTIFS($AF$4:$AF$97,$BD38,$D$4:$D$97,"Local",$E$4:$E$97,$BT38))</f>
        <v>0</v>
      </c>
      <c r="BX38" s="154" cm="1">
        <f t="array" ref="BX38">IF($BT38="-","-",BU38*3+BV38)</f>
        <v>9</v>
      </c>
      <c r="BY38" s="154">
        <v>1</v>
      </c>
      <c r="BZ38" t="s" s="125">
        <v>135</v>
      </c>
      <c r="CA38" s="154" cm="1">
        <f t="array" ref="CA38">IF($BZ38="-","-",_xlfn.SUMIFS($AC$4:$AC$97,$AA$4:$AA$97,$BD38,$I$4:$I$97,$BZ38)+_xlfn.SUMIFS($AD$4:$AD$97,$AF$4:$AF$97,$BD38,$H$4:$H$97,$BZ38))</f>
        <v>8</v>
      </c>
      <c r="CB38" s="154" cm="1">
        <f t="array" ref="CB38">IF($BZ38="-","-",_xlfn.SUMIFS($AD$4:$AD$97,$AA$4:$AA$97,$BD38,$I$4:$I$97,$BZ38)+_xlfn.SUMIFS($AC$4:$AC$97,$AF$4:$AF$97,$BD38,$H$4:$H$97,$BZ38))</f>
        <v>2</v>
      </c>
      <c r="CC38" s="154" cm="1">
        <f t="array" ref="CC38">IF($BZ38="-","-",CA38-CB38)</f>
        <v>6</v>
      </c>
      <c r="CD38" s="154">
        <v>1</v>
      </c>
      <c r="CE38" t="s" s="125">
        <v>135</v>
      </c>
      <c r="CF38" s="154" cm="1">
        <f t="array" ref="CF38">IF($CE38="-","-",_xlfn.SUMIFS($AC$4:$AC$97,$AA$4:$AA$97,$BD38,$L$4:$L$97,$CE38)+_xlfn.SUMIFS($AD$4:$AD$97,$AF$4:$AF$97,$BD38,$K$4:$K$97,$CE38))</f>
        <v>8</v>
      </c>
      <c r="CG38" s="154">
        <v>1</v>
      </c>
      <c r="CH38" t="s" s="125">
        <v>135</v>
      </c>
      <c r="CI38" s="154" cm="1">
        <f t="array" ref="CI38">IF($CH38="-","-",_xlfn.COUNTIFS($AA$4:$AA$97,$BD38,$D$4:$D$97,"Local",$O$4:$O$97,$CH38)+_xlfn.COUNTIFS($AF$4:$AF$97,$BD38,$D$4:$D$97,"Visitante",$N$4:$N$97,$CH38))</f>
        <v>3</v>
      </c>
      <c r="CJ38" s="154" cm="1">
        <f t="array" ref="CJ38">IF($CH38="-","-",_xlfn.COUNTIFS($AA$4:$AA$97,$BD38,$D$4:$D$97,"Empate",$O$4:$O$97,$CH38)+_xlfn.COUNTIFS($AF$4:$AF$97,$BD38,$D$4:$D$97,"Empate",$N$4:$N$97,$CH38))</f>
        <v>0</v>
      </c>
      <c r="CK38" s="154" cm="1">
        <f t="array" ref="CK38">IF($CH38="-","-",_xlfn.COUNTIFS($AA$4:$AA$97,$BD38,$D$4:$D$97,"Visitante",$O$4:$O$97,$CH38)+_xlfn.COUNTIFS($AF$4:$AF$97,$BD38,$D$4:$D$97,"Local",$N$4:$N$97,$CH38))</f>
        <v>0</v>
      </c>
      <c r="CL38" s="154" cm="1">
        <f t="array" ref="CL38">IF($CH38="-","-",CI38*3+CJ38)</f>
        <v>9</v>
      </c>
      <c r="CM38" s="154">
        <v>1</v>
      </c>
      <c r="CN38" t="s" s="125">
        <v>135</v>
      </c>
      <c r="CO38" s="154" cm="1">
        <f t="array" ref="CO38">IF($CN38="-","-",_xlfn.SUMIFS($AC$4:$AC$97,$AA$4:$AA$97,$BD38,$R$4:$R$97,$CN38)+_xlfn.SUMIFS($AD$4:$AD$97,$AF$4:$AF$97,$BD38,$Q$4:$Q$97,$CN38))</f>
        <v>8</v>
      </c>
      <c r="CP38" s="154" cm="1">
        <f t="array" ref="CP38">IF($CN38="-","-",_xlfn.SUMIFS($AD$4:$AD$97,$AA$4:$AA$97,$BD38,$R$4:$R$97,$CN38)+_xlfn.SUMIFS($AC$4:$AC$97,$AF$4:$AF$97,$BD38,$Q$4:$Q$97,$CN38))</f>
        <v>2</v>
      </c>
      <c r="CQ38" s="154" cm="1">
        <f t="array" ref="CQ38">IF($CN38="-","-",CO38-CP38)</f>
        <v>6</v>
      </c>
      <c r="CR38" s="154">
        <v>1</v>
      </c>
      <c r="CS38" t="s" s="125">
        <v>135</v>
      </c>
      <c r="CT38" s="154" cm="1">
        <f t="array" ref="CT38">IF($CS38="-","-",_xlfn.SUMIFS($AC$4:$AC$97,$AA$4:$AA$97,$BD38,$U$4:$U$97,$CS38)+_xlfn.SUMIFS($AD$4:$AD$97,$AF$4:$AF$97,$BD38,$T$4:$T$97,$CS38))</f>
        <v>8</v>
      </c>
      <c r="CU38" s="154">
        <v>1</v>
      </c>
      <c r="CV38" t="s" s="125">
        <v>135</v>
      </c>
      <c r="CW38" s="154" cm="1">
        <f t="array" ref="CW38">IF(CV38="-","-",BL38)</f>
        <v>6</v>
      </c>
      <c r="CX38" s="154">
        <v>1</v>
      </c>
      <c r="CY38" t="s" s="125">
        <v>135</v>
      </c>
      <c r="CZ38" s="154" cm="1">
        <f t="array" ref="CZ38">IF(CY38="-","-",BJ38)</f>
        <v>8</v>
      </c>
      <c r="DA38" s="154">
        <v>1</v>
      </c>
      <c r="DB38" t="s" s="125">
        <v>135</v>
      </c>
      <c r="DC38" s="154">
        <v>1</v>
      </c>
      <c r="DD38" s="154">
        <v>1</v>
      </c>
      <c r="DE38" s="140"/>
      <c r="DF38" s="154" cm="1">
        <f t="array" ref="DF38">IF(OR(INDEX($AW$6:$AW$97,MATCH($BD38,$AV$6:$AV$97,0))="",DB38="-"),DD38,INDEX($AW$6:$AW$97,MATCH($BD38,$AV$6:$AV$97,0))+DD38/1000)</f>
        <v>1</v>
      </c>
      <c r="DG38" s="154">
        <v>0</v>
      </c>
      <c r="DH38" s="154">
        <v>1</v>
      </c>
      <c r="DI38" s="140"/>
      <c r="DJ38" s="154" cm="1">
        <f t="array" ref="DJ38">INDEX($DA$6:$DA$53,MATCH($DQ38,$BD$6:$BD$53,0))</f>
        <v>1</v>
      </c>
      <c r="DK38" s="154" cm="1">
        <f t="array" ref="DK38">SUMIF($BC$6:$BC$53,BC38,$BF$6:$BF$53)</f>
        <v>12</v>
      </c>
      <c r="DL38" s="154" cm="1">
        <f t="array" ref="DL38">IF(OR(DK38=12,$AJ$99=144),_xlfn.COUNTIFS($DJ$6:$DJ$53,DJ38,$BC$6:$BC$53,BC38),1)</f>
        <v>4</v>
      </c>
      <c r="DM38" t="str" s="140" cm="1">
        <f t="array" ref="DM38">DJ38&amp;"."&amp;DL38</f>
        <v>1.4</v>
      </c>
      <c r="DN38" s="154">
        <v>1</v>
      </c>
      <c r="DO38" s="140"/>
      <c r="DP38" t="s" s="125">
        <v>342</v>
      </c>
      <c r="DQ38" t="str" s="140" cm="1">
        <f t="array" ref="DQ38">INDEX($BD$6:$BD$53,MATCH(DP38,$BM$6:$BM$53,0))</f>
        <v>Francia</v>
      </c>
      <c r="DR38" s="87"/>
      <c r="DS38" s="87"/>
      <c r="DT38" s="88"/>
      <c r="DU38" s="12"/>
    </row>
    <row r="39" ht="16" customHeight="1">
      <c r="A39" t="s" s="89">
        <v>259</v>
      </c>
      <c r="B39" s="78"/>
      <c r="C39" s="78"/>
      <c r="D39" t="str" s="78" cm="1">
        <f t="array" ref="D39">IF(OR(AC39="",AD39=""),"Pendiente",IF(AC39&gt;AD39,"Local",IF(AC39&lt;AD39,"Visitante","Empate")))</f>
        <v>Local</v>
      </c>
      <c r="E39" t="str" s="78" cm="1">
        <f t="array" ref="E39">IF(D39="Pendiente","-",INDEX($BT$6:$BT$53,MATCH($AA39,$BD$6:$BD$53,0)))</f>
        <v>P.1 (4)</v>
      </c>
      <c r="F39" t="str" s="78" cm="1">
        <f t="array" ref="F39">IF(D39="Pendiente","-",INDEX($BT$6:$BT$53,MATCH($AF39,$BD$6:$BD$53,0)))</f>
        <v>P.1 (4)</v>
      </c>
      <c r="G39" s="78"/>
      <c r="H39" t="str" s="78" cm="1">
        <f t="array" ref="H39">IF(D39="Pendiente","-",INDEX($BZ$6:$BZ$53,MATCH($AA39,$BD$6:$BD$53,0)))</f>
        <v>P.1 (4)</v>
      </c>
      <c r="I39" t="str" s="78" cm="1">
        <f t="array" ref="I39">IF(D39="Pendiente","-",INDEX($BZ$6:$BZ$53,MATCH($AF39,$BD$6:$BD$53,0)))</f>
        <v>P.1 (4)</v>
      </c>
      <c r="J39" s="78"/>
      <c r="K39" t="str" s="78" cm="1">
        <f t="array" ref="K39">IF(D39="Pendiente","-",INDEX($CE$6:$CE$53,MATCH($AA39,$BD$6:$BD$53,0)))</f>
        <v>P.1 (4)</v>
      </c>
      <c r="L39" t="str" s="78" cm="1">
        <f t="array" ref="L39">IF(D39="Pendiente","-",INDEX($CE$6:$CE$53,MATCH($AF39,$BD$6:$BD$53,0)))</f>
        <v>P.1 (4)</v>
      </c>
      <c r="M39" s="78"/>
      <c r="N39" t="str" s="78" cm="1">
        <f t="array" ref="N39">IF(D39="Pendiente","-",INDEX($CH$6:$CH$53,MATCH($AA39,$BD$6:$BD$53,0)))</f>
        <v>P.1 (4)</v>
      </c>
      <c r="O39" t="str" s="78" cm="1">
        <f t="array" ref="O39">IF(D39="Pendiente","-",INDEX($CH$6:$CH$53,MATCH($AF39,$BD$6:$BD$53,0)))</f>
        <v>P.1 (4)</v>
      </c>
      <c r="P39" s="78"/>
      <c r="Q39" t="str" s="78" cm="1">
        <f t="array" ref="Q39">IF(D39="Pendiente","-",INDEX($CN$6:$CN$53,MATCH($AA39,$BD$6:$BD$53,0)))</f>
        <v>P.1 (4)</v>
      </c>
      <c r="R39" t="str" s="78" cm="1">
        <f t="array" ref="R39">IF(D39="Pendiente","-",INDEX($CN$6:$CN$53,MATCH($AF39,$BD$6:$BD$53,0)))</f>
        <v>P.1 (4)</v>
      </c>
      <c r="S39" s="78"/>
      <c r="T39" t="str" s="78" cm="1">
        <f t="array" ref="T39">IF(D39="Pendiente","-",INDEX($CS$6:$CS$53,MATCH($AA39,$BD$6:$BD$53,0)))</f>
        <v>P.1 (4)</v>
      </c>
      <c r="U39" t="str" s="78" cm="1">
        <f t="array" ref="U39">IF(D39="Pendiente","-",INDEX($CS$6:$CS$53,MATCH($AF39,$BD$6:$BD$53,0)))</f>
        <v>P.1 (4)</v>
      </c>
      <c r="V39" s="90"/>
      <c r="W39" s="141"/>
      <c r="X39" s="107">
        <v>46193.833333333343</v>
      </c>
      <c r="Y39" s="108">
        <v>46193.833333333343</v>
      </c>
      <c r="Z39" t="str" s="127" cm="1">
        <f t="array" ref="Z39">$Z$6</f>
        <v>J2</v>
      </c>
      <c r="AA39" t="str" s="110" cm="1">
        <f t="array" ref="AA39">A40</f>
        <v>Ecuador</v>
      </c>
      <c r="AB39" s="111"/>
      <c r="AC39" s="128">
        <v>2</v>
      </c>
      <c r="AD39" s="128">
        <v>0</v>
      </c>
      <c r="AE39" s="113"/>
      <c r="AF39" t="str" s="114" cm="1">
        <f t="array" ref="AF39">A38</f>
        <v>Curazao</v>
      </c>
      <c r="AG39" s="115" cm="1">
        <f t="array" ref="AG39">IF(NOT(OR(ISBLANK(AC39),ISBLANK(AD39))),1,0)</f>
        <v>1</v>
      </c>
      <c r="AH39" s="116">
        <v>34</v>
      </c>
      <c r="AI39" t="str" s="117" cm="1">
        <f t="array" ref="AI39">AJ39&amp;$B$36</f>
        <v>2E</v>
      </c>
      <c r="AJ39" s="155">
        <v>2</v>
      </c>
      <c r="AK39" s="225"/>
      <c r="AL39" t="str" s="157" cm="1">
        <f t="array" ref="AL39">_xlfn.IFERROR(INDEX($BD$6:$BD$53,MATCH(AI39,$BN$6:$BN$53,0)),"")</f>
        <v>Curazao</v>
      </c>
      <c r="AM39" s="158" cm="1">
        <f t="array" ref="AM39">INDEX($BE$6:$BN$53,MATCH($AL39,$BD$6:$BD$53,0),MATCH(AM$5,$BE$5:$BN$5,0))</f>
        <v>0</v>
      </c>
      <c r="AN39" s="159" cm="1">
        <f t="array" ref="AN39">INDEX($BE$6:$BN$53,MATCH($AL39,$BD$6:$BD$53,0),MATCH(AN$5,$BE$5:$BN$5,0))</f>
        <v>3</v>
      </c>
      <c r="AO39" s="159" cm="1">
        <f t="array" ref="AO39">INDEX($BE$6:$BN$53,MATCH($AL39,$BD$6:$BD$53,0),MATCH(AO$5,$BE$5:$BN$5,0))</f>
        <v>0</v>
      </c>
      <c r="AP39" s="159" cm="1">
        <f t="array" ref="AP39">INDEX($BE$6:$BN$53,MATCH($AL39,$BD$6:$BD$53,0),MATCH(AP$5,$BE$5:$BN$5,0))</f>
        <v>0</v>
      </c>
      <c r="AQ39" s="159" cm="1">
        <f t="array" ref="AQ39">INDEX($BE$6:$BN$53,MATCH($AL39,$BD$6:$BD$53,0),MATCH(AQ$5,$BE$5:$BN$5,0))</f>
        <v>3</v>
      </c>
      <c r="AR39" s="159" cm="1">
        <f t="array" ref="AR39">INDEX($BE$6:$BN$53,MATCH($AL39,$BD$6:$BD$53,0),MATCH(AR$5,$BE$5:$BN$5,0))</f>
        <v>1</v>
      </c>
      <c r="AS39" s="159" cm="1">
        <f t="array" ref="AS39">INDEX($BE$6:$BN$53,MATCH($AL39,$BD$6:$BD$53,0),MATCH(AS$5,$BE$5:$BN$5,0))</f>
        <v>8</v>
      </c>
      <c r="AT39" s="160" cm="1">
        <f t="array" ref="AT39">INDEX($BE$6:$BN$53,MATCH($AL39,$BD$6:$BD$53,0),MATCH(AT$5,$BE$5:$BN$5,0))</f>
        <v>-7</v>
      </c>
      <c r="AU39" s="148" cm="1">
        <f t="array" ref="AU39">INDEX($DL$6:$DL$53,MATCH(AI39,$DP$6:$DP$53,0))</f>
        <v>4</v>
      </c>
      <c r="AV39" t="str" s="149" cm="1">
        <f t="array" ref="AV39">INDEX($BD$6:$BD$53,MATCH(AI39,$BM$6:$BM$53,0))</f>
        <v>Curazao</v>
      </c>
      <c r="AW39" s="150"/>
      <c r="AX39" s="151"/>
      <c r="AY39" t="str" s="161" cm="1">
        <f t="array" ref="AY39">A38</f>
        <v>Curazao</v>
      </c>
      <c r="AZ39" s="162"/>
      <c r="BA39" s="139"/>
      <c r="BB39" s="87"/>
      <c r="BC39" t="s" s="125">
        <v>339</v>
      </c>
      <c r="BD39" t="s" s="125">
        <v>346</v>
      </c>
      <c r="BE39" s="154" cm="1">
        <f t="array" ref="BE39">BG39*3+BH39+IF($AZ$3="No",0,INDEX($AZ$6:$AZ$97,MATCH(BD39,$AY$6:$AY$97,0)))</f>
        <v>3</v>
      </c>
      <c r="BF39" s="154" cm="1">
        <f t="array" ref="BF39">BG39+BH39+BI39</f>
        <v>3</v>
      </c>
      <c r="BG39" s="154" cm="1">
        <f t="array" ref="BG39">_xlfn.COUNTIFS($AA$4:$AA$97,BD39,$D$4:$D$97,"Local")+_xlfn.COUNTIFS($AF$4:$AF$97,BD39,$D$4:$D$97,"Visitante")</f>
        <v>1</v>
      </c>
      <c r="BH39" s="154" cm="1">
        <f t="array" ref="BH39">_xlfn.COUNTIFS($AA$4:$AA$97,BD39,$D$4:$D$97,"Empate")+_xlfn.COUNTIFS($AF$4:$AF$97,BD39,$D$4:$D$97,"Empate")</f>
        <v>0</v>
      </c>
      <c r="BI39" s="154" cm="1">
        <f t="array" ref="BI39">_xlfn.COUNTIFS($AF$4:$AF$97,BD39,$D$4:$D$97,"Local")+_xlfn.COUNTIFS($AA$4:$AA$97,BD39,$D$4:$D$97,"Visitante")</f>
        <v>2</v>
      </c>
      <c r="BJ39" s="154" cm="1">
        <f t="array" ref="BJ39">_xlfn.SUMIFS($AC$4:$AC$97,$AA$4:$AA$97,BD39,$D$4:$D$97,"&lt;&gt;"&amp;"Pendiente",$AC$4:$AC$97,"&lt;&gt;"&amp;"",$AD$4:$AD$97,"&lt;&gt;"&amp;"")+_xlfn.SUMIFS($AD$4:$AD$97,$AF$4:$AF$97,BD39,$D$4:$D$97,"&lt;&gt;"&amp;"Pendiente",$AC$4:$AC$97,"&lt;&gt;"&amp;"",$AD$4:$AD$97,"&lt;&gt;"&amp;"")</f>
        <v>5</v>
      </c>
      <c r="BK39" s="154" cm="1">
        <f t="array" ref="BK39">_xlfn.SUMIFS($AC$4:$AC$97,$AF$4:$AF$97,BD39,$D$4:$D$97,"&lt;&gt;"&amp;"Pendiente",$AC$4:$AC$97,"&lt;&gt;"&amp;"",$AD$4:$AD$97,"&lt;&gt;"&amp;"")+_xlfn.SUMIFS($AD$4:$AD$97,$AA$4:$AA$97,BD39,$D$4:$D$97,"&lt;&gt;"&amp;"Pendiente",$AC$4:$AC$97,"&lt;&gt;"&amp;"",$AD$4:$AD$97,"&lt;&gt;"&amp;"")</f>
        <v>6</v>
      </c>
      <c r="BL39" s="154" cm="1">
        <f t="array" ref="BL39">BJ39-BK39</f>
        <v>-1</v>
      </c>
      <c r="BM39" t="str" s="140" cm="1">
        <f t="array" ref="BM39">DD39&amp;BC39</f>
        <v>2I</v>
      </c>
      <c r="BN39" t="str" s="140" cm="1">
        <f t="array" ref="BN39">DH39&amp;BC39</f>
        <v>2I</v>
      </c>
      <c r="BO39" s="154" cm="1">
        <f t="array" ref="BO39">IF(AND($AJ$99=144,BF39&gt;=1),1,0)</f>
        <v>0</v>
      </c>
      <c r="BP39" s="154">
        <v>1</v>
      </c>
      <c r="BQ39" t="s" s="125">
        <v>135</v>
      </c>
      <c r="BR39" s="154" cm="1">
        <f t="array" ref="BR39">IF($BQ39="-","-",BE39)</f>
        <v>3</v>
      </c>
      <c r="BS39" s="154">
        <v>1</v>
      </c>
      <c r="BT39" t="s" s="125">
        <v>135</v>
      </c>
      <c r="BU39" s="154" cm="1">
        <f t="array" ref="BU39">IF($BT39="-","-",_xlfn.COUNTIFS($AA$4:$AA$97,$BD39,$D$4:$D$97,"Local",$F$4:$F$97,$BT39)+_xlfn.COUNTIFS($AF$4:$AF$97,$BD39,$D$4:$D$97,"Visitante",$E$4:$E$97,$BT39))</f>
        <v>1</v>
      </c>
      <c r="BV39" s="154" cm="1">
        <f t="array" ref="BV39">IF($BT39="-","-",_xlfn.COUNTIFS($AA$4:$AA$97,$BD39,$D$4:$D$97,"Empate",$F$4:$F$97,$BT39)+_xlfn.COUNTIFS($AF$4:$AF$97,$BD39,$D$4:$D$97,"Empate",$E$4:$E$97,$BT39))</f>
        <v>0</v>
      </c>
      <c r="BW39" s="154" cm="1">
        <f t="array" ref="BW39">IF($BT39="-","-",_xlfn.COUNTIFS($AA$4:$AA$97,$BD39,$D$4:$D$97,"Visitante",$F$4:$F$97,$BT39)+_xlfn.COUNTIFS($AF$4:$AF$97,$BD39,$D$4:$D$97,"Local",$E$4:$E$97,$BT39))</f>
        <v>2</v>
      </c>
      <c r="BX39" s="154" cm="1">
        <f t="array" ref="BX39">IF($BT39="-","-",BU39*3+BV39)</f>
        <v>3</v>
      </c>
      <c r="BY39" s="154">
        <v>1</v>
      </c>
      <c r="BZ39" t="s" s="125">
        <v>135</v>
      </c>
      <c r="CA39" s="154" cm="1">
        <f t="array" ref="CA39">IF($BZ39="-","-",_xlfn.SUMIFS($AC$4:$AC$97,$AA$4:$AA$97,$BD39,$I$4:$I$97,$BZ39)+_xlfn.SUMIFS($AD$4:$AD$97,$AF$4:$AF$97,$BD39,$H$4:$H$97,$BZ39))</f>
        <v>5</v>
      </c>
      <c r="CB39" s="154" cm="1">
        <f t="array" ref="CB39">IF($BZ39="-","-",_xlfn.SUMIFS($AD$4:$AD$97,$AA$4:$AA$97,$BD39,$I$4:$I$97,$BZ39)+_xlfn.SUMIFS($AC$4:$AC$97,$AF$4:$AF$97,$BD39,$H$4:$H$97,$BZ39))</f>
        <v>6</v>
      </c>
      <c r="CC39" s="154" cm="1">
        <f t="array" ref="CC39">IF($BZ39="-","-",CA39-CB39)</f>
        <v>-1</v>
      </c>
      <c r="CD39" s="154">
        <v>1</v>
      </c>
      <c r="CE39" t="s" s="125">
        <v>135</v>
      </c>
      <c r="CF39" s="154" cm="1">
        <f t="array" ref="CF39">IF($CE39="-","-",_xlfn.SUMIFS($AC$4:$AC$97,$AA$4:$AA$97,$BD39,$L$4:$L$97,$CE39)+_xlfn.SUMIFS($AD$4:$AD$97,$AF$4:$AF$97,$BD39,$K$4:$K$97,$CE39))</f>
        <v>5</v>
      </c>
      <c r="CG39" s="154">
        <v>1</v>
      </c>
      <c r="CH39" t="s" s="125">
        <v>135</v>
      </c>
      <c r="CI39" s="154" cm="1">
        <f t="array" ref="CI39">IF($CH39="-","-",_xlfn.COUNTIFS($AA$4:$AA$97,$BD39,$D$4:$D$97,"Local",$O$4:$O$97,$CH39)+_xlfn.COUNTIFS($AF$4:$AF$97,$BD39,$D$4:$D$97,"Visitante",$N$4:$N$97,$CH39))</f>
        <v>1</v>
      </c>
      <c r="CJ39" s="154" cm="1">
        <f t="array" ref="CJ39">IF($CH39="-","-",_xlfn.COUNTIFS($AA$4:$AA$97,$BD39,$D$4:$D$97,"Empate",$O$4:$O$97,$CH39)+_xlfn.COUNTIFS($AF$4:$AF$97,$BD39,$D$4:$D$97,"Empate",$N$4:$N$97,$CH39))</f>
        <v>0</v>
      </c>
      <c r="CK39" s="154" cm="1">
        <f t="array" ref="CK39">IF($CH39="-","-",_xlfn.COUNTIFS($AA$4:$AA$97,$BD39,$D$4:$D$97,"Visitante",$O$4:$O$97,$CH39)+_xlfn.COUNTIFS($AF$4:$AF$97,$BD39,$D$4:$D$97,"Local",$N$4:$N$97,$CH39))</f>
        <v>2</v>
      </c>
      <c r="CL39" s="154" cm="1">
        <f t="array" ref="CL39">IF($CH39="-","-",CI39*3+CJ39)</f>
        <v>3</v>
      </c>
      <c r="CM39" s="154">
        <v>1</v>
      </c>
      <c r="CN39" t="s" s="125">
        <v>135</v>
      </c>
      <c r="CO39" s="154" cm="1">
        <f t="array" ref="CO39">IF($CN39="-","-",_xlfn.SUMIFS($AC$4:$AC$97,$AA$4:$AA$97,$BD39,$R$4:$R$97,$CN39)+_xlfn.SUMIFS($AD$4:$AD$97,$AF$4:$AF$97,$BD39,$Q$4:$Q$97,$CN39))</f>
        <v>5</v>
      </c>
      <c r="CP39" s="154" cm="1">
        <f t="array" ref="CP39">IF($CN39="-","-",_xlfn.SUMIFS($AD$4:$AD$97,$AA$4:$AA$97,$BD39,$R$4:$R$97,$CN39)+_xlfn.SUMIFS($AC$4:$AC$97,$AF$4:$AF$97,$BD39,$Q$4:$Q$97,$CN39))</f>
        <v>6</v>
      </c>
      <c r="CQ39" s="154" cm="1">
        <f t="array" ref="CQ39">IF($CN39="-","-",CO39-CP39)</f>
        <v>-1</v>
      </c>
      <c r="CR39" s="154">
        <v>1</v>
      </c>
      <c r="CS39" t="s" s="125">
        <v>135</v>
      </c>
      <c r="CT39" s="154" cm="1">
        <f t="array" ref="CT39">IF($CS39="-","-",_xlfn.SUMIFS($AC$4:$AC$97,$AA$4:$AA$97,$BD39,$U$4:$U$97,$CS39)+_xlfn.SUMIFS($AD$4:$AD$97,$AF$4:$AF$97,$BD39,$T$4:$T$97,$CS39))</f>
        <v>5</v>
      </c>
      <c r="CU39" s="154">
        <v>1</v>
      </c>
      <c r="CV39" t="s" s="125">
        <v>135</v>
      </c>
      <c r="CW39" s="154" cm="1">
        <f t="array" ref="CW39">IF(CV39="-","-",BL39)</f>
        <v>-1</v>
      </c>
      <c r="CX39" s="154">
        <v>1</v>
      </c>
      <c r="CY39" t="s" s="125">
        <v>135</v>
      </c>
      <c r="CZ39" s="154" cm="1">
        <f t="array" ref="CZ39">IF(CY39="-","-",BJ39)</f>
        <v>5</v>
      </c>
      <c r="DA39" s="154">
        <v>1</v>
      </c>
      <c r="DB39" t="s" s="125">
        <v>135</v>
      </c>
      <c r="DC39" s="154">
        <v>2</v>
      </c>
      <c r="DD39" s="154">
        <v>2</v>
      </c>
      <c r="DE39" s="140"/>
      <c r="DF39" s="154" cm="1">
        <f t="array" ref="DF39">IF(OR(INDEX($AW$6:$AW$97,MATCH($BD39,$AV$6:$AV$97,0))="",DB39="-"),DD39,INDEX($AW$6:$AW$97,MATCH($BD39,$AV$6:$AV$97,0))+DD39/1000)</f>
        <v>2</v>
      </c>
      <c r="DG39" s="154">
        <v>1</v>
      </c>
      <c r="DH39" s="154">
        <v>2</v>
      </c>
      <c r="DI39" s="140"/>
      <c r="DJ39" s="154" cm="1">
        <f t="array" ref="DJ39">INDEX($DA$6:$DA$53,MATCH($DQ39,$BD$6:$BD$53,0))</f>
        <v>1</v>
      </c>
      <c r="DK39" s="154" cm="1">
        <f t="array" ref="DK39">SUMIF($BC$6:$BC$53,BC39,$BF$6:$BF$53)</f>
        <v>12</v>
      </c>
      <c r="DL39" s="154" cm="1">
        <f t="array" ref="DL39">IF(OR(DK39=12,$AJ$99=144),_xlfn.COUNTIFS($DJ$6:$DJ$53,DJ39,$BC$6:$BC$53,BC39),1)</f>
        <v>4</v>
      </c>
      <c r="DM39" t="str" s="140" cm="1">
        <f t="array" ref="DM39">DJ39&amp;"."&amp;DL39</f>
        <v>1.4</v>
      </c>
      <c r="DN39" s="154">
        <v>1</v>
      </c>
      <c r="DO39" s="140"/>
      <c r="DP39" t="s" s="125">
        <v>348</v>
      </c>
      <c r="DQ39" t="str" s="140" cm="1">
        <f t="array" ref="DQ39">INDEX($BD$6:$BD$53,MATCH(DP39,$BM$6:$BM$53,0))</f>
        <v>Senegal</v>
      </c>
      <c r="DR39" s="87"/>
      <c r="DS39" s="87"/>
      <c r="DT39" s="88"/>
      <c r="DU39" s="12"/>
    </row>
    <row r="40" ht="16" customHeight="1">
      <c r="A40" t="s" s="89">
        <v>265</v>
      </c>
      <c r="B40" s="78"/>
      <c r="C40" s="78"/>
      <c r="D40" t="str" s="78" cm="1">
        <f t="array" ref="D40">IF(OR(AC40="",AD40=""),"Pendiente",IF(AC40&gt;AD40,"Local",IF(AC40&lt;AD40,"Visitante","Empate")))</f>
        <v>Visitante</v>
      </c>
      <c r="E40" t="str" s="78" cm="1">
        <f t="array" ref="E40">IF(D40="Pendiente","-",INDEX($BT$6:$BT$53,MATCH($AA40,$BD$6:$BD$53,0)))</f>
        <v>P.1 (4)</v>
      </c>
      <c r="F40" t="str" s="78" cm="1">
        <f t="array" ref="F40">IF(D40="Pendiente","-",INDEX($BT$6:$BT$53,MATCH($AF40,$BD$6:$BD$53,0)))</f>
        <v>P.1 (4)</v>
      </c>
      <c r="G40" s="78"/>
      <c r="H40" t="str" s="78" cm="1">
        <f t="array" ref="H40">IF(D40="Pendiente","-",INDEX($BZ$6:$BZ$53,MATCH($AA40,$BD$6:$BD$53,0)))</f>
        <v>P.1 (4)</v>
      </c>
      <c r="I40" t="str" s="78" cm="1">
        <f t="array" ref="I40">IF(D40="Pendiente","-",INDEX($BZ$6:$BZ$53,MATCH($AF40,$BD$6:$BD$53,0)))</f>
        <v>P.1 (4)</v>
      </c>
      <c r="J40" s="78"/>
      <c r="K40" t="str" s="78" cm="1">
        <f t="array" ref="K40">IF(D40="Pendiente","-",INDEX($CE$6:$CE$53,MATCH($AA40,$BD$6:$BD$53,0)))</f>
        <v>P.1 (4)</v>
      </c>
      <c r="L40" t="str" s="78" cm="1">
        <f t="array" ref="L40">IF(D40="Pendiente","-",INDEX($CE$6:$CE$53,MATCH($AF40,$BD$6:$BD$53,0)))</f>
        <v>P.1 (4)</v>
      </c>
      <c r="M40" s="78"/>
      <c r="N40" t="str" s="78" cm="1">
        <f t="array" ref="N40">IF(D40="Pendiente","-",INDEX($CH$6:$CH$53,MATCH($AA40,$BD$6:$BD$53,0)))</f>
        <v>P.1 (4)</v>
      </c>
      <c r="O40" t="str" s="78" cm="1">
        <f t="array" ref="O40">IF(D40="Pendiente","-",INDEX($CH$6:$CH$53,MATCH($AF40,$BD$6:$BD$53,0)))</f>
        <v>P.1 (4)</v>
      </c>
      <c r="P40" s="78"/>
      <c r="Q40" t="str" s="78" cm="1">
        <f t="array" ref="Q40">IF(D40="Pendiente","-",INDEX($CN$6:$CN$53,MATCH($AA40,$BD$6:$BD$53,0)))</f>
        <v>P.1 (4)</v>
      </c>
      <c r="R40" t="str" s="78" cm="1">
        <f t="array" ref="R40">IF(D40="Pendiente","-",INDEX($CN$6:$CN$53,MATCH($AF40,$BD$6:$BD$53,0)))</f>
        <v>P.1 (4)</v>
      </c>
      <c r="S40" s="78"/>
      <c r="T40" t="str" s="78" cm="1">
        <f t="array" ref="T40">IF(D40="Pendiente","-",INDEX($CS$6:$CS$53,MATCH($AA40,$BD$6:$BD$53,0)))</f>
        <v>P.1 (4)</v>
      </c>
      <c r="U40" t="str" s="78" cm="1">
        <f t="array" ref="U40">IF(D40="Pendiente","-",INDEX($CS$6:$CS$53,MATCH($AF40,$BD$6:$BD$53,0)))</f>
        <v>P.1 (4)</v>
      </c>
      <c r="V40" s="90"/>
      <c r="W40" s="141"/>
      <c r="X40" s="107">
        <v>46198.666666666657</v>
      </c>
      <c r="Y40" s="108">
        <v>46198.666666666657</v>
      </c>
      <c r="Z40" t="str" s="127" cm="1">
        <f t="array" ref="Z40">$Z$8</f>
        <v>J3</v>
      </c>
      <c r="AA40" t="str" s="110" cm="1">
        <f t="array" ref="AA40">A38</f>
        <v>Curazao</v>
      </c>
      <c r="AB40" s="111"/>
      <c r="AC40" s="128">
        <v>1</v>
      </c>
      <c r="AD40" s="128">
        <v>3</v>
      </c>
      <c r="AE40" s="113"/>
      <c r="AF40" t="str" s="114" cm="1">
        <f t="array" ref="AF40">A39</f>
        <v>Costa de Marfil</v>
      </c>
      <c r="AG40" s="115" cm="1">
        <f t="array" ref="AG40">IF(NOT(OR(ISBLANK(AC40),ISBLANK(AD40))),1,0)</f>
        <v>1</v>
      </c>
      <c r="AH40" s="116">
        <v>55</v>
      </c>
      <c r="AI40" t="str" s="117" cm="1">
        <f t="array" ref="AI40">AJ40&amp;$B$36</f>
        <v>3E</v>
      </c>
      <c r="AJ40" s="155">
        <v>3</v>
      </c>
      <c r="AK40" s="225"/>
      <c r="AL40" t="str" s="157" cm="1">
        <f t="array" ref="AL40">_xlfn.IFERROR(INDEX($BD$6:$BD$53,MATCH(AI40,$BN$6:$BN$53,0)),"")</f>
        <v>Costa de Marfil</v>
      </c>
      <c r="AM40" s="158" cm="1">
        <f t="array" ref="AM40">INDEX($BE$6:$BN$53,MATCH($AL40,$BD$6:$BD$53,0),MATCH(AM$5,$BE$5:$BN$5,0))</f>
        <v>3</v>
      </c>
      <c r="AN40" s="159" cm="1">
        <f t="array" ref="AN40">INDEX($BE$6:$BN$53,MATCH($AL40,$BD$6:$BD$53,0),MATCH(AN$5,$BE$5:$BN$5,0))</f>
        <v>3</v>
      </c>
      <c r="AO40" s="159" cm="1">
        <f t="array" ref="AO40">INDEX($BE$6:$BN$53,MATCH($AL40,$BD$6:$BD$53,0),MATCH(AO$5,$BE$5:$BN$5,0))</f>
        <v>1</v>
      </c>
      <c r="AP40" s="159" cm="1">
        <f t="array" ref="AP40">INDEX($BE$6:$BN$53,MATCH($AL40,$BD$6:$BD$53,0),MATCH(AP$5,$BE$5:$BN$5,0))</f>
        <v>0</v>
      </c>
      <c r="AQ40" s="159" cm="1">
        <f t="array" ref="AQ40">INDEX($BE$6:$BN$53,MATCH($AL40,$BD$6:$BD$53,0),MATCH(AQ$5,$BE$5:$BN$5,0))</f>
        <v>2</v>
      </c>
      <c r="AR40" s="159" cm="1">
        <f t="array" ref="AR40">INDEX($BE$6:$BN$53,MATCH($AL40,$BD$6:$BD$53,0),MATCH(AR$5,$BE$5:$BN$5,0))</f>
        <v>4</v>
      </c>
      <c r="AS40" s="159" cm="1">
        <f t="array" ref="AS40">INDEX($BE$6:$BN$53,MATCH($AL40,$BD$6:$BD$53,0),MATCH(AS$5,$BE$5:$BN$5,0))</f>
        <v>6</v>
      </c>
      <c r="AT40" s="160" cm="1">
        <f t="array" ref="AT40">INDEX($BE$6:$BN$53,MATCH($AL40,$BD$6:$BD$53,0),MATCH(AT$5,$BE$5:$BN$5,0))</f>
        <v>-2</v>
      </c>
      <c r="AU40" s="148" cm="1">
        <f t="array" ref="AU40">INDEX($DL$6:$DL$53,MATCH(AI40,$DP$6:$DP$53,0))</f>
        <v>4</v>
      </c>
      <c r="AV40" t="str" s="149" cm="1">
        <f t="array" ref="AV40">INDEX($BD$6:$BD$53,MATCH(AI40,$BM$6:$BM$53,0))</f>
        <v>Costa de Marfil</v>
      </c>
      <c r="AW40" s="150"/>
      <c r="AX40" s="151"/>
      <c r="AY40" t="str" s="152" cm="1">
        <f t="array" ref="AY40">A39</f>
        <v>Costa de Marfil</v>
      </c>
      <c r="AZ40" s="153"/>
      <c r="BA40" s="139"/>
      <c r="BB40" s="87"/>
      <c r="BC40" t="s" s="125">
        <v>339</v>
      </c>
      <c r="BD40" t="s" s="125">
        <v>352</v>
      </c>
      <c r="BE40" s="154" cm="1">
        <f t="array" ref="BE40">BG40*3+BH40+IF($AZ$3="No",0,INDEX($AZ$6:$AZ$97,MATCH(BD40,$AY$6:$AY$97,0)))</f>
        <v>0</v>
      </c>
      <c r="BF40" s="154" cm="1">
        <f t="array" ref="BF40">BG40+BH40+BI40</f>
        <v>3</v>
      </c>
      <c r="BG40" s="154" cm="1">
        <f t="array" ref="BG40">_xlfn.COUNTIFS($AA$4:$AA$97,BD40,$D$4:$D$97,"Local")+_xlfn.COUNTIFS($AF$4:$AF$97,BD40,$D$4:$D$97,"Visitante")</f>
        <v>0</v>
      </c>
      <c r="BH40" s="154" cm="1">
        <f t="array" ref="BH40">_xlfn.COUNTIFS($AA$4:$AA$97,BD40,$D$4:$D$97,"Empate")+_xlfn.COUNTIFS($AF$4:$AF$97,BD40,$D$4:$D$97,"Empate")</f>
        <v>0</v>
      </c>
      <c r="BI40" s="154" cm="1">
        <f t="array" ref="BI40">_xlfn.COUNTIFS($AF$4:$AF$97,BD40,$D$4:$D$97,"Local")+_xlfn.COUNTIFS($AA$4:$AA$97,BD40,$D$4:$D$97,"Visitante")</f>
        <v>3</v>
      </c>
      <c r="BJ40" s="154" cm="1">
        <f t="array" ref="BJ40">_xlfn.SUMIFS($AC$4:$AC$97,$AA$4:$AA$97,BD40,$D$4:$D$97,"&lt;&gt;"&amp;"Pendiente",$AC$4:$AC$97,"&lt;&gt;"&amp;"",$AD$4:$AD$97,"&lt;&gt;"&amp;"")+_xlfn.SUMIFS($AD$4:$AD$97,$AF$4:$AF$97,BD40,$D$4:$D$97,"&lt;&gt;"&amp;"Pendiente",$AC$4:$AC$97,"&lt;&gt;"&amp;"",$AD$4:$AD$97,"&lt;&gt;"&amp;"")</f>
        <v>1</v>
      </c>
      <c r="BK40" s="154" cm="1">
        <f t="array" ref="BK40">_xlfn.SUMIFS($AC$4:$AC$97,$AF$4:$AF$97,BD40,$D$4:$D$97,"&lt;&gt;"&amp;"Pendiente",$AC$4:$AC$97,"&lt;&gt;"&amp;"",$AD$4:$AD$97,"&lt;&gt;"&amp;"")+_xlfn.SUMIFS($AD$4:$AD$97,$AA$4:$AA$97,BD40,$D$4:$D$97,"&lt;&gt;"&amp;"Pendiente",$AC$4:$AC$97,"&lt;&gt;"&amp;"",$AD$4:$AD$97,"&lt;&gt;"&amp;"")</f>
        <v>8</v>
      </c>
      <c r="BL40" s="154" cm="1">
        <f t="array" ref="BL40">BJ40-BK40</f>
        <v>-7</v>
      </c>
      <c r="BM40" t="str" s="140" cm="1">
        <f t="array" ref="BM40">DD40&amp;BC40</f>
        <v>3I</v>
      </c>
      <c r="BN40" t="str" s="140" cm="1">
        <f t="array" ref="BN40">DH40&amp;BC40</f>
        <v>3I</v>
      </c>
      <c r="BO40" s="154" cm="1">
        <f t="array" ref="BO40">IF(AND($AJ$99=144,BF40&gt;=1),1,0)</f>
        <v>0</v>
      </c>
      <c r="BP40" s="154">
        <v>1</v>
      </c>
      <c r="BQ40" t="s" s="125">
        <v>135</v>
      </c>
      <c r="BR40" s="154" cm="1">
        <f t="array" ref="BR40">IF($BQ40="-","-",BE40)</f>
        <v>0</v>
      </c>
      <c r="BS40" s="154">
        <v>1</v>
      </c>
      <c r="BT40" t="s" s="125">
        <v>135</v>
      </c>
      <c r="BU40" s="154" cm="1">
        <f t="array" ref="BU40">IF($BT40="-","-",_xlfn.COUNTIFS($AA$4:$AA$97,$BD40,$D$4:$D$97,"Local",$F$4:$F$97,$BT40)+_xlfn.COUNTIFS($AF$4:$AF$97,$BD40,$D$4:$D$97,"Visitante",$E$4:$E$97,$BT40))</f>
        <v>0</v>
      </c>
      <c r="BV40" s="154" cm="1">
        <f t="array" ref="BV40">IF($BT40="-","-",_xlfn.COUNTIFS($AA$4:$AA$97,$BD40,$D$4:$D$97,"Empate",$F$4:$F$97,$BT40)+_xlfn.COUNTIFS($AF$4:$AF$97,$BD40,$D$4:$D$97,"Empate",$E$4:$E$97,$BT40))</f>
        <v>0</v>
      </c>
      <c r="BW40" s="154" cm="1">
        <f t="array" ref="BW40">IF($BT40="-","-",_xlfn.COUNTIFS($AA$4:$AA$97,$BD40,$D$4:$D$97,"Visitante",$F$4:$F$97,$BT40)+_xlfn.COUNTIFS($AF$4:$AF$97,$BD40,$D$4:$D$97,"Local",$E$4:$E$97,$BT40))</f>
        <v>3</v>
      </c>
      <c r="BX40" s="154" cm="1">
        <f t="array" ref="BX40">IF($BT40="-","-",BU40*3+BV40)</f>
        <v>0</v>
      </c>
      <c r="BY40" s="154">
        <v>1</v>
      </c>
      <c r="BZ40" t="s" s="125">
        <v>135</v>
      </c>
      <c r="CA40" s="154" cm="1">
        <f t="array" ref="CA40">IF($BZ40="-","-",_xlfn.SUMIFS($AC$4:$AC$97,$AA$4:$AA$97,$BD40,$I$4:$I$97,$BZ40)+_xlfn.SUMIFS($AD$4:$AD$97,$AF$4:$AF$97,$BD40,$H$4:$H$97,$BZ40))</f>
        <v>1</v>
      </c>
      <c r="CB40" s="154" cm="1">
        <f t="array" ref="CB40">IF($BZ40="-","-",_xlfn.SUMIFS($AD$4:$AD$97,$AA$4:$AA$97,$BD40,$I$4:$I$97,$BZ40)+_xlfn.SUMIFS($AC$4:$AC$97,$AF$4:$AF$97,$BD40,$H$4:$H$97,$BZ40))</f>
        <v>8</v>
      </c>
      <c r="CC40" s="154" cm="1">
        <f t="array" ref="CC40">IF($BZ40="-","-",CA40-CB40)</f>
        <v>-7</v>
      </c>
      <c r="CD40" s="154">
        <v>1</v>
      </c>
      <c r="CE40" t="s" s="125">
        <v>135</v>
      </c>
      <c r="CF40" s="154" cm="1">
        <f t="array" ref="CF40">IF($CE40="-","-",_xlfn.SUMIFS($AC$4:$AC$97,$AA$4:$AA$97,$BD40,$L$4:$L$97,$CE40)+_xlfn.SUMIFS($AD$4:$AD$97,$AF$4:$AF$97,$BD40,$K$4:$K$97,$CE40))</f>
        <v>1</v>
      </c>
      <c r="CG40" s="154">
        <v>1</v>
      </c>
      <c r="CH40" t="s" s="125">
        <v>135</v>
      </c>
      <c r="CI40" s="154" cm="1">
        <f t="array" ref="CI40">IF($CH40="-","-",_xlfn.COUNTIFS($AA$4:$AA$97,$BD40,$D$4:$D$97,"Local",$O$4:$O$97,$CH40)+_xlfn.COUNTIFS($AF$4:$AF$97,$BD40,$D$4:$D$97,"Visitante",$N$4:$N$97,$CH40))</f>
        <v>0</v>
      </c>
      <c r="CJ40" s="154" cm="1">
        <f t="array" ref="CJ40">IF($CH40="-","-",_xlfn.COUNTIFS($AA$4:$AA$97,$BD40,$D$4:$D$97,"Empate",$O$4:$O$97,$CH40)+_xlfn.COUNTIFS($AF$4:$AF$97,$BD40,$D$4:$D$97,"Empate",$N$4:$N$97,$CH40))</f>
        <v>0</v>
      </c>
      <c r="CK40" s="154" cm="1">
        <f t="array" ref="CK40">IF($CH40="-","-",_xlfn.COUNTIFS($AA$4:$AA$97,$BD40,$D$4:$D$97,"Visitante",$O$4:$O$97,$CH40)+_xlfn.COUNTIFS($AF$4:$AF$97,$BD40,$D$4:$D$97,"Local",$N$4:$N$97,$CH40))</f>
        <v>3</v>
      </c>
      <c r="CL40" s="154" cm="1">
        <f t="array" ref="CL40">IF($CH40="-","-",CI40*3+CJ40)</f>
        <v>0</v>
      </c>
      <c r="CM40" s="154">
        <v>1</v>
      </c>
      <c r="CN40" t="s" s="125">
        <v>135</v>
      </c>
      <c r="CO40" s="154" cm="1">
        <f t="array" ref="CO40">IF($CN40="-","-",_xlfn.SUMIFS($AC$4:$AC$97,$AA$4:$AA$97,$BD40,$R$4:$R$97,$CN40)+_xlfn.SUMIFS($AD$4:$AD$97,$AF$4:$AF$97,$BD40,$Q$4:$Q$97,$CN40))</f>
        <v>1</v>
      </c>
      <c r="CP40" s="154" cm="1">
        <f t="array" ref="CP40">IF($CN40="-","-",_xlfn.SUMIFS($AD$4:$AD$97,$AA$4:$AA$97,$BD40,$R$4:$R$97,$CN40)+_xlfn.SUMIFS($AC$4:$AC$97,$AF$4:$AF$97,$BD40,$Q$4:$Q$97,$CN40))</f>
        <v>8</v>
      </c>
      <c r="CQ40" s="154" cm="1">
        <f t="array" ref="CQ40">IF($CN40="-","-",CO40-CP40)</f>
        <v>-7</v>
      </c>
      <c r="CR40" s="154">
        <v>1</v>
      </c>
      <c r="CS40" t="s" s="125">
        <v>135</v>
      </c>
      <c r="CT40" s="154" cm="1">
        <f t="array" ref="CT40">IF($CS40="-","-",_xlfn.SUMIFS($AC$4:$AC$97,$AA$4:$AA$97,$BD40,$U$4:$U$97,$CS40)+_xlfn.SUMIFS($AD$4:$AD$97,$AF$4:$AF$97,$BD40,$T$4:$T$97,$CS40))</f>
        <v>1</v>
      </c>
      <c r="CU40" s="154">
        <v>1</v>
      </c>
      <c r="CV40" t="s" s="125">
        <v>135</v>
      </c>
      <c r="CW40" s="154" cm="1">
        <f t="array" ref="CW40">IF(CV40="-","-",BL40)</f>
        <v>-7</v>
      </c>
      <c r="CX40" s="154">
        <v>1</v>
      </c>
      <c r="CY40" t="s" s="125">
        <v>135</v>
      </c>
      <c r="CZ40" s="154" cm="1">
        <f t="array" ref="CZ40">IF(CY40="-","-",BJ40)</f>
        <v>1</v>
      </c>
      <c r="DA40" s="154">
        <v>1</v>
      </c>
      <c r="DB40" t="s" s="125">
        <v>135</v>
      </c>
      <c r="DC40" s="154">
        <v>3</v>
      </c>
      <c r="DD40" s="154">
        <v>3</v>
      </c>
      <c r="DE40" s="140"/>
      <c r="DF40" s="154" cm="1">
        <f t="array" ref="DF40">IF(OR(INDEX($AW$6:$AW$97,MATCH($BD40,$AV$6:$AV$97,0))="",DB40="-"),DD40,INDEX($AW$6:$AW$97,MATCH($BD40,$AV$6:$AV$97,0))+DD40/1000)</f>
        <v>3</v>
      </c>
      <c r="DG40" s="154">
        <v>2</v>
      </c>
      <c r="DH40" s="154">
        <v>3</v>
      </c>
      <c r="DI40" s="140"/>
      <c r="DJ40" s="154" cm="1">
        <f t="array" ref="DJ40">INDEX($DA$6:$DA$53,MATCH($DQ40,$BD$6:$BD$53,0))</f>
        <v>1</v>
      </c>
      <c r="DK40" s="154" cm="1">
        <f t="array" ref="DK40">SUMIF($BC$6:$BC$53,BC40,$BF$6:$BF$53)</f>
        <v>12</v>
      </c>
      <c r="DL40" s="154" cm="1">
        <f t="array" ref="DL40">IF(OR(DK40=12,$AJ$99=144),_xlfn.COUNTIFS($DJ$6:$DJ$53,DJ40,$BC$6:$BC$53,BC40),1)</f>
        <v>4</v>
      </c>
      <c r="DM40" t="str" s="140" cm="1">
        <f t="array" ref="DM40">DJ40&amp;"."&amp;DL40</f>
        <v>1.4</v>
      </c>
      <c r="DN40" s="154">
        <v>1</v>
      </c>
      <c r="DO40" s="140"/>
      <c r="DP40" t="s" s="125">
        <v>354</v>
      </c>
      <c r="DQ40" t="str" s="140" cm="1">
        <f t="array" ref="DQ40">INDEX($BD$6:$BD$53,MATCH(DP40,$BM$6:$BM$53,0))</f>
        <v>Irak</v>
      </c>
      <c r="DR40" s="87"/>
      <c r="DS40" s="87"/>
      <c r="DT40" s="88"/>
      <c r="DU40" s="12"/>
    </row>
    <row r="41" ht="16" customHeight="1">
      <c r="A41" s="78"/>
      <c r="B41" s="78"/>
      <c r="C41" s="78"/>
      <c r="D41" t="str" s="78" cm="1">
        <f t="array" ref="D41">IF(OR(AC41="",AD41=""),"Pendiente",IF(AC41&gt;AD41,"Local",IF(AC41&lt;AD41,"Visitante","Empate")))</f>
        <v>Visitante</v>
      </c>
      <c r="E41" t="str" s="78" cm="1">
        <f t="array" ref="E41">IF(D41="Pendiente","-",INDEX($BT$6:$BT$53,MATCH($AA41,$BD$6:$BD$53,0)))</f>
        <v>P.1 (4)</v>
      </c>
      <c r="F41" t="str" s="78" cm="1">
        <f t="array" ref="F41">IF(D41="Pendiente","-",INDEX($BT$6:$BT$53,MATCH($AF41,$BD$6:$BD$53,0)))</f>
        <v>P.1 (4)</v>
      </c>
      <c r="G41" s="78"/>
      <c r="H41" t="str" s="78" cm="1">
        <f t="array" ref="H41">IF(D41="Pendiente","-",INDEX($BZ$6:$BZ$53,MATCH($AA41,$BD$6:$BD$53,0)))</f>
        <v>P.1 (4)</v>
      </c>
      <c r="I41" t="str" s="78" cm="1">
        <f t="array" ref="I41">IF(D41="Pendiente","-",INDEX($BZ$6:$BZ$53,MATCH($AF41,$BD$6:$BD$53,0)))</f>
        <v>P.1 (4)</v>
      </c>
      <c r="J41" s="78"/>
      <c r="K41" t="str" s="78" cm="1">
        <f t="array" ref="K41">IF(D41="Pendiente","-",INDEX($CE$6:$CE$53,MATCH($AA41,$BD$6:$BD$53,0)))</f>
        <v>P.1 (4)</v>
      </c>
      <c r="L41" t="str" s="78" cm="1">
        <f t="array" ref="L41">IF(D41="Pendiente","-",INDEX($CE$6:$CE$53,MATCH($AF41,$BD$6:$BD$53,0)))</f>
        <v>P.1 (4)</v>
      </c>
      <c r="M41" s="78"/>
      <c r="N41" t="str" s="78" cm="1">
        <f t="array" ref="N41">IF(D41="Pendiente","-",INDEX($CH$6:$CH$53,MATCH($AA41,$BD$6:$BD$53,0)))</f>
        <v>P.1 (4)</v>
      </c>
      <c r="O41" t="str" s="78" cm="1">
        <f t="array" ref="O41">IF(D41="Pendiente","-",INDEX($CH$6:$CH$53,MATCH($AF41,$BD$6:$BD$53,0)))</f>
        <v>P.1 (4)</v>
      </c>
      <c r="P41" s="78"/>
      <c r="Q41" t="str" s="78" cm="1">
        <f t="array" ref="Q41">IF(D41="Pendiente","-",INDEX($CN$6:$CN$53,MATCH($AA41,$BD$6:$BD$53,0)))</f>
        <v>P.1 (4)</v>
      </c>
      <c r="R41" t="str" s="78" cm="1">
        <f t="array" ref="R41">IF(D41="Pendiente","-",INDEX($CN$6:$CN$53,MATCH($AF41,$BD$6:$BD$53,0)))</f>
        <v>P.1 (4)</v>
      </c>
      <c r="S41" s="78"/>
      <c r="T41" t="str" s="78" cm="1">
        <f t="array" ref="T41">IF(D41="Pendiente","-",INDEX($CS$6:$CS$53,MATCH($AA41,$BD$6:$BD$53,0)))</f>
        <v>P.1 (4)</v>
      </c>
      <c r="U41" t="str" s="78" cm="1">
        <f t="array" ref="U41">IF(D41="Pendiente","-",INDEX($CS$6:$CS$53,MATCH($AF41,$BD$6:$BD$53,0)))</f>
        <v>P.1 (4)</v>
      </c>
      <c r="V41" s="90"/>
      <c r="W41" s="163"/>
      <c r="X41" s="164">
        <v>46198.666666666657</v>
      </c>
      <c r="Y41" s="165">
        <v>46198.666666666657</v>
      </c>
      <c r="Z41" t="str" s="166" cm="1">
        <f t="array" ref="Z41">$Z$8</f>
        <v>J3</v>
      </c>
      <c r="AA41" t="str" s="167" cm="1">
        <f t="array" ref="AA41">A40</f>
        <v>Ecuador</v>
      </c>
      <c r="AB41" s="168"/>
      <c r="AC41" s="169">
        <v>1</v>
      </c>
      <c r="AD41" s="169">
        <v>2</v>
      </c>
      <c r="AE41" s="170"/>
      <c r="AF41" t="str" s="171" cm="1">
        <f t="array" ref="AF41">A37</f>
        <v>Alemania</v>
      </c>
      <c r="AG41" s="115" cm="1">
        <f t="array" ref="AG41">IF(NOT(OR(ISBLANK(AC41),ISBLANK(AD41))),1,0)</f>
        <v>1</v>
      </c>
      <c r="AH41" s="116">
        <v>56</v>
      </c>
      <c r="AI41" t="str" s="117" cm="1">
        <f t="array" ref="AI41">AJ41&amp;$B$36</f>
        <v>4E</v>
      </c>
      <c r="AJ41" s="172">
        <v>4</v>
      </c>
      <c r="AK41" s="240"/>
      <c r="AL41" t="str" s="174" cm="1">
        <f t="array" ref="AL41">_xlfn.IFERROR(INDEX($BD$6:$BD$53,MATCH(AI41,$BN$6:$BN$53,0)),"")</f>
        <v>Ecuador</v>
      </c>
      <c r="AM41" s="175" cm="1">
        <f t="array" ref="AM41">INDEX($BE$6:$BN$53,MATCH($AL41,$BD$6:$BD$53,0),MATCH(AM$5,$BE$5:$BN$5,0))</f>
        <v>6</v>
      </c>
      <c r="AN41" s="176" cm="1">
        <f t="array" ref="AN41">INDEX($BE$6:$BN$53,MATCH($AL41,$BD$6:$BD$53,0),MATCH(AN$5,$BE$5:$BN$5,0))</f>
        <v>3</v>
      </c>
      <c r="AO41" s="176" cm="1">
        <f t="array" ref="AO41">INDEX($BE$6:$BN$53,MATCH($AL41,$BD$6:$BD$53,0),MATCH(AO$5,$BE$5:$BN$5,0))</f>
        <v>2</v>
      </c>
      <c r="AP41" s="176" cm="1">
        <f t="array" ref="AP41">INDEX($BE$6:$BN$53,MATCH($AL41,$BD$6:$BD$53,0),MATCH(AP$5,$BE$5:$BN$5,0))</f>
        <v>0</v>
      </c>
      <c r="AQ41" s="176" cm="1">
        <f t="array" ref="AQ41">INDEX($BE$6:$BN$53,MATCH($AL41,$BD$6:$BD$53,0),MATCH(AQ$5,$BE$5:$BN$5,0))</f>
        <v>1</v>
      </c>
      <c r="AR41" s="176" cm="1">
        <f t="array" ref="AR41">INDEX($BE$6:$BN$53,MATCH($AL41,$BD$6:$BD$53,0),MATCH(AR$5,$BE$5:$BN$5,0))</f>
        <v>6</v>
      </c>
      <c r="AS41" s="176" cm="1">
        <f t="array" ref="AS41">INDEX($BE$6:$BN$53,MATCH($AL41,$BD$6:$BD$53,0),MATCH(AS$5,$BE$5:$BN$5,0))</f>
        <v>3</v>
      </c>
      <c r="AT41" s="177" cm="1">
        <f t="array" ref="AT41">INDEX($BE$6:$BN$53,MATCH($AL41,$BD$6:$BD$53,0),MATCH(AT$5,$BE$5:$BN$5,0))</f>
        <v>3</v>
      </c>
      <c r="AU41" s="148" cm="1">
        <f t="array" ref="AU41">INDEX($DL$6:$DL$53,MATCH(AI41,$DP$6:$DP$53,0))</f>
        <v>4</v>
      </c>
      <c r="AV41" t="str" s="149" cm="1">
        <f t="array" ref="AV41">INDEX($BD$6:$BD$53,MATCH(AI41,$BM$6:$BM$53,0))</f>
        <v>Ecuador</v>
      </c>
      <c r="AW41" s="150"/>
      <c r="AX41" s="151"/>
      <c r="AY41" t="str" s="178" cm="1">
        <f t="array" ref="AY41">A40</f>
        <v>Ecuador</v>
      </c>
      <c r="AZ41" s="179"/>
      <c r="BA41" s="139"/>
      <c r="BB41" s="87"/>
      <c r="BC41" t="s" s="125">
        <v>339</v>
      </c>
      <c r="BD41" t="s" s="125">
        <v>358</v>
      </c>
      <c r="BE41" s="154" cm="1">
        <f t="array" ref="BE41">BG41*3+BH41+IF($AZ$3="No",0,INDEX($AZ$6:$AZ$97,MATCH(BD41,$AY$6:$AY$97,0)))</f>
        <v>6</v>
      </c>
      <c r="BF41" s="154" cm="1">
        <f t="array" ref="BF41">BG41+BH41+BI41</f>
        <v>3</v>
      </c>
      <c r="BG41" s="154" cm="1">
        <f t="array" ref="BG41">_xlfn.COUNTIFS($AA$4:$AA$97,BD41,$D$4:$D$97,"Local")+_xlfn.COUNTIFS($AF$4:$AF$97,BD41,$D$4:$D$97,"Visitante")</f>
        <v>2</v>
      </c>
      <c r="BH41" s="154" cm="1">
        <f t="array" ref="BH41">_xlfn.COUNTIFS($AA$4:$AA$97,BD41,$D$4:$D$97,"Empate")+_xlfn.COUNTIFS($AF$4:$AF$97,BD41,$D$4:$D$97,"Empate")</f>
        <v>0</v>
      </c>
      <c r="BI41" s="154" cm="1">
        <f t="array" ref="BI41">_xlfn.COUNTIFS($AF$4:$AF$97,BD41,$D$4:$D$97,"Local")+_xlfn.COUNTIFS($AA$4:$AA$97,BD41,$D$4:$D$97,"Visitante")</f>
        <v>1</v>
      </c>
      <c r="BJ41" s="154" cm="1">
        <f t="array" ref="BJ41">_xlfn.SUMIFS($AC$4:$AC$97,$AA$4:$AA$97,BD41,$D$4:$D$97,"&lt;&gt;"&amp;"Pendiente",$AC$4:$AC$97,"&lt;&gt;"&amp;"",$AD$4:$AD$97,"&lt;&gt;"&amp;"")+_xlfn.SUMIFS($AD$4:$AD$97,$AF$4:$AF$97,BD41,$D$4:$D$97,"&lt;&gt;"&amp;"Pendiente",$AC$4:$AC$97,"&lt;&gt;"&amp;"",$AD$4:$AD$97,"&lt;&gt;"&amp;"")</f>
        <v>5</v>
      </c>
      <c r="BK41" s="154" cm="1">
        <f t="array" ref="BK41">_xlfn.SUMIFS($AC$4:$AC$97,$AF$4:$AF$97,BD41,$D$4:$D$97,"&lt;&gt;"&amp;"Pendiente",$AC$4:$AC$97,"&lt;&gt;"&amp;"",$AD$4:$AD$97,"&lt;&gt;"&amp;"")+_xlfn.SUMIFS($AD$4:$AD$97,$AA$4:$AA$97,BD41,$D$4:$D$97,"&lt;&gt;"&amp;"Pendiente",$AC$4:$AC$97,"&lt;&gt;"&amp;"",$AD$4:$AD$97,"&lt;&gt;"&amp;"")</f>
        <v>3</v>
      </c>
      <c r="BL41" s="154" cm="1">
        <f t="array" ref="BL41">BJ41-BK41</f>
        <v>2</v>
      </c>
      <c r="BM41" t="str" s="140" cm="1">
        <f t="array" ref="BM41">DD41&amp;BC41</f>
        <v>4I</v>
      </c>
      <c r="BN41" t="str" s="140" cm="1">
        <f t="array" ref="BN41">DH41&amp;BC41</f>
        <v>4I</v>
      </c>
      <c r="BO41" s="154" cm="1">
        <f t="array" ref="BO41">IF(AND($AJ$99=144,BF41&gt;=1),1,0)</f>
        <v>0</v>
      </c>
      <c r="BP41" s="154">
        <v>1</v>
      </c>
      <c r="BQ41" t="s" s="125">
        <v>135</v>
      </c>
      <c r="BR41" s="154" cm="1">
        <f t="array" ref="BR41">IF($BQ41="-","-",BE41)</f>
        <v>6</v>
      </c>
      <c r="BS41" s="154">
        <v>1</v>
      </c>
      <c r="BT41" t="s" s="125">
        <v>135</v>
      </c>
      <c r="BU41" s="154" cm="1">
        <f t="array" ref="BU41">IF($BT41="-","-",_xlfn.COUNTIFS($AA$4:$AA$97,$BD41,$D$4:$D$97,"Local",$F$4:$F$97,$BT41)+_xlfn.COUNTIFS($AF$4:$AF$97,$BD41,$D$4:$D$97,"Visitante",$E$4:$E$97,$BT41))</f>
        <v>2</v>
      </c>
      <c r="BV41" s="154" cm="1">
        <f t="array" ref="BV41">IF($BT41="-","-",_xlfn.COUNTIFS($AA$4:$AA$97,$BD41,$D$4:$D$97,"Empate",$F$4:$F$97,$BT41)+_xlfn.COUNTIFS($AF$4:$AF$97,$BD41,$D$4:$D$97,"Empate",$E$4:$E$97,$BT41))</f>
        <v>0</v>
      </c>
      <c r="BW41" s="154" cm="1">
        <f t="array" ref="BW41">IF($BT41="-","-",_xlfn.COUNTIFS($AA$4:$AA$97,$BD41,$D$4:$D$97,"Visitante",$F$4:$F$97,$BT41)+_xlfn.COUNTIFS($AF$4:$AF$97,$BD41,$D$4:$D$97,"Local",$E$4:$E$97,$BT41))</f>
        <v>1</v>
      </c>
      <c r="BX41" s="154" cm="1">
        <f t="array" ref="BX41">IF($BT41="-","-",BU41*3+BV41)</f>
        <v>6</v>
      </c>
      <c r="BY41" s="154">
        <v>1</v>
      </c>
      <c r="BZ41" t="s" s="125">
        <v>135</v>
      </c>
      <c r="CA41" s="154" cm="1">
        <f t="array" ref="CA41">IF($BZ41="-","-",_xlfn.SUMIFS($AC$4:$AC$97,$AA$4:$AA$97,$BD41,$I$4:$I$97,$BZ41)+_xlfn.SUMIFS($AD$4:$AD$97,$AF$4:$AF$97,$BD41,$H$4:$H$97,$BZ41))</f>
        <v>5</v>
      </c>
      <c r="CB41" s="154" cm="1">
        <f t="array" ref="CB41">IF($BZ41="-","-",_xlfn.SUMIFS($AD$4:$AD$97,$AA$4:$AA$97,$BD41,$I$4:$I$97,$BZ41)+_xlfn.SUMIFS($AC$4:$AC$97,$AF$4:$AF$97,$BD41,$H$4:$H$97,$BZ41))</f>
        <v>3</v>
      </c>
      <c r="CC41" s="154" cm="1">
        <f t="array" ref="CC41">IF($BZ41="-","-",CA41-CB41)</f>
        <v>2</v>
      </c>
      <c r="CD41" s="154">
        <v>1</v>
      </c>
      <c r="CE41" t="s" s="125">
        <v>135</v>
      </c>
      <c r="CF41" s="154" cm="1">
        <f t="array" ref="CF41">IF($CE41="-","-",_xlfn.SUMIFS($AC$4:$AC$97,$AA$4:$AA$97,$BD41,$L$4:$L$97,$CE41)+_xlfn.SUMIFS($AD$4:$AD$97,$AF$4:$AF$97,$BD41,$K$4:$K$97,$CE41))</f>
        <v>5</v>
      </c>
      <c r="CG41" s="154">
        <v>1</v>
      </c>
      <c r="CH41" t="s" s="125">
        <v>135</v>
      </c>
      <c r="CI41" s="154" cm="1">
        <f t="array" ref="CI41">IF($CH41="-","-",_xlfn.COUNTIFS($AA$4:$AA$97,$BD41,$D$4:$D$97,"Local",$O$4:$O$97,$CH41)+_xlfn.COUNTIFS($AF$4:$AF$97,$BD41,$D$4:$D$97,"Visitante",$N$4:$N$97,$CH41))</f>
        <v>2</v>
      </c>
      <c r="CJ41" s="154" cm="1">
        <f t="array" ref="CJ41">IF($CH41="-","-",_xlfn.COUNTIFS($AA$4:$AA$97,$BD41,$D$4:$D$97,"Empate",$O$4:$O$97,$CH41)+_xlfn.COUNTIFS($AF$4:$AF$97,$BD41,$D$4:$D$97,"Empate",$N$4:$N$97,$CH41))</f>
        <v>0</v>
      </c>
      <c r="CK41" s="154" cm="1">
        <f t="array" ref="CK41">IF($CH41="-","-",_xlfn.COUNTIFS($AA$4:$AA$97,$BD41,$D$4:$D$97,"Visitante",$O$4:$O$97,$CH41)+_xlfn.COUNTIFS($AF$4:$AF$97,$BD41,$D$4:$D$97,"Local",$N$4:$N$97,$CH41))</f>
        <v>1</v>
      </c>
      <c r="CL41" s="154" cm="1">
        <f t="array" ref="CL41">IF($CH41="-","-",CI41*3+CJ41)</f>
        <v>6</v>
      </c>
      <c r="CM41" s="154">
        <v>1</v>
      </c>
      <c r="CN41" t="s" s="125">
        <v>135</v>
      </c>
      <c r="CO41" s="154" cm="1">
        <f t="array" ref="CO41">IF($CN41="-","-",_xlfn.SUMIFS($AC$4:$AC$97,$AA$4:$AA$97,$BD41,$R$4:$R$97,$CN41)+_xlfn.SUMIFS($AD$4:$AD$97,$AF$4:$AF$97,$BD41,$Q$4:$Q$97,$CN41))</f>
        <v>5</v>
      </c>
      <c r="CP41" s="154" cm="1">
        <f t="array" ref="CP41">IF($CN41="-","-",_xlfn.SUMIFS($AD$4:$AD$97,$AA$4:$AA$97,$BD41,$R$4:$R$97,$CN41)+_xlfn.SUMIFS($AC$4:$AC$97,$AF$4:$AF$97,$BD41,$Q$4:$Q$97,$CN41))</f>
        <v>3</v>
      </c>
      <c r="CQ41" s="154" cm="1">
        <f t="array" ref="CQ41">IF($CN41="-","-",CO41-CP41)</f>
        <v>2</v>
      </c>
      <c r="CR41" s="154">
        <v>1</v>
      </c>
      <c r="CS41" t="s" s="125">
        <v>135</v>
      </c>
      <c r="CT41" s="154" cm="1">
        <f t="array" ref="CT41">IF($CS41="-","-",_xlfn.SUMIFS($AC$4:$AC$97,$AA$4:$AA$97,$BD41,$U$4:$U$97,$CS41)+_xlfn.SUMIFS($AD$4:$AD$97,$AF$4:$AF$97,$BD41,$T$4:$T$97,$CS41))</f>
        <v>5</v>
      </c>
      <c r="CU41" s="154">
        <v>1</v>
      </c>
      <c r="CV41" t="s" s="125">
        <v>135</v>
      </c>
      <c r="CW41" s="154" cm="1">
        <f t="array" ref="CW41">IF(CV41="-","-",BL41)</f>
        <v>2</v>
      </c>
      <c r="CX41" s="154">
        <v>1</v>
      </c>
      <c r="CY41" t="s" s="125">
        <v>135</v>
      </c>
      <c r="CZ41" s="154" cm="1">
        <f t="array" ref="CZ41">IF(CY41="-","-",BJ41)</f>
        <v>5</v>
      </c>
      <c r="DA41" s="154">
        <v>1</v>
      </c>
      <c r="DB41" t="s" s="125">
        <v>135</v>
      </c>
      <c r="DC41" s="154">
        <v>4</v>
      </c>
      <c r="DD41" s="154">
        <v>4</v>
      </c>
      <c r="DE41" s="140"/>
      <c r="DF41" s="154" cm="1">
        <f t="array" ref="DF41">IF(OR(INDEX($AW$6:$AW$97,MATCH($BD41,$AV$6:$AV$97,0))="",DB41="-"),DD41,INDEX($AW$6:$AW$97,MATCH($BD41,$AV$6:$AV$97,0))+DD41/1000)</f>
        <v>4</v>
      </c>
      <c r="DG41" s="154">
        <v>3</v>
      </c>
      <c r="DH41" s="154">
        <v>4</v>
      </c>
      <c r="DI41" s="140"/>
      <c r="DJ41" s="154" cm="1">
        <f t="array" ref="DJ41">INDEX($DA$6:$DA$53,MATCH($DQ41,$BD$6:$BD$53,0))</f>
        <v>1</v>
      </c>
      <c r="DK41" s="154" cm="1">
        <f t="array" ref="DK41">SUMIF($BC$6:$BC$53,BC41,$BF$6:$BF$53)</f>
        <v>12</v>
      </c>
      <c r="DL41" s="154" cm="1">
        <f t="array" ref="DL41">IF(OR(DK41=12,$AJ$99=144),_xlfn.COUNTIFS($DJ$6:$DJ$53,DJ41,$BC$6:$BC$53,BC41),1)</f>
        <v>4</v>
      </c>
      <c r="DM41" t="str" s="140" cm="1">
        <f t="array" ref="DM41">DJ41&amp;"."&amp;DL41</f>
        <v>1.4</v>
      </c>
      <c r="DN41" s="154">
        <v>1</v>
      </c>
      <c r="DO41" s="140"/>
      <c r="DP41" t="s" s="125">
        <v>360</v>
      </c>
      <c r="DQ41" t="str" s="140" cm="1">
        <f t="array" ref="DQ41">INDEX($BD$6:$BD$53,MATCH(DP41,$BM$6:$BM$53,0))</f>
        <v>Noruega</v>
      </c>
      <c r="DR41" s="87"/>
      <c r="DS41" s="87"/>
      <c r="DT41" s="88"/>
      <c r="DU41" s="12"/>
    </row>
    <row r="42" ht="16" customHeight="1">
      <c r="A42" s="78"/>
      <c r="B42" s="78"/>
      <c r="C42" s="78"/>
      <c r="D42" s="78"/>
      <c r="E42" s="78"/>
      <c r="F42" s="78"/>
      <c r="G42" s="78"/>
      <c r="H42" s="78"/>
      <c r="I42" s="78"/>
      <c r="J42" s="78"/>
      <c r="K42" s="78"/>
      <c r="L42" s="78"/>
      <c r="M42" s="78"/>
      <c r="N42" s="78"/>
      <c r="O42" s="78"/>
      <c r="P42" s="78"/>
      <c r="Q42" s="78"/>
      <c r="R42" s="78"/>
      <c r="S42" s="78"/>
      <c r="T42" s="78"/>
      <c r="U42" s="78"/>
      <c r="V42" s="79"/>
      <c r="W42" s="180"/>
      <c r="X42" s="181"/>
      <c r="Y42" s="180"/>
      <c r="Z42" s="182"/>
      <c r="AA42" s="183"/>
      <c r="AB42" s="184"/>
      <c r="AC42" s="185"/>
      <c r="AD42" s="185"/>
      <c r="AE42" s="184"/>
      <c r="AF42" s="186"/>
      <c r="AG42" s="233"/>
      <c r="AH42" s="188"/>
      <c r="AI42" s="234"/>
      <c r="AJ42" s="189"/>
      <c r="AK42" s="190"/>
      <c r="AL42" s="191"/>
      <c r="AM42" s="192"/>
      <c r="AN42" s="189"/>
      <c r="AO42" s="189"/>
      <c r="AP42" s="189"/>
      <c r="AQ42" s="189"/>
      <c r="AR42" s="189"/>
      <c r="AS42" s="189"/>
      <c r="AT42" s="189"/>
      <c r="AU42" s="193"/>
      <c r="AV42" s="194"/>
      <c r="AW42" s="150"/>
      <c r="AX42" s="195"/>
      <c r="AY42" s="196"/>
      <c r="AZ42" s="197"/>
      <c r="BA42" s="8"/>
      <c r="BB42" s="87"/>
      <c r="BC42" t="s" s="125">
        <v>62</v>
      </c>
      <c r="BD42" t="s" s="125">
        <v>362</v>
      </c>
      <c r="BE42" s="154" cm="1">
        <f t="array" ref="BE42">BG42*3+BH42+IF($AZ$3="No",0,INDEX($AZ$6:$AZ$97,MATCH(BD42,$AY$6:$AY$97,0)))</f>
        <v>9</v>
      </c>
      <c r="BF42" s="154" cm="1">
        <f t="array" ref="BF42">BG42+BH42+BI42</f>
        <v>3</v>
      </c>
      <c r="BG42" s="154" cm="1">
        <f t="array" ref="BG42">_xlfn.COUNTIFS($AA$4:$AA$97,BD42,$D$4:$D$97,"Local")+_xlfn.COUNTIFS($AF$4:$AF$97,BD42,$D$4:$D$97,"Visitante")</f>
        <v>3</v>
      </c>
      <c r="BH42" s="154" cm="1">
        <f t="array" ref="BH42">_xlfn.COUNTIFS($AA$4:$AA$97,BD42,$D$4:$D$97,"Empate")+_xlfn.COUNTIFS($AF$4:$AF$97,BD42,$D$4:$D$97,"Empate")</f>
        <v>0</v>
      </c>
      <c r="BI42" s="154" cm="1">
        <f t="array" ref="BI42">_xlfn.COUNTIFS($AF$4:$AF$97,BD42,$D$4:$D$97,"Local")+_xlfn.COUNTIFS($AA$4:$AA$97,BD42,$D$4:$D$97,"Visitante")</f>
        <v>0</v>
      </c>
      <c r="BJ42" s="154" cm="1">
        <f t="array" ref="BJ42">_xlfn.SUMIFS($AC$4:$AC$97,$AA$4:$AA$97,BD42,$D$4:$D$97,"&lt;&gt;"&amp;"Pendiente",$AC$4:$AC$97,"&lt;&gt;"&amp;"",$AD$4:$AD$97,"&lt;&gt;"&amp;"")+_xlfn.SUMIFS($AD$4:$AD$97,$AF$4:$AF$97,BD42,$D$4:$D$97,"&lt;&gt;"&amp;"Pendiente",$AC$4:$AC$97,"&lt;&gt;"&amp;"",$AD$4:$AD$97,"&lt;&gt;"&amp;"")</f>
        <v>8</v>
      </c>
      <c r="BK42" s="154" cm="1">
        <f t="array" ref="BK42">_xlfn.SUMIFS($AC$4:$AC$97,$AF$4:$AF$97,BD42,$D$4:$D$97,"&lt;&gt;"&amp;"Pendiente",$AC$4:$AC$97,"&lt;&gt;"&amp;"",$AD$4:$AD$97,"&lt;&gt;"&amp;"")+_xlfn.SUMIFS($AD$4:$AD$97,$AA$4:$AA$97,BD42,$D$4:$D$97,"&lt;&gt;"&amp;"Pendiente",$AC$4:$AC$97,"&lt;&gt;"&amp;"",$AD$4:$AD$97,"&lt;&gt;"&amp;"")</f>
        <v>1</v>
      </c>
      <c r="BL42" s="154" cm="1">
        <f t="array" ref="BL42">BJ42-BK42</f>
        <v>7</v>
      </c>
      <c r="BM42" t="str" s="140" cm="1">
        <f t="array" ref="BM42">DD42&amp;BC42</f>
        <v>1J</v>
      </c>
      <c r="BN42" t="str" s="140" cm="1">
        <f t="array" ref="BN42">DH42&amp;BC42</f>
        <v>1J</v>
      </c>
      <c r="BO42" s="154" cm="1">
        <f t="array" ref="BO42">IF(AND($AJ$99=144,BF42&gt;=1),1,0)</f>
        <v>0</v>
      </c>
      <c r="BP42" s="154">
        <v>1</v>
      </c>
      <c r="BQ42" t="s" s="125">
        <v>135</v>
      </c>
      <c r="BR42" s="154" cm="1">
        <f t="array" ref="BR42">IF($BQ42="-","-",BE42)</f>
        <v>9</v>
      </c>
      <c r="BS42" s="154">
        <v>1</v>
      </c>
      <c r="BT42" t="s" s="125">
        <v>135</v>
      </c>
      <c r="BU42" s="154" cm="1">
        <f t="array" ref="BU42">IF($BT42="-","-",_xlfn.COUNTIFS($AA$4:$AA$97,$BD42,$D$4:$D$97,"Local",$F$4:$F$97,$BT42)+_xlfn.COUNTIFS($AF$4:$AF$97,$BD42,$D$4:$D$97,"Visitante",$E$4:$E$97,$BT42))</f>
        <v>3</v>
      </c>
      <c r="BV42" s="154" cm="1">
        <f t="array" ref="BV42">IF($BT42="-","-",_xlfn.COUNTIFS($AA$4:$AA$97,$BD42,$D$4:$D$97,"Empate",$F$4:$F$97,$BT42)+_xlfn.COUNTIFS($AF$4:$AF$97,$BD42,$D$4:$D$97,"Empate",$E$4:$E$97,$BT42))</f>
        <v>0</v>
      </c>
      <c r="BW42" s="154" cm="1">
        <f t="array" ref="BW42">IF($BT42="-","-",_xlfn.COUNTIFS($AA$4:$AA$97,$BD42,$D$4:$D$97,"Visitante",$F$4:$F$97,$BT42)+_xlfn.COUNTIFS($AF$4:$AF$97,$BD42,$D$4:$D$97,"Local",$E$4:$E$97,$BT42))</f>
        <v>0</v>
      </c>
      <c r="BX42" s="154" cm="1">
        <f t="array" ref="BX42">IF($BT42="-","-",BU42*3+BV42)</f>
        <v>9</v>
      </c>
      <c r="BY42" s="154">
        <v>1</v>
      </c>
      <c r="BZ42" t="s" s="125">
        <v>135</v>
      </c>
      <c r="CA42" s="154" cm="1">
        <f t="array" ref="CA42">IF($BZ42="-","-",_xlfn.SUMIFS($AC$4:$AC$97,$AA$4:$AA$97,$BD42,$I$4:$I$97,$BZ42)+_xlfn.SUMIFS($AD$4:$AD$97,$AF$4:$AF$97,$BD42,$H$4:$H$97,$BZ42))</f>
        <v>8</v>
      </c>
      <c r="CB42" s="154" cm="1">
        <f t="array" ref="CB42">IF($BZ42="-","-",_xlfn.SUMIFS($AD$4:$AD$97,$AA$4:$AA$97,$BD42,$I$4:$I$97,$BZ42)+_xlfn.SUMIFS($AC$4:$AC$97,$AF$4:$AF$97,$BD42,$H$4:$H$97,$BZ42))</f>
        <v>1</v>
      </c>
      <c r="CC42" s="154" cm="1">
        <f t="array" ref="CC42">IF($BZ42="-","-",CA42-CB42)</f>
        <v>7</v>
      </c>
      <c r="CD42" s="154">
        <v>1</v>
      </c>
      <c r="CE42" t="s" s="125">
        <v>135</v>
      </c>
      <c r="CF42" s="154" cm="1">
        <f t="array" ref="CF42">IF($CE42="-","-",_xlfn.SUMIFS($AC$4:$AC$97,$AA$4:$AA$97,$BD42,$L$4:$L$97,$CE42)+_xlfn.SUMIFS($AD$4:$AD$97,$AF$4:$AF$97,$BD42,$K$4:$K$97,$CE42))</f>
        <v>8</v>
      </c>
      <c r="CG42" s="154">
        <v>1</v>
      </c>
      <c r="CH42" t="s" s="125">
        <v>135</v>
      </c>
      <c r="CI42" s="154" cm="1">
        <f t="array" ref="CI42">IF($CH42="-","-",_xlfn.COUNTIFS($AA$4:$AA$97,$BD42,$D$4:$D$97,"Local",$O$4:$O$97,$CH42)+_xlfn.COUNTIFS($AF$4:$AF$97,$BD42,$D$4:$D$97,"Visitante",$N$4:$N$97,$CH42))</f>
        <v>3</v>
      </c>
      <c r="CJ42" s="154" cm="1">
        <f t="array" ref="CJ42">IF($CH42="-","-",_xlfn.COUNTIFS($AA$4:$AA$97,$BD42,$D$4:$D$97,"Empate",$O$4:$O$97,$CH42)+_xlfn.COUNTIFS($AF$4:$AF$97,$BD42,$D$4:$D$97,"Empate",$N$4:$N$97,$CH42))</f>
        <v>0</v>
      </c>
      <c r="CK42" s="154" cm="1">
        <f t="array" ref="CK42">IF($CH42="-","-",_xlfn.COUNTIFS($AA$4:$AA$97,$BD42,$D$4:$D$97,"Visitante",$O$4:$O$97,$CH42)+_xlfn.COUNTIFS($AF$4:$AF$97,$BD42,$D$4:$D$97,"Local",$N$4:$N$97,$CH42))</f>
        <v>0</v>
      </c>
      <c r="CL42" s="154" cm="1">
        <f t="array" ref="CL42">IF($CH42="-","-",CI42*3+CJ42)</f>
        <v>9</v>
      </c>
      <c r="CM42" s="154">
        <v>1</v>
      </c>
      <c r="CN42" t="s" s="125">
        <v>135</v>
      </c>
      <c r="CO42" s="154" cm="1">
        <f t="array" ref="CO42">IF($CN42="-","-",_xlfn.SUMIFS($AC$4:$AC$97,$AA$4:$AA$97,$BD42,$R$4:$R$97,$CN42)+_xlfn.SUMIFS($AD$4:$AD$97,$AF$4:$AF$97,$BD42,$Q$4:$Q$97,$CN42))</f>
        <v>8</v>
      </c>
      <c r="CP42" s="154" cm="1">
        <f t="array" ref="CP42">IF($CN42="-","-",_xlfn.SUMIFS($AD$4:$AD$97,$AA$4:$AA$97,$BD42,$R$4:$R$97,$CN42)+_xlfn.SUMIFS($AC$4:$AC$97,$AF$4:$AF$97,$BD42,$Q$4:$Q$97,$CN42))</f>
        <v>1</v>
      </c>
      <c r="CQ42" s="154" cm="1">
        <f t="array" ref="CQ42">IF($CN42="-","-",CO42-CP42)</f>
        <v>7</v>
      </c>
      <c r="CR42" s="154">
        <v>1</v>
      </c>
      <c r="CS42" t="s" s="125">
        <v>135</v>
      </c>
      <c r="CT42" s="154" cm="1">
        <f t="array" ref="CT42">IF($CS42="-","-",_xlfn.SUMIFS($AC$4:$AC$97,$AA$4:$AA$97,$BD42,$U$4:$U$97,$CS42)+_xlfn.SUMIFS($AD$4:$AD$97,$AF$4:$AF$97,$BD42,$T$4:$T$97,$CS42))</f>
        <v>8</v>
      </c>
      <c r="CU42" s="154">
        <v>1</v>
      </c>
      <c r="CV42" t="s" s="125">
        <v>135</v>
      </c>
      <c r="CW42" s="154" cm="1">
        <f t="array" ref="CW42">IF(CV42="-","-",BL42)</f>
        <v>7</v>
      </c>
      <c r="CX42" s="154">
        <v>1</v>
      </c>
      <c r="CY42" t="s" s="125">
        <v>135</v>
      </c>
      <c r="CZ42" s="154" cm="1">
        <f t="array" ref="CZ42">IF(CY42="-","-",BJ42)</f>
        <v>8</v>
      </c>
      <c r="DA42" s="154">
        <v>1</v>
      </c>
      <c r="DB42" t="s" s="125">
        <v>135</v>
      </c>
      <c r="DC42" s="154">
        <v>1</v>
      </c>
      <c r="DD42" s="154">
        <v>1</v>
      </c>
      <c r="DE42" s="140"/>
      <c r="DF42" s="154" cm="1">
        <f t="array" ref="DF42">IF(OR(INDEX($AW$6:$AW$97,MATCH($BD42,$AV$6:$AV$97,0))="",DB42="-"),DD42,INDEX($AW$6:$AW$97,MATCH($BD42,$AV$6:$AV$97,0))+DD42/1000)</f>
        <v>1</v>
      </c>
      <c r="DG42" s="154">
        <v>0</v>
      </c>
      <c r="DH42" s="154">
        <v>1</v>
      </c>
      <c r="DI42" s="140"/>
      <c r="DJ42" s="154" cm="1">
        <f t="array" ref="DJ42">INDEX($DA$6:$DA$53,MATCH($DQ42,$BD$6:$BD$53,0))</f>
        <v>1</v>
      </c>
      <c r="DK42" s="154" cm="1">
        <f t="array" ref="DK42">SUMIF($BC$6:$BC$53,BC42,$BF$6:$BF$53)</f>
        <v>12</v>
      </c>
      <c r="DL42" s="154" cm="1">
        <f t="array" ref="DL42">IF(OR(DK42=12,$AJ$99=144),_xlfn.COUNTIFS($DJ$6:$DJ$53,DJ42,$BC$6:$BC$53,BC42),1)</f>
        <v>4</v>
      </c>
      <c r="DM42" t="str" s="140" cm="1">
        <f t="array" ref="DM42">DJ42&amp;"."&amp;DL42</f>
        <v>1.4</v>
      </c>
      <c r="DN42" s="154">
        <v>1</v>
      </c>
      <c r="DO42" s="140"/>
      <c r="DP42" t="s" s="125">
        <v>364</v>
      </c>
      <c r="DQ42" t="str" s="140" cm="1">
        <f t="array" ref="DQ42">INDEX($BD$6:$BD$53,MATCH(DP42,$BM$6:$BM$53,0))</f>
        <v>Argentina</v>
      </c>
      <c r="DR42" s="87"/>
      <c r="DS42" s="87"/>
      <c r="DT42" s="88"/>
      <c r="DU42" s="12"/>
    </row>
    <row r="43" ht="16" customHeight="1">
      <c r="A43" s="78"/>
      <c r="B43" s="78"/>
      <c r="C43" s="78"/>
      <c r="D43" s="78"/>
      <c r="E43" s="78"/>
      <c r="F43" s="78"/>
      <c r="G43" s="78"/>
      <c r="H43" s="78"/>
      <c r="I43" s="78"/>
      <c r="J43" s="78"/>
      <c r="K43" s="78"/>
      <c r="L43" s="78"/>
      <c r="M43" s="78"/>
      <c r="N43" s="78"/>
      <c r="O43" s="78"/>
      <c r="P43" s="78"/>
      <c r="Q43" s="78"/>
      <c r="R43" s="78"/>
      <c r="S43" s="78"/>
      <c r="T43" s="78"/>
      <c r="U43" s="78"/>
      <c r="V43" s="90"/>
      <c r="W43" s="91"/>
      <c r="X43" t="str" s="198" cm="1">
        <f t="array" ref="X43">X27</f>
        <v>Fecha</v>
      </c>
      <c r="Y43" t="str" s="198" cm="1">
        <f t="array" ref="Y43">Y27</f>
        <v>Hora</v>
      </c>
      <c r="Z43" t="str" s="119" cm="1">
        <f t="array" ref="Z43">Z27</f>
        <v>Jor.</v>
      </c>
      <c r="AA43" t="str" s="199" cm="1">
        <f t="array" ref="AA43">AA27</f>
        <v>Casa</v>
      </c>
      <c r="AB43" s="95"/>
      <c r="AC43" t="str" s="119" cm="1">
        <f t="array" ref="AC43">AC3</f>
        <v>Gol</v>
      </c>
      <c r="AD43" t="str" s="119" cm="1">
        <f t="array" ref="AD43">AD3</f>
        <v>Gol</v>
      </c>
      <c r="AE43" s="95"/>
      <c r="AF43" t="str" s="200" cm="1">
        <f t="array" ref="AF43">AF27</f>
        <v>Fuera</v>
      </c>
      <c r="AG43" s="201"/>
      <c r="AH43" s="188"/>
      <c r="AI43" s="83"/>
      <c r="AJ43" s="100"/>
      <c r="AK43" s="202"/>
      <c r="AL43" s="100"/>
      <c r="AM43" s="100"/>
      <c r="AN43" s="100"/>
      <c r="AO43" s="100"/>
      <c r="AP43" s="100"/>
      <c r="AQ43" s="100"/>
      <c r="AR43" s="100"/>
      <c r="AS43" s="100"/>
      <c r="AT43" s="100"/>
      <c r="AU43" s="203"/>
      <c r="AV43" s="84"/>
      <c r="AW43" s="204"/>
      <c r="AX43" s="205"/>
      <c r="AY43" s="206"/>
      <c r="AZ43" s="207"/>
      <c r="BA43" s="8"/>
      <c r="BB43" s="87"/>
      <c r="BC43" t="s" s="125">
        <v>62</v>
      </c>
      <c r="BD43" t="s" s="125">
        <v>366</v>
      </c>
      <c r="BE43" s="154" cm="1">
        <f t="array" ref="BE43">BG43*3+BH43+IF($AZ$3="No",0,INDEX($AZ$6:$AZ$97,MATCH(BD43,$AY$6:$AY$97,0)))</f>
        <v>1</v>
      </c>
      <c r="BF43" s="154" cm="1">
        <f t="array" ref="BF43">BG43+BH43+BI43</f>
        <v>3</v>
      </c>
      <c r="BG43" s="154" cm="1">
        <f t="array" ref="BG43">_xlfn.COUNTIFS($AA$4:$AA$97,BD43,$D$4:$D$97,"Local")+_xlfn.COUNTIFS($AF$4:$AF$97,BD43,$D$4:$D$97,"Visitante")</f>
        <v>0</v>
      </c>
      <c r="BH43" s="154" cm="1">
        <f t="array" ref="BH43">_xlfn.COUNTIFS($AA$4:$AA$97,BD43,$D$4:$D$97,"Empate")+_xlfn.COUNTIFS($AF$4:$AF$97,BD43,$D$4:$D$97,"Empate")</f>
        <v>1</v>
      </c>
      <c r="BI43" s="154" cm="1">
        <f t="array" ref="BI43">_xlfn.COUNTIFS($AF$4:$AF$97,BD43,$D$4:$D$97,"Local")+_xlfn.COUNTIFS($AA$4:$AA$97,BD43,$D$4:$D$97,"Visitante")</f>
        <v>2</v>
      </c>
      <c r="BJ43" s="154" cm="1">
        <f t="array" ref="BJ43">_xlfn.SUMIFS($AC$4:$AC$97,$AA$4:$AA$97,BD43,$D$4:$D$97,"&lt;&gt;"&amp;"Pendiente",$AC$4:$AC$97,"&lt;&gt;"&amp;"",$AD$4:$AD$97,"&lt;&gt;"&amp;"")+_xlfn.SUMIFS($AD$4:$AD$97,$AF$4:$AF$97,BD43,$D$4:$D$97,"&lt;&gt;"&amp;"Pendiente",$AC$4:$AC$97,"&lt;&gt;"&amp;"",$AD$4:$AD$97,"&lt;&gt;"&amp;"")</f>
        <v>2</v>
      </c>
      <c r="BK43" s="154" cm="1">
        <f t="array" ref="BK43">_xlfn.SUMIFS($AC$4:$AC$97,$AF$4:$AF$97,BD43,$D$4:$D$97,"&lt;&gt;"&amp;"Pendiente",$AC$4:$AC$97,"&lt;&gt;"&amp;"",$AD$4:$AD$97,"&lt;&gt;"&amp;"")+_xlfn.SUMIFS($AD$4:$AD$97,$AA$4:$AA$97,BD43,$D$4:$D$97,"&lt;&gt;"&amp;"Pendiente",$AC$4:$AC$97,"&lt;&gt;"&amp;"",$AD$4:$AD$97,"&lt;&gt;"&amp;"")</f>
        <v>6</v>
      </c>
      <c r="BL43" s="154" cm="1">
        <f t="array" ref="BL43">BJ43-BK43</f>
        <v>-4</v>
      </c>
      <c r="BM43" t="str" s="140" cm="1">
        <f t="array" ref="BM43">DD43&amp;BC43</f>
        <v>2J</v>
      </c>
      <c r="BN43" t="str" s="140" cm="1">
        <f t="array" ref="BN43">DH43&amp;BC43</f>
        <v>2J</v>
      </c>
      <c r="BO43" s="154" cm="1">
        <f t="array" ref="BO43">IF(AND($AJ$99=144,BF43&gt;=1),1,0)</f>
        <v>0</v>
      </c>
      <c r="BP43" s="154">
        <v>1</v>
      </c>
      <c r="BQ43" t="s" s="125">
        <v>135</v>
      </c>
      <c r="BR43" s="154" cm="1">
        <f t="array" ref="BR43">IF($BQ43="-","-",BE43)</f>
        <v>1</v>
      </c>
      <c r="BS43" s="154">
        <v>1</v>
      </c>
      <c r="BT43" t="s" s="125">
        <v>135</v>
      </c>
      <c r="BU43" s="154" cm="1">
        <f t="array" ref="BU43">IF($BT43="-","-",_xlfn.COUNTIFS($AA$4:$AA$97,$BD43,$D$4:$D$97,"Local",$F$4:$F$97,$BT43)+_xlfn.COUNTIFS($AF$4:$AF$97,$BD43,$D$4:$D$97,"Visitante",$E$4:$E$97,$BT43))</f>
        <v>0</v>
      </c>
      <c r="BV43" s="154" cm="1">
        <f t="array" ref="BV43">IF($BT43="-","-",_xlfn.COUNTIFS($AA$4:$AA$97,$BD43,$D$4:$D$97,"Empate",$F$4:$F$97,$BT43)+_xlfn.COUNTIFS($AF$4:$AF$97,$BD43,$D$4:$D$97,"Empate",$E$4:$E$97,$BT43))</f>
        <v>1</v>
      </c>
      <c r="BW43" s="154" cm="1">
        <f t="array" ref="BW43">IF($BT43="-","-",_xlfn.COUNTIFS($AA$4:$AA$97,$BD43,$D$4:$D$97,"Visitante",$F$4:$F$97,$BT43)+_xlfn.COUNTIFS($AF$4:$AF$97,$BD43,$D$4:$D$97,"Local",$E$4:$E$97,$BT43))</f>
        <v>2</v>
      </c>
      <c r="BX43" s="154" cm="1">
        <f t="array" ref="BX43">IF($BT43="-","-",BU43*3+BV43)</f>
        <v>1</v>
      </c>
      <c r="BY43" s="154">
        <v>1</v>
      </c>
      <c r="BZ43" t="s" s="125">
        <v>135</v>
      </c>
      <c r="CA43" s="154" cm="1">
        <f t="array" ref="CA43">IF($BZ43="-","-",_xlfn.SUMIFS($AC$4:$AC$97,$AA$4:$AA$97,$BD43,$I$4:$I$97,$BZ43)+_xlfn.SUMIFS($AD$4:$AD$97,$AF$4:$AF$97,$BD43,$H$4:$H$97,$BZ43))</f>
        <v>2</v>
      </c>
      <c r="CB43" s="154" cm="1">
        <f t="array" ref="CB43">IF($BZ43="-","-",_xlfn.SUMIFS($AD$4:$AD$97,$AA$4:$AA$97,$BD43,$I$4:$I$97,$BZ43)+_xlfn.SUMIFS($AC$4:$AC$97,$AF$4:$AF$97,$BD43,$H$4:$H$97,$BZ43))</f>
        <v>6</v>
      </c>
      <c r="CC43" s="154" cm="1">
        <f t="array" ref="CC43">IF($BZ43="-","-",CA43-CB43)</f>
        <v>-4</v>
      </c>
      <c r="CD43" s="154">
        <v>1</v>
      </c>
      <c r="CE43" t="s" s="125">
        <v>135</v>
      </c>
      <c r="CF43" s="154" cm="1">
        <f t="array" ref="CF43">IF($CE43="-","-",_xlfn.SUMIFS($AC$4:$AC$97,$AA$4:$AA$97,$BD43,$L$4:$L$97,$CE43)+_xlfn.SUMIFS($AD$4:$AD$97,$AF$4:$AF$97,$BD43,$K$4:$K$97,$CE43))</f>
        <v>2</v>
      </c>
      <c r="CG43" s="154">
        <v>1</v>
      </c>
      <c r="CH43" t="s" s="125">
        <v>135</v>
      </c>
      <c r="CI43" s="154" cm="1">
        <f t="array" ref="CI43">IF($CH43="-","-",_xlfn.COUNTIFS($AA$4:$AA$97,$BD43,$D$4:$D$97,"Local",$O$4:$O$97,$CH43)+_xlfn.COUNTIFS($AF$4:$AF$97,$BD43,$D$4:$D$97,"Visitante",$N$4:$N$97,$CH43))</f>
        <v>0</v>
      </c>
      <c r="CJ43" s="154" cm="1">
        <f t="array" ref="CJ43">IF($CH43="-","-",_xlfn.COUNTIFS($AA$4:$AA$97,$BD43,$D$4:$D$97,"Empate",$O$4:$O$97,$CH43)+_xlfn.COUNTIFS($AF$4:$AF$97,$BD43,$D$4:$D$97,"Empate",$N$4:$N$97,$CH43))</f>
        <v>1</v>
      </c>
      <c r="CK43" s="154" cm="1">
        <f t="array" ref="CK43">IF($CH43="-","-",_xlfn.COUNTIFS($AA$4:$AA$97,$BD43,$D$4:$D$97,"Visitante",$O$4:$O$97,$CH43)+_xlfn.COUNTIFS($AF$4:$AF$97,$BD43,$D$4:$D$97,"Local",$N$4:$N$97,$CH43))</f>
        <v>2</v>
      </c>
      <c r="CL43" s="154" cm="1">
        <f t="array" ref="CL43">IF($CH43="-","-",CI43*3+CJ43)</f>
        <v>1</v>
      </c>
      <c r="CM43" s="154">
        <v>1</v>
      </c>
      <c r="CN43" t="s" s="125">
        <v>135</v>
      </c>
      <c r="CO43" s="154" cm="1">
        <f t="array" ref="CO43">IF($CN43="-","-",_xlfn.SUMIFS($AC$4:$AC$97,$AA$4:$AA$97,$BD43,$R$4:$R$97,$CN43)+_xlfn.SUMIFS($AD$4:$AD$97,$AF$4:$AF$97,$BD43,$Q$4:$Q$97,$CN43))</f>
        <v>2</v>
      </c>
      <c r="CP43" s="154" cm="1">
        <f t="array" ref="CP43">IF($CN43="-","-",_xlfn.SUMIFS($AD$4:$AD$97,$AA$4:$AA$97,$BD43,$R$4:$R$97,$CN43)+_xlfn.SUMIFS($AC$4:$AC$97,$AF$4:$AF$97,$BD43,$Q$4:$Q$97,$CN43))</f>
        <v>6</v>
      </c>
      <c r="CQ43" s="154" cm="1">
        <f t="array" ref="CQ43">IF($CN43="-","-",CO43-CP43)</f>
        <v>-4</v>
      </c>
      <c r="CR43" s="154">
        <v>1</v>
      </c>
      <c r="CS43" t="s" s="125">
        <v>135</v>
      </c>
      <c r="CT43" s="154" cm="1">
        <f t="array" ref="CT43">IF($CS43="-","-",_xlfn.SUMIFS($AC$4:$AC$97,$AA$4:$AA$97,$BD43,$U$4:$U$97,$CS43)+_xlfn.SUMIFS($AD$4:$AD$97,$AF$4:$AF$97,$BD43,$T$4:$T$97,$CS43))</f>
        <v>2</v>
      </c>
      <c r="CU43" s="154">
        <v>1</v>
      </c>
      <c r="CV43" t="s" s="125">
        <v>135</v>
      </c>
      <c r="CW43" s="154" cm="1">
        <f t="array" ref="CW43">IF(CV43="-","-",BL43)</f>
        <v>-4</v>
      </c>
      <c r="CX43" s="154">
        <v>1</v>
      </c>
      <c r="CY43" t="s" s="125">
        <v>135</v>
      </c>
      <c r="CZ43" s="154" cm="1">
        <f t="array" ref="CZ43">IF(CY43="-","-",BJ43)</f>
        <v>2</v>
      </c>
      <c r="DA43" s="154">
        <v>1</v>
      </c>
      <c r="DB43" t="s" s="125">
        <v>135</v>
      </c>
      <c r="DC43" s="154">
        <v>2</v>
      </c>
      <c r="DD43" s="154">
        <v>2</v>
      </c>
      <c r="DE43" s="140"/>
      <c r="DF43" s="154" cm="1">
        <f t="array" ref="DF43">IF(OR(INDEX($AW$6:$AW$97,MATCH($BD43,$AV$6:$AV$97,0))="",DB43="-"),DD43,INDEX($AW$6:$AW$97,MATCH($BD43,$AV$6:$AV$97,0))+DD43/1000)</f>
        <v>2</v>
      </c>
      <c r="DG43" s="154">
        <v>1</v>
      </c>
      <c r="DH43" s="154">
        <v>2</v>
      </c>
      <c r="DI43" s="140"/>
      <c r="DJ43" s="154" cm="1">
        <f t="array" ref="DJ43">INDEX($DA$6:$DA$53,MATCH($DQ43,$BD$6:$BD$53,0))</f>
        <v>1</v>
      </c>
      <c r="DK43" s="154" cm="1">
        <f t="array" ref="DK43">SUMIF($BC$6:$BC$53,BC43,$BF$6:$BF$53)</f>
        <v>12</v>
      </c>
      <c r="DL43" s="154" cm="1">
        <f t="array" ref="DL43">IF(OR(DK43=12,$AJ$99=144),_xlfn.COUNTIFS($DJ$6:$DJ$53,DJ43,$BC$6:$BC$53,BC43),1)</f>
        <v>4</v>
      </c>
      <c r="DM43" t="str" s="140" cm="1">
        <f t="array" ref="DM43">DJ43&amp;"."&amp;DL43</f>
        <v>1.4</v>
      </c>
      <c r="DN43" s="154">
        <v>1</v>
      </c>
      <c r="DO43" s="140"/>
      <c r="DP43" t="s" s="125">
        <v>368</v>
      </c>
      <c r="DQ43" t="str" s="140" cm="1">
        <f t="array" ref="DQ43">INDEX($BD$6:$BD$53,MATCH(DP43,$BM$6:$BM$53,0))</f>
        <v>Argelia</v>
      </c>
      <c r="DR43" s="87"/>
      <c r="DS43" s="87"/>
      <c r="DT43" s="88"/>
      <c r="DU43" s="12"/>
    </row>
    <row r="44" ht="16" customHeight="1">
      <c r="A44" t="s" s="89">
        <v>45</v>
      </c>
      <c r="B44" t="s" s="89">
        <v>269</v>
      </c>
      <c r="C44" s="105">
        <v>4</v>
      </c>
      <c r="D44" t="str" s="78" cm="1">
        <f t="array" ref="D44">IF(OR(AC44="",AD44=""),"Pendiente",IF(AC44&gt;AD44,"Local",IF(AC44&lt;AD44,"Visitante","Empate")))</f>
        <v>Local</v>
      </c>
      <c r="E44" t="str" s="78" cm="1">
        <f t="array" ref="E44">IF(D44="Pendiente","-",INDEX($BT$6:$BT$53,MATCH($AA44,$BD$6:$BD$53,0)))</f>
        <v>P.1 (4)</v>
      </c>
      <c r="F44" t="str" s="78" cm="1">
        <f t="array" ref="F44">IF(D44="Pendiente","-",INDEX($BT$6:$BT$53,MATCH($AF44,$BD$6:$BD$53,0)))</f>
        <v>P.1 (4)</v>
      </c>
      <c r="G44" s="78"/>
      <c r="H44" t="str" s="78" cm="1">
        <f t="array" ref="H44">IF(D44="Pendiente","-",INDEX($BZ$6:$BZ$53,MATCH($AA44,$BD$6:$BD$53,0)))</f>
        <v>P.1 (4)</v>
      </c>
      <c r="I44" t="str" s="78" cm="1">
        <f t="array" ref="I44">IF(D44="Pendiente","-",INDEX($BZ$6:$BZ$53,MATCH($AF44,$BD$6:$BD$53,0)))</f>
        <v>P.1 (4)</v>
      </c>
      <c r="J44" s="78"/>
      <c r="K44" t="str" s="78" cm="1">
        <f t="array" ref="K44">IF(D44="Pendiente","-",INDEX($CE$6:$CE$53,MATCH($AA44,$BD$6:$BD$53,0)))</f>
        <v>P.1 (4)</v>
      </c>
      <c r="L44" t="str" s="78" cm="1">
        <f t="array" ref="L44">IF(D44="Pendiente","-",INDEX($CE$6:$CE$53,MATCH($AF44,$BD$6:$BD$53,0)))</f>
        <v>P.1 (4)</v>
      </c>
      <c r="M44" s="78"/>
      <c r="N44" t="str" s="78" cm="1">
        <f t="array" ref="N44">IF(D44="Pendiente","-",INDEX($CH$6:$CH$53,MATCH($AA44,$BD$6:$BD$53,0)))</f>
        <v>P.1 (4)</v>
      </c>
      <c r="O44" t="str" s="78" cm="1">
        <f t="array" ref="O44">IF(D44="Pendiente","-",INDEX($CH$6:$CH$53,MATCH($AF44,$BD$6:$BD$53,0)))</f>
        <v>P.1 (4)</v>
      </c>
      <c r="P44" s="78"/>
      <c r="Q44" t="str" s="78" cm="1">
        <f t="array" ref="Q44">IF(D44="Pendiente","-",INDEX($CN$6:$CN$53,MATCH($AA44,$BD$6:$BD$53,0)))</f>
        <v>P.1 (4)</v>
      </c>
      <c r="R44" t="str" s="78" cm="1">
        <f t="array" ref="R44">IF(D44="Pendiente","-",INDEX($CN$6:$CN$53,MATCH($AF44,$BD$6:$BD$53,0)))</f>
        <v>P.1 (4)</v>
      </c>
      <c r="S44" s="78"/>
      <c r="T44" t="str" s="78" cm="1">
        <f t="array" ref="T44">IF(D44="Pendiente","-",INDEX($CS$6:$CS$53,MATCH($AA44,$BD$6:$BD$53,0)))</f>
        <v>P.1 (4)</v>
      </c>
      <c r="U44" t="str" s="78" cm="1">
        <f t="array" ref="U44">IF(D44="Pendiente","-",INDEX($CS$6:$CS$53,MATCH($AF44,$BD$6:$BD$53,0)))</f>
        <v>P.1 (4)</v>
      </c>
      <c r="V44" s="90"/>
      <c r="W44" t="s" s="243">
        <v>269</v>
      </c>
      <c r="X44" s="107">
        <v>46187.666666666657</v>
      </c>
      <c r="Y44" s="108">
        <v>46187.666666666657</v>
      </c>
      <c r="Z44" t="str" s="127" cm="1">
        <f t="array" ref="Z44">$Z$4</f>
        <v>J1</v>
      </c>
      <c r="AA44" t="str" s="110" cm="1">
        <f t="array" ref="AA44">A45</f>
        <v>Países Bajos</v>
      </c>
      <c r="AB44" s="111"/>
      <c r="AC44" s="112">
        <v>2</v>
      </c>
      <c r="AD44" s="112">
        <v>1</v>
      </c>
      <c r="AE44" s="113"/>
      <c r="AF44" t="str" s="114" cm="1">
        <f t="array" ref="AF44">A46</f>
        <v>Japón</v>
      </c>
      <c r="AG44" s="115" cm="1">
        <f t="array" ref="AG44">IF(NOT(OR(ISBLANK(AC44),ISBLANK(AD44))),1,0)</f>
        <v>1</v>
      </c>
      <c r="AH44" s="116">
        <v>11</v>
      </c>
      <c r="AI44" s="117"/>
      <c r="AJ44" t="str" s="118" cm="1">
        <f t="array" ref="AJ44">CONCATENATE(AJ3," ",B44)</f>
        <v>Grupo F</v>
      </c>
      <c r="AK44" s="119"/>
      <c r="AL44" s="119"/>
      <c r="AM44" s="119"/>
      <c r="AN44" s="119"/>
      <c r="AO44" s="119"/>
      <c r="AP44" s="119"/>
      <c r="AQ44" s="119"/>
      <c r="AR44" s="119"/>
      <c r="AS44" s="119"/>
      <c r="AT44" s="120"/>
      <c r="AU44" s="209"/>
      <c r="AV44" t="str" s="122" cm="1">
        <f t="array" ref="AV44">IF(AU45&gt;0,$AV$3,"")</f>
        <v>¡EMPATE! Puedes seleccionar el orden de los empatados.</v>
      </c>
      <c r="AW44" s="217"/>
      <c r="AX44" s="217"/>
      <c r="AY44" s="211"/>
      <c r="AZ44" s="212"/>
      <c r="BA44" s="8"/>
      <c r="BB44" s="87"/>
      <c r="BC44" t="s" s="125">
        <v>62</v>
      </c>
      <c r="BD44" t="s" s="125">
        <v>373</v>
      </c>
      <c r="BE44" s="154" cm="1">
        <f t="array" ref="BE44">BG44*3+BH44+IF($AZ$3="No",0,INDEX($AZ$6:$AZ$97,MATCH(BD44,$AY$6:$AY$97,0)))</f>
        <v>6</v>
      </c>
      <c r="BF44" s="154" cm="1">
        <f t="array" ref="BF44">BG44+BH44+BI44</f>
        <v>3</v>
      </c>
      <c r="BG44" s="154" cm="1">
        <f t="array" ref="BG44">_xlfn.COUNTIFS($AA$4:$AA$97,BD44,$D$4:$D$97,"Local")+_xlfn.COUNTIFS($AF$4:$AF$97,BD44,$D$4:$D$97,"Visitante")</f>
        <v>2</v>
      </c>
      <c r="BH44" s="154" cm="1">
        <f t="array" ref="BH44">_xlfn.COUNTIFS($AA$4:$AA$97,BD44,$D$4:$D$97,"Empate")+_xlfn.COUNTIFS($AF$4:$AF$97,BD44,$D$4:$D$97,"Empate")</f>
        <v>0</v>
      </c>
      <c r="BI44" s="154" cm="1">
        <f t="array" ref="BI44">_xlfn.COUNTIFS($AF$4:$AF$97,BD44,$D$4:$D$97,"Local")+_xlfn.COUNTIFS($AA$4:$AA$97,BD44,$D$4:$D$97,"Visitante")</f>
        <v>1</v>
      </c>
      <c r="BJ44" s="154" cm="1">
        <f t="array" ref="BJ44">_xlfn.SUMIFS($AC$4:$AC$97,$AA$4:$AA$97,BD44,$D$4:$D$97,"&lt;&gt;"&amp;"Pendiente",$AC$4:$AC$97,"&lt;&gt;"&amp;"",$AD$4:$AD$97,"&lt;&gt;"&amp;"")+_xlfn.SUMIFS($AD$4:$AD$97,$AF$4:$AF$97,BD44,$D$4:$D$97,"&lt;&gt;"&amp;"Pendiente",$AC$4:$AC$97,"&lt;&gt;"&amp;"",$AD$4:$AD$97,"&lt;&gt;"&amp;"")</f>
        <v>4</v>
      </c>
      <c r="BK44" s="154" cm="1">
        <f t="array" ref="BK44">_xlfn.SUMIFS($AC$4:$AC$97,$AF$4:$AF$97,BD44,$D$4:$D$97,"&lt;&gt;"&amp;"Pendiente",$AC$4:$AC$97,"&lt;&gt;"&amp;"",$AD$4:$AD$97,"&lt;&gt;"&amp;"")+_xlfn.SUMIFS($AD$4:$AD$97,$AA$4:$AA$97,BD44,$D$4:$D$97,"&lt;&gt;"&amp;"Pendiente",$AC$4:$AC$97,"&lt;&gt;"&amp;"",$AD$4:$AD$97,"&lt;&gt;"&amp;"")</f>
        <v>3</v>
      </c>
      <c r="BL44" s="154" cm="1">
        <f t="array" ref="BL44">BJ44-BK44</f>
        <v>1</v>
      </c>
      <c r="BM44" t="str" s="140" cm="1">
        <f t="array" ref="BM44">DD44&amp;BC44</f>
        <v>3J</v>
      </c>
      <c r="BN44" t="str" s="140" cm="1">
        <f t="array" ref="BN44">DH44&amp;BC44</f>
        <v>3J</v>
      </c>
      <c r="BO44" s="154" cm="1">
        <f t="array" ref="BO44">IF(AND($AJ$99=144,BF44&gt;=1),1,0)</f>
        <v>0</v>
      </c>
      <c r="BP44" s="154">
        <v>1</v>
      </c>
      <c r="BQ44" t="s" s="125">
        <v>135</v>
      </c>
      <c r="BR44" s="154" cm="1">
        <f t="array" ref="BR44">IF($BQ44="-","-",BE44)</f>
        <v>6</v>
      </c>
      <c r="BS44" s="154">
        <v>1</v>
      </c>
      <c r="BT44" t="s" s="125">
        <v>135</v>
      </c>
      <c r="BU44" s="154" cm="1">
        <f t="array" ref="BU44">IF($BT44="-","-",_xlfn.COUNTIFS($AA$4:$AA$97,$BD44,$D$4:$D$97,"Local",$F$4:$F$97,$BT44)+_xlfn.COUNTIFS($AF$4:$AF$97,$BD44,$D$4:$D$97,"Visitante",$E$4:$E$97,$BT44))</f>
        <v>2</v>
      </c>
      <c r="BV44" s="154" cm="1">
        <f t="array" ref="BV44">IF($BT44="-","-",_xlfn.COUNTIFS($AA$4:$AA$97,$BD44,$D$4:$D$97,"Empate",$F$4:$F$97,$BT44)+_xlfn.COUNTIFS($AF$4:$AF$97,$BD44,$D$4:$D$97,"Empate",$E$4:$E$97,$BT44))</f>
        <v>0</v>
      </c>
      <c r="BW44" s="154" cm="1">
        <f t="array" ref="BW44">IF($BT44="-","-",_xlfn.COUNTIFS($AA$4:$AA$97,$BD44,$D$4:$D$97,"Visitante",$F$4:$F$97,$BT44)+_xlfn.COUNTIFS($AF$4:$AF$97,$BD44,$D$4:$D$97,"Local",$E$4:$E$97,$BT44))</f>
        <v>1</v>
      </c>
      <c r="BX44" s="154" cm="1">
        <f t="array" ref="BX44">IF($BT44="-","-",BU44*3+BV44)</f>
        <v>6</v>
      </c>
      <c r="BY44" s="154">
        <v>1</v>
      </c>
      <c r="BZ44" t="s" s="125">
        <v>135</v>
      </c>
      <c r="CA44" s="154" cm="1">
        <f t="array" ref="CA44">IF($BZ44="-","-",_xlfn.SUMIFS($AC$4:$AC$97,$AA$4:$AA$97,$BD44,$I$4:$I$97,$BZ44)+_xlfn.SUMIFS($AD$4:$AD$97,$AF$4:$AF$97,$BD44,$H$4:$H$97,$BZ44))</f>
        <v>4</v>
      </c>
      <c r="CB44" s="154" cm="1">
        <f t="array" ref="CB44">IF($BZ44="-","-",_xlfn.SUMIFS($AD$4:$AD$97,$AA$4:$AA$97,$BD44,$I$4:$I$97,$BZ44)+_xlfn.SUMIFS($AC$4:$AC$97,$AF$4:$AF$97,$BD44,$H$4:$H$97,$BZ44))</f>
        <v>3</v>
      </c>
      <c r="CC44" s="154" cm="1">
        <f t="array" ref="CC44">IF($BZ44="-","-",CA44-CB44)</f>
        <v>1</v>
      </c>
      <c r="CD44" s="154">
        <v>1</v>
      </c>
      <c r="CE44" t="s" s="125">
        <v>135</v>
      </c>
      <c r="CF44" s="154" cm="1">
        <f t="array" ref="CF44">IF($CE44="-","-",_xlfn.SUMIFS($AC$4:$AC$97,$AA$4:$AA$97,$BD44,$L$4:$L$97,$CE44)+_xlfn.SUMIFS($AD$4:$AD$97,$AF$4:$AF$97,$BD44,$K$4:$K$97,$CE44))</f>
        <v>4</v>
      </c>
      <c r="CG44" s="154">
        <v>1</v>
      </c>
      <c r="CH44" t="s" s="125">
        <v>135</v>
      </c>
      <c r="CI44" s="154" cm="1">
        <f t="array" ref="CI44">IF($CH44="-","-",_xlfn.COUNTIFS($AA$4:$AA$97,$BD44,$D$4:$D$97,"Local",$O$4:$O$97,$CH44)+_xlfn.COUNTIFS($AF$4:$AF$97,$BD44,$D$4:$D$97,"Visitante",$N$4:$N$97,$CH44))</f>
        <v>2</v>
      </c>
      <c r="CJ44" s="154" cm="1">
        <f t="array" ref="CJ44">IF($CH44="-","-",_xlfn.COUNTIFS($AA$4:$AA$97,$BD44,$D$4:$D$97,"Empate",$O$4:$O$97,$CH44)+_xlfn.COUNTIFS($AF$4:$AF$97,$BD44,$D$4:$D$97,"Empate",$N$4:$N$97,$CH44))</f>
        <v>0</v>
      </c>
      <c r="CK44" s="154" cm="1">
        <f t="array" ref="CK44">IF($CH44="-","-",_xlfn.COUNTIFS($AA$4:$AA$97,$BD44,$D$4:$D$97,"Visitante",$O$4:$O$97,$CH44)+_xlfn.COUNTIFS($AF$4:$AF$97,$BD44,$D$4:$D$97,"Local",$N$4:$N$97,$CH44))</f>
        <v>1</v>
      </c>
      <c r="CL44" s="154" cm="1">
        <f t="array" ref="CL44">IF($CH44="-","-",CI44*3+CJ44)</f>
        <v>6</v>
      </c>
      <c r="CM44" s="154">
        <v>1</v>
      </c>
      <c r="CN44" t="s" s="125">
        <v>135</v>
      </c>
      <c r="CO44" s="154" cm="1">
        <f t="array" ref="CO44">IF($CN44="-","-",_xlfn.SUMIFS($AC$4:$AC$97,$AA$4:$AA$97,$BD44,$R$4:$R$97,$CN44)+_xlfn.SUMIFS($AD$4:$AD$97,$AF$4:$AF$97,$BD44,$Q$4:$Q$97,$CN44))</f>
        <v>4</v>
      </c>
      <c r="CP44" s="154" cm="1">
        <f t="array" ref="CP44">IF($CN44="-","-",_xlfn.SUMIFS($AD$4:$AD$97,$AA$4:$AA$97,$BD44,$R$4:$R$97,$CN44)+_xlfn.SUMIFS($AC$4:$AC$97,$AF$4:$AF$97,$BD44,$Q$4:$Q$97,$CN44))</f>
        <v>3</v>
      </c>
      <c r="CQ44" s="154" cm="1">
        <f t="array" ref="CQ44">IF($CN44="-","-",CO44-CP44)</f>
        <v>1</v>
      </c>
      <c r="CR44" s="154">
        <v>1</v>
      </c>
      <c r="CS44" t="s" s="125">
        <v>135</v>
      </c>
      <c r="CT44" s="154" cm="1">
        <f t="array" ref="CT44">IF($CS44="-","-",_xlfn.SUMIFS($AC$4:$AC$97,$AA$4:$AA$97,$BD44,$U$4:$U$97,$CS44)+_xlfn.SUMIFS($AD$4:$AD$97,$AF$4:$AF$97,$BD44,$T$4:$T$97,$CS44))</f>
        <v>4</v>
      </c>
      <c r="CU44" s="154">
        <v>1</v>
      </c>
      <c r="CV44" t="s" s="125">
        <v>135</v>
      </c>
      <c r="CW44" s="154" cm="1">
        <f t="array" ref="CW44">IF(CV44="-","-",BL44)</f>
        <v>1</v>
      </c>
      <c r="CX44" s="154">
        <v>1</v>
      </c>
      <c r="CY44" t="s" s="125">
        <v>135</v>
      </c>
      <c r="CZ44" s="154" cm="1">
        <f t="array" ref="CZ44">IF(CY44="-","-",BJ44)</f>
        <v>4</v>
      </c>
      <c r="DA44" s="154">
        <v>1</v>
      </c>
      <c r="DB44" t="s" s="125">
        <v>135</v>
      </c>
      <c r="DC44" s="154">
        <v>3</v>
      </c>
      <c r="DD44" s="154">
        <v>3</v>
      </c>
      <c r="DE44" s="140"/>
      <c r="DF44" s="154" cm="1">
        <f t="array" ref="DF44">IF(OR(INDEX($AW$6:$AW$97,MATCH($BD44,$AV$6:$AV$97,0))="",DB44="-"),DD44,INDEX($AW$6:$AW$97,MATCH($BD44,$AV$6:$AV$97,0))+DD44/1000)</f>
        <v>3</v>
      </c>
      <c r="DG44" s="154">
        <v>2</v>
      </c>
      <c r="DH44" s="154">
        <v>3</v>
      </c>
      <c r="DI44" s="140"/>
      <c r="DJ44" s="154" cm="1">
        <f t="array" ref="DJ44">INDEX($DA$6:$DA$53,MATCH($DQ44,$BD$6:$BD$53,0))</f>
        <v>1</v>
      </c>
      <c r="DK44" s="154" cm="1">
        <f t="array" ref="DK44">SUMIF($BC$6:$BC$53,BC44,$BF$6:$BF$53)</f>
        <v>12</v>
      </c>
      <c r="DL44" s="154" cm="1">
        <f t="array" ref="DL44">IF(OR(DK44=12,$AJ$99=144),_xlfn.COUNTIFS($DJ$6:$DJ$53,DJ44,$BC$6:$BC$53,BC44),1)</f>
        <v>4</v>
      </c>
      <c r="DM44" t="str" s="140" cm="1">
        <f t="array" ref="DM44">DJ44&amp;"."&amp;DL44</f>
        <v>1.4</v>
      </c>
      <c r="DN44" s="154">
        <v>1</v>
      </c>
      <c r="DO44" s="140"/>
      <c r="DP44" t="s" s="125">
        <v>375</v>
      </c>
      <c r="DQ44" t="str" s="140" cm="1">
        <f t="array" ref="DQ44">INDEX($BD$6:$BD$53,MATCH(DP44,$BM$6:$BM$53,0))</f>
        <v>Austria</v>
      </c>
      <c r="DR44" s="87"/>
      <c r="DS44" s="87"/>
      <c r="DT44" s="88"/>
      <c r="DU44" s="12"/>
    </row>
    <row r="45" ht="16" customHeight="1">
      <c r="A45" t="s" s="89">
        <v>270</v>
      </c>
      <c r="B45" s="78"/>
      <c r="C45" s="78"/>
      <c r="D45" t="str" s="78" cm="1">
        <f t="array" ref="D45">IF(OR(AC45="",AD45=""),"Pendiente",IF(AC45&gt;AD45,"Local",IF(AC45&lt;AD45,"Visitante","Empate")))</f>
        <v>Local</v>
      </c>
      <c r="E45" t="str" s="78" cm="1">
        <f t="array" ref="E45">IF(D45="Pendiente","-",INDEX($BT$6:$BT$53,MATCH($AA45,$BD$6:$BD$53,0)))</f>
        <v>P.1 (4)</v>
      </c>
      <c r="F45" t="str" s="78" cm="1">
        <f t="array" ref="F45">IF(D45="Pendiente","-",INDEX($BT$6:$BT$53,MATCH($AF45,$BD$6:$BD$53,0)))</f>
        <v>P.1 (4)</v>
      </c>
      <c r="G45" s="78"/>
      <c r="H45" t="str" s="78" cm="1">
        <f t="array" ref="H45">IF(D45="Pendiente","-",INDEX($BZ$6:$BZ$53,MATCH($AA45,$BD$6:$BD$53,0)))</f>
        <v>P.1 (4)</v>
      </c>
      <c r="I45" t="str" s="78" cm="1">
        <f t="array" ref="I45">IF(D45="Pendiente","-",INDEX($BZ$6:$BZ$53,MATCH($AF45,$BD$6:$BD$53,0)))</f>
        <v>P.1 (4)</v>
      </c>
      <c r="J45" s="78"/>
      <c r="K45" t="str" s="78" cm="1">
        <f t="array" ref="K45">IF(D45="Pendiente","-",INDEX($CE$6:$CE$53,MATCH($AA45,$BD$6:$BD$53,0)))</f>
        <v>P.1 (4)</v>
      </c>
      <c r="L45" t="str" s="78" cm="1">
        <f t="array" ref="L45">IF(D45="Pendiente","-",INDEX($CE$6:$CE$53,MATCH($AF45,$BD$6:$BD$53,0)))</f>
        <v>P.1 (4)</v>
      </c>
      <c r="M45" s="78"/>
      <c r="N45" t="str" s="78" cm="1">
        <f t="array" ref="N45">IF(D45="Pendiente","-",INDEX($CH$6:$CH$53,MATCH($AA45,$BD$6:$BD$53,0)))</f>
        <v>P.1 (4)</v>
      </c>
      <c r="O45" t="str" s="78" cm="1">
        <f t="array" ref="O45">IF(D45="Pendiente","-",INDEX($CH$6:$CH$53,MATCH($AF45,$BD$6:$BD$53,0)))</f>
        <v>P.1 (4)</v>
      </c>
      <c r="P45" s="78"/>
      <c r="Q45" t="str" s="78" cm="1">
        <f t="array" ref="Q45">IF(D45="Pendiente","-",INDEX($CN$6:$CN$53,MATCH($AA45,$BD$6:$BD$53,0)))</f>
        <v>P.1 (4)</v>
      </c>
      <c r="R45" t="str" s="78" cm="1">
        <f t="array" ref="R45">IF(D45="Pendiente","-",INDEX($CN$6:$CN$53,MATCH($AF45,$BD$6:$BD$53,0)))</f>
        <v>P.1 (4)</v>
      </c>
      <c r="S45" s="78"/>
      <c r="T45" t="str" s="78" cm="1">
        <f t="array" ref="T45">IF(D45="Pendiente","-",INDEX($CS$6:$CS$53,MATCH($AA45,$BD$6:$BD$53,0)))</f>
        <v>P.1 (4)</v>
      </c>
      <c r="U45" t="str" s="78" cm="1">
        <f t="array" ref="U45">IF(D45="Pendiente","-",INDEX($CS$6:$CS$53,MATCH($AF45,$BD$6:$BD$53,0)))</f>
        <v>P.1 (4)</v>
      </c>
      <c r="V45" s="90"/>
      <c r="W45" s="126"/>
      <c r="X45" s="107">
        <v>46187.916666666657</v>
      </c>
      <c r="Y45" s="108">
        <v>46187.916666666657</v>
      </c>
      <c r="Z45" t="str" s="127" cm="1">
        <f t="array" ref="Z45">$Z$4</f>
        <v>J1</v>
      </c>
      <c r="AA45" t="str" s="110" cm="1">
        <f t="array" ref="AA45">A47</f>
        <v>Suecia</v>
      </c>
      <c r="AB45" s="111"/>
      <c r="AC45" s="128">
        <v>2</v>
      </c>
      <c r="AD45" s="128">
        <v>0</v>
      </c>
      <c r="AE45" s="113"/>
      <c r="AF45" t="str" s="114" cm="1">
        <f t="array" ref="AF45">A48</f>
        <v>Túnez</v>
      </c>
      <c r="AG45" s="115" cm="1">
        <f t="array" ref="AG45">IF(NOT(OR(ISBLANK(AC45),ISBLANK(AD45))),1,0)</f>
        <v>1</v>
      </c>
      <c r="AH45" s="116">
        <v>12</v>
      </c>
      <c r="AI45" s="117"/>
      <c r="AJ45" t="str" s="213" cm="1">
        <f t="array" ref="AJ45">AJ5</f>
        <v>Pos</v>
      </c>
      <c r="AK45" s="130"/>
      <c r="AL45" t="str" s="214" cm="1">
        <f t="array" ref="AL45">AL5</f>
        <v>Selección</v>
      </c>
      <c r="AM45" t="str" s="130" cm="1">
        <f t="array" ref="AM45">AM5</f>
        <v>Pts</v>
      </c>
      <c r="AN45" t="str" s="130" cm="1">
        <f t="array" ref="AN45">AN5</f>
        <v>J</v>
      </c>
      <c r="AO45" t="str" s="130" cm="1">
        <f t="array" ref="AO45">AO5</f>
        <v>G</v>
      </c>
      <c r="AP45" t="str" s="130" cm="1">
        <f t="array" ref="AP45">AP5</f>
        <v>E</v>
      </c>
      <c r="AQ45" t="str" s="130" cm="1">
        <f t="array" ref="AQ45">AQ5</f>
        <v>P</v>
      </c>
      <c r="AR45" t="str" s="130" cm="1">
        <f t="array" ref="AR45">AR5</f>
        <v>GF</v>
      </c>
      <c r="AS45" t="str" s="130" cm="1">
        <f t="array" ref="AS45">AS5</f>
        <v>GC</v>
      </c>
      <c r="AT45" t="str" s="215" cm="1">
        <f t="array" ref="AT45">AT5</f>
        <v>DG</v>
      </c>
      <c r="AU45" s="216" cm="1">
        <f t="array" ref="AU45">COUNTIF(AU46:AU49,"&gt;1")</f>
        <v>4</v>
      </c>
      <c r="AV45" s="135"/>
      <c r="AW45" s="217"/>
      <c r="AX45" s="218"/>
      <c r="AY45" t="str" s="137" cm="1">
        <f t="array" ref="AY45">AL45</f>
        <v>Selección</v>
      </c>
      <c r="AZ45" t="s" s="138">
        <v>70</v>
      </c>
      <c r="BA45" s="139"/>
      <c r="BB45" s="87"/>
      <c r="BC45" t="s" s="125">
        <v>62</v>
      </c>
      <c r="BD45" t="s" s="125">
        <v>379</v>
      </c>
      <c r="BE45" s="154" cm="1">
        <f t="array" ref="BE45">BG45*3+BH45+IF($AZ$3="No",0,INDEX($AZ$6:$AZ$97,MATCH(BD45,$AY$6:$AY$97,0)))</f>
        <v>1</v>
      </c>
      <c r="BF45" s="154" cm="1">
        <f t="array" ref="BF45">BG45+BH45+BI45</f>
        <v>3</v>
      </c>
      <c r="BG45" s="154" cm="1">
        <f t="array" ref="BG45">_xlfn.COUNTIFS($AA$4:$AA$97,BD45,$D$4:$D$97,"Local")+_xlfn.COUNTIFS($AF$4:$AF$97,BD45,$D$4:$D$97,"Visitante")</f>
        <v>0</v>
      </c>
      <c r="BH45" s="154" cm="1">
        <f t="array" ref="BH45">_xlfn.COUNTIFS($AA$4:$AA$97,BD45,$D$4:$D$97,"Empate")+_xlfn.COUNTIFS($AF$4:$AF$97,BD45,$D$4:$D$97,"Empate")</f>
        <v>1</v>
      </c>
      <c r="BI45" s="154" cm="1">
        <f t="array" ref="BI45">_xlfn.COUNTIFS($AF$4:$AF$97,BD45,$D$4:$D$97,"Local")+_xlfn.COUNTIFS($AA$4:$AA$97,BD45,$D$4:$D$97,"Visitante")</f>
        <v>2</v>
      </c>
      <c r="BJ45" s="154" cm="1">
        <f t="array" ref="BJ45">_xlfn.SUMIFS($AC$4:$AC$97,$AA$4:$AA$97,BD45,$D$4:$D$97,"&lt;&gt;"&amp;"Pendiente",$AC$4:$AC$97,"&lt;&gt;"&amp;"",$AD$4:$AD$97,"&lt;&gt;"&amp;"")+_xlfn.SUMIFS($AD$4:$AD$97,$AF$4:$AF$97,BD45,$D$4:$D$97,"&lt;&gt;"&amp;"Pendiente",$AC$4:$AC$97,"&lt;&gt;"&amp;"",$AD$4:$AD$97,"&lt;&gt;"&amp;"")</f>
        <v>1</v>
      </c>
      <c r="BK45" s="154" cm="1">
        <f t="array" ref="BK45">_xlfn.SUMIFS($AC$4:$AC$97,$AF$4:$AF$97,BD45,$D$4:$D$97,"&lt;&gt;"&amp;"Pendiente",$AC$4:$AC$97,"&lt;&gt;"&amp;"",$AD$4:$AD$97,"&lt;&gt;"&amp;"")+_xlfn.SUMIFS($AD$4:$AD$97,$AA$4:$AA$97,BD45,$D$4:$D$97,"&lt;&gt;"&amp;"Pendiente",$AC$4:$AC$97,"&lt;&gt;"&amp;"",$AD$4:$AD$97,"&lt;&gt;"&amp;"")</f>
        <v>5</v>
      </c>
      <c r="BL45" s="154" cm="1">
        <f t="array" ref="BL45">BJ45-BK45</f>
        <v>-4</v>
      </c>
      <c r="BM45" t="str" s="140" cm="1">
        <f t="array" ref="BM45">DD45&amp;BC45</f>
        <v>4J</v>
      </c>
      <c r="BN45" t="str" s="140" cm="1">
        <f t="array" ref="BN45">DH45&amp;BC45</f>
        <v>4J</v>
      </c>
      <c r="BO45" s="154" cm="1">
        <f t="array" ref="BO45">IF(AND($AJ$99=144,BF45&gt;=1),1,0)</f>
        <v>0</v>
      </c>
      <c r="BP45" s="154">
        <v>1</v>
      </c>
      <c r="BQ45" t="s" s="125">
        <v>135</v>
      </c>
      <c r="BR45" s="154" cm="1">
        <f t="array" ref="BR45">IF($BQ45="-","-",BE45)</f>
        <v>1</v>
      </c>
      <c r="BS45" s="154">
        <v>1</v>
      </c>
      <c r="BT45" t="s" s="125">
        <v>135</v>
      </c>
      <c r="BU45" s="154" cm="1">
        <f t="array" ref="BU45">IF($BT45="-","-",_xlfn.COUNTIFS($AA$4:$AA$97,$BD45,$D$4:$D$97,"Local",$F$4:$F$97,$BT45)+_xlfn.COUNTIFS($AF$4:$AF$97,$BD45,$D$4:$D$97,"Visitante",$E$4:$E$97,$BT45))</f>
        <v>0</v>
      </c>
      <c r="BV45" s="154" cm="1">
        <f t="array" ref="BV45">IF($BT45="-","-",_xlfn.COUNTIFS($AA$4:$AA$97,$BD45,$D$4:$D$97,"Empate",$F$4:$F$97,$BT45)+_xlfn.COUNTIFS($AF$4:$AF$97,$BD45,$D$4:$D$97,"Empate",$E$4:$E$97,$BT45))</f>
        <v>1</v>
      </c>
      <c r="BW45" s="154" cm="1">
        <f t="array" ref="BW45">IF($BT45="-","-",_xlfn.COUNTIFS($AA$4:$AA$97,$BD45,$D$4:$D$97,"Visitante",$F$4:$F$97,$BT45)+_xlfn.COUNTIFS($AF$4:$AF$97,$BD45,$D$4:$D$97,"Local",$E$4:$E$97,$BT45))</f>
        <v>2</v>
      </c>
      <c r="BX45" s="154" cm="1">
        <f t="array" ref="BX45">IF($BT45="-","-",BU45*3+BV45)</f>
        <v>1</v>
      </c>
      <c r="BY45" s="154">
        <v>1</v>
      </c>
      <c r="BZ45" t="s" s="125">
        <v>135</v>
      </c>
      <c r="CA45" s="154" cm="1">
        <f t="array" ref="CA45">IF($BZ45="-","-",_xlfn.SUMIFS($AC$4:$AC$97,$AA$4:$AA$97,$BD45,$I$4:$I$97,$BZ45)+_xlfn.SUMIFS($AD$4:$AD$97,$AF$4:$AF$97,$BD45,$H$4:$H$97,$BZ45))</f>
        <v>1</v>
      </c>
      <c r="CB45" s="154" cm="1">
        <f t="array" ref="CB45">IF($BZ45="-","-",_xlfn.SUMIFS($AD$4:$AD$97,$AA$4:$AA$97,$BD45,$I$4:$I$97,$BZ45)+_xlfn.SUMIFS($AC$4:$AC$97,$AF$4:$AF$97,$BD45,$H$4:$H$97,$BZ45))</f>
        <v>5</v>
      </c>
      <c r="CC45" s="154" cm="1">
        <f t="array" ref="CC45">IF($BZ45="-","-",CA45-CB45)</f>
        <v>-4</v>
      </c>
      <c r="CD45" s="154">
        <v>1</v>
      </c>
      <c r="CE45" t="s" s="125">
        <v>135</v>
      </c>
      <c r="CF45" s="154" cm="1">
        <f t="array" ref="CF45">IF($CE45="-","-",_xlfn.SUMIFS($AC$4:$AC$97,$AA$4:$AA$97,$BD45,$L$4:$L$97,$CE45)+_xlfn.SUMIFS($AD$4:$AD$97,$AF$4:$AF$97,$BD45,$K$4:$K$97,$CE45))</f>
        <v>1</v>
      </c>
      <c r="CG45" s="154">
        <v>1</v>
      </c>
      <c r="CH45" t="s" s="125">
        <v>135</v>
      </c>
      <c r="CI45" s="154" cm="1">
        <f t="array" ref="CI45">IF($CH45="-","-",_xlfn.COUNTIFS($AA$4:$AA$97,$BD45,$D$4:$D$97,"Local",$O$4:$O$97,$CH45)+_xlfn.COUNTIFS($AF$4:$AF$97,$BD45,$D$4:$D$97,"Visitante",$N$4:$N$97,$CH45))</f>
        <v>0</v>
      </c>
      <c r="CJ45" s="154" cm="1">
        <f t="array" ref="CJ45">IF($CH45="-","-",_xlfn.COUNTIFS($AA$4:$AA$97,$BD45,$D$4:$D$97,"Empate",$O$4:$O$97,$CH45)+_xlfn.COUNTIFS($AF$4:$AF$97,$BD45,$D$4:$D$97,"Empate",$N$4:$N$97,$CH45))</f>
        <v>1</v>
      </c>
      <c r="CK45" s="154" cm="1">
        <f t="array" ref="CK45">IF($CH45="-","-",_xlfn.COUNTIFS($AA$4:$AA$97,$BD45,$D$4:$D$97,"Visitante",$O$4:$O$97,$CH45)+_xlfn.COUNTIFS($AF$4:$AF$97,$BD45,$D$4:$D$97,"Local",$N$4:$N$97,$CH45))</f>
        <v>2</v>
      </c>
      <c r="CL45" s="154" cm="1">
        <f t="array" ref="CL45">IF($CH45="-","-",CI45*3+CJ45)</f>
        <v>1</v>
      </c>
      <c r="CM45" s="154">
        <v>1</v>
      </c>
      <c r="CN45" t="s" s="125">
        <v>135</v>
      </c>
      <c r="CO45" s="154" cm="1">
        <f t="array" ref="CO45">IF($CN45="-","-",_xlfn.SUMIFS($AC$4:$AC$97,$AA$4:$AA$97,$BD45,$R$4:$R$97,$CN45)+_xlfn.SUMIFS($AD$4:$AD$97,$AF$4:$AF$97,$BD45,$Q$4:$Q$97,$CN45))</f>
        <v>1</v>
      </c>
      <c r="CP45" s="154" cm="1">
        <f t="array" ref="CP45">IF($CN45="-","-",_xlfn.SUMIFS($AD$4:$AD$97,$AA$4:$AA$97,$BD45,$R$4:$R$97,$CN45)+_xlfn.SUMIFS($AC$4:$AC$97,$AF$4:$AF$97,$BD45,$Q$4:$Q$97,$CN45))</f>
        <v>5</v>
      </c>
      <c r="CQ45" s="154" cm="1">
        <f t="array" ref="CQ45">IF($CN45="-","-",CO45-CP45)</f>
        <v>-4</v>
      </c>
      <c r="CR45" s="154">
        <v>1</v>
      </c>
      <c r="CS45" t="s" s="125">
        <v>135</v>
      </c>
      <c r="CT45" s="154" cm="1">
        <f t="array" ref="CT45">IF($CS45="-","-",_xlfn.SUMIFS($AC$4:$AC$97,$AA$4:$AA$97,$BD45,$U$4:$U$97,$CS45)+_xlfn.SUMIFS($AD$4:$AD$97,$AF$4:$AF$97,$BD45,$T$4:$T$97,$CS45))</f>
        <v>1</v>
      </c>
      <c r="CU45" s="154">
        <v>1</v>
      </c>
      <c r="CV45" t="s" s="125">
        <v>135</v>
      </c>
      <c r="CW45" s="154" cm="1">
        <f t="array" ref="CW45">IF(CV45="-","-",BL45)</f>
        <v>-4</v>
      </c>
      <c r="CX45" s="154">
        <v>1</v>
      </c>
      <c r="CY45" t="s" s="125">
        <v>135</v>
      </c>
      <c r="CZ45" s="154" cm="1">
        <f t="array" ref="CZ45">IF(CY45="-","-",BJ45)</f>
        <v>1</v>
      </c>
      <c r="DA45" s="154">
        <v>1</v>
      </c>
      <c r="DB45" t="s" s="125">
        <v>135</v>
      </c>
      <c r="DC45" s="154">
        <v>4</v>
      </c>
      <c r="DD45" s="154">
        <v>4</v>
      </c>
      <c r="DE45" s="140"/>
      <c r="DF45" s="154" cm="1">
        <f t="array" ref="DF45">IF(OR(INDEX($AW$6:$AW$97,MATCH($BD45,$AV$6:$AV$97,0))="",DB45="-"),DD45,INDEX($AW$6:$AW$97,MATCH($BD45,$AV$6:$AV$97,0))+DD45/1000)</f>
        <v>4</v>
      </c>
      <c r="DG45" s="154">
        <v>3</v>
      </c>
      <c r="DH45" s="154">
        <v>4</v>
      </c>
      <c r="DI45" s="140"/>
      <c r="DJ45" s="154" cm="1">
        <f t="array" ref="DJ45">INDEX($DA$6:$DA$53,MATCH($DQ45,$BD$6:$BD$53,0))</f>
        <v>1</v>
      </c>
      <c r="DK45" s="154" cm="1">
        <f t="array" ref="DK45">SUMIF($BC$6:$BC$53,BC45,$BF$6:$BF$53)</f>
        <v>12</v>
      </c>
      <c r="DL45" s="154" cm="1">
        <f t="array" ref="DL45">IF(OR(DK45=12,$AJ$99=144),_xlfn.COUNTIFS($DJ$6:$DJ$53,DJ45,$BC$6:$BC$53,BC45),1)</f>
        <v>4</v>
      </c>
      <c r="DM45" t="str" s="140" cm="1">
        <f t="array" ref="DM45">DJ45&amp;"."&amp;DL45</f>
        <v>1.4</v>
      </c>
      <c r="DN45" s="154">
        <v>1</v>
      </c>
      <c r="DO45" s="140"/>
      <c r="DP45" t="s" s="125">
        <v>381</v>
      </c>
      <c r="DQ45" t="str" s="140" cm="1">
        <f t="array" ref="DQ45">INDEX($BD$6:$BD$53,MATCH(DP45,$BM$6:$BM$53,0))</f>
        <v>Jordania</v>
      </c>
      <c r="DR45" s="87"/>
      <c r="DS45" s="87"/>
      <c r="DT45" s="88"/>
      <c r="DU45" s="12"/>
    </row>
    <row r="46" ht="16" customHeight="1">
      <c r="A46" t="s" s="89">
        <v>274</v>
      </c>
      <c r="B46" s="78"/>
      <c r="C46" s="78"/>
      <c r="D46" t="str" s="78" cm="1">
        <f t="array" ref="D46">IF(OR(AC46="",AD46=""),"Pendiente",IF(AC46&gt;AD46,"Local",IF(AC46&lt;AD46,"Visitante","Empate")))</f>
        <v>Local</v>
      </c>
      <c r="E46" t="str" s="78" cm="1">
        <f t="array" ref="E46">IF(D46="Pendiente","-",INDEX($BT$6:$BT$53,MATCH($AA46,$BD$6:$BD$53,0)))</f>
        <v>P.1 (4)</v>
      </c>
      <c r="F46" t="str" s="78" cm="1">
        <f t="array" ref="F46">IF(D46="Pendiente","-",INDEX($BT$6:$BT$53,MATCH($AF46,$BD$6:$BD$53,0)))</f>
        <v>P.1 (4)</v>
      </c>
      <c r="G46" s="78"/>
      <c r="H46" t="str" s="78" cm="1">
        <f t="array" ref="H46">IF(D46="Pendiente","-",INDEX($BZ$6:$BZ$53,MATCH($AA46,$BD$6:$BD$53,0)))</f>
        <v>P.1 (4)</v>
      </c>
      <c r="I46" t="str" s="78" cm="1">
        <f t="array" ref="I46">IF(D46="Pendiente","-",INDEX($BZ$6:$BZ$53,MATCH($AF46,$BD$6:$BD$53,0)))</f>
        <v>P.1 (4)</v>
      </c>
      <c r="J46" s="78"/>
      <c r="K46" t="str" s="78" cm="1">
        <f t="array" ref="K46">IF(D46="Pendiente","-",INDEX($CE$6:$CE$53,MATCH($AA46,$BD$6:$BD$53,0)))</f>
        <v>P.1 (4)</v>
      </c>
      <c r="L46" t="str" s="78" cm="1">
        <f t="array" ref="L46">IF(D46="Pendiente","-",INDEX($CE$6:$CE$53,MATCH($AF46,$BD$6:$BD$53,0)))</f>
        <v>P.1 (4)</v>
      </c>
      <c r="M46" s="78"/>
      <c r="N46" t="str" s="78" cm="1">
        <f t="array" ref="N46">IF(D46="Pendiente","-",INDEX($CH$6:$CH$53,MATCH($AA46,$BD$6:$BD$53,0)))</f>
        <v>P.1 (4)</v>
      </c>
      <c r="O46" t="str" s="78" cm="1">
        <f t="array" ref="O46">IF(D46="Pendiente","-",INDEX($CH$6:$CH$53,MATCH($AF46,$BD$6:$BD$53,0)))</f>
        <v>P.1 (4)</v>
      </c>
      <c r="P46" s="78"/>
      <c r="Q46" t="str" s="78" cm="1">
        <f t="array" ref="Q46">IF(D46="Pendiente","-",INDEX($CN$6:$CN$53,MATCH($AA46,$BD$6:$BD$53,0)))</f>
        <v>P.1 (4)</v>
      </c>
      <c r="R46" t="str" s="78" cm="1">
        <f t="array" ref="R46">IF(D46="Pendiente","-",INDEX($CN$6:$CN$53,MATCH($AF46,$BD$6:$BD$53,0)))</f>
        <v>P.1 (4)</v>
      </c>
      <c r="S46" s="78"/>
      <c r="T46" t="str" s="78" cm="1">
        <f t="array" ref="T46">IF(D46="Pendiente","-",INDEX($CS$6:$CS$53,MATCH($AA46,$BD$6:$BD$53,0)))</f>
        <v>P.1 (4)</v>
      </c>
      <c r="U46" t="str" s="78" cm="1">
        <f t="array" ref="U46">IF(D46="Pendiente","-",INDEX($CS$6:$CS$53,MATCH($AF46,$BD$6:$BD$53,0)))</f>
        <v>P.1 (4)</v>
      </c>
      <c r="V46" s="90"/>
      <c r="W46" s="141"/>
      <c r="X46" s="107">
        <v>46193.541666666657</v>
      </c>
      <c r="Y46" s="108">
        <v>46193.541666666657</v>
      </c>
      <c r="Z46" t="str" s="127" cm="1">
        <f t="array" ref="Z46">$Z$6</f>
        <v>J2</v>
      </c>
      <c r="AA46" t="str" s="110" cm="1">
        <f t="array" ref="AA46">A45</f>
        <v>Países Bajos</v>
      </c>
      <c r="AB46" s="111"/>
      <c r="AC46" s="128">
        <v>2</v>
      </c>
      <c r="AD46" s="128">
        <v>1</v>
      </c>
      <c r="AE46" s="113"/>
      <c r="AF46" t="str" s="114" cm="1">
        <f t="array" ref="AF46">A47</f>
        <v>Suecia</v>
      </c>
      <c r="AG46" s="115" cm="1">
        <f t="array" ref="AG46">IF(NOT(OR(ISBLANK(AC46),ISBLANK(AD46))),1,0)</f>
        <v>1</v>
      </c>
      <c r="AH46" s="116">
        <v>35</v>
      </c>
      <c r="AI46" t="str" s="117" cm="1">
        <f t="array" ref="AI46">AJ46&amp;$B$44</f>
        <v>1F</v>
      </c>
      <c r="AJ46" s="142">
        <v>1</v>
      </c>
      <c r="AK46" s="221"/>
      <c r="AL46" t="str" s="144" cm="1">
        <f t="array" ref="AL46">_xlfn.IFERROR(INDEX($BD$6:$BD$53,MATCH(AI46,$BN$6:$BN$53,0)),"")</f>
        <v>Países Bajos</v>
      </c>
      <c r="AM46" s="145" cm="1">
        <f t="array" ref="AM46">INDEX($BE$6:$BN$53,MATCH($AL46,$BD$6:$BD$53,0),MATCH(AM$5,$BE$5:$BN$5,0))</f>
        <v>9</v>
      </c>
      <c r="AN46" s="146" cm="1">
        <f t="array" ref="AN46">INDEX($BE$6:$BN$53,MATCH($AL46,$BD$6:$BD$53,0),MATCH(AN$5,$BE$5:$BN$5,0))</f>
        <v>3</v>
      </c>
      <c r="AO46" s="146" cm="1">
        <f t="array" ref="AO46">INDEX($BE$6:$BN$53,MATCH($AL46,$BD$6:$BD$53,0),MATCH(AO$5,$BE$5:$BN$5,0))</f>
        <v>3</v>
      </c>
      <c r="AP46" s="146" cm="1">
        <f t="array" ref="AP46">INDEX($BE$6:$BN$53,MATCH($AL46,$BD$6:$BD$53,0),MATCH(AP$5,$BE$5:$BN$5,0))</f>
        <v>0</v>
      </c>
      <c r="AQ46" s="146" cm="1">
        <f t="array" ref="AQ46">INDEX($BE$6:$BN$53,MATCH($AL46,$BD$6:$BD$53,0),MATCH(AQ$5,$BE$5:$BN$5,0))</f>
        <v>0</v>
      </c>
      <c r="AR46" s="146" cm="1">
        <f t="array" ref="AR46">INDEX($BE$6:$BN$53,MATCH($AL46,$BD$6:$BD$53,0),MATCH(AR$5,$BE$5:$BN$5,0))</f>
        <v>7</v>
      </c>
      <c r="AS46" s="146" cm="1">
        <f t="array" ref="AS46">INDEX($BE$6:$BN$53,MATCH($AL46,$BD$6:$BD$53,0),MATCH(AS$5,$BE$5:$BN$5,0))</f>
        <v>3</v>
      </c>
      <c r="AT46" s="147" cm="1">
        <f t="array" ref="AT46">INDEX($BE$6:$BN$53,MATCH($AL46,$BD$6:$BD$53,0),MATCH(AT$5,$BE$5:$BN$5,0))</f>
        <v>4</v>
      </c>
      <c r="AU46" s="148" cm="1">
        <f t="array" ref="AU46">INDEX($DL$6:$DL$53,MATCH(AI46,$DP$6:$DP$53,0))</f>
        <v>4</v>
      </c>
      <c r="AV46" t="str" s="149" cm="1">
        <f t="array" ref="AV46">INDEX($BD$6:$BD$53,MATCH(AI46,$BM$6:$BM$53,0))</f>
        <v>Países Bajos</v>
      </c>
      <c r="AW46" s="150"/>
      <c r="AX46" s="151"/>
      <c r="AY46" t="str" s="152" cm="1">
        <f t="array" ref="AY46">A45</f>
        <v>Países Bajos</v>
      </c>
      <c r="AZ46" s="153"/>
      <c r="BA46" s="139"/>
      <c r="BB46" s="87"/>
      <c r="BC46" t="s" s="125">
        <v>385</v>
      </c>
      <c r="BD46" t="s" s="125">
        <v>386</v>
      </c>
      <c r="BE46" s="154" cm="1">
        <f t="array" ref="BE46">BG46*3+BH46+IF($AZ$3="No",0,INDEX($AZ$6:$AZ$97,MATCH(BD46,$AY$6:$AY$97,0)))</f>
        <v>9</v>
      </c>
      <c r="BF46" s="154" cm="1">
        <f t="array" ref="BF46">BG46+BH46+BI46</f>
        <v>3</v>
      </c>
      <c r="BG46" s="154" cm="1">
        <f t="array" ref="BG46">_xlfn.COUNTIFS($AA$4:$AA$97,BD46,$D$4:$D$97,"Local")+_xlfn.COUNTIFS($AF$4:$AF$97,BD46,$D$4:$D$97,"Visitante")</f>
        <v>3</v>
      </c>
      <c r="BH46" s="154" cm="1">
        <f t="array" ref="BH46">_xlfn.COUNTIFS($AA$4:$AA$97,BD46,$D$4:$D$97,"Empate")+_xlfn.COUNTIFS($AF$4:$AF$97,BD46,$D$4:$D$97,"Empate")</f>
        <v>0</v>
      </c>
      <c r="BI46" s="154" cm="1">
        <f t="array" ref="BI46">_xlfn.COUNTIFS($AF$4:$AF$97,BD46,$D$4:$D$97,"Local")+_xlfn.COUNTIFS($AA$4:$AA$97,BD46,$D$4:$D$97,"Visitante")</f>
        <v>0</v>
      </c>
      <c r="BJ46" s="154" cm="1">
        <f t="array" ref="BJ46">_xlfn.SUMIFS($AC$4:$AC$97,$AA$4:$AA$97,BD46,$D$4:$D$97,"&lt;&gt;"&amp;"Pendiente",$AC$4:$AC$97,"&lt;&gt;"&amp;"",$AD$4:$AD$97,"&lt;&gt;"&amp;"")+_xlfn.SUMIFS($AD$4:$AD$97,$AF$4:$AF$97,BD46,$D$4:$D$97,"&lt;&gt;"&amp;"Pendiente",$AC$4:$AC$97,"&lt;&gt;"&amp;"",$AD$4:$AD$97,"&lt;&gt;"&amp;"")</f>
        <v>6</v>
      </c>
      <c r="BK46" s="154" cm="1">
        <f t="array" ref="BK46">_xlfn.SUMIFS($AC$4:$AC$97,$AF$4:$AF$97,BD46,$D$4:$D$97,"&lt;&gt;"&amp;"Pendiente",$AC$4:$AC$97,"&lt;&gt;"&amp;"",$AD$4:$AD$97,"&lt;&gt;"&amp;"")+_xlfn.SUMIFS($AD$4:$AD$97,$AA$4:$AA$97,BD46,$D$4:$D$97,"&lt;&gt;"&amp;"Pendiente",$AC$4:$AC$97,"&lt;&gt;"&amp;"",$AD$4:$AD$97,"&lt;&gt;"&amp;"")</f>
        <v>2</v>
      </c>
      <c r="BL46" s="154" cm="1">
        <f t="array" ref="BL46">BJ46-BK46</f>
        <v>4</v>
      </c>
      <c r="BM46" t="str" s="140" cm="1">
        <f t="array" ref="BM46">DD46&amp;BC46</f>
        <v>1K</v>
      </c>
      <c r="BN46" t="str" s="140" cm="1">
        <f t="array" ref="BN46">DH46&amp;BC46</f>
        <v>1K</v>
      </c>
      <c r="BO46" s="154" cm="1">
        <f t="array" ref="BO46">IF(AND($AJ$99=144,BF46&gt;=1),1,0)</f>
        <v>0</v>
      </c>
      <c r="BP46" s="154">
        <v>1</v>
      </c>
      <c r="BQ46" t="s" s="125">
        <v>135</v>
      </c>
      <c r="BR46" s="154" cm="1">
        <f t="array" ref="BR46">IF($BQ46="-","-",BE46)</f>
        <v>9</v>
      </c>
      <c r="BS46" s="154">
        <v>1</v>
      </c>
      <c r="BT46" t="s" s="125">
        <v>135</v>
      </c>
      <c r="BU46" s="154" cm="1">
        <f t="array" ref="BU46">IF($BT46="-","-",_xlfn.COUNTIFS($AA$4:$AA$97,$BD46,$D$4:$D$97,"Local",$F$4:$F$97,$BT46)+_xlfn.COUNTIFS($AF$4:$AF$97,$BD46,$D$4:$D$97,"Visitante",$E$4:$E$97,$BT46))</f>
        <v>3</v>
      </c>
      <c r="BV46" s="154" cm="1">
        <f t="array" ref="BV46">IF($BT46="-","-",_xlfn.COUNTIFS($AA$4:$AA$97,$BD46,$D$4:$D$97,"Empate",$F$4:$F$97,$BT46)+_xlfn.COUNTIFS($AF$4:$AF$97,$BD46,$D$4:$D$97,"Empate",$E$4:$E$97,$BT46))</f>
        <v>0</v>
      </c>
      <c r="BW46" s="154" cm="1">
        <f t="array" ref="BW46">IF($BT46="-","-",_xlfn.COUNTIFS($AA$4:$AA$97,$BD46,$D$4:$D$97,"Visitante",$F$4:$F$97,$BT46)+_xlfn.COUNTIFS($AF$4:$AF$97,$BD46,$D$4:$D$97,"Local",$E$4:$E$97,$BT46))</f>
        <v>0</v>
      </c>
      <c r="BX46" s="154" cm="1">
        <f t="array" ref="BX46">IF($BT46="-","-",BU46*3+BV46)</f>
        <v>9</v>
      </c>
      <c r="BY46" s="154">
        <v>1</v>
      </c>
      <c r="BZ46" t="s" s="125">
        <v>135</v>
      </c>
      <c r="CA46" s="154" cm="1">
        <f t="array" ref="CA46">IF($BZ46="-","-",_xlfn.SUMIFS($AC$4:$AC$97,$AA$4:$AA$97,$BD46,$I$4:$I$97,$BZ46)+_xlfn.SUMIFS($AD$4:$AD$97,$AF$4:$AF$97,$BD46,$H$4:$H$97,$BZ46))</f>
        <v>6</v>
      </c>
      <c r="CB46" s="154" cm="1">
        <f t="array" ref="CB46">IF($BZ46="-","-",_xlfn.SUMIFS($AD$4:$AD$97,$AA$4:$AA$97,$BD46,$I$4:$I$97,$BZ46)+_xlfn.SUMIFS($AC$4:$AC$97,$AF$4:$AF$97,$BD46,$H$4:$H$97,$BZ46))</f>
        <v>2</v>
      </c>
      <c r="CC46" s="154" cm="1">
        <f t="array" ref="CC46">IF($BZ46="-","-",CA46-CB46)</f>
        <v>4</v>
      </c>
      <c r="CD46" s="154">
        <v>1</v>
      </c>
      <c r="CE46" t="s" s="125">
        <v>135</v>
      </c>
      <c r="CF46" s="154" cm="1">
        <f t="array" ref="CF46">IF($CE46="-","-",_xlfn.SUMIFS($AC$4:$AC$97,$AA$4:$AA$97,$BD46,$L$4:$L$97,$CE46)+_xlfn.SUMIFS($AD$4:$AD$97,$AF$4:$AF$97,$BD46,$K$4:$K$97,$CE46))</f>
        <v>6</v>
      </c>
      <c r="CG46" s="154">
        <v>1</v>
      </c>
      <c r="CH46" t="s" s="125">
        <v>135</v>
      </c>
      <c r="CI46" s="154" cm="1">
        <f t="array" ref="CI46">IF($CH46="-","-",_xlfn.COUNTIFS($AA$4:$AA$97,$BD46,$D$4:$D$97,"Local",$O$4:$O$97,$CH46)+_xlfn.COUNTIFS($AF$4:$AF$97,$BD46,$D$4:$D$97,"Visitante",$N$4:$N$97,$CH46))</f>
        <v>3</v>
      </c>
      <c r="CJ46" s="154" cm="1">
        <f t="array" ref="CJ46">IF($CH46="-","-",_xlfn.COUNTIFS($AA$4:$AA$97,$BD46,$D$4:$D$97,"Empate",$O$4:$O$97,$CH46)+_xlfn.COUNTIFS($AF$4:$AF$97,$BD46,$D$4:$D$97,"Empate",$N$4:$N$97,$CH46))</f>
        <v>0</v>
      </c>
      <c r="CK46" s="154" cm="1">
        <f t="array" ref="CK46">IF($CH46="-","-",_xlfn.COUNTIFS($AA$4:$AA$97,$BD46,$D$4:$D$97,"Visitante",$O$4:$O$97,$CH46)+_xlfn.COUNTIFS($AF$4:$AF$97,$BD46,$D$4:$D$97,"Local",$N$4:$N$97,$CH46))</f>
        <v>0</v>
      </c>
      <c r="CL46" s="154" cm="1">
        <f t="array" ref="CL46">IF($CH46="-","-",CI46*3+CJ46)</f>
        <v>9</v>
      </c>
      <c r="CM46" s="154">
        <v>1</v>
      </c>
      <c r="CN46" t="s" s="125">
        <v>135</v>
      </c>
      <c r="CO46" s="154" cm="1">
        <f t="array" ref="CO46">IF($CN46="-","-",_xlfn.SUMIFS($AC$4:$AC$97,$AA$4:$AA$97,$BD46,$R$4:$R$97,$CN46)+_xlfn.SUMIFS($AD$4:$AD$97,$AF$4:$AF$97,$BD46,$Q$4:$Q$97,$CN46))</f>
        <v>6</v>
      </c>
      <c r="CP46" s="154" cm="1">
        <f t="array" ref="CP46">IF($CN46="-","-",_xlfn.SUMIFS($AD$4:$AD$97,$AA$4:$AA$97,$BD46,$R$4:$R$97,$CN46)+_xlfn.SUMIFS($AC$4:$AC$97,$AF$4:$AF$97,$BD46,$Q$4:$Q$97,$CN46))</f>
        <v>2</v>
      </c>
      <c r="CQ46" s="154" cm="1">
        <f t="array" ref="CQ46">IF($CN46="-","-",CO46-CP46)</f>
        <v>4</v>
      </c>
      <c r="CR46" s="154">
        <v>1</v>
      </c>
      <c r="CS46" t="s" s="125">
        <v>135</v>
      </c>
      <c r="CT46" s="154" cm="1">
        <f t="array" ref="CT46">IF($CS46="-","-",_xlfn.SUMIFS($AC$4:$AC$97,$AA$4:$AA$97,$BD46,$U$4:$U$97,$CS46)+_xlfn.SUMIFS($AD$4:$AD$97,$AF$4:$AF$97,$BD46,$T$4:$T$97,$CS46))</f>
        <v>6</v>
      </c>
      <c r="CU46" s="154">
        <v>1</v>
      </c>
      <c r="CV46" t="s" s="125">
        <v>135</v>
      </c>
      <c r="CW46" s="154" cm="1">
        <f t="array" ref="CW46">IF(CV46="-","-",BL46)</f>
        <v>4</v>
      </c>
      <c r="CX46" s="154">
        <v>1</v>
      </c>
      <c r="CY46" t="s" s="125">
        <v>135</v>
      </c>
      <c r="CZ46" s="154" cm="1">
        <f t="array" ref="CZ46">IF(CY46="-","-",BJ46)</f>
        <v>6</v>
      </c>
      <c r="DA46" s="154">
        <v>1</v>
      </c>
      <c r="DB46" t="s" s="125">
        <v>135</v>
      </c>
      <c r="DC46" s="154">
        <v>1</v>
      </c>
      <c r="DD46" s="154">
        <v>1</v>
      </c>
      <c r="DE46" s="140"/>
      <c r="DF46" s="154" cm="1">
        <f t="array" ref="DF46">IF(OR(INDEX($AW$6:$AW$97,MATCH($BD46,$AV$6:$AV$97,0))="",DB46="-"),DD46,INDEX($AW$6:$AW$97,MATCH($BD46,$AV$6:$AV$97,0))+DD46/1000)</f>
        <v>1</v>
      </c>
      <c r="DG46" s="154">
        <v>0</v>
      </c>
      <c r="DH46" s="154">
        <v>1</v>
      </c>
      <c r="DI46" s="140"/>
      <c r="DJ46" s="154" cm="1">
        <f t="array" ref="DJ46">INDEX($DA$6:$DA$53,MATCH($DQ46,$BD$6:$BD$53,0))</f>
        <v>1</v>
      </c>
      <c r="DK46" s="154" cm="1">
        <f t="array" ref="DK46">SUMIF($BC$6:$BC$53,BC46,$BF$6:$BF$53)</f>
        <v>12</v>
      </c>
      <c r="DL46" s="154" cm="1">
        <f t="array" ref="DL46">IF(OR(DK46=12,$AJ$99=144),_xlfn.COUNTIFS($DJ$6:$DJ$53,DJ46,$BC$6:$BC$53,BC46),1)</f>
        <v>4</v>
      </c>
      <c r="DM46" t="str" s="140" cm="1">
        <f t="array" ref="DM46">DJ46&amp;"."&amp;DL46</f>
        <v>1.4</v>
      </c>
      <c r="DN46" s="154">
        <v>1</v>
      </c>
      <c r="DO46" s="140"/>
      <c r="DP46" t="s" s="125">
        <v>388</v>
      </c>
      <c r="DQ46" t="str" s="140" cm="1">
        <f t="array" ref="DQ46">INDEX($BD$6:$BD$53,MATCH(DP46,$BM$6:$BM$53,0))</f>
        <v>Portugal</v>
      </c>
      <c r="DR46" s="87"/>
      <c r="DS46" s="87"/>
      <c r="DT46" s="88"/>
      <c r="DU46" s="12"/>
    </row>
    <row r="47" ht="16" customHeight="1">
      <c r="A47" t="s" s="89">
        <v>281</v>
      </c>
      <c r="B47" s="78"/>
      <c r="C47" s="78"/>
      <c r="D47" t="str" s="78" cm="1">
        <f t="array" ref="D47">IF(OR(AC47="",AD47=""),"Pendiente",IF(AC47&gt;AD47,"Local",IF(AC47&lt;AD47,"Visitante","Empate")))</f>
        <v>Visitante</v>
      </c>
      <c r="E47" t="str" s="78" cm="1">
        <f t="array" ref="E47">IF(D47="Pendiente","-",INDEX($BT$6:$BT$53,MATCH($AA47,$BD$6:$BD$53,0)))</f>
        <v>P.1 (4)</v>
      </c>
      <c r="F47" t="str" s="78" cm="1">
        <f t="array" ref="F47">IF(D47="Pendiente","-",INDEX($BT$6:$BT$53,MATCH($AF47,$BD$6:$BD$53,0)))</f>
        <v>P.1 (4)</v>
      </c>
      <c r="G47" s="78"/>
      <c r="H47" t="str" s="78" cm="1">
        <f t="array" ref="H47">IF(D47="Pendiente","-",INDEX($BZ$6:$BZ$53,MATCH($AA47,$BD$6:$BD$53,0)))</f>
        <v>P.1 (4)</v>
      </c>
      <c r="I47" t="str" s="78" cm="1">
        <f t="array" ref="I47">IF(D47="Pendiente","-",INDEX($BZ$6:$BZ$53,MATCH($AF47,$BD$6:$BD$53,0)))</f>
        <v>P.1 (4)</v>
      </c>
      <c r="J47" s="78"/>
      <c r="K47" t="str" s="78" cm="1">
        <f t="array" ref="K47">IF(D47="Pendiente","-",INDEX($CE$6:$CE$53,MATCH($AA47,$BD$6:$BD$53,0)))</f>
        <v>P.1 (4)</v>
      </c>
      <c r="L47" t="str" s="78" cm="1">
        <f t="array" ref="L47">IF(D47="Pendiente","-",INDEX($CE$6:$CE$53,MATCH($AF47,$BD$6:$BD$53,0)))</f>
        <v>P.1 (4)</v>
      </c>
      <c r="M47" s="78"/>
      <c r="N47" t="str" s="78" cm="1">
        <f t="array" ref="N47">IF(D47="Pendiente","-",INDEX($CH$6:$CH$53,MATCH($AA47,$BD$6:$BD$53,0)))</f>
        <v>P.1 (4)</v>
      </c>
      <c r="O47" t="str" s="78" cm="1">
        <f t="array" ref="O47">IF(D47="Pendiente","-",INDEX($CH$6:$CH$53,MATCH($AF47,$BD$6:$BD$53,0)))</f>
        <v>P.1 (4)</v>
      </c>
      <c r="P47" s="78"/>
      <c r="Q47" t="str" s="78" cm="1">
        <f t="array" ref="Q47">IF(D47="Pendiente","-",INDEX($CN$6:$CN$53,MATCH($AA47,$BD$6:$BD$53,0)))</f>
        <v>P.1 (4)</v>
      </c>
      <c r="R47" t="str" s="78" cm="1">
        <f t="array" ref="R47">IF(D47="Pendiente","-",INDEX($CN$6:$CN$53,MATCH($AF47,$BD$6:$BD$53,0)))</f>
        <v>P.1 (4)</v>
      </c>
      <c r="S47" s="78"/>
      <c r="T47" t="str" s="78" cm="1">
        <f t="array" ref="T47">IF(D47="Pendiente","-",INDEX($CS$6:$CS$53,MATCH($AA47,$BD$6:$BD$53,0)))</f>
        <v>P.1 (4)</v>
      </c>
      <c r="U47" t="str" s="78" cm="1">
        <f t="array" ref="U47">IF(D47="Pendiente","-",INDEX($CS$6:$CS$53,MATCH($AF47,$BD$6:$BD$53,0)))</f>
        <v>P.1 (4)</v>
      </c>
      <c r="V47" s="90"/>
      <c r="W47" s="141"/>
      <c r="X47" s="107">
        <v>46194</v>
      </c>
      <c r="Y47" s="108">
        <v>46194</v>
      </c>
      <c r="Z47" t="str" s="127" cm="1">
        <f t="array" ref="Z47">$Z$6</f>
        <v>J2</v>
      </c>
      <c r="AA47" t="str" s="110" cm="1">
        <f t="array" ref="AA47">A48</f>
        <v>Túnez</v>
      </c>
      <c r="AB47" s="111"/>
      <c r="AC47" s="128">
        <v>0</v>
      </c>
      <c r="AD47" s="128">
        <v>2</v>
      </c>
      <c r="AE47" s="113"/>
      <c r="AF47" t="str" s="114" cm="1">
        <f t="array" ref="AF47">A46</f>
        <v>Japón</v>
      </c>
      <c r="AG47" s="115" cm="1">
        <f t="array" ref="AG47">IF(NOT(OR(ISBLANK(AC47),ISBLANK(AD47))),1,0)</f>
        <v>1</v>
      </c>
      <c r="AH47" s="116">
        <v>36</v>
      </c>
      <c r="AI47" t="str" s="117" cm="1">
        <f t="array" ref="AI47">AJ47&amp;$B$44</f>
        <v>2F</v>
      </c>
      <c r="AJ47" s="155">
        <v>2</v>
      </c>
      <c r="AK47" s="225"/>
      <c r="AL47" t="str" s="157" cm="1">
        <f t="array" ref="AL47">_xlfn.IFERROR(INDEX($BD$6:$BD$53,MATCH(AI47,$BN$6:$BN$53,0)),"")</f>
        <v>Japón</v>
      </c>
      <c r="AM47" s="158" cm="1">
        <f t="array" ref="AM47">INDEX($BE$6:$BN$53,MATCH($AL47,$BD$6:$BD$53,0),MATCH(AM$5,$BE$5:$BN$5,0))</f>
        <v>4</v>
      </c>
      <c r="AN47" s="159" cm="1">
        <f t="array" ref="AN47">INDEX($BE$6:$BN$53,MATCH($AL47,$BD$6:$BD$53,0),MATCH(AN$5,$BE$5:$BN$5,0))</f>
        <v>3</v>
      </c>
      <c r="AO47" s="159" cm="1">
        <f t="array" ref="AO47">INDEX($BE$6:$BN$53,MATCH($AL47,$BD$6:$BD$53,0),MATCH(AO$5,$BE$5:$BN$5,0))</f>
        <v>1</v>
      </c>
      <c r="AP47" s="159" cm="1">
        <f t="array" ref="AP47">INDEX($BE$6:$BN$53,MATCH($AL47,$BD$6:$BD$53,0),MATCH(AP$5,$BE$5:$BN$5,0))</f>
        <v>1</v>
      </c>
      <c r="AQ47" s="159" cm="1">
        <f t="array" ref="AQ47">INDEX($BE$6:$BN$53,MATCH($AL47,$BD$6:$BD$53,0),MATCH(AQ$5,$BE$5:$BN$5,0))</f>
        <v>1</v>
      </c>
      <c r="AR47" s="159" cm="1">
        <f t="array" ref="AR47">INDEX($BE$6:$BN$53,MATCH($AL47,$BD$6:$BD$53,0),MATCH(AR$5,$BE$5:$BN$5,0))</f>
        <v>4</v>
      </c>
      <c r="AS47" s="159" cm="1">
        <f t="array" ref="AS47">INDEX($BE$6:$BN$53,MATCH($AL47,$BD$6:$BD$53,0),MATCH(AS$5,$BE$5:$BN$5,0))</f>
        <v>3</v>
      </c>
      <c r="AT47" s="160" cm="1">
        <f t="array" ref="AT47">INDEX($BE$6:$BN$53,MATCH($AL47,$BD$6:$BD$53,0),MATCH(AT$5,$BE$5:$BN$5,0))</f>
        <v>1</v>
      </c>
      <c r="AU47" s="148" cm="1">
        <f t="array" ref="AU47">INDEX($DL$6:$DL$53,MATCH(AI47,$DP$6:$DP$53,0))</f>
        <v>4</v>
      </c>
      <c r="AV47" t="str" s="149" cm="1">
        <f t="array" ref="AV47">INDEX($BD$6:$BD$53,MATCH(AI47,$BM$6:$BM$53,0))</f>
        <v>Japón</v>
      </c>
      <c r="AW47" s="150"/>
      <c r="AX47" s="151"/>
      <c r="AY47" t="str" s="161" cm="1">
        <f t="array" ref="AY47">A46</f>
        <v>Japón</v>
      </c>
      <c r="AZ47" s="162"/>
      <c r="BA47" s="139"/>
      <c r="BB47" s="87"/>
      <c r="BC47" t="s" s="125">
        <v>385</v>
      </c>
      <c r="BD47" t="s" s="125">
        <v>392</v>
      </c>
      <c r="BE47" s="154" cm="1">
        <f t="array" ref="BE47">BG47*3+BH47+IF($AZ$3="No",0,INDEX($AZ$6:$AZ$97,MATCH(BD47,$AY$6:$AY$97,0)))</f>
        <v>1</v>
      </c>
      <c r="BF47" s="154" cm="1">
        <f t="array" ref="BF47">BG47+BH47+BI47</f>
        <v>3</v>
      </c>
      <c r="BG47" s="154" cm="1">
        <f t="array" ref="BG47">_xlfn.COUNTIFS($AA$4:$AA$97,BD47,$D$4:$D$97,"Local")+_xlfn.COUNTIFS($AF$4:$AF$97,BD47,$D$4:$D$97,"Visitante")</f>
        <v>0</v>
      </c>
      <c r="BH47" s="154" cm="1">
        <f t="array" ref="BH47">_xlfn.COUNTIFS($AA$4:$AA$97,BD47,$D$4:$D$97,"Empate")+_xlfn.COUNTIFS($AF$4:$AF$97,BD47,$D$4:$D$97,"Empate")</f>
        <v>1</v>
      </c>
      <c r="BI47" s="154" cm="1">
        <f t="array" ref="BI47">_xlfn.COUNTIFS($AF$4:$AF$97,BD47,$D$4:$D$97,"Local")+_xlfn.COUNTIFS($AA$4:$AA$97,BD47,$D$4:$D$97,"Visitante")</f>
        <v>2</v>
      </c>
      <c r="BJ47" s="154" cm="1">
        <f t="array" ref="BJ47">_xlfn.SUMIFS($AC$4:$AC$97,$AA$4:$AA$97,BD47,$D$4:$D$97,"&lt;&gt;"&amp;"Pendiente",$AC$4:$AC$97,"&lt;&gt;"&amp;"",$AD$4:$AD$97,"&lt;&gt;"&amp;"")+_xlfn.SUMIFS($AD$4:$AD$97,$AF$4:$AF$97,BD47,$D$4:$D$97,"&lt;&gt;"&amp;"Pendiente",$AC$4:$AC$97,"&lt;&gt;"&amp;"",$AD$4:$AD$97,"&lt;&gt;"&amp;"")</f>
        <v>0</v>
      </c>
      <c r="BK47" s="154" cm="1">
        <f t="array" ref="BK47">_xlfn.SUMIFS($AC$4:$AC$97,$AF$4:$AF$97,BD47,$D$4:$D$97,"&lt;&gt;"&amp;"Pendiente",$AC$4:$AC$97,"&lt;&gt;"&amp;"",$AD$4:$AD$97,"&lt;&gt;"&amp;"")+_xlfn.SUMIFS($AD$4:$AD$97,$AA$4:$AA$97,BD47,$D$4:$D$97,"&lt;&gt;"&amp;"Pendiente",$AC$4:$AC$97,"&lt;&gt;"&amp;"",$AD$4:$AD$97,"&lt;&gt;"&amp;"")</f>
        <v>4</v>
      </c>
      <c r="BL47" s="154" cm="1">
        <f t="array" ref="BL47">BJ47-BK47</f>
        <v>-4</v>
      </c>
      <c r="BM47" t="str" s="140" cm="1">
        <f t="array" ref="BM47">DD47&amp;BC47</f>
        <v>2K</v>
      </c>
      <c r="BN47" t="str" s="140" cm="1">
        <f t="array" ref="BN47">DH47&amp;BC47</f>
        <v>2K</v>
      </c>
      <c r="BO47" s="154" cm="1">
        <f t="array" ref="BO47">IF(AND($AJ$99=144,BF47&gt;=1),1,0)</f>
        <v>0</v>
      </c>
      <c r="BP47" s="154">
        <v>1</v>
      </c>
      <c r="BQ47" t="s" s="125">
        <v>135</v>
      </c>
      <c r="BR47" s="154" cm="1">
        <f t="array" ref="BR47">IF($BQ47="-","-",BE47)</f>
        <v>1</v>
      </c>
      <c r="BS47" s="154">
        <v>1</v>
      </c>
      <c r="BT47" t="s" s="125">
        <v>135</v>
      </c>
      <c r="BU47" s="154" cm="1">
        <f t="array" ref="BU47">IF($BT47="-","-",_xlfn.COUNTIFS($AA$4:$AA$97,$BD47,$D$4:$D$97,"Local",$F$4:$F$97,$BT47)+_xlfn.COUNTIFS($AF$4:$AF$97,$BD47,$D$4:$D$97,"Visitante",$E$4:$E$97,$BT47))</f>
        <v>0</v>
      </c>
      <c r="BV47" s="154" cm="1">
        <f t="array" ref="BV47">IF($BT47="-","-",_xlfn.COUNTIFS($AA$4:$AA$97,$BD47,$D$4:$D$97,"Empate",$F$4:$F$97,$BT47)+_xlfn.COUNTIFS($AF$4:$AF$97,$BD47,$D$4:$D$97,"Empate",$E$4:$E$97,$BT47))</f>
        <v>1</v>
      </c>
      <c r="BW47" s="154" cm="1">
        <f t="array" ref="BW47">IF($BT47="-","-",_xlfn.COUNTIFS($AA$4:$AA$97,$BD47,$D$4:$D$97,"Visitante",$F$4:$F$97,$BT47)+_xlfn.COUNTIFS($AF$4:$AF$97,$BD47,$D$4:$D$97,"Local",$E$4:$E$97,$BT47))</f>
        <v>2</v>
      </c>
      <c r="BX47" s="154" cm="1">
        <f t="array" ref="BX47">IF($BT47="-","-",BU47*3+BV47)</f>
        <v>1</v>
      </c>
      <c r="BY47" s="154">
        <v>1</v>
      </c>
      <c r="BZ47" t="s" s="125">
        <v>135</v>
      </c>
      <c r="CA47" s="154" cm="1">
        <f t="array" ref="CA47">IF($BZ47="-","-",_xlfn.SUMIFS($AC$4:$AC$97,$AA$4:$AA$97,$BD47,$I$4:$I$97,$BZ47)+_xlfn.SUMIFS($AD$4:$AD$97,$AF$4:$AF$97,$BD47,$H$4:$H$97,$BZ47))</f>
        <v>0</v>
      </c>
      <c r="CB47" s="154" cm="1">
        <f t="array" ref="CB47">IF($BZ47="-","-",_xlfn.SUMIFS($AD$4:$AD$97,$AA$4:$AA$97,$BD47,$I$4:$I$97,$BZ47)+_xlfn.SUMIFS($AC$4:$AC$97,$AF$4:$AF$97,$BD47,$H$4:$H$97,$BZ47))</f>
        <v>4</v>
      </c>
      <c r="CC47" s="154" cm="1">
        <f t="array" ref="CC47">IF($BZ47="-","-",CA47-CB47)</f>
        <v>-4</v>
      </c>
      <c r="CD47" s="154">
        <v>1</v>
      </c>
      <c r="CE47" t="s" s="125">
        <v>135</v>
      </c>
      <c r="CF47" s="154" cm="1">
        <f t="array" ref="CF47">IF($CE47="-","-",_xlfn.SUMIFS($AC$4:$AC$97,$AA$4:$AA$97,$BD47,$L$4:$L$97,$CE47)+_xlfn.SUMIFS($AD$4:$AD$97,$AF$4:$AF$97,$BD47,$K$4:$K$97,$CE47))</f>
        <v>0</v>
      </c>
      <c r="CG47" s="154">
        <v>1</v>
      </c>
      <c r="CH47" t="s" s="125">
        <v>135</v>
      </c>
      <c r="CI47" s="154" cm="1">
        <f t="array" ref="CI47">IF($CH47="-","-",_xlfn.COUNTIFS($AA$4:$AA$97,$BD47,$D$4:$D$97,"Local",$O$4:$O$97,$CH47)+_xlfn.COUNTIFS($AF$4:$AF$97,$BD47,$D$4:$D$97,"Visitante",$N$4:$N$97,$CH47))</f>
        <v>0</v>
      </c>
      <c r="CJ47" s="154" cm="1">
        <f t="array" ref="CJ47">IF($CH47="-","-",_xlfn.COUNTIFS($AA$4:$AA$97,$BD47,$D$4:$D$97,"Empate",$O$4:$O$97,$CH47)+_xlfn.COUNTIFS($AF$4:$AF$97,$BD47,$D$4:$D$97,"Empate",$N$4:$N$97,$CH47))</f>
        <v>1</v>
      </c>
      <c r="CK47" s="154" cm="1">
        <f t="array" ref="CK47">IF($CH47="-","-",_xlfn.COUNTIFS($AA$4:$AA$97,$BD47,$D$4:$D$97,"Visitante",$O$4:$O$97,$CH47)+_xlfn.COUNTIFS($AF$4:$AF$97,$BD47,$D$4:$D$97,"Local",$N$4:$N$97,$CH47))</f>
        <v>2</v>
      </c>
      <c r="CL47" s="154" cm="1">
        <f t="array" ref="CL47">IF($CH47="-","-",CI47*3+CJ47)</f>
        <v>1</v>
      </c>
      <c r="CM47" s="154">
        <v>1</v>
      </c>
      <c r="CN47" t="s" s="125">
        <v>135</v>
      </c>
      <c r="CO47" s="154" cm="1">
        <f t="array" ref="CO47">IF($CN47="-","-",_xlfn.SUMIFS($AC$4:$AC$97,$AA$4:$AA$97,$BD47,$R$4:$R$97,$CN47)+_xlfn.SUMIFS($AD$4:$AD$97,$AF$4:$AF$97,$BD47,$Q$4:$Q$97,$CN47))</f>
        <v>0</v>
      </c>
      <c r="CP47" s="154" cm="1">
        <f t="array" ref="CP47">IF($CN47="-","-",_xlfn.SUMIFS($AD$4:$AD$97,$AA$4:$AA$97,$BD47,$R$4:$R$97,$CN47)+_xlfn.SUMIFS($AC$4:$AC$97,$AF$4:$AF$97,$BD47,$Q$4:$Q$97,$CN47))</f>
        <v>4</v>
      </c>
      <c r="CQ47" s="154" cm="1">
        <f t="array" ref="CQ47">IF($CN47="-","-",CO47-CP47)</f>
        <v>-4</v>
      </c>
      <c r="CR47" s="154">
        <v>1</v>
      </c>
      <c r="CS47" t="s" s="125">
        <v>135</v>
      </c>
      <c r="CT47" s="154" cm="1">
        <f t="array" ref="CT47">IF($CS47="-","-",_xlfn.SUMIFS($AC$4:$AC$97,$AA$4:$AA$97,$BD47,$U$4:$U$97,$CS47)+_xlfn.SUMIFS($AD$4:$AD$97,$AF$4:$AF$97,$BD47,$T$4:$T$97,$CS47))</f>
        <v>0</v>
      </c>
      <c r="CU47" s="154">
        <v>1</v>
      </c>
      <c r="CV47" t="s" s="125">
        <v>135</v>
      </c>
      <c r="CW47" s="154" cm="1">
        <f t="array" ref="CW47">IF(CV47="-","-",BL47)</f>
        <v>-4</v>
      </c>
      <c r="CX47" s="154">
        <v>1</v>
      </c>
      <c r="CY47" t="s" s="125">
        <v>135</v>
      </c>
      <c r="CZ47" s="154" cm="1">
        <f t="array" ref="CZ47">IF(CY47="-","-",BJ47)</f>
        <v>0</v>
      </c>
      <c r="DA47" s="154">
        <v>1</v>
      </c>
      <c r="DB47" t="s" s="125">
        <v>135</v>
      </c>
      <c r="DC47" s="154">
        <v>2</v>
      </c>
      <c r="DD47" s="154">
        <v>2</v>
      </c>
      <c r="DE47" s="140"/>
      <c r="DF47" s="154" cm="1">
        <f t="array" ref="DF47">IF(OR(INDEX($AW$6:$AW$97,MATCH($BD47,$AV$6:$AV$97,0))="",DB47="-"),DD47,INDEX($AW$6:$AW$97,MATCH($BD47,$AV$6:$AV$97,0))+DD47/1000)</f>
        <v>2</v>
      </c>
      <c r="DG47" s="154">
        <v>1</v>
      </c>
      <c r="DH47" s="154">
        <v>2</v>
      </c>
      <c r="DI47" s="140"/>
      <c r="DJ47" s="154" cm="1">
        <f t="array" ref="DJ47">INDEX($DA$6:$DA$53,MATCH($DQ47,$BD$6:$BD$53,0))</f>
        <v>1</v>
      </c>
      <c r="DK47" s="154" cm="1">
        <f t="array" ref="DK47">SUMIF($BC$6:$BC$53,BC47,$BF$6:$BF$53)</f>
        <v>12</v>
      </c>
      <c r="DL47" s="154" cm="1">
        <f t="array" ref="DL47">IF(OR(DK47=12,$AJ$99=144),_xlfn.COUNTIFS($DJ$6:$DJ$53,DJ47,$BC$6:$BC$53,BC47),1)</f>
        <v>4</v>
      </c>
      <c r="DM47" t="str" s="140" cm="1">
        <f t="array" ref="DM47">DJ47&amp;"."&amp;DL47</f>
        <v>1.4</v>
      </c>
      <c r="DN47" s="154">
        <v>1</v>
      </c>
      <c r="DO47" s="140"/>
      <c r="DP47" t="s" s="125">
        <v>394</v>
      </c>
      <c r="DQ47" t="str" s="140" cm="1">
        <f t="array" ref="DQ47">INDEX($BD$6:$BD$53,MATCH(DP47,$BM$6:$BM$53,0))</f>
        <v>RD Congo</v>
      </c>
      <c r="DR47" s="87"/>
      <c r="DS47" s="87"/>
      <c r="DT47" s="88"/>
      <c r="DU47" s="12"/>
    </row>
    <row r="48" ht="16" customHeight="1">
      <c r="A48" t="s" s="89">
        <v>287</v>
      </c>
      <c r="B48" s="78"/>
      <c r="C48" s="78"/>
      <c r="D48" t="str" s="78" cm="1">
        <f t="array" ref="D48">IF(OR(AC48="",AD48=""),"Pendiente",IF(AC48&gt;AD48,"Local",IF(AC48&lt;AD48,"Visitante","Empate")))</f>
        <v>Empate</v>
      </c>
      <c r="E48" t="str" s="78" cm="1">
        <f t="array" ref="E48">IF(D48="Pendiente","-",INDEX($BT$6:$BT$53,MATCH($AA48,$BD$6:$BD$53,0)))</f>
        <v>P.1 (4)</v>
      </c>
      <c r="F48" t="str" s="78" cm="1">
        <f t="array" ref="F48">IF(D48="Pendiente","-",INDEX($BT$6:$BT$53,MATCH($AF48,$BD$6:$BD$53,0)))</f>
        <v>P.1 (4)</v>
      </c>
      <c r="G48" s="78"/>
      <c r="H48" t="str" s="78" cm="1">
        <f t="array" ref="H48">IF(D48="Pendiente","-",INDEX($BZ$6:$BZ$53,MATCH($AA48,$BD$6:$BD$53,0)))</f>
        <v>P.1 (4)</v>
      </c>
      <c r="I48" t="str" s="78" cm="1">
        <f t="array" ref="I48">IF(D48="Pendiente","-",INDEX($BZ$6:$BZ$53,MATCH($AF48,$BD$6:$BD$53,0)))</f>
        <v>P.1 (4)</v>
      </c>
      <c r="J48" s="78"/>
      <c r="K48" t="str" s="78" cm="1">
        <f t="array" ref="K48">IF(D48="Pendiente","-",INDEX($CE$6:$CE$53,MATCH($AA48,$BD$6:$BD$53,0)))</f>
        <v>P.1 (4)</v>
      </c>
      <c r="L48" t="str" s="78" cm="1">
        <f t="array" ref="L48">IF(D48="Pendiente","-",INDEX($CE$6:$CE$53,MATCH($AF48,$BD$6:$BD$53,0)))</f>
        <v>P.1 (4)</v>
      </c>
      <c r="M48" s="78"/>
      <c r="N48" t="str" s="78" cm="1">
        <f t="array" ref="N48">IF(D48="Pendiente","-",INDEX($CH$6:$CH$53,MATCH($AA48,$BD$6:$BD$53,0)))</f>
        <v>P.1 (4)</v>
      </c>
      <c r="O48" t="str" s="78" cm="1">
        <f t="array" ref="O48">IF(D48="Pendiente","-",INDEX($CH$6:$CH$53,MATCH($AF48,$BD$6:$BD$53,0)))</f>
        <v>P.1 (4)</v>
      </c>
      <c r="P48" s="78"/>
      <c r="Q48" t="str" s="78" cm="1">
        <f t="array" ref="Q48">IF(D48="Pendiente","-",INDEX($CN$6:$CN$53,MATCH($AA48,$BD$6:$BD$53,0)))</f>
        <v>P.1 (4)</v>
      </c>
      <c r="R48" t="str" s="78" cm="1">
        <f t="array" ref="R48">IF(D48="Pendiente","-",INDEX($CN$6:$CN$53,MATCH($AF48,$BD$6:$BD$53,0)))</f>
        <v>P.1 (4)</v>
      </c>
      <c r="S48" s="78"/>
      <c r="T48" t="str" s="78" cm="1">
        <f t="array" ref="T48">IF(D48="Pendiente","-",INDEX($CS$6:$CS$53,MATCH($AA48,$BD$6:$BD$53,0)))</f>
        <v>P.1 (4)</v>
      </c>
      <c r="U48" t="str" s="78" cm="1">
        <f t="array" ref="U48">IF(D48="Pendiente","-",INDEX($CS$6:$CS$53,MATCH($AF48,$BD$6:$BD$53,0)))</f>
        <v>P.1 (4)</v>
      </c>
      <c r="V48" s="90"/>
      <c r="W48" s="141"/>
      <c r="X48" s="107">
        <v>46198.791666666657</v>
      </c>
      <c r="Y48" s="108">
        <v>46198.791666666657</v>
      </c>
      <c r="Z48" t="str" s="127" cm="1">
        <f t="array" ref="Z48">$Z$8</f>
        <v>J3</v>
      </c>
      <c r="AA48" t="str" s="110" cm="1">
        <f t="array" ref="AA48">A46</f>
        <v>Japón</v>
      </c>
      <c r="AB48" s="111"/>
      <c r="AC48" s="128">
        <v>1</v>
      </c>
      <c r="AD48" s="128">
        <v>1</v>
      </c>
      <c r="AE48" s="113"/>
      <c r="AF48" t="str" s="114" cm="1">
        <f t="array" ref="AF48">A47</f>
        <v>Suecia</v>
      </c>
      <c r="AG48" s="115" cm="1">
        <f t="array" ref="AG48">IF(NOT(OR(ISBLANK(AC48),ISBLANK(AD48))),1,0)</f>
        <v>1</v>
      </c>
      <c r="AH48" s="116">
        <v>57</v>
      </c>
      <c r="AI48" t="str" s="117" cm="1">
        <f t="array" ref="AI48">AJ48&amp;$B$44</f>
        <v>3F</v>
      </c>
      <c r="AJ48" s="155">
        <v>3</v>
      </c>
      <c r="AK48" s="225"/>
      <c r="AL48" t="str" s="157" cm="1">
        <f t="array" ref="AL48">_xlfn.IFERROR(INDEX($BD$6:$BD$53,MATCH(AI48,$BN$6:$BN$53,0)),"")</f>
        <v>Suecia</v>
      </c>
      <c r="AM48" s="158" cm="1">
        <f t="array" ref="AM48">INDEX($BE$6:$BN$53,MATCH($AL48,$BD$6:$BD$53,0),MATCH(AM$5,$BE$5:$BN$5,0))</f>
        <v>4</v>
      </c>
      <c r="AN48" s="159" cm="1">
        <f t="array" ref="AN48">INDEX($BE$6:$BN$53,MATCH($AL48,$BD$6:$BD$53,0),MATCH(AN$5,$BE$5:$BN$5,0))</f>
        <v>3</v>
      </c>
      <c r="AO48" s="159" cm="1">
        <f t="array" ref="AO48">INDEX($BE$6:$BN$53,MATCH($AL48,$BD$6:$BD$53,0),MATCH(AO$5,$BE$5:$BN$5,0))</f>
        <v>1</v>
      </c>
      <c r="AP48" s="159" cm="1">
        <f t="array" ref="AP48">INDEX($BE$6:$BN$53,MATCH($AL48,$BD$6:$BD$53,0),MATCH(AP$5,$BE$5:$BN$5,0))</f>
        <v>1</v>
      </c>
      <c r="AQ48" s="159" cm="1">
        <f t="array" ref="AQ48">INDEX($BE$6:$BN$53,MATCH($AL48,$BD$6:$BD$53,0),MATCH(AQ$5,$BE$5:$BN$5,0))</f>
        <v>1</v>
      </c>
      <c r="AR48" s="159" cm="1">
        <f t="array" ref="AR48">INDEX($BE$6:$BN$53,MATCH($AL48,$BD$6:$BD$53,0),MATCH(AR$5,$BE$5:$BN$5,0))</f>
        <v>4</v>
      </c>
      <c r="AS48" s="159" cm="1">
        <f t="array" ref="AS48">INDEX($BE$6:$BN$53,MATCH($AL48,$BD$6:$BD$53,0),MATCH(AS$5,$BE$5:$BN$5,0))</f>
        <v>3</v>
      </c>
      <c r="AT48" s="160" cm="1">
        <f t="array" ref="AT48">INDEX($BE$6:$BN$53,MATCH($AL48,$BD$6:$BD$53,0),MATCH(AT$5,$BE$5:$BN$5,0))</f>
        <v>1</v>
      </c>
      <c r="AU48" s="148" cm="1">
        <f t="array" ref="AU48">INDEX($DL$6:$DL$53,MATCH(AI48,$DP$6:$DP$53,0))</f>
        <v>4</v>
      </c>
      <c r="AV48" t="str" s="149" cm="1">
        <f t="array" ref="AV48">INDEX($BD$6:$BD$53,MATCH(AI48,$BM$6:$BM$53,0))</f>
        <v>Suecia</v>
      </c>
      <c r="AW48" s="150"/>
      <c r="AX48" s="151"/>
      <c r="AY48" t="str" s="152" cm="1">
        <f t="array" ref="AY48">A47</f>
        <v>Suecia</v>
      </c>
      <c r="AZ48" s="153"/>
      <c r="BA48" s="139"/>
      <c r="BB48" s="87"/>
      <c r="BC48" t="s" s="125">
        <v>385</v>
      </c>
      <c r="BD48" t="s" s="125">
        <v>398</v>
      </c>
      <c r="BE48" s="154" cm="1">
        <f t="array" ref="BE48">BG48*3+BH48+IF($AZ$3="No",0,INDEX($AZ$6:$AZ$97,MATCH(BD48,$AY$6:$AY$97,0)))</f>
        <v>1</v>
      </c>
      <c r="BF48" s="154" cm="1">
        <f t="array" ref="BF48">BG48+BH48+BI48</f>
        <v>3</v>
      </c>
      <c r="BG48" s="154" cm="1">
        <f t="array" ref="BG48">_xlfn.COUNTIFS($AA$4:$AA$97,BD48,$D$4:$D$97,"Local")+_xlfn.COUNTIFS($AF$4:$AF$97,BD48,$D$4:$D$97,"Visitante")</f>
        <v>0</v>
      </c>
      <c r="BH48" s="154" cm="1">
        <f t="array" ref="BH48">_xlfn.COUNTIFS($AA$4:$AA$97,BD48,$D$4:$D$97,"Empate")+_xlfn.COUNTIFS($AF$4:$AF$97,BD48,$D$4:$D$97,"Empate")</f>
        <v>1</v>
      </c>
      <c r="BI48" s="154" cm="1">
        <f t="array" ref="BI48">_xlfn.COUNTIFS($AF$4:$AF$97,BD48,$D$4:$D$97,"Local")+_xlfn.COUNTIFS($AA$4:$AA$97,BD48,$D$4:$D$97,"Visitante")</f>
        <v>2</v>
      </c>
      <c r="BJ48" s="154" cm="1">
        <f t="array" ref="BJ48">_xlfn.SUMIFS($AC$4:$AC$97,$AA$4:$AA$97,BD48,$D$4:$D$97,"&lt;&gt;"&amp;"Pendiente",$AC$4:$AC$97,"&lt;&gt;"&amp;"",$AD$4:$AD$97,"&lt;&gt;"&amp;"")+_xlfn.SUMIFS($AD$4:$AD$97,$AF$4:$AF$97,BD48,$D$4:$D$97,"&lt;&gt;"&amp;"Pendiente",$AC$4:$AC$97,"&lt;&gt;"&amp;"",$AD$4:$AD$97,"&lt;&gt;"&amp;"")</f>
        <v>1</v>
      </c>
      <c r="BK48" s="154" cm="1">
        <f t="array" ref="BK48">_xlfn.SUMIFS($AC$4:$AC$97,$AF$4:$AF$97,BD48,$D$4:$D$97,"&lt;&gt;"&amp;"Pendiente",$AC$4:$AC$97,"&lt;&gt;"&amp;"",$AD$4:$AD$97,"&lt;&gt;"&amp;"")+_xlfn.SUMIFS($AD$4:$AD$97,$AA$4:$AA$97,BD48,$D$4:$D$97,"&lt;&gt;"&amp;"Pendiente",$AC$4:$AC$97,"&lt;&gt;"&amp;"",$AD$4:$AD$97,"&lt;&gt;"&amp;"")</f>
        <v>3</v>
      </c>
      <c r="BL48" s="154" cm="1">
        <f t="array" ref="BL48">BJ48-BK48</f>
        <v>-2</v>
      </c>
      <c r="BM48" t="str" s="140" cm="1">
        <f t="array" ref="BM48">DD48&amp;BC48</f>
        <v>3K</v>
      </c>
      <c r="BN48" t="str" s="140" cm="1">
        <f t="array" ref="BN48">DH48&amp;BC48</f>
        <v>3K</v>
      </c>
      <c r="BO48" s="154" cm="1">
        <f t="array" ref="BO48">IF(AND($AJ$99=144,BF48&gt;=1),1,0)</f>
        <v>0</v>
      </c>
      <c r="BP48" s="154">
        <v>1</v>
      </c>
      <c r="BQ48" t="s" s="125">
        <v>135</v>
      </c>
      <c r="BR48" s="154" cm="1">
        <f t="array" ref="BR48">IF($BQ48="-","-",BE48)</f>
        <v>1</v>
      </c>
      <c r="BS48" s="154">
        <v>1</v>
      </c>
      <c r="BT48" t="s" s="125">
        <v>135</v>
      </c>
      <c r="BU48" s="154" cm="1">
        <f t="array" ref="BU48">IF($BT48="-","-",_xlfn.COUNTIFS($AA$4:$AA$97,$BD48,$D$4:$D$97,"Local",$F$4:$F$97,$BT48)+_xlfn.COUNTIFS($AF$4:$AF$97,$BD48,$D$4:$D$97,"Visitante",$E$4:$E$97,$BT48))</f>
        <v>0</v>
      </c>
      <c r="BV48" s="154" cm="1">
        <f t="array" ref="BV48">IF($BT48="-","-",_xlfn.COUNTIFS($AA$4:$AA$97,$BD48,$D$4:$D$97,"Empate",$F$4:$F$97,$BT48)+_xlfn.COUNTIFS($AF$4:$AF$97,$BD48,$D$4:$D$97,"Empate",$E$4:$E$97,$BT48))</f>
        <v>1</v>
      </c>
      <c r="BW48" s="154" cm="1">
        <f t="array" ref="BW48">IF($BT48="-","-",_xlfn.COUNTIFS($AA$4:$AA$97,$BD48,$D$4:$D$97,"Visitante",$F$4:$F$97,$BT48)+_xlfn.COUNTIFS($AF$4:$AF$97,$BD48,$D$4:$D$97,"Local",$E$4:$E$97,$BT48))</f>
        <v>2</v>
      </c>
      <c r="BX48" s="154" cm="1">
        <f t="array" ref="BX48">IF($BT48="-","-",BU48*3+BV48)</f>
        <v>1</v>
      </c>
      <c r="BY48" s="154">
        <v>1</v>
      </c>
      <c r="BZ48" t="s" s="125">
        <v>135</v>
      </c>
      <c r="CA48" s="154" cm="1">
        <f t="array" ref="CA48">IF($BZ48="-","-",_xlfn.SUMIFS($AC$4:$AC$97,$AA$4:$AA$97,$BD48,$I$4:$I$97,$BZ48)+_xlfn.SUMIFS($AD$4:$AD$97,$AF$4:$AF$97,$BD48,$H$4:$H$97,$BZ48))</f>
        <v>1</v>
      </c>
      <c r="CB48" s="154" cm="1">
        <f t="array" ref="CB48">IF($BZ48="-","-",_xlfn.SUMIFS($AD$4:$AD$97,$AA$4:$AA$97,$BD48,$I$4:$I$97,$BZ48)+_xlfn.SUMIFS($AC$4:$AC$97,$AF$4:$AF$97,$BD48,$H$4:$H$97,$BZ48))</f>
        <v>3</v>
      </c>
      <c r="CC48" s="154" cm="1">
        <f t="array" ref="CC48">IF($BZ48="-","-",CA48-CB48)</f>
        <v>-2</v>
      </c>
      <c r="CD48" s="154">
        <v>1</v>
      </c>
      <c r="CE48" t="s" s="125">
        <v>135</v>
      </c>
      <c r="CF48" s="154" cm="1">
        <f t="array" ref="CF48">IF($CE48="-","-",_xlfn.SUMIFS($AC$4:$AC$97,$AA$4:$AA$97,$BD48,$L$4:$L$97,$CE48)+_xlfn.SUMIFS($AD$4:$AD$97,$AF$4:$AF$97,$BD48,$K$4:$K$97,$CE48))</f>
        <v>1</v>
      </c>
      <c r="CG48" s="154">
        <v>1</v>
      </c>
      <c r="CH48" t="s" s="125">
        <v>135</v>
      </c>
      <c r="CI48" s="154" cm="1">
        <f t="array" ref="CI48">IF($CH48="-","-",_xlfn.COUNTIFS($AA$4:$AA$97,$BD48,$D$4:$D$97,"Local",$O$4:$O$97,$CH48)+_xlfn.COUNTIFS($AF$4:$AF$97,$BD48,$D$4:$D$97,"Visitante",$N$4:$N$97,$CH48))</f>
        <v>0</v>
      </c>
      <c r="CJ48" s="154" cm="1">
        <f t="array" ref="CJ48">IF($CH48="-","-",_xlfn.COUNTIFS($AA$4:$AA$97,$BD48,$D$4:$D$97,"Empate",$O$4:$O$97,$CH48)+_xlfn.COUNTIFS($AF$4:$AF$97,$BD48,$D$4:$D$97,"Empate",$N$4:$N$97,$CH48))</f>
        <v>1</v>
      </c>
      <c r="CK48" s="154" cm="1">
        <f t="array" ref="CK48">IF($CH48="-","-",_xlfn.COUNTIFS($AA$4:$AA$97,$BD48,$D$4:$D$97,"Visitante",$O$4:$O$97,$CH48)+_xlfn.COUNTIFS($AF$4:$AF$97,$BD48,$D$4:$D$97,"Local",$N$4:$N$97,$CH48))</f>
        <v>2</v>
      </c>
      <c r="CL48" s="154" cm="1">
        <f t="array" ref="CL48">IF($CH48="-","-",CI48*3+CJ48)</f>
        <v>1</v>
      </c>
      <c r="CM48" s="154">
        <v>1</v>
      </c>
      <c r="CN48" t="s" s="125">
        <v>135</v>
      </c>
      <c r="CO48" s="154" cm="1">
        <f t="array" ref="CO48">IF($CN48="-","-",_xlfn.SUMIFS($AC$4:$AC$97,$AA$4:$AA$97,$BD48,$R$4:$R$97,$CN48)+_xlfn.SUMIFS($AD$4:$AD$97,$AF$4:$AF$97,$BD48,$Q$4:$Q$97,$CN48))</f>
        <v>1</v>
      </c>
      <c r="CP48" s="154" cm="1">
        <f t="array" ref="CP48">IF($CN48="-","-",_xlfn.SUMIFS($AD$4:$AD$97,$AA$4:$AA$97,$BD48,$R$4:$R$97,$CN48)+_xlfn.SUMIFS($AC$4:$AC$97,$AF$4:$AF$97,$BD48,$Q$4:$Q$97,$CN48))</f>
        <v>3</v>
      </c>
      <c r="CQ48" s="154" cm="1">
        <f t="array" ref="CQ48">IF($CN48="-","-",CO48-CP48)</f>
        <v>-2</v>
      </c>
      <c r="CR48" s="154">
        <v>1</v>
      </c>
      <c r="CS48" t="s" s="125">
        <v>135</v>
      </c>
      <c r="CT48" s="154" cm="1">
        <f t="array" ref="CT48">IF($CS48="-","-",_xlfn.SUMIFS($AC$4:$AC$97,$AA$4:$AA$97,$BD48,$U$4:$U$97,$CS48)+_xlfn.SUMIFS($AD$4:$AD$97,$AF$4:$AF$97,$BD48,$T$4:$T$97,$CS48))</f>
        <v>1</v>
      </c>
      <c r="CU48" s="154">
        <v>1</v>
      </c>
      <c r="CV48" t="s" s="125">
        <v>135</v>
      </c>
      <c r="CW48" s="154" cm="1">
        <f t="array" ref="CW48">IF(CV48="-","-",BL48)</f>
        <v>-2</v>
      </c>
      <c r="CX48" s="154">
        <v>1</v>
      </c>
      <c r="CY48" t="s" s="125">
        <v>135</v>
      </c>
      <c r="CZ48" s="154" cm="1">
        <f t="array" ref="CZ48">IF(CY48="-","-",BJ48)</f>
        <v>1</v>
      </c>
      <c r="DA48" s="154">
        <v>1</v>
      </c>
      <c r="DB48" t="s" s="125">
        <v>135</v>
      </c>
      <c r="DC48" s="154">
        <v>3</v>
      </c>
      <c r="DD48" s="154">
        <v>3</v>
      </c>
      <c r="DE48" s="140"/>
      <c r="DF48" s="154" cm="1">
        <f t="array" ref="DF48">IF(OR(INDEX($AW$6:$AW$97,MATCH($BD48,$AV$6:$AV$97,0))="",DB48="-"),DD48,INDEX($AW$6:$AW$97,MATCH($BD48,$AV$6:$AV$97,0))+DD48/1000)</f>
        <v>3</v>
      </c>
      <c r="DG48" s="154">
        <v>2</v>
      </c>
      <c r="DH48" s="154">
        <v>3</v>
      </c>
      <c r="DI48" s="140"/>
      <c r="DJ48" s="154" cm="1">
        <f t="array" ref="DJ48">INDEX($DA$6:$DA$53,MATCH($DQ48,$BD$6:$BD$53,0))</f>
        <v>1</v>
      </c>
      <c r="DK48" s="154" cm="1">
        <f t="array" ref="DK48">SUMIF($BC$6:$BC$53,BC48,$BF$6:$BF$53)</f>
        <v>12</v>
      </c>
      <c r="DL48" s="154" cm="1">
        <f t="array" ref="DL48">IF(OR(DK48=12,$AJ$99=144),_xlfn.COUNTIFS($DJ$6:$DJ$53,DJ48,$BC$6:$BC$53,BC48),1)</f>
        <v>4</v>
      </c>
      <c r="DM48" t="str" s="140" cm="1">
        <f t="array" ref="DM48">DJ48&amp;"."&amp;DL48</f>
        <v>1.4</v>
      </c>
      <c r="DN48" s="154">
        <v>1</v>
      </c>
      <c r="DO48" s="140"/>
      <c r="DP48" t="s" s="125">
        <v>400</v>
      </c>
      <c r="DQ48" t="str" s="140" cm="1">
        <f t="array" ref="DQ48">INDEX($BD$6:$BD$53,MATCH(DP48,$BM$6:$BM$53,0))</f>
        <v>Uzbekistán</v>
      </c>
      <c r="DR48" s="87"/>
      <c r="DS48" s="87"/>
      <c r="DT48" s="88"/>
      <c r="DU48" s="12"/>
    </row>
    <row r="49" ht="16" customHeight="1">
      <c r="A49" s="78"/>
      <c r="B49" s="78"/>
      <c r="C49" s="78"/>
      <c r="D49" t="str" s="78" cm="1">
        <f t="array" ref="D49">IF(OR(AC49="",AD49=""),"Pendiente",IF(AC49&gt;AD49,"Local",IF(AC49&lt;AD49,"Visitante","Empate")))</f>
        <v>Visitante</v>
      </c>
      <c r="E49" t="str" s="78" cm="1">
        <f t="array" ref="E49">IF(D49="Pendiente","-",INDEX($BT$6:$BT$53,MATCH($AA49,$BD$6:$BD$53,0)))</f>
        <v>P.1 (4)</v>
      </c>
      <c r="F49" t="str" s="78" cm="1">
        <f t="array" ref="F49">IF(D49="Pendiente","-",INDEX($BT$6:$BT$53,MATCH($AF49,$BD$6:$BD$53,0)))</f>
        <v>P.1 (4)</v>
      </c>
      <c r="G49" s="78"/>
      <c r="H49" t="str" s="78" cm="1">
        <f t="array" ref="H49">IF(D49="Pendiente","-",INDEX($BZ$6:$BZ$53,MATCH($AA49,$BD$6:$BD$53,0)))</f>
        <v>P.1 (4)</v>
      </c>
      <c r="I49" t="str" s="78" cm="1">
        <f t="array" ref="I49">IF(D49="Pendiente","-",INDEX($BZ$6:$BZ$53,MATCH($AF49,$BD$6:$BD$53,0)))</f>
        <v>P.1 (4)</v>
      </c>
      <c r="J49" s="78"/>
      <c r="K49" t="str" s="78" cm="1">
        <f t="array" ref="K49">IF(D49="Pendiente","-",INDEX($CE$6:$CE$53,MATCH($AA49,$BD$6:$BD$53,0)))</f>
        <v>P.1 (4)</v>
      </c>
      <c r="L49" t="str" s="78" cm="1">
        <f t="array" ref="L49">IF(D49="Pendiente","-",INDEX($CE$6:$CE$53,MATCH($AF49,$BD$6:$BD$53,0)))</f>
        <v>P.1 (4)</v>
      </c>
      <c r="M49" s="78"/>
      <c r="N49" t="str" s="78" cm="1">
        <f t="array" ref="N49">IF(D49="Pendiente","-",INDEX($CH$6:$CH$53,MATCH($AA49,$BD$6:$BD$53,0)))</f>
        <v>P.1 (4)</v>
      </c>
      <c r="O49" t="str" s="78" cm="1">
        <f t="array" ref="O49">IF(D49="Pendiente","-",INDEX($CH$6:$CH$53,MATCH($AF49,$BD$6:$BD$53,0)))</f>
        <v>P.1 (4)</v>
      </c>
      <c r="P49" s="78"/>
      <c r="Q49" t="str" s="78" cm="1">
        <f t="array" ref="Q49">IF(D49="Pendiente","-",INDEX($CN$6:$CN$53,MATCH($AA49,$BD$6:$BD$53,0)))</f>
        <v>P.1 (4)</v>
      </c>
      <c r="R49" t="str" s="78" cm="1">
        <f t="array" ref="R49">IF(D49="Pendiente","-",INDEX($CN$6:$CN$53,MATCH($AF49,$BD$6:$BD$53,0)))</f>
        <v>P.1 (4)</v>
      </c>
      <c r="S49" s="78"/>
      <c r="T49" t="str" s="78" cm="1">
        <f t="array" ref="T49">IF(D49="Pendiente","-",INDEX($CS$6:$CS$53,MATCH($AA49,$BD$6:$BD$53,0)))</f>
        <v>P.1 (4)</v>
      </c>
      <c r="U49" t="str" s="78" cm="1">
        <f t="array" ref="U49">IF(D49="Pendiente","-",INDEX($CS$6:$CS$53,MATCH($AF49,$BD$6:$BD$53,0)))</f>
        <v>P.1 (4)</v>
      </c>
      <c r="V49" s="90"/>
      <c r="W49" s="163"/>
      <c r="X49" s="164">
        <v>46198.791666666657</v>
      </c>
      <c r="Y49" s="165">
        <v>46198.791666666657</v>
      </c>
      <c r="Z49" t="str" s="166" cm="1">
        <f t="array" ref="Z49">$Z$8</f>
        <v>J3</v>
      </c>
      <c r="AA49" t="str" s="167" cm="1">
        <f t="array" ref="AA49">A48</f>
        <v>Túnez</v>
      </c>
      <c r="AB49" s="168"/>
      <c r="AC49" s="169">
        <v>1</v>
      </c>
      <c r="AD49" s="169">
        <v>3</v>
      </c>
      <c r="AE49" s="170"/>
      <c r="AF49" t="str" s="171" cm="1">
        <f t="array" ref="AF49">A45</f>
        <v>Países Bajos</v>
      </c>
      <c r="AG49" s="115" cm="1">
        <f t="array" ref="AG49">IF(NOT(OR(ISBLANK(AC49),ISBLANK(AD49))),1,0)</f>
        <v>1</v>
      </c>
      <c r="AH49" s="116">
        <v>58</v>
      </c>
      <c r="AI49" t="str" s="117" cm="1">
        <f t="array" ref="AI49">AJ49&amp;$B$44</f>
        <v>4F</v>
      </c>
      <c r="AJ49" s="172">
        <v>4</v>
      </c>
      <c r="AK49" s="240"/>
      <c r="AL49" t="str" s="174" cm="1">
        <f t="array" ref="AL49">_xlfn.IFERROR(INDEX($BD$6:$BD$53,MATCH(AI49,$BN$6:$BN$53,0)),"")</f>
        <v>Túnez</v>
      </c>
      <c r="AM49" s="175" cm="1">
        <f t="array" ref="AM49">INDEX($BE$6:$BN$53,MATCH($AL49,$BD$6:$BD$53,0),MATCH(AM$5,$BE$5:$BN$5,0))</f>
        <v>0</v>
      </c>
      <c r="AN49" s="176" cm="1">
        <f t="array" ref="AN49">INDEX($BE$6:$BN$53,MATCH($AL49,$BD$6:$BD$53,0),MATCH(AN$5,$BE$5:$BN$5,0))</f>
        <v>3</v>
      </c>
      <c r="AO49" s="176" cm="1">
        <f t="array" ref="AO49">INDEX($BE$6:$BN$53,MATCH($AL49,$BD$6:$BD$53,0),MATCH(AO$5,$BE$5:$BN$5,0))</f>
        <v>0</v>
      </c>
      <c r="AP49" s="176" cm="1">
        <f t="array" ref="AP49">INDEX($BE$6:$BN$53,MATCH($AL49,$BD$6:$BD$53,0),MATCH(AP$5,$BE$5:$BN$5,0))</f>
        <v>0</v>
      </c>
      <c r="AQ49" s="176" cm="1">
        <f t="array" ref="AQ49">INDEX($BE$6:$BN$53,MATCH($AL49,$BD$6:$BD$53,0),MATCH(AQ$5,$BE$5:$BN$5,0))</f>
        <v>3</v>
      </c>
      <c r="AR49" s="176" cm="1">
        <f t="array" ref="AR49">INDEX($BE$6:$BN$53,MATCH($AL49,$BD$6:$BD$53,0),MATCH(AR$5,$BE$5:$BN$5,0))</f>
        <v>1</v>
      </c>
      <c r="AS49" s="176" cm="1">
        <f t="array" ref="AS49">INDEX($BE$6:$BN$53,MATCH($AL49,$BD$6:$BD$53,0),MATCH(AS$5,$BE$5:$BN$5,0))</f>
        <v>7</v>
      </c>
      <c r="AT49" s="177" cm="1">
        <f t="array" ref="AT49">INDEX($BE$6:$BN$53,MATCH($AL49,$BD$6:$BD$53,0),MATCH(AT$5,$BE$5:$BN$5,0))</f>
        <v>-6</v>
      </c>
      <c r="AU49" s="148" cm="1">
        <f t="array" ref="AU49">INDEX($DL$6:$DL$53,MATCH(AI49,$DP$6:$DP$53,0))</f>
        <v>4</v>
      </c>
      <c r="AV49" t="str" s="149" cm="1">
        <f t="array" ref="AV49">INDEX($BD$6:$BD$53,MATCH(AI49,$BM$6:$BM$53,0))</f>
        <v>Túnez</v>
      </c>
      <c r="AW49" s="150"/>
      <c r="AX49" s="151"/>
      <c r="AY49" t="str" s="178" cm="1">
        <f t="array" ref="AY49">A48</f>
        <v>Túnez</v>
      </c>
      <c r="AZ49" s="179"/>
      <c r="BA49" s="139"/>
      <c r="BB49" s="87"/>
      <c r="BC49" t="s" s="125">
        <v>385</v>
      </c>
      <c r="BD49" t="s" s="125">
        <v>404</v>
      </c>
      <c r="BE49" s="154" cm="1">
        <f t="array" ref="BE49">BG49*3+BH49+IF($AZ$3="No",0,INDEX($AZ$6:$AZ$97,MATCH(BD49,$AY$6:$AY$97,0)))</f>
        <v>6</v>
      </c>
      <c r="BF49" s="154" cm="1">
        <f t="array" ref="BF49">BG49+BH49+BI49</f>
        <v>3</v>
      </c>
      <c r="BG49" s="154" cm="1">
        <f t="array" ref="BG49">_xlfn.COUNTIFS($AA$4:$AA$97,BD49,$D$4:$D$97,"Local")+_xlfn.COUNTIFS($AF$4:$AF$97,BD49,$D$4:$D$97,"Visitante")</f>
        <v>2</v>
      </c>
      <c r="BH49" s="154" cm="1">
        <f t="array" ref="BH49">_xlfn.COUNTIFS($AA$4:$AA$97,BD49,$D$4:$D$97,"Empate")+_xlfn.COUNTIFS($AF$4:$AF$97,BD49,$D$4:$D$97,"Empate")</f>
        <v>0</v>
      </c>
      <c r="BI49" s="154" cm="1">
        <f t="array" ref="BI49">_xlfn.COUNTIFS($AF$4:$AF$97,BD49,$D$4:$D$97,"Local")+_xlfn.COUNTIFS($AA$4:$AA$97,BD49,$D$4:$D$97,"Visitante")</f>
        <v>1</v>
      </c>
      <c r="BJ49" s="154" cm="1">
        <f t="array" ref="BJ49">_xlfn.SUMIFS($AC$4:$AC$97,$AA$4:$AA$97,BD49,$D$4:$D$97,"&lt;&gt;"&amp;"Pendiente",$AC$4:$AC$97,"&lt;&gt;"&amp;"",$AD$4:$AD$97,"&lt;&gt;"&amp;"")+_xlfn.SUMIFS($AD$4:$AD$97,$AF$4:$AF$97,BD49,$D$4:$D$97,"&lt;&gt;"&amp;"Pendiente",$AC$4:$AC$97,"&lt;&gt;"&amp;"",$AD$4:$AD$97,"&lt;&gt;"&amp;"")</f>
        <v>4</v>
      </c>
      <c r="BK49" s="154" cm="1">
        <f t="array" ref="BK49">_xlfn.SUMIFS($AC$4:$AC$97,$AF$4:$AF$97,BD49,$D$4:$D$97,"&lt;&gt;"&amp;"Pendiente",$AC$4:$AC$97,"&lt;&gt;"&amp;"",$AD$4:$AD$97,"&lt;&gt;"&amp;"")+_xlfn.SUMIFS($AD$4:$AD$97,$AA$4:$AA$97,BD49,$D$4:$D$97,"&lt;&gt;"&amp;"Pendiente",$AC$4:$AC$97,"&lt;&gt;"&amp;"",$AD$4:$AD$97,"&lt;&gt;"&amp;"")</f>
        <v>2</v>
      </c>
      <c r="BL49" s="154" cm="1">
        <f t="array" ref="BL49">BJ49-BK49</f>
        <v>2</v>
      </c>
      <c r="BM49" t="str" s="140" cm="1">
        <f t="array" ref="BM49">DD49&amp;BC49</f>
        <v>4K</v>
      </c>
      <c r="BN49" t="str" s="140" cm="1">
        <f t="array" ref="BN49">DH49&amp;BC49</f>
        <v>4K</v>
      </c>
      <c r="BO49" s="154" cm="1">
        <f t="array" ref="BO49">IF(AND($AJ$99=144,BF49&gt;=1),1,0)</f>
        <v>0</v>
      </c>
      <c r="BP49" s="154">
        <v>1</v>
      </c>
      <c r="BQ49" t="s" s="125">
        <v>135</v>
      </c>
      <c r="BR49" s="154" cm="1">
        <f t="array" ref="BR49">IF($BQ49="-","-",BE49)</f>
        <v>6</v>
      </c>
      <c r="BS49" s="154">
        <v>1</v>
      </c>
      <c r="BT49" t="s" s="125">
        <v>135</v>
      </c>
      <c r="BU49" s="154" cm="1">
        <f t="array" ref="BU49">IF($BT49="-","-",_xlfn.COUNTIFS($AA$4:$AA$97,$BD49,$D$4:$D$97,"Local",$F$4:$F$97,$BT49)+_xlfn.COUNTIFS($AF$4:$AF$97,$BD49,$D$4:$D$97,"Visitante",$E$4:$E$97,$BT49))</f>
        <v>2</v>
      </c>
      <c r="BV49" s="154" cm="1">
        <f t="array" ref="BV49">IF($BT49="-","-",_xlfn.COUNTIFS($AA$4:$AA$97,$BD49,$D$4:$D$97,"Empate",$F$4:$F$97,$BT49)+_xlfn.COUNTIFS($AF$4:$AF$97,$BD49,$D$4:$D$97,"Empate",$E$4:$E$97,$BT49))</f>
        <v>0</v>
      </c>
      <c r="BW49" s="154" cm="1">
        <f t="array" ref="BW49">IF($BT49="-","-",_xlfn.COUNTIFS($AA$4:$AA$97,$BD49,$D$4:$D$97,"Visitante",$F$4:$F$97,$BT49)+_xlfn.COUNTIFS($AF$4:$AF$97,$BD49,$D$4:$D$97,"Local",$E$4:$E$97,$BT49))</f>
        <v>1</v>
      </c>
      <c r="BX49" s="154" cm="1">
        <f t="array" ref="BX49">IF($BT49="-","-",BU49*3+BV49)</f>
        <v>6</v>
      </c>
      <c r="BY49" s="154">
        <v>1</v>
      </c>
      <c r="BZ49" t="s" s="125">
        <v>135</v>
      </c>
      <c r="CA49" s="154" cm="1">
        <f t="array" ref="CA49">IF($BZ49="-","-",_xlfn.SUMIFS($AC$4:$AC$97,$AA$4:$AA$97,$BD49,$I$4:$I$97,$BZ49)+_xlfn.SUMIFS($AD$4:$AD$97,$AF$4:$AF$97,$BD49,$H$4:$H$97,$BZ49))</f>
        <v>4</v>
      </c>
      <c r="CB49" s="154" cm="1">
        <f t="array" ref="CB49">IF($BZ49="-","-",_xlfn.SUMIFS($AD$4:$AD$97,$AA$4:$AA$97,$BD49,$I$4:$I$97,$BZ49)+_xlfn.SUMIFS($AC$4:$AC$97,$AF$4:$AF$97,$BD49,$H$4:$H$97,$BZ49))</f>
        <v>2</v>
      </c>
      <c r="CC49" s="154" cm="1">
        <f t="array" ref="CC49">IF($BZ49="-","-",CA49-CB49)</f>
        <v>2</v>
      </c>
      <c r="CD49" s="154">
        <v>1</v>
      </c>
      <c r="CE49" t="s" s="125">
        <v>135</v>
      </c>
      <c r="CF49" s="154" cm="1">
        <f t="array" ref="CF49">IF($CE49="-","-",_xlfn.SUMIFS($AC$4:$AC$97,$AA$4:$AA$97,$BD49,$L$4:$L$97,$CE49)+_xlfn.SUMIFS($AD$4:$AD$97,$AF$4:$AF$97,$BD49,$K$4:$K$97,$CE49))</f>
        <v>4</v>
      </c>
      <c r="CG49" s="154">
        <v>1</v>
      </c>
      <c r="CH49" t="s" s="125">
        <v>135</v>
      </c>
      <c r="CI49" s="154" cm="1">
        <f t="array" ref="CI49">IF($CH49="-","-",_xlfn.COUNTIFS($AA$4:$AA$97,$BD49,$D$4:$D$97,"Local",$O$4:$O$97,$CH49)+_xlfn.COUNTIFS($AF$4:$AF$97,$BD49,$D$4:$D$97,"Visitante",$N$4:$N$97,$CH49))</f>
        <v>2</v>
      </c>
      <c r="CJ49" s="154" cm="1">
        <f t="array" ref="CJ49">IF($CH49="-","-",_xlfn.COUNTIFS($AA$4:$AA$97,$BD49,$D$4:$D$97,"Empate",$O$4:$O$97,$CH49)+_xlfn.COUNTIFS($AF$4:$AF$97,$BD49,$D$4:$D$97,"Empate",$N$4:$N$97,$CH49))</f>
        <v>0</v>
      </c>
      <c r="CK49" s="154" cm="1">
        <f t="array" ref="CK49">IF($CH49="-","-",_xlfn.COUNTIFS($AA$4:$AA$97,$BD49,$D$4:$D$97,"Visitante",$O$4:$O$97,$CH49)+_xlfn.COUNTIFS($AF$4:$AF$97,$BD49,$D$4:$D$97,"Local",$N$4:$N$97,$CH49))</f>
        <v>1</v>
      </c>
      <c r="CL49" s="154" cm="1">
        <f t="array" ref="CL49">IF($CH49="-","-",CI49*3+CJ49)</f>
        <v>6</v>
      </c>
      <c r="CM49" s="154">
        <v>1</v>
      </c>
      <c r="CN49" t="s" s="125">
        <v>135</v>
      </c>
      <c r="CO49" s="154" cm="1">
        <f t="array" ref="CO49">IF($CN49="-","-",_xlfn.SUMIFS($AC$4:$AC$97,$AA$4:$AA$97,$BD49,$R$4:$R$97,$CN49)+_xlfn.SUMIFS($AD$4:$AD$97,$AF$4:$AF$97,$BD49,$Q$4:$Q$97,$CN49))</f>
        <v>4</v>
      </c>
      <c r="CP49" s="154" cm="1">
        <f t="array" ref="CP49">IF($CN49="-","-",_xlfn.SUMIFS($AD$4:$AD$97,$AA$4:$AA$97,$BD49,$R$4:$R$97,$CN49)+_xlfn.SUMIFS($AC$4:$AC$97,$AF$4:$AF$97,$BD49,$Q$4:$Q$97,$CN49))</f>
        <v>2</v>
      </c>
      <c r="CQ49" s="154" cm="1">
        <f t="array" ref="CQ49">IF($CN49="-","-",CO49-CP49)</f>
        <v>2</v>
      </c>
      <c r="CR49" s="154">
        <v>1</v>
      </c>
      <c r="CS49" t="s" s="125">
        <v>135</v>
      </c>
      <c r="CT49" s="154" cm="1">
        <f t="array" ref="CT49">IF($CS49="-","-",_xlfn.SUMIFS($AC$4:$AC$97,$AA$4:$AA$97,$BD49,$U$4:$U$97,$CS49)+_xlfn.SUMIFS($AD$4:$AD$97,$AF$4:$AF$97,$BD49,$T$4:$T$97,$CS49))</f>
        <v>4</v>
      </c>
      <c r="CU49" s="154">
        <v>1</v>
      </c>
      <c r="CV49" t="s" s="125">
        <v>135</v>
      </c>
      <c r="CW49" s="154" cm="1">
        <f t="array" ref="CW49">IF(CV49="-","-",BL49)</f>
        <v>2</v>
      </c>
      <c r="CX49" s="154">
        <v>1</v>
      </c>
      <c r="CY49" t="s" s="125">
        <v>135</v>
      </c>
      <c r="CZ49" s="154" cm="1">
        <f t="array" ref="CZ49">IF(CY49="-","-",BJ49)</f>
        <v>4</v>
      </c>
      <c r="DA49" s="154">
        <v>1</v>
      </c>
      <c r="DB49" t="s" s="125">
        <v>135</v>
      </c>
      <c r="DC49" s="154">
        <v>4</v>
      </c>
      <c r="DD49" s="154">
        <v>4</v>
      </c>
      <c r="DE49" s="140"/>
      <c r="DF49" s="154" cm="1">
        <f t="array" ref="DF49">IF(OR(INDEX($AW$6:$AW$97,MATCH($BD49,$AV$6:$AV$97,0))="",DB49="-"),DD49,INDEX($AW$6:$AW$97,MATCH($BD49,$AV$6:$AV$97,0))+DD49/1000)</f>
        <v>4</v>
      </c>
      <c r="DG49" s="154">
        <v>3</v>
      </c>
      <c r="DH49" s="154">
        <v>4</v>
      </c>
      <c r="DI49" s="140"/>
      <c r="DJ49" s="154" cm="1">
        <f t="array" ref="DJ49">INDEX($DA$6:$DA$53,MATCH($DQ49,$BD$6:$BD$53,0))</f>
        <v>1</v>
      </c>
      <c r="DK49" s="154" cm="1">
        <f t="array" ref="DK49">SUMIF($BC$6:$BC$53,BC49,$BF$6:$BF$53)</f>
        <v>12</v>
      </c>
      <c r="DL49" s="154" cm="1">
        <f t="array" ref="DL49">IF(OR(DK49=12,$AJ$99=144),_xlfn.COUNTIFS($DJ$6:$DJ$53,DJ49,$BC$6:$BC$53,BC49),1)</f>
        <v>4</v>
      </c>
      <c r="DM49" t="str" s="140" cm="1">
        <f t="array" ref="DM49">DJ49&amp;"."&amp;DL49</f>
        <v>1.4</v>
      </c>
      <c r="DN49" s="154">
        <v>1</v>
      </c>
      <c r="DO49" s="140"/>
      <c r="DP49" t="s" s="125">
        <v>406</v>
      </c>
      <c r="DQ49" t="str" s="140" cm="1">
        <f t="array" ref="DQ49">INDEX($BD$6:$BD$53,MATCH(DP49,$BM$6:$BM$53,0))</f>
        <v>Colombia</v>
      </c>
      <c r="DR49" s="87"/>
      <c r="DS49" s="87"/>
      <c r="DT49" s="88"/>
      <c r="DU49" s="12"/>
    </row>
    <row r="50" ht="16" customHeight="1">
      <c r="A50" s="78"/>
      <c r="B50" s="78"/>
      <c r="C50" s="78"/>
      <c r="D50" s="78"/>
      <c r="E50" s="78"/>
      <c r="F50" s="78"/>
      <c r="G50" s="78"/>
      <c r="H50" s="78"/>
      <c r="I50" s="78"/>
      <c r="J50" s="78"/>
      <c r="K50" s="78"/>
      <c r="L50" s="78"/>
      <c r="M50" s="78"/>
      <c r="N50" s="78"/>
      <c r="O50" s="78"/>
      <c r="P50" s="78"/>
      <c r="Q50" s="78"/>
      <c r="R50" s="78"/>
      <c r="S50" s="78"/>
      <c r="T50" s="78"/>
      <c r="U50" s="78"/>
      <c r="V50" s="79"/>
      <c r="W50" s="180"/>
      <c r="X50" s="181"/>
      <c r="Y50" s="180"/>
      <c r="Z50" s="182"/>
      <c r="AA50" s="183"/>
      <c r="AB50" s="184"/>
      <c r="AC50" s="185"/>
      <c r="AD50" s="185"/>
      <c r="AE50" s="184"/>
      <c r="AF50" s="186"/>
      <c r="AG50" s="233"/>
      <c r="AH50" s="188"/>
      <c r="AI50" s="234"/>
      <c r="AJ50" s="189"/>
      <c r="AK50" s="190"/>
      <c r="AL50" s="191"/>
      <c r="AM50" s="192"/>
      <c r="AN50" s="189"/>
      <c r="AO50" s="189"/>
      <c r="AP50" s="189"/>
      <c r="AQ50" s="189"/>
      <c r="AR50" s="189"/>
      <c r="AS50" s="189"/>
      <c r="AT50" s="189"/>
      <c r="AU50" s="193"/>
      <c r="AV50" s="194"/>
      <c r="AW50" s="150"/>
      <c r="AX50" s="195"/>
      <c r="AY50" s="196"/>
      <c r="AZ50" s="197"/>
      <c r="BA50" s="8"/>
      <c r="BB50" s="87"/>
      <c r="BC50" t="s" s="125">
        <v>408</v>
      </c>
      <c r="BD50" t="s" s="125">
        <v>409</v>
      </c>
      <c r="BE50" s="154" cm="1">
        <f t="array" ref="BE50">BG50*3+BH50+IF($AZ$3="No",0,INDEX($AZ$6:$AZ$97,MATCH(BD50,$AY$6:$AY$97,0)))</f>
        <v>9</v>
      </c>
      <c r="BF50" s="154" cm="1">
        <f t="array" ref="BF50">BG50+BH50+BI50</f>
        <v>3</v>
      </c>
      <c r="BG50" s="154" cm="1">
        <f t="array" ref="BG50">_xlfn.COUNTIFS($AA$4:$AA$97,BD50,$D$4:$D$97,"Local")+_xlfn.COUNTIFS($AF$4:$AF$97,BD50,$D$4:$D$97,"Visitante")</f>
        <v>3</v>
      </c>
      <c r="BH50" s="154" cm="1">
        <f t="array" ref="BH50">_xlfn.COUNTIFS($AA$4:$AA$97,BD50,$D$4:$D$97,"Empate")+_xlfn.COUNTIFS($AF$4:$AF$97,BD50,$D$4:$D$97,"Empate")</f>
        <v>0</v>
      </c>
      <c r="BI50" s="154" cm="1">
        <f t="array" ref="BI50">_xlfn.COUNTIFS($AF$4:$AF$97,BD50,$D$4:$D$97,"Local")+_xlfn.COUNTIFS($AA$4:$AA$97,BD50,$D$4:$D$97,"Visitante")</f>
        <v>0</v>
      </c>
      <c r="BJ50" s="154" cm="1">
        <f t="array" ref="BJ50">_xlfn.SUMIFS($AC$4:$AC$97,$AA$4:$AA$97,BD50,$D$4:$D$97,"&lt;&gt;"&amp;"Pendiente",$AC$4:$AC$97,"&lt;&gt;"&amp;"",$AD$4:$AD$97,"&lt;&gt;"&amp;"")+_xlfn.SUMIFS($AD$4:$AD$97,$AF$4:$AF$97,BD50,$D$4:$D$97,"&lt;&gt;"&amp;"Pendiente",$AC$4:$AC$97,"&lt;&gt;"&amp;"",$AD$4:$AD$97,"&lt;&gt;"&amp;"")</f>
        <v>5</v>
      </c>
      <c r="BK50" s="154" cm="1">
        <f t="array" ref="BK50">_xlfn.SUMIFS($AC$4:$AC$97,$AF$4:$AF$97,BD50,$D$4:$D$97,"&lt;&gt;"&amp;"Pendiente",$AC$4:$AC$97,"&lt;&gt;"&amp;"",$AD$4:$AD$97,"&lt;&gt;"&amp;"")+_xlfn.SUMIFS($AD$4:$AD$97,$AA$4:$AA$97,BD50,$D$4:$D$97,"&lt;&gt;"&amp;"Pendiente",$AC$4:$AC$97,"&lt;&gt;"&amp;"",$AD$4:$AD$97,"&lt;&gt;"&amp;"")</f>
        <v>1</v>
      </c>
      <c r="BL50" s="154" cm="1">
        <f t="array" ref="BL50">BJ50-BK50</f>
        <v>4</v>
      </c>
      <c r="BM50" t="str" s="140" cm="1">
        <f t="array" ref="BM50">DD50&amp;BC50</f>
        <v>1L</v>
      </c>
      <c r="BN50" t="str" s="140" cm="1">
        <f t="array" ref="BN50">DH50&amp;BC50</f>
        <v>1L</v>
      </c>
      <c r="BO50" s="154" cm="1">
        <f t="array" ref="BO50">IF(AND($AJ$99=144,BF50&gt;=1),1,0)</f>
        <v>0</v>
      </c>
      <c r="BP50" s="154">
        <v>1</v>
      </c>
      <c r="BQ50" t="s" s="125">
        <v>135</v>
      </c>
      <c r="BR50" s="154" cm="1">
        <f t="array" ref="BR50">IF($BQ50="-","-",BE50)</f>
        <v>9</v>
      </c>
      <c r="BS50" s="154">
        <v>1</v>
      </c>
      <c r="BT50" t="s" s="125">
        <v>135</v>
      </c>
      <c r="BU50" s="154" cm="1">
        <f t="array" ref="BU50">IF($BT50="-","-",_xlfn.COUNTIFS($AA$4:$AA$97,$BD50,$D$4:$D$97,"Local",$F$4:$F$97,$BT50)+_xlfn.COUNTIFS($AF$4:$AF$97,$BD50,$D$4:$D$97,"Visitante",$E$4:$E$97,$BT50))</f>
        <v>3</v>
      </c>
      <c r="BV50" s="154" cm="1">
        <f t="array" ref="BV50">IF($BT50="-","-",_xlfn.COUNTIFS($AA$4:$AA$97,$BD50,$D$4:$D$97,"Empate",$F$4:$F$97,$BT50)+_xlfn.COUNTIFS($AF$4:$AF$97,$BD50,$D$4:$D$97,"Empate",$E$4:$E$97,$BT50))</f>
        <v>0</v>
      </c>
      <c r="BW50" s="154" cm="1">
        <f t="array" ref="BW50">IF($BT50="-","-",_xlfn.COUNTIFS($AA$4:$AA$97,$BD50,$D$4:$D$97,"Visitante",$F$4:$F$97,$BT50)+_xlfn.COUNTIFS($AF$4:$AF$97,$BD50,$D$4:$D$97,"Local",$E$4:$E$97,$BT50))</f>
        <v>0</v>
      </c>
      <c r="BX50" s="154" cm="1">
        <f t="array" ref="BX50">IF($BT50="-","-",BU50*3+BV50)</f>
        <v>9</v>
      </c>
      <c r="BY50" s="154">
        <v>1</v>
      </c>
      <c r="BZ50" t="s" s="125">
        <v>135</v>
      </c>
      <c r="CA50" s="154" cm="1">
        <f t="array" ref="CA50">IF($BZ50="-","-",_xlfn.SUMIFS($AC$4:$AC$97,$AA$4:$AA$97,$BD50,$I$4:$I$97,$BZ50)+_xlfn.SUMIFS($AD$4:$AD$97,$AF$4:$AF$97,$BD50,$H$4:$H$97,$BZ50))</f>
        <v>5</v>
      </c>
      <c r="CB50" s="154" cm="1">
        <f t="array" ref="CB50">IF($BZ50="-","-",_xlfn.SUMIFS($AD$4:$AD$97,$AA$4:$AA$97,$BD50,$I$4:$I$97,$BZ50)+_xlfn.SUMIFS($AC$4:$AC$97,$AF$4:$AF$97,$BD50,$H$4:$H$97,$BZ50))</f>
        <v>1</v>
      </c>
      <c r="CC50" s="154" cm="1">
        <f t="array" ref="CC50">IF($BZ50="-","-",CA50-CB50)</f>
        <v>4</v>
      </c>
      <c r="CD50" s="154">
        <v>1</v>
      </c>
      <c r="CE50" t="s" s="125">
        <v>135</v>
      </c>
      <c r="CF50" s="154" cm="1">
        <f t="array" ref="CF50">IF($CE50="-","-",_xlfn.SUMIFS($AC$4:$AC$97,$AA$4:$AA$97,$BD50,$L$4:$L$97,$CE50)+_xlfn.SUMIFS($AD$4:$AD$97,$AF$4:$AF$97,$BD50,$K$4:$K$97,$CE50))</f>
        <v>5</v>
      </c>
      <c r="CG50" s="154">
        <v>1</v>
      </c>
      <c r="CH50" t="s" s="125">
        <v>135</v>
      </c>
      <c r="CI50" s="154" cm="1">
        <f t="array" ref="CI50">IF($CH50="-","-",_xlfn.COUNTIFS($AA$4:$AA$97,$BD50,$D$4:$D$97,"Local",$O$4:$O$97,$CH50)+_xlfn.COUNTIFS($AF$4:$AF$97,$BD50,$D$4:$D$97,"Visitante",$N$4:$N$97,$CH50))</f>
        <v>3</v>
      </c>
      <c r="CJ50" s="154" cm="1">
        <f t="array" ref="CJ50">IF($CH50="-","-",_xlfn.COUNTIFS($AA$4:$AA$97,$BD50,$D$4:$D$97,"Empate",$O$4:$O$97,$CH50)+_xlfn.COUNTIFS($AF$4:$AF$97,$BD50,$D$4:$D$97,"Empate",$N$4:$N$97,$CH50))</f>
        <v>0</v>
      </c>
      <c r="CK50" s="154" cm="1">
        <f t="array" ref="CK50">IF($CH50="-","-",_xlfn.COUNTIFS($AA$4:$AA$97,$BD50,$D$4:$D$97,"Visitante",$O$4:$O$97,$CH50)+_xlfn.COUNTIFS($AF$4:$AF$97,$BD50,$D$4:$D$97,"Local",$N$4:$N$97,$CH50))</f>
        <v>0</v>
      </c>
      <c r="CL50" s="154" cm="1">
        <f t="array" ref="CL50">IF($CH50="-","-",CI50*3+CJ50)</f>
        <v>9</v>
      </c>
      <c r="CM50" s="154">
        <v>1</v>
      </c>
      <c r="CN50" t="s" s="125">
        <v>135</v>
      </c>
      <c r="CO50" s="154" cm="1">
        <f t="array" ref="CO50">IF($CN50="-","-",_xlfn.SUMIFS($AC$4:$AC$97,$AA$4:$AA$97,$BD50,$R$4:$R$97,$CN50)+_xlfn.SUMIFS($AD$4:$AD$97,$AF$4:$AF$97,$BD50,$Q$4:$Q$97,$CN50))</f>
        <v>5</v>
      </c>
      <c r="CP50" s="154" cm="1">
        <f t="array" ref="CP50">IF($CN50="-","-",_xlfn.SUMIFS($AD$4:$AD$97,$AA$4:$AA$97,$BD50,$R$4:$R$97,$CN50)+_xlfn.SUMIFS($AC$4:$AC$97,$AF$4:$AF$97,$BD50,$Q$4:$Q$97,$CN50))</f>
        <v>1</v>
      </c>
      <c r="CQ50" s="154" cm="1">
        <f t="array" ref="CQ50">IF($CN50="-","-",CO50-CP50)</f>
        <v>4</v>
      </c>
      <c r="CR50" s="154">
        <v>1</v>
      </c>
      <c r="CS50" t="s" s="125">
        <v>135</v>
      </c>
      <c r="CT50" s="154" cm="1">
        <f t="array" ref="CT50">IF($CS50="-","-",_xlfn.SUMIFS($AC$4:$AC$97,$AA$4:$AA$97,$BD50,$U$4:$U$97,$CS50)+_xlfn.SUMIFS($AD$4:$AD$97,$AF$4:$AF$97,$BD50,$T$4:$T$97,$CS50))</f>
        <v>5</v>
      </c>
      <c r="CU50" s="154">
        <v>1</v>
      </c>
      <c r="CV50" t="s" s="125">
        <v>135</v>
      </c>
      <c r="CW50" s="154" cm="1">
        <f t="array" ref="CW50">IF(CV50="-","-",BL50)</f>
        <v>4</v>
      </c>
      <c r="CX50" s="154">
        <v>1</v>
      </c>
      <c r="CY50" t="s" s="125">
        <v>135</v>
      </c>
      <c r="CZ50" s="154" cm="1">
        <f t="array" ref="CZ50">IF(CY50="-","-",BJ50)</f>
        <v>5</v>
      </c>
      <c r="DA50" s="154">
        <v>1</v>
      </c>
      <c r="DB50" t="s" s="125">
        <v>135</v>
      </c>
      <c r="DC50" s="154">
        <v>1</v>
      </c>
      <c r="DD50" s="154">
        <v>1</v>
      </c>
      <c r="DE50" s="140"/>
      <c r="DF50" s="154" cm="1">
        <f t="array" ref="DF50">IF(OR(INDEX($AW$6:$AW$97,MATCH($BD50,$AV$6:$AV$97,0))="",DB50="-"),DD50,INDEX($AW$6:$AW$97,MATCH($BD50,$AV$6:$AV$97,0))+DD50/1000)</f>
        <v>1</v>
      </c>
      <c r="DG50" s="154">
        <v>0</v>
      </c>
      <c r="DH50" s="154">
        <v>1</v>
      </c>
      <c r="DI50" s="140"/>
      <c r="DJ50" s="154" cm="1">
        <f t="array" ref="DJ50">INDEX($DA$6:$DA$53,MATCH($DQ50,$BD$6:$BD$53,0))</f>
        <v>1</v>
      </c>
      <c r="DK50" s="154" cm="1">
        <f t="array" ref="DK50">SUMIF($BC$6:$BC$53,BC50,$BF$6:$BF$53)</f>
        <v>12</v>
      </c>
      <c r="DL50" s="154" cm="1">
        <f t="array" ref="DL50">IF(OR(DK50=12,$AJ$99=144),_xlfn.COUNTIFS($DJ$6:$DJ$53,DJ50,$BC$6:$BC$53,BC50),1)</f>
        <v>4</v>
      </c>
      <c r="DM50" t="str" s="140" cm="1">
        <f t="array" ref="DM50">DJ50&amp;"."&amp;DL50</f>
        <v>1.4</v>
      </c>
      <c r="DN50" s="154">
        <v>1</v>
      </c>
      <c r="DO50" s="140"/>
      <c r="DP50" t="s" s="125">
        <v>411</v>
      </c>
      <c r="DQ50" t="str" s="140" cm="1">
        <f t="array" ref="DQ50">INDEX($BD$6:$BD$53,MATCH(DP50,$BM$6:$BM$53,0))</f>
        <v>Inglaterra</v>
      </c>
      <c r="DR50" s="87"/>
      <c r="DS50" s="87"/>
      <c r="DT50" s="88"/>
      <c r="DU50" s="12"/>
    </row>
    <row r="51" ht="16" customHeight="1">
      <c r="A51" s="78"/>
      <c r="B51" s="78"/>
      <c r="C51" s="78"/>
      <c r="D51" s="78"/>
      <c r="E51" s="78"/>
      <c r="F51" s="78"/>
      <c r="G51" s="78"/>
      <c r="H51" s="78"/>
      <c r="I51" s="78"/>
      <c r="J51" s="78"/>
      <c r="K51" s="78"/>
      <c r="L51" s="78"/>
      <c r="M51" s="78"/>
      <c r="N51" s="78"/>
      <c r="O51" s="78"/>
      <c r="P51" s="78"/>
      <c r="Q51" s="78"/>
      <c r="R51" s="78"/>
      <c r="S51" s="78"/>
      <c r="T51" s="78"/>
      <c r="U51" s="78"/>
      <c r="V51" s="90"/>
      <c r="W51" s="91"/>
      <c r="X51" t="str" s="198" cm="1">
        <f t="array" ref="X51">X3</f>
        <v>Fecha</v>
      </c>
      <c r="Y51" t="str" s="198" cm="1">
        <f t="array" ref="Y51">Y3</f>
        <v>Hora</v>
      </c>
      <c r="Z51" t="str" s="119" cm="1">
        <f t="array" ref="Z51">Z3</f>
        <v>Jor.</v>
      </c>
      <c r="AA51" t="str" s="199" cm="1">
        <f t="array" ref="AA51">AA3</f>
        <v>Casa</v>
      </c>
      <c r="AB51" s="95"/>
      <c r="AC51" t="str" s="119" cm="1">
        <f t="array" ref="AC51">AC3</f>
        <v>Gol</v>
      </c>
      <c r="AD51" t="str" s="119" cm="1">
        <f t="array" ref="AD51">AD3</f>
        <v>Gol</v>
      </c>
      <c r="AE51" s="95"/>
      <c r="AF51" t="str" s="200" cm="1">
        <f t="array" ref="AF51">AF3</f>
        <v>Fuera</v>
      </c>
      <c r="AG51" s="201"/>
      <c r="AH51" s="188"/>
      <c r="AI51" s="83"/>
      <c r="AJ51" s="100"/>
      <c r="AK51" s="202"/>
      <c r="AL51" s="100"/>
      <c r="AM51" s="100"/>
      <c r="AN51" s="100"/>
      <c r="AO51" s="100"/>
      <c r="AP51" s="100"/>
      <c r="AQ51" s="100"/>
      <c r="AR51" s="100"/>
      <c r="AS51" s="100"/>
      <c r="AT51" s="100"/>
      <c r="AU51" s="203"/>
      <c r="AV51" s="84"/>
      <c r="AW51" s="204"/>
      <c r="AX51" s="205"/>
      <c r="AY51" s="206"/>
      <c r="AZ51" s="207"/>
      <c r="BA51" s="8"/>
      <c r="BB51" s="87"/>
      <c r="BC51" t="s" s="125">
        <v>408</v>
      </c>
      <c r="BD51" t="s" s="125">
        <v>413</v>
      </c>
      <c r="BE51" s="154" cm="1">
        <f t="array" ref="BE51">BG51*3+BH51+IF($AZ$3="No",0,INDEX($AZ$6:$AZ$97,MATCH(BD51,$AY$6:$AY$97,0)))</f>
        <v>6</v>
      </c>
      <c r="BF51" s="154" cm="1">
        <f t="array" ref="BF51">BG51+BH51+BI51</f>
        <v>3</v>
      </c>
      <c r="BG51" s="154" cm="1">
        <f t="array" ref="BG51">_xlfn.COUNTIFS($AA$4:$AA$97,BD51,$D$4:$D$97,"Local")+_xlfn.COUNTIFS($AF$4:$AF$97,BD51,$D$4:$D$97,"Visitante")</f>
        <v>2</v>
      </c>
      <c r="BH51" s="154" cm="1">
        <f t="array" ref="BH51">_xlfn.COUNTIFS($AA$4:$AA$97,BD51,$D$4:$D$97,"Empate")+_xlfn.COUNTIFS($AF$4:$AF$97,BD51,$D$4:$D$97,"Empate")</f>
        <v>0</v>
      </c>
      <c r="BI51" s="154" cm="1">
        <f t="array" ref="BI51">_xlfn.COUNTIFS($AF$4:$AF$97,BD51,$D$4:$D$97,"Local")+_xlfn.COUNTIFS($AA$4:$AA$97,BD51,$D$4:$D$97,"Visitante")</f>
        <v>1</v>
      </c>
      <c r="BJ51" s="154" cm="1">
        <f t="array" ref="BJ51">_xlfn.SUMIFS($AC$4:$AC$97,$AA$4:$AA$97,BD51,$D$4:$D$97,"&lt;&gt;"&amp;"Pendiente",$AC$4:$AC$97,"&lt;&gt;"&amp;"",$AD$4:$AD$97,"&lt;&gt;"&amp;"")+_xlfn.SUMIFS($AD$4:$AD$97,$AF$4:$AF$97,BD51,$D$4:$D$97,"&lt;&gt;"&amp;"Pendiente",$AC$4:$AC$97,"&lt;&gt;"&amp;"",$AD$4:$AD$97,"&lt;&gt;"&amp;"")</f>
        <v>5</v>
      </c>
      <c r="BK51" s="154" cm="1">
        <f t="array" ref="BK51">_xlfn.SUMIFS($AC$4:$AC$97,$AF$4:$AF$97,BD51,$D$4:$D$97,"&lt;&gt;"&amp;"Pendiente",$AC$4:$AC$97,"&lt;&gt;"&amp;"",$AD$4:$AD$97,"&lt;&gt;"&amp;"")+_xlfn.SUMIFS($AD$4:$AD$97,$AA$4:$AA$97,BD51,$D$4:$D$97,"&lt;&gt;"&amp;"Pendiente",$AC$4:$AC$97,"&lt;&gt;"&amp;"",$AD$4:$AD$97,"&lt;&gt;"&amp;"")</f>
        <v>3</v>
      </c>
      <c r="BL51" s="154" cm="1">
        <f t="array" ref="BL51">BJ51-BK51</f>
        <v>2</v>
      </c>
      <c r="BM51" t="str" s="140" cm="1">
        <f t="array" ref="BM51">DD51&amp;BC51</f>
        <v>2L</v>
      </c>
      <c r="BN51" t="str" s="140" cm="1">
        <f t="array" ref="BN51">DH51&amp;BC51</f>
        <v>2L</v>
      </c>
      <c r="BO51" s="154" cm="1">
        <f t="array" ref="BO51">IF(AND($AJ$99=144,BF51&gt;=1),1,0)</f>
        <v>0</v>
      </c>
      <c r="BP51" s="154">
        <v>1</v>
      </c>
      <c r="BQ51" t="s" s="125">
        <v>135</v>
      </c>
      <c r="BR51" s="154" cm="1">
        <f t="array" ref="BR51">IF($BQ51="-","-",BE51)</f>
        <v>6</v>
      </c>
      <c r="BS51" s="154">
        <v>1</v>
      </c>
      <c r="BT51" t="s" s="125">
        <v>135</v>
      </c>
      <c r="BU51" s="154" cm="1">
        <f t="array" ref="BU51">IF($BT51="-","-",_xlfn.COUNTIFS($AA$4:$AA$97,$BD51,$D$4:$D$97,"Local",$F$4:$F$97,$BT51)+_xlfn.COUNTIFS($AF$4:$AF$97,$BD51,$D$4:$D$97,"Visitante",$E$4:$E$97,$BT51))</f>
        <v>2</v>
      </c>
      <c r="BV51" s="154" cm="1">
        <f t="array" ref="BV51">IF($BT51="-","-",_xlfn.COUNTIFS($AA$4:$AA$97,$BD51,$D$4:$D$97,"Empate",$F$4:$F$97,$BT51)+_xlfn.COUNTIFS($AF$4:$AF$97,$BD51,$D$4:$D$97,"Empate",$E$4:$E$97,$BT51))</f>
        <v>0</v>
      </c>
      <c r="BW51" s="154" cm="1">
        <f t="array" ref="BW51">IF($BT51="-","-",_xlfn.COUNTIFS($AA$4:$AA$97,$BD51,$D$4:$D$97,"Visitante",$F$4:$F$97,$BT51)+_xlfn.COUNTIFS($AF$4:$AF$97,$BD51,$D$4:$D$97,"Local",$E$4:$E$97,$BT51))</f>
        <v>1</v>
      </c>
      <c r="BX51" s="154" cm="1">
        <f t="array" ref="BX51">IF($BT51="-","-",BU51*3+BV51)</f>
        <v>6</v>
      </c>
      <c r="BY51" s="154">
        <v>1</v>
      </c>
      <c r="BZ51" t="s" s="125">
        <v>135</v>
      </c>
      <c r="CA51" s="154" cm="1">
        <f t="array" ref="CA51">IF($BZ51="-","-",_xlfn.SUMIFS($AC$4:$AC$97,$AA$4:$AA$97,$BD51,$I$4:$I$97,$BZ51)+_xlfn.SUMIFS($AD$4:$AD$97,$AF$4:$AF$97,$BD51,$H$4:$H$97,$BZ51))</f>
        <v>5</v>
      </c>
      <c r="CB51" s="154" cm="1">
        <f t="array" ref="CB51">IF($BZ51="-","-",_xlfn.SUMIFS($AD$4:$AD$97,$AA$4:$AA$97,$BD51,$I$4:$I$97,$BZ51)+_xlfn.SUMIFS($AC$4:$AC$97,$AF$4:$AF$97,$BD51,$H$4:$H$97,$BZ51))</f>
        <v>3</v>
      </c>
      <c r="CC51" s="154" cm="1">
        <f t="array" ref="CC51">IF($BZ51="-","-",CA51-CB51)</f>
        <v>2</v>
      </c>
      <c r="CD51" s="154">
        <v>1</v>
      </c>
      <c r="CE51" t="s" s="125">
        <v>135</v>
      </c>
      <c r="CF51" s="154" cm="1">
        <f t="array" ref="CF51">IF($CE51="-","-",_xlfn.SUMIFS($AC$4:$AC$97,$AA$4:$AA$97,$BD51,$L$4:$L$97,$CE51)+_xlfn.SUMIFS($AD$4:$AD$97,$AF$4:$AF$97,$BD51,$K$4:$K$97,$CE51))</f>
        <v>5</v>
      </c>
      <c r="CG51" s="154">
        <v>1</v>
      </c>
      <c r="CH51" t="s" s="125">
        <v>135</v>
      </c>
      <c r="CI51" s="154" cm="1">
        <f t="array" ref="CI51">IF($CH51="-","-",_xlfn.COUNTIFS($AA$4:$AA$97,$BD51,$D$4:$D$97,"Local",$O$4:$O$97,$CH51)+_xlfn.COUNTIFS($AF$4:$AF$97,$BD51,$D$4:$D$97,"Visitante",$N$4:$N$97,$CH51))</f>
        <v>2</v>
      </c>
      <c r="CJ51" s="154" cm="1">
        <f t="array" ref="CJ51">IF($CH51="-","-",_xlfn.COUNTIFS($AA$4:$AA$97,$BD51,$D$4:$D$97,"Empate",$O$4:$O$97,$CH51)+_xlfn.COUNTIFS($AF$4:$AF$97,$BD51,$D$4:$D$97,"Empate",$N$4:$N$97,$CH51))</f>
        <v>0</v>
      </c>
      <c r="CK51" s="154" cm="1">
        <f t="array" ref="CK51">IF($CH51="-","-",_xlfn.COUNTIFS($AA$4:$AA$97,$BD51,$D$4:$D$97,"Visitante",$O$4:$O$97,$CH51)+_xlfn.COUNTIFS($AF$4:$AF$97,$BD51,$D$4:$D$97,"Local",$N$4:$N$97,$CH51))</f>
        <v>1</v>
      </c>
      <c r="CL51" s="154" cm="1">
        <f t="array" ref="CL51">IF($CH51="-","-",CI51*3+CJ51)</f>
        <v>6</v>
      </c>
      <c r="CM51" s="154">
        <v>1</v>
      </c>
      <c r="CN51" t="s" s="125">
        <v>135</v>
      </c>
      <c r="CO51" s="154" cm="1">
        <f t="array" ref="CO51">IF($CN51="-","-",_xlfn.SUMIFS($AC$4:$AC$97,$AA$4:$AA$97,$BD51,$R$4:$R$97,$CN51)+_xlfn.SUMIFS($AD$4:$AD$97,$AF$4:$AF$97,$BD51,$Q$4:$Q$97,$CN51))</f>
        <v>5</v>
      </c>
      <c r="CP51" s="154" cm="1">
        <f t="array" ref="CP51">IF($CN51="-","-",_xlfn.SUMIFS($AD$4:$AD$97,$AA$4:$AA$97,$BD51,$R$4:$R$97,$CN51)+_xlfn.SUMIFS($AC$4:$AC$97,$AF$4:$AF$97,$BD51,$Q$4:$Q$97,$CN51))</f>
        <v>3</v>
      </c>
      <c r="CQ51" s="154" cm="1">
        <f t="array" ref="CQ51">IF($CN51="-","-",CO51-CP51)</f>
        <v>2</v>
      </c>
      <c r="CR51" s="154">
        <v>1</v>
      </c>
      <c r="CS51" t="s" s="125">
        <v>135</v>
      </c>
      <c r="CT51" s="154" cm="1">
        <f t="array" ref="CT51">IF($CS51="-","-",_xlfn.SUMIFS($AC$4:$AC$97,$AA$4:$AA$97,$BD51,$U$4:$U$97,$CS51)+_xlfn.SUMIFS($AD$4:$AD$97,$AF$4:$AF$97,$BD51,$T$4:$T$97,$CS51))</f>
        <v>5</v>
      </c>
      <c r="CU51" s="154">
        <v>1</v>
      </c>
      <c r="CV51" t="s" s="125">
        <v>135</v>
      </c>
      <c r="CW51" s="154" cm="1">
        <f t="array" ref="CW51">IF(CV51="-","-",BL51)</f>
        <v>2</v>
      </c>
      <c r="CX51" s="154">
        <v>1</v>
      </c>
      <c r="CY51" t="s" s="125">
        <v>135</v>
      </c>
      <c r="CZ51" s="154" cm="1">
        <f t="array" ref="CZ51">IF(CY51="-","-",BJ51)</f>
        <v>5</v>
      </c>
      <c r="DA51" s="154">
        <v>1</v>
      </c>
      <c r="DB51" t="s" s="125">
        <v>135</v>
      </c>
      <c r="DC51" s="154">
        <v>2</v>
      </c>
      <c r="DD51" s="154">
        <v>2</v>
      </c>
      <c r="DE51" s="140"/>
      <c r="DF51" s="154" cm="1">
        <f t="array" ref="DF51">IF(OR(INDEX($AW$6:$AW$97,MATCH($BD51,$AV$6:$AV$97,0))="",DB51="-"),DD51,INDEX($AW$6:$AW$97,MATCH($BD51,$AV$6:$AV$97,0))+DD51/1000)</f>
        <v>2</v>
      </c>
      <c r="DG51" s="154">
        <v>1</v>
      </c>
      <c r="DH51" s="154">
        <v>2</v>
      </c>
      <c r="DI51" s="140"/>
      <c r="DJ51" s="154" cm="1">
        <f t="array" ref="DJ51">INDEX($DA$6:$DA$53,MATCH($DQ51,$BD$6:$BD$53,0))</f>
        <v>1</v>
      </c>
      <c r="DK51" s="154" cm="1">
        <f t="array" ref="DK51">SUMIF($BC$6:$BC$53,BC51,$BF$6:$BF$53)</f>
        <v>12</v>
      </c>
      <c r="DL51" s="154" cm="1">
        <f t="array" ref="DL51">IF(OR(DK51=12,$AJ$99=144),_xlfn.COUNTIFS($DJ$6:$DJ$53,DJ51,$BC$6:$BC$53,BC51),1)</f>
        <v>4</v>
      </c>
      <c r="DM51" t="str" s="140" cm="1">
        <f t="array" ref="DM51">DJ51&amp;"."&amp;DL51</f>
        <v>1.4</v>
      </c>
      <c r="DN51" s="154">
        <v>1</v>
      </c>
      <c r="DO51" s="140"/>
      <c r="DP51" t="s" s="125">
        <v>415</v>
      </c>
      <c r="DQ51" t="str" s="140" cm="1">
        <f t="array" ref="DQ51">INDEX($BD$6:$BD$53,MATCH(DP51,$BM$6:$BM$53,0))</f>
        <v>Croacia</v>
      </c>
      <c r="DR51" s="87"/>
      <c r="DS51" s="87"/>
      <c r="DT51" s="88"/>
      <c r="DU51" s="12"/>
    </row>
    <row r="52" ht="16" customHeight="1">
      <c r="A52" t="s" s="89">
        <v>45</v>
      </c>
      <c r="B52" t="s" s="89">
        <v>63</v>
      </c>
      <c r="C52" s="105">
        <v>4</v>
      </c>
      <c r="D52" t="str" s="78" cm="1">
        <f t="array" ref="D52">IF(OR(AC52="",AD52=""),"Pendiente",IF(AC52&gt;AD52,"Local",IF(AC52&lt;AD52,"Visitante","Empate")))</f>
        <v>Local</v>
      </c>
      <c r="E52" t="str" s="78" cm="1">
        <f t="array" ref="E52">IF(D52="Pendiente","-",INDEX($BT$6:$BT$53,MATCH($AA52,$BD$6:$BD$53,0)))</f>
        <v>P.1 (4)</v>
      </c>
      <c r="F52" t="str" s="78" cm="1">
        <f t="array" ref="F52">IF(D52="Pendiente","-",INDEX($BT$6:$BT$53,MATCH($AF52,$BD$6:$BD$53,0)))</f>
        <v>P.1 (4)</v>
      </c>
      <c r="G52" s="78"/>
      <c r="H52" t="str" s="78" cm="1">
        <f t="array" ref="H52">IF(D52="Pendiente","-",INDEX($BZ$6:$BZ$53,MATCH($AA52,$BD$6:$BD$53,0)))</f>
        <v>P.1 (4)</v>
      </c>
      <c r="I52" t="str" s="78" cm="1">
        <f t="array" ref="I52">IF(D52="Pendiente","-",INDEX($BZ$6:$BZ$53,MATCH($AF52,$BD$6:$BD$53,0)))</f>
        <v>P.1 (4)</v>
      </c>
      <c r="J52" s="78"/>
      <c r="K52" t="str" s="78" cm="1">
        <f t="array" ref="K52">IF(D52="Pendiente","-",INDEX($CE$6:$CE$53,MATCH($AA52,$BD$6:$BD$53,0)))</f>
        <v>P.1 (4)</v>
      </c>
      <c r="L52" t="str" s="78" cm="1">
        <f t="array" ref="L52">IF(D52="Pendiente","-",INDEX($CE$6:$CE$53,MATCH($AF52,$BD$6:$BD$53,0)))</f>
        <v>P.1 (4)</v>
      </c>
      <c r="M52" s="78"/>
      <c r="N52" t="str" s="78" cm="1">
        <f t="array" ref="N52">IF(D52="Pendiente","-",INDEX($CH$6:$CH$53,MATCH($AA52,$BD$6:$BD$53,0)))</f>
        <v>P.1 (4)</v>
      </c>
      <c r="O52" t="str" s="78" cm="1">
        <f t="array" ref="O52">IF(D52="Pendiente","-",INDEX($CH$6:$CH$53,MATCH($AF52,$BD$6:$BD$53,0)))</f>
        <v>P.1 (4)</v>
      </c>
      <c r="P52" s="78"/>
      <c r="Q52" t="str" s="78" cm="1">
        <f t="array" ref="Q52">IF(D52="Pendiente","-",INDEX($CN$6:$CN$53,MATCH($AA52,$BD$6:$BD$53,0)))</f>
        <v>P.1 (4)</v>
      </c>
      <c r="R52" t="str" s="78" cm="1">
        <f t="array" ref="R52">IF(D52="Pendiente","-",INDEX($CN$6:$CN$53,MATCH($AF52,$BD$6:$BD$53,0)))</f>
        <v>P.1 (4)</v>
      </c>
      <c r="S52" s="78"/>
      <c r="T52" t="str" s="78" cm="1">
        <f t="array" ref="T52">IF(D52="Pendiente","-",INDEX($CS$6:$CS$53,MATCH($AA52,$BD$6:$BD$53,0)))</f>
        <v>P.1 (4)</v>
      </c>
      <c r="U52" t="str" s="78" cm="1">
        <f t="array" ref="U52">IF(D52="Pendiente","-",INDEX($CS$6:$CS$53,MATCH($AF52,$BD$6:$BD$53,0)))</f>
        <v>P.1 (4)</v>
      </c>
      <c r="V52" s="90"/>
      <c r="W52" t="s" s="244">
        <v>63</v>
      </c>
      <c r="X52" s="107">
        <v>46188.625</v>
      </c>
      <c r="Y52" s="108">
        <v>46188.625</v>
      </c>
      <c r="Z52" t="str" s="127" cm="1">
        <f t="array" ref="Z52">$Z$4</f>
        <v>J1</v>
      </c>
      <c r="AA52" t="str" s="110" cm="1">
        <f t="array" ref="AA52">A53</f>
        <v>Bélgica</v>
      </c>
      <c r="AB52" s="111"/>
      <c r="AC52" s="112">
        <v>1</v>
      </c>
      <c r="AD52" s="112">
        <v>0</v>
      </c>
      <c r="AE52" s="113"/>
      <c r="AF52" t="str" s="114" cm="1">
        <f t="array" ref="AF52">A54</f>
        <v>Egipto</v>
      </c>
      <c r="AG52" s="115" cm="1">
        <f t="array" ref="AG52">IF(NOT(OR(ISBLANK(AC52),ISBLANK(AD52))),1,0)</f>
        <v>1</v>
      </c>
      <c r="AH52" s="116">
        <v>16</v>
      </c>
      <c r="AI52" s="117"/>
      <c r="AJ52" t="str" s="118" cm="1">
        <f t="array" ref="AJ52">CONCATENATE($AJ$3," ",B52)</f>
        <v>Grupo G</v>
      </c>
      <c r="AK52" s="119"/>
      <c r="AL52" s="119"/>
      <c r="AM52" s="119"/>
      <c r="AN52" s="119"/>
      <c r="AO52" s="119"/>
      <c r="AP52" s="119"/>
      <c r="AQ52" s="119"/>
      <c r="AR52" s="119"/>
      <c r="AS52" s="119"/>
      <c r="AT52" s="120"/>
      <c r="AU52" s="209"/>
      <c r="AV52" t="str" s="122" cm="1">
        <f t="array" ref="AV52">IF(AU53&gt;0,$AV$3,"")</f>
        <v>¡EMPATE! Puedes seleccionar el orden de los empatados.</v>
      </c>
      <c r="AW52" s="217"/>
      <c r="AX52" s="217"/>
      <c r="AY52" s="211"/>
      <c r="AZ52" s="212"/>
      <c r="BA52" s="8"/>
      <c r="BB52" s="87"/>
      <c r="BC52" t="s" s="125">
        <v>408</v>
      </c>
      <c r="BD52" t="s" s="125">
        <v>420</v>
      </c>
      <c r="BE52" s="154" cm="1">
        <f t="array" ref="BE52">BG52*3+BH52+IF($AZ$3="No",0,INDEX($AZ$6:$AZ$97,MATCH(BD52,$AY$6:$AY$97,0)))</f>
        <v>3</v>
      </c>
      <c r="BF52" s="154" cm="1">
        <f t="array" ref="BF52">BG52+BH52+BI52</f>
        <v>3</v>
      </c>
      <c r="BG52" s="154" cm="1">
        <f t="array" ref="BG52">_xlfn.COUNTIFS($AA$4:$AA$97,BD52,$D$4:$D$97,"Local")+_xlfn.COUNTIFS($AF$4:$AF$97,BD52,$D$4:$D$97,"Visitante")</f>
        <v>1</v>
      </c>
      <c r="BH52" s="154" cm="1">
        <f t="array" ref="BH52">_xlfn.COUNTIFS($AA$4:$AA$97,BD52,$D$4:$D$97,"Empate")+_xlfn.COUNTIFS($AF$4:$AF$97,BD52,$D$4:$D$97,"Empate")</f>
        <v>0</v>
      </c>
      <c r="BI52" s="154" cm="1">
        <f t="array" ref="BI52">_xlfn.COUNTIFS($AF$4:$AF$97,BD52,$D$4:$D$97,"Local")+_xlfn.COUNTIFS($AA$4:$AA$97,BD52,$D$4:$D$97,"Visitante")</f>
        <v>2</v>
      </c>
      <c r="BJ52" s="154" cm="1">
        <f t="array" ref="BJ52">_xlfn.SUMIFS($AC$4:$AC$97,$AA$4:$AA$97,BD52,$D$4:$D$97,"&lt;&gt;"&amp;"Pendiente",$AC$4:$AC$97,"&lt;&gt;"&amp;"",$AD$4:$AD$97,"&lt;&gt;"&amp;"")+_xlfn.SUMIFS($AD$4:$AD$97,$AF$4:$AF$97,BD52,$D$4:$D$97,"&lt;&gt;"&amp;"Pendiente",$AC$4:$AC$97,"&lt;&gt;"&amp;"",$AD$4:$AD$97,"&lt;&gt;"&amp;"")</f>
        <v>3</v>
      </c>
      <c r="BK52" s="154" cm="1">
        <f t="array" ref="BK52">_xlfn.SUMIFS($AC$4:$AC$97,$AF$4:$AF$97,BD52,$D$4:$D$97,"&lt;&gt;"&amp;"Pendiente",$AC$4:$AC$97,"&lt;&gt;"&amp;"",$AD$4:$AD$97,"&lt;&gt;"&amp;"")+_xlfn.SUMIFS($AD$4:$AD$97,$AA$4:$AA$97,BD52,$D$4:$D$97,"&lt;&gt;"&amp;"Pendiente",$AC$4:$AC$97,"&lt;&gt;"&amp;"",$AD$4:$AD$97,"&lt;&gt;"&amp;"")</f>
        <v>4</v>
      </c>
      <c r="BL52" s="154" cm="1">
        <f t="array" ref="BL52">BJ52-BK52</f>
        <v>-1</v>
      </c>
      <c r="BM52" t="str" s="140" cm="1">
        <f t="array" ref="BM52">DD52&amp;BC52</f>
        <v>3L</v>
      </c>
      <c r="BN52" t="str" s="140" cm="1">
        <f t="array" ref="BN52">DH52&amp;BC52</f>
        <v>3L</v>
      </c>
      <c r="BO52" s="154" cm="1">
        <f t="array" ref="BO52">IF(AND($AJ$99=144,BF52&gt;=1),1,0)</f>
        <v>0</v>
      </c>
      <c r="BP52" s="154">
        <v>1</v>
      </c>
      <c r="BQ52" t="s" s="125">
        <v>135</v>
      </c>
      <c r="BR52" s="154" cm="1">
        <f t="array" ref="BR52">IF($BQ52="-","-",BE52)</f>
        <v>3</v>
      </c>
      <c r="BS52" s="154">
        <v>1</v>
      </c>
      <c r="BT52" t="s" s="125">
        <v>135</v>
      </c>
      <c r="BU52" s="154" cm="1">
        <f t="array" ref="BU52">IF($BT52="-","-",_xlfn.COUNTIFS($AA$4:$AA$97,$BD52,$D$4:$D$97,"Local",$F$4:$F$97,$BT52)+_xlfn.COUNTIFS($AF$4:$AF$97,$BD52,$D$4:$D$97,"Visitante",$E$4:$E$97,$BT52))</f>
        <v>1</v>
      </c>
      <c r="BV52" s="154" cm="1">
        <f t="array" ref="BV52">IF($BT52="-","-",_xlfn.COUNTIFS($AA$4:$AA$97,$BD52,$D$4:$D$97,"Empate",$F$4:$F$97,$BT52)+_xlfn.COUNTIFS($AF$4:$AF$97,$BD52,$D$4:$D$97,"Empate",$E$4:$E$97,$BT52))</f>
        <v>0</v>
      </c>
      <c r="BW52" s="154" cm="1">
        <f t="array" ref="BW52">IF($BT52="-","-",_xlfn.COUNTIFS($AA$4:$AA$97,$BD52,$D$4:$D$97,"Visitante",$F$4:$F$97,$BT52)+_xlfn.COUNTIFS($AF$4:$AF$97,$BD52,$D$4:$D$97,"Local",$E$4:$E$97,$BT52))</f>
        <v>2</v>
      </c>
      <c r="BX52" s="154" cm="1">
        <f t="array" ref="BX52">IF($BT52="-","-",BU52*3+BV52)</f>
        <v>3</v>
      </c>
      <c r="BY52" s="154">
        <v>1</v>
      </c>
      <c r="BZ52" t="s" s="125">
        <v>135</v>
      </c>
      <c r="CA52" s="154" cm="1">
        <f t="array" ref="CA52">IF($BZ52="-","-",_xlfn.SUMIFS($AC$4:$AC$97,$AA$4:$AA$97,$BD52,$I$4:$I$97,$BZ52)+_xlfn.SUMIFS($AD$4:$AD$97,$AF$4:$AF$97,$BD52,$H$4:$H$97,$BZ52))</f>
        <v>3</v>
      </c>
      <c r="CB52" s="154" cm="1">
        <f t="array" ref="CB52">IF($BZ52="-","-",_xlfn.SUMIFS($AD$4:$AD$97,$AA$4:$AA$97,$BD52,$I$4:$I$97,$BZ52)+_xlfn.SUMIFS($AC$4:$AC$97,$AF$4:$AF$97,$BD52,$H$4:$H$97,$BZ52))</f>
        <v>4</v>
      </c>
      <c r="CC52" s="154" cm="1">
        <f t="array" ref="CC52">IF($BZ52="-","-",CA52-CB52)</f>
        <v>-1</v>
      </c>
      <c r="CD52" s="154">
        <v>1</v>
      </c>
      <c r="CE52" t="s" s="125">
        <v>135</v>
      </c>
      <c r="CF52" s="154" cm="1">
        <f t="array" ref="CF52">IF($CE52="-","-",_xlfn.SUMIFS($AC$4:$AC$97,$AA$4:$AA$97,$BD52,$L$4:$L$97,$CE52)+_xlfn.SUMIFS($AD$4:$AD$97,$AF$4:$AF$97,$BD52,$K$4:$K$97,$CE52))</f>
        <v>3</v>
      </c>
      <c r="CG52" s="154">
        <v>1</v>
      </c>
      <c r="CH52" t="s" s="125">
        <v>135</v>
      </c>
      <c r="CI52" s="154" cm="1">
        <f t="array" ref="CI52">IF($CH52="-","-",_xlfn.COUNTIFS($AA$4:$AA$97,$BD52,$D$4:$D$97,"Local",$O$4:$O$97,$CH52)+_xlfn.COUNTIFS($AF$4:$AF$97,$BD52,$D$4:$D$97,"Visitante",$N$4:$N$97,$CH52))</f>
        <v>1</v>
      </c>
      <c r="CJ52" s="154" cm="1">
        <f t="array" ref="CJ52">IF($CH52="-","-",_xlfn.COUNTIFS($AA$4:$AA$97,$BD52,$D$4:$D$97,"Empate",$O$4:$O$97,$CH52)+_xlfn.COUNTIFS($AF$4:$AF$97,$BD52,$D$4:$D$97,"Empate",$N$4:$N$97,$CH52))</f>
        <v>0</v>
      </c>
      <c r="CK52" s="154" cm="1">
        <f t="array" ref="CK52">IF($CH52="-","-",_xlfn.COUNTIFS($AA$4:$AA$97,$BD52,$D$4:$D$97,"Visitante",$O$4:$O$97,$CH52)+_xlfn.COUNTIFS($AF$4:$AF$97,$BD52,$D$4:$D$97,"Local",$N$4:$N$97,$CH52))</f>
        <v>2</v>
      </c>
      <c r="CL52" s="154" cm="1">
        <f t="array" ref="CL52">IF($CH52="-","-",CI52*3+CJ52)</f>
        <v>3</v>
      </c>
      <c r="CM52" s="154">
        <v>1</v>
      </c>
      <c r="CN52" t="s" s="125">
        <v>135</v>
      </c>
      <c r="CO52" s="154" cm="1">
        <f t="array" ref="CO52">IF($CN52="-","-",_xlfn.SUMIFS($AC$4:$AC$97,$AA$4:$AA$97,$BD52,$R$4:$R$97,$CN52)+_xlfn.SUMIFS($AD$4:$AD$97,$AF$4:$AF$97,$BD52,$Q$4:$Q$97,$CN52))</f>
        <v>3</v>
      </c>
      <c r="CP52" s="154" cm="1">
        <f t="array" ref="CP52">IF($CN52="-","-",_xlfn.SUMIFS($AD$4:$AD$97,$AA$4:$AA$97,$BD52,$R$4:$R$97,$CN52)+_xlfn.SUMIFS($AC$4:$AC$97,$AF$4:$AF$97,$BD52,$Q$4:$Q$97,$CN52))</f>
        <v>4</v>
      </c>
      <c r="CQ52" s="154" cm="1">
        <f t="array" ref="CQ52">IF($CN52="-","-",CO52-CP52)</f>
        <v>-1</v>
      </c>
      <c r="CR52" s="154">
        <v>1</v>
      </c>
      <c r="CS52" t="s" s="125">
        <v>135</v>
      </c>
      <c r="CT52" s="154" cm="1">
        <f t="array" ref="CT52">IF($CS52="-","-",_xlfn.SUMIFS($AC$4:$AC$97,$AA$4:$AA$97,$BD52,$U$4:$U$97,$CS52)+_xlfn.SUMIFS($AD$4:$AD$97,$AF$4:$AF$97,$BD52,$T$4:$T$97,$CS52))</f>
        <v>3</v>
      </c>
      <c r="CU52" s="154">
        <v>1</v>
      </c>
      <c r="CV52" t="s" s="125">
        <v>135</v>
      </c>
      <c r="CW52" s="154" cm="1">
        <f t="array" ref="CW52">IF(CV52="-","-",BL52)</f>
        <v>-1</v>
      </c>
      <c r="CX52" s="154">
        <v>1</v>
      </c>
      <c r="CY52" t="s" s="125">
        <v>135</v>
      </c>
      <c r="CZ52" s="154" cm="1">
        <f t="array" ref="CZ52">IF(CY52="-","-",BJ52)</f>
        <v>3</v>
      </c>
      <c r="DA52" s="154">
        <v>1</v>
      </c>
      <c r="DB52" t="s" s="125">
        <v>135</v>
      </c>
      <c r="DC52" s="154">
        <v>3</v>
      </c>
      <c r="DD52" s="154">
        <v>3</v>
      </c>
      <c r="DE52" s="140"/>
      <c r="DF52" s="154" cm="1">
        <f t="array" ref="DF52">IF(OR(INDEX($AW$6:$AW$97,MATCH($BD52,$AV$6:$AV$97,0))="",DB52="-"),DD52,INDEX($AW$6:$AW$97,MATCH($BD52,$AV$6:$AV$97,0))+DD52/1000)</f>
        <v>3</v>
      </c>
      <c r="DG52" s="154">
        <v>2</v>
      </c>
      <c r="DH52" s="154">
        <v>3</v>
      </c>
      <c r="DI52" s="140"/>
      <c r="DJ52" s="154" cm="1">
        <f t="array" ref="DJ52">INDEX($DA$6:$DA$53,MATCH($DQ52,$BD$6:$BD$53,0))</f>
        <v>1</v>
      </c>
      <c r="DK52" s="154" cm="1">
        <f t="array" ref="DK52">SUMIF($BC$6:$BC$53,BC52,$BF$6:$BF$53)</f>
        <v>12</v>
      </c>
      <c r="DL52" s="154" cm="1">
        <f t="array" ref="DL52">IF(OR(DK52=12,$AJ$99=144),_xlfn.COUNTIFS($DJ$6:$DJ$53,DJ52,$BC$6:$BC$53,BC52),1)</f>
        <v>4</v>
      </c>
      <c r="DM52" t="str" s="140" cm="1">
        <f t="array" ref="DM52">DJ52&amp;"."&amp;DL52</f>
        <v>1.4</v>
      </c>
      <c r="DN52" s="154">
        <v>1</v>
      </c>
      <c r="DO52" s="140"/>
      <c r="DP52" t="s" s="125">
        <v>422</v>
      </c>
      <c r="DQ52" t="str" s="140" cm="1">
        <f t="array" ref="DQ52">INDEX($BD$6:$BD$53,MATCH(DP52,$BM$6:$BM$53,0))</f>
        <v>Ghana</v>
      </c>
      <c r="DR52" s="87"/>
      <c r="DS52" s="87"/>
      <c r="DT52" s="88"/>
      <c r="DU52" s="12"/>
    </row>
    <row r="53" ht="16" customHeight="1">
      <c r="A53" t="s" s="89">
        <v>293</v>
      </c>
      <c r="B53" s="78"/>
      <c r="C53" s="78"/>
      <c r="D53" t="str" s="78" cm="1">
        <f t="array" ref="D53">IF(OR(AC53="",AD53=""),"Pendiente",IF(AC53&gt;AD53,"Local",IF(AC53&lt;AD53,"Visitante","Empate")))</f>
        <v>Local</v>
      </c>
      <c r="E53" t="str" s="78" cm="1">
        <f t="array" ref="E53">IF(D53="Pendiente","-",INDEX($BT$6:$BT$53,MATCH($AA53,$BD$6:$BD$53,0)))</f>
        <v>P.1 (4)</v>
      </c>
      <c r="F53" t="str" s="78" cm="1">
        <f t="array" ref="F53">IF(D53="Pendiente","-",INDEX($BT$6:$BT$53,MATCH($AF53,$BD$6:$BD$53,0)))</f>
        <v>P.1 (4)</v>
      </c>
      <c r="G53" s="78"/>
      <c r="H53" t="str" s="78" cm="1">
        <f t="array" ref="H53">IF(D53="Pendiente","-",INDEX($BZ$6:$BZ$53,MATCH($AA53,$BD$6:$BD$53,0)))</f>
        <v>P.1 (4)</v>
      </c>
      <c r="I53" t="str" s="78" cm="1">
        <f t="array" ref="I53">IF(D53="Pendiente","-",INDEX($BZ$6:$BZ$53,MATCH($AF53,$BD$6:$BD$53,0)))</f>
        <v>P.1 (4)</v>
      </c>
      <c r="J53" s="78"/>
      <c r="K53" t="str" s="78" cm="1">
        <f t="array" ref="K53">IF(D53="Pendiente","-",INDEX($CE$6:$CE$53,MATCH($AA53,$BD$6:$BD$53,0)))</f>
        <v>P.1 (4)</v>
      </c>
      <c r="L53" t="str" s="78" cm="1">
        <f t="array" ref="L53">IF(D53="Pendiente","-",INDEX($CE$6:$CE$53,MATCH($AF53,$BD$6:$BD$53,0)))</f>
        <v>P.1 (4)</v>
      </c>
      <c r="M53" s="78"/>
      <c r="N53" t="str" s="78" cm="1">
        <f t="array" ref="N53">IF(D53="Pendiente","-",INDEX($CH$6:$CH$53,MATCH($AA53,$BD$6:$BD$53,0)))</f>
        <v>P.1 (4)</v>
      </c>
      <c r="O53" t="str" s="78" cm="1">
        <f t="array" ref="O53">IF(D53="Pendiente","-",INDEX($CH$6:$CH$53,MATCH($AF53,$BD$6:$BD$53,0)))</f>
        <v>P.1 (4)</v>
      </c>
      <c r="P53" s="78"/>
      <c r="Q53" t="str" s="78" cm="1">
        <f t="array" ref="Q53">IF(D53="Pendiente","-",INDEX($CN$6:$CN$53,MATCH($AA53,$BD$6:$BD$53,0)))</f>
        <v>P.1 (4)</v>
      </c>
      <c r="R53" t="str" s="78" cm="1">
        <f t="array" ref="R53">IF(D53="Pendiente","-",INDEX($CN$6:$CN$53,MATCH($AF53,$BD$6:$BD$53,0)))</f>
        <v>P.1 (4)</v>
      </c>
      <c r="S53" s="78"/>
      <c r="T53" t="str" s="78" cm="1">
        <f t="array" ref="T53">IF(D53="Pendiente","-",INDEX($CS$6:$CS$53,MATCH($AA53,$BD$6:$BD$53,0)))</f>
        <v>P.1 (4)</v>
      </c>
      <c r="U53" t="str" s="78" cm="1">
        <f t="array" ref="U53">IF(D53="Pendiente","-",INDEX($CS$6:$CS$53,MATCH($AF53,$BD$6:$BD$53,0)))</f>
        <v>P.1 (4)</v>
      </c>
      <c r="V53" s="90"/>
      <c r="W53" s="126"/>
      <c r="X53" s="107">
        <v>46188.875</v>
      </c>
      <c r="Y53" s="108">
        <v>46188.875</v>
      </c>
      <c r="Z53" t="str" s="127" cm="1">
        <f t="array" ref="Z53">$Z$4</f>
        <v>J1</v>
      </c>
      <c r="AA53" t="str" s="110" cm="1">
        <f t="array" ref="AA53">A55</f>
        <v>Irán</v>
      </c>
      <c r="AB53" s="111"/>
      <c r="AC53" s="128">
        <v>1</v>
      </c>
      <c r="AD53" s="128">
        <v>0</v>
      </c>
      <c r="AE53" s="113"/>
      <c r="AF53" t="str" s="114" cm="1">
        <f t="array" ref="AF53">A56</f>
        <v>Nueva Zelanda</v>
      </c>
      <c r="AG53" s="115" cm="1">
        <f t="array" ref="AG53">IF(NOT(OR(ISBLANK(AC53),ISBLANK(AD53))),1,0)</f>
        <v>1</v>
      </c>
      <c r="AH53" s="116">
        <v>15</v>
      </c>
      <c r="AI53" s="117"/>
      <c r="AJ53" t="str" s="213" cm="1">
        <f t="array" ref="AJ53">AJ5</f>
        <v>Pos</v>
      </c>
      <c r="AK53" s="130"/>
      <c r="AL53" t="str" s="214" cm="1">
        <f t="array" ref="AL53">AL5</f>
        <v>Selección</v>
      </c>
      <c r="AM53" t="str" s="130" cm="1">
        <f t="array" ref="AM53">AM5</f>
        <v>Pts</v>
      </c>
      <c r="AN53" t="str" s="130" cm="1">
        <f t="array" ref="AN53">AN5</f>
        <v>J</v>
      </c>
      <c r="AO53" t="str" s="130" cm="1">
        <f t="array" ref="AO53">AO5</f>
        <v>G</v>
      </c>
      <c r="AP53" t="str" s="130" cm="1">
        <f t="array" ref="AP53">AP5</f>
        <v>E</v>
      </c>
      <c r="AQ53" t="str" s="130" cm="1">
        <f t="array" ref="AQ53">AQ5</f>
        <v>P</v>
      </c>
      <c r="AR53" t="str" s="130" cm="1">
        <f t="array" ref="AR53">AR5</f>
        <v>GF</v>
      </c>
      <c r="AS53" t="str" s="130" cm="1">
        <f t="array" ref="AS53">AS5</f>
        <v>GC</v>
      </c>
      <c r="AT53" t="str" s="215" cm="1">
        <f t="array" ref="AT53">AT5</f>
        <v>DG</v>
      </c>
      <c r="AU53" s="216" cm="1">
        <f t="array" ref="AU53">COUNTIF(AU54:AU57,"&gt;1")</f>
        <v>4</v>
      </c>
      <c r="AV53" s="135"/>
      <c r="AW53" s="217"/>
      <c r="AX53" s="218"/>
      <c r="AY53" t="str" s="137" cm="1">
        <f t="array" ref="AY53">AL53</f>
        <v>Selección</v>
      </c>
      <c r="AZ53" t="s" s="138">
        <v>70</v>
      </c>
      <c r="BA53" s="139"/>
      <c r="BB53" s="87"/>
      <c r="BC53" t="s" s="125">
        <v>408</v>
      </c>
      <c r="BD53" t="s" s="125">
        <v>426</v>
      </c>
      <c r="BE53" s="154" cm="1">
        <f t="array" ref="BE53">BG53*3+BH53+IF($AZ$3="No",0,INDEX($AZ$6:$AZ$97,MATCH(BD53,$AY$6:$AY$97,0)))</f>
        <v>0</v>
      </c>
      <c r="BF53" s="154" cm="1">
        <f t="array" ref="BF53">BG53+BH53+BI53</f>
        <v>3</v>
      </c>
      <c r="BG53" s="154" cm="1">
        <f t="array" ref="BG53">_xlfn.COUNTIFS($AA$4:$AA$97,BD53,$D$4:$D$97,"Local")+_xlfn.COUNTIFS($AF$4:$AF$97,BD53,$D$4:$D$97,"Visitante")</f>
        <v>0</v>
      </c>
      <c r="BH53" s="154" cm="1">
        <f t="array" ref="BH53">_xlfn.COUNTIFS($AA$4:$AA$97,BD53,$D$4:$D$97,"Empate")+_xlfn.COUNTIFS($AF$4:$AF$97,BD53,$D$4:$D$97,"Empate")</f>
        <v>0</v>
      </c>
      <c r="BI53" s="154" cm="1">
        <f t="array" ref="BI53">_xlfn.COUNTIFS($AF$4:$AF$97,BD53,$D$4:$D$97,"Local")+_xlfn.COUNTIFS($AA$4:$AA$97,BD53,$D$4:$D$97,"Visitante")</f>
        <v>3</v>
      </c>
      <c r="BJ53" s="154" cm="1">
        <f t="array" ref="BJ53">_xlfn.SUMIFS($AC$4:$AC$97,$AA$4:$AA$97,BD53,$D$4:$D$97,"&lt;&gt;"&amp;"Pendiente",$AC$4:$AC$97,"&lt;&gt;"&amp;"",$AD$4:$AD$97,"&lt;&gt;"&amp;"")+_xlfn.SUMIFS($AD$4:$AD$97,$AF$4:$AF$97,BD53,$D$4:$D$97,"&lt;&gt;"&amp;"Pendiente",$AC$4:$AC$97,"&lt;&gt;"&amp;"",$AD$4:$AD$97,"&lt;&gt;"&amp;"")</f>
        <v>1</v>
      </c>
      <c r="BK53" s="154" cm="1">
        <f t="array" ref="BK53">_xlfn.SUMIFS($AC$4:$AC$97,$AF$4:$AF$97,BD53,$D$4:$D$97,"&lt;&gt;"&amp;"Pendiente",$AC$4:$AC$97,"&lt;&gt;"&amp;"",$AD$4:$AD$97,"&lt;&gt;"&amp;"")+_xlfn.SUMIFS($AD$4:$AD$97,$AA$4:$AA$97,BD53,$D$4:$D$97,"&lt;&gt;"&amp;"Pendiente",$AC$4:$AC$97,"&lt;&gt;"&amp;"",$AD$4:$AD$97,"&lt;&gt;"&amp;"")</f>
        <v>6</v>
      </c>
      <c r="BL53" s="154" cm="1">
        <f t="array" ref="BL53">BJ53-BK53</f>
        <v>-5</v>
      </c>
      <c r="BM53" t="str" s="140" cm="1">
        <f t="array" ref="BM53">DD53&amp;BC53</f>
        <v>4L</v>
      </c>
      <c r="BN53" t="str" s="140" cm="1">
        <f t="array" ref="BN53">DH53&amp;BC53</f>
        <v>4L</v>
      </c>
      <c r="BO53" s="154" cm="1">
        <f t="array" ref="BO53">IF(AND($AJ$99=144,BF53&gt;=1),1,0)</f>
        <v>0</v>
      </c>
      <c r="BP53" s="154">
        <v>1</v>
      </c>
      <c r="BQ53" t="s" s="125">
        <v>135</v>
      </c>
      <c r="BR53" s="154" cm="1">
        <f t="array" ref="BR53">IF($BQ53="-","-",BE53)</f>
        <v>0</v>
      </c>
      <c r="BS53" s="154">
        <v>1</v>
      </c>
      <c r="BT53" t="s" s="125">
        <v>135</v>
      </c>
      <c r="BU53" s="154" cm="1">
        <f t="array" ref="BU53">IF($BT53="-","-",_xlfn.COUNTIFS($AA$4:$AA$97,$BD53,$D$4:$D$97,"Local",$F$4:$F$97,$BT53)+_xlfn.COUNTIFS($AF$4:$AF$97,$BD53,$D$4:$D$97,"Visitante",$E$4:$E$97,$BT53))</f>
        <v>0</v>
      </c>
      <c r="BV53" s="154" cm="1">
        <f t="array" ref="BV53">IF($BT53="-","-",_xlfn.COUNTIFS($AA$4:$AA$97,$BD53,$D$4:$D$97,"Empate",$F$4:$F$97,$BT53)+_xlfn.COUNTIFS($AF$4:$AF$97,$BD53,$D$4:$D$97,"Empate",$E$4:$E$97,$BT53))</f>
        <v>0</v>
      </c>
      <c r="BW53" s="154" cm="1">
        <f t="array" ref="BW53">IF($BT53="-","-",_xlfn.COUNTIFS($AA$4:$AA$97,$BD53,$D$4:$D$97,"Visitante",$F$4:$F$97,$BT53)+_xlfn.COUNTIFS($AF$4:$AF$97,$BD53,$D$4:$D$97,"Local",$E$4:$E$97,$BT53))</f>
        <v>3</v>
      </c>
      <c r="BX53" s="154" cm="1">
        <f t="array" ref="BX53">IF($BT53="-","-",BU53*3+BV53)</f>
        <v>0</v>
      </c>
      <c r="BY53" s="154">
        <v>1</v>
      </c>
      <c r="BZ53" t="s" s="125">
        <v>135</v>
      </c>
      <c r="CA53" s="154" cm="1">
        <f t="array" ref="CA53">IF($BZ53="-","-",_xlfn.SUMIFS($AC$4:$AC$97,$AA$4:$AA$97,$BD53,$I$4:$I$97,$BZ53)+_xlfn.SUMIFS($AD$4:$AD$97,$AF$4:$AF$97,$BD53,$H$4:$H$97,$BZ53))</f>
        <v>1</v>
      </c>
      <c r="CB53" s="154" cm="1">
        <f t="array" ref="CB53">IF($BZ53="-","-",_xlfn.SUMIFS($AD$4:$AD$97,$AA$4:$AA$97,$BD53,$I$4:$I$97,$BZ53)+_xlfn.SUMIFS($AC$4:$AC$97,$AF$4:$AF$97,$BD53,$H$4:$H$97,$BZ53))</f>
        <v>6</v>
      </c>
      <c r="CC53" s="154" cm="1">
        <f t="array" ref="CC53">IF($BZ53="-","-",CA53-CB53)</f>
        <v>-5</v>
      </c>
      <c r="CD53" s="154">
        <v>1</v>
      </c>
      <c r="CE53" t="s" s="125">
        <v>135</v>
      </c>
      <c r="CF53" s="154" cm="1">
        <f t="array" ref="CF53">IF($CE53="-","-",_xlfn.SUMIFS($AC$4:$AC$97,$AA$4:$AA$97,$BD53,$L$4:$L$97,$CE53)+_xlfn.SUMIFS($AD$4:$AD$97,$AF$4:$AF$97,$BD53,$K$4:$K$97,$CE53))</f>
        <v>1</v>
      </c>
      <c r="CG53" s="154">
        <v>1</v>
      </c>
      <c r="CH53" t="s" s="125">
        <v>135</v>
      </c>
      <c r="CI53" s="154" cm="1">
        <f t="array" ref="CI53">IF($CH53="-","-",_xlfn.COUNTIFS($AA$4:$AA$97,$BD53,$D$4:$D$97,"Local",$O$4:$O$97,$CH53)+_xlfn.COUNTIFS($AF$4:$AF$97,$BD53,$D$4:$D$97,"Visitante",$N$4:$N$97,$CH53))</f>
        <v>0</v>
      </c>
      <c r="CJ53" s="154" cm="1">
        <f t="array" ref="CJ53">IF($CH53="-","-",_xlfn.COUNTIFS($AA$4:$AA$97,$BD53,$D$4:$D$97,"Empate",$O$4:$O$97,$CH53)+_xlfn.COUNTIFS($AF$4:$AF$97,$BD53,$D$4:$D$97,"Empate",$N$4:$N$97,$CH53))</f>
        <v>0</v>
      </c>
      <c r="CK53" s="154" cm="1">
        <f t="array" ref="CK53">IF($CH53="-","-",_xlfn.COUNTIFS($AA$4:$AA$97,$BD53,$D$4:$D$97,"Visitante",$O$4:$O$97,$CH53)+_xlfn.COUNTIFS($AF$4:$AF$97,$BD53,$D$4:$D$97,"Local",$N$4:$N$97,$CH53))</f>
        <v>3</v>
      </c>
      <c r="CL53" s="154" cm="1">
        <f t="array" ref="CL53">IF($CH53="-","-",CI53*3+CJ53)</f>
        <v>0</v>
      </c>
      <c r="CM53" s="154">
        <v>1</v>
      </c>
      <c r="CN53" t="s" s="125">
        <v>135</v>
      </c>
      <c r="CO53" s="154" cm="1">
        <f t="array" ref="CO53">IF($CN53="-","-",_xlfn.SUMIFS($AC$4:$AC$97,$AA$4:$AA$97,$BD53,$R$4:$R$97,$CN53)+_xlfn.SUMIFS($AD$4:$AD$97,$AF$4:$AF$97,$BD53,$Q$4:$Q$97,$CN53))</f>
        <v>1</v>
      </c>
      <c r="CP53" s="154" cm="1">
        <f t="array" ref="CP53">IF($CN53="-","-",_xlfn.SUMIFS($AD$4:$AD$97,$AA$4:$AA$97,$BD53,$R$4:$R$97,$CN53)+_xlfn.SUMIFS($AC$4:$AC$97,$AF$4:$AF$97,$BD53,$Q$4:$Q$97,$CN53))</f>
        <v>6</v>
      </c>
      <c r="CQ53" s="154" cm="1">
        <f t="array" ref="CQ53">IF($CN53="-","-",CO53-CP53)</f>
        <v>-5</v>
      </c>
      <c r="CR53" s="154">
        <v>1</v>
      </c>
      <c r="CS53" t="s" s="125">
        <v>135</v>
      </c>
      <c r="CT53" s="154" cm="1">
        <f t="array" ref="CT53">IF($CS53="-","-",_xlfn.SUMIFS($AC$4:$AC$97,$AA$4:$AA$97,$BD53,$U$4:$U$97,$CS53)+_xlfn.SUMIFS($AD$4:$AD$97,$AF$4:$AF$97,$BD53,$T$4:$T$97,$CS53))</f>
        <v>1</v>
      </c>
      <c r="CU53" s="154">
        <v>1</v>
      </c>
      <c r="CV53" t="s" s="125">
        <v>135</v>
      </c>
      <c r="CW53" s="154" cm="1">
        <f t="array" ref="CW53">IF(CV53="-","-",BL53)</f>
        <v>-5</v>
      </c>
      <c r="CX53" s="154">
        <v>1</v>
      </c>
      <c r="CY53" t="s" s="125">
        <v>135</v>
      </c>
      <c r="CZ53" s="154" cm="1">
        <f t="array" ref="CZ53">IF(CY53="-","-",BJ53)</f>
        <v>1</v>
      </c>
      <c r="DA53" s="154">
        <v>1</v>
      </c>
      <c r="DB53" t="s" s="125">
        <v>135</v>
      </c>
      <c r="DC53" s="154">
        <v>4</v>
      </c>
      <c r="DD53" s="154">
        <v>4</v>
      </c>
      <c r="DE53" s="140"/>
      <c r="DF53" s="154" cm="1">
        <f t="array" ref="DF53">IF(OR(INDEX($AW$6:$AW$97,MATCH($BD53,$AV$6:$AV$97,0))="",DB53="-"),DD53,INDEX($AW$6:$AW$97,MATCH($BD53,$AV$6:$AV$97,0))+DD53/1000)</f>
        <v>4</v>
      </c>
      <c r="DG53" s="154">
        <v>3</v>
      </c>
      <c r="DH53" s="154">
        <v>4</v>
      </c>
      <c r="DI53" s="140"/>
      <c r="DJ53" s="154" cm="1">
        <f t="array" ref="DJ53">INDEX($DA$6:$DA$53,MATCH($DQ53,$BD$6:$BD$53,0))</f>
        <v>1</v>
      </c>
      <c r="DK53" s="154" cm="1">
        <f t="array" ref="DK53">SUMIF($BC$6:$BC$53,BC53,$BF$6:$BF$53)</f>
        <v>12</v>
      </c>
      <c r="DL53" s="154" cm="1">
        <f t="array" ref="DL53">IF(OR(DK53=12,$AJ$99=144),_xlfn.COUNTIFS($DJ$6:$DJ$53,DJ53,$BC$6:$BC$53,BC53),1)</f>
        <v>4</v>
      </c>
      <c r="DM53" t="str" s="140" cm="1">
        <f t="array" ref="DM53">DJ53&amp;"."&amp;DL53</f>
        <v>1.4</v>
      </c>
      <c r="DN53" s="154">
        <v>1</v>
      </c>
      <c r="DO53" s="140"/>
      <c r="DP53" t="s" s="125">
        <v>428</v>
      </c>
      <c r="DQ53" t="str" s="140" cm="1">
        <f t="array" ref="DQ53">INDEX($BD$6:$BD$53,MATCH(DP53,$BM$6:$BM$53,0))</f>
        <v>Panamá</v>
      </c>
      <c r="DR53" s="87"/>
      <c r="DS53" s="87"/>
      <c r="DT53" s="88"/>
      <c r="DU53" s="12"/>
    </row>
    <row r="54" ht="16" customHeight="1">
      <c r="A54" t="s" s="89">
        <v>299</v>
      </c>
      <c r="B54" s="78"/>
      <c r="C54" s="78"/>
      <c r="D54" t="str" s="78" cm="1">
        <f t="array" ref="D54">IF(OR(AC54="",AD54=""),"Pendiente",IF(AC54&gt;AD54,"Local",IF(AC54&lt;AD54,"Visitante","Empate")))</f>
        <v>Local</v>
      </c>
      <c r="E54" t="str" s="78" cm="1">
        <f t="array" ref="E54">IF(D54="Pendiente","-",INDEX($BT$6:$BT$53,MATCH($AA54,$BD$6:$BD$53,0)))</f>
        <v>P.1 (4)</v>
      </c>
      <c r="F54" t="str" s="78" cm="1">
        <f t="array" ref="F54">IF(D54="Pendiente","-",INDEX($BT$6:$BT$53,MATCH($AF54,$BD$6:$BD$53,0)))</f>
        <v>P.1 (4)</v>
      </c>
      <c r="G54" s="78"/>
      <c r="H54" t="str" s="78" cm="1">
        <f t="array" ref="H54">IF(D54="Pendiente","-",INDEX($BZ$6:$BZ$53,MATCH($AA54,$BD$6:$BD$53,0)))</f>
        <v>P.1 (4)</v>
      </c>
      <c r="I54" t="str" s="78" cm="1">
        <f t="array" ref="I54">IF(D54="Pendiente","-",INDEX($BZ$6:$BZ$53,MATCH($AF54,$BD$6:$BD$53,0)))</f>
        <v>P.1 (4)</v>
      </c>
      <c r="J54" s="78"/>
      <c r="K54" t="str" s="78" cm="1">
        <f t="array" ref="K54">IF(D54="Pendiente","-",INDEX($CE$6:$CE$53,MATCH($AA54,$BD$6:$BD$53,0)))</f>
        <v>P.1 (4)</v>
      </c>
      <c r="L54" t="str" s="78" cm="1">
        <f t="array" ref="L54">IF(D54="Pendiente","-",INDEX($CE$6:$CE$53,MATCH($AF54,$BD$6:$BD$53,0)))</f>
        <v>P.1 (4)</v>
      </c>
      <c r="M54" s="78"/>
      <c r="N54" t="str" s="78" cm="1">
        <f t="array" ref="N54">IF(D54="Pendiente","-",INDEX($CH$6:$CH$53,MATCH($AA54,$BD$6:$BD$53,0)))</f>
        <v>P.1 (4)</v>
      </c>
      <c r="O54" t="str" s="78" cm="1">
        <f t="array" ref="O54">IF(D54="Pendiente","-",INDEX($CH$6:$CH$53,MATCH($AF54,$BD$6:$BD$53,0)))</f>
        <v>P.1 (4)</v>
      </c>
      <c r="P54" s="78"/>
      <c r="Q54" t="str" s="78" cm="1">
        <f t="array" ref="Q54">IF(D54="Pendiente","-",INDEX($CN$6:$CN$53,MATCH($AA54,$BD$6:$BD$53,0)))</f>
        <v>P.1 (4)</v>
      </c>
      <c r="R54" t="str" s="78" cm="1">
        <f t="array" ref="R54">IF(D54="Pendiente","-",INDEX($CN$6:$CN$53,MATCH($AF54,$BD$6:$BD$53,0)))</f>
        <v>P.1 (4)</v>
      </c>
      <c r="S54" s="78"/>
      <c r="T54" t="str" s="78" cm="1">
        <f t="array" ref="T54">IF(D54="Pendiente","-",INDEX($CS$6:$CS$53,MATCH($AA54,$BD$6:$BD$53,0)))</f>
        <v>P.1 (4)</v>
      </c>
      <c r="U54" t="str" s="78" cm="1">
        <f t="array" ref="U54">IF(D54="Pendiente","-",INDEX($CS$6:$CS$53,MATCH($AF54,$BD$6:$BD$53,0)))</f>
        <v>P.1 (4)</v>
      </c>
      <c r="V54" s="90"/>
      <c r="W54" s="141"/>
      <c r="X54" s="107">
        <v>46194.625</v>
      </c>
      <c r="Y54" s="108">
        <v>46194.625</v>
      </c>
      <c r="Z54" t="str" s="127" cm="1">
        <f t="array" ref="Z54">$Z$6</f>
        <v>J2</v>
      </c>
      <c r="AA54" t="str" s="110" cm="1">
        <f t="array" ref="AA54">A53</f>
        <v>Bélgica</v>
      </c>
      <c r="AB54" s="111"/>
      <c r="AC54" s="128">
        <v>2</v>
      </c>
      <c r="AD54" s="128">
        <v>1</v>
      </c>
      <c r="AE54" s="113"/>
      <c r="AF54" t="str" s="114" cm="1">
        <f t="array" ref="AF54">A55</f>
        <v>Irán</v>
      </c>
      <c r="AG54" s="115" cm="1">
        <f t="array" ref="AG54">IF(NOT(OR(ISBLANK(AC54),ISBLANK(AD54))),1,0)</f>
        <v>1</v>
      </c>
      <c r="AH54" s="116">
        <v>39</v>
      </c>
      <c r="AI54" t="str" s="117" cm="1">
        <f t="array" ref="AI54">AJ54&amp;$B$52</f>
        <v>1G</v>
      </c>
      <c r="AJ54" s="142">
        <v>1</v>
      </c>
      <c r="AK54" s="221"/>
      <c r="AL54" t="str" s="144" cm="1">
        <f t="array" ref="AL54">_xlfn.IFERROR(INDEX($BD$6:$BD$53,MATCH(AI54,$BN$6:$BN$53,0)),"")</f>
        <v>Bélgica</v>
      </c>
      <c r="AM54" s="145" cm="1">
        <f t="array" ref="AM54">INDEX($BE$6:$BN$53,MATCH($AL54,$BD$6:$BD$53,0),MATCH(AM$5,$BE$5:$BN$5,0))</f>
        <v>9</v>
      </c>
      <c r="AN54" s="146" cm="1">
        <f t="array" ref="AN54">INDEX($BE$6:$BN$53,MATCH($AL54,$BD$6:$BD$53,0),MATCH(AN$5,$BE$5:$BN$5,0))</f>
        <v>3</v>
      </c>
      <c r="AO54" s="146" cm="1">
        <f t="array" ref="AO54">INDEX($BE$6:$BN$53,MATCH($AL54,$BD$6:$BD$53,0),MATCH(AO$5,$BE$5:$BN$5,0))</f>
        <v>3</v>
      </c>
      <c r="AP54" s="146" cm="1">
        <f t="array" ref="AP54">INDEX($BE$6:$BN$53,MATCH($AL54,$BD$6:$BD$53,0),MATCH(AP$5,$BE$5:$BN$5,0))</f>
        <v>0</v>
      </c>
      <c r="AQ54" s="146" cm="1">
        <f t="array" ref="AQ54">INDEX($BE$6:$BN$53,MATCH($AL54,$BD$6:$BD$53,0),MATCH(AQ$5,$BE$5:$BN$5,0))</f>
        <v>0</v>
      </c>
      <c r="AR54" s="146" cm="1">
        <f t="array" ref="AR54">INDEX($BE$6:$BN$53,MATCH($AL54,$BD$6:$BD$53,0),MATCH(AR$5,$BE$5:$BN$5,0))</f>
        <v>6</v>
      </c>
      <c r="AS54" s="146" cm="1">
        <f t="array" ref="AS54">INDEX($BE$6:$BN$53,MATCH($AL54,$BD$6:$BD$53,0),MATCH(AS$5,$BE$5:$BN$5,0))</f>
        <v>2</v>
      </c>
      <c r="AT54" s="147" cm="1">
        <f t="array" ref="AT54">INDEX($BE$6:$BN$53,MATCH($AL54,$BD$6:$BD$53,0),MATCH(AT$5,$BE$5:$BN$5,0))</f>
        <v>4</v>
      </c>
      <c r="AU54" s="148" cm="1">
        <f t="array" ref="AU54">INDEX($DL$6:$DL$53,MATCH(AI54,$DP$6:$DP$53,0))</f>
        <v>4</v>
      </c>
      <c r="AV54" t="str" s="149" cm="1">
        <f t="array" ref="AV54">INDEX($BD$6:$BD$53,MATCH(AI54,$BM$6:$BM$53,0))</f>
        <v>Bélgica</v>
      </c>
      <c r="AW54" s="150"/>
      <c r="AX54" s="151"/>
      <c r="AY54" t="str" s="152" cm="1">
        <f t="array" ref="AY54">A53</f>
        <v>Bélgica</v>
      </c>
      <c r="AZ54" s="153"/>
      <c r="BA54" s="139"/>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8"/>
      <c r="DU54" s="12"/>
    </row>
    <row r="55" ht="16" customHeight="1">
      <c r="A55" t="s" s="89">
        <v>305</v>
      </c>
      <c r="B55" s="78"/>
      <c r="C55" s="78"/>
      <c r="D55" t="str" s="78" cm="1">
        <f t="array" ref="D55">IF(OR(AC55="",AD55=""),"Pendiente",IF(AC55&gt;AD55,"Local",IF(AC55&lt;AD55,"Visitante","Empate")))</f>
        <v>Visitante</v>
      </c>
      <c r="E55" t="str" s="78" cm="1">
        <f t="array" ref="E55">IF(D55="Pendiente","-",INDEX($BT$6:$BT$53,MATCH($AA55,$BD$6:$BD$53,0)))</f>
        <v>P.1 (4)</v>
      </c>
      <c r="F55" t="str" s="78" cm="1">
        <f t="array" ref="F55">IF(D55="Pendiente","-",INDEX($BT$6:$BT$53,MATCH($AF55,$BD$6:$BD$53,0)))</f>
        <v>P.1 (4)</v>
      </c>
      <c r="G55" s="78"/>
      <c r="H55" t="str" s="78" cm="1">
        <f t="array" ref="H55">IF(D55="Pendiente","-",INDEX($BZ$6:$BZ$53,MATCH($AA55,$BD$6:$BD$53,0)))</f>
        <v>P.1 (4)</v>
      </c>
      <c r="I55" t="str" s="78" cm="1">
        <f t="array" ref="I55">IF(D55="Pendiente","-",INDEX($BZ$6:$BZ$53,MATCH($AF55,$BD$6:$BD$53,0)))</f>
        <v>P.1 (4)</v>
      </c>
      <c r="J55" s="78"/>
      <c r="K55" t="str" s="78" cm="1">
        <f t="array" ref="K55">IF(D55="Pendiente","-",INDEX($CE$6:$CE$53,MATCH($AA55,$BD$6:$BD$53,0)))</f>
        <v>P.1 (4)</v>
      </c>
      <c r="L55" t="str" s="78" cm="1">
        <f t="array" ref="L55">IF(D55="Pendiente","-",INDEX($CE$6:$CE$53,MATCH($AF55,$BD$6:$BD$53,0)))</f>
        <v>P.1 (4)</v>
      </c>
      <c r="M55" s="78"/>
      <c r="N55" t="str" s="78" cm="1">
        <f t="array" ref="N55">IF(D55="Pendiente","-",INDEX($CH$6:$CH$53,MATCH($AA55,$BD$6:$BD$53,0)))</f>
        <v>P.1 (4)</v>
      </c>
      <c r="O55" t="str" s="78" cm="1">
        <f t="array" ref="O55">IF(D55="Pendiente","-",INDEX($CH$6:$CH$53,MATCH($AF55,$BD$6:$BD$53,0)))</f>
        <v>P.1 (4)</v>
      </c>
      <c r="P55" s="78"/>
      <c r="Q55" t="str" s="78" cm="1">
        <f t="array" ref="Q55">IF(D55="Pendiente","-",INDEX($CN$6:$CN$53,MATCH($AA55,$BD$6:$BD$53,0)))</f>
        <v>P.1 (4)</v>
      </c>
      <c r="R55" t="str" s="78" cm="1">
        <f t="array" ref="R55">IF(D55="Pendiente","-",INDEX($CN$6:$CN$53,MATCH($AF55,$BD$6:$BD$53,0)))</f>
        <v>P.1 (4)</v>
      </c>
      <c r="S55" s="78"/>
      <c r="T55" t="str" s="78" cm="1">
        <f t="array" ref="T55">IF(D55="Pendiente","-",INDEX($CS$6:$CS$53,MATCH($AA55,$BD$6:$BD$53,0)))</f>
        <v>P.1 (4)</v>
      </c>
      <c r="U55" t="str" s="78" cm="1">
        <f t="array" ref="U55">IF(D55="Pendiente","-",INDEX($CS$6:$CS$53,MATCH($AF55,$BD$6:$BD$53,0)))</f>
        <v>P.1 (4)</v>
      </c>
      <c r="V55" s="90"/>
      <c r="W55" s="141"/>
      <c r="X55" s="107">
        <v>46194.875</v>
      </c>
      <c r="Y55" s="108">
        <v>46194.875</v>
      </c>
      <c r="Z55" t="str" s="127" cm="1">
        <f t="array" ref="Z55">$Z$6</f>
        <v>J2</v>
      </c>
      <c r="AA55" t="str" s="110" cm="1">
        <f t="array" ref="AA55">A56</f>
        <v>Nueva Zelanda</v>
      </c>
      <c r="AB55" s="111"/>
      <c r="AC55" s="128">
        <v>1</v>
      </c>
      <c r="AD55" s="128">
        <v>2</v>
      </c>
      <c r="AE55" s="113"/>
      <c r="AF55" t="str" s="114" cm="1">
        <f t="array" ref="AF55">A54</f>
        <v>Egipto</v>
      </c>
      <c r="AG55" s="115" cm="1">
        <f t="array" ref="AG55">IF(NOT(OR(ISBLANK(AC55),ISBLANK(AD55))),1,0)</f>
        <v>1</v>
      </c>
      <c r="AH55" s="116">
        <v>40</v>
      </c>
      <c r="AI55" t="str" s="117" cm="1">
        <f t="array" ref="AI55">AJ55&amp;$B$52</f>
        <v>2G</v>
      </c>
      <c r="AJ55" s="155">
        <v>2</v>
      </c>
      <c r="AK55" s="225"/>
      <c r="AL55" t="str" s="157" cm="1">
        <f t="array" ref="AL55">_xlfn.IFERROR(INDEX($BD$6:$BD$53,MATCH(AI55,$BN$6:$BN$53,0)),"")</f>
        <v>Egipto</v>
      </c>
      <c r="AM55" s="158" cm="1">
        <f t="array" ref="AM55">INDEX($BE$6:$BN$53,MATCH($AL55,$BD$6:$BD$53,0),MATCH(AM$5,$BE$5:$BN$5,0))</f>
        <v>6</v>
      </c>
      <c r="AN55" s="159" cm="1">
        <f t="array" ref="AN55">INDEX($BE$6:$BN$53,MATCH($AL55,$BD$6:$BD$53,0),MATCH(AN$5,$BE$5:$BN$5,0))</f>
        <v>3</v>
      </c>
      <c r="AO55" s="159" cm="1">
        <f t="array" ref="AO55">INDEX($BE$6:$BN$53,MATCH($AL55,$BD$6:$BD$53,0),MATCH(AO$5,$BE$5:$BN$5,0))</f>
        <v>2</v>
      </c>
      <c r="AP55" s="159" cm="1">
        <f t="array" ref="AP55">INDEX($BE$6:$BN$53,MATCH($AL55,$BD$6:$BD$53,0),MATCH(AP$5,$BE$5:$BN$5,0))</f>
        <v>0</v>
      </c>
      <c r="AQ55" s="159" cm="1">
        <f t="array" ref="AQ55">INDEX($BE$6:$BN$53,MATCH($AL55,$BD$6:$BD$53,0),MATCH(AQ$5,$BE$5:$BN$5,0))</f>
        <v>1</v>
      </c>
      <c r="AR55" s="159" cm="1">
        <f t="array" ref="AR55">INDEX($BE$6:$BN$53,MATCH($AL55,$BD$6:$BD$53,0),MATCH(AR$5,$BE$5:$BN$5,0))</f>
        <v>3</v>
      </c>
      <c r="AS55" s="159" cm="1">
        <f t="array" ref="AS55">INDEX($BE$6:$BN$53,MATCH($AL55,$BD$6:$BD$53,0),MATCH(AS$5,$BE$5:$BN$5,0))</f>
        <v>2</v>
      </c>
      <c r="AT55" s="160" cm="1">
        <f t="array" ref="AT55">INDEX($BE$6:$BN$53,MATCH($AL55,$BD$6:$BD$53,0),MATCH(AT$5,$BE$5:$BN$5,0))</f>
        <v>1</v>
      </c>
      <c r="AU55" s="148" cm="1">
        <f t="array" ref="AU55">INDEX($DL$6:$DL$53,MATCH(AI55,$DP$6:$DP$53,0))</f>
        <v>4</v>
      </c>
      <c r="AV55" t="str" s="149" cm="1">
        <f t="array" ref="AV55">INDEX($BD$6:$BD$53,MATCH(AI55,$BM$6:$BM$53,0))</f>
        <v>Egipto</v>
      </c>
      <c r="AW55" s="150"/>
      <c r="AX55" s="151"/>
      <c r="AY55" t="str" s="161" cm="1">
        <f t="array" ref="AY55">A54</f>
        <v>Egipto</v>
      </c>
      <c r="AZ55" s="162"/>
      <c r="BA55" s="139"/>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8"/>
      <c r="DU55" s="12"/>
    </row>
    <row r="56" ht="16" customHeight="1">
      <c r="A56" t="s" s="89">
        <v>311</v>
      </c>
      <c r="B56" s="78"/>
      <c r="C56" s="78"/>
      <c r="D56" t="str" s="78" cm="1">
        <f t="array" ref="D56">IF(OR(AC56="",AD56=""),"Pendiente",IF(AC56&gt;AD56,"Local",IF(AC56&lt;AD56,"Visitante","Empate")))</f>
        <v>Local</v>
      </c>
      <c r="E56" t="str" s="78" cm="1">
        <f t="array" ref="E56">IF(D56="Pendiente","-",INDEX($BT$6:$BT$53,MATCH($AA56,$BD$6:$BD$53,0)))</f>
        <v>P.1 (4)</v>
      </c>
      <c r="F56" t="str" s="78" cm="1">
        <f t="array" ref="F56">IF(D56="Pendiente","-",INDEX($BT$6:$BT$53,MATCH($AF56,$BD$6:$BD$53,0)))</f>
        <v>P.1 (4)</v>
      </c>
      <c r="G56" s="78"/>
      <c r="H56" t="str" s="78" cm="1">
        <f t="array" ref="H56">IF(D56="Pendiente","-",INDEX($BZ$6:$BZ$53,MATCH($AA56,$BD$6:$BD$53,0)))</f>
        <v>P.1 (4)</v>
      </c>
      <c r="I56" t="str" s="78" cm="1">
        <f t="array" ref="I56">IF(D56="Pendiente","-",INDEX($BZ$6:$BZ$53,MATCH($AF56,$BD$6:$BD$53,0)))</f>
        <v>P.1 (4)</v>
      </c>
      <c r="J56" s="78"/>
      <c r="K56" t="str" s="78" cm="1">
        <f t="array" ref="K56">IF(D56="Pendiente","-",INDEX($CE$6:$CE$53,MATCH($AA56,$BD$6:$BD$53,0)))</f>
        <v>P.1 (4)</v>
      </c>
      <c r="L56" t="str" s="78" cm="1">
        <f t="array" ref="L56">IF(D56="Pendiente","-",INDEX($CE$6:$CE$53,MATCH($AF56,$BD$6:$BD$53,0)))</f>
        <v>P.1 (4)</v>
      </c>
      <c r="M56" s="78"/>
      <c r="N56" t="str" s="78" cm="1">
        <f t="array" ref="N56">IF(D56="Pendiente","-",INDEX($CH$6:$CH$53,MATCH($AA56,$BD$6:$BD$53,0)))</f>
        <v>P.1 (4)</v>
      </c>
      <c r="O56" t="str" s="78" cm="1">
        <f t="array" ref="O56">IF(D56="Pendiente","-",INDEX($CH$6:$CH$53,MATCH($AF56,$BD$6:$BD$53,0)))</f>
        <v>P.1 (4)</v>
      </c>
      <c r="P56" s="78"/>
      <c r="Q56" t="str" s="78" cm="1">
        <f t="array" ref="Q56">IF(D56="Pendiente","-",INDEX($CN$6:$CN$53,MATCH($AA56,$BD$6:$BD$53,0)))</f>
        <v>P.1 (4)</v>
      </c>
      <c r="R56" t="str" s="78" cm="1">
        <f t="array" ref="R56">IF(D56="Pendiente","-",INDEX($CN$6:$CN$53,MATCH($AF56,$BD$6:$BD$53,0)))</f>
        <v>P.1 (4)</v>
      </c>
      <c r="S56" s="78"/>
      <c r="T56" t="str" s="78" cm="1">
        <f t="array" ref="T56">IF(D56="Pendiente","-",INDEX($CS$6:$CS$53,MATCH($AA56,$BD$6:$BD$53,0)))</f>
        <v>P.1 (4)</v>
      </c>
      <c r="U56" t="str" s="78" cm="1">
        <f t="array" ref="U56">IF(D56="Pendiente","-",INDEX($CS$6:$CS$53,MATCH($AF56,$BD$6:$BD$53,0)))</f>
        <v>P.1 (4)</v>
      </c>
      <c r="V56" s="90"/>
      <c r="W56" s="141"/>
      <c r="X56" s="107">
        <v>46199.958333333343</v>
      </c>
      <c r="Y56" s="108">
        <v>46199.958333333343</v>
      </c>
      <c r="Z56" t="str" s="127" cm="1">
        <f t="array" ref="Z56">$Z$8</f>
        <v>J3</v>
      </c>
      <c r="AA56" t="str" s="110" cm="1">
        <f t="array" ref="AA56">A54</f>
        <v>Egipto</v>
      </c>
      <c r="AB56" s="111"/>
      <c r="AC56" s="128">
        <v>1</v>
      </c>
      <c r="AD56" s="128">
        <v>0</v>
      </c>
      <c r="AE56" s="113"/>
      <c r="AF56" t="str" s="114" cm="1">
        <f t="array" ref="AF56">A55</f>
        <v>Irán</v>
      </c>
      <c r="AG56" s="115" cm="1">
        <f t="array" ref="AG56">IF(NOT(OR(ISBLANK(AC56),ISBLANK(AD56))),1,0)</f>
        <v>1</v>
      </c>
      <c r="AH56" s="116">
        <v>63</v>
      </c>
      <c r="AI56" t="str" s="117" cm="1">
        <f t="array" ref="AI56">AJ56&amp;$B$52</f>
        <v>3G</v>
      </c>
      <c r="AJ56" s="155">
        <v>3</v>
      </c>
      <c r="AK56" s="225"/>
      <c r="AL56" t="str" s="157" cm="1">
        <f t="array" ref="AL56">_xlfn.IFERROR(INDEX($BD$6:$BD$53,MATCH(AI56,$BN$6:$BN$53,0)),"")</f>
        <v>Irán</v>
      </c>
      <c r="AM56" s="158" cm="1">
        <f t="array" ref="AM56">INDEX($BE$6:$BN$53,MATCH($AL56,$BD$6:$BD$53,0),MATCH(AM$5,$BE$5:$BN$5,0))</f>
        <v>3</v>
      </c>
      <c r="AN56" s="159" cm="1">
        <f t="array" ref="AN56">INDEX($BE$6:$BN$53,MATCH($AL56,$BD$6:$BD$53,0),MATCH(AN$5,$BE$5:$BN$5,0))</f>
        <v>3</v>
      </c>
      <c r="AO56" s="159" cm="1">
        <f t="array" ref="AO56">INDEX($BE$6:$BN$53,MATCH($AL56,$BD$6:$BD$53,0),MATCH(AO$5,$BE$5:$BN$5,0))</f>
        <v>1</v>
      </c>
      <c r="AP56" s="159" cm="1">
        <f t="array" ref="AP56">INDEX($BE$6:$BN$53,MATCH($AL56,$BD$6:$BD$53,0),MATCH(AP$5,$BE$5:$BN$5,0))</f>
        <v>0</v>
      </c>
      <c r="AQ56" s="159" cm="1">
        <f t="array" ref="AQ56">INDEX($BE$6:$BN$53,MATCH($AL56,$BD$6:$BD$53,0),MATCH(AQ$5,$BE$5:$BN$5,0))</f>
        <v>2</v>
      </c>
      <c r="AR56" s="159" cm="1">
        <f t="array" ref="AR56">INDEX($BE$6:$BN$53,MATCH($AL56,$BD$6:$BD$53,0),MATCH(AR$5,$BE$5:$BN$5,0))</f>
        <v>2</v>
      </c>
      <c r="AS56" s="159" cm="1">
        <f t="array" ref="AS56">INDEX($BE$6:$BN$53,MATCH($AL56,$BD$6:$BD$53,0),MATCH(AS$5,$BE$5:$BN$5,0))</f>
        <v>3</v>
      </c>
      <c r="AT56" s="160" cm="1">
        <f t="array" ref="AT56">INDEX($BE$6:$BN$53,MATCH($AL56,$BD$6:$BD$53,0),MATCH(AT$5,$BE$5:$BN$5,0))</f>
        <v>-1</v>
      </c>
      <c r="AU56" s="148" cm="1">
        <f t="array" ref="AU56">INDEX($DL$6:$DL$53,MATCH(AI56,$DP$6:$DP$53,0))</f>
        <v>4</v>
      </c>
      <c r="AV56" t="str" s="149" cm="1">
        <f t="array" ref="AV56">INDEX($BD$6:$BD$53,MATCH(AI56,$BM$6:$BM$53,0))</f>
        <v>Irán</v>
      </c>
      <c r="AW56" s="150"/>
      <c r="AX56" s="151"/>
      <c r="AY56" t="str" s="152" cm="1">
        <f t="array" ref="AY56">A55</f>
        <v>Irán</v>
      </c>
      <c r="AZ56" s="153"/>
      <c r="BA56" s="139"/>
      <c r="BB56" t="s" s="125">
        <v>436</v>
      </c>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8"/>
      <c r="DU56" s="12"/>
    </row>
    <row r="57" ht="16" customHeight="1">
      <c r="A57" s="78"/>
      <c r="B57" s="78"/>
      <c r="C57" s="78"/>
      <c r="D57" t="str" s="78" cm="1">
        <f t="array" ref="D57">IF(OR(AC57="",AD57=""),"Pendiente",IF(AC57&gt;AD57,"Local",IF(AC57&lt;AD57,"Visitante","Empate")))</f>
        <v>Visitante</v>
      </c>
      <c r="E57" t="str" s="78" cm="1">
        <f t="array" ref="E57">IF(D57="Pendiente","-",INDEX($BT$6:$BT$53,MATCH($AA57,$BD$6:$BD$53,0)))</f>
        <v>P.1 (4)</v>
      </c>
      <c r="F57" t="str" s="78" cm="1">
        <f t="array" ref="F57">IF(D57="Pendiente","-",INDEX($BT$6:$BT$53,MATCH($AF57,$BD$6:$BD$53,0)))</f>
        <v>P.1 (4)</v>
      </c>
      <c r="G57" s="78"/>
      <c r="H57" t="str" s="78" cm="1">
        <f t="array" ref="H57">IF(D57="Pendiente","-",INDEX($BZ$6:$BZ$53,MATCH($AA57,$BD$6:$BD$53,0)))</f>
        <v>P.1 (4)</v>
      </c>
      <c r="I57" t="str" s="78" cm="1">
        <f t="array" ref="I57">IF(D57="Pendiente","-",INDEX($BZ$6:$BZ$53,MATCH($AF57,$BD$6:$BD$53,0)))</f>
        <v>P.1 (4)</v>
      </c>
      <c r="J57" s="78"/>
      <c r="K57" t="str" s="78" cm="1">
        <f t="array" ref="K57">IF(D57="Pendiente","-",INDEX($CE$6:$CE$53,MATCH($AA57,$BD$6:$BD$53,0)))</f>
        <v>P.1 (4)</v>
      </c>
      <c r="L57" t="str" s="78" cm="1">
        <f t="array" ref="L57">IF(D57="Pendiente","-",INDEX($CE$6:$CE$53,MATCH($AF57,$BD$6:$BD$53,0)))</f>
        <v>P.1 (4)</v>
      </c>
      <c r="M57" s="78"/>
      <c r="N57" t="str" s="78" cm="1">
        <f t="array" ref="N57">IF(D57="Pendiente","-",INDEX($CH$6:$CH$53,MATCH($AA57,$BD$6:$BD$53,0)))</f>
        <v>P.1 (4)</v>
      </c>
      <c r="O57" t="str" s="78" cm="1">
        <f t="array" ref="O57">IF(D57="Pendiente","-",INDEX($CH$6:$CH$53,MATCH($AF57,$BD$6:$BD$53,0)))</f>
        <v>P.1 (4)</v>
      </c>
      <c r="P57" s="78"/>
      <c r="Q57" t="str" s="78" cm="1">
        <f t="array" ref="Q57">IF(D57="Pendiente","-",INDEX($CN$6:$CN$53,MATCH($AA57,$BD$6:$BD$53,0)))</f>
        <v>P.1 (4)</v>
      </c>
      <c r="R57" t="str" s="78" cm="1">
        <f t="array" ref="R57">IF(D57="Pendiente","-",INDEX($CN$6:$CN$53,MATCH($AF57,$BD$6:$BD$53,0)))</f>
        <v>P.1 (4)</v>
      </c>
      <c r="S57" s="78"/>
      <c r="T57" t="str" s="78" cm="1">
        <f t="array" ref="T57">IF(D57="Pendiente","-",INDEX($CS$6:$CS$53,MATCH($AA57,$BD$6:$BD$53,0)))</f>
        <v>P.1 (4)</v>
      </c>
      <c r="U57" t="str" s="78" cm="1">
        <f t="array" ref="U57">IF(D57="Pendiente","-",INDEX($CS$6:$CS$53,MATCH($AF57,$BD$6:$BD$53,0)))</f>
        <v>P.1 (4)</v>
      </c>
      <c r="V57" s="90"/>
      <c r="W57" s="163"/>
      <c r="X57" s="164">
        <v>46199.958333333343</v>
      </c>
      <c r="Y57" s="165">
        <v>46199.958333333343</v>
      </c>
      <c r="Z57" t="str" s="166" cm="1">
        <f t="array" ref="Z57">$Z$8</f>
        <v>J3</v>
      </c>
      <c r="AA57" t="str" s="167" cm="1">
        <f t="array" ref="AA57">A56</f>
        <v>Nueva Zelanda</v>
      </c>
      <c r="AB57" s="168"/>
      <c r="AC57" s="169">
        <v>1</v>
      </c>
      <c r="AD57" s="169">
        <v>3</v>
      </c>
      <c r="AE57" s="170"/>
      <c r="AF57" t="str" s="171" cm="1">
        <f t="array" ref="AF57">A53</f>
        <v>Bélgica</v>
      </c>
      <c r="AG57" s="115" cm="1">
        <f t="array" ref="AG57">IF(NOT(OR(ISBLANK(AC57),ISBLANK(AD57))),1,0)</f>
        <v>1</v>
      </c>
      <c r="AH57" s="116">
        <v>64</v>
      </c>
      <c r="AI57" t="str" s="117" cm="1">
        <f t="array" ref="AI57">AJ57&amp;$B$52</f>
        <v>4G</v>
      </c>
      <c r="AJ57" s="172">
        <v>4</v>
      </c>
      <c r="AK57" s="240"/>
      <c r="AL57" t="str" s="174" cm="1">
        <f t="array" ref="AL57">_xlfn.IFERROR(INDEX($BD$6:$BD$53,MATCH(AI57,$BN$6:$BN$53,0)),"")</f>
        <v>Nueva Zelanda</v>
      </c>
      <c r="AM57" s="175" cm="1">
        <f t="array" ref="AM57">INDEX($BE$6:$BN$53,MATCH($AL57,$BD$6:$BD$53,0),MATCH(AM$5,$BE$5:$BN$5,0))</f>
        <v>0</v>
      </c>
      <c r="AN57" s="176" cm="1">
        <f t="array" ref="AN57">INDEX($BE$6:$BN$53,MATCH($AL57,$BD$6:$BD$53,0),MATCH(AN$5,$BE$5:$BN$5,0))</f>
        <v>3</v>
      </c>
      <c r="AO57" s="176" cm="1">
        <f t="array" ref="AO57">INDEX($BE$6:$BN$53,MATCH($AL57,$BD$6:$BD$53,0),MATCH(AO$5,$BE$5:$BN$5,0))</f>
        <v>0</v>
      </c>
      <c r="AP57" s="176" cm="1">
        <f t="array" ref="AP57">INDEX($BE$6:$BN$53,MATCH($AL57,$BD$6:$BD$53,0),MATCH(AP$5,$BE$5:$BN$5,0))</f>
        <v>0</v>
      </c>
      <c r="AQ57" s="176" cm="1">
        <f t="array" ref="AQ57">INDEX($BE$6:$BN$53,MATCH($AL57,$BD$6:$BD$53,0),MATCH(AQ$5,$BE$5:$BN$5,0))</f>
        <v>3</v>
      </c>
      <c r="AR57" s="176" cm="1">
        <f t="array" ref="AR57">INDEX($BE$6:$BN$53,MATCH($AL57,$BD$6:$BD$53,0),MATCH(AR$5,$BE$5:$BN$5,0))</f>
        <v>2</v>
      </c>
      <c r="AS57" s="176" cm="1">
        <f t="array" ref="AS57">INDEX($BE$6:$BN$53,MATCH($AL57,$BD$6:$BD$53,0),MATCH(AS$5,$BE$5:$BN$5,0))</f>
        <v>6</v>
      </c>
      <c r="AT57" s="177" cm="1">
        <f t="array" ref="AT57">INDEX($BE$6:$BN$53,MATCH($AL57,$BD$6:$BD$53,0),MATCH(AT$5,$BE$5:$BN$5,0))</f>
        <v>-4</v>
      </c>
      <c r="AU57" s="148" cm="1">
        <f t="array" ref="AU57">INDEX($DL$6:$DL$53,MATCH(AI57,$DP$6:$DP$53,0))</f>
        <v>4</v>
      </c>
      <c r="AV57" t="str" s="149" cm="1">
        <f t="array" ref="AV57">INDEX($BD$6:$BD$53,MATCH(AI57,$BM$6:$BM$53,0))</f>
        <v>Nueva Zelanda</v>
      </c>
      <c r="AW57" s="150"/>
      <c r="AX57" s="151"/>
      <c r="AY57" t="str" s="178" cm="1">
        <f t="array" ref="AY57">A56</f>
        <v>Nueva Zelanda</v>
      </c>
      <c r="AZ57" s="179"/>
      <c r="BA57" s="139"/>
      <c r="BB57" s="154">
        <v>1</v>
      </c>
      <c r="BC57" t="str" s="140" cm="1">
        <f t="array" ref="BC57">BC5</f>
        <v>Grupo</v>
      </c>
      <c r="BD57" t="str" s="140" cm="1">
        <f t="array" ref="BD57">BD5</f>
        <v>Selección</v>
      </c>
      <c r="BE57" t="str" s="140" cm="1">
        <f t="array" ref="BE57">BE5</f>
        <v>Pts</v>
      </c>
      <c r="BF57" t="str" s="140" cm="1">
        <f t="array" ref="BF57">BF5</f>
        <v>J</v>
      </c>
      <c r="BG57" t="str" s="140" cm="1">
        <f t="array" ref="BG57">BG5</f>
        <v>G</v>
      </c>
      <c r="BH57" t="str" s="140" cm="1">
        <f t="array" ref="BH57">BH5</f>
        <v>E</v>
      </c>
      <c r="BI57" t="str" s="140" cm="1">
        <f t="array" ref="BI57">BI5</f>
        <v>P</v>
      </c>
      <c r="BJ57" t="str" s="140" cm="1">
        <f t="array" ref="BJ57">BJ5</f>
        <v>GF</v>
      </c>
      <c r="BK57" t="str" s="140" cm="1">
        <f t="array" ref="BK57">BK5</f>
        <v>GC</v>
      </c>
      <c r="BL57" t="str" s="140" cm="1">
        <f t="array" ref="BL57">BL5</f>
        <v>DG</v>
      </c>
      <c r="BM57" t="str" s="140" cm="1">
        <f t="array" ref="BM57">BM5</f>
        <v>PosF1</v>
      </c>
      <c r="BN57" t="str" s="140" cm="1">
        <f t="array" ref="BN57">BN5</f>
        <v>PosF3</v>
      </c>
      <c r="BO57" s="140"/>
      <c r="BP57" s="140"/>
      <c r="BQ57" s="140"/>
      <c r="BR57" t="s" s="125">
        <v>84</v>
      </c>
      <c r="BS57" t="s" s="125">
        <v>85</v>
      </c>
      <c r="BT57" t="s" s="125">
        <v>86</v>
      </c>
      <c r="BU57" t="s" s="125">
        <v>68</v>
      </c>
      <c r="BV57" t="s" s="125">
        <v>91</v>
      </c>
      <c r="BW57" t="s" s="125">
        <v>92</v>
      </c>
      <c r="BX57" t="s" s="125">
        <v>66</v>
      </c>
      <c r="BY57" t="s" s="125">
        <v>96</v>
      </c>
      <c r="BZ57" t="s" s="125">
        <v>97</v>
      </c>
      <c r="CA57" t="s" s="125">
        <v>443</v>
      </c>
      <c r="CB57" t="s" s="125">
        <v>118</v>
      </c>
      <c r="CC57" s="140"/>
      <c r="CD57" t="s" s="125">
        <v>119</v>
      </c>
      <c r="CE57" t="s" s="125">
        <v>120</v>
      </c>
      <c r="CF57" t="s" s="125">
        <v>121</v>
      </c>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t="s" s="125">
        <v>122</v>
      </c>
      <c r="DK57" s="140"/>
      <c r="DL57" t="s" s="125">
        <v>124</v>
      </c>
      <c r="DM57" t="s" s="125">
        <v>125</v>
      </c>
      <c r="DN57" t="s" s="125">
        <v>126</v>
      </c>
      <c r="DO57" s="140"/>
      <c r="DP57" t="s" s="125">
        <v>127</v>
      </c>
      <c r="DQ57" t="s" s="125">
        <v>128</v>
      </c>
      <c r="DR57" s="87"/>
      <c r="DS57" s="87"/>
      <c r="DT57" s="88"/>
      <c r="DU57" s="12"/>
    </row>
    <row r="58" ht="16" customHeight="1">
      <c r="A58" s="78"/>
      <c r="B58" s="78"/>
      <c r="C58" s="78"/>
      <c r="D58" s="78"/>
      <c r="E58" s="78"/>
      <c r="F58" s="78"/>
      <c r="G58" s="78"/>
      <c r="H58" s="78"/>
      <c r="I58" s="78"/>
      <c r="J58" s="78"/>
      <c r="K58" s="78"/>
      <c r="L58" s="78"/>
      <c r="M58" s="78"/>
      <c r="N58" s="78"/>
      <c r="O58" s="78"/>
      <c r="P58" s="78"/>
      <c r="Q58" s="78"/>
      <c r="R58" s="78"/>
      <c r="S58" s="78"/>
      <c r="T58" s="78"/>
      <c r="U58" s="78"/>
      <c r="V58" s="79"/>
      <c r="W58" s="180"/>
      <c r="X58" s="181"/>
      <c r="Y58" s="180"/>
      <c r="Z58" s="182"/>
      <c r="AA58" s="183"/>
      <c r="AB58" s="184"/>
      <c r="AC58" s="185"/>
      <c r="AD58" s="185"/>
      <c r="AE58" s="184"/>
      <c r="AF58" s="186"/>
      <c r="AG58" s="233"/>
      <c r="AH58" s="188"/>
      <c r="AI58" s="8"/>
      <c r="AJ58" s="189"/>
      <c r="AK58" s="190"/>
      <c r="AL58" s="191"/>
      <c r="AM58" s="192"/>
      <c r="AN58" s="189"/>
      <c r="AO58" s="189"/>
      <c r="AP58" s="189"/>
      <c r="AQ58" s="189"/>
      <c r="AR58" s="189"/>
      <c r="AS58" s="189"/>
      <c r="AT58" s="189"/>
      <c r="AU58" s="193"/>
      <c r="AV58" s="194"/>
      <c r="AW58" s="150"/>
      <c r="AX58" s="195"/>
      <c r="AY58" s="196"/>
      <c r="AZ58" s="197"/>
      <c r="BA58" s="8"/>
      <c r="BB58" t="str" s="140" cm="1">
        <f t="array" ref="BB58">3&amp;BC58</f>
        <v>3A</v>
      </c>
      <c r="BC58" t="s" s="125">
        <v>46</v>
      </c>
      <c r="BD58" t="str" s="140" cm="1">
        <f t="array" ref="BD58">INDEX($BD$6:$BN$53,MATCH($BB58,$BN$6:$BN$53,0),MATCH(BD$57,$BD$5:$BN$5,0))</f>
        <v>Corea del Sur</v>
      </c>
      <c r="BE58" s="154">
        <v>9</v>
      </c>
      <c r="BF58" s="154" cm="1">
        <f t="array" ref="BF58">BG58+BH58+BI58</f>
        <v>3</v>
      </c>
      <c r="BG58" s="154" cm="1">
        <f t="array" ref="BG58">CHOOSE(IF($BB$57=2,2,1),INDEX($BG$6:$BG$53,MATCH($BB58,$BN$6:$BN$53,0)),INDEX($BG$6:$BG$53,MATCH($BB58,$BN$6:$BN$53,0))-(_xlfn.COUNTIFS($AA$4:$AA$97,$BD58,$AF$4:$AF$97,INDEX($BD$6:$BD$53,MATCH(BO58,$BN$6:$BN$53,0)),$D$4:$D$97,"Local")+_xlfn.COUNTIFS($AF$4:$AF$97,$BD58,$AA$4:$AA$97,INDEX($BD$6:$BD$53,MATCH(BO58,$BN$6:$BN$53,0)),$D$4:$D$97,"Visitante")))</f>
        <v>3</v>
      </c>
      <c r="BH58" s="154" cm="1">
        <f t="array" ref="BH58">CHOOSE(IF($BB$57=2,2,1),INDEX($BH$6:$BH$53,MATCH($BB58,$BN$6:$BN$53,0)),INDEX($BH$6:$BH$53,MATCH($BB58,$BN$6:$BN$53,0))-(_xlfn.COUNTIFS($AA$4:$AA$97,$BD58,$AF$4:$AF$97,INDEX($BD$6:$BD$53,MATCH(BO58,$BN$6:$BN$53,0)),$D$4:$D$97,"Empate")+_xlfn.COUNTIFS($AF$4:$AF$97,$BD58,$AA$4:$AA$97,INDEX($BD$6:$BD$53,MATCH(BO58,$BN$6:$BN$53,0)),$D$4:$D$97,"Empate")))</f>
        <v>0</v>
      </c>
      <c r="BI58" s="154" cm="1">
        <f t="array" ref="BI58">CHOOSE(IF($BB$57=2,2,1),INDEX($BI$6:$BI$53,MATCH($BB58,$BN$6:$BN$53,0)),INDEX($BI$6:$BI$53,MATCH($BB58,$BN$6:$BN$53,0))-(_xlfn.COUNTIFS($AA$4:$AA$97,$BD58,$AF$4:$AF$97,INDEX($BD$6:$BD$53,MATCH(BO58,$BN$6:$BN$53,0)),$D$4:$D$97,"Visitante")+_xlfn.COUNTIFS($AF$4:$AF$97,$BD58,$AA$4:$AA$97,INDEX($BD$6:$BD$53,MATCH(BO58,$BN$6:$BN$53,0)),$D$4:$D$97,"Local")))</f>
        <v>0</v>
      </c>
      <c r="BJ58" s="154" cm="1">
        <f t="array" ref="BJ58">CHOOSE($BB$57,INDEX($BJ$6:$BJ$53,MATCH($BB58,$BN$6:$BN$53,0)),INDEX($BJ$6:$BJ$53,MATCH($BB58,$BN$6:$BN$53,0))-(_xlfn.SUMIFS($AC$4:$AC$97,$AA$4:$AA$97,$BD58,$AF$4:$AF$97,INDEX($BD$6:$BD$53,MATCH(BO58,$BN$6:$BN$53,0)))+_xlfn.SUMIFS($AD$4:$AD$97,$AF$4:$AF$97,$BD58,$AA$4:$AA$97,INDEX($BD$6:$BD$53,MATCH(BO58,$BN$6:$BN$53,0)))),_xlfn.IFERROR(INDEX($BJ$6:$BJ$53,MATCH($BB58,$BN$6:$BN$53,0))/BF58,0))</f>
        <v>5</v>
      </c>
      <c r="BK58" s="154" cm="1">
        <f t="array" ref="BK58">CHOOSE($BB$57,INDEX($BK$6:$BK$53,MATCH($BB58,$BN$6:$BN$53,0)),INDEX($BK$6:$BK$53,MATCH($BB58,$BN$6:$BN$53,0))-(_xlfn.SUMIFS($AD$4:$AD$97,$AA$4:$AA$97,$BD58,$AF$4:$AF$97,INDEX($BD$6:$BD$53,MATCH(BO58,$BN$6:$BN$53,0)))+_xlfn.SUMIFS($AC$4:$AC$97,$AF$4:$AF$97,$BD58,$AA$4:$AA$97,INDEX($BD$6:$BD$53,MATCH(BO58,$BN$6:$BN$53,0)))),_xlfn.IFERROR(INDEX($BK$6:$BK$53,MATCH($BB58,$BN$6:$BN$53,0))/BF58,0))</f>
        <v>1</v>
      </c>
      <c r="BL58" s="154" cm="1">
        <f t="array" ref="BL58">BJ58-BK58</f>
        <v>4</v>
      </c>
      <c r="BM58" s="154" cm="1">
        <f t="array" ref="BM58">CB58</f>
        <v>1</v>
      </c>
      <c r="BN58" s="154" cm="1">
        <f t="array" ref="BN58">CF58</f>
        <v>1</v>
      </c>
      <c r="BO58" t="str" s="140" cm="1">
        <f t="array" ref="BO58">"4"&amp;BC58</f>
        <v>4A</v>
      </c>
      <c r="BP58" s="140"/>
      <c r="BQ58" s="140"/>
      <c r="BR58" s="154" cm="1">
        <f t="array" ref="BR58">BE58</f>
        <v>9</v>
      </c>
      <c r="BS58" s="154" cm="1">
        <f t="array" ref="BS58">_xlfn.COUNTIFS(BR$58:BR$69,"&gt;"&amp;BR58)+1</f>
        <v>1</v>
      </c>
      <c r="BT58" t="str" s="140" cm="1">
        <f t="array" ref="BT58">IF(COUNTIF(BS$58:BS$69,BS58)=1,"-","Pos. "&amp;BS58&amp;" ("&amp;COUNTIF(BS$58:BS$69,BS58)&amp;")")</f>
        <v>-</v>
      </c>
      <c r="BU58" t="str" s="140" cm="1">
        <f t="array" ref="BU58">IF(BT58="-","-",BL58)</f>
        <v>-</v>
      </c>
      <c r="BV58" s="154" cm="1">
        <f t="array" ref="BV58">BS58+_xlfn.COUNTIFS(BT$58:BT$69,BT58,BU$58:BU$69,"&gt;"&amp;BU58)</f>
        <v>1</v>
      </c>
      <c r="BW58" t="str" s="140" cm="1">
        <f t="array" ref="BW58">IF(COUNTIF(BV$58:BV$69,BV58)=1,"-","Pos. "&amp;BV58&amp;" ("&amp;COUNTIF(BV$58:BV$69,BV58)&amp;")")</f>
        <v>-</v>
      </c>
      <c r="BX58" t="str" s="140" cm="1">
        <f t="array" ref="BX58">IF(BW58="-","-",BJ58)</f>
        <v>-</v>
      </c>
      <c r="BY58" s="154" cm="1">
        <f t="array" ref="BY58">BV58+_xlfn.COUNTIFS(BW$58:BW$69,BW58,BX$58:BX$69,"&gt;"&amp;BX58)</f>
        <v>1</v>
      </c>
      <c r="BZ58" t="str" s="140" cm="1">
        <f t="array" ref="BZ58">IF(COUNTIF(BY$58:BY$69,BY58)=1,"-","Pos. "&amp;BY58&amp;" ("&amp;COUNTIF(BY$58:BY$69,BY58)&amp;")")</f>
        <v>-</v>
      </c>
      <c r="CA58" t="str" s="140" cm="1">
        <f t="array" ref="CA58">IF(BZ58="-","-",COUNTIF($BD$58:$BD$69,"&gt;"&amp;BD58))</f>
        <v>-</v>
      </c>
      <c r="CB58" s="154" cm="1">
        <f t="array" ref="CB58">BY58+_xlfn.COUNTIFS(BZ$58:BZ$69,BZ58,CA$58:CA$69,"&gt;"&amp;CA58)</f>
        <v>1</v>
      </c>
      <c r="CC58" s="140"/>
      <c r="CD58" s="154" cm="1">
        <f t="array" ref="CD58">IF(OR(INDEX($AW$102:$AW$113,MATCH($BD58,$AV$102:$AV$113,0))="",BZ58="-"),CB58,INDEX($AW$102:$AW$113,MATCH($BD58,$AV$102:$AV$113,0))+CB58/1000)</f>
        <v>1</v>
      </c>
      <c r="CE58" t="str" s="140" cm="1">
        <f t="array" ref="CE58">IF(BZ58="-","-",COUNTIF(CD$58:CD$69,"&lt;"&amp;CD58))</f>
        <v>-</v>
      </c>
      <c r="CF58" s="154" cm="1">
        <f t="array" ref="CF58">BY58+_xlfn.COUNTIFS(BZ$58:BZ$69,BZ58,CE$58:CE$69,"&lt;"&amp;CE58)</f>
        <v>1</v>
      </c>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154" cm="1">
        <f t="array" ref="DJ58">INDEX($BY$58:$BY$69,MATCH($DQ58,$BD$58:$BD$69,0))</f>
        <v>1</v>
      </c>
      <c r="DK58" s="140"/>
      <c r="DL58" s="154" cm="1">
        <f t="array" ref="DL58">IF(OR($H$113=144,$AJ$99=144),COUNTIF($DJ$58:$DJ$69,DJ58),1)</f>
        <v>1</v>
      </c>
      <c r="DM58" t="str" s="140" cm="1">
        <f t="array" ref="DM58">DJ58&amp;"."&amp;DL58</f>
        <v>1.1</v>
      </c>
      <c r="DN58" s="154">
        <v>1</v>
      </c>
      <c r="DO58" s="140"/>
      <c r="DP58" s="154">
        <v>1</v>
      </c>
      <c r="DQ58" t="str" s="140" cm="1">
        <f t="array" ref="DQ58">INDEX($BD$58:$BD$69,MATCH(DP58,$BM$58:$BM$69,0))</f>
        <v>Corea del Sur</v>
      </c>
      <c r="DR58" s="87"/>
      <c r="DS58" s="87"/>
      <c r="DT58" s="88"/>
      <c r="DU58" s="12"/>
    </row>
    <row r="59" ht="16" customHeight="1">
      <c r="A59" s="78"/>
      <c r="B59" s="78"/>
      <c r="C59" s="78"/>
      <c r="D59" s="78"/>
      <c r="E59" s="78"/>
      <c r="F59" s="78"/>
      <c r="G59" s="78"/>
      <c r="H59" s="78"/>
      <c r="I59" s="78"/>
      <c r="J59" s="78"/>
      <c r="K59" s="78"/>
      <c r="L59" s="78"/>
      <c r="M59" s="78"/>
      <c r="N59" s="78"/>
      <c r="O59" s="78"/>
      <c r="P59" s="78"/>
      <c r="Q59" s="78"/>
      <c r="R59" s="78"/>
      <c r="S59" s="78"/>
      <c r="T59" s="78"/>
      <c r="U59" s="78"/>
      <c r="V59" s="90"/>
      <c r="W59" s="91"/>
      <c r="X59" t="str" s="198" cm="1">
        <f t="array" ref="X59">X3</f>
        <v>Fecha</v>
      </c>
      <c r="Y59" t="str" s="198" cm="1">
        <f t="array" ref="Y59">Y3</f>
        <v>Hora</v>
      </c>
      <c r="Z59" t="str" s="119" cm="1">
        <f t="array" ref="Z59">Z3</f>
        <v>Jor.</v>
      </c>
      <c r="AA59" t="str" s="199" cm="1">
        <f t="array" ref="AA59">AA3</f>
        <v>Casa</v>
      </c>
      <c r="AB59" s="95"/>
      <c r="AC59" t="str" s="119" cm="1">
        <f t="array" ref="AC59">AC3</f>
        <v>Gol</v>
      </c>
      <c r="AD59" t="str" s="119" cm="1">
        <f t="array" ref="AD59">AD3</f>
        <v>Gol</v>
      </c>
      <c r="AE59" s="95"/>
      <c r="AF59" t="str" s="200" cm="1">
        <f t="array" ref="AF59">AF3</f>
        <v>Fuera</v>
      </c>
      <c r="AG59" s="201"/>
      <c r="AH59" s="188"/>
      <c r="AI59" s="83"/>
      <c r="AJ59" s="100"/>
      <c r="AK59" s="202"/>
      <c r="AL59" s="100"/>
      <c r="AM59" s="100"/>
      <c r="AN59" s="100"/>
      <c r="AO59" s="100"/>
      <c r="AP59" s="100"/>
      <c r="AQ59" s="100"/>
      <c r="AR59" s="100"/>
      <c r="AS59" s="100"/>
      <c r="AT59" s="100"/>
      <c r="AU59" s="203"/>
      <c r="AV59" s="84"/>
      <c r="AW59" s="204"/>
      <c r="AX59" s="205"/>
      <c r="AY59" s="206"/>
      <c r="AZ59" s="207"/>
      <c r="BA59" s="8"/>
      <c r="BB59" t="str" s="140" cm="1">
        <f t="array" ref="BB59">"3"&amp;BC59</f>
        <v>3B</v>
      </c>
      <c r="BC59" t="s" s="125">
        <v>159</v>
      </c>
      <c r="BD59" t="str" s="140" cm="1">
        <f t="array" ref="BD59">INDEX($BD$6:$BN$53,MATCH($BB59,$BN$6:$BN$53,0),MATCH(BD$57,$BD$5:$BN$5,0))</f>
        <v>Catar</v>
      </c>
      <c r="BE59" s="154">
        <v>5</v>
      </c>
      <c r="BF59" s="154" cm="1">
        <f t="array" ref="BF59">BG59+BH59+BI59</f>
        <v>3</v>
      </c>
      <c r="BG59" s="154" cm="1">
        <f t="array" ref="BG59">CHOOSE(IF($BB$57=2,2,1),INDEX($BG$6:$BG$53,MATCH($BB59,$BN$6:$BN$53,0)),INDEX($BG$6:$BG$53,MATCH($BB59,$BN$6:$BN$53,0))-(_xlfn.COUNTIFS($AA$4:$AA$97,$BD59,$AF$4:$AF$97,INDEX($BD$6:$BD$53,MATCH(BO59,$BN$6:$BN$53,0)),$D$4:$D$97,"Local")+_xlfn.COUNTIFS($AF$4:$AF$97,$BD59,$AA$4:$AA$97,INDEX($BD$6:$BD$53,MATCH(BO59,$BN$6:$BN$53,0)),$D$4:$D$97,"Visitante")))</f>
        <v>1</v>
      </c>
      <c r="BH59" s="154" cm="1">
        <f t="array" ref="BH59">CHOOSE(IF($BB$57=2,2,1),INDEX($BH$6:$BH$53,MATCH($BB59,$BN$6:$BN$53,0)),INDEX($BH$6:$BH$53,MATCH($BB59,$BN$6:$BN$53,0))-(_xlfn.COUNTIFS($AA$4:$AA$97,$BD59,$AF$4:$AF$97,INDEX($BD$6:$BD$53,MATCH(BO59,$BN$6:$BN$53,0)),$D$4:$D$97,"Empate")+_xlfn.COUNTIFS($AF$4:$AF$97,$BD59,$AA$4:$AA$97,INDEX($BD$6:$BD$53,MATCH(BO59,$BN$6:$BN$53,0)),$D$4:$D$97,"Empate")))</f>
        <v>2</v>
      </c>
      <c r="BI59" s="154" cm="1">
        <f t="array" ref="BI59">CHOOSE(IF($BB$57=2,2,1),INDEX($BI$6:$BI$53,MATCH($BB59,$BN$6:$BN$53,0)),INDEX($BI$6:$BI$53,MATCH($BB59,$BN$6:$BN$53,0))-(_xlfn.COUNTIFS($AA$4:$AA$97,$BD59,$AF$4:$AF$97,INDEX($BD$6:$BD$53,MATCH(BO59,$BN$6:$BN$53,0)),$D$4:$D$97,"Visitante")+_xlfn.COUNTIFS($AF$4:$AF$97,$BD59,$AA$4:$AA$97,INDEX($BD$6:$BD$53,MATCH(BO59,$BN$6:$BN$53,0)),$D$4:$D$97,"Local")))</f>
        <v>0</v>
      </c>
      <c r="BJ59" s="154" cm="1">
        <f t="array" ref="BJ59">CHOOSE($BB$57,INDEX($BJ$6:$BJ$53,MATCH($BB59,$BN$6:$BN$53,0)),INDEX($BJ$6:$BJ$53,MATCH($BB59,$BN$6:$BN$53,0))-(_xlfn.SUMIFS($AC$4:$AC$97,$AA$4:$AA$97,$BD59,$AF$4:$AF$97,INDEX($BD$6:$BD$53,MATCH(BO59,$BN$6:$BN$53,0)))+_xlfn.SUMIFS($AD$4:$AD$97,$AF$4:$AF$97,$BD59,$AA$4:$AA$97,INDEX($BD$6:$BD$53,MATCH(BO59,$BN$6:$BN$53,0)))),_xlfn.IFERROR(INDEX($BJ$6:$BJ$53,MATCH($BB59,$BN$6:$BN$53,0))/BF59,0))</f>
        <v>4</v>
      </c>
      <c r="BK59" s="154" cm="1">
        <f t="array" ref="BK59">CHOOSE($BB$57,INDEX($BK$6:$BK$53,MATCH($BB59,$BN$6:$BN$53,0)),INDEX($BK$6:$BK$53,MATCH($BB59,$BN$6:$BN$53,0))-(_xlfn.SUMIFS($AD$4:$AD$97,$AA$4:$AA$97,$BD59,$AF$4:$AF$97,INDEX($BD$6:$BD$53,MATCH(BO59,$BN$6:$BN$53,0)))+_xlfn.SUMIFS($AC$4:$AC$97,$AF$4:$AF$97,$BD59,$AA$4:$AA$97,INDEX($BD$6:$BD$53,MATCH(BO59,$BN$6:$BN$53,0)))),_xlfn.IFERROR(INDEX($BK$6:$BK$53,MATCH($BB59,$BN$6:$BN$53,0))/BF59,0))</f>
        <v>3</v>
      </c>
      <c r="BL59" s="154" cm="1">
        <f t="array" ref="BL59">BJ59-BK59</f>
        <v>1</v>
      </c>
      <c r="BM59" s="154" cm="1">
        <f t="array" ref="BM59">CB59</f>
        <v>3</v>
      </c>
      <c r="BN59" s="154" cm="1">
        <f t="array" ref="BN59">CF59</f>
        <v>3</v>
      </c>
      <c r="BO59" t="str" s="140" cm="1">
        <f t="array" ref="BO59">"4"&amp;BC59</f>
        <v>4B</v>
      </c>
      <c r="BP59" s="140"/>
      <c r="BQ59" s="140"/>
      <c r="BR59" s="154" cm="1">
        <f t="array" ref="BR59">BE59</f>
        <v>5</v>
      </c>
      <c r="BS59" s="154" cm="1">
        <f t="array" ref="BS59">_xlfn.COUNTIFS(BR$58:BR$69,"&gt;"&amp;BR59)+1</f>
        <v>3</v>
      </c>
      <c r="BT59" t="str" s="140" cm="1">
        <f t="array" ref="BT59">IF(COUNTIF(BS$58:BS$69,BS59)=1,"-","Pos. "&amp;BS59&amp;" ("&amp;COUNTIF(BS$58:BS$69,BS59)&amp;")")</f>
        <v>-</v>
      </c>
      <c r="BU59" t="str" s="140" cm="1">
        <f t="array" ref="BU59">IF(BT59="-","-",BL59)</f>
        <v>-</v>
      </c>
      <c r="BV59" s="154" cm="1">
        <f t="array" ref="BV59">BS59+_xlfn.COUNTIFS(BT$58:BT$69,BT59,BU$58:BU$69,"&gt;"&amp;BU59)</f>
        <v>3</v>
      </c>
      <c r="BW59" t="str" s="140" cm="1">
        <f t="array" ref="BW59">IF(COUNTIF(BV$58:BV$69,BV59)=1,"-","Pos. "&amp;BV59&amp;" ("&amp;COUNTIF(BV$58:BV$69,BV59)&amp;")")</f>
        <v>-</v>
      </c>
      <c r="BX59" t="str" s="140" cm="1">
        <f t="array" ref="BX59">IF(BW59="-","-",BJ59)</f>
        <v>-</v>
      </c>
      <c r="BY59" s="154" cm="1">
        <f t="array" ref="BY59">BV59+_xlfn.COUNTIFS(BW$58:BW$69,BW59,BX$58:BX$69,"&gt;"&amp;BX59)</f>
        <v>3</v>
      </c>
      <c r="BZ59" t="str" s="140" cm="1">
        <f t="array" ref="BZ59">IF(COUNTIF(BY$58:BY$69,BY59)=1,"-","Pos. "&amp;BY59&amp;" ("&amp;COUNTIF(BY$58:BY$69,BY59)&amp;")")</f>
        <v>-</v>
      </c>
      <c r="CA59" t="str" s="140" cm="1">
        <f t="array" ref="CA59">IF(BZ59="-","-",COUNTIF($BD$58:$BD$69,"&gt;"&amp;BD59))</f>
        <v>-</v>
      </c>
      <c r="CB59" s="154" cm="1">
        <f t="array" ref="CB59">BY59+_xlfn.COUNTIFS(BZ$58:BZ$69,BZ59,CA$58:CA$69,"&gt;"&amp;CA59)</f>
        <v>3</v>
      </c>
      <c r="CC59" s="140"/>
      <c r="CD59" s="154" cm="1">
        <f t="array" ref="CD59">IF(OR(INDEX($AW$102:$AW$113,MATCH($BD59,$AV$102:$AV$113,0))="",BZ59="-"),CB59,INDEX($AW$102:$AW$113,MATCH($BD59,$AV$102:$AV$113,0))+CB59/1000)</f>
        <v>3</v>
      </c>
      <c r="CE59" t="str" s="140" cm="1">
        <f t="array" ref="CE59">IF(BZ59="-","-",COUNTIF(CD$58:CD$69,"&lt;"&amp;CD59))</f>
        <v>-</v>
      </c>
      <c r="CF59" s="154" cm="1">
        <f t="array" ref="CF59">BY59+_xlfn.COUNTIFS(BZ$58:BZ$69,BZ59,CE$58:CE$69,"&lt;"&amp;CE59)</f>
        <v>3</v>
      </c>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154" cm="1">
        <f t="array" ref="DJ59">INDEX($BY$58:$BY$69,MATCH($DQ59,$BD$58:$BD$69,0))</f>
        <v>2</v>
      </c>
      <c r="DK59" s="140"/>
      <c r="DL59" s="154" cm="1">
        <f t="array" ref="DL59">IF(OR($H$113=144,$AJ$99=144),COUNTIF($DJ$58:$DJ$69,DJ59),1)</f>
        <v>1</v>
      </c>
      <c r="DM59" t="str" s="140" cm="1">
        <f t="array" ref="DM59">DJ59&amp;"."&amp;DL59</f>
        <v>2.1</v>
      </c>
      <c r="DN59" s="154">
        <v>1</v>
      </c>
      <c r="DO59" s="140"/>
      <c r="DP59" s="154">
        <v>2</v>
      </c>
      <c r="DQ59" t="str" s="140" cm="1">
        <f t="array" ref="DQ59">INDEX($BD$58:$BD$69,MATCH(DP59,$BM$58:$BM$69,0))</f>
        <v>Austria</v>
      </c>
      <c r="DR59" s="87"/>
      <c r="DS59" s="87"/>
      <c r="DT59" s="88"/>
      <c r="DU59" s="12"/>
    </row>
    <row r="60" ht="16" customHeight="1">
      <c r="A60" t="s" s="89">
        <v>45</v>
      </c>
      <c r="B60" t="s" s="89">
        <v>315</v>
      </c>
      <c r="C60" s="105">
        <v>4</v>
      </c>
      <c r="D60" t="str" s="78" cm="1">
        <f t="array" ref="D60">IF(OR(AC60="",AD60=""),"Pendiente",IF(AC60&gt;AD60,"Local",IF(AC60&lt;AD60,"Visitante","Empate")))</f>
        <v>Local</v>
      </c>
      <c r="E60" t="str" s="78" cm="1">
        <f t="array" ref="E60">IF(D60="Pendiente","-",INDEX($BT$6:$BT$53,MATCH($AA60,$BD$6:$BD$53,0)))</f>
        <v>P.1 (4)</v>
      </c>
      <c r="F60" t="str" s="78" cm="1">
        <f t="array" ref="F60">IF(D60="Pendiente","-",INDEX($BT$6:$BT$53,MATCH($AF60,$BD$6:$BD$53,0)))</f>
        <v>P.1 (4)</v>
      </c>
      <c r="G60" s="78"/>
      <c r="H60" t="str" s="78" cm="1">
        <f t="array" ref="H60">IF(D60="Pendiente","-",INDEX($BZ$6:$BZ$53,MATCH($AA60,$BD$6:$BD$53,0)))</f>
        <v>P.1 (4)</v>
      </c>
      <c r="I60" t="str" s="78" cm="1">
        <f t="array" ref="I60">IF(D60="Pendiente","-",INDEX($BZ$6:$BZ$53,MATCH($AF60,$BD$6:$BD$53,0)))</f>
        <v>P.1 (4)</v>
      </c>
      <c r="J60" s="78"/>
      <c r="K60" t="str" s="78" cm="1">
        <f t="array" ref="K60">IF(D60="Pendiente","-",INDEX($CE$6:$CE$53,MATCH($AA60,$BD$6:$BD$53,0)))</f>
        <v>P.1 (4)</v>
      </c>
      <c r="L60" t="str" s="78" cm="1">
        <f t="array" ref="L60">IF(D60="Pendiente","-",INDEX($CE$6:$CE$53,MATCH($AF60,$BD$6:$BD$53,0)))</f>
        <v>P.1 (4)</v>
      </c>
      <c r="M60" s="78"/>
      <c r="N60" t="str" s="78" cm="1">
        <f t="array" ref="N60">IF(D60="Pendiente","-",INDEX($CH$6:$CH$53,MATCH($AA60,$BD$6:$BD$53,0)))</f>
        <v>P.1 (4)</v>
      </c>
      <c r="O60" t="str" s="78" cm="1">
        <f t="array" ref="O60">IF(D60="Pendiente","-",INDEX($CH$6:$CH$53,MATCH($AF60,$BD$6:$BD$53,0)))</f>
        <v>P.1 (4)</v>
      </c>
      <c r="P60" s="78"/>
      <c r="Q60" t="str" s="78" cm="1">
        <f t="array" ref="Q60">IF(D60="Pendiente","-",INDEX($CN$6:$CN$53,MATCH($AA60,$BD$6:$BD$53,0)))</f>
        <v>P.1 (4)</v>
      </c>
      <c r="R60" t="str" s="78" cm="1">
        <f t="array" ref="R60">IF(D60="Pendiente","-",INDEX($CN$6:$CN$53,MATCH($AF60,$BD$6:$BD$53,0)))</f>
        <v>P.1 (4)</v>
      </c>
      <c r="S60" s="78"/>
      <c r="T60" t="str" s="78" cm="1">
        <f t="array" ref="T60">IF(D60="Pendiente","-",INDEX($CS$6:$CS$53,MATCH($AA60,$BD$6:$BD$53,0)))</f>
        <v>P.1 (4)</v>
      </c>
      <c r="U60" t="str" s="78" cm="1">
        <f t="array" ref="U60">IF(D60="Pendiente","-",INDEX($CS$6:$CS$53,MATCH($AF60,$BD$6:$BD$53,0)))</f>
        <v>P.1 (4)</v>
      </c>
      <c r="V60" s="90"/>
      <c r="W60" t="s" s="245">
        <v>315</v>
      </c>
      <c r="X60" s="107">
        <v>46188.5</v>
      </c>
      <c r="Y60" s="108">
        <v>46188.5</v>
      </c>
      <c r="Z60" t="str" s="127" cm="1">
        <f t="array" ref="Z60">$Z$4</f>
        <v>J1</v>
      </c>
      <c r="AA60" t="str" s="110" cm="1">
        <f t="array" ref="AA60">A61</f>
        <v>España</v>
      </c>
      <c r="AB60" s="111"/>
      <c r="AC60" s="112">
        <v>3</v>
      </c>
      <c r="AD60" s="112">
        <v>0</v>
      </c>
      <c r="AE60" s="113"/>
      <c r="AF60" t="str" s="114" cm="1">
        <f t="array" ref="AF60">A62</f>
        <v>Cabo Verde</v>
      </c>
      <c r="AG60" s="115" cm="1">
        <f t="array" ref="AG60">IF(NOT(OR(ISBLANK(AC60),ISBLANK(AD60))),1,0)</f>
        <v>1</v>
      </c>
      <c r="AH60" s="116">
        <v>14</v>
      </c>
      <c r="AI60" s="117"/>
      <c r="AJ60" t="str" s="118" cm="1">
        <f t="array" ref="AJ60">CONCATENATE(AJ3," ",B60)</f>
        <v>Grupo H</v>
      </c>
      <c r="AK60" s="119"/>
      <c r="AL60" s="119"/>
      <c r="AM60" s="119"/>
      <c r="AN60" s="119"/>
      <c r="AO60" s="119"/>
      <c r="AP60" s="119"/>
      <c r="AQ60" s="119"/>
      <c r="AR60" s="119"/>
      <c r="AS60" s="119"/>
      <c r="AT60" s="120"/>
      <c r="AU60" s="209"/>
      <c r="AV60" t="str" s="122" cm="1">
        <f t="array" ref="AV60">IF(AU61&gt;0,$AV$3,"")</f>
        <v>¡EMPATE! Puedes seleccionar el orden de los empatados.</v>
      </c>
      <c r="AW60" s="217"/>
      <c r="AX60" s="217"/>
      <c r="AY60" s="211"/>
      <c r="AZ60" s="212"/>
      <c r="BA60" s="8"/>
      <c r="BB60" t="str" s="140" cm="1">
        <f t="array" ref="BB60">"3"&amp;BC60</f>
        <v>3C</v>
      </c>
      <c r="BC60" t="s" s="125">
        <v>200</v>
      </c>
      <c r="BD60" t="str" s="140" cm="1">
        <f t="array" ref="BD60">INDEX($BD$6:$BN$53,MATCH($BB60,$BN$6:$BN$53,0),MATCH(BD$57,$BD$5:$BN$5,0))</f>
        <v>Haití</v>
      </c>
      <c r="BE60" s="154">
        <v>1</v>
      </c>
      <c r="BF60" s="154" cm="1">
        <f t="array" ref="BF60">BG60+BH60+BI60</f>
        <v>3</v>
      </c>
      <c r="BG60" s="154" cm="1">
        <f t="array" ref="BG60">CHOOSE(IF($BB$57=2,2,1),INDEX($BG$6:$BG$53,MATCH($BB60,$BN$6:$BN$53,0)),INDEX($BG$6:$BG$53,MATCH($BB60,$BN$6:$BN$53,0))-(_xlfn.COUNTIFS($AA$4:$AA$97,$BD60,$AF$4:$AF$97,INDEX($BD$6:$BD$53,MATCH(BO60,$BN$6:$BN$53,0)),$D$4:$D$97,"Local")+_xlfn.COUNTIFS($AF$4:$AF$97,$BD60,$AA$4:$AA$97,INDEX($BD$6:$BD$53,MATCH(BO60,$BN$6:$BN$53,0)),$D$4:$D$97,"Visitante")))</f>
        <v>0</v>
      </c>
      <c r="BH60" s="154" cm="1">
        <f t="array" ref="BH60">CHOOSE(IF($BB$57=2,2,1),INDEX($BH$6:$BH$53,MATCH($BB60,$BN$6:$BN$53,0)),INDEX($BH$6:$BH$53,MATCH($BB60,$BN$6:$BN$53,0))-(_xlfn.COUNTIFS($AA$4:$AA$97,$BD60,$AF$4:$AF$97,INDEX($BD$6:$BD$53,MATCH(BO60,$BN$6:$BN$53,0)),$D$4:$D$97,"Empate")+_xlfn.COUNTIFS($AF$4:$AF$97,$BD60,$AA$4:$AA$97,INDEX($BD$6:$BD$53,MATCH(BO60,$BN$6:$BN$53,0)),$D$4:$D$97,"Empate")))</f>
        <v>1</v>
      </c>
      <c r="BI60" s="154" cm="1">
        <f t="array" ref="BI60">CHOOSE(IF($BB$57=2,2,1),INDEX($BI$6:$BI$53,MATCH($BB60,$BN$6:$BN$53,0)),INDEX($BI$6:$BI$53,MATCH($BB60,$BN$6:$BN$53,0))-(_xlfn.COUNTIFS($AA$4:$AA$97,$BD60,$AF$4:$AF$97,INDEX($BD$6:$BD$53,MATCH(BO60,$BN$6:$BN$53,0)),$D$4:$D$97,"Visitante")+_xlfn.COUNTIFS($AF$4:$AF$97,$BD60,$AA$4:$AA$97,INDEX($BD$6:$BD$53,MATCH(BO60,$BN$6:$BN$53,0)),$D$4:$D$97,"Local")))</f>
        <v>2</v>
      </c>
      <c r="BJ60" s="154" cm="1">
        <f t="array" ref="BJ60">CHOOSE($BB$57,INDEX($BJ$6:$BJ$53,MATCH($BB60,$BN$6:$BN$53,0)),INDEX($BJ$6:$BJ$53,MATCH($BB60,$BN$6:$BN$53,0))-(_xlfn.SUMIFS($AC$4:$AC$97,$AA$4:$AA$97,$BD60,$AF$4:$AF$97,INDEX($BD$6:$BD$53,MATCH(BO60,$BN$6:$BN$53,0)))+_xlfn.SUMIFS($AD$4:$AD$97,$AF$4:$AF$97,$BD60,$AA$4:$AA$97,INDEX($BD$6:$BD$53,MATCH(BO60,$BN$6:$BN$53,0)))),_xlfn.IFERROR(INDEX($BJ$6:$BJ$53,MATCH($BB60,$BN$6:$BN$53,0))/BF60,0))</f>
        <v>0</v>
      </c>
      <c r="BK60" s="154" cm="1">
        <f t="array" ref="BK60">CHOOSE($BB$57,INDEX($BK$6:$BK$53,MATCH($BB60,$BN$6:$BN$53,0)),INDEX($BK$6:$BK$53,MATCH($BB60,$BN$6:$BN$53,0))-(_xlfn.SUMIFS($AD$4:$AD$97,$AA$4:$AA$97,$BD60,$AF$4:$AF$97,INDEX($BD$6:$BD$53,MATCH(BO60,$BN$6:$BN$53,0)))+_xlfn.SUMIFS($AC$4:$AC$97,$AF$4:$AF$97,$BD60,$AA$4:$AA$97,INDEX($BD$6:$BD$53,MATCH(BO60,$BN$6:$BN$53,0)))),_xlfn.IFERROR(INDEX($BK$6:$BK$53,MATCH($BB60,$BN$6:$BN$53,0))/BF60,0))</f>
        <v>4</v>
      </c>
      <c r="BL60" s="154" cm="1">
        <f t="array" ref="BL60">BJ60-BK60</f>
        <v>-4</v>
      </c>
      <c r="BM60" s="154" cm="1">
        <f t="array" ref="BM60">CB60</f>
        <v>10</v>
      </c>
      <c r="BN60" s="154" cm="1">
        <f t="array" ref="BN60">CF60</f>
        <v>10</v>
      </c>
      <c r="BO60" t="str" s="140" cm="1">
        <f t="array" ref="BO60">"4"&amp;BC60</f>
        <v>4C</v>
      </c>
      <c r="BP60" s="140"/>
      <c r="BQ60" s="140"/>
      <c r="BR60" s="154" cm="1">
        <f t="array" ref="BR60">BE60</f>
        <v>1</v>
      </c>
      <c r="BS60" s="154" cm="1">
        <f t="array" ref="BS60">_xlfn.COUNTIFS(BR$58:BR$69,"&gt;"&amp;BR60)+1</f>
        <v>9</v>
      </c>
      <c r="BT60" t="str" s="140" cm="1">
        <f t="array" ref="BT60">IF(COUNTIF(BS$58:BS$69,BS60)=1,"-","Pos. "&amp;BS60&amp;" ("&amp;COUNTIF(BS$58:BS$69,BS60)&amp;")")</f>
        <v>Pos. 9 (2)</v>
      </c>
      <c r="BU60" s="154" cm="1">
        <f t="array" ref="BU60">IF(BT60="-","-",BL60)</f>
        <v>-4</v>
      </c>
      <c r="BV60" s="154" cm="1">
        <f t="array" ref="BV60">BS60+_xlfn.COUNTIFS(BT$58:BT$69,BT60,BU$58:BU$69,"&gt;"&amp;BU60)</f>
        <v>10</v>
      </c>
      <c r="BW60" t="str" s="140" cm="1">
        <f t="array" ref="BW60">IF(COUNTIF(BV$58:BV$69,BV60)=1,"-","Pos. "&amp;BV60&amp;" ("&amp;COUNTIF(BV$58:BV$69,BV60)&amp;")")</f>
        <v>-</v>
      </c>
      <c r="BX60" t="str" s="140" cm="1">
        <f t="array" ref="BX60">IF(BW60="-","-",BJ60)</f>
        <v>-</v>
      </c>
      <c r="BY60" s="154" cm="1">
        <f t="array" ref="BY60">BV60+_xlfn.COUNTIFS(BW$58:BW$69,BW60,BX$58:BX$69,"&gt;"&amp;BX60)</f>
        <v>10</v>
      </c>
      <c r="BZ60" t="str" s="140" cm="1">
        <f t="array" ref="BZ60">IF(COUNTIF(BY$58:BY$69,BY60)=1,"-","Pos. "&amp;BY60&amp;" ("&amp;COUNTIF(BY$58:BY$69,BY60)&amp;")")</f>
        <v>-</v>
      </c>
      <c r="CA60" t="str" s="140" cm="1">
        <f t="array" ref="CA60">IF(BZ60="-","-",COUNTIF($BD$58:$BD$69,"&gt;"&amp;BD60))</f>
        <v>-</v>
      </c>
      <c r="CB60" s="154" cm="1">
        <f t="array" ref="CB60">BY60+_xlfn.COUNTIFS(BZ$58:BZ$69,BZ60,CA$58:CA$69,"&gt;"&amp;CA60)</f>
        <v>10</v>
      </c>
      <c r="CC60" s="140"/>
      <c r="CD60" s="154" cm="1">
        <f t="array" ref="CD60">IF(OR(INDEX($AW$102:$AW$113,MATCH($BD60,$AV$102:$AV$113,0))="",BZ60="-"),CB60,INDEX($AW$102:$AW$113,MATCH($BD60,$AV$102:$AV$113,0))+CB60/1000)</f>
        <v>10</v>
      </c>
      <c r="CE60" t="str" s="140" cm="1">
        <f t="array" ref="CE60">IF(BZ60="-","-",COUNTIF(CD$58:CD$69,"&lt;"&amp;CD60))</f>
        <v>-</v>
      </c>
      <c r="CF60" s="154" cm="1">
        <f t="array" ref="CF60">BY60+_xlfn.COUNTIFS(BZ$58:BZ$69,BZ60,CE$58:CE$69,"&lt;"&amp;CE60)</f>
        <v>10</v>
      </c>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154" cm="1">
        <f t="array" ref="DJ60">INDEX($BY$58:$BY$69,MATCH($DQ60,$BD$58:$BD$69,0))</f>
        <v>3</v>
      </c>
      <c r="DK60" s="140"/>
      <c r="DL60" s="154" cm="1">
        <f t="array" ref="DL60">IF(OR($H$113=144,$AJ$99=144),COUNTIF($DJ$58:$DJ$69,DJ60),1)</f>
        <v>1</v>
      </c>
      <c r="DM60" t="str" s="140" cm="1">
        <f t="array" ref="DM60">DJ60&amp;"."&amp;DL60</f>
        <v>3.1</v>
      </c>
      <c r="DN60" s="154">
        <v>1</v>
      </c>
      <c r="DO60" s="140"/>
      <c r="DP60" s="154">
        <v>3</v>
      </c>
      <c r="DQ60" t="str" s="140" cm="1">
        <f t="array" ref="DQ60">INDEX($BD$58:$BD$69,MATCH(DP60,$BM$58:$BM$69,0))</f>
        <v>Catar</v>
      </c>
      <c r="DR60" s="87"/>
      <c r="DS60" s="87"/>
      <c r="DT60" s="88"/>
      <c r="DU60" s="12"/>
    </row>
    <row r="61" ht="16" customHeight="1">
      <c r="A61" t="s" s="89">
        <v>316</v>
      </c>
      <c r="B61" s="78"/>
      <c r="C61" s="78"/>
      <c r="D61" t="str" s="78" cm="1">
        <f t="array" ref="D61">IF(OR(AC61="",AD61=""),"Pendiente",IF(AC61&gt;AD61,"Local",IF(AC61&lt;AD61,"Visitante","Empate")))</f>
        <v>Visitante</v>
      </c>
      <c r="E61" t="str" s="78" cm="1">
        <f t="array" ref="E61">IF(D61="Pendiente","-",INDEX($BT$6:$BT$53,MATCH($AA61,$BD$6:$BD$53,0)))</f>
        <v>P.1 (4)</v>
      </c>
      <c r="F61" t="str" s="78" cm="1">
        <f t="array" ref="F61">IF(D61="Pendiente","-",INDEX($BT$6:$BT$53,MATCH($AF61,$BD$6:$BD$53,0)))</f>
        <v>P.1 (4)</v>
      </c>
      <c r="G61" s="78"/>
      <c r="H61" t="str" s="78" cm="1">
        <f t="array" ref="H61">IF(D61="Pendiente","-",INDEX($BZ$6:$BZ$53,MATCH($AA61,$BD$6:$BD$53,0)))</f>
        <v>P.1 (4)</v>
      </c>
      <c r="I61" t="str" s="78" cm="1">
        <f t="array" ref="I61">IF(D61="Pendiente","-",INDEX($BZ$6:$BZ$53,MATCH($AF61,$BD$6:$BD$53,0)))</f>
        <v>P.1 (4)</v>
      </c>
      <c r="J61" s="78"/>
      <c r="K61" t="str" s="78" cm="1">
        <f t="array" ref="K61">IF(D61="Pendiente","-",INDEX($CE$6:$CE$53,MATCH($AA61,$BD$6:$BD$53,0)))</f>
        <v>P.1 (4)</v>
      </c>
      <c r="L61" t="str" s="78" cm="1">
        <f t="array" ref="L61">IF(D61="Pendiente","-",INDEX($CE$6:$CE$53,MATCH($AF61,$BD$6:$BD$53,0)))</f>
        <v>P.1 (4)</v>
      </c>
      <c r="M61" s="78"/>
      <c r="N61" t="str" s="78" cm="1">
        <f t="array" ref="N61">IF(D61="Pendiente","-",INDEX($CH$6:$CH$53,MATCH($AA61,$BD$6:$BD$53,0)))</f>
        <v>P.1 (4)</v>
      </c>
      <c r="O61" t="str" s="78" cm="1">
        <f t="array" ref="O61">IF(D61="Pendiente","-",INDEX($CH$6:$CH$53,MATCH($AF61,$BD$6:$BD$53,0)))</f>
        <v>P.1 (4)</v>
      </c>
      <c r="P61" s="78"/>
      <c r="Q61" t="str" s="78" cm="1">
        <f t="array" ref="Q61">IF(D61="Pendiente","-",INDEX($CN$6:$CN$53,MATCH($AA61,$BD$6:$BD$53,0)))</f>
        <v>P.1 (4)</v>
      </c>
      <c r="R61" t="str" s="78" cm="1">
        <f t="array" ref="R61">IF(D61="Pendiente","-",INDEX($CN$6:$CN$53,MATCH($AF61,$BD$6:$BD$53,0)))</f>
        <v>P.1 (4)</v>
      </c>
      <c r="S61" s="78"/>
      <c r="T61" t="str" s="78" cm="1">
        <f t="array" ref="T61">IF(D61="Pendiente","-",INDEX($CS$6:$CS$53,MATCH($AA61,$BD$6:$BD$53,0)))</f>
        <v>P.1 (4)</v>
      </c>
      <c r="U61" t="str" s="78" cm="1">
        <f t="array" ref="U61">IF(D61="Pendiente","-",INDEX($CS$6:$CS$53,MATCH($AF61,$BD$6:$BD$53,0)))</f>
        <v>P.1 (4)</v>
      </c>
      <c r="V61" s="90"/>
      <c r="W61" s="126"/>
      <c r="X61" s="107">
        <v>46188.75</v>
      </c>
      <c r="Y61" s="108">
        <v>46188.75</v>
      </c>
      <c r="Z61" t="str" s="127" cm="1">
        <f t="array" ref="Z61">$Z$4</f>
        <v>J1</v>
      </c>
      <c r="AA61" t="str" s="110" cm="1">
        <f t="array" ref="AA61">A63</f>
        <v>Arabia Saudita</v>
      </c>
      <c r="AB61" s="111"/>
      <c r="AC61" s="128">
        <v>1</v>
      </c>
      <c r="AD61" s="128">
        <v>2</v>
      </c>
      <c r="AE61" s="113"/>
      <c r="AF61" t="str" s="114" cm="1">
        <f t="array" ref="AF61">A64</f>
        <v>Uruguay</v>
      </c>
      <c r="AG61" s="115" cm="1">
        <f t="array" ref="AG61">IF(NOT(OR(ISBLANK(AC61),ISBLANK(AD61))),1,0)</f>
        <v>1</v>
      </c>
      <c r="AH61" s="116">
        <v>13</v>
      </c>
      <c r="AI61" s="117"/>
      <c r="AJ61" t="str" s="213" cm="1">
        <f t="array" ref="AJ61">AJ5</f>
        <v>Pos</v>
      </c>
      <c r="AK61" s="130"/>
      <c r="AL61" t="str" s="214" cm="1">
        <f t="array" ref="AL61">AL5</f>
        <v>Selección</v>
      </c>
      <c r="AM61" t="str" s="130" cm="1">
        <f t="array" ref="AM61">AM5</f>
        <v>Pts</v>
      </c>
      <c r="AN61" t="str" s="130" cm="1">
        <f t="array" ref="AN61">AN5</f>
        <v>J</v>
      </c>
      <c r="AO61" t="str" s="130" cm="1">
        <f t="array" ref="AO61">AO5</f>
        <v>G</v>
      </c>
      <c r="AP61" t="str" s="130" cm="1">
        <f t="array" ref="AP61">AP5</f>
        <v>E</v>
      </c>
      <c r="AQ61" t="str" s="130" cm="1">
        <f t="array" ref="AQ61">AQ5</f>
        <v>P</v>
      </c>
      <c r="AR61" t="str" s="130" cm="1">
        <f t="array" ref="AR61">AR5</f>
        <v>GF</v>
      </c>
      <c r="AS61" t="str" s="130" cm="1">
        <f t="array" ref="AS61">AS5</f>
        <v>GC</v>
      </c>
      <c r="AT61" t="str" s="215" cm="1">
        <f t="array" ref="AT61">AT5</f>
        <v>DG</v>
      </c>
      <c r="AU61" s="216" cm="1">
        <f t="array" ref="AU61">COUNTIF(AU62:AU65,"&gt;1")</f>
        <v>4</v>
      </c>
      <c r="AV61" s="135"/>
      <c r="AW61" s="217"/>
      <c r="AX61" s="218"/>
      <c r="AY61" t="str" s="137" cm="1">
        <f t="array" ref="AY61">AL61</f>
        <v>Selección</v>
      </c>
      <c r="AZ61" t="s" s="138">
        <v>70</v>
      </c>
      <c r="BA61" s="139"/>
      <c r="BB61" t="str" s="140" cm="1">
        <f t="array" ref="BB61">"3"&amp;BC61</f>
        <v>3D</v>
      </c>
      <c r="BC61" t="s" s="125">
        <v>223</v>
      </c>
      <c r="BD61" t="str" s="140" cm="1">
        <f t="array" ref="BD61">INDEX($BD$6:$BN$53,MATCH($BB61,$BN$6:$BN$53,0),MATCH(BD$57,$BD$5:$BN$5,0))</f>
        <v>Australia</v>
      </c>
      <c r="BE61" s="154">
        <v>0</v>
      </c>
      <c r="BF61" s="154" cm="1">
        <f t="array" ref="BF61">BG61+BH61+BI61</f>
        <v>3</v>
      </c>
      <c r="BG61" s="154" cm="1">
        <f t="array" ref="BG61">CHOOSE(IF($BB$57=2,2,1),INDEX($BG$6:$BG$53,MATCH($BB61,$BN$6:$BN$53,0)),INDEX($BG$6:$BG$53,MATCH($BB61,$BN$6:$BN$53,0))-(_xlfn.COUNTIFS($AA$4:$AA$97,$BD61,$AF$4:$AF$97,INDEX($BD$6:$BD$53,MATCH(BO61,$BN$6:$BN$53,0)),$D$4:$D$97,"Local")+_xlfn.COUNTIFS($AF$4:$AF$97,$BD61,$AA$4:$AA$97,INDEX($BD$6:$BD$53,MATCH(BO61,$BN$6:$BN$53,0)),$D$4:$D$97,"Visitante")))</f>
        <v>0</v>
      </c>
      <c r="BH61" s="154" cm="1">
        <f t="array" ref="BH61">CHOOSE(IF($BB$57=2,2,1),INDEX($BH$6:$BH$53,MATCH($BB61,$BN$6:$BN$53,0)),INDEX($BH$6:$BH$53,MATCH($BB61,$BN$6:$BN$53,0))-(_xlfn.COUNTIFS($AA$4:$AA$97,$BD61,$AF$4:$AF$97,INDEX($BD$6:$BD$53,MATCH(BO61,$BN$6:$BN$53,0)),$D$4:$D$97,"Empate")+_xlfn.COUNTIFS($AF$4:$AF$97,$BD61,$AA$4:$AA$97,INDEX($BD$6:$BD$53,MATCH(BO61,$BN$6:$BN$53,0)),$D$4:$D$97,"Empate")))</f>
        <v>0</v>
      </c>
      <c r="BI61" s="154" cm="1">
        <f t="array" ref="BI61">CHOOSE(IF($BB$57=2,2,1),INDEX($BI$6:$BI$53,MATCH($BB61,$BN$6:$BN$53,0)),INDEX($BI$6:$BI$53,MATCH($BB61,$BN$6:$BN$53,0))-(_xlfn.COUNTIFS($AA$4:$AA$97,$BD61,$AF$4:$AF$97,INDEX($BD$6:$BD$53,MATCH(BO61,$BN$6:$BN$53,0)),$D$4:$D$97,"Visitante")+_xlfn.COUNTIFS($AF$4:$AF$97,$BD61,$AA$4:$AA$97,INDEX($BD$6:$BD$53,MATCH(BO61,$BN$6:$BN$53,0)),$D$4:$D$97,"Local")))</f>
        <v>3</v>
      </c>
      <c r="BJ61" s="154" cm="1">
        <f t="array" ref="BJ61">CHOOSE($BB$57,INDEX($BJ$6:$BJ$53,MATCH($BB61,$BN$6:$BN$53,0)),INDEX($BJ$6:$BJ$53,MATCH($BB61,$BN$6:$BN$53,0))-(_xlfn.SUMIFS($AC$4:$AC$97,$AA$4:$AA$97,$BD61,$AF$4:$AF$97,INDEX($BD$6:$BD$53,MATCH(BO61,$BN$6:$BN$53,0)))+_xlfn.SUMIFS($AD$4:$AD$97,$AF$4:$AF$97,$BD61,$AA$4:$AA$97,INDEX($BD$6:$BD$53,MATCH(BO61,$BN$6:$BN$53,0)))),_xlfn.IFERROR(INDEX($BJ$6:$BJ$53,MATCH($BB61,$BN$6:$BN$53,0))/BF61,0))</f>
        <v>2</v>
      </c>
      <c r="BK61" s="154" cm="1">
        <f t="array" ref="BK61">CHOOSE($BB$57,INDEX($BK$6:$BK$53,MATCH($BB61,$BN$6:$BN$53,0)),INDEX($BK$6:$BK$53,MATCH($BB61,$BN$6:$BN$53,0))-(_xlfn.SUMIFS($AD$4:$AD$97,$AA$4:$AA$97,$BD61,$AF$4:$AF$97,INDEX($BD$6:$BD$53,MATCH(BO61,$BN$6:$BN$53,0)))+_xlfn.SUMIFS($AC$4:$AC$97,$AF$4:$AF$97,$BD61,$AA$4:$AA$97,INDEX($BD$6:$BD$53,MATCH(BO61,$BN$6:$BN$53,0)))),_xlfn.IFERROR(INDEX($BK$6:$BK$53,MATCH($BB61,$BN$6:$BN$53,0))/BF61,0))</f>
        <v>6</v>
      </c>
      <c r="BL61" s="154" cm="1">
        <f t="array" ref="BL61">BJ61-BK61</f>
        <v>-4</v>
      </c>
      <c r="BM61" s="154" cm="1">
        <f t="array" ref="BM61">CB61</f>
        <v>11</v>
      </c>
      <c r="BN61" s="154" cm="1">
        <f t="array" ref="BN61">CF61</f>
        <v>11</v>
      </c>
      <c r="BO61" t="str" s="140" cm="1">
        <f t="array" ref="BO61">"4"&amp;BC61</f>
        <v>4D</v>
      </c>
      <c r="BP61" s="140"/>
      <c r="BQ61" s="140"/>
      <c r="BR61" s="154" cm="1">
        <f t="array" ref="BR61">BE61</f>
        <v>0</v>
      </c>
      <c r="BS61" s="154" cm="1">
        <f t="array" ref="BS61">_xlfn.COUNTIFS(BR$58:BR$69,"&gt;"&amp;BR61)+1</f>
        <v>11</v>
      </c>
      <c r="BT61" t="str" s="140" cm="1">
        <f t="array" ref="BT61">IF(COUNTIF(BS$58:BS$69,BS61)=1,"-","Pos. "&amp;BS61&amp;" ("&amp;COUNTIF(BS$58:BS$69,BS61)&amp;")")</f>
        <v>Pos. 11 (2)</v>
      </c>
      <c r="BU61" s="154" cm="1">
        <f t="array" ref="BU61">IF(BT61="-","-",BL61)</f>
        <v>-4</v>
      </c>
      <c r="BV61" s="154" cm="1">
        <f t="array" ref="BV61">BS61+_xlfn.COUNTIFS(BT$58:BT$69,BT61,BU$58:BU$69,"&gt;"&amp;BU61)</f>
        <v>11</v>
      </c>
      <c r="BW61" t="str" s="140" cm="1">
        <f t="array" ref="BW61">IF(COUNTIF(BV$58:BV$69,BV61)=1,"-","Pos. "&amp;BV61&amp;" ("&amp;COUNTIF(BV$58:BV$69,BV61)&amp;")")</f>
        <v>-</v>
      </c>
      <c r="BX61" t="str" s="140" cm="1">
        <f t="array" ref="BX61">IF(BW61="-","-",BJ61)</f>
        <v>-</v>
      </c>
      <c r="BY61" s="154" cm="1">
        <f t="array" ref="BY61">BV61+_xlfn.COUNTIFS(BW$58:BW$69,BW61,BX$58:BX$69,"&gt;"&amp;BX61)</f>
        <v>11</v>
      </c>
      <c r="BZ61" t="str" s="140" cm="1">
        <f t="array" ref="BZ61">IF(COUNTIF(BY$58:BY$69,BY61)=1,"-","Pos. "&amp;BY61&amp;" ("&amp;COUNTIF(BY$58:BY$69,BY61)&amp;")")</f>
        <v>-</v>
      </c>
      <c r="CA61" t="str" s="140" cm="1">
        <f t="array" ref="CA61">IF(BZ61="-","-",COUNTIF($BD$58:$BD$69,"&gt;"&amp;BD61))</f>
        <v>-</v>
      </c>
      <c r="CB61" s="154" cm="1">
        <f t="array" ref="CB61">BY61+_xlfn.COUNTIFS(BZ$58:BZ$69,BZ61,CA$58:CA$69,"&gt;"&amp;CA61)</f>
        <v>11</v>
      </c>
      <c r="CC61" s="140"/>
      <c r="CD61" s="154" cm="1">
        <f t="array" ref="CD61">IF(OR(INDEX($AW$102:$AW$113,MATCH($BD61,$AV$102:$AV$113,0))="",BZ61="-"),CB61,INDEX($AW$102:$AW$113,MATCH($BD61,$AV$102:$AV$113,0))+CB61/1000)</f>
        <v>11</v>
      </c>
      <c r="CE61" t="str" s="140" cm="1">
        <f t="array" ref="CE61">IF(BZ61="-","-",COUNTIF(CD$58:CD$69,"&lt;"&amp;CD61))</f>
        <v>-</v>
      </c>
      <c r="CF61" s="154" cm="1">
        <f t="array" ref="CF61">BY61+_xlfn.COUNTIFS(BZ$58:BZ$69,BZ61,CE$58:CE$69,"&lt;"&amp;CE61)</f>
        <v>11</v>
      </c>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154" cm="1">
        <f t="array" ref="DJ61">INDEX($BY$58:$BY$69,MATCH($DQ61,$BD$58:$BD$69,0))</f>
        <v>4</v>
      </c>
      <c r="DK61" s="140"/>
      <c r="DL61" s="154" cm="1">
        <f t="array" ref="DL61">IF(OR($H$113=144,$AJ$99=144),COUNTIF($DJ$58:$DJ$69,DJ61),1)</f>
        <v>1</v>
      </c>
      <c r="DM61" t="str" s="140" cm="1">
        <f t="array" ref="DM61">DJ61&amp;"."&amp;DL61</f>
        <v>4.1</v>
      </c>
      <c r="DN61" s="154">
        <v>1</v>
      </c>
      <c r="DO61" s="140"/>
      <c r="DP61" s="154">
        <v>4</v>
      </c>
      <c r="DQ61" t="str" s="140" cm="1">
        <f t="array" ref="DQ61">INDEX($BD$58:$BD$69,MATCH(DP61,$BM$58:$BM$69,0))</f>
        <v>Suecia</v>
      </c>
      <c r="DR61" s="87"/>
      <c r="DS61" s="87"/>
      <c r="DT61" s="88"/>
      <c r="DU61" s="12"/>
    </row>
    <row r="62" ht="16" customHeight="1">
      <c r="A62" t="s" s="89">
        <v>320</v>
      </c>
      <c r="B62" s="78"/>
      <c r="C62" s="78"/>
      <c r="D62" t="str" s="78" cm="1">
        <f t="array" ref="D62">IF(OR(AC62="",AD62=""),"Pendiente",IF(AC62&gt;AD62,"Local",IF(AC62&lt;AD62,"Visitante","Empate")))</f>
        <v>Local</v>
      </c>
      <c r="E62" t="str" s="78" cm="1">
        <f t="array" ref="E62">IF(D62="Pendiente","-",INDEX($BT$6:$BT$53,MATCH($AA62,$BD$6:$BD$53,0)))</f>
        <v>P.1 (4)</v>
      </c>
      <c r="F62" t="str" s="78" cm="1">
        <f t="array" ref="F62">IF(D62="Pendiente","-",INDEX($BT$6:$BT$53,MATCH($AF62,$BD$6:$BD$53,0)))</f>
        <v>P.1 (4)</v>
      </c>
      <c r="G62" s="78"/>
      <c r="H62" t="str" s="78" cm="1">
        <f t="array" ref="H62">IF(D62="Pendiente","-",INDEX($BZ$6:$BZ$53,MATCH($AA62,$BD$6:$BD$53,0)))</f>
        <v>P.1 (4)</v>
      </c>
      <c r="I62" t="str" s="78" cm="1">
        <f t="array" ref="I62">IF(D62="Pendiente","-",INDEX($BZ$6:$BZ$53,MATCH($AF62,$BD$6:$BD$53,0)))</f>
        <v>P.1 (4)</v>
      </c>
      <c r="J62" s="78"/>
      <c r="K62" t="str" s="78" cm="1">
        <f t="array" ref="K62">IF(D62="Pendiente","-",INDEX($CE$6:$CE$53,MATCH($AA62,$BD$6:$BD$53,0)))</f>
        <v>P.1 (4)</v>
      </c>
      <c r="L62" t="str" s="78" cm="1">
        <f t="array" ref="L62">IF(D62="Pendiente","-",INDEX($CE$6:$CE$53,MATCH($AF62,$BD$6:$BD$53,0)))</f>
        <v>P.1 (4)</v>
      </c>
      <c r="M62" s="78"/>
      <c r="N62" t="str" s="78" cm="1">
        <f t="array" ref="N62">IF(D62="Pendiente","-",INDEX($CH$6:$CH$53,MATCH($AA62,$BD$6:$BD$53,0)))</f>
        <v>P.1 (4)</v>
      </c>
      <c r="O62" t="str" s="78" cm="1">
        <f t="array" ref="O62">IF(D62="Pendiente","-",INDEX($CH$6:$CH$53,MATCH($AF62,$BD$6:$BD$53,0)))</f>
        <v>P.1 (4)</v>
      </c>
      <c r="P62" s="78"/>
      <c r="Q62" t="str" s="78" cm="1">
        <f t="array" ref="Q62">IF(D62="Pendiente","-",INDEX($CN$6:$CN$53,MATCH($AA62,$BD$6:$BD$53,0)))</f>
        <v>P.1 (4)</v>
      </c>
      <c r="R62" t="str" s="78" cm="1">
        <f t="array" ref="R62">IF(D62="Pendiente","-",INDEX($CN$6:$CN$53,MATCH($AF62,$BD$6:$BD$53,0)))</f>
        <v>P.1 (4)</v>
      </c>
      <c r="S62" s="78"/>
      <c r="T62" t="str" s="78" cm="1">
        <f t="array" ref="T62">IF(D62="Pendiente","-",INDEX($CS$6:$CS$53,MATCH($AA62,$BD$6:$BD$53,0)))</f>
        <v>P.1 (4)</v>
      </c>
      <c r="U62" t="str" s="78" cm="1">
        <f t="array" ref="U62">IF(D62="Pendiente","-",INDEX($CS$6:$CS$53,MATCH($AF62,$BD$6:$BD$53,0)))</f>
        <v>P.1 (4)</v>
      </c>
      <c r="V62" s="90"/>
      <c r="W62" s="141"/>
      <c r="X62" s="107">
        <v>46194.5</v>
      </c>
      <c r="Y62" s="108">
        <v>46194.5</v>
      </c>
      <c r="Z62" t="str" s="127" cm="1">
        <f t="array" ref="Z62">$Z$6</f>
        <v>J2</v>
      </c>
      <c r="AA62" t="str" s="110" cm="1">
        <f t="array" ref="AA62">A61</f>
        <v>España</v>
      </c>
      <c r="AB62" s="111"/>
      <c r="AC62" s="128">
        <v>2</v>
      </c>
      <c r="AD62" s="128">
        <v>0</v>
      </c>
      <c r="AE62" s="113"/>
      <c r="AF62" t="str" s="114" cm="1">
        <f t="array" ref="AF62">A63</f>
        <v>Arabia Saudita</v>
      </c>
      <c r="AG62" s="115" cm="1">
        <f t="array" ref="AG62">IF(NOT(OR(ISBLANK(AC62),ISBLANK(AD62))),1,0)</f>
        <v>1</v>
      </c>
      <c r="AH62" s="116">
        <v>38</v>
      </c>
      <c r="AI62" t="str" s="117" cm="1">
        <f t="array" ref="AI62">AJ62&amp;$B$60</f>
        <v>1H</v>
      </c>
      <c r="AJ62" s="142">
        <v>1</v>
      </c>
      <c r="AK62" s="221"/>
      <c r="AL62" t="str" s="144" cm="1">
        <f t="array" ref="AL62">_xlfn.IFERROR(INDEX($BD$6:$BD$53,MATCH(AI62,$BN$6:$BN$53,0)),"")</f>
        <v>España</v>
      </c>
      <c r="AM62" s="145" cm="1">
        <f t="array" ref="AM62">INDEX($BE$6:$BN$53,MATCH($AL62,$BD$6:$BD$53,0),MATCH(AM$5,$BE$5:$BN$5,0))</f>
        <v>9</v>
      </c>
      <c r="AN62" s="146" cm="1">
        <f t="array" ref="AN62">INDEX($BE$6:$BN$53,MATCH($AL62,$BD$6:$BD$53,0),MATCH(AN$5,$BE$5:$BN$5,0))</f>
        <v>3</v>
      </c>
      <c r="AO62" s="146" cm="1">
        <f t="array" ref="AO62">INDEX($BE$6:$BN$53,MATCH($AL62,$BD$6:$BD$53,0),MATCH(AO$5,$BE$5:$BN$5,0))</f>
        <v>3</v>
      </c>
      <c r="AP62" s="146" cm="1">
        <f t="array" ref="AP62">INDEX($BE$6:$BN$53,MATCH($AL62,$BD$6:$BD$53,0),MATCH(AP$5,$BE$5:$BN$5,0))</f>
        <v>0</v>
      </c>
      <c r="AQ62" s="146" cm="1">
        <f t="array" ref="AQ62">INDEX($BE$6:$BN$53,MATCH($AL62,$BD$6:$BD$53,0),MATCH(AQ$5,$BE$5:$BN$5,0))</f>
        <v>0</v>
      </c>
      <c r="AR62" s="146" cm="1">
        <f t="array" ref="AR62">INDEX($BE$6:$BN$53,MATCH($AL62,$BD$6:$BD$53,0),MATCH(AR$5,$BE$5:$BN$5,0))</f>
        <v>7</v>
      </c>
      <c r="AS62" s="146" cm="1">
        <f t="array" ref="AS62">INDEX($BE$6:$BN$53,MATCH($AL62,$BD$6:$BD$53,0),MATCH(AS$5,$BE$5:$BN$5,0))</f>
        <v>1</v>
      </c>
      <c r="AT62" s="147" cm="1">
        <f t="array" ref="AT62">INDEX($BE$6:$BN$53,MATCH($AL62,$BD$6:$BD$53,0),MATCH(AT$5,$BE$5:$BN$5,0))</f>
        <v>6</v>
      </c>
      <c r="AU62" s="148" cm="1">
        <f t="array" ref="AU62">INDEX($DL$6:$DL$53,MATCH(AI62,$DP$6:$DP$53,0))</f>
        <v>4</v>
      </c>
      <c r="AV62" t="str" s="149" cm="1">
        <f t="array" ref="AV62">INDEX($BD$6:$BD$53,MATCH(AI62,$BM$6:$BM$53,0))</f>
        <v>España</v>
      </c>
      <c r="AW62" s="150"/>
      <c r="AX62" s="151"/>
      <c r="AY62" t="str" s="152" cm="1">
        <f t="array" ref="AY62">A61</f>
        <v>España</v>
      </c>
      <c r="AZ62" s="153"/>
      <c r="BA62" s="139"/>
      <c r="BB62" t="str" s="140" cm="1">
        <f t="array" ref="BB62">"3"&amp;BC62</f>
        <v>3E</v>
      </c>
      <c r="BC62" t="s" s="125">
        <v>64</v>
      </c>
      <c r="BD62" t="str" s="140" cm="1">
        <f t="array" ref="BD62">INDEX($BD$6:$BN$53,MATCH($BB62,$BN$6:$BN$53,0),MATCH(BD$57,$BD$5:$BN$5,0))</f>
        <v>Costa de Marfil</v>
      </c>
      <c r="BE62" s="154">
        <v>3</v>
      </c>
      <c r="BF62" s="154" cm="1">
        <f t="array" ref="BF62">BG62+BH62+BI62</f>
        <v>3</v>
      </c>
      <c r="BG62" s="154" cm="1">
        <f t="array" ref="BG62">CHOOSE(IF($BB$57=2,2,1),INDEX($BG$6:$BG$53,MATCH($BB62,$BN$6:$BN$53,0)),INDEX($BG$6:$BG$53,MATCH($BB62,$BN$6:$BN$53,0))-(_xlfn.COUNTIFS($AA$4:$AA$97,$BD62,$AF$4:$AF$97,INDEX($BD$6:$BD$53,MATCH(BO62,$BN$6:$BN$53,0)),$D$4:$D$97,"Local")+_xlfn.COUNTIFS($AF$4:$AF$97,$BD62,$AA$4:$AA$97,INDEX($BD$6:$BD$53,MATCH(BO62,$BN$6:$BN$53,0)),$D$4:$D$97,"Visitante")))</f>
        <v>1</v>
      </c>
      <c r="BH62" s="154" cm="1">
        <f t="array" ref="BH62">CHOOSE(IF($BB$57=2,2,1),INDEX($BH$6:$BH$53,MATCH($BB62,$BN$6:$BN$53,0)),INDEX($BH$6:$BH$53,MATCH($BB62,$BN$6:$BN$53,0))-(_xlfn.COUNTIFS($AA$4:$AA$97,$BD62,$AF$4:$AF$97,INDEX($BD$6:$BD$53,MATCH(BO62,$BN$6:$BN$53,0)),$D$4:$D$97,"Empate")+_xlfn.COUNTIFS($AF$4:$AF$97,$BD62,$AA$4:$AA$97,INDEX($BD$6:$BD$53,MATCH(BO62,$BN$6:$BN$53,0)),$D$4:$D$97,"Empate")))</f>
        <v>0</v>
      </c>
      <c r="BI62" s="154" cm="1">
        <f t="array" ref="BI62">CHOOSE(IF($BB$57=2,2,1),INDEX($BI$6:$BI$53,MATCH($BB62,$BN$6:$BN$53,0)),INDEX($BI$6:$BI$53,MATCH($BB62,$BN$6:$BN$53,0))-(_xlfn.COUNTIFS($AA$4:$AA$97,$BD62,$AF$4:$AF$97,INDEX($BD$6:$BD$53,MATCH(BO62,$BN$6:$BN$53,0)),$D$4:$D$97,"Visitante")+_xlfn.COUNTIFS($AF$4:$AF$97,$BD62,$AA$4:$AA$97,INDEX($BD$6:$BD$53,MATCH(BO62,$BN$6:$BN$53,0)),$D$4:$D$97,"Local")))</f>
        <v>2</v>
      </c>
      <c r="BJ62" s="154" cm="1">
        <f t="array" ref="BJ62">CHOOSE($BB$57,INDEX($BJ$6:$BJ$53,MATCH($BB62,$BN$6:$BN$53,0)),INDEX($BJ$6:$BJ$53,MATCH($BB62,$BN$6:$BN$53,0))-(_xlfn.SUMIFS($AC$4:$AC$97,$AA$4:$AA$97,$BD62,$AF$4:$AF$97,INDEX($BD$6:$BD$53,MATCH(BO62,$BN$6:$BN$53,0)))+_xlfn.SUMIFS($AD$4:$AD$97,$AF$4:$AF$97,$BD62,$AA$4:$AA$97,INDEX($BD$6:$BD$53,MATCH(BO62,$BN$6:$BN$53,0)))),_xlfn.IFERROR(INDEX($BJ$6:$BJ$53,MATCH($BB62,$BN$6:$BN$53,0))/BF62,0))</f>
        <v>4</v>
      </c>
      <c r="BK62" s="154" cm="1">
        <f t="array" ref="BK62">CHOOSE($BB$57,INDEX($BK$6:$BK$53,MATCH($BB62,$BN$6:$BN$53,0)),INDEX($BK$6:$BK$53,MATCH($BB62,$BN$6:$BN$53,0))-(_xlfn.SUMIFS($AD$4:$AD$97,$AA$4:$AA$97,$BD62,$AF$4:$AF$97,INDEX($BD$6:$BD$53,MATCH(BO62,$BN$6:$BN$53,0)))+_xlfn.SUMIFS($AC$4:$AC$97,$AF$4:$AF$97,$BD62,$AA$4:$AA$97,INDEX($BD$6:$BD$53,MATCH(BO62,$BN$6:$BN$53,0)))),_xlfn.IFERROR(INDEX($BK$6:$BK$53,MATCH($BB62,$BN$6:$BN$53,0))/BF62,0))</f>
        <v>6</v>
      </c>
      <c r="BL62" s="154" cm="1">
        <f t="array" ref="BL62">BJ62-BK62</f>
        <v>-2</v>
      </c>
      <c r="BM62" s="154" cm="1">
        <f t="array" ref="BM62">CB62</f>
        <v>7</v>
      </c>
      <c r="BN62" s="154" cm="1">
        <f t="array" ref="BN62">CF62</f>
        <v>7</v>
      </c>
      <c r="BO62" t="str" s="140" cm="1">
        <f t="array" ref="BO62">"4"&amp;BC62</f>
        <v>4E</v>
      </c>
      <c r="BP62" s="140"/>
      <c r="BQ62" s="140"/>
      <c r="BR62" s="154" cm="1">
        <f t="array" ref="BR62">BE62</f>
        <v>3</v>
      </c>
      <c r="BS62" s="154" cm="1">
        <f t="array" ref="BS62">_xlfn.COUNTIFS(BR$58:BR$69,"&gt;"&amp;BR62)+1</f>
        <v>5</v>
      </c>
      <c r="BT62" t="str" s="140" cm="1">
        <f t="array" ref="BT62">IF(COUNTIF(BS$58:BS$69,BS62)=1,"-","Pos. "&amp;BS62&amp;" ("&amp;COUNTIF(BS$58:BS$69,BS62)&amp;")")</f>
        <v>Pos. 5 (4)</v>
      </c>
      <c r="BU62" s="154" cm="1">
        <f t="array" ref="BU62">IF(BT62="-","-",BL62)</f>
        <v>-2</v>
      </c>
      <c r="BV62" s="154" cm="1">
        <f t="array" ref="BV62">BS62+_xlfn.COUNTIFS(BT$58:BT$69,BT62,BU$58:BU$69,"&gt;"&amp;BU62)</f>
        <v>7</v>
      </c>
      <c r="BW62" t="str" s="140" cm="1">
        <f t="array" ref="BW62">IF(COUNTIF(BV$58:BV$69,BV62)=1,"-","Pos. "&amp;BV62&amp;" ("&amp;COUNTIF(BV$58:BV$69,BV62)&amp;")")</f>
        <v>Pos. 7 (2)</v>
      </c>
      <c r="BX62" s="154" cm="1">
        <f t="array" ref="BX62">IF(BW62="-","-",BJ62)</f>
        <v>4</v>
      </c>
      <c r="BY62" s="154" cm="1">
        <f t="array" ref="BY62">BV62+_xlfn.COUNTIFS(BW$58:BW$69,BW62,BX$58:BX$69,"&gt;"&amp;BX62)</f>
        <v>7</v>
      </c>
      <c r="BZ62" t="str" s="140" cm="1">
        <f t="array" ref="BZ62">IF(COUNTIF(BY$58:BY$69,BY62)=1,"-","Pos. "&amp;BY62&amp;" ("&amp;COUNTIF(BY$58:BY$69,BY62)&amp;")")</f>
        <v>-</v>
      </c>
      <c r="CA62" t="str" s="140" cm="1">
        <f t="array" ref="CA62">IF(BZ62="-","-",COUNTIF($BD$58:$BD$69,"&gt;"&amp;BD62))</f>
        <v>-</v>
      </c>
      <c r="CB62" s="154" cm="1">
        <f t="array" ref="CB62">BY62+_xlfn.COUNTIFS(BZ$58:BZ$69,BZ62,CA$58:CA$69,"&gt;"&amp;CA62)</f>
        <v>7</v>
      </c>
      <c r="CC62" s="140"/>
      <c r="CD62" s="154" cm="1">
        <f t="array" ref="CD62">IF(OR(INDEX($AW$102:$AW$113,MATCH($BD62,$AV$102:$AV$113,0))="",BZ62="-"),CB62,INDEX($AW$102:$AW$113,MATCH($BD62,$AV$102:$AV$113,0))+CB62/1000)</f>
        <v>7</v>
      </c>
      <c r="CE62" t="str" s="140" cm="1">
        <f t="array" ref="CE62">IF(BZ62="-","-",COUNTIF(CD$58:CD$69,"&lt;"&amp;CD62))</f>
        <v>-</v>
      </c>
      <c r="CF62" s="154" cm="1">
        <f t="array" ref="CF62">BY62+_xlfn.COUNTIFS(BZ$58:BZ$69,BZ62,CE$58:CE$69,"&lt;"&amp;CE62)</f>
        <v>7</v>
      </c>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154" cm="1">
        <f t="array" ref="DJ62">INDEX($BY$58:$BY$69,MATCH($DQ62,$BD$58:$BD$69,0))</f>
        <v>5</v>
      </c>
      <c r="DK62" s="140"/>
      <c r="DL62" s="154" cm="1">
        <f t="array" ref="DL62">IF(OR($H$113=144,$AJ$99=144),COUNTIF($DJ$58:$DJ$69,DJ62),1)</f>
        <v>1</v>
      </c>
      <c r="DM62" t="str" s="140" cm="1">
        <f t="array" ref="DM62">DJ62&amp;"."&amp;DL62</f>
        <v>5.1</v>
      </c>
      <c r="DN62" s="154">
        <v>1</v>
      </c>
      <c r="DO62" s="140"/>
      <c r="DP62" s="154">
        <v>5</v>
      </c>
      <c r="DQ62" t="str" s="140" cm="1">
        <f t="array" ref="DQ62">INDEX($BD$58:$BD$69,MATCH(DP62,$BM$58:$BM$69,0))</f>
        <v>Ghana</v>
      </c>
      <c r="DR62" s="87"/>
      <c r="DS62" s="87"/>
      <c r="DT62" s="88"/>
      <c r="DU62" s="12"/>
    </row>
    <row r="63" ht="16" customHeight="1">
      <c r="A63" t="s" s="89">
        <v>327</v>
      </c>
      <c r="B63" s="78"/>
      <c r="C63" s="78"/>
      <c r="D63" t="str" s="78" cm="1">
        <f t="array" ref="D63">IF(OR(AC63="",AD63=""),"Pendiente",IF(AC63&gt;AD63,"Local",IF(AC63&lt;AD63,"Visitante","Empate")))</f>
        <v>Local</v>
      </c>
      <c r="E63" t="str" s="78" cm="1">
        <f t="array" ref="E63">IF(D63="Pendiente","-",INDEX($BT$6:$BT$53,MATCH($AA63,$BD$6:$BD$53,0)))</f>
        <v>P.1 (4)</v>
      </c>
      <c r="F63" t="str" s="78" cm="1">
        <f t="array" ref="F63">IF(D63="Pendiente","-",INDEX($BT$6:$BT$53,MATCH($AF63,$BD$6:$BD$53,0)))</f>
        <v>P.1 (4)</v>
      </c>
      <c r="G63" s="78"/>
      <c r="H63" t="str" s="78" cm="1">
        <f t="array" ref="H63">IF(D63="Pendiente","-",INDEX($BZ$6:$BZ$53,MATCH($AA63,$BD$6:$BD$53,0)))</f>
        <v>P.1 (4)</v>
      </c>
      <c r="I63" t="str" s="78" cm="1">
        <f t="array" ref="I63">IF(D63="Pendiente","-",INDEX($BZ$6:$BZ$53,MATCH($AF63,$BD$6:$BD$53,0)))</f>
        <v>P.1 (4)</v>
      </c>
      <c r="J63" s="78"/>
      <c r="K63" t="str" s="78" cm="1">
        <f t="array" ref="K63">IF(D63="Pendiente","-",INDEX($CE$6:$CE$53,MATCH($AA63,$BD$6:$BD$53,0)))</f>
        <v>P.1 (4)</v>
      </c>
      <c r="L63" t="str" s="78" cm="1">
        <f t="array" ref="L63">IF(D63="Pendiente","-",INDEX($CE$6:$CE$53,MATCH($AF63,$BD$6:$BD$53,0)))</f>
        <v>P.1 (4)</v>
      </c>
      <c r="M63" s="78"/>
      <c r="N63" t="str" s="78" cm="1">
        <f t="array" ref="N63">IF(D63="Pendiente","-",INDEX($CH$6:$CH$53,MATCH($AA63,$BD$6:$BD$53,0)))</f>
        <v>P.1 (4)</v>
      </c>
      <c r="O63" t="str" s="78" cm="1">
        <f t="array" ref="O63">IF(D63="Pendiente","-",INDEX($CH$6:$CH$53,MATCH($AF63,$BD$6:$BD$53,0)))</f>
        <v>P.1 (4)</v>
      </c>
      <c r="P63" s="78"/>
      <c r="Q63" t="str" s="78" cm="1">
        <f t="array" ref="Q63">IF(D63="Pendiente","-",INDEX($CN$6:$CN$53,MATCH($AA63,$BD$6:$BD$53,0)))</f>
        <v>P.1 (4)</v>
      </c>
      <c r="R63" t="str" s="78" cm="1">
        <f t="array" ref="R63">IF(D63="Pendiente","-",INDEX($CN$6:$CN$53,MATCH($AF63,$BD$6:$BD$53,0)))</f>
        <v>P.1 (4)</v>
      </c>
      <c r="S63" s="78"/>
      <c r="T63" t="str" s="78" cm="1">
        <f t="array" ref="T63">IF(D63="Pendiente","-",INDEX($CS$6:$CS$53,MATCH($AA63,$BD$6:$BD$53,0)))</f>
        <v>P.1 (4)</v>
      </c>
      <c r="U63" t="str" s="78" cm="1">
        <f t="array" ref="U63">IF(D63="Pendiente","-",INDEX($CS$6:$CS$53,MATCH($AF63,$BD$6:$BD$53,0)))</f>
        <v>P.1 (4)</v>
      </c>
      <c r="V63" s="90"/>
      <c r="W63" s="141"/>
      <c r="X63" s="107">
        <v>46194.75</v>
      </c>
      <c r="Y63" s="108">
        <v>46194.75</v>
      </c>
      <c r="Z63" t="str" s="127" cm="1">
        <f t="array" ref="Z63">$Z$6</f>
        <v>J2</v>
      </c>
      <c r="AA63" t="str" s="110" cm="1">
        <f t="array" ref="AA63">A64</f>
        <v>Uruguay</v>
      </c>
      <c r="AB63" s="111"/>
      <c r="AC63" s="128">
        <v>2</v>
      </c>
      <c r="AD63" s="128">
        <v>0</v>
      </c>
      <c r="AE63" s="113"/>
      <c r="AF63" t="str" s="114" cm="1">
        <f t="array" ref="AF63">A62</f>
        <v>Cabo Verde</v>
      </c>
      <c r="AG63" s="115" cm="1">
        <f t="array" ref="AG63">IF(NOT(OR(ISBLANK(AC63),ISBLANK(AD63))),1,0)</f>
        <v>1</v>
      </c>
      <c r="AH63" s="116">
        <v>37</v>
      </c>
      <c r="AI63" t="str" s="117" cm="1">
        <f t="array" ref="AI63">AJ63&amp;$B$60</f>
        <v>2H</v>
      </c>
      <c r="AJ63" s="155">
        <v>2</v>
      </c>
      <c r="AK63" s="225"/>
      <c r="AL63" t="str" s="157" cm="1">
        <f t="array" ref="AL63">_xlfn.IFERROR(INDEX($BD$6:$BD$53,MATCH(AI63,$BN$6:$BN$53,0)),"")</f>
        <v>Cabo Verde</v>
      </c>
      <c r="AM63" s="158" cm="1">
        <f t="array" ref="AM63">INDEX($BE$6:$BN$53,MATCH($AL63,$BD$6:$BD$53,0),MATCH(AM$5,$BE$5:$BN$5,0))</f>
        <v>0</v>
      </c>
      <c r="AN63" s="159" cm="1">
        <f t="array" ref="AN63">INDEX($BE$6:$BN$53,MATCH($AL63,$BD$6:$BD$53,0),MATCH(AN$5,$BE$5:$BN$5,0))</f>
        <v>3</v>
      </c>
      <c r="AO63" s="159" cm="1">
        <f t="array" ref="AO63">INDEX($BE$6:$BN$53,MATCH($AL63,$BD$6:$BD$53,0),MATCH(AO$5,$BE$5:$BN$5,0))</f>
        <v>0</v>
      </c>
      <c r="AP63" s="159" cm="1">
        <f t="array" ref="AP63">INDEX($BE$6:$BN$53,MATCH($AL63,$BD$6:$BD$53,0),MATCH(AP$5,$BE$5:$BN$5,0))</f>
        <v>0</v>
      </c>
      <c r="AQ63" s="159" cm="1">
        <f t="array" ref="AQ63">INDEX($BE$6:$BN$53,MATCH($AL63,$BD$6:$BD$53,0),MATCH(AQ$5,$BE$5:$BN$5,0))</f>
        <v>3</v>
      </c>
      <c r="AR63" s="159" cm="1">
        <f t="array" ref="AR63">INDEX($BE$6:$BN$53,MATCH($AL63,$BD$6:$BD$53,0),MATCH(AR$5,$BE$5:$BN$5,0))</f>
        <v>1</v>
      </c>
      <c r="AS63" s="159" cm="1">
        <f t="array" ref="AS63">INDEX($BE$6:$BN$53,MATCH($AL63,$BD$6:$BD$53,0),MATCH(AS$5,$BE$5:$BN$5,0))</f>
        <v>7</v>
      </c>
      <c r="AT63" s="160" cm="1">
        <f t="array" ref="AT63">INDEX($BE$6:$BN$53,MATCH($AL63,$BD$6:$BD$53,0),MATCH(AT$5,$BE$5:$BN$5,0))</f>
        <v>-6</v>
      </c>
      <c r="AU63" s="148" cm="1">
        <f t="array" ref="AU63">INDEX($DL$6:$DL$53,MATCH(AI63,$DP$6:$DP$53,0))</f>
        <v>4</v>
      </c>
      <c r="AV63" t="str" s="149" cm="1">
        <f t="array" ref="AV63">INDEX($BD$6:$BD$53,MATCH(AI63,$BM$6:$BM$53,0))</f>
        <v>Cabo Verde</v>
      </c>
      <c r="AW63" s="150"/>
      <c r="AX63" s="151"/>
      <c r="AY63" t="str" s="161" cm="1">
        <f t="array" ref="AY63">A62</f>
        <v>Cabo Verde</v>
      </c>
      <c r="AZ63" s="162"/>
      <c r="BA63" s="139"/>
      <c r="BB63" t="str" s="140" cm="1">
        <f t="array" ref="BB63">"3"&amp;BC63</f>
        <v>3F</v>
      </c>
      <c r="BC63" t="s" s="125">
        <v>269</v>
      </c>
      <c r="BD63" t="str" s="140" cm="1">
        <f t="array" ref="BD63">INDEX($BD$6:$BN$53,MATCH($BB63,$BN$6:$BN$53,0),MATCH(BD$57,$BD$5:$BN$5,0))</f>
        <v>Suecia</v>
      </c>
      <c r="BE63" s="154">
        <v>4</v>
      </c>
      <c r="BF63" s="154" cm="1">
        <f t="array" ref="BF63">BG63+BH63+BI63</f>
        <v>3</v>
      </c>
      <c r="BG63" s="154" cm="1">
        <f t="array" ref="BG63">CHOOSE(IF($BB$57=2,2,1),INDEX($BG$6:$BG$53,MATCH($BB63,$BN$6:$BN$53,0)),INDEX($BG$6:$BG$53,MATCH($BB63,$BN$6:$BN$53,0))-(_xlfn.COUNTIFS($AA$4:$AA$97,$BD63,$AF$4:$AF$97,INDEX($BD$6:$BD$53,MATCH(BO63,$BN$6:$BN$53,0)),$D$4:$D$97,"Local")+_xlfn.COUNTIFS($AF$4:$AF$97,$BD63,$AA$4:$AA$97,INDEX($BD$6:$BD$53,MATCH(BO63,$BN$6:$BN$53,0)),$D$4:$D$97,"Visitante")))</f>
        <v>1</v>
      </c>
      <c r="BH63" s="154" cm="1">
        <f t="array" ref="BH63">CHOOSE(IF($BB$57=2,2,1),INDEX($BH$6:$BH$53,MATCH($BB63,$BN$6:$BN$53,0)),INDEX($BH$6:$BH$53,MATCH($BB63,$BN$6:$BN$53,0))-(_xlfn.COUNTIFS($AA$4:$AA$97,$BD63,$AF$4:$AF$97,INDEX($BD$6:$BD$53,MATCH(BO63,$BN$6:$BN$53,0)),$D$4:$D$97,"Empate")+_xlfn.COUNTIFS($AF$4:$AF$97,$BD63,$AA$4:$AA$97,INDEX($BD$6:$BD$53,MATCH(BO63,$BN$6:$BN$53,0)),$D$4:$D$97,"Empate")))</f>
        <v>1</v>
      </c>
      <c r="BI63" s="154" cm="1">
        <f t="array" ref="BI63">CHOOSE(IF($BB$57=2,2,1),INDEX($BI$6:$BI$53,MATCH($BB63,$BN$6:$BN$53,0)),INDEX($BI$6:$BI$53,MATCH($BB63,$BN$6:$BN$53,0))-(_xlfn.COUNTIFS($AA$4:$AA$97,$BD63,$AF$4:$AF$97,INDEX($BD$6:$BD$53,MATCH(BO63,$BN$6:$BN$53,0)),$D$4:$D$97,"Visitante")+_xlfn.COUNTIFS($AF$4:$AF$97,$BD63,$AA$4:$AA$97,INDEX($BD$6:$BD$53,MATCH(BO63,$BN$6:$BN$53,0)),$D$4:$D$97,"Local")))</f>
        <v>1</v>
      </c>
      <c r="BJ63" s="154" cm="1">
        <f t="array" ref="BJ63">CHOOSE($BB$57,INDEX($BJ$6:$BJ$53,MATCH($BB63,$BN$6:$BN$53,0)),INDEX($BJ$6:$BJ$53,MATCH($BB63,$BN$6:$BN$53,0))-(_xlfn.SUMIFS($AC$4:$AC$97,$AA$4:$AA$97,$BD63,$AF$4:$AF$97,INDEX($BD$6:$BD$53,MATCH(BO63,$BN$6:$BN$53,0)))+_xlfn.SUMIFS($AD$4:$AD$97,$AF$4:$AF$97,$BD63,$AA$4:$AA$97,INDEX($BD$6:$BD$53,MATCH(BO63,$BN$6:$BN$53,0)))),_xlfn.IFERROR(INDEX($BJ$6:$BJ$53,MATCH($BB63,$BN$6:$BN$53,0))/BF63,0))</f>
        <v>4</v>
      </c>
      <c r="BK63" s="154" cm="1">
        <f t="array" ref="BK63">CHOOSE($BB$57,INDEX($BK$6:$BK$53,MATCH($BB63,$BN$6:$BN$53,0)),INDEX($BK$6:$BK$53,MATCH($BB63,$BN$6:$BN$53,0))-(_xlfn.SUMIFS($AD$4:$AD$97,$AA$4:$AA$97,$BD63,$AF$4:$AF$97,INDEX($BD$6:$BD$53,MATCH(BO63,$BN$6:$BN$53,0)))+_xlfn.SUMIFS($AC$4:$AC$97,$AF$4:$AF$97,$BD63,$AA$4:$AA$97,INDEX($BD$6:$BD$53,MATCH(BO63,$BN$6:$BN$53,0)))),_xlfn.IFERROR(INDEX($BK$6:$BK$53,MATCH($BB63,$BN$6:$BN$53,0))/BF63,0))</f>
        <v>3</v>
      </c>
      <c r="BL63" s="154" cm="1">
        <f t="array" ref="BL63">BJ63-BK63</f>
        <v>1</v>
      </c>
      <c r="BM63" s="154" cm="1">
        <f t="array" ref="BM63">CB63</f>
        <v>4</v>
      </c>
      <c r="BN63" s="154" cm="1">
        <f t="array" ref="BN63">CF63</f>
        <v>4</v>
      </c>
      <c r="BO63" t="str" s="140" cm="1">
        <f t="array" ref="BO63">"4"&amp;BC63</f>
        <v>4F</v>
      </c>
      <c r="BP63" s="140"/>
      <c r="BQ63" s="140"/>
      <c r="BR63" s="154" cm="1">
        <f t="array" ref="BR63">BE63</f>
        <v>4</v>
      </c>
      <c r="BS63" s="154" cm="1">
        <f t="array" ref="BS63">_xlfn.COUNTIFS(BR$58:BR$69,"&gt;"&amp;BR63)+1</f>
        <v>4</v>
      </c>
      <c r="BT63" t="str" s="140" cm="1">
        <f t="array" ref="BT63">IF(COUNTIF(BS$58:BS$69,BS63)=1,"-","Pos. "&amp;BS63&amp;" ("&amp;COUNTIF(BS$58:BS$69,BS63)&amp;")")</f>
        <v>-</v>
      </c>
      <c r="BU63" t="str" s="140" cm="1">
        <f t="array" ref="BU63">IF(BT63="-","-",BL63)</f>
        <v>-</v>
      </c>
      <c r="BV63" s="154" cm="1">
        <f t="array" ref="BV63">BS63+_xlfn.COUNTIFS(BT$58:BT$69,BT63,BU$58:BU$69,"&gt;"&amp;BU63)</f>
        <v>4</v>
      </c>
      <c r="BW63" t="str" s="140" cm="1">
        <f t="array" ref="BW63">IF(COUNTIF(BV$58:BV$69,BV63)=1,"-","Pos. "&amp;BV63&amp;" ("&amp;COUNTIF(BV$58:BV$69,BV63)&amp;")")</f>
        <v>-</v>
      </c>
      <c r="BX63" t="str" s="140" cm="1">
        <f t="array" ref="BX63">IF(BW63="-","-",BJ63)</f>
        <v>-</v>
      </c>
      <c r="BY63" s="154" cm="1">
        <f t="array" ref="BY63">BV63+_xlfn.COUNTIFS(BW$58:BW$69,BW63,BX$58:BX$69,"&gt;"&amp;BX63)</f>
        <v>4</v>
      </c>
      <c r="BZ63" t="str" s="140" cm="1">
        <f t="array" ref="BZ63">IF(COUNTIF(BY$58:BY$69,BY63)=1,"-","Pos. "&amp;BY63&amp;" ("&amp;COUNTIF(BY$58:BY$69,BY63)&amp;")")</f>
        <v>-</v>
      </c>
      <c r="CA63" t="str" s="140" cm="1">
        <f t="array" ref="CA63">IF(BZ63="-","-",COUNTIF($BD$58:$BD$69,"&gt;"&amp;BD63))</f>
        <v>-</v>
      </c>
      <c r="CB63" s="154" cm="1">
        <f t="array" ref="CB63">BY63+_xlfn.COUNTIFS(BZ$58:BZ$69,BZ63,CA$58:CA$69,"&gt;"&amp;CA63)</f>
        <v>4</v>
      </c>
      <c r="CC63" s="140"/>
      <c r="CD63" s="154" cm="1">
        <f t="array" ref="CD63">IF(OR(INDEX($AW$102:$AW$113,MATCH($BD63,$AV$102:$AV$113,0))="",BZ63="-"),CB63,INDEX($AW$102:$AW$113,MATCH($BD63,$AV$102:$AV$113,0))+CB63/1000)</f>
        <v>4</v>
      </c>
      <c r="CE63" t="str" s="140" cm="1">
        <f t="array" ref="CE63">IF(BZ63="-","-",COUNTIF(CD$58:CD$69,"&lt;"&amp;CD63))</f>
        <v>-</v>
      </c>
      <c r="CF63" s="154" cm="1">
        <f t="array" ref="CF63">BY63+_xlfn.COUNTIFS(BZ$58:BZ$69,BZ63,CE$58:CE$69,"&lt;"&amp;CE63)</f>
        <v>4</v>
      </c>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154" cm="1">
        <f t="array" ref="DJ63">INDEX($BY$58:$BY$69,MATCH($DQ63,$BD$58:$BD$69,0))</f>
        <v>6</v>
      </c>
      <c r="DK63" s="140"/>
      <c r="DL63" s="154" cm="1">
        <f t="array" ref="DL63">IF(OR($H$113=144,$AJ$99=144),COUNTIF($DJ$58:$DJ$69,DJ63),1)</f>
        <v>1</v>
      </c>
      <c r="DM63" t="str" s="140" cm="1">
        <f t="array" ref="DM63">DJ63&amp;"."&amp;DL63</f>
        <v>6.1</v>
      </c>
      <c r="DN63" s="154">
        <v>1</v>
      </c>
      <c r="DO63" s="140"/>
      <c r="DP63" s="154">
        <v>6</v>
      </c>
      <c r="DQ63" t="str" s="140" cm="1">
        <f t="array" ref="DQ63">INDEX($BD$58:$BD$69,MATCH(DP63,$BM$58:$BM$69,0))</f>
        <v>Irán</v>
      </c>
      <c r="DR63" s="87"/>
      <c r="DS63" s="87"/>
      <c r="DT63" s="88"/>
      <c r="DU63" s="12"/>
    </row>
    <row r="64" ht="16" customHeight="1">
      <c r="A64" t="s" s="89">
        <v>333</v>
      </c>
      <c r="B64" s="78"/>
      <c r="C64" s="78"/>
      <c r="D64" t="str" s="78" cm="1">
        <f t="array" ref="D64">IF(OR(AC64="",AD64=""),"Pendiente",IF(AC64&gt;AD64,"Local",IF(AC64&lt;AD64,"Visitante","Empate")))</f>
        <v>Visitante</v>
      </c>
      <c r="E64" t="str" s="78" cm="1">
        <f t="array" ref="E64">IF(D64="Pendiente","-",INDEX($BT$6:$BT$53,MATCH($AA64,$BD$6:$BD$53,0)))</f>
        <v>P.1 (4)</v>
      </c>
      <c r="F64" t="str" s="78" cm="1">
        <f t="array" ref="F64">IF(D64="Pendiente","-",INDEX($BT$6:$BT$53,MATCH($AF64,$BD$6:$BD$53,0)))</f>
        <v>P.1 (4)</v>
      </c>
      <c r="G64" s="78"/>
      <c r="H64" t="str" s="78" cm="1">
        <f t="array" ref="H64">IF(D64="Pendiente","-",INDEX($BZ$6:$BZ$53,MATCH($AA64,$BD$6:$BD$53,0)))</f>
        <v>P.1 (4)</v>
      </c>
      <c r="I64" t="str" s="78" cm="1">
        <f t="array" ref="I64">IF(D64="Pendiente","-",INDEX($BZ$6:$BZ$53,MATCH($AF64,$BD$6:$BD$53,0)))</f>
        <v>P.1 (4)</v>
      </c>
      <c r="J64" s="78"/>
      <c r="K64" t="str" s="78" cm="1">
        <f t="array" ref="K64">IF(D64="Pendiente","-",INDEX($CE$6:$CE$53,MATCH($AA64,$BD$6:$BD$53,0)))</f>
        <v>P.1 (4)</v>
      </c>
      <c r="L64" t="str" s="78" cm="1">
        <f t="array" ref="L64">IF(D64="Pendiente","-",INDEX($CE$6:$CE$53,MATCH($AF64,$BD$6:$BD$53,0)))</f>
        <v>P.1 (4)</v>
      </c>
      <c r="M64" s="78"/>
      <c r="N64" t="str" s="78" cm="1">
        <f t="array" ref="N64">IF(D64="Pendiente","-",INDEX($CH$6:$CH$53,MATCH($AA64,$BD$6:$BD$53,0)))</f>
        <v>P.1 (4)</v>
      </c>
      <c r="O64" t="str" s="78" cm="1">
        <f t="array" ref="O64">IF(D64="Pendiente","-",INDEX($CH$6:$CH$53,MATCH($AF64,$BD$6:$BD$53,0)))</f>
        <v>P.1 (4)</v>
      </c>
      <c r="P64" s="78"/>
      <c r="Q64" t="str" s="78" cm="1">
        <f t="array" ref="Q64">IF(D64="Pendiente","-",INDEX($CN$6:$CN$53,MATCH($AA64,$BD$6:$BD$53,0)))</f>
        <v>P.1 (4)</v>
      </c>
      <c r="R64" t="str" s="78" cm="1">
        <f t="array" ref="R64">IF(D64="Pendiente","-",INDEX($CN$6:$CN$53,MATCH($AF64,$BD$6:$BD$53,0)))</f>
        <v>P.1 (4)</v>
      </c>
      <c r="S64" s="78"/>
      <c r="T64" t="str" s="78" cm="1">
        <f t="array" ref="T64">IF(D64="Pendiente","-",INDEX($CS$6:$CS$53,MATCH($AA64,$BD$6:$BD$53,0)))</f>
        <v>P.1 (4)</v>
      </c>
      <c r="U64" t="str" s="78" cm="1">
        <f t="array" ref="U64">IF(D64="Pendiente","-",INDEX($CS$6:$CS$53,MATCH($AF64,$BD$6:$BD$53,0)))</f>
        <v>P.1 (4)</v>
      </c>
      <c r="V64" s="90"/>
      <c r="W64" s="141"/>
      <c r="X64" s="107">
        <v>46199.833333333343</v>
      </c>
      <c r="Y64" s="108">
        <v>46199.833333333343</v>
      </c>
      <c r="Z64" t="str" s="127" cm="1">
        <f t="array" ref="Z64">$Z$8</f>
        <v>J3</v>
      </c>
      <c r="AA64" t="str" s="110" cm="1">
        <f t="array" ref="AA64">A62</f>
        <v>Cabo Verde</v>
      </c>
      <c r="AB64" s="111"/>
      <c r="AC64" s="128">
        <v>1</v>
      </c>
      <c r="AD64" s="128">
        <v>2</v>
      </c>
      <c r="AE64" s="113"/>
      <c r="AF64" t="str" s="114" cm="1">
        <f t="array" ref="AF64">A63</f>
        <v>Arabia Saudita</v>
      </c>
      <c r="AG64" s="115" cm="1">
        <f t="array" ref="AG64">IF(NOT(OR(ISBLANK(AC64),ISBLANK(AD64))),1,0)</f>
        <v>1</v>
      </c>
      <c r="AH64" s="116">
        <v>65</v>
      </c>
      <c r="AI64" t="str" s="117" cm="1">
        <f t="array" ref="AI64">AJ64&amp;$B$60</f>
        <v>3H</v>
      </c>
      <c r="AJ64" s="155">
        <v>3</v>
      </c>
      <c r="AK64" s="225"/>
      <c r="AL64" t="str" s="157" cm="1">
        <f t="array" ref="AL64">_xlfn.IFERROR(INDEX($BD$6:$BD$53,MATCH(AI64,$BN$6:$BN$53,0)),"")</f>
        <v>Arabia Saudita</v>
      </c>
      <c r="AM64" s="158" cm="1">
        <f t="array" ref="AM64">INDEX($BE$6:$BN$53,MATCH($AL64,$BD$6:$BD$53,0),MATCH(AM$5,$BE$5:$BN$5,0))</f>
        <v>3</v>
      </c>
      <c r="AN64" s="159" cm="1">
        <f t="array" ref="AN64">INDEX($BE$6:$BN$53,MATCH($AL64,$BD$6:$BD$53,0),MATCH(AN$5,$BE$5:$BN$5,0))</f>
        <v>3</v>
      </c>
      <c r="AO64" s="159" cm="1">
        <f t="array" ref="AO64">INDEX($BE$6:$BN$53,MATCH($AL64,$BD$6:$BD$53,0),MATCH(AO$5,$BE$5:$BN$5,0))</f>
        <v>1</v>
      </c>
      <c r="AP64" s="159" cm="1">
        <f t="array" ref="AP64">INDEX($BE$6:$BN$53,MATCH($AL64,$BD$6:$BD$53,0),MATCH(AP$5,$BE$5:$BN$5,0))</f>
        <v>0</v>
      </c>
      <c r="AQ64" s="159" cm="1">
        <f t="array" ref="AQ64">INDEX($BE$6:$BN$53,MATCH($AL64,$BD$6:$BD$53,0),MATCH(AQ$5,$BE$5:$BN$5,0))</f>
        <v>2</v>
      </c>
      <c r="AR64" s="159" cm="1">
        <f t="array" ref="AR64">INDEX($BE$6:$BN$53,MATCH($AL64,$BD$6:$BD$53,0),MATCH(AR$5,$BE$5:$BN$5,0))</f>
        <v>3</v>
      </c>
      <c r="AS64" s="159" cm="1">
        <f t="array" ref="AS64">INDEX($BE$6:$BN$53,MATCH($AL64,$BD$6:$BD$53,0),MATCH(AS$5,$BE$5:$BN$5,0))</f>
        <v>5</v>
      </c>
      <c r="AT64" s="160" cm="1">
        <f t="array" ref="AT64">INDEX($BE$6:$BN$53,MATCH($AL64,$BD$6:$BD$53,0),MATCH(AT$5,$BE$5:$BN$5,0))</f>
        <v>-2</v>
      </c>
      <c r="AU64" s="148" cm="1">
        <f t="array" ref="AU64">INDEX($DL$6:$DL$53,MATCH(AI64,$DP$6:$DP$53,0))</f>
        <v>4</v>
      </c>
      <c r="AV64" t="str" s="149" cm="1">
        <f t="array" ref="AV64">INDEX($BD$6:$BD$53,MATCH(AI64,$BM$6:$BM$53,0))</f>
        <v>Arabia Saudita</v>
      </c>
      <c r="AW64" s="150"/>
      <c r="AX64" s="151"/>
      <c r="AY64" t="str" s="152" cm="1">
        <f t="array" ref="AY64">A63</f>
        <v>Arabia Saudita</v>
      </c>
      <c r="AZ64" s="153"/>
      <c r="BA64" s="139"/>
      <c r="BB64" t="str" s="140" cm="1">
        <f t="array" ref="BB64">"3"&amp;BC64</f>
        <v>3G</v>
      </c>
      <c r="BC64" t="s" s="125">
        <v>63</v>
      </c>
      <c r="BD64" t="str" s="140" cm="1">
        <f t="array" ref="BD64">INDEX($BD$6:$BN$53,MATCH($BB64,$BN$6:$BN$53,0),MATCH(BD$57,$BD$5:$BN$5,0))</f>
        <v>Irán</v>
      </c>
      <c r="BE64" s="154">
        <v>3</v>
      </c>
      <c r="BF64" s="154" cm="1">
        <f t="array" ref="BF64">BG64+BH64+BI64</f>
        <v>3</v>
      </c>
      <c r="BG64" s="154" cm="1">
        <f t="array" ref="BG64">CHOOSE(IF($BB$57=2,2,1),INDEX($BG$6:$BG$53,MATCH($BB64,$BN$6:$BN$53,0)),INDEX($BG$6:$BG$53,MATCH($BB64,$BN$6:$BN$53,0))-(_xlfn.COUNTIFS($AA$4:$AA$97,$BD64,$AF$4:$AF$97,INDEX($BD$6:$BD$53,MATCH(BO64,$BN$6:$BN$53,0)),$D$4:$D$97,"Local")+_xlfn.COUNTIFS($AF$4:$AF$97,$BD64,$AA$4:$AA$97,INDEX($BD$6:$BD$53,MATCH(BO64,$BN$6:$BN$53,0)),$D$4:$D$97,"Visitante")))</f>
        <v>1</v>
      </c>
      <c r="BH64" s="154" cm="1">
        <f t="array" ref="BH64">CHOOSE(IF($BB$57=2,2,1),INDEX($BH$6:$BH$53,MATCH($BB64,$BN$6:$BN$53,0)),INDEX($BH$6:$BH$53,MATCH($BB64,$BN$6:$BN$53,0))-(_xlfn.COUNTIFS($AA$4:$AA$97,$BD64,$AF$4:$AF$97,INDEX($BD$6:$BD$53,MATCH(BO64,$BN$6:$BN$53,0)),$D$4:$D$97,"Empate")+_xlfn.COUNTIFS($AF$4:$AF$97,$BD64,$AA$4:$AA$97,INDEX($BD$6:$BD$53,MATCH(BO64,$BN$6:$BN$53,0)),$D$4:$D$97,"Empate")))</f>
        <v>0</v>
      </c>
      <c r="BI64" s="154" cm="1">
        <f t="array" ref="BI64">CHOOSE(IF($BB$57=2,2,1),INDEX($BI$6:$BI$53,MATCH($BB64,$BN$6:$BN$53,0)),INDEX($BI$6:$BI$53,MATCH($BB64,$BN$6:$BN$53,0))-(_xlfn.COUNTIFS($AA$4:$AA$97,$BD64,$AF$4:$AF$97,INDEX($BD$6:$BD$53,MATCH(BO64,$BN$6:$BN$53,0)),$D$4:$D$97,"Visitante")+_xlfn.COUNTIFS($AF$4:$AF$97,$BD64,$AA$4:$AA$97,INDEX($BD$6:$BD$53,MATCH(BO64,$BN$6:$BN$53,0)),$D$4:$D$97,"Local")))</f>
        <v>2</v>
      </c>
      <c r="BJ64" s="154" cm="1">
        <f t="array" ref="BJ64">CHOOSE($BB$57,INDEX($BJ$6:$BJ$53,MATCH($BB64,$BN$6:$BN$53,0)),INDEX($BJ$6:$BJ$53,MATCH($BB64,$BN$6:$BN$53,0))-(_xlfn.SUMIFS($AC$4:$AC$97,$AA$4:$AA$97,$BD64,$AF$4:$AF$97,INDEX($BD$6:$BD$53,MATCH(BO64,$BN$6:$BN$53,0)))+_xlfn.SUMIFS($AD$4:$AD$97,$AF$4:$AF$97,$BD64,$AA$4:$AA$97,INDEX($BD$6:$BD$53,MATCH(BO64,$BN$6:$BN$53,0)))),_xlfn.IFERROR(INDEX($BJ$6:$BJ$53,MATCH($BB64,$BN$6:$BN$53,0))/BF64,0))</f>
        <v>2</v>
      </c>
      <c r="BK64" s="154" cm="1">
        <f t="array" ref="BK64">CHOOSE($BB$57,INDEX($BK$6:$BK$53,MATCH($BB64,$BN$6:$BN$53,0)),INDEX($BK$6:$BK$53,MATCH($BB64,$BN$6:$BN$53,0))-(_xlfn.SUMIFS($AD$4:$AD$97,$AA$4:$AA$97,$BD64,$AF$4:$AF$97,INDEX($BD$6:$BD$53,MATCH(BO64,$BN$6:$BN$53,0)))+_xlfn.SUMIFS($AC$4:$AC$97,$AF$4:$AF$97,$BD64,$AA$4:$AA$97,INDEX($BD$6:$BD$53,MATCH(BO64,$BN$6:$BN$53,0)))),_xlfn.IFERROR(INDEX($BK$6:$BK$53,MATCH($BB64,$BN$6:$BN$53,0))/BF64,0))</f>
        <v>3</v>
      </c>
      <c r="BL64" s="154" cm="1">
        <f t="array" ref="BL64">BJ64-BK64</f>
        <v>-1</v>
      </c>
      <c r="BM64" s="154" cm="1">
        <f t="array" ref="BM64">CB64</f>
        <v>6</v>
      </c>
      <c r="BN64" s="154" cm="1">
        <f t="array" ref="BN64">CF64</f>
        <v>6</v>
      </c>
      <c r="BO64" t="str" s="140" cm="1">
        <f t="array" ref="BO64">"4"&amp;BC64</f>
        <v>4G</v>
      </c>
      <c r="BP64" s="140"/>
      <c r="BQ64" s="140"/>
      <c r="BR64" s="154" cm="1">
        <f t="array" ref="BR64">BE64</f>
        <v>3</v>
      </c>
      <c r="BS64" s="154" cm="1">
        <f t="array" ref="BS64">_xlfn.COUNTIFS(BR$58:BR$69,"&gt;"&amp;BR64)+1</f>
        <v>5</v>
      </c>
      <c r="BT64" t="str" s="140" cm="1">
        <f t="array" ref="BT64">IF(COUNTIF(BS$58:BS$69,BS64)=1,"-","Pos. "&amp;BS64&amp;" ("&amp;COUNTIF(BS$58:BS$69,BS64)&amp;")")</f>
        <v>Pos. 5 (4)</v>
      </c>
      <c r="BU64" s="154" cm="1">
        <f t="array" ref="BU64">IF(BT64="-","-",BL64)</f>
        <v>-1</v>
      </c>
      <c r="BV64" s="154" cm="1">
        <f t="array" ref="BV64">BS64+_xlfn.COUNTIFS(BT$58:BT$69,BT64,BU$58:BU$69,"&gt;"&amp;BU64)</f>
        <v>5</v>
      </c>
      <c r="BW64" t="str" s="140" cm="1">
        <f t="array" ref="BW64">IF(COUNTIF(BV$58:BV$69,BV64)=1,"-","Pos. "&amp;BV64&amp;" ("&amp;COUNTIF(BV$58:BV$69,BV64)&amp;")")</f>
        <v>Pos. 5 (2)</v>
      </c>
      <c r="BX64" s="154" cm="1">
        <f t="array" ref="BX64">IF(BW64="-","-",BJ64)</f>
        <v>2</v>
      </c>
      <c r="BY64" s="154" cm="1">
        <f t="array" ref="BY64">BV64+_xlfn.COUNTIFS(BW$58:BW$69,BW64,BX$58:BX$69,"&gt;"&amp;BX64)</f>
        <v>6</v>
      </c>
      <c r="BZ64" t="str" s="140" cm="1">
        <f t="array" ref="BZ64">IF(COUNTIF(BY$58:BY$69,BY64)=1,"-","Pos. "&amp;BY64&amp;" ("&amp;COUNTIF(BY$58:BY$69,BY64)&amp;")")</f>
        <v>-</v>
      </c>
      <c r="CA64" t="str" s="140" cm="1">
        <f t="array" ref="CA64">IF(BZ64="-","-",COUNTIF($BD$58:$BD$69,"&gt;"&amp;BD64))</f>
        <v>-</v>
      </c>
      <c r="CB64" s="154" cm="1">
        <f t="array" ref="CB64">BY64+_xlfn.COUNTIFS(BZ$58:BZ$69,BZ64,CA$58:CA$69,"&gt;"&amp;CA64)</f>
        <v>6</v>
      </c>
      <c r="CC64" s="140"/>
      <c r="CD64" s="154" cm="1">
        <f t="array" ref="CD64">IF(OR(INDEX($AW$102:$AW$113,MATCH($BD64,$AV$102:$AV$113,0))="",BZ64="-"),CB64,INDEX($AW$102:$AW$113,MATCH($BD64,$AV$102:$AV$113,0))+CB64/1000)</f>
        <v>6</v>
      </c>
      <c r="CE64" t="str" s="140" cm="1">
        <f t="array" ref="CE64">IF(BZ64="-","-",COUNTIF(CD$58:CD$69,"&lt;"&amp;CD64))</f>
        <v>-</v>
      </c>
      <c r="CF64" s="154" cm="1">
        <f t="array" ref="CF64">BY64+_xlfn.COUNTIFS(BZ$58:BZ$69,BZ64,CE$58:CE$69,"&lt;"&amp;CE64)</f>
        <v>6</v>
      </c>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154" cm="1">
        <f t="array" ref="DJ64">INDEX($BY$58:$BY$69,MATCH($DQ64,$BD$58:$BD$69,0))</f>
        <v>7</v>
      </c>
      <c r="DK64" s="140"/>
      <c r="DL64" s="154" cm="1">
        <f t="array" ref="DL64">IF(OR($H$113=144,$AJ$99=144),COUNTIF($DJ$58:$DJ$69,DJ64),1)</f>
        <v>1</v>
      </c>
      <c r="DM64" t="str" s="140" cm="1">
        <f t="array" ref="DM64">DJ64&amp;"."&amp;DL64</f>
        <v>7.1</v>
      </c>
      <c r="DN64" s="154">
        <v>1</v>
      </c>
      <c r="DO64" s="140"/>
      <c r="DP64" s="154">
        <v>7</v>
      </c>
      <c r="DQ64" t="str" s="140" cm="1">
        <f t="array" ref="DQ64">INDEX($BD$58:$BD$69,MATCH(DP64,$BM$58:$BM$69,0))</f>
        <v>Costa de Marfil</v>
      </c>
      <c r="DR64" s="87"/>
      <c r="DS64" s="87"/>
      <c r="DT64" s="88"/>
      <c r="DU64" s="12"/>
    </row>
    <row r="65" ht="16" customHeight="1">
      <c r="A65" s="78"/>
      <c r="B65" s="78"/>
      <c r="C65" s="78"/>
      <c r="D65" t="str" s="78" cm="1">
        <f t="array" ref="D65">IF(OR(AC65="",AD65=""),"Pendiente",IF(AC65&gt;AD65,"Local",IF(AC65&lt;AD65,"Visitante","Empate")))</f>
        <v>Visitante</v>
      </c>
      <c r="E65" t="str" s="78" cm="1">
        <f t="array" ref="E65">IF(D65="Pendiente","-",INDEX($BT$6:$BT$53,MATCH($AA65,$BD$6:$BD$53,0)))</f>
        <v>P.1 (4)</v>
      </c>
      <c r="F65" t="str" s="78" cm="1">
        <f t="array" ref="F65">IF(D65="Pendiente","-",INDEX($BT$6:$BT$53,MATCH($AF65,$BD$6:$BD$53,0)))</f>
        <v>P.1 (4)</v>
      </c>
      <c r="G65" s="78"/>
      <c r="H65" t="str" s="78" cm="1">
        <f t="array" ref="H65">IF(D65="Pendiente","-",INDEX($BZ$6:$BZ$53,MATCH($AA65,$BD$6:$BD$53,0)))</f>
        <v>P.1 (4)</v>
      </c>
      <c r="I65" t="str" s="78" cm="1">
        <f t="array" ref="I65">IF(D65="Pendiente","-",INDEX($BZ$6:$BZ$53,MATCH($AF65,$BD$6:$BD$53,0)))</f>
        <v>P.1 (4)</v>
      </c>
      <c r="J65" s="78"/>
      <c r="K65" t="str" s="78" cm="1">
        <f t="array" ref="K65">IF(D65="Pendiente","-",INDEX($CE$6:$CE$53,MATCH($AA65,$BD$6:$BD$53,0)))</f>
        <v>P.1 (4)</v>
      </c>
      <c r="L65" t="str" s="78" cm="1">
        <f t="array" ref="L65">IF(D65="Pendiente","-",INDEX($CE$6:$CE$53,MATCH($AF65,$BD$6:$BD$53,0)))</f>
        <v>P.1 (4)</v>
      </c>
      <c r="M65" s="78"/>
      <c r="N65" t="str" s="78" cm="1">
        <f t="array" ref="N65">IF(D65="Pendiente","-",INDEX($CH$6:$CH$53,MATCH($AA65,$BD$6:$BD$53,0)))</f>
        <v>P.1 (4)</v>
      </c>
      <c r="O65" t="str" s="78" cm="1">
        <f t="array" ref="O65">IF(D65="Pendiente","-",INDEX($CH$6:$CH$53,MATCH($AF65,$BD$6:$BD$53,0)))</f>
        <v>P.1 (4)</v>
      </c>
      <c r="P65" s="78"/>
      <c r="Q65" t="str" s="78" cm="1">
        <f t="array" ref="Q65">IF(D65="Pendiente","-",INDEX($CN$6:$CN$53,MATCH($AA65,$BD$6:$BD$53,0)))</f>
        <v>P.1 (4)</v>
      </c>
      <c r="R65" t="str" s="78" cm="1">
        <f t="array" ref="R65">IF(D65="Pendiente","-",INDEX($CN$6:$CN$53,MATCH($AF65,$BD$6:$BD$53,0)))</f>
        <v>P.1 (4)</v>
      </c>
      <c r="S65" s="78"/>
      <c r="T65" t="str" s="78" cm="1">
        <f t="array" ref="T65">IF(D65="Pendiente","-",INDEX($CS$6:$CS$53,MATCH($AA65,$BD$6:$BD$53,0)))</f>
        <v>P.1 (4)</v>
      </c>
      <c r="U65" t="str" s="78" cm="1">
        <f t="array" ref="U65">IF(D65="Pendiente","-",INDEX($CS$6:$CS$53,MATCH($AF65,$BD$6:$BD$53,0)))</f>
        <v>P.1 (4)</v>
      </c>
      <c r="V65" s="90"/>
      <c r="W65" s="163"/>
      <c r="X65" s="164">
        <v>46199.833333333343</v>
      </c>
      <c r="Y65" s="165">
        <v>46199.833333333343</v>
      </c>
      <c r="Z65" t="str" s="166" cm="1">
        <f t="array" ref="Z65">$Z$8</f>
        <v>J3</v>
      </c>
      <c r="AA65" t="str" s="167" cm="1">
        <f t="array" ref="AA65">A64</f>
        <v>Uruguay</v>
      </c>
      <c r="AB65" s="168"/>
      <c r="AC65" s="169">
        <v>1</v>
      </c>
      <c r="AD65" s="169">
        <v>2</v>
      </c>
      <c r="AE65" s="170"/>
      <c r="AF65" t="str" s="171" cm="1">
        <f t="array" ref="AF65">A61</f>
        <v>España</v>
      </c>
      <c r="AG65" s="115" cm="1">
        <f t="array" ref="AG65">IF(NOT(OR(ISBLANK(AC65),ISBLANK(AD65))),1,0)</f>
        <v>1</v>
      </c>
      <c r="AH65" s="116">
        <v>66</v>
      </c>
      <c r="AI65" t="str" s="117" cm="1">
        <f t="array" ref="AI65">AJ65&amp;$B$60</f>
        <v>4H</v>
      </c>
      <c r="AJ65" s="172">
        <v>4</v>
      </c>
      <c r="AK65" s="240"/>
      <c r="AL65" t="str" s="174" cm="1">
        <f t="array" ref="AL65">_xlfn.IFERROR(INDEX($BD$6:$BD$53,MATCH(AI65,$BN$6:$BN$53,0)),"")</f>
        <v>Uruguay</v>
      </c>
      <c r="AM65" s="175" cm="1">
        <f t="array" ref="AM65">INDEX($BE$6:$BN$53,MATCH($AL65,$BD$6:$BD$53,0),MATCH(AM$5,$BE$5:$BN$5,0))</f>
        <v>6</v>
      </c>
      <c r="AN65" s="176" cm="1">
        <f t="array" ref="AN65">INDEX($BE$6:$BN$53,MATCH($AL65,$BD$6:$BD$53,0),MATCH(AN$5,$BE$5:$BN$5,0))</f>
        <v>3</v>
      </c>
      <c r="AO65" s="176" cm="1">
        <f t="array" ref="AO65">INDEX($BE$6:$BN$53,MATCH($AL65,$BD$6:$BD$53,0),MATCH(AO$5,$BE$5:$BN$5,0))</f>
        <v>2</v>
      </c>
      <c r="AP65" s="176" cm="1">
        <f t="array" ref="AP65">INDEX($BE$6:$BN$53,MATCH($AL65,$BD$6:$BD$53,0),MATCH(AP$5,$BE$5:$BN$5,0))</f>
        <v>0</v>
      </c>
      <c r="AQ65" s="176" cm="1">
        <f t="array" ref="AQ65">INDEX($BE$6:$BN$53,MATCH($AL65,$BD$6:$BD$53,0),MATCH(AQ$5,$BE$5:$BN$5,0))</f>
        <v>1</v>
      </c>
      <c r="AR65" s="176" cm="1">
        <f t="array" ref="AR65">INDEX($BE$6:$BN$53,MATCH($AL65,$BD$6:$BD$53,0),MATCH(AR$5,$BE$5:$BN$5,0))</f>
        <v>5</v>
      </c>
      <c r="AS65" s="176" cm="1">
        <f t="array" ref="AS65">INDEX($BE$6:$BN$53,MATCH($AL65,$BD$6:$BD$53,0),MATCH(AS$5,$BE$5:$BN$5,0))</f>
        <v>3</v>
      </c>
      <c r="AT65" s="177" cm="1">
        <f t="array" ref="AT65">INDEX($BE$6:$BN$53,MATCH($AL65,$BD$6:$BD$53,0),MATCH(AT$5,$BE$5:$BN$5,0))</f>
        <v>2</v>
      </c>
      <c r="AU65" s="148" cm="1">
        <f t="array" ref="AU65">INDEX($DL$6:$DL$53,MATCH(AI65,$DP$6:$DP$53,0))</f>
        <v>4</v>
      </c>
      <c r="AV65" t="str" s="149" cm="1">
        <f t="array" ref="AV65">INDEX($BD$6:$BD$53,MATCH(AI65,$BM$6:$BM$53,0))</f>
        <v>Uruguay</v>
      </c>
      <c r="AW65" s="150"/>
      <c r="AX65" s="151"/>
      <c r="AY65" t="str" s="178" cm="1">
        <f t="array" ref="AY65">A64</f>
        <v>Uruguay</v>
      </c>
      <c r="AZ65" s="179"/>
      <c r="BA65" s="139"/>
      <c r="BB65" t="str" s="140" cm="1">
        <f t="array" ref="BB65">"3"&amp;BC65</f>
        <v>3H</v>
      </c>
      <c r="BC65" t="s" s="125">
        <v>315</v>
      </c>
      <c r="BD65" t="str" s="140" cm="1">
        <f t="array" ref="BD65">INDEX($BD$6:$BN$53,MATCH($BB65,$BN$6:$BN$53,0),MATCH(BD$57,$BD$5:$BN$5,0))</f>
        <v>Arabia Saudita</v>
      </c>
      <c r="BE65" s="154">
        <v>3</v>
      </c>
      <c r="BF65" s="154" cm="1">
        <f t="array" ref="BF65">BG65+BH65+BI65</f>
        <v>3</v>
      </c>
      <c r="BG65" s="154" cm="1">
        <f t="array" ref="BG65">CHOOSE(IF($BB$57=2,2,1),INDEX($BG$6:$BG$53,MATCH($BB65,$BN$6:$BN$53,0)),INDEX($BG$6:$BG$53,MATCH($BB65,$BN$6:$BN$53,0))-(_xlfn.COUNTIFS($AA$4:$AA$97,$BD65,$AF$4:$AF$97,INDEX($BD$6:$BD$53,MATCH(BO65,$BN$6:$BN$53,0)),$D$4:$D$97,"Local")+_xlfn.COUNTIFS($AF$4:$AF$97,$BD65,$AA$4:$AA$97,INDEX($BD$6:$BD$53,MATCH(BO65,$BN$6:$BN$53,0)),$D$4:$D$97,"Visitante")))</f>
        <v>1</v>
      </c>
      <c r="BH65" s="154" cm="1">
        <f t="array" ref="BH65">CHOOSE(IF($BB$57=2,2,1),INDEX($BH$6:$BH$53,MATCH($BB65,$BN$6:$BN$53,0)),INDEX($BH$6:$BH$53,MATCH($BB65,$BN$6:$BN$53,0))-(_xlfn.COUNTIFS($AA$4:$AA$97,$BD65,$AF$4:$AF$97,INDEX($BD$6:$BD$53,MATCH(BO65,$BN$6:$BN$53,0)),$D$4:$D$97,"Empate")+_xlfn.COUNTIFS($AF$4:$AF$97,$BD65,$AA$4:$AA$97,INDEX($BD$6:$BD$53,MATCH(BO65,$BN$6:$BN$53,0)),$D$4:$D$97,"Empate")))</f>
        <v>0</v>
      </c>
      <c r="BI65" s="154" cm="1">
        <f t="array" ref="BI65">CHOOSE(IF($BB$57=2,2,1),INDEX($BI$6:$BI$53,MATCH($BB65,$BN$6:$BN$53,0)),INDEX($BI$6:$BI$53,MATCH($BB65,$BN$6:$BN$53,0))-(_xlfn.COUNTIFS($AA$4:$AA$97,$BD65,$AF$4:$AF$97,INDEX($BD$6:$BD$53,MATCH(BO65,$BN$6:$BN$53,0)),$D$4:$D$97,"Visitante")+_xlfn.COUNTIFS($AF$4:$AF$97,$BD65,$AA$4:$AA$97,INDEX($BD$6:$BD$53,MATCH(BO65,$BN$6:$BN$53,0)),$D$4:$D$97,"Local")))</f>
        <v>2</v>
      </c>
      <c r="BJ65" s="154" cm="1">
        <f t="array" ref="BJ65">CHOOSE($BB$57,INDEX($BJ$6:$BJ$53,MATCH($BB65,$BN$6:$BN$53,0)),INDEX($BJ$6:$BJ$53,MATCH($BB65,$BN$6:$BN$53,0))-(_xlfn.SUMIFS($AC$4:$AC$97,$AA$4:$AA$97,$BD65,$AF$4:$AF$97,INDEX($BD$6:$BD$53,MATCH(BO65,$BN$6:$BN$53,0)))+_xlfn.SUMIFS($AD$4:$AD$97,$AF$4:$AF$97,$BD65,$AA$4:$AA$97,INDEX($BD$6:$BD$53,MATCH(BO65,$BN$6:$BN$53,0)))),_xlfn.IFERROR(INDEX($BJ$6:$BJ$53,MATCH($BB65,$BN$6:$BN$53,0))/BF65,0))</f>
        <v>3</v>
      </c>
      <c r="BK65" s="154" cm="1">
        <f t="array" ref="BK65">CHOOSE($BB$57,INDEX($BK$6:$BK$53,MATCH($BB65,$BN$6:$BN$53,0)),INDEX($BK$6:$BK$53,MATCH($BB65,$BN$6:$BN$53,0))-(_xlfn.SUMIFS($AD$4:$AD$97,$AA$4:$AA$97,$BD65,$AF$4:$AF$97,INDEX($BD$6:$BD$53,MATCH(BO65,$BN$6:$BN$53,0)))+_xlfn.SUMIFS($AC$4:$AC$97,$AF$4:$AF$97,$BD65,$AA$4:$AA$97,INDEX($BD$6:$BD$53,MATCH(BO65,$BN$6:$BN$53,0)))),_xlfn.IFERROR(INDEX($BK$6:$BK$53,MATCH($BB65,$BN$6:$BN$53,0))/BF65,0))</f>
        <v>5</v>
      </c>
      <c r="BL65" s="154" cm="1">
        <f t="array" ref="BL65">BJ65-BK65</f>
        <v>-2</v>
      </c>
      <c r="BM65" s="154" cm="1">
        <f t="array" ref="BM65">CB65</f>
        <v>8</v>
      </c>
      <c r="BN65" s="154" cm="1">
        <f t="array" ref="BN65">CF65</f>
        <v>8</v>
      </c>
      <c r="BO65" t="str" s="140" cm="1">
        <f t="array" ref="BO65">"4"&amp;BC65</f>
        <v>4H</v>
      </c>
      <c r="BP65" s="140"/>
      <c r="BQ65" s="140"/>
      <c r="BR65" s="154" cm="1">
        <f t="array" ref="BR65">BE65</f>
        <v>3</v>
      </c>
      <c r="BS65" s="154" cm="1">
        <f t="array" ref="BS65">_xlfn.COUNTIFS(BR$58:BR$69,"&gt;"&amp;BR65)+1</f>
        <v>5</v>
      </c>
      <c r="BT65" t="str" s="140" cm="1">
        <f t="array" ref="BT65">IF(COUNTIF(BS$58:BS$69,BS65)=1,"-","Pos. "&amp;BS65&amp;" ("&amp;COUNTIF(BS$58:BS$69,BS65)&amp;")")</f>
        <v>Pos. 5 (4)</v>
      </c>
      <c r="BU65" s="154" cm="1">
        <f t="array" ref="BU65">IF(BT65="-","-",BL65)</f>
        <v>-2</v>
      </c>
      <c r="BV65" s="154" cm="1">
        <f t="array" ref="BV65">BS65+_xlfn.COUNTIFS(BT$58:BT$69,BT65,BU$58:BU$69,"&gt;"&amp;BU65)</f>
        <v>7</v>
      </c>
      <c r="BW65" t="str" s="140" cm="1">
        <f t="array" ref="BW65">IF(COUNTIF(BV$58:BV$69,BV65)=1,"-","Pos. "&amp;BV65&amp;" ("&amp;COUNTIF(BV$58:BV$69,BV65)&amp;")")</f>
        <v>Pos. 7 (2)</v>
      </c>
      <c r="BX65" s="154" cm="1">
        <f t="array" ref="BX65">IF(BW65="-","-",BJ65)</f>
        <v>3</v>
      </c>
      <c r="BY65" s="154" cm="1">
        <f t="array" ref="BY65">BV65+_xlfn.COUNTIFS(BW$58:BW$69,BW65,BX$58:BX$69,"&gt;"&amp;BX65)</f>
        <v>8</v>
      </c>
      <c r="BZ65" t="str" s="140" cm="1">
        <f t="array" ref="BZ65">IF(COUNTIF(BY$58:BY$69,BY65)=1,"-","Pos. "&amp;BY65&amp;" ("&amp;COUNTIF(BY$58:BY$69,BY65)&amp;")")</f>
        <v>-</v>
      </c>
      <c r="CA65" t="str" s="140" cm="1">
        <f t="array" ref="CA65">IF(BZ65="-","-",COUNTIF($BD$58:$BD$69,"&gt;"&amp;BD65))</f>
        <v>-</v>
      </c>
      <c r="CB65" s="154" cm="1">
        <f t="array" ref="CB65">BY65+_xlfn.COUNTIFS(BZ$58:BZ$69,BZ65,CA$58:CA$69,"&gt;"&amp;CA65)</f>
        <v>8</v>
      </c>
      <c r="CC65" s="140"/>
      <c r="CD65" s="154" cm="1">
        <f t="array" ref="CD65">IF(OR(INDEX($AW$102:$AW$113,MATCH($BD65,$AV$102:$AV$113,0))="",BZ65="-"),CB65,INDEX($AW$102:$AW$113,MATCH($BD65,$AV$102:$AV$113,0))+CB65/1000)</f>
        <v>8</v>
      </c>
      <c r="CE65" t="str" s="140" cm="1">
        <f t="array" ref="CE65">IF(BZ65="-","-",COUNTIF(CD$58:CD$69,"&lt;"&amp;CD65))</f>
        <v>-</v>
      </c>
      <c r="CF65" s="154" cm="1">
        <f t="array" ref="CF65">BY65+_xlfn.COUNTIFS(BZ$58:BZ$69,BZ65,CE$58:CE$69,"&lt;"&amp;CE65)</f>
        <v>8</v>
      </c>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154" cm="1">
        <f t="array" ref="DJ65">INDEX($BY$58:$BY$69,MATCH($DQ65,$BD$58:$BD$69,0))</f>
        <v>8</v>
      </c>
      <c r="DK65" s="140"/>
      <c r="DL65" s="154" cm="1">
        <f t="array" ref="DL65">IF(OR($H$113=144,$AJ$99=144),COUNTIF($DJ$58:$DJ$69,DJ65),1)</f>
        <v>1</v>
      </c>
      <c r="DM65" t="str" s="140" cm="1">
        <f t="array" ref="DM65">DJ65&amp;"."&amp;DL65</f>
        <v>8.1</v>
      </c>
      <c r="DN65" s="154">
        <v>1</v>
      </c>
      <c r="DO65" s="140"/>
      <c r="DP65" s="154">
        <v>8</v>
      </c>
      <c r="DQ65" t="str" s="140" cm="1">
        <f t="array" ref="DQ65">INDEX($BD$58:$BD$69,MATCH(DP65,$BM$58:$BM$69,0))</f>
        <v>Arabia Saudita</v>
      </c>
      <c r="DR65" s="87"/>
      <c r="DS65" s="87"/>
      <c r="DT65" s="88"/>
      <c r="DU65" s="12"/>
    </row>
    <row r="66" ht="16" customHeight="1">
      <c r="A66" s="78"/>
      <c r="B66" s="78"/>
      <c r="C66" s="78"/>
      <c r="D66" s="78"/>
      <c r="E66" s="78"/>
      <c r="F66" s="78"/>
      <c r="G66" s="78"/>
      <c r="H66" s="78"/>
      <c r="I66" s="78"/>
      <c r="J66" s="78"/>
      <c r="K66" s="78"/>
      <c r="L66" s="78"/>
      <c r="M66" s="78"/>
      <c r="N66" s="78"/>
      <c r="O66" s="78"/>
      <c r="P66" s="78"/>
      <c r="Q66" s="78"/>
      <c r="R66" s="78"/>
      <c r="S66" s="78"/>
      <c r="T66" s="78"/>
      <c r="U66" s="78"/>
      <c r="V66" s="79"/>
      <c r="W66" s="180"/>
      <c r="X66" s="181"/>
      <c r="Y66" s="180"/>
      <c r="Z66" s="182"/>
      <c r="AA66" s="183"/>
      <c r="AB66" s="184"/>
      <c r="AC66" s="185"/>
      <c r="AD66" s="185"/>
      <c r="AE66" s="184"/>
      <c r="AF66" s="186"/>
      <c r="AG66" s="233"/>
      <c r="AH66" s="188"/>
      <c r="AI66" s="234"/>
      <c r="AJ66" s="189"/>
      <c r="AK66" s="190"/>
      <c r="AL66" s="191"/>
      <c r="AM66" s="192"/>
      <c r="AN66" s="189"/>
      <c r="AO66" s="189"/>
      <c r="AP66" s="189"/>
      <c r="AQ66" s="189"/>
      <c r="AR66" s="189"/>
      <c r="AS66" s="189"/>
      <c r="AT66" s="189"/>
      <c r="AU66" s="193"/>
      <c r="AV66" s="194"/>
      <c r="AW66" s="150"/>
      <c r="AX66" s="195"/>
      <c r="AY66" s="196"/>
      <c r="AZ66" s="197"/>
      <c r="BA66" s="8"/>
      <c r="BB66" t="str" s="140" cm="1">
        <f t="array" ref="BB66">"3"&amp;BC66</f>
        <v>3I</v>
      </c>
      <c r="BC66" t="s" s="125">
        <v>339</v>
      </c>
      <c r="BD66" t="str" s="140" cm="1">
        <f t="array" ref="BD66">INDEX($BD$6:$BN$53,MATCH($BB66,$BN$6:$BN$53,0),MATCH(BD$57,$BD$5:$BN$5,0))</f>
        <v>Irak</v>
      </c>
      <c r="BE66" s="154">
        <v>0</v>
      </c>
      <c r="BF66" s="154" cm="1">
        <f t="array" ref="BF66">BG66+BH66+BI66</f>
        <v>3</v>
      </c>
      <c r="BG66" s="154" cm="1">
        <f t="array" ref="BG66">CHOOSE(IF($BB$57=2,2,1),INDEX($BG$6:$BG$53,MATCH($BB66,$BN$6:$BN$53,0)),INDEX($BG$6:$BG$53,MATCH($BB66,$BN$6:$BN$53,0))-(_xlfn.COUNTIFS($AA$4:$AA$97,$BD66,$AF$4:$AF$97,INDEX($BD$6:$BD$53,MATCH(BO66,$BN$6:$BN$53,0)),$D$4:$D$97,"Local")+_xlfn.COUNTIFS($AF$4:$AF$97,$BD66,$AA$4:$AA$97,INDEX($BD$6:$BD$53,MATCH(BO66,$BN$6:$BN$53,0)),$D$4:$D$97,"Visitante")))</f>
        <v>0</v>
      </c>
      <c r="BH66" s="154" cm="1">
        <f t="array" ref="BH66">CHOOSE(IF($BB$57=2,2,1),INDEX($BH$6:$BH$53,MATCH($BB66,$BN$6:$BN$53,0)),INDEX($BH$6:$BH$53,MATCH($BB66,$BN$6:$BN$53,0))-(_xlfn.COUNTIFS($AA$4:$AA$97,$BD66,$AF$4:$AF$97,INDEX($BD$6:$BD$53,MATCH(BO66,$BN$6:$BN$53,0)),$D$4:$D$97,"Empate")+_xlfn.COUNTIFS($AF$4:$AF$97,$BD66,$AA$4:$AA$97,INDEX($BD$6:$BD$53,MATCH(BO66,$BN$6:$BN$53,0)),$D$4:$D$97,"Empate")))</f>
        <v>0</v>
      </c>
      <c r="BI66" s="154" cm="1">
        <f t="array" ref="BI66">CHOOSE(IF($BB$57=2,2,1),INDEX($BI$6:$BI$53,MATCH($BB66,$BN$6:$BN$53,0)),INDEX($BI$6:$BI$53,MATCH($BB66,$BN$6:$BN$53,0))-(_xlfn.COUNTIFS($AA$4:$AA$97,$BD66,$AF$4:$AF$97,INDEX($BD$6:$BD$53,MATCH(BO66,$BN$6:$BN$53,0)),$D$4:$D$97,"Visitante")+_xlfn.COUNTIFS($AF$4:$AF$97,$BD66,$AA$4:$AA$97,INDEX($BD$6:$BD$53,MATCH(BO66,$BN$6:$BN$53,0)),$D$4:$D$97,"Local")))</f>
        <v>3</v>
      </c>
      <c r="BJ66" s="154" cm="1">
        <f t="array" ref="BJ66">CHOOSE($BB$57,INDEX($BJ$6:$BJ$53,MATCH($BB66,$BN$6:$BN$53,0)),INDEX($BJ$6:$BJ$53,MATCH($BB66,$BN$6:$BN$53,0))-(_xlfn.SUMIFS($AC$4:$AC$97,$AA$4:$AA$97,$BD66,$AF$4:$AF$97,INDEX($BD$6:$BD$53,MATCH(BO66,$BN$6:$BN$53,0)))+_xlfn.SUMIFS($AD$4:$AD$97,$AF$4:$AF$97,$BD66,$AA$4:$AA$97,INDEX($BD$6:$BD$53,MATCH(BO66,$BN$6:$BN$53,0)))),_xlfn.IFERROR(INDEX($BJ$6:$BJ$53,MATCH($BB66,$BN$6:$BN$53,0))/BF66,0))</f>
        <v>1</v>
      </c>
      <c r="BK66" s="154" cm="1">
        <f t="array" ref="BK66">CHOOSE($BB$57,INDEX($BK$6:$BK$53,MATCH($BB66,$BN$6:$BN$53,0)),INDEX($BK$6:$BK$53,MATCH($BB66,$BN$6:$BN$53,0))-(_xlfn.SUMIFS($AD$4:$AD$97,$AA$4:$AA$97,$BD66,$AF$4:$AF$97,INDEX($BD$6:$BD$53,MATCH(BO66,$BN$6:$BN$53,0)))+_xlfn.SUMIFS($AC$4:$AC$97,$AF$4:$AF$97,$BD66,$AA$4:$AA$97,INDEX($BD$6:$BD$53,MATCH(BO66,$BN$6:$BN$53,0)))),_xlfn.IFERROR(INDEX($BK$6:$BK$53,MATCH($BB66,$BN$6:$BN$53,0))/BF66,0))</f>
        <v>8</v>
      </c>
      <c r="BL66" s="154" cm="1">
        <f t="array" ref="BL66">BJ66-BK66</f>
        <v>-7</v>
      </c>
      <c r="BM66" s="154" cm="1">
        <f t="array" ref="BM66">CB66</f>
        <v>12</v>
      </c>
      <c r="BN66" s="154" cm="1">
        <f t="array" ref="BN66">CF66</f>
        <v>12</v>
      </c>
      <c r="BO66" t="str" s="140" cm="1">
        <f t="array" ref="BO66">"4"&amp;BC66</f>
        <v>4I</v>
      </c>
      <c r="BP66" s="140"/>
      <c r="BQ66" s="140"/>
      <c r="BR66" s="154" cm="1">
        <f t="array" ref="BR66">BE66</f>
        <v>0</v>
      </c>
      <c r="BS66" s="154" cm="1">
        <f t="array" ref="BS66">_xlfn.COUNTIFS(BR$58:BR$69,"&gt;"&amp;BR66)+1</f>
        <v>11</v>
      </c>
      <c r="BT66" t="str" s="140" cm="1">
        <f t="array" ref="BT66">IF(COUNTIF(BS$58:BS$69,BS66)=1,"-","Pos. "&amp;BS66&amp;" ("&amp;COUNTIF(BS$58:BS$69,BS66)&amp;")")</f>
        <v>Pos. 11 (2)</v>
      </c>
      <c r="BU66" s="154" cm="1">
        <f t="array" ref="BU66">IF(BT66="-","-",BL66)</f>
        <v>-7</v>
      </c>
      <c r="BV66" s="154" cm="1">
        <f t="array" ref="BV66">BS66+_xlfn.COUNTIFS(BT$58:BT$69,BT66,BU$58:BU$69,"&gt;"&amp;BU66)</f>
        <v>12</v>
      </c>
      <c r="BW66" t="str" s="140" cm="1">
        <f t="array" ref="BW66">IF(COUNTIF(BV$58:BV$69,BV66)=1,"-","Pos. "&amp;BV66&amp;" ("&amp;COUNTIF(BV$58:BV$69,BV66)&amp;")")</f>
        <v>-</v>
      </c>
      <c r="BX66" t="str" s="140" cm="1">
        <f t="array" ref="BX66">IF(BW66="-","-",BJ66)</f>
        <v>-</v>
      </c>
      <c r="BY66" s="154" cm="1">
        <f t="array" ref="BY66">BV66+_xlfn.COUNTIFS(BW$58:BW$69,BW66,BX$58:BX$69,"&gt;"&amp;BX66)</f>
        <v>12</v>
      </c>
      <c r="BZ66" t="str" s="140" cm="1">
        <f t="array" ref="BZ66">IF(COUNTIF(BY$58:BY$69,BY66)=1,"-","Pos. "&amp;BY66&amp;" ("&amp;COUNTIF(BY$58:BY$69,BY66)&amp;")")</f>
        <v>-</v>
      </c>
      <c r="CA66" t="str" s="140" cm="1">
        <f t="array" ref="CA66">IF(BZ66="-","-",COUNTIF($BD$58:$BD$69,"&gt;"&amp;BD66))</f>
        <v>-</v>
      </c>
      <c r="CB66" s="154" cm="1">
        <f t="array" ref="CB66">BY66+_xlfn.COUNTIFS(BZ$58:BZ$69,BZ66,CA$58:CA$69,"&gt;"&amp;CA66)</f>
        <v>12</v>
      </c>
      <c r="CC66" s="140"/>
      <c r="CD66" s="154" cm="1">
        <f t="array" ref="CD66">IF(OR(INDEX($AW$102:$AW$113,MATCH($BD66,$AV$102:$AV$113,0))="",BZ66="-"),CB66,INDEX($AW$102:$AW$113,MATCH($BD66,$AV$102:$AV$113,0))+CB66/1000)</f>
        <v>12</v>
      </c>
      <c r="CE66" t="str" s="140" cm="1">
        <f t="array" ref="CE66">IF(BZ66="-","-",COUNTIF(CD$58:CD$69,"&lt;"&amp;CD66))</f>
        <v>-</v>
      </c>
      <c r="CF66" s="154" cm="1">
        <f t="array" ref="CF66">BY66+_xlfn.COUNTIFS(BZ$58:BZ$69,BZ66,CE$58:CE$69,"&lt;"&amp;CE66)</f>
        <v>12</v>
      </c>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154" cm="1">
        <f t="array" ref="DJ66">INDEX($BY$58:$BY$69,MATCH($DQ66,$BD$58:$BD$69,0))</f>
        <v>9</v>
      </c>
      <c r="DK66" s="140"/>
      <c r="DL66" s="154" cm="1">
        <f t="array" ref="DL66">IF(OR($H$113=144,$AJ$99=144),COUNTIF($DJ$58:$DJ$69,DJ66),1)</f>
        <v>1</v>
      </c>
      <c r="DM66" t="str" s="140" cm="1">
        <f t="array" ref="DM66">DJ66&amp;"."&amp;DL66</f>
        <v>9.1</v>
      </c>
      <c r="DN66" s="154">
        <v>1</v>
      </c>
      <c r="DO66" s="140"/>
      <c r="DP66" s="154">
        <v>9</v>
      </c>
      <c r="DQ66" t="str" s="140" cm="1">
        <f t="array" ref="DQ66">INDEX($BD$58:$BD$69,MATCH(DP66,$BM$58:$BM$69,0))</f>
        <v>Uzbekistán</v>
      </c>
      <c r="DR66" s="87"/>
      <c r="DS66" s="87"/>
      <c r="DT66" s="88"/>
      <c r="DU66" s="12"/>
    </row>
    <row r="67" ht="16" customHeight="1">
      <c r="A67" s="78"/>
      <c r="B67" s="78"/>
      <c r="C67" s="78"/>
      <c r="D67" s="78"/>
      <c r="E67" s="78"/>
      <c r="F67" s="78"/>
      <c r="G67" s="78"/>
      <c r="H67" s="78"/>
      <c r="I67" s="78"/>
      <c r="J67" s="78"/>
      <c r="K67" s="78"/>
      <c r="L67" s="78"/>
      <c r="M67" s="78"/>
      <c r="N67" s="78"/>
      <c r="O67" s="78"/>
      <c r="P67" s="78"/>
      <c r="Q67" s="78"/>
      <c r="R67" s="78"/>
      <c r="S67" s="78"/>
      <c r="T67" s="78"/>
      <c r="U67" s="78"/>
      <c r="V67" s="90"/>
      <c r="W67" s="91"/>
      <c r="X67" t="str" s="198" cm="1">
        <f t="array" ref="X67">X3</f>
        <v>Fecha</v>
      </c>
      <c r="Y67" t="str" s="198" cm="1">
        <f t="array" ref="Y67">Y3</f>
        <v>Hora</v>
      </c>
      <c r="Z67" t="str" s="119" cm="1">
        <f t="array" ref="Z67">Z3</f>
        <v>Jor.</v>
      </c>
      <c r="AA67" t="str" s="199" cm="1">
        <f t="array" ref="AA67">AA3</f>
        <v>Casa</v>
      </c>
      <c r="AB67" s="95"/>
      <c r="AC67" t="str" s="119" cm="1">
        <f t="array" ref="AC67">AC3</f>
        <v>Gol</v>
      </c>
      <c r="AD67" t="str" s="119" cm="1">
        <f t="array" ref="AD67">AD3</f>
        <v>Gol</v>
      </c>
      <c r="AE67" s="95"/>
      <c r="AF67" t="str" s="200" cm="1">
        <f t="array" ref="AF67">AF3</f>
        <v>Fuera</v>
      </c>
      <c r="AG67" s="201"/>
      <c r="AH67" s="188"/>
      <c r="AI67" s="83"/>
      <c r="AJ67" s="100"/>
      <c r="AK67" s="202"/>
      <c r="AL67" s="100"/>
      <c r="AM67" s="100"/>
      <c r="AN67" s="100"/>
      <c r="AO67" s="100"/>
      <c r="AP67" s="100"/>
      <c r="AQ67" s="100"/>
      <c r="AR67" s="100"/>
      <c r="AS67" s="100"/>
      <c r="AT67" s="100"/>
      <c r="AU67" s="203"/>
      <c r="AV67" s="84"/>
      <c r="AW67" s="204"/>
      <c r="AX67" s="205"/>
      <c r="AY67" s="206"/>
      <c r="AZ67" s="207"/>
      <c r="BA67" s="8"/>
      <c r="BB67" t="str" s="140" cm="1">
        <f t="array" ref="BB67">"3"&amp;BC67</f>
        <v>3J</v>
      </c>
      <c r="BC67" t="s" s="125">
        <v>62</v>
      </c>
      <c r="BD67" t="str" s="140" cm="1">
        <f t="array" ref="BD67">INDEX($BD$6:$BN$53,MATCH($BB67,$BN$6:$BN$53,0),MATCH(BD$57,$BD$5:$BN$5,0))</f>
        <v>Austria</v>
      </c>
      <c r="BE67" s="154">
        <v>6</v>
      </c>
      <c r="BF67" s="154" cm="1">
        <f t="array" ref="BF67">BG67+BH67+BI67</f>
        <v>3</v>
      </c>
      <c r="BG67" s="154" cm="1">
        <f t="array" ref="BG67">CHOOSE(IF($BB$57=2,2,1),INDEX($BG$6:$BG$53,MATCH($BB67,$BN$6:$BN$53,0)),INDEX($BG$6:$BG$53,MATCH($BB67,$BN$6:$BN$53,0))-(_xlfn.COUNTIFS($AA$4:$AA$97,$BD67,$AF$4:$AF$97,INDEX($BD$6:$BD$53,MATCH(BO67,$BN$6:$BN$53,0)),$D$4:$D$97,"Local")+_xlfn.COUNTIFS($AF$4:$AF$97,$BD67,$AA$4:$AA$97,INDEX($BD$6:$BD$53,MATCH(BO67,$BN$6:$BN$53,0)),$D$4:$D$97,"Visitante")))</f>
        <v>2</v>
      </c>
      <c r="BH67" s="154" cm="1">
        <f t="array" ref="BH67">CHOOSE(IF($BB$57=2,2,1),INDEX($BH$6:$BH$53,MATCH($BB67,$BN$6:$BN$53,0)),INDEX($BH$6:$BH$53,MATCH($BB67,$BN$6:$BN$53,0))-(_xlfn.COUNTIFS($AA$4:$AA$97,$BD67,$AF$4:$AF$97,INDEX($BD$6:$BD$53,MATCH(BO67,$BN$6:$BN$53,0)),$D$4:$D$97,"Empate")+_xlfn.COUNTIFS($AF$4:$AF$97,$BD67,$AA$4:$AA$97,INDEX($BD$6:$BD$53,MATCH(BO67,$BN$6:$BN$53,0)),$D$4:$D$97,"Empate")))</f>
        <v>0</v>
      </c>
      <c r="BI67" s="154" cm="1">
        <f t="array" ref="BI67">CHOOSE(IF($BB$57=2,2,1),INDEX($BI$6:$BI$53,MATCH($BB67,$BN$6:$BN$53,0)),INDEX($BI$6:$BI$53,MATCH($BB67,$BN$6:$BN$53,0))-(_xlfn.COUNTIFS($AA$4:$AA$97,$BD67,$AF$4:$AF$97,INDEX($BD$6:$BD$53,MATCH(BO67,$BN$6:$BN$53,0)),$D$4:$D$97,"Visitante")+_xlfn.COUNTIFS($AF$4:$AF$97,$BD67,$AA$4:$AA$97,INDEX($BD$6:$BD$53,MATCH(BO67,$BN$6:$BN$53,0)),$D$4:$D$97,"Local")))</f>
        <v>1</v>
      </c>
      <c r="BJ67" s="154" cm="1">
        <f t="array" ref="BJ67">CHOOSE($BB$57,INDEX($BJ$6:$BJ$53,MATCH($BB67,$BN$6:$BN$53,0)),INDEX($BJ$6:$BJ$53,MATCH($BB67,$BN$6:$BN$53,0))-(_xlfn.SUMIFS($AC$4:$AC$97,$AA$4:$AA$97,$BD67,$AF$4:$AF$97,INDEX($BD$6:$BD$53,MATCH(BO67,$BN$6:$BN$53,0)))+_xlfn.SUMIFS($AD$4:$AD$97,$AF$4:$AF$97,$BD67,$AA$4:$AA$97,INDEX($BD$6:$BD$53,MATCH(BO67,$BN$6:$BN$53,0)))),_xlfn.IFERROR(INDEX($BJ$6:$BJ$53,MATCH($BB67,$BN$6:$BN$53,0))/BF67,0))</f>
        <v>4</v>
      </c>
      <c r="BK67" s="154" cm="1">
        <f t="array" ref="BK67">CHOOSE($BB$57,INDEX($BK$6:$BK$53,MATCH($BB67,$BN$6:$BN$53,0)),INDEX($BK$6:$BK$53,MATCH($BB67,$BN$6:$BN$53,0))-(_xlfn.SUMIFS($AD$4:$AD$97,$AA$4:$AA$97,$BD67,$AF$4:$AF$97,INDEX($BD$6:$BD$53,MATCH(BO67,$BN$6:$BN$53,0)))+_xlfn.SUMIFS($AC$4:$AC$97,$AF$4:$AF$97,$BD67,$AA$4:$AA$97,INDEX($BD$6:$BD$53,MATCH(BO67,$BN$6:$BN$53,0)))),_xlfn.IFERROR(INDEX($BK$6:$BK$53,MATCH($BB67,$BN$6:$BN$53,0))/BF67,0))</f>
        <v>3</v>
      </c>
      <c r="BL67" s="154" cm="1">
        <f t="array" ref="BL67">BJ67-BK67</f>
        <v>1</v>
      </c>
      <c r="BM67" s="154" cm="1">
        <f t="array" ref="BM67">CB67</f>
        <v>2</v>
      </c>
      <c r="BN67" s="154" cm="1">
        <f t="array" ref="BN67">CF67</f>
        <v>2</v>
      </c>
      <c r="BO67" t="str" s="140" cm="1">
        <f t="array" ref="BO67">"4"&amp;BC67</f>
        <v>4J</v>
      </c>
      <c r="BP67" s="140"/>
      <c r="BQ67" s="140"/>
      <c r="BR67" s="154" cm="1">
        <f t="array" ref="BR67">BE67</f>
        <v>6</v>
      </c>
      <c r="BS67" s="154" cm="1">
        <f t="array" ref="BS67">_xlfn.COUNTIFS(BR$58:BR$69,"&gt;"&amp;BR67)+1</f>
        <v>2</v>
      </c>
      <c r="BT67" t="str" s="140" cm="1">
        <f t="array" ref="BT67">IF(COUNTIF(BS$58:BS$69,BS67)=1,"-","Pos. "&amp;BS67&amp;" ("&amp;COUNTIF(BS$58:BS$69,BS67)&amp;")")</f>
        <v>-</v>
      </c>
      <c r="BU67" t="str" s="140" cm="1">
        <f t="array" ref="BU67">IF(BT67="-","-",BL67)</f>
        <v>-</v>
      </c>
      <c r="BV67" s="154" cm="1">
        <f t="array" ref="BV67">BS67+_xlfn.COUNTIFS(BT$58:BT$69,BT67,BU$58:BU$69,"&gt;"&amp;BU67)</f>
        <v>2</v>
      </c>
      <c r="BW67" t="str" s="140" cm="1">
        <f t="array" ref="BW67">IF(COUNTIF(BV$58:BV$69,BV67)=1,"-","Pos. "&amp;BV67&amp;" ("&amp;COUNTIF(BV$58:BV$69,BV67)&amp;")")</f>
        <v>-</v>
      </c>
      <c r="BX67" t="str" s="140" cm="1">
        <f t="array" ref="BX67">IF(BW67="-","-",BJ67)</f>
        <v>-</v>
      </c>
      <c r="BY67" s="154" cm="1">
        <f t="array" ref="BY67">BV67+_xlfn.COUNTIFS(BW$58:BW$69,BW67,BX$58:BX$69,"&gt;"&amp;BX67)</f>
        <v>2</v>
      </c>
      <c r="BZ67" t="str" s="140" cm="1">
        <f t="array" ref="BZ67">IF(COUNTIF(BY$58:BY$69,BY67)=1,"-","Pos. "&amp;BY67&amp;" ("&amp;COUNTIF(BY$58:BY$69,BY67)&amp;")")</f>
        <v>-</v>
      </c>
      <c r="CA67" t="str" s="140" cm="1">
        <f t="array" ref="CA67">IF(BZ67="-","-",COUNTIF($BD$58:$BD$69,"&gt;"&amp;BD67))</f>
        <v>-</v>
      </c>
      <c r="CB67" s="154" cm="1">
        <f t="array" ref="CB67">BY67+_xlfn.COUNTIFS(BZ$58:BZ$69,BZ67,CA$58:CA$69,"&gt;"&amp;CA67)</f>
        <v>2</v>
      </c>
      <c r="CC67" s="140"/>
      <c r="CD67" s="154" cm="1">
        <f t="array" ref="CD67">IF(OR(INDEX($AW$102:$AW$113,MATCH($BD67,$AV$102:$AV$113,0))="",BZ67="-"),CB67,INDEX($AW$102:$AW$113,MATCH($BD67,$AV$102:$AV$113,0))+CB67/1000)</f>
        <v>2</v>
      </c>
      <c r="CE67" t="str" s="140" cm="1">
        <f t="array" ref="CE67">IF(BZ67="-","-",COUNTIF(CD$58:CD$69,"&lt;"&amp;CD67))</f>
        <v>-</v>
      </c>
      <c r="CF67" s="154" cm="1">
        <f t="array" ref="CF67">BY67+_xlfn.COUNTIFS(BZ$58:BZ$69,BZ67,CE$58:CE$69,"&lt;"&amp;CE67)</f>
        <v>2</v>
      </c>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154" cm="1">
        <f t="array" ref="DJ67">INDEX($BY$58:$BY$69,MATCH($DQ67,$BD$58:$BD$69,0))</f>
        <v>10</v>
      </c>
      <c r="DK67" s="140"/>
      <c r="DL67" s="154" cm="1">
        <f t="array" ref="DL67">IF(OR($H$113=144,$AJ$99=144),COUNTIF($DJ$58:$DJ$69,DJ67),1)</f>
        <v>1</v>
      </c>
      <c r="DM67" t="str" s="140" cm="1">
        <f t="array" ref="DM67">DJ67&amp;"."&amp;DL67</f>
        <v>10.1</v>
      </c>
      <c r="DN67" s="154">
        <v>1</v>
      </c>
      <c r="DO67" s="140"/>
      <c r="DP67" s="154">
        <v>10</v>
      </c>
      <c r="DQ67" t="str" s="140" cm="1">
        <f t="array" ref="DQ67">INDEX($BD$58:$BD$69,MATCH(DP67,$BM$58:$BM$69,0))</f>
        <v>Haití</v>
      </c>
      <c r="DR67" s="87"/>
      <c r="DS67" s="87"/>
      <c r="DT67" s="88"/>
      <c r="DU67" s="12"/>
    </row>
    <row r="68" ht="16" customHeight="1">
      <c r="A68" t="s" s="89">
        <v>45</v>
      </c>
      <c r="B68" t="s" s="89">
        <v>339</v>
      </c>
      <c r="C68" s="105">
        <v>4</v>
      </c>
      <c r="D68" t="str" s="78" cm="1">
        <f t="array" ref="D68">IF(OR(AC68="",AD68=""),"Pendiente",IF(AC68&gt;AD68,"Local",IF(AC68&lt;AD68,"Visitante","Empate")))</f>
        <v>Local</v>
      </c>
      <c r="E68" t="str" s="78" cm="1">
        <f t="array" ref="E68">IF(D68="Pendiente","-",INDEX($BT$6:$BT$53,MATCH($AA68,$BD$6:$BD$53,0)))</f>
        <v>P.1 (4)</v>
      </c>
      <c r="F68" t="str" s="78" cm="1">
        <f t="array" ref="F68">IF(D68="Pendiente","-",INDEX($BT$6:$BT$53,MATCH($AF68,$BD$6:$BD$53,0)))</f>
        <v>P.1 (4)</v>
      </c>
      <c r="G68" s="78"/>
      <c r="H68" t="str" s="78" cm="1">
        <f t="array" ref="H68">IF(D68="Pendiente","-",INDEX($BZ$6:$BZ$53,MATCH($AA68,$BD$6:$BD$53,0)))</f>
        <v>P.1 (4)</v>
      </c>
      <c r="I68" t="str" s="78" cm="1">
        <f t="array" ref="I68">IF(D68="Pendiente","-",INDEX($BZ$6:$BZ$53,MATCH($AF68,$BD$6:$BD$53,0)))</f>
        <v>P.1 (4)</v>
      </c>
      <c r="J68" s="78"/>
      <c r="K68" t="str" s="78" cm="1">
        <f t="array" ref="K68">IF(D68="Pendiente","-",INDEX($CE$6:$CE$53,MATCH($AA68,$BD$6:$BD$53,0)))</f>
        <v>P.1 (4)</v>
      </c>
      <c r="L68" t="str" s="78" cm="1">
        <f t="array" ref="L68">IF(D68="Pendiente","-",INDEX($CE$6:$CE$53,MATCH($AF68,$BD$6:$BD$53,0)))</f>
        <v>P.1 (4)</v>
      </c>
      <c r="M68" s="78"/>
      <c r="N68" t="str" s="78" cm="1">
        <f t="array" ref="N68">IF(D68="Pendiente","-",INDEX($CH$6:$CH$53,MATCH($AA68,$BD$6:$BD$53,0)))</f>
        <v>P.1 (4)</v>
      </c>
      <c r="O68" t="str" s="78" cm="1">
        <f t="array" ref="O68">IF(D68="Pendiente","-",INDEX($CH$6:$CH$53,MATCH($AF68,$BD$6:$BD$53,0)))</f>
        <v>P.1 (4)</v>
      </c>
      <c r="P68" s="78"/>
      <c r="Q68" t="str" s="78" cm="1">
        <f t="array" ref="Q68">IF(D68="Pendiente","-",INDEX($CN$6:$CN$53,MATCH($AA68,$BD$6:$BD$53,0)))</f>
        <v>P.1 (4)</v>
      </c>
      <c r="R68" t="str" s="78" cm="1">
        <f t="array" ref="R68">IF(D68="Pendiente","-",INDEX($CN$6:$CN$53,MATCH($AF68,$BD$6:$BD$53,0)))</f>
        <v>P.1 (4)</v>
      </c>
      <c r="S68" s="78"/>
      <c r="T68" t="str" s="78" cm="1">
        <f t="array" ref="T68">IF(D68="Pendiente","-",INDEX($CS$6:$CS$53,MATCH($AA68,$BD$6:$BD$53,0)))</f>
        <v>P.1 (4)</v>
      </c>
      <c r="U68" t="str" s="78" cm="1">
        <f t="array" ref="U68">IF(D68="Pendiente","-",INDEX($CS$6:$CS$53,MATCH($AF68,$BD$6:$BD$53,0)))</f>
        <v>P.1 (4)</v>
      </c>
      <c r="V68" s="90"/>
      <c r="W68" t="s" s="246">
        <v>339</v>
      </c>
      <c r="X68" s="107">
        <v>46189.625</v>
      </c>
      <c r="Y68" s="108">
        <v>46189.625</v>
      </c>
      <c r="Z68" t="str" s="127" cm="1">
        <f t="array" ref="Z68">$Z$4</f>
        <v>J1</v>
      </c>
      <c r="AA68" t="str" s="110" cm="1">
        <f t="array" ref="AA68">A69</f>
        <v>Francia</v>
      </c>
      <c r="AB68" s="111"/>
      <c r="AC68" s="112">
        <v>3</v>
      </c>
      <c r="AD68" s="112">
        <v>1</v>
      </c>
      <c r="AE68" s="113"/>
      <c r="AF68" t="str" s="114" cm="1">
        <f t="array" ref="AF68">A70</f>
        <v>Senegal</v>
      </c>
      <c r="AG68" s="115" cm="1">
        <f t="array" ref="AG68">IF(NOT(OR(ISBLANK(AC68),ISBLANK(AD68))),1,0)</f>
        <v>1</v>
      </c>
      <c r="AH68" s="116">
        <v>17</v>
      </c>
      <c r="AI68" s="117"/>
      <c r="AJ68" t="str" s="118" cm="1">
        <f t="array" ref="AJ68">CONCATENATE(AJ3," ",B68)</f>
        <v>Grupo I</v>
      </c>
      <c r="AK68" s="119"/>
      <c r="AL68" s="119"/>
      <c r="AM68" s="119"/>
      <c r="AN68" s="119"/>
      <c r="AO68" s="119"/>
      <c r="AP68" s="119"/>
      <c r="AQ68" s="119"/>
      <c r="AR68" s="119"/>
      <c r="AS68" s="119"/>
      <c r="AT68" s="120"/>
      <c r="AU68" s="209"/>
      <c r="AV68" t="str" s="122" cm="1">
        <f t="array" ref="AV68">IF(AU69&gt;0,$AV$3,"")</f>
        <v>¡EMPATE! Puedes seleccionar el orden de los empatados.</v>
      </c>
      <c r="AW68" s="217"/>
      <c r="AX68" s="217"/>
      <c r="AY68" s="211"/>
      <c r="AZ68" s="212"/>
      <c r="BA68" s="8"/>
      <c r="BB68" t="str" s="140" cm="1">
        <f t="array" ref="BB68">"3"&amp;BC68</f>
        <v>3K</v>
      </c>
      <c r="BC68" t="s" s="125">
        <v>385</v>
      </c>
      <c r="BD68" t="str" s="140" cm="1">
        <f t="array" ref="BD68">INDEX($BD$6:$BN$53,MATCH($BB68,$BN$6:$BN$53,0),MATCH(BD$57,$BD$5:$BN$5,0))</f>
        <v>Uzbekistán</v>
      </c>
      <c r="BE68" s="154">
        <v>1</v>
      </c>
      <c r="BF68" s="154" cm="1">
        <f t="array" ref="BF68">BG68+BH68+BI68</f>
        <v>3</v>
      </c>
      <c r="BG68" s="154" cm="1">
        <f t="array" ref="BG68">CHOOSE(IF($BB$57=2,2,1),INDEX($BG$6:$BG$53,MATCH($BB68,$BN$6:$BN$53,0)),INDEX($BG$6:$BG$53,MATCH($BB68,$BN$6:$BN$53,0))-(_xlfn.COUNTIFS($AA$4:$AA$97,$BD68,$AF$4:$AF$97,INDEX($BD$6:$BD$53,MATCH(BO68,$BN$6:$BN$53,0)),$D$4:$D$97,"Local")+_xlfn.COUNTIFS($AF$4:$AF$97,$BD68,$AA$4:$AA$97,INDEX($BD$6:$BD$53,MATCH(BO68,$BN$6:$BN$53,0)),$D$4:$D$97,"Visitante")))</f>
        <v>0</v>
      </c>
      <c r="BH68" s="154" cm="1">
        <f t="array" ref="BH68">CHOOSE(IF($BB$57=2,2,1),INDEX($BH$6:$BH$53,MATCH($BB68,$BN$6:$BN$53,0)),INDEX($BH$6:$BH$53,MATCH($BB68,$BN$6:$BN$53,0))-(_xlfn.COUNTIFS($AA$4:$AA$97,$BD68,$AF$4:$AF$97,INDEX($BD$6:$BD$53,MATCH(BO68,$BN$6:$BN$53,0)),$D$4:$D$97,"Empate")+_xlfn.COUNTIFS($AF$4:$AF$97,$BD68,$AA$4:$AA$97,INDEX($BD$6:$BD$53,MATCH(BO68,$BN$6:$BN$53,0)),$D$4:$D$97,"Empate")))</f>
        <v>1</v>
      </c>
      <c r="BI68" s="154" cm="1">
        <f t="array" ref="BI68">CHOOSE(IF($BB$57=2,2,1),INDEX($BI$6:$BI$53,MATCH($BB68,$BN$6:$BN$53,0)),INDEX($BI$6:$BI$53,MATCH($BB68,$BN$6:$BN$53,0))-(_xlfn.COUNTIFS($AA$4:$AA$97,$BD68,$AF$4:$AF$97,INDEX($BD$6:$BD$53,MATCH(BO68,$BN$6:$BN$53,0)),$D$4:$D$97,"Visitante")+_xlfn.COUNTIFS($AF$4:$AF$97,$BD68,$AA$4:$AA$97,INDEX($BD$6:$BD$53,MATCH(BO68,$BN$6:$BN$53,0)),$D$4:$D$97,"Local")))</f>
        <v>2</v>
      </c>
      <c r="BJ68" s="154" cm="1">
        <f t="array" ref="BJ68">CHOOSE($BB$57,INDEX($BJ$6:$BJ$53,MATCH($BB68,$BN$6:$BN$53,0)),INDEX($BJ$6:$BJ$53,MATCH($BB68,$BN$6:$BN$53,0))-(_xlfn.SUMIFS($AC$4:$AC$97,$AA$4:$AA$97,$BD68,$AF$4:$AF$97,INDEX($BD$6:$BD$53,MATCH(BO68,$BN$6:$BN$53,0)))+_xlfn.SUMIFS($AD$4:$AD$97,$AF$4:$AF$97,$BD68,$AA$4:$AA$97,INDEX($BD$6:$BD$53,MATCH(BO68,$BN$6:$BN$53,0)))),_xlfn.IFERROR(INDEX($BJ$6:$BJ$53,MATCH($BB68,$BN$6:$BN$53,0))/BF68,0))</f>
        <v>1</v>
      </c>
      <c r="BK68" s="154" cm="1">
        <f t="array" ref="BK68">CHOOSE($BB$57,INDEX($BK$6:$BK$53,MATCH($BB68,$BN$6:$BN$53,0)),INDEX($BK$6:$BK$53,MATCH($BB68,$BN$6:$BN$53,0))-(_xlfn.SUMIFS($AD$4:$AD$97,$AA$4:$AA$97,$BD68,$AF$4:$AF$97,INDEX($BD$6:$BD$53,MATCH(BO68,$BN$6:$BN$53,0)))+_xlfn.SUMIFS($AC$4:$AC$97,$AF$4:$AF$97,$BD68,$AA$4:$AA$97,INDEX($BD$6:$BD$53,MATCH(BO68,$BN$6:$BN$53,0)))),_xlfn.IFERROR(INDEX($BK$6:$BK$53,MATCH($BB68,$BN$6:$BN$53,0))/BF68,0))</f>
        <v>3</v>
      </c>
      <c r="BL68" s="154" cm="1">
        <f t="array" ref="BL68">BJ68-BK68</f>
        <v>-2</v>
      </c>
      <c r="BM68" s="154" cm="1">
        <f t="array" ref="BM68">CB68</f>
        <v>9</v>
      </c>
      <c r="BN68" s="154" cm="1">
        <f t="array" ref="BN68">CF68</f>
        <v>9</v>
      </c>
      <c r="BO68" t="str" s="140" cm="1">
        <f t="array" ref="BO68">"4"&amp;BC68</f>
        <v>4K</v>
      </c>
      <c r="BP68" s="140"/>
      <c r="BQ68" s="140"/>
      <c r="BR68" s="154" cm="1">
        <f t="array" ref="BR68">BE68</f>
        <v>1</v>
      </c>
      <c r="BS68" s="154" cm="1">
        <f t="array" ref="BS68">_xlfn.COUNTIFS(BR$58:BR$69,"&gt;"&amp;BR68)+1</f>
        <v>9</v>
      </c>
      <c r="BT68" t="str" s="140" cm="1">
        <f t="array" ref="BT68">IF(COUNTIF(BS$58:BS$69,BS68)=1,"-","Pos. "&amp;BS68&amp;" ("&amp;COUNTIF(BS$58:BS$69,BS68)&amp;")")</f>
        <v>Pos. 9 (2)</v>
      </c>
      <c r="BU68" s="154" cm="1">
        <f t="array" ref="BU68">IF(BT68="-","-",BL68)</f>
        <v>-2</v>
      </c>
      <c r="BV68" s="154" cm="1">
        <f t="array" ref="BV68">BS68+_xlfn.COUNTIFS(BT$58:BT$69,BT68,BU$58:BU$69,"&gt;"&amp;BU68)</f>
        <v>9</v>
      </c>
      <c r="BW68" t="str" s="140" cm="1">
        <f t="array" ref="BW68">IF(COUNTIF(BV$58:BV$69,BV68)=1,"-","Pos. "&amp;BV68&amp;" ("&amp;COUNTIF(BV$58:BV$69,BV68)&amp;")")</f>
        <v>-</v>
      </c>
      <c r="BX68" t="str" s="140" cm="1">
        <f t="array" ref="BX68">IF(BW68="-","-",BJ68)</f>
        <v>-</v>
      </c>
      <c r="BY68" s="154" cm="1">
        <f t="array" ref="BY68">BV68+_xlfn.COUNTIFS(BW$58:BW$69,BW68,BX$58:BX$69,"&gt;"&amp;BX68)</f>
        <v>9</v>
      </c>
      <c r="BZ68" t="str" s="140" cm="1">
        <f t="array" ref="BZ68">IF(COUNTIF(BY$58:BY$69,BY68)=1,"-","Pos. "&amp;BY68&amp;" ("&amp;COUNTIF(BY$58:BY$69,BY68)&amp;")")</f>
        <v>-</v>
      </c>
      <c r="CA68" t="str" s="140" cm="1">
        <f t="array" ref="CA68">IF(BZ68="-","-",COUNTIF($BD$58:$BD$69,"&gt;"&amp;BD68))</f>
        <v>-</v>
      </c>
      <c r="CB68" s="154" cm="1">
        <f t="array" ref="CB68">BY68+_xlfn.COUNTIFS(BZ$58:BZ$69,BZ68,CA$58:CA$69,"&gt;"&amp;CA68)</f>
        <v>9</v>
      </c>
      <c r="CC68" s="140"/>
      <c r="CD68" s="154" cm="1">
        <f t="array" ref="CD68">IF(OR(INDEX($AW$102:$AW$113,MATCH($BD68,$AV$102:$AV$113,0))="",BZ68="-"),CB68,INDEX($AW$102:$AW$113,MATCH($BD68,$AV$102:$AV$113,0))+CB68/1000)</f>
        <v>9</v>
      </c>
      <c r="CE68" t="str" s="140" cm="1">
        <f t="array" ref="CE68">IF(BZ68="-","-",COUNTIF(CD$58:CD$69,"&lt;"&amp;CD68))</f>
        <v>-</v>
      </c>
      <c r="CF68" s="154" cm="1">
        <f t="array" ref="CF68">BY68+_xlfn.COUNTIFS(BZ$58:BZ$69,BZ68,CE$58:CE$69,"&lt;"&amp;CE68)</f>
        <v>9</v>
      </c>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154" cm="1">
        <f t="array" ref="DJ68">INDEX($BY$58:$BY$69,MATCH($DQ68,$BD$58:$BD$69,0))</f>
        <v>11</v>
      </c>
      <c r="DK68" s="140"/>
      <c r="DL68" s="154" cm="1">
        <f t="array" ref="DL68">IF(OR($H$113=144,$AJ$99=144),COUNTIF($DJ$58:$DJ$69,DJ68),1)</f>
        <v>1</v>
      </c>
      <c r="DM68" t="str" s="140" cm="1">
        <f t="array" ref="DM68">DJ68&amp;"."&amp;DL68</f>
        <v>11.1</v>
      </c>
      <c r="DN68" s="154">
        <v>1</v>
      </c>
      <c r="DO68" s="140"/>
      <c r="DP68" s="154">
        <v>11</v>
      </c>
      <c r="DQ68" t="str" s="140" cm="1">
        <f t="array" ref="DQ68">INDEX($BD$58:$BD$69,MATCH(DP68,$BM$58:$BM$69,0))</f>
        <v>Australia</v>
      </c>
      <c r="DR68" s="87"/>
      <c r="DS68" s="87"/>
      <c r="DT68" s="88"/>
      <c r="DU68" s="12"/>
    </row>
    <row r="69" ht="16" customHeight="1">
      <c r="A69" t="s" s="89">
        <v>340</v>
      </c>
      <c r="B69" s="78"/>
      <c r="C69" s="78"/>
      <c r="D69" t="str" s="78" cm="1">
        <f t="array" ref="D69">IF(OR(AC69="",AD69=""),"Pendiente",IF(AC69&gt;AD69,"Local",IF(AC69&lt;AD69,"Visitante","Empate")))</f>
        <v>Visitante</v>
      </c>
      <c r="E69" t="str" s="78" cm="1">
        <f t="array" ref="E69">IF(D69="Pendiente","-",INDEX($BT$6:$BT$53,MATCH($AA69,$BD$6:$BD$53,0)))</f>
        <v>P.1 (4)</v>
      </c>
      <c r="F69" t="str" s="78" cm="1">
        <f t="array" ref="F69">IF(D69="Pendiente","-",INDEX($BT$6:$BT$53,MATCH($AF69,$BD$6:$BD$53,0)))</f>
        <v>P.1 (4)</v>
      </c>
      <c r="G69" s="78"/>
      <c r="H69" t="str" s="78" cm="1">
        <f t="array" ref="H69">IF(D69="Pendiente","-",INDEX($BZ$6:$BZ$53,MATCH($AA69,$BD$6:$BD$53,0)))</f>
        <v>P.1 (4)</v>
      </c>
      <c r="I69" t="str" s="78" cm="1">
        <f t="array" ref="I69">IF(D69="Pendiente","-",INDEX($BZ$6:$BZ$53,MATCH($AF69,$BD$6:$BD$53,0)))</f>
        <v>P.1 (4)</v>
      </c>
      <c r="J69" s="78"/>
      <c r="K69" t="str" s="78" cm="1">
        <f t="array" ref="K69">IF(D69="Pendiente","-",INDEX($CE$6:$CE$53,MATCH($AA69,$BD$6:$BD$53,0)))</f>
        <v>P.1 (4)</v>
      </c>
      <c r="L69" t="str" s="78" cm="1">
        <f t="array" ref="L69">IF(D69="Pendiente","-",INDEX($CE$6:$CE$53,MATCH($AF69,$BD$6:$BD$53,0)))</f>
        <v>P.1 (4)</v>
      </c>
      <c r="M69" s="78"/>
      <c r="N69" t="str" s="78" cm="1">
        <f t="array" ref="N69">IF(D69="Pendiente","-",INDEX($CH$6:$CH$53,MATCH($AA69,$BD$6:$BD$53,0)))</f>
        <v>P.1 (4)</v>
      </c>
      <c r="O69" t="str" s="78" cm="1">
        <f t="array" ref="O69">IF(D69="Pendiente","-",INDEX($CH$6:$CH$53,MATCH($AF69,$BD$6:$BD$53,0)))</f>
        <v>P.1 (4)</v>
      </c>
      <c r="P69" s="78"/>
      <c r="Q69" t="str" s="78" cm="1">
        <f t="array" ref="Q69">IF(D69="Pendiente","-",INDEX($CN$6:$CN$53,MATCH($AA69,$BD$6:$BD$53,0)))</f>
        <v>P.1 (4)</v>
      </c>
      <c r="R69" t="str" s="78" cm="1">
        <f t="array" ref="R69">IF(D69="Pendiente","-",INDEX($CN$6:$CN$53,MATCH($AF69,$BD$6:$BD$53,0)))</f>
        <v>P.1 (4)</v>
      </c>
      <c r="S69" s="78"/>
      <c r="T69" t="str" s="78" cm="1">
        <f t="array" ref="T69">IF(D69="Pendiente","-",INDEX($CS$6:$CS$53,MATCH($AA69,$BD$6:$BD$53,0)))</f>
        <v>P.1 (4)</v>
      </c>
      <c r="U69" t="str" s="78" cm="1">
        <f t="array" ref="U69">IF(D69="Pendiente","-",INDEX($CS$6:$CS$53,MATCH($AF69,$BD$6:$BD$53,0)))</f>
        <v>P.1 (4)</v>
      </c>
      <c r="V69" s="90"/>
      <c r="W69" s="126"/>
      <c r="X69" s="107">
        <v>46189.75</v>
      </c>
      <c r="Y69" s="108">
        <v>46189.75</v>
      </c>
      <c r="Z69" t="str" s="127" cm="1">
        <f t="array" ref="Z69">$Z$4</f>
        <v>J1</v>
      </c>
      <c r="AA69" t="str" s="110" cm="1">
        <f t="array" ref="AA69">A71</f>
        <v>Irak</v>
      </c>
      <c r="AB69" s="111"/>
      <c r="AC69" s="128">
        <v>0</v>
      </c>
      <c r="AD69" s="128">
        <v>2</v>
      </c>
      <c r="AE69" s="113"/>
      <c r="AF69" t="str" s="114" cm="1">
        <f t="array" ref="AF69">A72</f>
        <v>Noruega</v>
      </c>
      <c r="AG69" s="115" cm="1">
        <f t="array" ref="AG69">IF(NOT(OR(ISBLANK(AC69),ISBLANK(AD69))),1,0)</f>
        <v>1</v>
      </c>
      <c r="AH69" s="116">
        <v>18</v>
      </c>
      <c r="AI69" s="117"/>
      <c r="AJ69" t="str" s="213" cm="1">
        <f t="array" ref="AJ69">AJ5</f>
        <v>Pos</v>
      </c>
      <c r="AK69" s="130"/>
      <c r="AL69" t="str" s="214" cm="1">
        <f t="array" ref="AL69">AL5</f>
        <v>Selección</v>
      </c>
      <c r="AM69" t="str" s="130" cm="1">
        <f t="array" ref="AM69">AM5</f>
        <v>Pts</v>
      </c>
      <c r="AN69" t="str" s="130" cm="1">
        <f t="array" ref="AN69">AN5</f>
        <v>J</v>
      </c>
      <c r="AO69" t="str" s="130" cm="1">
        <f t="array" ref="AO69">AO5</f>
        <v>G</v>
      </c>
      <c r="AP69" t="str" s="130" cm="1">
        <f t="array" ref="AP69">AP5</f>
        <v>E</v>
      </c>
      <c r="AQ69" t="str" s="130" cm="1">
        <f t="array" ref="AQ69">AQ5</f>
        <v>P</v>
      </c>
      <c r="AR69" t="str" s="130" cm="1">
        <f t="array" ref="AR69">AR5</f>
        <v>GF</v>
      </c>
      <c r="AS69" t="str" s="130" cm="1">
        <f t="array" ref="AS69">AS5</f>
        <v>GC</v>
      </c>
      <c r="AT69" t="str" s="215" cm="1">
        <f t="array" ref="AT69">AT5</f>
        <v>DG</v>
      </c>
      <c r="AU69" s="216" cm="1">
        <f t="array" ref="AU69">COUNTIF(AU70:AU73,"&gt;1")</f>
        <v>4</v>
      </c>
      <c r="AV69" s="135"/>
      <c r="AW69" s="217"/>
      <c r="AX69" s="218"/>
      <c r="AY69" t="str" s="137" cm="1">
        <f t="array" ref="AY69">AL69</f>
        <v>Selección</v>
      </c>
      <c r="AZ69" t="s" s="138">
        <v>70</v>
      </c>
      <c r="BA69" s="139"/>
      <c r="BB69" t="str" s="140" cm="1">
        <f t="array" ref="BB69">"3"&amp;BC69</f>
        <v>3L</v>
      </c>
      <c r="BC69" t="s" s="125">
        <v>408</v>
      </c>
      <c r="BD69" t="str" s="140" cm="1">
        <f t="array" ref="BD69">INDEX($BD$6:$BN$53,MATCH($BB69,$BN$6:$BN$53,0),MATCH(BD$57,$BD$5:$BN$5,0))</f>
        <v>Ghana</v>
      </c>
      <c r="BE69" s="154">
        <v>3</v>
      </c>
      <c r="BF69" s="154" cm="1">
        <f t="array" ref="BF69">BG69+BH69+BI69</f>
        <v>3</v>
      </c>
      <c r="BG69" s="154" cm="1">
        <f t="array" ref="BG69">CHOOSE(IF($BB$57=2,2,1),INDEX($BG$6:$BG$53,MATCH($BB69,$BN$6:$BN$53,0)),INDEX($BG$6:$BG$53,MATCH($BB69,$BN$6:$BN$53,0))-(_xlfn.COUNTIFS($AA$4:$AA$97,$BD69,$AF$4:$AF$97,INDEX($BD$6:$BD$53,MATCH(BO69,$BN$6:$BN$53,0)),$D$4:$D$97,"Local")+_xlfn.COUNTIFS($AF$4:$AF$97,$BD69,$AA$4:$AA$97,INDEX($BD$6:$BD$53,MATCH(BO69,$BN$6:$BN$53,0)),$D$4:$D$97,"Visitante")))</f>
        <v>1</v>
      </c>
      <c r="BH69" s="154" cm="1">
        <f t="array" ref="BH69">CHOOSE(IF($BB$57=2,2,1),INDEX($BH$6:$BH$53,MATCH($BB69,$BN$6:$BN$53,0)),INDEX($BH$6:$BH$53,MATCH($BB69,$BN$6:$BN$53,0))-(_xlfn.COUNTIFS($AA$4:$AA$97,$BD69,$AF$4:$AF$97,INDEX($BD$6:$BD$53,MATCH(BO69,$BN$6:$BN$53,0)),$D$4:$D$97,"Empate")+_xlfn.COUNTIFS($AF$4:$AF$97,$BD69,$AA$4:$AA$97,INDEX($BD$6:$BD$53,MATCH(BO69,$BN$6:$BN$53,0)),$D$4:$D$97,"Empate")))</f>
        <v>0</v>
      </c>
      <c r="BI69" s="154" cm="1">
        <f t="array" ref="BI69">CHOOSE(IF($BB$57=2,2,1),INDEX($BI$6:$BI$53,MATCH($BB69,$BN$6:$BN$53,0)),INDEX($BI$6:$BI$53,MATCH($BB69,$BN$6:$BN$53,0))-(_xlfn.COUNTIFS($AA$4:$AA$97,$BD69,$AF$4:$AF$97,INDEX($BD$6:$BD$53,MATCH(BO69,$BN$6:$BN$53,0)),$D$4:$D$97,"Visitante")+_xlfn.COUNTIFS($AF$4:$AF$97,$BD69,$AA$4:$AA$97,INDEX($BD$6:$BD$53,MATCH(BO69,$BN$6:$BN$53,0)),$D$4:$D$97,"Local")))</f>
        <v>2</v>
      </c>
      <c r="BJ69" s="154" cm="1">
        <f t="array" ref="BJ69">CHOOSE($BB$57,INDEX($BJ$6:$BJ$53,MATCH($BB69,$BN$6:$BN$53,0)),INDEX($BJ$6:$BJ$53,MATCH($BB69,$BN$6:$BN$53,0))-(_xlfn.SUMIFS($AC$4:$AC$97,$AA$4:$AA$97,$BD69,$AF$4:$AF$97,INDEX($BD$6:$BD$53,MATCH(BO69,$BN$6:$BN$53,0)))+_xlfn.SUMIFS($AD$4:$AD$97,$AF$4:$AF$97,$BD69,$AA$4:$AA$97,INDEX($BD$6:$BD$53,MATCH(BO69,$BN$6:$BN$53,0)))),_xlfn.IFERROR(INDEX($BJ$6:$BJ$53,MATCH($BB69,$BN$6:$BN$53,0))/BF69,0))</f>
        <v>3</v>
      </c>
      <c r="BK69" s="154" cm="1">
        <f t="array" ref="BK69">CHOOSE($BB$57,INDEX($BK$6:$BK$53,MATCH($BB69,$BN$6:$BN$53,0)),INDEX($BK$6:$BK$53,MATCH($BB69,$BN$6:$BN$53,0))-(_xlfn.SUMIFS($AD$4:$AD$97,$AA$4:$AA$97,$BD69,$AF$4:$AF$97,INDEX($BD$6:$BD$53,MATCH(BO69,$BN$6:$BN$53,0)))+_xlfn.SUMIFS($AC$4:$AC$97,$AF$4:$AF$97,$BD69,$AA$4:$AA$97,INDEX($BD$6:$BD$53,MATCH(BO69,$BN$6:$BN$53,0)))),_xlfn.IFERROR(INDEX($BK$6:$BK$53,MATCH($BB69,$BN$6:$BN$53,0))/BF69,0))</f>
        <v>4</v>
      </c>
      <c r="BL69" s="154" cm="1">
        <f t="array" ref="BL69">BJ69-BK69</f>
        <v>-1</v>
      </c>
      <c r="BM69" s="154" cm="1">
        <f t="array" ref="BM69">CB69</f>
        <v>5</v>
      </c>
      <c r="BN69" s="154" cm="1">
        <f t="array" ref="BN69">CF69</f>
        <v>5</v>
      </c>
      <c r="BO69" t="str" s="140" cm="1">
        <f t="array" ref="BO69">"4"&amp;BC69</f>
        <v>4L</v>
      </c>
      <c r="BP69" s="140"/>
      <c r="BQ69" s="140"/>
      <c r="BR69" s="154" cm="1">
        <f t="array" ref="BR69">BE69</f>
        <v>3</v>
      </c>
      <c r="BS69" s="154" cm="1">
        <f t="array" ref="BS69">_xlfn.COUNTIFS(BR$58:BR$69,"&gt;"&amp;BR69)+1</f>
        <v>5</v>
      </c>
      <c r="BT69" t="str" s="140" cm="1">
        <f t="array" ref="BT69">IF(COUNTIF(BS$58:BS$69,BS69)=1,"-","Pos. "&amp;BS69&amp;" ("&amp;COUNTIF(BS$58:BS$69,BS69)&amp;")")</f>
        <v>Pos. 5 (4)</v>
      </c>
      <c r="BU69" s="154" cm="1">
        <f t="array" ref="BU69">IF(BT69="-","-",BL69)</f>
        <v>-1</v>
      </c>
      <c r="BV69" s="154" cm="1">
        <f t="array" ref="BV69">BS69+_xlfn.COUNTIFS(BT$58:BT$69,BT69,BU$58:BU$69,"&gt;"&amp;BU69)</f>
        <v>5</v>
      </c>
      <c r="BW69" t="str" s="140" cm="1">
        <f t="array" ref="BW69">IF(COUNTIF(BV$58:BV$69,BV69)=1,"-","Pos. "&amp;BV69&amp;" ("&amp;COUNTIF(BV$58:BV$69,BV69)&amp;")")</f>
        <v>Pos. 5 (2)</v>
      </c>
      <c r="BX69" s="154" cm="1">
        <f t="array" ref="BX69">IF(BW69="-","-",BJ69)</f>
        <v>3</v>
      </c>
      <c r="BY69" s="154" cm="1">
        <f t="array" ref="BY69">BV69+_xlfn.COUNTIFS(BW$58:BW$69,BW69,BX$58:BX$69,"&gt;"&amp;BX69)</f>
        <v>5</v>
      </c>
      <c r="BZ69" t="str" s="140" cm="1">
        <f t="array" ref="BZ69">IF(COUNTIF(BY$58:BY$69,BY69)=1,"-","Pos. "&amp;BY69&amp;" ("&amp;COUNTIF(BY$58:BY$69,BY69)&amp;")")</f>
        <v>-</v>
      </c>
      <c r="CA69" t="str" s="140" cm="1">
        <f t="array" ref="CA69">IF(BZ69="-","-",COUNTIF($BD$58:$BD$69,"&gt;"&amp;BD69))</f>
        <v>-</v>
      </c>
      <c r="CB69" s="154" cm="1">
        <f t="array" ref="CB69">BY69+_xlfn.COUNTIFS(BZ$58:BZ$69,BZ69,CA$58:CA$69,"&gt;"&amp;CA69)</f>
        <v>5</v>
      </c>
      <c r="CC69" s="140"/>
      <c r="CD69" s="154" cm="1">
        <f t="array" ref="CD69">IF(OR(INDEX($AW$102:$AW$113,MATCH($BD69,$AV$102:$AV$113,0))="",BZ69="-"),CB69,INDEX($AW$102:$AW$113,MATCH($BD69,$AV$102:$AV$113,0))+CB69/1000)</f>
        <v>5</v>
      </c>
      <c r="CE69" t="str" s="140" cm="1">
        <f t="array" ref="CE69">IF(BZ69="-","-",COUNTIF(CD$58:CD$69,"&lt;"&amp;CD69))</f>
        <v>-</v>
      </c>
      <c r="CF69" s="154" cm="1">
        <f t="array" ref="CF69">BY69+_xlfn.COUNTIFS(BZ$58:BZ$69,BZ69,CE$58:CE$69,"&lt;"&amp;CE69)</f>
        <v>5</v>
      </c>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154" cm="1">
        <f t="array" ref="DJ69">INDEX($BY$58:$BY$69,MATCH($DQ69,$BD$58:$BD$69,0))</f>
        <v>12</v>
      </c>
      <c r="DK69" s="140"/>
      <c r="DL69" s="154" cm="1">
        <f t="array" ref="DL69">IF(OR($H$113=144,$AJ$99=144),COUNTIF($DJ$58:$DJ$69,DJ69),1)</f>
        <v>1</v>
      </c>
      <c r="DM69" t="str" s="140" cm="1">
        <f t="array" ref="DM69">DJ69&amp;"."&amp;DL69</f>
        <v>12.1</v>
      </c>
      <c r="DN69" s="154">
        <v>1</v>
      </c>
      <c r="DO69" s="140"/>
      <c r="DP69" s="154">
        <v>12</v>
      </c>
      <c r="DQ69" t="str" s="140" cm="1">
        <f t="array" ref="DQ69">INDEX($BD$58:$BD$69,MATCH(DP69,$BM$58:$BM$69,0))</f>
        <v>Irak</v>
      </c>
      <c r="DR69" s="87"/>
      <c r="DS69" s="87"/>
      <c r="DT69" s="88"/>
      <c r="DU69" s="12"/>
    </row>
    <row r="70" ht="16" customHeight="1">
      <c r="A70" t="s" s="89">
        <v>346</v>
      </c>
      <c r="B70" s="78"/>
      <c r="C70" s="78"/>
      <c r="D70" t="str" s="78" cm="1">
        <f t="array" ref="D70">IF(OR(AC70="",AD70=""),"Pendiente",IF(AC70&gt;AD70,"Local",IF(AC70&lt;AD70,"Visitante","Empate")))</f>
        <v>Local</v>
      </c>
      <c r="E70" t="str" s="78" cm="1">
        <f t="array" ref="E70">IF(D70="Pendiente","-",INDEX($BT$6:$BT$53,MATCH($AA70,$BD$6:$BD$53,0)))</f>
        <v>P.1 (4)</v>
      </c>
      <c r="F70" t="str" s="78" cm="1">
        <f t="array" ref="F70">IF(D70="Pendiente","-",INDEX($BT$6:$BT$53,MATCH($AF70,$BD$6:$BD$53,0)))</f>
        <v>P.1 (4)</v>
      </c>
      <c r="G70" s="78"/>
      <c r="H70" t="str" s="78" cm="1">
        <f t="array" ref="H70">IF(D70="Pendiente","-",INDEX($BZ$6:$BZ$53,MATCH($AA70,$BD$6:$BD$53,0)))</f>
        <v>P.1 (4)</v>
      </c>
      <c r="I70" t="str" s="78" cm="1">
        <f t="array" ref="I70">IF(D70="Pendiente","-",INDEX($BZ$6:$BZ$53,MATCH($AF70,$BD$6:$BD$53,0)))</f>
        <v>P.1 (4)</v>
      </c>
      <c r="J70" s="78"/>
      <c r="K70" t="str" s="78" cm="1">
        <f t="array" ref="K70">IF(D70="Pendiente","-",INDEX($CE$6:$CE$53,MATCH($AA70,$BD$6:$BD$53,0)))</f>
        <v>P.1 (4)</v>
      </c>
      <c r="L70" t="str" s="78" cm="1">
        <f t="array" ref="L70">IF(D70="Pendiente","-",INDEX($CE$6:$CE$53,MATCH($AF70,$BD$6:$BD$53,0)))</f>
        <v>P.1 (4)</v>
      </c>
      <c r="M70" s="78"/>
      <c r="N70" t="str" s="78" cm="1">
        <f t="array" ref="N70">IF(D70="Pendiente","-",INDEX($CH$6:$CH$53,MATCH($AA70,$BD$6:$BD$53,0)))</f>
        <v>P.1 (4)</v>
      </c>
      <c r="O70" t="str" s="78" cm="1">
        <f t="array" ref="O70">IF(D70="Pendiente","-",INDEX($CH$6:$CH$53,MATCH($AF70,$BD$6:$BD$53,0)))</f>
        <v>P.1 (4)</v>
      </c>
      <c r="P70" s="78"/>
      <c r="Q70" t="str" s="78" cm="1">
        <f t="array" ref="Q70">IF(D70="Pendiente","-",INDEX($CN$6:$CN$53,MATCH($AA70,$BD$6:$BD$53,0)))</f>
        <v>P.1 (4)</v>
      </c>
      <c r="R70" t="str" s="78" cm="1">
        <f t="array" ref="R70">IF(D70="Pendiente","-",INDEX($CN$6:$CN$53,MATCH($AF70,$BD$6:$BD$53,0)))</f>
        <v>P.1 (4)</v>
      </c>
      <c r="S70" s="78"/>
      <c r="T70" t="str" s="78" cm="1">
        <f t="array" ref="T70">IF(D70="Pendiente","-",INDEX($CS$6:$CS$53,MATCH($AA70,$BD$6:$BD$53,0)))</f>
        <v>P.1 (4)</v>
      </c>
      <c r="U70" t="str" s="78" cm="1">
        <f t="array" ref="U70">IF(D70="Pendiente","-",INDEX($CS$6:$CS$53,MATCH($AF70,$BD$6:$BD$53,0)))</f>
        <v>P.1 (4)</v>
      </c>
      <c r="V70" s="90"/>
      <c r="W70" s="141"/>
      <c r="X70" s="107">
        <v>46195.708333333343</v>
      </c>
      <c r="Y70" s="108">
        <v>46195.708333333343</v>
      </c>
      <c r="Z70" t="str" s="127" cm="1">
        <f t="array" ref="Z70">$Z$6</f>
        <v>J2</v>
      </c>
      <c r="AA70" t="str" s="110" cm="1">
        <f t="array" ref="AA70">A69</f>
        <v>Francia</v>
      </c>
      <c r="AB70" s="111"/>
      <c r="AC70" s="128">
        <v>3</v>
      </c>
      <c r="AD70" s="128">
        <v>0</v>
      </c>
      <c r="AE70" s="113"/>
      <c r="AF70" t="str" s="114" cm="1">
        <f t="array" ref="AF70">A71</f>
        <v>Irak</v>
      </c>
      <c r="AG70" s="115" cm="1">
        <f t="array" ref="AG70">IF(NOT(OR(ISBLANK(AC70),ISBLANK(AD70))),1,0)</f>
        <v>1</v>
      </c>
      <c r="AH70" s="116">
        <v>42</v>
      </c>
      <c r="AI70" t="str" s="117" cm="1">
        <f t="array" ref="AI70">AJ70&amp;$B$68</f>
        <v>1I</v>
      </c>
      <c r="AJ70" s="142">
        <v>1</v>
      </c>
      <c r="AK70" s="221"/>
      <c r="AL70" t="str" s="144" cm="1">
        <f t="array" ref="AL70">_xlfn.IFERROR(INDEX($BD$6:$BD$53,MATCH(AI70,$BN$6:$BN$53,0)),"")</f>
        <v>Francia</v>
      </c>
      <c r="AM70" s="145" cm="1">
        <f t="array" ref="AM70">INDEX($BE$6:$BN$53,MATCH($AL70,$BD$6:$BD$53,0),MATCH(AM$5,$BE$5:$BN$5,0))</f>
        <v>9</v>
      </c>
      <c r="AN70" s="146" cm="1">
        <f t="array" ref="AN70">INDEX($BE$6:$BN$53,MATCH($AL70,$BD$6:$BD$53,0),MATCH(AN$5,$BE$5:$BN$5,0))</f>
        <v>3</v>
      </c>
      <c r="AO70" s="146" cm="1">
        <f t="array" ref="AO70">INDEX($BE$6:$BN$53,MATCH($AL70,$BD$6:$BD$53,0),MATCH(AO$5,$BE$5:$BN$5,0))</f>
        <v>3</v>
      </c>
      <c r="AP70" s="146" cm="1">
        <f t="array" ref="AP70">INDEX($BE$6:$BN$53,MATCH($AL70,$BD$6:$BD$53,0),MATCH(AP$5,$BE$5:$BN$5,0))</f>
        <v>0</v>
      </c>
      <c r="AQ70" s="146" cm="1">
        <f t="array" ref="AQ70">INDEX($BE$6:$BN$53,MATCH($AL70,$BD$6:$BD$53,0),MATCH(AQ$5,$BE$5:$BN$5,0))</f>
        <v>0</v>
      </c>
      <c r="AR70" s="146" cm="1">
        <f t="array" ref="AR70">INDEX($BE$6:$BN$53,MATCH($AL70,$BD$6:$BD$53,0),MATCH(AR$5,$BE$5:$BN$5,0))</f>
        <v>8</v>
      </c>
      <c r="AS70" s="146" cm="1">
        <f t="array" ref="AS70">INDEX($BE$6:$BN$53,MATCH($AL70,$BD$6:$BD$53,0),MATCH(AS$5,$BE$5:$BN$5,0))</f>
        <v>2</v>
      </c>
      <c r="AT70" s="147" cm="1">
        <f t="array" ref="AT70">INDEX($BE$6:$BN$53,MATCH($AL70,$BD$6:$BD$53,0),MATCH(AT$5,$BE$5:$BN$5,0))</f>
        <v>6</v>
      </c>
      <c r="AU70" s="148" cm="1">
        <f t="array" ref="AU70">INDEX($DL$6:$DL$53,MATCH(AI70,$DP$6:$DP$53,0))</f>
        <v>4</v>
      </c>
      <c r="AV70" t="str" s="149" cm="1">
        <f t="array" ref="AV70">INDEX($BD$6:$BD$53,MATCH(AI70,$BM$6:$BM$53,0))</f>
        <v>Francia</v>
      </c>
      <c r="AW70" s="150"/>
      <c r="AX70" s="151"/>
      <c r="AY70" t="str" s="152" cm="1">
        <f t="array" ref="AY70">A69</f>
        <v>Francia</v>
      </c>
      <c r="AZ70" s="153"/>
      <c r="BA70" s="139"/>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140"/>
      <c r="DO70" s="87"/>
      <c r="DP70" s="87"/>
      <c r="DQ70" s="87"/>
      <c r="DR70" s="87"/>
      <c r="DS70" s="87"/>
      <c r="DT70" s="88"/>
      <c r="DU70" s="12"/>
    </row>
    <row r="71" ht="16" customHeight="1">
      <c r="A71" t="s" s="89">
        <v>352</v>
      </c>
      <c r="B71" s="78"/>
      <c r="C71" s="78"/>
      <c r="D71" t="str" s="78" cm="1">
        <f t="array" ref="D71">IF(OR(AC71="",AD71=""),"Pendiente",IF(AC71&gt;AD71,"Local",IF(AC71&lt;AD71,"Visitante","Empate")))</f>
        <v>Local</v>
      </c>
      <c r="E71" t="str" s="78" cm="1">
        <f t="array" ref="E71">IF(D71="Pendiente","-",INDEX($BT$6:$BT$53,MATCH($AA71,$BD$6:$BD$53,0)))</f>
        <v>P.1 (4)</v>
      </c>
      <c r="F71" t="str" s="78" cm="1">
        <f t="array" ref="F71">IF(D71="Pendiente","-",INDEX($BT$6:$BT$53,MATCH($AF71,$BD$6:$BD$53,0)))</f>
        <v>P.1 (4)</v>
      </c>
      <c r="G71" s="78"/>
      <c r="H71" t="str" s="78" cm="1">
        <f t="array" ref="H71">IF(D71="Pendiente","-",INDEX($BZ$6:$BZ$53,MATCH($AA71,$BD$6:$BD$53,0)))</f>
        <v>P.1 (4)</v>
      </c>
      <c r="I71" t="str" s="78" cm="1">
        <f t="array" ref="I71">IF(D71="Pendiente","-",INDEX($BZ$6:$BZ$53,MATCH($AF71,$BD$6:$BD$53,0)))</f>
        <v>P.1 (4)</v>
      </c>
      <c r="J71" s="78"/>
      <c r="K71" t="str" s="78" cm="1">
        <f t="array" ref="K71">IF(D71="Pendiente","-",INDEX($CE$6:$CE$53,MATCH($AA71,$BD$6:$BD$53,0)))</f>
        <v>P.1 (4)</v>
      </c>
      <c r="L71" t="str" s="78" cm="1">
        <f t="array" ref="L71">IF(D71="Pendiente","-",INDEX($CE$6:$CE$53,MATCH($AF71,$BD$6:$BD$53,0)))</f>
        <v>P.1 (4)</v>
      </c>
      <c r="M71" s="78"/>
      <c r="N71" t="str" s="78" cm="1">
        <f t="array" ref="N71">IF(D71="Pendiente","-",INDEX($CH$6:$CH$53,MATCH($AA71,$BD$6:$BD$53,0)))</f>
        <v>P.1 (4)</v>
      </c>
      <c r="O71" t="str" s="78" cm="1">
        <f t="array" ref="O71">IF(D71="Pendiente","-",INDEX($CH$6:$CH$53,MATCH($AF71,$BD$6:$BD$53,0)))</f>
        <v>P.1 (4)</v>
      </c>
      <c r="P71" s="78"/>
      <c r="Q71" t="str" s="78" cm="1">
        <f t="array" ref="Q71">IF(D71="Pendiente","-",INDEX($CN$6:$CN$53,MATCH($AA71,$BD$6:$BD$53,0)))</f>
        <v>P.1 (4)</v>
      </c>
      <c r="R71" t="str" s="78" cm="1">
        <f t="array" ref="R71">IF(D71="Pendiente","-",INDEX($CN$6:$CN$53,MATCH($AF71,$BD$6:$BD$53,0)))</f>
        <v>P.1 (4)</v>
      </c>
      <c r="S71" s="78"/>
      <c r="T71" t="str" s="78" cm="1">
        <f t="array" ref="T71">IF(D71="Pendiente","-",INDEX($CS$6:$CS$53,MATCH($AA71,$BD$6:$BD$53,0)))</f>
        <v>P.1 (4)</v>
      </c>
      <c r="U71" t="str" s="78" cm="1">
        <f t="array" ref="U71">IF(D71="Pendiente","-",INDEX($CS$6:$CS$53,MATCH($AF71,$BD$6:$BD$53,0)))</f>
        <v>P.1 (4)</v>
      </c>
      <c r="V71" s="90"/>
      <c r="W71" s="141"/>
      <c r="X71" s="107">
        <v>46195.833333333343</v>
      </c>
      <c r="Y71" s="108">
        <v>46195.833333333343</v>
      </c>
      <c r="Z71" t="str" s="127" cm="1">
        <f t="array" ref="Z71">$Z$6</f>
        <v>J2</v>
      </c>
      <c r="AA71" t="str" s="110" cm="1">
        <f t="array" ref="AA71">A72</f>
        <v>Noruega</v>
      </c>
      <c r="AB71" s="111"/>
      <c r="AC71" s="128">
        <v>2</v>
      </c>
      <c r="AD71" s="128">
        <v>1</v>
      </c>
      <c r="AE71" s="113"/>
      <c r="AF71" t="str" s="114" cm="1">
        <f t="array" ref="AF71">A70</f>
        <v>Senegal</v>
      </c>
      <c r="AG71" s="115" cm="1">
        <f t="array" ref="AG71">IF(NOT(OR(ISBLANK(AC71),ISBLANK(AD71))),1,0)</f>
        <v>1</v>
      </c>
      <c r="AH71" s="116">
        <v>41</v>
      </c>
      <c r="AI71" t="str" s="117" cm="1">
        <f t="array" ref="AI71">AJ71&amp;$B$68</f>
        <v>2I</v>
      </c>
      <c r="AJ71" s="155">
        <v>2</v>
      </c>
      <c r="AK71" s="225"/>
      <c r="AL71" t="str" s="157" cm="1">
        <f t="array" ref="AL71">_xlfn.IFERROR(INDEX($BD$6:$BD$53,MATCH(AI71,$BN$6:$BN$53,0)),"")</f>
        <v>Senegal</v>
      </c>
      <c r="AM71" s="158" cm="1">
        <f t="array" ref="AM71">INDEX($BE$6:$BN$53,MATCH($AL71,$BD$6:$BD$53,0),MATCH(AM$5,$BE$5:$BN$5,0))</f>
        <v>3</v>
      </c>
      <c r="AN71" s="159" cm="1">
        <f t="array" ref="AN71">INDEX($BE$6:$BN$53,MATCH($AL71,$BD$6:$BD$53,0),MATCH(AN$5,$BE$5:$BN$5,0))</f>
        <v>3</v>
      </c>
      <c r="AO71" s="159" cm="1">
        <f t="array" ref="AO71">INDEX($BE$6:$BN$53,MATCH($AL71,$BD$6:$BD$53,0),MATCH(AO$5,$BE$5:$BN$5,0))</f>
        <v>1</v>
      </c>
      <c r="AP71" s="159" cm="1">
        <f t="array" ref="AP71">INDEX($BE$6:$BN$53,MATCH($AL71,$BD$6:$BD$53,0),MATCH(AP$5,$BE$5:$BN$5,0))</f>
        <v>0</v>
      </c>
      <c r="AQ71" s="159" cm="1">
        <f t="array" ref="AQ71">INDEX($BE$6:$BN$53,MATCH($AL71,$BD$6:$BD$53,0),MATCH(AQ$5,$BE$5:$BN$5,0))</f>
        <v>2</v>
      </c>
      <c r="AR71" s="159" cm="1">
        <f t="array" ref="AR71">INDEX($BE$6:$BN$53,MATCH($AL71,$BD$6:$BD$53,0),MATCH(AR$5,$BE$5:$BN$5,0))</f>
        <v>5</v>
      </c>
      <c r="AS71" s="159" cm="1">
        <f t="array" ref="AS71">INDEX($BE$6:$BN$53,MATCH($AL71,$BD$6:$BD$53,0),MATCH(AS$5,$BE$5:$BN$5,0))</f>
        <v>6</v>
      </c>
      <c r="AT71" s="160" cm="1">
        <f t="array" ref="AT71">INDEX($BE$6:$BN$53,MATCH($AL71,$BD$6:$BD$53,0),MATCH(AT$5,$BE$5:$BN$5,0))</f>
        <v>-1</v>
      </c>
      <c r="AU71" s="148" cm="1">
        <f t="array" ref="AU71">INDEX($DL$6:$DL$53,MATCH(AI71,$DP$6:$DP$53,0))</f>
        <v>4</v>
      </c>
      <c r="AV71" t="str" s="149" cm="1">
        <f t="array" ref="AV71">INDEX($BD$6:$BD$53,MATCH(AI71,$BM$6:$BM$53,0))</f>
        <v>Senegal</v>
      </c>
      <c r="AW71" s="150"/>
      <c r="AX71" s="151"/>
      <c r="AY71" t="str" s="161" cm="1">
        <f t="array" ref="AY71">A70</f>
        <v>Senegal</v>
      </c>
      <c r="AZ71" s="162"/>
      <c r="BA71" s="139"/>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140"/>
      <c r="DO71" s="87"/>
      <c r="DP71" s="87"/>
      <c r="DQ71" s="87"/>
      <c r="DR71" s="87"/>
      <c r="DS71" s="87"/>
      <c r="DT71" s="88"/>
      <c r="DU71" s="12"/>
    </row>
    <row r="72" ht="16" customHeight="1">
      <c r="A72" t="s" s="89">
        <v>358</v>
      </c>
      <c r="B72" s="78"/>
      <c r="C72" s="78"/>
      <c r="D72" t="str" s="78" cm="1">
        <f t="array" ref="D72">IF(OR(AC72="",AD72=""),"Pendiente",IF(AC72&gt;AD72,"Local",IF(AC72&lt;AD72,"Visitante","Empate")))</f>
        <v>Visitante</v>
      </c>
      <c r="E72" t="str" s="78" cm="1">
        <f t="array" ref="E72">IF(D72="Pendiente","-",INDEX($BT$6:$BT$53,MATCH($AA72,$BD$6:$BD$53,0)))</f>
        <v>P.1 (4)</v>
      </c>
      <c r="F72" t="str" s="78" cm="1">
        <f t="array" ref="F72">IF(D72="Pendiente","-",INDEX($BT$6:$BT$53,MATCH($AF72,$BD$6:$BD$53,0)))</f>
        <v>P.1 (4)</v>
      </c>
      <c r="G72" s="78"/>
      <c r="H72" t="str" s="78" cm="1">
        <f t="array" ref="H72">IF(D72="Pendiente","-",INDEX($BZ$6:$BZ$53,MATCH($AA72,$BD$6:$BD$53,0)))</f>
        <v>P.1 (4)</v>
      </c>
      <c r="I72" t="str" s="78" cm="1">
        <f t="array" ref="I72">IF(D72="Pendiente","-",INDEX($BZ$6:$BZ$53,MATCH($AF72,$BD$6:$BD$53,0)))</f>
        <v>P.1 (4)</v>
      </c>
      <c r="J72" s="78"/>
      <c r="K72" t="str" s="78" cm="1">
        <f t="array" ref="K72">IF(D72="Pendiente","-",INDEX($CE$6:$CE$53,MATCH($AA72,$BD$6:$BD$53,0)))</f>
        <v>P.1 (4)</v>
      </c>
      <c r="L72" t="str" s="78" cm="1">
        <f t="array" ref="L72">IF(D72="Pendiente","-",INDEX($CE$6:$CE$53,MATCH($AF72,$BD$6:$BD$53,0)))</f>
        <v>P.1 (4)</v>
      </c>
      <c r="M72" s="78"/>
      <c r="N72" t="str" s="78" cm="1">
        <f t="array" ref="N72">IF(D72="Pendiente","-",INDEX($CH$6:$CH$53,MATCH($AA72,$BD$6:$BD$53,0)))</f>
        <v>P.1 (4)</v>
      </c>
      <c r="O72" t="str" s="78" cm="1">
        <f t="array" ref="O72">IF(D72="Pendiente","-",INDEX($CH$6:$CH$53,MATCH($AF72,$BD$6:$BD$53,0)))</f>
        <v>P.1 (4)</v>
      </c>
      <c r="P72" s="78"/>
      <c r="Q72" t="str" s="78" cm="1">
        <f t="array" ref="Q72">IF(D72="Pendiente","-",INDEX($CN$6:$CN$53,MATCH($AA72,$BD$6:$BD$53,0)))</f>
        <v>P.1 (4)</v>
      </c>
      <c r="R72" t="str" s="78" cm="1">
        <f t="array" ref="R72">IF(D72="Pendiente","-",INDEX($CN$6:$CN$53,MATCH($AF72,$BD$6:$BD$53,0)))</f>
        <v>P.1 (4)</v>
      </c>
      <c r="S72" s="78"/>
      <c r="T72" t="str" s="78" cm="1">
        <f t="array" ref="T72">IF(D72="Pendiente","-",INDEX($CS$6:$CS$53,MATCH($AA72,$BD$6:$BD$53,0)))</f>
        <v>P.1 (4)</v>
      </c>
      <c r="U72" t="str" s="78" cm="1">
        <f t="array" ref="U72">IF(D72="Pendiente","-",INDEX($CS$6:$CS$53,MATCH($AF72,$BD$6:$BD$53,0)))</f>
        <v>P.1 (4)</v>
      </c>
      <c r="V72" s="90"/>
      <c r="W72" s="141"/>
      <c r="X72" s="107">
        <v>46199.625</v>
      </c>
      <c r="Y72" s="108">
        <v>46199.625</v>
      </c>
      <c r="Z72" t="str" s="127" cm="1">
        <f t="array" ref="Z72">$Z$8</f>
        <v>J3</v>
      </c>
      <c r="AA72" t="str" s="110" cm="1">
        <f t="array" ref="AA72">A72</f>
        <v>Noruega</v>
      </c>
      <c r="AB72" s="111"/>
      <c r="AC72" s="128">
        <v>1</v>
      </c>
      <c r="AD72" s="128">
        <v>2</v>
      </c>
      <c r="AE72" s="113"/>
      <c r="AF72" t="str" s="114" cm="1">
        <f t="array" ref="AF72">A69</f>
        <v>Francia</v>
      </c>
      <c r="AG72" s="115" cm="1">
        <f t="array" ref="AG72">IF(NOT(OR(ISBLANK(AC72),ISBLANK(AD72))),1,0)</f>
        <v>1</v>
      </c>
      <c r="AH72" s="116">
        <v>61</v>
      </c>
      <c r="AI72" t="str" s="117" cm="1">
        <f t="array" ref="AI72">AJ72&amp;$B$68</f>
        <v>3I</v>
      </c>
      <c r="AJ72" s="155">
        <v>3</v>
      </c>
      <c r="AK72" s="225"/>
      <c r="AL72" t="str" s="157" cm="1">
        <f t="array" ref="AL72">_xlfn.IFERROR(INDEX($BD$6:$BD$53,MATCH(AI72,$BN$6:$BN$53,0)),"")</f>
        <v>Irak</v>
      </c>
      <c r="AM72" s="158" cm="1">
        <f t="array" ref="AM72">INDEX($BE$6:$BN$53,MATCH($AL72,$BD$6:$BD$53,0),MATCH(AM$5,$BE$5:$BN$5,0))</f>
        <v>0</v>
      </c>
      <c r="AN72" s="159" cm="1">
        <f t="array" ref="AN72">INDEX($BE$6:$BN$53,MATCH($AL72,$BD$6:$BD$53,0),MATCH(AN$5,$BE$5:$BN$5,0))</f>
        <v>3</v>
      </c>
      <c r="AO72" s="159" cm="1">
        <f t="array" ref="AO72">INDEX($BE$6:$BN$53,MATCH($AL72,$BD$6:$BD$53,0),MATCH(AO$5,$BE$5:$BN$5,0))</f>
        <v>0</v>
      </c>
      <c r="AP72" s="159" cm="1">
        <f t="array" ref="AP72">INDEX($BE$6:$BN$53,MATCH($AL72,$BD$6:$BD$53,0),MATCH(AP$5,$BE$5:$BN$5,0))</f>
        <v>0</v>
      </c>
      <c r="AQ72" s="159" cm="1">
        <f t="array" ref="AQ72">INDEX($BE$6:$BN$53,MATCH($AL72,$BD$6:$BD$53,0),MATCH(AQ$5,$BE$5:$BN$5,0))</f>
        <v>3</v>
      </c>
      <c r="AR72" s="159" cm="1">
        <f t="array" ref="AR72">INDEX($BE$6:$BN$53,MATCH($AL72,$BD$6:$BD$53,0),MATCH(AR$5,$BE$5:$BN$5,0))</f>
        <v>1</v>
      </c>
      <c r="AS72" s="159" cm="1">
        <f t="array" ref="AS72">INDEX($BE$6:$BN$53,MATCH($AL72,$BD$6:$BD$53,0),MATCH(AS$5,$BE$5:$BN$5,0))</f>
        <v>8</v>
      </c>
      <c r="AT72" s="160" cm="1">
        <f t="array" ref="AT72">INDEX($BE$6:$BN$53,MATCH($AL72,$BD$6:$BD$53,0),MATCH(AT$5,$BE$5:$BN$5,0))</f>
        <v>-7</v>
      </c>
      <c r="AU72" s="148" cm="1">
        <f t="array" ref="AU72">INDEX($DL$6:$DL$53,MATCH(AI72,$DP$6:$DP$53,0))</f>
        <v>4</v>
      </c>
      <c r="AV72" t="str" s="149" cm="1">
        <f t="array" ref="AV72">INDEX($BD$6:$BD$53,MATCH(AI72,$BM$6:$BM$53,0))</f>
        <v>Irak</v>
      </c>
      <c r="AW72" s="150"/>
      <c r="AX72" s="151"/>
      <c r="AY72" t="str" s="152" cm="1">
        <f t="array" ref="AY72">A71</f>
        <v>Irak</v>
      </c>
      <c r="AZ72" s="153"/>
      <c r="BA72" s="139"/>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140"/>
      <c r="DO72" s="87"/>
      <c r="DP72" s="87"/>
      <c r="DQ72" s="87"/>
      <c r="DR72" s="87"/>
      <c r="DS72" s="87"/>
      <c r="DT72" s="88"/>
      <c r="DU72" s="12"/>
    </row>
    <row r="73" ht="16" customHeight="1">
      <c r="A73" s="78"/>
      <c r="B73" s="78"/>
      <c r="C73" s="78"/>
      <c r="D73" t="str" s="78" cm="1">
        <f t="array" ref="D73">IF(OR(AC73="",AD73=""),"Pendiente",IF(AC73&gt;AD73,"Local",IF(AC73&lt;AD73,"Visitante","Empate")))</f>
        <v>Local</v>
      </c>
      <c r="E73" t="str" s="78" cm="1">
        <f t="array" ref="E73">IF(D73="Pendiente","-",INDEX($BT$6:$BT$53,MATCH($AA73,$BD$6:$BD$53,0)))</f>
        <v>P.1 (4)</v>
      </c>
      <c r="F73" t="str" s="78" cm="1">
        <f t="array" ref="F73">IF(D73="Pendiente","-",INDEX($BT$6:$BT$53,MATCH($AF73,$BD$6:$BD$53,0)))</f>
        <v>P.1 (4)</v>
      </c>
      <c r="G73" s="78"/>
      <c r="H73" t="str" s="78" cm="1">
        <f t="array" ref="H73">IF(D73="Pendiente","-",INDEX($BZ$6:$BZ$53,MATCH($AA73,$BD$6:$BD$53,0)))</f>
        <v>P.1 (4)</v>
      </c>
      <c r="I73" t="str" s="78" cm="1">
        <f t="array" ref="I73">IF(D73="Pendiente","-",INDEX($BZ$6:$BZ$53,MATCH($AF73,$BD$6:$BD$53,0)))</f>
        <v>P.1 (4)</v>
      </c>
      <c r="J73" s="78"/>
      <c r="K73" t="str" s="78" cm="1">
        <f t="array" ref="K73">IF(D73="Pendiente","-",INDEX($CE$6:$CE$53,MATCH($AA73,$BD$6:$BD$53,0)))</f>
        <v>P.1 (4)</v>
      </c>
      <c r="L73" t="str" s="78" cm="1">
        <f t="array" ref="L73">IF(D73="Pendiente","-",INDEX($CE$6:$CE$53,MATCH($AF73,$BD$6:$BD$53,0)))</f>
        <v>P.1 (4)</v>
      </c>
      <c r="M73" s="78"/>
      <c r="N73" t="str" s="78" cm="1">
        <f t="array" ref="N73">IF(D73="Pendiente","-",INDEX($CH$6:$CH$53,MATCH($AA73,$BD$6:$BD$53,0)))</f>
        <v>P.1 (4)</v>
      </c>
      <c r="O73" t="str" s="78" cm="1">
        <f t="array" ref="O73">IF(D73="Pendiente","-",INDEX($CH$6:$CH$53,MATCH($AF73,$BD$6:$BD$53,0)))</f>
        <v>P.1 (4)</v>
      </c>
      <c r="P73" s="78"/>
      <c r="Q73" t="str" s="78" cm="1">
        <f t="array" ref="Q73">IF(D73="Pendiente","-",INDEX($CN$6:$CN$53,MATCH($AA73,$BD$6:$BD$53,0)))</f>
        <v>P.1 (4)</v>
      </c>
      <c r="R73" t="str" s="78" cm="1">
        <f t="array" ref="R73">IF(D73="Pendiente","-",INDEX($CN$6:$CN$53,MATCH($AF73,$BD$6:$BD$53,0)))</f>
        <v>P.1 (4)</v>
      </c>
      <c r="S73" s="78"/>
      <c r="T73" t="str" s="78" cm="1">
        <f t="array" ref="T73">IF(D73="Pendiente","-",INDEX($CS$6:$CS$53,MATCH($AA73,$BD$6:$BD$53,0)))</f>
        <v>P.1 (4)</v>
      </c>
      <c r="U73" t="str" s="78" cm="1">
        <f t="array" ref="U73">IF(D73="Pendiente","-",INDEX($CS$6:$CS$53,MATCH($AF73,$BD$6:$BD$53,0)))</f>
        <v>P.1 (4)</v>
      </c>
      <c r="V73" s="90"/>
      <c r="W73" s="163"/>
      <c r="X73" s="164">
        <v>46199.625</v>
      </c>
      <c r="Y73" s="165">
        <v>46199.625</v>
      </c>
      <c r="Z73" t="str" s="166" cm="1">
        <f t="array" ref="Z73">$Z$8</f>
        <v>J3</v>
      </c>
      <c r="AA73" t="str" s="167" cm="1">
        <f t="array" ref="AA73">A70</f>
        <v>Senegal</v>
      </c>
      <c r="AB73" s="168"/>
      <c r="AC73" s="169">
        <v>3</v>
      </c>
      <c r="AD73" s="169">
        <v>1</v>
      </c>
      <c r="AE73" s="170"/>
      <c r="AF73" t="str" s="171" cm="1">
        <f t="array" ref="AF73">A71</f>
        <v>Irak</v>
      </c>
      <c r="AG73" s="115" cm="1">
        <f t="array" ref="AG73">IF(NOT(OR(ISBLANK(AC73),ISBLANK(AD73))),1,0)</f>
        <v>1</v>
      </c>
      <c r="AH73" s="116">
        <v>62</v>
      </c>
      <c r="AI73" t="str" s="117" cm="1">
        <f t="array" ref="AI73">AJ73&amp;$B$68</f>
        <v>4I</v>
      </c>
      <c r="AJ73" s="172">
        <v>4</v>
      </c>
      <c r="AK73" s="240"/>
      <c r="AL73" t="str" s="174" cm="1">
        <f t="array" ref="AL73">_xlfn.IFERROR(INDEX($BD$6:$BD$53,MATCH(AI73,$BN$6:$BN$53,0)),"")</f>
        <v>Noruega</v>
      </c>
      <c r="AM73" s="175" cm="1">
        <f t="array" ref="AM73">INDEX($BE$6:$BN$53,MATCH($AL73,$BD$6:$BD$53,0),MATCH(AM$5,$BE$5:$BN$5,0))</f>
        <v>6</v>
      </c>
      <c r="AN73" s="176" cm="1">
        <f t="array" ref="AN73">INDEX($BE$6:$BN$53,MATCH($AL73,$BD$6:$BD$53,0),MATCH(AN$5,$BE$5:$BN$5,0))</f>
        <v>3</v>
      </c>
      <c r="AO73" s="176" cm="1">
        <f t="array" ref="AO73">INDEX($BE$6:$BN$53,MATCH($AL73,$BD$6:$BD$53,0),MATCH(AO$5,$BE$5:$BN$5,0))</f>
        <v>2</v>
      </c>
      <c r="AP73" s="176" cm="1">
        <f t="array" ref="AP73">INDEX($BE$6:$BN$53,MATCH($AL73,$BD$6:$BD$53,0),MATCH(AP$5,$BE$5:$BN$5,0))</f>
        <v>0</v>
      </c>
      <c r="AQ73" s="176" cm="1">
        <f t="array" ref="AQ73">INDEX($BE$6:$BN$53,MATCH($AL73,$BD$6:$BD$53,0),MATCH(AQ$5,$BE$5:$BN$5,0))</f>
        <v>1</v>
      </c>
      <c r="AR73" s="176" cm="1">
        <f t="array" ref="AR73">INDEX($BE$6:$BN$53,MATCH($AL73,$BD$6:$BD$53,0),MATCH(AR$5,$BE$5:$BN$5,0))</f>
        <v>5</v>
      </c>
      <c r="AS73" s="176" cm="1">
        <f t="array" ref="AS73">INDEX($BE$6:$BN$53,MATCH($AL73,$BD$6:$BD$53,0),MATCH(AS$5,$BE$5:$BN$5,0))</f>
        <v>3</v>
      </c>
      <c r="AT73" s="177" cm="1">
        <f t="array" ref="AT73">INDEX($BE$6:$BN$53,MATCH($AL73,$BD$6:$BD$53,0),MATCH(AT$5,$BE$5:$BN$5,0))</f>
        <v>2</v>
      </c>
      <c r="AU73" s="148" cm="1">
        <f t="array" ref="AU73">INDEX($DL$6:$DL$53,MATCH(AI73,$DP$6:$DP$53,0))</f>
        <v>4</v>
      </c>
      <c r="AV73" t="str" s="149" cm="1">
        <f t="array" ref="AV73">INDEX($BD$6:$BD$53,MATCH(AI73,$BM$6:$BM$53,0))</f>
        <v>Noruega</v>
      </c>
      <c r="AW73" s="150"/>
      <c r="AX73" s="151"/>
      <c r="AY73" t="str" s="178" cm="1">
        <f t="array" ref="AY73">A72</f>
        <v>Noruega</v>
      </c>
      <c r="AZ73" s="179"/>
      <c r="BA73" s="139"/>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140"/>
      <c r="DO73" s="87"/>
      <c r="DP73" s="87"/>
      <c r="DQ73" s="87"/>
      <c r="DR73" s="87"/>
      <c r="DS73" s="87"/>
      <c r="DT73" s="88"/>
      <c r="DU73" s="12"/>
    </row>
    <row r="74" ht="16" customHeight="1">
      <c r="A74" s="78"/>
      <c r="B74" s="78"/>
      <c r="C74" s="78"/>
      <c r="D74" s="78"/>
      <c r="E74" s="78"/>
      <c r="F74" s="78"/>
      <c r="G74" s="78"/>
      <c r="H74" s="78"/>
      <c r="I74" s="78"/>
      <c r="J74" s="78"/>
      <c r="K74" s="78"/>
      <c r="L74" s="78"/>
      <c r="M74" s="78"/>
      <c r="N74" s="78"/>
      <c r="O74" s="78"/>
      <c r="P74" s="78"/>
      <c r="Q74" s="78"/>
      <c r="R74" s="78"/>
      <c r="S74" s="78"/>
      <c r="T74" s="78"/>
      <c r="U74" s="78"/>
      <c r="V74" s="79"/>
      <c r="W74" s="180"/>
      <c r="X74" s="181"/>
      <c r="Y74" s="180"/>
      <c r="Z74" s="182"/>
      <c r="AA74" s="183"/>
      <c r="AB74" s="184"/>
      <c r="AC74" s="185"/>
      <c r="AD74" s="185"/>
      <c r="AE74" s="184"/>
      <c r="AF74" s="186"/>
      <c r="AG74" s="233"/>
      <c r="AH74" s="188"/>
      <c r="AI74" s="234"/>
      <c r="AJ74" s="189"/>
      <c r="AK74" s="190"/>
      <c r="AL74" s="191"/>
      <c r="AM74" s="192"/>
      <c r="AN74" s="189"/>
      <c r="AO74" s="189"/>
      <c r="AP74" s="189"/>
      <c r="AQ74" s="189"/>
      <c r="AR74" s="189"/>
      <c r="AS74" s="189"/>
      <c r="AT74" s="189"/>
      <c r="AU74" s="193"/>
      <c r="AV74" s="194"/>
      <c r="AW74" s="150"/>
      <c r="AX74" s="195"/>
      <c r="AY74" s="196"/>
      <c r="AZ74" s="197"/>
      <c r="BA74" s="8"/>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140"/>
      <c r="DO74" s="87"/>
      <c r="DP74" s="87"/>
      <c r="DQ74" s="87"/>
      <c r="DR74" s="87"/>
      <c r="DS74" s="87"/>
      <c r="DT74" s="88"/>
      <c r="DU74" s="12"/>
    </row>
    <row r="75" ht="16" customHeight="1">
      <c r="A75" s="78"/>
      <c r="B75" s="78"/>
      <c r="C75" s="78"/>
      <c r="D75" s="78"/>
      <c r="E75" s="78"/>
      <c r="F75" s="78"/>
      <c r="G75" s="78"/>
      <c r="H75" s="78"/>
      <c r="I75" s="78"/>
      <c r="J75" s="78"/>
      <c r="K75" s="78"/>
      <c r="L75" s="78"/>
      <c r="M75" s="78"/>
      <c r="N75" s="78"/>
      <c r="O75" s="78"/>
      <c r="P75" s="78"/>
      <c r="Q75" s="78"/>
      <c r="R75" s="78"/>
      <c r="S75" s="78"/>
      <c r="T75" s="78"/>
      <c r="U75" s="78"/>
      <c r="V75" s="90"/>
      <c r="W75" s="91"/>
      <c r="X75" t="str" s="198" cm="1">
        <f t="array" ref="X75">X3</f>
        <v>Fecha</v>
      </c>
      <c r="Y75" t="str" s="198" cm="1">
        <f t="array" ref="Y75">Y3</f>
        <v>Hora</v>
      </c>
      <c r="Z75" t="str" s="119" cm="1">
        <f t="array" ref="Z75">Z3</f>
        <v>Jor.</v>
      </c>
      <c r="AA75" t="str" s="199" cm="1">
        <f t="array" ref="AA75">AA3</f>
        <v>Casa</v>
      </c>
      <c r="AB75" s="95"/>
      <c r="AC75" t="str" s="119" cm="1">
        <f t="array" ref="AC75">AC3</f>
        <v>Gol</v>
      </c>
      <c r="AD75" t="str" s="119" cm="1">
        <f t="array" ref="AD75">AD3</f>
        <v>Gol</v>
      </c>
      <c r="AE75" s="95"/>
      <c r="AF75" t="str" s="200" cm="1">
        <f t="array" ref="AF75">AF3</f>
        <v>Fuera</v>
      </c>
      <c r="AG75" s="201"/>
      <c r="AH75" s="188"/>
      <c r="AI75" s="83"/>
      <c r="AJ75" s="100"/>
      <c r="AK75" s="202"/>
      <c r="AL75" s="100"/>
      <c r="AM75" s="100"/>
      <c r="AN75" s="100"/>
      <c r="AO75" s="100"/>
      <c r="AP75" s="100"/>
      <c r="AQ75" s="100"/>
      <c r="AR75" s="100"/>
      <c r="AS75" s="100"/>
      <c r="AT75" s="100"/>
      <c r="AU75" s="203"/>
      <c r="AV75" s="84"/>
      <c r="AW75" s="204"/>
      <c r="AX75" s="205"/>
      <c r="AY75" s="206"/>
      <c r="AZ75" s="207"/>
      <c r="BA75" s="8"/>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140"/>
      <c r="DO75" s="87"/>
      <c r="DP75" s="87"/>
      <c r="DQ75" s="87"/>
      <c r="DR75" s="87"/>
      <c r="DS75" s="87"/>
      <c r="DT75" s="88"/>
      <c r="DU75" s="12"/>
    </row>
    <row r="76" ht="16" customHeight="1">
      <c r="A76" t="s" s="89">
        <v>45</v>
      </c>
      <c r="B76" t="s" s="89">
        <v>62</v>
      </c>
      <c r="C76" s="105">
        <v>4</v>
      </c>
      <c r="D76" t="str" s="78" cm="1">
        <f t="array" ref="D76">IF(OR(AC76="",AD76=""),"Pendiente",IF(AC76&gt;AD76,"Local",IF(AC76&lt;AD76,"Visitante","Empate")))</f>
        <v>Local</v>
      </c>
      <c r="E76" t="str" s="78" cm="1">
        <f t="array" ref="E76">IF(D76="Pendiente","-",INDEX($BT$6:$BT$53,MATCH($AA76,$BD$6:$BD$53,0)))</f>
        <v>P.1 (4)</v>
      </c>
      <c r="F76" t="str" s="78" cm="1">
        <f t="array" ref="F76">IF(D76="Pendiente","-",INDEX($BT$6:$BT$53,MATCH($AF76,$BD$6:$BD$53,0)))</f>
        <v>P.1 (4)</v>
      </c>
      <c r="G76" s="78"/>
      <c r="H76" t="str" s="78" cm="1">
        <f t="array" ref="H76">IF(D76="Pendiente","-",INDEX($BZ$6:$BZ$53,MATCH($AA76,$BD$6:$BD$53,0)))</f>
        <v>P.1 (4)</v>
      </c>
      <c r="I76" t="str" s="78" cm="1">
        <f t="array" ref="I76">IF(D76="Pendiente","-",INDEX($BZ$6:$BZ$53,MATCH($AF76,$BD$6:$BD$53,0)))</f>
        <v>P.1 (4)</v>
      </c>
      <c r="J76" s="78"/>
      <c r="K76" t="str" s="78" cm="1">
        <f t="array" ref="K76">IF(D76="Pendiente","-",INDEX($CE$6:$CE$53,MATCH($AA76,$BD$6:$BD$53,0)))</f>
        <v>P.1 (4)</v>
      </c>
      <c r="L76" t="str" s="78" cm="1">
        <f t="array" ref="L76">IF(D76="Pendiente","-",INDEX($CE$6:$CE$53,MATCH($AF76,$BD$6:$BD$53,0)))</f>
        <v>P.1 (4)</v>
      </c>
      <c r="M76" s="78"/>
      <c r="N76" t="str" s="78" cm="1">
        <f t="array" ref="N76">IF(D76="Pendiente","-",INDEX($CH$6:$CH$53,MATCH($AA76,$BD$6:$BD$53,0)))</f>
        <v>P.1 (4)</v>
      </c>
      <c r="O76" t="str" s="78" cm="1">
        <f t="array" ref="O76">IF(D76="Pendiente","-",INDEX($CH$6:$CH$53,MATCH($AF76,$BD$6:$BD$53,0)))</f>
        <v>P.1 (4)</v>
      </c>
      <c r="P76" s="78"/>
      <c r="Q76" t="str" s="78" cm="1">
        <f t="array" ref="Q76">IF(D76="Pendiente","-",INDEX($CN$6:$CN$53,MATCH($AA76,$BD$6:$BD$53,0)))</f>
        <v>P.1 (4)</v>
      </c>
      <c r="R76" t="str" s="78" cm="1">
        <f t="array" ref="R76">IF(D76="Pendiente","-",INDEX($CN$6:$CN$53,MATCH($AF76,$BD$6:$BD$53,0)))</f>
        <v>P.1 (4)</v>
      </c>
      <c r="S76" s="78"/>
      <c r="T76" t="str" s="78" cm="1">
        <f t="array" ref="T76">IF(D76="Pendiente","-",INDEX($CS$6:$CS$53,MATCH($AA76,$BD$6:$BD$53,0)))</f>
        <v>P.1 (4)</v>
      </c>
      <c r="U76" t="str" s="78" cm="1">
        <f t="array" ref="U76">IF(D76="Pendiente","-",INDEX($CS$6:$CS$53,MATCH($AF76,$BD$6:$BD$53,0)))</f>
        <v>P.1 (4)</v>
      </c>
      <c r="V76" s="90"/>
      <c r="W76" t="s" s="247">
        <v>62</v>
      </c>
      <c r="X76" s="107">
        <v>46189.875</v>
      </c>
      <c r="Y76" s="108">
        <v>46189.875</v>
      </c>
      <c r="Z76" t="str" s="127" cm="1">
        <f t="array" ref="Z76">$Z$4</f>
        <v>J1</v>
      </c>
      <c r="AA76" t="str" s="110" cm="1">
        <f t="array" ref="AA76">A77</f>
        <v>Argentina</v>
      </c>
      <c r="AB76" s="111"/>
      <c r="AC76" s="112">
        <v>3</v>
      </c>
      <c r="AD76" s="112">
        <v>0</v>
      </c>
      <c r="AE76" s="113"/>
      <c r="AF76" t="str" s="114" cm="1">
        <f t="array" ref="AF76">A78</f>
        <v>Argelia</v>
      </c>
      <c r="AG76" s="115" cm="1">
        <f t="array" ref="AG76">IF(NOT(OR(ISBLANK(AC76),ISBLANK(AD76))),1,0)</f>
        <v>1</v>
      </c>
      <c r="AH76" s="116">
        <v>19</v>
      </c>
      <c r="AI76" s="117"/>
      <c r="AJ76" t="str" s="118" cm="1">
        <f t="array" ref="AJ76">CONCATENATE(AJ3," ",B76)</f>
        <v>Grupo J</v>
      </c>
      <c r="AK76" s="119"/>
      <c r="AL76" s="119"/>
      <c r="AM76" s="119"/>
      <c r="AN76" s="119"/>
      <c r="AO76" s="119"/>
      <c r="AP76" s="119"/>
      <c r="AQ76" s="119"/>
      <c r="AR76" s="119"/>
      <c r="AS76" s="119"/>
      <c r="AT76" s="120"/>
      <c r="AU76" s="209"/>
      <c r="AV76" t="str" s="122" cm="1">
        <f t="array" ref="AV76">IF(AU77&gt;0,$AV$3,"")</f>
        <v>¡EMPATE! Puedes seleccionar el orden de los empatados.</v>
      </c>
      <c r="AW76" s="217"/>
      <c r="AX76" s="217"/>
      <c r="AY76" s="211"/>
      <c r="AZ76" s="212"/>
      <c r="BA76" s="8"/>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140"/>
      <c r="DO76" s="87"/>
      <c r="DP76" s="87"/>
      <c r="DQ76" s="87"/>
      <c r="DR76" s="87"/>
      <c r="DS76" s="87"/>
      <c r="DT76" s="88"/>
      <c r="DU76" s="12"/>
    </row>
    <row r="77" ht="16" customHeight="1">
      <c r="A77" t="s" s="89">
        <v>362</v>
      </c>
      <c r="B77" s="78"/>
      <c r="C77" s="78"/>
      <c r="D77" t="str" s="78" cm="1">
        <f t="array" ref="D77">IF(OR(AC77="",AD77=""),"Pendiente",IF(AC77&gt;AD77,"Local",IF(AC77&lt;AD77,"Visitante","Empate")))</f>
        <v>Local</v>
      </c>
      <c r="E77" t="str" s="78" cm="1">
        <f t="array" ref="E77">IF(D77="Pendiente","-",INDEX($BT$6:$BT$53,MATCH($AA77,$BD$6:$BD$53,0)))</f>
        <v>P.1 (4)</v>
      </c>
      <c r="F77" t="str" s="78" cm="1">
        <f t="array" ref="F77">IF(D77="Pendiente","-",INDEX($BT$6:$BT$53,MATCH($AF77,$BD$6:$BD$53,0)))</f>
        <v>P.1 (4)</v>
      </c>
      <c r="G77" s="78"/>
      <c r="H77" t="str" s="78" cm="1">
        <f t="array" ref="H77">IF(D77="Pendiente","-",INDEX($BZ$6:$BZ$53,MATCH($AA77,$BD$6:$BD$53,0)))</f>
        <v>P.1 (4)</v>
      </c>
      <c r="I77" t="str" s="78" cm="1">
        <f t="array" ref="I77">IF(D77="Pendiente","-",INDEX($BZ$6:$BZ$53,MATCH($AF77,$BD$6:$BD$53,0)))</f>
        <v>P.1 (4)</v>
      </c>
      <c r="J77" s="78"/>
      <c r="K77" t="str" s="78" cm="1">
        <f t="array" ref="K77">IF(D77="Pendiente","-",INDEX($CE$6:$CE$53,MATCH($AA77,$BD$6:$BD$53,0)))</f>
        <v>P.1 (4)</v>
      </c>
      <c r="L77" t="str" s="78" cm="1">
        <f t="array" ref="L77">IF(D77="Pendiente","-",INDEX($CE$6:$CE$53,MATCH($AF77,$BD$6:$BD$53,0)))</f>
        <v>P.1 (4)</v>
      </c>
      <c r="M77" s="78"/>
      <c r="N77" t="str" s="78" cm="1">
        <f t="array" ref="N77">IF(D77="Pendiente","-",INDEX($CH$6:$CH$53,MATCH($AA77,$BD$6:$BD$53,0)))</f>
        <v>P.1 (4)</v>
      </c>
      <c r="O77" t="str" s="78" cm="1">
        <f t="array" ref="O77">IF(D77="Pendiente","-",INDEX($CH$6:$CH$53,MATCH($AF77,$BD$6:$BD$53,0)))</f>
        <v>P.1 (4)</v>
      </c>
      <c r="P77" s="78"/>
      <c r="Q77" t="str" s="78" cm="1">
        <f t="array" ref="Q77">IF(D77="Pendiente","-",INDEX($CN$6:$CN$53,MATCH($AA77,$BD$6:$BD$53,0)))</f>
        <v>P.1 (4)</v>
      </c>
      <c r="R77" t="str" s="78" cm="1">
        <f t="array" ref="R77">IF(D77="Pendiente","-",INDEX($CN$6:$CN$53,MATCH($AF77,$BD$6:$BD$53,0)))</f>
        <v>P.1 (4)</v>
      </c>
      <c r="S77" s="78"/>
      <c r="T77" t="str" s="78" cm="1">
        <f t="array" ref="T77">IF(D77="Pendiente","-",INDEX($CS$6:$CS$53,MATCH($AA77,$BD$6:$BD$53,0)))</f>
        <v>P.1 (4)</v>
      </c>
      <c r="U77" t="str" s="78" cm="1">
        <f t="array" ref="U77">IF(D77="Pendiente","-",INDEX($CS$6:$CS$53,MATCH($AF77,$BD$6:$BD$53,0)))</f>
        <v>P.1 (4)</v>
      </c>
      <c r="V77" s="90"/>
      <c r="W77" s="126"/>
      <c r="X77" s="107">
        <v>46190</v>
      </c>
      <c r="Y77" s="108">
        <v>46190</v>
      </c>
      <c r="Z77" t="str" s="127" cm="1">
        <f t="array" ref="Z77">$Z$4</f>
        <v>J1</v>
      </c>
      <c r="AA77" t="str" s="110" cm="1">
        <f t="array" ref="AA77">A79</f>
        <v>Austria</v>
      </c>
      <c r="AB77" s="111"/>
      <c r="AC77" s="128">
        <v>1</v>
      </c>
      <c r="AD77" s="128">
        <v>0</v>
      </c>
      <c r="AE77" s="113"/>
      <c r="AF77" t="str" s="114" cm="1">
        <f t="array" ref="AF77">A80</f>
        <v>Jordania</v>
      </c>
      <c r="AG77" s="115" cm="1">
        <f t="array" ref="AG77">IF(NOT(OR(ISBLANK(AC77),ISBLANK(AD77))),1,0)</f>
        <v>1</v>
      </c>
      <c r="AH77" s="116">
        <v>20</v>
      </c>
      <c r="AI77" s="117"/>
      <c r="AJ77" t="str" s="213" cm="1">
        <f t="array" ref="AJ77">AJ5</f>
        <v>Pos</v>
      </c>
      <c r="AK77" s="130"/>
      <c r="AL77" t="str" s="214" cm="1">
        <f t="array" ref="AL77">AL5</f>
        <v>Selección</v>
      </c>
      <c r="AM77" t="str" s="130" cm="1">
        <f t="array" ref="AM77">AM5</f>
        <v>Pts</v>
      </c>
      <c r="AN77" t="str" s="130" cm="1">
        <f t="array" ref="AN77">AN5</f>
        <v>J</v>
      </c>
      <c r="AO77" t="str" s="130" cm="1">
        <f t="array" ref="AO77">AO5</f>
        <v>G</v>
      </c>
      <c r="AP77" t="str" s="130" cm="1">
        <f t="array" ref="AP77">AP5</f>
        <v>E</v>
      </c>
      <c r="AQ77" t="str" s="130" cm="1">
        <f t="array" ref="AQ77">AQ5</f>
        <v>P</v>
      </c>
      <c r="AR77" t="str" s="130" cm="1">
        <f t="array" ref="AR77">AR5</f>
        <v>GF</v>
      </c>
      <c r="AS77" t="str" s="130" cm="1">
        <f t="array" ref="AS77">AS5</f>
        <v>GC</v>
      </c>
      <c r="AT77" t="str" s="215" cm="1">
        <f t="array" ref="AT77">AT5</f>
        <v>DG</v>
      </c>
      <c r="AU77" s="216" cm="1">
        <f t="array" ref="AU77">COUNTIF(AU78:AU81,"&gt;1")</f>
        <v>4</v>
      </c>
      <c r="AV77" s="135"/>
      <c r="AW77" s="217"/>
      <c r="AX77" s="218"/>
      <c r="AY77" t="str" s="137" cm="1">
        <f t="array" ref="AY77">AL77</f>
        <v>Selección</v>
      </c>
      <c r="AZ77" t="s" s="138">
        <v>70</v>
      </c>
      <c r="BA77" s="139"/>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140"/>
      <c r="DO77" s="87"/>
      <c r="DP77" s="87"/>
      <c r="DQ77" s="87"/>
      <c r="DR77" s="87"/>
      <c r="DS77" s="87"/>
      <c r="DT77" s="88"/>
      <c r="DU77" s="12"/>
    </row>
    <row r="78" ht="16" customHeight="1">
      <c r="A78" t="s" s="89">
        <v>366</v>
      </c>
      <c r="B78" s="78"/>
      <c r="C78" s="78"/>
      <c r="D78" t="str" s="78" cm="1">
        <f t="array" ref="D78">IF(OR(AC78="",AD78=""),"Pendiente",IF(AC78&gt;AD78,"Local",IF(AC78&lt;AD78,"Visitante","Empate")))</f>
        <v>Local</v>
      </c>
      <c r="E78" t="str" s="78" cm="1">
        <f t="array" ref="E78">IF(D78="Pendiente","-",INDEX($BT$6:$BT$53,MATCH($AA78,$BD$6:$BD$53,0)))</f>
        <v>P.1 (4)</v>
      </c>
      <c r="F78" t="str" s="78" cm="1">
        <f t="array" ref="F78">IF(D78="Pendiente","-",INDEX($BT$6:$BT$53,MATCH($AF78,$BD$6:$BD$53,0)))</f>
        <v>P.1 (4)</v>
      </c>
      <c r="G78" s="78"/>
      <c r="H78" t="str" s="78" cm="1">
        <f t="array" ref="H78">IF(D78="Pendiente","-",INDEX($BZ$6:$BZ$53,MATCH($AA78,$BD$6:$BD$53,0)))</f>
        <v>P.1 (4)</v>
      </c>
      <c r="I78" t="str" s="78" cm="1">
        <f t="array" ref="I78">IF(D78="Pendiente","-",INDEX($BZ$6:$BZ$53,MATCH($AF78,$BD$6:$BD$53,0)))</f>
        <v>P.1 (4)</v>
      </c>
      <c r="J78" s="78"/>
      <c r="K78" t="str" s="78" cm="1">
        <f t="array" ref="K78">IF(D78="Pendiente","-",INDEX($CE$6:$CE$53,MATCH($AA78,$BD$6:$BD$53,0)))</f>
        <v>P.1 (4)</v>
      </c>
      <c r="L78" t="str" s="78" cm="1">
        <f t="array" ref="L78">IF(D78="Pendiente","-",INDEX($CE$6:$CE$53,MATCH($AF78,$BD$6:$BD$53,0)))</f>
        <v>P.1 (4)</v>
      </c>
      <c r="M78" s="78"/>
      <c r="N78" t="str" s="78" cm="1">
        <f t="array" ref="N78">IF(D78="Pendiente","-",INDEX($CH$6:$CH$53,MATCH($AA78,$BD$6:$BD$53,0)))</f>
        <v>P.1 (4)</v>
      </c>
      <c r="O78" t="str" s="78" cm="1">
        <f t="array" ref="O78">IF(D78="Pendiente","-",INDEX($CH$6:$CH$53,MATCH($AF78,$BD$6:$BD$53,0)))</f>
        <v>P.1 (4)</v>
      </c>
      <c r="P78" s="78"/>
      <c r="Q78" t="str" s="78" cm="1">
        <f t="array" ref="Q78">IF(D78="Pendiente","-",INDEX($CN$6:$CN$53,MATCH($AA78,$BD$6:$BD$53,0)))</f>
        <v>P.1 (4)</v>
      </c>
      <c r="R78" t="str" s="78" cm="1">
        <f t="array" ref="R78">IF(D78="Pendiente","-",INDEX($CN$6:$CN$53,MATCH($AF78,$BD$6:$BD$53,0)))</f>
        <v>P.1 (4)</v>
      </c>
      <c r="S78" s="78"/>
      <c r="T78" t="str" s="78" cm="1">
        <f t="array" ref="T78">IF(D78="Pendiente","-",INDEX($CS$6:$CS$53,MATCH($AA78,$BD$6:$BD$53,0)))</f>
        <v>P.1 (4)</v>
      </c>
      <c r="U78" t="str" s="78" cm="1">
        <f t="array" ref="U78">IF(D78="Pendiente","-",INDEX($CS$6:$CS$53,MATCH($AF78,$BD$6:$BD$53,0)))</f>
        <v>P.1 (4)</v>
      </c>
      <c r="V78" s="90"/>
      <c r="W78" s="141"/>
      <c r="X78" s="107">
        <v>46195.541666666657</v>
      </c>
      <c r="Y78" s="108">
        <v>46195.541666666657</v>
      </c>
      <c r="Z78" t="str" s="127" cm="1">
        <f t="array" ref="Z78">$Z$6</f>
        <v>J2</v>
      </c>
      <c r="AA78" t="str" s="110" cm="1">
        <f t="array" ref="AA78">A77</f>
        <v>Argentina</v>
      </c>
      <c r="AB78" s="111"/>
      <c r="AC78" s="128">
        <v>2</v>
      </c>
      <c r="AD78" s="128">
        <v>1</v>
      </c>
      <c r="AE78" s="113"/>
      <c r="AF78" t="str" s="114" cm="1">
        <f t="array" ref="AF78">A79</f>
        <v>Austria</v>
      </c>
      <c r="AG78" s="115" cm="1">
        <f t="array" ref="AG78">IF(NOT(OR(ISBLANK(AC78),ISBLANK(AD78))),1,0)</f>
        <v>1</v>
      </c>
      <c r="AH78" s="116">
        <v>43</v>
      </c>
      <c r="AI78" t="str" s="117" cm="1">
        <f t="array" ref="AI78">AJ78&amp;$B$76</f>
        <v>1J</v>
      </c>
      <c r="AJ78" s="142">
        <v>1</v>
      </c>
      <c r="AK78" s="221"/>
      <c r="AL78" t="str" s="144" cm="1">
        <f t="array" ref="AL78">_xlfn.IFERROR(INDEX($BD$6:$BD$53,MATCH(AI78,$BN$6:$BN$53,0)),"")</f>
        <v>Argentina</v>
      </c>
      <c r="AM78" s="145" cm="1">
        <f t="array" ref="AM78">INDEX($BE$6:$BN$53,MATCH($AL78,$BD$6:$BD$53,0),MATCH(AM$5,$BE$5:$BN$5,0))</f>
        <v>9</v>
      </c>
      <c r="AN78" s="146" cm="1">
        <f t="array" ref="AN78">INDEX($BE$6:$BN$53,MATCH($AL78,$BD$6:$BD$53,0),MATCH(AN$5,$BE$5:$BN$5,0))</f>
        <v>3</v>
      </c>
      <c r="AO78" s="146" cm="1">
        <f t="array" ref="AO78">INDEX($BE$6:$BN$53,MATCH($AL78,$BD$6:$BD$53,0),MATCH(AO$5,$BE$5:$BN$5,0))</f>
        <v>3</v>
      </c>
      <c r="AP78" s="146" cm="1">
        <f t="array" ref="AP78">INDEX($BE$6:$BN$53,MATCH($AL78,$BD$6:$BD$53,0),MATCH(AP$5,$BE$5:$BN$5,0))</f>
        <v>0</v>
      </c>
      <c r="AQ78" s="146" cm="1">
        <f t="array" ref="AQ78">INDEX($BE$6:$BN$53,MATCH($AL78,$BD$6:$BD$53,0),MATCH(AQ$5,$BE$5:$BN$5,0))</f>
        <v>0</v>
      </c>
      <c r="AR78" s="146" cm="1">
        <f t="array" ref="AR78">INDEX($BE$6:$BN$53,MATCH($AL78,$BD$6:$BD$53,0),MATCH(AR$5,$BE$5:$BN$5,0))</f>
        <v>8</v>
      </c>
      <c r="AS78" s="146" cm="1">
        <f t="array" ref="AS78">INDEX($BE$6:$BN$53,MATCH($AL78,$BD$6:$BD$53,0),MATCH(AS$5,$BE$5:$BN$5,0))</f>
        <v>1</v>
      </c>
      <c r="AT78" s="147" cm="1">
        <f t="array" ref="AT78">INDEX($BE$6:$BN$53,MATCH($AL78,$BD$6:$BD$53,0),MATCH(AT$5,$BE$5:$BN$5,0))</f>
        <v>7</v>
      </c>
      <c r="AU78" s="148" cm="1">
        <f t="array" ref="AU78">INDEX($DL$6:$DL$53,MATCH(AI78,$DP$6:$DP$53,0))</f>
        <v>4</v>
      </c>
      <c r="AV78" t="str" s="149" cm="1">
        <f t="array" ref="AV78">INDEX($BD$6:$BD$53,MATCH(AI78,$BM$6:$BM$53,0))</f>
        <v>Argentina</v>
      </c>
      <c r="AW78" s="150"/>
      <c r="AX78" s="151"/>
      <c r="AY78" t="str" s="152" cm="1">
        <f t="array" ref="AY78">A77</f>
        <v>Argentina</v>
      </c>
      <c r="AZ78" s="153"/>
      <c r="BA78" s="139"/>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140"/>
      <c r="DO78" s="87"/>
      <c r="DP78" s="87"/>
      <c r="DQ78" s="87"/>
      <c r="DR78" s="87"/>
      <c r="DS78" s="87"/>
      <c r="DT78" s="88"/>
      <c r="DU78" s="12"/>
    </row>
    <row r="79" ht="16" customHeight="1">
      <c r="A79" t="s" s="89">
        <v>373</v>
      </c>
      <c r="B79" s="78"/>
      <c r="C79" s="78"/>
      <c r="D79" t="str" s="78" cm="1">
        <f t="array" ref="D79">IF(OR(AC79="",AD79=""),"Pendiente",IF(AC79&gt;AD79,"Local",IF(AC79&lt;AD79,"Visitante","Empate")))</f>
        <v>Empate</v>
      </c>
      <c r="E79" t="str" s="78" cm="1">
        <f t="array" ref="E79">IF(D79="Pendiente","-",INDEX($BT$6:$BT$53,MATCH($AA79,$BD$6:$BD$53,0)))</f>
        <v>P.1 (4)</v>
      </c>
      <c r="F79" t="str" s="78" cm="1">
        <f t="array" ref="F79">IF(D79="Pendiente","-",INDEX($BT$6:$BT$53,MATCH($AF79,$BD$6:$BD$53,0)))</f>
        <v>P.1 (4)</v>
      </c>
      <c r="G79" s="78"/>
      <c r="H79" t="str" s="78" cm="1">
        <f t="array" ref="H79">IF(D79="Pendiente","-",INDEX($BZ$6:$BZ$53,MATCH($AA79,$BD$6:$BD$53,0)))</f>
        <v>P.1 (4)</v>
      </c>
      <c r="I79" t="str" s="78" cm="1">
        <f t="array" ref="I79">IF(D79="Pendiente","-",INDEX($BZ$6:$BZ$53,MATCH($AF79,$BD$6:$BD$53,0)))</f>
        <v>P.1 (4)</v>
      </c>
      <c r="J79" s="78"/>
      <c r="K79" t="str" s="78" cm="1">
        <f t="array" ref="K79">IF(D79="Pendiente","-",INDEX($CE$6:$CE$53,MATCH($AA79,$BD$6:$BD$53,0)))</f>
        <v>P.1 (4)</v>
      </c>
      <c r="L79" t="str" s="78" cm="1">
        <f t="array" ref="L79">IF(D79="Pendiente","-",INDEX($CE$6:$CE$53,MATCH($AF79,$BD$6:$BD$53,0)))</f>
        <v>P.1 (4)</v>
      </c>
      <c r="M79" s="78"/>
      <c r="N79" t="str" s="78" cm="1">
        <f t="array" ref="N79">IF(D79="Pendiente","-",INDEX($CH$6:$CH$53,MATCH($AA79,$BD$6:$BD$53,0)))</f>
        <v>P.1 (4)</v>
      </c>
      <c r="O79" t="str" s="78" cm="1">
        <f t="array" ref="O79">IF(D79="Pendiente","-",INDEX($CH$6:$CH$53,MATCH($AF79,$BD$6:$BD$53,0)))</f>
        <v>P.1 (4)</v>
      </c>
      <c r="P79" s="78"/>
      <c r="Q79" t="str" s="78" cm="1">
        <f t="array" ref="Q79">IF(D79="Pendiente","-",INDEX($CN$6:$CN$53,MATCH($AA79,$BD$6:$BD$53,0)))</f>
        <v>P.1 (4)</v>
      </c>
      <c r="R79" t="str" s="78" cm="1">
        <f t="array" ref="R79">IF(D79="Pendiente","-",INDEX($CN$6:$CN$53,MATCH($AF79,$BD$6:$BD$53,0)))</f>
        <v>P.1 (4)</v>
      </c>
      <c r="S79" s="78"/>
      <c r="T79" t="str" s="78" cm="1">
        <f t="array" ref="T79">IF(D79="Pendiente","-",INDEX($CS$6:$CS$53,MATCH($AA79,$BD$6:$BD$53,0)))</f>
        <v>P.1 (4)</v>
      </c>
      <c r="U79" t="str" s="78" cm="1">
        <f t="array" ref="U79">IF(D79="Pendiente","-",INDEX($CS$6:$CS$53,MATCH($AF79,$BD$6:$BD$53,0)))</f>
        <v>P.1 (4)</v>
      </c>
      <c r="V79" s="90"/>
      <c r="W79" s="141"/>
      <c r="X79" s="107">
        <v>46195.958333333343</v>
      </c>
      <c r="Y79" s="108">
        <v>46195.958333333343</v>
      </c>
      <c r="Z79" t="str" s="127" cm="1">
        <f t="array" ref="Z79">$Z$6</f>
        <v>J2</v>
      </c>
      <c r="AA79" t="str" s="110" cm="1">
        <f t="array" ref="AA79">A80</f>
        <v>Jordania</v>
      </c>
      <c r="AB79" s="111"/>
      <c r="AC79" s="128">
        <v>1</v>
      </c>
      <c r="AD79" s="128">
        <v>1</v>
      </c>
      <c r="AE79" s="113"/>
      <c r="AF79" t="str" s="114" cm="1">
        <f t="array" ref="AF79">A78</f>
        <v>Argelia</v>
      </c>
      <c r="AG79" s="115" cm="1">
        <f t="array" ref="AG79">IF(NOT(OR(ISBLANK(AC79),ISBLANK(AD79))),1,0)</f>
        <v>1</v>
      </c>
      <c r="AH79" s="116">
        <v>44</v>
      </c>
      <c r="AI79" t="str" s="117" cm="1">
        <f t="array" ref="AI79">AJ79&amp;$B$76</f>
        <v>2J</v>
      </c>
      <c r="AJ79" s="155">
        <v>2</v>
      </c>
      <c r="AK79" s="225"/>
      <c r="AL79" t="str" s="157" cm="1">
        <f t="array" ref="AL79">_xlfn.IFERROR(INDEX($BD$6:$BD$53,MATCH(AI79,$BN$6:$BN$53,0)),"")</f>
        <v>Argelia</v>
      </c>
      <c r="AM79" s="158" cm="1">
        <f t="array" ref="AM79">INDEX($BE$6:$BN$53,MATCH($AL79,$BD$6:$BD$53,0),MATCH(AM$5,$BE$5:$BN$5,0))</f>
        <v>1</v>
      </c>
      <c r="AN79" s="159" cm="1">
        <f t="array" ref="AN79">INDEX($BE$6:$BN$53,MATCH($AL79,$BD$6:$BD$53,0),MATCH(AN$5,$BE$5:$BN$5,0))</f>
        <v>3</v>
      </c>
      <c r="AO79" s="159" cm="1">
        <f t="array" ref="AO79">INDEX($BE$6:$BN$53,MATCH($AL79,$BD$6:$BD$53,0),MATCH(AO$5,$BE$5:$BN$5,0))</f>
        <v>0</v>
      </c>
      <c r="AP79" s="159" cm="1">
        <f t="array" ref="AP79">INDEX($BE$6:$BN$53,MATCH($AL79,$BD$6:$BD$53,0),MATCH(AP$5,$BE$5:$BN$5,0))</f>
        <v>1</v>
      </c>
      <c r="AQ79" s="159" cm="1">
        <f t="array" ref="AQ79">INDEX($BE$6:$BN$53,MATCH($AL79,$BD$6:$BD$53,0),MATCH(AQ$5,$BE$5:$BN$5,0))</f>
        <v>2</v>
      </c>
      <c r="AR79" s="159" cm="1">
        <f t="array" ref="AR79">INDEX($BE$6:$BN$53,MATCH($AL79,$BD$6:$BD$53,0),MATCH(AR$5,$BE$5:$BN$5,0))</f>
        <v>2</v>
      </c>
      <c r="AS79" s="159" cm="1">
        <f t="array" ref="AS79">INDEX($BE$6:$BN$53,MATCH($AL79,$BD$6:$BD$53,0),MATCH(AS$5,$BE$5:$BN$5,0))</f>
        <v>6</v>
      </c>
      <c r="AT79" s="160" cm="1">
        <f t="array" ref="AT79">INDEX($BE$6:$BN$53,MATCH($AL79,$BD$6:$BD$53,0),MATCH(AT$5,$BE$5:$BN$5,0))</f>
        <v>-4</v>
      </c>
      <c r="AU79" s="148" cm="1">
        <f t="array" ref="AU79">INDEX($DL$6:$DL$53,MATCH(AI79,$DP$6:$DP$53,0))</f>
        <v>4</v>
      </c>
      <c r="AV79" t="str" s="149" cm="1">
        <f t="array" ref="AV79">INDEX($BD$6:$BD$53,MATCH(AI79,$BM$6:$BM$53,0))</f>
        <v>Argelia</v>
      </c>
      <c r="AW79" s="150"/>
      <c r="AX79" s="151"/>
      <c r="AY79" t="str" s="161" cm="1">
        <f t="array" ref="AY79">A78</f>
        <v>Argelia</v>
      </c>
      <c r="AZ79" s="162"/>
      <c r="BA79" s="139"/>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140"/>
      <c r="DO79" s="87"/>
      <c r="DP79" s="87"/>
      <c r="DQ79" s="87"/>
      <c r="DR79" s="87"/>
      <c r="DS79" s="87"/>
      <c r="DT79" s="88"/>
      <c r="DU79" s="12"/>
    </row>
    <row r="80" ht="16" customHeight="1">
      <c r="A80" t="s" s="89">
        <v>379</v>
      </c>
      <c r="B80" s="78"/>
      <c r="C80" s="78"/>
      <c r="D80" t="str" s="78" cm="1">
        <f t="array" ref="D80">IF(OR(AC80="",AD80=""),"Pendiente",IF(AC80&gt;AD80,"Local",IF(AC80&lt;AD80,"Visitante","Empate")))</f>
        <v>Visitante</v>
      </c>
      <c r="E80" t="str" s="78" cm="1">
        <f t="array" ref="E80">IF(D80="Pendiente","-",INDEX($BT$6:$BT$53,MATCH($AA80,$BD$6:$BD$53,0)))</f>
        <v>P.1 (4)</v>
      </c>
      <c r="F80" t="str" s="78" cm="1">
        <f t="array" ref="F80">IF(D80="Pendiente","-",INDEX($BT$6:$BT$53,MATCH($AF80,$BD$6:$BD$53,0)))</f>
        <v>P.1 (4)</v>
      </c>
      <c r="G80" s="78"/>
      <c r="H80" t="str" s="78" cm="1">
        <f t="array" ref="H80">IF(D80="Pendiente","-",INDEX($BZ$6:$BZ$53,MATCH($AA80,$BD$6:$BD$53,0)))</f>
        <v>P.1 (4)</v>
      </c>
      <c r="I80" t="str" s="78" cm="1">
        <f t="array" ref="I80">IF(D80="Pendiente","-",INDEX($BZ$6:$BZ$53,MATCH($AF80,$BD$6:$BD$53,0)))</f>
        <v>P.1 (4)</v>
      </c>
      <c r="J80" s="78"/>
      <c r="K80" t="str" s="78" cm="1">
        <f t="array" ref="K80">IF(D80="Pendiente","-",INDEX($CE$6:$CE$53,MATCH($AA80,$BD$6:$BD$53,0)))</f>
        <v>P.1 (4)</v>
      </c>
      <c r="L80" t="str" s="78" cm="1">
        <f t="array" ref="L80">IF(D80="Pendiente","-",INDEX($CE$6:$CE$53,MATCH($AF80,$BD$6:$BD$53,0)))</f>
        <v>P.1 (4)</v>
      </c>
      <c r="M80" s="78"/>
      <c r="N80" t="str" s="78" cm="1">
        <f t="array" ref="N80">IF(D80="Pendiente","-",INDEX($CH$6:$CH$53,MATCH($AA80,$BD$6:$BD$53,0)))</f>
        <v>P.1 (4)</v>
      </c>
      <c r="O80" t="str" s="78" cm="1">
        <f t="array" ref="O80">IF(D80="Pendiente","-",INDEX($CH$6:$CH$53,MATCH($AF80,$BD$6:$BD$53,0)))</f>
        <v>P.1 (4)</v>
      </c>
      <c r="P80" s="78"/>
      <c r="Q80" t="str" s="78" cm="1">
        <f t="array" ref="Q80">IF(D80="Pendiente","-",INDEX($CN$6:$CN$53,MATCH($AA80,$BD$6:$BD$53,0)))</f>
        <v>P.1 (4)</v>
      </c>
      <c r="R80" t="str" s="78" cm="1">
        <f t="array" ref="R80">IF(D80="Pendiente","-",INDEX($CN$6:$CN$53,MATCH($AF80,$BD$6:$BD$53,0)))</f>
        <v>P.1 (4)</v>
      </c>
      <c r="S80" s="78"/>
      <c r="T80" t="str" s="78" cm="1">
        <f t="array" ref="T80">IF(D80="Pendiente","-",INDEX($CS$6:$CS$53,MATCH($AA80,$BD$6:$BD$53,0)))</f>
        <v>P.1 (4)</v>
      </c>
      <c r="U80" t="str" s="78" cm="1">
        <f t="array" ref="U80">IF(D80="Pendiente","-",INDEX($CS$6:$CS$53,MATCH($AF80,$BD$6:$BD$53,0)))</f>
        <v>P.1 (4)</v>
      </c>
      <c r="V80" s="90"/>
      <c r="W80" s="141"/>
      <c r="X80" s="107">
        <v>46200.916666666657</v>
      </c>
      <c r="Y80" s="108">
        <v>46200.916666666657</v>
      </c>
      <c r="Z80" t="str" s="127" cm="1">
        <f t="array" ref="Z80">$Z$8</f>
        <v>J3</v>
      </c>
      <c r="AA80" t="str" s="110" cm="1">
        <f t="array" ref="AA80">A78</f>
        <v>Argelia</v>
      </c>
      <c r="AB80" s="111"/>
      <c r="AC80" s="128">
        <v>1</v>
      </c>
      <c r="AD80" s="128">
        <v>2</v>
      </c>
      <c r="AE80" s="113"/>
      <c r="AF80" t="str" s="114" cm="1">
        <f t="array" ref="AF80">A79</f>
        <v>Austria</v>
      </c>
      <c r="AG80" s="115" cm="1">
        <f t="array" ref="AG80">IF(NOT(OR(ISBLANK(AC80),ISBLANK(AD80))),1,0)</f>
        <v>1</v>
      </c>
      <c r="AH80" s="116">
        <v>69</v>
      </c>
      <c r="AI80" t="str" s="117" cm="1">
        <f t="array" ref="AI80">AJ80&amp;$B$76</f>
        <v>3J</v>
      </c>
      <c r="AJ80" s="155">
        <v>3</v>
      </c>
      <c r="AK80" s="225"/>
      <c r="AL80" t="str" s="157" cm="1">
        <f t="array" ref="AL80">_xlfn.IFERROR(INDEX($BD$6:$BD$53,MATCH(AI80,$BN$6:$BN$53,0)),"")</f>
        <v>Austria</v>
      </c>
      <c r="AM80" s="158" cm="1">
        <f t="array" ref="AM80">INDEX($BE$6:$BN$53,MATCH($AL80,$BD$6:$BD$53,0),MATCH(AM$5,$BE$5:$BN$5,0))</f>
        <v>6</v>
      </c>
      <c r="AN80" s="159" cm="1">
        <f t="array" ref="AN80">INDEX($BE$6:$BN$53,MATCH($AL80,$BD$6:$BD$53,0),MATCH(AN$5,$BE$5:$BN$5,0))</f>
        <v>3</v>
      </c>
      <c r="AO80" s="159" cm="1">
        <f t="array" ref="AO80">INDEX($BE$6:$BN$53,MATCH($AL80,$BD$6:$BD$53,0),MATCH(AO$5,$BE$5:$BN$5,0))</f>
        <v>2</v>
      </c>
      <c r="AP80" s="159" cm="1">
        <f t="array" ref="AP80">INDEX($BE$6:$BN$53,MATCH($AL80,$BD$6:$BD$53,0),MATCH(AP$5,$BE$5:$BN$5,0))</f>
        <v>0</v>
      </c>
      <c r="AQ80" s="159" cm="1">
        <f t="array" ref="AQ80">INDEX($BE$6:$BN$53,MATCH($AL80,$BD$6:$BD$53,0),MATCH(AQ$5,$BE$5:$BN$5,0))</f>
        <v>1</v>
      </c>
      <c r="AR80" s="159" cm="1">
        <f t="array" ref="AR80">INDEX($BE$6:$BN$53,MATCH($AL80,$BD$6:$BD$53,0),MATCH(AR$5,$BE$5:$BN$5,0))</f>
        <v>4</v>
      </c>
      <c r="AS80" s="159" cm="1">
        <f t="array" ref="AS80">INDEX($BE$6:$BN$53,MATCH($AL80,$BD$6:$BD$53,0),MATCH(AS$5,$BE$5:$BN$5,0))</f>
        <v>3</v>
      </c>
      <c r="AT80" s="160" cm="1">
        <f t="array" ref="AT80">INDEX($BE$6:$BN$53,MATCH($AL80,$BD$6:$BD$53,0),MATCH(AT$5,$BE$5:$BN$5,0))</f>
        <v>1</v>
      </c>
      <c r="AU80" s="148" cm="1">
        <f t="array" ref="AU80">INDEX($DL$6:$DL$53,MATCH(AI80,$DP$6:$DP$53,0))</f>
        <v>4</v>
      </c>
      <c r="AV80" t="str" s="149" cm="1">
        <f t="array" ref="AV80">INDEX($BD$6:$BD$53,MATCH(AI80,$BM$6:$BM$53,0))</f>
        <v>Austria</v>
      </c>
      <c r="AW80" s="150"/>
      <c r="AX80" s="151"/>
      <c r="AY80" t="str" s="152" cm="1">
        <f t="array" ref="AY80">A79</f>
        <v>Austria</v>
      </c>
      <c r="AZ80" s="153"/>
      <c r="BA80" s="139"/>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140"/>
      <c r="DO80" s="87"/>
      <c r="DP80" s="87"/>
      <c r="DQ80" s="87"/>
      <c r="DR80" s="87"/>
      <c r="DS80" s="87"/>
      <c r="DT80" s="88"/>
      <c r="DU80" s="12"/>
    </row>
    <row r="81" ht="16" customHeight="1">
      <c r="A81" s="78"/>
      <c r="B81" s="78"/>
      <c r="C81" s="78"/>
      <c r="D81" t="str" s="78" cm="1">
        <f t="array" ref="D81">IF(OR(AC81="",AD81=""),"Pendiente",IF(AC81&gt;AD81,"Local",IF(AC81&lt;AD81,"Visitante","Empate")))</f>
        <v>Visitante</v>
      </c>
      <c r="E81" t="str" s="78" cm="1">
        <f t="array" ref="E81">IF(D81="Pendiente","-",INDEX($BT$6:$BT$53,MATCH($AA81,$BD$6:$BD$53,0)))</f>
        <v>P.1 (4)</v>
      </c>
      <c r="F81" t="str" s="78" cm="1">
        <f t="array" ref="F81">IF(D81="Pendiente","-",INDEX($BT$6:$BT$53,MATCH($AF81,$BD$6:$BD$53,0)))</f>
        <v>P.1 (4)</v>
      </c>
      <c r="G81" s="78"/>
      <c r="H81" t="str" s="78" cm="1">
        <f t="array" ref="H81">IF(D81="Pendiente","-",INDEX($BZ$6:$BZ$53,MATCH($AA81,$BD$6:$BD$53,0)))</f>
        <v>P.1 (4)</v>
      </c>
      <c r="I81" t="str" s="78" cm="1">
        <f t="array" ref="I81">IF(D81="Pendiente","-",INDEX($BZ$6:$BZ$53,MATCH($AF81,$BD$6:$BD$53,0)))</f>
        <v>P.1 (4)</v>
      </c>
      <c r="J81" s="78"/>
      <c r="K81" t="str" s="78" cm="1">
        <f t="array" ref="K81">IF(D81="Pendiente","-",INDEX($CE$6:$CE$53,MATCH($AA81,$BD$6:$BD$53,0)))</f>
        <v>P.1 (4)</v>
      </c>
      <c r="L81" t="str" s="78" cm="1">
        <f t="array" ref="L81">IF(D81="Pendiente","-",INDEX($CE$6:$CE$53,MATCH($AF81,$BD$6:$BD$53,0)))</f>
        <v>P.1 (4)</v>
      </c>
      <c r="M81" s="78"/>
      <c r="N81" t="str" s="78" cm="1">
        <f t="array" ref="N81">IF(D81="Pendiente","-",INDEX($CH$6:$CH$53,MATCH($AA81,$BD$6:$BD$53,0)))</f>
        <v>P.1 (4)</v>
      </c>
      <c r="O81" t="str" s="78" cm="1">
        <f t="array" ref="O81">IF(D81="Pendiente","-",INDEX($CH$6:$CH$53,MATCH($AF81,$BD$6:$BD$53,0)))</f>
        <v>P.1 (4)</v>
      </c>
      <c r="P81" s="78"/>
      <c r="Q81" t="str" s="78" cm="1">
        <f t="array" ref="Q81">IF(D81="Pendiente","-",INDEX($CN$6:$CN$53,MATCH($AA81,$BD$6:$BD$53,0)))</f>
        <v>P.1 (4)</v>
      </c>
      <c r="R81" t="str" s="78" cm="1">
        <f t="array" ref="R81">IF(D81="Pendiente","-",INDEX($CN$6:$CN$53,MATCH($AF81,$BD$6:$BD$53,0)))</f>
        <v>P.1 (4)</v>
      </c>
      <c r="S81" s="78"/>
      <c r="T81" t="str" s="78" cm="1">
        <f t="array" ref="T81">IF(D81="Pendiente","-",INDEX($CS$6:$CS$53,MATCH($AA81,$BD$6:$BD$53,0)))</f>
        <v>P.1 (4)</v>
      </c>
      <c r="U81" t="str" s="78" cm="1">
        <f t="array" ref="U81">IF(D81="Pendiente","-",INDEX($CS$6:$CS$53,MATCH($AF81,$BD$6:$BD$53,0)))</f>
        <v>P.1 (4)</v>
      </c>
      <c r="V81" s="90"/>
      <c r="W81" s="163"/>
      <c r="X81" s="164">
        <v>46200.916666666657</v>
      </c>
      <c r="Y81" s="165">
        <v>46200.916666666657</v>
      </c>
      <c r="Z81" t="str" s="166" cm="1">
        <f t="array" ref="Z81">$Z$8</f>
        <v>J3</v>
      </c>
      <c r="AA81" t="str" s="167" cm="1">
        <f t="array" ref="AA81">A80</f>
        <v>Jordania</v>
      </c>
      <c r="AB81" s="168"/>
      <c r="AC81" s="169">
        <v>0</v>
      </c>
      <c r="AD81" s="169">
        <v>3</v>
      </c>
      <c r="AE81" s="170"/>
      <c r="AF81" t="str" s="171" cm="1">
        <f t="array" ref="AF81">A77</f>
        <v>Argentina</v>
      </c>
      <c r="AG81" s="115" cm="1">
        <f t="array" ref="AG81">IF(NOT(OR(ISBLANK(AC81),ISBLANK(AD81))),1,0)</f>
        <v>1</v>
      </c>
      <c r="AH81" s="116">
        <v>70</v>
      </c>
      <c r="AI81" t="str" s="117" cm="1">
        <f t="array" ref="AI81">AJ81&amp;$B$76</f>
        <v>4J</v>
      </c>
      <c r="AJ81" s="172">
        <v>4</v>
      </c>
      <c r="AK81" s="240"/>
      <c r="AL81" t="str" s="174" cm="1">
        <f t="array" ref="AL81">_xlfn.IFERROR(INDEX($BD$6:$BD$53,MATCH(AI81,$BN$6:$BN$53,0)),"")</f>
        <v>Jordania</v>
      </c>
      <c r="AM81" s="175" cm="1">
        <f t="array" ref="AM81">INDEX($BE$6:$BN$53,MATCH($AL81,$BD$6:$BD$53,0),MATCH(AM$5,$BE$5:$BN$5,0))</f>
        <v>1</v>
      </c>
      <c r="AN81" s="176" cm="1">
        <f t="array" ref="AN81">INDEX($BE$6:$BN$53,MATCH($AL81,$BD$6:$BD$53,0),MATCH(AN$5,$BE$5:$BN$5,0))</f>
        <v>3</v>
      </c>
      <c r="AO81" s="176" cm="1">
        <f t="array" ref="AO81">INDEX($BE$6:$BN$53,MATCH($AL81,$BD$6:$BD$53,0),MATCH(AO$5,$BE$5:$BN$5,0))</f>
        <v>0</v>
      </c>
      <c r="AP81" s="176" cm="1">
        <f t="array" ref="AP81">INDEX($BE$6:$BN$53,MATCH($AL81,$BD$6:$BD$53,0),MATCH(AP$5,$BE$5:$BN$5,0))</f>
        <v>1</v>
      </c>
      <c r="AQ81" s="176" cm="1">
        <f t="array" ref="AQ81">INDEX($BE$6:$BN$53,MATCH($AL81,$BD$6:$BD$53,0),MATCH(AQ$5,$BE$5:$BN$5,0))</f>
        <v>2</v>
      </c>
      <c r="AR81" s="176" cm="1">
        <f t="array" ref="AR81">INDEX($BE$6:$BN$53,MATCH($AL81,$BD$6:$BD$53,0),MATCH(AR$5,$BE$5:$BN$5,0))</f>
        <v>1</v>
      </c>
      <c r="AS81" s="176" cm="1">
        <f t="array" ref="AS81">INDEX($BE$6:$BN$53,MATCH($AL81,$BD$6:$BD$53,0),MATCH(AS$5,$BE$5:$BN$5,0))</f>
        <v>5</v>
      </c>
      <c r="AT81" s="177" cm="1">
        <f t="array" ref="AT81">INDEX($BE$6:$BN$53,MATCH($AL81,$BD$6:$BD$53,0),MATCH(AT$5,$BE$5:$BN$5,0))</f>
        <v>-4</v>
      </c>
      <c r="AU81" s="148" cm="1">
        <f t="array" ref="AU81">INDEX($DL$6:$DL$53,MATCH(AI81,$DP$6:$DP$53,0))</f>
        <v>4</v>
      </c>
      <c r="AV81" t="str" s="149" cm="1">
        <f t="array" ref="AV81">INDEX($BD$6:$BD$53,MATCH(AI81,$BM$6:$BM$53,0))</f>
        <v>Jordania</v>
      </c>
      <c r="AW81" s="150"/>
      <c r="AX81" s="151"/>
      <c r="AY81" t="str" s="178" cm="1">
        <f t="array" ref="AY81">A80</f>
        <v>Jordania</v>
      </c>
      <c r="AZ81" s="179"/>
      <c r="BA81" s="139"/>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140"/>
      <c r="DO81" s="87"/>
      <c r="DP81" s="87"/>
      <c r="DQ81" s="87"/>
      <c r="DR81" s="87"/>
      <c r="DS81" s="87"/>
      <c r="DT81" s="88"/>
      <c r="DU81" s="12"/>
    </row>
    <row r="82" ht="16" customHeight="1">
      <c r="A82" s="78"/>
      <c r="B82" s="78"/>
      <c r="C82" s="78"/>
      <c r="D82" s="78"/>
      <c r="E82" s="78"/>
      <c r="F82" s="78"/>
      <c r="G82" s="78"/>
      <c r="H82" s="78"/>
      <c r="I82" s="78"/>
      <c r="J82" s="78"/>
      <c r="K82" s="78"/>
      <c r="L82" s="78"/>
      <c r="M82" s="78"/>
      <c r="N82" s="78"/>
      <c r="O82" s="78"/>
      <c r="P82" s="78"/>
      <c r="Q82" s="78"/>
      <c r="R82" s="78"/>
      <c r="S82" s="78"/>
      <c r="T82" s="78"/>
      <c r="U82" s="78"/>
      <c r="V82" s="79"/>
      <c r="W82" s="180"/>
      <c r="X82" s="181"/>
      <c r="Y82" s="180"/>
      <c r="Z82" s="182"/>
      <c r="AA82" s="183"/>
      <c r="AB82" s="184"/>
      <c r="AC82" s="185"/>
      <c r="AD82" s="185"/>
      <c r="AE82" s="184"/>
      <c r="AF82" s="186"/>
      <c r="AG82" s="233"/>
      <c r="AH82" s="188"/>
      <c r="AI82" s="234"/>
      <c r="AJ82" s="189"/>
      <c r="AK82" s="190"/>
      <c r="AL82" s="191"/>
      <c r="AM82" s="192"/>
      <c r="AN82" s="189"/>
      <c r="AO82" s="189"/>
      <c r="AP82" s="189"/>
      <c r="AQ82" s="189"/>
      <c r="AR82" s="189"/>
      <c r="AS82" s="189"/>
      <c r="AT82" s="189"/>
      <c r="AU82" s="193"/>
      <c r="AV82" s="194"/>
      <c r="AW82" s="150"/>
      <c r="AX82" s="195"/>
      <c r="AY82" s="196"/>
      <c r="AZ82" s="197"/>
      <c r="BA82" s="8"/>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140"/>
      <c r="DO82" s="87"/>
      <c r="DP82" s="87"/>
      <c r="DQ82" s="87"/>
      <c r="DR82" s="87"/>
      <c r="DS82" s="87"/>
      <c r="DT82" s="88"/>
      <c r="DU82" s="12"/>
    </row>
    <row r="83" ht="16" customHeight="1">
      <c r="A83" s="78"/>
      <c r="B83" s="78"/>
      <c r="C83" s="78"/>
      <c r="D83" s="78"/>
      <c r="E83" s="78"/>
      <c r="F83" s="78"/>
      <c r="G83" s="78"/>
      <c r="H83" s="78"/>
      <c r="I83" s="78"/>
      <c r="J83" s="78"/>
      <c r="K83" s="78"/>
      <c r="L83" s="78"/>
      <c r="M83" s="78"/>
      <c r="N83" s="78"/>
      <c r="O83" s="78"/>
      <c r="P83" s="78"/>
      <c r="Q83" s="78"/>
      <c r="R83" s="78"/>
      <c r="S83" s="78"/>
      <c r="T83" s="78"/>
      <c r="U83" s="78"/>
      <c r="V83" s="90"/>
      <c r="W83" s="91"/>
      <c r="X83" t="str" s="198" cm="1">
        <f t="array" ref="X83">X3</f>
        <v>Fecha</v>
      </c>
      <c r="Y83" t="str" s="198" cm="1">
        <f t="array" ref="Y83">Y3</f>
        <v>Hora</v>
      </c>
      <c r="Z83" t="str" s="119" cm="1">
        <f t="array" ref="Z83">Z3</f>
        <v>Jor.</v>
      </c>
      <c r="AA83" t="str" s="199" cm="1">
        <f t="array" ref="AA83">AA3</f>
        <v>Casa</v>
      </c>
      <c r="AB83" s="95"/>
      <c r="AC83" t="str" s="119" cm="1">
        <f t="array" ref="AC83">AC3</f>
        <v>Gol</v>
      </c>
      <c r="AD83" t="str" s="119" cm="1">
        <f t="array" ref="AD83">AD3</f>
        <v>Gol</v>
      </c>
      <c r="AE83" s="95"/>
      <c r="AF83" t="str" s="200" cm="1">
        <f t="array" ref="AF83">AF3</f>
        <v>Fuera</v>
      </c>
      <c r="AG83" s="201"/>
      <c r="AH83" s="188"/>
      <c r="AI83" s="83"/>
      <c r="AJ83" s="100"/>
      <c r="AK83" s="202"/>
      <c r="AL83" s="100"/>
      <c r="AM83" s="100"/>
      <c r="AN83" s="100"/>
      <c r="AO83" s="100"/>
      <c r="AP83" s="100"/>
      <c r="AQ83" s="100"/>
      <c r="AR83" s="100"/>
      <c r="AS83" s="100"/>
      <c r="AT83" s="100"/>
      <c r="AU83" s="203"/>
      <c r="AV83" s="84"/>
      <c r="AW83" s="204"/>
      <c r="AX83" s="205"/>
      <c r="AY83" s="206"/>
      <c r="AZ83" s="207"/>
      <c r="BA83" s="8"/>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140"/>
      <c r="DO83" s="87"/>
      <c r="DP83" s="87"/>
      <c r="DQ83" s="87"/>
      <c r="DR83" s="87"/>
      <c r="DS83" s="87"/>
      <c r="DT83" s="88"/>
      <c r="DU83" s="12"/>
    </row>
    <row r="84" ht="16" customHeight="1">
      <c r="A84" t="s" s="89">
        <v>45</v>
      </c>
      <c r="B84" t="s" s="89">
        <v>385</v>
      </c>
      <c r="C84" s="105">
        <v>4</v>
      </c>
      <c r="D84" t="str" s="78" cm="1">
        <f t="array" ref="D84">IF(OR(AC84="",AD84=""),"Pendiente",IF(AC84&gt;AD84,"Local",IF(AC84&lt;AD84,"Visitante","Empate")))</f>
        <v>Local</v>
      </c>
      <c r="E84" t="str" s="78" cm="1">
        <f t="array" ref="E84">IF(D84="Pendiente","-",INDEX($BT$6:$BT$53,MATCH($AA84,$BD$6:$BD$53,0)))</f>
        <v>P.1 (4)</v>
      </c>
      <c r="F84" t="str" s="78" cm="1">
        <f t="array" ref="F84">IF(D84="Pendiente","-",INDEX($BT$6:$BT$53,MATCH($AF84,$BD$6:$BD$53,0)))</f>
        <v>P.1 (4)</v>
      </c>
      <c r="G84" s="78"/>
      <c r="H84" t="str" s="78" cm="1">
        <f t="array" ref="H84">IF(D84="Pendiente","-",INDEX($BZ$6:$BZ$53,MATCH($AA84,$BD$6:$BD$53,0)))</f>
        <v>P.1 (4)</v>
      </c>
      <c r="I84" t="str" s="78" cm="1">
        <f t="array" ref="I84">IF(D84="Pendiente","-",INDEX($BZ$6:$BZ$53,MATCH($AF84,$BD$6:$BD$53,0)))</f>
        <v>P.1 (4)</v>
      </c>
      <c r="J84" s="78"/>
      <c r="K84" t="str" s="78" cm="1">
        <f t="array" ref="K84">IF(D84="Pendiente","-",INDEX($CE$6:$CE$53,MATCH($AA84,$BD$6:$BD$53,0)))</f>
        <v>P.1 (4)</v>
      </c>
      <c r="L84" t="str" s="78" cm="1">
        <f t="array" ref="L84">IF(D84="Pendiente","-",INDEX($CE$6:$CE$53,MATCH($AF84,$BD$6:$BD$53,0)))</f>
        <v>P.1 (4)</v>
      </c>
      <c r="M84" s="78"/>
      <c r="N84" t="str" s="78" cm="1">
        <f t="array" ref="N84">IF(D84="Pendiente","-",INDEX($CH$6:$CH$53,MATCH($AA84,$BD$6:$BD$53,0)))</f>
        <v>P.1 (4)</v>
      </c>
      <c r="O84" t="str" s="78" cm="1">
        <f t="array" ref="O84">IF(D84="Pendiente","-",INDEX($CH$6:$CH$53,MATCH($AF84,$BD$6:$BD$53,0)))</f>
        <v>P.1 (4)</v>
      </c>
      <c r="P84" s="78"/>
      <c r="Q84" t="str" s="78" cm="1">
        <f t="array" ref="Q84">IF(D84="Pendiente","-",INDEX($CN$6:$CN$53,MATCH($AA84,$BD$6:$BD$53,0)))</f>
        <v>P.1 (4)</v>
      </c>
      <c r="R84" t="str" s="78" cm="1">
        <f t="array" ref="R84">IF(D84="Pendiente","-",INDEX($CN$6:$CN$53,MATCH($AF84,$BD$6:$BD$53,0)))</f>
        <v>P.1 (4)</v>
      </c>
      <c r="S84" s="78"/>
      <c r="T84" t="str" s="78" cm="1">
        <f t="array" ref="T84">IF(D84="Pendiente","-",INDEX($CS$6:$CS$53,MATCH($AA84,$BD$6:$BD$53,0)))</f>
        <v>P.1 (4)</v>
      </c>
      <c r="U84" t="str" s="78" cm="1">
        <f t="array" ref="U84">IF(D84="Pendiente","-",INDEX($CS$6:$CS$53,MATCH($AF84,$BD$6:$BD$53,0)))</f>
        <v>P.1 (4)</v>
      </c>
      <c r="V84" s="90"/>
      <c r="W84" t="s" s="248">
        <v>385</v>
      </c>
      <c r="X84" s="107">
        <v>46190.541666666657</v>
      </c>
      <c r="Y84" s="108">
        <v>46190.541666666657</v>
      </c>
      <c r="Z84" t="str" s="127" cm="1">
        <f t="array" ref="Z84">$Z$4</f>
        <v>J1</v>
      </c>
      <c r="AA84" t="str" s="110" cm="1">
        <f t="array" ref="AA84">A85</f>
        <v>Portugal</v>
      </c>
      <c r="AB84" s="111"/>
      <c r="AC84" s="112">
        <v>2</v>
      </c>
      <c r="AD84" s="112">
        <v>0</v>
      </c>
      <c r="AE84" s="113"/>
      <c r="AF84" t="str" s="114" cm="1">
        <f t="array" ref="AF84">A86</f>
        <v>RD Congo</v>
      </c>
      <c r="AG84" s="115" cm="1">
        <f t="array" ref="AG84">IF(NOT(OR(ISBLANK(AC84),ISBLANK(AD84))),1,0)</f>
        <v>1</v>
      </c>
      <c r="AH84" s="116">
        <v>23</v>
      </c>
      <c r="AI84" s="117"/>
      <c r="AJ84" t="str" s="118" cm="1">
        <f t="array" ref="AJ84">CONCATENATE(AJ3," ",B84)</f>
        <v>Grupo K</v>
      </c>
      <c r="AK84" s="119"/>
      <c r="AL84" s="119"/>
      <c r="AM84" s="119"/>
      <c r="AN84" s="119"/>
      <c r="AO84" s="119"/>
      <c r="AP84" s="119"/>
      <c r="AQ84" s="119"/>
      <c r="AR84" s="119"/>
      <c r="AS84" s="119"/>
      <c r="AT84" s="120"/>
      <c r="AU84" s="209"/>
      <c r="AV84" t="str" s="122" cm="1">
        <f t="array" ref="AV84">IF(AU85&gt;0,$AV$3,"")</f>
        <v>¡EMPATE! Puedes seleccionar el orden de los empatados.</v>
      </c>
      <c r="AW84" s="217"/>
      <c r="AX84" s="217"/>
      <c r="AY84" s="211"/>
      <c r="AZ84" s="212"/>
      <c r="BA84" s="8"/>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140"/>
      <c r="DO84" s="87"/>
      <c r="DP84" s="87"/>
      <c r="DQ84" s="87"/>
      <c r="DR84" s="87"/>
      <c r="DS84" s="87"/>
      <c r="DT84" s="88"/>
      <c r="DU84" s="12"/>
    </row>
    <row r="85" ht="16" customHeight="1">
      <c r="A85" t="s" s="89">
        <v>386</v>
      </c>
      <c r="B85" s="78"/>
      <c r="C85" s="78"/>
      <c r="D85" t="str" s="78" cm="1">
        <f t="array" ref="D85">IF(OR(AC85="",AD85=""),"Pendiente",IF(AC85&gt;AD85,"Local",IF(AC85&lt;AD85,"Visitante","Empate")))</f>
        <v>Visitante</v>
      </c>
      <c r="E85" t="str" s="78" cm="1">
        <f t="array" ref="E85">IF(D85="Pendiente","-",INDEX($BT$6:$BT$53,MATCH($AA85,$BD$6:$BD$53,0)))</f>
        <v>P.1 (4)</v>
      </c>
      <c r="F85" t="str" s="78" cm="1">
        <f t="array" ref="F85">IF(D85="Pendiente","-",INDEX($BT$6:$BT$53,MATCH($AF85,$BD$6:$BD$53,0)))</f>
        <v>P.1 (4)</v>
      </c>
      <c r="G85" s="78"/>
      <c r="H85" t="str" s="78" cm="1">
        <f t="array" ref="H85">IF(D85="Pendiente","-",INDEX($BZ$6:$BZ$53,MATCH($AA85,$BD$6:$BD$53,0)))</f>
        <v>P.1 (4)</v>
      </c>
      <c r="I85" t="str" s="78" cm="1">
        <f t="array" ref="I85">IF(D85="Pendiente","-",INDEX($BZ$6:$BZ$53,MATCH($AF85,$BD$6:$BD$53,0)))</f>
        <v>P.1 (4)</v>
      </c>
      <c r="J85" s="78"/>
      <c r="K85" t="str" s="78" cm="1">
        <f t="array" ref="K85">IF(D85="Pendiente","-",INDEX($CE$6:$CE$53,MATCH($AA85,$BD$6:$BD$53,0)))</f>
        <v>P.1 (4)</v>
      </c>
      <c r="L85" t="str" s="78" cm="1">
        <f t="array" ref="L85">IF(D85="Pendiente","-",INDEX($CE$6:$CE$53,MATCH($AF85,$BD$6:$BD$53,0)))</f>
        <v>P.1 (4)</v>
      </c>
      <c r="M85" s="78"/>
      <c r="N85" t="str" s="78" cm="1">
        <f t="array" ref="N85">IF(D85="Pendiente","-",INDEX($CH$6:$CH$53,MATCH($AA85,$BD$6:$BD$53,0)))</f>
        <v>P.1 (4)</v>
      </c>
      <c r="O85" t="str" s="78" cm="1">
        <f t="array" ref="O85">IF(D85="Pendiente","-",INDEX($CH$6:$CH$53,MATCH($AF85,$BD$6:$BD$53,0)))</f>
        <v>P.1 (4)</v>
      </c>
      <c r="P85" s="78"/>
      <c r="Q85" t="str" s="78" cm="1">
        <f t="array" ref="Q85">IF(D85="Pendiente","-",INDEX($CN$6:$CN$53,MATCH($AA85,$BD$6:$BD$53,0)))</f>
        <v>P.1 (4)</v>
      </c>
      <c r="R85" t="str" s="78" cm="1">
        <f t="array" ref="R85">IF(D85="Pendiente","-",INDEX($CN$6:$CN$53,MATCH($AF85,$BD$6:$BD$53,0)))</f>
        <v>P.1 (4)</v>
      </c>
      <c r="S85" s="78"/>
      <c r="T85" t="str" s="78" cm="1">
        <f t="array" ref="T85">IF(D85="Pendiente","-",INDEX($CS$6:$CS$53,MATCH($AA85,$BD$6:$BD$53,0)))</f>
        <v>P.1 (4)</v>
      </c>
      <c r="U85" t="str" s="78" cm="1">
        <f t="array" ref="U85">IF(D85="Pendiente","-",INDEX($CS$6:$CS$53,MATCH($AF85,$BD$6:$BD$53,0)))</f>
        <v>P.1 (4)</v>
      </c>
      <c r="V85" s="90"/>
      <c r="W85" s="126"/>
      <c r="X85" s="107">
        <v>46190.916666666657</v>
      </c>
      <c r="Y85" s="108">
        <v>46190.916666666657</v>
      </c>
      <c r="Z85" t="str" s="127" cm="1">
        <f t="array" ref="Z85">$Z$4</f>
        <v>J1</v>
      </c>
      <c r="AA85" t="str" s="110" cm="1">
        <f t="array" ref="AA85">A87</f>
        <v>Uzbekistán</v>
      </c>
      <c r="AB85" s="111"/>
      <c r="AC85" s="128">
        <v>0</v>
      </c>
      <c r="AD85" s="128">
        <v>1</v>
      </c>
      <c r="AE85" s="113"/>
      <c r="AF85" t="str" s="114" cm="1">
        <f t="array" ref="AF85">A88</f>
        <v>Colombia</v>
      </c>
      <c r="AG85" s="115" cm="1">
        <f t="array" ref="AG85">IF(NOT(OR(ISBLANK(AC85),ISBLANK(AD85))),1,0)</f>
        <v>1</v>
      </c>
      <c r="AH85" s="116">
        <v>24</v>
      </c>
      <c r="AI85" s="117"/>
      <c r="AJ85" t="str" s="213" cm="1">
        <f t="array" ref="AJ85">AJ5</f>
        <v>Pos</v>
      </c>
      <c r="AK85" s="130"/>
      <c r="AL85" t="str" s="214" cm="1">
        <f t="array" ref="AL85">AL5</f>
        <v>Selección</v>
      </c>
      <c r="AM85" t="str" s="130" cm="1">
        <f t="array" ref="AM85">AM5</f>
        <v>Pts</v>
      </c>
      <c r="AN85" t="str" s="130" cm="1">
        <f t="array" ref="AN85">AN5</f>
        <v>J</v>
      </c>
      <c r="AO85" t="str" s="130" cm="1">
        <f t="array" ref="AO85">AO5</f>
        <v>G</v>
      </c>
      <c r="AP85" t="str" s="130" cm="1">
        <f t="array" ref="AP85">AP5</f>
        <v>E</v>
      </c>
      <c r="AQ85" t="str" s="130" cm="1">
        <f t="array" ref="AQ85">AQ5</f>
        <v>P</v>
      </c>
      <c r="AR85" t="str" s="130" cm="1">
        <f t="array" ref="AR85">AR5</f>
        <v>GF</v>
      </c>
      <c r="AS85" t="str" s="130" cm="1">
        <f t="array" ref="AS85">AS5</f>
        <v>GC</v>
      </c>
      <c r="AT85" t="str" s="215" cm="1">
        <f t="array" ref="AT85">AT5</f>
        <v>DG</v>
      </c>
      <c r="AU85" s="216" cm="1">
        <f t="array" ref="AU85">COUNTIF(AU86:AU89,"&gt;1")</f>
        <v>4</v>
      </c>
      <c r="AV85" s="135"/>
      <c r="AW85" s="217"/>
      <c r="AX85" s="218"/>
      <c r="AY85" t="str" s="137" cm="1">
        <f t="array" ref="AY85">AL85</f>
        <v>Selección</v>
      </c>
      <c r="AZ85" t="s" s="138">
        <v>70</v>
      </c>
      <c r="BA85" s="139"/>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140"/>
      <c r="DO85" s="87"/>
      <c r="DP85" s="87"/>
      <c r="DQ85" s="87"/>
      <c r="DR85" s="87"/>
      <c r="DS85" s="87"/>
      <c r="DT85" s="88"/>
      <c r="DU85" s="12"/>
    </row>
    <row r="86" ht="16" customHeight="1">
      <c r="A86" t="s" s="89">
        <v>392</v>
      </c>
      <c r="B86" s="78"/>
      <c r="C86" s="78"/>
      <c r="D86" t="str" s="78" cm="1">
        <f t="array" ref="D86">IF(OR(AC86="",AD86=""),"Pendiente",IF(AC86&gt;AD86,"Local",IF(AC86&lt;AD86,"Visitante","Empate")))</f>
        <v>Local</v>
      </c>
      <c r="E86" t="str" s="78" cm="1">
        <f t="array" ref="E86">IF(D86="Pendiente","-",INDEX($BT$6:$BT$53,MATCH($AA86,$BD$6:$BD$53,0)))</f>
        <v>P.1 (4)</v>
      </c>
      <c r="F86" t="str" s="78" cm="1">
        <f t="array" ref="F86">IF(D86="Pendiente","-",INDEX($BT$6:$BT$53,MATCH($AF86,$BD$6:$BD$53,0)))</f>
        <v>P.1 (4)</v>
      </c>
      <c r="G86" s="78"/>
      <c r="H86" t="str" s="78" cm="1">
        <f t="array" ref="H86">IF(D86="Pendiente","-",INDEX($BZ$6:$BZ$53,MATCH($AA86,$BD$6:$BD$53,0)))</f>
        <v>P.1 (4)</v>
      </c>
      <c r="I86" t="str" s="78" cm="1">
        <f t="array" ref="I86">IF(D86="Pendiente","-",INDEX($BZ$6:$BZ$53,MATCH($AF86,$BD$6:$BD$53,0)))</f>
        <v>P.1 (4)</v>
      </c>
      <c r="J86" s="78"/>
      <c r="K86" t="str" s="78" cm="1">
        <f t="array" ref="K86">IF(D86="Pendiente","-",INDEX($CE$6:$CE$53,MATCH($AA86,$BD$6:$BD$53,0)))</f>
        <v>P.1 (4)</v>
      </c>
      <c r="L86" t="str" s="78" cm="1">
        <f t="array" ref="L86">IF(D86="Pendiente","-",INDEX($CE$6:$CE$53,MATCH($AF86,$BD$6:$BD$53,0)))</f>
        <v>P.1 (4)</v>
      </c>
      <c r="M86" s="78"/>
      <c r="N86" t="str" s="78" cm="1">
        <f t="array" ref="N86">IF(D86="Pendiente","-",INDEX($CH$6:$CH$53,MATCH($AA86,$BD$6:$BD$53,0)))</f>
        <v>P.1 (4)</v>
      </c>
      <c r="O86" t="str" s="78" cm="1">
        <f t="array" ref="O86">IF(D86="Pendiente","-",INDEX($CH$6:$CH$53,MATCH($AF86,$BD$6:$BD$53,0)))</f>
        <v>P.1 (4)</v>
      </c>
      <c r="P86" s="78"/>
      <c r="Q86" t="str" s="78" cm="1">
        <f t="array" ref="Q86">IF(D86="Pendiente","-",INDEX($CN$6:$CN$53,MATCH($AA86,$BD$6:$BD$53,0)))</f>
        <v>P.1 (4)</v>
      </c>
      <c r="R86" t="str" s="78" cm="1">
        <f t="array" ref="R86">IF(D86="Pendiente","-",INDEX($CN$6:$CN$53,MATCH($AF86,$BD$6:$BD$53,0)))</f>
        <v>P.1 (4)</v>
      </c>
      <c r="S86" s="78"/>
      <c r="T86" t="str" s="78" cm="1">
        <f t="array" ref="T86">IF(D86="Pendiente","-",INDEX($CS$6:$CS$53,MATCH($AA86,$BD$6:$BD$53,0)))</f>
        <v>P.1 (4)</v>
      </c>
      <c r="U86" t="str" s="78" cm="1">
        <f t="array" ref="U86">IF(D86="Pendiente","-",INDEX($CS$6:$CS$53,MATCH($AF86,$BD$6:$BD$53,0)))</f>
        <v>P.1 (4)</v>
      </c>
      <c r="V86" s="90"/>
      <c r="W86" s="141"/>
      <c r="X86" s="107">
        <v>46196.541666666657</v>
      </c>
      <c r="Y86" s="108">
        <v>46196.541666666657</v>
      </c>
      <c r="Z86" t="str" s="127" cm="1">
        <f t="array" ref="Z86">$Z$6</f>
        <v>J2</v>
      </c>
      <c r="AA86" t="str" s="110" cm="1">
        <f t="array" ref="AA86">A85</f>
        <v>Portugal</v>
      </c>
      <c r="AB86" s="111"/>
      <c r="AC86" s="128">
        <v>2</v>
      </c>
      <c r="AD86" s="128">
        <v>1</v>
      </c>
      <c r="AE86" s="113"/>
      <c r="AF86" t="str" s="114" cm="1">
        <f t="array" ref="AF86">A87</f>
        <v>Uzbekistán</v>
      </c>
      <c r="AG86" s="115" cm="1">
        <f t="array" ref="AG86">IF(NOT(OR(ISBLANK(AC86),ISBLANK(AD86))),1,0)</f>
        <v>1</v>
      </c>
      <c r="AH86" s="116">
        <v>47</v>
      </c>
      <c r="AI86" t="str" s="117" cm="1">
        <f t="array" ref="AI86">AJ86&amp;$B$84</f>
        <v>1K</v>
      </c>
      <c r="AJ86" s="142">
        <v>1</v>
      </c>
      <c r="AK86" s="221"/>
      <c r="AL86" t="str" s="144" cm="1">
        <f t="array" ref="AL86">_xlfn.IFERROR(INDEX($BD$6:$BD$53,MATCH(AI86,$BN$6:$BN$53,0)),"")</f>
        <v>Portugal</v>
      </c>
      <c r="AM86" s="145" cm="1">
        <f t="array" ref="AM86">INDEX($BE$6:$BN$53,MATCH($AL86,$BD$6:$BD$53,0),MATCH(AM$5,$BE$5:$BN$5,0))</f>
        <v>9</v>
      </c>
      <c r="AN86" s="146" cm="1">
        <f t="array" ref="AN86">INDEX($BE$6:$BN$53,MATCH($AL86,$BD$6:$BD$53,0),MATCH(AN$5,$BE$5:$BN$5,0))</f>
        <v>3</v>
      </c>
      <c r="AO86" s="146" cm="1">
        <f t="array" ref="AO86">INDEX($BE$6:$BN$53,MATCH($AL86,$BD$6:$BD$53,0),MATCH(AO$5,$BE$5:$BN$5,0))</f>
        <v>3</v>
      </c>
      <c r="AP86" s="146" cm="1">
        <f t="array" ref="AP86">INDEX($BE$6:$BN$53,MATCH($AL86,$BD$6:$BD$53,0),MATCH(AP$5,$BE$5:$BN$5,0))</f>
        <v>0</v>
      </c>
      <c r="AQ86" s="146" cm="1">
        <f t="array" ref="AQ86">INDEX($BE$6:$BN$53,MATCH($AL86,$BD$6:$BD$53,0),MATCH(AQ$5,$BE$5:$BN$5,0))</f>
        <v>0</v>
      </c>
      <c r="AR86" s="146" cm="1">
        <f t="array" ref="AR86">INDEX($BE$6:$BN$53,MATCH($AL86,$BD$6:$BD$53,0),MATCH(AR$5,$BE$5:$BN$5,0))</f>
        <v>6</v>
      </c>
      <c r="AS86" s="146" cm="1">
        <f t="array" ref="AS86">INDEX($BE$6:$BN$53,MATCH($AL86,$BD$6:$BD$53,0),MATCH(AS$5,$BE$5:$BN$5,0))</f>
        <v>2</v>
      </c>
      <c r="AT86" s="147" cm="1">
        <f t="array" ref="AT86">INDEX($BE$6:$BN$53,MATCH($AL86,$BD$6:$BD$53,0),MATCH(AT$5,$BE$5:$BN$5,0))</f>
        <v>4</v>
      </c>
      <c r="AU86" s="148" cm="1">
        <f t="array" ref="AU86">INDEX($DL$6:$DL$53,MATCH(AI86,$DP$6:$DP$53,0))</f>
        <v>4</v>
      </c>
      <c r="AV86" t="str" s="149" cm="1">
        <f t="array" ref="AV86">INDEX($BD$6:$BD$53,MATCH(AI86,$BM$6:$BM$53,0))</f>
        <v>Portugal</v>
      </c>
      <c r="AW86" s="150"/>
      <c r="AX86" s="151"/>
      <c r="AY86" t="str" s="152" cm="1">
        <f t="array" ref="AY86">A85</f>
        <v>Portugal</v>
      </c>
      <c r="AZ86" s="153"/>
      <c r="BA86" s="139"/>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140"/>
      <c r="DO86" s="87"/>
      <c r="DP86" s="87"/>
      <c r="DQ86" s="87"/>
      <c r="DR86" s="87"/>
      <c r="DS86" s="87"/>
      <c r="DT86" s="88"/>
      <c r="DU86" s="12"/>
    </row>
    <row r="87" ht="16" customHeight="1">
      <c r="A87" t="s" s="89">
        <v>398</v>
      </c>
      <c r="B87" s="78"/>
      <c r="C87" s="78"/>
      <c r="D87" t="str" s="78" cm="1">
        <f t="array" ref="D87">IF(OR(AC87="",AD87=""),"Pendiente",IF(AC87&gt;AD87,"Local",IF(AC87&lt;AD87,"Visitante","Empate")))</f>
        <v>Local</v>
      </c>
      <c r="E87" t="str" s="78" cm="1">
        <f t="array" ref="E87">IF(D87="Pendiente","-",INDEX($BT$6:$BT$53,MATCH($AA87,$BD$6:$BD$53,0)))</f>
        <v>P.1 (4)</v>
      </c>
      <c r="F87" t="str" s="78" cm="1">
        <f t="array" ref="F87">IF(D87="Pendiente","-",INDEX($BT$6:$BT$53,MATCH($AF87,$BD$6:$BD$53,0)))</f>
        <v>P.1 (4)</v>
      </c>
      <c r="G87" s="78"/>
      <c r="H87" t="str" s="78" cm="1">
        <f t="array" ref="H87">IF(D87="Pendiente","-",INDEX($BZ$6:$BZ$53,MATCH($AA87,$BD$6:$BD$53,0)))</f>
        <v>P.1 (4)</v>
      </c>
      <c r="I87" t="str" s="78" cm="1">
        <f t="array" ref="I87">IF(D87="Pendiente","-",INDEX($BZ$6:$BZ$53,MATCH($AF87,$BD$6:$BD$53,0)))</f>
        <v>P.1 (4)</v>
      </c>
      <c r="J87" s="78"/>
      <c r="K87" t="str" s="78" cm="1">
        <f t="array" ref="K87">IF(D87="Pendiente","-",INDEX($CE$6:$CE$53,MATCH($AA87,$BD$6:$BD$53,0)))</f>
        <v>P.1 (4)</v>
      </c>
      <c r="L87" t="str" s="78" cm="1">
        <f t="array" ref="L87">IF(D87="Pendiente","-",INDEX($CE$6:$CE$53,MATCH($AF87,$BD$6:$BD$53,0)))</f>
        <v>P.1 (4)</v>
      </c>
      <c r="M87" s="78"/>
      <c r="N87" t="str" s="78" cm="1">
        <f t="array" ref="N87">IF(D87="Pendiente","-",INDEX($CH$6:$CH$53,MATCH($AA87,$BD$6:$BD$53,0)))</f>
        <v>P.1 (4)</v>
      </c>
      <c r="O87" t="str" s="78" cm="1">
        <f t="array" ref="O87">IF(D87="Pendiente","-",INDEX($CH$6:$CH$53,MATCH($AF87,$BD$6:$BD$53,0)))</f>
        <v>P.1 (4)</v>
      </c>
      <c r="P87" s="78"/>
      <c r="Q87" t="str" s="78" cm="1">
        <f t="array" ref="Q87">IF(D87="Pendiente","-",INDEX($CN$6:$CN$53,MATCH($AA87,$BD$6:$BD$53,0)))</f>
        <v>P.1 (4)</v>
      </c>
      <c r="R87" t="str" s="78" cm="1">
        <f t="array" ref="R87">IF(D87="Pendiente","-",INDEX($CN$6:$CN$53,MATCH($AF87,$BD$6:$BD$53,0)))</f>
        <v>P.1 (4)</v>
      </c>
      <c r="S87" s="78"/>
      <c r="T87" t="str" s="78" cm="1">
        <f t="array" ref="T87">IF(D87="Pendiente","-",INDEX($CS$6:$CS$53,MATCH($AA87,$BD$6:$BD$53,0)))</f>
        <v>P.1 (4)</v>
      </c>
      <c r="U87" t="str" s="78" cm="1">
        <f t="array" ref="U87">IF(D87="Pendiente","-",INDEX($CS$6:$CS$53,MATCH($AF87,$BD$6:$BD$53,0)))</f>
        <v>P.1 (4)</v>
      </c>
      <c r="V87" s="90"/>
      <c r="W87" s="141"/>
      <c r="X87" s="107">
        <v>46196.916666666657</v>
      </c>
      <c r="Y87" s="108">
        <v>46196.916666666657</v>
      </c>
      <c r="Z87" t="str" s="127" cm="1">
        <f t="array" ref="Z87">$Z$6</f>
        <v>J2</v>
      </c>
      <c r="AA87" t="str" s="110" cm="1">
        <f t="array" ref="AA87">A88</f>
        <v>Colombia</v>
      </c>
      <c r="AB87" s="111"/>
      <c r="AC87" s="128">
        <v>2</v>
      </c>
      <c r="AD87" s="128">
        <v>0</v>
      </c>
      <c r="AE87" s="113"/>
      <c r="AF87" t="str" s="114" cm="1">
        <f t="array" ref="AF87">A86</f>
        <v>RD Congo</v>
      </c>
      <c r="AG87" s="115" cm="1">
        <f t="array" ref="AG87">IF(NOT(OR(ISBLANK(AC87),ISBLANK(AD87))),1,0)</f>
        <v>1</v>
      </c>
      <c r="AH87" s="116">
        <v>48</v>
      </c>
      <c r="AI87" t="str" s="117" cm="1">
        <f t="array" ref="AI87">AJ87&amp;$B$84</f>
        <v>2K</v>
      </c>
      <c r="AJ87" s="155">
        <v>2</v>
      </c>
      <c r="AK87" s="225"/>
      <c r="AL87" t="str" s="157" cm="1">
        <f t="array" ref="AL87">_xlfn.IFERROR(INDEX($BD$6:$BD$53,MATCH(AI87,$BN$6:$BN$53,0)),"")</f>
        <v>RD Congo</v>
      </c>
      <c r="AM87" s="158" cm="1">
        <f t="array" ref="AM87">INDEX($BE$6:$BN$53,MATCH($AL87,$BD$6:$BD$53,0),MATCH(AM$5,$BE$5:$BN$5,0))</f>
        <v>1</v>
      </c>
      <c r="AN87" s="159" cm="1">
        <f t="array" ref="AN87">INDEX($BE$6:$BN$53,MATCH($AL87,$BD$6:$BD$53,0),MATCH(AN$5,$BE$5:$BN$5,0))</f>
        <v>3</v>
      </c>
      <c r="AO87" s="159" cm="1">
        <f t="array" ref="AO87">INDEX($BE$6:$BN$53,MATCH($AL87,$BD$6:$BD$53,0),MATCH(AO$5,$BE$5:$BN$5,0))</f>
        <v>0</v>
      </c>
      <c r="AP87" s="159" cm="1">
        <f t="array" ref="AP87">INDEX($BE$6:$BN$53,MATCH($AL87,$BD$6:$BD$53,0),MATCH(AP$5,$BE$5:$BN$5,0))</f>
        <v>1</v>
      </c>
      <c r="AQ87" s="159" cm="1">
        <f t="array" ref="AQ87">INDEX($BE$6:$BN$53,MATCH($AL87,$BD$6:$BD$53,0),MATCH(AQ$5,$BE$5:$BN$5,0))</f>
        <v>2</v>
      </c>
      <c r="AR87" s="159" cm="1">
        <f t="array" ref="AR87">INDEX($BE$6:$BN$53,MATCH($AL87,$BD$6:$BD$53,0),MATCH(AR$5,$BE$5:$BN$5,0))</f>
        <v>0</v>
      </c>
      <c r="AS87" s="159" cm="1">
        <f t="array" ref="AS87">INDEX($BE$6:$BN$53,MATCH($AL87,$BD$6:$BD$53,0),MATCH(AS$5,$BE$5:$BN$5,0))</f>
        <v>4</v>
      </c>
      <c r="AT87" s="160" cm="1">
        <f t="array" ref="AT87">INDEX($BE$6:$BN$53,MATCH($AL87,$BD$6:$BD$53,0),MATCH(AT$5,$BE$5:$BN$5,0))</f>
        <v>-4</v>
      </c>
      <c r="AU87" s="148" cm="1">
        <f t="array" ref="AU87">INDEX($DL$6:$DL$53,MATCH(AI87,$DP$6:$DP$53,0))</f>
        <v>4</v>
      </c>
      <c r="AV87" t="str" s="149" cm="1">
        <f t="array" ref="AV87">INDEX($BD$6:$BD$53,MATCH(AI87,$BM$6:$BM$53,0))</f>
        <v>RD Congo</v>
      </c>
      <c r="AW87" s="150"/>
      <c r="AX87" s="151"/>
      <c r="AY87" t="str" s="161" cm="1">
        <f t="array" ref="AY87">A86</f>
        <v>RD Congo</v>
      </c>
      <c r="AZ87" s="162"/>
      <c r="BA87" s="139"/>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140"/>
      <c r="DO87" s="87"/>
      <c r="DP87" s="87"/>
      <c r="DQ87" s="87"/>
      <c r="DR87" s="87"/>
      <c r="DS87" s="87"/>
      <c r="DT87" s="88"/>
      <c r="DU87" s="12"/>
    </row>
    <row r="88" ht="16" customHeight="1">
      <c r="A88" t="s" s="89">
        <v>404</v>
      </c>
      <c r="B88" s="78"/>
      <c r="C88" s="78"/>
      <c r="D88" t="str" s="78" cm="1">
        <f t="array" ref="D88">IF(OR(AC88="",AD88=""),"Pendiente",IF(AC88&gt;AD88,"Local",IF(AC88&lt;AD88,"Visitante","Empate")))</f>
        <v>Visitante</v>
      </c>
      <c r="E88" t="str" s="78" cm="1">
        <f t="array" ref="E88">IF(D88="Pendiente","-",INDEX($BT$6:$BT$53,MATCH($AA88,$BD$6:$BD$53,0)))</f>
        <v>P.1 (4)</v>
      </c>
      <c r="F88" t="str" s="78" cm="1">
        <f t="array" ref="F88">IF(D88="Pendiente","-",INDEX($BT$6:$BT$53,MATCH($AF88,$BD$6:$BD$53,0)))</f>
        <v>P.1 (4)</v>
      </c>
      <c r="G88" s="78"/>
      <c r="H88" t="str" s="78" cm="1">
        <f t="array" ref="H88">IF(D88="Pendiente","-",INDEX($BZ$6:$BZ$53,MATCH($AA88,$BD$6:$BD$53,0)))</f>
        <v>P.1 (4)</v>
      </c>
      <c r="I88" t="str" s="78" cm="1">
        <f t="array" ref="I88">IF(D88="Pendiente","-",INDEX($BZ$6:$BZ$53,MATCH($AF88,$BD$6:$BD$53,0)))</f>
        <v>P.1 (4)</v>
      </c>
      <c r="J88" s="78"/>
      <c r="K88" t="str" s="78" cm="1">
        <f t="array" ref="K88">IF(D88="Pendiente","-",INDEX($CE$6:$CE$53,MATCH($AA88,$BD$6:$BD$53,0)))</f>
        <v>P.1 (4)</v>
      </c>
      <c r="L88" t="str" s="78" cm="1">
        <f t="array" ref="L88">IF(D88="Pendiente","-",INDEX($CE$6:$CE$53,MATCH($AF88,$BD$6:$BD$53,0)))</f>
        <v>P.1 (4)</v>
      </c>
      <c r="M88" s="78"/>
      <c r="N88" t="str" s="78" cm="1">
        <f t="array" ref="N88">IF(D88="Pendiente","-",INDEX($CH$6:$CH$53,MATCH($AA88,$BD$6:$BD$53,0)))</f>
        <v>P.1 (4)</v>
      </c>
      <c r="O88" t="str" s="78" cm="1">
        <f t="array" ref="O88">IF(D88="Pendiente","-",INDEX($CH$6:$CH$53,MATCH($AF88,$BD$6:$BD$53,0)))</f>
        <v>P.1 (4)</v>
      </c>
      <c r="P88" s="78"/>
      <c r="Q88" t="str" s="78" cm="1">
        <f t="array" ref="Q88">IF(D88="Pendiente","-",INDEX($CN$6:$CN$53,MATCH($AA88,$BD$6:$BD$53,0)))</f>
        <v>P.1 (4)</v>
      </c>
      <c r="R88" t="str" s="78" cm="1">
        <f t="array" ref="R88">IF(D88="Pendiente","-",INDEX($CN$6:$CN$53,MATCH($AF88,$BD$6:$BD$53,0)))</f>
        <v>P.1 (4)</v>
      </c>
      <c r="S88" s="78"/>
      <c r="T88" t="str" s="78" cm="1">
        <f t="array" ref="T88">IF(D88="Pendiente","-",INDEX($CS$6:$CS$53,MATCH($AA88,$BD$6:$BD$53,0)))</f>
        <v>P.1 (4)</v>
      </c>
      <c r="U88" t="str" s="78" cm="1">
        <f t="array" ref="U88">IF(D88="Pendiente","-",INDEX($CS$6:$CS$53,MATCH($AF88,$BD$6:$BD$53,0)))</f>
        <v>P.1 (4)</v>
      </c>
      <c r="V88" s="90"/>
      <c r="W88" s="141"/>
      <c r="X88" s="107">
        <v>46200.8125</v>
      </c>
      <c r="Y88" s="108">
        <v>46200.8125</v>
      </c>
      <c r="Z88" t="str" s="127" cm="1">
        <f t="array" ref="Z88">$Z$8</f>
        <v>J3</v>
      </c>
      <c r="AA88" t="str" s="110" cm="1">
        <f t="array" ref="AA88">A88</f>
        <v>Colombia</v>
      </c>
      <c r="AB88" s="111"/>
      <c r="AC88" s="128">
        <v>1</v>
      </c>
      <c r="AD88" s="128">
        <v>2</v>
      </c>
      <c r="AE88" s="113"/>
      <c r="AF88" t="str" s="114" cm="1">
        <f t="array" ref="AF88">A85</f>
        <v>Portugal</v>
      </c>
      <c r="AG88" s="115" cm="1">
        <f t="array" ref="AG88">IF(NOT(OR(ISBLANK(AC88),ISBLANK(AD88))),1,0)</f>
        <v>1</v>
      </c>
      <c r="AH88" s="116">
        <v>71</v>
      </c>
      <c r="AI88" t="str" s="117" cm="1">
        <f t="array" ref="AI88">AJ88&amp;$B$84</f>
        <v>3K</v>
      </c>
      <c r="AJ88" s="155">
        <v>3</v>
      </c>
      <c r="AK88" s="225"/>
      <c r="AL88" t="str" s="157" cm="1">
        <f t="array" ref="AL88">_xlfn.IFERROR(INDEX($BD$6:$BD$53,MATCH(AI88,$BN$6:$BN$53,0)),"")</f>
        <v>Uzbekistán</v>
      </c>
      <c r="AM88" s="158" cm="1">
        <f t="array" ref="AM88">INDEX($BE$6:$BN$53,MATCH($AL88,$BD$6:$BD$53,0),MATCH(AM$5,$BE$5:$BN$5,0))</f>
        <v>1</v>
      </c>
      <c r="AN88" s="159" cm="1">
        <f t="array" ref="AN88">INDEX($BE$6:$BN$53,MATCH($AL88,$BD$6:$BD$53,0),MATCH(AN$5,$BE$5:$BN$5,0))</f>
        <v>3</v>
      </c>
      <c r="AO88" s="159" cm="1">
        <f t="array" ref="AO88">INDEX($BE$6:$BN$53,MATCH($AL88,$BD$6:$BD$53,0),MATCH(AO$5,$BE$5:$BN$5,0))</f>
        <v>0</v>
      </c>
      <c r="AP88" s="159" cm="1">
        <f t="array" ref="AP88">INDEX($BE$6:$BN$53,MATCH($AL88,$BD$6:$BD$53,0),MATCH(AP$5,$BE$5:$BN$5,0))</f>
        <v>1</v>
      </c>
      <c r="AQ88" s="159" cm="1">
        <f t="array" ref="AQ88">INDEX($BE$6:$BN$53,MATCH($AL88,$BD$6:$BD$53,0),MATCH(AQ$5,$BE$5:$BN$5,0))</f>
        <v>2</v>
      </c>
      <c r="AR88" s="159" cm="1">
        <f t="array" ref="AR88">INDEX($BE$6:$BN$53,MATCH($AL88,$BD$6:$BD$53,0),MATCH(AR$5,$BE$5:$BN$5,0))</f>
        <v>1</v>
      </c>
      <c r="AS88" s="159" cm="1">
        <f t="array" ref="AS88">INDEX($BE$6:$BN$53,MATCH($AL88,$BD$6:$BD$53,0),MATCH(AS$5,$BE$5:$BN$5,0))</f>
        <v>3</v>
      </c>
      <c r="AT88" s="160" cm="1">
        <f t="array" ref="AT88">INDEX($BE$6:$BN$53,MATCH($AL88,$BD$6:$BD$53,0),MATCH(AT$5,$BE$5:$BN$5,0))</f>
        <v>-2</v>
      </c>
      <c r="AU88" s="148" cm="1">
        <f t="array" ref="AU88">INDEX($DL$6:$DL$53,MATCH(AI88,$DP$6:$DP$53,0))</f>
        <v>4</v>
      </c>
      <c r="AV88" t="str" s="149" cm="1">
        <f t="array" ref="AV88">INDEX($BD$6:$BD$53,MATCH(AI88,$BM$6:$BM$53,0))</f>
        <v>Uzbekistán</v>
      </c>
      <c r="AW88" s="150"/>
      <c r="AX88" s="151"/>
      <c r="AY88" t="str" s="152" cm="1">
        <f t="array" ref="AY88">A87</f>
        <v>Uzbekistán</v>
      </c>
      <c r="AZ88" s="153"/>
      <c r="BA88" s="139"/>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8"/>
      <c r="DU88" s="12"/>
    </row>
    <row r="89" ht="16" customHeight="1">
      <c r="A89" s="78"/>
      <c r="B89" s="78"/>
      <c r="C89" s="78"/>
      <c r="D89" t="str" s="78" cm="1">
        <f t="array" ref="D89">IF(OR(AC89="",AD89=""),"Pendiente",IF(AC89&gt;AD89,"Local",IF(AC89&lt;AD89,"Visitante","Empate")))</f>
        <v>Empate</v>
      </c>
      <c r="E89" t="str" s="78" cm="1">
        <f t="array" ref="E89">IF(D89="Pendiente","-",INDEX($BT$6:$BT$53,MATCH($AA89,$BD$6:$BD$53,0)))</f>
        <v>P.1 (4)</v>
      </c>
      <c r="F89" t="str" s="78" cm="1">
        <f t="array" ref="F89">IF(D89="Pendiente","-",INDEX($BT$6:$BT$53,MATCH($AF89,$BD$6:$BD$53,0)))</f>
        <v>P.1 (4)</v>
      </c>
      <c r="G89" s="78"/>
      <c r="H89" t="str" s="78" cm="1">
        <f t="array" ref="H89">IF(D89="Pendiente","-",INDEX($BZ$6:$BZ$53,MATCH($AA89,$BD$6:$BD$53,0)))</f>
        <v>P.1 (4)</v>
      </c>
      <c r="I89" t="str" s="78" cm="1">
        <f t="array" ref="I89">IF(D89="Pendiente","-",INDEX($BZ$6:$BZ$53,MATCH($AF89,$BD$6:$BD$53,0)))</f>
        <v>P.1 (4)</v>
      </c>
      <c r="J89" s="78"/>
      <c r="K89" t="str" s="78" cm="1">
        <f t="array" ref="K89">IF(D89="Pendiente","-",INDEX($CE$6:$CE$53,MATCH($AA89,$BD$6:$BD$53,0)))</f>
        <v>P.1 (4)</v>
      </c>
      <c r="L89" t="str" s="78" cm="1">
        <f t="array" ref="L89">IF(D89="Pendiente","-",INDEX($CE$6:$CE$53,MATCH($AF89,$BD$6:$BD$53,0)))</f>
        <v>P.1 (4)</v>
      </c>
      <c r="M89" s="78"/>
      <c r="N89" t="str" s="78" cm="1">
        <f t="array" ref="N89">IF(D89="Pendiente","-",INDEX($CH$6:$CH$53,MATCH($AA89,$BD$6:$BD$53,0)))</f>
        <v>P.1 (4)</v>
      </c>
      <c r="O89" t="str" s="78" cm="1">
        <f t="array" ref="O89">IF(D89="Pendiente","-",INDEX($CH$6:$CH$53,MATCH($AF89,$BD$6:$BD$53,0)))</f>
        <v>P.1 (4)</v>
      </c>
      <c r="P89" s="78"/>
      <c r="Q89" t="str" s="78" cm="1">
        <f t="array" ref="Q89">IF(D89="Pendiente","-",INDEX($CN$6:$CN$53,MATCH($AA89,$BD$6:$BD$53,0)))</f>
        <v>P.1 (4)</v>
      </c>
      <c r="R89" t="str" s="78" cm="1">
        <f t="array" ref="R89">IF(D89="Pendiente","-",INDEX($CN$6:$CN$53,MATCH($AF89,$BD$6:$BD$53,0)))</f>
        <v>P.1 (4)</v>
      </c>
      <c r="S89" s="78"/>
      <c r="T89" t="str" s="78" cm="1">
        <f t="array" ref="T89">IF(D89="Pendiente","-",INDEX($CS$6:$CS$53,MATCH($AA89,$BD$6:$BD$53,0)))</f>
        <v>P.1 (4)</v>
      </c>
      <c r="U89" t="str" s="78" cm="1">
        <f t="array" ref="U89">IF(D89="Pendiente","-",INDEX($CS$6:$CS$53,MATCH($AF89,$BD$6:$BD$53,0)))</f>
        <v>P.1 (4)</v>
      </c>
      <c r="V89" s="90"/>
      <c r="W89" s="163"/>
      <c r="X89" s="164">
        <v>46200.8125</v>
      </c>
      <c r="Y89" s="165">
        <v>46200.8125</v>
      </c>
      <c r="Z89" t="str" s="166" cm="1">
        <f t="array" ref="Z89">$Z$8</f>
        <v>J3</v>
      </c>
      <c r="AA89" t="str" s="167" cm="1">
        <f t="array" ref="AA89">A86</f>
        <v>RD Congo</v>
      </c>
      <c r="AB89" s="168"/>
      <c r="AC89" s="169">
        <v>0</v>
      </c>
      <c r="AD89" s="169">
        <v>0</v>
      </c>
      <c r="AE89" s="170"/>
      <c r="AF89" t="str" s="171" cm="1">
        <f t="array" ref="AF89">A87</f>
        <v>Uzbekistán</v>
      </c>
      <c r="AG89" s="115" cm="1">
        <f t="array" ref="AG89">IF(NOT(OR(ISBLANK(AC89),ISBLANK(AD89))),1,0)</f>
        <v>1</v>
      </c>
      <c r="AH89" s="116">
        <v>72</v>
      </c>
      <c r="AI89" t="str" s="117" cm="1">
        <f t="array" ref="AI89">AJ89&amp;$B$84</f>
        <v>4K</v>
      </c>
      <c r="AJ89" s="172">
        <v>4</v>
      </c>
      <c r="AK89" s="240"/>
      <c r="AL89" t="str" s="174" cm="1">
        <f t="array" ref="AL89">_xlfn.IFERROR(INDEX($BD$6:$BD$53,MATCH(AI89,$BN$6:$BN$53,0)),"")</f>
        <v>Colombia</v>
      </c>
      <c r="AM89" s="175" cm="1">
        <f t="array" ref="AM89">INDEX($BE$6:$BN$53,MATCH($AL89,$BD$6:$BD$53,0),MATCH(AM$5,$BE$5:$BN$5,0))</f>
        <v>6</v>
      </c>
      <c r="AN89" s="176" cm="1">
        <f t="array" ref="AN89">INDEX($BE$6:$BN$53,MATCH($AL89,$BD$6:$BD$53,0),MATCH(AN$5,$BE$5:$BN$5,0))</f>
        <v>3</v>
      </c>
      <c r="AO89" s="176" cm="1">
        <f t="array" ref="AO89">INDEX($BE$6:$BN$53,MATCH($AL89,$BD$6:$BD$53,0),MATCH(AO$5,$BE$5:$BN$5,0))</f>
        <v>2</v>
      </c>
      <c r="AP89" s="176" cm="1">
        <f t="array" ref="AP89">INDEX($BE$6:$BN$53,MATCH($AL89,$BD$6:$BD$53,0),MATCH(AP$5,$BE$5:$BN$5,0))</f>
        <v>0</v>
      </c>
      <c r="AQ89" s="176" cm="1">
        <f t="array" ref="AQ89">INDEX($BE$6:$BN$53,MATCH($AL89,$BD$6:$BD$53,0),MATCH(AQ$5,$BE$5:$BN$5,0))</f>
        <v>1</v>
      </c>
      <c r="AR89" s="176" cm="1">
        <f t="array" ref="AR89">INDEX($BE$6:$BN$53,MATCH($AL89,$BD$6:$BD$53,0),MATCH(AR$5,$BE$5:$BN$5,0))</f>
        <v>4</v>
      </c>
      <c r="AS89" s="176" cm="1">
        <f t="array" ref="AS89">INDEX($BE$6:$BN$53,MATCH($AL89,$BD$6:$BD$53,0),MATCH(AS$5,$BE$5:$BN$5,0))</f>
        <v>2</v>
      </c>
      <c r="AT89" s="177" cm="1">
        <f t="array" ref="AT89">INDEX($BE$6:$BN$53,MATCH($AL89,$BD$6:$BD$53,0),MATCH(AT$5,$BE$5:$BN$5,0))</f>
        <v>2</v>
      </c>
      <c r="AU89" s="148" cm="1">
        <f t="array" ref="AU89">INDEX($DL$6:$DL$53,MATCH(AI89,$DP$6:$DP$53,0))</f>
        <v>4</v>
      </c>
      <c r="AV89" t="str" s="149" cm="1">
        <f t="array" ref="AV89">INDEX($BD$6:$BD$53,MATCH(AI89,$BM$6:$BM$53,0))</f>
        <v>Colombia</v>
      </c>
      <c r="AW89" s="150"/>
      <c r="AX89" s="151"/>
      <c r="AY89" t="str" s="178" cm="1">
        <f t="array" ref="AY89">A88</f>
        <v>Colombia</v>
      </c>
      <c r="AZ89" s="179"/>
      <c r="BA89" s="139"/>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8"/>
      <c r="DU89" s="12"/>
    </row>
    <row r="90" ht="16" customHeight="1">
      <c r="A90" s="78"/>
      <c r="B90" s="78"/>
      <c r="C90" s="78"/>
      <c r="D90" s="78"/>
      <c r="E90" s="78"/>
      <c r="F90" s="78"/>
      <c r="G90" s="78"/>
      <c r="H90" s="78"/>
      <c r="I90" s="78"/>
      <c r="J90" s="78"/>
      <c r="K90" s="78"/>
      <c r="L90" s="78"/>
      <c r="M90" s="78"/>
      <c r="N90" s="78"/>
      <c r="O90" s="78"/>
      <c r="P90" s="78"/>
      <c r="Q90" s="78"/>
      <c r="R90" s="78"/>
      <c r="S90" s="78"/>
      <c r="T90" s="78"/>
      <c r="U90" s="78"/>
      <c r="V90" s="79"/>
      <c r="W90" s="180"/>
      <c r="X90" s="181"/>
      <c r="Y90" s="180"/>
      <c r="Z90" s="182"/>
      <c r="AA90" s="183"/>
      <c r="AB90" s="184"/>
      <c r="AC90" s="185"/>
      <c r="AD90" s="185"/>
      <c r="AE90" s="184"/>
      <c r="AF90" s="186"/>
      <c r="AG90" s="233"/>
      <c r="AH90" s="188"/>
      <c r="AI90" s="234"/>
      <c r="AJ90" s="189"/>
      <c r="AK90" s="190"/>
      <c r="AL90" s="191"/>
      <c r="AM90" s="192"/>
      <c r="AN90" s="189"/>
      <c r="AO90" s="189"/>
      <c r="AP90" s="189"/>
      <c r="AQ90" s="189"/>
      <c r="AR90" s="189"/>
      <c r="AS90" s="189"/>
      <c r="AT90" s="189"/>
      <c r="AU90" s="193"/>
      <c r="AV90" s="194"/>
      <c r="AW90" s="150"/>
      <c r="AX90" s="195"/>
      <c r="AY90" s="196"/>
      <c r="AZ90" s="197"/>
      <c r="BA90" s="8"/>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8"/>
      <c r="DU90" s="12"/>
    </row>
    <row r="91" ht="16" customHeight="1">
      <c r="A91" s="78"/>
      <c r="B91" s="78"/>
      <c r="C91" s="78"/>
      <c r="D91" s="78"/>
      <c r="E91" s="78"/>
      <c r="F91" s="78"/>
      <c r="G91" s="78"/>
      <c r="H91" s="78"/>
      <c r="I91" s="78"/>
      <c r="J91" s="78"/>
      <c r="K91" s="78"/>
      <c r="L91" s="78"/>
      <c r="M91" s="78"/>
      <c r="N91" s="78"/>
      <c r="O91" s="78"/>
      <c r="P91" s="78"/>
      <c r="Q91" s="78"/>
      <c r="R91" s="78"/>
      <c r="S91" s="78"/>
      <c r="T91" s="78"/>
      <c r="U91" s="78"/>
      <c r="V91" s="90"/>
      <c r="W91" s="91"/>
      <c r="X91" t="str" s="198" cm="1">
        <f t="array" ref="X91">X3</f>
        <v>Fecha</v>
      </c>
      <c r="Y91" t="str" s="198" cm="1">
        <f t="array" ref="Y91">Y3</f>
        <v>Hora</v>
      </c>
      <c r="Z91" t="str" s="249" cm="1">
        <f t="array" ref="Z91">Z3</f>
        <v>Jor.</v>
      </c>
      <c r="AA91" t="str" s="250" cm="1">
        <f t="array" ref="AA91">AA3</f>
        <v>Casa</v>
      </c>
      <c r="AB91" s="249"/>
      <c r="AC91" t="str" s="198" cm="1">
        <f t="array" ref="AC91">AC3</f>
        <v>Gol</v>
      </c>
      <c r="AD91" t="str" s="198" cm="1">
        <f t="array" ref="AD91">AD3</f>
        <v>Gol</v>
      </c>
      <c r="AE91" s="249"/>
      <c r="AF91" t="str" s="251" cm="1">
        <f t="array" ref="AF91">AF3</f>
        <v>Fuera</v>
      </c>
      <c r="AG91" s="201"/>
      <c r="AH91" s="188"/>
      <c r="AI91" s="83"/>
      <c r="AJ91" s="100"/>
      <c r="AK91" s="202"/>
      <c r="AL91" s="100"/>
      <c r="AM91" s="100"/>
      <c r="AN91" s="100"/>
      <c r="AO91" s="100"/>
      <c r="AP91" s="100"/>
      <c r="AQ91" s="100"/>
      <c r="AR91" s="100"/>
      <c r="AS91" s="100"/>
      <c r="AT91" s="100"/>
      <c r="AU91" s="203"/>
      <c r="AV91" s="84"/>
      <c r="AW91" s="204"/>
      <c r="AX91" s="205"/>
      <c r="AY91" s="206"/>
      <c r="AZ91" s="207"/>
      <c r="BA91" s="8"/>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8"/>
      <c r="DU91" s="12"/>
    </row>
    <row r="92" ht="16" customHeight="1">
      <c r="A92" t="s" s="89">
        <v>45</v>
      </c>
      <c r="B92" t="s" s="89">
        <v>408</v>
      </c>
      <c r="C92" s="105">
        <v>4</v>
      </c>
      <c r="D92" t="str" s="78" cm="1">
        <f t="array" ref="D92">IF(OR(AC92="",AD92=""),"Pendiente",IF(AC92&gt;AD92,"Local",IF(AC92&lt;AD92,"Visitante","Empate")))</f>
        <v>Local</v>
      </c>
      <c r="E92" t="str" s="78" cm="1">
        <f t="array" ref="E92">IF(D92="Pendiente","-",INDEX($BT$6:$BT$53,MATCH($AA92,$BD$6:$BD$53,0)))</f>
        <v>P.1 (4)</v>
      </c>
      <c r="F92" t="str" s="78" cm="1">
        <f t="array" ref="F92">IF(D92="Pendiente","-",INDEX($BT$6:$BT$53,MATCH($AF92,$BD$6:$BD$53,0)))</f>
        <v>P.1 (4)</v>
      </c>
      <c r="G92" s="78"/>
      <c r="H92" t="str" s="78" cm="1">
        <f t="array" ref="H92">IF(D92="Pendiente","-",INDEX($BZ$6:$BZ$53,MATCH($AA92,$BD$6:$BD$53,0)))</f>
        <v>P.1 (4)</v>
      </c>
      <c r="I92" t="str" s="78" cm="1">
        <f t="array" ref="I92">IF(D92="Pendiente","-",INDEX($BZ$6:$BZ$53,MATCH($AF92,$BD$6:$BD$53,0)))</f>
        <v>P.1 (4)</v>
      </c>
      <c r="J92" s="78"/>
      <c r="K92" t="str" s="78" cm="1">
        <f t="array" ref="K92">IF(D92="Pendiente","-",INDEX($CE$6:$CE$53,MATCH($AA92,$BD$6:$BD$53,0)))</f>
        <v>P.1 (4)</v>
      </c>
      <c r="L92" t="str" s="78" cm="1">
        <f t="array" ref="L92">IF(D92="Pendiente","-",INDEX($CE$6:$CE$53,MATCH($AF92,$BD$6:$BD$53,0)))</f>
        <v>P.1 (4)</v>
      </c>
      <c r="M92" s="78"/>
      <c r="N92" t="str" s="78" cm="1">
        <f t="array" ref="N92">IF(D92="Pendiente","-",INDEX($CH$6:$CH$53,MATCH($AA92,$BD$6:$BD$53,0)))</f>
        <v>P.1 (4)</v>
      </c>
      <c r="O92" t="str" s="78" cm="1">
        <f t="array" ref="O92">IF(D92="Pendiente","-",INDEX($CH$6:$CH$53,MATCH($AF92,$BD$6:$BD$53,0)))</f>
        <v>P.1 (4)</v>
      </c>
      <c r="P92" s="78"/>
      <c r="Q92" t="str" s="78" cm="1">
        <f t="array" ref="Q92">IF(D92="Pendiente","-",INDEX($CN$6:$CN$53,MATCH($AA92,$BD$6:$BD$53,0)))</f>
        <v>P.1 (4)</v>
      </c>
      <c r="R92" t="str" s="78" cm="1">
        <f t="array" ref="R92">IF(D92="Pendiente","-",INDEX($CN$6:$CN$53,MATCH($AF92,$BD$6:$BD$53,0)))</f>
        <v>P.1 (4)</v>
      </c>
      <c r="S92" s="78"/>
      <c r="T92" t="str" s="78" cm="1">
        <f t="array" ref="T92">IF(D92="Pendiente","-",INDEX($CS$6:$CS$53,MATCH($AA92,$BD$6:$BD$53,0)))</f>
        <v>P.1 (4)</v>
      </c>
      <c r="U92" t="str" s="78" cm="1">
        <f t="array" ref="U92">IF(D92="Pendiente","-",INDEX($CS$6:$CS$53,MATCH($AF92,$BD$6:$BD$53,0)))</f>
        <v>P.1 (4)</v>
      </c>
      <c r="V92" s="90"/>
      <c r="W92" t="s" s="252">
        <v>408</v>
      </c>
      <c r="X92" s="107">
        <v>46190.666666666657</v>
      </c>
      <c r="Y92" s="108">
        <v>46190.666666666657</v>
      </c>
      <c r="Z92" t="str" s="127" cm="1">
        <f t="array" ref="Z92">$Z$4</f>
        <v>J1</v>
      </c>
      <c r="AA92" t="str" s="110" cm="1">
        <f t="array" ref="AA92">A93</f>
        <v>Inglaterra</v>
      </c>
      <c r="AB92" s="111"/>
      <c r="AC92" s="112">
        <v>1</v>
      </c>
      <c r="AD92" s="112">
        <v>0</v>
      </c>
      <c r="AE92" s="113"/>
      <c r="AF92" t="str" s="114" cm="1">
        <f t="array" ref="AF92">A94</f>
        <v>Croacia</v>
      </c>
      <c r="AG92" s="115" cm="1">
        <f t="array" ref="AG92">IF(NOT(OR(ISBLANK(AC92),ISBLANK(AD92))),1,0)</f>
        <v>1</v>
      </c>
      <c r="AH92" s="116">
        <v>22</v>
      </c>
      <c r="AI92" s="117"/>
      <c r="AJ92" t="str" s="118" cm="1">
        <f t="array" ref="AJ92">CONCATENATE(AJ3," ",B92)</f>
        <v>Grupo L</v>
      </c>
      <c r="AK92" s="119"/>
      <c r="AL92" s="119"/>
      <c r="AM92" s="119"/>
      <c r="AN92" s="119"/>
      <c r="AO92" s="119"/>
      <c r="AP92" s="119"/>
      <c r="AQ92" s="119"/>
      <c r="AR92" s="119"/>
      <c r="AS92" s="119"/>
      <c r="AT92" s="120"/>
      <c r="AU92" s="209"/>
      <c r="AV92" t="str" s="122" cm="1">
        <f t="array" ref="AV92">IF(AU93&gt;0,$AV$3,"")</f>
        <v>¡EMPATE! Puedes seleccionar el orden de los empatados.</v>
      </c>
      <c r="AW92" s="217"/>
      <c r="AX92" s="217"/>
      <c r="AY92" s="211"/>
      <c r="AZ92" s="212"/>
      <c r="BA92" s="8"/>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8"/>
      <c r="DU92" s="12"/>
    </row>
    <row r="93" ht="16" customHeight="1">
      <c r="A93" t="s" s="89">
        <v>409</v>
      </c>
      <c r="B93" s="78"/>
      <c r="C93" s="78"/>
      <c r="D93" t="str" s="78" cm="1">
        <f t="array" ref="D93">IF(OR(AC93="",AD93=""),"Pendiente",IF(AC93&gt;AD93,"Local",IF(AC93&lt;AD93,"Visitante","Empate")))</f>
        <v>Local</v>
      </c>
      <c r="E93" t="str" s="78" cm="1">
        <f t="array" ref="E93">IF(D93="Pendiente","-",INDEX($BT$6:$BT$53,MATCH($AA93,$BD$6:$BD$53,0)))</f>
        <v>P.1 (4)</v>
      </c>
      <c r="F93" t="str" s="78" cm="1">
        <f t="array" ref="F93">IF(D93="Pendiente","-",INDEX($BT$6:$BT$53,MATCH($AF93,$BD$6:$BD$53,0)))</f>
        <v>P.1 (4)</v>
      </c>
      <c r="G93" s="78"/>
      <c r="H93" t="str" s="78" cm="1">
        <f t="array" ref="H93">IF(D93="Pendiente","-",INDEX($BZ$6:$BZ$53,MATCH($AA93,$BD$6:$BD$53,0)))</f>
        <v>P.1 (4)</v>
      </c>
      <c r="I93" t="str" s="78" cm="1">
        <f t="array" ref="I93">IF(D93="Pendiente","-",INDEX($BZ$6:$BZ$53,MATCH($AF93,$BD$6:$BD$53,0)))</f>
        <v>P.1 (4)</v>
      </c>
      <c r="J93" s="78"/>
      <c r="K93" t="str" s="78" cm="1">
        <f t="array" ref="K93">IF(D93="Pendiente","-",INDEX($CE$6:$CE$53,MATCH($AA93,$BD$6:$BD$53,0)))</f>
        <v>P.1 (4)</v>
      </c>
      <c r="L93" t="str" s="78" cm="1">
        <f t="array" ref="L93">IF(D93="Pendiente","-",INDEX($CE$6:$CE$53,MATCH($AF93,$BD$6:$BD$53,0)))</f>
        <v>P.1 (4)</v>
      </c>
      <c r="M93" s="78"/>
      <c r="N93" t="str" s="78" cm="1">
        <f t="array" ref="N93">IF(D93="Pendiente","-",INDEX($CH$6:$CH$53,MATCH($AA93,$BD$6:$BD$53,0)))</f>
        <v>P.1 (4)</v>
      </c>
      <c r="O93" t="str" s="78" cm="1">
        <f t="array" ref="O93">IF(D93="Pendiente","-",INDEX($CH$6:$CH$53,MATCH($AF93,$BD$6:$BD$53,0)))</f>
        <v>P.1 (4)</v>
      </c>
      <c r="P93" s="78"/>
      <c r="Q93" t="str" s="78" cm="1">
        <f t="array" ref="Q93">IF(D93="Pendiente","-",INDEX($CN$6:$CN$53,MATCH($AA93,$BD$6:$BD$53,0)))</f>
        <v>P.1 (4)</v>
      </c>
      <c r="R93" t="str" s="78" cm="1">
        <f t="array" ref="R93">IF(D93="Pendiente","-",INDEX($CN$6:$CN$53,MATCH($AF93,$BD$6:$BD$53,0)))</f>
        <v>P.1 (4)</v>
      </c>
      <c r="S93" s="78"/>
      <c r="T93" t="str" s="78" cm="1">
        <f t="array" ref="T93">IF(D93="Pendiente","-",INDEX($CS$6:$CS$53,MATCH($AA93,$BD$6:$BD$53,0)))</f>
        <v>P.1 (4)</v>
      </c>
      <c r="U93" t="str" s="78" cm="1">
        <f t="array" ref="U93">IF(D93="Pendiente","-",INDEX($CS$6:$CS$53,MATCH($AF93,$BD$6:$BD$53,0)))</f>
        <v>P.1 (4)</v>
      </c>
      <c r="V93" s="90"/>
      <c r="W93" s="126"/>
      <c r="X93" s="107">
        <v>46190.791666666657</v>
      </c>
      <c r="Y93" s="108">
        <v>46190.791666666657</v>
      </c>
      <c r="Z93" t="str" s="127" cm="1">
        <f t="array" ref="Z93">$Z$4</f>
        <v>J1</v>
      </c>
      <c r="AA93" t="str" s="110" cm="1">
        <f t="array" ref="AA93">A95</f>
        <v>Ghana</v>
      </c>
      <c r="AB93" s="111"/>
      <c r="AC93" s="128">
        <v>1</v>
      </c>
      <c r="AD93" s="128">
        <v>0</v>
      </c>
      <c r="AE93" s="113"/>
      <c r="AF93" t="str" s="114" cm="1">
        <f t="array" ref="AF93">A96</f>
        <v>Panamá</v>
      </c>
      <c r="AG93" s="115" cm="1">
        <f t="array" ref="AG93">IF(NOT(OR(ISBLANK(AC93),ISBLANK(AD93))),1,0)</f>
        <v>1</v>
      </c>
      <c r="AH93" s="116">
        <v>21</v>
      </c>
      <c r="AI93" s="117"/>
      <c r="AJ93" t="str" s="213" cm="1">
        <f t="array" ref="AJ93">AJ5</f>
        <v>Pos</v>
      </c>
      <c r="AK93" s="130"/>
      <c r="AL93" t="str" s="214" cm="1">
        <f t="array" ref="AL93">AL5</f>
        <v>Selección</v>
      </c>
      <c r="AM93" t="str" s="130" cm="1">
        <f t="array" ref="AM93">AM5</f>
        <v>Pts</v>
      </c>
      <c r="AN93" t="str" s="130" cm="1">
        <f t="array" ref="AN93">AN5</f>
        <v>J</v>
      </c>
      <c r="AO93" t="str" s="130" cm="1">
        <f t="array" ref="AO93">AO5</f>
        <v>G</v>
      </c>
      <c r="AP93" t="str" s="130" cm="1">
        <f t="array" ref="AP93">AP5</f>
        <v>E</v>
      </c>
      <c r="AQ93" t="str" s="130" cm="1">
        <f t="array" ref="AQ93">AQ5</f>
        <v>P</v>
      </c>
      <c r="AR93" t="str" s="130" cm="1">
        <f t="array" ref="AR93">AR5</f>
        <v>GF</v>
      </c>
      <c r="AS93" t="str" s="130" cm="1">
        <f t="array" ref="AS93">AS5</f>
        <v>GC</v>
      </c>
      <c r="AT93" t="str" s="215" cm="1">
        <f t="array" ref="AT93">AT5</f>
        <v>DG</v>
      </c>
      <c r="AU93" s="216" cm="1">
        <f t="array" ref="AU93">COUNTIF(AU94:AU97,"&gt;1")</f>
        <v>4</v>
      </c>
      <c r="AV93" s="135"/>
      <c r="AW93" s="217"/>
      <c r="AX93" s="218"/>
      <c r="AY93" t="str" s="137" cm="1">
        <f t="array" ref="AY93">AL93</f>
        <v>Selección</v>
      </c>
      <c r="AZ93" t="s" s="138">
        <v>70</v>
      </c>
      <c r="BA93" s="139"/>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8"/>
      <c r="DU93" s="12"/>
    </row>
    <row r="94" ht="16" customHeight="1">
      <c r="A94" t="s" s="89">
        <v>413</v>
      </c>
      <c r="B94" s="78"/>
      <c r="C94" s="78"/>
      <c r="D94" t="str" s="78" cm="1">
        <f t="array" ref="D94">IF(OR(AC94="",AD94=""),"Pendiente",IF(AC94&gt;AD94,"Local",IF(AC94&lt;AD94,"Visitante","Empate")))</f>
        <v>Local</v>
      </c>
      <c r="E94" t="str" s="78" cm="1">
        <f t="array" ref="E94">IF(D94="Pendiente","-",INDEX($BT$6:$BT$53,MATCH($AA94,$BD$6:$BD$53,0)))</f>
        <v>P.1 (4)</v>
      </c>
      <c r="F94" t="str" s="78" cm="1">
        <f t="array" ref="F94">IF(D94="Pendiente","-",INDEX($BT$6:$BT$53,MATCH($AF94,$BD$6:$BD$53,0)))</f>
        <v>P.1 (4)</v>
      </c>
      <c r="G94" s="78"/>
      <c r="H94" t="str" s="78" cm="1">
        <f t="array" ref="H94">IF(D94="Pendiente","-",INDEX($BZ$6:$BZ$53,MATCH($AA94,$BD$6:$BD$53,0)))</f>
        <v>P.1 (4)</v>
      </c>
      <c r="I94" t="str" s="78" cm="1">
        <f t="array" ref="I94">IF(D94="Pendiente","-",INDEX($BZ$6:$BZ$53,MATCH($AF94,$BD$6:$BD$53,0)))</f>
        <v>P.1 (4)</v>
      </c>
      <c r="J94" s="78"/>
      <c r="K94" t="str" s="78" cm="1">
        <f t="array" ref="K94">IF(D94="Pendiente","-",INDEX($CE$6:$CE$53,MATCH($AA94,$BD$6:$BD$53,0)))</f>
        <v>P.1 (4)</v>
      </c>
      <c r="L94" t="str" s="78" cm="1">
        <f t="array" ref="L94">IF(D94="Pendiente","-",INDEX($CE$6:$CE$53,MATCH($AF94,$BD$6:$BD$53,0)))</f>
        <v>P.1 (4)</v>
      </c>
      <c r="M94" s="78"/>
      <c r="N94" t="str" s="78" cm="1">
        <f t="array" ref="N94">IF(D94="Pendiente","-",INDEX($CH$6:$CH$53,MATCH($AA94,$BD$6:$BD$53,0)))</f>
        <v>P.1 (4)</v>
      </c>
      <c r="O94" t="str" s="78" cm="1">
        <f t="array" ref="O94">IF(D94="Pendiente","-",INDEX($CH$6:$CH$53,MATCH($AF94,$BD$6:$BD$53,0)))</f>
        <v>P.1 (4)</v>
      </c>
      <c r="P94" s="78"/>
      <c r="Q94" t="str" s="78" cm="1">
        <f t="array" ref="Q94">IF(D94="Pendiente","-",INDEX($CN$6:$CN$53,MATCH($AA94,$BD$6:$BD$53,0)))</f>
        <v>P.1 (4)</v>
      </c>
      <c r="R94" t="str" s="78" cm="1">
        <f t="array" ref="R94">IF(D94="Pendiente","-",INDEX($CN$6:$CN$53,MATCH($AF94,$BD$6:$BD$53,0)))</f>
        <v>P.1 (4)</v>
      </c>
      <c r="S94" s="78"/>
      <c r="T94" t="str" s="78" cm="1">
        <f t="array" ref="T94">IF(D94="Pendiente","-",INDEX($CS$6:$CS$53,MATCH($AA94,$BD$6:$BD$53,0)))</f>
        <v>P.1 (4)</v>
      </c>
      <c r="U94" t="str" s="78" cm="1">
        <f t="array" ref="U94">IF(D94="Pendiente","-",INDEX($CS$6:$CS$53,MATCH($AF94,$BD$6:$BD$53,0)))</f>
        <v>P.1 (4)</v>
      </c>
      <c r="V94" s="90"/>
      <c r="W94" s="141"/>
      <c r="X94" s="107">
        <v>46196.666666666657</v>
      </c>
      <c r="Y94" s="108">
        <v>46196.666666666657</v>
      </c>
      <c r="Z94" t="str" s="127" cm="1">
        <f t="array" ref="Z94">$Z$6</f>
        <v>J2</v>
      </c>
      <c r="AA94" t="str" s="110" cm="1">
        <f t="array" ref="AA94">A93</f>
        <v>Inglaterra</v>
      </c>
      <c r="AB94" s="111"/>
      <c r="AC94" s="128">
        <v>2</v>
      </c>
      <c r="AD94" s="128">
        <v>1</v>
      </c>
      <c r="AE94" s="113"/>
      <c r="AF94" t="str" s="114" cm="1">
        <f t="array" ref="AF94">A95</f>
        <v>Ghana</v>
      </c>
      <c r="AG94" s="115" cm="1">
        <f t="array" ref="AG94">IF(NOT(OR(ISBLANK(AC94),ISBLANK(AD94))),1,0)</f>
        <v>1</v>
      </c>
      <c r="AH94" s="116">
        <v>45</v>
      </c>
      <c r="AI94" t="str" s="117" cm="1">
        <f t="array" ref="AI94">AJ94&amp;$B$92</f>
        <v>1L</v>
      </c>
      <c r="AJ94" s="142">
        <v>1</v>
      </c>
      <c r="AK94" s="221"/>
      <c r="AL94" t="str" s="144" cm="1">
        <f t="array" ref="AL94">_xlfn.IFERROR(INDEX($BD$6:$BD$53,MATCH(AI94,$BN$6:$BN$53,0)),"")</f>
        <v>Inglaterra</v>
      </c>
      <c r="AM94" s="145" cm="1">
        <f t="array" ref="AM94">INDEX($BE$6:$BN$53,MATCH($AL94,$BD$6:$BD$53,0),MATCH(AM$5,$BE$5:$BN$5,0))</f>
        <v>9</v>
      </c>
      <c r="AN94" s="146" cm="1">
        <f t="array" ref="AN94">INDEX($BE$6:$BN$53,MATCH($AL94,$BD$6:$BD$53,0),MATCH(AN$5,$BE$5:$BN$5,0))</f>
        <v>3</v>
      </c>
      <c r="AO94" s="146" cm="1">
        <f t="array" ref="AO94">INDEX($BE$6:$BN$53,MATCH($AL94,$BD$6:$BD$53,0),MATCH(AO$5,$BE$5:$BN$5,0))</f>
        <v>3</v>
      </c>
      <c r="AP94" s="146" cm="1">
        <f t="array" ref="AP94">INDEX($BE$6:$BN$53,MATCH($AL94,$BD$6:$BD$53,0),MATCH(AP$5,$BE$5:$BN$5,0))</f>
        <v>0</v>
      </c>
      <c r="AQ94" s="146" cm="1">
        <f t="array" ref="AQ94">INDEX($BE$6:$BN$53,MATCH($AL94,$BD$6:$BD$53,0),MATCH(AQ$5,$BE$5:$BN$5,0))</f>
        <v>0</v>
      </c>
      <c r="AR94" s="146" cm="1">
        <f t="array" ref="AR94">INDEX($BE$6:$BN$53,MATCH($AL94,$BD$6:$BD$53,0),MATCH(AR$5,$BE$5:$BN$5,0))</f>
        <v>5</v>
      </c>
      <c r="AS94" s="146" cm="1">
        <f t="array" ref="AS94">INDEX($BE$6:$BN$53,MATCH($AL94,$BD$6:$BD$53,0),MATCH(AS$5,$BE$5:$BN$5,0))</f>
        <v>1</v>
      </c>
      <c r="AT94" s="147" cm="1">
        <f t="array" ref="AT94">INDEX($BE$6:$BN$53,MATCH($AL94,$BD$6:$BD$53,0),MATCH(AT$5,$BE$5:$BN$5,0))</f>
        <v>4</v>
      </c>
      <c r="AU94" s="148" cm="1">
        <f t="array" ref="AU94">INDEX($DL$6:$DL$53,MATCH(AI94,$DP$6:$DP$53,0))</f>
        <v>4</v>
      </c>
      <c r="AV94" t="str" s="149" cm="1">
        <f t="array" ref="AV94">INDEX($BD$6:$BD$53,MATCH(AI94,$BM$6:$BM$53,0))</f>
        <v>Inglaterra</v>
      </c>
      <c r="AW94" s="150"/>
      <c r="AX94" s="151"/>
      <c r="AY94" t="str" s="152" cm="1">
        <f t="array" ref="AY94">A93</f>
        <v>Inglaterra</v>
      </c>
      <c r="AZ94" s="153"/>
      <c r="BA94" s="139"/>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8"/>
      <c r="DU94" s="12"/>
    </row>
    <row r="95" ht="16" customHeight="1">
      <c r="A95" t="s" s="89">
        <v>420</v>
      </c>
      <c r="B95" s="78"/>
      <c r="C95" s="78"/>
      <c r="D95" t="str" s="78" cm="1">
        <f t="array" ref="D95">IF(OR(AC95="",AD95=""),"Pendiente",IF(AC95&gt;AD95,"Local",IF(AC95&lt;AD95,"Visitante","Empate")))</f>
        <v>Visitante</v>
      </c>
      <c r="E95" t="str" s="78" cm="1">
        <f t="array" ref="E95">IF(D95="Pendiente","-",INDEX($BT$6:$BT$53,MATCH($AA95,$BD$6:$BD$53,0)))</f>
        <v>P.1 (4)</v>
      </c>
      <c r="F95" t="str" s="78" cm="1">
        <f t="array" ref="F95">IF(D95="Pendiente","-",INDEX($BT$6:$BT$53,MATCH($AF95,$BD$6:$BD$53,0)))</f>
        <v>P.1 (4)</v>
      </c>
      <c r="G95" s="78"/>
      <c r="H95" t="str" s="78" cm="1">
        <f t="array" ref="H95">IF(D95="Pendiente","-",INDEX($BZ$6:$BZ$53,MATCH($AA95,$BD$6:$BD$53,0)))</f>
        <v>P.1 (4)</v>
      </c>
      <c r="I95" t="str" s="78" cm="1">
        <f t="array" ref="I95">IF(D95="Pendiente","-",INDEX($BZ$6:$BZ$53,MATCH($AF95,$BD$6:$BD$53,0)))</f>
        <v>P.1 (4)</v>
      </c>
      <c r="J95" s="78"/>
      <c r="K95" t="str" s="78" cm="1">
        <f t="array" ref="K95">IF(D95="Pendiente","-",INDEX($CE$6:$CE$53,MATCH($AA95,$BD$6:$BD$53,0)))</f>
        <v>P.1 (4)</v>
      </c>
      <c r="L95" t="str" s="78" cm="1">
        <f t="array" ref="L95">IF(D95="Pendiente","-",INDEX($CE$6:$CE$53,MATCH($AF95,$BD$6:$BD$53,0)))</f>
        <v>P.1 (4)</v>
      </c>
      <c r="M95" s="78"/>
      <c r="N95" t="str" s="78" cm="1">
        <f t="array" ref="N95">IF(D95="Pendiente","-",INDEX($CH$6:$CH$53,MATCH($AA95,$BD$6:$BD$53,0)))</f>
        <v>P.1 (4)</v>
      </c>
      <c r="O95" t="str" s="78" cm="1">
        <f t="array" ref="O95">IF(D95="Pendiente","-",INDEX($CH$6:$CH$53,MATCH($AF95,$BD$6:$BD$53,0)))</f>
        <v>P.1 (4)</v>
      </c>
      <c r="P95" s="78"/>
      <c r="Q95" t="str" s="78" cm="1">
        <f t="array" ref="Q95">IF(D95="Pendiente","-",INDEX($CN$6:$CN$53,MATCH($AA95,$BD$6:$BD$53,0)))</f>
        <v>P.1 (4)</v>
      </c>
      <c r="R95" t="str" s="78" cm="1">
        <f t="array" ref="R95">IF(D95="Pendiente","-",INDEX($CN$6:$CN$53,MATCH($AF95,$BD$6:$BD$53,0)))</f>
        <v>P.1 (4)</v>
      </c>
      <c r="S95" s="78"/>
      <c r="T95" t="str" s="78" cm="1">
        <f t="array" ref="T95">IF(D95="Pendiente","-",INDEX($CS$6:$CS$53,MATCH($AA95,$BD$6:$BD$53,0)))</f>
        <v>P.1 (4)</v>
      </c>
      <c r="U95" t="str" s="78" cm="1">
        <f t="array" ref="U95">IF(D95="Pendiente","-",INDEX($CS$6:$CS$53,MATCH($AF95,$BD$6:$BD$53,0)))</f>
        <v>P.1 (4)</v>
      </c>
      <c r="V95" s="90"/>
      <c r="W95" s="141"/>
      <c r="X95" s="107">
        <v>46196.791666666657</v>
      </c>
      <c r="Y95" s="108">
        <v>46196.791666666657</v>
      </c>
      <c r="Z95" t="str" s="127" cm="1">
        <f t="array" ref="Z95">$Z$6</f>
        <v>J2</v>
      </c>
      <c r="AA95" t="str" s="110" cm="1">
        <f t="array" ref="AA95">A96</f>
        <v>Panamá</v>
      </c>
      <c r="AB95" s="111"/>
      <c r="AC95" s="128">
        <v>1</v>
      </c>
      <c r="AD95" s="128">
        <v>3</v>
      </c>
      <c r="AE95" s="113"/>
      <c r="AF95" t="str" s="114" cm="1">
        <f t="array" ref="AF95">A94</f>
        <v>Croacia</v>
      </c>
      <c r="AG95" s="115" cm="1">
        <f t="array" ref="AG95">IF(NOT(OR(ISBLANK(AC95),ISBLANK(AD95))),1,0)</f>
        <v>1</v>
      </c>
      <c r="AH95" s="116">
        <v>46</v>
      </c>
      <c r="AI95" t="str" s="117" cm="1">
        <f t="array" ref="AI95">AJ95&amp;$B$92</f>
        <v>2L</v>
      </c>
      <c r="AJ95" s="155">
        <v>2</v>
      </c>
      <c r="AK95" s="225"/>
      <c r="AL95" t="str" s="157" cm="1">
        <f t="array" ref="AL95">_xlfn.IFERROR(INDEX($BD$6:$BD$53,MATCH(AI95,$BN$6:$BN$53,0)),"")</f>
        <v>Croacia</v>
      </c>
      <c r="AM95" s="158" cm="1">
        <f t="array" ref="AM95">INDEX($BE$6:$BN$53,MATCH($AL95,$BD$6:$BD$53,0),MATCH(AM$5,$BE$5:$BN$5,0))</f>
        <v>6</v>
      </c>
      <c r="AN95" s="159" cm="1">
        <f t="array" ref="AN95">INDEX($BE$6:$BN$53,MATCH($AL95,$BD$6:$BD$53,0),MATCH(AN$5,$BE$5:$BN$5,0))</f>
        <v>3</v>
      </c>
      <c r="AO95" s="159" cm="1">
        <f t="array" ref="AO95">INDEX($BE$6:$BN$53,MATCH($AL95,$BD$6:$BD$53,0),MATCH(AO$5,$BE$5:$BN$5,0))</f>
        <v>2</v>
      </c>
      <c r="AP95" s="159" cm="1">
        <f t="array" ref="AP95">INDEX($BE$6:$BN$53,MATCH($AL95,$BD$6:$BD$53,0),MATCH(AP$5,$BE$5:$BN$5,0))</f>
        <v>0</v>
      </c>
      <c r="AQ95" s="159" cm="1">
        <f t="array" ref="AQ95">INDEX($BE$6:$BN$53,MATCH($AL95,$BD$6:$BD$53,0),MATCH(AQ$5,$BE$5:$BN$5,0))</f>
        <v>1</v>
      </c>
      <c r="AR95" s="159" cm="1">
        <f t="array" ref="AR95">INDEX($BE$6:$BN$53,MATCH($AL95,$BD$6:$BD$53,0),MATCH(AR$5,$BE$5:$BN$5,0))</f>
        <v>5</v>
      </c>
      <c r="AS95" s="159" cm="1">
        <f t="array" ref="AS95">INDEX($BE$6:$BN$53,MATCH($AL95,$BD$6:$BD$53,0),MATCH(AS$5,$BE$5:$BN$5,0))</f>
        <v>3</v>
      </c>
      <c r="AT95" s="160" cm="1">
        <f t="array" ref="AT95">INDEX($BE$6:$BN$53,MATCH($AL95,$BD$6:$BD$53,0),MATCH(AT$5,$BE$5:$BN$5,0))</f>
        <v>2</v>
      </c>
      <c r="AU95" s="148" cm="1">
        <f t="array" ref="AU95">INDEX($DL$6:$DL$53,MATCH(AI95,$DP$6:$DP$53,0))</f>
        <v>4</v>
      </c>
      <c r="AV95" t="str" s="149" cm="1">
        <f t="array" ref="AV95">INDEX($BD$6:$BD$53,MATCH(AI95,$BM$6:$BM$53,0))</f>
        <v>Croacia</v>
      </c>
      <c r="AW95" s="150"/>
      <c r="AX95" s="151"/>
      <c r="AY95" t="str" s="161" cm="1">
        <f t="array" ref="AY95">A94</f>
        <v>Croacia</v>
      </c>
      <c r="AZ95" s="162"/>
      <c r="BA95" s="139"/>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8"/>
      <c r="DU95" s="12"/>
    </row>
    <row r="96" ht="16" customHeight="1">
      <c r="A96" t="s" s="89">
        <v>426</v>
      </c>
      <c r="B96" s="78"/>
      <c r="C96" s="78"/>
      <c r="D96" t="str" s="78" cm="1">
        <f t="array" ref="D96">IF(OR(AC96="",AD96=""),"Pendiente",IF(AC96&gt;AD96,"Local",IF(AC96&lt;AD96,"Visitante","Empate")))</f>
        <v>Visitante</v>
      </c>
      <c r="E96" t="str" s="78" cm="1">
        <f t="array" ref="E96">IF(D96="Pendiente","-",INDEX($BT$6:$BT$53,MATCH($AA96,$BD$6:$BD$53,0)))</f>
        <v>P.1 (4)</v>
      </c>
      <c r="F96" t="str" s="78" cm="1">
        <f t="array" ref="F96">IF(D96="Pendiente","-",INDEX($BT$6:$BT$53,MATCH($AF96,$BD$6:$BD$53,0)))</f>
        <v>P.1 (4)</v>
      </c>
      <c r="G96" s="78"/>
      <c r="H96" t="str" s="78" cm="1">
        <f t="array" ref="H96">IF(D96="Pendiente","-",INDEX($BZ$6:$BZ$53,MATCH($AA96,$BD$6:$BD$53,0)))</f>
        <v>P.1 (4)</v>
      </c>
      <c r="I96" t="str" s="78" cm="1">
        <f t="array" ref="I96">IF(D96="Pendiente","-",INDEX($BZ$6:$BZ$53,MATCH($AF96,$BD$6:$BD$53,0)))</f>
        <v>P.1 (4)</v>
      </c>
      <c r="J96" s="78"/>
      <c r="K96" t="str" s="78" cm="1">
        <f t="array" ref="K96">IF(D96="Pendiente","-",INDEX($CE$6:$CE$53,MATCH($AA96,$BD$6:$BD$53,0)))</f>
        <v>P.1 (4)</v>
      </c>
      <c r="L96" t="str" s="78" cm="1">
        <f t="array" ref="L96">IF(D96="Pendiente","-",INDEX($CE$6:$CE$53,MATCH($AF96,$BD$6:$BD$53,0)))</f>
        <v>P.1 (4)</v>
      </c>
      <c r="M96" s="78"/>
      <c r="N96" t="str" s="78" cm="1">
        <f t="array" ref="N96">IF(D96="Pendiente","-",INDEX($CH$6:$CH$53,MATCH($AA96,$BD$6:$BD$53,0)))</f>
        <v>P.1 (4)</v>
      </c>
      <c r="O96" t="str" s="78" cm="1">
        <f t="array" ref="O96">IF(D96="Pendiente","-",INDEX($CH$6:$CH$53,MATCH($AF96,$BD$6:$BD$53,0)))</f>
        <v>P.1 (4)</v>
      </c>
      <c r="P96" s="78"/>
      <c r="Q96" t="str" s="78" cm="1">
        <f t="array" ref="Q96">IF(D96="Pendiente","-",INDEX($CN$6:$CN$53,MATCH($AA96,$BD$6:$BD$53,0)))</f>
        <v>P.1 (4)</v>
      </c>
      <c r="R96" t="str" s="78" cm="1">
        <f t="array" ref="R96">IF(D96="Pendiente","-",INDEX($CN$6:$CN$53,MATCH($AF96,$BD$6:$BD$53,0)))</f>
        <v>P.1 (4)</v>
      </c>
      <c r="S96" s="78"/>
      <c r="T96" t="str" s="78" cm="1">
        <f t="array" ref="T96">IF(D96="Pendiente","-",INDEX($CS$6:$CS$53,MATCH($AA96,$BD$6:$BD$53,0)))</f>
        <v>P.1 (4)</v>
      </c>
      <c r="U96" t="str" s="78" cm="1">
        <f t="array" ref="U96">IF(D96="Pendiente","-",INDEX($CS$6:$CS$53,MATCH($AF96,$BD$6:$BD$53,0)))</f>
        <v>P.1 (4)</v>
      </c>
      <c r="V96" s="90"/>
      <c r="W96" s="141"/>
      <c r="X96" s="107">
        <v>46200.708333333343</v>
      </c>
      <c r="Y96" s="108">
        <v>46200.708333333343</v>
      </c>
      <c r="Z96" t="str" s="127" cm="1">
        <f t="array" ref="Z96">$Z$8</f>
        <v>J3</v>
      </c>
      <c r="AA96" t="str" s="110" cm="1">
        <f t="array" ref="AA96">A96</f>
        <v>Panamá</v>
      </c>
      <c r="AB96" s="111"/>
      <c r="AC96" s="128">
        <v>0</v>
      </c>
      <c r="AD96" s="128">
        <v>2</v>
      </c>
      <c r="AE96" s="113"/>
      <c r="AF96" t="str" s="114" cm="1">
        <f t="array" ref="AF96">A93</f>
        <v>Inglaterra</v>
      </c>
      <c r="AG96" s="115" cm="1">
        <f t="array" ref="AG96">IF(NOT(OR(ISBLANK(AC96),ISBLANK(AD96))),1,0)</f>
        <v>1</v>
      </c>
      <c r="AH96" s="116">
        <v>67</v>
      </c>
      <c r="AI96" t="str" s="117" cm="1">
        <f t="array" ref="AI96">AJ96&amp;$B$92</f>
        <v>3L</v>
      </c>
      <c r="AJ96" s="155">
        <v>3</v>
      </c>
      <c r="AK96" s="225"/>
      <c r="AL96" t="str" s="157" cm="1">
        <f t="array" ref="AL96">_xlfn.IFERROR(INDEX($BD$6:$BD$53,MATCH(AI96,$BN$6:$BN$53,0)),"")</f>
        <v>Ghana</v>
      </c>
      <c r="AM96" s="158" cm="1">
        <f t="array" ref="AM96">INDEX($BE$6:$BN$53,MATCH($AL96,$BD$6:$BD$53,0),MATCH(AM$5,$BE$5:$BN$5,0))</f>
        <v>3</v>
      </c>
      <c r="AN96" s="159" cm="1">
        <f t="array" ref="AN96">INDEX($BE$6:$BN$53,MATCH($AL96,$BD$6:$BD$53,0),MATCH(AN$5,$BE$5:$BN$5,0))</f>
        <v>3</v>
      </c>
      <c r="AO96" s="159" cm="1">
        <f t="array" ref="AO96">INDEX($BE$6:$BN$53,MATCH($AL96,$BD$6:$BD$53,0),MATCH(AO$5,$BE$5:$BN$5,0))</f>
        <v>1</v>
      </c>
      <c r="AP96" s="159" cm="1">
        <f t="array" ref="AP96">INDEX($BE$6:$BN$53,MATCH($AL96,$BD$6:$BD$53,0),MATCH(AP$5,$BE$5:$BN$5,0))</f>
        <v>0</v>
      </c>
      <c r="AQ96" s="159" cm="1">
        <f t="array" ref="AQ96">INDEX($BE$6:$BN$53,MATCH($AL96,$BD$6:$BD$53,0),MATCH(AQ$5,$BE$5:$BN$5,0))</f>
        <v>2</v>
      </c>
      <c r="AR96" s="159" cm="1">
        <f t="array" ref="AR96">INDEX($BE$6:$BN$53,MATCH($AL96,$BD$6:$BD$53,0),MATCH(AR$5,$BE$5:$BN$5,0))</f>
        <v>3</v>
      </c>
      <c r="AS96" s="159" cm="1">
        <f t="array" ref="AS96">INDEX($BE$6:$BN$53,MATCH($AL96,$BD$6:$BD$53,0),MATCH(AS$5,$BE$5:$BN$5,0))</f>
        <v>4</v>
      </c>
      <c r="AT96" s="160" cm="1">
        <f t="array" ref="AT96">INDEX($BE$6:$BN$53,MATCH($AL96,$BD$6:$BD$53,0),MATCH(AT$5,$BE$5:$BN$5,0))</f>
        <v>-1</v>
      </c>
      <c r="AU96" s="148" cm="1">
        <f t="array" ref="AU96">INDEX($DL$6:$DL$53,MATCH(AI96,$DP$6:$DP$53,0))</f>
        <v>4</v>
      </c>
      <c r="AV96" t="str" s="149" cm="1">
        <f t="array" ref="AV96">INDEX($BD$6:$BD$53,MATCH(AI96,$BM$6:$BM$53,0))</f>
        <v>Ghana</v>
      </c>
      <c r="AW96" s="150"/>
      <c r="AX96" s="151"/>
      <c r="AY96" t="str" s="152" cm="1">
        <f t="array" ref="AY96">A95</f>
        <v>Ghana</v>
      </c>
      <c r="AZ96" s="153"/>
      <c r="BA96" s="139"/>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8"/>
      <c r="DU96" s="12"/>
    </row>
    <row r="97" ht="16" customHeight="1">
      <c r="A97" s="78"/>
      <c r="B97" s="78"/>
      <c r="C97" s="78"/>
      <c r="D97" t="str" s="78" cm="1">
        <f t="array" ref="D97">IF(OR(AC97="",AD97=""),"Pendiente",IF(AC97&gt;AD97,"Local",IF(AC97&lt;AD97,"Visitante","Empate")))</f>
        <v>Local</v>
      </c>
      <c r="E97" t="str" s="78" cm="1">
        <f t="array" ref="E97">IF(D97="Pendiente","-",INDEX($BT$6:$BT$53,MATCH($AA97,$BD$6:$BD$53,0)))</f>
        <v>P.1 (4)</v>
      </c>
      <c r="F97" t="str" s="78" cm="1">
        <f t="array" ref="F97">IF(D97="Pendiente","-",INDEX($BT$6:$BT$53,MATCH($AF97,$BD$6:$BD$53,0)))</f>
        <v>P.1 (4)</v>
      </c>
      <c r="G97" s="78"/>
      <c r="H97" t="str" s="78" cm="1">
        <f t="array" ref="H97">IF(D97="Pendiente","-",INDEX($BZ$6:$BZ$53,MATCH($AA97,$BD$6:$BD$53,0)))</f>
        <v>P.1 (4)</v>
      </c>
      <c r="I97" t="str" s="78" cm="1">
        <f t="array" ref="I97">IF(D97="Pendiente","-",INDEX($BZ$6:$BZ$53,MATCH($AF97,$BD$6:$BD$53,0)))</f>
        <v>P.1 (4)</v>
      </c>
      <c r="J97" s="78"/>
      <c r="K97" t="str" s="78" cm="1">
        <f t="array" ref="K97">IF(D97="Pendiente","-",INDEX($CE$6:$CE$53,MATCH($AA97,$BD$6:$BD$53,0)))</f>
        <v>P.1 (4)</v>
      </c>
      <c r="L97" t="str" s="78" cm="1">
        <f t="array" ref="L97">IF(D97="Pendiente","-",INDEX($CE$6:$CE$53,MATCH($AF97,$BD$6:$BD$53,0)))</f>
        <v>P.1 (4)</v>
      </c>
      <c r="M97" s="78"/>
      <c r="N97" t="str" s="78" cm="1">
        <f t="array" ref="N97">IF(D97="Pendiente","-",INDEX($CH$6:$CH$53,MATCH($AA97,$BD$6:$BD$53,0)))</f>
        <v>P.1 (4)</v>
      </c>
      <c r="O97" t="str" s="78" cm="1">
        <f t="array" ref="O97">IF(D97="Pendiente","-",INDEX($CH$6:$CH$53,MATCH($AF97,$BD$6:$BD$53,0)))</f>
        <v>P.1 (4)</v>
      </c>
      <c r="P97" s="78"/>
      <c r="Q97" t="str" s="78" cm="1">
        <f t="array" ref="Q97">IF(D97="Pendiente","-",INDEX($CN$6:$CN$53,MATCH($AA97,$BD$6:$BD$53,0)))</f>
        <v>P.1 (4)</v>
      </c>
      <c r="R97" t="str" s="78" cm="1">
        <f t="array" ref="R97">IF(D97="Pendiente","-",INDEX($CN$6:$CN$53,MATCH($AF97,$BD$6:$BD$53,0)))</f>
        <v>P.1 (4)</v>
      </c>
      <c r="S97" s="78"/>
      <c r="T97" t="str" s="78" cm="1">
        <f t="array" ref="T97">IF(D97="Pendiente","-",INDEX($CS$6:$CS$53,MATCH($AA97,$BD$6:$BD$53,0)))</f>
        <v>P.1 (4)</v>
      </c>
      <c r="U97" t="str" s="78" cm="1">
        <f t="array" ref="U97">IF(D97="Pendiente","-",INDEX($CS$6:$CS$53,MATCH($AF97,$BD$6:$BD$53,0)))</f>
        <v>P.1 (4)</v>
      </c>
      <c r="V97" s="90"/>
      <c r="W97" s="163"/>
      <c r="X97" s="164">
        <v>46200.708333333343</v>
      </c>
      <c r="Y97" s="165">
        <v>46200.708333333343</v>
      </c>
      <c r="Z97" t="str" s="166" cm="1">
        <f t="array" ref="Z97">$Z$8</f>
        <v>J3</v>
      </c>
      <c r="AA97" t="str" s="167" cm="1">
        <f t="array" ref="AA97">A94</f>
        <v>Croacia</v>
      </c>
      <c r="AB97" s="168"/>
      <c r="AC97" s="169">
        <v>2</v>
      </c>
      <c r="AD97" s="169">
        <v>1</v>
      </c>
      <c r="AE97" s="170"/>
      <c r="AF97" t="str" s="171" cm="1">
        <f t="array" ref="AF97">A95</f>
        <v>Ghana</v>
      </c>
      <c r="AG97" s="115" cm="1">
        <f t="array" ref="AG97">IF(NOT(OR(ISBLANK(AC97),ISBLANK(AD97))),1,0)</f>
        <v>1</v>
      </c>
      <c r="AH97" s="116">
        <v>68</v>
      </c>
      <c r="AI97" t="str" s="117" cm="1">
        <f t="array" ref="AI97">AJ97&amp;$B$92</f>
        <v>4L</v>
      </c>
      <c r="AJ97" s="172">
        <v>4</v>
      </c>
      <c r="AK97" s="240"/>
      <c r="AL97" t="str" s="174" cm="1">
        <f t="array" ref="AL97">_xlfn.IFERROR(INDEX($BD$6:$BD$53,MATCH(AI97,$BN$6:$BN$53,0)),"")</f>
        <v>Panamá</v>
      </c>
      <c r="AM97" s="175" cm="1">
        <f t="array" ref="AM97">INDEX($BE$6:$BN$53,MATCH($AL97,$BD$6:$BD$53,0),MATCH(AM$5,$BE$5:$BN$5,0))</f>
        <v>0</v>
      </c>
      <c r="AN97" s="176" cm="1">
        <f t="array" ref="AN97">INDEX($BE$6:$BN$53,MATCH($AL97,$BD$6:$BD$53,0),MATCH(AN$5,$BE$5:$BN$5,0))</f>
        <v>3</v>
      </c>
      <c r="AO97" s="176" cm="1">
        <f t="array" ref="AO97">INDEX($BE$6:$BN$53,MATCH($AL97,$BD$6:$BD$53,0),MATCH(AO$5,$BE$5:$BN$5,0))</f>
        <v>0</v>
      </c>
      <c r="AP97" s="176" cm="1">
        <f t="array" ref="AP97">INDEX($BE$6:$BN$53,MATCH($AL97,$BD$6:$BD$53,0),MATCH(AP$5,$BE$5:$BN$5,0))</f>
        <v>0</v>
      </c>
      <c r="AQ97" s="176" cm="1">
        <f t="array" ref="AQ97">INDEX($BE$6:$BN$53,MATCH($AL97,$BD$6:$BD$53,0),MATCH(AQ$5,$BE$5:$BN$5,0))</f>
        <v>3</v>
      </c>
      <c r="AR97" s="176" cm="1">
        <f t="array" ref="AR97">INDEX($BE$6:$BN$53,MATCH($AL97,$BD$6:$BD$53,0),MATCH(AR$5,$BE$5:$BN$5,0))</f>
        <v>1</v>
      </c>
      <c r="AS97" s="176" cm="1">
        <f t="array" ref="AS97">INDEX($BE$6:$BN$53,MATCH($AL97,$BD$6:$BD$53,0),MATCH(AS$5,$BE$5:$BN$5,0))</f>
        <v>6</v>
      </c>
      <c r="AT97" s="177" cm="1">
        <f t="array" ref="AT97">INDEX($BE$6:$BN$53,MATCH($AL97,$BD$6:$BD$53,0),MATCH(AT$5,$BE$5:$BN$5,0))</f>
        <v>-5</v>
      </c>
      <c r="AU97" s="148" cm="1">
        <f t="array" ref="AU97">INDEX($DL$6:$DL$53,MATCH(AI97,$DP$6:$DP$53,0))</f>
        <v>4</v>
      </c>
      <c r="AV97" t="str" s="149" cm="1">
        <f t="array" ref="AV97">INDEX($BD$6:$BD$53,MATCH(AI97,$BM$6:$BM$53,0))</f>
        <v>Panamá</v>
      </c>
      <c r="AW97" s="150"/>
      <c r="AX97" s="151"/>
      <c r="AY97" t="str" s="178" cm="1">
        <f t="array" ref="AY97">A96</f>
        <v>Panamá</v>
      </c>
      <c r="AZ97" s="179"/>
      <c r="BA97" s="139"/>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8"/>
      <c r="DU97" s="12"/>
    </row>
    <row r="98" ht="16" customHeight="1">
      <c r="A98" s="78"/>
      <c r="B98" s="78"/>
      <c r="C98" s="78"/>
      <c r="D98" s="78"/>
      <c r="E98" s="78"/>
      <c r="F98" s="78"/>
      <c r="G98" s="78"/>
      <c r="H98" s="78"/>
      <c r="I98" s="78"/>
      <c r="J98" s="78"/>
      <c r="K98" s="78"/>
      <c r="L98" s="78"/>
      <c r="M98" s="78"/>
      <c r="N98" s="78"/>
      <c r="O98" s="78"/>
      <c r="P98" s="78"/>
      <c r="Q98" s="78"/>
      <c r="R98" s="78"/>
      <c r="S98" s="78"/>
      <c r="T98" s="78"/>
      <c r="U98" s="78"/>
      <c r="V98" s="79"/>
      <c r="W98" s="180"/>
      <c r="X98" s="181"/>
      <c r="Y98" s="180"/>
      <c r="Z98" s="182"/>
      <c r="AA98" s="183"/>
      <c r="AB98" s="184"/>
      <c r="AC98" s="185"/>
      <c r="AD98" s="185"/>
      <c r="AE98" s="184"/>
      <c r="AF98" s="186"/>
      <c r="AG98" s="233"/>
      <c r="AH98" s="234"/>
      <c r="AI98" s="234"/>
      <c r="AJ98" s="189"/>
      <c r="AK98" s="190"/>
      <c r="AL98" s="191"/>
      <c r="AM98" s="192"/>
      <c r="AN98" s="189"/>
      <c r="AO98" s="189"/>
      <c r="AP98" s="189"/>
      <c r="AQ98" s="189"/>
      <c r="AR98" s="189"/>
      <c r="AS98" s="189"/>
      <c r="AT98" s="189"/>
      <c r="AU98" s="193"/>
      <c r="AV98" s="194"/>
      <c r="AW98" s="253"/>
      <c r="AX98" s="254"/>
      <c r="AY98" s="196"/>
      <c r="AZ98" s="197"/>
      <c r="BA98" s="8"/>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8"/>
      <c r="DU98" s="12"/>
    </row>
    <row r="99" ht="16" customHeight="1">
      <c r="A99" s="78"/>
      <c r="B99" s="78"/>
      <c r="C99" s="78"/>
      <c r="D99" s="78"/>
      <c r="E99" s="78"/>
      <c r="F99" s="78"/>
      <c r="G99" s="78"/>
      <c r="H99" s="78"/>
      <c r="I99" s="78"/>
      <c r="J99" t="s" s="89">
        <v>527</v>
      </c>
      <c r="K99" s="78"/>
      <c r="L99" s="78"/>
      <c r="M99" s="78"/>
      <c r="N99" s="78"/>
      <c r="O99" s="78"/>
      <c r="P99" s="78"/>
      <c r="Q99" s="78"/>
      <c r="R99" s="78"/>
      <c r="S99" s="78"/>
      <c r="T99" s="78"/>
      <c r="U99" s="78"/>
      <c r="V99" s="90"/>
      <c r="W99" t="s" s="255">
        <v>528</v>
      </c>
      <c r="X99" s="256"/>
      <c r="Y99" s="257"/>
      <c r="Z99" s="257"/>
      <c r="AA99" s="257"/>
      <c r="AB99" s="257"/>
      <c r="AC99" s="257"/>
      <c r="AD99" s="257"/>
      <c r="AE99" s="257"/>
      <c r="AF99" s="258"/>
      <c r="AG99" s="259"/>
      <c r="AH99" s="149"/>
      <c r="AI99" s="234"/>
      <c r="AJ99" s="260"/>
      <c r="AK99" t="s" s="261">
        <v>529</v>
      </c>
      <c r="AL99" s="262"/>
      <c r="AM99" s="262"/>
      <c r="AN99" s="262"/>
      <c r="AO99" s="262"/>
      <c r="AP99" s="262"/>
      <c r="AQ99" s="262"/>
      <c r="AR99" s="262"/>
      <c r="AS99" s="262"/>
      <c r="AT99" s="262"/>
      <c r="AU99" s="203"/>
      <c r="AV99" s="84"/>
      <c r="AW99" s="263"/>
      <c r="AX99" s="264"/>
      <c r="AY99" s="206"/>
      <c r="AZ99" s="207"/>
      <c r="BA99" s="8"/>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8"/>
      <c r="DU99" s="12"/>
    </row>
    <row r="100" ht="16" customHeight="1">
      <c r="A100" t="s" s="89">
        <v>530</v>
      </c>
      <c r="B100" s="78"/>
      <c r="C100" s="78"/>
      <c r="D100" s="78"/>
      <c r="E100" s="78"/>
      <c r="F100" s="78"/>
      <c r="G100" s="78"/>
      <c r="H100" s="78"/>
      <c r="I100" s="78"/>
      <c r="J100" t="s" s="89">
        <v>531</v>
      </c>
      <c r="K100" t="s" s="89">
        <v>532</v>
      </c>
      <c r="L100" s="78"/>
      <c r="M100" t="s" s="89">
        <v>533</v>
      </c>
      <c r="N100" t="s" s="89">
        <v>534</v>
      </c>
      <c r="O100" s="78"/>
      <c r="P100" s="78"/>
      <c r="Q100" s="78"/>
      <c r="R100" s="78"/>
      <c r="S100" s="78"/>
      <c r="T100" s="78"/>
      <c r="U100" s="78"/>
      <c r="V100" s="90"/>
      <c r="W100" s="91"/>
      <c r="X100" t="str" s="198" cm="1">
        <f t="array" ref="X100">X3</f>
        <v>Fecha</v>
      </c>
      <c r="Y100" t="str" s="198" cm="1">
        <f t="array" ref="Y100">Y3</f>
        <v>Hora</v>
      </c>
      <c r="Z100" t="s" s="92">
        <v>535</v>
      </c>
      <c r="AA100" t="str" s="250" cm="1">
        <f t="array" ref="AA100">AA3</f>
        <v>Casa</v>
      </c>
      <c r="AB100" t="s" s="265">
        <v>536</v>
      </c>
      <c r="AC100" t="str" s="198" cm="1">
        <f t="array" ref="AC100">AC3</f>
        <v>Gol</v>
      </c>
      <c r="AD100" t="str" s="198" cm="1">
        <f t="array" ref="AD100">AD3</f>
        <v>Gol</v>
      </c>
      <c r="AE100" t="s" s="265">
        <v>536</v>
      </c>
      <c r="AF100" t="str" s="251" cm="1">
        <f t="array" ref="AF100">AF3</f>
        <v>Fuera</v>
      </c>
      <c r="AG100" s="266"/>
      <c r="AH100" s="149"/>
      <c r="AI100" s="267"/>
      <c r="AJ100" t="s" s="268">
        <v>537</v>
      </c>
      <c r="AK100" s="119"/>
      <c r="AL100" s="119"/>
      <c r="AM100" s="119"/>
      <c r="AN100" s="119"/>
      <c r="AO100" s="119"/>
      <c r="AP100" s="119"/>
      <c r="AQ100" s="119"/>
      <c r="AR100" s="119"/>
      <c r="AS100" s="119"/>
      <c r="AT100" s="120"/>
      <c r="AU100" s="269"/>
      <c r="AV100" t="str" s="122" cm="1">
        <f t="array" ref="AV100">IF(AU101&gt;0,$AV$3,"")</f>
      </c>
      <c r="AW100" s="270"/>
      <c r="AX100" s="270"/>
      <c r="AY100" s="206"/>
      <c r="AZ100" s="207"/>
      <c r="BA100" s="8"/>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8"/>
      <c r="DU100" s="12"/>
    </row>
    <row r="101" ht="16" customHeight="1">
      <c r="A101" t="s" s="89">
        <v>144</v>
      </c>
      <c r="B101" t="s" s="89">
        <v>172</v>
      </c>
      <c r="C101" s="78"/>
      <c r="D101" t="str" s="78" cm="1">
        <f t="array" ref="D101">IF(AND(OR(AC101="",AD101="")),"W"&amp;AH101,IF(AC101&gt;AD101,AA101,IF(AC101&lt;AD101,AF101,IF(AND(AC101=AD101,AB101=AE101),"W"&amp;AH101,IF(AND(AC101=AD101,OR(AB101="",AE101="")),"W"&amp;AH101,IF(AND(AC101=AD101,AB101&gt;AE101),AA101,AF101))))))</f>
        <v>W73</v>
      </c>
      <c r="E101" t="s" s="89">
        <v>46</v>
      </c>
      <c r="F101" t="s" s="89">
        <v>159</v>
      </c>
      <c r="G101" t="s" s="89">
        <v>46</v>
      </c>
      <c r="H101" s="105" cm="1">
        <f t="array" ref="H101">SUMIF($BC$6:$BC$53,G101,$BF$6:$BF$53)</f>
        <v>12</v>
      </c>
      <c r="I101" s="78"/>
      <c r="J101" s="105">
        <v>73</v>
      </c>
      <c r="K101" s="105">
        <v>46201.75</v>
      </c>
      <c r="L101" t="s" s="89">
        <v>539</v>
      </c>
      <c r="M101" t="str" s="78" cm="1">
        <f t="array" ref="M101">IF(OR(INDEX($H$101:$H$113,MATCH(E101,$G$101:$G$113,0))=12,$AJ$99=144),INDEX($AL$6:$AL$97,MATCH(A101,$AI$6:$AI$97,0)),A101)</f>
        <v>Sudáfrica</v>
      </c>
      <c r="N101" t="s" s="89">
        <v>172</v>
      </c>
      <c r="O101" s="78"/>
      <c r="P101" s="78"/>
      <c r="Q101" s="78"/>
      <c r="R101" s="78"/>
      <c r="S101" s="78"/>
      <c r="T101" s="78"/>
      <c r="U101" s="78"/>
      <c r="V101" s="90"/>
      <c r="W101" t="s" s="271">
        <v>540</v>
      </c>
      <c r="X101" s="107">
        <v>46201.625</v>
      </c>
      <c r="Y101" s="108">
        <v>46201.625</v>
      </c>
      <c r="Z101" s="272" cm="1">
        <f t="array" ref="Z101">AH101</f>
        <v>73</v>
      </c>
      <c r="AA101" t="str" s="273" cm="1">
        <f t="array" ref="AA101">INDEX($M$101:$M$147,MATCH(AH101,$J$101:$J$147,0))</f>
        <v>Sudáfrica</v>
      </c>
      <c r="AB101" s="274"/>
      <c r="AC101" s="275"/>
      <c r="AD101" s="276"/>
      <c r="AE101" s="277"/>
      <c r="AF101" t="str" s="278" cm="1">
        <f t="array" ref="AF101">INDEX($N$101:$N$147,MATCH(AH101,$J$101:$J$147,0))</f>
        <v>2B</v>
      </c>
      <c r="AG101" s="115" cm="1">
        <f t="array" ref="AG101">IF(D101="W"&amp;AH101,0,1)</f>
        <v>0</v>
      </c>
      <c r="AH101" s="116">
        <v>73</v>
      </c>
      <c r="AI101" s="267"/>
      <c r="AJ101" t="str" s="279" cm="1">
        <f t="array" ref="AJ101">AJ5</f>
        <v>Pos</v>
      </c>
      <c r="AK101" s="280"/>
      <c r="AL101" t="str" s="281" cm="1">
        <f t="array" ref="AL101">AL5</f>
        <v>Selección</v>
      </c>
      <c r="AM101" t="str" s="280" cm="1">
        <f t="array" ref="AM101">AM5</f>
        <v>Pts</v>
      </c>
      <c r="AN101" t="str" s="280" cm="1">
        <f t="array" ref="AN101">AN5</f>
        <v>J</v>
      </c>
      <c r="AO101" t="str" s="280" cm="1">
        <f t="array" ref="AO101">AO5</f>
        <v>G</v>
      </c>
      <c r="AP101" t="str" s="280" cm="1">
        <f t="array" ref="AP101">AP5</f>
        <v>E</v>
      </c>
      <c r="AQ101" t="str" s="280" cm="1">
        <f t="array" ref="AQ101">AQ5</f>
        <v>P</v>
      </c>
      <c r="AR101" t="str" s="280" cm="1">
        <f t="array" ref="AR101">AR5</f>
        <v>GF</v>
      </c>
      <c r="AS101" t="str" s="280" cm="1">
        <f t="array" ref="AS101">AS5</f>
        <v>GC</v>
      </c>
      <c r="AT101" t="str" s="282" cm="1">
        <f t="array" ref="AT101">AT5</f>
        <v>DG</v>
      </c>
      <c r="AU101" s="216" cm="1">
        <f t="array" ref="AU101">COUNTIF(AU102:AU113,"&gt;1")</f>
        <v>0</v>
      </c>
      <c r="AV101" s="84"/>
      <c r="AW101" s="263"/>
      <c r="AX101" s="263"/>
      <c r="AY101" s="283"/>
      <c r="AZ101" t="str" s="284" cm="1">
        <f t="array" ref="AZ101">IF(OR($H$113&gt;=48,$AJ$99=144),BI112,"")</f>
        <v>ABEFGHJL</v>
      </c>
      <c r="BA101" s="8"/>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8"/>
      <c r="DU101" s="12"/>
    </row>
    <row r="102" ht="16" customHeight="1">
      <c r="A102" t="s" s="89">
        <v>249</v>
      </c>
      <c r="B102" t="s" s="89">
        <v>543</v>
      </c>
      <c r="C102" s="78"/>
      <c r="D102" t="str" s="78" cm="1">
        <f t="array" ref="D102">IF(AND(OR(AC102="",AD102="")),"W"&amp;AH102,IF(AC102&gt;AD102,AA102,IF(AC102&lt;AD102,AF102,IF(AND(AC102=AD102,AB102=AE102),"W"&amp;AH102,IF(AND(AC102=AD102,OR(AB102="",AE102="")),"W"&amp;AH102,IF(AND(AC102=AD102,AB102&gt;AE102),AA102,AF102))))))</f>
        <v>W76</v>
      </c>
      <c r="E102" t="s" s="89">
        <v>64</v>
      </c>
      <c r="F102" t="s" s="89">
        <v>545</v>
      </c>
      <c r="G102" t="s" s="89">
        <v>159</v>
      </c>
      <c r="H102" s="105" cm="1">
        <f t="array" ref="H102">SUMIF($BC$6:$BC$53,G102,$BF$6:$BF$53)</f>
        <v>12</v>
      </c>
      <c r="I102" s="78"/>
      <c r="J102" s="105">
        <v>74</v>
      </c>
      <c r="K102" s="105">
        <v>46202.75</v>
      </c>
      <c r="L102" t="s" s="89">
        <v>546</v>
      </c>
      <c r="M102" t="str" s="78" cm="1">
        <f t="array" ref="M102">IF(OR(INDEX($H$101:$H$113,MATCH(E102,$G$101:$G$113,0))=12,$AJ$99=144),INDEX($AL$6:$AL$97,MATCH(A102,$AI$6:$AI$97,0)),A102)</f>
        <v>Alemania</v>
      </c>
      <c r="N102" t="s" s="89">
        <v>543</v>
      </c>
      <c r="O102" s="78"/>
      <c r="P102" s="78"/>
      <c r="Q102" s="78"/>
      <c r="R102" s="78"/>
      <c r="S102" s="78"/>
      <c r="T102" s="78"/>
      <c r="U102" s="78"/>
      <c r="V102" s="90"/>
      <c r="W102" s="126"/>
      <c r="X102" s="107">
        <v>46202.541666666657</v>
      </c>
      <c r="Y102" s="108">
        <v>46202.541666666657</v>
      </c>
      <c r="Z102" s="272" cm="1">
        <f t="array" ref="Z102">AH102</f>
        <v>76</v>
      </c>
      <c r="AA102" t="str" s="273" cm="1">
        <f t="array" ref="AA102">INDEX($M$101:$M$147,MATCH(AH102,$J$101:$J$147,0))</f>
        <v>Brasil</v>
      </c>
      <c r="AB102" s="274"/>
      <c r="AC102" s="285"/>
      <c r="AD102" s="285"/>
      <c r="AE102" s="286"/>
      <c r="AF102" t="str" s="278" cm="1">
        <f t="array" ref="AF102">INDEX($N$101:$N$147,MATCH(AH102,$J$101:$J$147,0))</f>
        <v>2F</v>
      </c>
      <c r="AG102" s="115" cm="1">
        <f t="array" ref="AG102">IF(D102="W"&amp;AH102,0,1)</f>
        <v>0</v>
      </c>
      <c r="AH102" s="116">
        <v>76</v>
      </c>
      <c r="AI102" s="287">
        <v>1</v>
      </c>
      <c r="AJ102" s="288">
        <v>1</v>
      </c>
      <c r="AK102" s="289"/>
      <c r="AL102" t="str" s="290" cm="1">
        <f t="array" ref="AL102">IF($H$113&gt;=48,INDEX($BD$58:$BD$69,MATCH(AI102,$BN$58:$BN$69,0)),BB58)</f>
        <v>Corea del Sur</v>
      </c>
      <c r="AM102" s="291" cm="1">
        <f t="array" ref="AM102">IF($H$113&gt;=48,INDEX($BE$58:$BN$69,MATCH($AL102,$BD$58:$BD$69,0),MATCH(AM$5,$BE$57:$BN$57,0)),$BB58)</f>
        <v>9</v>
      </c>
      <c r="AN102" s="292" cm="1">
        <f t="array" ref="AN102">IF($H$113&gt;=48,INDEX($BE$58:$BN$69,MATCH($AL102,$BD$58:$BD$69,0),MATCH(AN$5,$BE$57:$BN$57,0)),$BB58)</f>
        <v>3</v>
      </c>
      <c r="AO102" s="292" cm="1">
        <f t="array" ref="AO102">IF($H$113&gt;=48,INDEX($BE$58:$BN$69,MATCH($AL102,$BD$58:$BD$69,0),MATCH(AO$5,$BE$57:$BN$57,0)),$BB58)</f>
        <v>3</v>
      </c>
      <c r="AP102" s="292" cm="1">
        <f t="array" ref="AP102">IF($H$113&gt;=48,INDEX($BE$58:$BN$69,MATCH($AL102,$BD$58:$BD$69,0),MATCH(AP$5,$BE$57:$BN$57,0)),$BB58)</f>
        <v>0</v>
      </c>
      <c r="AQ102" s="292" cm="1">
        <f t="array" ref="AQ102">IF($H$113&gt;=48,INDEX($BE$58:$BN$69,MATCH($AL102,$BD$58:$BD$69,0),MATCH(AQ$5,$BE$57:$BN$57,0)),$BB58)</f>
        <v>0</v>
      </c>
      <c r="AR102" s="292" cm="1">
        <f t="array" ref="AR102">IF($H$113&gt;=48,INDEX($BE$58:$BN$69,MATCH($AL102,$BD$58:$BD$69,0),MATCH(AR$5,$BE$57:$BN$57,0)),$BB58)</f>
        <v>5</v>
      </c>
      <c r="AS102" s="292" cm="1">
        <f t="array" ref="AS102">IF($H$113&gt;=48,INDEX($BE$58:$BN$69,MATCH($AL102,$BD$58:$BD$69,0),MATCH(AS$5,$BE$57:$BN$57,0)),$BB58)</f>
        <v>1</v>
      </c>
      <c r="AT102" s="293" cm="1">
        <f t="array" ref="AT102">IF($H$113&gt;=48,INDEX($BE$58:$BN$69,MATCH($AL102,$BD$58:$BD$69,0),MATCH(AT$5,$BE$57:$BN$57,0)),$BB58)</f>
        <v>4</v>
      </c>
      <c r="AU102" s="148" cm="1">
        <f t="array" ref="AU102">IF($H$113=144,INDEX($DL$58:$DL$69,MATCH(AI102,$DP$58:$DP$69,0)),"")</f>
        <v>1</v>
      </c>
      <c r="AV102" t="str" s="149" cm="1">
        <f t="array" ref="AV102">INDEX($BD$58:$BD$69,MATCH(AI102,$BM$58:$BM$69,0))</f>
        <v>Corea del Sur</v>
      </c>
      <c r="AW102" s="294"/>
      <c r="AX102" s="295"/>
      <c r="AY102" s="206"/>
      <c r="AZ102" s="207"/>
      <c r="BA102" s="8"/>
      <c r="BB102" s="87"/>
      <c r="BC102" s="87"/>
      <c r="BD102" s="87"/>
      <c r="BE102" t="s" s="296">
        <v>548</v>
      </c>
      <c r="BF102" t="s" s="296">
        <v>549</v>
      </c>
      <c r="BG102" t="s" s="296">
        <v>550</v>
      </c>
      <c r="BH102" s="87"/>
      <c r="BI102" t="s" s="296">
        <v>551</v>
      </c>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8"/>
      <c r="DU102" s="12"/>
    </row>
    <row r="103" ht="16" customHeight="1">
      <c r="A103" t="s" s="89">
        <v>272</v>
      </c>
      <c r="B103" t="s" s="89">
        <v>209</v>
      </c>
      <c r="C103" s="78"/>
      <c r="D103" t="str" s="78" cm="1">
        <f t="array" ref="D103">IF(AND(OR(AC103="",AD103="")),"W"&amp;AH103,IF(AC103&gt;AD103,AA103,IF(AC103&lt;AD103,AF103,IF(AND(AC103=AD103,AB103=AE103),"W"&amp;AH103,IF(AND(AC103=AD103,OR(AB103="",AE103="")),"W"&amp;AH103,IF(AND(AC103=AD103,AB103&gt;AE103),AA103,AF103))))))</f>
        <v>W74</v>
      </c>
      <c r="E103" t="s" s="89">
        <v>269</v>
      </c>
      <c r="F103" t="s" s="89">
        <v>200</v>
      </c>
      <c r="G103" t="s" s="89">
        <v>200</v>
      </c>
      <c r="H103" s="105" cm="1">
        <f t="array" ref="H103">SUMIF($BC$6:$BC$53,G103,$BF$6:$BF$53)</f>
        <v>12</v>
      </c>
      <c r="I103" s="78"/>
      <c r="J103" s="105">
        <v>75</v>
      </c>
      <c r="K103" s="105">
        <v>46202.75</v>
      </c>
      <c r="L103" t="s" s="89">
        <v>553</v>
      </c>
      <c r="M103" t="str" s="78" cm="1">
        <f t="array" ref="M103">IF(OR(INDEX($H$101:$H$113,MATCH(E103,$G$101:$G$113,0))=12,$AJ$99=144),INDEX($AL$6:$AL$97,MATCH(A103,$AI$6:$AI$97,0)),A103)</f>
        <v>Países Bajos</v>
      </c>
      <c r="N103" t="s" s="89">
        <v>209</v>
      </c>
      <c r="O103" s="78"/>
      <c r="P103" s="78"/>
      <c r="Q103" s="78"/>
      <c r="R103" s="78"/>
      <c r="S103" s="78"/>
      <c r="T103" s="78"/>
      <c r="U103" s="78"/>
      <c r="V103" s="90"/>
      <c r="W103" s="141"/>
      <c r="X103" s="107">
        <v>46202.6875</v>
      </c>
      <c r="Y103" s="108">
        <v>46202.6875</v>
      </c>
      <c r="Z103" s="272" cm="1">
        <f t="array" ref="Z103">AH103</f>
        <v>74</v>
      </c>
      <c r="AA103" t="str" s="273" cm="1">
        <f t="array" ref="AA103">INDEX($M$101:$M$147,MATCH(AH103,$J$101:$J$147,0))</f>
        <v>Alemania</v>
      </c>
      <c r="AB103" s="274"/>
      <c r="AC103" s="285"/>
      <c r="AD103" s="285"/>
      <c r="AE103" s="286"/>
      <c r="AF103" t="str" s="278" cm="1">
        <f t="array" ref="AF103">INDEX($N$101:$N$147,MATCH(AH103,$J$101:$J$147,0))</f>
        <v>3ABCDF</v>
      </c>
      <c r="AG103" s="115" cm="1">
        <f t="array" ref="AG103">IF(D103="W"&amp;AH103,0,1)</f>
        <v>0</v>
      </c>
      <c r="AH103" s="116">
        <v>74</v>
      </c>
      <c r="AI103" s="287">
        <v>2</v>
      </c>
      <c r="AJ103" s="155">
        <v>2</v>
      </c>
      <c r="AK103" s="225"/>
      <c r="AL103" t="str" s="157" cm="1">
        <f t="array" ref="AL103">IF($H$113&gt;=48,INDEX($BD$58:$BD$69,MATCH(AI103,$BN$58:$BN$69,0)),BB59)</f>
        <v>Austria</v>
      </c>
      <c r="AM103" s="297" cm="1">
        <f t="array" ref="AM103">IF($H$113&gt;=48,INDEX($BE$58:$BN$69,MATCH($AL103,$BD$58:$BD$69,0),MATCH(AM$5,$BE$57:$BN$57,0)),$BB59)</f>
        <v>6</v>
      </c>
      <c r="AN103" s="159" cm="1">
        <f t="array" ref="AN103">IF($H$113&gt;=48,INDEX($BE$58:$BN$69,MATCH($AL103,$BD$58:$BD$69,0),MATCH(AN$5,$BE$57:$BN$57,0)),$BB59)</f>
        <v>3</v>
      </c>
      <c r="AO103" s="159" cm="1">
        <f t="array" ref="AO103">IF($H$113&gt;=48,INDEX($BE$58:$BN$69,MATCH($AL103,$BD$58:$BD$69,0),MATCH(AO$5,$BE$57:$BN$57,0)),$BB59)</f>
        <v>2</v>
      </c>
      <c r="AP103" s="159" cm="1">
        <f t="array" ref="AP103">IF($H$113&gt;=48,INDEX($BE$58:$BN$69,MATCH($AL103,$BD$58:$BD$69,0),MATCH(AP$5,$BE$57:$BN$57,0)),$BB59)</f>
        <v>0</v>
      </c>
      <c r="AQ103" s="159" cm="1">
        <f t="array" ref="AQ103">IF($H$113&gt;=48,INDEX($BE$58:$BN$69,MATCH($AL103,$BD$58:$BD$69,0),MATCH(AQ$5,$BE$57:$BN$57,0)),$BB59)</f>
        <v>1</v>
      </c>
      <c r="AR103" s="159" cm="1">
        <f t="array" ref="AR103">IF($H$113&gt;=48,INDEX($BE$58:$BN$69,MATCH($AL103,$BD$58:$BD$69,0),MATCH(AR$5,$BE$57:$BN$57,0)),$BB59)</f>
        <v>4</v>
      </c>
      <c r="AS103" s="159" cm="1">
        <f t="array" ref="AS103">IF($H$113&gt;=48,INDEX($BE$58:$BN$69,MATCH($AL103,$BD$58:$BD$69,0),MATCH(AS$5,$BE$57:$BN$57,0)),$BB59)</f>
        <v>3</v>
      </c>
      <c r="AT103" s="160" cm="1">
        <f t="array" ref="AT103">IF($H$113&gt;=48,INDEX($BE$58:$BN$69,MATCH($AL103,$BD$58:$BD$69,0),MATCH(AT$5,$BE$57:$BN$57,0)),$BB59)</f>
        <v>1</v>
      </c>
      <c r="AU103" s="148" cm="1">
        <f t="array" ref="AU103">IF($H$113=144,INDEX($DL$58:$DL$69,MATCH(AI103,$DP$58:$DP$69,0)),"")</f>
        <v>1</v>
      </c>
      <c r="AV103" t="str" s="149" cm="1">
        <f t="array" ref="AV103">INDEX($BD$58:$BD$69,MATCH(AI103,$BM$58:$BM$69,0))</f>
        <v>Austria</v>
      </c>
      <c r="AW103" s="294"/>
      <c r="AX103" s="295"/>
      <c r="AY103" s="298"/>
      <c r="AZ103" t="str" s="299" cm="1">
        <f t="array" ref="AZ103">IF(OR($H$113&gt;=48,$AJ$99=144),BF117&amp;" - "&amp;BG117,"")</f>
        <v>1A - </v>
      </c>
      <c r="BA103" s="8"/>
      <c r="BB103" s="87"/>
      <c r="BC103" s="87"/>
      <c r="BD103" s="87"/>
      <c r="BE103" s="87"/>
      <c r="BF103" t="str" s="87" cm="1">
        <f t="array" ref="BF103">_xlfn.IFERROR(INDEX($BC$6:$BC$53,MATCH(AL102,$BD$6:$BD$53,0)),"")</f>
        <v>A</v>
      </c>
      <c r="BG103" s="300" cm="1">
        <f t="array" ref="BG103">COUNTIF($BF$103:$BF$110,"&lt;="&amp;BF103)</f>
        <v>1</v>
      </c>
      <c r="BH103" s="87"/>
      <c r="BI103" s="300">
        <v>1</v>
      </c>
      <c r="BJ103" t="str" s="87" cm="1">
        <f t="array" ref="BJ103">_xlfn.IFERROR(INDEX($BF$103:$BF$110,MATCH(BI103,$BG$103:$BG$110,0)),"Grupo")</f>
        <v>A</v>
      </c>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8"/>
      <c r="DU103" s="12"/>
    </row>
    <row r="104" ht="16" customHeight="1">
      <c r="A104" t="s" s="89">
        <v>203</v>
      </c>
      <c r="B104" t="s" s="89">
        <v>276</v>
      </c>
      <c r="C104" s="78"/>
      <c r="D104" t="str" s="78" cm="1">
        <f t="array" ref="D104">IF(AND(OR(AC104="",AD104="")),"W"&amp;AH104,IF(AC104&gt;AD104,AA104,IF(AC104&lt;AD104,AF104,IF(AND(AC104=AD104,AB104=AE104),"W"&amp;AH104,IF(AND(AC104=AD104,OR(AB104="",AE104="")),"W"&amp;AH104,IF(AND(AC104=AD104,AB104&gt;AE104),AA104,AF104))))))</f>
        <v>W75</v>
      </c>
      <c r="E104" t="s" s="89">
        <v>200</v>
      </c>
      <c r="F104" t="s" s="89">
        <v>269</v>
      </c>
      <c r="G104" t="s" s="89">
        <v>223</v>
      </c>
      <c r="H104" s="105" cm="1">
        <f t="array" ref="H104">SUMIF($BC$6:$BC$53,G104,$BF$6:$BF$53)</f>
        <v>12</v>
      </c>
      <c r="I104" s="78"/>
      <c r="J104" s="105">
        <v>76</v>
      </c>
      <c r="K104" s="105">
        <v>46202.75</v>
      </c>
      <c r="L104" t="s" s="89">
        <v>558</v>
      </c>
      <c r="M104" t="str" s="78" cm="1">
        <f t="array" ref="M104">IF(OR(INDEX($H$101:$H$113,MATCH(E104,$G$101:$G$113,0))=12,$AJ$99=144),INDEX($AL$6:$AL$97,MATCH(A104,$AI$6:$AI$97,0)),A104)</f>
        <v>Brasil</v>
      </c>
      <c r="N104" t="s" s="89">
        <v>276</v>
      </c>
      <c r="O104" s="78"/>
      <c r="P104" s="78"/>
      <c r="Q104" s="78"/>
      <c r="R104" s="78"/>
      <c r="S104" s="78"/>
      <c r="T104" s="78"/>
      <c r="U104" s="78"/>
      <c r="V104" s="90"/>
      <c r="W104" s="141"/>
      <c r="X104" s="107">
        <v>46202.875</v>
      </c>
      <c r="Y104" s="108">
        <v>46202.875</v>
      </c>
      <c r="Z104" s="272" cm="1">
        <f t="array" ref="Z104">AH104</f>
        <v>75</v>
      </c>
      <c r="AA104" t="str" s="273" cm="1">
        <f t="array" ref="AA104">INDEX($M$101:$M$147,MATCH(AH104,$J$101:$J$147,0))</f>
        <v>Países Bajos</v>
      </c>
      <c r="AB104" s="274"/>
      <c r="AC104" s="285"/>
      <c r="AD104" s="285"/>
      <c r="AE104" s="286"/>
      <c r="AF104" t="str" s="278" cm="1">
        <f t="array" ref="AF104">INDEX($N$101:$N$147,MATCH(AH104,$J$101:$J$147,0))</f>
        <v>2C</v>
      </c>
      <c r="AG104" s="115" cm="1">
        <f t="array" ref="AG104">IF(D104="W"&amp;AH104,0,1)</f>
        <v>0</v>
      </c>
      <c r="AH104" s="116">
        <v>75</v>
      </c>
      <c r="AI104" s="287">
        <v>3</v>
      </c>
      <c r="AJ104" s="155">
        <v>3</v>
      </c>
      <c r="AK104" s="225"/>
      <c r="AL104" t="str" s="157" cm="1">
        <f t="array" ref="AL104">IF($H$113&gt;=48,INDEX($BD$58:$BD$69,MATCH(AI104,$BN$58:$BN$69,0)),BB60)</f>
        <v>Catar</v>
      </c>
      <c r="AM104" s="297" cm="1">
        <f t="array" ref="AM104">IF($H$113&gt;=48,INDEX($BE$58:$BN$69,MATCH($AL104,$BD$58:$BD$69,0),MATCH(AM$5,$BE$57:$BN$57,0)),$BB60)</f>
        <v>5</v>
      </c>
      <c r="AN104" s="159" cm="1">
        <f t="array" ref="AN104">IF($H$113&gt;=48,INDEX($BE$58:$BN$69,MATCH($AL104,$BD$58:$BD$69,0),MATCH(AN$5,$BE$57:$BN$57,0)),$BB60)</f>
        <v>3</v>
      </c>
      <c r="AO104" s="159" cm="1">
        <f t="array" ref="AO104">IF($H$113&gt;=48,INDEX($BE$58:$BN$69,MATCH($AL104,$BD$58:$BD$69,0),MATCH(AO$5,$BE$57:$BN$57,0)),$BB60)</f>
        <v>1</v>
      </c>
      <c r="AP104" s="159" cm="1">
        <f t="array" ref="AP104">IF($H$113&gt;=48,INDEX($BE$58:$BN$69,MATCH($AL104,$BD$58:$BD$69,0),MATCH(AP$5,$BE$57:$BN$57,0)),$BB60)</f>
        <v>2</v>
      </c>
      <c r="AQ104" s="159" cm="1">
        <f t="array" ref="AQ104">IF($H$113&gt;=48,INDEX($BE$58:$BN$69,MATCH($AL104,$BD$58:$BD$69,0),MATCH(AQ$5,$BE$57:$BN$57,0)),$BB60)</f>
        <v>0</v>
      </c>
      <c r="AR104" s="159" cm="1">
        <f t="array" ref="AR104">IF($H$113&gt;=48,INDEX($BE$58:$BN$69,MATCH($AL104,$BD$58:$BD$69,0),MATCH(AR$5,$BE$57:$BN$57,0)),$BB60)</f>
        <v>4</v>
      </c>
      <c r="AS104" s="159" cm="1">
        <f t="array" ref="AS104">IF($H$113&gt;=48,INDEX($BE$58:$BN$69,MATCH($AL104,$BD$58:$BD$69,0),MATCH(AS$5,$BE$57:$BN$57,0)),$BB60)</f>
        <v>3</v>
      </c>
      <c r="AT104" s="160" cm="1">
        <f t="array" ref="AT104">IF($H$113&gt;=48,INDEX($BE$58:$BN$69,MATCH($AL104,$BD$58:$BD$69,0),MATCH(AT$5,$BE$57:$BN$57,0)),$BB60)</f>
        <v>1</v>
      </c>
      <c r="AU104" s="148" cm="1">
        <f t="array" ref="AU104">IF($H$113=144,INDEX($DL$58:$DL$69,MATCH(AI104,$DP$58:$DP$69,0)),"")</f>
        <v>1</v>
      </c>
      <c r="AV104" t="str" s="149" cm="1">
        <f t="array" ref="AV104">INDEX($BD$58:$BD$69,MATCH(AI104,$BM$58:$BM$69,0))</f>
        <v>Catar</v>
      </c>
      <c r="AW104" s="294"/>
      <c r="AX104" s="295"/>
      <c r="AY104" s="298"/>
      <c r="AZ104" t="str" s="299" cm="1">
        <f t="array" ref="AZ104">IF(OR($H$113&gt;=48,$AJ$99=144),BF118&amp;" - "&amp;BG118,"")</f>
        <v>1B - </v>
      </c>
      <c r="BA104" s="8"/>
      <c r="BB104" s="87"/>
      <c r="BC104" s="87"/>
      <c r="BD104" s="87"/>
      <c r="BE104" s="87"/>
      <c r="BF104" t="str" s="87" cm="1">
        <f t="array" ref="BF104">_xlfn.IFERROR(INDEX($BC$6:$BC$53,MATCH(AL103,$BD$6:$BD$53,0)),"")</f>
        <v>J</v>
      </c>
      <c r="BG104" s="300" cm="1">
        <f t="array" ref="BG104">COUNTIF($BF$103:$BF$110,"&lt;="&amp;BF104)</f>
        <v>7</v>
      </c>
      <c r="BH104" s="87"/>
      <c r="BI104" s="300">
        <v>2</v>
      </c>
      <c r="BJ104" t="str" s="87" cm="1">
        <f t="array" ref="BJ104">_xlfn.IFERROR(INDEX($BF$103:$BF$110,MATCH(BI104,$BG$103:$BG$110,0)),"Grupo")</f>
        <v>B</v>
      </c>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8"/>
      <c r="DU104" s="12"/>
    </row>
    <row r="105" ht="16" customHeight="1">
      <c r="A105" t="s" s="89">
        <v>342</v>
      </c>
      <c r="B105" t="s" s="89">
        <v>562</v>
      </c>
      <c r="C105" s="78"/>
      <c r="D105" t="str" s="78" cm="1">
        <f t="array" ref="D105">IF(AND(OR(AC105="",AD105="")),"W"&amp;AH105,IF(AC105&gt;AD105,AA105,IF(AC105&lt;AD105,AF105,IF(AND(AC105=AD105,AB105=AE105),"W"&amp;AH105,IF(AND(AC105=AD105,OR(AB105="",AE105="")),"W"&amp;AH105,IF(AND(AC105=AD105,AB105&gt;AE105),AA105,AF105))))))</f>
        <v>W78</v>
      </c>
      <c r="E105" t="s" s="89">
        <v>339</v>
      </c>
      <c r="F105" t="s" s="89">
        <v>545</v>
      </c>
      <c r="G105" t="s" s="89">
        <v>64</v>
      </c>
      <c r="H105" s="105" cm="1">
        <f t="array" ref="H105">SUMIF($BC$6:$BC$53,G105,$BF$6:$BF$53)</f>
        <v>12</v>
      </c>
      <c r="I105" s="78"/>
      <c r="J105" s="105">
        <v>77</v>
      </c>
      <c r="K105" s="105">
        <v>46203.75</v>
      </c>
      <c r="L105" t="s" s="89">
        <v>564</v>
      </c>
      <c r="M105" t="str" s="78" cm="1">
        <f t="array" ref="M105">IF(OR(INDEX($H$101:$H$113,MATCH(E105,$G$101:$G$113,0))=12,$AJ$99=144),INDEX($AL$6:$AL$97,MATCH(A105,$AI$6:$AI$97,0)),A105)</f>
        <v>Francia</v>
      </c>
      <c r="N105" t="s" s="89">
        <v>562</v>
      </c>
      <c r="O105" s="78"/>
      <c r="P105" s="78"/>
      <c r="Q105" s="78"/>
      <c r="R105" s="78"/>
      <c r="S105" s="78"/>
      <c r="T105" s="78"/>
      <c r="U105" s="78"/>
      <c r="V105" s="90"/>
      <c r="W105" s="141"/>
      <c r="X105" s="107">
        <v>46203.541666666657</v>
      </c>
      <c r="Y105" s="108">
        <v>46203.541666666657</v>
      </c>
      <c r="Z105" s="272" cm="1">
        <f t="array" ref="Z105">AH105</f>
        <v>78</v>
      </c>
      <c r="AA105" t="str" s="273" cm="1">
        <f t="array" ref="AA105">INDEX($M$101:$M$147,MATCH(AH105,$J$101:$J$147,0))</f>
        <v>Curazao</v>
      </c>
      <c r="AB105" s="274"/>
      <c r="AC105" s="285"/>
      <c r="AD105" s="285"/>
      <c r="AE105" s="286"/>
      <c r="AF105" t="str" s="278" cm="1">
        <f t="array" ref="AF105">INDEX($N$101:$N$147,MATCH(AH105,$J$101:$J$147,0))</f>
        <v>2I</v>
      </c>
      <c r="AG105" s="115" cm="1">
        <f t="array" ref="AG105">IF(D105="W"&amp;AH105,0,1)</f>
        <v>0</v>
      </c>
      <c r="AH105" s="116">
        <v>78</v>
      </c>
      <c r="AI105" s="287">
        <v>4</v>
      </c>
      <c r="AJ105" s="155">
        <v>4</v>
      </c>
      <c r="AK105" s="225"/>
      <c r="AL105" t="str" s="157" cm="1">
        <f t="array" ref="AL105">IF($H$113&gt;=48,INDEX($BD$58:$BD$69,MATCH(AI105,$BN$58:$BN$69,0)),BB61)</f>
        <v>Suecia</v>
      </c>
      <c r="AM105" s="297" cm="1">
        <f t="array" ref="AM105">IF($H$113&gt;=48,INDEX($BE$58:$BN$69,MATCH($AL105,$BD$58:$BD$69,0),MATCH(AM$5,$BE$57:$BN$57,0)),$BB61)</f>
        <v>4</v>
      </c>
      <c r="AN105" s="159" cm="1">
        <f t="array" ref="AN105">IF($H$113&gt;=48,INDEX($BE$58:$BN$69,MATCH($AL105,$BD$58:$BD$69,0),MATCH(AN$5,$BE$57:$BN$57,0)),$BB61)</f>
        <v>3</v>
      </c>
      <c r="AO105" s="159" cm="1">
        <f t="array" ref="AO105">IF($H$113&gt;=48,INDEX($BE$58:$BN$69,MATCH($AL105,$BD$58:$BD$69,0),MATCH(AO$5,$BE$57:$BN$57,0)),$BB61)</f>
        <v>1</v>
      </c>
      <c r="AP105" s="159" cm="1">
        <f t="array" ref="AP105">IF($H$113&gt;=48,INDEX($BE$58:$BN$69,MATCH($AL105,$BD$58:$BD$69,0),MATCH(AP$5,$BE$57:$BN$57,0)),$BB61)</f>
        <v>1</v>
      </c>
      <c r="AQ105" s="159" cm="1">
        <f t="array" ref="AQ105">IF($H$113&gt;=48,INDEX($BE$58:$BN$69,MATCH($AL105,$BD$58:$BD$69,0),MATCH(AQ$5,$BE$57:$BN$57,0)),$BB61)</f>
        <v>1</v>
      </c>
      <c r="AR105" s="159" cm="1">
        <f t="array" ref="AR105">IF($H$113&gt;=48,INDEX($BE$58:$BN$69,MATCH($AL105,$BD$58:$BD$69,0),MATCH(AR$5,$BE$57:$BN$57,0)),$BB61)</f>
        <v>4</v>
      </c>
      <c r="AS105" s="159" cm="1">
        <f t="array" ref="AS105">IF($H$113&gt;=48,INDEX($BE$58:$BN$69,MATCH($AL105,$BD$58:$BD$69,0),MATCH(AS$5,$BE$57:$BN$57,0)),$BB61)</f>
        <v>3</v>
      </c>
      <c r="AT105" s="160" cm="1">
        <f t="array" ref="AT105">IF($H$113&gt;=48,INDEX($BE$58:$BN$69,MATCH($AL105,$BD$58:$BD$69,0),MATCH(AT$5,$BE$57:$BN$57,0)),$BB61)</f>
        <v>1</v>
      </c>
      <c r="AU105" s="148" cm="1">
        <f t="array" ref="AU105">IF($H$113=144,INDEX($DL$58:$DL$69,MATCH(AI105,$DP$58:$DP$69,0)),"")</f>
        <v>1</v>
      </c>
      <c r="AV105" t="str" s="149" cm="1">
        <f t="array" ref="AV105">INDEX($BD$58:$BD$69,MATCH(AI105,$BM$58:$BM$69,0))</f>
        <v>Suecia</v>
      </c>
      <c r="AW105" s="294"/>
      <c r="AX105" s="295"/>
      <c r="AY105" s="298"/>
      <c r="AZ105" t="str" s="299" cm="1">
        <f t="array" ref="AZ105">IF(OR($H$113&gt;=48,$AJ$99=144),BF119&amp;" - "&amp;BG119,"")</f>
        <v>1D - </v>
      </c>
      <c r="BA105" s="8"/>
      <c r="BB105" s="87"/>
      <c r="BC105" s="87"/>
      <c r="BD105" s="87"/>
      <c r="BE105" s="87"/>
      <c r="BF105" t="str" s="87" cm="1">
        <f t="array" ref="BF105">_xlfn.IFERROR(INDEX($BC$6:$BC$53,MATCH(AL104,$BD$6:$BD$53,0)),"")</f>
        <v>B</v>
      </c>
      <c r="BG105" s="300" cm="1">
        <f t="array" ref="BG105">COUNTIF($BF$103:$BF$110,"&lt;="&amp;BF105)</f>
        <v>2</v>
      </c>
      <c r="BH105" s="87"/>
      <c r="BI105" s="300">
        <v>3</v>
      </c>
      <c r="BJ105" t="str" s="87" cm="1">
        <f t="array" ref="BJ105">_xlfn.IFERROR(INDEX($BF$103:$BF$110,MATCH(BI105,$BG$103:$BG$110,0)),"Grupo")</f>
        <v>E</v>
      </c>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8"/>
      <c r="DU105" s="12"/>
    </row>
    <row r="106" ht="16" customHeight="1">
      <c r="A106" t="s" s="89">
        <v>255</v>
      </c>
      <c r="B106" t="s" s="89">
        <v>348</v>
      </c>
      <c r="C106" s="78"/>
      <c r="D106" t="str" s="78" cm="1">
        <f t="array" ref="D106">IF(AND(OR(AC106="",AD106="")),"W"&amp;AH106,IF(AC106&gt;AD106,AA106,IF(AC106&lt;AD106,AF106,IF(AND(AC106=AD106,AB106=AE106),"W"&amp;AH106,IF(AND(AC106=AD106,OR(AB106="",AE106="")),"W"&amp;AH106,IF(AND(AC106=AD106,AB106&gt;AE106),AA106,AF106))))))</f>
        <v>W77</v>
      </c>
      <c r="E106" t="s" s="89">
        <v>64</v>
      </c>
      <c r="F106" t="s" s="89">
        <v>339</v>
      </c>
      <c r="G106" t="s" s="89">
        <v>269</v>
      </c>
      <c r="H106" s="105" cm="1">
        <f t="array" ref="H106">SUMIF($BC$6:$BC$53,G106,$BF$6:$BF$53)</f>
        <v>12</v>
      </c>
      <c r="I106" s="78"/>
      <c r="J106" s="105">
        <v>78</v>
      </c>
      <c r="K106" s="105">
        <v>46203.75</v>
      </c>
      <c r="L106" t="s" s="89">
        <v>568</v>
      </c>
      <c r="M106" t="str" s="78" cm="1">
        <f t="array" ref="M106">IF(OR(INDEX($H$101:$H$113,MATCH(E106,$G$101:$G$113,0))=12,$AJ$99=144),INDEX($AL$6:$AL$97,MATCH(A106,$AI$6:$AI$97,0)),A106)</f>
        <v>Curazao</v>
      </c>
      <c r="N106" t="s" s="89">
        <v>348</v>
      </c>
      <c r="O106" s="78"/>
      <c r="P106" s="78"/>
      <c r="Q106" s="78"/>
      <c r="R106" s="78"/>
      <c r="S106" s="78"/>
      <c r="T106" s="78"/>
      <c r="U106" s="78"/>
      <c r="V106" s="90"/>
      <c r="W106" s="141"/>
      <c r="X106" s="107">
        <v>46203.708333333343</v>
      </c>
      <c r="Y106" s="108">
        <v>46203.708333333343</v>
      </c>
      <c r="Z106" s="272" cm="1">
        <f t="array" ref="Z106">AH106</f>
        <v>77</v>
      </c>
      <c r="AA106" t="str" s="273" cm="1">
        <f t="array" ref="AA106">INDEX($M$101:$M$147,MATCH(AH106,$J$101:$J$147,0))</f>
        <v>Francia</v>
      </c>
      <c r="AB106" s="274"/>
      <c r="AC106" s="285"/>
      <c r="AD106" s="285"/>
      <c r="AE106" s="286"/>
      <c r="AF106" t="str" s="278" cm="1">
        <f t="array" ref="AF106">INDEX($N$101:$N$147,MATCH(AH106,$J$101:$J$147,0))</f>
        <v>3CDFGH</v>
      </c>
      <c r="AG106" s="115" cm="1">
        <f t="array" ref="AG106">IF(D106="W"&amp;AH106,0,1)</f>
        <v>0</v>
      </c>
      <c r="AH106" s="116">
        <v>77</v>
      </c>
      <c r="AI106" s="287">
        <v>5</v>
      </c>
      <c r="AJ106" s="155">
        <v>5</v>
      </c>
      <c r="AK106" s="225"/>
      <c r="AL106" t="str" s="157" cm="1">
        <f t="array" ref="AL106">IF($H$113&gt;=48,INDEX($BD$58:$BD$69,MATCH(AI106,$BN$58:$BN$69,0)),BB62)</f>
        <v>Ghana</v>
      </c>
      <c r="AM106" s="297" cm="1">
        <f t="array" ref="AM106">IF($H$113&gt;=48,INDEX($BE$58:$BN$69,MATCH($AL106,$BD$58:$BD$69,0),MATCH(AM$5,$BE$57:$BN$57,0)),$BB62)</f>
        <v>3</v>
      </c>
      <c r="AN106" s="159" cm="1">
        <f t="array" ref="AN106">IF($H$113&gt;=48,INDEX($BE$58:$BN$69,MATCH($AL106,$BD$58:$BD$69,0),MATCH(AN$5,$BE$57:$BN$57,0)),$BB62)</f>
        <v>3</v>
      </c>
      <c r="AO106" s="159" cm="1">
        <f t="array" ref="AO106">IF($H$113&gt;=48,INDEX($BE$58:$BN$69,MATCH($AL106,$BD$58:$BD$69,0),MATCH(AO$5,$BE$57:$BN$57,0)),$BB62)</f>
        <v>1</v>
      </c>
      <c r="AP106" s="159" cm="1">
        <f t="array" ref="AP106">IF($H$113&gt;=48,INDEX($BE$58:$BN$69,MATCH($AL106,$BD$58:$BD$69,0),MATCH(AP$5,$BE$57:$BN$57,0)),$BB62)</f>
        <v>0</v>
      </c>
      <c r="AQ106" s="159" cm="1">
        <f t="array" ref="AQ106">IF($H$113&gt;=48,INDEX($BE$58:$BN$69,MATCH($AL106,$BD$58:$BD$69,0),MATCH(AQ$5,$BE$57:$BN$57,0)),$BB62)</f>
        <v>2</v>
      </c>
      <c r="AR106" s="159" cm="1">
        <f t="array" ref="AR106">IF($H$113&gt;=48,INDEX($BE$58:$BN$69,MATCH($AL106,$BD$58:$BD$69,0),MATCH(AR$5,$BE$57:$BN$57,0)),$BB62)</f>
        <v>3</v>
      </c>
      <c r="AS106" s="159" cm="1">
        <f t="array" ref="AS106">IF($H$113&gt;=48,INDEX($BE$58:$BN$69,MATCH($AL106,$BD$58:$BD$69,0),MATCH(AS$5,$BE$57:$BN$57,0)),$BB62)</f>
        <v>4</v>
      </c>
      <c r="AT106" s="160" cm="1">
        <f t="array" ref="AT106">IF($H$113&gt;=48,INDEX($BE$58:$BN$69,MATCH($AL106,$BD$58:$BD$69,0),MATCH(AT$5,$BE$57:$BN$57,0)),$BB62)</f>
        <v>-1</v>
      </c>
      <c r="AU106" s="148" cm="1">
        <f t="array" ref="AU106">IF($H$113=144,INDEX($DL$58:$DL$69,MATCH(AI106,$DP$58:$DP$69,0)),"")</f>
        <v>1</v>
      </c>
      <c r="AV106" t="str" s="149" cm="1">
        <f t="array" ref="AV106">INDEX($BD$58:$BD$69,MATCH(AI106,$BM$58:$BM$69,0))</f>
        <v>Ghana</v>
      </c>
      <c r="AW106" s="294"/>
      <c r="AX106" s="295"/>
      <c r="AY106" s="298"/>
      <c r="AZ106" t="str" s="299" cm="1">
        <f t="array" ref="AZ106">IF(OR($H$113&gt;=48,$AJ$99=144),BF120&amp;" - "&amp;BG120,"")</f>
        <v>1E - </v>
      </c>
      <c r="BA106" s="8"/>
      <c r="BB106" s="87"/>
      <c r="BC106" s="87"/>
      <c r="BD106" s="87"/>
      <c r="BE106" s="87"/>
      <c r="BF106" t="str" s="87" cm="1">
        <f t="array" ref="BF106">_xlfn.IFERROR(INDEX($BC$6:$BC$53,MATCH(AL105,$BD$6:$BD$53,0)),"")</f>
        <v>F</v>
      </c>
      <c r="BG106" s="300" cm="1">
        <f t="array" ref="BG106">COUNTIF($BF$103:$BF$110,"&lt;="&amp;BF106)</f>
        <v>4</v>
      </c>
      <c r="BH106" s="87"/>
      <c r="BI106" s="300">
        <v>4</v>
      </c>
      <c r="BJ106" t="str" s="87" cm="1">
        <f t="array" ref="BJ106">_xlfn.IFERROR(INDEX($BF$103:$BF$110,MATCH(BI106,$BG$103:$BG$110,0)),"Grupo")</f>
        <v>F</v>
      </c>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8"/>
      <c r="DU106" s="12"/>
    </row>
    <row r="107" ht="16" customHeight="1">
      <c r="A107" t="s" s="89">
        <v>137</v>
      </c>
      <c r="B107" t="s" s="89">
        <v>572</v>
      </c>
      <c r="C107" s="78"/>
      <c r="D107" t="str" s="78" cm="1">
        <f t="array" ref="D107">IF(AND(OR(AC107="",AD107="")),"W"&amp;AH107,IF(AC107&gt;AD107,AA107,IF(AC107&lt;AD107,AF107,IF(AND(AC107=AD107,AB107=AE107),"W"&amp;AH107,IF(AND(AC107=AD107,OR(AB107="",AE107="")),"W"&amp;AH107,IF(AND(AC107=AD107,AB107&gt;AE107),AA107,AF107))))))</f>
        <v>W79</v>
      </c>
      <c r="E107" t="s" s="89">
        <v>46</v>
      </c>
      <c r="F107" t="s" s="89">
        <v>545</v>
      </c>
      <c r="G107" t="s" s="89">
        <v>63</v>
      </c>
      <c r="H107" s="105" cm="1">
        <f t="array" ref="H107">SUMIF($BC$6:$BC$53,G107,$BF$6:$BF$53)</f>
        <v>12</v>
      </c>
      <c r="I107" s="78"/>
      <c r="J107" s="105">
        <v>79</v>
      </c>
      <c r="K107" s="105">
        <v>46203.75</v>
      </c>
      <c r="L107" t="s" s="89">
        <v>574</v>
      </c>
      <c r="M107" t="str" s="78" cm="1">
        <f t="array" ref="M107">IF(OR(INDEX($H$101:$H$113,MATCH(E107,$G$101:$G$113,0))=12,$AJ$99=144),INDEX($AL$6:$AL$97,MATCH(A107,$AI$6:$AI$97,0)),A107)</f>
        <v>México</v>
      </c>
      <c r="N107" t="s" s="89">
        <v>572</v>
      </c>
      <c r="O107" s="78"/>
      <c r="P107" s="78"/>
      <c r="Q107" s="78"/>
      <c r="R107" s="78"/>
      <c r="S107" s="78"/>
      <c r="T107" s="78"/>
      <c r="U107" s="78"/>
      <c r="V107" s="90"/>
      <c r="W107" s="141"/>
      <c r="X107" s="107">
        <v>46203.875</v>
      </c>
      <c r="Y107" s="108">
        <v>46203.875</v>
      </c>
      <c r="Z107" s="272" cm="1">
        <f t="array" ref="Z107">AH107</f>
        <v>79</v>
      </c>
      <c r="AA107" t="str" s="273" cm="1">
        <f t="array" ref="AA107">INDEX($M$101:$M$147,MATCH(AH107,$J$101:$J$147,0))</f>
        <v>México</v>
      </c>
      <c r="AB107" s="274"/>
      <c r="AC107" s="285"/>
      <c r="AD107" s="285"/>
      <c r="AE107" s="286"/>
      <c r="AF107" t="str" s="278" cm="1">
        <f t="array" ref="AF107">INDEX($N$101:$N$147,MATCH(AH107,$J$101:$J$147,0))</f>
        <v>3CEFHI</v>
      </c>
      <c r="AG107" s="115" cm="1">
        <f t="array" ref="AG107">IF(D107="W"&amp;AH107,0,1)</f>
        <v>0</v>
      </c>
      <c r="AH107" s="116">
        <v>79</v>
      </c>
      <c r="AI107" s="287">
        <v>6</v>
      </c>
      <c r="AJ107" s="155">
        <v>6</v>
      </c>
      <c r="AK107" s="225"/>
      <c r="AL107" t="str" s="157" cm="1">
        <f t="array" ref="AL107">IF($H$113&gt;=48,INDEX($BD$58:$BD$69,MATCH(AI107,$BN$58:$BN$69,0)),BB63)</f>
        <v>Irán</v>
      </c>
      <c r="AM107" s="297" cm="1">
        <f t="array" ref="AM107">IF($H$113&gt;=48,INDEX($BE$58:$BN$69,MATCH($AL107,$BD$58:$BD$69,0),MATCH(AM$5,$BE$57:$BN$57,0)),$BB63)</f>
        <v>3</v>
      </c>
      <c r="AN107" s="159" cm="1">
        <f t="array" ref="AN107">IF($H$113&gt;=48,INDEX($BE$58:$BN$69,MATCH($AL107,$BD$58:$BD$69,0),MATCH(AN$5,$BE$57:$BN$57,0)),$BB63)</f>
        <v>3</v>
      </c>
      <c r="AO107" s="159" cm="1">
        <f t="array" ref="AO107">IF($H$113&gt;=48,INDEX($BE$58:$BN$69,MATCH($AL107,$BD$58:$BD$69,0),MATCH(AO$5,$BE$57:$BN$57,0)),$BB63)</f>
        <v>1</v>
      </c>
      <c r="AP107" s="159" cm="1">
        <f t="array" ref="AP107">IF($H$113&gt;=48,INDEX($BE$58:$BN$69,MATCH($AL107,$BD$58:$BD$69,0),MATCH(AP$5,$BE$57:$BN$57,0)),$BB63)</f>
        <v>0</v>
      </c>
      <c r="AQ107" s="159" cm="1">
        <f t="array" ref="AQ107">IF($H$113&gt;=48,INDEX($BE$58:$BN$69,MATCH($AL107,$BD$58:$BD$69,0),MATCH(AQ$5,$BE$57:$BN$57,0)),$BB63)</f>
        <v>2</v>
      </c>
      <c r="AR107" s="159" cm="1">
        <f t="array" ref="AR107">IF($H$113&gt;=48,INDEX($BE$58:$BN$69,MATCH($AL107,$BD$58:$BD$69,0),MATCH(AR$5,$BE$57:$BN$57,0)),$BB63)</f>
        <v>2</v>
      </c>
      <c r="AS107" s="159" cm="1">
        <f t="array" ref="AS107">IF($H$113&gt;=48,INDEX($BE$58:$BN$69,MATCH($AL107,$BD$58:$BD$69,0),MATCH(AS$5,$BE$57:$BN$57,0)),$BB63)</f>
        <v>3</v>
      </c>
      <c r="AT107" s="160" cm="1">
        <f t="array" ref="AT107">IF($H$113&gt;=48,INDEX($BE$58:$BN$69,MATCH($AL107,$BD$58:$BD$69,0),MATCH(AT$5,$BE$57:$BN$57,0)),$BB63)</f>
        <v>-1</v>
      </c>
      <c r="AU107" s="148" cm="1">
        <f t="array" ref="AU107">IF($H$113=144,INDEX($DL$58:$DL$69,MATCH(AI107,$DP$58:$DP$69,0)),"")</f>
        <v>1</v>
      </c>
      <c r="AV107" t="str" s="149" cm="1">
        <f t="array" ref="AV107">INDEX($BD$58:$BD$69,MATCH(AI107,$BM$58:$BM$69,0))</f>
        <v>Irán</v>
      </c>
      <c r="AW107" s="294"/>
      <c r="AX107" s="295"/>
      <c r="AY107" s="298"/>
      <c r="AZ107" t="str" s="299" cm="1">
        <f t="array" ref="AZ107">IF(OR($H$113&gt;=48,$AJ$99=144),BF121&amp;" - "&amp;BG121,"")</f>
        <v>1G - </v>
      </c>
      <c r="BA107" s="8"/>
      <c r="BB107" s="87"/>
      <c r="BC107" s="87"/>
      <c r="BD107" s="87"/>
      <c r="BE107" s="87"/>
      <c r="BF107" t="str" s="87" cm="1">
        <f t="array" ref="BF107">_xlfn.IFERROR(INDEX($BC$6:$BC$53,MATCH(AL106,$BD$6:$BD$53,0)),"")</f>
        <v>L</v>
      </c>
      <c r="BG107" s="300" cm="1">
        <f t="array" ref="BG107">COUNTIF($BF$103:$BF$110,"&lt;="&amp;BF107)</f>
        <v>8</v>
      </c>
      <c r="BH107" s="87"/>
      <c r="BI107" s="300">
        <v>5</v>
      </c>
      <c r="BJ107" t="str" s="87" cm="1">
        <f t="array" ref="BJ107">_xlfn.IFERROR(INDEX($BF$103:$BF$110,MATCH(BI107,$BG$103:$BG$110,0)),"Grupo")</f>
        <v>G</v>
      </c>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8"/>
      <c r="DU107" s="12"/>
    </row>
    <row r="108" ht="16" customHeight="1">
      <c r="A108" t="s" s="89">
        <v>411</v>
      </c>
      <c r="B108" t="s" s="89">
        <v>578</v>
      </c>
      <c r="C108" s="78"/>
      <c r="D108" t="str" s="78" cm="1">
        <f t="array" ref="D108">IF(AND(OR(AC108="",AD108="")),"W"&amp;AH108,IF(AC108&gt;AD108,AA108,IF(AC108&lt;AD108,AF108,IF(AND(AC108=AD108,AB108=AE108),"W"&amp;AH108,IF(AND(AC108=AD108,OR(AB108="",AE108="")),"W"&amp;AH108,IF(AND(AC108=AD108,AB108&gt;AE108),AA108,AF108))))))</f>
        <v>W80</v>
      </c>
      <c r="E108" t="s" s="89">
        <v>408</v>
      </c>
      <c r="F108" t="s" s="89">
        <v>545</v>
      </c>
      <c r="G108" t="s" s="89">
        <v>315</v>
      </c>
      <c r="H108" s="105" cm="1">
        <f t="array" ref="H108">SUMIF($BC$6:$BC$53,G108,$BF$6:$BF$53)</f>
        <v>12</v>
      </c>
      <c r="I108" s="78"/>
      <c r="J108" s="105">
        <v>80</v>
      </c>
      <c r="K108" s="105">
        <v>46204.75</v>
      </c>
      <c r="L108" t="s" s="89">
        <v>580</v>
      </c>
      <c r="M108" t="str" s="78" cm="1">
        <f t="array" ref="M108">IF(OR(INDEX($H$101:$H$113,MATCH(E108,$G$101:$G$113,0))=12,$AJ$99=144),INDEX($AL$6:$AL$97,MATCH(A108,$AI$6:$AI$97,0)),A108)</f>
        <v>Inglaterra</v>
      </c>
      <c r="N108" t="s" s="89">
        <v>578</v>
      </c>
      <c r="O108" s="78"/>
      <c r="P108" s="78"/>
      <c r="Q108" s="78"/>
      <c r="R108" s="78"/>
      <c r="S108" s="78"/>
      <c r="T108" s="78"/>
      <c r="U108" s="78"/>
      <c r="V108" s="90"/>
      <c r="W108" s="141"/>
      <c r="X108" s="107">
        <v>46204.5</v>
      </c>
      <c r="Y108" s="108">
        <v>46204.5</v>
      </c>
      <c r="Z108" s="272" cm="1">
        <f t="array" ref="Z108">AH108</f>
        <v>80</v>
      </c>
      <c r="AA108" t="str" s="273" cm="1">
        <f t="array" ref="AA108">INDEX($M$101:$M$147,MATCH(AH108,$J$101:$J$147,0))</f>
        <v>Inglaterra</v>
      </c>
      <c r="AB108" s="274"/>
      <c r="AC108" s="285"/>
      <c r="AD108" s="285"/>
      <c r="AE108" s="286"/>
      <c r="AF108" t="str" s="278" cm="1">
        <f t="array" ref="AF108">INDEX($N$101:$N$147,MATCH(AH108,$J$101:$J$147,0))</f>
        <v>3EHIJK</v>
      </c>
      <c r="AG108" s="115" cm="1">
        <f t="array" ref="AG108">IF(D108="W"&amp;AH108,0,1)</f>
        <v>0</v>
      </c>
      <c r="AH108" s="116">
        <v>80</v>
      </c>
      <c r="AI108" s="287">
        <v>7</v>
      </c>
      <c r="AJ108" s="155">
        <v>7</v>
      </c>
      <c r="AK108" s="225"/>
      <c r="AL108" t="str" s="157" cm="1">
        <f t="array" ref="AL108">IF($H$113&gt;=48,INDEX($BD$58:$BD$69,MATCH(AI108,$BN$58:$BN$69,0)),BB64)</f>
        <v>Costa de Marfil</v>
      </c>
      <c r="AM108" s="297" cm="1">
        <f t="array" ref="AM108">IF($H$113&gt;=48,INDEX($BE$58:$BN$69,MATCH($AL108,$BD$58:$BD$69,0),MATCH(AM$5,$BE$57:$BN$57,0)),$BB64)</f>
        <v>3</v>
      </c>
      <c r="AN108" s="159" cm="1">
        <f t="array" ref="AN108">IF($H$113&gt;=48,INDEX($BE$58:$BN$69,MATCH($AL108,$BD$58:$BD$69,0),MATCH(AN$5,$BE$57:$BN$57,0)),$BB64)</f>
        <v>3</v>
      </c>
      <c r="AO108" s="159" cm="1">
        <f t="array" ref="AO108">IF($H$113&gt;=48,INDEX($BE$58:$BN$69,MATCH($AL108,$BD$58:$BD$69,0),MATCH(AO$5,$BE$57:$BN$57,0)),$BB64)</f>
        <v>1</v>
      </c>
      <c r="AP108" s="159" cm="1">
        <f t="array" ref="AP108">IF($H$113&gt;=48,INDEX($BE$58:$BN$69,MATCH($AL108,$BD$58:$BD$69,0),MATCH(AP$5,$BE$57:$BN$57,0)),$BB64)</f>
        <v>0</v>
      </c>
      <c r="AQ108" s="159" cm="1">
        <f t="array" ref="AQ108">IF($H$113&gt;=48,INDEX($BE$58:$BN$69,MATCH($AL108,$BD$58:$BD$69,0),MATCH(AQ$5,$BE$57:$BN$57,0)),$BB64)</f>
        <v>2</v>
      </c>
      <c r="AR108" s="159" cm="1">
        <f t="array" ref="AR108">IF($H$113&gt;=48,INDEX($BE$58:$BN$69,MATCH($AL108,$BD$58:$BD$69,0),MATCH(AR$5,$BE$57:$BN$57,0)),$BB64)</f>
        <v>4</v>
      </c>
      <c r="AS108" s="159" cm="1">
        <f t="array" ref="AS108">IF($H$113&gt;=48,INDEX($BE$58:$BN$69,MATCH($AL108,$BD$58:$BD$69,0),MATCH(AS$5,$BE$57:$BN$57,0)),$BB64)</f>
        <v>6</v>
      </c>
      <c r="AT108" s="160" cm="1">
        <f t="array" ref="AT108">IF($H$113&gt;=48,INDEX($BE$58:$BN$69,MATCH($AL108,$BD$58:$BD$69,0),MATCH(AT$5,$BE$57:$BN$57,0)),$BB64)</f>
        <v>-2</v>
      </c>
      <c r="AU108" s="148" cm="1">
        <f t="array" ref="AU108">IF($H$113=144,INDEX($DL$58:$DL$69,MATCH(AI108,$DP$58:$DP$69,0)),"")</f>
        <v>1</v>
      </c>
      <c r="AV108" t="str" s="149" cm="1">
        <f t="array" ref="AV108">INDEX($BD$58:$BD$69,MATCH(AI108,$BM$58:$BM$69,0))</f>
        <v>Costa de Marfil</v>
      </c>
      <c r="AW108" s="294"/>
      <c r="AX108" s="295"/>
      <c r="AY108" s="298"/>
      <c r="AZ108" t="str" s="299" cm="1">
        <f t="array" ref="AZ108">IF(OR($H$113&gt;=48,$AJ$99=144),BF122&amp;" - "&amp;BG122,"")</f>
        <v>1I - </v>
      </c>
      <c r="BA108" s="8"/>
      <c r="BB108" s="87"/>
      <c r="BC108" s="87"/>
      <c r="BD108" s="87"/>
      <c r="BE108" s="87"/>
      <c r="BF108" t="str" s="87" cm="1">
        <f t="array" ref="BF108">_xlfn.IFERROR(INDEX($BC$6:$BC$53,MATCH(AL107,$BD$6:$BD$53,0)),"")</f>
        <v>G</v>
      </c>
      <c r="BG108" s="300" cm="1">
        <f t="array" ref="BG108">COUNTIF($BF$103:$BF$110,"&lt;="&amp;BF108)</f>
        <v>5</v>
      </c>
      <c r="BH108" s="87"/>
      <c r="BI108" s="300">
        <v>6</v>
      </c>
      <c r="BJ108" t="str" s="87" cm="1">
        <f t="array" ref="BJ108">_xlfn.IFERROR(INDEX($BF$103:$BF$110,MATCH(BI108,$BG$103:$BG$110,0)),"Grupo")</f>
        <v>H</v>
      </c>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8"/>
      <c r="DU108" s="12"/>
    </row>
    <row r="109" ht="16" customHeight="1">
      <c r="A109" t="s" s="89">
        <v>226</v>
      </c>
      <c r="B109" t="s" s="89">
        <v>584</v>
      </c>
      <c r="C109" s="78"/>
      <c r="D109" t="str" s="78" cm="1">
        <f t="array" ref="D109">IF(AND(OR(AC109="",AD109="")),"W"&amp;AH109,IF(AC109&gt;AD109,AA109,IF(AC109&lt;AD109,AF109,IF(AND(AC109=AD109,AB109=AE109),"W"&amp;AH109,IF(AND(AC109=AD109,OR(AB109="",AE109="")),"W"&amp;AH109,IF(AND(AC109=AD109,AB109&gt;AE109),AA109,AF109))))))</f>
        <v>W82</v>
      </c>
      <c r="E109" t="s" s="89">
        <v>223</v>
      </c>
      <c r="F109" t="s" s="89">
        <v>545</v>
      </c>
      <c r="G109" t="s" s="89">
        <v>339</v>
      </c>
      <c r="H109" s="105" cm="1">
        <f t="array" ref="H109">SUMIF($BC$6:$BC$53,G109,$BF$6:$BF$53)</f>
        <v>12</v>
      </c>
      <c r="I109" s="78"/>
      <c r="J109" s="105">
        <v>81</v>
      </c>
      <c r="K109" s="105">
        <v>46204.75</v>
      </c>
      <c r="L109" t="s" s="89">
        <v>586</v>
      </c>
      <c r="M109" t="str" s="78" cm="1">
        <f t="array" ref="M109">IF(OR(INDEX($H$101:$H$113,MATCH(E109,$G$101:$G$113,0))=12,$AJ$99=144),INDEX($AL$6:$AL$97,MATCH(A109,$AI$6:$AI$97,0)),A109)</f>
        <v>Estados Unidos</v>
      </c>
      <c r="N109" t="s" s="89">
        <v>584</v>
      </c>
      <c r="O109" s="78"/>
      <c r="P109" s="78"/>
      <c r="Q109" s="78"/>
      <c r="R109" s="78"/>
      <c r="S109" s="78"/>
      <c r="T109" s="78"/>
      <c r="U109" s="78"/>
      <c r="V109" s="90"/>
      <c r="W109" s="141"/>
      <c r="X109" s="107">
        <v>46204.666666666657</v>
      </c>
      <c r="Y109" s="108">
        <v>46204.666666666657</v>
      </c>
      <c r="Z109" s="272" cm="1">
        <f t="array" ref="Z109">AH109</f>
        <v>82</v>
      </c>
      <c r="AA109" t="str" s="273" cm="1">
        <f t="array" ref="AA109">INDEX($M$101:$M$147,MATCH(AH109,$J$101:$J$147,0))</f>
        <v>Bélgica</v>
      </c>
      <c r="AB109" s="274"/>
      <c r="AC109" s="285"/>
      <c r="AD109" s="285"/>
      <c r="AE109" s="286"/>
      <c r="AF109" t="str" s="278" cm="1">
        <f t="array" ref="AF109">INDEX($N$101:$N$147,MATCH(AH109,$J$101:$J$147,0))</f>
        <v>3AEHIJ</v>
      </c>
      <c r="AG109" s="115" cm="1">
        <f t="array" ref="AG109">IF(D109="W"&amp;AH109,0,1)</f>
        <v>0</v>
      </c>
      <c r="AH109" s="116">
        <v>82</v>
      </c>
      <c r="AI109" s="287">
        <v>8</v>
      </c>
      <c r="AJ109" s="155">
        <v>8</v>
      </c>
      <c r="AK109" s="225"/>
      <c r="AL109" t="str" s="157" cm="1">
        <f t="array" ref="AL109">IF($H$113&gt;=48,INDEX($BD$58:$BD$69,MATCH(AI109,$BN$58:$BN$69,0)),BB65)</f>
        <v>Arabia Saudita</v>
      </c>
      <c r="AM109" s="297" cm="1">
        <f t="array" ref="AM109">IF($H$113&gt;=48,INDEX($BE$58:$BN$69,MATCH($AL109,$BD$58:$BD$69,0),MATCH(AM$5,$BE$57:$BN$57,0)),$BB65)</f>
        <v>3</v>
      </c>
      <c r="AN109" s="159" cm="1">
        <f t="array" ref="AN109">IF($H$113&gt;=48,INDEX($BE$58:$BN$69,MATCH($AL109,$BD$58:$BD$69,0),MATCH(AN$5,$BE$57:$BN$57,0)),$BB65)</f>
        <v>3</v>
      </c>
      <c r="AO109" s="159" cm="1">
        <f t="array" ref="AO109">IF($H$113&gt;=48,INDEX($BE$58:$BN$69,MATCH($AL109,$BD$58:$BD$69,0),MATCH(AO$5,$BE$57:$BN$57,0)),$BB65)</f>
        <v>1</v>
      </c>
      <c r="AP109" s="159" cm="1">
        <f t="array" ref="AP109">IF($H$113&gt;=48,INDEX($BE$58:$BN$69,MATCH($AL109,$BD$58:$BD$69,0),MATCH(AP$5,$BE$57:$BN$57,0)),$BB65)</f>
        <v>0</v>
      </c>
      <c r="AQ109" s="159" cm="1">
        <f t="array" ref="AQ109">IF($H$113&gt;=48,INDEX($BE$58:$BN$69,MATCH($AL109,$BD$58:$BD$69,0),MATCH(AQ$5,$BE$57:$BN$57,0)),$BB65)</f>
        <v>2</v>
      </c>
      <c r="AR109" s="159" cm="1">
        <f t="array" ref="AR109">IF($H$113&gt;=48,INDEX($BE$58:$BN$69,MATCH($AL109,$BD$58:$BD$69,0),MATCH(AR$5,$BE$57:$BN$57,0)),$BB65)</f>
        <v>3</v>
      </c>
      <c r="AS109" s="159" cm="1">
        <f t="array" ref="AS109">IF($H$113&gt;=48,INDEX($BE$58:$BN$69,MATCH($AL109,$BD$58:$BD$69,0),MATCH(AS$5,$BE$57:$BN$57,0)),$BB65)</f>
        <v>5</v>
      </c>
      <c r="AT109" s="160" cm="1">
        <f t="array" ref="AT109">IF($H$113&gt;=48,INDEX($BE$58:$BN$69,MATCH($AL109,$BD$58:$BD$69,0),MATCH(AT$5,$BE$57:$BN$57,0)),$BB65)</f>
        <v>-2</v>
      </c>
      <c r="AU109" s="148" cm="1">
        <f t="array" ref="AU109">IF($H$113=144,INDEX($DL$58:$DL$69,MATCH(AI109,$DP$58:$DP$69,0)),"")</f>
        <v>1</v>
      </c>
      <c r="AV109" t="str" s="149" cm="1">
        <f t="array" ref="AV109">INDEX($BD$58:$BD$69,MATCH(AI109,$BM$58:$BM$69,0))</f>
        <v>Arabia Saudita</v>
      </c>
      <c r="AW109" s="294"/>
      <c r="AX109" s="295"/>
      <c r="AY109" s="298"/>
      <c r="AZ109" t="str" s="299" cm="1">
        <f t="array" ref="AZ109">IF(OR($H$113&gt;=48,$AJ$99=144),BF123&amp;" - "&amp;BG123,"")</f>
        <v>1K - </v>
      </c>
      <c r="BA109" s="8"/>
      <c r="BB109" s="87"/>
      <c r="BC109" s="87"/>
      <c r="BD109" s="87"/>
      <c r="BE109" s="87"/>
      <c r="BF109" t="str" s="87" cm="1">
        <f t="array" ref="BF109">_xlfn.IFERROR(INDEX($BC$6:$BC$53,MATCH(AL108,$BD$6:$BD$53,0)),"")</f>
        <v>E</v>
      </c>
      <c r="BG109" s="300" cm="1">
        <f t="array" ref="BG109">COUNTIF($BF$103:$BF$110,"&lt;="&amp;BF109)</f>
        <v>3</v>
      </c>
      <c r="BH109" s="87"/>
      <c r="BI109" s="300">
        <v>7</v>
      </c>
      <c r="BJ109" t="str" s="87" cm="1">
        <f t="array" ref="BJ109">_xlfn.IFERROR(INDEX($BF$103:$BF$110,MATCH(BI109,$BG$103:$BG$110,0)),"Grupo")</f>
        <v>J</v>
      </c>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8"/>
      <c r="DU109" s="12"/>
    </row>
    <row r="110" ht="16" customHeight="1">
      <c r="A110" t="s" s="89">
        <v>295</v>
      </c>
      <c r="B110" t="s" s="89">
        <v>589</v>
      </c>
      <c r="C110" s="78"/>
      <c r="D110" t="str" s="78" cm="1">
        <f t="array" ref="D110">IF(AND(OR(AC110="",AD110="")),"W"&amp;AH110,IF(AC110&gt;AD110,AA110,IF(AC110&lt;AD110,AF110,IF(AND(AC110=AD110,AB110=AE110),"W"&amp;AH110,IF(AND(AC110=AD110,OR(AB110="",AE110="")),"W"&amp;AH110,IF(AND(AC110=AD110,AB110&gt;AE110),AA110,AF110))))))</f>
        <v>W81</v>
      </c>
      <c r="E110" t="s" s="89">
        <v>63</v>
      </c>
      <c r="F110" t="s" s="89">
        <v>545</v>
      </c>
      <c r="G110" t="s" s="89">
        <v>62</v>
      </c>
      <c r="H110" s="105" cm="1">
        <f t="array" ref="H110">SUMIF($BC$6:$BC$53,G110,$BF$6:$BF$53)</f>
        <v>12</v>
      </c>
      <c r="I110" s="78"/>
      <c r="J110" s="105">
        <v>82</v>
      </c>
      <c r="K110" s="105">
        <v>46204.75</v>
      </c>
      <c r="L110" t="s" s="89">
        <v>591</v>
      </c>
      <c r="M110" t="str" s="78" cm="1">
        <f t="array" ref="M110">IF(OR(INDEX($H$101:$H$113,MATCH(E110,$G$101:$G$113,0))=12,$AJ$99=144),INDEX($AL$6:$AL$97,MATCH(A110,$AI$6:$AI$97,0)),A110)</f>
        <v>Bélgica</v>
      </c>
      <c r="N110" t="s" s="89">
        <v>589</v>
      </c>
      <c r="O110" s="78"/>
      <c r="P110" s="78"/>
      <c r="Q110" s="78"/>
      <c r="R110" s="78"/>
      <c r="S110" s="78"/>
      <c r="T110" s="78"/>
      <c r="U110" s="78"/>
      <c r="V110" s="90"/>
      <c r="W110" s="141"/>
      <c r="X110" s="107">
        <v>46204.833333333343</v>
      </c>
      <c r="Y110" s="108">
        <v>46204.833333333343</v>
      </c>
      <c r="Z110" s="272" cm="1">
        <f t="array" ref="Z110">AH110</f>
        <v>81</v>
      </c>
      <c r="AA110" t="str" s="273" cm="1">
        <f t="array" ref="AA110">INDEX($M$101:$M$147,MATCH(AH110,$J$101:$J$147,0))</f>
        <v>Estados Unidos</v>
      </c>
      <c r="AB110" s="274"/>
      <c r="AC110" s="285"/>
      <c r="AD110" s="285"/>
      <c r="AE110" s="286"/>
      <c r="AF110" t="str" s="278" cm="1">
        <f t="array" ref="AF110">INDEX($N$101:$N$147,MATCH(AH110,$J$101:$J$147,0))</f>
        <v>3BEFIJ</v>
      </c>
      <c r="AG110" s="115" cm="1">
        <f t="array" ref="AG110">IF(D110="W"&amp;AH110,0,1)</f>
        <v>0</v>
      </c>
      <c r="AH110" s="116">
        <v>81</v>
      </c>
      <c r="AI110" s="287">
        <v>9</v>
      </c>
      <c r="AJ110" s="155">
        <v>9</v>
      </c>
      <c r="AK110" s="225"/>
      <c r="AL110" t="str" s="157" cm="1">
        <f t="array" ref="AL110">IF($H$113&gt;=48,INDEX($BD$58:$BD$69,MATCH(AI110,$BN$58:$BN$69,0)),BB66)</f>
        <v>Uzbekistán</v>
      </c>
      <c r="AM110" s="297" cm="1">
        <f t="array" ref="AM110">IF($H$113&gt;=48,INDEX($BE$58:$BN$69,MATCH($AL110,$BD$58:$BD$69,0),MATCH(AM$5,$BE$57:$BN$57,0)),$BB66)</f>
        <v>1</v>
      </c>
      <c r="AN110" s="159" cm="1">
        <f t="array" ref="AN110">IF($H$113&gt;=48,INDEX($BE$58:$BN$69,MATCH($AL110,$BD$58:$BD$69,0),MATCH(AN$5,$BE$57:$BN$57,0)),$BB66)</f>
        <v>3</v>
      </c>
      <c r="AO110" s="159" cm="1">
        <f t="array" ref="AO110">IF($H$113&gt;=48,INDEX($BE$58:$BN$69,MATCH($AL110,$BD$58:$BD$69,0),MATCH(AO$5,$BE$57:$BN$57,0)),$BB66)</f>
        <v>0</v>
      </c>
      <c r="AP110" s="159" cm="1">
        <f t="array" ref="AP110">IF($H$113&gt;=48,INDEX($BE$58:$BN$69,MATCH($AL110,$BD$58:$BD$69,0),MATCH(AP$5,$BE$57:$BN$57,0)),$BB66)</f>
        <v>1</v>
      </c>
      <c r="AQ110" s="159" cm="1">
        <f t="array" ref="AQ110">IF($H$113&gt;=48,INDEX($BE$58:$BN$69,MATCH($AL110,$BD$58:$BD$69,0),MATCH(AQ$5,$BE$57:$BN$57,0)),$BB66)</f>
        <v>2</v>
      </c>
      <c r="AR110" s="159" cm="1">
        <f t="array" ref="AR110">IF($H$113&gt;=48,INDEX($BE$58:$BN$69,MATCH($AL110,$BD$58:$BD$69,0),MATCH(AR$5,$BE$57:$BN$57,0)),$BB66)</f>
        <v>1</v>
      </c>
      <c r="AS110" s="159" cm="1">
        <f t="array" ref="AS110">IF($H$113&gt;=48,INDEX($BE$58:$BN$69,MATCH($AL110,$BD$58:$BD$69,0),MATCH(AS$5,$BE$57:$BN$57,0)),$BB66)</f>
        <v>3</v>
      </c>
      <c r="AT110" s="160" cm="1">
        <f t="array" ref="AT110">IF($H$113&gt;=48,INDEX($BE$58:$BN$69,MATCH($AL110,$BD$58:$BD$69,0),MATCH(AT$5,$BE$57:$BN$57,0)),$BB66)</f>
        <v>-2</v>
      </c>
      <c r="AU110" s="148" cm="1">
        <f t="array" ref="AU110">IF($H$113=144,INDEX($DL$58:$DL$69,MATCH(AI110,$DP$58:$DP$69,0)),"")</f>
        <v>1</v>
      </c>
      <c r="AV110" t="str" s="149" cm="1">
        <f t="array" ref="AV110">INDEX($BD$58:$BD$69,MATCH(AI110,$BM$58:$BM$69,0))</f>
        <v>Uzbekistán</v>
      </c>
      <c r="AW110" s="294"/>
      <c r="AX110" s="295"/>
      <c r="AY110" s="298"/>
      <c r="AZ110" t="str" s="299" cm="1">
        <f t="array" ref="AZ110">IF(OR($H$113&gt;=48,$AJ$99=144),BF124&amp;" - "&amp;BG124,"")</f>
        <v>1L - </v>
      </c>
      <c r="BA110" s="8"/>
      <c r="BB110" s="87"/>
      <c r="BC110" s="87"/>
      <c r="BD110" s="87"/>
      <c r="BE110" s="87"/>
      <c r="BF110" t="str" s="87" cm="1">
        <f t="array" ref="BF110">_xlfn.IFERROR(INDEX($BC$6:$BC$53,MATCH(AL109,$BD$6:$BD$53,0)),"")</f>
        <v>H</v>
      </c>
      <c r="BG110" s="300" cm="1">
        <f t="array" ref="BG110">COUNTIF($BF$103:$BF$110,"&lt;="&amp;BF110)</f>
        <v>6</v>
      </c>
      <c r="BH110" s="87"/>
      <c r="BI110" s="300">
        <v>8</v>
      </c>
      <c r="BJ110" t="str" s="87" cm="1">
        <f t="array" ref="BJ110">_xlfn.IFERROR(INDEX($BF$103:$BF$110,MATCH(BI110,$BG$103:$BG$110,0)),"Grupo")</f>
        <v>L</v>
      </c>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8"/>
      <c r="DU110" s="12"/>
    </row>
    <row r="111" ht="16" customHeight="1">
      <c r="A111" t="s" s="89">
        <v>394</v>
      </c>
      <c r="B111" t="s" s="89">
        <v>415</v>
      </c>
      <c r="C111" s="78"/>
      <c r="D111" t="str" s="78" cm="1">
        <f t="array" ref="D111">IF(AND(OR(AC111="",AD111="")),"W"&amp;AH111,IF(AC111&gt;AD111,AA111,IF(AC111&lt;AD111,AF111,IF(AND(AC111=AD111,AB111=AE111),"W"&amp;AH111,IF(AND(AC111=AD111,OR(AB111="",AE111="")),"W"&amp;AH111,IF(AND(AC111=AD111,AB111&gt;AE111),AA111,AF111))))))</f>
        <v>W84</v>
      </c>
      <c r="E111" t="s" s="89">
        <v>385</v>
      </c>
      <c r="F111" t="s" s="89">
        <v>408</v>
      </c>
      <c r="G111" t="s" s="89">
        <v>385</v>
      </c>
      <c r="H111" s="105" cm="1">
        <f t="array" ref="H111">SUMIF($BC$6:$BC$53,G111,$BF$6:$BF$53)</f>
        <v>12</v>
      </c>
      <c r="I111" s="78"/>
      <c r="J111" s="105">
        <v>83</v>
      </c>
      <c r="K111" s="105">
        <v>46205.75</v>
      </c>
      <c r="L111" t="s" s="89">
        <v>595</v>
      </c>
      <c r="M111" t="str" s="78" cm="1">
        <f t="array" ref="M111">IF(OR(INDEX($H$101:$H$113,MATCH(E111,$G$101:$G$113,0))=12,$AJ$99=144),INDEX($AL$6:$AL$97,MATCH(A111,$AI$6:$AI$97,0)),A111)</f>
        <v>RD Congo</v>
      </c>
      <c r="N111" t="s" s="89">
        <v>415</v>
      </c>
      <c r="O111" s="78"/>
      <c r="P111" s="78"/>
      <c r="Q111" s="78"/>
      <c r="R111" s="78"/>
      <c r="S111" s="78"/>
      <c r="T111" s="78"/>
      <c r="U111" s="78"/>
      <c r="V111" s="90"/>
      <c r="W111" s="141"/>
      <c r="X111" s="107">
        <v>46205.625</v>
      </c>
      <c r="Y111" s="108">
        <v>46205.625</v>
      </c>
      <c r="Z111" s="272" cm="1">
        <f t="array" ref="Z111">AH111</f>
        <v>84</v>
      </c>
      <c r="AA111" t="str" s="273" cm="1">
        <f t="array" ref="AA111">INDEX($M$101:$M$147,MATCH(AH111,$J$101:$J$147,0))</f>
        <v>España</v>
      </c>
      <c r="AB111" s="274"/>
      <c r="AC111" s="285"/>
      <c r="AD111" s="285"/>
      <c r="AE111" s="286"/>
      <c r="AF111" t="str" s="278" cm="1">
        <f t="array" ref="AF111">INDEX($N$101:$N$147,MATCH(AH111,$J$101:$J$147,0))</f>
        <v>2J</v>
      </c>
      <c r="AG111" s="115" cm="1">
        <f t="array" ref="AG111">IF(D111="W"&amp;AH111,0,1)</f>
        <v>0</v>
      </c>
      <c r="AH111" s="116">
        <v>84</v>
      </c>
      <c r="AI111" s="287">
        <v>10</v>
      </c>
      <c r="AJ111" s="155">
        <v>10</v>
      </c>
      <c r="AK111" s="225"/>
      <c r="AL111" t="str" s="157" cm="1">
        <f t="array" ref="AL111">IF($H$113&gt;=48,INDEX($BD$58:$BD$69,MATCH(AI111,$BN$58:$BN$69,0)),BB67)</f>
        <v>Haití</v>
      </c>
      <c r="AM111" s="297" cm="1">
        <f t="array" ref="AM111">IF($H$113&gt;=48,INDEX($BE$58:$BN$69,MATCH($AL111,$BD$58:$BD$69,0),MATCH(AM$5,$BE$57:$BN$57,0)),$BB67)</f>
        <v>1</v>
      </c>
      <c r="AN111" s="159" cm="1">
        <f t="array" ref="AN111">IF($H$113&gt;=48,INDEX($BE$58:$BN$69,MATCH($AL111,$BD$58:$BD$69,0),MATCH(AN$5,$BE$57:$BN$57,0)),$BB67)</f>
        <v>3</v>
      </c>
      <c r="AO111" s="159" cm="1">
        <f t="array" ref="AO111">IF($H$113&gt;=48,INDEX($BE$58:$BN$69,MATCH($AL111,$BD$58:$BD$69,0),MATCH(AO$5,$BE$57:$BN$57,0)),$BB67)</f>
        <v>0</v>
      </c>
      <c r="AP111" s="159" cm="1">
        <f t="array" ref="AP111">IF($H$113&gt;=48,INDEX($BE$58:$BN$69,MATCH($AL111,$BD$58:$BD$69,0),MATCH(AP$5,$BE$57:$BN$57,0)),$BB67)</f>
        <v>1</v>
      </c>
      <c r="AQ111" s="159" cm="1">
        <f t="array" ref="AQ111">IF($H$113&gt;=48,INDEX($BE$58:$BN$69,MATCH($AL111,$BD$58:$BD$69,0),MATCH(AQ$5,$BE$57:$BN$57,0)),$BB67)</f>
        <v>2</v>
      </c>
      <c r="AR111" s="159" cm="1">
        <f t="array" ref="AR111">IF($H$113&gt;=48,INDEX($BE$58:$BN$69,MATCH($AL111,$BD$58:$BD$69,0),MATCH(AR$5,$BE$57:$BN$57,0)),$BB67)</f>
        <v>0</v>
      </c>
      <c r="AS111" s="159" cm="1">
        <f t="array" ref="AS111">IF($H$113&gt;=48,INDEX($BE$58:$BN$69,MATCH($AL111,$BD$58:$BD$69,0),MATCH(AS$5,$BE$57:$BN$57,0)),$BB67)</f>
        <v>4</v>
      </c>
      <c r="AT111" s="160" cm="1">
        <f t="array" ref="AT111">IF($H$113&gt;=48,INDEX($BE$58:$BN$69,MATCH($AL111,$BD$58:$BD$69,0),MATCH(AT$5,$BE$57:$BN$57,0)),$BB67)</f>
        <v>-4</v>
      </c>
      <c r="AU111" s="148" cm="1">
        <f t="array" ref="AU111">IF($H$113=144,INDEX($DL$58:$DL$69,MATCH(AI111,$DP$58:$DP$69,0)),"")</f>
        <v>1</v>
      </c>
      <c r="AV111" t="str" s="149" cm="1">
        <f t="array" ref="AV111">INDEX($BD$58:$BD$69,MATCH(AI111,$BM$58:$BM$69,0))</f>
        <v>Haití</v>
      </c>
      <c r="AW111" s="294"/>
      <c r="AX111" s="295"/>
      <c r="AY111" s="301"/>
      <c r="AZ111" s="301"/>
      <c r="BA111" s="8"/>
      <c r="BB111" s="87"/>
      <c r="BC111" s="87"/>
      <c r="BD111" s="87"/>
      <c r="BE111" s="87"/>
      <c r="BF111" s="87"/>
      <c r="BG111" s="87"/>
      <c r="BH111" s="87"/>
      <c r="BI111" t="s" s="296">
        <v>597</v>
      </c>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8"/>
      <c r="DU111" s="12"/>
    </row>
    <row r="112" ht="16" customHeight="1">
      <c r="A112" t="s" s="89">
        <v>318</v>
      </c>
      <c r="B112" t="s" s="89">
        <v>368</v>
      </c>
      <c r="C112" s="78"/>
      <c r="D112" t="str" s="78" cm="1">
        <f t="array" ref="D112">IF(AND(OR(AC112="",AD112="")),"W"&amp;AH112,IF(AC112&gt;AD112,AA112,IF(AC112&lt;AD112,AF112,IF(AND(AC112=AD112,AB112=AE112),"W"&amp;AH112,IF(AND(AC112=AD112,OR(AB112="",AE112="")),"W"&amp;AH112,IF(AND(AC112=AD112,AB112&gt;AE112),AA112,AF112))))))</f>
        <v>W83</v>
      </c>
      <c r="E112" t="s" s="89">
        <v>315</v>
      </c>
      <c r="F112" t="s" s="89">
        <v>62</v>
      </c>
      <c r="G112" t="s" s="89">
        <v>408</v>
      </c>
      <c r="H112" s="105" cm="1">
        <f t="array" ref="H112">SUMIF($BC$6:$BC$53,G112,$BF$6:$BF$53)</f>
        <v>12</v>
      </c>
      <c r="I112" s="78"/>
      <c r="J112" s="105">
        <v>84</v>
      </c>
      <c r="K112" s="105">
        <v>46205.75</v>
      </c>
      <c r="L112" t="s" s="89">
        <v>599</v>
      </c>
      <c r="M112" t="str" s="78" cm="1">
        <f t="array" ref="M112">IF(OR(INDEX($H$101:$H$113,MATCH(E112,$G$101:$G$113,0))=12,$AJ$99=144),INDEX($AL$6:$AL$97,MATCH(A112,$AI$6:$AI$97,0)),A112)</f>
        <v>España</v>
      </c>
      <c r="N112" t="s" s="89">
        <v>368</v>
      </c>
      <c r="O112" s="78"/>
      <c r="P112" s="78"/>
      <c r="Q112" s="78"/>
      <c r="R112" s="78"/>
      <c r="S112" s="78"/>
      <c r="T112" s="78"/>
      <c r="U112" s="78"/>
      <c r="V112" s="90"/>
      <c r="W112" s="141"/>
      <c r="X112" s="107">
        <v>46205.791666666657</v>
      </c>
      <c r="Y112" s="108">
        <v>46205.791666666657</v>
      </c>
      <c r="Z112" s="272" cm="1">
        <f t="array" ref="Z112">AH112</f>
        <v>83</v>
      </c>
      <c r="AA112" t="str" s="273" cm="1">
        <f t="array" ref="AA112">INDEX($M$101:$M$147,MATCH(AH112,$J$101:$J$147,0))</f>
        <v>RD Congo</v>
      </c>
      <c r="AB112" s="274"/>
      <c r="AC112" s="285"/>
      <c r="AD112" s="285"/>
      <c r="AE112" s="286"/>
      <c r="AF112" t="str" s="278" cm="1">
        <f t="array" ref="AF112">INDEX($N$101:$N$147,MATCH(AH112,$J$101:$J$147,0))</f>
        <v>2L</v>
      </c>
      <c r="AG112" s="115" cm="1">
        <f t="array" ref="AG112">IF(D112="W"&amp;AH112,0,1)</f>
        <v>0</v>
      </c>
      <c r="AH112" s="116">
        <v>83</v>
      </c>
      <c r="AI112" s="287">
        <v>11</v>
      </c>
      <c r="AJ112" s="155">
        <v>11</v>
      </c>
      <c r="AK112" s="225"/>
      <c r="AL112" t="str" s="157" cm="1">
        <f t="array" ref="AL112">IF($H$113&gt;=48,INDEX($BD$58:$BD$69,MATCH(AI112,$BN$58:$BN$69,0)),BB68)</f>
        <v>Australia</v>
      </c>
      <c r="AM112" s="297" cm="1">
        <f t="array" ref="AM112">IF($H$113&gt;=48,INDEX($BE$58:$BN$69,MATCH($AL112,$BD$58:$BD$69,0),MATCH(AM$5,$BE$57:$BN$57,0)),$BB68)</f>
        <v>0</v>
      </c>
      <c r="AN112" s="159" cm="1">
        <f t="array" ref="AN112">IF($H$113&gt;=48,INDEX($BE$58:$BN$69,MATCH($AL112,$BD$58:$BD$69,0),MATCH(AN$5,$BE$57:$BN$57,0)),$BB68)</f>
        <v>3</v>
      </c>
      <c r="AO112" s="159" cm="1">
        <f t="array" ref="AO112">IF($H$113&gt;=48,INDEX($BE$58:$BN$69,MATCH($AL112,$BD$58:$BD$69,0),MATCH(AO$5,$BE$57:$BN$57,0)),$BB68)</f>
        <v>0</v>
      </c>
      <c r="AP112" s="159" cm="1">
        <f t="array" ref="AP112">IF($H$113&gt;=48,INDEX($BE$58:$BN$69,MATCH($AL112,$BD$58:$BD$69,0),MATCH(AP$5,$BE$57:$BN$57,0)),$BB68)</f>
        <v>0</v>
      </c>
      <c r="AQ112" s="159" cm="1">
        <f t="array" ref="AQ112">IF($H$113&gt;=48,INDEX($BE$58:$BN$69,MATCH($AL112,$BD$58:$BD$69,0),MATCH(AQ$5,$BE$57:$BN$57,0)),$BB68)</f>
        <v>3</v>
      </c>
      <c r="AR112" s="159" cm="1">
        <f t="array" ref="AR112">IF($H$113&gt;=48,INDEX($BE$58:$BN$69,MATCH($AL112,$BD$58:$BD$69,0),MATCH(AR$5,$BE$57:$BN$57,0)),$BB68)</f>
        <v>2</v>
      </c>
      <c r="AS112" s="159" cm="1">
        <f t="array" ref="AS112">IF($H$113&gt;=48,INDEX($BE$58:$BN$69,MATCH($AL112,$BD$58:$BD$69,0),MATCH(AS$5,$BE$57:$BN$57,0)),$BB68)</f>
        <v>6</v>
      </c>
      <c r="AT112" s="160" cm="1">
        <f t="array" ref="AT112">IF($H$113&gt;=48,INDEX($BE$58:$BN$69,MATCH($AL112,$BD$58:$BD$69,0),MATCH(AT$5,$BE$57:$BN$57,0)),$BB68)</f>
        <v>-4</v>
      </c>
      <c r="AU112" s="148" cm="1">
        <f t="array" ref="AU112">IF($H$113=144,INDEX($DL$58:$DL$69,MATCH(AI112,$DP$58:$DP$69,0)),"")</f>
        <v>1</v>
      </c>
      <c r="AV112" t="str" s="149" cm="1">
        <f t="array" ref="AV112">INDEX($BD$58:$BD$69,MATCH(AI112,$BM$58:$BM$69,0))</f>
        <v>Australia</v>
      </c>
      <c r="AW112" s="294"/>
      <c r="AX112" s="295"/>
      <c r="AY112" s="301"/>
      <c r="AZ112" s="301"/>
      <c r="BA112" s="8"/>
      <c r="BB112" s="87"/>
      <c r="BC112" s="87"/>
      <c r="BD112" s="87"/>
      <c r="BE112" s="87"/>
      <c r="BF112" s="87"/>
      <c r="BG112" s="87"/>
      <c r="BH112" s="87"/>
      <c r="BI112" t="str" s="87" cm="1">
        <f t="array" ref="BI112">_xlfn.IFERROR(CONCATENATE(BJ103,BJ104,BJ105,BJ106,BJ107,BJ108,BJ109,BJ110),"¿A/B/C/D/E/F/G/H/I/J/K/L?")</f>
        <v>ABEFGHJL</v>
      </c>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8"/>
      <c r="DU112" s="12"/>
    </row>
    <row r="113" ht="16" customHeight="1">
      <c r="A113" t="s" s="89">
        <v>162</v>
      </c>
      <c r="B113" t="s" s="89">
        <v>602</v>
      </c>
      <c r="C113" s="78"/>
      <c r="D113" t="str" s="78" cm="1">
        <f t="array" ref="D113">IF(AND(OR(AC113="",AD113="")),"W"&amp;AH113,IF(AC113&gt;AD113,AA113,IF(AC113&lt;AD113,AF113,IF(AND(AC113=AD113,AB113=AE113),"W"&amp;AH113,IF(AND(AC113=AD113,OR(AB113="",AE113="")),"W"&amp;AH113,IF(AND(AC113=AD113,AB113&gt;AE113),AA113,AF113))))))</f>
        <v>W85</v>
      </c>
      <c r="E113" t="s" s="89">
        <v>159</v>
      </c>
      <c r="F113" t="s" s="89">
        <v>545</v>
      </c>
      <c r="G113" t="s" s="89">
        <v>545</v>
      </c>
      <c r="H113" s="105" cm="1">
        <f t="array" ref="H113">IF($AJ$99&lt;&gt;144,SUM(H101:H112),$AJ$99)</f>
        <v>144</v>
      </c>
      <c r="I113" s="78"/>
      <c r="J113" s="105">
        <v>85</v>
      </c>
      <c r="K113" s="105">
        <v>46205.75</v>
      </c>
      <c r="L113" t="s" s="89">
        <v>604</v>
      </c>
      <c r="M113" t="str" s="78" cm="1">
        <f t="array" ref="M113">IF(OR(INDEX($H$101:$H$113,MATCH(E113,$G$101:$G$113,0))=12,$AJ$99=144),INDEX($AL$6:$AL$97,MATCH(A113,$AI$6:$AI$97,0)),A113)</f>
        <v>Canadá</v>
      </c>
      <c r="N113" t="s" s="89">
        <v>602</v>
      </c>
      <c r="O113" s="78"/>
      <c r="P113" s="78"/>
      <c r="Q113" s="78"/>
      <c r="R113" s="78"/>
      <c r="S113" s="78"/>
      <c r="T113" s="78"/>
      <c r="U113" s="78"/>
      <c r="V113" s="90"/>
      <c r="W113" s="141"/>
      <c r="X113" s="107">
        <v>46205.958333333343</v>
      </c>
      <c r="Y113" s="108">
        <v>46205.958333333343</v>
      </c>
      <c r="Z113" s="272" cm="1">
        <f t="array" ref="Z113">AH113</f>
        <v>85</v>
      </c>
      <c r="AA113" t="str" s="273" cm="1">
        <f t="array" ref="AA113">INDEX($M$101:$M$147,MATCH(AH113,$J$101:$J$147,0))</f>
        <v>Canadá</v>
      </c>
      <c r="AB113" s="274"/>
      <c r="AC113" s="285"/>
      <c r="AD113" s="302"/>
      <c r="AE113" s="277"/>
      <c r="AF113" t="str" s="278" cm="1">
        <f t="array" ref="AF113">INDEX($N$101:$N$147,MATCH(AH113,$J$101:$J$147,0))</f>
        <v>3EFGIJ</v>
      </c>
      <c r="AG113" s="115" cm="1">
        <f t="array" ref="AG113">IF(D113="W"&amp;AH113,0,1)</f>
        <v>0</v>
      </c>
      <c r="AH113" s="116">
        <v>85</v>
      </c>
      <c r="AI113" s="287">
        <v>12</v>
      </c>
      <c r="AJ113" s="172">
        <v>12</v>
      </c>
      <c r="AK113" s="240"/>
      <c r="AL113" t="str" s="174" cm="1">
        <f t="array" ref="AL113">IF($H$113&gt;=48,INDEX($BD$58:$BD$69,MATCH(AI113,$BN$58:$BN$69,0)),BB69)</f>
        <v>Irak</v>
      </c>
      <c r="AM113" s="303" cm="1">
        <f t="array" ref="AM113">IF($H$113&gt;=48,INDEX($BE$58:$BN$69,MATCH($AL113,$BD$58:$BD$69,0),MATCH(AM$5,$BE$57:$BN$57,0)),$BB69)</f>
        <v>0</v>
      </c>
      <c r="AN113" s="176" cm="1">
        <f t="array" ref="AN113">IF($H$113&gt;=48,INDEX($BE$58:$BN$69,MATCH($AL113,$BD$58:$BD$69,0),MATCH(AN$5,$BE$57:$BN$57,0)),$BB69)</f>
        <v>3</v>
      </c>
      <c r="AO113" s="176" cm="1">
        <f t="array" ref="AO113">IF($H$113&gt;=48,INDEX($BE$58:$BN$69,MATCH($AL113,$BD$58:$BD$69,0),MATCH(AO$5,$BE$57:$BN$57,0)),$BB69)</f>
        <v>0</v>
      </c>
      <c r="AP113" s="176" cm="1">
        <f t="array" ref="AP113">IF($H$113&gt;=48,INDEX($BE$58:$BN$69,MATCH($AL113,$BD$58:$BD$69,0),MATCH(AP$5,$BE$57:$BN$57,0)),$BB69)</f>
        <v>0</v>
      </c>
      <c r="AQ113" s="176" cm="1">
        <f t="array" ref="AQ113">IF($H$113&gt;=48,INDEX($BE$58:$BN$69,MATCH($AL113,$BD$58:$BD$69,0),MATCH(AQ$5,$BE$57:$BN$57,0)),$BB69)</f>
        <v>3</v>
      </c>
      <c r="AR113" s="176" cm="1">
        <f t="array" ref="AR113">IF($H$113&gt;=48,INDEX($BE$58:$BN$69,MATCH($AL113,$BD$58:$BD$69,0),MATCH(AR$5,$BE$57:$BN$57,0)),$BB69)</f>
        <v>1</v>
      </c>
      <c r="AS113" s="176" cm="1">
        <f t="array" ref="AS113">IF($H$113&gt;=48,INDEX($BE$58:$BN$69,MATCH($AL113,$BD$58:$BD$69,0),MATCH(AS$5,$BE$57:$BN$57,0)),$BB69)</f>
        <v>8</v>
      </c>
      <c r="AT113" s="177" cm="1">
        <f t="array" ref="AT113">IF($H$113&gt;=48,INDEX($BE$58:$BN$69,MATCH($AL113,$BD$58:$BD$69,0),MATCH(AT$5,$BE$57:$BN$57,0)),$BB69)</f>
        <v>-7</v>
      </c>
      <c r="AU113" s="148" cm="1">
        <f t="array" ref="AU113">IF($H$113=144,INDEX($DL$58:$DL$69,MATCH(AI113,$DP$58:$DP$69,0)),"")</f>
        <v>1</v>
      </c>
      <c r="AV113" t="str" s="149" cm="1">
        <f t="array" ref="AV113">INDEX($BD$58:$BD$69,MATCH(AI113,$BM$58:$BM$69,0))</f>
        <v>Irak</v>
      </c>
      <c r="AW113" s="294"/>
      <c r="AX113" s="295"/>
      <c r="AY113" s="206"/>
      <c r="AZ113" s="207"/>
      <c r="BA113" s="8"/>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8"/>
      <c r="DU113" s="12"/>
    </row>
    <row r="114" ht="16" customHeight="1">
      <c r="A114" t="s" s="89">
        <v>364</v>
      </c>
      <c r="B114" t="s" s="89">
        <v>322</v>
      </c>
      <c r="C114" s="78"/>
      <c r="D114" t="str" s="78" cm="1">
        <f t="array" ref="D114">IF(AND(OR(AC114="",AD114="")),"W"&amp;AH114,IF(AC114&gt;AD114,AA114,IF(AC114&lt;AD114,AF114,IF(AND(AC114=AD114,AB114=AE114),"W"&amp;AH114,IF(AND(AC114=AD114,OR(AB114="",AE114="")),"W"&amp;AH114,IF(AND(AC114=AD114,AB114&gt;AE114),AA114,AF114))))))</f>
        <v>W88</v>
      </c>
      <c r="E114" t="s" s="89">
        <v>62</v>
      </c>
      <c r="F114" t="s" s="89">
        <v>315</v>
      </c>
      <c r="G114" s="78"/>
      <c r="H114" s="78"/>
      <c r="I114" s="78"/>
      <c r="J114" s="105">
        <v>86</v>
      </c>
      <c r="K114" s="105">
        <v>46206.75</v>
      </c>
      <c r="L114" t="s" s="89">
        <v>607</v>
      </c>
      <c r="M114" t="str" s="78" cm="1">
        <f t="array" ref="M114">IF(OR(INDEX($H$101:$H$113,MATCH(E114,$G$101:$G$113,0))=12,$AJ$99=144),INDEX($AL$6:$AL$97,MATCH(A114,$AI$6:$AI$97,0)),A114)</f>
        <v>Argentina</v>
      </c>
      <c r="N114" t="s" s="89">
        <v>322</v>
      </c>
      <c r="O114" s="78"/>
      <c r="P114" s="78"/>
      <c r="Q114" s="78"/>
      <c r="R114" s="78"/>
      <c r="S114" s="78"/>
      <c r="T114" s="78"/>
      <c r="U114" s="78"/>
      <c r="V114" s="90"/>
      <c r="W114" s="141"/>
      <c r="X114" s="107">
        <v>46206.583333333343</v>
      </c>
      <c r="Y114" s="108">
        <v>46206.583333333343</v>
      </c>
      <c r="Z114" s="272" cm="1">
        <f t="array" ref="Z114">AH114</f>
        <v>88</v>
      </c>
      <c r="AA114" t="str" s="273" cm="1">
        <f t="array" ref="AA114">INDEX($M$101:$M$147,MATCH(AH114,$J$101:$J$147,0))</f>
        <v>Paraguay</v>
      </c>
      <c r="AB114" s="274"/>
      <c r="AC114" s="285"/>
      <c r="AD114" s="285"/>
      <c r="AE114" s="286"/>
      <c r="AF114" t="str" s="278" cm="1">
        <f t="array" ref="AF114">INDEX($N$101:$N$147,MATCH(AH114,$J$101:$J$147,0))</f>
        <v>2G</v>
      </c>
      <c r="AG114" s="115" cm="1">
        <f t="array" ref="AG114">IF(D114="W"&amp;AH114,0,1)</f>
        <v>0</v>
      </c>
      <c r="AH114" s="116">
        <v>88</v>
      </c>
      <c r="AI114" s="149"/>
      <c r="AJ114" s="189"/>
      <c r="AK114" s="190"/>
      <c r="AL114" s="191"/>
      <c r="AM114" s="192"/>
      <c r="AN114" s="189"/>
      <c r="AO114" s="189"/>
      <c r="AP114" s="189"/>
      <c r="AQ114" s="189"/>
      <c r="AR114" s="189"/>
      <c r="AS114" s="189"/>
      <c r="AT114" s="189"/>
      <c r="AU114" s="194"/>
      <c r="AV114" s="194"/>
      <c r="AW114" s="304"/>
      <c r="AX114" s="304"/>
      <c r="AY114" s="206"/>
      <c r="AZ114" s="207"/>
      <c r="BA114" s="8"/>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8"/>
      <c r="DU114" s="12"/>
    </row>
    <row r="115" ht="16" customHeight="1">
      <c r="A115" t="s" s="89">
        <v>388</v>
      </c>
      <c r="B115" t="s" s="89">
        <v>609</v>
      </c>
      <c r="C115" s="78"/>
      <c r="D115" t="str" s="78" cm="1">
        <f t="array" ref="D115">IF(AND(OR(AC115="",AD115="")),"W"&amp;AH115,IF(AC115&gt;AD115,AA115,IF(AC115&lt;AD115,AF115,IF(AND(AC115=AD115,AB115=AE115),"W"&amp;AH115,IF(AND(AC115=AD115,OR(AB115="",AE115="")),"W"&amp;AH115,IF(AND(AC115=AD115,AB115&gt;AE115),AA115,AF115))))))</f>
        <v>W86</v>
      </c>
      <c r="E115" t="s" s="89">
        <v>385</v>
      </c>
      <c r="F115" t="s" s="89">
        <v>545</v>
      </c>
      <c r="G115" s="78"/>
      <c r="H115" s="78"/>
      <c r="I115" s="78"/>
      <c r="J115" s="105">
        <v>87</v>
      </c>
      <c r="K115" s="105">
        <v>46206.75</v>
      </c>
      <c r="L115" t="s" s="89">
        <v>611</v>
      </c>
      <c r="M115" t="str" s="78" cm="1">
        <f t="array" ref="M115">IF(OR(INDEX($H$101:$H$113,MATCH(E115,$G$101:$G$113,0))=12,$AJ$99=144),INDEX($AL$6:$AL$97,MATCH(A115,$AI$6:$AI$97,0)),A115)</f>
        <v>Portugal</v>
      </c>
      <c r="N115" t="s" s="89">
        <v>609</v>
      </c>
      <c r="O115" s="78"/>
      <c r="P115" s="78"/>
      <c r="Q115" s="78"/>
      <c r="R115" s="78"/>
      <c r="S115" s="78"/>
      <c r="T115" s="78"/>
      <c r="U115" s="78"/>
      <c r="V115" s="90"/>
      <c r="W115" s="141"/>
      <c r="X115" s="107">
        <v>46206.75</v>
      </c>
      <c r="Y115" s="108">
        <v>46206.75</v>
      </c>
      <c r="Z115" s="272" cm="1">
        <f t="array" ref="Z115">AH115</f>
        <v>86</v>
      </c>
      <c r="AA115" t="str" s="273" cm="1">
        <f t="array" ref="AA115">INDEX($M$101:$M$147,MATCH(AH115,$J$101:$J$147,0))</f>
        <v>Argentina</v>
      </c>
      <c r="AB115" s="274"/>
      <c r="AC115" s="285"/>
      <c r="AD115" s="285"/>
      <c r="AE115" s="286"/>
      <c r="AF115" t="str" s="278" cm="1">
        <f t="array" ref="AF115">INDEX($N$101:$N$147,MATCH(AH115,$J$101:$J$147,0))</f>
        <v>2H</v>
      </c>
      <c r="AG115" s="115" cm="1">
        <f t="array" ref="AG115">IF(D115="W"&amp;AH115,0,1)</f>
        <v>0</v>
      </c>
      <c r="AH115" s="116">
        <v>86</v>
      </c>
      <c r="AI115" s="149"/>
      <c r="AJ115" s="305"/>
      <c r="AK115" s="306"/>
      <c r="AL115" s="307"/>
      <c r="AM115" s="305"/>
      <c r="AN115" s="305"/>
      <c r="AO115" s="305"/>
      <c r="AP115" s="305"/>
      <c r="AQ115" s="305"/>
      <c r="AR115" s="305"/>
      <c r="AS115" s="305"/>
      <c r="AT115" s="305"/>
      <c r="AU115" s="84"/>
      <c r="AV115" s="84"/>
      <c r="AW115" s="308"/>
      <c r="AX115" s="308"/>
      <c r="AY115" s="206"/>
      <c r="AZ115" s="207"/>
      <c r="BA115" s="8"/>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8"/>
      <c r="DU115" s="12"/>
    </row>
    <row r="116" ht="16" customHeight="1">
      <c r="A116" t="s" s="89">
        <v>230</v>
      </c>
      <c r="B116" t="s" s="89">
        <v>301</v>
      </c>
      <c r="C116" s="78"/>
      <c r="D116" t="str" s="78" cm="1">
        <f t="array" ref="D116">IF(AND(OR(AC116="",AD116="")),"W"&amp;AH116,IF(AC116&gt;AD116,AA116,IF(AC116&lt;AD116,AF116,IF(AND(AC116=AD116,AB116=AE116),"W"&amp;AH116,IF(AND(AC116=AD116,OR(AB116="",AE116="")),"W"&amp;AH116,IF(AND(AC116=AD116,AB116&gt;AE116),AA116,AF116))))))</f>
        <v>W87</v>
      </c>
      <c r="E116" t="s" s="89">
        <v>223</v>
      </c>
      <c r="F116" t="s" s="89">
        <v>63</v>
      </c>
      <c r="G116" s="78"/>
      <c r="H116" s="78"/>
      <c r="I116" s="78"/>
      <c r="J116" s="105">
        <v>88</v>
      </c>
      <c r="K116" s="105">
        <v>46206.75</v>
      </c>
      <c r="L116" t="s" s="89">
        <v>614</v>
      </c>
      <c r="M116" t="str" s="78" cm="1">
        <f t="array" ref="M116">IF(OR(INDEX($H$101:$H$113,MATCH(E116,$G$101:$G$113,0))=12,$AJ$99=144),INDEX($AL$6:$AL$97,MATCH(A116,$AI$6:$AI$97,0)),A116)</f>
        <v>Paraguay</v>
      </c>
      <c r="N116" t="s" s="89">
        <v>301</v>
      </c>
      <c r="O116" s="78"/>
      <c r="P116" s="78"/>
      <c r="Q116" s="78"/>
      <c r="R116" s="78"/>
      <c r="S116" s="78"/>
      <c r="T116" s="78"/>
      <c r="U116" s="78"/>
      <c r="V116" s="90"/>
      <c r="W116" s="163"/>
      <c r="X116" s="164">
        <v>46206.895833333343</v>
      </c>
      <c r="Y116" s="165">
        <v>46206.895833333343</v>
      </c>
      <c r="Z116" s="309" cm="1">
        <f t="array" ref="Z116">AH116</f>
        <v>87</v>
      </c>
      <c r="AA116" t="str" s="310" cm="1">
        <f t="array" ref="AA116">INDEX($M$101:$M$147,MATCH(AH116,$J$101:$J$147,0))</f>
        <v>Portugal</v>
      </c>
      <c r="AB116" s="311"/>
      <c r="AC116" s="312"/>
      <c r="AD116" s="312"/>
      <c r="AE116" s="313"/>
      <c r="AF116" t="str" s="314" cm="1">
        <f t="array" ref="AF116">INDEX($N$101:$N$147,MATCH(AH116,$J$101:$J$147,0))</f>
        <v>3DEIJL</v>
      </c>
      <c r="AG116" s="115" cm="1">
        <f t="array" ref="AG116">IF(D116="W"&amp;AH116,0,1)</f>
        <v>0</v>
      </c>
      <c r="AH116" s="116">
        <v>87</v>
      </c>
      <c r="AI116" s="149"/>
      <c r="AJ116" s="86"/>
      <c r="AK116" s="86"/>
      <c r="AL116" s="315"/>
      <c r="AM116" s="8"/>
      <c r="AN116" s="8"/>
      <c r="AO116" s="8"/>
      <c r="AP116" s="8"/>
      <c r="AQ116" s="8"/>
      <c r="AR116" s="8"/>
      <c r="AS116" s="8"/>
      <c r="AT116" s="8"/>
      <c r="AU116" s="8"/>
      <c r="AV116" s="316"/>
      <c r="AW116" s="8"/>
      <c r="AX116" s="8"/>
      <c r="AY116" s="206"/>
      <c r="AZ116" s="207"/>
      <c r="BA116" s="8"/>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8"/>
      <c r="DU116" s="12"/>
    </row>
    <row r="117" ht="16" customHeight="1">
      <c r="A117" s="78"/>
      <c r="B117" s="78"/>
      <c r="C117" s="78"/>
      <c r="D117" s="78"/>
      <c r="E117" s="78"/>
      <c r="F117" s="78"/>
      <c r="G117" s="78"/>
      <c r="H117" s="78"/>
      <c r="I117" s="78"/>
      <c r="J117" s="78"/>
      <c r="K117" s="78"/>
      <c r="L117" s="78"/>
      <c r="M117" s="78"/>
      <c r="N117" s="78"/>
      <c r="O117" s="78"/>
      <c r="P117" s="78"/>
      <c r="Q117" s="78"/>
      <c r="R117" s="78"/>
      <c r="S117" s="78"/>
      <c r="T117" s="78"/>
      <c r="U117" s="78"/>
      <c r="V117" s="79"/>
      <c r="W117" s="180"/>
      <c r="X117" s="181"/>
      <c r="Y117" s="180"/>
      <c r="Z117" s="182"/>
      <c r="AA117" s="183"/>
      <c r="AB117" s="184"/>
      <c r="AC117" s="185"/>
      <c r="AD117" s="185"/>
      <c r="AE117" s="184"/>
      <c r="AF117" s="186"/>
      <c r="AG117" s="317"/>
      <c r="AH117" s="188"/>
      <c r="AI117" s="149"/>
      <c r="AJ117" s="86"/>
      <c r="AK117" s="86"/>
      <c r="AL117" s="299"/>
      <c r="AM117" s="8"/>
      <c r="AN117" s="8"/>
      <c r="AO117" s="8"/>
      <c r="AP117" s="8"/>
      <c r="AQ117" s="8"/>
      <c r="AR117" s="8"/>
      <c r="AS117" s="8"/>
      <c r="AT117" s="8"/>
      <c r="AU117" s="8"/>
      <c r="AV117" s="316"/>
      <c r="AW117" s="8"/>
      <c r="AX117" s="8"/>
      <c r="AY117" s="206"/>
      <c r="AZ117" s="207"/>
      <c r="BA117" s="8"/>
      <c r="BB117" s="87"/>
      <c r="BC117" s="87"/>
      <c r="BD117" s="87"/>
      <c r="BE117" s="87"/>
      <c r="BF117" t="s" s="296">
        <v>137</v>
      </c>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8"/>
      <c r="DU117" s="12"/>
    </row>
    <row r="118" ht="16" customHeight="1">
      <c r="A118" s="78"/>
      <c r="B118" s="78"/>
      <c r="C118" s="78"/>
      <c r="D118" s="78"/>
      <c r="E118" s="78"/>
      <c r="F118" s="78"/>
      <c r="G118" s="78"/>
      <c r="H118" s="78"/>
      <c r="I118" s="78"/>
      <c r="J118" s="78"/>
      <c r="K118" s="78"/>
      <c r="L118" s="78"/>
      <c r="M118" s="78"/>
      <c r="N118" s="78"/>
      <c r="O118" s="78"/>
      <c r="P118" s="78"/>
      <c r="Q118" s="78"/>
      <c r="R118" s="78"/>
      <c r="S118" s="78"/>
      <c r="T118" s="78"/>
      <c r="U118" s="78"/>
      <c r="V118" s="90"/>
      <c r="W118" t="s" s="255">
        <v>616</v>
      </c>
      <c r="X118" s="256"/>
      <c r="Y118" s="257"/>
      <c r="Z118" s="257"/>
      <c r="AA118" s="257"/>
      <c r="AB118" s="257"/>
      <c r="AC118" s="257"/>
      <c r="AD118" s="257"/>
      <c r="AE118" s="257"/>
      <c r="AF118" s="258"/>
      <c r="AG118" s="259"/>
      <c r="AH118" s="188"/>
      <c r="AI118" s="149"/>
      <c r="AJ118" s="8"/>
      <c r="AK118" s="86"/>
      <c r="AL118" s="299"/>
      <c r="AM118" s="8"/>
      <c r="AN118" s="8"/>
      <c r="AO118" s="8"/>
      <c r="AP118" s="8"/>
      <c r="AQ118" s="8"/>
      <c r="AR118" s="8"/>
      <c r="AS118" s="8"/>
      <c r="AT118" s="8"/>
      <c r="AU118" s="8"/>
      <c r="AV118" s="316"/>
      <c r="AW118" s="8"/>
      <c r="AX118" s="8"/>
      <c r="AY118" s="206"/>
      <c r="AZ118" s="207"/>
      <c r="BA118" s="8"/>
      <c r="BB118" s="87"/>
      <c r="BC118" s="87"/>
      <c r="BD118" s="87"/>
      <c r="BE118" s="87"/>
      <c r="BF118" t="s" s="296">
        <v>162</v>
      </c>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8"/>
      <c r="DU118" s="12"/>
    </row>
    <row r="119" ht="16" customHeight="1">
      <c r="A119" s="78"/>
      <c r="B119" s="78"/>
      <c r="C119" s="78"/>
      <c r="D119" s="78"/>
      <c r="E119" s="78"/>
      <c r="F119" s="78"/>
      <c r="G119" s="78"/>
      <c r="H119" s="78"/>
      <c r="I119" s="78"/>
      <c r="J119" s="78"/>
      <c r="K119" s="78"/>
      <c r="L119" s="78"/>
      <c r="M119" s="78"/>
      <c r="N119" s="78"/>
      <c r="O119" s="78"/>
      <c r="P119" s="78"/>
      <c r="Q119" s="78"/>
      <c r="R119" s="78"/>
      <c r="S119" s="78"/>
      <c r="T119" s="78"/>
      <c r="U119" s="78"/>
      <c r="V119" s="90"/>
      <c r="W119" s="91"/>
      <c r="X119" t="str" s="198" cm="1">
        <f t="array" ref="X119">X3</f>
        <v>Fecha</v>
      </c>
      <c r="Y119" t="str" s="198" cm="1">
        <f t="array" ref="Y119">Y3</f>
        <v>Hora</v>
      </c>
      <c r="Z119" s="249"/>
      <c r="AA119" t="str" s="250" cm="1">
        <f t="array" ref="AA119">AA3</f>
        <v>Casa</v>
      </c>
      <c r="AB119" t="s" s="265">
        <v>536</v>
      </c>
      <c r="AC119" t="str" s="198" cm="1">
        <f t="array" ref="AC119">AC3</f>
        <v>Gol</v>
      </c>
      <c r="AD119" t="str" s="198" cm="1">
        <f t="array" ref="AD119">AD3</f>
        <v>Gol</v>
      </c>
      <c r="AE119" t="s" s="265">
        <v>536</v>
      </c>
      <c r="AF119" t="str" s="251" cm="1">
        <f t="array" ref="AF119">AF3</f>
        <v>Fuera</v>
      </c>
      <c r="AG119" s="259"/>
      <c r="AH119" s="188"/>
      <c r="AI119" s="149"/>
      <c r="AJ119" s="86"/>
      <c r="AK119" s="86"/>
      <c r="AL119" s="86"/>
      <c r="AM119" s="8"/>
      <c r="AN119" s="8"/>
      <c r="AO119" s="8"/>
      <c r="AP119" s="8"/>
      <c r="AQ119" s="8"/>
      <c r="AR119" s="8"/>
      <c r="AS119" s="8"/>
      <c r="AT119" s="8"/>
      <c r="AU119" s="8"/>
      <c r="AV119" s="316"/>
      <c r="AW119" s="8"/>
      <c r="AX119" s="8"/>
      <c r="AY119" s="206"/>
      <c r="AZ119" s="207"/>
      <c r="BA119" s="8"/>
      <c r="BB119" s="87"/>
      <c r="BC119" s="87"/>
      <c r="BD119" s="87"/>
      <c r="BE119" s="87"/>
      <c r="BF119" t="s" s="296">
        <v>226</v>
      </c>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8"/>
      <c r="DU119" s="12"/>
    </row>
    <row r="120" ht="16" customHeight="1">
      <c r="A120" t="s" s="89">
        <v>552</v>
      </c>
      <c r="B120" t="s" s="89">
        <v>567</v>
      </c>
      <c r="C120" s="78"/>
      <c r="D120" t="str" s="78" cm="1">
        <f t="array" ref="D120">IF(AND(OR(AC120="",AD120="")),"W"&amp;AH120,IF(AC120&gt;AD120,AA120,IF(AC120&lt;AD120,AF120,IF(AND(AC120=AD120,AB120=AE120),"W"&amp;AH120,IF(AND(AC120=AD120,OR(AB120="",AE120="")),"W"&amp;AH120,IF(AND(AC120=AD120,AB120&gt;AE120),AA120,AF120))))))</f>
        <v>W90</v>
      </c>
      <c r="E120" s="105">
        <v>74</v>
      </c>
      <c r="F120" s="105">
        <v>77</v>
      </c>
      <c r="G120" s="78"/>
      <c r="H120" s="78"/>
      <c r="I120" s="78"/>
      <c r="J120" s="105">
        <v>89</v>
      </c>
      <c r="K120" s="105">
        <v>46207.75</v>
      </c>
      <c r="L120" t="s" s="89">
        <v>618</v>
      </c>
      <c r="M120" t="str" s="78" cm="1">
        <f t="array" ref="M120">INDEX($D$101:$D$147,MATCH(E120,$AH$101:$AH$147,0))</f>
        <v>W74</v>
      </c>
      <c r="N120" t="str" s="78" cm="1">
        <f t="array" ref="N120">INDEX($D$101:$D$147,MATCH(F120,$AH$101:$AH$147,0))</f>
        <v>W77</v>
      </c>
      <c r="O120" s="78"/>
      <c r="P120" s="78"/>
      <c r="Q120" s="78"/>
      <c r="R120" s="78"/>
      <c r="S120" s="78"/>
      <c r="T120" s="78"/>
      <c r="U120" s="78"/>
      <c r="V120" s="90"/>
      <c r="W120" t="s" s="318">
        <v>621</v>
      </c>
      <c r="X120" s="319">
        <v>46207.541666666657</v>
      </c>
      <c r="Y120" s="108">
        <v>46207.541666666657</v>
      </c>
      <c r="Z120" s="272" cm="1">
        <f t="array" ref="Z120">AH120</f>
        <v>90</v>
      </c>
      <c r="AA120" t="str" s="273" cm="1">
        <f t="array" ref="AA120">INDEX($M$101:$M$147,MATCH(AH120,$J$101:$J$147,0))</f>
        <v>W73</v>
      </c>
      <c r="AB120" s="320"/>
      <c r="AC120" s="321"/>
      <c r="AD120" s="321"/>
      <c r="AE120" s="277"/>
      <c r="AF120" t="str" s="278" cm="1">
        <f t="array" ref="AF120">INDEX($N$101:$N$147,MATCH(AH120,$J$101:$J$147,0))</f>
        <v>W75</v>
      </c>
      <c r="AG120" s="115" cm="1">
        <f t="array" ref="AG120">IF(D120="W"&amp;AH120,0,1)</f>
        <v>0</v>
      </c>
      <c r="AH120" s="116">
        <v>90</v>
      </c>
      <c r="AI120" s="149"/>
      <c r="AJ120" s="86"/>
      <c r="AK120" s="86"/>
      <c r="AL120" s="322"/>
      <c r="AM120" s="8"/>
      <c r="AN120" s="8"/>
      <c r="AO120" s="8"/>
      <c r="AP120" s="8"/>
      <c r="AQ120" s="8"/>
      <c r="AR120" s="8"/>
      <c r="AS120" s="8"/>
      <c r="AT120" s="8"/>
      <c r="AU120" s="8"/>
      <c r="AV120" s="316"/>
      <c r="AW120" s="8"/>
      <c r="AX120" s="8"/>
      <c r="AY120" s="206"/>
      <c r="AZ120" s="207"/>
      <c r="BA120" s="8"/>
      <c r="BB120" s="87"/>
      <c r="BC120" s="87"/>
      <c r="BD120" s="87"/>
      <c r="BE120" s="87"/>
      <c r="BF120" t="s" s="296">
        <v>249</v>
      </c>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8"/>
      <c r="DU120" s="12"/>
    </row>
    <row r="121" ht="16" customHeight="1">
      <c r="A121" t="s" s="89">
        <v>538</v>
      </c>
      <c r="B121" t="s" s="89">
        <v>557</v>
      </c>
      <c r="C121" s="78"/>
      <c r="D121" t="str" s="78" cm="1">
        <f t="array" ref="D121">IF(AND(OR(AC121="",AD121="")),"W"&amp;AH121,IF(AC121&gt;AD121,AA121,IF(AC121&lt;AD121,AF121,IF(AND(AC121=AD121,AB121=AE121),"W"&amp;AH121,IF(AND(AC121=AD121,OR(AB121="",AE121="")),"W"&amp;AH121,IF(AND(AC121=AD121,AB121&gt;AE121),AA121,AF121))))))</f>
        <v>W89</v>
      </c>
      <c r="E121" s="105">
        <v>73</v>
      </c>
      <c r="F121" s="105">
        <v>75</v>
      </c>
      <c r="G121" s="78"/>
      <c r="H121" s="78"/>
      <c r="I121" s="78"/>
      <c r="J121" s="105">
        <v>90</v>
      </c>
      <c r="K121" s="105">
        <v>46207.875</v>
      </c>
      <c r="L121" t="s" s="89">
        <v>625</v>
      </c>
      <c r="M121" t="str" s="78" cm="1">
        <f t="array" ref="M121">INDEX($D$101:$D$147,MATCH(E121,$AH$101:$AH$147,0))</f>
        <v>W73</v>
      </c>
      <c r="N121" t="str" s="78" cm="1">
        <f t="array" ref="N121">INDEX($D$101:$D$147,MATCH(F121,$AH$101:$AH$147,0))</f>
        <v>W75</v>
      </c>
      <c r="O121" s="78"/>
      <c r="P121" s="78"/>
      <c r="Q121" s="78"/>
      <c r="R121" s="78"/>
      <c r="S121" s="78"/>
      <c r="T121" s="78"/>
      <c r="U121" s="78"/>
      <c r="V121" s="90"/>
      <c r="W121" s="323"/>
      <c r="X121" s="319">
        <v>46207.708333333343</v>
      </c>
      <c r="Y121" s="108">
        <v>46207.708333333343</v>
      </c>
      <c r="Z121" s="272" cm="1">
        <f t="array" ref="Z121">AH121</f>
        <v>89</v>
      </c>
      <c r="AA121" t="str" s="273" cm="1">
        <f t="array" ref="AA121">INDEX($M$101:$M$147,MATCH(AH121,$J$101:$J$147,0))</f>
        <v>W74</v>
      </c>
      <c r="AB121" s="320"/>
      <c r="AC121" s="324"/>
      <c r="AD121" s="324"/>
      <c r="AE121" s="277"/>
      <c r="AF121" t="str" s="278" cm="1">
        <f t="array" ref="AF121">INDEX($N$101:$N$147,MATCH(AH121,$J$101:$J$147,0))</f>
        <v>W77</v>
      </c>
      <c r="AG121" s="115" cm="1">
        <f t="array" ref="AG121">IF(D121="W"&amp;AH121,0,1)</f>
        <v>0</v>
      </c>
      <c r="AH121" s="116">
        <v>89</v>
      </c>
      <c r="AI121" s="149"/>
      <c r="AJ121" s="86"/>
      <c r="AK121" s="86"/>
      <c r="AL121" s="86"/>
      <c r="AM121" s="8"/>
      <c r="AN121" s="8"/>
      <c r="AO121" s="8"/>
      <c r="AP121" s="8"/>
      <c r="AQ121" s="8"/>
      <c r="AR121" s="8"/>
      <c r="AS121" s="8"/>
      <c r="AT121" s="8"/>
      <c r="AU121" s="8"/>
      <c r="AV121" s="316"/>
      <c r="AW121" s="8"/>
      <c r="AX121" s="8"/>
      <c r="AY121" s="206"/>
      <c r="AZ121" s="207"/>
      <c r="BA121" s="8"/>
      <c r="BB121" s="87"/>
      <c r="BC121" s="87"/>
      <c r="BD121" s="87"/>
      <c r="BE121" s="87"/>
      <c r="BF121" t="s" s="296">
        <v>295</v>
      </c>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8"/>
      <c r="DU121" s="12"/>
    </row>
    <row r="122" ht="16" customHeight="1">
      <c r="A122" t="s" s="89">
        <v>544</v>
      </c>
      <c r="B122" t="s" s="89">
        <v>563</v>
      </c>
      <c r="C122" s="78"/>
      <c r="D122" t="str" s="78" cm="1">
        <f t="array" ref="D122">IF(AND(OR(AC122="",AD122="")),"W"&amp;AH122,IF(AC122&gt;AD122,AA122,IF(AC122&lt;AD122,AF122,IF(AND(AC122=AD122,AB122=AE122),"W"&amp;AH122,IF(AND(AC122=AD122,OR(AB122="",AE122="")),"W"&amp;AH122,IF(AND(AC122=AD122,AB122&gt;AE122),AA122,AF122))))))</f>
        <v>W91</v>
      </c>
      <c r="E122" s="105">
        <v>76</v>
      </c>
      <c r="F122" s="105">
        <v>78</v>
      </c>
      <c r="G122" s="78"/>
      <c r="H122" s="78"/>
      <c r="I122" s="78"/>
      <c r="J122" s="105">
        <v>91</v>
      </c>
      <c r="K122" s="105">
        <v>46208.75</v>
      </c>
      <c r="L122" t="s" s="89">
        <v>631</v>
      </c>
      <c r="M122" t="str" s="78" cm="1">
        <f t="array" ref="M122">INDEX($D$101:$D$147,MATCH(E122,$AH$101:$AH$147,0))</f>
        <v>W76</v>
      </c>
      <c r="N122" t="str" s="78" cm="1">
        <f t="array" ref="N122">INDEX($D$101:$D$147,MATCH(F122,$AH$101:$AH$147,0))</f>
        <v>W78</v>
      </c>
      <c r="O122" s="78"/>
      <c r="P122" s="78"/>
      <c r="Q122" s="78"/>
      <c r="R122" s="78"/>
      <c r="S122" s="78"/>
      <c r="T122" s="78"/>
      <c r="U122" s="78"/>
      <c r="V122" s="90"/>
      <c r="W122" s="325"/>
      <c r="X122" s="319">
        <v>46208.666666666657</v>
      </c>
      <c r="Y122" s="108">
        <v>46208.666666666657</v>
      </c>
      <c r="Z122" s="272" cm="1">
        <f t="array" ref="Z122">AH122</f>
        <v>91</v>
      </c>
      <c r="AA122" t="str" s="273" cm="1">
        <f t="array" ref="AA122">INDEX($M$101:$M$147,MATCH(AH122,$J$101:$J$147,0))</f>
        <v>W76</v>
      </c>
      <c r="AB122" s="320"/>
      <c r="AC122" s="324"/>
      <c r="AD122" s="324"/>
      <c r="AE122" s="277"/>
      <c r="AF122" t="str" s="278" cm="1">
        <f t="array" ref="AF122">INDEX($N$101:$N$147,MATCH(AH122,$J$101:$J$147,0))</f>
        <v>W78</v>
      </c>
      <c r="AG122" s="115" cm="1">
        <f t="array" ref="AG122">IF(D122="W"&amp;AH122,0,1)</f>
        <v>0</v>
      </c>
      <c r="AH122" s="116">
        <v>91</v>
      </c>
      <c r="AI122" s="149"/>
      <c r="AJ122" s="86"/>
      <c r="AK122" s="86"/>
      <c r="AL122" s="86"/>
      <c r="AM122" s="8"/>
      <c r="AN122" s="8"/>
      <c r="AO122" s="8"/>
      <c r="AP122" s="8"/>
      <c r="AQ122" s="8"/>
      <c r="AR122" s="8"/>
      <c r="AS122" s="8"/>
      <c r="AT122" s="8"/>
      <c r="AU122" s="8"/>
      <c r="AV122" s="316"/>
      <c r="AW122" s="8"/>
      <c r="AX122" s="8"/>
      <c r="AY122" s="206"/>
      <c r="AZ122" s="207"/>
      <c r="BA122" s="8"/>
      <c r="BB122" s="87"/>
      <c r="BC122" s="87"/>
      <c r="BD122" s="87"/>
      <c r="BE122" s="87"/>
      <c r="BF122" t="s" s="296">
        <v>342</v>
      </c>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8"/>
      <c r="DU122" s="12"/>
    </row>
    <row r="123" ht="16" customHeight="1">
      <c r="A123" t="s" s="89">
        <v>573</v>
      </c>
      <c r="B123" t="s" s="89">
        <v>579</v>
      </c>
      <c r="C123" s="78"/>
      <c r="D123" t="str" s="78" cm="1">
        <f t="array" ref="D123">IF(AND(OR(AC123="",AD123="")),"W"&amp;AH123,IF(AC123&gt;AD123,AA123,IF(AC123&lt;AD123,AF123,IF(AND(AC123=AD123,AB123=AE123),"W"&amp;AH123,IF(AND(AC123=AD123,OR(AB123="",AE123="")),"W"&amp;AH123,IF(AND(AC123=AD123,AB123&gt;AE123),AA123,AF123))))))</f>
        <v>W92</v>
      </c>
      <c r="E123" s="105">
        <v>79</v>
      </c>
      <c r="F123" s="105">
        <v>80</v>
      </c>
      <c r="G123" s="78"/>
      <c r="H123" s="78"/>
      <c r="I123" s="78"/>
      <c r="J123" s="105">
        <v>92</v>
      </c>
      <c r="K123" s="105">
        <v>46208.875</v>
      </c>
      <c r="L123" t="s" s="89">
        <v>637</v>
      </c>
      <c r="M123" t="str" s="78" cm="1">
        <f t="array" ref="M123">INDEX($D$101:$D$147,MATCH(E123,$AH$101:$AH$147,0))</f>
        <v>W79</v>
      </c>
      <c r="N123" t="str" s="78" cm="1">
        <f t="array" ref="N123">INDEX($D$101:$D$147,MATCH(F123,$AH$101:$AH$147,0))</f>
        <v>W80</v>
      </c>
      <c r="O123" s="78"/>
      <c r="P123" s="78"/>
      <c r="Q123" s="78"/>
      <c r="R123" s="78"/>
      <c r="S123" s="78"/>
      <c r="T123" s="78"/>
      <c r="U123" s="78"/>
      <c r="V123" s="90"/>
      <c r="W123" s="325"/>
      <c r="X123" s="319">
        <v>46208.833333333343</v>
      </c>
      <c r="Y123" s="108">
        <v>46208.833333333343</v>
      </c>
      <c r="Z123" s="272" cm="1">
        <f t="array" ref="Z123">AH123</f>
        <v>92</v>
      </c>
      <c r="AA123" t="str" s="273" cm="1">
        <f t="array" ref="AA123">INDEX($M$101:$M$147,MATCH(AH123,$J$101:$J$147,0))</f>
        <v>W79</v>
      </c>
      <c r="AB123" s="320"/>
      <c r="AC123" s="324"/>
      <c r="AD123" s="324"/>
      <c r="AE123" s="277"/>
      <c r="AF123" t="str" s="278" cm="1">
        <f t="array" ref="AF123">INDEX($N$101:$N$147,MATCH(AH123,$J$101:$J$147,0))</f>
        <v>W80</v>
      </c>
      <c r="AG123" s="115" cm="1">
        <f t="array" ref="AG123">IF(D123="W"&amp;AH123,0,1)</f>
        <v>0</v>
      </c>
      <c r="AH123" s="116">
        <v>92</v>
      </c>
      <c r="AI123" s="149"/>
      <c r="AJ123" s="86"/>
      <c r="AK123" s="86"/>
      <c r="AL123" s="86"/>
      <c r="AM123" s="8"/>
      <c r="AN123" s="8"/>
      <c r="AO123" s="8"/>
      <c r="AP123" s="8"/>
      <c r="AQ123" s="8"/>
      <c r="AR123" s="8"/>
      <c r="AS123" s="8"/>
      <c r="AT123" s="8"/>
      <c r="AU123" s="8"/>
      <c r="AV123" s="316"/>
      <c r="AW123" s="8"/>
      <c r="AX123" s="8"/>
      <c r="AY123" s="206"/>
      <c r="AZ123" s="207"/>
      <c r="BA123" s="8"/>
      <c r="BB123" s="87"/>
      <c r="BC123" s="87"/>
      <c r="BD123" s="87"/>
      <c r="BE123" s="87"/>
      <c r="BF123" t="s" s="296">
        <v>388</v>
      </c>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8"/>
      <c r="DU123" s="12"/>
    </row>
    <row r="124" ht="16" customHeight="1">
      <c r="A124" t="s" s="89">
        <v>598</v>
      </c>
      <c r="B124" t="s" s="89">
        <v>594</v>
      </c>
      <c r="C124" s="78"/>
      <c r="D124" t="str" s="78" cm="1">
        <f t="array" ref="D124">IF(AND(OR(AC124="",AD124="")),"W"&amp;AH124,IF(AC124&gt;AD124,AA124,IF(AC124&lt;AD124,AF124,IF(AND(AC124=AD124,AB124=AE124),"W"&amp;AH124,IF(AND(AC124=AD124,OR(AB124="",AE124="")),"W"&amp;AH124,IF(AND(AC124=AD124,AB124&gt;AE124),AA124,AF124))))))</f>
        <v>W93</v>
      </c>
      <c r="E124" s="105">
        <v>83</v>
      </c>
      <c r="F124" s="105">
        <v>84</v>
      </c>
      <c r="G124" s="78"/>
      <c r="H124" s="78"/>
      <c r="I124" s="78"/>
      <c r="J124" s="105">
        <v>93</v>
      </c>
      <c r="K124" s="105">
        <v>46209.75</v>
      </c>
      <c r="L124" t="s" s="89">
        <v>643</v>
      </c>
      <c r="M124" t="str" s="78" cm="1">
        <f t="array" ref="M124">INDEX($D$101:$D$147,MATCH(E124,$AH$101:$AH$147,0))</f>
        <v>W83</v>
      </c>
      <c r="N124" t="str" s="78" cm="1">
        <f t="array" ref="N124">INDEX($D$101:$D$147,MATCH(F124,$AH$101:$AH$147,0))</f>
        <v>W84</v>
      </c>
      <c r="O124" s="78"/>
      <c r="P124" s="78"/>
      <c r="Q124" s="78"/>
      <c r="R124" s="78"/>
      <c r="S124" s="78"/>
      <c r="T124" s="78"/>
      <c r="U124" s="78"/>
      <c r="V124" s="90"/>
      <c r="W124" s="325"/>
      <c r="X124" s="319">
        <v>46209.625</v>
      </c>
      <c r="Y124" s="108">
        <v>46209.625</v>
      </c>
      <c r="Z124" s="272" cm="1">
        <f t="array" ref="Z124">AH124</f>
        <v>93</v>
      </c>
      <c r="AA124" t="str" s="273" cm="1">
        <f t="array" ref="AA124">INDEX($M$101:$M$147,MATCH(AH124,$J$101:$J$147,0))</f>
        <v>W83</v>
      </c>
      <c r="AB124" s="320"/>
      <c r="AC124" s="324"/>
      <c r="AD124" s="324"/>
      <c r="AE124" s="277"/>
      <c r="AF124" t="str" s="278" cm="1">
        <f t="array" ref="AF124">INDEX($N$101:$N$147,MATCH(AH124,$J$101:$J$147,0))</f>
        <v>W84</v>
      </c>
      <c r="AG124" s="115" cm="1">
        <f t="array" ref="AG124">IF(D124="W"&amp;AH124,0,1)</f>
        <v>0</v>
      </c>
      <c r="AH124" s="116">
        <v>93</v>
      </c>
      <c r="AI124" s="149"/>
      <c r="AJ124" s="86"/>
      <c r="AK124" s="86"/>
      <c r="AL124" s="86"/>
      <c r="AM124" s="8"/>
      <c r="AN124" s="8"/>
      <c r="AO124" s="8"/>
      <c r="AP124" s="8"/>
      <c r="AQ124" s="8"/>
      <c r="AR124" s="8"/>
      <c r="AS124" s="8"/>
      <c r="AT124" s="8"/>
      <c r="AU124" s="8"/>
      <c r="AV124" s="316"/>
      <c r="AW124" s="8"/>
      <c r="AX124" s="8"/>
      <c r="AY124" s="206"/>
      <c r="AZ124" s="207"/>
      <c r="BA124" s="8"/>
      <c r="BB124" s="87"/>
      <c r="BC124" s="87"/>
      <c r="BD124" s="87"/>
      <c r="BE124" s="87"/>
      <c r="BF124" t="s" s="296">
        <v>411</v>
      </c>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8"/>
      <c r="DU124" s="12"/>
    </row>
    <row r="125" ht="16" customHeight="1">
      <c r="A125" t="s" s="89">
        <v>590</v>
      </c>
      <c r="B125" t="s" s="89">
        <v>585</v>
      </c>
      <c r="C125" s="78"/>
      <c r="D125" t="str" s="78" cm="1">
        <f t="array" ref="D125">IF(AND(OR(AC125="",AD125="")),"W"&amp;AH125,IF(AC125&gt;AD125,AA125,IF(AC125&lt;AD125,AF125,IF(AND(AC125=AD125,AB125=AE125),"W"&amp;AH125,IF(AND(AC125=AD125,OR(AB125="",AE125="")),"W"&amp;AH125,IF(AND(AC125=AD125,AB125&gt;AE125),AA125,AF125))))))</f>
        <v>W94</v>
      </c>
      <c r="E125" s="105">
        <v>81</v>
      </c>
      <c r="F125" s="105">
        <v>82</v>
      </c>
      <c r="G125" s="78"/>
      <c r="H125" s="78"/>
      <c r="I125" s="78"/>
      <c r="J125" s="105">
        <v>94</v>
      </c>
      <c r="K125" s="105">
        <v>46209.875</v>
      </c>
      <c r="L125" t="s" s="89">
        <v>649</v>
      </c>
      <c r="M125" t="str" s="78" cm="1">
        <f t="array" ref="M125">INDEX($D$101:$D$147,MATCH(E125,$AH$101:$AH$147,0))</f>
        <v>W81</v>
      </c>
      <c r="N125" t="str" s="78" cm="1">
        <f t="array" ref="N125">INDEX($D$101:$D$147,MATCH(F125,$AH$101:$AH$147,0))</f>
        <v>W82</v>
      </c>
      <c r="O125" s="78"/>
      <c r="P125" s="78"/>
      <c r="Q125" s="78"/>
      <c r="R125" s="78"/>
      <c r="S125" s="78"/>
      <c r="T125" s="78"/>
      <c r="U125" s="78"/>
      <c r="V125" s="90"/>
      <c r="W125" s="325"/>
      <c r="X125" s="319">
        <v>46209.833333333343</v>
      </c>
      <c r="Y125" s="108">
        <v>46209.833333333343</v>
      </c>
      <c r="Z125" s="272" cm="1">
        <f t="array" ref="Z125">AH125</f>
        <v>94</v>
      </c>
      <c r="AA125" t="str" s="273" cm="1">
        <f t="array" ref="AA125">INDEX($M$101:$M$147,MATCH(AH125,$J$101:$J$147,0))</f>
        <v>W81</v>
      </c>
      <c r="AB125" s="320"/>
      <c r="AC125" s="324"/>
      <c r="AD125" s="324"/>
      <c r="AE125" s="277"/>
      <c r="AF125" t="str" s="278" cm="1">
        <f t="array" ref="AF125">INDEX($N$101:$N$147,MATCH(AH125,$J$101:$J$147,0))</f>
        <v>W82</v>
      </c>
      <c r="AG125" s="115" cm="1">
        <f t="array" ref="AG125">IF(D125="W"&amp;AH125,0,1)</f>
        <v>0</v>
      </c>
      <c r="AH125" s="116">
        <v>94</v>
      </c>
      <c r="AI125" s="149"/>
      <c r="AJ125" s="86"/>
      <c r="AK125" s="86"/>
      <c r="AL125" s="86"/>
      <c r="AM125" s="8"/>
      <c r="AN125" s="8"/>
      <c r="AO125" s="8"/>
      <c r="AP125" s="8"/>
      <c r="AQ125" s="8"/>
      <c r="AR125" s="8"/>
      <c r="AS125" s="8"/>
      <c r="AT125" s="8"/>
      <c r="AU125" s="8"/>
      <c r="AV125" s="316"/>
      <c r="AW125" s="8"/>
      <c r="AX125" s="8"/>
      <c r="AY125" s="206"/>
      <c r="AZ125" s="207"/>
      <c r="BA125" s="8"/>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8"/>
      <c r="DU125" s="12"/>
    </row>
    <row r="126" ht="16" customHeight="1">
      <c r="A126" t="s" s="89">
        <v>610</v>
      </c>
      <c r="B126" t="s" s="89">
        <v>606</v>
      </c>
      <c r="C126" s="78"/>
      <c r="D126" t="str" s="78" cm="1">
        <f t="array" ref="D126">IF(AND(OR(AC126="",AD126="")),"W"&amp;AH126,IF(AC126&gt;AD126,AA126,IF(AC126&lt;AD126,AF126,IF(AND(AC126=AD126,AB126=AE126),"W"&amp;AH126,IF(AND(AC126=AD126,OR(AB126="",AE126="")),"W"&amp;AH126,IF(AND(AC126=AD126,AB126&gt;AE126),AA126,AF126))))))</f>
        <v>W95</v>
      </c>
      <c r="E126" s="105">
        <v>86</v>
      </c>
      <c r="F126" s="105">
        <v>88</v>
      </c>
      <c r="G126" s="78"/>
      <c r="H126" s="78"/>
      <c r="I126" s="78"/>
      <c r="J126" s="105">
        <v>95</v>
      </c>
      <c r="K126" s="105">
        <v>46210.75</v>
      </c>
      <c r="L126" t="s" s="89">
        <v>655</v>
      </c>
      <c r="M126" t="str" s="78" cm="1">
        <f t="array" ref="M126">INDEX($D$101:$D$147,MATCH(E126,$AH$101:$AH$147,0))</f>
        <v>W86</v>
      </c>
      <c r="N126" t="str" s="78" cm="1">
        <f t="array" ref="N126">INDEX($D$101:$D$147,MATCH(F126,$AH$101:$AH$147,0))</f>
        <v>W88</v>
      </c>
      <c r="O126" s="78"/>
      <c r="P126" s="78"/>
      <c r="Q126" s="78"/>
      <c r="R126" s="78"/>
      <c r="S126" s="78"/>
      <c r="T126" s="78"/>
      <c r="U126" s="78"/>
      <c r="V126" s="90"/>
      <c r="W126" s="325"/>
      <c r="X126" s="319">
        <v>46210.5</v>
      </c>
      <c r="Y126" s="108">
        <v>46210.5</v>
      </c>
      <c r="Z126" s="272" cm="1">
        <f t="array" ref="Z126">AH126</f>
        <v>95</v>
      </c>
      <c r="AA126" t="str" s="273" cm="1">
        <f t="array" ref="AA126">INDEX($M$101:$M$147,MATCH(AH126,$J$101:$J$147,0))</f>
        <v>W86</v>
      </c>
      <c r="AB126" s="320"/>
      <c r="AC126" s="324"/>
      <c r="AD126" s="324"/>
      <c r="AE126" s="277"/>
      <c r="AF126" t="str" s="278" cm="1">
        <f t="array" ref="AF126">INDEX($N$101:$N$147,MATCH(AH126,$J$101:$J$147,0))</f>
        <v>W88</v>
      </c>
      <c r="AG126" s="115" cm="1">
        <f t="array" ref="AG126">IF(D126="W"&amp;AH126,0,1)</f>
        <v>0</v>
      </c>
      <c r="AH126" s="116">
        <v>95</v>
      </c>
      <c r="AI126" s="149"/>
      <c r="AJ126" s="86"/>
      <c r="AK126" s="86"/>
      <c r="AL126" s="86"/>
      <c r="AM126" s="8"/>
      <c r="AN126" s="8"/>
      <c r="AO126" s="8"/>
      <c r="AP126" s="8"/>
      <c r="AQ126" s="8"/>
      <c r="AR126" s="8"/>
      <c r="AS126" s="8"/>
      <c r="AT126" s="8"/>
      <c r="AU126" s="8"/>
      <c r="AV126" s="316"/>
      <c r="AW126" s="8"/>
      <c r="AX126" s="8"/>
      <c r="AY126" s="206"/>
      <c r="AZ126" s="207"/>
      <c r="BA126" s="8"/>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8"/>
      <c r="DU126" s="12"/>
    </row>
    <row r="127" ht="16" customHeight="1">
      <c r="A127" t="s" s="89">
        <v>603</v>
      </c>
      <c r="B127" t="s" s="89">
        <v>613</v>
      </c>
      <c r="C127" s="78"/>
      <c r="D127" t="str" s="78" cm="1">
        <f t="array" ref="D127">IF(AND(OR(AC127="",AD127="")),"W"&amp;AH127,IF(AC127&gt;AD127,AA127,IF(AC127&lt;AD127,AF127,IF(AND(AC127=AD127,AB127=AE127),"W"&amp;AH127,IF(AND(AC127=AD127,OR(AB127="",AE127="")),"W"&amp;AH127,IF(AND(AC127=AD127,AB127&gt;AE127),AA127,AF127))))))</f>
        <v>W96</v>
      </c>
      <c r="E127" s="105">
        <v>85</v>
      </c>
      <c r="F127" s="105">
        <v>87</v>
      </c>
      <c r="G127" s="78"/>
      <c r="H127" s="78"/>
      <c r="I127" s="78"/>
      <c r="J127" s="105">
        <v>96</v>
      </c>
      <c r="K127" s="105">
        <v>46210.875</v>
      </c>
      <c r="L127" t="s" s="89">
        <v>661</v>
      </c>
      <c r="M127" t="str" s="78" cm="1">
        <f t="array" ref="M127">INDEX($D$101:$D$147,MATCH(E127,$AH$101:$AH$147,0))</f>
        <v>W85</v>
      </c>
      <c r="N127" t="str" s="78" cm="1">
        <f t="array" ref="N127">INDEX($D$101:$D$147,MATCH(F127,$AH$101:$AH$147,0))</f>
        <v>W87</v>
      </c>
      <c r="O127" s="78"/>
      <c r="P127" s="78"/>
      <c r="Q127" s="78"/>
      <c r="R127" s="78"/>
      <c r="S127" s="78"/>
      <c r="T127" s="78"/>
      <c r="U127" s="78"/>
      <c r="V127" s="90"/>
      <c r="W127" s="326"/>
      <c r="X127" s="327">
        <v>46210.666666666657</v>
      </c>
      <c r="Y127" s="165">
        <v>46210.666666666657</v>
      </c>
      <c r="Z127" s="309" cm="1">
        <f t="array" ref="Z127">AH127</f>
        <v>96</v>
      </c>
      <c r="AA127" t="str" s="310" cm="1">
        <f t="array" ref="AA127">INDEX($M$101:$M$147,MATCH(AH127,$J$101:$J$147,0))</f>
        <v>W85</v>
      </c>
      <c r="AB127" s="328"/>
      <c r="AC127" s="329"/>
      <c r="AD127" s="329"/>
      <c r="AE127" s="330"/>
      <c r="AF127" t="str" s="314" cm="1">
        <f t="array" ref="AF127">INDEX($N$101:$N$147,MATCH(AH127,$J$101:$J$147,0))</f>
        <v>W87</v>
      </c>
      <c r="AG127" s="115" cm="1">
        <f t="array" ref="AG127">IF(D127="W"&amp;AH127,0,1)</f>
        <v>0</v>
      </c>
      <c r="AH127" s="116">
        <v>96</v>
      </c>
      <c r="AI127" s="149"/>
      <c r="AJ127" s="86"/>
      <c r="AK127" s="86"/>
      <c r="AL127" s="86"/>
      <c r="AM127" s="8"/>
      <c r="AN127" s="8"/>
      <c r="AO127" s="8"/>
      <c r="AP127" s="8"/>
      <c r="AQ127" s="8"/>
      <c r="AR127" s="8"/>
      <c r="AS127" s="8"/>
      <c r="AT127" s="8"/>
      <c r="AU127" s="8"/>
      <c r="AV127" s="316"/>
      <c r="AW127" s="8"/>
      <c r="AX127" s="8"/>
      <c r="AY127" s="206"/>
      <c r="AZ127" s="207"/>
      <c r="BA127" s="8"/>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8"/>
      <c r="DU127" s="12"/>
    </row>
    <row r="128" ht="16" customHeight="1">
      <c r="A128" s="78"/>
      <c r="B128" s="78"/>
      <c r="C128" s="78"/>
      <c r="D128" s="78"/>
      <c r="E128" s="78"/>
      <c r="F128" s="78"/>
      <c r="G128" s="78"/>
      <c r="H128" s="78"/>
      <c r="I128" s="78"/>
      <c r="J128" s="78"/>
      <c r="K128" s="78"/>
      <c r="L128" s="78"/>
      <c r="M128" s="78"/>
      <c r="N128" s="78"/>
      <c r="O128" s="78"/>
      <c r="P128" s="78"/>
      <c r="Q128" s="78"/>
      <c r="R128" s="78"/>
      <c r="S128" s="78"/>
      <c r="T128" s="78"/>
      <c r="U128" s="78"/>
      <c r="V128" s="79"/>
      <c r="W128" s="180"/>
      <c r="X128" s="181"/>
      <c r="Y128" s="180"/>
      <c r="Z128" s="182"/>
      <c r="AA128" s="183"/>
      <c r="AB128" s="184"/>
      <c r="AC128" s="185"/>
      <c r="AD128" s="185"/>
      <c r="AE128" s="184"/>
      <c r="AF128" s="186"/>
      <c r="AG128" s="317"/>
      <c r="AH128" s="188"/>
      <c r="AI128" s="149"/>
      <c r="AJ128" s="86"/>
      <c r="AK128" s="86"/>
      <c r="AL128" s="86"/>
      <c r="AM128" s="8"/>
      <c r="AN128" s="8"/>
      <c r="AO128" s="8"/>
      <c r="AP128" s="8"/>
      <c r="AQ128" s="8"/>
      <c r="AR128" s="8"/>
      <c r="AS128" s="8"/>
      <c r="AT128" s="8"/>
      <c r="AU128" s="8"/>
      <c r="AV128" s="316"/>
      <c r="AW128" s="8"/>
      <c r="AX128" s="8"/>
      <c r="AY128" s="206"/>
      <c r="AZ128" s="207"/>
      <c r="BA128" s="8"/>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8"/>
      <c r="DU128" s="12"/>
    </row>
    <row r="129" ht="16" customHeight="1">
      <c r="A129" s="78"/>
      <c r="B129" s="78"/>
      <c r="C129" s="78"/>
      <c r="D129" s="78"/>
      <c r="E129" s="78"/>
      <c r="F129" s="78"/>
      <c r="G129" s="78"/>
      <c r="H129" s="78"/>
      <c r="I129" s="78"/>
      <c r="J129" s="78"/>
      <c r="K129" s="78"/>
      <c r="L129" s="78"/>
      <c r="M129" s="78"/>
      <c r="N129" s="78"/>
      <c r="O129" s="78"/>
      <c r="P129" s="78"/>
      <c r="Q129" s="78"/>
      <c r="R129" s="78"/>
      <c r="S129" s="78"/>
      <c r="T129" s="78"/>
      <c r="U129" s="78"/>
      <c r="V129" s="90"/>
      <c r="W129" t="s" s="255">
        <v>666</v>
      </c>
      <c r="X129" s="256"/>
      <c r="Y129" s="257"/>
      <c r="Z129" s="257"/>
      <c r="AA129" s="257"/>
      <c r="AB129" s="257"/>
      <c r="AC129" s="257"/>
      <c r="AD129" s="257"/>
      <c r="AE129" s="257"/>
      <c r="AF129" s="258"/>
      <c r="AG129" s="201"/>
      <c r="AH129" s="8"/>
      <c r="AI129" s="149"/>
      <c r="AJ129" s="86"/>
      <c r="AK129" s="86"/>
      <c r="AL129" s="86"/>
      <c r="AM129" s="8"/>
      <c r="AN129" s="8"/>
      <c r="AO129" s="8"/>
      <c r="AP129" s="8"/>
      <c r="AQ129" s="8"/>
      <c r="AR129" s="8"/>
      <c r="AS129" s="8"/>
      <c r="AT129" s="8"/>
      <c r="AU129" s="8"/>
      <c r="AV129" s="316"/>
      <c r="AW129" s="8"/>
      <c r="AX129" s="8"/>
      <c r="AY129" s="206"/>
      <c r="AZ129" s="207"/>
      <c r="BA129" s="8"/>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8"/>
      <c r="DU129" s="12"/>
    </row>
    <row r="130" ht="16" customHeight="1">
      <c r="A130" s="78"/>
      <c r="B130" s="78"/>
      <c r="C130" s="78"/>
      <c r="D130" s="78"/>
      <c r="E130" s="78"/>
      <c r="F130" s="78"/>
      <c r="G130" s="78"/>
      <c r="H130" s="78"/>
      <c r="I130" s="78"/>
      <c r="J130" s="78"/>
      <c r="K130" s="78"/>
      <c r="L130" s="78"/>
      <c r="M130" s="78"/>
      <c r="N130" s="78"/>
      <c r="O130" s="78"/>
      <c r="P130" s="78"/>
      <c r="Q130" s="78"/>
      <c r="R130" s="78"/>
      <c r="S130" s="78"/>
      <c r="T130" s="78"/>
      <c r="U130" s="78"/>
      <c r="V130" s="90"/>
      <c r="W130" s="91"/>
      <c r="X130" t="str" s="198" cm="1">
        <f t="array" ref="X130">X3</f>
        <v>Fecha</v>
      </c>
      <c r="Y130" t="str" s="198" cm="1">
        <f t="array" ref="Y130">Y3</f>
        <v>Hora</v>
      </c>
      <c r="Z130" s="249"/>
      <c r="AA130" t="str" s="250" cm="1">
        <f t="array" ref="AA130">AA3</f>
        <v>Casa</v>
      </c>
      <c r="AB130" t="s" s="265">
        <v>536</v>
      </c>
      <c r="AC130" t="str" s="198" cm="1">
        <f t="array" ref="AC130">AC3</f>
        <v>Gol</v>
      </c>
      <c r="AD130" t="str" s="198" cm="1">
        <f t="array" ref="AD130">AD3</f>
        <v>Gol</v>
      </c>
      <c r="AE130" t="s" s="265">
        <v>536</v>
      </c>
      <c r="AF130" t="str" s="251" cm="1">
        <f t="array" ref="AF130">AF3</f>
        <v>Fuera</v>
      </c>
      <c r="AG130" s="201"/>
      <c r="AH130" s="8"/>
      <c r="AI130" s="149"/>
      <c r="AJ130" s="86"/>
      <c r="AK130" s="86"/>
      <c r="AL130" s="86"/>
      <c r="AM130" s="8"/>
      <c r="AN130" s="8"/>
      <c r="AO130" s="8"/>
      <c r="AP130" s="8"/>
      <c r="AQ130" s="8"/>
      <c r="AR130" s="8"/>
      <c r="AS130" s="8"/>
      <c r="AT130" s="8"/>
      <c r="AU130" s="8"/>
      <c r="AV130" s="316"/>
      <c r="AW130" s="8"/>
      <c r="AX130" s="8"/>
      <c r="AY130" s="206"/>
      <c r="AZ130" s="207"/>
      <c r="BA130" s="8"/>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8"/>
      <c r="DU130" s="12"/>
    </row>
    <row r="131" ht="16" customHeight="1">
      <c r="A131" t="s" s="89">
        <v>624</v>
      </c>
      <c r="B131" t="s" s="89">
        <v>617</v>
      </c>
      <c r="C131" s="78"/>
      <c r="D131" t="str" s="78" cm="1">
        <f t="array" ref="D131">IF(AND(OR(AC131="",AD131="")),"W"&amp;AH131,IF(AC131&gt;AD131,AA131,IF(AC131&lt;AD131,AF131,IF(AND(AC131=AD131,AB131=AE131),"W"&amp;AH131,IF(AND(AC131=AD131,OR(AB131="",AE131="")),"W"&amp;AH131,IF(AND(AC131=AD131,AB131&gt;AE131),AA131,AF131))))))</f>
        <v>W97</v>
      </c>
      <c r="E131" s="105">
        <v>89</v>
      </c>
      <c r="F131" s="105">
        <v>90</v>
      </c>
      <c r="G131" s="78"/>
      <c r="H131" s="78"/>
      <c r="I131" s="78"/>
      <c r="J131" s="105">
        <v>97</v>
      </c>
      <c r="K131" s="105">
        <v>46212.75</v>
      </c>
      <c r="L131" t="s" s="89">
        <v>668</v>
      </c>
      <c r="M131" t="str" s="78" cm="1">
        <f t="array" ref="M131">INDEX($D$101:$D$147,MATCH(E131,$AH$101:$AH$147,0))</f>
        <v>W89</v>
      </c>
      <c r="N131" t="str" s="78" cm="1">
        <f t="array" ref="N131">INDEX($D$101:$D$147,MATCH(F131,$AH$101:$AH$147,0))</f>
        <v>W90</v>
      </c>
      <c r="O131" s="78"/>
      <c r="P131" s="78"/>
      <c r="Q131" s="78"/>
      <c r="R131" s="78"/>
      <c r="S131" s="78"/>
      <c r="T131" s="78"/>
      <c r="U131" s="78"/>
      <c r="V131" s="90"/>
      <c r="W131" t="s" s="331">
        <v>671</v>
      </c>
      <c r="X131" s="319">
        <v>46212.666666666657</v>
      </c>
      <c r="Y131" s="108">
        <v>46212.666666666657</v>
      </c>
      <c r="Z131" s="332" cm="1">
        <f t="array" ref="Z131">AH131</f>
        <v>97</v>
      </c>
      <c r="AA131" t="str" s="333" cm="1">
        <f t="array" ref="AA131">INDEX($M$101:$M$147,MATCH(AH131,$J$101:$J$147,0))</f>
        <v>W89</v>
      </c>
      <c r="AB131" s="320"/>
      <c r="AC131" s="321"/>
      <c r="AD131" s="321"/>
      <c r="AE131" s="277"/>
      <c r="AF131" t="str" s="278" cm="1">
        <f t="array" ref="AF131">INDEX($N$101:$N$147,MATCH(AH131,$J$101:$J$147,0))</f>
        <v>W90</v>
      </c>
      <c r="AG131" s="115" cm="1">
        <f t="array" ref="AG131">IF(D131="W"&amp;AH131,0,1)</f>
        <v>0</v>
      </c>
      <c r="AH131" s="116">
        <v>97</v>
      </c>
      <c r="AI131" s="149"/>
      <c r="AJ131" s="86"/>
      <c r="AK131" s="86"/>
      <c r="AL131" s="86"/>
      <c r="AM131" s="8"/>
      <c r="AN131" s="8"/>
      <c r="AO131" s="8"/>
      <c r="AP131" s="8"/>
      <c r="AQ131" s="8"/>
      <c r="AR131" s="8"/>
      <c r="AS131" s="8"/>
      <c r="AT131" s="8"/>
      <c r="AU131" s="8"/>
      <c r="AV131" s="316"/>
      <c r="AW131" s="8"/>
      <c r="AX131" s="8"/>
      <c r="AY131" s="206"/>
      <c r="AZ131" s="207"/>
      <c r="BA131" s="8"/>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8"/>
      <c r="DU131" s="12"/>
    </row>
    <row r="132" ht="16" customHeight="1">
      <c r="A132" t="s" s="89">
        <v>642</v>
      </c>
      <c r="B132" t="s" s="89">
        <v>648</v>
      </c>
      <c r="C132" s="78"/>
      <c r="D132" t="str" s="78" cm="1">
        <f t="array" ref="D132">IF(AND(OR(AC132="",AD132="")),"W"&amp;AH132,IF(AC132&gt;AD132,AA132,IF(AC132&lt;AD132,AF132,IF(AND(AC132=AD132,AB132=AE132),"W"&amp;AH132,IF(AND(AC132=AD132,OR(AB132="",AE132="")),"W"&amp;AH132,IF(AND(AC132=AD132,AB132&gt;AE132),AA132,AF132))))))</f>
        <v>W98</v>
      </c>
      <c r="E132" s="105">
        <v>93</v>
      </c>
      <c r="F132" s="105">
        <v>94</v>
      </c>
      <c r="G132" s="78"/>
      <c r="H132" s="78"/>
      <c r="I132" s="78"/>
      <c r="J132" s="105">
        <v>98</v>
      </c>
      <c r="K132" s="105">
        <v>46213.875</v>
      </c>
      <c r="L132" t="s" s="89">
        <v>675</v>
      </c>
      <c r="M132" t="str" s="78" cm="1">
        <f t="array" ref="M132">INDEX($D$101:$D$147,MATCH(E132,$AH$101:$AH$147,0))</f>
        <v>W93</v>
      </c>
      <c r="N132" t="str" s="78" cm="1">
        <f t="array" ref="N132">INDEX($D$101:$D$147,MATCH(F132,$AH$101:$AH$147,0))</f>
        <v>W94</v>
      </c>
      <c r="O132" s="78"/>
      <c r="P132" s="78"/>
      <c r="Q132" s="78"/>
      <c r="R132" s="78"/>
      <c r="S132" s="78"/>
      <c r="T132" s="78"/>
      <c r="U132" s="78"/>
      <c r="V132" s="90"/>
      <c r="W132" s="323"/>
      <c r="X132" s="319">
        <v>46213.625</v>
      </c>
      <c r="Y132" s="108">
        <v>46213.625</v>
      </c>
      <c r="Z132" s="332" cm="1">
        <f t="array" ref="Z132">AH132</f>
        <v>98</v>
      </c>
      <c r="AA132" t="str" s="333" cm="1">
        <f t="array" ref="AA132">INDEX($M$101:$M$147,MATCH(AH132,$J$101:$J$147,0))</f>
        <v>W93</v>
      </c>
      <c r="AB132" s="320"/>
      <c r="AC132" s="324"/>
      <c r="AD132" s="324"/>
      <c r="AE132" s="277"/>
      <c r="AF132" t="str" s="278" cm="1">
        <f t="array" ref="AF132">INDEX($N$101:$N$147,MATCH(AH132,$J$101:$J$147,0))</f>
        <v>W94</v>
      </c>
      <c r="AG132" s="115" cm="1">
        <f t="array" ref="AG132">IF(D132="W"&amp;AH132,0,1)</f>
        <v>0</v>
      </c>
      <c r="AH132" s="116">
        <v>98</v>
      </c>
      <c r="AI132" s="149"/>
      <c r="AJ132" s="86"/>
      <c r="AK132" s="86"/>
      <c r="AL132" s="86"/>
      <c r="AM132" s="8"/>
      <c r="AN132" s="8"/>
      <c r="AO132" s="8"/>
      <c r="AP132" s="8"/>
      <c r="AQ132" s="8"/>
      <c r="AR132" s="8"/>
      <c r="AS132" s="8"/>
      <c r="AT132" s="8"/>
      <c r="AU132" s="8"/>
      <c r="AV132" s="316"/>
      <c r="AW132" s="8"/>
      <c r="AX132" s="8"/>
      <c r="AY132" s="206"/>
      <c r="AZ132" s="207"/>
      <c r="BA132" s="8"/>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8"/>
      <c r="DU132" s="12"/>
    </row>
    <row r="133" ht="16" customHeight="1">
      <c r="A133" t="s" s="89">
        <v>630</v>
      </c>
      <c r="B133" t="s" s="89">
        <v>636</v>
      </c>
      <c r="C133" s="78"/>
      <c r="D133" t="str" s="78" cm="1">
        <f t="array" ref="D133">IF(AND(OR(AC133="",AD133="")),"W"&amp;AH133,IF(AC133&gt;AD133,AA133,IF(AC133&lt;AD133,AF133,IF(AND(AC133=AD133,AB133=AE133),"W"&amp;AH133,IF(AND(AC133=AD133,OR(AB133="",AE133="")),"W"&amp;AH133,IF(AND(AC133=AD133,AB133&gt;AE133),AA133,AF133))))))</f>
        <v>W99</v>
      </c>
      <c r="E133" s="105">
        <v>91</v>
      </c>
      <c r="F133" s="105">
        <v>92</v>
      </c>
      <c r="G133" s="78"/>
      <c r="H133" s="78"/>
      <c r="I133" s="78"/>
      <c r="J133" s="105">
        <v>99</v>
      </c>
      <c r="K133" s="105">
        <v>46214.75</v>
      </c>
      <c r="L133" t="s" s="89">
        <v>681</v>
      </c>
      <c r="M133" t="str" s="78" cm="1">
        <f t="array" ref="M133">INDEX($D$101:$D$147,MATCH(E133,$AH$101:$AH$147,0))</f>
        <v>W91</v>
      </c>
      <c r="N133" t="str" s="78" cm="1">
        <f t="array" ref="N133">INDEX($D$101:$D$147,MATCH(F133,$AH$101:$AH$147,0))</f>
        <v>W92</v>
      </c>
      <c r="O133" s="78"/>
      <c r="P133" s="78"/>
      <c r="Q133" s="78"/>
      <c r="R133" s="78"/>
      <c r="S133" s="78"/>
      <c r="T133" s="78"/>
      <c r="U133" s="78"/>
      <c r="V133" s="90"/>
      <c r="W133" s="325"/>
      <c r="X133" s="319">
        <v>46214.708333333343</v>
      </c>
      <c r="Y133" s="108">
        <v>46214.708333333343</v>
      </c>
      <c r="Z133" s="332" cm="1">
        <f t="array" ref="Z133">AH133</f>
        <v>99</v>
      </c>
      <c r="AA133" t="str" s="333" cm="1">
        <f t="array" ref="AA133">INDEX($M$101:$M$147,MATCH(AH133,$J$101:$J$147,0))</f>
        <v>W91</v>
      </c>
      <c r="AB133" s="320"/>
      <c r="AC133" s="324"/>
      <c r="AD133" s="324"/>
      <c r="AE133" s="277"/>
      <c r="AF133" t="str" s="278" cm="1">
        <f t="array" ref="AF133">INDEX($N$101:$N$147,MATCH(AH133,$J$101:$J$147,0))</f>
        <v>W92</v>
      </c>
      <c r="AG133" s="115" cm="1">
        <f t="array" ref="AG133">IF(D133="W"&amp;AH133,0,1)</f>
        <v>0</v>
      </c>
      <c r="AH133" s="116">
        <v>99</v>
      </c>
      <c r="AI133" s="149"/>
      <c r="AJ133" s="86"/>
      <c r="AK133" s="86"/>
      <c r="AL133" s="86"/>
      <c r="AM133" s="8"/>
      <c r="AN133" s="8"/>
      <c r="AO133" s="8"/>
      <c r="AP133" s="8"/>
      <c r="AQ133" s="8"/>
      <c r="AR133" s="8"/>
      <c r="AS133" s="8"/>
      <c r="AT133" s="8"/>
      <c r="AU133" s="8"/>
      <c r="AV133" s="316"/>
      <c r="AW133" s="8"/>
      <c r="AX133" s="8"/>
      <c r="AY133" s="206"/>
      <c r="AZ133" s="207"/>
      <c r="BA133" s="8"/>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8"/>
      <c r="DU133" s="12"/>
    </row>
    <row r="134" ht="16" customHeight="1">
      <c r="A134" t="s" s="89">
        <v>654</v>
      </c>
      <c r="B134" t="s" s="89">
        <v>660</v>
      </c>
      <c r="C134" s="78"/>
      <c r="D134" t="str" s="78" cm="1">
        <f t="array" ref="D134">IF(AND(OR(AC134="",AD134="")),"W"&amp;AH134,IF(AC134&gt;AD134,AA134,IF(AC134&lt;AD134,AF134,IF(AND(AC134=AD134,AB134=AE134),"W"&amp;AH134,IF(AND(AC134=AD134,OR(AB134="",AE134="")),"W"&amp;AH134,IF(AND(AC134=AD134,AB134&gt;AE134),AA134,AF134))))))</f>
        <v>W100</v>
      </c>
      <c r="E134" s="105">
        <v>95</v>
      </c>
      <c r="F134" s="105">
        <v>96</v>
      </c>
      <c r="G134" s="78"/>
      <c r="H134" s="78"/>
      <c r="I134" s="78"/>
      <c r="J134" s="105">
        <v>100</v>
      </c>
      <c r="K134" s="105">
        <v>46214.875</v>
      </c>
      <c r="L134" t="s" s="89">
        <v>687</v>
      </c>
      <c r="M134" t="str" s="78" cm="1">
        <f t="array" ref="M134">INDEX($D$101:$D$147,MATCH(E134,$AH$101:$AH$147,0))</f>
        <v>W95</v>
      </c>
      <c r="N134" t="str" s="78" cm="1">
        <f t="array" ref="N134">INDEX($D$101:$D$147,MATCH(F134,$AH$101:$AH$147,0))</f>
        <v>W96</v>
      </c>
      <c r="O134" s="78"/>
      <c r="P134" s="78"/>
      <c r="Q134" s="78"/>
      <c r="R134" s="78"/>
      <c r="S134" s="78"/>
      <c r="T134" s="78"/>
      <c r="U134" s="78"/>
      <c r="V134" s="90"/>
      <c r="W134" s="326"/>
      <c r="X134" s="327">
        <v>46214.875</v>
      </c>
      <c r="Y134" s="165">
        <v>46214.875</v>
      </c>
      <c r="Z134" s="334" cm="1">
        <f t="array" ref="Z134">AH134</f>
        <v>100</v>
      </c>
      <c r="AA134" t="str" s="335" cm="1">
        <f t="array" ref="AA134">INDEX($M$101:$M$147,MATCH(AH134,$J$101:$J$147,0))</f>
        <v>W95</v>
      </c>
      <c r="AB134" s="328"/>
      <c r="AC134" s="329"/>
      <c r="AD134" s="329"/>
      <c r="AE134" s="330"/>
      <c r="AF134" t="str" s="314" cm="1">
        <f t="array" ref="AF134">INDEX($N$101:$N$147,MATCH(AH134,$J$101:$J$147,0))</f>
        <v>W96</v>
      </c>
      <c r="AG134" s="115" cm="1">
        <f t="array" ref="AG134">IF(D134="W"&amp;AH134,0,1)</f>
        <v>0</v>
      </c>
      <c r="AH134" s="116">
        <v>100</v>
      </c>
      <c r="AI134" s="149"/>
      <c r="AJ134" s="86"/>
      <c r="AK134" s="86"/>
      <c r="AL134" s="86"/>
      <c r="AM134" s="8"/>
      <c r="AN134" s="8"/>
      <c r="AO134" s="8"/>
      <c r="AP134" s="8"/>
      <c r="AQ134" s="8"/>
      <c r="AR134" s="8"/>
      <c r="AS134" s="8"/>
      <c r="AT134" s="8"/>
      <c r="AU134" s="8"/>
      <c r="AV134" s="316"/>
      <c r="AW134" s="8"/>
      <c r="AX134" s="8"/>
      <c r="AY134" s="206"/>
      <c r="AZ134" s="207"/>
      <c r="BA134" s="8"/>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8"/>
      <c r="DU134" s="12"/>
    </row>
    <row r="135" ht="16" customHeight="1">
      <c r="A135" s="78"/>
      <c r="B135" s="78"/>
      <c r="C135" s="78"/>
      <c r="D135" s="78"/>
      <c r="E135" s="78"/>
      <c r="F135" s="78"/>
      <c r="G135" s="78"/>
      <c r="H135" s="78"/>
      <c r="I135" s="78"/>
      <c r="J135" s="78"/>
      <c r="K135" s="78"/>
      <c r="L135" s="78"/>
      <c r="M135" s="78"/>
      <c r="N135" s="78"/>
      <c r="O135" s="78"/>
      <c r="P135" s="78"/>
      <c r="Q135" s="78"/>
      <c r="R135" s="78"/>
      <c r="S135" s="78"/>
      <c r="T135" s="78"/>
      <c r="U135" s="78"/>
      <c r="V135" s="79"/>
      <c r="W135" s="180"/>
      <c r="X135" s="181"/>
      <c r="Y135" s="180"/>
      <c r="Z135" s="182"/>
      <c r="AA135" s="183"/>
      <c r="AB135" s="184"/>
      <c r="AC135" s="185"/>
      <c r="AD135" s="185"/>
      <c r="AE135" s="184"/>
      <c r="AF135" s="186"/>
      <c r="AG135" s="317"/>
      <c r="AH135" s="336"/>
      <c r="AI135" s="149"/>
      <c r="AJ135" s="86"/>
      <c r="AK135" s="86"/>
      <c r="AL135" s="86"/>
      <c r="AM135" s="8"/>
      <c r="AN135" s="8"/>
      <c r="AO135" s="8"/>
      <c r="AP135" s="8"/>
      <c r="AQ135" s="8"/>
      <c r="AR135" s="8"/>
      <c r="AS135" s="8"/>
      <c r="AT135" s="8"/>
      <c r="AU135" s="8"/>
      <c r="AV135" s="316"/>
      <c r="AW135" s="8"/>
      <c r="AX135" s="8"/>
      <c r="AY135" s="206"/>
      <c r="AZ135" s="207"/>
      <c r="BA135" s="8"/>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8"/>
      <c r="DU135" s="12"/>
    </row>
    <row r="136" ht="16" customHeight="1">
      <c r="A136" s="78"/>
      <c r="B136" s="78"/>
      <c r="C136" s="78"/>
      <c r="D136" s="78"/>
      <c r="E136" s="78"/>
      <c r="F136" t="s" s="89">
        <v>692</v>
      </c>
      <c r="G136" s="78"/>
      <c r="H136" s="78"/>
      <c r="I136" s="78"/>
      <c r="J136" s="78"/>
      <c r="K136" s="78"/>
      <c r="L136" s="78"/>
      <c r="M136" s="78"/>
      <c r="N136" s="78"/>
      <c r="O136" s="78"/>
      <c r="P136" s="78"/>
      <c r="Q136" s="78"/>
      <c r="R136" s="78"/>
      <c r="S136" s="78"/>
      <c r="T136" s="78"/>
      <c r="U136" s="78"/>
      <c r="V136" s="90"/>
      <c r="W136" t="s" s="255">
        <v>693</v>
      </c>
      <c r="X136" s="256"/>
      <c r="Y136" s="257"/>
      <c r="Z136" s="257"/>
      <c r="AA136" s="257"/>
      <c r="AB136" s="257"/>
      <c r="AC136" s="257"/>
      <c r="AD136" s="257"/>
      <c r="AE136" s="257"/>
      <c r="AF136" s="258"/>
      <c r="AG136" s="259"/>
      <c r="AH136" s="336"/>
      <c r="AI136" s="149"/>
      <c r="AJ136" s="86"/>
      <c r="AK136" s="86"/>
      <c r="AL136" s="86"/>
      <c r="AM136" s="8"/>
      <c r="AN136" s="8"/>
      <c r="AO136" s="8"/>
      <c r="AP136" s="8"/>
      <c r="AQ136" s="8"/>
      <c r="AR136" s="8"/>
      <c r="AS136" s="8"/>
      <c r="AT136" s="8"/>
      <c r="AU136" s="8"/>
      <c r="AV136" s="316"/>
      <c r="AW136" s="8"/>
      <c r="AX136" s="8"/>
      <c r="AY136" s="206"/>
      <c r="AZ136" s="207"/>
      <c r="BA136" s="8"/>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8"/>
      <c r="DU136" s="12"/>
    </row>
    <row r="137" ht="16" customHeight="1">
      <c r="A137" s="78"/>
      <c r="B137" s="78"/>
      <c r="C137" s="78"/>
      <c r="D137" s="78"/>
      <c r="E137" s="78"/>
      <c r="F137" s="78"/>
      <c r="G137" s="78"/>
      <c r="H137" t="s" s="89">
        <v>694</v>
      </c>
      <c r="I137" s="78"/>
      <c r="J137" s="78"/>
      <c r="K137" s="78"/>
      <c r="L137" s="78"/>
      <c r="M137" s="78"/>
      <c r="N137" s="78"/>
      <c r="O137" s="78"/>
      <c r="P137" s="78"/>
      <c r="Q137" s="78"/>
      <c r="R137" s="78"/>
      <c r="S137" s="78"/>
      <c r="T137" s="78"/>
      <c r="U137" s="78"/>
      <c r="V137" s="90"/>
      <c r="W137" s="91"/>
      <c r="X137" t="str" s="198" cm="1">
        <f t="array" ref="X137">X3</f>
        <v>Fecha</v>
      </c>
      <c r="Y137" t="str" s="198" cm="1">
        <f t="array" ref="Y137">Y3</f>
        <v>Hora</v>
      </c>
      <c r="Z137" s="249"/>
      <c r="AA137" t="str" s="250" cm="1">
        <f t="array" ref="AA137">AA3</f>
        <v>Casa</v>
      </c>
      <c r="AB137" t="s" s="265">
        <v>536</v>
      </c>
      <c r="AC137" t="s" s="92">
        <v>40</v>
      </c>
      <c r="AD137" t="s" s="92">
        <v>40</v>
      </c>
      <c r="AE137" t="s" s="265">
        <v>536</v>
      </c>
      <c r="AF137" t="str" s="251" cm="1">
        <f t="array" ref="AF137">AF3</f>
        <v>Fuera</v>
      </c>
      <c r="AG137" s="259"/>
      <c r="AH137" s="336"/>
      <c r="AI137" s="149"/>
      <c r="AJ137" s="86"/>
      <c r="AK137" s="86"/>
      <c r="AL137" s="86"/>
      <c r="AM137" s="8"/>
      <c r="AN137" s="8"/>
      <c r="AO137" s="8"/>
      <c r="AP137" s="8"/>
      <c r="AQ137" s="8"/>
      <c r="AR137" s="8"/>
      <c r="AS137" s="8"/>
      <c r="AT137" s="8"/>
      <c r="AU137" s="8"/>
      <c r="AV137" s="316"/>
      <c r="AW137" s="8"/>
      <c r="AX137" s="8"/>
      <c r="AY137" s="206"/>
      <c r="AZ137" s="207"/>
      <c r="BA137" s="8"/>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8"/>
      <c r="DU137" s="12"/>
    </row>
    <row r="138" ht="16" customHeight="1">
      <c r="A138" t="s" s="89">
        <v>667</v>
      </c>
      <c r="B138" t="s" s="89">
        <v>674</v>
      </c>
      <c r="C138" s="78"/>
      <c r="D138" t="str" s="78" cm="1">
        <f t="array" ref="D138">IF(AND(OR(AC138="",AD138="")),"W"&amp;AH138,IF(AC138&gt;AD138,AA138,IF(AC138&lt;AD138,AF138,IF(AND(AC138=AD138,AB138=AE138),"W"&amp;AH138,IF(AND(AC138=AD138,OR(AB138="",AE138="")),"W"&amp;AH138,IF(AND(AC138=AD138,AB138&gt;AE138),AA138,AF138))))))</f>
        <v>W101</v>
      </c>
      <c r="E138" s="105">
        <v>97</v>
      </c>
      <c r="F138" s="105">
        <v>98</v>
      </c>
      <c r="G138" s="78"/>
      <c r="H138" t="str" s="78" cm="1">
        <f t="array" ref="H138">IF(AND(OR(AC138="",AD138="")),"L101",IF(AC138&gt;AD138,AF138,IF(AC138&lt;AD138,AA138,IF(AND(AC138=AD138,AB138=AE138),"L101",IF(AND(AC138=AD138,OR(AB138="",AE138="")),"L101",IF(AND(AC138=AD138,AB138&gt;AE138),AF138,AA138))))))</f>
        <v>L101</v>
      </c>
      <c r="I138" s="78"/>
      <c r="J138" s="105">
        <v>101</v>
      </c>
      <c r="K138" s="105">
        <v>46217.875</v>
      </c>
      <c r="L138" t="s" s="89">
        <v>697</v>
      </c>
      <c r="M138" t="str" s="78" cm="1">
        <f t="array" ref="M138">INDEX($D$101:$D$147,MATCH(E138,$AH$101:$AH$147,0))</f>
        <v>W97</v>
      </c>
      <c r="N138" t="str" s="78" cm="1">
        <f t="array" ref="N138">INDEX($D$101:$D$147,MATCH(F138,$AH$101:$AH$147,0))</f>
        <v>W98</v>
      </c>
      <c r="O138" s="78"/>
      <c r="P138" s="78"/>
      <c r="Q138" s="78"/>
      <c r="R138" s="78"/>
      <c r="S138" s="78"/>
      <c r="T138" s="78"/>
      <c r="U138" s="78"/>
      <c r="V138" s="90"/>
      <c r="W138" t="s" s="337">
        <v>700</v>
      </c>
      <c r="X138" s="319">
        <v>46217.625</v>
      </c>
      <c r="Y138" s="108">
        <v>46217.625</v>
      </c>
      <c r="Z138" s="332" cm="1">
        <f t="array" ref="Z138">AH138</f>
        <v>101</v>
      </c>
      <c r="AA138" t="str" s="333" cm="1">
        <f t="array" ref="AA138">INDEX($M$101:$M$147,MATCH(AH138,$J$101:$J$147,0))</f>
        <v>W97</v>
      </c>
      <c r="AB138" s="320"/>
      <c r="AC138" s="321"/>
      <c r="AD138" s="321"/>
      <c r="AE138" s="277"/>
      <c r="AF138" t="str" s="278" cm="1">
        <f t="array" ref="AF138">INDEX($N$101:$N$147,MATCH(AH138,$J$101:$J$147,0))</f>
        <v>W98</v>
      </c>
      <c r="AG138" s="115" cm="1">
        <f t="array" ref="AG138">IF(D138="W"&amp;AH138,0,1)</f>
        <v>0</v>
      </c>
      <c r="AH138" s="116">
        <v>101</v>
      </c>
      <c r="AI138" s="149"/>
      <c r="AJ138" s="86"/>
      <c r="AK138" s="86"/>
      <c r="AL138" s="86"/>
      <c r="AM138" s="8"/>
      <c r="AN138" s="8"/>
      <c r="AO138" s="8"/>
      <c r="AP138" s="8"/>
      <c r="AQ138" s="8"/>
      <c r="AR138" s="8"/>
      <c r="AS138" s="8"/>
      <c r="AT138" s="8"/>
      <c r="AU138" s="8"/>
      <c r="AV138" s="316"/>
      <c r="AW138" s="8"/>
      <c r="AX138" s="8"/>
      <c r="AY138" s="206"/>
      <c r="AZ138" s="207"/>
      <c r="BA138" s="8"/>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8"/>
      <c r="DU138" s="12"/>
    </row>
    <row r="139" ht="16" customHeight="1">
      <c r="A139" t="s" s="89">
        <v>680</v>
      </c>
      <c r="B139" t="s" s="89">
        <v>686</v>
      </c>
      <c r="C139" s="78"/>
      <c r="D139" t="str" s="78" cm="1">
        <f t="array" ref="D139">IF(AND(OR(AC139="",AD139="")),"W"&amp;AH139,IF(AC139&gt;AD139,AA139,IF(AC139&lt;AD139,AF139,IF(AND(AC139=AD139,AB139=AE139),"W"&amp;AH139,IF(AND(AC139=AD139,OR(AB139="",AE139="")),"W"&amp;AH139,IF(AND(AC139=AD139,AB139&gt;AE139),AA139,AF139))))))</f>
        <v>W102</v>
      </c>
      <c r="E139" s="105">
        <v>99</v>
      </c>
      <c r="F139" s="105">
        <v>100</v>
      </c>
      <c r="G139" s="78"/>
      <c r="H139" t="str" s="78" cm="1">
        <f t="array" ref="H139">IF(AND(OR(AC139="",AD139="")),"L102",IF(AC139&gt;AD139,AF139,IF(AC139&lt;AD139,AA139,IF(AND(AC139=AD139,AB139=AE139),"W102",IF(AND(AC139=AD139,OR(AB139="",AE139="")),"L102",IF(AND(AC139=AD139,AB139&gt;AE139),AF139,AA139))))))</f>
        <v>L102</v>
      </c>
      <c r="I139" s="78"/>
      <c r="J139" s="105">
        <v>102</v>
      </c>
      <c r="K139" s="105">
        <v>46218.875</v>
      </c>
      <c r="L139" t="s" s="89">
        <v>705</v>
      </c>
      <c r="M139" t="str" s="78" cm="1">
        <f t="array" ref="M139">INDEX($D$101:$D$147,MATCH(E139,$AH$101:$AH$147,0))</f>
        <v>W99</v>
      </c>
      <c r="N139" t="str" s="78" cm="1">
        <f t="array" ref="N139">INDEX($D$101:$D$147,MATCH(F139,$AH$101:$AH$147,0))</f>
        <v>W100</v>
      </c>
      <c r="O139" s="78"/>
      <c r="P139" s="78"/>
      <c r="Q139" s="78"/>
      <c r="R139" s="78"/>
      <c r="S139" s="78"/>
      <c r="T139" s="78"/>
      <c r="U139" s="78"/>
      <c r="V139" s="90"/>
      <c r="W139" s="338"/>
      <c r="X139" s="327">
        <v>46218.625</v>
      </c>
      <c r="Y139" s="165">
        <v>46218.625</v>
      </c>
      <c r="Z139" s="334" cm="1">
        <f t="array" ref="Z139">AH139</f>
        <v>102</v>
      </c>
      <c r="AA139" t="str" s="335" cm="1">
        <f t="array" ref="AA139">INDEX($M$101:$M$147,MATCH(AH139,$J$101:$J$147,0))</f>
        <v>W99</v>
      </c>
      <c r="AB139" s="328"/>
      <c r="AC139" s="329"/>
      <c r="AD139" s="329"/>
      <c r="AE139" s="330"/>
      <c r="AF139" t="str" s="314" cm="1">
        <f t="array" ref="AF139">INDEX($N$101:$N$147,MATCH(AH139,$J$101:$J$147,0))</f>
        <v>W100</v>
      </c>
      <c r="AG139" s="115" cm="1">
        <f t="array" ref="AG139">IF(D139="W"&amp;AH139,0,1)</f>
        <v>0</v>
      </c>
      <c r="AH139" s="116">
        <v>102</v>
      </c>
      <c r="AI139" s="149"/>
      <c r="AJ139" s="86"/>
      <c r="AK139" s="86"/>
      <c r="AL139" s="86"/>
      <c r="AM139" s="8"/>
      <c r="AN139" s="8"/>
      <c r="AO139" s="8"/>
      <c r="AP139" s="8"/>
      <c r="AQ139" s="8"/>
      <c r="AR139" s="8"/>
      <c r="AS139" s="8"/>
      <c r="AT139" s="8"/>
      <c r="AU139" s="8"/>
      <c r="AV139" s="316"/>
      <c r="AW139" s="8"/>
      <c r="AX139" s="8"/>
      <c r="AY139" s="206"/>
      <c r="AZ139" s="207"/>
      <c r="BA139" s="8"/>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8"/>
      <c r="DU139" s="12"/>
    </row>
    <row r="140" ht="16" customHeight="1">
      <c r="A140" s="78"/>
      <c r="B140" s="78"/>
      <c r="C140" s="78"/>
      <c r="D140" s="78"/>
      <c r="E140" s="78"/>
      <c r="F140" s="78"/>
      <c r="G140" s="78"/>
      <c r="H140" s="78"/>
      <c r="I140" s="78"/>
      <c r="J140" s="78"/>
      <c r="K140" s="78"/>
      <c r="L140" s="78"/>
      <c r="M140" s="78"/>
      <c r="N140" s="78"/>
      <c r="O140" s="78"/>
      <c r="P140" s="78"/>
      <c r="Q140" s="78"/>
      <c r="R140" s="78"/>
      <c r="S140" s="78"/>
      <c r="T140" s="78"/>
      <c r="U140" s="78"/>
      <c r="V140" s="79"/>
      <c r="W140" s="180"/>
      <c r="X140" s="181"/>
      <c r="Y140" s="180"/>
      <c r="Z140" s="182"/>
      <c r="AA140" s="183"/>
      <c r="AB140" s="184"/>
      <c r="AC140" s="185"/>
      <c r="AD140" s="185"/>
      <c r="AE140" s="184"/>
      <c r="AF140" s="186"/>
      <c r="AG140" s="317"/>
      <c r="AH140" s="336"/>
      <c r="AI140" s="149"/>
      <c r="AJ140" s="86"/>
      <c r="AK140" s="86"/>
      <c r="AL140" s="86"/>
      <c r="AM140" s="8"/>
      <c r="AN140" s="8"/>
      <c r="AO140" s="8"/>
      <c r="AP140" s="8"/>
      <c r="AQ140" s="8"/>
      <c r="AR140" s="8"/>
      <c r="AS140" s="8"/>
      <c r="AT140" s="8"/>
      <c r="AU140" s="8"/>
      <c r="AV140" s="316"/>
      <c r="AW140" s="8"/>
      <c r="AX140" s="8"/>
      <c r="AY140" s="206"/>
      <c r="AZ140" s="207"/>
      <c r="BA140" s="8"/>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8"/>
      <c r="DU140" s="12"/>
    </row>
    <row r="141" ht="16" customHeight="1">
      <c r="A141" s="78"/>
      <c r="B141" s="78"/>
      <c r="C141" s="78"/>
      <c r="D141" s="78"/>
      <c r="E141" s="78"/>
      <c r="F141" s="78"/>
      <c r="G141" s="78"/>
      <c r="H141" s="78"/>
      <c r="I141" s="78"/>
      <c r="J141" s="78"/>
      <c r="K141" s="78"/>
      <c r="L141" s="78"/>
      <c r="M141" s="78"/>
      <c r="N141" s="78"/>
      <c r="O141" s="78"/>
      <c r="P141" s="78"/>
      <c r="Q141" s="78"/>
      <c r="R141" s="78"/>
      <c r="S141" s="78"/>
      <c r="T141" s="78"/>
      <c r="U141" s="78"/>
      <c r="V141" s="90"/>
      <c r="W141" t="s" s="255">
        <v>710</v>
      </c>
      <c r="X141" s="256"/>
      <c r="Y141" s="257"/>
      <c r="Z141" s="257"/>
      <c r="AA141" s="257"/>
      <c r="AB141" s="257"/>
      <c r="AC141" s="257"/>
      <c r="AD141" s="257"/>
      <c r="AE141" s="257"/>
      <c r="AF141" s="258"/>
      <c r="AG141" s="259"/>
      <c r="AH141" s="336"/>
      <c r="AI141" s="149"/>
      <c r="AJ141" s="86"/>
      <c r="AK141" s="86"/>
      <c r="AL141" s="86"/>
      <c r="AM141" s="8"/>
      <c r="AN141" s="8"/>
      <c r="AO141" s="8"/>
      <c r="AP141" s="8"/>
      <c r="AQ141" s="8"/>
      <c r="AR141" s="8"/>
      <c r="AS141" s="8"/>
      <c r="AT141" s="8"/>
      <c r="AU141" s="8"/>
      <c r="AV141" s="316"/>
      <c r="AW141" s="8"/>
      <c r="AX141" s="8"/>
      <c r="AY141" s="206"/>
      <c r="AZ141" s="207"/>
      <c r="BA141" s="8"/>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8"/>
      <c r="DU141" s="12"/>
    </row>
    <row r="142" ht="16" customHeight="1">
      <c r="A142" s="78"/>
      <c r="B142" s="78"/>
      <c r="C142" s="78"/>
      <c r="D142" s="78"/>
      <c r="E142" s="78"/>
      <c r="F142" s="78"/>
      <c r="G142" s="78"/>
      <c r="H142" s="78"/>
      <c r="I142" s="78"/>
      <c r="J142" s="78"/>
      <c r="K142" s="78"/>
      <c r="L142" s="78"/>
      <c r="M142" s="78"/>
      <c r="N142" s="78"/>
      <c r="O142" s="78"/>
      <c r="P142" s="78"/>
      <c r="Q142" s="78"/>
      <c r="R142" s="78"/>
      <c r="S142" s="78"/>
      <c r="T142" s="78"/>
      <c r="U142" s="78"/>
      <c r="V142" s="90"/>
      <c r="W142" s="339"/>
      <c r="X142" t="str" s="198" cm="1">
        <f t="array" ref="X142">X3</f>
        <v>Fecha</v>
      </c>
      <c r="Y142" t="str" s="198" cm="1">
        <f t="array" ref="Y142">Y3</f>
        <v>Hora</v>
      </c>
      <c r="Z142" s="249"/>
      <c r="AA142" t="str" s="250" cm="1">
        <f t="array" ref="AA142">AA3</f>
        <v>Casa</v>
      </c>
      <c r="AB142" t="s" s="265">
        <v>536</v>
      </c>
      <c r="AC142" t="str" s="198" cm="1">
        <f t="array" ref="AC142">AC3</f>
        <v>Gol</v>
      </c>
      <c r="AD142" t="str" s="198" cm="1">
        <f t="array" ref="AD142">AD3</f>
        <v>Gol</v>
      </c>
      <c r="AE142" t="s" s="265">
        <v>536</v>
      </c>
      <c r="AF142" t="str" s="251" cm="1">
        <f t="array" ref="AF142">AF3</f>
        <v>Fuera</v>
      </c>
      <c r="AG142" s="259"/>
      <c r="AH142" s="336"/>
      <c r="AI142" s="149"/>
      <c r="AJ142" s="86"/>
      <c r="AK142" s="86"/>
      <c r="AL142" s="86"/>
      <c r="AM142" s="8"/>
      <c r="AN142" s="8"/>
      <c r="AO142" s="8"/>
      <c r="AP142" s="8"/>
      <c r="AQ142" s="8"/>
      <c r="AR142" s="8"/>
      <c r="AS142" s="8"/>
      <c r="AT142" s="8"/>
      <c r="AU142" s="8"/>
      <c r="AV142" s="316"/>
      <c r="AW142" s="8"/>
      <c r="AX142" s="8"/>
      <c r="AY142" s="206"/>
      <c r="AZ142" s="207"/>
      <c r="BA142" s="8"/>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8"/>
      <c r="DU142" s="12"/>
    </row>
    <row r="143" ht="16" customHeight="1">
      <c r="A143" t="s" s="89">
        <v>696</v>
      </c>
      <c r="B143" t="s" s="89">
        <v>704</v>
      </c>
      <c r="C143" s="78"/>
      <c r="D143" t="str" s="78" cm="1">
        <f t="array" ref="D143">IF(AND(OR(AC143="",AD143="")),"W"&amp;AH143,IF(AC143&gt;AD143,AA143,IF(AC143&lt;AD143,AF143,IF(AND(AC143=AD143,AB143=AE143),"W"&amp;AH143,IF(AND(AC143=AD143,OR(AB143="",AE143="")),"W"&amp;AH143,IF(AND(AC143=AD143,AB143&gt;AE143),AA143,AF143))))))</f>
        <v>W103</v>
      </c>
      <c r="E143" s="105">
        <v>101</v>
      </c>
      <c r="F143" s="105">
        <v>102</v>
      </c>
      <c r="G143" s="78"/>
      <c r="H143" s="78"/>
      <c r="I143" s="78"/>
      <c r="J143" s="105">
        <v>103</v>
      </c>
      <c r="K143" s="105">
        <v>46221.875</v>
      </c>
      <c r="L143" t="s" s="89">
        <v>712</v>
      </c>
      <c r="M143" t="str" s="78" cm="1">
        <f t="array" ref="M143">INDEX($D$101:$D$147,MATCH(E143,$AH$101:$AH$147,0))</f>
        <v>W101</v>
      </c>
      <c r="N143" t="str" s="78" cm="1">
        <f t="array" ref="N143">INDEX($D$101:$D$147,MATCH(F143,$AH$101:$AH$147,0))</f>
        <v>W102</v>
      </c>
      <c r="O143" s="78"/>
      <c r="P143" s="78"/>
      <c r="Q143" s="78"/>
      <c r="R143" s="78"/>
      <c r="S143" s="78"/>
      <c r="T143" s="78"/>
      <c r="U143" s="78"/>
      <c r="V143" s="90"/>
      <c r="W143" t="s" s="340">
        <v>715</v>
      </c>
      <c r="X143" s="327">
        <v>46221.708333333343</v>
      </c>
      <c r="Y143" s="165">
        <v>46221.708333333343</v>
      </c>
      <c r="Z143" s="334" cm="1">
        <f t="array" ref="Z143">AH143</f>
        <v>103</v>
      </c>
      <c r="AA143" t="str" s="335" cm="1">
        <f t="array" ref="AA143">IF(AND(OR(AC138="",AD138="")),"L101",IF(AC138&gt;AD138,AF138,IF(AC138&lt;AD138,AA138,IF(AND(AC138=AD138,AB138=AE138),"L101",IF(AND(AC138=AD138,OR(AB138="",AE138="")),"L101",IF(AND(AC138=AD138,AB138&gt;AE138),AF138,AA138))))))</f>
        <v>L101</v>
      </c>
      <c r="AB143" s="341"/>
      <c r="AC143" s="342"/>
      <c r="AD143" s="342"/>
      <c r="AE143" s="343"/>
      <c r="AF143" t="str" s="344" cm="1">
        <f t="array" ref="AF143">IF(AND(OR(AC139="",AD139="")),"L102",IF(AC139&gt;AD139,AF139,IF(AC139&lt;AD139,AA139,IF(AND(AC139=AD139,AB139=AE139),"L102",IF(AND(AC139=AD139,OR(AB139="",AE139="")),"L102",IF(AND(AC139=AD139,AB139&gt;AE139),AF139,AA139))))))</f>
        <v>L102</v>
      </c>
      <c r="AG143" s="115" cm="1">
        <f t="array" ref="AG143">IF(D143="W"&amp;AH143,0,1)</f>
        <v>0</v>
      </c>
      <c r="AH143" s="116">
        <v>103</v>
      </c>
      <c r="AI143" s="149"/>
      <c r="AJ143" s="86"/>
      <c r="AK143" s="86"/>
      <c r="AL143" s="86"/>
      <c r="AM143" s="8"/>
      <c r="AN143" s="8"/>
      <c r="AO143" s="8"/>
      <c r="AP143" s="8"/>
      <c r="AQ143" s="8"/>
      <c r="AR143" s="8"/>
      <c r="AS143" s="8"/>
      <c r="AT143" s="8"/>
      <c r="AU143" s="8"/>
      <c r="AV143" s="316"/>
      <c r="AW143" s="8"/>
      <c r="AX143" s="8"/>
      <c r="AY143" s="206"/>
      <c r="AZ143" s="207"/>
      <c r="BA143" s="8"/>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8"/>
      <c r="DU143" s="12"/>
    </row>
    <row r="144" ht="16" customHeight="1">
      <c r="A144" s="78"/>
      <c r="B144" s="78"/>
      <c r="C144" s="78"/>
      <c r="D144" s="78"/>
      <c r="E144" s="78"/>
      <c r="F144" s="78"/>
      <c r="G144" s="78"/>
      <c r="H144" s="78"/>
      <c r="I144" s="78"/>
      <c r="J144" s="78"/>
      <c r="K144" s="78"/>
      <c r="L144" s="78"/>
      <c r="M144" s="78"/>
      <c r="N144" s="78"/>
      <c r="O144" s="78"/>
      <c r="P144" s="78"/>
      <c r="Q144" s="78"/>
      <c r="R144" s="78"/>
      <c r="S144" s="78"/>
      <c r="T144" s="78"/>
      <c r="U144" s="78"/>
      <c r="V144" s="79"/>
      <c r="W144" s="180"/>
      <c r="X144" s="181"/>
      <c r="Y144" s="180"/>
      <c r="Z144" s="182"/>
      <c r="AA144" s="183"/>
      <c r="AB144" s="184"/>
      <c r="AC144" s="185"/>
      <c r="AD144" s="185"/>
      <c r="AE144" s="184"/>
      <c r="AF144" s="186"/>
      <c r="AG144" s="317"/>
      <c r="AH144" s="188"/>
      <c r="AI144" s="149"/>
      <c r="AJ144" s="86"/>
      <c r="AK144" s="86"/>
      <c r="AL144" s="86"/>
      <c r="AM144" s="8"/>
      <c r="AN144" s="8"/>
      <c r="AO144" s="8"/>
      <c r="AP144" s="8"/>
      <c r="AQ144" s="8"/>
      <c r="AR144" s="8"/>
      <c r="AS144" s="8"/>
      <c r="AT144" s="8"/>
      <c r="AU144" s="8"/>
      <c r="AV144" s="316"/>
      <c r="AW144" s="8"/>
      <c r="AX144" s="8"/>
      <c r="AY144" s="206"/>
      <c r="AZ144" s="207"/>
      <c r="BA144" s="8"/>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8"/>
      <c r="DU144" s="12"/>
    </row>
    <row r="145" ht="16" customHeight="1">
      <c r="A145" s="78"/>
      <c r="B145" s="78"/>
      <c r="C145" s="78"/>
      <c r="D145" s="78"/>
      <c r="E145" s="78"/>
      <c r="F145" s="78"/>
      <c r="G145" s="78"/>
      <c r="H145" s="78"/>
      <c r="I145" s="78"/>
      <c r="J145" s="78"/>
      <c r="K145" s="78"/>
      <c r="L145" s="78"/>
      <c r="M145" s="78"/>
      <c r="N145" s="78"/>
      <c r="O145" s="78"/>
      <c r="P145" s="78"/>
      <c r="Q145" s="78"/>
      <c r="R145" s="78"/>
      <c r="S145" s="78"/>
      <c r="T145" s="78"/>
      <c r="U145" s="78"/>
      <c r="V145" s="90"/>
      <c r="W145" t="s" s="255">
        <v>716</v>
      </c>
      <c r="X145" s="256"/>
      <c r="Y145" s="257"/>
      <c r="Z145" s="257"/>
      <c r="AA145" s="345"/>
      <c r="AB145" s="257"/>
      <c r="AC145" s="257"/>
      <c r="AD145" s="257"/>
      <c r="AE145" s="257"/>
      <c r="AF145" s="258"/>
      <c r="AG145" s="259"/>
      <c r="AH145" s="188"/>
      <c r="AI145" s="149"/>
      <c r="AJ145" s="86"/>
      <c r="AK145" s="86"/>
      <c r="AL145" s="86"/>
      <c r="AM145" s="8"/>
      <c r="AN145" s="8"/>
      <c r="AO145" s="8"/>
      <c r="AP145" s="8"/>
      <c r="AQ145" s="8"/>
      <c r="AR145" s="8"/>
      <c r="AS145" s="8"/>
      <c r="AT145" s="8"/>
      <c r="AU145" s="8"/>
      <c r="AV145" s="316"/>
      <c r="AW145" s="8"/>
      <c r="AX145" s="8"/>
      <c r="AY145" s="206"/>
      <c r="AZ145" s="207"/>
      <c r="BA145" s="8"/>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8"/>
      <c r="DU145" s="12"/>
    </row>
    <row r="146" ht="16" customHeight="1">
      <c r="A146" s="78"/>
      <c r="B146" s="78"/>
      <c r="C146" s="78"/>
      <c r="D146" s="78"/>
      <c r="E146" s="78"/>
      <c r="F146" s="78"/>
      <c r="G146" s="78"/>
      <c r="H146" s="78"/>
      <c r="I146" s="78"/>
      <c r="J146" s="78"/>
      <c r="K146" s="78"/>
      <c r="L146" s="78"/>
      <c r="M146" s="78"/>
      <c r="N146" s="78"/>
      <c r="O146" s="78"/>
      <c r="P146" s="78"/>
      <c r="Q146" s="78"/>
      <c r="R146" s="78"/>
      <c r="S146" s="78"/>
      <c r="T146" s="78"/>
      <c r="U146" s="78"/>
      <c r="V146" s="90"/>
      <c r="W146" s="91"/>
      <c r="X146" t="str" s="198" cm="1">
        <f t="array" ref="X146">X3</f>
        <v>Fecha</v>
      </c>
      <c r="Y146" t="str" s="198" cm="1">
        <f t="array" ref="Y146">Y3</f>
        <v>Hora</v>
      </c>
      <c r="Z146" s="249"/>
      <c r="AA146" t="str" s="250" cm="1">
        <f t="array" ref="AA146">AA3</f>
        <v>Casa</v>
      </c>
      <c r="AB146" t="s" s="265">
        <v>536</v>
      </c>
      <c r="AC146" t="s" s="92">
        <v>40</v>
      </c>
      <c r="AD146" t="s" s="92">
        <v>40</v>
      </c>
      <c r="AE146" t="s" s="265">
        <v>536</v>
      </c>
      <c r="AF146" t="str" s="251" cm="1">
        <f t="array" ref="AF146">AF3</f>
        <v>Fuera</v>
      </c>
      <c r="AG146" s="259"/>
      <c r="AH146" s="188"/>
      <c r="AI146" s="83"/>
      <c r="AJ146" s="346"/>
      <c r="AK146" s="346"/>
      <c r="AL146" s="86"/>
      <c r="AM146" s="8"/>
      <c r="AN146" s="8"/>
      <c r="AO146" s="8"/>
      <c r="AP146" s="8"/>
      <c r="AQ146" s="8"/>
      <c r="AR146" s="8"/>
      <c r="AS146" s="8"/>
      <c r="AT146" s="8"/>
      <c r="AU146" s="8"/>
      <c r="AV146" s="316"/>
      <c r="AW146" s="8"/>
      <c r="AX146" s="8"/>
      <c r="AY146" s="206"/>
      <c r="AZ146" s="207"/>
      <c r="BA146" s="8"/>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8"/>
      <c r="DU146" s="12"/>
    </row>
    <row r="147" ht="16" customHeight="1">
      <c r="A147" t="s" s="89">
        <v>695</v>
      </c>
      <c r="B147" t="s" s="89">
        <v>703</v>
      </c>
      <c r="C147" s="78"/>
      <c r="D147" t="str" s="78" cm="1">
        <f t="array" ref="D147">IF(AND(OR(AC147="",AD147="")),"W"&amp;AH147,IF(AC147&gt;AD147,AA147,IF(AC147&lt;AD147,AF147,IF(AND(AC147=AD147,AB147=AE147),"W"&amp;AH147,IF(AND(AC147=AD147,OR(AB147="",AE147="")),"W"&amp;AH147,IF(AND(AC147=AD147,AB147&gt;AE147),AA147,AF147))))))</f>
        <v>W104</v>
      </c>
      <c r="E147" s="105">
        <v>101</v>
      </c>
      <c r="F147" s="105">
        <v>102</v>
      </c>
      <c r="G147" s="78"/>
      <c r="H147" t="str" s="78" cm="1">
        <f t="array" ref="H147">IF(AND(OR(AC147="",AD147="")),"LF",IF(AC147&gt;AD147,AF147,IF(AC147&lt;AD147,AA147,IF(AND(AC147=AD147,AB147=AE147),"LF",IF(AND(AC147=AD147,OR(AB147="",AE147="")),"LF",IF(AND(AC147=AD147,AB147&gt;AE147),AF147,AA147))))))</f>
        <v>LF</v>
      </c>
      <c r="I147" s="78"/>
      <c r="J147" s="105">
        <v>104</v>
      </c>
      <c r="K147" s="105">
        <v>46222.875</v>
      </c>
      <c r="L147" t="s" s="89">
        <v>719</v>
      </c>
      <c r="M147" t="str" s="78" cm="1">
        <f t="array" ref="M147">INDEX($D$101:$D$147,MATCH(E147,$AH$101:$AH$147,0))</f>
        <v>W101</v>
      </c>
      <c r="N147" t="str" s="78" cm="1">
        <f t="array" ref="N147">INDEX($D$101:$D$147,MATCH(F147,$AH$101:$AH$147,0))</f>
        <v>W102</v>
      </c>
      <c r="O147" s="78"/>
      <c r="P147" s="78"/>
      <c r="Q147" s="78"/>
      <c r="R147" s="78"/>
      <c r="S147" s="78"/>
      <c r="T147" s="78"/>
      <c r="U147" s="78"/>
      <c r="V147" s="90"/>
      <c r="W147" t="s" s="347">
        <v>269</v>
      </c>
      <c r="X147" s="327">
        <v>46222.625</v>
      </c>
      <c r="Y147" s="165">
        <v>46222.625</v>
      </c>
      <c r="Z147" s="334" cm="1">
        <f t="array" ref="Z147">AH147</f>
        <v>104</v>
      </c>
      <c r="AA147" t="str" s="335" cm="1">
        <f t="array" ref="AA147">IF(AND(OR(AC138="",AD138="")),"W"&amp;AH138,IF(AC138&gt;AD138,AA138,IF(AC138&lt;AD138,AF138,IF(AND(AC138=AD138,AB138=AE138),"W"&amp;AH138,IF(AND(AC138=AD138,OR(AB138="",AE138="")),"W"&amp;AH138,IF(AND(AC138=AD138,AB138&gt;AE138),AA138,AF138))))))</f>
        <v>W101</v>
      </c>
      <c r="AB147" s="341"/>
      <c r="AC147" s="342"/>
      <c r="AD147" s="342"/>
      <c r="AE147" s="343"/>
      <c r="AF147" t="str" s="344" cm="1">
        <f t="array" ref="AF147">IF(AND(OR(AC139="",AD139="")),"W"&amp;AH139,IF(AC139&gt;AD139,AA139,IF(AC139&lt;AD139,AF139,IF(AND(AC139=AD139,AB139=AE139),"W"&amp;AH139,IF(AND(AC139=AD139,OR(AB139="",AE139="")),"W"&amp;AH139,IF(AND(AC139=AD139,AB139&gt;AE139),AA139,AF139))))))</f>
        <v>W102</v>
      </c>
      <c r="AG147" s="115" cm="1">
        <f t="array" ref="AG147">IF(D147="W"&amp;AH147,0,1)</f>
        <v>0</v>
      </c>
      <c r="AH147" s="116">
        <v>104</v>
      </c>
      <c r="AI147" s="83"/>
      <c r="AJ147" s="346"/>
      <c r="AK147" s="346"/>
      <c r="AL147" s="86"/>
      <c r="AM147" s="346"/>
      <c r="AN147" s="346"/>
      <c r="AO147" s="346"/>
      <c r="AP147" s="346"/>
      <c r="AQ147" s="346"/>
      <c r="AR147" s="346"/>
      <c r="AS147" s="346"/>
      <c r="AT147" s="346"/>
      <c r="AU147" s="84"/>
      <c r="AV147" s="84"/>
      <c r="AW147" s="86"/>
      <c r="AX147" s="86"/>
      <c r="AY147" s="206"/>
      <c r="AZ147" s="207"/>
      <c r="BA147" s="8"/>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8"/>
      <c r="DU147" s="12"/>
    </row>
    <row r="148" ht="16" customHeight="1">
      <c r="A148" s="78"/>
      <c r="B148" s="78"/>
      <c r="C148" s="78"/>
      <c r="D148" s="78"/>
      <c r="E148" s="78"/>
      <c r="F148" s="78"/>
      <c r="G148" s="78"/>
      <c r="H148" s="78"/>
      <c r="I148" s="78"/>
      <c r="J148" s="78"/>
      <c r="K148" s="78"/>
      <c r="L148" s="78"/>
      <c r="M148" s="78"/>
      <c r="N148" s="78"/>
      <c r="O148" s="78"/>
      <c r="P148" s="78"/>
      <c r="Q148" s="78"/>
      <c r="R148" s="78"/>
      <c r="S148" s="78"/>
      <c r="T148" s="78"/>
      <c r="U148" s="78"/>
      <c r="V148" s="79"/>
      <c r="W148" s="180"/>
      <c r="X148" s="181"/>
      <c r="Y148" s="180"/>
      <c r="Z148" s="182"/>
      <c r="AA148" s="183"/>
      <c r="AB148" s="184"/>
      <c r="AC148" s="185"/>
      <c r="AD148" s="185"/>
      <c r="AE148" s="184"/>
      <c r="AF148" s="186"/>
      <c r="AG148" s="317"/>
      <c r="AH148" s="194"/>
      <c r="AI148" s="194"/>
      <c r="AJ148" s="8"/>
      <c r="AK148" s="8"/>
      <c r="AL148" t="s" s="348">
        <v>720</v>
      </c>
      <c r="AM148" t="s" s="348">
        <v>721</v>
      </c>
      <c r="AN148" s="8"/>
      <c r="AO148" s="8"/>
      <c r="AP148" s="8"/>
      <c r="AQ148" s="8"/>
      <c r="AR148" s="8"/>
      <c r="AS148" s="8"/>
      <c r="AT148" s="8"/>
      <c r="AU148" s="8"/>
      <c r="AV148" s="316"/>
      <c r="AW148" s="8"/>
      <c r="AX148" s="8"/>
      <c r="AY148" s="206"/>
      <c r="AZ148" s="207"/>
      <c r="BA148" s="8"/>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8"/>
      <c r="DU148" s="12"/>
    </row>
    <row r="149" ht="16" customHeight="1">
      <c r="A149" s="78"/>
      <c r="B149" s="78"/>
      <c r="C149" s="78"/>
      <c r="D149" s="78"/>
      <c r="E149" s="78"/>
      <c r="F149" s="78"/>
      <c r="G149" s="78"/>
      <c r="H149" s="78"/>
      <c r="I149" s="78"/>
      <c r="J149" s="78"/>
      <c r="K149" s="78"/>
      <c r="L149" s="78"/>
      <c r="M149" s="78"/>
      <c r="N149" s="78"/>
      <c r="O149" s="78"/>
      <c r="P149" s="78"/>
      <c r="Q149" s="78"/>
      <c r="R149" s="78"/>
      <c r="S149" s="78"/>
      <c r="T149" s="78"/>
      <c r="U149" s="78"/>
      <c r="V149" s="90"/>
      <c r="W149" s="349"/>
      <c r="X149" s="350"/>
      <c r="Y149" s="351"/>
      <c r="Z149" s="351"/>
      <c r="AA149" t="s" s="352">
        <v>722</v>
      </c>
      <c r="AB149" s="353"/>
      <c r="AC149" s="354"/>
      <c r="AD149" s="354"/>
      <c r="AE149" s="353"/>
      <c r="AF149" s="355"/>
      <c r="AG149" s="356"/>
      <c r="AH149" s="357"/>
      <c r="AI149" s="346"/>
      <c r="AJ149" s="346"/>
      <c r="AK149" s="346"/>
      <c r="AL149" s="346"/>
      <c r="AM149" s="346"/>
      <c r="AN149" s="346"/>
      <c r="AO149" s="346"/>
      <c r="AP149" s="346"/>
      <c r="AQ149" s="346"/>
      <c r="AR149" s="346"/>
      <c r="AS149" s="346"/>
      <c r="AT149" s="346"/>
      <c r="AU149" s="346"/>
      <c r="AV149" s="316"/>
      <c r="AW149" s="8"/>
      <c r="AX149" s="8"/>
      <c r="AY149" s="206"/>
      <c r="AZ149" s="207"/>
      <c r="BA149" s="8"/>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8"/>
      <c r="DU149" s="12"/>
    </row>
    <row r="150" ht="16" customHeight="1">
      <c r="A150" s="78"/>
      <c r="B150" s="78"/>
      <c r="C150" s="78"/>
      <c r="D150" s="78"/>
      <c r="E150" s="78"/>
      <c r="F150" s="78"/>
      <c r="G150" s="78"/>
      <c r="H150" s="78"/>
      <c r="I150" s="78"/>
      <c r="J150" s="78"/>
      <c r="K150" s="78"/>
      <c r="L150" s="78"/>
      <c r="M150" s="78"/>
      <c r="N150" s="78"/>
      <c r="O150" s="78"/>
      <c r="P150" s="78"/>
      <c r="Q150" s="78"/>
      <c r="R150" s="78"/>
      <c r="S150" s="78"/>
      <c r="T150" s="78"/>
      <c r="U150" s="78"/>
      <c r="V150" s="90"/>
      <c r="W150" t="s" s="358">
        <v>723</v>
      </c>
      <c r="X150" s="359"/>
      <c r="Y150" s="360"/>
      <c r="Z150" s="361"/>
      <c r="AA150" t="str" s="362" cm="1">
        <f t="array" ref="AA150">IF(AND(OR(AC147="",AD147="")),"WF",IF(AC147&gt;AD147,AA147,IF(AC147&lt;AD147,AF147,IF(AND(AC147=AD147,AB147=AE147),"WF",IF(AND(AC147=AD147,OR(AB147="",AE147="")),"WF",IF(AND(AC147=AD147,AB147&gt;AE147),AA147,AF147))))))</f>
        <v>WF</v>
      </c>
      <c r="AB150" s="289"/>
      <c r="AC150" s="289"/>
      <c r="AD150" s="289"/>
      <c r="AE150" s="289"/>
      <c r="AF150" s="363"/>
      <c r="AG150" s="115" cm="1">
        <f t="array" ref="AG150">IF(AA150="WF",0,1)</f>
        <v>0</v>
      </c>
      <c r="AH150" s="357"/>
      <c r="AI150" s="346"/>
      <c r="AJ150" s="346"/>
      <c r="AK150" s="346"/>
      <c r="AL150" s="346"/>
      <c r="AM150" s="346"/>
      <c r="AN150" s="346"/>
      <c r="AO150" s="346"/>
      <c r="AP150" s="346"/>
      <c r="AQ150" s="346"/>
      <c r="AR150" s="346"/>
      <c r="AS150" s="346"/>
      <c r="AT150" s="346"/>
      <c r="AU150" s="346"/>
      <c r="AV150" s="357"/>
      <c r="AW150" s="346"/>
      <c r="AX150" s="346"/>
      <c r="AY150" s="206"/>
      <c r="AZ150" s="207"/>
      <c r="BA150" s="8"/>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8"/>
      <c r="DU150" s="12"/>
    </row>
    <row r="151" ht="16" customHeight="1">
      <c r="A151" s="78"/>
      <c r="B151" s="78"/>
      <c r="C151" s="78"/>
      <c r="D151" s="78"/>
      <c r="E151" s="78"/>
      <c r="F151" s="78"/>
      <c r="G151" s="78"/>
      <c r="H151" s="78"/>
      <c r="I151" s="78"/>
      <c r="J151" s="78"/>
      <c r="K151" s="78"/>
      <c r="L151" s="78"/>
      <c r="M151" s="78"/>
      <c r="N151" s="78"/>
      <c r="O151" s="78"/>
      <c r="P151" s="78"/>
      <c r="Q151" s="78"/>
      <c r="R151" s="78"/>
      <c r="S151" s="78"/>
      <c r="T151" s="78"/>
      <c r="U151" s="78"/>
      <c r="V151" s="90"/>
      <c r="W151" t="s" s="358">
        <v>725</v>
      </c>
      <c r="X151" s="359"/>
      <c r="Y151" s="360"/>
      <c r="Z151" s="361"/>
      <c r="AA151" t="str" s="364" cm="1">
        <f t="array" ref="AA151">IF(AND(OR(AC147="",AD147="")),"LF",IF(AC147&gt;AD147,AF147,IF(AC147&lt;AD147,AA147,IF(AND(AC147=AD147,AB147=AE147),"LF",IF(AND(AC147=AD147,OR(AB147="",AE147="")),"LF",IF(AND(AC147=AD147,AB147&gt;AE147),AF147,AA147))))))</f>
        <v>LF</v>
      </c>
      <c r="AB151" s="365"/>
      <c r="AC151" s="365"/>
      <c r="AD151" s="365"/>
      <c r="AE151" s="365"/>
      <c r="AF151" s="366"/>
      <c r="AG151" s="115" cm="1">
        <f t="array" ref="AG151">IF(AA151="LF",0,1)</f>
        <v>0</v>
      </c>
      <c r="AH151" s="357"/>
      <c r="AI151" s="346"/>
      <c r="AJ151" s="346"/>
      <c r="AK151" s="346"/>
      <c r="AL151" s="346"/>
      <c r="AM151" s="346"/>
      <c r="AN151" s="346"/>
      <c r="AO151" s="346"/>
      <c r="AP151" s="346"/>
      <c r="AQ151" s="346"/>
      <c r="AR151" s="346"/>
      <c r="AS151" s="346"/>
      <c r="AT151" s="346"/>
      <c r="AU151" s="346"/>
      <c r="AV151" s="367"/>
      <c r="AW151" s="207"/>
      <c r="AX151" s="206"/>
      <c r="AY151" s="368"/>
      <c r="AZ151" s="369"/>
      <c r="BA151" s="8"/>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8"/>
      <c r="DU151" s="12"/>
    </row>
    <row r="152" ht="16" customHeight="1">
      <c r="A152" s="78"/>
      <c r="B152" s="78"/>
      <c r="C152" s="78"/>
      <c r="D152" s="78"/>
      <c r="E152" s="78"/>
      <c r="F152" s="78"/>
      <c r="G152" s="78"/>
      <c r="H152" s="78"/>
      <c r="I152" s="78"/>
      <c r="J152" s="78"/>
      <c r="K152" s="78"/>
      <c r="L152" s="78"/>
      <c r="M152" s="78"/>
      <c r="N152" s="78"/>
      <c r="O152" s="78"/>
      <c r="P152" s="78"/>
      <c r="Q152" s="78"/>
      <c r="R152" s="78"/>
      <c r="S152" s="78"/>
      <c r="T152" s="78"/>
      <c r="U152" s="78"/>
      <c r="V152" s="90"/>
      <c r="W152" t="s" s="370">
        <v>726</v>
      </c>
      <c r="X152" s="371"/>
      <c r="Y152" s="372"/>
      <c r="Z152" s="373"/>
      <c r="AA152" t="str" s="374" cm="1">
        <f t="array" ref="AA152">IF(AND(OR(AC143="",AD143="")),"W34",IF(AC143&gt;AD143,AA143,IF(AC143&lt;AD143,AF143,IF(AND(AC143=AD143,AB143=AE143),"W34",IF(AND(AC143=AD143,OR(AB143="",AE143="")),"W34",IF(AND(AC143=AD143,AB143&gt;AE143),AA143,AF143))))))</f>
        <v>W34</v>
      </c>
      <c r="AB152" s="375"/>
      <c r="AC152" s="375"/>
      <c r="AD152" s="375"/>
      <c r="AE152" s="375"/>
      <c r="AF152" s="376"/>
      <c r="AG152" s="115" cm="1">
        <f t="array" ref="AG152">IF(AA152="W34",0,1)</f>
        <v>0</v>
      </c>
      <c r="AH152" s="357"/>
      <c r="AI152" s="346"/>
      <c r="AJ152" s="346"/>
      <c r="AK152" s="346"/>
      <c r="AL152" s="346"/>
      <c r="AM152" s="346"/>
      <c r="AN152" s="346"/>
      <c r="AO152" s="346"/>
      <c r="AP152" s="346"/>
      <c r="AQ152" s="346"/>
      <c r="AR152" s="346"/>
      <c r="AS152" s="346"/>
      <c r="AT152" s="346"/>
      <c r="AU152" s="346"/>
      <c r="AV152" s="367"/>
      <c r="AW152" s="207"/>
      <c r="AX152" s="206"/>
      <c r="AY152" s="368"/>
      <c r="AZ152" s="369"/>
      <c r="BA152" s="8"/>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8"/>
      <c r="DU152" s="12"/>
    </row>
    <row r="153" ht="16" customHeight="1">
      <c r="A153" s="78"/>
      <c r="B153" s="78"/>
      <c r="C153" s="78"/>
      <c r="D153" s="78"/>
      <c r="E153" s="78"/>
      <c r="F153" s="78"/>
      <c r="G153" s="78"/>
      <c r="H153" s="78"/>
      <c r="I153" s="78"/>
      <c r="J153" s="78"/>
      <c r="K153" s="78"/>
      <c r="L153" s="78"/>
      <c r="M153" s="78"/>
      <c r="N153" s="78"/>
      <c r="O153" s="78"/>
      <c r="P153" s="78"/>
      <c r="Q153" s="78"/>
      <c r="R153" s="78"/>
      <c r="S153" s="78"/>
      <c r="T153" s="78"/>
      <c r="U153" s="78"/>
      <c r="V153" s="79"/>
      <c r="W153" s="180"/>
      <c r="X153" s="181"/>
      <c r="Y153" s="180"/>
      <c r="Z153" s="182"/>
      <c r="AA153" s="183"/>
      <c r="AB153" s="184"/>
      <c r="AC153" s="185"/>
      <c r="AD153" s="185"/>
      <c r="AE153" s="184"/>
      <c r="AF153" s="186"/>
      <c r="AG153" s="233"/>
      <c r="AH153" s="357"/>
      <c r="AI153" s="346"/>
      <c r="AJ153" s="346"/>
      <c r="AK153" s="346"/>
      <c r="AL153" s="346"/>
      <c r="AM153" s="346"/>
      <c r="AN153" s="346"/>
      <c r="AO153" s="346"/>
      <c r="AP153" s="346"/>
      <c r="AQ153" s="346"/>
      <c r="AR153" s="346"/>
      <c r="AS153" s="346"/>
      <c r="AT153" s="346"/>
      <c r="AU153" s="346"/>
      <c r="AV153" s="367"/>
      <c r="AW153" s="207"/>
      <c r="AX153" s="206"/>
      <c r="AY153" s="368"/>
      <c r="AZ153" s="369"/>
      <c r="BA153" s="8"/>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8"/>
      <c r="DU153" s="12"/>
    </row>
    <row r="154" ht="16" customHeight="1">
      <c r="A154" s="78"/>
      <c r="B154" s="78"/>
      <c r="C154" s="78"/>
      <c r="D154" s="78"/>
      <c r="E154" s="78"/>
      <c r="F154" s="78"/>
      <c r="G154" s="78"/>
      <c r="H154" s="78"/>
      <c r="I154" s="78"/>
      <c r="J154" s="78"/>
      <c r="K154" s="78"/>
      <c r="L154" s="78"/>
      <c r="M154" s="78"/>
      <c r="N154" s="78"/>
      <c r="O154" s="78"/>
      <c r="P154" s="78"/>
      <c r="Q154" s="78"/>
      <c r="R154" s="78"/>
      <c r="S154" s="78"/>
      <c r="T154" s="78"/>
      <c r="U154" s="78"/>
      <c r="V154" s="90"/>
      <c r="W154" t="s" s="377">
        <v>728</v>
      </c>
      <c r="X154" s="378"/>
      <c r="Y154" s="378"/>
      <c r="Z154" s="379"/>
      <c r="AA154" t="s" s="380">
        <v>729</v>
      </c>
      <c r="AB154" s="289"/>
      <c r="AC154" s="289"/>
      <c r="AD154" s="289"/>
      <c r="AE154" s="289"/>
      <c r="AF154" s="363"/>
      <c r="AG154" s="115" cm="1">
        <f t="array" ref="AG154">IF(AA154=$AH$154,0,IF(AA154="",0,1))</f>
        <v>0</v>
      </c>
      <c r="AH154" t="s" s="381">
        <v>729</v>
      </c>
      <c r="AI154" s="346"/>
      <c r="AJ154" s="346"/>
      <c r="AK154" s="346"/>
      <c r="AL154" s="346"/>
      <c r="AM154" s="346"/>
      <c r="AN154" s="346"/>
      <c r="AO154" s="346"/>
      <c r="AP154" s="346"/>
      <c r="AQ154" s="346"/>
      <c r="AR154" s="346"/>
      <c r="AS154" s="346"/>
      <c r="AT154" s="346"/>
      <c r="AU154" s="346"/>
      <c r="AV154" s="367"/>
      <c r="AW154" s="207"/>
      <c r="AX154" s="206"/>
      <c r="AY154" s="368"/>
      <c r="AZ154" s="369"/>
      <c r="BA154" s="8"/>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8"/>
      <c r="DU154" s="12"/>
    </row>
    <row r="155" ht="16" customHeight="1">
      <c r="A155" s="78"/>
      <c r="B155" s="78"/>
      <c r="C155" s="78"/>
      <c r="D155" s="78"/>
      <c r="E155" s="78"/>
      <c r="F155" s="78"/>
      <c r="G155" s="78"/>
      <c r="H155" s="78"/>
      <c r="I155" s="78"/>
      <c r="J155" s="78"/>
      <c r="K155" s="78"/>
      <c r="L155" s="78"/>
      <c r="M155" s="78"/>
      <c r="N155" s="78"/>
      <c r="O155" s="78"/>
      <c r="P155" s="78"/>
      <c r="Q155" s="78"/>
      <c r="R155" s="78"/>
      <c r="S155" s="78"/>
      <c r="T155" s="78"/>
      <c r="U155" s="78"/>
      <c r="V155" s="90"/>
      <c r="W155" t="s" s="358">
        <v>730</v>
      </c>
      <c r="X155" s="360"/>
      <c r="Y155" s="360"/>
      <c r="Z155" s="361"/>
      <c r="AA155" t="s" s="382">
        <v>729</v>
      </c>
      <c r="AB155" s="365"/>
      <c r="AC155" s="365"/>
      <c r="AD155" s="365"/>
      <c r="AE155" s="365"/>
      <c r="AF155" s="366"/>
      <c r="AG155" s="115" cm="1">
        <f t="array" ref="AG155">IF(AA155=$AH$154,0,IF(AA155="",0,1))</f>
        <v>0</v>
      </c>
      <c r="AH155" s="357"/>
      <c r="AI155" s="346"/>
      <c r="AJ155" s="346"/>
      <c r="AK155" s="346"/>
      <c r="AL155" s="346"/>
      <c r="AM155" s="346"/>
      <c r="AN155" s="346"/>
      <c r="AO155" s="346"/>
      <c r="AP155" s="346"/>
      <c r="AQ155" s="346"/>
      <c r="AR155" s="346"/>
      <c r="AS155" s="346"/>
      <c r="AT155" s="346"/>
      <c r="AU155" s="346"/>
      <c r="AV155" s="367"/>
      <c r="AW155" s="207"/>
      <c r="AX155" s="206"/>
      <c r="AY155" s="368"/>
      <c r="AZ155" s="369"/>
      <c r="BA155" s="8"/>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8"/>
      <c r="DU155" s="12"/>
    </row>
    <row r="156" ht="16" customHeight="1">
      <c r="A156" s="78"/>
      <c r="B156" s="78"/>
      <c r="C156" s="78"/>
      <c r="D156" s="78"/>
      <c r="E156" s="78"/>
      <c r="F156" s="78"/>
      <c r="G156" s="78"/>
      <c r="H156" s="78"/>
      <c r="I156" s="78"/>
      <c r="J156" s="78"/>
      <c r="K156" s="78"/>
      <c r="L156" s="78"/>
      <c r="M156" s="78"/>
      <c r="N156" s="78"/>
      <c r="O156" s="78"/>
      <c r="P156" s="78"/>
      <c r="Q156" s="78"/>
      <c r="R156" s="78"/>
      <c r="S156" s="78"/>
      <c r="T156" s="78"/>
      <c r="U156" s="78"/>
      <c r="V156" s="90"/>
      <c r="W156" t="s" s="370">
        <v>731</v>
      </c>
      <c r="X156" s="372"/>
      <c r="Y156" s="372"/>
      <c r="Z156" s="373"/>
      <c r="AA156" t="s" s="383">
        <v>729</v>
      </c>
      <c r="AB156" s="375"/>
      <c r="AC156" s="375"/>
      <c r="AD156" s="375"/>
      <c r="AE156" s="375"/>
      <c r="AF156" s="376"/>
      <c r="AG156" s="115" cm="1">
        <f t="array" ref="AG156">IF(AA156=$AH$154,0,IF(AA156="",0,1))</f>
        <v>0</v>
      </c>
      <c r="AH156" s="357"/>
      <c r="AI156" s="346"/>
      <c r="AJ156" s="346"/>
      <c r="AK156" s="346"/>
      <c r="AL156" s="346"/>
      <c r="AM156" s="346"/>
      <c r="AN156" s="346"/>
      <c r="AO156" s="346"/>
      <c r="AP156" s="346"/>
      <c r="AQ156" s="346"/>
      <c r="AR156" s="346"/>
      <c r="AS156" s="346"/>
      <c r="AT156" s="346"/>
      <c r="AU156" s="346"/>
      <c r="AV156" s="367"/>
      <c r="AW156" s="207"/>
      <c r="AX156" s="206"/>
      <c r="AY156" s="368"/>
      <c r="AZ156" s="369"/>
      <c r="BA156" s="8"/>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8"/>
      <c r="DU156" s="12"/>
    </row>
    <row r="157" ht="16" customHeight="1">
      <c r="A157" s="78"/>
      <c r="B157" s="78"/>
      <c r="C157" s="78"/>
      <c r="D157" s="78"/>
      <c r="E157" s="78"/>
      <c r="F157" s="78"/>
      <c r="G157" s="78"/>
      <c r="H157" s="78"/>
      <c r="I157" s="78"/>
      <c r="J157" s="78"/>
      <c r="K157" s="78"/>
      <c r="L157" s="78"/>
      <c r="M157" s="78"/>
      <c r="N157" s="78"/>
      <c r="O157" s="78"/>
      <c r="P157" s="78"/>
      <c r="Q157" s="78"/>
      <c r="R157" s="78"/>
      <c r="S157" s="78"/>
      <c r="T157" s="78"/>
      <c r="U157" s="78"/>
      <c r="V157" s="79"/>
      <c r="W157" s="180"/>
      <c r="X157" s="181"/>
      <c r="Y157" s="180"/>
      <c r="Z157" s="182"/>
      <c r="AA157" s="183"/>
      <c r="AB157" s="184"/>
      <c r="AC157" s="185"/>
      <c r="AD157" s="185"/>
      <c r="AE157" s="184"/>
      <c r="AF157" s="186"/>
      <c r="AG157" s="233"/>
      <c r="AH157" s="357"/>
      <c r="AI157" s="346"/>
      <c r="AJ157" s="346"/>
      <c r="AK157" s="346"/>
      <c r="AL157" s="346"/>
      <c r="AM157" s="346"/>
      <c r="AN157" s="346"/>
      <c r="AO157" s="346"/>
      <c r="AP157" s="346"/>
      <c r="AQ157" s="346"/>
      <c r="AR157" s="346"/>
      <c r="AS157" s="346"/>
      <c r="AT157" s="346"/>
      <c r="AU157" s="346"/>
      <c r="AV157" s="367"/>
      <c r="AW157" s="207"/>
      <c r="AX157" s="206"/>
      <c r="AY157" s="368"/>
      <c r="AZ157" s="369"/>
      <c r="BA157" s="8"/>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8"/>
      <c r="DU157" s="12"/>
    </row>
    <row r="158" ht="16" customHeight="1">
      <c r="A158" s="78"/>
      <c r="B158" s="78"/>
      <c r="C158" s="78"/>
      <c r="D158" s="78"/>
      <c r="E158" s="78"/>
      <c r="F158" s="78"/>
      <c r="G158" s="78"/>
      <c r="H158" s="78"/>
      <c r="I158" s="78"/>
      <c r="J158" s="78"/>
      <c r="K158" s="78"/>
      <c r="L158" s="78"/>
      <c r="M158" s="78"/>
      <c r="N158" s="78"/>
      <c r="O158" s="78"/>
      <c r="P158" s="78"/>
      <c r="Q158" s="78"/>
      <c r="R158" s="78"/>
      <c r="S158" s="78"/>
      <c r="T158" s="78"/>
      <c r="U158" s="78"/>
      <c r="V158" s="90"/>
      <c r="W158" t="s" s="377">
        <v>732</v>
      </c>
      <c r="X158" s="378"/>
      <c r="Y158" s="378"/>
      <c r="Z158" s="379"/>
      <c r="AA158" t="s" s="380">
        <v>729</v>
      </c>
      <c r="AB158" s="289"/>
      <c r="AC158" s="289"/>
      <c r="AD158" s="289"/>
      <c r="AE158" s="289"/>
      <c r="AF158" s="363"/>
      <c r="AG158" s="115" cm="1">
        <f t="array" ref="AG158">IF(AA158=$AH$154,0,IF(AA158="",0,1))</f>
        <v>0</v>
      </c>
      <c r="AH158" s="8"/>
      <c r="AI158" s="346"/>
      <c r="AJ158" s="346"/>
      <c r="AK158" s="346"/>
      <c r="AL158" s="346"/>
      <c r="AM158" s="346"/>
      <c r="AN158" s="346"/>
      <c r="AO158" s="346"/>
      <c r="AP158" s="346"/>
      <c r="AQ158" s="346"/>
      <c r="AR158" s="346"/>
      <c r="AS158" s="346"/>
      <c r="AT158" s="346"/>
      <c r="AU158" s="346"/>
      <c r="AV158" s="367"/>
      <c r="AW158" s="207"/>
      <c r="AX158" s="206"/>
      <c r="AY158" s="368"/>
      <c r="AZ158" s="369"/>
      <c r="BA158" s="8"/>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8"/>
      <c r="DU158" s="12"/>
    </row>
    <row r="159" ht="16" customHeight="1">
      <c r="A159" s="78"/>
      <c r="B159" s="78"/>
      <c r="C159" s="78"/>
      <c r="D159" s="78"/>
      <c r="E159" s="78"/>
      <c r="F159" s="78"/>
      <c r="G159" s="78"/>
      <c r="H159" s="78"/>
      <c r="I159" s="78"/>
      <c r="J159" s="78"/>
      <c r="K159" s="78"/>
      <c r="L159" s="78"/>
      <c r="M159" s="78"/>
      <c r="N159" s="78"/>
      <c r="O159" s="78"/>
      <c r="P159" s="78"/>
      <c r="Q159" s="78"/>
      <c r="R159" s="78"/>
      <c r="S159" s="78"/>
      <c r="T159" s="78"/>
      <c r="U159" s="78"/>
      <c r="V159" s="90"/>
      <c r="W159" t="s" s="358">
        <v>733</v>
      </c>
      <c r="X159" s="360"/>
      <c r="Y159" s="360"/>
      <c r="Z159" s="361"/>
      <c r="AA159" t="s" s="382">
        <v>729</v>
      </c>
      <c r="AB159" s="365"/>
      <c r="AC159" s="365"/>
      <c r="AD159" s="365"/>
      <c r="AE159" s="365"/>
      <c r="AF159" s="366"/>
      <c r="AG159" s="115" cm="1">
        <f t="array" ref="AG159">IF(AA159=$AH$154,0,IF(AA159="",0,1))</f>
        <v>0</v>
      </c>
      <c r="AH159" s="357"/>
      <c r="AI159" s="384"/>
      <c r="AJ159" s="346"/>
      <c r="AK159" s="346"/>
      <c r="AL159" s="346"/>
      <c r="AM159" s="346"/>
      <c r="AN159" s="346"/>
      <c r="AO159" s="346"/>
      <c r="AP159" s="346"/>
      <c r="AQ159" s="346"/>
      <c r="AR159" s="346"/>
      <c r="AS159" s="346"/>
      <c r="AT159" s="346"/>
      <c r="AU159" s="357"/>
      <c r="AV159" s="367"/>
      <c r="AW159" s="207"/>
      <c r="AX159" s="206"/>
      <c r="AY159" s="368"/>
      <c r="AZ159" s="369"/>
      <c r="BA159" s="8"/>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8"/>
      <c r="DU159" s="12"/>
    </row>
    <row r="160" ht="16" customHeight="1">
      <c r="A160" s="78"/>
      <c r="B160" s="78"/>
      <c r="C160" s="78"/>
      <c r="D160" s="78"/>
      <c r="E160" s="78"/>
      <c r="F160" s="78"/>
      <c r="G160" s="78"/>
      <c r="H160" s="78"/>
      <c r="I160" s="78"/>
      <c r="J160" s="78"/>
      <c r="K160" s="78"/>
      <c r="L160" s="78"/>
      <c r="M160" s="78"/>
      <c r="N160" s="78"/>
      <c r="O160" s="78"/>
      <c r="P160" s="78"/>
      <c r="Q160" s="78"/>
      <c r="R160" s="78"/>
      <c r="S160" s="78"/>
      <c r="T160" s="78"/>
      <c r="U160" s="78"/>
      <c r="V160" s="90"/>
      <c r="W160" t="s" s="370">
        <v>734</v>
      </c>
      <c r="X160" s="372"/>
      <c r="Y160" s="372"/>
      <c r="Z160" s="373"/>
      <c r="AA160" t="s" s="383">
        <v>729</v>
      </c>
      <c r="AB160" s="375"/>
      <c r="AC160" s="375"/>
      <c r="AD160" s="375"/>
      <c r="AE160" s="375"/>
      <c r="AF160" s="376"/>
      <c r="AG160" s="115" cm="1">
        <f t="array" ref="AG160">IF(AA160=$AH$154,0,IF(AA160="",0,1))</f>
        <v>0</v>
      </c>
      <c r="AH160" s="357"/>
      <c r="AI160" s="357"/>
      <c r="AJ160" s="346"/>
      <c r="AK160" s="346"/>
      <c r="AL160" s="346"/>
      <c r="AM160" s="346"/>
      <c r="AN160" s="346"/>
      <c r="AO160" s="346"/>
      <c r="AP160" s="346"/>
      <c r="AQ160" s="346"/>
      <c r="AR160" s="346"/>
      <c r="AS160" s="346"/>
      <c r="AT160" s="346"/>
      <c r="AU160" s="357"/>
      <c r="AV160" s="367"/>
      <c r="AW160" s="207"/>
      <c r="AX160" s="206"/>
      <c r="AY160" s="368"/>
      <c r="AZ160" s="369"/>
      <c r="BA160" s="8"/>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8"/>
      <c r="DU160" s="12"/>
    </row>
    <row r="161" ht="20" customHeight="1">
      <c r="A161" s="78"/>
      <c r="B161" s="78"/>
      <c r="C161" s="78"/>
      <c r="D161" s="78"/>
      <c r="E161" s="78"/>
      <c r="F161" s="78"/>
      <c r="G161" s="78"/>
      <c r="H161" s="78"/>
      <c r="I161" s="78"/>
      <c r="J161" s="78"/>
      <c r="K161" s="78"/>
      <c r="L161" s="78"/>
      <c r="M161" s="78"/>
      <c r="N161" s="78"/>
      <c r="O161" s="78"/>
      <c r="P161" s="78"/>
      <c r="Q161" s="78"/>
      <c r="R161" s="78"/>
      <c r="S161" s="78"/>
      <c r="T161" s="78"/>
      <c r="U161" s="78"/>
      <c r="V161" s="79"/>
      <c r="W161" s="196"/>
      <c r="X161" s="196"/>
      <c r="Y161" s="197"/>
      <c r="Z161" s="196"/>
      <c r="AA161" s="385"/>
      <c r="AB161" s="386"/>
      <c r="AC161" s="387"/>
      <c r="AD161" s="388"/>
      <c r="AE161" s="388"/>
      <c r="AF161" s="387"/>
      <c r="AG161" s="346"/>
      <c r="AH161" s="357"/>
      <c r="AI161" s="357"/>
      <c r="AJ161" s="346"/>
      <c r="AK161" s="346"/>
      <c r="AL161" s="346"/>
      <c r="AM161" s="346"/>
      <c r="AN161" s="346"/>
      <c r="AO161" s="346"/>
      <c r="AP161" s="346"/>
      <c r="AQ161" s="346"/>
      <c r="AR161" s="346"/>
      <c r="AS161" s="346"/>
      <c r="AT161" s="346"/>
      <c r="AU161" s="357"/>
      <c r="AV161" s="367"/>
      <c r="AW161" s="207"/>
      <c r="AX161" s="206"/>
      <c r="AY161" s="368"/>
      <c r="AZ161" s="369"/>
      <c r="BA161" s="8"/>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8"/>
      <c r="DU161" s="12"/>
    </row>
    <row r="162" ht="28" customHeight="1">
      <c r="A162" s="78"/>
      <c r="B162" s="78"/>
      <c r="C162" s="78"/>
      <c r="D162" s="78"/>
      <c r="E162" s="78"/>
      <c r="F162" s="78"/>
      <c r="G162" s="78"/>
      <c r="H162" s="78"/>
      <c r="I162" s="78"/>
      <c r="J162" s="78"/>
      <c r="K162" s="78"/>
      <c r="L162" s="78"/>
      <c r="M162" s="78"/>
      <c r="N162" s="78"/>
      <c r="O162" s="78"/>
      <c r="P162" s="78"/>
      <c r="Q162" s="78"/>
      <c r="R162" s="78"/>
      <c r="S162" s="78"/>
      <c r="T162" s="78"/>
      <c r="U162" s="78"/>
      <c r="V162" s="79"/>
      <c r="W162" s="206"/>
      <c r="X162" s="206"/>
      <c r="Y162" s="207"/>
      <c r="Z162" s="206"/>
      <c r="AA162" s="368"/>
      <c r="AB162" s="369"/>
      <c r="AC162" s="389"/>
      <c r="AD162" s="270"/>
      <c r="AE162" s="270"/>
      <c r="AF162" s="389"/>
      <c r="AG162" s="10"/>
      <c r="AH162" s="390"/>
      <c r="AI162" s="357"/>
      <c r="AJ162" s="346"/>
      <c r="AK162" s="346"/>
      <c r="AL162" s="346"/>
      <c r="AM162" s="346"/>
      <c r="AN162" s="346"/>
      <c r="AO162" s="346"/>
      <c r="AP162" s="346"/>
      <c r="AQ162" s="346"/>
      <c r="AR162" s="346"/>
      <c r="AS162" s="346"/>
      <c r="AT162" s="346"/>
      <c r="AU162" s="357"/>
      <c r="AV162" s="367"/>
      <c r="AW162" s="207"/>
      <c r="AX162" s="206"/>
      <c r="AY162" s="368"/>
      <c r="AZ162" s="369"/>
      <c r="BA162" s="8"/>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8"/>
      <c r="DU162" s="12"/>
    </row>
    <row r="163" ht="28" customHeight="1">
      <c r="A163" s="78"/>
      <c r="B163" s="78"/>
      <c r="C163" s="78"/>
      <c r="D163" s="78"/>
      <c r="E163" s="78"/>
      <c r="F163" s="78"/>
      <c r="G163" s="78"/>
      <c r="H163" s="78"/>
      <c r="I163" s="78"/>
      <c r="J163" s="78"/>
      <c r="K163" s="78"/>
      <c r="L163" s="78"/>
      <c r="M163" s="78"/>
      <c r="N163" s="78"/>
      <c r="O163" s="78"/>
      <c r="P163" s="78"/>
      <c r="Q163" s="78"/>
      <c r="R163" s="78"/>
      <c r="S163" s="78"/>
      <c r="T163" s="78"/>
      <c r="U163" s="78"/>
      <c r="V163" s="79"/>
      <c r="W163" s="391"/>
      <c r="X163" s="206"/>
      <c r="Y163" s="207"/>
      <c r="Z163" s="206"/>
      <c r="AA163" s="206"/>
      <c r="AB163" s="369"/>
      <c r="AC163" s="389"/>
      <c r="AD163" s="270"/>
      <c r="AE163" s="270"/>
      <c r="AF163" s="389"/>
      <c r="AG163" s="346"/>
      <c r="AH163" s="357"/>
      <c r="AI163" s="357"/>
      <c r="AJ163" s="346"/>
      <c r="AK163" s="346"/>
      <c r="AL163" s="346"/>
      <c r="AM163" s="346"/>
      <c r="AN163" s="346"/>
      <c r="AO163" s="346"/>
      <c r="AP163" s="346"/>
      <c r="AQ163" s="346"/>
      <c r="AR163" s="346"/>
      <c r="AS163" s="346"/>
      <c r="AT163" s="346"/>
      <c r="AU163" s="357"/>
      <c r="AV163" s="367"/>
      <c r="AW163" s="207"/>
      <c r="AX163" s="206"/>
      <c r="AY163" s="368"/>
      <c r="AZ163" s="369"/>
      <c r="BA163" s="8"/>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8"/>
      <c r="DU163" s="12"/>
    </row>
    <row r="164" ht="16" customHeight="1">
      <c r="A164" s="78"/>
      <c r="B164" s="78"/>
      <c r="C164" s="78"/>
      <c r="D164" s="78"/>
      <c r="E164" s="78"/>
      <c r="F164" s="78"/>
      <c r="G164" s="78"/>
      <c r="H164" s="78"/>
      <c r="I164" s="78"/>
      <c r="J164" s="78"/>
      <c r="K164" s="78"/>
      <c r="L164" s="78"/>
      <c r="M164" s="78"/>
      <c r="N164" s="78"/>
      <c r="O164" s="78"/>
      <c r="P164" s="78"/>
      <c r="Q164" s="78"/>
      <c r="R164" s="78"/>
      <c r="S164" s="78"/>
      <c r="T164" s="78"/>
      <c r="U164" s="78"/>
      <c r="V164" s="79"/>
      <c r="W164" s="206"/>
      <c r="X164" s="206"/>
      <c r="Y164" s="207"/>
      <c r="Z164" s="206"/>
      <c r="AA164" s="368"/>
      <c r="AB164" s="369"/>
      <c r="AC164" s="389"/>
      <c r="AD164" s="270"/>
      <c r="AE164" s="270"/>
      <c r="AF164" s="389"/>
      <c r="AG164" s="8"/>
      <c r="AH164" s="8"/>
      <c r="AI164" s="8"/>
      <c r="AJ164" s="8"/>
      <c r="AK164" s="8"/>
      <c r="AL164" s="8"/>
      <c r="AM164" s="8"/>
      <c r="AN164" s="8"/>
      <c r="AO164" s="8"/>
      <c r="AP164" s="8"/>
      <c r="AQ164" s="8"/>
      <c r="AR164" s="8"/>
      <c r="AS164" s="8"/>
      <c r="AT164" s="8"/>
      <c r="AU164" s="8"/>
      <c r="AV164" s="367"/>
      <c r="AW164" s="207"/>
      <c r="AX164" s="206"/>
      <c r="AY164" s="368"/>
      <c r="AZ164" s="369"/>
      <c r="BA164" s="8"/>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8"/>
      <c r="DU164" s="12"/>
    </row>
    <row r="165" ht="16" customHeight="1">
      <c r="A165" s="78"/>
      <c r="B165" s="78"/>
      <c r="C165" s="78"/>
      <c r="D165" s="78"/>
      <c r="E165" s="78"/>
      <c r="F165" s="78"/>
      <c r="G165" s="78"/>
      <c r="H165" s="78"/>
      <c r="I165" s="78"/>
      <c r="J165" s="78"/>
      <c r="K165" s="78"/>
      <c r="L165" s="78"/>
      <c r="M165" s="78"/>
      <c r="N165" s="78"/>
      <c r="O165" s="78"/>
      <c r="P165" s="78"/>
      <c r="Q165" s="78"/>
      <c r="R165" s="78"/>
      <c r="S165" s="78"/>
      <c r="T165" s="78"/>
      <c r="U165" s="78"/>
      <c r="V165" s="79"/>
      <c r="W165" s="206"/>
      <c r="X165" s="206"/>
      <c r="Y165" s="207"/>
      <c r="Z165" s="206"/>
      <c r="AA165" s="368"/>
      <c r="AB165" s="369"/>
      <c r="AC165" s="389"/>
      <c r="AD165" s="270"/>
      <c r="AE165" s="270"/>
      <c r="AF165" s="389"/>
      <c r="AG165" s="8"/>
      <c r="AH165" s="8"/>
      <c r="AI165" s="8"/>
      <c r="AJ165" s="8"/>
      <c r="AK165" s="8"/>
      <c r="AL165" s="8"/>
      <c r="AM165" s="8"/>
      <c r="AN165" s="8"/>
      <c r="AO165" s="8"/>
      <c r="AP165" s="8"/>
      <c r="AQ165" s="8"/>
      <c r="AR165" s="8"/>
      <c r="AS165" s="8"/>
      <c r="AT165" s="8"/>
      <c r="AU165" s="8"/>
      <c r="AV165" s="367"/>
      <c r="AW165" s="207"/>
      <c r="AX165" s="206"/>
      <c r="AY165" s="368"/>
      <c r="AZ165" s="369"/>
      <c r="BA165" s="8"/>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8"/>
      <c r="DU165" s="12"/>
    </row>
    <row r="166" ht="15" customHeight="1">
      <c r="A166" s="78"/>
      <c r="B166" s="78"/>
      <c r="C166" s="78"/>
      <c r="D166" s="78"/>
      <c r="E166" s="78"/>
      <c r="F166" s="78"/>
      <c r="G166" s="78"/>
      <c r="H166" s="78"/>
      <c r="I166" s="78"/>
      <c r="J166" s="78"/>
      <c r="K166" s="78"/>
      <c r="L166" s="78"/>
      <c r="M166" s="78"/>
      <c r="N166" s="78"/>
      <c r="O166" s="78"/>
      <c r="P166" s="78"/>
      <c r="Q166" s="78"/>
      <c r="R166" s="78"/>
      <c r="S166" s="78"/>
      <c r="T166" s="78"/>
      <c r="U166" s="78"/>
      <c r="V166" s="79"/>
      <c r="W166" s="206"/>
      <c r="X166" s="206"/>
      <c r="Y166" s="207"/>
      <c r="Z166" s="206"/>
      <c r="AA166" s="368"/>
      <c r="AB166" s="369"/>
      <c r="AC166" s="389"/>
      <c r="AD166" s="270"/>
      <c r="AE166" s="270"/>
      <c r="AF166" s="389"/>
      <c r="AG166" s="8"/>
      <c r="AH166" s="8"/>
      <c r="AI166" s="8"/>
      <c r="AJ166" s="8"/>
      <c r="AK166" s="8"/>
      <c r="AL166" s="8"/>
      <c r="AM166" s="8"/>
      <c r="AN166" s="8"/>
      <c r="AO166" s="8"/>
      <c r="AP166" s="8"/>
      <c r="AQ166" s="8"/>
      <c r="AR166" s="8"/>
      <c r="AS166" s="8"/>
      <c r="AT166" s="8"/>
      <c r="AU166" s="8"/>
      <c r="AV166" s="367"/>
      <c r="AW166" s="207"/>
      <c r="AX166" s="206"/>
      <c r="AY166" s="368"/>
      <c r="AZ166" s="369"/>
      <c r="BA166" s="8"/>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8"/>
      <c r="DU166" s="12"/>
    </row>
    <row r="167" ht="15" customHeight="1">
      <c r="A167" s="78"/>
      <c r="B167" s="78"/>
      <c r="C167" s="78"/>
      <c r="D167" s="78"/>
      <c r="E167" s="78"/>
      <c r="F167" s="78"/>
      <c r="G167" s="78"/>
      <c r="H167" s="78"/>
      <c r="I167" s="78"/>
      <c r="J167" s="78"/>
      <c r="K167" s="78"/>
      <c r="L167" s="78"/>
      <c r="M167" s="78"/>
      <c r="N167" s="78"/>
      <c r="O167" s="78"/>
      <c r="P167" s="78"/>
      <c r="Q167" s="78"/>
      <c r="R167" s="78"/>
      <c r="S167" s="78"/>
      <c r="T167" s="78"/>
      <c r="U167" s="78"/>
      <c r="V167" s="79"/>
      <c r="W167" s="206"/>
      <c r="X167" s="206"/>
      <c r="Y167" s="207"/>
      <c r="Z167" s="206"/>
      <c r="AA167" s="368"/>
      <c r="AB167" s="369"/>
      <c r="AC167" s="389"/>
      <c r="AD167" s="270"/>
      <c r="AE167" s="270"/>
      <c r="AF167" s="389"/>
      <c r="AG167" s="8"/>
      <c r="AH167" s="8"/>
      <c r="AI167" s="8"/>
      <c r="AJ167" s="8"/>
      <c r="AK167" s="8"/>
      <c r="AL167" s="8"/>
      <c r="AM167" s="8"/>
      <c r="AN167" s="8"/>
      <c r="AO167" s="8"/>
      <c r="AP167" s="8"/>
      <c r="AQ167" s="8"/>
      <c r="AR167" s="8"/>
      <c r="AS167" s="8"/>
      <c r="AT167" s="8"/>
      <c r="AU167" s="8"/>
      <c r="AV167" s="367"/>
      <c r="AW167" s="207"/>
      <c r="AX167" s="206"/>
      <c r="AY167" s="368"/>
      <c r="AZ167" s="369"/>
      <c r="BA167" s="8"/>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8"/>
      <c r="DU167" s="12"/>
    </row>
    <row r="168" ht="15" customHeight="1">
      <c r="A168" s="392"/>
      <c r="B168" s="393"/>
      <c r="C168" s="392"/>
      <c r="D168" s="393"/>
      <c r="E168" s="392"/>
      <c r="F168" s="393"/>
      <c r="G168" s="392"/>
      <c r="H168" s="393"/>
      <c r="I168" s="392"/>
      <c r="J168" s="393"/>
      <c r="K168" s="392"/>
      <c r="L168" s="393"/>
      <c r="M168" s="392"/>
      <c r="N168" s="393"/>
      <c r="O168" s="392"/>
      <c r="P168" s="393"/>
      <c r="Q168" s="392"/>
      <c r="R168" s="393"/>
      <c r="S168" s="392"/>
      <c r="T168" s="393"/>
      <c r="U168" s="392"/>
      <c r="V168" s="394"/>
      <c r="W168" s="207"/>
      <c r="X168" s="206"/>
      <c r="Y168" s="207"/>
      <c r="Z168" s="206"/>
      <c r="AA168" s="207"/>
      <c r="AB168" s="206"/>
      <c r="AC168" s="207"/>
      <c r="AD168" s="206"/>
      <c r="AE168" s="207"/>
      <c r="AF168" s="206"/>
      <c r="AG168" s="207"/>
      <c r="AH168" s="206"/>
      <c r="AI168" s="207"/>
      <c r="AJ168" s="206"/>
      <c r="AK168" s="207"/>
      <c r="AL168" s="206"/>
      <c r="AM168" s="207"/>
      <c r="AN168" s="206"/>
      <c r="AO168" s="207"/>
      <c r="AP168" s="206"/>
      <c r="AQ168" s="207"/>
      <c r="AR168" s="206"/>
      <c r="AS168" s="207"/>
      <c r="AT168" s="206"/>
      <c r="AU168" s="207"/>
      <c r="AV168" s="206"/>
      <c r="AW168" s="207"/>
      <c r="AX168" s="206"/>
      <c r="AY168" s="368"/>
      <c r="AZ168" s="369"/>
      <c r="BA168" s="8"/>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8"/>
      <c r="DU168" s="12"/>
    </row>
    <row r="169" ht="15" customHeight="1">
      <c r="A169" s="12"/>
      <c r="B169" s="12"/>
      <c r="C169" s="12"/>
      <c r="D169" s="12"/>
      <c r="E169" s="12"/>
      <c r="F169" s="12"/>
      <c r="G169" s="12"/>
      <c r="H169" s="12"/>
      <c r="I169" s="12"/>
      <c r="J169" s="12"/>
      <c r="K169" s="12"/>
      <c r="L169" s="12"/>
      <c r="M169" s="12"/>
      <c r="N169" s="12"/>
      <c r="O169" s="12"/>
      <c r="P169" s="12"/>
      <c r="Q169" s="12"/>
      <c r="R169" s="12"/>
      <c r="S169" s="12"/>
      <c r="T169" s="12"/>
      <c r="U169" s="12"/>
      <c r="V169" s="395"/>
      <c r="W169" s="87"/>
      <c r="X169" s="87"/>
      <c r="Y169" s="87"/>
      <c r="Z169" s="87"/>
      <c r="AA169" s="87"/>
      <c r="AB169" s="87"/>
      <c r="AC169" s="87"/>
      <c r="AD169" s="87"/>
      <c r="AE169" s="87"/>
      <c r="AF169" s="87"/>
      <c r="AG169" s="87"/>
      <c r="AH169" s="14"/>
      <c r="AI169" s="14"/>
      <c r="AJ169" s="87"/>
      <c r="AK169" s="87"/>
      <c r="AL169" s="87"/>
      <c r="AM169" s="87"/>
      <c r="AN169" s="87"/>
      <c r="AO169" s="87"/>
      <c r="AP169" s="87"/>
      <c r="AQ169" s="87"/>
      <c r="AR169" s="87"/>
      <c r="AS169" s="87"/>
      <c r="AT169" s="87"/>
      <c r="AU169" s="14"/>
      <c r="AV169" s="396"/>
      <c r="AW169" s="14"/>
      <c r="AX169" s="14"/>
      <c r="AY169" s="14"/>
      <c r="AZ169" s="14"/>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8"/>
      <c r="DU169" s="12"/>
    </row>
    <row r="170" ht="15" customHeight="1">
      <c r="A170" s="12"/>
      <c r="B170" s="12"/>
      <c r="C170" s="12"/>
      <c r="D170" s="12"/>
      <c r="E170" s="12"/>
      <c r="F170" s="12"/>
      <c r="G170" s="12"/>
      <c r="H170" s="12"/>
      <c r="I170" s="12"/>
      <c r="J170" s="12"/>
      <c r="K170" s="12"/>
      <c r="L170" s="12"/>
      <c r="M170" s="12"/>
      <c r="N170" s="12"/>
      <c r="O170" s="12"/>
      <c r="P170" s="12"/>
      <c r="Q170" s="12"/>
      <c r="R170" s="12"/>
      <c r="S170" s="12"/>
      <c r="T170" s="12"/>
      <c r="U170" s="12"/>
      <c r="V170" s="395"/>
      <c r="W170" s="87"/>
      <c r="X170" s="87"/>
      <c r="Y170" s="87"/>
      <c r="Z170" s="87"/>
      <c r="AA170" s="87"/>
      <c r="AB170" s="87"/>
      <c r="AC170" s="87"/>
      <c r="AD170" s="87"/>
      <c r="AE170" s="87"/>
      <c r="AF170" s="87"/>
      <c r="AG170" s="87"/>
      <c r="AH170" s="14"/>
      <c r="AI170" s="14"/>
      <c r="AJ170" s="87"/>
      <c r="AK170" s="87"/>
      <c r="AL170" s="87"/>
      <c r="AM170" s="87"/>
      <c r="AN170" s="87"/>
      <c r="AO170" s="87"/>
      <c r="AP170" s="87"/>
      <c r="AQ170" s="87"/>
      <c r="AR170" s="87"/>
      <c r="AS170" s="87"/>
      <c r="AT170" s="87"/>
      <c r="AU170" s="14"/>
      <c r="AV170" s="396"/>
      <c r="AW170" s="14"/>
      <c r="AX170" s="14"/>
      <c r="AY170" s="14"/>
      <c r="AZ170" s="14"/>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8"/>
      <c r="DU170" s="12"/>
    </row>
    <row r="171" ht="15" customHeight="1">
      <c r="A171" s="12"/>
      <c r="B171" s="12"/>
      <c r="C171" s="12"/>
      <c r="D171" s="12"/>
      <c r="E171" s="12"/>
      <c r="F171" s="12"/>
      <c r="G171" s="12"/>
      <c r="H171" s="12"/>
      <c r="I171" s="12"/>
      <c r="J171" s="12"/>
      <c r="K171" s="12"/>
      <c r="L171" s="12"/>
      <c r="M171" s="12"/>
      <c r="N171" s="12"/>
      <c r="O171" s="12"/>
      <c r="P171" s="12"/>
      <c r="Q171" s="12"/>
      <c r="R171" s="12"/>
      <c r="S171" s="12"/>
      <c r="T171" s="12"/>
      <c r="U171" s="12"/>
      <c r="V171" s="395"/>
      <c r="W171" s="87"/>
      <c r="X171" s="87"/>
      <c r="Y171" s="87"/>
      <c r="Z171" s="87"/>
      <c r="AA171" s="87"/>
      <c r="AB171" s="87"/>
      <c r="AC171" s="87"/>
      <c r="AD171" s="87"/>
      <c r="AE171" s="87"/>
      <c r="AF171" s="87"/>
      <c r="AG171" s="87"/>
      <c r="AH171" s="14"/>
      <c r="AI171" s="14"/>
      <c r="AJ171" s="87"/>
      <c r="AK171" s="87"/>
      <c r="AL171" s="87"/>
      <c r="AM171" s="87"/>
      <c r="AN171" s="87"/>
      <c r="AO171" s="87"/>
      <c r="AP171" s="87"/>
      <c r="AQ171" s="87"/>
      <c r="AR171" s="87"/>
      <c r="AS171" s="87"/>
      <c r="AT171" s="87"/>
      <c r="AU171" s="14"/>
      <c r="AV171" s="396"/>
      <c r="AW171" s="14"/>
      <c r="AX171" s="14"/>
      <c r="AY171" s="14"/>
      <c r="AZ171" s="14"/>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8"/>
      <c r="DU171" s="12"/>
    </row>
    <row r="172" ht="15" customHeight="1">
      <c r="A172" s="12"/>
      <c r="B172" s="12"/>
      <c r="C172" s="12"/>
      <c r="D172" s="12"/>
      <c r="E172" s="12"/>
      <c r="F172" s="12"/>
      <c r="G172" s="12"/>
      <c r="H172" s="12"/>
      <c r="I172" s="12"/>
      <c r="J172" s="12"/>
      <c r="K172" s="12"/>
      <c r="L172" s="12"/>
      <c r="M172" s="12"/>
      <c r="N172" s="12"/>
      <c r="O172" s="12"/>
      <c r="P172" s="12"/>
      <c r="Q172" s="12"/>
      <c r="R172" s="12"/>
      <c r="S172" s="12"/>
      <c r="T172" s="12"/>
      <c r="U172" s="12"/>
      <c r="V172" s="395"/>
      <c r="W172" s="87"/>
      <c r="X172" s="87"/>
      <c r="Y172" s="87"/>
      <c r="Z172" s="87"/>
      <c r="AA172" s="87"/>
      <c r="AB172" s="87"/>
      <c r="AC172" s="87"/>
      <c r="AD172" s="87"/>
      <c r="AE172" s="87"/>
      <c r="AF172" s="87"/>
      <c r="AG172" s="87"/>
      <c r="AH172" s="14"/>
      <c r="AI172" s="14"/>
      <c r="AJ172" s="87"/>
      <c r="AK172" s="87"/>
      <c r="AL172" s="87"/>
      <c r="AM172" s="87"/>
      <c r="AN172" s="87"/>
      <c r="AO172" s="87"/>
      <c r="AP172" s="87"/>
      <c r="AQ172" s="87"/>
      <c r="AR172" s="87"/>
      <c r="AS172" s="87"/>
      <c r="AT172" s="87"/>
      <c r="AU172" s="14"/>
      <c r="AV172" s="396"/>
      <c r="AW172" s="14"/>
      <c r="AX172" s="14"/>
      <c r="AY172" s="14"/>
      <c r="AZ172" s="14"/>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8"/>
      <c r="DU172" s="12"/>
    </row>
    <row r="173" ht="15" customHeight="1">
      <c r="A173" s="12"/>
      <c r="B173" s="12"/>
      <c r="C173" s="12"/>
      <c r="D173" s="12"/>
      <c r="E173" s="12"/>
      <c r="F173" s="12"/>
      <c r="G173" s="12"/>
      <c r="H173" s="12"/>
      <c r="I173" s="12"/>
      <c r="J173" s="12"/>
      <c r="K173" s="12"/>
      <c r="L173" s="12"/>
      <c r="M173" s="12"/>
      <c r="N173" s="12"/>
      <c r="O173" s="12"/>
      <c r="P173" s="12"/>
      <c r="Q173" s="12"/>
      <c r="R173" s="12"/>
      <c r="S173" s="12"/>
      <c r="T173" s="12"/>
      <c r="U173" s="12"/>
      <c r="V173" s="395"/>
      <c r="W173" s="87"/>
      <c r="X173" s="87"/>
      <c r="Y173" s="87"/>
      <c r="Z173" s="87"/>
      <c r="AA173" s="87"/>
      <c r="AB173" s="87"/>
      <c r="AC173" s="87"/>
      <c r="AD173" s="87"/>
      <c r="AE173" s="87"/>
      <c r="AF173" s="87"/>
      <c r="AG173" s="87"/>
      <c r="AH173" s="14"/>
      <c r="AI173" s="14"/>
      <c r="AJ173" s="87"/>
      <c r="AK173" s="87"/>
      <c r="AL173" s="87"/>
      <c r="AM173" s="87"/>
      <c r="AN173" s="87"/>
      <c r="AO173" s="87"/>
      <c r="AP173" s="87"/>
      <c r="AQ173" s="87"/>
      <c r="AR173" s="87"/>
      <c r="AS173" s="87"/>
      <c r="AT173" s="87"/>
      <c r="AU173" s="14"/>
      <c r="AV173" s="396"/>
      <c r="AW173" s="14"/>
      <c r="AX173" s="14"/>
      <c r="AY173" s="14"/>
      <c r="AZ173" s="14"/>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8"/>
      <c r="DU173" s="12"/>
    </row>
    <row r="174" ht="15" customHeight="1">
      <c r="A174" s="12"/>
      <c r="B174" s="12"/>
      <c r="C174" s="12"/>
      <c r="D174" s="12"/>
      <c r="E174" s="12"/>
      <c r="F174" s="12"/>
      <c r="G174" s="12"/>
      <c r="H174" s="12"/>
      <c r="I174" s="12"/>
      <c r="J174" s="12"/>
      <c r="K174" s="12"/>
      <c r="L174" s="12"/>
      <c r="M174" s="12"/>
      <c r="N174" s="12"/>
      <c r="O174" s="12"/>
      <c r="P174" s="12"/>
      <c r="Q174" s="12"/>
      <c r="R174" s="12"/>
      <c r="S174" s="12"/>
      <c r="T174" s="12"/>
      <c r="U174" s="12"/>
      <c r="V174" s="395"/>
      <c r="W174" s="87"/>
      <c r="X174" s="87"/>
      <c r="Y174" s="87"/>
      <c r="Z174" s="87"/>
      <c r="AA174" s="87"/>
      <c r="AB174" s="87"/>
      <c r="AC174" s="87"/>
      <c r="AD174" s="87"/>
      <c r="AE174" s="87"/>
      <c r="AF174" s="87"/>
      <c r="AG174" s="87"/>
      <c r="AH174" s="14"/>
      <c r="AI174" s="14"/>
      <c r="AJ174" s="87"/>
      <c r="AK174" s="87"/>
      <c r="AL174" s="87"/>
      <c r="AM174" s="87"/>
      <c r="AN174" s="87"/>
      <c r="AO174" s="87"/>
      <c r="AP174" s="87"/>
      <c r="AQ174" s="87"/>
      <c r="AR174" s="87"/>
      <c r="AS174" s="87"/>
      <c r="AT174" s="87"/>
      <c r="AU174" s="14"/>
      <c r="AV174" s="396"/>
      <c r="AW174" s="14"/>
      <c r="AX174" s="14"/>
      <c r="AY174" s="14"/>
      <c r="AZ174" s="14"/>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8"/>
      <c r="DU174" s="12"/>
    </row>
    <row r="175" ht="15" customHeight="1">
      <c r="A175" s="12"/>
      <c r="B175" s="12"/>
      <c r="C175" s="12"/>
      <c r="D175" s="12"/>
      <c r="E175" s="12"/>
      <c r="F175" s="12"/>
      <c r="G175" s="12"/>
      <c r="H175" s="12"/>
      <c r="I175" s="12"/>
      <c r="J175" s="12"/>
      <c r="K175" s="12"/>
      <c r="L175" s="12"/>
      <c r="M175" s="12"/>
      <c r="N175" s="12"/>
      <c r="O175" s="12"/>
      <c r="P175" s="12"/>
      <c r="Q175" s="12"/>
      <c r="R175" s="12"/>
      <c r="S175" s="12"/>
      <c r="T175" s="12"/>
      <c r="U175" s="12"/>
      <c r="V175" s="395"/>
      <c r="W175" s="87"/>
      <c r="X175" s="87"/>
      <c r="Y175" s="87"/>
      <c r="Z175" s="87"/>
      <c r="AA175" s="87"/>
      <c r="AB175" s="87"/>
      <c r="AC175" s="87"/>
      <c r="AD175" s="87"/>
      <c r="AE175" s="87"/>
      <c r="AF175" s="87"/>
      <c r="AG175" s="87"/>
      <c r="AH175" s="14"/>
      <c r="AI175" s="14"/>
      <c r="AJ175" s="87"/>
      <c r="AK175" s="87"/>
      <c r="AL175" s="87"/>
      <c r="AM175" s="87"/>
      <c r="AN175" s="87"/>
      <c r="AO175" s="87"/>
      <c r="AP175" s="87"/>
      <c r="AQ175" s="87"/>
      <c r="AR175" s="87"/>
      <c r="AS175" s="87"/>
      <c r="AT175" s="87"/>
      <c r="AU175" s="14"/>
      <c r="AV175" s="396"/>
      <c r="AW175" s="14"/>
      <c r="AX175" s="14"/>
      <c r="AY175" s="14"/>
      <c r="AZ175" s="14"/>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8"/>
      <c r="DU175" s="12"/>
    </row>
    <row r="176" ht="15" customHeight="1">
      <c r="A176" s="12"/>
      <c r="B176" s="12"/>
      <c r="C176" s="12"/>
      <c r="D176" s="12"/>
      <c r="E176" s="12"/>
      <c r="F176" s="12"/>
      <c r="G176" s="12"/>
      <c r="H176" s="12"/>
      <c r="I176" s="12"/>
      <c r="J176" s="12"/>
      <c r="K176" s="12"/>
      <c r="L176" s="12"/>
      <c r="M176" s="12"/>
      <c r="N176" s="12"/>
      <c r="O176" s="12"/>
      <c r="P176" s="12"/>
      <c r="Q176" s="12"/>
      <c r="R176" s="12"/>
      <c r="S176" s="12"/>
      <c r="T176" s="12"/>
      <c r="U176" s="12"/>
      <c r="V176" s="395"/>
      <c r="W176" s="87"/>
      <c r="X176" s="87"/>
      <c r="Y176" s="87"/>
      <c r="Z176" s="87"/>
      <c r="AA176" s="87"/>
      <c r="AB176" s="87"/>
      <c r="AC176" s="87"/>
      <c r="AD176" s="87"/>
      <c r="AE176" s="87"/>
      <c r="AF176" s="87"/>
      <c r="AG176" s="87"/>
      <c r="AH176" s="14"/>
      <c r="AI176" s="14"/>
      <c r="AJ176" s="87"/>
      <c r="AK176" s="87"/>
      <c r="AL176" s="87"/>
      <c r="AM176" s="87"/>
      <c r="AN176" s="87"/>
      <c r="AO176" s="87"/>
      <c r="AP176" s="87"/>
      <c r="AQ176" s="87"/>
      <c r="AR176" s="87"/>
      <c r="AS176" s="87"/>
      <c r="AT176" s="87"/>
      <c r="AU176" s="14"/>
      <c r="AV176" s="396"/>
      <c r="AW176" s="14"/>
      <c r="AX176" s="14"/>
      <c r="AY176" s="14"/>
      <c r="AZ176" s="14"/>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8"/>
      <c r="DU176" s="12"/>
    </row>
    <row r="177" ht="15" customHeight="1">
      <c r="A177" s="12"/>
      <c r="B177" s="12"/>
      <c r="C177" s="12"/>
      <c r="D177" s="12"/>
      <c r="E177" s="12"/>
      <c r="F177" s="12"/>
      <c r="G177" s="12"/>
      <c r="H177" s="12"/>
      <c r="I177" s="12"/>
      <c r="J177" s="12"/>
      <c r="K177" s="12"/>
      <c r="L177" s="12"/>
      <c r="M177" s="12"/>
      <c r="N177" s="12"/>
      <c r="O177" s="12"/>
      <c r="P177" s="12"/>
      <c r="Q177" s="12"/>
      <c r="R177" s="12"/>
      <c r="S177" s="12"/>
      <c r="T177" s="12"/>
      <c r="U177" s="12"/>
      <c r="V177" s="395"/>
      <c r="W177" s="87"/>
      <c r="X177" s="87"/>
      <c r="Y177" s="87"/>
      <c r="Z177" s="87"/>
      <c r="AA177" s="87"/>
      <c r="AB177" s="87"/>
      <c r="AC177" s="87"/>
      <c r="AD177" s="87"/>
      <c r="AE177" s="87"/>
      <c r="AF177" s="87"/>
      <c r="AG177" s="87"/>
      <c r="AH177" s="14"/>
      <c r="AI177" s="14"/>
      <c r="AJ177" s="87"/>
      <c r="AK177" s="87"/>
      <c r="AL177" s="87"/>
      <c r="AM177" s="87"/>
      <c r="AN177" s="87"/>
      <c r="AO177" s="87"/>
      <c r="AP177" s="87"/>
      <c r="AQ177" s="87"/>
      <c r="AR177" s="87"/>
      <c r="AS177" s="87"/>
      <c r="AT177" s="87"/>
      <c r="AU177" s="14"/>
      <c r="AV177" s="396"/>
      <c r="AW177" s="14"/>
      <c r="AX177" s="14"/>
      <c r="AY177" s="14"/>
      <c r="AZ177" s="14"/>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8"/>
      <c r="DU177" s="12"/>
    </row>
    <row r="178" ht="15" customHeight="1">
      <c r="A178" s="12"/>
      <c r="B178" s="12"/>
      <c r="C178" s="12"/>
      <c r="D178" s="12"/>
      <c r="E178" s="12"/>
      <c r="F178" s="12"/>
      <c r="G178" s="12"/>
      <c r="H178" s="12"/>
      <c r="I178" s="12"/>
      <c r="J178" s="12"/>
      <c r="K178" s="12"/>
      <c r="L178" s="12"/>
      <c r="M178" s="12"/>
      <c r="N178" s="12"/>
      <c r="O178" s="12"/>
      <c r="P178" s="12"/>
      <c r="Q178" s="12"/>
      <c r="R178" s="12"/>
      <c r="S178" s="12"/>
      <c r="T178" s="12"/>
      <c r="U178" s="12"/>
      <c r="V178" s="395"/>
      <c r="W178" s="87"/>
      <c r="X178" s="87"/>
      <c r="Y178" s="87"/>
      <c r="Z178" s="87"/>
      <c r="AA178" s="87"/>
      <c r="AB178" s="87"/>
      <c r="AC178" s="87"/>
      <c r="AD178" s="87"/>
      <c r="AE178" s="87"/>
      <c r="AF178" s="87"/>
      <c r="AG178" s="87"/>
      <c r="AH178" s="14"/>
      <c r="AI178" s="14"/>
      <c r="AJ178" s="87"/>
      <c r="AK178" s="87"/>
      <c r="AL178" s="87"/>
      <c r="AM178" s="87"/>
      <c r="AN178" s="87"/>
      <c r="AO178" s="87"/>
      <c r="AP178" s="87"/>
      <c r="AQ178" s="87"/>
      <c r="AR178" s="87"/>
      <c r="AS178" s="87"/>
      <c r="AT178" s="87"/>
      <c r="AU178" s="14"/>
      <c r="AV178" s="396"/>
      <c r="AW178" s="14"/>
      <c r="AX178" s="14"/>
      <c r="AY178" s="14"/>
      <c r="AZ178" s="14"/>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8"/>
      <c r="DU178" s="12"/>
    </row>
    <row r="179" ht="15" customHeight="1">
      <c r="A179" s="12"/>
      <c r="B179" s="12"/>
      <c r="C179" s="12"/>
      <c r="D179" s="12"/>
      <c r="E179" s="12"/>
      <c r="F179" s="12"/>
      <c r="G179" s="12"/>
      <c r="H179" s="12"/>
      <c r="I179" s="12"/>
      <c r="J179" s="12"/>
      <c r="K179" s="12"/>
      <c r="L179" s="12"/>
      <c r="M179" s="12"/>
      <c r="N179" s="12"/>
      <c r="O179" s="12"/>
      <c r="P179" s="12"/>
      <c r="Q179" s="12"/>
      <c r="R179" s="12"/>
      <c r="S179" s="12"/>
      <c r="T179" s="12"/>
      <c r="U179" s="12"/>
      <c r="V179" s="395"/>
      <c r="W179" s="87"/>
      <c r="X179" s="87"/>
      <c r="Y179" s="87"/>
      <c r="Z179" s="87"/>
      <c r="AA179" s="87"/>
      <c r="AB179" s="87"/>
      <c r="AC179" s="87"/>
      <c r="AD179" s="87"/>
      <c r="AE179" s="87"/>
      <c r="AF179" s="87"/>
      <c r="AG179" s="87"/>
      <c r="AH179" s="14"/>
      <c r="AI179" s="14"/>
      <c r="AJ179" s="87"/>
      <c r="AK179" s="87"/>
      <c r="AL179" s="87"/>
      <c r="AM179" s="87"/>
      <c r="AN179" s="87"/>
      <c r="AO179" s="87"/>
      <c r="AP179" s="87"/>
      <c r="AQ179" s="87"/>
      <c r="AR179" s="87"/>
      <c r="AS179" s="87"/>
      <c r="AT179" s="87"/>
      <c r="AU179" s="14"/>
      <c r="AV179" s="396"/>
      <c r="AW179" s="14"/>
      <c r="AX179" s="14"/>
      <c r="AY179" s="14"/>
      <c r="AZ179" s="14"/>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8"/>
      <c r="DU179" s="12"/>
    </row>
    <row r="180" ht="15" customHeight="1">
      <c r="A180" s="12"/>
      <c r="B180" s="12"/>
      <c r="C180" s="12"/>
      <c r="D180" s="12"/>
      <c r="E180" s="12"/>
      <c r="F180" s="12"/>
      <c r="G180" s="12"/>
      <c r="H180" s="12"/>
      <c r="I180" s="12"/>
      <c r="J180" s="12"/>
      <c r="K180" s="12"/>
      <c r="L180" s="12"/>
      <c r="M180" s="12"/>
      <c r="N180" s="12"/>
      <c r="O180" s="12"/>
      <c r="P180" s="12"/>
      <c r="Q180" s="12"/>
      <c r="R180" s="12"/>
      <c r="S180" s="12"/>
      <c r="T180" s="12"/>
      <c r="U180" s="12"/>
      <c r="V180" s="395"/>
      <c r="W180" s="87"/>
      <c r="X180" s="87"/>
      <c r="Y180" s="87"/>
      <c r="Z180" s="87"/>
      <c r="AA180" s="87"/>
      <c r="AB180" s="87"/>
      <c r="AC180" s="87"/>
      <c r="AD180" s="87"/>
      <c r="AE180" s="87"/>
      <c r="AF180" s="87"/>
      <c r="AG180" s="87"/>
      <c r="AH180" s="14"/>
      <c r="AI180" s="14"/>
      <c r="AJ180" s="87"/>
      <c r="AK180" s="87"/>
      <c r="AL180" s="87"/>
      <c r="AM180" s="87"/>
      <c r="AN180" s="87"/>
      <c r="AO180" s="87"/>
      <c r="AP180" s="87"/>
      <c r="AQ180" s="87"/>
      <c r="AR180" s="87"/>
      <c r="AS180" s="87"/>
      <c r="AT180" s="87"/>
      <c r="AU180" s="14"/>
      <c r="AV180" s="396"/>
      <c r="AW180" s="14"/>
      <c r="AX180" s="14"/>
      <c r="AY180" s="14"/>
      <c r="AZ180" s="14"/>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8"/>
      <c r="DU180" s="12"/>
    </row>
    <row r="181" ht="15" customHeight="1">
      <c r="A181" s="12"/>
      <c r="B181" s="12"/>
      <c r="C181" s="12"/>
      <c r="D181" s="12"/>
      <c r="E181" s="12"/>
      <c r="F181" s="12"/>
      <c r="G181" s="12"/>
      <c r="H181" s="12"/>
      <c r="I181" s="12"/>
      <c r="J181" s="12"/>
      <c r="K181" s="12"/>
      <c r="L181" s="12"/>
      <c r="M181" s="12"/>
      <c r="N181" s="12"/>
      <c r="O181" s="12"/>
      <c r="P181" s="12"/>
      <c r="Q181" s="12"/>
      <c r="R181" s="12"/>
      <c r="S181" s="12"/>
      <c r="T181" s="12"/>
      <c r="U181" s="12"/>
      <c r="V181" s="395"/>
      <c r="W181" s="87"/>
      <c r="X181" s="87"/>
      <c r="Y181" s="87"/>
      <c r="Z181" s="87"/>
      <c r="AA181" s="87"/>
      <c r="AB181" s="87"/>
      <c r="AC181" s="87"/>
      <c r="AD181" s="87"/>
      <c r="AE181" s="87"/>
      <c r="AF181" s="87"/>
      <c r="AG181" s="87"/>
      <c r="AH181" s="14"/>
      <c r="AI181" s="14"/>
      <c r="AJ181" s="87"/>
      <c r="AK181" s="87"/>
      <c r="AL181" s="87"/>
      <c r="AM181" s="87"/>
      <c r="AN181" s="87"/>
      <c r="AO181" s="87"/>
      <c r="AP181" s="87"/>
      <c r="AQ181" s="87"/>
      <c r="AR181" s="87"/>
      <c r="AS181" s="87"/>
      <c r="AT181" s="87"/>
      <c r="AU181" s="14"/>
      <c r="AV181" s="396"/>
      <c r="AW181" s="14"/>
      <c r="AX181" s="14"/>
      <c r="AY181" s="14"/>
      <c r="AZ181" s="14"/>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8"/>
      <c r="DU181" s="12"/>
    </row>
    <row r="182" ht="15" customHeight="1">
      <c r="A182" s="12"/>
      <c r="B182" s="12"/>
      <c r="C182" s="12"/>
      <c r="D182" s="12"/>
      <c r="E182" s="12"/>
      <c r="F182" s="12"/>
      <c r="G182" s="12"/>
      <c r="H182" s="12"/>
      <c r="I182" s="12"/>
      <c r="J182" s="12"/>
      <c r="K182" s="12"/>
      <c r="L182" s="12"/>
      <c r="M182" s="12"/>
      <c r="N182" s="12"/>
      <c r="O182" s="12"/>
      <c r="P182" s="12"/>
      <c r="Q182" s="12"/>
      <c r="R182" s="12"/>
      <c r="S182" s="12"/>
      <c r="T182" s="12"/>
      <c r="U182" s="12"/>
      <c r="V182" s="395"/>
      <c r="W182" s="87"/>
      <c r="X182" s="87"/>
      <c r="Y182" s="87"/>
      <c r="Z182" s="87"/>
      <c r="AA182" s="87"/>
      <c r="AB182" s="87"/>
      <c r="AC182" s="87"/>
      <c r="AD182" s="87"/>
      <c r="AE182" s="87"/>
      <c r="AF182" s="87"/>
      <c r="AG182" s="87"/>
      <c r="AH182" s="14"/>
      <c r="AI182" s="14"/>
      <c r="AJ182" s="87"/>
      <c r="AK182" s="87"/>
      <c r="AL182" s="87"/>
      <c r="AM182" s="87"/>
      <c r="AN182" s="87"/>
      <c r="AO182" s="87"/>
      <c r="AP182" s="87"/>
      <c r="AQ182" s="87"/>
      <c r="AR182" s="87"/>
      <c r="AS182" s="87"/>
      <c r="AT182" s="87"/>
      <c r="AU182" s="14"/>
      <c r="AV182" s="396"/>
      <c r="AW182" s="14"/>
      <c r="AX182" s="14"/>
      <c r="AY182" s="14"/>
      <c r="AZ182" s="14"/>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8"/>
      <c r="DU182" s="12"/>
    </row>
    <row r="183" ht="15" customHeight="1">
      <c r="A183" s="12"/>
      <c r="B183" s="12"/>
      <c r="C183" s="12"/>
      <c r="D183" s="12"/>
      <c r="E183" s="12"/>
      <c r="F183" s="12"/>
      <c r="G183" s="12"/>
      <c r="H183" s="12"/>
      <c r="I183" s="12"/>
      <c r="J183" s="12"/>
      <c r="K183" s="12"/>
      <c r="L183" s="12"/>
      <c r="M183" s="12"/>
      <c r="N183" s="12"/>
      <c r="O183" s="12"/>
      <c r="P183" s="12"/>
      <c r="Q183" s="12"/>
      <c r="R183" s="12"/>
      <c r="S183" s="12"/>
      <c r="T183" s="12"/>
      <c r="U183" s="12"/>
      <c r="V183" s="395"/>
      <c r="W183" s="87"/>
      <c r="X183" s="87"/>
      <c r="Y183" s="87"/>
      <c r="Z183" s="87"/>
      <c r="AA183" s="87"/>
      <c r="AB183" s="87"/>
      <c r="AC183" s="87"/>
      <c r="AD183" s="87"/>
      <c r="AE183" s="87"/>
      <c r="AF183" s="87"/>
      <c r="AG183" s="87"/>
      <c r="AH183" s="14"/>
      <c r="AI183" s="14"/>
      <c r="AJ183" s="87"/>
      <c r="AK183" s="87"/>
      <c r="AL183" s="87"/>
      <c r="AM183" s="87"/>
      <c r="AN183" s="87"/>
      <c r="AO183" s="87"/>
      <c r="AP183" s="87"/>
      <c r="AQ183" s="87"/>
      <c r="AR183" s="87"/>
      <c r="AS183" s="87"/>
      <c r="AT183" s="87"/>
      <c r="AU183" s="14"/>
      <c r="AV183" s="14"/>
      <c r="AW183" s="14"/>
      <c r="AX183" s="14"/>
      <c r="AY183" s="14"/>
      <c r="AZ183" s="14"/>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8"/>
      <c r="DU183" s="12"/>
    </row>
    <row r="184" ht="15" customHeight="1">
      <c r="A184" s="12"/>
      <c r="B184" s="12"/>
      <c r="C184" s="12"/>
      <c r="D184" s="12"/>
      <c r="E184" s="12"/>
      <c r="F184" s="12"/>
      <c r="G184" s="12"/>
      <c r="H184" s="12"/>
      <c r="I184" s="12"/>
      <c r="J184" s="12"/>
      <c r="K184" s="12"/>
      <c r="L184" s="12"/>
      <c r="M184" s="12"/>
      <c r="N184" s="12"/>
      <c r="O184" s="12"/>
      <c r="P184" s="12"/>
      <c r="Q184" s="12"/>
      <c r="R184" s="12"/>
      <c r="S184" s="12"/>
      <c r="T184" s="12"/>
      <c r="U184" s="12"/>
      <c r="V184" s="395"/>
      <c r="W184" s="87"/>
      <c r="X184" s="87"/>
      <c r="Y184" s="87"/>
      <c r="Z184" s="87"/>
      <c r="AA184" s="87"/>
      <c r="AB184" s="87"/>
      <c r="AC184" s="87"/>
      <c r="AD184" s="87"/>
      <c r="AE184" s="87"/>
      <c r="AF184" s="87"/>
      <c r="AG184" s="87"/>
      <c r="AH184" s="14"/>
      <c r="AI184" s="14"/>
      <c r="AJ184" s="87"/>
      <c r="AK184" s="87"/>
      <c r="AL184" s="87"/>
      <c r="AM184" s="87"/>
      <c r="AN184" s="87"/>
      <c r="AO184" s="87"/>
      <c r="AP184" s="87"/>
      <c r="AQ184" s="87"/>
      <c r="AR184" s="87"/>
      <c r="AS184" s="87"/>
      <c r="AT184" s="87"/>
      <c r="AU184" s="14"/>
      <c r="AV184" s="14"/>
      <c r="AW184" s="14"/>
      <c r="AX184" s="14"/>
      <c r="AY184" s="14"/>
      <c r="AZ184" s="14"/>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8"/>
      <c r="DU184" s="12"/>
    </row>
    <row r="185" ht="15" customHeight="1">
      <c r="A185" s="12"/>
      <c r="B185" s="12"/>
      <c r="C185" s="12"/>
      <c r="D185" s="12"/>
      <c r="E185" s="12"/>
      <c r="F185" s="12"/>
      <c r="G185" s="12"/>
      <c r="H185" s="12"/>
      <c r="I185" s="12"/>
      <c r="J185" s="12"/>
      <c r="K185" s="12"/>
      <c r="L185" s="12"/>
      <c r="M185" s="12"/>
      <c r="N185" s="12"/>
      <c r="O185" s="12"/>
      <c r="P185" s="12"/>
      <c r="Q185" s="12"/>
      <c r="R185" s="12"/>
      <c r="S185" s="12"/>
      <c r="T185" s="12"/>
      <c r="U185" s="12"/>
      <c r="V185" s="395"/>
      <c r="W185" s="87"/>
      <c r="X185" s="87"/>
      <c r="Y185" s="87"/>
      <c r="Z185" s="87"/>
      <c r="AA185" s="87"/>
      <c r="AB185" s="87"/>
      <c r="AC185" s="87"/>
      <c r="AD185" s="87"/>
      <c r="AE185" s="87"/>
      <c r="AF185" s="87"/>
      <c r="AG185" s="87"/>
      <c r="AH185" s="14"/>
      <c r="AI185" s="14"/>
      <c r="AJ185" s="87"/>
      <c r="AK185" s="87"/>
      <c r="AL185" s="87"/>
      <c r="AM185" s="87"/>
      <c r="AN185" s="87"/>
      <c r="AO185" s="87"/>
      <c r="AP185" s="87"/>
      <c r="AQ185" s="87"/>
      <c r="AR185" s="87"/>
      <c r="AS185" s="87"/>
      <c r="AT185" s="87"/>
      <c r="AU185" s="14"/>
      <c r="AV185" s="14"/>
      <c r="AW185" s="14"/>
      <c r="AX185" s="14"/>
      <c r="AY185" s="14"/>
      <c r="AZ185" s="14"/>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8"/>
      <c r="DU185" s="12"/>
    </row>
    <row r="186" ht="15" customHeight="1">
      <c r="A186" s="12"/>
      <c r="B186" s="12"/>
      <c r="C186" s="12"/>
      <c r="D186" s="12"/>
      <c r="E186" s="12"/>
      <c r="F186" s="12"/>
      <c r="G186" s="12"/>
      <c r="H186" s="12"/>
      <c r="I186" s="12"/>
      <c r="J186" s="12"/>
      <c r="K186" s="12"/>
      <c r="L186" s="12"/>
      <c r="M186" s="12"/>
      <c r="N186" s="12"/>
      <c r="O186" s="12"/>
      <c r="P186" s="12"/>
      <c r="Q186" s="12"/>
      <c r="R186" s="12"/>
      <c r="S186" s="12"/>
      <c r="T186" s="12"/>
      <c r="U186" s="12"/>
      <c r="V186" s="395"/>
      <c r="W186" s="87"/>
      <c r="X186" s="87"/>
      <c r="Y186" s="87"/>
      <c r="Z186" s="87"/>
      <c r="AA186" s="87"/>
      <c r="AB186" s="87"/>
      <c r="AC186" s="87"/>
      <c r="AD186" s="87"/>
      <c r="AE186" s="87"/>
      <c r="AF186" s="87"/>
      <c r="AG186" s="87"/>
      <c r="AH186" s="14"/>
      <c r="AI186" s="14"/>
      <c r="AJ186" s="87"/>
      <c r="AK186" s="87"/>
      <c r="AL186" s="87"/>
      <c r="AM186" s="87"/>
      <c r="AN186" s="87"/>
      <c r="AO186" s="87"/>
      <c r="AP186" s="87"/>
      <c r="AQ186" s="87"/>
      <c r="AR186" s="87"/>
      <c r="AS186" s="87"/>
      <c r="AT186" s="87"/>
      <c r="AU186" s="14"/>
      <c r="AV186" s="14"/>
      <c r="AW186" s="14"/>
      <c r="AX186" s="14"/>
      <c r="AY186" s="14"/>
      <c r="AZ186" s="14"/>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8"/>
      <c r="DU186" s="12"/>
    </row>
    <row r="187" ht="15" customHeight="1">
      <c r="A187" s="12"/>
      <c r="B187" s="12"/>
      <c r="C187" s="12"/>
      <c r="D187" s="12"/>
      <c r="E187" s="12"/>
      <c r="F187" s="12"/>
      <c r="G187" s="12"/>
      <c r="H187" s="12"/>
      <c r="I187" s="12"/>
      <c r="J187" s="12"/>
      <c r="K187" s="12"/>
      <c r="L187" s="12"/>
      <c r="M187" s="12"/>
      <c r="N187" s="12"/>
      <c r="O187" s="12"/>
      <c r="P187" s="12"/>
      <c r="Q187" s="12"/>
      <c r="R187" s="12"/>
      <c r="S187" s="12"/>
      <c r="T187" s="12"/>
      <c r="U187" s="12"/>
      <c r="V187" s="395"/>
      <c r="W187" s="87"/>
      <c r="X187" s="87"/>
      <c r="Y187" s="87"/>
      <c r="Z187" s="87"/>
      <c r="AA187" s="87"/>
      <c r="AB187" s="87"/>
      <c r="AC187" s="87"/>
      <c r="AD187" s="87"/>
      <c r="AE187" s="87"/>
      <c r="AF187" s="87"/>
      <c r="AG187" s="87"/>
      <c r="AH187" s="14"/>
      <c r="AI187" s="14"/>
      <c r="AJ187" s="87"/>
      <c r="AK187" s="87"/>
      <c r="AL187" s="87"/>
      <c r="AM187" s="87"/>
      <c r="AN187" s="87"/>
      <c r="AO187" s="87"/>
      <c r="AP187" s="87"/>
      <c r="AQ187" s="87"/>
      <c r="AR187" s="87"/>
      <c r="AS187" s="87"/>
      <c r="AT187" s="87"/>
      <c r="AU187" s="14"/>
      <c r="AV187" s="14"/>
      <c r="AW187" s="14"/>
      <c r="AX187" s="14"/>
      <c r="AY187" s="14"/>
      <c r="AZ187" s="14"/>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8"/>
      <c r="DU187" s="12"/>
    </row>
    <row r="188" ht="15" customHeight="1">
      <c r="A188" s="12"/>
      <c r="B188" s="12"/>
      <c r="C188" s="12"/>
      <c r="D188" s="12"/>
      <c r="E188" s="12"/>
      <c r="F188" s="12"/>
      <c r="G188" s="12"/>
      <c r="H188" s="12"/>
      <c r="I188" s="12"/>
      <c r="J188" s="12"/>
      <c r="K188" s="12"/>
      <c r="L188" s="12"/>
      <c r="M188" s="12"/>
      <c r="N188" s="12"/>
      <c r="O188" s="12"/>
      <c r="P188" s="12"/>
      <c r="Q188" s="12"/>
      <c r="R188" s="12"/>
      <c r="S188" s="12"/>
      <c r="T188" s="12"/>
      <c r="U188" s="12"/>
      <c r="V188" s="395"/>
      <c r="W188" s="87"/>
      <c r="X188" s="87"/>
      <c r="Y188" s="87"/>
      <c r="Z188" s="87"/>
      <c r="AA188" s="87"/>
      <c r="AB188" s="87"/>
      <c r="AC188" s="87"/>
      <c r="AD188" s="87"/>
      <c r="AE188" s="87"/>
      <c r="AF188" s="87"/>
      <c r="AG188" s="87"/>
      <c r="AH188" s="14"/>
      <c r="AI188" s="14"/>
      <c r="AJ188" s="87"/>
      <c r="AK188" s="87"/>
      <c r="AL188" s="87"/>
      <c r="AM188" s="87"/>
      <c r="AN188" s="87"/>
      <c r="AO188" s="87"/>
      <c r="AP188" s="87"/>
      <c r="AQ188" s="87"/>
      <c r="AR188" s="87"/>
      <c r="AS188" s="87"/>
      <c r="AT188" s="87"/>
      <c r="AU188" s="14"/>
      <c r="AV188" s="14"/>
      <c r="AW188" s="14"/>
      <c r="AX188" s="14"/>
      <c r="AY188" s="14"/>
      <c r="AZ188" s="14"/>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8"/>
      <c r="DU188" s="12"/>
    </row>
    <row r="189" ht="15" customHeight="1">
      <c r="A189" s="12"/>
      <c r="B189" s="12"/>
      <c r="C189" s="12"/>
      <c r="D189" s="12"/>
      <c r="E189" s="12"/>
      <c r="F189" s="12"/>
      <c r="G189" s="12"/>
      <c r="H189" s="12"/>
      <c r="I189" s="12"/>
      <c r="J189" s="12"/>
      <c r="K189" s="12"/>
      <c r="L189" s="12"/>
      <c r="M189" s="12"/>
      <c r="N189" s="12"/>
      <c r="O189" s="12"/>
      <c r="P189" s="12"/>
      <c r="Q189" s="12"/>
      <c r="R189" s="12"/>
      <c r="S189" s="12"/>
      <c r="T189" s="12"/>
      <c r="U189" s="12"/>
      <c r="V189" s="395"/>
      <c r="W189" s="87"/>
      <c r="X189" s="87"/>
      <c r="Y189" s="87"/>
      <c r="Z189" s="87"/>
      <c r="AA189" s="87"/>
      <c r="AB189" s="87"/>
      <c r="AC189" s="87"/>
      <c r="AD189" s="87"/>
      <c r="AE189" s="87"/>
      <c r="AF189" s="87"/>
      <c r="AG189" s="87"/>
      <c r="AH189" s="14"/>
      <c r="AI189" s="14"/>
      <c r="AJ189" s="87"/>
      <c r="AK189" s="87"/>
      <c r="AL189" s="87"/>
      <c r="AM189" s="87"/>
      <c r="AN189" s="87"/>
      <c r="AO189" s="87"/>
      <c r="AP189" s="87"/>
      <c r="AQ189" s="87"/>
      <c r="AR189" s="87"/>
      <c r="AS189" s="87"/>
      <c r="AT189" s="87"/>
      <c r="AU189" s="14"/>
      <c r="AV189" s="14"/>
      <c r="AW189" s="14"/>
      <c r="AX189" s="14"/>
      <c r="AY189" s="14"/>
      <c r="AZ189" s="14"/>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8"/>
      <c r="DU189" s="12"/>
    </row>
    <row r="190" ht="15" customHeight="1">
      <c r="A190" s="12"/>
      <c r="B190" s="12"/>
      <c r="C190" s="12"/>
      <c r="D190" s="12"/>
      <c r="E190" s="12"/>
      <c r="F190" s="12"/>
      <c r="G190" s="12"/>
      <c r="H190" s="12"/>
      <c r="I190" s="12"/>
      <c r="J190" s="12"/>
      <c r="K190" s="12"/>
      <c r="L190" s="12"/>
      <c r="M190" s="12"/>
      <c r="N190" s="12"/>
      <c r="O190" s="12"/>
      <c r="P190" s="12"/>
      <c r="Q190" s="12"/>
      <c r="R190" s="12"/>
      <c r="S190" s="12"/>
      <c r="T190" s="12"/>
      <c r="U190" s="12"/>
      <c r="V190" s="395"/>
      <c r="W190" s="87"/>
      <c r="X190" s="87"/>
      <c r="Y190" s="87"/>
      <c r="Z190" s="87"/>
      <c r="AA190" s="87"/>
      <c r="AB190" s="87"/>
      <c r="AC190" s="87"/>
      <c r="AD190" s="87"/>
      <c r="AE190" s="87"/>
      <c r="AF190" s="87"/>
      <c r="AG190" s="87"/>
      <c r="AH190" s="14"/>
      <c r="AI190" s="14"/>
      <c r="AJ190" s="87"/>
      <c r="AK190" s="87"/>
      <c r="AL190" s="87"/>
      <c r="AM190" s="87"/>
      <c r="AN190" s="87"/>
      <c r="AO190" s="87"/>
      <c r="AP190" s="87"/>
      <c r="AQ190" s="87"/>
      <c r="AR190" s="87"/>
      <c r="AS190" s="87"/>
      <c r="AT190" s="87"/>
      <c r="AU190" s="14"/>
      <c r="AV190" s="14"/>
      <c r="AW190" s="14"/>
      <c r="AX190" s="14"/>
      <c r="AY190" s="14"/>
      <c r="AZ190" s="14"/>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8"/>
      <c r="DU190" s="12"/>
    </row>
    <row r="191" ht="15" customHeight="1">
      <c r="A191" s="66"/>
      <c r="B191" s="66"/>
      <c r="C191" s="66"/>
      <c r="D191" s="66"/>
      <c r="E191" s="66"/>
      <c r="F191" s="66"/>
      <c r="G191" s="66"/>
      <c r="H191" s="66"/>
      <c r="I191" s="66"/>
      <c r="J191" s="66"/>
      <c r="K191" s="66"/>
      <c r="L191" s="66"/>
      <c r="M191" s="66"/>
      <c r="N191" s="66"/>
      <c r="O191" s="66"/>
      <c r="P191" s="66"/>
      <c r="Q191" s="66"/>
      <c r="R191" s="66"/>
      <c r="S191" s="66"/>
      <c r="T191" s="66"/>
      <c r="U191" s="66"/>
      <c r="V191" s="397"/>
      <c r="W191" s="398"/>
      <c r="X191" s="398"/>
      <c r="Y191" s="398"/>
      <c r="Z191" s="398"/>
      <c r="AA191" s="398"/>
      <c r="AB191" s="398"/>
      <c r="AC191" s="398"/>
      <c r="AD191" s="398"/>
      <c r="AE191" s="398"/>
      <c r="AF191" s="398"/>
      <c r="AG191" s="398"/>
      <c r="AH191" s="399"/>
      <c r="AI191" s="399"/>
      <c r="AJ191" s="398"/>
      <c r="AK191" s="398"/>
      <c r="AL191" s="398"/>
      <c r="AM191" s="398"/>
      <c r="AN191" s="398"/>
      <c r="AO191" s="398"/>
      <c r="AP191" s="398"/>
      <c r="AQ191" s="398"/>
      <c r="AR191" s="398"/>
      <c r="AS191" s="398"/>
      <c r="AT191" s="398"/>
      <c r="AU191" s="399"/>
      <c r="AV191" s="399"/>
      <c r="AW191" s="399"/>
      <c r="AX191" s="399"/>
      <c r="AY191" s="399"/>
      <c r="AZ191" s="399"/>
      <c r="BA191" s="398"/>
      <c r="BB191" s="398"/>
      <c r="BC191" s="398"/>
      <c r="BD191" s="398"/>
      <c r="BE191" s="398"/>
      <c r="BF191" s="398"/>
      <c r="BG191" s="398"/>
      <c r="BH191" s="398"/>
      <c r="BI191" s="398"/>
      <c r="BJ191" s="398"/>
      <c r="BK191" s="398"/>
      <c r="BL191" s="398"/>
      <c r="BM191" s="398"/>
      <c r="BN191" s="398"/>
      <c r="BO191" s="398"/>
      <c r="BP191" s="398"/>
      <c r="BQ191" s="398"/>
      <c r="BR191" s="398"/>
      <c r="BS191" s="398"/>
      <c r="BT191" s="398"/>
      <c r="BU191" s="398"/>
      <c r="BV191" s="398"/>
      <c r="BW191" s="398"/>
      <c r="BX191" s="398"/>
      <c r="BY191" s="398"/>
      <c r="BZ191" s="398"/>
      <c r="CA191" s="398"/>
      <c r="CB191" s="398"/>
      <c r="CC191" s="398"/>
      <c r="CD191" s="398"/>
      <c r="CE191" s="398"/>
      <c r="CF191" s="398"/>
      <c r="CG191" s="398"/>
      <c r="CH191" s="398"/>
      <c r="CI191" s="398"/>
      <c r="CJ191" s="398"/>
      <c r="CK191" s="398"/>
      <c r="CL191" s="398"/>
      <c r="CM191" s="398"/>
      <c r="CN191" s="398"/>
      <c r="CO191" s="398"/>
      <c r="CP191" s="398"/>
      <c r="CQ191" s="398"/>
      <c r="CR191" s="398"/>
      <c r="CS191" s="398"/>
      <c r="CT191" s="398"/>
      <c r="CU191" s="398"/>
      <c r="CV191" s="398"/>
      <c r="CW191" s="398"/>
      <c r="CX191" s="398"/>
      <c r="CY191" s="398"/>
      <c r="CZ191" s="398"/>
      <c r="DA191" s="398"/>
      <c r="DB191" s="398"/>
      <c r="DC191" s="398"/>
      <c r="DD191" s="398"/>
      <c r="DE191" s="398"/>
      <c r="DF191" s="398"/>
      <c r="DG191" s="398"/>
      <c r="DH191" s="398"/>
      <c r="DI191" s="398"/>
      <c r="DJ191" s="398"/>
      <c r="DK191" s="398"/>
      <c r="DL191" s="398"/>
      <c r="DM191" s="398"/>
      <c r="DN191" s="398"/>
      <c r="DO191" s="398"/>
      <c r="DP191" s="398"/>
      <c r="DQ191" s="398"/>
      <c r="DR191" s="398"/>
      <c r="DS191" s="398"/>
      <c r="DT191" s="400"/>
      <c r="DU191" s="66"/>
    </row>
  </sheetData>
  <mergeCells count="38">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W120:W127"/>
    <mergeCell ref="AJ4:AT4"/>
    <mergeCell ref="AJ12:AT12"/>
    <mergeCell ref="AJ20:AT20"/>
    <mergeCell ref="AJ28:AT28"/>
    <mergeCell ref="AJ36:AT36"/>
    <mergeCell ref="AJ44:AT44"/>
    <mergeCell ref="AJ52:AT52"/>
    <mergeCell ref="AJ60:AT60"/>
    <mergeCell ref="AJ68:AT68"/>
    <mergeCell ref="AJ76:AT76"/>
    <mergeCell ref="AJ84:AT84"/>
    <mergeCell ref="AJ92:AT92"/>
    <mergeCell ref="W99:AF99"/>
    <mergeCell ref="AK99:AT99"/>
    <mergeCell ref="AJ100:AT100"/>
    <mergeCell ref="W118:AF118"/>
    <mergeCell ref="W129:AF129"/>
    <mergeCell ref="W136:AF136"/>
    <mergeCell ref="W141:AF141"/>
    <mergeCell ref="W145:AF145"/>
    <mergeCell ref="AH154:AU15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258"/>
  <sheetViews>
    <sheetView workbookViewId="0" showGridLines="0" defaultGridColor="1"/>
  </sheetViews>
  <sheetFormatPr defaultColWidth="10.8333" defaultRowHeight="15" customHeight="1" outlineLevelRow="0" outlineLevelCol="0"/>
  <cols>
    <col min="1" max="1" width="10.8516" style="401" customWidth="1"/>
    <col min="2" max="2" width="29.5" style="401" customWidth="1"/>
    <col min="3" max="3" width="35" style="401" customWidth="1"/>
    <col min="4" max="4" width="12.6719" style="401" customWidth="1"/>
    <col min="5" max="8" width="10.8516" style="401" customWidth="1"/>
    <col min="9" max="9" width="3.17188" style="401" customWidth="1"/>
    <col min="10" max="12" width="10.8516" style="401" customWidth="1"/>
    <col min="13" max="13" width="3.67188" style="401" customWidth="1"/>
    <col min="14" max="14" width="4.67188" style="401" customWidth="1"/>
    <col min="15" max="16384" width="10.8516" style="401" customWidth="1"/>
  </cols>
  <sheetData>
    <row r="1" ht="20" customHeight="1">
      <c r="A1" s="402"/>
      <c r="B1" s="403"/>
      <c r="C1" t="s" s="404">
        <v>735</v>
      </c>
      <c r="D1" s="405"/>
      <c r="E1" t="s" s="406">
        <v>736</v>
      </c>
      <c r="F1" s="407"/>
      <c r="G1" s="407"/>
      <c r="H1" s="407"/>
      <c r="I1" s="407"/>
      <c r="J1" s="407"/>
      <c r="K1" s="407"/>
      <c r="L1" s="407"/>
      <c r="M1" s="407"/>
      <c r="N1" s="408"/>
    </row>
    <row r="2" ht="20" customHeight="1">
      <c r="A2" s="409"/>
      <c r="B2" s="410"/>
      <c r="C2" s="411"/>
      <c r="D2" s="412"/>
      <c r="E2" s="14"/>
      <c r="F2" s="14"/>
      <c r="G2" s="14"/>
      <c r="H2" s="14"/>
      <c r="I2" s="14"/>
      <c r="J2" s="14"/>
      <c r="K2" s="14"/>
      <c r="L2" s="14"/>
      <c r="M2" s="14"/>
      <c r="N2" s="413"/>
    </row>
    <row r="3" ht="35" customHeight="1">
      <c r="A3" s="414"/>
      <c r="B3" t="s" s="415">
        <v>11</v>
      </c>
      <c r="C3" s="416"/>
      <c r="D3" s="412"/>
      <c r="E3" t="s" s="417">
        <v>737</v>
      </c>
      <c r="F3" s="418"/>
      <c r="G3" s="419"/>
      <c r="H3" s="419"/>
      <c r="I3" s="419"/>
      <c r="J3" s="419"/>
      <c r="K3" s="419"/>
      <c r="L3" s="419"/>
      <c r="M3" s="419"/>
      <c r="N3" s="420"/>
    </row>
    <row r="4" ht="45" customHeight="1">
      <c r="A4" s="409"/>
      <c r="B4" s="421"/>
      <c r="C4" t="s" s="422">
        <v>738</v>
      </c>
      <c r="D4" s="412"/>
      <c r="E4" t="s" s="423">
        <v>739</v>
      </c>
      <c r="F4" s="424"/>
      <c r="G4" s="424"/>
      <c r="H4" s="424"/>
      <c r="I4" s="424"/>
      <c r="J4" s="424"/>
      <c r="K4" s="424"/>
      <c r="L4" s="424"/>
      <c r="M4" s="425"/>
      <c r="N4" s="426"/>
    </row>
    <row r="5" ht="19" customHeight="1">
      <c r="A5" s="427"/>
      <c r="B5" t="s" s="428">
        <v>740</v>
      </c>
      <c r="C5" t="str" s="429" cm="1">
        <f t="array" ref="C5">'Home'!C10</f>
        <v>Nombre</v>
      </c>
      <c r="D5" s="430"/>
      <c r="E5" t="s" s="431">
        <v>742</v>
      </c>
      <c r="F5" s="424"/>
      <c r="G5" s="424"/>
      <c r="H5" s="424"/>
      <c r="I5" s="424"/>
      <c r="J5" s="432"/>
      <c r="K5" s="432"/>
      <c r="L5" s="433"/>
      <c r="M5" s="434"/>
      <c r="N5" s="426"/>
    </row>
    <row r="6" ht="15" customHeight="1">
      <c r="A6" t="s" s="435">
        <v>743</v>
      </c>
      <c r="B6" t="str" s="436" cm="1">
        <f t="array" ref="B6">CONCATENATE('WORLDCUP'!AA4,"-",'WORLDCUP'!AF4)</f>
        <v>México-Sudáfrica</v>
      </c>
      <c r="C6" t="str" s="437" cm="1">
        <f t="array" ref="C6">CONCATENATE(IF('WORLDCUP'!AC4&gt;'WORLDCUP'!AD4,1,IF('WORLDCUP'!AC4&lt;'WORLDCUP'!AD4,2,IF(AND('WORLDCUP'!AC4='WORLDCUP'!AD4,'WORLDCUP'!AC4&lt;&gt;"",'WORLDCUP'!AD4&lt;&gt;""),"X",0))),"|",'WORLDCUP'!AC4,"-",'WORLDCUP'!AD4)</f>
        <v>1|2-1</v>
      </c>
      <c r="D6" t="s" s="438">
        <v>49</v>
      </c>
      <c r="E6" t="s" s="439">
        <v>746</v>
      </c>
      <c r="F6" s="440"/>
      <c r="G6" s="440"/>
      <c r="H6" s="440"/>
      <c r="I6" s="441"/>
      <c r="J6" s="442"/>
      <c r="K6" s="440"/>
      <c r="L6" s="425"/>
      <c r="M6" s="434"/>
      <c r="N6" s="426"/>
    </row>
    <row r="7" ht="15" customHeight="1">
      <c r="A7" t="s" s="435">
        <v>743</v>
      </c>
      <c r="B7" t="str" s="436" cm="1">
        <f t="array" ref="B7">CONCATENATE('WORLDCUP'!AA5,"-",'WORLDCUP'!AF5)</f>
        <v>Corea del Sur-República Checa</v>
      </c>
      <c r="C7" t="str" s="437" cm="1">
        <f t="array" ref="C7">CONCATENATE(IF('WORLDCUP'!AC5&gt;'WORLDCUP'!AD5,1,IF('WORLDCUP'!AC5&lt;'WORLDCUP'!AD5,2,IF(AND('WORLDCUP'!AC5='WORLDCUP'!AD5,'WORLDCUP'!AC5&lt;&gt;"",'WORLDCUP'!AD5&lt;&gt;""),"X",0))),"|",'WORLDCUP'!AC5,"-",'WORLDCUP'!AD5)</f>
        <v>1|1-0</v>
      </c>
      <c r="D7" s="443"/>
      <c r="E7" s="14"/>
      <c r="F7" s="14"/>
      <c r="G7" s="14"/>
      <c r="H7" s="14"/>
      <c r="I7" s="444"/>
      <c r="J7" s="445"/>
      <c r="K7" s="14"/>
      <c r="L7" s="420"/>
      <c r="M7" s="434"/>
      <c r="N7" s="426"/>
    </row>
    <row r="8" ht="15" customHeight="1">
      <c r="A8" t="s" s="446">
        <v>749</v>
      </c>
      <c r="B8" t="str" s="447" cm="1">
        <f t="array" ref="B8">CONCATENATE('WORLDCUP'!AA12,"-",'WORLDCUP'!AF12)</f>
        <v>Canadá-Bosnia y Herzegovina</v>
      </c>
      <c r="C8" t="str" s="437" cm="1">
        <f t="array" ref="C8">CONCATENATE(IF('WORLDCUP'!AC12&gt;'WORLDCUP'!AD12,1,IF('WORLDCUP'!AC12&lt;'WORLDCUP'!AD12,2,IF(AND('WORLDCUP'!AC12='WORLDCUP'!AD12,'WORLDCUP'!AC12&lt;&gt;"",'WORLDCUP'!AD12&lt;&gt;""),"X",0))),"|",'WORLDCUP'!AC12,"-",'WORLDCUP'!AD12)</f>
        <v>1|2-0</v>
      </c>
      <c r="D8" s="430"/>
      <c r="E8" s="14"/>
      <c r="F8" s="14"/>
      <c r="G8" s="14"/>
      <c r="H8" s="14"/>
      <c r="I8" s="444"/>
      <c r="J8" s="445"/>
      <c r="K8" s="14"/>
      <c r="L8" s="420"/>
      <c r="M8" s="434"/>
      <c r="N8" s="426"/>
    </row>
    <row r="9" ht="15" customHeight="1">
      <c r="A9" t="s" s="446">
        <v>749</v>
      </c>
      <c r="B9" t="str" s="447" cm="1">
        <f t="array" ref="B9">CONCATENATE('WORLDCUP'!AA13,"-",'WORLDCUP'!AF13)</f>
        <v>Catar-Suiza</v>
      </c>
      <c r="C9" t="str" s="448" cm="1">
        <f t="array" ref="C9">CONCATENATE(IF('WORLDCUP'!AC13&gt;'WORLDCUP'!AD13,1,IF('WORLDCUP'!AC13&lt;'WORLDCUP'!AD13,2,IF(AND('WORLDCUP'!AC13='WORLDCUP'!AD13,'WORLDCUP'!AC13&lt;&gt;"",'WORLDCUP'!AD13&lt;&gt;""),"X",0))),"|",'WORLDCUP'!AC13,"-",'WORLDCUP'!AD13)</f>
        <v>X|1-1</v>
      </c>
      <c r="D9" s="14"/>
      <c r="E9" s="14"/>
      <c r="F9" s="14"/>
      <c r="G9" s="14"/>
      <c r="H9" s="14"/>
      <c r="I9" s="444"/>
      <c r="J9" s="445"/>
      <c r="K9" s="14"/>
      <c r="L9" s="420"/>
      <c r="M9" s="434"/>
      <c r="N9" s="426"/>
    </row>
    <row r="10" ht="15" customHeight="1">
      <c r="A10" t="s" s="435">
        <v>754</v>
      </c>
      <c r="B10" t="str" s="436" cm="1">
        <f t="array" ref="B10">CONCATENATE('WORLDCUP'!AA20,"-",'WORLDCUP'!AF20)</f>
        <v>Brasil-Marruecos</v>
      </c>
      <c r="C10" t="str" s="448" cm="1">
        <f t="array" ref="C10">CONCATENATE(IF('WORLDCUP'!AC20&gt;'WORLDCUP'!AD20,1,IF('WORLDCUP'!AC20&lt;'WORLDCUP'!AD20,2,IF(AND('WORLDCUP'!AC20='WORLDCUP'!AD20,'WORLDCUP'!AC20&lt;&gt;"",'WORLDCUP'!AD20&lt;&gt;""),"X",0))),"|",'WORLDCUP'!AC20,"-",'WORLDCUP'!AD20)</f>
        <v>1|2-1</v>
      </c>
      <c r="D10" s="14"/>
      <c r="E10" s="14"/>
      <c r="F10" s="14"/>
      <c r="G10" s="14"/>
      <c r="H10" s="14"/>
      <c r="I10" s="444"/>
      <c r="J10" s="445"/>
      <c r="K10" s="14"/>
      <c r="L10" s="420"/>
      <c r="M10" s="434"/>
      <c r="N10" s="426"/>
    </row>
    <row r="11" ht="15" customHeight="1">
      <c r="A11" t="s" s="435">
        <v>754</v>
      </c>
      <c r="B11" t="str" s="436" cm="1">
        <f t="array" ref="B11">CONCATENATE('WORLDCUP'!AA21,"-",'WORLDCUP'!AF21)</f>
        <v>Haití-Escocia</v>
      </c>
      <c r="C11" t="str" s="448" cm="1">
        <f t="array" ref="C11">CONCATENATE(IF('WORLDCUP'!AC21&gt;'WORLDCUP'!AD21,1,IF('WORLDCUP'!AC21&lt;'WORLDCUP'!AD21,2,IF(AND('WORLDCUP'!AC21='WORLDCUP'!AD21,'WORLDCUP'!AC21&lt;&gt;"",'WORLDCUP'!AD21&lt;&gt;""),"X",0))),"|",'WORLDCUP'!AC21,"-",'WORLDCUP'!AD21)</f>
        <v>X|0-0</v>
      </c>
      <c r="D11" s="14"/>
      <c r="E11" s="14"/>
      <c r="F11" s="14"/>
      <c r="G11" s="14"/>
      <c r="H11" s="14"/>
      <c r="I11" s="444"/>
      <c r="J11" s="445"/>
      <c r="K11" s="14"/>
      <c r="L11" s="420"/>
      <c r="M11" s="434"/>
      <c r="N11" s="426"/>
    </row>
    <row r="12" ht="15" customHeight="1">
      <c r="A12" t="s" s="446">
        <v>758</v>
      </c>
      <c r="B12" t="str" s="447" cm="1">
        <f t="array" ref="B12">CONCATENATE('WORLDCUP'!AA28,"-",'WORLDCUP'!AF28)</f>
        <v>Estados Unidos-Paraguay</v>
      </c>
      <c r="C12" t="str" s="448" cm="1">
        <f t="array" ref="C12">CONCATENATE(IF('WORLDCUP'!AC28&gt;'WORLDCUP'!AD28,1,IF('WORLDCUP'!AC28&lt;'WORLDCUP'!AD28,2,IF(AND('WORLDCUP'!AC28='WORLDCUP'!AD28,'WORLDCUP'!AC28&lt;&gt;"",'WORLDCUP'!AD28&lt;&gt;""),"X",0))),"|",'WORLDCUP'!AC28,"-",'WORLDCUP'!AD28)</f>
        <v>1|1-0</v>
      </c>
      <c r="D12" s="14"/>
      <c r="E12" s="14"/>
      <c r="F12" s="14"/>
      <c r="G12" s="14"/>
      <c r="H12" s="14"/>
      <c r="I12" s="444"/>
      <c r="J12" s="445"/>
      <c r="K12" s="14"/>
      <c r="L12" s="420"/>
      <c r="M12" s="434"/>
      <c r="N12" s="426"/>
    </row>
    <row r="13" ht="15" customHeight="1">
      <c r="A13" t="s" s="446">
        <v>758</v>
      </c>
      <c r="B13" t="str" s="447" cm="1">
        <f t="array" ref="B13">CONCATENATE('WORLDCUP'!AA29,"-",'WORLDCUP'!AF29)</f>
        <v>Australia-Turquía</v>
      </c>
      <c r="C13" t="str" s="448" cm="1">
        <f t="array" ref="C13">CONCATENATE(IF('WORLDCUP'!AC29&gt;'WORLDCUP'!AD29,1,IF('WORLDCUP'!AC29&lt;'WORLDCUP'!AD29,2,IF(AND('WORLDCUP'!AC29='WORLDCUP'!AD29,'WORLDCUP'!AC29&lt;&gt;"",'WORLDCUP'!AD29&lt;&gt;""),"X",0))),"|",'WORLDCUP'!AC29,"-",'WORLDCUP'!AD29)</f>
        <v>2|1-3</v>
      </c>
      <c r="D13" s="14"/>
      <c r="E13" s="14"/>
      <c r="F13" s="14"/>
      <c r="G13" s="14"/>
      <c r="H13" s="14"/>
      <c r="I13" s="444"/>
      <c r="J13" s="445"/>
      <c r="K13" s="14"/>
      <c r="L13" s="420"/>
      <c r="M13" s="434"/>
      <c r="N13" s="426"/>
    </row>
    <row r="14" ht="15" customHeight="1">
      <c r="A14" t="s" s="435">
        <v>762</v>
      </c>
      <c r="B14" t="str" s="436" cm="1">
        <f t="array" ref="B14">CONCATENATE('WORLDCUP'!AA36,"-",'WORLDCUP'!AF36)</f>
        <v>Alemania-Curazao</v>
      </c>
      <c r="C14" t="str" s="448" cm="1">
        <f t="array" ref="C14">CONCATENATE(IF('WORLDCUP'!AC36&gt;'WORLDCUP'!AD36,1,IF('WORLDCUP'!AC36&lt;'WORLDCUP'!AD36,2,IF(AND('WORLDCUP'!AC36='WORLDCUP'!AD36,'WORLDCUP'!AC36&lt;&gt;"",'WORLDCUP'!AD36&lt;&gt;""),"X",0))),"|",'WORLDCUP'!AC36,"-",'WORLDCUP'!AD36)</f>
        <v>1|3-0</v>
      </c>
      <c r="D14" s="14"/>
      <c r="E14" s="14"/>
      <c r="F14" s="14"/>
      <c r="G14" s="14"/>
      <c r="H14" s="14"/>
      <c r="I14" s="444"/>
      <c r="J14" s="445"/>
      <c r="K14" s="14"/>
      <c r="L14" s="420"/>
      <c r="M14" s="434"/>
      <c r="N14" s="426"/>
    </row>
    <row r="15" ht="15" customHeight="1">
      <c r="A15" t="s" s="435">
        <v>762</v>
      </c>
      <c r="B15" t="str" s="436" cm="1">
        <f t="array" ref="B15">CONCATENATE('WORLDCUP'!AA37,"-",'WORLDCUP'!AF37)</f>
        <v>Costa de Marfil-Ecuador</v>
      </c>
      <c r="C15" t="str" s="448" cm="1">
        <f t="array" ref="C15">CONCATENATE(IF('WORLDCUP'!AC37&gt;'WORLDCUP'!AD37,1,IF('WORLDCUP'!AC37&lt;'WORLDCUP'!AD37,2,IF(AND('WORLDCUP'!AC37='WORLDCUP'!AD37,'WORLDCUP'!AC37&lt;&gt;"",'WORLDCUP'!AD37&lt;&gt;""),"X",0))),"|",'WORLDCUP'!AC37,"-",'WORLDCUP'!AD37)</f>
        <v>2|1-3</v>
      </c>
      <c r="D15" s="14"/>
      <c r="E15" s="14"/>
      <c r="F15" s="14"/>
      <c r="G15" s="14"/>
      <c r="H15" s="14"/>
      <c r="I15" s="444"/>
      <c r="J15" s="445"/>
      <c r="K15" s="14"/>
      <c r="L15" s="420"/>
      <c r="M15" s="434"/>
      <c r="N15" s="426"/>
    </row>
    <row r="16" ht="15" customHeight="1">
      <c r="A16" t="s" s="446">
        <v>766</v>
      </c>
      <c r="B16" t="str" s="447" cm="1">
        <f t="array" ref="B16">CONCATENATE('WORLDCUP'!AA44,"-",'WORLDCUP'!AF44)</f>
        <v>Países Bajos-Japón</v>
      </c>
      <c r="C16" t="str" s="448" cm="1">
        <f t="array" ref="C16">CONCATENATE(IF('WORLDCUP'!AC44&gt;'WORLDCUP'!AD44,1,IF('WORLDCUP'!AC44&lt;'WORLDCUP'!AD44,2,IF(AND('WORLDCUP'!AC44='WORLDCUP'!AD44,'WORLDCUP'!AC44&lt;&gt;"",'WORLDCUP'!AD44&lt;&gt;""),"X",0))),"|",'WORLDCUP'!AC44,"-",'WORLDCUP'!AD44)</f>
        <v>1|2-1</v>
      </c>
      <c r="D16" s="14"/>
      <c r="E16" s="14"/>
      <c r="F16" s="14"/>
      <c r="G16" s="14"/>
      <c r="H16" s="14"/>
      <c r="I16" s="444"/>
      <c r="J16" s="445"/>
      <c r="K16" s="14"/>
      <c r="L16" s="420"/>
      <c r="M16" s="434"/>
      <c r="N16" s="426"/>
    </row>
    <row r="17" ht="15" customHeight="1">
      <c r="A17" t="s" s="446">
        <v>766</v>
      </c>
      <c r="B17" t="str" s="447" cm="1">
        <f t="array" ref="B17">CONCATENATE('WORLDCUP'!AA45,"-",'WORLDCUP'!AF45)</f>
        <v>Suecia-Túnez</v>
      </c>
      <c r="C17" t="str" s="448" cm="1">
        <f t="array" ref="C17">CONCATENATE(IF('WORLDCUP'!AC45&gt;'WORLDCUP'!AD45,1,IF('WORLDCUP'!AC45&lt;'WORLDCUP'!AD45,2,IF(AND('WORLDCUP'!AC45='WORLDCUP'!AD45,'WORLDCUP'!AC45&lt;&gt;"",'WORLDCUP'!AD45&lt;&gt;""),"X",0))),"|",'WORLDCUP'!AC45,"-",'WORLDCUP'!AD45)</f>
        <v>1|2-0</v>
      </c>
      <c r="D17" s="14"/>
      <c r="E17" s="14"/>
      <c r="F17" s="14"/>
      <c r="G17" s="14"/>
      <c r="H17" s="14"/>
      <c r="I17" s="444"/>
      <c r="J17" s="445"/>
      <c r="K17" s="14"/>
      <c r="L17" s="420"/>
      <c r="M17" s="434"/>
      <c r="N17" s="426"/>
    </row>
    <row r="18" ht="15" customHeight="1">
      <c r="A18" t="s" s="435">
        <v>769</v>
      </c>
      <c r="B18" t="str" s="436" cm="1">
        <f t="array" ref="B18">CONCATENATE('WORLDCUP'!AA52,"-",'WORLDCUP'!AF52)</f>
        <v>Bélgica-Egipto</v>
      </c>
      <c r="C18" t="str" s="448" cm="1">
        <f t="array" ref="C18">CONCATENATE(IF('WORLDCUP'!AC52&gt;'WORLDCUP'!AD52,1,IF('WORLDCUP'!AC52&lt;'WORLDCUP'!AD52,2,IF(AND('WORLDCUP'!AC52='WORLDCUP'!AD52,'WORLDCUP'!AC52&lt;&gt;"",'WORLDCUP'!AD52&lt;&gt;""),"X",0))),"|",'WORLDCUP'!AC52,"-",'WORLDCUP'!AD52)</f>
        <v>1|1-0</v>
      </c>
      <c r="D18" s="14"/>
      <c r="E18" s="14"/>
      <c r="F18" s="14"/>
      <c r="G18" s="14"/>
      <c r="H18" s="14"/>
      <c r="I18" s="444"/>
      <c r="J18" s="445"/>
      <c r="K18" s="14"/>
      <c r="L18" s="420"/>
      <c r="M18" s="434"/>
      <c r="N18" s="426"/>
    </row>
    <row r="19" ht="15" customHeight="1">
      <c r="A19" t="s" s="435">
        <v>769</v>
      </c>
      <c r="B19" t="str" s="436" cm="1">
        <f t="array" ref="B19">CONCATENATE('WORLDCUP'!AA53,"-",'WORLDCUP'!AF53)</f>
        <v>Irán-Nueva Zelanda</v>
      </c>
      <c r="C19" t="str" s="448" cm="1">
        <f t="array" ref="C19">CONCATENATE(IF('WORLDCUP'!AC53&gt;'WORLDCUP'!AD53,1,IF('WORLDCUP'!AC53&lt;'WORLDCUP'!AD53,2,IF(AND('WORLDCUP'!AC53='WORLDCUP'!AD53,'WORLDCUP'!AC53&lt;&gt;"",'WORLDCUP'!AD53&lt;&gt;""),"X",0))),"|",'WORLDCUP'!AC53,"-",'WORLDCUP'!AD53)</f>
        <v>1|1-0</v>
      </c>
      <c r="D19" s="14"/>
      <c r="E19" s="14"/>
      <c r="F19" s="14"/>
      <c r="G19" s="14"/>
      <c r="H19" s="14"/>
      <c r="I19" s="444"/>
      <c r="J19" s="445"/>
      <c r="K19" s="14"/>
      <c r="L19" s="420"/>
      <c r="M19" s="434"/>
      <c r="N19" s="426"/>
    </row>
    <row r="20" ht="15" customHeight="1">
      <c r="A20" t="s" s="446">
        <v>772</v>
      </c>
      <c r="B20" t="str" s="447" cm="1">
        <f t="array" ref="B20">CONCATENATE('WORLDCUP'!AA60,"-",'WORLDCUP'!AF60)</f>
        <v>España-Cabo Verde</v>
      </c>
      <c r="C20" t="str" s="448" cm="1">
        <f t="array" ref="C20">CONCATENATE(IF('WORLDCUP'!AC60&gt;'WORLDCUP'!AD60,1,IF('WORLDCUP'!AC60&lt;'WORLDCUP'!AD60,2,IF(AND('WORLDCUP'!AC60='WORLDCUP'!AD60,'WORLDCUP'!AC60&lt;&gt;"",'WORLDCUP'!AD60&lt;&gt;""),"X",0))),"|",'WORLDCUP'!AC60,"-",'WORLDCUP'!AD60)</f>
        <v>1|3-0</v>
      </c>
      <c r="D20" s="14"/>
      <c r="E20" s="14"/>
      <c r="F20" s="14"/>
      <c r="G20" s="14"/>
      <c r="H20" s="14"/>
      <c r="I20" s="444"/>
      <c r="J20" s="445"/>
      <c r="K20" s="14"/>
      <c r="L20" s="420"/>
      <c r="M20" s="434"/>
      <c r="N20" s="426"/>
    </row>
    <row r="21" ht="15" customHeight="1">
      <c r="A21" t="s" s="446">
        <v>772</v>
      </c>
      <c r="B21" t="str" s="447" cm="1">
        <f t="array" ref="B21">CONCATENATE('WORLDCUP'!AA61,"-",'WORLDCUP'!AF61)</f>
        <v>Arabia Saudita-Uruguay</v>
      </c>
      <c r="C21" t="str" s="448" cm="1">
        <f t="array" ref="C21">CONCATENATE(IF('WORLDCUP'!AC61&gt;'WORLDCUP'!AD61,1,IF('WORLDCUP'!AC61&lt;'WORLDCUP'!AD61,2,IF(AND('WORLDCUP'!AC61='WORLDCUP'!AD61,'WORLDCUP'!AC61&lt;&gt;"",'WORLDCUP'!AD61&lt;&gt;""),"X",0))),"|",'WORLDCUP'!AC61,"-",'WORLDCUP'!AD61)</f>
        <v>2|1-2</v>
      </c>
      <c r="D21" s="14"/>
      <c r="E21" s="14"/>
      <c r="F21" s="14"/>
      <c r="G21" s="14"/>
      <c r="H21" s="14"/>
      <c r="I21" s="444"/>
      <c r="J21" s="445"/>
      <c r="K21" s="14"/>
      <c r="L21" s="420"/>
      <c r="M21" s="434"/>
      <c r="N21" s="426"/>
    </row>
    <row r="22" ht="15" customHeight="1">
      <c r="A22" t="s" s="435">
        <v>776</v>
      </c>
      <c r="B22" t="str" s="436" cm="1">
        <f t="array" ref="B22">CONCATENATE('WORLDCUP'!AA68,"-",'WORLDCUP'!AF68)</f>
        <v>Francia-Senegal</v>
      </c>
      <c r="C22" t="str" s="448" cm="1">
        <f t="array" ref="C22">CONCATENATE(IF('WORLDCUP'!AC68&gt;'WORLDCUP'!AD68,1,IF('WORLDCUP'!AC68&lt;'WORLDCUP'!AD68,2,IF(AND('WORLDCUP'!AC68='WORLDCUP'!AD68,'WORLDCUP'!AC68&lt;&gt;"",'WORLDCUP'!AD68&lt;&gt;""),"X",0))),"|",'WORLDCUP'!AC68,"-",'WORLDCUP'!AD68)</f>
        <v>1|3-1</v>
      </c>
      <c r="D22" s="14"/>
      <c r="E22" s="14"/>
      <c r="F22" s="14"/>
      <c r="G22" s="14"/>
      <c r="H22" s="14"/>
      <c r="I22" s="444"/>
      <c r="J22" s="445"/>
      <c r="K22" s="14"/>
      <c r="L22" s="420"/>
      <c r="M22" s="434"/>
      <c r="N22" s="426"/>
    </row>
    <row r="23" ht="15" customHeight="1">
      <c r="A23" t="s" s="435">
        <v>776</v>
      </c>
      <c r="B23" t="str" s="436" cm="1">
        <f t="array" ref="B23">CONCATENATE('WORLDCUP'!AA69,"-",'WORLDCUP'!AF69)</f>
        <v>Irak-Noruega</v>
      </c>
      <c r="C23" t="str" s="448" cm="1">
        <f t="array" ref="C23">CONCATENATE(IF('WORLDCUP'!AC69&gt;'WORLDCUP'!AD69,1,IF('WORLDCUP'!AC69&lt;'WORLDCUP'!AD69,2,IF(AND('WORLDCUP'!AC69='WORLDCUP'!AD69,'WORLDCUP'!AC69&lt;&gt;"",'WORLDCUP'!AD69&lt;&gt;""),"X",0))),"|",'WORLDCUP'!AC69,"-",'WORLDCUP'!AD69)</f>
        <v>2|0-2</v>
      </c>
      <c r="D23" s="14"/>
      <c r="E23" s="14"/>
      <c r="F23" s="14"/>
      <c r="G23" s="14"/>
      <c r="H23" s="14"/>
      <c r="I23" s="444"/>
      <c r="J23" s="445"/>
      <c r="K23" s="14"/>
      <c r="L23" s="420"/>
      <c r="M23" s="434"/>
      <c r="N23" s="426"/>
    </row>
    <row r="24" ht="15" customHeight="1">
      <c r="A24" t="s" s="446">
        <v>49</v>
      </c>
      <c r="B24" t="str" s="447" cm="1">
        <f t="array" ref="B24">CONCATENATE('WORLDCUP'!AA76,"-",'WORLDCUP'!AF76)</f>
        <v>Argentina-Argelia</v>
      </c>
      <c r="C24" t="str" s="448" cm="1">
        <f t="array" ref="C24">CONCATENATE(IF('WORLDCUP'!AC76&gt;'WORLDCUP'!AD76,1,IF('WORLDCUP'!AC76&lt;'WORLDCUP'!AD76,2,IF(AND('WORLDCUP'!AC76='WORLDCUP'!AD76,'WORLDCUP'!AC76&lt;&gt;"",'WORLDCUP'!AD76&lt;&gt;""),"X",0))),"|",'WORLDCUP'!AC76,"-",'WORLDCUP'!AD76)</f>
        <v>1|3-0</v>
      </c>
      <c r="D24" s="14"/>
      <c r="E24" s="14"/>
      <c r="F24" s="14"/>
      <c r="G24" s="14"/>
      <c r="H24" s="14"/>
      <c r="I24" s="444"/>
      <c r="J24" s="445"/>
      <c r="K24" s="14"/>
      <c r="L24" s="420"/>
      <c r="M24" s="434"/>
      <c r="N24" s="426"/>
    </row>
    <row r="25" ht="15" customHeight="1">
      <c r="A25" t="s" s="446">
        <v>49</v>
      </c>
      <c r="B25" t="str" s="447" cm="1">
        <f t="array" ref="B25">CONCATENATE('WORLDCUP'!AA77,"-",'WORLDCUP'!AF77)</f>
        <v>Austria-Jordania</v>
      </c>
      <c r="C25" t="str" s="448" cm="1">
        <f t="array" ref="C25">CONCATENATE(IF('WORLDCUP'!AC77&gt;'WORLDCUP'!AD77,1,IF('WORLDCUP'!AC77&lt;'WORLDCUP'!AD77,2,IF(AND('WORLDCUP'!AC77='WORLDCUP'!AD77,'WORLDCUP'!AC77&lt;&gt;"",'WORLDCUP'!AD77&lt;&gt;""),"X",0))),"|",'WORLDCUP'!AC77,"-",'WORLDCUP'!AD77)</f>
        <v>1|1-0</v>
      </c>
      <c r="D25" s="14"/>
      <c r="E25" s="14"/>
      <c r="F25" s="14"/>
      <c r="G25" s="14"/>
      <c r="H25" s="14"/>
      <c r="I25" s="444"/>
      <c r="J25" s="445"/>
      <c r="K25" s="14"/>
      <c r="L25" s="420"/>
      <c r="M25" s="434"/>
      <c r="N25" s="426"/>
    </row>
    <row r="26" ht="15" customHeight="1">
      <c r="A26" t="s" s="435">
        <v>783</v>
      </c>
      <c r="B26" t="str" s="436" cm="1">
        <f t="array" ref="B26">CONCATENATE('WORLDCUP'!AA84,"-",'WORLDCUP'!AF84)</f>
        <v>Portugal-RD Congo</v>
      </c>
      <c r="C26" t="str" s="448" cm="1">
        <f t="array" ref="C26">CONCATENATE(IF('WORLDCUP'!AC84&gt;'WORLDCUP'!AD84,1,IF('WORLDCUP'!AC84&lt;'WORLDCUP'!AD84,2,IF(AND('WORLDCUP'!AC84='WORLDCUP'!AD84,'WORLDCUP'!AC84&lt;&gt;"",'WORLDCUP'!AD84&lt;&gt;""),"X",0))),"|",'WORLDCUP'!AC84,"-",'WORLDCUP'!AD84)</f>
        <v>1|2-0</v>
      </c>
      <c r="D26" s="14"/>
      <c r="E26" s="14"/>
      <c r="F26" s="14"/>
      <c r="G26" s="14"/>
      <c r="H26" s="14"/>
      <c r="I26" s="444"/>
      <c r="J26" s="445"/>
      <c r="K26" s="14"/>
      <c r="L26" s="420"/>
      <c r="M26" s="434"/>
      <c r="N26" s="426"/>
    </row>
    <row r="27" ht="15" customHeight="1">
      <c r="A27" t="s" s="435">
        <v>783</v>
      </c>
      <c r="B27" t="str" s="436" cm="1">
        <f t="array" ref="B27">CONCATENATE('WORLDCUP'!AA85,"-",'WORLDCUP'!AF85)</f>
        <v>Uzbekistán-Colombia</v>
      </c>
      <c r="C27" t="str" s="448" cm="1">
        <f t="array" ref="C27">CONCATENATE(IF('WORLDCUP'!AC85&gt;'WORLDCUP'!AD85,1,IF('WORLDCUP'!AC85&lt;'WORLDCUP'!AD85,2,IF(AND('WORLDCUP'!AC85='WORLDCUP'!AD85,'WORLDCUP'!AC85&lt;&gt;"",'WORLDCUP'!AD85&lt;&gt;""),"X",0))),"|",'WORLDCUP'!AC85,"-",'WORLDCUP'!AD85)</f>
        <v>2|0-1</v>
      </c>
      <c r="D27" s="14"/>
      <c r="E27" s="14"/>
      <c r="F27" s="14"/>
      <c r="G27" s="14"/>
      <c r="H27" s="14"/>
      <c r="I27" s="444"/>
      <c r="J27" s="445"/>
      <c r="K27" s="14"/>
      <c r="L27" s="420"/>
      <c r="M27" s="434"/>
      <c r="N27" s="426"/>
    </row>
    <row r="28" ht="15" customHeight="1">
      <c r="A28" t="s" s="446">
        <v>787</v>
      </c>
      <c r="B28" t="str" s="447" cm="1">
        <f t="array" ref="B28">CONCATENATE('WORLDCUP'!AA92,"-",'WORLDCUP'!AF92)</f>
        <v>Inglaterra-Croacia</v>
      </c>
      <c r="C28" t="str" s="448" cm="1">
        <f t="array" ref="C28">CONCATENATE(IF('WORLDCUP'!AC92&gt;'WORLDCUP'!AD92,1,IF('WORLDCUP'!AC92&lt;'WORLDCUP'!AD92,2,IF(AND('WORLDCUP'!AC92='WORLDCUP'!AD92,'WORLDCUP'!AC92&lt;&gt;"",'WORLDCUP'!AD92&lt;&gt;""),"X",0))),"|",'WORLDCUP'!AC92,"-",'WORLDCUP'!AD92)</f>
        <v>1|1-0</v>
      </c>
      <c r="D28" s="14"/>
      <c r="E28" s="14"/>
      <c r="F28" s="14"/>
      <c r="G28" s="14"/>
      <c r="H28" s="14"/>
      <c r="I28" s="444"/>
      <c r="J28" s="445"/>
      <c r="K28" s="14"/>
      <c r="L28" s="420"/>
      <c r="M28" s="434"/>
      <c r="N28" s="426"/>
    </row>
    <row r="29" ht="15" customHeight="1">
      <c r="A29" t="s" s="446">
        <v>787</v>
      </c>
      <c r="B29" t="str" s="447" cm="1">
        <f t="array" ref="B29">CONCATENATE('WORLDCUP'!AA93,"-",'WORLDCUP'!AF93)</f>
        <v>Ghana-Panamá</v>
      </c>
      <c r="C29" t="str" s="448" cm="1">
        <f t="array" ref="C29">CONCATENATE(IF('WORLDCUP'!AC93&gt;'WORLDCUP'!AD93,1,IF('WORLDCUP'!AC93&lt;'WORLDCUP'!AD93,2,IF(AND('WORLDCUP'!AC93='WORLDCUP'!AD93,'WORLDCUP'!AC93&lt;&gt;"",'WORLDCUP'!AD93&lt;&gt;""),"X",0))),"|",'WORLDCUP'!AC93,"-",'WORLDCUP'!AD93)</f>
        <v>1|1-0</v>
      </c>
      <c r="D29" s="419"/>
      <c r="E29" s="419"/>
      <c r="F29" s="419"/>
      <c r="G29" s="419"/>
      <c r="H29" s="419"/>
      <c r="I29" s="449"/>
      <c r="J29" s="445"/>
      <c r="K29" s="14"/>
      <c r="L29" s="420"/>
      <c r="M29" s="434"/>
      <c r="N29" s="426"/>
    </row>
    <row r="30" ht="15" customHeight="1">
      <c r="A30" t="s" s="435">
        <v>790</v>
      </c>
      <c r="B30" t="str" s="436" cm="1">
        <f t="array" ref="B30">CONCATENATE('WORLDCUP'!AA6,"-",'WORLDCUP'!AF6)</f>
        <v>República Checa-Sudáfrica</v>
      </c>
      <c r="C30" t="str" s="448" cm="1">
        <f t="array" ref="C30">CONCATENATE(IF('WORLDCUP'!AC6&gt;'WORLDCUP'!AD6,1,IF('WORLDCUP'!AC6&lt;'WORLDCUP'!AD6,2,IF(AND('WORLDCUP'!AC6='WORLDCUP'!AD6,'WORLDCUP'!AC6&lt;&gt;"",'WORLDCUP'!AD6&lt;&gt;""),"X",0))),"|",'WORLDCUP'!AC6,"-",'WORLDCUP'!AD6)</f>
        <v>2|1-2</v>
      </c>
      <c r="D30" t="s" s="450">
        <v>131</v>
      </c>
      <c r="E30" t="s" s="439">
        <v>792</v>
      </c>
      <c r="F30" s="440"/>
      <c r="G30" s="440"/>
      <c r="H30" s="440"/>
      <c r="I30" s="441"/>
      <c r="J30" s="445"/>
      <c r="K30" s="14"/>
      <c r="L30" s="420"/>
      <c r="M30" s="434"/>
      <c r="N30" s="426"/>
    </row>
    <row r="31" ht="15" customHeight="1">
      <c r="A31" t="s" s="435">
        <v>790</v>
      </c>
      <c r="B31" t="str" s="436" cm="1">
        <f t="array" ref="B31">CONCATENATE('WORLDCUP'!AA7,"-",'WORLDCUP'!AF7)</f>
        <v>México-Corea del Sur</v>
      </c>
      <c r="C31" t="str" s="448" cm="1">
        <f t="array" ref="C31">CONCATENATE(IF('WORLDCUP'!AC7&gt;'WORLDCUP'!AD7,1,IF('WORLDCUP'!AC7&lt;'WORLDCUP'!AD7,2,IF(AND('WORLDCUP'!AC7='WORLDCUP'!AD7,'WORLDCUP'!AC7&lt;&gt;"",'WORLDCUP'!AD7&lt;&gt;""),"X",0))),"|",'WORLDCUP'!AC7,"-",'WORLDCUP'!AD7)</f>
        <v>2|0-2</v>
      </c>
      <c r="D31" s="440"/>
      <c r="E31" s="14"/>
      <c r="F31" s="14"/>
      <c r="G31" s="14"/>
      <c r="H31" s="14"/>
      <c r="I31" s="444"/>
      <c r="J31" s="445"/>
      <c r="K31" s="14"/>
      <c r="L31" s="420"/>
      <c r="M31" s="434"/>
      <c r="N31" s="426"/>
    </row>
    <row r="32" ht="15" customHeight="1">
      <c r="A32" t="s" s="446">
        <v>794</v>
      </c>
      <c r="B32" t="str" s="447" cm="1">
        <f t="array" ref="B32">CONCATENATE('WORLDCUP'!AA14,"-",'WORLDCUP'!AF14)</f>
        <v>Suiza-Bosnia y Herzegovina</v>
      </c>
      <c r="C32" t="str" s="448" cm="1">
        <f t="array" ref="C32">CONCATENATE(IF('WORLDCUP'!AC14&gt;'WORLDCUP'!AD14,1,IF('WORLDCUP'!AC14&lt;'WORLDCUP'!AD14,2,IF(AND('WORLDCUP'!AC14='WORLDCUP'!AD14,'WORLDCUP'!AC14&lt;&gt;"",'WORLDCUP'!AD14&lt;&gt;""),"X",0))),"|",'WORLDCUP'!AC14,"-",'WORLDCUP'!AD14)</f>
        <v>1|2-1</v>
      </c>
      <c r="D32" s="14"/>
      <c r="E32" s="14"/>
      <c r="F32" s="14"/>
      <c r="G32" s="14"/>
      <c r="H32" s="14"/>
      <c r="I32" s="444"/>
      <c r="J32" s="445"/>
      <c r="K32" s="14"/>
      <c r="L32" s="420"/>
      <c r="M32" s="434"/>
      <c r="N32" s="426"/>
    </row>
    <row r="33" ht="15" customHeight="1">
      <c r="A33" t="s" s="446">
        <v>794</v>
      </c>
      <c r="B33" t="str" s="447" cm="1">
        <f t="array" ref="B33">CONCATENATE('WORLDCUP'!AA15,"-",'WORLDCUP'!AF15)</f>
        <v>Canadá-Catar</v>
      </c>
      <c r="C33" t="str" s="448" cm="1">
        <f t="array" ref="C33">CONCATENATE(IF('WORLDCUP'!AC15&gt;'WORLDCUP'!AD15,1,IF('WORLDCUP'!AC15&lt;'WORLDCUP'!AD15,2,IF(AND('WORLDCUP'!AC15='WORLDCUP'!AD15,'WORLDCUP'!AC15&lt;&gt;"",'WORLDCUP'!AD15&lt;&gt;""),"X",0))),"|",'WORLDCUP'!AC15,"-",'WORLDCUP'!AD15)</f>
        <v>X|2-2</v>
      </c>
      <c r="D33" s="14"/>
      <c r="E33" s="14"/>
      <c r="F33" s="14"/>
      <c r="G33" s="14"/>
      <c r="H33" s="14"/>
      <c r="I33" s="444"/>
      <c r="J33" s="445"/>
      <c r="K33" s="14"/>
      <c r="L33" s="420"/>
      <c r="M33" s="434"/>
      <c r="N33" s="426"/>
    </row>
    <row r="34" ht="15" customHeight="1">
      <c r="A34" t="s" s="435">
        <v>798</v>
      </c>
      <c r="B34" t="str" s="436" cm="1">
        <f t="array" ref="B34">CONCATENATE('WORLDCUP'!AA22,"-",'WORLDCUP'!AF22)</f>
        <v>Escocia-Marruecos</v>
      </c>
      <c r="C34" t="str" s="448" cm="1">
        <f t="array" ref="C34">CONCATENATE(IF('WORLDCUP'!AC22&gt;'WORLDCUP'!AD22,1,IF('WORLDCUP'!AC22&lt;'WORLDCUP'!AD22,2,IF(AND('WORLDCUP'!AC22='WORLDCUP'!AD22,'WORLDCUP'!AC22&lt;&gt;"",'WORLDCUP'!AD22&lt;&gt;""),"X",0))),"|",'WORLDCUP'!AC22,"-",'WORLDCUP'!AD22)</f>
        <v>2|0-2</v>
      </c>
      <c r="D34" s="14"/>
      <c r="E34" s="14"/>
      <c r="F34" s="14"/>
      <c r="G34" s="14"/>
      <c r="H34" s="14"/>
      <c r="I34" s="444"/>
      <c r="J34" s="445"/>
      <c r="K34" s="14"/>
      <c r="L34" s="420"/>
      <c r="M34" s="434"/>
      <c r="N34" s="426"/>
    </row>
    <row r="35" ht="15" customHeight="1">
      <c r="A35" t="s" s="435">
        <v>798</v>
      </c>
      <c r="B35" t="str" s="436" cm="1">
        <f t="array" ref="B35">CONCATENATE('WORLDCUP'!AA23,"-",'WORLDCUP'!AF23)</f>
        <v>Brasil-Haití</v>
      </c>
      <c r="C35" t="str" s="448" cm="1">
        <f t="array" ref="C35">CONCATENATE(IF('WORLDCUP'!AC23&gt;'WORLDCUP'!AD23,1,IF('WORLDCUP'!AC23&lt;'WORLDCUP'!AD23,2,IF(AND('WORLDCUP'!AC23='WORLDCUP'!AD23,'WORLDCUP'!AC23&lt;&gt;"",'WORLDCUP'!AD23&lt;&gt;""),"X",0))),"|",'WORLDCUP'!AC23,"-",'WORLDCUP'!AD23)</f>
        <v>1|2-0</v>
      </c>
      <c r="D35" s="14"/>
      <c r="E35" s="14"/>
      <c r="F35" s="14"/>
      <c r="G35" s="14"/>
      <c r="H35" s="14"/>
      <c r="I35" s="444"/>
      <c r="J35" s="445"/>
      <c r="K35" s="14"/>
      <c r="L35" s="420"/>
      <c r="M35" s="434"/>
      <c r="N35" s="426"/>
    </row>
    <row r="36" ht="15" customHeight="1">
      <c r="A36" t="s" s="446">
        <v>801</v>
      </c>
      <c r="B36" t="str" s="447" cm="1">
        <f t="array" ref="B36">CONCATENATE('WORLDCUP'!AA30,"-",'WORLDCUP'!AF30)</f>
        <v>Estados Unidos-Australia</v>
      </c>
      <c r="C36" t="str" s="448" cm="1">
        <f t="array" ref="C36">CONCATENATE(IF('WORLDCUP'!AC30&gt;'WORLDCUP'!AD30,1,IF('WORLDCUP'!AC30&lt;'WORLDCUP'!AD30,2,IF(AND('WORLDCUP'!AC30='WORLDCUP'!AD30,'WORLDCUP'!AC30&lt;&gt;"",'WORLDCUP'!AD30&lt;&gt;""),"X",0))),"|",'WORLDCUP'!AC30,"-",'WORLDCUP'!AD30)</f>
        <v>1|2-1</v>
      </c>
      <c r="D36" s="14"/>
      <c r="E36" s="14"/>
      <c r="F36" s="14"/>
      <c r="G36" s="14"/>
      <c r="H36" s="14"/>
      <c r="I36" s="444"/>
      <c r="J36" s="445"/>
      <c r="K36" s="14"/>
      <c r="L36" s="420"/>
      <c r="M36" s="434"/>
      <c r="N36" s="426"/>
    </row>
    <row r="37" ht="15" customHeight="1">
      <c r="A37" t="s" s="446">
        <v>801</v>
      </c>
      <c r="B37" t="str" s="447" cm="1">
        <f t="array" ref="B37">CONCATENATE('WORLDCUP'!AA31,"-",'WORLDCUP'!AF31)</f>
        <v>Turquía-Paraguay</v>
      </c>
      <c r="C37" t="str" s="448" cm="1">
        <f t="array" ref="C37">CONCATENATE(IF('WORLDCUP'!AC31&gt;'WORLDCUP'!AD31,1,IF('WORLDCUP'!AC31&lt;'WORLDCUP'!AD31,2,IF(AND('WORLDCUP'!AC31='WORLDCUP'!AD31,'WORLDCUP'!AC31&lt;&gt;"",'WORLDCUP'!AD31&lt;&gt;""),"X",0))),"|",'WORLDCUP'!AC31,"-",'WORLDCUP'!AD31)</f>
        <v>1|3-2</v>
      </c>
      <c r="D37" s="14"/>
      <c r="E37" s="14"/>
      <c r="F37" s="14"/>
      <c r="G37" s="14"/>
      <c r="H37" s="14"/>
      <c r="I37" s="444"/>
      <c r="J37" s="445"/>
      <c r="K37" s="14"/>
      <c r="L37" s="420"/>
      <c r="M37" s="434"/>
      <c r="N37" s="426"/>
    </row>
    <row r="38" ht="15" customHeight="1">
      <c r="A38" t="s" s="435">
        <v>805</v>
      </c>
      <c r="B38" t="str" s="436" cm="1">
        <f t="array" ref="B38">CONCATENATE('WORLDCUP'!AA38,"-",'WORLDCUP'!AF38)</f>
        <v>Alemania-Costa de Marfil</v>
      </c>
      <c r="C38" t="str" s="448" cm="1">
        <f t="array" ref="C38">CONCATENATE(IF('WORLDCUP'!AC38&gt;'WORLDCUP'!AD38,1,IF('WORLDCUP'!AC38&lt;'WORLDCUP'!AD38,2,IF(AND('WORLDCUP'!AC38='WORLDCUP'!AD38,'WORLDCUP'!AC38&lt;&gt;"",'WORLDCUP'!AD38&lt;&gt;""),"X",0))),"|",'WORLDCUP'!AC38,"-",'WORLDCUP'!AD38)</f>
        <v>1|2-0</v>
      </c>
      <c r="D38" s="14"/>
      <c r="E38" s="14"/>
      <c r="F38" s="14"/>
      <c r="G38" s="14"/>
      <c r="H38" s="14"/>
      <c r="I38" s="444"/>
      <c r="J38" s="445"/>
      <c r="K38" s="14"/>
      <c r="L38" s="420"/>
      <c r="M38" s="434"/>
      <c r="N38" s="426"/>
    </row>
    <row r="39" ht="15" customHeight="1">
      <c r="A39" t="s" s="435">
        <v>805</v>
      </c>
      <c r="B39" t="str" s="436" cm="1">
        <f t="array" ref="B39">CONCATENATE('WORLDCUP'!AA39,"-",'WORLDCUP'!AF39)</f>
        <v>Ecuador-Curazao</v>
      </c>
      <c r="C39" t="str" s="448" cm="1">
        <f t="array" ref="C39">CONCATENATE(IF('WORLDCUP'!AC39&gt;'WORLDCUP'!AD39,1,IF('WORLDCUP'!AC39&lt;'WORLDCUP'!AD39,2,IF(AND('WORLDCUP'!AC39='WORLDCUP'!AD39,'WORLDCUP'!AC39&lt;&gt;"",'WORLDCUP'!AD39&lt;&gt;""),"X",0))),"|",'WORLDCUP'!AC39,"-",'WORLDCUP'!AD39)</f>
        <v>1|2-0</v>
      </c>
      <c r="D39" s="14"/>
      <c r="E39" s="14"/>
      <c r="F39" s="14"/>
      <c r="G39" s="14"/>
      <c r="H39" s="14"/>
      <c r="I39" s="444"/>
      <c r="J39" s="445"/>
      <c r="K39" s="14"/>
      <c r="L39" s="420"/>
      <c r="M39" s="434"/>
      <c r="N39" s="426"/>
    </row>
    <row r="40" ht="15" customHeight="1">
      <c r="A40" t="s" s="446">
        <v>808</v>
      </c>
      <c r="B40" t="str" s="447" cm="1">
        <f t="array" ref="B40">CONCATENATE('WORLDCUP'!AA46,"-",'WORLDCUP'!AF46)</f>
        <v>Países Bajos-Suecia</v>
      </c>
      <c r="C40" t="str" s="448" cm="1">
        <f t="array" ref="C40">CONCATENATE(IF('WORLDCUP'!AC46&gt;'WORLDCUP'!AD46,1,IF('WORLDCUP'!AC46&lt;'WORLDCUP'!AD46,2,IF(AND('WORLDCUP'!AC46='WORLDCUP'!AD46,'WORLDCUP'!AC46&lt;&gt;"",'WORLDCUP'!AD46&lt;&gt;""),"X",0))),"|",'WORLDCUP'!AC46,"-",'WORLDCUP'!AD46)</f>
        <v>1|2-1</v>
      </c>
      <c r="D40" s="14"/>
      <c r="E40" s="14"/>
      <c r="F40" s="14"/>
      <c r="G40" s="14"/>
      <c r="H40" s="14"/>
      <c r="I40" s="444"/>
      <c r="J40" s="445"/>
      <c r="K40" s="14"/>
      <c r="L40" s="420"/>
      <c r="M40" s="434"/>
      <c r="N40" s="426"/>
    </row>
    <row r="41" ht="15" customHeight="1">
      <c r="A41" t="s" s="446">
        <v>808</v>
      </c>
      <c r="B41" t="str" s="447" cm="1">
        <f t="array" ref="B41">CONCATENATE('WORLDCUP'!AA47,"-",'WORLDCUP'!AF47)</f>
        <v>Túnez-Japón</v>
      </c>
      <c r="C41" t="str" s="448" cm="1">
        <f t="array" ref="C41">CONCATENATE(IF('WORLDCUP'!AC47&gt;'WORLDCUP'!AD47,1,IF('WORLDCUP'!AC47&lt;'WORLDCUP'!AD47,2,IF(AND('WORLDCUP'!AC47='WORLDCUP'!AD47,'WORLDCUP'!AC47&lt;&gt;"",'WORLDCUP'!AD47&lt;&gt;""),"X",0))),"|",'WORLDCUP'!AC47,"-",'WORLDCUP'!AD47)</f>
        <v>2|0-2</v>
      </c>
      <c r="D41" s="14"/>
      <c r="E41" s="14"/>
      <c r="F41" s="14"/>
      <c r="G41" s="14"/>
      <c r="H41" s="14"/>
      <c r="I41" s="444"/>
      <c r="J41" s="445"/>
      <c r="K41" s="14"/>
      <c r="L41" s="420"/>
      <c r="M41" s="434"/>
      <c r="N41" s="426"/>
    </row>
    <row r="42" ht="15" customHeight="1">
      <c r="A42" t="s" s="435">
        <v>811</v>
      </c>
      <c r="B42" t="str" s="436" cm="1">
        <f t="array" ref="B42">CONCATENATE('WORLDCUP'!AA54,"-",'WORLDCUP'!AF54)</f>
        <v>Bélgica-Irán</v>
      </c>
      <c r="C42" t="str" s="448" cm="1">
        <f t="array" ref="C42">CONCATENATE(IF('WORLDCUP'!AC54&gt;'WORLDCUP'!AD54,1,IF('WORLDCUP'!AC54&lt;'WORLDCUP'!AD54,2,IF(AND('WORLDCUP'!AC54='WORLDCUP'!AD54,'WORLDCUP'!AC54&lt;&gt;"",'WORLDCUP'!AD54&lt;&gt;""),"X",0))),"|",'WORLDCUP'!AC54,"-",'WORLDCUP'!AD54)</f>
        <v>1|2-1</v>
      </c>
      <c r="D42" s="14"/>
      <c r="E42" s="14"/>
      <c r="F42" s="14"/>
      <c r="G42" s="14"/>
      <c r="H42" s="14"/>
      <c r="I42" s="444"/>
      <c r="J42" s="445"/>
      <c r="K42" s="14"/>
      <c r="L42" s="420"/>
      <c r="M42" s="434"/>
      <c r="N42" s="426"/>
    </row>
    <row r="43" ht="15" customHeight="1">
      <c r="A43" t="s" s="435">
        <v>811</v>
      </c>
      <c r="B43" t="str" s="436" cm="1">
        <f t="array" ref="B43">CONCATENATE('WORLDCUP'!AA55,"-",'WORLDCUP'!AF55)</f>
        <v>Nueva Zelanda-Egipto</v>
      </c>
      <c r="C43" t="str" s="448" cm="1">
        <f t="array" ref="C43">CONCATENATE(IF('WORLDCUP'!AC55&gt;'WORLDCUP'!AD55,1,IF('WORLDCUP'!AC55&lt;'WORLDCUP'!AD55,2,IF(AND('WORLDCUP'!AC55='WORLDCUP'!AD55,'WORLDCUP'!AC55&lt;&gt;"",'WORLDCUP'!AD55&lt;&gt;""),"X",0))),"|",'WORLDCUP'!AC55,"-",'WORLDCUP'!AD55)</f>
        <v>2|1-2</v>
      </c>
      <c r="D43" s="14"/>
      <c r="E43" s="14"/>
      <c r="F43" s="14"/>
      <c r="G43" s="14"/>
      <c r="H43" s="14"/>
      <c r="I43" s="444"/>
      <c r="J43" s="445"/>
      <c r="K43" s="14"/>
      <c r="L43" s="420"/>
      <c r="M43" s="434"/>
      <c r="N43" s="426"/>
    </row>
    <row r="44" ht="15" customHeight="1">
      <c r="A44" t="s" s="446">
        <v>814</v>
      </c>
      <c r="B44" t="str" s="447" cm="1">
        <f t="array" ref="B44">CONCATENATE('WORLDCUP'!AA62,"-",'WORLDCUP'!AF62)</f>
        <v>España-Arabia Saudita</v>
      </c>
      <c r="C44" t="str" s="448" cm="1">
        <f t="array" ref="C44">CONCATENATE(IF('WORLDCUP'!AC62&gt;'WORLDCUP'!AD62,1,IF('WORLDCUP'!AC62&lt;'WORLDCUP'!AD62,2,IF(AND('WORLDCUP'!AC62='WORLDCUP'!AD62,'WORLDCUP'!AC62&lt;&gt;"",'WORLDCUP'!AD62&lt;&gt;""),"X",0))),"|",'WORLDCUP'!AC62,"-",'WORLDCUP'!AD62)</f>
        <v>1|2-0</v>
      </c>
      <c r="D44" s="14"/>
      <c r="E44" s="14"/>
      <c r="F44" s="14"/>
      <c r="G44" s="14"/>
      <c r="H44" s="14"/>
      <c r="I44" s="444"/>
      <c r="J44" s="445"/>
      <c r="K44" s="14"/>
      <c r="L44" s="420"/>
      <c r="M44" s="434"/>
      <c r="N44" s="426"/>
    </row>
    <row r="45" ht="15" customHeight="1">
      <c r="A45" t="s" s="446">
        <v>814</v>
      </c>
      <c r="B45" t="str" s="447" cm="1">
        <f t="array" ref="B45">CONCATENATE('WORLDCUP'!AA63,"-",'WORLDCUP'!AF63)</f>
        <v>Uruguay-Cabo Verde</v>
      </c>
      <c r="C45" t="str" s="448" cm="1">
        <f t="array" ref="C45">CONCATENATE(IF('WORLDCUP'!AC63&gt;'WORLDCUP'!AD63,1,IF('WORLDCUP'!AC63&lt;'WORLDCUP'!AD63,2,IF(AND('WORLDCUP'!AC63='WORLDCUP'!AD63,'WORLDCUP'!AC63&lt;&gt;"",'WORLDCUP'!AD63&lt;&gt;""),"X",0))),"|",'WORLDCUP'!AC63,"-",'WORLDCUP'!AD63)</f>
        <v>1|2-0</v>
      </c>
      <c r="D45" s="14"/>
      <c r="E45" s="14"/>
      <c r="F45" s="14"/>
      <c r="G45" s="14"/>
      <c r="H45" s="14"/>
      <c r="I45" s="444"/>
      <c r="J45" s="445"/>
      <c r="K45" s="14"/>
      <c r="L45" s="420"/>
      <c r="M45" s="434"/>
      <c r="N45" s="426"/>
    </row>
    <row r="46" ht="15" customHeight="1">
      <c r="A46" t="s" s="435">
        <v>817</v>
      </c>
      <c r="B46" t="str" s="436" cm="1">
        <f t="array" ref="B46">CONCATENATE('WORLDCUP'!AA70,"-",'WORLDCUP'!AF70)</f>
        <v>Francia-Irak</v>
      </c>
      <c r="C46" t="str" s="448" cm="1">
        <f t="array" ref="C46">CONCATENATE(IF('WORLDCUP'!AC70&gt;'WORLDCUP'!AD70,1,IF('WORLDCUP'!AC70&lt;'WORLDCUP'!AD70,2,IF(AND('WORLDCUP'!AC70='WORLDCUP'!AD70,'WORLDCUP'!AC70&lt;&gt;"",'WORLDCUP'!AD70&lt;&gt;""),"X",0))),"|",'WORLDCUP'!AC70,"-",'WORLDCUP'!AD70)</f>
        <v>1|3-0</v>
      </c>
      <c r="D46" s="14"/>
      <c r="E46" s="14"/>
      <c r="F46" s="14"/>
      <c r="G46" s="14"/>
      <c r="H46" s="14"/>
      <c r="I46" s="444"/>
      <c r="J46" s="445"/>
      <c r="K46" s="14"/>
      <c r="L46" s="420"/>
      <c r="M46" s="434"/>
      <c r="N46" s="426"/>
    </row>
    <row r="47" ht="15" customHeight="1">
      <c r="A47" t="s" s="435">
        <v>817</v>
      </c>
      <c r="B47" t="str" s="436" cm="1">
        <f t="array" ref="B47">CONCATENATE('WORLDCUP'!AA71,"-",'WORLDCUP'!AF71)</f>
        <v>Noruega-Senegal</v>
      </c>
      <c r="C47" t="str" s="448" cm="1">
        <f t="array" ref="C47">CONCATENATE(IF('WORLDCUP'!AC71&gt;'WORLDCUP'!AD71,1,IF('WORLDCUP'!AC71&lt;'WORLDCUP'!AD71,2,IF(AND('WORLDCUP'!AC71='WORLDCUP'!AD71,'WORLDCUP'!AC71&lt;&gt;"",'WORLDCUP'!AD71&lt;&gt;""),"X",0))),"|",'WORLDCUP'!AC71,"-",'WORLDCUP'!AD71)</f>
        <v>1|2-1</v>
      </c>
      <c r="D47" s="14"/>
      <c r="E47" s="14"/>
      <c r="F47" s="14"/>
      <c r="G47" s="14"/>
      <c r="H47" s="14"/>
      <c r="I47" s="444"/>
      <c r="J47" s="445"/>
      <c r="K47" s="14"/>
      <c r="L47" s="420"/>
      <c r="M47" s="434"/>
      <c r="N47" s="426"/>
    </row>
    <row r="48" ht="15" customHeight="1">
      <c r="A48" t="s" s="446">
        <v>131</v>
      </c>
      <c r="B48" t="str" s="447" cm="1">
        <f t="array" ref="B48">CONCATENATE('WORLDCUP'!AA78,"-",'WORLDCUP'!AF78)</f>
        <v>Argentina-Austria</v>
      </c>
      <c r="C48" t="str" s="448" cm="1">
        <f t="array" ref="C48">CONCATENATE(IF('WORLDCUP'!AC78&gt;'WORLDCUP'!AD78,1,IF('WORLDCUP'!AC78&lt;'WORLDCUP'!AD78,2,IF(AND('WORLDCUP'!AC78='WORLDCUP'!AD78,'WORLDCUP'!AC78&lt;&gt;"",'WORLDCUP'!AD78&lt;&gt;""),"X",0))),"|",'WORLDCUP'!AC78,"-",'WORLDCUP'!AD78)</f>
        <v>1|2-1</v>
      </c>
      <c r="D48" s="14"/>
      <c r="E48" s="14"/>
      <c r="F48" s="14"/>
      <c r="G48" s="14"/>
      <c r="H48" s="14"/>
      <c r="I48" s="444"/>
      <c r="J48" s="445"/>
      <c r="K48" s="14"/>
      <c r="L48" s="420"/>
      <c r="M48" s="434"/>
      <c r="N48" s="426"/>
    </row>
    <row r="49" ht="15" customHeight="1">
      <c r="A49" t="s" s="446">
        <v>131</v>
      </c>
      <c r="B49" t="str" s="447" cm="1">
        <f t="array" ref="B49">CONCATENATE('WORLDCUP'!AA79,"-",'WORLDCUP'!AF79)</f>
        <v>Jordania-Argelia</v>
      </c>
      <c r="C49" t="str" s="448" cm="1">
        <f t="array" ref="C49">CONCATENATE(IF('WORLDCUP'!AC79&gt;'WORLDCUP'!AD79,1,IF('WORLDCUP'!AC79&lt;'WORLDCUP'!AD79,2,IF(AND('WORLDCUP'!AC79='WORLDCUP'!AD79,'WORLDCUP'!AC79&lt;&gt;"",'WORLDCUP'!AD79&lt;&gt;""),"X",0))),"|",'WORLDCUP'!AC79,"-",'WORLDCUP'!AD79)</f>
        <v>X|1-1</v>
      </c>
      <c r="D49" s="14"/>
      <c r="E49" s="14"/>
      <c r="F49" s="14"/>
      <c r="G49" s="14"/>
      <c r="H49" s="14"/>
      <c r="I49" s="444"/>
      <c r="J49" s="445"/>
      <c r="K49" s="14"/>
      <c r="L49" s="420"/>
      <c r="M49" s="434"/>
      <c r="N49" s="426"/>
    </row>
    <row r="50" ht="15" customHeight="1">
      <c r="A50" t="s" s="435">
        <v>822</v>
      </c>
      <c r="B50" t="str" s="436" cm="1">
        <f t="array" ref="B50">CONCATENATE('WORLDCUP'!AA86,"-",'WORLDCUP'!AF86)</f>
        <v>Portugal-Uzbekistán</v>
      </c>
      <c r="C50" t="str" s="448" cm="1">
        <f t="array" ref="C50">CONCATENATE(IF('WORLDCUP'!AC86&gt;'WORLDCUP'!AD86,1,IF('WORLDCUP'!AC86&lt;'WORLDCUP'!AD86,2,IF(AND('WORLDCUP'!AC86='WORLDCUP'!AD86,'WORLDCUP'!AC86&lt;&gt;"",'WORLDCUP'!AD86&lt;&gt;""),"X",0))),"|",'WORLDCUP'!AC86,"-",'WORLDCUP'!AD86)</f>
        <v>1|2-1</v>
      </c>
      <c r="D50" s="14"/>
      <c r="E50" s="14"/>
      <c r="F50" s="14"/>
      <c r="G50" s="14"/>
      <c r="H50" s="14"/>
      <c r="I50" s="444"/>
      <c r="J50" s="445"/>
      <c r="K50" s="14"/>
      <c r="L50" s="420"/>
      <c r="M50" s="434"/>
      <c r="N50" s="426"/>
    </row>
    <row r="51" ht="15" customHeight="1">
      <c r="A51" t="s" s="435">
        <v>822</v>
      </c>
      <c r="B51" t="str" s="436" cm="1">
        <f t="array" ref="B51">CONCATENATE('WORLDCUP'!AA87,"-",'WORLDCUP'!AF87)</f>
        <v>Colombia-RD Congo</v>
      </c>
      <c r="C51" t="str" s="448" cm="1">
        <f t="array" ref="C51">CONCATENATE(IF('WORLDCUP'!AC87&gt;'WORLDCUP'!AD87,1,IF('WORLDCUP'!AC87&lt;'WORLDCUP'!AD87,2,IF(AND('WORLDCUP'!AC87='WORLDCUP'!AD87,'WORLDCUP'!AC87&lt;&gt;"",'WORLDCUP'!AD87&lt;&gt;""),"X",0))),"|",'WORLDCUP'!AC87,"-",'WORLDCUP'!AD87)</f>
        <v>1|2-0</v>
      </c>
      <c r="D51" s="14"/>
      <c r="E51" s="14"/>
      <c r="F51" s="14"/>
      <c r="G51" s="14"/>
      <c r="H51" s="14"/>
      <c r="I51" s="444"/>
      <c r="J51" s="445"/>
      <c r="K51" s="14"/>
      <c r="L51" s="420"/>
      <c r="M51" s="434"/>
      <c r="N51" s="426"/>
    </row>
    <row r="52" ht="15" customHeight="1">
      <c r="A52" t="s" s="446">
        <v>825</v>
      </c>
      <c r="B52" t="str" s="447" cm="1">
        <f t="array" ref="B52">CONCATENATE('WORLDCUP'!AA94,"-",'WORLDCUP'!AF94)</f>
        <v>Inglaterra-Ghana</v>
      </c>
      <c r="C52" t="str" s="448" cm="1">
        <f t="array" ref="C52">CONCATENATE(IF('WORLDCUP'!AC94&gt;'WORLDCUP'!AD94,1,IF('WORLDCUP'!AC94&lt;'WORLDCUP'!AD94,2,IF(AND('WORLDCUP'!AC94='WORLDCUP'!AD94,'WORLDCUP'!AC94&lt;&gt;"",'WORLDCUP'!AD94&lt;&gt;""),"X",0))),"|",'WORLDCUP'!AC94,"-",'WORLDCUP'!AD94)</f>
        <v>1|2-1</v>
      </c>
      <c r="D52" s="14"/>
      <c r="E52" s="14"/>
      <c r="F52" s="14"/>
      <c r="G52" s="14"/>
      <c r="H52" s="14"/>
      <c r="I52" s="444"/>
      <c r="J52" s="445"/>
      <c r="K52" s="14"/>
      <c r="L52" s="420"/>
      <c r="M52" s="434"/>
      <c r="N52" s="426"/>
    </row>
    <row r="53" ht="15" customHeight="1">
      <c r="A53" t="s" s="446">
        <v>825</v>
      </c>
      <c r="B53" t="str" s="447" cm="1">
        <f t="array" ref="B53">CONCATENATE('WORLDCUP'!AA95,"-",'WORLDCUP'!AF95)</f>
        <v>Panamá-Croacia</v>
      </c>
      <c r="C53" t="str" s="448" cm="1">
        <f t="array" ref="C53">CONCATENATE(IF('WORLDCUP'!AC95&gt;'WORLDCUP'!AD95,1,IF('WORLDCUP'!AC95&lt;'WORLDCUP'!AD95,2,IF(AND('WORLDCUP'!AC95='WORLDCUP'!AD95,'WORLDCUP'!AC95&lt;&gt;"",'WORLDCUP'!AD95&lt;&gt;""),"X",0))),"|",'WORLDCUP'!AC95,"-",'WORLDCUP'!AD95)</f>
        <v>2|1-3</v>
      </c>
      <c r="D53" s="419"/>
      <c r="E53" s="419"/>
      <c r="F53" s="419"/>
      <c r="G53" s="419"/>
      <c r="H53" s="419"/>
      <c r="I53" s="449"/>
      <c r="J53" s="445"/>
      <c r="K53" s="14"/>
      <c r="L53" s="420"/>
      <c r="M53" s="434"/>
      <c r="N53" s="426"/>
    </row>
    <row r="54" ht="15" customHeight="1">
      <c r="A54" t="s" s="435">
        <v>828</v>
      </c>
      <c r="B54" t="str" s="436" cm="1">
        <f t="array" ref="B54">CONCATENATE('WORLDCUP'!AA8,"-",'WORLDCUP'!AF8)</f>
        <v>República Checa-México</v>
      </c>
      <c r="C54" t="str" s="448" cm="1">
        <f t="array" ref="C54">CONCATENATE(IF('WORLDCUP'!AC8&gt;'WORLDCUP'!AD8,1,IF('WORLDCUP'!AC8&lt;'WORLDCUP'!AD8,2,IF(AND('WORLDCUP'!AC8='WORLDCUP'!AD8,'WORLDCUP'!AC8&lt;&gt;"",'WORLDCUP'!AD8&lt;&gt;""),"X",0))),"|",'WORLDCUP'!AC8,"-",'WORLDCUP'!AD8)</f>
        <v>2|0-1</v>
      </c>
      <c r="D54" t="s" s="451">
        <v>147</v>
      </c>
      <c r="E54" t="s" s="439">
        <v>830</v>
      </c>
      <c r="F54" s="440"/>
      <c r="G54" s="440"/>
      <c r="H54" s="440"/>
      <c r="I54" s="441"/>
      <c r="J54" s="445"/>
      <c r="K54" s="14"/>
      <c r="L54" s="420"/>
      <c r="M54" s="434"/>
      <c r="N54" s="426"/>
    </row>
    <row r="55" ht="15" customHeight="1">
      <c r="A55" t="s" s="435">
        <v>828</v>
      </c>
      <c r="B55" t="str" s="436" cm="1">
        <f t="array" ref="B55">CONCATENATE('WORLDCUP'!AA9,"-",'WORLDCUP'!AF9)</f>
        <v>Sudáfrica-Corea del Sur</v>
      </c>
      <c r="C55" t="str" s="448" cm="1">
        <f t="array" ref="C55">CONCATENATE(IF('WORLDCUP'!AC9&gt;'WORLDCUP'!AD9,1,IF('WORLDCUP'!AC9&lt;'WORLDCUP'!AD9,2,IF(AND('WORLDCUP'!AC9='WORLDCUP'!AD9,'WORLDCUP'!AC9&lt;&gt;"",'WORLDCUP'!AD9&lt;&gt;""),"X",0))),"|",'WORLDCUP'!AC9,"-",'WORLDCUP'!AD9)</f>
        <v>2|1-2</v>
      </c>
      <c r="D55" s="440"/>
      <c r="E55" s="14"/>
      <c r="F55" s="14"/>
      <c r="G55" s="14"/>
      <c r="H55" s="14"/>
      <c r="I55" s="444"/>
      <c r="J55" s="445"/>
      <c r="K55" s="14"/>
      <c r="L55" s="420"/>
      <c r="M55" s="434"/>
      <c r="N55" s="426"/>
    </row>
    <row r="56" ht="15" customHeight="1">
      <c r="A56" t="s" s="446">
        <v>832</v>
      </c>
      <c r="B56" t="str" s="447" cm="1">
        <f t="array" ref="B56">CONCATENATE('WORLDCUP'!AA16,"-",'WORLDCUP'!AF16)</f>
        <v>Suiza-Canadá</v>
      </c>
      <c r="C56" t="str" s="448" cm="1">
        <f t="array" ref="C56">CONCATENATE(IF('WORLDCUP'!AC16&gt;'WORLDCUP'!AD16,1,IF('WORLDCUP'!AC16&lt;'WORLDCUP'!AD16,2,IF(AND('WORLDCUP'!AC16='WORLDCUP'!AD16,'WORLDCUP'!AC16&lt;&gt;"",'WORLDCUP'!AD16&lt;&gt;""),"X",0))),"|",'WORLDCUP'!AC16,"-",'WORLDCUP'!AD16)</f>
        <v>1|2-1</v>
      </c>
      <c r="D56" s="14"/>
      <c r="E56" s="14"/>
      <c r="F56" s="14"/>
      <c r="G56" s="14"/>
      <c r="H56" s="14"/>
      <c r="I56" s="444"/>
      <c r="J56" s="445"/>
      <c r="K56" s="14"/>
      <c r="L56" s="420"/>
      <c r="M56" s="434"/>
      <c r="N56" s="426"/>
    </row>
    <row r="57" ht="15" customHeight="1">
      <c r="A57" t="s" s="446">
        <v>832</v>
      </c>
      <c r="B57" t="str" s="447" cm="1">
        <f t="array" ref="B57">CONCATENATE('WORLDCUP'!AA17,"-",'WORLDCUP'!AF17)</f>
        <v>Bosnia y Herzegovina-Catar</v>
      </c>
      <c r="C57" t="str" s="448" cm="1">
        <f t="array" ref="C57">CONCATENATE(IF('WORLDCUP'!AC17&gt;'WORLDCUP'!AD17,1,IF('WORLDCUP'!AC17&lt;'WORLDCUP'!AD17,2,IF(AND('WORLDCUP'!AC17='WORLDCUP'!AD17,'WORLDCUP'!AC17&lt;&gt;"",'WORLDCUP'!AD17&lt;&gt;""),"X",0))),"|",'WORLDCUP'!AC17,"-",'WORLDCUP'!AD17)</f>
        <v>2|0-1</v>
      </c>
      <c r="D57" s="14"/>
      <c r="E57" s="14"/>
      <c r="F57" s="14"/>
      <c r="G57" s="14"/>
      <c r="H57" s="14"/>
      <c r="I57" s="444"/>
      <c r="J57" s="445"/>
      <c r="K57" s="14"/>
      <c r="L57" s="420"/>
      <c r="M57" s="434"/>
      <c r="N57" s="426"/>
    </row>
    <row r="58" ht="15" customHeight="1">
      <c r="A58" t="s" s="435">
        <v>835</v>
      </c>
      <c r="B58" t="str" s="436" cm="1">
        <f t="array" ref="B58">CONCATENATE('WORLDCUP'!AA24,"-",'WORLDCUP'!AF24)</f>
        <v>Escocia-Brasil</v>
      </c>
      <c r="C58" t="str" s="448" cm="1">
        <f t="array" ref="C58">CONCATENATE(IF('WORLDCUP'!AC24&gt;'WORLDCUP'!AD24,1,IF('WORLDCUP'!AC24&lt;'WORLDCUP'!AD24,2,IF(AND('WORLDCUP'!AC24='WORLDCUP'!AD24,'WORLDCUP'!AC24&lt;&gt;"",'WORLDCUP'!AD24&lt;&gt;""),"X",0))),"|",'WORLDCUP'!AC24,"-",'WORLDCUP'!AD24)</f>
        <v>2|1-3</v>
      </c>
      <c r="D58" s="14"/>
      <c r="E58" s="14"/>
      <c r="F58" s="14"/>
      <c r="G58" s="14"/>
      <c r="H58" s="14"/>
      <c r="I58" s="444"/>
      <c r="J58" s="445"/>
      <c r="K58" s="14"/>
      <c r="L58" s="420"/>
      <c r="M58" s="434"/>
      <c r="N58" s="426"/>
    </row>
    <row r="59" ht="15" customHeight="1">
      <c r="A59" t="s" s="435">
        <v>835</v>
      </c>
      <c r="B59" t="str" s="436" cm="1">
        <f t="array" ref="B59">CONCATENATE('WORLDCUP'!AA25,"-",'WORLDCUP'!AF25)</f>
        <v>Marruecos-Haití</v>
      </c>
      <c r="C59" t="str" s="448" cm="1">
        <f t="array" ref="C59">CONCATENATE(IF('WORLDCUP'!AC25&gt;'WORLDCUP'!AD25,1,IF('WORLDCUP'!AC25&lt;'WORLDCUP'!AD25,2,IF(AND('WORLDCUP'!AC25='WORLDCUP'!AD25,'WORLDCUP'!AC25&lt;&gt;"",'WORLDCUP'!AD25&lt;&gt;""),"X",0))),"|",'WORLDCUP'!AC25,"-",'WORLDCUP'!AD25)</f>
        <v>1|2-0</v>
      </c>
      <c r="D59" s="14"/>
      <c r="E59" s="14"/>
      <c r="F59" s="14"/>
      <c r="G59" s="14"/>
      <c r="H59" s="14"/>
      <c r="I59" s="444"/>
      <c r="J59" s="445"/>
      <c r="K59" s="14"/>
      <c r="L59" s="420"/>
      <c r="M59" s="434"/>
      <c r="N59" s="426"/>
    </row>
    <row r="60" ht="15" customHeight="1">
      <c r="A60" t="s" s="446">
        <v>838</v>
      </c>
      <c r="B60" t="str" s="447" cm="1">
        <f t="array" ref="B60">CONCATENATE('WORLDCUP'!AA32,"-",'WORLDCUP'!AF32)</f>
        <v>Turquía-Estados Unidos</v>
      </c>
      <c r="C60" t="str" s="448" cm="1">
        <f t="array" ref="C60">CONCATENATE(IF('WORLDCUP'!AC32&gt;'WORLDCUP'!AD32,1,IF('WORLDCUP'!AC32&lt;'WORLDCUP'!AD32,2,IF(AND('WORLDCUP'!AC32='WORLDCUP'!AD32,'WORLDCUP'!AC32&lt;&gt;"",'WORLDCUP'!AD32&lt;&gt;""),"X",0))),"|",'WORLDCUP'!AC32,"-",'WORLDCUP'!AD32)</f>
        <v>1|1-0</v>
      </c>
      <c r="D60" s="14"/>
      <c r="E60" s="14"/>
      <c r="F60" s="14"/>
      <c r="G60" s="14"/>
      <c r="H60" s="14"/>
      <c r="I60" s="444"/>
      <c r="J60" s="445"/>
      <c r="K60" s="14"/>
      <c r="L60" s="420"/>
      <c r="M60" s="434"/>
      <c r="N60" s="426"/>
    </row>
    <row r="61" ht="15" customHeight="1">
      <c r="A61" t="s" s="446">
        <v>838</v>
      </c>
      <c r="B61" t="str" s="447" cm="1">
        <f t="array" ref="B61">CONCATENATE('WORLDCUP'!AA33,"-",'WORLDCUP'!AF33)</f>
        <v>Paraguay-Australia</v>
      </c>
      <c r="C61" t="str" s="448" cm="1">
        <f t="array" ref="C61">CONCATENATE(IF('WORLDCUP'!AC33&gt;'WORLDCUP'!AD33,1,IF('WORLDCUP'!AC33&lt;'WORLDCUP'!AD33,2,IF(AND('WORLDCUP'!AC33='WORLDCUP'!AD33,'WORLDCUP'!AC33&lt;&gt;"",'WORLDCUP'!AD33&lt;&gt;""),"X",0))),"|",'WORLDCUP'!AC33,"-",'WORLDCUP'!AD33)</f>
        <v>1|1-0</v>
      </c>
      <c r="D61" s="14"/>
      <c r="E61" s="14"/>
      <c r="F61" s="14"/>
      <c r="G61" s="14"/>
      <c r="H61" s="14"/>
      <c r="I61" s="444"/>
      <c r="J61" s="445"/>
      <c r="K61" s="14"/>
      <c r="L61" s="420"/>
      <c r="M61" s="434"/>
      <c r="N61" s="426"/>
    </row>
    <row r="62" ht="15" customHeight="1">
      <c r="A62" t="s" s="435">
        <v>841</v>
      </c>
      <c r="B62" t="str" s="436" cm="1">
        <f t="array" ref="B62">CONCATENATE('WORLDCUP'!AA40,"-",'WORLDCUP'!AF40)</f>
        <v>Curazao-Costa de Marfil</v>
      </c>
      <c r="C62" t="str" s="448" cm="1">
        <f t="array" ref="C62">CONCATENATE(IF('WORLDCUP'!AC40&gt;'WORLDCUP'!AD40,1,IF('WORLDCUP'!AC40&lt;'WORLDCUP'!AD40,2,IF(AND('WORLDCUP'!AC40='WORLDCUP'!AD40,'WORLDCUP'!AC40&lt;&gt;"",'WORLDCUP'!AD40&lt;&gt;""),"X",0))),"|",'WORLDCUP'!AC40,"-",'WORLDCUP'!AD40)</f>
        <v>2|1-3</v>
      </c>
      <c r="D62" s="14"/>
      <c r="E62" s="14"/>
      <c r="F62" s="14"/>
      <c r="G62" s="14"/>
      <c r="H62" s="14"/>
      <c r="I62" s="444"/>
      <c r="J62" s="445"/>
      <c r="K62" s="14"/>
      <c r="L62" s="420"/>
      <c r="M62" s="434"/>
      <c r="N62" s="426"/>
    </row>
    <row r="63" ht="15" customHeight="1">
      <c r="A63" t="s" s="435">
        <v>841</v>
      </c>
      <c r="B63" t="str" s="436" cm="1">
        <f t="array" ref="B63">CONCATENATE('WORLDCUP'!AA41,"-",'WORLDCUP'!AF41)</f>
        <v>Ecuador-Alemania</v>
      </c>
      <c r="C63" t="str" s="448" cm="1">
        <f t="array" ref="C63">CONCATENATE(IF('WORLDCUP'!AC41&gt;'WORLDCUP'!AD41,1,IF('WORLDCUP'!AC41&lt;'WORLDCUP'!AD41,2,IF(AND('WORLDCUP'!AC41='WORLDCUP'!AD41,'WORLDCUP'!AC41&lt;&gt;"",'WORLDCUP'!AD41&lt;&gt;""),"X",0))),"|",'WORLDCUP'!AC41,"-",'WORLDCUP'!AD41)</f>
        <v>2|1-2</v>
      </c>
      <c r="D63" s="14"/>
      <c r="E63" s="14"/>
      <c r="F63" s="14"/>
      <c r="G63" s="14"/>
      <c r="H63" s="14"/>
      <c r="I63" s="444"/>
      <c r="J63" s="445"/>
      <c r="K63" s="14"/>
      <c r="L63" s="420"/>
      <c r="M63" s="434"/>
      <c r="N63" s="426"/>
    </row>
    <row r="64" ht="15" customHeight="1">
      <c r="A64" t="s" s="446">
        <v>844</v>
      </c>
      <c r="B64" t="str" s="447" cm="1">
        <f t="array" ref="B64">CONCATENATE('WORLDCUP'!AA48,"-",'WORLDCUP'!AF48)</f>
        <v>Japón-Suecia</v>
      </c>
      <c r="C64" t="str" s="448" cm="1">
        <f t="array" ref="C64">CONCATENATE(IF('WORLDCUP'!AC48&gt;'WORLDCUP'!AD48,1,IF('WORLDCUP'!AC48&lt;'WORLDCUP'!AD48,2,IF(AND('WORLDCUP'!AC48='WORLDCUP'!AD48,'WORLDCUP'!AC48&lt;&gt;"",'WORLDCUP'!AD48&lt;&gt;""),"X",0))),"|",'WORLDCUP'!AC48,"-",'WORLDCUP'!AD48)</f>
        <v>X|1-1</v>
      </c>
      <c r="D64" s="14"/>
      <c r="E64" s="14"/>
      <c r="F64" s="14"/>
      <c r="G64" s="14"/>
      <c r="H64" s="14"/>
      <c r="I64" s="444"/>
      <c r="J64" s="445"/>
      <c r="K64" s="14"/>
      <c r="L64" s="420"/>
      <c r="M64" s="434"/>
      <c r="N64" s="426"/>
    </row>
    <row r="65" ht="15" customHeight="1">
      <c r="A65" t="s" s="446">
        <v>844</v>
      </c>
      <c r="B65" t="str" s="447" cm="1">
        <f t="array" ref="B65">CONCATENATE('WORLDCUP'!AA49,"-",'WORLDCUP'!AF49)</f>
        <v>Túnez-Países Bajos</v>
      </c>
      <c r="C65" t="str" s="448" cm="1">
        <f t="array" ref="C65">CONCATENATE(IF('WORLDCUP'!AC49&gt;'WORLDCUP'!AD49,1,IF('WORLDCUP'!AC49&lt;'WORLDCUP'!AD49,2,IF(AND('WORLDCUP'!AC49='WORLDCUP'!AD49,'WORLDCUP'!AC49&lt;&gt;"",'WORLDCUP'!AD49&lt;&gt;""),"X",0))),"|",'WORLDCUP'!AC49,"-",'WORLDCUP'!AD49)</f>
        <v>2|1-3</v>
      </c>
      <c r="D65" s="14"/>
      <c r="E65" s="14"/>
      <c r="F65" s="14"/>
      <c r="G65" s="14"/>
      <c r="H65" s="14"/>
      <c r="I65" s="444"/>
      <c r="J65" s="445"/>
      <c r="K65" s="14"/>
      <c r="L65" s="420"/>
      <c r="M65" s="434"/>
      <c r="N65" s="426"/>
    </row>
    <row r="66" ht="15" customHeight="1">
      <c r="A66" t="s" s="435">
        <v>847</v>
      </c>
      <c r="B66" t="str" s="436" cm="1">
        <f t="array" ref="B66">CONCATENATE('WORLDCUP'!AA56,"-",'WORLDCUP'!AF56)</f>
        <v>Egipto-Irán</v>
      </c>
      <c r="C66" t="str" s="448" cm="1">
        <f t="array" ref="C66">CONCATENATE(IF('WORLDCUP'!AC56&gt;'WORLDCUP'!AD56,1,IF('WORLDCUP'!AC56&lt;'WORLDCUP'!AD56,2,IF(AND('WORLDCUP'!AC56='WORLDCUP'!AD56,'WORLDCUP'!AC56&lt;&gt;"",'WORLDCUP'!AD56&lt;&gt;""),"X",0))),"|",'WORLDCUP'!AC56,"-",'WORLDCUP'!AD56)</f>
        <v>1|1-0</v>
      </c>
      <c r="D66" s="14"/>
      <c r="E66" s="14"/>
      <c r="F66" s="14"/>
      <c r="G66" s="14"/>
      <c r="H66" s="14"/>
      <c r="I66" s="444"/>
      <c r="J66" s="445"/>
      <c r="K66" s="14"/>
      <c r="L66" s="420"/>
      <c r="M66" s="434"/>
      <c r="N66" s="426"/>
    </row>
    <row r="67" ht="15" customHeight="1">
      <c r="A67" t="s" s="435">
        <v>847</v>
      </c>
      <c r="B67" t="str" s="436" cm="1">
        <f t="array" ref="B67">CONCATENATE('WORLDCUP'!AA57,"-",'WORLDCUP'!AF57)</f>
        <v>Nueva Zelanda-Bélgica</v>
      </c>
      <c r="C67" t="str" s="448" cm="1">
        <f t="array" ref="C67">CONCATENATE(IF('WORLDCUP'!AC57&gt;'WORLDCUP'!AD57,1,IF('WORLDCUP'!AC57&lt;'WORLDCUP'!AD57,2,IF(AND('WORLDCUP'!AC57='WORLDCUP'!AD57,'WORLDCUP'!AC57&lt;&gt;"",'WORLDCUP'!AD57&lt;&gt;""),"X",0))),"|",'WORLDCUP'!AC57,"-",'WORLDCUP'!AD57)</f>
        <v>2|1-3</v>
      </c>
      <c r="D67" s="14"/>
      <c r="E67" s="14"/>
      <c r="F67" s="14"/>
      <c r="G67" s="14"/>
      <c r="H67" s="14"/>
      <c r="I67" s="444"/>
      <c r="J67" s="445"/>
      <c r="K67" s="14"/>
      <c r="L67" s="420"/>
      <c r="M67" s="434"/>
      <c r="N67" s="426"/>
    </row>
    <row r="68" ht="15" customHeight="1">
      <c r="A68" t="s" s="446">
        <v>850</v>
      </c>
      <c r="B68" t="str" s="447" cm="1">
        <f t="array" ref="B68">CONCATENATE('WORLDCUP'!AA64,"-",'WORLDCUP'!AF64)</f>
        <v>Cabo Verde-Arabia Saudita</v>
      </c>
      <c r="C68" t="str" s="448" cm="1">
        <f t="array" ref="C68">CONCATENATE(IF('WORLDCUP'!AC64&gt;'WORLDCUP'!AD64,1,IF('WORLDCUP'!AC64&lt;'WORLDCUP'!AD64,2,IF(AND('WORLDCUP'!AC64='WORLDCUP'!AD64,'WORLDCUP'!AC64&lt;&gt;"",'WORLDCUP'!AD64&lt;&gt;""),"X",0))),"|",'WORLDCUP'!AC64,"-",'WORLDCUP'!AD64)</f>
        <v>2|1-2</v>
      </c>
      <c r="D68" s="14"/>
      <c r="E68" s="14"/>
      <c r="F68" s="14"/>
      <c r="G68" s="14"/>
      <c r="H68" s="14"/>
      <c r="I68" s="444"/>
      <c r="J68" s="445"/>
      <c r="K68" s="14"/>
      <c r="L68" s="420"/>
      <c r="M68" s="434"/>
      <c r="N68" s="426"/>
    </row>
    <row r="69" ht="15" customHeight="1">
      <c r="A69" t="s" s="446">
        <v>850</v>
      </c>
      <c r="B69" t="str" s="447" cm="1">
        <f t="array" ref="B69">CONCATENATE('WORLDCUP'!AA65,"-",'WORLDCUP'!AF65)</f>
        <v>Uruguay-España</v>
      </c>
      <c r="C69" t="str" s="448" cm="1">
        <f t="array" ref="C69">CONCATENATE(IF('WORLDCUP'!AC65&gt;'WORLDCUP'!AD65,1,IF('WORLDCUP'!AC65&lt;'WORLDCUP'!AD65,2,IF(AND('WORLDCUP'!AC65='WORLDCUP'!AD65,'WORLDCUP'!AC65&lt;&gt;"",'WORLDCUP'!AD65&lt;&gt;""),"X",0))),"|",'WORLDCUP'!AC65,"-",'WORLDCUP'!AD65)</f>
        <v>2|1-2</v>
      </c>
      <c r="D69" s="14"/>
      <c r="E69" s="14"/>
      <c r="F69" s="14"/>
      <c r="G69" s="14"/>
      <c r="H69" s="14"/>
      <c r="I69" s="444"/>
      <c r="J69" s="445"/>
      <c r="K69" s="14"/>
      <c r="L69" s="420"/>
      <c r="M69" s="434"/>
      <c r="N69" s="426"/>
    </row>
    <row r="70" ht="15" customHeight="1">
      <c r="A70" t="s" s="435">
        <v>853</v>
      </c>
      <c r="B70" t="str" s="436" cm="1">
        <f t="array" ref="B70">CONCATENATE('WORLDCUP'!AA72,"-",'WORLDCUP'!AF72)</f>
        <v>Noruega-Francia</v>
      </c>
      <c r="C70" t="str" s="448" cm="1">
        <f t="array" ref="C70">CONCATENATE(IF('WORLDCUP'!AC72&gt;'WORLDCUP'!AD72,1,IF('WORLDCUP'!AC72&lt;'WORLDCUP'!AD72,2,IF(AND('WORLDCUP'!AC72='WORLDCUP'!AD72,'WORLDCUP'!AC72&lt;&gt;"",'WORLDCUP'!AD72&lt;&gt;""),"X",0))),"|",'WORLDCUP'!AC72,"-",'WORLDCUP'!AD72)</f>
        <v>2|1-2</v>
      </c>
      <c r="D70" s="14"/>
      <c r="E70" s="14"/>
      <c r="F70" s="14"/>
      <c r="G70" s="14"/>
      <c r="H70" s="14"/>
      <c r="I70" s="444"/>
      <c r="J70" s="445"/>
      <c r="K70" s="14"/>
      <c r="L70" s="420"/>
      <c r="M70" s="434"/>
      <c r="N70" s="426"/>
    </row>
    <row r="71" ht="15" customHeight="1">
      <c r="A71" t="s" s="435">
        <v>853</v>
      </c>
      <c r="B71" t="str" s="436" cm="1">
        <f t="array" ref="B71">CONCATENATE('WORLDCUP'!AA73,"-",'WORLDCUP'!AF73)</f>
        <v>Senegal-Irak</v>
      </c>
      <c r="C71" t="str" s="448" cm="1">
        <f t="array" ref="C71">CONCATENATE(IF('WORLDCUP'!AC73&gt;'WORLDCUP'!AD73,1,IF('WORLDCUP'!AC73&lt;'WORLDCUP'!AD73,2,IF(AND('WORLDCUP'!AC73='WORLDCUP'!AD73,'WORLDCUP'!AC73&lt;&gt;"",'WORLDCUP'!AD73&lt;&gt;""),"X",0))),"|",'WORLDCUP'!AC73,"-",'WORLDCUP'!AD73)</f>
        <v>1|3-1</v>
      </c>
      <c r="D71" s="14"/>
      <c r="E71" s="14"/>
      <c r="F71" s="14"/>
      <c r="G71" s="14"/>
      <c r="H71" s="14"/>
      <c r="I71" s="444"/>
      <c r="J71" s="445"/>
      <c r="K71" s="14"/>
      <c r="L71" s="420"/>
      <c r="M71" s="434"/>
      <c r="N71" s="426"/>
    </row>
    <row r="72" ht="15" customHeight="1">
      <c r="A72" t="s" s="446">
        <v>147</v>
      </c>
      <c r="B72" t="str" s="447" cm="1">
        <f t="array" ref="B72">CONCATENATE('WORLDCUP'!AA80,"-",'WORLDCUP'!AF80)</f>
        <v>Argelia-Austria</v>
      </c>
      <c r="C72" t="str" s="448" cm="1">
        <f t="array" ref="C72">CONCATENATE(IF('WORLDCUP'!AC80&gt;'WORLDCUP'!AD80,1,IF('WORLDCUP'!AC80&lt;'WORLDCUP'!AD80,2,IF(AND('WORLDCUP'!AC80='WORLDCUP'!AD80,'WORLDCUP'!AC80&lt;&gt;"",'WORLDCUP'!AD80&lt;&gt;""),"X",0))),"|",'WORLDCUP'!AC80,"-",'WORLDCUP'!AD80)</f>
        <v>2|1-2</v>
      </c>
      <c r="D72" s="14"/>
      <c r="E72" s="14"/>
      <c r="F72" s="14"/>
      <c r="G72" s="14"/>
      <c r="H72" s="14"/>
      <c r="I72" s="444"/>
      <c r="J72" s="445"/>
      <c r="K72" s="14"/>
      <c r="L72" s="420"/>
      <c r="M72" s="434"/>
      <c r="N72" s="426"/>
    </row>
    <row r="73" ht="15" customHeight="1">
      <c r="A73" t="s" s="446">
        <v>147</v>
      </c>
      <c r="B73" t="str" s="447" cm="1">
        <f t="array" ref="B73">CONCATENATE('WORLDCUP'!AA81,"-",'WORLDCUP'!AF81)</f>
        <v>Jordania-Argentina</v>
      </c>
      <c r="C73" t="str" s="448" cm="1">
        <f t="array" ref="C73">CONCATENATE(IF('WORLDCUP'!AC81&gt;'WORLDCUP'!AD81,1,IF('WORLDCUP'!AC81&lt;'WORLDCUP'!AD81,2,IF(AND('WORLDCUP'!AC81='WORLDCUP'!AD81,'WORLDCUP'!AC81&lt;&gt;"",'WORLDCUP'!AD81&lt;&gt;""),"X",0))),"|",'WORLDCUP'!AC81,"-",'WORLDCUP'!AD81)</f>
        <v>2|0-3</v>
      </c>
      <c r="D73" s="14"/>
      <c r="E73" s="14"/>
      <c r="F73" s="14"/>
      <c r="G73" s="14"/>
      <c r="H73" s="14"/>
      <c r="I73" s="444"/>
      <c r="J73" s="445"/>
      <c r="K73" s="14"/>
      <c r="L73" s="420"/>
      <c r="M73" s="434"/>
      <c r="N73" s="426"/>
    </row>
    <row r="74" ht="15" customHeight="1">
      <c r="A74" t="s" s="435">
        <v>859</v>
      </c>
      <c r="B74" t="str" s="436" cm="1">
        <f t="array" ref="B74">CONCATENATE('WORLDCUP'!AA88,"-",'WORLDCUP'!AF88)</f>
        <v>Colombia-Portugal</v>
      </c>
      <c r="C74" t="str" s="448" cm="1">
        <f t="array" ref="C74">CONCATENATE(IF('WORLDCUP'!AC88&gt;'WORLDCUP'!AD88,1,IF('WORLDCUP'!AC88&lt;'WORLDCUP'!AD88,2,IF(AND('WORLDCUP'!AC88='WORLDCUP'!AD88,'WORLDCUP'!AC88&lt;&gt;"",'WORLDCUP'!AD88&lt;&gt;""),"X",0))),"|",'WORLDCUP'!AC88,"-",'WORLDCUP'!AD88)</f>
        <v>2|1-2</v>
      </c>
      <c r="D74" s="14"/>
      <c r="E74" s="14"/>
      <c r="F74" s="14"/>
      <c r="G74" s="14"/>
      <c r="H74" s="14"/>
      <c r="I74" s="444"/>
      <c r="J74" s="445"/>
      <c r="K74" s="14"/>
      <c r="L74" s="420"/>
      <c r="M74" s="434"/>
      <c r="N74" s="426"/>
    </row>
    <row r="75" ht="15" customHeight="1">
      <c r="A75" t="s" s="435">
        <v>859</v>
      </c>
      <c r="B75" t="str" s="436" cm="1">
        <f t="array" ref="B75">CONCATENATE('WORLDCUP'!AA89,"-",'WORLDCUP'!AF89)</f>
        <v>RD Congo-Uzbekistán</v>
      </c>
      <c r="C75" t="str" s="448" cm="1">
        <f t="array" ref="C75">CONCATENATE(IF('WORLDCUP'!AC89&gt;'WORLDCUP'!AD89,1,IF('WORLDCUP'!AC89&lt;'WORLDCUP'!AD89,2,IF(AND('WORLDCUP'!AC89='WORLDCUP'!AD89,'WORLDCUP'!AC89&lt;&gt;"",'WORLDCUP'!AD89&lt;&gt;""),"X",0))),"|",'WORLDCUP'!AC89,"-",'WORLDCUP'!AD89)</f>
        <v>X|0-0</v>
      </c>
      <c r="D75" s="14"/>
      <c r="E75" s="14"/>
      <c r="F75" s="14"/>
      <c r="G75" s="14"/>
      <c r="H75" s="14"/>
      <c r="I75" s="444"/>
      <c r="J75" s="445"/>
      <c r="K75" s="14"/>
      <c r="L75" s="420"/>
      <c r="M75" s="434"/>
      <c r="N75" s="426"/>
    </row>
    <row r="76" ht="15" customHeight="1">
      <c r="A76" t="s" s="446">
        <v>862</v>
      </c>
      <c r="B76" t="str" s="447" cm="1">
        <f t="array" ref="B76">CONCATENATE('WORLDCUP'!AA96,"-",'WORLDCUP'!AF96)</f>
        <v>Panamá-Inglaterra</v>
      </c>
      <c r="C76" t="str" s="448" cm="1">
        <f t="array" ref="C76">CONCATENATE(IF('WORLDCUP'!AC96&gt;'WORLDCUP'!AD96,1,IF('WORLDCUP'!AC96&lt;'WORLDCUP'!AD96,2,IF(AND('WORLDCUP'!AC96='WORLDCUP'!AD96,'WORLDCUP'!AC96&lt;&gt;"",'WORLDCUP'!AD96&lt;&gt;""),"X",0))),"|",'WORLDCUP'!AC96,"-",'WORLDCUP'!AD96)</f>
        <v>2|0-2</v>
      </c>
      <c r="D76" s="14"/>
      <c r="E76" s="14"/>
      <c r="F76" s="14"/>
      <c r="G76" s="14"/>
      <c r="H76" s="14"/>
      <c r="I76" s="444"/>
      <c r="J76" s="445"/>
      <c r="K76" s="14"/>
      <c r="L76" s="420"/>
      <c r="M76" s="434"/>
      <c r="N76" s="426"/>
    </row>
    <row r="77" ht="15" customHeight="1">
      <c r="A77" t="s" s="446">
        <v>862</v>
      </c>
      <c r="B77" t="str" s="447" cm="1">
        <f t="array" ref="B77">CONCATENATE('WORLDCUP'!AA97,"-",'WORLDCUP'!AF97)</f>
        <v>Croacia-Ghana</v>
      </c>
      <c r="C77" t="str" s="448" cm="1">
        <f t="array" ref="C77">CONCATENATE(IF('WORLDCUP'!AC97&gt;'WORLDCUP'!AD97,1,IF('WORLDCUP'!AC97&lt;'WORLDCUP'!AD97,2,IF(AND('WORLDCUP'!AC97='WORLDCUP'!AD97,'WORLDCUP'!AC97&lt;&gt;"",'WORLDCUP'!AD97&lt;&gt;""),"X",0))),"|",'WORLDCUP'!AC97,"-",'WORLDCUP'!AD97)</f>
        <v>1|2-1</v>
      </c>
      <c r="D77" s="14"/>
      <c r="E77" s="14"/>
      <c r="F77" s="14"/>
      <c r="G77" s="14"/>
      <c r="H77" s="14"/>
      <c r="I77" s="444"/>
      <c r="J77" s="445"/>
      <c r="K77" s="14"/>
      <c r="L77" s="420"/>
      <c r="M77" s="434"/>
      <c r="N77" s="426"/>
    </row>
    <row r="78" ht="15" customHeight="1">
      <c r="A78" s="427"/>
      <c r="B78" s="452"/>
      <c r="C78" s="453"/>
      <c r="D78" s="14"/>
      <c r="E78" s="14"/>
      <c r="F78" s="14"/>
      <c r="G78" s="14"/>
      <c r="H78" s="14"/>
      <c r="I78" s="444"/>
      <c r="J78" s="445"/>
      <c r="K78" s="14"/>
      <c r="L78" s="420"/>
      <c r="M78" s="434"/>
      <c r="N78" s="426"/>
    </row>
    <row r="79" ht="19" customHeight="1">
      <c r="A79" s="427"/>
      <c r="B79" t="s" s="454">
        <v>865</v>
      </c>
      <c r="C79" s="455"/>
      <c r="D79" s="14"/>
      <c r="E79" s="14"/>
      <c r="F79" s="14"/>
      <c r="G79" s="14"/>
      <c r="H79" s="14"/>
      <c r="I79" s="444"/>
      <c r="J79" s="445"/>
      <c r="K79" s="14"/>
      <c r="L79" s="420"/>
      <c r="M79" s="434"/>
      <c r="N79" s="426"/>
    </row>
    <row r="80" ht="15" customHeight="1">
      <c r="A80" t="s" s="456">
        <v>46</v>
      </c>
      <c r="B80" t="s" s="457">
        <v>866</v>
      </c>
      <c r="C80" t="str" s="448" cm="1">
        <f t="array" ref="C80">IF(OR(SUM('WORLDCUP'!$AN$6:$AN$9)=12,'WORLDCUP'!$AJ$99=144),'WORLDCUP'!AL6,B80)</f>
        <v>México</v>
      </c>
      <c r="D80" s="14"/>
      <c r="E80" s="14"/>
      <c r="F80" s="14"/>
      <c r="G80" s="14"/>
      <c r="H80" s="14"/>
      <c r="I80" s="444"/>
      <c r="J80" s="445"/>
      <c r="K80" s="14"/>
      <c r="L80" s="420"/>
      <c r="M80" s="434"/>
      <c r="N80" s="426"/>
    </row>
    <row r="81" ht="15" customHeight="1">
      <c r="A81" s="458"/>
      <c r="B81" t="s" s="457">
        <v>867</v>
      </c>
      <c r="C81" t="str" s="448" cm="1">
        <f t="array" ref="C81">IF(OR(SUM('WORLDCUP'!$AN$6:$AN$9)=12,'WORLDCUP'!$AJ$99=144),'WORLDCUP'!AL7,B81)</f>
        <v>Sudáfrica</v>
      </c>
      <c r="D81" s="14"/>
      <c r="E81" s="14"/>
      <c r="F81" s="14"/>
      <c r="G81" s="14"/>
      <c r="H81" s="14"/>
      <c r="I81" s="444"/>
      <c r="J81" s="445"/>
      <c r="K81" s="14"/>
      <c r="L81" s="420"/>
      <c r="M81" s="434"/>
      <c r="N81" s="426"/>
    </row>
    <row r="82" ht="15" customHeight="1">
      <c r="A82" s="458"/>
      <c r="B82" t="s" s="457">
        <v>868</v>
      </c>
      <c r="C82" t="str" s="448" cm="1">
        <f t="array" ref="C82">IF(OR(SUM('WORLDCUP'!$AN$6:$AN$9)=12,'WORLDCUP'!$AJ$99=144),'WORLDCUP'!AL8,B82)</f>
        <v>Corea del Sur</v>
      </c>
      <c r="D82" s="14"/>
      <c r="E82" s="14"/>
      <c r="F82" s="14"/>
      <c r="G82" s="14"/>
      <c r="H82" s="14"/>
      <c r="I82" s="444"/>
      <c r="J82" s="445"/>
      <c r="K82" s="14"/>
      <c r="L82" s="420"/>
      <c r="M82" s="434"/>
      <c r="N82" s="426"/>
    </row>
    <row r="83" ht="15" customHeight="1">
      <c r="A83" s="458"/>
      <c r="B83" t="s" s="457">
        <v>869</v>
      </c>
      <c r="C83" t="str" s="448" cm="1">
        <f t="array" ref="C83">IF(OR(SUM('WORLDCUP'!$AN$6:$AN$9)=12,'WORLDCUP'!$AJ$99=144),'WORLDCUP'!AL9,B83)</f>
        <v>República Checa</v>
      </c>
      <c r="D83" s="14"/>
      <c r="E83" s="14"/>
      <c r="F83" s="14"/>
      <c r="G83" s="14"/>
      <c r="H83" s="14"/>
      <c r="I83" s="444"/>
      <c r="J83" s="445"/>
      <c r="K83" s="14"/>
      <c r="L83" s="420"/>
      <c r="M83" s="434"/>
      <c r="N83" s="426"/>
    </row>
    <row r="84" ht="15" customHeight="1">
      <c r="A84" t="s" s="459">
        <v>159</v>
      </c>
      <c r="B84" t="s" s="460">
        <v>870</v>
      </c>
      <c r="C84" t="str" s="448" cm="1">
        <f t="array" ref="C84">IF(OR(SUM('WORLDCUP'!$AN$14:$AN$17)=12,'WORLDCUP'!$AJ$99=144),'WORLDCUP'!AL14,B84)</f>
        <v>Canadá</v>
      </c>
      <c r="D84" s="14"/>
      <c r="E84" s="14"/>
      <c r="F84" s="14"/>
      <c r="G84" s="14"/>
      <c r="H84" s="14"/>
      <c r="I84" s="444"/>
      <c r="J84" s="445"/>
      <c r="K84" s="14"/>
      <c r="L84" s="420"/>
      <c r="M84" s="434"/>
      <c r="N84" s="426"/>
    </row>
    <row r="85" ht="15" customHeight="1">
      <c r="A85" s="458"/>
      <c r="B85" t="s" s="460">
        <v>871</v>
      </c>
      <c r="C85" t="str" s="448" cm="1">
        <f t="array" ref="C85">IF(OR(SUM('WORLDCUP'!$AN$14:$AN$17)=12,'WORLDCUP'!$AJ$99=144),'WORLDCUP'!AL15,B85)</f>
        <v>Bosnia y Herzegovina</v>
      </c>
      <c r="D85" s="14"/>
      <c r="E85" s="14"/>
      <c r="F85" s="14"/>
      <c r="G85" s="14"/>
      <c r="H85" s="14"/>
      <c r="I85" s="444"/>
      <c r="J85" s="445"/>
      <c r="K85" s="14"/>
      <c r="L85" s="420"/>
      <c r="M85" s="434"/>
      <c r="N85" s="426"/>
    </row>
    <row r="86" ht="15" customHeight="1">
      <c r="A86" s="458"/>
      <c r="B86" t="s" s="460">
        <v>872</v>
      </c>
      <c r="C86" t="str" s="448" cm="1">
        <f t="array" ref="C86">IF(OR(SUM('WORLDCUP'!$AN$14:$AN$17)=12,'WORLDCUP'!$AJ$99=144),'WORLDCUP'!AL16,B86)</f>
        <v>Catar</v>
      </c>
      <c r="D86" s="14"/>
      <c r="E86" s="14"/>
      <c r="F86" s="14"/>
      <c r="G86" s="14"/>
      <c r="H86" s="14"/>
      <c r="I86" s="444"/>
      <c r="J86" s="445"/>
      <c r="K86" s="14"/>
      <c r="L86" s="420"/>
      <c r="M86" s="434"/>
      <c r="N86" s="426"/>
    </row>
    <row r="87" ht="15" customHeight="1">
      <c r="A87" s="458"/>
      <c r="B87" t="s" s="460">
        <v>873</v>
      </c>
      <c r="C87" t="str" s="448" cm="1">
        <f t="array" ref="C87">IF(OR(SUM('WORLDCUP'!$AN$14:$AN$17)=12,'WORLDCUP'!$AJ$99=144),'WORLDCUP'!AL17,B87)</f>
        <v>Suiza</v>
      </c>
      <c r="D87" s="14"/>
      <c r="E87" s="14"/>
      <c r="F87" s="14"/>
      <c r="G87" s="14"/>
      <c r="H87" s="14"/>
      <c r="I87" s="444"/>
      <c r="J87" s="445"/>
      <c r="K87" s="14"/>
      <c r="L87" s="420"/>
      <c r="M87" s="434"/>
      <c r="N87" s="426"/>
    </row>
    <row r="88" ht="15" customHeight="1">
      <c r="A88" t="s" s="456">
        <v>200</v>
      </c>
      <c r="B88" t="s" s="457">
        <v>874</v>
      </c>
      <c r="C88" t="str" s="448" cm="1">
        <f t="array" ref="C88">IF(OR(SUM('WORLDCUP'!$AN$22:$AN$25)=12,'WORLDCUP'!$AJ$99=144),'WORLDCUP'!AL22,B88)</f>
        <v>Brasil</v>
      </c>
      <c r="D88" s="14"/>
      <c r="E88" s="14"/>
      <c r="F88" s="14"/>
      <c r="G88" s="14"/>
      <c r="H88" s="14"/>
      <c r="I88" s="444"/>
      <c r="J88" s="445"/>
      <c r="K88" s="14"/>
      <c r="L88" s="420"/>
      <c r="M88" s="434"/>
      <c r="N88" s="426"/>
    </row>
    <row r="89" ht="15" customHeight="1">
      <c r="A89" s="458"/>
      <c r="B89" t="s" s="457">
        <v>875</v>
      </c>
      <c r="C89" t="str" s="448" cm="1">
        <f t="array" ref="C89">IF(OR(SUM('WORLDCUP'!$AN$22:$AN$25)=12,'WORLDCUP'!$AJ$99=144),'WORLDCUP'!AL23,B89)</f>
        <v>Marruecos</v>
      </c>
      <c r="D89" s="14"/>
      <c r="E89" s="14"/>
      <c r="F89" s="14"/>
      <c r="G89" s="14"/>
      <c r="H89" s="14"/>
      <c r="I89" s="444"/>
      <c r="J89" s="445"/>
      <c r="K89" s="14"/>
      <c r="L89" s="420"/>
      <c r="M89" s="434"/>
      <c r="N89" s="426"/>
    </row>
    <row r="90" ht="15" customHeight="1">
      <c r="A90" s="458"/>
      <c r="B90" t="s" s="457">
        <v>876</v>
      </c>
      <c r="C90" t="str" s="448" cm="1">
        <f t="array" ref="C90">IF(OR(SUM('WORLDCUP'!$AN$22:$AN$25)=12,'WORLDCUP'!$AJ$99=144),'WORLDCUP'!AL24,B90)</f>
        <v>Haití</v>
      </c>
      <c r="D90" s="14"/>
      <c r="E90" s="14"/>
      <c r="F90" s="14"/>
      <c r="G90" s="14"/>
      <c r="H90" s="14"/>
      <c r="I90" s="444"/>
      <c r="J90" s="445"/>
      <c r="K90" s="14"/>
      <c r="L90" s="420"/>
      <c r="M90" s="434"/>
      <c r="N90" s="426"/>
    </row>
    <row r="91" ht="15" customHeight="1">
      <c r="A91" s="458"/>
      <c r="B91" t="s" s="457">
        <v>877</v>
      </c>
      <c r="C91" t="str" s="448" cm="1">
        <f t="array" ref="C91">IF(OR(SUM('WORLDCUP'!$AN$22:$AN$25)=12,'WORLDCUP'!$AJ$99=144),'WORLDCUP'!AL25,B91)</f>
        <v>Escocia</v>
      </c>
      <c r="D91" s="14"/>
      <c r="E91" s="14"/>
      <c r="F91" s="14"/>
      <c r="G91" s="14"/>
      <c r="H91" s="14"/>
      <c r="I91" s="444"/>
      <c r="J91" s="445"/>
      <c r="K91" s="14"/>
      <c r="L91" s="420"/>
      <c r="M91" s="434"/>
      <c r="N91" s="426"/>
    </row>
    <row r="92" ht="15" customHeight="1">
      <c r="A92" t="s" s="459">
        <v>223</v>
      </c>
      <c r="B92" t="s" s="460">
        <v>878</v>
      </c>
      <c r="C92" t="str" s="448" cm="1">
        <f t="array" ref="C92">IF(OR(SUM('WORLDCUP'!$AN$30:$AN$33)=12,'WORLDCUP'!$AJ$99=144),'WORLDCUP'!AL30,B92)</f>
        <v>Estados Unidos</v>
      </c>
      <c r="D92" s="14"/>
      <c r="E92" s="14"/>
      <c r="F92" s="14"/>
      <c r="G92" s="14"/>
      <c r="H92" s="14"/>
      <c r="I92" s="444"/>
      <c r="J92" s="445"/>
      <c r="K92" s="14"/>
      <c r="L92" s="420"/>
      <c r="M92" s="434"/>
      <c r="N92" s="426"/>
    </row>
    <row r="93" ht="15" customHeight="1">
      <c r="A93" s="458"/>
      <c r="B93" t="s" s="460">
        <v>879</v>
      </c>
      <c r="C93" t="str" s="448" cm="1">
        <f t="array" ref="C93">IF(OR(SUM('WORLDCUP'!$AN$30:$AN$33)=12,'WORLDCUP'!$AJ$99=144),'WORLDCUP'!AL31,B93)</f>
        <v>Paraguay</v>
      </c>
      <c r="D93" s="14"/>
      <c r="E93" s="14"/>
      <c r="F93" s="14"/>
      <c r="G93" s="14"/>
      <c r="H93" s="14"/>
      <c r="I93" s="444"/>
      <c r="J93" s="445"/>
      <c r="K93" s="14"/>
      <c r="L93" s="420"/>
      <c r="M93" s="434"/>
      <c r="N93" s="426"/>
    </row>
    <row r="94" ht="15" customHeight="1">
      <c r="A94" s="458"/>
      <c r="B94" t="s" s="460">
        <v>880</v>
      </c>
      <c r="C94" t="str" s="448" cm="1">
        <f t="array" ref="C94">IF(OR(SUM('WORLDCUP'!$AN$30:$AN$33)=12,'WORLDCUP'!$AJ$99=144),'WORLDCUP'!AL32,B94)</f>
        <v>Australia</v>
      </c>
      <c r="D94" s="14"/>
      <c r="E94" s="14"/>
      <c r="F94" s="14"/>
      <c r="G94" s="14"/>
      <c r="H94" s="14"/>
      <c r="I94" s="444"/>
      <c r="J94" s="445"/>
      <c r="K94" s="14"/>
      <c r="L94" s="420"/>
      <c r="M94" s="434"/>
      <c r="N94" s="426"/>
    </row>
    <row r="95" ht="15" customHeight="1">
      <c r="A95" s="458"/>
      <c r="B95" t="s" s="460">
        <v>881</v>
      </c>
      <c r="C95" t="str" s="448" cm="1">
        <f t="array" ref="C95">IF(OR(SUM('WORLDCUP'!$AN$30:$AN$33)=12,'WORLDCUP'!$AJ$99=144),'WORLDCUP'!AL33,B95)</f>
        <v>Turquía</v>
      </c>
      <c r="D95" s="14"/>
      <c r="E95" s="14"/>
      <c r="F95" s="14"/>
      <c r="G95" s="14"/>
      <c r="H95" s="14"/>
      <c r="I95" s="444"/>
      <c r="J95" s="445"/>
      <c r="K95" s="14"/>
      <c r="L95" s="420"/>
      <c r="M95" s="434"/>
      <c r="N95" s="426"/>
    </row>
    <row r="96" ht="15" customHeight="1">
      <c r="A96" t="s" s="456">
        <v>64</v>
      </c>
      <c r="B96" t="s" s="457">
        <v>882</v>
      </c>
      <c r="C96" t="str" s="448" cm="1">
        <f t="array" ref="C96">IF(OR(SUM('WORLDCUP'!$AN$38:$AN$41)=12,'WORLDCUP'!$AJ$99=144),'WORLDCUP'!AL38,B96)</f>
        <v>Alemania</v>
      </c>
      <c r="D96" s="14"/>
      <c r="E96" s="14"/>
      <c r="F96" s="14"/>
      <c r="G96" s="14"/>
      <c r="H96" s="14"/>
      <c r="I96" s="444"/>
      <c r="J96" s="445"/>
      <c r="K96" s="14"/>
      <c r="L96" s="420"/>
      <c r="M96" s="434"/>
      <c r="N96" s="426"/>
    </row>
    <row r="97" ht="15" customHeight="1">
      <c r="A97" s="458"/>
      <c r="B97" t="s" s="457">
        <v>883</v>
      </c>
      <c r="C97" t="str" s="448" cm="1">
        <f t="array" ref="C97">IF(OR(SUM('WORLDCUP'!$AN$38:$AN$41)=12,'WORLDCUP'!$AJ$99=144),'WORLDCUP'!AL39,B97)</f>
        <v>Curazao</v>
      </c>
      <c r="D97" s="14"/>
      <c r="E97" s="14"/>
      <c r="F97" s="14"/>
      <c r="G97" s="14"/>
      <c r="H97" s="14"/>
      <c r="I97" s="444"/>
      <c r="J97" s="445"/>
      <c r="K97" s="14"/>
      <c r="L97" s="420"/>
      <c r="M97" s="434"/>
      <c r="N97" s="426"/>
    </row>
    <row r="98" ht="15" customHeight="1">
      <c r="A98" s="458"/>
      <c r="B98" t="s" s="457">
        <v>884</v>
      </c>
      <c r="C98" t="str" s="448" cm="1">
        <f t="array" ref="C98">IF(OR(SUM('WORLDCUP'!$AN$38:$AN$41)=12,'WORLDCUP'!$AJ$99=144),'WORLDCUP'!AL40,B98)</f>
        <v>Costa de Marfil</v>
      </c>
      <c r="D98" s="14"/>
      <c r="E98" s="14"/>
      <c r="F98" s="14"/>
      <c r="G98" s="14"/>
      <c r="H98" s="14"/>
      <c r="I98" s="444"/>
      <c r="J98" s="445"/>
      <c r="K98" s="14"/>
      <c r="L98" s="420"/>
      <c r="M98" s="434"/>
      <c r="N98" s="426"/>
    </row>
    <row r="99" ht="15" customHeight="1">
      <c r="A99" s="458"/>
      <c r="B99" t="s" s="457">
        <v>885</v>
      </c>
      <c r="C99" t="str" s="448" cm="1">
        <f t="array" ref="C99">IF(OR(SUM('WORLDCUP'!$AN$38:$AN$41)=12,'WORLDCUP'!$AJ$99=144),'WORLDCUP'!AL41,B99)</f>
        <v>Ecuador</v>
      </c>
      <c r="D99" s="14"/>
      <c r="E99" s="14"/>
      <c r="F99" s="14"/>
      <c r="G99" s="14"/>
      <c r="H99" s="14"/>
      <c r="I99" s="444"/>
      <c r="J99" s="445"/>
      <c r="K99" s="14"/>
      <c r="L99" s="420"/>
      <c r="M99" s="434"/>
      <c r="N99" s="426"/>
    </row>
    <row r="100" ht="15" customHeight="1">
      <c r="A100" t="s" s="459">
        <v>269</v>
      </c>
      <c r="B100" t="s" s="460">
        <v>886</v>
      </c>
      <c r="C100" t="str" s="448" cm="1">
        <f t="array" ref="C100">IF(OR(SUM('WORLDCUP'!$AN$46:$AN$49)=12,'WORLDCUP'!$AJ$99=144),'WORLDCUP'!AL46,B100)</f>
        <v>Países Bajos</v>
      </c>
      <c r="D100" s="14"/>
      <c r="E100" s="14"/>
      <c r="F100" s="14"/>
      <c r="G100" s="14"/>
      <c r="H100" s="14"/>
      <c r="I100" s="444"/>
      <c r="J100" s="445"/>
      <c r="K100" s="14"/>
      <c r="L100" s="420"/>
      <c r="M100" s="434"/>
      <c r="N100" s="426"/>
    </row>
    <row r="101" ht="15" customHeight="1">
      <c r="A101" s="458"/>
      <c r="B101" t="s" s="460">
        <v>887</v>
      </c>
      <c r="C101" t="str" s="448" cm="1">
        <f t="array" ref="C101">IF(OR(SUM('WORLDCUP'!$AN$46:$AN$49)=12,'WORLDCUP'!$AJ$99=144),'WORLDCUP'!AL47,B101)</f>
        <v>Japón</v>
      </c>
      <c r="D101" s="14"/>
      <c r="E101" s="14"/>
      <c r="F101" s="14"/>
      <c r="G101" s="14"/>
      <c r="H101" s="14"/>
      <c r="I101" s="444"/>
      <c r="J101" s="445"/>
      <c r="K101" s="14"/>
      <c r="L101" s="420"/>
      <c r="M101" s="434"/>
      <c r="N101" s="426"/>
    </row>
    <row r="102" ht="15" customHeight="1">
      <c r="A102" s="458"/>
      <c r="B102" t="s" s="460">
        <v>888</v>
      </c>
      <c r="C102" t="str" s="448" cm="1">
        <f t="array" ref="C102">IF(OR(SUM('WORLDCUP'!$AN$46:$AN$49)=12,'WORLDCUP'!$AJ$99=144),'WORLDCUP'!AL48,B102)</f>
        <v>Suecia</v>
      </c>
      <c r="D102" s="14"/>
      <c r="E102" s="14"/>
      <c r="F102" s="14"/>
      <c r="G102" s="14"/>
      <c r="H102" s="14"/>
      <c r="I102" s="444"/>
      <c r="J102" s="445"/>
      <c r="K102" s="14"/>
      <c r="L102" s="420"/>
      <c r="M102" s="434"/>
      <c r="N102" s="426"/>
    </row>
    <row r="103" ht="15" customHeight="1">
      <c r="A103" s="458"/>
      <c r="B103" t="s" s="460">
        <v>889</v>
      </c>
      <c r="C103" t="str" s="448" cm="1">
        <f t="array" ref="C103">IF(OR(SUM('WORLDCUP'!$AN$46:$AN$49)=12,'WORLDCUP'!$AJ$99=144),'WORLDCUP'!AL49,B103)</f>
        <v>Túnez</v>
      </c>
      <c r="D103" s="14"/>
      <c r="E103" s="14"/>
      <c r="F103" s="14"/>
      <c r="G103" s="14"/>
      <c r="H103" s="14"/>
      <c r="I103" s="444"/>
      <c r="J103" s="445"/>
      <c r="K103" s="14"/>
      <c r="L103" s="420"/>
      <c r="M103" s="434"/>
      <c r="N103" s="426"/>
    </row>
    <row r="104" ht="15" customHeight="1">
      <c r="A104" t="s" s="456">
        <v>63</v>
      </c>
      <c r="B104" t="s" s="457">
        <v>890</v>
      </c>
      <c r="C104" t="str" s="448" cm="1">
        <f t="array" ref="C104">IF(OR(SUM('WORLDCUP'!$AN$54:$AN$57)=12,'WORLDCUP'!$AJ$99=144),'WORLDCUP'!AL54,B104)</f>
        <v>Bélgica</v>
      </c>
      <c r="D104" s="14"/>
      <c r="E104" s="14"/>
      <c r="F104" s="14"/>
      <c r="G104" s="14"/>
      <c r="H104" s="14"/>
      <c r="I104" s="444"/>
      <c r="J104" s="445"/>
      <c r="K104" s="14"/>
      <c r="L104" s="420"/>
      <c r="M104" s="434"/>
      <c r="N104" s="426"/>
    </row>
    <row r="105" ht="15" customHeight="1">
      <c r="A105" s="458"/>
      <c r="B105" t="s" s="457">
        <v>891</v>
      </c>
      <c r="C105" t="str" s="448" cm="1">
        <f t="array" ref="C105">IF(OR(SUM('WORLDCUP'!$AN$54:$AN$57)=12,'WORLDCUP'!$AJ$99=144),'WORLDCUP'!AL55,B105)</f>
        <v>Egipto</v>
      </c>
      <c r="D105" s="14"/>
      <c r="E105" s="14"/>
      <c r="F105" s="14"/>
      <c r="G105" s="14"/>
      <c r="H105" s="14"/>
      <c r="I105" s="444"/>
      <c r="J105" s="445"/>
      <c r="K105" s="14"/>
      <c r="L105" s="420"/>
      <c r="M105" s="434"/>
      <c r="N105" s="426"/>
    </row>
    <row r="106" ht="15" customHeight="1">
      <c r="A106" s="458"/>
      <c r="B106" t="s" s="457">
        <v>892</v>
      </c>
      <c r="C106" t="str" s="448" cm="1">
        <f t="array" ref="C106">IF(OR(SUM('WORLDCUP'!$AN$54:$AN$57)=12,'WORLDCUP'!$AJ$99=144),'WORLDCUP'!AL56,B106)</f>
        <v>Irán</v>
      </c>
      <c r="D106" s="14"/>
      <c r="E106" s="14"/>
      <c r="F106" s="14"/>
      <c r="G106" s="14"/>
      <c r="H106" s="14"/>
      <c r="I106" s="444"/>
      <c r="J106" s="445"/>
      <c r="K106" s="14"/>
      <c r="L106" s="420"/>
      <c r="M106" s="434"/>
      <c r="N106" s="426"/>
    </row>
    <row r="107" ht="15" customHeight="1">
      <c r="A107" s="458"/>
      <c r="B107" t="s" s="457">
        <v>893</v>
      </c>
      <c r="C107" t="str" s="448" cm="1">
        <f t="array" ref="C107">IF(OR(SUM('WORLDCUP'!$AN$54:$AN$57)=12,'WORLDCUP'!$AJ$99=144),'WORLDCUP'!AL57,B107)</f>
        <v>Nueva Zelanda</v>
      </c>
      <c r="D107" s="14"/>
      <c r="E107" s="14"/>
      <c r="F107" s="14"/>
      <c r="G107" s="14"/>
      <c r="H107" s="14"/>
      <c r="I107" s="444"/>
      <c r="J107" s="445"/>
      <c r="K107" s="14"/>
      <c r="L107" s="420"/>
      <c r="M107" s="434"/>
      <c r="N107" s="426"/>
    </row>
    <row r="108" ht="15" customHeight="1">
      <c r="A108" t="s" s="459">
        <v>315</v>
      </c>
      <c r="B108" t="s" s="460">
        <v>894</v>
      </c>
      <c r="C108" t="str" s="448" cm="1">
        <f t="array" ref="C108">IF(OR(SUM('WORLDCUP'!$AN$62:$AN$65)=12,'WORLDCUP'!$AJ$99=144),'WORLDCUP'!AL62,B108)</f>
        <v>España</v>
      </c>
      <c r="D108" s="14"/>
      <c r="E108" s="14"/>
      <c r="F108" s="14"/>
      <c r="G108" s="14"/>
      <c r="H108" s="14"/>
      <c r="I108" s="444"/>
      <c r="J108" s="445"/>
      <c r="K108" s="14"/>
      <c r="L108" s="420"/>
      <c r="M108" s="434"/>
      <c r="N108" s="426"/>
    </row>
    <row r="109" ht="15" customHeight="1">
      <c r="A109" s="458"/>
      <c r="B109" t="s" s="460">
        <v>895</v>
      </c>
      <c r="C109" t="str" s="448" cm="1">
        <f t="array" ref="C109">IF(OR(SUM('WORLDCUP'!$AN$62:$AN$65)=12,'WORLDCUP'!$AJ$99=144),'WORLDCUP'!AL63,B109)</f>
        <v>Cabo Verde</v>
      </c>
      <c r="D109" s="14"/>
      <c r="E109" s="14"/>
      <c r="F109" s="14"/>
      <c r="G109" s="14"/>
      <c r="H109" s="14"/>
      <c r="I109" s="444"/>
      <c r="J109" s="445"/>
      <c r="K109" s="14"/>
      <c r="L109" s="420"/>
      <c r="M109" s="434"/>
      <c r="N109" s="426"/>
    </row>
    <row r="110" ht="15" customHeight="1">
      <c r="A110" s="458"/>
      <c r="B110" t="s" s="460">
        <v>896</v>
      </c>
      <c r="C110" t="str" s="448" cm="1">
        <f t="array" ref="C110">IF(OR(SUM('WORLDCUP'!$AN$62:$AN$65)=12,'WORLDCUP'!$AJ$99=144),'WORLDCUP'!AL64,B110)</f>
        <v>Arabia Saudita</v>
      </c>
      <c r="D110" s="14"/>
      <c r="E110" s="14"/>
      <c r="F110" s="14"/>
      <c r="G110" s="14"/>
      <c r="H110" s="14"/>
      <c r="I110" s="444"/>
      <c r="J110" s="445"/>
      <c r="K110" s="14"/>
      <c r="L110" s="420"/>
      <c r="M110" s="434"/>
      <c r="N110" s="426"/>
    </row>
    <row r="111" ht="15" customHeight="1">
      <c r="A111" s="458"/>
      <c r="B111" t="s" s="460">
        <v>897</v>
      </c>
      <c r="C111" t="str" s="448" cm="1">
        <f t="array" ref="C111">IF(OR(SUM('WORLDCUP'!$AN$62:$AN$65)=12,'WORLDCUP'!$AJ$99=144),'WORLDCUP'!AL65,B111)</f>
        <v>Uruguay</v>
      </c>
      <c r="D111" s="14"/>
      <c r="E111" s="14"/>
      <c r="F111" s="14"/>
      <c r="G111" s="14"/>
      <c r="H111" s="14"/>
      <c r="I111" s="444"/>
      <c r="J111" s="445"/>
      <c r="K111" s="14"/>
      <c r="L111" s="420"/>
      <c r="M111" s="434"/>
      <c r="N111" s="426"/>
    </row>
    <row r="112" ht="15" customHeight="1">
      <c r="A112" t="s" s="456">
        <v>339</v>
      </c>
      <c r="B112" t="s" s="457">
        <v>898</v>
      </c>
      <c r="C112" t="str" s="448" cm="1">
        <f t="array" ref="C112">IF(OR(SUM('WORLDCUP'!$AN$70:$AN$73)=12,'WORLDCUP'!$AJ$99=144),'WORLDCUP'!AL70,B112)</f>
        <v>Francia</v>
      </c>
      <c r="D112" s="14"/>
      <c r="E112" s="14"/>
      <c r="F112" s="14"/>
      <c r="G112" s="14"/>
      <c r="H112" s="14"/>
      <c r="I112" s="444"/>
      <c r="J112" s="445"/>
      <c r="K112" s="14"/>
      <c r="L112" s="420"/>
      <c r="M112" s="434"/>
      <c r="N112" s="426"/>
    </row>
    <row r="113" ht="15" customHeight="1">
      <c r="A113" s="458"/>
      <c r="B113" t="s" s="457">
        <v>899</v>
      </c>
      <c r="C113" t="str" s="448" cm="1">
        <f t="array" ref="C113">IF(OR(SUM('WORLDCUP'!$AN$70:$AN$73)=12,'WORLDCUP'!$AJ$99=144),'WORLDCUP'!AL71,B113)</f>
        <v>Senegal</v>
      </c>
      <c r="D113" s="14"/>
      <c r="E113" s="14"/>
      <c r="F113" s="14"/>
      <c r="G113" s="14"/>
      <c r="H113" s="14"/>
      <c r="I113" s="444"/>
      <c r="J113" s="445"/>
      <c r="K113" s="14"/>
      <c r="L113" s="420"/>
      <c r="M113" s="434"/>
      <c r="N113" s="426"/>
    </row>
    <row r="114" ht="15" customHeight="1">
      <c r="A114" s="458"/>
      <c r="B114" t="s" s="457">
        <v>900</v>
      </c>
      <c r="C114" t="str" s="448" cm="1">
        <f t="array" ref="C114">IF(OR(SUM('WORLDCUP'!$AN$70:$AN$73)=12,'WORLDCUP'!$AJ$99=144),'WORLDCUP'!AL72,B114)</f>
        <v>Irak</v>
      </c>
      <c r="D114" s="14"/>
      <c r="E114" s="14"/>
      <c r="F114" s="14"/>
      <c r="G114" s="14"/>
      <c r="H114" s="14"/>
      <c r="I114" s="444"/>
      <c r="J114" s="445"/>
      <c r="K114" s="14"/>
      <c r="L114" s="420"/>
      <c r="M114" s="434"/>
      <c r="N114" s="426"/>
    </row>
    <row r="115" ht="15" customHeight="1">
      <c r="A115" s="458"/>
      <c r="B115" t="s" s="457">
        <v>901</v>
      </c>
      <c r="C115" t="str" s="448" cm="1">
        <f t="array" ref="C115">IF(OR(SUM('WORLDCUP'!$AN$70:$AN$73)=12,'WORLDCUP'!$AJ$99=144),'WORLDCUP'!AL73,B115)</f>
        <v>Noruega</v>
      </c>
      <c r="D115" s="14"/>
      <c r="E115" s="14"/>
      <c r="F115" s="14"/>
      <c r="G115" s="14"/>
      <c r="H115" s="14"/>
      <c r="I115" s="444"/>
      <c r="J115" s="445"/>
      <c r="K115" s="14"/>
      <c r="L115" s="420"/>
      <c r="M115" s="434"/>
      <c r="N115" s="426"/>
    </row>
    <row r="116" ht="15" customHeight="1">
      <c r="A116" t="s" s="459">
        <v>62</v>
      </c>
      <c r="B116" t="s" s="460">
        <v>902</v>
      </c>
      <c r="C116" t="str" s="448" cm="1">
        <f t="array" ref="C116">IF(OR(SUM('WORLDCUP'!$AN$78:$AN$81)=12,'WORLDCUP'!$AJ$99=144),'WORLDCUP'!AL78,B116)</f>
        <v>Argentina</v>
      </c>
      <c r="D116" s="14"/>
      <c r="E116" s="14"/>
      <c r="F116" s="14"/>
      <c r="G116" s="14"/>
      <c r="H116" s="14"/>
      <c r="I116" s="444"/>
      <c r="J116" s="445"/>
      <c r="K116" s="14"/>
      <c r="L116" s="420"/>
      <c r="M116" s="434"/>
      <c r="N116" s="426"/>
    </row>
    <row r="117" ht="15" customHeight="1">
      <c r="A117" s="458"/>
      <c r="B117" t="s" s="460">
        <v>903</v>
      </c>
      <c r="C117" t="str" s="448" cm="1">
        <f t="array" ref="C117">IF(OR(SUM('WORLDCUP'!$AN$78:$AN$81)=12,'WORLDCUP'!$AJ$99=144),'WORLDCUP'!AL79,B117)</f>
        <v>Argelia</v>
      </c>
      <c r="D117" s="14"/>
      <c r="E117" s="14"/>
      <c r="F117" s="14"/>
      <c r="G117" s="14"/>
      <c r="H117" s="14"/>
      <c r="I117" s="444"/>
      <c r="J117" s="445"/>
      <c r="K117" s="14"/>
      <c r="L117" s="420"/>
      <c r="M117" s="434"/>
      <c r="N117" s="426"/>
    </row>
    <row r="118" ht="15" customHeight="1">
      <c r="A118" s="458"/>
      <c r="B118" t="s" s="460">
        <v>904</v>
      </c>
      <c r="C118" t="str" s="448" cm="1">
        <f t="array" ref="C118">IF(OR(SUM('WORLDCUP'!$AN$78:$AN$81)=12,'WORLDCUP'!$AJ$99=144),'WORLDCUP'!AL80,B118)</f>
        <v>Austria</v>
      </c>
      <c r="D118" s="14"/>
      <c r="E118" s="14"/>
      <c r="F118" s="14"/>
      <c r="G118" s="14"/>
      <c r="H118" s="14"/>
      <c r="I118" s="444"/>
      <c r="J118" s="445"/>
      <c r="K118" s="14"/>
      <c r="L118" s="420"/>
      <c r="M118" s="434"/>
      <c r="N118" s="426"/>
    </row>
    <row r="119" ht="15" customHeight="1">
      <c r="A119" s="458"/>
      <c r="B119" t="s" s="460">
        <v>905</v>
      </c>
      <c r="C119" t="str" s="448" cm="1">
        <f t="array" ref="C119">IF(OR(SUM('WORLDCUP'!$AN$78:$AN$81)=12,'WORLDCUP'!$AJ$99=144),'WORLDCUP'!AL81,B119)</f>
        <v>Jordania</v>
      </c>
      <c r="D119" s="14"/>
      <c r="E119" s="14"/>
      <c r="F119" s="14"/>
      <c r="G119" s="14"/>
      <c r="H119" s="14"/>
      <c r="I119" s="444"/>
      <c r="J119" s="445"/>
      <c r="K119" s="14"/>
      <c r="L119" s="420"/>
      <c r="M119" s="434"/>
      <c r="N119" s="426"/>
    </row>
    <row r="120" ht="15" customHeight="1">
      <c r="A120" t="s" s="456">
        <v>385</v>
      </c>
      <c r="B120" t="s" s="457">
        <v>906</v>
      </c>
      <c r="C120" t="str" s="448" cm="1">
        <f t="array" ref="C120">IF(OR(SUM('WORLDCUP'!$AN$86:$AN$89)=12,'WORLDCUP'!$AJ$99=144),'WORLDCUP'!AL86,B120)</f>
        <v>Portugal</v>
      </c>
      <c r="D120" s="14"/>
      <c r="E120" s="14"/>
      <c r="F120" s="14"/>
      <c r="G120" s="14"/>
      <c r="H120" s="14"/>
      <c r="I120" s="444"/>
      <c r="J120" s="445"/>
      <c r="K120" s="14"/>
      <c r="L120" s="420"/>
      <c r="M120" s="434"/>
      <c r="N120" s="426"/>
    </row>
    <row r="121" ht="15" customHeight="1">
      <c r="A121" s="458"/>
      <c r="B121" t="s" s="457">
        <v>907</v>
      </c>
      <c r="C121" t="str" s="448" cm="1">
        <f t="array" ref="C121">IF(OR(SUM('WORLDCUP'!$AN$86:$AN$89)=12,'WORLDCUP'!$AJ$99=144),'WORLDCUP'!AL87,B121)</f>
        <v>RD Congo</v>
      </c>
      <c r="D121" s="14"/>
      <c r="E121" s="14"/>
      <c r="F121" s="14"/>
      <c r="G121" s="14"/>
      <c r="H121" s="14"/>
      <c r="I121" s="444"/>
      <c r="J121" s="445"/>
      <c r="K121" s="14"/>
      <c r="L121" s="420"/>
      <c r="M121" s="434"/>
      <c r="N121" s="426"/>
    </row>
    <row r="122" ht="15" customHeight="1">
      <c r="A122" s="458"/>
      <c r="B122" t="s" s="457">
        <v>908</v>
      </c>
      <c r="C122" t="str" s="448" cm="1">
        <f t="array" ref="C122">IF(OR(SUM('WORLDCUP'!$AN$86:$AN$89)=12,'WORLDCUP'!$AJ$99=144),'WORLDCUP'!AL88,B122)</f>
        <v>Uzbekistán</v>
      </c>
      <c r="D122" s="14"/>
      <c r="E122" s="14"/>
      <c r="F122" s="14"/>
      <c r="G122" s="14"/>
      <c r="H122" s="14"/>
      <c r="I122" s="444"/>
      <c r="J122" s="445"/>
      <c r="K122" s="14"/>
      <c r="L122" s="420"/>
      <c r="M122" s="434"/>
      <c r="N122" s="426"/>
    </row>
    <row r="123" ht="15" customHeight="1">
      <c r="A123" s="458"/>
      <c r="B123" t="s" s="457">
        <v>909</v>
      </c>
      <c r="C123" t="str" s="448" cm="1">
        <f t="array" ref="C123">IF(OR(SUM('WORLDCUP'!$AN$86:$AN$89)=12,'WORLDCUP'!$AJ$99=144),'WORLDCUP'!AL89,B123)</f>
        <v>Colombia</v>
      </c>
      <c r="D123" s="14"/>
      <c r="E123" s="14"/>
      <c r="F123" s="14"/>
      <c r="G123" s="14"/>
      <c r="H123" s="14"/>
      <c r="I123" s="444"/>
      <c r="J123" s="445"/>
      <c r="K123" s="14"/>
      <c r="L123" s="420"/>
      <c r="M123" s="434"/>
      <c r="N123" s="426"/>
    </row>
    <row r="124" ht="15" customHeight="1">
      <c r="A124" t="s" s="459">
        <v>408</v>
      </c>
      <c r="B124" t="s" s="460">
        <v>910</v>
      </c>
      <c r="C124" t="str" s="448" cm="1">
        <f t="array" ref="C124">IF(OR(SUM('WORLDCUP'!$AN$94:$AN$97)=12,'WORLDCUP'!$AJ$99=144),'WORLDCUP'!AL94,B124)</f>
        <v>Inglaterra</v>
      </c>
      <c r="D124" s="14"/>
      <c r="E124" s="14"/>
      <c r="F124" s="14"/>
      <c r="G124" s="14"/>
      <c r="H124" s="14"/>
      <c r="I124" s="444"/>
      <c r="J124" s="445"/>
      <c r="K124" s="14"/>
      <c r="L124" s="420"/>
      <c r="M124" s="434"/>
      <c r="N124" s="426"/>
    </row>
    <row r="125" ht="15" customHeight="1">
      <c r="A125" s="458"/>
      <c r="B125" t="s" s="460">
        <v>911</v>
      </c>
      <c r="C125" t="str" s="448" cm="1">
        <f t="array" ref="C125">IF(OR(SUM('WORLDCUP'!$AN$94:$AN$97)=12,'WORLDCUP'!$AJ$99=144),'WORLDCUP'!AL95,B125)</f>
        <v>Croacia</v>
      </c>
      <c r="D125" s="14"/>
      <c r="E125" s="14"/>
      <c r="F125" s="14"/>
      <c r="G125" s="14"/>
      <c r="H125" s="14"/>
      <c r="I125" s="444"/>
      <c r="J125" s="445"/>
      <c r="K125" s="14"/>
      <c r="L125" s="420"/>
      <c r="M125" s="434"/>
      <c r="N125" s="426"/>
    </row>
    <row r="126" ht="15" customHeight="1">
      <c r="A126" s="458"/>
      <c r="B126" t="s" s="460">
        <v>912</v>
      </c>
      <c r="C126" t="str" s="448" cm="1">
        <f t="array" ref="C126">IF(OR(SUM('WORLDCUP'!$AN$94:$AN$97)=12,'WORLDCUP'!$AJ$99=144),'WORLDCUP'!AL96,B126)</f>
        <v>Ghana</v>
      </c>
      <c r="D126" s="14"/>
      <c r="E126" s="14"/>
      <c r="F126" s="14"/>
      <c r="G126" s="14"/>
      <c r="H126" s="14"/>
      <c r="I126" s="444"/>
      <c r="J126" s="445"/>
      <c r="K126" s="14"/>
      <c r="L126" s="420"/>
      <c r="M126" s="434"/>
      <c r="N126" s="426"/>
    </row>
    <row r="127" ht="15" customHeight="1">
      <c r="A127" s="458"/>
      <c r="B127" t="s" s="460">
        <v>913</v>
      </c>
      <c r="C127" t="str" s="448" cm="1">
        <f t="array" ref="C127">IF(OR(SUM('WORLDCUP'!$AN$94:$AN$97)=12,'WORLDCUP'!$AJ$99=144),'WORLDCUP'!AL97,B127)</f>
        <v>Panamá</v>
      </c>
      <c r="D127" s="14"/>
      <c r="E127" s="14"/>
      <c r="F127" s="14"/>
      <c r="G127" s="14"/>
      <c r="H127" s="14"/>
      <c r="I127" s="444"/>
      <c r="J127" s="445"/>
      <c r="K127" s="14"/>
      <c r="L127" s="420"/>
      <c r="M127" s="434"/>
      <c r="N127" s="426"/>
    </row>
    <row r="128" ht="15" customHeight="1">
      <c r="A128" s="427"/>
      <c r="B128" s="452"/>
      <c r="C128" s="453"/>
      <c r="D128" s="14"/>
      <c r="E128" s="14"/>
      <c r="F128" s="14"/>
      <c r="G128" s="14"/>
      <c r="H128" s="14"/>
      <c r="I128" s="444"/>
      <c r="J128" s="445"/>
      <c r="K128" s="14"/>
      <c r="L128" s="420"/>
      <c r="M128" s="434"/>
      <c r="N128" s="426"/>
    </row>
    <row r="129" ht="19" customHeight="1">
      <c r="A129" s="427"/>
      <c r="B129" t="s" s="461">
        <v>914</v>
      </c>
      <c r="C129" s="455"/>
      <c r="D129" s="14"/>
      <c r="E129" s="14"/>
      <c r="F129" s="14"/>
      <c r="G129" s="14"/>
      <c r="H129" s="14"/>
      <c r="I129" s="444"/>
      <c r="J129" s="445"/>
      <c r="K129" s="14"/>
      <c r="L129" s="420"/>
      <c r="M129" s="434"/>
      <c r="N129" s="426"/>
    </row>
    <row r="130" ht="15" customHeight="1">
      <c r="A130" t="s" s="462">
        <v>540</v>
      </c>
      <c r="B130" t="s" s="463">
        <v>915</v>
      </c>
      <c r="C130" t="str" s="448" cm="1">
        <f t="array" ref="C130">'WORLDCUP'!AA101</f>
        <v>Sudáfrica</v>
      </c>
      <c r="D130" s="14"/>
      <c r="E130" s="14"/>
      <c r="F130" s="14"/>
      <c r="G130" s="14"/>
      <c r="H130" s="14"/>
      <c r="I130" s="444"/>
      <c r="J130" s="445"/>
      <c r="K130" s="14"/>
      <c r="L130" s="420"/>
      <c r="M130" s="434"/>
      <c r="N130" s="426"/>
    </row>
    <row r="131" ht="15" customHeight="1">
      <c r="A131" s="458"/>
      <c r="B131" t="str" s="448" cm="1">
        <f t="array" ref="B131">B130</f>
        <v>Dieciseisavofinalista</v>
      </c>
      <c r="C131" t="str" s="448" cm="1">
        <f t="array" ref="C131">'WORLDCUP'!AA102</f>
        <v>Brasil</v>
      </c>
      <c r="D131" s="14"/>
      <c r="E131" s="14"/>
      <c r="F131" s="14"/>
      <c r="G131" s="14"/>
      <c r="H131" s="14"/>
      <c r="I131" s="444"/>
      <c r="J131" s="445"/>
      <c r="K131" s="14"/>
      <c r="L131" s="420"/>
      <c r="M131" s="434"/>
      <c r="N131" s="426"/>
    </row>
    <row r="132" ht="15" customHeight="1">
      <c r="A132" s="458"/>
      <c r="B132" t="str" s="448" cm="1">
        <f t="array" ref="B132">B131</f>
        <v>Dieciseisavofinalista</v>
      </c>
      <c r="C132" t="str" s="448" cm="1">
        <f t="array" ref="C132">'WORLDCUP'!AA103</f>
        <v>Alemania</v>
      </c>
      <c r="D132" s="14"/>
      <c r="E132" s="14"/>
      <c r="F132" s="14"/>
      <c r="G132" s="14"/>
      <c r="H132" s="14"/>
      <c r="I132" s="444"/>
      <c r="J132" s="445"/>
      <c r="K132" s="14"/>
      <c r="L132" s="420"/>
      <c r="M132" s="434"/>
      <c r="N132" s="426"/>
    </row>
    <row r="133" ht="15" customHeight="1">
      <c r="A133" s="458"/>
      <c r="B133" t="str" s="448" cm="1">
        <f t="array" ref="B133">B132</f>
        <v>Dieciseisavofinalista</v>
      </c>
      <c r="C133" t="str" s="448" cm="1">
        <f t="array" ref="C133">'WORLDCUP'!AA104</f>
        <v>Países Bajos</v>
      </c>
      <c r="D133" s="14"/>
      <c r="E133" s="14"/>
      <c r="F133" s="14"/>
      <c r="G133" s="14"/>
      <c r="H133" s="14"/>
      <c r="I133" s="444"/>
      <c r="J133" s="445"/>
      <c r="K133" s="14"/>
      <c r="L133" s="420"/>
      <c r="M133" s="434"/>
      <c r="N133" s="426"/>
    </row>
    <row r="134" ht="15" customHeight="1">
      <c r="A134" s="458"/>
      <c r="B134" t="str" s="448" cm="1">
        <f t="array" ref="B134">B133</f>
        <v>Dieciseisavofinalista</v>
      </c>
      <c r="C134" t="str" s="448" cm="1">
        <f t="array" ref="C134">'WORLDCUP'!AA105</f>
        <v>Curazao</v>
      </c>
      <c r="D134" s="14"/>
      <c r="E134" s="14"/>
      <c r="F134" s="14"/>
      <c r="G134" s="14"/>
      <c r="H134" s="14"/>
      <c r="I134" s="444"/>
      <c r="J134" s="445"/>
      <c r="K134" s="14"/>
      <c r="L134" s="420"/>
      <c r="M134" s="434"/>
      <c r="N134" s="426"/>
    </row>
    <row r="135" ht="15" customHeight="1">
      <c r="A135" s="458"/>
      <c r="B135" t="str" s="448" cm="1">
        <f t="array" ref="B135">B134</f>
        <v>Dieciseisavofinalista</v>
      </c>
      <c r="C135" t="str" s="448" cm="1">
        <f t="array" ref="C135">'WORLDCUP'!AA106</f>
        <v>Francia</v>
      </c>
      <c r="D135" s="14"/>
      <c r="E135" s="14"/>
      <c r="F135" s="14"/>
      <c r="G135" s="14"/>
      <c r="H135" s="14"/>
      <c r="I135" s="444"/>
      <c r="J135" s="445"/>
      <c r="K135" s="14"/>
      <c r="L135" s="420"/>
      <c r="M135" s="434"/>
      <c r="N135" s="426"/>
    </row>
    <row r="136" ht="15" customHeight="1">
      <c r="A136" s="458"/>
      <c r="B136" t="str" s="448" cm="1">
        <f t="array" ref="B136">B135</f>
        <v>Dieciseisavofinalista</v>
      </c>
      <c r="C136" t="str" s="448" cm="1">
        <f t="array" ref="C136">'WORLDCUP'!AA107</f>
        <v>México</v>
      </c>
      <c r="D136" s="14"/>
      <c r="E136" s="14"/>
      <c r="F136" s="14"/>
      <c r="G136" s="14"/>
      <c r="H136" s="14"/>
      <c r="I136" s="444"/>
      <c r="J136" s="445"/>
      <c r="K136" s="14"/>
      <c r="L136" s="420"/>
      <c r="M136" s="434"/>
      <c r="N136" s="426"/>
    </row>
    <row r="137" ht="15" customHeight="1">
      <c r="A137" s="458"/>
      <c r="B137" t="str" s="448" cm="1">
        <f t="array" ref="B137">B136</f>
        <v>Dieciseisavofinalista</v>
      </c>
      <c r="C137" t="str" s="448" cm="1">
        <f t="array" ref="C137">'WORLDCUP'!AA108</f>
        <v>Inglaterra</v>
      </c>
      <c r="D137" s="14"/>
      <c r="E137" s="14"/>
      <c r="F137" s="14"/>
      <c r="G137" s="14"/>
      <c r="H137" s="14"/>
      <c r="I137" s="444"/>
      <c r="J137" s="445"/>
      <c r="K137" s="14"/>
      <c r="L137" s="420"/>
      <c r="M137" s="434"/>
      <c r="N137" s="426"/>
    </row>
    <row r="138" ht="15" customHeight="1">
      <c r="A138" s="458"/>
      <c r="B138" t="str" s="448" cm="1">
        <f t="array" ref="B138">B137</f>
        <v>Dieciseisavofinalista</v>
      </c>
      <c r="C138" t="str" s="448" cm="1">
        <f t="array" ref="C138">'WORLDCUP'!AA109</f>
        <v>Bélgica</v>
      </c>
      <c r="D138" s="14"/>
      <c r="E138" s="14"/>
      <c r="F138" s="14"/>
      <c r="G138" s="14"/>
      <c r="H138" s="14"/>
      <c r="I138" s="444"/>
      <c r="J138" s="445"/>
      <c r="K138" s="14"/>
      <c r="L138" s="420"/>
      <c r="M138" s="434"/>
      <c r="N138" s="426"/>
    </row>
    <row r="139" ht="15" customHeight="1">
      <c r="A139" s="458"/>
      <c r="B139" t="str" s="448" cm="1">
        <f t="array" ref="B139">B138</f>
        <v>Dieciseisavofinalista</v>
      </c>
      <c r="C139" t="str" s="448" cm="1">
        <f t="array" ref="C139">'WORLDCUP'!AA110</f>
        <v>Estados Unidos</v>
      </c>
      <c r="D139" s="14"/>
      <c r="E139" s="14"/>
      <c r="F139" s="14"/>
      <c r="G139" s="14"/>
      <c r="H139" s="14"/>
      <c r="I139" s="444"/>
      <c r="J139" s="445"/>
      <c r="K139" s="14"/>
      <c r="L139" s="420"/>
      <c r="M139" s="434"/>
      <c r="N139" s="426"/>
    </row>
    <row r="140" ht="15" customHeight="1">
      <c r="A140" s="458"/>
      <c r="B140" t="str" s="448" cm="1">
        <f t="array" ref="B140">B139</f>
        <v>Dieciseisavofinalista</v>
      </c>
      <c r="C140" t="str" s="448" cm="1">
        <f t="array" ref="C140">'WORLDCUP'!AA111</f>
        <v>España</v>
      </c>
      <c r="D140" s="14"/>
      <c r="E140" s="14"/>
      <c r="F140" s="14"/>
      <c r="G140" s="14"/>
      <c r="H140" s="14"/>
      <c r="I140" s="444"/>
      <c r="J140" s="445"/>
      <c r="K140" s="14"/>
      <c r="L140" s="420"/>
      <c r="M140" s="434"/>
      <c r="N140" s="426"/>
    </row>
    <row r="141" ht="15" customHeight="1">
      <c r="A141" s="458"/>
      <c r="B141" t="str" s="448" cm="1">
        <f t="array" ref="B141">B140</f>
        <v>Dieciseisavofinalista</v>
      </c>
      <c r="C141" t="str" s="448" cm="1">
        <f t="array" ref="C141">'WORLDCUP'!AA112</f>
        <v>RD Congo</v>
      </c>
      <c r="D141" s="14"/>
      <c r="E141" s="14"/>
      <c r="F141" s="14"/>
      <c r="G141" s="14"/>
      <c r="H141" s="14"/>
      <c r="I141" s="444"/>
      <c r="J141" s="445"/>
      <c r="K141" s="14"/>
      <c r="L141" s="420"/>
      <c r="M141" s="434"/>
      <c r="N141" s="426"/>
    </row>
    <row r="142" ht="15" customHeight="1">
      <c r="A142" s="458"/>
      <c r="B142" t="str" s="448" cm="1">
        <f t="array" ref="B142">B141</f>
        <v>Dieciseisavofinalista</v>
      </c>
      <c r="C142" t="str" s="448" cm="1">
        <f t="array" ref="C142">'WORLDCUP'!AA113</f>
        <v>Canadá</v>
      </c>
      <c r="D142" s="14"/>
      <c r="E142" s="14"/>
      <c r="F142" s="14"/>
      <c r="G142" s="14"/>
      <c r="H142" s="14"/>
      <c r="I142" s="444"/>
      <c r="J142" s="445"/>
      <c r="K142" s="14"/>
      <c r="L142" s="420"/>
      <c r="M142" s="434"/>
      <c r="N142" s="426"/>
    </row>
    <row r="143" ht="15" customHeight="1">
      <c r="A143" s="458"/>
      <c r="B143" t="str" s="448" cm="1">
        <f t="array" ref="B143">B142</f>
        <v>Dieciseisavofinalista</v>
      </c>
      <c r="C143" t="str" s="448" cm="1">
        <f t="array" ref="C143">'WORLDCUP'!AA114</f>
        <v>Paraguay</v>
      </c>
      <c r="D143" s="14"/>
      <c r="E143" s="14"/>
      <c r="F143" s="14"/>
      <c r="G143" s="14"/>
      <c r="H143" s="14"/>
      <c r="I143" s="444"/>
      <c r="J143" s="445"/>
      <c r="K143" s="14"/>
      <c r="L143" s="420"/>
      <c r="M143" s="434"/>
      <c r="N143" s="426"/>
    </row>
    <row r="144" ht="15" customHeight="1">
      <c r="A144" s="458"/>
      <c r="B144" t="str" s="448" cm="1">
        <f t="array" ref="B144">B143</f>
        <v>Dieciseisavofinalista</v>
      </c>
      <c r="C144" t="str" s="448" cm="1">
        <f t="array" ref="C144">'WORLDCUP'!AA115</f>
        <v>Argentina</v>
      </c>
      <c r="D144" s="14"/>
      <c r="E144" s="14"/>
      <c r="F144" s="14"/>
      <c r="G144" s="14"/>
      <c r="H144" s="14"/>
      <c r="I144" s="444"/>
      <c r="J144" s="445"/>
      <c r="K144" s="14"/>
      <c r="L144" s="420"/>
      <c r="M144" s="434"/>
      <c r="N144" s="426"/>
    </row>
    <row r="145" ht="15" customHeight="1">
      <c r="A145" s="458"/>
      <c r="B145" t="str" s="448" cm="1">
        <f t="array" ref="B145">B144</f>
        <v>Dieciseisavofinalista</v>
      </c>
      <c r="C145" t="str" s="448" cm="1">
        <f t="array" ref="C145">'WORLDCUP'!AA116</f>
        <v>Portugal</v>
      </c>
      <c r="D145" s="14"/>
      <c r="E145" s="14"/>
      <c r="F145" s="14"/>
      <c r="G145" s="14"/>
      <c r="H145" s="14"/>
      <c r="I145" s="444"/>
      <c r="J145" s="445"/>
      <c r="K145" s="14"/>
      <c r="L145" s="420"/>
      <c r="M145" s="434"/>
      <c r="N145" s="426"/>
    </row>
    <row r="146" ht="15" customHeight="1">
      <c r="A146" s="458"/>
      <c r="B146" t="s" s="463">
        <v>915</v>
      </c>
      <c r="C146" t="str" s="448" cm="1">
        <f t="array" ref="C146">'WORLDCUP'!AF101</f>
        <v>2B</v>
      </c>
      <c r="D146" s="14"/>
      <c r="E146" s="14"/>
      <c r="F146" s="14"/>
      <c r="G146" s="14"/>
      <c r="H146" s="14"/>
      <c r="I146" s="444"/>
      <c r="J146" s="445"/>
      <c r="K146" s="14"/>
      <c r="L146" s="420"/>
      <c r="M146" s="434"/>
      <c r="N146" s="426"/>
    </row>
    <row r="147" ht="15" customHeight="1">
      <c r="A147" s="458"/>
      <c r="B147" t="str" s="448" cm="1">
        <f t="array" ref="B147">B146</f>
        <v>Dieciseisavofinalista</v>
      </c>
      <c r="C147" t="str" s="448" cm="1">
        <f t="array" ref="C147">'WORLDCUP'!AF102</f>
        <v>2F</v>
      </c>
      <c r="D147" s="14"/>
      <c r="E147" s="14"/>
      <c r="F147" s="14"/>
      <c r="G147" s="14"/>
      <c r="H147" s="14"/>
      <c r="I147" s="444"/>
      <c r="J147" s="445"/>
      <c r="K147" s="14"/>
      <c r="L147" s="420"/>
      <c r="M147" s="434"/>
      <c r="N147" s="426"/>
    </row>
    <row r="148" ht="15" customHeight="1">
      <c r="A148" s="458"/>
      <c r="B148" t="str" s="448" cm="1">
        <f t="array" ref="B148">B147</f>
        <v>Dieciseisavofinalista</v>
      </c>
      <c r="C148" t="str" s="448" cm="1">
        <f t="array" ref="C148">'WORLDCUP'!AF103</f>
        <v>3ABCDF</v>
      </c>
      <c r="D148" s="14"/>
      <c r="E148" s="14"/>
      <c r="F148" s="14"/>
      <c r="G148" s="14"/>
      <c r="H148" s="14"/>
      <c r="I148" s="444"/>
      <c r="J148" s="445"/>
      <c r="K148" s="14"/>
      <c r="L148" s="420"/>
      <c r="M148" s="434"/>
      <c r="N148" s="426"/>
    </row>
    <row r="149" ht="15" customHeight="1">
      <c r="A149" s="458"/>
      <c r="B149" t="str" s="448" cm="1">
        <f t="array" ref="B149">B148</f>
        <v>Dieciseisavofinalista</v>
      </c>
      <c r="C149" t="str" s="448" cm="1">
        <f t="array" ref="C149">'WORLDCUP'!AF104</f>
        <v>2C</v>
      </c>
      <c r="D149" s="14"/>
      <c r="E149" s="14"/>
      <c r="F149" s="14"/>
      <c r="G149" s="14"/>
      <c r="H149" s="14"/>
      <c r="I149" s="444"/>
      <c r="J149" s="445"/>
      <c r="K149" s="14"/>
      <c r="L149" s="420"/>
      <c r="M149" s="434"/>
      <c r="N149" s="426"/>
    </row>
    <row r="150" ht="15" customHeight="1">
      <c r="A150" s="458"/>
      <c r="B150" t="str" s="448" cm="1">
        <f t="array" ref="B150">B149</f>
        <v>Dieciseisavofinalista</v>
      </c>
      <c r="C150" t="str" s="448" cm="1">
        <f t="array" ref="C150">'WORLDCUP'!AF105</f>
        <v>2I</v>
      </c>
      <c r="D150" s="14"/>
      <c r="E150" s="14"/>
      <c r="F150" s="14"/>
      <c r="G150" s="14"/>
      <c r="H150" s="14"/>
      <c r="I150" s="444"/>
      <c r="J150" s="445"/>
      <c r="K150" s="14"/>
      <c r="L150" s="420"/>
      <c r="M150" s="434"/>
      <c r="N150" s="426"/>
    </row>
    <row r="151" ht="15" customHeight="1">
      <c r="A151" s="458"/>
      <c r="B151" t="str" s="448" cm="1">
        <f t="array" ref="B151">B150</f>
        <v>Dieciseisavofinalista</v>
      </c>
      <c r="C151" t="str" s="448" cm="1">
        <f t="array" ref="C151">'WORLDCUP'!AF106</f>
        <v>3CDFGH</v>
      </c>
      <c r="D151" s="14"/>
      <c r="E151" s="14"/>
      <c r="F151" s="14"/>
      <c r="G151" s="14"/>
      <c r="H151" s="14"/>
      <c r="I151" s="444"/>
      <c r="J151" s="445"/>
      <c r="K151" s="14"/>
      <c r="L151" s="420"/>
      <c r="M151" s="434"/>
      <c r="N151" s="426"/>
    </row>
    <row r="152" ht="15" customHeight="1">
      <c r="A152" s="458"/>
      <c r="B152" t="str" s="448" cm="1">
        <f t="array" ref="B152">B151</f>
        <v>Dieciseisavofinalista</v>
      </c>
      <c r="C152" t="str" s="448" cm="1">
        <f t="array" ref="C152">'WORLDCUP'!AF107</f>
        <v>3CEFHI</v>
      </c>
      <c r="D152" s="14"/>
      <c r="E152" s="14"/>
      <c r="F152" s="14"/>
      <c r="G152" s="14"/>
      <c r="H152" s="14"/>
      <c r="I152" s="444"/>
      <c r="J152" s="445"/>
      <c r="K152" s="14"/>
      <c r="L152" s="420"/>
      <c r="M152" s="434"/>
      <c r="N152" s="426"/>
    </row>
    <row r="153" ht="15" customHeight="1">
      <c r="A153" s="458"/>
      <c r="B153" t="str" s="448" cm="1">
        <f t="array" ref="B153">B152</f>
        <v>Dieciseisavofinalista</v>
      </c>
      <c r="C153" t="str" s="448" cm="1">
        <f t="array" ref="C153">'WORLDCUP'!AF108</f>
        <v>3EHIJK</v>
      </c>
      <c r="D153" s="14"/>
      <c r="E153" s="14"/>
      <c r="F153" s="14"/>
      <c r="G153" s="14"/>
      <c r="H153" s="14"/>
      <c r="I153" s="444"/>
      <c r="J153" s="445"/>
      <c r="K153" s="14"/>
      <c r="L153" s="420"/>
      <c r="M153" s="434"/>
      <c r="N153" s="426"/>
    </row>
    <row r="154" ht="15" customHeight="1">
      <c r="A154" s="458"/>
      <c r="B154" t="str" s="448" cm="1">
        <f t="array" ref="B154">B153</f>
        <v>Dieciseisavofinalista</v>
      </c>
      <c r="C154" t="str" s="448" cm="1">
        <f t="array" ref="C154">'WORLDCUP'!AF109</f>
        <v>3AEHIJ</v>
      </c>
      <c r="D154" s="14"/>
      <c r="E154" s="14"/>
      <c r="F154" s="14"/>
      <c r="G154" s="14"/>
      <c r="H154" s="14"/>
      <c r="I154" s="444"/>
      <c r="J154" s="445"/>
      <c r="K154" s="14"/>
      <c r="L154" s="420"/>
      <c r="M154" s="434"/>
      <c r="N154" s="426"/>
    </row>
    <row r="155" ht="15" customHeight="1">
      <c r="A155" s="458"/>
      <c r="B155" t="str" s="448" cm="1">
        <f t="array" ref="B155">B154</f>
        <v>Dieciseisavofinalista</v>
      </c>
      <c r="C155" t="str" s="448" cm="1">
        <f t="array" ref="C155">'WORLDCUP'!AF110</f>
        <v>3BEFIJ</v>
      </c>
      <c r="D155" s="14"/>
      <c r="E155" s="14"/>
      <c r="F155" s="14"/>
      <c r="G155" s="14"/>
      <c r="H155" s="14"/>
      <c r="I155" s="444"/>
      <c r="J155" s="445"/>
      <c r="K155" s="14"/>
      <c r="L155" s="420"/>
      <c r="M155" s="434"/>
      <c r="N155" s="426"/>
    </row>
    <row r="156" ht="15" customHeight="1">
      <c r="A156" s="458"/>
      <c r="B156" t="str" s="448" cm="1">
        <f t="array" ref="B156">B155</f>
        <v>Dieciseisavofinalista</v>
      </c>
      <c r="C156" t="str" s="448" cm="1">
        <f t="array" ref="C156">'WORLDCUP'!AF111</f>
        <v>2J</v>
      </c>
      <c r="D156" s="14"/>
      <c r="E156" s="14"/>
      <c r="F156" s="14"/>
      <c r="G156" s="14"/>
      <c r="H156" s="14"/>
      <c r="I156" s="444"/>
      <c r="J156" s="445"/>
      <c r="K156" s="14"/>
      <c r="L156" s="420"/>
      <c r="M156" s="434"/>
      <c r="N156" s="426"/>
    </row>
    <row r="157" ht="15" customHeight="1">
      <c r="A157" s="458"/>
      <c r="B157" t="str" s="448" cm="1">
        <f t="array" ref="B157">B156</f>
        <v>Dieciseisavofinalista</v>
      </c>
      <c r="C157" t="str" s="448" cm="1">
        <f t="array" ref="C157">'WORLDCUP'!AF112</f>
        <v>2L</v>
      </c>
      <c r="D157" s="14"/>
      <c r="E157" s="14"/>
      <c r="F157" s="14"/>
      <c r="G157" s="14"/>
      <c r="H157" s="14"/>
      <c r="I157" s="444"/>
      <c r="J157" s="445"/>
      <c r="K157" s="14"/>
      <c r="L157" s="420"/>
      <c r="M157" s="434"/>
      <c r="N157" s="426"/>
    </row>
    <row r="158" ht="15" customHeight="1">
      <c r="A158" s="458"/>
      <c r="B158" t="str" s="448" cm="1">
        <f t="array" ref="B158">B157</f>
        <v>Dieciseisavofinalista</v>
      </c>
      <c r="C158" t="str" s="448" cm="1">
        <f t="array" ref="C158">'WORLDCUP'!AF113</f>
        <v>3EFGIJ</v>
      </c>
      <c r="D158" s="14"/>
      <c r="E158" s="14"/>
      <c r="F158" s="14"/>
      <c r="G158" s="14"/>
      <c r="H158" s="14"/>
      <c r="I158" s="444"/>
      <c r="J158" s="445"/>
      <c r="K158" s="14"/>
      <c r="L158" s="420"/>
      <c r="M158" s="434"/>
      <c r="N158" s="426"/>
    </row>
    <row r="159" ht="15" customHeight="1">
      <c r="A159" s="458"/>
      <c r="B159" t="str" s="448" cm="1">
        <f t="array" ref="B159">B158</f>
        <v>Dieciseisavofinalista</v>
      </c>
      <c r="C159" t="str" s="448" cm="1">
        <f t="array" ref="C159">'WORLDCUP'!AF114</f>
        <v>2G</v>
      </c>
      <c r="D159" s="14"/>
      <c r="E159" s="14"/>
      <c r="F159" s="14"/>
      <c r="G159" s="14"/>
      <c r="H159" s="14"/>
      <c r="I159" s="444"/>
      <c r="J159" s="445"/>
      <c r="K159" s="14"/>
      <c r="L159" s="420"/>
      <c r="M159" s="434"/>
      <c r="N159" s="426"/>
    </row>
    <row r="160" ht="15" customHeight="1">
      <c r="A160" s="458"/>
      <c r="B160" t="str" s="448" cm="1">
        <f t="array" ref="B160">B159</f>
        <v>Dieciseisavofinalista</v>
      </c>
      <c r="C160" t="str" s="448" cm="1">
        <f t="array" ref="C160">'WORLDCUP'!AF115</f>
        <v>2H</v>
      </c>
      <c r="D160" s="14"/>
      <c r="E160" s="14"/>
      <c r="F160" s="14"/>
      <c r="G160" s="14"/>
      <c r="H160" s="14"/>
      <c r="I160" s="444"/>
      <c r="J160" s="445"/>
      <c r="K160" s="14"/>
      <c r="L160" s="420"/>
      <c r="M160" s="434"/>
      <c r="N160" s="426"/>
    </row>
    <row r="161" ht="15" customHeight="1">
      <c r="A161" s="458"/>
      <c r="B161" t="str" s="448" cm="1">
        <f t="array" ref="B161">B160</f>
        <v>Dieciseisavofinalista</v>
      </c>
      <c r="C161" t="str" s="448" cm="1">
        <f t="array" ref="C161">'WORLDCUP'!AF116</f>
        <v>3DEIJL</v>
      </c>
      <c r="D161" s="419"/>
      <c r="E161" s="419"/>
      <c r="F161" s="419"/>
      <c r="G161" s="419"/>
      <c r="H161" s="419"/>
      <c r="I161" s="449"/>
      <c r="J161" s="418"/>
      <c r="K161" s="419"/>
      <c r="L161" s="464"/>
      <c r="M161" s="465"/>
      <c r="N161" s="426"/>
    </row>
    <row r="162" ht="20" customHeight="1">
      <c r="A162" s="427"/>
      <c r="B162" s="453"/>
      <c r="C162" s="453"/>
      <c r="D162" s="440"/>
      <c r="E162" t="s" s="466">
        <v>917</v>
      </c>
      <c r="F162" s="467"/>
      <c r="G162" s="424"/>
      <c r="H162" s="424"/>
      <c r="I162" s="424"/>
      <c r="J162" s="424"/>
      <c r="K162" s="424"/>
      <c r="L162" s="468"/>
      <c r="M162" s="469"/>
      <c r="N162" s="426"/>
    </row>
    <row r="163" ht="23" customHeight="1">
      <c r="A163" s="427"/>
      <c r="B163" t="s" s="461">
        <v>918</v>
      </c>
      <c r="C163" s="455"/>
      <c r="D163" s="14"/>
      <c r="E163" t="s" s="470">
        <v>919</v>
      </c>
      <c r="F163" s="467"/>
      <c r="G163" s="424"/>
      <c r="H163" s="424"/>
      <c r="I163" s="424"/>
      <c r="J163" s="424"/>
      <c r="K163" s="424"/>
      <c r="L163" s="468"/>
      <c r="M163" s="471"/>
      <c r="N163" s="426"/>
    </row>
    <row r="164" ht="15" customHeight="1">
      <c r="A164" t="s" s="462">
        <v>540</v>
      </c>
      <c r="B164" t="str" s="448" cm="1">
        <f t="array" ref="B164">CONCATENATE('WORLDCUP'!AA101,"-",'WORLDCUP'!AF101)</f>
        <v>Sudáfrica-2B</v>
      </c>
      <c r="C164" t="str" s="448" cm="1">
        <f t="array" ref="C164">CONCATENATE('WORLDCUP'!AA101,"-",'WORLDCUP'!AF101,"·",IF('WORLDCUP'!AC101&gt;'WORLDCUP'!AD101,1,IF('WORLDCUP'!AC101&lt;'WORLDCUP'!AD101,2,IF(AND('WORLDCUP'!AC101='WORLDCUP'!AD101,'WORLDCUP'!AC101&lt;&gt;"",'WORLDCUP'!AD101&lt;&gt;""),"X",0))),"|",'WORLDCUP'!AC101,"-",'WORLDCUP'!AD101)</f>
        <v>Sudáfrica-2B·0|-</v>
      </c>
      <c r="D164" t="s" s="472">
        <v>540</v>
      </c>
      <c r="E164" t="s" s="473">
        <v>922</v>
      </c>
      <c r="F164" s="440"/>
      <c r="G164" s="440"/>
      <c r="H164" s="440"/>
      <c r="I164" s="474"/>
      <c r="J164" s="440"/>
      <c r="K164" s="440"/>
      <c r="L164" s="440"/>
      <c r="M164" s="475"/>
      <c r="N164" s="426"/>
    </row>
    <row r="165" ht="15" customHeight="1">
      <c r="A165" s="458"/>
      <c r="B165" t="str" s="448" cm="1">
        <f t="array" ref="B165">CONCATENATE('WORLDCUP'!AA102,"-",'WORLDCUP'!AF102)</f>
        <v>Brasil-2F</v>
      </c>
      <c r="C165" t="str" s="448" cm="1">
        <f t="array" ref="C165">CONCATENATE('WORLDCUP'!AA102,"-",'WORLDCUP'!AF102,"·",IF('WORLDCUP'!AC102&gt;'WORLDCUP'!AD102,1,IF('WORLDCUP'!AC102&lt;'WORLDCUP'!AD102,2,IF(AND('WORLDCUP'!AC102='WORLDCUP'!AD102,'WORLDCUP'!AC102&lt;&gt;"",'WORLDCUP'!AD102&lt;&gt;""),"X",0))),"|",'WORLDCUP'!AC102,"-",'WORLDCUP'!AD102)</f>
        <v>Brasil-2F·0|-</v>
      </c>
      <c r="D165" s="14"/>
      <c r="E165" s="14"/>
      <c r="F165" s="14"/>
      <c r="G165" s="14"/>
      <c r="H165" s="14"/>
      <c r="I165" s="476"/>
      <c r="J165" s="14"/>
      <c r="K165" s="14"/>
      <c r="L165" s="14"/>
      <c r="M165" s="475"/>
      <c r="N165" s="426"/>
    </row>
    <row r="166" ht="15" customHeight="1">
      <c r="A166" s="458"/>
      <c r="B166" t="str" s="448" cm="1">
        <f t="array" ref="B166">CONCATENATE('WORLDCUP'!AA103,"-",'WORLDCUP'!AF103)</f>
        <v>Alemania-3ABCDF</v>
      </c>
      <c r="C166" t="str" s="448" cm="1">
        <f t="array" ref="C166">CONCATENATE('WORLDCUP'!AA103,"-",'WORLDCUP'!AF103,"·",IF('WORLDCUP'!AC103&gt;'WORLDCUP'!AD103,1,IF('WORLDCUP'!AC103&lt;'WORLDCUP'!AD103,2,IF(AND('WORLDCUP'!AC103='WORLDCUP'!AD103,'WORLDCUP'!AC103&lt;&gt;"",'WORLDCUP'!AD103&lt;&gt;""),"X",0))),"|",'WORLDCUP'!AC103,"-",'WORLDCUP'!AD103)</f>
        <v>Alemania-3ABCDF·0|-</v>
      </c>
      <c r="D166" s="14"/>
      <c r="E166" s="14"/>
      <c r="F166" s="14"/>
      <c r="G166" s="14"/>
      <c r="H166" s="14"/>
      <c r="I166" s="476"/>
      <c r="J166" s="14"/>
      <c r="K166" s="14"/>
      <c r="L166" s="14"/>
      <c r="M166" s="475"/>
      <c r="N166" s="426"/>
    </row>
    <row r="167" ht="15" customHeight="1">
      <c r="A167" s="458"/>
      <c r="B167" t="str" s="448" cm="1">
        <f t="array" ref="B167">CONCATENATE('WORLDCUP'!AA104,"-",'WORLDCUP'!AF104)</f>
        <v>Países Bajos-2C</v>
      </c>
      <c r="C167" t="str" s="448" cm="1">
        <f t="array" ref="C167">CONCATENATE('WORLDCUP'!AA104,"-",'WORLDCUP'!AF104,"·",IF('WORLDCUP'!AC104&gt;'WORLDCUP'!AD104,1,IF('WORLDCUP'!AC104&lt;'WORLDCUP'!AD104,2,IF(AND('WORLDCUP'!AC104='WORLDCUP'!AD104,'WORLDCUP'!AC104&lt;&gt;"",'WORLDCUP'!AD104&lt;&gt;""),"X",0))),"|",'WORLDCUP'!AC104,"-",'WORLDCUP'!AD104)</f>
        <v>Países Bajos-2C·0|-</v>
      </c>
      <c r="D167" s="14"/>
      <c r="E167" s="14"/>
      <c r="F167" s="14"/>
      <c r="G167" s="14"/>
      <c r="H167" s="14"/>
      <c r="I167" s="476"/>
      <c r="J167" s="14"/>
      <c r="K167" s="14"/>
      <c r="L167" s="14"/>
      <c r="M167" s="475"/>
      <c r="N167" s="426"/>
    </row>
    <row r="168" ht="15" customHeight="1">
      <c r="A168" s="458"/>
      <c r="B168" t="str" s="448" cm="1">
        <f t="array" ref="B168">CONCATENATE('WORLDCUP'!AA105,"-",'WORLDCUP'!AF105)</f>
        <v>Curazao-2I</v>
      </c>
      <c r="C168" t="str" s="448" cm="1">
        <f t="array" ref="C168">CONCATENATE('WORLDCUP'!AA105,"-",'WORLDCUP'!AF105,"·",IF('WORLDCUP'!AC105&gt;'WORLDCUP'!AD105,1,IF('WORLDCUP'!AC105&lt;'WORLDCUP'!AD105,2,IF(AND('WORLDCUP'!AC105='WORLDCUP'!AD105,'WORLDCUP'!AC105&lt;&gt;"",'WORLDCUP'!AD105&lt;&gt;""),"X",0))),"|",'WORLDCUP'!AC105,"-",'WORLDCUP'!AD105)</f>
        <v>Curazao-2I·0|-</v>
      </c>
      <c r="D168" s="14"/>
      <c r="E168" s="14"/>
      <c r="F168" s="14"/>
      <c r="G168" s="14"/>
      <c r="H168" s="14"/>
      <c r="I168" s="476"/>
      <c r="J168" s="14"/>
      <c r="K168" s="14"/>
      <c r="L168" s="14"/>
      <c r="M168" s="475"/>
      <c r="N168" s="426"/>
    </row>
    <row r="169" ht="15" customHeight="1">
      <c r="A169" s="458"/>
      <c r="B169" t="str" s="448" cm="1">
        <f t="array" ref="B169">CONCATENATE('WORLDCUP'!AA106,"-",'WORLDCUP'!AF106)</f>
        <v>Francia-3CDFGH</v>
      </c>
      <c r="C169" t="str" s="448" cm="1">
        <f t="array" ref="C169">CONCATENATE('WORLDCUP'!AA106,"-",'WORLDCUP'!AF106,"·",IF('WORLDCUP'!AC106&gt;'WORLDCUP'!AD106,1,IF('WORLDCUP'!AC106&lt;'WORLDCUP'!AD106,2,IF(AND('WORLDCUP'!AC106='WORLDCUP'!AD106,'WORLDCUP'!AC106&lt;&gt;"",'WORLDCUP'!AD106&lt;&gt;""),"X",0))),"|",'WORLDCUP'!AC106,"-",'WORLDCUP'!AD106)</f>
        <v>Francia-3CDFGH·0|-</v>
      </c>
      <c r="D169" s="14"/>
      <c r="E169" s="14"/>
      <c r="F169" s="14"/>
      <c r="G169" s="14"/>
      <c r="H169" s="14"/>
      <c r="I169" s="476"/>
      <c r="J169" s="14"/>
      <c r="K169" s="14"/>
      <c r="L169" s="14"/>
      <c r="M169" s="475"/>
      <c r="N169" s="426"/>
    </row>
    <row r="170" ht="15" customHeight="1">
      <c r="A170" s="458"/>
      <c r="B170" t="str" s="448" cm="1">
        <f t="array" ref="B170">CONCATENATE('WORLDCUP'!AA107,"-",'WORLDCUP'!AF107)</f>
        <v>México-3CEFHI</v>
      </c>
      <c r="C170" t="str" s="448" cm="1">
        <f t="array" ref="C170">CONCATENATE('WORLDCUP'!AA107,"-",'WORLDCUP'!AF107,"·",IF('WORLDCUP'!AC107&gt;'WORLDCUP'!AD107,1,IF('WORLDCUP'!AC107&lt;'WORLDCUP'!AD107,2,IF(AND('WORLDCUP'!AC107='WORLDCUP'!AD107,'WORLDCUP'!AC107&lt;&gt;"",'WORLDCUP'!AD107&lt;&gt;""),"X",0))),"|",'WORLDCUP'!AC107,"-",'WORLDCUP'!AD107)</f>
        <v>México-3CEFHI·0|-</v>
      </c>
      <c r="D170" s="14"/>
      <c r="E170" s="14"/>
      <c r="F170" s="14"/>
      <c r="G170" s="14"/>
      <c r="H170" s="14"/>
      <c r="I170" s="476"/>
      <c r="J170" s="14"/>
      <c r="K170" s="14"/>
      <c r="L170" s="14"/>
      <c r="M170" s="475"/>
      <c r="N170" s="426"/>
    </row>
    <row r="171" ht="15" customHeight="1">
      <c r="A171" s="458"/>
      <c r="B171" t="str" s="448" cm="1">
        <f t="array" ref="B171">CONCATENATE('WORLDCUP'!AA108,"-",'WORLDCUP'!AF108)</f>
        <v>Inglaterra-3EHIJK</v>
      </c>
      <c r="C171" t="str" s="448" cm="1">
        <f t="array" ref="C171">CONCATENATE('WORLDCUP'!AA108,"-",'WORLDCUP'!AF108,"·",IF('WORLDCUP'!AC108&gt;'WORLDCUP'!AD108,1,IF('WORLDCUP'!AC108&lt;'WORLDCUP'!AD108,2,IF(AND('WORLDCUP'!AC108='WORLDCUP'!AD108,'WORLDCUP'!AC108&lt;&gt;"",'WORLDCUP'!AD108&lt;&gt;""),"X",0))),"|",'WORLDCUP'!AC108,"-",'WORLDCUP'!AD108)</f>
        <v>Inglaterra-3EHIJK·0|-</v>
      </c>
      <c r="D171" s="14"/>
      <c r="E171" s="14"/>
      <c r="F171" s="14"/>
      <c r="G171" s="14"/>
      <c r="H171" s="14"/>
      <c r="I171" s="476"/>
      <c r="J171" s="14"/>
      <c r="K171" s="14"/>
      <c r="L171" s="14"/>
      <c r="M171" s="475"/>
      <c r="N171" s="426"/>
    </row>
    <row r="172" ht="15" customHeight="1">
      <c r="A172" s="458"/>
      <c r="B172" t="str" s="448" cm="1">
        <f t="array" ref="B172">CONCATENATE('WORLDCUP'!AA109,"-",'WORLDCUP'!AF109)</f>
        <v>Bélgica-3AEHIJ</v>
      </c>
      <c r="C172" t="str" s="448" cm="1">
        <f t="array" ref="C172">CONCATENATE('WORLDCUP'!AA109,"-",'WORLDCUP'!AF109,"·",IF('WORLDCUP'!AC109&gt;'WORLDCUP'!AD109,1,IF('WORLDCUP'!AC109&lt;'WORLDCUP'!AD109,2,IF(AND('WORLDCUP'!AC109='WORLDCUP'!AD109,'WORLDCUP'!AC109&lt;&gt;"",'WORLDCUP'!AD109&lt;&gt;""),"X",0))),"|",'WORLDCUP'!AC109,"-",'WORLDCUP'!AD109)</f>
        <v>Bélgica-3AEHIJ·0|-</v>
      </c>
      <c r="D172" s="14"/>
      <c r="E172" s="14"/>
      <c r="F172" s="14"/>
      <c r="G172" s="14"/>
      <c r="H172" s="14"/>
      <c r="I172" s="476"/>
      <c r="J172" s="14"/>
      <c r="K172" s="14"/>
      <c r="L172" s="14"/>
      <c r="M172" s="475"/>
      <c r="N172" s="426"/>
    </row>
    <row r="173" ht="15" customHeight="1">
      <c r="A173" s="458"/>
      <c r="B173" t="str" s="448" cm="1">
        <f t="array" ref="B173">CONCATENATE('WORLDCUP'!AA110,"-",'WORLDCUP'!AF110)</f>
        <v>Estados Unidos-3BEFIJ</v>
      </c>
      <c r="C173" t="str" s="448" cm="1">
        <f t="array" ref="C173">CONCATENATE('WORLDCUP'!AA110,"-",'WORLDCUP'!AF110,"·",IF('WORLDCUP'!AC110&gt;'WORLDCUP'!AD110,1,IF('WORLDCUP'!AC110&lt;'WORLDCUP'!AD110,2,IF(AND('WORLDCUP'!AC110='WORLDCUP'!AD110,'WORLDCUP'!AC110&lt;&gt;"",'WORLDCUP'!AD110&lt;&gt;""),"X",0))),"|",'WORLDCUP'!AC110,"-",'WORLDCUP'!AD110)</f>
        <v>Estados Unidos-3BEFIJ·0|-</v>
      </c>
      <c r="D173" s="14"/>
      <c r="E173" s="14"/>
      <c r="F173" s="14"/>
      <c r="G173" s="14"/>
      <c r="H173" s="14"/>
      <c r="I173" s="476"/>
      <c r="J173" s="14"/>
      <c r="K173" s="14"/>
      <c r="L173" s="14"/>
      <c r="M173" s="475"/>
      <c r="N173" s="426"/>
    </row>
    <row r="174" ht="15" customHeight="1">
      <c r="A174" s="458"/>
      <c r="B174" t="str" s="448" cm="1">
        <f t="array" ref="B174">CONCATENATE('WORLDCUP'!AA111,"-",'WORLDCUP'!AF111)</f>
        <v>España-2J</v>
      </c>
      <c r="C174" t="str" s="448" cm="1">
        <f t="array" ref="C174">CONCATENATE('WORLDCUP'!AA111,"-",'WORLDCUP'!AF111,"·",IF('WORLDCUP'!AC111&gt;'WORLDCUP'!AD111,1,IF('WORLDCUP'!AC111&lt;'WORLDCUP'!AD111,2,IF(AND('WORLDCUP'!AC111='WORLDCUP'!AD111,'WORLDCUP'!AC111&lt;&gt;"",'WORLDCUP'!AD111&lt;&gt;""),"X",0))),"|",'WORLDCUP'!AC111,"-",'WORLDCUP'!AD111)</f>
        <v>España-2J·0|-</v>
      </c>
      <c r="D174" s="14"/>
      <c r="E174" s="14"/>
      <c r="F174" s="14"/>
      <c r="G174" s="14"/>
      <c r="H174" s="14"/>
      <c r="I174" s="476"/>
      <c r="J174" s="14"/>
      <c r="K174" s="14"/>
      <c r="L174" s="14"/>
      <c r="M174" s="475"/>
      <c r="N174" s="426"/>
    </row>
    <row r="175" ht="15" customHeight="1">
      <c r="A175" s="458"/>
      <c r="B175" t="str" s="448" cm="1">
        <f t="array" ref="B175">CONCATENATE('WORLDCUP'!AA112,"-",'WORLDCUP'!AF112)</f>
        <v>RD Congo-2L</v>
      </c>
      <c r="C175" t="str" s="448" cm="1">
        <f t="array" ref="C175">CONCATENATE('WORLDCUP'!AA112,"-",'WORLDCUP'!AF112,"·",IF('WORLDCUP'!AC112&gt;'WORLDCUP'!AD112,1,IF('WORLDCUP'!AC112&lt;'WORLDCUP'!AD112,2,IF(AND('WORLDCUP'!AC112='WORLDCUP'!AD112,'WORLDCUP'!AC112&lt;&gt;"",'WORLDCUP'!AD112&lt;&gt;""),"X",0))),"|",'WORLDCUP'!AC112,"-",'WORLDCUP'!AD112)</f>
        <v>RD Congo-2L·0|-</v>
      </c>
      <c r="D175" s="14"/>
      <c r="E175" s="14"/>
      <c r="F175" s="14"/>
      <c r="G175" s="14"/>
      <c r="H175" s="14"/>
      <c r="I175" s="476"/>
      <c r="J175" s="14"/>
      <c r="K175" s="14"/>
      <c r="L175" s="14"/>
      <c r="M175" s="475"/>
      <c r="N175" s="426"/>
    </row>
    <row r="176" ht="15" customHeight="1">
      <c r="A176" s="458"/>
      <c r="B176" t="str" s="448" cm="1">
        <f t="array" ref="B176">CONCATENATE('WORLDCUP'!AA113,"-",'WORLDCUP'!AF113)</f>
        <v>Canadá-3EFGIJ</v>
      </c>
      <c r="C176" t="str" s="448" cm="1">
        <f t="array" ref="C176">CONCATENATE('WORLDCUP'!AA113,"-",'WORLDCUP'!AF113,"·",IF('WORLDCUP'!AC113&gt;'WORLDCUP'!AD113,1,IF('WORLDCUP'!AC113&lt;'WORLDCUP'!AD113,2,IF(AND('WORLDCUP'!AC113='WORLDCUP'!AD113,'WORLDCUP'!AC113&lt;&gt;"",'WORLDCUP'!AD113&lt;&gt;""),"X",0))),"|",'WORLDCUP'!AC113,"-",'WORLDCUP'!AD113)</f>
        <v>Canadá-3EFGIJ·0|-</v>
      </c>
      <c r="D176" s="14"/>
      <c r="E176" s="14"/>
      <c r="F176" s="14"/>
      <c r="G176" s="14"/>
      <c r="H176" s="14"/>
      <c r="I176" s="476"/>
      <c r="J176" s="14"/>
      <c r="K176" s="14"/>
      <c r="L176" s="14"/>
      <c r="M176" s="475"/>
      <c r="N176" s="426"/>
    </row>
    <row r="177" ht="15" customHeight="1">
      <c r="A177" s="458"/>
      <c r="B177" t="str" s="448" cm="1">
        <f t="array" ref="B177">CONCATENATE('WORLDCUP'!AA114,"-",'WORLDCUP'!AF114)</f>
        <v>Paraguay-2G</v>
      </c>
      <c r="C177" t="str" s="448" cm="1">
        <f t="array" ref="C177">CONCATENATE('WORLDCUP'!AA114,"-",'WORLDCUP'!AF114,"·",IF('WORLDCUP'!AC114&gt;'WORLDCUP'!AD114,1,IF('WORLDCUP'!AC114&lt;'WORLDCUP'!AD114,2,IF(AND('WORLDCUP'!AC114='WORLDCUP'!AD114,'WORLDCUP'!AC114&lt;&gt;"",'WORLDCUP'!AD114&lt;&gt;""),"X",0))),"|",'WORLDCUP'!AC114,"-",'WORLDCUP'!AD114)</f>
        <v>Paraguay-2G·0|-</v>
      </c>
      <c r="D177" s="14"/>
      <c r="E177" s="14"/>
      <c r="F177" s="14"/>
      <c r="G177" s="14"/>
      <c r="H177" s="14"/>
      <c r="I177" s="476"/>
      <c r="J177" s="14"/>
      <c r="K177" s="14"/>
      <c r="L177" s="14"/>
      <c r="M177" s="475"/>
      <c r="N177" s="426"/>
    </row>
    <row r="178" ht="15" customHeight="1">
      <c r="A178" s="458"/>
      <c r="B178" t="str" s="448" cm="1">
        <f t="array" ref="B178">CONCATENATE('WORLDCUP'!AA115,"-",'WORLDCUP'!AF115)</f>
        <v>Argentina-2H</v>
      </c>
      <c r="C178" t="str" s="448" cm="1">
        <f t="array" ref="C178">CONCATENATE('WORLDCUP'!AA115,"-",'WORLDCUP'!AF115,"·",IF('WORLDCUP'!AC115&gt;'WORLDCUP'!AD115,1,IF('WORLDCUP'!AC115&lt;'WORLDCUP'!AD115,2,IF(AND('WORLDCUP'!AC115='WORLDCUP'!AD115,'WORLDCUP'!AC115&lt;&gt;"",'WORLDCUP'!AD115&lt;&gt;""),"X",0))),"|",'WORLDCUP'!AC115,"-",'WORLDCUP'!AD115)</f>
        <v>Argentina-2H·0|-</v>
      </c>
      <c r="D178" s="14"/>
      <c r="E178" s="14"/>
      <c r="F178" s="14"/>
      <c r="G178" s="14"/>
      <c r="H178" s="14"/>
      <c r="I178" s="476"/>
      <c r="J178" s="14"/>
      <c r="K178" s="14"/>
      <c r="L178" s="14"/>
      <c r="M178" s="475"/>
      <c r="N178" s="426"/>
    </row>
    <row r="179" ht="15" customHeight="1">
      <c r="A179" s="458"/>
      <c r="B179" t="str" s="448" cm="1">
        <f t="array" ref="B179">CONCATENATE('WORLDCUP'!AA116,"-",'WORLDCUP'!AF116)</f>
        <v>Portugal-3DEIJL</v>
      </c>
      <c r="C179" t="str" s="448" cm="1">
        <f t="array" ref="C179">CONCATENATE('WORLDCUP'!AA116,"-",'WORLDCUP'!AF116,"·",IF('WORLDCUP'!AC116&gt;'WORLDCUP'!AD116,1,IF('WORLDCUP'!AC116&lt;'WORLDCUP'!AD116,2,IF(AND('WORLDCUP'!AC116='WORLDCUP'!AD116,'WORLDCUP'!AC116&lt;&gt;"",'WORLDCUP'!AD116&lt;&gt;""),"X",0))),"|",'WORLDCUP'!AC116,"-",'WORLDCUP'!AD116)</f>
        <v>Portugal-3DEIJL·0|-</v>
      </c>
      <c r="D179" s="14"/>
      <c r="E179" s="14"/>
      <c r="F179" s="14"/>
      <c r="G179" s="14"/>
      <c r="H179" s="14"/>
      <c r="I179" s="476"/>
      <c r="J179" s="14"/>
      <c r="K179" s="14"/>
      <c r="L179" s="14"/>
      <c r="M179" s="475"/>
      <c r="N179" s="426"/>
    </row>
    <row r="180" ht="15" customHeight="1">
      <c r="A180" s="427"/>
      <c r="B180" s="453"/>
      <c r="C180" s="453"/>
      <c r="D180" s="14"/>
      <c r="E180" s="14"/>
      <c r="F180" s="14"/>
      <c r="G180" s="14"/>
      <c r="H180" s="14"/>
      <c r="I180" s="476"/>
      <c r="J180" s="14"/>
      <c r="K180" s="14"/>
      <c r="L180" s="14"/>
      <c r="M180" s="475"/>
      <c r="N180" s="426"/>
    </row>
    <row r="181" ht="19" customHeight="1">
      <c r="A181" s="427"/>
      <c r="B181" t="s" s="461">
        <v>953</v>
      </c>
      <c r="C181" s="455"/>
      <c r="D181" s="14"/>
      <c r="E181" s="14"/>
      <c r="F181" s="14"/>
      <c r="G181" s="14"/>
      <c r="H181" s="14"/>
      <c r="I181" s="476"/>
      <c r="J181" s="14"/>
      <c r="K181" s="14"/>
      <c r="L181" s="14"/>
      <c r="M181" s="475"/>
      <c r="N181" s="426"/>
    </row>
    <row r="182" ht="15" customHeight="1">
      <c r="A182" t="s" s="462">
        <v>621</v>
      </c>
      <c r="B182" t="s" s="463">
        <v>954</v>
      </c>
      <c r="C182" t="str" s="448" cm="1">
        <f t="array" ref="C182">'WORLDCUP'!AA120</f>
        <v>W73</v>
      </c>
      <c r="D182" s="14"/>
      <c r="E182" s="14"/>
      <c r="F182" s="14"/>
      <c r="G182" s="14"/>
      <c r="H182" s="14"/>
      <c r="I182" s="476"/>
      <c r="J182" s="14"/>
      <c r="K182" s="14"/>
      <c r="L182" s="14"/>
      <c r="M182" s="475"/>
      <c r="N182" s="426"/>
    </row>
    <row r="183" ht="15" customHeight="1">
      <c r="A183" s="458"/>
      <c r="B183" t="str" s="448" cm="1">
        <f t="array" ref="B183">B182</f>
        <v>Octavofinalista</v>
      </c>
      <c r="C183" t="str" s="448" cm="1">
        <f t="array" ref="C183">'WORLDCUP'!AA121</f>
        <v>W74</v>
      </c>
      <c r="D183" s="14"/>
      <c r="E183" s="14"/>
      <c r="F183" s="14"/>
      <c r="G183" s="14"/>
      <c r="H183" s="14"/>
      <c r="I183" s="476"/>
      <c r="J183" s="14"/>
      <c r="K183" s="14"/>
      <c r="L183" s="14"/>
      <c r="M183" s="475"/>
      <c r="N183" s="426"/>
    </row>
    <row r="184" ht="15" customHeight="1">
      <c r="A184" s="458"/>
      <c r="B184" t="str" s="448" cm="1">
        <f t="array" ref="B184">B183</f>
        <v>Octavofinalista</v>
      </c>
      <c r="C184" t="str" s="448" cm="1">
        <f t="array" ref="C184">'WORLDCUP'!AA122</f>
        <v>W76</v>
      </c>
      <c r="D184" s="14"/>
      <c r="E184" s="14"/>
      <c r="F184" s="14"/>
      <c r="G184" s="14"/>
      <c r="H184" s="14"/>
      <c r="I184" s="476"/>
      <c r="J184" s="14"/>
      <c r="K184" s="14"/>
      <c r="L184" s="14"/>
      <c r="M184" s="475"/>
      <c r="N184" s="426"/>
    </row>
    <row r="185" ht="15" customHeight="1">
      <c r="A185" s="458"/>
      <c r="B185" t="str" s="448" cm="1">
        <f t="array" ref="B185">B184</f>
        <v>Octavofinalista</v>
      </c>
      <c r="C185" t="str" s="448" cm="1">
        <f t="array" ref="C185">'WORLDCUP'!AA123</f>
        <v>W79</v>
      </c>
      <c r="D185" s="14"/>
      <c r="E185" s="14"/>
      <c r="F185" s="14"/>
      <c r="G185" s="14"/>
      <c r="H185" s="14"/>
      <c r="I185" s="476"/>
      <c r="J185" s="14"/>
      <c r="K185" s="14"/>
      <c r="L185" s="14"/>
      <c r="M185" s="475"/>
      <c r="N185" s="426"/>
    </row>
    <row r="186" ht="15" customHeight="1">
      <c r="A186" s="458"/>
      <c r="B186" t="str" s="448" cm="1">
        <f t="array" ref="B186">B185</f>
        <v>Octavofinalista</v>
      </c>
      <c r="C186" t="str" s="448" cm="1">
        <f t="array" ref="C186">'WORLDCUP'!AA124</f>
        <v>W83</v>
      </c>
      <c r="D186" s="14"/>
      <c r="E186" s="14"/>
      <c r="F186" s="14"/>
      <c r="G186" s="14"/>
      <c r="H186" s="14"/>
      <c r="I186" s="476"/>
      <c r="J186" s="14"/>
      <c r="K186" s="14"/>
      <c r="L186" s="14"/>
      <c r="M186" s="475"/>
      <c r="N186" s="426"/>
    </row>
    <row r="187" ht="15" customHeight="1">
      <c r="A187" s="458"/>
      <c r="B187" t="str" s="448" cm="1">
        <f t="array" ref="B187">B186</f>
        <v>Octavofinalista</v>
      </c>
      <c r="C187" t="str" s="448" cm="1">
        <f t="array" ref="C187">'WORLDCUP'!AA125</f>
        <v>W81</v>
      </c>
      <c r="D187" s="14"/>
      <c r="E187" s="14"/>
      <c r="F187" s="14"/>
      <c r="G187" s="14"/>
      <c r="H187" s="14"/>
      <c r="I187" s="476"/>
      <c r="J187" s="14"/>
      <c r="K187" s="14"/>
      <c r="L187" s="14"/>
      <c r="M187" s="475"/>
      <c r="N187" s="426"/>
    </row>
    <row r="188" ht="15" customHeight="1">
      <c r="A188" s="458"/>
      <c r="B188" t="str" s="448" cm="1">
        <f t="array" ref="B188">B187</f>
        <v>Octavofinalista</v>
      </c>
      <c r="C188" t="str" s="448" cm="1">
        <f t="array" ref="C188">'WORLDCUP'!AA126</f>
        <v>W86</v>
      </c>
      <c r="D188" s="14"/>
      <c r="E188" s="14"/>
      <c r="F188" s="14"/>
      <c r="G188" s="14"/>
      <c r="H188" s="14"/>
      <c r="I188" s="476"/>
      <c r="J188" s="14"/>
      <c r="K188" s="14"/>
      <c r="L188" s="14"/>
      <c r="M188" s="475"/>
      <c r="N188" s="426"/>
    </row>
    <row r="189" ht="15" customHeight="1">
      <c r="A189" s="458"/>
      <c r="B189" t="str" s="448" cm="1">
        <f t="array" ref="B189">B188</f>
        <v>Octavofinalista</v>
      </c>
      <c r="C189" t="str" s="448" cm="1">
        <f t="array" ref="C189">'WORLDCUP'!AA127</f>
        <v>W85</v>
      </c>
      <c r="D189" s="14"/>
      <c r="E189" s="14"/>
      <c r="F189" s="14"/>
      <c r="G189" s="14"/>
      <c r="H189" s="14"/>
      <c r="I189" s="476"/>
      <c r="J189" s="14"/>
      <c r="K189" s="14"/>
      <c r="L189" s="14"/>
      <c r="M189" s="475"/>
      <c r="N189" s="426"/>
    </row>
    <row r="190" ht="15" customHeight="1">
      <c r="A190" s="458"/>
      <c r="B190" t="str" s="448" cm="1">
        <f t="array" ref="B190">B189</f>
        <v>Octavofinalista</v>
      </c>
      <c r="C190" t="str" s="448" cm="1">
        <f t="array" ref="C190">'WORLDCUP'!AF120</f>
        <v>W75</v>
      </c>
      <c r="D190" s="14"/>
      <c r="E190" s="14"/>
      <c r="F190" s="14"/>
      <c r="G190" s="14"/>
      <c r="H190" s="14"/>
      <c r="I190" s="476"/>
      <c r="J190" s="14"/>
      <c r="K190" s="14"/>
      <c r="L190" s="14"/>
      <c r="M190" s="475"/>
      <c r="N190" s="426"/>
    </row>
    <row r="191" ht="15" customHeight="1">
      <c r="A191" s="458"/>
      <c r="B191" t="str" s="448" cm="1">
        <f t="array" ref="B191">B190</f>
        <v>Octavofinalista</v>
      </c>
      <c r="C191" t="str" s="448" cm="1">
        <f t="array" ref="C191">'WORLDCUP'!AF121</f>
        <v>W77</v>
      </c>
      <c r="D191" s="14"/>
      <c r="E191" s="14"/>
      <c r="F191" s="14"/>
      <c r="G191" s="14"/>
      <c r="H191" s="14"/>
      <c r="I191" s="476"/>
      <c r="J191" s="14"/>
      <c r="K191" s="14"/>
      <c r="L191" s="14"/>
      <c r="M191" s="475"/>
      <c r="N191" s="426"/>
    </row>
    <row r="192" ht="15" customHeight="1">
      <c r="A192" s="458"/>
      <c r="B192" t="str" s="448" cm="1">
        <f t="array" ref="B192">B191</f>
        <v>Octavofinalista</v>
      </c>
      <c r="C192" t="str" s="448" cm="1">
        <f t="array" ref="C192">'WORLDCUP'!AF122</f>
        <v>W78</v>
      </c>
      <c r="D192" s="14"/>
      <c r="E192" s="14"/>
      <c r="F192" s="14"/>
      <c r="G192" s="14"/>
      <c r="H192" s="14"/>
      <c r="I192" s="476"/>
      <c r="J192" s="14"/>
      <c r="K192" s="14"/>
      <c r="L192" s="14"/>
      <c r="M192" s="475"/>
      <c r="N192" s="426"/>
    </row>
    <row r="193" ht="15" customHeight="1">
      <c r="A193" s="458"/>
      <c r="B193" t="str" s="448" cm="1">
        <f t="array" ref="B193">B192</f>
        <v>Octavofinalista</v>
      </c>
      <c r="C193" t="str" s="448" cm="1">
        <f t="array" ref="C193">'WORLDCUP'!AF123</f>
        <v>W80</v>
      </c>
      <c r="D193" s="14"/>
      <c r="E193" s="14"/>
      <c r="F193" s="14"/>
      <c r="G193" s="14"/>
      <c r="H193" s="14"/>
      <c r="I193" s="476"/>
      <c r="J193" s="14"/>
      <c r="K193" s="14"/>
      <c r="L193" s="14"/>
      <c r="M193" s="475"/>
      <c r="N193" s="426"/>
    </row>
    <row r="194" ht="15" customHeight="1">
      <c r="A194" s="458"/>
      <c r="B194" t="str" s="448" cm="1">
        <f t="array" ref="B194">B193</f>
        <v>Octavofinalista</v>
      </c>
      <c r="C194" t="str" s="448" cm="1">
        <f t="array" ref="C194">'WORLDCUP'!AF124</f>
        <v>W84</v>
      </c>
      <c r="D194" s="14"/>
      <c r="E194" s="14"/>
      <c r="F194" s="14"/>
      <c r="G194" s="14"/>
      <c r="H194" s="14"/>
      <c r="I194" s="476"/>
      <c r="J194" s="14"/>
      <c r="K194" s="14"/>
      <c r="L194" s="14"/>
      <c r="M194" s="475"/>
      <c r="N194" s="426"/>
    </row>
    <row r="195" ht="15" customHeight="1">
      <c r="A195" s="458"/>
      <c r="B195" t="str" s="448" cm="1">
        <f t="array" ref="B195">B194</f>
        <v>Octavofinalista</v>
      </c>
      <c r="C195" t="str" s="448" cm="1">
        <f t="array" ref="C195">'WORLDCUP'!AF125</f>
        <v>W82</v>
      </c>
      <c r="D195" s="14"/>
      <c r="E195" s="14"/>
      <c r="F195" s="14"/>
      <c r="G195" s="14"/>
      <c r="H195" s="14"/>
      <c r="I195" s="476"/>
      <c r="J195" s="14"/>
      <c r="K195" s="14"/>
      <c r="L195" s="14"/>
      <c r="M195" s="475"/>
      <c r="N195" s="426"/>
    </row>
    <row r="196" ht="15" customHeight="1">
      <c r="A196" s="458"/>
      <c r="B196" t="str" s="448" cm="1">
        <f t="array" ref="B196">B195</f>
        <v>Octavofinalista</v>
      </c>
      <c r="C196" t="str" s="448" cm="1">
        <f t="array" ref="C196">'WORLDCUP'!AF126</f>
        <v>W88</v>
      </c>
      <c r="D196" s="14"/>
      <c r="E196" s="14"/>
      <c r="F196" s="14"/>
      <c r="G196" s="14"/>
      <c r="H196" s="14"/>
      <c r="I196" s="476"/>
      <c r="J196" s="14"/>
      <c r="K196" s="14"/>
      <c r="L196" s="14"/>
      <c r="M196" s="475"/>
      <c r="N196" s="426"/>
    </row>
    <row r="197" ht="15" customHeight="1">
      <c r="A197" s="458"/>
      <c r="B197" t="str" s="448" cm="1">
        <f t="array" ref="B197">B196</f>
        <v>Octavofinalista</v>
      </c>
      <c r="C197" t="str" s="448" cm="1">
        <f t="array" ref="C197">'WORLDCUP'!AF127</f>
        <v>W87</v>
      </c>
      <c r="D197" s="14"/>
      <c r="E197" s="477"/>
      <c r="F197" s="477"/>
      <c r="G197" s="477"/>
      <c r="H197" s="477"/>
      <c r="I197" s="478"/>
      <c r="J197" s="14"/>
      <c r="K197" s="14"/>
      <c r="L197" s="14"/>
      <c r="M197" s="475"/>
      <c r="N197" s="426"/>
    </row>
    <row r="198" ht="15" customHeight="1">
      <c r="A198" s="427"/>
      <c r="B198" s="453"/>
      <c r="C198" s="453"/>
      <c r="D198" s="14"/>
      <c r="E198" s="479"/>
      <c r="F198" s="479"/>
      <c r="G198" s="479"/>
      <c r="H198" s="479"/>
      <c r="I198" s="480"/>
      <c r="J198" s="14"/>
      <c r="K198" s="14"/>
      <c r="L198" s="14"/>
      <c r="M198" s="475"/>
      <c r="N198" s="426"/>
    </row>
    <row r="199" ht="19" customHeight="1">
      <c r="A199" s="427"/>
      <c r="B199" t="s" s="461">
        <v>956</v>
      </c>
      <c r="C199" s="455"/>
      <c r="D199" s="14"/>
      <c r="E199" s="14"/>
      <c r="F199" s="14"/>
      <c r="G199" s="14"/>
      <c r="H199" s="14"/>
      <c r="I199" s="481"/>
      <c r="J199" s="14"/>
      <c r="K199" s="14"/>
      <c r="L199" s="14"/>
      <c r="M199" s="475"/>
      <c r="N199" s="426"/>
    </row>
    <row r="200" ht="15" customHeight="1">
      <c r="A200" t="s" s="462">
        <v>621</v>
      </c>
      <c r="B200" t="str" s="448" cm="1">
        <f t="array" ref="B200">CONCATENATE('WORLDCUP'!AA120,"-",'WORLDCUP'!AF120)</f>
        <v>W73-W75</v>
      </c>
      <c r="C200" t="str" s="448" cm="1">
        <f t="array" ref="C200">CONCATENATE('WORLDCUP'!AA120,"-",'WORLDCUP'!AF120,"·",IF('WORLDCUP'!AC120&gt;'WORLDCUP'!AD120,1,IF('WORLDCUP'!AC120&lt;'WORLDCUP'!AD120,2,IF(AND('WORLDCUP'!AC120='WORLDCUP'!AD120,'WORLDCUP'!AC120&lt;&gt;"",'WORLDCUP'!AD120&lt;&gt;""),"X",0))),"|",'WORLDCUP'!AC120,"-",'WORLDCUP'!AD120)</f>
        <v>W73-W75·0|-</v>
      </c>
      <c r="D200" t="s" s="482">
        <v>621</v>
      </c>
      <c r="E200" t="s" s="483">
        <v>959</v>
      </c>
      <c r="F200" s="14"/>
      <c r="G200" s="14"/>
      <c r="H200" s="14"/>
      <c r="I200" s="476"/>
      <c r="J200" s="14"/>
      <c r="K200" s="14"/>
      <c r="L200" s="14"/>
      <c r="M200" s="475"/>
      <c r="N200" s="426"/>
    </row>
    <row r="201" ht="15" customHeight="1">
      <c r="A201" s="458"/>
      <c r="B201" t="str" s="448" cm="1">
        <f t="array" ref="B201">CONCATENATE('WORLDCUP'!AA121,"-",'WORLDCUP'!AF121)</f>
        <v>W74-W77</v>
      </c>
      <c r="C201" t="str" s="448" cm="1">
        <f t="array" ref="C201">CONCATENATE('WORLDCUP'!AA121,"-",'WORLDCUP'!AF121,"·",IF('WORLDCUP'!AC121&gt;'WORLDCUP'!AD121,1,IF('WORLDCUP'!AC121&lt;'WORLDCUP'!AD121,2,IF(AND('WORLDCUP'!AC121='WORLDCUP'!AD121,'WORLDCUP'!AC121&lt;&gt;"",'WORLDCUP'!AD121&lt;&gt;""),"X",0))),"|",'WORLDCUP'!AC121,"-",'WORLDCUP'!AD121)</f>
        <v>W74-W77·0|-</v>
      </c>
      <c r="D201" s="14"/>
      <c r="E201" s="14"/>
      <c r="F201" s="14"/>
      <c r="G201" s="14"/>
      <c r="H201" s="14"/>
      <c r="I201" s="476"/>
      <c r="J201" s="14"/>
      <c r="K201" s="14"/>
      <c r="L201" s="14"/>
      <c r="M201" s="475"/>
      <c r="N201" s="426"/>
    </row>
    <row r="202" ht="15" customHeight="1">
      <c r="A202" s="458"/>
      <c r="B202" t="str" s="448" cm="1">
        <f t="array" ref="B202">CONCATENATE('WORLDCUP'!AA122,"-",'WORLDCUP'!AF122)</f>
        <v>W76-W78</v>
      </c>
      <c r="C202" t="str" s="448" cm="1">
        <f t="array" ref="C202">CONCATENATE('WORLDCUP'!AA122,"-",'WORLDCUP'!AF122,"·",IF('WORLDCUP'!AC122&gt;'WORLDCUP'!AD122,1,IF('WORLDCUP'!AC122&lt;'WORLDCUP'!AD122,2,IF(AND('WORLDCUP'!AC122='WORLDCUP'!AD122,'WORLDCUP'!AC122&lt;&gt;"",'WORLDCUP'!AD122&lt;&gt;""),"X",0))),"|",'WORLDCUP'!AC122,"-",'WORLDCUP'!AD122)</f>
        <v>W76-W78·0|-</v>
      </c>
      <c r="D202" s="14"/>
      <c r="E202" s="14"/>
      <c r="F202" s="14"/>
      <c r="G202" s="14"/>
      <c r="H202" s="14"/>
      <c r="I202" s="476"/>
      <c r="J202" s="14"/>
      <c r="K202" s="14"/>
      <c r="L202" s="14"/>
      <c r="M202" s="475"/>
      <c r="N202" s="426"/>
    </row>
    <row r="203" ht="15" customHeight="1">
      <c r="A203" s="458"/>
      <c r="B203" t="str" s="448" cm="1">
        <f t="array" ref="B203">CONCATENATE('WORLDCUP'!AA123,"-",'WORLDCUP'!AF123)</f>
        <v>W79-W80</v>
      </c>
      <c r="C203" t="str" s="448" cm="1">
        <f t="array" ref="C203">CONCATENATE('WORLDCUP'!AA123,"-",'WORLDCUP'!AF123,"·",IF('WORLDCUP'!AC123&gt;'WORLDCUP'!AD123,1,IF('WORLDCUP'!AC123&lt;'WORLDCUP'!AD123,2,IF(AND('WORLDCUP'!AC123='WORLDCUP'!AD123,'WORLDCUP'!AC123&lt;&gt;"",'WORLDCUP'!AD123&lt;&gt;""),"X",0))),"|",'WORLDCUP'!AC123,"-",'WORLDCUP'!AD123)</f>
        <v>W79-W80·0|-</v>
      </c>
      <c r="D203" s="14"/>
      <c r="E203" s="14"/>
      <c r="F203" s="14"/>
      <c r="G203" s="14"/>
      <c r="H203" s="14"/>
      <c r="I203" s="476"/>
      <c r="J203" s="14"/>
      <c r="K203" s="14"/>
      <c r="L203" s="14"/>
      <c r="M203" s="475"/>
      <c r="N203" s="426"/>
    </row>
    <row r="204" ht="15" customHeight="1">
      <c r="A204" s="458"/>
      <c r="B204" t="str" s="448" cm="1">
        <f t="array" ref="B204">CONCATENATE('WORLDCUP'!AA124,"-",'WORLDCUP'!AF124)</f>
        <v>W83-W84</v>
      </c>
      <c r="C204" t="str" s="448" cm="1">
        <f t="array" ref="C204">CONCATENATE('WORLDCUP'!AA124,"-",'WORLDCUP'!AF124,"·",IF('WORLDCUP'!AC124&gt;'WORLDCUP'!AD124,1,IF('WORLDCUP'!AC124&lt;'WORLDCUP'!AD124,2,IF(AND('WORLDCUP'!AC124='WORLDCUP'!AD124,'WORLDCUP'!AC124&lt;&gt;"",'WORLDCUP'!AD124&lt;&gt;""),"X",0))),"|",'WORLDCUP'!AC124,"-",'WORLDCUP'!AD124)</f>
        <v>W83-W84·0|-</v>
      </c>
      <c r="D204" s="14"/>
      <c r="E204" s="476"/>
      <c r="F204" s="476"/>
      <c r="G204" s="476"/>
      <c r="H204" s="476"/>
      <c r="I204" s="476"/>
      <c r="J204" s="14"/>
      <c r="K204" s="14"/>
      <c r="L204" s="14"/>
      <c r="M204" s="475"/>
      <c r="N204" s="426"/>
    </row>
    <row r="205" ht="15" customHeight="1">
      <c r="A205" s="458"/>
      <c r="B205" t="str" s="448" cm="1">
        <f t="array" ref="B205">CONCATENATE('WORLDCUP'!AA125,"-",'WORLDCUP'!AF125)</f>
        <v>W81-W82</v>
      </c>
      <c r="C205" t="str" s="448" cm="1">
        <f t="array" ref="C205">CONCATENATE('WORLDCUP'!AA125,"-",'WORLDCUP'!AF125,"·",IF('WORLDCUP'!AC125&gt;'WORLDCUP'!AD125,1,IF('WORLDCUP'!AC125&lt;'WORLDCUP'!AD125,2,IF(AND('WORLDCUP'!AC125='WORLDCUP'!AD125,'WORLDCUP'!AC125&lt;&gt;"",'WORLDCUP'!AD125&lt;&gt;""),"X",0))),"|",'WORLDCUP'!AC125,"-",'WORLDCUP'!AD125)</f>
        <v>W81-W82·0|-</v>
      </c>
      <c r="D205" s="14"/>
      <c r="E205" s="476"/>
      <c r="F205" s="476"/>
      <c r="G205" s="476"/>
      <c r="H205" s="476"/>
      <c r="I205" s="476"/>
      <c r="J205" s="14"/>
      <c r="K205" s="14"/>
      <c r="L205" s="14"/>
      <c r="M205" s="475"/>
      <c r="N205" s="426"/>
    </row>
    <row r="206" ht="15" customHeight="1">
      <c r="A206" s="458"/>
      <c r="B206" t="str" s="448" cm="1">
        <f t="array" ref="B206">CONCATENATE('WORLDCUP'!AA126,"-",'WORLDCUP'!AF126)</f>
        <v>W86-W88</v>
      </c>
      <c r="C206" t="str" s="448" cm="1">
        <f t="array" ref="C206">CONCATENATE('WORLDCUP'!AA126,"-",'WORLDCUP'!AF126,"·",IF('WORLDCUP'!AC126&gt;'WORLDCUP'!AD126,1,IF('WORLDCUP'!AC126&lt;'WORLDCUP'!AD126,2,IF(AND('WORLDCUP'!AC126='WORLDCUP'!AD126,'WORLDCUP'!AC126&lt;&gt;"",'WORLDCUP'!AD126&lt;&gt;""),"X",0))),"|",'WORLDCUP'!AC126,"-",'WORLDCUP'!AD126)</f>
        <v>W86-W88·0|-</v>
      </c>
      <c r="D206" s="14"/>
      <c r="E206" s="476"/>
      <c r="F206" s="476"/>
      <c r="G206" s="476"/>
      <c r="H206" s="476"/>
      <c r="I206" s="476"/>
      <c r="J206" s="14"/>
      <c r="K206" s="14"/>
      <c r="L206" s="14"/>
      <c r="M206" s="475"/>
      <c r="N206" s="426"/>
    </row>
    <row r="207" ht="15" customHeight="1">
      <c r="A207" s="458"/>
      <c r="B207" t="str" s="448" cm="1">
        <f t="array" ref="B207">CONCATENATE('WORLDCUP'!AA127,"-",'WORLDCUP'!AF127)</f>
        <v>W85-W87</v>
      </c>
      <c r="C207" t="str" s="448" cm="1">
        <f t="array" ref="C207">CONCATENATE('WORLDCUP'!AA127,"-",'WORLDCUP'!AF127,"·",IF('WORLDCUP'!AC127&gt;'WORLDCUP'!AD127,1,IF('WORLDCUP'!AC127&lt;'WORLDCUP'!AD127,2,IF(AND('WORLDCUP'!AC127='WORLDCUP'!AD127,'WORLDCUP'!AC127&lt;&gt;"",'WORLDCUP'!AD127&lt;&gt;""),"X",0))),"|",'WORLDCUP'!AC127,"-",'WORLDCUP'!AD127)</f>
        <v>W85-W87·0|-</v>
      </c>
      <c r="D207" s="14"/>
      <c r="E207" s="476"/>
      <c r="F207" s="476"/>
      <c r="G207" s="476"/>
      <c r="H207" s="476"/>
      <c r="I207" s="476"/>
      <c r="J207" s="14"/>
      <c r="K207" s="14"/>
      <c r="L207" s="14"/>
      <c r="M207" s="475"/>
      <c r="N207" s="426"/>
    </row>
    <row r="208" ht="15" customHeight="1">
      <c r="A208" s="427"/>
      <c r="B208" s="453"/>
      <c r="C208" s="453"/>
      <c r="D208" s="14"/>
      <c r="E208" s="14"/>
      <c r="F208" s="14"/>
      <c r="G208" s="14"/>
      <c r="H208" s="14"/>
      <c r="I208" s="476"/>
      <c r="J208" s="14"/>
      <c r="K208" s="14"/>
      <c r="L208" s="14"/>
      <c r="M208" s="475"/>
      <c r="N208" s="426"/>
    </row>
    <row r="209" ht="19" customHeight="1">
      <c r="A209" s="427"/>
      <c r="B209" t="s" s="461">
        <v>974</v>
      </c>
      <c r="C209" s="455"/>
      <c r="D209" s="14"/>
      <c r="E209" s="14"/>
      <c r="F209" s="14"/>
      <c r="G209" s="14"/>
      <c r="H209" s="14"/>
      <c r="I209" s="476"/>
      <c r="J209" s="14"/>
      <c r="K209" s="14"/>
      <c r="L209" s="14"/>
      <c r="M209" s="475"/>
      <c r="N209" s="426"/>
    </row>
    <row r="210" ht="15" customHeight="1">
      <c r="A210" t="s" s="462">
        <v>671</v>
      </c>
      <c r="B210" t="s" s="463">
        <v>975</v>
      </c>
      <c r="C210" t="str" s="448" cm="1">
        <f t="array" ref="C210">'WORLDCUP'!AA131</f>
        <v>W89</v>
      </c>
      <c r="D210" s="14"/>
      <c r="E210" s="14"/>
      <c r="F210" s="14"/>
      <c r="G210" s="14"/>
      <c r="H210" s="14"/>
      <c r="I210" s="476"/>
      <c r="J210" s="14"/>
      <c r="K210" s="14"/>
      <c r="L210" s="14"/>
      <c r="M210" s="475"/>
      <c r="N210" s="426"/>
    </row>
    <row r="211" ht="15" customHeight="1">
      <c r="A211" s="458"/>
      <c r="B211" t="str" s="448" cm="1">
        <f t="array" ref="B211">B210</f>
        <v>Cuartofinalista</v>
      </c>
      <c r="C211" t="str" s="448" cm="1">
        <f t="array" ref="C211">'WORLDCUP'!AA132</f>
        <v>W93</v>
      </c>
      <c r="D211" s="14"/>
      <c r="E211" s="14"/>
      <c r="F211" s="14"/>
      <c r="G211" s="14"/>
      <c r="H211" s="14"/>
      <c r="I211" s="476"/>
      <c r="J211" s="14"/>
      <c r="K211" s="14"/>
      <c r="L211" s="14"/>
      <c r="M211" s="475"/>
      <c r="N211" s="426"/>
    </row>
    <row r="212" ht="15" customHeight="1">
      <c r="A212" s="458"/>
      <c r="B212" t="str" s="448" cm="1">
        <f t="array" ref="B212">B211</f>
        <v>Cuartofinalista</v>
      </c>
      <c r="C212" t="str" s="448" cm="1">
        <f t="array" ref="C212">'WORLDCUP'!AA133</f>
        <v>W91</v>
      </c>
      <c r="D212" s="14"/>
      <c r="E212" s="14"/>
      <c r="F212" s="14"/>
      <c r="G212" s="14"/>
      <c r="H212" s="14"/>
      <c r="I212" s="476"/>
      <c r="J212" s="14"/>
      <c r="K212" s="14"/>
      <c r="L212" s="14"/>
      <c r="M212" s="475"/>
      <c r="N212" s="426"/>
    </row>
    <row r="213" ht="15" customHeight="1">
      <c r="A213" s="458"/>
      <c r="B213" t="str" s="448" cm="1">
        <f t="array" ref="B213">B212</f>
        <v>Cuartofinalista</v>
      </c>
      <c r="C213" t="str" s="448" cm="1">
        <f t="array" ref="C213">'WORLDCUP'!AA134</f>
        <v>W95</v>
      </c>
      <c r="D213" s="14"/>
      <c r="E213" s="14"/>
      <c r="F213" s="14"/>
      <c r="G213" s="14"/>
      <c r="H213" s="14"/>
      <c r="I213" s="476"/>
      <c r="J213" s="14"/>
      <c r="K213" s="14"/>
      <c r="L213" s="14"/>
      <c r="M213" s="475"/>
      <c r="N213" s="426"/>
    </row>
    <row r="214" ht="15" customHeight="1">
      <c r="A214" s="458"/>
      <c r="B214" t="str" s="448" cm="1">
        <f t="array" ref="B214">B213</f>
        <v>Cuartofinalista</v>
      </c>
      <c r="C214" t="str" s="448" cm="1">
        <f t="array" ref="C214">'WORLDCUP'!AF131</f>
        <v>W90</v>
      </c>
      <c r="D214" s="14"/>
      <c r="E214" s="14"/>
      <c r="F214" s="14"/>
      <c r="G214" s="14"/>
      <c r="H214" s="14"/>
      <c r="I214" s="476"/>
      <c r="J214" s="14"/>
      <c r="K214" s="14"/>
      <c r="L214" s="14"/>
      <c r="M214" s="475"/>
      <c r="N214" s="426"/>
    </row>
    <row r="215" ht="15" customHeight="1">
      <c r="A215" s="458"/>
      <c r="B215" t="str" s="448" cm="1">
        <f t="array" ref="B215">B214</f>
        <v>Cuartofinalista</v>
      </c>
      <c r="C215" t="str" s="448" cm="1">
        <f t="array" ref="C215">'WORLDCUP'!AF132</f>
        <v>W94</v>
      </c>
      <c r="D215" s="14"/>
      <c r="E215" s="14"/>
      <c r="F215" s="14"/>
      <c r="G215" s="14"/>
      <c r="H215" s="14"/>
      <c r="I215" s="476"/>
      <c r="J215" s="14"/>
      <c r="K215" s="14"/>
      <c r="L215" s="14"/>
      <c r="M215" s="475"/>
      <c r="N215" s="426"/>
    </row>
    <row r="216" ht="15" customHeight="1">
      <c r="A216" s="458"/>
      <c r="B216" t="str" s="448" cm="1">
        <f t="array" ref="B216">B215</f>
        <v>Cuartofinalista</v>
      </c>
      <c r="C216" t="str" s="448" cm="1">
        <f t="array" ref="C216">'WORLDCUP'!AF133</f>
        <v>W92</v>
      </c>
      <c r="D216" s="14"/>
      <c r="E216" s="14"/>
      <c r="F216" s="14"/>
      <c r="G216" s="14"/>
      <c r="H216" s="14"/>
      <c r="I216" s="476"/>
      <c r="J216" s="14"/>
      <c r="K216" s="14"/>
      <c r="L216" s="14"/>
      <c r="M216" s="475"/>
      <c r="N216" s="426"/>
    </row>
    <row r="217" ht="15" customHeight="1">
      <c r="A217" s="458"/>
      <c r="B217" t="str" s="448" cm="1">
        <f t="array" ref="B217">B216</f>
        <v>Cuartofinalista</v>
      </c>
      <c r="C217" t="str" s="448" cm="1">
        <f t="array" ref="C217">'WORLDCUP'!AF134</f>
        <v>W96</v>
      </c>
      <c r="D217" s="14"/>
      <c r="E217" s="477"/>
      <c r="F217" s="477"/>
      <c r="G217" s="477"/>
      <c r="H217" s="477"/>
      <c r="I217" s="478"/>
      <c r="J217" s="14"/>
      <c r="K217" s="14"/>
      <c r="L217" s="14"/>
      <c r="M217" s="475"/>
      <c r="N217" s="426"/>
    </row>
    <row r="218" ht="15" customHeight="1">
      <c r="A218" s="427"/>
      <c r="B218" s="453"/>
      <c r="C218" s="453"/>
      <c r="D218" s="14"/>
      <c r="E218" s="479"/>
      <c r="F218" s="479"/>
      <c r="G218" s="479"/>
      <c r="H218" s="479"/>
      <c r="I218" s="480"/>
      <c r="J218" s="14"/>
      <c r="K218" s="14"/>
      <c r="L218" s="14"/>
      <c r="M218" s="475"/>
      <c r="N218" s="426"/>
    </row>
    <row r="219" ht="19" customHeight="1">
      <c r="A219" s="427"/>
      <c r="B219" t="s" s="461">
        <v>977</v>
      </c>
      <c r="C219" s="455"/>
      <c r="D219" s="14"/>
      <c r="E219" s="14"/>
      <c r="F219" s="14"/>
      <c r="G219" s="14"/>
      <c r="H219" s="14"/>
      <c r="I219" s="481"/>
      <c r="J219" s="14"/>
      <c r="K219" s="14"/>
      <c r="L219" s="14"/>
      <c r="M219" s="475"/>
      <c r="N219" s="426"/>
    </row>
    <row r="220" ht="15" customHeight="1">
      <c r="A220" t="s" s="462">
        <v>671</v>
      </c>
      <c r="B220" t="str" s="448" cm="1">
        <f t="array" ref="B220">CONCATENATE('WORLDCUP'!AA131,"-",'WORLDCUP'!AF131)</f>
        <v>W89-W90</v>
      </c>
      <c r="C220" t="str" s="448" cm="1">
        <f t="array" ref="C220">CONCATENATE('WORLDCUP'!AA131,"-",'WORLDCUP'!AF131,"·",IF('WORLDCUP'!AC131&gt;'WORLDCUP'!AD131,1,IF('WORLDCUP'!AC131&lt;'WORLDCUP'!AD131,2,IF(AND('WORLDCUP'!AC131='WORLDCUP'!AD131,'WORLDCUP'!AC131&lt;&gt;"",'WORLDCUP'!AD131&lt;&gt;""),"X",0))),"|",'WORLDCUP'!AC131,"-",'WORLDCUP'!AD131)</f>
        <v>W89-W90·0|-</v>
      </c>
      <c r="D220" t="s" s="472">
        <v>671</v>
      </c>
      <c r="E220" t="s" s="483">
        <v>980</v>
      </c>
      <c r="F220" s="14"/>
      <c r="G220" s="14"/>
      <c r="H220" s="14"/>
      <c r="I220" s="476"/>
      <c r="J220" s="14"/>
      <c r="K220" s="14"/>
      <c r="L220" s="14"/>
      <c r="M220" s="475"/>
      <c r="N220" s="426"/>
    </row>
    <row r="221" ht="15" customHeight="1">
      <c r="A221" s="458"/>
      <c r="B221" t="str" s="448" cm="1">
        <f t="array" ref="B221">CONCATENATE('WORLDCUP'!AA132,"-",'WORLDCUP'!AF132)</f>
        <v>W93-W94</v>
      </c>
      <c r="C221" t="str" s="448" cm="1">
        <f t="array" ref="C221">CONCATENATE('WORLDCUP'!AA132,"-",'WORLDCUP'!AF132,"·",IF('WORLDCUP'!AC132&gt;'WORLDCUP'!AD132,1,IF('WORLDCUP'!AC132&lt;'WORLDCUP'!AD132,2,IF(AND('WORLDCUP'!AC132='WORLDCUP'!AD132,'WORLDCUP'!AC132&lt;&gt;"",'WORLDCUP'!AD132&lt;&gt;""),"X",0))),"|",'WORLDCUP'!AC132,"-",'WORLDCUP'!AD132)</f>
        <v>W93-W94·0|-</v>
      </c>
      <c r="D221" s="14"/>
      <c r="E221" s="14"/>
      <c r="F221" s="14"/>
      <c r="G221" s="14"/>
      <c r="H221" s="14"/>
      <c r="I221" s="476"/>
      <c r="J221" s="14"/>
      <c r="K221" s="14"/>
      <c r="L221" s="14"/>
      <c r="M221" s="475"/>
      <c r="N221" s="426"/>
    </row>
    <row r="222" ht="15" customHeight="1">
      <c r="A222" s="458"/>
      <c r="B222" t="str" s="448" cm="1">
        <f t="array" ref="B222">CONCATENATE('WORLDCUP'!AA133,"-",'WORLDCUP'!AF133)</f>
        <v>W91-W92</v>
      </c>
      <c r="C222" t="str" s="448" cm="1">
        <f t="array" ref="C222">CONCATENATE('WORLDCUP'!AA133,"-",'WORLDCUP'!AF133,"·",IF('WORLDCUP'!AC133&gt;'WORLDCUP'!AD133,1,IF('WORLDCUP'!AC133&lt;'WORLDCUP'!AD133,2,IF(AND('WORLDCUP'!AC133='WORLDCUP'!AD133,'WORLDCUP'!AC133&lt;&gt;"",'WORLDCUP'!AD133&lt;&gt;""),"X",0))),"|",'WORLDCUP'!AC133,"-",'WORLDCUP'!AD133)</f>
        <v>W91-W92·0|-</v>
      </c>
      <c r="D222" s="14"/>
      <c r="E222" s="14"/>
      <c r="F222" s="14"/>
      <c r="G222" s="14"/>
      <c r="H222" s="14"/>
      <c r="I222" s="476"/>
      <c r="J222" s="14"/>
      <c r="K222" s="14"/>
      <c r="L222" s="14"/>
      <c r="M222" s="475"/>
      <c r="N222" s="426"/>
    </row>
    <row r="223" ht="15" customHeight="1">
      <c r="A223" s="458"/>
      <c r="B223" t="str" s="448" cm="1">
        <f t="array" ref="B223">CONCATENATE('WORLDCUP'!AA134,"-",'WORLDCUP'!AF134)</f>
        <v>W95-W96</v>
      </c>
      <c r="C223" t="str" s="448" cm="1">
        <f t="array" ref="C223">CONCATENATE('WORLDCUP'!AA134,"-",'WORLDCUP'!AF134,"·",IF('WORLDCUP'!AC134&gt;'WORLDCUP'!AD134,1,IF('WORLDCUP'!AC134&lt;'WORLDCUP'!AD134,2,IF(AND('WORLDCUP'!AC134='WORLDCUP'!AD134,'WORLDCUP'!AC134&lt;&gt;"",'WORLDCUP'!AD134&lt;&gt;""),"X",0))),"|",'WORLDCUP'!AC134,"-",'WORLDCUP'!AD134)</f>
        <v>W95-W96·0|-</v>
      </c>
      <c r="D223" s="14"/>
      <c r="E223" s="14"/>
      <c r="F223" s="14"/>
      <c r="G223" s="14"/>
      <c r="H223" s="14"/>
      <c r="I223" s="476"/>
      <c r="J223" s="14"/>
      <c r="K223" s="14"/>
      <c r="L223" s="14"/>
      <c r="M223" s="475"/>
      <c r="N223" s="426"/>
    </row>
    <row r="224" ht="15" customHeight="1">
      <c r="A224" s="427"/>
      <c r="B224" s="453"/>
      <c r="C224" s="453"/>
      <c r="D224" s="14"/>
      <c r="E224" s="476"/>
      <c r="F224" s="476"/>
      <c r="G224" s="476"/>
      <c r="H224" s="476"/>
      <c r="I224" s="476"/>
      <c r="J224" s="14"/>
      <c r="K224" s="14"/>
      <c r="L224" s="14"/>
      <c r="M224" s="475"/>
      <c r="N224" s="426"/>
    </row>
    <row r="225" ht="19" customHeight="1">
      <c r="A225" s="427"/>
      <c r="B225" t="s" s="461">
        <v>987</v>
      </c>
      <c r="C225" s="455"/>
      <c r="D225" s="14"/>
      <c r="E225" s="14"/>
      <c r="F225" s="14"/>
      <c r="G225" s="14"/>
      <c r="H225" s="14"/>
      <c r="I225" s="476"/>
      <c r="J225" s="14"/>
      <c r="K225" s="14"/>
      <c r="L225" s="14"/>
      <c r="M225" s="475"/>
      <c r="N225" s="426"/>
    </row>
    <row r="226" ht="15" customHeight="1">
      <c r="A226" t="s" s="462">
        <v>700</v>
      </c>
      <c r="B226" t="s" s="463">
        <v>988</v>
      </c>
      <c r="C226" t="str" s="448" cm="1">
        <f t="array" ref="C226">'WORLDCUP'!AA138</f>
        <v>W97</v>
      </c>
      <c r="D226" s="14"/>
      <c r="E226" s="14"/>
      <c r="F226" s="14"/>
      <c r="G226" s="14"/>
      <c r="H226" s="14"/>
      <c r="I226" s="476"/>
      <c r="J226" s="14"/>
      <c r="K226" s="14"/>
      <c r="L226" s="14"/>
      <c r="M226" s="475"/>
      <c r="N226" s="426"/>
    </row>
    <row r="227" ht="15" customHeight="1">
      <c r="A227" s="458"/>
      <c r="B227" t="s" s="463">
        <v>988</v>
      </c>
      <c r="C227" t="str" s="448" cm="1">
        <f t="array" ref="C227">'WORLDCUP'!AA139</f>
        <v>W99</v>
      </c>
      <c r="D227" s="14"/>
      <c r="E227" s="14"/>
      <c r="F227" s="14"/>
      <c r="G227" s="14"/>
      <c r="H227" s="14"/>
      <c r="I227" s="476"/>
      <c r="J227" s="14"/>
      <c r="K227" s="14"/>
      <c r="L227" s="14"/>
      <c r="M227" s="475"/>
      <c r="N227" s="426"/>
    </row>
    <row r="228" ht="15" customHeight="1">
      <c r="A228" s="458"/>
      <c r="B228" t="s" s="463">
        <v>988</v>
      </c>
      <c r="C228" t="str" s="448" cm="1">
        <f t="array" ref="C228">'WORLDCUP'!AF138</f>
        <v>W98</v>
      </c>
      <c r="D228" s="14"/>
      <c r="E228" s="14"/>
      <c r="F228" s="14"/>
      <c r="G228" s="14"/>
      <c r="H228" s="14"/>
      <c r="I228" s="476"/>
      <c r="J228" s="14"/>
      <c r="K228" s="14"/>
      <c r="L228" s="14"/>
      <c r="M228" s="475"/>
      <c r="N228" s="426"/>
    </row>
    <row r="229" ht="15" customHeight="1">
      <c r="A229" s="458"/>
      <c r="B229" t="s" s="463">
        <v>988</v>
      </c>
      <c r="C229" t="str" s="448" cm="1">
        <f t="array" ref="C229">'WORLDCUP'!AF139</f>
        <v>W100</v>
      </c>
      <c r="D229" s="14"/>
      <c r="E229" s="477"/>
      <c r="F229" s="477"/>
      <c r="G229" s="477"/>
      <c r="H229" s="477"/>
      <c r="I229" s="476"/>
      <c r="J229" s="14"/>
      <c r="K229" s="14"/>
      <c r="L229" s="14"/>
      <c r="M229" s="475"/>
      <c r="N229" s="426"/>
    </row>
    <row r="230" ht="15" customHeight="1">
      <c r="A230" s="427"/>
      <c r="B230" s="453"/>
      <c r="C230" s="453"/>
      <c r="D230" s="14"/>
      <c r="E230" s="479"/>
      <c r="F230" s="479"/>
      <c r="G230" s="479"/>
      <c r="H230" s="479"/>
      <c r="I230" s="481"/>
      <c r="J230" s="14"/>
      <c r="K230" s="14"/>
      <c r="L230" s="14"/>
      <c r="M230" s="475"/>
      <c r="N230" s="426"/>
    </row>
    <row r="231" ht="19" customHeight="1">
      <c r="A231" s="427"/>
      <c r="B231" t="s" s="461">
        <v>989</v>
      </c>
      <c r="C231" s="455"/>
      <c r="D231" s="14"/>
      <c r="E231" s="14"/>
      <c r="F231" s="14"/>
      <c r="G231" s="14"/>
      <c r="H231" s="14"/>
      <c r="I231" s="481"/>
      <c r="J231" s="14"/>
      <c r="K231" s="14"/>
      <c r="L231" s="14"/>
      <c r="M231" s="475"/>
      <c r="N231" s="426"/>
    </row>
    <row r="232" ht="15" customHeight="1">
      <c r="A232" t="s" s="484">
        <v>700</v>
      </c>
      <c r="B232" t="str" s="448" cm="1">
        <f t="array" ref="B232">CONCATENATE('WORLDCUP'!AA138,"-",'WORLDCUP'!AF138)</f>
        <v>W97-W98</v>
      </c>
      <c r="C232" t="str" s="448" cm="1">
        <f t="array" ref="C232">CONCATENATE('WORLDCUP'!AA138,"-",'WORLDCUP'!AF138,"·",IF('WORLDCUP'!AC138&gt;'WORLDCUP'!AD138,1,IF('WORLDCUP'!AC138&lt;'WORLDCUP'!AD138,2,IF(AND('WORLDCUP'!AC138='WORLDCUP'!AD138,'WORLDCUP'!AC138&lt;&gt;"",'WORLDCUP'!AD138&lt;&gt;""),"X",0))),"|",'WORLDCUP'!AC138,"-",'WORLDCUP'!AD138)</f>
        <v>W97-W98·0|-</v>
      </c>
      <c r="D232" t="s" s="482">
        <v>700</v>
      </c>
      <c r="E232" t="s" s="483">
        <v>992</v>
      </c>
      <c r="F232" s="14"/>
      <c r="G232" s="14"/>
      <c r="H232" s="14"/>
      <c r="I232" s="476"/>
      <c r="J232" s="14"/>
      <c r="K232" s="14"/>
      <c r="L232" s="14"/>
      <c r="M232" s="475"/>
      <c r="N232" s="426"/>
    </row>
    <row r="233" ht="15" customHeight="1">
      <c r="A233" s="458"/>
      <c r="B233" t="str" s="448" cm="1">
        <f t="array" ref="B233">CONCATENATE('WORLDCUP'!AA139,"-",'WORLDCUP'!AF139)</f>
        <v>W99-W100</v>
      </c>
      <c r="C233" t="str" s="448" cm="1">
        <f t="array" ref="C233">CONCATENATE('WORLDCUP'!AA139,"-",'WORLDCUP'!AF139,"·",IF('WORLDCUP'!AC139&gt;'WORLDCUP'!AD139,1,IF('WORLDCUP'!AC139&lt;'WORLDCUP'!AD139,2,IF(AND('WORLDCUP'!AC139='WORLDCUP'!AD139,'WORLDCUP'!AC139&lt;&gt;"",'WORLDCUP'!AD139&lt;&gt;""),"X",0))),"|",'WORLDCUP'!AC139,"-",'WORLDCUP'!AD139)</f>
        <v>W99-W100·0|-</v>
      </c>
      <c r="D233" s="14"/>
      <c r="E233" s="14"/>
      <c r="F233" s="14"/>
      <c r="G233" s="14"/>
      <c r="H233" s="14"/>
      <c r="I233" s="476"/>
      <c r="J233" s="14"/>
      <c r="K233" s="14"/>
      <c r="L233" s="14"/>
      <c r="M233" s="475"/>
      <c r="N233" s="426"/>
    </row>
    <row r="234" ht="15" customHeight="1">
      <c r="A234" s="427"/>
      <c r="B234" s="453"/>
      <c r="C234" s="453"/>
      <c r="D234" s="14"/>
      <c r="E234" s="14"/>
      <c r="F234" s="14"/>
      <c r="G234" s="14"/>
      <c r="H234" s="14"/>
      <c r="I234" s="476"/>
      <c r="J234" s="14"/>
      <c r="K234" s="14"/>
      <c r="L234" s="14"/>
      <c r="M234" s="475"/>
      <c r="N234" s="426"/>
    </row>
    <row r="235" ht="19" customHeight="1">
      <c r="A235" s="427"/>
      <c r="B235" t="s" s="461">
        <v>995</v>
      </c>
      <c r="C235" s="455"/>
      <c r="D235" s="14"/>
      <c r="E235" s="14"/>
      <c r="F235" s="14"/>
      <c r="G235" s="14"/>
      <c r="H235" s="14"/>
      <c r="I235" s="476"/>
      <c r="J235" s="14"/>
      <c r="K235" s="14"/>
      <c r="L235" s="14"/>
      <c r="M235" s="475"/>
      <c r="N235" s="426"/>
    </row>
    <row r="236" ht="15" customHeight="1">
      <c r="A236" t="s" s="484">
        <v>715</v>
      </c>
      <c r="B236" t="s" s="463">
        <v>710</v>
      </c>
      <c r="C236" t="str" s="448" cm="1">
        <f t="array" ref="C236">'WORLDCUP'!AA143</f>
        <v>L101</v>
      </c>
      <c r="D236" s="14"/>
      <c r="E236" s="485"/>
      <c r="F236" s="485"/>
      <c r="G236" s="485"/>
      <c r="H236" s="485"/>
      <c r="I236" s="476"/>
      <c r="J236" s="14"/>
      <c r="K236" s="14"/>
      <c r="L236" s="14"/>
      <c r="M236" s="475"/>
      <c r="N236" s="426"/>
    </row>
    <row r="237" ht="15" customHeight="1">
      <c r="A237" s="458"/>
      <c r="B237" t="s" s="463">
        <v>710</v>
      </c>
      <c r="C237" t="str" s="448" cm="1">
        <f t="array" ref="C237">'WORLDCUP'!AF143</f>
        <v>L102</v>
      </c>
      <c r="D237" s="14"/>
      <c r="E237" s="485"/>
      <c r="F237" s="485"/>
      <c r="G237" s="485"/>
      <c r="H237" s="485"/>
      <c r="I237" s="476"/>
      <c r="J237" s="14"/>
      <c r="K237" s="14"/>
      <c r="L237" s="14"/>
      <c r="M237" s="475"/>
      <c r="N237" s="426"/>
    </row>
    <row r="238" ht="15" customHeight="1">
      <c r="A238" s="427"/>
      <c r="B238" s="453"/>
      <c r="C238" s="453"/>
      <c r="D238" s="14"/>
      <c r="E238" s="485"/>
      <c r="F238" s="485"/>
      <c r="G238" s="485"/>
      <c r="H238" s="485"/>
      <c r="I238" s="476"/>
      <c r="J238" s="14"/>
      <c r="K238" s="14"/>
      <c r="L238" s="14"/>
      <c r="M238" s="475"/>
      <c r="N238" s="426"/>
    </row>
    <row r="239" ht="19" customHeight="1">
      <c r="A239" s="427"/>
      <c r="B239" t="s" s="461">
        <v>998</v>
      </c>
      <c r="C239" s="455"/>
      <c r="D239" s="14"/>
      <c r="E239" s="485"/>
      <c r="F239" s="485"/>
      <c r="G239" s="485"/>
      <c r="H239" s="485"/>
      <c r="I239" s="476"/>
      <c r="J239" s="14"/>
      <c r="K239" s="14"/>
      <c r="L239" s="14"/>
      <c r="M239" s="475"/>
      <c r="N239" s="426"/>
    </row>
    <row r="240" ht="15" customHeight="1">
      <c r="A240" t="s" s="484">
        <v>269</v>
      </c>
      <c r="B240" t="s" s="463">
        <v>999</v>
      </c>
      <c r="C240" t="str" s="448" cm="1">
        <f t="array" ref="C240">'WORLDCUP'!AA147</f>
        <v>W101</v>
      </c>
      <c r="D240" s="14"/>
      <c r="E240" s="14"/>
      <c r="F240" s="14"/>
      <c r="G240" s="14"/>
      <c r="H240" s="14"/>
      <c r="I240" s="476"/>
      <c r="J240" s="14"/>
      <c r="K240" s="14"/>
      <c r="L240" s="14"/>
      <c r="M240" s="475"/>
      <c r="N240" s="426"/>
    </row>
    <row r="241" ht="15" customHeight="1">
      <c r="A241" s="458"/>
      <c r="B241" t="str" s="448" cm="1">
        <f t="array" ref="B241">B240</f>
        <v>Finalista</v>
      </c>
      <c r="C241" t="str" s="448" cm="1">
        <f t="array" ref="C241">'WORLDCUP'!AF147</f>
        <v>W102</v>
      </c>
      <c r="D241" s="14"/>
      <c r="E241" s="486"/>
      <c r="F241" s="486"/>
      <c r="G241" s="486"/>
      <c r="H241" s="487"/>
      <c r="I241" s="488"/>
      <c r="J241" s="14"/>
      <c r="K241" s="14"/>
      <c r="L241" s="14"/>
      <c r="M241" s="475"/>
      <c r="N241" s="426"/>
    </row>
    <row r="242" ht="15" customHeight="1">
      <c r="A242" s="427"/>
      <c r="B242" s="453"/>
      <c r="C242" s="453"/>
      <c r="D242" s="14"/>
      <c r="E242" s="489"/>
      <c r="F242" s="489"/>
      <c r="G242" s="489"/>
      <c r="H242" s="489"/>
      <c r="I242" s="480"/>
      <c r="J242" s="14"/>
      <c r="K242" s="14"/>
      <c r="L242" s="14"/>
      <c r="M242" s="475"/>
      <c r="N242" s="426"/>
    </row>
    <row r="243" ht="19" customHeight="1">
      <c r="A243" s="427"/>
      <c r="B243" t="s" s="461">
        <v>1003</v>
      </c>
      <c r="C243" s="455"/>
      <c r="D243" s="14"/>
      <c r="E243" s="14"/>
      <c r="F243" s="14"/>
      <c r="G243" s="14"/>
      <c r="H243" s="14"/>
      <c r="I243" s="481"/>
      <c r="J243" s="14"/>
      <c r="K243" s="14"/>
      <c r="L243" s="14"/>
      <c r="M243" s="475"/>
      <c r="N243" s="426"/>
    </row>
    <row r="244" ht="15" customHeight="1">
      <c r="A244" t="s" s="484">
        <v>715</v>
      </c>
      <c r="B244" t="str" s="448" cm="1">
        <f t="array" ref="B244">CONCATENATE('WORLDCUP'!AA143,"-",'WORLDCUP'!AF143)</f>
        <v>L101-L102</v>
      </c>
      <c r="C244" t="str" s="448" cm="1">
        <f t="array" ref="C244">CONCATENATE('WORLDCUP'!AA143,"-",'WORLDCUP'!AF143,"·",IF('WORLDCUP'!AC143&gt;'WORLDCUP'!AD143,1,IF('WORLDCUP'!AC143&lt;'WORLDCUP'!AD143,2,IF(AND('WORLDCUP'!AC143='WORLDCUP'!AD143,'WORLDCUP'!AC143&lt;&gt;"",'WORLDCUP'!AD143&lt;&gt;""),"X",0))),"|",'WORLDCUP'!AC143,"-",'WORLDCUP'!AD143)</f>
        <v>L101-L102·0|-</v>
      </c>
      <c r="D244" t="s" s="490">
        <v>1006</v>
      </c>
      <c r="E244" t="s" s="491">
        <v>1007</v>
      </c>
      <c r="F244" s="14"/>
      <c r="G244" s="14"/>
      <c r="H244" s="14"/>
      <c r="I244" s="444"/>
      <c r="J244" s="445"/>
      <c r="K244" s="14"/>
      <c r="L244" s="14"/>
      <c r="M244" s="475"/>
      <c r="N244" s="426"/>
    </row>
    <row r="245" ht="15" customHeight="1">
      <c r="A245" s="427"/>
      <c r="B245" s="453"/>
      <c r="C245" s="453"/>
      <c r="D245" s="14"/>
      <c r="E245" s="14"/>
      <c r="F245" s="14"/>
      <c r="G245" s="14"/>
      <c r="H245" s="14"/>
      <c r="I245" s="444"/>
      <c r="J245" s="445"/>
      <c r="K245" s="14"/>
      <c r="L245" s="14"/>
      <c r="M245" s="475"/>
      <c r="N245" s="426"/>
    </row>
    <row r="246" ht="21" customHeight="1">
      <c r="A246" s="427"/>
      <c r="B246" t="s" s="461">
        <v>1008</v>
      </c>
      <c r="C246" s="455"/>
      <c r="D246" s="14"/>
      <c r="E246" s="14"/>
      <c r="F246" s="14"/>
      <c r="G246" s="14"/>
      <c r="H246" s="14"/>
      <c r="I246" s="444"/>
      <c r="J246" s="445"/>
      <c r="K246" s="14"/>
      <c r="L246" s="14"/>
      <c r="M246" s="475"/>
      <c r="N246" s="426"/>
    </row>
    <row r="247" ht="15" customHeight="1">
      <c r="A247" t="s" s="484">
        <v>269</v>
      </c>
      <c r="B247" t="str" s="448" cm="1">
        <f t="array" ref="B247">CONCATENATE('WORLDCUP'!AA147,"-",'WORLDCUP'!AF147)</f>
        <v>W101-W102</v>
      </c>
      <c r="C247" t="str" s="448" cm="1">
        <f t="array" ref="C247">CONCATENATE('WORLDCUP'!AA147,"-",'WORLDCUP'!AF147,"·",IF('WORLDCUP'!AC147&gt;'WORLDCUP'!AD147,1,IF('WORLDCUP'!AC147&lt;'WORLDCUP'!AD147,2,IF(AND('WORLDCUP'!AC147='WORLDCUP'!AD147,'WORLDCUP'!AC147&lt;&gt;"",'WORLDCUP'!AD147&lt;&gt;""),"X",0))),"|",'WORLDCUP'!AC147,"-",'WORLDCUP'!AD147)</f>
        <v>W101-W102·0|-</v>
      </c>
      <c r="D247" s="14"/>
      <c r="E247" s="492"/>
      <c r="F247" s="492"/>
      <c r="G247" s="492"/>
      <c r="H247" s="492"/>
      <c r="I247" s="444"/>
      <c r="J247" s="445"/>
      <c r="K247" s="14"/>
      <c r="L247" s="14"/>
      <c r="M247" s="475"/>
      <c r="N247" s="426"/>
    </row>
    <row r="248" ht="15" customHeight="1">
      <c r="A248" s="427"/>
      <c r="B248" s="453"/>
      <c r="C248" s="453"/>
      <c r="D248" s="14"/>
      <c r="E248" s="485"/>
      <c r="F248" s="485"/>
      <c r="G248" s="485"/>
      <c r="H248" s="485"/>
      <c r="I248" s="444"/>
      <c r="J248" s="445"/>
      <c r="K248" s="14"/>
      <c r="L248" s="14"/>
      <c r="M248" s="475"/>
      <c r="N248" s="426"/>
    </row>
    <row r="249" ht="19" customHeight="1">
      <c r="A249" s="427"/>
      <c r="B249" t="s" s="461">
        <v>1011</v>
      </c>
      <c r="C249" s="455"/>
      <c r="D249" s="14"/>
      <c r="E249" s="485"/>
      <c r="F249" s="485"/>
      <c r="G249" s="485"/>
      <c r="H249" s="485"/>
      <c r="I249" s="444"/>
      <c r="J249" s="445"/>
      <c r="K249" s="14"/>
      <c r="L249" s="14"/>
      <c r="M249" s="475"/>
      <c r="N249" s="426"/>
    </row>
    <row r="250" ht="15" customHeight="1">
      <c r="A250" s="493"/>
      <c r="B250" t="str" s="448" cm="1">
        <f t="array" ref="B250">'WORLDCUP'!W150</f>
        <v>🥇Campeón</v>
      </c>
      <c r="C250" t="str" s="448" cm="1">
        <f t="array" ref="C250">'WORLDCUP'!AA150</f>
        <v>WF</v>
      </c>
      <c r="D250" s="14"/>
      <c r="E250" s="485"/>
      <c r="F250" s="485"/>
      <c r="G250" s="485"/>
      <c r="H250" s="485"/>
      <c r="I250" s="444"/>
      <c r="J250" s="445"/>
      <c r="K250" s="14"/>
      <c r="L250" s="14"/>
      <c r="M250" s="475"/>
      <c r="N250" s="426"/>
    </row>
    <row r="251" ht="15" customHeight="1">
      <c r="A251" s="494"/>
      <c r="B251" t="str" s="448" cm="1">
        <f t="array" ref="B251">'WORLDCUP'!W151</f>
        <v>🥈Subcampeón</v>
      </c>
      <c r="C251" t="str" s="448" cm="1">
        <f t="array" ref="C251">'WORLDCUP'!AA151</f>
        <v>LF</v>
      </c>
      <c r="D251" s="14"/>
      <c r="E251" s="485"/>
      <c r="F251" s="485"/>
      <c r="G251" s="485"/>
      <c r="H251" s="485"/>
      <c r="I251" s="444"/>
      <c r="J251" s="418"/>
      <c r="K251" s="419"/>
      <c r="L251" s="419"/>
      <c r="M251" s="475"/>
      <c r="N251" s="426"/>
    </row>
    <row r="252" ht="15" customHeight="1">
      <c r="A252" s="494"/>
      <c r="B252" t="str" s="448" cm="1">
        <f t="array" ref="B252">'WORLDCUP'!W152</f>
        <v>🥉3º puesto</v>
      </c>
      <c r="C252" t="str" s="448" cm="1">
        <f t="array" ref="C252">'WORLDCUP'!AA152</f>
        <v>W34</v>
      </c>
      <c r="D252" s="14"/>
      <c r="E252" s="14"/>
      <c r="F252" s="14"/>
      <c r="G252" s="14"/>
      <c r="H252" s="14"/>
      <c r="I252" s="476"/>
      <c r="J252" s="440"/>
      <c r="K252" s="440"/>
      <c r="L252" s="440"/>
      <c r="M252" s="495"/>
      <c r="N252" s="426"/>
    </row>
    <row r="253" ht="15" customHeight="1">
      <c r="A253" s="496"/>
      <c r="B253" t="str" s="448" cm="1">
        <f t="array" ref="B253">'WORLDCUP'!W154</f>
        <v>Bota de Oro  (máximo goleador)</v>
      </c>
      <c r="C253" t="str" s="448" cm="1">
        <f t="array" ref="C253">'WORLDCUP'!AA154</f>
        <v>Escribe un jugador</v>
      </c>
      <c r="D253" s="497"/>
      <c r="E253" t="s" s="498">
        <v>1020</v>
      </c>
      <c r="F253" s="14"/>
      <c r="G253" s="14"/>
      <c r="H253" s="14"/>
      <c r="I253" s="499"/>
      <c r="J253" s="499"/>
      <c r="K253" s="499"/>
      <c r="L253" s="500"/>
      <c r="M253" s="501"/>
      <c r="N253" s="426"/>
    </row>
    <row r="254" ht="15" customHeight="1">
      <c r="A254" s="502"/>
      <c r="B254" t="str" s="448" cm="1">
        <f t="array" ref="B254">'WORLDCUP'!W155</f>
        <v>Bota de Plata (2º máximo goleador)</v>
      </c>
      <c r="C254" t="str" s="448" cm="1">
        <f t="array" ref="C254">'WORLDCUP'!AA155</f>
        <v>Escribe un jugador</v>
      </c>
      <c r="D254" s="497"/>
      <c r="E254" s="14"/>
      <c r="F254" s="14"/>
      <c r="G254" s="14"/>
      <c r="H254" s="14"/>
      <c r="I254" s="499"/>
      <c r="J254" s="499"/>
      <c r="K254" s="499"/>
      <c r="L254" s="500"/>
      <c r="M254" s="503"/>
      <c r="N254" s="426"/>
    </row>
    <row r="255" ht="15" customHeight="1">
      <c r="A255" s="502"/>
      <c r="B255" t="str" s="448" cm="1">
        <f t="array" ref="B255">'WORLDCUP'!W156</f>
        <v>Bota de Bronce (3º máximo goleador)</v>
      </c>
      <c r="C255" t="str" s="448" cm="1">
        <f t="array" ref="C255">'WORLDCUP'!AA156</f>
        <v>Escribe un jugador</v>
      </c>
      <c r="D255" s="497"/>
      <c r="E255" s="14"/>
      <c r="F255" s="14"/>
      <c r="G255" s="14"/>
      <c r="H255" s="14"/>
      <c r="I255" s="499"/>
      <c r="J255" s="499"/>
      <c r="K255" s="499"/>
      <c r="L255" s="500"/>
      <c r="M255" s="503"/>
      <c r="N255" s="426"/>
    </row>
    <row r="256" ht="15" customHeight="1">
      <c r="A256" s="493"/>
      <c r="B256" t="str" s="448" cm="1">
        <f t="array" ref="B256">'WORLDCUP'!W158</f>
        <v>Balón de Oro  (mejor jugador)</v>
      </c>
      <c r="C256" t="str" s="448" cm="1">
        <f t="array" ref="C256">'WORLDCUP'!AA158</f>
        <v>Escribe un jugador</v>
      </c>
      <c r="D256" s="497"/>
      <c r="E256" s="14"/>
      <c r="F256" s="14"/>
      <c r="G256" s="14"/>
      <c r="H256" s="14"/>
      <c r="I256" s="499"/>
      <c r="J256" s="499"/>
      <c r="K256" s="499"/>
      <c r="L256" s="500"/>
      <c r="M256" s="503"/>
      <c r="N256" s="426"/>
    </row>
    <row r="257" ht="15" customHeight="1">
      <c r="A257" s="494"/>
      <c r="B257" t="str" s="448" cm="1">
        <f t="array" ref="B257">'WORLDCUP'!W159</f>
        <v>Balón de Plata (2º mejor jugador)</v>
      </c>
      <c r="C257" t="str" s="448" cm="1">
        <f t="array" ref="C257">'WORLDCUP'!AA159</f>
        <v>Escribe un jugador</v>
      </c>
      <c r="D257" s="497"/>
      <c r="E257" s="497"/>
      <c r="F257" s="499"/>
      <c r="G257" s="499"/>
      <c r="H257" s="499"/>
      <c r="I257" s="499"/>
      <c r="J257" s="499"/>
      <c r="K257" s="499"/>
      <c r="L257" s="500"/>
      <c r="M257" s="503"/>
      <c r="N257" s="426"/>
    </row>
    <row r="258" ht="15" customHeight="1">
      <c r="A258" s="504"/>
      <c r="B258" t="str" s="448" cm="1">
        <f t="array" ref="B258">'WORLDCUP'!W160</f>
        <v>Balón de Bronce (3º mejor jugador)</v>
      </c>
      <c r="C258" t="str" s="448" cm="1">
        <f t="array" ref="C258">'WORLDCUP'!AA160</f>
        <v>Escribe un jugador</v>
      </c>
      <c r="D258" s="505"/>
      <c r="E258" s="505"/>
      <c r="F258" s="506"/>
      <c r="G258" s="506"/>
      <c r="H258" s="506"/>
      <c r="I258" s="506"/>
      <c r="J258" s="506"/>
      <c r="K258" s="506"/>
      <c r="L258" s="507"/>
      <c r="M258" s="508"/>
      <c r="N258" s="509"/>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BO134"/>
  <sheetViews>
    <sheetView workbookViewId="0" showGridLines="0" defaultGridColor="1"/>
  </sheetViews>
  <sheetFormatPr defaultColWidth="10.8333" defaultRowHeight="15" customHeight="1" outlineLevelRow="0" outlineLevelCol="0"/>
  <cols>
    <col min="1" max="1" width="3.35156" style="510" customWidth="1"/>
    <col min="2" max="2" width="2.67188" style="510" customWidth="1"/>
    <col min="3" max="3" width="5.67188" style="510" customWidth="1"/>
    <col min="4" max="5" width="3.35156" style="510" customWidth="1"/>
    <col min="6" max="6" width="6.17188" style="510" customWidth="1"/>
    <col min="7" max="7" width="2.5" style="510" customWidth="1"/>
    <col min="8" max="9" width="3.85156" style="510" customWidth="1"/>
    <col min="10" max="10" width="4.5" style="510" customWidth="1"/>
    <col min="11" max="11" width="5.35156" style="510" customWidth="1"/>
    <col min="12" max="12" hidden="1" width="10.8333" style="510" customWidth="1"/>
    <col min="13" max="13" width="1.67188" style="510" customWidth="1"/>
    <col min="14" max="14" width="2.67188" style="510" customWidth="1"/>
    <col min="15" max="15" width="4.35156" style="510" customWidth="1"/>
    <col min="16" max="17" width="3.35156" style="510" customWidth="1"/>
    <col min="18" max="18" width="5.17188" style="510" customWidth="1"/>
    <col min="19" max="19" width="2.5" style="510" customWidth="1"/>
    <col min="20" max="20" width="4.35156" style="510" customWidth="1"/>
    <col min="21" max="22" width="3.67188" style="510" customWidth="1"/>
    <col min="23" max="23" width="4.85156" style="510" customWidth="1"/>
    <col min="24" max="24" hidden="1" width="10.8333" style="510" customWidth="1"/>
    <col min="25" max="25" width="2.85156" style="510" customWidth="1"/>
    <col min="26" max="26" width="7.5" style="510" customWidth="1"/>
    <col min="27" max="27" width="9.85156" style="510" customWidth="1"/>
    <col min="28" max="29" width="4.35156" style="510" customWidth="1"/>
    <col min="30" max="30" width="2.85156" style="510" customWidth="1"/>
    <col min="31" max="31" width="9.85156" style="510" customWidth="1"/>
    <col min="32" max="33" width="4.35156" style="510" customWidth="1"/>
    <col min="34" max="34" width="2.85156" style="510" customWidth="1"/>
    <col min="35" max="35" width="9.85156" style="510" customWidth="1"/>
    <col min="36" max="37" width="4.35156" style="510" customWidth="1"/>
    <col min="38" max="38" width="2.85156" style="510" customWidth="1"/>
    <col min="39" max="39" width="9.85156" style="510" customWidth="1"/>
    <col min="40" max="41" width="4.35156" style="510" customWidth="1"/>
    <col min="42" max="42" width="2.85156" style="510" customWidth="1"/>
    <col min="43" max="43" width="9.85156" style="510" customWidth="1"/>
    <col min="44" max="45" width="4.35156" style="510" customWidth="1"/>
    <col min="46" max="46" width="2.85156" style="510" customWidth="1"/>
    <col min="47" max="47" width="9.85156" style="510" customWidth="1"/>
    <col min="48" max="49" width="4.35156" style="510" customWidth="1"/>
    <col min="50" max="50" width="4" style="510" customWidth="1"/>
    <col min="51" max="51" width="3.35156" style="510" customWidth="1"/>
    <col min="52" max="54" width="7.85156" style="510" customWidth="1"/>
    <col min="55" max="55" width="3.35156" style="510" customWidth="1"/>
    <col min="56" max="58" width="2.5" style="510" customWidth="1"/>
    <col min="59" max="59" width="20.8516" style="510" customWidth="1"/>
    <col min="60" max="67" width="4.85156" style="510" customWidth="1"/>
    <col min="68" max="16384" width="10.8516" style="510" customWidth="1"/>
  </cols>
  <sheetData>
    <row r="1" ht="8"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511"/>
      <c r="AE1" s="3"/>
      <c r="AF1" s="3"/>
      <c r="AG1" s="3"/>
      <c r="AH1" s="3"/>
      <c r="AI1" s="3"/>
      <c r="AJ1" s="3"/>
      <c r="AK1" s="3"/>
      <c r="AL1" s="511"/>
      <c r="AM1" s="3"/>
      <c r="AN1" s="3"/>
      <c r="AO1" s="3"/>
      <c r="AP1" s="3"/>
      <c r="AQ1" s="3"/>
      <c r="AR1" s="3"/>
      <c r="AS1" s="3"/>
      <c r="AT1" s="511"/>
      <c r="AU1" s="3"/>
      <c r="AV1" s="3"/>
      <c r="AW1" s="3"/>
      <c r="AX1" s="3"/>
      <c r="AY1" s="3"/>
      <c r="AZ1" s="3"/>
      <c r="BA1" s="3"/>
      <c r="BB1" s="3"/>
      <c r="BC1" s="3"/>
      <c r="BD1" s="3"/>
      <c r="BE1" s="3"/>
      <c r="BF1" s="407"/>
      <c r="BG1" s="407"/>
      <c r="BH1" s="407"/>
      <c r="BI1" s="407"/>
      <c r="BJ1" s="407"/>
      <c r="BK1" s="407"/>
      <c r="BL1" s="407"/>
      <c r="BM1" s="407"/>
      <c r="BN1" s="407"/>
      <c r="BO1" s="408"/>
    </row>
    <row r="2" ht="10" customHeight="1">
      <c r="A2" s="7"/>
      <c r="B2" s="124"/>
      <c r="C2" s="512"/>
      <c r="D2" s="512"/>
      <c r="E2" s="512"/>
      <c r="F2" s="512"/>
      <c r="G2" s="512"/>
      <c r="H2" s="512"/>
      <c r="I2" s="512"/>
      <c r="J2" s="512"/>
      <c r="K2" s="512"/>
      <c r="L2" s="82"/>
      <c r="M2" s="83"/>
      <c r="N2" s="513"/>
      <c r="O2" s="514"/>
      <c r="P2" s="512"/>
      <c r="Q2" s="124"/>
      <c r="R2" s="124"/>
      <c r="S2" s="512"/>
      <c r="T2" s="124"/>
      <c r="U2" s="512"/>
      <c r="V2" s="512"/>
      <c r="W2" s="512"/>
      <c r="X2" s="83"/>
      <c r="Y2" s="515"/>
      <c r="Z2" s="515"/>
      <c r="AA2" s="516"/>
      <c r="AB2" s="516"/>
      <c r="AC2" s="8"/>
      <c r="AD2" s="83"/>
      <c r="AE2" s="8"/>
      <c r="AF2" s="8"/>
      <c r="AG2" s="8"/>
      <c r="AH2" s="8"/>
      <c r="AI2" s="517"/>
      <c r="AJ2" s="517"/>
      <c r="AK2" s="517"/>
      <c r="AL2" s="518"/>
      <c r="AM2" s="517"/>
      <c r="AN2" s="517"/>
      <c r="AO2" s="517"/>
      <c r="AP2" s="316"/>
      <c r="AQ2" s="517"/>
      <c r="AR2" s="517"/>
      <c r="AS2" s="517"/>
      <c r="AT2" s="316"/>
      <c r="AU2" s="517"/>
      <c r="AV2" s="517"/>
      <c r="AW2" s="517"/>
      <c r="AX2" s="8"/>
      <c r="AY2" s="8"/>
      <c r="AZ2" s="8"/>
      <c r="BA2" s="8"/>
      <c r="BB2" s="8"/>
      <c r="BC2" s="8"/>
      <c r="BD2" s="8"/>
      <c r="BE2" s="8"/>
      <c r="BF2" s="14"/>
      <c r="BG2" s="519"/>
      <c r="BH2" s="519"/>
      <c r="BI2" s="519"/>
      <c r="BJ2" s="519"/>
      <c r="BK2" s="519"/>
      <c r="BL2" s="519"/>
      <c r="BM2" s="519"/>
      <c r="BN2" s="519"/>
      <c r="BO2" s="520"/>
    </row>
    <row r="3" ht="16" customHeight="1">
      <c r="A3" s="521">
        <v>1</v>
      </c>
      <c r="B3" t="s" s="522">
        <v>46</v>
      </c>
      <c r="C3" t="str" s="523" cm="1">
        <f t="array" ref="C3">MID(INDEX('WORLDCUP'!$AA$4:$AA$147,MATCH(A3,'WORLDCUP'!$AH$4:$AH$147,0)),1,3)</f>
        <v>Méx</v>
      </c>
      <c r="D3" s="524" cm="1">
        <f t="array" ref="D3">IF(ISBLANK(INDEX('WORLDCUP'!$AC$4:$AC$147,MATCH(A3,'WORLDCUP'!$AH$4:$AH$147,0))),"",INDEX('WORLDCUP'!$AC$4:$AC$147,MATCH(A3,'WORLDCUP'!$AH$4:$AH$147,0)))</f>
        <v>2</v>
      </c>
      <c r="E3" s="524" cm="1">
        <f t="array" ref="E3">IF(ISBLANK(INDEX('WORLDCUP'!$AD$4:$AD$147,MATCH(A3,'WORLDCUP'!$AH$4:$AH$147,0))),"",INDEX('WORLDCUP'!$AD$4:$AD$147,MATCH(A3,'WORLDCUP'!$AH$4:$AH$147,0)))</f>
        <v>1</v>
      </c>
      <c r="F3" t="str" s="525" cm="1">
        <f t="array" ref="F3">MID(INDEX('WORLDCUP'!$AF$4:$AF$147,MATCH(A3,'WORLDCUP'!$AH$4:$AH$147,0)),1,3)</f>
        <v>Sud</v>
      </c>
      <c r="G3" s="526"/>
      <c r="H3" t="str" s="527" cm="1">
        <f t="array" ref="H3">MID('WORLDCUP'!AL5,1,3)</f>
        <v>Sel</v>
      </c>
      <c r="I3" t="s" s="528">
        <v>61</v>
      </c>
      <c r="J3" t="str" s="529" cm="1">
        <f t="array" ref="J3">'WORLDCUP'!AT5</f>
        <v>DG</v>
      </c>
      <c r="K3" t="str" s="530" cm="1">
        <f t="array" ref="K3">'WORLDCUP'!AR5&amp;"-"&amp;'WORLDCUP'!AS5</f>
        <v>GF-GC</v>
      </c>
      <c r="L3" s="531"/>
      <c r="M3" s="532">
        <v>16</v>
      </c>
      <c r="N3" t="s" s="533">
        <v>63</v>
      </c>
      <c r="O3" t="str" s="523" cm="1">
        <f t="array" ref="O3">MID(INDEX('WORLDCUP'!$AA$4:$AA$147,MATCH(M3,'WORLDCUP'!$AH$4:$AH$147,0)),1,3)</f>
        <v>Bél</v>
      </c>
      <c r="P3" s="524" cm="1">
        <f t="array" ref="P3">IF(ISBLANK(INDEX('WORLDCUP'!$AC$4:$AC$147,MATCH(M3,'WORLDCUP'!$AH$4:$AH$147,0))),"",INDEX('WORLDCUP'!$AC$4:$AC$147,MATCH(M3,'WORLDCUP'!$AH$4:$AH$147,0)))</f>
        <v>1</v>
      </c>
      <c r="Q3" s="524" cm="1">
        <f t="array" ref="Q3">IF(ISBLANK(INDEX('WORLDCUP'!$AD$4:$AD$147,MATCH(M3,'WORLDCUP'!$AH$4:$AH$147,0))),"",INDEX('WORLDCUP'!$AD$4:$AD$147,MATCH(M3,'WORLDCUP'!$AH$4:$AH$147,0)))</f>
        <v>0</v>
      </c>
      <c r="R3" t="str" s="525" cm="1">
        <f t="array" ref="R3">MID(INDEX('WORLDCUP'!$AF$4:$AF$147,MATCH(M3,'WORLDCUP'!$AH$4:$AH$147,0)),1,3)</f>
        <v>Egi</v>
      </c>
      <c r="S3" s="526"/>
      <c r="T3" t="str" s="527" cm="1">
        <f t="array" ref="T3">H43</f>
        <v>Sel</v>
      </c>
      <c r="U3" t="str" s="529" cm="1">
        <f t="array" ref="U3">I43</f>
        <v>Pts</v>
      </c>
      <c r="V3" t="str" s="529" cm="1">
        <f t="array" ref="V3">J43</f>
        <v>DG</v>
      </c>
      <c r="W3" t="str" s="530" cm="1">
        <f t="array" ref="W3">K43</f>
        <v>GF-GC</v>
      </c>
      <c r="X3" s="534"/>
      <c r="Y3" s="535">
        <v>74</v>
      </c>
      <c r="Z3" t="s" s="536">
        <v>249</v>
      </c>
      <c r="AA3" t="str" s="537" cm="1">
        <f t="array" ref="AA3">MID(INDEX('WORLDCUP'!$AA$101:$AA$147,MATCH(Y3,'WORLDCUP'!$Z$101:$Z$147,0)),1,3)</f>
        <v>Ale</v>
      </c>
      <c r="AB3" t="str" s="538" cm="1">
        <f t="array" ref="AB3">IF(ISBLANK(INDEX('WORLDCUP'!$AC$101:$AC$147,MATCH(Y3,'WORLDCUP'!$Z$101:$Z$147,0))),"",INDEX('WORLDCUP'!$AC$101:$AC$147,MATCH(Y3,'WORLDCUP'!$Z$101:$Z$147,0)))</f>
      </c>
      <c r="AC3" t="str" s="539" cm="1">
        <f t="array" ref="AC3">IF(ISBLANK(INDEX('WORLDCUP'!$AB$101:$AB$147,MATCH(Y3,'WORLDCUP'!$Z$101:$Z$147,0))),"","( "&amp;INDEX('WORLDCUP'!$AB$101:$AB$147,MATCH(Y3,'WORLDCUP'!$Z$101:$Z$147,0))&amp;" )")</f>
      </c>
      <c r="AD3" s="83"/>
      <c r="AE3" s="540"/>
      <c r="AF3" s="540"/>
      <c r="AG3" s="541"/>
      <c r="AH3" s="316"/>
      <c r="AI3" s="542"/>
      <c r="AJ3" s="542"/>
      <c r="AK3" s="542"/>
      <c r="AL3" s="518"/>
      <c r="AM3" s="543"/>
      <c r="AN3" s="543"/>
      <c r="AO3" s="543"/>
      <c r="AP3" s="316"/>
      <c r="AQ3" s="544"/>
      <c r="AR3" s="544"/>
      <c r="AS3" s="544"/>
      <c r="AT3" s="316"/>
      <c r="AU3" s="545"/>
      <c r="AV3" s="545"/>
      <c r="AW3" s="545"/>
      <c r="AX3" s="316"/>
      <c r="AY3" s="8"/>
      <c r="AZ3" s="8"/>
      <c r="BA3" s="8"/>
      <c r="BB3" s="8"/>
      <c r="BC3" s="8"/>
      <c r="BD3" s="8"/>
      <c r="BE3" s="8"/>
      <c r="BF3" s="546"/>
      <c r="BG3" s="547"/>
      <c r="BH3" t="s" s="548">
        <v>63</v>
      </c>
      <c r="BI3" t="s" s="549">
        <v>540</v>
      </c>
      <c r="BJ3" t="s" s="550">
        <v>621</v>
      </c>
      <c r="BK3" t="s" s="551">
        <v>671</v>
      </c>
      <c r="BL3" t="s" s="552">
        <v>700</v>
      </c>
      <c r="BM3" t="s" s="553">
        <v>1036</v>
      </c>
      <c r="BN3" t="s" s="554">
        <v>1037</v>
      </c>
      <c r="BO3" t="s" s="555">
        <v>1038</v>
      </c>
    </row>
    <row r="4" ht="16" customHeight="1">
      <c r="A4" s="521">
        <v>2</v>
      </c>
      <c r="B4" s="556"/>
      <c r="C4" t="str" s="557" cm="1">
        <f t="array" ref="C4">MID(INDEX('WORLDCUP'!$AA$4:$AA$147,MATCH(A4,'WORLDCUP'!$AH$4:$AH$147,0)),1,3)</f>
        <v>Cor</v>
      </c>
      <c r="D4" s="128" cm="1">
        <f t="array" ref="D4">IF(ISBLANK(INDEX('WORLDCUP'!$AC$4:$AC$147,MATCH(A4,'WORLDCUP'!$AH$4:$AH$147,0))),"",INDEX('WORLDCUP'!$AC$4:$AC$147,MATCH(A4,'WORLDCUP'!$AH$4:$AH$147,0)))</f>
        <v>1</v>
      </c>
      <c r="E4" s="128" cm="1">
        <f t="array" ref="E4">IF(ISBLANK(INDEX('WORLDCUP'!$AD$4:$AD$147,MATCH(A4,'WORLDCUP'!$AH$4:$AH$147,0))),"",INDEX('WORLDCUP'!$AD$4:$AD$147,MATCH(A4,'WORLDCUP'!$AH$4:$AH$147,0)))</f>
        <v>0</v>
      </c>
      <c r="F4" t="str" s="558" cm="1">
        <f t="array" ref="F4">MID(INDEX('WORLDCUP'!$AF$4:$AF$147,MATCH(A4,'WORLDCUP'!$AH$4:$AH$147,0)),1,3)</f>
        <v>Rep</v>
      </c>
      <c r="G4" s="559">
        <v>1</v>
      </c>
      <c r="H4" t="str" s="560" cm="1">
        <f t="array" ref="H4">MID(INDEX('WORLDCUP'!$AL$6:$AL$97,MATCH(L4,'WORLDCUP'!$AI$6:$AI$97,0)),1,3)</f>
        <v>Méx</v>
      </c>
      <c r="I4" s="561" cm="1">
        <f t="array" ref="I4">INDEX('WORLDCUP'!$AM$6:$AM$97,MATCH(L4,'WORLDCUP'!$AI$6:$AI$97,0))</f>
        <v>6</v>
      </c>
      <c r="J4" s="562" cm="1">
        <f t="array" ref="J4">INDEX('WORLDCUP'!$AT$6:$AT$97,MATCH(L4,'WORLDCUP'!$AI$6:$AI$97,0))</f>
        <v>0</v>
      </c>
      <c r="K4" t="str" s="563" cm="1">
        <f t="array" ref="K4">INDEX('WORLDCUP'!$AR$6:$AR$97,MATCH(L4,'WORLDCUP'!$AI$6:$AI$97,0))&amp;"-"&amp;INDEX('WORLDCUP'!$AS$6:$AS$97,MATCH(L4,'WORLDCUP'!$AI$6:$AI$97,0))</f>
        <v>3-3</v>
      </c>
      <c r="L4" t="s" s="564">
        <v>137</v>
      </c>
      <c r="M4" s="532">
        <v>15</v>
      </c>
      <c r="N4" s="565"/>
      <c r="O4" t="str" s="557" cm="1">
        <f t="array" ref="O4">MID(INDEX('WORLDCUP'!$AA$4:$AA$147,MATCH(M4,'WORLDCUP'!$AH$4:$AH$147,0)),1,3)</f>
        <v>Irá</v>
      </c>
      <c r="P4" s="128" cm="1">
        <f t="array" ref="P4">IF(ISBLANK(INDEX('WORLDCUP'!$AC$4:$AC$147,MATCH(M4,'WORLDCUP'!$AH$4:$AH$147,0))),"",INDEX('WORLDCUP'!$AC$4:$AC$147,MATCH(M4,'WORLDCUP'!$AH$4:$AH$147,0)))</f>
        <v>1</v>
      </c>
      <c r="Q4" s="128" cm="1">
        <f t="array" ref="Q4">IF(ISBLANK(INDEX('WORLDCUP'!$AD$4:$AD$147,MATCH(M4,'WORLDCUP'!$AH$4:$AH$147,0))),"",INDEX('WORLDCUP'!$AD$4:$AD$147,MATCH(M4,'WORLDCUP'!$AH$4:$AH$147,0)))</f>
        <v>0</v>
      </c>
      <c r="R4" t="str" s="558" cm="1">
        <f t="array" ref="R4">MID(INDEX('WORLDCUP'!$AF$4:$AF$147,MATCH(M4,'WORLDCUP'!$AH$4:$AH$147,0)),1,3)</f>
        <v>Nue</v>
      </c>
      <c r="S4" s="559">
        <v>1</v>
      </c>
      <c r="T4" t="str" s="560" cm="1">
        <f t="array" ref="T4">MID(INDEX('WORLDCUP'!$AL$6:$AL$97,MATCH(X4,'WORLDCUP'!$AI$6:$AI$97,0)),1,3)</f>
        <v>Bél</v>
      </c>
      <c r="U4" s="561" cm="1">
        <f t="array" ref="U4">INDEX('WORLDCUP'!$AM$6:$AM$97,MATCH(X4,'WORLDCUP'!$AI$6:$AI$97,0))</f>
        <v>9</v>
      </c>
      <c r="V4" s="562" cm="1">
        <f t="array" ref="V4">INDEX('WORLDCUP'!$AT$6:$AT$97,MATCH(X4,'WORLDCUP'!$AI$6:$AI$97,0))</f>
        <v>4</v>
      </c>
      <c r="W4" t="str" s="563" cm="1">
        <f t="array" ref="W4">INDEX('WORLDCUP'!$AR$6:$AR$97,MATCH(X4,'WORLDCUP'!$AI$6:$AI$97,0))&amp;"-"&amp;INDEX('WORLDCUP'!$AS$6:$AS$97,MATCH(X4,'WORLDCUP'!$AI$6:$AI$97,0))</f>
        <v>6-2</v>
      </c>
      <c r="X4" t="s" s="566">
        <v>295</v>
      </c>
      <c r="Y4" s="535">
        <v>74</v>
      </c>
      <c r="Z4" t="s" s="536">
        <v>543</v>
      </c>
      <c r="AA4" t="str" s="537" cm="1">
        <f t="array" ref="AA4">MID(INDEX('WORLDCUP'!$AF$101:$AF$147,MATCH(Y4,'WORLDCUP'!$Z$101:$Z$147,0)),1,IF('WORLDCUP'!$H$113&lt;144,6,3))</f>
        <v>3AB</v>
      </c>
      <c r="AB4" t="str" s="538" cm="1">
        <f t="array" ref="AB4">IF(ISBLANK(INDEX('WORLDCUP'!$AD$101:$AD$147,MATCH(Y4,'WORLDCUP'!$Z$101:$Z$147,0))),"",INDEX('WORLDCUP'!$AD$101:$AD$147,MATCH(Y4,'WORLDCUP'!$Z$101:$Z$147,0)))</f>
      </c>
      <c r="AC4" t="str" s="567" cm="1">
        <f t="array" ref="AC4">IF(ISBLANK(INDEX('WORLDCUP'!$AE$101:$AE$147,MATCH(Y4,'WORLDCUP'!$Z$101:$Z$147,0))),"","( "&amp;INDEX('WORLDCUP'!$AE$101:$AE$147,MATCH(Y4,'WORLDCUP'!$Z$101:$Z$147,0))&amp;" )")</f>
      </c>
      <c r="AD4" s="568">
        <v>89</v>
      </c>
      <c r="AE4" t="str" s="569" cm="1">
        <f t="array" ref="AE4">MID(INDEX('WORLDCUP'!$AA$101:$AA$147,MATCH(AD4,'WORLDCUP'!$Z$101:$Z$147,0)),1,3)</f>
        <v>W74</v>
      </c>
      <c r="AF4" t="str" s="570" cm="1">
        <f t="array" ref="AF4">IF(ISBLANK(INDEX('WORLDCUP'!$AC$101:$AC$147,MATCH(AD4,'WORLDCUP'!$Z$101:$Z$147,0))),"",INDEX('WORLDCUP'!$AC$101:$AC$147,MATCH(AD4,'WORLDCUP'!$Z$101:$Z$147,0)))</f>
      </c>
      <c r="AG4" t="str" s="571" cm="1">
        <f t="array" ref="AG4">IF(ISBLANK(INDEX('WORLDCUP'!$AB$101:$AB$147,MATCH(AD4,'WORLDCUP'!$Z$101:$Z$147,0))),"","( "&amp;INDEX('WORLDCUP'!$AB$101:$AB$147,MATCH(AD4,'WORLDCUP'!$Z$101:$Z$147,0))&amp;" )")</f>
      </c>
      <c r="AH4" s="316"/>
      <c r="AI4" s="572"/>
      <c r="AJ4" s="572"/>
      <c r="AK4" s="572"/>
      <c r="AL4" s="518"/>
      <c r="AM4" s="543"/>
      <c r="AN4" s="543"/>
      <c r="AO4" s="543"/>
      <c r="AP4" s="316"/>
      <c r="AQ4" s="573"/>
      <c r="AR4" s="573"/>
      <c r="AS4" s="573"/>
      <c r="AT4" s="316"/>
      <c r="AU4" s="545"/>
      <c r="AV4" s="545"/>
      <c r="AW4" s="545"/>
      <c r="AX4" s="316"/>
      <c r="AY4" s="574"/>
      <c r="AZ4" s="8"/>
      <c r="BA4" s="8"/>
      <c r="BB4" s="8"/>
      <c r="BC4" s="8"/>
      <c r="BD4" s="8"/>
      <c r="BE4" s="8"/>
      <c r="BF4" s="546"/>
      <c r="BG4" t="s" s="575">
        <v>247</v>
      </c>
      <c r="BH4" s="576" cm="1">
        <f t="array" ref="BH4">1-SUM(BI4:BO4)</f>
        <v>0</v>
      </c>
      <c r="BI4" s="576" cm="1">
        <f t="array" ref="BI4">COUNTIF('Pool'!$C$130:$C$161,BG4)-BJ4-BK4-BL4-BM4-BN4-BO4</f>
        <v>1</v>
      </c>
      <c r="BJ4" s="577" cm="1">
        <f t="array" ref="BJ4">COUNTIF('Pool'!$C$182:$C$197,BG4)-BK4-BL4-BM4-BN4-BO4</f>
        <v>0</v>
      </c>
      <c r="BK4" s="578" cm="1">
        <f t="array" ref="BK4">COUNTIF('Pool'!$C$210:$C$217,BG4)-BL4-BM4-BN4-BO4</f>
        <v>0</v>
      </c>
      <c r="BL4" s="578" cm="1">
        <f t="array" ref="BL4">COUNTIF('Pool'!$C$226:$C$229,BG4)-BM4-BN4-BO4</f>
        <v>0</v>
      </c>
      <c r="BM4" s="576" cm="1">
        <f t="array" ref="BM4">COUNTIF('Pool'!$C$252,BG4)</f>
        <v>0</v>
      </c>
      <c r="BN4" s="576" cm="1">
        <f t="array" ref="BN4">COUNTIF('Pool'!$C$251,BG4)</f>
        <v>0</v>
      </c>
      <c r="BO4" s="579" cm="1">
        <f t="array" ref="BO4">COUNTIF('Pool'!$C$250,BG4)</f>
        <v>0</v>
      </c>
    </row>
    <row r="5" ht="15" customHeight="1">
      <c r="A5" s="521">
        <v>25</v>
      </c>
      <c r="B5" s="556"/>
      <c r="C5" t="str" s="557" cm="1">
        <f t="array" ref="C5">MID(INDEX('WORLDCUP'!$AA$4:$AA$147,MATCH(A5,'WORLDCUP'!$AH$4:$AH$147,0)),1,3)</f>
        <v>Rep</v>
      </c>
      <c r="D5" s="128" cm="1">
        <f t="array" ref="D5">IF(ISBLANK(INDEX('WORLDCUP'!$AC$4:$AC$147,MATCH(A5,'WORLDCUP'!$AH$4:$AH$147,0))),"",INDEX('WORLDCUP'!$AC$4:$AC$147,MATCH(A5,'WORLDCUP'!$AH$4:$AH$147,0)))</f>
        <v>1</v>
      </c>
      <c r="E5" s="128" cm="1">
        <f t="array" ref="E5">IF(ISBLANK(INDEX('WORLDCUP'!$AD$4:$AD$147,MATCH(A5,'WORLDCUP'!$AH$4:$AH$147,0))),"",INDEX('WORLDCUP'!$AD$4:$AD$147,MATCH(A5,'WORLDCUP'!$AH$4:$AH$147,0)))</f>
        <v>2</v>
      </c>
      <c r="F5" t="str" s="558" cm="1">
        <f t="array" ref="F5">MID(INDEX('WORLDCUP'!$AF$4:$AF$147,MATCH(A5,'WORLDCUP'!$AH$4:$AH$147,0)),1,3)</f>
        <v>Sud</v>
      </c>
      <c r="G5" s="580">
        <v>2</v>
      </c>
      <c r="H5" t="str" s="581" cm="1">
        <f t="array" ref="H5">MID(INDEX('WORLDCUP'!$AL$6:$AL$97,MATCH(L5,'WORLDCUP'!$AI$6:$AI$97,0)),1,3)</f>
        <v>Sud</v>
      </c>
      <c r="I5" s="158" cm="1">
        <f t="array" ref="I5">INDEX('WORLDCUP'!$AM$6:$AM$97,MATCH(L5,'WORLDCUP'!$AI$6:$AI$97,0))</f>
        <v>3</v>
      </c>
      <c r="J5" s="159" cm="1">
        <f t="array" ref="J5">INDEX('WORLDCUP'!$AT$6:$AT$97,MATCH(L5,'WORLDCUP'!$AI$6:$AI$97,0))</f>
        <v>-1</v>
      </c>
      <c r="K5" t="str" s="582" cm="1">
        <f t="array" ref="K5">INDEX('WORLDCUP'!$AR$6:$AR$97,MATCH(L5,'WORLDCUP'!$AI$6:$AI$97,0))&amp;"-"&amp;INDEX('WORLDCUP'!$AS$6:$AS$97,MATCH(L5,'WORLDCUP'!$AI$6:$AI$97,0))</f>
        <v>4-5</v>
      </c>
      <c r="L5" t="s" s="564">
        <v>144</v>
      </c>
      <c r="M5" s="532">
        <v>39</v>
      </c>
      <c r="N5" s="565"/>
      <c r="O5" t="str" s="557" cm="1">
        <f t="array" ref="O5">MID(INDEX('WORLDCUP'!$AA$4:$AA$147,MATCH(M5,'WORLDCUP'!$AH$4:$AH$147,0)),1,3)</f>
        <v>Bél</v>
      </c>
      <c r="P5" s="128" cm="1">
        <f t="array" ref="P5">IF(ISBLANK(INDEX('WORLDCUP'!$AC$4:$AC$147,MATCH(M5,'WORLDCUP'!$AH$4:$AH$147,0))),"",INDEX('WORLDCUP'!$AC$4:$AC$147,MATCH(M5,'WORLDCUP'!$AH$4:$AH$147,0)))</f>
        <v>2</v>
      </c>
      <c r="Q5" s="128" cm="1">
        <f t="array" ref="Q5">IF(ISBLANK(INDEX('WORLDCUP'!$AD$4:$AD$147,MATCH(M5,'WORLDCUP'!$AH$4:$AH$147,0))),"",INDEX('WORLDCUP'!$AD$4:$AD$147,MATCH(M5,'WORLDCUP'!$AH$4:$AH$147,0)))</f>
        <v>1</v>
      </c>
      <c r="R5" t="str" s="558" cm="1">
        <f t="array" ref="R5">MID(INDEX('WORLDCUP'!$AF$4:$AF$147,MATCH(M5,'WORLDCUP'!$AH$4:$AH$147,0)),1,3)</f>
        <v>Irá</v>
      </c>
      <c r="S5" s="580">
        <v>2</v>
      </c>
      <c r="T5" t="str" s="581" cm="1">
        <f t="array" ref="T5">MID(INDEX('WORLDCUP'!$AL$6:$AL$97,MATCH(X5,'WORLDCUP'!$AI$6:$AI$97,0)),1,3)</f>
        <v>Egi</v>
      </c>
      <c r="U5" s="158" cm="1">
        <f t="array" ref="U5">INDEX('WORLDCUP'!$AM$6:$AM$97,MATCH(X5,'WORLDCUP'!$AI$6:$AI$97,0))</f>
        <v>6</v>
      </c>
      <c r="V5" s="159" cm="1">
        <f t="array" ref="V5">INDEX('WORLDCUP'!$AT$6:$AT$97,MATCH(X5,'WORLDCUP'!$AI$6:$AI$97,0))</f>
        <v>1</v>
      </c>
      <c r="W5" t="str" s="582" cm="1">
        <f t="array" ref="W5">INDEX('WORLDCUP'!$AR$6:$AR$97,MATCH(X5,'WORLDCUP'!$AI$6:$AI$97,0))&amp;"-"&amp;INDEX('WORLDCUP'!$AS$6:$AS$97,MATCH(X5,'WORLDCUP'!$AI$6:$AI$97,0))</f>
        <v>3-2</v>
      </c>
      <c r="X5" t="s" s="566">
        <v>301</v>
      </c>
      <c r="Y5" s="583"/>
      <c r="Z5" s="284"/>
      <c r="AA5" s="584"/>
      <c r="AB5" s="584"/>
      <c r="AC5" s="585"/>
      <c r="AD5" s="586">
        <v>89</v>
      </c>
      <c r="AE5" t="str" s="569" cm="1">
        <f t="array" ref="AE5">MID(INDEX('WORLDCUP'!$AF$101:$AF$147,MATCH(AD5,'WORLDCUP'!$Z$101:$Z$147,0)),1,3)</f>
        <v>W77</v>
      </c>
      <c r="AF5" t="str" s="570" cm="1">
        <f t="array" ref="AF5">IF(ISBLANK(INDEX('WORLDCUP'!$AD$101:$AD$147,MATCH(AD5,'WORLDCUP'!$Z$101:$Z$147,0))),"",INDEX('WORLDCUP'!$AD$101:$AD$147,MATCH(AD5,'WORLDCUP'!$Z$101:$Z$147,0)))</f>
      </c>
      <c r="AG5" t="str" s="587" cm="1">
        <f t="array" ref="AG5">IF(ISBLANK(INDEX('WORLDCUP'!$AE$101:$AE$147,MATCH(AD5,'WORLDCUP'!$Z$101:$Z$147,0))),"","( "&amp;INDEX('WORLDCUP'!$AE$101:$AE$147,MATCH(AD5,'WORLDCUP'!$Z$101:$Z$147,0))&amp;" )")</f>
      </c>
      <c r="AH5" s="588"/>
      <c r="AI5" s="572"/>
      <c r="AJ5" s="572"/>
      <c r="AK5" s="572"/>
      <c r="AL5" s="518"/>
      <c r="AM5" s="543"/>
      <c r="AN5" s="543"/>
      <c r="AO5" s="543"/>
      <c r="AP5" s="316"/>
      <c r="AQ5" s="573"/>
      <c r="AR5" s="573"/>
      <c r="AS5" s="573"/>
      <c r="AT5" s="316"/>
      <c r="AU5" s="545"/>
      <c r="AV5" s="545"/>
      <c r="AW5" s="545"/>
      <c r="AX5" s="316"/>
      <c r="AY5" s="8"/>
      <c r="AZ5" s="8"/>
      <c r="BA5" s="8"/>
      <c r="BB5" s="8"/>
      <c r="BC5" s="8"/>
      <c r="BD5" s="8"/>
      <c r="BE5" s="8"/>
      <c r="BF5" s="546"/>
      <c r="BG5" t="s" s="575">
        <v>327</v>
      </c>
      <c r="BH5" s="576" cm="1">
        <f t="array" ref="BH5">1-SUM(BI5:BO5)</f>
        <v>1</v>
      </c>
      <c r="BI5" s="576" cm="1">
        <f t="array" ref="BI5">COUNTIF('Pool'!$C$130:$C$161,BG5)-BJ5-BK5-BL5-BM5-BN5-BO5</f>
        <v>0</v>
      </c>
      <c r="BJ5" s="577" cm="1">
        <f t="array" ref="BJ5">COUNTIF('Pool'!$C$182:$C$197,BG5)-BK5-BL5-BM5-BN5-BO5</f>
        <v>0</v>
      </c>
      <c r="BK5" s="578" cm="1">
        <f t="array" ref="BK5">COUNTIF('Pool'!$C$210:$C$217,BG5)-BL5-BM5-BN5-BO5</f>
        <v>0</v>
      </c>
      <c r="BL5" s="578" cm="1">
        <f t="array" ref="BL5">COUNTIF('Pool'!$C$226:$C$229,BG5)-BM5-BN5-BO5</f>
        <v>0</v>
      </c>
      <c r="BM5" s="576" cm="1">
        <f t="array" ref="BM5">COUNTIF('Pool'!$C$252,BG5)</f>
        <v>0</v>
      </c>
      <c r="BN5" s="576" cm="1">
        <f t="array" ref="BN5">COUNTIF('Pool'!$C$251,BG5)</f>
        <v>0</v>
      </c>
      <c r="BO5" s="579" cm="1">
        <f t="array" ref="BO5">COUNTIF('Pool'!$C$250,BG5)</f>
        <v>0</v>
      </c>
    </row>
    <row r="6" ht="16" customHeight="1">
      <c r="A6" s="521">
        <v>28</v>
      </c>
      <c r="B6" s="556"/>
      <c r="C6" t="str" s="557" cm="1">
        <f t="array" ref="C6">MID(INDEX('WORLDCUP'!$AA$4:$AA$147,MATCH(A6,'WORLDCUP'!$AH$4:$AH$147,0)),1,3)</f>
        <v>Méx</v>
      </c>
      <c r="D6" s="128" cm="1">
        <f t="array" ref="D6">IF(ISBLANK(INDEX('WORLDCUP'!$AC$4:$AC$147,MATCH(A6,'WORLDCUP'!$AH$4:$AH$147,0))),"",INDEX('WORLDCUP'!$AC$4:$AC$147,MATCH(A6,'WORLDCUP'!$AH$4:$AH$147,0)))</f>
        <v>0</v>
      </c>
      <c r="E6" s="128" cm="1">
        <f t="array" ref="E6">IF(ISBLANK(INDEX('WORLDCUP'!$AD$4:$AD$147,MATCH(A6,'WORLDCUP'!$AH$4:$AH$147,0))),"",INDEX('WORLDCUP'!$AD$4:$AD$147,MATCH(A6,'WORLDCUP'!$AH$4:$AH$147,0)))</f>
        <v>2</v>
      </c>
      <c r="F6" t="str" s="558" cm="1">
        <f t="array" ref="F6">MID(INDEX('WORLDCUP'!$AF$4:$AF$147,MATCH(A6,'WORLDCUP'!$AH$4:$AH$147,0)),1,3)</f>
        <v>Cor</v>
      </c>
      <c r="G6" s="580">
        <v>3</v>
      </c>
      <c r="H6" t="str" s="581" cm="1">
        <f t="array" ref="H6">MID(INDEX('WORLDCUP'!$AL$6:$AL$97,MATCH(L6,'WORLDCUP'!$AI$6:$AI$97,0)),1,3)</f>
        <v>Cor</v>
      </c>
      <c r="I6" s="158" cm="1">
        <f t="array" ref="I6">INDEX('WORLDCUP'!$AM$6:$AM$97,MATCH(L6,'WORLDCUP'!$AI$6:$AI$97,0))</f>
        <v>9</v>
      </c>
      <c r="J6" s="159" cm="1">
        <f t="array" ref="J6">INDEX('WORLDCUP'!$AT$6:$AT$97,MATCH(L6,'WORLDCUP'!$AI$6:$AI$97,0))</f>
        <v>4</v>
      </c>
      <c r="K6" t="str" s="582" cm="1">
        <f t="array" ref="K6">INDEX('WORLDCUP'!$AR$6:$AR$97,MATCH(L6,'WORLDCUP'!$AI$6:$AI$97,0))&amp;"-"&amp;INDEX('WORLDCUP'!$AS$6:$AS$97,MATCH(L6,'WORLDCUP'!$AI$6:$AI$97,0))</f>
        <v>5-1</v>
      </c>
      <c r="L6" t="s" s="564">
        <v>151</v>
      </c>
      <c r="M6" s="532">
        <v>40</v>
      </c>
      <c r="N6" s="565"/>
      <c r="O6" t="str" s="557" cm="1">
        <f t="array" ref="O6">MID(INDEX('WORLDCUP'!$AA$4:$AA$147,MATCH(M6,'WORLDCUP'!$AH$4:$AH$147,0)),1,3)</f>
        <v>Nue</v>
      </c>
      <c r="P6" s="128" cm="1">
        <f t="array" ref="P6">IF(ISBLANK(INDEX('WORLDCUP'!$AC$4:$AC$147,MATCH(M6,'WORLDCUP'!$AH$4:$AH$147,0))),"",INDEX('WORLDCUP'!$AC$4:$AC$147,MATCH(M6,'WORLDCUP'!$AH$4:$AH$147,0)))</f>
        <v>1</v>
      </c>
      <c r="Q6" s="128" cm="1">
        <f t="array" ref="Q6">IF(ISBLANK(INDEX('WORLDCUP'!$AD$4:$AD$147,MATCH(M6,'WORLDCUP'!$AH$4:$AH$147,0))),"",INDEX('WORLDCUP'!$AD$4:$AD$147,MATCH(M6,'WORLDCUP'!$AH$4:$AH$147,0)))</f>
        <v>2</v>
      </c>
      <c r="R6" t="str" s="558" cm="1">
        <f t="array" ref="R6">MID(INDEX('WORLDCUP'!$AF$4:$AF$147,MATCH(M6,'WORLDCUP'!$AH$4:$AH$147,0)),1,3)</f>
        <v>Egi</v>
      </c>
      <c r="S6" s="580">
        <v>3</v>
      </c>
      <c r="T6" t="str" s="581" cm="1">
        <f t="array" ref="T6">MID(INDEX('WORLDCUP'!$AL$6:$AL$97,MATCH(X6,'WORLDCUP'!$AI$6:$AI$97,0)),1,3)</f>
        <v>Irá</v>
      </c>
      <c r="U6" s="158" cm="1">
        <f t="array" ref="U6">INDEX('WORLDCUP'!$AM$6:$AM$97,MATCH(X6,'WORLDCUP'!$AI$6:$AI$97,0))</f>
        <v>3</v>
      </c>
      <c r="V6" s="159" cm="1">
        <f t="array" ref="V6">INDEX('WORLDCUP'!$AT$6:$AT$97,MATCH(X6,'WORLDCUP'!$AI$6:$AI$97,0))</f>
        <v>-1</v>
      </c>
      <c r="W6" t="str" s="582" cm="1">
        <f t="array" ref="W6">INDEX('WORLDCUP'!$AR$6:$AR$97,MATCH(X6,'WORLDCUP'!$AI$6:$AI$97,0))&amp;"-"&amp;INDEX('WORLDCUP'!$AS$6:$AS$97,MATCH(X6,'WORLDCUP'!$AI$6:$AI$97,0))</f>
        <v>2-3</v>
      </c>
      <c r="X6" t="s" s="566">
        <v>307</v>
      </c>
      <c r="Y6" s="535">
        <v>77</v>
      </c>
      <c r="Z6" t="s" s="536">
        <v>342</v>
      </c>
      <c r="AA6" t="str" s="537" cm="1">
        <f t="array" ref="AA6">MID(INDEX('WORLDCUP'!$AA$101:$AA$147,MATCH(Y6,'WORLDCUP'!$Z$101:$Z$147,0)),1,3)</f>
        <v>Fra</v>
      </c>
      <c r="AB6" t="str" s="538" cm="1">
        <f t="array" ref="AB6">IF(ISBLANK(INDEX('WORLDCUP'!$AC$101:$AC$147,MATCH(Y6,'WORLDCUP'!$Z$101:$Z$147,0))),"",INDEX('WORLDCUP'!$AC$101:$AC$147,MATCH(Y6,'WORLDCUP'!$Z$101:$Z$147,0)))</f>
      </c>
      <c r="AC6" t="str" s="589" cm="1">
        <f t="array" ref="AC6">IF(ISBLANK(INDEX('WORLDCUP'!$AB$101:$AB$147,MATCH(Y6,'WORLDCUP'!$Z$101:$Z$147,0))),"","( "&amp;INDEX('WORLDCUP'!$AB$101:$AB$147,MATCH(Y6,'WORLDCUP'!$Z$101:$Z$147,0))&amp;" )")</f>
      </c>
      <c r="AD6" s="588"/>
      <c r="AE6" s="590"/>
      <c r="AF6" s="590"/>
      <c r="AG6" s="591"/>
      <c r="AH6" s="588"/>
      <c r="AI6" s="592"/>
      <c r="AJ6" s="592"/>
      <c r="AK6" s="572"/>
      <c r="AL6" s="518"/>
      <c r="AM6" s="543"/>
      <c r="AN6" s="543"/>
      <c r="AO6" s="543"/>
      <c r="AP6" s="316"/>
      <c r="AQ6" s="573"/>
      <c r="AR6" s="573"/>
      <c r="AS6" s="573"/>
      <c r="AT6" s="316"/>
      <c r="AU6" s="545"/>
      <c r="AV6" s="545"/>
      <c r="AW6" s="545"/>
      <c r="AX6" s="316"/>
      <c r="AY6" s="8"/>
      <c r="AZ6" s="8"/>
      <c r="BA6" s="8"/>
      <c r="BB6" s="8"/>
      <c r="BC6" s="8"/>
      <c r="BD6" s="8"/>
      <c r="BE6" s="8"/>
      <c r="BF6" s="546"/>
      <c r="BG6" t="s" s="575">
        <v>366</v>
      </c>
      <c r="BH6" s="576" cm="1">
        <f t="array" ref="BH6">1-SUM(BI6:BO6)</f>
        <v>1</v>
      </c>
      <c r="BI6" s="576" cm="1">
        <f t="array" ref="BI6">COUNTIF('Pool'!$C$130:$C$161,BG6)-BJ6-BK6-BL6-BM6-BN6-BO6</f>
        <v>0</v>
      </c>
      <c r="BJ6" s="577" cm="1">
        <f t="array" ref="BJ6">COUNTIF('Pool'!$C$182:$C$197,BG6)-BK6-BL6-BM6-BN6-BO6</f>
        <v>0</v>
      </c>
      <c r="BK6" s="578" cm="1">
        <f t="array" ref="BK6">COUNTIF('Pool'!$C$210:$C$217,BG6)-BL6-BM6-BN6-BO6</f>
        <v>0</v>
      </c>
      <c r="BL6" s="578" cm="1">
        <f t="array" ref="BL6">COUNTIF('Pool'!$C$226:$C$229,BG6)-BM6-BN6-BO6</f>
        <v>0</v>
      </c>
      <c r="BM6" s="576" cm="1">
        <f t="array" ref="BM6">COUNTIF('Pool'!$C$252,BG6)</f>
        <v>0</v>
      </c>
      <c r="BN6" s="576" cm="1">
        <f t="array" ref="BN6">COUNTIF('Pool'!$C$251,BG6)</f>
        <v>0</v>
      </c>
      <c r="BO6" s="579" cm="1">
        <f t="array" ref="BO6">COUNTIF('Pool'!$C$250,BG6)</f>
        <v>0</v>
      </c>
    </row>
    <row r="7" ht="16" customHeight="1">
      <c r="A7" s="521">
        <v>53</v>
      </c>
      <c r="B7" s="556"/>
      <c r="C7" t="str" s="557" cm="1">
        <f t="array" ref="C7">MID(INDEX('WORLDCUP'!$AA$4:$AA$147,MATCH(A7,'WORLDCUP'!$AH$4:$AH$147,0)),1,3)</f>
        <v>Rep</v>
      </c>
      <c r="D7" s="128" cm="1">
        <f t="array" ref="D7">IF(ISBLANK(INDEX('WORLDCUP'!$AC$4:$AC$147,MATCH(A7,'WORLDCUP'!$AH$4:$AH$147,0))),"",INDEX('WORLDCUP'!$AC$4:$AC$147,MATCH(A7,'WORLDCUP'!$AH$4:$AH$147,0)))</f>
        <v>0</v>
      </c>
      <c r="E7" s="128" cm="1">
        <f t="array" ref="E7">IF(ISBLANK(INDEX('WORLDCUP'!$AD$4:$AD$147,MATCH(A7,'WORLDCUP'!$AH$4:$AH$147,0))),"",INDEX('WORLDCUP'!$AD$4:$AD$147,MATCH(A7,'WORLDCUP'!$AH$4:$AH$147,0)))</f>
        <v>1</v>
      </c>
      <c r="F7" t="str" s="558" cm="1">
        <f t="array" ref="F7">MID(INDEX('WORLDCUP'!$AF$4:$AF$147,MATCH(A7,'WORLDCUP'!$AH$4:$AH$147,0)),1,3)</f>
        <v>Méx</v>
      </c>
      <c r="G7" s="580">
        <v>4</v>
      </c>
      <c r="H7" t="str" s="593" cm="1">
        <f t="array" ref="H7">MID(INDEX('WORLDCUP'!$AL$6:$AL$97,MATCH(L7,'WORLDCUP'!$AI$6:$AI$97,0)),1,3)</f>
        <v>Rep</v>
      </c>
      <c r="I7" s="594" cm="1">
        <f t="array" ref="I7">INDEX('WORLDCUP'!$AM$6:$AM$97,MATCH(L7,'WORLDCUP'!$AI$6:$AI$97,0))</f>
        <v>0</v>
      </c>
      <c r="J7" s="595" cm="1">
        <f t="array" ref="J7">INDEX('WORLDCUP'!$AT$6:$AT$97,MATCH(L7,'WORLDCUP'!$AI$6:$AI$97,0))</f>
        <v>-3</v>
      </c>
      <c r="K7" t="str" s="596" cm="1">
        <f t="array" ref="K7">INDEX('WORLDCUP'!$AR$6:$AR$97,MATCH(L7,'WORLDCUP'!$AI$6:$AI$97,0))&amp;"-"&amp;INDEX('WORLDCUP'!$AS$6:$AS$97,MATCH(L7,'WORLDCUP'!$AI$6:$AI$97,0))</f>
        <v>1-4</v>
      </c>
      <c r="L7" t="s" s="564">
        <v>157</v>
      </c>
      <c r="M7" s="532">
        <v>63</v>
      </c>
      <c r="N7" s="565"/>
      <c r="O7" t="str" s="557" cm="1">
        <f t="array" ref="O7">MID(INDEX('WORLDCUP'!$AA$4:$AA$147,MATCH(M7,'WORLDCUP'!$AH$4:$AH$147,0)),1,3)</f>
        <v>Egi</v>
      </c>
      <c r="P7" s="128" cm="1">
        <f t="array" ref="P7">IF(ISBLANK(INDEX('WORLDCUP'!$AC$4:$AC$147,MATCH(M7,'WORLDCUP'!$AH$4:$AH$147,0))),"",INDEX('WORLDCUP'!$AC$4:$AC$147,MATCH(M7,'WORLDCUP'!$AH$4:$AH$147,0)))</f>
        <v>1</v>
      </c>
      <c r="Q7" s="128" cm="1">
        <f t="array" ref="Q7">IF(ISBLANK(INDEX('WORLDCUP'!$AD$4:$AD$147,MATCH(M7,'WORLDCUP'!$AH$4:$AH$147,0))),"",INDEX('WORLDCUP'!$AD$4:$AD$147,MATCH(M7,'WORLDCUP'!$AH$4:$AH$147,0)))</f>
        <v>0</v>
      </c>
      <c r="R7" t="str" s="558" cm="1">
        <f t="array" ref="R7">MID(INDEX('WORLDCUP'!$AF$4:$AF$147,MATCH(M7,'WORLDCUP'!$AH$4:$AH$147,0)),1,3)</f>
        <v>Irá</v>
      </c>
      <c r="S7" s="580">
        <v>4</v>
      </c>
      <c r="T7" t="str" s="593" cm="1">
        <f t="array" ref="T7">MID(INDEX('WORLDCUP'!$AL$6:$AL$97,MATCH(X7,'WORLDCUP'!$AI$6:$AI$97,0)),1,3)</f>
        <v>Nue</v>
      </c>
      <c r="U7" s="594" cm="1">
        <f t="array" ref="U7">INDEX('WORLDCUP'!$AM$6:$AM$97,MATCH(X7,'WORLDCUP'!$AI$6:$AI$97,0))</f>
        <v>0</v>
      </c>
      <c r="V7" s="595" cm="1">
        <f t="array" ref="V7">INDEX('WORLDCUP'!$AT$6:$AT$97,MATCH(X7,'WORLDCUP'!$AI$6:$AI$97,0))</f>
        <v>-4</v>
      </c>
      <c r="W7" t="str" s="596" cm="1">
        <f t="array" ref="W7">INDEX('WORLDCUP'!$AR$6:$AR$97,MATCH(X7,'WORLDCUP'!$AI$6:$AI$97,0))&amp;"-"&amp;INDEX('WORLDCUP'!$AS$6:$AS$97,MATCH(X7,'WORLDCUP'!$AI$6:$AI$97,0))</f>
        <v>2-6</v>
      </c>
      <c r="X7" t="s" s="566">
        <v>313</v>
      </c>
      <c r="Y7" s="535">
        <v>77</v>
      </c>
      <c r="Z7" t="s" s="536">
        <v>562</v>
      </c>
      <c r="AA7" t="str" s="537" cm="1">
        <f t="array" ref="AA7">MID(INDEX('WORLDCUP'!$AF$101:$AF$147,MATCH(Y7,'WORLDCUP'!$Z$101:$Z$147,0)),1,IF('WORLDCUP'!$H$113&lt;144,6,3))</f>
        <v>3CD</v>
      </c>
      <c r="AB7" t="str" s="538" cm="1">
        <f t="array" ref="AB7">IF(ISBLANK(INDEX('WORLDCUP'!$AD$101:$AD$147,MATCH(Y7,'WORLDCUP'!$Z$101:$Z$147,0))),"",INDEX('WORLDCUP'!$AD$101:$AD$147,MATCH(Y7,'WORLDCUP'!$Z$101:$Z$147,0)))</f>
      </c>
      <c r="AC7" t="str" s="597" cm="1">
        <f t="array" ref="AC7">IF(ISBLANK(INDEX('WORLDCUP'!$AE$101:$AE$147,MATCH(Y7,'WORLDCUP'!$Z$101:$Z$147,0))),"","( "&amp;INDEX('WORLDCUP'!$AE$101:$AE$147,MATCH(Y7,'WORLDCUP'!$Z$101:$Z$147,0))&amp;" )")</f>
      </c>
      <c r="AD7" s="316"/>
      <c r="AE7" s="598"/>
      <c r="AF7" s="598"/>
      <c r="AG7" s="591"/>
      <c r="AH7" s="568">
        <v>97</v>
      </c>
      <c r="AI7" t="str" s="599" cm="1">
        <f t="array" ref="AI7">MID(INDEX('WORLDCUP'!$AA$101:$AA$147,MATCH(AH7,'WORLDCUP'!$Z$101:$Z$147,0)),1,3)</f>
        <v>W89</v>
      </c>
      <c r="AJ7" t="str" s="600" cm="1">
        <f t="array" ref="AJ7">IF(ISBLANK(INDEX('WORLDCUP'!$AC$101:$AC$147,MATCH(AH7,'WORLDCUP'!$Z$101:$Z$147,0))),"",INDEX('WORLDCUP'!$AC$101:$AC$147,MATCH(AH7,'WORLDCUP'!$Z$101:$Z$147,0)))</f>
      </c>
      <c r="AK7" t="str" s="601" cm="1">
        <f t="array" ref="AK7">IF(ISBLANK(INDEX('WORLDCUP'!$AB$101:$AB$147,MATCH(AH7,'WORLDCUP'!$Z$101:$Z$147,0))),"","( "&amp;INDEX('WORLDCUP'!$AB$101:$AB$147,MATCH(AH7,'WORLDCUP'!$Z$101:$Z$147,0))&amp;" )")</f>
      </c>
      <c r="AL7" s="518"/>
      <c r="AM7" s="543"/>
      <c r="AN7" s="543"/>
      <c r="AO7" s="543"/>
      <c r="AP7" s="316"/>
      <c r="AQ7" s="573"/>
      <c r="AR7" s="573"/>
      <c r="AS7" s="573"/>
      <c r="AT7" s="316"/>
      <c r="AU7" s="545"/>
      <c r="AV7" s="545"/>
      <c r="AW7" s="545"/>
      <c r="AX7" s="316"/>
      <c r="AY7" s="8"/>
      <c r="AZ7" s="8"/>
      <c r="BA7" s="8"/>
      <c r="BB7" s="8"/>
      <c r="BC7" s="8"/>
      <c r="BD7" s="8"/>
      <c r="BE7" s="8"/>
      <c r="BF7" s="546"/>
      <c r="BG7" t="s" s="575">
        <v>362</v>
      </c>
      <c r="BH7" s="576" cm="1">
        <f t="array" ref="BH7">1-SUM(BI7:BO7)</f>
        <v>0</v>
      </c>
      <c r="BI7" s="576" cm="1">
        <f t="array" ref="BI7">COUNTIF('Pool'!$C$130:$C$161,BG7)-BJ7-BK7-BL7-BM7-BN7-BO7</f>
        <v>1</v>
      </c>
      <c r="BJ7" s="577" cm="1">
        <f t="array" ref="BJ7">COUNTIF('Pool'!$C$182:$C$197,BG7)-BK7-BL7-BM7-BN7-BO7</f>
        <v>0</v>
      </c>
      <c r="BK7" s="578" cm="1">
        <f t="array" ref="BK7">COUNTIF('Pool'!$C$210:$C$217,BG7)-BL7-BM7-BN7-BO7</f>
        <v>0</v>
      </c>
      <c r="BL7" s="578" cm="1">
        <f t="array" ref="BL7">COUNTIF('Pool'!$C$226:$C$229,BG7)-BM7-BN7-BO7</f>
        <v>0</v>
      </c>
      <c r="BM7" s="576" cm="1">
        <f t="array" ref="BM7">COUNTIF('Pool'!$C$252,BG7)</f>
        <v>0</v>
      </c>
      <c r="BN7" s="576" cm="1">
        <f t="array" ref="BN7">COUNTIF('Pool'!$C$251,BG7)</f>
        <v>0</v>
      </c>
      <c r="BO7" s="579" cm="1">
        <f t="array" ref="BO7">COUNTIF('Pool'!$C$250,BG7)</f>
        <v>0</v>
      </c>
    </row>
    <row r="8" ht="16" customHeight="1">
      <c r="A8" s="521">
        <v>54</v>
      </c>
      <c r="B8" s="602"/>
      <c r="C8" t="str" s="603" cm="1">
        <f t="array" ref="C8">MID(INDEX('WORLDCUP'!$AA$4:$AA$147,MATCH(A8,'WORLDCUP'!$AH$4:$AH$147,0)),1,3)</f>
        <v>Sud</v>
      </c>
      <c r="D8" s="169" cm="1">
        <f t="array" ref="D8">IF(ISBLANK(INDEX('WORLDCUP'!$AC$4:$AC$147,MATCH(A8,'WORLDCUP'!$AH$4:$AH$147,0))),"",INDEX('WORLDCUP'!$AC$4:$AC$147,MATCH(A8,'WORLDCUP'!$AH$4:$AH$147,0)))</f>
        <v>1</v>
      </c>
      <c r="E8" s="169" cm="1">
        <f t="array" ref="E8">IF(ISBLANK(INDEX('WORLDCUP'!$AD$4:$AD$147,MATCH(A8,'WORLDCUP'!$AH$4:$AH$147,0))),"",INDEX('WORLDCUP'!$AD$4:$AD$147,MATCH(A8,'WORLDCUP'!$AH$4:$AH$147,0)))</f>
        <v>2</v>
      </c>
      <c r="F8" t="str" s="604" cm="1">
        <f t="array" ref="F8">MID(INDEX('WORLDCUP'!$AF$4:$AF$147,MATCH(A8,'WORLDCUP'!$AH$4:$AH$147,0)),1,3)</f>
        <v>Cor</v>
      </c>
      <c r="G8" s="605"/>
      <c r="H8" s="606"/>
      <c r="I8" s="607"/>
      <c r="J8" s="607"/>
      <c r="K8" s="608"/>
      <c r="L8" s="531"/>
      <c r="M8" s="532">
        <v>64</v>
      </c>
      <c r="N8" s="609"/>
      <c r="O8" t="str" s="603" cm="1">
        <f t="array" ref="O8">MID(INDEX('WORLDCUP'!$AA$4:$AA$147,MATCH(M8,'WORLDCUP'!$AH$4:$AH$147,0)),1,3)</f>
        <v>Nue</v>
      </c>
      <c r="P8" s="169" cm="1">
        <f t="array" ref="P8">IF(ISBLANK(INDEX('WORLDCUP'!$AC$4:$AC$147,MATCH(M8,'WORLDCUP'!$AH$4:$AH$147,0))),"",INDEX('WORLDCUP'!$AC$4:$AC$147,MATCH(M8,'WORLDCUP'!$AH$4:$AH$147,0)))</f>
        <v>1</v>
      </c>
      <c r="Q8" s="169" cm="1">
        <f t="array" ref="Q8">IF(ISBLANK(INDEX('WORLDCUP'!$AD$4:$AD$147,MATCH(M8,'WORLDCUP'!$AH$4:$AH$147,0))),"",INDEX('WORLDCUP'!$AD$4:$AD$147,MATCH(M8,'WORLDCUP'!$AH$4:$AH$147,0)))</f>
        <v>3</v>
      </c>
      <c r="R8" t="str" s="604" cm="1">
        <f t="array" ref="R8">MID(INDEX('WORLDCUP'!$AF$4:$AF$147,MATCH(M8,'WORLDCUP'!$AH$4:$AH$147,0)),1,3)</f>
        <v>Bél</v>
      </c>
      <c r="S8" s="605"/>
      <c r="T8" s="606"/>
      <c r="U8" s="607"/>
      <c r="V8" s="607"/>
      <c r="W8" s="608"/>
      <c r="X8" s="534"/>
      <c r="Y8" s="583"/>
      <c r="Z8" s="284"/>
      <c r="AA8" s="610"/>
      <c r="AB8" s="610"/>
      <c r="AC8" s="611"/>
      <c r="AD8" s="316"/>
      <c r="AE8" s="541"/>
      <c r="AF8" s="541"/>
      <c r="AG8" s="591"/>
      <c r="AH8" s="586">
        <v>97</v>
      </c>
      <c r="AI8" t="str" s="599" cm="1">
        <f t="array" ref="AI8">MID(INDEX('WORLDCUP'!$AF$101:$AF$147,MATCH(AH8,'WORLDCUP'!$Z$101:$Z$147,0)),1,3)</f>
        <v>W90</v>
      </c>
      <c r="AJ8" t="str" s="600" cm="1">
        <f t="array" ref="AJ8">IF(ISBLANK(INDEX('WORLDCUP'!$AD$101:$AD$147,MATCH(AH8,'WORLDCUP'!$Z$101:$Z$147,0))),"",INDEX('WORLDCUP'!$AD$101:$AD$147,MATCH(AH8,'WORLDCUP'!$Z$101:$Z$147,0)))</f>
      </c>
      <c r="AK8" t="str" s="612" cm="1">
        <f t="array" ref="AK8">IF(ISBLANK(INDEX('WORLDCUP'!$AE$101:$AE$147,MATCH(AH8,'WORLDCUP'!$Z$101:$Z$147,0))),"","( "&amp;INDEX('WORLDCUP'!$AE$101:$AE$147,MATCH(AH8,'WORLDCUP'!$Z$101:$Z$147,0))&amp;" )")</f>
      </c>
      <c r="AL8" s="613"/>
      <c r="AM8" s="543"/>
      <c r="AN8" s="543"/>
      <c r="AO8" s="543"/>
      <c r="AP8" s="316"/>
      <c r="AQ8" s="573"/>
      <c r="AR8" s="573"/>
      <c r="AS8" s="573"/>
      <c r="AT8" s="316"/>
      <c r="AU8" s="545"/>
      <c r="AV8" s="545"/>
      <c r="AW8" s="545"/>
      <c r="AX8" s="316"/>
      <c r="AY8" s="8"/>
      <c r="AZ8" s="8"/>
      <c r="BA8" s="8"/>
      <c r="BB8" s="8"/>
      <c r="BC8" s="8"/>
      <c r="BD8" s="8"/>
      <c r="BE8" s="8"/>
      <c r="BF8" s="546"/>
      <c r="BG8" t="s" s="575">
        <v>235</v>
      </c>
      <c r="BH8" s="576" cm="1">
        <f t="array" ref="BH8">1-SUM(BI8:BO8)</f>
        <v>1</v>
      </c>
      <c r="BI8" s="576" cm="1">
        <f t="array" ref="BI8">COUNTIF('Pool'!$C$130:$C$161,BG8)-BJ8-BK8-BL8-BM8-BN8-BO8</f>
        <v>0</v>
      </c>
      <c r="BJ8" s="577" cm="1">
        <f t="array" ref="BJ8">COUNTIF('Pool'!$C$182:$C$197,BG8)-BK8-BL8-BM8-BN8-BO8</f>
        <v>0</v>
      </c>
      <c r="BK8" s="578" cm="1">
        <f t="array" ref="BK8">COUNTIF('Pool'!$C$210:$C$217,BG8)-BL8-BM8-BN8-BO8</f>
        <v>0</v>
      </c>
      <c r="BL8" s="578" cm="1">
        <f t="array" ref="BL8">COUNTIF('Pool'!$C$226:$C$229,BG8)-BM8-BN8-BO8</f>
        <v>0</v>
      </c>
      <c r="BM8" s="576" cm="1">
        <f t="array" ref="BM8">COUNTIF('Pool'!$C$252,BG8)</f>
        <v>0</v>
      </c>
      <c r="BN8" s="576" cm="1">
        <f t="array" ref="BN8">COUNTIF('Pool'!$C$251,BG8)</f>
        <v>0</v>
      </c>
      <c r="BO8" s="579" cm="1">
        <f t="array" ref="BO8">COUNTIF('Pool'!$C$250,BG8)</f>
        <v>0</v>
      </c>
    </row>
    <row r="9" ht="16" customHeight="1">
      <c r="A9" s="7"/>
      <c r="B9" s="614"/>
      <c r="C9" s="615"/>
      <c r="D9" s="616"/>
      <c r="E9" s="616"/>
      <c r="F9" s="617"/>
      <c r="G9" s="617"/>
      <c r="H9" s="615"/>
      <c r="I9" s="617"/>
      <c r="J9" s="617"/>
      <c r="K9" s="617"/>
      <c r="L9" s="316"/>
      <c r="M9" s="8"/>
      <c r="N9" s="617"/>
      <c r="O9" s="615"/>
      <c r="P9" s="616"/>
      <c r="Q9" s="616"/>
      <c r="R9" s="617"/>
      <c r="S9" s="617"/>
      <c r="T9" s="615"/>
      <c r="U9" s="617"/>
      <c r="V9" s="617"/>
      <c r="W9" s="617"/>
      <c r="X9" s="8"/>
      <c r="Y9" s="618">
        <v>73</v>
      </c>
      <c r="Z9" t="s" s="536">
        <v>144</v>
      </c>
      <c r="AA9" t="str" s="537" cm="1">
        <f t="array" ref="AA9">MID(INDEX('WORLDCUP'!$AA$101:$AA$147,MATCH(Y9,'WORLDCUP'!$Z$101:$Z$147,0)),1,3)</f>
        <v>Sud</v>
      </c>
      <c r="AB9" t="str" s="538" cm="1">
        <f t="array" ref="AB9">IF(ISBLANK(INDEX('WORLDCUP'!$AC$101:$AC$147,MATCH(Y9,'WORLDCUP'!$Z$101:$Z$147,0))),"",INDEX('WORLDCUP'!$AC$101:$AC$147,MATCH(Y9,'WORLDCUP'!$Z$101:$Z$147,0)))</f>
      </c>
      <c r="AC9" t="str" s="619" cm="1">
        <f t="array" ref="AC9">IF(ISBLANK(INDEX('WORLDCUP'!$AB$101:$AB$147,MATCH(Y9,'WORLDCUP'!$Z$101:$Z$147,0))),"","( "&amp;INDEX('WORLDCUP'!$AB$101:$AB$147,MATCH(Y9,'WORLDCUP'!$Z$101:$Z$147,0))&amp;" )")</f>
      </c>
      <c r="AD9" s="83"/>
      <c r="AE9" s="540"/>
      <c r="AF9" s="540"/>
      <c r="AG9" s="591"/>
      <c r="AH9" s="588"/>
      <c r="AI9" s="620"/>
      <c r="AJ9" s="620"/>
      <c r="AK9" s="621"/>
      <c r="AL9" s="613"/>
      <c r="AM9" s="543"/>
      <c r="AN9" s="543"/>
      <c r="AO9" s="543"/>
      <c r="AP9" s="316"/>
      <c r="AQ9" s="573"/>
      <c r="AR9" s="573"/>
      <c r="AS9" s="573"/>
      <c r="AT9" s="316"/>
      <c r="AU9" s="545"/>
      <c r="AV9" s="545"/>
      <c r="AW9" s="545"/>
      <c r="AX9" s="316"/>
      <c r="AY9" s="8"/>
      <c r="AZ9" s="8"/>
      <c r="BA9" s="8"/>
      <c r="BB9" s="8"/>
      <c r="BC9" s="8"/>
      <c r="BD9" s="8"/>
      <c r="BE9" s="8"/>
      <c r="BF9" s="546"/>
      <c r="BG9" t="s" s="575">
        <v>373</v>
      </c>
      <c r="BH9" s="576" cm="1">
        <f t="array" ref="BH9">1-SUM(BI9:BO9)</f>
        <v>1</v>
      </c>
      <c r="BI9" s="576" cm="1">
        <f t="array" ref="BI9">COUNTIF('Pool'!$C$130:$C$161,BG9)-BJ9-BK9-BL9-BM9-BN9-BO9</f>
        <v>0</v>
      </c>
      <c r="BJ9" s="577" cm="1">
        <f t="array" ref="BJ9">COUNTIF('Pool'!$C$182:$C$197,BG9)-BK9-BL9-BM9-BN9-BO9</f>
        <v>0</v>
      </c>
      <c r="BK9" s="578" cm="1">
        <f t="array" ref="BK9">COUNTIF('Pool'!$C$210:$C$217,BG9)-BL9-BM9-BN9-BO9</f>
        <v>0</v>
      </c>
      <c r="BL9" s="578" cm="1">
        <f t="array" ref="BL9">COUNTIF('Pool'!$C$226:$C$229,BG9)-BM9-BN9-BO9</f>
        <v>0</v>
      </c>
      <c r="BM9" s="576" cm="1">
        <f t="array" ref="BM9">COUNTIF('Pool'!$C$252,BG9)</f>
        <v>0</v>
      </c>
      <c r="BN9" s="576" cm="1">
        <f t="array" ref="BN9">COUNTIF('Pool'!$C$251,BG9)</f>
        <v>0</v>
      </c>
      <c r="BO9" s="579" cm="1">
        <f t="array" ref="BO9">COUNTIF('Pool'!$C$250,BG9)</f>
        <v>0</v>
      </c>
    </row>
    <row r="10" ht="16" customHeight="1">
      <c r="A10" s="7"/>
      <c r="B10" s="513"/>
      <c r="C10" s="622"/>
      <c r="D10" s="623"/>
      <c r="E10" s="623"/>
      <c r="F10" s="124"/>
      <c r="G10" s="124"/>
      <c r="H10" s="622"/>
      <c r="I10" s="124"/>
      <c r="J10" s="124"/>
      <c r="K10" s="124"/>
      <c r="L10" s="316"/>
      <c r="M10" s="8"/>
      <c r="N10" s="124"/>
      <c r="O10" s="622"/>
      <c r="P10" s="623"/>
      <c r="Q10" s="623"/>
      <c r="R10" s="124"/>
      <c r="S10" s="124"/>
      <c r="T10" s="622"/>
      <c r="U10" s="124"/>
      <c r="V10" s="124"/>
      <c r="W10" s="124"/>
      <c r="X10" s="8"/>
      <c r="Y10" s="618">
        <v>73</v>
      </c>
      <c r="Z10" t="s" s="536">
        <v>172</v>
      </c>
      <c r="AA10" t="str" s="537" cm="1">
        <f t="array" ref="AA10">MID(INDEX('WORLDCUP'!$AF$101:$AF$147,MATCH(Y10,'WORLDCUP'!$Z$101:$Z$147,0)),1,3)</f>
        <v>2B</v>
      </c>
      <c r="AB10" t="str" s="538" cm="1">
        <f t="array" ref="AB10">IF(ISBLANK(INDEX('WORLDCUP'!$AD$101:$AD$147,MATCH(Y10,'WORLDCUP'!$Z$101:$Z$147,0))),"",INDEX('WORLDCUP'!$AD$101:$AD$147,MATCH(Y10,'WORLDCUP'!$Z$101:$Z$147,0)))</f>
      </c>
      <c r="AC10" t="str" s="567" cm="1">
        <f t="array" ref="AC10">IF(ISBLANK(INDEX('WORLDCUP'!$AE$101:$AE$147,MATCH(Y10,'WORLDCUP'!$Z$101:$Z$147,0))),"","( "&amp;INDEX('WORLDCUP'!$AE$101:$AE$147,MATCH(Y10,'WORLDCUP'!$Z$101:$Z$147,0))&amp;" )")</f>
      </c>
      <c r="AD10" s="568">
        <v>90</v>
      </c>
      <c r="AE10" t="str" s="569" cm="1">
        <f t="array" ref="AE10">MID(INDEX('WORLDCUP'!$AA$101:$AA$147,MATCH(AD10,'WORLDCUP'!$Z$101:$Z$147,0)),1,3)</f>
        <v>W73</v>
      </c>
      <c r="AF10" t="str" s="570" cm="1">
        <f t="array" ref="AF10">IF(ISBLANK(INDEX('WORLDCUP'!$AC$101:$AC$147,MATCH(AD10,'WORLDCUP'!$Z$101:$Z$147,0))),"",INDEX('WORLDCUP'!$AC$101:$AC$147,MATCH(AD10,'WORLDCUP'!$Z$101:$Z$147,0)))</f>
      </c>
      <c r="AG10" t="str" s="624" cm="1">
        <f t="array" ref="AG10">IF(ISBLANK(INDEX('WORLDCUP'!$AB$101:$AB$147,MATCH(AD10,'WORLDCUP'!$Z$101:$Z$147,0))),"","( "&amp;INDEX('WORLDCUP'!$AB$101:$AB$147,MATCH(AD10,'WORLDCUP'!$Z$101:$Z$147,0))&amp;" )")</f>
      </c>
      <c r="AH10" s="588"/>
      <c r="AI10" s="572"/>
      <c r="AJ10" s="572"/>
      <c r="AK10" s="621"/>
      <c r="AL10" s="613"/>
      <c r="AM10" s="543"/>
      <c r="AN10" s="543"/>
      <c r="AO10" s="543"/>
      <c r="AP10" s="316"/>
      <c r="AQ10" s="573"/>
      <c r="AR10" s="573"/>
      <c r="AS10" s="573"/>
      <c r="AT10" s="316"/>
      <c r="AU10" s="545"/>
      <c r="AV10" s="545"/>
      <c r="AW10" s="545"/>
      <c r="AX10" s="316"/>
      <c r="AY10" s="8"/>
      <c r="AZ10" s="270"/>
      <c r="BA10" s="270"/>
      <c r="BB10" s="82"/>
      <c r="BC10" s="625"/>
      <c r="BD10" s="626"/>
      <c r="BE10" s="626"/>
      <c r="BF10" s="546"/>
      <c r="BG10" t="s" s="575">
        <v>293</v>
      </c>
      <c r="BH10" s="576" cm="1">
        <f t="array" ref="BH10">1-SUM(BI10:BO10)</f>
        <v>0</v>
      </c>
      <c r="BI10" s="576" cm="1">
        <f t="array" ref="BI10">COUNTIF('Pool'!$C$130:$C$161,BG10)-BJ10-BK10-BL10-BM10-BN10-BO10</f>
        <v>1</v>
      </c>
      <c r="BJ10" s="577" cm="1">
        <f t="array" ref="BJ10">COUNTIF('Pool'!$C$182:$C$197,BG10)-BK10-BL10-BM10-BN10-BO10</f>
        <v>0</v>
      </c>
      <c r="BK10" s="578" cm="1">
        <f t="array" ref="BK10">COUNTIF('Pool'!$C$210:$C$217,BG10)-BL10-BM10-BN10-BO10</f>
        <v>0</v>
      </c>
      <c r="BL10" s="578" cm="1">
        <f t="array" ref="BL10">COUNTIF('Pool'!$C$226:$C$229,BG10)-BM10-BN10-BO10</f>
        <v>0</v>
      </c>
      <c r="BM10" s="576" cm="1">
        <f t="array" ref="BM10">COUNTIF('Pool'!$C$252,BG10)</f>
        <v>0</v>
      </c>
      <c r="BN10" s="576" cm="1">
        <f t="array" ref="BN10">COUNTIF('Pool'!$C$251,BG10)</f>
        <v>0</v>
      </c>
      <c r="BO10" s="579" cm="1">
        <f t="array" ref="BO10">COUNTIF('Pool'!$C$250,BG10)</f>
        <v>0</v>
      </c>
    </row>
    <row r="11" ht="15" customHeight="1">
      <c r="A11" s="521">
        <v>3</v>
      </c>
      <c r="B11" t="s" s="627">
        <v>159</v>
      </c>
      <c r="C11" t="str" s="523" cm="1">
        <f t="array" ref="C11">MID(INDEX('WORLDCUP'!$AA$4:$AA$147,MATCH(A11,'WORLDCUP'!$AH$4:$AH$147,0)),1,3)</f>
        <v>Can</v>
      </c>
      <c r="D11" s="524" cm="1">
        <f t="array" ref="D11">IF(ISBLANK(INDEX('WORLDCUP'!$AC$4:$AC$147,MATCH(A11,'WORLDCUP'!$AH$4:$AH$147,0))),"",INDEX('WORLDCUP'!$AC$4:$AC$147,MATCH(A11,'WORLDCUP'!$AH$4:$AH$147,0)))</f>
        <v>2</v>
      </c>
      <c r="E11" s="524" cm="1">
        <f t="array" ref="E11">IF(ISBLANK(INDEX('WORLDCUP'!$AD$4:$AD$147,MATCH(A11,'WORLDCUP'!$AH$4:$AH$147,0))),"",INDEX('WORLDCUP'!$AD$4:$AD$147,MATCH(A11,'WORLDCUP'!$AH$4:$AH$147,0)))</f>
        <v>0</v>
      </c>
      <c r="F11" t="str" s="525" cm="1">
        <f t="array" ref="F11">MID(INDEX('WORLDCUP'!$AF$4:$AF$147,MATCH(A11,'WORLDCUP'!$AH$4:$AH$147,0)),1,3)</f>
        <v>Bos</v>
      </c>
      <c r="G11" s="526"/>
      <c r="H11" t="str" s="527" cm="1">
        <f t="array" ref="H11">H3</f>
        <v>Sel</v>
      </c>
      <c r="I11" t="str" s="529" cm="1">
        <f t="array" ref="I11">I3</f>
        <v>Pts</v>
      </c>
      <c r="J11" t="str" s="529" cm="1">
        <f t="array" ref="J11">J3</f>
        <v>DG</v>
      </c>
      <c r="K11" t="str" s="530" cm="1">
        <f t="array" ref="K11">K3</f>
        <v>GF-GC</v>
      </c>
      <c r="L11" s="531"/>
      <c r="M11" s="532">
        <v>14</v>
      </c>
      <c r="N11" t="s" s="628">
        <v>315</v>
      </c>
      <c r="O11" t="str" s="523" cm="1">
        <f t="array" ref="O11">MID(INDEX('WORLDCUP'!$AA$4:$AA$147,MATCH(M11,'WORLDCUP'!$AH$4:$AH$147,0)),1,3)</f>
        <v>Esp</v>
      </c>
      <c r="P11" s="524" cm="1">
        <f t="array" ref="P11">IF(ISBLANK(INDEX('WORLDCUP'!$AC$4:$AC$147,MATCH(M11,'WORLDCUP'!$AH$4:$AH$147,0))),"",INDEX('WORLDCUP'!$AC$4:$AC$147,MATCH(M11,'WORLDCUP'!$AH$4:$AH$147,0)))</f>
        <v>3</v>
      </c>
      <c r="Q11" s="524" cm="1">
        <f t="array" ref="Q11">IF(ISBLANK(INDEX('WORLDCUP'!$AD$4:$AD$147,MATCH(M11,'WORLDCUP'!$AH$4:$AH$147,0))),"",INDEX('WORLDCUP'!$AD$4:$AD$147,MATCH(M11,'WORLDCUP'!$AH$4:$AH$147,0)))</f>
        <v>0</v>
      </c>
      <c r="R11" t="str" s="525" cm="1">
        <f t="array" ref="R11">MID(INDEX('WORLDCUP'!$AF$4:$AF$147,MATCH(M11,'WORLDCUP'!$AH$4:$AH$147,0)),1,3)</f>
        <v>Cab</v>
      </c>
      <c r="S11" s="526"/>
      <c r="T11" t="str" s="527" cm="1">
        <f t="array" ref="T11">T3</f>
        <v>Sel</v>
      </c>
      <c r="U11" t="str" s="529" cm="1">
        <f t="array" ref="U11">U3</f>
        <v>Pts</v>
      </c>
      <c r="V11" t="str" s="529" cm="1">
        <f t="array" ref="V11">V3</f>
        <v>DG</v>
      </c>
      <c r="W11" t="str" s="530" cm="1">
        <f t="array" ref="W11">W3</f>
        <v>GF-GC</v>
      </c>
      <c r="X11" s="534"/>
      <c r="Y11" s="583"/>
      <c r="Z11" s="284"/>
      <c r="AA11" s="584"/>
      <c r="AB11" s="584"/>
      <c r="AC11" s="585"/>
      <c r="AD11" s="586">
        <v>90</v>
      </c>
      <c r="AE11" t="str" s="569" cm="1">
        <f t="array" ref="AE11">MID(INDEX('WORLDCUP'!$AF$101:$AF$147,MATCH(AD11,'WORLDCUP'!$Z$101:$Z$147,0)),1,3)</f>
        <v>W75</v>
      </c>
      <c r="AF11" t="str" s="570" cm="1">
        <f t="array" ref="AF11">IF(ISBLANK(INDEX('WORLDCUP'!$AD$101:$AD$147,MATCH(AD11,'WORLDCUP'!$Z$101:$Z$147,0))),"",INDEX('WORLDCUP'!$AD$101:$AD$147,MATCH(AD11,'WORLDCUP'!$Z$101:$Z$147,0)))</f>
      </c>
      <c r="AG11" t="str" s="629" cm="1">
        <f t="array" ref="AG11">IF(ISBLANK(INDEX('WORLDCUP'!$AE$101:$AE$147,MATCH(AD11,'WORLDCUP'!$Z$101:$Z$147,0))),"","( "&amp;INDEX('WORLDCUP'!$AE$101:$AE$147,MATCH(AD11,'WORLDCUP'!$Z$101:$Z$147,0))&amp;" )")</f>
      </c>
      <c r="AH11" s="316"/>
      <c r="AI11" s="572"/>
      <c r="AJ11" s="572"/>
      <c r="AK11" s="621"/>
      <c r="AL11" s="613"/>
      <c r="AM11" s="543"/>
      <c r="AN11" s="543"/>
      <c r="AO11" s="543"/>
      <c r="AP11" s="316"/>
      <c r="AQ11" s="573"/>
      <c r="AR11" s="573"/>
      <c r="AS11" s="573"/>
      <c r="AT11" s="316"/>
      <c r="AU11" s="545"/>
      <c r="AV11" s="545"/>
      <c r="AW11" s="545"/>
      <c r="AX11" s="316"/>
      <c r="AY11" s="8"/>
      <c r="AZ11" s="8"/>
      <c r="BA11" s="8"/>
      <c r="BB11" s="8"/>
      <c r="BC11" s="8"/>
      <c r="BD11" s="8"/>
      <c r="BE11" s="8"/>
      <c r="BF11" s="546"/>
      <c r="BG11" t="s" s="575">
        <v>170</v>
      </c>
      <c r="BH11" s="576" cm="1">
        <f t="array" ref="BH11">1-SUM(BI11:BO11)</f>
        <v>1</v>
      </c>
      <c r="BI11" s="576" cm="1">
        <f t="array" ref="BI11">COUNTIF('Pool'!$C$130:$C$161,BG11)-BJ11-BK11-BL11-BM11-BN11-BO11</f>
        <v>0</v>
      </c>
      <c r="BJ11" s="577" cm="1">
        <f t="array" ref="BJ11">COUNTIF('Pool'!$C$182:$C$197,BG11)-BK11-BL11-BM11-BN11-BO11</f>
        <v>0</v>
      </c>
      <c r="BK11" s="578" cm="1">
        <f t="array" ref="BK11">COUNTIF('Pool'!$C$210:$C$217,BG11)-BL11-BM11-BN11-BO11</f>
        <v>0</v>
      </c>
      <c r="BL11" s="578" cm="1">
        <f t="array" ref="BL11">COUNTIF('Pool'!$C$226:$C$229,BG11)-BM11-BN11-BO11</f>
        <v>0</v>
      </c>
      <c r="BM11" s="576" cm="1">
        <f t="array" ref="BM11">COUNTIF('Pool'!$C$252,BG11)</f>
        <v>0</v>
      </c>
      <c r="BN11" s="576" cm="1">
        <f t="array" ref="BN11">COUNTIF('Pool'!$C$251,BG11)</f>
        <v>0</v>
      </c>
      <c r="BO11" s="579" cm="1">
        <f t="array" ref="BO11">COUNTIF('Pool'!$C$250,BG11)</f>
        <v>0</v>
      </c>
    </row>
    <row r="12" ht="16" customHeight="1">
      <c r="A12" s="521">
        <v>8</v>
      </c>
      <c r="B12" s="630"/>
      <c r="C12" t="str" s="557" cm="1">
        <f t="array" ref="C12">MID(INDEX('WORLDCUP'!$AA$4:$AA$147,MATCH(A12,'WORLDCUP'!$AH$4:$AH$147,0)),1,3)</f>
        <v>Cat</v>
      </c>
      <c r="D12" s="128" cm="1">
        <f t="array" ref="D12">IF(ISBLANK(INDEX('WORLDCUP'!$AC$4:$AC$147,MATCH(A12,'WORLDCUP'!$AH$4:$AH$147,0))),"",INDEX('WORLDCUP'!$AC$4:$AC$147,MATCH(A12,'WORLDCUP'!$AH$4:$AH$147,0)))</f>
        <v>1</v>
      </c>
      <c r="E12" s="128" cm="1">
        <f t="array" ref="E12">IF(ISBLANK(INDEX('WORLDCUP'!$AD$4:$AD$147,MATCH(A12,'WORLDCUP'!$AH$4:$AH$147,0))),"",INDEX('WORLDCUP'!$AD$4:$AD$147,MATCH(A12,'WORLDCUP'!$AH$4:$AH$147,0)))</f>
        <v>1</v>
      </c>
      <c r="F12" t="str" s="558" cm="1">
        <f t="array" ref="F12">MID(INDEX('WORLDCUP'!$AF$4:$AF$147,MATCH(A12,'WORLDCUP'!$AH$4:$AH$147,0)),1,3)</f>
        <v>Sui</v>
      </c>
      <c r="G12" s="559">
        <v>1</v>
      </c>
      <c r="H12" t="str" s="560" cm="1">
        <f t="array" ref="H12">MID(INDEX('WORLDCUP'!$AL$6:$AL$97,MATCH(L12,'WORLDCUP'!$AI$6:$AI$97,0)),1,3)</f>
        <v>Can</v>
      </c>
      <c r="I12" s="561" cm="1">
        <f t="array" ref="I12">INDEX('WORLDCUP'!$AM$6:$AM$97,MATCH(L12,'WORLDCUP'!$AI$6:$AI$97,0))</f>
        <v>4</v>
      </c>
      <c r="J12" s="562" cm="1">
        <f t="array" ref="J12">INDEX('WORLDCUP'!$AT$6:$AT$97,MATCH(L12,'WORLDCUP'!$AI$6:$AI$97,0))</f>
        <v>1</v>
      </c>
      <c r="K12" t="str" s="563" cm="1">
        <f t="array" ref="K12">INDEX('WORLDCUP'!$AR$6:$AR$97,MATCH(L12,'WORLDCUP'!$AI$6:$AI$97,0))&amp;"-"&amp;INDEX('WORLDCUP'!$AS$6:$AS$97,MATCH(L12,'WORLDCUP'!$AI$6:$AI$97,0))</f>
        <v>5-4</v>
      </c>
      <c r="L12" t="s" s="564">
        <v>162</v>
      </c>
      <c r="M12" s="532">
        <v>13</v>
      </c>
      <c r="N12" s="631"/>
      <c r="O12" t="str" s="557" cm="1">
        <f t="array" ref="O12">MID(INDEX('WORLDCUP'!$AA$4:$AA$147,MATCH(M12,'WORLDCUP'!$AH$4:$AH$147,0)),1,3)</f>
        <v>Ara</v>
      </c>
      <c r="P12" s="128" cm="1">
        <f t="array" ref="P12">IF(ISBLANK(INDEX('WORLDCUP'!$AC$4:$AC$147,MATCH(M12,'WORLDCUP'!$AH$4:$AH$147,0))),"",INDEX('WORLDCUP'!$AC$4:$AC$147,MATCH(M12,'WORLDCUP'!$AH$4:$AH$147,0)))</f>
        <v>1</v>
      </c>
      <c r="Q12" s="128" cm="1">
        <f t="array" ref="Q12">IF(ISBLANK(INDEX('WORLDCUP'!$AD$4:$AD$147,MATCH(M12,'WORLDCUP'!$AH$4:$AH$147,0))),"",INDEX('WORLDCUP'!$AD$4:$AD$147,MATCH(M12,'WORLDCUP'!$AH$4:$AH$147,0)))</f>
        <v>2</v>
      </c>
      <c r="R12" t="str" s="558" cm="1">
        <f t="array" ref="R12">MID(INDEX('WORLDCUP'!$AF$4:$AF$147,MATCH(M12,'WORLDCUP'!$AH$4:$AH$147,0)),1,3)</f>
        <v>Uru</v>
      </c>
      <c r="S12" s="559">
        <v>1</v>
      </c>
      <c r="T12" t="str" s="560" cm="1">
        <f t="array" ref="T12">MID(INDEX('WORLDCUP'!$AL$6:$AL$97,MATCH(X12,'WORLDCUP'!$AI$6:$AI$97,0)),1,3)</f>
        <v>Esp</v>
      </c>
      <c r="U12" s="561" cm="1">
        <f t="array" ref="U12">INDEX('WORLDCUP'!$AM$6:$AM$97,MATCH(X12,'WORLDCUP'!$AI$6:$AI$97,0))</f>
        <v>9</v>
      </c>
      <c r="V12" s="562" cm="1">
        <f t="array" ref="V12">INDEX('WORLDCUP'!$AT$6:$AT$97,MATCH(X12,'WORLDCUP'!$AI$6:$AI$97,0))</f>
        <v>6</v>
      </c>
      <c r="W12" t="str" s="563" cm="1">
        <f t="array" ref="W12">INDEX('WORLDCUP'!$AR$6:$AR$97,MATCH(X12,'WORLDCUP'!$AI$6:$AI$97,0))&amp;"-"&amp;INDEX('WORLDCUP'!$AS$6:$AS$97,MATCH(X12,'WORLDCUP'!$AI$6:$AI$97,0))</f>
        <v>7-1</v>
      </c>
      <c r="X12" t="s" s="566">
        <v>318</v>
      </c>
      <c r="Y12" s="535">
        <v>75</v>
      </c>
      <c r="Z12" t="s" s="536">
        <v>272</v>
      </c>
      <c r="AA12" t="str" s="537" cm="1">
        <f t="array" ref="AA12">MID(INDEX('WORLDCUP'!$AA$101:$AA$147,MATCH(Y12,'WORLDCUP'!$Z$101:$Z$147,0)),1,3)</f>
        <v>Paí</v>
      </c>
      <c r="AB12" t="str" s="538" cm="1">
        <f t="array" ref="AB12">IF(ISBLANK(INDEX('WORLDCUP'!$AC$101:$AC$147,MATCH(Y12,'WORLDCUP'!$Z$101:$Z$147,0))),"",INDEX('WORLDCUP'!$AC$101:$AC$147,MATCH(Y12,'WORLDCUP'!$Z$101:$Z$147,0)))</f>
      </c>
      <c r="AC12" t="str" s="632" cm="1">
        <f t="array" ref="AC12">IF(ISBLANK(INDEX('WORLDCUP'!$AB$101:$AB$147,MATCH(Y12,'WORLDCUP'!$Z$101:$Z$147,0))),"","( "&amp;INDEX('WORLDCUP'!$AB$101:$AB$147,MATCH(Y12,'WORLDCUP'!$Z$101:$Z$147,0))&amp;" )")</f>
      </c>
      <c r="AD12" s="588"/>
      <c r="AE12" s="633"/>
      <c r="AF12" s="633"/>
      <c r="AG12" s="541"/>
      <c r="AH12" s="316"/>
      <c r="AI12" s="572"/>
      <c r="AJ12" s="572"/>
      <c r="AK12" s="621"/>
      <c r="AL12" s="613"/>
      <c r="AM12" s="634"/>
      <c r="AN12" s="634"/>
      <c r="AO12" s="543"/>
      <c r="AP12" s="316"/>
      <c r="AQ12" s="573"/>
      <c r="AR12" s="573"/>
      <c r="AS12" s="573"/>
      <c r="AT12" s="316"/>
      <c r="AU12" s="545"/>
      <c r="AV12" s="545"/>
      <c r="AW12" s="545"/>
      <c r="AX12" s="316"/>
      <c r="AY12" s="8"/>
      <c r="AZ12" s="8"/>
      <c r="BA12" s="8"/>
      <c r="BB12" s="8"/>
      <c r="BC12" s="8"/>
      <c r="BD12" s="8"/>
      <c r="BE12" s="8"/>
      <c r="BF12" s="546"/>
      <c r="BG12" t="s" s="575">
        <v>201</v>
      </c>
      <c r="BH12" s="576" cm="1">
        <f t="array" ref="BH12">1-SUM(BI12:BO12)</f>
        <v>0</v>
      </c>
      <c r="BI12" s="576" cm="1">
        <f t="array" ref="BI12">COUNTIF('Pool'!$C$130:$C$161,BG12)-BJ12-BK12-BL12-BM12-BN12-BO12</f>
        <v>1</v>
      </c>
      <c r="BJ12" s="577" cm="1">
        <f t="array" ref="BJ12">COUNTIF('Pool'!$C$182:$C$197,BG12)-BK12-BL12-BM12-BN12-BO12</f>
        <v>0</v>
      </c>
      <c r="BK12" s="578" cm="1">
        <f t="array" ref="BK12">COUNTIF('Pool'!$C$210:$C$217,BG12)-BL12-BM12-BN12-BO12</f>
        <v>0</v>
      </c>
      <c r="BL12" s="578" cm="1">
        <f t="array" ref="BL12">COUNTIF('Pool'!$C$226:$C$229,BG12)-BM12-BN12-BO12</f>
        <v>0</v>
      </c>
      <c r="BM12" s="576" cm="1">
        <f t="array" ref="BM12">COUNTIF('Pool'!$C$252,BG12)</f>
        <v>0</v>
      </c>
      <c r="BN12" s="576" cm="1">
        <f t="array" ref="BN12">COUNTIF('Pool'!$C$251,BG12)</f>
        <v>0</v>
      </c>
      <c r="BO12" s="579" cm="1">
        <f t="array" ref="BO12">COUNTIF('Pool'!$C$250,BG12)</f>
        <v>0</v>
      </c>
    </row>
    <row r="13" ht="16" customHeight="1">
      <c r="A13" s="521">
        <v>26</v>
      </c>
      <c r="B13" s="630"/>
      <c r="C13" t="str" s="557" cm="1">
        <f t="array" ref="C13">MID(INDEX('WORLDCUP'!$AA$4:$AA$147,MATCH(A13,'WORLDCUP'!$AH$4:$AH$147,0)),1,3)</f>
        <v>Sui</v>
      </c>
      <c r="D13" s="128" cm="1">
        <f t="array" ref="D13">IF(ISBLANK(INDEX('WORLDCUP'!$AC$4:$AC$147,MATCH(A13,'WORLDCUP'!$AH$4:$AH$147,0))),"",INDEX('WORLDCUP'!$AC$4:$AC$147,MATCH(A13,'WORLDCUP'!$AH$4:$AH$147,0)))</f>
        <v>2</v>
      </c>
      <c r="E13" s="128" cm="1">
        <f t="array" ref="E13">IF(ISBLANK(INDEX('WORLDCUP'!$AD$4:$AD$147,MATCH(A13,'WORLDCUP'!$AH$4:$AH$147,0))),"",INDEX('WORLDCUP'!$AD$4:$AD$147,MATCH(A13,'WORLDCUP'!$AH$4:$AH$147,0)))</f>
        <v>1</v>
      </c>
      <c r="F13" t="str" s="558" cm="1">
        <f t="array" ref="F13">MID(INDEX('WORLDCUP'!$AF$4:$AF$147,MATCH(A13,'WORLDCUP'!$AH$4:$AH$147,0)),1,3)</f>
        <v>Bos</v>
      </c>
      <c r="G13" s="580">
        <v>2</v>
      </c>
      <c r="H13" t="str" s="581" cm="1">
        <f t="array" ref="H13">MID(INDEX('WORLDCUP'!$AL$6:$AL$97,MATCH(L13,'WORLDCUP'!$AI$6:$AI$97,0)),1,3)</f>
        <v>Bos</v>
      </c>
      <c r="I13" s="158" cm="1">
        <f t="array" ref="I13">INDEX('WORLDCUP'!$AM$6:$AM$97,MATCH(L13,'WORLDCUP'!$AI$6:$AI$97,0))</f>
        <v>0</v>
      </c>
      <c r="J13" s="159" cm="1">
        <f t="array" ref="J13">INDEX('WORLDCUP'!$AT$6:$AT$97,MATCH(L13,'WORLDCUP'!$AI$6:$AI$97,0))</f>
        <v>-4</v>
      </c>
      <c r="K13" t="str" s="582" cm="1">
        <f t="array" ref="K13">INDEX('WORLDCUP'!$AR$6:$AR$97,MATCH(L13,'WORLDCUP'!$AI$6:$AI$97,0))&amp;"-"&amp;INDEX('WORLDCUP'!$AS$6:$AS$97,MATCH(L13,'WORLDCUP'!$AI$6:$AI$97,0))</f>
        <v>1-5</v>
      </c>
      <c r="L13" t="s" s="564">
        <v>172</v>
      </c>
      <c r="M13" s="532">
        <v>38</v>
      </c>
      <c r="N13" s="631"/>
      <c r="O13" t="str" s="557" cm="1">
        <f t="array" ref="O13">MID(INDEX('WORLDCUP'!$AA$4:$AA$147,MATCH(M13,'WORLDCUP'!$AH$4:$AH$147,0)),1,3)</f>
        <v>Esp</v>
      </c>
      <c r="P13" s="128" cm="1">
        <f t="array" ref="P13">IF(ISBLANK(INDEX('WORLDCUP'!$AC$4:$AC$147,MATCH(M13,'WORLDCUP'!$AH$4:$AH$147,0))),"",INDEX('WORLDCUP'!$AC$4:$AC$147,MATCH(M13,'WORLDCUP'!$AH$4:$AH$147,0)))</f>
        <v>2</v>
      </c>
      <c r="Q13" s="128" cm="1">
        <f t="array" ref="Q13">IF(ISBLANK(INDEX('WORLDCUP'!$AD$4:$AD$147,MATCH(M13,'WORLDCUP'!$AH$4:$AH$147,0))),"",INDEX('WORLDCUP'!$AD$4:$AD$147,MATCH(M13,'WORLDCUP'!$AH$4:$AH$147,0)))</f>
        <v>0</v>
      </c>
      <c r="R13" t="str" s="558" cm="1">
        <f t="array" ref="R13">MID(INDEX('WORLDCUP'!$AF$4:$AF$147,MATCH(M13,'WORLDCUP'!$AH$4:$AH$147,0)),1,3)</f>
        <v>Ara</v>
      </c>
      <c r="S13" s="580">
        <v>2</v>
      </c>
      <c r="T13" t="str" s="581" cm="1">
        <f t="array" ref="T13">MID(INDEX('WORLDCUP'!$AL$6:$AL$97,MATCH(X13,'WORLDCUP'!$AI$6:$AI$97,0)),1,3)</f>
        <v>Cab</v>
      </c>
      <c r="U13" s="158" cm="1">
        <f t="array" ref="U13">INDEX('WORLDCUP'!$AM$6:$AM$97,MATCH(X13,'WORLDCUP'!$AI$6:$AI$97,0))</f>
        <v>0</v>
      </c>
      <c r="V13" s="159" cm="1">
        <f t="array" ref="V13">INDEX('WORLDCUP'!$AT$6:$AT$97,MATCH(X13,'WORLDCUP'!$AI$6:$AI$97,0))</f>
        <v>-6</v>
      </c>
      <c r="W13" t="str" s="582" cm="1">
        <f t="array" ref="W13">INDEX('WORLDCUP'!$AR$6:$AR$97,MATCH(X13,'WORLDCUP'!$AI$6:$AI$97,0))&amp;"-"&amp;INDEX('WORLDCUP'!$AS$6:$AS$97,MATCH(X13,'WORLDCUP'!$AI$6:$AI$97,0))</f>
        <v>1-7</v>
      </c>
      <c r="X13" t="s" s="566">
        <v>322</v>
      </c>
      <c r="Y13" s="535">
        <v>75</v>
      </c>
      <c r="Z13" t="s" s="536">
        <v>209</v>
      </c>
      <c r="AA13" t="str" s="537" cm="1">
        <f t="array" ref="AA13">MID(INDEX('WORLDCUP'!$AF$101:$AF$147,MATCH(Y13,'WORLDCUP'!$Z$101:$Z$147,0)),1,3)</f>
        <v>2C</v>
      </c>
      <c r="AB13" t="str" s="538" cm="1">
        <f t="array" ref="AB13">IF(ISBLANK(INDEX('WORLDCUP'!$AD$101:$AD$147,MATCH(Y13,'WORLDCUP'!$Z$101:$Z$147,0))),"",INDEX('WORLDCUP'!$AD$101:$AD$147,MATCH(Y13,'WORLDCUP'!$Z$101:$Z$147,0)))</f>
      </c>
      <c r="AC13" t="str" s="635" cm="1">
        <f t="array" ref="AC13">IF(ISBLANK(INDEX('WORLDCUP'!$AE$101:$AE$147,MATCH(Y13,'WORLDCUP'!$Z$101:$Z$147,0))),"","( "&amp;INDEX('WORLDCUP'!$AE$101:$AE$147,MATCH(Y13,'WORLDCUP'!$Z$101:$Z$147,0))&amp;" )")</f>
      </c>
      <c r="AD13" s="316"/>
      <c r="AE13" s="541"/>
      <c r="AF13" s="541"/>
      <c r="AG13" s="541"/>
      <c r="AH13" s="316"/>
      <c r="AI13" s="572"/>
      <c r="AJ13" s="572"/>
      <c r="AK13" s="621"/>
      <c r="AL13" s="568">
        <v>101</v>
      </c>
      <c r="AM13" t="str" s="636" cm="1">
        <f t="array" ref="AM13">MID(INDEX('WORLDCUP'!$AA$101:$AA$147,MATCH(AL13,'WORLDCUP'!$Z$101:$Z$147,0)),1,3)</f>
        <v>W97</v>
      </c>
      <c r="AN13" t="str" s="637" cm="1">
        <f t="array" ref="AN13">IF(ISBLANK(INDEX('WORLDCUP'!$AC$101:$AC$147,MATCH(AL13,'WORLDCUP'!$Z$101:$Z$147,0))),"",INDEX('WORLDCUP'!$AC$101:$AC$147,MATCH(AL13,'WORLDCUP'!$Z$101:$Z$147,0)))</f>
      </c>
      <c r="AO13" t="str" s="638" cm="1">
        <f t="array" ref="AO13">IF(ISBLANK(INDEX('WORLDCUP'!$AB$101:$AB$147,MATCH(AL13,'WORLDCUP'!$Z$101:$Z$147,0))),"","( "&amp;INDEX('WORLDCUP'!$AB$101:$AB$147,MATCH(AL13,'WORLDCUP'!$Z$101:$Z$147,0))&amp;" )")</f>
      </c>
      <c r="AP13" s="316"/>
      <c r="AQ13" s="573"/>
      <c r="AR13" s="573"/>
      <c r="AS13" s="573"/>
      <c r="AT13" s="316"/>
      <c r="AU13" s="545"/>
      <c r="AV13" s="545"/>
      <c r="AW13" s="545"/>
      <c r="AX13" s="316"/>
      <c r="AY13" s="8"/>
      <c r="AZ13" s="8"/>
      <c r="BA13" s="8"/>
      <c r="BB13" s="8"/>
      <c r="BC13" s="8"/>
      <c r="BD13" s="8"/>
      <c r="BE13" s="8"/>
      <c r="BF13" s="546"/>
      <c r="BG13" t="s" s="575">
        <v>320</v>
      </c>
      <c r="BH13" s="576" cm="1">
        <f t="array" ref="BH13">1-SUM(BI13:BO13)</f>
        <v>1</v>
      </c>
      <c r="BI13" s="576" cm="1">
        <f t="array" ref="BI13">COUNTIF('Pool'!$C$130:$C$161,BG13)-BJ13-BK13-BL13-BM13-BN13-BO13</f>
        <v>0</v>
      </c>
      <c r="BJ13" s="577" cm="1">
        <f t="array" ref="BJ13">COUNTIF('Pool'!$C$182:$C$197,BG13)-BK13-BL13-BM13-BN13-BO13</f>
        <v>0</v>
      </c>
      <c r="BK13" s="578" cm="1">
        <f t="array" ref="BK13">COUNTIF('Pool'!$C$210:$C$217,BG13)-BL13-BM13-BN13-BO13</f>
        <v>0</v>
      </c>
      <c r="BL13" s="578" cm="1">
        <f t="array" ref="BL13">COUNTIF('Pool'!$C$226:$C$229,BG13)-BM13-BN13-BO13</f>
        <v>0</v>
      </c>
      <c r="BM13" s="576" cm="1">
        <f t="array" ref="BM13">COUNTIF('Pool'!$C$252,BG13)</f>
        <v>0</v>
      </c>
      <c r="BN13" s="576" cm="1">
        <f t="array" ref="BN13">COUNTIF('Pool'!$C$251,BG13)</f>
        <v>0</v>
      </c>
      <c r="BO13" s="579" cm="1">
        <f t="array" ref="BO13">COUNTIF('Pool'!$C$250,BG13)</f>
        <v>0</v>
      </c>
    </row>
    <row r="14" ht="15" customHeight="1">
      <c r="A14" s="521">
        <v>27</v>
      </c>
      <c r="B14" s="630"/>
      <c r="C14" t="str" s="557" cm="1">
        <f t="array" ref="C14">MID(INDEX('WORLDCUP'!$AA$4:$AA$147,MATCH(A14,'WORLDCUP'!$AH$4:$AH$147,0)),1,3)</f>
        <v>Can</v>
      </c>
      <c r="D14" s="128" cm="1">
        <f t="array" ref="D14">IF(ISBLANK(INDEX('WORLDCUP'!$AC$4:$AC$147,MATCH(A14,'WORLDCUP'!$AH$4:$AH$147,0))),"",INDEX('WORLDCUP'!$AC$4:$AC$147,MATCH(A14,'WORLDCUP'!$AH$4:$AH$147,0)))</f>
        <v>2</v>
      </c>
      <c r="E14" s="128" cm="1">
        <f t="array" ref="E14">IF(ISBLANK(INDEX('WORLDCUP'!$AD$4:$AD$147,MATCH(A14,'WORLDCUP'!$AH$4:$AH$147,0))),"",INDEX('WORLDCUP'!$AD$4:$AD$147,MATCH(A14,'WORLDCUP'!$AH$4:$AH$147,0)))</f>
        <v>2</v>
      </c>
      <c r="F14" t="str" s="558" cm="1">
        <f t="array" ref="F14">MID(INDEX('WORLDCUP'!$AF$4:$AF$147,MATCH(A14,'WORLDCUP'!$AH$4:$AH$147,0)),1,3)</f>
        <v>Cat</v>
      </c>
      <c r="G14" s="580">
        <v>3</v>
      </c>
      <c r="H14" t="str" s="581" cm="1">
        <f t="array" ref="H14">MID(INDEX('WORLDCUP'!$AL$6:$AL$97,MATCH(L14,'WORLDCUP'!$AI$6:$AI$97,0)),1,3)</f>
        <v>Cat</v>
      </c>
      <c r="I14" s="158" cm="1">
        <f t="array" ref="I14">INDEX('WORLDCUP'!$AM$6:$AM$97,MATCH(L14,'WORLDCUP'!$AI$6:$AI$97,0))</f>
        <v>5</v>
      </c>
      <c r="J14" s="159" cm="1">
        <f t="array" ref="J14">INDEX('WORLDCUP'!$AT$6:$AT$97,MATCH(L14,'WORLDCUP'!$AI$6:$AI$97,0))</f>
        <v>1</v>
      </c>
      <c r="K14" t="str" s="582" cm="1">
        <f t="array" ref="K14">INDEX('WORLDCUP'!$AR$6:$AR$97,MATCH(L14,'WORLDCUP'!$AI$6:$AI$97,0))&amp;"-"&amp;INDEX('WORLDCUP'!$AS$6:$AS$97,MATCH(L14,'WORLDCUP'!$AI$6:$AI$97,0))</f>
        <v>4-3</v>
      </c>
      <c r="L14" t="s" s="564">
        <v>179</v>
      </c>
      <c r="M14" s="532">
        <v>37</v>
      </c>
      <c r="N14" s="631"/>
      <c r="O14" t="str" s="557" cm="1">
        <f t="array" ref="O14">MID(INDEX('WORLDCUP'!$AA$4:$AA$147,MATCH(M14,'WORLDCUP'!$AH$4:$AH$147,0)),1,3)</f>
        <v>Uru</v>
      </c>
      <c r="P14" s="128" cm="1">
        <f t="array" ref="P14">IF(ISBLANK(INDEX('WORLDCUP'!$AC$4:$AC$147,MATCH(M14,'WORLDCUP'!$AH$4:$AH$147,0))),"",INDEX('WORLDCUP'!$AC$4:$AC$147,MATCH(M14,'WORLDCUP'!$AH$4:$AH$147,0)))</f>
        <v>2</v>
      </c>
      <c r="Q14" s="128" cm="1">
        <f t="array" ref="Q14">IF(ISBLANK(INDEX('WORLDCUP'!$AD$4:$AD$147,MATCH(M14,'WORLDCUP'!$AH$4:$AH$147,0))),"",INDEX('WORLDCUP'!$AD$4:$AD$147,MATCH(M14,'WORLDCUP'!$AH$4:$AH$147,0)))</f>
        <v>0</v>
      </c>
      <c r="R14" t="str" s="558" cm="1">
        <f t="array" ref="R14">MID(INDEX('WORLDCUP'!$AF$4:$AF$147,MATCH(M14,'WORLDCUP'!$AH$4:$AH$147,0)),1,3)</f>
        <v>Cab</v>
      </c>
      <c r="S14" s="580">
        <v>3</v>
      </c>
      <c r="T14" t="str" s="581" cm="1">
        <f t="array" ref="T14">MID(INDEX('WORLDCUP'!$AL$6:$AL$97,MATCH(X14,'WORLDCUP'!$AI$6:$AI$97,0)),1,3)</f>
        <v>Ara</v>
      </c>
      <c r="U14" s="158" cm="1">
        <f t="array" ref="U14">INDEX('WORLDCUP'!$AM$6:$AM$97,MATCH(X14,'WORLDCUP'!$AI$6:$AI$97,0))</f>
        <v>3</v>
      </c>
      <c r="V14" s="159" cm="1">
        <f t="array" ref="V14">INDEX('WORLDCUP'!$AT$6:$AT$97,MATCH(X14,'WORLDCUP'!$AI$6:$AI$97,0))</f>
        <v>-2</v>
      </c>
      <c r="W14" t="str" s="582" cm="1">
        <f t="array" ref="W14">INDEX('WORLDCUP'!$AR$6:$AR$97,MATCH(X14,'WORLDCUP'!$AI$6:$AI$97,0))&amp;"-"&amp;INDEX('WORLDCUP'!$AS$6:$AS$97,MATCH(X14,'WORLDCUP'!$AI$6:$AI$97,0))</f>
        <v>3-5</v>
      </c>
      <c r="X14" t="s" s="566">
        <v>329</v>
      </c>
      <c r="Y14" s="583"/>
      <c r="Z14" s="284"/>
      <c r="AA14" s="610"/>
      <c r="AB14" s="610"/>
      <c r="AC14" s="611"/>
      <c r="AD14" s="316"/>
      <c r="AE14" s="541"/>
      <c r="AF14" s="541"/>
      <c r="AG14" s="541"/>
      <c r="AH14" s="316"/>
      <c r="AI14" s="572"/>
      <c r="AJ14" s="572"/>
      <c r="AK14" s="621"/>
      <c r="AL14" s="586">
        <v>101</v>
      </c>
      <c r="AM14" t="str" s="636" cm="1">
        <f t="array" ref="AM14">MID(INDEX('WORLDCUP'!$AF$101:$AF$147,MATCH(AL14,'WORLDCUP'!$Z$101:$Z$147,0)),1,3)</f>
        <v>W98</v>
      </c>
      <c r="AN14" t="str" s="637" cm="1">
        <f t="array" ref="AN14">IF(ISBLANK(INDEX('WORLDCUP'!$AD$101:$AD$147,MATCH(AL14,'WORLDCUP'!$Z$101:$Z$147,0))),"",INDEX('WORLDCUP'!$AD$101:$AD$147,MATCH(AL14,'WORLDCUP'!$Z$101:$Z$147,0)))</f>
      </c>
      <c r="AO14" t="str" s="639" cm="1">
        <f t="array" ref="AO14">IF(ISBLANK(INDEX('WORLDCUP'!$AE$101:$AE$147,MATCH(AL14,'WORLDCUP'!$Z$101:$Z$147,0))),"","( "&amp;INDEX('WORLDCUP'!$AE$101:$AE$147,MATCH(AL14,'WORLDCUP'!$Z$101:$Z$147,0))&amp;" )")</f>
      </c>
      <c r="AP14" s="588"/>
      <c r="AQ14" s="573"/>
      <c r="AR14" s="573"/>
      <c r="AS14" s="573"/>
      <c r="AT14" s="316"/>
      <c r="AU14" s="545"/>
      <c r="AV14" s="545"/>
      <c r="AW14" s="545"/>
      <c r="AX14" s="316"/>
      <c r="AY14" s="8"/>
      <c r="AZ14" s="8"/>
      <c r="BA14" s="8"/>
      <c r="BB14" s="8"/>
      <c r="BC14" s="8"/>
      <c r="BD14" s="8"/>
      <c r="BE14" s="8"/>
      <c r="BF14" s="546"/>
      <c r="BG14" t="s" s="575">
        <v>160</v>
      </c>
      <c r="BH14" s="576" cm="1">
        <f t="array" ref="BH14">1-SUM(BI14:BO14)</f>
        <v>0</v>
      </c>
      <c r="BI14" s="576" cm="1">
        <f t="array" ref="BI14">COUNTIF('Pool'!$C$130:$C$161,BG14)-BJ14-BK14-BL14-BM14-BN14-BO14</f>
        <v>1</v>
      </c>
      <c r="BJ14" s="577" cm="1">
        <f t="array" ref="BJ14">COUNTIF('Pool'!$C$182:$C$197,BG14)-BK14-BL14-BM14-BN14-BO14</f>
        <v>0</v>
      </c>
      <c r="BK14" s="578" cm="1">
        <f t="array" ref="BK14">COUNTIF('Pool'!$C$210:$C$217,BG14)-BL14-BM14-BN14-BO14</f>
        <v>0</v>
      </c>
      <c r="BL14" s="578" cm="1">
        <f t="array" ref="BL14">COUNTIF('Pool'!$C$226:$C$229,BG14)-BM14-BN14-BO14</f>
        <v>0</v>
      </c>
      <c r="BM14" s="576" cm="1">
        <f t="array" ref="BM14">COUNTIF('Pool'!$C$252,BG14)</f>
        <v>0</v>
      </c>
      <c r="BN14" s="576" cm="1">
        <f t="array" ref="BN14">COUNTIF('Pool'!$C$251,BG14)</f>
        <v>0</v>
      </c>
      <c r="BO14" s="579" cm="1">
        <f t="array" ref="BO14">COUNTIF('Pool'!$C$250,BG14)</f>
        <v>0</v>
      </c>
    </row>
    <row r="15" ht="16" customHeight="1">
      <c r="A15" s="521">
        <v>51</v>
      </c>
      <c r="B15" s="630"/>
      <c r="C15" t="str" s="557" cm="1">
        <f t="array" ref="C15">MID(INDEX('WORLDCUP'!$AA$4:$AA$147,MATCH(A15,'WORLDCUP'!$AH$4:$AH$147,0)),1,3)</f>
        <v>Sui</v>
      </c>
      <c r="D15" s="128" cm="1">
        <f t="array" ref="D15">IF(ISBLANK(INDEX('WORLDCUP'!$AC$4:$AC$147,MATCH(A15,'WORLDCUP'!$AH$4:$AH$147,0))),"",INDEX('WORLDCUP'!$AC$4:$AC$147,MATCH(A15,'WORLDCUP'!$AH$4:$AH$147,0)))</f>
        <v>2</v>
      </c>
      <c r="E15" s="128" cm="1">
        <f t="array" ref="E15">IF(ISBLANK(INDEX('WORLDCUP'!$AD$4:$AD$147,MATCH(A15,'WORLDCUP'!$AH$4:$AH$147,0))),"",INDEX('WORLDCUP'!$AD$4:$AD$147,MATCH(A15,'WORLDCUP'!$AH$4:$AH$147,0)))</f>
        <v>1</v>
      </c>
      <c r="F15" t="str" s="558" cm="1">
        <f t="array" ref="F15">MID(INDEX('WORLDCUP'!$AF$4:$AF$147,MATCH(A15,'WORLDCUP'!$AH$4:$AH$147,0)),1,3)</f>
        <v>Can</v>
      </c>
      <c r="G15" s="580">
        <v>4</v>
      </c>
      <c r="H15" t="str" s="593" cm="1">
        <f t="array" ref="H15">MID(INDEX('WORLDCUP'!$AL$6:$AL$97,MATCH(L15,'WORLDCUP'!$AI$6:$AI$97,0)),1,3)</f>
        <v>Sui</v>
      </c>
      <c r="I15" s="594" cm="1">
        <f t="array" ref="I15">INDEX('WORLDCUP'!$AM$6:$AM$97,MATCH(L15,'WORLDCUP'!$AI$6:$AI$97,0))</f>
        <v>7</v>
      </c>
      <c r="J15" s="595" cm="1">
        <f t="array" ref="J15">INDEX('WORLDCUP'!$AT$6:$AT$97,MATCH(L15,'WORLDCUP'!$AI$6:$AI$97,0))</f>
        <v>2</v>
      </c>
      <c r="K15" t="str" s="596" cm="1">
        <f t="array" ref="K15">INDEX('WORLDCUP'!$AR$6:$AR$97,MATCH(L15,'WORLDCUP'!$AI$6:$AI$97,0))&amp;"-"&amp;INDEX('WORLDCUP'!$AS$6:$AS$97,MATCH(L15,'WORLDCUP'!$AI$6:$AI$97,0))</f>
        <v>5-3</v>
      </c>
      <c r="L15" t="s" s="564">
        <v>196</v>
      </c>
      <c r="M15" s="532">
        <v>65</v>
      </c>
      <c r="N15" s="631"/>
      <c r="O15" t="str" s="557" cm="1">
        <f t="array" ref="O15">MID(INDEX('WORLDCUP'!$AA$4:$AA$147,MATCH(M15,'WORLDCUP'!$AH$4:$AH$147,0)),1,3)</f>
        <v>Cab</v>
      </c>
      <c r="P15" s="128" cm="1">
        <f t="array" ref="P15">IF(ISBLANK(INDEX('WORLDCUP'!$AC$4:$AC$147,MATCH(M15,'WORLDCUP'!$AH$4:$AH$147,0))),"",INDEX('WORLDCUP'!$AC$4:$AC$147,MATCH(M15,'WORLDCUP'!$AH$4:$AH$147,0)))</f>
        <v>1</v>
      </c>
      <c r="Q15" s="128" cm="1">
        <f t="array" ref="Q15">IF(ISBLANK(INDEX('WORLDCUP'!$AD$4:$AD$147,MATCH(M15,'WORLDCUP'!$AH$4:$AH$147,0))),"",INDEX('WORLDCUP'!$AD$4:$AD$147,MATCH(M15,'WORLDCUP'!$AH$4:$AH$147,0)))</f>
        <v>2</v>
      </c>
      <c r="R15" t="str" s="558" cm="1">
        <f t="array" ref="R15">MID(INDEX('WORLDCUP'!$AF$4:$AF$147,MATCH(M15,'WORLDCUP'!$AH$4:$AH$147,0)),1,3)</f>
        <v>Ara</v>
      </c>
      <c r="S15" s="580">
        <v>4</v>
      </c>
      <c r="T15" t="str" s="593" cm="1">
        <f t="array" ref="T15">MID(INDEX('WORLDCUP'!$AL$6:$AL$97,MATCH(X15,'WORLDCUP'!$AI$6:$AI$97,0)),1,3)</f>
        <v>Uru</v>
      </c>
      <c r="U15" s="594" cm="1">
        <f t="array" ref="U15">INDEX('WORLDCUP'!$AM$6:$AM$97,MATCH(X15,'WORLDCUP'!$AI$6:$AI$97,0))</f>
        <v>6</v>
      </c>
      <c r="V15" s="595" cm="1">
        <f t="array" ref="V15">INDEX('WORLDCUP'!$AT$6:$AT$97,MATCH(X15,'WORLDCUP'!$AI$6:$AI$97,0))</f>
        <v>2</v>
      </c>
      <c r="W15" t="str" s="596" cm="1">
        <f t="array" ref="W15">INDEX('WORLDCUP'!$AR$6:$AR$97,MATCH(X15,'WORLDCUP'!$AI$6:$AI$97,0))&amp;"-"&amp;INDEX('WORLDCUP'!$AS$6:$AS$97,MATCH(X15,'WORLDCUP'!$AI$6:$AI$97,0))</f>
        <v>5-3</v>
      </c>
      <c r="X15" t="s" s="566">
        <v>335</v>
      </c>
      <c r="Y15" s="535">
        <v>83</v>
      </c>
      <c r="Z15" t="s" s="536">
        <v>394</v>
      </c>
      <c r="AA15" t="str" s="537" cm="1">
        <f t="array" ref="AA15">MID(INDEX('WORLDCUP'!$AA$101:$AA$147,MATCH(Y15,'WORLDCUP'!$Z$101:$Z$147,0)),1,3)</f>
        <v>RD </v>
      </c>
      <c r="AB15" t="str" s="538" cm="1">
        <f t="array" ref="AB15">IF(ISBLANK(INDEX('WORLDCUP'!$AC$101:$AC$147,MATCH(Y15,'WORLDCUP'!$Z$101:$Z$147,0))),"",INDEX('WORLDCUP'!$AC$101:$AC$147,MATCH(Y15,'WORLDCUP'!$Z$101:$Z$147,0)))</f>
      </c>
      <c r="AC15" t="str" s="619" cm="1">
        <f t="array" ref="AC15">IF(ISBLANK(INDEX('WORLDCUP'!$AB$101:$AB$147,MATCH(Y15,'WORLDCUP'!$Z$101:$Z$147,0))),"","( "&amp;INDEX('WORLDCUP'!$AB$101:$AB$147,MATCH(Y15,'WORLDCUP'!$Z$101:$Z$147,0))&amp;" )")</f>
      </c>
      <c r="AD15" s="83"/>
      <c r="AE15" s="540"/>
      <c r="AF15" s="540"/>
      <c r="AG15" s="541"/>
      <c r="AH15" s="316"/>
      <c r="AI15" s="572"/>
      <c r="AJ15" s="572"/>
      <c r="AK15" s="621"/>
      <c r="AL15" s="613"/>
      <c r="AM15" s="640"/>
      <c r="AN15" s="640"/>
      <c r="AO15" s="641"/>
      <c r="AP15" s="613"/>
      <c r="AQ15" s="573"/>
      <c r="AR15" s="573"/>
      <c r="AS15" s="573"/>
      <c r="AT15" s="316"/>
      <c r="AU15" s="545"/>
      <c r="AV15" s="545"/>
      <c r="AW15" s="545"/>
      <c r="AX15" s="316"/>
      <c r="AY15" s="8"/>
      <c r="AZ15" s="8"/>
      <c r="BA15" s="8"/>
      <c r="BB15" s="8"/>
      <c r="BC15" s="8"/>
      <c r="BD15" s="8"/>
      <c r="BE15" s="8"/>
      <c r="BF15" s="546"/>
      <c r="BG15" t="s" s="575">
        <v>177</v>
      </c>
      <c r="BH15" s="576" cm="1">
        <f t="array" ref="BH15">1-SUM(BI15:BO15)</f>
        <v>1</v>
      </c>
      <c r="BI15" s="576" cm="1">
        <f t="array" ref="BI15">COUNTIF('Pool'!$C$130:$C$161,BG15)-BJ15-BK15-BL15-BM15-BN15-BO15</f>
        <v>0</v>
      </c>
      <c r="BJ15" s="577" cm="1">
        <f t="array" ref="BJ15">COUNTIF('Pool'!$C$182:$C$197,BG15)-BK15-BL15-BM15-BN15-BO15</f>
        <v>0</v>
      </c>
      <c r="BK15" s="578" cm="1">
        <f t="array" ref="BK15">COUNTIF('Pool'!$C$210:$C$217,BG15)-BL15-BM15-BN15-BO15</f>
        <v>0</v>
      </c>
      <c r="BL15" s="578" cm="1">
        <f t="array" ref="BL15">COUNTIF('Pool'!$C$226:$C$229,BG15)-BM15-BN15-BO15</f>
        <v>0</v>
      </c>
      <c r="BM15" s="576" cm="1">
        <f t="array" ref="BM15">COUNTIF('Pool'!$C$252,BG15)</f>
        <v>0</v>
      </c>
      <c r="BN15" s="576" cm="1">
        <f t="array" ref="BN15">COUNTIF('Pool'!$C$251,BG15)</f>
        <v>0</v>
      </c>
      <c r="BO15" s="579" cm="1">
        <f t="array" ref="BO15">COUNTIF('Pool'!$C$250,BG15)</f>
        <v>0</v>
      </c>
    </row>
    <row r="16" ht="16" customHeight="1">
      <c r="A16" s="521">
        <v>52</v>
      </c>
      <c r="B16" s="642"/>
      <c r="C16" t="str" s="603" cm="1">
        <f t="array" ref="C16">MID(INDEX('WORLDCUP'!$AA$4:$AA$147,MATCH(A16,'WORLDCUP'!$AH$4:$AH$147,0)),1,3)</f>
        <v>Bos</v>
      </c>
      <c r="D16" s="169" cm="1">
        <f t="array" ref="D16">IF(ISBLANK(INDEX('WORLDCUP'!$AC$4:$AC$147,MATCH(A16,'WORLDCUP'!$AH$4:$AH$147,0))),"",INDEX('WORLDCUP'!$AC$4:$AC$147,MATCH(A16,'WORLDCUP'!$AH$4:$AH$147,0)))</f>
        <v>0</v>
      </c>
      <c r="E16" s="169" cm="1">
        <f t="array" ref="E16">IF(ISBLANK(INDEX('WORLDCUP'!$AD$4:$AD$147,MATCH(A16,'WORLDCUP'!$AH$4:$AH$147,0))),"",INDEX('WORLDCUP'!$AD$4:$AD$147,MATCH(A16,'WORLDCUP'!$AH$4:$AH$147,0)))</f>
        <v>1</v>
      </c>
      <c r="F16" t="str" s="604" cm="1">
        <f t="array" ref="F16">MID(INDEX('WORLDCUP'!$AF$4:$AF$147,MATCH(A16,'WORLDCUP'!$AH$4:$AH$147,0)),1,3)</f>
        <v>Cat</v>
      </c>
      <c r="G16" s="605"/>
      <c r="H16" s="606"/>
      <c r="I16" s="607"/>
      <c r="J16" s="607"/>
      <c r="K16" s="608"/>
      <c r="L16" s="531"/>
      <c r="M16" s="532">
        <v>66</v>
      </c>
      <c r="N16" s="643"/>
      <c r="O16" t="str" s="603" cm="1">
        <f t="array" ref="O16">MID(INDEX('WORLDCUP'!$AA$4:$AA$147,MATCH(M16,'WORLDCUP'!$AH$4:$AH$147,0)),1,3)</f>
        <v>Uru</v>
      </c>
      <c r="P16" s="169" cm="1">
        <f t="array" ref="P16">IF(ISBLANK(INDEX('WORLDCUP'!$AC$4:$AC$147,MATCH(M16,'WORLDCUP'!$AH$4:$AH$147,0))),"",INDEX('WORLDCUP'!$AC$4:$AC$147,MATCH(M16,'WORLDCUP'!$AH$4:$AH$147,0)))</f>
        <v>1</v>
      </c>
      <c r="Q16" s="169" cm="1">
        <f t="array" ref="Q16">IF(ISBLANK(INDEX('WORLDCUP'!$AD$4:$AD$147,MATCH(M16,'WORLDCUP'!$AH$4:$AH$147,0))),"",INDEX('WORLDCUP'!$AD$4:$AD$147,MATCH(M16,'WORLDCUP'!$AH$4:$AH$147,0)))</f>
        <v>2</v>
      </c>
      <c r="R16" t="str" s="604" cm="1">
        <f t="array" ref="R16">MID(INDEX('WORLDCUP'!$AF$4:$AF$147,MATCH(M16,'WORLDCUP'!$AH$4:$AH$147,0)),1,3)</f>
        <v>Esp</v>
      </c>
      <c r="S16" s="605"/>
      <c r="T16" s="606"/>
      <c r="U16" s="607"/>
      <c r="V16" s="607"/>
      <c r="W16" s="608"/>
      <c r="X16" s="534"/>
      <c r="Y16" s="535">
        <v>83</v>
      </c>
      <c r="Z16" t="s" s="536">
        <v>415</v>
      </c>
      <c r="AA16" t="str" s="537" cm="1">
        <f t="array" ref="AA16">MID(INDEX('WORLDCUP'!$AF$101:$AF$147,MATCH(Y16,'WORLDCUP'!$Z$101:$Z$147,0)),1,3)</f>
        <v>2L</v>
      </c>
      <c r="AB16" t="str" s="538" cm="1">
        <f t="array" ref="AB16">IF(ISBLANK(INDEX('WORLDCUP'!$AD$101:$AD$147,MATCH(Y16,'WORLDCUP'!$Z$101:$Z$147,0))),"",INDEX('WORLDCUP'!$AD$101:$AD$147,MATCH(Y16,'WORLDCUP'!$Z$101:$Z$147,0)))</f>
      </c>
      <c r="AC16" t="str" s="567" cm="1">
        <f t="array" ref="AC16">IF(ISBLANK(INDEX('WORLDCUP'!$AE$101:$AE$147,MATCH(Y16,'WORLDCUP'!$Z$101:$Z$147,0))),"","( "&amp;INDEX('WORLDCUP'!$AE$101:$AE$147,MATCH(Y16,'WORLDCUP'!$Z$101:$Z$147,0))&amp;" )")</f>
      </c>
      <c r="AD16" s="568">
        <v>93</v>
      </c>
      <c r="AE16" t="str" s="569" cm="1">
        <f t="array" ref="AE16">MID(INDEX('WORLDCUP'!$AA$101:$AA$147,MATCH(AD16,'WORLDCUP'!$Z$101:$Z$147,0)),1,3)</f>
        <v>W83</v>
      </c>
      <c r="AF16" t="str" s="570" cm="1">
        <f t="array" ref="AF16">IF(ISBLANK(INDEX('WORLDCUP'!$AC$101:$AC$147,MATCH(AD16,'WORLDCUP'!$Z$101:$Z$147,0))),"",INDEX('WORLDCUP'!$AC$101:$AC$147,MATCH(AD16,'WORLDCUP'!$Z$101:$Z$147,0)))</f>
      </c>
      <c r="AG16" t="str" s="571" cm="1">
        <f t="array" ref="AG16">IF(ISBLANK(INDEX('WORLDCUP'!$AB$101:$AB$147,MATCH(AD16,'WORLDCUP'!$Z$101:$Z$147,0))),"","( "&amp;INDEX('WORLDCUP'!$AB$101:$AB$147,MATCH(AD16,'WORLDCUP'!$Z$101:$Z$147,0))&amp;" )")</f>
      </c>
      <c r="AH16" s="316"/>
      <c r="AI16" s="572"/>
      <c r="AJ16" s="572"/>
      <c r="AK16" s="621"/>
      <c r="AL16" s="588"/>
      <c r="AM16" s="543"/>
      <c r="AN16" s="543"/>
      <c r="AO16" s="641"/>
      <c r="AP16" s="613"/>
      <c r="AQ16" s="573"/>
      <c r="AR16" s="573"/>
      <c r="AS16" s="573"/>
      <c r="AT16" s="316"/>
      <c r="AU16" s="545"/>
      <c r="AV16" s="545"/>
      <c r="AW16" s="545"/>
      <c r="AX16" s="316"/>
      <c r="AY16" s="8"/>
      <c r="AZ16" s="8"/>
      <c r="BA16" s="8"/>
      <c r="BB16" s="8"/>
      <c r="BC16" s="8"/>
      <c r="BD16" s="8"/>
      <c r="BE16" s="8"/>
      <c r="BF16" s="546"/>
      <c r="BG16" t="s" s="575">
        <v>404</v>
      </c>
      <c r="BH16" s="576" cm="1">
        <f t="array" ref="BH16">1-SUM(BI16:BO16)</f>
        <v>1</v>
      </c>
      <c r="BI16" s="576" cm="1">
        <f t="array" ref="BI16">COUNTIF('Pool'!$C$130:$C$161,BG16)-BJ16-BK16-BL16-BM16-BN16-BO16</f>
        <v>0</v>
      </c>
      <c r="BJ16" s="577" cm="1">
        <f t="array" ref="BJ16">COUNTIF('Pool'!$C$182:$C$197,BG16)-BK16-BL16-BM16-BN16-BO16</f>
        <v>0</v>
      </c>
      <c r="BK16" s="578" cm="1">
        <f t="array" ref="BK16">COUNTIF('Pool'!$C$210:$C$217,BG16)-BL16-BM16-BN16-BO16</f>
        <v>0</v>
      </c>
      <c r="BL16" s="578" cm="1">
        <f t="array" ref="BL16">COUNTIF('Pool'!$C$226:$C$229,BG16)-BM16-BN16-BO16</f>
        <v>0</v>
      </c>
      <c r="BM16" s="576" cm="1">
        <f t="array" ref="BM16">COUNTIF('Pool'!$C$252,BG16)</f>
        <v>0</v>
      </c>
      <c r="BN16" s="576" cm="1">
        <f t="array" ref="BN16">COUNTIF('Pool'!$C$251,BG16)</f>
        <v>0</v>
      </c>
      <c r="BO16" s="579" cm="1">
        <f t="array" ref="BO16">COUNTIF('Pool'!$C$250,BG16)</f>
        <v>0</v>
      </c>
    </row>
    <row r="17" ht="15" customHeight="1">
      <c r="A17" s="7"/>
      <c r="B17" s="614"/>
      <c r="C17" s="615"/>
      <c r="D17" s="616"/>
      <c r="E17" s="616"/>
      <c r="F17" s="617"/>
      <c r="G17" s="617"/>
      <c r="H17" s="615"/>
      <c r="I17" s="617"/>
      <c r="J17" s="617"/>
      <c r="K17" s="617"/>
      <c r="L17" s="316"/>
      <c r="M17" s="8"/>
      <c r="N17" s="617"/>
      <c r="O17" s="615"/>
      <c r="P17" s="616"/>
      <c r="Q17" s="616"/>
      <c r="R17" s="617"/>
      <c r="S17" s="617"/>
      <c r="T17" s="615"/>
      <c r="U17" s="617"/>
      <c r="V17" s="617"/>
      <c r="W17" s="617"/>
      <c r="X17" s="8"/>
      <c r="Y17" s="316"/>
      <c r="Z17" s="284"/>
      <c r="AA17" s="584"/>
      <c r="AB17" s="584"/>
      <c r="AC17" s="585"/>
      <c r="AD17" s="586">
        <v>93</v>
      </c>
      <c r="AE17" t="str" s="569" cm="1">
        <f t="array" ref="AE17">MID(INDEX('WORLDCUP'!$AF$101:$AF$147,MATCH(AD17,'WORLDCUP'!$Z$101:$Z$147,0)),1,3)</f>
        <v>W84</v>
      </c>
      <c r="AF17" t="str" s="570" cm="1">
        <f t="array" ref="AF17">IF(ISBLANK(INDEX('WORLDCUP'!$AD$101:$AD$147,MATCH(AD17,'WORLDCUP'!$Z$101:$Z$147,0))),"",INDEX('WORLDCUP'!$AD$101:$AD$147,MATCH(AD17,'WORLDCUP'!$Z$101:$Z$147,0)))</f>
      </c>
      <c r="AG17" t="str" s="587" cm="1">
        <f t="array" ref="AG17">IF(ISBLANK(INDEX('WORLDCUP'!$AE$101:$AE$147,MATCH(AD17,'WORLDCUP'!$Z$101:$Z$147,0))),"","( "&amp;INDEX('WORLDCUP'!$AE$101:$AE$147,MATCH(AD17,'WORLDCUP'!$Z$101:$Z$147,0))&amp;" )")</f>
      </c>
      <c r="AH17" s="588"/>
      <c r="AI17" s="572"/>
      <c r="AJ17" s="572"/>
      <c r="AK17" s="621"/>
      <c r="AL17" s="588"/>
      <c r="AM17" s="543"/>
      <c r="AN17" s="543"/>
      <c r="AO17" s="641"/>
      <c r="AP17" s="613"/>
      <c r="AQ17" s="573"/>
      <c r="AR17" s="573"/>
      <c r="AS17" s="573"/>
      <c r="AT17" s="316"/>
      <c r="AU17" s="545"/>
      <c r="AV17" s="545"/>
      <c r="AW17" s="545"/>
      <c r="AX17" s="316"/>
      <c r="AY17" s="8"/>
      <c r="AZ17" s="8"/>
      <c r="BA17" s="8"/>
      <c r="BB17" s="8"/>
      <c r="BC17" s="8"/>
      <c r="BD17" s="8"/>
      <c r="BE17" s="8"/>
      <c r="BF17" s="546"/>
      <c r="BG17" t="s" s="575">
        <v>139</v>
      </c>
      <c r="BH17" s="576" cm="1">
        <f t="array" ref="BH17">1-SUM(BI17:BO17)</f>
        <v>1</v>
      </c>
      <c r="BI17" s="576" cm="1">
        <f t="array" ref="BI17">COUNTIF('Pool'!$C$130:$C$161,BG17)-BJ17-BK17-BL17-BM17-BN17-BO17</f>
        <v>0</v>
      </c>
      <c r="BJ17" s="577" cm="1">
        <f t="array" ref="BJ17">COUNTIF('Pool'!$C$182:$C$197,BG17)-BK17-BL17-BM17-BN17-BO17</f>
        <v>0</v>
      </c>
      <c r="BK17" s="578" cm="1">
        <f t="array" ref="BK17">COUNTIF('Pool'!$C$210:$C$217,BG17)-BL17-BM17-BN17-BO17</f>
        <v>0</v>
      </c>
      <c r="BL17" s="578" cm="1">
        <f t="array" ref="BL17">COUNTIF('Pool'!$C$226:$C$229,BG17)-BM17-BN17-BO17</f>
        <v>0</v>
      </c>
      <c r="BM17" s="576" cm="1">
        <f t="array" ref="BM17">COUNTIF('Pool'!$C$252,BG17)</f>
        <v>0</v>
      </c>
      <c r="BN17" s="576" cm="1">
        <f t="array" ref="BN17">COUNTIF('Pool'!$C$251,BG17)</f>
        <v>0</v>
      </c>
      <c r="BO17" s="579" cm="1">
        <f t="array" ref="BO17">COUNTIF('Pool'!$C$250,BG17)</f>
        <v>0</v>
      </c>
    </row>
    <row r="18" ht="16" customHeight="1">
      <c r="A18" s="7"/>
      <c r="B18" s="513"/>
      <c r="C18" s="622"/>
      <c r="D18" s="623"/>
      <c r="E18" s="623"/>
      <c r="F18" s="124"/>
      <c r="G18" s="124"/>
      <c r="H18" s="622"/>
      <c r="I18" s="124"/>
      <c r="J18" s="124"/>
      <c r="K18" s="124"/>
      <c r="L18" s="316"/>
      <c r="M18" s="8"/>
      <c r="N18" s="124"/>
      <c r="O18" s="622"/>
      <c r="P18" s="623"/>
      <c r="Q18" s="623"/>
      <c r="R18" s="124"/>
      <c r="S18" s="124"/>
      <c r="T18" s="622"/>
      <c r="U18" s="124"/>
      <c r="V18" s="124"/>
      <c r="W18" s="124"/>
      <c r="X18" s="8"/>
      <c r="Y18" s="618">
        <v>84</v>
      </c>
      <c r="Z18" t="s" s="536">
        <v>318</v>
      </c>
      <c r="AA18" t="str" s="537" cm="1">
        <f t="array" ref="AA18">MID(INDEX('WORLDCUP'!$AA$101:$AA$147,MATCH(Y18,'WORLDCUP'!$Z$101:$Z$147,0)),1,3)</f>
        <v>Esp</v>
      </c>
      <c r="AB18" t="str" s="538" cm="1">
        <f t="array" ref="AB18">IF(ISBLANK(INDEX('WORLDCUP'!$AC$101:$AC$147,MATCH(Y18,'WORLDCUP'!$Z$101:$Z$147,0))),"",INDEX('WORLDCUP'!$AC$101:$AC$147,MATCH(Y18,'WORLDCUP'!$Z$101:$Z$147,0)))</f>
      </c>
      <c r="AC18" t="str" s="632" cm="1">
        <f t="array" ref="AC18">IF(ISBLANK(INDEX('WORLDCUP'!$AB$101:$AB$147,MATCH(Y18,'WORLDCUP'!$Z$101:$Z$147,0))),"","( "&amp;INDEX('WORLDCUP'!$AB$101:$AB$147,MATCH(Y18,'WORLDCUP'!$Z$101:$Z$147,0))&amp;" )")</f>
      </c>
      <c r="AD18" s="588"/>
      <c r="AE18" s="590"/>
      <c r="AF18" s="590"/>
      <c r="AG18" s="591"/>
      <c r="AH18" s="588"/>
      <c r="AI18" s="592"/>
      <c r="AJ18" s="592"/>
      <c r="AK18" s="621"/>
      <c r="AL18" s="588"/>
      <c r="AM18" s="543"/>
      <c r="AN18" s="543"/>
      <c r="AO18" s="641"/>
      <c r="AP18" s="613"/>
      <c r="AQ18" s="573"/>
      <c r="AR18" s="573"/>
      <c r="AS18" s="573"/>
      <c r="AT18" s="316"/>
      <c r="AU18" s="545"/>
      <c r="AV18" s="545"/>
      <c r="AW18" s="545"/>
      <c r="AX18" t="s" s="644">
        <v>0</v>
      </c>
      <c r="AY18" s="645"/>
      <c r="AZ18" s="626"/>
      <c r="BA18" s="626"/>
      <c r="BB18" s="626"/>
      <c r="BC18" s="626"/>
      <c r="BD18" s="626"/>
      <c r="BE18" s="626"/>
      <c r="BF18" s="546"/>
      <c r="BG18" t="s" s="575">
        <v>259</v>
      </c>
      <c r="BH18" s="576" cm="1">
        <f t="array" ref="BH18">1-SUM(BI18:BO18)</f>
        <v>1</v>
      </c>
      <c r="BI18" s="576" cm="1">
        <f t="array" ref="BI18">COUNTIF('Pool'!$C$130:$C$161,BG18)-BJ18-BK18-BL18-BM18-BN18-BO18</f>
        <v>0</v>
      </c>
      <c r="BJ18" s="577" cm="1">
        <f t="array" ref="BJ18">COUNTIF('Pool'!$C$182:$C$197,BG18)-BK18-BL18-BM18-BN18-BO18</f>
        <v>0</v>
      </c>
      <c r="BK18" s="578" cm="1">
        <f t="array" ref="BK18">COUNTIF('Pool'!$C$210:$C$217,BG18)-BL18-BM18-BN18-BO18</f>
        <v>0</v>
      </c>
      <c r="BL18" s="578" cm="1">
        <f t="array" ref="BL18">COUNTIF('Pool'!$C$226:$C$229,BG18)-BM18-BN18-BO18</f>
        <v>0</v>
      </c>
      <c r="BM18" s="576" cm="1">
        <f t="array" ref="BM18">COUNTIF('Pool'!$C$252,BG18)</f>
        <v>0</v>
      </c>
      <c r="BN18" s="576" cm="1">
        <f t="array" ref="BN18">COUNTIF('Pool'!$C$251,BG18)</f>
        <v>0</v>
      </c>
      <c r="BO18" s="579" cm="1">
        <f t="array" ref="BO18">COUNTIF('Pool'!$C$250,BG18)</f>
        <v>0</v>
      </c>
    </row>
    <row r="19" ht="16" customHeight="1">
      <c r="A19" s="521">
        <v>7</v>
      </c>
      <c r="B19" t="s" s="646">
        <v>200</v>
      </c>
      <c r="C19" t="str" s="523" cm="1">
        <f t="array" ref="C19">MID(INDEX('WORLDCUP'!$AA$4:$AA$147,MATCH(A19,'WORLDCUP'!$AH$4:$AH$147,0)),1,3)</f>
        <v>Bra</v>
      </c>
      <c r="D19" s="524" cm="1">
        <f t="array" ref="D19">IF(ISBLANK(INDEX('WORLDCUP'!$AC$4:$AC$147,MATCH(A19,'WORLDCUP'!$AH$4:$AH$147,0))),"",INDEX('WORLDCUP'!$AC$4:$AC$147,MATCH(A19,'WORLDCUP'!$AH$4:$AH$147,0)))</f>
        <v>2</v>
      </c>
      <c r="E19" s="524" cm="1">
        <f t="array" ref="E19">IF(ISBLANK(INDEX('WORLDCUP'!$AD$4:$AD$147,MATCH(A19,'WORLDCUP'!$AH$4:$AH$147,0))),"",INDEX('WORLDCUP'!$AD$4:$AD$147,MATCH(A19,'WORLDCUP'!$AH$4:$AH$147,0)))</f>
        <v>1</v>
      </c>
      <c r="F19" t="str" s="525" cm="1">
        <f t="array" ref="F19">MID(INDEX('WORLDCUP'!$AF$4:$AF$147,MATCH(A19,'WORLDCUP'!$AH$4:$AH$147,0)),1,3)</f>
        <v>Mar</v>
      </c>
      <c r="G19" s="526"/>
      <c r="H19" t="str" s="527" cm="1">
        <f t="array" ref="H19">H11</f>
        <v>Sel</v>
      </c>
      <c r="I19" t="str" s="529" cm="1">
        <f t="array" ref="I19">I11</f>
        <v>Pts</v>
      </c>
      <c r="J19" t="str" s="529" cm="1">
        <f t="array" ref="J19">J11</f>
        <v>DG</v>
      </c>
      <c r="K19" t="str" s="530" cm="1">
        <f t="array" ref="K19">K11</f>
        <v>GF-GC</v>
      </c>
      <c r="L19" s="531"/>
      <c r="M19" s="532">
        <v>17</v>
      </c>
      <c r="N19" t="s" s="647">
        <v>339</v>
      </c>
      <c r="O19" t="str" s="523" cm="1">
        <f t="array" ref="O19">MID(INDEX('WORLDCUP'!$AA$4:$AA$147,MATCH(M19,'WORLDCUP'!$AH$4:$AH$147,0)),1,3)</f>
        <v>Fra</v>
      </c>
      <c r="P19" s="524" cm="1">
        <f t="array" ref="P19">IF(ISBLANK(INDEX('WORLDCUP'!$AC$4:$AC$147,MATCH(M19,'WORLDCUP'!$AH$4:$AH$147,0))),"",INDEX('WORLDCUP'!$AC$4:$AC$147,MATCH(M19,'WORLDCUP'!$AH$4:$AH$147,0)))</f>
        <v>3</v>
      </c>
      <c r="Q19" s="524" cm="1">
        <f t="array" ref="Q19">IF(ISBLANK(INDEX('WORLDCUP'!$AD$4:$AD$147,MATCH(M19,'WORLDCUP'!$AH$4:$AH$147,0))),"",INDEX('WORLDCUP'!$AD$4:$AD$147,MATCH(M19,'WORLDCUP'!$AH$4:$AH$147,0)))</f>
        <v>1</v>
      </c>
      <c r="R19" t="str" s="525" cm="1">
        <f t="array" ref="R19">MID(INDEX('WORLDCUP'!$AF$4:$AF$147,MATCH(M19,'WORLDCUP'!$AH$4:$AH$147,0)),1,3)</f>
        <v>Sen</v>
      </c>
      <c r="S19" s="526"/>
      <c r="T19" t="str" s="527" cm="1">
        <f t="array" ref="T19">T11</f>
        <v>Sel</v>
      </c>
      <c r="U19" t="str" s="529" cm="1">
        <f t="array" ref="U19">U11</f>
        <v>Pts</v>
      </c>
      <c r="V19" t="str" s="529" cm="1">
        <f t="array" ref="V19">V11</f>
        <v>DG</v>
      </c>
      <c r="W19" t="str" s="530" cm="1">
        <f t="array" ref="W19">W11</f>
        <v>GF-GC</v>
      </c>
      <c r="X19" s="534"/>
      <c r="Y19" s="535">
        <v>84</v>
      </c>
      <c r="Z19" t="s" s="536">
        <v>368</v>
      </c>
      <c r="AA19" t="str" s="537" cm="1">
        <f t="array" ref="AA19">MID(INDEX('WORLDCUP'!$AF$101:$AF$147,MATCH(Y19,'WORLDCUP'!$Z$101:$Z$147,0)),1,3)</f>
        <v>2J</v>
      </c>
      <c r="AB19" t="str" s="538" cm="1">
        <f t="array" ref="AB19">IF(ISBLANK(INDEX('WORLDCUP'!$AD$101:$AD$147,MATCH(Y19,'WORLDCUP'!$Z$101:$Z$147,0))),"",INDEX('WORLDCUP'!$AD$101:$AD$147,MATCH(Y19,'WORLDCUP'!$Z$101:$Z$147,0)))</f>
      </c>
      <c r="AC19" t="str" s="635" cm="1">
        <f t="array" ref="AC19">IF(ISBLANK(INDEX('WORLDCUP'!$AE$101:$AE$147,MATCH(Y19,'WORLDCUP'!$Z$101:$Z$147,0))),"","( "&amp;INDEX('WORLDCUP'!$AE$101:$AE$147,MATCH(Y19,'WORLDCUP'!$Z$101:$Z$147,0))&amp;" )")</f>
      </c>
      <c r="AD19" s="316"/>
      <c r="AE19" s="598"/>
      <c r="AF19" s="598"/>
      <c r="AG19" s="591"/>
      <c r="AH19" s="568">
        <v>98</v>
      </c>
      <c r="AI19" t="str" s="599" cm="1">
        <f t="array" ref="AI19">MID(INDEX('WORLDCUP'!$AA$101:$AA$147,MATCH(AH19,'WORLDCUP'!$Z$101:$Z$147,0)),1,3)</f>
        <v>W93</v>
      </c>
      <c r="AJ19" t="str" s="600" cm="1">
        <f t="array" ref="AJ19">IF(ISBLANK(INDEX('WORLDCUP'!$AC$101:$AC$147,MATCH(AH19,'WORLDCUP'!$Z$101:$Z$147,0))),"",INDEX('WORLDCUP'!$AC$101:$AC$147,MATCH(AH19,'WORLDCUP'!$Z$101:$Z$147,0)))</f>
      </c>
      <c r="AK19" t="str" s="648" cm="1">
        <f t="array" ref="AK19">IF(ISBLANK(INDEX('WORLDCUP'!$AB$101:$AB$147,MATCH(AH19,'WORLDCUP'!$Z$101:$Z$147,0))),"","( "&amp;INDEX('WORLDCUP'!$AB$101:$AB$147,MATCH(AH19,'WORLDCUP'!$Z$101:$Z$147,0))&amp;" )")</f>
      </c>
      <c r="AL19" s="588"/>
      <c r="AM19" s="543"/>
      <c r="AN19" s="543"/>
      <c r="AO19" s="641"/>
      <c r="AP19" s="613"/>
      <c r="AQ19" s="573"/>
      <c r="AR19" s="573"/>
      <c r="AS19" s="573"/>
      <c r="AT19" s="316"/>
      <c r="AU19" s="545"/>
      <c r="AV19" s="545"/>
      <c r="AW19" s="545"/>
      <c r="AX19" s="316"/>
      <c r="AY19" s="649"/>
      <c r="AZ19" s="649"/>
      <c r="BA19" s="649"/>
      <c r="BB19" s="649"/>
      <c r="BC19" s="649"/>
      <c r="BD19" s="8"/>
      <c r="BE19" s="8"/>
      <c r="BF19" s="546"/>
      <c r="BG19" t="s" s="575">
        <v>413</v>
      </c>
      <c r="BH19" s="576" cm="1">
        <f t="array" ref="BH19">1-SUM(BI19:BO19)</f>
        <v>1</v>
      </c>
      <c r="BI19" s="576" cm="1">
        <f t="array" ref="BI19">COUNTIF('Pool'!$C$130:$C$161,BG19)-BJ19-BK19-BL19-BM19-BN19-BO19</f>
        <v>0</v>
      </c>
      <c r="BJ19" s="577" cm="1">
        <f t="array" ref="BJ19">COUNTIF('Pool'!$C$182:$C$197,BG19)-BK19-BL19-BM19-BN19-BO19</f>
        <v>0</v>
      </c>
      <c r="BK19" s="578" cm="1">
        <f t="array" ref="BK19">COUNTIF('Pool'!$C$210:$C$217,BG19)-BL19-BM19-BN19-BO19</f>
        <v>0</v>
      </c>
      <c r="BL19" s="578" cm="1">
        <f t="array" ref="BL19">COUNTIF('Pool'!$C$226:$C$229,BG19)-BM19-BN19-BO19</f>
        <v>0</v>
      </c>
      <c r="BM19" s="576" cm="1">
        <f t="array" ref="BM19">COUNTIF('Pool'!$C$252,BG19)</f>
        <v>0</v>
      </c>
      <c r="BN19" s="576" cm="1">
        <f t="array" ref="BN19">COUNTIF('Pool'!$C$251,BG19)</f>
        <v>0</v>
      </c>
      <c r="BO19" s="579" cm="1">
        <f t="array" ref="BO19">COUNTIF('Pool'!$C$250,BG19)</f>
        <v>0</v>
      </c>
    </row>
    <row r="20" ht="15" customHeight="1">
      <c r="A20" s="521">
        <v>5</v>
      </c>
      <c r="B20" s="650"/>
      <c r="C20" t="str" s="557" cm="1">
        <f t="array" ref="C20">MID(INDEX('WORLDCUP'!$AA$4:$AA$147,MATCH(A20,'WORLDCUP'!$AH$4:$AH$147,0)),1,3)</f>
        <v>Hai</v>
      </c>
      <c r="D20" s="128" cm="1">
        <f t="array" ref="D20">IF(ISBLANK(INDEX('WORLDCUP'!$AC$4:$AC$147,MATCH(A20,'WORLDCUP'!$AH$4:$AH$147,0))),"",INDEX('WORLDCUP'!$AC$4:$AC$147,MATCH(A20,'WORLDCUP'!$AH$4:$AH$147,0)))</f>
        <v>0</v>
      </c>
      <c r="E20" s="128" cm="1">
        <f t="array" ref="E20">IF(ISBLANK(INDEX('WORLDCUP'!$AD$4:$AD$147,MATCH(A20,'WORLDCUP'!$AH$4:$AH$147,0))),"",INDEX('WORLDCUP'!$AD$4:$AD$147,MATCH(A20,'WORLDCUP'!$AH$4:$AH$147,0)))</f>
        <v>0</v>
      </c>
      <c r="F20" t="str" s="558" cm="1">
        <f t="array" ref="F20">MID(INDEX('WORLDCUP'!$AF$4:$AF$147,MATCH(A20,'WORLDCUP'!$AH$4:$AH$147,0)),1,3)</f>
        <v>Esc</v>
      </c>
      <c r="G20" s="559">
        <v>1</v>
      </c>
      <c r="H20" t="str" s="560" cm="1">
        <f t="array" ref="H20">MID(INDEX('WORLDCUP'!$AL$6:$AL$97,MATCH(L20,'WORLDCUP'!$AI$6:$AI$97,0)),1,3)</f>
        <v>Bra</v>
      </c>
      <c r="I20" s="561" cm="1">
        <f t="array" ref="I20">INDEX('WORLDCUP'!$AM$6:$AM$97,MATCH(L20,'WORLDCUP'!$AI$6:$AI$97,0))</f>
        <v>9</v>
      </c>
      <c r="J20" s="562" cm="1">
        <f t="array" ref="J20">INDEX('WORLDCUP'!$AT$6:$AT$97,MATCH(L20,'WORLDCUP'!$AI$6:$AI$97,0))</f>
        <v>5</v>
      </c>
      <c r="K20" t="str" s="563" cm="1">
        <f t="array" ref="K20">INDEX('WORLDCUP'!$AR$6:$AR$97,MATCH(L20,'WORLDCUP'!$AI$6:$AI$97,0))&amp;"-"&amp;INDEX('WORLDCUP'!$AS$6:$AS$97,MATCH(L20,'WORLDCUP'!$AI$6:$AI$97,0))</f>
        <v>7-2</v>
      </c>
      <c r="L20" t="s" s="564">
        <v>203</v>
      </c>
      <c r="M20" s="532">
        <v>18</v>
      </c>
      <c r="N20" s="651"/>
      <c r="O20" t="str" s="557" cm="1">
        <f t="array" ref="O20">MID(INDEX('WORLDCUP'!$AA$4:$AA$147,MATCH(M20,'WORLDCUP'!$AH$4:$AH$147,0)),1,3)</f>
        <v>Ira</v>
      </c>
      <c r="P20" s="128" cm="1">
        <f t="array" ref="P20">IF(ISBLANK(INDEX('WORLDCUP'!$AC$4:$AC$147,MATCH(M20,'WORLDCUP'!$AH$4:$AH$147,0))),"",INDEX('WORLDCUP'!$AC$4:$AC$147,MATCH(M20,'WORLDCUP'!$AH$4:$AH$147,0)))</f>
        <v>0</v>
      </c>
      <c r="Q20" s="128" cm="1">
        <f t="array" ref="Q20">IF(ISBLANK(INDEX('WORLDCUP'!$AD$4:$AD$147,MATCH(M20,'WORLDCUP'!$AH$4:$AH$147,0))),"",INDEX('WORLDCUP'!$AD$4:$AD$147,MATCH(M20,'WORLDCUP'!$AH$4:$AH$147,0)))</f>
        <v>2</v>
      </c>
      <c r="R20" t="str" s="558" cm="1">
        <f t="array" ref="R20">MID(INDEX('WORLDCUP'!$AF$4:$AF$147,MATCH(M20,'WORLDCUP'!$AH$4:$AH$147,0)),1,3)</f>
        <v>Nor</v>
      </c>
      <c r="S20" s="559">
        <v>1</v>
      </c>
      <c r="T20" t="str" s="560" cm="1">
        <f t="array" ref="T20">MID(INDEX('WORLDCUP'!$AL$6:$AL$97,MATCH(X20,'WORLDCUP'!$AI$6:$AI$97,0)),1,3)</f>
        <v>Fra</v>
      </c>
      <c r="U20" s="561" cm="1">
        <f t="array" ref="U20">INDEX('WORLDCUP'!$AM$6:$AM$97,MATCH(X20,'WORLDCUP'!$AI$6:$AI$97,0))</f>
        <v>9</v>
      </c>
      <c r="V20" s="562" cm="1">
        <f t="array" ref="V20">INDEX('WORLDCUP'!$AT$6:$AT$97,MATCH(X20,'WORLDCUP'!$AI$6:$AI$97,0))</f>
        <v>6</v>
      </c>
      <c r="W20" t="str" s="563" cm="1">
        <f t="array" ref="W20">INDEX('WORLDCUP'!$AR$6:$AR$97,MATCH(X20,'WORLDCUP'!$AI$6:$AI$97,0))&amp;"-"&amp;INDEX('WORLDCUP'!$AS$6:$AS$97,MATCH(X20,'WORLDCUP'!$AI$6:$AI$97,0))</f>
        <v>8-2</v>
      </c>
      <c r="X20" t="s" s="566">
        <v>342</v>
      </c>
      <c r="Y20" s="583"/>
      <c r="Z20" s="284"/>
      <c r="AA20" s="610"/>
      <c r="AB20" s="610"/>
      <c r="AC20" s="611"/>
      <c r="AD20" s="316"/>
      <c r="AE20" s="541"/>
      <c r="AF20" s="541"/>
      <c r="AG20" s="591"/>
      <c r="AH20" s="586">
        <v>98</v>
      </c>
      <c r="AI20" t="str" s="599" cm="1">
        <f t="array" ref="AI20">MID(INDEX('WORLDCUP'!$AF$101:$AF$147,MATCH(AH20,'WORLDCUP'!$Z$101:$Z$147,0)),1,3)</f>
        <v>W94</v>
      </c>
      <c r="AJ20" t="str" s="600" cm="1">
        <f t="array" ref="AJ20">IF(ISBLANK(INDEX('WORLDCUP'!$AD$101:$AD$147,MATCH(AH20,'WORLDCUP'!$Z$101:$Z$147,0))),"",INDEX('WORLDCUP'!$AD$101:$AD$147,MATCH(AH20,'WORLDCUP'!$Z$101:$Z$147,0)))</f>
      </c>
      <c r="AK20" t="str" s="652" cm="1">
        <f t="array" ref="AK20">IF(ISBLANK(INDEX('WORLDCUP'!$AE$101:$AE$147,MATCH(AH20,'WORLDCUP'!$Z$101:$Z$147,0))),"","( "&amp;INDEX('WORLDCUP'!$AE$101:$AE$147,MATCH(AH20,'WORLDCUP'!$Z$101:$Z$147,0))&amp;" )")</f>
      </c>
      <c r="AL20" s="316"/>
      <c r="AM20" s="543"/>
      <c r="AN20" s="543"/>
      <c r="AO20" s="641"/>
      <c r="AP20" s="588"/>
      <c r="AQ20" s="573"/>
      <c r="AR20" s="573"/>
      <c r="AS20" s="573"/>
      <c r="AT20" s="316"/>
      <c r="AU20" s="653"/>
      <c r="AV20" s="654"/>
      <c r="AW20" s="545"/>
      <c r="AX20" s="655"/>
      <c r="AY20" s="656"/>
      <c r="AZ20" s="657"/>
      <c r="BA20" s="657"/>
      <c r="BB20" s="657"/>
      <c r="BC20" s="658"/>
      <c r="BD20" s="659"/>
      <c r="BE20" s="8"/>
      <c r="BF20" s="546"/>
      <c r="BG20" t="s" s="575">
        <v>253</v>
      </c>
      <c r="BH20" s="576" cm="1">
        <f t="array" ref="BH20">1-SUM(BI20:BO20)</f>
        <v>0</v>
      </c>
      <c r="BI20" s="576" cm="1">
        <f t="array" ref="BI20">COUNTIF('Pool'!$C$130:$C$161,BG20)-BJ20-BK20-BL20-BM20-BN20-BO20</f>
        <v>1</v>
      </c>
      <c r="BJ20" s="577" cm="1">
        <f t="array" ref="BJ20">COUNTIF('Pool'!$C$182:$C$197,BG20)-BK20-BL20-BM20-BN20-BO20</f>
        <v>0</v>
      </c>
      <c r="BK20" s="578" cm="1">
        <f t="array" ref="BK20">COUNTIF('Pool'!$C$210:$C$217,BG20)-BL20-BM20-BN20-BO20</f>
        <v>0</v>
      </c>
      <c r="BL20" s="578" cm="1">
        <f t="array" ref="BL20">COUNTIF('Pool'!$C$226:$C$229,BG20)-BM20-BN20-BO20</f>
        <v>0</v>
      </c>
      <c r="BM20" s="576" cm="1">
        <f t="array" ref="BM20">COUNTIF('Pool'!$C$252,BG20)</f>
        <v>0</v>
      </c>
      <c r="BN20" s="576" cm="1">
        <f t="array" ref="BN20">COUNTIF('Pool'!$C$251,BG20)</f>
        <v>0</v>
      </c>
      <c r="BO20" s="579" cm="1">
        <f t="array" ref="BO20">COUNTIF('Pool'!$C$250,BG20)</f>
        <v>0</v>
      </c>
    </row>
    <row r="21" ht="16" customHeight="1">
      <c r="A21" s="521">
        <v>30</v>
      </c>
      <c r="B21" s="650"/>
      <c r="C21" t="str" s="557" cm="1">
        <f t="array" ref="C21">MID(INDEX('WORLDCUP'!$AA$4:$AA$147,MATCH(A21,'WORLDCUP'!$AH$4:$AH$147,0)),1,3)</f>
        <v>Esc</v>
      </c>
      <c r="D21" s="128" cm="1">
        <f t="array" ref="D21">IF(ISBLANK(INDEX('WORLDCUP'!$AC$4:$AC$147,MATCH(A21,'WORLDCUP'!$AH$4:$AH$147,0))),"",INDEX('WORLDCUP'!$AC$4:$AC$147,MATCH(A21,'WORLDCUP'!$AH$4:$AH$147,0)))</f>
        <v>0</v>
      </c>
      <c r="E21" s="128" cm="1">
        <f t="array" ref="E21">IF(ISBLANK(INDEX('WORLDCUP'!$AD$4:$AD$147,MATCH(A21,'WORLDCUP'!$AH$4:$AH$147,0))),"",INDEX('WORLDCUP'!$AD$4:$AD$147,MATCH(A21,'WORLDCUP'!$AH$4:$AH$147,0)))</f>
        <v>2</v>
      </c>
      <c r="F21" t="str" s="558" cm="1">
        <f t="array" ref="F21">MID(INDEX('WORLDCUP'!$AF$4:$AF$147,MATCH(A21,'WORLDCUP'!$AH$4:$AH$147,0)),1,3)</f>
        <v>Mar</v>
      </c>
      <c r="G21" s="580">
        <v>2</v>
      </c>
      <c r="H21" t="str" s="581" cm="1">
        <f t="array" ref="H21">MID(INDEX('WORLDCUP'!$AL$6:$AL$97,MATCH(L21,'WORLDCUP'!$AI$6:$AI$97,0)),1,3)</f>
        <v>Mar</v>
      </c>
      <c r="I21" s="158" cm="1">
        <f t="array" ref="I21">INDEX('WORLDCUP'!$AM$6:$AM$97,MATCH(L21,'WORLDCUP'!$AI$6:$AI$97,0))</f>
        <v>6</v>
      </c>
      <c r="J21" s="159" cm="1">
        <f t="array" ref="J21">INDEX('WORLDCUP'!$AT$6:$AT$97,MATCH(L21,'WORLDCUP'!$AI$6:$AI$97,0))</f>
        <v>3</v>
      </c>
      <c r="K21" t="str" s="582" cm="1">
        <f t="array" ref="K21">INDEX('WORLDCUP'!$AR$6:$AR$97,MATCH(L21,'WORLDCUP'!$AI$6:$AI$97,0))&amp;"-"&amp;INDEX('WORLDCUP'!$AS$6:$AS$97,MATCH(L21,'WORLDCUP'!$AI$6:$AI$97,0))</f>
        <v>5-2</v>
      </c>
      <c r="L21" t="s" s="564">
        <v>209</v>
      </c>
      <c r="M21" s="532">
        <v>42</v>
      </c>
      <c r="N21" s="651"/>
      <c r="O21" t="str" s="557" cm="1">
        <f t="array" ref="O21">MID(INDEX('WORLDCUP'!$AA$4:$AA$147,MATCH(M21,'WORLDCUP'!$AH$4:$AH$147,0)),1,3)</f>
        <v>Fra</v>
      </c>
      <c r="P21" s="128" cm="1">
        <f t="array" ref="P21">IF(ISBLANK(INDEX('WORLDCUP'!$AC$4:$AC$147,MATCH(M21,'WORLDCUP'!$AH$4:$AH$147,0))),"",INDEX('WORLDCUP'!$AC$4:$AC$147,MATCH(M21,'WORLDCUP'!$AH$4:$AH$147,0)))</f>
        <v>3</v>
      </c>
      <c r="Q21" s="128" cm="1">
        <f t="array" ref="Q21">IF(ISBLANK(INDEX('WORLDCUP'!$AD$4:$AD$147,MATCH(M21,'WORLDCUP'!$AH$4:$AH$147,0))),"",INDEX('WORLDCUP'!$AD$4:$AD$147,MATCH(M21,'WORLDCUP'!$AH$4:$AH$147,0)))</f>
        <v>0</v>
      </c>
      <c r="R21" t="str" s="558" cm="1">
        <f t="array" ref="R21">MID(INDEX('WORLDCUP'!$AF$4:$AF$147,MATCH(M21,'WORLDCUP'!$AH$4:$AH$147,0)),1,3)</f>
        <v>Ira</v>
      </c>
      <c r="S21" s="580">
        <v>2</v>
      </c>
      <c r="T21" t="str" s="581" cm="1">
        <f t="array" ref="T21">MID(INDEX('WORLDCUP'!$AL$6:$AL$97,MATCH(X21,'WORLDCUP'!$AI$6:$AI$97,0)),1,3)</f>
        <v>Sen</v>
      </c>
      <c r="U21" s="158" cm="1">
        <f t="array" ref="U21">INDEX('WORLDCUP'!$AM$6:$AM$97,MATCH(X21,'WORLDCUP'!$AI$6:$AI$97,0))</f>
        <v>3</v>
      </c>
      <c r="V21" s="159" cm="1">
        <f t="array" ref="V21">INDEX('WORLDCUP'!$AT$6:$AT$97,MATCH(X21,'WORLDCUP'!$AI$6:$AI$97,0))</f>
        <v>-1</v>
      </c>
      <c r="W21" t="str" s="582" cm="1">
        <f t="array" ref="W21">INDEX('WORLDCUP'!$AR$6:$AR$97,MATCH(X21,'WORLDCUP'!$AI$6:$AI$97,0))&amp;"-"&amp;INDEX('WORLDCUP'!$AS$6:$AS$97,MATCH(X21,'WORLDCUP'!$AI$6:$AI$97,0))</f>
        <v>5-6</v>
      </c>
      <c r="X21" t="s" s="566">
        <v>348</v>
      </c>
      <c r="Y21" s="535">
        <v>81</v>
      </c>
      <c r="Z21" t="s" s="536">
        <v>226</v>
      </c>
      <c r="AA21" t="str" s="537" cm="1">
        <f t="array" ref="AA21">MID(INDEX('WORLDCUP'!$AA$101:$AA$147,MATCH(Y21,'WORLDCUP'!$Z$101:$Z$147,0)),1,3)</f>
        <v>Est</v>
      </c>
      <c r="AB21" t="str" s="538" cm="1">
        <f t="array" ref="AB21">IF(ISBLANK(INDEX('WORLDCUP'!$AC$101:$AC$147,MATCH(Y21,'WORLDCUP'!$Z$101:$Z$147,0))),"",INDEX('WORLDCUP'!$AC$101:$AC$147,MATCH(Y21,'WORLDCUP'!$Z$101:$Z$147,0)))</f>
      </c>
      <c r="AC21" t="str" s="619" cm="1">
        <f t="array" ref="AC21">IF(ISBLANK(INDEX('WORLDCUP'!$AB$101:$AB$147,MATCH(Y21,'WORLDCUP'!$Z$101:$Z$147,0))),"","( "&amp;INDEX('WORLDCUP'!$AB$101:$AB$147,MATCH(Y21,'WORLDCUP'!$Z$101:$Z$147,0))&amp;" )")</f>
      </c>
      <c r="AD21" s="83"/>
      <c r="AE21" s="540"/>
      <c r="AF21" s="540"/>
      <c r="AG21" s="591"/>
      <c r="AH21" s="588"/>
      <c r="AI21" s="620"/>
      <c r="AJ21" s="620"/>
      <c r="AK21" s="572"/>
      <c r="AL21" s="316"/>
      <c r="AM21" s="543"/>
      <c r="AN21" s="543"/>
      <c r="AO21" s="641"/>
      <c r="AP21" s="588"/>
      <c r="AQ21" s="573"/>
      <c r="AR21" s="573"/>
      <c r="AS21" s="573"/>
      <c r="AT21" s="316"/>
      <c r="AU21" s="653"/>
      <c r="AV21" s="654"/>
      <c r="AW21" s="545"/>
      <c r="AX21" s="655"/>
      <c r="AY21" s="660"/>
      <c r="AZ21" s="661"/>
      <c r="BA21" t="str" s="661" cm="1">
        <f t="array" ref="BA21">'WORLDCUP'!AA150</f>
        <v>WF</v>
      </c>
      <c r="BB21" s="661"/>
      <c r="BC21" s="662"/>
      <c r="BD21" s="659"/>
      <c r="BE21" s="8"/>
      <c r="BF21" s="546"/>
      <c r="BG21" t="s" s="575">
        <v>265</v>
      </c>
      <c r="BH21" s="576" cm="1">
        <f t="array" ref="BH21">1-SUM(BI21:BO21)</f>
        <v>1</v>
      </c>
      <c r="BI21" s="576" cm="1">
        <f t="array" ref="BI21">COUNTIF('Pool'!$C$130:$C$161,BG21)-BJ21-BK21-BL21-BM21-BN21-BO21</f>
        <v>0</v>
      </c>
      <c r="BJ21" s="577" cm="1">
        <f t="array" ref="BJ21">COUNTIF('Pool'!$C$182:$C$197,BG21)-BK21-BL21-BM21-BN21-BO21</f>
        <v>0</v>
      </c>
      <c r="BK21" s="578" cm="1">
        <f t="array" ref="BK21">COUNTIF('Pool'!$C$210:$C$217,BG21)-BL21-BM21-BN21-BO21</f>
        <v>0</v>
      </c>
      <c r="BL21" s="578" cm="1">
        <f t="array" ref="BL21">COUNTIF('Pool'!$C$226:$C$229,BG21)-BM21-BN21-BO21</f>
        <v>0</v>
      </c>
      <c r="BM21" s="576" cm="1">
        <f t="array" ref="BM21">COUNTIF('Pool'!$C$252,BG21)</f>
        <v>0</v>
      </c>
      <c r="BN21" s="576" cm="1">
        <f t="array" ref="BN21">COUNTIF('Pool'!$C$251,BG21)</f>
        <v>0</v>
      </c>
      <c r="BO21" s="579" cm="1">
        <f t="array" ref="BO21">COUNTIF('Pool'!$C$250,BG21)</f>
        <v>0</v>
      </c>
    </row>
    <row r="22" ht="16" customHeight="1">
      <c r="A22" s="521">
        <v>29</v>
      </c>
      <c r="B22" s="650"/>
      <c r="C22" t="str" s="557" cm="1">
        <f t="array" ref="C22">MID(INDEX('WORLDCUP'!$AA$4:$AA$147,MATCH(A22,'WORLDCUP'!$AH$4:$AH$147,0)),1,3)</f>
        <v>Bra</v>
      </c>
      <c r="D22" s="128" cm="1">
        <f t="array" ref="D22">IF(ISBLANK(INDEX('WORLDCUP'!$AC$4:$AC$147,MATCH(A22,'WORLDCUP'!$AH$4:$AH$147,0))),"",INDEX('WORLDCUP'!$AC$4:$AC$147,MATCH(A22,'WORLDCUP'!$AH$4:$AH$147,0)))</f>
        <v>2</v>
      </c>
      <c r="E22" s="128" cm="1">
        <f t="array" ref="E22">IF(ISBLANK(INDEX('WORLDCUP'!$AD$4:$AD$147,MATCH(A22,'WORLDCUP'!$AH$4:$AH$147,0))),"",INDEX('WORLDCUP'!$AD$4:$AD$147,MATCH(A22,'WORLDCUP'!$AH$4:$AH$147,0)))</f>
        <v>0</v>
      </c>
      <c r="F22" t="str" s="558" cm="1">
        <f t="array" ref="F22">MID(INDEX('WORLDCUP'!$AF$4:$AF$147,MATCH(A22,'WORLDCUP'!$AH$4:$AH$147,0)),1,3)</f>
        <v>Hai</v>
      </c>
      <c r="G22" s="580">
        <v>3</v>
      </c>
      <c r="H22" t="str" s="581" cm="1">
        <f t="array" ref="H22">MID(INDEX('WORLDCUP'!$AL$6:$AL$97,MATCH(L22,'WORLDCUP'!$AI$6:$AI$97,0)),1,3)</f>
        <v>Hai</v>
      </c>
      <c r="I22" s="158" cm="1">
        <f t="array" ref="I22">INDEX('WORLDCUP'!$AM$6:$AM$97,MATCH(L22,'WORLDCUP'!$AI$6:$AI$97,0))</f>
        <v>1</v>
      </c>
      <c r="J22" s="159" cm="1">
        <f t="array" ref="J22">INDEX('WORLDCUP'!$AT$6:$AT$97,MATCH(L22,'WORLDCUP'!$AI$6:$AI$97,0))</f>
        <v>-4</v>
      </c>
      <c r="K22" t="str" s="582" cm="1">
        <f t="array" ref="K22">INDEX('WORLDCUP'!$AR$6:$AR$97,MATCH(L22,'WORLDCUP'!$AI$6:$AI$97,0))&amp;"-"&amp;INDEX('WORLDCUP'!$AS$6:$AS$97,MATCH(L22,'WORLDCUP'!$AI$6:$AI$97,0))</f>
        <v>0-4</v>
      </c>
      <c r="L22" t="s" s="564">
        <v>215</v>
      </c>
      <c r="M22" s="532">
        <v>41</v>
      </c>
      <c r="N22" s="651"/>
      <c r="O22" t="str" s="557" cm="1">
        <f t="array" ref="O22">MID(INDEX('WORLDCUP'!$AA$4:$AA$147,MATCH(M22,'WORLDCUP'!$AH$4:$AH$147,0)),1,3)</f>
        <v>Nor</v>
      </c>
      <c r="P22" s="128" cm="1">
        <f t="array" ref="P22">IF(ISBLANK(INDEX('WORLDCUP'!$AC$4:$AC$147,MATCH(M22,'WORLDCUP'!$AH$4:$AH$147,0))),"",INDEX('WORLDCUP'!$AC$4:$AC$147,MATCH(M22,'WORLDCUP'!$AH$4:$AH$147,0)))</f>
        <v>2</v>
      </c>
      <c r="Q22" s="128" cm="1">
        <f t="array" ref="Q22">IF(ISBLANK(INDEX('WORLDCUP'!$AD$4:$AD$147,MATCH(M22,'WORLDCUP'!$AH$4:$AH$147,0))),"",INDEX('WORLDCUP'!$AD$4:$AD$147,MATCH(M22,'WORLDCUP'!$AH$4:$AH$147,0)))</f>
        <v>1</v>
      </c>
      <c r="R22" t="str" s="558" cm="1">
        <f t="array" ref="R22">MID(INDEX('WORLDCUP'!$AF$4:$AF$147,MATCH(M22,'WORLDCUP'!$AH$4:$AH$147,0)),1,3)</f>
        <v>Sen</v>
      </c>
      <c r="S22" s="580">
        <v>3</v>
      </c>
      <c r="T22" t="str" s="581" cm="1">
        <f t="array" ref="T22">MID(INDEX('WORLDCUP'!$AL$6:$AL$97,MATCH(X22,'WORLDCUP'!$AI$6:$AI$97,0)),1,3)</f>
        <v>Ira</v>
      </c>
      <c r="U22" s="158" cm="1">
        <f t="array" ref="U22">INDEX('WORLDCUP'!$AM$6:$AM$97,MATCH(X22,'WORLDCUP'!$AI$6:$AI$97,0))</f>
        <v>0</v>
      </c>
      <c r="V22" s="159" cm="1">
        <f t="array" ref="V22">INDEX('WORLDCUP'!$AT$6:$AT$97,MATCH(X22,'WORLDCUP'!$AI$6:$AI$97,0))</f>
        <v>-7</v>
      </c>
      <c r="W22" t="str" s="582" cm="1">
        <f t="array" ref="W22">INDEX('WORLDCUP'!$AR$6:$AR$97,MATCH(X22,'WORLDCUP'!$AI$6:$AI$97,0))&amp;"-"&amp;INDEX('WORLDCUP'!$AS$6:$AS$97,MATCH(X22,'WORLDCUP'!$AI$6:$AI$97,0))</f>
        <v>1-8</v>
      </c>
      <c r="X22" t="s" s="566">
        <v>354</v>
      </c>
      <c r="Y22" s="535">
        <v>81</v>
      </c>
      <c r="Z22" t="s" s="536">
        <v>584</v>
      </c>
      <c r="AA22" t="str" s="537" cm="1">
        <f t="array" ref="AA22">MID(INDEX('WORLDCUP'!$AF$101:$AF$147,MATCH(Y22,'WORLDCUP'!$Z$101:$Z$147,0)),1,IF('WORLDCUP'!$H$113&lt;144,6,3))</f>
        <v>3BE</v>
      </c>
      <c r="AB22" t="str" s="538" cm="1">
        <f t="array" ref="AB22">IF(ISBLANK(INDEX('WORLDCUP'!$AD$101:$AD$147,MATCH(Y22,'WORLDCUP'!$Z$101:$Z$147,0))),"",INDEX('WORLDCUP'!$AD$101:$AD$147,MATCH(Y22,'WORLDCUP'!$Z$101:$Z$147,0)))</f>
      </c>
      <c r="AC22" t="str" s="567" cm="1">
        <f t="array" ref="AC22">IF(ISBLANK(INDEX('WORLDCUP'!$AE$101:$AE$147,MATCH(Y22,'WORLDCUP'!$Z$101:$Z$147,0))),"","( "&amp;INDEX('WORLDCUP'!$AE$101:$AE$147,MATCH(Y22,'WORLDCUP'!$Z$101:$Z$147,0))&amp;" )")</f>
      </c>
      <c r="AD22" s="568">
        <v>94</v>
      </c>
      <c r="AE22" t="str" s="569" cm="1">
        <f t="array" ref="AE22">MID(INDEX('WORLDCUP'!$AA$101:$AA$147,MATCH(AD22,'WORLDCUP'!$Z$101:$Z$147,0)),1,3)</f>
        <v>W81</v>
      </c>
      <c r="AF22" t="str" s="570" cm="1">
        <f t="array" ref="AF22">IF(ISBLANK(INDEX('WORLDCUP'!$AC$101:$AC$147,MATCH(AD22,'WORLDCUP'!$Z$101:$Z$147,0))),"",INDEX('WORLDCUP'!$AC$101:$AC$147,MATCH(AD22,'WORLDCUP'!$Z$101:$Z$147,0)))</f>
      </c>
      <c r="AG22" t="str" s="624" cm="1">
        <f t="array" ref="AG22">IF(ISBLANK(INDEX('WORLDCUP'!$AB$101:$AB$147,MATCH(AD22,'WORLDCUP'!$Z$101:$Z$147,0))),"","( "&amp;INDEX('WORLDCUP'!$AB$101:$AB$147,MATCH(AD22,'WORLDCUP'!$Z$101:$Z$147,0))&amp;" )")</f>
      </c>
      <c r="AH22" s="588"/>
      <c r="AI22" s="572"/>
      <c r="AJ22" s="572"/>
      <c r="AK22" s="572"/>
      <c r="AL22" s="316"/>
      <c r="AM22" s="543"/>
      <c r="AN22" s="543"/>
      <c r="AO22" s="641"/>
      <c r="AP22" s="588"/>
      <c r="AQ22" s="573"/>
      <c r="AR22" s="573"/>
      <c r="AS22" s="573"/>
      <c r="AT22" s="316"/>
      <c r="AU22" s="653"/>
      <c r="AV22" s="654"/>
      <c r="AW22" s="545"/>
      <c r="AX22" s="655"/>
      <c r="AY22" s="660"/>
      <c r="AZ22" s="661"/>
      <c r="BA22" s="663"/>
      <c r="BB22" s="661"/>
      <c r="BC22" s="662"/>
      <c r="BD22" s="659"/>
      <c r="BE22" s="8"/>
      <c r="BF22" s="546"/>
      <c r="BG22" t="s" s="575">
        <v>299</v>
      </c>
      <c r="BH22" s="576" cm="1">
        <f t="array" ref="BH22">1-SUM(BI22:BO22)</f>
        <v>1</v>
      </c>
      <c r="BI22" s="576" cm="1">
        <f t="array" ref="BI22">COUNTIF('Pool'!$C$130:$C$161,BG22)-BJ22-BK22-BL22-BM22-BN22-BO22</f>
        <v>0</v>
      </c>
      <c r="BJ22" s="577" cm="1">
        <f t="array" ref="BJ22">COUNTIF('Pool'!$C$182:$C$197,BG22)-BK22-BL22-BM22-BN22-BO22</f>
        <v>0</v>
      </c>
      <c r="BK22" s="578" cm="1">
        <f t="array" ref="BK22">COUNTIF('Pool'!$C$210:$C$217,BG22)-BL22-BM22-BN22-BO22</f>
        <v>0</v>
      </c>
      <c r="BL22" s="578" cm="1">
        <f t="array" ref="BL22">COUNTIF('Pool'!$C$226:$C$229,BG22)-BM22-BN22-BO22</f>
        <v>0</v>
      </c>
      <c r="BM22" s="576" cm="1">
        <f t="array" ref="BM22">COUNTIF('Pool'!$C$252,BG22)</f>
        <v>0</v>
      </c>
      <c r="BN22" s="576" cm="1">
        <f t="array" ref="BN22">COUNTIF('Pool'!$C$251,BG22)</f>
        <v>0</v>
      </c>
      <c r="BO22" s="579" cm="1">
        <f t="array" ref="BO22">COUNTIF('Pool'!$C$250,BG22)</f>
        <v>0</v>
      </c>
    </row>
    <row r="23" ht="15" customHeight="1">
      <c r="A23" s="521">
        <v>49</v>
      </c>
      <c r="B23" s="650"/>
      <c r="C23" t="str" s="557" cm="1">
        <f t="array" ref="C23">MID(INDEX('WORLDCUP'!$AA$4:$AA$147,MATCH(A23,'WORLDCUP'!$AH$4:$AH$147,0)),1,3)</f>
        <v>Esc</v>
      </c>
      <c r="D23" s="128" cm="1">
        <f t="array" ref="D23">IF(ISBLANK(INDEX('WORLDCUP'!$AC$4:$AC$147,MATCH(A23,'WORLDCUP'!$AH$4:$AH$147,0))),"",INDEX('WORLDCUP'!$AC$4:$AC$147,MATCH(A23,'WORLDCUP'!$AH$4:$AH$147,0)))</f>
        <v>1</v>
      </c>
      <c r="E23" s="128" cm="1">
        <f t="array" ref="E23">IF(ISBLANK(INDEX('WORLDCUP'!$AD$4:$AD$147,MATCH(A23,'WORLDCUP'!$AH$4:$AH$147,0))),"",INDEX('WORLDCUP'!$AD$4:$AD$147,MATCH(A23,'WORLDCUP'!$AH$4:$AH$147,0)))</f>
        <v>3</v>
      </c>
      <c r="F23" t="str" s="558" cm="1">
        <f t="array" ref="F23">MID(INDEX('WORLDCUP'!$AF$4:$AF$147,MATCH(A23,'WORLDCUP'!$AH$4:$AH$147,0)),1,3)</f>
        <v>Bra</v>
      </c>
      <c r="G23" s="580">
        <v>4</v>
      </c>
      <c r="H23" t="str" s="593" cm="1">
        <f t="array" ref="H23">MID(INDEX('WORLDCUP'!$AL$6:$AL$97,MATCH(L23,'WORLDCUP'!$AI$6:$AI$97,0)),1,3)</f>
        <v>Esc</v>
      </c>
      <c r="I23" s="594" cm="1">
        <f t="array" ref="I23">INDEX('WORLDCUP'!$AM$6:$AM$97,MATCH(L23,'WORLDCUP'!$AI$6:$AI$97,0))</f>
        <v>1</v>
      </c>
      <c r="J23" s="595" cm="1">
        <f t="array" ref="J23">INDEX('WORLDCUP'!$AT$6:$AT$97,MATCH(L23,'WORLDCUP'!$AI$6:$AI$97,0))</f>
        <v>-4</v>
      </c>
      <c r="K23" t="str" s="596" cm="1">
        <f t="array" ref="K23">INDEX('WORLDCUP'!$AR$6:$AR$97,MATCH(L23,'WORLDCUP'!$AI$6:$AI$97,0))&amp;"-"&amp;INDEX('WORLDCUP'!$AS$6:$AS$97,MATCH(L23,'WORLDCUP'!$AI$6:$AI$97,0))</f>
        <v>1-5</v>
      </c>
      <c r="L23" t="s" s="564">
        <v>221</v>
      </c>
      <c r="M23" s="532">
        <v>61</v>
      </c>
      <c r="N23" s="651"/>
      <c r="O23" t="str" s="557" cm="1">
        <f t="array" ref="O23">MID(INDEX('WORLDCUP'!$AA$4:$AA$147,MATCH(M23,'WORLDCUP'!$AH$4:$AH$147,0)),1,3)</f>
        <v>Nor</v>
      </c>
      <c r="P23" s="128" cm="1">
        <f t="array" ref="P23">IF(ISBLANK(INDEX('WORLDCUP'!$AC$4:$AC$147,MATCH(M23,'WORLDCUP'!$AH$4:$AH$147,0))),"",INDEX('WORLDCUP'!$AC$4:$AC$147,MATCH(M23,'WORLDCUP'!$AH$4:$AH$147,0)))</f>
        <v>1</v>
      </c>
      <c r="Q23" s="128" cm="1">
        <f t="array" ref="Q23">IF(ISBLANK(INDEX('WORLDCUP'!$AD$4:$AD$147,MATCH(M23,'WORLDCUP'!$AH$4:$AH$147,0))),"",INDEX('WORLDCUP'!$AD$4:$AD$147,MATCH(M23,'WORLDCUP'!$AH$4:$AH$147,0)))</f>
        <v>2</v>
      </c>
      <c r="R23" t="str" s="558" cm="1">
        <f t="array" ref="R23">MID(INDEX('WORLDCUP'!$AF$4:$AF$147,MATCH(M23,'WORLDCUP'!$AH$4:$AH$147,0)),1,3)</f>
        <v>Fra</v>
      </c>
      <c r="S23" s="580">
        <v>4</v>
      </c>
      <c r="T23" t="str" s="593" cm="1">
        <f t="array" ref="T23">MID(INDEX('WORLDCUP'!$AL$6:$AL$97,MATCH(X23,'WORLDCUP'!$AI$6:$AI$97,0)),1,3)</f>
        <v>Nor</v>
      </c>
      <c r="U23" s="594" cm="1">
        <f t="array" ref="U23">INDEX('WORLDCUP'!$AM$6:$AM$97,MATCH(X23,'WORLDCUP'!$AI$6:$AI$97,0))</f>
        <v>6</v>
      </c>
      <c r="V23" s="595" cm="1">
        <f t="array" ref="V23">INDEX('WORLDCUP'!$AT$6:$AT$97,MATCH(X23,'WORLDCUP'!$AI$6:$AI$97,0))</f>
        <v>2</v>
      </c>
      <c r="W23" t="str" s="596" cm="1">
        <f t="array" ref="W23">INDEX('WORLDCUP'!$AR$6:$AR$97,MATCH(X23,'WORLDCUP'!$AI$6:$AI$97,0))&amp;"-"&amp;INDEX('WORLDCUP'!$AS$6:$AS$97,MATCH(X23,'WORLDCUP'!$AI$6:$AI$97,0))</f>
        <v>5-3</v>
      </c>
      <c r="X23" t="s" s="566">
        <v>360</v>
      </c>
      <c r="Y23" s="583"/>
      <c r="Z23" s="284"/>
      <c r="AA23" s="584"/>
      <c r="AB23" s="584"/>
      <c r="AC23" s="585"/>
      <c r="AD23" s="586">
        <v>94</v>
      </c>
      <c r="AE23" t="str" s="569" cm="1">
        <f t="array" ref="AE23">MID(INDEX('WORLDCUP'!$AF$101:$AF$147,MATCH(AD23,'WORLDCUP'!$Z$101:$Z$147,0)),1,3)</f>
        <v>W82</v>
      </c>
      <c r="AF23" t="str" s="570" cm="1">
        <f t="array" ref="AF23">IF(ISBLANK(INDEX('WORLDCUP'!$AD$101:$AD$147,MATCH(AD23,'WORLDCUP'!$Z$101:$Z$147,0))),"",INDEX('WORLDCUP'!$AD$101:$AD$147,MATCH(AD23,'WORLDCUP'!$Z$101:$Z$147,0)))</f>
      </c>
      <c r="AG23" t="str" s="629" cm="1">
        <f t="array" ref="AG23">IF(ISBLANK(INDEX('WORLDCUP'!$AE$101:$AE$147,MATCH(AD23,'WORLDCUP'!$Z$101:$Z$147,0))),"","( "&amp;INDEX('WORLDCUP'!$AE$101:$AE$147,MATCH(AD23,'WORLDCUP'!$Z$101:$Z$147,0))&amp;" )")</f>
      </c>
      <c r="AH23" s="316"/>
      <c r="AI23" s="572"/>
      <c r="AJ23" s="572"/>
      <c r="AK23" s="572"/>
      <c r="AL23" s="316"/>
      <c r="AM23" s="543"/>
      <c r="AN23" s="543"/>
      <c r="AO23" s="641"/>
      <c r="AP23" s="613"/>
      <c r="AQ23" s="573"/>
      <c r="AR23" s="573"/>
      <c r="AS23" s="573"/>
      <c r="AT23" s="316"/>
      <c r="AU23" s="545"/>
      <c r="AV23" s="545"/>
      <c r="AW23" s="545"/>
      <c r="AX23" s="655"/>
      <c r="AY23" s="660"/>
      <c r="AZ23" s="661"/>
      <c r="BA23" s="663"/>
      <c r="BB23" t="str" s="661" cm="1">
        <f t="array" ref="BB23">'WORLDCUP'!AA151</f>
        <v>LF</v>
      </c>
      <c r="BC23" s="662"/>
      <c r="BD23" s="659"/>
      <c r="BE23" s="8"/>
      <c r="BF23" s="546"/>
      <c r="BG23" t="s" s="575">
        <v>219</v>
      </c>
      <c r="BH23" s="576" cm="1">
        <f t="array" ref="BH23">1-SUM(BI23:BO23)</f>
        <v>1</v>
      </c>
      <c r="BI23" s="576" cm="1">
        <f t="array" ref="BI23">COUNTIF('Pool'!$C$130:$C$161,BG23)-BJ23-BK23-BL23-BM23-BN23-BO23</f>
        <v>0</v>
      </c>
      <c r="BJ23" s="577" cm="1">
        <f t="array" ref="BJ23">COUNTIF('Pool'!$C$182:$C$197,BG23)-BK23-BL23-BM23-BN23-BO23</f>
        <v>0</v>
      </c>
      <c r="BK23" s="578" cm="1">
        <f t="array" ref="BK23">COUNTIF('Pool'!$C$210:$C$217,BG23)-BL23-BM23-BN23-BO23</f>
        <v>0</v>
      </c>
      <c r="BL23" s="578" cm="1">
        <f t="array" ref="BL23">COUNTIF('Pool'!$C$226:$C$229,BG23)-BM23-BN23-BO23</f>
        <v>0</v>
      </c>
      <c r="BM23" s="576" cm="1">
        <f t="array" ref="BM23">COUNTIF('Pool'!$C$252,BG23)</f>
        <v>0</v>
      </c>
      <c r="BN23" s="576" cm="1">
        <f t="array" ref="BN23">COUNTIF('Pool'!$C$251,BG23)</f>
        <v>0</v>
      </c>
      <c r="BO23" s="579" cm="1">
        <f t="array" ref="BO23">COUNTIF('Pool'!$C$250,BG23)</f>
        <v>0</v>
      </c>
    </row>
    <row r="24" ht="16" customHeight="1">
      <c r="A24" s="521">
        <v>50</v>
      </c>
      <c r="B24" s="664"/>
      <c r="C24" t="str" s="603" cm="1">
        <f t="array" ref="C24">MID(INDEX('WORLDCUP'!$AA$4:$AA$147,MATCH(A24,'WORLDCUP'!$AH$4:$AH$147,0)),1,3)</f>
        <v>Mar</v>
      </c>
      <c r="D24" s="169" cm="1">
        <f t="array" ref="D24">IF(ISBLANK(INDEX('WORLDCUP'!$AC$4:$AC$147,MATCH(A24,'WORLDCUP'!$AH$4:$AH$147,0))),"",INDEX('WORLDCUP'!$AC$4:$AC$147,MATCH(A24,'WORLDCUP'!$AH$4:$AH$147,0)))</f>
        <v>2</v>
      </c>
      <c r="E24" s="169" cm="1">
        <f t="array" ref="E24">IF(ISBLANK(INDEX('WORLDCUP'!$AD$4:$AD$147,MATCH(A24,'WORLDCUP'!$AH$4:$AH$147,0))),"",INDEX('WORLDCUP'!$AD$4:$AD$147,MATCH(A24,'WORLDCUP'!$AH$4:$AH$147,0)))</f>
        <v>0</v>
      </c>
      <c r="F24" t="str" s="604" cm="1">
        <f t="array" ref="F24">MID(INDEX('WORLDCUP'!$AF$4:$AF$147,MATCH(A24,'WORLDCUP'!$AH$4:$AH$147,0)),1,3)</f>
        <v>Hai</v>
      </c>
      <c r="G24" s="605"/>
      <c r="H24" s="606"/>
      <c r="I24" s="607"/>
      <c r="J24" s="607"/>
      <c r="K24" s="608"/>
      <c r="L24" s="531"/>
      <c r="M24" s="532">
        <v>62</v>
      </c>
      <c r="N24" s="665"/>
      <c r="O24" t="str" s="603" cm="1">
        <f t="array" ref="O24">MID(INDEX('WORLDCUP'!$AA$4:$AA$147,MATCH(M24,'WORLDCUP'!$AH$4:$AH$147,0)),1,3)</f>
        <v>Sen</v>
      </c>
      <c r="P24" s="169" cm="1">
        <f t="array" ref="P24">IF(ISBLANK(INDEX('WORLDCUP'!$AC$4:$AC$147,MATCH(M24,'WORLDCUP'!$AH$4:$AH$147,0))),"",INDEX('WORLDCUP'!$AC$4:$AC$147,MATCH(M24,'WORLDCUP'!$AH$4:$AH$147,0)))</f>
        <v>3</v>
      </c>
      <c r="Q24" s="169" cm="1">
        <f t="array" ref="Q24">IF(ISBLANK(INDEX('WORLDCUP'!$AD$4:$AD$147,MATCH(M24,'WORLDCUP'!$AH$4:$AH$147,0))),"",INDEX('WORLDCUP'!$AD$4:$AD$147,MATCH(M24,'WORLDCUP'!$AH$4:$AH$147,0)))</f>
        <v>1</v>
      </c>
      <c r="R24" t="str" s="604" cm="1">
        <f t="array" ref="R24">MID(INDEX('WORLDCUP'!$AF$4:$AF$147,MATCH(M24,'WORLDCUP'!$AH$4:$AH$147,0)),1,3)</f>
        <v>Ira</v>
      </c>
      <c r="S24" s="605"/>
      <c r="T24" s="606"/>
      <c r="U24" s="607"/>
      <c r="V24" s="607"/>
      <c r="W24" s="608"/>
      <c r="X24" s="534"/>
      <c r="Y24" s="535">
        <v>82</v>
      </c>
      <c r="Z24" t="s" s="536">
        <v>295</v>
      </c>
      <c r="AA24" t="str" s="537" cm="1">
        <f t="array" ref="AA24">MID(INDEX('WORLDCUP'!$AA$101:$AA$147,MATCH(Y24,'WORLDCUP'!$Z$101:$Z$147,0)),1,3)</f>
        <v>Bél</v>
      </c>
      <c r="AB24" t="str" s="538" cm="1">
        <f t="array" ref="AB24">IF(ISBLANK(INDEX('WORLDCUP'!$AC$101:$AC$147,MATCH(Y24,'WORLDCUP'!$Z$101:$Z$147,0))),"",INDEX('WORLDCUP'!$AC$101:$AC$147,MATCH(Y24,'WORLDCUP'!$Z$101:$Z$147,0)))</f>
      </c>
      <c r="AC24" t="str" s="632" cm="1">
        <f t="array" ref="AC24">IF(ISBLANK(INDEX('WORLDCUP'!$AB$101:$AB$147,MATCH(Y24,'WORLDCUP'!$Z$101:$Z$147,0))),"","( "&amp;INDEX('WORLDCUP'!$AB$101:$AB$147,MATCH(Y24,'WORLDCUP'!$Z$101:$Z$147,0))&amp;" )")</f>
      </c>
      <c r="AD24" s="588"/>
      <c r="AE24" s="633"/>
      <c r="AF24" s="633"/>
      <c r="AG24" s="541"/>
      <c r="AH24" s="316"/>
      <c r="AI24" s="572"/>
      <c r="AJ24" s="572"/>
      <c r="AK24" s="572"/>
      <c r="AL24" s="316"/>
      <c r="AM24" s="543"/>
      <c r="AN24" s="543"/>
      <c r="AO24" s="641"/>
      <c r="AP24" s="613"/>
      <c r="AQ24" s="573"/>
      <c r="AR24" s="573"/>
      <c r="AS24" s="573"/>
      <c r="AT24" s="316"/>
      <c r="AU24" s="666"/>
      <c r="AV24" s="666"/>
      <c r="AW24" s="545"/>
      <c r="AX24" s="655"/>
      <c r="AY24" s="660"/>
      <c r="AZ24" s="661"/>
      <c r="BA24" s="663"/>
      <c r="BB24" s="667"/>
      <c r="BC24" s="662"/>
      <c r="BD24" s="659"/>
      <c r="BE24" s="8"/>
      <c r="BF24" s="546"/>
      <c r="BG24" t="s" s="575">
        <v>316</v>
      </c>
      <c r="BH24" s="576" cm="1">
        <f t="array" ref="BH24">1-SUM(BI24:BO24)</f>
        <v>0</v>
      </c>
      <c r="BI24" s="576" cm="1">
        <f t="array" ref="BI24">COUNTIF('Pool'!$C$130:$C$161,BG24)-BJ24-BK24-BL24-BM24-BN24-BO24</f>
        <v>1</v>
      </c>
      <c r="BJ24" s="577" cm="1">
        <f t="array" ref="BJ24">COUNTIF('Pool'!$C$182:$C$197,BG24)-BK24-BL24-BM24-BN24-BO24</f>
        <v>0</v>
      </c>
      <c r="BK24" s="578" cm="1">
        <f t="array" ref="BK24">COUNTIF('Pool'!$C$210:$C$217,BG24)-BL24-BM24-BN24-BO24</f>
        <v>0</v>
      </c>
      <c r="BL24" s="578" cm="1">
        <f t="array" ref="BL24">COUNTIF('Pool'!$C$226:$C$229,BG24)-BM24-BN24-BO24</f>
        <v>0</v>
      </c>
      <c r="BM24" s="576" cm="1">
        <f t="array" ref="BM24">COUNTIF('Pool'!$C$252,BG24)</f>
        <v>0</v>
      </c>
      <c r="BN24" s="576" cm="1">
        <f t="array" ref="BN24">COUNTIF('Pool'!$C$251,BG24)</f>
        <v>0</v>
      </c>
      <c r="BO24" s="579" cm="1">
        <f t="array" ref="BO24">COUNTIF('Pool'!$C$250,BG24)</f>
        <v>0</v>
      </c>
    </row>
    <row r="25" ht="16" customHeight="1">
      <c r="A25" s="7"/>
      <c r="B25" s="614"/>
      <c r="C25" s="615"/>
      <c r="D25" s="616"/>
      <c r="E25" s="616"/>
      <c r="F25" s="617"/>
      <c r="G25" s="617"/>
      <c r="H25" s="615"/>
      <c r="I25" s="617"/>
      <c r="J25" s="617"/>
      <c r="K25" s="617"/>
      <c r="L25" s="316"/>
      <c r="M25" s="8"/>
      <c r="N25" s="617"/>
      <c r="O25" s="617"/>
      <c r="P25" s="617"/>
      <c r="Q25" s="617"/>
      <c r="R25" s="617"/>
      <c r="S25" s="617"/>
      <c r="T25" s="617"/>
      <c r="U25" s="617"/>
      <c r="V25" s="617"/>
      <c r="W25" s="617"/>
      <c r="X25" s="8"/>
      <c r="Y25" s="618">
        <v>82</v>
      </c>
      <c r="Z25" t="s" s="536">
        <v>589</v>
      </c>
      <c r="AA25" t="str" s="537" cm="1">
        <f t="array" ref="AA25">MID(INDEX('WORLDCUP'!$AF$101:$AF$147,MATCH(Y25,'WORLDCUP'!$Z$101:$Z$147,0)),1,IF('WORLDCUP'!$H$113&lt;144,6,3))</f>
        <v>3AE</v>
      </c>
      <c r="AB25" t="str" s="538" cm="1">
        <f t="array" ref="AB25">IF(ISBLANK(INDEX('WORLDCUP'!$AD$101:$AD$147,MATCH(Y25,'WORLDCUP'!$Z$101:$Z$147,0))),"",INDEX('WORLDCUP'!$AD$101:$AD$147,MATCH(Y25,'WORLDCUP'!$Z$101:$Z$147,0)))</f>
      </c>
      <c r="AC25" t="str" s="635" cm="1">
        <f t="array" ref="AC25">IF(ISBLANK(INDEX('WORLDCUP'!$AE$101:$AE$147,MATCH(Y25,'WORLDCUP'!$Z$101:$Z$147,0))),"","( "&amp;INDEX('WORLDCUP'!$AE$101:$AE$147,MATCH(Y25,'WORLDCUP'!$Z$101:$Z$147,0))&amp;" )")</f>
      </c>
      <c r="AD25" s="316"/>
      <c r="AE25" s="541"/>
      <c r="AF25" s="541"/>
      <c r="AG25" s="541"/>
      <c r="AH25" s="316"/>
      <c r="AI25" s="572"/>
      <c r="AJ25" s="572"/>
      <c r="AK25" s="572"/>
      <c r="AL25" s="316"/>
      <c r="AM25" s="543"/>
      <c r="AN25" s="543"/>
      <c r="AO25" s="641"/>
      <c r="AP25" s="668"/>
      <c r="AQ25" s="669"/>
      <c r="AR25" s="669"/>
      <c r="AS25" s="669"/>
      <c r="AT25" s="670">
        <v>104</v>
      </c>
      <c r="AU25" t="str" s="671" cm="1">
        <f t="array" ref="AU25">MID(INDEX('WORLDCUP'!$AA$101:$AA$147,MATCH(AT25,'WORLDCUP'!$Z$101:$Z$147,0)),1,4)</f>
        <v>W101</v>
      </c>
      <c r="AV25" t="str" s="672" cm="1">
        <f t="array" ref="AV25">IF(ISBLANK(INDEX('WORLDCUP'!$AC$101:$AC$147,MATCH(AT25,'WORLDCUP'!$Z$101:$Z$147,0))),"",INDEX('WORLDCUP'!$AC$101:$AC$147,MATCH(AT25,'WORLDCUP'!$Z$101:$Z$147,0)))</f>
      </c>
      <c r="AW25" t="str" s="673" cm="1">
        <f t="array" ref="AW25">IF(ISBLANK(INDEX('WORLDCUP'!$AB$101:$AB$147,MATCH(AT25,'WORLDCUP'!$Z$101:$Z$147,0))),"","( "&amp;INDEX('WORLDCUP'!$AB$101:$AB$147,MATCH(AT25,'WORLDCUP'!$Z$101:$Z$147,0))&amp;" )")</f>
      </c>
      <c r="AX25" s="674"/>
      <c r="AY25" s="660"/>
      <c r="AZ25" t="str" s="661" cm="1">
        <f t="array" ref="AZ25">'WORLDCUP'!AA152</f>
        <v>W34</v>
      </c>
      <c r="BA25" s="663"/>
      <c r="BB25" s="667"/>
      <c r="BC25" s="662"/>
      <c r="BD25" s="659"/>
      <c r="BE25" s="8"/>
      <c r="BF25" s="546"/>
      <c r="BG25" t="s" s="575">
        <v>224</v>
      </c>
      <c r="BH25" s="576" cm="1">
        <f t="array" ref="BH25">1-SUM(BI25:BO25)</f>
        <v>0</v>
      </c>
      <c r="BI25" s="576" cm="1">
        <f t="array" ref="BI25">COUNTIF('Pool'!$C$130:$C$161,BG25)-BJ25-BK25-BL25-BM25-BN25-BO25</f>
        <v>1</v>
      </c>
      <c r="BJ25" s="577" cm="1">
        <f t="array" ref="BJ25">COUNTIF('Pool'!$C$182:$C$197,BG25)-BK25-BL25-BM25-BN25-BO25</f>
        <v>0</v>
      </c>
      <c r="BK25" s="578" cm="1">
        <f t="array" ref="BK25">COUNTIF('Pool'!$C$210:$C$217,BG25)-BL25-BM25-BN25-BO25</f>
        <v>0</v>
      </c>
      <c r="BL25" s="578" cm="1">
        <f t="array" ref="BL25">COUNTIF('Pool'!$C$226:$C$229,BG25)-BM25-BN25-BO25</f>
        <v>0</v>
      </c>
      <c r="BM25" s="576" cm="1">
        <f t="array" ref="BM25">COUNTIF('Pool'!$C$252,BG25)</f>
        <v>0</v>
      </c>
      <c r="BN25" s="576" cm="1">
        <f t="array" ref="BN25">COUNTIF('Pool'!$C$251,BG25)</f>
        <v>0</v>
      </c>
      <c r="BO25" s="579" cm="1">
        <f t="array" ref="BO25">COUNTIF('Pool'!$C$250,BG25)</f>
        <v>0</v>
      </c>
    </row>
    <row r="26" ht="16" customHeight="1">
      <c r="A26" s="7"/>
      <c r="B26" s="513"/>
      <c r="C26" s="622"/>
      <c r="D26" s="623"/>
      <c r="E26" s="623"/>
      <c r="F26" s="124"/>
      <c r="G26" s="124"/>
      <c r="H26" s="622"/>
      <c r="I26" s="124"/>
      <c r="J26" s="124"/>
      <c r="K26" s="124"/>
      <c r="L26" s="316"/>
      <c r="M26" s="8"/>
      <c r="N26" s="124"/>
      <c r="O26" s="124"/>
      <c r="P26" s="124"/>
      <c r="Q26" s="124"/>
      <c r="R26" s="124"/>
      <c r="S26" s="124"/>
      <c r="T26" s="124"/>
      <c r="U26" s="124"/>
      <c r="V26" s="124"/>
      <c r="W26" s="124"/>
      <c r="X26" s="8"/>
      <c r="Y26" s="316"/>
      <c r="Z26" s="284"/>
      <c r="AA26" s="610"/>
      <c r="AB26" s="610"/>
      <c r="AC26" s="611"/>
      <c r="AD26" s="316"/>
      <c r="AE26" s="541"/>
      <c r="AF26" s="541"/>
      <c r="AG26" s="598"/>
      <c r="AH26" s="316"/>
      <c r="AI26" s="572"/>
      <c r="AJ26" s="572"/>
      <c r="AK26" s="572"/>
      <c r="AL26" s="316"/>
      <c r="AM26" s="543"/>
      <c r="AN26" s="543"/>
      <c r="AO26" s="641"/>
      <c r="AP26" s="675"/>
      <c r="AQ26" s="676"/>
      <c r="AR26" s="676"/>
      <c r="AS26" s="676"/>
      <c r="AT26" s="677">
        <v>104</v>
      </c>
      <c r="AU26" t="str" s="671" cm="1">
        <f t="array" ref="AU26">MID(INDEX('WORLDCUP'!$AF$101:$AF$147,MATCH(AT26,'WORLDCUP'!$Z$101:$Z$147,0)),1,4)</f>
        <v>W102</v>
      </c>
      <c r="AV26" t="str" s="672" cm="1">
        <f t="array" ref="AV26">IF(ISBLANK(INDEX('WORLDCUP'!$AD$101:$AD$147,MATCH(AT26,'WORLDCUP'!$Z$101:$Z$147,0))),"",INDEX('WORLDCUP'!$AD$101:$AD$147,MATCH(AT26,'WORLDCUP'!$Z$101:$Z$147,0)))</f>
      </c>
      <c r="AW26" t="str" s="678" cm="1">
        <f t="array" ref="AW26">IF(ISBLANK(INDEX('WORLDCUP'!$AE$101:$AE$147,MATCH(AT26,'WORLDCUP'!$Z$101:$Z$147,0))),"","( "&amp;INDEX('WORLDCUP'!$AE$101:$AE$147,MATCH(AT26,'WORLDCUP'!$Z$101:$Z$147,0))&amp;" )")</f>
      </c>
      <c r="AX26" s="679"/>
      <c r="AY26" s="660"/>
      <c r="AZ26" s="680"/>
      <c r="BA26" s="663"/>
      <c r="BB26" s="667"/>
      <c r="BC26" s="662"/>
      <c r="BD26" s="659"/>
      <c r="BE26" s="8"/>
      <c r="BF26" s="546"/>
      <c r="BG26" t="s" s="575">
        <v>340</v>
      </c>
      <c r="BH26" s="576" cm="1">
        <f t="array" ref="BH26">1-SUM(BI26:BO26)</f>
        <v>0</v>
      </c>
      <c r="BI26" s="576" cm="1">
        <f t="array" ref="BI26">COUNTIF('Pool'!$C$130:$C$161,BG26)-BJ26-BK26-BL26-BM26-BN26-BO26</f>
        <v>1</v>
      </c>
      <c r="BJ26" s="577" cm="1">
        <f t="array" ref="BJ26">COUNTIF('Pool'!$C$182:$C$197,BG26)-BK26-BL26-BM26-BN26-BO26</f>
        <v>0</v>
      </c>
      <c r="BK26" s="578" cm="1">
        <f t="array" ref="BK26">COUNTIF('Pool'!$C$210:$C$217,BG26)-BL26-BM26-BN26-BO26</f>
        <v>0</v>
      </c>
      <c r="BL26" s="578" cm="1">
        <f t="array" ref="BL26">COUNTIF('Pool'!$C$226:$C$229,BG26)-BM26-BN26-BO26</f>
        <v>0</v>
      </c>
      <c r="BM26" s="576" cm="1">
        <f t="array" ref="BM26">COUNTIF('Pool'!$C$252,BG26)</f>
        <v>0</v>
      </c>
      <c r="BN26" s="576" cm="1">
        <f t="array" ref="BN26">COUNTIF('Pool'!$C$251,BG26)</f>
        <v>0</v>
      </c>
      <c r="BO26" s="579" cm="1">
        <f t="array" ref="BO26">COUNTIF('Pool'!$C$250,BG26)</f>
        <v>0</v>
      </c>
    </row>
    <row r="27" ht="16" customHeight="1">
      <c r="A27" s="521">
        <v>4</v>
      </c>
      <c r="B27" t="s" s="681">
        <v>223</v>
      </c>
      <c r="C27" t="str" s="523" cm="1">
        <f t="array" ref="C27">MID(INDEX('WORLDCUP'!$AA$4:$AA$147,MATCH(A27,'WORLDCUP'!$AH$4:$AH$147,0)),1,3)</f>
        <v>Est</v>
      </c>
      <c r="D27" s="524" cm="1">
        <f t="array" ref="D27">IF(ISBLANK(INDEX('WORLDCUP'!$AC$4:$AC$147,MATCH(A27,'WORLDCUP'!$AH$4:$AH$147,0))),"",INDEX('WORLDCUP'!$AC$4:$AC$147,MATCH(A27,'WORLDCUP'!$AH$4:$AH$147,0)))</f>
        <v>1</v>
      </c>
      <c r="E27" s="524" cm="1">
        <f t="array" ref="E27">IF(ISBLANK(INDEX('WORLDCUP'!$AD$4:$AD$147,MATCH(A27,'WORLDCUP'!$AH$4:$AH$147,0))),"",INDEX('WORLDCUP'!$AD$4:$AD$147,MATCH(A27,'WORLDCUP'!$AH$4:$AH$147,0)))</f>
        <v>0</v>
      </c>
      <c r="F27" t="str" s="525" cm="1">
        <f t="array" ref="F27">MID(INDEX('WORLDCUP'!$AF$4:$AF$147,MATCH(A27,'WORLDCUP'!$AH$4:$AH$147,0)),1,3)</f>
        <v>Par</v>
      </c>
      <c r="G27" s="526"/>
      <c r="H27" t="str" s="527" cm="1">
        <f t="array" ref="H27">H19</f>
        <v>Sel</v>
      </c>
      <c r="I27" t="str" s="529" cm="1">
        <f t="array" ref="I27">I19</f>
        <v>Pts</v>
      </c>
      <c r="J27" t="str" s="529" cm="1">
        <f t="array" ref="J27">J19</f>
        <v>DG</v>
      </c>
      <c r="K27" t="str" s="530" cm="1">
        <f t="array" ref="K27">K19</f>
        <v>GF-GC</v>
      </c>
      <c r="L27" s="531"/>
      <c r="M27" s="532">
        <v>19</v>
      </c>
      <c r="N27" t="s" s="682">
        <v>62</v>
      </c>
      <c r="O27" t="str" s="523" cm="1">
        <f t="array" ref="O27">MID(INDEX('WORLDCUP'!$AA$4:$AA$147,MATCH(M27,'WORLDCUP'!$AH$4:$AH$147,0)),1,3)</f>
        <v>Arg</v>
      </c>
      <c r="P27" s="524" cm="1">
        <f t="array" ref="P27">IF(ISBLANK(INDEX('WORLDCUP'!$AC$4:$AC$147,MATCH(M27,'WORLDCUP'!$AH$4:$AH$147,0))),"",INDEX('WORLDCUP'!$AC$4:$AC$147,MATCH(M27,'WORLDCUP'!$AH$4:$AH$147,0)))</f>
        <v>3</v>
      </c>
      <c r="Q27" s="524" cm="1">
        <f t="array" ref="Q27">IF(ISBLANK(INDEX('WORLDCUP'!$AD$4:$AD$147,MATCH(M27,'WORLDCUP'!$AH$4:$AH$147,0))),"",INDEX('WORLDCUP'!$AD$4:$AD$147,MATCH(M27,'WORLDCUP'!$AH$4:$AH$147,0)))</f>
        <v>0</v>
      </c>
      <c r="R27" t="str" s="525" cm="1">
        <f t="array" ref="R27">MID(INDEX('WORLDCUP'!$AF$4:$AF$147,MATCH(M27,'WORLDCUP'!$AH$4:$AH$147,0)),1,3)</f>
        <v>Arg</v>
      </c>
      <c r="S27" s="526"/>
      <c r="T27" t="str" s="527" cm="1">
        <f t="array" ref="T27">T19</f>
        <v>Sel</v>
      </c>
      <c r="U27" t="str" s="529" cm="1">
        <f t="array" ref="U27">U19</f>
        <v>Pts</v>
      </c>
      <c r="V27" t="str" s="529" cm="1">
        <f t="array" ref="V27">V19</f>
        <v>DG</v>
      </c>
      <c r="W27" t="str" s="530" cm="1">
        <f t="array" ref="W27">W19</f>
        <v>GF-GC</v>
      </c>
      <c r="X27" s="534"/>
      <c r="Y27" s="535">
        <v>76</v>
      </c>
      <c r="Z27" t="s" s="536">
        <v>203</v>
      </c>
      <c r="AA27" t="str" s="537" cm="1">
        <f t="array" ref="AA27">MID(INDEX('WORLDCUP'!$AA$101:$AA$147,MATCH(Y27,'WORLDCUP'!$Z$101:$Z$147,0)),1,3)</f>
        <v>Bra</v>
      </c>
      <c r="AB27" t="str" s="538" cm="1">
        <f t="array" ref="AB27">IF(ISBLANK(INDEX('WORLDCUP'!$AC$101:$AC$147,MATCH(Y27,'WORLDCUP'!$Z$101:$Z$147,0))),"",INDEX('WORLDCUP'!$AC$101:$AC$147,MATCH(Y27,'WORLDCUP'!$Z$101:$Z$147,0)))</f>
      </c>
      <c r="AC27" t="str" s="619" cm="1">
        <f t="array" ref="AC27">IF(ISBLANK(INDEX('WORLDCUP'!$AB$101:$AB$147,MATCH(Y27,'WORLDCUP'!$Z$101:$Z$147,0))),"","( "&amp;INDEX('WORLDCUP'!$AB$101:$AB$147,MATCH(Y27,'WORLDCUP'!$Z$101:$Z$147,0))&amp;" )")</f>
      </c>
      <c r="AD27" s="83"/>
      <c r="AE27" s="540"/>
      <c r="AF27" s="540"/>
      <c r="AG27" s="541"/>
      <c r="AH27" s="316"/>
      <c r="AI27" s="572"/>
      <c r="AJ27" s="572"/>
      <c r="AK27" s="572"/>
      <c r="AL27" s="316"/>
      <c r="AM27" s="543"/>
      <c r="AN27" s="543"/>
      <c r="AO27" s="641"/>
      <c r="AP27" s="613"/>
      <c r="AQ27" s="573"/>
      <c r="AR27" s="573"/>
      <c r="AS27" s="573"/>
      <c r="AT27" s="316"/>
      <c r="AU27" s="683"/>
      <c r="AV27" s="683"/>
      <c r="AW27" s="545"/>
      <c r="AX27" s="655"/>
      <c r="AY27" s="660"/>
      <c r="AZ27" s="680"/>
      <c r="BA27" s="663"/>
      <c r="BB27" s="667"/>
      <c r="BC27" s="662"/>
      <c r="BD27" s="659"/>
      <c r="BE27" s="8"/>
      <c r="BF27" s="546"/>
      <c r="BG27" t="s" s="575">
        <v>420</v>
      </c>
      <c r="BH27" s="576" cm="1">
        <f t="array" ref="BH27">1-SUM(BI27:BO27)</f>
        <v>1</v>
      </c>
      <c r="BI27" s="576" cm="1">
        <f t="array" ref="BI27">COUNTIF('Pool'!$C$130:$C$161,BG27)-BJ27-BK27-BL27-BM27-BN27-BO27</f>
        <v>0</v>
      </c>
      <c r="BJ27" s="577" cm="1">
        <f t="array" ref="BJ27">COUNTIF('Pool'!$C$182:$C$197,BG27)-BK27-BL27-BM27-BN27-BO27</f>
        <v>0</v>
      </c>
      <c r="BK27" s="578" cm="1">
        <f t="array" ref="BK27">COUNTIF('Pool'!$C$210:$C$217,BG27)-BL27-BM27-BN27-BO27</f>
        <v>0</v>
      </c>
      <c r="BL27" s="578" cm="1">
        <f t="array" ref="BL27">COUNTIF('Pool'!$C$226:$C$229,BG27)-BM27-BN27-BO27</f>
        <v>0</v>
      </c>
      <c r="BM27" s="576" cm="1">
        <f t="array" ref="BM27">COUNTIF('Pool'!$C$252,BG27)</f>
        <v>0</v>
      </c>
      <c r="BN27" s="576" cm="1">
        <f t="array" ref="BN27">COUNTIF('Pool'!$C$251,BG27)</f>
        <v>0</v>
      </c>
      <c r="BO27" s="579" cm="1">
        <f t="array" ref="BO27">COUNTIF('Pool'!$C$250,BG27)</f>
        <v>0</v>
      </c>
    </row>
    <row r="28" ht="16" customHeight="1">
      <c r="A28" s="521">
        <v>6</v>
      </c>
      <c r="B28" s="684"/>
      <c r="C28" t="str" s="557" cm="1">
        <f t="array" ref="C28">MID(INDEX('WORLDCUP'!$AA$4:$AA$147,MATCH(A28,'WORLDCUP'!$AH$4:$AH$147,0)),1,3)</f>
        <v>Aus</v>
      </c>
      <c r="D28" s="128" cm="1">
        <f t="array" ref="D28">IF(ISBLANK(INDEX('WORLDCUP'!$AC$4:$AC$147,MATCH(A28,'WORLDCUP'!$AH$4:$AH$147,0))),"",INDEX('WORLDCUP'!$AC$4:$AC$147,MATCH(A28,'WORLDCUP'!$AH$4:$AH$147,0)))</f>
        <v>1</v>
      </c>
      <c r="E28" s="128" cm="1">
        <f t="array" ref="E28">IF(ISBLANK(INDEX('WORLDCUP'!$AD$4:$AD$147,MATCH(A28,'WORLDCUP'!$AH$4:$AH$147,0))),"",INDEX('WORLDCUP'!$AD$4:$AD$147,MATCH(A28,'WORLDCUP'!$AH$4:$AH$147,0)))</f>
        <v>3</v>
      </c>
      <c r="F28" t="str" s="558" cm="1">
        <f t="array" ref="F28">MID(INDEX('WORLDCUP'!$AF$4:$AF$147,MATCH(A28,'WORLDCUP'!$AH$4:$AH$147,0)),1,3)</f>
        <v>Tur</v>
      </c>
      <c r="G28" s="559">
        <v>1</v>
      </c>
      <c r="H28" t="str" s="560" cm="1">
        <f t="array" ref="H28">MID(INDEX('WORLDCUP'!$AL$6:$AL$97,MATCH(L28,'WORLDCUP'!$AI$6:$AI$97,0)),1,3)</f>
        <v>Est</v>
      </c>
      <c r="I28" s="561" cm="1">
        <f t="array" ref="I28">INDEX('WORLDCUP'!$AM$6:$AM$97,MATCH(L28,'WORLDCUP'!$AI$6:$AI$97,0))</f>
        <v>6</v>
      </c>
      <c r="J28" s="562" cm="1">
        <f t="array" ref="J28">INDEX('WORLDCUP'!$AT$6:$AT$97,MATCH(L28,'WORLDCUP'!$AI$6:$AI$97,0))</f>
        <v>1</v>
      </c>
      <c r="K28" t="str" s="563" cm="1">
        <f t="array" ref="K28">INDEX('WORLDCUP'!$AR$6:$AR$97,MATCH(L28,'WORLDCUP'!$AI$6:$AI$97,0))&amp;"-"&amp;INDEX('WORLDCUP'!$AS$6:$AS$97,MATCH(L28,'WORLDCUP'!$AI$6:$AI$97,0))</f>
        <v>3-2</v>
      </c>
      <c r="L28" t="s" s="564">
        <v>226</v>
      </c>
      <c r="M28" s="532">
        <v>20</v>
      </c>
      <c r="N28" s="685"/>
      <c r="O28" t="str" s="557" cm="1">
        <f t="array" ref="O28">MID(INDEX('WORLDCUP'!$AA$4:$AA$147,MATCH(M28,'WORLDCUP'!$AH$4:$AH$147,0)),1,3)</f>
        <v>Aus</v>
      </c>
      <c r="P28" s="128" cm="1">
        <f t="array" ref="P28">IF(ISBLANK(INDEX('WORLDCUP'!$AC$4:$AC$147,MATCH(M28,'WORLDCUP'!$AH$4:$AH$147,0))),"",INDEX('WORLDCUP'!$AC$4:$AC$147,MATCH(M28,'WORLDCUP'!$AH$4:$AH$147,0)))</f>
        <v>1</v>
      </c>
      <c r="Q28" s="128" cm="1">
        <f t="array" ref="Q28">IF(ISBLANK(INDEX('WORLDCUP'!$AD$4:$AD$147,MATCH(M28,'WORLDCUP'!$AH$4:$AH$147,0))),"",INDEX('WORLDCUP'!$AD$4:$AD$147,MATCH(M28,'WORLDCUP'!$AH$4:$AH$147,0)))</f>
        <v>0</v>
      </c>
      <c r="R28" t="str" s="558" cm="1">
        <f t="array" ref="R28">MID(INDEX('WORLDCUP'!$AF$4:$AF$147,MATCH(M28,'WORLDCUP'!$AH$4:$AH$147,0)),1,3)</f>
        <v>Jor</v>
      </c>
      <c r="S28" s="559">
        <v>1</v>
      </c>
      <c r="T28" t="str" s="560" cm="1">
        <f t="array" ref="T28">MID(INDEX('WORLDCUP'!$AL$6:$AL$97,MATCH(X28,'WORLDCUP'!$AI$6:$AI$97,0)),1,3)</f>
        <v>Arg</v>
      </c>
      <c r="U28" s="561" cm="1">
        <f t="array" ref="U28">INDEX('WORLDCUP'!$AM$6:$AM$97,MATCH(X28,'WORLDCUP'!$AI$6:$AI$97,0))</f>
        <v>9</v>
      </c>
      <c r="V28" s="562" cm="1">
        <f t="array" ref="V28">INDEX('WORLDCUP'!$AT$6:$AT$97,MATCH(X28,'WORLDCUP'!$AI$6:$AI$97,0))</f>
        <v>7</v>
      </c>
      <c r="W28" t="str" s="563" cm="1">
        <f t="array" ref="W28">INDEX('WORLDCUP'!$AR$6:$AR$97,MATCH(X28,'WORLDCUP'!$AI$6:$AI$97,0))&amp;"-"&amp;INDEX('WORLDCUP'!$AS$6:$AS$97,MATCH(X28,'WORLDCUP'!$AI$6:$AI$97,0))</f>
        <v>8-1</v>
      </c>
      <c r="X28" t="s" s="566">
        <v>364</v>
      </c>
      <c r="Y28" s="535">
        <v>76</v>
      </c>
      <c r="Z28" t="s" s="536">
        <v>276</v>
      </c>
      <c r="AA28" t="str" s="537" cm="1">
        <f t="array" ref="AA28">MID(INDEX('WORLDCUP'!$AF$101:$AF$147,MATCH(Y28,'WORLDCUP'!$Z$101:$Z$147,0)),1,3)</f>
        <v>2F</v>
      </c>
      <c r="AB28" t="str" s="538" cm="1">
        <f t="array" ref="AB28">IF(ISBLANK(INDEX('WORLDCUP'!$AD$101:$AD$147,MATCH(Y28,'WORLDCUP'!$Z$101:$Z$147,0))),"",INDEX('WORLDCUP'!$AD$101:$AD$147,MATCH(Y28,'WORLDCUP'!$Z$101:$Z$147,0)))</f>
      </c>
      <c r="AC28" t="str" s="567" cm="1">
        <f t="array" ref="AC28">IF(ISBLANK(INDEX('WORLDCUP'!$AE$101:$AE$147,MATCH(Y28,'WORLDCUP'!$Z$101:$Z$147,0))),"","( "&amp;INDEX('WORLDCUP'!$AE$101:$AE$147,MATCH(Y28,'WORLDCUP'!$Z$101:$Z$147,0))&amp;" )")</f>
      </c>
      <c r="AD28" s="568">
        <v>91</v>
      </c>
      <c r="AE28" t="str" s="569" cm="1">
        <f t="array" ref="AE28">MID(INDEX('WORLDCUP'!$AA$101:$AA$147,MATCH(AD28,'WORLDCUP'!$Z$101:$Z$147,0)),1,3)</f>
        <v>W76</v>
      </c>
      <c r="AF28" t="str" s="570" cm="1">
        <f t="array" ref="AF28">IF(ISBLANK(INDEX('WORLDCUP'!$AC$101:$AC$147,MATCH(AD28,'WORLDCUP'!$Z$101:$Z$147,0))),"",INDEX('WORLDCUP'!$AC$101:$AC$147,MATCH(AD28,'WORLDCUP'!$Z$101:$Z$147,0)))</f>
      </c>
      <c r="AG28" t="str" s="571" cm="1">
        <f t="array" ref="AG28">IF(ISBLANK(INDEX('WORLDCUP'!$AB$101:$AB$147,MATCH(AD28,'WORLDCUP'!$Z$101:$Z$147,0))),"","( "&amp;INDEX('WORLDCUP'!$AB$101:$AB$147,MATCH(AD28,'WORLDCUP'!$Z$101:$Z$147,0))&amp;" )")</f>
      </c>
      <c r="AH28" s="316"/>
      <c r="AI28" s="572"/>
      <c r="AJ28" s="572"/>
      <c r="AK28" s="572"/>
      <c r="AL28" s="316"/>
      <c r="AM28" s="543"/>
      <c r="AN28" s="543"/>
      <c r="AO28" s="641"/>
      <c r="AP28" s="613"/>
      <c r="AQ28" s="573"/>
      <c r="AR28" s="573"/>
      <c r="AS28" s="573"/>
      <c r="AT28" s="316"/>
      <c r="AU28" s="545"/>
      <c r="AV28" s="545"/>
      <c r="AW28" s="545"/>
      <c r="AX28" s="655"/>
      <c r="AY28" s="660"/>
      <c r="AZ28" s="680"/>
      <c r="BA28" s="663"/>
      <c r="BB28" s="667"/>
      <c r="BC28" s="662"/>
      <c r="BD28" s="659"/>
      <c r="BE28" s="8"/>
      <c r="BF28" s="546"/>
      <c r="BG28" t="s" s="575">
        <v>213</v>
      </c>
      <c r="BH28" s="576" cm="1">
        <f t="array" ref="BH28">1-SUM(BI28:BO28)</f>
        <v>1</v>
      </c>
      <c r="BI28" s="576" cm="1">
        <f t="array" ref="BI28">COUNTIF('Pool'!$C$130:$C$161,BG28)-BJ28-BK28-BL28-BM28-BN28-BO28</f>
        <v>0</v>
      </c>
      <c r="BJ28" s="577" cm="1">
        <f t="array" ref="BJ28">COUNTIF('Pool'!$C$182:$C$197,BG28)-BK28-BL28-BM28-BN28-BO28</f>
        <v>0</v>
      </c>
      <c r="BK28" s="578" cm="1">
        <f t="array" ref="BK28">COUNTIF('Pool'!$C$210:$C$217,BG28)-BL28-BM28-BN28-BO28</f>
        <v>0</v>
      </c>
      <c r="BL28" s="578" cm="1">
        <f t="array" ref="BL28">COUNTIF('Pool'!$C$226:$C$229,BG28)-BM28-BN28-BO28</f>
        <v>0</v>
      </c>
      <c r="BM28" s="576" cm="1">
        <f t="array" ref="BM28">COUNTIF('Pool'!$C$252,BG28)</f>
        <v>0</v>
      </c>
      <c r="BN28" s="576" cm="1">
        <f t="array" ref="BN28">COUNTIF('Pool'!$C$251,BG28)</f>
        <v>0</v>
      </c>
      <c r="BO28" s="579" cm="1">
        <f t="array" ref="BO28">COUNTIF('Pool'!$C$250,BG28)</f>
        <v>0</v>
      </c>
    </row>
    <row r="29" ht="15" customHeight="1">
      <c r="A29" s="521">
        <v>32</v>
      </c>
      <c r="B29" s="684"/>
      <c r="C29" t="str" s="557" cm="1">
        <f t="array" ref="C29">MID(INDEX('WORLDCUP'!$AA$4:$AA$147,MATCH(A29,'WORLDCUP'!$AH$4:$AH$147,0)),1,3)</f>
        <v>Est</v>
      </c>
      <c r="D29" s="128" cm="1">
        <f t="array" ref="D29">IF(ISBLANK(INDEX('WORLDCUP'!$AC$4:$AC$147,MATCH(A29,'WORLDCUP'!$AH$4:$AH$147,0))),"",INDEX('WORLDCUP'!$AC$4:$AC$147,MATCH(A29,'WORLDCUP'!$AH$4:$AH$147,0)))</f>
        <v>2</v>
      </c>
      <c r="E29" s="128" cm="1">
        <f t="array" ref="E29">IF(ISBLANK(INDEX('WORLDCUP'!$AD$4:$AD$147,MATCH(A29,'WORLDCUP'!$AH$4:$AH$147,0))),"",INDEX('WORLDCUP'!$AD$4:$AD$147,MATCH(A29,'WORLDCUP'!$AH$4:$AH$147,0)))</f>
        <v>1</v>
      </c>
      <c r="F29" t="str" s="558" cm="1">
        <f t="array" ref="F29">MID(INDEX('WORLDCUP'!$AF$4:$AF$147,MATCH(A29,'WORLDCUP'!$AH$4:$AH$147,0)),1,3)</f>
        <v>Aus</v>
      </c>
      <c r="G29" s="580">
        <v>2</v>
      </c>
      <c r="H29" t="str" s="581" cm="1">
        <f t="array" ref="H29">MID(INDEX('WORLDCUP'!$AL$6:$AL$97,MATCH(L29,'WORLDCUP'!$AI$6:$AI$97,0)),1,3)</f>
        <v>Par</v>
      </c>
      <c r="I29" s="158" cm="1">
        <f t="array" ref="I29">INDEX('WORLDCUP'!$AM$6:$AM$97,MATCH(L29,'WORLDCUP'!$AI$6:$AI$97,0))</f>
        <v>3</v>
      </c>
      <c r="J29" s="159" cm="1">
        <f t="array" ref="J29">INDEX('WORLDCUP'!$AT$6:$AT$97,MATCH(L29,'WORLDCUP'!$AI$6:$AI$97,0))</f>
        <v>-1</v>
      </c>
      <c r="K29" t="str" s="582" cm="1">
        <f t="array" ref="K29">INDEX('WORLDCUP'!$AR$6:$AR$97,MATCH(L29,'WORLDCUP'!$AI$6:$AI$97,0))&amp;"-"&amp;INDEX('WORLDCUP'!$AS$6:$AS$97,MATCH(L29,'WORLDCUP'!$AI$6:$AI$97,0))</f>
        <v>3-4</v>
      </c>
      <c r="L29" t="s" s="564">
        <v>230</v>
      </c>
      <c r="M29" s="532">
        <v>43</v>
      </c>
      <c r="N29" s="685"/>
      <c r="O29" t="str" s="557" cm="1">
        <f t="array" ref="O29">MID(INDEX('WORLDCUP'!$AA$4:$AA$147,MATCH(M29,'WORLDCUP'!$AH$4:$AH$147,0)),1,3)</f>
        <v>Arg</v>
      </c>
      <c r="P29" s="128" cm="1">
        <f t="array" ref="P29">IF(ISBLANK(INDEX('WORLDCUP'!$AC$4:$AC$147,MATCH(M29,'WORLDCUP'!$AH$4:$AH$147,0))),"",INDEX('WORLDCUP'!$AC$4:$AC$147,MATCH(M29,'WORLDCUP'!$AH$4:$AH$147,0)))</f>
        <v>2</v>
      </c>
      <c r="Q29" s="128" cm="1">
        <f t="array" ref="Q29">IF(ISBLANK(INDEX('WORLDCUP'!$AD$4:$AD$147,MATCH(M29,'WORLDCUP'!$AH$4:$AH$147,0))),"",INDEX('WORLDCUP'!$AD$4:$AD$147,MATCH(M29,'WORLDCUP'!$AH$4:$AH$147,0)))</f>
        <v>1</v>
      </c>
      <c r="R29" t="str" s="558" cm="1">
        <f t="array" ref="R29">MID(INDEX('WORLDCUP'!$AF$4:$AF$147,MATCH(M29,'WORLDCUP'!$AH$4:$AH$147,0)),1,3)</f>
        <v>Aus</v>
      </c>
      <c r="S29" s="580">
        <v>2</v>
      </c>
      <c r="T29" t="str" s="581" cm="1">
        <f t="array" ref="T29">MID(INDEX('WORLDCUP'!$AL$6:$AL$97,MATCH(X29,'WORLDCUP'!$AI$6:$AI$97,0)),1,3)</f>
        <v>Arg</v>
      </c>
      <c r="U29" s="158" cm="1">
        <f t="array" ref="U29">INDEX('WORLDCUP'!$AM$6:$AM$97,MATCH(X29,'WORLDCUP'!$AI$6:$AI$97,0))</f>
        <v>1</v>
      </c>
      <c r="V29" s="159" cm="1">
        <f t="array" ref="V29">INDEX('WORLDCUP'!$AT$6:$AT$97,MATCH(X29,'WORLDCUP'!$AI$6:$AI$97,0))</f>
        <v>-4</v>
      </c>
      <c r="W29" t="str" s="582" cm="1">
        <f t="array" ref="W29">INDEX('WORLDCUP'!$AR$6:$AR$97,MATCH(X29,'WORLDCUP'!$AI$6:$AI$97,0))&amp;"-"&amp;INDEX('WORLDCUP'!$AS$6:$AS$97,MATCH(X29,'WORLDCUP'!$AI$6:$AI$97,0))</f>
        <v>2-6</v>
      </c>
      <c r="X29" t="s" s="566">
        <v>368</v>
      </c>
      <c r="Y29" s="583"/>
      <c r="Z29" s="284"/>
      <c r="AA29" s="584"/>
      <c r="AB29" s="584"/>
      <c r="AC29" s="585"/>
      <c r="AD29" s="586">
        <v>91</v>
      </c>
      <c r="AE29" t="str" s="569" cm="1">
        <f t="array" ref="AE29">MID(INDEX('WORLDCUP'!$AF$101:$AF$147,MATCH(AD29,'WORLDCUP'!$Z$101:$Z$147,0)),1,3)</f>
        <v>W78</v>
      </c>
      <c r="AF29" t="str" s="570" cm="1">
        <f t="array" ref="AF29">IF(ISBLANK(INDEX('WORLDCUP'!$AD$101:$AD$147,MATCH(AD29,'WORLDCUP'!$Z$101:$Z$147,0))),"",INDEX('WORLDCUP'!$AD$101:$AD$147,MATCH(AD29,'WORLDCUP'!$Z$101:$Z$147,0)))</f>
      </c>
      <c r="AG29" t="str" s="587" cm="1">
        <f t="array" ref="AG29">IF(ISBLANK(INDEX('WORLDCUP'!$AE$101:$AE$147,MATCH(AD29,'WORLDCUP'!$Z$101:$Z$147,0))),"","( "&amp;INDEX('WORLDCUP'!$AE$101:$AE$147,MATCH(AD29,'WORLDCUP'!$Z$101:$Z$147,0))&amp;" )")</f>
      </c>
      <c r="AH29" s="588"/>
      <c r="AI29" s="572"/>
      <c r="AJ29" s="572"/>
      <c r="AK29" s="572"/>
      <c r="AL29" s="316"/>
      <c r="AM29" s="543"/>
      <c r="AN29" s="543"/>
      <c r="AO29" s="641"/>
      <c r="AP29" s="613"/>
      <c r="AQ29" s="573"/>
      <c r="AR29" s="573"/>
      <c r="AS29" s="573"/>
      <c r="AT29" s="316"/>
      <c r="AU29" s="545"/>
      <c r="AV29" s="545"/>
      <c r="AW29" s="545"/>
      <c r="AX29" s="655"/>
      <c r="AY29" s="660"/>
      <c r="AZ29" s="680"/>
      <c r="BA29" s="663"/>
      <c r="BB29" s="667"/>
      <c r="BC29" s="662"/>
      <c r="BD29" s="659"/>
      <c r="BE29" s="8"/>
      <c r="BF29" s="546"/>
      <c r="BG29" t="s" s="575">
        <v>409</v>
      </c>
      <c r="BH29" s="576" cm="1">
        <f t="array" ref="BH29">1-SUM(BI29:BO29)</f>
        <v>0</v>
      </c>
      <c r="BI29" s="576" cm="1">
        <f t="array" ref="BI29">COUNTIF('Pool'!$C$130:$C$161,BG29)-BJ29-BK29-BL29-BM29-BN29-BO29</f>
        <v>1</v>
      </c>
      <c r="BJ29" s="577" cm="1">
        <f t="array" ref="BJ29">COUNTIF('Pool'!$C$182:$C$197,BG29)-BK29-BL29-BM29-BN29-BO29</f>
        <v>0</v>
      </c>
      <c r="BK29" s="578" cm="1">
        <f t="array" ref="BK29">COUNTIF('Pool'!$C$210:$C$217,BG29)-BL29-BM29-BN29-BO29</f>
        <v>0</v>
      </c>
      <c r="BL29" s="578" cm="1">
        <f t="array" ref="BL29">COUNTIF('Pool'!$C$226:$C$229,BG29)-BM29-BN29-BO29</f>
        <v>0</v>
      </c>
      <c r="BM29" s="576" cm="1">
        <f t="array" ref="BM29">COUNTIF('Pool'!$C$252,BG29)</f>
        <v>0</v>
      </c>
      <c r="BN29" s="576" cm="1">
        <f t="array" ref="BN29">COUNTIF('Pool'!$C$251,BG29)</f>
        <v>0</v>
      </c>
      <c r="BO29" s="579" cm="1">
        <f t="array" ref="BO29">COUNTIF('Pool'!$C$250,BG29)</f>
        <v>0</v>
      </c>
    </row>
    <row r="30" ht="16" customHeight="1">
      <c r="A30" s="521">
        <v>31</v>
      </c>
      <c r="B30" s="684"/>
      <c r="C30" t="str" s="557" cm="1">
        <f t="array" ref="C30">MID(INDEX('WORLDCUP'!$AA$4:$AA$147,MATCH(A30,'WORLDCUP'!$AH$4:$AH$147,0)),1,3)</f>
        <v>Tur</v>
      </c>
      <c r="D30" s="128" cm="1">
        <f t="array" ref="D30">IF(ISBLANK(INDEX('WORLDCUP'!$AC$4:$AC$147,MATCH(A30,'WORLDCUP'!$AH$4:$AH$147,0))),"",INDEX('WORLDCUP'!$AC$4:$AC$147,MATCH(A30,'WORLDCUP'!$AH$4:$AH$147,0)))</f>
        <v>3</v>
      </c>
      <c r="E30" s="128" cm="1">
        <f t="array" ref="E30">IF(ISBLANK(INDEX('WORLDCUP'!$AD$4:$AD$147,MATCH(A30,'WORLDCUP'!$AH$4:$AH$147,0))),"",INDEX('WORLDCUP'!$AD$4:$AD$147,MATCH(A30,'WORLDCUP'!$AH$4:$AH$147,0)))</f>
        <v>2</v>
      </c>
      <c r="F30" t="str" s="558" cm="1">
        <f t="array" ref="F30">MID(INDEX('WORLDCUP'!$AF$4:$AF$147,MATCH(A30,'WORLDCUP'!$AH$4:$AH$147,0)),1,3)</f>
        <v>Par</v>
      </c>
      <c r="G30" s="580">
        <v>3</v>
      </c>
      <c r="H30" t="str" s="581" cm="1">
        <f t="array" ref="H30">MID(INDEX('WORLDCUP'!$AL$6:$AL$97,MATCH(L30,'WORLDCUP'!$AI$6:$AI$97,0)),1,3)</f>
        <v>Aus</v>
      </c>
      <c r="I30" s="158" cm="1">
        <f t="array" ref="I30">INDEX('WORLDCUP'!$AM$6:$AM$97,MATCH(L30,'WORLDCUP'!$AI$6:$AI$97,0))</f>
        <v>0</v>
      </c>
      <c r="J30" s="159" cm="1">
        <f t="array" ref="J30">INDEX('WORLDCUP'!$AT$6:$AT$97,MATCH(L30,'WORLDCUP'!$AI$6:$AI$97,0))</f>
        <v>-4</v>
      </c>
      <c r="K30" t="str" s="582" cm="1">
        <f t="array" ref="K30">INDEX('WORLDCUP'!$AR$6:$AR$97,MATCH(L30,'WORLDCUP'!$AI$6:$AI$97,0))&amp;"-"&amp;INDEX('WORLDCUP'!$AS$6:$AS$97,MATCH(L30,'WORLDCUP'!$AI$6:$AI$97,0))</f>
        <v>2-6</v>
      </c>
      <c r="L30" t="s" s="564">
        <v>237</v>
      </c>
      <c r="M30" s="532">
        <v>44</v>
      </c>
      <c r="N30" s="685"/>
      <c r="O30" t="str" s="557" cm="1">
        <f t="array" ref="O30">MID(INDEX('WORLDCUP'!$AA$4:$AA$147,MATCH(M30,'WORLDCUP'!$AH$4:$AH$147,0)),1,3)</f>
        <v>Jor</v>
      </c>
      <c r="P30" s="128" cm="1">
        <f t="array" ref="P30">IF(ISBLANK(INDEX('WORLDCUP'!$AC$4:$AC$147,MATCH(M30,'WORLDCUP'!$AH$4:$AH$147,0))),"",INDEX('WORLDCUP'!$AC$4:$AC$147,MATCH(M30,'WORLDCUP'!$AH$4:$AH$147,0)))</f>
        <v>1</v>
      </c>
      <c r="Q30" s="128" cm="1">
        <f t="array" ref="Q30">IF(ISBLANK(INDEX('WORLDCUP'!$AD$4:$AD$147,MATCH(M30,'WORLDCUP'!$AH$4:$AH$147,0))),"",INDEX('WORLDCUP'!$AD$4:$AD$147,MATCH(M30,'WORLDCUP'!$AH$4:$AH$147,0)))</f>
        <v>1</v>
      </c>
      <c r="R30" t="str" s="558" cm="1">
        <f t="array" ref="R30">MID(INDEX('WORLDCUP'!$AF$4:$AF$147,MATCH(M30,'WORLDCUP'!$AH$4:$AH$147,0)),1,3)</f>
        <v>Arg</v>
      </c>
      <c r="S30" s="580">
        <v>3</v>
      </c>
      <c r="T30" t="str" s="581" cm="1">
        <f t="array" ref="T30">MID(INDEX('WORLDCUP'!$AL$6:$AL$97,MATCH(X30,'WORLDCUP'!$AI$6:$AI$97,0)),1,3)</f>
        <v>Aus</v>
      </c>
      <c r="U30" s="158" cm="1">
        <f t="array" ref="U30">INDEX('WORLDCUP'!$AM$6:$AM$97,MATCH(X30,'WORLDCUP'!$AI$6:$AI$97,0))</f>
        <v>6</v>
      </c>
      <c r="V30" s="159" cm="1">
        <f t="array" ref="V30">INDEX('WORLDCUP'!$AT$6:$AT$97,MATCH(X30,'WORLDCUP'!$AI$6:$AI$97,0))</f>
        <v>1</v>
      </c>
      <c r="W30" t="str" s="582" cm="1">
        <f t="array" ref="W30">INDEX('WORLDCUP'!$AR$6:$AR$97,MATCH(X30,'WORLDCUP'!$AI$6:$AI$97,0))&amp;"-"&amp;INDEX('WORLDCUP'!$AS$6:$AS$97,MATCH(X30,'WORLDCUP'!$AI$6:$AI$97,0))</f>
        <v>4-3</v>
      </c>
      <c r="X30" t="s" s="566">
        <v>375</v>
      </c>
      <c r="Y30" s="535">
        <v>78</v>
      </c>
      <c r="Z30" t="s" s="536">
        <v>255</v>
      </c>
      <c r="AA30" t="str" s="537" cm="1">
        <f t="array" ref="AA30">MID(INDEX('WORLDCUP'!$AA$101:$AA$147,MATCH(Y30,'WORLDCUP'!$Z$101:$Z$147,0)),1,3)</f>
        <v>Cur</v>
      </c>
      <c r="AB30" t="str" s="538" cm="1">
        <f t="array" ref="AB30">IF(ISBLANK(INDEX('WORLDCUP'!$AC$101:$AC$147,MATCH(Y30,'WORLDCUP'!$Z$101:$Z$147,0))),"",INDEX('WORLDCUP'!$AC$101:$AC$147,MATCH(Y30,'WORLDCUP'!$Z$101:$Z$147,0)))</f>
      </c>
      <c r="AC30" t="str" s="632" cm="1">
        <f t="array" ref="AC30">IF(ISBLANK(INDEX('WORLDCUP'!$AB$101:$AB$147,MATCH(Y30,'WORLDCUP'!$Z$101:$Z$147,0))),"","( "&amp;INDEX('WORLDCUP'!$AB$101:$AB$147,MATCH(Y30,'WORLDCUP'!$Z$101:$Z$147,0))&amp;" )")</f>
      </c>
      <c r="AD30" s="588"/>
      <c r="AE30" s="590"/>
      <c r="AF30" s="590"/>
      <c r="AG30" s="591"/>
      <c r="AH30" s="588"/>
      <c r="AI30" s="592"/>
      <c r="AJ30" s="592"/>
      <c r="AK30" s="572"/>
      <c r="AL30" s="316"/>
      <c r="AM30" s="543"/>
      <c r="AN30" s="543"/>
      <c r="AO30" s="641"/>
      <c r="AP30" s="588"/>
      <c r="AQ30" s="686"/>
      <c r="AR30" s="686"/>
      <c r="AS30" s="573"/>
      <c r="AT30" s="316"/>
      <c r="AU30" s="545"/>
      <c r="AV30" s="545"/>
      <c r="AW30" s="545"/>
      <c r="AX30" s="655"/>
      <c r="AY30" s="660"/>
      <c r="AZ30" s="680"/>
      <c r="BA30" s="663"/>
      <c r="BB30" s="667"/>
      <c r="BC30" s="662"/>
      <c r="BD30" s="659"/>
      <c r="BE30" s="8"/>
      <c r="BF30" s="546"/>
      <c r="BG30" t="s" s="575">
        <v>352</v>
      </c>
      <c r="BH30" s="576" cm="1">
        <f t="array" ref="BH30">1-SUM(BI30:BO30)</f>
        <v>1</v>
      </c>
      <c r="BI30" s="576" cm="1">
        <f t="array" ref="BI30">COUNTIF('Pool'!$C$130:$C$161,BG30)-BJ30-BK30-BL30-BM30-BN30-BO30</f>
        <v>0</v>
      </c>
      <c r="BJ30" s="577" cm="1">
        <f t="array" ref="BJ30">COUNTIF('Pool'!$C$182:$C$197,BG30)-BK30-BL30-BM30-BN30-BO30</f>
        <v>0</v>
      </c>
      <c r="BK30" s="578" cm="1">
        <f t="array" ref="BK30">COUNTIF('Pool'!$C$210:$C$217,BG30)-BL30-BM30-BN30-BO30</f>
        <v>0</v>
      </c>
      <c r="BL30" s="578" cm="1">
        <f t="array" ref="BL30">COUNTIF('Pool'!$C$226:$C$229,BG30)-BM30-BN30-BO30</f>
        <v>0</v>
      </c>
      <c r="BM30" s="576" cm="1">
        <f t="array" ref="BM30">COUNTIF('Pool'!$C$252,BG30)</f>
        <v>0</v>
      </c>
      <c r="BN30" s="576" cm="1">
        <f t="array" ref="BN30">COUNTIF('Pool'!$C$251,BG30)</f>
        <v>0</v>
      </c>
      <c r="BO30" s="579" cm="1">
        <f t="array" ref="BO30">COUNTIF('Pool'!$C$250,BG30)</f>
        <v>0</v>
      </c>
    </row>
    <row r="31" ht="16" customHeight="1">
      <c r="A31" s="521">
        <v>59</v>
      </c>
      <c r="B31" s="684"/>
      <c r="C31" t="str" s="557" cm="1">
        <f t="array" ref="C31">MID(INDEX('WORLDCUP'!$AA$4:$AA$147,MATCH(A31,'WORLDCUP'!$AH$4:$AH$147,0)),1,3)</f>
        <v>Tur</v>
      </c>
      <c r="D31" s="128" cm="1">
        <f t="array" ref="D31">IF(ISBLANK(INDEX('WORLDCUP'!$AC$4:$AC$147,MATCH(A31,'WORLDCUP'!$AH$4:$AH$147,0))),"",INDEX('WORLDCUP'!$AC$4:$AC$147,MATCH(A31,'WORLDCUP'!$AH$4:$AH$147,0)))</f>
        <v>1</v>
      </c>
      <c r="E31" s="128" cm="1">
        <f t="array" ref="E31">IF(ISBLANK(INDEX('WORLDCUP'!$AD$4:$AD$147,MATCH(A31,'WORLDCUP'!$AH$4:$AH$147,0))),"",INDEX('WORLDCUP'!$AD$4:$AD$147,MATCH(A31,'WORLDCUP'!$AH$4:$AH$147,0)))</f>
        <v>0</v>
      </c>
      <c r="F31" t="str" s="558" cm="1">
        <f t="array" ref="F31">MID(INDEX('WORLDCUP'!$AF$4:$AF$147,MATCH(A31,'WORLDCUP'!$AH$4:$AH$147,0)),1,3)</f>
        <v>Est</v>
      </c>
      <c r="G31" s="580">
        <v>4</v>
      </c>
      <c r="H31" t="str" s="593" cm="1">
        <f t="array" ref="H31">MID(INDEX('WORLDCUP'!$AL$6:$AL$97,MATCH(L31,'WORLDCUP'!$AI$6:$AI$97,0)),1,3)</f>
        <v>Tur</v>
      </c>
      <c r="I31" s="594" cm="1">
        <f t="array" ref="I31">INDEX('WORLDCUP'!$AM$6:$AM$97,MATCH(L31,'WORLDCUP'!$AI$6:$AI$97,0))</f>
        <v>9</v>
      </c>
      <c r="J31" s="595" cm="1">
        <f t="array" ref="J31">INDEX('WORLDCUP'!$AT$6:$AT$97,MATCH(L31,'WORLDCUP'!$AI$6:$AI$97,0))</f>
        <v>4</v>
      </c>
      <c r="K31" t="str" s="596" cm="1">
        <f t="array" ref="K31">INDEX('WORLDCUP'!$AR$6:$AR$97,MATCH(L31,'WORLDCUP'!$AI$6:$AI$97,0))&amp;"-"&amp;INDEX('WORLDCUP'!$AS$6:$AS$97,MATCH(L31,'WORLDCUP'!$AI$6:$AI$97,0))</f>
        <v>7-3</v>
      </c>
      <c r="L31" t="s" s="564">
        <v>243</v>
      </c>
      <c r="M31" s="532">
        <v>69</v>
      </c>
      <c r="N31" s="685"/>
      <c r="O31" t="str" s="557" cm="1">
        <f t="array" ref="O31">MID(INDEX('WORLDCUP'!$AA$4:$AA$147,MATCH(M31,'WORLDCUP'!$AH$4:$AH$147,0)),1,3)</f>
        <v>Arg</v>
      </c>
      <c r="P31" s="128" cm="1">
        <f t="array" ref="P31">IF(ISBLANK(INDEX('WORLDCUP'!$AC$4:$AC$147,MATCH(M31,'WORLDCUP'!$AH$4:$AH$147,0))),"",INDEX('WORLDCUP'!$AC$4:$AC$147,MATCH(M31,'WORLDCUP'!$AH$4:$AH$147,0)))</f>
        <v>1</v>
      </c>
      <c r="Q31" s="128" cm="1">
        <f t="array" ref="Q31">IF(ISBLANK(INDEX('WORLDCUP'!$AD$4:$AD$147,MATCH(M31,'WORLDCUP'!$AH$4:$AH$147,0))),"",INDEX('WORLDCUP'!$AD$4:$AD$147,MATCH(M31,'WORLDCUP'!$AH$4:$AH$147,0)))</f>
        <v>2</v>
      </c>
      <c r="R31" t="str" s="558" cm="1">
        <f t="array" ref="R31">MID(INDEX('WORLDCUP'!$AF$4:$AF$147,MATCH(M31,'WORLDCUP'!$AH$4:$AH$147,0)),1,3)</f>
        <v>Aus</v>
      </c>
      <c r="S31" s="580">
        <v>4</v>
      </c>
      <c r="T31" t="str" s="593" cm="1">
        <f t="array" ref="T31">MID(INDEX('WORLDCUP'!$AL$6:$AL$97,MATCH(X31,'WORLDCUP'!$AI$6:$AI$97,0)),1,3)</f>
        <v>Jor</v>
      </c>
      <c r="U31" s="594" cm="1">
        <f t="array" ref="U31">INDEX('WORLDCUP'!$AM$6:$AM$97,MATCH(X31,'WORLDCUP'!$AI$6:$AI$97,0))</f>
        <v>1</v>
      </c>
      <c r="V31" s="595" cm="1">
        <f t="array" ref="V31">INDEX('WORLDCUP'!$AT$6:$AT$97,MATCH(X31,'WORLDCUP'!$AI$6:$AI$97,0))</f>
        <v>-4</v>
      </c>
      <c r="W31" t="str" s="596" cm="1">
        <f t="array" ref="W31">INDEX('WORLDCUP'!$AR$6:$AR$97,MATCH(X31,'WORLDCUP'!$AI$6:$AI$97,0))&amp;"-"&amp;INDEX('WORLDCUP'!$AS$6:$AS$97,MATCH(X31,'WORLDCUP'!$AI$6:$AI$97,0))</f>
        <v>1-5</v>
      </c>
      <c r="X31" t="s" s="566">
        <v>381</v>
      </c>
      <c r="Y31" s="535">
        <v>78</v>
      </c>
      <c r="Z31" t="s" s="536">
        <v>348</v>
      </c>
      <c r="AA31" t="str" s="537" cm="1">
        <f t="array" ref="AA31">MID(INDEX('WORLDCUP'!$AF$101:$AF$147,MATCH(Y31,'WORLDCUP'!$Z$101:$Z$147,0)),1,3)</f>
        <v>2I</v>
      </c>
      <c r="AB31" t="str" s="538" cm="1">
        <f t="array" ref="AB31">IF(ISBLANK(INDEX('WORLDCUP'!$AD$101:$AD$147,MATCH(Y31,'WORLDCUP'!$Z$101:$Z$147,0))),"",INDEX('WORLDCUP'!$AD$101:$AD$147,MATCH(Y31,'WORLDCUP'!$Z$101:$Z$147,0)))</f>
      </c>
      <c r="AC31" t="str" s="635" cm="1">
        <f t="array" ref="AC31">IF(ISBLANK(INDEX('WORLDCUP'!$AE$101:$AE$147,MATCH(Y31,'WORLDCUP'!$Z$101:$Z$147,0))),"","( "&amp;INDEX('WORLDCUP'!$AE$101:$AE$147,MATCH(Y31,'WORLDCUP'!$Z$101:$Z$147,0))&amp;" )")</f>
      </c>
      <c r="AD31" s="316"/>
      <c r="AE31" s="598"/>
      <c r="AF31" s="598"/>
      <c r="AG31" s="591"/>
      <c r="AH31" s="568">
        <v>99</v>
      </c>
      <c r="AI31" t="str" s="599" cm="1">
        <f t="array" ref="AI31">MID(INDEX('WORLDCUP'!$AA$101:$AA$147,MATCH(AH31,'WORLDCUP'!$Z$101:$Z$147,0)),1,3)</f>
        <v>W91</v>
      </c>
      <c r="AJ31" t="str" s="600" cm="1">
        <f t="array" ref="AJ31">IF(ISBLANK(INDEX('WORLDCUP'!$AC$101:$AC$147,MATCH(AH31,'WORLDCUP'!$Z$101:$Z$147,0))),"",INDEX('WORLDCUP'!$AC$101:$AC$147,MATCH(AH31,'WORLDCUP'!$Z$101:$Z$147,0)))</f>
      </c>
      <c r="AK31" t="str" s="601" cm="1">
        <f t="array" ref="AK31">IF(ISBLANK(INDEX('WORLDCUP'!$AB$101:$AB$147,MATCH(AH31,'WORLDCUP'!$Z$101:$Z$147,0))),"","( "&amp;INDEX('WORLDCUP'!$AB$101:$AB$147,MATCH(AH31,'WORLDCUP'!$Z$101:$Z$147,0))&amp;" )")</f>
      </c>
      <c r="AL31" s="316"/>
      <c r="AM31" s="543"/>
      <c r="AN31" s="543"/>
      <c r="AO31" s="641"/>
      <c r="AP31" s="687">
        <v>103</v>
      </c>
      <c r="AQ31" t="str" s="688" cm="1">
        <f t="array" ref="AQ31">MID(INDEX('WORLDCUP'!$AA$101:$AA$147,MATCH(AP31,'WORLDCUP'!$Z$101:$Z$147,0)),1,4)</f>
        <v>L101</v>
      </c>
      <c r="AR31" t="str" s="689" cm="1">
        <f t="array" ref="AR31">IF(ISBLANK(INDEX('WORLDCUP'!$AC$101:$AC$147,MATCH(AP31,'WORLDCUP'!$Z$101:$Z$147,0))),"",INDEX('WORLDCUP'!$AC$101:$AC$147,MATCH(AP31,'WORLDCUP'!$Z$101:$Z$147,0)))</f>
      </c>
      <c r="AS31" t="str" s="690" cm="1">
        <f t="array" ref="AS31">IF(ISBLANK(INDEX('WORLDCUP'!$AB$101:$AB$147,MATCH(AP31,'WORLDCUP'!$Z$101:$Z$147,0))),"","( "&amp;INDEX('WORLDCUP'!$AB$101:$AB$147,MATCH(AP31,'WORLDCUP'!$Z$101:$Z$147,0))&amp;" )")</f>
      </c>
      <c r="AT31" s="691"/>
      <c r="AU31" s="692"/>
      <c r="AV31" s="692"/>
      <c r="AW31" s="692"/>
      <c r="AX31" s="674"/>
      <c r="AY31" s="693"/>
      <c r="AZ31" s="694"/>
      <c r="BA31" s="694"/>
      <c r="BB31" s="694"/>
      <c r="BC31" s="695"/>
      <c r="BD31" s="659"/>
      <c r="BE31" s="8"/>
      <c r="BF31" s="546"/>
      <c r="BG31" t="s" s="575">
        <v>305</v>
      </c>
      <c r="BH31" s="576" cm="1">
        <f t="array" ref="BH31">1-SUM(BI31:BO31)</f>
        <v>1</v>
      </c>
      <c r="BI31" s="576" cm="1">
        <f t="array" ref="BI31">COUNTIF('Pool'!$C$130:$C$161,BG31)-BJ31-BK31-BL31-BM31-BN31-BO31</f>
        <v>0</v>
      </c>
      <c r="BJ31" s="577" cm="1">
        <f t="array" ref="BJ31">COUNTIF('Pool'!$C$182:$C$197,BG31)-BK31-BL31-BM31-BN31-BO31</f>
        <v>0</v>
      </c>
      <c r="BK31" s="578" cm="1">
        <f t="array" ref="BK31">COUNTIF('Pool'!$C$210:$C$217,BG31)-BL31-BM31-BN31-BO31</f>
        <v>0</v>
      </c>
      <c r="BL31" s="578" cm="1">
        <f t="array" ref="BL31">COUNTIF('Pool'!$C$226:$C$229,BG31)-BM31-BN31-BO31</f>
        <v>0</v>
      </c>
      <c r="BM31" s="576" cm="1">
        <f t="array" ref="BM31">COUNTIF('Pool'!$C$252,BG31)</f>
        <v>0</v>
      </c>
      <c r="BN31" s="576" cm="1">
        <f t="array" ref="BN31">COUNTIF('Pool'!$C$251,BG31)</f>
        <v>0</v>
      </c>
      <c r="BO31" s="579" cm="1">
        <f t="array" ref="BO31">COUNTIF('Pool'!$C$250,BG31)</f>
        <v>0</v>
      </c>
    </row>
    <row r="32" ht="16" customHeight="1">
      <c r="A32" s="521">
        <v>60</v>
      </c>
      <c r="B32" s="696"/>
      <c r="C32" t="str" s="603" cm="1">
        <f t="array" ref="C32">MID(INDEX('WORLDCUP'!$AA$4:$AA$147,MATCH(A32,'WORLDCUP'!$AH$4:$AH$147,0)),1,3)</f>
        <v>Par</v>
      </c>
      <c r="D32" s="169" cm="1">
        <f t="array" ref="D32">IF(ISBLANK(INDEX('WORLDCUP'!$AC$4:$AC$147,MATCH(A32,'WORLDCUP'!$AH$4:$AH$147,0))),"",INDEX('WORLDCUP'!$AC$4:$AC$147,MATCH(A32,'WORLDCUP'!$AH$4:$AH$147,0)))</f>
        <v>1</v>
      </c>
      <c r="E32" s="169" cm="1">
        <f t="array" ref="E32">IF(ISBLANK(INDEX('WORLDCUP'!$AD$4:$AD$147,MATCH(A32,'WORLDCUP'!$AH$4:$AH$147,0))),"",INDEX('WORLDCUP'!$AD$4:$AD$147,MATCH(A32,'WORLDCUP'!$AH$4:$AH$147,0)))</f>
        <v>0</v>
      </c>
      <c r="F32" t="str" s="604" cm="1">
        <f t="array" ref="F32">MID(INDEX('WORLDCUP'!$AF$4:$AF$147,MATCH(A32,'WORLDCUP'!$AH$4:$AH$147,0)),1,3)</f>
        <v>Aus</v>
      </c>
      <c r="G32" s="605"/>
      <c r="H32" s="606"/>
      <c r="I32" s="607"/>
      <c r="J32" s="607"/>
      <c r="K32" s="608"/>
      <c r="L32" s="531"/>
      <c r="M32" s="532">
        <v>70</v>
      </c>
      <c r="N32" s="697"/>
      <c r="O32" t="str" s="603" cm="1">
        <f t="array" ref="O32">MID(INDEX('WORLDCUP'!$AA$4:$AA$147,MATCH(M32,'WORLDCUP'!$AH$4:$AH$147,0)),1,3)</f>
        <v>Jor</v>
      </c>
      <c r="P32" s="169" cm="1">
        <f t="array" ref="P32">IF(ISBLANK(INDEX('WORLDCUP'!$AC$4:$AC$147,MATCH(M32,'WORLDCUP'!$AH$4:$AH$147,0))),"",INDEX('WORLDCUP'!$AC$4:$AC$147,MATCH(M32,'WORLDCUP'!$AH$4:$AH$147,0)))</f>
        <v>0</v>
      </c>
      <c r="Q32" s="169" cm="1">
        <f t="array" ref="Q32">IF(ISBLANK(INDEX('WORLDCUP'!$AD$4:$AD$147,MATCH(M32,'WORLDCUP'!$AH$4:$AH$147,0))),"",INDEX('WORLDCUP'!$AD$4:$AD$147,MATCH(M32,'WORLDCUP'!$AH$4:$AH$147,0)))</f>
        <v>3</v>
      </c>
      <c r="R32" t="str" s="604" cm="1">
        <f t="array" ref="R32">MID(INDEX('WORLDCUP'!$AF$4:$AF$147,MATCH(M32,'WORLDCUP'!$AH$4:$AH$147,0)),1,3)</f>
        <v>Arg</v>
      </c>
      <c r="S32" s="605"/>
      <c r="T32" s="606"/>
      <c r="U32" s="607"/>
      <c r="V32" s="607"/>
      <c r="W32" s="608"/>
      <c r="X32" s="534"/>
      <c r="Y32" s="583"/>
      <c r="Z32" s="284"/>
      <c r="AA32" s="610"/>
      <c r="AB32" s="610"/>
      <c r="AC32" s="611"/>
      <c r="AD32" s="316"/>
      <c r="AE32" s="541"/>
      <c r="AF32" s="541"/>
      <c r="AG32" s="591"/>
      <c r="AH32" s="586">
        <v>99</v>
      </c>
      <c r="AI32" t="str" s="599" cm="1">
        <f t="array" ref="AI32">MID(INDEX('WORLDCUP'!$AF$101:$AF$147,MATCH(AH32,'WORLDCUP'!$Z$101:$Z$147,0)),1,3)</f>
        <v>W92</v>
      </c>
      <c r="AJ32" t="str" s="600" cm="1">
        <f t="array" ref="AJ32">IF(ISBLANK(INDEX('WORLDCUP'!$AD$101:$AD$147,MATCH(AH32,'WORLDCUP'!$Z$101:$Z$147,0))),"",INDEX('WORLDCUP'!$AD$101:$AD$147,MATCH(AH32,'WORLDCUP'!$Z$101:$Z$147,0)))</f>
      </c>
      <c r="AK32" t="str" s="612" cm="1">
        <f t="array" ref="AK32">IF(ISBLANK(INDEX('WORLDCUP'!$AE$101:$AE$147,MATCH(AH32,'WORLDCUP'!$Z$101:$Z$147,0))),"","( "&amp;INDEX('WORLDCUP'!$AE$101:$AE$147,MATCH(AH32,'WORLDCUP'!$Z$101:$Z$147,0))&amp;" )")</f>
      </c>
      <c r="AL32" s="588"/>
      <c r="AM32" s="543"/>
      <c r="AN32" s="543"/>
      <c r="AO32" s="641"/>
      <c r="AP32" s="698">
        <v>103</v>
      </c>
      <c r="AQ32" t="str" s="688" cm="1">
        <f t="array" ref="AQ32">MID(INDEX('WORLDCUP'!$AF$101:$AF$147,MATCH(AP32,'WORLDCUP'!$Z$101:$Z$147,0)),1,4)</f>
        <v>L102</v>
      </c>
      <c r="AR32" t="str" s="689" cm="1">
        <f t="array" ref="AR32">IF(ISBLANK(INDEX('WORLDCUP'!$AD$101:$AD$147,MATCH(AP32,'WORLDCUP'!$Z$101:$Z$147,0))),"",INDEX('WORLDCUP'!$AD$101:$AD$147,MATCH(AP32,'WORLDCUP'!$Z$101:$Z$147,0)))</f>
      </c>
      <c r="AS32" t="str" s="699" cm="1">
        <f t="array" ref="AS32">IF(ISBLANK(INDEX('WORLDCUP'!$AE$101:$AE$147,MATCH(AP32,'WORLDCUP'!$Z$101:$Z$147,0))),"","( "&amp;INDEX('WORLDCUP'!$AE$101:$AE$147,MATCH(AP32,'WORLDCUP'!$Z$101:$Z$147,0))&amp;" )")</f>
      </c>
      <c r="AT32" s="700"/>
      <c r="AU32" s="701"/>
      <c r="AV32" s="701"/>
      <c r="AW32" s="701"/>
      <c r="AX32" s="700"/>
      <c r="AY32" s="702"/>
      <c r="AZ32" s="702"/>
      <c r="BA32" s="702"/>
      <c r="BB32" s="702"/>
      <c r="BC32" s="702"/>
      <c r="BD32" s="8"/>
      <c r="BE32" s="8"/>
      <c r="BF32" s="546"/>
      <c r="BG32" t="s" s="575">
        <v>274</v>
      </c>
      <c r="BH32" s="576" cm="1">
        <f t="array" ref="BH32">1-SUM(BI32:BO32)</f>
        <v>1</v>
      </c>
      <c r="BI32" s="576" cm="1">
        <f t="array" ref="BI32">COUNTIF('Pool'!$C$130:$C$161,BG32)-BJ32-BK32-BL32-BM32-BN32-BO32</f>
        <v>0</v>
      </c>
      <c r="BJ32" s="577" cm="1">
        <f t="array" ref="BJ32">COUNTIF('Pool'!$C$182:$C$197,BG32)-BK32-BL32-BM32-BN32-BO32</f>
        <v>0</v>
      </c>
      <c r="BK32" s="578" cm="1">
        <f t="array" ref="BK32">COUNTIF('Pool'!$C$210:$C$217,BG32)-BL32-BM32-BN32-BO32</f>
        <v>0</v>
      </c>
      <c r="BL32" s="578" cm="1">
        <f t="array" ref="BL32">COUNTIF('Pool'!$C$226:$C$229,BG32)-BM32-BN32-BO32</f>
        <v>0</v>
      </c>
      <c r="BM32" s="576" cm="1">
        <f t="array" ref="BM32">COUNTIF('Pool'!$C$252,BG32)</f>
        <v>0</v>
      </c>
      <c r="BN32" s="576" cm="1">
        <f t="array" ref="BN32">COUNTIF('Pool'!$C$251,BG32)</f>
        <v>0</v>
      </c>
      <c r="BO32" s="579" cm="1">
        <f t="array" ref="BO32">COUNTIF('Pool'!$C$250,BG32)</f>
        <v>0</v>
      </c>
    </row>
    <row r="33" ht="16" customHeight="1">
      <c r="A33" s="7"/>
      <c r="B33" s="614"/>
      <c r="C33" s="615"/>
      <c r="D33" s="616"/>
      <c r="E33" s="616"/>
      <c r="F33" s="617"/>
      <c r="G33" s="617"/>
      <c r="H33" s="615"/>
      <c r="I33" s="617"/>
      <c r="J33" s="617"/>
      <c r="K33" s="617"/>
      <c r="L33" s="316"/>
      <c r="M33" s="8"/>
      <c r="N33" s="617"/>
      <c r="O33" s="615"/>
      <c r="P33" s="616"/>
      <c r="Q33" s="616"/>
      <c r="R33" s="617"/>
      <c r="S33" s="617"/>
      <c r="T33" s="615"/>
      <c r="U33" s="617"/>
      <c r="V33" s="617"/>
      <c r="W33" s="617"/>
      <c r="X33" s="8"/>
      <c r="Y33" s="618">
        <v>79</v>
      </c>
      <c r="Z33" t="s" s="536">
        <v>137</v>
      </c>
      <c r="AA33" t="str" s="537" cm="1">
        <f t="array" ref="AA33">MID(INDEX('WORLDCUP'!$AA$101:$AA$147,MATCH(Y33,'WORLDCUP'!$Z$101:$Z$147,0)),1,3)</f>
        <v>Méx</v>
      </c>
      <c r="AB33" t="str" s="538" cm="1">
        <f t="array" ref="AB33">IF(ISBLANK(INDEX('WORLDCUP'!$AC$101:$AC$147,MATCH(Y33,'WORLDCUP'!$Z$101:$Z$147,0))),"",INDEX('WORLDCUP'!$AC$101:$AC$147,MATCH(Y33,'WORLDCUP'!$Z$101:$Z$147,0)))</f>
      </c>
      <c r="AC33" t="str" s="619" cm="1">
        <f t="array" ref="AC33">IF(ISBLANK(INDEX('WORLDCUP'!$AB$101:$AB$147,MATCH(Y33,'WORLDCUP'!$Z$101:$Z$147,0))),"","( "&amp;INDEX('WORLDCUP'!$AB$101:$AB$147,MATCH(Y33,'WORLDCUP'!$Z$101:$Z$147,0))&amp;" )")</f>
      </c>
      <c r="AD33" s="83"/>
      <c r="AE33" s="540"/>
      <c r="AF33" s="540"/>
      <c r="AG33" s="591"/>
      <c r="AH33" s="588"/>
      <c r="AI33" s="620"/>
      <c r="AJ33" s="620"/>
      <c r="AK33" s="621"/>
      <c r="AL33" s="613"/>
      <c r="AM33" s="543"/>
      <c r="AN33" s="543"/>
      <c r="AO33" s="641"/>
      <c r="AP33" s="588"/>
      <c r="AQ33" s="703"/>
      <c r="AR33" s="703"/>
      <c r="AS33" s="573"/>
      <c r="AT33" s="316"/>
      <c r="AU33" s="545"/>
      <c r="AV33" s="545"/>
      <c r="AW33" s="545"/>
      <c r="AX33" s="316"/>
      <c r="AY33" s="8"/>
      <c r="AZ33" s="8"/>
      <c r="BA33" s="8"/>
      <c r="BB33" s="8"/>
      <c r="BC33" s="8"/>
      <c r="BD33" s="8"/>
      <c r="BE33" s="8"/>
      <c r="BF33" s="546"/>
      <c r="BG33" t="s" s="575">
        <v>379</v>
      </c>
      <c r="BH33" s="576" cm="1">
        <f t="array" ref="BH33">1-SUM(BI33:BO33)</f>
        <v>1</v>
      </c>
      <c r="BI33" s="576" cm="1">
        <f t="array" ref="BI33">COUNTIF('Pool'!$C$130:$C$161,BG33)-BJ33-BK33-BL33-BM33-BN33-BO33</f>
        <v>0</v>
      </c>
      <c r="BJ33" s="577" cm="1">
        <f t="array" ref="BJ33">COUNTIF('Pool'!$C$182:$C$197,BG33)-BK33-BL33-BM33-BN33-BO33</f>
        <v>0</v>
      </c>
      <c r="BK33" s="578" cm="1">
        <f t="array" ref="BK33">COUNTIF('Pool'!$C$210:$C$217,BG33)-BL33-BM33-BN33-BO33</f>
        <v>0</v>
      </c>
      <c r="BL33" s="578" cm="1">
        <f t="array" ref="BL33">COUNTIF('Pool'!$C$226:$C$229,BG33)-BM33-BN33-BO33</f>
        <v>0</v>
      </c>
      <c r="BM33" s="576" cm="1">
        <f t="array" ref="BM33">COUNTIF('Pool'!$C$252,BG33)</f>
        <v>0</v>
      </c>
      <c r="BN33" s="576" cm="1">
        <f t="array" ref="BN33">COUNTIF('Pool'!$C$251,BG33)</f>
        <v>0</v>
      </c>
      <c r="BO33" s="579" cm="1">
        <f t="array" ref="BO33">COUNTIF('Pool'!$C$250,BG33)</f>
        <v>0</v>
      </c>
    </row>
    <row r="34" ht="16" customHeight="1">
      <c r="A34" s="7"/>
      <c r="B34" s="513"/>
      <c r="C34" s="622"/>
      <c r="D34" s="623"/>
      <c r="E34" s="623"/>
      <c r="F34" s="124"/>
      <c r="G34" s="124"/>
      <c r="H34" s="622"/>
      <c r="I34" s="124"/>
      <c r="J34" s="124"/>
      <c r="K34" s="124"/>
      <c r="L34" s="316"/>
      <c r="M34" s="8"/>
      <c r="N34" s="124"/>
      <c r="O34" s="622"/>
      <c r="P34" s="623"/>
      <c r="Q34" s="623"/>
      <c r="R34" s="124"/>
      <c r="S34" s="124"/>
      <c r="T34" s="622"/>
      <c r="U34" s="124"/>
      <c r="V34" s="124"/>
      <c r="W34" s="124"/>
      <c r="X34" s="8"/>
      <c r="Y34" s="618">
        <v>79</v>
      </c>
      <c r="Z34" t="s" s="536">
        <v>572</v>
      </c>
      <c r="AA34" t="str" s="537" cm="1">
        <f t="array" ref="AA34">MID(INDEX('WORLDCUP'!$AF$101:$AF$147,MATCH(Y34,'WORLDCUP'!$Z$101:$Z$147,0)),1,IF('WORLDCUP'!$H$113&lt;144,6,3))</f>
        <v>3CE</v>
      </c>
      <c r="AB34" t="str" s="538" cm="1">
        <f t="array" ref="AB34">IF(ISBLANK(INDEX('WORLDCUP'!$AD$101:$AD$147,MATCH(Y34,'WORLDCUP'!$Z$101:$Z$147,0))),"",INDEX('WORLDCUP'!$AD$101:$AD$147,MATCH(Y34,'WORLDCUP'!$Z$101:$Z$147,0)))</f>
      </c>
      <c r="AC34" t="str" s="567" cm="1">
        <f t="array" ref="AC34">IF(ISBLANK(INDEX('WORLDCUP'!$AE$101:$AE$147,MATCH(Y34,'WORLDCUP'!$Z$101:$Z$147,0))),"","( "&amp;INDEX('WORLDCUP'!$AE$101:$AE$147,MATCH(Y34,'WORLDCUP'!$Z$101:$Z$147,0))&amp;" )")</f>
      </c>
      <c r="AD34" s="568">
        <v>92</v>
      </c>
      <c r="AE34" t="str" s="569" cm="1">
        <f t="array" ref="AE34">MID(INDEX('WORLDCUP'!$AA$101:$AA$147,MATCH(AD34,'WORLDCUP'!$Z$101:$Z$147,0)),1,3)</f>
        <v>W79</v>
      </c>
      <c r="AF34" t="str" s="570" cm="1">
        <f t="array" ref="AF34">IF(ISBLANK(INDEX('WORLDCUP'!$AC$101:$AC$147,MATCH(AD34,'WORLDCUP'!$Z$101:$Z$147,0))),"",INDEX('WORLDCUP'!$AC$101:$AC$147,MATCH(AD34,'WORLDCUP'!$Z$101:$Z$147,0)))</f>
      </c>
      <c r="AG34" t="str" s="624" cm="1">
        <f t="array" ref="AG34">IF(ISBLANK(INDEX('WORLDCUP'!$AB$101:$AB$147,MATCH(AD34,'WORLDCUP'!$Z$101:$Z$147,0))),"","( "&amp;INDEX('WORLDCUP'!$AB$101:$AB$147,MATCH(AD34,'WORLDCUP'!$Z$101:$Z$147,0))&amp;" )")</f>
      </c>
      <c r="AH34" s="588"/>
      <c r="AI34" s="572"/>
      <c r="AJ34" s="572"/>
      <c r="AK34" s="621"/>
      <c r="AL34" s="613"/>
      <c r="AM34" s="543"/>
      <c r="AN34" s="543"/>
      <c r="AO34" s="641"/>
      <c r="AP34" s="588"/>
      <c r="AQ34" s="573"/>
      <c r="AR34" s="573"/>
      <c r="AS34" s="573"/>
      <c r="AT34" s="316"/>
      <c r="AU34" s="545"/>
      <c r="AV34" s="545"/>
      <c r="AW34" s="545"/>
      <c r="AX34" s="316"/>
      <c r="AY34" s="8"/>
      <c r="AZ34" s="8"/>
      <c r="BA34" s="8"/>
      <c r="BB34" s="8"/>
      <c r="BC34" s="8"/>
      <c r="BD34" s="8"/>
      <c r="BE34" s="8"/>
      <c r="BF34" s="546"/>
      <c r="BG34" t="s" s="575">
        <v>207</v>
      </c>
      <c r="BH34" s="576" cm="1">
        <f t="array" ref="BH34">1-SUM(BI34:BO34)</f>
        <v>1</v>
      </c>
      <c r="BI34" s="576" cm="1">
        <f t="array" ref="BI34">COUNTIF('Pool'!$C$130:$C$161,BG34)-BJ34-BK34-BL34-BM34-BN34-BO34</f>
        <v>0</v>
      </c>
      <c r="BJ34" s="577" cm="1">
        <f t="array" ref="BJ34">COUNTIF('Pool'!$C$182:$C$197,BG34)-BK34-BL34-BM34-BN34-BO34</f>
        <v>0</v>
      </c>
      <c r="BK34" s="578" cm="1">
        <f t="array" ref="BK34">COUNTIF('Pool'!$C$210:$C$217,BG34)-BL34-BM34-BN34-BO34</f>
        <v>0</v>
      </c>
      <c r="BL34" s="578" cm="1">
        <f t="array" ref="BL34">COUNTIF('Pool'!$C$226:$C$229,BG34)-BM34-BN34-BO34</f>
        <v>0</v>
      </c>
      <c r="BM34" s="576" cm="1">
        <f t="array" ref="BM34">COUNTIF('Pool'!$C$252,BG34)</f>
        <v>0</v>
      </c>
      <c r="BN34" s="576" cm="1">
        <f t="array" ref="BN34">COUNTIF('Pool'!$C$251,BG34)</f>
        <v>0</v>
      </c>
      <c r="BO34" s="579" cm="1">
        <f t="array" ref="BO34">COUNTIF('Pool'!$C$250,BG34)</f>
        <v>0</v>
      </c>
    </row>
    <row r="35" ht="15" customHeight="1">
      <c r="A35" s="521">
        <v>10</v>
      </c>
      <c r="B35" t="s" s="704">
        <v>64</v>
      </c>
      <c r="C35" t="str" s="523" cm="1">
        <f t="array" ref="C35">MID(INDEX('WORLDCUP'!$AA$4:$AA$147,MATCH(A35,'WORLDCUP'!$AH$4:$AH$147,0)),1,3)</f>
        <v>Ale</v>
      </c>
      <c r="D35" s="524" cm="1">
        <f t="array" ref="D35">IF(ISBLANK(INDEX('WORLDCUP'!$AC$4:$AC$147,MATCH(A35,'WORLDCUP'!$AH$4:$AH$147,0))),"",INDEX('WORLDCUP'!$AC$4:$AC$147,MATCH(A35,'WORLDCUP'!$AH$4:$AH$147,0)))</f>
        <v>3</v>
      </c>
      <c r="E35" s="524" cm="1">
        <f t="array" ref="E35">IF(ISBLANK(INDEX('WORLDCUP'!$AD$4:$AD$147,MATCH(A35,'WORLDCUP'!$AH$4:$AH$147,0))),"",INDEX('WORLDCUP'!$AD$4:$AD$147,MATCH(A35,'WORLDCUP'!$AH$4:$AH$147,0)))</f>
        <v>0</v>
      </c>
      <c r="F35" t="str" s="525" cm="1">
        <f t="array" ref="F35">MID(INDEX('WORLDCUP'!$AF$4:$AF$147,MATCH(A35,'WORLDCUP'!$AH$4:$AH$147,0)),1,3)</f>
        <v>Cur</v>
      </c>
      <c r="G35" s="526"/>
      <c r="H35" t="str" s="527" cm="1">
        <f t="array" ref="H35">H27</f>
        <v>Sel</v>
      </c>
      <c r="I35" t="str" s="529" cm="1">
        <f t="array" ref="I35">I27</f>
        <v>Pts</v>
      </c>
      <c r="J35" t="str" s="529" cm="1">
        <f t="array" ref="J35">J27</f>
        <v>DG</v>
      </c>
      <c r="K35" t="str" s="530" cm="1">
        <f t="array" ref="K35">K27</f>
        <v>GF-GC</v>
      </c>
      <c r="L35" s="531"/>
      <c r="M35" s="532">
        <v>23</v>
      </c>
      <c r="N35" t="s" s="705">
        <v>385</v>
      </c>
      <c r="O35" t="str" s="523" cm="1">
        <f t="array" ref="O35">MID(INDEX('WORLDCUP'!$AA$4:$AA$147,MATCH(M35,'WORLDCUP'!$AH$4:$AH$147,0)),1,3)</f>
        <v>Por</v>
      </c>
      <c r="P35" s="524" cm="1">
        <f t="array" ref="P35">IF(ISBLANK(INDEX('WORLDCUP'!$AC$4:$AC$147,MATCH(M35,'WORLDCUP'!$AH$4:$AH$147,0))),"",INDEX('WORLDCUP'!$AC$4:$AC$147,MATCH(M35,'WORLDCUP'!$AH$4:$AH$147,0)))</f>
        <v>2</v>
      </c>
      <c r="Q35" s="524" cm="1">
        <f t="array" ref="Q35">IF(ISBLANK(INDEX('WORLDCUP'!$AD$4:$AD$147,MATCH(M35,'WORLDCUP'!$AH$4:$AH$147,0))),"",INDEX('WORLDCUP'!$AD$4:$AD$147,MATCH(M35,'WORLDCUP'!$AH$4:$AH$147,0)))</f>
        <v>0</v>
      </c>
      <c r="R35" t="str" s="525" cm="1">
        <f t="array" ref="R35">MID(INDEX('WORLDCUP'!$AF$4:$AF$147,MATCH(M35,'WORLDCUP'!$AH$4:$AH$147,0)),1,3)</f>
        <v>RD </v>
      </c>
      <c r="S35" s="526"/>
      <c r="T35" t="str" s="527" cm="1">
        <f t="array" ref="T35">T27</f>
        <v>Sel</v>
      </c>
      <c r="U35" t="str" s="529" cm="1">
        <f t="array" ref="U35">U27</f>
        <v>Pts</v>
      </c>
      <c r="V35" t="str" s="529" cm="1">
        <f t="array" ref="V35">V27</f>
        <v>DG</v>
      </c>
      <c r="W35" t="str" s="530" cm="1">
        <f t="array" ref="W35">W27</f>
        <v>GF-GC</v>
      </c>
      <c r="X35" s="534"/>
      <c r="Y35" s="583"/>
      <c r="Z35" s="284"/>
      <c r="AA35" s="584"/>
      <c r="AB35" s="584"/>
      <c r="AC35" s="585"/>
      <c r="AD35" s="586">
        <v>92</v>
      </c>
      <c r="AE35" t="str" s="569" cm="1">
        <f t="array" ref="AE35">MID(INDEX('WORLDCUP'!$AF$101:$AF$147,MATCH(AD35,'WORLDCUP'!$Z$101:$Z$147,0)),1,3)</f>
        <v>W80</v>
      </c>
      <c r="AF35" t="str" s="570" cm="1">
        <f t="array" ref="AF35">IF(ISBLANK(INDEX('WORLDCUP'!$AD$101:$AD$147,MATCH(AD35,'WORLDCUP'!$Z$101:$Z$147,0))),"",INDEX('WORLDCUP'!$AD$101:$AD$147,MATCH(AD35,'WORLDCUP'!$Z$101:$Z$147,0)))</f>
      </c>
      <c r="AG35" t="str" s="629" cm="1">
        <f t="array" ref="AG35">IF(ISBLANK(INDEX('WORLDCUP'!$AE$101:$AE$147,MATCH(AD35,'WORLDCUP'!$Z$101:$Z$147,0))),"","( "&amp;INDEX('WORLDCUP'!$AE$101:$AE$147,MATCH(AD35,'WORLDCUP'!$Z$101:$Z$147,0))&amp;" )")</f>
      </c>
      <c r="AH35" s="316"/>
      <c r="AI35" s="572"/>
      <c r="AJ35" s="572"/>
      <c r="AK35" s="621"/>
      <c r="AL35" s="613"/>
      <c r="AM35" s="543"/>
      <c r="AN35" s="706"/>
      <c r="AO35" s="641"/>
      <c r="AP35" s="613"/>
      <c r="AQ35" s="573"/>
      <c r="AR35" s="573"/>
      <c r="AS35" s="573"/>
      <c r="AT35" s="316"/>
      <c r="AU35" s="545"/>
      <c r="AV35" s="545"/>
      <c r="AW35" s="545"/>
      <c r="AX35" s="316"/>
      <c r="AY35" s="8"/>
      <c r="AZ35" s="8"/>
      <c r="BA35" s="8"/>
      <c r="BB35" s="8"/>
      <c r="BC35" s="8"/>
      <c r="BD35" s="8"/>
      <c r="BE35" s="8"/>
      <c r="BF35" s="546"/>
      <c r="BG35" t="s" s="575">
        <v>55</v>
      </c>
      <c r="BH35" s="576" cm="1">
        <f t="array" ref="BH35">1-SUM(BI35:BO35)</f>
        <v>0</v>
      </c>
      <c r="BI35" s="576" cm="1">
        <f t="array" ref="BI35">COUNTIF('Pool'!$C$130:$C$161,BG35)-BJ35-BK35-BL35-BM35-BN35-BO35</f>
        <v>1</v>
      </c>
      <c r="BJ35" s="577" cm="1">
        <f t="array" ref="BJ35">COUNTIF('Pool'!$C$182:$C$197,BG35)-BK35-BL35-BM35-BN35-BO35</f>
        <v>0</v>
      </c>
      <c r="BK35" s="578" cm="1">
        <f t="array" ref="BK35">COUNTIF('Pool'!$C$210:$C$217,BG35)-BL35-BM35-BN35-BO35</f>
        <v>0</v>
      </c>
      <c r="BL35" s="578" cm="1">
        <f t="array" ref="BL35">COUNTIF('Pool'!$C$226:$C$229,BG35)-BM35-BN35-BO35</f>
        <v>0</v>
      </c>
      <c r="BM35" s="576" cm="1">
        <f t="array" ref="BM35">COUNTIF('Pool'!$C$252,BG35)</f>
        <v>0</v>
      </c>
      <c r="BN35" s="576" cm="1">
        <f t="array" ref="BN35">COUNTIF('Pool'!$C$251,BG35)</f>
        <v>0</v>
      </c>
      <c r="BO35" s="579" cm="1">
        <f t="array" ref="BO35">COUNTIF('Pool'!$C$250,BG35)</f>
        <v>0</v>
      </c>
    </row>
    <row r="36" ht="16" customHeight="1">
      <c r="A36" s="521">
        <v>9</v>
      </c>
      <c r="B36" s="707"/>
      <c r="C36" t="str" s="557" cm="1">
        <f t="array" ref="C36">MID(INDEX('WORLDCUP'!$AA$4:$AA$147,MATCH(A36,'WORLDCUP'!$AH$4:$AH$147,0)),1,3)</f>
        <v>Cos</v>
      </c>
      <c r="D36" s="128" cm="1">
        <f t="array" ref="D36">IF(ISBLANK(INDEX('WORLDCUP'!$AC$4:$AC$147,MATCH(A36,'WORLDCUP'!$AH$4:$AH$147,0))),"",INDEX('WORLDCUP'!$AC$4:$AC$147,MATCH(A36,'WORLDCUP'!$AH$4:$AH$147,0)))</f>
        <v>1</v>
      </c>
      <c r="E36" s="128" cm="1">
        <f t="array" ref="E36">IF(ISBLANK(INDEX('WORLDCUP'!$AD$4:$AD$147,MATCH(A36,'WORLDCUP'!$AH$4:$AH$147,0))),"",INDEX('WORLDCUP'!$AD$4:$AD$147,MATCH(A36,'WORLDCUP'!$AH$4:$AH$147,0)))</f>
        <v>3</v>
      </c>
      <c r="F36" t="str" s="558" cm="1">
        <f t="array" ref="F36">MID(INDEX('WORLDCUP'!$AF$4:$AF$147,MATCH(A36,'WORLDCUP'!$AH$4:$AH$147,0)),1,3)</f>
        <v>Ecu</v>
      </c>
      <c r="G36" s="559">
        <v>1</v>
      </c>
      <c r="H36" t="str" s="560" cm="1">
        <f t="array" ref="H36">MID(INDEX('WORLDCUP'!$AL$6:$AL$97,MATCH(L36,'WORLDCUP'!$AI$6:$AI$97,0)),1,3)</f>
        <v>Ale</v>
      </c>
      <c r="I36" s="561" cm="1">
        <f t="array" ref="I36">INDEX('WORLDCUP'!$AM$6:$AM$97,MATCH(L36,'WORLDCUP'!$AI$6:$AI$97,0))</f>
        <v>9</v>
      </c>
      <c r="J36" s="562" cm="1">
        <f t="array" ref="J36">INDEX('WORLDCUP'!$AT$6:$AT$97,MATCH(L36,'WORLDCUP'!$AI$6:$AI$97,0))</f>
        <v>6</v>
      </c>
      <c r="K36" t="str" s="563" cm="1">
        <f t="array" ref="K36">INDEX('WORLDCUP'!$AR$6:$AR$97,MATCH(L36,'WORLDCUP'!$AI$6:$AI$97,0))&amp;"-"&amp;INDEX('WORLDCUP'!$AS$6:$AS$97,MATCH(L36,'WORLDCUP'!$AI$6:$AI$97,0))</f>
        <v>7-1</v>
      </c>
      <c r="L36" t="s" s="564">
        <v>249</v>
      </c>
      <c r="M36" s="532">
        <v>24</v>
      </c>
      <c r="N36" s="708"/>
      <c r="O36" t="str" s="557" cm="1">
        <f t="array" ref="O36">MID(INDEX('WORLDCUP'!$AA$4:$AA$147,MATCH(M36,'WORLDCUP'!$AH$4:$AH$147,0)),1,3)</f>
        <v>Uzb</v>
      </c>
      <c r="P36" s="128" cm="1">
        <f t="array" ref="P36">IF(ISBLANK(INDEX('WORLDCUP'!$AC$4:$AC$147,MATCH(M36,'WORLDCUP'!$AH$4:$AH$147,0))),"",INDEX('WORLDCUP'!$AC$4:$AC$147,MATCH(M36,'WORLDCUP'!$AH$4:$AH$147,0)))</f>
        <v>0</v>
      </c>
      <c r="Q36" s="128" cm="1">
        <f t="array" ref="Q36">IF(ISBLANK(INDEX('WORLDCUP'!$AD$4:$AD$147,MATCH(M36,'WORLDCUP'!$AH$4:$AH$147,0))),"",INDEX('WORLDCUP'!$AD$4:$AD$147,MATCH(M36,'WORLDCUP'!$AH$4:$AH$147,0)))</f>
        <v>1</v>
      </c>
      <c r="R36" t="str" s="558" cm="1">
        <f t="array" ref="R36">MID(INDEX('WORLDCUP'!$AF$4:$AF$147,MATCH(M36,'WORLDCUP'!$AH$4:$AH$147,0)),1,3)</f>
        <v>Col</v>
      </c>
      <c r="S36" s="559">
        <v>1</v>
      </c>
      <c r="T36" t="str" s="560" cm="1">
        <f t="array" ref="T36">MID(INDEX('WORLDCUP'!$AL$6:$AL$97,MATCH(X36,'WORLDCUP'!$AI$6:$AI$97,0)),1,3)</f>
        <v>Por</v>
      </c>
      <c r="U36" s="561" cm="1">
        <f t="array" ref="U36">INDEX('WORLDCUP'!$AM$6:$AM$97,MATCH(X36,'WORLDCUP'!$AI$6:$AI$97,0))</f>
        <v>9</v>
      </c>
      <c r="V36" s="562" cm="1">
        <f t="array" ref="V36">INDEX('WORLDCUP'!$AT$6:$AT$97,MATCH(X36,'WORLDCUP'!$AI$6:$AI$97,0))</f>
        <v>4</v>
      </c>
      <c r="W36" t="str" s="563" cm="1">
        <f t="array" ref="W36">INDEX('WORLDCUP'!$AR$6:$AR$97,MATCH(X36,'WORLDCUP'!$AI$6:$AI$97,0))&amp;"-"&amp;INDEX('WORLDCUP'!$AS$6:$AS$97,MATCH(X36,'WORLDCUP'!$AI$6:$AI$97,0))</f>
        <v>6-2</v>
      </c>
      <c r="X36" t="s" s="566">
        <v>388</v>
      </c>
      <c r="Y36" s="535">
        <v>80</v>
      </c>
      <c r="Z36" t="s" s="536">
        <v>411</v>
      </c>
      <c r="AA36" t="str" s="537" cm="1">
        <f t="array" ref="AA36">MID(INDEX('WORLDCUP'!$AA$101:$AA$147,MATCH(Y36,'WORLDCUP'!$Z$101:$Z$147,0)),1,3)</f>
        <v>Ing</v>
      </c>
      <c r="AB36" t="str" s="538" cm="1">
        <f t="array" ref="AB36">IF(ISBLANK(INDEX('WORLDCUP'!$AC$101:$AC$147,MATCH(Y36,'WORLDCUP'!$Z$101:$Z$147,0))),"",INDEX('WORLDCUP'!$AC$101:$AC$147,MATCH(Y36,'WORLDCUP'!$Z$101:$Z$147,0)))</f>
      </c>
      <c r="AC36" t="str" s="632" cm="1">
        <f t="array" ref="AC36">IF(ISBLANK(INDEX('WORLDCUP'!$AB$101:$AB$147,MATCH(Y36,'WORLDCUP'!$Z$101:$Z$147,0))),"","( "&amp;INDEX('WORLDCUP'!$AB$101:$AB$147,MATCH(Y36,'WORLDCUP'!$Z$101:$Z$147,0))&amp;" )")</f>
      </c>
      <c r="AD36" s="588"/>
      <c r="AE36" s="633"/>
      <c r="AF36" s="633"/>
      <c r="AG36" s="541"/>
      <c r="AH36" s="316"/>
      <c r="AI36" s="572"/>
      <c r="AJ36" s="572"/>
      <c r="AK36" s="621"/>
      <c r="AL36" s="613"/>
      <c r="AM36" s="634"/>
      <c r="AN36" s="634"/>
      <c r="AO36" s="641"/>
      <c r="AP36" s="613"/>
      <c r="AQ36" s="573"/>
      <c r="AR36" s="573"/>
      <c r="AS36" s="573"/>
      <c r="AT36" s="316"/>
      <c r="AU36" s="545"/>
      <c r="AV36" s="545"/>
      <c r="AW36" s="545"/>
      <c r="AX36" s="316"/>
      <c r="AY36" s="8"/>
      <c r="AZ36" s="8"/>
      <c r="BA36" s="8"/>
      <c r="BB36" s="8"/>
      <c r="BC36" s="8"/>
      <c r="BD36" s="8"/>
      <c r="BE36" s="8"/>
      <c r="BF36" s="546"/>
      <c r="BG36" t="s" s="575">
        <v>358</v>
      </c>
      <c r="BH36" s="576" cm="1">
        <f t="array" ref="BH36">1-SUM(BI36:BO36)</f>
        <v>1</v>
      </c>
      <c r="BI36" s="576" cm="1">
        <f t="array" ref="BI36">COUNTIF('Pool'!$C$130:$C$161,BG36)-BJ36-BK36-BL36-BM36-BN36-BO36</f>
        <v>0</v>
      </c>
      <c r="BJ36" s="577" cm="1">
        <f t="array" ref="BJ36">COUNTIF('Pool'!$C$182:$C$197,BG36)-BK36-BL36-BM36-BN36-BO36</f>
        <v>0</v>
      </c>
      <c r="BK36" s="578" cm="1">
        <f t="array" ref="BK36">COUNTIF('Pool'!$C$210:$C$217,BG36)-BL36-BM36-BN36-BO36</f>
        <v>0</v>
      </c>
      <c r="BL36" s="578" cm="1">
        <f t="array" ref="BL36">COUNTIF('Pool'!$C$226:$C$229,BG36)-BM36-BN36-BO36</f>
        <v>0</v>
      </c>
      <c r="BM36" s="576" cm="1">
        <f t="array" ref="BM36">COUNTIF('Pool'!$C$252,BG36)</f>
        <v>0</v>
      </c>
      <c r="BN36" s="576" cm="1">
        <f t="array" ref="BN36">COUNTIF('Pool'!$C$251,BG36)</f>
        <v>0</v>
      </c>
      <c r="BO36" s="579" cm="1">
        <f t="array" ref="BO36">COUNTIF('Pool'!$C$250,BG36)</f>
        <v>0</v>
      </c>
    </row>
    <row r="37" ht="16" customHeight="1">
      <c r="A37" s="521">
        <v>33</v>
      </c>
      <c r="B37" s="707"/>
      <c r="C37" t="str" s="557" cm="1">
        <f t="array" ref="C37">MID(INDEX('WORLDCUP'!$AA$4:$AA$147,MATCH(A37,'WORLDCUP'!$AH$4:$AH$147,0)),1,3)</f>
        <v>Ale</v>
      </c>
      <c r="D37" s="128" cm="1">
        <f t="array" ref="D37">IF(ISBLANK(INDEX('WORLDCUP'!$AC$4:$AC$147,MATCH(A37,'WORLDCUP'!$AH$4:$AH$147,0))),"",INDEX('WORLDCUP'!$AC$4:$AC$147,MATCH(A37,'WORLDCUP'!$AH$4:$AH$147,0)))</f>
        <v>2</v>
      </c>
      <c r="E37" s="128" cm="1">
        <f t="array" ref="E37">IF(ISBLANK(INDEX('WORLDCUP'!$AD$4:$AD$147,MATCH(A37,'WORLDCUP'!$AH$4:$AH$147,0))),"",INDEX('WORLDCUP'!$AD$4:$AD$147,MATCH(A37,'WORLDCUP'!$AH$4:$AH$147,0)))</f>
        <v>0</v>
      </c>
      <c r="F37" t="str" s="558" cm="1">
        <f t="array" ref="F37">MID(INDEX('WORLDCUP'!$AF$4:$AF$147,MATCH(A37,'WORLDCUP'!$AH$4:$AH$147,0)),1,3)</f>
        <v>Cos</v>
      </c>
      <c r="G37" s="580">
        <v>2</v>
      </c>
      <c r="H37" t="str" s="581" cm="1">
        <f t="array" ref="H37">MID(INDEX('WORLDCUP'!$AL$6:$AL$97,MATCH(L37,'WORLDCUP'!$AI$6:$AI$97,0)),1,3)</f>
        <v>Cur</v>
      </c>
      <c r="I37" s="158" cm="1">
        <f t="array" ref="I37">INDEX('WORLDCUP'!$AM$6:$AM$97,MATCH(L37,'WORLDCUP'!$AI$6:$AI$97,0))</f>
        <v>0</v>
      </c>
      <c r="J37" s="159" cm="1">
        <f t="array" ref="J37">INDEX('WORLDCUP'!$AT$6:$AT$97,MATCH(L37,'WORLDCUP'!$AI$6:$AI$97,0))</f>
        <v>-7</v>
      </c>
      <c r="K37" t="str" s="582" cm="1">
        <f t="array" ref="K37">INDEX('WORLDCUP'!$AR$6:$AR$97,MATCH(L37,'WORLDCUP'!$AI$6:$AI$97,0))&amp;"-"&amp;INDEX('WORLDCUP'!$AS$6:$AS$97,MATCH(L37,'WORLDCUP'!$AI$6:$AI$97,0))</f>
        <v>1-8</v>
      </c>
      <c r="L37" t="s" s="564">
        <v>255</v>
      </c>
      <c r="M37" s="532">
        <v>47</v>
      </c>
      <c r="N37" s="708"/>
      <c r="O37" t="str" s="557" cm="1">
        <f t="array" ref="O37">MID(INDEX('WORLDCUP'!$AA$4:$AA$147,MATCH(M37,'WORLDCUP'!$AH$4:$AH$147,0)),1,3)</f>
        <v>Por</v>
      </c>
      <c r="P37" s="128" cm="1">
        <f t="array" ref="P37">IF(ISBLANK(INDEX('WORLDCUP'!$AC$4:$AC$147,MATCH(M37,'WORLDCUP'!$AH$4:$AH$147,0))),"",INDEX('WORLDCUP'!$AC$4:$AC$147,MATCH(M37,'WORLDCUP'!$AH$4:$AH$147,0)))</f>
        <v>2</v>
      </c>
      <c r="Q37" s="128" cm="1">
        <f t="array" ref="Q37">IF(ISBLANK(INDEX('WORLDCUP'!$AD$4:$AD$147,MATCH(M37,'WORLDCUP'!$AH$4:$AH$147,0))),"",INDEX('WORLDCUP'!$AD$4:$AD$147,MATCH(M37,'WORLDCUP'!$AH$4:$AH$147,0)))</f>
        <v>1</v>
      </c>
      <c r="R37" t="str" s="558" cm="1">
        <f t="array" ref="R37">MID(INDEX('WORLDCUP'!$AF$4:$AF$147,MATCH(M37,'WORLDCUP'!$AH$4:$AH$147,0)),1,3)</f>
        <v>Uzb</v>
      </c>
      <c r="S37" s="580">
        <v>2</v>
      </c>
      <c r="T37" t="str" s="581" cm="1">
        <f t="array" ref="T37">MID(INDEX('WORLDCUP'!$AL$6:$AL$97,MATCH(X37,'WORLDCUP'!$AI$6:$AI$97,0)),1,3)</f>
        <v>RD </v>
      </c>
      <c r="U37" s="158" cm="1">
        <f t="array" ref="U37">INDEX('WORLDCUP'!$AM$6:$AM$97,MATCH(X37,'WORLDCUP'!$AI$6:$AI$97,0))</f>
        <v>1</v>
      </c>
      <c r="V37" s="159" cm="1">
        <f t="array" ref="V37">INDEX('WORLDCUP'!$AT$6:$AT$97,MATCH(X37,'WORLDCUP'!$AI$6:$AI$97,0))</f>
        <v>-4</v>
      </c>
      <c r="W37" t="str" s="582" cm="1">
        <f t="array" ref="W37">INDEX('WORLDCUP'!$AR$6:$AR$97,MATCH(X37,'WORLDCUP'!$AI$6:$AI$97,0))&amp;"-"&amp;INDEX('WORLDCUP'!$AS$6:$AS$97,MATCH(X37,'WORLDCUP'!$AI$6:$AI$97,0))</f>
        <v>0-4</v>
      </c>
      <c r="X37" t="s" s="566">
        <v>394</v>
      </c>
      <c r="Y37" s="535">
        <v>80</v>
      </c>
      <c r="Z37" t="s" s="536">
        <v>578</v>
      </c>
      <c r="AA37" t="str" s="537" cm="1">
        <f t="array" ref="AA37">MID(INDEX('WORLDCUP'!$AF$101:$AF$147,MATCH(Y37,'WORLDCUP'!$Z$101:$Z$147,0)),1,IF('WORLDCUP'!$H$113&lt;144,6,3))</f>
        <v>3EH</v>
      </c>
      <c r="AB37" t="str" s="538" cm="1">
        <f t="array" ref="AB37">IF(ISBLANK(INDEX('WORLDCUP'!$AD$101:$AD$147,MATCH(Y37,'WORLDCUP'!$Z$101:$Z$147,0))),"",INDEX('WORLDCUP'!$AD$101:$AD$147,MATCH(Y37,'WORLDCUP'!$Z$101:$Z$147,0)))</f>
      </c>
      <c r="AC37" t="str" s="635" cm="1">
        <f t="array" ref="AC37">IF(ISBLANK(INDEX('WORLDCUP'!$AE$101:$AE$147,MATCH(Y37,'WORLDCUP'!$Z$101:$Z$147,0))),"","( "&amp;INDEX('WORLDCUP'!$AE$101:$AE$147,MATCH(Y37,'WORLDCUP'!$Z$101:$Z$147,0))&amp;" )")</f>
      </c>
      <c r="AD37" s="316"/>
      <c r="AE37" s="541"/>
      <c r="AF37" s="541"/>
      <c r="AG37" s="541"/>
      <c r="AH37" s="316"/>
      <c r="AI37" s="572"/>
      <c r="AJ37" s="572"/>
      <c r="AK37" s="621"/>
      <c r="AL37" s="568">
        <v>102</v>
      </c>
      <c r="AM37" t="str" s="636" cm="1">
        <f t="array" ref="AM37">MID(INDEX('WORLDCUP'!$AA$101:$AA$147,MATCH(AL37,'WORLDCUP'!$Z$101:$Z$147,0)),1,3)</f>
        <v>W99</v>
      </c>
      <c r="AN37" t="str" s="637" cm="1">
        <f t="array" ref="AN37">IF(ISBLANK(INDEX('WORLDCUP'!$AC$101:$AC$147,MATCH(AL37,'WORLDCUP'!$Z$101:$Z$147,0))),"",INDEX('WORLDCUP'!$AC$101:$AC$147,MATCH(AL37,'WORLDCUP'!$Z$101:$Z$147,0)))</f>
      </c>
      <c r="AO37" t="str" s="709" cm="1">
        <f t="array" ref="AO37">IF(ISBLANK(INDEX('WORLDCUP'!$AB$101:$AB$147,MATCH(AL37,'WORLDCUP'!$Z$101:$Z$147,0))),"","( "&amp;INDEX('WORLDCUP'!$AB$101:$AB$147,MATCH(AL37,'WORLDCUP'!$Z$101:$Z$147,0))&amp;" )")</f>
      </c>
      <c r="AP37" s="588"/>
      <c r="AQ37" s="573"/>
      <c r="AR37" s="573"/>
      <c r="AS37" s="573"/>
      <c r="AT37" s="316"/>
      <c r="AU37" s="545"/>
      <c r="AV37" s="545"/>
      <c r="AW37" s="545"/>
      <c r="AX37" s="316"/>
      <c r="AY37" s="8"/>
      <c r="AZ37" s="8"/>
      <c r="BA37" s="8"/>
      <c r="BB37" s="8"/>
      <c r="BC37" s="8"/>
      <c r="BD37" s="8"/>
      <c r="BE37" s="8"/>
      <c r="BF37" s="546"/>
      <c r="BG37" t="s" s="575">
        <v>311</v>
      </c>
      <c r="BH37" s="576" cm="1">
        <f t="array" ref="BH37">1-SUM(BI37:BO37)</f>
        <v>1</v>
      </c>
      <c r="BI37" s="576" cm="1">
        <f t="array" ref="BI37">COUNTIF('Pool'!$C$130:$C$161,BG37)-BJ37-BK37-BL37-BM37-BN37-BO37</f>
        <v>0</v>
      </c>
      <c r="BJ37" s="577" cm="1">
        <f t="array" ref="BJ37">COUNTIF('Pool'!$C$182:$C$197,BG37)-BK37-BL37-BM37-BN37-BO37</f>
        <v>0</v>
      </c>
      <c r="BK37" s="578" cm="1">
        <f t="array" ref="BK37">COUNTIF('Pool'!$C$210:$C$217,BG37)-BL37-BM37-BN37-BO37</f>
        <v>0</v>
      </c>
      <c r="BL37" s="578" cm="1">
        <f t="array" ref="BL37">COUNTIF('Pool'!$C$226:$C$229,BG37)-BM37-BN37-BO37</f>
        <v>0</v>
      </c>
      <c r="BM37" s="576" cm="1">
        <f t="array" ref="BM37">COUNTIF('Pool'!$C$252,BG37)</f>
        <v>0</v>
      </c>
      <c r="BN37" s="576" cm="1">
        <f t="array" ref="BN37">COUNTIF('Pool'!$C$251,BG37)</f>
        <v>0</v>
      </c>
      <c r="BO37" s="579" cm="1">
        <f t="array" ref="BO37">COUNTIF('Pool'!$C$250,BG37)</f>
        <v>0</v>
      </c>
    </row>
    <row r="38" ht="15" customHeight="1">
      <c r="A38" s="521">
        <v>34</v>
      </c>
      <c r="B38" s="707"/>
      <c r="C38" t="str" s="557" cm="1">
        <f t="array" ref="C38">MID(INDEX('WORLDCUP'!$AA$4:$AA$147,MATCH(A38,'WORLDCUP'!$AH$4:$AH$147,0)),1,3)</f>
        <v>Ecu</v>
      </c>
      <c r="D38" s="128" cm="1">
        <f t="array" ref="D38">IF(ISBLANK(INDEX('WORLDCUP'!$AC$4:$AC$147,MATCH(A38,'WORLDCUP'!$AH$4:$AH$147,0))),"",INDEX('WORLDCUP'!$AC$4:$AC$147,MATCH(A38,'WORLDCUP'!$AH$4:$AH$147,0)))</f>
        <v>2</v>
      </c>
      <c r="E38" s="128" cm="1">
        <f t="array" ref="E38">IF(ISBLANK(INDEX('WORLDCUP'!$AD$4:$AD$147,MATCH(A38,'WORLDCUP'!$AH$4:$AH$147,0))),"",INDEX('WORLDCUP'!$AD$4:$AD$147,MATCH(A38,'WORLDCUP'!$AH$4:$AH$147,0)))</f>
        <v>0</v>
      </c>
      <c r="F38" t="str" s="558" cm="1">
        <f t="array" ref="F38">MID(INDEX('WORLDCUP'!$AF$4:$AF$147,MATCH(A38,'WORLDCUP'!$AH$4:$AH$147,0)),1,3)</f>
        <v>Cur</v>
      </c>
      <c r="G38" s="580">
        <v>3</v>
      </c>
      <c r="H38" t="str" s="581" cm="1">
        <f t="array" ref="H38">MID(INDEX('WORLDCUP'!$AL$6:$AL$97,MATCH(L38,'WORLDCUP'!$AI$6:$AI$97,0)),1,3)</f>
        <v>Cos</v>
      </c>
      <c r="I38" s="158" cm="1">
        <f t="array" ref="I38">INDEX('WORLDCUP'!$AM$6:$AM$97,MATCH(L38,'WORLDCUP'!$AI$6:$AI$97,0))</f>
        <v>3</v>
      </c>
      <c r="J38" s="159" cm="1">
        <f t="array" ref="J38">INDEX('WORLDCUP'!$AT$6:$AT$97,MATCH(L38,'WORLDCUP'!$AI$6:$AI$97,0))</f>
        <v>-2</v>
      </c>
      <c r="K38" t="str" s="582" cm="1">
        <f t="array" ref="K38">INDEX('WORLDCUP'!$AR$6:$AR$97,MATCH(L38,'WORLDCUP'!$AI$6:$AI$97,0))&amp;"-"&amp;INDEX('WORLDCUP'!$AS$6:$AS$97,MATCH(L38,'WORLDCUP'!$AI$6:$AI$97,0))</f>
        <v>4-6</v>
      </c>
      <c r="L38" t="s" s="564">
        <v>261</v>
      </c>
      <c r="M38" s="532">
        <v>48</v>
      </c>
      <c r="N38" s="708"/>
      <c r="O38" t="str" s="557" cm="1">
        <f t="array" ref="O38">MID(INDEX('WORLDCUP'!$AA$4:$AA$147,MATCH(M38,'WORLDCUP'!$AH$4:$AH$147,0)),1,3)</f>
        <v>Col</v>
      </c>
      <c r="P38" s="128" cm="1">
        <f t="array" ref="P38">IF(ISBLANK(INDEX('WORLDCUP'!$AC$4:$AC$147,MATCH(M38,'WORLDCUP'!$AH$4:$AH$147,0))),"",INDEX('WORLDCUP'!$AC$4:$AC$147,MATCH(M38,'WORLDCUP'!$AH$4:$AH$147,0)))</f>
        <v>2</v>
      </c>
      <c r="Q38" s="128" cm="1">
        <f t="array" ref="Q38">IF(ISBLANK(INDEX('WORLDCUP'!$AD$4:$AD$147,MATCH(M38,'WORLDCUP'!$AH$4:$AH$147,0))),"",INDEX('WORLDCUP'!$AD$4:$AD$147,MATCH(M38,'WORLDCUP'!$AH$4:$AH$147,0)))</f>
        <v>0</v>
      </c>
      <c r="R38" t="str" s="558" cm="1">
        <f t="array" ref="R38">MID(INDEX('WORLDCUP'!$AF$4:$AF$147,MATCH(M38,'WORLDCUP'!$AH$4:$AH$147,0)),1,3)</f>
        <v>RD </v>
      </c>
      <c r="S38" s="580">
        <v>3</v>
      </c>
      <c r="T38" t="str" s="581" cm="1">
        <f t="array" ref="T38">MID(INDEX('WORLDCUP'!$AL$6:$AL$97,MATCH(X38,'WORLDCUP'!$AI$6:$AI$97,0)),1,3)</f>
        <v>Uzb</v>
      </c>
      <c r="U38" s="158" cm="1">
        <f t="array" ref="U38">INDEX('WORLDCUP'!$AM$6:$AM$97,MATCH(X38,'WORLDCUP'!$AI$6:$AI$97,0))</f>
        <v>1</v>
      </c>
      <c r="V38" s="159" cm="1">
        <f t="array" ref="V38">INDEX('WORLDCUP'!$AT$6:$AT$97,MATCH(X38,'WORLDCUP'!$AI$6:$AI$97,0))</f>
        <v>-2</v>
      </c>
      <c r="W38" t="str" s="582" cm="1">
        <f t="array" ref="W38">INDEX('WORLDCUP'!$AR$6:$AR$97,MATCH(X38,'WORLDCUP'!$AI$6:$AI$97,0))&amp;"-"&amp;INDEX('WORLDCUP'!$AS$6:$AS$97,MATCH(X38,'WORLDCUP'!$AI$6:$AI$97,0))</f>
        <v>1-3</v>
      </c>
      <c r="X38" t="s" s="566">
        <v>400</v>
      </c>
      <c r="Y38" s="583"/>
      <c r="Z38" s="284"/>
      <c r="AA38" s="610"/>
      <c r="AB38" s="610"/>
      <c r="AC38" s="611"/>
      <c r="AD38" s="316"/>
      <c r="AE38" s="541"/>
      <c r="AF38" s="541"/>
      <c r="AG38" s="541"/>
      <c r="AH38" s="316"/>
      <c r="AI38" s="572"/>
      <c r="AJ38" s="572"/>
      <c r="AK38" s="621"/>
      <c r="AL38" s="586">
        <v>102</v>
      </c>
      <c r="AM38" t="str" s="636" cm="1">
        <f t="array" ref="AM38">MID(INDEX('WORLDCUP'!$AF$101:$AF$147,MATCH(AL38,'WORLDCUP'!$Z$101:$Z$147,0)),1,IF(OR(ISBLANK(AC134:AD134)),4,3))</f>
        <v>W100</v>
      </c>
      <c r="AN38" t="str" s="637" cm="1">
        <f t="array" ref="AN38">IF(ISBLANK(INDEX('WORLDCUP'!$AD$101:$AD$147,MATCH(AL38,'WORLDCUP'!$Z$101:$Z$147,0))),"",INDEX('WORLDCUP'!$AD$101:$AD$147,MATCH(AL38,'WORLDCUP'!$Z$101:$Z$147,0)))</f>
      </c>
      <c r="AO38" t="str" s="710" cm="1">
        <f t="array" ref="AO38">IF(ISBLANK(INDEX('WORLDCUP'!$AE$101:$AE$147,MATCH(AL38,'WORLDCUP'!$Z$101:$Z$147,0))),"","( "&amp;INDEX('WORLDCUP'!$AE$101:$AE$147,MATCH(AL38,'WORLDCUP'!$Z$101:$Z$147,0))&amp;" )")</f>
      </c>
      <c r="AP38" s="316"/>
      <c r="AQ38" s="573"/>
      <c r="AR38" s="573"/>
      <c r="AS38" s="573"/>
      <c r="AT38" s="316"/>
      <c r="AU38" s="545"/>
      <c r="AV38" s="545"/>
      <c r="AW38" s="545"/>
      <c r="AX38" s="316"/>
      <c r="AY38" s="8"/>
      <c r="AZ38" s="8"/>
      <c r="BA38" s="8"/>
      <c r="BB38" s="8"/>
      <c r="BC38" s="8"/>
      <c r="BD38" s="8"/>
      <c r="BE38" s="8"/>
      <c r="BF38" s="546"/>
      <c r="BG38" t="s" s="575">
        <v>270</v>
      </c>
      <c r="BH38" s="576" cm="1">
        <f t="array" ref="BH38">1-SUM(BI38:BO38)</f>
        <v>0</v>
      </c>
      <c r="BI38" s="576" cm="1">
        <f t="array" ref="BI38">COUNTIF('Pool'!$C$130:$C$161,BG38)-BJ38-BK38-BL38-BM38-BN38-BO38</f>
        <v>1</v>
      </c>
      <c r="BJ38" s="577" cm="1">
        <f t="array" ref="BJ38">COUNTIF('Pool'!$C$182:$C$197,BG38)-BK38-BL38-BM38-BN38-BO38</f>
        <v>0</v>
      </c>
      <c r="BK38" s="578" cm="1">
        <f t="array" ref="BK38">COUNTIF('Pool'!$C$210:$C$217,BG38)-BL38-BM38-BN38-BO38</f>
        <v>0</v>
      </c>
      <c r="BL38" s="578" cm="1">
        <f t="array" ref="BL38">COUNTIF('Pool'!$C$226:$C$229,BG38)-BM38-BN38-BO38</f>
        <v>0</v>
      </c>
      <c r="BM38" s="576" cm="1">
        <f t="array" ref="BM38">COUNTIF('Pool'!$C$252,BG38)</f>
        <v>0</v>
      </c>
      <c r="BN38" s="576" cm="1">
        <f t="array" ref="BN38">COUNTIF('Pool'!$C$251,BG38)</f>
        <v>0</v>
      </c>
      <c r="BO38" s="579" cm="1">
        <f t="array" ref="BO38">COUNTIF('Pool'!$C$250,BG38)</f>
        <v>0</v>
      </c>
    </row>
    <row r="39" ht="16" customHeight="1">
      <c r="A39" s="521">
        <v>55</v>
      </c>
      <c r="B39" s="707"/>
      <c r="C39" t="str" s="557" cm="1">
        <f t="array" ref="C39">MID(INDEX('WORLDCUP'!$AA$4:$AA$147,MATCH(A39,'WORLDCUP'!$AH$4:$AH$147,0)),1,3)</f>
        <v>Cur</v>
      </c>
      <c r="D39" s="128" cm="1">
        <f t="array" ref="D39">IF(ISBLANK(INDEX('WORLDCUP'!$AC$4:$AC$147,MATCH(A39,'WORLDCUP'!$AH$4:$AH$147,0))),"",INDEX('WORLDCUP'!$AC$4:$AC$147,MATCH(A39,'WORLDCUP'!$AH$4:$AH$147,0)))</f>
        <v>1</v>
      </c>
      <c r="E39" s="128" cm="1">
        <f t="array" ref="E39">IF(ISBLANK(INDEX('WORLDCUP'!$AD$4:$AD$147,MATCH(A39,'WORLDCUP'!$AH$4:$AH$147,0))),"",INDEX('WORLDCUP'!$AD$4:$AD$147,MATCH(A39,'WORLDCUP'!$AH$4:$AH$147,0)))</f>
        <v>3</v>
      </c>
      <c r="F39" t="str" s="558" cm="1">
        <f t="array" ref="F39">MID(INDEX('WORLDCUP'!$AF$4:$AF$147,MATCH(A39,'WORLDCUP'!$AH$4:$AH$147,0)),1,3)</f>
        <v>Cos</v>
      </c>
      <c r="G39" s="580">
        <v>4</v>
      </c>
      <c r="H39" t="str" s="593" cm="1">
        <f t="array" ref="H39">MID(INDEX('WORLDCUP'!$AL$6:$AL$97,MATCH(L39,'WORLDCUP'!$AI$6:$AI$97,0)),1,3)</f>
        <v>Ecu</v>
      </c>
      <c r="I39" s="594" cm="1">
        <f t="array" ref="I39">INDEX('WORLDCUP'!$AM$6:$AM$97,MATCH(L39,'WORLDCUP'!$AI$6:$AI$97,0))</f>
        <v>6</v>
      </c>
      <c r="J39" s="595" cm="1">
        <f t="array" ref="J39">INDEX('WORLDCUP'!$AT$6:$AT$97,MATCH(L39,'WORLDCUP'!$AI$6:$AI$97,0))</f>
        <v>3</v>
      </c>
      <c r="K39" t="str" s="596" cm="1">
        <f t="array" ref="K39">INDEX('WORLDCUP'!$AR$6:$AR$97,MATCH(L39,'WORLDCUP'!$AI$6:$AI$97,0))&amp;"-"&amp;INDEX('WORLDCUP'!$AS$6:$AS$97,MATCH(L39,'WORLDCUP'!$AI$6:$AI$97,0))</f>
        <v>6-3</v>
      </c>
      <c r="L39" t="s" s="564">
        <v>267</v>
      </c>
      <c r="M39" s="532">
        <v>71</v>
      </c>
      <c r="N39" s="708"/>
      <c r="O39" t="str" s="557" cm="1">
        <f t="array" ref="O39">MID(INDEX('WORLDCUP'!$AA$4:$AA$147,MATCH(M39,'WORLDCUP'!$AH$4:$AH$147,0)),1,3)</f>
        <v>Col</v>
      </c>
      <c r="P39" s="128" cm="1">
        <f t="array" ref="P39">IF(ISBLANK(INDEX('WORLDCUP'!$AC$4:$AC$147,MATCH(M39,'WORLDCUP'!$AH$4:$AH$147,0))),"",INDEX('WORLDCUP'!$AC$4:$AC$147,MATCH(M39,'WORLDCUP'!$AH$4:$AH$147,0)))</f>
        <v>1</v>
      </c>
      <c r="Q39" s="128" cm="1">
        <f t="array" ref="Q39">IF(ISBLANK(INDEX('WORLDCUP'!$AD$4:$AD$147,MATCH(M39,'WORLDCUP'!$AH$4:$AH$147,0))),"",INDEX('WORLDCUP'!$AD$4:$AD$147,MATCH(M39,'WORLDCUP'!$AH$4:$AH$147,0)))</f>
        <v>2</v>
      </c>
      <c r="R39" t="str" s="558" cm="1">
        <f t="array" ref="R39">MID(INDEX('WORLDCUP'!$AF$4:$AF$147,MATCH(M39,'WORLDCUP'!$AH$4:$AH$147,0)),1,3)</f>
        <v>Por</v>
      </c>
      <c r="S39" s="580">
        <v>4</v>
      </c>
      <c r="T39" t="str" s="593" cm="1">
        <f t="array" ref="T39">MID(INDEX('WORLDCUP'!$AL$6:$AL$97,MATCH(X39,'WORLDCUP'!$AI$6:$AI$97,0)),1,3)</f>
        <v>Col</v>
      </c>
      <c r="U39" s="594" cm="1">
        <f t="array" ref="U39">INDEX('WORLDCUP'!$AM$6:$AM$97,MATCH(X39,'WORLDCUP'!$AI$6:$AI$97,0))</f>
        <v>6</v>
      </c>
      <c r="V39" s="595" cm="1">
        <f t="array" ref="V39">INDEX('WORLDCUP'!$AT$6:$AT$97,MATCH(X39,'WORLDCUP'!$AI$6:$AI$97,0))</f>
        <v>2</v>
      </c>
      <c r="W39" t="str" s="596" cm="1">
        <f t="array" ref="W39">INDEX('WORLDCUP'!$AR$6:$AR$97,MATCH(X39,'WORLDCUP'!$AI$6:$AI$97,0))&amp;"-"&amp;INDEX('WORLDCUP'!$AS$6:$AS$97,MATCH(X39,'WORLDCUP'!$AI$6:$AI$97,0))</f>
        <v>4-2</v>
      </c>
      <c r="X39" t="s" s="566">
        <v>406</v>
      </c>
      <c r="Y39" s="535">
        <v>86</v>
      </c>
      <c r="Z39" t="s" s="536">
        <v>364</v>
      </c>
      <c r="AA39" t="str" s="537" cm="1">
        <f t="array" ref="AA39">MID(INDEX('WORLDCUP'!$AA$101:$AA$147,MATCH(Y39,'WORLDCUP'!$Z$101:$Z$147,0)),1,3)</f>
        <v>Arg</v>
      </c>
      <c r="AB39" t="str" s="538" cm="1">
        <f t="array" ref="AB39">IF(ISBLANK(INDEX('WORLDCUP'!$AC$101:$AC$147,MATCH(Y39,'WORLDCUP'!$Z$101:$Z$147,0))),"",INDEX('WORLDCUP'!$AC$101:$AC$147,MATCH(Y39,'WORLDCUP'!$Z$101:$Z$147,0)))</f>
      </c>
      <c r="AC39" t="str" s="619" cm="1">
        <f t="array" ref="AC39">IF(ISBLANK(INDEX('WORLDCUP'!$AB$101:$AB$147,MATCH(Y39,'WORLDCUP'!$Z$101:$Z$147,0))),"","( "&amp;INDEX('WORLDCUP'!$AB$101:$AB$147,MATCH(Y39,'WORLDCUP'!$Z$101:$Z$147,0))&amp;" )")</f>
      </c>
      <c r="AD39" s="83"/>
      <c r="AE39" s="540"/>
      <c r="AF39" s="540"/>
      <c r="AG39" s="541"/>
      <c r="AH39" s="316"/>
      <c r="AI39" s="572"/>
      <c r="AJ39" s="572"/>
      <c r="AK39" s="621"/>
      <c r="AL39" s="613"/>
      <c r="AM39" s="640"/>
      <c r="AN39" s="640"/>
      <c r="AO39" s="543"/>
      <c r="AP39" s="316"/>
      <c r="AQ39" s="573"/>
      <c r="AR39" s="573"/>
      <c r="AS39" s="573"/>
      <c r="AT39" s="316"/>
      <c r="AU39" s="545"/>
      <c r="AV39" s="545"/>
      <c r="AW39" s="545"/>
      <c r="AX39" s="316"/>
      <c r="AY39" s="8"/>
      <c r="AZ39" s="8"/>
      <c r="BA39" s="8"/>
      <c r="BB39" s="8"/>
      <c r="BC39" s="8"/>
      <c r="BD39" s="8"/>
      <c r="BE39" s="8"/>
      <c r="BF39" s="546"/>
      <c r="BG39" t="s" s="575">
        <v>426</v>
      </c>
      <c r="BH39" s="576" cm="1">
        <f t="array" ref="BH39">1-SUM(BI39:BO39)</f>
        <v>1</v>
      </c>
      <c r="BI39" s="576" cm="1">
        <f t="array" ref="BI39">COUNTIF('Pool'!$C$130:$C$161,BG39)-BJ39-BK39-BL39-BM39-BN39-BO39</f>
        <v>0</v>
      </c>
      <c r="BJ39" s="577" cm="1">
        <f t="array" ref="BJ39">COUNTIF('Pool'!$C$182:$C$197,BG39)-BK39-BL39-BM39-BN39-BO39</f>
        <v>0</v>
      </c>
      <c r="BK39" s="578" cm="1">
        <f t="array" ref="BK39">COUNTIF('Pool'!$C$210:$C$217,BG39)-BL39-BM39-BN39-BO39</f>
        <v>0</v>
      </c>
      <c r="BL39" s="578" cm="1">
        <f t="array" ref="BL39">COUNTIF('Pool'!$C$226:$C$229,BG39)-BM39-BN39-BO39</f>
        <v>0</v>
      </c>
      <c r="BM39" s="576" cm="1">
        <f t="array" ref="BM39">COUNTIF('Pool'!$C$252,BG39)</f>
        <v>0</v>
      </c>
      <c r="BN39" s="576" cm="1">
        <f t="array" ref="BN39">COUNTIF('Pool'!$C$251,BG39)</f>
        <v>0</v>
      </c>
      <c r="BO39" s="579" cm="1">
        <f t="array" ref="BO39">COUNTIF('Pool'!$C$250,BG39)</f>
        <v>0</v>
      </c>
    </row>
    <row r="40" ht="16" customHeight="1">
      <c r="A40" s="521">
        <v>56</v>
      </c>
      <c r="B40" s="711"/>
      <c r="C40" t="str" s="603" cm="1">
        <f t="array" ref="C40">MID(INDEX('WORLDCUP'!$AA$4:$AA$147,MATCH(A40,'WORLDCUP'!$AH$4:$AH$147,0)),1,3)</f>
        <v>Ecu</v>
      </c>
      <c r="D40" s="169" cm="1">
        <f t="array" ref="D40">IF(ISBLANK(INDEX('WORLDCUP'!$AC$4:$AC$147,MATCH(A40,'WORLDCUP'!$AH$4:$AH$147,0))),"",INDEX('WORLDCUP'!$AC$4:$AC$147,MATCH(A40,'WORLDCUP'!$AH$4:$AH$147,0)))</f>
        <v>1</v>
      </c>
      <c r="E40" s="169" cm="1">
        <f t="array" ref="E40">IF(ISBLANK(INDEX('WORLDCUP'!$AD$4:$AD$147,MATCH(A40,'WORLDCUP'!$AH$4:$AH$147,0))),"",INDEX('WORLDCUP'!$AD$4:$AD$147,MATCH(A40,'WORLDCUP'!$AH$4:$AH$147,0)))</f>
        <v>2</v>
      </c>
      <c r="F40" t="str" s="604" cm="1">
        <f t="array" ref="F40">MID(INDEX('WORLDCUP'!$AF$4:$AF$147,MATCH(A40,'WORLDCUP'!$AH$4:$AH$147,0)),1,3)</f>
        <v>Ale</v>
      </c>
      <c r="G40" s="605"/>
      <c r="H40" s="606"/>
      <c r="I40" s="607"/>
      <c r="J40" s="607"/>
      <c r="K40" s="608"/>
      <c r="L40" s="531"/>
      <c r="M40" s="532">
        <v>72</v>
      </c>
      <c r="N40" s="712"/>
      <c r="O40" t="str" s="603" cm="1">
        <f t="array" ref="O40">MID(INDEX('WORLDCUP'!$AA$4:$AA$147,MATCH(M40,'WORLDCUP'!$AH$4:$AH$147,0)),1,3)</f>
        <v>RD </v>
      </c>
      <c r="P40" s="169" cm="1">
        <f t="array" ref="P40">IF(ISBLANK(INDEX('WORLDCUP'!$AC$4:$AC$147,MATCH(M40,'WORLDCUP'!$AH$4:$AH$147,0))),"",INDEX('WORLDCUP'!$AC$4:$AC$147,MATCH(M40,'WORLDCUP'!$AH$4:$AH$147,0)))</f>
        <v>0</v>
      </c>
      <c r="Q40" s="169" cm="1">
        <f t="array" ref="Q40">IF(ISBLANK(INDEX('WORLDCUP'!$AD$4:$AD$147,MATCH(M40,'WORLDCUP'!$AH$4:$AH$147,0))),"",INDEX('WORLDCUP'!$AD$4:$AD$147,MATCH(M40,'WORLDCUP'!$AH$4:$AH$147,0)))</f>
        <v>0</v>
      </c>
      <c r="R40" t="str" s="604" cm="1">
        <f t="array" ref="R40">MID(INDEX('WORLDCUP'!$AF$4:$AF$147,MATCH(M40,'WORLDCUP'!$AH$4:$AH$147,0)),1,3)</f>
        <v>Uzb</v>
      </c>
      <c r="S40" s="605"/>
      <c r="T40" s="606"/>
      <c r="U40" s="607"/>
      <c r="V40" s="607"/>
      <c r="W40" s="608"/>
      <c r="X40" s="534"/>
      <c r="Y40" s="535">
        <v>86</v>
      </c>
      <c r="Z40" t="s" s="536">
        <v>322</v>
      </c>
      <c r="AA40" t="str" s="537" cm="1">
        <f t="array" ref="AA40">MID(INDEX('WORLDCUP'!$AF$101:$AF$147,MATCH(Y40,'WORLDCUP'!$Z$101:$Z$147,0)),1,3)</f>
        <v>2H</v>
      </c>
      <c r="AB40" t="str" s="538" cm="1">
        <f t="array" ref="AB40">IF(ISBLANK(INDEX('WORLDCUP'!$AD$101:$AD$147,MATCH(Y40,'WORLDCUP'!$Z$101:$Z$147,0))),"",INDEX('WORLDCUP'!$AD$101:$AD$147,MATCH(Y40,'WORLDCUP'!$Z$101:$Z$147,0)))</f>
      </c>
      <c r="AC40" t="str" s="567" cm="1">
        <f t="array" ref="AC40">IF(ISBLANK(INDEX('WORLDCUP'!$AE$101:$AE$147,MATCH(Y40,'WORLDCUP'!$Z$101:$Z$147,0))),"","( "&amp;INDEX('WORLDCUP'!$AE$101:$AE$147,MATCH(Y40,'WORLDCUP'!$Z$101:$Z$147,0))&amp;" )")</f>
      </c>
      <c r="AD40" s="568">
        <v>95</v>
      </c>
      <c r="AE40" t="str" s="569" cm="1">
        <f t="array" ref="AE40">MID(INDEX('WORLDCUP'!$AA$101:$AA$147,MATCH(AD40,'WORLDCUP'!$Z$101:$Z$147,0)),1,3)</f>
        <v>W86</v>
      </c>
      <c r="AF40" t="str" s="570" cm="1">
        <f t="array" ref="AF40">IF(ISBLANK(INDEX('WORLDCUP'!$AC$101:$AC$147,MATCH(AD40,'WORLDCUP'!$Z$101:$Z$147,0))),"",INDEX('WORLDCUP'!$AC$101:$AC$147,MATCH(AD40,'WORLDCUP'!$Z$101:$Z$147,0)))</f>
      </c>
      <c r="AG40" t="str" s="571" cm="1">
        <f t="array" ref="AG40">IF(ISBLANK(INDEX('WORLDCUP'!$AB$101:$AB$147,MATCH(AD40,'WORLDCUP'!$Z$101:$Z$147,0))),"","( "&amp;INDEX('WORLDCUP'!$AB$101:$AB$147,MATCH(AD40,'WORLDCUP'!$Z$101:$Z$147,0))&amp;" )")</f>
      </c>
      <c r="AH40" s="316"/>
      <c r="AI40" s="572"/>
      <c r="AJ40" s="572"/>
      <c r="AK40" s="621"/>
      <c r="AL40" s="613"/>
      <c r="AM40" s="543"/>
      <c r="AN40" s="543"/>
      <c r="AO40" s="543"/>
      <c r="AP40" s="316"/>
      <c r="AQ40" s="573"/>
      <c r="AR40" s="573"/>
      <c r="AS40" s="573"/>
      <c r="AT40" s="316"/>
      <c r="AU40" s="545"/>
      <c r="AV40" s="545"/>
      <c r="AW40" s="545"/>
      <c r="AX40" s="316"/>
      <c r="AY40" s="8"/>
      <c r="AZ40" s="8"/>
      <c r="BA40" s="8"/>
      <c r="BB40" s="8"/>
      <c r="BC40" s="8"/>
      <c r="BD40" s="8"/>
      <c r="BE40" s="8"/>
      <c r="BF40" s="546"/>
      <c r="BG40" t="s" s="575">
        <v>228</v>
      </c>
      <c r="BH40" s="576" cm="1">
        <f t="array" ref="BH40">1-SUM(BI40:BO40)</f>
        <v>0</v>
      </c>
      <c r="BI40" s="576" cm="1">
        <f t="array" ref="BI40">COUNTIF('Pool'!$C$130:$C$161,BG40)-BJ40-BK40-BL40-BM40-BN40-BO40</f>
        <v>1</v>
      </c>
      <c r="BJ40" s="577" cm="1">
        <f t="array" ref="BJ40">COUNTIF('Pool'!$C$182:$C$197,BG40)-BK40-BL40-BM40-BN40-BO40</f>
        <v>0</v>
      </c>
      <c r="BK40" s="578" cm="1">
        <f t="array" ref="BK40">COUNTIF('Pool'!$C$210:$C$217,BG40)-BL40-BM40-BN40-BO40</f>
        <v>0</v>
      </c>
      <c r="BL40" s="578" cm="1">
        <f t="array" ref="BL40">COUNTIF('Pool'!$C$226:$C$229,BG40)-BM40-BN40-BO40</f>
        <v>0</v>
      </c>
      <c r="BM40" s="576" cm="1">
        <f t="array" ref="BM40">COUNTIF('Pool'!$C$252,BG40)</f>
        <v>0</v>
      </c>
      <c r="BN40" s="576" cm="1">
        <f t="array" ref="BN40">COUNTIF('Pool'!$C$251,BG40)</f>
        <v>0</v>
      </c>
      <c r="BO40" s="579" cm="1">
        <f t="array" ref="BO40">COUNTIF('Pool'!$C$250,BG40)</f>
        <v>0</v>
      </c>
    </row>
    <row r="41" ht="15" customHeight="1">
      <c r="A41" s="7"/>
      <c r="B41" s="614"/>
      <c r="C41" s="615"/>
      <c r="D41" s="616"/>
      <c r="E41" s="616"/>
      <c r="F41" s="617"/>
      <c r="G41" s="617"/>
      <c r="H41" s="615"/>
      <c r="I41" s="617"/>
      <c r="J41" s="617"/>
      <c r="K41" s="617"/>
      <c r="L41" s="316"/>
      <c r="M41" s="8"/>
      <c r="N41" s="617"/>
      <c r="O41" s="615"/>
      <c r="P41" s="616"/>
      <c r="Q41" s="616"/>
      <c r="R41" s="617"/>
      <c r="S41" s="617"/>
      <c r="T41" s="615"/>
      <c r="U41" s="617"/>
      <c r="V41" s="617"/>
      <c r="W41" s="617"/>
      <c r="X41" s="8"/>
      <c r="Y41" s="316"/>
      <c r="Z41" s="284"/>
      <c r="AA41" s="584"/>
      <c r="AB41" s="584"/>
      <c r="AC41" s="585"/>
      <c r="AD41" s="586">
        <v>95</v>
      </c>
      <c r="AE41" t="str" s="569" cm="1">
        <f t="array" ref="AE41">MID(INDEX('WORLDCUP'!$AF$101:$AF$147,MATCH(AD41,'WORLDCUP'!$Z$101:$Z$147,0)),1,3)</f>
        <v>W88</v>
      </c>
      <c r="AF41" t="str" s="570" cm="1">
        <f t="array" ref="AF41">IF(ISBLANK(INDEX('WORLDCUP'!$AD$101:$AD$147,MATCH(AD41,'WORLDCUP'!$Z$101:$Z$147,0))),"",INDEX('WORLDCUP'!$AD$101:$AD$147,MATCH(AD41,'WORLDCUP'!$Z$101:$Z$147,0)))</f>
      </c>
      <c r="AG41" t="str" s="587" cm="1">
        <f t="array" ref="AG41">IF(ISBLANK(INDEX('WORLDCUP'!$AE$101:$AE$147,MATCH(AD41,'WORLDCUP'!$Z$101:$Z$147,0))),"","( "&amp;INDEX('WORLDCUP'!$AE$101:$AE$147,MATCH(AD41,'WORLDCUP'!$Z$101:$Z$147,0))&amp;" )")</f>
      </c>
      <c r="AH41" s="588"/>
      <c r="AI41" s="572"/>
      <c r="AJ41" s="572"/>
      <c r="AK41" s="621"/>
      <c r="AL41" s="613"/>
      <c r="AM41" s="543"/>
      <c r="AN41" s="543"/>
      <c r="AO41" s="543"/>
      <c r="AP41" s="316"/>
      <c r="AQ41" s="573"/>
      <c r="AR41" s="573"/>
      <c r="AS41" s="573"/>
      <c r="AT41" s="316"/>
      <c r="AU41" s="545"/>
      <c r="AV41" s="545"/>
      <c r="AW41" s="545"/>
      <c r="AX41" s="316"/>
      <c r="AY41" s="8"/>
      <c r="AZ41" s="8"/>
      <c r="BA41" s="8"/>
      <c r="BB41" s="8"/>
      <c r="BC41" s="8"/>
      <c r="BD41" s="8"/>
      <c r="BE41" s="8"/>
      <c r="BF41" s="546"/>
      <c r="BG41" t="s" s="575">
        <v>386</v>
      </c>
      <c r="BH41" s="576" cm="1">
        <f t="array" ref="BH41">1-SUM(BI41:BO41)</f>
        <v>0</v>
      </c>
      <c r="BI41" s="576" cm="1">
        <f t="array" ref="BI41">COUNTIF('Pool'!$C$130:$C$161,BG41)-BJ41-BK41-BL41-BM41-BN41-BO41</f>
        <v>1</v>
      </c>
      <c r="BJ41" s="577" cm="1">
        <f t="array" ref="BJ41">COUNTIF('Pool'!$C$182:$C$197,BG41)-BK41-BL41-BM41-BN41-BO41</f>
        <v>0</v>
      </c>
      <c r="BK41" s="578" cm="1">
        <f t="array" ref="BK41">COUNTIF('Pool'!$C$210:$C$217,BG41)-BL41-BM41-BN41-BO41</f>
        <v>0</v>
      </c>
      <c r="BL41" s="578" cm="1">
        <f t="array" ref="BL41">COUNTIF('Pool'!$C$226:$C$229,BG41)-BM41-BN41-BO41</f>
        <v>0</v>
      </c>
      <c r="BM41" s="576" cm="1">
        <f t="array" ref="BM41">COUNTIF('Pool'!$C$252,BG41)</f>
        <v>0</v>
      </c>
      <c r="BN41" s="576" cm="1">
        <f t="array" ref="BN41">COUNTIF('Pool'!$C$251,BG41)</f>
        <v>0</v>
      </c>
      <c r="BO41" s="579" cm="1">
        <f t="array" ref="BO41">COUNTIF('Pool'!$C$250,BG41)</f>
        <v>0</v>
      </c>
    </row>
    <row r="42" ht="16" customHeight="1">
      <c r="A42" s="7"/>
      <c r="B42" s="513"/>
      <c r="C42" s="622"/>
      <c r="D42" s="623"/>
      <c r="E42" s="623"/>
      <c r="F42" s="124"/>
      <c r="G42" s="124"/>
      <c r="H42" s="622"/>
      <c r="I42" s="124"/>
      <c r="J42" s="124"/>
      <c r="K42" s="124"/>
      <c r="L42" s="316"/>
      <c r="M42" s="8"/>
      <c r="N42" s="124"/>
      <c r="O42" s="622"/>
      <c r="P42" s="623"/>
      <c r="Q42" s="623"/>
      <c r="R42" s="124"/>
      <c r="S42" s="124"/>
      <c r="T42" s="622"/>
      <c r="U42" s="124"/>
      <c r="V42" s="124"/>
      <c r="W42" s="124"/>
      <c r="X42" s="8"/>
      <c r="Y42" s="618">
        <v>88</v>
      </c>
      <c r="Z42" t="s" s="536">
        <v>230</v>
      </c>
      <c r="AA42" t="str" s="537" cm="1">
        <f t="array" ref="AA42">MID(INDEX('WORLDCUP'!$AA$101:$AA$147,MATCH(Y42,'WORLDCUP'!$Z$101:$Z$147,0)),1,3)</f>
        <v>Par</v>
      </c>
      <c r="AB42" t="str" s="538" cm="1">
        <f t="array" ref="AB42">IF(ISBLANK(INDEX('WORLDCUP'!$AC$101:$AC$147,MATCH(Y42,'WORLDCUP'!$Z$101:$Z$147,0))),"",INDEX('WORLDCUP'!$AC$101:$AC$147,MATCH(Y42,'WORLDCUP'!$Z$101:$Z$147,0)))</f>
      </c>
      <c r="AC42" t="str" s="632" cm="1">
        <f t="array" ref="AC42">IF(ISBLANK(INDEX('WORLDCUP'!$AB$101:$AB$147,MATCH(Y42,'WORLDCUP'!$Z$101:$Z$147,0))),"","( "&amp;INDEX('WORLDCUP'!$AB$101:$AB$147,MATCH(Y42,'WORLDCUP'!$Z$101:$Z$147,0))&amp;" )")</f>
      </c>
      <c r="AD42" s="588"/>
      <c r="AE42" s="590"/>
      <c r="AF42" s="590"/>
      <c r="AG42" s="591"/>
      <c r="AH42" s="588"/>
      <c r="AI42" s="592"/>
      <c r="AJ42" s="592"/>
      <c r="AK42" s="621"/>
      <c r="AL42" s="613"/>
      <c r="AM42" s="543"/>
      <c r="AN42" s="543"/>
      <c r="AO42" s="543"/>
      <c r="AP42" s="316"/>
      <c r="AQ42" s="573"/>
      <c r="AR42" s="573"/>
      <c r="AS42" s="573"/>
      <c r="AT42" s="316"/>
      <c r="AU42" s="545"/>
      <c r="AV42" s="545"/>
      <c r="AW42" s="545"/>
      <c r="AX42" s="316"/>
      <c r="AY42" s="8"/>
      <c r="AZ42" s="8"/>
      <c r="BA42" s="8"/>
      <c r="BB42" s="8"/>
      <c r="BC42" s="8"/>
      <c r="BD42" s="8"/>
      <c r="BE42" s="8"/>
      <c r="BF42" s="546"/>
      <c r="BG42" t="s" s="575">
        <v>392</v>
      </c>
      <c r="BH42" s="576" cm="1">
        <f t="array" ref="BH42">1-SUM(BI42:BO42)</f>
        <v>0</v>
      </c>
      <c r="BI42" s="576" cm="1">
        <f t="array" ref="BI42">COUNTIF('Pool'!$C$130:$C$161,BG42)-BJ42-BK42-BL42-BM42-BN42-BO42</f>
        <v>1</v>
      </c>
      <c r="BJ42" s="577" cm="1">
        <f t="array" ref="BJ42">COUNTIF('Pool'!$C$182:$C$197,BG42)-BK42-BL42-BM42-BN42-BO42</f>
        <v>0</v>
      </c>
      <c r="BK42" s="578" cm="1">
        <f t="array" ref="BK42">COUNTIF('Pool'!$C$210:$C$217,BG42)-BL42-BM42-BN42-BO42</f>
        <v>0</v>
      </c>
      <c r="BL42" s="578" cm="1">
        <f t="array" ref="BL42">COUNTIF('Pool'!$C$226:$C$229,BG42)-BM42-BN42-BO42</f>
        <v>0</v>
      </c>
      <c r="BM42" s="576" cm="1">
        <f t="array" ref="BM42">COUNTIF('Pool'!$C$252,BG42)</f>
        <v>0</v>
      </c>
      <c r="BN42" s="576" cm="1">
        <f t="array" ref="BN42">COUNTIF('Pool'!$C$251,BG42)</f>
        <v>0</v>
      </c>
      <c r="BO42" s="579" cm="1">
        <f t="array" ref="BO42">COUNTIF('Pool'!$C$250,BG42)</f>
        <v>0</v>
      </c>
    </row>
    <row r="43" ht="16" customHeight="1">
      <c r="A43" s="521">
        <v>11</v>
      </c>
      <c r="B43" t="s" s="713">
        <v>269</v>
      </c>
      <c r="C43" t="str" s="523" cm="1">
        <f t="array" ref="C43">MID(INDEX('WORLDCUP'!$AA$4:$AA$147,MATCH(A43,'WORLDCUP'!$AH$4:$AH$147,0)),1,3)</f>
        <v>Paí</v>
      </c>
      <c r="D43" s="524" cm="1">
        <f t="array" ref="D43">IF(ISBLANK(INDEX('WORLDCUP'!$AC$4:$AC$147,MATCH(A43,'WORLDCUP'!$AH$4:$AH$147,0))),"",INDEX('WORLDCUP'!$AC$4:$AC$147,MATCH(A43,'WORLDCUP'!$AH$4:$AH$147,0)))</f>
        <v>2</v>
      </c>
      <c r="E43" s="524" cm="1">
        <f t="array" ref="E43">IF(ISBLANK(INDEX('WORLDCUP'!$AD$4:$AD$147,MATCH(A43,'WORLDCUP'!$AH$4:$AH$147,0))),"",INDEX('WORLDCUP'!$AD$4:$AD$147,MATCH(A43,'WORLDCUP'!$AH$4:$AH$147,0)))</f>
        <v>1</v>
      </c>
      <c r="F43" t="str" s="525" cm="1">
        <f t="array" ref="F43">MID(INDEX('WORLDCUP'!$AF$4:$AF$147,MATCH(A43,'WORLDCUP'!$AH$4:$AH$147,0)),1,3)</f>
        <v>Jap</v>
      </c>
      <c r="G43" s="526"/>
      <c r="H43" t="str" s="527" cm="1">
        <f t="array" ref="H43">H35</f>
        <v>Sel</v>
      </c>
      <c r="I43" t="str" s="529" cm="1">
        <f t="array" ref="I43">I35</f>
        <v>Pts</v>
      </c>
      <c r="J43" t="str" s="529" cm="1">
        <f t="array" ref="J43">J35</f>
        <v>DG</v>
      </c>
      <c r="K43" t="str" s="530" cm="1">
        <f t="array" ref="K43">K35</f>
        <v>GF-GC</v>
      </c>
      <c r="L43" s="531"/>
      <c r="M43" s="532">
        <v>22</v>
      </c>
      <c r="N43" t="s" s="714">
        <v>408</v>
      </c>
      <c r="O43" t="str" s="523" cm="1">
        <f t="array" ref="O43">MID(INDEX('WORLDCUP'!$AA$4:$AA$147,MATCH(M43,'WORLDCUP'!$AH$4:$AH$147,0)),1,3)</f>
        <v>Ing</v>
      </c>
      <c r="P43" s="524" cm="1">
        <f t="array" ref="P43">IF(ISBLANK(INDEX('WORLDCUP'!$AC$4:$AC$147,MATCH(M43,'WORLDCUP'!$AH$4:$AH$147,0))),"",INDEX('WORLDCUP'!$AC$4:$AC$147,MATCH(M43,'WORLDCUP'!$AH$4:$AH$147,0)))</f>
        <v>1</v>
      </c>
      <c r="Q43" s="524" cm="1">
        <f t="array" ref="Q43">IF(ISBLANK(INDEX('WORLDCUP'!$AD$4:$AD$147,MATCH(M43,'WORLDCUP'!$AH$4:$AH$147,0))),"",INDEX('WORLDCUP'!$AD$4:$AD$147,MATCH(M43,'WORLDCUP'!$AH$4:$AH$147,0)))</f>
        <v>0</v>
      </c>
      <c r="R43" t="str" s="525" cm="1">
        <f t="array" ref="R43">MID(INDEX('WORLDCUP'!$AF$4:$AF$147,MATCH(M43,'WORLDCUP'!$AH$4:$AH$147,0)),1,3)</f>
        <v>Cro</v>
      </c>
      <c r="S43" s="526"/>
      <c r="T43" t="str" s="527" cm="1">
        <f t="array" ref="T43">T35</f>
        <v>Sel</v>
      </c>
      <c r="U43" t="str" s="529" cm="1">
        <f t="array" ref="U43">U35</f>
        <v>Pts</v>
      </c>
      <c r="V43" t="str" s="529" cm="1">
        <f t="array" ref="V43">V35</f>
        <v>DG</v>
      </c>
      <c r="W43" t="str" s="530" cm="1">
        <f t="array" ref="W43">W35</f>
        <v>GF-GC</v>
      </c>
      <c r="X43" s="534"/>
      <c r="Y43" s="535">
        <v>88</v>
      </c>
      <c r="Z43" t="s" s="536">
        <v>301</v>
      </c>
      <c r="AA43" t="str" s="537" cm="1">
        <f t="array" ref="AA43">MID(INDEX('WORLDCUP'!$AF$101:$AF$147,MATCH(Y43,'WORLDCUP'!$Z$101:$Z$147,0)),1,3)</f>
        <v>2G</v>
      </c>
      <c r="AB43" t="str" s="538" cm="1">
        <f t="array" ref="AB43">IF(ISBLANK(INDEX('WORLDCUP'!$AD$101:$AD$147,MATCH(Y43,'WORLDCUP'!$Z$101:$Z$147,0))),"",INDEX('WORLDCUP'!$AD$101:$AD$147,MATCH(Y43,'WORLDCUP'!$Z$101:$Z$147,0)))</f>
      </c>
      <c r="AC43" t="str" s="635" cm="1">
        <f t="array" ref="AC43">IF(ISBLANK(INDEX('WORLDCUP'!$AE$101:$AE$147,MATCH(Y43,'WORLDCUP'!$Z$101:$Z$147,0))),"","( "&amp;INDEX('WORLDCUP'!$AE$101:$AE$147,MATCH(Y43,'WORLDCUP'!$Z$101:$Z$147,0))&amp;" )")</f>
      </c>
      <c r="AD43" s="316"/>
      <c r="AE43" s="598"/>
      <c r="AF43" s="598"/>
      <c r="AG43" s="591"/>
      <c r="AH43" s="568">
        <v>100</v>
      </c>
      <c r="AI43" t="str" s="599" cm="1">
        <f t="array" ref="AI43">MID(INDEX('WORLDCUP'!$AA$101:$AA$147,MATCH(AH43,'WORLDCUP'!$Z$101:$Z$147,0)),1,3)</f>
        <v>W95</v>
      </c>
      <c r="AJ43" t="str" s="600" cm="1">
        <f t="array" ref="AJ43">IF(ISBLANK(INDEX('WORLDCUP'!$AC$101:$AC$147,MATCH(AH43,'WORLDCUP'!$Z$101:$Z$147,0))),"",INDEX('WORLDCUP'!$AC$101:$AC$147,MATCH(AH43,'WORLDCUP'!$Z$101:$Z$147,0)))</f>
      </c>
      <c r="AK43" t="str" s="648" cm="1">
        <f t="array" ref="AK43">IF(ISBLANK(INDEX('WORLDCUP'!$AB$101:$AB$147,MATCH(AH43,'WORLDCUP'!$Z$101:$Z$147,0))),"","( "&amp;INDEX('WORLDCUP'!$AB$101:$AB$147,MATCH(AH43,'WORLDCUP'!$Z$101:$Z$147,0))&amp;" )")</f>
      </c>
      <c r="AL43" s="613"/>
      <c r="AM43" s="543"/>
      <c r="AN43" s="543"/>
      <c r="AO43" s="543"/>
      <c r="AP43" s="316"/>
      <c r="AQ43" s="573"/>
      <c r="AR43" s="573"/>
      <c r="AS43" s="573"/>
      <c r="AT43" s="316"/>
      <c r="AU43" s="545"/>
      <c r="AV43" s="545"/>
      <c r="AW43" s="545"/>
      <c r="AX43" s="316"/>
      <c r="AY43" s="8"/>
      <c r="AZ43" s="8"/>
      <c r="BA43" s="8"/>
      <c r="BB43" s="8"/>
      <c r="BC43" s="8"/>
      <c r="BD43" s="8"/>
      <c r="BE43" s="8"/>
      <c r="BF43" s="546"/>
      <c r="BG43" t="s" s="575">
        <v>146</v>
      </c>
      <c r="BH43" s="576" cm="1">
        <f t="array" ref="BH43">1-SUM(BI43:BO43)</f>
        <v>1</v>
      </c>
      <c r="BI43" s="576" cm="1">
        <f t="array" ref="BI43">COUNTIF('Pool'!$C$130:$C$161,BG43)-BJ43-BK43-BL43-BM43-BN43-BO43</f>
        <v>0</v>
      </c>
      <c r="BJ43" s="577" cm="1">
        <f t="array" ref="BJ43">COUNTIF('Pool'!$C$182:$C$197,BG43)-BK43-BL43-BM43-BN43-BO43</f>
        <v>0</v>
      </c>
      <c r="BK43" s="578" cm="1">
        <f t="array" ref="BK43">COUNTIF('Pool'!$C$210:$C$217,BG43)-BL43-BM43-BN43-BO43</f>
        <v>0</v>
      </c>
      <c r="BL43" s="578" cm="1">
        <f t="array" ref="BL43">COUNTIF('Pool'!$C$226:$C$229,BG43)-BM43-BN43-BO43</f>
        <v>0</v>
      </c>
      <c r="BM43" s="576" cm="1">
        <f t="array" ref="BM43">COUNTIF('Pool'!$C$252,BG43)</f>
        <v>0</v>
      </c>
      <c r="BN43" s="576" cm="1">
        <f t="array" ref="BN43">COUNTIF('Pool'!$C$251,BG43)</f>
        <v>0</v>
      </c>
      <c r="BO43" s="579" cm="1">
        <f t="array" ref="BO43">COUNTIF('Pool'!$C$250,BG43)</f>
        <v>0</v>
      </c>
    </row>
    <row r="44" ht="15" customHeight="1">
      <c r="A44" s="521">
        <v>12</v>
      </c>
      <c r="B44" s="715"/>
      <c r="C44" t="str" s="557" cm="1">
        <f t="array" ref="C44">MID(INDEX('WORLDCUP'!$AA$4:$AA$147,MATCH(A44,'WORLDCUP'!$AH$4:$AH$147,0)),1,3)</f>
        <v>Sue</v>
      </c>
      <c r="D44" s="128" cm="1">
        <f t="array" ref="D44">IF(ISBLANK(INDEX('WORLDCUP'!$AC$4:$AC$147,MATCH(A44,'WORLDCUP'!$AH$4:$AH$147,0))),"",INDEX('WORLDCUP'!$AC$4:$AC$147,MATCH(A44,'WORLDCUP'!$AH$4:$AH$147,0)))</f>
        <v>2</v>
      </c>
      <c r="E44" s="128" cm="1">
        <f t="array" ref="E44">IF(ISBLANK(INDEX('WORLDCUP'!$AD$4:$AD$147,MATCH(A44,'WORLDCUP'!$AH$4:$AH$147,0))),"",INDEX('WORLDCUP'!$AD$4:$AD$147,MATCH(A44,'WORLDCUP'!$AH$4:$AH$147,0)))</f>
        <v>0</v>
      </c>
      <c r="F44" t="str" s="558" cm="1">
        <f t="array" ref="F44">MID(INDEX('WORLDCUP'!$AF$4:$AF$147,MATCH(A44,'WORLDCUP'!$AH$4:$AH$147,0)),1,3)</f>
        <v>Tún</v>
      </c>
      <c r="G44" s="559">
        <v>1</v>
      </c>
      <c r="H44" t="str" s="560" cm="1">
        <f t="array" ref="H44">MID(INDEX('WORLDCUP'!$AL$6:$AL$97,MATCH(L44,'WORLDCUP'!$AI$6:$AI$97,0)),1,3)</f>
        <v>Paí</v>
      </c>
      <c r="I44" s="561" cm="1">
        <f t="array" ref="I44">INDEX('WORLDCUP'!$AM$6:$AM$97,MATCH(L44,'WORLDCUP'!$AI$6:$AI$97,0))</f>
        <v>9</v>
      </c>
      <c r="J44" s="562" cm="1">
        <f t="array" ref="J44">INDEX('WORLDCUP'!$AT$6:$AT$97,MATCH(L44,'WORLDCUP'!$AI$6:$AI$97,0))</f>
        <v>4</v>
      </c>
      <c r="K44" t="str" s="563" cm="1">
        <f t="array" ref="K44">INDEX('WORLDCUP'!$AR$6:$AR$97,MATCH(L44,'WORLDCUP'!$AI$6:$AI$97,0))&amp;"-"&amp;INDEX('WORLDCUP'!$AS$6:$AS$97,MATCH(L44,'WORLDCUP'!$AI$6:$AI$97,0))</f>
        <v>7-3</v>
      </c>
      <c r="L44" t="s" s="564">
        <v>272</v>
      </c>
      <c r="M44" s="532">
        <v>21</v>
      </c>
      <c r="N44" s="716"/>
      <c r="O44" t="str" s="557" cm="1">
        <f t="array" ref="O44">MID(INDEX('WORLDCUP'!$AA$4:$AA$147,MATCH(M44,'WORLDCUP'!$AH$4:$AH$147,0)),1,3)</f>
        <v>Gha</v>
      </c>
      <c r="P44" s="128" cm="1">
        <f t="array" ref="P44">IF(ISBLANK(INDEX('WORLDCUP'!$AC$4:$AC$147,MATCH(M44,'WORLDCUP'!$AH$4:$AH$147,0))),"",INDEX('WORLDCUP'!$AC$4:$AC$147,MATCH(M44,'WORLDCUP'!$AH$4:$AH$147,0)))</f>
        <v>1</v>
      </c>
      <c r="Q44" s="128" cm="1">
        <f t="array" ref="Q44">IF(ISBLANK(INDEX('WORLDCUP'!$AD$4:$AD$147,MATCH(M44,'WORLDCUP'!$AH$4:$AH$147,0))),"",INDEX('WORLDCUP'!$AD$4:$AD$147,MATCH(M44,'WORLDCUP'!$AH$4:$AH$147,0)))</f>
        <v>0</v>
      </c>
      <c r="R44" t="str" s="558" cm="1">
        <f t="array" ref="R44">MID(INDEX('WORLDCUP'!$AF$4:$AF$147,MATCH(M44,'WORLDCUP'!$AH$4:$AH$147,0)),1,3)</f>
        <v>Pan</v>
      </c>
      <c r="S44" s="559">
        <v>1</v>
      </c>
      <c r="T44" t="str" s="560" cm="1">
        <f t="array" ref="T44">MID(INDEX('WORLDCUP'!$AL$6:$AL$97,MATCH(X44,'WORLDCUP'!$AI$6:$AI$97,0)),1,3)</f>
        <v>Ing</v>
      </c>
      <c r="U44" s="561" cm="1">
        <f t="array" ref="U44">INDEX('WORLDCUP'!$AM$6:$AM$97,MATCH(X44,'WORLDCUP'!$AI$6:$AI$97,0))</f>
        <v>9</v>
      </c>
      <c r="V44" s="562" cm="1">
        <f t="array" ref="V44">INDEX('WORLDCUP'!$AT$6:$AT$97,MATCH(X44,'WORLDCUP'!$AI$6:$AI$97,0))</f>
        <v>4</v>
      </c>
      <c r="W44" t="str" s="563" cm="1">
        <f t="array" ref="W44">INDEX('WORLDCUP'!$AR$6:$AR$97,MATCH(X44,'WORLDCUP'!$AI$6:$AI$97,0))&amp;"-"&amp;INDEX('WORLDCUP'!$AS$6:$AS$97,MATCH(X44,'WORLDCUP'!$AI$6:$AI$97,0))</f>
        <v>5-1</v>
      </c>
      <c r="X44" t="s" s="566">
        <v>411</v>
      </c>
      <c r="Y44" s="583"/>
      <c r="Z44" s="284"/>
      <c r="AA44" s="610"/>
      <c r="AB44" s="610"/>
      <c r="AC44" s="611"/>
      <c r="AD44" s="316"/>
      <c r="AE44" s="541"/>
      <c r="AF44" s="541"/>
      <c r="AG44" s="591"/>
      <c r="AH44" s="586">
        <v>100</v>
      </c>
      <c r="AI44" t="str" s="599" cm="1">
        <f t="array" ref="AI44">MID(INDEX('WORLDCUP'!$AF$101:$AF$147,MATCH(AH44,'WORLDCUP'!$Z$101:$Z$147,0)),1,3)</f>
        <v>W96</v>
      </c>
      <c r="AJ44" t="str" s="600" cm="1">
        <f t="array" ref="AJ44">IF(ISBLANK(INDEX('WORLDCUP'!$AD$101:$AD$147,MATCH(AH44,'WORLDCUP'!$Z$101:$Z$147,0))),"",INDEX('WORLDCUP'!$AD$101:$AD$147,MATCH(AH44,'WORLDCUP'!$Z$101:$Z$147,0)))</f>
      </c>
      <c r="AK44" t="str" s="652" cm="1">
        <f t="array" ref="AK44">IF(ISBLANK(INDEX('WORLDCUP'!$AE$101:$AE$147,MATCH(AH44,'WORLDCUP'!$Z$101:$Z$147,0))),"","( "&amp;INDEX('WORLDCUP'!$AE$101:$AE$147,MATCH(AH44,'WORLDCUP'!$Z$101:$Z$147,0))&amp;" )")</f>
      </c>
      <c r="AL44" s="518"/>
      <c r="AM44" s="543"/>
      <c r="AN44" s="543"/>
      <c r="AO44" s="543"/>
      <c r="AP44" s="316"/>
      <c r="AQ44" s="573"/>
      <c r="AR44" s="573"/>
      <c r="AS44" s="573"/>
      <c r="AT44" s="316"/>
      <c r="AU44" s="545"/>
      <c r="AV44" s="545"/>
      <c r="AW44" s="545"/>
      <c r="AX44" s="316"/>
      <c r="AY44" s="8"/>
      <c r="AZ44" s="8"/>
      <c r="BA44" s="8"/>
      <c r="BB44" s="8"/>
      <c r="BC44" s="8"/>
      <c r="BD44" s="8"/>
      <c r="BE44" s="8"/>
      <c r="BF44" s="546"/>
      <c r="BG44" t="s" s="575">
        <v>346</v>
      </c>
      <c r="BH44" s="576" cm="1">
        <f t="array" ref="BH44">1-SUM(BI44:BO44)</f>
        <v>1</v>
      </c>
      <c r="BI44" s="576" cm="1">
        <f t="array" ref="BI44">COUNTIF('Pool'!$C$130:$C$161,BG44)-BJ44-BK44-BL44-BM44-BN44-BO44</f>
        <v>0</v>
      </c>
      <c r="BJ44" s="577" cm="1">
        <f t="array" ref="BJ44">COUNTIF('Pool'!$C$182:$C$197,BG44)-BK44-BL44-BM44-BN44-BO44</f>
        <v>0</v>
      </c>
      <c r="BK44" s="578" cm="1">
        <f t="array" ref="BK44">COUNTIF('Pool'!$C$210:$C$217,BG44)-BL44-BM44-BN44-BO44</f>
        <v>0</v>
      </c>
      <c r="BL44" s="578" cm="1">
        <f t="array" ref="BL44">COUNTIF('Pool'!$C$226:$C$229,BG44)-BM44-BN44-BO44</f>
        <v>0</v>
      </c>
      <c r="BM44" s="576" cm="1">
        <f t="array" ref="BM44">COUNTIF('Pool'!$C$252,BG44)</f>
        <v>0</v>
      </c>
      <c r="BN44" s="576" cm="1">
        <f t="array" ref="BN44">COUNTIF('Pool'!$C$251,BG44)</f>
        <v>0</v>
      </c>
      <c r="BO44" s="579" cm="1">
        <f t="array" ref="BO44">COUNTIF('Pool'!$C$250,BG44)</f>
        <v>0</v>
      </c>
    </row>
    <row r="45" ht="16" customHeight="1">
      <c r="A45" s="521">
        <v>35</v>
      </c>
      <c r="B45" s="715"/>
      <c r="C45" t="str" s="557" cm="1">
        <f t="array" ref="C45">MID(INDEX('WORLDCUP'!$AA$4:$AA$147,MATCH(A45,'WORLDCUP'!$AH$4:$AH$147,0)),1,3)</f>
        <v>Paí</v>
      </c>
      <c r="D45" s="128" cm="1">
        <f t="array" ref="D45">IF(ISBLANK(INDEX('WORLDCUP'!$AC$4:$AC$147,MATCH(A45,'WORLDCUP'!$AH$4:$AH$147,0))),"",INDEX('WORLDCUP'!$AC$4:$AC$147,MATCH(A45,'WORLDCUP'!$AH$4:$AH$147,0)))</f>
        <v>2</v>
      </c>
      <c r="E45" s="128" cm="1">
        <f t="array" ref="E45">IF(ISBLANK(INDEX('WORLDCUP'!$AD$4:$AD$147,MATCH(A45,'WORLDCUP'!$AH$4:$AH$147,0))),"",INDEX('WORLDCUP'!$AD$4:$AD$147,MATCH(A45,'WORLDCUP'!$AH$4:$AH$147,0)))</f>
        <v>1</v>
      </c>
      <c r="F45" t="str" s="558" cm="1">
        <f t="array" ref="F45">MID(INDEX('WORLDCUP'!$AF$4:$AF$147,MATCH(A45,'WORLDCUP'!$AH$4:$AH$147,0)),1,3)</f>
        <v>Sue</v>
      </c>
      <c r="G45" s="580">
        <v>2</v>
      </c>
      <c r="H45" t="str" s="581" cm="1">
        <f t="array" ref="H45">MID(INDEX('WORLDCUP'!$AL$6:$AL$97,MATCH(L45,'WORLDCUP'!$AI$6:$AI$97,0)),1,3)</f>
        <v>Jap</v>
      </c>
      <c r="I45" s="158" cm="1">
        <f t="array" ref="I45">INDEX('WORLDCUP'!$AM$6:$AM$97,MATCH(L45,'WORLDCUP'!$AI$6:$AI$97,0))</f>
        <v>4</v>
      </c>
      <c r="J45" s="159" cm="1">
        <f t="array" ref="J45">INDEX('WORLDCUP'!$AT$6:$AT$97,MATCH(L45,'WORLDCUP'!$AI$6:$AI$97,0))</f>
        <v>1</v>
      </c>
      <c r="K45" t="str" s="582" cm="1">
        <f t="array" ref="K45">INDEX('WORLDCUP'!$AR$6:$AR$97,MATCH(L45,'WORLDCUP'!$AI$6:$AI$97,0))&amp;"-"&amp;INDEX('WORLDCUP'!$AS$6:$AS$97,MATCH(L45,'WORLDCUP'!$AI$6:$AI$97,0))</f>
        <v>4-3</v>
      </c>
      <c r="L45" t="s" s="564">
        <v>276</v>
      </c>
      <c r="M45" s="532">
        <v>45</v>
      </c>
      <c r="N45" s="716"/>
      <c r="O45" t="str" s="557" cm="1">
        <f t="array" ref="O45">MID(INDEX('WORLDCUP'!$AA$4:$AA$147,MATCH(M45,'WORLDCUP'!$AH$4:$AH$147,0)),1,3)</f>
        <v>Ing</v>
      </c>
      <c r="P45" s="128" cm="1">
        <f t="array" ref="P45">IF(ISBLANK(INDEX('WORLDCUP'!$AC$4:$AC$147,MATCH(M45,'WORLDCUP'!$AH$4:$AH$147,0))),"",INDEX('WORLDCUP'!$AC$4:$AC$147,MATCH(M45,'WORLDCUP'!$AH$4:$AH$147,0)))</f>
        <v>2</v>
      </c>
      <c r="Q45" s="128" cm="1">
        <f t="array" ref="Q45">IF(ISBLANK(INDEX('WORLDCUP'!$AD$4:$AD$147,MATCH(M45,'WORLDCUP'!$AH$4:$AH$147,0))),"",INDEX('WORLDCUP'!$AD$4:$AD$147,MATCH(M45,'WORLDCUP'!$AH$4:$AH$147,0)))</f>
        <v>1</v>
      </c>
      <c r="R45" t="str" s="558" cm="1">
        <f t="array" ref="R45">MID(INDEX('WORLDCUP'!$AF$4:$AF$147,MATCH(M45,'WORLDCUP'!$AH$4:$AH$147,0)),1,3)</f>
        <v>Gha</v>
      </c>
      <c r="S45" s="580">
        <v>2</v>
      </c>
      <c r="T45" t="str" s="581" cm="1">
        <f t="array" ref="T45">MID(INDEX('WORLDCUP'!$AL$6:$AL$97,MATCH(X45,'WORLDCUP'!$AI$6:$AI$97,0)),1,3)</f>
        <v>Cro</v>
      </c>
      <c r="U45" s="158" cm="1">
        <f t="array" ref="U45">INDEX('WORLDCUP'!$AM$6:$AM$97,MATCH(X45,'WORLDCUP'!$AI$6:$AI$97,0))</f>
        <v>6</v>
      </c>
      <c r="V45" s="159" cm="1">
        <f t="array" ref="V45">INDEX('WORLDCUP'!$AT$6:$AT$97,MATCH(X45,'WORLDCUP'!$AI$6:$AI$97,0))</f>
        <v>2</v>
      </c>
      <c r="W45" t="str" s="582" cm="1">
        <f t="array" ref="W45">INDEX('WORLDCUP'!$AR$6:$AR$97,MATCH(X45,'WORLDCUP'!$AI$6:$AI$97,0))&amp;"-"&amp;INDEX('WORLDCUP'!$AS$6:$AS$97,MATCH(X45,'WORLDCUP'!$AI$6:$AI$97,0))</f>
        <v>5-3</v>
      </c>
      <c r="X45" t="s" s="566">
        <v>415</v>
      </c>
      <c r="Y45" s="535">
        <v>85</v>
      </c>
      <c r="Z45" t="s" s="536">
        <v>162</v>
      </c>
      <c r="AA45" t="str" s="537" cm="1">
        <f t="array" ref="AA45">MID(INDEX('WORLDCUP'!$AA$101:$AA$147,MATCH(Y45,'WORLDCUP'!$Z$101:$Z$147,0)),1,3)</f>
        <v>Can</v>
      </c>
      <c r="AB45" t="str" s="538" cm="1">
        <f t="array" ref="AB45">IF(ISBLANK(INDEX('WORLDCUP'!$AC$101:$AC$147,MATCH(Y45,'WORLDCUP'!$Z$101:$Z$147,0))),"",INDEX('WORLDCUP'!$AC$101:$AC$147,MATCH(Y45,'WORLDCUP'!$Z$101:$Z$147,0)))</f>
      </c>
      <c r="AC45" t="str" s="619" cm="1">
        <f t="array" ref="AC45">IF(ISBLANK(INDEX('WORLDCUP'!$AB$101:$AB$147,MATCH(Y45,'WORLDCUP'!$Z$101:$Z$147,0))),"","( "&amp;INDEX('WORLDCUP'!$AB$101:$AB$147,MATCH(Y45,'WORLDCUP'!$Z$101:$Z$147,0))&amp;" )")</f>
      </c>
      <c r="AD45" s="83"/>
      <c r="AE45" s="540"/>
      <c r="AF45" s="540"/>
      <c r="AG45" s="591"/>
      <c r="AH45" s="588"/>
      <c r="AI45" s="620"/>
      <c r="AJ45" s="620"/>
      <c r="AK45" s="572"/>
      <c r="AL45" s="518"/>
      <c r="AM45" s="543"/>
      <c r="AN45" s="543"/>
      <c r="AO45" s="543"/>
      <c r="AP45" s="316"/>
      <c r="AQ45" s="573"/>
      <c r="AR45" s="573"/>
      <c r="AS45" s="573"/>
      <c r="AT45" s="316"/>
      <c r="AU45" s="545"/>
      <c r="AV45" s="545"/>
      <c r="AW45" s="545"/>
      <c r="AX45" s="316"/>
      <c r="AY45" s="8"/>
      <c r="AZ45" s="8"/>
      <c r="BA45" s="8"/>
      <c r="BB45" s="8"/>
      <c r="BC45" s="8"/>
      <c r="BD45" s="8"/>
      <c r="BE45" s="8"/>
      <c r="BF45" s="546"/>
      <c r="BG45" t="s" s="575">
        <v>129</v>
      </c>
      <c r="BH45" s="576" cm="1">
        <f t="array" ref="BH45">1-SUM(BI45:BO45)</f>
        <v>0</v>
      </c>
      <c r="BI45" s="576" cm="1">
        <f t="array" ref="BI45">COUNTIF('Pool'!$C$130:$C$161,BG45)-BJ45-BK45-BL45-BM45-BN45-BO45</f>
        <v>1</v>
      </c>
      <c r="BJ45" s="577" cm="1">
        <f t="array" ref="BJ45">COUNTIF('Pool'!$C$182:$C$197,BG45)-BK45-BL45-BM45-BN45-BO45</f>
        <v>0</v>
      </c>
      <c r="BK45" s="578" cm="1">
        <f t="array" ref="BK45">COUNTIF('Pool'!$C$210:$C$217,BG45)-BL45-BM45-BN45-BO45</f>
        <v>0</v>
      </c>
      <c r="BL45" s="578" cm="1">
        <f t="array" ref="BL45">COUNTIF('Pool'!$C$226:$C$229,BG45)-BM45-BN45-BO45</f>
        <v>0</v>
      </c>
      <c r="BM45" s="576" cm="1">
        <f t="array" ref="BM45">COUNTIF('Pool'!$C$252,BG45)</f>
        <v>0</v>
      </c>
      <c r="BN45" s="576" cm="1">
        <f t="array" ref="BN45">COUNTIF('Pool'!$C$251,BG45)</f>
        <v>0</v>
      </c>
      <c r="BO45" s="579" cm="1">
        <f t="array" ref="BO45">COUNTIF('Pool'!$C$250,BG45)</f>
        <v>0</v>
      </c>
    </row>
    <row r="46" ht="16" customHeight="1">
      <c r="A46" s="521">
        <v>36</v>
      </c>
      <c r="B46" s="715"/>
      <c r="C46" t="str" s="557" cm="1">
        <f t="array" ref="C46">MID(INDEX('WORLDCUP'!$AA$4:$AA$147,MATCH(A46,'WORLDCUP'!$AH$4:$AH$147,0)),1,3)</f>
        <v>Tún</v>
      </c>
      <c r="D46" s="128" cm="1">
        <f t="array" ref="D46">IF(ISBLANK(INDEX('WORLDCUP'!$AC$4:$AC$147,MATCH(A46,'WORLDCUP'!$AH$4:$AH$147,0))),"",INDEX('WORLDCUP'!$AC$4:$AC$147,MATCH(A46,'WORLDCUP'!$AH$4:$AH$147,0)))</f>
        <v>0</v>
      </c>
      <c r="E46" s="128" cm="1">
        <f t="array" ref="E46">IF(ISBLANK(INDEX('WORLDCUP'!$AD$4:$AD$147,MATCH(A46,'WORLDCUP'!$AH$4:$AH$147,0))),"",INDEX('WORLDCUP'!$AD$4:$AD$147,MATCH(A46,'WORLDCUP'!$AH$4:$AH$147,0)))</f>
        <v>2</v>
      </c>
      <c r="F46" t="str" s="558" cm="1">
        <f t="array" ref="F46">MID(INDEX('WORLDCUP'!$AF$4:$AF$147,MATCH(A46,'WORLDCUP'!$AH$4:$AH$147,0)),1,3)</f>
        <v>Jap</v>
      </c>
      <c r="G46" s="580">
        <v>3</v>
      </c>
      <c r="H46" t="str" s="581" cm="1">
        <f t="array" ref="H46">MID(INDEX('WORLDCUP'!$AL$6:$AL$97,MATCH(L46,'WORLDCUP'!$AI$6:$AI$97,0)),1,3)</f>
        <v>Sue</v>
      </c>
      <c r="I46" s="158" cm="1">
        <f t="array" ref="I46">INDEX('WORLDCUP'!$AM$6:$AM$97,MATCH(L46,'WORLDCUP'!$AI$6:$AI$97,0))</f>
        <v>4</v>
      </c>
      <c r="J46" s="159" cm="1">
        <f t="array" ref="J46">INDEX('WORLDCUP'!$AT$6:$AT$97,MATCH(L46,'WORLDCUP'!$AI$6:$AI$97,0))</f>
        <v>1</v>
      </c>
      <c r="K46" t="str" s="582" cm="1">
        <f t="array" ref="K46">INDEX('WORLDCUP'!$AR$6:$AR$97,MATCH(L46,'WORLDCUP'!$AI$6:$AI$97,0))&amp;"-"&amp;INDEX('WORLDCUP'!$AS$6:$AS$97,MATCH(L46,'WORLDCUP'!$AI$6:$AI$97,0))</f>
        <v>4-3</v>
      </c>
      <c r="L46" t="s" s="564">
        <v>283</v>
      </c>
      <c r="M46" s="532">
        <v>46</v>
      </c>
      <c r="N46" s="716"/>
      <c r="O46" t="str" s="557" cm="1">
        <f t="array" ref="O46">MID(INDEX('WORLDCUP'!$AA$4:$AA$147,MATCH(M46,'WORLDCUP'!$AH$4:$AH$147,0)),1,3)</f>
        <v>Pan</v>
      </c>
      <c r="P46" s="128" cm="1">
        <f t="array" ref="P46">IF(ISBLANK(INDEX('WORLDCUP'!$AC$4:$AC$147,MATCH(M46,'WORLDCUP'!$AH$4:$AH$147,0))),"",INDEX('WORLDCUP'!$AC$4:$AC$147,MATCH(M46,'WORLDCUP'!$AH$4:$AH$147,0)))</f>
        <v>1</v>
      </c>
      <c r="Q46" s="128" cm="1">
        <f t="array" ref="Q46">IF(ISBLANK(INDEX('WORLDCUP'!$AD$4:$AD$147,MATCH(M46,'WORLDCUP'!$AH$4:$AH$147,0))),"",INDEX('WORLDCUP'!$AD$4:$AD$147,MATCH(M46,'WORLDCUP'!$AH$4:$AH$147,0)))</f>
        <v>3</v>
      </c>
      <c r="R46" t="str" s="558" cm="1">
        <f t="array" ref="R46">MID(INDEX('WORLDCUP'!$AF$4:$AF$147,MATCH(M46,'WORLDCUP'!$AH$4:$AH$147,0)),1,3)</f>
        <v>Cro</v>
      </c>
      <c r="S46" s="580">
        <v>3</v>
      </c>
      <c r="T46" t="str" s="581" cm="1">
        <f t="array" ref="T46">MID(INDEX('WORLDCUP'!$AL$6:$AL$97,MATCH(X46,'WORLDCUP'!$AI$6:$AI$97,0)),1,3)</f>
        <v>Gha</v>
      </c>
      <c r="U46" s="158" cm="1">
        <f t="array" ref="U46">INDEX('WORLDCUP'!$AM$6:$AM$97,MATCH(X46,'WORLDCUP'!$AI$6:$AI$97,0))</f>
        <v>3</v>
      </c>
      <c r="V46" s="159" cm="1">
        <f t="array" ref="V46">INDEX('WORLDCUP'!$AT$6:$AT$97,MATCH(X46,'WORLDCUP'!$AI$6:$AI$97,0))</f>
        <v>-1</v>
      </c>
      <c r="W46" t="str" s="582" cm="1">
        <f t="array" ref="W46">INDEX('WORLDCUP'!$AR$6:$AR$97,MATCH(X46,'WORLDCUP'!$AI$6:$AI$97,0))&amp;"-"&amp;INDEX('WORLDCUP'!$AS$6:$AS$97,MATCH(X46,'WORLDCUP'!$AI$6:$AI$97,0))</f>
        <v>3-4</v>
      </c>
      <c r="X46" t="s" s="566">
        <v>422</v>
      </c>
      <c r="Y46" s="535">
        <v>85</v>
      </c>
      <c r="Z46" t="s" s="536">
        <v>602</v>
      </c>
      <c r="AA46" t="str" s="537" cm="1">
        <f t="array" ref="AA46">MID(INDEX('WORLDCUP'!$AF$101:$AF$147,MATCH(Y46,'WORLDCUP'!$Z$101:$Z$147,0)),1,IF('WORLDCUP'!$H$113&lt;144,6,3))</f>
        <v>3EF</v>
      </c>
      <c r="AB46" t="str" s="538" cm="1">
        <f t="array" ref="AB46">IF(ISBLANK(INDEX('WORLDCUP'!$AD$101:$AD$147,MATCH(Y46,'WORLDCUP'!$Z$101:$Z$147,0))),"",INDEX('WORLDCUP'!$AD$101:$AD$147,MATCH(Y46,'WORLDCUP'!$Z$101:$Z$147,0)))</f>
      </c>
      <c r="AC46" t="str" s="567" cm="1">
        <f t="array" ref="AC46">IF(ISBLANK(INDEX('WORLDCUP'!$AE$101:$AE$147,MATCH(Y46,'WORLDCUP'!$Z$101:$Z$147,0))),"","( "&amp;INDEX('WORLDCUP'!$AE$101:$AE$147,MATCH(Y46,'WORLDCUP'!$Z$101:$Z$147,0))&amp;" )")</f>
      </c>
      <c r="AD46" s="568">
        <v>96</v>
      </c>
      <c r="AE46" t="str" s="569" cm="1">
        <f t="array" ref="AE46">MID(INDEX('WORLDCUP'!$AA$101:$AA$147,MATCH(AD46,'WORLDCUP'!$Z$101:$Z$147,0)),1,3)</f>
        <v>W85</v>
      </c>
      <c r="AF46" t="str" s="570" cm="1">
        <f t="array" ref="AF46">IF(ISBLANK(INDEX('WORLDCUP'!$AC$101:$AC$147,MATCH(AD46,'WORLDCUP'!$Z$101:$Z$147,0))),"",INDEX('WORLDCUP'!$AC$101:$AC$147,MATCH(AD46,'WORLDCUP'!$Z$101:$Z$147,0)))</f>
      </c>
      <c r="AG46" t="str" s="624" cm="1">
        <f t="array" ref="AG46">IF(ISBLANK(INDEX('WORLDCUP'!$AB$101:$AB$147,MATCH(AD46,'WORLDCUP'!$Z$101:$Z$147,0))),"","( "&amp;INDEX('WORLDCUP'!$AB$101:$AB$147,MATCH(AD46,'WORLDCUP'!$Z$101:$Z$147,0))&amp;" )")</f>
      </c>
      <c r="AH46" s="588"/>
      <c r="AI46" s="572"/>
      <c r="AJ46" s="572"/>
      <c r="AK46" s="572"/>
      <c r="AL46" s="518"/>
      <c r="AM46" s="543"/>
      <c r="AN46" s="543"/>
      <c r="AO46" s="543"/>
      <c r="AP46" s="316"/>
      <c r="AQ46" s="573"/>
      <c r="AR46" s="573"/>
      <c r="AS46" s="573"/>
      <c r="AT46" s="316"/>
      <c r="AU46" s="545"/>
      <c r="AV46" s="545"/>
      <c r="AW46" s="545"/>
      <c r="AX46" s="316"/>
      <c r="AY46" s="8"/>
      <c r="AZ46" s="8"/>
      <c r="BA46" s="8"/>
      <c r="BB46" s="8"/>
      <c r="BC46" s="8"/>
      <c r="BD46" s="8"/>
      <c r="BE46" s="8"/>
      <c r="BF46" s="546"/>
      <c r="BG46" t="s" s="575">
        <v>281</v>
      </c>
      <c r="BH46" s="576" cm="1">
        <f t="array" ref="BH46">1-SUM(BI46:BO46)</f>
        <v>1</v>
      </c>
      <c r="BI46" s="576" cm="1">
        <f t="array" ref="BI46">COUNTIF('Pool'!$C$130:$C$161,BG46)-BJ46-BK46-BL46-BM46-BN46-BO46</f>
        <v>0</v>
      </c>
      <c r="BJ46" s="577" cm="1">
        <f t="array" ref="BJ46">COUNTIF('Pool'!$C$182:$C$197,BG46)-BK46-BL46-BM46-BN46-BO46</f>
        <v>0</v>
      </c>
      <c r="BK46" s="578" cm="1">
        <f t="array" ref="BK46">COUNTIF('Pool'!$C$210:$C$217,BG46)-BL46-BM46-BN46-BO46</f>
        <v>0</v>
      </c>
      <c r="BL46" s="578" cm="1">
        <f t="array" ref="BL46">COUNTIF('Pool'!$C$226:$C$229,BG46)-BM46-BN46-BO46</f>
        <v>0</v>
      </c>
      <c r="BM46" s="576" cm="1">
        <f t="array" ref="BM46">COUNTIF('Pool'!$C$252,BG46)</f>
        <v>0</v>
      </c>
      <c r="BN46" s="576" cm="1">
        <f t="array" ref="BN46">COUNTIF('Pool'!$C$251,BG46)</f>
        <v>0</v>
      </c>
      <c r="BO46" s="579" cm="1">
        <f t="array" ref="BO46">COUNTIF('Pool'!$C$250,BG46)</f>
        <v>0</v>
      </c>
    </row>
    <row r="47" ht="15" customHeight="1">
      <c r="A47" s="521">
        <v>57</v>
      </c>
      <c r="B47" s="715"/>
      <c r="C47" t="str" s="557" cm="1">
        <f t="array" ref="C47">MID(INDEX('WORLDCUP'!$AA$4:$AA$147,MATCH(A47,'WORLDCUP'!$AH$4:$AH$147,0)),1,3)</f>
        <v>Jap</v>
      </c>
      <c r="D47" s="128" cm="1">
        <f t="array" ref="D47">IF(ISBLANK(INDEX('WORLDCUP'!$AC$4:$AC$147,MATCH(A47,'WORLDCUP'!$AH$4:$AH$147,0))),"",INDEX('WORLDCUP'!$AC$4:$AC$147,MATCH(A47,'WORLDCUP'!$AH$4:$AH$147,0)))</f>
        <v>1</v>
      </c>
      <c r="E47" s="128" cm="1">
        <f t="array" ref="E47">IF(ISBLANK(INDEX('WORLDCUP'!$AD$4:$AD$147,MATCH(A47,'WORLDCUP'!$AH$4:$AH$147,0))),"",INDEX('WORLDCUP'!$AD$4:$AD$147,MATCH(A47,'WORLDCUP'!$AH$4:$AH$147,0)))</f>
        <v>1</v>
      </c>
      <c r="F47" t="str" s="558" cm="1">
        <f t="array" ref="F47">MID(INDEX('WORLDCUP'!$AF$4:$AF$147,MATCH(A47,'WORLDCUP'!$AH$4:$AH$147,0)),1,3)</f>
        <v>Sue</v>
      </c>
      <c r="G47" s="580">
        <v>4</v>
      </c>
      <c r="H47" t="str" s="593" cm="1">
        <f t="array" ref="H47">MID(INDEX('WORLDCUP'!$AL$6:$AL$97,MATCH(L47,'WORLDCUP'!$AI$6:$AI$97,0)),1,3)</f>
        <v>Tún</v>
      </c>
      <c r="I47" s="594" cm="1">
        <f t="array" ref="I47">INDEX('WORLDCUP'!$AM$6:$AM$97,MATCH(L47,'WORLDCUP'!$AI$6:$AI$97,0))</f>
        <v>0</v>
      </c>
      <c r="J47" s="595" cm="1">
        <f t="array" ref="J47">INDEX('WORLDCUP'!$AT$6:$AT$97,MATCH(L47,'WORLDCUP'!$AI$6:$AI$97,0))</f>
        <v>-6</v>
      </c>
      <c r="K47" t="str" s="596" cm="1">
        <f t="array" ref="K47">INDEX('WORLDCUP'!$AR$6:$AR$97,MATCH(L47,'WORLDCUP'!$AI$6:$AI$97,0))&amp;"-"&amp;INDEX('WORLDCUP'!$AS$6:$AS$97,MATCH(L47,'WORLDCUP'!$AI$6:$AI$97,0))</f>
        <v>1-7</v>
      </c>
      <c r="L47" t="s" s="564">
        <v>289</v>
      </c>
      <c r="M47" s="532">
        <v>67</v>
      </c>
      <c r="N47" s="716"/>
      <c r="O47" t="str" s="557" cm="1">
        <f t="array" ref="O47">MID(INDEX('WORLDCUP'!$AA$4:$AA$147,MATCH(M47,'WORLDCUP'!$AH$4:$AH$147,0)),1,3)</f>
        <v>Pan</v>
      </c>
      <c r="P47" s="128" cm="1">
        <f t="array" ref="P47">IF(ISBLANK(INDEX('WORLDCUP'!$AC$4:$AC$147,MATCH(M47,'WORLDCUP'!$AH$4:$AH$147,0))),"",INDEX('WORLDCUP'!$AC$4:$AC$147,MATCH(M47,'WORLDCUP'!$AH$4:$AH$147,0)))</f>
        <v>0</v>
      </c>
      <c r="Q47" s="128" cm="1">
        <f t="array" ref="Q47">IF(ISBLANK(INDEX('WORLDCUP'!$AD$4:$AD$147,MATCH(M47,'WORLDCUP'!$AH$4:$AH$147,0))),"",INDEX('WORLDCUP'!$AD$4:$AD$147,MATCH(M47,'WORLDCUP'!$AH$4:$AH$147,0)))</f>
        <v>2</v>
      </c>
      <c r="R47" t="str" s="558" cm="1">
        <f t="array" ref="R47">MID(INDEX('WORLDCUP'!$AF$4:$AF$147,MATCH(M47,'WORLDCUP'!$AH$4:$AH$147,0)),1,3)</f>
        <v>Ing</v>
      </c>
      <c r="S47" s="580">
        <v>4</v>
      </c>
      <c r="T47" t="str" s="593" cm="1">
        <f t="array" ref="T47">MID(INDEX('WORLDCUP'!$AL$6:$AL$97,MATCH(X47,'WORLDCUP'!$AI$6:$AI$97,0)),1,3)</f>
        <v>Pan</v>
      </c>
      <c r="U47" s="594" cm="1">
        <f t="array" ref="U47">INDEX('WORLDCUP'!$AM$6:$AM$97,MATCH(X47,'WORLDCUP'!$AI$6:$AI$97,0))</f>
        <v>0</v>
      </c>
      <c r="V47" s="595" cm="1">
        <f t="array" ref="V47">INDEX('WORLDCUP'!$AT$6:$AT$97,MATCH(X47,'WORLDCUP'!$AI$6:$AI$97,0))</f>
        <v>-5</v>
      </c>
      <c r="W47" t="str" s="596" cm="1">
        <f t="array" ref="W47">INDEX('WORLDCUP'!$AR$6:$AR$97,MATCH(X47,'WORLDCUP'!$AI$6:$AI$97,0))&amp;"-"&amp;INDEX('WORLDCUP'!$AS$6:$AS$97,MATCH(X47,'WORLDCUP'!$AI$6:$AI$97,0))</f>
        <v>1-6</v>
      </c>
      <c r="X47" t="s" s="566">
        <v>428</v>
      </c>
      <c r="Y47" s="583"/>
      <c r="Z47" s="284"/>
      <c r="AA47" s="584"/>
      <c r="AB47" s="584"/>
      <c r="AC47" s="585"/>
      <c r="AD47" s="586">
        <v>96</v>
      </c>
      <c r="AE47" t="str" s="569" cm="1">
        <f t="array" ref="AE47">MID(INDEX('WORLDCUP'!$AF$101:$AF$147,MATCH(AD47,'WORLDCUP'!$Z$101:$Z$147,0)),1,3)</f>
        <v>W87</v>
      </c>
      <c r="AF47" t="str" s="570" cm="1">
        <f t="array" ref="AF47">IF(ISBLANK(INDEX('WORLDCUP'!$AD$101:$AD$147,MATCH(AD47,'WORLDCUP'!$Z$101:$Z$147,0))),"",INDEX('WORLDCUP'!$AD$101:$AD$147,MATCH(AD47,'WORLDCUP'!$Z$101:$Z$147,0)))</f>
      </c>
      <c r="AG47" t="str" s="629" cm="1">
        <f t="array" ref="AG47">IF(ISBLANK(INDEX('WORLDCUP'!$AE$101:$AE$147,MATCH(AD47,'WORLDCUP'!$Z$101:$Z$147,0))),"","( "&amp;INDEX('WORLDCUP'!$AE$101:$AE$147,MATCH(AD47,'WORLDCUP'!$Z$101:$Z$147,0))&amp;" )")</f>
      </c>
      <c r="AH47" s="316"/>
      <c r="AI47" s="572"/>
      <c r="AJ47" s="572"/>
      <c r="AK47" s="572"/>
      <c r="AL47" s="518"/>
      <c r="AM47" s="543"/>
      <c r="AN47" s="543"/>
      <c r="AO47" s="543"/>
      <c r="AP47" s="316"/>
      <c r="AQ47" s="573"/>
      <c r="AR47" s="573"/>
      <c r="AS47" s="573"/>
      <c r="AT47" s="316"/>
      <c r="AU47" s="545"/>
      <c r="AV47" s="545"/>
      <c r="AW47" s="545"/>
      <c r="AX47" s="316"/>
      <c r="AY47" s="8"/>
      <c r="AZ47" s="8"/>
      <c r="BA47" s="8"/>
      <c r="BB47" s="8"/>
      <c r="BC47" s="8"/>
      <c r="BD47" s="8"/>
      <c r="BE47" s="8"/>
      <c r="BF47" s="546"/>
      <c r="BG47" t="s" s="575">
        <v>194</v>
      </c>
      <c r="BH47" s="576" cm="1">
        <f t="array" ref="BH47">1-SUM(BI47:BO47)</f>
        <v>1</v>
      </c>
      <c r="BI47" s="576" cm="1">
        <f t="array" ref="BI47">COUNTIF('Pool'!$C$130:$C$161,BG47)-BJ47-BK47-BL47-BM47-BN47-BO47</f>
        <v>0</v>
      </c>
      <c r="BJ47" s="577" cm="1">
        <f t="array" ref="BJ47">COUNTIF('Pool'!$C$182:$C$197,BG47)-BK47-BL47-BM47-BN47-BO47</f>
        <v>0</v>
      </c>
      <c r="BK47" s="578" cm="1">
        <f t="array" ref="BK47">COUNTIF('Pool'!$C$210:$C$217,BG47)-BL47-BM47-BN47-BO47</f>
        <v>0</v>
      </c>
      <c r="BL47" s="578" cm="1">
        <f t="array" ref="BL47">COUNTIF('Pool'!$C$226:$C$229,BG47)-BM47-BN47-BO47</f>
        <v>0</v>
      </c>
      <c r="BM47" s="576" cm="1">
        <f t="array" ref="BM47">COUNTIF('Pool'!$C$252,BG47)</f>
        <v>0</v>
      </c>
      <c r="BN47" s="576" cm="1">
        <f t="array" ref="BN47">COUNTIF('Pool'!$C$251,BG47)</f>
        <v>0</v>
      </c>
      <c r="BO47" s="579" cm="1">
        <f t="array" ref="BO47">COUNTIF('Pool'!$C$250,BG47)</f>
        <v>0</v>
      </c>
    </row>
    <row r="48" ht="16" customHeight="1">
      <c r="A48" s="521">
        <v>58</v>
      </c>
      <c r="B48" s="717"/>
      <c r="C48" t="str" s="603" cm="1">
        <f t="array" ref="C48">MID(INDEX('WORLDCUP'!$AA$4:$AA$147,MATCH(A48,'WORLDCUP'!$AH$4:$AH$147,0)),1,3)</f>
        <v>Tún</v>
      </c>
      <c r="D48" s="169" cm="1">
        <f t="array" ref="D48">IF(ISBLANK(INDEX('WORLDCUP'!$AC$4:$AC$147,MATCH(A48,'WORLDCUP'!$AH$4:$AH$147,0))),"",INDEX('WORLDCUP'!$AC$4:$AC$147,MATCH(A48,'WORLDCUP'!$AH$4:$AH$147,0)))</f>
        <v>1</v>
      </c>
      <c r="E48" s="169" cm="1">
        <f t="array" ref="E48">IF(ISBLANK(INDEX('WORLDCUP'!$AD$4:$AD$147,MATCH(A48,'WORLDCUP'!$AH$4:$AH$147,0))),"",INDEX('WORLDCUP'!$AD$4:$AD$147,MATCH(A48,'WORLDCUP'!$AH$4:$AH$147,0)))</f>
        <v>3</v>
      </c>
      <c r="F48" t="str" s="604" cm="1">
        <f t="array" ref="F48">MID(INDEX('WORLDCUP'!$AF$4:$AF$147,MATCH(A48,'WORLDCUP'!$AH$4:$AH$147,0)),1,3)</f>
        <v>Paí</v>
      </c>
      <c r="G48" s="605"/>
      <c r="H48" s="606"/>
      <c r="I48" s="607"/>
      <c r="J48" s="607"/>
      <c r="K48" s="608"/>
      <c r="L48" s="531"/>
      <c r="M48" s="532">
        <v>68</v>
      </c>
      <c r="N48" s="718"/>
      <c r="O48" t="str" s="603" cm="1">
        <f t="array" ref="O48">MID(INDEX('WORLDCUP'!$AA$4:$AA$147,MATCH(M48,'WORLDCUP'!$AH$4:$AH$147,0)),1,3)</f>
        <v>Cro</v>
      </c>
      <c r="P48" s="169" cm="1">
        <f t="array" ref="P48">IF(ISBLANK(INDEX('WORLDCUP'!$AC$4:$AC$147,MATCH(M48,'WORLDCUP'!$AH$4:$AH$147,0))),"",INDEX('WORLDCUP'!$AC$4:$AC$147,MATCH(M48,'WORLDCUP'!$AH$4:$AH$147,0)))</f>
        <v>2</v>
      </c>
      <c r="Q48" s="169" cm="1">
        <f t="array" ref="Q48">IF(ISBLANK(INDEX('WORLDCUP'!$AD$4:$AD$147,MATCH(M48,'WORLDCUP'!$AH$4:$AH$147,0))),"",INDEX('WORLDCUP'!$AD$4:$AD$147,MATCH(M48,'WORLDCUP'!$AH$4:$AH$147,0)))</f>
        <v>1</v>
      </c>
      <c r="R48" t="str" s="604" cm="1">
        <f t="array" ref="R48">MID(INDEX('WORLDCUP'!$AF$4:$AF$147,MATCH(M48,'WORLDCUP'!$AH$4:$AH$147,0)),1,3)</f>
        <v>Gha</v>
      </c>
      <c r="S48" s="605"/>
      <c r="T48" s="606"/>
      <c r="U48" s="607"/>
      <c r="V48" s="607"/>
      <c r="W48" s="608"/>
      <c r="X48" s="534"/>
      <c r="Y48" s="535">
        <v>87</v>
      </c>
      <c r="Z48" t="s" s="536">
        <v>388</v>
      </c>
      <c r="AA48" t="str" s="537" cm="1">
        <f t="array" ref="AA48">MID(INDEX('WORLDCUP'!$AA$101:$AA$147,MATCH(Y48,'WORLDCUP'!$Z$101:$Z$147,0)),1,3)</f>
        <v>Por</v>
      </c>
      <c r="AB48" t="str" s="538" cm="1">
        <f t="array" ref="AB48">IF(ISBLANK(INDEX('WORLDCUP'!$AC$101:$AC$147,MATCH(Y48,'WORLDCUP'!$Z$101:$Z$147,0))),"",INDEX('WORLDCUP'!$AC$101:$AC$147,MATCH(Y48,'WORLDCUP'!$Z$101:$Z$147,0)))</f>
      </c>
      <c r="AC48" t="str" s="632" cm="1">
        <f t="array" ref="AC48">IF(ISBLANK(INDEX('WORLDCUP'!$AB$101:$AB$147,MATCH(Y48,'WORLDCUP'!$Z$101:$Z$147,0))),"","( "&amp;INDEX('WORLDCUP'!$AB$101:$AB$147,MATCH(Y48,'WORLDCUP'!$Z$101:$Z$147,0))&amp;" )")</f>
      </c>
      <c r="AD48" s="588"/>
      <c r="AE48" s="633"/>
      <c r="AF48" s="633"/>
      <c r="AG48" s="541"/>
      <c r="AH48" s="316"/>
      <c r="AI48" s="572"/>
      <c r="AJ48" s="572"/>
      <c r="AK48" s="572"/>
      <c r="AL48" s="518"/>
      <c r="AM48" s="543"/>
      <c r="AN48" s="543"/>
      <c r="AO48" s="543"/>
      <c r="AP48" s="316"/>
      <c r="AQ48" s="573"/>
      <c r="AR48" s="573"/>
      <c r="AS48" s="573"/>
      <c r="AT48" s="316"/>
      <c r="AU48" s="545"/>
      <c r="AV48" s="545"/>
      <c r="AW48" s="545"/>
      <c r="AX48" s="316"/>
      <c r="AY48" s="8"/>
      <c r="AZ48" s="8"/>
      <c r="BA48" s="8"/>
      <c r="BB48" s="8"/>
      <c r="BC48" s="8"/>
      <c r="BD48" s="8"/>
      <c r="BE48" s="8"/>
      <c r="BF48" s="546"/>
      <c r="BG48" t="s" s="575">
        <v>287</v>
      </c>
      <c r="BH48" s="576" cm="1">
        <f t="array" ref="BH48">1-SUM(BI48:BO48)</f>
        <v>1</v>
      </c>
      <c r="BI48" s="576" cm="1">
        <f t="array" ref="BI48">COUNTIF('Pool'!$C$130:$C$161,BG48)-BJ48-BK48-BL48-BM48-BN48-BO48</f>
        <v>0</v>
      </c>
      <c r="BJ48" s="577" cm="1">
        <f t="array" ref="BJ48">COUNTIF('Pool'!$C$182:$C$197,BG48)-BK48-BL48-BM48-BN48-BO48</f>
        <v>0</v>
      </c>
      <c r="BK48" s="578" cm="1">
        <f t="array" ref="BK48">COUNTIF('Pool'!$C$210:$C$217,BG48)-BL48-BM48-BN48-BO48</f>
        <v>0</v>
      </c>
      <c r="BL48" s="578" cm="1">
        <f t="array" ref="BL48">COUNTIF('Pool'!$C$226:$C$229,BG48)-BM48-BN48-BO48</f>
        <v>0</v>
      </c>
      <c r="BM48" s="576" cm="1">
        <f t="array" ref="BM48">COUNTIF('Pool'!$C$252,BG48)</f>
        <v>0</v>
      </c>
      <c r="BN48" s="576" cm="1">
        <f t="array" ref="BN48">COUNTIF('Pool'!$C$251,BG48)</f>
        <v>0</v>
      </c>
      <c r="BO48" s="579" cm="1">
        <f t="array" ref="BO48">COUNTIF('Pool'!$C$250,BG48)</f>
        <v>0</v>
      </c>
    </row>
    <row r="49" ht="15" customHeight="1">
      <c r="A49" s="7"/>
      <c r="B49" s="617"/>
      <c r="C49" s="617"/>
      <c r="D49" s="617"/>
      <c r="E49" s="617"/>
      <c r="F49" s="617"/>
      <c r="G49" s="617"/>
      <c r="H49" s="617"/>
      <c r="I49" s="617"/>
      <c r="J49" s="617"/>
      <c r="K49" s="617"/>
      <c r="L49" s="8"/>
      <c r="M49" s="8"/>
      <c r="N49" s="617"/>
      <c r="O49" s="617"/>
      <c r="P49" s="617"/>
      <c r="Q49" s="617"/>
      <c r="R49" s="617"/>
      <c r="S49" s="617"/>
      <c r="T49" s="617"/>
      <c r="U49" s="617"/>
      <c r="V49" s="617"/>
      <c r="W49" s="617"/>
      <c r="X49" s="8"/>
      <c r="Y49" s="618">
        <v>87</v>
      </c>
      <c r="Z49" t="s" s="536">
        <v>609</v>
      </c>
      <c r="AA49" t="str" s="537" cm="1">
        <f t="array" ref="AA49">MID(INDEX('WORLDCUP'!$AF$101:$AF$147,MATCH(Y49,'WORLDCUP'!$Z$101:$Z$147,0)),1,IF('WORLDCUP'!$H$113&lt;144,6,3))</f>
        <v>3DE</v>
      </c>
      <c r="AB49" t="str" s="538" cm="1">
        <f t="array" ref="AB49">IF(ISBLANK(INDEX('WORLDCUP'!$AD$101:$AD$147,MATCH(Y49,'WORLDCUP'!$Z$101:$Z$147,0))),"",INDEX('WORLDCUP'!$AD$101:$AD$147,MATCH(Y49,'WORLDCUP'!$Z$101:$Z$147,0)))</f>
      </c>
      <c r="AC49" t="str" s="635" cm="1">
        <f t="array" ref="AC49">IF(ISBLANK(INDEX('WORLDCUP'!$AE$101:$AE$147,MATCH(Y49,'WORLDCUP'!$Z$101:$Z$147,0))),"","( "&amp;INDEX('WORLDCUP'!$AE$101:$AE$147,MATCH(Y49,'WORLDCUP'!$Z$101:$Z$147,0))&amp;" )")</f>
      </c>
      <c r="AD49" s="316"/>
      <c r="AE49" s="541"/>
      <c r="AF49" s="541"/>
      <c r="AG49" s="541"/>
      <c r="AH49" s="316"/>
      <c r="AI49" s="572"/>
      <c r="AJ49" s="572"/>
      <c r="AK49" s="572"/>
      <c r="AL49" s="518"/>
      <c r="AM49" s="543"/>
      <c r="AN49" s="543"/>
      <c r="AO49" s="543"/>
      <c r="AP49" s="316"/>
      <c r="AQ49" s="573"/>
      <c r="AR49" s="573"/>
      <c r="AS49" s="573"/>
      <c r="AT49" s="316"/>
      <c r="AU49" s="545"/>
      <c r="AV49" s="545"/>
      <c r="AW49" s="545"/>
      <c r="AX49" s="316"/>
      <c r="AY49" s="8"/>
      <c r="AZ49" s="8"/>
      <c r="BA49" s="8"/>
      <c r="BB49" s="8"/>
      <c r="BC49" s="8"/>
      <c r="BD49" s="8"/>
      <c r="BE49" s="8"/>
      <c r="BF49" s="546"/>
      <c r="BG49" t="s" s="575">
        <v>241</v>
      </c>
      <c r="BH49" s="576" cm="1">
        <f t="array" ref="BH49">1-SUM(BI49:BO49)</f>
        <v>1</v>
      </c>
      <c r="BI49" s="576" cm="1">
        <f t="array" ref="BI49">COUNTIF('Pool'!$C$130:$C$161,BG49)-BJ49-BK49-BL49-BM49-BN49-BO49</f>
        <v>0</v>
      </c>
      <c r="BJ49" s="577" cm="1">
        <f t="array" ref="BJ49">COUNTIF('Pool'!$C$182:$C$197,BG49)-BK49-BL49-BM49-BN49-BO49</f>
        <v>0</v>
      </c>
      <c r="BK49" s="578" cm="1">
        <f t="array" ref="BK49">COUNTIF('Pool'!$C$210:$C$217,BG49)-BL49-BM49-BN49-BO49</f>
        <v>0</v>
      </c>
      <c r="BL49" s="578" cm="1">
        <f t="array" ref="BL49">COUNTIF('Pool'!$C$226:$C$229,BG49)-BM49-BN49-BO49</f>
        <v>0</v>
      </c>
      <c r="BM49" s="576" cm="1">
        <f t="array" ref="BM49">COUNTIF('Pool'!$C$252,BG49)</f>
        <v>0</v>
      </c>
      <c r="BN49" s="576" cm="1">
        <f t="array" ref="BN49">COUNTIF('Pool'!$C$251,BG49)</f>
        <v>0</v>
      </c>
      <c r="BO49" s="579" cm="1">
        <f t="array" ref="BO49">COUNTIF('Pool'!$C$250,BG49)</f>
        <v>0</v>
      </c>
    </row>
    <row r="50" ht="15" customHeight="1">
      <c r="A50" s="7"/>
      <c r="B50" s="8"/>
      <c r="C50" s="8"/>
      <c r="D50" s="8"/>
      <c r="E50" s="8"/>
      <c r="F50" s="8"/>
      <c r="G50" s="8"/>
      <c r="H50" s="8"/>
      <c r="I50" s="8"/>
      <c r="J50" s="8"/>
      <c r="K50" s="8"/>
      <c r="L50" s="8"/>
      <c r="M50" s="8"/>
      <c r="N50" s="8"/>
      <c r="O50" s="8"/>
      <c r="P50" s="8"/>
      <c r="Q50" s="8"/>
      <c r="R50" s="8"/>
      <c r="S50" s="8"/>
      <c r="T50" s="8"/>
      <c r="U50" s="8"/>
      <c r="V50" s="8"/>
      <c r="W50" s="8"/>
      <c r="X50" s="8"/>
      <c r="Y50" s="83"/>
      <c r="Z50" s="83"/>
      <c r="AA50" s="719"/>
      <c r="AB50" s="719"/>
      <c r="AC50" s="720"/>
      <c r="AD50" s="316"/>
      <c r="AE50" s="721"/>
      <c r="AF50" s="721"/>
      <c r="AG50" s="721"/>
      <c r="AH50" s="316"/>
      <c r="AI50" s="572"/>
      <c r="AJ50" s="572"/>
      <c r="AK50" s="572"/>
      <c r="AL50" s="518"/>
      <c r="AM50" s="543"/>
      <c r="AN50" s="543"/>
      <c r="AO50" s="543"/>
      <c r="AP50" s="316"/>
      <c r="AQ50" s="544"/>
      <c r="AR50" s="544"/>
      <c r="AS50" s="544"/>
      <c r="AT50" s="316"/>
      <c r="AU50" s="722"/>
      <c r="AV50" s="722"/>
      <c r="AW50" s="722"/>
      <c r="AX50" s="316"/>
      <c r="AY50" s="8"/>
      <c r="AZ50" s="8"/>
      <c r="BA50" s="8"/>
      <c r="BB50" s="8"/>
      <c r="BC50" s="8"/>
      <c r="BD50" s="8"/>
      <c r="BE50" s="8"/>
      <c r="BF50" s="546"/>
      <c r="BG50" t="s" s="575">
        <v>333</v>
      </c>
      <c r="BH50" s="576" cm="1">
        <f t="array" ref="BH50">1-SUM(BI50:BO50)</f>
        <v>1</v>
      </c>
      <c r="BI50" s="576" cm="1">
        <f t="array" ref="BI50">COUNTIF('Pool'!$C$130:$C$161,BG50)-BJ50-BK50-BL50-BM50-BN50-BO50</f>
        <v>0</v>
      </c>
      <c r="BJ50" s="577" cm="1">
        <f t="array" ref="BJ50">COUNTIF('Pool'!$C$182:$C$197,BG50)-BK50-BL50-BM50-BN50-BO50</f>
        <v>0</v>
      </c>
      <c r="BK50" s="578" cm="1">
        <f t="array" ref="BK50">COUNTIF('Pool'!$C$210:$C$217,BG50)-BL50-BM50-BN50-BO50</f>
        <v>0</v>
      </c>
      <c r="BL50" s="578" cm="1">
        <f t="array" ref="BL50">COUNTIF('Pool'!$C$226:$C$229,BG50)-BM50-BN50-BO50</f>
        <v>0</v>
      </c>
      <c r="BM50" s="576" cm="1">
        <f t="array" ref="BM50">COUNTIF('Pool'!$C$252,BG50)</f>
        <v>0</v>
      </c>
      <c r="BN50" s="576" cm="1">
        <f t="array" ref="BN50">COUNTIF('Pool'!$C$251,BG50)</f>
        <v>0</v>
      </c>
      <c r="BO50" s="579" cm="1">
        <f t="array" ref="BO50">COUNTIF('Pool'!$C$250,BG50)</f>
        <v>0</v>
      </c>
    </row>
    <row r="51" ht="15" customHeight="1">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546"/>
      <c r="BG51" t="s" s="723">
        <v>398</v>
      </c>
      <c r="BH51" s="724" cm="1">
        <f t="array" ref="BH51">1-SUM(BI51:BO51)</f>
        <v>1</v>
      </c>
      <c r="BI51" s="724" cm="1">
        <f t="array" ref="BI51">COUNTIF('Pool'!$C$130:$C$161,BG51)-BJ51-BK51-BL51-BM51-BN51-BO51</f>
        <v>0</v>
      </c>
      <c r="BJ51" s="725" cm="1">
        <f t="array" ref="BJ51">COUNTIF('Pool'!$C$182:$C$197,BG51)-BK51-BL51-BM51-BN51-BO51</f>
        <v>0</v>
      </c>
      <c r="BK51" s="726" cm="1">
        <f t="array" ref="BK51">COUNTIF('Pool'!$C$210:$C$217,BG51)-BL51-BM51-BN51-BO51</f>
        <v>0</v>
      </c>
      <c r="BL51" s="726" cm="1">
        <f t="array" ref="BL51">COUNTIF('Pool'!$C$226:$C$229,BG51)-BM51-BN51-BO51</f>
        <v>0</v>
      </c>
      <c r="BM51" s="724" cm="1">
        <f t="array" ref="BM51">COUNTIF('Pool'!$C$252,BG51)</f>
        <v>0</v>
      </c>
      <c r="BN51" s="724" cm="1">
        <f t="array" ref="BN51">COUNTIF('Pool'!$C$251,BG51)</f>
        <v>0</v>
      </c>
      <c r="BO51" s="727" cm="1">
        <f t="array" ref="BO51">COUNTIF('Pool'!$C$250,BG51)</f>
        <v>0</v>
      </c>
    </row>
    <row r="52" ht="15" customHeight="1">
      <c r="A52" s="7"/>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14"/>
      <c r="BG52" s="728"/>
      <c r="BH52" s="728"/>
      <c r="BI52" s="728"/>
      <c r="BJ52" s="728"/>
      <c r="BK52" s="728"/>
      <c r="BL52" s="728"/>
      <c r="BM52" s="728"/>
      <c r="BN52" s="728"/>
      <c r="BO52" s="729"/>
    </row>
    <row r="53" ht="15" customHeight="1">
      <c r="A53" s="458"/>
      <c r="B53" s="14"/>
      <c r="C53" s="14"/>
      <c r="D53" s="14"/>
      <c r="E53" s="14"/>
      <c r="F53" s="14"/>
      <c r="G53" s="14"/>
      <c r="H53" s="14"/>
      <c r="I53" s="14"/>
      <c r="J53" s="14"/>
      <c r="K53" s="14"/>
      <c r="L53" s="14"/>
      <c r="M53" s="14"/>
      <c r="N53" s="14"/>
      <c r="O53" s="14"/>
      <c r="P53" s="14"/>
      <c r="Q53" s="14"/>
      <c r="R53" s="14"/>
      <c r="S53" s="14"/>
      <c r="T53" s="14"/>
      <c r="U53" s="14"/>
      <c r="V53" s="14"/>
      <c r="W53" s="730"/>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413"/>
    </row>
    <row r="54" ht="15" customHeight="1">
      <c r="A54" s="458"/>
      <c r="B54" s="14"/>
      <c r="C54" s="14"/>
      <c r="D54" s="14"/>
      <c r="E54" s="14"/>
      <c r="F54" s="14"/>
      <c r="G54" s="14"/>
      <c r="H54" s="14"/>
      <c r="I54" s="14"/>
      <c r="J54" s="14"/>
      <c r="K54" s="14"/>
      <c r="L54" s="14"/>
      <c r="M54" s="14"/>
      <c r="N54" s="14"/>
      <c r="O54" s="14"/>
      <c r="P54" s="14"/>
      <c r="Q54" s="14"/>
      <c r="R54" s="14"/>
      <c r="S54" s="14"/>
      <c r="T54" s="14"/>
      <c r="U54" s="14"/>
      <c r="V54" s="14"/>
      <c r="W54" s="730"/>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413"/>
    </row>
    <row r="55" ht="15" customHeight="1">
      <c r="A55" s="458"/>
      <c r="B55" s="14"/>
      <c r="C55" s="14"/>
      <c r="D55" s="14"/>
      <c r="E55" s="14"/>
      <c r="F55" s="14"/>
      <c r="G55" s="14"/>
      <c r="H55" s="14"/>
      <c r="I55" s="14"/>
      <c r="J55" s="14"/>
      <c r="K55" s="14"/>
      <c r="L55" s="14"/>
      <c r="M55" s="14"/>
      <c r="N55" s="14"/>
      <c r="O55" s="14"/>
      <c r="P55" s="14"/>
      <c r="Q55" s="14"/>
      <c r="R55" s="14"/>
      <c r="S55" s="14"/>
      <c r="T55" s="14"/>
      <c r="U55" s="14"/>
      <c r="V55" s="14"/>
      <c r="W55" s="730"/>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413"/>
    </row>
    <row r="56" ht="15" customHeight="1">
      <c r="A56" s="458"/>
      <c r="B56" s="14"/>
      <c r="C56" s="14"/>
      <c r="D56" s="14"/>
      <c r="E56" s="14"/>
      <c r="F56" s="14"/>
      <c r="G56" s="14"/>
      <c r="H56" s="14"/>
      <c r="I56" s="14"/>
      <c r="J56" s="14"/>
      <c r="K56" s="14"/>
      <c r="L56" s="14"/>
      <c r="M56" s="14"/>
      <c r="N56" s="14"/>
      <c r="O56" s="14"/>
      <c r="P56" s="14"/>
      <c r="Q56" s="14"/>
      <c r="R56" s="14"/>
      <c r="S56" s="14"/>
      <c r="T56" s="14"/>
      <c r="U56" s="14"/>
      <c r="V56" s="14"/>
      <c r="W56" s="730"/>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413"/>
    </row>
    <row r="57" ht="15" customHeight="1">
      <c r="A57" s="458"/>
      <c r="B57" s="14"/>
      <c r="C57" s="14"/>
      <c r="D57" s="14"/>
      <c r="E57" s="14"/>
      <c r="F57" s="14"/>
      <c r="G57" s="14"/>
      <c r="H57" s="14"/>
      <c r="I57" s="14"/>
      <c r="J57" s="14"/>
      <c r="K57" s="14"/>
      <c r="L57" s="14"/>
      <c r="M57" s="14"/>
      <c r="N57" s="14"/>
      <c r="O57" s="14"/>
      <c r="P57" s="14"/>
      <c r="Q57" s="14"/>
      <c r="R57" s="14"/>
      <c r="S57" s="14"/>
      <c r="T57" s="14"/>
      <c r="U57" s="14"/>
      <c r="V57" s="14"/>
      <c r="W57" s="730"/>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413"/>
    </row>
    <row r="58" ht="15" customHeight="1">
      <c r="A58" s="458"/>
      <c r="B58" s="14"/>
      <c r="C58" s="14"/>
      <c r="D58" s="14"/>
      <c r="E58" s="14"/>
      <c r="F58" s="14"/>
      <c r="G58" s="14"/>
      <c r="H58" s="14"/>
      <c r="I58" s="14"/>
      <c r="J58" s="14"/>
      <c r="K58" s="14"/>
      <c r="L58" s="14"/>
      <c r="M58" s="14"/>
      <c r="N58" s="14"/>
      <c r="O58" s="14"/>
      <c r="P58" s="14"/>
      <c r="Q58" s="14"/>
      <c r="R58" s="14"/>
      <c r="S58" s="14"/>
      <c r="T58" s="14"/>
      <c r="U58" s="14"/>
      <c r="V58" s="14"/>
      <c r="W58" s="730"/>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413"/>
    </row>
    <row r="59" ht="15" customHeight="1">
      <c r="A59" s="458"/>
      <c r="B59" s="14"/>
      <c r="C59" s="14"/>
      <c r="D59" s="14"/>
      <c r="E59" s="14"/>
      <c r="F59" s="14"/>
      <c r="G59" s="14"/>
      <c r="H59" s="14"/>
      <c r="I59" s="14"/>
      <c r="J59" s="14"/>
      <c r="K59" s="14"/>
      <c r="L59" s="14"/>
      <c r="M59" s="14"/>
      <c r="N59" s="14"/>
      <c r="O59" s="14"/>
      <c r="P59" s="14"/>
      <c r="Q59" s="14"/>
      <c r="R59" s="14"/>
      <c r="S59" s="14"/>
      <c r="T59" s="14"/>
      <c r="U59" s="14"/>
      <c r="V59" s="14"/>
      <c r="W59" s="730"/>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413"/>
    </row>
    <row r="60" ht="15" customHeight="1">
      <c r="A60" s="458"/>
      <c r="B60" s="14"/>
      <c r="C60" s="14"/>
      <c r="D60" s="14"/>
      <c r="E60" s="14"/>
      <c r="F60" s="14"/>
      <c r="G60" s="14"/>
      <c r="H60" s="14"/>
      <c r="I60" s="14"/>
      <c r="J60" s="14"/>
      <c r="K60" s="14"/>
      <c r="L60" s="14"/>
      <c r="M60" s="14"/>
      <c r="N60" s="14"/>
      <c r="O60" s="14"/>
      <c r="P60" s="14"/>
      <c r="Q60" s="14"/>
      <c r="R60" s="14"/>
      <c r="S60" s="14"/>
      <c r="T60" s="14"/>
      <c r="U60" s="14"/>
      <c r="V60" s="14"/>
      <c r="W60" s="730"/>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413"/>
    </row>
    <row r="61" ht="15" customHeight="1">
      <c r="A61" s="458"/>
      <c r="B61" s="14"/>
      <c r="C61" s="14"/>
      <c r="D61" s="14"/>
      <c r="E61" s="14"/>
      <c r="F61" s="14"/>
      <c r="G61" s="14"/>
      <c r="H61" s="14"/>
      <c r="I61" s="14"/>
      <c r="J61" s="14"/>
      <c r="K61" s="14"/>
      <c r="L61" s="14"/>
      <c r="M61" s="14"/>
      <c r="N61" s="14"/>
      <c r="O61" s="14"/>
      <c r="P61" s="14"/>
      <c r="Q61" s="14"/>
      <c r="R61" s="14"/>
      <c r="S61" s="14"/>
      <c r="T61" s="14"/>
      <c r="U61" s="14"/>
      <c r="V61" s="14"/>
      <c r="W61" s="730"/>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413"/>
    </row>
    <row r="62" ht="15" customHeight="1">
      <c r="A62" s="458"/>
      <c r="B62" s="14"/>
      <c r="C62" s="14"/>
      <c r="D62" s="14"/>
      <c r="E62" s="14"/>
      <c r="F62" s="14"/>
      <c r="G62" s="14"/>
      <c r="H62" s="14"/>
      <c r="I62" s="14"/>
      <c r="J62" s="14"/>
      <c r="K62" s="14"/>
      <c r="L62" s="14"/>
      <c r="M62" s="14"/>
      <c r="N62" s="14"/>
      <c r="O62" s="14"/>
      <c r="P62" s="14"/>
      <c r="Q62" s="14"/>
      <c r="R62" s="14"/>
      <c r="S62" s="14"/>
      <c r="T62" s="14"/>
      <c r="U62" s="14"/>
      <c r="V62" s="14"/>
      <c r="W62" s="730"/>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413"/>
    </row>
    <row r="63" ht="15" customHeight="1">
      <c r="A63" s="458"/>
      <c r="B63" s="14"/>
      <c r="C63" s="14"/>
      <c r="D63" s="14"/>
      <c r="E63" s="14"/>
      <c r="F63" s="14"/>
      <c r="G63" s="14"/>
      <c r="H63" s="14"/>
      <c r="I63" s="14"/>
      <c r="J63" s="14"/>
      <c r="K63" s="14"/>
      <c r="L63" s="14"/>
      <c r="M63" s="14"/>
      <c r="N63" s="14"/>
      <c r="O63" s="14"/>
      <c r="P63" s="14"/>
      <c r="Q63" s="14"/>
      <c r="R63" s="14"/>
      <c r="S63" s="14"/>
      <c r="T63" s="14"/>
      <c r="U63" s="14"/>
      <c r="V63" s="14"/>
      <c r="W63" s="730"/>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413"/>
    </row>
    <row r="64" ht="15" customHeight="1">
      <c r="A64" s="458"/>
      <c r="B64" s="14"/>
      <c r="C64" s="14"/>
      <c r="D64" s="14"/>
      <c r="E64" s="14"/>
      <c r="F64" s="14"/>
      <c r="G64" s="14"/>
      <c r="H64" s="14"/>
      <c r="I64" s="14"/>
      <c r="J64" s="14"/>
      <c r="K64" s="14"/>
      <c r="L64" s="14"/>
      <c r="M64" s="14"/>
      <c r="N64" s="14"/>
      <c r="O64" s="14"/>
      <c r="P64" s="14"/>
      <c r="Q64" s="14"/>
      <c r="R64" s="14"/>
      <c r="S64" s="14"/>
      <c r="T64" s="14"/>
      <c r="U64" s="14"/>
      <c r="V64" s="14"/>
      <c r="W64" s="730"/>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413"/>
    </row>
    <row r="65" ht="15" customHeight="1">
      <c r="A65" s="458"/>
      <c r="B65" s="14"/>
      <c r="C65" s="14"/>
      <c r="D65" s="14"/>
      <c r="E65" s="14"/>
      <c r="F65" s="14"/>
      <c r="G65" s="14"/>
      <c r="H65" s="14"/>
      <c r="I65" s="14"/>
      <c r="J65" s="14"/>
      <c r="K65" s="14"/>
      <c r="L65" s="14"/>
      <c r="M65" s="14"/>
      <c r="N65" s="14"/>
      <c r="O65" s="14"/>
      <c r="P65" s="14"/>
      <c r="Q65" s="14"/>
      <c r="R65" s="14"/>
      <c r="S65" s="14"/>
      <c r="T65" s="14"/>
      <c r="U65" s="14"/>
      <c r="V65" s="14"/>
      <c r="W65" s="730"/>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413"/>
    </row>
    <row r="66" ht="15" customHeight="1">
      <c r="A66" s="458"/>
      <c r="B66" s="14"/>
      <c r="C66" s="14"/>
      <c r="D66" s="14"/>
      <c r="E66" s="14"/>
      <c r="F66" s="14"/>
      <c r="G66" s="14"/>
      <c r="H66" s="14"/>
      <c r="I66" s="14"/>
      <c r="J66" s="14"/>
      <c r="K66" s="14"/>
      <c r="L66" s="14"/>
      <c r="M66" s="14"/>
      <c r="N66" s="14"/>
      <c r="O66" s="14"/>
      <c r="P66" s="14"/>
      <c r="Q66" s="14"/>
      <c r="R66" s="14"/>
      <c r="S66" s="14"/>
      <c r="T66" s="14"/>
      <c r="U66" s="14"/>
      <c r="V66" s="14"/>
      <c r="W66" s="730"/>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413"/>
    </row>
    <row r="67" ht="15" customHeight="1">
      <c r="A67" s="458"/>
      <c r="B67" s="14"/>
      <c r="C67" s="14"/>
      <c r="D67" s="14"/>
      <c r="E67" s="14"/>
      <c r="F67" s="14"/>
      <c r="G67" s="14"/>
      <c r="H67" s="14"/>
      <c r="I67" s="14"/>
      <c r="J67" s="14"/>
      <c r="K67" s="14"/>
      <c r="L67" s="14"/>
      <c r="M67" s="14"/>
      <c r="N67" s="14"/>
      <c r="O67" s="14"/>
      <c r="P67" s="14"/>
      <c r="Q67" s="14"/>
      <c r="R67" s="14"/>
      <c r="S67" s="14"/>
      <c r="T67" s="14"/>
      <c r="U67" s="14"/>
      <c r="V67" s="14"/>
      <c r="W67" s="730"/>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413"/>
    </row>
    <row r="68" ht="15" customHeight="1">
      <c r="A68" s="458"/>
      <c r="B68" s="14"/>
      <c r="C68" s="14"/>
      <c r="D68" s="14"/>
      <c r="E68" s="14"/>
      <c r="F68" s="14"/>
      <c r="G68" s="14"/>
      <c r="H68" s="14"/>
      <c r="I68" s="14"/>
      <c r="J68" s="14"/>
      <c r="K68" s="14"/>
      <c r="L68" s="14"/>
      <c r="M68" s="14"/>
      <c r="N68" s="14"/>
      <c r="O68" s="14"/>
      <c r="P68" s="14"/>
      <c r="Q68" s="14"/>
      <c r="R68" s="14"/>
      <c r="S68" s="14"/>
      <c r="T68" s="14"/>
      <c r="U68" s="14"/>
      <c r="V68" s="14"/>
      <c r="W68" s="730"/>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413"/>
    </row>
    <row r="69" ht="15" customHeight="1">
      <c r="A69" s="458"/>
      <c r="B69" s="14"/>
      <c r="C69" s="14"/>
      <c r="D69" s="14"/>
      <c r="E69" s="14"/>
      <c r="F69" s="14"/>
      <c r="G69" s="14"/>
      <c r="H69" s="14"/>
      <c r="I69" s="14"/>
      <c r="J69" s="14"/>
      <c r="K69" s="14"/>
      <c r="L69" s="14"/>
      <c r="M69" s="14"/>
      <c r="N69" s="14"/>
      <c r="O69" s="14"/>
      <c r="P69" s="14"/>
      <c r="Q69" s="14"/>
      <c r="R69" s="14"/>
      <c r="S69" s="14"/>
      <c r="T69" s="14"/>
      <c r="U69" s="14"/>
      <c r="V69" s="14"/>
      <c r="W69" s="730"/>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413"/>
    </row>
    <row r="70" ht="15" customHeight="1">
      <c r="A70" s="458"/>
      <c r="B70" s="14"/>
      <c r="C70" s="14"/>
      <c r="D70" s="14"/>
      <c r="E70" s="14"/>
      <c r="F70" s="14"/>
      <c r="G70" s="14"/>
      <c r="H70" s="14"/>
      <c r="I70" s="14"/>
      <c r="J70" s="14"/>
      <c r="K70" s="14"/>
      <c r="L70" s="14"/>
      <c r="M70" s="14"/>
      <c r="N70" s="14"/>
      <c r="O70" s="14"/>
      <c r="P70" s="14"/>
      <c r="Q70" s="14"/>
      <c r="R70" s="14"/>
      <c r="S70" s="14"/>
      <c r="T70" s="14"/>
      <c r="U70" s="14"/>
      <c r="V70" s="14"/>
      <c r="W70" s="730"/>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413"/>
    </row>
    <row r="71" ht="15" customHeight="1">
      <c r="A71" s="458"/>
      <c r="B71" s="14"/>
      <c r="C71" s="14"/>
      <c r="D71" s="14"/>
      <c r="E71" s="14"/>
      <c r="F71" s="14"/>
      <c r="G71" s="14"/>
      <c r="H71" s="14"/>
      <c r="I71" s="14"/>
      <c r="J71" s="14"/>
      <c r="K71" s="14"/>
      <c r="L71" s="14"/>
      <c r="M71" s="14"/>
      <c r="N71" s="14"/>
      <c r="O71" s="14"/>
      <c r="P71" s="14"/>
      <c r="Q71" s="14"/>
      <c r="R71" s="14"/>
      <c r="S71" s="14"/>
      <c r="T71" s="14"/>
      <c r="U71" s="14"/>
      <c r="V71" s="14"/>
      <c r="W71" s="730"/>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413"/>
    </row>
    <row r="72" ht="15" customHeight="1">
      <c r="A72" s="458"/>
      <c r="B72" s="14"/>
      <c r="C72" s="14"/>
      <c r="D72" s="14"/>
      <c r="E72" s="14"/>
      <c r="F72" s="14"/>
      <c r="G72" s="14"/>
      <c r="H72" s="14"/>
      <c r="I72" s="14"/>
      <c r="J72" s="14"/>
      <c r="K72" s="14"/>
      <c r="L72" s="14"/>
      <c r="M72" s="14"/>
      <c r="N72" s="14"/>
      <c r="O72" s="14"/>
      <c r="P72" s="14"/>
      <c r="Q72" s="14"/>
      <c r="R72" s="14"/>
      <c r="S72" s="14"/>
      <c r="T72" s="14"/>
      <c r="U72" s="14"/>
      <c r="V72" s="14"/>
      <c r="W72" s="730"/>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413"/>
    </row>
    <row r="73" ht="15" customHeight="1">
      <c r="A73" s="458"/>
      <c r="B73" s="14"/>
      <c r="C73" s="14"/>
      <c r="D73" s="14"/>
      <c r="E73" s="14"/>
      <c r="F73" s="14"/>
      <c r="G73" s="14"/>
      <c r="H73" s="14"/>
      <c r="I73" s="14"/>
      <c r="J73" s="14"/>
      <c r="K73" s="14"/>
      <c r="L73" s="14"/>
      <c r="M73" s="14"/>
      <c r="N73" s="14"/>
      <c r="O73" s="14"/>
      <c r="P73" s="14"/>
      <c r="Q73" s="14"/>
      <c r="R73" s="14"/>
      <c r="S73" s="14"/>
      <c r="T73" s="14"/>
      <c r="U73" s="14"/>
      <c r="V73" s="14"/>
      <c r="W73" s="730"/>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413"/>
    </row>
    <row r="74" ht="15" customHeight="1">
      <c r="A74" s="458"/>
      <c r="B74" s="14"/>
      <c r="C74" s="14"/>
      <c r="D74" s="14"/>
      <c r="E74" s="14"/>
      <c r="F74" s="14"/>
      <c r="G74" s="14"/>
      <c r="H74" s="14"/>
      <c r="I74" s="14"/>
      <c r="J74" s="14"/>
      <c r="K74" s="14"/>
      <c r="L74" s="14"/>
      <c r="M74" s="14"/>
      <c r="N74" s="14"/>
      <c r="O74" s="14"/>
      <c r="P74" s="14"/>
      <c r="Q74" s="14"/>
      <c r="R74" s="14"/>
      <c r="S74" s="14"/>
      <c r="T74" s="14"/>
      <c r="U74" s="14"/>
      <c r="V74" s="14"/>
      <c r="W74" s="730"/>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413"/>
    </row>
    <row r="75" ht="15" customHeight="1">
      <c r="A75" s="458"/>
      <c r="B75" s="14"/>
      <c r="C75" s="14"/>
      <c r="D75" s="14"/>
      <c r="E75" s="14"/>
      <c r="F75" s="14"/>
      <c r="G75" s="14"/>
      <c r="H75" s="14"/>
      <c r="I75" s="14"/>
      <c r="J75" s="14"/>
      <c r="K75" s="14"/>
      <c r="L75" s="14"/>
      <c r="M75" s="14"/>
      <c r="N75" s="14"/>
      <c r="O75" s="14"/>
      <c r="P75" s="14"/>
      <c r="Q75" s="14"/>
      <c r="R75" s="14"/>
      <c r="S75" s="14"/>
      <c r="T75" s="14"/>
      <c r="U75" s="14"/>
      <c r="V75" s="14"/>
      <c r="W75" s="730"/>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413"/>
    </row>
    <row r="76" ht="15" customHeight="1">
      <c r="A76" s="458"/>
      <c r="B76" s="14"/>
      <c r="C76" s="14"/>
      <c r="D76" s="14"/>
      <c r="E76" s="14"/>
      <c r="F76" s="14"/>
      <c r="G76" s="14"/>
      <c r="H76" s="14"/>
      <c r="I76" s="14"/>
      <c r="J76" s="14"/>
      <c r="K76" s="14"/>
      <c r="L76" s="14"/>
      <c r="M76" s="14"/>
      <c r="N76" s="14"/>
      <c r="O76" s="14"/>
      <c r="P76" s="14"/>
      <c r="Q76" s="14"/>
      <c r="R76" s="14"/>
      <c r="S76" s="14"/>
      <c r="T76" s="14"/>
      <c r="U76" s="14"/>
      <c r="V76" s="14"/>
      <c r="W76" s="730"/>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413"/>
    </row>
    <row r="77" ht="15" customHeight="1">
      <c r="A77" s="458"/>
      <c r="B77" s="14"/>
      <c r="C77" s="14"/>
      <c r="D77" s="14"/>
      <c r="E77" s="14"/>
      <c r="F77" s="14"/>
      <c r="G77" s="14"/>
      <c r="H77" s="14"/>
      <c r="I77" s="14"/>
      <c r="J77" s="14"/>
      <c r="K77" s="14"/>
      <c r="L77" s="14"/>
      <c r="M77" s="14"/>
      <c r="N77" s="14"/>
      <c r="O77" s="14"/>
      <c r="P77" s="14"/>
      <c r="Q77" s="14"/>
      <c r="R77" s="14"/>
      <c r="S77" s="14"/>
      <c r="T77" s="14"/>
      <c r="U77" s="14"/>
      <c r="V77" s="14"/>
      <c r="W77" s="730"/>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413"/>
    </row>
    <row r="78" ht="15" customHeight="1">
      <c r="A78" s="458"/>
      <c r="B78" s="14"/>
      <c r="C78" s="14"/>
      <c r="D78" s="14"/>
      <c r="E78" s="14"/>
      <c r="F78" s="14"/>
      <c r="G78" s="14"/>
      <c r="H78" s="14"/>
      <c r="I78" s="14"/>
      <c r="J78" s="14"/>
      <c r="K78" s="14"/>
      <c r="L78" s="14"/>
      <c r="M78" s="14"/>
      <c r="N78" s="14"/>
      <c r="O78" s="14"/>
      <c r="P78" s="14"/>
      <c r="Q78" s="14"/>
      <c r="R78" s="14"/>
      <c r="S78" s="14"/>
      <c r="T78" s="14"/>
      <c r="U78" s="14"/>
      <c r="V78" s="14"/>
      <c r="W78" s="730"/>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413"/>
    </row>
    <row r="79" ht="15" customHeight="1">
      <c r="A79" s="458"/>
      <c r="B79" s="14"/>
      <c r="C79" s="14"/>
      <c r="D79" s="14"/>
      <c r="E79" s="14"/>
      <c r="F79" s="14"/>
      <c r="G79" s="14"/>
      <c r="H79" s="14"/>
      <c r="I79" s="14"/>
      <c r="J79" s="14"/>
      <c r="K79" s="14"/>
      <c r="L79" s="14"/>
      <c r="M79" s="14"/>
      <c r="N79" s="14"/>
      <c r="O79" s="14"/>
      <c r="P79" s="14"/>
      <c r="Q79" s="14"/>
      <c r="R79" s="14"/>
      <c r="S79" s="14"/>
      <c r="T79" s="14"/>
      <c r="U79" s="14"/>
      <c r="V79" s="14"/>
      <c r="W79" s="730"/>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413"/>
    </row>
    <row r="80" ht="15" customHeight="1">
      <c r="A80" s="458"/>
      <c r="B80" s="14"/>
      <c r="C80" s="14"/>
      <c r="D80" s="14"/>
      <c r="E80" s="14"/>
      <c r="F80" s="14"/>
      <c r="G80" s="14"/>
      <c r="H80" s="14"/>
      <c r="I80" s="14"/>
      <c r="J80" s="14"/>
      <c r="K80" s="14"/>
      <c r="L80" s="14"/>
      <c r="M80" s="14"/>
      <c r="N80" s="14"/>
      <c r="O80" s="14"/>
      <c r="P80" s="14"/>
      <c r="Q80" s="14"/>
      <c r="R80" s="14"/>
      <c r="S80" s="14"/>
      <c r="T80" s="14"/>
      <c r="U80" s="14"/>
      <c r="V80" s="14"/>
      <c r="W80" s="730"/>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413"/>
    </row>
    <row r="81" ht="15" customHeight="1">
      <c r="A81" s="458"/>
      <c r="B81" s="14"/>
      <c r="C81" s="14"/>
      <c r="D81" s="14"/>
      <c r="E81" s="14"/>
      <c r="F81" s="14"/>
      <c r="G81" s="14"/>
      <c r="H81" s="14"/>
      <c r="I81" s="14"/>
      <c r="J81" s="14"/>
      <c r="K81" s="14"/>
      <c r="L81" s="14"/>
      <c r="M81" s="14"/>
      <c r="N81" s="14"/>
      <c r="O81" s="14"/>
      <c r="P81" s="14"/>
      <c r="Q81" s="14"/>
      <c r="R81" s="14"/>
      <c r="S81" s="14"/>
      <c r="T81" s="14"/>
      <c r="U81" s="14"/>
      <c r="V81" s="14"/>
      <c r="W81" s="730"/>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413"/>
    </row>
    <row r="82" ht="15" customHeight="1">
      <c r="A82" s="458"/>
      <c r="B82" s="14"/>
      <c r="C82" s="14"/>
      <c r="D82" s="14"/>
      <c r="E82" s="14"/>
      <c r="F82" s="14"/>
      <c r="G82" s="14"/>
      <c r="H82" s="14"/>
      <c r="I82" s="14"/>
      <c r="J82" s="14"/>
      <c r="K82" s="14"/>
      <c r="L82" s="14"/>
      <c r="M82" s="14"/>
      <c r="N82" s="14"/>
      <c r="O82" s="14"/>
      <c r="P82" s="14"/>
      <c r="Q82" s="14"/>
      <c r="R82" s="14"/>
      <c r="S82" s="14"/>
      <c r="T82" s="14"/>
      <c r="U82" s="14"/>
      <c r="V82" s="14"/>
      <c r="W82" s="730"/>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413"/>
    </row>
    <row r="83" ht="15" customHeight="1">
      <c r="A83" s="458"/>
      <c r="B83" s="14"/>
      <c r="C83" s="14"/>
      <c r="D83" s="14"/>
      <c r="E83" s="14"/>
      <c r="F83" s="14"/>
      <c r="G83" s="14"/>
      <c r="H83" s="14"/>
      <c r="I83" s="14"/>
      <c r="J83" s="14"/>
      <c r="K83" s="14"/>
      <c r="L83" s="14"/>
      <c r="M83" s="14"/>
      <c r="N83" s="14"/>
      <c r="O83" s="14"/>
      <c r="P83" s="14"/>
      <c r="Q83" s="14"/>
      <c r="R83" s="14"/>
      <c r="S83" s="14"/>
      <c r="T83" s="14"/>
      <c r="U83" s="14"/>
      <c r="V83" s="14"/>
      <c r="W83" s="730"/>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413"/>
    </row>
    <row r="84" ht="15" customHeight="1">
      <c r="A84" s="458"/>
      <c r="B84" s="14"/>
      <c r="C84" s="14"/>
      <c r="D84" s="14"/>
      <c r="E84" s="14"/>
      <c r="F84" s="14"/>
      <c r="G84" s="14"/>
      <c r="H84" s="14"/>
      <c r="I84" s="14"/>
      <c r="J84" s="14"/>
      <c r="K84" s="14"/>
      <c r="L84" s="14"/>
      <c r="M84" s="14"/>
      <c r="N84" s="14"/>
      <c r="O84" s="14"/>
      <c r="P84" s="14"/>
      <c r="Q84" s="14"/>
      <c r="R84" s="14"/>
      <c r="S84" s="14"/>
      <c r="T84" s="14"/>
      <c r="U84" s="14"/>
      <c r="V84" s="14"/>
      <c r="W84" s="730"/>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413"/>
    </row>
    <row r="85" ht="15" customHeight="1">
      <c r="A85" s="458"/>
      <c r="B85" s="14"/>
      <c r="C85" s="14"/>
      <c r="D85" s="14"/>
      <c r="E85" s="14"/>
      <c r="F85" s="14"/>
      <c r="G85" s="14"/>
      <c r="H85" s="14"/>
      <c r="I85" s="14"/>
      <c r="J85" s="14"/>
      <c r="K85" s="14"/>
      <c r="L85" s="14"/>
      <c r="M85" s="14"/>
      <c r="N85" s="14"/>
      <c r="O85" s="14"/>
      <c r="P85" s="14"/>
      <c r="Q85" s="14"/>
      <c r="R85" s="14"/>
      <c r="S85" s="14"/>
      <c r="T85" s="14"/>
      <c r="U85" s="14"/>
      <c r="V85" s="14"/>
      <c r="W85" s="730"/>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413"/>
    </row>
    <row r="86" ht="15" customHeight="1">
      <c r="A86" s="458"/>
      <c r="B86" s="14"/>
      <c r="C86" s="14"/>
      <c r="D86" s="14"/>
      <c r="E86" s="14"/>
      <c r="F86" s="14"/>
      <c r="G86" s="14"/>
      <c r="H86" s="14"/>
      <c r="I86" s="14"/>
      <c r="J86" s="14"/>
      <c r="K86" s="14"/>
      <c r="L86" s="14"/>
      <c r="M86" s="14"/>
      <c r="N86" s="14"/>
      <c r="O86" s="14"/>
      <c r="P86" s="14"/>
      <c r="Q86" s="14"/>
      <c r="R86" s="14"/>
      <c r="S86" s="14"/>
      <c r="T86" s="14"/>
      <c r="U86" s="14"/>
      <c r="V86" s="14"/>
      <c r="W86" s="730"/>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413"/>
    </row>
    <row r="87" ht="15" customHeight="1">
      <c r="A87" s="458"/>
      <c r="B87" s="14"/>
      <c r="C87" s="14"/>
      <c r="D87" s="14"/>
      <c r="E87" s="14"/>
      <c r="F87" s="14"/>
      <c r="G87" s="14"/>
      <c r="H87" s="14"/>
      <c r="I87" s="14"/>
      <c r="J87" s="14"/>
      <c r="K87" s="14"/>
      <c r="L87" s="14"/>
      <c r="M87" s="14"/>
      <c r="N87" s="14"/>
      <c r="O87" s="14"/>
      <c r="P87" s="14"/>
      <c r="Q87" s="14"/>
      <c r="R87" s="14"/>
      <c r="S87" s="14"/>
      <c r="T87" s="14"/>
      <c r="U87" s="14"/>
      <c r="V87" s="14"/>
      <c r="W87" s="730"/>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413"/>
    </row>
    <row r="88" ht="15" customHeight="1">
      <c r="A88" s="458"/>
      <c r="B88" s="14"/>
      <c r="C88" s="14"/>
      <c r="D88" s="14"/>
      <c r="E88" s="14"/>
      <c r="F88" s="14"/>
      <c r="G88" s="14"/>
      <c r="H88" s="14"/>
      <c r="I88" s="14"/>
      <c r="J88" s="14"/>
      <c r="K88" s="14"/>
      <c r="L88" s="14"/>
      <c r="M88" s="14"/>
      <c r="N88" s="14"/>
      <c r="O88" s="14"/>
      <c r="P88" s="14"/>
      <c r="Q88" s="14"/>
      <c r="R88" s="14"/>
      <c r="S88" s="14"/>
      <c r="T88" s="14"/>
      <c r="U88" s="14"/>
      <c r="V88" s="14"/>
      <c r="W88" s="730"/>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413"/>
    </row>
    <row r="89" ht="15" customHeight="1">
      <c r="A89" s="458"/>
      <c r="B89" s="14"/>
      <c r="C89" s="14"/>
      <c r="D89" s="14"/>
      <c r="E89" s="14"/>
      <c r="F89" s="14"/>
      <c r="G89" s="14"/>
      <c r="H89" s="14"/>
      <c r="I89" s="14"/>
      <c r="J89" s="14"/>
      <c r="K89" s="14"/>
      <c r="L89" s="14"/>
      <c r="M89" s="14"/>
      <c r="N89" s="14"/>
      <c r="O89" s="14"/>
      <c r="P89" s="14"/>
      <c r="Q89" s="14"/>
      <c r="R89" s="14"/>
      <c r="S89" s="14"/>
      <c r="T89" s="14"/>
      <c r="U89" s="14"/>
      <c r="V89" s="14"/>
      <c r="W89" s="730"/>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413"/>
    </row>
    <row r="90" ht="15" customHeight="1">
      <c r="A90" s="458"/>
      <c r="B90" s="14"/>
      <c r="C90" s="14"/>
      <c r="D90" s="14"/>
      <c r="E90" s="14"/>
      <c r="F90" s="14"/>
      <c r="G90" s="14"/>
      <c r="H90" s="14"/>
      <c r="I90" s="14"/>
      <c r="J90" s="14"/>
      <c r="K90" s="14"/>
      <c r="L90" s="14"/>
      <c r="M90" s="14"/>
      <c r="N90" s="14"/>
      <c r="O90" s="14"/>
      <c r="P90" s="14"/>
      <c r="Q90" s="14"/>
      <c r="R90" s="14"/>
      <c r="S90" s="14"/>
      <c r="T90" s="14"/>
      <c r="U90" s="14"/>
      <c r="V90" s="14"/>
      <c r="W90" s="730"/>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413"/>
    </row>
    <row r="91" ht="15" customHeight="1">
      <c r="A91" s="458"/>
      <c r="B91" s="14"/>
      <c r="C91" s="14"/>
      <c r="D91" s="14"/>
      <c r="E91" s="14"/>
      <c r="F91" s="14"/>
      <c r="G91" s="14"/>
      <c r="H91" s="14"/>
      <c r="I91" s="14"/>
      <c r="J91" s="14"/>
      <c r="K91" s="14"/>
      <c r="L91" s="14"/>
      <c r="M91" s="14"/>
      <c r="N91" s="14"/>
      <c r="O91" s="14"/>
      <c r="P91" s="14"/>
      <c r="Q91" s="14"/>
      <c r="R91" s="14"/>
      <c r="S91" s="14"/>
      <c r="T91" s="14"/>
      <c r="U91" s="14"/>
      <c r="V91" s="14"/>
      <c r="W91" s="730"/>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413"/>
    </row>
    <row r="92" ht="15" customHeight="1">
      <c r="A92" s="458"/>
      <c r="B92" s="14"/>
      <c r="C92" s="14"/>
      <c r="D92" s="14"/>
      <c r="E92" s="14"/>
      <c r="F92" s="14"/>
      <c r="G92" s="14"/>
      <c r="H92" s="14"/>
      <c r="I92" s="14"/>
      <c r="J92" s="14"/>
      <c r="K92" s="14"/>
      <c r="L92" s="14"/>
      <c r="M92" s="14"/>
      <c r="N92" s="14"/>
      <c r="O92" s="14"/>
      <c r="P92" s="14"/>
      <c r="Q92" s="14"/>
      <c r="R92" s="14"/>
      <c r="S92" s="14"/>
      <c r="T92" s="14"/>
      <c r="U92" s="14"/>
      <c r="V92" s="14"/>
      <c r="W92" s="730"/>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413"/>
    </row>
    <row r="93" ht="15" customHeight="1">
      <c r="A93" s="458"/>
      <c r="B93" s="14"/>
      <c r="C93" s="14"/>
      <c r="D93" s="14"/>
      <c r="E93" s="14"/>
      <c r="F93" s="14"/>
      <c r="G93" s="14"/>
      <c r="H93" s="14"/>
      <c r="I93" s="14"/>
      <c r="J93" s="14"/>
      <c r="K93" s="14"/>
      <c r="L93" s="14"/>
      <c r="M93" s="14"/>
      <c r="N93" s="14"/>
      <c r="O93" s="14"/>
      <c r="P93" s="14"/>
      <c r="Q93" s="14"/>
      <c r="R93" s="14"/>
      <c r="S93" s="14"/>
      <c r="T93" s="14"/>
      <c r="U93" s="14"/>
      <c r="V93" s="14"/>
      <c r="W93" s="730"/>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413"/>
    </row>
    <row r="94" ht="15" customHeight="1">
      <c r="A94" s="458"/>
      <c r="B94" s="14"/>
      <c r="C94" s="14"/>
      <c r="D94" s="14"/>
      <c r="E94" s="14"/>
      <c r="F94" s="14"/>
      <c r="G94" s="14"/>
      <c r="H94" s="14"/>
      <c r="I94" s="14"/>
      <c r="J94" s="14"/>
      <c r="K94" s="14"/>
      <c r="L94" s="14"/>
      <c r="M94" s="14"/>
      <c r="N94" s="14"/>
      <c r="O94" s="14"/>
      <c r="P94" s="14"/>
      <c r="Q94" s="14"/>
      <c r="R94" s="14"/>
      <c r="S94" s="14"/>
      <c r="T94" s="14"/>
      <c r="U94" s="14"/>
      <c r="V94" s="14"/>
      <c r="W94" s="730"/>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413"/>
    </row>
    <row r="95" ht="15" customHeight="1">
      <c r="A95" s="458"/>
      <c r="B95" s="14"/>
      <c r="C95" s="14"/>
      <c r="D95" s="14"/>
      <c r="E95" s="14"/>
      <c r="F95" s="14"/>
      <c r="G95" s="14"/>
      <c r="H95" s="14"/>
      <c r="I95" s="14"/>
      <c r="J95" s="14"/>
      <c r="K95" s="14"/>
      <c r="L95" s="14"/>
      <c r="M95" s="14"/>
      <c r="N95" s="14"/>
      <c r="O95" s="14"/>
      <c r="P95" s="14"/>
      <c r="Q95" s="14"/>
      <c r="R95" s="14"/>
      <c r="S95" s="14"/>
      <c r="T95" s="14"/>
      <c r="U95" s="14"/>
      <c r="V95" s="14"/>
      <c r="W95" s="730"/>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413"/>
    </row>
    <row r="96" ht="15" customHeight="1">
      <c r="A96" s="458"/>
      <c r="B96" s="14"/>
      <c r="C96" s="14"/>
      <c r="D96" s="14"/>
      <c r="E96" s="14"/>
      <c r="F96" s="14"/>
      <c r="G96" s="14"/>
      <c r="H96" s="14"/>
      <c r="I96" s="14"/>
      <c r="J96" s="14"/>
      <c r="K96" s="14"/>
      <c r="L96" s="14"/>
      <c r="M96" s="14"/>
      <c r="N96" s="14"/>
      <c r="O96" s="14"/>
      <c r="P96" s="14"/>
      <c r="Q96" s="14"/>
      <c r="R96" s="14"/>
      <c r="S96" s="14"/>
      <c r="T96" s="14"/>
      <c r="U96" s="14"/>
      <c r="V96" s="14"/>
      <c r="W96" s="730"/>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413"/>
    </row>
    <row r="97" ht="15" customHeight="1">
      <c r="A97" s="458"/>
      <c r="B97" s="14"/>
      <c r="C97" s="14"/>
      <c r="D97" s="14"/>
      <c r="E97" s="14"/>
      <c r="F97" s="14"/>
      <c r="G97" s="14"/>
      <c r="H97" s="14"/>
      <c r="I97" s="14"/>
      <c r="J97" s="14"/>
      <c r="K97" s="14"/>
      <c r="L97" s="14"/>
      <c r="M97" s="14"/>
      <c r="N97" s="14"/>
      <c r="O97" s="14"/>
      <c r="P97" s="14"/>
      <c r="Q97" s="14"/>
      <c r="R97" s="14"/>
      <c r="S97" s="14"/>
      <c r="T97" s="14"/>
      <c r="U97" s="14"/>
      <c r="V97" s="14"/>
      <c r="W97" s="730"/>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413"/>
    </row>
    <row r="98" ht="15" customHeight="1">
      <c r="A98" s="458"/>
      <c r="B98" s="14"/>
      <c r="C98" s="14"/>
      <c r="D98" s="14"/>
      <c r="E98" s="14"/>
      <c r="F98" s="14"/>
      <c r="G98" s="14"/>
      <c r="H98" s="14"/>
      <c r="I98" s="14"/>
      <c r="J98" s="14"/>
      <c r="K98" s="14"/>
      <c r="L98" s="14"/>
      <c r="M98" s="14"/>
      <c r="N98" s="14"/>
      <c r="O98" s="14"/>
      <c r="P98" s="14"/>
      <c r="Q98" s="14"/>
      <c r="R98" s="14"/>
      <c r="S98" s="14"/>
      <c r="T98" s="14"/>
      <c r="U98" s="14"/>
      <c r="V98" s="14"/>
      <c r="W98" s="730"/>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413"/>
    </row>
    <row r="99" ht="15" customHeight="1">
      <c r="A99" s="458"/>
      <c r="B99" s="14"/>
      <c r="C99" s="14"/>
      <c r="D99" s="14"/>
      <c r="E99" s="14"/>
      <c r="F99" s="14"/>
      <c r="G99" s="14"/>
      <c r="H99" s="14"/>
      <c r="I99" s="14"/>
      <c r="J99" s="14"/>
      <c r="K99" s="14"/>
      <c r="L99" s="14"/>
      <c r="M99" s="14"/>
      <c r="N99" s="14"/>
      <c r="O99" s="14"/>
      <c r="P99" s="14"/>
      <c r="Q99" s="14"/>
      <c r="R99" s="14"/>
      <c r="S99" s="14"/>
      <c r="T99" s="14"/>
      <c r="U99" s="14"/>
      <c r="V99" s="14"/>
      <c r="W99" s="730"/>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413"/>
    </row>
    <row r="100" ht="15" customHeight="1">
      <c r="A100" s="458"/>
      <c r="B100" s="14"/>
      <c r="C100" s="14"/>
      <c r="D100" s="14"/>
      <c r="E100" s="14"/>
      <c r="F100" s="14"/>
      <c r="G100" s="14"/>
      <c r="H100" s="14"/>
      <c r="I100" s="14"/>
      <c r="J100" s="14"/>
      <c r="K100" s="14"/>
      <c r="L100" s="14"/>
      <c r="M100" s="14"/>
      <c r="N100" s="14"/>
      <c r="O100" s="14"/>
      <c r="P100" s="14"/>
      <c r="Q100" s="14"/>
      <c r="R100" s="14"/>
      <c r="S100" s="14"/>
      <c r="T100" s="14"/>
      <c r="U100" s="14"/>
      <c r="V100" s="14"/>
      <c r="W100" s="730"/>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413"/>
    </row>
    <row r="101" ht="15" customHeight="1">
      <c r="A101" s="458"/>
      <c r="B101" s="14"/>
      <c r="C101" s="14"/>
      <c r="D101" s="14"/>
      <c r="E101" s="14"/>
      <c r="F101" s="14"/>
      <c r="G101" s="14"/>
      <c r="H101" s="14"/>
      <c r="I101" s="14"/>
      <c r="J101" s="14"/>
      <c r="K101" s="14"/>
      <c r="L101" s="14"/>
      <c r="M101" s="14"/>
      <c r="N101" s="14"/>
      <c r="O101" s="14"/>
      <c r="P101" s="14"/>
      <c r="Q101" s="14"/>
      <c r="R101" s="14"/>
      <c r="S101" s="14"/>
      <c r="T101" s="14"/>
      <c r="U101" s="14"/>
      <c r="V101" s="14"/>
      <c r="W101" s="730"/>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413"/>
    </row>
    <row r="102" ht="15" customHeight="1">
      <c r="A102" s="458"/>
      <c r="B102" s="14"/>
      <c r="C102" s="14"/>
      <c r="D102" s="14"/>
      <c r="E102" s="14"/>
      <c r="F102" s="14"/>
      <c r="G102" s="14"/>
      <c r="H102" s="14"/>
      <c r="I102" s="14"/>
      <c r="J102" s="14"/>
      <c r="K102" s="14"/>
      <c r="L102" s="14"/>
      <c r="M102" s="14"/>
      <c r="N102" s="14"/>
      <c r="O102" s="14"/>
      <c r="P102" s="14"/>
      <c r="Q102" s="14"/>
      <c r="R102" s="14"/>
      <c r="S102" s="14"/>
      <c r="T102" s="14"/>
      <c r="U102" s="14"/>
      <c r="V102" s="14"/>
      <c r="W102" s="730"/>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413"/>
    </row>
    <row r="103" ht="15" customHeight="1">
      <c r="A103" s="458"/>
      <c r="B103" s="14"/>
      <c r="C103" s="14"/>
      <c r="D103" s="14"/>
      <c r="E103" s="14"/>
      <c r="F103" s="14"/>
      <c r="G103" s="14"/>
      <c r="H103" s="14"/>
      <c r="I103" s="14"/>
      <c r="J103" s="14"/>
      <c r="K103" s="14"/>
      <c r="L103" s="14"/>
      <c r="M103" s="14"/>
      <c r="N103" s="14"/>
      <c r="O103" s="14"/>
      <c r="P103" s="14"/>
      <c r="Q103" s="14"/>
      <c r="R103" s="14"/>
      <c r="S103" s="14"/>
      <c r="T103" s="14"/>
      <c r="U103" s="14"/>
      <c r="V103" s="14"/>
      <c r="W103" s="730"/>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413"/>
    </row>
    <row r="104" ht="15" customHeight="1">
      <c r="A104" s="458"/>
      <c r="B104" s="14"/>
      <c r="C104" s="14"/>
      <c r="D104" s="14"/>
      <c r="E104" s="14"/>
      <c r="F104" s="14"/>
      <c r="G104" s="14"/>
      <c r="H104" s="14"/>
      <c r="I104" s="14"/>
      <c r="J104" s="14"/>
      <c r="K104" s="14"/>
      <c r="L104" s="14"/>
      <c r="M104" s="14"/>
      <c r="N104" s="14"/>
      <c r="O104" s="14"/>
      <c r="P104" s="14"/>
      <c r="Q104" s="14"/>
      <c r="R104" s="14"/>
      <c r="S104" s="14"/>
      <c r="T104" s="14"/>
      <c r="U104" s="14"/>
      <c r="V104" s="14"/>
      <c r="W104" s="730"/>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413"/>
    </row>
    <row r="105" ht="15" customHeight="1">
      <c r="A105" s="458"/>
      <c r="B105" s="14"/>
      <c r="C105" s="14"/>
      <c r="D105" s="14"/>
      <c r="E105" s="14"/>
      <c r="F105" s="14"/>
      <c r="G105" s="14"/>
      <c r="H105" s="14"/>
      <c r="I105" s="14"/>
      <c r="J105" s="14"/>
      <c r="K105" s="14"/>
      <c r="L105" s="14"/>
      <c r="M105" s="14"/>
      <c r="N105" s="14"/>
      <c r="O105" s="14"/>
      <c r="P105" s="14"/>
      <c r="Q105" s="14"/>
      <c r="R105" s="14"/>
      <c r="S105" s="14"/>
      <c r="T105" s="14"/>
      <c r="U105" s="14"/>
      <c r="V105" s="14"/>
      <c r="W105" s="730"/>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413"/>
    </row>
    <row r="106" ht="15" customHeight="1">
      <c r="A106" s="458"/>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413"/>
    </row>
    <row r="107" ht="15" customHeight="1">
      <c r="A107" s="458"/>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413"/>
    </row>
    <row r="108" ht="15" customHeight="1">
      <c r="A108" s="458"/>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413"/>
    </row>
    <row r="109" ht="15" customHeight="1">
      <c r="A109" s="458"/>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413"/>
    </row>
    <row r="110" ht="15" customHeight="1">
      <c r="A110" s="458"/>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413"/>
    </row>
    <row r="111" ht="15" customHeight="1">
      <c r="A111" s="458"/>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413"/>
    </row>
    <row r="112" ht="15" customHeight="1">
      <c r="A112" s="458"/>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413"/>
    </row>
    <row r="113" ht="15" customHeight="1">
      <c r="A113" s="458"/>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413"/>
    </row>
    <row r="114" ht="15" customHeight="1">
      <c r="A114" s="458"/>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413"/>
    </row>
    <row r="115" ht="15" customHeight="1">
      <c r="A115" s="458"/>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413"/>
    </row>
    <row r="116" ht="15" customHeight="1">
      <c r="A116" s="458"/>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413"/>
    </row>
    <row r="117" ht="15" customHeight="1">
      <c r="A117" s="458"/>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413"/>
    </row>
    <row r="118" ht="15" customHeight="1">
      <c r="A118" s="458"/>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413"/>
    </row>
    <row r="119" ht="15" customHeight="1">
      <c r="A119" s="458"/>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413"/>
    </row>
    <row r="120" ht="15" customHeight="1">
      <c r="A120" s="458"/>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413"/>
    </row>
    <row r="121" ht="15" customHeight="1">
      <c r="A121" s="458"/>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413"/>
    </row>
    <row r="122" ht="15" customHeight="1">
      <c r="A122" s="458"/>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413"/>
    </row>
    <row r="123" ht="15" customHeight="1">
      <c r="A123" s="458"/>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413"/>
    </row>
    <row r="124" ht="15" customHeight="1">
      <c r="A124" s="458"/>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413"/>
    </row>
    <row r="125" ht="15" customHeight="1">
      <c r="A125" s="458"/>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413"/>
    </row>
    <row r="126" ht="15" customHeight="1">
      <c r="A126" s="458"/>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413"/>
    </row>
    <row r="127" ht="15" customHeight="1">
      <c r="A127" s="458"/>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413"/>
    </row>
    <row r="128" ht="15" customHeight="1">
      <c r="A128" s="458"/>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413"/>
    </row>
    <row r="129" ht="15" customHeight="1">
      <c r="A129" s="458"/>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413"/>
    </row>
    <row r="130" ht="15" customHeight="1">
      <c r="A130" s="458"/>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413"/>
    </row>
    <row r="131" ht="15" customHeight="1">
      <c r="A131" s="458"/>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413"/>
    </row>
    <row r="132" ht="15" customHeight="1">
      <c r="A132" s="458"/>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413"/>
    </row>
    <row r="133" ht="15" customHeight="1">
      <c r="A133" s="458"/>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413"/>
    </row>
    <row r="134" ht="15" customHeight="1">
      <c r="A134" s="731"/>
      <c r="B134" s="399"/>
      <c r="C134" s="399"/>
      <c r="D134" s="399"/>
      <c r="E134" s="399"/>
      <c r="F134" s="399"/>
      <c r="G134" s="399"/>
      <c r="H134" s="399"/>
      <c r="I134" s="399"/>
      <c r="J134" s="399"/>
      <c r="K134" s="399"/>
      <c r="L134" s="399"/>
      <c r="M134" s="399"/>
      <c r="N134" s="399"/>
      <c r="O134" s="399"/>
      <c r="P134" s="399"/>
      <c r="Q134" s="399"/>
      <c r="R134" s="399"/>
      <c r="S134" s="399"/>
      <c r="T134" s="399"/>
      <c r="U134" s="399"/>
      <c r="V134" s="399"/>
      <c r="W134" s="399"/>
      <c r="X134" s="399"/>
      <c r="Y134" s="399"/>
      <c r="Z134" s="399"/>
      <c r="AA134" s="399"/>
      <c r="AB134" s="399"/>
      <c r="AC134" s="399"/>
      <c r="AD134" s="399"/>
      <c r="AE134" s="399"/>
      <c r="AF134" s="399"/>
      <c r="AG134" s="399"/>
      <c r="AH134" s="399"/>
      <c r="AI134" s="399"/>
      <c r="AJ134" s="399"/>
      <c r="AK134" s="399"/>
      <c r="AL134" s="399"/>
      <c r="AM134" s="399"/>
      <c r="AN134" s="399"/>
      <c r="AO134" s="399"/>
      <c r="AP134" s="399"/>
      <c r="AQ134" s="399"/>
      <c r="AR134" s="399"/>
      <c r="AS134" s="399"/>
      <c r="AT134" s="399"/>
      <c r="AU134" s="399"/>
      <c r="AV134" s="399"/>
      <c r="AW134" s="399"/>
      <c r="AX134" s="399"/>
      <c r="AY134" s="399"/>
      <c r="AZ134" s="399"/>
      <c r="BA134" s="399"/>
      <c r="BB134" s="399"/>
      <c r="BC134" s="399"/>
      <c r="BD134" s="399"/>
      <c r="BE134" s="399"/>
      <c r="BF134" s="399"/>
      <c r="BG134" s="399"/>
      <c r="BH134" s="399"/>
      <c r="BI134" s="399"/>
      <c r="BJ134" s="399"/>
      <c r="BK134" s="399"/>
      <c r="BL134" s="399"/>
      <c r="BM134" s="399"/>
      <c r="BN134" s="399"/>
      <c r="BO134" s="732"/>
    </row>
  </sheetData>
  <mergeCells count="1">
    <mergeCell ref="AX18:BE18"/>
  </mergeCell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B6166"/>
  <sheetViews>
    <sheetView workbookViewId="0" defaultGridColor="1"/>
  </sheetViews>
  <sheetFormatPr defaultColWidth="10.8333" defaultRowHeight="15" customHeight="1" outlineLevelRow="0" outlineLevelCol="0"/>
  <cols>
    <col min="1" max="1" width="3" style="734" customWidth="1"/>
    <col min="2" max="2" width="15.8516" style="734" customWidth="1"/>
    <col min="3" max="3" width="35.8516" style="734" customWidth="1"/>
    <col min="4" max="4" width="1.35156" style="734" customWidth="1"/>
    <col min="5" max="5" width="10.8516" style="734" customWidth="1"/>
    <col min="6" max="6" width="1.35156" style="734" customWidth="1"/>
    <col min="7" max="10" width="10.8516" style="734" customWidth="1"/>
    <col min="11" max="11" width="4" style="734" customWidth="1"/>
    <col min="12" max="12" width="19.1719" style="734" customWidth="1"/>
    <col min="13" max="13" width="10.8516" style="734" customWidth="1"/>
    <col min="14" max="17" width="15.8516" style="734" customWidth="1"/>
    <col min="18" max="18" width="22.8516" style="734" customWidth="1"/>
    <col min="19" max="19" width="10.8516" style="735" customWidth="1"/>
    <col min="20" max="22" width="10.8516" style="736" customWidth="1"/>
    <col min="23" max="24" hidden="1" width="10.8333" style="736" customWidth="1"/>
    <col min="25" max="25" width="10.8516" style="736" customWidth="1"/>
    <col min="26" max="158" width="10.8516" style="734" customWidth="1"/>
    <col min="159" max="16384" width="10.8516" style="733" customWidth="1"/>
  </cols>
  <sheetData>
    <row r="1" s="735" customFormat="1" ht="15" customHeight="1">
      <c r="A1" s="737"/>
      <c r="B1" s="738"/>
      <c r="C1" s="738"/>
      <c r="D1" s="738"/>
      <c r="E1" s="739"/>
      <c r="F1" s="739"/>
      <c r="G1" s="739"/>
      <c r="H1" s="739"/>
      <c r="I1" s="739"/>
      <c r="J1" s="739"/>
      <c r="K1" s="738"/>
      <c r="L1" s="738"/>
      <c r="M1" s="738"/>
      <c r="N1" s="738"/>
      <c r="O1" s="738"/>
      <c r="P1" s="738"/>
      <c r="Q1" s="738"/>
    </row>
    <row r="2" s="735" customFormat="1" ht="15" customHeight="1">
      <c r="A2" s="427"/>
      <c r="B2" t="s" s="740">
        <v>1158</v>
      </c>
      <c r="C2" s="741"/>
      <c r="D2" s="741"/>
      <c r="E2" s="742"/>
      <c r="F2" s="742"/>
      <c r="G2" s="742"/>
      <c r="H2" s="742"/>
      <c r="I2" s="742"/>
      <c r="J2" s="742"/>
      <c r="K2" s="743"/>
      <c r="L2" t="s" s="740">
        <v>1159</v>
      </c>
      <c r="M2" s="744"/>
      <c r="N2" s="744"/>
      <c r="O2" s="744"/>
      <c r="P2" s="744"/>
      <c r="Q2" s="744"/>
    </row>
    <row r="3" s="735" customFormat="1" ht="13.55" customHeight="1">
      <c r="A3" s="745"/>
      <c r="B3" t="s" s="746">
        <v>1160</v>
      </c>
      <c r="K3" s="747"/>
      <c r="L3" s="748"/>
      <c r="M3" s="749"/>
      <c r="N3" s="749"/>
      <c r="O3" s="749"/>
      <c r="P3" s="749"/>
      <c r="Q3" s="749"/>
      <c r="R3" s="750"/>
    </row>
    <row r="4" s="735" customFormat="1" ht="15" customHeight="1">
      <c r="A4" s="745"/>
      <c r="K4" s="747"/>
      <c r="L4" t="s" s="751">
        <v>1161</v>
      </c>
      <c r="M4" s="752"/>
      <c r="N4" s="752"/>
      <c r="O4" s="752"/>
      <c r="P4" s="752"/>
      <c r="Q4" s="752"/>
      <c r="R4" s="753"/>
    </row>
    <row r="5" s="735" customFormat="1" ht="15" customHeight="1">
      <c r="A5" s="745"/>
      <c r="K5" s="747"/>
      <c r="L5" t="s" s="751">
        <v>1162</v>
      </c>
      <c r="M5" s="752"/>
      <c r="N5" s="752"/>
      <c r="O5" s="752"/>
      <c r="P5" s="752"/>
      <c r="Q5" s="752"/>
      <c r="R5" s="753"/>
    </row>
    <row r="6" s="735" customFormat="1" ht="15" customHeight="1">
      <c r="A6" s="745"/>
      <c r="K6" s="747"/>
      <c r="L6" t="s" s="751">
        <v>1163</v>
      </c>
      <c r="M6" s="752"/>
      <c r="N6" s="752"/>
      <c r="O6" s="752"/>
      <c r="P6" s="752"/>
      <c r="Q6" s="752"/>
      <c r="R6" s="753"/>
    </row>
    <row r="7" s="735" customFormat="1" ht="15" customHeight="1">
      <c r="A7" s="745"/>
      <c r="K7" s="747"/>
      <c r="L7" s="754"/>
      <c r="M7" s="755"/>
      <c r="N7" s="755"/>
      <c r="O7" s="755"/>
      <c r="P7" s="755"/>
      <c r="Q7" s="755"/>
      <c r="R7" s="756"/>
    </row>
    <row r="8" s="735" customFormat="1" ht="15" customHeight="1">
      <c r="A8" s="745"/>
      <c r="K8" s="757"/>
    </row>
    <row r="9" s="735" customFormat="1" ht="15" customHeight="1">
      <c r="A9" s="745"/>
      <c r="K9" s="757"/>
      <c r="L9" t="s" s="740">
        <v>1164</v>
      </c>
    </row>
    <row r="10" s="735" customFormat="1" ht="15" customHeight="1">
      <c r="A10" s="745"/>
      <c r="K10" s="747"/>
      <c r="L10" s="748"/>
      <c r="M10" s="749"/>
      <c r="N10" s="749"/>
      <c r="O10" s="749"/>
      <c r="P10" s="749"/>
      <c r="Q10" s="749"/>
      <c r="R10" s="750"/>
    </row>
    <row r="11" s="735" customFormat="1" ht="15" customHeight="1">
      <c r="A11" s="745"/>
      <c r="K11" s="747"/>
      <c r="L11" t="s" s="751">
        <v>1165</v>
      </c>
      <c r="M11" s="752"/>
      <c r="N11" s="752"/>
      <c r="O11" s="752"/>
      <c r="P11" s="752"/>
      <c r="Q11" s="752"/>
      <c r="R11" s="753"/>
    </row>
    <row r="12" s="735" customFormat="1" ht="15" customHeight="1">
      <c r="A12" s="745"/>
      <c r="K12" s="747"/>
      <c r="L12" t="s" s="751">
        <v>1166</v>
      </c>
      <c r="M12" s="752"/>
      <c r="N12" s="752"/>
      <c r="O12" s="752"/>
      <c r="P12" s="752"/>
      <c r="Q12" s="752"/>
      <c r="R12" s="753"/>
    </row>
    <row r="13" s="735" customFormat="1" ht="15" customHeight="1">
      <c r="A13" s="427"/>
      <c r="B13" s="758"/>
      <c r="C13" s="758"/>
      <c r="D13" s="758"/>
      <c r="E13" s="758"/>
      <c r="F13" s="758"/>
      <c r="G13" s="758"/>
      <c r="H13" s="758"/>
      <c r="I13" s="758"/>
      <c r="J13" s="758"/>
      <c r="K13" s="759"/>
      <c r="L13" t="s" s="751">
        <v>1167</v>
      </c>
      <c r="M13" s="752"/>
      <c r="N13" s="752"/>
      <c r="O13" s="752"/>
      <c r="P13" s="752"/>
      <c r="Q13" s="752"/>
      <c r="R13" s="753"/>
    </row>
    <row r="14" s="735" customFormat="1" ht="15" customHeight="1">
      <c r="A14" s="745"/>
      <c r="B14" s="760"/>
      <c r="C14" s="761"/>
      <c r="D14" s="761"/>
      <c r="E14" s="761"/>
      <c r="F14" s="761"/>
      <c r="G14" s="761"/>
      <c r="H14" s="761"/>
      <c r="I14" s="761"/>
      <c r="J14" s="762"/>
      <c r="K14" s="747"/>
      <c r="L14" t="s" s="751">
        <v>1168</v>
      </c>
      <c r="M14" s="752"/>
      <c r="N14" s="752"/>
      <c r="O14" s="752"/>
      <c r="P14" s="752"/>
      <c r="Q14" s="752"/>
      <c r="R14" s="753"/>
    </row>
    <row r="15" s="735" customFormat="1" ht="15" customHeight="1">
      <c r="A15" s="745"/>
      <c r="B15" t="s" s="763">
        <v>1169</v>
      </c>
      <c r="C15" t="s" s="764">
        <v>1170</v>
      </c>
      <c r="D15" s="752"/>
      <c r="E15" t="s" s="764">
        <v>1171</v>
      </c>
      <c r="F15" s="752"/>
      <c r="G15" t="s" s="764">
        <v>1172</v>
      </c>
      <c r="H15" s="752"/>
      <c r="I15" s="765"/>
      <c r="J15" s="766"/>
      <c r="K15" s="747"/>
      <c r="L15" t="s" s="751">
        <v>1173</v>
      </c>
      <c r="M15" s="752"/>
      <c r="N15" s="752"/>
      <c r="O15" s="752"/>
      <c r="P15" s="752"/>
      <c r="Q15" s="752"/>
      <c r="R15" s="753"/>
    </row>
    <row r="16" s="735" customFormat="1" ht="15" customHeight="1">
      <c r="A16" s="745"/>
      <c r="B16" t="s" s="767">
        <v>1174</v>
      </c>
      <c r="C16" s="768">
        <v>46113</v>
      </c>
      <c r="D16" s="768"/>
      <c r="E16" s="769"/>
      <c r="F16" s="769"/>
      <c r="G16" s="769"/>
      <c r="H16" s="769"/>
      <c r="I16" s="770"/>
      <c r="J16" s="771"/>
      <c r="K16" s="747"/>
      <c r="L16" s="754"/>
      <c r="M16" s="755"/>
      <c r="N16" s="755"/>
      <c r="O16" s="755"/>
      <c r="P16" s="755"/>
      <c r="Q16" s="755"/>
      <c r="R16" s="756"/>
    </row>
    <row r="17" s="735" customFormat="1" ht="15" customHeight="1">
      <c r="A17" s="745"/>
      <c r="B17" s="772"/>
      <c r="C17" s="773"/>
      <c r="D17" s="773"/>
      <c r="E17" s="773"/>
      <c r="F17" s="773"/>
      <c r="G17" s="773"/>
      <c r="H17" s="773"/>
      <c r="I17" s="773"/>
      <c r="J17" s="774"/>
      <c r="K17" s="757"/>
    </row>
    <row r="18" s="735" customFormat="1" ht="15" customHeight="1">
      <c r="A18" s="427"/>
      <c r="B18" s="775"/>
      <c r="C18" s="775"/>
      <c r="D18" s="775"/>
      <c r="E18" s="775"/>
      <c r="F18" s="775"/>
      <c r="G18" s="775"/>
      <c r="H18" s="775"/>
      <c r="I18" s="775"/>
      <c r="J18" s="775"/>
      <c r="K18" s="743"/>
      <c r="L18" t="s" s="740">
        <v>1175</v>
      </c>
    </row>
    <row r="19" s="735" customFormat="1" ht="20" customHeight="1">
      <c r="A19" s="745"/>
      <c r="B19" s="776"/>
      <c r="C19" t="s" s="777">
        <v>1176</v>
      </c>
      <c r="D19" s="778"/>
      <c r="E19" s="779">
        <v>2</v>
      </c>
      <c r="F19" s="780"/>
      <c r="G19" s="778"/>
      <c r="H19" s="781"/>
      <c r="I19" s="781"/>
      <c r="J19" s="782"/>
      <c r="K19" s="747"/>
      <c r="L19" s="748"/>
      <c r="M19" s="749"/>
      <c r="N19" s="749"/>
      <c r="O19" s="749"/>
      <c r="P19" s="749"/>
      <c r="Q19" s="749"/>
      <c r="R19" s="750"/>
    </row>
    <row r="20" s="735" customFormat="1" ht="15" customHeight="1">
      <c r="A20" s="745"/>
      <c r="B20" s="783"/>
      <c r="C20" t="s" s="784">
        <v>1177</v>
      </c>
      <c r="D20" s="785"/>
      <c r="E20" t="s" s="786">
        <v>2</v>
      </c>
      <c r="F20" s="787"/>
      <c r="G20" t="s" s="786">
        <v>1178</v>
      </c>
      <c r="H20" s="788"/>
      <c r="I20" s="788"/>
      <c r="J20" s="771"/>
      <c r="K20" s="747"/>
      <c r="L20" t="s" s="751">
        <v>1179</v>
      </c>
      <c r="M20" s="752"/>
      <c r="N20" s="752"/>
      <c r="O20" s="752"/>
      <c r="P20" s="752"/>
      <c r="Q20" s="752"/>
      <c r="R20" s="753"/>
    </row>
    <row r="21" s="789" customFormat="1" ht="20" customHeight="1">
      <c r="A21" s="745"/>
      <c r="B21" s="790"/>
      <c r="C21" t="s" s="791">
        <v>1180</v>
      </c>
      <c r="D21" s="792"/>
      <c r="E21" s="793">
        <v>2</v>
      </c>
      <c r="F21" s="792"/>
      <c r="G21" s="793">
        <v>2</v>
      </c>
      <c r="H21" s="794"/>
      <c r="I21" s="788"/>
      <c r="J21" s="753"/>
      <c r="K21" s="747"/>
      <c r="L21" t="s" s="751">
        <v>1181</v>
      </c>
      <c r="M21" s="752"/>
      <c r="N21" s="752"/>
      <c r="O21" s="752"/>
      <c r="P21" s="752"/>
      <c r="Q21" s="752"/>
      <c r="R21" s="753"/>
      <c r="T21" s="730"/>
      <c r="U21" s="730"/>
      <c r="V21" s="730"/>
      <c r="W21" s="730"/>
      <c r="X21" s="730"/>
      <c r="Y21" s="730"/>
    </row>
    <row r="22" s="789" customFormat="1" ht="8" customHeight="1">
      <c r="A22" s="745"/>
      <c r="B22" s="795"/>
      <c r="C22" s="796"/>
      <c r="D22" s="752"/>
      <c r="E22" s="796"/>
      <c r="F22" s="752"/>
      <c r="G22" s="796"/>
      <c r="H22" s="752"/>
      <c r="I22" s="788"/>
      <c r="J22" s="753"/>
      <c r="K22" s="747"/>
      <c r="L22" s="797"/>
      <c r="M22" s="752"/>
      <c r="N22" s="752"/>
      <c r="O22" s="752"/>
      <c r="P22" s="752"/>
      <c r="Q22" s="752"/>
      <c r="R22" s="753"/>
      <c r="T22" s="730"/>
      <c r="U22" s="730"/>
      <c r="V22" s="730"/>
      <c r="W22" s="730"/>
      <c r="X22" s="730"/>
      <c r="Y22" s="730"/>
    </row>
    <row r="23" s="789" customFormat="1" ht="20" customHeight="1">
      <c r="A23" s="745"/>
      <c r="B23" s="790"/>
      <c r="C23" t="s" s="791">
        <v>1182</v>
      </c>
      <c r="D23" s="792"/>
      <c r="E23" s="798">
        <v>2</v>
      </c>
      <c r="F23" s="792"/>
      <c r="G23" s="798">
        <v>2</v>
      </c>
      <c r="H23" s="794"/>
      <c r="I23" s="752"/>
      <c r="J23" s="753"/>
      <c r="K23" s="747"/>
      <c r="L23" s="754"/>
      <c r="M23" s="755"/>
      <c r="N23" s="755"/>
      <c r="O23" s="755"/>
      <c r="P23" s="755"/>
      <c r="Q23" s="755"/>
      <c r="R23" s="756"/>
      <c r="T23" s="730"/>
      <c r="U23" s="730"/>
      <c r="V23" s="730"/>
      <c r="W23" s="730"/>
      <c r="X23" s="730"/>
      <c r="Y23" s="730"/>
    </row>
    <row r="24" s="789" customFormat="1" ht="8" customHeight="1">
      <c r="A24" s="745"/>
      <c r="B24" s="795"/>
      <c r="C24" s="796"/>
      <c r="D24" s="752"/>
      <c r="E24" s="796"/>
      <c r="F24" s="752"/>
      <c r="G24" s="796"/>
      <c r="H24" s="752"/>
      <c r="I24" s="752"/>
      <c r="J24" s="753"/>
      <c r="K24" s="757"/>
      <c r="T24" s="730"/>
      <c r="U24" s="730"/>
      <c r="V24" s="730"/>
      <c r="W24" s="730"/>
      <c r="X24" s="730"/>
      <c r="Y24" s="730"/>
    </row>
    <row r="25" s="789" customFormat="1" ht="20" customHeight="1">
      <c r="A25" s="745"/>
      <c r="B25" s="790"/>
      <c r="C25" t="s" s="791">
        <v>1183</v>
      </c>
      <c r="D25" s="792"/>
      <c r="E25" s="798">
        <v>2</v>
      </c>
      <c r="F25" s="792"/>
      <c r="G25" s="799">
        <v>0</v>
      </c>
      <c r="H25" s="794"/>
      <c r="I25" s="752"/>
      <c r="J25" s="753"/>
      <c r="K25" s="757"/>
      <c r="L25" t="s" s="800">
        <v>1184</v>
      </c>
      <c r="T25" s="730"/>
      <c r="U25" s="730"/>
      <c r="V25" s="730"/>
      <c r="W25" s="730"/>
      <c r="X25" s="730"/>
      <c r="Y25" s="730"/>
    </row>
    <row r="26" s="789" customFormat="1" ht="8" customHeight="1">
      <c r="A26" s="745"/>
      <c r="B26" s="795"/>
      <c r="C26" s="796"/>
      <c r="D26" s="752"/>
      <c r="E26" s="796"/>
      <c r="F26" s="752"/>
      <c r="G26" s="796"/>
      <c r="H26" s="752"/>
      <c r="I26" s="752"/>
      <c r="J26" s="753"/>
      <c r="K26" s="757"/>
      <c r="T26" s="730"/>
      <c r="U26" s="730"/>
      <c r="V26" s="730"/>
      <c r="W26" s="730"/>
      <c r="X26" s="730"/>
      <c r="Y26" s="730"/>
    </row>
    <row r="27" s="789" customFormat="1" ht="20" customHeight="1">
      <c r="A27" s="745"/>
      <c r="B27" s="790"/>
      <c r="C27" t="s" s="791">
        <v>1185</v>
      </c>
      <c r="D27" s="792"/>
      <c r="E27" s="798">
        <v>2</v>
      </c>
      <c r="F27" s="792"/>
      <c r="G27" s="799">
        <v>0</v>
      </c>
      <c r="H27" s="794"/>
      <c r="I27" s="752"/>
      <c r="J27" s="753"/>
      <c r="K27" s="747"/>
      <c r="L27" t="s" s="801">
        <v>1186</v>
      </c>
      <c r="M27" s="749"/>
      <c r="N27" s="749"/>
      <c r="O27" s="749"/>
      <c r="P27" s="749"/>
      <c r="Q27" s="749"/>
      <c r="R27" s="750"/>
      <c r="T27" s="730"/>
      <c r="U27" s="730"/>
      <c r="V27" s="730"/>
      <c r="W27" s="730"/>
      <c r="X27" s="730"/>
      <c r="Y27" s="730"/>
    </row>
    <row r="28" s="789" customFormat="1" ht="8" customHeight="1">
      <c r="A28" s="745"/>
      <c r="B28" s="795"/>
      <c r="C28" s="796"/>
      <c r="D28" s="752"/>
      <c r="E28" s="796"/>
      <c r="F28" s="752"/>
      <c r="G28" s="796"/>
      <c r="H28" s="752"/>
      <c r="I28" s="752"/>
      <c r="J28" s="753"/>
      <c r="K28" s="747"/>
      <c r="L28" s="802"/>
      <c r="M28" s="803"/>
      <c r="N28" s="803"/>
      <c r="O28" s="803"/>
      <c r="P28" s="803"/>
      <c r="Q28" s="803"/>
      <c r="R28" s="803"/>
      <c r="T28" s="730"/>
      <c r="U28" s="730"/>
      <c r="V28" s="730"/>
      <c r="W28" s="730"/>
      <c r="X28" s="730"/>
      <c r="Y28" s="730"/>
    </row>
    <row r="29" s="789" customFormat="1" ht="20" customHeight="1">
      <c r="A29" s="745"/>
      <c r="B29" s="790"/>
      <c r="C29" t="s" s="791">
        <v>1187</v>
      </c>
      <c r="D29" s="792"/>
      <c r="E29" s="799">
        <v>0</v>
      </c>
      <c r="F29" s="792"/>
      <c r="G29" s="798">
        <v>2</v>
      </c>
      <c r="H29" s="794"/>
      <c r="I29" s="752"/>
      <c r="J29" s="753"/>
      <c r="K29" s="757"/>
      <c r="T29" s="730"/>
      <c r="U29" s="730"/>
      <c r="V29" s="730"/>
      <c r="W29" s="730"/>
      <c r="X29" s="730"/>
      <c r="Y29" s="730"/>
    </row>
    <row r="30" s="789" customFormat="1" ht="8" customHeight="1">
      <c r="A30" s="745"/>
      <c r="B30" s="795"/>
      <c r="C30" s="796"/>
      <c r="D30" s="752"/>
      <c r="E30" s="796"/>
      <c r="F30" s="752"/>
      <c r="G30" s="796"/>
      <c r="H30" s="752"/>
      <c r="I30" s="752"/>
      <c r="J30" s="753"/>
      <c r="K30" s="757"/>
      <c r="T30" s="730"/>
      <c r="U30" s="730"/>
      <c r="V30" s="730"/>
      <c r="W30" s="730"/>
      <c r="X30" s="730"/>
      <c r="Y30" s="730"/>
    </row>
    <row r="31" s="789" customFormat="1" ht="20" customHeight="1">
      <c r="A31" s="745"/>
      <c r="B31" s="790"/>
      <c r="C31" t="s" s="791">
        <v>1188</v>
      </c>
      <c r="D31" s="792"/>
      <c r="E31" s="798">
        <v>2</v>
      </c>
      <c r="F31" s="792"/>
      <c r="G31" s="799">
        <v>0</v>
      </c>
      <c r="H31" s="794"/>
      <c r="I31" s="752"/>
      <c r="J31" s="753"/>
      <c r="K31" s="757"/>
      <c r="T31" s="730"/>
      <c r="U31" s="730"/>
      <c r="V31" s="730"/>
      <c r="W31" s="730"/>
      <c r="X31" s="730"/>
      <c r="Y31" s="730"/>
    </row>
    <row r="32" s="735" customFormat="1" ht="15" customHeight="1">
      <c r="A32" s="745"/>
      <c r="B32" s="772"/>
      <c r="C32" s="804"/>
      <c r="D32" s="773"/>
      <c r="E32" s="804"/>
      <c r="F32" s="773"/>
      <c r="G32" s="804"/>
      <c r="H32" s="773"/>
      <c r="I32" s="773"/>
      <c r="J32" s="774"/>
      <c r="K32" s="757"/>
      <c r="L32" s="805"/>
      <c r="M32" s="805"/>
      <c r="N32" s="805"/>
      <c r="O32" s="805"/>
      <c r="P32" s="805"/>
      <c r="Q32" s="805"/>
      <c r="R32" s="805"/>
    </row>
    <row r="33" s="735" customFormat="1" ht="16" customHeight="1">
      <c r="A33" s="427"/>
      <c r="K33" s="743"/>
    </row>
    <row r="34" s="735" customFormat="1" ht="28" customHeight="1">
      <c r="A34" s="806"/>
      <c r="B34" t="s" s="807">
        <v>11</v>
      </c>
      <c r="K34" s="808"/>
      <c r="L34" t="s" s="40">
        <v>12</v>
      </c>
    </row>
    <row r="35" s="735" customFormat="1" ht="15" customHeight="1">
      <c r="A35" s="427"/>
      <c r="C35" s="809"/>
      <c r="D35" s="809"/>
      <c r="E35" s="809"/>
      <c r="F35" s="809"/>
      <c r="G35" s="809"/>
      <c r="H35" s="809"/>
      <c r="I35" s="809"/>
      <c r="J35" s="809"/>
      <c r="K35" s="743"/>
      <c r="L35" s="809"/>
      <c r="M35" s="743"/>
      <c r="N35" s="743"/>
      <c r="O35" s="743"/>
      <c r="P35" s="743"/>
      <c r="Q35" s="743"/>
    </row>
    <row r="36" s="735" customFormat="1" ht="28" customHeight="1">
      <c r="A36" s="427"/>
      <c r="D36" s="743"/>
      <c r="E36" s="743"/>
      <c r="F36" s="743"/>
      <c r="G36" s="743"/>
      <c r="H36" s="743"/>
      <c r="I36" s="743"/>
      <c r="J36" s="743"/>
      <c r="K36" s="743"/>
      <c r="L36" s="743"/>
      <c r="M36" s="743"/>
      <c r="N36" s="743"/>
      <c r="O36" s="743"/>
      <c r="P36" s="743"/>
      <c r="Q36" s="743"/>
    </row>
    <row r="37" s="735" customFormat="1" ht="15" customHeight="1">
      <c r="A37" s="427"/>
      <c r="K37" s="743"/>
      <c r="L37" s="743"/>
      <c r="M37" s="743"/>
      <c r="N37" s="743"/>
      <c r="O37" s="743"/>
      <c r="P37" s="743"/>
      <c r="Q37" s="743"/>
    </row>
    <row r="38" s="735" customFormat="1" ht="34" customHeight="1">
      <c r="A38" s="427"/>
      <c r="B38" s="743"/>
      <c r="D38" s="743"/>
      <c r="E38" s="743"/>
      <c r="F38" s="743"/>
      <c r="G38" s="743"/>
      <c r="H38" s="743"/>
      <c r="I38" s="743"/>
      <c r="J38" s="743"/>
      <c r="K38" s="743"/>
      <c r="M38" s="743"/>
      <c r="N38" s="743"/>
      <c r="O38" s="743"/>
      <c r="P38" s="743"/>
      <c r="Q38" s="743"/>
    </row>
    <row r="39" s="735" customFormat="1" ht="15" customHeight="1">
      <c r="A39" s="427"/>
      <c r="B39" s="743"/>
      <c r="C39" s="743"/>
      <c r="D39" s="743"/>
      <c r="E39" s="743"/>
      <c r="F39" s="743"/>
      <c r="G39" s="743"/>
      <c r="H39" s="743"/>
      <c r="I39" s="743"/>
      <c r="J39" s="743"/>
      <c r="K39" s="743"/>
      <c r="L39" s="743"/>
      <c r="M39" s="743"/>
      <c r="N39" s="743"/>
      <c r="O39" s="743"/>
      <c r="P39" s="743"/>
      <c r="Q39" s="743"/>
    </row>
    <row r="40" s="735" customFormat="1" ht="15" customHeight="1">
      <c r="A40" s="427"/>
      <c r="B40" s="743"/>
      <c r="C40" s="743"/>
      <c r="D40" s="743"/>
      <c r="E40" s="743"/>
      <c r="F40" s="743"/>
      <c r="G40" s="743"/>
      <c r="H40" s="743"/>
      <c r="I40" s="743"/>
      <c r="J40" s="743"/>
      <c r="K40" s="743"/>
      <c r="L40" s="743"/>
      <c r="M40" s="743"/>
      <c r="N40" s="743"/>
      <c r="O40" s="743"/>
      <c r="P40" s="743"/>
      <c r="Q40" s="743"/>
    </row>
    <row r="41" s="735" customFormat="1" ht="15" customHeight="1">
      <c r="A41" s="427"/>
      <c r="B41" s="743"/>
      <c r="C41" s="743"/>
      <c r="D41" s="743"/>
      <c r="E41" s="743"/>
      <c r="F41" s="743"/>
      <c r="G41" s="743"/>
      <c r="H41" s="743"/>
      <c r="I41" s="743"/>
      <c r="J41" s="743"/>
      <c r="K41" s="743"/>
      <c r="L41" s="743"/>
      <c r="M41" s="743"/>
      <c r="N41" s="743"/>
      <c r="O41" s="743"/>
      <c r="P41" s="743"/>
      <c r="Q41" s="743"/>
    </row>
    <row r="45" s="735" customFormat="1" ht="15" customHeight="1">
      <c r="B45" s="743"/>
    </row>
    <row r="83" s="735" customFormat="1" ht="15" customHeight="1">
      <c r="O83" s="810"/>
    </row>
    <row r="84" s="735" customFormat="1" ht="60" customHeight="1">
      <c r="M84" t="s" s="811">
        <v>1189</v>
      </c>
      <c r="N84" s="14"/>
      <c r="O84" s="14"/>
      <c r="P84" s="14"/>
      <c r="Q84" s="14"/>
      <c r="R84" s="14"/>
    </row>
    <row r="86" s="735" customFormat="1" ht="15" customHeight="1">
      <c r="M86" t="s" s="812">
        <v>1190</v>
      </c>
      <c r="T86" t="s" s="813">
        <v>1191</v>
      </c>
      <c r="U86" t="s" s="812">
        <v>1192</v>
      </c>
      <c r="V86" t="s" s="812">
        <v>1193</v>
      </c>
      <c r="W86" t="s" s="812">
        <v>1194</v>
      </c>
      <c r="X86" t="s" s="812">
        <v>1195</v>
      </c>
      <c r="Y86" t="s" s="812">
        <v>1196</v>
      </c>
    </row>
    <row r="87" s="735" customFormat="1" ht="15" customHeight="1">
      <c r="M87" t="s" s="814">
        <v>1197</v>
      </c>
      <c r="N87" t="str" s="730" cm="1">
        <f t="array" ref="N87">_xlfn.IFERROR(IF($J$18="",$U$87,INDEX($U$87:$U$91,MATCH(M87,$T$87:$T$91,0))),"")</f>
        <v>Irán</v>
      </c>
      <c r="O87" t="str" s="730" cm="1">
        <f t="array" ref="O87">_xlfn.IFERROR(IF($J$18="",$V$87,INDEX($V$87:$V$91,MATCH(M87,$T$87:$T$91,0))),"")</f>
        <v>Iran</v>
      </c>
      <c r="T87" t="s" s="813">
        <v>1197</v>
      </c>
      <c r="U87" t="s" s="813">
        <v>305</v>
      </c>
      <c r="V87" t="s" s="813">
        <v>1198</v>
      </c>
      <c r="W87" t="s" s="813">
        <v>1199</v>
      </c>
      <c r="X87" s="815"/>
      <c r="Y87" s="816">
        <v>3.5</v>
      </c>
    </row>
    <row r="88" s="735" customFormat="1" ht="15" customHeight="1">
      <c r="T88" t="s" s="813">
        <v>1200</v>
      </c>
      <c r="U88" t="s" s="813">
        <v>1201</v>
      </c>
      <c r="V88" t="s" s="813">
        <v>1202</v>
      </c>
      <c r="W88" t="s" s="813">
        <v>1203</v>
      </c>
      <c r="X88" s="817"/>
      <c r="Y88" s="816">
        <v>4</v>
      </c>
    </row>
    <row r="89" s="735" customFormat="1" ht="16" customHeight="1">
      <c r="T89" t="s" s="813">
        <v>1204</v>
      </c>
      <c r="U89" t="s" s="813">
        <v>1205</v>
      </c>
      <c r="V89" t="s" s="813">
        <v>1205</v>
      </c>
      <c r="W89" t="s" s="818">
        <v>1206</v>
      </c>
      <c r="X89" s="817"/>
      <c r="Y89" s="816">
        <v>-4</v>
      </c>
    </row>
    <row r="90" s="735" customFormat="1" ht="16" customHeight="1">
      <c r="T90" t="s" s="813">
        <v>1207</v>
      </c>
      <c r="U90" t="s" s="813">
        <v>1208</v>
      </c>
      <c r="V90" t="s" s="813">
        <v>1209</v>
      </c>
      <c r="W90" t="s" s="818">
        <v>1210</v>
      </c>
      <c r="X90" s="817"/>
      <c r="Y90" s="816">
        <v>-3</v>
      </c>
    </row>
    <row r="91" s="735" customFormat="1" ht="15" customHeight="1">
      <c r="T91" t="s" s="813">
        <v>1211</v>
      </c>
      <c r="U91" t="str" s="14" cm="1">
        <f t="array" ref="U91">N93</f>
        <v>Escribe el país</v>
      </c>
      <c r="V91" t="str" s="14" cm="1">
        <f t="array" ref="V91">O93</f>
        <v>Write the nation</v>
      </c>
      <c r="W91" t="str" s="14" cm="1">
        <f t="array" ref="W91">IF(Q93="","",Q93)</f>
      </c>
      <c r="X91" t="str" s="14" cm="1">
        <f t="array" ref="X91">IF(R93="","",R93)</f>
      </c>
      <c r="Y91" s="816" cm="1">
        <f t="array" ref="Y91">IF(P93="",-4,P93)</f>
        <v>-4</v>
      </c>
    </row>
    <row r="92" s="735" customFormat="1" ht="19" customHeight="1">
      <c r="N92" t="s" s="812">
        <v>1192</v>
      </c>
      <c r="O92" t="s" s="812">
        <v>1193</v>
      </c>
      <c r="P92" t="s" s="812">
        <v>1214</v>
      </c>
      <c r="Q92" t="s" s="812">
        <v>1215</v>
      </c>
      <c r="R92" t="s" s="812">
        <v>1195</v>
      </c>
    </row>
    <row r="93" s="735" customFormat="1" ht="25" customHeight="1">
      <c r="M93" t="s" s="814">
        <v>1211</v>
      </c>
      <c r="N93" t="s" s="819">
        <v>1216</v>
      </c>
      <c r="O93" t="s" s="819">
        <v>1217</v>
      </c>
      <c r="P93" s="820"/>
      <c r="Q93" s="820"/>
      <c r="R93" s="820"/>
    </row>
    <row r="6118" s="735" customFormat="1" ht="15" customHeight="1">
      <c r="EU6118" s="730"/>
      <c r="EV6118" s="730"/>
      <c r="EW6118" s="730"/>
      <c r="EX6118" s="730"/>
      <c r="EY6118" s="730"/>
      <c r="EZ6118" t="s" s="814">
        <v>1218</v>
      </c>
      <c r="FA6118" s="730"/>
    </row>
    <row r="6119" s="735" customFormat="1" ht="15" customHeight="1">
      <c r="EU6119" t="s" s="814">
        <v>247</v>
      </c>
      <c r="EV6119" t="s" s="814">
        <v>1219</v>
      </c>
      <c r="EW6119" s="730"/>
      <c r="EX6119" s="730"/>
      <c r="EY6119" s="821"/>
      <c r="EZ6119" t="s" s="822">
        <v>247</v>
      </c>
      <c r="FA6119" t="s" s="822">
        <v>1219</v>
      </c>
    </row>
    <row r="6120" s="735" customFormat="1" ht="15" customHeight="1">
      <c r="EU6120" t="s" s="814">
        <v>327</v>
      </c>
      <c r="EV6120" t="s" s="814">
        <v>1220</v>
      </c>
      <c r="EW6120" s="730"/>
      <c r="EX6120" s="730"/>
      <c r="EY6120" s="821"/>
      <c r="EZ6120" t="s" s="822">
        <v>327</v>
      </c>
      <c r="FA6120" t="s" s="822">
        <v>1220</v>
      </c>
    </row>
    <row r="6121" s="735" customFormat="1" ht="15" customHeight="1">
      <c r="EU6121" t="s" s="814">
        <v>366</v>
      </c>
      <c r="EV6121" t="s" s="814">
        <v>1221</v>
      </c>
      <c r="EW6121" s="730"/>
      <c r="EX6121" s="730"/>
      <c r="EY6121" s="821"/>
      <c r="EZ6121" t="s" s="822">
        <v>366</v>
      </c>
      <c r="FA6121" t="s" s="822">
        <v>1221</v>
      </c>
    </row>
    <row r="6122" s="735" customFormat="1" ht="15" customHeight="1">
      <c r="EU6122" t="s" s="814">
        <v>362</v>
      </c>
      <c r="EV6122" t="s" s="814">
        <v>362</v>
      </c>
      <c r="EW6122" s="730"/>
      <c r="EX6122" s="730"/>
      <c r="EY6122" s="821"/>
      <c r="EZ6122" t="s" s="822">
        <v>362</v>
      </c>
      <c r="FA6122" t="s" s="822">
        <v>362</v>
      </c>
    </row>
    <row r="6123" s="735" customFormat="1" ht="15" customHeight="1">
      <c r="EU6123" t="s" s="814">
        <v>235</v>
      </c>
      <c r="EV6123" t="s" s="814">
        <v>235</v>
      </c>
      <c r="EW6123" s="730"/>
      <c r="EX6123" s="730"/>
      <c r="EY6123" s="821"/>
      <c r="EZ6123" t="s" s="822">
        <v>235</v>
      </c>
      <c r="FA6123" t="s" s="822">
        <v>235</v>
      </c>
    </row>
    <row r="6124" s="735" customFormat="1" ht="15" customHeight="1">
      <c r="EU6124" t="s" s="814">
        <v>373</v>
      </c>
      <c r="EV6124" t="s" s="814">
        <v>373</v>
      </c>
      <c r="EW6124" s="730"/>
      <c r="EX6124" s="730"/>
      <c r="EY6124" s="821"/>
      <c r="EZ6124" t="s" s="822">
        <v>373</v>
      </c>
      <c r="FA6124" t="s" s="822">
        <v>373</v>
      </c>
    </row>
    <row r="6125" s="735" customFormat="1" ht="15" customHeight="1">
      <c r="EU6125" t="s" s="814">
        <v>293</v>
      </c>
      <c r="EV6125" t="s" s="814">
        <v>1222</v>
      </c>
      <c r="EW6125" s="730"/>
      <c r="EX6125" s="730"/>
      <c r="EY6125" s="821"/>
      <c r="EZ6125" t="s" s="822">
        <v>293</v>
      </c>
      <c r="FA6125" t="s" s="822">
        <v>1222</v>
      </c>
    </row>
    <row r="6126" s="735" customFormat="1" ht="15" customHeight="1">
      <c r="EU6126" t="s" s="814">
        <v>201</v>
      </c>
      <c r="EV6126" t="s" s="814">
        <v>1223</v>
      </c>
      <c r="EW6126" s="730"/>
      <c r="EX6126" s="730"/>
      <c r="EY6126" s="821"/>
      <c r="EZ6126" t="s" s="822">
        <v>201</v>
      </c>
      <c r="FA6126" t="s" s="822">
        <v>1223</v>
      </c>
    </row>
    <row r="6127" s="735" customFormat="1" ht="15" customHeight="1">
      <c r="EU6127" t="s" s="814">
        <v>320</v>
      </c>
      <c r="EV6127" t="s" s="814">
        <v>1224</v>
      </c>
      <c r="EW6127" s="730"/>
      <c r="EX6127" s="730"/>
      <c r="EY6127" s="821"/>
      <c r="EZ6127" t="s" s="822">
        <v>320</v>
      </c>
      <c r="FA6127" t="s" s="822">
        <v>1224</v>
      </c>
    </row>
    <row r="6128" s="735" customFormat="1" ht="15" customHeight="1">
      <c r="EU6128" t="s" s="814">
        <v>160</v>
      </c>
      <c r="EV6128" t="s" s="814">
        <v>1225</v>
      </c>
      <c r="EW6128" s="730"/>
      <c r="EX6128" s="730"/>
      <c r="EY6128" s="821"/>
      <c r="EZ6128" t="s" s="822">
        <v>160</v>
      </c>
      <c r="FA6128" t="s" s="822">
        <v>1225</v>
      </c>
    </row>
    <row r="6129" s="735" customFormat="1" ht="15" customHeight="1">
      <c r="EU6129" t="s" s="814">
        <v>177</v>
      </c>
      <c r="EV6129" t="s" s="814">
        <v>1226</v>
      </c>
      <c r="EW6129" s="730"/>
      <c r="EX6129" s="730"/>
      <c r="EY6129" s="821"/>
      <c r="EZ6129" t="s" s="822">
        <v>177</v>
      </c>
      <c r="FA6129" t="s" s="822">
        <v>1226</v>
      </c>
    </row>
    <row r="6130" s="735" customFormat="1" ht="15" customHeight="1">
      <c r="EU6130" t="s" s="814">
        <v>404</v>
      </c>
      <c r="EV6130" t="s" s="814">
        <v>404</v>
      </c>
      <c r="EW6130" s="730"/>
      <c r="EX6130" s="730"/>
      <c r="EY6130" s="821"/>
      <c r="EZ6130" t="s" s="822">
        <v>404</v>
      </c>
      <c r="FA6130" t="s" s="822">
        <v>404</v>
      </c>
    </row>
    <row r="6131" s="735" customFormat="1" ht="15" customHeight="1">
      <c r="EU6131" t="s" s="814">
        <v>139</v>
      </c>
      <c r="EV6131" t="s" s="814">
        <v>1227</v>
      </c>
      <c r="EW6131" s="730"/>
      <c r="EX6131" s="730"/>
      <c r="EY6131" s="821"/>
      <c r="EZ6131" t="s" s="822">
        <v>139</v>
      </c>
      <c r="FA6131" t="s" s="822">
        <v>1227</v>
      </c>
    </row>
    <row r="6132" s="735" customFormat="1" ht="15" customHeight="1">
      <c r="EU6132" t="s" s="814">
        <v>259</v>
      </c>
      <c r="EV6132" t="s" s="814">
        <v>1228</v>
      </c>
      <c r="EW6132" s="730"/>
      <c r="EX6132" s="730"/>
      <c r="EY6132" s="730"/>
      <c r="EZ6132" t="s" s="814">
        <v>259</v>
      </c>
      <c r="FA6132" t="s" s="822">
        <v>1228</v>
      </c>
    </row>
    <row r="6133" s="735" customFormat="1" ht="15" customHeight="1">
      <c r="EU6133" t="s" s="814">
        <v>413</v>
      </c>
      <c r="EV6133" t="s" s="814">
        <v>1229</v>
      </c>
      <c r="EW6133" s="730"/>
      <c r="EX6133" s="730"/>
      <c r="EY6133" s="821"/>
      <c r="EZ6133" t="s" s="822">
        <v>413</v>
      </c>
      <c r="FA6133" t="s" s="822">
        <v>1229</v>
      </c>
    </row>
    <row r="6134" s="735" customFormat="1" ht="15" customHeight="1">
      <c r="EU6134" t="s" s="814">
        <v>253</v>
      </c>
      <c r="EV6134" t="s" s="814">
        <v>1230</v>
      </c>
      <c r="EW6134" s="730"/>
      <c r="EX6134" s="730"/>
      <c r="EY6134" s="821"/>
      <c r="EZ6134" t="s" s="822">
        <v>253</v>
      </c>
      <c r="FA6134" t="s" s="822">
        <v>1230</v>
      </c>
    </row>
    <row r="6135" s="735" customFormat="1" ht="15" customHeight="1">
      <c r="EU6135" t="s" s="814">
        <v>265</v>
      </c>
      <c r="EV6135" t="s" s="814">
        <v>265</v>
      </c>
      <c r="EW6135" s="730"/>
      <c r="EX6135" s="730"/>
      <c r="EY6135" s="821"/>
      <c r="EZ6135" t="s" s="822">
        <v>265</v>
      </c>
      <c r="FA6135" t="s" s="822">
        <v>265</v>
      </c>
    </row>
    <row r="6136" s="735" customFormat="1" ht="15" customHeight="1">
      <c r="EU6136" t="s" s="814">
        <v>299</v>
      </c>
      <c r="EV6136" t="s" s="814">
        <v>1231</v>
      </c>
      <c r="EW6136" s="730"/>
      <c r="EX6136" s="730"/>
      <c r="EY6136" s="821"/>
      <c r="EZ6136" t="s" s="822">
        <v>299</v>
      </c>
      <c r="FA6136" t="s" s="822">
        <v>1231</v>
      </c>
    </row>
    <row r="6137" s="735" customFormat="1" ht="15" customHeight="1">
      <c r="EU6137" t="s" s="814">
        <v>219</v>
      </c>
      <c r="EV6137" t="s" s="814">
        <v>1232</v>
      </c>
      <c r="EW6137" s="730"/>
      <c r="EX6137" s="730"/>
      <c r="EY6137" s="821"/>
      <c r="EZ6137" t="s" s="822">
        <v>219</v>
      </c>
      <c r="FA6137" t="s" s="822">
        <v>1232</v>
      </c>
    </row>
    <row r="6138" s="735" customFormat="1" ht="15" customHeight="1">
      <c r="EU6138" t="s" s="814">
        <v>316</v>
      </c>
      <c r="EV6138" t="s" s="814">
        <v>1233</v>
      </c>
      <c r="EW6138" s="730"/>
      <c r="EX6138" s="730"/>
      <c r="EY6138" s="821"/>
      <c r="EZ6138" t="s" s="822">
        <v>316</v>
      </c>
      <c r="FA6138" t="s" s="822">
        <v>1233</v>
      </c>
    </row>
    <row r="6139" s="735" customFormat="1" ht="15" customHeight="1">
      <c r="EU6139" t="s" s="814">
        <v>224</v>
      </c>
      <c r="EV6139" t="s" s="814">
        <v>1234</v>
      </c>
      <c r="EW6139" s="730"/>
      <c r="EX6139" s="730"/>
      <c r="EY6139" s="821"/>
      <c r="EZ6139" t="s" s="822">
        <v>224</v>
      </c>
      <c r="FA6139" t="s" s="822">
        <v>1234</v>
      </c>
    </row>
    <row r="6140" s="735" customFormat="1" ht="15" customHeight="1">
      <c r="EU6140" t="s" s="814">
        <v>340</v>
      </c>
      <c r="EV6140" t="s" s="814">
        <v>1235</v>
      </c>
      <c r="EW6140" s="730"/>
      <c r="EX6140" s="730"/>
      <c r="EY6140" s="821"/>
      <c r="EZ6140" t="s" s="822">
        <v>340</v>
      </c>
      <c r="FA6140" t="s" s="822">
        <v>1235</v>
      </c>
    </row>
    <row r="6141" s="735" customFormat="1" ht="15" customHeight="1">
      <c r="EU6141" t="s" s="814">
        <v>420</v>
      </c>
      <c r="EV6141" t="s" s="814">
        <v>420</v>
      </c>
      <c r="EW6141" s="730"/>
      <c r="EX6141" s="730"/>
      <c r="EY6141" s="821"/>
      <c r="EZ6141" t="s" s="822">
        <v>420</v>
      </c>
      <c r="FA6141" t="s" s="822">
        <v>420</v>
      </c>
    </row>
    <row r="6142" s="735" customFormat="1" ht="15" customHeight="1">
      <c r="EU6142" t="s" s="814">
        <v>213</v>
      </c>
      <c r="EV6142" t="s" s="814">
        <v>1236</v>
      </c>
      <c r="EW6142" s="730"/>
      <c r="EX6142" s="730"/>
      <c r="EY6142" s="821"/>
      <c r="EZ6142" t="s" s="822">
        <v>213</v>
      </c>
      <c r="FA6142" t="s" s="822">
        <v>1236</v>
      </c>
    </row>
    <row r="6143" s="735" customFormat="1" ht="15" customHeight="1">
      <c r="EU6143" t="s" s="814">
        <v>409</v>
      </c>
      <c r="EV6143" t="s" s="814">
        <v>1237</v>
      </c>
      <c r="EW6143" s="730"/>
      <c r="EX6143" s="730"/>
      <c r="EY6143" s="821"/>
      <c r="EZ6143" t="s" s="822">
        <v>409</v>
      </c>
      <c r="FA6143" t="s" s="822">
        <v>1237</v>
      </c>
    </row>
    <row r="6144" s="735" customFormat="1" ht="15" customHeight="1">
      <c r="EU6144" t="s" s="814">
        <v>305</v>
      </c>
      <c r="EV6144" t="s" s="814">
        <v>1198</v>
      </c>
      <c r="EW6144" s="730"/>
      <c r="EX6144" s="730"/>
      <c r="EY6144" s="821"/>
      <c r="EZ6144" t="str" s="821" cm="1">
        <f t="array" ref="EZ6144">N87</f>
        <v>Irán</v>
      </c>
      <c r="FA6144" t="str" s="821" cm="1">
        <f t="array" ref="FA6144">O87</f>
        <v>Iran</v>
      </c>
    </row>
    <row r="6145" s="735" customFormat="1" ht="15" customHeight="1">
      <c r="EU6145" t="s" s="814">
        <v>274</v>
      </c>
      <c r="EV6145" t="s" s="814">
        <v>1240</v>
      </c>
      <c r="EW6145" s="730"/>
      <c r="EX6145" s="730"/>
      <c r="EY6145" s="821"/>
      <c r="EZ6145" t="s" s="822">
        <v>274</v>
      </c>
      <c r="FA6145" t="s" s="822">
        <v>1240</v>
      </c>
    </row>
    <row r="6146" s="735" customFormat="1" ht="15" customHeight="1">
      <c r="EU6146" t="s" s="814">
        <v>379</v>
      </c>
      <c r="EV6146" t="s" s="814">
        <v>1241</v>
      </c>
      <c r="EW6146" s="730"/>
      <c r="EX6146" s="730"/>
      <c r="EY6146" s="821"/>
      <c r="EZ6146" t="s" s="822">
        <v>379</v>
      </c>
      <c r="FA6146" t="s" s="822">
        <v>1241</v>
      </c>
    </row>
    <row r="6147" s="735" customFormat="1" ht="15" customHeight="1">
      <c r="EU6147" t="s" s="814">
        <v>207</v>
      </c>
      <c r="EV6147" t="s" s="814">
        <v>1242</v>
      </c>
      <c r="EW6147" s="730"/>
      <c r="EX6147" s="730"/>
      <c r="EY6147" s="821"/>
      <c r="EZ6147" t="s" s="822">
        <v>207</v>
      </c>
      <c r="FA6147" t="s" s="822">
        <v>1242</v>
      </c>
    </row>
    <row r="6148" s="735" customFormat="1" ht="15" customHeight="1">
      <c r="EU6148" t="s" s="814">
        <v>55</v>
      </c>
      <c r="EV6148" t="s" s="814">
        <v>1243</v>
      </c>
      <c r="EW6148" s="730"/>
      <c r="EX6148" s="730"/>
      <c r="EY6148" s="821"/>
      <c r="EZ6148" t="s" s="822">
        <v>55</v>
      </c>
      <c r="FA6148" t="s" s="822">
        <v>1243</v>
      </c>
    </row>
    <row r="6149" s="735" customFormat="1" ht="15" customHeight="1">
      <c r="EU6149" t="s" s="814">
        <v>358</v>
      </c>
      <c r="EV6149" t="s" s="814">
        <v>1244</v>
      </c>
      <c r="EW6149" s="730"/>
      <c r="EX6149" s="730"/>
      <c r="EY6149" s="821"/>
      <c r="EZ6149" t="s" s="822">
        <v>358</v>
      </c>
      <c r="FA6149" t="s" s="822">
        <v>1244</v>
      </c>
    </row>
    <row r="6150" s="735" customFormat="1" ht="15" customHeight="1">
      <c r="EU6150" t="s" s="814">
        <v>311</v>
      </c>
      <c r="EV6150" t="s" s="814">
        <v>1245</v>
      </c>
      <c r="EW6150" s="730"/>
      <c r="EX6150" s="730"/>
      <c r="EY6150" s="821"/>
      <c r="EZ6150" t="s" s="822">
        <v>311</v>
      </c>
      <c r="FA6150" t="s" s="822">
        <v>1245</v>
      </c>
    </row>
    <row r="6151" s="735" customFormat="1" ht="15" customHeight="1">
      <c r="EU6151" t="s" s="814">
        <v>270</v>
      </c>
      <c r="EV6151" t="s" s="814">
        <v>1246</v>
      </c>
      <c r="EW6151" s="730"/>
      <c r="EX6151" s="730"/>
      <c r="EY6151" s="821"/>
      <c r="EZ6151" t="s" s="822">
        <v>270</v>
      </c>
      <c r="FA6151" t="s" s="822">
        <v>1246</v>
      </c>
    </row>
    <row r="6152" s="735" customFormat="1" ht="15" customHeight="1">
      <c r="EU6152" t="s" s="814">
        <v>426</v>
      </c>
      <c r="EV6152" t="s" s="814">
        <v>1247</v>
      </c>
      <c r="EW6152" s="730"/>
      <c r="EX6152" s="730"/>
      <c r="EY6152" s="821"/>
      <c r="EZ6152" t="s" s="822">
        <v>426</v>
      </c>
      <c r="FA6152" t="s" s="822">
        <v>1247</v>
      </c>
    </row>
    <row r="6153" s="735" customFormat="1" ht="15" customHeight="1">
      <c r="EU6153" t="s" s="814">
        <v>228</v>
      </c>
      <c r="EV6153" t="s" s="814">
        <v>228</v>
      </c>
      <c r="EW6153" s="730"/>
      <c r="EX6153" s="730"/>
      <c r="EY6153" s="821"/>
      <c r="EZ6153" t="s" s="822">
        <v>228</v>
      </c>
      <c r="FA6153" t="s" s="822">
        <v>228</v>
      </c>
    </row>
    <row r="6154" s="735" customFormat="1" ht="15" customHeight="1">
      <c r="EU6154" t="s" s="814">
        <v>386</v>
      </c>
      <c r="EV6154" t="s" s="814">
        <v>386</v>
      </c>
      <c r="EW6154" s="730"/>
      <c r="EX6154" s="730"/>
      <c r="EY6154" s="821"/>
      <c r="EZ6154" t="s" s="822">
        <v>386</v>
      </c>
      <c r="FA6154" t="s" s="822">
        <v>386</v>
      </c>
    </row>
    <row r="6155" s="735" customFormat="1" ht="15" customHeight="1">
      <c r="EU6155" t="s" s="814">
        <v>346</v>
      </c>
      <c r="EV6155" t="s" s="814">
        <v>346</v>
      </c>
      <c r="EW6155" s="730"/>
      <c r="EX6155" s="730"/>
      <c r="EY6155" s="821"/>
      <c r="EZ6155" t="s" s="822">
        <v>346</v>
      </c>
      <c r="FA6155" t="s" s="822">
        <v>346</v>
      </c>
    </row>
    <row r="6156" s="735" customFormat="1" ht="15" customHeight="1">
      <c r="EU6156" t="s" s="814">
        <v>129</v>
      </c>
      <c r="EV6156" t="s" s="814">
        <v>1248</v>
      </c>
      <c r="EW6156" s="730"/>
      <c r="EX6156" s="730"/>
      <c r="EY6156" s="821"/>
      <c r="EZ6156" t="s" s="822">
        <v>129</v>
      </c>
      <c r="FA6156" t="s" s="822">
        <v>1248</v>
      </c>
    </row>
    <row r="6157" s="735" customFormat="1" ht="15" customHeight="1">
      <c r="EU6157" t="s" s="814">
        <v>194</v>
      </c>
      <c r="EV6157" t="s" s="814">
        <v>1249</v>
      </c>
      <c r="EW6157" s="730"/>
      <c r="EX6157" s="730"/>
      <c r="EY6157" s="821"/>
      <c r="EZ6157" t="s" s="822">
        <v>194</v>
      </c>
      <c r="FA6157" t="s" s="822">
        <v>1249</v>
      </c>
    </row>
    <row r="6158" s="735" customFormat="1" ht="15" customHeight="1">
      <c r="EU6158" t="s" s="814">
        <v>287</v>
      </c>
      <c r="EV6158" t="s" s="814">
        <v>1250</v>
      </c>
      <c r="EW6158" s="730"/>
      <c r="EX6158" s="730"/>
      <c r="EY6158" s="821"/>
      <c r="EZ6158" t="s" s="822">
        <v>287</v>
      </c>
      <c r="FA6158" t="s" s="822">
        <v>1250</v>
      </c>
    </row>
    <row r="6159" s="735" customFormat="1" ht="15" customHeight="1">
      <c r="EU6159" t="s" s="814">
        <v>333</v>
      </c>
      <c r="EV6159" t="s" s="814">
        <v>333</v>
      </c>
      <c r="EW6159" s="730"/>
      <c r="EX6159" s="730"/>
      <c r="EY6159" s="821"/>
      <c r="EZ6159" t="s" s="822">
        <v>333</v>
      </c>
      <c r="FA6159" t="s" s="822">
        <v>333</v>
      </c>
    </row>
    <row r="6160" s="735" customFormat="1" ht="15" customHeight="1">
      <c r="EU6160" t="s" s="814">
        <v>398</v>
      </c>
      <c r="EV6160" t="s" s="814">
        <v>1251</v>
      </c>
      <c r="EW6160" s="730"/>
      <c r="EX6160" s="730"/>
      <c r="EY6160" s="821"/>
      <c r="EZ6160" t="s" s="822">
        <v>398</v>
      </c>
      <c r="FA6160" t="s" s="822">
        <v>1251</v>
      </c>
    </row>
    <row r="6161" s="735" customFormat="1" ht="15" customHeight="1">
      <c r="EU6161" t="s" s="814">
        <v>392</v>
      </c>
      <c r="EV6161" t="s" s="814">
        <v>1252</v>
      </c>
      <c r="EW6161" s="730"/>
      <c r="EX6161" s="730"/>
      <c r="EY6161" s="730"/>
      <c r="EZ6161" t="s" s="814">
        <v>392</v>
      </c>
      <c r="FA6161" t="s" s="814">
        <v>1252</v>
      </c>
    </row>
    <row r="6162" s="735" customFormat="1" ht="15" customHeight="1">
      <c r="EU6162" t="s" s="814">
        <v>352</v>
      </c>
      <c r="EV6162" t="s" s="814">
        <v>1253</v>
      </c>
      <c r="EW6162" s="730"/>
      <c r="EX6162" s="730"/>
      <c r="EY6162" s="730"/>
      <c r="EZ6162" t="s" s="814">
        <v>352</v>
      </c>
      <c r="FA6162" t="s" s="814">
        <v>1253</v>
      </c>
    </row>
    <row r="6163" s="735" customFormat="1" ht="15" customHeight="1">
      <c r="EU6163" t="s" s="814">
        <v>170</v>
      </c>
      <c r="EV6163" t="s" s="814">
        <v>1254</v>
      </c>
      <c r="EW6163" s="730"/>
      <c r="EX6163" s="730"/>
      <c r="EY6163" s="730"/>
      <c r="EZ6163" t="s" s="814">
        <v>170</v>
      </c>
      <c r="FA6163" t="s" s="814">
        <v>1254</v>
      </c>
    </row>
    <row r="6164" s="735" customFormat="1" ht="15" customHeight="1">
      <c r="EU6164" t="s" s="814">
        <v>281</v>
      </c>
      <c r="EV6164" t="s" s="814">
        <v>1255</v>
      </c>
      <c r="EW6164" s="730"/>
      <c r="EX6164" s="730"/>
      <c r="EY6164" s="730"/>
      <c r="EZ6164" t="s" s="814">
        <v>281</v>
      </c>
      <c r="FA6164" t="s" s="814">
        <v>1255</v>
      </c>
    </row>
    <row r="6165" s="735" customFormat="1" ht="15" customHeight="1">
      <c r="EU6165" t="s" s="814">
        <v>241</v>
      </c>
      <c r="EV6165" t="s" s="814">
        <v>1256</v>
      </c>
      <c r="EW6165" s="730"/>
      <c r="EX6165" s="730"/>
      <c r="EY6165" s="730"/>
      <c r="EZ6165" t="s" s="814">
        <v>241</v>
      </c>
      <c r="FA6165" t="s" s="814">
        <v>1256</v>
      </c>
    </row>
    <row r="6166" s="735" customFormat="1" ht="15" customHeight="1">
      <c r="EU6166" t="s" s="823">
        <v>146</v>
      </c>
      <c r="EV6166" t="s" s="823">
        <v>1257</v>
      </c>
      <c r="EW6166" s="824"/>
      <c r="EX6166" s="824"/>
      <c r="EY6166" s="824"/>
      <c r="EZ6166" t="s" s="823">
        <v>146</v>
      </c>
      <c r="FA6166" t="s" s="823">
        <v>1257</v>
      </c>
    </row>
  </sheetData>
  <mergeCells count="3">
    <mergeCell ref="M84:R84"/>
    <mergeCell ref="B34:J34"/>
    <mergeCell ref="B3:J12"/>
  </mergeCells>
  <dataValidations count="1">
    <dataValidation type="list" allowBlank="1" showInputMessage="1" showErrorMessage="1" sqref="M87">
      <formula1>"Irán/Iran,Emiratos Árabes Unidos/United Arab Emirates,Bolivia/Bolivia,Surinam/Suriname,Otro/Other"</formula1>
    </dataValidation>
  </dataValidations>
  <hyperlinks>
    <hyperlink ref="C15" r:id="rId1" location="" tooltip="" display="Miguel Angel Tejero"/>
    <hyperlink ref="E15" r:id="rId2" location="" tooltip="" display="matejero.es"/>
    <hyperlink ref="G15" r:id="rId3" location="" tooltip="" display="matejero.com"/>
    <hyperlink ref="L34" r:id="rId4" location="" tooltip="" display="Video►Tutorial"/>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
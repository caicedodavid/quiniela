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548D1F84-D205-3648-A252-247A3D2650F8}"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69" i="5" s="1"/>
  <c r="B109"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3" i="2" s="1"/>
  <c r="Z138" i="2"/>
  <c r="H138" i="2"/>
  <c r="D138" i="2"/>
  <c r="AG138" i="2" s="1"/>
  <c r="Z134" i="2"/>
  <c r="D134" i="2"/>
  <c r="AG134" i="2"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AG123" i="2" s="1"/>
  <c r="Z122" i="2"/>
  <c r="D122" i="2"/>
  <c r="AG122" i="2" s="1"/>
  <c r="Z121" i="2"/>
  <c r="D121" i="2"/>
  <c r="AG121" i="2" s="1"/>
  <c r="Z120" i="2"/>
  <c r="D120" i="2"/>
  <c r="N131" i="2" s="1"/>
  <c r="AF131" i="2" s="1"/>
  <c r="C214" i="3" s="1"/>
  <c r="Z116" i="2"/>
  <c r="D116" i="2"/>
  <c r="AG116" i="2"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AG104" i="2" s="1"/>
  <c r="AK103" i="2" a="1"/>
  <c r="AK103" i="2" s="1"/>
  <c r="Z103" i="2"/>
  <c r="D103" i="2"/>
  <c r="AK102" i="2" a="1"/>
  <c r="AK102" i="2" s="1"/>
  <c r="Z102" i="2"/>
  <c r="D102" i="2"/>
  <c r="M122" i="2" s="1"/>
  <c r="AA122" i="2" s="1"/>
  <c r="Z101" i="2"/>
  <c r="D101" i="2"/>
  <c r="AK97" i="2" a="1"/>
  <c r="AK97" i="2" s="1"/>
  <c r="AI97" i="2"/>
  <c r="AG97" i="2"/>
  <c r="AE97" i="2" a="1"/>
  <c r="AE97" i="2" s="1"/>
  <c r="AB97" i="2" a="1"/>
  <c r="AB97" i="2" s="1"/>
  <c r="D97" i="2"/>
  <c r="F97" i="2" s="1"/>
  <c r="AK96" i="2" a="1"/>
  <c r="AK96" i="2" s="1"/>
  <c r="AI96" i="2"/>
  <c r="AG96" i="2"/>
  <c r="AE96" i="2" a="1"/>
  <c r="AE96" i="2" s="1"/>
  <c r="AB96" i="2" a="1"/>
  <c r="AB96" i="2" s="1"/>
  <c r="D96" i="2"/>
  <c r="I96" i="2" s="1"/>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U89" i="2" s="1"/>
  <c r="AK88" i="2" a="1"/>
  <c r="AK88" i="2" s="1"/>
  <c r="AI88" i="2"/>
  <c r="AG88" i="2"/>
  <c r="AE88" i="2" a="1"/>
  <c r="AE88" i="2" s="1"/>
  <c r="AB88" i="2" a="1"/>
  <c r="AB88" i="2" s="1"/>
  <c r="D88" i="2"/>
  <c r="F88" i="2" s="1"/>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F81" i="2" s="1"/>
  <c r="AK80" i="2" a="1"/>
  <c r="AK80" i="2" s="1"/>
  <c r="AI80" i="2"/>
  <c r="AG80" i="2"/>
  <c r="AE80" i="2" a="1"/>
  <c r="AE80" i="2" s="1"/>
  <c r="AB80" i="2" a="1"/>
  <c r="AB80" i="2" s="1"/>
  <c r="D80" i="2"/>
  <c r="Q80" i="2" s="1"/>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M143" i="2" l="1"/>
  <c r="D73" i="5"/>
  <c r="H96" i="2"/>
  <c r="AG120" i="2"/>
  <c r="Q88" i="2"/>
  <c r="N121" i="2"/>
  <c r="AF120" i="2" s="1"/>
  <c r="C190" i="3" s="1"/>
  <c r="N138" i="2"/>
  <c r="AF138" i="2" s="1"/>
  <c r="C228" i="3" s="1"/>
  <c r="M147" i="2"/>
  <c r="D81" i="5"/>
  <c r="B16" i="7" s="1"/>
  <c r="D172" i="5"/>
  <c r="B112" i="3" s="1"/>
  <c r="O89" i="2"/>
  <c r="AG152" i="2"/>
  <c r="D19" i="5"/>
  <c r="Z3" i="2" s="1"/>
  <c r="Z19" i="2" s="1"/>
  <c r="Z35" i="2" s="1"/>
  <c r="D140" i="5"/>
  <c r="B80" i="3" s="1"/>
  <c r="H81" i="2"/>
  <c r="D21" i="5"/>
  <c r="D152" i="5"/>
  <c r="B92" i="3" s="1"/>
  <c r="AG150" i="2"/>
  <c r="D31" i="5"/>
  <c r="W141" i="2" s="1"/>
  <c r="D166" i="5"/>
  <c r="B106" i="3" s="1"/>
  <c r="D58" i="5"/>
  <c r="AR5" i="2" s="1"/>
  <c r="AR13" i="2" s="1"/>
  <c r="D168" i="5"/>
  <c r="B108" i="3" s="1"/>
  <c r="E96" i="2"/>
  <c r="D61" i="5"/>
  <c r="Z4" i="2" s="1"/>
  <c r="Z13" i="2" s="1"/>
  <c r="D170" i="5"/>
  <c r="B110" i="3" s="1"/>
  <c r="O96" i="2"/>
  <c r="D79" i="5"/>
  <c r="B3" i="7" s="1"/>
  <c r="R96" i="2"/>
  <c r="D80" i="5"/>
  <c r="B15" i="7" s="1"/>
  <c r="D115" i="5"/>
  <c r="E164" i="3" s="1"/>
  <c r="D112" i="5"/>
  <c r="E54" i="3" s="1"/>
  <c r="D18" i="5"/>
  <c r="Y3" i="2" s="1"/>
  <c r="Y19" i="2" s="1"/>
  <c r="Y35" i="2" s="1"/>
  <c r="D137" i="5"/>
  <c r="B243" i="3" s="1"/>
  <c r="E88" i="2"/>
  <c r="AG107" i="2"/>
  <c r="AG151" i="2"/>
  <c r="N88" i="2"/>
  <c r="N127" i="2"/>
  <c r="AF127" i="2" s="1"/>
  <c r="C197" i="3" s="1"/>
  <c r="D75" i="5"/>
  <c r="D154" i="5"/>
  <c r="B94" i="3" s="1"/>
  <c r="D207" i="5"/>
  <c r="K7" i="8" s="1"/>
  <c r="T88" i="2"/>
  <c r="AG108" i="2"/>
  <c r="K81" i="2"/>
  <c r="L81" i="2"/>
  <c r="M132" i="2"/>
  <c r="AA132" i="2" s="1"/>
  <c r="C211" i="3" s="1"/>
  <c r="C247" i="3"/>
  <c r="D22" i="5"/>
  <c r="AF3" i="2" s="1"/>
  <c r="AF19" i="2" s="1"/>
  <c r="AF35" i="2" s="1"/>
  <c r="D113" i="5"/>
  <c r="E162" i="3" s="1"/>
  <c r="D173" i="5"/>
  <c r="B113" i="3" s="1"/>
  <c r="O81" i="2"/>
  <c r="D204" i="5"/>
  <c r="AB5" i="9" s="1"/>
  <c r="T81" i="2"/>
  <c r="AG113" i="2"/>
  <c r="D43" i="5"/>
  <c r="AA156" i="2" s="1"/>
  <c r="D116" i="5"/>
  <c r="E200" i="3" s="1"/>
  <c r="N80" i="2"/>
  <c r="D46" i="5"/>
  <c r="C9" i="1" s="1"/>
  <c r="D125" i="5"/>
  <c r="B5" i="3" s="1"/>
  <c r="L27" i="8"/>
  <c r="EU6144" i="7"/>
  <c r="G227" i="5" s="1"/>
  <c r="D227" i="5" s="1"/>
  <c r="M27" i="8"/>
  <c r="R80" i="2"/>
  <c r="K89" i="2"/>
  <c r="R81" i="2"/>
  <c r="N89" i="2"/>
  <c r="L96" i="2"/>
  <c r="N139" i="2"/>
  <c r="AF139" i="2" s="1"/>
  <c r="C229" i="3" s="1"/>
  <c r="D48" i="5"/>
  <c r="AM148" i="2" s="1"/>
  <c r="D89" i="5"/>
  <c r="L13" i="7" s="1"/>
  <c r="D141" i="5"/>
  <c r="B81" i="3" s="1"/>
  <c r="D180" i="5"/>
  <c r="B120" i="3" s="1"/>
  <c r="D202" i="5"/>
  <c r="K2" i="8" s="1"/>
  <c r="D208" i="5"/>
  <c r="K8" i="8" s="1"/>
  <c r="D49" i="5"/>
  <c r="D91" i="5"/>
  <c r="L15" i="7" s="1"/>
  <c r="D142" i="5"/>
  <c r="B82" i="3" s="1"/>
  <c r="D182" i="5"/>
  <c r="B122" i="3" s="1"/>
  <c r="Q89" i="2"/>
  <c r="N147" i="2"/>
  <c r="D15" i="5"/>
  <c r="C7" i="1" s="1"/>
  <c r="D50" i="5"/>
  <c r="D108" i="5"/>
  <c r="E4" i="3" s="1"/>
  <c r="D143" i="5"/>
  <c r="B83" i="3" s="1"/>
  <c r="D252" i="5"/>
  <c r="L2" i="9" s="1"/>
  <c r="D203" i="5"/>
  <c r="AB4" i="9" s="1"/>
  <c r="D233" i="5"/>
  <c r="AB34" i="9" s="1"/>
  <c r="R89" i="2"/>
  <c r="T96" i="2"/>
  <c r="AG131" i="2"/>
  <c r="AG139" i="2"/>
  <c r="D17" i="5"/>
  <c r="X3" i="2" s="1"/>
  <c r="X19" i="2" s="1"/>
  <c r="X35" i="2" s="1"/>
  <c r="D51" i="5"/>
  <c r="AJ5" i="2" s="1"/>
  <c r="AJ93" i="2" s="1"/>
  <c r="D110" i="5"/>
  <c r="E6" i="3" s="1"/>
  <c r="D144" i="5"/>
  <c r="B84" i="3" s="1"/>
  <c r="D256" i="5"/>
  <c r="T89" i="2"/>
  <c r="U96" i="2"/>
  <c r="AG111" i="2"/>
  <c r="AG125" i="2"/>
  <c r="D216" i="5"/>
  <c r="AB17" i="9" s="1"/>
  <c r="D228" i="5"/>
  <c r="AB29" i="9" s="1"/>
  <c r="E80" i="2"/>
  <c r="I81" i="2"/>
  <c r="H88" i="2"/>
  <c r="E89" i="2"/>
  <c r="N126" i="2"/>
  <c r="AF126" i="2" s="1"/>
  <c r="C196" i="3" s="1"/>
  <c r="C240" i="3"/>
  <c r="BB23" i="4"/>
  <c r="D211" i="5"/>
  <c r="AB12" i="9" s="1"/>
  <c r="D229" i="5"/>
  <c r="AB30" i="9" s="1"/>
  <c r="F89" i="2"/>
  <c r="B247" i="3"/>
  <c r="O80" i="2"/>
  <c r="H89" i="2"/>
  <c r="AG126" i="2"/>
  <c r="D29" i="5"/>
  <c r="W129" i="2" s="1"/>
  <c r="D76" i="5"/>
  <c r="D122" i="5"/>
  <c r="D6" i="3" s="1"/>
  <c r="D212" i="5"/>
  <c r="AB13" i="9" s="1"/>
  <c r="D224" i="5"/>
  <c r="K24" i="8" s="1"/>
  <c r="N81" i="2"/>
  <c r="R88" i="2"/>
  <c r="I89" i="2"/>
  <c r="F96" i="2"/>
  <c r="AG102" i="2"/>
  <c r="N133" i="2"/>
  <c r="AF133" i="2" s="1"/>
  <c r="C216" i="3" s="1"/>
  <c r="D219" i="5"/>
  <c r="AB20" i="9" s="1"/>
  <c r="D249" i="5"/>
  <c r="K49" i="8" s="1"/>
  <c r="Q81" i="2"/>
  <c r="U88" i="2"/>
  <c r="L89" i="2"/>
  <c r="AG133" i="2"/>
  <c r="AZ25" i="4"/>
  <c r="Z91" i="2"/>
  <c r="Z75" i="2"/>
  <c r="Z67" i="2"/>
  <c r="Z85" i="2"/>
  <c r="Z45" i="2"/>
  <c r="Z20" i="2"/>
  <c r="Z29" i="2"/>
  <c r="C184" i="3"/>
  <c r="AN13" i="4"/>
  <c r="AK31" i="4"/>
  <c r="AF5" i="4"/>
  <c r="AE46" i="4"/>
  <c r="AC4" i="4"/>
  <c r="AK32" i="4"/>
  <c r="N125" i="2"/>
  <c r="AF125" i="2" s="1"/>
  <c r="C195" i="3" s="1"/>
  <c r="AG109" i="2"/>
  <c r="C213" i="3"/>
  <c r="I80" i="2"/>
  <c r="H80" i="2"/>
  <c r="F80" i="2"/>
  <c r="T80" i="2"/>
  <c r="L80" i="2"/>
  <c r="K80" i="2"/>
  <c r="C185" i="3"/>
  <c r="C203" i="3"/>
  <c r="B203" i="3"/>
  <c r="C227" i="3"/>
  <c r="M121" i="2"/>
  <c r="AA120" i="2" s="1"/>
  <c r="AE10" i="4" s="1"/>
  <c r="AG101" i="2"/>
  <c r="U80" i="2"/>
  <c r="H97" i="2"/>
  <c r="R97" i="2"/>
  <c r="O97" i="2"/>
  <c r="N97" i="2"/>
  <c r="L97" i="2"/>
  <c r="K97" i="2"/>
  <c r="E97" i="2"/>
  <c r="T97" i="2"/>
  <c r="Q97" i="2"/>
  <c r="N120" i="2"/>
  <c r="AF121" i="2" s="1"/>
  <c r="C191" i="3" s="1"/>
  <c r="AG106" i="2"/>
  <c r="I97" i="2"/>
  <c r="C226" i="3"/>
  <c r="C232" i="3"/>
  <c r="B232" i="3"/>
  <c r="U97" i="2"/>
  <c r="C244" i="3"/>
  <c r="B244" i="3"/>
  <c r="C236" i="3"/>
  <c r="AG103" i="2"/>
  <c r="M120" i="2"/>
  <c r="AA121" i="2" s="1"/>
  <c r="AE4" i="4" s="1"/>
  <c r="M125" i="2"/>
  <c r="AA125" i="2" s="1"/>
  <c r="AE22" i="4" s="1"/>
  <c r="AG110" i="2"/>
  <c r="AG105" i="2"/>
  <c r="N122" i="2"/>
  <c r="AF122" i="2" s="1"/>
  <c r="C192" i="3" s="1"/>
  <c r="M124" i="2"/>
  <c r="AA124" i="2" s="1"/>
  <c r="AE16" i="4" s="1"/>
  <c r="AG112" i="2"/>
  <c r="O88" i="2"/>
  <c r="C207" i="3"/>
  <c r="N134" i="2"/>
  <c r="AF134" i="2" s="1"/>
  <c r="C217" i="3" s="1"/>
  <c r="AG127" i="2"/>
  <c r="AJ7" i="4"/>
  <c r="AG115" i="2"/>
  <c r="M126" i="2"/>
  <c r="AA126" i="2" s="1"/>
  <c r="AE40" i="4" s="1"/>
  <c r="AA155" i="2"/>
  <c r="AB3" i="4"/>
  <c r="AU25" i="4"/>
  <c r="U81" i="2"/>
  <c r="I88" i="2"/>
  <c r="BA21" i="4"/>
  <c r="E81" i="2"/>
  <c r="K88"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M14" i="4"/>
  <c r="AE11" i="4"/>
  <c r="AR32" i="4"/>
  <c r="AG29" i="4"/>
  <c r="AC19" i="4"/>
  <c r="AQ32" i="4"/>
  <c r="AF29" i="4"/>
  <c r="AW25" i="4"/>
  <c r="AB22" i="4"/>
  <c r="AB19" i="4"/>
  <c r="AO13" i="4"/>
  <c r="AG5" i="4"/>
  <c r="AN37" i="4"/>
  <c r="AC36" i="4"/>
  <c r="AE35" i="4"/>
  <c r="AG4" i="4"/>
  <c r="AN38" i="4"/>
  <c r="AB36" i="4"/>
  <c r="AF4" i="4"/>
  <c r="AC3" i="4"/>
  <c r="AC40" i="4"/>
  <c r="AB34" i="4"/>
  <c r="AC45" i="4"/>
  <c r="L88" i="2"/>
  <c r="C221" i="3"/>
  <c r="M131" i="2"/>
  <c r="AA131" i="2" s="1"/>
  <c r="M133" i="2"/>
  <c r="AA133" i="2" s="1"/>
  <c r="AI31" i="4" s="1"/>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B5" i="8" l="1"/>
  <c r="B32" i="8"/>
  <c r="B26" i="8"/>
  <c r="AB9" i="9"/>
  <c r="AB3" i="9"/>
  <c r="AR53" i="2"/>
  <c r="Z28" i="2"/>
  <c r="K4" i="8"/>
  <c r="B39" i="8"/>
  <c r="Z61" i="2"/>
  <c r="Z52" i="2"/>
  <c r="AB25" i="9"/>
  <c r="AH154" i="2"/>
  <c r="AG155" i="2" s="1"/>
  <c r="AA158" i="2"/>
  <c r="B40" i="8"/>
  <c r="AR85" i="2"/>
  <c r="AA159" i="2"/>
  <c r="AB8" i="9"/>
  <c r="Y51" i="2"/>
  <c r="Y142" i="2"/>
  <c r="B48" i="8"/>
  <c r="BD52" i="2" s="1"/>
  <c r="B8" i="8"/>
  <c r="B18" i="8"/>
  <c r="Z83" i="2"/>
  <c r="BJ5" i="2"/>
  <c r="BJ57" i="2" s="1"/>
  <c r="AR45" i="2"/>
  <c r="B27" i="8"/>
  <c r="BD31" i="2" s="1"/>
  <c r="Z76" i="2"/>
  <c r="Z84" i="2"/>
  <c r="Z68" i="2"/>
  <c r="Z59" i="2"/>
  <c r="X137" i="2"/>
  <c r="Z51" i="2"/>
  <c r="X130" i="2"/>
  <c r="Z11" i="2"/>
  <c r="Z27" i="2" s="1"/>
  <c r="Z43" i="2" s="1"/>
  <c r="K12" i="8"/>
  <c r="AE47" i="4"/>
  <c r="B207" i="3"/>
  <c r="X119" i="2"/>
  <c r="K19" i="8"/>
  <c r="AR29" i="2"/>
  <c r="Z60" i="2"/>
  <c r="Z12" i="2"/>
  <c r="K29" i="8"/>
  <c r="AR61" i="2"/>
  <c r="Z37" i="2"/>
  <c r="AR21" i="2"/>
  <c r="AR37" i="2"/>
  <c r="Z93" i="2"/>
  <c r="AR101" i="2"/>
  <c r="Z44" i="2"/>
  <c r="AI19" i="4"/>
  <c r="X75" i="2"/>
  <c r="AF51" i="2"/>
  <c r="AB50" i="9"/>
  <c r="AE23" i="4"/>
  <c r="Z36" i="2"/>
  <c r="AR69" i="2"/>
  <c r="Z5" i="2"/>
  <c r="Z92" i="2"/>
  <c r="Y146" i="2"/>
  <c r="K28" i="8"/>
  <c r="X51" i="2"/>
  <c r="X83" i="2"/>
  <c r="X146" i="2"/>
  <c r="B202" i="3"/>
  <c r="X11" i="2"/>
  <c r="X27" i="2" s="1"/>
  <c r="X43" i="2" s="1"/>
  <c r="X67" i="2"/>
  <c r="Z53" i="2"/>
  <c r="Z77" i="2"/>
  <c r="X59" i="2"/>
  <c r="B221" i="3"/>
  <c r="AM38" i="4" a="1"/>
  <c r="AM38" i="4" s="1"/>
  <c r="X100" i="2"/>
  <c r="Z21" i="2"/>
  <c r="Z69" i="2"/>
  <c r="Y83" i="2"/>
  <c r="Y100" i="2"/>
  <c r="AF119" i="2"/>
  <c r="Y130" i="2"/>
  <c r="B23" i="8"/>
  <c r="A46" i="2" s="1"/>
  <c r="AJ13" i="2"/>
  <c r="AJ53" i="2"/>
  <c r="AJ21" i="2"/>
  <c r="AJ61" i="2"/>
  <c r="B233" i="3"/>
  <c r="AR93" i="2"/>
  <c r="X91" i="2"/>
  <c r="AJ37" i="2"/>
  <c r="Y67" i="2"/>
  <c r="C233" i="3"/>
  <c r="AJ29" i="2"/>
  <c r="Y137" i="2"/>
  <c r="AF11" i="2"/>
  <c r="AF27" i="2" s="1"/>
  <c r="AF43" i="2" s="1"/>
  <c r="AJ85" i="2"/>
  <c r="Y75" i="2"/>
  <c r="AR77" i="2"/>
  <c r="X142" i="2"/>
  <c r="AJ77" i="2"/>
  <c r="Y59" i="2"/>
  <c r="B47" i="8"/>
  <c r="BD51" i="2" s="1"/>
  <c r="K16" i="8"/>
  <c r="AJ69" i="2"/>
  <c r="Y11" i="2"/>
  <c r="Y27" i="2" s="1"/>
  <c r="Y43" i="2" s="1"/>
  <c r="Y119" i="2"/>
  <c r="AF83" i="2"/>
  <c r="Y91" i="2"/>
  <c r="AD3" i="2"/>
  <c r="AC3" i="2"/>
  <c r="AF142" i="2"/>
  <c r="AF137" i="2"/>
  <c r="AF75" i="2"/>
  <c r="AA160" i="2"/>
  <c r="C258" i="3" s="1"/>
  <c r="AA154" i="2"/>
  <c r="C253" i="3" s="1"/>
  <c r="AF100" i="2"/>
  <c r="B41" i="8"/>
  <c r="BD45" i="2" s="1"/>
  <c r="AF67" i="2"/>
  <c r="B6" i="8"/>
  <c r="BD10" i="2" s="1"/>
  <c r="B29" i="8"/>
  <c r="BD33" i="2" s="1"/>
  <c r="AF91" i="2"/>
  <c r="AJ45" i="2"/>
  <c r="K3" i="8"/>
  <c r="K11" i="8"/>
  <c r="AE29" i="4"/>
  <c r="AF59" i="2"/>
  <c r="AJ101" i="2"/>
  <c r="AF146" i="2"/>
  <c r="AF130" i="2"/>
  <c r="AE41" i="4"/>
  <c r="AI32" i="4"/>
  <c r="AE5" i="4"/>
  <c r="K33" i="8"/>
  <c r="AB35" i="9"/>
  <c r="K34" i="8"/>
  <c r="B22" i="8"/>
  <c r="B17" i="8"/>
  <c r="K48" i="8"/>
  <c r="AB49" i="9"/>
  <c r="AB44" i="9"/>
  <c r="B44" i="8"/>
  <c r="K43" i="8"/>
  <c r="BD36" i="2"/>
  <c r="A63" i="2"/>
  <c r="C212" i="3"/>
  <c r="C222" i="3"/>
  <c r="B222" i="3"/>
  <c r="C254" i="3"/>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205" i="3"/>
  <c r="C205" i="3"/>
  <c r="C187" i="3"/>
  <c r="AB19" i="9"/>
  <c r="K18" i="8"/>
  <c r="B21" i="8"/>
  <c r="C257" i="3"/>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C183" i="3"/>
  <c r="B201" i="3"/>
  <c r="C201" i="3"/>
  <c r="AB14" i="9"/>
  <c r="B45" i="8"/>
  <c r="K13" i="8"/>
  <c r="B33" i="8"/>
  <c r="AB43" i="9"/>
  <c r="K42" i="8"/>
  <c r="A54"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G158" i="2" l="1"/>
  <c r="AG159" i="2"/>
  <c r="AG156" i="2"/>
  <c r="A80" i="2"/>
  <c r="BD27" i="2"/>
  <c r="BC27" i="2" s="1"/>
  <c r="A56" i="2"/>
  <c r="A95" i="2"/>
  <c r="AF97" i="2" s="1"/>
  <c r="R48" i="4" s="1"/>
  <c r="AG154" i="2"/>
  <c r="A13" i="2"/>
  <c r="AF16" i="2" s="1"/>
  <c r="AG160" i="2"/>
  <c r="AC67" i="2"/>
  <c r="AC51" i="2"/>
  <c r="AC11" i="2"/>
  <c r="AC142" i="2"/>
  <c r="AC119" i="2"/>
  <c r="AC130" i="2"/>
  <c r="AC19" i="2"/>
  <c r="AC27" i="2"/>
  <c r="AC75" i="2"/>
  <c r="AC91" i="2"/>
  <c r="AC83" i="2"/>
  <c r="AC59" i="2"/>
  <c r="AC100" i="2"/>
  <c r="AC43" i="2"/>
  <c r="AC35" i="2"/>
  <c r="AD19" i="2"/>
  <c r="AD11" i="2"/>
  <c r="AD67" i="2"/>
  <c r="AD142" i="2"/>
  <c r="AD51" i="2"/>
  <c r="AD59" i="2"/>
  <c r="AD91" i="2"/>
  <c r="AD130" i="2"/>
  <c r="AD119" i="2"/>
  <c r="AD43" i="2"/>
  <c r="AD83" i="2"/>
  <c r="AD100" i="2"/>
  <c r="AD75" i="2"/>
  <c r="AD35" i="2"/>
  <c r="AD27" i="2"/>
  <c r="R60" i="9"/>
  <c r="S78" i="9"/>
  <c r="AI21" i="9"/>
  <c r="T68" i="9"/>
  <c r="S57" i="9"/>
  <c r="S67" i="9"/>
  <c r="R77" i="9"/>
  <c r="S53" i="9"/>
  <c r="R58" i="9"/>
  <c r="T51" i="9"/>
  <c r="AI4" i="9"/>
  <c r="AI8" i="9"/>
  <c r="S69" i="9"/>
  <c r="T67" i="9"/>
  <c r="AY81" i="2"/>
  <c r="AF77" i="2"/>
  <c r="AA81" i="2"/>
  <c r="AA79" i="2"/>
  <c r="A55" i="2"/>
  <c r="BD32" i="2"/>
  <c r="AI22" i="9"/>
  <c r="AI48" i="9"/>
  <c r="AI3" i="9"/>
  <c r="T76" i="9"/>
  <c r="R63" i="9"/>
  <c r="T73" i="9"/>
  <c r="T56" i="9"/>
  <c r="R79" i="9"/>
  <c r="T70" i="9"/>
  <c r="AI5" i="9"/>
  <c r="BC30" i="2"/>
  <c r="BC12" i="2"/>
  <c r="AI28" i="9"/>
  <c r="BD34" i="2"/>
  <c r="A61" i="2"/>
  <c r="A7" i="2"/>
  <c r="BD8" i="2"/>
  <c r="A38" i="2"/>
  <c r="BD23" i="2"/>
  <c r="AI11" i="9"/>
  <c r="AA61" i="2"/>
  <c r="AF64" i="2"/>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Y14" i="2" l="1"/>
  <c r="AA93" i="2"/>
  <c r="AY96" i="2"/>
  <c r="AF94" i="2"/>
  <c r="R45" i="4" s="1"/>
  <c r="AA12" i="2"/>
  <c r="AA15" i="2"/>
  <c r="B33" i="3" s="1"/>
  <c r="R15" i="4"/>
  <c r="R8" i="4"/>
  <c r="F40" i="4"/>
  <c r="F16" i="4"/>
  <c r="F15" i="4"/>
  <c r="R46" i="4"/>
  <c r="R30" i="4"/>
  <c r="R29" i="4"/>
  <c r="R6" i="4"/>
  <c r="R13" i="4"/>
  <c r="F46" i="4"/>
  <c r="F14" i="4"/>
  <c r="R43" i="4"/>
  <c r="R28" i="4"/>
  <c r="R27" i="4"/>
  <c r="R4" i="4"/>
  <c r="R3" i="4"/>
  <c r="F43" i="4"/>
  <c r="F4" i="4"/>
  <c r="O6" i="4"/>
  <c r="B43" i="3"/>
  <c r="B72" i="3"/>
  <c r="O31" i="4"/>
  <c r="C47" i="4"/>
  <c r="BC37" i="2"/>
  <c r="BC15" i="2"/>
  <c r="AF33" i="2"/>
  <c r="AF30" i="2"/>
  <c r="AY32" i="2"/>
  <c r="AA29" i="2"/>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R47" i="4" s="1"/>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R39" i="4" s="1"/>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R32" i="4" s="1"/>
  <c r="AA78" i="2"/>
  <c r="AY78" i="2"/>
  <c r="AA76" i="2"/>
  <c r="AF71" i="2"/>
  <c r="AA73" i="2"/>
  <c r="AF68" i="2"/>
  <c r="AY71" i="2"/>
  <c r="AF24" i="2"/>
  <c r="AA23" i="2"/>
  <c r="AA20" i="2"/>
  <c r="AY22" i="2"/>
  <c r="AA14" i="2"/>
  <c r="AF13" i="2"/>
  <c r="AA16" i="2"/>
  <c r="AY17" i="2"/>
  <c r="BC24" i="2"/>
  <c r="AA85" i="2"/>
  <c r="AF89" i="2"/>
  <c r="R40" i="4" s="1"/>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24" i="4" l="1"/>
  <c r="C14" i="4"/>
  <c r="R23" i="4"/>
  <c r="R16" i="4"/>
  <c r="R7" i="4"/>
  <c r="F32" i="4"/>
  <c r="F31" i="4"/>
  <c r="F39" i="4"/>
  <c r="F47" i="4"/>
  <c r="F48" i="4"/>
  <c r="F24" i="4"/>
  <c r="F23" i="4"/>
  <c r="R38" i="4"/>
  <c r="R37" i="4"/>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0" i="2" l="1"/>
  <c r="BL36" i="2"/>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M108" i="2"/>
  <c r="AA108" i="2" s="1"/>
  <c r="N111" i="2"/>
  <c r="AF112" i="2" s="1"/>
  <c r="H113" i="2"/>
  <c r="BP26" i="2"/>
  <c r="AU93" i="2"/>
  <c r="AV92" i="2" s="1"/>
  <c r="AU85" i="2"/>
  <c r="AV84"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U109" i="2"/>
  <c r="N107" i="2"/>
  <c r="AF107" i="2" s="1"/>
  <c r="C152" i="3" s="1"/>
  <c r="AU105" i="2"/>
  <c r="AU104" i="2"/>
  <c r="AU103" i="2"/>
  <c r="AU111" i="2"/>
  <c r="N108" i="2"/>
  <c r="AF108" i="2" s="1"/>
  <c r="C153" i="3" s="1"/>
  <c r="AU102" i="2"/>
  <c r="AU113" i="2"/>
  <c r="AU112" i="2"/>
  <c r="N110" i="2"/>
  <c r="AF109" i="2" s="1"/>
  <c r="C154" i="3" s="1"/>
  <c r="DL69" i="2"/>
  <c r="AU107" i="2"/>
  <c r="AY101" i="2"/>
  <c r="DL66" i="2"/>
  <c r="N109" i="2"/>
  <c r="AF110" i="2" s="1"/>
  <c r="C155" i="3" s="1"/>
  <c r="AU106" i="2"/>
  <c r="AU108" i="2"/>
  <c r="N105" i="2"/>
  <c r="AF106" i="2" s="1"/>
  <c r="C151" i="3" s="1"/>
  <c r="N102" i="2"/>
  <c r="AF103" i="2" s="1"/>
  <c r="C148" i="3" s="1"/>
  <c r="DL67" i="2"/>
  <c r="DL64" i="2"/>
  <c r="DL63" i="2"/>
  <c r="DL62" i="2"/>
  <c r="N113" i="2"/>
  <c r="AF113" i="2" s="1"/>
  <c r="C158" i="3" s="1"/>
  <c r="N115" i="2"/>
  <c r="AF116" i="2" s="1"/>
  <c r="C161" i="3" s="1"/>
  <c r="DL68" i="2"/>
  <c r="DL60" i="2"/>
  <c r="AU110" i="2"/>
  <c r="DL65" i="2"/>
  <c r="DL59" i="2"/>
  <c r="DL61" i="2"/>
  <c r="DL58"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37" i="3"/>
  <c r="AA36" i="4"/>
  <c r="BQ49" i="2"/>
  <c r="BR49" i="2" s="1"/>
  <c r="X29" i="2"/>
  <c r="Y29" i="2"/>
  <c r="BQ37" i="2"/>
  <c r="BR37" i="2" s="1"/>
  <c r="BQ46" i="2"/>
  <c r="BR46" i="2" s="1"/>
  <c r="BQ16" i="2"/>
  <c r="BR16" i="2" s="1"/>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C144" i="3"/>
  <c r="AA39" i="4"/>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AA46" i="4" l="1"/>
  <c r="AA22" i="4"/>
  <c r="AA34" i="4"/>
  <c r="AA49" i="4"/>
  <c r="BR34" i="2"/>
  <c r="B179" i="3"/>
  <c r="C179" i="3"/>
  <c r="AA4" i="4"/>
  <c r="B171" i="3"/>
  <c r="AA7" i="4"/>
  <c r="BR13" i="2"/>
  <c r="C171" i="3"/>
  <c r="AU101" i="2"/>
  <c r="AV100" i="2" s="1"/>
  <c r="AA37" i="4"/>
  <c r="BR19" i="2"/>
  <c r="AA25" i="4"/>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BT43" i="2"/>
  <c r="BT51" i="2"/>
  <c r="BT41" i="2"/>
  <c r="E72" i="2" s="1"/>
  <c r="BT38" i="2"/>
  <c r="F72" i="2" s="1"/>
  <c r="BT44" i="2"/>
  <c r="BT14" i="2"/>
  <c r="F24" i="2" s="1"/>
  <c r="BT42" i="2"/>
  <c r="BT9" i="2"/>
  <c r="E8" i="2" s="1"/>
  <c r="BT37" i="2"/>
  <c r="E65" i="2" s="1"/>
  <c r="BT8" i="2"/>
  <c r="F9" i="2" s="1"/>
  <c r="BT18" i="2"/>
  <c r="F32" i="2" s="1"/>
  <c r="BT11" i="2"/>
  <c r="E17" i="2" s="1"/>
  <c r="BT25" i="2"/>
  <c r="E41" i="2" s="1"/>
  <c r="BT39" i="2"/>
  <c r="E73" i="2" s="1"/>
  <c r="BT52" i="2"/>
  <c r="BT16" i="2"/>
  <c r="F25" i="2" s="1"/>
  <c r="BT32" i="2"/>
  <c r="F56" i="2" s="1"/>
  <c r="BT17" i="2"/>
  <c r="E24" i="2" s="1"/>
  <c r="BT35" i="2"/>
  <c r="E64" i="2" s="1"/>
  <c r="BT26" i="2"/>
  <c r="F49" i="2" s="1"/>
  <c r="BT50" i="2"/>
  <c r="BT30" i="2"/>
  <c r="F57" i="2" s="1"/>
  <c r="BT34" i="2"/>
  <c r="F65" i="2" s="1"/>
  <c r="BT7" i="2"/>
  <c r="E9" i="2" s="1"/>
  <c r="BT27" i="2"/>
  <c r="E48" i="2" s="1"/>
  <c r="BT28" i="2"/>
  <c r="F48" i="2" s="1"/>
  <c r="BT48" i="2"/>
  <c r="BT20" i="2"/>
  <c r="F33" i="2" s="1"/>
  <c r="BT24" i="2"/>
  <c r="F40" i="2" s="1"/>
  <c r="BT13" i="2"/>
  <c r="E16" i="2" s="1"/>
  <c r="BT23" i="2"/>
  <c r="E40" i="2" s="1"/>
  <c r="BT22" i="2"/>
  <c r="F41" i="2" s="1"/>
  <c r="BT31" i="2"/>
  <c r="E56" i="2" s="1"/>
  <c r="BT49" i="2"/>
  <c r="BT21" i="2"/>
  <c r="E32" i="2" s="1"/>
  <c r="BT15" i="2"/>
  <c r="E25" i="2" s="1"/>
  <c r="BT45" i="2"/>
  <c r="BT33" i="2"/>
  <c r="E57" i="2" s="1"/>
  <c r="BT12" i="2"/>
  <c r="F17" i="2" s="1"/>
  <c r="BT6" i="2"/>
  <c r="F8" i="2" s="1"/>
  <c r="BT10" i="2"/>
  <c r="F16" i="2" s="1"/>
  <c r="BT46" i="2"/>
  <c r="BT19" i="2"/>
  <c r="E33" i="2" s="1"/>
  <c r="BT29" i="2"/>
  <c r="E49" i="2" s="1"/>
  <c r="BT53" i="2"/>
  <c r="BT36" i="2"/>
  <c r="F64" i="2" s="1"/>
  <c r="F70" i="2" l="1"/>
  <c r="F73" i="2"/>
  <c r="F85" i="2"/>
  <c r="E87" i="2"/>
  <c r="F84" i="2"/>
  <c r="F87" i="2"/>
  <c r="F93" i="2"/>
  <c r="E95" i="2"/>
  <c r="F92" i="2"/>
  <c r="BU50" i="2" s="1"/>
  <c r="F95" i="2"/>
  <c r="E93" i="2"/>
  <c r="F94" i="2"/>
  <c r="BV50" i="2" s="1"/>
  <c r="E92" i="2"/>
  <c r="E94" i="2"/>
  <c r="E85" i="2"/>
  <c r="F86" i="2"/>
  <c r="E84" i="2"/>
  <c r="E86" i="2"/>
  <c r="F77" i="2"/>
  <c r="BU44" i="2" s="1"/>
  <c r="E79" i="2"/>
  <c r="F76" i="2"/>
  <c r="F79" i="2"/>
  <c r="F69" i="2"/>
  <c r="BW40" i="2" s="1"/>
  <c r="E71" i="2"/>
  <c r="BW39" i="2" s="1"/>
  <c r="F68" i="2"/>
  <c r="BU38" i="2" s="1"/>
  <c r="F71" i="2"/>
  <c r="E68" i="2"/>
  <c r="E70" i="2"/>
  <c r="E76" i="2"/>
  <c r="E78" i="2"/>
  <c r="BW44" i="2" s="1"/>
  <c r="E77" i="2"/>
  <c r="F78" i="2"/>
  <c r="F52" i="2"/>
  <c r="BV30" i="2" s="1"/>
  <c r="F55" i="2"/>
  <c r="F53" i="2"/>
  <c r="E55" i="2"/>
  <c r="BU31" i="2" s="1"/>
  <c r="F61" i="2"/>
  <c r="E63" i="2"/>
  <c r="F60" i="2"/>
  <c r="F63" i="2"/>
  <c r="E52" i="2"/>
  <c r="E54" i="2"/>
  <c r="E53" i="2"/>
  <c r="F54" i="2"/>
  <c r="E61" i="2"/>
  <c r="F62" i="2"/>
  <c r="E60" i="2"/>
  <c r="BV35" i="2" s="1"/>
  <c r="E62" i="2"/>
  <c r="BW36" i="2" s="1"/>
  <c r="F45" i="2"/>
  <c r="E47" i="2"/>
  <c r="F44" i="2"/>
  <c r="BV26" i="2" s="1"/>
  <c r="F47" i="2"/>
  <c r="F37" i="2"/>
  <c r="E39" i="2"/>
  <c r="BV23" i="2" s="1"/>
  <c r="F36" i="2"/>
  <c r="F39" i="2"/>
  <c r="BV25" i="2" s="1"/>
  <c r="E36" i="2"/>
  <c r="BW23" i="2" s="1"/>
  <c r="E38" i="2"/>
  <c r="E37" i="2"/>
  <c r="BW25" i="2" s="1"/>
  <c r="F38" i="2"/>
  <c r="E45" i="2"/>
  <c r="F46" i="2"/>
  <c r="BU26" i="2" s="1"/>
  <c r="E44" i="2"/>
  <c r="BV27" i="2" s="1"/>
  <c r="E46" i="2"/>
  <c r="F28" i="2"/>
  <c r="F31" i="2"/>
  <c r="F29" i="2"/>
  <c r="BU20" i="2" s="1"/>
  <c r="E31" i="2"/>
  <c r="BU19" i="2" s="1"/>
  <c r="E21" i="2"/>
  <c r="F23" i="2"/>
  <c r="E20" i="2"/>
  <c r="BV15" i="2" s="1"/>
  <c r="E23" i="2"/>
  <c r="F20" i="2"/>
  <c r="F22" i="2"/>
  <c r="F21" i="2"/>
  <c r="E22" i="2"/>
  <c r="E29" i="2"/>
  <c r="F30" i="2"/>
  <c r="E28" i="2"/>
  <c r="BW19" i="2" s="1"/>
  <c r="E30" i="2"/>
  <c r="BW20" i="2" s="1"/>
  <c r="E13" i="2"/>
  <c r="F15" i="2"/>
  <c r="BU10" i="2" s="1"/>
  <c r="E12" i="2"/>
  <c r="BV11" i="2" s="1"/>
  <c r="E15" i="2"/>
  <c r="F13" i="2"/>
  <c r="E14" i="2"/>
  <c r="F12" i="2"/>
  <c r="BV10" i="2" s="1"/>
  <c r="F14" i="2"/>
  <c r="BV40" i="2"/>
  <c r="E69" i="2"/>
  <c r="BU41" i="2" s="1"/>
  <c r="E5" i="2"/>
  <c r="BW9" i="2" s="1"/>
  <c r="F7" i="2"/>
  <c r="E4" i="2"/>
  <c r="BW7" i="2" s="1"/>
  <c r="E7" i="2"/>
  <c r="F5" i="2"/>
  <c r="BU8" i="2" s="1"/>
  <c r="E6" i="2"/>
  <c r="BV7" i="2" s="1"/>
  <c r="F4" i="2"/>
  <c r="BU6" i="2" s="1"/>
  <c r="F6" i="2"/>
  <c r="BV9" i="2" s="1"/>
  <c r="BU40" i="2"/>
  <c r="BV17" i="2"/>
  <c r="BW17" i="2"/>
  <c r="BU17" i="2"/>
  <c r="BV28" i="2"/>
  <c r="BW28" i="2"/>
  <c r="BU28" i="2"/>
  <c r="BW27" i="2"/>
  <c r="BU27" i="2"/>
  <c r="BW6" i="2"/>
  <c r="BV6" i="2"/>
  <c r="BV12" i="2"/>
  <c r="BW12" i="2"/>
  <c r="BU12" i="2"/>
  <c r="BV53" i="2"/>
  <c r="BU53" i="2"/>
  <c r="BW53" i="2"/>
  <c r="BV24" i="2"/>
  <c r="BW24" i="2"/>
  <c r="BU24" i="2"/>
  <c r="BW26" i="2"/>
  <c r="BU25" i="2"/>
  <c r="BV20" i="2"/>
  <c r="BW8" i="2"/>
  <c r="BV8" i="2"/>
  <c r="BW46" i="2"/>
  <c r="BV46" i="2"/>
  <c r="BU46" i="2"/>
  <c r="BV31" i="2"/>
  <c r="BW31" i="2"/>
  <c r="BW14" i="2"/>
  <c r="BV14" i="2"/>
  <c r="BU14" i="2"/>
  <c r="BU23" i="2"/>
  <c r="BU45" i="2"/>
  <c r="BV45" i="2"/>
  <c r="BW45" i="2"/>
  <c r="BU35" i="2"/>
  <c r="BW35" i="2"/>
  <c r="BU11" i="2"/>
  <c r="BW11" i="2"/>
  <c r="BV41" i="2"/>
  <c r="BW41" i="2"/>
  <c r="BW18" i="2"/>
  <c r="BV18" i="2"/>
  <c r="BU18" i="2"/>
  <c r="BW29" i="2"/>
  <c r="BV29" i="2"/>
  <c r="BU29" i="2"/>
  <c r="BU51" i="2"/>
  <c r="BW51" i="2"/>
  <c r="BV51" i="2"/>
  <c r="BU48" i="2"/>
  <c r="BW48" i="2"/>
  <c r="BV48" i="2"/>
  <c r="BW37" i="2"/>
  <c r="BU37" i="2"/>
  <c r="BU32" i="2"/>
  <c r="BW32" i="2"/>
  <c r="BW16" i="2"/>
  <c r="BV16" i="2"/>
  <c r="BU16" i="2"/>
  <c r="BU42" i="2"/>
  <c r="BW42" i="2"/>
  <c r="BV42" i="2"/>
  <c r="BW47" i="2"/>
  <c r="BV47" i="2"/>
  <c r="BU47" i="2"/>
  <c r="BW10" i="2"/>
  <c r="BU34" i="2"/>
  <c r="BW34" i="2"/>
  <c r="BV34" i="2"/>
  <c r="BU52" i="2"/>
  <c r="BV52" i="2"/>
  <c r="BW52" i="2"/>
  <c r="BV19" i="2"/>
  <c r="BV21" i="2"/>
  <c r="BU21" i="2"/>
  <c r="BW21" i="2"/>
  <c r="BU9" i="2"/>
  <c r="BV22" i="2"/>
  <c r="BW22" i="2"/>
  <c r="BW33" i="2"/>
  <c r="BV33" i="2"/>
  <c r="BU33" i="2"/>
  <c r="BV44" i="2"/>
  <c r="BU15" i="2"/>
  <c r="BW15" i="2"/>
  <c r="BW43" i="2"/>
  <c r="BV43" i="2"/>
  <c r="BU43" i="2"/>
  <c r="BW49" i="2"/>
  <c r="BV49" i="2"/>
  <c r="BU49" i="2"/>
  <c r="BU7" i="2"/>
  <c r="BU30" i="2"/>
  <c r="BW30" i="2"/>
  <c r="BU39" i="2"/>
  <c r="BV39" i="2"/>
  <c r="BU36" i="2"/>
  <c r="BV36" i="2"/>
  <c r="BW13" i="2"/>
  <c r="BV13" i="2"/>
  <c r="BU13" i="2"/>
  <c r="BW50" i="2"/>
  <c r="BW38" i="2"/>
  <c r="BV38" i="2"/>
  <c r="BU22" i="2" l="1"/>
  <c r="BX22" i="2" s="1"/>
  <c r="BV32" i="2"/>
  <c r="BX32" i="2" s="1"/>
  <c r="BV37" i="2"/>
  <c r="BX37" i="2" s="1"/>
  <c r="BX40" i="2"/>
  <c r="BX27" i="2"/>
  <c r="BX47" i="2"/>
  <c r="BX29" i="2"/>
  <c r="BX43" i="2"/>
  <c r="BX24" i="2"/>
  <c r="BX20" i="2"/>
  <c r="BX12" i="2"/>
  <c r="BX19" i="2"/>
  <c r="BX18" i="2"/>
  <c r="BX26" i="2"/>
  <c r="BX41" i="2"/>
  <c r="BX7" i="2"/>
  <c r="BX42" i="2"/>
  <c r="BX44" i="2"/>
  <c r="BX21"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I73" i="2" s="1"/>
  <c r="BZ42" i="2"/>
  <c r="H78" i="2" s="1"/>
  <c r="BZ45" i="2"/>
  <c r="H79" i="2" s="1"/>
  <c r="BZ24" i="2"/>
  <c r="BZ36" i="2"/>
  <c r="BZ39" i="2"/>
  <c r="BZ31" i="2"/>
  <c r="BZ22" i="2"/>
  <c r="BZ23" i="2"/>
  <c r="BZ33" i="2"/>
  <c r="BZ21" i="2"/>
  <c r="BZ27" i="2"/>
  <c r="BZ12" i="2"/>
  <c r="I17" i="2" s="1"/>
  <c r="BZ53" i="2"/>
  <c r="H95" i="2" s="1"/>
  <c r="BZ25" i="2"/>
  <c r="BZ51" i="2"/>
  <c r="I95" i="2" s="1"/>
  <c r="BZ16" i="2"/>
  <c r="BZ50" i="2"/>
  <c r="H94" i="2" s="1"/>
  <c r="BZ34" i="2"/>
  <c r="BZ41" i="2"/>
  <c r="BZ30" i="2"/>
  <c r="BZ9" i="2"/>
  <c r="H8" i="2" s="1"/>
  <c r="BZ32" i="2"/>
  <c r="BZ17" i="2"/>
  <c r="BZ47" i="2"/>
  <c r="I87" i="2" s="1"/>
  <c r="BZ6" i="2"/>
  <c r="BZ38" i="2"/>
  <c r="BZ46" i="2"/>
  <c r="H86" i="2" s="1"/>
  <c r="BZ15" i="2"/>
  <c r="BZ44" i="2"/>
  <c r="I78" i="2" s="1"/>
  <c r="BZ48" i="2"/>
  <c r="I86" i="2" s="1"/>
  <c r="BZ26" i="2"/>
  <c r="BZ19" i="2"/>
  <c r="BZ20" i="2"/>
  <c r="BZ29" i="2"/>
  <c r="BZ10" i="2"/>
  <c r="BZ8" i="2"/>
  <c r="BZ28" i="2"/>
  <c r="BZ37" i="2"/>
  <c r="BZ52" i="2"/>
  <c r="I94" i="2" s="1"/>
  <c r="BZ13" i="2"/>
  <c r="BZ35" i="2"/>
  <c r="BZ18" i="2"/>
  <c r="BZ43" i="2"/>
  <c r="I79" i="2" s="1"/>
  <c r="BZ11" i="2"/>
  <c r="BZ14" i="2"/>
  <c r="BZ7" i="2"/>
  <c r="H9" i="2" s="1"/>
  <c r="I71" i="2" l="1"/>
  <c r="H73" i="2"/>
  <c r="H71" i="2"/>
  <c r="H72" i="2"/>
  <c r="H70" i="2"/>
  <c r="I72" i="2"/>
  <c r="I63" i="2"/>
  <c r="H64" i="2"/>
  <c r="I62" i="2"/>
  <c r="I64" i="2"/>
  <c r="H62" i="2"/>
  <c r="I65" i="2"/>
  <c r="CB37" i="2" s="1"/>
  <c r="H63" i="2"/>
  <c r="H65" i="2"/>
  <c r="H54" i="2"/>
  <c r="I57" i="2"/>
  <c r="H55" i="2"/>
  <c r="H57" i="2"/>
  <c r="I54" i="2"/>
  <c r="I56" i="2"/>
  <c r="I55" i="2"/>
  <c r="H56" i="2"/>
  <c r="I30" i="2"/>
  <c r="I33" i="2"/>
  <c r="I31" i="2"/>
  <c r="H33" i="2"/>
  <c r="H31" i="2"/>
  <c r="H32" i="2"/>
  <c r="H30" i="2"/>
  <c r="I32" i="2"/>
  <c r="H38" i="2"/>
  <c r="I41" i="2"/>
  <c r="H39" i="2"/>
  <c r="H41" i="2"/>
  <c r="I39" i="2"/>
  <c r="H40" i="2"/>
  <c r="I38" i="2"/>
  <c r="I40" i="2"/>
  <c r="I46" i="2"/>
  <c r="I48" i="2"/>
  <c r="I47" i="2"/>
  <c r="H48" i="2"/>
  <c r="H46" i="2"/>
  <c r="I49" i="2"/>
  <c r="H47" i="2"/>
  <c r="H49" i="2"/>
  <c r="I22" i="2"/>
  <c r="H25" i="2"/>
  <c r="I23" i="2"/>
  <c r="I25" i="2"/>
  <c r="H23" i="2"/>
  <c r="I24" i="2"/>
  <c r="H22" i="2"/>
  <c r="H24" i="2"/>
  <c r="I14" i="2"/>
  <c r="H17" i="2"/>
  <c r="H14" i="2"/>
  <c r="H16" i="2"/>
  <c r="H15" i="2"/>
  <c r="I16" i="2"/>
  <c r="I85" i="2"/>
  <c r="H87" i="2"/>
  <c r="H69" i="2"/>
  <c r="CB41" i="2" s="1"/>
  <c r="I70" i="2"/>
  <c r="CA49" i="2"/>
  <c r="CB49" i="2"/>
  <c r="H13" i="2"/>
  <c r="I15" i="2"/>
  <c r="CA48" i="2"/>
  <c r="H85" i="2"/>
  <c r="H93" i="2"/>
  <c r="CA53" i="2"/>
  <c r="I93" i="2"/>
  <c r="CB52" i="2" s="1"/>
  <c r="H92" i="2"/>
  <c r="CA51" i="2" s="1"/>
  <c r="I92" i="2"/>
  <c r="CA50" i="2" s="1"/>
  <c r="I84" i="2"/>
  <c r="CA46" i="2" s="1"/>
  <c r="H84" i="2"/>
  <c r="CA47" i="2" s="1"/>
  <c r="H77" i="2"/>
  <c r="CA45" i="2" s="1"/>
  <c r="I77" i="2"/>
  <c r="CB44" i="2" s="1"/>
  <c r="I76" i="2"/>
  <c r="CB42" i="2" s="1"/>
  <c r="CB45" i="2"/>
  <c r="H76" i="2"/>
  <c r="CB43" i="2" s="1"/>
  <c r="I69" i="2"/>
  <c r="I68" i="2"/>
  <c r="H68" i="2"/>
  <c r="CB39" i="2" s="1"/>
  <c r="H53" i="2"/>
  <c r="CB33" i="2" s="1"/>
  <c r="I53" i="2"/>
  <c r="CB32" i="2" s="1"/>
  <c r="H61" i="2"/>
  <c r="CA37" i="2" s="1"/>
  <c r="I61" i="2"/>
  <c r="CB36" i="2" s="1"/>
  <c r="H52" i="2"/>
  <c r="I52" i="2"/>
  <c r="CB30" i="2" s="1"/>
  <c r="H60" i="2"/>
  <c r="CB35" i="2" s="1"/>
  <c r="I60" i="2"/>
  <c r="CA34" i="2" s="1"/>
  <c r="CB29" i="2"/>
  <c r="I45" i="2"/>
  <c r="CA28" i="2"/>
  <c r="H45" i="2"/>
  <c r="H37" i="2"/>
  <c r="CB25" i="2" s="1"/>
  <c r="I37" i="2"/>
  <c r="CA24" i="2" s="1"/>
  <c r="H44" i="2"/>
  <c r="CA27" i="2" s="1"/>
  <c r="I44" i="2"/>
  <c r="CB26" i="2" s="1"/>
  <c r="I36" i="2"/>
  <c r="CB22" i="2" s="1"/>
  <c r="H36" i="2"/>
  <c r="CB23" i="2" s="1"/>
  <c r="I29" i="2"/>
  <c r="CB20" i="2" s="1"/>
  <c r="H29" i="2"/>
  <c r="CA21" i="2" s="1"/>
  <c r="CA16" i="2"/>
  <c r="H21" i="2"/>
  <c r="CB17" i="2"/>
  <c r="I21" i="2"/>
  <c r="I20" i="2"/>
  <c r="H20" i="2"/>
  <c r="CA13" i="2"/>
  <c r="I13" i="2"/>
  <c r="I28" i="2"/>
  <c r="CB18" i="2" s="1"/>
  <c r="H28" i="2"/>
  <c r="CA19" i="2" s="1"/>
  <c r="I12" i="2"/>
  <c r="H12" i="2"/>
  <c r="CA11" i="2" s="1"/>
  <c r="CB28" i="2"/>
  <c r="CC28" i="2" s="1"/>
  <c r="CA17" i="2"/>
  <c r="CC17" i="2" s="1"/>
  <c r="CA29" i="2"/>
  <c r="CC29" i="2" s="1"/>
  <c r="CB53" i="2"/>
  <c r="I7" i="2"/>
  <c r="I9" i="2"/>
  <c r="CB16" i="2"/>
  <c r="CC16" i="2" s="1"/>
  <c r="H7" i="2"/>
  <c r="I8" i="2"/>
  <c r="CB47" i="2"/>
  <c r="I4" i="2"/>
  <c r="CB6" i="2" s="1"/>
  <c r="I6" i="2"/>
  <c r="I5" i="2"/>
  <c r="H6" i="2"/>
  <c r="H5" i="2"/>
  <c r="CA52" i="2"/>
  <c r="CB13" i="2"/>
  <c r="CB51" i="2"/>
  <c r="CB48" i="2"/>
  <c r="CC48" i="2" s="1"/>
  <c r="H4" i="2"/>
  <c r="CA41" i="2"/>
  <c r="CC49" i="2"/>
  <c r="CA31" i="2" l="1"/>
  <c r="CB15" i="2"/>
  <c r="CB14" i="2"/>
  <c r="CA44" i="2"/>
  <c r="CC44" i="2" s="1"/>
  <c r="CB10" i="2"/>
  <c r="CB38" i="2"/>
  <c r="CA38" i="2"/>
  <c r="CC53" i="2"/>
  <c r="CB8" i="2"/>
  <c r="CA43" i="2"/>
  <c r="CC43" i="2" s="1"/>
  <c r="CB50" i="2"/>
  <c r="CC50" i="2" s="1"/>
  <c r="CC41" i="2"/>
  <c r="CB46" i="2"/>
  <c r="CC46" i="2" s="1"/>
  <c r="CA36" i="2"/>
  <c r="CC36" i="2" s="1"/>
  <c r="CA42" i="2"/>
  <c r="CC42" i="2" s="1"/>
  <c r="CC51" i="2"/>
  <c r="CA39" i="2"/>
  <c r="CC39" i="2" s="1"/>
  <c r="CC52" i="2"/>
  <c r="CC47" i="2"/>
  <c r="CA35" i="2"/>
  <c r="CC35" i="2" s="1"/>
  <c r="CC45" i="2"/>
  <c r="CA25" i="2"/>
  <c r="CC25" i="2" s="1"/>
  <c r="CA33" i="2"/>
  <c r="CC33" i="2" s="1"/>
  <c r="CA32" i="2"/>
  <c r="CC32" i="2" s="1"/>
  <c r="CB31" i="2"/>
  <c r="CC31" i="2" s="1"/>
  <c r="CC37" i="2"/>
  <c r="CA20" i="2"/>
  <c r="CC20" i="2" s="1"/>
  <c r="CB19" i="2"/>
  <c r="CC19" i="2" s="1"/>
  <c r="CB24" i="2"/>
  <c r="CC24" i="2" s="1"/>
  <c r="CA26" i="2"/>
  <c r="CC26" i="2" s="1"/>
  <c r="CB34" i="2"/>
  <c r="CC34" i="2" s="1"/>
  <c r="CA30" i="2"/>
  <c r="CC30" i="2" s="1"/>
  <c r="CA22" i="2"/>
  <c r="CC22" i="2" s="1"/>
  <c r="CA40" i="2"/>
  <c r="CB40" i="2"/>
  <c r="CA23" i="2"/>
  <c r="CC23" i="2" s="1"/>
  <c r="CA14" i="2"/>
  <c r="CB27" i="2"/>
  <c r="CC27" i="2" s="1"/>
  <c r="CB21" i="2"/>
  <c r="CC21" i="2" s="1"/>
  <c r="CA15" i="2"/>
  <c r="CA18" i="2"/>
  <c r="CC18" i="2" s="1"/>
  <c r="CC13" i="2"/>
  <c r="CB11" i="2"/>
  <c r="CC11" i="2" s="1"/>
  <c r="CA6" i="2"/>
  <c r="CC6" i="2" s="1"/>
  <c r="CA8" i="2"/>
  <c r="CC8" i="2" s="1"/>
  <c r="CA10" i="2"/>
  <c r="CB12" i="2"/>
  <c r="CA12" i="2"/>
  <c r="CA9" i="2"/>
  <c r="CB9" i="2"/>
  <c r="CB7" i="2"/>
  <c r="CA7" i="2"/>
  <c r="CC10" i="2" l="1"/>
  <c r="CC15" i="2"/>
  <c r="CC14" i="2"/>
  <c r="CC38" i="2"/>
  <c r="CC40" i="2"/>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L95" i="2" s="1"/>
  <c r="CE53" i="2"/>
  <c r="K95" i="2" s="1"/>
  <c r="CE44" i="2"/>
  <c r="L78" i="2" s="1"/>
  <c r="CE52" i="2"/>
  <c r="L94" i="2" s="1"/>
  <c r="CE24" i="2"/>
  <c r="CE50" i="2"/>
  <c r="K94" i="2" s="1"/>
  <c r="CE27" i="2"/>
  <c r="CE39" i="2"/>
  <c r="CE36" i="2"/>
  <c r="CE42" i="2"/>
  <c r="K78" i="2" s="1"/>
  <c r="CE7" i="2"/>
  <c r="CE25" i="2"/>
  <c r="CE20" i="2"/>
  <c r="CE47" i="2"/>
  <c r="L87" i="2" s="1"/>
  <c r="CE34" i="2"/>
  <c r="CE6" i="2"/>
  <c r="L8" i="2" s="1"/>
  <c r="CE33" i="2"/>
  <c r="CE11" i="2"/>
  <c r="CE15" i="2"/>
  <c r="CE32" i="2"/>
  <c r="CE8" i="2"/>
  <c r="L9" i="2" s="1"/>
  <c r="CE31" i="2"/>
  <c r="CE45" i="2"/>
  <c r="K79" i="2" s="1"/>
  <c r="CE12" i="2"/>
  <c r="CE22" i="2"/>
  <c r="CE37" i="2"/>
  <c r="CE9" i="2"/>
  <c r="CE49" i="2"/>
  <c r="K87" i="2" s="1"/>
  <c r="CE28" i="2"/>
  <c r="CE21" i="2"/>
  <c r="CE48" i="2"/>
  <c r="L86" i="2" s="1"/>
  <c r="CE10" i="2"/>
  <c r="CE13" i="2"/>
  <c r="CE40" i="2"/>
  <c r="CE38" i="2"/>
  <c r="CE35" i="2"/>
  <c r="CE16" i="2"/>
  <c r="CE26" i="2"/>
  <c r="CE19" i="2"/>
  <c r="CE18" i="2"/>
  <c r="CE41" i="2"/>
  <c r="CE43" i="2"/>
  <c r="L79" i="2" s="1"/>
  <c r="CE14" i="2"/>
  <c r="CE46" i="2"/>
  <c r="K86" i="2" s="1"/>
  <c r="L71" i="2" l="1"/>
  <c r="K73" i="2"/>
  <c r="L70" i="2"/>
  <c r="L73" i="2"/>
  <c r="K70" i="2"/>
  <c r="L72" i="2"/>
  <c r="K71" i="2"/>
  <c r="K72" i="2"/>
  <c r="L63" i="2"/>
  <c r="K64" i="2"/>
  <c r="L62" i="2"/>
  <c r="L64" i="2"/>
  <c r="K63" i="2"/>
  <c r="K65" i="2"/>
  <c r="K62" i="2"/>
  <c r="L65" i="2"/>
  <c r="K54" i="2"/>
  <c r="L57" i="2"/>
  <c r="K55" i="2"/>
  <c r="K57" i="2"/>
  <c r="L54" i="2"/>
  <c r="L56" i="2"/>
  <c r="L55" i="2"/>
  <c r="K56" i="2"/>
  <c r="L31" i="2"/>
  <c r="K33" i="2"/>
  <c r="L30" i="2"/>
  <c r="L33" i="2"/>
  <c r="K31" i="2"/>
  <c r="K32" i="2"/>
  <c r="K30" i="2"/>
  <c r="L32" i="2"/>
  <c r="K38" i="2"/>
  <c r="L41" i="2"/>
  <c r="K39" i="2"/>
  <c r="K41" i="2"/>
  <c r="L39" i="2"/>
  <c r="K40" i="2"/>
  <c r="L38" i="2"/>
  <c r="L40" i="2"/>
  <c r="L47" i="2"/>
  <c r="K48" i="2"/>
  <c r="L46" i="2"/>
  <c r="L48" i="2"/>
  <c r="K46" i="2"/>
  <c r="L49" i="2"/>
  <c r="K47" i="2"/>
  <c r="K49" i="2"/>
  <c r="L22" i="2"/>
  <c r="K25" i="2"/>
  <c r="L23" i="2"/>
  <c r="L25" i="2"/>
  <c r="K23" i="2"/>
  <c r="L24" i="2"/>
  <c r="K22" i="2"/>
  <c r="K24" i="2"/>
  <c r="L15" i="2"/>
  <c r="L17" i="2"/>
  <c r="L14" i="2"/>
  <c r="K17" i="2"/>
  <c r="K15" i="2"/>
  <c r="L16" i="2"/>
  <c r="K14" i="2"/>
  <c r="K16" i="2"/>
  <c r="CF48" i="2"/>
  <c r="K85" i="2"/>
  <c r="CF49" i="2"/>
  <c r="L85" i="2"/>
  <c r="K93" i="2"/>
  <c r="CF53" i="2"/>
  <c r="L93" i="2"/>
  <c r="CF52" i="2" s="1"/>
  <c r="L92" i="2"/>
  <c r="CF50" i="2" s="1"/>
  <c r="K92" i="2"/>
  <c r="CF51" i="2" s="1"/>
  <c r="L84" i="2"/>
  <c r="CF46" i="2" s="1"/>
  <c r="K84" i="2"/>
  <c r="CF47" i="2" s="1"/>
  <c r="K77" i="2"/>
  <c r="CF45" i="2" s="1"/>
  <c r="L77" i="2"/>
  <c r="CF44" i="2" s="1"/>
  <c r="L76" i="2"/>
  <c r="CF42" i="2" s="1"/>
  <c r="K76" i="2"/>
  <c r="CF43" i="2" s="1"/>
  <c r="L69" i="2"/>
  <c r="CF40" i="2" s="1"/>
  <c r="K69" i="2"/>
  <c r="CF41" i="2" s="1"/>
  <c r="L68" i="2"/>
  <c r="CF38" i="2" s="1"/>
  <c r="K68" i="2"/>
  <c r="CF39" i="2" s="1"/>
  <c r="K53" i="2"/>
  <c r="CF33" i="2" s="1"/>
  <c r="L53" i="2"/>
  <c r="CF32" i="2" s="1"/>
  <c r="L61" i="2"/>
  <c r="CF36" i="2" s="1"/>
  <c r="K61" i="2"/>
  <c r="K52" i="2"/>
  <c r="CF31" i="2" s="1"/>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K7" i="2"/>
  <c r="L5" i="2"/>
  <c r="CF8" i="2" s="1"/>
  <c r="K5" i="2"/>
  <c r="CF37" i="2" l="1"/>
  <c r="CF7" i="2"/>
  <c r="CF9" i="2"/>
  <c r="CF6" i="2"/>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CH16" i="2"/>
  <c r="O25" i="2" s="1"/>
  <c r="CH44" i="2"/>
  <c r="O78" i="2" s="1"/>
  <c r="CH25" i="2"/>
  <c r="CH8" i="2"/>
  <c r="O9" i="2" s="1"/>
  <c r="CH45" i="2"/>
  <c r="N79" i="2" s="1"/>
  <c r="CH18" i="2"/>
  <c r="O32" i="2" s="1"/>
  <c r="CH23" i="2"/>
  <c r="N40" i="2" s="1"/>
  <c r="CH47" i="2"/>
  <c r="O87" i="2" s="1"/>
  <c r="CH32" i="2"/>
  <c r="CH43" i="2"/>
  <c r="O79" i="2" s="1"/>
  <c r="CH49" i="2"/>
  <c r="N87" i="2" s="1"/>
  <c r="CH14" i="2"/>
  <c r="CH38" i="2"/>
  <c r="O72" i="2" s="1"/>
  <c r="CH36" i="2"/>
  <c r="CH46" i="2"/>
  <c r="N86" i="2" s="1"/>
  <c r="CH48" i="2"/>
  <c r="O86" i="2" s="1"/>
  <c r="CH24" i="2"/>
  <c r="CH31" i="2"/>
  <c r="CH12" i="2"/>
  <c r="CH37" i="2"/>
  <c r="CH35" i="2"/>
  <c r="CH53" i="2"/>
  <c r="N95" i="2" s="1"/>
  <c r="CH17" i="2"/>
  <c r="CH19" i="2"/>
  <c r="CH52" i="2"/>
  <c r="CH51" i="2"/>
  <c r="O95" i="2" s="1"/>
  <c r="CH9" i="2"/>
  <c r="O5" i="2" s="1"/>
  <c r="CH30" i="2"/>
  <c r="CH13" i="2"/>
  <c r="CH42" i="2"/>
  <c r="N78" i="2" s="1"/>
  <c r="CH27" i="2"/>
  <c r="CH40" i="2"/>
  <c r="O73" i="2" s="1"/>
  <c r="N9" i="2"/>
  <c r="CH26" i="2"/>
  <c r="O49" i="2" s="1"/>
  <c r="CH11" i="2"/>
  <c r="N17" i="2" s="1"/>
  <c r="CH33" i="2"/>
  <c r="N57" i="2" s="1"/>
  <c r="CH22" i="2"/>
  <c r="O41" i="2" s="1"/>
  <c r="CH21" i="2"/>
  <c r="N32" i="2" s="1"/>
  <c r="CH15" i="2"/>
  <c r="CH10" i="2"/>
  <c r="O16" i="2" s="1"/>
  <c r="CH39" i="2"/>
  <c r="N73" i="2" s="1"/>
  <c r="CH29" i="2"/>
  <c r="N49" i="2" s="1"/>
  <c r="CH20" i="2"/>
  <c r="CH50" i="2"/>
  <c r="N71" i="2" l="1"/>
  <c r="N72" i="2"/>
  <c r="O62" i="2"/>
  <c r="O64" i="2"/>
  <c r="O63" i="2"/>
  <c r="N64" i="2"/>
  <c r="N62" i="2"/>
  <c r="O65" i="2"/>
  <c r="N63" i="2"/>
  <c r="N65" i="2"/>
  <c r="N54" i="2"/>
  <c r="O57" i="2"/>
  <c r="O55" i="2"/>
  <c r="N56" i="2"/>
  <c r="O54" i="2"/>
  <c r="O56" i="2"/>
  <c r="O30" i="2"/>
  <c r="O33" i="2"/>
  <c r="O31" i="2"/>
  <c r="N33" i="2"/>
  <c r="N39" i="2"/>
  <c r="N41" i="2"/>
  <c r="O38" i="2"/>
  <c r="O40" i="2"/>
  <c r="O8" i="2"/>
  <c r="O47" i="2"/>
  <c r="N48" i="2"/>
  <c r="CJ28" i="2"/>
  <c r="O48" i="2"/>
  <c r="O22" i="2"/>
  <c r="N25" i="2"/>
  <c r="N23" i="2"/>
  <c r="O24" i="2"/>
  <c r="N22" i="2"/>
  <c r="N24" i="2"/>
  <c r="O15" i="2"/>
  <c r="O17" i="2"/>
  <c r="N14" i="2"/>
  <c r="N16" i="2"/>
  <c r="N93" i="2"/>
  <c r="O94" i="2"/>
  <c r="N92" i="2"/>
  <c r="N94" i="2"/>
  <c r="CK41" i="2"/>
  <c r="O68" i="2"/>
  <c r="O71" i="2"/>
  <c r="N68" i="2"/>
  <c r="N70" i="2"/>
  <c r="N69" i="2"/>
  <c r="O70" i="2"/>
  <c r="O53" i="2"/>
  <c r="N55" i="2"/>
  <c r="O45" i="2"/>
  <c r="N47" i="2"/>
  <c r="O36" i="2"/>
  <c r="O39" i="2"/>
  <c r="CJ25" i="2" s="1"/>
  <c r="N36" i="2"/>
  <c r="N38" i="2"/>
  <c r="N44" i="2"/>
  <c r="N46" i="2"/>
  <c r="N45" i="2"/>
  <c r="O46" i="2"/>
  <c r="N7" i="2"/>
  <c r="O29" i="2"/>
  <c r="N31" i="2"/>
  <c r="CI16" i="2"/>
  <c r="O23" i="2"/>
  <c r="CI14" i="2" s="1"/>
  <c r="CK18" i="2"/>
  <c r="N30" i="2"/>
  <c r="CK20" i="2" s="1"/>
  <c r="O7" i="2"/>
  <c r="N12" i="2"/>
  <c r="N15" i="2"/>
  <c r="O12" i="2"/>
  <c r="CJ10" i="2" s="1"/>
  <c r="O14" i="2"/>
  <c r="CK28" i="2"/>
  <c r="O6" i="2"/>
  <c r="CJ48" i="2"/>
  <c r="N85" i="2"/>
  <c r="CI49" i="2"/>
  <c r="O85" i="2"/>
  <c r="CI28" i="2"/>
  <c r="CJ53" i="2"/>
  <c r="O93" i="2"/>
  <c r="CI52" i="2" s="1"/>
  <c r="CK51" i="2"/>
  <c r="O92" i="2"/>
  <c r="CI50" i="2" s="1"/>
  <c r="CK46" i="2"/>
  <c r="N84" i="2"/>
  <c r="CI47" i="2"/>
  <c r="O84" i="2"/>
  <c r="CJ45" i="2"/>
  <c r="O77" i="2"/>
  <c r="CI44" i="2" s="1"/>
  <c r="N77" i="2"/>
  <c r="CJ43" i="2"/>
  <c r="O76" i="2"/>
  <c r="CI42" i="2" s="1"/>
  <c r="N76" i="2"/>
  <c r="CK43" i="2" s="1"/>
  <c r="N5" i="2"/>
  <c r="CJ41" i="2"/>
  <c r="O69" i="2"/>
  <c r="CK40" i="2" s="1"/>
  <c r="CI32" i="2"/>
  <c r="N53" i="2"/>
  <c r="CI36" i="2"/>
  <c r="N61" i="2"/>
  <c r="CJ37" i="2" s="1"/>
  <c r="CK37" i="2"/>
  <c r="O61" i="2"/>
  <c r="O52" i="2"/>
  <c r="CJ30" i="2" s="1"/>
  <c r="N52" i="2"/>
  <c r="O60" i="2"/>
  <c r="CJ34" i="2" s="1"/>
  <c r="N60" i="2"/>
  <c r="CJ35" i="2" s="1"/>
  <c r="CJ24" i="2"/>
  <c r="N37" i="2"/>
  <c r="CK25" i="2" s="1"/>
  <c r="O37" i="2"/>
  <c r="CI24" i="2" s="1"/>
  <c r="CI27" i="2"/>
  <c r="O44" i="2"/>
  <c r="CJ26" i="2" s="1"/>
  <c r="CI45" i="2"/>
  <c r="N29" i="2"/>
  <c r="CK45" i="2"/>
  <c r="CI8" i="2"/>
  <c r="CK17" i="2"/>
  <c r="O21" i="2"/>
  <c r="CJ16" i="2"/>
  <c r="N21" i="2"/>
  <c r="CI15" i="2"/>
  <c r="O20" i="2"/>
  <c r="CJ14" i="2" s="1"/>
  <c r="N20" i="2"/>
  <c r="CJ15" i="2" s="1"/>
  <c r="CI34" i="2"/>
  <c r="CJ32"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J36" i="2"/>
  <c r="CK42" i="2"/>
  <c r="CJ44" i="2"/>
  <c r="CK34" i="2"/>
  <c r="CK7" i="2"/>
  <c r="CI9" i="2"/>
  <c r="CJ47" i="2"/>
  <c r="CL16" i="2"/>
  <c r="CJ46" i="2"/>
  <c r="CK36" i="2"/>
  <c r="CK48" i="2"/>
  <c r="CK24" i="2"/>
  <c r="CI17" i="2"/>
  <c r="CK15" i="2"/>
  <c r="CJ27" i="2"/>
  <c r="CK13" i="2"/>
  <c r="CK27" i="2"/>
  <c r="CK16" i="2"/>
  <c r="CI46" i="2"/>
  <c r="CJ19" i="2"/>
  <c r="CI51" i="2"/>
  <c r="CI48" i="2"/>
  <c r="CL48" i="2" s="1"/>
  <c r="CJ17" i="2"/>
  <c r="CJ51" i="2"/>
  <c r="CK35" i="2"/>
  <c r="CJ9" i="2"/>
  <c r="CJ42" i="2"/>
  <c r="CI19" i="2"/>
  <c r="CK31" i="2"/>
  <c r="CI31" i="2"/>
  <c r="CK44" i="2"/>
  <c r="CK9" i="2"/>
  <c r="CI30" i="2"/>
  <c r="CK14" i="2"/>
  <c r="CI23" i="2"/>
  <c r="CJ23" i="2"/>
  <c r="CK23" i="2"/>
  <c r="CI37" i="2"/>
  <c r="CI38" i="2"/>
  <c r="CJ38" i="2"/>
  <c r="CK38" i="2"/>
  <c r="CJ40" i="2"/>
  <c r="CI40" i="2"/>
  <c r="CJ52" i="2"/>
  <c r="CK52" i="2"/>
  <c r="CI10" i="2"/>
  <c r="CK1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J31" i="2" l="1"/>
  <c r="CL31" i="2" s="1"/>
  <c r="CI41" i="2"/>
  <c r="CL41" i="2" s="1"/>
  <c r="CL43" i="2"/>
  <c r="CJ7" i="2"/>
  <c r="CL7" i="2" s="1"/>
  <c r="CL47" i="2"/>
  <c r="CL42" i="2"/>
  <c r="CL36" i="2"/>
  <c r="CL30" i="2"/>
  <c r="CL44" i="2"/>
  <c r="CL45" i="2"/>
  <c r="CL24" i="2"/>
  <c r="CL25" i="2"/>
  <c r="CL27" i="2"/>
  <c r="CL32"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Q78" i="2" s="1"/>
  <c r="CN37" i="2"/>
  <c r="Q65" i="2" s="1"/>
  <c r="CN32" i="2"/>
  <c r="R56" i="2" s="1"/>
  <c r="CN45" i="2"/>
  <c r="CN53" i="2"/>
  <c r="CN18" i="2"/>
  <c r="R32" i="2" s="1"/>
  <c r="CN33" i="2"/>
  <c r="Q57" i="2" s="1"/>
  <c r="CN30" i="2"/>
  <c r="R57" i="2" s="1"/>
  <c r="CN28" i="2"/>
  <c r="R48" i="2" s="1"/>
  <c r="CN36" i="2"/>
  <c r="R64" i="2" s="1"/>
  <c r="CN24" i="2"/>
  <c r="R40" i="2" s="1"/>
  <c r="CN48" i="2"/>
  <c r="CN34" i="2"/>
  <c r="R65" i="2" s="1"/>
  <c r="CN13" i="2"/>
  <c r="Q16" i="2" s="1"/>
  <c r="CN51" i="2"/>
  <c r="CN43" i="2"/>
  <c r="CN15" i="2"/>
  <c r="Q25" i="2" s="1"/>
  <c r="CN14" i="2"/>
  <c r="R24" i="2" s="1"/>
  <c r="CN40" i="2"/>
  <c r="R73" i="2" s="1"/>
  <c r="CN26" i="2"/>
  <c r="R49" i="2" s="1"/>
  <c r="CN31" i="2"/>
  <c r="Q56" i="2" s="1"/>
  <c r="CN38" i="2"/>
  <c r="R72" i="2" s="1"/>
  <c r="CN21" i="2"/>
  <c r="Q32" i="2" s="1"/>
  <c r="CN23" i="2"/>
  <c r="Q40" i="2" s="1"/>
  <c r="CN17" i="2"/>
  <c r="Q24" i="2" s="1"/>
  <c r="CN20" i="2"/>
  <c r="R33" i="2" s="1"/>
  <c r="CN35" i="2"/>
  <c r="Q64" i="2" s="1"/>
  <c r="CN44" i="2"/>
  <c r="CN25" i="2"/>
  <c r="Q41" i="2" s="1"/>
  <c r="CN39" i="2"/>
  <c r="Q73" i="2" s="1"/>
  <c r="CN52" i="2"/>
  <c r="CN47" i="2"/>
  <c r="CN50" i="2"/>
  <c r="CN16" i="2"/>
  <c r="R25" i="2" s="1"/>
  <c r="CN12" i="2"/>
  <c r="R17" i="2" s="1"/>
  <c r="CN22" i="2"/>
  <c r="R41" i="2" s="1"/>
  <c r="CN19" i="2"/>
  <c r="Q33" i="2" s="1"/>
  <c r="CN49" i="2"/>
  <c r="CN41" i="2"/>
  <c r="Q72" i="2" s="1"/>
  <c r="CN8" i="2"/>
  <c r="CN9" i="2"/>
  <c r="CN10" i="2"/>
  <c r="R16" i="2" s="1"/>
  <c r="CN6" i="2"/>
  <c r="Q4" i="2" s="1"/>
  <c r="CN7" i="2"/>
  <c r="R4" i="2" s="1"/>
  <c r="CN46" i="2"/>
  <c r="CN11" i="2"/>
  <c r="Q17" i="2" s="1"/>
  <c r="R47" i="2" l="1"/>
  <c r="Q48" i="2"/>
  <c r="Q47" i="2"/>
  <c r="Q49" i="2"/>
  <c r="R84" i="2"/>
  <c r="R87" i="2"/>
  <c r="R85" i="2"/>
  <c r="Q87" i="2"/>
  <c r="R93" i="2"/>
  <c r="CP52" i="2" s="1"/>
  <c r="Q95" i="2"/>
  <c r="R92" i="2"/>
  <c r="R95" i="2"/>
  <c r="Q92" i="2"/>
  <c r="Q94" i="2"/>
  <c r="Q93" i="2"/>
  <c r="R94" i="2"/>
  <c r="Q84" i="2"/>
  <c r="Q86" i="2"/>
  <c r="Q85" i="2"/>
  <c r="R86" i="2"/>
  <c r="R77" i="2"/>
  <c r="CO44" i="2" s="1"/>
  <c r="Q79" i="2"/>
  <c r="R76" i="2"/>
  <c r="R79" i="2"/>
  <c r="R68" i="2"/>
  <c r="R71" i="2"/>
  <c r="R69" i="2"/>
  <c r="Q71" i="2"/>
  <c r="Q68" i="2"/>
  <c r="Q70" i="2"/>
  <c r="Q69" i="2"/>
  <c r="R70" i="2"/>
  <c r="Q77" i="2"/>
  <c r="R78" i="2"/>
  <c r="R52" i="2"/>
  <c r="R55" i="2"/>
  <c r="R53" i="2"/>
  <c r="Q55" i="2"/>
  <c r="R60" i="2"/>
  <c r="R63" i="2"/>
  <c r="CP37" i="2" s="1"/>
  <c r="R61" i="2"/>
  <c r="Q63" i="2"/>
  <c r="CP35" i="2" s="1"/>
  <c r="Q53" i="2"/>
  <c r="R54" i="2"/>
  <c r="Q52" i="2"/>
  <c r="CP31" i="2" s="1"/>
  <c r="Q54" i="2"/>
  <c r="Q61" i="2"/>
  <c r="R62" i="2"/>
  <c r="Q60" i="2"/>
  <c r="Q62" i="2"/>
  <c r="R37" i="2"/>
  <c r="Q39" i="2"/>
  <c r="CP23" i="2" s="1"/>
  <c r="R36" i="2"/>
  <c r="R39" i="2"/>
  <c r="Q36" i="2"/>
  <c r="Q38" i="2"/>
  <c r="Q37" i="2"/>
  <c r="CP25" i="2" s="1"/>
  <c r="R38" i="2"/>
  <c r="Q45" i="2"/>
  <c r="R46" i="2"/>
  <c r="Q44" i="2"/>
  <c r="CP27" i="2" s="1"/>
  <c r="Q46" i="2"/>
  <c r="R28" i="2"/>
  <c r="R31" i="2"/>
  <c r="R29" i="2"/>
  <c r="Q31" i="2"/>
  <c r="Q21" i="2"/>
  <c r="R23" i="2"/>
  <c r="Q20" i="2"/>
  <c r="Q23" i="2"/>
  <c r="R21" i="2"/>
  <c r="Q22" i="2"/>
  <c r="R20" i="2"/>
  <c r="R22" i="2"/>
  <c r="Q28" i="2"/>
  <c r="CP19" i="2" s="1"/>
  <c r="Q30" i="2"/>
  <c r="Q29" i="2"/>
  <c r="R30" i="2"/>
  <c r="Q12" i="2"/>
  <c r="Q15" i="2"/>
  <c r="Q13" i="2"/>
  <c r="CO13" i="2" s="1"/>
  <c r="R15" i="2"/>
  <c r="R12" i="2"/>
  <c r="R14" i="2"/>
  <c r="R13" i="2"/>
  <c r="Q14" i="2"/>
  <c r="CP42" i="2"/>
  <c r="Q76" i="2"/>
  <c r="CO43" i="2" s="1"/>
  <c r="CP29" i="2"/>
  <c r="R45" i="2"/>
  <c r="R44" i="2"/>
  <c r="CO42" i="2"/>
  <c r="CO29" i="2"/>
  <c r="CQ29" i="2" s="1"/>
  <c r="R8" i="2"/>
  <c r="Q7" i="2"/>
  <c r="Q8" i="2"/>
  <c r="R5" i="2"/>
  <c r="CO8" i="2" s="1"/>
  <c r="Q6" i="2"/>
  <c r="CP7" i="2" s="1"/>
  <c r="CO33" i="2"/>
  <c r="CP33" i="2"/>
  <c r="CP16" i="2"/>
  <c r="CO16" i="2"/>
  <c r="CO36" i="2"/>
  <c r="CP36" i="2"/>
  <c r="R6" i="2"/>
  <c r="Q9" i="2"/>
  <c r="CO47" i="2"/>
  <c r="CP47" i="2"/>
  <c r="R9" i="2"/>
  <c r="Q5" i="2"/>
  <c r="R7" i="2"/>
  <c r="CO18" i="2"/>
  <c r="CP18" i="2"/>
  <c r="CO53" i="2"/>
  <c r="CP53" i="2"/>
  <c r="CP24" i="2"/>
  <c r="CO24" i="2"/>
  <c r="CO31" i="2"/>
  <c r="CP49" i="2"/>
  <c r="CO49" i="2"/>
  <c r="CO35" i="2"/>
  <c r="CP13" i="2"/>
  <c r="CO45" i="2"/>
  <c r="CP45" i="2"/>
  <c r="CP46" i="2"/>
  <c r="CO46" i="2"/>
  <c r="CO50" i="2"/>
  <c r="CP28" i="2"/>
  <c r="CO28" i="2"/>
  <c r="CP51" i="2"/>
  <c r="CO51" i="2"/>
  <c r="CO22" i="2"/>
  <c r="CP22" i="2"/>
  <c r="CP17" i="2"/>
  <c r="CO17" i="2"/>
  <c r="CP34" i="2"/>
  <c r="CO34" i="2"/>
  <c r="CP12" i="2"/>
  <c r="CP48" i="2"/>
  <c r="CO48" i="2"/>
  <c r="CO21" i="2"/>
  <c r="CP21" i="2"/>
  <c r="CO6" i="2"/>
  <c r="CP39" i="2" l="1"/>
  <c r="CP44" i="2"/>
  <c r="CQ44" i="2" s="1"/>
  <c r="CO40" i="2"/>
  <c r="CP20" i="2"/>
  <c r="CP11" i="2"/>
  <c r="CP32" i="2"/>
  <c r="CP41" i="2"/>
  <c r="CP38" i="2"/>
  <c r="CO52" i="2"/>
  <c r="CQ52" i="2" s="1"/>
  <c r="CO32" i="2"/>
  <c r="CO20" i="2"/>
  <c r="CP50" i="2"/>
  <c r="CQ50" i="2" s="1"/>
  <c r="CO23" i="2"/>
  <c r="CQ23" i="2" s="1"/>
  <c r="CO19" i="2"/>
  <c r="CQ19" i="2" s="1"/>
  <c r="CP43" i="2"/>
  <c r="CQ43" i="2" s="1"/>
  <c r="CO37" i="2"/>
  <c r="CQ37" i="2" s="1"/>
  <c r="CO41" i="2"/>
  <c r="CO27" i="2"/>
  <c r="CQ27" i="2" s="1"/>
  <c r="CP15" i="2"/>
  <c r="CO11" i="2"/>
  <c r="CP26" i="2"/>
  <c r="CP40" i="2"/>
  <c r="CO12" i="2"/>
  <c r="CQ12" i="2" s="1"/>
  <c r="CO25" i="2"/>
  <c r="CQ25" i="2" s="1"/>
  <c r="CP14" i="2"/>
  <c r="CP30" i="2"/>
  <c r="CO15" i="2"/>
  <c r="CO39" i="2"/>
  <c r="CQ39" i="2" s="1"/>
  <c r="CO38" i="2"/>
  <c r="CO30" i="2"/>
  <c r="CP10" i="2"/>
  <c r="CO10" i="2"/>
  <c r="CO14" i="2"/>
  <c r="CO7" i="2"/>
  <c r="CQ7" i="2" s="1"/>
  <c r="CO26" i="2"/>
  <c r="CQ42" i="2"/>
  <c r="CP8" i="2"/>
  <c r="CQ8" i="2" s="1"/>
  <c r="CP6" i="2"/>
  <c r="CQ6" i="2" s="1"/>
  <c r="CQ16" i="2"/>
  <c r="CQ36" i="2"/>
  <c r="CQ31" i="2"/>
  <c r="CQ49" i="2"/>
  <c r="CQ53" i="2"/>
  <c r="CQ48" i="2"/>
  <c r="CQ17" i="2"/>
  <c r="CQ28" i="2"/>
  <c r="CQ18" i="2"/>
  <c r="CO9" i="2"/>
  <c r="CQ35" i="2"/>
  <c r="CQ24" i="2"/>
  <c r="CQ47" i="2"/>
  <c r="CP9" i="2"/>
  <c r="CQ22" i="2"/>
  <c r="CQ13" i="2"/>
  <c r="CQ21" i="2"/>
  <c r="CQ34" i="2"/>
  <c r="CQ51" i="2"/>
  <c r="CQ46" i="2"/>
  <c r="CQ45" i="2"/>
  <c r="CQ33" i="2"/>
  <c r="CQ40" i="2" l="1"/>
  <c r="CQ20" i="2"/>
  <c r="CQ11" i="2"/>
  <c r="CQ41" i="2"/>
  <c r="CQ32" i="2"/>
  <c r="CQ38" i="2"/>
  <c r="CQ26" i="2"/>
  <c r="CQ15" i="2"/>
  <c r="CQ14" i="2"/>
  <c r="CQ30" i="2"/>
  <c r="CQ10" i="2"/>
  <c r="CR19" i="2" s="1"/>
  <c r="CR44" i="2"/>
  <c r="CQ9" i="2"/>
  <c r="CR50" i="2"/>
  <c r="CR43" i="2" l="1"/>
  <c r="CR20" i="2"/>
  <c r="CR25" i="2"/>
  <c r="CR13" i="2"/>
  <c r="CR16" i="2"/>
  <c r="CR9" i="2"/>
  <c r="CR27" i="2"/>
  <c r="CR21" i="2"/>
  <c r="CR34" i="2"/>
  <c r="CR51" i="2"/>
  <c r="CR28" i="2"/>
  <c r="CR32" i="2"/>
  <c r="CR24" i="2"/>
  <c r="CR22" i="2"/>
  <c r="CR46" i="2"/>
  <c r="CR48" i="2"/>
  <c r="CR42" i="2"/>
  <c r="CR36" i="2"/>
  <c r="CR17" i="2"/>
  <c r="CR47" i="2"/>
  <c r="CR45" i="2"/>
  <c r="CR33" i="2"/>
  <c r="CR10" i="2"/>
  <c r="CR35" i="2"/>
  <c r="CR37" i="2"/>
  <c r="CR40" i="2"/>
  <c r="CR39" i="2"/>
  <c r="CR12" i="2"/>
  <c r="CR38" i="2"/>
  <c r="CR23" i="2"/>
  <c r="CR31" i="2"/>
  <c r="CR29" i="2"/>
  <c r="CR7" i="2"/>
  <c r="CR41" i="2"/>
  <c r="CR52" i="2"/>
  <c r="CR26" i="2"/>
  <c r="CR11" i="2"/>
  <c r="CR30" i="2"/>
  <c r="CR49" i="2"/>
  <c r="CR18" i="2"/>
  <c r="CR15" i="2"/>
  <c r="CR14" i="2"/>
  <c r="CR6" i="2"/>
  <c r="CR8" i="2"/>
  <c r="CR53" i="2"/>
  <c r="CS14" i="2" l="1"/>
  <c r="CS15" i="2"/>
  <c r="CS18" i="2"/>
  <c r="CS49" i="2"/>
  <c r="T87" i="2" s="1"/>
  <c r="CS26" i="2"/>
  <c r="CS52" i="2"/>
  <c r="U94" i="2" s="1"/>
  <c r="CS53" i="2"/>
  <c r="T95" i="2" s="1"/>
  <c r="CS41" i="2"/>
  <c r="CS29" i="2"/>
  <c r="CS8" i="2"/>
  <c r="U7" i="2" s="1"/>
  <c r="CS31" i="2"/>
  <c r="CS39" i="2"/>
  <c r="CS28" i="2"/>
  <c r="CS44" i="2"/>
  <c r="U78" i="2" s="1"/>
  <c r="CS20" i="2"/>
  <c r="CS21" i="2"/>
  <c r="CS38" i="2"/>
  <c r="CS30" i="2"/>
  <c r="CS32" i="2"/>
  <c r="CS17" i="2"/>
  <c r="CS7" i="2"/>
  <c r="U4" i="2" s="1"/>
  <c r="CS23" i="2"/>
  <c r="CS48" i="2"/>
  <c r="U86" i="2" s="1"/>
  <c r="CS12" i="2"/>
  <c r="CS34" i="2"/>
  <c r="CS16" i="2"/>
  <c r="CS10" i="2"/>
  <c r="CS9" i="2"/>
  <c r="T6" i="2" s="1"/>
  <c r="CS40" i="2"/>
  <c r="CS6" i="2"/>
  <c r="T7" i="2" s="1"/>
  <c r="CS11" i="2"/>
  <c r="CS27" i="2"/>
  <c r="CS46" i="2"/>
  <c r="T86" i="2" s="1"/>
  <c r="CS42" i="2"/>
  <c r="T78" i="2" s="1"/>
  <c r="CS25" i="2"/>
  <c r="CS19" i="2"/>
  <c r="CS33" i="2"/>
  <c r="CS13" i="2"/>
  <c r="CS37" i="2"/>
  <c r="CS36" i="2"/>
  <c r="CS51" i="2"/>
  <c r="U95" i="2" s="1"/>
  <c r="CS50" i="2"/>
  <c r="T94" i="2" s="1"/>
  <c r="CS45" i="2"/>
  <c r="T79" i="2" s="1"/>
  <c r="CS24" i="2"/>
  <c r="CS47" i="2"/>
  <c r="U87" i="2" s="1"/>
  <c r="CS43" i="2"/>
  <c r="U79" i="2" s="1"/>
  <c r="CS35" i="2"/>
  <c r="CS22" i="2"/>
  <c r="U71" i="2" l="1"/>
  <c r="T73" i="2"/>
  <c r="U70" i="2"/>
  <c r="U73" i="2"/>
  <c r="T70" i="2"/>
  <c r="U72" i="2"/>
  <c r="T71" i="2"/>
  <c r="T72" i="2"/>
  <c r="U63" i="2"/>
  <c r="T64" i="2"/>
  <c r="U62" i="2"/>
  <c r="U64" i="2"/>
  <c r="T63" i="2"/>
  <c r="T65" i="2"/>
  <c r="T62" i="2"/>
  <c r="U65" i="2"/>
  <c r="T54" i="2"/>
  <c r="U57" i="2"/>
  <c r="T55" i="2"/>
  <c r="T57" i="2"/>
  <c r="U55" i="2"/>
  <c r="T56" i="2"/>
  <c r="U54" i="2"/>
  <c r="U56" i="2"/>
  <c r="U31" i="2"/>
  <c r="T33" i="2"/>
  <c r="U30" i="2"/>
  <c r="U33" i="2"/>
  <c r="T31" i="2"/>
  <c r="T32" i="2"/>
  <c r="T30" i="2"/>
  <c r="U32" i="2"/>
  <c r="T38" i="2"/>
  <c r="U41" i="2"/>
  <c r="T39" i="2"/>
  <c r="T41" i="2"/>
  <c r="U39" i="2"/>
  <c r="T40" i="2"/>
  <c r="U38" i="2"/>
  <c r="U40" i="2"/>
  <c r="U47" i="2"/>
  <c r="T48" i="2"/>
  <c r="U46" i="2"/>
  <c r="U48" i="2"/>
  <c r="T47" i="2"/>
  <c r="T49" i="2"/>
  <c r="T46" i="2"/>
  <c r="U49" i="2"/>
  <c r="U23" i="2"/>
  <c r="U25" i="2"/>
  <c r="U22" i="2"/>
  <c r="T25" i="2"/>
  <c r="T22" i="2"/>
  <c r="T24" i="2"/>
  <c r="T23" i="2"/>
  <c r="U24" i="2"/>
  <c r="U15" i="2"/>
  <c r="U17" i="2"/>
  <c r="U14" i="2"/>
  <c r="T17" i="2"/>
  <c r="T15" i="2"/>
  <c r="U16" i="2"/>
  <c r="T14" i="2"/>
  <c r="T16" i="2"/>
  <c r="CT48" i="2"/>
  <c r="T85" i="2"/>
  <c r="CT49" i="2"/>
  <c r="U85" i="2"/>
  <c r="U93" i="2"/>
  <c r="CT52" i="2" s="1"/>
  <c r="T93" i="2"/>
  <c r="CT53" i="2" s="1"/>
  <c r="T92" i="2"/>
  <c r="CT51" i="2" s="1"/>
  <c r="U92" i="2"/>
  <c r="CT50" i="2" s="1"/>
  <c r="U84" i="2"/>
  <c r="CT46" i="2" s="1"/>
  <c r="T84" i="2"/>
  <c r="CT47" i="2" s="1"/>
  <c r="T77" i="2"/>
  <c r="CT45" i="2" s="1"/>
  <c r="U77" i="2"/>
  <c r="CT44" i="2" s="1"/>
  <c r="U76" i="2"/>
  <c r="CT42" i="2" s="1"/>
  <c r="T76" i="2"/>
  <c r="CT43" i="2" s="1"/>
  <c r="U69" i="2"/>
  <c r="CT40" i="2" s="1"/>
  <c r="T69" i="2"/>
  <c r="CT41" i="2" s="1"/>
  <c r="U68" i="2"/>
  <c r="CT38" i="2" s="1"/>
  <c r="T68" i="2"/>
  <c r="CT39" i="2" s="1"/>
  <c r="T53" i="2"/>
  <c r="CT33" i="2" s="1"/>
  <c r="U53" i="2"/>
  <c r="CT32" i="2" s="1"/>
  <c r="T61" i="2"/>
  <c r="U61" i="2"/>
  <c r="CT36" i="2" s="1"/>
  <c r="U52" i="2"/>
  <c r="T52" i="2"/>
  <c r="U60" i="2"/>
  <c r="CT34" i="2" s="1"/>
  <c r="T60" i="2"/>
  <c r="CT35" i="2" s="1"/>
  <c r="CT29" i="2"/>
  <c r="U45" i="2"/>
  <c r="CT28" i="2"/>
  <c r="T45" i="2"/>
  <c r="U37" i="2"/>
  <c r="CT24" i="2" s="1"/>
  <c r="T37" i="2"/>
  <c r="CT25" i="2" s="1"/>
  <c r="U44" i="2"/>
  <c r="CT26" i="2" s="1"/>
  <c r="T44" i="2"/>
  <c r="CT27" i="2" s="1"/>
  <c r="T36" i="2"/>
  <c r="CT23" i="2" s="1"/>
  <c r="U36" i="2"/>
  <c r="CT22" i="2" s="1"/>
  <c r="U29" i="2"/>
  <c r="CT20" i="2" s="1"/>
  <c r="T29" i="2"/>
  <c r="CT21" i="2" s="1"/>
  <c r="CT17" i="2"/>
  <c r="U21" i="2"/>
  <c r="CT16" i="2"/>
  <c r="T21" i="2"/>
  <c r="U20" i="2"/>
  <c r="T20" i="2"/>
  <c r="CT15" i="2" s="1"/>
  <c r="T13" i="2"/>
  <c r="CT13" i="2" s="1"/>
  <c r="U5" i="2"/>
  <c r="CT8" i="2" s="1"/>
  <c r="U13" i="2"/>
  <c r="CT12" i="2" s="1"/>
  <c r="U28" i="2"/>
  <c r="CT18" i="2" s="1"/>
  <c r="T28" i="2"/>
  <c r="CT19" i="2" s="1"/>
  <c r="U12" i="2"/>
  <c r="T12" i="2"/>
  <c r="T9" i="2"/>
  <c r="U8" i="2"/>
  <c r="T8" i="2"/>
  <c r="U6" i="2"/>
  <c r="U9" i="2"/>
  <c r="T5" i="2"/>
  <c r="CT6" i="2"/>
  <c r="T4" i="2"/>
  <c r="CT7" i="2" s="1"/>
  <c r="CT37" i="2" l="1"/>
  <c r="CT31" i="2"/>
  <c r="CT30" i="2"/>
  <c r="CT14" i="2"/>
  <c r="CT11" i="2"/>
  <c r="CT10" i="2"/>
  <c r="CT9" i="2"/>
  <c r="CU34" i="2" s="1"/>
  <c r="CU22" i="2"/>
  <c r="CU14" i="2" l="1"/>
  <c r="CU16" i="2"/>
  <c r="CU18" i="2"/>
  <c r="CU29" i="2"/>
  <c r="CU26" i="2"/>
  <c r="CU28" i="2"/>
  <c r="CU17" i="2"/>
  <c r="CU8" i="2"/>
  <c r="CU38" i="2"/>
  <c r="CU41" i="2"/>
  <c r="CU15" i="2"/>
  <c r="CU52" i="2"/>
  <c r="CU50" i="2"/>
  <c r="CU37" i="2"/>
  <c r="CU36" i="2"/>
  <c r="CU27" i="2"/>
  <c r="CU46" i="2"/>
  <c r="CU48" i="2"/>
  <c r="CU24" i="2"/>
  <c r="CU47" i="2"/>
  <c r="CU13" i="2"/>
  <c r="CU42" i="2"/>
  <c r="CU6" i="2"/>
  <c r="CU49" i="2"/>
  <c r="CU32" i="2"/>
  <c r="CU20" i="2"/>
  <c r="CU10" i="2"/>
  <c r="CU44" i="2"/>
  <c r="CU33" i="2"/>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W9" i="2"/>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L40" i="2" l="1"/>
  <c r="AU72" i="2" s="1"/>
  <c r="DL38" i="2"/>
  <c r="AU70" i="2" s="1"/>
  <c r="DL41" i="2"/>
  <c r="AU73" i="2" s="1"/>
  <c r="DL39" i="2"/>
  <c r="AU71" i="2" s="1"/>
  <c r="DL35" i="2"/>
  <c r="AU63" i="2" s="1"/>
  <c r="DL36" i="2"/>
  <c r="AU64" i="2" s="1"/>
  <c r="DL34" i="2"/>
  <c r="AU62" i="2" s="1"/>
  <c r="DL37" i="2"/>
  <c r="AU65" i="2" s="1"/>
  <c r="DL33" i="2"/>
  <c r="AU57" i="2" s="1"/>
  <c r="DL32" i="2"/>
  <c r="AU56" i="2" s="1"/>
  <c r="DL31" i="2"/>
  <c r="AU55" i="2" s="1"/>
  <c r="DL30" i="2"/>
  <c r="AU54" i="2" s="1"/>
  <c r="DL21" i="2"/>
  <c r="AU33" i="2" s="1"/>
  <c r="DL18" i="2"/>
  <c r="AU30" i="2" s="1"/>
  <c r="DL20" i="2"/>
  <c r="AU32" i="2" s="1"/>
  <c r="DL19" i="2"/>
  <c r="AU31" i="2" s="1"/>
  <c r="DL23" i="2"/>
  <c r="AU39" i="2" s="1"/>
  <c r="DL24" i="2"/>
  <c r="AU40" i="2" s="1"/>
  <c r="DL22" i="2"/>
  <c r="AU38" i="2" s="1"/>
  <c r="DL25" i="2"/>
  <c r="AU41" i="2" s="1"/>
  <c r="DL26" i="2"/>
  <c r="AU46" i="2" s="1"/>
  <c r="DL27" i="2"/>
  <c r="AU47" i="2" s="1"/>
  <c r="DL29" i="2"/>
  <c r="AU49" i="2" s="1"/>
  <c r="DL28" i="2"/>
  <c r="AU48" i="2" s="1"/>
  <c r="DL15" i="2"/>
  <c r="AU23" i="2" s="1"/>
  <c r="DL14" i="2"/>
  <c r="AU22" i="2" s="1"/>
  <c r="DL17" i="2"/>
  <c r="AU25" i="2" s="1"/>
  <c r="DL16" i="2"/>
  <c r="AU24" i="2" s="1"/>
  <c r="DL11" i="2"/>
  <c r="AU15" i="2" s="1"/>
  <c r="DL13" i="2"/>
  <c r="AU17" i="2" s="1"/>
  <c r="DL12" i="2"/>
  <c r="AU16" i="2" s="1"/>
  <c r="DL10" i="2"/>
  <c r="AU14" i="2" s="1"/>
  <c r="DF9" i="2"/>
  <c r="DL9" i="2"/>
  <c r="AU9" i="2" s="1"/>
  <c r="DL6" i="2"/>
  <c r="AU6" i="2" s="1"/>
  <c r="DL8" i="2"/>
  <c r="DL7" i="2"/>
  <c r="DF7" i="2"/>
  <c r="DF8" i="2"/>
  <c r="DF6" i="2"/>
  <c r="DN43" i="2" a="1"/>
  <c r="DN43" i="2" s="1"/>
  <c r="DM43" i="2"/>
  <c r="DN39" i="2" a="1"/>
  <c r="DN39" i="2" s="1"/>
  <c r="DM39" i="2"/>
  <c r="DN44" i="2" a="1"/>
  <c r="DN44" i="2" s="1"/>
  <c r="DM44" i="2"/>
  <c r="DM51" i="2"/>
  <c r="DN51" i="2" a="1"/>
  <c r="DN51" i="2" s="1"/>
  <c r="DM38" i="2"/>
  <c r="DN38" i="2" a="1"/>
  <c r="DN38" i="2" s="1"/>
  <c r="DN41" i="2" a="1"/>
  <c r="DN41" i="2" s="1"/>
  <c r="DM41" i="2"/>
  <c r="DN47" i="2" a="1"/>
  <c r="DN47" i="2" s="1"/>
  <c r="DM47" i="2"/>
  <c r="DM40" i="2"/>
  <c r="DN40" i="2" a="1"/>
  <c r="DN40" i="2" s="1"/>
  <c r="DM48" i="2"/>
  <c r="DN48" i="2" a="1"/>
  <c r="DN48" i="2" s="1"/>
  <c r="DM45" i="2"/>
  <c r="DN45" i="2" a="1"/>
  <c r="DN45" i="2" s="1"/>
  <c r="DM42" i="2"/>
  <c r="DN42" i="2" a="1"/>
  <c r="DN42" i="2" s="1"/>
  <c r="DM53" i="2"/>
  <c r="DN53" i="2" a="1"/>
  <c r="DN53" i="2" s="1"/>
  <c r="DM50" i="2"/>
  <c r="DN50" i="2" a="1"/>
  <c r="DN50" i="2" s="1"/>
  <c r="DM52" i="2"/>
  <c r="DN52" i="2" a="1"/>
  <c r="DN52" i="2" s="1"/>
  <c r="DN49" i="2" a="1"/>
  <c r="DN49" i="2" s="1"/>
  <c r="DM49" i="2"/>
  <c r="DN46" i="2" a="1"/>
  <c r="DN46" i="2" s="1"/>
  <c r="DM46" i="2"/>
  <c r="DM35" i="2" l="1"/>
  <c r="DN35" i="2" a="1"/>
  <c r="DN35" i="2" s="1"/>
  <c r="DN36" i="2" a="1"/>
  <c r="DN36" i="2" s="1"/>
  <c r="DM36" i="2"/>
  <c r="DM34" i="2"/>
  <c r="DN34" i="2" a="1"/>
  <c r="DN34" i="2" s="1"/>
  <c r="DM37" i="2"/>
  <c r="DN37" i="2" a="1"/>
  <c r="DN37" i="2" s="1"/>
  <c r="DN33" i="2" a="1"/>
  <c r="DN33" i="2" s="1"/>
  <c r="DM33" i="2"/>
  <c r="AU69" i="2"/>
  <c r="AV68" i="2" s="1"/>
  <c r="DN30" i="2" a="1"/>
  <c r="DN30" i="2" s="1"/>
  <c r="DM32" i="2"/>
  <c r="DN32" i="2" a="1"/>
  <c r="DN32" i="2" s="1"/>
  <c r="DM31" i="2"/>
  <c r="DM20" i="2"/>
  <c r="AU61" i="2"/>
  <c r="AV60" i="2" s="1"/>
  <c r="AU53" i="2"/>
  <c r="AV52" i="2" s="1"/>
  <c r="DN18" i="2" a="1"/>
  <c r="DN18" i="2" s="1"/>
  <c r="AU29" i="2"/>
  <c r="AV28" i="2" s="1"/>
  <c r="DM18" i="2"/>
  <c r="DN21" i="2" a="1"/>
  <c r="DN21" i="2" s="1"/>
  <c r="DM21" i="2"/>
  <c r="DN20" i="2" a="1"/>
  <c r="DN20" i="2" s="1"/>
  <c r="DN31" i="2" a="1"/>
  <c r="DN31" i="2" s="1"/>
  <c r="DM19" i="2"/>
  <c r="DM30" i="2"/>
  <c r="DN19" i="2" a="1"/>
  <c r="DN19" i="2" s="1"/>
  <c r="DM23" i="2"/>
  <c r="DN23" i="2" a="1"/>
  <c r="DN23" i="2" s="1"/>
  <c r="DM22" i="2"/>
  <c r="DN24" i="2" a="1"/>
  <c r="DN24" i="2" s="1"/>
  <c r="DM24" i="2"/>
  <c r="DN22" i="2" a="1"/>
  <c r="DN22" i="2" s="1"/>
  <c r="DN25" i="2" a="1"/>
  <c r="DN25" i="2" s="1"/>
  <c r="DM25" i="2"/>
  <c r="AU37" i="2"/>
  <c r="AV36" i="2" s="1"/>
  <c r="DN28" i="2" a="1"/>
  <c r="DN28" i="2" s="1"/>
  <c r="DM28" i="2"/>
  <c r="DN15" i="2" a="1"/>
  <c r="DN15" i="2" s="1"/>
  <c r="DM15" i="2"/>
  <c r="DN27" i="2" a="1"/>
  <c r="DN27" i="2" s="1"/>
  <c r="DM26" i="2"/>
  <c r="DM27" i="2"/>
  <c r="DN26" i="2" a="1"/>
  <c r="DN26" i="2" s="1"/>
  <c r="DM29" i="2"/>
  <c r="DN29" i="2" a="1"/>
  <c r="DN29" i="2" s="1"/>
  <c r="DN17" i="2" a="1"/>
  <c r="DN17" i="2" s="1"/>
  <c r="DN14" i="2" a="1"/>
  <c r="DN14" i="2" s="1"/>
  <c r="DM14" i="2"/>
  <c r="AU45" i="2"/>
  <c r="AV44" i="2" s="1"/>
  <c r="DM13" i="2"/>
  <c r="DM17" i="2"/>
  <c r="DN13" i="2" a="1"/>
  <c r="DN13" i="2" s="1"/>
  <c r="DM16" i="2"/>
  <c r="DN12" i="2" a="1"/>
  <c r="DN12" i="2" s="1"/>
  <c r="DN16" i="2" a="1"/>
  <c r="DN16" i="2" s="1"/>
  <c r="DM11" i="2"/>
  <c r="DN11" i="2" a="1"/>
  <c r="DN11" i="2" s="1"/>
  <c r="AU21" i="2"/>
  <c r="AV20" i="2" s="1"/>
  <c r="DM12" i="2"/>
  <c r="AU13" i="2"/>
  <c r="AV12" i="2" s="1"/>
  <c r="DF10" i="2" s="1"/>
  <c r="DM10" i="2"/>
  <c r="DN10" i="2" a="1"/>
  <c r="DN10" i="2" s="1"/>
  <c r="DM9" i="2"/>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F14" i="2" l="1"/>
  <c r="DF18" i="2"/>
  <c r="DF16" i="2"/>
  <c r="DF26" i="2"/>
  <c r="DF21" i="2"/>
  <c r="DF30" i="2"/>
  <c r="DF42" i="2"/>
  <c r="DF32" i="2"/>
  <c r="DF39" i="2"/>
  <c r="DF31" i="2"/>
  <c r="DF52" i="2"/>
  <c r="DF38" i="2"/>
  <c r="DF40" i="2"/>
  <c r="DF24" i="2"/>
  <c r="DF51" i="2"/>
  <c r="DF41" i="2"/>
  <c r="DF19" i="2"/>
  <c r="DF28" i="2"/>
  <c r="DF25" i="2"/>
  <c r="DF37" i="2"/>
  <c r="DF49" i="2"/>
  <c r="DF22" i="2"/>
  <c r="DF15" i="2"/>
  <c r="DF47" i="2"/>
  <c r="DF29" i="2"/>
  <c r="DF50" i="2"/>
  <c r="DF35" i="2"/>
  <c r="DF44" i="2"/>
  <c r="DF17" i="2"/>
  <c r="DF33" i="2"/>
  <c r="DF34" i="2"/>
  <c r="DF23" i="2"/>
  <c r="DF45" i="2"/>
  <c r="DF43" i="2"/>
  <c r="DF46" i="2"/>
  <c r="DF20" i="2"/>
  <c r="DF36" i="2"/>
  <c r="DF53" i="2"/>
  <c r="DF27" i="2"/>
  <c r="DF13" i="2"/>
  <c r="DF12" i="2"/>
  <c r="DF48" i="2"/>
  <c r="DF11" i="2"/>
  <c r="AU5" i="2"/>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L87" i="2"/>
  <c r="BJ66" i="2"/>
  <c r="BJ63" i="2"/>
  <c r="BJ62" i="2"/>
  <c r="AL17" i="2"/>
  <c r="AL73" i="2"/>
  <c r="BK67" i="2"/>
  <c r="AL79" i="2"/>
  <c r="BJ68" i="2"/>
  <c r="AL70" i="2"/>
  <c r="M105" i="2" s="1"/>
  <c r="AA106" i="2" s="1"/>
  <c r="AL71" i="2"/>
  <c r="N106" i="2" s="1"/>
  <c r="AF105" i="2" s="1"/>
  <c r="AL14" i="2"/>
  <c r="M113" i="2" s="1"/>
  <c r="AA113" i="2" s="1"/>
  <c r="BH65" i="2"/>
  <c r="AL25" i="2"/>
  <c r="BD61" i="2"/>
  <c r="AL30" i="2"/>
  <c r="M109" i="2" s="1"/>
  <c r="AA110" i="2" s="1"/>
  <c r="BJ67" i="2"/>
  <c r="BK59" i="2"/>
  <c r="BI64" i="2"/>
  <c r="BI60" i="2"/>
  <c r="AL22" i="2"/>
  <c r="M104" i="2" s="1"/>
  <c r="AA102" i="2" s="1"/>
  <c r="AL46" i="2"/>
  <c r="M103" i="2" s="1"/>
  <c r="AA104" i="2" s="1"/>
  <c r="BG67" i="2"/>
  <c r="BH59" i="2"/>
  <c r="BI67" i="2"/>
  <c r="AL64" i="2"/>
  <c r="BG68" i="2"/>
  <c r="AL95" i="2"/>
  <c r="BG65" i="2"/>
  <c r="BH69" i="2"/>
  <c r="AL23" i="2"/>
  <c r="N103" i="2" s="1"/>
  <c r="AF104" i="2" s="1"/>
  <c r="AL86" i="2"/>
  <c r="BK66" i="2"/>
  <c r="BI59" i="2"/>
  <c r="BJ65" i="2"/>
  <c r="BG64" i="2"/>
  <c r="BI61" i="2"/>
  <c r="BG63" i="2"/>
  <c r="AL16" i="2"/>
  <c r="BD59" i="2"/>
  <c r="AL24" i="2"/>
  <c r="BK63" i="2"/>
  <c r="BH62" i="2"/>
  <c r="AL15" i="2"/>
  <c r="N101" i="2" s="1"/>
  <c r="AF101" i="2" s="1"/>
  <c r="AL49" i="2"/>
  <c r="BG62" i="2"/>
  <c r="BG59" i="2"/>
  <c r="AL65" i="2"/>
  <c r="BD62" i="2"/>
  <c r="BH66" i="2"/>
  <c r="AL55" i="2"/>
  <c r="N116" i="2" s="1"/>
  <c r="AF114" i="2" s="1"/>
  <c r="AL41" i="2"/>
  <c r="BD65" i="2"/>
  <c r="AL40" i="2"/>
  <c r="AL96" i="2"/>
  <c r="AL62" i="2"/>
  <c r="M112" i="2" s="1"/>
  <c r="AA111" i="2" s="1"/>
  <c r="BI68" i="2"/>
  <c r="AL63" i="2"/>
  <c r="N114" i="2" s="1"/>
  <c r="AF115" i="2" s="1"/>
  <c r="BD60" i="2"/>
  <c r="BH67" i="2"/>
  <c r="BH63" i="2"/>
  <c r="AL48" i="2"/>
  <c r="AL88" i="2"/>
  <c r="AL56" i="2"/>
  <c r="AL47" i="2"/>
  <c r="N104" i="2" s="1"/>
  <c r="AF102" i="2" s="1"/>
  <c r="AL94" i="2"/>
  <c r="BK69" i="2"/>
  <c r="BD67" i="2"/>
  <c r="BI63" i="2"/>
  <c r="BD63" i="2"/>
  <c r="AL72" i="2"/>
  <c r="BK60" i="2"/>
  <c r="AL57" i="2"/>
  <c r="BG60" i="2"/>
  <c r="BH61" i="2"/>
  <c r="AL80" i="2"/>
  <c r="BK64" i="2"/>
  <c r="BK61" i="2"/>
  <c r="BH64" i="2"/>
  <c r="BD64" i="2"/>
  <c r="AL81" i="2"/>
  <c r="BJ60" i="2"/>
  <c r="AL32" i="2"/>
  <c r="BK68" i="2"/>
  <c r="BJ61" i="2"/>
  <c r="AL78" i="2"/>
  <c r="AL54" i="2"/>
  <c r="M110" i="2" s="1"/>
  <c r="AA109" i="2" s="1"/>
  <c r="BD66" i="2"/>
  <c r="AL33" i="2"/>
  <c r="BH68" i="2"/>
  <c r="AL38" i="2"/>
  <c r="M102" i="2" s="1"/>
  <c r="AA103" i="2" s="1"/>
  <c r="BK65" i="2"/>
  <c r="BI69" i="2"/>
  <c r="BG61" i="2"/>
  <c r="BI65" i="2"/>
  <c r="BK62" i="2"/>
  <c r="AL97" i="2"/>
  <c r="BG69" i="2"/>
  <c r="BI62" i="2"/>
  <c r="BJ64" i="2"/>
  <c r="AL31" i="2"/>
  <c r="M116" i="2" s="1"/>
  <c r="AA114" i="2" s="1"/>
  <c r="BD68" i="2"/>
  <c r="BH60" i="2"/>
  <c r="BJ59" i="2"/>
  <c r="BG66" i="2"/>
  <c r="BI66" i="2"/>
  <c r="AL89" i="2"/>
  <c r="AL39" i="2"/>
  <c r="M106" i="2" s="1"/>
  <c r="AA105" i="2" s="1"/>
  <c r="BJ69" i="2"/>
  <c r="BD69" i="2"/>
  <c r="C135" i="3" l="1"/>
  <c r="AA6" i="4"/>
  <c r="B169" i="3"/>
  <c r="C169" i="3"/>
  <c r="C150" i="3"/>
  <c r="AA31" i="4"/>
  <c r="C178" i="3"/>
  <c r="B178" i="3"/>
  <c r="C160" i="3"/>
  <c r="AA40" i="4"/>
  <c r="C174" i="3"/>
  <c r="AA18" i="4"/>
  <c r="C140" i="3"/>
  <c r="B174" i="3"/>
  <c r="C138" i="3"/>
  <c r="AA24" i="4"/>
  <c r="B172" i="3"/>
  <c r="C172" i="3"/>
  <c r="C159" i="3"/>
  <c r="AA43" i="4"/>
  <c r="B177" i="3"/>
  <c r="C177" i="3"/>
  <c r="C143" i="3"/>
  <c r="AA42" i="4"/>
  <c r="AA21" i="4"/>
  <c r="C139" i="3"/>
  <c r="B173" i="3"/>
  <c r="C173" i="3"/>
  <c r="B168" i="3"/>
  <c r="AA30" i="4"/>
  <c r="C134" i="3"/>
  <c r="C168" i="3"/>
  <c r="C132" i="3"/>
  <c r="AA3" i="4"/>
  <c r="C166" i="3"/>
  <c r="B166" i="3"/>
  <c r="AA12" i="4"/>
  <c r="C133" i="3"/>
  <c r="C147" i="3"/>
  <c r="AA28" i="4"/>
  <c r="C165" i="3"/>
  <c r="B165" i="3"/>
  <c r="C131" i="3"/>
  <c r="AA27" i="4"/>
  <c r="C167" i="3"/>
  <c r="B167" i="3"/>
  <c r="C149" i="3"/>
  <c r="AA13" i="4"/>
  <c r="C142" i="3"/>
  <c r="AA45" i="4"/>
  <c r="B176" i="3"/>
  <c r="C176" i="3"/>
  <c r="C146" i="3"/>
  <c r="AA10" i="4"/>
  <c r="AT6" i="2"/>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B497" i="6" l="1"/>
  <c r="BG122" i="2" s="1"/>
  <c r="AZ108" i="2" s="1"/>
  <c r="BG121" i="2"/>
  <c r="AZ107" i="2" s="1"/>
  <c r="BG124" i="2"/>
  <c r="AZ110" i="2" s="1"/>
  <c r="BG119" i="2"/>
  <c r="AZ105" i="2" s="1"/>
  <c r="BG117" i="2"/>
  <c r="AZ103" i="2" s="1"/>
  <c r="BG120" i="2"/>
  <c r="AZ106" i="2" s="1"/>
  <c r="BG123" i="2"/>
  <c r="AZ109" i="2" s="1"/>
  <c r="BG118" i="2"/>
  <c r="AZ104"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<sst xmlns="http://schemas.openxmlformats.org/spreadsheetml/2006/main" count="6754" uniqueCount="1516">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</sst>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5"/>
  <sheetViews>
    <sheetView showGridLines="0" showRowColHeaders="0" tabSelected="1" zoomScaleNormal="100" workbookViewId="0">
      <selection activeCell="AG69" sqref="AG69"/>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3</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3</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2</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3</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0</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2</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56" spans="1:31" x14ac:dyDescent="0.2">
      <c r="AC56" s="292">
        <v>1</v>
      </c>
      <c r="AD56" s="292">
        <v>1</v>
      </c>
    </row>
    <row r="57" spans="1:31" x14ac:dyDescent="0.2">
      <c r="AC57" s="292">
        <v>1</v>
      </c>
      <c r="AD57" s="292">
        <v>5</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4" spans="1:31" x14ac:dyDescent="0.2">
      <c r="AC64" s="292">
        <v>0</v>
      </c>
      <c r="AD64" s="292">
        <v>0</v>
      </c>
    </row>
    <row r="65" spans="29:30" x14ac:dyDescent="0.2">
      <c r="AC65" s="292">
        <v>0</v>
      </c>
      <c r="AD65" s="292">
        <v>1</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2" spans="29:30" x14ac:dyDescent="0.2">
      <c r="AC72" s="292">
        <v>1</v>
      </c>
      <c r="AD72" s="292">
        <v>4</v>
      </c>
    </row>
    <row r="73" spans="29:30" x14ac:dyDescent="0.2">
      <c r="AC73" s="292">
        <v>5</v>
      </c>
      <c r="AD73" s="292">
        <v>0</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4" spans="29:30" x14ac:dyDescent="0.2">
      <c r="AC84" s="292">
        <v>1</v>
      </c>
      <c r="AD84" s="292">
        <v>1</v>
      </c>
    </row>
    <row r="85" spans="29:30" x14ac:dyDescent="0.2">
      <c r="AC85" s="292">
        <v>1</v>
      </c>
      <c r="AD85" s="292">
        <v>3</v>
      </c>
    </row>
    <row r="86" spans="29:30" x14ac:dyDescent="0.2">
      <c r="AC86" s="292">
        <v>5</v>
      </c>
      <c r="AD86" s="292">
        <v>0</v>
      </c>
    </row>
    <row r="87" spans="29:30" x14ac:dyDescent="0.2">
      <c r="AC87" s="292">
        <v>1</v>
      </c>
      <c r="AD87" s="292">
        <v>0</v>
      </c>
    </row>
    <row r="92" spans="29:30" x14ac:dyDescent="0.2">
      <c r="AC92" s="292">
        <v>4</v>
      </c>
      <c r="AD92" s="292">
        <v>2</v>
      </c>
    </row>
    <row r="93" spans="29:30" x14ac:dyDescent="0.2">
      <c r="AC93" s="292">
        <v>1</v>
      </c>
      <c r="AD93" s="292">
        <v>0</v>
      </c>
    </row>
    <row r="94" spans="29:30" x14ac:dyDescent="0.2">
      <c r="AC94" s="292">
        <v>0</v>
      </c>
      <c r="AD94" s="292">
        <v>0</v>
      </c>
    </row>
    <row r="95" spans="29:30" x14ac:dyDescent="0.2">
      <c r="AC95" s="292">
        <v>0</v>
      </c>
      <c r="AD95"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37" zoomScaleNormal="100" workbookViewId="0">
      <selection activeCell="AG69" sqref="AG69"/>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19"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28"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5"/>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5"/>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6</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5"/>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2</v>
      </c>
      <c r="BK7" s="16">
        <f t="shared" ca="1" si="22"/>
        <v>3</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5"/>
      <c r="X8" s="24">
        <f ca="1">Horarios!C8</f>
        <v>46197.875</v>
      </c>
      <c r="Y8" s="25">
        <f ca="1">Horarios!C8</f>
        <v>46197.875</v>
      </c>
      <c r="Z8" s="26" t="str">
        <f>Idiomas!D63</f>
        <v>J3</v>
      </c>
      <c r="AA8" s="27" t="str">
        <f ca="1">A8</f>
        <v>República Checa</v>
      </c>
      <c r="AB8" s="49" t="str">
        <f t="array" aca="1" ref="AB8" ca="1">Ver_flag_local</f>
        <v/>
      </c>
      <c r="AC8" s="50">
        <v>0</v>
      </c>
      <c r="AD8" s="51">
        <v>3</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6"/>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2</v>
      </c>
      <c r="BK9" s="16">
        <f t="shared" ca="1" si="22"/>
        <v>6</v>
      </c>
      <c r="BL9" s="16">
        <f t="shared" ca="1" si="23"/>
        <v>-4</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8</v>
      </c>
      <c r="BK10" s="16">
        <f t="shared" ca="1" si="22"/>
        <v>3</v>
      </c>
      <c r="BL10" s="16">
        <f t="shared" ca="1" si="23"/>
        <v>5</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1</v>
      </c>
      <c r="CB10" s="16">
        <f t="shared" ca="1" si="33"/>
        <v>1</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1</v>
      </c>
      <c r="CP10" s="16">
        <f t="shared" ca="1" si="41"/>
        <v>1</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5</v>
      </c>
      <c r="BK11" s="16">
        <f t="shared" ca="1" si="22"/>
        <v>6</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1</v>
      </c>
      <c r="CB11" s="16">
        <f t="shared" ca="1" si="33"/>
        <v>1</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1</v>
      </c>
      <c r="CP11" s="16">
        <f t="shared" ca="1" si="41"/>
        <v>1</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37"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10</v>
      </c>
      <c r="BL12" s="16">
        <f t="shared" ca="1" si="23"/>
        <v>-8</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5"/>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5"/>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5"/>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8</v>
      </c>
      <c r="AS15" s="39">
        <f t="shared" ca="1" si="67"/>
        <v>3</v>
      </c>
      <c r="AT15" s="74">
        <f t="shared" ca="1" si="67"/>
        <v>5</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5"/>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5</v>
      </c>
      <c r="AS16" s="39">
        <f t="shared" ca="1" si="67"/>
        <v>6</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6"/>
      <c r="X17" s="28">
        <f ca="1">Horarios!C17</f>
        <v>46197.625</v>
      </c>
      <c r="Y17" s="29">
        <f ca="1">Horarios!C17</f>
        <v>46197.625</v>
      </c>
      <c r="Z17" s="30" t="str">
        <f>$Z$8</f>
        <v>J3</v>
      </c>
      <c r="AA17" s="31" t="str">
        <f ca="1">A14</f>
        <v>Bosnia y Herzegovina</v>
      </c>
      <c r="AB17" s="52" t="str">
        <f t="array" aca="1" ref="AB17" ca="1">Ver_flag_local</f>
        <v/>
      </c>
      <c r="AC17" s="53">
        <v>3</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10</v>
      </c>
      <c r="AT17" s="79">
        <f t="shared" ca="1" si="67"/>
        <v>-8</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8</v>
      </c>
      <c r="BK18" s="16">
        <f t="shared" ca="1" si="22"/>
        <v>4</v>
      </c>
      <c r="BL18" s="16">
        <f t="shared" ca="1" si="23"/>
        <v>4</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6"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4</v>
      </c>
      <c r="BF20" s="16">
        <f t="shared" ca="1" si="17"/>
        <v>3</v>
      </c>
      <c r="BG20" s="16">
        <f t="shared" ca="1" si="18"/>
        <v>1</v>
      </c>
      <c r="BH20" s="16">
        <f t="shared" ca="1" si="19"/>
        <v>1</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1</v>
      </c>
      <c r="BW20" s="16">
        <f t="shared" ca="1" si="30"/>
        <v>0</v>
      </c>
      <c r="BX20" s="16">
        <f t="shared" ca="1" si="31"/>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1</v>
      </c>
      <c r="CK20" s="16">
        <f t="shared" ca="1" si="38"/>
        <v>0</v>
      </c>
      <c r="CL20" s="16">
        <f t="shared" ca="1" si="39"/>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5"/>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1</v>
      </c>
      <c r="BH21" s="16">
        <f t="shared" ca="1" si="19"/>
        <v>0</v>
      </c>
      <c r="BI21" s="16">
        <f t="shared" ca="1" si="20"/>
        <v>2</v>
      </c>
      <c r="BJ21" s="16">
        <f t="shared" ca="1" si="21"/>
        <v>3</v>
      </c>
      <c r="BK21" s="16">
        <f t="shared" ca="1" si="22"/>
        <v>5</v>
      </c>
      <c r="BL21" s="16">
        <f t="shared" ca="1" si="23"/>
        <v>-2</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5"/>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3</v>
      </c>
      <c r="BG22" s="16">
        <f t="shared" ca="1" si="18"/>
        <v>2</v>
      </c>
      <c r="BH22" s="16">
        <f t="shared" ca="1" si="19"/>
        <v>0</v>
      </c>
      <c r="BI22" s="16">
        <f t="shared" ca="1" si="20"/>
        <v>1</v>
      </c>
      <c r="BJ22" s="16">
        <f t="shared" ca="1" si="21"/>
        <v>10</v>
      </c>
      <c r="BK22" s="16">
        <f t="shared" ca="1" si="22"/>
        <v>4</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1</v>
      </c>
      <c r="BV22" s="16">
        <f t="shared" ca="1" si="29"/>
        <v>0</v>
      </c>
      <c r="BW22" s="16">
        <f t="shared" ca="1" si="30"/>
        <v>0</v>
      </c>
      <c r="BX22" s="16">
        <f t="shared" ca="1" si="31"/>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5"/>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3</v>
      </c>
      <c r="BG23" s="16">
        <f t="shared" ca="1" si="18"/>
        <v>0</v>
      </c>
      <c r="BH23" s="16">
        <f t="shared" ca="1" si="19"/>
        <v>1</v>
      </c>
      <c r="BI23" s="16">
        <f t="shared" ca="1" si="20"/>
        <v>2</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5"/>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6</v>
      </c>
      <c r="BF24" s="16">
        <f t="shared" ca="1" si="17"/>
        <v>3</v>
      </c>
      <c r="BG24" s="16">
        <f t="shared" ca="1" si="18"/>
        <v>2</v>
      </c>
      <c r="BH24" s="16">
        <f t="shared" ca="1" si="19"/>
        <v>0</v>
      </c>
      <c r="BI24" s="16">
        <f t="shared" ca="1" si="20"/>
        <v>1</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1</v>
      </c>
      <c r="BX24" s="16">
        <f t="shared" ca="1" si="31"/>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6"/>
      <c r="X25" s="28">
        <f ca="1">Horarios!C25</f>
        <v>46197.75</v>
      </c>
      <c r="Y25" s="29">
        <f ca="1">Horarios!C25</f>
        <v>46197.75</v>
      </c>
      <c r="Z25" s="30" t="str">
        <f>$Z$8</f>
        <v>J3</v>
      </c>
      <c r="AA25" s="31" t="str">
        <f ca="1">A22</f>
        <v>Marruecos</v>
      </c>
      <c r="AB25" s="52" t="str">
        <f t="array" aca="1" ref="AB25" ca="1">Ver_flag_local</f>
        <v/>
      </c>
      <c r="AC25" s="53">
        <v>4</v>
      </c>
      <c r="AD25" s="54">
        <v>2</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2</v>
      </c>
      <c r="BK25" s="16">
        <f t="shared" ca="1" si="22"/>
        <v>2</v>
      </c>
      <c r="BL25" s="16">
        <f t="shared" ca="1" si="23"/>
        <v>0</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10</v>
      </c>
      <c r="BK26" s="16">
        <f t="shared" ca="1" si="22"/>
        <v>4</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5</v>
      </c>
      <c r="BF27" s="16">
        <f t="shared" ca="1" si="17"/>
        <v>3</v>
      </c>
      <c r="BG27" s="16">
        <f t="shared" ca="1" si="18"/>
        <v>1</v>
      </c>
      <c r="BH27" s="16">
        <f t="shared" ca="1" si="19"/>
        <v>2</v>
      </c>
      <c r="BI27" s="16">
        <f t="shared" ca="1" si="20"/>
        <v>0</v>
      </c>
      <c r="BJ27" s="16">
        <f t="shared" ca="1" si="21"/>
        <v>7</v>
      </c>
      <c r="BK27" s="16">
        <f t="shared" ca="1" si="22"/>
        <v>3</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27"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7</v>
      </c>
      <c r="BK28" s="16">
        <f t="shared" ca="1" si="22"/>
        <v>7</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5"/>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12</v>
      </c>
      <c r="BL29" s="16">
        <f t="shared" ca="1" si="23"/>
        <v>-10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5"/>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3</v>
      </c>
      <c r="AO30" s="36">
        <f t="shared" ca="1" si="99"/>
        <v>2</v>
      </c>
      <c r="AP30" s="36">
        <f t="shared" ca="1" si="99"/>
        <v>0</v>
      </c>
      <c r="AQ30" s="36">
        <f t="shared" ca="1" si="99"/>
        <v>1</v>
      </c>
      <c r="AR30" s="36">
        <f t="shared" ca="1" si="99"/>
        <v>8</v>
      </c>
      <c r="AS30" s="36">
        <f t="shared" ca="1" si="99"/>
        <v>4</v>
      </c>
      <c r="AT30" s="41">
        <f t="shared" ca="1" si="99"/>
        <v>4</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5</v>
      </c>
      <c r="BF30" s="16">
        <f t="shared" ca="1" si="17"/>
        <v>3</v>
      </c>
      <c r="BG30" s="16">
        <f t="shared" ca="1" si="18"/>
        <v>1</v>
      </c>
      <c r="BH30" s="16">
        <f t="shared" ca="1" si="19"/>
        <v>2</v>
      </c>
      <c r="BI30" s="16">
        <f t="shared" ca="1" si="20"/>
        <v>0</v>
      </c>
      <c r="BJ30" s="16">
        <f t="shared" ca="1" si="21"/>
        <v>6</v>
      </c>
      <c r="BK30" s="16">
        <f t="shared" ca="1" si="22"/>
        <v>2</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5"/>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4</v>
      </c>
      <c r="AN31" s="39">
        <f t="shared" ca="1" si="99"/>
        <v>3</v>
      </c>
      <c r="AO31" s="39">
        <f t="shared" ca="1" si="99"/>
        <v>1</v>
      </c>
      <c r="AP31" s="39">
        <f t="shared" ca="1" si="99"/>
        <v>1</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5</v>
      </c>
      <c r="BF31" s="16">
        <f t="shared" ca="1" si="17"/>
        <v>3</v>
      </c>
      <c r="BG31" s="16">
        <f t="shared" ca="1" si="18"/>
        <v>1</v>
      </c>
      <c r="BH31" s="16">
        <f t="shared" ca="1" si="19"/>
        <v>2</v>
      </c>
      <c r="BI31" s="16">
        <f t="shared" ca="1" si="20"/>
        <v>0</v>
      </c>
      <c r="BJ31" s="16">
        <f t="shared" ca="1" si="21"/>
        <v>5</v>
      </c>
      <c r="BK31" s="16">
        <f t="shared" ca="1" si="22"/>
        <v>3</v>
      </c>
      <c r="BL31" s="16">
        <f t="shared" ca="1" si="23"/>
        <v>2</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5"/>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0</v>
      </c>
      <c r="BH32" s="16">
        <f t="shared" ca="1" si="19"/>
        <v>3</v>
      </c>
      <c r="BI32" s="16">
        <f t="shared" ca="1" si="20"/>
        <v>0</v>
      </c>
      <c r="BJ32" s="16">
        <f t="shared" ca="1" si="21"/>
        <v>3</v>
      </c>
      <c r="BK32" s="16">
        <f t="shared" ca="1" si="22"/>
        <v>3</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Empate</v>
      </c>
      <c r="E33" s="16" t="str">
        <f t="shared" ca="1" si="85"/>
        <v>P.2 (2)</v>
      </c>
      <c r="F33" s="16" t="str">
        <f t="shared" ca="1" si="86"/>
        <v>P.2 (2)</v>
      </c>
      <c r="G33" s="16"/>
      <c r="H33" s="16" t="str">
        <f t="shared" ca="1" si="87"/>
        <v>P.2 (2)</v>
      </c>
      <c r="I33" s="16" t="str">
        <f t="shared" ca="1" si="88"/>
        <v>P.2 (2)</v>
      </c>
      <c r="J33" s="16"/>
      <c r="K33" s="16" t="str">
        <f t="shared" ca="1" si="89"/>
        <v>P.2 (2)</v>
      </c>
      <c r="L33" s="16" t="str">
        <f t="shared" ca="1" si="90"/>
        <v>P.2 (2)</v>
      </c>
      <c r="M33" s="16"/>
      <c r="N33" s="16" t="str">
        <f t="shared" ca="1" si="91"/>
        <v>P.2 (2)</v>
      </c>
      <c r="O33" s="16" t="str">
        <f t="shared" ca="1" si="92"/>
        <v>P.2 (2)</v>
      </c>
      <c r="P33" s="16"/>
      <c r="Q33" s="16" t="str">
        <f t="shared" ca="1" si="93"/>
        <v>P.2 (2)</v>
      </c>
      <c r="R33" s="16" t="str">
        <f t="shared" ca="1" si="94"/>
        <v>P.2 (2)</v>
      </c>
      <c r="S33" s="16"/>
      <c r="T33" s="16" t="str">
        <f t="shared" ca="1" si="95"/>
        <v>P.2 (2)</v>
      </c>
      <c r="U33" s="16" t="str">
        <f t="shared" ca="1" si="96"/>
        <v>P.2 (2)</v>
      </c>
      <c r="V33" s="17"/>
      <c r="W33" s="626"/>
      <c r="X33" s="28">
        <f ca="1">Horarios!C33</f>
        <v>46198.916666666657</v>
      </c>
      <c r="Y33" s="29">
        <f ca="1">Horarios!C33</f>
        <v>46198.916666666657</v>
      </c>
      <c r="Z33" s="30" t="str">
        <f>$Z$8</f>
        <v>J3</v>
      </c>
      <c r="AA33" s="31" t="str">
        <f ca="1">A30</f>
        <v>Paraguay</v>
      </c>
      <c r="AB33" s="52" t="str">
        <f t="array" aca="1" ref="AB33" ca="1">Ver_flag_local</f>
        <v/>
      </c>
      <c r="AC33" s="53">
        <v>0</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Turquía</v>
      </c>
      <c r="AM33" s="46">
        <f t="shared" ca="1" si="99"/>
        <v>3</v>
      </c>
      <c r="AN33" s="47">
        <f t="shared" ca="1" si="99"/>
        <v>3</v>
      </c>
      <c r="AO33" s="47">
        <f t="shared" ca="1" si="99"/>
        <v>1</v>
      </c>
      <c r="AP33" s="47">
        <f t="shared" ca="1" si="99"/>
        <v>0</v>
      </c>
      <c r="AQ33" s="47">
        <f t="shared" ca="1" si="99"/>
        <v>2</v>
      </c>
      <c r="AR33" s="47">
        <f t="shared" ca="1" si="99"/>
        <v>3</v>
      </c>
      <c r="AS33" s="47">
        <f t="shared" ca="1" si="99"/>
        <v>5</v>
      </c>
      <c r="AT33" s="48">
        <f t="shared" ca="1" si="99"/>
        <v>-2</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4</v>
      </c>
      <c r="BK33" s="16">
        <f t="shared" ca="1" si="22"/>
        <v>10</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5</v>
      </c>
      <c r="BK34" s="16">
        <f t="shared" ca="1" si="22"/>
        <v>0</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3</v>
      </c>
      <c r="BF35" s="16">
        <f t="shared" ca="1" si="17"/>
        <v>3</v>
      </c>
      <c r="BG35" s="16">
        <f t="shared" ca="1" si="18"/>
        <v>0</v>
      </c>
      <c r="BH35" s="16">
        <f t="shared" ca="1" si="19"/>
        <v>3</v>
      </c>
      <c r="BI35" s="16">
        <f t="shared" ca="1" si="20"/>
        <v>0</v>
      </c>
      <c r="BJ35" s="16">
        <f t="shared" ca="1" si="21"/>
        <v>2</v>
      </c>
      <c r="BK35" s="16">
        <f t="shared" ca="1" si="22"/>
        <v>2</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46"/>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1"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2</v>
      </c>
      <c r="BF36" s="16">
        <f t="shared" ca="1" si="17"/>
        <v>3</v>
      </c>
      <c r="BG36" s="16">
        <f t="shared" ca="1" si="18"/>
        <v>0</v>
      </c>
      <c r="BH36" s="16">
        <f t="shared" ca="1" si="19"/>
        <v>2</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Uruguay</v>
      </c>
    </row>
    <row r="37" spans="1:121" ht="16" customHeight="1" x14ac:dyDescent="0.2">
      <c r="A37" s="16" t="str">
        <f ca="1">+Equipos!B18</f>
        <v>Alemania</v>
      </c>
      <c r="B37" s="16"/>
      <c r="C37" s="16"/>
      <c r="D37" s="16" t="str">
        <f t="shared" si="100"/>
        <v>Local</v>
      </c>
      <c r="E37" s="16" t="str">
        <f t="shared" ca="1" si="101"/>
        <v>P.1 (2)</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5"/>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3</v>
      </c>
      <c r="BG37" s="16">
        <f t="shared" ca="1" si="18"/>
        <v>0</v>
      </c>
      <c r="BH37" s="16">
        <f t="shared" ca="1" si="19"/>
        <v>2</v>
      </c>
      <c r="BI37" s="16">
        <f t="shared" ca="1" si="20"/>
        <v>1</v>
      </c>
      <c r="BJ37" s="16">
        <f t="shared" ca="1" si="21"/>
        <v>3</v>
      </c>
      <c r="BK37" s="16">
        <f t="shared" ca="1" si="22"/>
        <v>4</v>
      </c>
      <c r="BL37" s="16">
        <f t="shared" ca="1" si="23"/>
        <v>-1</v>
      </c>
      <c r="BM37" s="16" t="str">
        <f t="shared" ca="1" si="24"/>
        <v>3H</v>
      </c>
      <c r="BN37" s="16" t="str">
        <f t="shared" ca="1" si="25"/>
        <v>3H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8"/>
        <v>0</v>
      </c>
      <c r="BV37" s="16">
        <f t="shared" ca="1" si="29"/>
        <v>1</v>
      </c>
      <c r="BW37" s="16">
        <f t="shared" ca="1" si="30"/>
        <v>0</v>
      </c>
      <c r="BX37" s="16">
        <f t="shared" ca="1" si="31"/>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32"/>
        <v>1</v>
      </c>
      <c r="CB37" s="16">
        <f t="shared" ca="1" si="33"/>
        <v>1</v>
      </c>
      <c r="CC37" s="16">
        <f t="shared" ca="1" si="34"/>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35"/>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6"/>
        <v>0</v>
      </c>
      <c r="CJ37" s="16">
        <f t="shared" ca="1" si="37"/>
        <v>1</v>
      </c>
      <c r="CK37" s="16">
        <f t="shared" ca="1" si="38"/>
        <v>0</v>
      </c>
      <c r="CL37" s="16">
        <f t="shared" ca="1" si="39"/>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40"/>
        <v>1</v>
      </c>
      <c r="CP37" s="16">
        <f t="shared" ca="1" si="41"/>
        <v>1</v>
      </c>
      <c r="CQ37" s="16">
        <f t="shared" ca="1" si="42"/>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43"/>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44"/>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46"/>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P.1 (2)</v>
      </c>
      <c r="F38" s="16" t="str">
        <f t="shared" ca="1" si="102"/>
        <v>P.1 (2)</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5"/>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3</v>
      </c>
      <c r="AO38" s="36">
        <f t="shared" ca="1" si="115"/>
        <v>2</v>
      </c>
      <c r="AP38" s="36">
        <f t="shared" ca="1" si="115"/>
        <v>0</v>
      </c>
      <c r="AQ38" s="36">
        <f t="shared" ca="1" si="115"/>
        <v>1</v>
      </c>
      <c r="AR38" s="36">
        <f t="shared" ca="1" si="115"/>
        <v>10</v>
      </c>
      <c r="AS38" s="36">
        <f t="shared" ca="1" si="115"/>
        <v>4</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10</v>
      </c>
      <c r="BK38" s="16">
        <f t="shared" ca="1" si="22"/>
        <v>2</v>
      </c>
      <c r="BL38" s="16">
        <f t="shared" ca="1" si="23"/>
        <v>8</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5"/>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6</v>
      </c>
      <c r="AN39" s="39">
        <f t="shared" ca="1" si="115"/>
        <v>3</v>
      </c>
      <c r="AO39" s="39">
        <f t="shared" ca="1" si="115"/>
        <v>2</v>
      </c>
      <c r="AP39" s="39">
        <f t="shared" ca="1" si="115"/>
        <v>0</v>
      </c>
      <c r="AQ39" s="39">
        <f t="shared" ca="1" si="115"/>
        <v>1</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8</v>
      </c>
      <c r="BK39" s="16">
        <f t="shared" ca="1" si="22"/>
        <v>6</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P.1 (2)</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5"/>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2</v>
      </c>
      <c r="AS40" s="39">
        <f t="shared" ca="1" si="115"/>
        <v>2</v>
      </c>
      <c r="AT40" s="43">
        <f t="shared" ca="1" si="115"/>
        <v>0</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12</v>
      </c>
      <c r="BL40" s="16">
        <f t="shared" ca="1" si="23"/>
        <v>-11</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Local</v>
      </c>
      <c r="E41" s="16" t="str">
        <f t="shared" ca="1" si="101"/>
        <v>-</v>
      </c>
      <c r="F41" s="16" t="str">
        <f t="shared" ca="1" si="102"/>
        <v>P.1 (2)</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6"/>
      <c r="X41" s="28">
        <f ca="1">Horarios!C41</f>
        <v>46198.666666666657</v>
      </c>
      <c r="Y41" s="29">
        <f ca="1">Horarios!C41</f>
        <v>46198.666666666657</v>
      </c>
      <c r="Z41" s="30" t="str">
        <f>$Z$8</f>
        <v>J3</v>
      </c>
      <c r="AA41" s="31" t="str">
        <f ca="1">A40</f>
        <v>Ecuador</v>
      </c>
      <c r="AB41" s="52" t="str">
        <f t="array" aca="1" ref="AB41" ca="1">Ver_flag_local</f>
        <v/>
      </c>
      <c r="AC41" s="53">
        <v>2</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3</v>
      </c>
      <c r="AO41" s="47">
        <f t="shared" ca="1" si="115"/>
        <v>0</v>
      </c>
      <c r="AP41" s="47">
        <f t="shared" ca="1" si="115"/>
        <v>1</v>
      </c>
      <c r="AQ41" s="47">
        <f t="shared" ca="1" si="115"/>
        <v>2</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8</v>
      </c>
      <c r="BK41" s="16">
        <f t="shared" ca="1" si="22"/>
        <v>7</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6</v>
      </c>
      <c r="BF42" s="16">
        <f t="shared" ca="1" si="17"/>
        <v>2</v>
      </c>
      <c r="BG42" s="16">
        <f t="shared" ca="1" si="18"/>
        <v>2</v>
      </c>
      <c r="BH42" s="16">
        <f t="shared" ca="1" si="19"/>
        <v>0</v>
      </c>
      <c r="BI42" s="16">
        <f t="shared" ca="1" si="20"/>
        <v>0</v>
      </c>
      <c r="BJ42" s="16">
        <f t="shared" ca="1" si="21"/>
        <v>5</v>
      </c>
      <c r="BK42" s="16">
        <f t="shared" ca="1" si="22"/>
        <v>0</v>
      </c>
      <c r="BL42" s="16">
        <f t="shared" ca="1" si="23"/>
        <v>5</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6</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8</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3</v>
      </c>
      <c r="BF43" s="16">
        <f t="shared" ca="1" si="17"/>
        <v>2</v>
      </c>
      <c r="BG43" s="16">
        <f t="shared" ca="1" si="18"/>
        <v>1</v>
      </c>
      <c r="BH43" s="16">
        <f t="shared" ca="1" si="19"/>
        <v>0</v>
      </c>
      <c r="BI43" s="16">
        <f t="shared" ca="1" si="20"/>
        <v>1</v>
      </c>
      <c r="BJ43" s="16">
        <f t="shared" ca="1" si="21"/>
        <v>2</v>
      </c>
      <c r="BK43" s="16">
        <f t="shared" ca="1" si="22"/>
        <v>4</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3</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0</v>
      </c>
      <c r="BW43" s="16">
        <f t="shared" ca="1" si="30"/>
        <v>0</v>
      </c>
      <c r="BX43" s="16">
        <f t="shared" ca="1" si="31"/>
        <v>0</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0</v>
      </c>
      <c r="CB43" s="16">
        <f t="shared" ca="1" si="33"/>
        <v>0</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0</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0</v>
      </c>
      <c r="CK43" s="16">
        <f t="shared" ca="1" si="38"/>
        <v>0</v>
      </c>
      <c r="CL43" s="16">
        <f t="shared" ca="1" si="39"/>
        <v>0</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0</v>
      </c>
      <c r="CP43" s="16">
        <f t="shared" ca="1" si="41"/>
        <v>0</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0</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8</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4"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2</v>
      </c>
      <c r="BG44" s="16">
        <f t="shared" ca="1" si="18"/>
        <v>1</v>
      </c>
      <c r="BH44" s="16">
        <f t="shared" ca="1" si="19"/>
        <v>0</v>
      </c>
      <c r="BI44" s="16">
        <f t="shared" ca="1" si="20"/>
        <v>1</v>
      </c>
      <c r="BJ44" s="16">
        <f t="shared" ca="1" si="21"/>
        <v>3</v>
      </c>
      <c r="BK44" s="16">
        <f t="shared" ca="1" si="22"/>
        <v>3</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0</v>
      </c>
      <c r="BW44" s="16">
        <f t="shared" ca="1" si="30"/>
        <v>0</v>
      </c>
      <c r="BX44" s="16">
        <f t="shared" ca="1" si="31"/>
        <v>0</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0</v>
      </c>
      <c r="CB44" s="16">
        <f t="shared" ca="1" si="33"/>
        <v>0</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0</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0</v>
      </c>
      <c r="CK44" s="16">
        <f t="shared" ca="1" si="38"/>
        <v>0</v>
      </c>
      <c r="CL44" s="16">
        <f t="shared" ca="1" si="39"/>
        <v>0</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0</v>
      </c>
      <c r="CP44" s="16">
        <f t="shared" ca="1" si="41"/>
        <v>0</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0</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8</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5"/>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2</v>
      </c>
      <c r="BG45" s="16">
        <f t="shared" ca="1" si="18"/>
        <v>0</v>
      </c>
      <c r="BH45" s="16">
        <f t="shared" ca="1" si="19"/>
        <v>0</v>
      </c>
      <c r="BI45" s="16">
        <f t="shared" ca="1" si="20"/>
        <v>2</v>
      </c>
      <c r="BJ45" s="16">
        <f t="shared" ca="1" si="21"/>
        <v>2</v>
      </c>
      <c r="BK45" s="16">
        <f t="shared" ca="1" si="22"/>
        <v>5</v>
      </c>
      <c r="BL45" s="16">
        <f t="shared" ca="1" si="23"/>
        <v>-3</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8</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5"/>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10</v>
      </c>
      <c r="AS46" s="36">
        <f t="shared" ca="1" si="131"/>
        <v>4</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4</v>
      </c>
      <c r="BF46" s="16">
        <f t="shared" ca="1" si="17"/>
        <v>2</v>
      </c>
      <c r="BG46" s="16">
        <f t="shared" ca="1" si="18"/>
        <v>1</v>
      </c>
      <c r="BH46" s="16">
        <f t="shared" ca="1" si="19"/>
        <v>1</v>
      </c>
      <c r="BI46" s="16">
        <f t="shared" ca="1" si="20"/>
        <v>0</v>
      </c>
      <c r="BJ46" s="16">
        <f t="shared" ca="1" si="21"/>
        <v>6</v>
      </c>
      <c r="BK46" s="16">
        <f t="shared" ca="1" si="22"/>
        <v>1</v>
      </c>
      <c r="BL46" s="16">
        <f t="shared" ca="1" si="23"/>
        <v>5</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4</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8</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5"/>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5</v>
      </c>
      <c r="AN47" s="39">
        <f t="shared" ca="1" si="131"/>
        <v>3</v>
      </c>
      <c r="AO47" s="39">
        <f t="shared" ca="1" si="131"/>
        <v>1</v>
      </c>
      <c r="AP47" s="39">
        <f t="shared" ca="1" si="131"/>
        <v>2</v>
      </c>
      <c r="AQ47" s="39">
        <f t="shared" ca="1" si="131"/>
        <v>0</v>
      </c>
      <c r="AR47" s="39">
        <f t="shared" ca="1" si="131"/>
        <v>7</v>
      </c>
      <c r="AS47" s="39">
        <f t="shared" ca="1" si="131"/>
        <v>3</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2</v>
      </c>
      <c r="BG47" s="16">
        <f t="shared" ca="1" si="18"/>
        <v>0</v>
      </c>
      <c r="BH47" s="16">
        <f t="shared" ca="1" si="19"/>
        <v>1</v>
      </c>
      <c r="BI47" s="16">
        <f t="shared" ca="1" si="20"/>
        <v>1</v>
      </c>
      <c r="BJ47" s="16">
        <f t="shared" ca="1" si="21"/>
        <v>1</v>
      </c>
      <c r="BK47" s="16">
        <f t="shared" ca="1" si="22"/>
        <v>2</v>
      </c>
      <c r="BL47" s="16">
        <f t="shared" ca="1" si="23"/>
        <v>-1</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8</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5"/>
      <c r="X48" s="24">
        <f ca="1">Horarios!C48</f>
        <v>46198.791666666657</v>
      </c>
      <c r="Y48" s="25">
        <f ca="1">Horarios!C48</f>
        <v>46198.791666666657</v>
      </c>
      <c r="Z48" s="26" t="str">
        <f>$Z$8</f>
        <v>J3</v>
      </c>
      <c r="AA48" s="27" t="str">
        <f ca="1">A46</f>
        <v>Japón</v>
      </c>
      <c r="AB48" s="49" t="str">
        <f t="array" aca="1" ref="AB48" ca="1">Ver_flag_local</f>
        <v/>
      </c>
      <c r="AC48" s="50">
        <v>1</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4</v>
      </c>
      <c r="AN48" s="39">
        <f t="shared" ca="1" si="131"/>
        <v>3</v>
      </c>
      <c r="AO48" s="39">
        <f t="shared" ca="1" si="131"/>
        <v>1</v>
      </c>
      <c r="AP48" s="39">
        <f t="shared" ca="1" si="131"/>
        <v>1</v>
      </c>
      <c r="AQ48" s="39">
        <f t="shared" ca="1" si="131"/>
        <v>1</v>
      </c>
      <c r="AR48" s="39">
        <f t="shared" ca="1" si="131"/>
        <v>7</v>
      </c>
      <c r="AS48" s="39">
        <f t="shared" ca="1" si="131"/>
        <v>7</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2</v>
      </c>
      <c r="BG48" s="16">
        <f t="shared" ca="1" si="18"/>
        <v>0</v>
      </c>
      <c r="BH48" s="16">
        <f t="shared" ca="1" si="19"/>
        <v>0</v>
      </c>
      <c r="BI48" s="16">
        <f t="shared" ca="1" si="20"/>
        <v>2</v>
      </c>
      <c r="BJ48" s="16">
        <f t="shared" ca="1" si="21"/>
        <v>1</v>
      </c>
      <c r="BK48" s="16">
        <f t="shared" ca="1" si="22"/>
        <v>8</v>
      </c>
      <c r="BL48" s="16">
        <f t="shared" ca="1" si="23"/>
        <v>-7</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8</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6"/>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12</v>
      </c>
      <c r="AT49" s="48">
        <f t="shared" ca="1" si="131"/>
        <v>-10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2</v>
      </c>
      <c r="BG49" s="16">
        <f t="shared" ca="1" si="18"/>
        <v>2</v>
      </c>
      <c r="BH49" s="16">
        <f t="shared" ca="1" si="19"/>
        <v>0</v>
      </c>
      <c r="BI49" s="16">
        <f t="shared" ca="1" si="20"/>
        <v>0</v>
      </c>
      <c r="BJ49" s="16">
        <f t="shared" ca="1" si="21"/>
        <v>4</v>
      </c>
      <c r="BK49" s="16">
        <f t="shared" ca="1" si="22"/>
        <v>1</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8</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4</v>
      </c>
      <c r="BF50" s="16">
        <f t="shared" ca="1" si="17"/>
        <v>2</v>
      </c>
      <c r="BG50" s="16">
        <f t="shared" ca="1" si="18"/>
        <v>1</v>
      </c>
      <c r="BH50" s="16">
        <f t="shared" ca="1" si="19"/>
        <v>1</v>
      </c>
      <c r="BI50" s="16">
        <f t="shared" ca="1" si="20"/>
        <v>0</v>
      </c>
      <c r="BJ50" s="16">
        <f t="shared" ca="1" si="21"/>
        <v>4</v>
      </c>
      <c r="BK50" s="16">
        <f t="shared" ca="1" si="22"/>
        <v>2</v>
      </c>
      <c r="BL50" s="16">
        <f t="shared" ca="1" si="23"/>
        <v>2</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4</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1</v>
      </c>
      <c r="BW50" s="16">
        <f t="shared" ca="1" si="30"/>
        <v>0</v>
      </c>
      <c r="BX50" s="16">
        <f t="shared" ca="1" si="31"/>
        <v>1</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1</v>
      </c>
      <c r="CK50" s="16">
        <f t="shared" ca="1" si="38"/>
        <v>0</v>
      </c>
      <c r="CL50" s="16">
        <f t="shared" ca="1" si="39"/>
        <v>1</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8</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3</v>
      </c>
      <c r="BF51" s="16">
        <f t="shared" ca="1" si="17"/>
        <v>2</v>
      </c>
      <c r="BG51" s="16">
        <f t="shared" ca="1" si="18"/>
        <v>1</v>
      </c>
      <c r="BH51" s="16">
        <f t="shared" ca="1" si="19"/>
        <v>0</v>
      </c>
      <c r="BI51" s="16">
        <f t="shared" ca="1" si="20"/>
        <v>1</v>
      </c>
      <c r="BJ51" s="16">
        <f t="shared" ca="1" si="21"/>
        <v>3</v>
      </c>
      <c r="BK51" s="16">
        <f t="shared" ca="1" si="22"/>
        <v>4</v>
      </c>
      <c r="BL51" s="16">
        <f t="shared" ca="1" si="23"/>
        <v>-1</v>
      </c>
      <c r="BM51" s="16" t="str">
        <f t="shared" ca="1" si="24"/>
        <v>3L</v>
      </c>
      <c r="BN51" s="16" t="str">
        <f t="shared" ca="1" si="25"/>
        <v>3L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3</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3</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3</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3</v>
      </c>
      <c r="DE51" s="16"/>
      <c r="DF51" s="16">
        <f t="shared" ca="1" si="46"/>
        <v>3</v>
      </c>
      <c r="DG51" s="16" t="str">
        <f ca="1">IF(DB51="-","-",COUNTIFS(DF$6:DF$53,"&lt;"&amp;DF51,$BC$6:$BC$53,INDEX(T_Equipos[Grupo],MATCH(BD51,T_Equipos[NombreEquipo],0))))</f>
        <v>-</v>
      </c>
      <c r="DH51" s="16">
        <f ca="1">DA51+COUNTIFS(DB$6:DB$53,DB51,DG$6:DG$53,"&lt;"&amp;DG51,$BC$6:$BC$53,INDEX(T_Equipos[Grupo],MATCH(BD51,T_Equipos[NombreEquipo],0)))</f>
        <v>3</v>
      </c>
      <c r="DI51" s="16"/>
      <c r="DJ51" s="16">
        <f t="shared" ca="1" si="47"/>
        <v>2</v>
      </c>
      <c r="DK51" s="16">
        <f t="shared" ca="1" si="48"/>
        <v>8</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29"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17"/>
        <v>2</v>
      </c>
      <c r="BG52" s="16">
        <f t="shared" ca="1" si="18"/>
        <v>1</v>
      </c>
      <c r="BH52" s="16">
        <f t="shared" ca="1" si="19"/>
        <v>1</v>
      </c>
      <c r="BI52" s="16">
        <f t="shared" ca="1" si="20"/>
        <v>0</v>
      </c>
      <c r="BJ52" s="16">
        <f t="shared" ca="1" si="21"/>
        <v>1</v>
      </c>
      <c r="BK52" s="16">
        <f t="shared" ca="1" si="22"/>
        <v>0</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4</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8"/>
        <v>0</v>
      </c>
      <c r="BV52" s="16">
        <f t="shared" ca="1" si="29"/>
        <v>1</v>
      </c>
      <c r="BW52" s="16">
        <f t="shared" ca="1" si="30"/>
        <v>0</v>
      </c>
      <c r="BX52" s="16">
        <f t="shared" ca="1" si="31"/>
        <v>1</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6"/>
        <v>0</v>
      </c>
      <c r="CJ52" s="16">
        <f t="shared" ca="1" si="37"/>
        <v>1</v>
      </c>
      <c r="CK52" s="16">
        <f t="shared" ca="1" si="38"/>
        <v>0</v>
      </c>
      <c r="CL52" s="16">
        <f t="shared" ca="1" si="39"/>
        <v>1</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44"/>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8</v>
      </c>
      <c r="DL52" s="16">
        <f t="shared" ca="1" si="49"/>
        <v>1</v>
      </c>
      <c r="DM52" s="16" t="str">
        <f t="shared" ca="1" si="50"/>
        <v>3.1</v>
      </c>
      <c r="DN52" s="16">
        <f t="array" aca="1" ref="DN52" ca="1">OFFSET(Horarios!$P$3,DJ52-1,0,DL52,1)</f>
        <v>3</v>
      </c>
      <c r="DO52" s="16"/>
      <c r="DP52" s="16" t="s">
        <v>122</v>
      </c>
      <c r="DQ52" s="16" t="str">
        <f t="shared" ca="1" si="51"/>
        <v>Croacia</v>
      </c>
    </row>
    <row r="53" spans="1:121" ht="16" customHeight="1" x14ac:dyDescent="0.2">
      <c r="A53" s="16" t="str">
        <f ca="1">+Equipos!B26</f>
        <v>Bélgica</v>
      </c>
      <c r="B53" s="16"/>
      <c r="C53" s="16"/>
      <c r="D53" s="16" t="str">
        <f t="shared" si="132"/>
        <v>Empate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5"/>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2</v>
      </c>
      <c r="BG53" s="16">
        <f t="shared" ca="1" si="18"/>
        <v>0</v>
      </c>
      <c r="BH53" s="16">
        <f t="shared" ca="1" si="19"/>
        <v>0</v>
      </c>
      <c r="BI53" s="16">
        <f t="shared" ca="1" si="20"/>
        <v>2</v>
      </c>
      <c r="BJ53" s="16">
        <f t="shared" ca="1" si="21"/>
        <v>0</v>
      </c>
      <c r="BK53" s="16">
        <f t="shared" ca="1" si="22"/>
        <v>2</v>
      </c>
      <c r="BL53" s="16">
        <f t="shared" ca="1" si="23"/>
        <v>-2</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8</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P.1 (2)</v>
      </c>
      <c r="F54" s="16" t="str">
        <f t="shared" ca="1" si="134"/>
        <v>-</v>
      </c>
      <c r="G54" s="16"/>
      <c r="H54" s="16" t="str">
        <f t="shared" ca="1" si="135"/>
        <v>P.1 (2)</v>
      </c>
      <c r="I54" s="16" t="str">
        <f t="shared" ca="1" si="136"/>
        <v>-</v>
      </c>
      <c r="J54" s="16"/>
      <c r="K54" s="16" t="str">
        <f t="shared" ca="1" si="137"/>
        <v>P.1 (2)</v>
      </c>
      <c r="L54" s="16" t="str">
        <f t="shared" ca="1" si="138"/>
        <v>-</v>
      </c>
      <c r="M54" s="16"/>
      <c r="N54" s="16" t="str">
        <f t="shared" ca="1" si="139"/>
        <v>P.1 (2)</v>
      </c>
      <c r="O54" s="16" t="str">
        <f t="shared" ca="1" si="140"/>
        <v>-</v>
      </c>
      <c r="P54" s="16"/>
      <c r="Q54" s="16" t="str">
        <f t="shared" ca="1" si="141"/>
        <v>P.1 (2)</v>
      </c>
      <c r="R54" s="16" t="str">
        <f t="shared" ca="1" si="142"/>
        <v>-</v>
      </c>
      <c r="S54" s="16"/>
      <c r="T54" s="16" t="str">
        <f t="shared" ca="1" si="143"/>
        <v>P.1 (2)</v>
      </c>
      <c r="U54" s="16" t="str">
        <f t="shared" ca="1" si="144"/>
        <v>-</v>
      </c>
      <c r="V54" s="17"/>
      <c r="W54" s="625"/>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5</v>
      </c>
      <c r="AN54" s="36">
        <f t="shared" ca="1" si="147"/>
        <v>3</v>
      </c>
      <c r="AO54" s="36">
        <f t="shared" ca="1" si="147"/>
        <v>1</v>
      </c>
      <c r="AP54" s="36">
        <f t="shared" ca="1" si="147"/>
        <v>2</v>
      </c>
      <c r="AQ54" s="36">
        <f t="shared" ca="1" si="147"/>
        <v>0</v>
      </c>
      <c r="AR54" s="36">
        <f t="shared" ca="1" si="147"/>
        <v>6</v>
      </c>
      <c r="AS54" s="36">
        <f t="shared" ca="1" si="147"/>
        <v>2</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P.1 (2)</v>
      </c>
      <c r="G55" s="16"/>
      <c r="H55" s="16" t="str">
        <f t="shared" ca="1" si="135"/>
        <v>-</v>
      </c>
      <c r="I55" s="16" t="str">
        <f t="shared" ca="1" si="136"/>
        <v>P.1 (2)</v>
      </c>
      <c r="J55" s="16"/>
      <c r="K55" s="16" t="str">
        <f t="shared" ca="1" si="137"/>
        <v>-</v>
      </c>
      <c r="L55" s="16" t="str">
        <f t="shared" ca="1" si="138"/>
        <v>P.1 (2)</v>
      </c>
      <c r="M55" s="16"/>
      <c r="N55" s="16" t="str">
        <f t="shared" ca="1" si="139"/>
        <v>-</v>
      </c>
      <c r="O55" s="16" t="str">
        <f t="shared" ca="1" si="140"/>
        <v>P.1 (2)</v>
      </c>
      <c r="P55" s="16"/>
      <c r="Q55" s="16" t="str">
        <f t="shared" ca="1" si="141"/>
        <v>-</v>
      </c>
      <c r="R55" s="16" t="str">
        <f t="shared" ca="1" si="142"/>
        <v>P.1 (2)</v>
      </c>
      <c r="S55" s="16"/>
      <c r="T55" s="16" t="str">
        <f t="shared" ca="1" si="143"/>
        <v>-</v>
      </c>
      <c r="U55" s="16" t="str">
        <f t="shared" ca="1" si="144"/>
        <v>P.1 (2)</v>
      </c>
      <c r="V55" s="17"/>
      <c r="W55" s="625"/>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5</v>
      </c>
      <c r="AN55" s="39">
        <f t="shared" ca="1" si="147"/>
        <v>3</v>
      </c>
      <c r="AO55" s="39">
        <f t="shared" ca="1" si="147"/>
        <v>1</v>
      </c>
      <c r="AP55" s="39">
        <f t="shared" ca="1" si="147"/>
        <v>2</v>
      </c>
      <c r="AQ55" s="39">
        <f t="shared" ca="1" si="147"/>
        <v>0</v>
      </c>
      <c r="AR55" s="39">
        <f t="shared" ca="1" si="147"/>
        <v>5</v>
      </c>
      <c r="AS55" s="39">
        <f t="shared" ca="1" si="147"/>
        <v>3</v>
      </c>
      <c r="AT55" s="43">
        <f t="shared" ca="1" si="147"/>
        <v>2</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P.1 (2)</v>
      </c>
      <c r="F56" s="16" t="str">
        <f t="shared" ca="1" si="134"/>
        <v>-</v>
      </c>
      <c r="G56" s="16"/>
      <c r="H56" s="16" t="str">
        <f t="shared" ca="1" si="135"/>
        <v>P.1 (2)</v>
      </c>
      <c r="I56" s="16" t="str">
        <f t="shared" ca="1" si="136"/>
        <v>-</v>
      </c>
      <c r="J56" s="16"/>
      <c r="K56" s="16" t="str">
        <f t="shared" ca="1" si="137"/>
        <v>P.1 (2)</v>
      </c>
      <c r="L56" s="16" t="str">
        <f t="shared" ca="1" si="138"/>
        <v>-</v>
      </c>
      <c r="M56" s="16"/>
      <c r="N56" s="16" t="str">
        <f t="shared" ca="1" si="139"/>
        <v>P.1 (2)</v>
      </c>
      <c r="O56" s="16" t="str">
        <f t="shared" ca="1" si="140"/>
        <v>-</v>
      </c>
      <c r="P56" s="16"/>
      <c r="Q56" s="16" t="str">
        <f t="shared" ca="1" si="141"/>
        <v>P.1 (2)</v>
      </c>
      <c r="R56" s="16" t="str">
        <f t="shared" ca="1" si="142"/>
        <v>-</v>
      </c>
      <c r="S56" s="16"/>
      <c r="T56" s="16" t="str">
        <f t="shared" ca="1" si="143"/>
        <v>P.1 (2)</v>
      </c>
      <c r="U56" s="16" t="str">
        <f t="shared" ca="1" si="144"/>
        <v>-</v>
      </c>
      <c r="V56" s="17"/>
      <c r="W56" s="625"/>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0</v>
      </c>
      <c r="AP56" s="39">
        <f t="shared" ca="1" si="147"/>
        <v>3</v>
      </c>
      <c r="AQ56" s="39">
        <f t="shared" ca="1" si="147"/>
        <v>0</v>
      </c>
      <c r="AR56" s="39">
        <f t="shared" ca="1" si="147"/>
        <v>3</v>
      </c>
      <c r="AS56" s="39">
        <f t="shared" ca="1" si="147"/>
        <v>3</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P.1 (2)</v>
      </c>
      <c r="G57" s="16"/>
      <c r="H57" s="16" t="str">
        <f t="shared" ca="1" si="135"/>
        <v>-</v>
      </c>
      <c r="I57" s="16" t="str">
        <f t="shared" ca="1" si="136"/>
        <v>P.1 (2)</v>
      </c>
      <c r="J57" s="16"/>
      <c r="K57" s="16" t="str">
        <f t="shared" ca="1" si="137"/>
        <v>-</v>
      </c>
      <c r="L57" s="16" t="str">
        <f t="shared" ca="1" si="138"/>
        <v>P.1 (2)</v>
      </c>
      <c r="M57" s="16"/>
      <c r="N57" s="16" t="str">
        <f t="shared" ca="1" si="139"/>
        <v>-</v>
      </c>
      <c r="O57" s="16" t="str">
        <f t="shared" ca="1" si="140"/>
        <v>P.1 (2)</v>
      </c>
      <c r="P57" s="16"/>
      <c r="Q57" s="16" t="str">
        <f t="shared" ca="1" si="141"/>
        <v>-</v>
      </c>
      <c r="R57" s="16" t="str">
        <f t="shared" ca="1" si="142"/>
        <v>P.1 (2)</v>
      </c>
      <c r="S57" s="16"/>
      <c r="T57" s="16" t="str">
        <f t="shared" ca="1" si="143"/>
        <v>-</v>
      </c>
      <c r="U57" s="16" t="str">
        <f t="shared" ca="1" si="144"/>
        <v>P.1 (2)</v>
      </c>
      <c r="V57" s="17"/>
      <c r="W57" s="626"/>
      <c r="X57" s="28">
        <f ca="1">Horarios!C57</f>
        <v>46199.958333333343</v>
      </c>
      <c r="Y57" s="29">
        <f ca="1">Horarios!C57</f>
        <v>46199.958333333343</v>
      </c>
      <c r="Z57" s="30" t="str">
        <f>$Z$8</f>
        <v>J3</v>
      </c>
      <c r="AA57" s="31" t="str">
        <f ca="1">A56</f>
        <v>Nueva Zelanda</v>
      </c>
      <c r="AB57" s="52" t="str">
        <f t="array" aca="1" ref="AB57" ca="1">Ver_flag_local</f>
        <v/>
      </c>
      <c r="AC57" s="53">
        <v>1</v>
      </c>
      <c r="AD57" s="54">
        <v>5</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3</v>
      </c>
      <c r="AO57" s="47">
        <f t="shared" ca="1" si="147"/>
        <v>0</v>
      </c>
      <c r="AP57" s="47">
        <f t="shared" ca="1" si="147"/>
        <v>1</v>
      </c>
      <c r="AQ57" s="47">
        <f t="shared" ca="1" si="147"/>
        <v>2</v>
      </c>
      <c r="AR57" s="47">
        <f t="shared" ca="1" si="147"/>
        <v>4</v>
      </c>
      <c r="AS57" s="47">
        <f t="shared" ca="1" si="147"/>
        <v>10</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8</v>
      </c>
      <c r="BN58" s="16">
        <f t="shared" ref="BN58:BN69" ca="1" si="153">CF58</f>
        <v>8</v>
      </c>
      <c r="BO58" s="16" t="str">
        <f t="shared" ref="BO58:BO69" si="154">"4"&amp;BC58</f>
        <v>4A</v>
      </c>
      <c r="BP58" s="16"/>
      <c r="BQ58" s="16"/>
      <c r="BR58" s="16">
        <f t="shared" ref="BR58:BR69" ca="1" si="155">+BE58</f>
        <v>3</v>
      </c>
      <c r="BS58" s="16">
        <f t="shared" ref="BS58:BS69" ca="1" si="156">COUNTIFS(BR$58:BR$69,"&gt;"&amp;BR58)+1</f>
        <v>5</v>
      </c>
      <c r="BT58" s="16" t="str">
        <f t="shared" ref="BT58:BT69" ca="1" si="157">IF(COUNTIF(BS$58:BS$69,BS58)=1,"-","Pos. "&amp;BS58&amp;" ("&amp;COUNTIF(BS$58:BS$69,BS58)&amp;")")</f>
        <v>Pos. 5 (6)</v>
      </c>
      <c r="BU58" s="16">
        <f t="shared" ref="BU58:BU69" ca="1" si="158">IF(BT58="-","-",BL58)</f>
        <v>-1</v>
      </c>
      <c r="BV58" s="16">
        <f t="shared" ref="BV58:BV69" ca="1" si="159">BS58+COUNTIFS(BT$58:BT$69,BT58,BU$58:BU$69,"&gt;"&amp;BU58)</f>
        <v>7</v>
      </c>
      <c r="BW58" s="16" t="str">
        <f t="shared" ref="BW58:BW69" ca="1" si="160">IF(COUNTIF(BV$58:BV$69,BV58)=1,"-","Pos. "&amp;BV58&amp;" ("&amp;COUNTIF(BV$58:BV$69,BV58)&amp;")")</f>
        <v>Pos. 7 (2)</v>
      </c>
      <c r="BX58" s="16">
        <f t="shared" ref="BX58:BX69" ca="1" si="161">IF(BW58="-","-",BJ58)</f>
        <v>2</v>
      </c>
      <c r="BY58" s="16">
        <f t="shared" ref="BY58:BY69" ca="1" si="162">BV58+COUNTIFS(BW$58:BW$69,BW58,BX$58:BX$69,"&gt;"&amp;BX58)</f>
        <v>8</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8</v>
      </c>
      <c r="CC58" s="16"/>
      <c r="CD58" s="16">
        <f t="shared" ref="CD58:CD69" ca="1" si="166">IF(OR(INDEX($AW$102:$AW$113,MATCH($BD58,$AV$102:$AV$113,0))="",BZ58="-"),CB58,INDEX($AW$102:$AW$113,MATCH($BD58,$AV$102:$AV$113,0))+CB58/1000)</f>
        <v>8</v>
      </c>
      <c r="CE58" s="16" t="str">
        <f t="shared" ref="CE58:CE69" ca="1" si="167">IF(BZ58="-","-",COUNTIF(CD$58:CD$69,"&lt;"&amp;CD58))</f>
        <v>-</v>
      </c>
      <c r="CF58" s="16">
        <f t="shared" ref="CF58:CF69" ca="1" si="168">BY58+COUNTIFS(BZ$58:BZ$69,BZ58,CE$58:CE$69,"&lt;"&amp;CE58)</f>
        <v>8</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Suecia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5</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6</v>
      </c>
      <c r="BL59" s="16">
        <f t="shared" ca="1" si="151"/>
        <v>-1</v>
      </c>
      <c r="BM59" s="16">
        <f t="shared" ca="1" si="152"/>
        <v>3</v>
      </c>
      <c r="BN59" s="16">
        <f t="shared" ca="1" si="153"/>
        <v>3</v>
      </c>
      <c r="BO59" s="16" t="str">
        <f t="shared" si="154"/>
        <v>4B</v>
      </c>
      <c r="BP59" s="16"/>
      <c r="BQ59" s="16"/>
      <c r="BR59" s="16">
        <f t="shared" ca="1" si="155"/>
        <v>4</v>
      </c>
      <c r="BS59" s="16">
        <f t="shared" ca="1" si="156"/>
        <v>1</v>
      </c>
      <c r="BT59" s="16" t="str">
        <f t="shared" ca="1" si="157"/>
        <v>Pos. 1 (4)</v>
      </c>
      <c r="BU59" s="16">
        <f t="shared" ca="1" si="158"/>
        <v>-1</v>
      </c>
      <c r="BV59" s="16">
        <f t="shared" ca="1" si="159"/>
        <v>3</v>
      </c>
      <c r="BW59" s="16" t="str">
        <f t="shared" ca="1" si="160"/>
        <v>-</v>
      </c>
      <c r="BX59" s="16" t="str">
        <f t="shared" ca="1" si="161"/>
        <v>-</v>
      </c>
      <c r="BY59" s="16">
        <f t="shared" ca="1" si="162"/>
        <v>3</v>
      </c>
      <c r="BZ59" s="16" t="str">
        <f t="shared" ca="1" si="163"/>
        <v>-</v>
      </c>
      <c r="CA59" s="16" t="str">
        <f t="shared" ca="1" si="164"/>
        <v>-</v>
      </c>
      <c r="CB59" s="16">
        <f t="shared" ca="1" si="165"/>
        <v>3</v>
      </c>
      <c r="CC59" s="16"/>
      <c r="CD59" s="16">
        <f t="shared" ca="1" si="166"/>
        <v>3</v>
      </c>
      <c r="CE59" s="16" t="str">
        <f t="shared" ca="1" si="167"/>
        <v>-</v>
      </c>
      <c r="CF59" s="16">
        <f t="shared" ca="1" si="168"/>
        <v>3</v>
      </c>
      <c r="DJ59" s="16">
        <f t="shared" ca="1" si="169"/>
        <v>2</v>
      </c>
      <c r="DK59" s="16"/>
      <c r="DL59" s="16">
        <f t="shared" ca="1" si="170"/>
        <v>1</v>
      </c>
      <c r="DM59" s="16" t="str">
        <f t="shared" ca="1" si="171"/>
        <v>2.1</v>
      </c>
      <c r="DN59" s="16">
        <f t="array" aca="1" ref="DN59" ca="1">OFFSET(Horarios!$P$3,DJ59-1,0,DL59,1)</f>
        <v>2</v>
      </c>
      <c r="DO59" s="16"/>
      <c r="DP59" s="16">
        <v>2</v>
      </c>
      <c r="DQ59" s="16" t="str">
        <f t="shared" ca="1" si="172"/>
        <v>Ecuador</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2"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10</v>
      </c>
      <c r="BN60" s="16">
        <f t="shared" ca="1" si="153"/>
        <v>10</v>
      </c>
      <c r="BO60" s="16" t="str">
        <f t="shared" si="154"/>
        <v>4C</v>
      </c>
      <c r="BP60" s="16"/>
      <c r="BQ60" s="16"/>
      <c r="BR60" s="16">
        <f t="shared" ca="1" si="155"/>
        <v>3</v>
      </c>
      <c r="BS60" s="16">
        <f t="shared" ca="1" si="156"/>
        <v>5</v>
      </c>
      <c r="BT60" s="16" t="str">
        <f t="shared" ca="1" si="157"/>
        <v>Pos. 5 (6)</v>
      </c>
      <c r="BU60" s="16">
        <f t="shared" ca="1" si="158"/>
        <v>-3</v>
      </c>
      <c r="BV60" s="16">
        <f t="shared" ca="1" si="159"/>
        <v>10</v>
      </c>
      <c r="BW60" s="16" t="str">
        <f t="shared" ca="1" si="160"/>
        <v>-</v>
      </c>
      <c r="BX60" s="16" t="str">
        <f t="shared" ca="1" si="161"/>
        <v>-</v>
      </c>
      <c r="BY60" s="16">
        <f t="shared" ca="1" si="162"/>
        <v>10</v>
      </c>
      <c r="BZ60" s="16" t="str">
        <f t="shared" ca="1" si="163"/>
        <v>-</v>
      </c>
      <c r="CA60" s="16" t="str">
        <f t="shared" ca="1" si="164"/>
        <v>-</v>
      </c>
      <c r="CB60" s="16">
        <f t="shared" ca="1" si="165"/>
        <v>10</v>
      </c>
      <c r="CC60" s="16"/>
      <c r="CD60" s="16">
        <f t="shared" ca="1" si="166"/>
        <v>10</v>
      </c>
      <c r="CE60" s="16" t="str">
        <f t="shared" ca="1" si="167"/>
        <v>-</v>
      </c>
      <c r="CF60" s="16">
        <f t="shared" ca="1" si="168"/>
        <v>10</v>
      </c>
      <c r="DJ60" s="16">
        <f t="shared" ca="1" si="169"/>
        <v>3</v>
      </c>
      <c r="DK60" s="16"/>
      <c r="DL60" s="16">
        <f t="shared" ca="1" si="170"/>
        <v>1</v>
      </c>
      <c r="DM60" s="16" t="str">
        <f t="shared" ca="1" si="171"/>
        <v>3.1</v>
      </c>
      <c r="DN60" s="16">
        <f t="array" aca="1" ref="DN60" ca="1">OFFSET(Horarios!$P$3,DJ60-1,0,DL60,1)</f>
        <v>3</v>
      </c>
      <c r="DO60" s="16"/>
      <c r="DP60" s="16">
        <v>3</v>
      </c>
      <c r="DQ60" s="16" t="str">
        <f t="shared" ca="1" si="172"/>
        <v>Bosnia y Herzegovina</v>
      </c>
    </row>
    <row r="61" spans="1:121" ht="16" customHeight="1" x14ac:dyDescent="0.2">
      <c r="A61" s="16" t="str">
        <f ca="1">+Equipos!B30</f>
        <v>España</v>
      </c>
      <c r="B61" s="16"/>
      <c r="C61" s="16"/>
      <c r="D61" s="16" t="str">
        <f t="shared" si="179"/>
        <v>Empate</v>
      </c>
      <c r="E61" s="16" t="str">
        <f t="shared" ca="1" si="180"/>
        <v>P.3 (2)</v>
      </c>
      <c r="F61" s="16" t="str">
        <f t="shared" ca="1" si="181"/>
        <v>P.3 (2)</v>
      </c>
      <c r="G61" s="16"/>
      <c r="H61" s="16" t="str">
        <f t="shared" ca="1" si="182"/>
        <v>P.3 (2)</v>
      </c>
      <c r="I61" s="16" t="str">
        <f t="shared" ca="1" si="183"/>
        <v>P.3 (2)</v>
      </c>
      <c r="J61" s="16"/>
      <c r="K61" s="16" t="str">
        <f t="shared" ca="1" si="184"/>
        <v>P.3 (2)</v>
      </c>
      <c r="L61" s="16" t="str">
        <f t="shared" ca="1" si="185"/>
        <v>P.3 (2)</v>
      </c>
      <c r="M61" s="16"/>
      <c r="N61" s="16" t="str">
        <f t="shared" ca="1" si="186"/>
        <v>P.3 (2)</v>
      </c>
      <c r="O61" s="16" t="str">
        <f t="shared" ca="1" si="187"/>
        <v>P.3 (2)</v>
      </c>
      <c r="P61" s="16"/>
      <c r="Q61" s="16" t="str">
        <f t="shared" ca="1" si="188"/>
        <v>P.3 (2)</v>
      </c>
      <c r="R61" s="16" t="str">
        <f t="shared" ca="1" si="189"/>
        <v>P.3 (2)</v>
      </c>
      <c r="S61" s="16"/>
      <c r="T61" s="16" t="str">
        <f t="shared" ca="1" si="190"/>
        <v>P.3 (2)</v>
      </c>
      <c r="U61" s="16" t="str">
        <f t="shared" ca="1" si="191"/>
        <v>P.3 (2)</v>
      </c>
      <c r="V61" s="17"/>
      <c r="W61" s="625"/>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4</v>
      </c>
      <c r="BL61" s="16">
        <f t="shared" ca="1" si="151"/>
        <v>-2</v>
      </c>
      <c r="BM61" s="16">
        <f t="shared" ca="1" si="152"/>
        <v>4</v>
      </c>
      <c r="BN61" s="16">
        <f t="shared" ca="1" si="153"/>
        <v>4</v>
      </c>
      <c r="BO61" s="16" t="str">
        <f t="shared" si="154"/>
        <v>4D</v>
      </c>
      <c r="BP61" s="16"/>
      <c r="BQ61" s="16"/>
      <c r="BR61" s="16">
        <f t="shared" ca="1" si="155"/>
        <v>4</v>
      </c>
      <c r="BS61" s="16">
        <f t="shared" ca="1" si="156"/>
        <v>1</v>
      </c>
      <c r="BT61" s="16" t="str">
        <f t="shared" ca="1" si="157"/>
        <v>Pos. 1 (4)</v>
      </c>
      <c r="BU61" s="16">
        <f t="shared" ca="1" si="158"/>
        <v>-2</v>
      </c>
      <c r="BV61" s="16">
        <f t="shared" ca="1" si="159"/>
        <v>4</v>
      </c>
      <c r="BW61" s="16" t="str">
        <f t="shared" ca="1" si="160"/>
        <v>-</v>
      </c>
      <c r="BX61" s="16" t="str">
        <f t="shared" ca="1" si="161"/>
        <v>-</v>
      </c>
      <c r="BY61" s="16">
        <f t="shared" ca="1" si="162"/>
        <v>4</v>
      </c>
      <c r="BZ61" s="16" t="str">
        <f t="shared" ca="1" si="163"/>
        <v>-</v>
      </c>
      <c r="CA61" s="16" t="str">
        <f t="shared" ca="1" si="164"/>
        <v>-</v>
      </c>
      <c r="CB61" s="16">
        <f t="shared" ca="1" si="165"/>
        <v>4</v>
      </c>
      <c r="CC61" s="16"/>
      <c r="CD61" s="16">
        <f t="shared" ca="1" si="166"/>
        <v>4</v>
      </c>
      <c r="CE61" s="16" t="str">
        <f t="shared" ca="1" si="167"/>
        <v>-</v>
      </c>
      <c r="CF61" s="16">
        <f t="shared" ca="1" si="168"/>
        <v>4</v>
      </c>
      <c r="DJ61" s="16">
        <f t="shared" ca="1" si="169"/>
        <v>4</v>
      </c>
      <c r="DK61" s="16"/>
      <c r="DL61" s="16">
        <f t="shared" ca="1" si="170"/>
        <v>1</v>
      </c>
      <c r="DM61" s="16" t="str">
        <f t="shared" ca="1" si="171"/>
        <v>4.1</v>
      </c>
      <c r="DN61" s="16">
        <f t="array" aca="1" ref="DN61" ca="1">OFFSET(Horarios!$P$3,DJ61-1,0,DL61,1)</f>
        <v>4</v>
      </c>
      <c r="DO61" s="16"/>
      <c r="DP61" s="16">
        <v>4</v>
      </c>
      <c r="DQ61" s="16" t="str">
        <f t="shared" ca="1" si="172"/>
        <v>Paraguay</v>
      </c>
    </row>
    <row r="62" spans="1:121" ht="16" customHeight="1" x14ac:dyDescent="0.2">
      <c r="A62" s="16" t="str">
        <f ca="1">+Equipos!B31</f>
        <v>Cabo Verde</v>
      </c>
      <c r="B62" s="16"/>
      <c r="C62" s="16"/>
      <c r="D62" s="16" t="str">
        <f t="shared" si="179"/>
        <v>Local</v>
      </c>
      <c r="E62" s="16" t="str">
        <f t="shared" ca="1" si="180"/>
        <v>-</v>
      </c>
      <c r="F62" s="16" t="str">
        <f t="shared" ca="1" si="181"/>
        <v>P.3 (2)</v>
      </c>
      <c r="G62" s="16"/>
      <c r="H62" s="16" t="str">
        <f t="shared" ca="1" si="182"/>
        <v>-</v>
      </c>
      <c r="I62" s="16" t="str">
        <f t="shared" ca="1" si="183"/>
        <v>P.3 (2)</v>
      </c>
      <c r="J62" s="16"/>
      <c r="K62" s="16" t="str">
        <f t="shared" ca="1" si="184"/>
        <v>-</v>
      </c>
      <c r="L62" s="16" t="str">
        <f t="shared" ca="1" si="185"/>
        <v>P.3 (2)</v>
      </c>
      <c r="M62" s="16"/>
      <c r="N62" s="16" t="str">
        <f t="shared" ca="1" si="186"/>
        <v>-</v>
      </c>
      <c r="O62" s="16" t="str">
        <f t="shared" ca="1" si="187"/>
        <v>P.3 (2)</v>
      </c>
      <c r="P62" s="16"/>
      <c r="Q62" s="16" t="str">
        <f t="shared" ca="1" si="188"/>
        <v>-</v>
      </c>
      <c r="R62" s="16" t="str">
        <f t="shared" ca="1" si="189"/>
        <v>P.3 (2)</v>
      </c>
      <c r="S62" s="16"/>
      <c r="T62" s="16" t="str">
        <f t="shared" ca="1" si="190"/>
        <v>-</v>
      </c>
      <c r="U62" s="16" t="str">
        <f t="shared" ca="1" si="191"/>
        <v>P.3 (2)</v>
      </c>
      <c r="V62" s="17"/>
      <c r="W62" s="625"/>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5</v>
      </c>
      <c r="AS62" s="36">
        <f t="shared" ca="1" si="195"/>
        <v>0</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2</v>
      </c>
      <c r="BK62" s="16">
        <f t="shared" ca="1" si="178"/>
        <v>2</v>
      </c>
      <c r="BL62" s="16">
        <f t="shared" ca="1" si="151"/>
        <v>0</v>
      </c>
      <c r="BM62" s="16">
        <f t="shared" ca="1" si="152"/>
        <v>2</v>
      </c>
      <c r="BN62" s="16">
        <f t="shared" ca="1" si="153"/>
        <v>2</v>
      </c>
      <c r="BO62" s="16" t="str">
        <f t="shared" si="154"/>
        <v>4E</v>
      </c>
      <c r="BP62" s="16"/>
      <c r="BQ62" s="16"/>
      <c r="BR62" s="16">
        <f t="shared" ca="1" si="155"/>
        <v>4</v>
      </c>
      <c r="BS62" s="16">
        <f t="shared" ca="1" si="156"/>
        <v>1</v>
      </c>
      <c r="BT62" s="16" t="str">
        <f t="shared" ca="1" si="157"/>
        <v>Pos. 1 (4)</v>
      </c>
      <c r="BU62" s="16">
        <f t="shared" ca="1" si="158"/>
        <v>0</v>
      </c>
      <c r="BV62" s="16">
        <f t="shared" ca="1" si="159"/>
        <v>1</v>
      </c>
      <c r="BW62" s="16" t="str">
        <f t="shared" ca="1" si="160"/>
        <v>Pos. 1 (2)</v>
      </c>
      <c r="BX62" s="16">
        <f t="shared" ca="1" si="161"/>
        <v>2</v>
      </c>
      <c r="BY62" s="16">
        <f t="shared" ca="1" si="162"/>
        <v>2</v>
      </c>
      <c r="BZ62" s="16" t="str">
        <f t="shared" ca="1" si="163"/>
        <v>-</v>
      </c>
      <c r="CA62" s="16" t="str">
        <f t="shared" ca="1" si="164"/>
        <v>-</v>
      </c>
      <c r="CB62" s="16">
        <f t="shared" ca="1" si="165"/>
        <v>2</v>
      </c>
      <c r="CC62" s="16"/>
      <c r="CD62" s="16">
        <f t="shared" ca="1" si="166"/>
        <v>2</v>
      </c>
      <c r="CE62" s="16" t="str">
        <f t="shared" ca="1" si="167"/>
        <v>-</v>
      </c>
      <c r="CF62" s="16">
        <f t="shared" ca="1" si="168"/>
        <v>2</v>
      </c>
      <c r="DJ62" s="16">
        <f t="shared" ca="1" si="169"/>
        <v>5</v>
      </c>
      <c r="DK62" s="16"/>
      <c r="DL62" s="16">
        <f t="shared" ca="1" si="170"/>
        <v>1</v>
      </c>
      <c r="DM62" s="16" t="str">
        <f t="shared" ca="1" si="171"/>
        <v>5.1</v>
      </c>
      <c r="DN62" s="16">
        <f t="array" aca="1" ref="DN62" ca="1">OFFSET(Horarios!$P$3,DJ62-1,0,DL62,1)</f>
        <v>5</v>
      </c>
      <c r="DO62" s="16"/>
      <c r="DP62" s="16">
        <v>5</v>
      </c>
      <c r="DQ62" s="16" t="str">
        <f t="shared" ca="1" si="172"/>
        <v>Senegal</v>
      </c>
    </row>
    <row r="63" spans="1:121" ht="16" customHeight="1" x14ac:dyDescent="0.2">
      <c r="A63" s="16" t="str">
        <f ca="1">+Equipos!B32</f>
        <v>Arabia Saudita</v>
      </c>
      <c r="B63" s="16"/>
      <c r="C63" s="16"/>
      <c r="D63" s="16" t="str">
        <f t="shared" si="179"/>
        <v>Empate</v>
      </c>
      <c r="E63" s="16" t="str">
        <f t="shared" ca="1" si="180"/>
        <v>P.3 (2)</v>
      </c>
      <c r="F63" s="16" t="str">
        <f t="shared" ca="1" si="181"/>
        <v>-</v>
      </c>
      <c r="G63" s="16"/>
      <c r="H63" s="16" t="str">
        <f t="shared" ca="1" si="182"/>
        <v>P.3 (2)</v>
      </c>
      <c r="I63" s="16" t="str">
        <f t="shared" ca="1" si="183"/>
        <v>-</v>
      </c>
      <c r="J63" s="16"/>
      <c r="K63" s="16" t="str">
        <f t="shared" ca="1" si="184"/>
        <v>P.3 (2)</v>
      </c>
      <c r="L63" s="16" t="str">
        <f t="shared" ca="1" si="185"/>
        <v>-</v>
      </c>
      <c r="M63" s="16"/>
      <c r="N63" s="16" t="str">
        <f t="shared" ca="1" si="186"/>
        <v>P.3 (2)</v>
      </c>
      <c r="O63" s="16" t="str">
        <f t="shared" ca="1" si="187"/>
        <v>-</v>
      </c>
      <c r="P63" s="16"/>
      <c r="Q63" s="16" t="str">
        <f t="shared" ca="1" si="188"/>
        <v>P.3 (2)</v>
      </c>
      <c r="R63" s="16" t="str">
        <f t="shared" ca="1" si="189"/>
        <v>-</v>
      </c>
      <c r="S63" s="16"/>
      <c r="T63" s="16" t="str">
        <f t="shared" ca="1" si="190"/>
        <v>P.3 (2)</v>
      </c>
      <c r="U63" s="16" t="str">
        <f t="shared" ca="1" si="191"/>
        <v>-</v>
      </c>
      <c r="V63" s="17"/>
      <c r="W63" s="625"/>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Cabo Verde</v>
      </c>
      <c r="AM63" s="38">
        <f t="shared" ca="1" si="195"/>
        <v>3</v>
      </c>
      <c r="AN63" s="39">
        <f t="shared" ca="1" si="195"/>
        <v>3</v>
      </c>
      <c r="AO63" s="39">
        <f t="shared" ca="1" si="195"/>
        <v>0</v>
      </c>
      <c r="AP63" s="39">
        <f t="shared" ca="1" si="195"/>
        <v>3</v>
      </c>
      <c r="AQ63" s="39">
        <f t="shared" ca="1" si="195"/>
        <v>0</v>
      </c>
      <c r="AR63" s="39">
        <f t="shared" ca="1" si="195"/>
        <v>2</v>
      </c>
      <c r="AS63" s="39">
        <f t="shared" ca="1" si="195"/>
        <v>2</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4</v>
      </c>
      <c r="BF63" s="16">
        <f t="shared" ca="1" si="150"/>
        <v>3</v>
      </c>
      <c r="BG63" s="16">
        <f t="shared" ca="1" si="174"/>
        <v>1</v>
      </c>
      <c r="BH63" s="16">
        <f t="shared" ca="1" si="175"/>
        <v>1</v>
      </c>
      <c r="BI63" s="16">
        <f t="shared" ca="1" si="176"/>
        <v>1</v>
      </c>
      <c r="BJ63" s="16">
        <f t="shared" ca="1" si="177"/>
        <v>7</v>
      </c>
      <c r="BK63" s="16">
        <f t="shared" ca="1" si="178"/>
        <v>7</v>
      </c>
      <c r="BL63" s="16">
        <f t="shared" ca="1" si="151"/>
        <v>0</v>
      </c>
      <c r="BM63" s="16">
        <f t="shared" ca="1" si="152"/>
        <v>1</v>
      </c>
      <c r="BN63" s="16">
        <f t="shared" ca="1" si="153"/>
        <v>1</v>
      </c>
      <c r="BO63" s="16" t="str">
        <f t="shared" si="154"/>
        <v>4F</v>
      </c>
      <c r="BP63" s="16"/>
      <c r="BQ63" s="16"/>
      <c r="BR63" s="16">
        <f t="shared" ca="1" si="155"/>
        <v>4</v>
      </c>
      <c r="BS63" s="16">
        <f t="shared" ca="1" si="156"/>
        <v>1</v>
      </c>
      <c r="BT63" s="16" t="str">
        <f t="shared" ca="1" si="157"/>
        <v>Pos. 1 (4)</v>
      </c>
      <c r="BU63" s="16">
        <f t="shared" ca="1" si="158"/>
        <v>0</v>
      </c>
      <c r="BV63" s="16">
        <f t="shared" ca="1" si="159"/>
        <v>1</v>
      </c>
      <c r="BW63" s="16" t="str">
        <f t="shared" ca="1" si="160"/>
        <v>Pos. 1 (2)</v>
      </c>
      <c r="BX63" s="16">
        <f t="shared" ca="1" si="161"/>
        <v>7</v>
      </c>
      <c r="BY63" s="16">
        <f t="shared" ca="1" si="162"/>
        <v>1</v>
      </c>
      <c r="BZ63" s="16" t="str">
        <f t="shared" ca="1" si="163"/>
        <v>-</v>
      </c>
      <c r="CA63" s="16" t="str">
        <f t="shared" ca="1" si="164"/>
        <v>-</v>
      </c>
      <c r="CB63" s="16">
        <f t="shared" ca="1" si="165"/>
        <v>1</v>
      </c>
      <c r="CC63" s="16"/>
      <c r="CD63" s="16">
        <f t="shared" ca="1" si="166"/>
        <v>1</v>
      </c>
      <c r="CE63" s="16" t="str">
        <f t="shared" ca="1" si="167"/>
        <v>-</v>
      </c>
      <c r="CF63" s="16">
        <f t="shared" ca="1" si="168"/>
        <v>1</v>
      </c>
      <c r="DJ63" s="16">
        <f t="shared" ca="1" si="169"/>
        <v>6</v>
      </c>
      <c r="DK63" s="16"/>
      <c r="DL63" s="16">
        <f t="shared" ca="1" si="170"/>
        <v>1</v>
      </c>
      <c r="DM63" s="16" t="str">
        <f t="shared" ca="1" si="171"/>
        <v>6.1</v>
      </c>
      <c r="DN63" s="16">
        <f t="array" aca="1" ref="DN63" ca="1">OFFSET(Horarios!$P$3,DJ63-1,0,DL63,1)</f>
        <v>6</v>
      </c>
      <c r="DO63" s="16"/>
      <c r="DP63" s="16">
        <v>6</v>
      </c>
      <c r="DQ63" s="16" t="str">
        <f t="shared" ca="1" si="172"/>
        <v>Irán</v>
      </c>
    </row>
    <row r="64" spans="1:121" ht="16" customHeight="1" x14ac:dyDescent="0.2">
      <c r="A64" s="16" t="str">
        <f ca="1">+Equipos!B33</f>
        <v>Uruguay</v>
      </c>
      <c r="B64" s="16"/>
      <c r="C64" s="16"/>
      <c r="D64" s="16" t="str">
        <f t="shared" si="179"/>
        <v>Empate</v>
      </c>
      <c r="E64" s="16" t="str">
        <f t="shared" ca="1" si="180"/>
        <v>-</v>
      </c>
      <c r="F64" s="16" t="str">
        <f t="shared" ca="1" si="181"/>
        <v>P.3 (2)</v>
      </c>
      <c r="G64" s="16"/>
      <c r="H64" s="16" t="str">
        <f t="shared" ca="1" si="182"/>
        <v>-</v>
      </c>
      <c r="I64" s="16" t="str">
        <f t="shared" ca="1" si="183"/>
        <v>P.3 (2)</v>
      </c>
      <c r="J64" s="16"/>
      <c r="K64" s="16" t="str">
        <f t="shared" ca="1" si="184"/>
        <v>-</v>
      </c>
      <c r="L64" s="16" t="str">
        <f t="shared" ca="1" si="185"/>
        <v>P.3 (2)</v>
      </c>
      <c r="M64" s="16"/>
      <c r="N64" s="16" t="str">
        <f t="shared" ca="1" si="186"/>
        <v>-</v>
      </c>
      <c r="O64" s="16" t="str">
        <f t="shared" ca="1" si="187"/>
        <v>P.3 (2)</v>
      </c>
      <c r="P64" s="16"/>
      <c r="Q64" s="16" t="str">
        <f t="shared" ca="1" si="188"/>
        <v>-</v>
      </c>
      <c r="R64" s="16" t="str">
        <f t="shared" ca="1" si="189"/>
        <v>P.3 (2)</v>
      </c>
      <c r="S64" s="16"/>
      <c r="T64" s="16" t="str">
        <f t="shared" ca="1" si="190"/>
        <v>-</v>
      </c>
      <c r="U64" s="16" t="str">
        <f t="shared" ca="1" si="191"/>
        <v>P.3 (2)</v>
      </c>
      <c r="V64" s="17"/>
      <c r="W64" s="625"/>
      <c r="X64" s="24">
        <f ca="1">Horarios!C64</f>
        <v>46199.833333333343</v>
      </c>
      <c r="Y64" s="25">
        <f ca="1">Horarios!C64</f>
        <v>46199.833333333343</v>
      </c>
      <c r="Z64" s="26" t="str">
        <f>$Z$8</f>
        <v>J3</v>
      </c>
      <c r="AA64" s="27" t="str">
        <f ca="1">A62</f>
        <v>Cabo Verde</v>
      </c>
      <c r="AB64" s="49" t="str">
        <f t="array" aca="1" ref="AB64" ca="1">Ver_flag_local</f>
        <v/>
      </c>
      <c r="AC64" s="50">
        <v>0</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Uruguay</v>
      </c>
      <c r="AM64" s="38">
        <f t="shared" ca="1" si="195"/>
        <v>2</v>
      </c>
      <c r="AN64" s="39">
        <f t="shared" ca="1" si="195"/>
        <v>3</v>
      </c>
      <c r="AO64" s="39">
        <f t="shared" ca="1" si="195"/>
        <v>0</v>
      </c>
      <c r="AP64" s="39">
        <f t="shared" ca="1" si="195"/>
        <v>2</v>
      </c>
      <c r="AQ64" s="39">
        <f t="shared" ca="1" si="195"/>
        <v>1</v>
      </c>
      <c r="AR64" s="39">
        <f t="shared" ca="1" si="195"/>
        <v>3</v>
      </c>
      <c r="AS64" s="39">
        <f t="shared" ca="1" si="195"/>
        <v>4</v>
      </c>
      <c r="AT64" s="43">
        <f t="shared" ca="1" si="195"/>
        <v>-1</v>
      </c>
      <c r="AU64" s="323">
        <f ca="1">INDEX($DL$6:$DL$53,MATCH(AI64,$DP$6:$DP$53,0))</f>
        <v>1</v>
      </c>
      <c r="AV64" s="182" t="str">
        <f ca="1">INDEX($BD$6:$BD$53,MATCH(AI64,$BM$6:$BM$53,0))</f>
        <v>Uruguay</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0</v>
      </c>
      <c r="BH64" s="16">
        <f t="shared" ca="1" si="175"/>
        <v>3</v>
      </c>
      <c r="BI64" s="16">
        <f t="shared" ca="1" si="176"/>
        <v>0</v>
      </c>
      <c r="BJ64" s="16">
        <f t="shared" ca="1" si="177"/>
        <v>3</v>
      </c>
      <c r="BK64" s="16">
        <f t="shared" ca="1" si="178"/>
        <v>3</v>
      </c>
      <c r="BL64" s="16">
        <f t="shared" ca="1" si="151"/>
        <v>0</v>
      </c>
      <c r="BM64" s="16">
        <f t="shared" ca="1" si="152"/>
        <v>6</v>
      </c>
      <c r="BN64" s="16">
        <f t="shared" ca="1" si="153"/>
        <v>6</v>
      </c>
      <c r="BO64" s="16" t="str">
        <f t="shared" si="154"/>
        <v>4G</v>
      </c>
      <c r="BP64" s="16"/>
      <c r="BQ64" s="16"/>
      <c r="BR64" s="16">
        <f t="shared" ca="1" si="155"/>
        <v>3</v>
      </c>
      <c r="BS64" s="16">
        <f t="shared" ca="1" si="156"/>
        <v>5</v>
      </c>
      <c r="BT64" s="16" t="str">
        <f t="shared" ca="1" si="157"/>
        <v>Pos. 5 (6)</v>
      </c>
      <c r="BU64" s="16">
        <f t="shared" ca="1" si="158"/>
        <v>0</v>
      </c>
      <c r="BV64" s="16">
        <f t="shared" ca="1" si="159"/>
        <v>6</v>
      </c>
      <c r="BW64" s="16" t="str">
        <f t="shared" ca="1" si="160"/>
        <v>-</v>
      </c>
      <c r="BX64" s="16" t="str">
        <f t="shared" ca="1" si="161"/>
        <v>-</v>
      </c>
      <c r="BY64" s="16">
        <f t="shared" ca="1" si="162"/>
        <v>6</v>
      </c>
      <c r="BZ64" s="16" t="str">
        <f t="shared" ca="1" si="163"/>
        <v>-</v>
      </c>
      <c r="CA64" s="16" t="str">
        <f t="shared" ca="1" si="164"/>
        <v>-</v>
      </c>
      <c r="CB64" s="16">
        <f t="shared" ca="1" si="165"/>
        <v>6</v>
      </c>
      <c r="CC64" s="16"/>
      <c r="CD64" s="16">
        <f t="shared" ca="1" si="166"/>
        <v>6</v>
      </c>
      <c r="CE64" s="16" t="str">
        <f t="shared" ca="1" si="167"/>
        <v>-</v>
      </c>
      <c r="CF64" s="16">
        <f t="shared" ca="1" si="168"/>
        <v>6</v>
      </c>
      <c r="DJ64" s="16">
        <f t="shared" ca="1" si="169"/>
        <v>7</v>
      </c>
      <c r="DK64" s="16"/>
      <c r="DL64" s="16">
        <f t="shared" ca="1" si="170"/>
        <v>1</v>
      </c>
      <c r="DM64" s="16" t="str">
        <f t="shared" ca="1" si="171"/>
        <v>7.1</v>
      </c>
      <c r="DN64" s="16">
        <f t="array" aca="1" ref="DN64" ca="1">OFFSET(Horarios!$P$3,DJ64-1,0,DL64,1)</f>
        <v>7</v>
      </c>
      <c r="DO64" s="16"/>
      <c r="DP64" s="16">
        <v>7</v>
      </c>
      <c r="DQ64" s="16" t="str">
        <f t="shared" ca="1" si="172"/>
        <v>Croacia</v>
      </c>
    </row>
    <row r="65" spans="1:121" ht="16" customHeight="1" thickBot="1" x14ac:dyDescent="0.25">
      <c r="A65" s="16"/>
      <c r="B65" s="16"/>
      <c r="C65" s="16"/>
      <c r="D65" s="16" t="str">
        <f t="shared" si="179"/>
        <v>Visitante</v>
      </c>
      <c r="E65" s="16" t="str">
        <f t="shared" ca="1" si="180"/>
        <v>P.3 (2)</v>
      </c>
      <c r="F65" s="16" t="str">
        <f t="shared" ca="1" si="181"/>
        <v>-</v>
      </c>
      <c r="G65" s="16"/>
      <c r="H65" s="16" t="str">
        <f t="shared" ca="1" si="182"/>
        <v>P.3 (2)</v>
      </c>
      <c r="I65" s="16" t="str">
        <f t="shared" ca="1" si="183"/>
        <v>-</v>
      </c>
      <c r="J65" s="16"/>
      <c r="K65" s="16" t="str">
        <f t="shared" ca="1" si="184"/>
        <v>P.3 (2)</v>
      </c>
      <c r="L65" s="16" t="str">
        <f t="shared" ca="1" si="185"/>
        <v>-</v>
      </c>
      <c r="M65" s="16"/>
      <c r="N65" s="16" t="str">
        <f t="shared" ca="1" si="186"/>
        <v>P.3 (2)</v>
      </c>
      <c r="O65" s="16" t="str">
        <f t="shared" ca="1" si="187"/>
        <v>-</v>
      </c>
      <c r="P65" s="16"/>
      <c r="Q65" s="16" t="str">
        <f t="shared" ca="1" si="188"/>
        <v>P.3 (2)</v>
      </c>
      <c r="R65" s="16" t="str">
        <f t="shared" ca="1" si="189"/>
        <v>-</v>
      </c>
      <c r="S65" s="16"/>
      <c r="T65" s="16" t="str">
        <f t="shared" ca="1" si="190"/>
        <v>P.3 (2)</v>
      </c>
      <c r="U65" s="16" t="str">
        <f t="shared" ca="1" si="191"/>
        <v>-</v>
      </c>
      <c r="V65" s="17"/>
      <c r="W65" s="626"/>
      <c r="X65" s="28">
        <f ca="1">Horarios!C65</f>
        <v>46199.833333333343</v>
      </c>
      <c r="Y65" s="29">
        <f ca="1">Horarios!C65</f>
        <v>46199.833333333343</v>
      </c>
      <c r="Z65" s="30" t="str">
        <f>$Z$8</f>
        <v>J3</v>
      </c>
      <c r="AA65" s="31" t="str">
        <f ca="1">A64</f>
        <v>Uruguay</v>
      </c>
      <c r="AB65" s="52" t="str">
        <f t="array" aca="1" ref="AB65" ca="1">Ver_flag_local</f>
        <v/>
      </c>
      <c r="AC65" s="53">
        <v>0</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2</v>
      </c>
      <c r="AN65" s="47">
        <f t="shared" ca="1" si="195"/>
        <v>3</v>
      </c>
      <c r="AO65" s="47">
        <f t="shared" ca="1" si="195"/>
        <v>0</v>
      </c>
      <c r="AP65" s="47">
        <f t="shared" ca="1" si="195"/>
        <v>2</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Uruguay</v>
      </c>
      <c r="BE65" s="16">
        <f t="shared" ca="1" si="193"/>
        <v>2</v>
      </c>
      <c r="BF65" s="16">
        <f t="shared" ca="1" si="150"/>
        <v>3</v>
      </c>
      <c r="BG65" s="16">
        <f t="shared" ca="1" si="174"/>
        <v>0</v>
      </c>
      <c r="BH65" s="16">
        <f t="shared" ca="1" si="175"/>
        <v>2</v>
      </c>
      <c r="BI65" s="16">
        <f t="shared" ca="1" si="176"/>
        <v>1</v>
      </c>
      <c r="BJ65" s="16">
        <f t="shared" ca="1" si="177"/>
        <v>3</v>
      </c>
      <c r="BK65" s="16">
        <f t="shared" ca="1" si="178"/>
        <v>4</v>
      </c>
      <c r="BL65" s="16">
        <f t="shared" ca="1" si="151"/>
        <v>-1</v>
      </c>
      <c r="BM65" s="16">
        <f t="shared" ca="1" si="152"/>
        <v>11</v>
      </c>
      <c r="BN65" s="16">
        <f t="shared" ca="1" si="153"/>
        <v>11</v>
      </c>
      <c r="BO65" s="16" t="str">
        <f t="shared" si="154"/>
        <v>4H</v>
      </c>
      <c r="BP65" s="16"/>
      <c r="BQ65" s="16"/>
      <c r="BR65" s="16">
        <f t="shared" ca="1" si="155"/>
        <v>2</v>
      </c>
      <c r="BS65" s="16">
        <f t="shared" ca="1" si="156"/>
        <v>11</v>
      </c>
      <c r="BT65" s="16" t="str">
        <f t="shared" ca="1" si="157"/>
        <v>-</v>
      </c>
      <c r="BU65" s="16" t="str">
        <f t="shared" ca="1" si="158"/>
        <v>-</v>
      </c>
      <c r="BV65" s="16">
        <f t="shared" ca="1" si="159"/>
        <v>11</v>
      </c>
      <c r="BW65" s="16" t="str">
        <f t="shared" ca="1" si="160"/>
        <v>-</v>
      </c>
      <c r="BX65" s="16" t="str">
        <f t="shared" ca="1" si="161"/>
        <v>-</v>
      </c>
      <c r="BY65" s="16">
        <f t="shared" ca="1" si="162"/>
        <v>11</v>
      </c>
      <c r="BZ65" s="16" t="str">
        <f t="shared" ca="1" si="163"/>
        <v>-</v>
      </c>
      <c r="CA65" s="16" t="str">
        <f t="shared" ca="1" si="164"/>
        <v>-</v>
      </c>
      <c r="CB65" s="16">
        <f t="shared" ca="1" si="165"/>
        <v>11</v>
      </c>
      <c r="CC65" s="16"/>
      <c r="CD65" s="16">
        <f t="shared" ca="1" si="166"/>
        <v>11</v>
      </c>
      <c r="CE65" s="16" t="str">
        <f t="shared" ca="1" si="167"/>
        <v>-</v>
      </c>
      <c r="CF65" s="16">
        <f t="shared" ca="1" si="168"/>
        <v>11</v>
      </c>
      <c r="DJ65" s="16">
        <f t="shared" ca="1" si="169"/>
        <v>8</v>
      </c>
      <c r="DK65" s="16"/>
      <c r="DL65" s="16">
        <f t="shared" ca="1" si="170"/>
        <v>1</v>
      </c>
      <c r="DM65" s="16" t="str">
        <f t="shared" ca="1" si="171"/>
        <v>8.1</v>
      </c>
      <c r="DN65" s="16">
        <f t="array" aca="1" ref="DN65" ca="1">OFFSET(Horarios!$P$3,DJ65-1,0,DL65,1)</f>
        <v>8</v>
      </c>
      <c r="DO65" s="16"/>
      <c r="DP65" s="16">
        <v>8</v>
      </c>
      <c r="DQ65" s="16" t="str">
        <f t="shared" ca="1" si="172"/>
        <v>Corea del Sur</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8</v>
      </c>
      <c r="BK66" s="16">
        <f t="shared" ca="1" si="178"/>
        <v>6</v>
      </c>
      <c r="BL66" s="16">
        <f t="shared" ca="1" si="151"/>
        <v>2</v>
      </c>
      <c r="BM66" s="16">
        <f t="shared" ca="1" si="152"/>
        <v>5</v>
      </c>
      <c r="BN66" s="16">
        <f t="shared" ca="1" si="153"/>
        <v>5</v>
      </c>
      <c r="BO66" s="16" t="str">
        <f t="shared" si="154"/>
        <v>4I</v>
      </c>
      <c r="BP66" s="16"/>
      <c r="BQ66" s="16"/>
      <c r="BR66" s="16">
        <f t="shared" ca="1" si="155"/>
        <v>3</v>
      </c>
      <c r="BS66" s="16">
        <f t="shared" ca="1" si="156"/>
        <v>5</v>
      </c>
      <c r="BT66" s="16" t="str">
        <f t="shared" ca="1" si="157"/>
        <v>Pos. 5 (6)</v>
      </c>
      <c r="BU66" s="16">
        <f t="shared" ca="1" si="158"/>
        <v>2</v>
      </c>
      <c r="BV66" s="16">
        <f t="shared" ca="1" si="159"/>
        <v>5</v>
      </c>
      <c r="BW66" s="16" t="str">
        <f t="shared" ca="1" si="160"/>
        <v>-</v>
      </c>
      <c r="BX66" s="16" t="str">
        <f t="shared" ca="1" si="161"/>
        <v>-</v>
      </c>
      <c r="BY66" s="16">
        <f t="shared" ca="1" si="162"/>
        <v>5</v>
      </c>
      <c r="BZ66" s="16" t="str">
        <f t="shared" ca="1" si="163"/>
        <v>-</v>
      </c>
      <c r="CA66" s="16" t="str">
        <f t="shared" ca="1" si="164"/>
        <v>-</v>
      </c>
      <c r="CB66" s="16">
        <f t="shared" ca="1" si="165"/>
        <v>5</v>
      </c>
      <c r="CC66" s="16"/>
      <c r="CD66" s="16">
        <f t="shared" ca="1" si="166"/>
        <v>5</v>
      </c>
      <c r="CE66" s="16" t="str">
        <f t="shared" ca="1" si="167"/>
        <v>-</v>
      </c>
      <c r="CF66" s="16">
        <f t="shared" ca="1" si="168"/>
        <v>5</v>
      </c>
      <c r="DJ66" s="16">
        <f t="shared" ca="1" si="169"/>
        <v>9</v>
      </c>
      <c r="DK66" s="16"/>
      <c r="DL66" s="16">
        <f t="shared" ca="1" si="170"/>
        <v>1</v>
      </c>
      <c r="DM66" s="16" t="str">
        <f t="shared" ca="1" si="171"/>
        <v>9.1</v>
      </c>
      <c r="DN66" s="16">
        <f t="array" aca="1" ref="DN66" ca="1">OFFSET(Horarios!$P$3,DJ66-1,0,DL66,1)</f>
        <v>9</v>
      </c>
      <c r="DO66" s="16"/>
      <c r="DP66" s="16">
        <v>9</v>
      </c>
      <c r="DQ66" s="16" t="str">
        <f t="shared" ca="1" si="172"/>
        <v>Argelia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3</v>
      </c>
      <c r="BF67" s="16">
        <f t="shared" ca="1" si="150"/>
        <v>2</v>
      </c>
      <c r="BG67" s="16">
        <f t="shared" ca="1" si="174"/>
        <v>1</v>
      </c>
      <c r="BH67" s="16">
        <f t="shared" ca="1" si="175"/>
        <v>0</v>
      </c>
      <c r="BI67" s="16">
        <f t="shared" ca="1" si="176"/>
        <v>1</v>
      </c>
      <c r="BJ67" s="16">
        <f t="shared" ca="1" si="177"/>
        <v>2</v>
      </c>
      <c r="BK67" s="16">
        <f t="shared" ca="1" si="178"/>
        <v>4</v>
      </c>
      <c r="BL67" s="16">
        <f t="shared" ca="1" si="151"/>
        <v>-2</v>
      </c>
      <c r="BM67" s="16">
        <f t="shared" ca="1" si="152"/>
        <v>9</v>
      </c>
      <c r="BN67" s="16">
        <f t="shared" ca="1" si="153"/>
        <v>9</v>
      </c>
      <c r="BO67" s="16" t="str">
        <f t="shared" si="154"/>
        <v>4J</v>
      </c>
      <c r="BP67" s="16"/>
      <c r="BQ67" s="16"/>
      <c r="BR67" s="16">
        <f t="shared" ca="1" si="155"/>
        <v>3</v>
      </c>
      <c r="BS67" s="16">
        <f t="shared" ca="1" si="156"/>
        <v>5</v>
      </c>
      <c r="BT67" s="16" t="str">
        <f t="shared" ca="1" si="157"/>
        <v>Pos. 5 (6)</v>
      </c>
      <c r="BU67" s="16">
        <f t="shared" ca="1" si="158"/>
        <v>-2</v>
      </c>
      <c r="BV67" s="16">
        <f t="shared" ca="1" si="159"/>
        <v>9</v>
      </c>
      <c r="BW67" s="16" t="str">
        <f t="shared" ca="1" si="160"/>
        <v>-</v>
      </c>
      <c r="BX67" s="16" t="str">
        <f t="shared" ca="1" si="161"/>
        <v>-</v>
      </c>
      <c r="BY67" s="16">
        <f t="shared" ca="1" si="162"/>
        <v>9</v>
      </c>
      <c r="BZ67" s="16" t="str">
        <f t="shared" ca="1" si="163"/>
        <v>-</v>
      </c>
      <c r="CA67" s="16" t="str">
        <f t="shared" ca="1" si="164"/>
        <v>-</v>
      </c>
      <c r="CB67" s="16">
        <f t="shared" ca="1" si="165"/>
        <v>9</v>
      </c>
      <c r="CC67" s="16"/>
      <c r="CD67" s="16">
        <f t="shared" ca="1" si="166"/>
        <v>9</v>
      </c>
      <c r="CE67" s="16" t="str">
        <f t="shared" ca="1" si="167"/>
        <v>-</v>
      </c>
      <c r="CF67" s="16">
        <f t="shared" ca="1" si="168"/>
        <v>9</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Escocia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35"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1</v>
      </c>
      <c r="BF68" s="16">
        <f t="shared" ca="1" si="150"/>
        <v>2</v>
      </c>
      <c r="BG68" s="16">
        <f t="shared" ca="1" si="174"/>
        <v>0</v>
      </c>
      <c r="BH68" s="16">
        <f t="shared" ca="1" si="175"/>
        <v>1</v>
      </c>
      <c r="BI68" s="16">
        <f t="shared" ca="1" si="176"/>
        <v>1</v>
      </c>
      <c r="BJ68" s="16">
        <f t="shared" ca="1" si="177"/>
        <v>1</v>
      </c>
      <c r="BK68" s="16">
        <f t="shared" ca="1" si="178"/>
        <v>2</v>
      </c>
      <c r="BL68" s="16">
        <f t="shared" ca="1" si="151"/>
        <v>-1</v>
      </c>
      <c r="BM68" s="16">
        <f t="shared" ca="1" si="152"/>
        <v>12</v>
      </c>
      <c r="BN68" s="16">
        <f t="shared" ca="1" si="153"/>
        <v>12</v>
      </c>
      <c r="BO68" s="16" t="str">
        <f t="shared" si="154"/>
        <v>4K</v>
      </c>
      <c r="BP68" s="16"/>
      <c r="BQ68" s="16"/>
      <c r="BR68" s="16">
        <f t="shared" ca="1" si="155"/>
        <v>1</v>
      </c>
      <c r="BS68" s="16">
        <f t="shared" ca="1" si="156"/>
        <v>12</v>
      </c>
      <c r="BT68" s="16" t="str">
        <f t="shared" ca="1" si="157"/>
        <v>-</v>
      </c>
      <c r="BU68" s="16" t="str">
        <f t="shared" ca="1" si="158"/>
        <v>-</v>
      </c>
      <c r="BV68" s="16">
        <f t="shared" ca="1" si="159"/>
        <v>12</v>
      </c>
      <c r="BW68" s="16" t="str">
        <f t="shared" ca="1" si="160"/>
        <v>-</v>
      </c>
      <c r="BX68" s="16" t="str">
        <f t="shared" ca="1" si="161"/>
        <v>-</v>
      </c>
      <c r="BY68" s="16">
        <f t="shared" ca="1" si="162"/>
        <v>12</v>
      </c>
      <c r="BZ68" s="16" t="str">
        <f t="shared" ca="1" si="163"/>
        <v>-</v>
      </c>
      <c r="CA68" s="16" t="str">
        <f t="shared" ca="1" si="164"/>
        <v>-</v>
      </c>
      <c r="CB68" s="16">
        <f t="shared" ca="1" si="165"/>
        <v>12</v>
      </c>
      <c r="CC68" s="16"/>
      <c r="CD68" s="16">
        <f t="shared" ca="1" si="166"/>
        <v>12</v>
      </c>
      <c r="CE68" s="16" t="str">
        <f t="shared" ca="1" si="167"/>
        <v>-</v>
      </c>
      <c r="CF68" s="16">
        <f t="shared" ca="1" si="168"/>
        <v>12</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Uruguay</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5"/>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Croacia</v>
      </c>
      <c r="BE69" s="16">
        <f t="shared" ca="1" si="193"/>
        <v>3</v>
      </c>
      <c r="BF69" s="16">
        <f t="shared" ca="1" si="150"/>
        <v>2</v>
      </c>
      <c r="BG69" s="16">
        <f t="shared" ca="1" si="174"/>
        <v>1</v>
      </c>
      <c r="BH69" s="16">
        <f t="shared" ca="1" si="175"/>
        <v>0</v>
      </c>
      <c r="BI69" s="16">
        <f t="shared" ca="1" si="176"/>
        <v>1</v>
      </c>
      <c r="BJ69" s="16">
        <f t="shared" ca="1" si="177"/>
        <v>3</v>
      </c>
      <c r="BK69" s="16">
        <f t="shared" ca="1" si="178"/>
        <v>4</v>
      </c>
      <c r="BL69" s="16">
        <f t="shared" ca="1" si="151"/>
        <v>-1</v>
      </c>
      <c r="BM69" s="16">
        <f t="shared" ca="1" si="152"/>
        <v>7</v>
      </c>
      <c r="BN69" s="16">
        <f t="shared" ca="1" si="153"/>
        <v>7</v>
      </c>
      <c r="BO69" s="16" t="str">
        <f t="shared" si="154"/>
        <v>4L</v>
      </c>
      <c r="BP69" s="16"/>
      <c r="BQ69" s="16"/>
      <c r="BR69" s="16">
        <f t="shared" ca="1" si="155"/>
        <v>3</v>
      </c>
      <c r="BS69" s="16">
        <f t="shared" ca="1" si="156"/>
        <v>5</v>
      </c>
      <c r="BT69" s="16" t="str">
        <f t="shared" ca="1" si="157"/>
        <v>Pos. 5 (6)</v>
      </c>
      <c r="BU69" s="16">
        <f t="shared" ca="1" si="158"/>
        <v>-1</v>
      </c>
      <c r="BV69" s="16">
        <f t="shared" ca="1" si="159"/>
        <v>7</v>
      </c>
      <c r="BW69" s="16" t="str">
        <f t="shared" ca="1" si="160"/>
        <v>Pos. 7 (2)</v>
      </c>
      <c r="BX69" s="16">
        <f t="shared" ca="1" si="161"/>
        <v>3</v>
      </c>
      <c r="BY69" s="16">
        <f t="shared" ca="1" si="162"/>
        <v>7</v>
      </c>
      <c r="BZ69" s="16" t="str">
        <f t="shared" ca="1" si="163"/>
        <v>-</v>
      </c>
      <c r="CA69" s="16" t="str">
        <f t="shared" ca="1" si="164"/>
        <v>-</v>
      </c>
      <c r="CB69" s="16">
        <f t="shared" ca="1" si="165"/>
        <v>7</v>
      </c>
      <c r="CC69" s="16"/>
      <c r="CD69" s="16">
        <f t="shared" ca="1" si="166"/>
        <v>7</v>
      </c>
      <c r="CE69" s="16" t="str">
        <f t="shared" ca="1" si="167"/>
        <v>-</v>
      </c>
      <c r="CF69" s="16">
        <f t="shared" ca="1" si="168"/>
        <v>7</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RD Congo</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5"/>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10</v>
      </c>
      <c r="AS70" s="36">
        <f t="shared" ca="1" si="211"/>
        <v>2</v>
      </c>
      <c r="AT70" s="41">
        <f t="shared" ca="1" si="211"/>
        <v>8</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5"/>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8</v>
      </c>
      <c r="AS71" s="39">
        <f t="shared" ca="1" si="211"/>
        <v>7</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5"/>
      <c r="X72" s="24">
        <f ca="1">Horarios!C72</f>
        <v>46199.625</v>
      </c>
      <c r="Y72" s="25">
        <f ca="1">Horarios!C72</f>
        <v>46199.625</v>
      </c>
      <c r="Z72" s="26" t="str">
        <f>$Z$8</f>
        <v>J3</v>
      </c>
      <c r="AA72" s="27" t="str">
        <f ca="1">A72</f>
        <v>Noruega</v>
      </c>
      <c r="AB72" s="49" t="str">
        <f t="array" aca="1" ref="AB72" ca="1">Ver_flag_local</f>
        <v/>
      </c>
      <c r="AC72" s="50">
        <v>1</v>
      </c>
      <c r="AD72" s="51">
        <v>4</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8</v>
      </c>
      <c r="AS72" s="39">
        <f t="shared" ca="1" si="211"/>
        <v>6</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6"/>
      <c r="X73" s="28">
        <f ca="1">Horarios!C73</f>
        <v>46199.625</v>
      </c>
      <c r="Y73" s="29">
        <f ca="1">Horarios!C73</f>
        <v>46199.625</v>
      </c>
      <c r="Z73" s="30" t="str">
        <f>$Z$8</f>
        <v>J3</v>
      </c>
      <c r="AA73" s="31" t="str">
        <f ca="1">A70</f>
        <v>Senegal</v>
      </c>
      <c r="AB73" s="52" t="str">
        <f t="array" aca="1" ref="AB73" ca="1">Ver_flag_local</f>
        <v/>
      </c>
      <c r="AC73" s="53">
        <v>5</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12</v>
      </c>
      <c r="AT73" s="48">
        <f t="shared" ca="1" si="211"/>
        <v>-11</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39"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5"/>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5"/>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6</v>
      </c>
      <c r="AN78" s="36">
        <f t="shared" ca="1" si="227"/>
        <v>2</v>
      </c>
      <c r="AO78" s="36">
        <f t="shared" ca="1" si="227"/>
        <v>2</v>
      </c>
      <c r="AP78" s="36">
        <f t="shared" ca="1" si="227"/>
        <v>0</v>
      </c>
      <c r="AQ78" s="36">
        <f t="shared" ca="1" si="227"/>
        <v>0</v>
      </c>
      <c r="AR78" s="36">
        <f t="shared" ca="1" si="227"/>
        <v>5</v>
      </c>
      <c r="AS78" s="36">
        <f t="shared" ca="1" si="227"/>
        <v>0</v>
      </c>
      <c r="AT78" s="41">
        <f t="shared" ca="1" si="227"/>
        <v>5</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5"/>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3</v>
      </c>
      <c r="AN79" s="39">
        <f t="shared" ca="1" si="227"/>
        <v>2</v>
      </c>
      <c r="AO79" s="39">
        <f t="shared" ca="1" si="227"/>
        <v>1</v>
      </c>
      <c r="AP79" s="39">
        <f t="shared" ca="1" si="227"/>
        <v>0</v>
      </c>
      <c r="AQ79" s="39">
        <f t="shared" ca="1" si="227"/>
        <v>1</v>
      </c>
      <c r="AR79" s="39">
        <f t="shared" ca="1" si="227"/>
        <v>3</v>
      </c>
      <c r="AS79" s="39">
        <f t="shared" ca="1" si="227"/>
        <v>3</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5"/>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Argelia</v>
      </c>
      <c r="AM80" s="38">
        <f t="shared" ca="1" si="227"/>
        <v>3</v>
      </c>
      <c r="AN80" s="39">
        <f t="shared" ca="1" si="227"/>
        <v>2</v>
      </c>
      <c r="AO80" s="39">
        <f t="shared" ca="1" si="227"/>
        <v>1</v>
      </c>
      <c r="AP80" s="39">
        <f t="shared" ca="1" si="227"/>
        <v>0</v>
      </c>
      <c r="AQ80" s="39">
        <f t="shared" ca="1" si="227"/>
        <v>1</v>
      </c>
      <c r="AR80" s="39">
        <f t="shared" ca="1" si="227"/>
        <v>2</v>
      </c>
      <c r="AS80" s="39">
        <f t="shared" ca="1" si="227"/>
        <v>4</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6"/>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2</v>
      </c>
      <c r="AO81" s="47">
        <f t="shared" ca="1" si="227"/>
        <v>0</v>
      </c>
      <c r="AP81" s="47">
        <f t="shared" ca="1" si="227"/>
        <v>0</v>
      </c>
      <c r="AQ81" s="47">
        <f t="shared" ca="1" si="227"/>
        <v>2</v>
      </c>
      <c r="AR81" s="47">
        <f t="shared" ca="1" si="227"/>
        <v>2</v>
      </c>
      <c r="AS81" s="47">
        <f t="shared" ca="1" si="227"/>
        <v>5</v>
      </c>
      <c r="AT81" s="48">
        <f t="shared" ca="1" si="227"/>
        <v>-3</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0"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5"/>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5"/>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6</v>
      </c>
      <c r="AN86" s="36">
        <f t="shared" ca="1" si="243"/>
        <v>2</v>
      </c>
      <c r="AO86" s="36">
        <f t="shared" ca="1" si="243"/>
        <v>2</v>
      </c>
      <c r="AP86" s="36">
        <f t="shared" ca="1" si="243"/>
        <v>0</v>
      </c>
      <c r="AQ86" s="36">
        <f t="shared" ca="1" si="243"/>
        <v>0</v>
      </c>
      <c r="AR86" s="36">
        <f t="shared" ca="1" si="243"/>
        <v>4</v>
      </c>
      <c r="AS86" s="36">
        <f t="shared" ca="1" si="243"/>
        <v>1</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5"/>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4</v>
      </c>
      <c r="AN87" s="39">
        <f t="shared" ca="1" si="243"/>
        <v>2</v>
      </c>
      <c r="AO87" s="39">
        <f t="shared" ca="1" si="243"/>
        <v>1</v>
      </c>
      <c r="AP87" s="39">
        <f t="shared" ca="1" si="243"/>
        <v>1</v>
      </c>
      <c r="AQ87" s="39">
        <f t="shared" ca="1" si="243"/>
        <v>0</v>
      </c>
      <c r="AR87" s="39">
        <f t="shared" ca="1" si="243"/>
        <v>6</v>
      </c>
      <c r="AS87" s="39">
        <f t="shared" ca="1" si="243"/>
        <v>1</v>
      </c>
      <c r="AT87" s="43">
        <f t="shared" ca="1" si="243"/>
        <v>5</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5"/>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RD Congo</v>
      </c>
      <c r="AM88" s="38">
        <f t="shared" ca="1" si="243"/>
        <v>1</v>
      </c>
      <c r="AN88" s="39">
        <f t="shared" ca="1" si="243"/>
        <v>2</v>
      </c>
      <c r="AO88" s="39">
        <f t="shared" ca="1" si="243"/>
        <v>0</v>
      </c>
      <c r="AP88" s="39">
        <f t="shared" ca="1" si="243"/>
        <v>1</v>
      </c>
      <c r="AQ88" s="39">
        <f t="shared" ca="1" si="243"/>
        <v>1</v>
      </c>
      <c r="AR88" s="39">
        <f t="shared" ca="1" si="243"/>
        <v>1</v>
      </c>
      <c r="AS88" s="39">
        <f t="shared" ca="1" si="243"/>
        <v>2</v>
      </c>
      <c r="AT88" s="43">
        <f t="shared" ca="1" si="243"/>
        <v>-1</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6"/>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2</v>
      </c>
      <c r="AO89" s="47">
        <f t="shared" ca="1" si="243"/>
        <v>0</v>
      </c>
      <c r="AP89" s="47">
        <f t="shared" ca="1" si="243"/>
        <v>0</v>
      </c>
      <c r="AQ89" s="47">
        <f t="shared" ca="1" si="243"/>
        <v>2</v>
      </c>
      <c r="AR89" s="47">
        <f t="shared" ca="1" si="243"/>
        <v>1</v>
      </c>
      <c r="AS89" s="47">
        <f t="shared" ca="1" si="243"/>
        <v>8</v>
      </c>
      <c r="AT89" s="48">
        <f t="shared" ca="1" si="243"/>
        <v>-7</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P.1 (2)</v>
      </c>
      <c r="F92" s="16" t="str">
        <f t="shared" ref="F92:F97" ca="1" si="246">IF(D92="Pendiente","-",INDEX($BT$6:$BT$53,MATCH($AF92,$BD$6:$BD$53,0)))</f>
        <v>-</v>
      </c>
      <c r="G92" s="16"/>
      <c r="H92" s="16" t="str">
        <f t="shared" ref="H92:H97" ca="1" si="247">IF(D92="Pendiente","-",INDEX($BZ$6:$BZ$53,MATCH($AA92,$BD$6:$BD$53,0)))</f>
        <v>P.1 (2)</v>
      </c>
      <c r="I92" s="16" t="str">
        <f t="shared" ref="I92:I97" ca="1" si="248">IF(D92="Pendiente","-",INDEX($BZ$6:$BZ$53,MATCH($AF92,$BD$6:$BD$53,0)))</f>
        <v>-</v>
      </c>
      <c r="J92" s="16"/>
      <c r="K92" s="16" t="str">
        <f t="shared" ref="K92:K97" ca="1" si="249">IF(D92="Pendiente","-",INDEX($CE$6:$CE$53,MATCH($AA92,$BD$6:$BD$53,0)))</f>
        <v>P.1 (2)</v>
      </c>
      <c r="L92" s="16" t="str">
        <f t="shared" ref="L92:L97" ca="1" si="250">IF(D92="Pendiente","-",INDEX($CE$6:$CE$53,MATCH($AF92,$BD$6:$BD$53,0)))</f>
        <v>-</v>
      </c>
      <c r="M92" s="16"/>
      <c r="N92" s="16" t="str">
        <f t="shared" ref="N92:N97" ca="1" si="251">IF(D92="Pendiente","-",INDEX($CH$6:$CH$53,MATCH($AA92,$BD$6:$BD$53,0)))</f>
        <v>P.1 (2)</v>
      </c>
      <c r="O92" s="16" t="str">
        <f t="shared" ref="O92:O97" ca="1" si="252">IF(D92="Pendiente","-",INDEX($CH$6:$CH$53,MATCH($AF92,$BD$6:$BD$53,0)))</f>
        <v>-</v>
      </c>
      <c r="P92" s="16"/>
      <c r="Q92" s="16" t="str">
        <f t="shared" ref="Q92:Q97" ca="1" si="253">IF(D92="Pendiente","-",INDEX($CN$6:$CN$53,MATCH($AA92,$BD$6:$BD$53,0)))</f>
        <v>P.1 (2)</v>
      </c>
      <c r="R92" s="16" t="str">
        <f t="shared" ref="R92:R97" ca="1" si="254">IF(D92="Pendiente","-",INDEX($CN$6:$CN$53,MATCH($AF92,$BD$6:$BD$53,0)))</f>
        <v>-</v>
      </c>
      <c r="S92" s="16"/>
      <c r="T92" s="16" t="str">
        <f t="shared" ref="T92:T97" ca="1" si="255">IF(D92="Pendiente","-",INDEX($CS$6:$CS$53,MATCH($AA92,$BD$6:$BD$53,0)))</f>
        <v>P.1 (2)</v>
      </c>
      <c r="U92" s="16" t="str">
        <f t="shared" ref="U92:U97" ca="1" si="256">IF(D92="Pendiente","-",INDEX($CS$6:$CS$53,MATCH($AF92,$BD$6:$BD$53,0)))</f>
        <v>-</v>
      </c>
      <c r="V92" s="17"/>
      <c r="W92" s="633"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P.1 (2)</v>
      </c>
      <c r="F93" s="16" t="str">
        <f t="shared" ca="1" si="246"/>
        <v>-</v>
      </c>
      <c r="G93" s="16"/>
      <c r="H93" s="16" t="str">
        <f t="shared" ca="1" si="247"/>
        <v>P.1 (2)</v>
      </c>
      <c r="I93" s="16" t="str">
        <f t="shared" ca="1" si="248"/>
        <v>-</v>
      </c>
      <c r="J93" s="16"/>
      <c r="K93" s="16" t="str">
        <f t="shared" ca="1" si="249"/>
        <v>P.1 (2)</v>
      </c>
      <c r="L93" s="16" t="str">
        <f t="shared" ca="1" si="250"/>
        <v>-</v>
      </c>
      <c r="M93" s="16"/>
      <c r="N93" s="16" t="str">
        <f t="shared" ca="1" si="251"/>
        <v>P.1 (2)</v>
      </c>
      <c r="O93" s="16" t="str">
        <f t="shared" ca="1" si="252"/>
        <v>-</v>
      </c>
      <c r="P93" s="16"/>
      <c r="Q93" s="16" t="str">
        <f t="shared" ca="1" si="253"/>
        <v>P.1 (2)</v>
      </c>
      <c r="R93" s="16" t="str">
        <f t="shared" ca="1" si="254"/>
        <v>-</v>
      </c>
      <c r="S93" s="16"/>
      <c r="T93" s="16" t="str">
        <f t="shared" ca="1" si="255"/>
        <v>P.1 (2)</v>
      </c>
      <c r="U93" s="16" t="str">
        <f t="shared" ca="1" si="256"/>
        <v>-</v>
      </c>
      <c r="V93" s="17"/>
      <c r="W93" s="625"/>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P.1 (2)</v>
      </c>
      <c r="F94" s="16" t="str">
        <f t="shared" ca="1" si="246"/>
        <v>P.1 (2)</v>
      </c>
      <c r="G94" s="16"/>
      <c r="H94" s="16" t="str">
        <f t="shared" ca="1" si="247"/>
        <v>P.1 (2)</v>
      </c>
      <c r="I94" s="16" t="str">
        <f t="shared" ca="1" si="248"/>
        <v>P.1 (2)</v>
      </c>
      <c r="J94" s="16"/>
      <c r="K94" s="16" t="str">
        <f t="shared" ca="1" si="249"/>
        <v>P.1 (2)</v>
      </c>
      <c r="L94" s="16" t="str">
        <f t="shared" ca="1" si="250"/>
        <v>P.1 (2)</v>
      </c>
      <c r="M94" s="16"/>
      <c r="N94" s="16" t="str">
        <f t="shared" ca="1" si="251"/>
        <v>P.1 (2)</v>
      </c>
      <c r="O94" s="16" t="str">
        <f t="shared" ca="1" si="252"/>
        <v>P.1 (2)</v>
      </c>
      <c r="P94" s="16"/>
      <c r="Q94" s="16" t="str">
        <f t="shared" ca="1" si="253"/>
        <v>P.1 (2)</v>
      </c>
      <c r="R94" s="16" t="str">
        <f t="shared" ca="1" si="254"/>
        <v>P.1 (2)</v>
      </c>
      <c r="S94" s="16"/>
      <c r="T94" s="16" t="str">
        <f t="shared" ca="1" si="255"/>
        <v>P.1 (2)</v>
      </c>
      <c r="U94" s="16" t="str">
        <f t="shared" ca="1" si="256"/>
        <v>P.1 (2)</v>
      </c>
      <c r="V94" s="17"/>
      <c r="W94" s="625"/>
      <c r="X94" s="24">
        <f ca="1">Horarios!C94</f>
        <v>46196.666666666657</v>
      </c>
      <c r="Y94" s="25">
        <f ca="1">Horarios!C94</f>
        <v>46196.666666666657</v>
      </c>
      <c r="Z94" s="26" t="str">
        <f>$Z$6</f>
        <v>J2</v>
      </c>
      <c r="AA94" s="27" t="str">
        <f ca="1">A93</f>
        <v>Inglaterra</v>
      </c>
      <c r="AB94" s="49" t="str">
        <f t="array" aca="1" ref="AB94" ca="1">Ver_flag_local</f>
        <v/>
      </c>
      <c r="AC94" s="50">
        <v>0</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4</v>
      </c>
      <c r="AN94" s="36">
        <f t="shared" ca="1" si="259"/>
        <v>2</v>
      </c>
      <c r="AO94" s="36">
        <f t="shared" ca="1" si="259"/>
        <v>1</v>
      </c>
      <c r="AP94" s="36">
        <f t="shared" ca="1" si="259"/>
        <v>1</v>
      </c>
      <c r="AQ94" s="36">
        <f t="shared" ca="1" si="259"/>
        <v>0</v>
      </c>
      <c r="AR94" s="36">
        <f t="shared" ca="1" si="259"/>
        <v>4</v>
      </c>
      <c r="AS94" s="36">
        <f t="shared" ca="1" si="259"/>
        <v>2</v>
      </c>
      <c r="AT94" s="41">
        <f t="shared" ca="1" si="259"/>
        <v>2</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5"/>
      <c r="X95" s="24">
        <f ca="1">Horarios!C95</f>
        <v>46196.791666666657</v>
      </c>
      <c r="Y95" s="25">
        <f ca="1">Horarios!C95</f>
        <v>46196.791666666657</v>
      </c>
      <c r="Z95" s="26" t="str">
        <f>$Z$6</f>
        <v>J2</v>
      </c>
      <c r="AA95" s="27" t="str">
        <f ca="1">A96</f>
        <v>Panamá</v>
      </c>
      <c r="AB95" s="49" t="str">
        <f t="array" aca="1" ref="AB95" ca="1">Ver_flag_local</f>
        <v/>
      </c>
      <c r="AC95" s="50">
        <v>0</v>
      </c>
      <c r="AD95" s="51">
        <v>1</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Ghana</v>
      </c>
      <c r="AM95" s="38">
        <f t="shared" ca="1" si="259"/>
        <v>4</v>
      </c>
      <c r="AN95" s="39">
        <f t="shared" ca="1" si="259"/>
        <v>2</v>
      </c>
      <c r="AO95" s="39">
        <f t="shared" ca="1" si="259"/>
        <v>1</v>
      </c>
      <c r="AP95" s="39">
        <f t="shared" ca="1" si="259"/>
        <v>1</v>
      </c>
      <c r="AQ95" s="39">
        <f t="shared" ca="1" si="259"/>
        <v>0</v>
      </c>
      <c r="AR95" s="39">
        <f t="shared" ca="1" si="259"/>
        <v>1</v>
      </c>
      <c r="AS95" s="39">
        <f t="shared" ca="1" si="259"/>
        <v>0</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5"/>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Croacia</v>
      </c>
      <c r="AM96" s="38">
        <f t="shared" ca="1" si="259"/>
        <v>3</v>
      </c>
      <c r="AN96" s="39">
        <f t="shared" ca="1" si="259"/>
        <v>2</v>
      </c>
      <c r="AO96" s="39">
        <f t="shared" ca="1" si="259"/>
        <v>1</v>
      </c>
      <c r="AP96" s="39">
        <f t="shared" ca="1" si="259"/>
        <v>0</v>
      </c>
      <c r="AQ96" s="39">
        <f t="shared" ca="1" si="259"/>
        <v>1</v>
      </c>
      <c r="AR96" s="39">
        <f t="shared" ca="1" si="259"/>
        <v>3</v>
      </c>
      <c r="AS96" s="39">
        <f t="shared" ca="1" si="259"/>
        <v>4</v>
      </c>
      <c r="AT96" s="43">
        <f t="shared" ca="1" si="259"/>
        <v>-1</v>
      </c>
      <c r="AU96" s="323">
        <f ca="1">INDEX($DL$6:$DL$53,MATCH(AI96,$DP$6:$DP$53,0))</f>
        <v>1</v>
      </c>
      <c r="AV96" s="182" t="str">
        <f ca="1">INDEX($BD$6:$BD$53,MATCH(AI96,$BM$6:$BM$53,0))</f>
        <v>Croacia</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6"/>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2</v>
      </c>
      <c r="AO97" s="47">
        <f t="shared" ca="1" si="259"/>
        <v>0</v>
      </c>
      <c r="AP97" s="47">
        <f t="shared" ca="1" si="259"/>
        <v>0</v>
      </c>
      <c r="AQ97" s="47">
        <f t="shared" ca="1" si="259"/>
        <v>2</v>
      </c>
      <c r="AR97" s="47">
        <f t="shared" ca="1" si="259"/>
        <v>0</v>
      </c>
      <c r="AS97" s="47">
        <f t="shared" ca="1" si="259"/>
        <v>2</v>
      </c>
      <c r="AT97" s="48">
        <f t="shared" ca="1" si="259"/>
        <v>-2</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24"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ABDEFGIL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5"/>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Suecia</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7</v>
      </c>
      <c r="AS102" s="83">
        <f t="shared" ca="1" si="269"/>
        <v>7</v>
      </c>
      <c r="AT102" s="84">
        <f t="shared" ca="1" si="269"/>
        <v>0</v>
      </c>
      <c r="AU102" s="323" t="str">
        <f t="shared" ref="AU102:AU113" ca="1" si="270">IF($H$113=144,INDEX($DL$58:$DL$69,MATCH(AI102,$DP$58:$DP$69,0)),"")</f>
        <v/>
      </c>
      <c r="AV102" s="182" t="str">
        <f t="shared" ref="AV102:AV113" ca="1" si="271">INDEX($BD$58:$BD$69,MATCH(AI102,$BM$58:$BM$69,0))</f>
        <v>Suecia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5"/>
      <c r="X103" s="24">
        <f ca="1">Horarios!C103</f>
        <v>46202.6875</v>
      </c>
      <c r="Y103" s="25">
        <f ca="1">Horarios!C103</f>
        <v>46202.6875</v>
      </c>
      <c r="Z103" s="274">
        <f t="shared" si="263"/>
        <v>74</v>
      </c>
      <c r="AA103" s="88" t="str">
        <f t="shared" ca="1" si="264"/>
        <v>Alemania</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Ecuador</v>
      </c>
      <c r="AM103" s="576">
        <f t="shared" ca="1" si="269"/>
        <v>4</v>
      </c>
      <c r="AN103" s="86">
        <f t="shared" ca="1" si="269"/>
        <v>3</v>
      </c>
      <c r="AO103" s="86">
        <f t="shared" ca="1" si="269"/>
        <v>1</v>
      </c>
      <c r="AP103" s="86">
        <f t="shared" ca="1" si="269"/>
        <v>1</v>
      </c>
      <c r="AQ103" s="86">
        <f t="shared" ca="1" si="269"/>
        <v>1</v>
      </c>
      <c r="AR103" s="86">
        <f t="shared" ca="1" si="269"/>
        <v>2</v>
      </c>
      <c r="AS103" s="86">
        <f t="shared" ca="1" si="269"/>
        <v>2</v>
      </c>
      <c r="AT103" s="87">
        <f t="shared" ca="1" si="269"/>
        <v>0</v>
      </c>
      <c r="AU103" s="323" t="str">
        <f t="shared" ca="1" si="270"/>
        <v/>
      </c>
      <c r="AV103" s="182" t="str">
        <f t="shared" ca="1" si="271"/>
        <v>Ecuador</v>
      </c>
      <c r="AW103" s="215"/>
      <c r="AX103" s="170"/>
      <c r="AY103" s="270"/>
      <c r="AZ103" s="273" t="str">
        <f t="shared" ref="AZ103:AZ110" ca="1" si="272">+IF(OR($H$113&gt;=48,$AJ$99=144),BF117&amp;" - "&amp;BG117,"")</f>
        <v>1A - 3E</v>
      </c>
      <c r="BA103" s="176"/>
      <c r="BF103" t="str">
        <f t="shared" ref="BF103:BF110" ca="1" si="273">IFERROR(INDEX($BC$6:$BC$53,MATCH(AL102,$BD$6:$BD$53,0)),"")</f>
        <v>F</v>
      </c>
      <c r="BG103">
        <f t="shared" ref="BG103:BG110" ca="1" si="274">COUNTIF($BF$103:$BF$110,"&lt;="&amp;BF103)</f>
        <v>5</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5"/>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Bosnia y Herzegovina</v>
      </c>
      <c r="AM104" s="576">
        <f t="shared" ca="1" si="269"/>
        <v>4</v>
      </c>
      <c r="AN104" s="86">
        <f t="shared" ca="1" si="269"/>
        <v>3</v>
      </c>
      <c r="AO104" s="86">
        <f t="shared" ca="1" si="269"/>
        <v>1</v>
      </c>
      <c r="AP104" s="86">
        <f t="shared" ca="1" si="269"/>
        <v>1</v>
      </c>
      <c r="AQ104" s="86">
        <f t="shared" ca="1" si="269"/>
        <v>1</v>
      </c>
      <c r="AR104" s="86">
        <f t="shared" ca="1" si="269"/>
        <v>5</v>
      </c>
      <c r="AS104" s="86">
        <f t="shared" ca="1" si="269"/>
        <v>6</v>
      </c>
      <c r="AT104" s="87">
        <f t="shared" ca="1" si="269"/>
        <v>-1</v>
      </c>
      <c r="AU104" s="323" t="str">
        <f t="shared" ca="1" si="270"/>
        <v/>
      </c>
      <c r="AV104" s="182" t="str">
        <f t="shared" ca="1" si="271"/>
        <v>Bosnia y Herzegovina</v>
      </c>
      <c r="AW104" s="215"/>
      <c r="AX104" s="170"/>
      <c r="AY104" s="270"/>
      <c r="AZ104" s="273" t="str">
        <f t="shared" ca="1" si="272"/>
        <v>1B - 3G</v>
      </c>
      <c r="BA104" s="176"/>
      <c r="BF104" t="str">
        <f t="shared" ca="1" si="273"/>
        <v>E</v>
      </c>
      <c r="BG104">
        <f t="shared" ca="1" si="274"/>
        <v>4</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5"/>
      <c r="X105" s="24">
        <f ca="1">Horarios!C105</f>
        <v>46203.541666666657</v>
      </c>
      <c r="Y105" s="25">
        <f ca="1">Horarios!C105</f>
        <v>46203.541666666657</v>
      </c>
      <c r="Z105" s="274">
        <f t="shared" si="263"/>
        <v>78</v>
      </c>
      <c r="AA105" s="88" t="str">
        <f t="shared" ca="1" si="264"/>
        <v>Costa de Marfil</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Paraguay</v>
      </c>
      <c r="AM105" s="576">
        <f t="shared" ca="1" si="269"/>
        <v>4</v>
      </c>
      <c r="AN105" s="86">
        <f t="shared" ca="1" si="269"/>
        <v>3</v>
      </c>
      <c r="AO105" s="86">
        <f t="shared" ca="1" si="269"/>
        <v>1</v>
      </c>
      <c r="AP105" s="86">
        <f t="shared" ca="1" si="269"/>
        <v>1</v>
      </c>
      <c r="AQ105" s="86">
        <f t="shared" ca="1" si="269"/>
        <v>1</v>
      </c>
      <c r="AR105" s="86">
        <f t="shared" ca="1" si="269"/>
        <v>2</v>
      </c>
      <c r="AS105" s="86">
        <f t="shared" ca="1" si="269"/>
        <v>4</v>
      </c>
      <c r="AT105" s="87">
        <f t="shared" ca="1" si="269"/>
        <v>-2</v>
      </c>
      <c r="AU105" s="323" t="str">
        <f t="shared" ca="1" si="270"/>
        <v/>
      </c>
      <c r="AV105" s="182" t="str">
        <f t="shared" ca="1" si="271"/>
        <v>Paraguay</v>
      </c>
      <c r="AW105" s="215"/>
      <c r="AX105" s="170"/>
      <c r="AY105" s="270"/>
      <c r="AZ105" s="273" t="str">
        <f t="shared" ca="1" si="272"/>
        <v>1D - 3B</v>
      </c>
      <c r="BA105" s="176"/>
      <c r="BF105" t="str">
        <f t="shared" ca="1" si="273"/>
        <v>B</v>
      </c>
      <c r="BG105">
        <f t="shared" ca="1" si="274"/>
        <v>2</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5"/>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Senegal</v>
      </c>
      <c r="AM106" s="576">
        <f t="shared" ca="1" si="269"/>
        <v>3</v>
      </c>
      <c r="AN106" s="86">
        <f t="shared" ca="1" si="269"/>
        <v>3</v>
      </c>
      <c r="AO106" s="86">
        <f t="shared" ca="1" si="269"/>
        <v>1</v>
      </c>
      <c r="AP106" s="86">
        <f t="shared" ca="1" si="269"/>
        <v>0</v>
      </c>
      <c r="AQ106" s="86">
        <f t="shared" ca="1" si="269"/>
        <v>2</v>
      </c>
      <c r="AR106" s="86">
        <f t="shared" ca="1" si="269"/>
        <v>8</v>
      </c>
      <c r="AS106" s="86">
        <f t="shared" ca="1" si="269"/>
        <v>6</v>
      </c>
      <c r="AT106" s="87">
        <f t="shared" ca="1" si="269"/>
        <v>2</v>
      </c>
      <c r="AU106" s="323" t="str">
        <f t="shared" ca="1" si="270"/>
        <v/>
      </c>
      <c r="AV106" s="182" t="str">
        <f t="shared" ca="1" si="271"/>
        <v>Senegal</v>
      </c>
      <c r="AW106" s="215"/>
      <c r="AX106" s="170"/>
      <c r="AY106" s="270"/>
      <c r="AZ106" s="273" t="str">
        <f t="shared" ca="1" si="272"/>
        <v>1E - 3D</v>
      </c>
      <c r="BA106" s="176"/>
      <c r="BF106" t="str">
        <f t="shared" ca="1" si="273"/>
        <v>D</v>
      </c>
      <c r="BG106">
        <f t="shared" ca="1" si="274"/>
        <v>3</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5"/>
      <c r="X107" s="24">
        <f ca="1">Horarios!C107</f>
        <v>46203.875</v>
      </c>
      <c r="Y107" s="25">
        <f ca="1">Horarios!C107</f>
        <v>46203.875</v>
      </c>
      <c r="Z107" s="274">
        <f t="shared" si="263"/>
        <v>79</v>
      </c>
      <c r="AA107" s="88" t="str">
        <f t="shared" ca="1" si="264"/>
        <v>México</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Irán</v>
      </c>
      <c r="AM107" s="576">
        <f t="shared" ca="1" si="269"/>
        <v>3</v>
      </c>
      <c r="AN107" s="86">
        <f t="shared" ca="1" si="269"/>
        <v>3</v>
      </c>
      <c r="AO107" s="86">
        <f t="shared" ca="1" si="269"/>
        <v>0</v>
      </c>
      <c r="AP107" s="86">
        <f t="shared" ca="1" si="269"/>
        <v>3</v>
      </c>
      <c r="AQ107" s="86">
        <f t="shared" ca="1" si="269"/>
        <v>0</v>
      </c>
      <c r="AR107" s="86">
        <f t="shared" ca="1" si="269"/>
        <v>3</v>
      </c>
      <c r="AS107" s="86">
        <f t="shared" ca="1" si="269"/>
        <v>3</v>
      </c>
      <c r="AT107" s="87">
        <f t="shared" ca="1" si="269"/>
        <v>0</v>
      </c>
      <c r="AU107" s="323" t="str">
        <f t="shared" ca="1" si="270"/>
        <v/>
      </c>
      <c r="AV107" s="182" t="str">
        <f t="shared" ca="1" si="271"/>
        <v>Irán</v>
      </c>
      <c r="AW107" s="215"/>
      <c r="AX107" s="170"/>
      <c r="AY107" s="270"/>
      <c r="AZ107" s="273" t="str">
        <f t="shared" ca="1" si="272"/>
        <v>1G - 3A</v>
      </c>
      <c r="BA107" s="176"/>
      <c r="BF107" t="str">
        <f t="shared" ca="1" si="273"/>
        <v>I</v>
      </c>
      <c r="BG107">
        <f t="shared" ca="1" si="274"/>
        <v>7</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5"/>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Croacia</v>
      </c>
      <c r="AM108" s="576">
        <f t="shared" ca="1" si="269"/>
        <v>3</v>
      </c>
      <c r="AN108" s="86">
        <f t="shared" ca="1" si="269"/>
        <v>2</v>
      </c>
      <c r="AO108" s="86">
        <f t="shared" ca="1" si="269"/>
        <v>1</v>
      </c>
      <c r="AP108" s="86">
        <f t="shared" ca="1" si="269"/>
        <v>0</v>
      </c>
      <c r="AQ108" s="86">
        <f t="shared" ca="1" si="269"/>
        <v>1</v>
      </c>
      <c r="AR108" s="86">
        <f t="shared" ca="1" si="269"/>
        <v>3</v>
      </c>
      <c r="AS108" s="86">
        <f t="shared" ca="1" si="269"/>
        <v>4</v>
      </c>
      <c r="AT108" s="87">
        <f t="shared" ca="1" si="269"/>
        <v>-1</v>
      </c>
      <c r="AU108" s="323" t="str">
        <f t="shared" ca="1" si="270"/>
        <v/>
      </c>
      <c r="AV108" s="182" t="str">
        <f t="shared" ca="1" si="271"/>
        <v>Croacia</v>
      </c>
      <c r="AW108" s="215"/>
      <c r="AX108" s="170"/>
      <c r="AY108" s="270"/>
      <c r="AZ108" s="273" t="str">
        <f t="shared" ca="1" si="272"/>
        <v>1I - 3F</v>
      </c>
      <c r="BA108" s="176"/>
      <c r="BF108" t="str">
        <f t="shared" ca="1" si="273"/>
        <v>G</v>
      </c>
      <c r="BG108">
        <f t="shared" ca="1" si="274"/>
        <v>6</v>
      </c>
      <c r="BI108">
        <v>6</v>
      </c>
      <c r="BJ108" t="str">
        <f t="shared" ca="1" si="275"/>
        <v>G</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5"/>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Corea del Sur</v>
      </c>
      <c r="AM109" s="576">
        <f t="shared" ca="1" si="269"/>
        <v>3</v>
      </c>
      <c r="AN109" s="86">
        <f t="shared" ca="1" si="269"/>
        <v>3</v>
      </c>
      <c r="AO109" s="86">
        <f t="shared" ca="1" si="269"/>
        <v>1</v>
      </c>
      <c r="AP109" s="86">
        <f t="shared" ca="1" si="269"/>
        <v>0</v>
      </c>
      <c r="AQ109" s="86">
        <f t="shared" ca="1" si="269"/>
        <v>2</v>
      </c>
      <c r="AR109" s="86">
        <f t="shared" ca="1" si="269"/>
        <v>2</v>
      </c>
      <c r="AS109" s="86">
        <f t="shared" ca="1" si="269"/>
        <v>3</v>
      </c>
      <c r="AT109" s="87">
        <f t="shared" ca="1" si="269"/>
        <v>-1</v>
      </c>
      <c r="AU109" s="323" t="str">
        <f t="shared" ca="1" si="270"/>
        <v/>
      </c>
      <c r="AV109" s="182" t="str">
        <f t="shared" ca="1" si="271"/>
        <v>Corea del Sur</v>
      </c>
      <c r="AW109" s="215"/>
      <c r="AX109" s="170"/>
      <c r="AY109" s="270"/>
      <c r="AZ109" s="273" t="str">
        <f t="shared" ca="1" si="272"/>
        <v>1K - 3L</v>
      </c>
      <c r="BA109" s="176"/>
      <c r="BF109" t="str">
        <f t="shared" ca="1" si="273"/>
        <v>L</v>
      </c>
      <c r="BG109">
        <f t="shared" ca="1" si="274"/>
        <v>8</v>
      </c>
      <c r="BI109">
        <v>7</v>
      </c>
      <c r="BJ109" t="str">
        <f t="shared" ca="1" si="275"/>
        <v>I</v>
      </c>
    </row>
    <row r="110" spans="1:62" ht="16" customHeight="1" x14ac:dyDescent="0.2">
      <c r="A110" s="16" t="s">
        <v>97</v>
      </c>
      <c r="B110" s="16" t="s">
        <v>159</v>
      </c>
      <c r="C110" s="16"/>
      <c r="D110" s="16" t="str">
        <f t="shared" si="260"/>
        <v>W81</v>
      </c>
      <c r="E110" s="16" t="s">
        <v>121</v>
      </c>
      <c r="F110" s="16" t="s">
        <v>142</v>
      </c>
      <c r="G110" s="16" t="s">
        <v>128</v>
      </c>
      <c r="H110" s="16">
        <f t="shared" ca="1" si="261"/>
        <v>8</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5"/>
      <c r="X110" s="24">
        <f ca="1">Horarios!C110</f>
        <v>46204.833333333343</v>
      </c>
      <c r="Y110" s="25">
        <f ca="1">Horarios!C110</f>
        <v>46204.833333333343</v>
      </c>
      <c r="Z110" s="274">
        <f t="shared" si="263"/>
        <v>81</v>
      </c>
      <c r="AA110" s="88" t="str">
        <f t="shared" ca="1" si="264"/>
        <v>Estados Unidos</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Argelia</v>
      </c>
      <c r="AM110" s="576">
        <f t="shared" ca="1" si="269"/>
        <v>3</v>
      </c>
      <c r="AN110" s="86">
        <f t="shared" ca="1" si="269"/>
        <v>2</v>
      </c>
      <c r="AO110" s="86">
        <f t="shared" ca="1" si="269"/>
        <v>1</v>
      </c>
      <c r="AP110" s="86">
        <f t="shared" ca="1" si="269"/>
        <v>0</v>
      </c>
      <c r="AQ110" s="86">
        <f t="shared" ca="1" si="269"/>
        <v>1</v>
      </c>
      <c r="AR110" s="86">
        <f t="shared" ca="1" si="269"/>
        <v>2</v>
      </c>
      <c r="AS110" s="86">
        <f t="shared" ca="1" si="269"/>
        <v>4</v>
      </c>
      <c r="AT110" s="87">
        <f t="shared" ca="1" si="269"/>
        <v>-2</v>
      </c>
      <c r="AU110" s="323" t="str">
        <f t="shared" ca="1" si="270"/>
        <v/>
      </c>
      <c r="AV110" s="182" t="str">
        <f t="shared" ca="1" si="271"/>
        <v>Argelia</v>
      </c>
      <c r="AW110" s="215"/>
      <c r="AX110" s="170"/>
      <c r="AY110" s="270"/>
      <c r="AZ110" s="273" t="str">
        <f t="shared" ca="1" si="272"/>
        <v>1L - 3I</v>
      </c>
      <c r="BA110" s="176"/>
      <c r="BF110" t="str">
        <f t="shared" ca="1" si="273"/>
        <v>A</v>
      </c>
      <c r="BG110">
        <f t="shared" ca="1" si="274"/>
        <v>1</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8</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5"/>
      <c r="X111" s="24">
        <f ca="1">Horarios!C111</f>
        <v>46205.625</v>
      </c>
      <c r="Y111" s="25">
        <f ca="1">Horarios!C111</f>
        <v>46205.625</v>
      </c>
      <c r="Z111" s="274">
        <f t="shared" si="263"/>
        <v>84</v>
      </c>
      <c r="AA111" s="88" t="str">
        <f t="shared" ca="1" si="264"/>
        <v>España</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Escocia</v>
      </c>
      <c r="AM111" s="576">
        <f t="shared" ca="1" si="269"/>
        <v>3</v>
      </c>
      <c r="AN111" s="86">
        <f t="shared" ca="1" si="269"/>
        <v>3</v>
      </c>
      <c r="AO111" s="86">
        <f t="shared" ca="1" si="269"/>
        <v>1</v>
      </c>
      <c r="AP111" s="86">
        <f t="shared" ca="1" si="269"/>
        <v>0</v>
      </c>
      <c r="AQ111" s="86">
        <f t="shared" ca="1" si="269"/>
        <v>2</v>
      </c>
      <c r="AR111" s="86">
        <f t="shared" ca="1" si="269"/>
        <v>1</v>
      </c>
      <c r="AS111" s="86">
        <f t="shared" ca="1" si="269"/>
        <v>4</v>
      </c>
      <c r="AT111" s="87">
        <f t="shared" ca="1" si="269"/>
        <v>-3</v>
      </c>
      <c r="AU111" s="323" t="str">
        <f t="shared" ca="1" si="270"/>
        <v/>
      </c>
      <c r="AV111" s="182" t="str">
        <f t="shared" ca="1" si="271"/>
        <v>Escocia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8</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5"/>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Uruguay</v>
      </c>
      <c r="AM112" s="576">
        <f t="shared" ca="1" si="269"/>
        <v>2</v>
      </c>
      <c r="AN112" s="86">
        <f t="shared" ca="1" si="269"/>
        <v>3</v>
      </c>
      <c r="AO112" s="86">
        <f t="shared" ca="1" si="269"/>
        <v>0</v>
      </c>
      <c r="AP112" s="86">
        <f t="shared" ca="1" si="269"/>
        <v>2</v>
      </c>
      <c r="AQ112" s="86">
        <f t="shared" ca="1" si="269"/>
        <v>1</v>
      </c>
      <c r="AR112" s="86">
        <f t="shared" ca="1" si="269"/>
        <v>3</v>
      </c>
      <c r="AS112" s="86">
        <f t="shared" ca="1" si="269"/>
        <v>4</v>
      </c>
      <c r="AT112" s="87">
        <f t="shared" ca="1" si="269"/>
        <v>-1</v>
      </c>
      <c r="AU112" s="323" t="str">
        <f t="shared" ca="1" si="270"/>
        <v/>
      </c>
      <c r="AV112" s="182" t="str">
        <f t="shared" ca="1" si="271"/>
        <v>Uruguay</v>
      </c>
      <c r="AW112" s="215"/>
      <c r="AX112" s="170"/>
      <c r="AY112" s="269"/>
      <c r="AZ112" s="269"/>
      <c r="BA112" s="176"/>
      <c r="BI112" t="str">
        <f ca="1">IFERROR(CONCATENATE(BJ103,BJ104,BJ105,BJ106,BJ107,BJ108,BJ109,BJ110),"¿A/B/C/D/E/F/G/H/I/J/K/L?")</f>
        <v>ABDEFGIL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132</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5"/>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RD Congo</v>
      </c>
      <c r="AM113" s="577">
        <f t="shared" ca="1" si="269"/>
        <v>1</v>
      </c>
      <c r="AN113" s="47">
        <f t="shared" ca="1" si="269"/>
        <v>2</v>
      </c>
      <c r="AO113" s="47">
        <f t="shared" ca="1" si="269"/>
        <v>0</v>
      </c>
      <c r="AP113" s="47">
        <f t="shared" ca="1" si="269"/>
        <v>1</v>
      </c>
      <c r="AQ113" s="47">
        <f t="shared" ca="1" si="269"/>
        <v>1</v>
      </c>
      <c r="AR113" s="47">
        <f t="shared" ca="1" si="269"/>
        <v>1</v>
      </c>
      <c r="AS113" s="47">
        <f t="shared" ca="1" si="269"/>
        <v>2</v>
      </c>
      <c r="AT113" s="48">
        <f t="shared" ca="1" si="269"/>
        <v>-1</v>
      </c>
      <c r="AU113" s="323" t="str">
        <f t="shared" ca="1" si="270"/>
        <v/>
      </c>
      <c r="AV113" s="182" t="str">
        <f t="shared" ca="1" si="271"/>
        <v>RD Congo</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25"/>
      <c r="X114" s="24">
        <f ca="1">Horarios!C114</f>
        <v>46206.583333333343</v>
      </c>
      <c r="Y114" s="25">
        <f ca="1">Horarios!C114</f>
        <v>46206.583333333343</v>
      </c>
      <c r="Z114" s="274">
        <f t="shared" si="263"/>
        <v>88</v>
      </c>
      <c r="AA114" s="88" t="str">
        <f t="shared" ca="1" si="264"/>
        <v>Australia</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5"/>
      <c r="X115" s="24">
        <f ca="1">Horarios!C115</f>
        <v>46206.75</v>
      </c>
      <c r="Y115" s="25">
        <f ca="1">Horarios!C115</f>
        <v>46206.75</v>
      </c>
      <c r="Z115" s="274">
        <f t="shared" si="263"/>
        <v>86</v>
      </c>
      <c r="AA115" s="88" t="str">
        <f t="shared" ca="1" si="264"/>
        <v>1J</v>
      </c>
      <c r="AB115" s="89"/>
      <c r="AC115" s="92"/>
      <c r="AD115" s="92"/>
      <c r="AE115" s="89"/>
      <c r="AF115" s="91" t="str">
        <f t="shared" ca="1" si="265"/>
        <v>Cabo Verde</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6"/>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38"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2"/>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2"/>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2"/>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2"/>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2"/>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2"/>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3"/>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1"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2"/>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2"/>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3"/>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40"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41"/>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X|0-0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2|0-1</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2|0-3</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1|3-1</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1|4-2</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X|0-0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1|2-1</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X|1-1</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2|1-5</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X|0-0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2|0-1</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2|1-4</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1|5-0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México</v>
      </c>
      <c r="D80" s="656"/>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Sudáfrica</v>
      </c>
      <c r="D81" s="656"/>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Corea del Sur</v>
      </c>
      <c r="D82" s="656"/>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República Checa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Suiza</v>
      </c>
      <c r="D84" s="656"/>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Canadá</v>
      </c>
      <c r="D85" s="656"/>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Bosnia y Herzegovina</v>
      </c>
      <c r="D86" s="656"/>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Catar</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Brasil</v>
      </c>
      <c r="D88" s="656"/>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Marruecos</v>
      </c>
      <c r="D89" s="656"/>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Escocia</v>
      </c>
      <c r="D90" s="656"/>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Haití</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Estados Unidos</v>
      </c>
      <c r="D92" s="656"/>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Australia</v>
      </c>
      <c r="D93" s="656"/>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Paraguay</v>
      </c>
      <c r="D94" s="656"/>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Turquía</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Alemania</v>
      </c>
      <c r="D96" s="656"/>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Costa de Marfil</v>
      </c>
      <c r="D97" s="656"/>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Ecuador</v>
      </c>
      <c r="D98" s="656"/>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Curazao</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Países Bajos</v>
      </c>
      <c r="D100" s="656"/>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Japón</v>
      </c>
      <c r="D101" s="656"/>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Suecia</v>
      </c>
      <c r="D102" s="656"/>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Túnez</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Bélgica</v>
      </c>
      <c r="D104" s="656"/>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Egipto</v>
      </c>
      <c r="D105" s="656"/>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Irán</v>
      </c>
      <c r="D106" s="656"/>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Nueva Zelanda</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España</v>
      </c>
      <c r="D108" s="656"/>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Cabo Verde</v>
      </c>
      <c r="D109" s="656"/>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Uruguay</v>
      </c>
      <c r="D110" s="656"/>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Arabia Saudita</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Francia</v>
      </c>
      <c r="D112" s="656"/>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Noruega</v>
      </c>
      <c r="D113" s="656"/>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Senegal</v>
      </c>
      <c r="D114" s="656"/>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Irak</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Sudáfrica</v>
      </c>
      <c r="D130" s="656"/>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Brasil</v>
      </c>
      <c r="D131" s="656"/>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Alemania</v>
      </c>
      <c r="D132" s="656"/>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Países Bajos</v>
      </c>
      <c r="D133" s="656"/>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Costa de Marfil</v>
      </c>
      <c r="D134" s="656"/>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Francia</v>
      </c>
      <c r="D135" s="656"/>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México</v>
      </c>
      <c r="D136" s="656"/>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Bélgica</v>
      </c>
      <c r="D138" s="656"/>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Estados Unidos</v>
      </c>
      <c r="D139" s="656"/>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España</v>
      </c>
      <c r="D140" s="656"/>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Suiza</v>
      </c>
      <c r="D142" s="656"/>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Australia</v>
      </c>
      <c r="D143" s="656"/>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Canadá</v>
      </c>
      <c r="D146" s="656"/>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Japón</v>
      </c>
      <c r="D147" s="656"/>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Marruecos</v>
      </c>
      <c r="D149" s="656"/>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Noruega</v>
      </c>
      <c r="D150" s="656"/>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Egipto</v>
      </c>
      <c r="D159" s="656"/>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Cabo Verde</v>
      </c>
      <c r="D160" s="656"/>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3DEIJL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0"/>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0"/>
      <c r="E165" s="656"/>
      <c r="F165" s="656"/>
      <c r="G165" s="656"/>
      <c r="H165" s="656"/>
      <c r="I165" s="345"/>
      <c r="J165" s="361"/>
      <c r="K165" s="361"/>
      <c r="L165" s="361"/>
      <c r="M165" s="377"/>
      <c r="N165" s="368"/>
    </row>
    <row r="166" spans="1:14" ht="15" customHeight="1" x14ac:dyDescent="0.2">
      <c r="A166" s="620"/>
      <c r="B166" s="352" t="str">
        <f ca="1">CONCATENATE(WORLDCUP!AA103,"-",WORLDCUP!AF103)</f>
        <v>Alemania-3ABCDF</v>
      </c>
      <c r="C166" s="342" t="str">
        <f ca="1">CONCATENATE(WORLDCUP!AA103,"-",WORLDCUP!AF103,"·",IF(WORLDCUP!AC103&gt;WORLDCUP!AD103,1,IF(WORLDCUP!AC103&lt;WORLDCUP!AD103,2,IF(AND(WORLDCUP!AC103=WORLDCUP!AD103,WORLDCUP!AC103&lt;&gt;"",WORLDCUP!AD103&lt;&gt;""),"X",0))),"|",WORLDCUP!AC103,"-",WORLDCUP!AD103)</f>
        <v>Alemania-3ABCDF·0|-</v>
      </c>
      <c r="D166" s="620"/>
      <c r="E166" s="656"/>
      <c r="F166" s="656"/>
      <c r="G166" s="656"/>
      <c r="H166" s="656"/>
      <c r="I166" s="345"/>
      <c r="J166" s="361"/>
      <c r="K166" s="361"/>
      <c r="L166" s="361"/>
      <c r="M166" s="377"/>
      <c r="N166" s="368"/>
    </row>
    <row r="167" spans="1:14" ht="15" customHeight="1" x14ac:dyDescent="0.2">
      <c r="A167" s="620"/>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0"/>
      <c r="E167" s="656"/>
      <c r="F167" s="656"/>
      <c r="G167" s="656"/>
      <c r="H167" s="656"/>
      <c r="I167" s="345"/>
      <c r="J167" s="361"/>
      <c r="K167" s="361"/>
      <c r="L167" s="361"/>
      <c r="M167" s="377"/>
      <c r="N167" s="368"/>
    </row>
    <row r="168" spans="1:14" ht="15" customHeight="1" x14ac:dyDescent="0.2">
      <c r="A168" s="620"/>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Marfil-Noruega·0|-</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Francia-3CDFGH</v>
      </c>
      <c r="C169" s="342" t="str">
        <f ca="1">CONCATENATE(WORLDCUP!AA106,"-",WORLDCUP!AF106,"·",IF(WORLDCUP!AC106&gt;WORLDCUP!AD106,1,IF(WORLDCUP!AC106&lt;WORLDCUP!AD106,2,IF(AND(WORLDCUP!AC106=WORLDCUP!AD106,WORLDCUP!AC106&lt;&gt;"",WORLDCUP!AD106&lt;&gt;""),"X",0))),"|",WORLDCUP!AC106,"-",WORLDCUP!AD106)</f>
        <v>Francia-3CDFGH·0|-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México-3CEFHI</v>
      </c>
      <c r="C170" s="342" t="str">
        <f ca="1">CONCATENATE(WORLDCUP!AA107,"-",WORLDCUP!AF107,"·",IF(WORLDCUP!AC107&gt;WORLDCUP!AD107,1,IF(WORLDCUP!AC107&lt;WORLDCUP!AD107,2,IF(AND(WORLDCUP!AC107=WORLDCUP!AD107,WORLDCUP!AC107&lt;&gt;"",WORLDCUP!AD107&lt;&gt;""),"X",0))),"|",WORLDCUP!AC107,"-",WORLDCUP!AD107)</f>
        <v>México-3CEFHI·0|-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Bélgica-3AEHIJ</v>
      </c>
      <c r="C172" s="342" t="str">
        <f ca="1">CONCATENATE(WORLDCUP!AA109,"-",WORLDCUP!AF109,"·",IF(WORLDCUP!AC109&gt;WORLDCUP!AD109,1,IF(WORLDCUP!AC109&lt;WORLDCUP!AD109,2,IF(AND(WORLDCUP!AC109=WORLDCUP!AD109,WORLDCUP!AC109&lt;&gt;"",WORLDCUP!AD109&lt;&gt;""),"X",0))),"|",WORLDCUP!AC109,"-",WORLDCUP!AD109)</f>
        <v>Bélgica-3AEHIJ·0|-</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Estados Unidos-3BEFIJ</v>
      </c>
      <c r="C173" s="342" t="str">
        <f ca="1">CONCATENATE(WORLDCUP!AA110,"-",WORLDCUP!AF110,"·",IF(WORLDCUP!AC110&gt;WORLDCUP!AD110,1,IF(WORLDCUP!AC110&lt;WORLDCUP!AD110,2,IF(AND(WORLDCUP!AC110=WORLDCUP!AD110,WORLDCUP!AC110&lt;&gt;"",WORLDCUP!AD110&lt;&gt;""),"X",0))),"|",WORLDCUP!AC110,"-",WORLDCUP!AD110)</f>
        <v>Estados Unidos-3BEFIJ·0|-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España-2J</v>
      </c>
      <c r="C174" s="342" t="str">
        <f ca="1">CONCATENATE(WORLDCUP!AA111,"-",WORLDCUP!AF111,"·",IF(WORLDCUP!AC111&gt;WORLDCUP!AD111,1,IF(WORLDCUP!AC111&lt;WORLDCUP!AD111,2,IF(AND(WORLDCUP!AC111=WORLDCUP!AD111,WORLDCUP!AC111&lt;&gt;"",WORLDCUP!AD111&lt;&gt;""),"X",0))),"|",WORLDCUP!AC111,"-",WORLDCUP!AD111)</f>
        <v>España-2J·0|-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Suiza-3EFGIJ</v>
      </c>
      <c r="C176" s="342" t="str">
        <f ca="1">CONCATENATE(WORLDCUP!AA113,"-",WORLDCUP!AF113,"·",IF(WORLDCUP!AC113&gt;WORLDCUP!AD113,1,IF(WORLDCUP!AC113&lt;WORLDCUP!AD113,2,IF(AND(WORLDCUP!AC113=WORLDCUP!AD113,WORLDCUP!AC113&lt;&gt;"",WORLDCUP!AD113&lt;&gt;""),"X",0))),"|",WORLDCUP!AC113,"-",WORLDCUP!AD113)</f>
        <v>Suiza-3EFGIJ·0|-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Australia-Egipto</v>
      </c>
      <c r="C177" s="342" t="str">
        <f ca="1">CONCATENATE(WORLDCUP!AA114,"-",WORLDCUP!AF114,"·",IF(WORLDCUP!AC114&gt;WORLDCUP!AD114,1,IF(WORLDCUP!AC114&lt;WORLDCUP!AD114,2,IF(AND(WORLDCUP!AC114=WORLDCUP!AD114,WORLDCUP!AC114&lt;&gt;"",WORLDCUP!AD114&lt;&gt;""),"X",0))),"|",WORLDCUP!AC114,"-",WORLDCUP!AD114)</f>
        <v>Australia-Egipto·0|-</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1J-Cabo Verde</v>
      </c>
      <c r="C178" s="342" t="str">
        <f ca="1">CONCATENATE(WORLDCUP!AA115,"-",WORLDCUP!AF115,"·",IF(WORLDCUP!AC115&gt;WORLDCUP!AD115,1,IF(WORLDCUP!AC115&lt;WORLDCUP!AD115,2,IF(AND(WORLDCUP!AC115=WORLDCUP!AD115,WORLDCUP!AC115&lt;&gt;"",WORLDCUP!AD115&lt;&gt;""),"X",0))),"|",WORLDCUP!AC115,"-",WORLDCUP!AD115)</f>
        <v>1J-Cabo Verde·0|-</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WORLDCUP!AF127</f>
        <v>W87</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6"/>
      <c r="F201" s="656"/>
      <c r="G201" s="656"/>
      <c r="H201" s="656"/>
      <c r="I201" s="345"/>
      <c r="J201" s="361"/>
      <c r="K201" s="361"/>
      <c r="L201" s="361"/>
      <c r="M201" s="377"/>
      <c r="N201" s="368"/>
    </row>
    <row r="202" spans="1:14" ht="15" customHeight="1" x14ac:dyDescent="0.2">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6"/>
      <c r="F202" s="656"/>
      <c r="G202" s="656"/>
      <c r="H202" s="656"/>
      <c r="I202" s="345"/>
      <c r="J202" s="361"/>
      <c r="K202" s="361"/>
      <c r="L202" s="361"/>
      <c r="M202" s="377"/>
      <c r="N202" s="368"/>
    </row>
    <row r="203" spans="1:14" ht="15" customHeight="1" x14ac:dyDescent="0.2">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6"/>
      <c r="F203" s="656"/>
      <c r="G203" s="656"/>
      <c r="H203" s="656"/>
      <c r="I203" s="345"/>
      <c r="J203" s="361"/>
      <c r="K203" s="361"/>
      <c r="L203" s="361"/>
      <c r="M203" s="377"/>
      <c r="N203" s="368"/>
    </row>
    <row r="204" spans="1:14" ht="15" customHeight="1" x14ac:dyDescent="0.2">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x14ac:dyDescent="0.2">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x14ac:dyDescent="0.2">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x14ac:dyDescent="0.2">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WORLDCUP!AF134</f>
        <v>W96</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6"/>
      <c r="F221" s="656"/>
      <c r="G221" s="656"/>
      <c r="H221" s="656"/>
      <c r="I221" s="345"/>
      <c r="J221" s="361"/>
      <c r="K221" s="361"/>
      <c r="L221" s="361"/>
      <c r="M221" s="377"/>
      <c r="N221" s="368"/>
    </row>
    <row r="222" spans="1:14" ht="15" customHeight="1" x14ac:dyDescent="0.2">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6"/>
      <c r="F222" s="656"/>
      <c r="G222" s="656"/>
      <c r="H222" s="656"/>
      <c r="I222" s="345"/>
      <c r="J222" s="361"/>
      <c r="K222" s="361"/>
      <c r="L222" s="361"/>
      <c r="M222" s="377"/>
      <c r="N222" s="368"/>
    </row>
    <row r="223" spans="1:14" ht="15" customHeight="1" x14ac:dyDescent="0.2">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6"/>
      <c r="F223" s="656"/>
      <c r="G223" s="656"/>
      <c r="H223" s="656"/>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WORLDCUP!AF139</f>
        <v>W100</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6"/>
      <c r="F233" s="656"/>
      <c r="G233" s="656"/>
      <c r="H233" s="656"/>
      <c r="I233" s="345"/>
      <c r="J233" s="361"/>
      <c r="K233" s="361"/>
      <c r="L233" s="361"/>
      <c r="M233" s="377"/>
      <c r="N233" s="368"/>
    </row>
    <row r="234" spans="1:14" ht="15" customHeight="1" x14ac:dyDescent="0.2">
      <c r="A234" s="223"/>
      <c r="B234" s="223"/>
      <c r="C234" s="343"/>
      <c r="D234" s="620"/>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0"/>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x14ac:dyDescent="0.2">
      <c r="A241" s="620"/>
      <c r="B241" s="352" t="str">
        <f>B240</f>
        <v>Finalista</v>
      </c>
      <c r="C241" s="342" t="str">
        <f>WORLDCUP!AF147</f>
        <v>W102</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0"/>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0"/>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6</v>
      </c>
      <c r="K4" s="439" t="str">
        <f ca="1">+INDEX(WORLDCUP!$AR$6:$AR$97,MATCH(L4,WORLDCUP!$AI$6:$AI$97,0))&amp;"-"&amp;INDEX(WORLDCUP!$AS$6:$AS$97,MATCH(L4,WORLDCUP!$AI$6:$AI$97,0))</f>
        <v>6-0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5</v>
      </c>
      <c r="V4" s="438">
        <f ca="1">+INDEX(WORLDCUP!$AT$6:$AT$97,MATCH(X4,WORLDCUP!$AI$6:$AI$97,0))</f>
        <v>4</v>
      </c>
      <c r="W4" s="439" t="str">
        <f ca="1">+INDEX(WORLDCUP!$AR$6:$AR$97,MATCH(X4,WORLDCUP!$AI$6:$AI$97,0))&amp;"-"&amp;INDEX(WORLDCUP!$AS$6:$AS$97,MATCH(X4,WORLDCUP!$AI$6:$AI$97,0))</f>
        <v>6-2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3</v>
      </c>
      <c r="F7" s="434" t="str">
        <f ca="1">+MID(INDEX(WORLDCUP!$AF$4:$AF$147,MATCH(A7,WORLDCUP!$AH$4:$AH$147,0)),1,3)</f>
        <v>Méx</v>
      </c>
      <c r="G7" s="455">
        <v>4</v>
      </c>
      <c r="H7" s="464" t="str">
        <f ca="1">+MID(INDEX(WORLDCUP!$AL$6:$AL$97,MATCH(L7,WORLDCUP!$AI$6:$AI$97,0)),1,3)</f>
        <v>Rep</v>
      </c>
      <c r="I7" s="465">
        <f ca="1">+INDEX(WORLDCUP!$AM$6:$AM$97,MATCH(L7,WORLDCUP!$AI$6:$AI$97,0))</f>
        <v>1</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-6</v>
      </c>
      <c r="W7" s="467" t="str">
        <f ca="1">+INDEX(WORLDCUP!$AR$6:$AR$97,MATCH(X7,WORLDCUP!$AI$6:$AI$97,0))&amp;"-"&amp;INDEX(WORLDCUP!$AS$6:$AS$97,MATCH(X7,WORLDCUP!$AI$6:$AI$97,0))</f>
        <v>4-10</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5</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0</v>
      </c>
      <c r="BI8" s="451">
        <f ca="1">COUNTIF(Pool!$C$130:$C$161,Fixture!BG8)-BJ8-BK8-BL8-BM8-BN8-BO8</f>
        <v>1</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5-0</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-8</v>
      </c>
      <c r="K15" s="467" t="str">
        <f ca="1">+INDEX(WORLDCUP!$AR$6:$AR$97,MATCH(L15,WORLDCUP!$AI$6:$AI$97,0))&amp;"-"&amp;INDEX(WORLDCUP!$AS$6:$AS$97,MATCH(L15,WORLDCUP!$AI$6:$AI$97,0))</f>
        <v>2-10</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2</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3</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1</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8</v>
      </c>
      <c r="W20" s="439" t="str">
        <f ca="1">+INDEX(WORLDCUP!$AR$6:$AR$97,MATCH(X20,WORLDCUP!$AI$6:$AI$97,0))&amp;"-"&amp;INDEX(WORLDCUP!$AS$6:$AS$97,MATCH(X20,WORLDCUP!$AI$6:$AI$97,0))</f>
        <v>10-2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81" t="s">
        <v>107</v>
      </c>
      <c r="Y21" s="181">
        <v>81</v>
      </c>
      <c r="Z21" s="413" t="s">
        <v>83</v>
      </c>
      <c r="AA21" s="414" t="str">
        <f ca="1">+MID(INDEX(WORLDCUP!$AA$101:$AA$147,MATCH(Y21,WORLDCUP!$Z$101:$Z$147,0)),1,3)</f>
        <v>Est</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4</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-11</v>
      </c>
      <c r="W23" s="467" t="str">
        <f ca="1">+INDEX(WORLDCUP!$AR$6:$AR$97,MATCH(X23,WORLDCUP!$AI$6:$AI$97,0))&amp;"-"&amp;INDEX(WORLDCUP!$AS$6:$AS$97,MATCH(X23,WORLDCUP!$AI$6:$AI$97,0))</f>
        <v>1-12</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2</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5</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4</v>
      </c>
      <c r="K28" s="439" t="str">
        <f ca="1">+INDEX(WORLDCUP!$AR$6:$AR$97,MATCH(L28,WORLDCUP!$AI$6:$AI$97,0))&amp;"-"&amp;INDEX(WORLDCUP!$AS$6:$AS$97,MATCH(L28,WORLDCUP!$AI$6:$AI$97,0))</f>
        <v>8-4</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6</v>
      </c>
      <c r="V28" s="438">
        <f ca="1">+INDEX(WORLDCUP!$AT$6:$AT$97,MATCH(X28,WORLDCUP!$AI$6:$AI$97,0))</f>
        <v>5</v>
      </c>
      <c r="W28" s="439" t="str">
        <f ca="1">+INDEX(WORLDCUP!$AR$6:$AR$97,MATCH(X28,WORLDCUP!$AI$6:$AI$97,0))&amp;"-"&amp;INDEX(WORLDCUP!$AS$6:$AS$97,MATCH(X28,WORLDCUP!$AI$6:$AI$97,0))</f>
        <v>5-0</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3</v>
      </c>
      <c r="V29" s="39">
        <f ca="1">+INDEX(WORLDCUP!$AT$6:$AT$97,MATCH(X29,WORLDCUP!$AI$6:$AI$97,0))</f>
        <v>0</v>
      </c>
      <c r="W29" s="43" t="str">
        <f ca="1">+INDEX(WORLDCUP!$AR$6:$AR$97,MATCH(X29,WORLDCUP!$AI$6:$AI$97,0))&amp;"-"&amp;INDEX(WORLDCUP!$AS$6:$AS$97,MATCH(X29,WORLDCUP!$AI$6:$AI$97,0))</f>
        <v>3-3</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3</v>
      </c>
      <c r="V30" s="39">
        <f ca="1">+INDEX(WORLDCUP!$AT$6:$AT$97,MATCH(X30,WORLDCUP!$AI$6:$AI$97,0))</f>
        <v>-2</v>
      </c>
      <c r="W30" s="43" t="str">
        <f ca="1">+INDEX(WORLDCUP!$AR$6:$AR$97,MATCH(X30,WORLDCUP!$AI$6:$AI$97,0))&amp;"-"&amp;INDEX(WORLDCUP!$AS$6:$AS$97,MATCH(X30,WORLDCUP!$AI$6:$AI$97,0))</f>
        <v>2-4</v>
      </c>
      <c r="X30" s="181" t="s">
        <v>113</v>
      </c>
      <c r="Y30" s="181">
        <v>78</v>
      </c>
      <c r="Z30" s="413" t="s">
        <v>89</v>
      </c>
      <c r="AA30" s="414" t="str">
        <f ca="1">+MID(INDEX(WORLDCUP!$AA$101:$AA$147,MATCH(Y30,WORLDCUP!$Z$101:$Z$147,0)),1,3)</f>
        <v>Cos</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Tur</v>
      </c>
      <c r="I31" s="465">
        <f ca="1">+INDEX(WORLDCUP!$AM$6:$AM$97,MATCH(L31,WORLDCUP!$AI$6:$AI$97,0))</f>
        <v>3</v>
      </c>
      <c r="J31" s="466">
        <f ca="1">+INDEX(WORLDCUP!$AT$6:$AT$97,MATCH(L31,WORLDCUP!$AI$6:$AI$97,0))</f>
        <v>-2</v>
      </c>
      <c r="K31" s="467" t="str">
        <f ca="1">+INDEX(WORLDCUP!$AR$6:$AR$97,MATCH(L31,WORLDCUP!$AI$6:$AI$97,0))&amp;"-"&amp;INDEX(WORLDCUP!$AS$6:$AS$97,MATCH(L31,WORLDCUP!$AI$6:$AI$97,0))</f>
        <v>3-5</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-3</v>
      </c>
      <c r="W31" s="467" t="str">
        <f ca="1">+INDEX(WORLDCUP!$AR$6:$AR$97,MATCH(X31,WORLDCUP!$AI$6:$AI$97,0))&amp;"-"&amp;INDEX(WORLDCUP!$AS$6:$AS$97,MATCH(X31,WORLDCUP!$AI$6:$AI$97,0))</f>
        <v>2-5</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0</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6</v>
      </c>
      <c r="K36" s="439" t="str">
        <f ca="1">+INDEX(WORLDCUP!$AR$6:$AR$97,MATCH(L36,WORLDCUP!$AI$6:$AI$97,0))&amp;"-"&amp;INDEX(WORLDCUP!$AS$6:$AS$97,MATCH(L36,WORLDCUP!$AI$6:$AI$97,0))</f>
        <v>10-4</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6</v>
      </c>
      <c r="V36" s="438">
        <f ca="1">+INDEX(WORLDCUP!$AT$6:$AT$97,MATCH(X36,WORLDCUP!$AI$6:$AI$97,0))</f>
        <v>3</v>
      </c>
      <c r="W36" s="439" t="str">
        <f ca="1">+INDEX(WORLDCUP!$AR$6:$AR$97,MATCH(X36,WORLDCUP!$AI$6:$AI$97,0))&amp;"-"&amp;INDEX(WORLDCUP!$AS$6:$AS$97,MATCH(X36,WORLDCUP!$AI$6:$AI$97,0))</f>
        <v>4-1</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Por</v>
      </c>
      <c r="U37" s="38">
        <f ca="1">+INDEX(WORLDCUP!$AM$6:$AM$97,MATCH(X37,WORLDCUP!$AI$6:$AI$97,0))</f>
        <v>4</v>
      </c>
      <c r="V37" s="39">
        <f ca="1">+INDEX(WORLDCUP!$AT$6:$AT$97,MATCH(X37,WORLDCUP!$AI$6:$AI$97,0))</f>
        <v>5</v>
      </c>
      <c r="W37" s="43" t="str">
        <f ca="1">+INDEX(WORLDCUP!$AR$6:$AR$97,MATCH(X37,WORLDCUP!$AI$6:$AI$97,0))&amp;"-"&amp;INDEX(WORLDCUP!$AS$6:$AS$97,MATCH(X37,WORLDCUP!$AI$6:$AI$97,0))</f>
        <v>6-1</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1</v>
      </c>
      <c r="V38" s="39">
        <f ca="1">+INDEX(WORLDCUP!$AT$6:$AT$97,MATCH(X38,WORLDCUP!$AI$6:$AI$97,0))</f>
        <v>-1</v>
      </c>
      <c r="W38" s="43" t="str">
        <f ca="1">+INDEX(WORLDCUP!$AR$6:$AR$97,MATCH(X38,WORLDCUP!$AI$6:$AI$97,0))&amp;"-"&amp;INDEX(WORLDCUP!$AS$6:$AS$97,MATCH(X38,WORLDCUP!$AI$6:$AI$97,0))</f>
        <v>1-2</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-7</v>
      </c>
      <c r="W39" s="467" t="str">
        <f ca="1">+INDEX(WORLDCUP!$AR$6:$AR$97,MATCH(X39,WORLDCUP!$AI$6:$AI$97,0))&amp;"-"&amp;INDEX(WORLDCUP!$AS$6:$AS$97,MATCH(X39,WORLDCUP!$AI$6:$AI$97,0))</f>
        <v>1-8</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Cab</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Aus</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6</v>
      </c>
      <c r="K44" s="439" t="str">
        <f ca="1">+INDEX(WORLDCUP!$AR$6:$AR$97,MATCH(L44,WORLDCUP!$AI$6:$AI$97,0))&amp;"-"&amp;INDEX(WORLDCUP!$AS$6:$AS$97,MATCH(L44,WORLDCUP!$AI$6:$AI$97,0))</f>
        <v>10-4</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4</v>
      </c>
      <c r="V44" s="438">
        <f ca="1">+INDEX(WORLDCUP!$AT$6:$AT$97,MATCH(X44,WORLDCUP!$AI$6:$AI$97,0))</f>
        <v>2</v>
      </c>
      <c r="W44" s="439" t="str">
        <f ca="1">+INDEX(WORLDCUP!$AR$6:$AR$97,MATCH(X44,WORLDCUP!$AI$6:$AI$97,0))&amp;"-"&amp;INDEX(WORLDCUP!$AS$6:$AS$97,MATCH(X44,WORLDCUP!$AI$6:$AI$97,0))</f>
        <v>4-2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81" t="s">
        <v>93</v>
      </c>
      <c r="M45" s="181">
        <v>45</v>
      </c>
      <c r="N45" s="556"/>
      <c r="O45" s="432" t="str">
        <f ca="1">+MID(INDEX(WORLDCUP!$AA$4:$AA$147,MATCH(M45,WORLDCUP!$AH$4:$AH$147,0)),1,3)</f>
        <v>Ing</v>
      </c>
      <c r="P45" s="433">
        <f>IF(ISBLANK(INDEX(WORLDCUP!$AC$4:$AC$147,MATCH(M45,WORLDCUP!$AH$4:$AH$147,0))),"",INDEX(WORLDCUP!$AC$4:$AC$147,MATCH(M45,WORLDCUP!$AH$4:$AH$147,0)))</f>
        <v>0</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Gha</v>
      </c>
      <c r="U45" s="38">
        <f ca="1">+INDEX(WORLDCUP!$AM$6:$AM$97,MATCH(X45,WORLDCUP!$AI$6:$AI$97,0))</f>
        <v>4</v>
      </c>
      <c r="V45" s="39">
        <f ca="1">+INDEX(WORLDCUP!$AT$6:$AT$97,MATCH(X45,WORLDCUP!$AI$6:$AI$97,0))</f>
        <v>1</v>
      </c>
      <c r="W45" s="43" t="str">
        <f ca="1">+INDEX(WORLDCUP!$AR$6:$AR$97,MATCH(X45,WORLDCUP!$AI$6:$AI$97,0))&amp;"-"&amp;INDEX(WORLDCUP!$AS$6:$AS$97,MATCH(X45,WORLDCUP!$AI$6:$AI$97,0))</f>
        <v>1-0</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1</v>
      </c>
      <c r="R46" s="434" t="str">
        <f ca="1">+MID(INDEX(WORLDCUP!$AF$4:$AF$147,MATCH(M46,WORLDCUP!$AH$4:$AH$147,0)),1,3)</f>
        <v>Cro</v>
      </c>
      <c r="S46" s="455">
        <v>3</v>
      </c>
      <c r="T46" s="456" t="str">
        <f ca="1">+MID(INDEX(WORLDCUP!$AL$6:$AL$97,MATCH(X46,WORLDCUP!$AI$6:$AI$97,0)),1,3)</f>
        <v>Cro</v>
      </c>
      <c r="U46" s="38">
        <f ca="1">+INDEX(WORLDCUP!$AM$6:$AM$97,MATCH(X46,WORLDCUP!$AI$6:$AI$97,0))</f>
        <v>3</v>
      </c>
      <c r="V46" s="39">
        <f ca="1">+INDEX(WORLDCUP!$AT$6:$AT$97,MATCH(X46,WORLDCUP!$AI$6:$AI$97,0))</f>
        <v>-1</v>
      </c>
      <c r="W46" s="43" t="str">
        <f ca="1">+INDEX(WORLDCUP!$AR$6:$AR$97,MATCH(X46,WORLDCUP!$AI$6:$AI$97,0))&amp;"-"&amp;INDEX(WORLDCUP!$AS$6:$AS$97,MATCH(X46,WORLDCUP!$AI$6:$AI$97,0))</f>
        <v>3-4</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-10</v>
      </c>
      <c r="K47" s="467" t="str">
        <f ca="1">+INDEX(WORLDCUP!$AR$6:$AR$97,MATCH(L47,WORLDCUP!$AI$6:$AI$97,0))&amp;"-"&amp;INDEX(WORLDCUP!$AS$6:$AS$97,MATCH(L47,WORLDCUP!$AI$6:$AI$97,0))</f>
        <v>2-12</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-2</v>
      </c>
      <c r="W47" s="467" t="str">
        <f ca="1">+INDEX(WORLDCUP!$AR$6:$AR$97,MATCH(X47,WORLDCUP!$AI$6:$AI$97,0))&amp;"-"&amp;INDEX(WORLDCUP!$AS$6:$AS$97,MATCH(X47,WORLDCUP!$AI$6:$AI$97,0))</f>
        <v>0-2</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Croacia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Croacia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Croacia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Croacia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Croacia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Croacia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Croacia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Croacia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Croacia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Croacia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Croacia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Croacia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Croacia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Croacia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Croacia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Croacia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Croacia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Croacia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Croacia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Croacia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Croacia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Croacia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Croacia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Croacia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Croacia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Croacia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Croacia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Croacia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Croacia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Croacia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Croacia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Croacia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Croacia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Croacia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Croacia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Croacia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Croacia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Croacia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Croacia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Croacia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Croacia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Croacia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Croacia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Croacia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Croacia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Croacia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Croacia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Croacia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Croacia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Croacia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Croacia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Croacia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Croacia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Croacia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Croacia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Croacia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Croacia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Croacia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Croacia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Croacia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Croacia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Croacia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Croacia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Croacia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Croacia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Croacia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Croacia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Croacia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Croacia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Croacia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Croacia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Croacia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Croacia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Croacia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Croacia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Croacia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Croacia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Croacia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Croacia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Croacia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Croacia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Croacia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Croacia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Croacia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Croacia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Croacia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Croacia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Croacia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Croacia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Croacia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Croacia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Croacia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Croacia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Croacia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Croacia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Croacia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Croacia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Croacia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Croacia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Croacia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Croacia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Croacia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Croacia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Croacia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Croacia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Croacia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Croacia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Croacia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Croacia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Croacia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Croacia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Croacia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Croacia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Croacia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Croacia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Croacia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Croacia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Croacia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Croacia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Croacia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Croacia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Croacia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Croacia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Croacia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Croacia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Croacia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Croacia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Croacia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Croacia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Croacia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Croacia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Croacia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Croacia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Croacia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Croacia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Croacia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Croacia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Croacia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Croacia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Croacia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Croacia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Croacia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Croacia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Croacia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Croacia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Croacia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Croacia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Croacia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Croacia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Croacia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Croacia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Croacia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Croacia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Croacia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Croacia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Croacia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Croacia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Croacia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Croacia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Croacia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Croacia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Croacia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Croacia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Croacia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Croacia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Croacia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Croacia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Croacia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Croacia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Croacia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Croacia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Croacia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Croacia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Croacia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Croacia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Croacia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Croacia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Croacia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Croacia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Croacia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Croacia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Croacia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Croacia</v>
      </c>
      <c r="J247" s="9" t="str">
        <f ca="1">+WORLDCUP!BD65</f>
        <v>Uruguay</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Croacia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Croacia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Croacia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Croacia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Croacia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Croacia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Croacia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Croacia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Croacia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Croacia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Croacia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Croacia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Croacia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Croacia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Croacia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Croacia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Croacia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Croacia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Croacia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Croacia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Croacia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Croacia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Croacia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Croacia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Croacia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Croacia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Croacia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Croacia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Croacia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Croacia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Croacia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Croacia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Croacia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Croacia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Croacia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Croacia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Croacia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Croacia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Croacia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Croacia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Croacia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Croacia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Croacia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Croacia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Croacia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Croacia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Croacia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Croacia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Croacia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Croacia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Croacia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Croacia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Croacia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Croacia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Croacia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Croacia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Croacia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Croacia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Croacia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Croacia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Croacia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Croacia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Croacia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Croacia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Croacia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Croacia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Croacia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Croacia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Croacia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Croacia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Croacia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Croacia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Croacia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Croacia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Croacia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1</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Croacia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Croacia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Croacia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Croacia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Croacia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Croacia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Croacia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Croacia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Croacia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Croacia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Croacia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Croacia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Croacia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Croacia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Croacia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Croacia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Croacia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Croacia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Croacia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Croacia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Croacia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Croacia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Croacia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Croacia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Croacia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Croacia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Croacia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Croacia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Croacia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Croacia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Croacia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Croacia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Croacia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Croacia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Croacia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Croacia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Croacia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Croacia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Croacia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Croacia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Croacia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Croacia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Croacia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Croacia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Croacia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Croacia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Croacia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Croacia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Croacia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Croacia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Croacia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Croacia</v>
      </c>
      <c r="J447" s="9" t="str">
        <f ca="1">+WORLDCUP!BD65</f>
        <v>Uruguay</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Croacia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Croacia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Croacia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Croacia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Croacia</v>
      </c>
      <c r="J458" s="9" t="str">
        <f ca="1">+WORLDCUP!BD65</f>
        <v>Uruguay</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Croacia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Croacia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Croacia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Croacia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Croacia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Croacia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Croacia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Croacia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Croacia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Croacia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Croacia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Croacia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Croacia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Croacia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Croacia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2026-06-27T14:12:54Z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
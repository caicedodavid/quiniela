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BBBEBC8E-908F-A645-A9B3-FE8290C84782}"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37" i="2"/>
  <c r="N37" i="2"/>
  <c r="L37" i="2"/>
  <c r="U37" i="2"/>
  <c r="T37" i="2"/>
  <c r="R37" i="2"/>
  <c r="H37" i="2"/>
  <c r="F37" i="2"/>
  <c r="Q37" i="2"/>
  <c r="K37" i="2"/>
  <c r="I37" i="2"/>
  <c r="T55" i="2"/>
  <c r="R55" i="2"/>
  <c r="Q55" i="2"/>
  <c r="O55" i="2"/>
  <c r="N55" i="2"/>
  <c r="K55" i="2"/>
  <c r="I55" i="2"/>
  <c r="H55" i="2"/>
  <c r="F55" i="2"/>
  <c r="E55" i="2"/>
  <c r="L55" i="2"/>
  <c r="U55" i="2"/>
  <c r="N17" i="2"/>
  <c r="L17" i="2"/>
  <c r="K17" i="2"/>
  <c r="I17" i="2"/>
  <c r="H17" i="2"/>
  <c r="Q17" i="2"/>
  <c r="E3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H45" i="2"/>
  <c r="F45" i="2"/>
  <c r="E45" i="2"/>
  <c r="T45" i="2"/>
  <c r="K45" i="2"/>
  <c r="O45" i="2"/>
  <c r="N45" i="2"/>
  <c r="L45" i="2"/>
  <c r="I45" i="2"/>
  <c r="Q45" i="2"/>
  <c r="U45" i="2"/>
  <c r="R45"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35" i="4" l="1"/>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BT8" i="2"/>
  <c r="F9" i="2" s="1"/>
  <c r="BT18" i="2"/>
  <c r="E28" i="2" s="1"/>
  <c r="BT11" i="2"/>
  <c r="F12" i="2" s="1"/>
  <c r="BT25" i="2"/>
  <c r="BT39" i="2"/>
  <c r="BT52" i="2"/>
  <c r="BT16" i="2"/>
  <c r="E21" i="2" s="1"/>
  <c r="BT32" i="2"/>
  <c r="BT17" i="2"/>
  <c r="F21" i="2" s="1"/>
  <c r="BT35" i="2"/>
  <c r="BT26" i="2"/>
  <c r="BT50" i="2"/>
  <c r="BT30" i="2"/>
  <c r="BT34" i="2"/>
  <c r="BT7" i="2"/>
  <c r="E9" i="2" s="1"/>
  <c r="BT27" i="2"/>
  <c r="BT28" i="2"/>
  <c r="BT48" i="2"/>
  <c r="BT20" i="2"/>
  <c r="E29" i="2" s="1"/>
  <c r="BT24" i="2"/>
  <c r="BT13" i="2"/>
  <c r="F13" i="2" s="1"/>
  <c r="BT23" i="2"/>
  <c r="F36" i="2" s="1"/>
  <c r="BT22" i="2"/>
  <c r="E36" i="2" s="1"/>
  <c r="BT31" i="2"/>
  <c r="BT49" i="2"/>
  <c r="BT21" i="2"/>
  <c r="F29" i="2" s="1"/>
  <c r="BT15" i="2"/>
  <c r="F20" i="2" s="1"/>
  <c r="BT45" i="2"/>
  <c r="BT33" i="2"/>
  <c r="BT12" i="2"/>
  <c r="E13" i="2" s="1"/>
  <c r="BT6" i="2"/>
  <c r="F8" i="2" s="1"/>
  <c r="BT10" i="2"/>
  <c r="E12" i="2" s="1"/>
  <c r="BT46" i="2"/>
  <c r="BI112" i="2"/>
  <c r="BT19" i="2"/>
  <c r="F28" i="2" s="1"/>
  <c r="BT29" i="2"/>
  <c r="BT53" i="2"/>
  <c r="BT36" i="2"/>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CA31" i="2" s="1"/>
  <c r="BZ22" i="2"/>
  <c r="BZ23" i="2"/>
  <c r="BZ33" i="2"/>
  <c r="CB33" i="2" s="1"/>
  <c r="BZ21" i="2"/>
  <c r="BZ27" i="2"/>
  <c r="CA27" i="2" s="1"/>
  <c r="BZ12" i="2"/>
  <c r="H13" i="2" s="1"/>
  <c r="BZ53" i="2"/>
  <c r="CA53" i="2" s="1"/>
  <c r="BZ25" i="2"/>
  <c r="CB25" i="2" s="1"/>
  <c r="BZ51" i="2"/>
  <c r="CA51" i="2" s="1"/>
  <c r="BZ16" i="2"/>
  <c r="BZ50" i="2"/>
  <c r="CA50" i="2" s="1"/>
  <c r="BZ34" i="2"/>
  <c r="CA34" i="2" s="1"/>
  <c r="BZ41" i="2"/>
  <c r="CB41" i="2" s="1"/>
  <c r="BZ30" i="2"/>
  <c r="CB30" i="2" s="1"/>
  <c r="BZ9" i="2"/>
  <c r="H8" i="2" s="1"/>
  <c r="BZ32" i="2"/>
  <c r="CB32" i="2" s="1"/>
  <c r="BZ17" i="2"/>
  <c r="BZ47" i="2"/>
  <c r="CA47" i="2" s="1"/>
  <c r="BZ6" i="2"/>
  <c r="BZ38" i="2"/>
  <c r="CB38" i="2" s="1"/>
  <c r="BZ46" i="2"/>
  <c r="CA46" i="2" s="1"/>
  <c r="BZ15" i="2"/>
  <c r="BZ44" i="2"/>
  <c r="CB44" i="2" s="1"/>
  <c r="BZ48" i="2"/>
  <c r="CA48" i="2" s="1"/>
  <c r="BZ26" i="2"/>
  <c r="CB26" i="2" s="1"/>
  <c r="BZ19" i="2"/>
  <c r="BZ20" i="2"/>
  <c r="BZ29" i="2"/>
  <c r="CB29" i="2" s="1"/>
  <c r="BZ10" i="2"/>
  <c r="BZ8" i="2"/>
  <c r="BZ28" i="2"/>
  <c r="CA28" i="2" s="1"/>
  <c r="BZ37" i="2"/>
  <c r="CA37" i="2" s="1"/>
  <c r="BZ52" i="2"/>
  <c r="CB52" i="2" s="1"/>
  <c r="BZ13" i="2"/>
  <c r="BZ35" i="2"/>
  <c r="CB35" i="2" s="1"/>
  <c r="BZ18" i="2"/>
  <c r="BZ43" i="2"/>
  <c r="CB43" i="2" s="1"/>
  <c r="BZ11" i="2"/>
  <c r="BZ14" i="2"/>
  <c r="BZ7" i="2"/>
  <c r="H9" i="2" s="1"/>
  <c r="CB42" i="2"/>
  <c r="CA42" i="2"/>
  <c r="CA49" i="2"/>
  <c r="CB49" i="2"/>
  <c r="CA33" i="2"/>
  <c r="CB40" i="2"/>
  <c r="CA40" i="2"/>
  <c r="CB45" i="2"/>
  <c r="CA45" i="2"/>
  <c r="CB23" i="2" l="1"/>
  <c r="I36" i="2"/>
  <c r="CB22" i="2"/>
  <c r="H36" i="2"/>
  <c r="CB21" i="2"/>
  <c r="I29" i="2"/>
  <c r="CB20" i="2"/>
  <c r="H29" i="2"/>
  <c r="CA21" i="2" s="1"/>
  <c r="CA16" i="2"/>
  <c r="H21" i="2"/>
  <c r="CB17" i="2"/>
  <c r="I21" i="2"/>
  <c r="I20" i="2"/>
  <c r="CB14" i="2" s="1"/>
  <c r="H20" i="2"/>
  <c r="CB15" i="2" s="1"/>
  <c r="CB27" i="2"/>
  <c r="CC27" i="2" s="1"/>
  <c r="CB31" i="2"/>
  <c r="CC31" i="2" s="1"/>
  <c r="CA25" i="2"/>
  <c r="CC25" i="2" s="1"/>
  <c r="CA13" i="2"/>
  <c r="I13" i="2"/>
  <c r="I28" i="2"/>
  <c r="CB18" i="2" s="1"/>
  <c r="H28" i="2"/>
  <c r="CA19" i="2" s="1"/>
  <c r="I12" i="2"/>
  <c r="CB10" i="2" s="1"/>
  <c r="CA23" i="2"/>
  <c r="CC23" i="2" s="1"/>
  <c r="H12" i="2"/>
  <c r="CA11" i="2" s="1"/>
  <c r="CA30" i="2"/>
  <c r="CC30" i="2" s="1"/>
  <c r="CB28" i="2"/>
  <c r="CC28" i="2" s="1"/>
  <c r="CA17" i="2"/>
  <c r="CC17" i="2" s="1"/>
  <c r="CA29" i="2"/>
  <c r="CC29" i="2" s="1"/>
  <c r="CB53" i="2"/>
  <c r="CC53" i="2" s="1"/>
  <c r="I7" i="2"/>
  <c r="I9" i="2"/>
  <c r="CA32" i="2"/>
  <c r="CC32" i="2" s="1"/>
  <c r="CB24" i="2"/>
  <c r="CC24" i="2" s="1"/>
  <c r="CB16" i="2"/>
  <c r="CC16" i="2" s="1"/>
  <c r="CA36" i="2"/>
  <c r="CC36" i="2" s="1"/>
  <c r="H7" i="2"/>
  <c r="I8" i="2"/>
  <c r="CB47" i="2"/>
  <c r="CC47" i="2" s="1"/>
  <c r="CA20" i="2"/>
  <c r="CA26" i="2"/>
  <c r="CC26" i="2" s="1"/>
  <c r="CA14" i="2"/>
  <c r="I4" i="2"/>
  <c r="CB6" i="2" s="1"/>
  <c r="I6" i="2"/>
  <c r="I5" i="2"/>
  <c r="CB8" i="2" s="1"/>
  <c r="H6" i="2"/>
  <c r="CA15" i="2"/>
  <c r="CA44" i="2"/>
  <c r="CC44" i="2" s="1"/>
  <c r="H5" i="2"/>
  <c r="CA52" i="2"/>
  <c r="CC52" i="2" s="1"/>
  <c r="CB46" i="2"/>
  <c r="CC46" i="2" s="1"/>
  <c r="CB50" i="2"/>
  <c r="CC50" i="2" s="1"/>
  <c r="CB34" i="2"/>
  <c r="CC34" i="2" s="1"/>
  <c r="CB13" i="2"/>
  <c r="CB37" i="2"/>
  <c r="CC37" i="2" s="1"/>
  <c r="CB51" i="2"/>
  <c r="CC51" i="2" s="1"/>
  <c r="CA38" i="2"/>
  <c r="CC38" i="2" s="1"/>
  <c r="CB48" i="2"/>
  <c r="CC48" i="2" s="1"/>
  <c r="H4" i="2"/>
  <c r="CC40" i="2"/>
  <c r="CC33" i="2"/>
  <c r="CC21" i="2"/>
  <c r="CA39" i="2"/>
  <c r="CC39" i="2" s="1"/>
  <c r="CA22" i="2"/>
  <c r="CC22" i="2" s="1"/>
  <c r="CA35" i="2"/>
  <c r="CC35" i="2" s="1"/>
  <c r="CC42" i="2"/>
  <c r="CB19" i="2"/>
  <c r="CA41" i="2"/>
  <c r="CC41" i="2" s="1"/>
  <c r="CC49" i="2"/>
  <c r="CC45" i="2"/>
  <c r="CA43" i="2"/>
  <c r="CC43" i="2" s="1"/>
  <c r="CA18" i="2" l="1"/>
  <c r="CC18" i="2" s="1"/>
  <c r="CC20" i="2"/>
  <c r="CC13" i="2"/>
  <c r="CC15" i="2"/>
  <c r="CB11" i="2"/>
  <c r="CC11" i="2" s="1"/>
  <c r="CA6" i="2"/>
  <c r="CC6" i="2" s="1"/>
  <c r="CC14" i="2"/>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F29" i="2" s="1"/>
  <c r="CE23" i="2"/>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E47" i="2"/>
  <c r="CF47" i="2" s="1"/>
  <c r="CE34" i="2"/>
  <c r="CF34" i="2" s="1"/>
  <c r="CE6" i="2"/>
  <c r="L8" i="2" s="1"/>
  <c r="CE33" i="2"/>
  <c r="CF33" i="2" s="1"/>
  <c r="CE11" i="2"/>
  <c r="CE15" i="2"/>
  <c r="CE32" i="2"/>
  <c r="CF32" i="2" s="1"/>
  <c r="CE8" i="2"/>
  <c r="L9" i="2" s="1"/>
  <c r="CE31" i="2"/>
  <c r="CF31" i="2" s="1"/>
  <c r="CE45" i="2"/>
  <c r="CF45" i="2" s="1"/>
  <c r="CE12" i="2"/>
  <c r="CE22" i="2"/>
  <c r="CE37" i="2"/>
  <c r="CF37" i="2" s="1"/>
  <c r="CE9" i="2"/>
  <c r="CE49" i="2"/>
  <c r="CF49" i="2" s="1"/>
  <c r="CE28" i="2"/>
  <c r="CF28" i="2" s="1"/>
  <c r="CE21" i="2"/>
  <c r="CE48" i="2"/>
  <c r="CF48" i="2" s="1"/>
  <c r="CE10" i="2"/>
  <c r="CE13" i="2"/>
  <c r="CE40" i="2"/>
  <c r="CF40" i="2" s="1"/>
  <c r="CE38" i="2"/>
  <c r="CF38" i="2" s="1"/>
  <c r="CE35" i="2"/>
  <c r="CF35" i="2" s="1"/>
  <c r="CE16" i="2"/>
  <c r="CE26" i="2"/>
  <c r="CF26" i="2" s="1"/>
  <c r="CE19" i="2"/>
  <c r="CE18" i="2"/>
  <c r="CE41" i="2"/>
  <c r="CF41" i="2" s="1"/>
  <c r="CE43" i="2"/>
  <c r="CF43" i="2" s="1"/>
  <c r="CE14" i="2"/>
  <c r="CE46" i="2"/>
  <c r="CF46" i="2" s="1"/>
  <c r="CF22" i="2" l="1"/>
  <c r="K36" i="2"/>
  <c r="CF23" i="2"/>
  <c r="L36" i="2"/>
  <c r="CF21" i="2"/>
  <c r="L29" i="2"/>
  <c r="CF20" i="2"/>
  <c r="K29" i="2"/>
  <c r="CF16" i="2"/>
  <c r="K21" i="2"/>
  <c r="CF17" i="2"/>
  <c r="L21" i="2"/>
  <c r="K20" i="2"/>
  <c r="CF15" i="2"/>
  <c r="L20" i="2"/>
  <c r="CF14" i="2" s="1"/>
  <c r="K13" i="2"/>
  <c r="CF13" i="2"/>
  <c r="L13" i="2"/>
  <c r="CF12" i="2" s="1"/>
  <c r="CF18" i="2"/>
  <c r="K28" i="2"/>
  <c r="CF19" i="2" s="1"/>
  <c r="L28" i="2"/>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H34" i="2"/>
  <c r="CJ34" i="2" s="1"/>
  <c r="CH16" i="2"/>
  <c r="CH44" i="2"/>
  <c r="CI44" i="2" s="1"/>
  <c r="CH25" i="2"/>
  <c r="CJ25" i="2" s="1"/>
  <c r="CH8" i="2"/>
  <c r="O9" i="2" s="1"/>
  <c r="CH45" i="2"/>
  <c r="CJ45" i="2" s="1"/>
  <c r="CH18" i="2"/>
  <c r="CK18" i="2" s="1"/>
  <c r="CH23" i="2"/>
  <c r="O36" i="2" s="1"/>
  <c r="CH47" i="2"/>
  <c r="CI47" i="2" s="1"/>
  <c r="CH32" i="2"/>
  <c r="CI32" i="2" s="1"/>
  <c r="CH43" i="2"/>
  <c r="CJ43" i="2" s="1"/>
  <c r="CH49" i="2"/>
  <c r="CI49" i="2" s="1"/>
  <c r="CH14" i="2"/>
  <c r="CH38" i="2"/>
  <c r="CH36" i="2"/>
  <c r="CI36" i="2" s="1"/>
  <c r="CH46" i="2"/>
  <c r="CK46" i="2" s="1"/>
  <c r="CI41" i="2"/>
  <c r="CH48" i="2"/>
  <c r="CJ48" i="2" s="1"/>
  <c r="CH24" i="2"/>
  <c r="CJ24" i="2" s="1"/>
  <c r="CH31" i="2"/>
  <c r="CJ31" i="2" s="1"/>
  <c r="CH12" i="2"/>
  <c r="CH37" i="2"/>
  <c r="CK37" i="2" s="1"/>
  <c r="CH35" i="2"/>
  <c r="CJ35" i="2" s="1"/>
  <c r="CH53" i="2"/>
  <c r="CJ53" i="2" s="1"/>
  <c r="CK41" i="2"/>
  <c r="CH17" i="2"/>
  <c r="CH19" i="2"/>
  <c r="CH52" i="2"/>
  <c r="CH51" i="2"/>
  <c r="CK51" i="2" s="1"/>
  <c r="CH9" i="2"/>
  <c r="O5" i="2" s="1"/>
  <c r="CH30" i="2"/>
  <c r="CJ30" i="2" s="1"/>
  <c r="CH13" i="2"/>
  <c r="CH42" i="2"/>
  <c r="CI42" i="2" s="1"/>
  <c r="CH27" i="2"/>
  <c r="CI27" i="2" s="1"/>
  <c r="CH40" i="2"/>
  <c r="N9" i="2"/>
  <c r="O6" i="2"/>
  <c r="CH26" i="2"/>
  <c r="CH11" i="2"/>
  <c r="O12" i="2" s="1"/>
  <c r="CH33" i="2"/>
  <c r="CH22" i="2"/>
  <c r="N36" i="2" s="1"/>
  <c r="CH21" i="2"/>
  <c r="O29" i="2" s="1"/>
  <c r="CH15" i="2"/>
  <c r="CH10" i="2"/>
  <c r="N12" i="2" s="1"/>
  <c r="CH39" i="2"/>
  <c r="CI16" i="2"/>
  <c r="CH29" i="2"/>
  <c r="CH20" i="2"/>
  <c r="CH50" i="2"/>
  <c r="CI45" i="2"/>
  <c r="N7" i="2"/>
  <c r="O8" i="2"/>
  <c r="N4" i="2"/>
  <c r="CJ7" i="2" s="1"/>
  <c r="N5" i="2"/>
  <c r="O7" i="2"/>
  <c r="CI28" i="2"/>
  <c r="CK28" i="2"/>
  <c r="CJ28" i="2"/>
  <c r="CK20" i="2" l="1"/>
  <c r="N29" i="2"/>
  <c r="CK45" i="2"/>
  <c r="CI8" i="2"/>
  <c r="CK17" i="2"/>
  <c r="O21" i="2"/>
  <c r="CJ16" i="2"/>
  <c r="N21" i="2"/>
  <c r="CL41" i="2"/>
  <c r="CI15" i="2"/>
  <c r="O20" i="2"/>
  <c r="CI14" i="2"/>
  <c r="N20" i="2"/>
  <c r="CI34" i="2"/>
  <c r="CJ32" i="2"/>
  <c r="CL32" i="2" s="1"/>
  <c r="CK43" i="2"/>
  <c r="CI43" i="2"/>
  <c r="CL43" i="2" s="1"/>
  <c r="CK32" i="2"/>
  <c r="CI6" i="2"/>
  <c r="CI25" i="2"/>
  <c r="CL25" i="2" s="1"/>
  <c r="CK8" i="2"/>
  <c r="CJ49" i="2"/>
  <c r="CL49" i="2" s="1"/>
  <c r="CK25" i="2"/>
  <c r="CJ8" i="2"/>
  <c r="CI13" i="2"/>
  <c r="O13" i="2"/>
  <c r="CJ12" i="2" s="1"/>
  <c r="CK12" i="2"/>
  <c r="N13" i="2"/>
  <c r="CJ13" i="2" s="1"/>
  <c r="CJ18" i="2"/>
  <c r="N28" i="2"/>
  <c r="CK19" i="2" s="1"/>
  <c r="O28" i="2"/>
  <c r="CI18" i="2" s="1"/>
  <c r="CK49" i="2"/>
  <c r="CL45" i="2"/>
  <c r="CI53" i="2"/>
  <c r="CL53" i="2" s="1"/>
  <c r="CK53" i="2"/>
  <c r="CK6" i="2"/>
  <c r="CI35" i="2"/>
  <c r="CL35" i="2" s="1"/>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L31" i="2" s="1"/>
  <c r="CK44" i="2"/>
  <c r="CK9" i="2"/>
  <c r="CI30" i="2"/>
  <c r="CL30" i="2" s="1"/>
  <c r="CL34" i="2"/>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8" i="2" l="1"/>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Q28" i="2" s="1"/>
  <c r="CN33" i="2"/>
  <c r="CN30" i="2"/>
  <c r="CN28" i="2"/>
  <c r="CN36" i="2"/>
  <c r="CN24" i="2"/>
  <c r="CN48" i="2"/>
  <c r="CN34" i="2"/>
  <c r="CN13" i="2"/>
  <c r="R13" i="2" s="1"/>
  <c r="CN51" i="2"/>
  <c r="CN43" i="2"/>
  <c r="CN15" i="2"/>
  <c r="R20" i="2" s="1"/>
  <c r="CN14" i="2"/>
  <c r="Q20" i="2" s="1"/>
  <c r="CN40" i="2"/>
  <c r="CN26" i="2"/>
  <c r="CN31" i="2"/>
  <c r="CN38" i="2"/>
  <c r="CN21" i="2"/>
  <c r="R29" i="2" s="1"/>
  <c r="CN23" i="2"/>
  <c r="R36" i="2" s="1"/>
  <c r="CN17" i="2"/>
  <c r="R21" i="2" s="1"/>
  <c r="CN20" i="2"/>
  <c r="Q29" i="2" s="1"/>
  <c r="CN35" i="2"/>
  <c r="CN44" i="2"/>
  <c r="CN25" i="2"/>
  <c r="CN39" i="2"/>
  <c r="CN52" i="2"/>
  <c r="CN47" i="2"/>
  <c r="CN50" i="2"/>
  <c r="CN16" i="2"/>
  <c r="Q21" i="2" s="1"/>
  <c r="CN12" i="2"/>
  <c r="Q13" i="2" s="1"/>
  <c r="CN22" i="2"/>
  <c r="Q36" i="2" s="1"/>
  <c r="CN19" i="2"/>
  <c r="R28" i="2" s="1"/>
  <c r="CN49" i="2"/>
  <c r="CN41" i="2"/>
  <c r="CN8" i="2"/>
  <c r="CN9" i="2"/>
  <c r="CN10" i="2"/>
  <c r="Q12" i="2" s="1"/>
  <c r="CN6" i="2"/>
  <c r="Q4" i="2" s="1"/>
  <c r="CN7" i="2"/>
  <c r="R4" i="2" s="1"/>
  <c r="CN46" i="2"/>
  <c r="CN11" i="2"/>
  <c r="R12" i="2" s="1"/>
  <c r="CO42" i="2" l="1"/>
  <c r="CQ42" i="2" s="1"/>
  <c r="CO29" i="2"/>
  <c r="CQ29" i="2" s="1"/>
  <c r="CO27" i="2"/>
  <c r="CQ27" i="2" s="1"/>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8" i="2" l="1"/>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T26" i="2" s="1"/>
  <c r="CS52" i="2"/>
  <c r="CT52" i="2" s="1"/>
  <c r="CS53" i="2"/>
  <c r="CT53" i="2" s="1"/>
  <c r="CS41" i="2"/>
  <c r="CT41" i="2" s="1"/>
  <c r="CS29" i="2"/>
  <c r="CT29" i="2" s="1"/>
  <c r="CS8" i="2"/>
  <c r="CS31" i="2"/>
  <c r="CT31" i="2" s="1"/>
  <c r="CS39" i="2"/>
  <c r="CT39" i="2" s="1"/>
  <c r="CS28" i="2"/>
  <c r="CT28" i="2" s="1"/>
  <c r="CS44" i="2"/>
  <c r="CT44" i="2" s="1"/>
  <c r="CS20" i="2"/>
  <c r="CS21" i="2"/>
  <c r="CS38" i="2"/>
  <c r="CT38" i="2" s="1"/>
  <c r="CS30" i="2"/>
  <c r="CT30" i="2" s="1"/>
  <c r="CS32" i="2"/>
  <c r="CT32" i="2" s="1"/>
  <c r="CS17" i="2"/>
  <c r="CS7" i="2"/>
  <c r="U4" i="2" s="1"/>
  <c r="CS23" i="2"/>
  <c r="CS48" i="2"/>
  <c r="CT48" i="2" s="1"/>
  <c r="CS12" i="2"/>
  <c r="CS34" i="2"/>
  <c r="CT34" i="2" s="1"/>
  <c r="CS16" i="2"/>
  <c r="CS10" i="2"/>
  <c r="CS9" i="2"/>
  <c r="T6" i="2" s="1"/>
  <c r="CS40" i="2"/>
  <c r="CT40" i="2" s="1"/>
  <c r="CS6" i="2"/>
  <c r="T7" i="2" s="1"/>
  <c r="CS11" i="2"/>
  <c r="CS27" i="2"/>
  <c r="CT27" i="2" s="1"/>
  <c r="CS46" i="2"/>
  <c r="CT46" i="2" s="1"/>
  <c r="CS42" i="2"/>
  <c r="CT42" i="2" s="1"/>
  <c r="CS25" i="2"/>
  <c r="CT25" i="2" s="1"/>
  <c r="CS19" i="2"/>
  <c r="CS33" i="2"/>
  <c r="CT33" i="2" s="1"/>
  <c r="CS13" i="2"/>
  <c r="CS37" i="2"/>
  <c r="CT37" i="2" s="1"/>
  <c r="CS36" i="2"/>
  <c r="CT36" i="2" s="1"/>
  <c r="CS51" i="2"/>
  <c r="CT51" i="2" s="1"/>
  <c r="CS50" i="2"/>
  <c r="CT50" i="2" s="1"/>
  <c r="CS45" i="2"/>
  <c r="CT45" i="2" s="1"/>
  <c r="CS24" i="2"/>
  <c r="CT24" i="2" s="1"/>
  <c r="CS47" i="2"/>
  <c r="CT47" i="2" s="1"/>
  <c r="CS43" i="2"/>
  <c r="CT43" i="2" s="1"/>
  <c r="CS35" i="2"/>
  <c r="CT35" i="2" s="1"/>
  <c r="CS22" i="2"/>
  <c r="U7" i="2"/>
  <c r="CT22" i="2" l="1"/>
  <c r="T36" i="2"/>
  <c r="CT23" i="2"/>
  <c r="U36" i="2"/>
  <c r="CT21" i="2"/>
  <c r="U29" i="2"/>
  <c r="CT20" i="2"/>
  <c r="T29" i="2"/>
  <c r="CT17" i="2"/>
  <c r="U21" i="2"/>
  <c r="CT16" i="2"/>
  <c r="T21" i="2"/>
  <c r="U20" i="2"/>
  <c r="CT14" i="2" s="1"/>
  <c r="T20" i="2"/>
  <c r="CT15" i="2" s="1"/>
  <c r="T13" i="2"/>
  <c r="U5" i="2"/>
  <c r="CT13" i="2"/>
  <c r="U13" i="2"/>
  <c r="CT12" i="2" s="1"/>
  <c r="CT19" i="2"/>
  <c r="U28" i="2"/>
  <c r="CT18" i="2"/>
  <c r="T28" i="2"/>
  <c r="U12" i="2"/>
  <c r="CT10" i="2"/>
  <c r="T12" i="2"/>
  <c r="CT11" i="2" s="1"/>
  <c r="T9" i="2"/>
  <c r="U8" i="2"/>
  <c r="T8" i="2"/>
  <c r="U6" i="2"/>
  <c r="U9" i="2"/>
  <c r="T5" i="2"/>
  <c r="CT9" i="2"/>
  <c r="CT6" i="2"/>
  <c r="T4" i="2"/>
  <c r="CT7" i="2" s="1"/>
  <c r="CT8" i="2"/>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DA19" i="2" s="1"/>
  <c r="CZ45" i="2"/>
  <c r="CZ51" i="2"/>
  <c r="CZ35" i="2"/>
  <c r="CZ23" i="2"/>
  <c r="CZ41" i="2"/>
  <c r="CZ36" i="2"/>
  <c r="CZ17" i="2"/>
  <c r="CZ32" i="2"/>
  <c r="CZ28" i="2"/>
  <c r="DA37" i="2" l="1"/>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5" i="4" l="1"/>
  <c r="C130" i="3"/>
  <c r="BI28" i="4" s="1"/>
  <c r="BH28" i="4" s="1"/>
  <c r="AA9" i="4"/>
  <c r="C164" i="3"/>
  <c r="K30" i="4"/>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<sst xmlns="http://schemas.openxmlformats.org/spreadsheetml/2006/main" count="6754" uniqueCount="1516">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</sst>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37" sqref="AD3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30"/>
      <c r="D3" s="630"/>
      <c r="E3" s="630"/>
      <c r="F3" s="630"/>
      <c r="G3" s="630"/>
      <c r="H3" s="630"/>
      <c r="I3" s="630"/>
      <c r="J3" s="630"/>
      <c r="K3" s="630"/>
      <c r="L3" s="63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30"/>
      <c r="G16" s="630"/>
      <c r="H16" s="630"/>
      <c r="I16" s="63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3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6" zoomScaleNormal="100" workbookViewId="0">
      <selection activeCell="AD37" sqref="AD3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30"/>
      <c r="Y1" s="630"/>
      <c r="Z1" s="630"/>
      <c r="AA1" s="630"/>
      <c r="AB1" s="630"/>
      <c r="AC1" s="630"/>
      <c r="AD1" s="630"/>
      <c r="AE1" s="630"/>
      <c r="AF1" s="63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4"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22"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1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2</v>
      </c>
      <c r="BT23" s="16" t="str">
        <f ca="1">IF(COUNTIFS($BS$6:$BS$53,BS23,$BC$6:$BC$53,INDEX(T_Equipos[Grupo],MATCH(BD23,T_Equipos[NombreEquipo],0)))=1,"-","P."&amp;BS23&amp;" ("&amp;COUNTIFS($BS$6:$BS$53,BS23,$BC$6:$BC$53,INDEX(T_Equipos[Grupo],MATCH(BD23,T_Equipos[NombreEquipo],0)))&amp;")")</f>
        <v>P.2 (3)</v>
      </c>
      <c r="BU23" s="16">
        <f t="shared" ca="1" si="28"/>
        <v>0</v>
      </c>
      <c r="BV23" s="16">
        <f t="shared" ca="1" si="29"/>
        <v>0</v>
      </c>
      <c r="BW23" s="16">
        <f t="shared" ca="1" si="30"/>
        <v>0</v>
      </c>
      <c r="BX23" s="16">
        <f t="shared" ca="1" si="31"/>
        <v>0</v>
      </c>
      <c r="BY23" s="16">
        <f ca="1">BS23+COUNTIFS($BT$6:$BT$53,BT23,$BX$6:BX$53,"&gt;"&amp;BX23,$BC$6:$BC$53,INDEX(T_Equipos[Grupo],MATCH(BD23,T_Equipos[NombreEquipo],0)))</f>
        <v>2</v>
      </c>
      <c r="BZ23" s="16" t="str">
        <f ca="1">IF(COUNTIFS($BY$6:$BY$53,BY23,$BC$6:$BC$53,INDEX(T_Equipos[Grupo],MATCH(BD23,T_Equipos[NombreEquipo],0)))=1,"-","P."&amp;BY23&amp;" ("&amp;COUNTIFS($BY$6:$BY$53,BY23,$BC$6:$BC$53,INDEX(T_Equipos[Grupo],MATCH(BD23,T_Equipos[NombreEquipo],0)))&amp;")")</f>
        <v>P.2 (3)</v>
      </c>
      <c r="CA23" s="16">
        <f t="shared" ca="1" si="32"/>
        <v>0</v>
      </c>
      <c r="CB23" s="16">
        <f t="shared" ca="1" si="33"/>
        <v>0</v>
      </c>
      <c r="CC23" s="16">
        <f t="shared" ca="1" si="34"/>
        <v>0</v>
      </c>
      <c r="CD23" s="16">
        <f ca="1">BY23+COUNTIFS($BZ$6:$BZ$53,BZ23,$CC$6:CC$53,"&gt;"&amp;CC23,$BC$6:$BC$53,INDEX(T_Equipos[Grupo],MATCH(BD23,T_Equipos[NombreEquipo],0)))</f>
        <v>2</v>
      </c>
      <c r="CE23" s="16" t="str">
        <f ca="1">IF(COUNTIFS($CD$6:$CD$53,CD23,$BC$6:$BC$53,INDEX(T_Equipos[Grupo],MATCH(BD23,T_Equipos[NombreEquipo],0)))=1,"-","P."&amp;CD23&amp;" ("&amp;COUNTIFS($CD$6:$CD$53,CD23,$BC$6:$BC$53,INDEX(T_Equipos[Grupo],MATCH(BD23,T_Equipos[NombreEquipo],0)))&amp;")")</f>
        <v>P.2 (3)</v>
      </c>
      <c r="CF23" s="16">
        <f t="shared" ca="1" si="35"/>
        <v>0</v>
      </c>
      <c r="CG23" s="16">
        <f ca="1">CD23+COUNTIFS($CE$6:$CE$53,CE23,$CF$6:CF$53,"&gt;"&amp;CF23,$BC$6:$BC$53,INDEX(T_Equipos[Grupo],MATCH(BD23,T_Equipos[NombreEquipo],0)))</f>
        <v>2</v>
      </c>
      <c r="CH23" s="16" t="str">
        <f ca="1">IF(COUNTIFS($CG$6:$CG$53,CG23,$BC$6:$BC$53,INDEX(T_Equipos[Grupo],MATCH(BD23,T_Equipos[NombreEquipo],0)))=1,"-","P."&amp;CG23&amp;" ("&amp;COUNTIFS($CG$6:$CG$53,CG23,$BC$6:$BC$53,INDEX(T_Equipos[Grupo],MATCH(BD23,T_Equipos[NombreEquipo],0)))&amp;")")</f>
        <v>P.2 (3)</v>
      </c>
      <c r="CI23" s="16">
        <f t="shared" ca="1" si="36"/>
        <v>0</v>
      </c>
      <c r="CJ23" s="16">
        <f t="shared" ca="1" si="37"/>
        <v>0</v>
      </c>
      <c r="CK23" s="16">
        <f t="shared" ca="1" si="38"/>
        <v>0</v>
      </c>
      <c r="CL23" s="16">
        <f t="shared" ca="1" si="39"/>
        <v>0</v>
      </c>
      <c r="CM23" s="16">
        <f ca="1">CG23+COUNTIFS($CH$6:$CH$53,CH23,$CL$6:CL$53,"&gt;"&amp;CL23,$BC$6:$BC$53,INDEX(T_Equipos[Grupo],MATCH(BD23,T_Equipos[NombreEquipo],0)))</f>
        <v>2</v>
      </c>
      <c r="CN23" s="16" t="str">
        <f ca="1">IF(COUNTIFS($CM$6:$CM$53,CM23,$BC$6:$BC$53,INDEX(T_Equipos[Grupo],MATCH(BD23,T_Equipos[NombreEquipo],0)))=1,"-","P."&amp;CM23&amp;" ("&amp;COUNTIFS($CM$6:$CM$53,CM23,$BC$6:$BC$53,INDEX(T_Equipos[Grupo],MATCH(BD23,T_Equipos[NombreEquipo],0)))&amp;")")</f>
        <v>P.2 (3)</v>
      </c>
      <c r="CO23" s="16">
        <f t="shared" ca="1" si="40"/>
        <v>0</v>
      </c>
      <c r="CP23" s="16">
        <f t="shared" ca="1" si="41"/>
        <v>0</v>
      </c>
      <c r="CQ23" s="16">
        <f t="shared" ca="1" si="42"/>
        <v>0</v>
      </c>
      <c r="CR23" s="16">
        <f ca="1">CM23+COUNTIFS($CN$6:$CN$53,CN23,$CQ$6:CQ$53,"&gt;"&amp;CQ23,$BC$6:$BC$53,INDEX(T_Equipos[Grupo],MATCH(BD23,T_Equipos[NombreEquipo],0)))</f>
        <v>2</v>
      </c>
      <c r="CS23" s="16" t="str">
        <f ca="1">IF(COUNTIFS($CR$6:$CR$53,CR23,$BC$6:$BC$53,INDEX(T_Equipos[Grupo],MATCH(BD23,T_Equipos[NombreEquipo],0)))=1,"-","P."&amp;CR23&amp;" ("&amp;COUNTIFS($CR$6:$CR$53,CR23,$BC$6:$BC$53,INDEX(T_Equipos[Grupo],MATCH(BD23,T_Equipos[NombreEquipo],0)))&amp;")")</f>
        <v>P.2 (3)</v>
      </c>
      <c r="CT23" s="16">
        <f t="shared" ca="1" si="43"/>
        <v>0</v>
      </c>
      <c r="CU23" s="16">
        <f ca="1">CR23+COUNTIFS($CS$6:$CS$53,CS23,$CT$6:CT$53,"&gt;"&amp;CT23,$BC$6:$BC$53,INDEX(T_Equipos[Grupo],MATCH(BD23,T_Equipos[NombreEquipo],0)))</f>
        <v>2</v>
      </c>
      <c r="CV23" s="16" t="str">
        <f ca="1">IF(COUNTIFS($CU$6:$CU$53,CU23,$BC$6:$BC$53,INDEX(T_Equipos[Grupo],MATCH(BD23,T_Equipos[NombreEquipo],0)))=1,"-","P."&amp;CU23&amp;" ("&amp;COUNTIFS($CU$6:$CU$53,CU23,$BC$6:$BC$53,INDEX(T_Equipos[Grupo],MATCH(BD23,T_Equipos[NombreEquipo],0)))&amp;")")</f>
        <v>P.2 (3)</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P.2 (3)</v>
      </c>
      <c r="BU24" s="16">
        <f t="shared" ca="1" si="28"/>
        <v>0</v>
      </c>
      <c r="BV24" s="16">
        <f t="shared" ca="1" si="29"/>
        <v>0</v>
      </c>
      <c r="BW24" s="16">
        <f t="shared" ca="1" si="30"/>
        <v>0</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P.2 (3)</v>
      </c>
      <c r="CA24" s="16">
        <f t="shared" ca="1" si="32"/>
        <v>0</v>
      </c>
      <c r="CB24" s="16">
        <f t="shared" ca="1" si="33"/>
        <v>0</v>
      </c>
      <c r="CC24" s="16">
        <f t="shared" ca="1" si="34"/>
        <v>0</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P.2 (3)</v>
      </c>
      <c r="CF24" s="16">
        <f t="shared" ca="1" si="35"/>
        <v>0</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P.2 (3)</v>
      </c>
      <c r="CI24" s="16">
        <f t="shared" ca="1" si="36"/>
        <v>0</v>
      </c>
      <c r="CJ24" s="16">
        <f t="shared" ca="1" si="37"/>
        <v>0</v>
      </c>
      <c r="CK24" s="16">
        <f t="shared" ca="1" si="38"/>
        <v>0</v>
      </c>
      <c r="CL24" s="16">
        <f t="shared" ca="1" si="39"/>
        <v>0</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P.2 (3)</v>
      </c>
      <c r="CO24" s="16">
        <f t="shared" ca="1" si="40"/>
        <v>0</v>
      </c>
      <c r="CP24" s="16">
        <f t="shared" ca="1" si="41"/>
        <v>0</v>
      </c>
      <c r="CQ24" s="16">
        <f t="shared" ca="1" si="42"/>
        <v>0</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P.2 (3)</v>
      </c>
      <c r="CT24" s="16">
        <f t="shared" ca="1" si="43"/>
        <v>0</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P.2 (3)</v>
      </c>
      <c r="CW24" s="16">
        <f t="shared" ca="1" si="44"/>
        <v>0</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P.2 (2)</v>
      </c>
      <c r="CZ24" s="16">
        <f t="shared" ca="1" si="45"/>
        <v>0</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P.2 (2)</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2</v>
      </c>
      <c r="DE24" s="16"/>
      <c r="DF24" s="16">
        <f t="shared" ca="1" si="46"/>
        <v>2</v>
      </c>
      <c r="DG24" s="16">
        <f ca="1">IF(DB24="-","-",COUNTIFS(DF$6:DF$53,"&lt;"&amp;DF24,$BC$6:$BC$53,INDEX(T_Equipos[Grupo],MATCH(BD24,T_Equipos[NombreEquipo],0))))</f>
        <v>1</v>
      </c>
      <c r="DH24" s="16">
        <f ca="1">DA24+COUNTIFS(DB$6:DB$53,DB24,DG$6:DG$53,"&lt;"&amp;DG24,$BC$6:$BC$53,INDEX(T_Equipos[Grupo],MATCH(BD24,T_Equipos[NombreEquipo],0)))</f>
        <v>2</v>
      </c>
      <c r="DI24" s="16"/>
      <c r="DJ24" s="16">
        <f t="shared" ca="1" si="47"/>
        <v>2</v>
      </c>
      <c r="DK24" s="16">
        <f t="shared" ca="1" si="48"/>
        <v>2</v>
      </c>
      <c r="DL24" s="16">
        <f t="shared" ca="1" si="49"/>
        <v>1</v>
      </c>
      <c r="DM24" s="16" t="str">
        <f t="shared" ca="1" si="50"/>
        <v>2.1</v>
      </c>
      <c r="DN24" s="16">
        <f t="array" aca="1" ref="DN24" ca="1">OFFSET(Horarios!$P$3,DJ24-1,0,DL24,1)</f>
        <v>2</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P.2 (3)</v>
      </c>
      <c r="BU25" s="16">
        <f t="shared" ca="1" si="28"/>
        <v>0</v>
      </c>
      <c r="BV25" s="16">
        <f t="shared" ca="1" si="29"/>
        <v>0</v>
      </c>
      <c r="BW25" s="16">
        <f t="shared" ca="1" si="30"/>
        <v>0</v>
      </c>
      <c r="BX25" s="16">
        <f t="shared" ca="1" si="31"/>
        <v>0</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P.2 (3)</v>
      </c>
      <c r="CA25" s="16">
        <f t="shared" ca="1" si="32"/>
        <v>0</v>
      </c>
      <c r="CB25" s="16">
        <f t="shared" ca="1" si="33"/>
        <v>0</v>
      </c>
      <c r="CC25" s="16">
        <f t="shared" ca="1" si="34"/>
        <v>0</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P.2 (3)</v>
      </c>
      <c r="CF25" s="16">
        <f t="shared" ca="1" si="35"/>
        <v>0</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P.2 (3)</v>
      </c>
      <c r="CI25" s="16">
        <f t="shared" ca="1" si="36"/>
        <v>0</v>
      </c>
      <c r="CJ25" s="16">
        <f t="shared" ca="1" si="37"/>
        <v>0</v>
      </c>
      <c r="CK25" s="16">
        <f t="shared" ca="1" si="38"/>
        <v>0</v>
      </c>
      <c r="CL25" s="16">
        <f t="shared" ca="1" si="39"/>
        <v>0</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P.2 (3)</v>
      </c>
      <c r="CO25" s="16">
        <f t="shared" ca="1" si="40"/>
        <v>0</v>
      </c>
      <c r="CP25" s="16">
        <f t="shared" ca="1" si="41"/>
        <v>0</v>
      </c>
      <c r="CQ25" s="16">
        <f t="shared" ca="1" si="42"/>
        <v>0</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P.2 (3)</v>
      </c>
      <c r="CT25" s="16">
        <f t="shared" ca="1" si="43"/>
        <v>0</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P.2 (3)</v>
      </c>
      <c r="CW25" s="16">
        <f t="shared" ca="1" si="44"/>
        <v>0</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P.2 (2)</v>
      </c>
      <c r="CZ25" s="16">
        <f t="shared" ca="1" si="45"/>
        <v>0</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P.2 (2)</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3</v>
      </c>
      <c r="DE25" s="16"/>
      <c r="DF25" s="16">
        <f t="shared" ca="1" si="46"/>
        <v>3</v>
      </c>
      <c r="DG25" s="16">
        <f ca="1">IF(DB25="-","-",COUNTIFS(DF$6:DF$53,"&lt;"&amp;DF25,$BC$6:$BC$53,INDEX(T_Equipos[Grupo],MATCH(BD25,T_Equipos[NombreEquipo],0))))</f>
        <v>2</v>
      </c>
      <c r="DH25" s="16">
        <f ca="1">DA25+COUNTIFS(DB$6:DB$53,DB25,DG$6:DG$53,"&lt;"&amp;DG25,$BC$6:$BC$53,INDEX(T_Equipos[Grupo],MATCH(BD25,T_Equipos[NombreEquipo],0)))</f>
        <v>3</v>
      </c>
      <c r="DI25" s="16"/>
      <c r="DJ25" s="16">
        <f t="shared" ca="1" si="47"/>
        <v>4</v>
      </c>
      <c r="DK25" s="16">
        <f t="shared" ca="1" si="48"/>
        <v>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3"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P.2 (3)</v>
      </c>
      <c r="G36" s="16"/>
      <c r="H36" s="16" t="str">
        <f t="shared" ref="H36:H41" ca="1" si="103">IF(D36="Pendiente","-",INDEX($BZ$6:$BZ$53,MATCH($AA36,$BD$6:$BD$53,0)))</f>
        <v>-</v>
      </c>
      <c r="I36" s="16" t="str">
        <f t="shared" ref="I36:I41" ca="1" si="104">IF(D36="Pendiente","-",INDEX($BZ$6:$BZ$53,MATCH($AF36,$BD$6:$BD$53,0)))</f>
        <v>P.2 (3)</v>
      </c>
      <c r="J36" s="16"/>
      <c r="K36" s="16" t="str">
        <f t="shared" ref="K36:K41" ca="1" si="105">IF(D36="Pendiente","-",INDEX($CE$6:$CE$53,MATCH($AA36,$BD$6:$BD$53,0)))</f>
        <v>-</v>
      </c>
      <c r="L36" s="16" t="str">
        <f t="shared" ref="L36:L41" ca="1" si="106">IF(D36="Pendiente","-",INDEX($CE$6:$CE$53,MATCH($AF36,$BD$6:$BD$53,0)))</f>
        <v>P.2 (3)</v>
      </c>
      <c r="M36" s="16"/>
      <c r="N36" s="16" t="str">
        <f t="shared" ref="N36:N41" ca="1" si="107">IF(D36="Pendiente","-",INDEX($CH$6:$CH$53,MATCH($AA36,$BD$6:$BD$53,0)))</f>
        <v>-</v>
      </c>
      <c r="O36" s="16" t="str">
        <f t="shared" ref="O36:O41" ca="1" si="108">IF(D36="Pendiente","-",INDEX($CH$6:$CH$53,MATCH($AF36,$BD$6:$BD$53,0)))</f>
        <v>P.2 (3)</v>
      </c>
      <c r="P36" s="16"/>
      <c r="Q36" s="16" t="str">
        <f t="shared" ref="Q36:Q41" ca="1" si="109">IF(D36="Pendiente","-",INDEX($CN$6:$CN$53,MATCH($AA36,$BD$6:$BD$53,0)))</f>
        <v>-</v>
      </c>
      <c r="R36" s="16" t="str">
        <f t="shared" ref="R36:R41" ca="1" si="110">IF(D36="Pendiente","-",INDEX($CN$6:$CN$53,MATCH($AF36,$BD$6:$BD$53,0)))</f>
        <v>P.2 (3)</v>
      </c>
      <c r="S36" s="16"/>
      <c r="T36" s="16" t="str">
        <f t="shared" ref="T36:T41" ca="1" si="111">IF(D36="Pendiente","-",INDEX($CS$6:$CS$53,MATCH($AA36,$BD$6:$BD$53,0)))</f>
        <v>-</v>
      </c>
      <c r="U36" s="16" t="str">
        <f t="shared" ref="U36:U41" ca="1" si="112">IF(D36="Pendiente","-",INDEX($CS$6:$CS$53,MATCH($AF36,$BD$6:$BD$53,0)))</f>
        <v>P.2 (3)</v>
      </c>
      <c r="V36" s="17"/>
      <c r="W36" s="637"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40"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0"/>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5"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0"/>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11</v>
      </c>
      <c r="BN58" s="16">
        <f t="shared" ref="BN58:BN69" ca="1" si="153">CF58</f>
        <v>11</v>
      </c>
      <c r="BO58" s="16" t="str">
        <f t="shared" ref="BO58:BO69" si="154">"4"&amp;BC58</f>
        <v>4A</v>
      </c>
      <c r="BP58" s="16"/>
      <c r="BQ58" s="16"/>
      <c r="BR58" s="16">
        <f t="shared" ref="BR58:BR69" ca="1" si="155">+BE58</f>
        <v>0</v>
      </c>
      <c r="BS58" s="16">
        <f t="shared" ref="BS58:BS69" ca="1" si="156">COUNTIFS(BR$58:BR$69,"&gt;"&amp;BR58)+1</f>
        <v>3</v>
      </c>
      <c r="BT58" s="16" t="str">
        <f t="shared" ref="BT58:BT69" ca="1" si="157">IF(COUNTIF(BS$58:BS$69,BS58)=1,"-","Pos. "&amp;BS58&amp;" ("&amp;COUNTIF(BS$58:BS$69,BS58)&amp;")")</f>
        <v>Pos. 3 (10)</v>
      </c>
      <c r="BU58" s="16">
        <f t="shared" ref="BU58:BU69" ca="1" si="158">IF(BT58="-","-",BL58)</f>
        <v>-1</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1</v>
      </c>
      <c r="BN59" s="16">
        <f t="shared" ca="1" si="153"/>
        <v>1</v>
      </c>
      <c r="BO59" s="16" t="str">
        <f t="shared" si="154"/>
        <v>4B</v>
      </c>
      <c r="BP59" s="16"/>
      <c r="BQ59" s="16"/>
      <c r="BR59" s="16">
        <f t="shared" ca="1" si="155"/>
        <v>1</v>
      </c>
      <c r="BS59" s="16">
        <f t="shared" ca="1" si="156"/>
        <v>1</v>
      </c>
      <c r="BT59" s="16" t="str">
        <f t="shared" ca="1" si="157"/>
        <v>Pos. 1 (2)</v>
      </c>
      <c r="BU59" s="16">
        <f t="shared" ca="1" si="158"/>
        <v>0</v>
      </c>
      <c r="BV59" s="16">
        <f t="shared" ca="1" si="159"/>
        <v>1</v>
      </c>
      <c r="BW59" s="16" t="str">
        <f t="shared" ca="1" si="160"/>
        <v>Pos. 1 (2)</v>
      </c>
      <c r="BX59" s="16">
        <f t="shared" ca="1" si="161"/>
        <v>1</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1</v>
      </c>
      <c r="DM59" s="16" t="str">
        <f t="shared" ca="1" si="171"/>
        <v>1.1</v>
      </c>
      <c r="DN59" s="16">
        <f t="array" aca="1" ref="DN59" ca="1">OFFSET(Horarios!$P$3,DJ59-1,0,DL59,1)</f>
        <v>1</v>
      </c>
      <c r="DO59" s="16"/>
      <c r="DP59" s="16">
        <v>2</v>
      </c>
      <c r="DQ59" s="16" t="str">
        <f t="shared" ca="1" si="172"/>
        <v>Marruecos</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8"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1</v>
      </c>
      <c r="BS60" s="16">
        <f t="shared" ca="1" si="156"/>
        <v>1</v>
      </c>
      <c r="BT60" s="16" t="str">
        <f t="shared" ca="1" si="157"/>
        <v>Pos. 1 (2)</v>
      </c>
      <c r="BU60" s="16">
        <f t="shared" ca="1" si="158"/>
        <v>0</v>
      </c>
      <c r="BV60" s="16">
        <f t="shared" ca="1" si="159"/>
        <v>1</v>
      </c>
      <c r="BW60" s="16" t="str">
        <f t="shared" ca="1" si="160"/>
        <v>Pos. 1 (2)</v>
      </c>
      <c r="BX60" s="16">
        <f t="shared" ca="1" si="161"/>
        <v>1</v>
      </c>
      <c r="BY60" s="16">
        <f t="shared" ca="1" si="162"/>
        <v>1</v>
      </c>
      <c r="BZ60" s="16" t="str">
        <f t="shared" ca="1" si="163"/>
        <v>Pos. 1 (2)</v>
      </c>
      <c r="CA60" s="16">
        <f t="shared" ca="1" si="164"/>
        <v>4</v>
      </c>
      <c r="CB60" s="16">
        <f t="shared" ca="1" si="165"/>
        <v>2</v>
      </c>
      <c r="CC60" s="16"/>
      <c r="CD60" s="16">
        <f t="shared" ca="1" si="166"/>
        <v>2</v>
      </c>
      <c r="CE60" s="16">
        <f t="shared" ca="1" si="167"/>
        <v>1</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Arabia Saudita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0"/>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3</v>
      </c>
      <c r="BT61" s="16" t="str">
        <f t="shared" ca="1" si="157"/>
        <v>Pos. 3 (10)</v>
      </c>
      <c r="BU61" s="16">
        <f t="shared" ca="1" si="158"/>
        <v>-2</v>
      </c>
      <c r="BV61" s="16">
        <f t="shared" ca="1" si="159"/>
        <v>12</v>
      </c>
      <c r="BW61" s="16" t="str">
        <f t="shared" ca="1" si="160"/>
        <v>-</v>
      </c>
      <c r="BX61" s="16" t="str">
        <f t="shared" ca="1" si="161"/>
        <v>-</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3</v>
      </c>
      <c r="DK61" s="16"/>
      <c r="DL61" s="16">
        <f t="shared" ca="1" si="170"/>
        <v>1</v>
      </c>
      <c r="DM61" s="16" t="str">
        <f t="shared" ca="1" si="171"/>
        <v>3.1</v>
      </c>
      <c r="DN61" s="16">
        <f t="array" aca="1" ref="DN61" ca="1">OFFSET(Horarios!$P$3,DJ61-1,0,DL61,1)</f>
        <v>3</v>
      </c>
      <c r="DO61" s="16"/>
      <c r="DP61" s="16">
        <v>4</v>
      </c>
      <c r="DQ61" s="16" t="str">
        <f t="shared" ca="1" si="172"/>
        <v>Austria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5</v>
      </c>
      <c r="BN62" s="16">
        <f t="shared" ca="1" si="153"/>
        <v>5</v>
      </c>
      <c r="BO62" s="16" t="str">
        <f t="shared" si="154"/>
        <v>4E</v>
      </c>
      <c r="BP62" s="16"/>
      <c r="BQ62" s="16"/>
      <c r="BR62" s="16">
        <f t="shared" ca="1" si="155"/>
        <v>0</v>
      </c>
      <c r="BS62" s="16">
        <f t="shared" ca="1" si="156"/>
        <v>3</v>
      </c>
      <c r="BT62" s="16" t="str">
        <f t="shared" ca="1" si="157"/>
        <v>Pos. 3 (10)</v>
      </c>
      <c r="BU62" s="16">
        <f t="shared" ca="1" si="158"/>
        <v>0</v>
      </c>
      <c r="BV62" s="16">
        <f t="shared" ca="1" si="159"/>
        <v>3</v>
      </c>
      <c r="BW62" s="16" t="str">
        <f t="shared" ca="1" si="160"/>
        <v>Pos. 3 (8)</v>
      </c>
      <c r="BX62" s="16">
        <f t="shared" ca="1" si="161"/>
        <v>0</v>
      </c>
      <c r="BY62" s="16">
        <f t="shared" ca="1" si="162"/>
        <v>3</v>
      </c>
      <c r="BZ62" s="16" t="str">
        <f t="shared" ca="1" si="163"/>
        <v>Pos. 3 (8)</v>
      </c>
      <c r="CA62" s="16">
        <f t="shared" ca="1" si="164"/>
        <v>8</v>
      </c>
      <c r="CB62" s="16">
        <f t="shared" ca="1" si="165"/>
        <v>5</v>
      </c>
      <c r="CC62" s="16"/>
      <c r="CD62" s="16">
        <f t="shared" ca="1" si="166"/>
        <v>5</v>
      </c>
      <c r="CE62" s="16">
        <f t="shared" ca="1" si="167"/>
        <v>4</v>
      </c>
      <c r="CF62" s="16">
        <f t="shared" ca="1" si="168"/>
        <v>5</v>
      </c>
      <c r="DJ62" s="16">
        <f t="shared" ca="1" si="169"/>
        <v>3</v>
      </c>
      <c r="DK62" s="16"/>
      <c r="DL62" s="16">
        <f t="shared" ca="1" si="170"/>
        <v>1</v>
      </c>
      <c r="DM62" s="16" t="str">
        <f t="shared" ca="1" si="171"/>
        <v>3.1</v>
      </c>
      <c r="DN62" s="16">
        <f t="array" aca="1" ref="DN62" ca="1">OFFSET(Horarios!$P$3,DJ62-1,0,DL62,1)</f>
        <v>3</v>
      </c>
      <c r="DO62" s="16"/>
      <c r="DP62" s="16">
        <v>5</v>
      </c>
      <c r="DQ62" s="16" t="str">
        <f t="shared" ca="1" si="172"/>
        <v>Ecuador</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9</v>
      </c>
      <c r="BN63" s="16">
        <f t="shared" ca="1" si="153"/>
        <v>9</v>
      </c>
      <c r="BO63" s="16" t="str">
        <f t="shared" si="154"/>
        <v>4F</v>
      </c>
      <c r="BP63" s="16"/>
      <c r="BQ63" s="16"/>
      <c r="BR63" s="16">
        <f t="shared" ca="1" si="155"/>
        <v>0</v>
      </c>
      <c r="BS63" s="16">
        <f t="shared" ca="1" si="156"/>
        <v>3</v>
      </c>
      <c r="BT63" s="16" t="str">
        <f t="shared" ca="1" si="157"/>
        <v>Pos. 3 (10)</v>
      </c>
      <c r="BU63" s="16">
        <f t="shared" ca="1" si="158"/>
        <v>0</v>
      </c>
      <c r="BV63" s="16">
        <f t="shared" ca="1" si="159"/>
        <v>3</v>
      </c>
      <c r="BW63" s="16" t="str">
        <f t="shared" ca="1" si="160"/>
        <v>Pos. 3 (8)</v>
      </c>
      <c r="BX63" s="16">
        <f t="shared" ca="1" si="161"/>
        <v>0</v>
      </c>
      <c r="BY63" s="16">
        <f t="shared" ca="1" si="162"/>
        <v>3</v>
      </c>
      <c r="BZ63" s="16" t="str">
        <f t="shared" ca="1" si="163"/>
        <v>Pos. 3 (8)</v>
      </c>
      <c r="CA63" s="16">
        <f t="shared" ca="1" si="164"/>
        <v>2</v>
      </c>
      <c r="CB63" s="16">
        <f t="shared" ca="1" si="165"/>
        <v>9</v>
      </c>
      <c r="CC63" s="16"/>
      <c r="CD63" s="16">
        <f t="shared" ca="1" si="166"/>
        <v>9</v>
      </c>
      <c r="CE63" s="16">
        <f t="shared" ca="1" si="167"/>
        <v>8</v>
      </c>
      <c r="CF63" s="16">
        <f t="shared" ca="1" si="168"/>
        <v>9</v>
      </c>
      <c r="DJ63" s="16">
        <f t="shared" ca="1" si="169"/>
        <v>3</v>
      </c>
      <c r="DK63" s="16"/>
      <c r="DL63" s="16">
        <f t="shared" ca="1" si="170"/>
        <v>1</v>
      </c>
      <c r="DM63" s="16" t="str">
        <f t="shared" ca="1" si="171"/>
        <v>3.1</v>
      </c>
      <c r="DN63" s="16">
        <f t="array" aca="1" ref="DN63" ca="1">OFFSET(Horarios!$P$3,DJ63-1,0,DL63,1)</f>
        <v>3</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3</v>
      </c>
      <c r="BT64" s="16" t="str">
        <f t="shared" ca="1" si="157"/>
        <v>Pos. 3 (10)</v>
      </c>
      <c r="BU64" s="16">
        <f t="shared" ca="1" si="158"/>
        <v>0</v>
      </c>
      <c r="BV64" s="16">
        <f t="shared" ca="1" si="159"/>
        <v>3</v>
      </c>
      <c r="BW64" s="16" t="str">
        <f t="shared" ca="1" si="160"/>
        <v>Pos. 3 (8)</v>
      </c>
      <c r="BX64" s="16">
        <f t="shared" ca="1" si="161"/>
        <v>0</v>
      </c>
      <c r="BY64" s="16">
        <f t="shared" ca="1" si="162"/>
        <v>3</v>
      </c>
      <c r="BZ64" s="16" t="str">
        <f t="shared" ca="1" si="163"/>
        <v>Pos. 3 (8)</v>
      </c>
      <c r="CA64" s="16">
        <f t="shared" ca="1" si="164"/>
        <v>5</v>
      </c>
      <c r="CB64" s="16">
        <f t="shared" ca="1" si="165"/>
        <v>8</v>
      </c>
      <c r="CC64" s="16"/>
      <c r="CD64" s="16">
        <f t="shared" ca="1" si="166"/>
        <v>8</v>
      </c>
      <c r="CE64" s="16">
        <f t="shared" ca="1" si="167"/>
        <v>7</v>
      </c>
      <c r="CF64" s="16">
        <f t="shared" ca="1" si="168"/>
        <v>8</v>
      </c>
      <c r="DJ64" s="16">
        <f t="shared" ca="1" si="169"/>
        <v>3</v>
      </c>
      <c r="DK64" s="16"/>
      <c r="DL64" s="16">
        <f t="shared" ca="1" si="170"/>
        <v>1</v>
      </c>
      <c r="DM64" s="16" t="str">
        <f t="shared" ca="1" si="171"/>
        <v>3.1</v>
      </c>
      <c r="DN64" s="16">
        <f t="array" aca="1" ref="DN64" ca="1">OFFSET(Horarios!$P$3,DJ64-1,0,DL64,1)</f>
        <v>3</v>
      </c>
      <c r="DO64" s="16"/>
      <c r="DP64" s="16">
        <v>7</v>
      </c>
      <c r="DQ64" s="16" t="str">
        <f t="shared" ca="1" si="172"/>
        <v>Irak</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3</v>
      </c>
      <c r="BN65" s="16">
        <f t="shared" ca="1" si="153"/>
        <v>3</v>
      </c>
      <c r="BO65" s="16" t="str">
        <f t="shared" si="154"/>
        <v>4H</v>
      </c>
      <c r="BP65" s="16"/>
      <c r="BQ65" s="16"/>
      <c r="BR65" s="16">
        <f t="shared" ca="1" si="155"/>
        <v>0</v>
      </c>
      <c r="BS65" s="16">
        <f t="shared" ca="1" si="156"/>
        <v>3</v>
      </c>
      <c r="BT65" s="16" t="str">
        <f t="shared" ca="1" si="157"/>
        <v>Pos. 3 (10)</v>
      </c>
      <c r="BU65" s="16">
        <f t="shared" ca="1" si="158"/>
        <v>0</v>
      </c>
      <c r="BV65" s="16">
        <f t="shared" ca="1" si="159"/>
        <v>3</v>
      </c>
      <c r="BW65" s="16" t="str">
        <f t="shared" ca="1" si="160"/>
        <v>Pos. 3 (8)</v>
      </c>
      <c r="BX65" s="16">
        <f t="shared" ca="1" si="161"/>
        <v>0</v>
      </c>
      <c r="BY65" s="16">
        <f t="shared" ca="1" si="162"/>
        <v>3</v>
      </c>
      <c r="BZ65" s="16" t="str">
        <f t="shared" ca="1" si="163"/>
        <v>Pos. 3 (8)</v>
      </c>
      <c r="CA65" s="16">
        <f t="shared" ca="1" si="164"/>
        <v>11</v>
      </c>
      <c r="CB65" s="16">
        <f t="shared" ca="1" si="165"/>
        <v>3</v>
      </c>
      <c r="CC65" s="16"/>
      <c r="CD65" s="16">
        <f t="shared" ca="1" si="166"/>
        <v>3</v>
      </c>
      <c r="CE65" s="16">
        <f t="shared" ca="1" si="167"/>
        <v>2</v>
      </c>
      <c r="CF65" s="16">
        <f t="shared" ca="1" si="168"/>
        <v>3</v>
      </c>
      <c r="DJ65" s="16">
        <f t="shared" ca="1" si="169"/>
        <v>3</v>
      </c>
      <c r="DK65" s="16"/>
      <c r="DL65" s="16">
        <f t="shared" ca="1" si="170"/>
        <v>1</v>
      </c>
      <c r="DM65" s="16" t="str">
        <f t="shared" ca="1" si="171"/>
        <v>3.1</v>
      </c>
      <c r="DN65" s="16">
        <f t="array" aca="1" ref="DN65" ca="1">OFFSET(Horarios!$P$3,DJ65-1,0,DL65,1)</f>
        <v>3</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3</v>
      </c>
      <c r="BT66" s="16" t="str">
        <f t="shared" ca="1" si="157"/>
        <v>Pos. 3 (10)</v>
      </c>
      <c r="BU66" s="16">
        <f t="shared" ca="1" si="158"/>
        <v>0</v>
      </c>
      <c r="BV66" s="16">
        <f t="shared" ca="1" si="159"/>
        <v>3</v>
      </c>
      <c r="BW66" s="16" t="str">
        <f t="shared" ca="1" si="160"/>
        <v>Pos. 3 (8)</v>
      </c>
      <c r="BX66" s="16">
        <f t="shared" ca="1" si="161"/>
        <v>0</v>
      </c>
      <c r="BY66" s="16">
        <f t="shared" ca="1" si="162"/>
        <v>3</v>
      </c>
      <c r="BZ66" s="16" t="str">
        <f t="shared" ca="1" si="163"/>
        <v>Pos. 3 (8)</v>
      </c>
      <c r="CA66" s="16">
        <f t="shared" ca="1" si="164"/>
        <v>6</v>
      </c>
      <c r="CB66" s="16">
        <f t="shared" ca="1" si="165"/>
        <v>7</v>
      </c>
      <c r="CC66" s="16"/>
      <c r="CD66" s="16">
        <f t="shared" ca="1" si="166"/>
        <v>7</v>
      </c>
      <c r="CE66" s="16">
        <f t="shared" ca="1" si="167"/>
        <v>6</v>
      </c>
      <c r="CF66" s="16">
        <f t="shared" ca="1" si="168"/>
        <v>7</v>
      </c>
      <c r="DJ66" s="16">
        <f t="shared" ca="1" si="169"/>
        <v>3</v>
      </c>
      <c r="DK66" s="16"/>
      <c r="DL66" s="16">
        <f t="shared" ca="1" si="170"/>
        <v>1</v>
      </c>
      <c r="DM66" s="16" t="str">
        <f t="shared" ca="1" si="171"/>
        <v>3.1</v>
      </c>
      <c r="DN66" s="16">
        <f t="array" aca="1" ref="DN66" ca="1">OFFSET(Horarios!$P$3,DJ66-1,0,DL66,1)</f>
        <v>3</v>
      </c>
      <c r="DO66" s="16"/>
      <c r="DP66" s="16">
        <v>9</v>
      </c>
      <c r="DQ66" s="16" t="str">
        <f t="shared" ca="1" si="172"/>
        <v>Suecia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4</v>
      </c>
      <c r="BN67" s="16">
        <f t="shared" ca="1" si="153"/>
        <v>4</v>
      </c>
      <c r="BO67" s="16" t="str">
        <f t="shared" si="154"/>
        <v>4J</v>
      </c>
      <c r="BP67" s="16"/>
      <c r="BQ67" s="16"/>
      <c r="BR67" s="16">
        <f t="shared" ca="1" si="155"/>
        <v>0</v>
      </c>
      <c r="BS67" s="16">
        <f t="shared" ca="1" si="156"/>
        <v>3</v>
      </c>
      <c r="BT67" s="16" t="str">
        <f t="shared" ca="1" si="157"/>
        <v>Pos. 3 (10)</v>
      </c>
      <c r="BU67" s="16">
        <f t="shared" ca="1" si="158"/>
        <v>0</v>
      </c>
      <c r="BV67" s="16">
        <f t="shared" ca="1" si="159"/>
        <v>3</v>
      </c>
      <c r="BW67" s="16" t="str">
        <f t="shared" ca="1" si="160"/>
        <v>Pos. 3 (8)</v>
      </c>
      <c r="BX67" s="16">
        <f t="shared" ca="1" si="161"/>
        <v>0</v>
      </c>
      <c r="BY67" s="16">
        <f t="shared" ca="1" si="162"/>
        <v>3</v>
      </c>
      <c r="BZ67" s="16" t="str">
        <f t="shared" ca="1" si="163"/>
        <v>Pos. 3 (8)</v>
      </c>
      <c r="CA67" s="16">
        <f t="shared" ca="1" si="164"/>
        <v>10</v>
      </c>
      <c r="CB67" s="16">
        <f t="shared" ca="1" si="165"/>
        <v>4</v>
      </c>
      <c r="CC67" s="16"/>
      <c r="CD67" s="16">
        <f t="shared" ca="1" si="166"/>
        <v>4</v>
      </c>
      <c r="CE67" s="16">
        <f t="shared" ca="1" si="167"/>
        <v>3</v>
      </c>
      <c r="CF67" s="16">
        <f t="shared" ca="1" si="168"/>
        <v>4</v>
      </c>
      <c r="DJ67" s="16">
        <f t="shared" ca="1" si="169"/>
        <v>3</v>
      </c>
      <c r="DK67" s="16"/>
      <c r="DL67" s="16">
        <f t="shared" ca="1" si="170"/>
        <v>1</v>
      </c>
      <c r="DM67" s="16" t="str">
        <f t="shared" ca="1" si="171"/>
        <v>3.1</v>
      </c>
      <c r="DN67" s="16">
        <f t="array" aca="1" ref="DN67" ca="1">OFFSET(Horarios!$P$3,DJ67-1,0,DL67,1)</f>
        <v>3</v>
      </c>
      <c r="DO67" s="16"/>
      <c r="DP67" s="16">
        <v>10</v>
      </c>
      <c r="DQ67" s="16" t="str">
        <f t="shared" ca="1" si="172"/>
        <v>Uzbekistán</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41"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10</v>
      </c>
      <c r="BN68" s="16">
        <f t="shared" ca="1" si="153"/>
        <v>10</v>
      </c>
      <c r="BO68" s="16" t="str">
        <f t="shared" si="154"/>
        <v>4K</v>
      </c>
      <c r="BP68" s="16"/>
      <c r="BQ68" s="16"/>
      <c r="BR68" s="16">
        <f t="shared" ca="1" si="155"/>
        <v>0</v>
      </c>
      <c r="BS68" s="16">
        <f t="shared" ca="1" si="156"/>
        <v>3</v>
      </c>
      <c r="BT68" s="16" t="str">
        <f t="shared" ca="1" si="157"/>
        <v>Pos. 3 (10)</v>
      </c>
      <c r="BU68" s="16">
        <f t="shared" ca="1" si="158"/>
        <v>0</v>
      </c>
      <c r="BV68" s="16">
        <f t="shared" ca="1" si="159"/>
        <v>3</v>
      </c>
      <c r="BW68" s="16" t="str">
        <f t="shared" ca="1" si="160"/>
        <v>Pos. 3 (8)</v>
      </c>
      <c r="BX68" s="16">
        <f t="shared" ca="1" si="161"/>
        <v>0</v>
      </c>
      <c r="BY68" s="16">
        <f t="shared" ca="1" si="162"/>
        <v>3</v>
      </c>
      <c r="BZ68" s="16" t="str">
        <f t="shared" ca="1" si="163"/>
        <v>Pos. 3 (8)</v>
      </c>
      <c r="CA68" s="16">
        <f t="shared" ca="1" si="164"/>
        <v>0</v>
      </c>
      <c r="CB68" s="16">
        <f t="shared" ca="1" si="165"/>
        <v>10</v>
      </c>
      <c r="CC68" s="16"/>
      <c r="CD68" s="16">
        <f t="shared" ca="1" si="166"/>
        <v>10</v>
      </c>
      <c r="CE68" s="16">
        <f t="shared" ca="1" si="167"/>
        <v>9</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República Checa</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0"/>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3</v>
      </c>
      <c r="BT69" s="16" t="str">
        <f t="shared" ca="1" si="157"/>
        <v>Pos. 3 (10)</v>
      </c>
      <c r="BU69" s="16">
        <f t="shared" ca="1" si="158"/>
        <v>0</v>
      </c>
      <c r="BV69" s="16">
        <f t="shared" ca="1" si="159"/>
        <v>3</v>
      </c>
      <c r="BW69" s="16" t="str">
        <f t="shared" ca="1" si="160"/>
        <v>Pos. 3 (8)</v>
      </c>
      <c r="BX69" s="16">
        <f t="shared" ca="1" si="161"/>
        <v>0</v>
      </c>
      <c r="BY69" s="16">
        <f t="shared" ca="1" si="162"/>
        <v>3</v>
      </c>
      <c r="BZ69" s="16" t="str">
        <f t="shared" ca="1" si="163"/>
        <v>Pos. 3 (8)</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26"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6"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9"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Marruecos</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Arabia Saudita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2</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Austria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Ecuador</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Suecia</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Uzbekistán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República Checa</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18</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3"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30"/>
      <c r="G1" s="630"/>
      <c r="H1" s="630"/>
      <c r="I1" s="630"/>
      <c r="J1" s="630"/>
      <c r="K1" s="630"/>
      <c r="L1" s="630"/>
      <c r="M1" s="630"/>
      <c r="N1" s="630"/>
    </row>
    <row r="2" spans="1:14" ht="20" customHeight="1" thickBot="1" x14ac:dyDescent="0.3">
      <c r="A2" s="284"/>
      <c r="B2" s="285"/>
      <c r="C2" s="285"/>
      <c r="D2" s="360"/>
      <c r="E2" s="630"/>
      <c r="F2" s="630"/>
      <c r="G2" s="630"/>
      <c r="H2" s="630"/>
      <c r="I2" s="630"/>
      <c r="J2" s="630"/>
      <c r="K2" s="630"/>
      <c r="L2" s="630"/>
      <c r="M2" s="630"/>
      <c r="N2" s="63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30"/>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30"/>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30"/>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30"/>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30"/>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30"/>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30"/>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30"/>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30"/>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30"/>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30"/>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30"/>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30"/>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30"/>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30"/>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30"/>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30"/>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30"/>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30"/>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30"/>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30"/>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30"/>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30"/>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30"/>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30"/>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30"/>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30"/>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30"/>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30"/>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30"/>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30"/>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30"/>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30"/>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30"/>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30"/>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30"/>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30"/>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30"/>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30"/>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30"/>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30"/>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30"/>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30"/>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30"/>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30"/>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30"/>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30"/>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30"/>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30"/>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30"/>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30"/>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30"/>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30"/>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30"/>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30"/>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30"/>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30"/>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30"/>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30"/>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30"/>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30"/>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30"/>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30"/>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30"/>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30"/>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30"/>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30"/>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3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30"/>
      <c r="E165" s="650"/>
      <c r="F165" s="650"/>
      <c r="G165" s="650"/>
      <c r="H165" s="650"/>
      <c r="I165" s="345"/>
      <c r="J165" s="361"/>
      <c r="K165" s="361"/>
      <c r="L165" s="361"/>
      <c r="M165" s="377"/>
      <c r="N165" s="368"/>
    </row>
    <row r="166" spans="1:14" ht="15" customHeight="1" x14ac:dyDescent="0.2">
      <c r="A166" s="63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30"/>
      <c r="E166" s="650"/>
      <c r="F166" s="650"/>
      <c r="G166" s="650"/>
      <c r="H166" s="650"/>
      <c r="I166" s="345"/>
      <c r="J166" s="361"/>
      <c r="K166" s="361"/>
      <c r="L166" s="361"/>
      <c r="M166" s="377"/>
      <c r="N166" s="368"/>
    </row>
    <row r="167" spans="1:14" ht="15" customHeight="1" x14ac:dyDescent="0.2">
      <c r="A167" s="63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30"/>
      <c r="E167" s="650"/>
      <c r="F167" s="650"/>
      <c r="G167" s="650"/>
      <c r="H167" s="650"/>
      <c r="I167" s="345"/>
      <c r="J167" s="361"/>
      <c r="K167" s="361"/>
      <c r="L167" s="361"/>
      <c r="M167" s="377"/>
      <c r="N167" s="368"/>
    </row>
    <row r="168" spans="1:14" ht="15" customHeight="1" x14ac:dyDescent="0.2">
      <c r="A168" s="63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30"/>
      <c r="E168" s="361"/>
      <c r="F168" s="361"/>
      <c r="G168" s="361"/>
      <c r="H168" s="361"/>
      <c r="I168" s="345"/>
      <c r="J168" s="361"/>
      <c r="K168" s="361"/>
      <c r="L168" s="361"/>
      <c r="M168" s="377"/>
      <c r="N168" s="368"/>
    </row>
    <row r="169" spans="1:14" ht="15" customHeight="1" x14ac:dyDescent="0.2">
      <c r="A169" s="63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30"/>
      <c r="E169" s="361"/>
      <c r="F169" s="361"/>
      <c r="G169" s="361"/>
      <c r="H169" s="361"/>
      <c r="I169" s="345"/>
      <c r="J169" s="361"/>
      <c r="K169" s="361"/>
      <c r="L169" s="361"/>
      <c r="M169" s="377"/>
      <c r="N169" s="368"/>
    </row>
    <row r="170" spans="1:14" ht="15" customHeight="1" x14ac:dyDescent="0.2">
      <c r="A170" s="63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30"/>
      <c r="E170" s="361"/>
      <c r="F170" s="361"/>
      <c r="G170" s="361"/>
      <c r="H170" s="361"/>
      <c r="I170" s="345"/>
      <c r="J170" s="361"/>
      <c r="K170" s="361"/>
      <c r="L170" s="361"/>
      <c r="M170" s="377"/>
      <c r="N170" s="368"/>
    </row>
    <row r="171" spans="1:14" ht="15" customHeight="1" x14ac:dyDescent="0.2">
      <c r="A171" s="63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30"/>
      <c r="E171" s="361"/>
      <c r="F171" s="361"/>
      <c r="G171" s="361"/>
      <c r="H171" s="361"/>
      <c r="I171" s="345"/>
      <c r="J171" s="361"/>
      <c r="K171" s="361"/>
      <c r="L171" s="361"/>
      <c r="M171" s="377"/>
      <c r="N171" s="368"/>
    </row>
    <row r="172" spans="1:14" ht="15" customHeight="1" x14ac:dyDescent="0.2">
      <c r="A172" s="63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30"/>
      <c r="E172" s="361"/>
      <c r="F172" s="361"/>
      <c r="G172" s="361"/>
      <c r="H172" s="361"/>
      <c r="I172" s="345"/>
      <c r="J172" s="361"/>
      <c r="K172" s="361"/>
      <c r="L172" s="361"/>
      <c r="M172" s="377"/>
      <c r="N172" s="368"/>
    </row>
    <row r="173" spans="1:14" ht="15" customHeight="1" x14ac:dyDescent="0.2">
      <c r="A173" s="63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30"/>
      <c r="E173" s="361"/>
      <c r="F173" s="361"/>
      <c r="G173" s="361"/>
      <c r="H173" s="361"/>
      <c r="I173" s="345"/>
      <c r="J173" s="361"/>
      <c r="K173" s="361"/>
      <c r="L173" s="361"/>
      <c r="M173" s="377"/>
      <c r="N173" s="368"/>
    </row>
    <row r="174" spans="1:14" ht="15" customHeight="1" x14ac:dyDescent="0.2">
      <c r="A174" s="63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30"/>
      <c r="E174" s="361"/>
      <c r="F174" s="361"/>
      <c r="G174" s="361"/>
      <c r="H174" s="361"/>
      <c r="I174" s="345"/>
      <c r="J174" s="361"/>
      <c r="K174" s="361"/>
      <c r="L174" s="361"/>
      <c r="M174" s="377"/>
      <c r="N174" s="368"/>
    </row>
    <row r="175" spans="1:14" ht="15" customHeight="1" x14ac:dyDescent="0.2">
      <c r="A175" s="63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30"/>
      <c r="E175" s="361"/>
      <c r="F175" s="361"/>
      <c r="G175" s="361"/>
      <c r="H175" s="361"/>
      <c r="I175" s="345"/>
      <c r="J175" s="361"/>
      <c r="K175" s="361"/>
      <c r="L175" s="361"/>
      <c r="M175" s="377"/>
      <c r="N175" s="368"/>
    </row>
    <row r="176" spans="1:14" ht="15" customHeight="1" x14ac:dyDescent="0.2">
      <c r="A176" s="63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30"/>
      <c r="E176" s="361"/>
      <c r="F176" s="361"/>
      <c r="G176" s="361"/>
      <c r="H176" s="361"/>
      <c r="I176" s="345"/>
      <c r="J176" s="361"/>
      <c r="K176" s="361"/>
      <c r="L176" s="361"/>
      <c r="M176" s="377"/>
      <c r="N176" s="368"/>
    </row>
    <row r="177" spans="1:14" ht="15" customHeight="1" x14ac:dyDescent="0.2">
      <c r="A177" s="63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30"/>
      <c r="E177" s="361"/>
      <c r="F177" s="361"/>
      <c r="G177" s="361"/>
      <c r="H177" s="361"/>
      <c r="I177" s="345"/>
      <c r="J177" s="361"/>
      <c r="K177" s="361"/>
      <c r="L177" s="361"/>
      <c r="M177" s="377"/>
      <c r="N177" s="368"/>
    </row>
    <row r="178" spans="1:14" ht="15" customHeight="1" x14ac:dyDescent="0.2">
      <c r="A178" s="63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30"/>
      <c r="E178" s="361"/>
      <c r="F178" s="361"/>
      <c r="G178" s="361"/>
      <c r="H178" s="361"/>
      <c r="I178" s="345"/>
      <c r="J178" s="361"/>
      <c r="K178" s="361"/>
      <c r="L178" s="361"/>
      <c r="M178" s="377"/>
      <c r="N178" s="368"/>
    </row>
    <row r="179" spans="1:14" ht="15" customHeight="1" x14ac:dyDescent="0.2">
      <c r="A179" s="63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30"/>
      <c r="E179" s="361"/>
      <c r="F179" s="361"/>
      <c r="G179" s="361"/>
      <c r="H179" s="361"/>
      <c r="I179" s="345"/>
      <c r="J179" s="361"/>
      <c r="K179" s="361"/>
      <c r="L179" s="361"/>
      <c r="M179" s="377"/>
      <c r="N179" s="368"/>
    </row>
    <row r="180" spans="1:14" ht="15" customHeight="1" x14ac:dyDescent="0.2">
      <c r="A180" s="223"/>
      <c r="B180" s="223"/>
      <c r="C180" s="343"/>
      <c r="D180" s="63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3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30"/>
      <c r="E182" s="361"/>
      <c r="F182" s="361"/>
      <c r="G182" s="361"/>
      <c r="H182" s="361"/>
      <c r="I182" s="345"/>
      <c r="J182" s="361"/>
      <c r="K182" s="361"/>
      <c r="L182" s="361"/>
      <c r="M182" s="377"/>
      <c r="N182" s="368"/>
    </row>
    <row r="183" spans="1:14" ht="15" customHeight="1" x14ac:dyDescent="0.2">
      <c r="A183" s="630"/>
      <c r="B183" s="352" t="str">
        <f t="shared" ref="B183:B197" si="2">B182</f>
        <v>Octavofinalista</v>
      </c>
      <c r="C183" s="342" t="str">
        <f>WORLDCUP!AA121</f>
        <v>W74</v>
      </c>
      <c r="D183" s="630"/>
      <c r="E183" s="361"/>
      <c r="F183" s="361"/>
      <c r="G183" s="361"/>
      <c r="H183" s="361"/>
      <c r="I183" s="345"/>
      <c r="J183" s="361"/>
      <c r="K183" s="361"/>
      <c r="L183" s="361"/>
      <c r="M183" s="377"/>
      <c r="N183" s="368"/>
    </row>
    <row r="184" spans="1:14" ht="15" customHeight="1" x14ac:dyDescent="0.2">
      <c r="A184" s="630"/>
      <c r="B184" s="352" t="str">
        <f t="shared" si="2"/>
        <v>Octavofinalista</v>
      </c>
      <c r="C184" s="342" t="str">
        <f>WORLDCUP!AA122</f>
        <v>W76</v>
      </c>
      <c r="D184" s="630"/>
      <c r="E184" s="361"/>
      <c r="F184" s="361"/>
      <c r="G184" s="361"/>
      <c r="H184" s="361"/>
      <c r="I184" s="345"/>
      <c r="J184" s="361"/>
      <c r="K184" s="361"/>
      <c r="L184" s="361"/>
      <c r="M184" s="377"/>
      <c r="N184" s="368"/>
    </row>
    <row r="185" spans="1:14" ht="15" customHeight="1" x14ac:dyDescent="0.2">
      <c r="A185" s="630"/>
      <c r="B185" s="352" t="str">
        <f t="shared" si="2"/>
        <v>Octavofinalista</v>
      </c>
      <c r="C185" s="342" t="str">
        <f>WORLDCUP!AA123</f>
        <v>W79</v>
      </c>
      <c r="D185" s="630"/>
      <c r="E185" s="361"/>
      <c r="F185" s="361"/>
      <c r="G185" s="361"/>
      <c r="H185" s="361"/>
      <c r="I185" s="345"/>
      <c r="J185" s="361"/>
      <c r="K185" s="361"/>
      <c r="L185" s="361"/>
      <c r="M185" s="377"/>
      <c r="N185" s="368"/>
    </row>
    <row r="186" spans="1:14" ht="15" customHeight="1" x14ac:dyDescent="0.2">
      <c r="A186" s="630"/>
      <c r="B186" s="352" t="str">
        <f t="shared" si="2"/>
        <v>Octavofinalista</v>
      </c>
      <c r="C186" s="342" t="str">
        <f>WORLDCUP!AA124</f>
        <v>W83</v>
      </c>
      <c r="D186" s="630"/>
      <c r="E186" s="361"/>
      <c r="F186" s="361"/>
      <c r="G186" s="361"/>
      <c r="H186" s="361"/>
      <c r="I186" s="345"/>
      <c r="J186" s="361"/>
      <c r="K186" s="361"/>
      <c r="L186" s="361"/>
      <c r="M186" s="377"/>
      <c r="N186" s="368"/>
    </row>
    <row r="187" spans="1:14" ht="15" customHeight="1" x14ac:dyDescent="0.2">
      <c r="A187" s="630"/>
      <c r="B187" s="352" t="str">
        <f t="shared" si="2"/>
        <v>Octavofinalista</v>
      </c>
      <c r="C187" s="342" t="str">
        <f>WORLDCUP!AA125</f>
        <v>W81</v>
      </c>
      <c r="D187" s="630"/>
      <c r="E187" s="361"/>
      <c r="F187" s="361"/>
      <c r="G187" s="361"/>
      <c r="H187" s="361"/>
      <c r="I187" s="345"/>
      <c r="J187" s="361"/>
      <c r="K187" s="361"/>
      <c r="L187" s="361"/>
      <c r="M187" s="377"/>
      <c r="N187" s="368"/>
    </row>
    <row r="188" spans="1:14" ht="15" customHeight="1" x14ac:dyDescent="0.2">
      <c r="A188" s="630"/>
      <c r="B188" s="352" t="str">
        <f t="shared" si="2"/>
        <v>Octavofinalista</v>
      </c>
      <c r="C188" s="342" t="str">
        <f>WORLDCUP!AA126</f>
        <v>W86</v>
      </c>
      <c r="D188" s="630"/>
      <c r="E188" s="361"/>
      <c r="F188" s="361"/>
      <c r="G188" s="361"/>
      <c r="H188" s="361"/>
      <c r="I188" s="345"/>
      <c r="J188" s="361"/>
      <c r="K188" s="361"/>
      <c r="L188" s="361"/>
      <c r="M188" s="377"/>
      <c r="N188" s="368"/>
    </row>
    <row r="189" spans="1:14" ht="15" customHeight="1" x14ac:dyDescent="0.2">
      <c r="A189" s="630"/>
      <c r="B189" s="352" t="str">
        <f t="shared" si="2"/>
        <v>Octavofinalista</v>
      </c>
      <c r="C189" s="342" t="str">
        <f>WORLDCUP!AA127</f>
        <v>W85</v>
      </c>
      <c r="D189" s="630"/>
      <c r="E189" s="361"/>
      <c r="F189" s="361"/>
      <c r="G189" s="361"/>
      <c r="H189" s="361"/>
      <c r="I189" s="345"/>
      <c r="J189" s="361"/>
      <c r="K189" s="361"/>
      <c r="L189" s="361"/>
      <c r="M189" s="377"/>
      <c r="N189" s="368"/>
    </row>
    <row r="190" spans="1:14" ht="15" customHeight="1" x14ac:dyDescent="0.2">
      <c r="A190" s="630"/>
      <c r="B190" s="352" t="str">
        <f t="shared" si="2"/>
        <v>Octavofinalista</v>
      </c>
      <c r="C190" s="342" t="str">
        <f>WORLDCUP!AF120</f>
        <v>W75</v>
      </c>
      <c r="D190" s="630"/>
      <c r="E190" s="361"/>
      <c r="F190" s="361"/>
      <c r="G190" s="361"/>
      <c r="H190" s="361"/>
      <c r="I190" s="345"/>
      <c r="J190" s="361"/>
      <c r="K190" s="361"/>
      <c r="L190" s="361"/>
      <c r="M190" s="377"/>
      <c r="N190" s="368"/>
    </row>
    <row r="191" spans="1:14" ht="15" customHeight="1" x14ac:dyDescent="0.2">
      <c r="A191" s="630"/>
      <c r="B191" s="352" t="str">
        <f t="shared" si="2"/>
        <v>Octavofinalista</v>
      </c>
      <c r="C191" s="342" t="str">
        <f>WORLDCUP!AF121</f>
        <v>W77</v>
      </c>
      <c r="D191" s="630"/>
      <c r="E191" s="361"/>
      <c r="F191" s="361"/>
      <c r="G191" s="361"/>
      <c r="H191" s="361"/>
      <c r="I191" s="345"/>
      <c r="J191" s="361"/>
      <c r="K191" s="361"/>
      <c r="L191" s="361"/>
      <c r="M191" s="377"/>
      <c r="N191" s="368"/>
    </row>
    <row r="192" spans="1:14" ht="15" customHeight="1" x14ac:dyDescent="0.2">
      <c r="A192" s="630"/>
      <c r="B192" s="352" t="str">
        <f t="shared" si="2"/>
        <v>Octavofinalista</v>
      </c>
      <c r="C192" s="342" t="str">
        <f>WORLDCUP!AF122</f>
        <v>W78</v>
      </c>
      <c r="D192" s="630"/>
      <c r="E192" s="361"/>
      <c r="F192" s="361"/>
      <c r="G192" s="361"/>
      <c r="H192" s="361"/>
      <c r="I192" s="345"/>
      <c r="J192" s="361"/>
      <c r="K192" s="361"/>
      <c r="L192" s="361"/>
      <c r="M192" s="377"/>
      <c r="N192" s="368"/>
    </row>
    <row r="193" spans="1:14" ht="15" customHeight="1" x14ac:dyDescent="0.2">
      <c r="A193" s="630"/>
      <c r="B193" s="352" t="str">
        <f t="shared" si="2"/>
        <v>Octavofinalista</v>
      </c>
      <c r="C193" s="342" t="str">
        <f>WORLDCUP!AF123</f>
        <v>W80</v>
      </c>
      <c r="D193" s="630"/>
      <c r="E193" s="361"/>
      <c r="F193" s="361"/>
      <c r="G193" s="361"/>
      <c r="H193" s="361"/>
      <c r="I193" s="345"/>
      <c r="J193" s="361"/>
      <c r="K193" s="361"/>
      <c r="L193" s="361"/>
      <c r="M193" s="377"/>
      <c r="N193" s="368"/>
    </row>
    <row r="194" spans="1:14" ht="15" customHeight="1" x14ac:dyDescent="0.2">
      <c r="A194" s="630"/>
      <c r="B194" s="352" t="str">
        <f t="shared" si="2"/>
        <v>Octavofinalista</v>
      </c>
      <c r="C194" s="342" t="str">
        <f>WORLDCUP!AF124</f>
        <v>W84</v>
      </c>
      <c r="D194" s="630"/>
      <c r="E194" s="361"/>
      <c r="F194" s="361"/>
      <c r="G194" s="361"/>
      <c r="H194" s="361"/>
      <c r="I194" s="345"/>
      <c r="J194" s="361"/>
      <c r="K194" s="361"/>
      <c r="L194" s="361"/>
      <c r="M194" s="377"/>
      <c r="N194" s="368"/>
    </row>
    <row r="195" spans="1:14" ht="15" customHeight="1" x14ac:dyDescent="0.2">
      <c r="A195" s="630"/>
      <c r="B195" s="352" t="str">
        <f t="shared" si="2"/>
        <v>Octavofinalista</v>
      </c>
      <c r="C195" s="342" t="str">
        <f>WORLDCUP!AF125</f>
        <v>W82</v>
      </c>
      <c r="D195" s="630"/>
      <c r="E195" s="361"/>
      <c r="F195" s="361"/>
      <c r="G195" s="361"/>
      <c r="H195" s="361"/>
      <c r="I195" s="345"/>
      <c r="J195" s="361"/>
      <c r="K195" s="361"/>
      <c r="L195" s="361"/>
      <c r="M195" s="377"/>
      <c r="N195" s="368"/>
    </row>
    <row r="196" spans="1:14" ht="15" customHeight="1" x14ac:dyDescent="0.2">
      <c r="A196" s="630"/>
      <c r="B196" s="352" t="str">
        <f t="shared" si="2"/>
        <v>Octavofinalista</v>
      </c>
      <c r="C196" s="342" t="str">
        <f>WORLDCUP!AF126</f>
        <v>W88</v>
      </c>
      <c r="D196" s="630"/>
      <c r="E196" s="361"/>
      <c r="F196" s="361"/>
      <c r="G196" s="361"/>
      <c r="H196" s="361"/>
      <c r="I196" s="345"/>
      <c r="J196" s="361"/>
      <c r="K196" s="361"/>
      <c r="L196" s="361"/>
      <c r="M196" s="377"/>
      <c r="N196" s="368"/>
    </row>
    <row r="197" spans="1:14" ht="15" customHeight="1" x14ac:dyDescent="0.2">
      <c r="A197" s="630"/>
      <c r="B197" s="352" t="str">
        <f t="shared" si="2"/>
        <v>Octavofinalista</v>
      </c>
      <c r="C197" s="342" t="str">
        <f>WORLDCUP!AF127</f>
        <v>W87</v>
      </c>
      <c r="D197" s="63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3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30"/>
      <c r="E201" s="650"/>
      <c r="F201" s="650"/>
      <c r="G201" s="650"/>
      <c r="H201" s="650"/>
      <c r="I201" s="345"/>
      <c r="J201" s="361"/>
      <c r="K201" s="361"/>
      <c r="L201" s="361"/>
      <c r="M201" s="377"/>
      <c r="N201" s="368"/>
    </row>
    <row r="202" spans="1:14" ht="15" customHeight="1" x14ac:dyDescent="0.2">
      <c r="A202" s="63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30"/>
      <c r="E202" s="650"/>
      <c r="F202" s="650"/>
      <c r="G202" s="650"/>
      <c r="H202" s="650"/>
      <c r="I202" s="345"/>
      <c r="J202" s="361"/>
      <c r="K202" s="361"/>
      <c r="L202" s="361"/>
      <c r="M202" s="377"/>
      <c r="N202" s="368"/>
    </row>
    <row r="203" spans="1:14" ht="15" customHeight="1" x14ac:dyDescent="0.2">
      <c r="A203" s="63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30"/>
      <c r="E203" s="650"/>
      <c r="F203" s="650"/>
      <c r="G203" s="650"/>
      <c r="H203" s="650"/>
      <c r="I203" s="345"/>
      <c r="J203" s="361"/>
      <c r="K203" s="361"/>
      <c r="L203" s="361"/>
      <c r="M203" s="377"/>
      <c r="N203" s="368"/>
    </row>
    <row r="204" spans="1:14" ht="15" customHeight="1" x14ac:dyDescent="0.2">
      <c r="A204" s="63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30"/>
      <c r="E204" s="345"/>
      <c r="F204" s="345"/>
      <c r="G204" s="345"/>
      <c r="H204" s="345"/>
      <c r="I204" s="345"/>
      <c r="J204" s="361"/>
      <c r="K204" s="361"/>
      <c r="L204" s="361"/>
      <c r="M204" s="377"/>
      <c r="N204" s="368"/>
    </row>
    <row r="205" spans="1:14" ht="15" customHeight="1" x14ac:dyDescent="0.2">
      <c r="A205" s="63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30"/>
      <c r="E205" s="345"/>
      <c r="F205" s="345"/>
      <c r="G205" s="345"/>
      <c r="H205" s="345"/>
      <c r="I205" s="345"/>
      <c r="J205" s="361"/>
      <c r="K205" s="361"/>
      <c r="L205" s="361"/>
      <c r="M205" s="377"/>
      <c r="N205" s="368"/>
    </row>
    <row r="206" spans="1:14" ht="15" customHeight="1" x14ac:dyDescent="0.2">
      <c r="A206" s="63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30"/>
      <c r="E206" s="345"/>
      <c r="F206" s="345"/>
      <c r="G206" s="345"/>
      <c r="H206" s="345"/>
      <c r="I206" s="345"/>
      <c r="J206" s="361"/>
      <c r="K206" s="361"/>
      <c r="L206" s="361"/>
      <c r="M206" s="377"/>
      <c r="N206" s="368"/>
    </row>
    <row r="207" spans="1:14" ht="15" customHeight="1" x14ac:dyDescent="0.2">
      <c r="A207" s="63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30"/>
      <c r="E207" s="345"/>
      <c r="F207" s="345"/>
      <c r="G207" s="345"/>
      <c r="H207" s="345"/>
      <c r="I207" s="345"/>
      <c r="J207" s="361"/>
      <c r="K207" s="361"/>
      <c r="L207" s="361"/>
      <c r="M207" s="377"/>
      <c r="N207" s="368"/>
    </row>
    <row r="208" spans="1:14" ht="15" customHeight="1" x14ac:dyDescent="0.2">
      <c r="A208" s="223"/>
      <c r="B208" s="223"/>
      <c r="C208" s="343"/>
      <c r="D208" s="63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3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30"/>
      <c r="E210" s="361"/>
      <c r="F210" s="361"/>
      <c r="G210" s="361"/>
      <c r="H210" s="361"/>
      <c r="I210" s="345"/>
      <c r="J210" s="361"/>
      <c r="K210" s="361"/>
      <c r="L210" s="361"/>
      <c r="M210" s="377"/>
      <c r="N210" s="368"/>
    </row>
    <row r="211" spans="1:14" ht="15" customHeight="1" x14ac:dyDescent="0.2">
      <c r="A211" s="630"/>
      <c r="B211" s="352" t="str">
        <f t="shared" ref="B211:B217" si="3">B210</f>
        <v>Cuartofinalista</v>
      </c>
      <c r="C211" s="342" t="str">
        <f>WORLDCUP!AA132</f>
        <v>W93</v>
      </c>
      <c r="D211" s="630"/>
      <c r="E211" s="361"/>
      <c r="F211" s="361"/>
      <c r="G211" s="361"/>
      <c r="H211" s="361"/>
      <c r="I211" s="345"/>
      <c r="J211" s="361"/>
      <c r="K211" s="361"/>
      <c r="L211" s="361"/>
      <c r="M211" s="377"/>
      <c r="N211" s="368"/>
    </row>
    <row r="212" spans="1:14" ht="15" customHeight="1" x14ac:dyDescent="0.2">
      <c r="A212" s="630"/>
      <c r="B212" s="352" t="str">
        <f t="shared" si="3"/>
        <v>Cuartofinalista</v>
      </c>
      <c r="C212" s="342" t="str">
        <f>WORLDCUP!AA133</f>
        <v>W91</v>
      </c>
      <c r="D212" s="630"/>
      <c r="E212" s="361"/>
      <c r="F212" s="361"/>
      <c r="G212" s="361"/>
      <c r="H212" s="361"/>
      <c r="I212" s="345"/>
      <c r="J212" s="361"/>
      <c r="K212" s="361"/>
      <c r="L212" s="361"/>
      <c r="M212" s="377"/>
      <c r="N212" s="368"/>
    </row>
    <row r="213" spans="1:14" ht="15" customHeight="1" x14ac:dyDescent="0.2">
      <c r="A213" s="630"/>
      <c r="B213" s="352" t="str">
        <f t="shared" si="3"/>
        <v>Cuartofinalista</v>
      </c>
      <c r="C213" s="342" t="str">
        <f>WORLDCUP!AA134</f>
        <v>W95</v>
      </c>
      <c r="D213" s="630"/>
      <c r="E213" s="361"/>
      <c r="F213" s="361"/>
      <c r="G213" s="361"/>
      <c r="H213" s="361"/>
      <c r="I213" s="345"/>
      <c r="J213" s="361"/>
      <c r="K213" s="361"/>
      <c r="L213" s="361"/>
      <c r="M213" s="377"/>
      <c r="N213" s="368"/>
    </row>
    <row r="214" spans="1:14" ht="15" customHeight="1" x14ac:dyDescent="0.2">
      <c r="A214" s="630"/>
      <c r="B214" s="352" t="str">
        <f t="shared" si="3"/>
        <v>Cuartofinalista</v>
      </c>
      <c r="C214" s="342" t="str">
        <f>WORLDCUP!AF131</f>
        <v>W90</v>
      </c>
      <c r="D214" s="630"/>
      <c r="E214" s="361"/>
      <c r="F214" s="361"/>
      <c r="G214" s="361"/>
      <c r="H214" s="361"/>
      <c r="I214" s="345"/>
      <c r="J214" s="361"/>
      <c r="K214" s="361"/>
      <c r="L214" s="361"/>
      <c r="M214" s="377"/>
      <c r="N214" s="368"/>
    </row>
    <row r="215" spans="1:14" ht="15" customHeight="1" x14ac:dyDescent="0.2">
      <c r="A215" s="630"/>
      <c r="B215" s="352" t="str">
        <f t="shared" si="3"/>
        <v>Cuartofinalista</v>
      </c>
      <c r="C215" s="342" t="str">
        <f>WORLDCUP!AF132</f>
        <v>W94</v>
      </c>
      <c r="D215" s="630"/>
      <c r="E215" s="361"/>
      <c r="F215" s="361"/>
      <c r="G215" s="361"/>
      <c r="H215" s="361"/>
      <c r="I215" s="345"/>
      <c r="J215" s="361"/>
      <c r="K215" s="361"/>
      <c r="L215" s="361"/>
      <c r="M215" s="377"/>
      <c r="N215" s="368"/>
    </row>
    <row r="216" spans="1:14" ht="15" customHeight="1" x14ac:dyDescent="0.2">
      <c r="A216" s="630"/>
      <c r="B216" s="352" t="str">
        <f t="shared" si="3"/>
        <v>Cuartofinalista</v>
      </c>
      <c r="C216" s="342" t="str">
        <f>WORLDCUP!AF133</f>
        <v>W92</v>
      </c>
      <c r="D216" s="630"/>
      <c r="E216" s="361"/>
      <c r="F216" s="361"/>
      <c r="G216" s="361"/>
      <c r="H216" s="361"/>
      <c r="I216" s="345"/>
      <c r="J216" s="361"/>
      <c r="K216" s="361"/>
      <c r="L216" s="361"/>
      <c r="M216" s="377"/>
      <c r="N216" s="368"/>
    </row>
    <row r="217" spans="1:14" ht="15" customHeight="1" x14ac:dyDescent="0.2">
      <c r="A217" s="630"/>
      <c r="B217" s="352" t="str">
        <f t="shared" si="3"/>
        <v>Cuartofinalista</v>
      </c>
      <c r="C217" s="342" t="str">
        <f>WORLDCUP!AF134</f>
        <v>W96</v>
      </c>
      <c r="D217" s="63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3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30"/>
      <c r="E221" s="650"/>
      <c r="F221" s="650"/>
      <c r="G221" s="650"/>
      <c r="H221" s="650"/>
      <c r="I221" s="345"/>
      <c r="J221" s="361"/>
      <c r="K221" s="361"/>
      <c r="L221" s="361"/>
      <c r="M221" s="377"/>
      <c r="N221" s="368"/>
    </row>
    <row r="222" spans="1:14" ht="15" customHeight="1" x14ac:dyDescent="0.2">
      <c r="A222" s="63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30"/>
      <c r="E222" s="650"/>
      <c r="F222" s="650"/>
      <c r="G222" s="650"/>
      <c r="H222" s="650"/>
      <c r="I222" s="345"/>
      <c r="J222" s="361"/>
      <c r="K222" s="361"/>
      <c r="L222" s="361"/>
      <c r="M222" s="377"/>
      <c r="N222" s="368"/>
    </row>
    <row r="223" spans="1:14" ht="15" customHeight="1" x14ac:dyDescent="0.2">
      <c r="A223" s="63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30"/>
      <c r="E223" s="650"/>
      <c r="F223" s="650"/>
      <c r="G223" s="650"/>
      <c r="H223" s="650"/>
      <c r="I223" s="345"/>
      <c r="J223" s="361"/>
      <c r="K223" s="361"/>
      <c r="L223" s="361"/>
      <c r="M223" s="377"/>
      <c r="N223" s="368"/>
    </row>
    <row r="224" spans="1:14" x14ac:dyDescent="0.2">
      <c r="A224" s="223"/>
      <c r="B224" s="223"/>
      <c r="C224" s="343"/>
      <c r="D224" s="63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3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30"/>
      <c r="E226" s="361"/>
      <c r="F226" s="361"/>
      <c r="G226" s="361"/>
      <c r="H226" s="361"/>
      <c r="I226" s="345"/>
      <c r="J226" s="361"/>
      <c r="K226" s="361"/>
      <c r="L226" s="361"/>
      <c r="M226" s="377"/>
      <c r="N226" s="368"/>
    </row>
    <row r="227" spans="1:14" ht="15" customHeight="1" x14ac:dyDescent="0.2">
      <c r="A227" s="630"/>
      <c r="B227" s="352" t="str">
        <f>Idiomas!$D$191</f>
        <v>Semifinalista</v>
      </c>
      <c r="C227" s="342" t="str">
        <f>WORLDCUP!AA139</f>
        <v>W99</v>
      </c>
      <c r="D227" s="630"/>
      <c r="E227" s="361"/>
      <c r="F227" s="361"/>
      <c r="G227" s="361"/>
      <c r="H227" s="361"/>
      <c r="I227" s="345"/>
      <c r="J227" s="361"/>
      <c r="K227" s="361"/>
      <c r="L227" s="361"/>
      <c r="M227" s="377"/>
      <c r="N227" s="368"/>
    </row>
    <row r="228" spans="1:14" ht="15" customHeight="1" x14ac:dyDescent="0.2">
      <c r="A228" s="630"/>
      <c r="B228" s="352" t="str">
        <f>Idiomas!$D$191</f>
        <v>Semifinalista</v>
      </c>
      <c r="C228" s="342" t="str">
        <f>WORLDCUP!AF138</f>
        <v>W98</v>
      </c>
      <c r="D228" s="630"/>
      <c r="E228" s="361"/>
      <c r="F228" s="361"/>
      <c r="G228" s="361"/>
      <c r="H228" s="361"/>
      <c r="I228" s="345"/>
      <c r="J228" s="361"/>
      <c r="K228" s="361"/>
      <c r="L228" s="361"/>
      <c r="M228" s="377"/>
      <c r="N228" s="368"/>
    </row>
    <row r="229" spans="1:14" ht="15" customHeight="1" x14ac:dyDescent="0.2">
      <c r="A229" s="630"/>
      <c r="B229" s="352" t="str">
        <f>Idiomas!$D$191</f>
        <v>Semifinalista</v>
      </c>
      <c r="C229" s="342" t="str">
        <f>WORLDCUP!AF139</f>
        <v>W100</v>
      </c>
      <c r="D229" s="63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3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30"/>
      <c r="E233" s="650"/>
      <c r="F233" s="650"/>
      <c r="G233" s="650"/>
      <c r="H233" s="650"/>
      <c r="I233" s="345"/>
      <c r="J233" s="361"/>
      <c r="K233" s="361"/>
      <c r="L233" s="361"/>
      <c r="M233" s="377"/>
      <c r="N233" s="368"/>
    </row>
    <row r="234" spans="1:14" ht="15" customHeight="1" x14ac:dyDescent="0.2">
      <c r="A234" s="223"/>
      <c r="B234" s="223"/>
      <c r="C234" s="343"/>
      <c r="D234" s="63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3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30"/>
      <c r="E236" s="365"/>
      <c r="F236" s="365"/>
      <c r="G236" s="365"/>
      <c r="H236" s="365"/>
      <c r="I236" s="345"/>
      <c r="J236" s="361"/>
      <c r="K236" s="361"/>
      <c r="L236" s="361"/>
      <c r="M236" s="377"/>
      <c r="N236" s="368"/>
    </row>
    <row r="237" spans="1:14" ht="15" customHeight="1" x14ac:dyDescent="0.2">
      <c r="A237" s="630"/>
      <c r="B237" s="352" t="str">
        <f>Idiomas!D192</f>
        <v>3º y 4º puesto</v>
      </c>
      <c r="C237" s="342" t="str">
        <f>WORLDCUP!AF143</f>
        <v>L102</v>
      </c>
      <c r="D237" s="630"/>
      <c r="E237" s="365"/>
      <c r="F237" s="365"/>
      <c r="G237" s="365"/>
      <c r="H237" s="365"/>
      <c r="I237" s="345"/>
      <c r="J237" s="361"/>
      <c r="K237" s="361"/>
      <c r="L237" s="361"/>
      <c r="M237" s="377"/>
      <c r="N237" s="368"/>
    </row>
    <row r="238" spans="1:14" ht="15" customHeight="1" x14ac:dyDescent="0.2">
      <c r="A238" s="223"/>
      <c r="B238" s="223"/>
      <c r="C238" s="343"/>
      <c r="D238" s="63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3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30"/>
      <c r="E240" s="361"/>
      <c r="F240" s="361"/>
      <c r="G240" s="361"/>
      <c r="H240" s="361"/>
      <c r="I240" s="345"/>
      <c r="J240" s="361"/>
      <c r="K240" s="361"/>
      <c r="L240" s="361"/>
      <c r="M240" s="377"/>
      <c r="N240" s="368"/>
    </row>
    <row r="241" spans="1:14" ht="15" customHeight="1" x14ac:dyDescent="0.2">
      <c r="A241" s="630"/>
      <c r="B241" s="352" t="str">
        <f>B240</f>
        <v>Finalista</v>
      </c>
      <c r="C241" s="342" t="str">
        <f>WORLDCUP!AF147</f>
        <v>W102</v>
      </c>
      <c r="D241" s="63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3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3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30"/>
      <c r="E247" s="367"/>
      <c r="F247" s="367"/>
      <c r="G247" s="367"/>
      <c r="H247" s="367"/>
      <c r="I247" s="372"/>
      <c r="J247" s="361"/>
      <c r="K247" s="361"/>
      <c r="L247" s="361"/>
      <c r="M247" s="377"/>
      <c r="N247" s="368"/>
    </row>
    <row r="248" spans="1:14" ht="15" customHeight="1" x14ac:dyDescent="0.2">
      <c r="A248" s="223"/>
      <c r="B248" s="223"/>
      <c r="C248" s="343"/>
      <c r="D248" s="630"/>
      <c r="E248" s="365"/>
      <c r="F248" s="365"/>
      <c r="G248" s="365"/>
      <c r="H248" s="365"/>
      <c r="I248" s="372"/>
      <c r="J248" s="361"/>
      <c r="K248" s="361"/>
      <c r="L248" s="361"/>
      <c r="M248" s="377"/>
      <c r="N248" s="368"/>
    </row>
    <row r="249" spans="1:14" ht="19" customHeight="1" x14ac:dyDescent="0.25">
      <c r="A249" s="223"/>
      <c r="B249" s="350" t="str">
        <f>Idiomas!D139</f>
        <v>CUADRO DE HONOR</v>
      </c>
      <c r="C249" s="343"/>
      <c r="D249" s="63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3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3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3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30"/>
      <c r="G253" s="630"/>
      <c r="H253" s="63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30"/>
      <c r="F254" s="630"/>
      <c r="G254" s="630"/>
      <c r="H254" s="63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30"/>
      <c r="F255" s="630"/>
      <c r="G255" s="630"/>
      <c r="H255" s="63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30"/>
      <c r="F256" s="630"/>
      <c r="G256" s="630"/>
      <c r="H256" s="63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Irak</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Irak</v>
      </c>
      <c r="F6" s="9" t="str">
        <f ca="1">+WORLDCUP!BD61</f>
        <v>Turquía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Irak</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Marruecos</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Irak</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Irak</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Irak</v>
      </c>
      <c r="F14" s="9" t="str">
        <f ca="1">+WORLDCUP!BD60</f>
        <v>Marruecos</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Irak</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Marruecos</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Marruecos</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Irak</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Irak</v>
      </c>
      <c r="F21" s="9" t="str">
        <f ca="1">+WORLDCUP!BD61</f>
        <v>Turquía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Austria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Irak</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Austria</v>
      </c>
      <c r="F24" s="9" t="str">
        <f ca="1">+WORLDCUP!BD61</f>
        <v>Turquía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Austria</v>
      </c>
      <c r="F25" s="9" t="str">
        <f ca="1">+WORLDCUP!BD61</f>
        <v>Turquía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Irak</v>
      </c>
      <c r="F26" s="9" t="str">
        <f ca="1">+WORLDCUP!BD60</f>
        <v>Marruecos</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Marruecos</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Irak</v>
      </c>
      <c r="F29" s="9" t="str">
        <f ca="1">+WORLDCUP!BD60</f>
        <v>Marruecos</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Marruecos</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Marruecos</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Ecuador</v>
      </c>
      <c r="F32" s="9" t="str">
        <f ca="1">+WORLDCUP!BD61</f>
        <v>Turquía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Ecuador</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Irak</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Ecuador</v>
      </c>
      <c r="F35" s="9" t="str">
        <f ca="1">+WORLDCUP!BD61</f>
        <v>Turquía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Ecuador</v>
      </c>
      <c r="F36" s="9" t="str">
        <f ca="1">+WORLDCUP!BD61</f>
        <v>Turquía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Turquía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Turquía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Turquía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Turquía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Austria</v>
      </c>
      <c r="F42" s="9" t="str">
        <f ca="1">+WORLDCUP!BD61</f>
        <v>Turquía</v>
      </c>
      <c r="G42" s="9" t="str">
        <f ca="1">+WORLDCUP!BD65</f>
        <v>Arabia Saudita</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Austria</v>
      </c>
      <c r="F43" s="9" t="str">
        <f ca="1">+WORLDCUP!BD61</f>
        <v>Turquía</v>
      </c>
      <c r="G43" s="9" t="str">
        <f ca="1">+WORLDCUP!BD65</f>
        <v>Arabia Saudita</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Turquía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Turquía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Austria</v>
      </c>
      <c r="F46" s="9" t="str">
        <f ca="1">+WORLDCUP!BD61</f>
        <v>Turquía</v>
      </c>
      <c r="G46" s="9" t="str">
        <f ca="1">+WORLDCUP!BD65</f>
        <v>Arabia Saudita</v>
      </c>
      <c r="H46" s="9" t="str">
        <f ca="1">+WORLDCUP!BD63</f>
        <v>Suecia</v>
      </c>
      <c r="I46" s="9" t="str">
        <f ca="1">+WORLDCUP!BD62</f>
        <v>Ecuador</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Catar</v>
      </c>
      <c r="F68" s="9" t="str">
        <f ca="1">+WORLDCUP!BD61</f>
        <v>Turquía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Catar</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Irak</v>
      </c>
      <c r="E70" s="9" t="str">
        <f ca="1">+WORLDCUP!BD59</f>
        <v>Catar</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Catar</v>
      </c>
      <c r="F71" s="9" t="str">
        <f ca="1">+WORLDCUP!BD61</f>
        <v>Turquía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Catar</v>
      </c>
      <c r="F72" s="9" t="str">
        <f ca="1">+WORLDCUP!BD61</f>
        <v>Turquía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Catar</v>
      </c>
      <c r="F73" s="9" t="str">
        <f ca="1">+WORLDCUP!BD61</f>
        <v>Turquía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Catar</v>
      </c>
      <c r="F74" s="9" t="str">
        <f ca="1">+WORLDCUP!BD61</f>
        <v>Turquía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Catar</v>
      </c>
      <c r="F75" s="9" t="str">
        <f ca="1">+WORLDCUP!BD61</f>
        <v>Turquía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Catar</v>
      </c>
      <c r="F76" s="9" t="str">
        <f ca="1">+WORLDCUP!BD61</f>
        <v>Turquía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Catar</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Catar</v>
      </c>
      <c r="F80" s="9" t="str">
        <f ca="1">+WORLDCUP!BD61</f>
        <v>Turquía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Catar</v>
      </c>
      <c r="F81" s="9" t="str">
        <f ca="1">+WORLDCUP!BD61</f>
        <v>Turquía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Suecia</v>
      </c>
      <c r="I82" s="9" t="str">
        <f ca="1">+WORLDCUP!BD62</f>
        <v>Ecuador</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Marruecos</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Marruecos</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Marruecos</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Marruecos</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Marruecos</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Marruecos</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Marruecos</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Catar</v>
      </c>
      <c r="F90" s="9" t="str">
        <f ca="1">+WORLDCUP!BD60</f>
        <v>Marruecos</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Catar</v>
      </c>
      <c r="F91" s="9" t="str">
        <f ca="1">+WORLDCUP!BD60</f>
        <v>Marruecos</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Catar</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Catar</v>
      </c>
      <c r="F93" s="9" t="str">
        <f ca="1">+WORLDCUP!BD60</f>
        <v>Marruecos</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Catar</v>
      </c>
      <c r="F94" s="9" t="str">
        <f ca="1">+WORLDCUP!BD60</f>
        <v>Marruecos</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Catar</v>
      </c>
      <c r="F95" s="9" t="str">
        <f ca="1">+WORLDCUP!BD60</f>
        <v>Marruecos</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Catar</v>
      </c>
      <c r="F96" s="9" t="str">
        <f ca="1">+WORLDCUP!BD60</f>
        <v>Marruecos</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Catar</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Irak</v>
      </c>
      <c r="E98" s="9" t="str">
        <f ca="1">+WORLDCUP!BD59</f>
        <v>Catar</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Catar</v>
      </c>
      <c r="F99" s="9" t="str">
        <f ca="1">+WORLDCUP!BD60</f>
        <v>Marruecos</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Marruecos</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Catar</v>
      </c>
      <c r="F101" s="9" t="str">
        <f ca="1">+WORLDCUP!BD60</f>
        <v>Marruecos</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Catar</v>
      </c>
      <c r="F102" s="9" t="str">
        <f ca="1">+WORLDCUP!BD60</f>
        <v>Marruecos</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Catar</v>
      </c>
      <c r="F103" s="9" t="str">
        <f ca="1">+WORLDCUP!BD60</f>
        <v>Marruecos</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Catar</v>
      </c>
      <c r="F104" s="9" t="str">
        <f ca="1">+WORLDCUP!BD60</f>
        <v>Marruecos</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Catar</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Marruecos</v>
      </c>
      <c r="G106" s="9" t="str">
        <f ca="1">+WORLDCUP!BD67</f>
        <v>Austria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Marruecos</v>
      </c>
      <c r="G107" s="9" t="str">
        <f ca="1">+WORLDCUP!BD67</f>
        <v>Austria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Catar</v>
      </c>
      <c r="F108" s="9" t="str">
        <f ca="1">+WORLDCUP!BD60</f>
        <v>Marruecos</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Catar</v>
      </c>
      <c r="F109" s="9" t="str">
        <f ca="1">+WORLDCUP!BD60</f>
        <v>Marruecos</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Marruecos</v>
      </c>
      <c r="G110" s="9" t="str">
        <f ca="1">+WORLDCUP!BD67</f>
        <v>Austria</v>
      </c>
      <c r="H110" s="9" t="str">
        <f ca="1">+WORLDCUP!BD63</f>
        <v>Suecia</v>
      </c>
      <c r="I110" s="9" t="str">
        <f ca="1">+WORLDCUP!BD62</f>
        <v>Ecuador</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Irak</v>
      </c>
      <c r="E119" s="9" t="str">
        <f ca="1">+WORLDCUP!BD59</f>
        <v>Catar</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Catar</v>
      </c>
      <c r="F122" s="9" t="str">
        <f ca="1">+WORLDCUP!BD61</f>
        <v>Turquía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Catar</v>
      </c>
      <c r="F123" s="9" t="str">
        <f ca="1">+WORLDCUP!BD61</f>
        <v>Turquía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Catar</v>
      </c>
      <c r="F124" s="9" t="str">
        <f ca="1">+WORLDCUP!BD61</f>
        <v>Turquía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Catar</v>
      </c>
      <c r="F125" s="9" t="str">
        <f ca="1">+WORLDCUP!BD61</f>
        <v>Turquía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Catar</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Catar</v>
      </c>
      <c r="F127" s="9" t="str">
        <f ca="1">+WORLDCUP!BD61</f>
        <v>Turquía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Marruecos</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Catar</v>
      </c>
      <c r="F129" s="9" t="str">
        <f ca="1">+WORLDCUP!BD61</f>
        <v>Turquía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Catar</v>
      </c>
      <c r="F130" s="9" t="str">
        <f ca="1">+WORLDCUP!BD61</f>
        <v>Turquía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Marruecos</v>
      </c>
      <c r="G131" s="9" t="str">
        <f ca="1">+WORLDCUP!BD67</f>
        <v>Austria</v>
      </c>
      <c r="H131" s="9" t="str">
        <f ca="1">+WORLDCUP!BD63</f>
        <v>Suecia</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Marruecos</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Irak</v>
      </c>
      <c r="E134" s="9" t="str">
        <f ca="1">+WORLDCUP!BD59</f>
        <v>Catar</v>
      </c>
      <c r="F134" s="9" t="str">
        <f ca="1">+WORLDCUP!BD60</f>
        <v>Marruecos</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Marruecos</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Marruecos</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Catar</v>
      </c>
      <c r="F141" s="9" t="str">
        <f ca="1">+WORLDCUP!BD60</f>
        <v>Marruecos</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Catar</v>
      </c>
      <c r="F144" s="9" t="str">
        <f ca="1">+WORLDCUP!BD60</f>
        <v>Marruecos</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Catar</v>
      </c>
      <c r="F145" s="9" t="str">
        <f ca="1">+WORLDCUP!BD60</f>
        <v>Marruecos</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Marruecos</v>
      </c>
      <c r="G146" s="9" t="str">
        <f ca="1">+WORLDCUP!BD67</f>
        <v>Austria</v>
      </c>
      <c r="H146" s="9" t="str">
        <f ca="1">+WORLDCUP!BD61</f>
        <v>Turquía</v>
      </c>
      <c r="I146" s="9" t="str">
        <f ca="1">+WORLDCUP!BD62</f>
        <v>Ecuador</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Arabia Saudita</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Arabia Saudita</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Arabia Saudita</v>
      </c>
      <c r="H156" s="9" t="str">
        <f ca="1">+WORLDCUP!BD63</f>
        <v>Suecia</v>
      </c>
      <c r="I156" s="9" t="str">
        <f ca="1">+WORLDCUP!BD62</f>
        <v>Ecuador</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Catar</v>
      </c>
      <c r="F157" s="9" t="str">
        <f ca="1">+WORLDCUP!BD61</f>
        <v>Turquía</v>
      </c>
      <c r="G157" s="9" t="str">
        <f ca="1">+WORLDCUP!BD62</f>
        <v>Ecuador</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Catar</v>
      </c>
      <c r="F158" s="9" t="str">
        <f ca="1">+WORLDCUP!BD61</f>
        <v>Turquía</v>
      </c>
      <c r="G158" s="9" t="str">
        <f ca="1">+WORLDCUP!BD67</f>
        <v>Austria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Catar</v>
      </c>
      <c r="F159" s="9" t="str">
        <f ca="1">+WORLDCUP!BD61</f>
        <v>Turquía</v>
      </c>
      <c r="G159" s="9" t="str">
        <f ca="1">+WORLDCUP!BD67</f>
        <v>Austria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Catar</v>
      </c>
      <c r="F160" s="9" t="str">
        <f ca="1">+WORLDCUP!BD61</f>
        <v>Turquía</v>
      </c>
      <c r="G160" s="9" t="str">
        <f ca="1">+WORLDCUP!BD62</f>
        <v>Ecuador</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Catar</v>
      </c>
      <c r="F161" s="9" t="str">
        <f ca="1">+WORLDCUP!BD61</f>
        <v>Turquía</v>
      </c>
      <c r="G161" s="9" t="str">
        <f ca="1">+WORLDCUP!BD62</f>
        <v>Ecuador</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Catar</v>
      </c>
      <c r="F162" s="9" t="str">
        <f ca="1">+WORLDCUP!BD61</f>
        <v>Turquía</v>
      </c>
      <c r="G162" s="9" t="str">
        <f ca="1">+WORLDCUP!BD67</f>
        <v>Austria</v>
      </c>
      <c r="H162" s="9" t="str">
        <f ca="1">+WORLDCUP!BD63</f>
        <v>Suecia</v>
      </c>
      <c r="I162" s="9" t="str">
        <f ca="1">+WORLDCUP!BD62</f>
        <v>Ecuador</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Catar</v>
      </c>
      <c r="F163" s="9" t="str">
        <f ca="1">+WORLDCUP!BD61</f>
        <v>Turquía</v>
      </c>
      <c r="G163" s="9" t="str">
        <f ca="1">+WORLDCUP!BD65</f>
        <v>Arabia Saudita</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Catar</v>
      </c>
      <c r="F164" s="9" t="str">
        <f ca="1">+WORLDCUP!BD61</f>
        <v>Turquía</v>
      </c>
      <c r="G164" s="9" t="str">
        <f ca="1">+WORLDCUP!BD65</f>
        <v>Arabia Saudita</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Marruecos</v>
      </c>
      <c r="G165" s="9" t="str">
        <f ca="1">+WORLDCUP!BD67</f>
        <v>Austria</v>
      </c>
      <c r="H165" s="9" t="str">
        <f ca="1">+WORLDCUP!BD63</f>
        <v>Suecia</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Catar</v>
      </c>
      <c r="F166" s="9" t="str">
        <f ca="1">+WORLDCUP!BD61</f>
        <v>Turquía</v>
      </c>
      <c r="G166" s="9" t="str">
        <f ca="1">+WORLDCUP!BD65</f>
        <v>Arabia Saudita</v>
      </c>
      <c r="H166" s="9" t="str">
        <f ca="1">+WORLDCUP!BD63</f>
        <v>Suecia</v>
      </c>
      <c r="I166" s="9" t="str">
        <f ca="1">+WORLDCUP!BD62</f>
        <v>Ecuador</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Irak</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Ecuador</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Irak</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Ecuador</v>
      </c>
      <c r="F191" s="9" t="str">
        <f ca="1">+WORLDCUP!BD61</f>
        <v>Turquía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Ecuador</v>
      </c>
      <c r="F192" s="9" t="str">
        <f ca="1">+WORLDCUP!BD61</f>
        <v>Turquía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Irak</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Turquía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Turquía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Ecuador</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Marruecos</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Marruecos</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Marruecos</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Marruecos</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Marruecos</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Marruecos</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Marruecos</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Irak</v>
      </c>
      <c r="F210" s="9" t="str">
        <f ca="1">+WORLDCUP!BD60</f>
        <v>Marruecos</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Irak</v>
      </c>
      <c r="F211" s="9" t="str">
        <f ca="1">+WORLDCUP!BD60</f>
        <v>Marruecos</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Marruecos</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Irak</v>
      </c>
      <c r="F213" s="9" t="str">
        <f ca="1">+WORLDCUP!BD60</f>
        <v>Marruecos</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Marruecos</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Marruecos</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Irak</v>
      </c>
      <c r="F216" s="9" t="str">
        <f ca="1">+WORLDCUP!BD60</f>
        <v>Marruecos</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Ecuador</v>
      </c>
      <c r="F217" s="9" t="str">
        <f ca="1">+WORLDCUP!BD60</f>
        <v>Marruecos</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Irak</v>
      </c>
      <c r="F218" s="9" t="str">
        <f ca="1">+WORLDCUP!BD60</f>
        <v>Marruecos</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Ecuador</v>
      </c>
      <c r="F219" s="9" t="str">
        <f ca="1">+WORLDCUP!BD60</f>
        <v>Marruecos</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Ecuador</v>
      </c>
      <c r="F220" s="9" t="str">
        <f ca="1">+WORLDCUP!BD60</f>
        <v>Marruecos</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Marruecos</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Irak</v>
      </c>
      <c r="F222" s="9" t="str">
        <f ca="1">+WORLDCUP!BD60</f>
        <v>Marruecos</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Marruecos</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Marruecos</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Marruecos</v>
      </c>
      <c r="G226" s="9" t="str">
        <f ca="1">+WORLDCUP!BD58</f>
        <v>República Checa</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Marruecos</v>
      </c>
      <c r="G227" s="9" t="str">
        <f ca="1">+WORLDCUP!BD58</f>
        <v>República Checa</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Marruecos</v>
      </c>
      <c r="G230" s="9" t="str">
        <f ca="1">+WORLDCUP!BD58</f>
        <v>República Checa</v>
      </c>
      <c r="H230" s="9" t="str">
        <f ca="1">+WORLDCUP!BD63</f>
        <v>Suecia</v>
      </c>
      <c r="I230" s="9" t="str">
        <f ca="1">+WORLDCUP!BD62</f>
        <v>Ecuador</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Marruecos</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Marruecos</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Irak</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Marruecos</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Marruecos</v>
      </c>
      <c r="G251" s="9" t="str">
        <f ca="1">+WORLDCUP!BD58</f>
        <v>República Checa</v>
      </c>
      <c r="H251" s="9" t="str">
        <f ca="1">+WORLDCUP!BD63</f>
        <v>Suecia</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Irak</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Ecuador</v>
      </c>
      <c r="F273" s="9" t="str">
        <f ca="1">+WORLDCUP!BD60</f>
        <v>Marruecos</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Marruecos</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Marruecos</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Ecuador</v>
      </c>
      <c r="F276" s="9" t="str">
        <f ca="1">+WORLDCUP!BD60</f>
        <v>Marruecos</v>
      </c>
      <c r="G276" s="9" t="str">
        <f ca="1">+WORLDCUP!BD58</f>
        <v>República Checa</v>
      </c>
      <c r="H276" s="9" t="str">
        <f ca="1">+WORLDCUP!BD63</f>
        <v>Suecia</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Turquía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Turquía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Ecuador</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Marruecos</v>
      </c>
      <c r="G285" s="9" t="str">
        <f ca="1">+WORLDCUP!BD58</f>
        <v>República Checa</v>
      </c>
      <c r="H285" s="9" t="str">
        <f ca="1">+WORLDCUP!BD63</f>
        <v>Suecia</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República Checa</v>
      </c>
      <c r="H286" s="9" t="str">
        <f ca="1">+WORLDCUP!BD63</f>
        <v>Suecia</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Ecuador</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Ecuador</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Irak</v>
      </c>
      <c r="E352" s="9" t="str">
        <f ca="1">+WORLDCUP!BD59</f>
        <v>Catar</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Catar</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Catar</v>
      </c>
      <c r="F358" s="9" t="str">
        <f ca="1">+WORLDCUP!BD61</f>
        <v>Turquía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Catar</v>
      </c>
      <c r="F359" s="9" t="str">
        <f ca="1">+WORLDCUP!BD61</f>
        <v>Turquía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Suecia</v>
      </c>
      <c r="I360" s="9" t="str">
        <f ca="1">+WORLDCUP!BD62</f>
        <v>Ecuador</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Catar</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Catar</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Catar</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Catar</v>
      </c>
      <c r="F364" s="9" t="str">
        <f ca="1">+WORLDCUP!BD61</f>
        <v>Turquía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Catar</v>
      </c>
      <c r="F365" s="9" t="str">
        <f ca="1">+WORLDCUP!BD61</f>
        <v>Turquía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Catar</v>
      </c>
      <c r="F366" s="9" t="str">
        <f ca="1">+WORLDCUP!BD61</f>
        <v>Turquía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Suecia</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Suecia</v>
      </c>
      <c r="I370" s="9" t="str">
        <f ca="1">+WORLDCUP!BD62</f>
        <v>Ecuador</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Marruecos</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Marruecos</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Marruecos</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Marruecos</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Marruecos</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Marruecos</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Marruecos</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Marruecos</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Marruecos</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Marruecos</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Marruecos</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Marruecos</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Marruecos</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Marruecos</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Marruecos</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Irak</v>
      </c>
      <c r="E394" s="9" t="str">
        <f ca="1">+WORLDCUP!BD59</f>
        <v>Catar</v>
      </c>
      <c r="F394" s="9" t="str">
        <f ca="1">+WORLDCUP!BD60</f>
        <v>Marruecos</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Catar</v>
      </c>
      <c r="F401" s="9" t="str">
        <f ca="1">+WORLDCUP!BD60</f>
        <v>Marruecos</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Marruecos</v>
      </c>
      <c r="G402" s="9" t="str">
        <f ca="1">+WORLDCUP!BD58</f>
        <v>República Checa</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Marruecos</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Catar</v>
      </c>
      <c r="F404" s="9" t="str">
        <f ca="1">+WORLDCUP!BD60</f>
        <v>Marruecos</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Catar</v>
      </c>
      <c r="F405" s="9" t="str">
        <f ca="1">+WORLDCUP!BD60</f>
        <v>Marruecos</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Marruecos</v>
      </c>
      <c r="G406" s="9" t="str">
        <f ca="1">+WORLDCUP!BD58</f>
        <v>República Checa</v>
      </c>
      <c r="H406" s="9" t="str">
        <f ca="1">+WORLDCUP!BD64</f>
        <v>Irán</v>
      </c>
      <c r="I406" s="9" t="str">
        <f ca="1">+WORLDCUP!BD62</f>
        <v>Ecuador</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Irak</v>
      </c>
      <c r="E408" s="9" t="str">
        <f ca="1">+WORLDCUP!BD59</f>
        <v>Catar</v>
      </c>
      <c r="F408" s="9" t="str">
        <f ca="1">+WORLDCUP!BD60</f>
        <v>Marruecos</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Catar</v>
      </c>
      <c r="F411" s="9" t="str">
        <f ca="1">+WORLDCUP!BD60</f>
        <v>Marruecos</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Marruecos</v>
      </c>
      <c r="G412" s="9" t="str">
        <f ca="1">+WORLDCUP!BD58</f>
        <v>República Checa</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Marruecos</v>
      </c>
      <c r="G413" s="9" t="str">
        <f ca="1">+WORLDCUP!BD58</f>
        <v>República Checa</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Catar</v>
      </c>
      <c r="F414" s="9" t="str">
        <f ca="1">+WORLDCUP!BD60</f>
        <v>Marruecos</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Catar</v>
      </c>
      <c r="F415" s="9" t="str">
        <f ca="1">+WORLDCUP!BD60</f>
        <v>Marruecos</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Marruecos</v>
      </c>
      <c r="G416" s="9" t="str">
        <f ca="1">+WORLDCUP!BD58</f>
        <v>República Checa</v>
      </c>
      <c r="H416" s="9" t="str">
        <f ca="1">+WORLDCUP!BD63</f>
        <v>Suecia</v>
      </c>
      <c r="I416" s="9" t="str">
        <f ca="1">+WORLDCUP!BD62</f>
        <v>Ecuador</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Catar</v>
      </c>
      <c r="F417" s="9" t="str">
        <f ca="1">+WORLDCUP!BD60</f>
        <v>Marruecos</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Catar</v>
      </c>
      <c r="F418" s="9" t="str">
        <f ca="1">+WORLDCUP!BD60</f>
        <v>Marruecos</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Catar</v>
      </c>
      <c r="F419" s="9" t="str">
        <f ca="1">+WORLDCUP!BD60</f>
        <v>Marruecos</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Catar</v>
      </c>
      <c r="F420" s="9" t="str">
        <f ca="1">+WORLDCUP!BD60</f>
        <v>Marruecos</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Catar</v>
      </c>
      <c r="F421" s="9" t="str">
        <f ca="1">+WORLDCUP!BD60</f>
        <v>Marruecos</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Catar</v>
      </c>
      <c r="F422" s="9" t="str">
        <f ca="1">+WORLDCUP!BD60</f>
        <v>Marruecos</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Marruecos</v>
      </c>
      <c r="G423" s="9" t="str">
        <f ca="1">+WORLDCUP!BD58</f>
        <v>República Checa</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Marruecos</v>
      </c>
      <c r="G424" s="9" t="str">
        <f ca="1">+WORLDCUP!BD58</f>
        <v>República Checa</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Marruecos</v>
      </c>
      <c r="G425" s="9" t="str">
        <f ca="1">+WORLDCUP!BD58</f>
        <v>República Checa</v>
      </c>
      <c r="H425" s="9" t="str">
        <f ca="1">+WORLDCUP!BD63</f>
        <v>Suecia</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Marruecos</v>
      </c>
      <c r="G426" s="9" t="str">
        <f ca="1">+WORLDCUP!BD58</f>
        <v>República Checa</v>
      </c>
      <c r="H426" s="9" t="str">
        <f ca="1">+WORLDCUP!BD63</f>
        <v>Suecia</v>
      </c>
      <c r="I426" s="9" t="str">
        <f ca="1">+WORLDCUP!BD62</f>
        <v>Ecuador</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Marruecos</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Marruecos</v>
      </c>
      <c r="G451" s="9" t="str">
        <f ca="1">+WORLDCUP!BD58</f>
        <v>República Checa</v>
      </c>
      <c r="H451" s="9" t="str">
        <f ca="1">+WORLDCUP!BD63</f>
        <v>Suecia</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Catar</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Catar</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Catar</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Catar</v>
      </c>
      <c r="F455" s="9" t="str">
        <f ca="1">+WORLDCUP!BD61</f>
        <v>Turquía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Catar</v>
      </c>
      <c r="F456" s="9" t="str">
        <f ca="1">+WORLDCUP!BD61</f>
        <v>Turquía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Catar</v>
      </c>
      <c r="F457" s="9" t="str">
        <f ca="1">+WORLDCUP!BD61</f>
        <v>Turquía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Catar</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Marruecos</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Marruecos</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Marruecos</v>
      </c>
      <c r="G461" s="9" t="str">
        <f ca="1">+WORLDCUP!BD58</f>
        <v>República Checa</v>
      </c>
      <c r="H461" s="9" t="str">
        <f ca="1">+WORLDCUP!BD63</f>
        <v>Suecia</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Suecia</v>
      </c>
      <c r="I487" s="9" t="str">
        <f ca="1">+WORLDCUP!BD62</f>
        <v>Ecuador</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Catar</v>
      </c>
      <c r="F489" s="9" t="str">
        <f ca="1">+WORLDCUP!BD60</f>
        <v>Marruecos</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Marruecos</v>
      </c>
      <c r="G490" s="9" t="str">
        <f ca="1">+WORLDCUP!BD58</f>
        <v>República Checa</v>
      </c>
      <c r="H490" s="9" t="str">
        <f ca="1">+WORLDCUP!BD63</f>
        <v>Suecia</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Catar</v>
      </c>
      <c r="F491" s="9" t="str">
        <f ca="1">+WORLDCUP!BD60</f>
        <v>Marruecos</v>
      </c>
      <c r="G491" s="9" t="str">
        <f ca="1">+WORLDCUP!BD58</f>
        <v>República Checa</v>
      </c>
      <c r="H491" s="9" t="str">
        <f ca="1">+WORLDCUP!BD63</f>
        <v>Suecia</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Catar</v>
      </c>
      <c r="F492" s="9" t="str">
        <f ca="1">+WORLDCUP!BD61</f>
        <v>Turquía</v>
      </c>
      <c r="G492" s="9" t="str">
        <f ca="1">+WORLDCUP!BD58</f>
        <v>República Checa</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Catar</v>
      </c>
      <c r="F493" s="9" t="str">
        <f ca="1">+WORLDCUP!BD61</f>
        <v>Turquía</v>
      </c>
      <c r="G493" s="9" t="str">
        <f ca="1">+WORLDCUP!BD58</f>
        <v>República Checa</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Catar</v>
      </c>
      <c r="F494" s="9" t="str">
        <f ca="1">+WORLDCUP!BD61</f>
        <v>Turquía</v>
      </c>
      <c r="G494" s="9" t="str">
        <f ca="1">+WORLDCUP!BD58</f>
        <v>República Checa</v>
      </c>
      <c r="H494" s="9" t="str">
        <f ca="1">+WORLDCUP!BD63</f>
        <v>Suecia</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Catar</v>
      </c>
      <c r="F495" s="9" t="str">
        <f ca="1">+WORLDCUP!BD61</f>
        <v>Turquía</v>
      </c>
      <c r="G495" s="9" t="str">
        <f ca="1">+WORLDCUP!BD58</f>
        <v>República Checa</v>
      </c>
      <c r="H495" s="9" t="str">
        <f ca="1">+WORLDCUP!BD63</f>
        <v>Suecia</v>
      </c>
      <c r="I495" s="9" t="str">
        <f ca="1">+WORLDCUP!BD62</f>
        <v>Ecuador</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Marruecos</v>
      </c>
      <c r="G496" s="9" t="str">
        <f ca="1">+WORLDCUP!BD58</f>
        <v>República Checa</v>
      </c>
      <c r="H496" s="9" t="str">
        <f ca="1">+WORLDCUP!BD63</f>
        <v>Suecia</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30"/>
      <c r="D4" s="630"/>
      <c r="E4" s="630"/>
      <c r="F4" s="630"/>
      <c r="G4" s="630"/>
      <c r="H4" s="630"/>
      <c r="I4" s="630"/>
      <c r="J4" s="684"/>
      <c r="K4" s="224"/>
      <c r="L4" s="330" t="str">
        <f>+Idiomas!D84</f>
        <v>· Selecciona el idioma y la zona horaria</v>
      </c>
      <c r="M4" s="232"/>
      <c r="N4" s="232"/>
      <c r="O4" s="232"/>
      <c r="P4" s="232"/>
      <c r="Q4" s="232"/>
      <c r="R4" s="334"/>
    </row>
    <row r="5" spans="1:18" x14ac:dyDescent="0.2">
      <c r="A5" s="223"/>
      <c r="B5" s="683"/>
      <c r="C5" s="630"/>
      <c r="D5" s="630"/>
      <c r="E5" s="630"/>
      <c r="F5" s="630"/>
      <c r="G5" s="630"/>
      <c r="H5" s="630"/>
      <c r="I5" s="630"/>
      <c r="J5" s="684"/>
      <c r="K5" s="224"/>
      <c r="L5" s="330" t="str">
        <f>+Idiomas!D85</f>
        <v>· Si vas a participar en una porra escribe tu nombre</v>
      </c>
      <c r="M5" s="232"/>
      <c r="N5" s="232"/>
      <c r="O5" s="232"/>
      <c r="P5" s="232"/>
      <c r="Q5" s="232"/>
      <c r="R5" s="334"/>
    </row>
    <row r="6" spans="1:18" x14ac:dyDescent="0.2">
      <c r="A6" s="223"/>
      <c r="B6" s="683"/>
      <c r="C6" s="630"/>
      <c r="D6" s="630"/>
      <c r="E6" s="630"/>
      <c r="F6" s="630"/>
      <c r="G6" s="630"/>
      <c r="H6" s="630"/>
      <c r="I6" s="63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30"/>
      <c r="D7" s="630"/>
      <c r="E7" s="630"/>
      <c r="F7" s="630"/>
      <c r="G7" s="630"/>
      <c r="H7" s="630"/>
      <c r="I7" s="630"/>
      <c r="J7" s="684"/>
      <c r="K7" s="224"/>
      <c r="L7" s="335"/>
      <c r="M7" s="336"/>
      <c r="N7" s="336"/>
      <c r="O7" s="336"/>
      <c r="P7" s="336"/>
      <c r="Q7" s="336"/>
      <c r="R7" s="337"/>
    </row>
    <row r="8" spans="1:18" x14ac:dyDescent="0.2">
      <c r="A8" s="223"/>
      <c r="B8" s="683"/>
      <c r="C8" s="630"/>
      <c r="D8" s="630"/>
      <c r="E8" s="630"/>
      <c r="F8" s="630"/>
      <c r="G8" s="630"/>
      <c r="H8" s="630"/>
      <c r="I8" s="630"/>
      <c r="J8" s="684"/>
      <c r="K8" s="224"/>
    </row>
    <row r="9" spans="1:18" x14ac:dyDescent="0.2">
      <c r="A9" s="223"/>
      <c r="B9" s="683"/>
      <c r="C9" s="630"/>
      <c r="D9" s="630"/>
      <c r="E9" s="630"/>
      <c r="F9" s="630"/>
      <c r="G9" s="630"/>
      <c r="H9" s="630"/>
      <c r="I9" s="630"/>
      <c r="J9" s="684"/>
      <c r="K9" s="224"/>
      <c r="L9" s="259" t="s">
        <v>309</v>
      </c>
    </row>
    <row r="10" spans="1:18" x14ac:dyDescent="0.2">
      <c r="A10" s="223"/>
      <c r="B10" s="683"/>
      <c r="C10" s="630"/>
      <c r="D10" s="630"/>
      <c r="E10" s="630"/>
      <c r="F10" s="630"/>
      <c r="G10" s="630"/>
      <c r="H10" s="630"/>
      <c r="I10" s="630"/>
      <c r="J10" s="684"/>
      <c r="K10" s="224"/>
      <c r="L10" s="331"/>
      <c r="M10" s="332"/>
      <c r="N10" s="332"/>
      <c r="O10" s="332"/>
      <c r="P10" s="332"/>
      <c r="Q10" s="332"/>
      <c r="R10" s="333"/>
    </row>
    <row r="11" spans="1:18" x14ac:dyDescent="0.2">
      <c r="A11" s="223"/>
      <c r="B11" s="683"/>
      <c r="C11" s="630"/>
      <c r="D11" s="630"/>
      <c r="E11" s="630"/>
      <c r="F11" s="630"/>
      <c r="G11" s="630"/>
      <c r="H11" s="630"/>
      <c r="I11" s="63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30"/>
      <c r="O84" s="630"/>
      <c r="P84" s="630"/>
      <c r="Q84" s="630"/>
      <c r="R84" s="63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2026-06-14T18:59:15Z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
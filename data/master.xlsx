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C516B926-2BA8-0C4A-B09F-E0B3BD885155}"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U17" i="2"/>
  <c r="R23" i="2"/>
  <c r="X146" i="2"/>
  <c r="X130" i="2"/>
  <c r="X119" i="2"/>
  <c r="X83" i="2"/>
  <c r="X51" i="2"/>
  <c r="X137" i="2"/>
  <c r="X100" i="2"/>
  <c r="X59" i="2"/>
  <c r="X142" i="2"/>
  <c r="X75" i="2"/>
  <c r="X67" i="2"/>
  <c r="X91" i="2"/>
  <c r="X11" i="2"/>
  <c r="X27" i="2" s="1"/>
  <c r="X43" i="2" s="1"/>
  <c r="T23" i="2"/>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F30" i="4" s="1"/>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F22" i="4" s="1"/>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21" i="4" l="1"/>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E20" i="2" s="1"/>
  <c r="BT42" i="2"/>
  <c r="E76" i="2" s="1"/>
  <c r="BT9" i="2"/>
  <c r="E8" i="2" s="1"/>
  <c r="BT37" i="2"/>
  <c r="F61" i="2" s="1"/>
  <c r="BT8" i="2"/>
  <c r="F9" i="2" s="1"/>
  <c r="BT18" i="2"/>
  <c r="BT11" i="2"/>
  <c r="BT25" i="2"/>
  <c r="F37" i="2" s="1"/>
  <c r="BT39" i="2"/>
  <c r="F68" i="2" s="1"/>
  <c r="BT52" i="2"/>
  <c r="E93" i="2" s="1"/>
  <c r="BT16" i="2"/>
  <c r="E21" i="2" s="1"/>
  <c r="BT32" i="2"/>
  <c r="E53" i="2" s="1"/>
  <c r="BT17" i="2"/>
  <c r="BT35" i="2"/>
  <c r="F60" i="2" s="1"/>
  <c r="BT26" i="2"/>
  <c r="E44" i="2" s="1"/>
  <c r="BT50" i="2"/>
  <c r="E92" i="2" s="1"/>
  <c r="BT30" i="2"/>
  <c r="E52" i="2" s="1"/>
  <c r="BT34" i="2"/>
  <c r="E60" i="2" s="1"/>
  <c r="BT7" i="2"/>
  <c r="E9" i="2" s="1"/>
  <c r="BT27" i="2"/>
  <c r="F44" i="2" s="1"/>
  <c r="BT28" i="2"/>
  <c r="E45" i="2" s="1"/>
  <c r="BT48" i="2"/>
  <c r="E85" i="2" s="1"/>
  <c r="BT20" i="2"/>
  <c r="BT24" i="2"/>
  <c r="E37" i="2" s="1"/>
  <c r="BT13" i="2"/>
  <c r="BT23" i="2"/>
  <c r="F36" i="2" s="1"/>
  <c r="BT22" i="2"/>
  <c r="E36" i="2" s="1"/>
  <c r="BT31" i="2"/>
  <c r="F52" i="2" s="1"/>
  <c r="BT49" i="2"/>
  <c r="F85" i="2" s="1"/>
  <c r="BT21" i="2"/>
  <c r="F29" i="2" s="1"/>
  <c r="BT15" i="2"/>
  <c r="BT45" i="2"/>
  <c r="F77" i="2" s="1"/>
  <c r="BT33" i="2"/>
  <c r="F53" i="2" s="1"/>
  <c r="BT12" i="2"/>
  <c r="BT6" i="2"/>
  <c r="F8" i="2" s="1"/>
  <c r="BT10" i="2"/>
  <c r="BT46" i="2"/>
  <c r="E84" i="2" s="1"/>
  <c r="BT19" i="2"/>
  <c r="F28" i="2" s="1"/>
  <c r="BT29" i="2"/>
  <c r="F45" i="2" s="1"/>
  <c r="BT53" i="2"/>
  <c r="F93" i="2" s="1"/>
  <c r="BT36" i="2"/>
  <c r="E61" i="2" s="1"/>
  <c r="F20" i="2" l="1"/>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BZ27" i="2"/>
  <c r="BZ12" i="2"/>
  <c r="BZ53" i="2"/>
  <c r="BZ25" i="2"/>
  <c r="BZ51" i="2"/>
  <c r="BZ16" i="2"/>
  <c r="BZ50" i="2"/>
  <c r="BZ34" i="2"/>
  <c r="BZ41" i="2"/>
  <c r="BZ30" i="2"/>
  <c r="BZ9" i="2"/>
  <c r="H8" i="2" s="1"/>
  <c r="BZ32" i="2"/>
  <c r="BZ17" i="2"/>
  <c r="H22" i="2" s="1"/>
  <c r="BZ47" i="2"/>
  <c r="BZ6" i="2"/>
  <c r="BZ38" i="2"/>
  <c r="BZ46" i="2"/>
  <c r="BZ15" i="2"/>
  <c r="I22" i="2" s="1"/>
  <c r="BZ44" i="2"/>
  <c r="BZ48" i="2"/>
  <c r="BZ26" i="2"/>
  <c r="BZ19" i="2"/>
  <c r="BZ20" i="2"/>
  <c r="I30" i="2" s="1"/>
  <c r="BZ29" i="2"/>
  <c r="BZ10" i="2"/>
  <c r="H15" i="2" s="1"/>
  <c r="BZ8" i="2"/>
  <c r="BZ28" i="2"/>
  <c r="BZ37" i="2"/>
  <c r="BZ52" i="2"/>
  <c r="BZ13" i="2"/>
  <c r="H14" i="2" s="1"/>
  <c r="BZ35" i="2"/>
  <c r="BZ18" i="2"/>
  <c r="H30" i="2" s="1"/>
  <c r="BZ43" i="2"/>
  <c r="BZ11" i="2"/>
  <c r="I14" i="2" s="1"/>
  <c r="BZ14" i="2"/>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CE30" i="2"/>
  <c r="CE51" i="2"/>
  <c r="CE53" i="2"/>
  <c r="CE44" i="2"/>
  <c r="CE52" i="2"/>
  <c r="CE24" i="2"/>
  <c r="CE50" i="2"/>
  <c r="CE27" i="2"/>
  <c r="CE39" i="2"/>
  <c r="CE36" i="2"/>
  <c r="CE42" i="2"/>
  <c r="CE7" i="2"/>
  <c r="CE25" i="2"/>
  <c r="CE20" i="2"/>
  <c r="L30" i="2" s="1"/>
  <c r="CE47" i="2"/>
  <c r="CE34" i="2"/>
  <c r="CE6" i="2"/>
  <c r="L8" i="2" s="1"/>
  <c r="CE33" i="2"/>
  <c r="CE11" i="2"/>
  <c r="L14" i="2" s="1"/>
  <c r="CE15" i="2"/>
  <c r="L22" i="2" s="1"/>
  <c r="CE32" i="2"/>
  <c r="CE8" i="2"/>
  <c r="L9" i="2" s="1"/>
  <c r="CE31" i="2"/>
  <c r="CE45" i="2"/>
  <c r="CE12" i="2"/>
  <c r="L15" i="2" s="1"/>
  <c r="CE22" i="2"/>
  <c r="CE37" i="2"/>
  <c r="CE9" i="2"/>
  <c r="CE49" i="2"/>
  <c r="CE28" i="2"/>
  <c r="CE21" i="2"/>
  <c r="CE48" i="2"/>
  <c r="CE10" i="2"/>
  <c r="K15" i="2" s="1"/>
  <c r="CE13" i="2"/>
  <c r="K14" i="2" s="1"/>
  <c r="CE40" i="2"/>
  <c r="CE38" i="2"/>
  <c r="CE35" i="2"/>
  <c r="CE16" i="2"/>
  <c r="CE26" i="2"/>
  <c r="CE19" i="2"/>
  <c r="CE18" i="2"/>
  <c r="K30" i="2" s="1"/>
  <c r="CE41" i="2"/>
  <c r="CE43" i="2"/>
  <c r="CE14" i="2"/>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I16" i="2" s="1"/>
  <c r="CH44" i="2"/>
  <c r="CH25" i="2"/>
  <c r="CH8" i="2"/>
  <c r="O9" i="2" s="1"/>
  <c r="CH45" i="2"/>
  <c r="CH18" i="2"/>
  <c r="CH23" i="2"/>
  <c r="O36" i="2" s="1"/>
  <c r="CH47" i="2"/>
  <c r="CH32" i="2"/>
  <c r="CH43" i="2"/>
  <c r="CH49" i="2"/>
  <c r="CH14" i="2"/>
  <c r="CH38" i="2"/>
  <c r="N68" i="2" s="1"/>
  <c r="CH36" i="2"/>
  <c r="CH46" i="2"/>
  <c r="CH48" i="2"/>
  <c r="CH24" i="2"/>
  <c r="CH31" i="2"/>
  <c r="CH12" i="2"/>
  <c r="O15" i="2" s="1"/>
  <c r="CH37" i="2"/>
  <c r="CH35" i="2"/>
  <c r="CH53" i="2"/>
  <c r="CK41" i="2"/>
  <c r="CH17" i="2"/>
  <c r="N22" i="2" s="1"/>
  <c r="CH19" i="2"/>
  <c r="CH52" i="2"/>
  <c r="N93" i="2" s="1"/>
  <c r="CH51" i="2"/>
  <c r="CH9" i="2"/>
  <c r="O5" i="2" s="1"/>
  <c r="CH30" i="2"/>
  <c r="CH13" i="2"/>
  <c r="N14" i="2" s="1"/>
  <c r="CH42" i="2"/>
  <c r="CH27" i="2"/>
  <c r="CH40" i="2"/>
  <c r="N69" i="2" s="1"/>
  <c r="N9" i="2"/>
  <c r="CH26" i="2"/>
  <c r="N44" i="2" s="1"/>
  <c r="CH11" i="2"/>
  <c r="CH33" i="2"/>
  <c r="O53" i="2" s="1"/>
  <c r="CH22" i="2"/>
  <c r="N36" i="2" s="1"/>
  <c r="CH21" i="2"/>
  <c r="O29" i="2" s="1"/>
  <c r="CH15" i="2"/>
  <c r="O22" i="2" s="1"/>
  <c r="CH10" i="2"/>
  <c r="CH39" i="2"/>
  <c r="O68" i="2" s="1"/>
  <c r="CH29" i="2"/>
  <c r="O45" i="2" s="1"/>
  <c r="CH20" i="2"/>
  <c r="O30" i="2" s="1"/>
  <c r="CH50" i="2"/>
  <c r="N92" i="2" s="1"/>
  <c r="N7" i="2"/>
  <c r="O8" i="2"/>
  <c r="CJ28" i="2"/>
  <c r="CK18" i="2" l="1"/>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L43" i="2" s="1"/>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1" i="2" l="1"/>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Q45" i="2" s="1"/>
  <c r="CN36" i="2"/>
  <c r="Q61" i="2" s="1"/>
  <c r="CN24" i="2"/>
  <c r="Q37" i="2" s="1"/>
  <c r="CN48" i="2"/>
  <c r="Q85" i="2" s="1"/>
  <c r="CN34" i="2"/>
  <c r="Q60" i="2" s="1"/>
  <c r="CN13" i="2"/>
  <c r="CN51" i="2"/>
  <c r="R92" i="2" s="1"/>
  <c r="CN43" i="2"/>
  <c r="R76" i="2" s="1"/>
  <c r="CN15" i="2"/>
  <c r="CN14" i="2"/>
  <c r="Q20" i="2" s="1"/>
  <c r="CN40" i="2"/>
  <c r="Q69" i="2" s="1"/>
  <c r="CN26" i="2"/>
  <c r="Q44" i="2" s="1"/>
  <c r="CN31" i="2"/>
  <c r="R52" i="2" s="1"/>
  <c r="CN38" i="2"/>
  <c r="Q68" i="2" s="1"/>
  <c r="CN21" i="2"/>
  <c r="R29" i="2" s="1"/>
  <c r="CN23" i="2"/>
  <c r="R36" i="2" s="1"/>
  <c r="CN17" i="2"/>
  <c r="CN20" i="2"/>
  <c r="CN35" i="2"/>
  <c r="R60" i="2" s="1"/>
  <c r="CN44" i="2"/>
  <c r="Q77" i="2" s="1"/>
  <c r="CN25" i="2"/>
  <c r="R37" i="2" s="1"/>
  <c r="CN39" i="2"/>
  <c r="R68" i="2" s="1"/>
  <c r="CN52" i="2"/>
  <c r="Q93" i="2" s="1"/>
  <c r="CN47" i="2"/>
  <c r="R84" i="2" s="1"/>
  <c r="CN50" i="2"/>
  <c r="Q92" i="2" s="1"/>
  <c r="CN16" i="2"/>
  <c r="Q21" i="2" s="1"/>
  <c r="CN12" i="2"/>
  <c r="CN22" i="2"/>
  <c r="Q36" i="2" s="1"/>
  <c r="CN19" i="2"/>
  <c r="R28" i="2" s="1"/>
  <c r="CN49" i="2"/>
  <c r="R85" i="2" s="1"/>
  <c r="CN41" i="2"/>
  <c r="R69" i="2" s="1"/>
  <c r="CN8" i="2"/>
  <c r="CN9" i="2"/>
  <c r="CN10" i="2"/>
  <c r="CN6" i="2"/>
  <c r="Q4" i="2" s="1"/>
  <c r="CN7" i="2"/>
  <c r="R4" i="2" s="1"/>
  <c r="CN46" i="2"/>
  <c r="Q84" i="2" s="1"/>
  <c r="CN11" i="2"/>
  <c r="R21" i="2" l="1"/>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7" i="2" l="1"/>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S15" i="2"/>
  <c r="U22" i="2" s="1"/>
  <c r="CS18" i="2"/>
  <c r="T30" i="2" s="1"/>
  <c r="CS49" i="2"/>
  <c r="CS26" i="2"/>
  <c r="CS52" i="2"/>
  <c r="CS53" i="2"/>
  <c r="CS41" i="2"/>
  <c r="CS29" i="2"/>
  <c r="CS8" i="2"/>
  <c r="U7" i="2" s="1"/>
  <c r="CS31" i="2"/>
  <c r="CS39" i="2"/>
  <c r="CS28" i="2"/>
  <c r="CS44" i="2"/>
  <c r="CS20" i="2"/>
  <c r="U30" i="2" s="1"/>
  <c r="CS21" i="2"/>
  <c r="CS38" i="2"/>
  <c r="CS30" i="2"/>
  <c r="CS32" i="2"/>
  <c r="CS17" i="2"/>
  <c r="T22" i="2" s="1"/>
  <c r="CS7" i="2"/>
  <c r="U4" i="2" s="1"/>
  <c r="CS23" i="2"/>
  <c r="CS48" i="2"/>
  <c r="CS12" i="2"/>
  <c r="U15" i="2" s="1"/>
  <c r="CS34" i="2"/>
  <c r="CS16" i="2"/>
  <c r="CS10" i="2"/>
  <c r="T15" i="2" s="1"/>
  <c r="CS9" i="2"/>
  <c r="T6" i="2" s="1"/>
  <c r="CS40" i="2"/>
  <c r="CS6" i="2"/>
  <c r="T7" i="2" s="1"/>
  <c r="CS11" i="2"/>
  <c r="U14" i="2" s="1"/>
  <c r="CS27" i="2"/>
  <c r="CS46" i="2"/>
  <c r="CS42" i="2"/>
  <c r="CS25" i="2"/>
  <c r="CS19" i="2"/>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<sst xmlns="http://schemas.openxmlformats.org/spreadsheetml/2006/main" count="6754" uniqueCount="1516">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</sst>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C22" sqref="AC22"/>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3" zoomScaleNormal="100" workbookViewId="0">
      <selection activeCell="AC22" sqref="AC22"/>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1</v>
      </c>
      <c r="BF14" s="16">
        <f t="shared" ca="1" si="17"/>
        <v>1</v>
      </c>
      <c r="BG14" s="16">
        <f t="shared" ca="1" si="18"/>
        <v>0</v>
      </c>
      <c r="BH14" s="16">
        <f t="shared" ca="1" si="19"/>
        <v>1</v>
      </c>
      <c r="BI14" s="16">
        <f t="shared" ca="1" si="20"/>
        <v>0</v>
      </c>
      <c r="BJ14" s="16">
        <f t="shared" ca="1" si="21"/>
        <v>1</v>
      </c>
      <c r="BK14" s="16">
        <f t="shared" ca="1" si="22"/>
        <v>1</v>
      </c>
      <c r="BL14" s="16">
        <f t="shared" ca="1" si="23"/>
        <v>0</v>
      </c>
      <c r="BM14" s="16" t="str">
        <f t="shared" ca="1" si="24"/>
        <v>3C</v>
      </c>
      <c r="BN14" s="16" t="str">
        <f t="shared" ca="1" si="25"/>
        <v>3C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1</v>
      </c>
      <c r="BS14" s="16">
        <f ca="1">BP14+COUNTIFS($BQ$6:$BQ$53,BQ14,$BR$6:BR$53,"&gt;"&amp;BR14,$BC$6:$BC$53,INDEX(T_Equipos[Grupo],MATCH(BD14,T_Equipos[NombreEquipo],0)))</f>
        <v>3</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3</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3</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3</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3</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3</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3</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3</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3</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3</v>
      </c>
      <c r="DE14" s="16"/>
      <c r="DF14" s="16">
        <f t="shared" ca="1" si="46"/>
        <v>3</v>
      </c>
      <c r="DG14" s="16" t="str">
        <f ca="1">IF(DB14="-","-",COUNTIFS(DF$6:DF$53,"&lt;"&amp;DF14,$BC$6:$BC$53,INDEX(T_Equipos[Grupo],MATCH(BD14,T_Equipos[NombreEquipo],0))))</f>
        <v>-</v>
      </c>
      <c r="DH14" s="16">
        <f ca="1">DA14+COUNTIFS(DB$6:DB$53,DB14,DG$6:DG$53,"&lt;"&amp;DG14,$BC$6:$BC$53,INDEX(T_Equipos[Grupo],MATCH(BD14,T_Equipos[NombreEquipo],0)))</f>
        <v>3</v>
      </c>
      <c r="DI14" s="16"/>
      <c r="DJ14" s="16">
        <f t="shared" ca="1" si="47"/>
        <v>1</v>
      </c>
      <c r="DK14" s="16">
        <f t="shared" ca="1" si="48"/>
        <v>6</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6</v>
      </c>
      <c r="DL15" s="16">
        <f t="shared" ca="1" si="49"/>
        <v>1</v>
      </c>
      <c r="DM15" s="16" t="str">
        <f t="shared" ca="1" si="50"/>
        <v>2.1</v>
      </c>
      <c r="DN15" s="16">
        <f t="array" aca="1" ref="DN15" ca="1">OFFSET(Horarios!$P$3,DJ15-1,0,DL15,1)</f>
        <v>2</v>
      </c>
      <c r="DO15" s="16"/>
      <c r="DP15" s="16" t="s">
        <v>80</v>
      </c>
      <c r="DQ15" s="16" t="str">
        <f t="shared" ca="1" si="51"/>
        <v>Escocia</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1</v>
      </c>
      <c r="BG16" s="16">
        <f t="shared" ca="1" si="18"/>
        <v>0</v>
      </c>
      <c r="BH16" s="16">
        <f t="shared" ca="1" si="19"/>
        <v>0</v>
      </c>
      <c r="BI16" s="16">
        <f t="shared" ca="1" si="20"/>
        <v>1</v>
      </c>
      <c r="BJ16" s="16">
        <f t="shared" ca="1" si="21"/>
        <v>0</v>
      </c>
      <c r="BK16" s="16">
        <f t="shared" ca="1" si="22"/>
        <v>1</v>
      </c>
      <c r="BL16" s="16">
        <f t="shared" ca="1" si="23"/>
        <v>-1</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6</v>
      </c>
      <c r="DL16" s="16">
        <f t="shared" ca="1" si="49"/>
        <v>1</v>
      </c>
      <c r="DM16" s="16" t="str">
        <f t="shared" ca="1" si="50"/>
        <v>3.1</v>
      </c>
      <c r="DN16" s="16">
        <f t="array" aca="1" ref="DN16" ca="1">OFFSET(Horarios!$P$3,DJ16-1,0,DL16,1)</f>
        <v>3</v>
      </c>
      <c r="DO16" s="16"/>
      <c r="DP16" s="16" t="s">
        <v>81</v>
      </c>
      <c r="DQ16" s="16" t="str">
        <f t="shared" ca="1" si="51"/>
        <v>Brasil</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2C</v>
      </c>
      <c r="BN17" s="16" t="str">
        <f t="shared" ca="1" si="25"/>
        <v>2C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2</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2</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2</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2</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2</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2</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2</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2</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2</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2</v>
      </c>
      <c r="DE17" s="16"/>
      <c r="DF17" s="16">
        <f t="shared" ca="1" si="46"/>
        <v>2</v>
      </c>
      <c r="DG17" s="16" t="str">
        <f ca="1">IF(DB17="-","-",COUNTIFS(DF$6:DF$53,"&lt;"&amp;DF17,$BC$6:$BC$53,INDEX(T_Equipos[Grupo],MATCH(BD17,T_Equipos[NombreEquipo],0))))</f>
        <v>-</v>
      </c>
      <c r="DH17" s="16">
        <f ca="1">DA17+COUNTIFS(DB$6:DB$53,DB17,DG$6:DG$53,"&lt;"&amp;DG17,$BC$6:$BC$53,INDEX(T_Equipos[Grupo],MATCH(BD17,T_Equipos[NombreEquipo],0)))</f>
        <v>2</v>
      </c>
      <c r="DI17" s="16"/>
      <c r="DJ17" s="16">
        <f t="shared" ca="1" si="47"/>
        <v>4</v>
      </c>
      <c r="DK17" s="16">
        <f t="shared" ca="1" si="48"/>
        <v>6</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6</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1</v>
      </c>
      <c r="BG19" s="16">
        <f t="shared" ca="1" si="18"/>
        <v>0</v>
      </c>
      <c r="BH19" s="16">
        <f t="shared" ca="1" si="19"/>
        <v>0</v>
      </c>
      <c r="BI19" s="16">
        <f t="shared" ca="1" si="20"/>
        <v>1</v>
      </c>
      <c r="BJ19" s="16">
        <f t="shared" ca="1" si="21"/>
        <v>1</v>
      </c>
      <c r="BK19" s="16">
        <f t="shared" ca="1" si="22"/>
        <v>4</v>
      </c>
      <c r="BL19" s="16">
        <f t="shared" ca="1" si="23"/>
        <v>-3</v>
      </c>
      <c r="BM19" s="16" t="str">
        <f t="shared" ca="1" si="24"/>
        <v>4D</v>
      </c>
      <c r="BN19" s="16" t="str">
        <f t="shared" ca="1" si="25"/>
        <v>4D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3</v>
      </c>
      <c r="BT19" s="16" t="str">
        <f ca="1">IF(COUNTIFS($BS$6:$BS$53,BS19,$BC$6:$BC$53,INDEX(T_Equipos[Grupo],MATCH(BD19,T_Equipos[NombreEquipo],0)))=1,"-","P."&amp;BS19&amp;" ("&amp;COUNTIFS($BS$6:$BS$53,BS19,$BC$6:$BC$53,INDEX(T_Equipos[Grupo],MATCH(BD19,T_Equipos[NombreEquipo],0)))&amp;")")</f>
        <v>P.3 (2)</v>
      </c>
      <c r="BU19" s="16">
        <f t="shared" ca="1" si="28"/>
        <v>0</v>
      </c>
      <c r="BV19" s="16">
        <f t="shared" ca="1" si="29"/>
        <v>0</v>
      </c>
      <c r="BW19" s="16">
        <f t="shared" ca="1" si="30"/>
        <v>0</v>
      </c>
      <c r="BX19" s="16">
        <f t="shared" ca="1" si="31"/>
        <v>0</v>
      </c>
      <c r="BY19" s="16">
        <f ca="1">BS19+COUNTIFS($BT$6:$BT$53,BT19,$BX$6:BX$53,"&gt;"&amp;BX19,$BC$6:$BC$53,INDEX(T_Equipos[Grupo],MATCH(BD19,T_Equipos[NombreEquipo],0)))</f>
        <v>3</v>
      </c>
      <c r="BZ19" s="16" t="str">
        <f ca="1">IF(COUNTIFS($BY$6:$BY$53,BY19,$BC$6:$BC$53,INDEX(T_Equipos[Grupo],MATCH(BD19,T_Equipos[NombreEquipo],0)))=1,"-","P."&amp;BY19&amp;" ("&amp;COUNTIFS($BY$6:$BY$53,BY19,$BC$6:$BC$53,INDEX(T_Equipos[Grupo],MATCH(BD19,T_Equipos[NombreEquipo],0)))&amp;")")</f>
        <v>P.3 (2)</v>
      </c>
      <c r="CA19" s="16">
        <f t="shared" ca="1" si="32"/>
        <v>0</v>
      </c>
      <c r="CB19" s="16">
        <f t="shared" ca="1" si="33"/>
        <v>0</v>
      </c>
      <c r="CC19" s="16">
        <f t="shared" ca="1" si="34"/>
        <v>0</v>
      </c>
      <c r="CD19" s="16">
        <f ca="1">BY19+COUNTIFS($BZ$6:$BZ$53,BZ19,$CC$6:CC$53,"&gt;"&amp;CC19,$BC$6:$BC$53,INDEX(T_Equipos[Grupo],MATCH(BD19,T_Equipos[NombreEquipo],0)))</f>
        <v>3</v>
      </c>
      <c r="CE19" s="16" t="str">
        <f ca="1">IF(COUNTIFS($CD$6:$CD$53,CD19,$BC$6:$BC$53,INDEX(T_Equipos[Grupo],MATCH(BD19,T_Equipos[NombreEquipo],0)))=1,"-","P."&amp;CD19&amp;" ("&amp;COUNTIFS($CD$6:$CD$53,CD19,$BC$6:$BC$53,INDEX(T_Equipos[Grupo],MATCH(BD19,T_Equipos[NombreEquipo],0)))&amp;")")</f>
        <v>P.3 (2)</v>
      </c>
      <c r="CF19" s="16">
        <f t="shared" ca="1" si="35"/>
        <v>0</v>
      </c>
      <c r="CG19" s="16">
        <f ca="1">CD19+COUNTIFS($CE$6:$CE$53,CE19,$CF$6:CF$53,"&gt;"&amp;CF19,$BC$6:$BC$53,INDEX(T_Equipos[Grupo],MATCH(BD19,T_Equipos[NombreEquipo],0)))</f>
        <v>3</v>
      </c>
      <c r="CH19" s="16" t="str">
        <f ca="1">IF(COUNTIFS($CG$6:$CG$53,CG19,$BC$6:$BC$53,INDEX(T_Equipos[Grupo],MATCH(BD19,T_Equipos[NombreEquipo],0)))=1,"-","P."&amp;CG19&amp;" ("&amp;COUNTIFS($CG$6:$CG$53,CG19,$BC$6:$BC$53,INDEX(T_Equipos[Grupo],MATCH(BD19,T_Equipos[NombreEquipo],0)))&amp;")")</f>
        <v>P.3 (2)</v>
      </c>
      <c r="CI19" s="16">
        <f t="shared" ca="1" si="36"/>
        <v>0</v>
      </c>
      <c r="CJ19" s="16">
        <f t="shared" ca="1" si="37"/>
        <v>0</v>
      </c>
      <c r="CK19" s="16">
        <f t="shared" ca="1" si="38"/>
        <v>0</v>
      </c>
      <c r="CL19" s="16">
        <f t="shared" ca="1" si="39"/>
        <v>0</v>
      </c>
      <c r="CM19" s="16">
        <f ca="1">CG19+COUNTIFS($CH$6:$CH$53,CH19,$CL$6:CL$53,"&gt;"&amp;CL19,$BC$6:$BC$53,INDEX(T_Equipos[Grupo],MATCH(BD19,T_Equipos[NombreEquipo],0)))</f>
        <v>3</v>
      </c>
      <c r="CN19" s="16" t="str">
        <f ca="1">IF(COUNTIFS($CM$6:$CM$53,CM19,$BC$6:$BC$53,INDEX(T_Equipos[Grupo],MATCH(BD19,T_Equipos[NombreEquipo],0)))=1,"-","P."&amp;CM19&amp;" ("&amp;COUNTIFS($CM$6:$CM$53,CM19,$BC$6:$BC$53,INDEX(T_Equipos[Grupo],MATCH(BD19,T_Equipos[NombreEquipo],0)))&amp;")")</f>
        <v>P.3 (2)</v>
      </c>
      <c r="CO19" s="16">
        <f t="shared" ca="1" si="40"/>
        <v>0</v>
      </c>
      <c r="CP19" s="16">
        <f t="shared" ca="1" si="41"/>
        <v>0</v>
      </c>
      <c r="CQ19" s="16">
        <f t="shared" ca="1" si="42"/>
        <v>0</v>
      </c>
      <c r="CR19" s="16">
        <f ca="1">CM19+COUNTIFS($CN$6:$CN$53,CN19,$CQ$6:CQ$53,"&gt;"&amp;CQ19,$BC$6:$BC$53,INDEX(T_Equipos[Grupo],MATCH(BD19,T_Equipos[NombreEquipo],0)))</f>
        <v>3</v>
      </c>
      <c r="CS19" s="16" t="str">
        <f ca="1">IF(COUNTIFS($CR$6:$CR$53,CR19,$BC$6:$BC$53,INDEX(T_Equipos[Grupo],MATCH(BD19,T_Equipos[NombreEquipo],0)))=1,"-","P."&amp;CR19&amp;" ("&amp;COUNTIFS($CR$6:$CR$53,CR19,$BC$6:$BC$53,INDEX(T_Equipos[Grupo],MATCH(BD19,T_Equipos[NombreEquipo],0)))&amp;")")</f>
        <v>P.3 (2)</v>
      </c>
      <c r="CT19" s="16">
        <f t="shared" ca="1" si="43"/>
        <v>0</v>
      </c>
      <c r="CU19" s="16">
        <f ca="1">CR19+COUNTIFS($CS$6:$CS$53,CS19,$CT$6:CT$53,"&gt;"&amp;CT19,$BC$6:$BC$53,INDEX(T_Equipos[Grupo],MATCH(BD19,T_Equipos[NombreEquipo],0)))</f>
        <v>3</v>
      </c>
      <c r="CV19" s="16" t="str">
        <f ca="1">IF(COUNTIFS($CU$6:$CU$53,CU19,$BC$6:$BC$53,INDEX(T_Equipos[Grupo],MATCH(BD19,T_Equipos[NombreEquipo],0)))=1,"-","P."&amp;CU19&amp;" ("&amp;COUNTIFS($CU$6:$CU$53,CU19,$BC$6:$BC$53,INDEX(T_Equipos[Grupo],MATCH(BD19,T_Equipos[NombreEquipo],0)))&amp;")")</f>
        <v>P.3 (2)</v>
      </c>
      <c r="CW19" s="16">
        <f t="shared" ca="1" si="44"/>
        <v>-3</v>
      </c>
      <c r="CX19" s="16">
        <f ca="1">CU19+COUNTIFS($CV$6:$CV$53,CV19,$CW$6:CW$53,"&gt;"&amp;CW19,$BC$6:$BC$53,INDEX(T_Equipos[Grupo],MATCH(BD19,T_Equipos[NombreEquipo],0)))</f>
        <v>4</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4</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4</v>
      </c>
      <c r="DE19" s="16"/>
      <c r="DF19" s="16">
        <f t="shared" ca="1" si="46"/>
        <v>4</v>
      </c>
      <c r="DG19" s="16" t="str">
        <f ca="1">IF(DB19="-","-",COUNTIFS(DF$6:DF$53,"&lt;"&amp;DF19,$BC$6:$BC$53,INDEX(T_Equipos[Grupo],MATCH(BD19,T_Equipos[NombreEquipo],0))))</f>
        <v>-</v>
      </c>
      <c r="DH19" s="16">
        <f ca="1">DA19+COUNTIFS(DB$6:DB$53,DB19,DG$6:DG$53,"&lt;"&amp;DG19,$BC$6:$BC$53,INDEX(T_Equipos[Grupo],MATCH(BD19,T_Equipos[NombreEquipo],0)))</f>
        <v>4</v>
      </c>
      <c r="DI19" s="16"/>
      <c r="DJ19" s="16">
        <f t="shared" ca="1" si="47"/>
        <v>2</v>
      </c>
      <c r="DK19" s="16">
        <f t="shared" ca="1" si="48"/>
        <v>6</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6</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1</v>
      </c>
      <c r="BG21" s="16">
        <f t="shared" ca="1" si="18"/>
        <v>0</v>
      </c>
      <c r="BH21" s="16">
        <f t="shared" ca="1" si="19"/>
        <v>0</v>
      </c>
      <c r="BI21" s="16">
        <f t="shared" ca="1" si="20"/>
        <v>1</v>
      </c>
      <c r="BJ21" s="16">
        <f t="shared" ca="1" si="21"/>
        <v>0</v>
      </c>
      <c r="BK21" s="16">
        <f t="shared" ca="1" si="22"/>
        <v>2</v>
      </c>
      <c r="BL21" s="16">
        <f t="shared" ca="1" si="23"/>
        <v>-2</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P.3 (2)</v>
      </c>
      <c r="BU21" s="16">
        <f t="shared" ca="1" si="28"/>
        <v>0</v>
      </c>
      <c r="BV21" s="16">
        <f t="shared" ca="1" si="29"/>
        <v>0</v>
      </c>
      <c r="BW21" s="16">
        <f t="shared" ca="1" si="30"/>
        <v>0</v>
      </c>
      <c r="BX21" s="16">
        <f t="shared" ca="1" si="31"/>
        <v>0</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P.3 (2)</v>
      </c>
      <c r="CA21" s="16">
        <f t="shared" ca="1" si="32"/>
        <v>0</v>
      </c>
      <c r="CB21" s="16">
        <f t="shared" ca="1" si="33"/>
        <v>0</v>
      </c>
      <c r="CC21" s="16">
        <f t="shared" ca="1" si="34"/>
        <v>0</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P.3 (2)</v>
      </c>
      <c r="CF21" s="16">
        <f t="shared" ca="1" si="35"/>
        <v>0</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P.3 (2)</v>
      </c>
      <c r="CI21" s="16">
        <f t="shared" ca="1" si="36"/>
        <v>0</v>
      </c>
      <c r="CJ21" s="16">
        <f t="shared" ca="1" si="37"/>
        <v>0</v>
      </c>
      <c r="CK21" s="16">
        <f t="shared" ca="1" si="38"/>
        <v>0</v>
      </c>
      <c r="CL21" s="16">
        <f t="shared" ca="1" si="39"/>
        <v>0</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P.3 (2)</v>
      </c>
      <c r="CO21" s="16">
        <f t="shared" ca="1" si="40"/>
        <v>0</v>
      </c>
      <c r="CP21" s="16">
        <f t="shared" ca="1" si="41"/>
        <v>0</v>
      </c>
      <c r="CQ21" s="16">
        <f t="shared" ca="1" si="42"/>
        <v>0</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P.3 (2)</v>
      </c>
      <c r="CT21" s="16">
        <f t="shared" ca="1" si="43"/>
        <v>0</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P.3 (2)</v>
      </c>
      <c r="CW21" s="16">
        <f t="shared" ca="1" si="44"/>
        <v>-2</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6</v>
      </c>
      <c r="DL21" s="16">
        <f t="shared" ca="1" si="49"/>
        <v>1</v>
      </c>
      <c r="DM21" s="16" t="str">
        <f t="shared" ca="1" si="50"/>
        <v>4.1</v>
      </c>
      <c r="DN21" s="16">
        <f t="array" aca="1" ref="DN21" ca="1">OFFSET(Horarios!$P$3,DJ21-1,0,DL21,1)</f>
        <v>4</v>
      </c>
      <c r="DO21" s="16"/>
      <c r="DP21" s="16" t="s">
        <v>87</v>
      </c>
      <c r="DQ21" s="16" t="str">
        <f t="shared" ca="1" si="51"/>
        <v>Paraguay</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4</v>
      </c>
      <c r="AN22" s="36">
        <f t="shared" ca="1" si="83"/>
        <v>2</v>
      </c>
      <c r="AO22" s="36">
        <f t="shared" ca="1" si="83"/>
        <v>1</v>
      </c>
      <c r="AP22" s="36">
        <f t="shared" ca="1" si="83"/>
        <v>1</v>
      </c>
      <c r="AQ22" s="36">
        <f t="shared" ca="1" si="83"/>
        <v>0</v>
      </c>
      <c r="AR22" s="36">
        <f t="shared" ca="1" si="83"/>
        <v>2</v>
      </c>
      <c r="AS22" s="36">
        <f t="shared" ca="1" si="83"/>
        <v>1</v>
      </c>
      <c r="AT22" s="41">
        <f t="shared" ca="1" si="83"/>
        <v>1</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5"/>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Escocia</v>
      </c>
      <c r="AM23" s="38">
        <f t="shared" ca="1" si="83"/>
        <v>3</v>
      </c>
      <c r="AN23" s="39">
        <f t="shared" ca="1" si="83"/>
        <v>2</v>
      </c>
      <c r="AO23" s="39">
        <f t="shared" ca="1" si="83"/>
        <v>1</v>
      </c>
      <c r="AP23" s="39">
        <f t="shared" ca="1" si="83"/>
        <v>0</v>
      </c>
      <c r="AQ23" s="39">
        <f t="shared" ca="1" si="83"/>
        <v>1</v>
      </c>
      <c r="AR23" s="39">
        <f t="shared" ca="1" si="83"/>
        <v>1</v>
      </c>
      <c r="AS23" s="39">
        <f t="shared" ca="1" si="83"/>
        <v>1</v>
      </c>
      <c r="AT23" s="43">
        <f t="shared" ca="1" si="83"/>
        <v>0</v>
      </c>
      <c r="AU23" s="323">
        <f ca="1">INDEX($DL$6:$DL$53,MATCH(AI23,$DP$6:$DP$53,0))</f>
        <v>1</v>
      </c>
      <c r="AV23" s="182" t="str">
        <f ca="1">INDEX($BD$6:$BD$53,MATCH(AI23,$BM$6:$BM$53,0))</f>
        <v>Escocia</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Brasil</v>
      </c>
      <c r="AM24" s="38">
        <f t="shared" ca="1" si="83"/>
        <v>1</v>
      </c>
      <c r="AN24" s="39">
        <f t="shared" ca="1" si="83"/>
        <v>1</v>
      </c>
      <c r="AO24" s="39">
        <f t="shared" ca="1" si="83"/>
        <v>0</v>
      </c>
      <c r="AP24" s="39">
        <f t="shared" ca="1" si="83"/>
        <v>1</v>
      </c>
      <c r="AQ24" s="39">
        <f t="shared" ca="1" si="83"/>
        <v>0</v>
      </c>
      <c r="AR24" s="39">
        <f t="shared" ca="1" si="83"/>
        <v>1</v>
      </c>
      <c r="AS24" s="39">
        <f t="shared" ca="1" si="83"/>
        <v>1</v>
      </c>
      <c r="AT24" s="43">
        <f t="shared" ca="1" si="83"/>
        <v>0</v>
      </c>
      <c r="AU24" s="323">
        <f ca="1">INDEX($DL$6:$DL$53,MATCH(AI24,$DP$6:$DP$53,0))</f>
        <v>1</v>
      </c>
      <c r="AV24" s="182" t="str">
        <f ca="1">INDEX($BD$6:$BD$53,MATCH(AI24,$BM$6:$BM$53,0))</f>
        <v>Brasil</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1</v>
      </c>
      <c r="AO25" s="47">
        <f t="shared" ca="1" si="83"/>
        <v>0</v>
      </c>
      <c r="AP25" s="47">
        <f t="shared" ca="1" si="83"/>
        <v>0</v>
      </c>
      <c r="AQ25" s="47">
        <f t="shared" ca="1" si="83"/>
        <v>1</v>
      </c>
      <c r="AR25" s="47">
        <f t="shared" ca="1" si="83"/>
        <v>0</v>
      </c>
      <c r="AS25" s="47">
        <f t="shared" ca="1" si="83"/>
        <v>1</v>
      </c>
      <c r="AT25" s="48">
        <f t="shared" ca="1" si="83"/>
        <v>-1</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P.3 (2)</v>
      </c>
      <c r="G28" s="16"/>
      <c r="H28" s="16" t="str">
        <f t="shared" ref="H28:H33" ca="1" si="87">IF(D28="Pendiente","-",INDEX($BZ$6:$BZ$53,MATCH($AA28,$BD$6:$BD$53,0)))</f>
        <v>-</v>
      </c>
      <c r="I28" s="16" t="str">
        <f t="shared" ref="I28:I33" ca="1" si="88">IF(D28="Pendiente","-",INDEX($BZ$6:$BZ$53,MATCH($AF28,$BD$6:$BD$53,0)))</f>
        <v>P.3 (2)</v>
      </c>
      <c r="J28" s="16"/>
      <c r="K28" s="16" t="str">
        <f t="shared" ref="K28:K33" ca="1" si="89">IF(D28="Pendiente","-",INDEX($CE$6:$CE$53,MATCH($AA28,$BD$6:$BD$53,0)))</f>
        <v>-</v>
      </c>
      <c r="L28" s="16" t="str">
        <f t="shared" ref="L28:L33" ca="1" si="90">IF(D28="Pendiente","-",INDEX($CE$6:$CE$53,MATCH($AF28,$BD$6:$BD$53,0)))</f>
        <v>P.3 (2)</v>
      </c>
      <c r="M28" s="16"/>
      <c r="N28" s="16" t="str">
        <f t="shared" ref="N28:N33" ca="1" si="91">IF(D28="Pendiente","-",INDEX($CH$6:$CH$53,MATCH($AA28,$BD$6:$BD$53,0)))</f>
        <v>-</v>
      </c>
      <c r="O28" s="16" t="str">
        <f t="shared" ref="O28:O33" ca="1" si="92">IF(D28="Pendiente","-",INDEX($CH$6:$CH$53,MATCH($AF28,$BD$6:$BD$53,0)))</f>
        <v>P.3 (2)</v>
      </c>
      <c r="P28" s="16"/>
      <c r="Q28" s="16" t="str">
        <f t="shared" ref="Q28:Q33" ca="1" si="93">IF(D28="Pendiente","-",INDEX($CN$6:$CN$53,MATCH($AA28,$BD$6:$BD$53,0)))</f>
        <v>-</v>
      </c>
      <c r="R28" s="16" t="str">
        <f t="shared" ref="R28:R33" ca="1" si="94">IF(D28="Pendiente","-",INDEX($CN$6:$CN$53,MATCH($AF28,$BD$6:$BD$53,0)))</f>
        <v>P.3 (2)</v>
      </c>
      <c r="S28" s="16"/>
      <c r="T28" s="16" t="str">
        <f t="shared" ref="T28:T33" ca="1" si="95">IF(D28="Pendiente","-",INDEX($CS$6:$CS$53,MATCH($AA28,$BD$6:$BD$53,0)))</f>
        <v>-</v>
      </c>
      <c r="U28" s="16" t="str">
        <f t="shared" ref="U28:U33" ca="1" si="96">IF(D28="Pendiente","-",INDEX($CS$6:$CS$53,MATCH($AF28,$BD$6:$BD$53,0)))</f>
        <v>P.3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v>
      </c>
      <c r="F29" s="16" t="str">
        <f t="shared" ca="1" si="86"/>
        <v>P.3 (2)</v>
      </c>
      <c r="G29" s="16"/>
      <c r="H29" s="16" t="str">
        <f t="shared" ca="1" si="87"/>
        <v>-</v>
      </c>
      <c r="I29" s="16" t="str">
        <f t="shared" ca="1" si="88"/>
        <v>P.3 (2)</v>
      </c>
      <c r="J29" s="16"/>
      <c r="K29" s="16" t="str">
        <f t="shared" ca="1" si="89"/>
        <v>-</v>
      </c>
      <c r="L29" s="16" t="str">
        <f t="shared" ca="1" si="90"/>
        <v>P.3 (2)</v>
      </c>
      <c r="M29" s="16"/>
      <c r="N29" s="16" t="str">
        <f t="shared" ca="1" si="91"/>
        <v>-</v>
      </c>
      <c r="O29" s="16" t="str">
        <f t="shared" ca="1" si="92"/>
        <v>P.3 (2)</v>
      </c>
      <c r="P29" s="16"/>
      <c r="Q29" s="16" t="str">
        <f t="shared" ca="1" si="93"/>
        <v>-</v>
      </c>
      <c r="R29" s="16" t="str">
        <f t="shared" ca="1" si="94"/>
        <v>P.3 (2)</v>
      </c>
      <c r="S29" s="16"/>
      <c r="T29" s="16" t="str">
        <f t="shared" ca="1" si="95"/>
        <v>-</v>
      </c>
      <c r="U29" s="16" t="str">
        <f t="shared" ca="1" si="96"/>
        <v>P.3 (2)</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5"/>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Turquía</v>
      </c>
      <c r="AM32" s="38">
        <f t="shared" ca="1" si="99"/>
        <v>0</v>
      </c>
      <c r="AN32" s="39">
        <f t="shared" ca="1" si="99"/>
        <v>1</v>
      </c>
      <c r="AO32" s="39">
        <f t="shared" ca="1" si="99"/>
        <v>0</v>
      </c>
      <c r="AP32" s="39">
        <f t="shared" ca="1" si="99"/>
        <v>0</v>
      </c>
      <c r="AQ32" s="39">
        <f t="shared" ca="1" si="99"/>
        <v>1</v>
      </c>
      <c r="AR32" s="39">
        <f t="shared" ca="1" si="99"/>
        <v>0</v>
      </c>
      <c r="AS32" s="39">
        <f t="shared" ca="1" si="99"/>
        <v>2</v>
      </c>
      <c r="AT32" s="43">
        <f t="shared" ca="1" si="99"/>
        <v>-2</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Paraguay</v>
      </c>
      <c r="AM33" s="46">
        <f t="shared" ca="1" si="99"/>
        <v>0</v>
      </c>
      <c r="AN33" s="47">
        <f t="shared" ca="1" si="99"/>
        <v>1</v>
      </c>
      <c r="AO33" s="47">
        <f t="shared" ca="1" si="99"/>
        <v>0</v>
      </c>
      <c r="AP33" s="47">
        <f t="shared" ca="1" si="99"/>
        <v>0</v>
      </c>
      <c r="AQ33" s="47">
        <f t="shared" ca="1" si="99"/>
        <v>1</v>
      </c>
      <c r="AR33" s="47">
        <f t="shared" ca="1" si="99"/>
        <v>1</v>
      </c>
      <c r="AS33" s="47">
        <f t="shared" ca="1" si="99"/>
        <v>4</v>
      </c>
      <c r="AT33" s="48">
        <f t="shared" ca="1" si="99"/>
        <v>-3</v>
      </c>
      <c r="AU33" s="323">
        <f ca="1">INDEX($DL$6:$DL$53,MATCH(AI33,$DP$6:$DP$53,0))</f>
        <v>1</v>
      </c>
      <c r="AV33" s="182" t="str">
        <f ca="1">INDEX($BD$6:$BD$53,MATCH(AI33,$BM$6:$BM$53,0))</f>
        <v>Paraguay</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6</v>
      </c>
      <c r="BN58" s="16">
        <f t="shared" ref="BN58:BN69" ca="1" si="153">CF58</f>
        <v>6</v>
      </c>
      <c r="BO58" s="16" t="str">
        <f t="shared" ref="BO58:BO69" si="154">"4"&amp;BC58</f>
        <v>4A</v>
      </c>
      <c r="BP58" s="16"/>
      <c r="BQ58" s="16"/>
      <c r="BR58" s="16">
        <f t="shared" ref="BR58:BR69" ca="1" si="155">+BE58</f>
        <v>1</v>
      </c>
      <c r="BS58" s="16">
        <f t="shared" ref="BS58:BS69" ca="1" si="156">COUNTIFS(BR$58:BR$69,"&gt;"&amp;BR58)+1</f>
        <v>1</v>
      </c>
      <c r="BT58" s="16" t="str">
        <f t="shared" ref="BT58:BT69" ca="1" si="157">IF(COUNTIF(BS$58:BS$69,BS58)=1,"-","Pos. "&amp;BS58&amp;" ("&amp;COUNTIF(BS$58:BS$69,BS58)&amp;")")</f>
        <v>Pos. 1 (7)</v>
      </c>
      <c r="BU58" s="16">
        <f t="shared" ref="BU58:BU69" ca="1" si="158">IF(BT58="-","-",BL58)</f>
        <v>-1</v>
      </c>
      <c r="BV58" s="16">
        <f t="shared" ref="BV58:BV69" ca="1" si="159">BS58+COUNTIFS(BT$58:BT$69,BT58,BU$58:BU$69,"&gt;"&amp;BU58)</f>
        <v>6</v>
      </c>
      <c r="BW58" s="16" t="str">
        <f t="shared" ref="BW58:BW69" ca="1" si="160">IF(COUNTIF(BV$58:BV$69,BV58)=1,"-","Pos. "&amp;BV58&amp;" ("&amp;COUNTIF(BV$58:BV$69,BV58)&amp;")")</f>
        <v>-</v>
      </c>
      <c r="BX58" s="16" t="str">
        <f t="shared" ref="BX58:BX69" ca="1" si="161">IF(BW58="-","-",BJ58)</f>
        <v>-</v>
      </c>
      <c r="BY58" s="16">
        <f t="shared" ref="BY58:BY69" ca="1" si="162">BV58+COUNTIFS(BW$58:BW$69,BW58,BX$58:BX$69,"&gt;"&amp;BX58)</f>
        <v>6</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6</v>
      </c>
      <c r="CC58" s="16"/>
      <c r="CD58" s="16">
        <f t="shared" ref="CD58:CD69" ca="1" si="166">IF(OR(INDEX($AW$102:$AW$113,MATCH($BD58,$AV$102:$AV$113,0))="",BZ58="-"),CB58,INDEX($AW$102:$AW$113,MATCH($BD58,$AV$102:$AV$113,0))+CB58/1000)</f>
        <v>6</v>
      </c>
      <c r="CE58" s="16" t="str">
        <f t="shared" ref="CE58:CE69" ca="1" si="167">IF(BZ58="-","-",COUNTIF(CD$58:CD$69,"&lt;"&amp;CD58))</f>
        <v>-</v>
      </c>
      <c r="CF58" s="16">
        <f t="shared" ref="CF58:CF69" ca="1" si="168">BY58+COUNTIFS(BZ$58:BZ$69,BZ58,CE$58:CE$69,"&lt;"&amp;CE58)</f>
        <v>6</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Japón</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7</v>
      </c>
      <c r="BN59" s="16">
        <f t="shared" ca="1" si="153"/>
        <v>7</v>
      </c>
      <c r="BO59" s="16" t="str">
        <f t="shared" si="154"/>
        <v>4B</v>
      </c>
      <c r="BP59" s="16"/>
      <c r="BQ59" s="16"/>
      <c r="BR59" s="16">
        <f t="shared" ca="1" si="155"/>
        <v>1</v>
      </c>
      <c r="BS59" s="16">
        <f t="shared" ca="1" si="156"/>
        <v>1</v>
      </c>
      <c r="BT59" s="16" t="str">
        <f t="shared" ca="1" si="157"/>
        <v>Pos. 1 (7)</v>
      </c>
      <c r="BU59" s="16">
        <f t="shared" ca="1" si="158"/>
        <v>-3</v>
      </c>
      <c r="BV59" s="16">
        <f t="shared" ca="1" si="159"/>
        <v>7</v>
      </c>
      <c r="BW59" s="16" t="str">
        <f t="shared" ca="1" si="160"/>
        <v>-</v>
      </c>
      <c r="BX59" s="16" t="str">
        <f t="shared" ca="1" si="161"/>
        <v>-</v>
      </c>
      <c r="BY59" s="16">
        <f t="shared" ca="1" si="162"/>
        <v>7</v>
      </c>
      <c r="BZ59" s="16" t="str">
        <f t="shared" ca="1" si="163"/>
        <v>-</v>
      </c>
      <c r="CA59" s="16" t="str">
        <f t="shared" ca="1" si="164"/>
        <v>-</v>
      </c>
      <c r="CB59" s="16">
        <f t="shared" ca="1" si="165"/>
        <v>7</v>
      </c>
      <c r="CC59" s="16"/>
      <c r="CD59" s="16">
        <f t="shared" ca="1" si="166"/>
        <v>7</v>
      </c>
      <c r="CE59" s="16" t="str">
        <f t="shared" ca="1" si="167"/>
        <v>-</v>
      </c>
      <c r="CF59" s="16">
        <f t="shared" ca="1" si="168"/>
        <v>7</v>
      </c>
      <c r="DJ59" s="16">
        <f t="shared" ca="1" si="169"/>
        <v>2</v>
      </c>
      <c r="DK59" s="16"/>
      <c r="DL59" s="16">
        <f t="shared" ca="1" si="170"/>
        <v>1</v>
      </c>
      <c r="DM59" s="16" t="str">
        <f t="shared" ca="1" si="171"/>
        <v>2.1</v>
      </c>
      <c r="DN59" s="16">
        <f t="array" aca="1" ref="DN59" ca="1">OFFSET(Horarios!$P$3,DJ59-1,0,DL59,1)</f>
        <v>2</v>
      </c>
      <c r="DO59" s="16"/>
      <c r="DP59" s="16">
        <v>2</v>
      </c>
      <c r="DQ59" s="16" t="str">
        <f t="shared" ca="1" si="172"/>
        <v>Bélgica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Brasil</v>
      </c>
      <c r="BE60" s="16">
        <f t="shared" ref="BE60:BE69" ca="1" si="193">CHOOSE($BB$57,
(BG60*3 + BH60)+IF($AZ$3="No",0,INDEX($AZ$6:$AZ$97,MATCH(BD60,$AY$6:$AY$97,0))),
(BG60*3 + BH60)+IF($AZ$3="No",0,INDEX($AZ$6:$AZ$97,MATCH(BD60,$AY$6:$AY$97,0))),
IFERROR((BG60*3 + BH60+IF($AZ$3="No",0,INDEX($AZ$6:$AZ$97,MATCH(BD60,$AY$6:$AY$97,0)))) / BF60, 0)
)</f>
        <v>1</v>
      </c>
      <c r="BF60" s="16">
        <f t="shared" ca="1" si="150"/>
        <v>1</v>
      </c>
      <c r="BG60" s="16">
        <f t="shared" ca="1" si="174"/>
        <v>0</v>
      </c>
      <c r="BH60" s="16">
        <f t="shared" ca="1" si="175"/>
        <v>1</v>
      </c>
      <c r="BI60" s="16">
        <f t="shared" ca="1" si="176"/>
        <v>0</v>
      </c>
      <c r="BJ60" s="16">
        <f t="shared" ca="1" si="177"/>
        <v>1</v>
      </c>
      <c r="BK60" s="16">
        <f t="shared" ca="1" si="178"/>
        <v>1</v>
      </c>
      <c r="BL60" s="16">
        <f t="shared" ca="1" si="151"/>
        <v>0</v>
      </c>
      <c r="BM60" s="16">
        <f t="shared" ca="1" si="152"/>
        <v>3</v>
      </c>
      <c r="BN60" s="16">
        <f t="shared" ca="1" si="153"/>
        <v>3</v>
      </c>
      <c r="BO60" s="16" t="str">
        <f t="shared" si="154"/>
        <v>4C</v>
      </c>
      <c r="BP60" s="16"/>
      <c r="BQ60" s="16"/>
      <c r="BR60" s="16">
        <f t="shared" ca="1" si="155"/>
        <v>1</v>
      </c>
      <c r="BS60" s="16">
        <f t="shared" ca="1" si="156"/>
        <v>1</v>
      </c>
      <c r="BT60" s="16" t="str">
        <f t="shared" ca="1" si="157"/>
        <v>Pos. 1 (7)</v>
      </c>
      <c r="BU60" s="16">
        <f t="shared" ca="1" si="158"/>
        <v>0</v>
      </c>
      <c r="BV60" s="16">
        <f t="shared" ca="1" si="159"/>
        <v>1</v>
      </c>
      <c r="BW60" s="16" t="str">
        <f t="shared" ca="1" si="160"/>
        <v>Pos. 1 (5)</v>
      </c>
      <c r="BX60" s="16">
        <f t="shared" ca="1" si="161"/>
        <v>1</v>
      </c>
      <c r="BY60" s="16">
        <f t="shared" ca="1" si="162"/>
        <v>2</v>
      </c>
      <c r="BZ60" s="16" t="str">
        <f t="shared" ca="1" si="163"/>
        <v>Pos. 2 (3)</v>
      </c>
      <c r="CA60" s="16">
        <f t="shared" ca="1" si="164"/>
        <v>9</v>
      </c>
      <c r="CB60" s="16">
        <f t="shared" ca="1" si="165"/>
        <v>3</v>
      </c>
      <c r="CC60" s="16"/>
      <c r="CD60" s="16">
        <f t="shared" ca="1" si="166"/>
        <v>3</v>
      </c>
      <c r="CE60" s="16">
        <f t="shared" ca="1" si="167"/>
        <v>2</v>
      </c>
      <c r="CF60" s="16">
        <f t="shared" ca="1" si="168"/>
        <v>3</v>
      </c>
      <c r="DJ60" s="16">
        <f t="shared" ca="1" si="169"/>
        <v>2</v>
      </c>
      <c r="DK60" s="16"/>
      <c r="DL60" s="16">
        <f t="shared" ca="1" si="170"/>
        <v>1</v>
      </c>
      <c r="DM60" s="16" t="str">
        <f t="shared" ca="1" si="171"/>
        <v>2.1</v>
      </c>
      <c r="DN60" s="16">
        <f t="array" aca="1" ref="DN60" ca="1">OFFSET(Horarios!$P$3,DJ60-1,0,DL60,1)</f>
        <v>2</v>
      </c>
      <c r="DO60" s="16"/>
      <c r="DP60" s="16">
        <v>3</v>
      </c>
      <c r="DQ60" s="16" t="str">
        <f t="shared" ca="1" si="172"/>
        <v>Brasil</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0</v>
      </c>
      <c r="BF61" s="16">
        <f t="shared" ca="1" si="150"/>
        <v>1</v>
      </c>
      <c r="BG61" s="16">
        <f t="shared" ca="1" si="174"/>
        <v>0</v>
      </c>
      <c r="BH61" s="16">
        <f t="shared" ca="1" si="175"/>
        <v>0</v>
      </c>
      <c r="BI61" s="16">
        <f t="shared" ca="1" si="176"/>
        <v>1</v>
      </c>
      <c r="BJ61" s="16">
        <f t="shared" ca="1" si="177"/>
        <v>0</v>
      </c>
      <c r="BK61" s="16">
        <f t="shared" ca="1" si="178"/>
        <v>2</v>
      </c>
      <c r="BL61" s="16">
        <f t="shared" ca="1" si="151"/>
        <v>-2</v>
      </c>
      <c r="BM61" s="16">
        <f t="shared" ca="1" si="152"/>
        <v>12</v>
      </c>
      <c r="BN61" s="16">
        <f t="shared" ca="1" si="153"/>
        <v>12</v>
      </c>
      <c r="BO61" s="16" t="str">
        <f t="shared" si="154"/>
        <v>4D</v>
      </c>
      <c r="BP61" s="16"/>
      <c r="BQ61" s="16"/>
      <c r="BR61" s="16">
        <f t="shared" ca="1" si="155"/>
        <v>0</v>
      </c>
      <c r="BS61" s="16">
        <f t="shared" ca="1" si="156"/>
        <v>8</v>
      </c>
      <c r="BT61" s="16" t="str">
        <f t="shared" ca="1" si="157"/>
        <v>Pos. 8 (5)</v>
      </c>
      <c r="BU61" s="16">
        <f t="shared" ca="1" si="158"/>
        <v>-2</v>
      </c>
      <c r="BV61" s="16">
        <f t="shared" ca="1" si="159"/>
        <v>10</v>
      </c>
      <c r="BW61" s="16" t="str">
        <f t="shared" ca="1" si="160"/>
        <v>Pos. 10 (3)</v>
      </c>
      <c r="BX61" s="16">
        <f t="shared" ca="1" si="161"/>
        <v>0</v>
      </c>
      <c r="BY61" s="16">
        <f t="shared" ca="1" si="162"/>
        <v>12</v>
      </c>
      <c r="BZ61" s="16" t="str">
        <f t="shared" ca="1" si="163"/>
        <v>-</v>
      </c>
      <c r="CA61" s="16" t="str">
        <f t="shared" ca="1" si="164"/>
        <v>-</v>
      </c>
      <c r="CB61" s="16">
        <f t="shared" ca="1" si="165"/>
        <v>12</v>
      </c>
      <c r="CC61" s="16"/>
      <c r="CD61" s="16">
        <f t="shared" ca="1" si="166"/>
        <v>12</v>
      </c>
      <c r="CE61" s="16" t="str">
        <f t="shared" ca="1" si="167"/>
        <v>-</v>
      </c>
      <c r="CF61" s="16">
        <f t="shared" ca="1" si="168"/>
        <v>12</v>
      </c>
      <c r="DJ61" s="16">
        <f t="shared" ca="1" si="169"/>
        <v>2</v>
      </c>
      <c r="DK61" s="16"/>
      <c r="DL61" s="16">
        <f t="shared" ca="1" si="170"/>
        <v>1</v>
      </c>
      <c r="DM61" s="16" t="str">
        <f t="shared" ca="1" si="171"/>
        <v>2.1</v>
      </c>
      <c r="DN61" s="16">
        <f t="array" aca="1" ref="DN61" ca="1">OFFSET(Horarios!$P$3,DJ61-1,0,DL61,1)</f>
        <v>2</v>
      </c>
      <c r="DO61" s="16"/>
      <c r="DP61" s="16">
        <v>4</v>
      </c>
      <c r="DQ61" s="16" t="str">
        <f t="shared" ca="1" si="172"/>
        <v>RD Congo</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8</v>
      </c>
      <c r="BN62" s="16">
        <f t="shared" ca="1" si="153"/>
        <v>8</v>
      </c>
      <c r="BO62" s="16" t="str">
        <f t="shared" si="154"/>
        <v>4E</v>
      </c>
      <c r="BP62" s="16"/>
      <c r="BQ62" s="16"/>
      <c r="BR62" s="16">
        <f t="shared" ca="1" si="155"/>
        <v>0</v>
      </c>
      <c r="BS62" s="16">
        <f t="shared" ca="1" si="156"/>
        <v>8</v>
      </c>
      <c r="BT62" s="16" t="str">
        <f t="shared" ca="1" si="157"/>
        <v>Pos. 8 (5)</v>
      </c>
      <c r="BU62" s="16">
        <f t="shared" ca="1" si="158"/>
        <v>-1</v>
      </c>
      <c r="BV62" s="16">
        <f t="shared" ca="1" si="159"/>
        <v>8</v>
      </c>
      <c r="BW62" s="16" t="str">
        <f t="shared" ca="1" si="160"/>
        <v>Pos. 8 (2)</v>
      </c>
      <c r="BX62" s="16">
        <f t="shared" ca="1" si="161"/>
        <v>0</v>
      </c>
      <c r="BY62" s="16">
        <f t="shared" ca="1" si="162"/>
        <v>8</v>
      </c>
      <c r="BZ62" s="16" t="str">
        <f t="shared" ca="1" si="163"/>
        <v>Pos. 8 (2)</v>
      </c>
      <c r="CA62" s="16">
        <f t="shared" ca="1" si="164"/>
        <v>8</v>
      </c>
      <c r="CB62" s="16">
        <f t="shared" ca="1" si="165"/>
        <v>8</v>
      </c>
      <c r="CC62" s="16"/>
      <c r="CD62" s="16">
        <f t="shared" ca="1" si="166"/>
        <v>8</v>
      </c>
      <c r="CE62" s="16">
        <f t="shared" ca="1" si="167"/>
        <v>7</v>
      </c>
      <c r="CF62" s="16">
        <f t="shared" ca="1" si="168"/>
        <v>8</v>
      </c>
      <c r="DJ62" s="16">
        <f t="shared" ca="1" si="169"/>
        <v>5</v>
      </c>
      <c r="DK62" s="16"/>
      <c r="DL62" s="16">
        <f t="shared" ca="1" si="170"/>
        <v>1</v>
      </c>
      <c r="DM62" s="16" t="str">
        <f t="shared" ca="1" si="171"/>
        <v>5.1</v>
      </c>
      <c r="DN62" s="16">
        <f t="array" aca="1" ref="DN62" ca="1">OFFSET(Horarios!$P$3,DJ62-1,0,DL62,1)</f>
        <v>5</v>
      </c>
      <c r="DO62" s="16"/>
      <c r="DP62" s="16">
        <v>5</v>
      </c>
      <c r="DQ62" s="16" t="str">
        <f t="shared" ca="1" si="172"/>
        <v>España</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1</v>
      </c>
      <c r="BN63" s="16">
        <f t="shared" ca="1" si="153"/>
        <v>1</v>
      </c>
      <c r="BO63" s="16" t="str">
        <f t="shared" si="154"/>
        <v>4F</v>
      </c>
      <c r="BP63" s="16"/>
      <c r="BQ63" s="16"/>
      <c r="BR63" s="16">
        <f t="shared" ca="1" si="155"/>
        <v>1</v>
      </c>
      <c r="BS63" s="16">
        <f t="shared" ca="1" si="156"/>
        <v>1</v>
      </c>
      <c r="BT63" s="16" t="str">
        <f t="shared" ca="1" si="157"/>
        <v>Pos. 1 (7)</v>
      </c>
      <c r="BU63" s="16">
        <f t="shared" ca="1" si="158"/>
        <v>0</v>
      </c>
      <c r="BV63" s="16">
        <f t="shared" ca="1" si="159"/>
        <v>1</v>
      </c>
      <c r="BW63" s="16" t="str">
        <f t="shared" ca="1" si="160"/>
        <v>Pos. 1 (5)</v>
      </c>
      <c r="BX63" s="16">
        <f t="shared" ca="1" si="161"/>
        <v>2</v>
      </c>
      <c r="BY63" s="16">
        <f t="shared" ca="1" si="162"/>
        <v>1</v>
      </c>
      <c r="BZ63" s="16" t="str">
        <f t="shared" ca="1" si="163"/>
        <v>-</v>
      </c>
      <c r="CA63" s="16" t="str">
        <f t="shared" ca="1" si="164"/>
        <v>-</v>
      </c>
      <c r="CB63" s="16">
        <f t="shared" ca="1" si="165"/>
        <v>1</v>
      </c>
      <c r="CC63" s="16"/>
      <c r="CD63" s="16">
        <f t="shared" ca="1" si="166"/>
        <v>1</v>
      </c>
      <c r="CE63" s="16" t="str">
        <f t="shared" ca="1" si="167"/>
        <v>-</v>
      </c>
      <c r="CF63" s="16">
        <f t="shared" ca="1" si="168"/>
        <v>1</v>
      </c>
      <c r="DJ63" s="16">
        <f t="shared" ca="1" si="169"/>
        <v>6</v>
      </c>
      <c r="DK63" s="16"/>
      <c r="DL63" s="16">
        <f t="shared" ca="1" si="170"/>
        <v>1</v>
      </c>
      <c r="DM63" s="16" t="str">
        <f t="shared" ca="1" si="171"/>
        <v>6.1</v>
      </c>
      <c r="DN63" s="16">
        <f t="array" aca="1" ref="DN63" ca="1">OFFSET(Horarios!$P$3,DJ63-1,0,DL63,1)</f>
        <v>6</v>
      </c>
      <c r="DO63" s="16"/>
      <c r="DP63" s="16">
        <v>6</v>
      </c>
      <c r="DQ63" s="16" t="str">
        <f t="shared" ca="1" si="172"/>
        <v>República Checa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2</v>
      </c>
      <c r="BN64" s="16">
        <f t="shared" ca="1" si="153"/>
        <v>2</v>
      </c>
      <c r="BO64" s="16" t="str">
        <f t="shared" si="154"/>
        <v>4G</v>
      </c>
      <c r="BP64" s="16"/>
      <c r="BQ64" s="16"/>
      <c r="BR64" s="16">
        <f t="shared" ca="1" si="155"/>
        <v>1</v>
      </c>
      <c r="BS64" s="16">
        <f t="shared" ca="1" si="156"/>
        <v>1</v>
      </c>
      <c r="BT64" s="16" t="str">
        <f t="shared" ca="1" si="157"/>
        <v>Pos. 1 (7)</v>
      </c>
      <c r="BU64" s="16">
        <f t="shared" ca="1" si="158"/>
        <v>0</v>
      </c>
      <c r="BV64" s="16">
        <f t="shared" ca="1" si="159"/>
        <v>1</v>
      </c>
      <c r="BW64" s="16" t="str">
        <f t="shared" ca="1" si="160"/>
        <v>Pos. 1 (5)</v>
      </c>
      <c r="BX64" s="16">
        <f t="shared" ca="1" si="161"/>
        <v>1</v>
      </c>
      <c r="BY64" s="16">
        <f t="shared" ca="1" si="162"/>
        <v>2</v>
      </c>
      <c r="BZ64" s="16" t="str">
        <f t="shared" ca="1" si="163"/>
        <v>Pos. 2 (3)</v>
      </c>
      <c r="CA64" s="16">
        <f t="shared" ca="1" si="164"/>
        <v>11</v>
      </c>
      <c r="CB64" s="16">
        <f t="shared" ca="1" si="165"/>
        <v>2</v>
      </c>
      <c r="CC64" s="16"/>
      <c r="CD64" s="16">
        <f t="shared" ca="1" si="166"/>
        <v>2</v>
      </c>
      <c r="CE64" s="16">
        <f t="shared" ca="1" si="167"/>
        <v>1</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Bosnia y Herzegovina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5</v>
      </c>
      <c r="BN65" s="16">
        <f t="shared" ca="1" si="153"/>
        <v>5</v>
      </c>
      <c r="BO65" s="16" t="str">
        <f t="shared" si="154"/>
        <v>4H</v>
      </c>
      <c r="BP65" s="16"/>
      <c r="BQ65" s="16"/>
      <c r="BR65" s="16">
        <f t="shared" ca="1" si="155"/>
        <v>1</v>
      </c>
      <c r="BS65" s="16">
        <f t="shared" ca="1" si="156"/>
        <v>1</v>
      </c>
      <c r="BT65" s="16" t="str">
        <f t="shared" ca="1" si="157"/>
        <v>Pos. 1 (7)</v>
      </c>
      <c r="BU65" s="16">
        <f t="shared" ca="1" si="158"/>
        <v>0</v>
      </c>
      <c r="BV65" s="16">
        <f t="shared" ca="1" si="159"/>
        <v>1</v>
      </c>
      <c r="BW65" s="16" t="str">
        <f t="shared" ca="1" si="160"/>
        <v>Pos. 1 (5)</v>
      </c>
      <c r="BX65" s="16">
        <f t="shared" ca="1" si="161"/>
        <v>0</v>
      </c>
      <c r="BY65" s="16">
        <f t="shared" ca="1" si="162"/>
        <v>5</v>
      </c>
      <c r="BZ65" s="16" t="str">
        <f t="shared" ca="1" si="163"/>
        <v>-</v>
      </c>
      <c r="CA65" s="16" t="str">
        <f t="shared" ca="1" si="164"/>
        <v>-</v>
      </c>
      <c r="CB65" s="16">
        <f t="shared" ca="1" si="165"/>
        <v>5</v>
      </c>
      <c r="CC65" s="16"/>
      <c r="CD65" s="16">
        <f t="shared" ca="1" si="166"/>
        <v>5</v>
      </c>
      <c r="CE65" s="16" t="str">
        <f t="shared" ca="1" si="167"/>
        <v>-</v>
      </c>
      <c r="CF65" s="16">
        <f t="shared" ca="1" si="168"/>
        <v>5</v>
      </c>
      <c r="DJ65" s="16">
        <f t="shared" ca="1" si="169"/>
        <v>8</v>
      </c>
      <c r="DK65" s="16"/>
      <c r="DL65" s="16">
        <f t="shared" ca="1" si="170"/>
        <v>1</v>
      </c>
      <c r="DM65" s="16" t="str">
        <f t="shared" ca="1" si="171"/>
        <v>8.1</v>
      </c>
      <c r="DN65" s="16">
        <f t="array" aca="1" ref="DN65" ca="1">OFFSET(Horarios!$P$3,DJ65-1,0,DL65,1)</f>
        <v>8</v>
      </c>
      <c r="DO65" s="16"/>
      <c r="DP65" s="16">
        <v>8</v>
      </c>
      <c r="DQ65" s="16" t="str">
        <f t="shared" ca="1" si="172"/>
        <v>Ecuador</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11</v>
      </c>
      <c r="BN66" s="16">
        <f t="shared" ca="1" si="153"/>
        <v>11</v>
      </c>
      <c r="BO66" s="16" t="str">
        <f t="shared" si="154"/>
        <v>4I</v>
      </c>
      <c r="BP66" s="16"/>
      <c r="BQ66" s="16"/>
      <c r="BR66" s="16">
        <f t="shared" ca="1" si="155"/>
        <v>0</v>
      </c>
      <c r="BS66" s="16">
        <f t="shared" ca="1" si="156"/>
        <v>8</v>
      </c>
      <c r="BT66" s="16" t="str">
        <f t="shared" ca="1" si="157"/>
        <v>Pos. 8 (5)</v>
      </c>
      <c r="BU66" s="16">
        <f t="shared" ca="1" si="158"/>
        <v>-2</v>
      </c>
      <c r="BV66" s="16">
        <f t="shared" ca="1" si="159"/>
        <v>10</v>
      </c>
      <c r="BW66" s="16" t="str">
        <f t="shared" ca="1" si="160"/>
        <v>Pos. 10 (3)</v>
      </c>
      <c r="BX66" s="16">
        <f t="shared" ca="1" si="161"/>
        <v>1</v>
      </c>
      <c r="BY66" s="16">
        <f t="shared" ca="1" si="162"/>
        <v>10</v>
      </c>
      <c r="BZ66" s="16" t="str">
        <f t="shared" ca="1" si="163"/>
        <v>Pos. 10 (2)</v>
      </c>
      <c r="CA66" s="16">
        <f t="shared" ca="1" si="164"/>
        <v>1</v>
      </c>
      <c r="CB66" s="16">
        <f t="shared" ca="1" si="165"/>
        <v>11</v>
      </c>
      <c r="CC66" s="16"/>
      <c r="CD66" s="16">
        <f t="shared" ca="1" si="166"/>
        <v>11</v>
      </c>
      <c r="CE66" s="16">
        <f t="shared" ca="1" si="167"/>
        <v>10</v>
      </c>
      <c r="CF66" s="16">
        <f t="shared" ca="1" si="168"/>
        <v>11</v>
      </c>
      <c r="DJ66" s="16">
        <f t="shared" ca="1" si="169"/>
        <v>8</v>
      </c>
      <c r="DK66" s="16"/>
      <c r="DL66" s="16">
        <f t="shared" ca="1" si="170"/>
        <v>1</v>
      </c>
      <c r="DM66" s="16" t="str">
        <f t="shared" ca="1" si="171"/>
        <v>8.1</v>
      </c>
      <c r="DN66" s="16">
        <f t="array" aca="1" ref="DN66" ca="1">OFFSET(Horarios!$P$3,DJ66-1,0,DL66,1)</f>
        <v>8</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10</v>
      </c>
      <c r="BN67" s="16">
        <f t="shared" ca="1" si="153"/>
        <v>10</v>
      </c>
      <c r="BO67" s="16" t="str">
        <f t="shared" si="154"/>
        <v>4J</v>
      </c>
      <c r="BP67" s="16"/>
      <c r="BQ67" s="16"/>
      <c r="BR67" s="16">
        <f t="shared" ca="1" si="155"/>
        <v>0</v>
      </c>
      <c r="BS67" s="16">
        <f t="shared" ca="1" si="156"/>
        <v>8</v>
      </c>
      <c r="BT67" s="16" t="str">
        <f t="shared" ca="1" si="157"/>
        <v>Pos. 8 (5)</v>
      </c>
      <c r="BU67" s="16">
        <f t="shared" ca="1" si="158"/>
        <v>-2</v>
      </c>
      <c r="BV67" s="16">
        <f t="shared" ca="1" si="159"/>
        <v>10</v>
      </c>
      <c r="BW67" s="16" t="str">
        <f t="shared" ca="1" si="160"/>
        <v>Pos. 10 (3)</v>
      </c>
      <c r="BX67" s="16">
        <f t="shared" ca="1" si="161"/>
        <v>1</v>
      </c>
      <c r="BY67" s="16">
        <f t="shared" ca="1" si="162"/>
        <v>10</v>
      </c>
      <c r="BZ67" s="16" t="str">
        <f t="shared" ca="1" si="163"/>
        <v>Pos. 10 (2)</v>
      </c>
      <c r="CA67" s="16">
        <f t="shared" ca="1" si="164"/>
        <v>5</v>
      </c>
      <c r="CB67" s="16">
        <f t="shared" ca="1" si="165"/>
        <v>10</v>
      </c>
      <c r="CC67" s="16"/>
      <c r="CD67" s="16">
        <f t="shared" ca="1" si="166"/>
        <v>10</v>
      </c>
      <c r="CE67" s="16">
        <f t="shared" ca="1" si="167"/>
        <v>9</v>
      </c>
      <c r="CF67" s="16">
        <f t="shared" ca="1" si="168"/>
        <v>10</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Jordania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4</v>
      </c>
      <c r="BN68" s="16">
        <f t="shared" ca="1" si="153"/>
        <v>4</v>
      </c>
      <c r="BO68" s="16" t="str">
        <f t="shared" si="154"/>
        <v>4K</v>
      </c>
      <c r="BP68" s="16"/>
      <c r="BQ68" s="16"/>
      <c r="BR68" s="16">
        <f t="shared" ca="1" si="155"/>
        <v>1</v>
      </c>
      <c r="BS68" s="16">
        <f t="shared" ca="1" si="156"/>
        <v>1</v>
      </c>
      <c r="BT68" s="16" t="str">
        <f t="shared" ca="1" si="157"/>
        <v>Pos. 1 (7)</v>
      </c>
      <c r="BU68" s="16">
        <f t="shared" ca="1" si="158"/>
        <v>0</v>
      </c>
      <c r="BV68" s="16">
        <f t="shared" ca="1" si="159"/>
        <v>1</v>
      </c>
      <c r="BW68" s="16" t="str">
        <f t="shared" ca="1" si="160"/>
        <v>Pos. 1 (5)</v>
      </c>
      <c r="BX68" s="16">
        <f t="shared" ca="1" si="161"/>
        <v>1</v>
      </c>
      <c r="BY68" s="16">
        <f t="shared" ca="1" si="162"/>
        <v>2</v>
      </c>
      <c r="BZ68" s="16" t="str">
        <f t="shared" ca="1" si="163"/>
        <v>Pos. 2 (3)</v>
      </c>
      <c r="CA68" s="16">
        <f t="shared" ca="1" si="164"/>
        <v>3</v>
      </c>
      <c r="CB68" s="16">
        <f t="shared" ca="1" si="165"/>
        <v>4</v>
      </c>
      <c r="CC68" s="16"/>
      <c r="CD68" s="16">
        <f t="shared" ca="1" si="166"/>
        <v>4</v>
      </c>
      <c r="CE68" s="16">
        <f t="shared" ca="1" si="167"/>
        <v>3</v>
      </c>
      <c r="CF68" s="16">
        <f t="shared" ca="1" si="168"/>
        <v>4</v>
      </c>
      <c r="DJ68" s="16">
        <f t="shared" ca="1" si="169"/>
        <v>10</v>
      </c>
      <c r="DK68" s="16"/>
      <c r="DL68" s="16">
        <f t="shared" ca="1" si="170"/>
        <v>1</v>
      </c>
      <c r="DM68" s="16" t="str">
        <f t="shared" ca="1" si="171"/>
        <v>10.1</v>
      </c>
      <c r="DN68" s="16">
        <f t="array" aca="1" ref="DN68" ca="1">OFFSET(Horarios!$P$3,DJ68-1,0,DL68,1)</f>
        <v>10</v>
      </c>
      <c r="DO68" s="16"/>
      <c r="DP68" s="16">
        <v>11</v>
      </c>
      <c r="DQ68" s="16" t="str">
        <f t="shared" ca="1" si="172"/>
        <v>Senegal</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9</v>
      </c>
      <c r="BN69" s="16">
        <f t="shared" ca="1" si="153"/>
        <v>9</v>
      </c>
      <c r="BO69" s="16" t="str">
        <f t="shared" si="154"/>
        <v>4L</v>
      </c>
      <c r="BP69" s="16"/>
      <c r="BQ69" s="16"/>
      <c r="BR69" s="16">
        <f t="shared" ca="1" si="155"/>
        <v>0</v>
      </c>
      <c r="BS69" s="16">
        <f t="shared" ca="1" si="156"/>
        <v>8</v>
      </c>
      <c r="BT69" s="16" t="str">
        <f t="shared" ca="1" si="157"/>
        <v>Pos. 8 (5)</v>
      </c>
      <c r="BU69" s="16">
        <f t="shared" ca="1" si="158"/>
        <v>-1</v>
      </c>
      <c r="BV69" s="16">
        <f t="shared" ca="1" si="159"/>
        <v>8</v>
      </c>
      <c r="BW69" s="16" t="str">
        <f t="shared" ca="1" si="160"/>
        <v>Pos. 8 (2)</v>
      </c>
      <c r="BX69" s="16">
        <f t="shared" ca="1" si="161"/>
        <v>0</v>
      </c>
      <c r="BY69" s="16">
        <f t="shared" ca="1" si="162"/>
        <v>8</v>
      </c>
      <c r="BZ69" s="16" t="str">
        <f t="shared" ca="1" si="163"/>
        <v>Pos. 8 (2)</v>
      </c>
      <c r="CA69" s="16">
        <f t="shared" ca="1" si="164"/>
        <v>4</v>
      </c>
      <c r="CB69" s="16">
        <f t="shared" ca="1" si="165"/>
        <v>9</v>
      </c>
      <c r="CC69" s="16"/>
      <c r="CD69" s="16">
        <f t="shared" ca="1" si="166"/>
        <v>9</v>
      </c>
      <c r="CE69" s="16">
        <f t="shared" ca="1" si="167"/>
        <v>8</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Turquía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ABCEFGHK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Japón</v>
      </c>
      <c r="AM102" s="575">
        <f t="shared" ref="AM102:AT113" ca="1" si="269">+IF($H$113&gt;=48,INDEX($BE$58:$BN$69,MATCH($AL102,$BD$58:$BD$69,0),MATCH(AM$5,$BE$57:$BN$57,0)),$BB58)</f>
        <v>1</v>
      </c>
      <c r="AN102" s="82">
        <f t="shared" ca="1" si="269"/>
        <v>1</v>
      </c>
      <c r="AO102" s="82">
        <f t="shared" ca="1" si="269"/>
        <v>0</v>
      </c>
      <c r="AP102" s="82">
        <f t="shared" ca="1" si="269"/>
        <v>1</v>
      </c>
      <c r="AQ102" s="83">
        <f t="shared" ca="1" si="269"/>
        <v>0</v>
      </c>
      <c r="AR102" s="83">
        <f t="shared" ca="1" si="269"/>
        <v>2</v>
      </c>
      <c r="AS102" s="83">
        <f t="shared" ca="1" si="269"/>
        <v>2</v>
      </c>
      <c r="AT102" s="84">
        <f t="shared" ca="1" si="269"/>
        <v>0</v>
      </c>
      <c r="AU102" s="323" t="str">
        <f t="shared" ref="AU102:AU113" ca="1" si="270">IF($H$113=144,INDEX($DL$58:$DL$69,MATCH(AI102,$DP$58:$DP$69,0)),"")</f>
        <v/>
      </c>
      <c r="AV102" s="182" t="str">
        <f t="shared" ref="AV102:AV113" ca="1" si="271">INDEX($BD$58:$BD$69,MATCH(AI102,$BM$58:$BM$69,0))</f>
        <v>Japón</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6</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Bélgica</v>
      </c>
      <c r="AM103" s="576">
        <f t="shared" ca="1" si="269"/>
        <v>1</v>
      </c>
      <c r="AN103" s="86">
        <f t="shared" ca="1" si="269"/>
        <v>1</v>
      </c>
      <c r="AO103" s="86">
        <f t="shared" ca="1" si="269"/>
        <v>0</v>
      </c>
      <c r="AP103" s="86">
        <f t="shared" ca="1" si="269"/>
        <v>1</v>
      </c>
      <c r="AQ103" s="86">
        <f t="shared" ca="1" si="269"/>
        <v>0</v>
      </c>
      <c r="AR103" s="86">
        <f t="shared" ca="1" si="269"/>
        <v>1</v>
      </c>
      <c r="AS103" s="86">
        <f t="shared" ca="1" si="269"/>
        <v>1</v>
      </c>
      <c r="AT103" s="87">
        <f t="shared" ca="1" si="269"/>
        <v>0</v>
      </c>
      <c r="AU103" s="323" t="str">
        <f t="shared" ca="1" si="270"/>
        <v/>
      </c>
      <c r="AV103" s="182" t="str">
        <f t="shared" ca="1" si="271"/>
        <v>Bélgica</v>
      </c>
      <c r="AW103" s="215"/>
      <c r="AX103" s="170"/>
      <c r="AY103" s="270"/>
      <c r="AZ103" s="273" t="str">
        <f t="shared" ref="AZ103:AZ110" ca="1" si="272">+IF(OR($H$113&gt;=48,$AJ$99=144),BF117&amp;" - "&amp;BG117,"")</f>
        <v>1A - 3H</v>
      </c>
      <c r="BA103" s="176"/>
      <c r="BF103" t="str">
        <f t="shared" ref="BF103:BF110" ca="1" si="273">IFERROR(INDEX($BC$6:$BC$53,MATCH(AL102,$BD$6:$BD$53,0)),"")</f>
        <v>F</v>
      </c>
      <c r="BG103">
        <f t="shared" ref="BG103:BG110" ca="1" si="274">COUNTIF($BF$103:$BF$110,"&lt;="&amp;BF103)</f>
        <v>5</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6</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Brasil</v>
      </c>
      <c r="AM104" s="576">
        <f t="shared" ca="1" si="269"/>
        <v>1</v>
      </c>
      <c r="AN104" s="86">
        <f t="shared" ca="1" si="269"/>
        <v>1</v>
      </c>
      <c r="AO104" s="86">
        <f t="shared" ca="1" si="269"/>
        <v>0</v>
      </c>
      <c r="AP104" s="86">
        <f t="shared" ca="1" si="269"/>
        <v>1</v>
      </c>
      <c r="AQ104" s="86">
        <f t="shared" ca="1" si="269"/>
        <v>0</v>
      </c>
      <c r="AR104" s="86">
        <f t="shared" ca="1" si="269"/>
        <v>1</v>
      </c>
      <c r="AS104" s="86">
        <f t="shared" ca="1" si="269"/>
        <v>1</v>
      </c>
      <c r="AT104" s="87">
        <f t="shared" ca="1" si="269"/>
        <v>0</v>
      </c>
      <c r="AU104" s="323" t="str">
        <f t="shared" ca="1" si="270"/>
        <v/>
      </c>
      <c r="AV104" s="182" t="str">
        <f t="shared" ca="1" si="271"/>
        <v>Brasil</v>
      </c>
      <c r="AW104" s="215"/>
      <c r="AX104" s="170"/>
      <c r="AY104" s="270"/>
      <c r="AZ104" s="273" t="str">
        <f t="shared" ca="1" si="272"/>
        <v>1B - 3G</v>
      </c>
      <c r="BA104" s="176"/>
      <c r="BF104" t="str">
        <f t="shared" ca="1" si="273"/>
        <v>G</v>
      </c>
      <c r="BG104">
        <f t="shared" ca="1" si="274"/>
        <v>6</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RD Congo</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RD Congo</v>
      </c>
      <c r="AW105" s="215"/>
      <c r="AX105" s="170"/>
      <c r="AY105" s="270"/>
      <c r="AZ105" s="273" t="str">
        <f t="shared" ca="1" si="272"/>
        <v>1D - 3B</v>
      </c>
      <c r="BA105" s="176"/>
      <c r="BF105" t="str">
        <f t="shared" ca="1" si="273"/>
        <v>C</v>
      </c>
      <c r="BG105">
        <f t="shared" ca="1" si="274"/>
        <v>3</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España</v>
      </c>
      <c r="AM106" s="576">
        <f t="shared" ca="1" si="269"/>
        <v>1</v>
      </c>
      <c r="AN106" s="86">
        <f t="shared" ca="1" si="269"/>
        <v>1</v>
      </c>
      <c r="AO106" s="86">
        <f t="shared" ca="1" si="269"/>
        <v>0</v>
      </c>
      <c r="AP106" s="86">
        <f t="shared" ca="1" si="269"/>
        <v>1</v>
      </c>
      <c r="AQ106" s="86">
        <f t="shared" ca="1" si="269"/>
        <v>0</v>
      </c>
      <c r="AR106" s="86">
        <f t="shared" ca="1" si="269"/>
        <v>0</v>
      </c>
      <c r="AS106" s="86">
        <f t="shared" ca="1" si="269"/>
        <v>0</v>
      </c>
      <c r="AT106" s="87">
        <f t="shared" ca="1" si="269"/>
        <v>0</v>
      </c>
      <c r="AU106" s="323" t="str">
        <f t="shared" ca="1" si="270"/>
        <v/>
      </c>
      <c r="AV106" s="182" t="str">
        <f t="shared" ca="1" si="271"/>
        <v>España</v>
      </c>
      <c r="AW106" s="215"/>
      <c r="AX106" s="170"/>
      <c r="AY106" s="270"/>
      <c r="AZ106" s="273" t="str">
        <f t="shared" ca="1" si="272"/>
        <v>1E - 3C</v>
      </c>
      <c r="BA106" s="176"/>
      <c r="BF106" t="str">
        <f t="shared" ca="1" si="273"/>
        <v>K</v>
      </c>
      <c r="BG106">
        <f t="shared" ca="1" si="274"/>
        <v>8</v>
      </c>
      <c r="BI106">
        <v>4</v>
      </c>
      <c r="BJ106" t="str">
        <f t="shared" ca="1" si="275"/>
        <v>E</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República Checa</v>
      </c>
      <c r="AM107" s="576">
        <f t="shared" ca="1" si="269"/>
        <v>1</v>
      </c>
      <c r="AN107" s="86">
        <f t="shared" ca="1" si="269"/>
        <v>2</v>
      </c>
      <c r="AO107" s="86">
        <f t="shared" ca="1" si="269"/>
        <v>0</v>
      </c>
      <c r="AP107" s="86">
        <f t="shared" ca="1" si="269"/>
        <v>1</v>
      </c>
      <c r="AQ107" s="86">
        <f t="shared" ca="1" si="269"/>
        <v>1</v>
      </c>
      <c r="AR107" s="86">
        <f t="shared" ca="1" si="269"/>
        <v>2</v>
      </c>
      <c r="AS107" s="86">
        <f t="shared" ca="1" si="269"/>
        <v>3</v>
      </c>
      <c r="AT107" s="87">
        <f t="shared" ca="1" si="269"/>
        <v>-1</v>
      </c>
      <c r="AU107" s="323" t="str">
        <f t="shared" ca="1" si="270"/>
        <v/>
      </c>
      <c r="AV107" s="182" t="str">
        <f t="shared" ca="1" si="271"/>
        <v>República Checa</v>
      </c>
      <c r="AW107" s="215"/>
      <c r="AX107" s="170"/>
      <c r="AY107" s="270"/>
      <c r="AZ107" s="273" t="str">
        <f t="shared" ca="1" si="272"/>
        <v>1G - 3A</v>
      </c>
      <c r="BA107" s="176"/>
      <c r="BF107" t="str">
        <f t="shared" ca="1" si="273"/>
        <v>H</v>
      </c>
      <c r="BG107">
        <f t="shared" ca="1" si="274"/>
        <v>7</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Bosnia y Herzegovina</v>
      </c>
      <c r="AM108" s="576">
        <f t="shared" ca="1" si="269"/>
        <v>1</v>
      </c>
      <c r="AN108" s="86">
        <f t="shared" ca="1" si="269"/>
        <v>2</v>
      </c>
      <c r="AO108" s="86">
        <f t="shared" ca="1" si="269"/>
        <v>0</v>
      </c>
      <c r="AP108" s="86">
        <f t="shared" ca="1" si="269"/>
        <v>1</v>
      </c>
      <c r="AQ108" s="86">
        <f t="shared" ca="1" si="269"/>
        <v>1</v>
      </c>
      <c r="AR108" s="86">
        <f t="shared" ca="1" si="269"/>
        <v>2</v>
      </c>
      <c r="AS108" s="86">
        <f t="shared" ca="1" si="269"/>
        <v>5</v>
      </c>
      <c r="AT108" s="87">
        <f t="shared" ca="1" si="269"/>
        <v>-3</v>
      </c>
      <c r="AU108" s="323" t="str">
        <f t="shared" ca="1" si="270"/>
        <v/>
      </c>
      <c r="AV108" s="182" t="str">
        <f t="shared" ca="1" si="271"/>
        <v>Bosnia y Herzegovina</v>
      </c>
      <c r="AW108" s="215"/>
      <c r="AX108" s="170"/>
      <c r="AY108" s="270"/>
      <c r="AZ108" s="273" t="str">
        <f t="shared" ca="1" si="272"/>
        <v>1I - 3F</v>
      </c>
      <c r="BA108" s="176"/>
      <c r="BF108" t="str">
        <f t="shared" ca="1" si="273"/>
        <v>A</v>
      </c>
      <c r="BG108">
        <f t="shared" ca="1" si="274"/>
        <v>1</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Ecuador</v>
      </c>
      <c r="AM109" s="576">
        <f t="shared" ca="1" si="269"/>
        <v>0</v>
      </c>
      <c r="AN109" s="86">
        <f t="shared" ca="1" si="269"/>
        <v>1</v>
      </c>
      <c r="AO109" s="86">
        <f t="shared" ca="1" si="269"/>
        <v>0</v>
      </c>
      <c r="AP109" s="86">
        <f t="shared" ca="1" si="269"/>
        <v>0</v>
      </c>
      <c r="AQ109" s="86">
        <f t="shared" ca="1" si="269"/>
        <v>1</v>
      </c>
      <c r="AR109" s="86">
        <f t="shared" ca="1" si="269"/>
        <v>0</v>
      </c>
      <c r="AS109" s="86">
        <f t="shared" ca="1" si="269"/>
        <v>1</v>
      </c>
      <c r="AT109" s="87">
        <f t="shared" ca="1" si="269"/>
        <v>-1</v>
      </c>
      <c r="AU109" s="323" t="str">
        <f t="shared" ca="1" si="270"/>
        <v/>
      </c>
      <c r="AV109" s="182" t="str">
        <f t="shared" ca="1" si="271"/>
        <v>Ecuador</v>
      </c>
      <c r="AW109" s="215"/>
      <c r="AX109" s="170"/>
      <c r="AY109" s="270"/>
      <c r="AZ109" s="273" t="str">
        <f t="shared" ca="1" si="272"/>
        <v>1K - 3E</v>
      </c>
      <c r="BA109" s="176"/>
      <c r="BF109" t="str">
        <f t="shared" ca="1" si="273"/>
        <v>B</v>
      </c>
      <c r="BG109">
        <f t="shared" ca="1" si="274"/>
        <v>2</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Panamá</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Panamá</v>
      </c>
      <c r="AW110" s="215"/>
      <c r="AX110" s="170"/>
      <c r="AY110" s="270"/>
      <c r="AZ110" s="273" t="str">
        <f t="shared" ca="1" si="272"/>
        <v>1L - 3K</v>
      </c>
      <c r="BA110" s="176"/>
      <c r="BF110" t="str">
        <f t="shared" ca="1" si="273"/>
        <v>E</v>
      </c>
      <c r="BG110">
        <f t="shared" ca="1" si="274"/>
        <v>4</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Jordania</v>
      </c>
      <c r="AM111" s="576">
        <f t="shared" ca="1" si="269"/>
        <v>0</v>
      </c>
      <c r="AN111" s="86">
        <f t="shared" ca="1" si="269"/>
        <v>1</v>
      </c>
      <c r="AO111" s="86">
        <f t="shared" ca="1" si="269"/>
        <v>0</v>
      </c>
      <c r="AP111" s="86">
        <f t="shared" ca="1" si="269"/>
        <v>0</v>
      </c>
      <c r="AQ111" s="86">
        <f t="shared" ca="1" si="269"/>
        <v>1</v>
      </c>
      <c r="AR111" s="86">
        <f t="shared" ca="1" si="269"/>
        <v>1</v>
      </c>
      <c r="AS111" s="86">
        <f t="shared" ca="1" si="269"/>
        <v>3</v>
      </c>
      <c r="AT111" s="87">
        <f t="shared" ca="1" si="269"/>
        <v>-2</v>
      </c>
      <c r="AU111" s="323" t="str">
        <f t="shared" ca="1" si="270"/>
        <v/>
      </c>
      <c r="AV111" s="182" t="str">
        <f t="shared" ca="1" si="271"/>
        <v>Jordania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Senegal</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Senegal</v>
      </c>
      <c r="AW112" s="215"/>
      <c r="AX112" s="170"/>
      <c r="AY112" s="269"/>
      <c r="AZ112" s="269"/>
      <c r="BA112" s="176"/>
      <c r="BI112" t="str">
        <f ca="1">IFERROR(CONCATENATE(BJ103,BJ104,BJ105,BJ106,BJ107,BJ108,BJ109,BJ110),"¿A/B/C/D/E/F/G/H/I/J/K/L?")</f>
        <v>ABCEFGHK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60</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Turquía</v>
      </c>
      <c r="AM113" s="577">
        <f t="shared" ca="1" si="269"/>
        <v>0</v>
      </c>
      <c r="AN113" s="47">
        <f t="shared" ca="1" si="269"/>
        <v>1</v>
      </c>
      <c r="AO113" s="47">
        <f t="shared" ca="1" si="269"/>
        <v>0</v>
      </c>
      <c r="AP113" s="47">
        <f t="shared" ca="1" si="269"/>
        <v>0</v>
      </c>
      <c r="AQ113" s="47">
        <f t="shared" ca="1" si="269"/>
        <v>1</v>
      </c>
      <c r="AR113" s="47">
        <f t="shared" ca="1" si="269"/>
        <v>0</v>
      </c>
      <c r="AS113" s="47">
        <f t="shared" ca="1" si="269"/>
        <v>2</v>
      </c>
      <c r="AT113" s="48">
        <f t="shared" ca="1" si="269"/>
        <v>-2</v>
      </c>
      <c r="AU113" s="323" t="str">
        <f t="shared" ca="1" si="270"/>
        <v/>
      </c>
      <c r="AV113" s="182" t="str">
        <f t="shared" ca="1" si="271"/>
        <v>Turquía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3E</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4</v>
      </c>
      <c r="J20" s="438">
        <f ca="1">+INDEX(WORLDCUP!$AT$6:$AT$97,MATCH(L20,WORLDCUP!$AI$6:$AI$97,0))</f>
        <v>1</v>
      </c>
      <c r="K20" s="439" t="str">
        <f ca="1">+INDEX(WORLDCUP!$AR$6:$AR$97,MATCH(L20,WORLDCUP!$AI$6:$AI$97,0))&amp;"-"&amp;INDEX(WORLDCUP!$AS$6:$AS$97,MATCH(L20,WORLDCUP!$AI$6:$AI$97,0))</f>
        <v>2-1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Esc</v>
      </c>
      <c r="I21" s="38">
        <f ca="1">+INDEX(WORLDCUP!$AM$6:$AM$97,MATCH(L21,WORLDCUP!$AI$6:$AI$97,0))</f>
        <v>3</v>
      </c>
      <c r="J21" s="39">
        <f ca="1">+INDEX(WORLDCUP!$AT$6:$AT$97,MATCH(L21,WORLDCUP!$AI$6:$AI$97,0))</f>
        <v>0</v>
      </c>
      <c r="K21" s="43" t="str">
        <f ca="1">+INDEX(WORLDCUP!$AR$6:$AR$97,MATCH(L21,WORLDCUP!$AI$6:$AI$97,0))&amp;"-"&amp;INDEX(WORLDCUP!$AS$6:$AS$97,MATCH(L21,WORLDCUP!$AI$6:$AI$97,0))</f>
        <v>1-1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Bra</v>
      </c>
      <c r="I22" s="38">
        <f ca="1">+INDEX(WORLDCUP!$AM$6:$AM$97,MATCH(L22,WORLDCUP!$AI$6:$AI$97,0))</f>
        <v>1</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v>
      </c>
      <c r="K23" s="467" t="str">
        <f ca="1">+INDEX(WORLDCUP!$AR$6:$AR$97,MATCH(L23,WORLDCUP!$AI$6:$AI$97,0))&amp;"-"&amp;INDEX(WORLDCUP!$AS$6:$AS$97,MATCH(L23,WORLDCUP!$AI$6:$AI$97,0))</f>
        <v>0-1</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Tur</v>
      </c>
      <c r="I30" s="38">
        <f ca="1">+INDEX(WORLDCUP!$AM$6:$AM$97,MATCH(L30,WORLDCUP!$AI$6:$AI$97,0))</f>
        <v>0</v>
      </c>
      <c r="J30" s="39">
        <f ca="1">+INDEX(WORLDCUP!$AT$6:$AT$97,MATCH(L30,WORLDCUP!$AI$6:$AI$97,0))</f>
        <v>-2</v>
      </c>
      <c r="K30" s="43" t="str">
        <f ca="1">+INDEX(WORLDCUP!$AR$6:$AR$97,MATCH(L30,WORLDCUP!$AI$6:$AI$97,0))&amp;"-"&amp;INDEX(WORLDCUP!$AS$6:$AS$97,MATCH(L30,WORLDCUP!$AI$6:$AI$97,0))</f>
        <v>0-2</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Par</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Turquía</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Turquía</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Turquía</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Turquía</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Turquía</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Turquía</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Turquía</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Turquía</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Brasil</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Brasil</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Brasil</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Brasil</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Brasil</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Brasil</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Brasil</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Brasil</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Brasil</v>
      </c>
      <c r="G19" s="9" t="str">
        <f ca="1">+WORLDCUP!BD67</f>
        <v>Jordania</v>
      </c>
      <c r="H19" s="9" t="str">
        <f ca="1">+WORLDCUP!BD61</f>
        <v>Turquía</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Brasil</v>
      </c>
      <c r="D20" s="9" t="str">
        <f ca="1">+WORLDCUP!BD67</f>
        <v>Jordania</v>
      </c>
      <c r="E20" s="9" t="str">
        <f ca="1">+WORLDCUP!BD66</f>
        <v>Senegal</v>
      </c>
      <c r="F20" s="9" t="str">
        <f ca="1">+WORLDCUP!BD61</f>
        <v>Turquía</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Brasil</v>
      </c>
      <c r="D21" s="9" t="str">
        <f ca="1">+WORLDCUP!BD64</f>
        <v>Bélgica</v>
      </c>
      <c r="E21" s="9" t="str">
        <f ca="1">+WORLDCUP!BD66</f>
        <v>Senegal</v>
      </c>
      <c r="F21" s="9" t="str">
        <f ca="1">+WORLDCUP!BD61</f>
        <v>Turquía</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Brasil</v>
      </c>
      <c r="D22" s="9" t="str">
        <f ca="1">+WORLDCUP!BD64</f>
        <v>Bélgica</v>
      </c>
      <c r="E22" s="9" t="str">
        <f ca="1">+WORLDCUP!BD67</f>
        <v>Jordania</v>
      </c>
      <c r="F22" s="9" t="str">
        <f ca="1">+WORLDCUP!BD61</f>
        <v>Turquía</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Brasil</v>
      </c>
      <c r="D23" s="9" t="str">
        <f ca="1">+WORLDCUP!BD64</f>
        <v>Bélgica</v>
      </c>
      <c r="E23" s="9" t="str">
        <f ca="1">+WORLDCUP!BD66</f>
        <v>Senegal</v>
      </c>
      <c r="F23" s="9" t="str">
        <f ca="1">+WORLDCUP!BD61</f>
        <v>Turquía</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Brasil</v>
      </c>
      <c r="D24" s="9" t="str">
        <f ca="1">+WORLDCUP!BD64</f>
        <v>Bélgica</v>
      </c>
      <c r="E24" s="9" t="str">
        <f ca="1">+WORLDCUP!BD67</f>
        <v>Jordania</v>
      </c>
      <c r="F24" s="9" t="str">
        <f ca="1">+WORLDCUP!BD61</f>
        <v>Turquía</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Brasil</v>
      </c>
      <c r="D25" s="9" t="str">
        <f ca="1">+WORLDCUP!BD64</f>
        <v>Bélgica</v>
      </c>
      <c r="E25" s="9" t="str">
        <f ca="1">+WORLDCUP!BD67</f>
        <v>Jordania</v>
      </c>
      <c r="F25" s="9" t="str">
        <f ca="1">+WORLDCUP!BD61</f>
        <v>Turquía</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Brasil</v>
      </c>
      <c r="G26" s="9" t="str">
        <f ca="1">+WORLDCUP!BD65</f>
        <v>España</v>
      </c>
      <c r="H26" s="9" t="str">
        <f ca="1">+WORLDCUP!BD61</f>
        <v>Turquía</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Brasil</v>
      </c>
      <c r="G27" s="9" t="str">
        <f ca="1">+WORLDCUP!BD67</f>
        <v>Jordania</v>
      </c>
      <c r="H27" s="9" t="str">
        <f ca="1">+WORLDCUP!BD61</f>
        <v>Turquía</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Brasil</v>
      </c>
      <c r="G28" s="9" t="str">
        <f ca="1">+WORLDCUP!BD65</f>
        <v>España</v>
      </c>
      <c r="H28" s="9" t="str">
        <f ca="1">+WORLDCUP!BD61</f>
        <v>Turquía</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Brasil</v>
      </c>
      <c r="G29" s="9" t="str">
        <f ca="1">+WORLDCUP!BD65</f>
        <v>España</v>
      </c>
      <c r="H29" s="9" t="str">
        <f ca="1">+WORLDCUP!BD61</f>
        <v>Turquía</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Brasil</v>
      </c>
      <c r="G30" s="9" t="str">
        <f ca="1">+WORLDCUP!BD65</f>
        <v>España</v>
      </c>
      <c r="H30" s="9" t="str">
        <f ca="1">+WORLDCUP!BD61</f>
        <v>Turquía</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Brasil</v>
      </c>
      <c r="G31" s="9" t="str">
        <f ca="1">+WORLDCUP!BD65</f>
        <v>España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Brasil</v>
      </c>
      <c r="D32" s="9" t="str">
        <f ca="1">+WORLDCUP!BD67</f>
        <v>Jordania</v>
      </c>
      <c r="E32" s="9" t="str">
        <f ca="1">+WORLDCUP!BD62</f>
        <v>Ecuador</v>
      </c>
      <c r="F32" s="9" t="str">
        <f ca="1">+WORLDCUP!BD61</f>
        <v>Turquía</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Brasil</v>
      </c>
      <c r="D33" s="9" t="str">
        <f ca="1">+WORLDCUP!BD67</f>
        <v>Jordania</v>
      </c>
      <c r="E33" s="9" t="str">
        <f ca="1">+WORLDCUP!BD62</f>
        <v>Ecuador</v>
      </c>
      <c r="F33" s="9" t="str">
        <f ca="1">+WORLDCUP!BD61</f>
        <v>Turquía</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Brasil</v>
      </c>
      <c r="D34" s="9" t="str">
        <f ca="1">+WORLDCUP!BD62</f>
        <v>Ecuador</v>
      </c>
      <c r="E34" s="9" t="str">
        <f ca="1">+WORLDCUP!BD66</f>
        <v>Senegal</v>
      </c>
      <c r="F34" s="9" t="str">
        <f ca="1">+WORLDCUP!BD61</f>
        <v>Turquía</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Brasil</v>
      </c>
      <c r="D35" s="9" t="str">
        <f ca="1">+WORLDCUP!BD67</f>
        <v>Jordania</v>
      </c>
      <c r="E35" s="9" t="str">
        <f ca="1">+WORLDCUP!BD62</f>
        <v>Ecuador</v>
      </c>
      <c r="F35" s="9" t="str">
        <f ca="1">+WORLDCUP!BD61</f>
        <v>Turquía</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Brasil</v>
      </c>
      <c r="D36" s="9" t="str">
        <f ca="1">+WORLDCUP!BD67</f>
        <v>Jordania</v>
      </c>
      <c r="E36" s="9" t="str">
        <f ca="1">+WORLDCUP!BD62</f>
        <v>Ecuador</v>
      </c>
      <c r="F36" s="9" t="str">
        <f ca="1">+WORLDCUP!BD61</f>
        <v>Turquía</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Brasil</v>
      </c>
      <c r="D37" s="9" t="str">
        <f ca="1">+WORLDCUP!BD64</f>
        <v>Bélgica</v>
      </c>
      <c r="E37" s="9" t="str">
        <f ca="1">+WORLDCUP!BD62</f>
        <v>Ecuador</v>
      </c>
      <c r="F37" s="9" t="str">
        <f ca="1">+WORLDCUP!BD61</f>
        <v>Turquía</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Brasil</v>
      </c>
      <c r="D38" s="9" t="str">
        <f ca="1">+WORLDCUP!BD64</f>
        <v>Bélgica</v>
      </c>
      <c r="E38" s="9" t="str">
        <f ca="1">+WORLDCUP!BD62</f>
        <v>Ecuador</v>
      </c>
      <c r="F38" s="9" t="str">
        <f ca="1">+WORLDCUP!BD61</f>
        <v>Turquía</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Brasil</v>
      </c>
      <c r="D39" s="9" t="str">
        <f ca="1">+WORLDCUP!BD64</f>
        <v>Bélgica</v>
      </c>
      <c r="E39" s="9" t="str">
        <f ca="1">+WORLDCUP!BD62</f>
        <v>Ecuador</v>
      </c>
      <c r="F39" s="9" t="str">
        <f ca="1">+WORLDCUP!BD61</f>
        <v>Turquía</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Brasil</v>
      </c>
      <c r="D40" s="9" t="str">
        <f ca="1">+WORLDCUP!BD64</f>
        <v>Bélgica</v>
      </c>
      <c r="E40" s="9" t="str">
        <f ca="1">+WORLDCUP!BD62</f>
        <v>Ecuador</v>
      </c>
      <c r="F40" s="9" t="str">
        <f ca="1">+WORLDCUP!BD61</f>
        <v>Turquía</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Brasil</v>
      </c>
      <c r="D41" s="9" t="str">
        <f ca="1">+WORLDCUP!BD64</f>
        <v>Bélgica</v>
      </c>
      <c r="E41" s="9" t="str">
        <f ca="1">+WORLDCUP!BD62</f>
        <v>Ecuador</v>
      </c>
      <c r="F41" s="9" t="str">
        <f ca="1">+WORLDCUP!BD61</f>
        <v>Turquía</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Brasil</v>
      </c>
      <c r="D42" s="9" t="str">
        <f ca="1">+WORLDCUP!BD64</f>
        <v>Bélgica</v>
      </c>
      <c r="E42" s="9" t="str">
        <f ca="1">+WORLDCUP!BD67</f>
        <v>Jordania</v>
      </c>
      <c r="F42" s="9" t="str">
        <f ca="1">+WORLDCUP!BD61</f>
        <v>Turquía</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Brasil</v>
      </c>
      <c r="D43" s="9" t="str">
        <f ca="1">+WORLDCUP!BD64</f>
        <v>Bélgica</v>
      </c>
      <c r="E43" s="9" t="str">
        <f ca="1">+WORLDCUP!BD67</f>
        <v>Jordania</v>
      </c>
      <c r="F43" s="9" t="str">
        <f ca="1">+WORLDCUP!BD61</f>
        <v>Turquía</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Brasil</v>
      </c>
      <c r="D44" s="9" t="str">
        <f ca="1">+WORLDCUP!BD64</f>
        <v>Bélgica</v>
      </c>
      <c r="E44" s="9" t="str">
        <f ca="1">+WORLDCUP!BD62</f>
        <v>Ecuador</v>
      </c>
      <c r="F44" s="9" t="str">
        <f ca="1">+WORLDCUP!BD61</f>
        <v>Turquía</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Brasil</v>
      </c>
      <c r="D45" s="9" t="str">
        <f ca="1">+WORLDCUP!BD64</f>
        <v>Bélgica</v>
      </c>
      <c r="E45" s="9" t="str">
        <f ca="1">+WORLDCUP!BD62</f>
        <v>Ecuador</v>
      </c>
      <c r="F45" s="9" t="str">
        <f ca="1">+WORLDCUP!BD61</f>
        <v>Turquía</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Brasil</v>
      </c>
      <c r="D46" s="9" t="str">
        <f ca="1">+WORLDCUP!BD64</f>
        <v>Bélgica</v>
      </c>
      <c r="E46" s="9" t="str">
        <f ca="1">+WORLDCUP!BD67</f>
        <v>Jordania</v>
      </c>
      <c r="F46" s="9" t="str">
        <f ca="1">+WORLDCUP!BD61</f>
        <v>Turquía</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Turquía</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Turquía</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Turquía</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Turquía</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Turquía</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Turquía</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Turquía</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Turquía</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Turquía</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Turquía</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Turquía</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Turquía</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Turquía</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Turquía</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Turquía</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Turquía</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Turquía</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Turquía</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Turquía</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Turquía</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Turquía</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Turquía</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Turquía</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Turquía</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Turquía</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Turquía</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Turquía</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Turquía</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Brasil</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Brasil</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Brasil</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Brasil</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Brasil</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Brasil</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Brasil</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Brasil</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Brasil</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Brasil</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Brasil</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Brasil</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Brasil</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Brasil</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Brasil</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Brasil</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Brasil</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Brasil</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Brasil</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Brasil</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Brasil</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Brasil</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Brasil</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Brasil</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Brasil</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Brasil</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Brasil</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Brasil</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Brasil</v>
      </c>
      <c r="G111" s="9" t="str">
        <f ca="1">+WORLDCUP!BD66</f>
        <v>Senegal</v>
      </c>
      <c r="H111" s="9" t="str">
        <f ca="1">+WORLDCUP!BD61</f>
        <v>Turquía</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Brasil</v>
      </c>
      <c r="G112" s="9" t="str">
        <f ca="1">+WORLDCUP!BD67</f>
        <v>Jordania</v>
      </c>
      <c r="H112" s="9" t="str">
        <f ca="1">+WORLDCUP!BD61</f>
        <v>Turquía</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Brasil</v>
      </c>
      <c r="G113" s="9" t="str">
        <f ca="1">+WORLDCUP!BD67</f>
        <v>Jordania</v>
      </c>
      <c r="H113" s="9" t="str">
        <f ca="1">+WORLDCUP!BD61</f>
        <v>Turquía</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Brasil</v>
      </c>
      <c r="G114" s="9" t="str">
        <f ca="1">+WORLDCUP!BD66</f>
        <v>Senegal</v>
      </c>
      <c r="H114" s="9" t="str">
        <f ca="1">+WORLDCUP!BD61</f>
        <v>Turquía</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Brasil</v>
      </c>
      <c r="G115" s="9" t="str">
        <f ca="1">+WORLDCUP!BD67</f>
        <v>Jordania</v>
      </c>
      <c r="H115" s="9" t="str">
        <f ca="1">+WORLDCUP!BD61</f>
        <v>Turquía</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Brasil</v>
      </c>
      <c r="G116" s="9" t="str">
        <f ca="1">+WORLDCUP!BD67</f>
        <v>Jordania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Brasil</v>
      </c>
      <c r="D117" s="9" t="str">
        <f ca="1">+WORLDCUP!BD67</f>
        <v>Jordania</v>
      </c>
      <c r="E117" s="9" t="str">
        <f ca="1">+WORLDCUP!BD59</f>
        <v>Bosnia y Herzegovina</v>
      </c>
      <c r="F117" s="9" t="str">
        <f ca="1">+WORLDCUP!BD61</f>
        <v>Turquía</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Brasil</v>
      </c>
      <c r="D118" s="9" t="str">
        <f ca="1">+WORLDCUP!BD67</f>
        <v>Jordania</v>
      </c>
      <c r="E118" s="9" t="str">
        <f ca="1">+WORLDCUP!BD59</f>
        <v>Bosnia y Herzegovina</v>
      </c>
      <c r="F118" s="9" t="str">
        <f ca="1">+WORLDCUP!BD61</f>
        <v>Turquía</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Brasil</v>
      </c>
      <c r="D119" s="9" t="str">
        <f ca="1">+WORLDCUP!BD66</f>
        <v>Senegal</v>
      </c>
      <c r="E119" s="9" t="str">
        <f ca="1">+WORLDCUP!BD59</f>
        <v>Bosnia y Herzegovina</v>
      </c>
      <c r="F119" s="9" t="str">
        <f ca="1">+WORLDCUP!BD61</f>
        <v>Turquía</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Brasil</v>
      </c>
      <c r="D120" s="9" t="str">
        <f ca="1">+WORLDCUP!BD67</f>
        <v>Jordania</v>
      </c>
      <c r="E120" s="9" t="str">
        <f ca="1">+WORLDCUP!BD59</f>
        <v>Bosnia y Herzegovina</v>
      </c>
      <c r="F120" s="9" t="str">
        <f ca="1">+WORLDCUP!BD61</f>
        <v>Turquía</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Brasil</v>
      </c>
      <c r="D121" s="9" t="str">
        <f ca="1">+WORLDCUP!BD67</f>
        <v>Jordania</v>
      </c>
      <c r="E121" s="9" t="str">
        <f ca="1">+WORLDCUP!BD59</f>
        <v>Bosnia y Herzegovina</v>
      </c>
      <c r="F121" s="9" t="str">
        <f ca="1">+WORLDCUP!BD61</f>
        <v>Turquía</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Brasil</v>
      </c>
      <c r="D122" s="9" t="str">
        <f ca="1">+WORLDCUP!BD64</f>
        <v>Bélgica</v>
      </c>
      <c r="E122" s="9" t="str">
        <f ca="1">+WORLDCUP!BD59</f>
        <v>Bosnia y Herzegovina</v>
      </c>
      <c r="F122" s="9" t="str">
        <f ca="1">+WORLDCUP!BD61</f>
        <v>Turquía</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Brasil</v>
      </c>
      <c r="D123" s="9" t="str">
        <f ca="1">+WORLDCUP!BD64</f>
        <v>Bélgica</v>
      </c>
      <c r="E123" s="9" t="str">
        <f ca="1">+WORLDCUP!BD59</f>
        <v>Bosnia y Herzegovina</v>
      </c>
      <c r="F123" s="9" t="str">
        <f ca="1">+WORLDCUP!BD61</f>
        <v>Turquía</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Brasil</v>
      </c>
      <c r="D124" s="9" t="str">
        <f ca="1">+WORLDCUP!BD64</f>
        <v>Bélgica</v>
      </c>
      <c r="E124" s="9" t="str">
        <f ca="1">+WORLDCUP!BD59</f>
        <v>Bosnia y Herzegovina</v>
      </c>
      <c r="F124" s="9" t="str">
        <f ca="1">+WORLDCUP!BD61</f>
        <v>Turquía</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Brasil</v>
      </c>
      <c r="D125" s="9" t="str">
        <f ca="1">+WORLDCUP!BD64</f>
        <v>Bélgica</v>
      </c>
      <c r="E125" s="9" t="str">
        <f ca="1">+WORLDCUP!BD59</f>
        <v>Bosnia y Herzegovina</v>
      </c>
      <c r="F125" s="9" t="str">
        <f ca="1">+WORLDCUP!BD61</f>
        <v>Turquía</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Brasil</v>
      </c>
      <c r="D126" s="9" t="str">
        <f ca="1">+WORLDCUP!BD64</f>
        <v>Bélgica</v>
      </c>
      <c r="E126" s="9" t="str">
        <f ca="1">+WORLDCUP!BD59</f>
        <v>Bosnia y Herzegovina</v>
      </c>
      <c r="F126" s="9" t="str">
        <f ca="1">+WORLDCUP!BD61</f>
        <v>Turquía</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Brasil</v>
      </c>
      <c r="D127" s="9" t="str">
        <f ca="1">+WORLDCUP!BD64</f>
        <v>Bélgica</v>
      </c>
      <c r="E127" s="9" t="str">
        <f ca="1">+WORLDCUP!BD59</f>
        <v>Bosnia y Herzegovina</v>
      </c>
      <c r="F127" s="9" t="str">
        <f ca="1">+WORLDCUP!BD61</f>
        <v>Turquía</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Brasil</v>
      </c>
      <c r="G128" s="9" t="str">
        <f ca="1">+WORLDCUP!BD67</f>
        <v>Jordania</v>
      </c>
      <c r="H128" s="9" t="str">
        <f ca="1">+WORLDCUP!BD63</f>
        <v>Japón</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Brasil</v>
      </c>
      <c r="D129" s="9" t="str">
        <f ca="1">+WORLDCUP!BD64</f>
        <v>Bélgica</v>
      </c>
      <c r="E129" s="9" t="str">
        <f ca="1">+WORLDCUP!BD59</f>
        <v>Bosnia y Herzegovina</v>
      </c>
      <c r="F129" s="9" t="str">
        <f ca="1">+WORLDCUP!BD61</f>
        <v>Turquía</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Brasil</v>
      </c>
      <c r="D130" s="9" t="str">
        <f ca="1">+WORLDCUP!BD64</f>
        <v>Bélgica</v>
      </c>
      <c r="E130" s="9" t="str">
        <f ca="1">+WORLDCUP!BD59</f>
        <v>Bosnia y Herzegovina</v>
      </c>
      <c r="F130" s="9" t="str">
        <f ca="1">+WORLDCUP!BD61</f>
        <v>Turquía</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Brasil</v>
      </c>
      <c r="G131" s="9" t="str">
        <f ca="1">+WORLDCUP!BD67</f>
        <v>Jordania</v>
      </c>
      <c r="H131" s="9" t="str">
        <f ca="1">+WORLDCUP!BD63</f>
        <v>Japón</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Brasil</v>
      </c>
      <c r="G132" s="9" t="str">
        <f ca="1">+WORLDCUP!BD66</f>
        <v>Senegal</v>
      </c>
      <c r="H132" s="9" t="str">
        <f ca="1">+WORLDCUP!BD61</f>
        <v>Turquía</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Brasil</v>
      </c>
      <c r="G133" s="9" t="str">
        <f ca="1">+WORLDCUP!BD65</f>
        <v>España</v>
      </c>
      <c r="H133" s="9" t="str">
        <f ca="1">+WORLDCUP!BD61</f>
        <v>Turquía</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Brasil</v>
      </c>
      <c r="G134" s="9" t="str">
        <f ca="1">+WORLDCUP!BD65</f>
        <v>España</v>
      </c>
      <c r="H134" s="9" t="str">
        <f ca="1">+WORLDCUP!BD61</f>
        <v>Turquía</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Brasil</v>
      </c>
      <c r="G135" s="9" t="str">
        <f ca="1">+WORLDCUP!BD65</f>
        <v>España</v>
      </c>
      <c r="H135" s="9" t="str">
        <f ca="1">+WORLDCUP!BD61</f>
        <v>Turquía</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Brasil</v>
      </c>
      <c r="G136" s="9" t="str">
        <f ca="1">+WORLDCUP!BD65</f>
        <v>España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Brasil</v>
      </c>
      <c r="G137" s="9" t="str">
        <f ca="1">+WORLDCUP!BD67</f>
        <v>Jordania</v>
      </c>
      <c r="H137" s="9" t="str">
        <f ca="1">+WORLDCUP!BD61</f>
        <v>Turquía</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Brasil</v>
      </c>
      <c r="G138" s="9" t="str">
        <f ca="1">+WORLDCUP!BD66</f>
        <v>Senegal</v>
      </c>
      <c r="H138" s="9" t="str">
        <f ca="1">+WORLDCUP!BD61</f>
        <v>Turquía</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Brasil</v>
      </c>
      <c r="G139" s="9" t="str">
        <f ca="1">+WORLDCUP!BD67</f>
        <v>Jordania</v>
      </c>
      <c r="H139" s="9" t="str">
        <f ca="1">+WORLDCUP!BD61</f>
        <v>Turquía</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Brasil</v>
      </c>
      <c r="G140" s="9" t="str">
        <f ca="1">+WORLDCUP!BD67</f>
        <v>Jordania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Brasil</v>
      </c>
      <c r="G141" s="9" t="str">
        <f ca="1">+WORLDCUP!BD65</f>
        <v>España</v>
      </c>
      <c r="H141" s="9" t="str">
        <f ca="1">+WORLDCUP!BD61</f>
        <v>Turquía</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Brasil</v>
      </c>
      <c r="G142" s="9" t="str">
        <f ca="1">+WORLDCUP!BD67</f>
        <v>Jordania</v>
      </c>
      <c r="H142" s="9" t="str">
        <f ca="1">+WORLDCUP!BD61</f>
        <v>Turquía</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Brasil</v>
      </c>
      <c r="G143" s="9" t="str">
        <f ca="1">+WORLDCUP!BD67</f>
        <v>Jordania</v>
      </c>
      <c r="H143" s="9" t="str">
        <f ca="1">+WORLDCUP!BD61</f>
        <v>Turquía</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Brasil</v>
      </c>
      <c r="G144" s="9" t="str">
        <f ca="1">+WORLDCUP!BD65</f>
        <v>España</v>
      </c>
      <c r="H144" s="9" t="str">
        <f ca="1">+WORLDCUP!BD61</f>
        <v>Turquía</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Brasil</v>
      </c>
      <c r="G145" s="9" t="str">
        <f ca="1">+WORLDCUP!BD65</f>
        <v>España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Brasil</v>
      </c>
      <c r="G146" s="9" t="str">
        <f ca="1">+WORLDCUP!BD67</f>
        <v>Jordania</v>
      </c>
      <c r="H146" s="9" t="str">
        <f ca="1">+WORLDCUP!BD61</f>
        <v>Turquía</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Brasil</v>
      </c>
      <c r="D147" s="9" t="str">
        <f ca="1">+WORLDCUP!BD67</f>
        <v>Jordania</v>
      </c>
      <c r="E147" s="9" t="str">
        <f ca="1">+WORLDCUP!BD59</f>
        <v>Bosnia y Herzegovina</v>
      </c>
      <c r="F147" s="9" t="str">
        <f ca="1">+WORLDCUP!BD61</f>
        <v>Turquía</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Brasil</v>
      </c>
      <c r="D148" s="9" t="str">
        <f ca="1">+WORLDCUP!BD62</f>
        <v>Ecuador</v>
      </c>
      <c r="E148" s="9" t="str">
        <f ca="1">+WORLDCUP!BD59</f>
        <v>Bosnia y Herzegovina</v>
      </c>
      <c r="F148" s="9" t="str">
        <f ca="1">+WORLDCUP!BD61</f>
        <v>Turquía</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Brasil</v>
      </c>
      <c r="D149" s="9" t="str">
        <f ca="1">+WORLDCUP!BD67</f>
        <v>Jordania</v>
      </c>
      <c r="E149" s="9" t="str">
        <f ca="1">+WORLDCUP!BD59</f>
        <v>Bosnia y Herzegovina</v>
      </c>
      <c r="F149" s="9" t="str">
        <f ca="1">+WORLDCUP!BD61</f>
        <v>Turquía</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Brasil</v>
      </c>
      <c r="D150" s="9" t="str">
        <f ca="1">+WORLDCUP!BD67</f>
        <v>Jordania</v>
      </c>
      <c r="E150" s="9" t="str">
        <f ca="1">+WORLDCUP!BD59</f>
        <v>Bosnia y Herzegovina</v>
      </c>
      <c r="F150" s="9" t="str">
        <f ca="1">+WORLDCUP!BD61</f>
        <v>Turquía</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Brasil</v>
      </c>
      <c r="D151" s="9" t="str">
        <f ca="1">+WORLDCUP!BD62</f>
        <v>Ecuador</v>
      </c>
      <c r="E151" s="9" t="str">
        <f ca="1">+WORLDCUP!BD59</f>
        <v>Bosnia y Herzegovina</v>
      </c>
      <c r="F151" s="9" t="str">
        <f ca="1">+WORLDCUP!BD61</f>
        <v>Turquía</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Brasil</v>
      </c>
      <c r="D152" s="9" t="str">
        <f ca="1">+WORLDCUP!BD67</f>
        <v>Jordania</v>
      </c>
      <c r="E152" s="9" t="str">
        <f ca="1">+WORLDCUP!BD59</f>
        <v>Bosnia y Herzegovina</v>
      </c>
      <c r="F152" s="9" t="str">
        <f ca="1">+WORLDCUP!BD61</f>
        <v>Turquía</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Brasil</v>
      </c>
      <c r="D153" s="9" t="str">
        <f ca="1">+WORLDCUP!BD67</f>
        <v>Jordania</v>
      </c>
      <c r="E153" s="9" t="str">
        <f ca="1">+WORLDCUP!BD59</f>
        <v>Bosnia y Herzegovina</v>
      </c>
      <c r="F153" s="9" t="str">
        <f ca="1">+WORLDCUP!BD61</f>
        <v>Turquía</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Brasil</v>
      </c>
      <c r="D154" s="9" t="str">
        <f ca="1">+WORLDCUP!BD62</f>
        <v>Ecuador</v>
      </c>
      <c r="E154" s="9" t="str">
        <f ca="1">+WORLDCUP!BD59</f>
        <v>Bosnia y Herzegovina</v>
      </c>
      <c r="F154" s="9" t="str">
        <f ca="1">+WORLDCUP!BD61</f>
        <v>Turquía</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Brasil</v>
      </c>
      <c r="D155" s="9" t="str">
        <f ca="1">+WORLDCUP!BD62</f>
        <v>Ecuador</v>
      </c>
      <c r="E155" s="9" t="str">
        <f ca="1">+WORLDCUP!BD59</f>
        <v>Bosnia y Herzegovina</v>
      </c>
      <c r="F155" s="9" t="str">
        <f ca="1">+WORLDCUP!BD61</f>
        <v>Turquía</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Brasil</v>
      </c>
      <c r="D156" s="9" t="str">
        <f ca="1">+WORLDCUP!BD67</f>
        <v>Jordania</v>
      </c>
      <c r="E156" s="9" t="str">
        <f ca="1">+WORLDCUP!BD59</f>
        <v>Bosnia y Herzegovina</v>
      </c>
      <c r="F156" s="9" t="str">
        <f ca="1">+WORLDCUP!BD61</f>
        <v>Turquía</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Brasil</v>
      </c>
      <c r="D157" s="9" t="str">
        <f ca="1">+WORLDCUP!BD64</f>
        <v>Bélgica</v>
      </c>
      <c r="E157" s="9" t="str">
        <f ca="1">+WORLDCUP!BD59</f>
        <v>Bosnia y Herzegovina</v>
      </c>
      <c r="F157" s="9" t="str">
        <f ca="1">+WORLDCUP!BD61</f>
        <v>Turquía</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Brasil</v>
      </c>
      <c r="D158" s="9" t="str">
        <f ca="1">+WORLDCUP!BD64</f>
        <v>Bélgica</v>
      </c>
      <c r="E158" s="9" t="str">
        <f ca="1">+WORLDCUP!BD59</f>
        <v>Bosnia y Herzegovina</v>
      </c>
      <c r="F158" s="9" t="str">
        <f ca="1">+WORLDCUP!BD61</f>
        <v>Turquía</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Brasil</v>
      </c>
      <c r="D159" s="9" t="str">
        <f ca="1">+WORLDCUP!BD64</f>
        <v>Bélgica</v>
      </c>
      <c r="E159" s="9" t="str">
        <f ca="1">+WORLDCUP!BD59</f>
        <v>Bosnia y Herzegovina</v>
      </c>
      <c r="F159" s="9" t="str">
        <f ca="1">+WORLDCUP!BD61</f>
        <v>Turquía</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Brasil</v>
      </c>
      <c r="D160" s="9" t="str">
        <f ca="1">+WORLDCUP!BD64</f>
        <v>Bélgica</v>
      </c>
      <c r="E160" s="9" t="str">
        <f ca="1">+WORLDCUP!BD59</f>
        <v>Bosnia y Herzegovina</v>
      </c>
      <c r="F160" s="9" t="str">
        <f ca="1">+WORLDCUP!BD61</f>
        <v>Turquía</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Brasil</v>
      </c>
      <c r="D161" s="9" t="str">
        <f ca="1">+WORLDCUP!BD64</f>
        <v>Bélgica</v>
      </c>
      <c r="E161" s="9" t="str">
        <f ca="1">+WORLDCUP!BD59</f>
        <v>Bosnia y Herzegovina</v>
      </c>
      <c r="F161" s="9" t="str">
        <f ca="1">+WORLDCUP!BD61</f>
        <v>Turquía</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Brasil</v>
      </c>
      <c r="D162" s="9" t="str">
        <f ca="1">+WORLDCUP!BD64</f>
        <v>Bélgica</v>
      </c>
      <c r="E162" s="9" t="str">
        <f ca="1">+WORLDCUP!BD59</f>
        <v>Bosnia y Herzegovina</v>
      </c>
      <c r="F162" s="9" t="str">
        <f ca="1">+WORLDCUP!BD61</f>
        <v>Turquía</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Brasil</v>
      </c>
      <c r="D163" s="9" t="str">
        <f ca="1">+WORLDCUP!BD64</f>
        <v>Bélgica</v>
      </c>
      <c r="E163" s="9" t="str">
        <f ca="1">+WORLDCUP!BD59</f>
        <v>Bosnia y Herzegovina</v>
      </c>
      <c r="F163" s="9" t="str">
        <f ca="1">+WORLDCUP!BD61</f>
        <v>Turquía</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Brasil</v>
      </c>
      <c r="D164" s="9" t="str">
        <f ca="1">+WORLDCUP!BD64</f>
        <v>Bélgica</v>
      </c>
      <c r="E164" s="9" t="str">
        <f ca="1">+WORLDCUP!BD59</f>
        <v>Bosnia y Herzegovina</v>
      </c>
      <c r="F164" s="9" t="str">
        <f ca="1">+WORLDCUP!BD61</f>
        <v>Turquía</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Brasil</v>
      </c>
      <c r="G165" s="9" t="str">
        <f ca="1">+WORLDCUP!BD67</f>
        <v>Jordania</v>
      </c>
      <c r="H165" s="9" t="str">
        <f ca="1">+WORLDCUP!BD63</f>
        <v>Japón</v>
      </c>
      <c r="I165" s="9" t="str">
        <f ca="1">+WORLDCUP!BD61</f>
        <v>Turquía</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Brasil</v>
      </c>
      <c r="D166" s="9" t="str">
        <f ca="1">+WORLDCUP!BD64</f>
        <v>Bélgica</v>
      </c>
      <c r="E166" s="9" t="str">
        <f ca="1">+WORLDCUP!BD59</f>
        <v>Bosnia y Herzegovina</v>
      </c>
      <c r="F166" s="9" t="str">
        <f ca="1">+WORLDCUP!BD61</f>
        <v>Turquía</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Turquía</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Turquía</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Turquía</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Turquía</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Turquía</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Turquía</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Turquía</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Turquía</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Turquía</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Turquía</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Turquía</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Turquía</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Turquía</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Turquía</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Turquía</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Turquía</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Turquía</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Turquía</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Turquía</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Turquía</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Turquía</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Turquía</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Turquía</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Turquía</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Turquía</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Turquía</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Turquía</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Turquía</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Brasil</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Brasil</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Brasil</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Brasil</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Brasil</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Brasil</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Brasil</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Brasil</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Brasil</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Brasil</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Brasil</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Brasil</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Brasil</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Brasil</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Brasil</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Brasil</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Brasil</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Brasil</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Brasil</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Brasil</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Brasil</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Brasil</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Brasil</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Brasil</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Brasil</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Brasil</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Brasil</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Brasil</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Brasil</v>
      </c>
      <c r="G231" s="9" t="str">
        <f ca="1">+WORLDCUP!BD58</f>
        <v>República Checa</v>
      </c>
      <c r="H231" s="9" t="str">
        <f ca="1">+WORLDCUP!BD61</f>
        <v>Turquía</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Brasil</v>
      </c>
      <c r="G232" s="9" t="str">
        <f ca="1">+WORLDCUP!BD58</f>
        <v>República Checa</v>
      </c>
      <c r="H232" s="9" t="str">
        <f ca="1">+WORLDCUP!BD61</f>
        <v>Turquía</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Brasil</v>
      </c>
      <c r="G233" s="9" t="str">
        <f ca="1">+WORLDCUP!BD58</f>
        <v>República Checa</v>
      </c>
      <c r="H233" s="9" t="str">
        <f ca="1">+WORLDCUP!BD61</f>
        <v>Turquía</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Brasil</v>
      </c>
      <c r="G234" s="9" t="str">
        <f ca="1">+WORLDCUP!BD58</f>
        <v>República Checa</v>
      </c>
      <c r="H234" s="9" t="str">
        <f ca="1">+WORLDCUP!BD61</f>
        <v>Turquía</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Brasil</v>
      </c>
      <c r="G235" s="9" t="str">
        <f ca="1">+WORLDCUP!BD58</f>
        <v>República Checa</v>
      </c>
      <c r="H235" s="9" t="str">
        <f ca="1">+WORLDCUP!BD61</f>
        <v>Turquía</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Brasil</v>
      </c>
      <c r="G236" s="9" t="str">
        <f ca="1">+WORLDCUP!BD58</f>
        <v>República Checa</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Brasil</v>
      </c>
      <c r="D237" s="9" t="str">
        <f ca="1">+WORLDCUP!BD67</f>
        <v>Jordania</v>
      </c>
      <c r="E237" s="9" t="str">
        <f ca="1">+WORLDCUP!BD66</f>
        <v>Senegal</v>
      </c>
      <c r="F237" s="9" t="str">
        <f ca="1">+WORLDCUP!BD61</f>
        <v>Turquía</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Brasil</v>
      </c>
      <c r="G238" s="9" t="str">
        <f ca="1">+WORLDCUP!BD58</f>
        <v>República Checa</v>
      </c>
      <c r="H238" s="9" t="str">
        <f ca="1">+WORLDCUP!BD61</f>
        <v>Turquía</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Brasil</v>
      </c>
      <c r="G239" s="9" t="str">
        <f ca="1">+WORLDCUP!BD58</f>
        <v>República Checa</v>
      </c>
      <c r="H239" s="9" t="str">
        <f ca="1">+WORLDCUP!BD61</f>
        <v>Turquía</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Brasil</v>
      </c>
      <c r="G240" s="9" t="str">
        <f ca="1">+WORLDCUP!BD58</f>
        <v>República Checa</v>
      </c>
      <c r="H240" s="9" t="str">
        <f ca="1">+WORLDCUP!BD61</f>
        <v>Turquía</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Brasil</v>
      </c>
      <c r="G241" s="9" t="str">
        <f ca="1">+WORLDCUP!BD58</f>
        <v>República Checa</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Brasil</v>
      </c>
      <c r="D242" s="9" t="str">
        <f ca="1">+WORLDCUP!BD64</f>
        <v>Bélgica</v>
      </c>
      <c r="E242" s="9" t="str">
        <f ca="1">+WORLDCUP!BD67</f>
        <v>Jordania</v>
      </c>
      <c r="F242" s="9" t="str">
        <f ca="1">+WORLDCUP!BD61</f>
        <v>Turquía</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Brasil</v>
      </c>
      <c r="D243" s="9" t="str">
        <f ca="1">+WORLDCUP!BD64</f>
        <v>Bélgica</v>
      </c>
      <c r="E243" s="9" t="str">
        <f ca="1">+WORLDCUP!BD66</f>
        <v>Senegal</v>
      </c>
      <c r="F243" s="9" t="str">
        <f ca="1">+WORLDCUP!BD61</f>
        <v>Turquía</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Brasil</v>
      </c>
      <c r="D244" s="9" t="str">
        <f ca="1">+WORLDCUP!BD64</f>
        <v>Bélgica</v>
      </c>
      <c r="E244" s="9" t="str">
        <f ca="1">+WORLDCUP!BD67</f>
        <v>Jordania</v>
      </c>
      <c r="F244" s="9" t="str">
        <f ca="1">+WORLDCUP!BD61</f>
        <v>Turquía</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Brasil</v>
      </c>
      <c r="D245" s="9" t="str">
        <f ca="1">+WORLDCUP!BD64</f>
        <v>Bélgica</v>
      </c>
      <c r="E245" s="9" t="str">
        <f ca="1">+WORLDCUP!BD67</f>
        <v>Jordania</v>
      </c>
      <c r="F245" s="9" t="str">
        <f ca="1">+WORLDCUP!BD61</f>
        <v>Turquía</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Brasil</v>
      </c>
      <c r="G246" s="9" t="str">
        <f ca="1">+WORLDCUP!BD58</f>
        <v>República Checa</v>
      </c>
      <c r="H246" s="9" t="str">
        <f ca="1">+WORLDCUP!BD61</f>
        <v>Turquía</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Brasil</v>
      </c>
      <c r="D247" s="9" t="str">
        <f ca="1">+WORLDCUP!BD64</f>
        <v>Bélgica</v>
      </c>
      <c r="E247" s="9" t="str">
        <f ca="1">+WORLDCUP!BD67</f>
        <v>Jordania</v>
      </c>
      <c r="F247" s="9" t="str">
        <f ca="1">+WORLDCUP!BD61</f>
        <v>Turquía</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Brasil</v>
      </c>
      <c r="G248" s="9" t="str">
        <f ca="1">+WORLDCUP!BD58</f>
        <v>República Checa</v>
      </c>
      <c r="H248" s="9" t="str">
        <f ca="1">+WORLDCUP!BD63</f>
        <v>Japón</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Brasil</v>
      </c>
      <c r="G249" s="9" t="str">
        <f ca="1">+WORLDCUP!BD58</f>
        <v>República Checa</v>
      </c>
      <c r="H249" s="9" t="str">
        <f ca="1">+WORLDCUP!BD61</f>
        <v>Turquía</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Brasil</v>
      </c>
      <c r="G250" s="9" t="str">
        <f ca="1">+WORLDCUP!BD58</f>
        <v>República Checa</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Brasil</v>
      </c>
      <c r="G251" s="9" t="str">
        <f ca="1">+WORLDCUP!BD58</f>
        <v>República Checa</v>
      </c>
      <c r="H251" s="9" t="str">
        <f ca="1">+WORLDCUP!BD63</f>
        <v>Japón</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Brasil</v>
      </c>
      <c r="G252" s="9" t="str">
        <f ca="1">+WORLDCUP!BD58</f>
        <v>República Checa</v>
      </c>
      <c r="H252" s="9" t="str">
        <f ca="1">+WORLDCUP!BD61</f>
        <v>Turquía</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Brasil</v>
      </c>
      <c r="G253" s="9" t="str">
        <f ca="1">+WORLDCUP!BD58</f>
        <v>República Checa</v>
      </c>
      <c r="H253" s="9" t="str">
        <f ca="1">+WORLDCUP!BD61</f>
        <v>Turquía</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Brasil</v>
      </c>
      <c r="G254" s="9" t="str">
        <f ca="1">+WORLDCUP!BD58</f>
        <v>República Checa</v>
      </c>
      <c r="H254" s="9" t="str">
        <f ca="1">+WORLDCUP!BD61</f>
        <v>Turquía</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Brasil</v>
      </c>
      <c r="G255" s="9" t="str">
        <f ca="1">+WORLDCUP!BD58</f>
        <v>República Checa</v>
      </c>
      <c r="H255" s="9" t="str">
        <f ca="1">+WORLDCUP!BD61</f>
        <v>Turquía</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Brasil</v>
      </c>
      <c r="G256" s="9" t="str">
        <f ca="1">+WORLDCUP!BD58</f>
        <v>República Checa</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Brasil</v>
      </c>
      <c r="G257" s="9" t="str">
        <f ca="1">+WORLDCUP!BD58</f>
        <v>República Checa</v>
      </c>
      <c r="H257" s="9" t="str">
        <f ca="1">+WORLDCUP!BD61</f>
        <v>Turquía</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Brasil</v>
      </c>
      <c r="G258" s="9" t="str">
        <f ca="1">+WORLDCUP!BD58</f>
        <v>República Checa</v>
      </c>
      <c r="H258" s="9" t="str">
        <f ca="1">+WORLDCUP!BD61</f>
        <v>Turquía</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Brasil</v>
      </c>
      <c r="G259" s="9" t="str">
        <f ca="1">+WORLDCUP!BD58</f>
        <v>República Checa</v>
      </c>
      <c r="H259" s="9" t="str">
        <f ca="1">+WORLDCUP!BD61</f>
        <v>Turquía</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Brasil</v>
      </c>
      <c r="G260" s="9" t="str">
        <f ca="1">+WORLDCUP!BD58</f>
        <v>República Checa</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Brasil</v>
      </c>
      <c r="G261" s="9" t="str">
        <f ca="1">+WORLDCUP!BD58</f>
        <v>República Checa</v>
      </c>
      <c r="H261" s="9" t="str">
        <f ca="1">+WORLDCUP!BD61</f>
        <v>Turquía</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Brasil</v>
      </c>
      <c r="G262" s="9" t="str">
        <f ca="1">+WORLDCUP!BD58</f>
        <v>República Checa</v>
      </c>
      <c r="H262" s="9" t="str">
        <f ca="1">+WORLDCUP!BD61</f>
        <v>Turquía</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Brasil</v>
      </c>
      <c r="G263" s="9" t="str">
        <f ca="1">+WORLDCUP!BD58</f>
        <v>República Checa</v>
      </c>
      <c r="H263" s="9" t="str">
        <f ca="1">+WORLDCUP!BD61</f>
        <v>Turquía</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Brasil</v>
      </c>
      <c r="G264" s="9" t="str">
        <f ca="1">+WORLDCUP!BD58</f>
        <v>República Checa</v>
      </c>
      <c r="H264" s="9" t="str">
        <f ca="1">+WORLDCUP!BD61</f>
        <v>Turquía</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Brasil</v>
      </c>
      <c r="G265" s="9" t="str">
        <f ca="1">+WORLDCUP!BD58</f>
        <v>República Checa</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Brasil</v>
      </c>
      <c r="G266" s="9" t="str">
        <f ca="1">+WORLDCUP!BD58</f>
        <v>República Checa</v>
      </c>
      <c r="H266" s="9" t="str">
        <f ca="1">+WORLDCUP!BD61</f>
        <v>Turquía</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Brasil</v>
      </c>
      <c r="D267" s="9" t="str">
        <f ca="1">+WORLDCUP!BD67</f>
        <v>Jordania</v>
      </c>
      <c r="E267" s="9" t="str">
        <f ca="1">+WORLDCUP!BD62</f>
        <v>Ecuador</v>
      </c>
      <c r="F267" s="9" t="str">
        <f ca="1">+WORLDCUP!BD61</f>
        <v>Turquía</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Brasil</v>
      </c>
      <c r="D268" s="9" t="str">
        <f ca="1">+WORLDCUP!BD62</f>
        <v>Ecuador</v>
      </c>
      <c r="E268" s="9" t="str">
        <f ca="1">+WORLDCUP!BD66</f>
        <v>Senegal</v>
      </c>
      <c r="F268" s="9" t="str">
        <f ca="1">+WORLDCUP!BD61</f>
        <v>Turquía</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Brasil</v>
      </c>
      <c r="D269" s="9" t="str">
        <f ca="1">+WORLDCUP!BD67</f>
        <v>Jordania</v>
      </c>
      <c r="E269" s="9" t="str">
        <f ca="1">+WORLDCUP!BD62</f>
        <v>Ecuador</v>
      </c>
      <c r="F269" s="9" t="str">
        <f ca="1">+WORLDCUP!BD61</f>
        <v>Turquía</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Brasil</v>
      </c>
      <c r="D270" s="9" t="str">
        <f ca="1">+WORLDCUP!BD67</f>
        <v>Jordania</v>
      </c>
      <c r="E270" s="9" t="str">
        <f ca="1">+WORLDCUP!BD62</f>
        <v>Ecuador</v>
      </c>
      <c r="F270" s="9" t="str">
        <f ca="1">+WORLDCUP!BD61</f>
        <v>Turquía</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Brasil</v>
      </c>
      <c r="G271" s="9" t="str">
        <f ca="1">+WORLDCUP!BD58</f>
        <v>República Checa</v>
      </c>
      <c r="H271" s="9" t="str">
        <f ca="1">+WORLDCUP!BD61</f>
        <v>Turquía</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Brasil</v>
      </c>
      <c r="G272" s="9" t="str">
        <f ca="1">+WORLDCUP!BD58</f>
        <v>República Checa</v>
      </c>
      <c r="H272" s="9" t="str">
        <f ca="1">+WORLDCUP!BD61</f>
        <v>Turquía</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Brasil</v>
      </c>
      <c r="G273" s="9" t="str">
        <f ca="1">+WORLDCUP!BD58</f>
        <v>República Checa</v>
      </c>
      <c r="H273" s="9" t="str">
        <f ca="1">+WORLDCUP!BD63</f>
        <v>Japón</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Brasil</v>
      </c>
      <c r="G274" s="9" t="str">
        <f ca="1">+WORLDCUP!BD58</f>
        <v>República Checa</v>
      </c>
      <c r="H274" s="9" t="str">
        <f ca="1">+WORLDCUP!BD61</f>
        <v>Turquía</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Brasil</v>
      </c>
      <c r="G275" s="9" t="str">
        <f ca="1">+WORLDCUP!BD58</f>
        <v>República Checa</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Brasil</v>
      </c>
      <c r="G276" s="9" t="str">
        <f ca="1">+WORLDCUP!BD58</f>
        <v>República Checa</v>
      </c>
      <c r="H276" s="9" t="str">
        <f ca="1">+WORLDCUP!BD63</f>
        <v>Japón</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Brasil</v>
      </c>
      <c r="D277" s="9" t="str">
        <f ca="1">+WORLDCUP!BD64</f>
        <v>Bélgica</v>
      </c>
      <c r="E277" s="9" t="str">
        <f ca="1">+WORLDCUP!BD62</f>
        <v>Ecuador</v>
      </c>
      <c r="F277" s="9" t="str">
        <f ca="1">+WORLDCUP!BD61</f>
        <v>Turquía</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Brasil</v>
      </c>
      <c r="D278" s="9" t="str">
        <f ca="1">+WORLDCUP!BD64</f>
        <v>Bélgica</v>
      </c>
      <c r="E278" s="9" t="str">
        <f ca="1">+WORLDCUP!BD67</f>
        <v>Jordania</v>
      </c>
      <c r="F278" s="9" t="str">
        <f ca="1">+WORLDCUP!BD61</f>
        <v>Turquía</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Brasil</v>
      </c>
      <c r="D279" s="9" t="str">
        <f ca="1">+WORLDCUP!BD64</f>
        <v>Bélgica</v>
      </c>
      <c r="E279" s="9" t="str">
        <f ca="1">+WORLDCUP!BD67</f>
        <v>Jordania</v>
      </c>
      <c r="F279" s="9" t="str">
        <f ca="1">+WORLDCUP!BD61</f>
        <v>Turquía</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Brasil</v>
      </c>
      <c r="D280" s="9" t="str">
        <f ca="1">+WORLDCUP!BD64</f>
        <v>Bélgica</v>
      </c>
      <c r="E280" s="9" t="str">
        <f ca="1">+WORLDCUP!BD62</f>
        <v>Ecuador</v>
      </c>
      <c r="F280" s="9" t="str">
        <f ca="1">+WORLDCUP!BD61</f>
        <v>Turquía</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Brasil</v>
      </c>
      <c r="D281" s="9" t="str">
        <f ca="1">+WORLDCUP!BD64</f>
        <v>Bélgica</v>
      </c>
      <c r="E281" s="9" t="str">
        <f ca="1">+WORLDCUP!BD62</f>
        <v>Ecuador</v>
      </c>
      <c r="F281" s="9" t="str">
        <f ca="1">+WORLDCUP!BD61</f>
        <v>Turquía</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Brasil</v>
      </c>
      <c r="D282" s="9" t="str">
        <f ca="1">+WORLDCUP!BD64</f>
        <v>Bélgica</v>
      </c>
      <c r="E282" s="9" t="str">
        <f ca="1">+WORLDCUP!BD67</f>
        <v>Jordania</v>
      </c>
      <c r="F282" s="9" t="str">
        <f ca="1">+WORLDCUP!BD61</f>
        <v>Turquía</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Brasil</v>
      </c>
      <c r="G283" s="9" t="str">
        <f ca="1">+WORLDCUP!BD58</f>
        <v>República Checa</v>
      </c>
      <c r="H283" s="9" t="str">
        <f ca="1">+WORLDCUP!BD61</f>
        <v>Turquía</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Brasil</v>
      </c>
      <c r="G284" s="9" t="str">
        <f ca="1">+WORLDCUP!BD58</f>
        <v>República Checa</v>
      </c>
      <c r="H284" s="9" t="str">
        <f ca="1">+WORLDCUP!BD63</f>
        <v>Japón</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Brasil</v>
      </c>
      <c r="G285" s="9" t="str">
        <f ca="1">+WORLDCUP!BD58</f>
        <v>República Checa</v>
      </c>
      <c r="H285" s="9" t="str">
        <f ca="1">+WORLDCUP!BD63</f>
        <v>Japón</v>
      </c>
      <c r="I285" s="9" t="str">
        <f ca="1">+WORLDCUP!BD61</f>
        <v>Turquía</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Brasil</v>
      </c>
      <c r="G286" s="9" t="str">
        <f ca="1">+WORLDCUP!BD58</f>
        <v>República Checa</v>
      </c>
      <c r="H286" s="9" t="str">
        <f ca="1">+WORLDCUP!BD63</f>
        <v>Japón</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Turquía</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Turquía</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Turquía</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Turquía</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Turquía</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Turquía</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Turquía</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Turquía</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Turquía</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Turquía</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Turquía</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Turquía</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Turquía</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Turquía</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Turquía</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Turquía</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Turquía</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Turquía</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Turquía</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Turquía</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Turquía</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Turquía</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Turquía</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Turquía</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Turquía</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Turquía</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Turquía</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Turquía</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Turquía</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Turquía</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Turquía</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Turquía</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Turquía</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Turquía</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Turquía</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Turquía</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Turquía</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Turquía</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Turquía</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Turquía</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Turquía</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Turquía</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Turquía</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Turquía</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Turquía</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Turquía</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Turquía</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Turquía</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Turquía</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Turquía</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Turquía</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Turquía</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Turquía</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Turquía</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Turquía</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Turquía</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Brasil</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Brasil</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Brasil</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Brasil</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Brasil</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Brasil</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Brasil</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Brasil</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Brasil</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Brasil</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Brasil</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Brasil</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Brasil</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Brasil</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Brasil</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Brasil</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Brasil</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Brasil</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Brasil</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Brasil</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Brasil</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Brasil</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Brasil</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Brasil</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Brasil</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Brasil</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Brasil</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Brasil</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Brasil</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Brasil</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Brasil</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Brasil</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Brasil</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Brasil</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Brasil</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Brasil</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Brasil</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Brasil</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Brasil</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Brasil</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Brasil</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Brasil</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Brasil</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Brasil</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Brasil</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Brasil</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Brasil</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Brasil</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Brasil</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Brasil</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Brasil</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Brasil</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Brasil</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1</v>
      </c>
      <c r="C424" s="9" t="str">
        <f ca="1">+WORLDCUP!BD65</f>
        <v>España</v>
      </c>
      <c r="D424" s="9" t="str">
        <f ca="1">+WORLDCUP!BD64</f>
        <v>Bélgica</v>
      </c>
      <c r="E424" s="9" t="str">
        <f ca="1">+WORLDCUP!BD59</f>
        <v>Bosnia y Herzegovina</v>
      </c>
      <c r="F424" s="9" t="str">
        <f ca="1">+WORLDCUP!BD60</f>
        <v>Brasil</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Brasil</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Brasil</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Brasil</v>
      </c>
      <c r="G427" s="9" t="str">
        <f ca="1">+WORLDCUP!BD58</f>
        <v>República Checa</v>
      </c>
      <c r="H427" s="9" t="str">
        <f ca="1">+WORLDCUP!BD61</f>
        <v>Turquía</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Brasil</v>
      </c>
      <c r="G428" s="9" t="str">
        <f ca="1">+WORLDCUP!BD58</f>
        <v>República Checa</v>
      </c>
      <c r="H428" s="9" t="str">
        <f ca="1">+WORLDCUP!BD61</f>
        <v>Turquía</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Brasil</v>
      </c>
      <c r="G429" s="9" t="str">
        <f ca="1">+WORLDCUP!BD58</f>
        <v>República Checa</v>
      </c>
      <c r="H429" s="9" t="str">
        <f ca="1">+WORLDCUP!BD61</f>
        <v>Turquía</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Brasil</v>
      </c>
      <c r="G430" s="9" t="str">
        <f ca="1">+WORLDCUP!BD58</f>
        <v>República Checa</v>
      </c>
      <c r="H430" s="9" t="str">
        <f ca="1">+WORLDCUP!BD61</f>
        <v>Turquía</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Brasil</v>
      </c>
      <c r="G431" s="9" t="str">
        <f ca="1">+WORLDCUP!BD58</f>
        <v>República Checa</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Brasil</v>
      </c>
      <c r="D432" s="9" t="str">
        <f ca="1">+WORLDCUP!BD67</f>
        <v>Jordania</v>
      </c>
      <c r="E432" s="9" t="str">
        <f ca="1">+WORLDCUP!BD59</f>
        <v>Bosnia y Herzegovina</v>
      </c>
      <c r="F432" s="9" t="str">
        <f ca="1">+WORLDCUP!BD61</f>
        <v>Turquía</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Brasil</v>
      </c>
      <c r="G433" s="9" t="str">
        <f ca="1">+WORLDCUP!BD58</f>
        <v>República Checa</v>
      </c>
      <c r="H433" s="9" t="str">
        <f ca="1">+WORLDCUP!BD61</f>
        <v>Turquía</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Brasil</v>
      </c>
      <c r="D434" s="9" t="str">
        <f ca="1">+WORLDCUP!BD67</f>
        <v>Jordania</v>
      </c>
      <c r="E434" s="9" t="str">
        <f ca="1">+WORLDCUP!BD59</f>
        <v>Bosnia y Herzegovina</v>
      </c>
      <c r="F434" s="9" t="str">
        <f ca="1">+WORLDCUP!BD61</f>
        <v>Turquía</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Brasil</v>
      </c>
      <c r="D435" s="9" t="str">
        <f ca="1">+WORLDCUP!BD67</f>
        <v>Jordania</v>
      </c>
      <c r="E435" s="9" t="str">
        <f ca="1">+WORLDCUP!BD59</f>
        <v>Bosnia y Herzegovina</v>
      </c>
      <c r="F435" s="9" t="str">
        <f ca="1">+WORLDCUP!BD61</f>
        <v>Turquía</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Brasil</v>
      </c>
      <c r="G436" s="9" t="str">
        <f ca="1">+WORLDCUP!BD58</f>
        <v>República Checa</v>
      </c>
      <c r="H436" s="9" t="str">
        <f ca="1">+WORLDCUP!BD61</f>
        <v>Turquía</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Brasil</v>
      </c>
      <c r="G437" s="9" t="str">
        <f ca="1">+WORLDCUP!BD58</f>
        <v>República Checa</v>
      </c>
      <c r="H437" s="9" t="str">
        <f ca="1">+WORLDCUP!BD61</f>
        <v>Turquía</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Brasil</v>
      </c>
      <c r="G438" s="9" t="str">
        <f ca="1">+WORLDCUP!BD58</f>
        <v>República Checa</v>
      </c>
      <c r="H438" s="9" t="str">
        <f ca="1">+WORLDCUP!BD61</f>
        <v>Turquía</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Brasil</v>
      </c>
      <c r="G439" s="9" t="str">
        <f ca="1">+WORLDCUP!BD58</f>
        <v>República Checa</v>
      </c>
      <c r="H439" s="9" t="str">
        <f ca="1">+WORLDCUP!BD61</f>
        <v>Turquía</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Brasil</v>
      </c>
      <c r="G440" s="9" t="str">
        <f ca="1">+WORLDCUP!BD58</f>
        <v>República Checa</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Brasil</v>
      </c>
      <c r="G441" s="9" t="str">
        <f ca="1">+WORLDCUP!BD58</f>
        <v>República Checa</v>
      </c>
      <c r="H441" s="9" t="str">
        <f ca="1">+WORLDCUP!BD61</f>
        <v>Turquía</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Brasil</v>
      </c>
      <c r="D442" s="9" t="str">
        <f ca="1">+WORLDCUP!BD67</f>
        <v>Jordania</v>
      </c>
      <c r="E442" s="9" t="str">
        <f ca="1">+WORLDCUP!BD59</f>
        <v>Bosnia y Herzegovina</v>
      </c>
      <c r="F442" s="9" t="str">
        <f ca="1">+WORLDCUP!BD61</f>
        <v>Turquía</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Brasil</v>
      </c>
      <c r="D443" s="9" t="str">
        <f ca="1">+WORLDCUP!BD66</f>
        <v>Senegal</v>
      </c>
      <c r="E443" s="9" t="str">
        <f ca="1">+WORLDCUP!BD59</f>
        <v>Bosnia y Herzegovina</v>
      </c>
      <c r="F443" s="9" t="str">
        <f ca="1">+WORLDCUP!BD61</f>
        <v>Turquía</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Brasil</v>
      </c>
      <c r="D444" s="9" t="str">
        <f ca="1">+WORLDCUP!BD67</f>
        <v>Jordania</v>
      </c>
      <c r="E444" s="9" t="str">
        <f ca="1">+WORLDCUP!BD59</f>
        <v>Bosnia y Herzegovina</v>
      </c>
      <c r="F444" s="9" t="str">
        <f ca="1">+WORLDCUP!BD61</f>
        <v>Turquía</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Brasil</v>
      </c>
      <c r="D445" s="9" t="str">
        <f ca="1">+WORLDCUP!BD67</f>
        <v>Jordania</v>
      </c>
      <c r="E445" s="9" t="str">
        <f ca="1">+WORLDCUP!BD59</f>
        <v>Bosnia y Herzegovina</v>
      </c>
      <c r="F445" s="9" t="str">
        <f ca="1">+WORLDCUP!BD61</f>
        <v>Turquía</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Brasil</v>
      </c>
      <c r="G446" s="9" t="str">
        <f ca="1">+WORLDCUP!BD58</f>
        <v>República Checa</v>
      </c>
      <c r="H446" s="9" t="str">
        <f ca="1">+WORLDCUP!BD61</f>
        <v>Turquía</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Brasil</v>
      </c>
      <c r="D447" s="9" t="str">
        <f ca="1">+WORLDCUP!BD67</f>
        <v>Jordania</v>
      </c>
      <c r="E447" s="9" t="str">
        <f ca="1">+WORLDCUP!BD59</f>
        <v>Bosnia y Herzegovina</v>
      </c>
      <c r="F447" s="9" t="str">
        <f ca="1">+WORLDCUP!BD61</f>
        <v>Turquía</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Brasil</v>
      </c>
      <c r="G448" s="9" t="str">
        <f ca="1">+WORLDCUP!BD58</f>
        <v>República Checa</v>
      </c>
      <c r="H448" s="9" t="str">
        <f ca="1">+WORLDCUP!BD63</f>
        <v>Japón</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Brasil</v>
      </c>
      <c r="G449" s="9" t="str">
        <f ca="1">+WORLDCUP!BD58</f>
        <v>República Checa</v>
      </c>
      <c r="H449" s="9" t="str">
        <f ca="1">+WORLDCUP!BD61</f>
        <v>Turquía</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Brasil</v>
      </c>
      <c r="G450" s="9" t="str">
        <f ca="1">+WORLDCUP!BD58</f>
        <v>República Checa</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Brasil</v>
      </c>
      <c r="G451" s="9" t="str">
        <f ca="1">+WORLDCUP!BD58</f>
        <v>República Checa</v>
      </c>
      <c r="H451" s="9" t="str">
        <f ca="1">+WORLDCUP!BD63</f>
        <v>Japón</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Brasil</v>
      </c>
      <c r="D452" s="9" t="str">
        <f ca="1">+WORLDCUP!BD64</f>
        <v>Bélgica</v>
      </c>
      <c r="E452" s="9" t="str">
        <f ca="1">+WORLDCUP!BD59</f>
        <v>Bosnia y Herzegovina</v>
      </c>
      <c r="F452" s="9" t="str">
        <f ca="1">+WORLDCUP!BD61</f>
        <v>Turquía</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Brasil</v>
      </c>
      <c r="D453" s="9" t="str">
        <f ca="1">+WORLDCUP!BD64</f>
        <v>Bélgica</v>
      </c>
      <c r="E453" s="9" t="str">
        <f ca="1">+WORLDCUP!BD59</f>
        <v>Bosnia y Herzegovina</v>
      </c>
      <c r="F453" s="9" t="str">
        <f ca="1">+WORLDCUP!BD61</f>
        <v>Turquía</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Brasil</v>
      </c>
      <c r="D454" s="9" t="str">
        <f ca="1">+WORLDCUP!BD64</f>
        <v>Bélgica</v>
      </c>
      <c r="E454" s="9" t="str">
        <f ca="1">+WORLDCUP!BD59</f>
        <v>Bosnia y Herzegovina</v>
      </c>
      <c r="F454" s="9" t="str">
        <f ca="1">+WORLDCUP!BD61</f>
        <v>Turquía</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Brasil</v>
      </c>
      <c r="D455" s="9" t="str">
        <f ca="1">+WORLDCUP!BD64</f>
        <v>Bélgica</v>
      </c>
      <c r="E455" s="9" t="str">
        <f ca="1">+WORLDCUP!BD59</f>
        <v>Bosnia y Herzegovina</v>
      </c>
      <c r="F455" s="9" t="str">
        <f ca="1">+WORLDCUP!BD61</f>
        <v>Turquía</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Brasil</v>
      </c>
      <c r="D456" s="9" t="str">
        <f ca="1">+WORLDCUP!BD64</f>
        <v>Bélgica</v>
      </c>
      <c r="E456" s="9" t="str">
        <f ca="1">+WORLDCUP!BD59</f>
        <v>Bosnia y Herzegovina</v>
      </c>
      <c r="F456" s="9" t="str">
        <f ca="1">+WORLDCUP!BD61</f>
        <v>Turquía</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Brasil</v>
      </c>
      <c r="D457" s="9" t="str">
        <f ca="1">+WORLDCUP!BD64</f>
        <v>Bélgica</v>
      </c>
      <c r="E457" s="9" t="str">
        <f ca="1">+WORLDCUP!BD59</f>
        <v>Bosnia y Herzegovina</v>
      </c>
      <c r="F457" s="9" t="str">
        <f ca="1">+WORLDCUP!BD61</f>
        <v>Turquía</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Brasil</v>
      </c>
      <c r="D458" s="9" t="str">
        <f ca="1">+WORLDCUP!BD64</f>
        <v>Bélgica</v>
      </c>
      <c r="E458" s="9" t="str">
        <f ca="1">+WORLDCUP!BD59</f>
        <v>Bosnia y Herzegovina</v>
      </c>
      <c r="F458" s="9" t="str">
        <f ca="1">+WORLDCUP!BD61</f>
        <v>Turquía</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España</v>
      </c>
      <c r="D459" s="9" t="str">
        <f ca="1">+WORLDCUP!BD64</f>
        <v>Bélgica</v>
      </c>
      <c r="E459" s="9" t="str">
        <f ca="1">+WORLDCUP!BD59</f>
        <v>Bosnia y Herzegovina</v>
      </c>
      <c r="F459" s="9" t="str">
        <f ca="1">+WORLDCUP!BD60</f>
        <v>Brasil</v>
      </c>
      <c r="G459" s="9" t="str">
        <f ca="1">+WORLDCUP!BD58</f>
        <v>República Checa</v>
      </c>
      <c r="H459" s="9" t="str">
        <f ca="1">+WORLDCUP!BD63</f>
        <v>Japón</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Brasil</v>
      </c>
      <c r="G460" s="9" t="str">
        <f ca="1">+WORLDCUP!BD58</f>
        <v>República Checa</v>
      </c>
      <c r="H460" s="9" t="str">
        <f ca="1">+WORLDCUP!BD63</f>
        <v>Japón</v>
      </c>
      <c r="I460" s="9" t="str">
        <f ca="1">+WORLDCUP!BD61</f>
        <v>Turquía</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Brasil</v>
      </c>
      <c r="G461" s="9" t="str">
        <f ca="1">+WORLDCUP!BD58</f>
        <v>República Checa</v>
      </c>
      <c r="H461" s="9" t="str">
        <f ca="1">+WORLDCUP!BD63</f>
        <v>Japón</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Brasil</v>
      </c>
      <c r="G462" s="9" t="str">
        <f ca="1">+WORLDCUP!BD58</f>
        <v>República Checa</v>
      </c>
      <c r="H462" s="9" t="str">
        <f ca="1">+WORLDCUP!BD61</f>
        <v>Turquía</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Brasil</v>
      </c>
      <c r="G463" s="9" t="str">
        <f ca="1">+WORLDCUP!BD58</f>
        <v>República Checa</v>
      </c>
      <c r="H463" s="9" t="str">
        <f ca="1">+WORLDCUP!BD61</f>
        <v>Turquía</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Brasil</v>
      </c>
      <c r="G464" s="9" t="str">
        <f ca="1">+WORLDCUP!BD58</f>
        <v>República Checa</v>
      </c>
      <c r="H464" s="9" t="str">
        <f ca="1">+WORLDCUP!BD61</f>
        <v>Turquía</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Brasil</v>
      </c>
      <c r="G465" s="9" t="str">
        <f ca="1">+WORLDCUP!BD58</f>
        <v>República Checa</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Brasil</v>
      </c>
      <c r="G466" s="9" t="str">
        <f ca="1">+WORLDCUP!BD58</f>
        <v>República Checa</v>
      </c>
      <c r="H466" s="9" t="str">
        <f ca="1">+WORLDCUP!BD61</f>
        <v>Turquía</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Brasil</v>
      </c>
      <c r="G467" s="9" t="str">
        <f ca="1">+WORLDCUP!BD58</f>
        <v>República Checa</v>
      </c>
      <c r="H467" s="9" t="str">
        <f ca="1">+WORLDCUP!BD61</f>
        <v>Turquía</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Brasil</v>
      </c>
      <c r="G468" s="9" t="str">
        <f ca="1">+WORLDCUP!BD58</f>
        <v>República Checa</v>
      </c>
      <c r="H468" s="9" t="str">
        <f ca="1">+WORLDCUP!BD61</f>
        <v>Turquía</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Brasil</v>
      </c>
      <c r="G469" s="9" t="str">
        <f ca="1">+WORLDCUP!BD58</f>
        <v>República Checa</v>
      </c>
      <c r="H469" s="9" t="str">
        <f ca="1">+WORLDCUP!BD61</f>
        <v>Turquía</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Brasil</v>
      </c>
      <c r="G470" s="9" t="str">
        <f ca="1">+WORLDCUP!BD58</f>
        <v>República Checa</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Brasil</v>
      </c>
      <c r="G471" s="9" t="str">
        <f ca="1">+WORLDCUP!BD58</f>
        <v>República Checa</v>
      </c>
      <c r="H471" s="9" t="str">
        <f ca="1">+WORLDCUP!BD61</f>
        <v>Turquía</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Brasil</v>
      </c>
      <c r="G472" s="9" t="str">
        <f ca="1">+WORLDCUP!BD58</f>
        <v>República Checa</v>
      </c>
      <c r="H472" s="9" t="str">
        <f ca="1">+WORLDCUP!BD61</f>
        <v>Turquía</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Brasil</v>
      </c>
      <c r="G473" s="9" t="str">
        <f ca="1">+WORLDCUP!BD58</f>
        <v>República Checa</v>
      </c>
      <c r="H473" s="9" t="str">
        <f ca="1">+WORLDCUP!BD61</f>
        <v>Turquía</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Brasil</v>
      </c>
      <c r="G474" s="9" t="str">
        <f ca="1">+WORLDCUP!BD58</f>
        <v>República Checa</v>
      </c>
      <c r="H474" s="9" t="str">
        <f ca="1">+WORLDCUP!BD61</f>
        <v>Turquía</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Brasil</v>
      </c>
      <c r="G475" s="9" t="str">
        <f ca="1">+WORLDCUP!BD58</f>
        <v>República Checa</v>
      </c>
      <c r="H475" s="9" t="str">
        <f ca="1">+WORLDCUP!BD61</f>
        <v>Turquía</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Brasil</v>
      </c>
      <c r="G476" s="9" t="str">
        <f ca="1">+WORLDCUP!BD58</f>
        <v>República Checa</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Brasil</v>
      </c>
      <c r="G477" s="9" t="str">
        <f ca="1">+WORLDCUP!BD58</f>
        <v>República Checa</v>
      </c>
      <c r="H477" s="9" t="str">
        <f ca="1">+WORLDCUP!BD61</f>
        <v>Turquía</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Brasil</v>
      </c>
      <c r="G478" s="9" t="str">
        <f ca="1">+WORLDCUP!BD58</f>
        <v>República Checa</v>
      </c>
      <c r="H478" s="9" t="str">
        <f ca="1">+WORLDCUP!BD61</f>
        <v>Turquía</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Brasil</v>
      </c>
      <c r="G479" s="9" t="str">
        <f ca="1">+WORLDCUP!BD58</f>
        <v>República Checa</v>
      </c>
      <c r="H479" s="9" t="str">
        <f ca="1">+WORLDCUP!BD61</f>
        <v>Turquía</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Brasil</v>
      </c>
      <c r="G480" s="9" t="str">
        <f ca="1">+WORLDCUP!BD58</f>
        <v>República Checa</v>
      </c>
      <c r="H480" s="9" t="str">
        <f ca="1">+WORLDCUP!BD61</f>
        <v>Turquía</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Brasil</v>
      </c>
      <c r="G481" s="9" t="str">
        <f ca="1">+WORLDCUP!BD58</f>
        <v>República Checa</v>
      </c>
      <c r="H481" s="9" t="str">
        <f ca="1">+WORLDCUP!BD61</f>
        <v>Turquía</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Brasil</v>
      </c>
      <c r="D482" s="9" t="str">
        <f ca="1">+WORLDCUP!BD62</f>
        <v>Ecuador</v>
      </c>
      <c r="E482" s="9" t="str">
        <f ca="1">+WORLDCUP!BD59</f>
        <v>Bosnia y Herzegovina</v>
      </c>
      <c r="F482" s="9" t="str">
        <f ca="1">+WORLDCUP!BD61</f>
        <v>Turquía</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Brasil</v>
      </c>
      <c r="D483" s="9" t="str">
        <f ca="1">+WORLDCUP!BD67</f>
        <v>Jordania</v>
      </c>
      <c r="E483" s="9" t="str">
        <f ca="1">+WORLDCUP!BD59</f>
        <v>Bosnia y Herzegovina</v>
      </c>
      <c r="F483" s="9" t="str">
        <f ca="1">+WORLDCUP!BD61</f>
        <v>Turquía</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Brasil</v>
      </c>
      <c r="D484" s="9" t="str">
        <f ca="1">+WORLDCUP!BD67</f>
        <v>Jordania</v>
      </c>
      <c r="E484" s="9" t="str">
        <f ca="1">+WORLDCUP!BD59</f>
        <v>Bosnia y Herzegovina</v>
      </c>
      <c r="F484" s="9" t="str">
        <f ca="1">+WORLDCUP!BD61</f>
        <v>Turquía</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Brasil</v>
      </c>
      <c r="D485" s="9" t="str">
        <f ca="1">+WORLDCUP!BD62</f>
        <v>Ecuador</v>
      </c>
      <c r="E485" s="9" t="str">
        <f ca="1">+WORLDCUP!BD59</f>
        <v>Bosnia y Herzegovina</v>
      </c>
      <c r="F485" s="9" t="str">
        <f ca="1">+WORLDCUP!BD61</f>
        <v>Turquía</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Brasil</v>
      </c>
      <c r="D486" s="9" t="str">
        <f ca="1">+WORLDCUP!BD62</f>
        <v>Ecuador</v>
      </c>
      <c r="E486" s="9" t="str">
        <f ca="1">+WORLDCUP!BD59</f>
        <v>Bosnia y Herzegovina</v>
      </c>
      <c r="F486" s="9" t="str">
        <f ca="1">+WORLDCUP!BD61</f>
        <v>Turquía</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Brasil</v>
      </c>
      <c r="D487" s="9" t="str">
        <f ca="1">+WORLDCUP!BD67</f>
        <v>Jordania</v>
      </c>
      <c r="E487" s="9" t="str">
        <f ca="1">+WORLDCUP!BD59</f>
        <v>Bosnia y Herzegovina</v>
      </c>
      <c r="F487" s="9" t="str">
        <f ca="1">+WORLDCUP!BD61</f>
        <v>Turquía</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Brasil</v>
      </c>
      <c r="G488" s="9" t="str">
        <f ca="1">+WORLDCUP!BD58</f>
        <v>República Checa</v>
      </c>
      <c r="H488" s="9" t="str">
        <f ca="1">+WORLDCUP!BD61</f>
        <v>Turquía</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Brasil</v>
      </c>
      <c r="G489" s="9" t="str">
        <f ca="1">+WORLDCUP!BD58</f>
        <v>República Checa</v>
      </c>
      <c r="H489" s="9" t="str">
        <f ca="1">+WORLDCUP!BD63</f>
        <v>Japón</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Brasil</v>
      </c>
      <c r="G490" s="9" t="str">
        <f ca="1">+WORLDCUP!BD58</f>
        <v>República Checa</v>
      </c>
      <c r="H490" s="9" t="str">
        <f ca="1">+WORLDCUP!BD63</f>
        <v>Japón</v>
      </c>
      <c r="I490" s="9" t="str">
        <f ca="1">+WORLDCUP!BD61</f>
        <v>Turquía</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Brasil</v>
      </c>
      <c r="G491" s="9" t="str">
        <f ca="1">+WORLDCUP!BD58</f>
        <v>República Checa</v>
      </c>
      <c r="H491" s="9" t="str">
        <f ca="1">+WORLDCUP!BD63</f>
        <v>Japón</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Brasil</v>
      </c>
      <c r="D492" s="9" t="str">
        <f ca="1">+WORLDCUP!BD64</f>
        <v>Bélgica</v>
      </c>
      <c r="E492" s="9" t="str">
        <f ca="1">+WORLDCUP!BD59</f>
        <v>Bosnia y Herzegovina</v>
      </c>
      <c r="F492" s="9" t="str">
        <f ca="1">+WORLDCUP!BD61</f>
        <v>Turquía</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Brasil</v>
      </c>
      <c r="D493" s="9" t="str">
        <f ca="1">+WORLDCUP!BD64</f>
        <v>Bélgica</v>
      </c>
      <c r="E493" s="9" t="str">
        <f ca="1">+WORLDCUP!BD59</f>
        <v>Bosnia y Herzegovina</v>
      </c>
      <c r="F493" s="9" t="str">
        <f ca="1">+WORLDCUP!BD61</f>
        <v>Turquía</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Brasil</v>
      </c>
      <c r="D494" s="9" t="str">
        <f ca="1">+WORLDCUP!BD64</f>
        <v>Bélgica</v>
      </c>
      <c r="E494" s="9" t="str">
        <f ca="1">+WORLDCUP!BD59</f>
        <v>Bosnia y Herzegovina</v>
      </c>
      <c r="F494" s="9" t="str">
        <f ca="1">+WORLDCUP!BD61</f>
        <v>Turquía</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Brasil</v>
      </c>
      <c r="D495" s="9" t="str">
        <f ca="1">+WORLDCUP!BD64</f>
        <v>Bélgica</v>
      </c>
      <c r="E495" s="9" t="str">
        <f ca="1">+WORLDCUP!BD59</f>
        <v>Bosnia y Herzegovina</v>
      </c>
      <c r="F495" s="9" t="str">
        <f ca="1">+WORLDCUP!BD61</f>
        <v>Turquía</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Brasil</v>
      </c>
      <c r="G496" s="9" t="str">
        <f ca="1">+WORLDCUP!BD58</f>
        <v>República Checa</v>
      </c>
      <c r="H496" s="9" t="str">
        <f ca="1">+WORLDCUP!BD63</f>
        <v>Japón</v>
      </c>
      <c r="I496" s="9" t="str">
        <f ca="1">+WORLDCUP!BD61</f>
        <v>Turquía</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2026-06-20T00:07:11Z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
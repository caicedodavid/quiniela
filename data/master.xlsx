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D3078931-B426-C442-976B-32618CBB3941}" xr6:coauthVersionLast="47" xr6:coauthVersionMax="47" xr10:uidLastSave="{00000000-0000-0000-0000-000000000000}"/>
  <bookViews>
    <workbookView xWindow="0" yWindow="660" windowWidth="34560" windowHeight="2002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O84" i="2"/>
  <c r="E84" i="2"/>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O77" i="2"/>
  <c r="N77" i="2"/>
  <c r="K77" i="2"/>
  <c r="I77" i="2"/>
  <c r="H77" i="2"/>
  <c r="F77" i="2"/>
  <c r="D77" i="2"/>
  <c r="T77" i="2" s="1"/>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5" i="2"/>
  <c r="N15" i="2"/>
  <c r="L15" i="2"/>
  <c r="K15" i="2"/>
  <c r="I15" i="2"/>
  <c r="R15" i="2"/>
  <c r="O17" i="2"/>
  <c r="E15" i="2"/>
  <c r="R17" i="2"/>
  <c r="T22" i="2"/>
  <c r="L22" i="2"/>
  <c r="K22" i="2"/>
  <c r="I22" i="2"/>
  <c r="H22" i="2"/>
  <c r="F22" i="2"/>
  <c r="O22" i="2"/>
  <c r="N22" i="2"/>
  <c r="Q24" i="2"/>
  <c r="O24" i="2"/>
  <c r="N24" i="2"/>
  <c r="L24" i="2"/>
  <c r="K24" i="2"/>
  <c r="I24" i="2"/>
  <c r="H24" i="2"/>
  <c r="F24" i="2"/>
  <c r="E24" i="2"/>
  <c r="T24" i="2"/>
  <c r="R24"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T14" i="2"/>
  <c r="N25" i="2"/>
  <c r="U30" i="2"/>
  <c r="O39" i="2"/>
  <c r="N39" i="2"/>
  <c r="L39" i="2"/>
  <c r="U39" i="2"/>
  <c r="T39" i="2"/>
  <c r="R39" i="2"/>
  <c r="Q39" i="2"/>
  <c r="K39" i="2"/>
  <c r="I39" i="2"/>
  <c r="AC142" i="2"/>
  <c r="AC119" i="2"/>
  <c r="AC130" i="2"/>
  <c r="AC75" i="2"/>
  <c r="AC91" i="2"/>
  <c r="AC83" i="2"/>
  <c r="AC59" i="2"/>
  <c r="AC100" i="2"/>
  <c r="AC43" i="2"/>
  <c r="AC35" i="2"/>
  <c r="U14" i="2"/>
  <c r="O25" i="2"/>
  <c r="AR29" i="2"/>
  <c r="E39" i="2"/>
  <c r="AD142" i="2"/>
  <c r="AD59" i="2"/>
  <c r="AD91" i="2"/>
  <c r="AD130" i="2"/>
  <c r="AD119" i="2"/>
  <c r="AD43" i="2"/>
  <c r="AD83" i="2"/>
  <c r="AD100" i="2"/>
  <c r="AD75" i="2"/>
  <c r="AD35" i="2"/>
  <c r="AD27" i="2"/>
  <c r="AD67" i="2"/>
  <c r="AD51" i="2"/>
  <c r="E14" i="2"/>
  <c r="Q25" i="2"/>
  <c r="F39" i="2"/>
  <c r="AF137" i="2"/>
  <c r="AF142" i="2"/>
  <c r="AF146" i="2"/>
  <c r="AF59" i="2"/>
  <c r="AF91" i="2"/>
  <c r="AF67" i="2"/>
  <c r="AF100" i="2"/>
  <c r="AF119" i="2"/>
  <c r="AF83" i="2"/>
  <c r="AF75" i="2"/>
  <c r="AF51" i="2"/>
  <c r="AR85" i="2"/>
  <c r="AR53" i="2"/>
  <c r="AR101" i="2"/>
  <c r="AR77" i="2"/>
  <c r="AR37" i="2"/>
  <c r="AR69" i="2"/>
  <c r="AR93" i="2"/>
  <c r="AR61" i="2"/>
  <c r="AR45" i="2"/>
  <c r="F14" i="2"/>
  <c r="U16" i="2"/>
  <c r="R25" i="2"/>
  <c r="H39"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H38" i="2"/>
  <c r="F38" i="2"/>
  <c r="E38" i="2"/>
  <c r="I64" i="2"/>
  <c r="H64" i="2"/>
  <c r="F64" i="2"/>
  <c r="L64" i="2"/>
  <c r="U64" i="2"/>
  <c r="T64" i="2"/>
  <c r="R64" i="2"/>
  <c r="O64" i="2"/>
  <c r="Q85" i="2"/>
  <c r="I85" i="2"/>
  <c r="H85" i="2"/>
  <c r="F85" i="2"/>
  <c r="U85" i="2"/>
  <c r="L85" i="2"/>
  <c r="K85" i="2"/>
  <c r="T85" i="2"/>
  <c r="R85" i="2"/>
  <c r="O85" i="2"/>
  <c r="E85" i="2"/>
  <c r="C213" i="3"/>
  <c r="L32" i="2"/>
  <c r="K32" i="2"/>
  <c r="K38" i="2"/>
  <c r="F54" i="2"/>
  <c r="E54" i="2"/>
  <c r="N54" i="2"/>
  <c r="L54" i="2"/>
  <c r="K54" i="2"/>
  <c r="H54" i="2"/>
  <c r="Q54" i="2"/>
  <c r="E64" i="2"/>
  <c r="N85" i="2"/>
  <c r="L49" i="2"/>
  <c r="O56" i="2"/>
  <c r="N56" i="2"/>
  <c r="I80" i="2"/>
  <c r="H80" i="2"/>
  <c r="F80" i="2"/>
  <c r="T80" i="2"/>
  <c r="L80" i="2"/>
  <c r="K80" i="2"/>
  <c r="C185" i="3"/>
  <c r="C203" i="3"/>
  <c r="B203" i="3"/>
  <c r="T84" i="2"/>
  <c r="I84" i="2"/>
  <c r="H84" i="2"/>
  <c r="F84" i="2"/>
  <c r="U84" i="2"/>
  <c r="L84" i="2"/>
  <c r="K84" i="2"/>
  <c r="C233" i="3"/>
  <c r="B233" i="3"/>
  <c r="C227" i="3"/>
  <c r="M121" i="2"/>
  <c r="AA120" i="2" s="1"/>
  <c r="AG101" i="2"/>
  <c r="U80" i="2"/>
  <c r="N84" i="2"/>
  <c r="H97" i="2"/>
  <c r="R97" i="2"/>
  <c r="O97" i="2"/>
  <c r="N97" i="2"/>
  <c r="L97" i="2"/>
  <c r="K97" i="2"/>
  <c r="E97" i="2"/>
  <c r="T97" i="2"/>
  <c r="Q97" i="2"/>
  <c r="N120" i="2"/>
  <c r="AF121" i="2" s="1"/>
  <c r="C191" i="3" s="1"/>
  <c r="AG106" i="2"/>
  <c r="F49" i="2"/>
  <c r="R56" i="2"/>
  <c r="Q84" i="2"/>
  <c r="I97" i="2"/>
  <c r="C226" i="3"/>
  <c r="C232" i="3"/>
  <c r="B232" i="3"/>
  <c r="AB34" i="9"/>
  <c r="K33" i="8"/>
  <c r="B29" i="8"/>
  <c r="U40" i="2"/>
  <c r="H49" i="2"/>
  <c r="T56" i="2"/>
  <c r="L57" i="2"/>
  <c r="K57" i="2"/>
  <c r="I63" i="2"/>
  <c r="H63" i="2"/>
  <c r="L63" i="2"/>
  <c r="N70" i="2"/>
  <c r="L70" i="2"/>
  <c r="K70" i="2"/>
  <c r="Q70" i="2"/>
  <c r="O70" i="2"/>
  <c r="R84" i="2"/>
  <c r="U97" i="2"/>
  <c r="C244" i="3"/>
  <c r="B244" i="3"/>
  <c r="C236" i="3"/>
  <c r="C258" i="3"/>
  <c r="AG160" i="2"/>
  <c r="E47" i="2"/>
  <c r="E48" i="2"/>
  <c r="I49" i="2"/>
  <c r="U56" i="2"/>
  <c r="E57" i="2"/>
  <c r="I62" i="2"/>
  <c r="H62" i="2"/>
  <c r="E63" i="2"/>
  <c r="E70" i="2"/>
  <c r="I71" i="2"/>
  <c r="H71" i="2"/>
  <c r="F71" i="2"/>
  <c r="T71" i="2"/>
  <c r="L71" i="2"/>
  <c r="K71" i="2"/>
  <c r="AG103" i="2"/>
  <c r="M120" i="2"/>
  <c r="AA121" i="2" s="1"/>
  <c r="M125" i="2"/>
  <c r="AA125" i="2" s="1"/>
  <c r="AG110" i="2"/>
  <c r="U73" i="2"/>
  <c r="U77" i="2"/>
  <c r="N87" i="2"/>
  <c r="AG105" i="2"/>
  <c r="N122" i="2"/>
  <c r="AF122" i="2" s="1"/>
  <c r="C192" i="3" s="1"/>
  <c r="M124" i="2"/>
  <c r="AA124" i="2" s="1"/>
  <c r="AG112" i="2"/>
  <c r="E73" i="2"/>
  <c r="E77" i="2"/>
  <c r="U78" i="2"/>
  <c r="O87" i="2"/>
  <c r="O88" i="2"/>
  <c r="E92" i="2"/>
  <c r="C207" i="3"/>
  <c r="N134" i="2"/>
  <c r="AF134" i="2" s="1"/>
  <c r="C217" i="3" s="1"/>
  <c r="AG127" i="2"/>
  <c r="B207" i="3"/>
  <c r="AJ7" i="4"/>
  <c r="AA156" i="2"/>
  <c r="AH154" i="2"/>
  <c r="AA158" i="2"/>
  <c r="AB29" i="9"/>
  <c r="K28" i="8"/>
  <c r="B23" i="8"/>
  <c r="L73" i="2"/>
  <c r="L77" i="2"/>
  <c r="AG115" i="2"/>
  <c r="M126" i="2"/>
  <c r="AA126" i="2" s="1"/>
  <c r="AA155" i="2"/>
  <c r="AB17" i="9"/>
  <c r="K16" i="8"/>
  <c r="B47" i="8"/>
  <c r="AB3" i="4"/>
  <c r="AU25" i="4"/>
  <c r="AI32" i="4"/>
  <c r="Q73" i="2"/>
  <c r="Q77" i="2"/>
  <c r="O78" i="2"/>
  <c r="U81" i="2"/>
  <c r="H87" i="2"/>
  <c r="I88" i="2"/>
  <c r="R92" i="2"/>
  <c r="AA159" i="2"/>
  <c r="BA21" i="4"/>
  <c r="R73" i="2"/>
  <c r="R77"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R28" i="4" s="1"/>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27" i="4" l="1"/>
  <c r="R4" i="4"/>
  <c r="R3" i="4"/>
  <c r="F43" i="4"/>
  <c r="F4" i="4"/>
  <c r="O6" i="4"/>
  <c r="B43" i="3"/>
  <c r="B72" i="3"/>
  <c r="O31" i="4"/>
  <c r="C47" i="4"/>
  <c r="BC37" i="2"/>
  <c r="BC15" i="2"/>
  <c r="AF33" i="2"/>
  <c r="F32" i="4" s="1"/>
  <c r="AF30" i="2"/>
  <c r="F29" i="4" s="1"/>
  <c r="AY32" i="2"/>
  <c r="AA29" i="2"/>
  <c r="C14" i="4"/>
  <c r="B33" i="3"/>
  <c r="BC49" i="2"/>
  <c r="AA63" i="2"/>
  <c r="AA65" i="2"/>
  <c r="AY65" i="2"/>
  <c r="AF61" i="2"/>
  <c r="AA25" i="2"/>
  <c r="AF22" i="2"/>
  <c r="F21" i="4" s="1"/>
  <c r="AY23" i="2"/>
  <c r="AF20" i="2"/>
  <c r="C12" i="4"/>
  <c r="BC20" i="2"/>
  <c r="O44" i="4"/>
  <c r="AF85" i="2"/>
  <c r="R36" i="4" s="1"/>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BC23" i="2"/>
  <c r="BC47" i="2"/>
  <c r="O48" i="4"/>
  <c r="B77" i="3"/>
  <c r="BC19" i="2"/>
  <c r="O5" i="4"/>
  <c r="AA96" i="2"/>
  <c r="AY97" i="2"/>
  <c r="AF93" i="2"/>
  <c r="R44" i="4" s="1"/>
  <c r="AA95" i="2"/>
  <c r="AY30" i="2"/>
  <c r="AA30" i="2"/>
  <c r="AF32" i="2"/>
  <c r="F31" i="4" s="1"/>
  <c r="AA28" i="2"/>
  <c r="BC29" i="2"/>
  <c r="BC25" i="2"/>
  <c r="AY39" i="2"/>
  <c r="AA40" i="2"/>
  <c r="AF39" i="2"/>
  <c r="F38" i="4" s="1"/>
  <c r="AF36" i="2"/>
  <c r="AF87" i="2"/>
  <c r="R38" i="4" s="1"/>
  <c r="AA89" i="2"/>
  <c r="AF84" i="2"/>
  <c r="R35" i="4" s="1"/>
  <c r="AY87" i="2"/>
  <c r="C5" i="4"/>
  <c r="O3" i="4"/>
  <c r="B18" i="3"/>
  <c r="O7" i="4"/>
  <c r="AA21" i="2"/>
  <c r="AF25" i="2"/>
  <c r="F24" i="4" s="1"/>
  <c r="AY24" i="2"/>
  <c r="AF23" i="2"/>
  <c r="F22" i="4" s="1"/>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BC11" i="2"/>
  <c r="BC6" i="2"/>
  <c r="AA64" i="2"/>
  <c r="AF63" i="2"/>
  <c r="R14" i="4" s="1"/>
  <c r="AF60" i="2"/>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F13" i="4" s="1"/>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20" i="4" l="1"/>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179" i="3"/>
  <c r="C179" i="3"/>
  <c r="BG108" i="2"/>
  <c r="AA4" i="4"/>
  <c r="B171" i="3"/>
  <c r="AA7" i="4"/>
  <c r="BG107" i="2"/>
  <c r="BR13" i="2"/>
  <c r="C171" i="3"/>
  <c r="AU101" i="2"/>
  <c r="AV100" i="2" s="1"/>
  <c r="AA37" i="4"/>
  <c r="BR19" i="2"/>
  <c r="BS41" i="2" s="1"/>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T47" i="2"/>
  <c r="BT43" i="2"/>
  <c r="F76" i="2" s="1"/>
  <c r="BT51" i="2"/>
  <c r="BT41" i="2"/>
  <c r="F69" i="2" s="1"/>
  <c r="BT38" i="2"/>
  <c r="E68" i="2" s="1"/>
  <c r="BT44" i="2"/>
  <c r="BT14" i="2"/>
  <c r="E20" i="2" s="1"/>
  <c r="BT42" i="2"/>
  <c r="E76" i="2" s="1"/>
  <c r="BT9" i="2"/>
  <c r="E8" i="2" s="1"/>
  <c r="BT37" i="2"/>
  <c r="F61" i="2" s="1"/>
  <c r="BT8" i="2"/>
  <c r="F9" i="2" s="1"/>
  <c r="BT18" i="2"/>
  <c r="E28" i="2" s="1"/>
  <c r="BT11" i="2"/>
  <c r="F12" i="2" s="1"/>
  <c r="BT25" i="2"/>
  <c r="F37" i="2" s="1"/>
  <c r="BT39" i="2"/>
  <c r="F68" i="2" s="1"/>
  <c r="BT52" i="2"/>
  <c r="BT16" i="2"/>
  <c r="E21" i="2" s="1"/>
  <c r="BT32" i="2"/>
  <c r="E53" i="2" s="1"/>
  <c r="BT17" i="2"/>
  <c r="F21" i="2" s="1"/>
  <c r="BT35" i="2"/>
  <c r="F60" i="2" s="1"/>
  <c r="BT26" i="2"/>
  <c r="E44" i="2" s="1"/>
  <c r="BT50" i="2"/>
  <c r="BT30" i="2"/>
  <c r="E52" i="2" s="1"/>
  <c r="BT34" i="2"/>
  <c r="E60" i="2" s="1"/>
  <c r="BT7" i="2"/>
  <c r="E9" i="2" s="1"/>
  <c r="BT27" i="2"/>
  <c r="F44" i="2" s="1"/>
  <c r="BT28" i="2"/>
  <c r="E45" i="2" s="1"/>
  <c r="BT48" i="2"/>
  <c r="BT20" i="2"/>
  <c r="E29" i="2" s="1"/>
  <c r="BT24" i="2"/>
  <c r="E37" i="2" s="1"/>
  <c r="BT13" i="2"/>
  <c r="F13" i="2" s="1"/>
  <c r="BT23" i="2"/>
  <c r="F36" i="2" s="1"/>
  <c r="BT22" i="2"/>
  <c r="E36" i="2" s="1"/>
  <c r="BT31" i="2"/>
  <c r="F52" i="2" s="1"/>
  <c r="BT49" i="2"/>
  <c r="BT21" i="2"/>
  <c r="F29" i="2" s="1"/>
  <c r="BT15" i="2"/>
  <c r="F20" i="2" s="1"/>
  <c r="BT45" i="2"/>
  <c r="BT33" i="2"/>
  <c r="F53" i="2" s="1"/>
  <c r="BT12" i="2"/>
  <c r="E13" i="2" s="1"/>
  <c r="BT6" i="2"/>
  <c r="F8" i="2" s="1"/>
  <c r="BT10" i="2"/>
  <c r="E12" i="2" s="1"/>
  <c r="BT46" i="2"/>
  <c r="BI112" i="2"/>
  <c r="BT19" i="2"/>
  <c r="F28" i="2" s="1"/>
  <c r="BT29" i="2"/>
  <c r="F45" i="2" s="1"/>
  <c r="BT53" i="2"/>
  <c r="BT36" i="2"/>
  <c r="E61" i="2" s="1"/>
  <c r="BV40" i="2" l="1"/>
  <c r="E69" i="2"/>
  <c r="E5" i="2"/>
  <c r="F7" i="2"/>
  <c r="E4" i="2"/>
  <c r="E7" i="2"/>
  <c r="F5" i="2"/>
  <c r="E6" i="2"/>
  <c r="F4" i="2"/>
  <c r="BU6" i="2" s="1"/>
  <c r="F6" i="2"/>
  <c r="BU40" i="2"/>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H69" i="2" s="1"/>
  <c r="BZ42" i="2"/>
  <c r="BZ45" i="2"/>
  <c r="CA45" i="2" s="1"/>
  <c r="BZ24" i="2"/>
  <c r="BZ36" i="2"/>
  <c r="BZ39" i="2"/>
  <c r="BZ31" i="2"/>
  <c r="BZ22" i="2"/>
  <c r="BZ23" i="2"/>
  <c r="BZ33" i="2"/>
  <c r="BZ21" i="2"/>
  <c r="BZ27" i="2"/>
  <c r="BZ12" i="2"/>
  <c r="H13" i="2" s="1"/>
  <c r="BZ53" i="2"/>
  <c r="CA53" i="2" s="1"/>
  <c r="BZ25" i="2"/>
  <c r="BZ51" i="2"/>
  <c r="CA51" i="2" s="1"/>
  <c r="BZ16" i="2"/>
  <c r="BZ50" i="2"/>
  <c r="CA50" i="2" s="1"/>
  <c r="BZ34" i="2"/>
  <c r="BZ41" i="2"/>
  <c r="BZ30" i="2"/>
  <c r="BZ9" i="2"/>
  <c r="H8" i="2" s="1"/>
  <c r="BZ32" i="2"/>
  <c r="BZ17" i="2"/>
  <c r="BZ47" i="2"/>
  <c r="CA47" i="2" s="1"/>
  <c r="BZ6" i="2"/>
  <c r="BZ38" i="2"/>
  <c r="BZ46" i="2"/>
  <c r="CA46" i="2" s="1"/>
  <c r="BZ15" i="2"/>
  <c r="BZ44" i="2"/>
  <c r="CB44" i="2" s="1"/>
  <c r="BZ48" i="2"/>
  <c r="CA48" i="2" s="1"/>
  <c r="BZ26" i="2"/>
  <c r="BZ19" i="2"/>
  <c r="BZ20" i="2"/>
  <c r="BZ29" i="2"/>
  <c r="BZ10" i="2"/>
  <c r="BZ8" i="2"/>
  <c r="BZ28" i="2"/>
  <c r="BZ37" i="2"/>
  <c r="BZ52" i="2"/>
  <c r="CB52" i="2" s="1"/>
  <c r="BZ13" i="2"/>
  <c r="BZ35" i="2"/>
  <c r="BZ18" i="2"/>
  <c r="BZ43" i="2"/>
  <c r="BZ11" i="2"/>
  <c r="BZ14" i="2"/>
  <c r="BZ7" i="2"/>
  <c r="H9" i="2" s="1"/>
  <c r="CA49" i="2"/>
  <c r="CB49" i="2"/>
  <c r="CB43" i="2" l="1"/>
  <c r="I76" i="2"/>
  <c r="CB45" i="2"/>
  <c r="CB42" i="2"/>
  <c r="H76" i="2"/>
  <c r="CB41" i="2"/>
  <c r="I69" i="2"/>
  <c r="I68" i="2"/>
  <c r="CB38" i="2"/>
  <c r="H68" i="2"/>
  <c r="CB39" i="2" s="1"/>
  <c r="H53" i="2"/>
  <c r="CB33" i="2"/>
  <c r="I53" i="2"/>
  <c r="CB32" i="2" s="1"/>
  <c r="H61" i="2"/>
  <c r="CA37" i="2"/>
  <c r="I61" i="2"/>
  <c r="CB36" i="2" s="1"/>
  <c r="H52" i="2"/>
  <c r="CA31" i="2" s="1"/>
  <c r="I52" i="2"/>
  <c r="CB30" i="2" s="1"/>
  <c r="H60" i="2"/>
  <c r="CB35" i="2"/>
  <c r="I60" i="2"/>
  <c r="CA34" i="2" s="1"/>
  <c r="CB29" i="2"/>
  <c r="I45" i="2"/>
  <c r="CA28" i="2"/>
  <c r="H45" i="2"/>
  <c r="H37" i="2"/>
  <c r="CB25" i="2" s="1"/>
  <c r="I37" i="2"/>
  <c r="CA24" i="2" s="1"/>
  <c r="H44" i="2"/>
  <c r="CA27" i="2" s="1"/>
  <c r="I44" i="2"/>
  <c r="CB26" i="2" s="1"/>
  <c r="CA33" i="2"/>
  <c r="CA42" i="2"/>
  <c r="CC42" i="2" s="1"/>
  <c r="I36" i="2"/>
  <c r="CB22" i="2" s="1"/>
  <c r="H36" i="2"/>
  <c r="CB23" i="2" s="1"/>
  <c r="I29" i="2"/>
  <c r="CB20" i="2" s="1"/>
  <c r="H29" i="2"/>
  <c r="CA21" i="2" s="1"/>
  <c r="CA16" i="2"/>
  <c r="H21" i="2"/>
  <c r="CB17" i="2"/>
  <c r="I21" i="2"/>
  <c r="I20" i="2"/>
  <c r="CB14" i="2" s="1"/>
  <c r="H20" i="2"/>
  <c r="CB15" i="2" s="1"/>
  <c r="CB31" i="2"/>
  <c r="CA25" i="2"/>
  <c r="CA13" i="2"/>
  <c r="I13" i="2"/>
  <c r="I28" i="2"/>
  <c r="CB18" i="2" s="1"/>
  <c r="H28" i="2"/>
  <c r="CA19" i="2" s="1"/>
  <c r="I12" i="2"/>
  <c r="CB10" i="2" s="1"/>
  <c r="H12" i="2"/>
  <c r="CA11" i="2" s="1"/>
  <c r="CB28" i="2"/>
  <c r="CC28" i="2" s="1"/>
  <c r="CA17" i="2"/>
  <c r="CC17" i="2" s="1"/>
  <c r="CA29" i="2"/>
  <c r="CC29" i="2" s="1"/>
  <c r="CB53" i="2"/>
  <c r="CC53" i="2" s="1"/>
  <c r="I7" i="2"/>
  <c r="I9" i="2"/>
  <c r="CA32" i="2"/>
  <c r="CB24" i="2"/>
  <c r="CB16" i="2"/>
  <c r="CC16" i="2" s="1"/>
  <c r="CA36" i="2"/>
  <c r="H7" i="2"/>
  <c r="I8" i="2"/>
  <c r="CB47" i="2"/>
  <c r="CC47" i="2" s="1"/>
  <c r="CA20" i="2"/>
  <c r="CA26" i="2"/>
  <c r="I4" i="2"/>
  <c r="CB6" i="2" s="1"/>
  <c r="I6" i="2"/>
  <c r="I5" i="2"/>
  <c r="CB8" i="2" s="1"/>
  <c r="H6" i="2"/>
  <c r="CA44" i="2"/>
  <c r="CC44" i="2" s="1"/>
  <c r="H5" i="2"/>
  <c r="CA52" i="2"/>
  <c r="CC52" i="2" s="1"/>
  <c r="CB46" i="2"/>
  <c r="CC46" i="2" s="1"/>
  <c r="CB50" i="2"/>
  <c r="CC50" i="2" s="1"/>
  <c r="CB13" i="2"/>
  <c r="CB37" i="2"/>
  <c r="CC37" i="2" s="1"/>
  <c r="CB51" i="2"/>
  <c r="CC51" i="2" s="1"/>
  <c r="CA38" i="2"/>
  <c r="CB48" i="2"/>
  <c r="CC48" i="2" s="1"/>
  <c r="H4" i="2"/>
  <c r="CA39" i="2"/>
  <c r="CA35" i="2"/>
  <c r="CB19" i="2"/>
  <c r="CA41" i="2"/>
  <c r="CC41" i="2" s="1"/>
  <c r="CC49" i="2"/>
  <c r="CC45" i="2"/>
  <c r="CA43" i="2"/>
  <c r="CC43" i="2" s="1"/>
  <c r="CC38" i="2" l="1"/>
  <c r="CB34" i="2"/>
  <c r="CA30" i="2"/>
  <c r="CC30" i="2" s="1"/>
  <c r="CC39" i="2"/>
  <c r="CA22" i="2"/>
  <c r="CC22" i="2" s="1"/>
  <c r="CA40" i="2"/>
  <c r="CB40" i="2"/>
  <c r="CC33" i="2"/>
  <c r="CC35" i="2"/>
  <c r="CC36" i="2"/>
  <c r="CA23" i="2"/>
  <c r="CC23" i="2" s="1"/>
  <c r="CC32" i="2"/>
  <c r="CA14" i="2"/>
  <c r="CC14" i="2" s="1"/>
  <c r="CB27" i="2"/>
  <c r="CC27" i="2" s="1"/>
  <c r="CC31" i="2"/>
  <c r="CC25" i="2"/>
  <c r="CC34" i="2"/>
  <c r="CC24" i="2"/>
  <c r="CB21" i="2"/>
  <c r="CC21" i="2" s="1"/>
  <c r="CA15" i="2"/>
  <c r="CC15" i="2" s="1"/>
  <c r="CC26" i="2"/>
  <c r="CA18" i="2"/>
  <c r="CC18" i="2" s="1"/>
  <c r="CC20" i="2"/>
  <c r="CC13" i="2"/>
  <c r="CB11" i="2"/>
  <c r="CC11" i="2" s="1"/>
  <c r="CA6" i="2"/>
  <c r="CC6" i="2" s="1"/>
  <c r="CC19" i="2"/>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F51" i="2" s="1"/>
  <c r="CE53" i="2"/>
  <c r="CF53" i="2" s="1"/>
  <c r="CE44" i="2"/>
  <c r="CF44" i="2" s="1"/>
  <c r="CE52" i="2"/>
  <c r="CF52" i="2" s="1"/>
  <c r="CE24" i="2"/>
  <c r="CE50" i="2"/>
  <c r="CF50" i="2" s="1"/>
  <c r="CE27" i="2"/>
  <c r="CE39" i="2"/>
  <c r="CE36" i="2"/>
  <c r="CE42" i="2"/>
  <c r="CE7" i="2"/>
  <c r="CE25" i="2"/>
  <c r="CE20" i="2"/>
  <c r="CE47" i="2"/>
  <c r="CF47" i="2" s="1"/>
  <c r="CE34" i="2"/>
  <c r="CE6" i="2"/>
  <c r="L8" i="2" s="1"/>
  <c r="CE33" i="2"/>
  <c r="CE11" i="2"/>
  <c r="CE15" i="2"/>
  <c r="CE32" i="2"/>
  <c r="CE8" i="2"/>
  <c r="L9" i="2" s="1"/>
  <c r="CE31" i="2"/>
  <c r="CE45" i="2"/>
  <c r="CF45" i="2" s="1"/>
  <c r="CE12" i="2"/>
  <c r="CE22" i="2"/>
  <c r="CE37" i="2"/>
  <c r="CE9" i="2"/>
  <c r="CE49" i="2"/>
  <c r="CF49" i="2" s="1"/>
  <c r="CE28" i="2"/>
  <c r="CE21" i="2"/>
  <c r="CE48" i="2"/>
  <c r="CF48" i="2" s="1"/>
  <c r="CE10" i="2"/>
  <c r="CE13" i="2"/>
  <c r="CE40" i="2"/>
  <c r="CE38" i="2"/>
  <c r="CE35" i="2"/>
  <c r="CE16" i="2"/>
  <c r="CE26" i="2"/>
  <c r="CE19" i="2"/>
  <c r="CE18" i="2"/>
  <c r="CE41" i="2"/>
  <c r="CE43" i="2"/>
  <c r="CE14" i="2"/>
  <c r="CE46" i="2"/>
  <c r="CF46" i="2" s="1"/>
  <c r="CF43" i="2" l="1"/>
  <c r="L76" i="2"/>
  <c r="CF42" i="2"/>
  <c r="K76" i="2"/>
  <c r="CF41" i="2"/>
  <c r="L69" i="2"/>
  <c r="CF40" i="2"/>
  <c r="K69" i="2"/>
  <c r="CF39" i="2"/>
  <c r="L68" i="2"/>
  <c r="CF38" i="2"/>
  <c r="K68" i="2"/>
  <c r="K53" i="2"/>
  <c r="CF33" i="2"/>
  <c r="L53" i="2"/>
  <c r="CF32" i="2" s="1"/>
  <c r="L61" i="2"/>
  <c r="CF36" i="2" s="1"/>
  <c r="K61" i="2"/>
  <c r="CF37" i="2" s="1"/>
  <c r="K52" i="2"/>
  <c r="CF31" i="2"/>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CF7" i="2" s="1"/>
  <c r="K7" i="2"/>
  <c r="L5" i="2"/>
  <c r="CF8" i="2" s="1"/>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N45" i="2" s="1"/>
  <c r="CH6" i="2"/>
  <c r="CH34" i="2"/>
  <c r="CH16" i="2"/>
  <c r="CI16" i="2" s="1"/>
  <c r="CH44" i="2"/>
  <c r="CI44" i="2" s="1"/>
  <c r="CH25" i="2"/>
  <c r="CH8" i="2"/>
  <c r="O9" i="2" s="1"/>
  <c r="CH45" i="2"/>
  <c r="CJ45" i="2" s="1"/>
  <c r="CH18" i="2"/>
  <c r="CK18" i="2" s="1"/>
  <c r="CH23" i="2"/>
  <c r="O36" i="2" s="1"/>
  <c r="CH47" i="2"/>
  <c r="CI47" i="2" s="1"/>
  <c r="CH32" i="2"/>
  <c r="CH43" i="2"/>
  <c r="CH49" i="2"/>
  <c r="CI49" i="2" s="1"/>
  <c r="CH14" i="2"/>
  <c r="CH38" i="2"/>
  <c r="N68" i="2" s="1"/>
  <c r="CH36" i="2"/>
  <c r="CH46" i="2"/>
  <c r="CK46" i="2" s="1"/>
  <c r="CI41" i="2"/>
  <c r="CH48" i="2"/>
  <c r="CJ48" i="2" s="1"/>
  <c r="CH24" i="2"/>
  <c r="CH31" i="2"/>
  <c r="CH12" i="2"/>
  <c r="CH37" i="2"/>
  <c r="CH35" i="2"/>
  <c r="CH53" i="2"/>
  <c r="CJ53" i="2" s="1"/>
  <c r="CK41" i="2"/>
  <c r="CH17" i="2"/>
  <c r="CH19" i="2"/>
  <c r="CH52" i="2"/>
  <c r="CH51" i="2"/>
  <c r="CK51" i="2" s="1"/>
  <c r="CH9" i="2"/>
  <c r="O5" i="2" s="1"/>
  <c r="CH30" i="2"/>
  <c r="CH13" i="2"/>
  <c r="CH42" i="2"/>
  <c r="CH27" i="2"/>
  <c r="CH40" i="2"/>
  <c r="N69" i="2" s="1"/>
  <c r="N9" i="2"/>
  <c r="O6" i="2"/>
  <c r="CH26" i="2"/>
  <c r="N44" i="2" s="1"/>
  <c r="CH11" i="2"/>
  <c r="O12" i="2" s="1"/>
  <c r="CH33" i="2"/>
  <c r="O53" i="2" s="1"/>
  <c r="CH22" i="2"/>
  <c r="N36" i="2" s="1"/>
  <c r="CH21" i="2"/>
  <c r="O29" i="2" s="1"/>
  <c r="CH15" i="2"/>
  <c r="CH10" i="2"/>
  <c r="N12" i="2" s="1"/>
  <c r="CH39" i="2"/>
  <c r="O68" i="2" s="1"/>
  <c r="CH29" i="2"/>
  <c r="O45" i="2" s="1"/>
  <c r="CH20" i="2"/>
  <c r="CH50" i="2"/>
  <c r="N7" i="2"/>
  <c r="O8" i="2"/>
  <c r="N4" i="2"/>
  <c r="CJ7" i="2" s="1"/>
  <c r="O7" i="2"/>
  <c r="CI28" i="2"/>
  <c r="CK28" i="2"/>
  <c r="CJ28" i="2"/>
  <c r="CJ43" i="2" l="1"/>
  <c r="O76" i="2"/>
  <c r="CI42" i="2"/>
  <c r="N76" i="2"/>
  <c r="N5" i="2"/>
  <c r="CJ41" i="2"/>
  <c r="CL41" i="2" s="1"/>
  <c r="O69" i="2"/>
  <c r="CI32" i="2"/>
  <c r="N53" i="2"/>
  <c r="CI36" i="2"/>
  <c r="N61" i="2"/>
  <c r="CK37" i="2"/>
  <c r="O61" i="2"/>
  <c r="O52" i="2"/>
  <c r="CJ30" i="2"/>
  <c r="N52" i="2"/>
  <c r="CJ31" i="2" s="1"/>
  <c r="O60" i="2"/>
  <c r="CJ34" i="2"/>
  <c r="N60" i="2"/>
  <c r="CJ35" i="2" s="1"/>
  <c r="CJ24" i="2"/>
  <c r="N37" i="2"/>
  <c r="CJ25" i="2"/>
  <c r="O37" i="2"/>
  <c r="CI27" i="2"/>
  <c r="O44" i="2"/>
  <c r="CI45" i="2"/>
  <c r="CL45" i="2" s="1"/>
  <c r="CK20" i="2"/>
  <c r="N29" i="2"/>
  <c r="CK45" i="2"/>
  <c r="CI8" i="2"/>
  <c r="CK17" i="2"/>
  <c r="O21" i="2"/>
  <c r="CJ16" i="2"/>
  <c r="N21" i="2"/>
  <c r="CI15" i="2"/>
  <c r="O20" i="2"/>
  <c r="CI14" i="2"/>
  <c r="N20" i="2"/>
  <c r="CI34" i="2"/>
  <c r="CJ32" i="2"/>
  <c r="CK43" i="2"/>
  <c r="CI43" i="2"/>
  <c r="CL43" i="2" s="1"/>
  <c r="CK32" i="2"/>
  <c r="CI6" i="2"/>
  <c r="CI25" i="2"/>
  <c r="CK8" i="2"/>
  <c r="CJ49" i="2"/>
  <c r="CL49" i="2" s="1"/>
  <c r="CK25" i="2"/>
  <c r="CJ8" i="2"/>
  <c r="CI13" i="2"/>
  <c r="O13" i="2"/>
  <c r="CJ12" i="2" s="1"/>
  <c r="CK12" i="2"/>
  <c r="N13" i="2"/>
  <c r="CJ13" i="2" s="1"/>
  <c r="CJ18" i="2"/>
  <c r="N28" i="2"/>
  <c r="CK19" i="2" s="1"/>
  <c r="O28" i="2"/>
  <c r="CI18" i="2" s="1"/>
  <c r="CK49" i="2"/>
  <c r="CI53" i="2"/>
  <c r="CL53" i="2" s="1"/>
  <c r="CK53" i="2"/>
  <c r="CK6" i="2"/>
  <c r="CI35" i="2"/>
  <c r="CI12" i="2"/>
  <c r="CK47" i="2"/>
  <c r="CK30" i="2"/>
  <c r="N6" i="2"/>
  <c r="CI7" i="2" s="1"/>
  <c r="CL7" i="2" s="1"/>
  <c r="N8" i="2"/>
  <c r="CJ6" i="2" s="1"/>
  <c r="CJ36" i="2"/>
  <c r="CL36" i="2" s="1"/>
  <c r="CK42" i="2"/>
  <c r="CJ44" i="2"/>
  <c r="CL44" i="2" s="1"/>
  <c r="CK34" i="2"/>
  <c r="CK7" i="2"/>
  <c r="CI9" i="2"/>
  <c r="CJ47" i="2"/>
  <c r="CL47" i="2" s="1"/>
  <c r="CL16" i="2"/>
  <c r="CJ46" i="2"/>
  <c r="CK36" i="2"/>
  <c r="CK48" i="2"/>
  <c r="CK24" i="2"/>
  <c r="CI17" i="2"/>
  <c r="CK15" i="2"/>
  <c r="CI24" i="2"/>
  <c r="CJ27" i="2"/>
  <c r="CK13" i="2"/>
  <c r="CK27" i="2"/>
  <c r="CK16" i="2"/>
  <c r="CI46" i="2"/>
  <c r="CJ19" i="2"/>
  <c r="CI51" i="2"/>
  <c r="CI48" i="2"/>
  <c r="CL48" i="2" s="1"/>
  <c r="CJ17" i="2"/>
  <c r="CJ51" i="2"/>
  <c r="CJ15" i="2"/>
  <c r="CK35" i="2"/>
  <c r="CJ9" i="2"/>
  <c r="CJ42" i="2"/>
  <c r="CL42" i="2" s="1"/>
  <c r="CI19" i="2"/>
  <c r="CK31" i="2"/>
  <c r="CI31" i="2"/>
  <c r="CK44" i="2"/>
  <c r="CK9" i="2"/>
  <c r="CI30" i="2"/>
  <c r="CL30" i="2" s="1"/>
  <c r="CJ14" i="2"/>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28" i="2"/>
  <c r="CL24" i="2" l="1"/>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R61" i="2" s="1"/>
  <c r="CN32" i="2"/>
  <c r="Q53" i="2" s="1"/>
  <c r="CN45" i="2"/>
  <c r="CN53" i="2"/>
  <c r="CN18" i="2"/>
  <c r="Q28" i="2" s="1"/>
  <c r="CN33" i="2"/>
  <c r="R53" i="2" s="1"/>
  <c r="CN30" i="2"/>
  <c r="Q52" i="2" s="1"/>
  <c r="CN28" i="2"/>
  <c r="Q45" i="2" s="1"/>
  <c r="CN36" i="2"/>
  <c r="Q61" i="2" s="1"/>
  <c r="CN24" i="2"/>
  <c r="Q37" i="2" s="1"/>
  <c r="CN48" i="2"/>
  <c r="CN34" i="2"/>
  <c r="Q60" i="2" s="1"/>
  <c r="CN13" i="2"/>
  <c r="R13" i="2" s="1"/>
  <c r="CN51" i="2"/>
  <c r="CN43" i="2"/>
  <c r="R76" i="2" s="1"/>
  <c r="CN15" i="2"/>
  <c r="R20" i="2" s="1"/>
  <c r="CN14" i="2"/>
  <c r="Q20" i="2" s="1"/>
  <c r="CN40" i="2"/>
  <c r="Q69" i="2" s="1"/>
  <c r="CN26" i="2"/>
  <c r="Q44" i="2" s="1"/>
  <c r="CN31" i="2"/>
  <c r="R52" i="2" s="1"/>
  <c r="CN38" i="2"/>
  <c r="Q68" i="2" s="1"/>
  <c r="CN21" i="2"/>
  <c r="R29" i="2" s="1"/>
  <c r="CN23" i="2"/>
  <c r="R36" i="2" s="1"/>
  <c r="CN17" i="2"/>
  <c r="R21" i="2" s="1"/>
  <c r="CN20" i="2"/>
  <c r="Q29" i="2" s="1"/>
  <c r="CN35" i="2"/>
  <c r="R60" i="2" s="1"/>
  <c r="CN44" i="2"/>
  <c r="CN25" i="2"/>
  <c r="R37" i="2" s="1"/>
  <c r="CN39" i="2"/>
  <c r="R68" i="2" s="1"/>
  <c r="CN52" i="2"/>
  <c r="CN47" i="2"/>
  <c r="CN50" i="2"/>
  <c r="CN16" i="2"/>
  <c r="Q21" i="2" s="1"/>
  <c r="CN12" i="2"/>
  <c r="Q13" i="2" s="1"/>
  <c r="CN22" i="2"/>
  <c r="Q36" i="2" s="1"/>
  <c r="CN19" i="2"/>
  <c r="R28" i="2" s="1"/>
  <c r="CN49" i="2"/>
  <c r="CN41" i="2"/>
  <c r="R69" i="2" s="1"/>
  <c r="CN8" i="2"/>
  <c r="CN9" i="2"/>
  <c r="CN10" i="2"/>
  <c r="Q12" i="2" s="1"/>
  <c r="CN6" i="2"/>
  <c r="Q4" i="2" s="1"/>
  <c r="CN7" i="2"/>
  <c r="R4" i="2" s="1"/>
  <c r="CN46" i="2"/>
  <c r="CN11" i="2"/>
  <c r="R12" i="2" s="1"/>
  <c r="CP42" i="2" l="1"/>
  <c r="Q76" i="2"/>
  <c r="CP29" i="2"/>
  <c r="R45" i="2"/>
  <c r="CP27" i="2"/>
  <c r="R44" i="2"/>
  <c r="CO42" i="2"/>
  <c r="CQ42" i="2" s="1"/>
  <c r="CO29" i="2"/>
  <c r="CQ29" i="2" s="1"/>
  <c r="CO27" i="2"/>
  <c r="CO30" i="2"/>
  <c r="CP30" i="2"/>
  <c r="CP38" i="2"/>
  <c r="CO38" i="2"/>
  <c r="R8" i="2"/>
  <c r="Q7" i="2"/>
  <c r="CP10" i="2"/>
  <c r="CO10" i="2"/>
  <c r="CP40" i="2"/>
  <c r="CO40" i="2"/>
  <c r="Q8" i="2"/>
  <c r="R5" i="2"/>
  <c r="CO8" i="2" s="1"/>
  <c r="Q6" i="2"/>
  <c r="CP39" i="2"/>
  <c r="CO39" i="2"/>
  <c r="CP14" i="2"/>
  <c r="CO14" i="2"/>
  <c r="CO33" i="2"/>
  <c r="CP33" i="2"/>
  <c r="CP16" i="2"/>
  <c r="CO16" i="2"/>
  <c r="CO36" i="2"/>
  <c r="CP36" i="2"/>
  <c r="CP26" i="2"/>
  <c r="CO26" i="2"/>
  <c r="CP25" i="2"/>
  <c r="CO25" i="2"/>
  <c r="R6" i="2"/>
  <c r="Q9" i="2"/>
  <c r="CO47" i="2"/>
  <c r="CP47" i="2"/>
  <c r="CO52" i="2"/>
  <c r="CP52" i="2"/>
  <c r="R9" i="2"/>
  <c r="CO7" i="2" s="1"/>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Q27" i="2" l="1"/>
  <c r="CP8" i="2"/>
  <c r="CQ8" i="2" s="1"/>
  <c r="CP6" i="2"/>
  <c r="CQ6" i="2" s="1"/>
  <c r="CQ16" i="2"/>
  <c r="CQ30" i="2"/>
  <c r="CQ36" i="2"/>
  <c r="CQ26" i="2"/>
  <c r="CQ31" i="2"/>
  <c r="CQ37" i="2"/>
  <c r="CQ11" i="2"/>
  <c r="CQ10" i="2"/>
  <c r="CQ49" i="2"/>
  <c r="CQ53"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S15" i="2"/>
  <c r="CS18" i="2"/>
  <c r="CS49" i="2"/>
  <c r="CT49" i="2" s="1"/>
  <c r="CS26" i="2"/>
  <c r="CS52" i="2"/>
  <c r="CT52" i="2" s="1"/>
  <c r="CS53" i="2"/>
  <c r="CT53" i="2" s="1"/>
  <c r="CS41" i="2"/>
  <c r="CS29" i="2"/>
  <c r="CS8" i="2"/>
  <c r="CS31" i="2"/>
  <c r="CS39" i="2"/>
  <c r="CS28" i="2"/>
  <c r="CS44" i="2"/>
  <c r="CT44" i="2" s="1"/>
  <c r="CS20" i="2"/>
  <c r="CS21" i="2"/>
  <c r="CS38" i="2"/>
  <c r="CS30" i="2"/>
  <c r="CS32" i="2"/>
  <c r="CS17" i="2"/>
  <c r="CS7" i="2"/>
  <c r="U4" i="2" s="1"/>
  <c r="CS23" i="2"/>
  <c r="CS48" i="2"/>
  <c r="CT48" i="2" s="1"/>
  <c r="CS12" i="2"/>
  <c r="CS34" i="2"/>
  <c r="CS16" i="2"/>
  <c r="CS10" i="2"/>
  <c r="CS9" i="2"/>
  <c r="T6" i="2" s="1"/>
  <c r="CS40" i="2"/>
  <c r="CS6" i="2"/>
  <c r="T7" i="2" s="1"/>
  <c r="CS11" i="2"/>
  <c r="CS27" i="2"/>
  <c r="CS46" i="2"/>
  <c r="CT46" i="2" s="1"/>
  <c r="CS42" i="2"/>
  <c r="CS25" i="2"/>
  <c r="CS19" i="2"/>
  <c r="CS33" i="2"/>
  <c r="CS13" i="2"/>
  <c r="CS37" i="2"/>
  <c r="CS36" i="2"/>
  <c r="CS51" i="2"/>
  <c r="CT51" i="2" s="1"/>
  <c r="CS50" i="2"/>
  <c r="CT50" i="2" s="1"/>
  <c r="CS45" i="2"/>
  <c r="CT45" i="2" s="1"/>
  <c r="CS24" i="2"/>
  <c r="CS47" i="2"/>
  <c r="CT47" i="2" s="1"/>
  <c r="CS43" i="2"/>
  <c r="CS35" i="2"/>
  <c r="CS22" i="2"/>
  <c r="U7" i="2"/>
  <c r="U76" i="2" l="1"/>
  <c r="CT42" i="2"/>
  <c r="T76" i="2"/>
  <c r="CT43" i="2" s="1"/>
  <c r="CT41" i="2"/>
  <c r="U69" i="2"/>
  <c r="CT40" i="2"/>
  <c r="T69" i="2"/>
  <c r="CT39" i="2"/>
  <c r="U68" i="2"/>
  <c r="CT38" i="2"/>
  <c r="T68" i="2"/>
  <c r="T53" i="2"/>
  <c r="CT33" i="2"/>
  <c r="U53" i="2"/>
  <c r="CT32" i="2" s="1"/>
  <c r="T61" i="2"/>
  <c r="CT37" i="2"/>
  <c r="U61" i="2"/>
  <c r="CT36" i="2" s="1"/>
  <c r="CT31" i="2"/>
  <c r="U52" i="2"/>
  <c r="CT30" i="2" s="1"/>
  <c r="T52" i="2"/>
  <c r="U60" i="2"/>
  <c r="CT34" i="2" s="1"/>
  <c r="T60" i="2"/>
  <c r="CT35" i="2" s="1"/>
  <c r="CT29" i="2"/>
  <c r="U45" i="2"/>
  <c r="CT28" i="2"/>
  <c r="T45" i="2"/>
  <c r="CT25" i="2"/>
  <c r="U37" i="2"/>
  <c r="CT24" i="2" s="1"/>
  <c r="T37" i="2"/>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9" i="2" s="1"/>
  <c r="CT6" i="2"/>
  <c r="T4" i="2"/>
  <c r="CT7" i="2" s="1"/>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X8" i="2" s="1"/>
  <c r="CW16" i="2"/>
  <c r="CX16" i="2" s="1"/>
  <c r="CW42" i="2"/>
  <c r="CX22" i="2" s="1"/>
  <c r="CX6" i="2"/>
  <c r="CX43" i="2" l="1"/>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T6" i="2"/>
  <c r="J4" i="4"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N6" i="2" l="1"/>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<sst xmlns="http://schemas.openxmlformats.org/spreadsheetml/2006/main" count="6754" uniqueCount="1516">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</sst>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76"/>
  <sheetViews>
    <sheetView showGridLines="0" showRowColHeaders="0" tabSelected="1" zoomScaleNormal="100" workbookViewId="0">
      <selection activeCell="AD76" sqref="AD7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60" spans="1:31" x14ac:dyDescent="0.2">
      <c r="AC60" s="292">
        <v>0</v>
      </c>
      <c r="AD60" s="292">
        <v>0</v>
      </c>
    </row>
    <row r="61" spans="1:31" x14ac:dyDescent="0.2">
      <c r="AC61" s="292">
        <v>1</v>
      </c>
      <c r="AD61" s="292">
        <v>1</v>
      </c>
    </row>
    <row r="68" spans="29:30" x14ac:dyDescent="0.2">
      <c r="AC68" s="292">
        <v>3</v>
      </c>
      <c r="AD68" s="292">
        <v>1</v>
      </c>
    </row>
    <row r="69" spans="29:30" x14ac:dyDescent="0.2">
      <c r="AC69" s="292">
        <v>1</v>
      </c>
      <c r="AD69" s="292">
        <v>4</v>
      </c>
    </row>
    <row r="76" spans="29:30" x14ac:dyDescent="0.2">
      <c r="AC76" s="292">
        <v>3</v>
      </c>
      <c r="AD76"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42" zoomScaleNormal="100" workbookViewId="0">
      <selection activeCell="AD76" sqref="AD76"/>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0"/>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4</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0"/>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1</v>
      </c>
      <c r="BG7" s="16">
        <f t="shared" ca="1" si="18"/>
        <v>0</v>
      </c>
      <c r="BH7" s="16">
        <f t="shared" ca="1" si="19"/>
        <v>0</v>
      </c>
      <c r="BI7" s="16">
        <f t="shared" ca="1" si="20"/>
        <v>1</v>
      </c>
      <c r="BJ7" s="16">
        <f t="shared" ca="1" si="21"/>
        <v>0</v>
      </c>
      <c r="BK7" s="16">
        <f t="shared" ca="1" si="22"/>
        <v>2</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0</v>
      </c>
      <c r="BW7" s="16">
        <f t="shared" ca="1" si="30"/>
        <v>0</v>
      </c>
      <c r="BX7" s="16">
        <f t="shared" ca="1" si="31"/>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0</v>
      </c>
      <c r="CB7" s="16">
        <f t="shared" ca="1" si="33"/>
        <v>0</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0</v>
      </c>
      <c r="CK7" s="16">
        <f t="shared" ca="1" si="38"/>
        <v>0</v>
      </c>
      <c r="CL7" s="16">
        <f t="shared" ca="1" si="39"/>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0</v>
      </c>
      <c r="CP7" s="16">
        <f t="shared" ca="1" si="41"/>
        <v>0</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4</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4</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1</v>
      </c>
      <c r="BG9" s="16">
        <f t="shared" ca="1" si="18"/>
        <v>0</v>
      </c>
      <c r="BH9" s="16">
        <f t="shared" ca="1" si="19"/>
        <v>0</v>
      </c>
      <c r="BI9" s="16">
        <f t="shared" ca="1" si="20"/>
        <v>1</v>
      </c>
      <c r="BJ9" s="16">
        <f t="shared" ca="1" si="21"/>
        <v>1</v>
      </c>
      <c r="BK9" s="16">
        <f t="shared" ca="1" si="22"/>
        <v>2</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0</v>
      </c>
      <c r="BW9" s="16">
        <f t="shared" ca="1" si="30"/>
        <v>0</v>
      </c>
      <c r="BX9" s="16">
        <f t="shared" ca="1" si="31"/>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0</v>
      </c>
      <c r="CB9" s="16">
        <f t="shared" ca="1" si="33"/>
        <v>0</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0</v>
      </c>
      <c r="CK9" s="16">
        <f t="shared" ca="1" si="38"/>
        <v>0</v>
      </c>
      <c r="CL9" s="16">
        <f t="shared" ca="1" si="39"/>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0</v>
      </c>
      <c r="CP9" s="16">
        <f t="shared" ca="1" si="41"/>
        <v>0</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4</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1</v>
      </c>
      <c r="BF10" s="16">
        <f t="shared" ca="1" si="17"/>
        <v>1</v>
      </c>
      <c r="BG10" s="16">
        <f t="shared" ca="1" si="18"/>
        <v>0</v>
      </c>
      <c r="BH10" s="16">
        <f t="shared" ca="1" si="19"/>
        <v>1</v>
      </c>
      <c r="BI10" s="16">
        <f t="shared" ca="1" si="20"/>
        <v>0</v>
      </c>
      <c r="BJ10" s="16">
        <f t="shared" ca="1" si="21"/>
        <v>1</v>
      </c>
      <c r="BK10" s="16">
        <f t="shared" ca="1" si="22"/>
        <v>1</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4</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1</v>
      </c>
      <c r="BG11" s="16">
        <f t="shared" ca="1" si="18"/>
        <v>0</v>
      </c>
      <c r="BH11" s="16">
        <f t="shared" ca="1" si="19"/>
        <v>1</v>
      </c>
      <c r="BI11" s="16">
        <f t="shared" ca="1" si="20"/>
        <v>0</v>
      </c>
      <c r="BJ11" s="16">
        <f t="shared" ca="1" si="21"/>
        <v>1</v>
      </c>
      <c r="BK11" s="16">
        <f t="shared" ca="1" si="22"/>
        <v>1</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1</v>
      </c>
      <c r="BW11" s="16">
        <f t="shared" ca="1" si="30"/>
        <v>0</v>
      </c>
      <c r="BX11" s="16">
        <f t="shared" ca="1" si="31"/>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1</v>
      </c>
      <c r="CB11" s="16">
        <f t="shared" ca="1" si="33"/>
        <v>1</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1</v>
      </c>
      <c r="CK11" s="16">
        <f t="shared" ca="1" si="38"/>
        <v>0</v>
      </c>
      <c r="CL11" s="16">
        <f t="shared" ca="1" si="39"/>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1</v>
      </c>
      <c r="CP11" s="16">
        <f t="shared" ca="1" si="41"/>
        <v>1</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4</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(4)</v>
      </c>
      <c r="F12" s="16" t="str">
        <f t="shared" ref="F12:F17" ca="1" si="54">IF(D12="Pendiente","-",INDEX($BT$6:$BT$53,MATCH($AF12,$BD$6:$BD$53,0)))</f>
        <v>P.1 (4)</v>
      </c>
      <c r="G12" s="16"/>
      <c r="H12" s="16" t="str">
        <f t="shared" ref="H12:H17" ca="1" si="55">IF(D12="Pendiente","-",INDEX($BZ$6:$BZ$53,MATCH($AA12,$BD$6:$BD$53,0)))</f>
        <v>P.1 (4)</v>
      </c>
      <c r="I12" s="16" t="str">
        <f t="shared" ref="I12:I17" ca="1" si="56">IF(D12="Pendiente","-",INDEX($BZ$6:$BZ$53,MATCH($AF12,$BD$6:$BD$53,0)))</f>
        <v>P.1 (4)</v>
      </c>
      <c r="J12" s="16"/>
      <c r="K12" s="16" t="str">
        <f t="shared" ref="K12:K17" ca="1" si="57">IF(D12="Pendiente","-",INDEX($CE$6:$CE$53,MATCH($AA12,$BD$6:$BD$53,0)))</f>
        <v>P.1 (4)</v>
      </c>
      <c r="L12" s="16" t="str">
        <f t="shared" ref="L12:L17" ca="1" si="58">IF(D12="Pendiente","-",INDEX($CE$6:$CE$53,MATCH($AF12,$BD$6:$BD$53,0)))</f>
        <v>P.1 (4)</v>
      </c>
      <c r="M12" s="16"/>
      <c r="N12" s="16" t="str">
        <f t="shared" ref="N12:N17" ca="1" si="59">IF(D12="Pendiente","-",INDEX($CH$6:$CH$53,MATCH($AA12,$BD$6:$BD$53,0)))</f>
        <v>P.1 (4)</v>
      </c>
      <c r="O12" s="16" t="str">
        <f t="shared" ref="O12:O17" ca="1" si="60">IF(D12="Pendiente","-",INDEX($CH$6:$CH$53,MATCH($AF12,$BD$6:$BD$53,0)))</f>
        <v>P.1 (4)</v>
      </c>
      <c r="P12" s="16"/>
      <c r="Q12" s="16" t="str">
        <f t="shared" ref="Q12:Q17" ca="1" si="61">IF(D12="Pendiente","-",INDEX($CN$6:$CN$53,MATCH($AA12,$BD$6:$BD$53,0)))</f>
        <v>P.1 (4)</v>
      </c>
      <c r="R12" s="16" t="str">
        <f t="shared" ref="R12:R17" ca="1" si="62">IF(D12="Pendiente","-",INDEX($CN$6:$CN$53,MATCH($AF12,$BD$6:$BD$53,0)))</f>
        <v>P.1 (4)</v>
      </c>
      <c r="S12" s="16"/>
      <c r="T12" s="16" t="str">
        <f t="shared" ref="T12:T17" ca="1" si="63">IF(D12="Pendiente","-",INDEX($CS$6:$CS$53,MATCH($AA12,$BD$6:$BD$53,0)))</f>
        <v>P.1 (4)</v>
      </c>
      <c r="U12" s="16" t="str">
        <f t="shared" ref="U12:U17" ca="1" si="64">IF(D12="Pendiente","-",INDEX($CS$6:$CS$53,MATCH($AF12,$BD$6:$BD$53,0)))</f>
        <v>P.1 (4)</v>
      </c>
      <c r="V12" s="17"/>
      <c r="W12" s="64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1</v>
      </c>
      <c r="BG12" s="16">
        <f t="shared" ca="1" si="18"/>
        <v>0</v>
      </c>
      <c r="BH12" s="16">
        <f t="shared" ca="1" si="19"/>
        <v>1</v>
      </c>
      <c r="BI12" s="16">
        <f t="shared" ca="1" si="20"/>
        <v>0</v>
      </c>
      <c r="BJ12" s="16">
        <f t="shared" ca="1" si="21"/>
        <v>1</v>
      </c>
      <c r="BK12" s="16">
        <f t="shared" ca="1" si="22"/>
        <v>1</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1</v>
      </c>
      <c r="BW12" s="16">
        <f t="shared" ca="1" si="30"/>
        <v>0</v>
      </c>
      <c r="BX12" s="16">
        <f t="shared" ca="1" si="31"/>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1</v>
      </c>
      <c r="CB12" s="16">
        <f t="shared" ca="1" si="33"/>
        <v>1</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1</v>
      </c>
      <c r="CK12" s="16">
        <f t="shared" ca="1" si="38"/>
        <v>0</v>
      </c>
      <c r="CL12" s="16">
        <f t="shared" ca="1" si="39"/>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1</v>
      </c>
      <c r="CP12" s="16">
        <f t="shared" ca="1" si="41"/>
        <v>1</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4</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P.1 (4)</v>
      </c>
      <c r="F13" s="16" t="str">
        <f t="shared" ca="1" si="54"/>
        <v>P.1 (4)</v>
      </c>
      <c r="G13" s="16"/>
      <c r="H13" s="16" t="str">
        <f t="shared" ca="1" si="55"/>
        <v>P.1 (4)</v>
      </c>
      <c r="I13" s="16" t="str">
        <f t="shared" ca="1" si="56"/>
        <v>P.1 (4)</v>
      </c>
      <c r="J13" s="16"/>
      <c r="K13" s="16" t="str">
        <f t="shared" ca="1" si="57"/>
        <v>P.1 (4)</v>
      </c>
      <c r="L13" s="16" t="str">
        <f t="shared" ca="1" si="58"/>
        <v>P.1 (4)</v>
      </c>
      <c r="M13" s="16"/>
      <c r="N13" s="16" t="str">
        <f t="shared" ca="1" si="59"/>
        <v>P.1 (4)</v>
      </c>
      <c r="O13" s="16" t="str">
        <f t="shared" ca="1" si="60"/>
        <v>P.1 (4)</v>
      </c>
      <c r="P13" s="16"/>
      <c r="Q13" s="16" t="str">
        <f t="shared" ca="1" si="61"/>
        <v>P.1 (4)</v>
      </c>
      <c r="R13" s="16" t="str">
        <f t="shared" ca="1" si="62"/>
        <v>P.1 (4)</v>
      </c>
      <c r="S13" s="16"/>
      <c r="T13" s="16" t="str">
        <f t="shared" ca="1" si="63"/>
        <v>P.1 (4)</v>
      </c>
      <c r="U13" s="16" t="str">
        <f t="shared" ca="1" si="64"/>
        <v>P.1 (4)</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1</v>
      </c>
      <c r="BF13" s="16">
        <f t="shared" ca="1" si="17"/>
        <v>1</v>
      </c>
      <c r="BG13" s="16">
        <f t="shared" ca="1" si="18"/>
        <v>0</v>
      </c>
      <c r="BH13" s="16">
        <f t="shared" ca="1" si="19"/>
        <v>1</v>
      </c>
      <c r="BI13" s="16">
        <f t="shared" ca="1" si="20"/>
        <v>0</v>
      </c>
      <c r="BJ13" s="16">
        <f t="shared" ca="1" si="21"/>
        <v>1</v>
      </c>
      <c r="BK13" s="16">
        <f t="shared" ca="1" si="22"/>
        <v>1</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4</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0"/>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1</v>
      </c>
      <c r="AN14" s="36">
        <f t="shared" ca="1" si="67"/>
        <v>1</v>
      </c>
      <c r="AO14" s="36">
        <f t="shared" ca="1" si="67"/>
        <v>0</v>
      </c>
      <c r="AP14" s="36">
        <f t="shared" ca="1" si="67"/>
        <v>1</v>
      </c>
      <c r="AQ14" s="36">
        <f t="shared" ca="1" si="67"/>
        <v>0</v>
      </c>
      <c r="AR14" s="36">
        <f t="shared" ca="1" si="67"/>
        <v>1</v>
      </c>
      <c r="AS14" s="36">
        <f t="shared" ca="1" si="67"/>
        <v>1</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1</v>
      </c>
      <c r="BF14" s="16">
        <f t="shared" ca="1" si="17"/>
        <v>1</v>
      </c>
      <c r="BG14" s="16">
        <f t="shared" ca="1" si="18"/>
        <v>0</v>
      </c>
      <c r="BH14" s="16">
        <f t="shared" ca="1" si="19"/>
        <v>1</v>
      </c>
      <c r="BI14" s="16">
        <f t="shared" ca="1" si="20"/>
        <v>0</v>
      </c>
      <c r="BJ14" s="16">
        <f t="shared" ca="1" si="21"/>
        <v>1</v>
      </c>
      <c r="BK14" s="16">
        <f t="shared" ca="1" si="22"/>
        <v>1</v>
      </c>
      <c r="BL14" s="16">
        <f t="shared" ca="1" si="23"/>
        <v>0</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8"/>
        <v>0</v>
      </c>
      <c r="BV14" s="16">
        <f t="shared" ca="1" si="29"/>
        <v>1</v>
      </c>
      <c r="BW14" s="16">
        <f t="shared" ca="1" si="30"/>
        <v>0</v>
      </c>
      <c r="BX14" s="16">
        <f t="shared" ca="1" si="31"/>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32"/>
        <v>1</v>
      </c>
      <c r="CB14" s="16">
        <f t="shared" ca="1" si="33"/>
        <v>1</v>
      </c>
      <c r="CC14" s="16">
        <f t="shared" ca="1" si="34"/>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35"/>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6"/>
        <v>0</v>
      </c>
      <c r="CJ14" s="16">
        <f t="shared" ca="1" si="37"/>
        <v>1</v>
      </c>
      <c r="CK14" s="16">
        <f t="shared" ca="1" si="38"/>
        <v>0</v>
      </c>
      <c r="CL14" s="16">
        <f t="shared" ca="1" si="39"/>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40"/>
        <v>1</v>
      </c>
      <c r="CP14" s="16">
        <f t="shared" ca="1" si="41"/>
        <v>1</v>
      </c>
      <c r="CQ14" s="16">
        <f t="shared" ca="1" si="42"/>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43"/>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44"/>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45"/>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46"/>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47"/>
        <v>1</v>
      </c>
      <c r="DK14" s="16">
        <f t="shared" ca="1" si="48"/>
        <v>4</v>
      </c>
      <c r="DL14" s="16">
        <f t="shared" ca="1" si="49"/>
        <v>1</v>
      </c>
      <c r="DM14" s="16" t="str">
        <f t="shared" ca="1" si="50"/>
        <v>1.1</v>
      </c>
      <c r="DN14" s="16">
        <f t="array" aca="1" ref="DN14" ca="1">OFFSET(Horarios!$P$3,DJ14-1,0,DL14,1)</f>
        <v>1</v>
      </c>
      <c r="DO14" s="16"/>
      <c r="DP14" s="16" t="s">
        <v>79</v>
      </c>
      <c r="DQ14" s="16" t="str">
        <f t="shared" ca="1" si="51"/>
        <v>Escocia</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0"/>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1</v>
      </c>
      <c r="AN15" s="39">
        <f t="shared" ca="1" si="67"/>
        <v>1</v>
      </c>
      <c r="AO15" s="39">
        <f t="shared" ca="1" si="67"/>
        <v>0</v>
      </c>
      <c r="AP15" s="39">
        <f t="shared" ca="1" si="67"/>
        <v>1</v>
      </c>
      <c r="AQ15" s="39">
        <f t="shared" ca="1" si="67"/>
        <v>0</v>
      </c>
      <c r="AR15" s="39">
        <f t="shared" ca="1" si="67"/>
        <v>1</v>
      </c>
      <c r="AS15" s="39">
        <f t="shared" ca="1" si="67"/>
        <v>1</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1</v>
      </c>
      <c r="BF15" s="16">
        <f t="shared" ca="1" si="17"/>
        <v>1</v>
      </c>
      <c r="BG15" s="16">
        <f t="shared" ca="1" si="18"/>
        <v>0</v>
      </c>
      <c r="BH15" s="16">
        <f t="shared" ca="1" si="19"/>
        <v>1</v>
      </c>
      <c r="BI15" s="16">
        <f t="shared" ca="1" si="20"/>
        <v>0</v>
      </c>
      <c r="BJ15" s="16">
        <f t="shared" ca="1" si="21"/>
        <v>1</v>
      </c>
      <c r="BK15" s="16">
        <f t="shared" ca="1" si="22"/>
        <v>1</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45"/>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46"/>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47"/>
        <v>2</v>
      </c>
      <c r="DK15" s="16">
        <f t="shared" ca="1" si="48"/>
        <v>4</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1</v>
      </c>
      <c r="AO16" s="39">
        <f t="shared" ca="1" si="67"/>
        <v>0</v>
      </c>
      <c r="AP16" s="39">
        <f t="shared" ca="1" si="67"/>
        <v>1</v>
      </c>
      <c r="AQ16" s="39">
        <f t="shared" ca="1" si="67"/>
        <v>0</v>
      </c>
      <c r="AR16" s="39">
        <f t="shared" ca="1" si="67"/>
        <v>1</v>
      </c>
      <c r="AS16" s="39">
        <f t="shared" ca="1" si="67"/>
        <v>1</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1</v>
      </c>
      <c r="BG16" s="16">
        <f t="shared" ca="1" si="18"/>
        <v>0</v>
      </c>
      <c r="BH16" s="16">
        <f t="shared" ca="1" si="19"/>
        <v>0</v>
      </c>
      <c r="BI16" s="16">
        <f t="shared" ca="1" si="20"/>
        <v>1</v>
      </c>
      <c r="BJ16" s="16">
        <f t="shared" ca="1" si="21"/>
        <v>0</v>
      </c>
      <c r="BK16" s="16">
        <f t="shared" ca="1" si="22"/>
        <v>1</v>
      </c>
      <c r="BL16" s="16">
        <f t="shared" ca="1" si="23"/>
        <v>-1</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2</v>
      </c>
      <c r="DK16" s="16">
        <f t="shared" ca="1" si="48"/>
        <v>4</v>
      </c>
      <c r="DL16" s="16">
        <f t="shared" ca="1" si="49"/>
        <v>1</v>
      </c>
      <c r="DM16" s="16" t="str">
        <f t="shared" ca="1" si="50"/>
        <v>2.1</v>
      </c>
      <c r="DN16" s="16">
        <f t="array" aca="1" ref="DN16" ca="1">OFFSET(Horarios!$P$3,DJ16-1,0,DL16,1)</f>
        <v>2</v>
      </c>
      <c r="DO16" s="16"/>
      <c r="DP16" s="16" t="s">
        <v>81</v>
      </c>
      <c r="DQ16" s="16" t="str">
        <f t="shared" ca="1" si="51"/>
        <v>Marruecos</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1</v>
      </c>
      <c r="AN17" s="78">
        <f t="shared" ca="1" si="67"/>
        <v>1</v>
      </c>
      <c r="AO17" s="78">
        <f t="shared" ca="1" si="67"/>
        <v>0</v>
      </c>
      <c r="AP17" s="78">
        <f t="shared" ca="1" si="67"/>
        <v>1</v>
      </c>
      <c r="AQ17" s="78">
        <f t="shared" ca="1" si="67"/>
        <v>0</v>
      </c>
      <c r="AR17" s="78">
        <f t="shared" ca="1" si="67"/>
        <v>1</v>
      </c>
      <c r="AS17" s="78">
        <f t="shared" ca="1" si="67"/>
        <v>1</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1</v>
      </c>
      <c r="BG17" s="16">
        <f t="shared" ca="1" si="18"/>
        <v>1</v>
      </c>
      <c r="BH17" s="16">
        <f t="shared" ca="1" si="19"/>
        <v>0</v>
      </c>
      <c r="BI17" s="16">
        <f t="shared" ca="1" si="20"/>
        <v>0</v>
      </c>
      <c r="BJ17" s="16">
        <f t="shared" ca="1" si="21"/>
        <v>1</v>
      </c>
      <c r="BK17" s="16">
        <f t="shared" ca="1" si="22"/>
        <v>0</v>
      </c>
      <c r="BL17" s="16">
        <f t="shared" ca="1" si="23"/>
        <v>1</v>
      </c>
      <c r="BM17" s="16" t="str">
        <f t="shared" ca="1" si="24"/>
        <v>1C</v>
      </c>
      <c r="BN17" s="16" t="str">
        <f t="shared" ca="1" si="25"/>
        <v>1C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46"/>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47"/>
        <v>4</v>
      </c>
      <c r="DK17" s="16">
        <f t="shared" ca="1" si="48"/>
        <v>4</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1</v>
      </c>
      <c r="BG18" s="16">
        <f t="shared" ca="1" si="18"/>
        <v>1</v>
      </c>
      <c r="BH18" s="16">
        <f t="shared" ca="1" si="19"/>
        <v>0</v>
      </c>
      <c r="BI18" s="16">
        <f t="shared" ca="1" si="20"/>
        <v>0</v>
      </c>
      <c r="BJ18" s="16">
        <f t="shared" ca="1" si="21"/>
        <v>4</v>
      </c>
      <c r="BK18" s="16">
        <f t="shared" ca="1" si="22"/>
        <v>1</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4</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8"/>
        <v>0</v>
      </c>
      <c r="BV19" s="16">
        <f t="shared" ca="1" si="29"/>
        <v>0</v>
      </c>
      <c r="BW19" s="16">
        <f t="shared" ca="1" si="30"/>
        <v>0</v>
      </c>
      <c r="BX19" s="16">
        <f t="shared" ca="1" si="31"/>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32"/>
        <v>0</v>
      </c>
      <c r="CB19" s="16">
        <f t="shared" ca="1" si="33"/>
        <v>0</v>
      </c>
      <c r="CC19" s="16">
        <f t="shared" ca="1" si="34"/>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35"/>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6"/>
        <v>0</v>
      </c>
      <c r="CJ19" s="16">
        <f t="shared" ca="1" si="37"/>
        <v>0</v>
      </c>
      <c r="CK19" s="16">
        <f t="shared" ca="1" si="38"/>
        <v>0</v>
      </c>
      <c r="CL19" s="16">
        <f t="shared" ca="1" si="39"/>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40"/>
        <v>0</v>
      </c>
      <c r="CP19" s="16">
        <f t="shared" ca="1" si="41"/>
        <v>0</v>
      </c>
      <c r="CQ19" s="16">
        <f t="shared" ca="1" si="42"/>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43"/>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4</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P.2 (2)</v>
      </c>
      <c r="F20" s="16" t="str">
        <f t="shared" ref="F20:F25" ca="1" si="70">IF(D20="Pendiente","-",INDEX($BT$6:$BT$53,MATCH($AF20,$BD$6:$BD$53,0)))</f>
        <v>P.2 (2)</v>
      </c>
      <c r="G20" s="16"/>
      <c r="H20" s="16" t="str">
        <f t="shared" ref="H20:H25" ca="1" si="71">IF(D20="Pendiente","-",INDEX($BZ$6:$BZ$53,MATCH($AA20,$BD$6:$BD$53,0)))</f>
        <v>P.2 (2)</v>
      </c>
      <c r="I20" s="16" t="str">
        <f t="shared" ref="I20:I25" ca="1" si="72">IF(D20="Pendiente","-",INDEX($BZ$6:$BZ$53,MATCH($AF20,$BD$6:$BD$53,0)))</f>
        <v>P.2 (2)</v>
      </c>
      <c r="J20" s="16"/>
      <c r="K20" s="16" t="str">
        <f t="shared" ref="K20:K25" ca="1" si="73">IF(D20="Pendiente","-",INDEX($CE$6:$CE$53,MATCH($AA20,$BD$6:$BD$53,0)))</f>
        <v>P.2 (2)</v>
      </c>
      <c r="L20" s="16" t="str">
        <f t="shared" ref="L20:L25" ca="1" si="74">IF(D20="Pendiente","-",INDEX($CE$6:$CE$53,MATCH($AF20,$BD$6:$BD$53,0)))</f>
        <v>P.2 (2)</v>
      </c>
      <c r="M20" s="16"/>
      <c r="N20" s="16" t="str">
        <f t="shared" ref="N20:N25" ca="1" si="75">IF(D20="Pendiente","-",INDEX($CH$6:$CH$53,MATCH($AA20,$BD$6:$BD$53,0)))</f>
        <v>P.2 (2)</v>
      </c>
      <c r="O20" s="16" t="str">
        <f t="shared" ref="O20:O25" ca="1" si="76">IF(D20="Pendiente","-",INDEX($CH$6:$CH$53,MATCH($AF20,$BD$6:$BD$53,0)))</f>
        <v>P.2 (2)</v>
      </c>
      <c r="P20" s="16"/>
      <c r="Q20" s="16" t="str">
        <f t="shared" ref="Q20:Q25" ca="1" si="77">IF(D20="Pendiente","-",INDEX($CN$6:$CN$53,MATCH($AA20,$BD$6:$BD$53,0)))</f>
        <v>P.2 (2)</v>
      </c>
      <c r="R20" s="16" t="str">
        <f t="shared" ref="R20:R25" ca="1" si="78">IF(D20="Pendiente","-",INDEX($CN$6:$CN$53,MATCH($AF20,$BD$6:$BD$53,0)))</f>
        <v>P.2 (2)</v>
      </c>
      <c r="S20" s="16"/>
      <c r="T20" s="16" t="str">
        <f t="shared" ref="T20:T25" ca="1" si="79">IF(D20="Pendiente","-",INDEX($CS$6:$CS$53,MATCH($AA20,$BD$6:$BD$53,0)))</f>
        <v>P.2 (2)</v>
      </c>
      <c r="U20" s="16" t="str">
        <f t="shared" ref="U20:U25" ca="1" si="80">IF(D20="Pendiente","-",INDEX($CS$6:$CS$53,MATCH($AF20,$BD$6:$BD$53,0)))</f>
        <v>P.2 (2)</v>
      </c>
      <c r="V20" s="17"/>
      <c r="W20" s="63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1</v>
      </c>
      <c r="BG20" s="16">
        <f t="shared" ca="1" si="18"/>
        <v>1</v>
      </c>
      <c r="BH20" s="16">
        <f t="shared" ca="1" si="19"/>
        <v>0</v>
      </c>
      <c r="BI20" s="16">
        <f t="shared" ca="1" si="20"/>
        <v>0</v>
      </c>
      <c r="BJ20" s="16">
        <f t="shared" ca="1" si="21"/>
        <v>2</v>
      </c>
      <c r="BK20" s="16">
        <f t="shared" ca="1" si="22"/>
        <v>0</v>
      </c>
      <c r="BL20" s="16">
        <f t="shared" ca="1" si="23"/>
        <v>2</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44"/>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4</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1</v>
      </c>
      <c r="BG21" s="16">
        <f t="shared" ca="1" si="18"/>
        <v>0</v>
      </c>
      <c r="BH21" s="16">
        <f t="shared" ca="1" si="19"/>
        <v>0</v>
      </c>
      <c r="BI21" s="16">
        <f t="shared" ca="1" si="20"/>
        <v>1</v>
      </c>
      <c r="BJ21" s="16">
        <f t="shared" ca="1" si="21"/>
        <v>0</v>
      </c>
      <c r="BK21" s="16">
        <f t="shared" ca="1" si="22"/>
        <v>2</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8"/>
        <v>0</v>
      </c>
      <c r="BV21" s="16">
        <f t="shared" ca="1" si="29"/>
        <v>0</v>
      </c>
      <c r="BW21" s="16">
        <f t="shared" ca="1" si="30"/>
        <v>0</v>
      </c>
      <c r="BX21" s="16">
        <f t="shared" ca="1" si="31"/>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32"/>
        <v>0</v>
      </c>
      <c r="CB21" s="16">
        <f t="shared" ca="1" si="33"/>
        <v>0</v>
      </c>
      <c r="CC21" s="16">
        <f t="shared" ca="1" si="34"/>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35"/>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6"/>
        <v>0</v>
      </c>
      <c r="CJ21" s="16">
        <f t="shared" ca="1" si="37"/>
        <v>0</v>
      </c>
      <c r="CK21" s="16">
        <f t="shared" ca="1" si="38"/>
        <v>0</v>
      </c>
      <c r="CL21" s="16">
        <f t="shared" ca="1" si="39"/>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40"/>
        <v>0</v>
      </c>
      <c r="CP21" s="16">
        <f t="shared" ca="1" si="41"/>
        <v>0</v>
      </c>
      <c r="CQ21" s="16">
        <f t="shared" ca="1" si="42"/>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43"/>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44"/>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4</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0"/>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Escocia</v>
      </c>
      <c r="AM22" s="35">
        <f t="shared" ref="AM22:AT25" ca="1" si="83">INDEX($BE$6:$BN$53,MATCH($AL22,$BD$6:$BD$53,0),MATCH(AM$5,$BE$5:$BN$5,0))</f>
        <v>3</v>
      </c>
      <c r="AN22" s="36">
        <f t="shared" ca="1" si="83"/>
        <v>1</v>
      </c>
      <c r="AO22" s="36">
        <f t="shared" ca="1" si="83"/>
        <v>1</v>
      </c>
      <c r="AP22" s="36">
        <f t="shared" ca="1" si="83"/>
        <v>0</v>
      </c>
      <c r="AQ22" s="36">
        <f t="shared" ca="1" si="83"/>
        <v>0</v>
      </c>
      <c r="AR22" s="36">
        <f t="shared" ca="1" si="83"/>
        <v>1</v>
      </c>
      <c r="AS22" s="36">
        <f t="shared" ca="1" si="83"/>
        <v>0</v>
      </c>
      <c r="AT22" s="41">
        <f t="shared" ca="1" si="83"/>
        <v>1</v>
      </c>
      <c r="AU22" s="323">
        <f ca="1">INDEX($DL$6:$DL$53,MATCH(AI22,$DP$6:$DP$53,0))</f>
        <v>1</v>
      </c>
      <c r="AV22" s="182" t="str">
        <f ca="1">INDEX($BD$6:$BD$53,MATCH(AI22,$BM$6:$BM$53,0))</f>
        <v>Escocia</v>
      </c>
      <c r="AW22" s="210"/>
      <c r="AX22" s="171"/>
      <c r="AY22" s="201" t="str">
        <f ca="1">+A21</f>
        <v>Brasil</v>
      </c>
      <c r="AZ22" s="202"/>
      <c r="BA22" s="176"/>
      <c r="BC22" s="16" t="str">
        <f ca="1">+INDEX(T_Equipos[Grupo],MATCH(WORLDCUP!BD22,T_Equipos[NombreEquipo],0))</f>
        <v>E</v>
      </c>
      <c r="BD22" s="16" t="str">
        <f ca="1">+Equipos!B18</f>
        <v>Alemania</v>
      </c>
      <c r="BE22" s="16">
        <f t="shared" ca="1" si="16"/>
        <v>3</v>
      </c>
      <c r="BF22" s="16">
        <f t="shared" ca="1" si="17"/>
        <v>1</v>
      </c>
      <c r="BG22" s="16">
        <f t="shared" ca="1" si="18"/>
        <v>1</v>
      </c>
      <c r="BH22" s="16">
        <f t="shared" ca="1" si="19"/>
        <v>0</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4</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0"/>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Brasil</v>
      </c>
      <c r="AM23" s="38">
        <f t="shared" ca="1" si="83"/>
        <v>1</v>
      </c>
      <c r="AN23" s="39">
        <f t="shared" ca="1" si="83"/>
        <v>1</v>
      </c>
      <c r="AO23" s="39">
        <f t="shared" ca="1" si="83"/>
        <v>0</v>
      </c>
      <c r="AP23" s="39">
        <f t="shared" ca="1" si="83"/>
        <v>1</v>
      </c>
      <c r="AQ23" s="39">
        <f t="shared" ca="1" si="83"/>
        <v>0</v>
      </c>
      <c r="AR23" s="39">
        <f t="shared" ca="1" si="83"/>
        <v>1</v>
      </c>
      <c r="AS23" s="39">
        <f t="shared" ca="1" si="83"/>
        <v>1</v>
      </c>
      <c r="AT23" s="43">
        <f t="shared" ca="1" si="83"/>
        <v>0</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0</v>
      </c>
      <c r="BW23" s="16">
        <f t="shared" ca="1" si="30"/>
        <v>0</v>
      </c>
      <c r="BX23" s="16">
        <f t="shared" ca="1" si="31"/>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0</v>
      </c>
      <c r="CK23" s="16">
        <f t="shared" ca="1" si="38"/>
        <v>0</v>
      </c>
      <c r="CL23" s="16">
        <f t="shared" ca="1" si="39"/>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4</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Marruecos</v>
      </c>
      <c r="AM24" s="38">
        <f t="shared" ca="1" si="83"/>
        <v>1</v>
      </c>
      <c r="AN24" s="39">
        <f t="shared" ca="1" si="83"/>
        <v>1</v>
      </c>
      <c r="AO24" s="39">
        <f t="shared" ca="1" si="83"/>
        <v>0</v>
      </c>
      <c r="AP24" s="39">
        <f t="shared" ca="1" si="83"/>
        <v>1</v>
      </c>
      <c r="AQ24" s="39">
        <f t="shared" ca="1" si="83"/>
        <v>0</v>
      </c>
      <c r="AR24" s="39">
        <f t="shared" ca="1" si="83"/>
        <v>1</v>
      </c>
      <c r="AS24" s="39">
        <f t="shared" ca="1" si="83"/>
        <v>1</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1</v>
      </c>
      <c r="BG24" s="16">
        <f t="shared" ca="1" si="18"/>
        <v>1</v>
      </c>
      <c r="BH24" s="16">
        <f t="shared" ca="1" si="19"/>
        <v>0</v>
      </c>
      <c r="BI24" s="16">
        <f t="shared" ca="1" si="20"/>
        <v>0</v>
      </c>
      <c r="BJ24" s="16">
        <f t="shared" ca="1" si="21"/>
        <v>1</v>
      </c>
      <c r="BK24" s="16">
        <f t="shared" ca="1" si="22"/>
        <v>0</v>
      </c>
      <c r="BL24" s="16">
        <f t="shared" ca="1" si="23"/>
        <v>1</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44"/>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4</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1</v>
      </c>
      <c r="AO25" s="47">
        <f t="shared" ca="1" si="83"/>
        <v>0</v>
      </c>
      <c r="AP25" s="47">
        <f t="shared" ca="1" si="83"/>
        <v>0</v>
      </c>
      <c r="AQ25" s="47">
        <f t="shared" ca="1" si="83"/>
        <v>1</v>
      </c>
      <c r="AR25" s="47">
        <f t="shared" ca="1" si="83"/>
        <v>0</v>
      </c>
      <c r="AS25" s="47">
        <f t="shared" ca="1" si="83"/>
        <v>1</v>
      </c>
      <c r="AT25" s="48">
        <f t="shared" ca="1" si="83"/>
        <v>-1</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1</v>
      </c>
      <c r="BG25" s="16">
        <f t="shared" ca="1" si="18"/>
        <v>0</v>
      </c>
      <c r="BH25" s="16">
        <f t="shared" ca="1" si="19"/>
        <v>0</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0</v>
      </c>
      <c r="BW25" s="16">
        <f t="shared" ca="1" si="30"/>
        <v>0</v>
      </c>
      <c r="BX25" s="16">
        <f t="shared" ca="1" si="31"/>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0</v>
      </c>
      <c r="CK25" s="16">
        <f t="shared" ca="1" si="38"/>
        <v>0</v>
      </c>
      <c r="CL25" s="16">
        <f t="shared" ca="1" si="39"/>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4</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1</v>
      </c>
      <c r="BF26" s="16">
        <f t="shared" ca="1" si="17"/>
        <v>1</v>
      </c>
      <c r="BG26" s="16">
        <f t="shared" ca="1" si="18"/>
        <v>0</v>
      </c>
      <c r="BH26" s="16">
        <f t="shared" ca="1" si="19"/>
        <v>1</v>
      </c>
      <c r="BI26" s="16">
        <f t="shared" ca="1" si="20"/>
        <v>0</v>
      </c>
      <c r="BJ26" s="16">
        <f t="shared" ca="1" si="21"/>
        <v>2</v>
      </c>
      <c r="BK26" s="16">
        <f t="shared" ca="1" si="22"/>
        <v>2</v>
      </c>
      <c r="BL26" s="16">
        <f t="shared" ca="1" si="23"/>
        <v>0</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8"/>
        <v>0</v>
      </c>
      <c r="BV26" s="16">
        <f t="shared" ca="1" si="29"/>
        <v>1</v>
      </c>
      <c r="BW26" s="16">
        <f t="shared" ca="1" si="30"/>
        <v>0</v>
      </c>
      <c r="BX26" s="16">
        <f t="shared" ca="1" si="31"/>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32"/>
        <v>2</v>
      </c>
      <c r="CB26" s="16">
        <f t="shared" ca="1" si="33"/>
        <v>2</v>
      </c>
      <c r="CC26" s="16">
        <f t="shared" ca="1" si="34"/>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35"/>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6"/>
        <v>0</v>
      </c>
      <c r="CJ26" s="16">
        <f t="shared" ca="1" si="37"/>
        <v>1</v>
      </c>
      <c r="CK26" s="16">
        <f t="shared" ca="1" si="38"/>
        <v>0</v>
      </c>
      <c r="CL26" s="16">
        <f t="shared" ca="1" si="39"/>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40"/>
        <v>2</v>
      </c>
      <c r="CP26" s="16">
        <f t="shared" ca="1" si="41"/>
        <v>2</v>
      </c>
      <c r="CQ26" s="16">
        <f t="shared" ca="1" si="42"/>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43"/>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44"/>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45"/>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46"/>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47"/>
        <v>1</v>
      </c>
      <c r="DK26" s="16">
        <f t="shared" ca="1" si="48"/>
        <v>4</v>
      </c>
      <c r="DL26" s="16">
        <f t="shared" ca="1" si="49"/>
        <v>1</v>
      </c>
      <c r="DM26" s="16" t="str">
        <f t="shared" ca="1" si="50"/>
        <v>1.1</v>
      </c>
      <c r="DN26" s="16">
        <f t="array" aca="1" ref="DN26" ca="1">OFFSET(Horarios!$P$3,DJ26-1,0,DL26,1)</f>
        <v>1</v>
      </c>
      <c r="DO26" s="16"/>
      <c r="DP26" s="16" t="s">
        <v>92</v>
      </c>
      <c r="DQ26" s="16" t="str">
        <f t="shared" ca="1" si="51"/>
        <v>Suecia</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45"/>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46"/>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47"/>
        <v>2</v>
      </c>
      <c r="DK27" s="16">
        <f t="shared" ca="1" si="48"/>
        <v>4</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P.1 (2)</v>
      </c>
      <c r="F28" s="16" t="str">
        <f t="shared" ref="F28:F33" ca="1" si="86">IF(D28="Pendiente","-",INDEX($BT$6:$BT$53,MATCH($AF28,$BD$6:$BD$53,0)))</f>
        <v>P.3 (2)</v>
      </c>
      <c r="G28" s="16"/>
      <c r="H28" s="16" t="str">
        <f t="shared" ref="H28:H33" ca="1" si="87">IF(D28="Pendiente","-",INDEX($BZ$6:$BZ$53,MATCH($AA28,$BD$6:$BD$53,0)))</f>
        <v>P.1 (2)</v>
      </c>
      <c r="I28" s="16" t="str">
        <f t="shared" ref="I28:I33" ca="1" si="88">IF(D28="Pendiente","-",INDEX($BZ$6:$BZ$53,MATCH($AF28,$BD$6:$BD$53,0)))</f>
        <v>P.3 (2)</v>
      </c>
      <c r="J28" s="16"/>
      <c r="K28" s="16" t="str">
        <f t="shared" ref="K28:K33" ca="1" si="89">IF(D28="Pendiente","-",INDEX($CE$6:$CE$53,MATCH($AA28,$BD$6:$BD$53,0)))</f>
        <v>P.1 (2)</v>
      </c>
      <c r="L28" s="16" t="str">
        <f t="shared" ref="L28:L33" ca="1" si="90">IF(D28="Pendiente","-",INDEX($CE$6:$CE$53,MATCH($AF28,$BD$6:$BD$53,0)))</f>
        <v>P.3 (2)</v>
      </c>
      <c r="M28" s="16"/>
      <c r="N28" s="16" t="str">
        <f t="shared" ref="N28:N33" ca="1" si="91">IF(D28="Pendiente","-",INDEX($CH$6:$CH$53,MATCH($AA28,$BD$6:$BD$53,0)))</f>
        <v>P.1 (2)</v>
      </c>
      <c r="O28" s="16" t="str">
        <f t="shared" ref="O28:O33" ca="1" si="92">IF(D28="Pendiente","-",INDEX($CH$6:$CH$53,MATCH($AF28,$BD$6:$BD$53,0)))</f>
        <v>P.3 (2)</v>
      </c>
      <c r="P28" s="16"/>
      <c r="Q28" s="16" t="str">
        <f t="shared" ref="Q28:Q33" ca="1" si="93">IF(D28="Pendiente","-",INDEX($CN$6:$CN$53,MATCH($AA28,$BD$6:$BD$53,0)))</f>
        <v>P.1 (2)</v>
      </c>
      <c r="R28" s="16" t="str">
        <f t="shared" ref="R28:R33" ca="1" si="94">IF(D28="Pendiente","-",INDEX($CN$6:$CN$53,MATCH($AF28,$BD$6:$BD$53,0)))</f>
        <v>P.3 (2)</v>
      </c>
      <c r="S28" s="16"/>
      <c r="T28" s="16" t="str">
        <f t="shared" ref="T28:T33" ca="1" si="95">IF(D28="Pendiente","-",INDEX($CS$6:$CS$53,MATCH($AA28,$BD$6:$BD$53,0)))</f>
        <v>P.1 (2)</v>
      </c>
      <c r="U28" s="16" t="str">
        <f t="shared" ref="U28:U33" ca="1" si="96">IF(D28="Pendiente","-",INDEX($CS$6:$CS$53,MATCH($AF28,$BD$6:$BD$53,0)))</f>
        <v>P.3 (2)</v>
      </c>
      <c r="V28" s="17"/>
      <c r="W28" s="630"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1</v>
      </c>
      <c r="BG28" s="16">
        <f t="shared" ca="1" si="18"/>
        <v>1</v>
      </c>
      <c r="BH28" s="16">
        <f t="shared" ca="1" si="19"/>
        <v>0</v>
      </c>
      <c r="BI28" s="16">
        <f t="shared" ca="1" si="20"/>
        <v>0</v>
      </c>
      <c r="BJ28" s="16">
        <f t="shared" ca="1" si="21"/>
        <v>5</v>
      </c>
      <c r="BK28" s="16">
        <f t="shared" ca="1" si="22"/>
        <v>1</v>
      </c>
      <c r="BL28" s="16">
        <f t="shared" ca="1" si="23"/>
        <v>4</v>
      </c>
      <c r="BM28" s="16" t="str">
        <f t="shared" ca="1" si="24"/>
        <v>1F</v>
      </c>
      <c r="BN28" s="16" t="str">
        <f t="shared" ca="1" si="25"/>
        <v>1F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46"/>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47"/>
        <v>2</v>
      </c>
      <c r="DK28" s="16">
        <f t="shared" ca="1" si="48"/>
        <v>4</v>
      </c>
      <c r="DL28" s="16">
        <f t="shared" ca="1" si="49"/>
        <v>1</v>
      </c>
      <c r="DM28" s="16" t="str">
        <f t="shared" ca="1" si="50"/>
        <v>2.1</v>
      </c>
      <c r="DN28" s="16">
        <f t="array" aca="1" ref="DN28" ca="1">OFFSET(Horarios!$P$3,DJ28-1,0,DL28,1)</f>
        <v>2</v>
      </c>
      <c r="DO28" s="16"/>
      <c r="DP28" s="16" t="s">
        <v>95</v>
      </c>
      <c r="DQ28" s="16" t="str">
        <f t="shared" ca="1" si="51"/>
        <v>Japón</v>
      </c>
    </row>
    <row r="29" spans="1:121" ht="16" customHeight="1" x14ac:dyDescent="0.2">
      <c r="A29" s="16" t="str">
        <f ca="1">+Equipos!B14</f>
        <v>Estados Unidos</v>
      </c>
      <c r="B29" s="16"/>
      <c r="C29" s="16"/>
      <c r="D29" s="16" t="str">
        <f t="shared" si="84"/>
        <v>Local</v>
      </c>
      <c r="E29" s="16" t="str">
        <f t="shared" ca="1" si="85"/>
        <v>P.1 (2)</v>
      </c>
      <c r="F29" s="16" t="str">
        <f t="shared" ca="1" si="86"/>
        <v>P.3 (2)</v>
      </c>
      <c r="G29" s="16"/>
      <c r="H29" s="16" t="str">
        <f t="shared" ca="1" si="87"/>
        <v>P.1 (2)</v>
      </c>
      <c r="I29" s="16" t="str">
        <f t="shared" ca="1" si="88"/>
        <v>P.3 (2)</v>
      </c>
      <c r="J29" s="16"/>
      <c r="K29" s="16" t="str">
        <f t="shared" ca="1" si="89"/>
        <v>P.1 (2)</v>
      </c>
      <c r="L29" s="16" t="str">
        <f t="shared" ca="1" si="90"/>
        <v>P.3 (2)</v>
      </c>
      <c r="M29" s="16"/>
      <c r="N29" s="16" t="str">
        <f t="shared" ca="1" si="91"/>
        <v>P.1 (2)</v>
      </c>
      <c r="O29" s="16" t="str">
        <f t="shared" ca="1" si="92"/>
        <v>P.3 (2)</v>
      </c>
      <c r="P29" s="16"/>
      <c r="Q29" s="16" t="str">
        <f t="shared" ca="1" si="93"/>
        <v>P.1 (2)</v>
      </c>
      <c r="R29" s="16" t="str">
        <f t="shared" ca="1" si="94"/>
        <v>P.3 (2)</v>
      </c>
      <c r="S29" s="16"/>
      <c r="T29" s="16" t="str">
        <f t="shared" ca="1" si="95"/>
        <v>P.1 (2)</v>
      </c>
      <c r="U29" s="16" t="str">
        <f t="shared" ca="1" si="96"/>
        <v>P.3 (2)</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1</v>
      </c>
      <c r="BG29" s="16">
        <f t="shared" ca="1" si="18"/>
        <v>0</v>
      </c>
      <c r="BH29" s="16">
        <f t="shared" ca="1" si="19"/>
        <v>0</v>
      </c>
      <c r="BI29" s="16">
        <f t="shared" ca="1" si="20"/>
        <v>1</v>
      </c>
      <c r="BJ29" s="16">
        <f t="shared" ca="1" si="21"/>
        <v>1</v>
      </c>
      <c r="BK29" s="16">
        <f t="shared" ca="1" si="22"/>
        <v>5</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4</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0"/>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3</v>
      </c>
      <c r="AN30" s="36">
        <f t="shared" ca="1" si="99"/>
        <v>1</v>
      </c>
      <c r="AO30" s="36">
        <f t="shared" ca="1" si="99"/>
        <v>1</v>
      </c>
      <c r="AP30" s="36">
        <f t="shared" ca="1" si="99"/>
        <v>0</v>
      </c>
      <c r="AQ30" s="36">
        <f t="shared" ca="1" si="99"/>
        <v>0</v>
      </c>
      <c r="AR30" s="36">
        <f t="shared" ca="1" si="99"/>
        <v>4</v>
      </c>
      <c r="AS30" s="36">
        <f t="shared" ca="1" si="99"/>
        <v>1</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1</v>
      </c>
      <c r="BF30" s="16">
        <f t="shared" ca="1" si="17"/>
        <v>1</v>
      </c>
      <c r="BG30" s="16">
        <f t="shared" ca="1" si="18"/>
        <v>0</v>
      </c>
      <c r="BH30" s="16">
        <f t="shared" ca="1" si="19"/>
        <v>1</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6"/>
        <v>0</v>
      </c>
      <c r="CJ30" s="16">
        <f t="shared" ca="1" si="37"/>
        <v>1</v>
      </c>
      <c r="CK30" s="16">
        <f t="shared" ca="1" si="38"/>
        <v>0</v>
      </c>
      <c r="CL30" s="16">
        <f t="shared" ca="1" si="39"/>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40"/>
        <v>1</v>
      </c>
      <c r="CP30" s="16">
        <f t="shared" ca="1" si="41"/>
        <v>1</v>
      </c>
      <c r="CQ30" s="16">
        <f t="shared" ca="1" si="42"/>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43"/>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44"/>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46"/>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47"/>
        <v>1</v>
      </c>
      <c r="DK30" s="16">
        <f t="shared" ca="1" si="48"/>
        <v>4</v>
      </c>
      <c r="DL30" s="16">
        <f t="shared" ca="1" si="49"/>
        <v>1</v>
      </c>
      <c r="DM30" s="16" t="str">
        <f t="shared" ca="1" si="50"/>
        <v>1.1</v>
      </c>
      <c r="DN30" s="16">
        <f t="array" aca="1" ref="DN30" ca="1">OFFSET(Horarios!$P$3,DJ30-1,0,DL30,1)</f>
        <v>1</v>
      </c>
      <c r="DO30" s="16"/>
      <c r="DP30" s="16" t="s">
        <v>97</v>
      </c>
      <c r="DQ30" s="16" t="str">
        <f t="shared" ca="1" si="51"/>
        <v>Irán</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0"/>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1</v>
      </c>
      <c r="AO31" s="39">
        <f t="shared" ca="1" si="99"/>
        <v>1</v>
      </c>
      <c r="AP31" s="39">
        <f t="shared" ca="1" si="99"/>
        <v>0</v>
      </c>
      <c r="AQ31" s="39">
        <f t="shared" ca="1" si="99"/>
        <v>0</v>
      </c>
      <c r="AR31" s="39">
        <f t="shared" ca="1" si="99"/>
        <v>2</v>
      </c>
      <c r="AS31" s="39">
        <f t="shared" ca="1" si="99"/>
        <v>0</v>
      </c>
      <c r="AT31" s="43">
        <f t="shared" ca="1" si="99"/>
        <v>2</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4G</v>
      </c>
      <c r="BN31" s="16" t="str">
        <f t="shared" ca="1" si="25"/>
        <v>4G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6"/>
        <v>0</v>
      </c>
      <c r="CJ31" s="16">
        <f t="shared" ca="1" si="37"/>
        <v>1</v>
      </c>
      <c r="CK31" s="16">
        <f t="shared" ca="1" si="38"/>
        <v>0</v>
      </c>
      <c r="CL31" s="16">
        <f t="shared" ca="1" si="39"/>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40"/>
        <v>1</v>
      </c>
      <c r="CP31" s="16">
        <f t="shared" ca="1" si="41"/>
        <v>1</v>
      </c>
      <c r="CQ31" s="16">
        <f t="shared" ca="1" si="42"/>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43"/>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45"/>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46"/>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47"/>
        <v>1</v>
      </c>
      <c r="DK31" s="16">
        <f t="shared" ca="1" si="48"/>
        <v>4</v>
      </c>
      <c r="DL31" s="16">
        <f t="shared" ca="1" si="49"/>
        <v>1</v>
      </c>
      <c r="DM31" s="16" t="str">
        <f t="shared" ca="1" si="50"/>
        <v>1.1</v>
      </c>
      <c r="DN31" s="16">
        <f t="array" aca="1" ref="DN31" ca="1">OFFSET(Horarios!$P$3,DJ31-1,0,DL31,1)</f>
        <v>1</v>
      </c>
      <c r="DO31" s="16"/>
      <c r="DP31" s="16" t="s">
        <v>98</v>
      </c>
      <c r="DQ31" s="16" t="str">
        <f t="shared" ca="1" si="51"/>
        <v>Nueva Zelanda</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1</v>
      </c>
      <c r="AO32" s="39">
        <f t="shared" ca="1" si="99"/>
        <v>0</v>
      </c>
      <c r="AP32" s="39">
        <f t="shared" ca="1" si="99"/>
        <v>0</v>
      </c>
      <c r="AQ32" s="39">
        <f t="shared" ca="1" si="99"/>
        <v>1</v>
      </c>
      <c r="AR32" s="39">
        <f t="shared" ca="1" si="99"/>
        <v>0</v>
      </c>
      <c r="AS32" s="39">
        <f t="shared" ca="1" si="99"/>
        <v>2</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1</v>
      </c>
      <c r="BG32" s="16">
        <f t="shared" ca="1" si="18"/>
        <v>0</v>
      </c>
      <c r="BH32" s="16">
        <f t="shared" ca="1" si="19"/>
        <v>1</v>
      </c>
      <c r="BI32" s="16">
        <f t="shared" ca="1" si="20"/>
        <v>0</v>
      </c>
      <c r="BJ32" s="16">
        <f t="shared" ca="1" si="21"/>
        <v>2</v>
      </c>
      <c r="BK32" s="16">
        <f t="shared" ca="1" si="22"/>
        <v>2</v>
      </c>
      <c r="BL32" s="16">
        <f t="shared" ca="1" si="23"/>
        <v>0</v>
      </c>
      <c r="BM32" s="16" t="str">
        <f t="shared" ca="1" si="24"/>
        <v>1G</v>
      </c>
      <c r="BN32" s="16" t="str">
        <f t="shared" ca="1" si="25"/>
        <v>1G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1</v>
      </c>
      <c r="BW32" s="16">
        <f t="shared" ca="1" si="30"/>
        <v>0</v>
      </c>
      <c r="BX32" s="16">
        <f t="shared" ca="1" si="31"/>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2</v>
      </c>
      <c r="CB32" s="16">
        <f t="shared" ca="1" si="33"/>
        <v>2</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6"/>
        <v>0</v>
      </c>
      <c r="CJ32" s="16">
        <f t="shared" ca="1" si="37"/>
        <v>1</v>
      </c>
      <c r="CK32" s="16">
        <f t="shared" ca="1" si="38"/>
        <v>0</v>
      </c>
      <c r="CL32" s="16">
        <f t="shared" ca="1" si="39"/>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40"/>
        <v>2</v>
      </c>
      <c r="CP32" s="16">
        <f t="shared" ca="1" si="41"/>
        <v>2</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43"/>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45"/>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46"/>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47"/>
        <v>3</v>
      </c>
      <c r="DK32" s="16">
        <f t="shared" ca="1" si="48"/>
        <v>4</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1</v>
      </c>
      <c r="BG33" s="16">
        <f t="shared" ca="1" si="18"/>
        <v>0</v>
      </c>
      <c r="BH33" s="16">
        <f t="shared" ca="1" si="19"/>
        <v>1</v>
      </c>
      <c r="BI33" s="16">
        <f t="shared" ca="1" si="20"/>
        <v>0</v>
      </c>
      <c r="BJ33" s="16">
        <f t="shared" ca="1" si="21"/>
        <v>2</v>
      </c>
      <c r="BK33" s="16">
        <f t="shared" ca="1" si="22"/>
        <v>2</v>
      </c>
      <c r="BL33" s="16">
        <f t="shared" ca="1" si="23"/>
        <v>0</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1</v>
      </c>
      <c r="BW33" s="16">
        <f t="shared" ca="1" si="30"/>
        <v>0</v>
      </c>
      <c r="BX33" s="16">
        <f t="shared" ca="1" si="31"/>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2</v>
      </c>
      <c r="CB33" s="16">
        <f t="shared" ca="1" si="33"/>
        <v>2</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6"/>
        <v>0</v>
      </c>
      <c r="CJ33" s="16">
        <f t="shared" ca="1" si="37"/>
        <v>1</v>
      </c>
      <c r="CK33" s="16">
        <f t="shared" ca="1" si="38"/>
        <v>0</v>
      </c>
      <c r="CL33" s="16">
        <f t="shared" ca="1" si="39"/>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40"/>
        <v>2</v>
      </c>
      <c r="CP33" s="16">
        <f t="shared" ca="1" si="41"/>
        <v>2</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43"/>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45"/>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46"/>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47"/>
        <v>3</v>
      </c>
      <c r="DK33" s="16">
        <f t="shared" ca="1" si="48"/>
        <v>4</v>
      </c>
      <c r="DL33" s="16">
        <f t="shared" ca="1" si="49"/>
        <v>1</v>
      </c>
      <c r="DM33" s="16" t="str">
        <f t="shared" ca="1" si="50"/>
        <v>3.1</v>
      </c>
      <c r="DN33" s="16">
        <f t="array" aca="1" ref="DN33" ca="1">OFFSET(Horarios!$P$3,DJ33-1,0,DL33,1)</f>
        <v>3</v>
      </c>
      <c r="DO33" s="16"/>
      <c r="DP33" s="16" t="s">
        <v>100</v>
      </c>
      <c r="DQ33" s="16" t="str">
        <f t="shared" ca="1" si="51"/>
        <v>Egipto</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1</v>
      </c>
      <c r="BF34" s="16">
        <f t="shared" ca="1" si="17"/>
        <v>1</v>
      </c>
      <c r="BG34" s="16">
        <f t="shared" ca="1" si="18"/>
        <v>0</v>
      </c>
      <c r="BH34" s="16">
        <f t="shared" ca="1" si="19"/>
        <v>1</v>
      </c>
      <c r="BI34" s="16">
        <f t="shared" ca="1" si="20"/>
        <v>0</v>
      </c>
      <c r="BJ34" s="16">
        <f t="shared" ca="1" si="21"/>
        <v>0</v>
      </c>
      <c r="BK34" s="16">
        <f t="shared" ca="1" si="22"/>
        <v>0</v>
      </c>
      <c r="BL34" s="16">
        <f t="shared" ca="1" si="23"/>
        <v>0</v>
      </c>
      <c r="BM34" s="16" t="str">
        <f t="shared" ca="1" si="24"/>
        <v>3H</v>
      </c>
      <c r="BN34" s="16" t="str">
        <f t="shared" ca="1" si="25"/>
        <v>3H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6"/>
        <v>0</v>
      </c>
      <c r="CJ34" s="16">
        <f t="shared" ca="1" si="37"/>
        <v>1</v>
      </c>
      <c r="CK34" s="16">
        <f t="shared" ca="1" si="38"/>
        <v>0</v>
      </c>
      <c r="CL34" s="16">
        <f t="shared" ca="1" si="39"/>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40"/>
        <v>0</v>
      </c>
      <c r="CP34" s="16">
        <f t="shared" ca="1" si="41"/>
        <v>0</v>
      </c>
      <c r="CQ34" s="16">
        <f t="shared" ca="1" si="42"/>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43"/>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44"/>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45"/>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46"/>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47"/>
        <v>1</v>
      </c>
      <c r="DK34" s="16">
        <f t="shared" ca="1" si="48"/>
        <v>4</v>
      </c>
      <c r="DL34" s="16">
        <f t="shared" ca="1" si="49"/>
        <v>1</v>
      </c>
      <c r="DM34" s="16" t="str">
        <f t="shared" ca="1" si="50"/>
        <v>1.1</v>
      </c>
      <c r="DN34" s="16">
        <f t="array" aca="1" ref="DN34" ca="1">OFFSET(Horarios!$P$3,DJ34-1,0,DL34,1)</f>
        <v>1</v>
      </c>
      <c r="DO34" s="16"/>
      <c r="DP34" s="16" t="s">
        <v>101</v>
      </c>
      <c r="DQ34" s="16" t="str">
        <f t="shared" ca="1" si="51"/>
        <v>Arabia Saudita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1</v>
      </c>
      <c r="BW35" s="16">
        <f t="shared" ca="1" si="30"/>
        <v>0</v>
      </c>
      <c r="BX35" s="16">
        <f t="shared" ca="1" si="31"/>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0</v>
      </c>
      <c r="CP35" s="16">
        <f t="shared" ca="1" si="41"/>
        <v>0</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45"/>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46"/>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47"/>
        <v>1</v>
      </c>
      <c r="DK35" s="16">
        <f t="shared" ca="1" si="48"/>
        <v>4</v>
      </c>
      <c r="DL35" s="16">
        <f t="shared" ca="1" si="49"/>
        <v>1</v>
      </c>
      <c r="DM35" s="16" t="str">
        <f t="shared" ca="1" si="50"/>
        <v>1.1</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P.3 (2)</v>
      </c>
      <c r="G36" s="16"/>
      <c r="H36" s="16" t="str">
        <f t="shared" ref="H36:H41" ca="1" si="103">IF(D36="Pendiente","-",INDEX($BZ$6:$BZ$53,MATCH($AA36,$BD$6:$BD$53,0)))</f>
        <v>P.1 (2)</v>
      </c>
      <c r="I36" s="16" t="str">
        <f t="shared" ref="I36:I41" ca="1" si="104">IF(D36="Pendiente","-",INDEX($BZ$6:$BZ$53,MATCH($AF36,$BD$6:$BD$53,0)))</f>
        <v>P.3 (2)</v>
      </c>
      <c r="J36" s="16"/>
      <c r="K36" s="16" t="str">
        <f t="shared" ref="K36:K41" ca="1" si="105">IF(D36="Pendiente","-",INDEX($CE$6:$CE$53,MATCH($AA36,$BD$6:$BD$53,0)))</f>
        <v>P.1 (2)</v>
      </c>
      <c r="L36" s="16" t="str">
        <f t="shared" ref="L36:L41" ca="1" si="106">IF(D36="Pendiente","-",INDEX($CE$6:$CE$53,MATCH($AF36,$BD$6:$BD$53,0)))</f>
        <v>P.3 (2)</v>
      </c>
      <c r="M36" s="16"/>
      <c r="N36" s="16" t="str">
        <f t="shared" ref="N36:N41" ca="1" si="107">IF(D36="Pendiente","-",INDEX($CH$6:$CH$53,MATCH($AA36,$BD$6:$BD$53,0)))</f>
        <v>P.1 (2)</v>
      </c>
      <c r="O36" s="16" t="str">
        <f t="shared" ref="O36:O41" ca="1" si="108">IF(D36="Pendiente","-",INDEX($CH$6:$CH$53,MATCH($AF36,$BD$6:$BD$53,0)))</f>
        <v>P.3 (2)</v>
      </c>
      <c r="P36" s="16"/>
      <c r="Q36" s="16" t="str">
        <f t="shared" ref="Q36:Q41" ca="1" si="109">IF(D36="Pendiente","-",INDEX($CN$6:$CN$53,MATCH($AA36,$BD$6:$BD$53,0)))</f>
        <v>P.1 (2)</v>
      </c>
      <c r="R36" s="16" t="str">
        <f t="shared" ref="R36:R41" ca="1" si="110">IF(D36="Pendiente","-",INDEX($CN$6:$CN$53,MATCH($AF36,$BD$6:$BD$53,0)))</f>
        <v>P.3 (2)</v>
      </c>
      <c r="S36" s="16"/>
      <c r="T36" s="16" t="str">
        <f t="shared" ref="T36:T41" ca="1" si="111">IF(D36="Pendiente","-",INDEX($CS$6:$CS$53,MATCH($AA36,$BD$6:$BD$53,0)))</f>
        <v>P.1 (2)</v>
      </c>
      <c r="U36" s="16" t="str">
        <f t="shared" ref="U36:U41" ca="1" si="112">IF(D36="Pendiente","-",INDEX($CS$6:$CS$53,MATCH($AF36,$BD$6:$BD$53,0)))</f>
        <v>P.3 (2)</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1</v>
      </c>
      <c r="BG36" s="16">
        <f t="shared" ca="1" si="18"/>
        <v>0</v>
      </c>
      <c r="BH36" s="16">
        <f t="shared" ca="1" si="19"/>
        <v>1</v>
      </c>
      <c r="BI36" s="16">
        <f t="shared" ca="1" si="20"/>
        <v>0</v>
      </c>
      <c r="BJ36" s="16">
        <f t="shared" ca="1" si="21"/>
        <v>1</v>
      </c>
      <c r="BK36" s="16">
        <f t="shared" ca="1" si="22"/>
        <v>1</v>
      </c>
      <c r="BL36" s="16">
        <f t="shared" ca="1" si="23"/>
        <v>0</v>
      </c>
      <c r="BM36" s="16" t="str">
        <f t="shared" ca="1" si="24"/>
        <v>1H</v>
      </c>
      <c r="BN36" s="16" t="str">
        <f t="shared" ca="1" si="25"/>
        <v>1H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1</v>
      </c>
      <c r="BW36" s="16">
        <f t="shared" ca="1" si="30"/>
        <v>0</v>
      </c>
      <c r="BX36" s="16">
        <f t="shared" ca="1" si="31"/>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1</v>
      </c>
      <c r="CB36" s="16">
        <f t="shared" ca="1" si="33"/>
        <v>1</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6"/>
        <v>0</v>
      </c>
      <c r="CJ36" s="16">
        <f t="shared" ca="1" si="37"/>
        <v>1</v>
      </c>
      <c r="CK36" s="16">
        <f t="shared" ca="1" si="38"/>
        <v>0</v>
      </c>
      <c r="CL36" s="16">
        <f t="shared" ca="1" si="39"/>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40"/>
        <v>1</v>
      </c>
      <c r="CP36" s="16">
        <f t="shared" ca="1" si="41"/>
        <v>1</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43"/>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45"/>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46"/>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47"/>
        <v>3</v>
      </c>
      <c r="DK36" s="16">
        <f t="shared" ca="1" si="48"/>
        <v>4</v>
      </c>
      <c r="DL36" s="16">
        <f t="shared" ca="1" si="49"/>
        <v>1</v>
      </c>
      <c r="DM36" s="16" t="str">
        <f t="shared" ca="1" si="50"/>
        <v>3.1</v>
      </c>
      <c r="DN36" s="16">
        <f t="array" aca="1" ref="DN36" ca="1">OFFSET(Horarios!$P$3,DJ36-1,0,DL36,1)</f>
        <v>3</v>
      </c>
      <c r="DO36" s="16"/>
      <c r="DP36" s="16" t="s">
        <v>104</v>
      </c>
      <c r="DQ36" s="16" t="str">
        <f t="shared" ca="1" si="51"/>
        <v>España</v>
      </c>
    </row>
    <row r="37" spans="1:121" ht="16" customHeight="1" x14ac:dyDescent="0.2">
      <c r="A37" s="16" t="str">
        <f ca="1">+Equipos!B18</f>
        <v>Alemania</v>
      </c>
      <c r="B37" s="16"/>
      <c r="C37" s="16"/>
      <c r="D37" s="16" t="str">
        <f t="shared" si="100"/>
        <v>Local</v>
      </c>
      <c r="E37" s="16" t="str">
        <f t="shared" ca="1" si="101"/>
        <v>P.1 (2)</v>
      </c>
      <c r="F37" s="16" t="str">
        <f t="shared" ca="1" si="102"/>
        <v>P.3 (2)</v>
      </c>
      <c r="G37" s="16"/>
      <c r="H37" s="16" t="str">
        <f t="shared" ca="1" si="103"/>
        <v>P.1 (2)</v>
      </c>
      <c r="I37" s="16" t="str">
        <f t="shared" ca="1" si="104"/>
        <v>P.3 (2)</v>
      </c>
      <c r="J37" s="16"/>
      <c r="K37" s="16" t="str">
        <f t="shared" ca="1" si="105"/>
        <v>P.1 (2)</v>
      </c>
      <c r="L37" s="16" t="str">
        <f t="shared" ca="1" si="106"/>
        <v>P.3 (2)</v>
      </c>
      <c r="M37" s="16"/>
      <c r="N37" s="16" t="str">
        <f t="shared" ca="1" si="107"/>
        <v>P.1 (2)</v>
      </c>
      <c r="O37" s="16" t="str">
        <f t="shared" ca="1" si="108"/>
        <v>P.3 (2)</v>
      </c>
      <c r="P37" s="16"/>
      <c r="Q37" s="16" t="str">
        <f t="shared" ca="1" si="109"/>
        <v>P.1 (2)</v>
      </c>
      <c r="R37" s="16" t="str">
        <f t="shared" ca="1" si="110"/>
        <v>P.3 (2)</v>
      </c>
      <c r="S37" s="16"/>
      <c r="T37" s="16" t="str">
        <f t="shared" ca="1" si="111"/>
        <v>P.1 (2)</v>
      </c>
      <c r="U37" s="16" t="str">
        <f t="shared" ca="1" si="112"/>
        <v>P.3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1</v>
      </c>
      <c r="BF37" s="16">
        <f t="shared" ca="1" si="17"/>
        <v>1</v>
      </c>
      <c r="BG37" s="16">
        <f t="shared" ca="1" si="18"/>
        <v>0</v>
      </c>
      <c r="BH37" s="16">
        <f t="shared" ca="1" si="19"/>
        <v>1</v>
      </c>
      <c r="BI37" s="16">
        <f t="shared" ca="1" si="20"/>
        <v>0</v>
      </c>
      <c r="BJ37" s="16">
        <f t="shared" ca="1" si="21"/>
        <v>1</v>
      </c>
      <c r="BK37" s="16">
        <f t="shared" ca="1" si="22"/>
        <v>1</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3</v>
      </c>
      <c r="DK37" s="16">
        <f t="shared" ca="1" si="48"/>
        <v>4</v>
      </c>
      <c r="DL37" s="16">
        <f t="shared" ca="1" si="49"/>
        <v>1</v>
      </c>
      <c r="DM37" s="16" t="str">
        <f t="shared" ca="1" si="50"/>
        <v>3.1</v>
      </c>
      <c r="DN37" s="16">
        <f t="array" aca="1" ref="DN37" ca="1">OFFSET(Horarios!$P$3,DJ37-1,0,DL37,1)</f>
        <v>3</v>
      </c>
      <c r="DO37" s="16"/>
      <c r="DP37" s="16" t="s">
        <v>105</v>
      </c>
      <c r="DQ37" s="16" t="str">
        <f t="shared" ca="1" si="51"/>
        <v>Cabo Verde</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0"/>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3</v>
      </c>
      <c r="AN38" s="36">
        <f t="shared" ca="1" si="115"/>
        <v>1</v>
      </c>
      <c r="AO38" s="36">
        <f t="shared" ca="1" si="115"/>
        <v>1</v>
      </c>
      <c r="AP38" s="36">
        <f t="shared" ca="1" si="115"/>
        <v>0</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3</v>
      </c>
      <c r="BF38" s="16">
        <f t="shared" ca="1" si="17"/>
        <v>1</v>
      </c>
      <c r="BG38" s="16">
        <f t="shared" ca="1" si="18"/>
        <v>1</v>
      </c>
      <c r="BH38" s="16">
        <f t="shared" ca="1" si="19"/>
        <v>0</v>
      </c>
      <c r="BI38" s="16">
        <f t="shared" ca="1" si="20"/>
        <v>0</v>
      </c>
      <c r="BJ38" s="16">
        <f t="shared" ca="1" si="21"/>
        <v>3</v>
      </c>
      <c r="BK38" s="16">
        <f t="shared" ca="1" si="22"/>
        <v>1</v>
      </c>
      <c r="BL38" s="16">
        <f t="shared" ca="1" si="23"/>
        <v>2</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4</v>
      </c>
      <c r="DL38" s="16">
        <f t="shared" ca="1" si="49"/>
        <v>1</v>
      </c>
      <c r="DM38" s="16" t="str">
        <f t="shared" ca="1" si="50"/>
        <v>1.1</v>
      </c>
      <c r="DN38" s="16">
        <f t="array" aca="1" ref="DN38" ca="1">OFFSET(Horarios!$P$3,DJ38-1,0,DL38,1)</f>
        <v>1</v>
      </c>
      <c r="DO38" s="16"/>
      <c r="DP38" s="16" t="s">
        <v>106</v>
      </c>
      <c r="DQ38" s="16" t="str">
        <f t="shared" ca="1" si="51"/>
        <v>Noruega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0"/>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1</v>
      </c>
      <c r="AO39" s="39">
        <f t="shared" ca="1" si="115"/>
        <v>1</v>
      </c>
      <c r="AP39" s="39">
        <f t="shared" ca="1" si="115"/>
        <v>0</v>
      </c>
      <c r="AQ39" s="39">
        <f t="shared" ca="1" si="115"/>
        <v>0</v>
      </c>
      <c r="AR39" s="39">
        <f t="shared" ca="1" si="115"/>
        <v>1</v>
      </c>
      <c r="AS39" s="39">
        <f t="shared" ca="1" si="115"/>
        <v>0</v>
      </c>
      <c r="AT39" s="43">
        <f t="shared" ca="1" si="115"/>
        <v>1</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4</v>
      </c>
      <c r="DL39" s="16">
        <f t="shared" ca="1" si="49"/>
        <v>1</v>
      </c>
      <c r="DM39" s="16" t="str">
        <f t="shared" ca="1" si="50"/>
        <v>2.1</v>
      </c>
      <c r="DN39" s="16">
        <f t="array" aca="1" ref="DN39" ca="1">OFFSET(Horarios!$P$3,DJ39-1,0,DL39,1)</f>
        <v>2</v>
      </c>
      <c r="DO39" s="16"/>
      <c r="DP39" s="16" t="s">
        <v>107</v>
      </c>
      <c r="DQ39" s="16" t="str">
        <f t="shared" ca="1" si="51"/>
        <v>Francia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1</v>
      </c>
      <c r="AO40" s="39">
        <f t="shared" ca="1" si="115"/>
        <v>0</v>
      </c>
      <c r="AP40" s="39">
        <f t="shared" ca="1" si="115"/>
        <v>0</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1</v>
      </c>
      <c r="BG40" s="16">
        <f t="shared" ca="1" si="18"/>
        <v>0</v>
      </c>
      <c r="BH40" s="16">
        <f t="shared" ca="1" si="19"/>
        <v>0</v>
      </c>
      <c r="BI40" s="16">
        <f t="shared" ca="1" si="20"/>
        <v>1</v>
      </c>
      <c r="BJ40" s="16">
        <f t="shared" ca="1" si="21"/>
        <v>1</v>
      </c>
      <c r="BK40" s="16">
        <f t="shared" ca="1" si="22"/>
        <v>4</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4</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1</v>
      </c>
      <c r="BG41" s="16">
        <f t="shared" ca="1" si="18"/>
        <v>1</v>
      </c>
      <c r="BH41" s="16">
        <f t="shared" ca="1" si="19"/>
        <v>0</v>
      </c>
      <c r="BI41" s="16">
        <f t="shared" ca="1" si="20"/>
        <v>0</v>
      </c>
      <c r="BJ41" s="16">
        <f t="shared" ca="1" si="21"/>
        <v>4</v>
      </c>
      <c r="BK41" s="16">
        <f t="shared" ca="1" si="22"/>
        <v>1</v>
      </c>
      <c r="BL41" s="16">
        <f t="shared" ca="1" si="23"/>
        <v>3</v>
      </c>
      <c r="BM41" s="16" t="str">
        <f t="shared" ca="1" si="24"/>
        <v>1I</v>
      </c>
      <c r="BN41" s="16" t="str">
        <f t="shared" ca="1" si="25"/>
        <v>1I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46"/>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47"/>
        <v>4</v>
      </c>
      <c r="DK41" s="16">
        <f t="shared" ca="1" si="48"/>
        <v>4</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3</v>
      </c>
      <c r="BF42" s="16">
        <f t="shared" ca="1" si="17"/>
        <v>1</v>
      </c>
      <c r="BG42" s="16">
        <f t="shared" ca="1" si="18"/>
        <v>1</v>
      </c>
      <c r="BH42" s="16">
        <f t="shared" ca="1" si="19"/>
        <v>0</v>
      </c>
      <c r="BI42" s="16">
        <f t="shared" ca="1" si="20"/>
        <v>0</v>
      </c>
      <c r="BJ42" s="16">
        <f t="shared" ca="1" si="21"/>
        <v>3</v>
      </c>
      <c r="BK42" s="16">
        <f t="shared" ca="1" si="22"/>
        <v>0</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1</v>
      </c>
      <c r="BG43" s="16">
        <f t="shared" ca="1" si="18"/>
        <v>0</v>
      </c>
      <c r="BH43" s="16">
        <f t="shared" ca="1" si="19"/>
        <v>0</v>
      </c>
      <c r="BI43" s="16">
        <f t="shared" ca="1" si="20"/>
        <v>1</v>
      </c>
      <c r="BJ43" s="16">
        <f t="shared" ca="1" si="21"/>
        <v>0</v>
      </c>
      <c r="BK43" s="16">
        <f t="shared" ca="1" si="22"/>
        <v>3</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(3)</v>
      </c>
      <c r="BU43" s="16">
        <f t="shared" ca="1" si="28"/>
        <v>0</v>
      </c>
      <c r="BV43" s="16">
        <f t="shared" ca="1" si="29"/>
        <v>0</v>
      </c>
      <c r="BW43" s="16">
        <f t="shared" ca="1" si="30"/>
        <v>0</v>
      </c>
      <c r="BX43" s="16">
        <f t="shared" ca="1" si="31"/>
        <v>0</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(3)</v>
      </c>
      <c r="CA43" s="16">
        <f t="shared" ca="1" si="32"/>
        <v>0</v>
      </c>
      <c r="CB43" s="16">
        <f t="shared" ca="1" si="33"/>
        <v>0</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(3)</v>
      </c>
      <c r="CF43" s="16">
        <f t="shared" ca="1" si="35"/>
        <v>0</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(3)</v>
      </c>
      <c r="CI43" s="16">
        <f t="shared" ca="1" si="36"/>
        <v>0</v>
      </c>
      <c r="CJ43" s="16">
        <f t="shared" ca="1" si="37"/>
        <v>0</v>
      </c>
      <c r="CK43" s="16">
        <f t="shared" ca="1" si="38"/>
        <v>0</v>
      </c>
      <c r="CL43" s="16">
        <f t="shared" ca="1" si="39"/>
        <v>0</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(3)</v>
      </c>
      <c r="CO43" s="16">
        <f t="shared" ca="1" si="40"/>
        <v>0</v>
      </c>
      <c r="CP43" s="16">
        <f t="shared" ca="1" si="41"/>
        <v>0</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(3)</v>
      </c>
      <c r="CT43" s="16">
        <f t="shared" ca="1" si="43"/>
        <v>0</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(3)</v>
      </c>
      <c r="CW43" s="16">
        <f t="shared" ca="1" si="44"/>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P.2 (2)</v>
      </c>
      <c r="F44" s="16" t="str">
        <f t="shared" ref="F44:F49" ca="1" si="118">IF(D44="Pendiente","-",INDEX($BT$6:$BT$53,MATCH($AF44,$BD$6:$BD$53,0)))</f>
        <v>P.2 (2)</v>
      </c>
      <c r="G44" s="16"/>
      <c r="H44" s="16" t="str">
        <f t="shared" ref="H44:H49" ca="1" si="119">IF(D44="Pendiente","-",INDEX($BZ$6:$BZ$53,MATCH($AA44,$BD$6:$BD$53,0)))</f>
        <v>P.2 (2)</v>
      </c>
      <c r="I44" s="16" t="str">
        <f t="shared" ref="I44:I49" ca="1" si="120">IF(D44="Pendiente","-",INDEX($BZ$6:$BZ$53,MATCH($AF44,$BD$6:$BD$53,0)))</f>
        <v>P.2 (2)</v>
      </c>
      <c r="J44" s="16"/>
      <c r="K44" s="16" t="str">
        <f t="shared" ref="K44:K49" ca="1" si="121">IF(D44="Pendiente","-",INDEX($CE$6:$CE$53,MATCH($AA44,$BD$6:$BD$53,0)))</f>
        <v>P.2 (2)</v>
      </c>
      <c r="L44" s="16" t="str">
        <f t="shared" ref="L44:L49" ca="1" si="122">IF(D44="Pendiente","-",INDEX($CE$6:$CE$53,MATCH($AF44,$BD$6:$BD$53,0)))</f>
        <v>P.2 (2)</v>
      </c>
      <c r="M44" s="16"/>
      <c r="N44" s="16" t="str">
        <f t="shared" ref="N44:N49" ca="1" si="123">IF(D44="Pendiente","-",INDEX($CH$6:$CH$53,MATCH($AA44,$BD$6:$BD$53,0)))</f>
        <v>P.2 (2)</v>
      </c>
      <c r="O44" s="16" t="str">
        <f t="shared" ref="O44:O49" ca="1" si="124">IF(D44="Pendiente","-",INDEX($CH$6:$CH$53,MATCH($AF44,$BD$6:$BD$53,0)))</f>
        <v>P.2 (2)</v>
      </c>
      <c r="P44" s="16"/>
      <c r="Q44" s="16" t="str">
        <f t="shared" ref="Q44:Q49" ca="1" si="125">IF(D44="Pendiente","-",INDEX($CN$6:$CN$53,MATCH($AA44,$BD$6:$BD$53,0)))</f>
        <v>P.2 (2)</v>
      </c>
      <c r="R44" s="16" t="str">
        <f t="shared" ref="R44:R49" ca="1" si="126">IF(D44="Pendiente","-",INDEX($CN$6:$CN$53,MATCH($AF44,$BD$6:$BD$53,0)))</f>
        <v>P.2 (2)</v>
      </c>
      <c r="S44" s="16"/>
      <c r="T44" s="16" t="str">
        <f t="shared" ref="T44:T49" ca="1" si="127">IF(D44="Pendiente","-",INDEX($CS$6:$CS$53,MATCH($AA44,$BD$6:$BD$53,0)))</f>
        <v>P.2 (2)</v>
      </c>
      <c r="U44" s="16" t="str">
        <f t="shared" ref="U44:U49" ca="1" si="128">IF(D44="Pendiente","-",INDEX($CS$6:$CS$53,MATCH($AF44,$BD$6:$BD$53,0)))</f>
        <v>P.2 (2)</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(3)</v>
      </c>
      <c r="BU44" s="16">
        <f t="shared" ca="1" si="28"/>
        <v>0</v>
      </c>
      <c r="BV44" s="16">
        <f t="shared" ca="1" si="29"/>
        <v>0</v>
      </c>
      <c r="BW44" s="16">
        <f t="shared" ca="1" si="30"/>
        <v>0</v>
      </c>
      <c r="BX44" s="16">
        <f t="shared" ca="1" si="31"/>
        <v>0</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(3)</v>
      </c>
      <c r="CA44" s="16">
        <f t="shared" ca="1" si="32"/>
        <v>0</v>
      </c>
      <c r="CB44" s="16">
        <f t="shared" ca="1" si="33"/>
        <v>0</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(3)</v>
      </c>
      <c r="CF44" s="16">
        <f t="shared" ca="1" si="35"/>
        <v>0</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(3)</v>
      </c>
      <c r="CI44" s="16">
        <f t="shared" ca="1" si="36"/>
        <v>0</v>
      </c>
      <c r="CJ44" s="16">
        <f t="shared" ca="1" si="37"/>
        <v>0</v>
      </c>
      <c r="CK44" s="16">
        <f t="shared" ca="1" si="38"/>
        <v>0</v>
      </c>
      <c r="CL44" s="16">
        <f t="shared" ca="1" si="39"/>
        <v>0</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(3)</v>
      </c>
      <c r="CO44" s="16">
        <f t="shared" ca="1" si="40"/>
        <v>0</v>
      </c>
      <c r="CP44" s="16">
        <f t="shared" ca="1" si="41"/>
        <v>0</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(3)</v>
      </c>
      <c r="CT44" s="16">
        <f t="shared" ca="1" si="43"/>
        <v>0</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(3)</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P.2 (2)</v>
      </c>
      <c r="CZ44" s="16">
        <f t="shared" ca="1" si="45"/>
        <v>0</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P.2 (2)</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2</v>
      </c>
      <c r="DE44" s="16"/>
      <c r="DF44" s="16">
        <f t="shared" ca="1" si="46"/>
        <v>2</v>
      </c>
      <c r="DG44" s="16">
        <f ca="1">IF(DB44="-","-",COUNTIFS(DF$6:DF$53,"&lt;"&amp;DF44,$BC$6:$BC$53,INDEX(T_Equipos[Grupo],MATCH(BD44,T_Equipos[NombreEquipo],0))))</f>
        <v>1</v>
      </c>
      <c r="DH44" s="16">
        <f ca="1">DA44+COUNTIFS(DB$6:DB$53,DB44,DG$6:DG$53,"&lt;"&amp;DG44,$BC$6:$BC$53,INDEX(T_Equipos[Grupo],MATCH(BD44,T_Equipos[NombreEquipo],0)))</f>
        <v>2</v>
      </c>
      <c r="DI44" s="16"/>
      <c r="DJ44" s="16">
        <f t="shared" ca="1" si="47"/>
        <v>2</v>
      </c>
      <c r="DK44" s="16">
        <f t="shared" ca="1" si="48"/>
        <v>2</v>
      </c>
      <c r="DL44" s="16">
        <f t="shared" ca="1" si="49"/>
        <v>1</v>
      </c>
      <c r="DM44" s="16" t="str">
        <f t="shared" ca="1" si="50"/>
        <v>2.1</v>
      </c>
      <c r="DN44" s="16">
        <f t="array" aca="1" ref="DN44" ca="1">OFFSET(Horarios!$P$3,DJ44-1,0,DL44,1)</f>
        <v>2</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2</v>
      </c>
      <c r="BT45" s="16" t="str">
        <f ca="1">IF(COUNTIFS($BS$6:$BS$53,BS45,$BC$6:$BC$53,INDEX(T_Equipos[Grupo],MATCH(BD45,T_Equipos[NombreEquipo],0)))=1,"-","P."&amp;BS45&amp;" ("&amp;COUNTIFS($BS$6:$BS$53,BS45,$BC$6:$BC$53,INDEX(T_Equipos[Grupo],MATCH(BD45,T_Equipos[NombreEquipo],0)))&amp;")")</f>
        <v>P.2 (3)</v>
      </c>
      <c r="BU45" s="16">
        <f t="shared" ca="1" si="28"/>
        <v>0</v>
      </c>
      <c r="BV45" s="16">
        <f t="shared" ca="1" si="29"/>
        <v>0</v>
      </c>
      <c r="BW45" s="16">
        <f t="shared" ca="1" si="30"/>
        <v>0</v>
      </c>
      <c r="BX45" s="16">
        <f t="shared" ca="1" si="31"/>
        <v>0</v>
      </c>
      <c r="BY45" s="16">
        <f ca="1">BS45+COUNTIFS($BT$6:$BT$53,BT45,$BX$6:BX$53,"&gt;"&amp;BX45,$BC$6:$BC$53,INDEX(T_Equipos[Grupo],MATCH(BD45,T_Equipos[NombreEquipo],0)))</f>
        <v>2</v>
      </c>
      <c r="BZ45" s="16" t="str">
        <f ca="1">IF(COUNTIFS($BY$6:$BY$53,BY45,$BC$6:$BC$53,INDEX(T_Equipos[Grupo],MATCH(BD45,T_Equipos[NombreEquipo],0)))=1,"-","P."&amp;BY45&amp;" ("&amp;COUNTIFS($BY$6:$BY$53,BY45,$BC$6:$BC$53,INDEX(T_Equipos[Grupo],MATCH(BD45,T_Equipos[NombreEquipo],0)))&amp;")")</f>
        <v>P.2 (3)</v>
      </c>
      <c r="CA45" s="16">
        <f t="shared" ca="1" si="32"/>
        <v>0</v>
      </c>
      <c r="CB45" s="16">
        <f t="shared" ca="1" si="33"/>
        <v>0</v>
      </c>
      <c r="CC45" s="16">
        <f t="shared" ca="1" si="34"/>
        <v>0</v>
      </c>
      <c r="CD45" s="16">
        <f ca="1">BY45+COUNTIFS($BZ$6:$BZ$53,BZ45,$CC$6:CC$53,"&gt;"&amp;CC45,$BC$6:$BC$53,INDEX(T_Equipos[Grupo],MATCH(BD45,T_Equipos[NombreEquipo],0)))</f>
        <v>2</v>
      </c>
      <c r="CE45" s="16" t="str">
        <f ca="1">IF(COUNTIFS($CD$6:$CD$53,CD45,$BC$6:$BC$53,INDEX(T_Equipos[Grupo],MATCH(BD45,T_Equipos[NombreEquipo],0)))=1,"-","P."&amp;CD45&amp;" ("&amp;COUNTIFS($CD$6:$CD$53,CD45,$BC$6:$BC$53,INDEX(T_Equipos[Grupo],MATCH(BD45,T_Equipos[NombreEquipo],0)))&amp;")")</f>
        <v>P.2 (3)</v>
      </c>
      <c r="CF45" s="16">
        <f t="shared" ca="1" si="35"/>
        <v>0</v>
      </c>
      <c r="CG45" s="16">
        <f ca="1">CD45+COUNTIFS($CE$6:$CE$53,CE45,$CF$6:CF$53,"&gt;"&amp;CF45,$BC$6:$BC$53,INDEX(T_Equipos[Grupo],MATCH(BD45,T_Equipos[NombreEquipo],0)))</f>
        <v>2</v>
      </c>
      <c r="CH45" s="16" t="str">
        <f ca="1">IF(COUNTIFS($CG$6:$CG$53,CG45,$BC$6:$BC$53,INDEX(T_Equipos[Grupo],MATCH(BD45,T_Equipos[NombreEquipo],0)))=1,"-","P."&amp;CG45&amp;" ("&amp;COUNTIFS($CG$6:$CG$53,CG45,$BC$6:$BC$53,INDEX(T_Equipos[Grupo],MATCH(BD45,T_Equipos[NombreEquipo],0)))&amp;")")</f>
        <v>P.2 (3)</v>
      </c>
      <c r="CI45" s="16">
        <f t="shared" ca="1" si="36"/>
        <v>0</v>
      </c>
      <c r="CJ45" s="16">
        <f t="shared" ca="1" si="37"/>
        <v>0</v>
      </c>
      <c r="CK45" s="16">
        <f t="shared" ca="1" si="38"/>
        <v>0</v>
      </c>
      <c r="CL45" s="16">
        <f t="shared" ca="1" si="39"/>
        <v>0</v>
      </c>
      <c r="CM45" s="16">
        <f ca="1">CG45+COUNTIFS($CH$6:$CH$53,CH45,$CL$6:CL$53,"&gt;"&amp;CL45,$BC$6:$BC$53,INDEX(T_Equipos[Grupo],MATCH(BD45,T_Equipos[NombreEquipo],0)))</f>
        <v>2</v>
      </c>
      <c r="CN45" s="16" t="str">
        <f ca="1">IF(COUNTIFS($CM$6:$CM$53,CM45,$BC$6:$BC$53,INDEX(T_Equipos[Grupo],MATCH(BD45,T_Equipos[NombreEquipo],0)))=1,"-","P."&amp;CM45&amp;" ("&amp;COUNTIFS($CM$6:$CM$53,CM45,$BC$6:$BC$53,INDEX(T_Equipos[Grupo],MATCH(BD45,T_Equipos[NombreEquipo],0)))&amp;")")</f>
        <v>P.2 (3)</v>
      </c>
      <c r="CO45" s="16">
        <f t="shared" ca="1" si="40"/>
        <v>0</v>
      </c>
      <c r="CP45" s="16">
        <f t="shared" ca="1" si="41"/>
        <v>0</v>
      </c>
      <c r="CQ45" s="16">
        <f t="shared" ca="1" si="42"/>
        <v>0</v>
      </c>
      <c r="CR45" s="16">
        <f ca="1">CM45+COUNTIFS($CN$6:$CN$53,CN45,$CQ$6:CQ$53,"&gt;"&amp;CQ45,$BC$6:$BC$53,INDEX(T_Equipos[Grupo],MATCH(BD45,T_Equipos[NombreEquipo],0)))</f>
        <v>2</v>
      </c>
      <c r="CS45" s="16" t="str">
        <f ca="1">IF(COUNTIFS($CR$6:$CR$53,CR45,$BC$6:$BC$53,INDEX(T_Equipos[Grupo],MATCH(BD45,T_Equipos[NombreEquipo],0)))=1,"-","P."&amp;CR45&amp;" ("&amp;COUNTIFS($CR$6:$CR$53,CR45,$BC$6:$BC$53,INDEX(T_Equipos[Grupo],MATCH(BD45,T_Equipos[NombreEquipo],0)))&amp;")")</f>
        <v>P.2 (3)</v>
      </c>
      <c r="CT45" s="16">
        <f t="shared" ca="1" si="43"/>
        <v>0</v>
      </c>
      <c r="CU45" s="16">
        <f ca="1">CR45+COUNTIFS($CS$6:$CS$53,CS45,$CT$6:CT$53,"&gt;"&amp;CT45,$BC$6:$BC$53,INDEX(T_Equipos[Grupo],MATCH(BD45,T_Equipos[NombreEquipo],0)))</f>
        <v>2</v>
      </c>
      <c r="CV45" s="16" t="str">
        <f ca="1">IF(COUNTIFS($CU$6:$CU$53,CU45,$BC$6:$BC$53,INDEX(T_Equipos[Grupo],MATCH(BD45,T_Equipos[NombreEquipo],0)))=1,"-","P."&amp;CU45&amp;" ("&amp;COUNTIFS($CU$6:$CU$53,CU45,$BC$6:$BC$53,INDEX(T_Equipos[Grupo],MATCH(BD45,T_Equipos[NombreEquipo],0)))&amp;")")</f>
        <v>P.2 (3)</v>
      </c>
      <c r="CW45" s="16">
        <f t="shared" ca="1" si="44"/>
        <v>0</v>
      </c>
      <c r="CX45" s="16">
        <f ca="1">CU45+COUNTIFS($CV$6:$CV$53,CV45,$CW$6:CW$53,"&gt;"&amp;CW45,$BC$6:$BC$53,INDEX(T_Equipos[Grupo],MATCH(BD45,T_Equipos[NombreEquipo],0)))</f>
        <v>2</v>
      </c>
      <c r="CY45" s="16" t="str">
        <f ca="1">IF(COUNTIFS($CX$6:$CX$53,CX45,$BC$6:$BC$53,INDEX(T_Equipos[Grupo],MATCH(BD45,T_Equipos[NombreEquipo],0)))=1,"-","P."&amp;CX45&amp;" ("&amp;COUNTIFS($CX$6:$CX$53,CX45,$BC$6:$BC$53,INDEX(T_Equipos[Grupo],MATCH(BD45,T_Equipos[NombreEquipo],0)))&amp;")")</f>
        <v>P.2 (2)</v>
      </c>
      <c r="CZ45" s="16">
        <f t="shared" ca="1" si="45"/>
        <v>0</v>
      </c>
      <c r="DA45" s="16">
        <f ca="1">CX45+COUNTIFS($CY$6:$CY$53,CY45,$CZ$6:CZ$53,"&gt;"&amp;CZ45,$BC$6:$BC$53,INDEX(T_Equipos[Grupo],MATCH(BD45,T_Equipos[NombreEquipo],0)))</f>
        <v>2</v>
      </c>
      <c r="DB45" s="16" t="str">
        <f ca="1">IF(COUNTIFS($DA$6:$DA$53,DA45,$BC$6:$BC$53,INDEX(T_Equipos[Grupo],MATCH(BD45,T_Equipos[NombreEquipo],0)))=1,"-","P."&amp;DA45&amp;" ("&amp;COUNTIFS($DA$6:$DA$53,DA45,$BC$6:$BC$53,INDEX(T_Equipos[Grupo],MATCH(BD45,T_Equipos[NombreEquipo],0)))&amp;")")</f>
        <v>P.2 (2)</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3</v>
      </c>
      <c r="DE45" s="16"/>
      <c r="DF45" s="16">
        <f t="shared" ca="1" si="46"/>
        <v>3</v>
      </c>
      <c r="DG45" s="16">
        <f ca="1">IF(DB45="-","-",COUNTIFS(DF$6:DF$53,"&lt;"&amp;DF45,$BC$6:$BC$53,INDEX(T_Equipos[Grupo],MATCH(BD45,T_Equipos[NombreEquipo],0))))</f>
        <v>2</v>
      </c>
      <c r="DH45" s="16">
        <f ca="1">DA45+COUNTIFS(DB$6:DB$53,DB45,DG$6:DG$53,"&lt;"&amp;DG45,$BC$6:$BC$53,INDEX(T_Equipos[Grupo],MATCH(BD45,T_Equipos[NombreEquipo],0)))</f>
        <v>3</v>
      </c>
      <c r="DI45" s="16"/>
      <c r="DJ45" s="16">
        <f t="shared" ca="1" si="47"/>
        <v>4</v>
      </c>
      <c r="DK45" s="16">
        <f t="shared" ca="1" si="48"/>
        <v>2</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Suecia</v>
      </c>
      <c r="AM46" s="35">
        <f t="shared" ref="AM46:AT49" ca="1" si="131">INDEX($BE$6:$BN$53,MATCH($AL46,$BD$6:$BD$53,0),MATCH(AM$5,$BE$5:$BN$5,0))</f>
        <v>3</v>
      </c>
      <c r="AN46" s="36">
        <f t="shared" ca="1" si="131"/>
        <v>1</v>
      </c>
      <c r="AO46" s="36">
        <f t="shared" ca="1" si="131"/>
        <v>1</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Suecia</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0"/>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Países Bajos</v>
      </c>
      <c r="AM47" s="38">
        <f t="shared" ca="1" si="131"/>
        <v>1</v>
      </c>
      <c r="AN47" s="39">
        <f t="shared" ca="1" si="131"/>
        <v>1</v>
      </c>
      <c r="AO47" s="39">
        <f t="shared" ca="1" si="131"/>
        <v>0</v>
      </c>
      <c r="AP47" s="39">
        <f t="shared" ca="1" si="131"/>
        <v>1</v>
      </c>
      <c r="AQ47" s="39">
        <f t="shared" ca="1" si="131"/>
        <v>0</v>
      </c>
      <c r="AR47" s="39">
        <f t="shared" ca="1" si="131"/>
        <v>2</v>
      </c>
      <c r="AS47" s="39">
        <f t="shared" ca="1" si="131"/>
        <v>2</v>
      </c>
      <c r="AT47" s="43">
        <f t="shared" ca="1" si="131"/>
        <v>0</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Japón</v>
      </c>
      <c r="AM48" s="38">
        <f t="shared" ca="1" si="131"/>
        <v>1</v>
      </c>
      <c r="AN48" s="39">
        <f t="shared" ca="1" si="131"/>
        <v>1</v>
      </c>
      <c r="AO48" s="39">
        <f t="shared" ca="1" si="131"/>
        <v>0</v>
      </c>
      <c r="AP48" s="39">
        <f t="shared" ca="1" si="131"/>
        <v>1</v>
      </c>
      <c r="AQ48" s="39">
        <f t="shared" ca="1" si="131"/>
        <v>0</v>
      </c>
      <c r="AR48" s="39">
        <f t="shared" ca="1" si="131"/>
        <v>2</v>
      </c>
      <c r="AS48" s="39">
        <f t="shared" ca="1" si="131"/>
        <v>2</v>
      </c>
      <c r="AT48" s="43">
        <f t="shared" ca="1" si="131"/>
        <v>0</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1</v>
      </c>
      <c r="AO49" s="47">
        <f t="shared" ca="1" si="131"/>
        <v>0</v>
      </c>
      <c r="AP49" s="47">
        <f t="shared" ca="1" si="131"/>
        <v>0</v>
      </c>
      <c r="AQ49" s="47">
        <f t="shared" ca="1" si="131"/>
        <v>1</v>
      </c>
      <c r="AR49" s="47">
        <f t="shared" ca="1" si="131"/>
        <v>1</v>
      </c>
      <c r="AS49" s="47">
        <f t="shared" ca="1" si="131"/>
        <v>5</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(4)</v>
      </c>
      <c r="F52" s="16" t="str">
        <f t="shared" ref="F52:F57" ca="1" si="134">IF(D52="Pendiente","-",INDEX($BT$6:$BT$53,MATCH($AF52,$BD$6:$BD$53,0)))</f>
        <v>P.1 (4)</v>
      </c>
      <c r="G52" s="16"/>
      <c r="H52" s="16" t="str">
        <f t="shared" ref="H52:H57" ca="1" si="135">IF(D52="Pendiente","-",INDEX($BZ$6:$BZ$53,MATCH($AA52,$BD$6:$BD$53,0)))</f>
        <v>P.1 (4)</v>
      </c>
      <c r="I52" s="16" t="str">
        <f t="shared" ref="I52:I57" ca="1" si="136">IF(D52="Pendiente","-",INDEX($BZ$6:$BZ$53,MATCH($AF52,$BD$6:$BD$53,0)))</f>
        <v>P.1 (4)</v>
      </c>
      <c r="J52" s="16"/>
      <c r="K52" s="16" t="str">
        <f t="shared" ref="K52:K57" ca="1" si="137">IF(D52="Pendiente","-",INDEX($CE$6:$CE$53,MATCH($AA52,$BD$6:$BD$53,0)))</f>
        <v>P.1 (4)</v>
      </c>
      <c r="L52" s="16" t="str">
        <f t="shared" ref="L52:L57" ca="1" si="138">IF(D52="Pendiente","-",INDEX($CE$6:$CE$53,MATCH($AF52,$BD$6:$BD$53,0)))</f>
        <v>P.1 (4)</v>
      </c>
      <c r="M52" s="16"/>
      <c r="N52" s="16" t="str">
        <f t="shared" ref="N52:N57" ca="1" si="139">IF(D52="Pendiente","-",INDEX($CH$6:$CH$53,MATCH($AA52,$BD$6:$BD$53,0)))</f>
        <v>P.3 (2)</v>
      </c>
      <c r="O52" s="16" t="str">
        <f t="shared" ref="O52:O57" ca="1" si="140">IF(D52="Pendiente","-",INDEX($CH$6:$CH$53,MATCH($AF52,$BD$6:$BD$53,0)))</f>
        <v>P.3 (2)</v>
      </c>
      <c r="P52" s="16"/>
      <c r="Q52" s="16" t="str">
        <f t="shared" ref="Q52:Q57" ca="1" si="141">IF(D52="Pendiente","-",INDEX($CN$6:$CN$53,MATCH($AA52,$BD$6:$BD$53,0)))</f>
        <v>P.3 (2)</v>
      </c>
      <c r="R52" s="16" t="str">
        <f t="shared" ref="R52:R57" ca="1" si="142">IF(D52="Pendiente","-",INDEX($CN$6:$CN$53,MATCH($AF52,$BD$6:$BD$53,0)))</f>
        <v>P.3 (2)</v>
      </c>
      <c r="S52" s="16"/>
      <c r="T52" s="16" t="str">
        <f t="shared" ref="T52:T57" ca="1" si="143">IF(D52="Pendiente","-",INDEX($CS$6:$CS$53,MATCH($AA52,$BD$6:$BD$53,0)))</f>
        <v>P.3 (2)</v>
      </c>
      <c r="U52" s="16" t="str">
        <f t="shared" ref="U52:U57" ca="1" si="144">IF(D52="Pendiente","-",INDEX($CS$6:$CS$53,MATCH($AF52,$BD$6:$BD$53,0)))</f>
        <v>P.3 (2)</v>
      </c>
      <c r="V52" s="17"/>
      <c r="W52" s="632"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P.1 (4)</v>
      </c>
      <c r="F53" s="16" t="str">
        <f t="shared" ca="1" si="134"/>
        <v>P.1 (4)</v>
      </c>
      <c r="G53" s="16"/>
      <c r="H53" s="16" t="str">
        <f t="shared" ca="1" si="135"/>
        <v>P.1 (4)</v>
      </c>
      <c r="I53" s="16" t="str">
        <f t="shared" ca="1" si="136"/>
        <v>P.1 (4)</v>
      </c>
      <c r="J53" s="16"/>
      <c r="K53" s="16" t="str">
        <f t="shared" ca="1" si="137"/>
        <v>P.1 (4)</v>
      </c>
      <c r="L53" s="16" t="str">
        <f t="shared" ca="1" si="138"/>
        <v>P.1 (4)</v>
      </c>
      <c r="M53" s="16"/>
      <c r="N53" s="16" t="str">
        <f t="shared" ca="1" si="139"/>
        <v>P.1 (2)</v>
      </c>
      <c r="O53" s="16" t="str">
        <f t="shared" ca="1" si="140"/>
        <v>P.1 (2)</v>
      </c>
      <c r="P53" s="16"/>
      <c r="Q53" s="16" t="str">
        <f t="shared" ca="1" si="141"/>
        <v>P.1 (2)</v>
      </c>
      <c r="R53" s="16" t="str">
        <f t="shared" ca="1" si="142"/>
        <v>P.1 (2)</v>
      </c>
      <c r="S53" s="16"/>
      <c r="T53" s="16" t="str">
        <f t="shared" ca="1" si="143"/>
        <v>P.1 (2)</v>
      </c>
      <c r="U53" s="16" t="str">
        <f t="shared" ca="1" si="144"/>
        <v>P.1 (2)</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0"/>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Irán</v>
      </c>
      <c r="AM54" s="35">
        <f t="shared" ref="AM54:AT57" ca="1" si="147">INDEX($BE$6:$BN$53,MATCH($AL54,$BD$6:$BD$53,0),MATCH(AM$5,$BE$5:$BN$5,0))</f>
        <v>1</v>
      </c>
      <c r="AN54" s="36">
        <f t="shared" ca="1" si="147"/>
        <v>1</v>
      </c>
      <c r="AO54" s="36">
        <f t="shared" ca="1" si="147"/>
        <v>0</v>
      </c>
      <c r="AP54" s="36">
        <f t="shared" ca="1" si="147"/>
        <v>1</v>
      </c>
      <c r="AQ54" s="36">
        <f t="shared" ca="1" si="147"/>
        <v>0</v>
      </c>
      <c r="AR54" s="36">
        <f t="shared" ca="1" si="147"/>
        <v>2</v>
      </c>
      <c r="AS54" s="36">
        <f t="shared" ca="1" si="147"/>
        <v>2</v>
      </c>
      <c r="AT54" s="41">
        <f t="shared" ca="1" si="147"/>
        <v>0</v>
      </c>
      <c r="AU54" s="323">
        <f ca="1">INDEX($DL$6:$DL$53,MATCH(AI54,$DP$6:$DP$53,0))</f>
        <v>1</v>
      </c>
      <c r="AV54" s="182" t="str">
        <f ca="1">INDEX($BD$6:$BD$53,MATCH(AI54,$BM$6:$BM$53,0))</f>
        <v>Irán</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0"/>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Nueva Zelanda</v>
      </c>
      <c r="AM55" s="38">
        <f t="shared" ca="1" si="147"/>
        <v>1</v>
      </c>
      <c r="AN55" s="39">
        <f t="shared" ca="1" si="147"/>
        <v>1</v>
      </c>
      <c r="AO55" s="39">
        <f t="shared" ca="1" si="147"/>
        <v>0</v>
      </c>
      <c r="AP55" s="39">
        <f t="shared" ca="1" si="147"/>
        <v>1</v>
      </c>
      <c r="AQ55" s="39">
        <f t="shared" ca="1" si="147"/>
        <v>0</v>
      </c>
      <c r="AR55" s="39">
        <f t="shared" ca="1" si="147"/>
        <v>2</v>
      </c>
      <c r="AS55" s="39">
        <f t="shared" ca="1" si="147"/>
        <v>2</v>
      </c>
      <c r="AT55" s="43">
        <f t="shared" ca="1" si="147"/>
        <v>0</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1</v>
      </c>
      <c r="AN56" s="39">
        <f t="shared" ca="1" si="147"/>
        <v>1</v>
      </c>
      <c r="AO56" s="39">
        <f t="shared" ca="1" si="147"/>
        <v>0</v>
      </c>
      <c r="AP56" s="39">
        <f t="shared" ca="1" si="147"/>
        <v>1</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Egipto</v>
      </c>
      <c r="AM57" s="46">
        <f t="shared" ca="1" si="147"/>
        <v>1</v>
      </c>
      <c r="AN57" s="47">
        <f t="shared" ca="1" si="147"/>
        <v>1</v>
      </c>
      <c r="AO57" s="47">
        <f t="shared" ca="1" si="147"/>
        <v>0</v>
      </c>
      <c r="AP57" s="47">
        <f t="shared" ca="1" si="147"/>
        <v>1</v>
      </c>
      <c r="AQ57" s="47">
        <f t="shared" ca="1" si="147"/>
        <v>0</v>
      </c>
      <c r="AR57" s="47">
        <f t="shared" ca="1" si="147"/>
        <v>1</v>
      </c>
      <c r="AS57" s="47">
        <f t="shared" ca="1" si="147"/>
        <v>1</v>
      </c>
      <c r="AT57" s="48">
        <f t="shared" ca="1" si="147"/>
        <v>0</v>
      </c>
      <c r="AU57" s="323">
        <f ca="1">INDEX($DL$6:$DL$53,MATCH(AI57,$DP$6:$DP$53,0))</f>
        <v>1</v>
      </c>
      <c r="AV57" s="182" t="str">
        <f ca="1">INDEX($BD$6:$BD$53,MATCH(AI57,$BM$6:$BM$53,0))</f>
        <v>Egipto</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t="shared" ref="BF58:BF69" ca="1" si="150">+BG58+BH58+BI58</f>
        <v>1</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-1</v>
      </c>
      <c r="BM58" s="16">
        <f t="shared" ref="BM58:BM69" ca="1" si="152">CB58</f>
        <v>9</v>
      </c>
      <c r="BN58" s="16">
        <f t="shared" ref="BN58:BN69" ca="1" si="153">CF58</f>
        <v>9</v>
      </c>
      <c r="BO58" s="16" t="str">
        <f t="shared" ref="BO58:BO69" si="154">"4"&amp;BC58</f>
        <v>4A</v>
      </c>
      <c r="BP58" s="16"/>
      <c r="BQ58" s="16"/>
      <c r="BR58" s="16">
        <f t="shared" ref="BR58:BR69" ca="1" si="155">+BE58</f>
        <v>0</v>
      </c>
      <c r="BS58" s="16">
        <f t="shared" ref="BS58:BS69" ca="1" si="156">COUNTIFS(BR$58:BR$69,"&gt;"&amp;BR58)+1</f>
        <v>6</v>
      </c>
      <c r="BT58" s="16" t="str">
        <f t="shared" ref="BT58:BT69" ca="1" si="157">IF(COUNTIF(BS$58:BS$69,BS58)=1,"-","Pos. "&amp;BS58&amp;" ("&amp;COUNTIF(BS$58:BS$69,BS58)&amp;")")</f>
        <v>Pos. 6 (7)</v>
      </c>
      <c r="BU58" s="16">
        <f t="shared" ref="BU58:BU69" ca="1" si="158">IF(BT58="-","-",BL58)</f>
        <v>-1</v>
      </c>
      <c r="BV58" s="16">
        <f t="shared" ref="BV58:BV69" ca="1" si="159">BS58+COUNTIFS(BT$58:BT$69,BT58,BU$58:BU$69,"&gt;"&amp;BU58)</f>
        <v>9</v>
      </c>
      <c r="BW58" s="16" t="str">
        <f t="shared" ref="BW58:BW69" ca="1" si="160">IF(COUNTIF(BV$58:BV$69,BV58)=1,"-","Pos. "&amp;BV58&amp;" ("&amp;COUNTIF(BV$58:BV$69,BV58)&amp;")")</f>
        <v>Pos. 9 (2)</v>
      </c>
      <c r="BX58" s="16">
        <f t="shared" ref="BX58:BX69" ca="1" si="161">IF(BW58="-","-",BJ58)</f>
        <v>1</v>
      </c>
      <c r="BY58" s="16">
        <f t="shared" ref="BY58:BY69" ca="1" si="162">BV58+COUNTIFS(BW$58:BW$69,BW58,BX$58:BX$69,"&gt;"&amp;BX58)</f>
        <v>9</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9</v>
      </c>
      <c r="CC58" s="16"/>
      <c r="CD58" s="16">
        <f t="shared" ref="CD58:CD69" ca="1" si="166">IF(OR(INDEX($AW$102:$AW$113,MATCH($BD58,$AV$102:$AV$113,0))="",BZ58="-"),CB58,INDEX($AW$102:$AW$113,MATCH($BD58,$AV$102:$AV$113,0))+CB58/1000)</f>
        <v>9</v>
      </c>
      <c r="CE58" s="16" t="str">
        <f t="shared" ref="CE58:CE69" ca="1" si="167">IF(BZ58="-","-",COUNTIF(CD$58:CD$69,"&lt;"&amp;CD58))</f>
        <v>-</v>
      </c>
      <c r="CF58" s="16">
        <f t="shared" ref="CF58:CF69" ca="1" si="168">BY58+COUNTIFS(BZ$58:BZ$69,BZ58,CE$58:CE$69,"&lt;"&amp;CE58)</f>
        <v>9</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Japón</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1</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1</v>
      </c>
      <c r="BL59" s="16">
        <f t="shared" ca="1" si="151"/>
        <v>0</v>
      </c>
      <c r="BM59" s="16">
        <f t="shared" ca="1" si="152"/>
        <v>3</v>
      </c>
      <c r="BN59" s="16">
        <f t="shared" ca="1" si="153"/>
        <v>3</v>
      </c>
      <c r="BO59" s="16" t="str">
        <f t="shared" si="154"/>
        <v>4B</v>
      </c>
      <c r="BP59" s="16"/>
      <c r="BQ59" s="16"/>
      <c r="BR59" s="16">
        <f t="shared" ca="1" si="155"/>
        <v>1</v>
      </c>
      <c r="BS59" s="16">
        <f t="shared" ca="1" si="156"/>
        <v>1</v>
      </c>
      <c r="BT59" s="16" t="str">
        <f t="shared" ca="1" si="157"/>
        <v>Pos. 1 (5)</v>
      </c>
      <c r="BU59" s="16">
        <f t="shared" ca="1" si="158"/>
        <v>0</v>
      </c>
      <c r="BV59" s="16">
        <f t="shared" ca="1" si="159"/>
        <v>1</v>
      </c>
      <c r="BW59" s="16" t="str">
        <f t="shared" ca="1" si="160"/>
        <v>Pos. 1 (5)</v>
      </c>
      <c r="BX59" s="16">
        <f t="shared" ca="1" si="161"/>
        <v>1</v>
      </c>
      <c r="BY59" s="16">
        <f t="shared" ca="1" si="162"/>
        <v>2</v>
      </c>
      <c r="BZ59" s="16" t="str">
        <f t="shared" ca="1" si="163"/>
        <v>Pos. 2 (3)</v>
      </c>
      <c r="CA59" s="16">
        <f t="shared" ca="1" si="164"/>
        <v>10</v>
      </c>
      <c r="CB59" s="16">
        <f t="shared" ca="1" si="165"/>
        <v>3</v>
      </c>
      <c r="CC59" s="16"/>
      <c r="CD59" s="16">
        <f t="shared" ca="1" si="166"/>
        <v>3</v>
      </c>
      <c r="CE59" s="16">
        <f t="shared" ca="1" si="167"/>
        <v>2</v>
      </c>
      <c r="CF59" s="16">
        <f t="shared" ca="1" si="168"/>
        <v>3</v>
      </c>
      <c r="DJ59" s="16">
        <f t="shared" ca="1" si="169"/>
        <v>2</v>
      </c>
      <c r="DK59" s="16"/>
      <c r="DL59" s="16">
        <f t="shared" ca="1" si="170"/>
        <v>1</v>
      </c>
      <c r="DM59" s="16" t="str">
        <f t="shared" ca="1" si="171"/>
        <v>2.1</v>
      </c>
      <c r="DN59" s="16">
        <f t="array" aca="1" ref="DN59" ca="1">OFFSET(Horarios!$P$3,DJ59-1,0,DL59,1)</f>
        <v>2</v>
      </c>
      <c r="DO59" s="16"/>
      <c r="DP59" s="16">
        <v>2</v>
      </c>
      <c r="DQ59" s="16" t="str">
        <f t="shared" ca="1" si="172"/>
        <v>Bélgica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P.1 (4)</v>
      </c>
      <c r="F60" s="16" t="str">
        <f t="shared" ref="F60:F65" ca="1" si="181">IF(D60="Pendiente","-",INDEX($BT$6:$BT$53,MATCH($AF60,$BD$6:$BD$53,0)))</f>
        <v>P.1 (4)</v>
      </c>
      <c r="G60" s="16"/>
      <c r="H60" s="16" t="str">
        <f t="shared" ref="H60:H65" ca="1" si="182">IF(D60="Pendiente","-",INDEX($BZ$6:$BZ$53,MATCH($AA60,$BD$6:$BD$53,0)))</f>
        <v>P.1 (4)</v>
      </c>
      <c r="I60" s="16" t="str">
        <f t="shared" ref="I60:I65" ca="1" si="183">IF(D60="Pendiente","-",INDEX($BZ$6:$BZ$53,MATCH($AF60,$BD$6:$BD$53,0)))</f>
        <v>P.1 (4)</v>
      </c>
      <c r="J60" s="16"/>
      <c r="K60" s="16" t="str">
        <f t="shared" ref="K60:K65" ca="1" si="184">IF(D60="Pendiente","-",INDEX($CE$6:$CE$53,MATCH($AA60,$BD$6:$BD$53,0)))</f>
        <v>P.1 (4)</v>
      </c>
      <c r="L60" s="16" t="str">
        <f t="shared" ref="L60:L65" ca="1" si="185">IF(D60="Pendiente","-",INDEX($CE$6:$CE$53,MATCH($AF60,$BD$6:$BD$53,0)))</f>
        <v>P.1 (4)</v>
      </c>
      <c r="M60" s="16"/>
      <c r="N60" s="16" t="str">
        <f t="shared" ref="N60:N65" ca="1" si="186">IF(D60="Pendiente","-",INDEX($CH$6:$CH$53,MATCH($AA60,$BD$6:$BD$53,0)))</f>
        <v>P.3 (2)</v>
      </c>
      <c r="O60" s="16" t="str">
        <f t="shared" ref="O60:O65" ca="1" si="187">IF(D60="Pendiente","-",INDEX($CH$6:$CH$53,MATCH($AF60,$BD$6:$BD$53,0)))</f>
        <v>P.3 (2)</v>
      </c>
      <c r="P60" s="16"/>
      <c r="Q60" s="16" t="str">
        <f t="shared" ref="Q60:Q65" ca="1" si="188">IF(D60="Pendiente","-",INDEX($CN$6:$CN$53,MATCH($AA60,$BD$6:$BD$53,0)))</f>
        <v>P.3 (2)</v>
      </c>
      <c r="R60" s="16" t="str">
        <f t="shared" ref="R60:R65" ca="1" si="189">IF(D60="Pendiente","-",INDEX($CN$6:$CN$53,MATCH($AF60,$BD$6:$BD$53,0)))</f>
        <v>P.3 (2)</v>
      </c>
      <c r="S60" s="16"/>
      <c r="T60" s="16" t="str">
        <f t="shared" ref="T60:T65" ca="1" si="190">IF(D60="Pendiente","-",INDEX($CS$6:$CS$53,MATCH($AA60,$BD$6:$BD$53,0)))</f>
        <v>P.3 (2)</v>
      </c>
      <c r="U60" s="16" t="str">
        <f t="shared" ref="U60:U65" ca="1" si="191">IF(D60="Pendiente","-",INDEX($CS$6:$CS$53,MATCH($AF60,$BD$6:$BD$53,0)))</f>
        <v>P.3 (2)</v>
      </c>
      <c r="V60" s="17"/>
      <c r="W60" s="635"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1</v>
      </c>
      <c r="BF60" s="16">
        <f t="shared" ca="1" si="150"/>
        <v>1</v>
      </c>
      <c r="BG60" s="16">
        <f t="shared" ca="1" si="174"/>
        <v>0</v>
      </c>
      <c r="BH60" s="16">
        <f t="shared" ca="1" si="175"/>
        <v>1</v>
      </c>
      <c r="BI60" s="16">
        <f t="shared" ca="1" si="176"/>
        <v>0</v>
      </c>
      <c r="BJ60" s="16">
        <f t="shared" ca="1" si="177"/>
        <v>1</v>
      </c>
      <c r="BK60" s="16">
        <f t="shared" ca="1" si="178"/>
        <v>1</v>
      </c>
      <c r="BL60" s="16">
        <f t="shared" ca="1" si="151"/>
        <v>0</v>
      </c>
      <c r="BM60" s="16">
        <f t="shared" ca="1" si="152"/>
        <v>4</v>
      </c>
      <c r="BN60" s="16">
        <f t="shared" ca="1" si="153"/>
        <v>4</v>
      </c>
      <c r="BO60" s="16" t="str">
        <f t="shared" si="154"/>
        <v>4C</v>
      </c>
      <c r="BP60" s="16"/>
      <c r="BQ60" s="16"/>
      <c r="BR60" s="16">
        <f t="shared" ca="1" si="155"/>
        <v>1</v>
      </c>
      <c r="BS60" s="16">
        <f t="shared" ca="1" si="156"/>
        <v>1</v>
      </c>
      <c r="BT60" s="16" t="str">
        <f t="shared" ca="1" si="157"/>
        <v>Pos. 1 (5)</v>
      </c>
      <c r="BU60" s="16">
        <f t="shared" ca="1" si="158"/>
        <v>0</v>
      </c>
      <c r="BV60" s="16">
        <f t="shared" ca="1" si="159"/>
        <v>1</v>
      </c>
      <c r="BW60" s="16" t="str">
        <f t="shared" ca="1" si="160"/>
        <v>Pos. 1 (5)</v>
      </c>
      <c r="BX60" s="16">
        <f t="shared" ca="1" si="161"/>
        <v>1</v>
      </c>
      <c r="BY60" s="16">
        <f t="shared" ca="1" si="162"/>
        <v>2</v>
      </c>
      <c r="BZ60" s="16" t="str">
        <f t="shared" ca="1" si="163"/>
        <v>Pos. 2 (3)</v>
      </c>
      <c r="CA60" s="16">
        <f t="shared" ca="1" si="164"/>
        <v>4</v>
      </c>
      <c r="CB60" s="16">
        <f t="shared" ca="1" si="165"/>
        <v>4</v>
      </c>
      <c r="CC60" s="16"/>
      <c r="CD60" s="16">
        <f t="shared" ca="1" si="166"/>
        <v>4</v>
      </c>
      <c r="CE60" s="16">
        <f t="shared" ca="1" si="167"/>
        <v>3</v>
      </c>
      <c r="CF60" s="16">
        <f t="shared" ca="1" si="168"/>
        <v>4</v>
      </c>
      <c r="DJ60" s="16">
        <f t="shared" ca="1" si="169"/>
        <v>2</v>
      </c>
      <c r="DK60" s="16"/>
      <c r="DL60" s="16">
        <f t="shared" ca="1" si="170"/>
        <v>1</v>
      </c>
      <c r="DM60" s="16" t="str">
        <f t="shared" ca="1" si="171"/>
        <v>2.1</v>
      </c>
      <c r="DN60" s="16">
        <f t="array" aca="1" ref="DN60" ca="1">OFFSET(Horarios!$P$3,DJ60-1,0,DL60,1)</f>
        <v>2</v>
      </c>
      <c r="DO60" s="16"/>
      <c r="DP60" s="16">
        <v>3</v>
      </c>
      <c r="DQ60" s="16" t="str">
        <f t="shared" ca="1" si="172"/>
        <v>Catar</v>
      </c>
    </row>
    <row r="61" spans="1:121" ht="16" customHeight="1" x14ac:dyDescent="0.2">
      <c r="A61" s="16" t="str">
        <f ca="1">+Equipos!B30</f>
        <v>España</v>
      </c>
      <c r="B61" s="16"/>
      <c r="C61" s="16"/>
      <c r="D61" s="16" t="str">
        <f t="shared" si="179"/>
        <v>Empate</v>
      </c>
      <c r="E61" s="16" t="str">
        <f t="shared" ca="1" si="180"/>
        <v>P.1 (4)</v>
      </c>
      <c r="F61" s="16" t="str">
        <f t="shared" ca="1" si="181"/>
        <v>P.1 (4)</v>
      </c>
      <c r="G61" s="16"/>
      <c r="H61" s="16" t="str">
        <f t="shared" ca="1" si="182"/>
        <v>P.1 (4)</v>
      </c>
      <c r="I61" s="16" t="str">
        <f t="shared" ca="1" si="183"/>
        <v>P.1 (4)</v>
      </c>
      <c r="J61" s="16"/>
      <c r="K61" s="16" t="str">
        <f t="shared" ca="1" si="184"/>
        <v>P.1 (4)</v>
      </c>
      <c r="L61" s="16" t="str">
        <f t="shared" ca="1" si="185"/>
        <v>P.1 (4)</v>
      </c>
      <c r="M61" s="16"/>
      <c r="N61" s="16" t="str">
        <f t="shared" ca="1" si="186"/>
        <v>P.1 (2)</v>
      </c>
      <c r="O61" s="16" t="str">
        <f t="shared" ca="1" si="187"/>
        <v>P.1 (2)</v>
      </c>
      <c r="P61" s="16"/>
      <c r="Q61" s="16" t="str">
        <f t="shared" ca="1" si="188"/>
        <v>P.1 (2)</v>
      </c>
      <c r="R61" s="16" t="str">
        <f t="shared" ca="1" si="189"/>
        <v>P.1 (2)</v>
      </c>
      <c r="S61" s="16"/>
      <c r="T61" s="16" t="str">
        <f t="shared" ca="1" si="190"/>
        <v>P.1 (2)</v>
      </c>
      <c r="U61" s="16" t="str">
        <f t="shared" ca="1" si="191"/>
        <v>P.1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1</v>
      </c>
      <c r="BG61" s="16">
        <f t="shared" ca="1" si="174"/>
        <v>0</v>
      </c>
      <c r="BH61" s="16">
        <f t="shared" ca="1" si="175"/>
        <v>0</v>
      </c>
      <c r="BI61" s="16">
        <f t="shared" ca="1" si="176"/>
        <v>1</v>
      </c>
      <c r="BJ61" s="16">
        <f t="shared" ca="1" si="177"/>
        <v>0</v>
      </c>
      <c r="BK61" s="16">
        <f t="shared" ca="1" si="178"/>
        <v>2</v>
      </c>
      <c r="BL61" s="16">
        <f t="shared" ca="1" si="151"/>
        <v>-2</v>
      </c>
      <c r="BM61" s="16">
        <f t="shared" ca="1" si="152"/>
        <v>12</v>
      </c>
      <c r="BN61" s="16">
        <f t="shared" ca="1" si="153"/>
        <v>12</v>
      </c>
      <c r="BO61" s="16" t="str">
        <f t="shared" si="154"/>
        <v>4D</v>
      </c>
      <c r="BP61" s="16"/>
      <c r="BQ61" s="16"/>
      <c r="BR61" s="16">
        <f t="shared" ca="1" si="155"/>
        <v>0</v>
      </c>
      <c r="BS61" s="16">
        <f t="shared" ca="1" si="156"/>
        <v>6</v>
      </c>
      <c r="BT61" s="16" t="str">
        <f t="shared" ca="1" si="157"/>
        <v>Pos. 6 (7)</v>
      </c>
      <c r="BU61" s="16">
        <f t="shared" ca="1" si="158"/>
        <v>-2</v>
      </c>
      <c r="BV61" s="16">
        <f t="shared" ca="1" si="159"/>
        <v>11</v>
      </c>
      <c r="BW61" s="16" t="str">
        <f t="shared" ca="1" si="160"/>
        <v>Pos. 11 (2)</v>
      </c>
      <c r="BX61" s="16">
        <f t="shared" ca="1" si="161"/>
        <v>0</v>
      </c>
      <c r="BY61" s="16">
        <f t="shared" ca="1" si="162"/>
        <v>12</v>
      </c>
      <c r="BZ61" s="16" t="str">
        <f t="shared" ca="1" si="163"/>
        <v>-</v>
      </c>
      <c r="CA61" s="16" t="str">
        <f t="shared" ca="1" si="164"/>
        <v>-</v>
      </c>
      <c r="CB61" s="16">
        <f t="shared" ca="1" si="165"/>
        <v>12</v>
      </c>
      <c r="CC61" s="16"/>
      <c r="CD61" s="16">
        <f t="shared" ca="1" si="166"/>
        <v>12</v>
      </c>
      <c r="CE61" s="16" t="str">
        <f t="shared" ca="1" si="167"/>
        <v>-</v>
      </c>
      <c r="CF61" s="16">
        <f t="shared" ca="1" si="168"/>
        <v>12</v>
      </c>
      <c r="DJ61" s="16">
        <f t="shared" ca="1" si="169"/>
        <v>2</v>
      </c>
      <c r="DK61" s="16"/>
      <c r="DL61" s="16">
        <f t="shared" ca="1" si="170"/>
        <v>1</v>
      </c>
      <c r="DM61" s="16" t="str">
        <f t="shared" ca="1" si="171"/>
        <v>2.1</v>
      </c>
      <c r="DN61" s="16">
        <f t="array" aca="1" ref="DN61" ca="1">OFFSET(Horarios!$P$3,DJ61-1,0,DL61,1)</f>
        <v>2</v>
      </c>
      <c r="DO61" s="16"/>
      <c r="DP61" s="16">
        <v>4</v>
      </c>
      <c r="DQ61" s="16" t="str">
        <f t="shared" ca="1" si="172"/>
        <v>Marruecos</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0"/>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Arabia Saudita</v>
      </c>
      <c r="AM62" s="35">
        <f t="shared" ref="AM62:AT65" ca="1" si="195">INDEX($BE$6:$BN$53,MATCH($AL62,$BD$6:$BD$53,0),MATCH(AM$5,$BE$5:$BN$5,0))</f>
        <v>1</v>
      </c>
      <c r="AN62" s="36">
        <f t="shared" ca="1" si="195"/>
        <v>1</v>
      </c>
      <c r="AO62" s="36">
        <f t="shared" ca="1" si="195"/>
        <v>0</v>
      </c>
      <c r="AP62" s="36">
        <f t="shared" ca="1" si="195"/>
        <v>1</v>
      </c>
      <c r="AQ62" s="36">
        <f t="shared" ca="1" si="195"/>
        <v>0</v>
      </c>
      <c r="AR62" s="36">
        <f t="shared" ca="1" si="195"/>
        <v>1</v>
      </c>
      <c r="AS62" s="36">
        <f t="shared" ca="1" si="195"/>
        <v>1</v>
      </c>
      <c r="AT62" s="41">
        <f t="shared" ca="1" si="195"/>
        <v>0</v>
      </c>
      <c r="AU62" s="323">
        <f ca="1">INDEX($DL$6:$DL$53,MATCH(AI62,$DP$6:$DP$53,0))</f>
        <v>1</v>
      </c>
      <c r="AV62" s="182" t="str">
        <f ca="1">INDEX($BD$6:$BD$53,MATCH(AI62,$BM$6:$BM$53,0))</f>
        <v>Arabia Saudita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1</v>
      </c>
      <c r="BG62" s="16">
        <f t="shared" ca="1" si="174"/>
        <v>0</v>
      </c>
      <c r="BH62" s="16">
        <f t="shared" ca="1" si="175"/>
        <v>0</v>
      </c>
      <c r="BI62" s="16">
        <f t="shared" ca="1" si="176"/>
        <v>1</v>
      </c>
      <c r="BJ62" s="16">
        <f t="shared" ca="1" si="177"/>
        <v>0</v>
      </c>
      <c r="BK62" s="16">
        <f t="shared" ca="1" si="178"/>
        <v>1</v>
      </c>
      <c r="BL62" s="16">
        <f t="shared" ca="1" si="151"/>
        <v>-1</v>
      </c>
      <c r="BM62" s="16">
        <f t="shared" ca="1" si="152"/>
        <v>10</v>
      </c>
      <c r="BN62" s="16">
        <f t="shared" ca="1" si="153"/>
        <v>10</v>
      </c>
      <c r="BO62" s="16" t="str">
        <f t="shared" si="154"/>
        <v>4E</v>
      </c>
      <c r="BP62" s="16"/>
      <c r="BQ62" s="16"/>
      <c r="BR62" s="16">
        <f t="shared" ca="1" si="155"/>
        <v>0</v>
      </c>
      <c r="BS62" s="16">
        <f t="shared" ca="1" si="156"/>
        <v>6</v>
      </c>
      <c r="BT62" s="16" t="str">
        <f t="shared" ca="1" si="157"/>
        <v>Pos. 6 (7)</v>
      </c>
      <c r="BU62" s="16">
        <f t="shared" ca="1" si="158"/>
        <v>-1</v>
      </c>
      <c r="BV62" s="16">
        <f t="shared" ca="1" si="159"/>
        <v>9</v>
      </c>
      <c r="BW62" s="16" t="str">
        <f t="shared" ca="1" si="160"/>
        <v>Pos. 9 (2)</v>
      </c>
      <c r="BX62" s="16">
        <f t="shared" ca="1" si="161"/>
        <v>0</v>
      </c>
      <c r="BY62" s="16">
        <f t="shared" ca="1" si="162"/>
        <v>10</v>
      </c>
      <c r="BZ62" s="16" t="str">
        <f t="shared" ca="1" si="163"/>
        <v>-</v>
      </c>
      <c r="CA62" s="16" t="str">
        <f t="shared" ca="1" si="164"/>
        <v>-</v>
      </c>
      <c r="CB62" s="16">
        <f t="shared" ca="1" si="165"/>
        <v>10</v>
      </c>
      <c r="CC62" s="16"/>
      <c r="CD62" s="16">
        <f t="shared" ca="1" si="166"/>
        <v>10</v>
      </c>
      <c r="CE62" s="16" t="str">
        <f t="shared" ca="1" si="167"/>
        <v>-</v>
      </c>
      <c r="CF62" s="16">
        <f t="shared" ca="1" si="168"/>
        <v>10</v>
      </c>
      <c r="DJ62" s="16">
        <f t="shared" ca="1" si="169"/>
        <v>5</v>
      </c>
      <c r="DK62" s="16"/>
      <c r="DL62" s="16">
        <f t="shared" ca="1" si="170"/>
        <v>1</v>
      </c>
      <c r="DM62" s="16" t="str">
        <f t="shared" ca="1" si="171"/>
        <v>5.1</v>
      </c>
      <c r="DN62" s="16">
        <f t="array" aca="1" ref="DN62" ca="1">OFFSET(Horarios!$P$3,DJ62-1,0,DL62,1)</f>
        <v>5</v>
      </c>
      <c r="DO62" s="16"/>
      <c r="DP62" s="16">
        <v>5</v>
      </c>
      <c r="DQ62" s="16" t="str">
        <f t="shared" ca="1" si="172"/>
        <v>España</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0"/>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Uruguay</v>
      </c>
      <c r="AM63" s="38">
        <f t="shared" ca="1" si="195"/>
        <v>1</v>
      </c>
      <c r="AN63" s="39">
        <f t="shared" ca="1" si="195"/>
        <v>1</v>
      </c>
      <c r="AO63" s="39">
        <f t="shared" ca="1" si="195"/>
        <v>0</v>
      </c>
      <c r="AP63" s="39">
        <f t="shared" ca="1" si="195"/>
        <v>1</v>
      </c>
      <c r="AQ63" s="39">
        <f t="shared" ca="1" si="195"/>
        <v>0</v>
      </c>
      <c r="AR63" s="39">
        <f t="shared" ca="1" si="195"/>
        <v>1</v>
      </c>
      <c r="AS63" s="39">
        <f t="shared" ca="1" si="195"/>
        <v>1</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1</v>
      </c>
      <c r="BF63" s="16">
        <f t="shared" ca="1" si="150"/>
        <v>1</v>
      </c>
      <c r="BG63" s="16">
        <f t="shared" ca="1" si="174"/>
        <v>0</v>
      </c>
      <c r="BH63" s="16">
        <f t="shared" ca="1" si="175"/>
        <v>1</v>
      </c>
      <c r="BI63" s="16">
        <f t="shared" ca="1" si="176"/>
        <v>0</v>
      </c>
      <c r="BJ63" s="16">
        <f t="shared" ca="1" si="177"/>
        <v>2</v>
      </c>
      <c r="BK63" s="16">
        <f t="shared" ca="1" si="178"/>
        <v>2</v>
      </c>
      <c r="BL63" s="16">
        <f t="shared" ca="1" si="151"/>
        <v>0</v>
      </c>
      <c r="BM63" s="16">
        <f t="shared" ca="1" si="152"/>
        <v>1</v>
      </c>
      <c r="BN63" s="16">
        <f t="shared" ca="1" si="153"/>
        <v>1</v>
      </c>
      <c r="BO63" s="16" t="str">
        <f t="shared" si="154"/>
        <v>4F</v>
      </c>
      <c r="BP63" s="16"/>
      <c r="BQ63" s="16"/>
      <c r="BR63" s="16">
        <f t="shared" ca="1" si="155"/>
        <v>1</v>
      </c>
      <c r="BS63" s="16">
        <f t="shared" ca="1" si="156"/>
        <v>1</v>
      </c>
      <c r="BT63" s="16" t="str">
        <f t="shared" ca="1" si="157"/>
        <v>Pos. 1 (5)</v>
      </c>
      <c r="BU63" s="16">
        <f t="shared" ca="1" si="158"/>
        <v>0</v>
      </c>
      <c r="BV63" s="16">
        <f t="shared" ca="1" si="159"/>
        <v>1</v>
      </c>
      <c r="BW63" s="16" t="str">
        <f t="shared" ca="1" si="160"/>
        <v>Pos. 1 (5)</v>
      </c>
      <c r="BX63" s="16">
        <f t="shared" ca="1" si="161"/>
        <v>2</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Ghana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España</v>
      </c>
      <c r="AM64" s="38">
        <f t="shared" ca="1" si="195"/>
        <v>1</v>
      </c>
      <c r="AN64" s="39">
        <f t="shared" ca="1" si="195"/>
        <v>1</v>
      </c>
      <c r="AO64" s="39">
        <f t="shared" ca="1" si="195"/>
        <v>0</v>
      </c>
      <c r="AP64" s="39">
        <f t="shared" ca="1" si="195"/>
        <v>1</v>
      </c>
      <c r="AQ64" s="39">
        <f t="shared" ca="1" si="195"/>
        <v>0</v>
      </c>
      <c r="AR64" s="39">
        <f t="shared" ca="1" si="195"/>
        <v>0</v>
      </c>
      <c r="AS64" s="39">
        <f t="shared" ca="1" si="195"/>
        <v>0</v>
      </c>
      <c r="AT64" s="43">
        <f t="shared" ca="1" si="195"/>
        <v>0</v>
      </c>
      <c r="AU64" s="323">
        <f ca="1">INDEX($DL$6:$DL$53,MATCH(AI64,$DP$6:$DP$53,0))</f>
        <v>1</v>
      </c>
      <c r="AV64" s="182" t="str">
        <f ca="1">INDEX($BD$6:$BD$53,MATCH(AI64,$BM$6:$BM$53,0))</f>
        <v>España</v>
      </c>
      <c r="AW64" s="210"/>
      <c r="AX64" s="171"/>
      <c r="AY64" s="201" t="str">
        <f ca="1">+A63</f>
        <v>Arabia Saudita</v>
      </c>
      <c r="AZ64" s="202"/>
      <c r="BA64" s="176"/>
      <c r="BB64" s="16" t="str">
        <f t="shared" si="173"/>
        <v>3G</v>
      </c>
      <c r="BC64" s="16" t="s">
        <v>121</v>
      </c>
      <c r="BD64" s="16" t="str">
        <f t="shared" ca="1" si="149"/>
        <v>Bélgica</v>
      </c>
      <c r="BE64" s="16">
        <f t="shared" ca="1" si="193"/>
        <v>1</v>
      </c>
      <c r="BF64" s="16">
        <f t="shared" ca="1" si="150"/>
        <v>1</v>
      </c>
      <c r="BG64" s="16">
        <f t="shared" ca="1" si="174"/>
        <v>0</v>
      </c>
      <c r="BH64" s="16">
        <f t="shared" ca="1" si="175"/>
        <v>1</v>
      </c>
      <c r="BI64" s="16">
        <f t="shared" ca="1" si="176"/>
        <v>0</v>
      </c>
      <c r="BJ64" s="16">
        <f t="shared" ca="1" si="177"/>
        <v>1</v>
      </c>
      <c r="BK64" s="16">
        <f t="shared" ca="1" si="178"/>
        <v>1</v>
      </c>
      <c r="BL64" s="16">
        <f t="shared" ca="1" si="151"/>
        <v>0</v>
      </c>
      <c r="BM64" s="16">
        <f t="shared" ca="1" si="152"/>
        <v>2</v>
      </c>
      <c r="BN64" s="16">
        <f t="shared" ca="1" si="153"/>
        <v>2</v>
      </c>
      <c r="BO64" s="16" t="str">
        <f t="shared" si="154"/>
        <v>4G</v>
      </c>
      <c r="BP64" s="16"/>
      <c r="BQ64" s="16"/>
      <c r="BR64" s="16">
        <f t="shared" ca="1" si="155"/>
        <v>1</v>
      </c>
      <c r="BS64" s="16">
        <f t="shared" ca="1" si="156"/>
        <v>1</v>
      </c>
      <c r="BT64" s="16" t="str">
        <f t="shared" ca="1" si="157"/>
        <v>Pos. 1 (5)</v>
      </c>
      <c r="BU64" s="16">
        <f t="shared" ca="1" si="158"/>
        <v>0</v>
      </c>
      <c r="BV64" s="16">
        <f t="shared" ca="1" si="159"/>
        <v>1</v>
      </c>
      <c r="BW64" s="16" t="str">
        <f t="shared" ca="1" si="160"/>
        <v>Pos. 1 (5)</v>
      </c>
      <c r="BX64" s="16">
        <f t="shared" ca="1" si="161"/>
        <v>1</v>
      </c>
      <c r="BY64" s="16">
        <f t="shared" ca="1" si="162"/>
        <v>2</v>
      </c>
      <c r="BZ64" s="16" t="str">
        <f t="shared" ca="1" si="163"/>
        <v>Pos. 2 (3)</v>
      </c>
      <c r="CA64" s="16">
        <f t="shared" ca="1" si="164"/>
        <v>11</v>
      </c>
      <c r="CB64" s="16">
        <f t="shared" ca="1" si="165"/>
        <v>2</v>
      </c>
      <c r="CC64" s="16"/>
      <c r="CD64" s="16">
        <f t="shared" ca="1" si="166"/>
        <v>2</v>
      </c>
      <c r="CE64" s="16">
        <f t="shared" ca="1" si="167"/>
        <v>1</v>
      </c>
      <c r="CF64" s="16">
        <f t="shared" ca="1" si="168"/>
        <v>2</v>
      </c>
      <c r="DJ64" s="16">
        <f t="shared" ca="1" si="169"/>
        <v>6</v>
      </c>
      <c r="DK64" s="16"/>
      <c r="DL64" s="16">
        <f t="shared" ca="1" si="170"/>
        <v>1</v>
      </c>
      <c r="DM64" s="16" t="str">
        <f t="shared" ca="1" si="171"/>
        <v>6.1</v>
      </c>
      <c r="DN64" s="16">
        <f t="array" aca="1" ref="DN64" ca="1">OFFSET(Horarios!$P$3,DJ64-1,0,DL64,1)</f>
        <v>6</v>
      </c>
      <c r="DO64" s="16"/>
      <c r="DP64" s="16">
        <v>7</v>
      </c>
      <c r="DQ64" s="16" t="str">
        <f t="shared" ca="1" si="172"/>
        <v>Jordania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1</v>
      </c>
      <c r="AO65" s="47">
        <f t="shared" ca="1" si="195"/>
        <v>0</v>
      </c>
      <c r="AP65" s="47">
        <f t="shared" ca="1" si="195"/>
        <v>1</v>
      </c>
      <c r="AQ65" s="47">
        <f t="shared" ca="1" si="195"/>
        <v>0</v>
      </c>
      <c r="AR65" s="47">
        <f t="shared" ca="1" si="195"/>
        <v>0</v>
      </c>
      <c r="AS65" s="47">
        <f t="shared" ca="1" si="195"/>
        <v>0</v>
      </c>
      <c r="AT65" s="48">
        <f t="shared" ca="1" si="195"/>
        <v>0</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España</v>
      </c>
      <c r="BE65" s="16">
        <f t="shared" ca="1" si="193"/>
        <v>1</v>
      </c>
      <c r="BF65" s="16">
        <f t="shared" ca="1" si="150"/>
        <v>1</v>
      </c>
      <c r="BG65" s="16">
        <f t="shared" ca="1" si="174"/>
        <v>0</v>
      </c>
      <c r="BH65" s="16">
        <f t="shared" ca="1" si="175"/>
        <v>1</v>
      </c>
      <c r="BI65" s="16">
        <f t="shared" ca="1" si="176"/>
        <v>0</v>
      </c>
      <c r="BJ65" s="16">
        <f t="shared" ca="1" si="177"/>
        <v>0</v>
      </c>
      <c r="BK65" s="16">
        <f t="shared" ca="1" si="178"/>
        <v>0</v>
      </c>
      <c r="BL65" s="16">
        <f t="shared" ca="1" si="151"/>
        <v>0</v>
      </c>
      <c r="BM65" s="16">
        <f t="shared" ca="1" si="152"/>
        <v>5</v>
      </c>
      <c r="BN65" s="16">
        <f t="shared" ca="1" si="153"/>
        <v>5</v>
      </c>
      <c r="BO65" s="16" t="str">
        <f t="shared" si="154"/>
        <v>4H</v>
      </c>
      <c r="BP65" s="16"/>
      <c r="BQ65" s="16"/>
      <c r="BR65" s="16">
        <f t="shared" ca="1" si="155"/>
        <v>1</v>
      </c>
      <c r="BS65" s="16">
        <f t="shared" ca="1" si="156"/>
        <v>1</v>
      </c>
      <c r="BT65" s="16" t="str">
        <f t="shared" ca="1" si="157"/>
        <v>Pos. 1 (5)</v>
      </c>
      <c r="BU65" s="16">
        <f t="shared" ca="1" si="158"/>
        <v>0</v>
      </c>
      <c r="BV65" s="16">
        <f t="shared" ca="1" si="159"/>
        <v>1</v>
      </c>
      <c r="BW65" s="16" t="str">
        <f t="shared" ca="1" si="160"/>
        <v>Pos. 1 (5)</v>
      </c>
      <c r="BX65" s="16">
        <f t="shared" ca="1" si="161"/>
        <v>0</v>
      </c>
      <c r="BY65" s="16">
        <f t="shared" ca="1" si="162"/>
        <v>5</v>
      </c>
      <c r="BZ65" s="16" t="str">
        <f t="shared" ca="1" si="163"/>
        <v>-</v>
      </c>
      <c r="CA65" s="16" t="str">
        <f t="shared" ca="1" si="164"/>
        <v>-</v>
      </c>
      <c r="CB65" s="16">
        <f t="shared" ca="1" si="165"/>
        <v>5</v>
      </c>
      <c r="CC65" s="16"/>
      <c r="CD65" s="16">
        <f t="shared" ca="1" si="166"/>
        <v>5</v>
      </c>
      <c r="CE65" s="16" t="str">
        <f t="shared" ca="1" si="167"/>
        <v>-</v>
      </c>
      <c r="CF65" s="16">
        <f t="shared" ca="1" si="168"/>
        <v>5</v>
      </c>
      <c r="DJ65" s="16">
        <f t="shared" ca="1" si="169"/>
        <v>6</v>
      </c>
      <c r="DK65" s="16"/>
      <c r="DL65" s="16">
        <f t="shared" ca="1" si="170"/>
        <v>1</v>
      </c>
      <c r="DM65" s="16" t="str">
        <f t="shared" ca="1" si="171"/>
        <v>6.1</v>
      </c>
      <c r="DN65" s="16">
        <f t="array" aca="1" ref="DN65" ca="1">OFFSET(Horarios!$P$3,DJ65-1,0,DL65,1)</f>
        <v>6</v>
      </c>
      <c r="DO65" s="16"/>
      <c r="DP65" s="16">
        <v>8</v>
      </c>
      <c r="DQ65" s="16" t="str">
        <f t="shared" ca="1" si="172"/>
        <v>Uzbekistán</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1</v>
      </c>
      <c r="BG66" s="16">
        <f t="shared" ca="1" si="174"/>
        <v>0</v>
      </c>
      <c r="BH66" s="16">
        <f t="shared" ca="1" si="175"/>
        <v>0</v>
      </c>
      <c r="BI66" s="16">
        <f t="shared" ca="1" si="176"/>
        <v>1</v>
      </c>
      <c r="BJ66" s="16">
        <f t="shared" ca="1" si="177"/>
        <v>1</v>
      </c>
      <c r="BK66" s="16">
        <f t="shared" ca="1" si="178"/>
        <v>3</v>
      </c>
      <c r="BL66" s="16">
        <f t="shared" ca="1" si="151"/>
        <v>-2</v>
      </c>
      <c r="BM66" s="16">
        <f t="shared" ca="1" si="152"/>
        <v>11</v>
      </c>
      <c r="BN66" s="16">
        <f t="shared" ca="1" si="153"/>
        <v>11</v>
      </c>
      <c r="BO66" s="16" t="str">
        <f t="shared" si="154"/>
        <v>4I</v>
      </c>
      <c r="BP66" s="16"/>
      <c r="BQ66" s="16"/>
      <c r="BR66" s="16">
        <f t="shared" ca="1" si="155"/>
        <v>0</v>
      </c>
      <c r="BS66" s="16">
        <f t="shared" ca="1" si="156"/>
        <v>6</v>
      </c>
      <c r="BT66" s="16" t="str">
        <f t="shared" ca="1" si="157"/>
        <v>Pos. 6 (7)</v>
      </c>
      <c r="BU66" s="16">
        <f t="shared" ca="1" si="158"/>
        <v>-2</v>
      </c>
      <c r="BV66" s="16">
        <f t="shared" ca="1" si="159"/>
        <v>11</v>
      </c>
      <c r="BW66" s="16" t="str">
        <f t="shared" ca="1" si="160"/>
        <v>Pos. 11 (2)</v>
      </c>
      <c r="BX66" s="16">
        <f t="shared" ca="1" si="161"/>
        <v>1</v>
      </c>
      <c r="BY66" s="16">
        <f t="shared" ca="1" si="162"/>
        <v>11</v>
      </c>
      <c r="BZ66" s="16" t="str">
        <f t="shared" ca="1" si="163"/>
        <v>-</v>
      </c>
      <c r="CA66" s="16" t="str">
        <f t="shared" ca="1" si="164"/>
        <v>-</v>
      </c>
      <c r="CB66" s="16">
        <f t="shared" ca="1" si="165"/>
        <v>11</v>
      </c>
      <c r="CC66" s="16"/>
      <c r="CD66" s="16">
        <f t="shared" ca="1" si="166"/>
        <v>11</v>
      </c>
      <c r="CE66" s="16" t="str">
        <f t="shared" ca="1" si="167"/>
        <v>-</v>
      </c>
      <c r="CF66" s="16">
        <f t="shared" ca="1" si="168"/>
        <v>11</v>
      </c>
      <c r="DJ66" s="16">
        <f t="shared" ca="1" si="169"/>
        <v>9</v>
      </c>
      <c r="DK66" s="16"/>
      <c r="DL66" s="16">
        <f t="shared" ca="1" si="170"/>
        <v>1</v>
      </c>
      <c r="DM66" s="16" t="str">
        <f t="shared" ca="1" si="171"/>
        <v>9.1</v>
      </c>
      <c r="DN66" s="16">
        <f t="array" aca="1" ref="DN66" ca="1">OFFSET(Horarios!$P$3,DJ66-1,0,DL66,1)</f>
        <v>9</v>
      </c>
      <c r="DO66" s="16"/>
      <c r="DP66" s="16">
        <v>9</v>
      </c>
      <c r="DQ66" s="16" t="str">
        <f t="shared" ca="1" si="172"/>
        <v>República Checa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7</v>
      </c>
      <c r="BN67" s="16">
        <f t="shared" ca="1" si="153"/>
        <v>7</v>
      </c>
      <c r="BO67" s="16" t="str">
        <f t="shared" si="154"/>
        <v>4J</v>
      </c>
      <c r="BP67" s="16"/>
      <c r="BQ67" s="16"/>
      <c r="BR67" s="16">
        <f t="shared" ca="1" si="155"/>
        <v>0</v>
      </c>
      <c r="BS67" s="16">
        <f t="shared" ca="1" si="156"/>
        <v>6</v>
      </c>
      <c r="BT67" s="16" t="str">
        <f t="shared" ca="1" si="157"/>
        <v>Pos. 6 (7)</v>
      </c>
      <c r="BU67" s="16">
        <f t="shared" ca="1" si="158"/>
        <v>0</v>
      </c>
      <c r="BV67" s="16">
        <f t="shared" ca="1" si="159"/>
        <v>6</v>
      </c>
      <c r="BW67" s="16" t="str">
        <f t="shared" ca="1" si="160"/>
        <v>Pos. 6 (3)</v>
      </c>
      <c r="BX67" s="16">
        <f t="shared" ca="1" si="161"/>
        <v>0</v>
      </c>
      <c r="BY67" s="16">
        <f t="shared" ca="1" si="162"/>
        <v>6</v>
      </c>
      <c r="BZ67" s="16" t="str">
        <f t="shared" ca="1" si="163"/>
        <v>Pos. 6 (3)</v>
      </c>
      <c r="CA67" s="16">
        <f t="shared" ca="1" si="164"/>
        <v>5</v>
      </c>
      <c r="CB67" s="16">
        <f t="shared" ca="1" si="165"/>
        <v>7</v>
      </c>
      <c r="CC67" s="16"/>
      <c r="CD67" s="16">
        <f t="shared" ca="1" si="166"/>
        <v>7</v>
      </c>
      <c r="CE67" s="16">
        <f t="shared" ca="1" si="167"/>
        <v>6</v>
      </c>
      <c r="CF67" s="16">
        <f t="shared" ca="1" si="168"/>
        <v>7</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Ecuador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8</v>
      </c>
      <c r="BN68" s="16">
        <f t="shared" ca="1" si="153"/>
        <v>8</v>
      </c>
      <c r="BO68" s="16" t="str">
        <f t="shared" si="154"/>
        <v>4K</v>
      </c>
      <c r="BP68" s="16"/>
      <c r="BQ68" s="16"/>
      <c r="BR68" s="16">
        <f t="shared" ca="1" si="155"/>
        <v>0</v>
      </c>
      <c r="BS68" s="16">
        <f t="shared" ca="1" si="156"/>
        <v>6</v>
      </c>
      <c r="BT68" s="16" t="str">
        <f t="shared" ca="1" si="157"/>
        <v>Pos. 6 (7)</v>
      </c>
      <c r="BU68" s="16">
        <f t="shared" ca="1" si="158"/>
        <v>0</v>
      </c>
      <c r="BV68" s="16">
        <f t="shared" ca="1" si="159"/>
        <v>6</v>
      </c>
      <c r="BW68" s="16" t="str">
        <f t="shared" ca="1" si="160"/>
        <v>Pos. 6 (3)</v>
      </c>
      <c r="BX68" s="16">
        <f t="shared" ca="1" si="161"/>
        <v>0</v>
      </c>
      <c r="BY68" s="16">
        <f t="shared" ca="1" si="162"/>
        <v>6</v>
      </c>
      <c r="BZ68" s="16" t="str">
        <f t="shared" ca="1" si="163"/>
        <v>Pos. 6 (3)</v>
      </c>
      <c r="CA68" s="16">
        <f t="shared" ca="1" si="164"/>
        <v>0</v>
      </c>
      <c r="CB68" s="16">
        <f t="shared" ca="1" si="165"/>
        <v>8</v>
      </c>
      <c r="CC68" s="16"/>
      <c r="CD68" s="16">
        <f t="shared" ca="1" si="166"/>
        <v>8</v>
      </c>
      <c r="CE68" s="16">
        <f t="shared" ca="1" si="167"/>
        <v>7</v>
      </c>
      <c r="CF68" s="16">
        <f t="shared" ca="1" si="168"/>
        <v>8</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Senegal</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6</v>
      </c>
      <c r="BN69" s="16">
        <f t="shared" ca="1" si="153"/>
        <v>6</v>
      </c>
      <c r="BO69" s="16" t="str">
        <f t="shared" si="154"/>
        <v>4L</v>
      </c>
      <c r="BP69" s="16"/>
      <c r="BQ69" s="16"/>
      <c r="BR69" s="16">
        <f t="shared" ca="1" si="155"/>
        <v>0</v>
      </c>
      <c r="BS69" s="16">
        <f t="shared" ca="1" si="156"/>
        <v>6</v>
      </c>
      <c r="BT69" s="16" t="str">
        <f t="shared" ca="1" si="157"/>
        <v>Pos. 6 (7)</v>
      </c>
      <c r="BU69" s="16">
        <f t="shared" ca="1" si="158"/>
        <v>0</v>
      </c>
      <c r="BV69" s="16">
        <f t="shared" ca="1" si="159"/>
        <v>6</v>
      </c>
      <c r="BW69" s="16" t="str">
        <f t="shared" ca="1" si="160"/>
        <v>Pos. 6 (3)</v>
      </c>
      <c r="BX69" s="16">
        <f t="shared" ca="1" si="161"/>
        <v>0</v>
      </c>
      <c r="BY69" s="16">
        <f t="shared" ca="1" si="162"/>
        <v>6</v>
      </c>
      <c r="BZ69" s="16" t="str">
        <f t="shared" ca="1" si="163"/>
        <v>Pos. 6 (3)</v>
      </c>
      <c r="CA69" s="16">
        <f t="shared" ca="1" si="164"/>
        <v>7</v>
      </c>
      <c r="CB69" s="16">
        <f t="shared" ca="1" si="165"/>
        <v>6</v>
      </c>
      <c r="CC69" s="16"/>
      <c r="CD69" s="16">
        <f t="shared" ca="1" si="166"/>
        <v>6</v>
      </c>
      <c r="CE69" s="16">
        <f t="shared" ca="1" si="167"/>
        <v>5</v>
      </c>
      <c r="CF69" s="16">
        <f t="shared" ca="1" si="168"/>
        <v>6</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Turquía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0"/>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Noruega</v>
      </c>
      <c r="AM70" s="35">
        <f t="shared" ref="AM70:AT73" ca="1" si="211">INDEX($BE$6:$BN$53,MATCH($AL70,$BD$6:$BD$53,0),MATCH(AM$5,$BE$5:$BN$5,0))</f>
        <v>3</v>
      </c>
      <c r="AN70" s="36">
        <f t="shared" ca="1" si="211"/>
        <v>1</v>
      </c>
      <c r="AO70" s="36">
        <f t="shared" ca="1" si="211"/>
        <v>1</v>
      </c>
      <c r="AP70" s="36">
        <f t="shared" ca="1" si="211"/>
        <v>0</v>
      </c>
      <c r="AQ70" s="36">
        <f t="shared" ca="1" si="211"/>
        <v>0</v>
      </c>
      <c r="AR70" s="36">
        <f t="shared" ca="1" si="211"/>
        <v>4</v>
      </c>
      <c r="AS70" s="36">
        <f t="shared" ca="1" si="211"/>
        <v>1</v>
      </c>
      <c r="AT70" s="41">
        <f t="shared" ca="1" si="211"/>
        <v>3</v>
      </c>
      <c r="AU70" s="323">
        <f ca="1">INDEX($DL$6:$DL$53,MATCH(AI70,$DP$6:$DP$53,0))</f>
        <v>1</v>
      </c>
      <c r="AV70" s="182" t="str">
        <f ca="1">INDEX($BD$6:$BD$53,MATCH(AI70,$BM$6:$BM$53,0))</f>
        <v>Noruega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0"/>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Francia</v>
      </c>
      <c r="AM71" s="38">
        <f t="shared" ca="1" si="211"/>
        <v>3</v>
      </c>
      <c r="AN71" s="39">
        <f t="shared" ca="1" si="211"/>
        <v>1</v>
      </c>
      <c r="AO71" s="39">
        <f t="shared" ca="1" si="211"/>
        <v>1</v>
      </c>
      <c r="AP71" s="39">
        <f t="shared" ca="1" si="211"/>
        <v>0</v>
      </c>
      <c r="AQ71" s="39">
        <f t="shared" ca="1" si="211"/>
        <v>0</v>
      </c>
      <c r="AR71" s="39">
        <f t="shared" ca="1" si="211"/>
        <v>3</v>
      </c>
      <c r="AS71" s="39">
        <f t="shared" ca="1" si="211"/>
        <v>1</v>
      </c>
      <c r="AT71" s="43">
        <f t="shared" ca="1" si="211"/>
        <v>2</v>
      </c>
      <c r="AU71" s="323">
        <f ca="1">INDEX($DL$6:$DL$53,MATCH(AI71,$DP$6:$DP$53,0))</f>
        <v>1</v>
      </c>
      <c r="AV71" s="182" t="str">
        <f ca="1">INDEX($BD$6:$BD$53,MATCH(AI71,$BM$6:$BM$53,0))</f>
        <v>Francia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1</v>
      </c>
      <c r="AO72" s="39">
        <f t="shared" ca="1" si="211"/>
        <v>0</v>
      </c>
      <c r="AP72" s="39">
        <f t="shared" ca="1" si="211"/>
        <v>0</v>
      </c>
      <c r="AQ72" s="39">
        <f t="shared" ca="1" si="211"/>
        <v>1</v>
      </c>
      <c r="AR72" s="39">
        <f t="shared" ca="1" si="211"/>
        <v>1</v>
      </c>
      <c r="AS72" s="39">
        <f t="shared" ca="1" si="211"/>
        <v>3</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1</v>
      </c>
      <c r="AO73" s="47">
        <f t="shared" ca="1" si="211"/>
        <v>0</v>
      </c>
      <c r="AP73" s="47">
        <f t="shared" ca="1" si="211"/>
        <v>0</v>
      </c>
      <c r="AQ73" s="47">
        <f t="shared" ca="1" si="211"/>
        <v>1</v>
      </c>
      <c r="AR73" s="47">
        <f t="shared" ca="1" si="211"/>
        <v>1</v>
      </c>
      <c r="AS73" s="47">
        <f t="shared" ca="1" si="211"/>
        <v>4</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(3)</v>
      </c>
      <c r="G76" s="16"/>
      <c r="H76" s="16" t="str">
        <f t="shared" ref="H76:H81" ca="1" si="215">IF(D76="Pendiente","-",INDEX($BZ$6:$BZ$53,MATCH($AA76,$BD$6:$BD$53,0)))</f>
        <v>-</v>
      </c>
      <c r="I76" s="16" t="str">
        <f t="shared" ref="I76:I81" ca="1" si="216">IF(D76="Pendiente","-",INDEX($BZ$6:$BZ$53,MATCH($AF76,$BD$6:$BD$53,0)))</f>
        <v>P.2 (3)</v>
      </c>
      <c r="J76" s="16"/>
      <c r="K76" s="16" t="str">
        <f t="shared" ref="K76:K81" ca="1" si="217">IF(D76="Pendiente","-",INDEX($CE$6:$CE$53,MATCH($AA76,$BD$6:$BD$53,0)))</f>
        <v>-</v>
      </c>
      <c r="L76" s="16" t="str">
        <f t="shared" ref="L76:L81" ca="1" si="218">IF(D76="Pendiente","-",INDEX($CE$6:$CE$53,MATCH($AF76,$BD$6:$BD$53,0)))</f>
        <v>P.2 (3)</v>
      </c>
      <c r="M76" s="16"/>
      <c r="N76" s="16" t="str">
        <f t="shared" ref="N76:N81" ca="1" si="219">IF(D76="Pendiente","-",INDEX($CH$6:$CH$53,MATCH($AA76,$BD$6:$BD$53,0)))</f>
        <v>-</v>
      </c>
      <c r="O76" s="16" t="str">
        <f t="shared" ref="O76:O81" ca="1" si="220">IF(D76="Pendiente","-",INDEX($CH$6:$CH$53,MATCH($AF76,$BD$6:$BD$53,0)))</f>
        <v>P.2 (3)</v>
      </c>
      <c r="P76" s="16"/>
      <c r="Q76" s="16" t="str">
        <f t="shared" ref="Q76:Q81" ca="1" si="221">IF(D76="Pendiente","-",INDEX($CN$6:$CN$53,MATCH($AA76,$BD$6:$BD$53,0)))</f>
        <v>-</v>
      </c>
      <c r="R76" s="16" t="str">
        <f t="shared" ref="R76:R81" ca="1" si="222">IF(D76="Pendiente","-",INDEX($CN$6:$CN$53,MATCH($AF76,$BD$6:$BD$53,0)))</f>
        <v>P.2 (3)</v>
      </c>
      <c r="S76" s="16"/>
      <c r="T76" s="16" t="str">
        <f t="shared" ref="T76:T81" ca="1" si="223">IF(D76="Pendiente","-",INDEX($CS$6:$CS$53,MATCH($AA76,$BD$6:$BD$53,0)))</f>
        <v>-</v>
      </c>
      <c r="U76" s="16" t="str">
        <f t="shared" ref="U76:U81" ca="1" si="224">IF(D76="Pendiente","-",INDEX($CS$6:$CS$53,MATCH($AF76,$BD$6:$BD$53,0)))</f>
        <v>P.2 (3)</v>
      </c>
      <c r="V76" s="17"/>
      <c r="W76" s="61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0"/>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3</v>
      </c>
      <c r="AN78" s="36">
        <f t="shared" ca="1" si="227"/>
        <v>1</v>
      </c>
      <c r="AO78" s="36">
        <f t="shared" ca="1" si="227"/>
        <v>1</v>
      </c>
      <c r="AP78" s="36">
        <f t="shared" ca="1" si="227"/>
        <v>0</v>
      </c>
      <c r="AQ78" s="36">
        <f t="shared" ca="1" si="227"/>
        <v>0</v>
      </c>
      <c r="AR78" s="36">
        <f t="shared" ca="1" si="227"/>
        <v>3</v>
      </c>
      <c r="AS78" s="36">
        <f t="shared" ca="1" si="227"/>
        <v>0</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0"/>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Austria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Jordania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1</v>
      </c>
      <c r="AO81" s="47">
        <f t="shared" ca="1" si="227"/>
        <v>0</v>
      </c>
      <c r="AP81" s="47">
        <f t="shared" ca="1" si="227"/>
        <v>0</v>
      </c>
      <c r="AQ81" s="47">
        <f t="shared" ca="1" si="227"/>
        <v>1</v>
      </c>
      <c r="AR81" s="47">
        <f t="shared" ca="1" si="227"/>
        <v>0</v>
      </c>
      <c r="AS81" s="47">
        <f t="shared" ca="1" si="227"/>
        <v>3</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0"/>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4</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4</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Japón</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4</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Bélgica</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4</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Catar</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4</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Marruecos</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4</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España</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4</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Ghana</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4</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Jordania</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4</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Uzbekistán</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2</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República Checa</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Ecuador</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Senegal</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38</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Turquía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x14ac:dyDescent="0.3">
      <c r="A2" s="284"/>
      <c r="B2" s="285"/>
      <c r="C2" s="285"/>
      <c r="D2" s="360"/>
      <c r="E2" s="625"/>
      <c r="F2" s="625"/>
      <c r="G2" s="625"/>
      <c r="H2" s="625"/>
      <c r="I2" s="625"/>
      <c r="J2" s="625"/>
      <c r="K2" s="625"/>
      <c r="L2" s="625"/>
      <c r="M2" s="625"/>
      <c r="N2" s="625"/>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5"/>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5"/>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5"/>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5"/>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5"/>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5"/>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5"/>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5"/>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5"/>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5"/>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5"/>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5"/>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5"/>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5"/>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5"/>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5"/>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5"/>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5"/>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5"/>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5"/>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5"/>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5"/>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5"/>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5"/>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5"/>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5"/>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5"/>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5"/>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5"/>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5"/>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5"/>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5"/>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5"/>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5"/>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5"/>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5"/>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5"/>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5"/>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5"/>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5"/>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5"/>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5"/>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5"/>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5"/>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5"/>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5"/>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5"/>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5"/>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5"/>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5"/>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5"/>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5"/>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5"/>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5"/>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5"/>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5"/>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5"/>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5"/>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5"/>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5"/>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5"/>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5"/>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5"/>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5"/>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5"/>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5"/>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5"/>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5"/>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5"/>
      <c r="E165" s="656"/>
      <c r="F165" s="656"/>
      <c r="G165" s="656"/>
      <c r="H165" s="656"/>
      <c r="I165" s="345"/>
      <c r="J165" s="361"/>
      <c r="K165" s="361"/>
      <c r="L165" s="361"/>
      <c r="M165" s="377"/>
      <c r="N165" s="368"/>
    </row>
    <row r="166" spans="1:14" ht="15" customHeight="1" x14ac:dyDescent="0.2">
      <c r="A166" s="625"/>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5"/>
      <c r="E166" s="656"/>
      <c r="F166" s="656"/>
      <c r="G166" s="656"/>
      <c r="H166" s="656"/>
      <c r="I166" s="345"/>
      <c r="J166" s="361"/>
      <c r="K166" s="361"/>
      <c r="L166" s="361"/>
      <c r="M166" s="377"/>
      <c r="N166" s="368"/>
    </row>
    <row r="167" spans="1:14" ht="15" customHeight="1" x14ac:dyDescent="0.2">
      <c r="A167" s="625"/>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5"/>
      <c r="E167" s="656"/>
      <c r="F167" s="656"/>
      <c r="G167" s="656"/>
      <c r="H167" s="656"/>
      <c r="I167" s="345"/>
      <c r="J167" s="361"/>
      <c r="K167" s="361"/>
      <c r="L167" s="361"/>
      <c r="M167" s="377"/>
      <c r="N167" s="368"/>
    </row>
    <row r="168" spans="1:14" ht="15" customHeight="1" x14ac:dyDescent="0.2">
      <c r="A168" s="625"/>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5"/>
      <c r="E168" s="361"/>
      <c r="F168" s="361"/>
      <c r="G168" s="361"/>
      <c r="H168" s="361"/>
      <c r="I168" s="345"/>
      <c r="J168" s="361"/>
      <c r="K168" s="361"/>
      <c r="L168" s="361"/>
      <c r="M168" s="377"/>
      <c r="N168" s="368"/>
    </row>
    <row r="169" spans="1:14" ht="15" customHeight="1" x14ac:dyDescent="0.2">
      <c r="A169" s="625"/>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5"/>
      <c r="E169" s="361"/>
      <c r="F169" s="361"/>
      <c r="G169" s="361"/>
      <c r="H169" s="361"/>
      <c r="I169" s="345"/>
      <c r="J169" s="361"/>
      <c r="K169" s="361"/>
      <c r="L169" s="361"/>
      <c r="M169" s="377"/>
      <c r="N169" s="368"/>
    </row>
    <row r="170" spans="1:14" ht="15" customHeight="1" x14ac:dyDescent="0.2">
      <c r="A170" s="625"/>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5"/>
      <c r="E170" s="361"/>
      <c r="F170" s="361"/>
      <c r="G170" s="361"/>
      <c r="H170" s="361"/>
      <c r="I170" s="345"/>
      <c r="J170" s="361"/>
      <c r="K170" s="361"/>
      <c r="L170" s="361"/>
      <c r="M170" s="377"/>
      <c r="N170" s="368"/>
    </row>
    <row r="171" spans="1:14" ht="15" customHeight="1" x14ac:dyDescent="0.2">
      <c r="A171" s="625"/>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5"/>
      <c r="E171" s="361"/>
      <c r="F171" s="361"/>
      <c r="G171" s="361"/>
      <c r="H171" s="361"/>
      <c r="I171" s="345"/>
      <c r="J171" s="361"/>
      <c r="K171" s="361"/>
      <c r="L171" s="361"/>
      <c r="M171" s="377"/>
      <c r="N171" s="368"/>
    </row>
    <row r="172" spans="1:14" ht="15" customHeight="1" x14ac:dyDescent="0.2">
      <c r="A172" s="625"/>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5"/>
      <c r="E172" s="361"/>
      <c r="F172" s="361"/>
      <c r="G172" s="361"/>
      <c r="H172" s="361"/>
      <c r="I172" s="345"/>
      <c r="J172" s="361"/>
      <c r="K172" s="361"/>
      <c r="L172" s="361"/>
      <c r="M172" s="377"/>
      <c r="N172" s="368"/>
    </row>
    <row r="173" spans="1:14" ht="15" customHeight="1" x14ac:dyDescent="0.2">
      <c r="A173" s="625"/>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5"/>
      <c r="E173" s="361"/>
      <c r="F173" s="361"/>
      <c r="G173" s="361"/>
      <c r="H173" s="361"/>
      <c r="I173" s="345"/>
      <c r="J173" s="361"/>
      <c r="K173" s="361"/>
      <c r="L173" s="361"/>
      <c r="M173" s="377"/>
      <c r="N173" s="368"/>
    </row>
    <row r="174" spans="1:14" ht="15" customHeight="1" x14ac:dyDescent="0.2">
      <c r="A174" s="625"/>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5"/>
      <c r="E174" s="361"/>
      <c r="F174" s="361"/>
      <c r="G174" s="361"/>
      <c r="H174" s="361"/>
      <c r="I174" s="345"/>
      <c r="J174" s="361"/>
      <c r="K174" s="361"/>
      <c r="L174" s="361"/>
      <c r="M174" s="377"/>
      <c r="N174" s="368"/>
    </row>
    <row r="175" spans="1:14" ht="15" customHeight="1" x14ac:dyDescent="0.2">
      <c r="A175" s="625"/>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5"/>
      <c r="E175" s="361"/>
      <c r="F175" s="361"/>
      <c r="G175" s="361"/>
      <c r="H175" s="361"/>
      <c r="I175" s="345"/>
      <c r="J175" s="361"/>
      <c r="K175" s="361"/>
      <c r="L175" s="361"/>
      <c r="M175" s="377"/>
      <c r="N175" s="368"/>
    </row>
    <row r="176" spans="1:14" ht="15" customHeight="1" x14ac:dyDescent="0.2">
      <c r="A176" s="625"/>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5"/>
      <c r="E176" s="361"/>
      <c r="F176" s="361"/>
      <c r="G176" s="361"/>
      <c r="H176" s="361"/>
      <c r="I176" s="345"/>
      <c r="J176" s="361"/>
      <c r="K176" s="361"/>
      <c r="L176" s="361"/>
      <c r="M176" s="377"/>
      <c r="N176" s="368"/>
    </row>
    <row r="177" spans="1:14" ht="15" customHeight="1" x14ac:dyDescent="0.2">
      <c r="A177" s="625"/>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5"/>
      <c r="E177" s="361"/>
      <c r="F177" s="361"/>
      <c r="G177" s="361"/>
      <c r="H177" s="361"/>
      <c r="I177" s="345"/>
      <c r="J177" s="361"/>
      <c r="K177" s="361"/>
      <c r="L177" s="361"/>
      <c r="M177" s="377"/>
      <c r="N177" s="368"/>
    </row>
    <row r="178" spans="1:14" ht="15" customHeight="1" x14ac:dyDescent="0.2">
      <c r="A178" s="625"/>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5"/>
      <c r="E178" s="361"/>
      <c r="F178" s="361"/>
      <c r="G178" s="361"/>
      <c r="H178" s="361"/>
      <c r="I178" s="345"/>
      <c r="J178" s="361"/>
      <c r="K178" s="361"/>
      <c r="L178" s="361"/>
      <c r="M178" s="377"/>
      <c r="N178" s="368"/>
    </row>
    <row r="179" spans="1:14" ht="15" customHeight="1" x14ac:dyDescent="0.2">
      <c r="A179" s="625"/>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5"/>
      <c r="E179" s="361"/>
      <c r="F179" s="361"/>
      <c r="G179" s="361"/>
      <c r="H179" s="361"/>
      <c r="I179" s="345"/>
      <c r="J179" s="361"/>
      <c r="K179" s="361"/>
      <c r="L179" s="361"/>
      <c r="M179" s="377"/>
      <c r="N179" s="368"/>
    </row>
    <row r="180" spans="1:14" ht="15" customHeight="1" x14ac:dyDescent="0.2">
      <c r="A180" s="223"/>
      <c r="B180" s="223"/>
      <c r="C180" s="343"/>
      <c r="D180" s="625"/>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5"/>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5"/>
      <c r="E182" s="361"/>
      <c r="F182" s="361"/>
      <c r="G182" s="361"/>
      <c r="H182" s="361"/>
      <c r="I182" s="345"/>
      <c r="J182" s="361"/>
      <c r="K182" s="361"/>
      <c r="L182" s="361"/>
      <c r="M182" s="377"/>
      <c r="N182" s="368"/>
    </row>
    <row r="183" spans="1:14" ht="15" customHeight="1" x14ac:dyDescent="0.2">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x14ac:dyDescent="0.2">
      <c r="A184" s="625"/>
      <c r="B184" s="352" t="str">
        <f t="shared" si="2"/>
        <v>Octavofinalista</v>
      </c>
      <c r="C184" s="342" t="str">
        <f>WORLDCUP!AA122</f>
        <v>W76</v>
      </c>
      <c r="D184" s="625"/>
      <c r="E184" s="361"/>
      <c r="F184" s="361"/>
      <c r="G184" s="361"/>
      <c r="H184" s="361"/>
      <c r="I184" s="345"/>
      <c r="J184" s="361"/>
      <c r="K184" s="361"/>
      <c r="L184" s="361"/>
      <c r="M184" s="377"/>
      <c r="N184" s="368"/>
    </row>
    <row r="185" spans="1:14" ht="15" customHeight="1" x14ac:dyDescent="0.2">
      <c r="A185" s="625"/>
      <c r="B185" s="352" t="str">
        <f t="shared" si="2"/>
        <v>Octavofinalista</v>
      </c>
      <c r="C185" s="342" t="str">
        <f>WORLDCUP!AA123</f>
        <v>W79</v>
      </c>
      <c r="D185" s="625"/>
      <c r="E185" s="361"/>
      <c r="F185" s="361"/>
      <c r="G185" s="361"/>
      <c r="H185" s="361"/>
      <c r="I185" s="345"/>
      <c r="J185" s="361"/>
      <c r="K185" s="361"/>
      <c r="L185" s="361"/>
      <c r="M185" s="377"/>
      <c r="N185" s="368"/>
    </row>
    <row r="186" spans="1:14" ht="15" customHeight="1" x14ac:dyDescent="0.2">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x14ac:dyDescent="0.2">
      <c r="A187" s="625"/>
      <c r="B187" s="352" t="str">
        <f t="shared" si="2"/>
        <v>Octavofinalista</v>
      </c>
      <c r="C187" s="342" t="str">
        <f>WORLDCUP!AA125</f>
        <v>W81</v>
      </c>
      <c r="D187" s="625"/>
      <c r="E187" s="361"/>
      <c r="F187" s="361"/>
      <c r="G187" s="361"/>
      <c r="H187" s="361"/>
      <c r="I187" s="345"/>
      <c r="J187" s="361"/>
      <c r="K187" s="361"/>
      <c r="L187" s="361"/>
      <c r="M187" s="377"/>
      <c r="N187" s="368"/>
    </row>
    <row r="188" spans="1:14" ht="15" customHeight="1" x14ac:dyDescent="0.2">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x14ac:dyDescent="0.2">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x14ac:dyDescent="0.2">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x14ac:dyDescent="0.2">
      <c r="A191" s="625"/>
      <c r="B191" s="352" t="str">
        <f t="shared" si="2"/>
        <v>Octavofinalista</v>
      </c>
      <c r="C191" s="342" t="str">
        <f>WORLDCUP!AF121</f>
        <v>W77</v>
      </c>
      <c r="D191" s="625"/>
      <c r="E191" s="361"/>
      <c r="F191" s="361"/>
      <c r="G191" s="361"/>
      <c r="H191" s="361"/>
      <c r="I191" s="345"/>
      <c r="J191" s="361"/>
      <c r="K191" s="361"/>
      <c r="L191" s="361"/>
      <c r="M191" s="377"/>
      <c r="N191" s="368"/>
    </row>
    <row r="192" spans="1:14" ht="15" customHeight="1" x14ac:dyDescent="0.2">
      <c r="A192" s="625"/>
      <c r="B192" s="352" t="str">
        <f t="shared" si="2"/>
        <v>Octavofinalista</v>
      </c>
      <c r="C192" s="342" t="str">
        <f>WORLDCUP!AF122</f>
        <v>W78</v>
      </c>
      <c r="D192" s="625"/>
      <c r="E192" s="361"/>
      <c r="F192" s="361"/>
      <c r="G192" s="361"/>
      <c r="H192" s="361"/>
      <c r="I192" s="345"/>
      <c r="J192" s="361"/>
      <c r="K192" s="361"/>
      <c r="L192" s="361"/>
      <c r="M192" s="377"/>
      <c r="N192" s="368"/>
    </row>
    <row r="193" spans="1:14" ht="15" customHeight="1" x14ac:dyDescent="0.2">
      <c r="A193" s="625"/>
      <c r="B193" s="352" t="str">
        <f t="shared" si="2"/>
        <v>Octavofinalista</v>
      </c>
      <c r="C193" s="342" t="str">
        <f>WORLDCUP!AF123</f>
        <v>W80</v>
      </c>
      <c r="D193" s="625"/>
      <c r="E193" s="361"/>
      <c r="F193" s="361"/>
      <c r="G193" s="361"/>
      <c r="H193" s="361"/>
      <c r="I193" s="345"/>
      <c r="J193" s="361"/>
      <c r="K193" s="361"/>
      <c r="L193" s="361"/>
      <c r="M193" s="377"/>
      <c r="N193" s="368"/>
    </row>
    <row r="194" spans="1:14" ht="15" customHeight="1" x14ac:dyDescent="0.2">
      <c r="A194" s="625"/>
      <c r="B194" s="352" t="str">
        <f t="shared" si="2"/>
        <v>Octavofinalista</v>
      </c>
      <c r="C194" s="342" t="str">
        <f>WORLDCUP!AF124</f>
        <v>W84</v>
      </c>
      <c r="D194" s="625"/>
      <c r="E194" s="361"/>
      <c r="F194" s="361"/>
      <c r="G194" s="361"/>
      <c r="H194" s="361"/>
      <c r="I194" s="345"/>
      <c r="J194" s="361"/>
      <c r="K194" s="361"/>
      <c r="L194" s="361"/>
      <c r="M194" s="377"/>
      <c r="N194" s="368"/>
    </row>
    <row r="195" spans="1:14" ht="15" customHeight="1" x14ac:dyDescent="0.2">
      <c r="A195" s="625"/>
      <c r="B195" s="352" t="str">
        <f t="shared" si="2"/>
        <v>Octavofinalista</v>
      </c>
      <c r="C195" s="342" t="str">
        <f>WORLDCUP!AF125</f>
        <v>W82</v>
      </c>
      <c r="D195" s="625"/>
      <c r="E195" s="361"/>
      <c r="F195" s="361"/>
      <c r="G195" s="361"/>
      <c r="H195" s="361"/>
      <c r="I195" s="345"/>
      <c r="J195" s="361"/>
      <c r="K195" s="361"/>
      <c r="L195" s="361"/>
      <c r="M195" s="377"/>
      <c r="N195" s="368"/>
    </row>
    <row r="196" spans="1:14" ht="15" customHeight="1" x14ac:dyDescent="0.2">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x14ac:dyDescent="0.2">
      <c r="A197" s="625"/>
      <c r="B197" s="352" t="str">
        <f t="shared" si="2"/>
        <v>Octavofinalista</v>
      </c>
      <c r="C197" s="342" t="str">
        <f>WORLDCUP!AF127</f>
        <v>W87</v>
      </c>
      <c r="D197" s="625"/>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5"/>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5"/>
      <c r="E201" s="656"/>
      <c r="F201" s="656"/>
      <c r="G201" s="656"/>
      <c r="H201" s="656"/>
      <c r="I201" s="345"/>
      <c r="J201" s="361"/>
      <c r="K201" s="361"/>
      <c r="L201" s="361"/>
      <c r="M201" s="377"/>
      <c r="N201" s="368"/>
    </row>
    <row r="202" spans="1:14" ht="15" customHeight="1" x14ac:dyDescent="0.2">
      <c r="A202" s="625"/>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5"/>
      <c r="E202" s="656"/>
      <c r="F202" s="656"/>
      <c r="G202" s="656"/>
      <c r="H202" s="656"/>
      <c r="I202" s="345"/>
      <c r="J202" s="361"/>
      <c r="K202" s="361"/>
      <c r="L202" s="361"/>
      <c r="M202" s="377"/>
      <c r="N202" s="368"/>
    </row>
    <row r="203" spans="1:14" ht="15" customHeight="1" x14ac:dyDescent="0.2">
      <c r="A203" s="625"/>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5"/>
      <c r="E203" s="656"/>
      <c r="F203" s="656"/>
      <c r="G203" s="656"/>
      <c r="H203" s="656"/>
      <c r="I203" s="345"/>
      <c r="J203" s="361"/>
      <c r="K203" s="361"/>
      <c r="L203" s="361"/>
      <c r="M203" s="377"/>
      <c r="N203" s="368"/>
    </row>
    <row r="204" spans="1:14" ht="15" customHeight="1" x14ac:dyDescent="0.2">
      <c r="A204" s="625"/>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5"/>
      <c r="E204" s="345"/>
      <c r="F204" s="345"/>
      <c r="G204" s="345"/>
      <c r="H204" s="345"/>
      <c r="I204" s="345"/>
      <c r="J204" s="361"/>
      <c r="K204" s="361"/>
      <c r="L204" s="361"/>
      <c r="M204" s="377"/>
      <c r="N204" s="368"/>
    </row>
    <row r="205" spans="1:14" ht="15" customHeight="1" x14ac:dyDescent="0.2">
      <c r="A205" s="625"/>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5"/>
      <c r="E205" s="345"/>
      <c r="F205" s="345"/>
      <c r="G205" s="345"/>
      <c r="H205" s="345"/>
      <c r="I205" s="345"/>
      <c r="J205" s="361"/>
      <c r="K205" s="361"/>
      <c r="L205" s="361"/>
      <c r="M205" s="377"/>
      <c r="N205" s="368"/>
    </row>
    <row r="206" spans="1:14" ht="15" customHeight="1" x14ac:dyDescent="0.2">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x14ac:dyDescent="0.2">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x14ac:dyDescent="0.2">
      <c r="A208" s="223"/>
      <c r="B208" s="223"/>
      <c r="C208" s="343"/>
      <c r="D208" s="625"/>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5"/>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x14ac:dyDescent="0.2">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x14ac:dyDescent="0.2">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x14ac:dyDescent="0.2">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x14ac:dyDescent="0.2">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x14ac:dyDescent="0.2">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x14ac:dyDescent="0.2">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x14ac:dyDescent="0.2">
      <c r="A217" s="625"/>
      <c r="B217" s="352" t="str">
        <f t="shared" si="3"/>
        <v>Cuartofinalista</v>
      </c>
      <c r="C217" s="342" t="str">
        <f>WORLDCUP!AF134</f>
        <v>W96</v>
      </c>
      <c r="D217" s="625"/>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x14ac:dyDescent="0.2">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x14ac:dyDescent="0.2">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x14ac:dyDescent="0.2">
      <c r="A224" s="223"/>
      <c r="B224" s="223"/>
      <c r="C224" s="343"/>
      <c r="D224" s="625"/>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5"/>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x14ac:dyDescent="0.2">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x14ac:dyDescent="0.2">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x14ac:dyDescent="0.2">
      <c r="A229" s="625"/>
      <c r="B229" s="352" t="str">
        <f>Idiomas!$D$191</f>
        <v>Semifinalista</v>
      </c>
      <c r="C229" s="342" t="str">
        <f>WORLDCUP!AF139</f>
        <v>W100</v>
      </c>
      <c r="D229" s="625"/>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x14ac:dyDescent="0.2">
      <c r="A234" s="223"/>
      <c r="B234" s="223"/>
      <c r="C234" s="343"/>
      <c r="D234" s="625"/>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x14ac:dyDescent="0.2">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x14ac:dyDescent="0.2">
      <c r="A238" s="223"/>
      <c r="B238" s="223"/>
      <c r="C238" s="343"/>
      <c r="D238" s="625"/>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5"/>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x14ac:dyDescent="0.2">
      <c r="A241" s="625"/>
      <c r="B241" s="352" t="str">
        <f>B240</f>
        <v>Finalista</v>
      </c>
      <c r="C241" s="342" t="str">
        <f>WORLDCUP!AF147</f>
        <v>W102</v>
      </c>
      <c r="D241" s="625"/>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5"/>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5"/>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x14ac:dyDescent="0.2">
      <c r="A248" s="223"/>
      <c r="B248" s="223"/>
      <c r="C248" s="343"/>
      <c r="D248" s="625"/>
      <c r="E248" s="365"/>
      <c r="F248" s="365"/>
      <c r="G248" s="365"/>
      <c r="H248" s="365"/>
      <c r="I248" s="372"/>
      <c r="J248" s="361"/>
      <c r="K248" s="361"/>
      <c r="L248" s="361"/>
      <c r="M248" s="377"/>
      <c r="N248" s="368"/>
    </row>
    <row r="249" spans="1:14" ht="19" customHeight="1" x14ac:dyDescent="0.25">
      <c r="A249" s="223"/>
      <c r="B249" s="350" t="str">
        <f>Idiomas!D139</f>
        <v>CUADRO DE HONOR</v>
      </c>
      <c r="C249" s="343"/>
      <c r="D249" s="625"/>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Irá</v>
      </c>
      <c r="U4" s="437">
        <f ca="1">+INDEX(WORLDCUP!$AM$6:$AM$97,MATCH(X4,WORLDCUP!$AI$6:$AI$97,0))</f>
        <v>1</v>
      </c>
      <c r="V4" s="438">
        <f ca="1">+INDEX(WORLDCUP!$AT$6:$AT$97,MATCH(X4,WORLDCUP!$AI$6:$AI$97,0))</f>
        <v>0</v>
      </c>
      <c r="W4" s="439" t="str">
        <f ca="1">+INDEX(WORLDCUP!$AR$6:$AR$97,MATCH(X4,WORLDCUP!$AI$6:$AI$97,0))&amp;"-"&amp;INDEX(WORLDCUP!$AS$6:$AS$97,MATCH(X4,WORLDCUP!$AI$6:$AI$97,0))</f>
        <v>2-2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-2</v>
      </c>
      <c r="K7" s="467" t="str">
        <f ca="1">+INDEX(WORLDCUP!$AR$6:$AR$97,MATCH(L7,WORLDCUP!$AI$6:$AI$97,0))&amp;"-"&amp;INDEX(WORLDCUP!$AS$6:$AS$97,MATCH(L7,WORLDCUP!$AI$6:$AI$97,0))</f>
        <v>0-2</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Egi</v>
      </c>
      <c r="U7" s="465">
        <f ca="1">+INDEX(WORLDCUP!$AM$6:$AM$97,MATCH(X7,WORLDCUP!$AI$6:$AI$97,0))</f>
        <v>1</v>
      </c>
      <c r="V7" s="466">
        <f ca="1">+INDEX(WORLDCUP!$AT$6:$AT$97,MATCH(X7,WORLDCUP!$AI$6:$AI$97,0))</f>
        <v>0</v>
      </c>
      <c r="W7" s="467" t="str">
        <f ca="1">+INDEX(WORLDCUP!$AR$6:$AR$97,MATCH(X7,WORLDCUP!$AI$6:$AI$97,0))&amp;"-"&amp;INDEX(WORLDCUP!$AS$6:$AS$97,MATCH(X7,WORLDCUP!$AI$6:$AI$97,0))</f>
        <v>1-1</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1</v>
      </c>
      <c r="J12" s="438">
        <f ca="1">+INDEX(WORLDCUP!$AT$6:$AT$97,MATCH(L12,WORLDCUP!$AI$6:$AI$97,0))</f>
        <v>0</v>
      </c>
      <c r="K12" s="439" t="str">
        <f ca="1">+INDEX(WORLDCUP!$AR$6:$AR$97,MATCH(L12,WORLDCUP!$AI$6:$AI$97,0))&amp;"-"&amp;INDEX(WORLDCUP!$AS$6:$AS$97,MATCH(L12,WORLDCUP!$AI$6:$AI$97,0))</f>
        <v>1-1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Ara</v>
      </c>
      <c r="U12" s="437">
        <f ca="1">+INDEX(WORLDCUP!$AM$6:$AM$97,MATCH(X12,WORLDCUP!$AI$6:$AI$97,0))</f>
        <v>1</v>
      </c>
      <c r="V12" s="438">
        <f ca="1">+INDEX(WORLDCUP!$AT$6:$AT$97,MATCH(X12,WORLDCUP!$AI$6:$AI$97,0))</f>
        <v>0</v>
      </c>
      <c r="W12" s="439" t="str">
        <f ca="1">+INDEX(WORLDCUP!$AR$6:$AR$97,MATCH(X12,WORLDCUP!$AI$6:$AI$97,0))&amp;"-"&amp;INDEX(WORLDCUP!$AS$6:$AS$97,MATCH(X12,WORLDCUP!$AI$6:$AI$97,0))</f>
        <v>1-1</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1</v>
      </c>
      <c r="J15" s="466">
        <f ca="1">+INDEX(WORLDCUP!$AT$6:$AT$97,MATCH(L15,WORLDCUP!$AI$6:$AI$97,0))</f>
        <v>0</v>
      </c>
      <c r="K15" s="467" t="str">
        <f ca="1">+INDEX(WORLDCUP!$AR$6:$AR$97,MATCH(L15,WORLDCUP!$AI$6:$AI$97,0))&amp;"-"&amp;INDEX(WORLDCUP!$AS$6:$AS$97,MATCH(L15,WORLDCUP!$AI$6:$AI$97,0))</f>
        <v>1-1</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Esc</v>
      </c>
      <c r="I20" s="437">
        <f ca="1">+INDEX(WORLDCUP!$AM$6:$AM$97,MATCH(L20,WORLDCUP!$AI$6:$AI$97,0))</f>
        <v>3</v>
      </c>
      <c r="J20" s="438">
        <f ca="1">+INDEX(WORLDCUP!$AT$6:$AT$97,MATCH(L20,WORLDCUP!$AI$6:$AI$97,0))</f>
        <v>1</v>
      </c>
      <c r="K20" s="439" t="str">
        <f ca="1">+INDEX(WORLDCUP!$AR$6:$AR$97,MATCH(L20,WORLDCUP!$AI$6:$AI$97,0))&amp;"-"&amp;INDEX(WORLDCUP!$AS$6:$AS$97,MATCH(L20,WORLDCUP!$AI$6:$AI$97,0))</f>
        <v>1-0</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Nor</v>
      </c>
      <c r="U20" s="437">
        <f ca="1">+INDEX(WORLDCUP!$AM$6:$AM$97,MATCH(X20,WORLDCUP!$AI$6:$AI$97,0))</f>
        <v>3</v>
      </c>
      <c r="V20" s="438">
        <f ca="1">+INDEX(WORLDCUP!$AT$6:$AT$97,MATCH(X20,WORLDCUP!$AI$6:$AI$97,0))</f>
        <v>3</v>
      </c>
      <c r="W20" s="439" t="str">
        <f ca="1">+INDEX(WORLDCUP!$AR$6:$AR$97,MATCH(X20,WORLDCUP!$AI$6:$AI$97,0))&amp;"-"&amp;INDEX(WORLDCUP!$AS$6:$AS$97,MATCH(X20,WORLDCUP!$AI$6:$AI$97,0))</f>
        <v>4-1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v>
      </c>
      <c r="K23" s="467" t="str">
        <f ca="1">+INDEX(WORLDCUP!$AR$6:$AR$97,MATCH(L23,WORLDCUP!$AI$6:$AI$97,0))&amp;"-"&amp;INDEX(WORLDCUP!$AS$6:$AS$97,MATCH(L23,WORLDCUP!$AI$6:$AI$97,0))</f>
        <v>0-1</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-3</v>
      </c>
      <c r="W23" s="467" t="str">
        <f ca="1">+INDEX(WORLDCUP!$AR$6:$AR$97,MATCH(X23,WORLDCUP!$AI$6:$AI$97,0))&amp;"-"&amp;INDEX(WORLDCUP!$AS$6:$AS$97,MATCH(X23,WORLDCUP!$AI$6:$AI$97,0))</f>
        <v>1-4</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3</v>
      </c>
      <c r="J28" s="438">
        <f ca="1">+INDEX(WORLDCUP!$AT$6:$AT$97,MATCH(L28,WORLDCUP!$AI$6:$AI$97,0))</f>
        <v>3</v>
      </c>
      <c r="K28" s="439" t="str">
        <f ca="1">+INDEX(WORLDCUP!$AR$6:$AR$97,MATCH(L28,WORLDCUP!$AI$6:$AI$97,0))&amp;"-"&amp;INDEX(WORLDCUP!$AS$6:$AS$97,MATCH(L28,WORLDCUP!$AI$6:$AI$97,0))</f>
        <v>4-1</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3</v>
      </c>
      <c r="V28" s="438">
        <f ca="1">+INDEX(WORLDCUP!$AT$6:$AT$97,MATCH(X28,WORLDCUP!$AI$6:$AI$97,0))</f>
        <v>3</v>
      </c>
      <c r="W28" s="439" t="str">
        <f ca="1">+INDEX(WORLDCUP!$AR$6:$AR$97,MATCH(X28,WORLDCUP!$AI$6:$AI$97,0))&amp;"-"&amp;INDEX(WORLDCUP!$AS$6:$AS$97,MATCH(X28,WORLDCUP!$AI$6:$AI$97,0))</f>
        <v>3-0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Aus</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Jor</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0-3</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3</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Sue</v>
      </c>
      <c r="I44" s="437">
        <f ca="1">+INDEX(WORLDCUP!$AM$6:$AM$97,MATCH(L44,WORLDCUP!$AI$6:$AI$97,0))</f>
        <v>3</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-4</v>
      </c>
      <c r="K47" s="467" t="str">
        <f ca="1">+INDEX(WORLDCUP!$AR$6:$AR$97,MATCH(L47,WORLDCUP!$AI$6:$AI$97,0))&amp;"-"&amp;INDEX(WORLDCUP!$AS$6:$AS$97,MATCH(L47,WORLDCUP!$AI$6:$AI$97,0))</f>
        <v>1-5</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España</v>
      </c>
      <c r="D3" s="9" t="str">
        <f ca="1">+WORLDCUP!BD64</f>
        <v>Bélgica</v>
      </c>
      <c r="E3" s="9" t="str">
        <f ca="1">+WORLDCUP!BD66</f>
        <v>Senegal</v>
      </c>
      <c r="F3" s="9" t="str">
        <f ca="1">+WORLDCUP!BD61</f>
        <v>Turquía</v>
      </c>
      <c r="G3" s="9" t="str">
        <f ca="1">+WORLDCUP!BD67</f>
        <v>Jordania</v>
      </c>
      <c r="H3" s="9" t="str">
        <f ca="1">+WORLDCUP!BD63</f>
        <v>Japón</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Jordania</v>
      </c>
      <c r="E4" s="9" t="str">
        <f ca="1">+WORLDCUP!BD66</f>
        <v>Senegal</v>
      </c>
      <c r="F4" s="9" t="str">
        <f ca="1">+WORLDCUP!BD61</f>
        <v>Turquía</v>
      </c>
      <c r="G4" s="9" t="str">
        <f ca="1">+WORLDCUP!BD65</f>
        <v>España</v>
      </c>
      <c r="H4" s="9" t="str">
        <f ca="1">+WORLDCUP!BD64</f>
        <v>Bélgica</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Jordania</v>
      </c>
      <c r="E5" s="9" t="str">
        <f ca="1">+WORLDCUP!BD66</f>
        <v>Senegal</v>
      </c>
      <c r="F5" s="9" t="str">
        <f ca="1">+WORLDCUP!BD61</f>
        <v>Turquía</v>
      </c>
      <c r="G5" s="9" t="str">
        <f ca="1">+WORLDCUP!BD65</f>
        <v>España</v>
      </c>
      <c r="H5" s="9" t="str">
        <f ca="1">+WORLDCUP!BD63</f>
        <v>Japón</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Turquía</v>
      </c>
      <c r="G6" s="9" t="str">
        <f ca="1">+WORLDCUP!BD67</f>
        <v>Jordania</v>
      </c>
      <c r="H6" s="9" t="str">
        <f ca="1">+WORLDCUP!BD63</f>
        <v>Japón</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Jordania</v>
      </c>
      <c r="F7" s="9" t="str">
        <f ca="1">+WORLDCUP!BD61</f>
        <v>Turquía</v>
      </c>
      <c r="G7" s="9" t="str">
        <f ca="1">+WORLDCUP!BD65</f>
        <v>España</v>
      </c>
      <c r="H7" s="9" t="str">
        <f ca="1">+WORLDCUP!BD63</f>
        <v>Japón</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Turquía</v>
      </c>
      <c r="G8" s="9" t="str">
        <f ca="1">+WORLDCUP!BD65</f>
        <v>España</v>
      </c>
      <c r="H8" s="9" t="str">
        <f ca="1">+WORLDCUP!BD63</f>
        <v>Japón</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Jordania</v>
      </c>
      <c r="F9" s="9" t="str">
        <f ca="1">+WORLDCUP!BD61</f>
        <v>Turquía</v>
      </c>
      <c r="G9" s="9" t="str">
        <f ca="1">+WORLDCUP!BD65</f>
        <v>España</v>
      </c>
      <c r="H9" s="9" t="str">
        <f ca="1">+WORLDCUP!BD63</f>
        <v>Japón</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Jordania</v>
      </c>
      <c r="F10" s="9" t="str">
        <f ca="1">+WORLDCUP!BD61</f>
        <v>Turquía</v>
      </c>
      <c r="G10" s="9" t="str">
        <f ca="1">+WORLDCUP!BD65</f>
        <v>España</v>
      </c>
      <c r="H10" s="9" t="str">
        <f ca="1">+WORLDCUP!BD63</f>
        <v>Japón</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España</v>
      </c>
      <c r="D11" s="9" t="str">
        <f ca="1">+WORLDCUP!BD64</f>
        <v>Bélgica</v>
      </c>
      <c r="E11" s="9" t="str">
        <f ca="1">+WORLDCUP!BD66</f>
        <v>Senegal</v>
      </c>
      <c r="F11" s="9" t="str">
        <f ca="1">+WORLDCUP!BD60</f>
        <v>Marruecos</v>
      </c>
      <c r="G11" s="9" t="str">
        <f ca="1">+WORLDCUP!BD67</f>
        <v>Jordania</v>
      </c>
      <c r="H11" s="9" t="str">
        <f ca="1">+WORLDCUP!BD63</f>
        <v>Japón</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Jordania</v>
      </c>
      <c r="E12" s="9" t="str">
        <f ca="1">+WORLDCUP!BD66</f>
        <v>Senegal</v>
      </c>
      <c r="F12" s="9" t="str">
        <f ca="1">+WORLDCUP!BD60</f>
        <v>Marruecos</v>
      </c>
      <c r="G12" s="9" t="str">
        <f ca="1">+WORLDCUP!BD65</f>
        <v>España</v>
      </c>
      <c r="H12" s="9" t="str">
        <f ca="1">+WORLDCUP!BD64</f>
        <v>Bélgica</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Jordania</v>
      </c>
      <c r="E13" s="9" t="str">
        <f ca="1">+WORLDCUP!BD66</f>
        <v>Senegal</v>
      </c>
      <c r="F13" s="9" t="str">
        <f ca="1">+WORLDCUP!BD60</f>
        <v>Marruecos</v>
      </c>
      <c r="G13" s="9" t="str">
        <f ca="1">+WORLDCUP!BD65</f>
        <v>España</v>
      </c>
      <c r="H13" s="9" t="str">
        <f ca="1">+WORLDCUP!BD63</f>
        <v>Japón</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Marruecos</v>
      </c>
      <c r="G14" s="9" t="str">
        <f ca="1">+WORLDCUP!BD67</f>
        <v>Jordania</v>
      </c>
      <c r="H14" s="9" t="str">
        <f ca="1">+WORLDCUP!BD63</f>
        <v>Japón</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Jordania</v>
      </c>
      <c r="F15" s="9" t="str">
        <f ca="1">+WORLDCUP!BD60</f>
        <v>Marruecos</v>
      </c>
      <c r="G15" s="9" t="str">
        <f ca="1">+WORLDCUP!BD65</f>
        <v>España</v>
      </c>
      <c r="H15" s="9" t="str">
        <f ca="1">+WORLDCUP!BD63</f>
        <v>Japón</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Marruecos</v>
      </c>
      <c r="G16" s="9" t="str">
        <f ca="1">+WORLDCUP!BD65</f>
        <v>España</v>
      </c>
      <c r="H16" s="9" t="str">
        <f ca="1">+WORLDCUP!BD63</f>
        <v>Japón</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Jordania</v>
      </c>
      <c r="F17" s="9" t="str">
        <f ca="1">+WORLDCUP!BD60</f>
        <v>Marruecos</v>
      </c>
      <c r="G17" s="9" t="str">
        <f ca="1">+WORLDCUP!BD65</f>
        <v>España</v>
      </c>
      <c r="H17" s="9" t="str">
        <f ca="1">+WORLDCUP!BD63</f>
        <v>Japón</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Jordania</v>
      </c>
      <c r="F18" s="9" t="str">
        <f ca="1">+WORLDCUP!BD60</f>
        <v>Marruecos</v>
      </c>
      <c r="G18" s="9" t="str">
        <f ca="1">+WORLDCUP!BD65</f>
        <v>España</v>
      </c>
      <c r="H18" s="9" t="str">
        <f ca="1">+WORLDCUP!BD63</f>
        <v>Japón</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España</v>
      </c>
      <c r="D19" s="9" t="str">
        <f ca="1">+WORLDCUP!BD64</f>
        <v>Bélgica</v>
      </c>
      <c r="E19" s="9" t="str">
        <f ca="1">+WORLDCUP!BD66</f>
        <v>Senegal</v>
      </c>
      <c r="F19" s="9" t="str">
        <f ca="1">+WORLDCUP!BD60</f>
        <v>Marruecos</v>
      </c>
      <c r="G19" s="9" t="str">
        <f ca="1">+WORLDCUP!BD67</f>
        <v>Jordania</v>
      </c>
      <c r="H19" s="9" t="str">
        <f ca="1">+WORLDCUP!BD61</f>
        <v>Turquía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Jordania</v>
      </c>
      <c r="E20" s="9" t="str">
        <f ca="1">+WORLDCUP!BD66</f>
        <v>Senegal</v>
      </c>
      <c r="F20" s="9" t="str">
        <f ca="1">+WORLDCUP!BD61</f>
        <v>Turquía</v>
      </c>
      <c r="G20" s="9" t="str">
        <f ca="1">+WORLDCUP!BD65</f>
        <v>España</v>
      </c>
      <c r="H20" s="9" t="str">
        <f ca="1">+WORLDCUP!BD63</f>
        <v>Japón</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Bélgica</v>
      </c>
      <c r="E21" s="9" t="str">
        <f ca="1">+WORLDCUP!BD66</f>
        <v>Senegal</v>
      </c>
      <c r="F21" s="9" t="str">
        <f ca="1">+WORLDCUP!BD61</f>
        <v>Turquía</v>
      </c>
      <c r="G21" s="9" t="str">
        <f ca="1">+WORLDCUP!BD67</f>
        <v>Jordania</v>
      </c>
      <c r="H21" s="9" t="str">
        <f ca="1">+WORLDCUP!BD63</f>
        <v>Japón</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Bélgica</v>
      </c>
      <c r="E22" s="9" t="str">
        <f ca="1">+WORLDCUP!BD67</f>
        <v>Jordania</v>
      </c>
      <c r="F22" s="9" t="str">
        <f ca="1">+WORLDCUP!BD61</f>
        <v>Turquía</v>
      </c>
      <c r="G22" s="9" t="str">
        <f ca="1">+WORLDCUP!BD65</f>
        <v>España</v>
      </c>
      <c r="H22" s="9" t="str">
        <f ca="1">+WORLDCUP!BD63</f>
        <v>Japón</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Bélgica</v>
      </c>
      <c r="E23" s="9" t="str">
        <f ca="1">+WORLDCUP!BD66</f>
        <v>Senegal</v>
      </c>
      <c r="F23" s="9" t="str">
        <f ca="1">+WORLDCUP!BD61</f>
        <v>Turquía</v>
      </c>
      <c r="G23" s="9" t="str">
        <f ca="1">+WORLDCUP!BD65</f>
        <v>España</v>
      </c>
      <c r="H23" s="9" t="str">
        <f ca="1">+WORLDCUP!BD63</f>
        <v>Japón</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Bélgica</v>
      </c>
      <c r="E24" s="9" t="str">
        <f ca="1">+WORLDCUP!BD67</f>
        <v>Jordania</v>
      </c>
      <c r="F24" s="9" t="str">
        <f ca="1">+WORLDCUP!BD61</f>
        <v>Turquía</v>
      </c>
      <c r="G24" s="9" t="str">
        <f ca="1">+WORLDCUP!BD65</f>
        <v>España</v>
      </c>
      <c r="H24" s="9" t="str">
        <f ca="1">+WORLDCUP!BD63</f>
        <v>Japón</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Bélgica</v>
      </c>
      <c r="E25" s="9" t="str">
        <f ca="1">+WORLDCUP!BD67</f>
        <v>Jordania</v>
      </c>
      <c r="F25" s="9" t="str">
        <f ca="1">+WORLDCUP!BD61</f>
        <v>Turquía</v>
      </c>
      <c r="G25" s="9" t="str">
        <f ca="1">+WORLDCUP!BD65</f>
        <v>España</v>
      </c>
      <c r="H25" s="9" t="str">
        <f ca="1">+WORLDCUP!BD63</f>
        <v>Japón</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Jordania</v>
      </c>
      <c r="E26" s="9" t="str">
        <f ca="1">+WORLDCUP!BD66</f>
        <v>Senegal</v>
      </c>
      <c r="F26" s="9" t="str">
        <f ca="1">+WORLDCUP!BD60</f>
        <v>Marruecos</v>
      </c>
      <c r="G26" s="9" t="str">
        <f ca="1">+WORLDCUP!BD65</f>
        <v>España</v>
      </c>
      <c r="H26" s="9" t="str">
        <f ca="1">+WORLDCUP!BD61</f>
        <v>Turquía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Marruecos</v>
      </c>
      <c r="G27" s="9" t="str">
        <f ca="1">+WORLDCUP!BD67</f>
        <v>Jordania</v>
      </c>
      <c r="H27" s="9" t="str">
        <f ca="1">+WORLDCUP!BD61</f>
        <v>Turquía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Jordania</v>
      </c>
      <c r="F28" s="9" t="str">
        <f ca="1">+WORLDCUP!BD60</f>
        <v>Marruecos</v>
      </c>
      <c r="G28" s="9" t="str">
        <f ca="1">+WORLDCUP!BD65</f>
        <v>España</v>
      </c>
      <c r="H28" s="9" t="str">
        <f ca="1">+WORLDCUP!BD61</f>
        <v>Turquía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Marruecos</v>
      </c>
      <c r="G29" s="9" t="str">
        <f ca="1">+WORLDCUP!BD65</f>
        <v>España</v>
      </c>
      <c r="H29" s="9" t="str">
        <f ca="1">+WORLDCUP!BD61</f>
        <v>Turquía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Jordania</v>
      </c>
      <c r="F30" s="9" t="str">
        <f ca="1">+WORLDCUP!BD60</f>
        <v>Marruecos</v>
      </c>
      <c r="G30" s="9" t="str">
        <f ca="1">+WORLDCUP!BD65</f>
        <v>España</v>
      </c>
      <c r="H30" s="9" t="str">
        <f ca="1">+WORLDCUP!BD61</f>
        <v>Turquía</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Jordania</v>
      </c>
      <c r="F31" s="9" t="str">
        <f ca="1">+WORLDCUP!BD60</f>
        <v>Marruecos</v>
      </c>
      <c r="G31" s="9" t="str">
        <f ca="1">+WORLDCUP!BD65</f>
        <v>España</v>
      </c>
      <c r="H31" s="9" t="str">
        <f ca="1">+WORLDCUP!BD61</f>
        <v>Turquía</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Jordania</v>
      </c>
      <c r="E32" s="9" t="str">
        <f ca="1">+WORLDCUP!BD62</f>
        <v>Ecuador</v>
      </c>
      <c r="F32" s="9" t="str">
        <f ca="1">+WORLDCUP!BD61</f>
        <v>Turquía</v>
      </c>
      <c r="G32" s="9" t="str">
        <f ca="1">+WORLDCUP!BD66</f>
        <v>Senegal</v>
      </c>
      <c r="H32" s="9" t="str">
        <f ca="1">+WORLDCUP!BD63</f>
        <v>Japón</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Jordania</v>
      </c>
      <c r="E33" s="9" t="str">
        <f ca="1">+WORLDCUP!BD62</f>
        <v>Ecuador</v>
      </c>
      <c r="F33" s="9" t="str">
        <f ca="1">+WORLDCUP!BD61</f>
        <v>Turquía</v>
      </c>
      <c r="G33" s="9" t="str">
        <f ca="1">+WORLDCUP!BD65</f>
        <v>España</v>
      </c>
      <c r="H33" s="9" t="str">
        <f ca="1">+WORLDCUP!BD63</f>
        <v>Japón</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Senegal</v>
      </c>
      <c r="F34" s="9" t="str">
        <f ca="1">+WORLDCUP!BD61</f>
        <v>Turquía</v>
      </c>
      <c r="G34" s="9" t="str">
        <f ca="1">+WORLDCUP!BD65</f>
        <v>España</v>
      </c>
      <c r="H34" s="9" t="str">
        <f ca="1">+WORLDCUP!BD63</f>
        <v>Japón</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Jordania</v>
      </c>
      <c r="E35" s="9" t="str">
        <f ca="1">+WORLDCUP!BD62</f>
        <v>Ecuador</v>
      </c>
      <c r="F35" s="9" t="str">
        <f ca="1">+WORLDCUP!BD61</f>
        <v>Turquía</v>
      </c>
      <c r="G35" s="9" t="str">
        <f ca="1">+WORLDCUP!BD65</f>
        <v>España</v>
      </c>
      <c r="H35" s="9" t="str">
        <f ca="1">+WORLDCUP!BD63</f>
        <v>Japón</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Jordania</v>
      </c>
      <c r="E36" s="9" t="str">
        <f ca="1">+WORLDCUP!BD62</f>
        <v>Ecuador</v>
      </c>
      <c r="F36" s="9" t="str">
        <f ca="1">+WORLDCUP!BD61</f>
        <v>Turquía</v>
      </c>
      <c r="G36" s="9" t="str">
        <f ca="1">+WORLDCUP!BD65</f>
        <v>España</v>
      </c>
      <c r="H36" s="9" t="str">
        <f ca="1">+WORLDCUP!BD63</f>
        <v>Japón</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Bélgica</v>
      </c>
      <c r="E37" s="9" t="str">
        <f ca="1">+WORLDCUP!BD62</f>
        <v>Ecuador</v>
      </c>
      <c r="F37" s="9" t="str">
        <f ca="1">+WORLDCUP!BD61</f>
        <v>Turquía</v>
      </c>
      <c r="G37" s="9" t="str">
        <f ca="1">+WORLDCUP!BD67</f>
        <v>Jordania</v>
      </c>
      <c r="H37" s="9" t="str">
        <f ca="1">+WORLDCUP!BD63</f>
        <v>Japón</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Bélgica</v>
      </c>
      <c r="E38" s="9" t="str">
        <f ca="1">+WORLDCUP!BD62</f>
        <v>Ecuador</v>
      </c>
      <c r="F38" s="9" t="str">
        <f ca="1">+WORLDCUP!BD61</f>
        <v>Turquía</v>
      </c>
      <c r="G38" s="9" t="str">
        <f ca="1">+WORLDCUP!BD66</f>
        <v>Senegal</v>
      </c>
      <c r="H38" s="9" t="str">
        <f ca="1">+WORLDCUP!BD63</f>
        <v>Japón</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Bélgica</v>
      </c>
      <c r="E39" s="9" t="str">
        <f ca="1">+WORLDCUP!BD62</f>
        <v>Ecuador</v>
      </c>
      <c r="F39" s="9" t="str">
        <f ca="1">+WORLDCUP!BD61</f>
        <v>Turquía</v>
      </c>
      <c r="G39" s="9" t="str">
        <f ca="1">+WORLDCUP!BD67</f>
        <v>Jordania</v>
      </c>
      <c r="H39" s="9" t="str">
        <f ca="1">+WORLDCUP!BD63</f>
        <v>Japón</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Bélgica</v>
      </c>
      <c r="E40" s="9" t="str">
        <f ca="1">+WORLDCUP!BD62</f>
        <v>Ecuador</v>
      </c>
      <c r="F40" s="9" t="str">
        <f ca="1">+WORLDCUP!BD61</f>
        <v>Turquía</v>
      </c>
      <c r="G40" s="9" t="str">
        <f ca="1">+WORLDCUP!BD67</f>
        <v>Jordania</v>
      </c>
      <c r="H40" s="9" t="str">
        <f ca="1">+WORLDCUP!BD63</f>
        <v>Japón</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Bélgica</v>
      </c>
      <c r="E41" s="9" t="str">
        <f ca="1">+WORLDCUP!BD62</f>
        <v>Ecuador</v>
      </c>
      <c r="F41" s="9" t="str">
        <f ca="1">+WORLDCUP!BD61</f>
        <v>Turquía</v>
      </c>
      <c r="G41" s="9" t="str">
        <f ca="1">+WORLDCUP!BD65</f>
        <v>España</v>
      </c>
      <c r="H41" s="9" t="str">
        <f ca="1">+WORLDCUP!BD63</f>
        <v>Japón</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Bélgica</v>
      </c>
      <c r="E42" s="9" t="str">
        <f ca="1">+WORLDCUP!BD67</f>
        <v>Jordania</v>
      </c>
      <c r="F42" s="9" t="str">
        <f ca="1">+WORLDCUP!BD61</f>
        <v>Turquía</v>
      </c>
      <c r="G42" s="9" t="str">
        <f ca="1">+WORLDCUP!BD65</f>
        <v>España</v>
      </c>
      <c r="H42" s="9" t="str">
        <f ca="1">+WORLDCUP!BD63</f>
        <v>Japón</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Bélgica</v>
      </c>
      <c r="E43" s="9" t="str">
        <f ca="1">+WORLDCUP!BD67</f>
        <v>Jordania</v>
      </c>
      <c r="F43" s="9" t="str">
        <f ca="1">+WORLDCUP!BD61</f>
        <v>Turquía</v>
      </c>
      <c r="G43" s="9" t="str">
        <f ca="1">+WORLDCUP!BD65</f>
        <v>España</v>
      </c>
      <c r="H43" s="9" t="str">
        <f ca="1">+WORLDCUP!BD63</f>
        <v>Japón</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Bélgica</v>
      </c>
      <c r="E44" s="9" t="str">
        <f ca="1">+WORLDCUP!BD62</f>
        <v>Ecuador</v>
      </c>
      <c r="F44" s="9" t="str">
        <f ca="1">+WORLDCUP!BD61</f>
        <v>Turquía</v>
      </c>
      <c r="G44" s="9" t="str">
        <f ca="1">+WORLDCUP!BD65</f>
        <v>España</v>
      </c>
      <c r="H44" s="9" t="str">
        <f ca="1">+WORLDCUP!BD63</f>
        <v>Japón</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Bélgica</v>
      </c>
      <c r="E45" s="9" t="str">
        <f ca="1">+WORLDCUP!BD62</f>
        <v>Ecuador</v>
      </c>
      <c r="F45" s="9" t="str">
        <f ca="1">+WORLDCUP!BD61</f>
        <v>Turquía</v>
      </c>
      <c r="G45" s="9" t="str">
        <f ca="1">+WORLDCUP!BD65</f>
        <v>España</v>
      </c>
      <c r="H45" s="9" t="str">
        <f ca="1">+WORLDCUP!BD63</f>
        <v>Japón</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Bélgica</v>
      </c>
      <c r="E46" s="9" t="str">
        <f ca="1">+WORLDCUP!BD67</f>
        <v>Jordania</v>
      </c>
      <c r="F46" s="9" t="str">
        <f ca="1">+WORLDCUP!BD61</f>
        <v>Turquía</v>
      </c>
      <c r="G46" s="9" t="str">
        <f ca="1">+WORLDCUP!BD65</f>
        <v>España</v>
      </c>
      <c r="H46" s="9" t="str">
        <f ca="1">+WORLDCUP!BD63</f>
        <v>Japón</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España</v>
      </c>
      <c r="D47" s="9" t="str">
        <f ca="1">+WORLDCUP!BD67</f>
        <v>Jordania</v>
      </c>
      <c r="E47" s="9" t="str">
        <f ca="1">+WORLDCUP!BD59</f>
        <v>Catar</v>
      </c>
      <c r="F47" s="9" t="str">
        <f ca="1">+WORLDCUP!BD63</f>
        <v>Japón</v>
      </c>
      <c r="G47" s="9" t="str">
        <f ca="1">+WORLDCUP!BD66</f>
        <v>Senegal</v>
      </c>
      <c r="H47" s="9" t="str">
        <f ca="1">+WORLDCUP!BD64</f>
        <v>Bélgica</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Jordania</v>
      </c>
      <c r="E48" s="9" t="str">
        <f ca="1">+WORLDCUP!BD66</f>
        <v>Senegal</v>
      </c>
      <c r="F48" s="9" t="str">
        <f ca="1">+WORLDCUP!BD59</f>
        <v>Catar</v>
      </c>
      <c r="G48" s="9" t="str">
        <f ca="1">+WORLDCUP!BD65</f>
        <v>España</v>
      </c>
      <c r="H48" s="9" t="str">
        <f ca="1">+WORLDCUP!BD64</f>
        <v>Bélgica</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Jordania</v>
      </c>
      <c r="E49" s="9" t="str">
        <f ca="1">+WORLDCUP!BD59</f>
        <v>Catar</v>
      </c>
      <c r="F49" s="9" t="str">
        <f ca="1">+WORLDCUP!BD63</f>
        <v>Japón</v>
      </c>
      <c r="G49" s="9" t="str">
        <f ca="1">+WORLDCUP!BD66</f>
        <v>Senegal</v>
      </c>
      <c r="H49" s="9" t="str">
        <f ca="1">+WORLDCUP!BD65</f>
        <v>España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Jordania</v>
      </c>
      <c r="E50" s="9" t="str">
        <f ca="1">+WORLDCUP!BD59</f>
        <v>Catar</v>
      </c>
      <c r="F50" s="9" t="str">
        <f ca="1">+WORLDCUP!BD63</f>
        <v>Japón</v>
      </c>
      <c r="G50" s="9" t="str">
        <f ca="1">+WORLDCUP!BD66</f>
        <v>Senegal</v>
      </c>
      <c r="H50" s="9" t="str">
        <f ca="1">+WORLDCUP!BD64</f>
        <v>Bélgica</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Jordania</v>
      </c>
      <c r="E51" s="9" t="str">
        <f ca="1">+WORLDCUP!BD59</f>
        <v>Catar</v>
      </c>
      <c r="F51" s="9" t="str">
        <f ca="1">+WORLDCUP!BD63</f>
        <v>Japón</v>
      </c>
      <c r="G51" s="9" t="str">
        <f ca="1">+WORLDCUP!BD65</f>
        <v>España</v>
      </c>
      <c r="H51" s="9" t="str">
        <f ca="1">+WORLDCUP!BD64</f>
        <v>Bélgica</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Catar</v>
      </c>
      <c r="F52" s="9" t="str">
        <f ca="1">+WORLDCUP!BD63</f>
        <v>Japón</v>
      </c>
      <c r="G52" s="9" t="str">
        <f ca="1">+WORLDCUP!BD66</f>
        <v>Senegal</v>
      </c>
      <c r="H52" s="9" t="str">
        <f ca="1">+WORLDCUP!BD65</f>
        <v>España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Jordania</v>
      </c>
      <c r="E53" s="9" t="str">
        <f ca="1">+WORLDCUP!BD59</f>
        <v>Catar</v>
      </c>
      <c r="F53" s="9" t="str">
        <f ca="1">+WORLDCUP!BD63</f>
        <v>Japón</v>
      </c>
      <c r="G53" s="9" t="str">
        <f ca="1">+WORLDCUP!BD65</f>
        <v>España</v>
      </c>
      <c r="H53" s="9" t="str">
        <f ca="1">+WORLDCUP!BD64</f>
        <v>Bélgica</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Jordania</v>
      </c>
      <c r="E54" s="9" t="str">
        <f ca="1">+WORLDCUP!BD59</f>
        <v>Catar</v>
      </c>
      <c r="F54" s="9" t="str">
        <f ca="1">+WORLDCUP!BD63</f>
        <v>Japón</v>
      </c>
      <c r="G54" s="9" t="str">
        <f ca="1">+WORLDCUP!BD65</f>
        <v>España</v>
      </c>
      <c r="H54" s="9" t="str">
        <f ca="1">+WORLDCUP!BD64</f>
        <v>Bélgica</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España</v>
      </c>
      <c r="D55" s="9" t="str">
        <f ca="1">+WORLDCUP!BD67</f>
        <v>Jordania</v>
      </c>
      <c r="E55" s="9" t="str">
        <f ca="1">+WORLDCUP!BD59</f>
        <v>Catar</v>
      </c>
      <c r="F55" s="9" t="str">
        <f ca="1">+WORLDCUP!BD61</f>
        <v>Turquía</v>
      </c>
      <c r="G55" s="9" t="str">
        <f ca="1">+WORLDCUP!BD66</f>
        <v>Senegal</v>
      </c>
      <c r="H55" s="9" t="str">
        <f ca="1">+WORLDCUP!BD64</f>
        <v>Bélgica</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España</v>
      </c>
      <c r="D56" s="9" t="str">
        <f ca="1">+WORLDCUP!BD67</f>
        <v>Jordania</v>
      </c>
      <c r="E56" s="9" t="str">
        <f ca="1">+WORLDCUP!BD59</f>
        <v>Catar</v>
      </c>
      <c r="F56" s="9" t="str">
        <f ca="1">+WORLDCUP!BD61</f>
        <v>Turquía</v>
      </c>
      <c r="G56" s="9" t="str">
        <f ca="1">+WORLDCUP!BD66</f>
        <v>Senegal</v>
      </c>
      <c r="H56" s="9" t="str">
        <f ca="1">+WORLDCUP!BD63</f>
        <v>Japón</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Catar</v>
      </c>
      <c r="F57" s="9" t="str">
        <f ca="1">+WORLDCUP!BD61</f>
        <v>Turquía</v>
      </c>
      <c r="G57" s="9" t="str">
        <f ca="1">+WORLDCUP!BD67</f>
        <v>Jordania</v>
      </c>
      <c r="H57" s="9" t="str">
        <f ca="1">+WORLDCUP!BD63</f>
        <v>Japón</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España</v>
      </c>
      <c r="D58" s="9" t="str">
        <f ca="1">+WORLDCUP!BD64</f>
        <v>Bélgica</v>
      </c>
      <c r="E58" s="9" t="str">
        <f ca="1">+WORLDCUP!BD59</f>
        <v>Catar</v>
      </c>
      <c r="F58" s="9" t="str">
        <f ca="1">+WORLDCUP!BD61</f>
        <v>Turquía</v>
      </c>
      <c r="G58" s="9" t="str">
        <f ca="1">+WORLDCUP!BD67</f>
        <v>Jordania</v>
      </c>
      <c r="H58" s="9" t="str">
        <f ca="1">+WORLDCUP!BD63</f>
        <v>Japón</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España</v>
      </c>
      <c r="D59" s="9" t="str">
        <f ca="1">+WORLDCUP!BD64</f>
        <v>Bélgica</v>
      </c>
      <c r="E59" s="9" t="str">
        <f ca="1">+WORLDCUP!BD59</f>
        <v>Catar</v>
      </c>
      <c r="F59" s="9" t="str">
        <f ca="1">+WORLDCUP!BD61</f>
        <v>Turquía</v>
      </c>
      <c r="G59" s="9" t="str">
        <f ca="1">+WORLDCUP!BD66</f>
        <v>Senegal</v>
      </c>
      <c r="H59" s="9" t="str">
        <f ca="1">+WORLDCUP!BD63</f>
        <v>Japón</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España</v>
      </c>
      <c r="D60" s="9" t="str">
        <f ca="1">+WORLDCUP!BD64</f>
        <v>Bélgica</v>
      </c>
      <c r="E60" s="9" t="str">
        <f ca="1">+WORLDCUP!BD59</f>
        <v>Catar</v>
      </c>
      <c r="F60" s="9" t="str">
        <f ca="1">+WORLDCUP!BD61</f>
        <v>Turquía</v>
      </c>
      <c r="G60" s="9" t="str">
        <f ca="1">+WORLDCUP!BD67</f>
        <v>Jordania</v>
      </c>
      <c r="H60" s="9" t="str">
        <f ca="1">+WORLDCUP!BD63</f>
        <v>Japón</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España</v>
      </c>
      <c r="D61" s="9" t="str">
        <f ca="1">+WORLDCUP!BD64</f>
        <v>Bélgica</v>
      </c>
      <c r="E61" s="9" t="str">
        <f ca="1">+WORLDCUP!BD59</f>
        <v>Catar</v>
      </c>
      <c r="F61" s="9" t="str">
        <f ca="1">+WORLDCUP!BD61</f>
        <v>Turquía</v>
      </c>
      <c r="G61" s="9" t="str">
        <f ca="1">+WORLDCUP!BD67</f>
        <v>Jordania</v>
      </c>
      <c r="H61" s="9" t="str">
        <f ca="1">+WORLDCUP!BD63</f>
        <v>Japón</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Jordania</v>
      </c>
      <c r="E62" s="9" t="str">
        <f ca="1">+WORLDCUP!BD59</f>
        <v>Catar</v>
      </c>
      <c r="F62" s="9" t="str">
        <f ca="1">+WORLDCUP!BD61</f>
        <v>Turquía</v>
      </c>
      <c r="G62" s="9" t="str">
        <f ca="1">+WORLDCUP!BD66</f>
        <v>Senegal</v>
      </c>
      <c r="H62" s="9" t="str">
        <f ca="1">+WORLDCUP!BD65</f>
        <v>España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Jordania</v>
      </c>
      <c r="E63" s="9" t="str">
        <f ca="1">+WORLDCUP!BD59</f>
        <v>Catar</v>
      </c>
      <c r="F63" s="9" t="str">
        <f ca="1">+WORLDCUP!BD61</f>
        <v>Turquía</v>
      </c>
      <c r="G63" s="9" t="str">
        <f ca="1">+WORLDCUP!BD66</f>
        <v>Senegal</v>
      </c>
      <c r="H63" s="9" t="str">
        <f ca="1">+WORLDCUP!BD64</f>
        <v>Bélgica</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Jordania</v>
      </c>
      <c r="E64" s="9" t="str">
        <f ca="1">+WORLDCUP!BD59</f>
        <v>Catar</v>
      </c>
      <c r="F64" s="9" t="str">
        <f ca="1">+WORLDCUP!BD61</f>
        <v>Turquía</v>
      </c>
      <c r="G64" s="9" t="str">
        <f ca="1">+WORLDCUP!BD65</f>
        <v>España</v>
      </c>
      <c r="H64" s="9" t="str">
        <f ca="1">+WORLDCUP!BD64</f>
        <v>Bélgica</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Catar</v>
      </c>
      <c r="F65" s="9" t="str">
        <f ca="1">+WORLDCUP!BD61</f>
        <v>Turquía</v>
      </c>
      <c r="G65" s="9" t="str">
        <f ca="1">+WORLDCUP!BD66</f>
        <v>Senegal</v>
      </c>
      <c r="H65" s="9" t="str">
        <f ca="1">+WORLDCUP!BD65</f>
        <v>España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Jordania</v>
      </c>
      <c r="E66" s="9" t="str">
        <f ca="1">+WORLDCUP!BD59</f>
        <v>Catar</v>
      </c>
      <c r="F66" s="9" t="str">
        <f ca="1">+WORLDCUP!BD61</f>
        <v>Turquía</v>
      </c>
      <c r="G66" s="9" t="str">
        <f ca="1">+WORLDCUP!BD65</f>
        <v>España</v>
      </c>
      <c r="H66" s="9" t="str">
        <f ca="1">+WORLDCUP!BD64</f>
        <v>Bélgica</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Jordania</v>
      </c>
      <c r="E67" s="9" t="str">
        <f ca="1">+WORLDCUP!BD59</f>
        <v>Catar</v>
      </c>
      <c r="F67" s="9" t="str">
        <f ca="1">+WORLDCUP!BD61</f>
        <v>Turquía</v>
      </c>
      <c r="G67" s="9" t="str">
        <f ca="1">+WORLDCUP!BD65</f>
        <v>España</v>
      </c>
      <c r="H67" s="9" t="str">
        <f ca="1">+WORLDCUP!BD64</f>
        <v>Bélgica</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Jordania</v>
      </c>
      <c r="E68" s="9" t="str">
        <f ca="1">+WORLDCUP!BD59</f>
        <v>Catar</v>
      </c>
      <c r="F68" s="9" t="str">
        <f ca="1">+WORLDCUP!BD61</f>
        <v>Turquía</v>
      </c>
      <c r="G68" s="9" t="str">
        <f ca="1">+WORLDCUP!BD66</f>
        <v>Senegal</v>
      </c>
      <c r="H68" s="9" t="str">
        <f ca="1">+WORLDCUP!BD63</f>
        <v>Japón</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Jordania</v>
      </c>
      <c r="E69" s="9" t="str">
        <f ca="1">+WORLDCUP!BD59</f>
        <v>Catar</v>
      </c>
      <c r="F69" s="9" t="str">
        <f ca="1">+WORLDCUP!BD61</f>
        <v>Turquía</v>
      </c>
      <c r="G69" s="9" t="str">
        <f ca="1">+WORLDCUP!BD65</f>
        <v>España</v>
      </c>
      <c r="H69" s="9" t="str">
        <f ca="1">+WORLDCUP!BD63</f>
        <v>Japón</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Catar</v>
      </c>
      <c r="F70" s="9" t="str">
        <f ca="1">+WORLDCUP!BD61</f>
        <v>Turquía</v>
      </c>
      <c r="G70" s="9" t="str">
        <f ca="1">+WORLDCUP!BD65</f>
        <v>España</v>
      </c>
      <c r="H70" s="9" t="str">
        <f ca="1">+WORLDCUP!BD63</f>
        <v>Japón</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Jordania</v>
      </c>
      <c r="E71" s="9" t="str">
        <f ca="1">+WORLDCUP!BD59</f>
        <v>Catar</v>
      </c>
      <c r="F71" s="9" t="str">
        <f ca="1">+WORLDCUP!BD61</f>
        <v>Turquía</v>
      </c>
      <c r="G71" s="9" t="str">
        <f ca="1">+WORLDCUP!BD65</f>
        <v>España</v>
      </c>
      <c r="H71" s="9" t="str">
        <f ca="1">+WORLDCUP!BD63</f>
        <v>Japón</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Jordania</v>
      </c>
      <c r="E72" s="9" t="str">
        <f ca="1">+WORLDCUP!BD59</f>
        <v>Catar</v>
      </c>
      <c r="F72" s="9" t="str">
        <f ca="1">+WORLDCUP!BD61</f>
        <v>Turquía</v>
      </c>
      <c r="G72" s="9" t="str">
        <f ca="1">+WORLDCUP!BD65</f>
        <v>España</v>
      </c>
      <c r="H72" s="9" t="str">
        <f ca="1">+WORLDCUP!BD63</f>
        <v>Japón</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Catar</v>
      </c>
      <c r="F73" s="9" t="str">
        <f ca="1">+WORLDCUP!BD61</f>
        <v>Turquía</v>
      </c>
      <c r="G73" s="9" t="str">
        <f ca="1">+WORLDCUP!BD67</f>
        <v>Jordania</v>
      </c>
      <c r="H73" s="9" t="str">
        <f ca="1">+WORLDCUP!BD63</f>
        <v>Japón</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Catar</v>
      </c>
      <c r="F74" s="9" t="str">
        <f ca="1">+WORLDCUP!BD61</f>
        <v>Turquía</v>
      </c>
      <c r="G74" s="9" t="str">
        <f ca="1">+WORLDCUP!BD66</f>
        <v>Senegal</v>
      </c>
      <c r="H74" s="9" t="str">
        <f ca="1">+WORLDCUP!BD63</f>
        <v>Japón</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Catar</v>
      </c>
      <c r="F75" s="9" t="str">
        <f ca="1">+WORLDCUP!BD61</f>
        <v>Turquía</v>
      </c>
      <c r="G75" s="9" t="str">
        <f ca="1">+WORLDCUP!BD67</f>
        <v>Jordania</v>
      </c>
      <c r="H75" s="9" t="str">
        <f ca="1">+WORLDCUP!BD63</f>
        <v>Japón</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Catar</v>
      </c>
      <c r="F76" s="9" t="str">
        <f ca="1">+WORLDCUP!BD61</f>
        <v>Turquía</v>
      </c>
      <c r="G76" s="9" t="str">
        <f ca="1">+WORLDCUP!BD67</f>
        <v>Jordania</v>
      </c>
      <c r="H76" s="9" t="str">
        <f ca="1">+WORLDCUP!BD63</f>
        <v>Japón</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Catar</v>
      </c>
      <c r="F77" s="9" t="str">
        <f ca="1">+WORLDCUP!BD61</f>
        <v>Turquía</v>
      </c>
      <c r="G77" s="9" t="str">
        <f ca="1">+WORLDCUP!BD65</f>
        <v>España</v>
      </c>
      <c r="H77" s="9" t="str">
        <f ca="1">+WORLDCUP!BD63</f>
        <v>Japón</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España</v>
      </c>
      <c r="D78" s="9" t="str">
        <f ca="1">+WORLDCUP!BD64</f>
        <v>Bélgica</v>
      </c>
      <c r="E78" s="9" t="str">
        <f ca="1">+WORLDCUP!BD59</f>
        <v>Catar</v>
      </c>
      <c r="F78" s="9" t="str">
        <f ca="1">+WORLDCUP!BD61</f>
        <v>Turquía</v>
      </c>
      <c r="G78" s="9" t="str">
        <f ca="1">+WORLDCUP!BD67</f>
        <v>Jordania</v>
      </c>
      <c r="H78" s="9" t="str">
        <f ca="1">+WORLDCUP!BD63</f>
        <v>Japón</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España</v>
      </c>
      <c r="D79" s="9" t="str">
        <f ca="1">+WORLDCUP!BD64</f>
        <v>Bélgica</v>
      </c>
      <c r="E79" s="9" t="str">
        <f ca="1">+WORLDCUP!BD59</f>
        <v>Catar</v>
      </c>
      <c r="F79" s="9" t="str">
        <f ca="1">+WORLDCUP!BD61</f>
        <v>Turquía</v>
      </c>
      <c r="G79" s="9" t="str">
        <f ca="1">+WORLDCUP!BD67</f>
        <v>Jordania</v>
      </c>
      <c r="H79" s="9" t="str">
        <f ca="1">+WORLDCUP!BD63</f>
        <v>Japón</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Catar</v>
      </c>
      <c r="F80" s="9" t="str">
        <f ca="1">+WORLDCUP!BD61</f>
        <v>Turquía</v>
      </c>
      <c r="G80" s="9" t="str">
        <f ca="1">+WORLDCUP!BD65</f>
        <v>España</v>
      </c>
      <c r="H80" s="9" t="str">
        <f ca="1">+WORLDCUP!BD63</f>
        <v>Japón</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Catar</v>
      </c>
      <c r="F81" s="9" t="str">
        <f ca="1">+WORLDCUP!BD61</f>
        <v>Turquía</v>
      </c>
      <c r="G81" s="9" t="str">
        <f ca="1">+WORLDCUP!BD65</f>
        <v>España</v>
      </c>
      <c r="H81" s="9" t="str">
        <f ca="1">+WORLDCUP!BD63</f>
        <v>Japón</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España</v>
      </c>
      <c r="D82" s="9" t="str">
        <f ca="1">+WORLDCUP!BD64</f>
        <v>Bélgica</v>
      </c>
      <c r="E82" s="9" t="str">
        <f ca="1">+WORLDCUP!BD59</f>
        <v>Catar</v>
      </c>
      <c r="F82" s="9" t="str">
        <f ca="1">+WORLDCUP!BD61</f>
        <v>Turquía</v>
      </c>
      <c r="G82" s="9" t="str">
        <f ca="1">+WORLDCUP!BD67</f>
        <v>Jordania</v>
      </c>
      <c r="H82" s="9" t="str">
        <f ca="1">+WORLDCUP!BD63</f>
        <v>Japón</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España</v>
      </c>
      <c r="D83" s="9" t="str">
        <f ca="1">+WORLDCUP!BD67</f>
        <v>Jordania</v>
      </c>
      <c r="E83" s="9" t="str">
        <f ca="1">+WORLDCUP!BD59</f>
        <v>Catar</v>
      </c>
      <c r="F83" s="9" t="str">
        <f ca="1">+WORLDCUP!BD60</f>
        <v>Marruecos</v>
      </c>
      <c r="G83" s="9" t="str">
        <f ca="1">+WORLDCUP!BD66</f>
        <v>Senegal</v>
      </c>
      <c r="H83" s="9" t="str">
        <f ca="1">+WORLDCUP!BD64</f>
        <v>Bélgica</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España</v>
      </c>
      <c r="D84" s="9" t="str">
        <f ca="1">+WORLDCUP!BD67</f>
        <v>Jordania</v>
      </c>
      <c r="E84" s="9" t="str">
        <f ca="1">+WORLDCUP!BD59</f>
        <v>Catar</v>
      </c>
      <c r="F84" s="9" t="str">
        <f ca="1">+WORLDCUP!BD60</f>
        <v>Marruecos</v>
      </c>
      <c r="G84" s="9" t="str">
        <f ca="1">+WORLDCUP!BD66</f>
        <v>Senegal</v>
      </c>
      <c r="H84" s="9" t="str">
        <f ca="1">+WORLDCUP!BD63</f>
        <v>Japón</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Catar</v>
      </c>
      <c r="F85" s="9" t="str">
        <f ca="1">+WORLDCUP!BD60</f>
        <v>Marruecos</v>
      </c>
      <c r="G85" s="9" t="str">
        <f ca="1">+WORLDCUP!BD67</f>
        <v>Jordania</v>
      </c>
      <c r="H85" s="9" t="str">
        <f ca="1">+WORLDCUP!BD63</f>
        <v>Japón</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España</v>
      </c>
      <c r="D86" s="9" t="str">
        <f ca="1">+WORLDCUP!BD64</f>
        <v>Bélgica</v>
      </c>
      <c r="E86" s="9" t="str">
        <f ca="1">+WORLDCUP!BD59</f>
        <v>Catar</v>
      </c>
      <c r="F86" s="9" t="str">
        <f ca="1">+WORLDCUP!BD60</f>
        <v>Marruecos</v>
      </c>
      <c r="G86" s="9" t="str">
        <f ca="1">+WORLDCUP!BD67</f>
        <v>Jordania</v>
      </c>
      <c r="H86" s="9" t="str">
        <f ca="1">+WORLDCUP!BD63</f>
        <v>Japón</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España</v>
      </c>
      <c r="D87" s="9" t="str">
        <f ca="1">+WORLDCUP!BD64</f>
        <v>Bélgica</v>
      </c>
      <c r="E87" s="9" t="str">
        <f ca="1">+WORLDCUP!BD59</f>
        <v>Catar</v>
      </c>
      <c r="F87" s="9" t="str">
        <f ca="1">+WORLDCUP!BD60</f>
        <v>Marruecos</v>
      </c>
      <c r="G87" s="9" t="str">
        <f ca="1">+WORLDCUP!BD66</f>
        <v>Senegal</v>
      </c>
      <c r="H87" s="9" t="str">
        <f ca="1">+WORLDCUP!BD63</f>
        <v>Japón</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España</v>
      </c>
      <c r="D88" s="9" t="str">
        <f ca="1">+WORLDCUP!BD64</f>
        <v>Bélgica</v>
      </c>
      <c r="E88" s="9" t="str">
        <f ca="1">+WORLDCUP!BD59</f>
        <v>Catar</v>
      </c>
      <c r="F88" s="9" t="str">
        <f ca="1">+WORLDCUP!BD60</f>
        <v>Marruecos</v>
      </c>
      <c r="G88" s="9" t="str">
        <f ca="1">+WORLDCUP!BD67</f>
        <v>Jordania</v>
      </c>
      <c r="H88" s="9" t="str">
        <f ca="1">+WORLDCUP!BD63</f>
        <v>Japón</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España</v>
      </c>
      <c r="D89" s="9" t="str">
        <f ca="1">+WORLDCUP!BD64</f>
        <v>Bélgica</v>
      </c>
      <c r="E89" s="9" t="str">
        <f ca="1">+WORLDCUP!BD59</f>
        <v>Catar</v>
      </c>
      <c r="F89" s="9" t="str">
        <f ca="1">+WORLDCUP!BD60</f>
        <v>Marruecos</v>
      </c>
      <c r="G89" s="9" t="str">
        <f ca="1">+WORLDCUP!BD67</f>
        <v>Jordania</v>
      </c>
      <c r="H89" s="9" t="str">
        <f ca="1">+WORLDCUP!BD63</f>
        <v>Japón</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Jordania</v>
      </c>
      <c r="E90" s="9" t="str">
        <f ca="1">+WORLDCUP!BD59</f>
        <v>Catar</v>
      </c>
      <c r="F90" s="9" t="str">
        <f ca="1">+WORLDCUP!BD60</f>
        <v>Marruecos</v>
      </c>
      <c r="G90" s="9" t="str">
        <f ca="1">+WORLDCUP!BD66</f>
        <v>Senegal</v>
      </c>
      <c r="H90" s="9" t="str">
        <f ca="1">+WORLDCUP!BD65</f>
        <v>España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Jordania</v>
      </c>
      <c r="E91" s="9" t="str">
        <f ca="1">+WORLDCUP!BD59</f>
        <v>Catar</v>
      </c>
      <c r="F91" s="9" t="str">
        <f ca="1">+WORLDCUP!BD60</f>
        <v>Marruecos</v>
      </c>
      <c r="G91" s="9" t="str">
        <f ca="1">+WORLDCUP!BD66</f>
        <v>Senegal</v>
      </c>
      <c r="H91" s="9" t="str">
        <f ca="1">+WORLDCUP!BD64</f>
        <v>Bélgica</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Jordania</v>
      </c>
      <c r="E92" s="9" t="str">
        <f ca="1">+WORLDCUP!BD59</f>
        <v>Catar</v>
      </c>
      <c r="F92" s="9" t="str">
        <f ca="1">+WORLDCUP!BD60</f>
        <v>Marruecos</v>
      </c>
      <c r="G92" s="9" t="str">
        <f ca="1">+WORLDCUP!BD65</f>
        <v>España</v>
      </c>
      <c r="H92" s="9" t="str">
        <f ca="1">+WORLDCUP!BD64</f>
        <v>Bélgica</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Catar</v>
      </c>
      <c r="F93" s="9" t="str">
        <f ca="1">+WORLDCUP!BD60</f>
        <v>Marruecos</v>
      </c>
      <c r="G93" s="9" t="str">
        <f ca="1">+WORLDCUP!BD66</f>
        <v>Senegal</v>
      </c>
      <c r="H93" s="9" t="str">
        <f ca="1">+WORLDCUP!BD65</f>
        <v>España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Jordania</v>
      </c>
      <c r="E94" s="9" t="str">
        <f ca="1">+WORLDCUP!BD59</f>
        <v>Catar</v>
      </c>
      <c r="F94" s="9" t="str">
        <f ca="1">+WORLDCUP!BD60</f>
        <v>Marruecos</v>
      </c>
      <c r="G94" s="9" t="str">
        <f ca="1">+WORLDCUP!BD65</f>
        <v>España</v>
      </c>
      <c r="H94" s="9" t="str">
        <f ca="1">+WORLDCUP!BD64</f>
        <v>Bélgica</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Jordania</v>
      </c>
      <c r="E95" s="9" t="str">
        <f ca="1">+WORLDCUP!BD59</f>
        <v>Catar</v>
      </c>
      <c r="F95" s="9" t="str">
        <f ca="1">+WORLDCUP!BD60</f>
        <v>Marruecos</v>
      </c>
      <c r="G95" s="9" t="str">
        <f ca="1">+WORLDCUP!BD65</f>
        <v>España</v>
      </c>
      <c r="H95" s="9" t="str">
        <f ca="1">+WORLDCUP!BD64</f>
        <v>Bélgica</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Jordania</v>
      </c>
      <c r="E96" s="9" t="str">
        <f ca="1">+WORLDCUP!BD59</f>
        <v>Catar</v>
      </c>
      <c r="F96" s="9" t="str">
        <f ca="1">+WORLDCUP!BD60</f>
        <v>Marruecos</v>
      </c>
      <c r="G96" s="9" t="str">
        <f ca="1">+WORLDCUP!BD66</f>
        <v>Senegal</v>
      </c>
      <c r="H96" s="9" t="str">
        <f ca="1">+WORLDCUP!BD63</f>
        <v>Japón</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Jordania</v>
      </c>
      <c r="E97" s="9" t="str">
        <f ca="1">+WORLDCUP!BD59</f>
        <v>Catar</v>
      </c>
      <c r="F97" s="9" t="str">
        <f ca="1">+WORLDCUP!BD60</f>
        <v>Marruecos</v>
      </c>
      <c r="G97" s="9" t="str">
        <f ca="1">+WORLDCUP!BD65</f>
        <v>España</v>
      </c>
      <c r="H97" s="9" t="str">
        <f ca="1">+WORLDCUP!BD63</f>
        <v>Japón</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Catar</v>
      </c>
      <c r="F98" s="9" t="str">
        <f ca="1">+WORLDCUP!BD60</f>
        <v>Marruecos</v>
      </c>
      <c r="G98" s="9" t="str">
        <f ca="1">+WORLDCUP!BD65</f>
        <v>España</v>
      </c>
      <c r="H98" s="9" t="str">
        <f ca="1">+WORLDCUP!BD63</f>
        <v>Japón</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Jordania</v>
      </c>
      <c r="E99" s="9" t="str">
        <f ca="1">+WORLDCUP!BD59</f>
        <v>Catar</v>
      </c>
      <c r="F99" s="9" t="str">
        <f ca="1">+WORLDCUP!BD60</f>
        <v>Marruecos</v>
      </c>
      <c r="G99" s="9" t="str">
        <f ca="1">+WORLDCUP!BD65</f>
        <v>España</v>
      </c>
      <c r="H99" s="9" t="str">
        <f ca="1">+WORLDCUP!BD63</f>
        <v>Japón</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Jordania</v>
      </c>
      <c r="E100" s="9" t="str">
        <f ca="1">+WORLDCUP!BD59</f>
        <v>Catar</v>
      </c>
      <c r="F100" s="9" t="str">
        <f ca="1">+WORLDCUP!BD60</f>
        <v>Marruecos</v>
      </c>
      <c r="G100" s="9" t="str">
        <f ca="1">+WORLDCUP!BD65</f>
        <v>España</v>
      </c>
      <c r="H100" s="9" t="str">
        <f ca="1">+WORLDCUP!BD63</f>
        <v>Japón</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Catar</v>
      </c>
      <c r="F101" s="9" t="str">
        <f ca="1">+WORLDCUP!BD60</f>
        <v>Marruecos</v>
      </c>
      <c r="G101" s="9" t="str">
        <f ca="1">+WORLDCUP!BD67</f>
        <v>Jordania</v>
      </c>
      <c r="H101" s="9" t="str">
        <f ca="1">+WORLDCUP!BD63</f>
        <v>Japón</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Catar</v>
      </c>
      <c r="F102" s="9" t="str">
        <f ca="1">+WORLDCUP!BD60</f>
        <v>Marruecos</v>
      </c>
      <c r="G102" s="9" t="str">
        <f ca="1">+WORLDCUP!BD66</f>
        <v>Senegal</v>
      </c>
      <c r="H102" s="9" t="str">
        <f ca="1">+WORLDCUP!BD63</f>
        <v>Japón</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Catar</v>
      </c>
      <c r="F103" s="9" t="str">
        <f ca="1">+WORLDCUP!BD60</f>
        <v>Marruecos</v>
      </c>
      <c r="G103" s="9" t="str">
        <f ca="1">+WORLDCUP!BD67</f>
        <v>Jordania</v>
      </c>
      <c r="H103" s="9" t="str">
        <f ca="1">+WORLDCUP!BD63</f>
        <v>Japón</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Catar</v>
      </c>
      <c r="F104" s="9" t="str">
        <f ca="1">+WORLDCUP!BD60</f>
        <v>Marruecos</v>
      </c>
      <c r="G104" s="9" t="str">
        <f ca="1">+WORLDCUP!BD67</f>
        <v>Jordania</v>
      </c>
      <c r="H104" s="9" t="str">
        <f ca="1">+WORLDCUP!BD63</f>
        <v>Japón</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Catar</v>
      </c>
      <c r="F105" s="9" t="str">
        <f ca="1">+WORLDCUP!BD60</f>
        <v>Marruecos</v>
      </c>
      <c r="G105" s="9" t="str">
        <f ca="1">+WORLDCUP!BD65</f>
        <v>España</v>
      </c>
      <c r="H105" s="9" t="str">
        <f ca="1">+WORLDCUP!BD63</f>
        <v>Japón</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España</v>
      </c>
      <c r="D106" s="9" t="str">
        <f ca="1">+WORLDCUP!BD64</f>
        <v>Bélgica</v>
      </c>
      <c r="E106" s="9" t="str">
        <f ca="1">+WORLDCUP!BD59</f>
        <v>Catar</v>
      </c>
      <c r="F106" s="9" t="str">
        <f ca="1">+WORLDCUP!BD60</f>
        <v>Marruecos</v>
      </c>
      <c r="G106" s="9" t="str">
        <f ca="1">+WORLDCUP!BD67</f>
        <v>Jordania</v>
      </c>
      <c r="H106" s="9" t="str">
        <f ca="1">+WORLDCUP!BD63</f>
        <v>Japón</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España</v>
      </c>
      <c r="D107" s="9" t="str">
        <f ca="1">+WORLDCUP!BD64</f>
        <v>Bélgica</v>
      </c>
      <c r="E107" s="9" t="str">
        <f ca="1">+WORLDCUP!BD59</f>
        <v>Catar</v>
      </c>
      <c r="F107" s="9" t="str">
        <f ca="1">+WORLDCUP!BD60</f>
        <v>Marruecos</v>
      </c>
      <c r="G107" s="9" t="str">
        <f ca="1">+WORLDCUP!BD67</f>
        <v>Jordania</v>
      </c>
      <c r="H107" s="9" t="str">
        <f ca="1">+WORLDCUP!BD63</f>
        <v>Japón</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Catar</v>
      </c>
      <c r="F108" s="9" t="str">
        <f ca="1">+WORLDCUP!BD60</f>
        <v>Marruecos</v>
      </c>
      <c r="G108" s="9" t="str">
        <f ca="1">+WORLDCUP!BD65</f>
        <v>España</v>
      </c>
      <c r="H108" s="9" t="str">
        <f ca="1">+WORLDCUP!BD63</f>
        <v>Japón</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Catar</v>
      </c>
      <c r="F109" s="9" t="str">
        <f ca="1">+WORLDCUP!BD60</f>
        <v>Marruecos</v>
      </c>
      <c r="G109" s="9" t="str">
        <f ca="1">+WORLDCUP!BD65</f>
        <v>España</v>
      </c>
      <c r="H109" s="9" t="str">
        <f ca="1">+WORLDCUP!BD63</f>
        <v>Japón</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España</v>
      </c>
      <c r="D110" s="9" t="str">
        <f ca="1">+WORLDCUP!BD64</f>
        <v>Bélgica</v>
      </c>
      <c r="E110" s="9" t="str">
        <f ca="1">+WORLDCUP!BD59</f>
        <v>Catar</v>
      </c>
      <c r="F110" s="9" t="str">
        <f ca="1">+WORLDCUP!BD60</f>
        <v>Marruecos</v>
      </c>
      <c r="G110" s="9" t="str">
        <f ca="1">+WORLDCUP!BD67</f>
        <v>Jordania</v>
      </c>
      <c r="H110" s="9" t="str">
        <f ca="1">+WORLDCUP!BD63</f>
        <v>Japón</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España</v>
      </c>
      <c r="D111" s="9" t="str">
        <f ca="1">+WORLDCUP!BD67</f>
        <v>Jordania</v>
      </c>
      <c r="E111" s="9" t="str">
        <f ca="1">+WORLDCUP!BD59</f>
        <v>Catar</v>
      </c>
      <c r="F111" s="9" t="str">
        <f ca="1">+WORLDCUP!BD60</f>
        <v>Marruecos</v>
      </c>
      <c r="G111" s="9" t="str">
        <f ca="1">+WORLDCUP!BD66</f>
        <v>Senegal</v>
      </c>
      <c r="H111" s="9" t="str">
        <f ca="1">+WORLDCUP!BD61</f>
        <v>Turquía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Catar</v>
      </c>
      <c r="F112" s="9" t="str">
        <f ca="1">+WORLDCUP!BD60</f>
        <v>Marruecos</v>
      </c>
      <c r="G112" s="9" t="str">
        <f ca="1">+WORLDCUP!BD67</f>
        <v>Jordania</v>
      </c>
      <c r="H112" s="9" t="str">
        <f ca="1">+WORLDCUP!BD61</f>
        <v>Turquía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España</v>
      </c>
      <c r="D113" s="9" t="str">
        <f ca="1">+WORLDCUP!BD64</f>
        <v>Bélgica</v>
      </c>
      <c r="E113" s="9" t="str">
        <f ca="1">+WORLDCUP!BD59</f>
        <v>Catar</v>
      </c>
      <c r="F113" s="9" t="str">
        <f ca="1">+WORLDCUP!BD60</f>
        <v>Marruecos</v>
      </c>
      <c r="G113" s="9" t="str">
        <f ca="1">+WORLDCUP!BD67</f>
        <v>Jordania</v>
      </c>
      <c r="H113" s="9" t="str">
        <f ca="1">+WORLDCUP!BD61</f>
        <v>Turquía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España</v>
      </c>
      <c r="D114" s="9" t="str">
        <f ca="1">+WORLDCUP!BD64</f>
        <v>Bélgica</v>
      </c>
      <c r="E114" s="9" t="str">
        <f ca="1">+WORLDCUP!BD59</f>
        <v>Catar</v>
      </c>
      <c r="F114" s="9" t="str">
        <f ca="1">+WORLDCUP!BD60</f>
        <v>Marruecos</v>
      </c>
      <c r="G114" s="9" t="str">
        <f ca="1">+WORLDCUP!BD66</f>
        <v>Senegal</v>
      </c>
      <c r="H114" s="9" t="str">
        <f ca="1">+WORLDCUP!BD61</f>
        <v>Turquía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España</v>
      </c>
      <c r="D115" s="9" t="str">
        <f ca="1">+WORLDCUP!BD64</f>
        <v>Bélgica</v>
      </c>
      <c r="E115" s="9" t="str">
        <f ca="1">+WORLDCUP!BD59</f>
        <v>Catar</v>
      </c>
      <c r="F115" s="9" t="str">
        <f ca="1">+WORLDCUP!BD60</f>
        <v>Marruecos</v>
      </c>
      <c r="G115" s="9" t="str">
        <f ca="1">+WORLDCUP!BD67</f>
        <v>Jordania</v>
      </c>
      <c r="H115" s="9" t="str">
        <f ca="1">+WORLDCUP!BD61</f>
        <v>Turquía</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España</v>
      </c>
      <c r="D116" s="9" t="str">
        <f ca="1">+WORLDCUP!BD64</f>
        <v>Bélgica</v>
      </c>
      <c r="E116" s="9" t="str">
        <f ca="1">+WORLDCUP!BD59</f>
        <v>Catar</v>
      </c>
      <c r="F116" s="9" t="str">
        <f ca="1">+WORLDCUP!BD60</f>
        <v>Marruecos</v>
      </c>
      <c r="G116" s="9" t="str">
        <f ca="1">+WORLDCUP!BD67</f>
        <v>Jordania</v>
      </c>
      <c r="H116" s="9" t="str">
        <f ca="1">+WORLDCUP!BD61</f>
        <v>Turquía</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Jordania</v>
      </c>
      <c r="E117" s="9" t="str">
        <f ca="1">+WORLDCUP!BD59</f>
        <v>Catar</v>
      </c>
      <c r="F117" s="9" t="str">
        <f ca="1">+WORLDCUP!BD61</f>
        <v>Turquía</v>
      </c>
      <c r="G117" s="9" t="str">
        <f ca="1">+WORLDCUP!BD66</f>
        <v>Senegal</v>
      </c>
      <c r="H117" s="9" t="str">
        <f ca="1">+WORLDCUP!BD63</f>
        <v>Japón</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Jordania</v>
      </c>
      <c r="E118" s="9" t="str">
        <f ca="1">+WORLDCUP!BD59</f>
        <v>Catar</v>
      </c>
      <c r="F118" s="9" t="str">
        <f ca="1">+WORLDCUP!BD61</f>
        <v>Turquía</v>
      </c>
      <c r="G118" s="9" t="str">
        <f ca="1">+WORLDCUP!BD65</f>
        <v>España</v>
      </c>
      <c r="H118" s="9" t="str">
        <f ca="1">+WORLDCUP!BD63</f>
        <v>Japón</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Senegal</v>
      </c>
      <c r="E119" s="9" t="str">
        <f ca="1">+WORLDCUP!BD59</f>
        <v>Catar</v>
      </c>
      <c r="F119" s="9" t="str">
        <f ca="1">+WORLDCUP!BD61</f>
        <v>Turquía</v>
      </c>
      <c r="G119" s="9" t="str">
        <f ca="1">+WORLDCUP!BD65</f>
        <v>España</v>
      </c>
      <c r="H119" s="9" t="str">
        <f ca="1">+WORLDCUP!BD63</f>
        <v>Japón</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Jordania</v>
      </c>
      <c r="E120" s="9" t="str">
        <f ca="1">+WORLDCUP!BD59</f>
        <v>Catar</v>
      </c>
      <c r="F120" s="9" t="str">
        <f ca="1">+WORLDCUP!BD61</f>
        <v>Turquía</v>
      </c>
      <c r="G120" s="9" t="str">
        <f ca="1">+WORLDCUP!BD65</f>
        <v>España</v>
      </c>
      <c r="H120" s="9" t="str">
        <f ca="1">+WORLDCUP!BD63</f>
        <v>Japón</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Jordania</v>
      </c>
      <c r="E121" s="9" t="str">
        <f ca="1">+WORLDCUP!BD59</f>
        <v>Catar</v>
      </c>
      <c r="F121" s="9" t="str">
        <f ca="1">+WORLDCUP!BD61</f>
        <v>Turquía</v>
      </c>
      <c r="G121" s="9" t="str">
        <f ca="1">+WORLDCUP!BD65</f>
        <v>España</v>
      </c>
      <c r="H121" s="9" t="str">
        <f ca="1">+WORLDCUP!BD63</f>
        <v>Japón</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Bélgica</v>
      </c>
      <c r="E122" s="9" t="str">
        <f ca="1">+WORLDCUP!BD59</f>
        <v>Catar</v>
      </c>
      <c r="F122" s="9" t="str">
        <f ca="1">+WORLDCUP!BD61</f>
        <v>Turquía</v>
      </c>
      <c r="G122" s="9" t="str">
        <f ca="1">+WORLDCUP!BD67</f>
        <v>Jordania</v>
      </c>
      <c r="H122" s="9" t="str">
        <f ca="1">+WORLDCUP!BD63</f>
        <v>Japón</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Bélgica</v>
      </c>
      <c r="E123" s="9" t="str">
        <f ca="1">+WORLDCUP!BD59</f>
        <v>Catar</v>
      </c>
      <c r="F123" s="9" t="str">
        <f ca="1">+WORLDCUP!BD61</f>
        <v>Turquía</v>
      </c>
      <c r="G123" s="9" t="str">
        <f ca="1">+WORLDCUP!BD66</f>
        <v>Senegal</v>
      </c>
      <c r="H123" s="9" t="str">
        <f ca="1">+WORLDCUP!BD63</f>
        <v>Japón</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Bélgica</v>
      </c>
      <c r="E124" s="9" t="str">
        <f ca="1">+WORLDCUP!BD59</f>
        <v>Catar</v>
      </c>
      <c r="F124" s="9" t="str">
        <f ca="1">+WORLDCUP!BD61</f>
        <v>Turquía</v>
      </c>
      <c r="G124" s="9" t="str">
        <f ca="1">+WORLDCUP!BD67</f>
        <v>Jordania</v>
      </c>
      <c r="H124" s="9" t="str">
        <f ca="1">+WORLDCUP!BD63</f>
        <v>Japón</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Bélgica</v>
      </c>
      <c r="E125" s="9" t="str">
        <f ca="1">+WORLDCUP!BD59</f>
        <v>Catar</v>
      </c>
      <c r="F125" s="9" t="str">
        <f ca="1">+WORLDCUP!BD61</f>
        <v>Turquía</v>
      </c>
      <c r="G125" s="9" t="str">
        <f ca="1">+WORLDCUP!BD67</f>
        <v>Jordania</v>
      </c>
      <c r="H125" s="9" t="str">
        <f ca="1">+WORLDCUP!BD63</f>
        <v>Japón</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Bélgica</v>
      </c>
      <c r="E126" s="9" t="str">
        <f ca="1">+WORLDCUP!BD59</f>
        <v>Catar</v>
      </c>
      <c r="F126" s="9" t="str">
        <f ca="1">+WORLDCUP!BD61</f>
        <v>Turquía</v>
      </c>
      <c r="G126" s="9" t="str">
        <f ca="1">+WORLDCUP!BD65</f>
        <v>España</v>
      </c>
      <c r="H126" s="9" t="str">
        <f ca="1">+WORLDCUP!BD63</f>
        <v>Japón</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Bélgica</v>
      </c>
      <c r="E127" s="9" t="str">
        <f ca="1">+WORLDCUP!BD59</f>
        <v>Catar</v>
      </c>
      <c r="F127" s="9" t="str">
        <f ca="1">+WORLDCUP!BD61</f>
        <v>Turquía</v>
      </c>
      <c r="G127" s="9" t="str">
        <f ca="1">+WORLDCUP!BD65</f>
        <v>España</v>
      </c>
      <c r="H127" s="9" t="str">
        <f ca="1">+WORLDCUP!BD63</f>
        <v>Japón</v>
      </c>
      <c r="I127" s="9" t="str">
        <f ca="1">+WORLDCUP!BD69</f>
        <v>Ghana</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España</v>
      </c>
      <c r="D128" s="9" t="str">
        <f ca="1">+WORLDCUP!BD64</f>
        <v>Bélgica</v>
      </c>
      <c r="E128" s="9" t="str">
        <f ca="1">+WORLDCUP!BD59</f>
        <v>Catar</v>
      </c>
      <c r="F128" s="9" t="str">
        <f ca="1">+WORLDCUP!BD60</f>
        <v>Marruecos</v>
      </c>
      <c r="G128" s="9" t="str">
        <f ca="1">+WORLDCUP!BD67</f>
        <v>Jordania</v>
      </c>
      <c r="H128" s="9" t="str">
        <f ca="1">+WORLDCUP!BD63</f>
        <v>Japón</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Bélgica</v>
      </c>
      <c r="E129" s="9" t="str">
        <f ca="1">+WORLDCUP!BD59</f>
        <v>Catar</v>
      </c>
      <c r="F129" s="9" t="str">
        <f ca="1">+WORLDCUP!BD61</f>
        <v>Turquía</v>
      </c>
      <c r="G129" s="9" t="str">
        <f ca="1">+WORLDCUP!BD65</f>
        <v>España</v>
      </c>
      <c r="H129" s="9" t="str">
        <f ca="1">+WORLDCUP!BD63</f>
        <v>Japón</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Bélgica</v>
      </c>
      <c r="E130" s="9" t="str">
        <f ca="1">+WORLDCUP!BD59</f>
        <v>Catar</v>
      </c>
      <c r="F130" s="9" t="str">
        <f ca="1">+WORLDCUP!BD61</f>
        <v>Turquía</v>
      </c>
      <c r="G130" s="9" t="str">
        <f ca="1">+WORLDCUP!BD65</f>
        <v>España</v>
      </c>
      <c r="H130" s="9" t="str">
        <f ca="1">+WORLDCUP!BD63</f>
        <v>Japón</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España</v>
      </c>
      <c r="D131" s="9" t="str">
        <f ca="1">+WORLDCUP!BD64</f>
        <v>Bélgica</v>
      </c>
      <c r="E131" s="9" t="str">
        <f ca="1">+WORLDCUP!BD59</f>
        <v>Catar</v>
      </c>
      <c r="F131" s="9" t="str">
        <f ca="1">+WORLDCUP!BD60</f>
        <v>Marruecos</v>
      </c>
      <c r="G131" s="9" t="str">
        <f ca="1">+WORLDCUP!BD67</f>
        <v>Jordania</v>
      </c>
      <c r="H131" s="9" t="str">
        <f ca="1">+WORLDCUP!BD63</f>
        <v>Japón</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Jordania</v>
      </c>
      <c r="E132" s="9" t="str">
        <f ca="1">+WORLDCUP!BD59</f>
        <v>Catar</v>
      </c>
      <c r="F132" s="9" t="str">
        <f ca="1">+WORLDCUP!BD60</f>
        <v>Marruecos</v>
      </c>
      <c r="G132" s="9" t="str">
        <f ca="1">+WORLDCUP!BD66</f>
        <v>Senegal</v>
      </c>
      <c r="H132" s="9" t="str">
        <f ca="1">+WORLDCUP!BD61</f>
        <v>Turquía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Jordania</v>
      </c>
      <c r="E133" s="9" t="str">
        <f ca="1">+WORLDCUP!BD59</f>
        <v>Catar</v>
      </c>
      <c r="F133" s="9" t="str">
        <f ca="1">+WORLDCUP!BD60</f>
        <v>Marruecos</v>
      </c>
      <c r="G133" s="9" t="str">
        <f ca="1">+WORLDCUP!BD65</f>
        <v>España</v>
      </c>
      <c r="H133" s="9" t="str">
        <f ca="1">+WORLDCUP!BD61</f>
        <v>Turquía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Catar</v>
      </c>
      <c r="F134" s="9" t="str">
        <f ca="1">+WORLDCUP!BD60</f>
        <v>Marruecos</v>
      </c>
      <c r="G134" s="9" t="str">
        <f ca="1">+WORLDCUP!BD65</f>
        <v>España</v>
      </c>
      <c r="H134" s="9" t="str">
        <f ca="1">+WORLDCUP!BD61</f>
        <v>Turquía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Jordania</v>
      </c>
      <c r="E135" s="9" t="str">
        <f ca="1">+WORLDCUP!BD59</f>
        <v>Catar</v>
      </c>
      <c r="F135" s="9" t="str">
        <f ca="1">+WORLDCUP!BD60</f>
        <v>Marruecos</v>
      </c>
      <c r="G135" s="9" t="str">
        <f ca="1">+WORLDCUP!BD65</f>
        <v>España</v>
      </c>
      <c r="H135" s="9" t="str">
        <f ca="1">+WORLDCUP!BD61</f>
        <v>Turquía</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Jordania</v>
      </c>
      <c r="E136" s="9" t="str">
        <f ca="1">+WORLDCUP!BD59</f>
        <v>Catar</v>
      </c>
      <c r="F136" s="9" t="str">
        <f ca="1">+WORLDCUP!BD60</f>
        <v>Marruecos</v>
      </c>
      <c r="G136" s="9" t="str">
        <f ca="1">+WORLDCUP!BD65</f>
        <v>España</v>
      </c>
      <c r="H136" s="9" t="str">
        <f ca="1">+WORLDCUP!BD61</f>
        <v>Turquía</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Catar</v>
      </c>
      <c r="F137" s="9" t="str">
        <f ca="1">+WORLDCUP!BD60</f>
        <v>Marruecos</v>
      </c>
      <c r="G137" s="9" t="str">
        <f ca="1">+WORLDCUP!BD67</f>
        <v>Jordania</v>
      </c>
      <c r="H137" s="9" t="str">
        <f ca="1">+WORLDCUP!BD61</f>
        <v>Turquía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Catar</v>
      </c>
      <c r="F138" s="9" t="str">
        <f ca="1">+WORLDCUP!BD60</f>
        <v>Marruecos</v>
      </c>
      <c r="G138" s="9" t="str">
        <f ca="1">+WORLDCUP!BD66</f>
        <v>Senegal</v>
      </c>
      <c r="H138" s="9" t="str">
        <f ca="1">+WORLDCUP!BD61</f>
        <v>Turquía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Catar</v>
      </c>
      <c r="F139" s="9" t="str">
        <f ca="1">+WORLDCUP!BD60</f>
        <v>Marruecos</v>
      </c>
      <c r="G139" s="9" t="str">
        <f ca="1">+WORLDCUP!BD67</f>
        <v>Jordania</v>
      </c>
      <c r="H139" s="9" t="str">
        <f ca="1">+WORLDCUP!BD61</f>
        <v>Turquía</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Catar</v>
      </c>
      <c r="F140" s="9" t="str">
        <f ca="1">+WORLDCUP!BD60</f>
        <v>Marruecos</v>
      </c>
      <c r="G140" s="9" t="str">
        <f ca="1">+WORLDCUP!BD67</f>
        <v>Jordania</v>
      </c>
      <c r="H140" s="9" t="str">
        <f ca="1">+WORLDCUP!BD61</f>
        <v>Turquía</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Catar</v>
      </c>
      <c r="F141" s="9" t="str">
        <f ca="1">+WORLDCUP!BD60</f>
        <v>Marruecos</v>
      </c>
      <c r="G141" s="9" t="str">
        <f ca="1">+WORLDCUP!BD65</f>
        <v>España</v>
      </c>
      <c r="H141" s="9" t="str">
        <f ca="1">+WORLDCUP!BD61</f>
        <v>Turquía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España</v>
      </c>
      <c r="D142" s="9" t="str">
        <f ca="1">+WORLDCUP!BD64</f>
        <v>Bélgica</v>
      </c>
      <c r="E142" s="9" t="str">
        <f ca="1">+WORLDCUP!BD59</f>
        <v>Catar</v>
      </c>
      <c r="F142" s="9" t="str">
        <f ca="1">+WORLDCUP!BD60</f>
        <v>Marruecos</v>
      </c>
      <c r="G142" s="9" t="str">
        <f ca="1">+WORLDCUP!BD67</f>
        <v>Jordania</v>
      </c>
      <c r="H142" s="9" t="str">
        <f ca="1">+WORLDCUP!BD61</f>
        <v>Turquía</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España</v>
      </c>
      <c r="D143" s="9" t="str">
        <f ca="1">+WORLDCUP!BD64</f>
        <v>Bélgica</v>
      </c>
      <c r="E143" s="9" t="str">
        <f ca="1">+WORLDCUP!BD59</f>
        <v>Catar</v>
      </c>
      <c r="F143" s="9" t="str">
        <f ca="1">+WORLDCUP!BD60</f>
        <v>Marruecos</v>
      </c>
      <c r="G143" s="9" t="str">
        <f ca="1">+WORLDCUP!BD67</f>
        <v>Jordania</v>
      </c>
      <c r="H143" s="9" t="str">
        <f ca="1">+WORLDCUP!BD61</f>
        <v>Turquía</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Catar</v>
      </c>
      <c r="F144" s="9" t="str">
        <f ca="1">+WORLDCUP!BD60</f>
        <v>Marruecos</v>
      </c>
      <c r="G144" s="9" t="str">
        <f ca="1">+WORLDCUP!BD65</f>
        <v>España</v>
      </c>
      <c r="H144" s="9" t="str">
        <f ca="1">+WORLDCUP!BD61</f>
        <v>Turquía</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Catar</v>
      </c>
      <c r="F145" s="9" t="str">
        <f ca="1">+WORLDCUP!BD60</f>
        <v>Marruecos</v>
      </c>
      <c r="G145" s="9" t="str">
        <f ca="1">+WORLDCUP!BD65</f>
        <v>España</v>
      </c>
      <c r="H145" s="9" t="str">
        <f ca="1">+WORLDCUP!BD61</f>
        <v>Turquía</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España</v>
      </c>
      <c r="D146" s="9" t="str">
        <f ca="1">+WORLDCUP!BD64</f>
        <v>Bélgica</v>
      </c>
      <c r="E146" s="9" t="str">
        <f ca="1">+WORLDCUP!BD59</f>
        <v>Catar</v>
      </c>
      <c r="F146" s="9" t="str">
        <f ca="1">+WORLDCUP!BD60</f>
        <v>Marruecos</v>
      </c>
      <c r="G146" s="9" t="str">
        <f ca="1">+WORLDCUP!BD67</f>
        <v>Jordania</v>
      </c>
      <c r="H146" s="9" t="str">
        <f ca="1">+WORLDCUP!BD61</f>
        <v>Turquía</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Jordania</v>
      </c>
      <c r="E147" s="9" t="str">
        <f ca="1">+WORLDCUP!BD59</f>
        <v>Catar</v>
      </c>
      <c r="F147" s="9" t="str">
        <f ca="1">+WORLDCUP!BD61</f>
        <v>Turquía</v>
      </c>
      <c r="G147" s="9" t="str">
        <f ca="1">+WORLDCUP!BD62</f>
        <v>Ecuador</v>
      </c>
      <c r="H147" s="9" t="str">
        <f ca="1">+WORLDCUP!BD63</f>
        <v>Japón</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Catar</v>
      </c>
      <c r="F148" s="9" t="str">
        <f ca="1">+WORLDCUP!BD61</f>
        <v>Turquía</v>
      </c>
      <c r="G148" s="9" t="str">
        <f ca="1">+WORLDCUP!BD66</f>
        <v>Senegal</v>
      </c>
      <c r="H148" s="9" t="str">
        <f ca="1">+WORLDCUP!BD63</f>
        <v>Japón</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Jordania</v>
      </c>
      <c r="E149" s="9" t="str">
        <f ca="1">+WORLDCUP!BD59</f>
        <v>Catar</v>
      </c>
      <c r="F149" s="9" t="str">
        <f ca="1">+WORLDCUP!BD61</f>
        <v>Turquía</v>
      </c>
      <c r="G149" s="9" t="str">
        <f ca="1">+WORLDCUP!BD62</f>
        <v>Ecuador</v>
      </c>
      <c r="H149" s="9" t="str">
        <f ca="1">+WORLDCUP!BD63</f>
        <v>Japón</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Jordania</v>
      </c>
      <c r="E150" s="9" t="str">
        <f ca="1">+WORLDCUP!BD59</f>
        <v>Catar</v>
      </c>
      <c r="F150" s="9" t="str">
        <f ca="1">+WORLDCUP!BD61</f>
        <v>Turquía</v>
      </c>
      <c r="G150" s="9" t="str">
        <f ca="1">+WORLDCUP!BD62</f>
        <v>Ecuador</v>
      </c>
      <c r="H150" s="9" t="str">
        <f ca="1">+WORLDCUP!BD63</f>
        <v>Japón</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Catar</v>
      </c>
      <c r="F151" s="9" t="str">
        <f ca="1">+WORLDCUP!BD61</f>
        <v>Turquía</v>
      </c>
      <c r="G151" s="9" t="str">
        <f ca="1">+WORLDCUP!BD65</f>
        <v>España</v>
      </c>
      <c r="H151" s="9" t="str">
        <f ca="1">+WORLDCUP!BD63</f>
        <v>Japón</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Jordania</v>
      </c>
      <c r="E152" s="9" t="str">
        <f ca="1">+WORLDCUP!BD59</f>
        <v>Catar</v>
      </c>
      <c r="F152" s="9" t="str">
        <f ca="1">+WORLDCUP!BD61</f>
        <v>Turquía</v>
      </c>
      <c r="G152" s="9" t="str">
        <f ca="1">+WORLDCUP!BD65</f>
        <v>España</v>
      </c>
      <c r="H152" s="9" t="str">
        <f ca="1">+WORLDCUP!BD63</f>
        <v>Japón</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Jordania</v>
      </c>
      <c r="E153" s="9" t="str">
        <f ca="1">+WORLDCUP!BD59</f>
        <v>Catar</v>
      </c>
      <c r="F153" s="9" t="str">
        <f ca="1">+WORLDCUP!BD61</f>
        <v>Turquía</v>
      </c>
      <c r="G153" s="9" t="str">
        <f ca="1">+WORLDCUP!BD65</f>
        <v>España</v>
      </c>
      <c r="H153" s="9" t="str">
        <f ca="1">+WORLDCUP!BD63</f>
        <v>Japón</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Catar</v>
      </c>
      <c r="F154" s="9" t="str">
        <f ca="1">+WORLDCUP!BD61</f>
        <v>Turquía</v>
      </c>
      <c r="G154" s="9" t="str">
        <f ca="1">+WORLDCUP!BD65</f>
        <v>España</v>
      </c>
      <c r="H154" s="9" t="str">
        <f ca="1">+WORLDCUP!BD63</f>
        <v>Japón</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Catar</v>
      </c>
      <c r="F155" s="9" t="str">
        <f ca="1">+WORLDCUP!BD61</f>
        <v>Turquía</v>
      </c>
      <c r="G155" s="9" t="str">
        <f ca="1">+WORLDCUP!BD65</f>
        <v>España</v>
      </c>
      <c r="H155" s="9" t="str">
        <f ca="1">+WORLDCUP!BD63</f>
        <v>Japón</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Jordania</v>
      </c>
      <c r="E156" s="9" t="str">
        <f ca="1">+WORLDCUP!BD59</f>
        <v>Catar</v>
      </c>
      <c r="F156" s="9" t="str">
        <f ca="1">+WORLDCUP!BD61</f>
        <v>Turquía</v>
      </c>
      <c r="G156" s="9" t="str">
        <f ca="1">+WORLDCUP!BD65</f>
        <v>España</v>
      </c>
      <c r="H156" s="9" t="str">
        <f ca="1">+WORLDCUP!BD63</f>
        <v>Japón</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Bélgica</v>
      </c>
      <c r="E157" s="9" t="str">
        <f ca="1">+WORLDCUP!BD59</f>
        <v>Catar</v>
      </c>
      <c r="F157" s="9" t="str">
        <f ca="1">+WORLDCUP!BD61</f>
        <v>Turquía</v>
      </c>
      <c r="G157" s="9" t="str">
        <f ca="1">+WORLDCUP!BD62</f>
        <v>Ecuador</v>
      </c>
      <c r="H157" s="9" t="str">
        <f ca="1">+WORLDCUP!BD63</f>
        <v>Japón</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Bélgica</v>
      </c>
      <c r="E158" s="9" t="str">
        <f ca="1">+WORLDCUP!BD59</f>
        <v>Catar</v>
      </c>
      <c r="F158" s="9" t="str">
        <f ca="1">+WORLDCUP!BD61</f>
        <v>Turquía</v>
      </c>
      <c r="G158" s="9" t="str">
        <f ca="1">+WORLDCUP!BD67</f>
        <v>Jordania</v>
      </c>
      <c r="H158" s="9" t="str">
        <f ca="1">+WORLDCUP!BD63</f>
        <v>Japón</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Bélgica</v>
      </c>
      <c r="E159" s="9" t="str">
        <f ca="1">+WORLDCUP!BD59</f>
        <v>Catar</v>
      </c>
      <c r="F159" s="9" t="str">
        <f ca="1">+WORLDCUP!BD61</f>
        <v>Turquía</v>
      </c>
      <c r="G159" s="9" t="str">
        <f ca="1">+WORLDCUP!BD67</f>
        <v>Jordania</v>
      </c>
      <c r="H159" s="9" t="str">
        <f ca="1">+WORLDCUP!BD63</f>
        <v>Japón</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Bélgica</v>
      </c>
      <c r="E160" s="9" t="str">
        <f ca="1">+WORLDCUP!BD59</f>
        <v>Catar</v>
      </c>
      <c r="F160" s="9" t="str">
        <f ca="1">+WORLDCUP!BD61</f>
        <v>Turquía</v>
      </c>
      <c r="G160" s="9" t="str">
        <f ca="1">+WORLDCUP!BD62</f>
        <v>Ecuador</v>
      </c>
      <c r="H160" s="9" t="str">
        <f ca="1">+WORLDCUP!BD63</f>
        <v>Japón</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Bélgica</v>
      </c>
      <c r="E161" s="9" t="str">
        <f ca="1">+WORLDCUP!BD59</f>
        <v>Catar</v>
      </c>
      <c r="F161" s="9" t="str">
        <f ca="1">+WORLDCUP!BD61</f>
        <v>Turquía</v>
      </c>
      <c r="G161" s="9" t="str">
        <f ca="1">+WORLDCUP!BD62</f>
        <v>Ecuador</v>
      </c>
      <c r="H161" s="9" t="str">
        <f ca="1">+WORLDCUP!BD63</f>
        <v>Japón</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Bélgica</v>
      </c>
      <c r="E162" s="9" t="str">
        <f ca="1">+WORLDCUP!BD59</f>
        <v>Catar</v>
      </c>
      <c r="F162" s="9" t="str">
        <f ca="1">+WORLDCUP!BD61</f>
        <v>Turquía</v>
      </c>
      <c r="G162" s="9" t="str">
        <f ca="1">+WORLDCUP!BD67</f>
        <v>Jordania</v>
      </c>
      <c r="H162" s="9" t="str">
        <f ca="1">+WORLDCUP!BD63</f>
        <v>Japón</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Bélgica</v>
      </c>
      <c r="E163" s="9" t="str">
        <f ca="1">+WORLDCUP!BD59</f>
        <v>Catar</v>
      </c>
      <c r="F163" s="9" t="str">
        <f ca="1">+WORLDCUP!BD61</f>
        <v>Turquía</v>
      </c>
      <c r="G163" s="9" t="str">
        <f ca="1">+WORLDCUP!BD65</f>
        <v>España</v>
      </c>
      <c r="H163" s="9" t="str">
        <f ca="1">+WORLDCUP!BD63</f>
        <v>Japón</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Bélgica</v>
      </c>
      <c r="E164" s="9" t="str">
        <f ca="1">+WORLDCUP!BD59</f>
        <v>Catar</v>
      </c>
      <c r="F164" s="9" t="str">
        <f ca="1">+WORLDCUP!BD61</f>
        <v>Turquía</v>
      </c>
      <c r="G164" s="9" t="str">
        <f ca="1">+WORLDCUP!BD65</f>
        <v>España</v>
      </c>
      <c r="H164" s="9" t="str">
        <f ca="1">+WORLDCUP!BD63</f>
        <v>Japón</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España</v>
      </c>
      <c r="D165" s="9" t="str">
        <f ca="1">+WORLDCUP!BD64</f>
        <v>Bélgica</v>
      </c>
      <c r="E165" s="9" t="str">
        <f ca="1">+WORLDCUP!BD59</f>
        <v>Catar</v>
      </c>
      <c r="F165" s="9" t="str">
        <f ca="1">+WORLDCUP!BD60</f>
        <v>Marruecos</v>
      </c>
      <c r="G165" s="9" t="str">
        <f ca="1">+WORLDCUP!BD67</f>
        <v>Jordania</v>
      </c>
      <c r="H165" s="9" t="str">
        <f ca="1">+WORLDCUP!BD63</f>
        <v>Japón</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Bélgica</v>
      </c>
      <c r="E166" s="9" t="str">
        <f ca="1">+WORLDCUP!BD59</f>
        <v>Catar</v>
      </c>
      <c r="F166" s="9" t="str">
        <f ca="1">+WORLDCUP!BD61</f>
        <v>Turquía</v>
      </c>
      <c r="G166" s="9" t="str">
        <f ca="1">+WORLDCUP!BD65</f>
        <v>España</v>
      </c>
      <c r="H166" s="9" t="str">
        <f ca="1">+WORLDCUP!BD63</f>
        <v>Japón</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España</v>
      </c>
      <c r="D175" s="9" t="str">
        <f ca="1">+WORLDCUP!BD67</f>
        <v>Jordania</v>
      </c>
      <c r="E175" s="9" t="str">
        <f ca="1">+WORLDCUP!BD66</f>
        <v>Senegal</v>
      </c>
      <c r="F175" s="9" t="str">
        <f ca="1">+WORLDCUP!BD61</f>
        <v>Turquía</v>
      </c>
      <c r="G175" s="9" t="str">
        <f ca="1">+WORLDCUP!BD58</f>
        <v>República Checa</v>
      </c>
      <c r="H175" s="9" t="str">
        <f ca="1">+WORLDCUP!BD64</f>
        <v>Bélgica</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España</v>
      </c>
      <c r="D176" s="9" t="str">
        <f ca="1">+WORLDCUP!BD67</f>
        <v>Jordania</v>
      </c>
      <c r="E176" s="9" t="str">
        <f ca="1">+WORLDCUP!BD66</f>
        <v>Senegal</v>
      </c>
      <c r="F176" s="9" t="str">
        <f ca="1">+WORLDCUP!BD61</f>
        <v>Turquía</v>
      </c>
      <c r="G176" s="9" t="str">
        <f ca="1">+WORLDCUP!BD58</f>
        <v>República Checa</v>
      </c>
      <c r="H176" s="9" t="str">
        <f ca="1">+WORLDCUP!BD63</f>
        <v>Japón</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Jordania</v>
      </c>
      <c r="F177" s="9" t="str">
        <f ca="1">+WORLDCUP!BD61</f>
        <v>Turquía</v>
      </c>
      <c r="G177" s="9" t="str">
        <f ca="1">+WORLDCUP!BD58</f>
        <v>República Checa</v>
      </c>
      <c r="H177" s="9" t="str">
        <f ca="1">+WORLDCUP!BD63</f>
        <v>Japón</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España</v>
      </c>
      <c r="D178" s="9" t="str">
        <f ca="1">+WORLDCUP!BD64</f>
        <v>Bélgica</v>
      </c>
      <c r="E178" s="9" t="str">
        <f ca="1">+WORLDCUP!BD67</f>
        <v>Jordania</v>
      </c>
      <c r="F178" s="9" t="str">
        <f ca="1">+WORLDCUP!BD61</f>
        <v>Turquía</v>
      </c>
      <c r="G178" s="9" t="str">
        <f ca="1">+WORLDCUP!BD58</f>
        <v>República Checa</v>
      </c>
      <c r="H178" s="9" t="str">
        <f ca="1">+WORLDCUP!BD63</f>
        <v>Japón</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España</v>
      </c>
      <c r="D179" s="9" t="str">
        <f ca="1">+WORLDCUP!BD64</f>
        <v>Bélgica</v>
      </c>
      <c r="E179" s="9" t="str">
        <f ca="1">+WORLDCUP!BD66</f>
        <v>Senegal</v>
      </c>
      <c r="F179" s="9" t="str">
        <f ca="1">+WORLDCUP!BD61</f>
        <v>Turquía</v>
      </c>
      <c r="G179" s="9" t="str">
        <f ca="1">+WORLDCUP!BD58</f>
        <v>República Checa</v>
      </c>
      <c r="H179" s="9" t="str">
        <f ca="1">+WORLDCUP!BD63</f>
        <v>Japón</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España</v>
      </c>
      <c r="D180" s="9" t="str">
        <f ca="1">+WORLDCUP!BD64</f>
        <v>Bélgica</v>
      </c>
      <c r="E180" s="9" t="str">
        <f ca="1">+WORLDCUP!BD67</f>
        <v>Jordania</v>
      </c>
      <c r="F180" s="9" t="str">
        <f ca="1">+WORLDCUP!BD61</f>
        <v>Turquía</v>
      </c>
      <c r="G180" s="9" t="str">
        <f ca="1">+WORLDCUP!BD58</f>
        <v>República Checa</v>
      </c>
      <c r="H180" s="9" t="str">
        <f ca="1">+WORLDCUP!BD63</f>
        <v>Japón</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España</v>
      </c>
      <c r="D181" s="9" t="str">
        <f ca="1">+WORLDCUP!BD64</f>
        <v>Bélgica</v>
      </c>
      <c r="E181" s="9" t="str">
        <f ca="1">+WORLDCUP!BD67</f>
        <v>Jordania</v>
      </c>
      <c r="F181" s="9" t="str">
        <f ca="1">+WORLDCUP!BD61</f>
        <v>Turquía</v>
      </c>
      <c r="G181" s="9" t="str">
        <f ca="1">+WORLDCUP!BD58</f>
        <v>República Checa</v>
      </c>
      <c r="H181" s="9" t="str">
        <f ca="1">+WORLDCUP!BD63</f>
        <v>Japón</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Jordania</v>
      </c>
      <c r="E182" s="9" t="str">
        <f ca="1">+WORLDCUP!BD66</f>
        <v>Senegal</v>
      </c>
      <c r="F182" s="9" t="str">
        <f ca="1">+WORLDCUP!BD61</f>
        <v>Turquía</v>
      </c>
      <c r="G182" s="9" t="str">
        <f ca="1">+WORLDCUP!BD58</f>
        <v>República Checa</v>
      </c>
      <c r="H182" s="9" t="str">
        <f ca="1">+WORLDCUP!BD65</f>
        <v>España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Jordania</v>
      </c>
      <c r="E183" s="9" t="str">
        <f ca="1">+WORLDCUP!BD66</f>
        <v>Senegal</v>
      </c>
      <c r="F183" s="9" t="str">
        <f ca="1">+WORLDCUP!BD61</f>
        <v>Turquía</v>
      </c>
      <c r="G183" s="9" t="str">
        <f ca="1">+WORLDCUP!BD58</f>
        <v>República Checa</v>
      </c>
      <c r="H183" s="9" t="str">
        <f ca="1">+WORLDCUP!BD64</f>
        <v>Bélgica</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Jordania</v>
      </c>
      <c r="F184" s="9" t="str">
        <f ca="1">+WORLDCUP!BD61</f>
        <v>Turquía</v>
      </c>
      <c r="G184" s="9" t="str">
        <f ca="1">+WORLDCUP!BD58</f>
        <v>República Checa</v>
      </c>
      <c r="H184" s="9" t="str">
        <f ca="1">+WORLDCUP!BD65</f>
        <v>España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Turquía</v>
      </c>
      <c r="G185" s="9" t="str">
        <f ca="1">+WORLDCUP!BD58</f>
        <v>República Checa</v>
      </c>
      <c r="H185" s="9" t="str">
        <f ca="1">+WORLDCUP!BD65</f>
        <v>España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Jordania</v>
      </c>
      <c r="F186" s="9" t="str">
        <f ca="1">+WORLDCUP!BD61</f>
        <v>Turquía</v>
      </c>
      <c r="G186" s="9" t="str">
        <f ca="1">+WORLDCUP!BD58</f>
        <v>República Checa</v>
      </c>
      <c r="H186" s="9" t="str">
        <f ca="1">+WORLDCUP!BD65</f>
        <v>España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Jordania</v>
      </c>
      <c r="F187" s="9" t="str">
        <f ca="1">+WORLDCUP!BD61</f>
        <v>Turquía</v>
      </c>
      <c r="G187" s="9" t="str">
        <f ca="1">+WORLDCUP!BD58</f>
        <v>República Checa</v>
      </c>
      <c r="H187" s="9" t="str">
        <f ca="1">+WORLDCUP!BD65</f>
        <v>España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Jordania</v>
      </c>
      <c r="E188" s="9" t="str">
        <f ca="1">+WORLDCUP!BD66</f>
        <v>Senegal</v>
      </c>
      <c r="F188" s="9" t="str">
        <f ca="1">+WORLDCUP!BD61</f>
        <v>Turquía</v>
      </c>
      <c r="G188" s="9" t="str">
        <f ca="1">+WORLDCUP!BD58</f>
        <v>República Checa</v>
      </c>
      <c r="H188" s="9" t="str">
        <f ca="1">+WORLDCUP!BD63</f>
        <v>Japón</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España</v>
      </c>
      <c r="D189" s="9" t="str">
        <f ca="1">+WORLDCUP!BD67</f>
        <v>Jordania</v>
      </c>
      <c r="E189" s="9" t="str">
        <f ca="1">+WORLDCUP!BD62</f>
        <v>Ecuador</v>
      </c>
      <c r="F189" s="9" t="str">
        <f ca="1">+WORLDCUP!BD61</f>
        <v>Turquía</v>
      </c>
      <c r="G189" s="9" t="str">
        <f ca="1">+WORLDCUP!BD58</f>
        <v>República Checa</v>
      </c>
      <c r="H189" s="9" t="str">
        <f ca="1">+WORLDCUP!BD63</f>
        <v>Japón</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España</v>
      </c>
      <c r="D190" s="9" t="str">
        <f ca="1">+WORLDCUP!BD62</f>
        <v>Ecuador</v>
      </c>
      <c r="E190" s="9" t="str">
        <f ca="1">+WORLDCUP!BD66</f>
        <v>Senegal</v>
      </c>
      <c r="F190" s="9" t="str">
        <f ca="1">+WORLDCUP!BD61</f>
        <v>Turquía</v>
      </c>
      <c r="G190" s="9" t="str">
        <f ca="1">+WORLDCUP!BD58</f>
        <v>República Checa</v>
      </c>
      <c r="H190" s="9" t="str">
        <f ca="1">+WORLDCUP!BD63</f>
        <v>Japón</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España</v>
      </c>
      <c r="D191" s="9" t="str">
        <f ca="1">+WORLDCUP!BD67</f>
        <v>Jordania</v>
      </c>
      <c r="E191" s="9" t="str">
        <f ca="1">+WORLDCUP!BD62</f>
        <v>Ecuador</v>
      </c>
      <c r="F191" s="9" t="str">
        <f ca="1">+WORLDCUP!BD61</f>
        <v>Turquía</v>
      </c>
      <c r="G191" s="9" t="str">
        <f ca="1">+WORLDCUP!BD58</f>
        <v>República Checa</v>
      </c>
      <c r="H191" s="9" t="str">
        <f ca="1">+WORLDCUP!BD63</f>
        <v>Japón</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España</v>
      </c>
      <c r="D192" s="9" t="str">
        <f ca="1">+WORLDCUP!BD67</f>
        <v>Jordania</v>
      </c>
      <c r="E192" s="9" t="str">
        <f ca="1">+WORLDCUP!BD62</f>
        <v>Ecuador</v>
      </c>
      <c r="F192" s="9" t="str">
        <f ca="1">+WORLDCUP!BD61</f>
        <v>Turquía</v>
      </c>
      <c r="G192" s="9" t="str">
        <f ca="1">+WORLDCUP!BD58</f>
        <v>República Checa</v>
      </c>
      <c r="H192" s="9" t="str">
        <f ca="1">+WORLDCUP!BD63</f>
        <v>Japón</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Jordania</v>
      </c>
      <c r="F193" s="9" t="str">
        <f ca="1">+WORLDCUP!BD61</f>
        <v>Turquía</v>
      </c>
      <c r="G193" s="9" t="str">
        <f ca="1">+WORLDCUP!BD58</f>
        <v>República Checa</v>
      </c>
      <c r="H193" s="9" t="str">
        <f ca="1">+WORLDCUP!BD63</f>
        <v>Japón</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Turquía</v>
      </c>
      <c r="G194" s="9" t="str">
        <f ca="1">+WORLDCUP!BD58</f>
        <v>República Checa</v>
      </c>
      <c r="H194" s="9" t="str">
        <f ca="1">+WORLDCUP!BD63</f>
        <v>Japón</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Jordania</v>
      </c>
      <c r="F195" s="9" t="str">
        <f ca="1">+WORLDCUP!BD61</f>
        <v>Turquía</v>
      </c>
      <c r="G195" s="9" t="str">
        <f ca="1">+WORLDCUP!BD58</f>
        <v>República Checa</v>
      </c>
      <c r="H195" s="9" t="str">
        <f ca="1">+WORLDCUP!BD63</f>
        <v>Japón</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Jordania</v>
      </c>
      <c r="F196" s="9" t="str">
        <f ca="1">+WORLDCUP!BD61</f>
        <v>Turquía</v>
      </c>
      <c r="G196" s="9" t="str">
        <f ca="1">+WORLDCUP!BD58</f>
        <v>República Checa</v>
      </c>
      <c r="H196" s="9" t="str">
        <f ca="1">+WORLDCUP!BD63</f>
        <v>Japón</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España</v>
      </c>
      <c r="D197" s="9" t="str">
        <f ca="1">+WORLDCUP!BD64</f>
        <v>Bélgica</v>
      </c>
      <c r="E197" s="9" t="str">
        <f ca="1">+WORLDCUP!BD62</f>
        <v>Ecuador</v>
      </c>
      <c r="F197" s="9" t="str">
        <f ca="1">+WORLDCUP!BD61</f>
        <v>Turquía</v>
      </c>
      <c r="G197" s="9" t="str">
        <f ca="1">+WORLDCUP!BD58</f>
        <v>República Checa</v>
      </c>
      <c r="H197" s="9" t="str">
        <f ca="1">+WORLDCUP!BD63</f>
        <v>Japón</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España</v>
      </c>
      <c r="D198" s="9" t="str">
        <f ca="1">+WORLDCUP!BD64</f>
        <v>Bélgica</v>
      </c>
      <c r="E198" s="9" t="str">
        <f ca="1">+WORLDCUP!BD67</f>
        <v>Jordania</v>
      </c>
      <c r="F198" s="9" t="str">
        <f ca="1">+WORLDCUP!BD61</f>
        <v>Turquía</v>
      </c>
      <c r="G198" s="9" t="str">
        <f ca="1">+WORLDCUP!BD58</f>
        <v>República Checa</v>
      </c>
      <c r="H198" s="9" t="str">
        <f ca="1">+WORLDCUP!BD63</f>
        <v>Japón</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España</v>
      </c>
      <c r="D199" s="9" t="str">
        <f ca="1">+WORLDCUP!BD64</f>
        <v>Bélgica</v>
      </c>
      <c r="E199" s="9" t="str">
        <f ca="1">+WORLDCUP!BD67</f>
        <v>Jordania</v>
      </c>
      <c r="F199" s="9" t="str">
        <f ca="1">+WORLDCUP!BD61</f>
        <v>Turquía</v>
      </c>
      <c r="G199" s="9" t="str">
        <f ca="1">+WORLDCUP!BD58</f>
        <v>República Checa</v>
      </c>
      <c r="H199" s="9" t="str">
        <f ca="1">+WORLDCUP!BD63</f>
        <v>Japón</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España</v>
      </c>
      <c r="D200" s="9" t="str">
        <f ca="1">+WORLDCUP!BD64</f>
        <v>Bélgica</v>
      </c>
      <c r="E200" s="9" t="str">
        <f ca="1">+WORLDCUP!BD62</f>
        <v>Ecuador</v>
      </c>
      <c r="F200" s="9" t="str">
        <f ca="1">+WORLDCUP!BD61</f>
        <v>Turquía</v>
      </c>
      <c r="G200" s="9" t="str">
        <f ca="1">+WORLDCUP!BD58</f>
        <v>República Checa</v>
      </c>
      <c r="H200" s="9" t="str">
        <f ca="1">+WORLDCUP!BD63</f>
        <v>Japón</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España</v>
      </c>
      <c r="D201" s="9" t="str">
        <f ca="1">+WORLDCUP!BD64</f>
        <v>Bélgica</v>
      </c>
      <c r="E201" s="9" t="str">
        <f ca="1">+WORLDCUP!BD62</f>
        <v>Ecuador</v>
      </c>
      <c r="F201" s="9" t="str">
        <f ca="1">+WORLDCUP!BD61</f>
        <v>Turquía</v>
      </c>
      <c r="G201" s="9" t="str">
        <f ca="1">+WORLDCUP!BD58</f>
        <v>República Checa</v>
      </c>
      <c r="H201" s="9" t="str">
        <f ca="1">+WORLDCUP!BD63</f>
        <v>Japón</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España</v>
      </c>
      <c r="D202" s="9" t="str">
        <f ca="1">+WORLDCUP!BD64</f>
        <v>Bélgica</v>
      </c>
      <c r="E202" s="9" t="str">
        <f ca="1">+WORLDCUP!BD67</f>
        <v>Jordania</v>
      </c>
      <c r="F202" s="9" t="str">
        <f ca="1">+WORLDCUP!BD61</f>
        <v>Turquía</v>
      </c>
      <c r="G202" s="9" t="str">
        <f ca="1">+WORLDCUP!BD58</f>
        <v>República Checa</v>
      </c>
      <c r="H202" s="9" t="str">
        <f ca="1">+WORLDCUP!BD63</f>
        <v>Japón</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España</v>
      </c>
      <c r="D203" s="9" t="str">
        <f ca="1">+WORLDCUP!BD67</f>
        <v>Jordania</v>
      </c>
      <c r="E203" s="9" t="str">
        <f ca="1">+WORLDCUP!BD66</f>
        <v>Senegal</v>
      </c>
      <c r="F203" s="9" t="str">
        <f ca="1">+WORLDCUP!BD60</f>
        <v>Marruecos</v>
      </c>
      <c r="G203" s="9" t="str">
        <f ca="1">+WORLDCUP!BD58</f>
        <v>República Checa</v>
      </c>
      <c r="H203" s="9" t="str">
        <f ca="1">+WORLDCUP!BD64</f>
        <v>Bélgica</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España</v>
      </c>
      <c r="D204" s="9" t="str">
        <f ca="1">+WORLDCUP!BD67</f>
        <v>Jordania</v>
      </c>
      <c r="E204" s="9" t="str">
        <f ca="1">+WORLDCUP!BD66</f>
        <v>Senegal</v>
      </c>
      <c r="F204" s="9" t="str">
        <f ca="1">+WORLDCUP!BD60</f>
        <v>Marruecos</v>
      </c>
      <c r="G204" s="9" t="str">
        <f ca="1">+WORLDCUP!BD58</f>
        <v>República Checa</v>
      </c>
      <c r="H204" s="9" t="str">
        <f ca="1">+WORLDCUP!BD63</f>
        <v>Japón</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Jordania</v>
      </c>
      <c r="F205" s="9" t="str">
        <f ca="1">+WORLDCUP!BD60</f>
        <v>Marruecos</v>
      </c>
      <c r="G205" s="9" t="str">
        <f ca="1">+WORLDCUP!BD58</f>
        <v>República Checa</v>
      </c>
      <c r="H205" s="9" t="str">
        <f ca="1">+WORLDCUP!BD63</f>
        <v>Japón</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España</v>
      </c>
      <c r="D206" s="9" t="str">
        <f ca="1">+WORLDCUP!BD64</f>
        <v>Bélgica</v>
      </c>
      <c r="E206" s="9" t="str">
        <f ca="1">+WORLDCUP!BD67</f>
        <v>Jordania</v>
      </c>
      <c r="F206" s="9" t="str">
        <f ca="1">+WORLDCUP!BD60</f>
        <v>Marruecos</v>
      </c>
      <c r="G206" s="9" t="str">
        <f ca="1">+WORLDCUP!BD58</f>
        <v>República Checa</v>
      </c>
      <c r="H206" s="9" t="str">
        <f ca="1">+WORLDCUP!BD63</f>
        <v>Japón</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España</v>
      </c>
      <c r="D207" s="9" t="str">
        <f ca="1">+WORLDCUP!BD64</f>
        <v>Bélgica</v>
      </c>
      <c r="E207" s="9" t="str">
        <f ca="1">+WORLDCUP!BD66</f>
        <v>Senegal</v>
      </c>
      <c r="F207" s="9" t="str">
        <f ca="1">+WORLDCUP!BD60</f>
        <v>Marruecos</v>
      </c>
      <c r="G207" s="9" t="str">
        <f ca="1">+WORLDCUP!BD58</f>
        <v>República Checa</v>
      </c>
      <c r="H207" s="9" t="str">
        <f ca="1">+WORLDCUP!BD63</f>
        <v>Japón</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España</v>
      </c>
      <c r="D208" s="9" t="str">
        <f ca="1">+WORLDCUP!BD64</f>
        <v>Bélgica</v>
      </c>
      <c r="E208" s="9" t="str">
        <f ca="1">+WORLDCUP!BD67</f>
        <v>Jordania</v>
      </c>
      <c r="F208" s="9" t="str">
        <f ca="1">+WORLDCUP!BD60</f>
        <v>Marruecos</v>
      </c>
      <c r="G208" s="9" t="str">
        <f ca="1">+WORLDCUP!BD58</f>
        <v>República Checa</v>
      </c>
      <c r="H208" s="9" t="str">
        <f ca="1">+WORLDCUP!BD63</f>
        <v>Japón</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España</v>
      </c>
      <c r="D209" s="9" t="str">
        <f ca="1">+WORLDCUP!BD64</f>
        <v>Bélgica</v>
      </c>
      <c r="E209" s="9" t="str">
        <f ca="1">+WORLDCUP!BD67</f>
        <v>Jordania</v>
      </c>
      <c r="F209" s="9" t="str">
        <f ca="1">+WORLDCUP!BD60</f>
        <v>Marruecos</v>
      </c>
      <c r="G209" s="9" t="str">
        <f ca="1">+WORLDCUP!BD58</f>
        <v>República Checa</v>
      </c>
      <c r="H209" s="9" t="str">
        <f ca="1">+WORLDCUP!BD63</f>
        <v>Japón</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Jordania</v>
      </c>
      <c r="E210" s="9" t="str">
        <f ca="1">+WORLDCUP!BD66</f>
        <v>Senegal</v>
      </c>
      <c r="F210" s="9" t="str">
        <f ca="1">+WORLDCUP!BD60</f>
        <v>Marruecos</v>
      </c>
      <c r="G210" s="9" t="str">
        <f ca="1">+WORLDCUP!BD58</f>
        <v>República Checa</v>
      </c>
      <c r="H210" s="9" t="str">
        <f ca="1">+WORLDCUP!BD65</f>
        <v>España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Jordania</v>
      </c>
      <c r="E211" s="9" t="str">
        <f ca="1">+WORLDCUP!BD66</f>
        <v>Senegal</v>
      </c>
      <c r="F211" s="9" t="str">
        <f ca="1">+WORLDCUP!BD60</f>
        <v>Marruecos</v>
      </c>
      <c r="G211" s="9" t="str">
        <f ca="1">+WORLDCUP!BD58</f>
        <v>República Checa</v>
      </c>
      <c r="H211" s="9" t="str">
        <f ca="1">+WORLDCUP!BD64</f>
        <v>Bélgica</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Jordania</v>
      </c>
      <c r="F212" s="9" t="str">
        <f ca="1">+WORLDCUP!BD60</f>
        <v>Marruecos</v>
      </c>
      <c r="G212" s="9" t="str">
        <f ca="1">+WORLDCUP!BD58</f>
        <v>República Checa</v>
      </c>
      <c r="H212" s="9" t="str">
        <f ca="1">+WORLDCUP!BD65</f>
        <v>España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Marruecos</v>
      </c>
      <c r="G213" s="9" t="str">
        <f ca="1">+WORLDCUP!BD58</f>
        <v>República Checa</v>
      </c>
      <c r="H213" s="9" t="str">
        <f ca="1">+WORLDCUP!BD65</f>
        <v>España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Jordania</v>
      </c>
      <c r="F214" s="9" t="str">
        <f ca="1">+WORLDCUP!BD60</f>
        <v>Marruecos</v>
      </c>
      <c r="G214" s="9" t="str">
        <f ca="1">+WORLDCUP!BD58</f>
        <v>República Checa</v>
      </c>
      <c r="H214" s="9" t="str">
        <f ca="1">+WORLDCUP!BD65</f>
        <v>España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Jordania</v>
      </c>
      <c r="F215" s="9" t="str">
        <f ca="1">+WORLDCUP!BD60</f>
        <v>Marruecos</v>
      </c>
      <c r="G215" s="9" t="str">
        <f ca="1">+WORLDCUP!BD58</f>
        <v>República Checa</v>
      </c>
      <c r="H215" s="9" t="str">
        <f ca="1">+WORLDCUP!BD65</f>
        <v>España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Jordania</v>
      </c>
      <c r="E216" s="9" t="str">
        <f ca="1">+WORLDCUP!BD66</f>
        <v>Senegal</v>
      </c>
      <c r="F216" s="9" t="str">
        <f ca="1">+WORLDCUP!BD60</f>
        <v>Marruecos</v>
      </c>
      <c r="G216" s="9" t="str">
        <f ca="1">+WORLDCUP!BD58</f>
        <v>República Checa</v>
      </c>
      <c r="H216" s="9" t="str">
        <f ca="1">+WORLDCUP!BD63</f>
        <v>Japón</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España</v>
      </c>
      <c r="D217" s="9" t="str">
        <f ca="1">+WORLDCUP!BD67</f>
        <v>Jordania</v>
      </c>
      <c r="E217" s="9" t="str">
        <f ca="1">+WORLDCUP!BD62</f>
        <v>Ecuador</v>
      </c>
      <c r="F217" s="9" t="str">
        <f ca="1">+WORLDCUP!BD60</f>
        <v>Marruecos</v>
      </c>
      <c r="G217" s="9" t="str">
        <f ca="1">+WORLDCUP!BD58</f>
        <v>República Checa</v>
      </c>
      <c r="H217" s="9" t="str">
        <f ca="1">+WORLDCUP!BD63</f>
        <v>Japón</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España</v>
      </c>
      <c r="D218" s="9" t="str">
        <f ca="1">+WORLDCUP!BD62</f>
        <v>Ecuador</v>
      </c>
      <c r="E218" s="9" t="str">
        <f ca="1">+WORLDCUP!BD66</f>
        <v>Senegal</v>
      </c>
      <c r="F218" s="9" t="str">
        <f ca="1">+WORLDCUP!BD60</f>
        <v>Marruecos</v>
      </c>
      <c r="G218" s="9" t="str">
        <f ca="1">+WORLDCUP!BD58</f>
        <v>República Checa</v>
      </c>
      <c r="H218" s="9" t="str">
        <f ca="1">+WORLDCUP!BD63</f>
        <v>Japón</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España</v>
      </c>
      <c r="D219" s="9" t="str">
        <f ca="1">+WORLDCUP!BD67</f>
        <v>Jordania</v>
      </c>
      <c r="E219" s="9" t="str">
        <f ca="1">+WORLDCUP!BD62</f>
        <v>Ecuador</v>
      </c>
      <c r="F219" s="9" t="str">
        <f ca="1">+WORLDCUP!BD60</f>
        <v>Marruecos</v>
      </c>
      <c r="G219" s="9" t="str">
        <f ca="1">+WORLDCUP!BD58</f>
        <v>República Checa</v>
      </c>
      <c r="H219" s="9" t="str">
        <f ca="1">+WORLDCUP!BD63</f>
        <v>Japón</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España</v>
      </c>
      <c r="D220" s="9" t="str">
        <f ca="1">+WORLDCUP!BD67</f>
        <v>Jordania</v>
      </c>
      <c r="E220" s="9" t="str">
        <f ca="1">+WORLDCUP!BD62</f>
        <v>Ecuador</v>
      </c>
      <c r="F220" s="9" t="str">
        <f ca="1">+WORLDCUP!BD60</f>
        <v>Marruecos</v>
      </c>
      <c r="G220" s="9" t="str">
        <f ca="1">+WORLDCUP!BD58</f>
        <v>República Checa</v>
      </c>
      <c r="H220" s="9" t="str">
        <f ca="1">+WORLDCUP!BD63</f>
        <v>Japón</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Jordania</v>
      </c>
      <c r="F221" s="9" t="str">
        <f ca="1">+WORLDCUP!BD60</f>
        <v>Marruecos</v>
      </c>
      <c r="G221" s="9" t="str">
        <f ca="1">+WORLDCUP!BD58</f>
        <v>República Checa</v>
      </c>
      <c r="H221" s="9" t="str">
        <f ca="1">+WORLDCUP!BD63</f>
        <v>Japón</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Marruecos</v>
      </c>
      <c r="G222" s="9" t="str">
        <f ca="1">+WORLDCUP!BD58</f>
        <v>República Checa</v>
      </c>
      <c r="H222" s="9" t="str">
        <f ca="1">+WORLDCUP!BD63</f>
        <v>Japón</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Jordania</v>
      </c>
      <c r="F223" s="9" t="str">
        <f ca="1">+WORLDCUP!BD60</f>
        <v>Marruecos</v>
      </c>
      <c r="G223" s="9" t="str">
        <f ca="1">+WORLDCUP!BD58</f>
        <v>República Checa</v>
      </c>
      <c r="H223" s="9" t="str">
        <f ca="1">+WORLDCUP!BD63</f>
        <v>Japón</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Jordania</v>
      </c>
      <c r="F224" s="9" t="str">
        <f ca="1">+WORLDCUP!BD60</f>
        <v>Marruecos</v>
      </c>
      <c r="G224" s="9" t="str">
        <f ca="1">+WORLDCUP!BD58</f>
        <v>República Checa</v>
      </c>
      <c r="H224" s="9" t="str">
        <f ca="1">+WORLDCUP!BD63</f>
        <v>Japón</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España</v>
      </c>
      <c r="D225" s="9" t="str">
        <f ca="1">+WORLDCUP!BD64</f>
        <v>Bélgica</v>
      </c>
      <c r="E225" s="9" t="str">
        <f ca="1">+WORLDCUP!BD62</f>
        <v>Ecuador</v>
      </c>
      <c r="F225" s="9" t="str">
        <f ca="1">+WORLDCUP!BD60</f>
        <v>Marruecos</v>
      </c>
      <c r="G225" s="9" t="str">
        <f ca="1">+WORLDCUP!BD58</f>
        <v>República Checa</v>
      </c>
      <c r="H225" s="9" t="str">
        <f ca="1">+WORLDCUP!BD63</f>
        <v>Japón</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España</v>
      </c>
      <c r="D226" s="9" t="str">
        <f ca="1">+WORLDCUP!BD64</f>
        <v>Bélgica</v>
      </c>
      <c r="E226" s="9" t="str">
        <f ca="1">+WORLDCUP!BD67</f>
        <v>Jordania</v>
      </c>
      <c r="F226" s="9" t="str">
        <f ca="1">+WORLDCUP!BD60</f>
        <v>Marruecos</v>
      </c>
      <c r="G226" s="9" t="str">
        <f ca="1">+WORLDCUP!BD58</f>
        <v>República Checa</v>
      </c>
      <c r="H226" s="9" t="str">
        <f ca="1">+WORLDCUP!BD63</f>
        <v>Japón</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España</v>
      </c>
      <c r="D227" s="9" t="str">
        <f ca="1">+WORLDCUP!BD64</f>
        <v>Bélgica</v>
      </c>
      <c r="E227" s="9" t="str">
        <f ca="1">+WORLDCUP!BD67</f>
        <v>Jordania</v>
      </c>
      <c r="F227" s="9" t="str">
        <f ca="1">+WORLDCUP!BD60</f>
        <v>Marruecos</v>
      </c>
      <c r="G227" s="9" t="str">
        <f ca="1">+WORLDCUP!BD58</f>
        <v>República Checa</v>
      </c>
      <c r="H227" s="9" t="str">
        <f ca="1">+WORLDCUP!BD63</f>
        <v>Japón</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España</v>
      </c>
      <c r="D228" s="9" t="str">
        <f ca="1">+WORLDCUP!BD64</f>
        <v>Bélgica</v>
      </c>
      <c r="E228" s="9" t="str">
        <f ca="1">+WORLDCUP!BD62</f>
        <v>Ecuador</v>
      </c>
      <c r="F228" s="9" t="str">
        <f ca="1">+WORLDCUP!BD60</f>
        <v>Marruecos</v>
      </c>
      <c r="G228" s="9" t="str">
        <f ca="1">+WORLDCUP!BD58</f>
        <v>República Checa</v>
      </c>
      <c r="H228" s="9" t="str">
        <f ca="1">+WORLDCUP!BD63</f>
        <v>Japón</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España</v>
      </c>
      <c r="D229" s="9" t="str">
        <f ca="1">+WORLDCUP!BD64</f>
        <v>Bélgica</v>
      </c>
      <c r="E229" s="9" t="str">
        <f ca="1">+WORLDCUP!BD62</f>
        <v>Ecuador</v>
      </c>
      <c r="F229" s="9" t="str">
        <f ca="1">+WORLDCUP!BD60</f>
        <v>Marruecos</v>
      </c>
      <c r="G229" s="9" t="str">
        <f ca="1">+WORLDCUP!BD58</f>
        <v>República Checa</v>
      </c>
      <c r="H229" s="9" t="str">
        <f ca="1">+WORLDCUP!BD63</f>
        <v>Japón</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España</v>
      </c>
      <c r="D230" s="9" t="str">
        <f ca="1">+WORLDCUP!BD64</f>
        <v>Bélgica</v>
      </c>
      <c r="E230" s="9" t="str">
        <f ca="1">+WORLDCUP!BD67</f>
        <v>Jordania</v>
      </c>
      <c r="F230" s="9" t="str">
        <f ca="1">+WORLDCUP!BD60</f>
        <v>Marruecos</v>
      </c>
      <c r="G230" s="9" t="str">
        <f ca="1">+WORLDCUP!BD58</f>
        <v>República Checa</v>
      </c>
      <c r="H230" s="9" t="str">
        <f ca="1">+WORLDCUP!BD63</f>
        <v>Japón</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España</v>
      </c>
      <c r="D231" s="9" t="str">
        <f ca="1">+WORLDCUP!BD67</f>
        <v>Jordania</v>
      </c>
      <c r="E231" s="9" t="str">
        <f ca="1">+WORLDCUP!BD66</f>
        <v>Senegal</v>
      </c>
      <c r="F231" s="9" t="str">
        <f ca="1">+WORLDCUP!BD60</f>
        <v>Marruecos</v>
      </c>
      <c r="G231" s="9" t="str">
        <f ca="1">+WORLDCUP!BD58</f>
        <v>República Checa</v>
      </c>
      <c r="H231" s="9" t="str">
        <f ca="1">+WORLDCUP!BD61</f>
        <v>Turquía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Jordania</v>
      </c>
      <c r="F232" s="9" t="str">
        <f ca="1">+WORLDCUP!BD60</f>
        <v>Marruecos</v>
      </c>
      <c r="G232" s="9" t="str">
        <f ca="1">+WORLDCUP!BD58</f>
        <v>República Checa</v>
      </c>
      <c r="H232" s="9" t="str">
        <f ca="1">+WORLDCUP!BD61</f>
        <v>Turquía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España</v>
      </c>
      <c r="D233" s="9" t="str">
        <f ca="1">+WORLDCUP!BD64</f>
        <v>Bélgica</v>
      </c>
      <c r="E233" s="9" t="str">
        <f ca="1">+WORLDCUP!BD67</f>
        <v>Jordania</v>
      </c>
      <c r="F233" s="9" t="str">
        <f ca="1">+WORLDCUP!BD60</f>
        <v>Marruecos</v>
      </c>
      <c r="G233" s="9" t="str">
        <f ca="1">+WORLDCUP!BD58</f>
        <v>República Checa</v>
      </c>
      <c r="H233" s="9" t="str">
        <f ca="1">+WORLDCUP!BD61</f>
        <v>Turquía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España</v>
      </c>
      <c r="D234" s="9" t="str">
        <f ca="1">+WORLDCUP!BD64</f>
        <v>Bélgica</v>
      </c>
      <c r="E234" s="9" t="str">
        <f ca="1">+WORLDCUP!BD66</f>
        <v>Senegal</v>
      </c>
      <c r="F234" s="9" t="str">
        <f ca="1">+WORLDCUP!BD60</f>
        <v>Marruecos</v>
      </c>
      <c r="G234" s="9" t="str">
        <f ca="1">+WORLDCUP!BD58</f>
        <v>República Checa</v>
      </c>
      <c r="H234" s="9" t="str">
        <f ca="1">+WORLDCUP!BD61</f>
        <v>Turquía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España</v>
      </c>
      <c r="D235" s="9" t="str">
        <f ca="1">+WORLDCUP!BD64</f>
        <v>Bélgica</v>
      </c>
      <c r="E235" s="9" t="str">
        <f ca="1">+WORLDCUP!BD67</f>
        <v>Jordania</v>
      </c>
      <c r="F235" s="9" t="str">
        <f ca="1">+WORLDCUP!BD60</f>
        <v>Marruecos</v>
      </c>
      <c r="G235" s="9" t="str">
        <f ca="1">+WORLDCUP!BD58</f>
        <v>República Checa</v>
      </c>
      <c r="H235" s="9" t="str">
        <f ca="1">+WORLDCUP!BD61</f>
        <v>Turquía</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España</v>
      </c>
      <c r="D236" s="9" t="str">
        <f ca="1">+WORLDCUP!BD64</f>
        <v>Bélgica</v>
      </c>
      <c r="E236" s="9" t="str">
        <f ca="1">+WORLDCUP!BD67</f>
        <v>Jordania</v>
      </c>
      <c r="F236" s="9" t="str">
        <f ca="1">+WORLDCUP!BD60</f>
        <v>Marruecos</v>
      </c>
      <c r="G236" s="9" t="str">
        <f ca="1">+WORLDCUP!BD58</f>
        <v>República Checa</v>
      </c>
      <c r="H236" s="9" t="str">
        <f ca="1">+WORLDCUP!BD61</f>
        <v>Turquía</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Jordania</v>
      </c>
      <c r="E237" s="9" t="str">
        <f ca="1">+WORLDCUP!BD66</f>
        <v>Senegal</v>
      </c>
      <c r="F237" s="9" t="str">
        <f ca="1">+WORLDCUP!BD61</f>
        <v>Turquía</v>
      </c>
      <c r="G237" s="9" t="str">
        <f ca="1">+WORLDCUP!BD58</f>
        <v>República Checa</v>
      </c>
      <c r="H237" s="9" t="str">
        <f ca="1">+WORLDCUP!BD63</f>
        <v>Japón</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España</v>
      </c>
      <c r="D238" s="9" t="str">
        <f ca="1">+WORLDCUP!BD67</f>
        <v>Jordania</v>
      </c>
      <c r="E238" s="9" t="str">
        <f ca="1">+WORLDCUP!BD63</f>
        <v>Japón</v>
      </c>
      <c r="F238" s="9" t="str">
        <f ca="1">+WORLDCUP!BD60</f>
        <v>Marruecos</v>
      </c>
      <c r="G238" s="9" t="str">
        <f ca="1">+WORLDCUP!BD58</f>
        <v>República Checa</v>
      </c>
      <c r="H238" s="9" t="str">
        <f ca="1">+WORLDCUP!BD61</f>
        <v>Turquía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España</v>
      </c>
      <c r="D239" s="9" t="str">
        <f ca="1">+WORLDCUP!BD63</f>
        <v>Japón</v>
      </c>
      <c r="E239" s="9" t="str">
        <f ca="1">+WORLDCUP!BD66</f>
        <v>Senegal</v>
      </c>
      <c r="F239" s="9" t="str">
        <f ca="1">+WORLDCUP!BD60</f>
        <v>Marruecos</v>
      </c>
      <c r="G239" s="9" t="str">
        <f ca="1">+WORLDCUP!BD58</f>
        <v>República Checa</v>
      </c>
      <c r="H239" s="9" t="str">
        <f ca="1">+WORLDCUP!BD61</f>
        <v>Turquía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España</v>
      </c>
      <c r="D240" s="9" t="str">
        <f ca="1">+WORLDCUP!BD67</f>
        <v>Jordania</v>
      </c>
      <c r="E240" s="9" t="str">
        <f ca="1">+WORLDCUP!BD63</f>
        <v>Japón</v>
      </c>
      <c r="F240" s="9" t="str">
        <f ca="1">+WORLDCUP!BD60</f>
        <v>Marruecos</v>
      </c>
      <c r="G240" s="9" t="str">
        <f ca="1">+WORLDCUP!BD58</f>
        <v>República Checa</v>
      </c>
      <c r="H240" s="9" t="str">
        <f ca="1">+WORLDCUP!BD61</f>
        <v>Turquía</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España</v>
      </c>
      <c r="D241" s="9" t="str">
        <f ca="1">+WORLDCUP!BD67</f>
        <v>Jordania</v>
      </c>
      <c r="E241" s="9" t="str">
        <f ca="1">+WORLDCUP!BD63</f>
        <v>Japón</v>
      </c>
      <c r="F241" s="9" t="str">
        <f ca="1">+WORLDCUP!BD60</f>
        <v>Marruecos</v>
      </c>
      <c r="G241" s="9" t="str">
        <f ca="1">+WORLDCUP!BD58</f>
        <v>República Checa</v>
      </c>
      <c r="H241" s="9" t="str">
        <f ca="1">+WORLDCUP!BD61</f>
        <v>Turquía</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Bélgica</v>
      </c>
      <c r="E242" s="9" t="str">
        <f ca="1">+WORLDCUP!BD67</f>
        <v>Jordania</v>
      </c>
      <c r="F242" s="9" t="str">
        <f ca="1">+WORLDCUP!BD61</f>
        <v>Turquía</v>
      </c>
      <c r="G242" s="9" t="str">
        <f ca="1">+WORLDCUP!BD58</f>
        <v>República Checa</v>
      </c>
      <c r="H242" s="9" t="str">
        <f ca="1">+WORLDCUP!BD63</f>
        <v>Japón</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Bélgica</v>
      </c>
      <c r="E243" s="9" t="str">
        <f ca="1">+WORLDCUP!BD66</f>
        <v>Senegal</v>
      </c>
      <c r="F243" s="9" t="str">
        <f ca="1">+WORLDCUP!BD61</f>
        <v>Turquía</v>
      </c>
      <c r="G243" s="9" t="str">
        <f ca="1">+WORLDCUP!BD58</f>
        <v>República Checa</v>
      </c>
      <c r="H243" s="9" t="str">
        <f ca="1">+WORLDCUP!BD63</f>
        <v>Japón</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Bélgica</v>
      </c>
      <c r="E244" s="9" t="str">
        <f ca="1">+WORLDCUP!BD67</f>
        <v>Jordania</v>
      </c>
      <c r="F244" s="9" t="str">
        <f ca="1">+WORLDCUP!BD61</f>
        <v>Turquía</v>
      </c>
      <c r="G244" s="9" t="str">
        <f ca="1">+WORLDCUP!BD58</f>
        <v>República Checa</v>
      </c>
      <c r="H244" s="9" t="str">
        <f ca="1">+WORLDCUP!BD63</f>
        <v>Japón</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Bélgica</v>
      </c>
      <c r="E245" s="9" t="str">
        <f ca="1">+WORLDCUP!BD67</f>
        <v>Jordania</v>
      </c>
      <c r="F245" s="9" t="str">
        <f ca="1">+WORLDCUP!BD61</f>
        <v>Turquía</v>
      </c>
      <c r="G245" s="9" t="str">
        <f ca="1">+WORLDCUP!BD58</f>
        <v>República Checa</v>
      </c>
      <c r="H245" s="9" t="str">
        <f ca="1">+WORLDCUP!BD63</f>
        <v>Japón</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España</v>
      </c>
      <c r="D246" s="9" t="str">
        <f ca="1">+WORLDCUP!BD64</f>
        <v>Bélgica</v>
      </c>
      <c r="E246" s="9" t="str">
        <f ca="1">+WORLDCUP!BD63</f>
        <v>Japón</v>
      </c>
      <c r="F246" s="9" t="str">
        <f ca="1">+WORLDCUP!BD60</f>
        <v>Marruecos</v>
      </c>
      <c r="G246" s="9" t="str">
        <f ca="1">+WORLDCUP!BD58</f>
        <v>República Checa</v>
      </c>
      <c r="H246" s="9" t="str">
        <f ca="1">+WORLDCUP!BD61</f>
        <v>Turquía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Bélgica</v>
      </c>
      <c r="E247" s="9" t="str">
        <f ca="1">+WORLDCUP!BD67</f>
        <v>Jordania</v>
      </c>
      <c r="F247" s="9" t="str">
        <f ca="1">+WORLDCUP!BD61</f>
        <v>Turquía</v>
      </c>
      <c r="G247" s="9" t="str">
        <f ca="1">+WORLDCUP!BD58</f>
        <v>República Checa</v>
      </c>
      <c r="H247" s="9" t="str">
        <f ca="1">+WORLDCUP!BD63</f>
        <v>Japón</v>
      </c>
      <c r="I247" s="9" t="str">
        <f ca="1">+WORLDCUP!BD69</f>
        <v>Ghana</v>
      </c>
      <c r="J247" s="9" t="str">
        <f ca="1">+WORLDCUP!BD65</f>
        <v>España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España</v>
      </c>
      <c r="D248" s="9" t="str">
        <f ca="1">+WORLDCUP!BD64</f>
        <v>Bélgica</v>
      </c>
      <c r="E248" s="9" t="str">
        <f ca="1">+WORLDCUP!BD67</f>
        <v>Jordania</v>
      </c>
      <c r="F248" s="9" t="str">
        <f ca="1">+WORLDCUP!BD60</f>
        <v>Marruecos</v>
      </c>
      <c r="G248" s="9" t="str">
        <f ca="1">+WORLDCUP!BD58</f>
        <v>República Checa</v>
      </c>
      <c r="H248" s="9" t="str">
        <f ca="1">+WORLDCUP!BD63</f>
        <v>Japón</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España</v>
      </c>
      <c r="D249" s="9" t="str">
        <f ca="1">+WORLDCUP!BD64</f>
        <v>Bélgica</v>
      </c>
      <c r="E249" s="9" t="str">
        <f ca="1">+WORLDCUP!BD63</f>
        <v>Japón</v>
      </c>
      <c r="F249" s="9" t="str">
        <f ca="1">+WORLDCUP!BD60</f>
        <v>Marruecos</v>
      </c>
      <c r="G249" s="9" t="str">
        <f ca="1">+WORLDCUP!BD58</f>
        <v>República Checa</v>
      </c>
      <c r="H249" s="9" t="str">
        <f ca="1">+WORLDCUP!BD61</f>
        <v>Turquía</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España</v>
      </c>
      <c r="D250" s="9" t="str">
        <f ca="1">+WORLDCUP!BD64</f>
        <v>Bélgica</v>
      </c>
      <c r="E250" s="9" t="str">
        <f ca="1">+WORLDCUP!BD63</f>
        <v>Japón</v>
      </c>
      <c r="F250" s="9" t="str">
        <f ca="1">+WORLDCUP!BD60</f>
        <v>Marruecos</v>
      </c>
      <c r="G250" s="9" t="str">
        <f ca="1">+WORLDCUP!BD58</f>
        <v>República Checa</v>
      </c>
      <c r="H250" s="9" t="str">
        <f ca="1">+WORLDCUP!BD61</f>
        <v>Turquía</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España</v>
      </c>
      <c r="D251" s="9" t="str">
        <f ca="1">+WORLDCUP!BD64</f>
        <v>Bélgica</v>
      </c>
      <c r="E251" s="9" t="str">
        <f ca="1">+WORLDCUP!BD67</f>
        <v>Jordania</v>
      </c>
      <c r="F251" s="9" t="str">
        <f ca="1">+WORLDCUP!BD60</f>
        <v>Marruecos</v>
      </c>
      <c r="G251" s="9" t="str">
        <f ca="1">+WORLDCUP!BD58</f>
        <v>República Checa</v>
      </c>
      <c r="H251" s="9" t="str">
        <f ca="1">+WORLDCUP!BD63</f>
        <v>Japón</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Jordania</v>
      </c>
      <c r="E252" s="9" t="str">
        <f ca="1">+WORLDCUP!BD66</f>
        <v>Senegal</v>
      </c>
      <c r="F252" s="9" t="str">
        <f ca="1">+WORLDCUP!BD60</f>
        <v>Marruecos</v>
      </c>
      <c r="G252" s="9" t="str">
        <f ca="1">+WORLDCUP!BD58</f>
        <v>República Checa</v>
      </c>
      <c r="H252" s="9" t="str">
        <f ca="1">+WORLDCUP!BD61</f>
        <v>Turquía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España</v>
      </c>
      <c r="D253" s="9" t="str">
        <f ca="1">+WORLDCUP!BD67</f>
        <v>Jordania</v>
      </c>
      <c r="E253" s="9" t="str">
        <f ca="1">+WORLDCUP!BD62</f>
        <v>Ecuador</v>
      </c>
      <c r="F253" s="9" t="str">
        <f ca="1">+WORLDCUP!BD60</f>
        <v>Marruecos</v>
      </c>
      <c r="G253" s="9" t="str">
        <f ca="1">+WORLDCUP!BD58</f>
        <v>República Checa</v>
      </c>
      <c r="H253" s="9" t="str">
        <f ca="1">+WORLDCUP!BD61</f>
        <v>Turquía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España</v>
      </c>
      <c r="D254" s="9" t="str">
        <f ca="1">+WORLDCUP!BD62</f>
        <v>Ecuador</v>
      </c>
      <c r="E254" s="9" t="str">
        <f ca="1">+WORLDCUP!BD66</f>
        <v>Senegal</v>
      </c>
      <c r="F254" s="9" t="str">
        <f ca="1">+WORLDCUP!BD60</f>
        <v>Marruecos</v>
      </c>
      <c r="G254" s="9" t="str">
        <f ca="1">+WORLDCUP!BD58</f>
        <v>República Checa</v>
      </c>
      <c r="H254" s="9" t="str">
        <f ca="1">+WORLDCUP!BD61</f>
        <v>Turquía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España</v>
      </c>
      <c r="D255" s="9" t="str">
        <f ca="1">+WORLDCUP!BD67</f>
        <v>Jordania</v>
      </c>
      <c r="E255" s="9" t="str">
        <f ca="1">+WORLDCUP!BD62</f>
        <v>Ecuador</v>
      </c>
      <c r="F255" s="9" t="str">
        <f ca="1">+WORLDCUP!BD60</f>
        <v>Marruecos</v>
      </c>
      <c r="G255" s="9" t="str">
        <f ca="1">+WORLDCUP!BD58</f>
        <v>República Checa</v>
      </c>
      <c r="H255" s="9" t="str">
        <f ca="1">+WORLDCUP!BD61</f>
        <v>Turquía</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España</v>
      </c>
      <c r="D256" s="9" t="str">
        <f ca="1">+WORLDCUP!BD67</f>
        <v>Jordania</v>
      </c>
      <c r="E256" s="9" t="str">
        <f ca="1">+WORLDCUP!BD62</f>
        <v>Ecuador</v>
      </c>
      <c r="F256" s="9" t="str">
        <f ca="1">+WORLDCUP!BD60</f>
        <v>Marruecos</v>
      </c>
      <c r="G256" s="9" t="str">
        <f ca="1">+WORLDCUP!BD58</f>
        <v>República Checa</v>
      </c>
      <c r="H256" s="9" t="str">
        <f ca="1">+WORLDCUP!BD61</f>
        <v>Turquía</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Jordania</v>
      </c>
      <c r="F257" s="9" t="str">
        <f ca="1">+WORLDCUP!BD60</f>
        <v>Marruecos</v>
      </c>
      <c r="G257" s="9" t="str">
        <f ca="1">+WORLDCUP!BD58</f>
        <v>República Checa</v>
      </c>
      <c r="H257" s="9" t="str">
        <f ca="1">+WORLDCUP!BD61</f>
        <v>Turquía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Marruecos</v>
      </c>
      <c r="G258" s="9" t="str">
        <f ca="1">+WORLDCUP!BD58</f>
        <v>República Checa</v>
      </c>
      <c r="H258" s="9" t="str">
        <f ca="1">+WORLDCUP!BD61</f>
        <v>Turquía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Jordania</v>
      </c>
      <c r="F259" s="9" t="str">
        <f ca="1">+WORLDCUP!BD60</f>
        <v>Marruecos</v>
      </c>
      <c r="G259" s="9" t="str">
        <f ca="1">+WORLDCUP!BD58</f>
        <v>República Checa</v>
      </c>
      <c r="H259" s="9" t="str">
        <f ca="1">+WORLDCUP!BD61</f>
        <v>Turquía</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Jordania</v>
      </c>
      <c r="F260" s="9" t="str">
        <f ca="1">+WORLDCUP!BD60</f>
        <v>Marruecos</v>
      </c>
      <c r="G260" s="9" t="str">
        <f ca="1">+WORLDCUP!BD58</f>
        <v>República Checa</v>
      </c>
      <c r="H260" s="9" t="str">
        <f ca="1">+WORLDCUP!BD61</f>
        <v>Turquía</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España</v>
      </c>
      <c r="D261" s="9" t="str">
        <f ca="1">+WORLDCUP!BD64</f>
        <v>Bélgica</v>
      </c>
      <c r="E261" s="9" t="str">
        <f ca="1">+WORLDCUP!BD62</f>
        <v>Ecuador</v>
      </c>
      <c r="F261" s="9" t="str">
        <f ca="1">+WORLDCUP!BD60</f>
        <v>Marruecos</v>
      </c>
      <c r="G261" s="9" t="str">
        <f ca="1">+WORLDCUP!BD58</f>
        <v>República Checa</v>
      </c>
      <c r="H261" s="9" t="str">
        <f ca="1">+WORLDCUP!BD61</f>
        <v>Turquía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España</v>
      </c>
      <c r="D262" s="9" t="str">
        <f ca="1">+WORLDCUP!BD64</f>
        <v>Bélgica</v>
      </c>
      <c r="E262" s="9" t="str">
        <f ca="1">+WORLDCUP!BD67</f>
        <v>Jordania</v>
      </c>
      <c r="F262" s="9" t="str">
        <f ca="1">+WORLDCUP!BD60</f>
        <v>Marruecos</v>
      </c>
      <c r="G262" s="9" t="str">
        <f ca="1">+WORLDCUP!BD58</f>
        <v>República Checa</v>
      </c>
      <c r="H262" s="9" t="str">
        <f ca="1">+WORLDCUP!BD61</f>
        <v>Turquía</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España</v>
      </c>
      <c r="D263" s="9" t="str">
        <f ca="1">+WORLDCUP!BD64</f>
        <v>Bélgica</v>
      </c>
      <c r="E263" s="9" t="str">
        <f ca="1">+WORLDCUP!BD67</f>
        <v>Jordania</v>
      </c>
      <c r="F263" s="9" t="str">
        <f ca="1">+WORLDCUP!BD60</f>
        <v>Marruecos</v>
      </c>
      <c r="G263" s="9" t="str">
        <f ca="1">+WORLDCUP!BD58</f>
        <v>República Checa</v>
      </c>
      <c r="H263" s="9" t="str">
        <f ca="1">+WORLDCUP!BD61</f>
        <v>Turquía</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España</v>
      </c>
      <c r="D264" s="9" t="str">
        <f ca="1">+WORLDCUP!BD64</f>
        <v>Bélgica</v>
      </c>
      <c r="E264" s="9" t="str">
        <f ca="1">+WORLDCUP!BD62</f>
        <v>Ecuador</v>
      </c>
      <c r="F264" s="9" t="str">
        <f ca="1">+WORLDCUP!BD60</f>
        <v>Marruecos</v>
      </c>
      <c r="G264" s="9" t="str">
        <f ca="1">+WORLDCUP!BD58</f>
        <v>República Checa</v>
      </c>
      <c r="H264" s="9" t="str">
        <f ca="1">+WORLDCUP!BD61</f>
        <v>Turquía</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España</v>
      </c>
      <c r="D265" s="9" t="str">
        <f ca="1">+WORLDCUP!BD64</f>
        <v>Bélgica</v>
      </c>
      <c r="E265" s="9" t="str">
        <f ca="1">+WORLDCUP!BD62</f>
        <v>Ecuador</v>
      </c>
      <c r="F265" s="9" t="str">
        <f ca="1">+WORLDCUP!BD60</f>
        <v>Marruecos</v>
      </c>
      <c r="G265" s="9" t="str">
        <f ca="1">+WORLDCUP!BD58</f>
        <v>República Checa</v>
      </c>
      <c r="H265" s="9" t="str">
        <f ca="1">+WORLDCUP!BD61</f>
        <v>Turquía</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España</v>
      </c>
      <c r="D266" s="9" t="str">
        <f ca="1">+WORLDCUP!BD64</f>
        <v>Bélgica</v>
      </c>
      <c r="E266" s="9" t="str">
        <f ca="1">+WORLDCUP!BD67</f>
        <v>Jordania</v>
      </c>
      <c r="F266" s="9" t="str">
        <f ca="1">+WORLDCUP!BD60</f>
        <v>Marruecos</v>
      </c>
      <c r="G266" s="9" t="str">
        <f ca="1">+WORLDCUP!BD58</f>
        <v>República Checa</v>
      </c>
      <c r="H266" s="9" t="str">
        <f ca="1">+WORLDCUP!BD61</f>
        <v>Turquía</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Jordania</v>
      </c>
      <c r="E267" s="9" t="str">
        <f ca="1">+WORLDCUP!BD62</f>
        <v>Ecuador</v>
      </c>
      <c r="F267" s="9" t="str">
        <f ca="1">+WORLDCUP!BD61</f>
        <v>Turquía</v>
      </c>
      <c r="G267" s="9" t="str">
        <f ca="1">+WORLDCUP!BD58</f>
        <v>República Checa</v>
      </c>
      <c r="H267" s="9" t="str">
        <f ca="1">+WORLDCUP!BD63</f>
        <v>Japón</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Senegal</v>
      </c>
      <c r="F268" s="9" t="str">
        <f ca="1">+WORLDCUP!BD61</f>
        <v>Turquía</v>
      </c>
      <c r="G268" s="9" t="str">
        <f ca="1">+WORLDCUP!BD58</f>
        <v>República Checa</v>
      </c>
      <c r="H268" s="9" t="str">
        <f ca="1">+WORLDCUP!BD63</f>
        <v>Japón</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Jordania</v>
      </c>
      <c r="E269" s="9" t="str">
        <f ca="1">+WORLDCUP!BD62</f>
        <v>Ecuador</v>
      </c>
      <c r="F269" s="9" t="str">
        <f ca="1">+WORLDCUP!BD61</f>
        <v>Turquía</v>
      </c>
      <c r="G269" s="9" t="str">
        <f ca="1">+WORLDCUP!BD58</f>
        <v>República Checa</v>
      </c>
      <c r="H269" s="9" t="str">
        <f ca="1">+WORLDCUP!BD63</f>
        <v>Japón</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Jordania</v>
      </c>
      <c r="E270" s="9" t="str">
        <f ca="1">+WORLDCUP!BD62</f>
        <v>Ecuador</v>
      </c>
      <c r="F270" s="9" t="str">
        <f ca="1">+WORLDCUP!BD61</f>
        <v>Turquía</v>
      </c>
      <c r="G270" s="9" t="str">
        <f ca="1">+WORLDCUP!BD58</f>
        <v>República Checa</v>
      </c>
      <c r="H270" s="9" t="str">
        <f ca="1">+WORLDCUP!BD63</f>
        <v>Japón</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España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España</v>
      </c>
      <c r="D272" s="9" t="str">
        <f ca="1">+WORLDCUP!BD67</f>
        <v>Jordania</v>
      </c>
      <c r="E272" s="9" t="str">
        <f ca="1">+WORLDCUP!BD63</f>
        <v>Japón</v>
      </c>
      <c r="F272" s="9" t="str">
        <f ca="1">+WORLDCUP!BD60</f>
        <v>Marruecos</v>
      </c>
      <c r="G272" s="9" t="str">
        <f ca="1">+WORLDCUP!BD58</f>
        <v>República Checa</v>
      </c>
      <c r="H272" s="9" t="str">
        <f ca="1">+WORLDCUP!BD61</f>
        <v>Turquía</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España</v>
      </c>
      <c r="D273" s="9" t="str">
        <f ca="1">+WORLDCUP!BD67</f>
        <v>Jordania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España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España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España</v>
      </c>
      <c r="D276" s="9" t="str">
        <f ca="1">+WORLDCUP!BD67</f>
        <v>Jordania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Bélgica</v>
      </c>
      <c r="E277" s="9" t="str">
        <f ca="1">+WORLDCUP!BD62</f>
        <v>Ecuador</v>
      </c>
      <c r="F277" s="9" t="str">
        <f ca="1">+WORLDCUP!BD61</f>
        <v>Turquía</v>
      </c>
      <c r="G277" s="9" t="str">
        <f ca="1">+WORLDCUP!BD58</f>
        <v>República Checa</v>
      </c>
      <c r="H277" s="9" t="str">
        <f ca="1">+WORLDCUP!BD63</f>
        <v>Japón</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Bélgica</v>
      </c>
      <c r="E278" s="9" t="str">
        <f ca="1">+WORLDCUP!BD67</f>
        <v>Jordania</v>
      </c>
      <c r="F278" s="9" t="str">
        <f ca="1">+WORLDCUP!BD61</f>
        <v>Turquía</v>
      </c>
      <c r="G278" s="9" t="str">
        <f ca="1">+WORLDCUP!BD58</f>
        <v>República Checa</v>
      </c>
      <c r="H278" s="9" t="str">
        <f ca="1">+WORLDCUP!BD63</f>
        <v>Japón</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Bélgica</v>
      </c>
      <c r="E279" s="9" t="str">
        <f ca="1">+WORLDCUP!BD67</f>
        <v>Jordania</v>
      </c>
      <c r="F279" s="9" t="str">
        <f ca="1">+WORLDCUP!BD61</f>
        <v>Turquía</v>
      </c>
      <c r="G279" s="9" t="str">
        <f ca="1">+WORLDCUP!BD58</f>
        <v>República Checa</v>
      </c>
      <c r="H279" s="9" t="str">
        <f ca="1">+WORLDCUP!BD63</f>
        <v>Japón</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Bélgica</v>
      </c>
      <c r="E280" s="9" t="str">
        <f ca="1">+WORLDCUP!BD62</f>
        <v>Ecuador</v>
      </c>
      <c r="F280" s="9" t="str">
        <f ca="1">+WORLDCUP!BD61</f>
        <v>Turquía</v>
      </c>
      <c r="G280" s="9" t="str">
        <f ca="1">+WORLDCUP!BD58</f>
        <v>República Checa</v>
      </c>
      <c r="H280" s="9" t="str">
        <f ca="1">+WORLDCUP!BD63</f>
        <v>Japón</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Bélgica</v>
      </c>
      <c r="E281" s="9" t="str">
        <f ca="1">+WORLDCUP!BD62</f>
        <v>Ecuador</v>
      </c>
      <c r="F281" s="9" t="str">
        <f ca="1">+WORLDCUP!BD61</f>
        <v>Turquía</v>
      </c>
      <c r="G281" s="9" t="str">
        <f ca="1">+WORLDCUP!BD58</f>
        <v>República Checa</v>
      </c>
      <c r="H281" s="9" t="str">
        <f ca="1">+WORLDCUP!BD63</f>
        <v>Japón</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Bélgica</v>
      </c>
      <c r="E282" s="9" t="str">
        <f ca="1">+WORLDCUP!BD67</f>
        <v>Jordania</v>
      </c>
      <c r="F282" s="9" t="str">
        <f ca="1">+WORLDCUP!BD61</f>
        <v>Turquía</v>
      </c>
      <c r="G282" s="9" t="str">
        <f ca="1">+WORLDCUP!BD58</f>
        <v>República Checa</v>
      </c>
      <c r="H282" s="9" t="str">
        <f ca="1">+WORLDCUP!BD63</f>
        <v>Japón</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España</v>
      </c>
      <c r="D283" s="9" t="str">
        <f ca="1">+WORLDCUP!BD64</f>
        <v>Bélgica</v>
      </c>
      <c r="E283" s="9" t="str">
        <f ca="1">+WORLDCUP!BD63</f>
        <v>Japón</v>
      </c>
      <c r="F283" s="9" t="str">
        <f ca="1">+WORLDCUP!BD60</f>
        <v>Marruecos</v>
      </c>
      <c r="G283" s="9" t="str">
        <f ca="1">+WORLDCUP!BD58</f>
        <v>República Checa</v>
      </c>
      <c r="H283" s="9" t="str">
        <f ca="1">+WORLDCUP!BD61</f>
        <v>Turquía</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España</v>
      </c>
      <c r="D284" s="9" t="str">
        <f ca="1">+WORLDCUP!BD64</f>
        <v>Bélgica</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España</v>
      </c>
      <c r="D285" s="9" t="str">
        <f ca="1">+WORLDCUP!BD64</f>
        <v>Bélgica</v>
      </c>
      <c r="E285" s="9" t="str">
        <f ca="1">+WORLDCUP!BD67</f>
        <v>Jordania</v>
      </c>
      <c r="F285" s="9" t="str">
        <f ca="1">+WORLDCUP!BD60</f>
        <v>Marruecos</v>
      </c>
      <c r="G285" s="9" t="str">
        <f ca="1">+WORLDCUP!BD58</f>
        <v>República Checa</v>
      </c>
      <c r="H285" s="9" t="str">
        <f ca="1">+WORLDCUP!BD63</f>
        <v>Japón</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España</v>
      </c>
      <c r="D286" s="9" t="str">
        <f ca="1">+WORLDCUP!BD64</f>
        <v>Bélgica</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España</v>
      </c>
      <c r="D287" s="9" t="str">
        <f ca="1">+WORLDCUP!BD67</f>
        <v>Jordania</v>
      </c>
      <c r="E287" s="9" t="str">
        <f ca="1">+WORLDCUP!BD59</f>
        <v>Catar</v>
      </c>
      <c r="F287" s="9" t="str">
        <f ca="1">+WORLDCUP!BD58</f>
        <v>República Checa</v>
      </c>
      <c r="G287" s="9" t="str">
        <f ca="1">+WORLDCUP!BD66</f>
        <v>Senegal</v>
      </c>
      <c r="H287" s="9" t="str">
        <f ca="1">+WORLDCUP!BD64</f>
        <v>Bélgica</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España</v>
      </c>
      <c r="D288" s="9" t="str">
        <f ca="1">+WORLDCUP!BD67</f>
        <v>Jordania</v>
      </c>
      <c r="E288" s="9" t="str">
        <f ca="1">+WORLDCUP!BD59</f>
        <v>Catar</v>
      </c>
      <c r="F288" s="9" t="str">
        <f ca="1">+WORLDCUP!BD58</f>
        <v>República Checa</v>
      </c>
      <c r="G288" s="9" t="str">
        <f ca="1">+WORLDCUP!BD66</f>
        <v>Senegal</v>
      </c>
      <c r="H288" s="9" t="str">
        <f ca="1">+WORLDCUP!BD63</f>
        <v>Japón</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Catar</v>
      </c>
      <c r="F289" s="9" t="str">
        <f ca="1">+WORLDCUP!BD63</f>
        <v>Japón</v>
      </c>
      <c r="G289" s="9" t="str">
        <f ca="1">+WORLDCUP!BD58</f>
        <v>República Checa</v>
      </c>
      <c r="H289" s="9" t="str">
        <f ca="1">+WORLDCUP!BD64</f>
        <v>Bélgica</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España</v>
      </c>
      <c r="D290" s="9" t="str">
        <f ca="1">+WORLDCUP!BD67</f>
        <v>Jordania</v>
      </c>
      <c r="E290" s="9" t="str">
        <f ca="1">+WORLDCUP!BD59</f>
        <v>Catar</v>
      </c>
      <c r="F290" s="9" t="str">
        <f ca="1">+WORLDCUP!BD63</f>
        <v>Japón</v>
      </c>
      <c r="G290" s="9" t="str">
        <f ca="1">+WORLDCUP!BD58</f>
        <v>República Checa</v>
      </c>
      <c r="H290" s="9" t="str">
        <f ca="1">+WORLDCUP!BD64</f>
        <v>Bélgica</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España</v>
      </c>
      <c r="D291" s="9" t="str">
        <f ca="1">+WORLDCUP!BD64</f>
        <v>Bélgica</v>
      </c>
      <c r="E291" s="9" t="str">
        <f ca="1">+WORLDCUP!BD59</f>
        <v>Catar</v>
      </c>
      <c r="F291" s="9" t="str">
        <f ca="1">+WORLDCUP!BD58</f>
        <v>República Checa</v>
      </c>
      <c r="G291" s="9" t="str">
        <f ca="1">+WORLDCUP!BD66</f>
        <v>Senegal</v>
      </c>
      <c r="H291" s="9" t="str">
        <f ca="1">+WORLDCUP!BD63</f>
        <v>Japón</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España</v>
      </c>
      <c r="D292" s="9" t="str">
        <f ca="1">+WORLDCUP!BD67</f>
        <v>Jordania</v>
      </c>
      <c r="E292" s="9" t="str">
        <f ca="1">+WORLDCUP!BD59</f>
        <v>Catar</v>
      </c>
      <c r="F292" s="9" t="str">
        <f ca="1">+WORLDCUP!BD63</f>
        <v>Japón</v>
      </c>
      <c r="G292" s="9" t="str">
        <f ca="1">+WORLDCUP!BD58</f>
        <v>República Checa</v>
      </c>
      <c r="H292" s="9" t="str">
        <f ca="1">+WORLDCUP!BD64</f>
        <v>Bélgica</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España</v>
      </c>
      <c r="D293" s="9" t="str">
        <f ca="1">+WORLDCUP!BD67</f>
        <v>Jordania</v>
      </c>
      <c r="E293" s="9" t="str">
        <f ca="1">+WORLDCUP!BD59</f>
        <v>Catar</v>
      </c>
      <c r="F293" s="9" t="str">
        <f ca="1">+WORLDCUP!BD63</f>
        <v>Japón</v>
      </c>
      <c r="G293" s="9" t="str">
        <f ca="1">+WORLDCUP!BD58</f>
        <v>República Checa</v>
      </c>
      <c r="H293" s="9" t="str">
        <f ca="1">+WORLDCUP!BD64</f>
        <v>Bélgica</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Jordania</v>
      </c>
      <c r="E294" s="9" t="str">
        <f ca="1">+WORLDCUP!BD59</f>
        <v>Catar</v>
      </c>
      <c r="F294" s="9" t="str">
        <f ca="1">+WORLDCUP!BD58</f>
        <v>República Checa</v>
      </c>
      <c r="G294" s="9" t="str">
        <f ca="1">+WORLDCUP!BD66</f>
        <v>Senegal</v>
      </c>
      <c r="H294" s="9" t="str">
        <f ca="1">+WORLDCUP!BD65</f>
        <v>España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Jordania</v>
      </c>
      <c r="E295" s="9" t="str">
        <f ca="1">+WORLDCUP!BD59</f>
        <v>Catar</v>
      </c>
      <c r="F295" s="9" t="str">
        <f ca="1">+WORLDCUP!BD58</f>
        <v>República Checa</v>
      </c>
      <c r="G295" s="9" t="str">
        <f ca="1">+WORLDCUP!BD66</f>
        <v>Senegal</v>
      </c>
      <c r="H295" s="9" t="str">
        <f ca="1">+WORLDCUP!BD64</f>
        <v>Bélgica</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Jordania</v>
      </c>
      <c r="E296" s="9" t="str">
        <f ca="1">+WORLDCUP!BD59</f>
        <v>Catar</v>
      </c>
      <c r="F296" s="9" t="str">
        <f ca="1">+WORLDCUP!BD58</f>
        <v>República Checa</v>
      </c>
      <c r="G296" s="9" t="str">
        <f ca="1">+WORLDCUP!BD65</f>
        <v>España</v>
      </c>
      <c r="H296" s="9" t="str">
        <f ca="1">+WORLDCUP!BD64</f>
        <v>Bélgica</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Catar</v>
      </c>
      <c r="F297" s="9" t="str">
        <f ca="1">+WORLDCUP!BD58</f>
        <v>República Checa</v>
      </c>
      <c r="G297" s="9" t="str">
        <f ca="1">+WORLDCUP!BD66</f>
        <v>Senegal</v>
      </c>
      <c r="H297" s="9" t="str">
        <f ca="1">+WORLDCUP!BD65</f>
        <v>España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Jordania</v>
      </c>
      <c r="E298" s="9" t="str">
        <f ca="1">+WORLDCUP!BD59</f>
        <v>Catar</v>
      </c>
      <c r="F298" s="9" t="str">
        <f ca="1">+WORLDCUP!BD58</f>
        <v>República Checa</v>
      </c>
      <c r="G298" s="9" t="str">
        <f ca="1">+WORLDCUP!BD65</f>
        <v>España</v>
      </c>
      <c r="H298" s="9" t="str">
        <f ca="1">+WORLDCUP!BD64</f>
        <v>Bélgica</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Jordania</v>
      </c>
      <c r="E299" s="9" t="str">
        <f ca="1">+WORLDCUP!BD59</f>
        <v>Catar</v>
      </c>
      <c r="F299" s="9" t="str">
        <f ca="1">+WORLDCUP!BD58</f>
        <v>República Checa</v>
      </c>
      <c r="G299" s="9" t="str">
        <f ca="1">+WORLDCUP!BD65</f>
        <v>España</v>
      </c>
      <c r="H299" s="9" t="str">
        <f ca="1">+WORLDCUP!BD64</f>
        <v>Bélgica</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Jordania</v>
      </c>
      <c r="E300" s="9" t="str">
        <f ca="1">+WORLDCUP!BD59</f>
        <v>Catar</v>
      </c>
      <c r="F300" s="9" t="str">
        <f ca="1">+WORLDCUP!BD58</f>
        <v>República Checa</v>
      </c>
      <c r="G300" s="9" t="str">
        <f ca="1">+WORLDCUP!BD66</f>
        <v>Senegal</v>
      </c>
      <c r="H300" s="9" t="str">
        <f ca="1">+WORLDCUP!BD63</f>
        <v>Japón</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Jordania</v>
      </c>
      <c r="E301" s="9" t="str">
        <f ca="1">+WORLDCUP!BD59</f>
        <v>Catar</v>
      </c>
      <c r="F301" s="9" t="str">
        <f ca="1">+WORLDCUP!BD63</f>
        <v>Japón</v>
      </c>
      <c r="G301" s="9" t="str">
        <f ca="1">+WORLDCUP!BD58</f>
        <v>República Checa</v>
      </c>
      <c r="H301" s="9" t="str">
        <f ca="1">+WORLDCUP!BD65</f>
        <v>España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Catar</v>
      </c>
      <c r="F302" s="9" t="str">
        <f ca="1">+WORLDCUP!BD63</f>
        <v>Japón</v>
      </c>
      <c r="G302" s="9" t="str">
        <f ca="1">+WORLDCUP!BD58</f>
        <v>República Checa</v>
      </c>
      <c r="H302" s="9" t="str">
        <f ca="1">+WORLDCUP!BD65</f>
        <v>España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Jordania</v>
      </c>
      <c r="E303" s="9" t="str">
        <f ca="1">+WORLDCUP!BD59</f>
        <v>Catar</v>
      </c>
      <c r="F303" s="9" t="str">
        <f ca="1">+WORLDCUP!BD63</f>
        <v>Japón</v>
      </c>
      <c r="G303" s="9" t="str">
        <f ca="1">+WORLDCUP!BD58</f>
        <v>República Checa</v>
      </c>
      <c r="H303" s="9" t="str">
        <f ca="1">+WORLDCUP!BD65</f>
        <v>España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Jordania</v>
      </c>
      <c r="E304" s="9" t="str">
        <f ca="1">+WORLDCUP!BD59</f>
        <v>Catar</v>
      </c>
      <c r="F304" s="9" t="str">
        <f ca="1">+WORLDCUP!BD63</f>
        <v>Japón</v>
      </c>
      <c r="G304" s="9" t="str">
        <f ca="1">+WORLDCUP!BD58</f>
        <v>República Checa</v>
      </c>
      <c r="H304" s="9" t="str">
        <f ca="1">+WORLDCUP!BD65</f>
        <v>España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Jordania</v>
      </c>
      <c r="E305" s="9" t="str">
        <f ca="1">+WORLDCUP!BD59</f>
        <v>Catar</v>
      </c>
      <c r="F305" s="9" t="str">
        <f ca="1">+WORLDCUP!BD63</f>
        <v>Japón</v>
      </c>
      <c r="G305" s="9" t="str">
        <f ca="1">+WORLDCUP!BD58</f>
        <v>República Checa</v>
      </c>
      <c r="H305" s="9" t="str">
        <f ca="1">+WORLDCUP!BD64</f>
        <v>Bélgica</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Catar</v>
      </c>
      <c r="F306" s="9" t="str">
        <f ca="1">+WORLDCUP!BD58</f>
        <v>República Checa</v>
      </c>
      <c r="G306" s="9" t="str">
        <f ca="1">+WORLDCUP!BD66</f>
        <v>Senegal</v>
      </c>
      <c r="H306" s="9" t="str">
        <f ca="1">+WORLDCUP!BD63</f>
        <v>Japón</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Jordania</v>
      </c>
      <c r="E307" s="9" t="str">
        <f ca="1">+WORLDCUP!BD59</f>
        <v>Catar</v>
      </c>
      <c r="F307" s="9" t="str">
        <f ca="1">+WORLDCUP!BD63</f>
        <v>Japón</v>
      </c>
      <c r="G307" s="9" t="str">
        <f ca="1">+WORLDCUP!BD58</f>
        <v>República Checa</v>
      </c>
      <c r="H307" s="9" t="str">
        <f ca="1">+WORLDCUP!BD64</f>
        <v>Bélgica</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Jordania</v>
      </c>
      <c r="E308" s="9" t="str">
        <f ca="1">+WORLDCUP!BD59</f>
        <v>Catar</v>
      </c>
      <c r="F308" s="9" t="str">
        <f ca="1">+WORLDCUP!BD63</f>
        <v>Japón</v>
      </c>
      <c r="G308" s="9" t="str">
        <f ca="1">+WORLDCUP!BD58</f>
        <v>República Checa</v>
      </c>
      <c r="H308" s="9" t="str">
        <f ca="1">+WORLDCUP!BD64</f>
        <v>Bélgica</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Catar</v>
      </c>
      <c r="F309" s="9" t="str">
        <f ca="1">+WORLDCUP!BD63</f>
        <v>Japón</v>
      </c>
      <c r="G309" s="9" t="str">
        <f ca="1">+WORLDCUP!BD58</f>
        <v>República Checa</v>
      </c>
      <c r="H309" s="9" t="str">
        <f ca="1">+WORLDCUP!BD65</f>
        <v>España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España</v>
      </c>
      <c r="D310" s="9" t="str">
        <f ca="1">+WORLDCUP!BD67</f>
        <v>Jordania</v>
      </c>
      <c r="E310" s="9" t="str">
        <f ca="1">+WORLDCUP!BD59</f>
        <v>Catar</v>
      </c>
      <c r="F310" s="9" t="str">
        <f ca="1">+WORLDCUP!BD63</f>
        <v>Japón</v>
      </c>
      <c r="G310" s="9" t="str">
        <f ca="1">+WORLDCUP!BD58</f>
        <v>República Checa</v>
      </c>
      <c r="H310" s="9" t="str">
        <f ca="1">+WORLDCUP!BD64</f>
        <v>Bélgica</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España</v>
      </c>
      <c r="D311" s="9" t="str">
        <f ca="1">+WORLDCUP!BD67</f>
        <v>Jordania</v>
      </c>
      <c r="E311" s="9" t="str">
        <f ca="1">+WORLDCUP!BD59</f>
        <v>Catar</v>
      </c>
      <c r="F311" s="9" t="str">
        <f ca="1">+WORLDCUP!BD63</f>
        <v>Japón</v>
      </c>
      <c r="G311" s="9" t="str">
        <f ca="1">+WORLDCUP!BD58</f>
        <v>República Checa</v>
      </c>
      <c r="H311" s="9" t="str">
        <f ca="1">+WORLDCUP!BD64</f>
        <v>Bélgica</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Catar</v>
      </c>
      <c r="F312" s="9" t="str">
        <f ca="1">+WORLDCUP!BD63</f>
        <v>Japón</v>
      </c>
      <c r="G312" s="9" t="str">
        <f ca="1">+WORLDCUP!BD58</f>
        <v>República Checa</v>
      </c>
      <c r="H312" s="9" t="str">
        <f ca="1">+WORLDCUP!BD65</f>
        <v>España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Catar</v>
      </c>
      <c r="F313" s="9" t="str">
        <f ca="1">+WORLDCUP!BD63</f>
        <v>Japón</v>
      </c>
      <c r="G313" s="9" t="str">
        <f ca="1">+WORLDCUP!BD58</f>
        <v>República Checa</v>
      </c>
      <c r="H313" s="9" t="str">
        <f ca="1">+WORLDCUP!BD65</f>
        <v>España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España</v>
      </c>
      <c r="D314" s="9" t="str">
        <f ca="1">+WORLDCUP!BD67</f>
        <v>Jordania</v>
      </c>
      <c r="E314" s="9" t="str">
        <f ca="1">+WORLDCUP!BD59</f>
        <v>Catar</v>
      </c>
      <c r="F314" s="9" t="str">
        <f ca="1">+WORLDCUP!BD63</f>
        <v>Japón</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Catar</v>
      </c>
      <c r="F315" s="9" t="str">
        <f ca="1">+WORLDCUP!BD61</f>
        <v>Turquía</v>
      </c>
      <c r="G315" s="9" t="str">
        <f ca="1">+WORLDCUP!BD58</f>
        <v>República Checa</v>
      </c>
      <c r="H315" s="9" t="str">
        <f ca="1">+WORLDCUP!BD65</f>
        <v>España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Catar</v>
      </c>
      <c r="F316" s="9" t="str">
        <f ca="1">+WORLDCUP!BD61</f>
        <v>Turquía</v>
      </c>
      <c r="G316" s="9" t="str">
        <f ca="1">+WORLDCUP!BD58</f>
        <v>República Checa</v>
      </c>
      <c r="H316" s="9" t="str">
        <f ca="1">+WORLDCUP!BD64</f>
        <v>Bélgica</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España</v>
      </c>
      <c r="D317" s="9" t="str">
        <f ca="1">+WORLDCUP!BD67</f>
        <v>Jordania</v>
      </c>
      <c r="E317" s="9" t="str">
        <f ca="1">+WORLDCUP!BD59</f>
        <v>Catar</v>
      </c>
      <c r="F317" s="9" t="str">
        <f ca="1">+WORLDCUP!BD61</f>
        <v>Turquía</v>
      </c>
      <c r="G317" s="9" t="str">
        <f ca="1">+WORLDCUP!BD58</f>
        <v>República Checa</v>
      </c>
      <c r="H317" s="9" t="str">
        <f ca="1">+WORLDCUP!BD64</f>
        <v>Bélgica</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Catar</v>
      </c>
      <c r="F318" s="9" t="str">
        <f ca="1">+WORLDCUP!BD61</f>
        <v>Turquía</v>
      </c>
      <c r="G318" s="9" t="str">
        <f ca="1">+WORLDCUP!BD58</f>
        <v>República Checa</v>
      </c>
      <c r="H318" s="9" t="str">
        <f ca="1">+WORLDCUP!BD65</f>
        <v>España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España</v>
      </c>
      <c r="D319" s="9" t="str">
        <f ca="1">+WORLDCUP!BD67</f>
        <v>Jordania</v>
      </c>
      <c r="E319" s="9" t="str">
        <f ca="1">+WORLDCUP!BD59</f>
        <v>Catar</v>
      </c>
      <c r="F319" s="9" t="str">
        <f ca="1">+WORLDCUP!BD61</f>
        <v>Turquía</v>
      </c>
      <c r="G319" s="9" t="str">
        <f ca="1">+WORLDCUP!BD58</f>
        <v>República Checa</v>
      </c>
      <c r="H319" s="9" t="str">
        <f ca="1">+WORLDCUP!BD64</f>
        <v>Bélgica</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España</v>
      </c>
      <c r="D320" s="9" t="str">
        <f ca="1">+WORLDCUP!BD67</f>
        <v>Jordania</v>
      </c>
      <c r="E320" s="9" t="str">
        <f ca="1">+WORLDCUP!BD59</f>
        <v>Catar</v>
      </c>
      <c r="F320" s="9" t="str">
        <f ca="1">+WORLDCUP!BD61</f>
        <v>Turquía</v>
      </c>
      <c r="G320" s="9" t="str">
        <f ca="1">+WORLDCUP!BD58</f>
        <v>República Checa</v>
      </c>
      <c r="H320" s="9" t="str">
        <f ca="1">+WORLDCUP!BD64</f>
        <v>Bélgica</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Catar</v>
      </c>
      <c r="F321" s="9" t="str">
        <f ca="1">+WORLDCUP!BD61</f>
        <v>Turquía</v>
      </c>
      <c r="G321" s="9" t="str">
        <f ca="1">+WORLDCUP!BD58</f>
        <v>República Checa</v>
      </c>
      <c r="H321" s="9" t="str">
        <f ca="1">+WORLDCUP!BD63</f>
        <v>Japón</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España</v>
      </c>
      <c r="D322" s="9" t="str">
        <f ca="1">+WORLDCUP!BD67</f>
        <v>Jordania</v>
      </c>
      <c r="E322" s="9" t="str">
        <f ca="1">+WORLDCUP!BD59</f>
        <v>Catar</v>
      </c>
      <c r="F322" s="9" t="str">
        <f ca="1">+WORLDCUP!BD61</f>
        <v>Turquía</v>
      </c>
      <c r="G322" s="9" t="str">
        <f ca="1">+WORLDCUP!BD58</f>
        <v>República Checa</v>
      </c>
      <c r="H322" s="9" t="str">
        <f ca="1">+WORLDCUP!BD63</f>
        <v>Japón</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España</v>
      </c>
      <c r="D323" s="9" t="str">
        <f ca="1">+WORLDCUP!BD66</f>
        <v>Senegal</v>
      </c>
      <c r="E323" s="9" t="str">
        <f ca="1">+WORLDCUP!BD59</f>
        <v>Catar</v>
      </c>
      <c r="F323" s="9" t="str">
        <f ca="1">+WORLDCUP!BD61</f>
        <v>Turquía</v>
      </c>
      <c r="G323" s="9" t="str">
        <f ca="1">+WORLDCUP!BD58</f>
        <v>República Checa</v>
      </c>
      <c r="H323" s="9" t="str">
        <f ca="1">+WORLDCUP!BD63</f>
        <v>Japón</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España</v>
      </c>
      <c r="D324" s="9" t="str">
        <f ca="1">+WORLDCUP!BD67</f>
        <v>Jordania</v>
      </c>
      <c r="E324" s="9" t="str">
        <f ca="1">+WORLDCUP!BD59</f>
        <v>Catar</v>
      </c>
      <c r="F324" s="9" t="str">
        <f ca="1">+WORLDCUP!BD61</f>
        <v>Turquía</v>
      </c>
      <c r="G324" s="9" t="str">
        <f ca="1">+WORLDCUP!BD58</f>
        <v>República Checa</v>
      </c>
      <c r="H324" s="9" t="str">
        <f ca="1">+WORLDCUP!BD63</f>
        <v>Japón</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España</v>
      </c>
      <c r="D325" s="9" t="str">
        <f ca="1">+WORLDCUP!BD67</f>
        <v>Jordania</v>
      </c>
      <c r="E325" s="9" t="str">
        <f ca="1">+WORLDCUP!BD59</f>
        <v>Catar</v>
      </c>
      <c r="F325" s="9" t="str">
        <f ca="1">+WORLDCUP!BD61</f>
        <v>Turquía</v>
      </c>
      <c r="G325" s="9" t="str">
        <f ca="1">+WORLDCUP!BD58</f>
        <v>República Checa</v>
      </c>
      <c r="H325" s="9" t="str">
        <f ca="1">+WORLDCUP!BD63</f>
        <v>Japón</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Jordania</v>
      </c>
      <c r="E326" s="9" t="str">
        <f ca="1">+WORLDCUP!BD59</f>
        <v>Catar</v>
      </c>
      <c r="F326" s="9" t="str">
        <f ca="1">+WORLDCUP!BD61</f>
        <v>Turquía</v>
      </c>
      <c r="G326" s="9" t="str">
        <f ca="1">+WORLDCUP!BD58</f>
        <v>República Checa</v>
      </c>
      <c r="H326" s="9" t="str">
        <f ca="1">+WORLDCUP!BD64</f>
        <v>Bélgica</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Catar</v>
      </c>
      <c r="F327" s="9" t="str">
        <f ca="1">+WORLDCUP!BD61</f>
        <v>Turquía</v>
      </c>
      <c r="G327" s="9" t="str">
        <f ca="1">+WORLDCUP!BD58</f>
        <v>República Checa</v>
      </c>
      <c r="H327" s="9" t="str">
        <f ca="1">+WORLDCUP!BD63</f>
        <v>Japón</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Jordania</v>
      </c>
      <c r="E328" s="9" t="str">
        <f ca="1">+WORLDCUP!BD59</f>
        <v>Catar</v>
      </c>
      <c r="F328" s="9" t="str">
        <f ca="1">+WORLDCUP!BD61</f>
        <v>Turquía</v>
      </c>
      <c r="G328" s="9" t="str">
        <f ca="1">+WORLDCUP!BD58</f>
        <v>República Checa</v>
      </c>
      <c r="H328" s="9" t="str">
        <f ca="1">+WORLDCUP!BD64</f>
        <v>Bélgica</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Jordania</v>
      </c>
      <c r="E329" s="9" t="str">
        <f ca="1">+WORLDCUP!BD59</f>
        <v>Catar</v>
      </c>
      <c r="F329" s="9" t="str">
        <f ca="1">+WORLDCUP!BD61</f>
        <v>Turquía</v>
      </c>
      <c r="G329" s="9" t="str">
        <f ca="1">+WORLDCUP!BD58</f>
        <v>República Checa</v>
      </c>
      <c r="H329" s="9" t="str">
        <f ca="1">+WORLDCUP!BD64</f>
        <v>Bélgica</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España</v>
      </c>
      <c r="D330" s="9" t="str">
        <f ca="1">+WORLDCUP!BD64</f>
        <v>Bélgica</v>
      </c>
      <c r="E330" s="9" t="str">
        <f ca="1">+WORLDCUP!BD59</f>
        <v>Catar</v>
      </c>
      <c r="F330" s="9" t="str">
        <f ca="1">+WORLDCUP!BD61</f>
        <v>Turquía</v>
      </c>
      <c r="G330" s="9" t="str">
        <f ca="1">+WORLDCUP!BD58</f>
        <v>República Checa</v>
      </c>
      <c r="H330" s="9" t="str">
        <f ca="1">+WORLDCUP!BD63</f>
        <v>Japón</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España</v>
      </c>
      <c r="D331" s="9" t="str">
        <f ca="1">+WORLDCUP!BD64</f>
        <v>Bélgica</v>
      </c>
      <c r="E331" s="9" t="str">
        <f ca="1">+WORLDCUP!BD59</f>
        <v>Catar</v>
      </c>
      <c r="F331" s="9" t="str">
        <f ca="1">+WORLDCUP!BD61</f>
        <v>Turquía</v>
      </c>
      <c r="G331" s="9" t="str">
        <f ca="1">+WORLDCUP!BD58</f>
        <v>República Checa</v>
      </c>
      <c r="H331" s="9" t="str">
        <f ca="1">+WORLDCUP!BD63</f>
        <v>Japón</v>
      </c>
      <c r="I331" s="9" t="str">
        <f ca="1">+WORLDCUP!BD69</f>
        <v>Ghana</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España</v>
      </c>
      <c r="D332" s="9" t="str">
        <f ca="1">+WORLDCUP!BD64</f>
        <v>Bélgica</v>
      </c>
      <c r="E332" s="9" t="str">
        <f ca="1">+WORLDCUP!BD59</f>
        <v>Catar</v>
      </c>
      <c r="F332" s="9" t="str">
        <f ca="1">+WORLDCUP!BD61</f>
        <v>Turquía</v>
      </c>
      <c r="G332" s="9" t="str">
        <f ca="1">+WORLDCUP!BD58</f>
        <v>República Checa</v>
      </c>
      <c r="H332" s="9" t="str">
        <f ca="1">+WORLDCUP!BD63</f>
        <v>Japón</v>
      </c>
      <c r="I332" s="9" t="str">
        <f ca="1">+WORLDCUP!BD67</f>
        <v>Jordania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España</v>
      </c>
      <c r="D333" s="9" t="str">
        <f ca="1">+WORLDCUP!BD64</f>
        <v>Bélgica</v>
      </c>
      <c r="E333" s="9" t="str">
        <f ca="1">+WORLDCUP!BD59</f>
        <v>Catar</v>
      </c>
      <c r="F333" s="9" t="str">
        <f ca="1">+WORLDCUP!BD61</f>
        <v>Turquía</v>
      </c>
      <c r="G333" s="9" t="str">
        <f ca="1">+WORLDCUP!BD58</f>
        <v>República Checa</v>
      </c>
      <c r="H333" s="9" t="str">
        <f ca="1">+WORLDCUP!BD63</f>
        <v>Japón</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España</v>
      </c>
      <c r="D334" s="9" t="str">
        <f ca="1">+WORLDCUP!BD64</f>
        <v>Bélgica</v>
      </c>
      <c r="E334" s="9" t="str">
        <f ca="1">+WORLDCUP!BD59</f>
        <v>Catar</v>
      </c>
      <c r="F334" s="9" t="str">
        <f ca="1">+WORLDCUP!BD61</f>
        <v>Turquía</v>
      </c>
      <c r="G334" s="9" t="str">
        <f ca="1">+WORLDCUP!BD58</f>
        <v>República Checa</v>
      </c>
      <c r="H334" s="9" t="str">
        <f ca="1">+WORLDCUP!BD63</f>
        <v>Japón</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España</v>
      </c>
      <c r="D335" s="9" t="str">
        <f ca="1">+WORLDCUP!BD64</f>
        <v>Bélgica</v>
      </c>
      <c r="E335" s="9" t="str">
        <f ca="1">+WORLDCUP!BD59</f>
        <v>Catar</v>
      </c>
      <c r="F335" s="9" t="str">
        <f ca="1">+WORLDCUP!BD61</f>
        <v>Turquía</v>
      </c>
      <c r="G335" s="9" t="str">
        <f ca="1">+WORLDCUP!BD58</f>
        <v>República Checa</v>
      </c>
      <c r="H335" s="9" t="str">
        <f ca="1">+WORLDCUP!BD63</f>
        <v>Japón</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Jordania</v>
      </c>
      <c r="E336" s="9" t="str">
        <f ca="1">+WORLDCUP!BD59</f>
        <v>Catar</v>
      </c>
      <c r="F336" s="9" t="str">
        <f ca="1">+WORLDCUP!BD58</f>
        <v>República Checa</v>
      </c>
      <c r="G336" s="9" t="str">
        <f ca="1">+WORLDCUP!BD66</f>
        <v>Senegal</v>
      </c>
      <c r="H336" s="9" t="str">
        <f ca="1">+WORLDCUP!BD61</f>
        <v>Turquía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Jordania</v>
      </c>
      <c r="E337" s="9" t="str">
        <f ca="1">+WORLDCUP!BD59</f>
        <v>Catar</v>
      </c>
      <c r="F337" s="9" t="str">
        <f ca="1">+WORLDCUP!BD61</f>
        <v>Turquía</v>
      </c>
      <c r="G337" s="9" t="str">
        <f ca="1">+WORLDCUP!BD58</f>
        <v>República Checa</v>
      </c>
      <c r="H337" s="9" t="str">
        <f ca="1">+WORLDCUP!BD65</f>
        <v>España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Catar</v>
      </c>
      <c r="F338" s="9" t="str">
        <f ca="1">+WORLDCUP!BD61</f>
        <v>Turquía</v>
      </c>
      <c r="G338" s="9" t="str">
        <f ca="1">+WORLDCUP!BD58</f>
        <v>República Checa</v>
      </c>
      <c r="H338" s="9" t="str">
        <f ca="1">+WORLDCUP!BD65</f>
        <v>España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Jordania</v>
      </c>
      <c r="E339" s="9" t="str">
        <f ca="1">+WORLDCUP!BD59</f>
        <v>Catar</v>
      </c>
      <c r="F339" s="9" t="str">
        <f ca="1">+WORLDCUP!BD61</f>
        <v>Turquía</v>
      </c>
      <c r="G339" s="9" t="str">
        <f ca="1">+WORLDCUP!BD58</f>
        <v>República Checa</v>
      </c>
      <c r="H339" s="9" t="str">
        <f ca="1">+WORLDCUP!BD65</f>
        <v>España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Jordania</v>
      </c>
      <c r="E340" s="9" t="str">
        <f ca="1">+WORLDCUP!BD59</f>
        <v>Catar</v>
      </c>
      <c r="F340" s="9" t="str">
        <f ca="1">+WORLDCUP!BD61</f>
        <v>Turquía</v>
      </c>
      <c r="G340" s="9" t="str">
        <f ca="1">+WORLDCUP!BD58</f>
        <v>República Checa</v>
      </c>
      <c r="H340" s="9" t="str">
        <f ca="1">+WORLDCUP!BD65</f>
        <v>España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Jordania</v>
      </c>
      <c r="E341" s="9" t="str">
        <f ca="1">+WORLDCUP!BD59</f>
        <v>Catar</v>
      </c>
      <c r="F341" s="9" t="str">
        <f ca="1">+WORLDCUP!BD61</f>
        <v>Turquía</v>
      </c>
      <c r="G341" s="9" t="str">
        <f ca="1">+WORLDCUP!BD58</f>
        <v>República Checa</v>
      </c>
      <c r="H341" s="9" t="str">
        <f ca="1">+WORLDCUP!BD64</f>
        <v>Bélgica</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Catar</v>
      </c>
      <c r="F342" s="9" t="str">
        <f ca="1">+WORLDCUP!BD58</f>
        <v>República Checa</v>
      </c>
      <c r="G342" s="9" t="str">
        <f ca="1">+WORLDCUP!BD66</f>
        <v>Senegal</v>
      </c>
      <c r="H342" s="9" t="str">
        <f ca="1">+WORLDCUP!BD61</f>
        <v>Turquía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Jordania</v>
      </c>
      <c r="E343" s="9" t="str">
        <f ca="1">+WORLDCUP!BD59</f>
        <v>Catar</v>
      </c>
      <c r="F343" s="9" t="str">
        <f ca="1">+WORLDCUP!BD61</f>
        <v>Turquía</v>
      </c>
      <c r="G343" s="9" t="str">
        <f ca="1">+WORLDCUP!BD58</f>
        <v>República Checa</v>
      </c>
      <c r="H343" s="9" t="str">
        <f ca="1">+WORLDCUP!BD64</f>
        <v>Bélgica</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Jordania</v>
      </c>
      <c r="E344" s="9" t="str">
        <f ca="1">+WORLDCUP!BD59</f>
        <v>Catar</v>
      </c>
      <c r="F344" s="9" t="str">
        <f ca="1">+WORLDCUP!BD61</f>
        <v>Turquía</v>
      </c>
      <c r="G344" s="9" t="str">
        <f ca="1">+WORLDCUP!BD58</f>
        <v>República Checa</v>
      </c>
      <c r="H344" s="9" t="str">
        <f ca="1">+WORLDCUP!BD64</f>
        <v>Bélgica</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Catar</v>
      </c>
      <c r="F345" s="9" t="str">
        <f ca="1">+WORLDCUP!BD61</f>
        <v>Turquía</v>
      </c>
      <c r="G345" s="9" t="str">
        <f ca="1">+WORLDCUP!BD58</f>
        <v>República Checa</v>
      </c>
      <c r="H345" s="9" t="str">
        <f ca="1">+WORLDCUP!BD65</f>
        <v>España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España</v>
      </c>
      <c r="D346" s="9" t="str">
        <f ca="1">+WORLDCUP!BD67</f>
        <v>Jordania</v>
      </c>
      <c r="E346" s="9" t="str">
        <f ca="1">+WORLDCUP!BD59</f>
        <v>Catar</v>
      </c>
      <c r="F346" s="9" t="str">
        <f ca="1">+WORLDCUP!BD61</f>
        <v>Turquía</v>
      </c>
      <c r="G346" s="9" t="str">
        <f ca="1">+WORLDCUP!BD58</f>
        <v>República Checa</v>
      </c>
      <c r="H346" s="9" t="str">
        <f ca="1">+WORLDCUP!BD64</f>
        <v>Bélgica</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España</v>
      </c>
      <c r="D347" s="9" t="str">
        <f ca="1">+WORLDCUP!BD67</f>
        <v>Jordania</v>
      </c>
      <c r="E347" s="9" t="str">
        <f ca="1">+WORLDCUP!BD59</f>
        <v>Catar</v>
      </c>
      <c r="F347" s="9" t="str">
        <f ca="1">+WORLDCUP!BD61</f>
        <v>Turquía</v>
      </c>
      <c r="G347" s="9" t="str">
        <f ca="1">+WORLDCUP!BD58</f>
        <v>República Checa</v>
      </c>
      <c r="H347" s="9" t="str">
        <f ca="1">+WORLDCUP!BD64</f>
        <v>Bélgica</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Catar</v>
      </c>
      <c r="F348" s="9" t="str">
        <f ca="1">+WORLDCUP!BD61</f>
        <v>Turquía</v>
      </c>
      <c r="G348" s="9" t="str">
        <f ca="1">+WORLDCUP!BD58</f>
        <v>República Checa</v>
      </c>
      <c r="H348" s="9" t="str">
        <f ca="1">+WORLDCUP!BD65</f>
        <v>España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Catar</v>
      </c>
      <c r="F349" s="9" t="str">
        <f ca="1">+WORLDCUP!BD61</f>
        <v>Turquía</v>
      </c>
      <c r="G349" s="9" t="str">
        <f ca="1">+WORLDCUP!BD58</f>
        <v>República Checa</v>
      </c>
      <c r="H349" s="9" t="str">
        <f ca="1">+WORLDCUP!BD65</f>
        <v>España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España</v>
      </c>
      <c r="D350" s="9" t="str">
        <f ca="1">+WORLDCUP!BD67</f>
        <v>Jordania</v>
      </c>
      <c r="E350" s="9" t="str">
        <f ca="1">+WORLDCUP!BD59</f>
        <v>Catar</v>
      </c>
      <c r="F350" s="9" t="str">
        <f ca="1">+WORLDCUP!BD61</f>
        <v>Turquía</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Jordania</v>
      </c>
      <c r="E351" s="9" t="str">
        <f ca="1">+WORLDCUP!BD59</f>
        <v>Catar</v>
      </c>
      <c r="F351" s="9" t="str">
        <f ca="1">+WORLDCUP!BD61</f>
        <v>Turquía</v>
      </c>
      <c r="G351" s="9" t="str">
        <f ca="1">+WORLDCUP!BD58</f>
        <v>República Checa</v>
      </c>
      <c r="H351" s="9" t="str">
        <f ca="1">+WORLDCUP!BD63</f>
        <v>Japón</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Catar</v>
      </c>
      <c r="F352" s="9" t="str">
        <f ca="1">+WORLDCUP!BD61</f>
        <v>Turquía</v>
      </c>
      <c r="G352" s="9" t="str">
        <f ca="1">+WORLDCUP!BD58</f>
        <v>República Checa</v>
      </c>
      <c r="H352" s="9" t="str">
        <f ca="1">+WORLDCUP!BD63</f>
        <v>Japón</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Jordania</v>
      </c>
      <c r="E353" s="9" t="str">
        <f ca="1">+WORLDCUP!BD59</f>
        <v>Catar</v>
      </c>
      <c r="F353" s="9" t="str">
        <f ca="1">+WORLDCUP!BD61</f>
        <v>Turquía</v>
      </c>
      <c r="G353" s="9" t="str">
        <f ca="1">+WORLDCUP!BD58</f>
        <v>República Checa</v>
      </c>
      <c r="H353" s="9" t="str">
        <f ca="1">+WORLDCUP!BD63</f>
        <v>Japón</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Jordania</v>
      </c>
      <c r="E354" s="9" t="str">
        <f ca="1">+WORLDCUP!BD59</f>
        <v>Catar</v>
      </c>
      <c r="F354" s="9" t="str">
        <f ca="1">+WORLDCUP!BD61</f>
        <v>Turquía</v>
      </c>
      <c r="G354" s="9" t="str">
        <f ca="1">+WORLDCUP!BD58</f>
        <v>República Checa</v>
      </c>
      <c r="H354" s="9" t="str">
        <f ca="1">+WORLDCUP!BD63</f>
        <v>Japón</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España</v>
      </c>
      <c r="D355" s="9" t="str">
        <f ca="1">+WORLDCUP!BD62</f>
        <v>Ecuador</v>
      </c>
      <c r="E355" s="9" t="str">
        <f ca="1">+WORLDCUP!BD59</f>
        <v>Catar</v>
      </c>
      <c r="F355" s="9" t="str">
        <f ca="1">+WORLDCUP!BD61</f>
        <v>Turquía</v>
      </c>
      <c r="G355" s="9" t="str">
        <f ca="1">+WORLDCUP!BD58</f>
        <v>República Checa</v>
      </c>
      <c r="H355" s="9" t="str">
        <f ca="1">+WORLDCUP!BD63</f>
        <v>Japón</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España</v>
      </c>
      <c r="D356" s="9" t="str">
        <f ca="1">+WORLDCUP!BD67</f>
        <v>Jordania</v>
      </c>
      <c r="E356" s="9" t="str">
        <f ca="1">+WORLDCUP!BD59</f>
        <v>Catar</v>
      </c>
      <c r="F356" s="9" t="str">
        <f ca="1">+WORLDCUP!BD61</f>
        <v>Turquía</v>
      </c>
      <c r="G356" s="9" t="str">
        <f ca="1">+WORLDCUP!BD58</f>
        <v>República Checa</v>
      </c>
      <c r="H356" s="9" t="str">
        <f ca="1">+WORLDCUP!BD63</f>
        <v>Japón</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España</v>
      </c>
      <c r="D357" s="9" t="str">
        <f ca="1">+WORLDCUP!BD67</f>
        <v>Jordania</v>
      </c>
      <c r="E357" s="9" t="str">
        <f ca="1">+WORLDCUP!BD59</f>
        <v>Catar</v>
      </c>
      <c r="F357" s="9" t="str">
        <f ca="1">+WORLDCUP!BD61</f>
        <v>Turquía</v>
      </c>
      <c r="G357" s="9" t="str">
        <f ca="1">+WORLDCUP!BD58</f>
        <v>República Checa</v>
      </c>
      <c r="H357" s="9" t="str">
        <f ca="1">+WORLDCUP!BD63</f>
        <v>Japón</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España</v>
      </c>
      <c r="D358" s="9" t="str">
        <f ca="1">+WORLDCUP!BD62</f>
        <v>Ecuador</v>
      </c>
      <c r="E358" s="9" t="str">
        <f ca="1">+WORLDCUP!BD59</f>
        <v>Catar</v>
      </c>
      <c r="F358" s="9" t="str">
        <f ca="1">+WORLDCUP!BD61</f>
        <v>Turquía</v>
      </c>
      <c r="G358" s="9" t="str">
        <f ca="1">+WORLDCUP!BD58</f>
        <v>República Checa</v>
      </c>
      <c r="H358" s="9" t="str">
        <f ca="1">+WORLDCUP!BD63</f>
        <v>Japón</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España</v>
      </c>
      <c r="D359" s="9" t="str">
        <f ca="1">+WORLDCUP!BD62</f>
        <v>Ecuador</v>
      </c>
      <c r="E359" s="9" t="str">
        <f ca="1">+WORLDCUP!BD59</f>
        <v>Catar</v>
      </c>
      <c r="F359" s="9" t="str">
        <f ca="1">+WORLDCUP!BD61</f>
        <v>Turquía</v>
      </c>
      <c r="G359" s="9" t="str">
        <f ca="1">+WORLDCUP!BD58</f>
        <v>República Checa</v>
      </c>
      <c r="H359" s="9" t="str">
        <f ca="1">+WORLDCUP!BD63</f>
        <v>Japón</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España</v>
      </c>
      <c r="D360" s="9" t="str">
        <f ca="1">+WORLDCUP!BD67</f>
        <v>Jordania</v>
      </c>
      <c r="E360" s="9" t="str">
        <f ca="1">+WORLDCUP!BD59</f>
        <v>Catar</v>
      </c>
      <c r="F360" s="9" t="str">
        <f ca="1">+WORLDCUP!BD61</f>
        <v>Turquía</v>
      </c>
      <c r="G360" s="9" t="str">
        <f ca="1">+WORLDCUP!BD58</f>
        <v>República Checa</v>
      </c>
      <c r="H360" s="9" t="str">
        <f ca="1">+WORLDCUP!BD63</f>
        <v>Japón</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Catar</v>
      </c>
      <c r="F361" s="9" t="str">
        <f ca="1">+WORLDCUP!BD61</f>
        <v>Turquía</v>
      </c>
      <c r="G361" s="9" t="str">
        <f ca="1">+WORLDCUP!BD58</f>
        <v>República Checa</v>
      </c>
      <c r="H361" s="9" t="str">
        <f ca="1">+WORLDCUP!BD63</f>
        <v>Japón</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Catar</v>
      </c>
      <c r="F362" s="9" t="str">
        <f ca="1">+WORLDCUP!BD61</f>
        <v>Turquía</v>
      </c>
      <c r="G362" s="9" t="str">
        <f ca="1">+WORLDCUP!BD58</f>
        <v>República Checa</v>
      </c>
      <c r="H362" s="9" t="str">
        <f ca="1">+WORLDCUP!BD63</f>
        <v>Japón</v>
      </c>
      <c r="I362" s="9" t="str">
        <f ca="1">+WORLDCUP!BD69</f>
        <v>Ghana</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Catar</v>
      </c>
      <c r="F363" s="9" t="str">
        <f ca="1">+WORLDCUP!BD61</f>
        <v>Turquía</v>
      </c>
      <c r="G363" s="9" t="str">
        <f ca="1">+WORLDCUP!BD58</f>
        <v>República Checa</v>
      </c>
      <c r="H363" s="9" t="str">
        <f ca="1">+WORLDCUP!BD63</f>
        <v>Japón</v>
      </c>
      <c r="I363" s="9" t="str">
        <f ca="1">+WORLDCUP!BD67</f>
        <v>Jordania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Catar</v>
      </c>
      <c r="F364" s="9" t="str">
        <f ca="1">+WORLDCUP!BD61</f>
        <v>Turquía</v>
      </c>
      <c r="G364" s="9" t="str">
        <f ca="1">+WORLDCUP!BD58</f>
        <v>República Checa</v>
      </c>
      <c r="H364" s="9" t="str">
        <f ca="1">+WORLDCUP!BD63</f>
        <v>Japón</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Catar</v>
      </c>
      <c r="F365" s="9" t="str">
        <f ca="1">+WORLDCUP!BD61</f>
        <v>Turquía</v>
      </c>
      <c r="G365" s="9" t="str">
        <f ca="1">+WORLDCUP!BD58</f>
        <v>República Checa</v>
      </c>
      <c r="H365" s="9" t="str">
        <f ca="1">+WORLDCUP!BD63</f>
        <v>Japón</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Catar</v>
      </c>
      <c r="F366" s="9" t="str">
        <f ca="1">+WORLDCUP!BD61</f>
        <v>Turquía</v>
      </c>
      <c r="G366" s="9" t="str">
        <f ca="1">+WORLDCUP!BD58</f>
        <v>República Checa</v>
      </c>
      <c r="H366" s="9" t="str">
        <f ca="1">+WORLDCUP!BD63</f>
        <v>Japón</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España</v>
      </c>
      <c r="D367" s="9" t="str">
        <f ca="1">+WORLDCUP!BD64</f>
        <v>Bélgica</v>
      </c>
      <c r="E367" s="9" t="str">
        <f ca="1">+WORLDCUP!BD59</f>
        <v>Catar</v>
      </c>
      <c r="F367" s="9" t="str">
        <f ca="1">+WORLDCUP!BD61</f>
        <v>Turquía</v>
      </c>
      <c r="G367" s="9" t="str">
        <f ca="1">+WORLDCUP!BD58</f>
        <v>República Checa</v>
      </c>
      <c r="H367" s="9" t="str">
        <f ca="1">+WORLDCUP!BD63</f>
        <v>Japón</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España</v>
      </c>
      <c r="D368" s="9" t="str">
        <f ca="1">+WORLDCUP!BD64</f>
        <v>Bélgica</v>
      </c>
      <c r="E368" s="9" t="str">
        <f ca="1">+WORLDCUP!BD59</f>
        <v>Catar</v>
      </c>
      <c r="F368" s="9" t="str">
        <f ca="1">+WORLDCUP!BD61</f>
        <v>Turquía</v>
      </c>
      <c r="G368" s="9" t="str">
        <f ca="1">+WORLDCUP!BD58</f>
        <v>República Checa</v>
      </c>
      <c r="H368" s="9" t="str">
        <f ca="1">+WORLDCUP!BD63</f>
        <v>Japón</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España</v>
      </c>
      <c r="D369" s="9" t="str">
        <f ca="1">+WORLDCUP!BD64</f>
        <v>Bélgica</v>
      </c>
      <c r="E369" s="9" t="str">
        <f ca="1">+WORLDCUP!BD59</f>
        <v>Catar</v>
      </c>
      <c r="F369" s="9" t="str">
        <f ca="1">+WORLDCUP!BD61</f>
        <v>Turquía</v>
      </c>
      <c r="G369" s="9" t="str">
        <f ca="1">+WORLDCUP!BD58</f>
        <v>República Checa</v>
      </c>
      <c r="H369" s="9" t="str">
        <f ca="1">+WORLDCUP!BD63</f>
        <v>Japón</v>
      </c>
      <c r="I369" s="9" t="str">
        <f ca="1">+WORLDCUP!BD62</f>
        <v>Ecuador</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España</v>
      </c>
      <c r="D370" s="9" t="str">
        <f ca="1">+WORLDCUP!BD64</f>
        <v>Bélgica</v>
      </c>
      <c r="E370" s="9" t="str">
        <f ca="1">+WORLDCUP!BD59</f>
        <v>Catar</v>
      </c>
      <c r="F370" s="9" t="str">
        <f ca="1">+WORLDCUP!BD61</f>
        <v>Turquía</v>
      </c>
      <c r="G370" s="9" t="str">
        <f ca="1">+WORLDCUP!BD58</f>
        <v>República Checa</v>
      </c>
      <c r="H370" s="9" t="str">
        <f ca="1">+WORLDCUP!BD63</f>
        <v>Japón</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Catar</v>
      </c>
      <c r="F371" s="9" t="str">
        <f ca="1">+WORLDCUP!BD60</f>
        <v>Marruecos</v>
      </c>
      <c r="G371" s="9" t="str">
        <f ca="1">+WORLDCUP!BD58</f>
        <v>República Checa</v>
      </c>
      <c r="H371" s="9" t="str">
        <f ca="1">+WORLDCUP!BD65</f>
        <v>España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Catar</v>
      </c>
      <c r="F372" s="9" t="str">
        <f ca="1">+WORLDCUP!BD60</f>
        <v>Marruecos</v>
      </c>
      <c r="G372" s="9" t="str">
        <f ca="1">+WORLDCUP!BD58</f>
        <v>República Checa</v>
      </c>
      <c r="H372" s="9" t="str">
        <f ca="1">+WORLDCUP!BD64</f>
        <v>Bélgica</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España</v>
      </c>
      <c r="D373" s="9" t="str">
        <f ca="1">+WORLDCUP!BD67</f>
        <v>Jordania</v>
      </c>
      <c r="E373" s="9" t="str">
        <f ca="1">+WORLDCUP!BD59</f>
        <v>Catar</v>
      </c>
      <c r="F373" s="9" t="str">
        <f ca="1">+WORLDCUP!BD60</f>
        <v>Marruecos</v>
      </c>
      <c r="G373" s="9" t="str">
        <f ca="1">+WORLDCUP!BD58</f>
        <v>República Checa</v>
      </c>
      <c r="H373" s="9" t="str">
        <f ca="1">+WORLDCUP!BD64</f>
        <v>Bélgica</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Catar</v>
      </c>
      <c r="F374" s="9" t="str">
        <f ca="1">+WORLDCUP!BD60</f>
        <v>Marruecos</v>
      </c>
      <c r="G374" s="9" t="str">
        <f ca="1">+WORLDCUP!BD58</f>
        <v>República Checa</v>
      </c>
      <c r="H374" s="9" t="str">
        <f ca="1">+WORLDCUP!BD65</f>
        <v>España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España</v>
      </c>
      <c r="D375" s="9" t="str">
        <f ca="1">+WORLDCUP!BD67</f>
        <v>Jordania</v>
      </c>
      <c r="E375" s="9" t="str">
        <f ca="1">+WORLDCUP!BD59</f>
        <v>Catar</v>
      </c>
      <c r="F375" s="9" t="str">
        <f ca="1">+WORLDCUP!BD60</f>
        <v>Marruecos</v>
      </c>
      <c r="G375" s="9" t="str">
        <f ca="1">+WORLDCUP!BD58</f>
        <v>República Checa</v>
      </c>
      <c r="H375" s="9" t="str">
        <f ca="1">+WORLDCUP!BD64</f>
        <v>Bélgica</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España</v>
      </c>
      <c r="D376" s="9" t="str">
        <f ca="1">+WORLDCUP!BD67</f>
        <v>Jordania</v>
      </c>
      <c r="E376" s="9" t="str">
        <f ca="1">+WORLDCUP!BD59</f>
        <v>Catar</v>
      </c>
      <c r="F376" s="9" t="str">
        <f ca="1">+WORLDCUP!BD60</f>
        <v>Marruecos</v>
      </c>
      <c r="G376" s="9" t="str">
        <f ca="1">+WORLDCUP!BD58</f>
        <v>República Checa</v>
      </c>
      <c r="H376" s="9" t="str">
        <f ca="1">+WORLDCUP!BD64</f>
        <v>Bélgica</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Catar</v>
      </c>
      <c r="F377" s="9" t="str">
        <f ca="1">+WORLDCUP!BD60</f>
        <v>Marruecos</v>
      </c>
      <c r="G377" s="9" t="str">
        <f ca="1">+WORLDCUP!BD58</f>
        <v>República Checa</v>
      </c>
      <c r="H377" s="9" t="str">
        <f ca="1">+WORLDCUP!BD63</f>
        <v>Japón</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España</v>
      </c>
      <c r="D378" s="9" t="str">
        <f ca="1">+WORLDCUP!BD67</f>
        <v>Jordania</v>
      </c>
      <c r="E378" s="9" t="str">
        <f ca="1">+WORLDCUP!BD59</f>
        <v>Catar</v>
      </c>
      <c r="F378" s="9" t="str">
        <f ca="1">+WORLDCUP!BD60</f>
        <v>Marruecos</v>
      </c>
      <c r="G378" s="9" t="str">
        <f ca="1">+WORLDCUP!BD58</f>
        <v>República Checa</v>
      </c>
      <c r="H378" s="9" t="str">
        <f ca="1">+WORLDCUP!BD63</f>
        <v>Japón</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España</v>
      </c>
      <c r="D379" s="9" t="str">
        <f ca="1">+WORLDCUP!BD66</f>
        <v>Senegal</v>
      </c>
      <c r="E379" s="9" t="str">
        <f ca="1">+WORLDCUP!BD59</f>
        <v>Catar</v>
      </c>
      <c r="F379" s="9" t="str">
        <f ca="1">+WORLDCUP!BD60</f>
        <v>Marruecos</v>
      </c>
      <c r="G379" s="9" t="str">
        <f ca="1">+WORLDCUP!BD58</f>
        <v>República Checa</v>
      </c>
      <c r="H379" s="9" t="str">
        <f ca="1">+WORLDCUP!BD63</f>
        <v>Japón</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España</v>
      </c>
      <c r="D380" s="9" t="str">
        <f ca="1">+WORLDCUP!BD67</f>
        <v>Jordania</v>
      </c>
      <c r="E380" s="9" t="str">
        <f ca="1">+WORLDCUP!BD59</f>
        <v>Catar</v>
      </c>
      <c r="F380" s="9" t="str">
        <f ca="1">+WORLDCUP!BD60</f>
        <v>Marruecos</v>
      </c>
      <c r="G380" s="9" t="str">
        <f ca="1">+WORLDCUP!BD58</f>
        <v>República Checa</v>
      </c>
      <c r="H380" s="9" t="str">
        <f ca="1">+WORLDCUP!BD63</f>
        <v>Japón</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España</v>
      </c>
      <c r="D381" s="9" t="str">
        <f ca="1">+WORLDCUP!BD67</f>
        <v>Jordania</v>
      </c>
      <c r="E381" s="9" t="str">
        <f ca="1">+WORLDCUP!BD59</f>
        <v>Catar</v>
      </c>
      <c r="F381" s="9" t="str">
        <f ca="1">+WORLDCUP!BD60</f>
        <v>Marruecos</v>
      </c>
      <c r="G381" s="9" t="str">
        <f ca="1">+WORLDCUP!BD58</f>
        <v>República Checa</v>
      </c>
      <c r="H381" s="9" t="str">
        <f ca="1">+WORLDCUP!BD63</f>
        <v>Japón</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Jordania</v>
      </c>
      <c r="E382" s="9" t="str">
        <f ca="1">+WORLDCUP!BD59</f>
        <v>Catar</v>
      </c>
      <c r="F382" s="9" t="str">
        <f ca="1">+WORLDCUP!BD63</f>
        <v>Japón</v>
      </c>
      <c r="G382" s="9" t="str">
        <f ca="1">+WORLDCUP!BD58</f>
        <v>República Checa</v>
      </c>
      <c r="H382" s="9" t="str">
        <f ca="1">+WORLDCUP!BD64</f>
        <v>Bélgica</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Catar</v>
      </c>
      <c r="F383" s="9" t="str">
        <f ca="1">+WORLDCUP!BD60</f>
        <v>Marruecos</v>
      </c>
      <c r="G383" s="9" t="str">
        <f ca="1">+WORLDCUP!BD58</f>
        <v>República Checa</v>
      </c>
      <c r="H383" s="9" t="str">
        <f ca="1">+WORLDCUP!BD63</f>
        <v>Japón</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Jordania</v>
      </c>
      <c r="E384" s="9" t="str">
        <f ca="1">+WORLDCUP!BD59</f>
        <v>Catar</v>
      </c>
      <c r="F384" s="9" t="str">
        <f ca="1">+WORLDCUP!BD63</f>
        <v>Japón</v>
      </c>
      <c r="G384" s="9" t="str">
        <f ca="1">+WORLDCUP!BD58</f>
        <v>República Checa</v>
      </c>
      <c r="H384" s="9" t="str">
        <f ca="1">+WORLDCUP!BD64</f>
        <v>Bélgica</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Jordania</v>
      </c>
      <c r="E385" s="9" t="str">
        <f ca="1">+WORLDCUP!BD59</f>
        <v>Catar</v>
      </c>
      <c r="F385" s="9" t="str">
        <f ca="1">+WORLDCUP!BD63</f>
        <v>Japón</v>
      </c>
      <c r="G385" s="9" t="str">
        <f ca="1">+WORLDCUP!BD58</f>
        <v>República Checa</v>
      </c>
      <c r="H385" s="9" t="str">
        <f ca="1">+WORLDCUP!BD64</f>
        <v>Bélgica</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España</v>
      </c>
      <c r="D386" s="9" t="str">
        <f ca="1">+WORLDCUP!BD64</f>
        <v>Bélgica</v>
      </c>
      <c r="E386" s="9" t="str">
        <f ca="1">+WORLDCUP!BD59</f>
        <v>Catar</v>
      </c>
      <c r="F386" s="9" t="str">
        <f ca="1">+WORLDCUP!BD60</f>
        <v>Marruecos</v>
      </c>
      <c r="G386" s="9" t="str">
        <f ca="1">+WORLDCUP!BD58</f>
        <v>República Checa</v>
      </c>
      <c r="H386" s="9" t="str">
        <f ca="1">+WORLDCUP!BD63</f>
        <v>Japón</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España</v>
      </c>
      <c r="D387" s="9" t="str">
        <f ca="1">+WORLDCUP!BD64</f>
        <v>Bélgica</v>
      </c>
      <c r="E387" s="9" t="str">
        <f ca="1">+WORLDCUP!BD59</f>
        <v>Catar</v>
      </c>
      <c r="F387" s="9" t="str">
        <f ca="1">+WORLDCUP!BD60</f>
        <v>Marruecos</v>
      </c>
      <c r="G387" s="9" t="str">
        <f ca="1">+WORLDCUP!BD58</f>
        <v>República Checa</v>
      </c>
      <c r="H387" s="9" t="str">
        <f ca="1">+WORLDCUP!BD63</f>
        <v>Japón</v>
      </c>
      <c r="I387" s="9" t="str">
        <f ca="1">+WORLDCUP!BD69</f>
        <v>Ghana</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España</v>
      </c>
      <c r="D388" s="9" t="str">
        <f ca="1">+WORLDCUP!BD64</f>
        <v>Bélgica</v>
      </c>
      <c r="E388" s="9" t="str">
        <f ca="1">+WORLDCUP!BD59</f>
        <v>Catar</v>
      </c>
      <c r="F388" s="9" t="str">
        <f ca="1">+WORLDCUP!BD60</f>
        <v>Marruecos</v>
      </c>
      <c r="G388" s="9" t="str">
        <f ca="1">+WORLDCUP!BD58</f>
        <v>República Checa</v>
      </c>
      <c r="H388" s="9" t="str">
        <f ca="1">+WORLDCUP!BD63</f>
        <v>Japón</v>
      </c>
      <c r="I388" s="9" t="str">
        <f ca="1">+WORLDCUP!BD67</f>
        <v>Jordania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España</v>
      </c>
      <c r="D389" s="9" t="str">
        <f ca="1">+WORLDCUP!BD64</f>
        <v>Bélgica</v>
      </c>
      <c r="E389" s="9" t="str">
        <f ca="1">+WORLDCUP!BD59</f>
        <v>Catar</v>
      </c>
      <c r="F389" s="9" t="str">
        <f ca="1">+WORLDCUP!BD60</f>
        <v>Marruecos</v>
      </c>
      <c r="G389" s="9" t="str">
        <f ca="1">+WORLDCUP!BD58</f>
        <v>República Checa</v>
      </c>
      <c r="H389" s="9" t="str">
        <f ca="1">+WORLDCUP!BD63</f>
        <v>Japón</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España</v>
      </c>
      <c r="D390" s="9" t="str">
        <f ca="1">+WORLDCUP!BD64</f>
        <v>Bélgica</v>
      </c>
      <c r="E390" s="9" t="str">
        <f ca="1">+WORLDCUP!BD59</f>
        <v>Catar</v>
      </c>
      <c r="F390" s="9" t="str">
        <f ca="1">+WORLDCUP!BD60</f>
        <v>Marruecos</v>
      </c>
      <c r="G390" s="9" t="str">
        <f ca="1">+WORLDCUP!BD58</f>
        <v>República Checa</v>
      </c>
      <c r="H390" s="9" t="str">
        <f ca="1">+WORLDCUP!BD63</f>
        <v>Japón</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España</v>
      </c>
      <c r="D391" s="9" t="str">
        <f ca="1">+WORLDCUP!BD64</f>
        <v>Bélgica</v>
      </c>
      <c r="E391" s="9" t="str">
        <f ca="1">+WORLDCUP!BD59</f>
        <v>Catar</v>
      </c>
      <c r="F391" s="9" t="str">
        <f ca="1">+WORLDCUP!BD60</f>
        <v>Marruecos</v>
      </c>
      <c r="G391" s="9" t="str">
        <f ca="1">+WORLDCUP!BD58</f>
        <v>República Checa</v>
      </c>
      <c r="H391" s="9" t="str">
        <f ca="1">+WORLDCUP!BD63</f>
        <v>Japón</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Jordania</v>
      </c>
      <c r="E392" s="9" t="str">
        <f ca="1">+WORLDCUP!BD59</f>
        <v>Catar</v>
      </c>
      <c r="F392" s="9" t="str">
        <f ca="1">+WORLDCUP!BD58</f>
        <v>República Checa</v>
      </c>
      <c r="G392" s="9" t="str">
        <f ca="1">+WORLDCUP!BD66</f>
        <v>Senegal</v>
      </c>
      <c r="H392" s="9" t="str">
        <f ca="1">+WORLDCUP!BD60</f>
        <v>Marruecos</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Jordania</v>
      </c>
      <c r="E393" s="9" t="str">
        <f ca="1">+WORLDCUP!BD59</f>
        <v>Catar</v>
      </c>
      <c r="F393" s="9" t="str">
        <f ca="1">+WORLDCUP!BD60</f>
        <v>Marruecos</v>
      </c>
      <c r="G393" s="9" t="str">
        <f ca="1">+WORLDCUP!BD58</f>
        <v>República Checa</v>
      </c>
      <c r="H393" s="9" t="str">
        <f ca="1">+WORLDCUP!BD65</f>
        <v>España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Catar</v>
      </c>
      <c r="F394" s="9" t="str">
        <f ca="1">+WORLDCUP!BD60</f>
        <v>Marruecos</v>
      </c>
      <c r="G394" s="9" t="str">
        <f ca="1">+WORLDCUP!BD58</f>
        <v>República Checa</v>
      </c>
      <c r="H394" s="9" t="str">
        <f ca="1">+WORLDCUP!BD65</f>
        <v>España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Jordania</v>
      </c>
      <c r="E395" s="9" t="str">
        <f ca="1">+WORLDCUP!BD59</f>
        <v>Catar</v>
      </c>
      <c r="F395" s="9" t="str">
        <f ca="1">+WORLDCUP!BD60</f>
        <v>Marruecos</v>
      </c>
      <c r="G395" s="9" t="str">
        <f ca="1">+WORLDCUP!BD58</f>
        <v>República Checa</v>
      </c>
      <c r="H395" s="9" t="str">
        <f ca="1">+WORLDCUP!BD65</f>
        <v>España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Jordania</v>
      </c>
      <c r="E396" s="9" t="str">
        <f ca="1">+WORLDCUP!BD59</f>
        <v>Catar</v>
      </c>
      <c r="F396" s="9" t="str">
        <f ca="1">+WORLDCUP!BD60</f>
        <v>Marruecos</v>
      </c>
      <c r="G396" s="9" t="str">
        <f ca="1">+WORLDCUP!BD58</f>
        <v>República Checa</v>
      </c>
      <c r="H396" s="9" t="str">
        <f ca="1">+WORLDCUP!BD65</f>
        <v>España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Jordania</v>
      </c>
      <c r="E397" s="9" t="str">
        <f ca="1">+WORLDCUP!BD59</f>
        <v>Catar</v>
      </c>
      <c r="F397" s="9" t="str">
        <f ca="1">+WORLDCUP!BD60</f>
        <v>Marruecos</v>
      </c>
      <c r="G397" s="9" t="str">
        <f ca="1">+WORLDCUP!BD58</f>
        <v>República Checa</v>
      </c>
      <c r="H397" s="9" t="str">
        <f ca="1">+WORLDCUP!BD64</f>
        <v>Bélgica</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Catar</v>
      </c>
      <c r="F398" s="9" t="str">
        <f ca="1">+WORLDCUP!BD58</f>
        <v>República Checa</v>
      </c>
      <c r="G398" s="9" t="str">
        <f ca="1">+WORLDCUP!BD66</f>
        <v>Senegal</v>
      </c>
      <c r="H398" s="9" t="str">
        <f ca="1">+WORLDCUP!BD60</f>
        <v>Marruecos</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Jordania</v>
      </c>
      <c r="E399" s="9" t="str">
        <f ca="1">+WORLDCUP!BD59</f>
        <v>Catar</v>
      </c>
      <c r="F399" s="9" t="str">
        <f ca="1">+WORLDCUP!BD60</f>
        <v>Marruecos</v>
      </c>
      <c r="G399" s="9" t="str">
        <f ca="1">+WORLDCUP!BD58</f>
        <v>República Checa</v>
      </c>
      <c r="H399" s="9" t="str">
        <f ca="1">+WORLDCUP!BD64</f>
        <v>Bélgica</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Jordania</v>
      </c>
      <c r="E400" s="9" t="str">
        <f ca="1">+WORLDCUP!BD59</f>
        <v>Catar</v>
      </c>
      <c r="F400" s="9" t="str">
        <f ca="1">+WORLDCUP!BD60</f>
        <v>Marruecos</v>
      </c>
      <c r="G400" s="9" t="str">
        <f ca="1">+WORLDCUP!BD58</f>
        <v>República Checa</v>
      </c>
      <c r="H400" s="9" t="str">
        <f ca="1">+WORLDCUP!BD64</f>
        <v>Bélgica</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Catar</v>
      </c>
      <c r="F401" s="9" t="str">
        <f ca="1">+WORLDCUP!BD60</f>
        <v>Marruecos</v>
      </c>
      <c r="G401" s="9" t="str">
        <f ca="1">+WORLDCUP!BD58</f>
        <v>República Checa</v>
      </c>
      <c r="H401" s="9" t="str">
        <f ca="1">+WORLDCUP!BD65</f>
        <v>España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España</v>
      </c>
      <c r="D402" s="9" t="str">
        <f ca="1">+WORLDCUP!BD67</f>
        <v>Jordania</v>
      </c>
      <c r="E402" s="9" t="str">
        <f ca="1">+WORLDCUP!BD59</f>
        <v>Catar</v>
      </c>
      <c r="F402" s="9" t="str">
        <f ca="1">+WORLDCUP!BD60</f>
        <v>Marruecos</v>
      </c>
      <c r="G402" s="9" t="str">
        <f ca="1">+WORLDCUP!BD58</f>
        <v>República Checa</v>
      </c>
      <c r="H402" s="9" t="str">
        <f ca="1">+WORLDCUP!BD64</f>
        <v>Bélgica</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España</v>
      </c>
      <c r="D403" s="9" t="str">
        <f ca="1">+WORLDCUP!BD67</f>
        <v>Jordania</v>
      </c>
      <c r="E403" s="9" t="str">
        <f ca="1">+WORLDCUP!BD59</f>
        <v>Catar</v>
      </c>
      <c r="F403" s="9" t="str">
        <f ca="1">+WORLDCUP!BD60</f>
        <v>Marruecos</v>
      </c>
      <c r="G403" s="9" t="str">
        <f ca="1">+WORLDCUP!BD58</f>
        <v>República Checa</v>
      </c>
      <c r="H403" s="9" t="str">
        <f ca="1">+WORLDCUP!BD64</f>
        <v>Bélgica</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Catar</v>
      </c>
      <c r="F404" s="9" t="str">
        <f ca="1">+WORLDCUP!BD60</f>
        <v>Marruecos</v>
      </c>
      <c r="G404" s="9" t="str">
        <f ca="1">+WORLDCUP!BD58</f>
        <v>República Checa</v>
      </c>
      <c r="H404" s="9" t="str">
        <f ca="1">+WORLDCUP!BD65</f>
        <v>España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Catar</v>
      </c>
      <c r="F405" s="9" t="str">
        <f ca="1">+WORLDCUP!BD60</f>
        <v>Marruecos</v>
      </c>
      <c r="G405" s="9" t="str">
        <f ca="1">+WORLDCUP!BD58</f>
        <v>República Checa</v>
      </c>
      <c r="H405" s="9" t="str">
        <f ca="1">+WORLDCUP!BD65</f>
        <v>España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España</v>
      </c>
      <c r="D406" s="9" t="str">
        <f ca="1">+WORLDCUP!BD67</f>
        <v>Jordania</v>
      </c>
      <c r="E406" s="9" t="str">
        <f ca="1">+WORLDCUP!BD59</f>
        <v>Catar</v>
      </c>
      <c r="F406" s="9" t="str">
        <f ca="1">+WORLDCUP!BD60</f>
        <v>Marruecos</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Jordania</v>
      </c>
      <c r="E407" s="9" t="str">
        <f ca="1">+WORLDCUP!BD59</f>
        <v>Catar</v>
      </c>
      <c r="F407" s="9" t="str">
        <f ca="1">+WORLDCUP!BD60</f>
        <v>Marruecos</v>
      </c>
      <c r="G407" s="9" t="str">
        <f ca="1">+WORLDCUP!BD58</f>
        <v>República Checa</v>
      </c>
      <c r="H407" s="9" t="str">
        <f ca="1">+WORLDCUP!BD63</f>
        <v>Japón</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Catar</v>
      </c>
      <c r="F408" s="9" t="str">
        <f ca="1">+WORLDCUP!BD60</f>
        <v>Marruecos</v>
      </c>
      <c r="G408" s="9" t="str">
        <f ca="1">+WORLDCUP!BD58</f>
        <v>República Checa</v>
      </c>
      <c r="H408" s="9" t="str">
        <f ca="1">+WORLDCUP!BD63</f>
        <v>Japón</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Jordania</v>
      </c>
      <c r="E409" s="9" t="str">
        <f ca="1">+WORLDCUP!BD59</f>
        <v>Catar</v>
      </c>
      <c r="F409" s="9" t="str">
        <f ca="1">+WORLDCUP!BD60</f>
        <v>Marruecos</v>
      </c>
      <c r="G409" s="9" t="str">
        <f ca="1">+WORLDCUP!BD58</f>
        <v>República Checa</v>
      </c>
      <c r="H409" s="9" t="str">
        <f ca="1">+WORLDCUP!BD63</f>
        <v>Japón</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Jordania</v>
      </c>
      <c r="E410" s="9" t="str">
        <f ca="1">+WORLDCUP!BD59</f>
        <v>Catar</v>
      </c>
      <c r="F410" s="9" t="str">
        <f ca="1">+WORLDCUP!BD60</f>
        <v>Marruecos</v>
      </c>
      <c r="G410" s="9" t="str">
        <f ca="1">+WORLDCUP!BD58</f>
        <v>República Checa</v>
      </c>
      <c r="H410" s="9" t="str">
        <f ca="1">+WORLDCUP!BD63</f>
        <v>Japón</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España</v>
      </c>
      <c r="D411" s="9" t="str">
        <f ca="1">+WORLDCUP!BD62</f>
        <v>Ecuador</v>
      </c>
      <c r="E411" s="9" t="str">
        <f ca="1">+WORLDCUP!BD59</f>
        <v>Catar</v>
      </c>
      <c r="F411" s="9" t="str">
        <f ca="1">+WORLDCUP!BD60</f>
        <v>Marruecos</v>
      </c>
      <c r="G411" s="9" t="str">
        <f ca="1">+WORLDCUP!BD58</f>
        <v>República Checa</v>
      </c>
      <c r="H411" s="9" t="str">
        <f ca="1">+WORLDCUP!BD63</f>
        <v>Japón</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España</v>
      </c>
      <c r="D412" s="9" t="str">
        <f ca="1">+WORLDCUP!BD67</f>
        <v>Jordania</v>
      </c>
      <c r="E412" s="9" t="str">
        <f ca="1">+WORLDCUP!BD59</f>
        <v>Catar</v>
      </c>
      <c r="F412" s="9" t="str">
        <f ca="1">+WORLDCUP!BD60</f>
        <v>Marruecos</v>
      </c>
      <c r="G412" s="9" t="str">
        <f ca="1">+WORLDCUP!BD58</f>
        <v>República Checa</v>
      </c>
      <c r="H412" s="9" t="str">
        <f ca="1">+WORLDCUP!BD63</f>
        <v>Japón</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España</v>
      </c>
      <c r="D413" s="9" t="str">
        <f ca="1">+WORLDCUP!BD67</f>
        <v>Jordania</v>
      </c>
      <c r="E413" s="9" t="str">
        <f ca="1">+WORLDCUP!BD59</f>
        <v>Catar</v>
      </c>
      <c r="F413" s="9" t="str">
        <f ca="1">+WORLDCUP!BD60</f>
        <v>Marruecos</v>
      </c>
      <c r="G413" s="9" t="str">
        <f ca="1">+WORLDCUP!BD58</f>
        <v>República Checa</v>
      </c>
      <c r="H413" s="9" t="str">
        <f ca="1">+WORLDCUP!BD63</f>
        <v>Japón</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España</v>
      </c>
      <c r="D414" s="9" t="str">
        <f ca="1">+WORLDCUP!BD62</f>
        <v>Ecuador</v>
      </c>
      <c r="E414" s="9" t="str">
        <f ca="1">+WORLDCUP!BD59</f>
        <v>Catar</v>
      </c>
      <c r="F414" s="9" t="str">
        <f ca="1">+WORLDCUP!BD60</f>
        <v>Marruecos</v>
      </c>
      <c r="G414" s="9" t="str">
        <f ca="1">+WORLDCUP!BD58</f>
        <v>República Checa</v>
      </c>
      <c r="H414" s="9" t="str">
        <f ca="1">+WORLDCUP!BD63</f>
        <v>Japón</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España</v>
      </c>
      <c r="D415" s="9" t="str">
        <f ca="1">+WORLDCUP!BD62</f>
        <v>Ecuador</v>
      </c>
      <c r="E415" s="9" t="str">
        <f ca="1">+WORLDCUP!BD59</f>
        <v>Catar</v>
      </c>
      <c r="F415" s="9" t="str">
        <f ca="1">+WORLDCUP!BD60</f>
        <v>Marruecos</v>
      </c>
      <c r="G415" s="9" t="str">
        <f ca="1">+WORLDCUP!BD58</f>
        <v>República Checa</v>
      </c>
      <c r="H415" s="9" t="str">
        <f ca="1">+WORLDCUP!BD63</f>
        <v>Japón</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España</v>
      </c>
      <c r="D416" s="9" t="str">
        <f ca="1">+WORLDCUP!BD67</f>
        <v>Jordania</v>
      </c>
      <c r="E416" s="9" t="str">
        <f ca="1">+WORLDCUP!BD59</f>
        <v>Catar</v>
      </c>
      <c r="F416" s="9" t="str">
        <f ca="1">+WORLDCUP!BD60</f>
        <v>Marruecos</v>
      </c>
      <c r="G416" s="9" t="str">
        <f ca="1">+WORLDCUP!BD58</f>
        <v>República Checa</v>
      </c>
      <c r="H416" s="9" t="str">
        <f ca="1">+WORLDCUP!BD63</f>
        <v>Japón</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Catar</v>
      </c>
      <c r="F417" s="9" t="str">
        <f ca="1">+WORLDCUP!BD60</f>
        <v>Marruecos</v>
      </c>
      <c r="G417" s="9" t="str">
        <f ca="1">+WORLDCUP!BD58</f>
        <v>República Checa</v>
      </c>
      <c r="H417" s="9" t="str">
        <f ca="1">+WORLDCUP!BD63</f>
        <v>Japón</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Catar</v>
      </c>
      <c r="F418" s="9" t="str">
        <f ca="1">+WORLDCUP!BD60</f>
        <v>Marruecos</v>
      </c>
      <c r="G418" s="9" t="str">
        <f ca="1">+WORLDCUP!BD58</f>
        <v>República Checa</v>
      </c>
      <c r="H418" s="9" t="str">
        <f ca="1">+WORLDCUP!BD63</f>
        <v>Japón</v>
      </c>
      <c r="I418" s="9" t="str">
        <f ca="1">+WORLDCUP!BD69</f>
        <v>Ghana</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Catar</v>
      </c>
      <c r="F419" s="9" t="str">
        <f ca="1">+WORLDCUP!BD60</f>
        <v>Marruecos</v>
      </c>
      <c r="G419" s="9" t="str">
        <f ca="1">+WORLDCUP!BD58</f>
        <v>República Checa</v>
      </c>
      <c r="H419" s="9" t="str">
        <f ca="1">+WORLDCUP!BD63</f>
        <v>Japón</v>
      </c>
      <c r="I419" s="9" t="str">
        <f ca="1">+WORLDCUP!BD67</f>
        <v>Jordania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Catar</v>
      </c>
      <c r="F420" s="9" t="str">
        <f ca="1">+WORLDCUP!BD60</f>
        <v>Marruecos</v>
      </c>
      <c r="G420" s="9" t="str">
        <f ca="1">+WORLDCUP!BD58</f>
        <v>República Checa</v>
      </c>
      <c r="H420" s="9" t="str">
        <f ca="1">+WORLDCUP!BD63</f>
        <v>Japón</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Catar</v>
      </c>
      <c r="F421" s="9" t="str">
        <f ca="1">+WORLDCUP!BD60</f>
        <v>Marruecos</v>
      </c>
      <c r="G421" s="9" t="str">
        <f ca="1">+WORLDCUP!BD58</f>
        <v>República Checa</v>
      </c>
      <c r="H421" s="9" t="str">
        <f ca="1">+WORLDCUP!BD63</f>
        <v>Japón</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Catar</v>
      </c>
      <c r="F422" s="9" t="str">
        <f ca="1">+WORLDCUP!BD60</f>
        <v>Marruecos</v>
      </c>
      <c r="G422" s="9" t="str">
        <f ca="1">+WORLDCUP!BD58</f>
        <v>República Checa</v>
      </c>
      <c r="H422" s="9" t="str">
        <f ca="1">+WORLDCUP!BD63</f>
        <v>Japón</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España</v>
      </c>
      <c r="D423" s="9" t="str">
        <f ca="1">+WORLDCUP!BD64</f>
        <v>Bélgica</v>
      </c>
      <c r="E423" s="9" t="str">
        <f ca="1">+WORLDCUP!BD59</f>
        <v>Catar</v>
      </c>
      <c r="F423" s="9" t="str">
        <f ca="1">+WORLDCUP!BD60</f>
        <v>Marruecos</v>
      </c>
      <c r="G423" s="9" t="str">
        <f ca="1">+WORLDCUP!BD58</f>
        <v>República Checa</v>
      </c>
      <c r="H423" s="9" t="str">
        <f ca="1">+WORLDCUP!BD63</f>
        <v>Japón</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España</v>
      </c>
      <c r="D424" s="9" t="str">
        <f ca="1">+WORLDCUP!BD64</f>
        <v>Bélgica</v>
      </c>
      <c r="E424" s="9" t="str">
        <f ca="1">+WORLDCUP!BD59</f>
        <v>Catar</v>
      </c>
      <c r="F424" s="9" t="str">
        <f ca="1">+WORLDCUP!BD60</f>
        <v>Marruecos</v>
      </c>
      <c r="G424" s="9" t="str">
        <f ca="1">+WORLDCUP!BD58</f>
        <v>República Checa</v>
      </c>
      <c r="H424" s="9" t="str">
        <f ca="1">+WORLDCUP!BD63</f>
        <v>Japón</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España</v>
      </c>
      <c r="D425" s="9" t="str">
        <f ca="1">+WORLDCUP!BD64</f>
        <v>Bélgica</v>
      </c>
      <c r="E425" s="9" t="str">
        <f ca="1">+WORLDCUP!BD59</f>
        <v>Catar</v>
      </c>
      <c r="F425" s="9" t="str">
        <f ca="1">+WORLDCUP!BD60</f>
        <v>Marruecos</v>
      </c>
      <c r="G425" s="9" t="str">
        <f ca="1">+WORLDCUP!BD58</f>
        <v>República Checa</v>
      </c>
      <c r="H425" s="9" t="str">
        <f ca="1">+WORLDCUP!BD63</f>
        <v>Japón</v>
      </c>
      <c r="I425" s="9" t="str">
        <f ca="1">+WORLDCUP!BD62</f>
        <v>Ecuador</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España</v>
      </c>
      <c r="D426" s="9" t="str">
        <f ca="1">+WORLDCUP!BD64</f>
        <v>Bélgica</v>
      </c>
      <c r="E426" s="9" t="str">
        <f ca="1">+WORLDCUP!BD59</f>
        <v>Catar</v>
      </c>
      <c r="F426" s="9" t="str">
        <f ca="1">+WORLDCUP!BD60</f>
        <v>Marruecos</v>
      </c>
      <c r="G426" s="9" t="str">
        <f ca="1">+WORLDCUP!BD58</f>
        <v>República Checa</v>
      </c>
      <c r="H426" s="9" t="str">
        <f ca="1">+WORLDCUP!BD63</f>
        <v>Japón</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Catar</v>
      </c>
      <c r="F427" s="9" t="str">
        <f ca="1">+WORLDCUP!BD60</f>
        <v>Marruecos</v>
      </c>
      <c r="G427" s="9" t="str">
        <f ca="1">+WORLDCUP!BD58</f>
        <v>República Checa</v>
      </c>
      <c r="H427" s="9" t="str">
        <f ca="1">+WORLDCUP!BD61</f>
        <v>Turquía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España</v>
      </c>
      <c r="D428" s="9" t="str">
        <f ca="1">+WORLDCUP!BD67</f>
        <v>Jordania</v>
      </c>
      <c r="E428" s="9" t="str">
        <f ca="1">+WORLDCUP!BD59</f>
        <v>Catar</v>
      </c>
      <c r="F428" s="9" t="str">
        <f ca="1">+WORLDCUP!BD60</f>
        <v>Marruecos</v>
      </c>
      <c r="G428" s="9" t="str">
        <f ca="1">+WORLDCUP!BD58</f>
        <v>República Checa</v>
      </c>
      <c r="H428" s="9" t="str">
        <f ca="1">+WORLDCUP!BD61</f>
        <v>Turquía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España</v>
      </c>
      <c r="D429" s="9" t="str">
        <f ca="1">+WORLDCUP!BD66</f>
        <v>Senegal</v>
      </c>
      <c r="E429" s="9" t="str">
        <f ca="1">+WORLDCUP!BD59</f>
        <v>Catar</v>
      </c>
      <c r="F429" s="9" t="str">
        <f ca="1">+WORLDCUP!BD60</f>
        <v>Marruecos</v>
      </c>
      <c r="G429" s="9" t="str">
        <f ca="1">+WORLDCUP!BD58</f>
        <v>República Checa</v>
      </c>
      <c r="H429" s="9" t="str">
        <f ca="1">+WORLDCUP!BD61</f>
        <v>Turquía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España</v>
      </c>
      <c r="D430" s="9" t="str">
        <f ca="1">+WORLDCUP!BD67</f>
        <v>Jordania</v>
      </c>
      <c r="E430" s="9" t="str">
        <f ca="1">+WORLDCUP!BD59</f>
        <v>Catar</v>
      </c>
      <c r="F430" s="9" t="str">
        <f ca="1">+WORLDCUP!BD60</f>
        <v>Marruecos</v>
      </c>
      <c r="G430" s="9" t="str">
        <f ca="1">+WORLDCUP!BD58</f>
        <v>República Checa</v>
      </c>
      <c r="H430" s="9" t="str">
        <f ca="1">+WORLDCUP!BD61</f>
        <v>Turquía</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España</v>
      </c>
      <c r="D431" s="9" t="str">
        <f ca="1">+WORLDCUP!BD67</f>
        <v>Jordania</v>
      </c>
      <c r="E431" s="9" t="str">
        <f ca="1">+WORLDCUP!BD59</f>
        <v>Catar</v>
      </c>
      <c r="F431" s="9" t="str">
        <f ca="1">+WORLDCUP!BD60</f>
        <v>Marruecos</v>
      </c>
      <c r="G431" s="9" t="str">
        <f ca="1">+WORLDCUP!BD58</f>
        <v>República Checa</v>
      </c>
      <c r="H431" s="9" t="str">
        <f ca="1">+WORLDCUP!BD61</f>
        <v>Turquía</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Jordania</v>
      </c>
      <c r="E432" s="9" t="str">
        <f ca="1">+WORLDCUP!BD59</f>
        <v>Catar</v>
      </c>
      <c r="F432" s="9" t="str">
        <f ca="1">+WORLDCUP!BD61</f>
        <v>Turquía</v>
      </c>
      <c r="G432" s="9" t="str">
        <f ca="1">+WORLDCUP!BD58</f>
        <v>República Checa</v>
      </c>
      <c r="H432" s="9" t="str">
        <f ca="1">+WORLDCUP!BD64</f>
        <v>Bélgica</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Catar</v>
      </c>
      <c r="F433" s="9" t="str">
        <f ca="1">+WORLDCUP!BD60</f>
        <v>Marruecos</v>
      </c>
      <c r="G433" s="9" t="str">
        <f ca="1">+WORLDCUP!BD58</f>
        <v>República Checa</v>
      </c>
      <c r="H433" s="9" t="str">
        <f ca="1">+WORLDCUP!BD61</f>
        <v>Turquía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Jordania</v>
      </c>
      <c r="E434" s="9" t="str">
        <f ca="1">+WORLDCUP!BD59</f>
        <v>Catar</v>
      </c>
      <c r="F434" s="9" t="str">
        <f ca="1">+WORLDCUP!BD61</f>
        <v>Turquía</v>
      </c>
      <c r="G434" s="9" t="str">
        <f ca="1">+WORLDCUP!BD58</f>
        <v>República Checa</v>
      </c>
      <c r="H434" s="9" t="str">
        <f ca="1">+WORLDCUP!BD64</f>
        <v>Bélgica</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Jordania</v>
      </c>
      <c r="E435" s="9" t="str">
        <f ca="1">+WORLDCUP!BD59</f>
        <v>Catar</v>
      </c>
      <c r="F435" s="9" t="str">
        <f ca="1">+WORLDCUP!BD61</f>
        <v>Turquía</v>
      </c>
      <c r="G435" s="9" t="str">
        <f ca="1">+WORLDCUP!BD58</f>
        <v>República Checa</v>
      </c>
      <c r="H435" s="9" t="str">
        <f ca="1">+WORLDCUP!BD64</f>
        <v>Bélgica</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España</v>
      </c>
      <c r="D436" s="9" t="str">
        <f ca="1">+WORLDCUP!BD64</f>
        <v>Bélgica</v>
      </c>
      <c r="E436" s="9" t="str">
        <f ca="1">+WORLDCUP!BD59</f>
        <v>Catar</v>
      </c>
      <c r="F436" s="9" t="str">
        <f ca="1">+WORLDCUP!BD60</f>
        <v>Marruecos</v>
      </c>
      <c r="G436" s="9" t="str">
        <f ca="1">+WORLDCUP!BD58</f>
        <v>República Checa</v>
      </c>
      <c r="H436" s="9" t="str">
        <f ca="1">+WORLDCUP!BD61</f>
        <v>Turquía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España</v>
      </c>
      <c r="D437" s="9" t="str">
        <f ca="1">+WORLDCUP!BD64</f>
        <v>Bélgica</v>
      </c>
      <c r="E437" s="9" t="str">
        <f ca="1">+WORLDCUP!BD59</f>
        <v>Catar</v>
      </c>
      <c r="F437" s="9" t="str">
        <f ca="1">+WORLDCUP!BD60</f>
        <v>Marruecos</v>
      </c>
      <c r="G437" s="9" t="str">
        <f ca="1">+WORLDCUP!BD58</f>
        <v>República Checa</v>
      </c>
      <c r="H437" s="9" t="str">
        <f ca="1">+WORLDCUP!BD61</f>
        <v>Turquía</v>
      </c>
      <c r="I437" s="9" t="str">
        <f ca="1">+WORLDCUP!BD69</f>
        <v>Ghana</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España</v>
      </c>
      <c r="D438" s="9" t="str">
        <f ca="1">+WORLDCUP!BD64</f>
        <v>Bélgica</v>
      </c>
      <c r="E438" s="9" t="str">
        <f ca="1">+WORLDCUP!BD59</f>
        <v>Catar</v>
      </c>
      <c r="F438" s="9" t="str">
        <f ca="1">+WORLDCUP!BD60</f>
        <v>Marruecos</v>
      </c>
      <c r="G438" s="9" t="str">
        <f ca="1">+WORLDCUP!BD58</f>
        <v>República Checa</v>
      </c>
      <c r="H438" s="9" t="str">
        <f ca="1">+WORLDCUP!BD61</f>
        <v>Turquía</v>
      </c>
      <c r="I438" s="9" t="str">
        <f ca="1">+WORLDCUP!BD67</f>
        <v>Jordania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España</v>
      </c>
      <c r="D439" s="9" t="str">
        <f ca="1">+WORLDCUP!BD64</f>
        <v>Bélgica</v>
      </c>
      <c r="E439" s="9" t="str">
        <f ca="1">+WORLDCUP!BD59</f>
        <v>Catar</v>
      </c>
      <c r="F439" s="9" t="str">
        <f ca="1">+WORLDCUP!BD60</f>
        <v>Marruecos</v>
      </c>
      <c r="G439" s="9" t="str">
        <f ca="1">+WORLDCUP!BD58</f>
        <v>República Checa</v>
      </c>
      <c r="H439" s="9" t="str">
        <f ca="1">+WORLDCUP!BD61</f>
        <v>Turquía</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España</v>
      </c>
      <c r="D440" s="9" t="str">
        <f ca="1">+WORLDCUP!BD64</f>
        <v>Bélgica</v>
      </c>
      <c r="E440" s="9" t="str">
        <f ca="1">+WORLDCUP!BD59</f>
        <v>Catar</v>
      </c>
      <c r="F440" s="9" t="str">
        <f ca="1">+WORLDCUP!BD60</f>
        <v>Marruecos</v>
      </c>
      <c r="G440" s="9" t="str">
        <f ca="1">+WORLDCUP!BD58</f>
        <v>República Checa</v>
      </c>
      <c r="H440" s="9" t="str">
        <f ca="1">+WORLDCUP!BD61</f>
        <v>Turquía</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España</v>
      </c>
      <c r="D441" s="9" t="str">
        <f ca="1">+WORLDCUP!BD64</f>
        <v>Bélgica</v>
      </c>
      <c r="E441" s="9" t="str">
        <f ca="1">+WORLDCUP!BD59</f>
        <v>Catar</v>
      </c>
      <c r="F441" s="9" t="str">
        <f ca="1">+WORLDCUP!BD60</f>
        <v>Marruecos</v>
      </c>
      <c r="G441" s="9" t="str">
        <f ca="1">+WORLDCUP!BD58</f>
        <v>República Checa</v>
      </c>
      <c r="H441" s="9" t="str">
        <f ca="1">+WORLDCUP!BD61</f>
        <v>Turquía</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Jordania</v>
      </c>
      <c r="E442" s="9" t="str">
        <f ca="1">+WORLDCUP!BD59</f>
        <v>Catar</v>
      </c>
      <c r="F442" s="9" t="str">
        <f ca="1">+WORLDCUP!BD61</f>
        <v>Turquía</v>
      </c>
      <c r="G442" s="9" t="str">
        <f ca="1">+WORLDCUP!BD58</f>
        <v>República Checa</v>
      </c>
      <c r="H442" s="9" t="str">
        <f ca="1">+WORLDCUP!BD63</f>
        <v>Japón</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Senegal</v>
      </c>
      <c r="E443" s="9" t="str">
        <f ca="1">+WORLDCUP!BD59</f>
        <v>Catar</v>
      </c>
      <c r="F443" s="9" t="str">
        <f ca="1">+WORLDCUP!BD61</f>
        <v>Turquía</v>
      </c>
      <c r="G443" s="9" t="str">
        <f ca="1">+WORLDCUP!BD58</f>
        <v>República Checa</v>
      </c>
      <c r="H443" s="9" t="str">
        <f ca="1">+WORLDCUP!BD63</f>
        <v>Japón</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Jordania</v>
      </c>
      <c r="E444" s="9" t="str">
        <f ca="1">+WORLDCUP!BD59</f>
        <v>Catar</v>
      </c>
      <c r="F444" s="9" t="str">
        <f ca="1">+WORLDCUP!BD61</f>
        <v>Turquía</v>
      </c>
      <c r="G444" s="9" t="str">
        <f ca="1">+WORLDCUP!BD58</f>
        <v>República Checa</v>
      </c>
      <c r="H444" s="9" t="str">
        <f ca="1">+WORLDCUP!BD63</f>
        <v>Japón</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Jordania</v>
      </c>
      <c r="E445" s="9" t="str">
        <f ca="1">+WORLDCUP!BD59</f>
        <v>Catar</v>
      </c>
      <c r="F445" s="9" t="str">
        <f ca="1">+WORLDCUP!BD61</f>
        <v>Turquía</v>
      </c>
      <c r="G445" s="9" t="str">
        <f ca="1">+WORLDCUP!BD58</f>
        <v>República Checa</v>
      </c>
      <c r="H445" s="9" t="str">
        <f ca="1">+WORLDCUP!BD63</f>
        <v>Japón</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España</v>
      </c>
      <c r="D446" s="9" t="str">
        <f ca="1">+WORLDCUP!BD63</f>
        <v>Japón</v>
      </c>
      <c r="E446" s="9" t="str">
        <f ca="1">+WORLDCUP!BD59</f>
        <v>Catar</v>
      </c>
      <c r="F446" s="9" t="str">
        <f ca="1">+WORLDCUP!BD60</f>
        <v>Marruecos</v>
      </c>
      <c r="G446" s="9" t="str">
        <f ca="1">+WORLDCUP!BD58</f>
        <v>República Checa</v>
      </c>
      <c r="H446" s="9" t="str">
        <f ca="1">+WORLDCUP!BD61</f>
        <v>Turquía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Jordania</v>
      </c>
      <c r="E447" s="9" t="str">
        <f ca="1">+WORLDCUP!BD59</f>
        <v>Catar</v>
      </c>
      <c r="F447" s="9" t="str">
        <f ca="1">+WORLDCUP!BD61</f>
        <v>Turquía</v>
      </c>
      <c r="G447" s="9" t="str">
        <f ca="1">+WORLDCUP!BD58</f>
        <v>República Checa</v>
      </c>
      <c r="H447" s="9" t="str">
        <f ca="1">+WORLDCUP!BD63</f>
        <v>Japón</v>
      </c>
      <c r="I447" s="9" t="str">
        <f ca="1">+WORLDCUP!BD69</f>
        <v>Ghana</v>
      </c>
      <c r="J447" s="9" t="str">
        <f ca="1">+WORLDCUP!BD65</f>
        <v>España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España</v>
      </c>
      <c r="D448" s="9" t="str">
        <f ca="1">+WORLDCUP!BD67</f>
        <v>Jordania</v>
      </c>
      <c r="E448" s="9" t="str">
        <f ca="1">+WORLDCUP!BD59</f>
        <v>Catar</v>
      </c>
      <c r="F448" s="9" t="str">
        <f ca="1">+WORLDCUP!BD60</f>
        <v>Marruecos</v>
      </c>
      <c r="G448" s="9" t="str">
        <f ca="1">+WORLDCUP!BD58</f>
        <v>República Checa</v>
      </c>
      <c r="H448" s="9" t="str">
        <f ca="1">+WORLDCUP!BD63</f>
        <v>Japón</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España</v>
      </c>
      <c r="D449" s="9" t="str">
        <f ca="1">+WORLDCUP!BD63</f>
        <v>Japón</v>
      </c>
      <c r="E449" s="9" t="str">
        <f ca="1">+WORLDCUP!BD59</f>
        <v>Catar</v>
      </c>
      <c r="F449" s="9" t="str">
        <f ca="1">+WORLDCUP!BD60</f>
        <v>Marruecos</v>
      </c>
      <c r="G449" s="9" t="str">
        <f ca="1">+WORLDCUP!BD58</f>
        <v>República Checa</v>
      </c>
      <c r="H449" s="9" t="str">
        <f ca="1">+WORLDCUP!BD61</f>
        <v>Turquía</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España</v>
      </c>
      <c r="D450" s="9" t="str">
        <f ca="1">+WORLDCUP!BD63</f>
        <v>Japón</v>
      </c>
      <c r="E450" s="9" t="str">
        <f ca="1">+WORLDCUP!BD59</f>
        <v>Catar</v>
      </c>
      <c r="F450" s="9" t="str">
        <f ca="1">+WORLDCUP!BD60</f>
        <v>Marruecos</v>
      </c>
      <c r="G450" s="9" t="str">
        <f ca="1">+WORLDCUP!BD58</f>
        <v>República Checa</v>
      </c>
      <c r="H450" s="9" t="str">
        <f ca="1">+WORLDCUP!BD61</f>
        <v>Turquía</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España</v>
      </c>
      <c r="D451" s="9" t="str">
        <f ca="1">+WORLDCUP!BD67</f>
        <v>Jordania</v>
      </c>
      <c r="E451" s="9" t="str">
        <f ca="1">+WORLDCUP!BD59</f>
        <v>Catar</v>
      </c>
      <c r="F451" s="9" t="str">
        <f ca="1">+WORLDCUP!BD60</f>
        <v>Marruecos</v>
      </c>
      <c r="G451" s="9" t="str">
        <f ca="1">+WORLDCUP!BD58</f>
        <v>República Checa</v>
      </c>
      <c r="H451" s="9" t="str">
        <f ca="1">+WORLDCUP!BD63</f>
        <v>Japón</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Bélgica</v>
      </c>
      <c r="E452" s="9" t="str">
        <f ca="1">+WORLDCUP!BD59</f>
        <v>Catar</v>
      </c>
      <c r="F452" s="9" t="str">
        <f ca="1">+WORLDCUP!BD61</f>
        <v>Turquía</v>
      </c>
      <c r="G452" s="9" t="str">
        <f ca="1">+WORLDCUP!BD58</f>
        <v>República Checa</v>
      </c>
      <c r="H452" s="9" t="str">
        <f ca="1">+WORLDCUP!BD63</f>
        <v>Japón</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Bélgica</v>
      </c>
      <c r="E453" s="9" t="str">
        <f ca="1">+WORLDCUP!BD59</f>
        <v>Catar</v>
      </c>
      <c r="F453" s="9" t="str">
        <f ca="1">+WORLDCUP!BD61</f>
        <v>Turquía</v>
      </c>
      <c r="G453" s="9" t="str">
        <f ca="1">+WORLDCUP!BD58</f>
        <v>República Checa</v>
      </c>
      <c r="H453" s="9" t="str">
        <f ca="1">+WORLDCUP!BD63</f>
        <v>Japón</v>
      </c>
      <c r="I453" s="9" t="str">
        <f ca="1">+WORLDCUP!BD69</f>
        <v>Ghana</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Bélgica</v>
      </c>
      <c r="E454" s="9" t="str">
        <f ca="1">+WORLDCUP!BD59</f>
        <v>Catar</v>
      </c>
      <c r="F454" s="9" t="str">
        <f ca="1">+WORLDCUP!BD61</f>
        <v>Turquía</v>
      </c>
      <c r="G454" s="9" t="str">
        <f ca="1">+WORLDCUP!BD58</f>
        <v>República Checa</v>
      </c>
      <c r="H454" s="9" t="str">
        <f ca="1">+WORLDCUP!BD63</f>
        <v>Japón</v>
      </c>
      <c r="I454" s="9" t="str">
        <f ca="1">+WORLDCUP!BD67</f>
        <v>Jordania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Bélgica</v>
      </c>
      <c r="E455" s="9" t="str">
        <f ca="1">+WORLDCUP!BD59</f>
        <v>Catar</v>
      </c>
      <c r="F455" s="9" t="str">
        <f ca="1">+WORLDCUP!BD61</f>
        <v>Turquía</v>
      </c>
      <c r="G455" s="9" t="str">
        <f ca="1">+WORLDCUP!BD58</f>
        <v>República Checa</v>
      </c>
      <c r="H455" s="9" t="str">
        <f ca="1">+WORLDCUP!BD63</f>
        <v>Japón</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Bélgica</v>
      </c>
      <c r="E456" s="9" t="str">
        <f ca="1">+WORLDCUP!BD59</f>
        <v>Catar</v>
      </c>
      <c r="F456" s="9" t="str">
        <f ca="1">+WORLDCUP!BD61</f>
        <v>Turquía</v>
      </c>
      <c r="G456" s="9" t="str">
        <f ca="1">+WORLDCUP!BD58</f>
        <v>República Checa</v>
      </c>
      <c r="H456" s="9" t="str">
        <f ca="1">+WORLDCUP!BD63</f>
        <v>Japón</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Bélgica</v>
      </c>
      <c r="E457" s="9" t="str">
        <f ca="1">+WORLDCUP!BD59</f>
        <v>Catar</v>
      </c>
      <c r="F457" s="9" t="str">
        <f ca="1">+WORLDCUP!BD61</f>
        <v>Turquía</v>
      </c>
      <c r="G457" s="9" t="str">
        <f ca="1">+WORLDCUP!BD58</f>
        <v>República Checa</v>
      </c>
      <c r="H457" s="9" t="str">
        <f ca="1">+WORLDCUP!BD63</f>
        <v>Japón</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Bélgica</v>
      </c>
      <c r="E458" s="9" t="str">
        <f ca="1">+WORLDCUP!BD59</f>
        <v>Catar</v>
      </c>
      <c r="F458" s="9" t="str">
        <f ca="1">+WORLDCUP!BD61</f>
        <v>Turquía</v>
      </c>
      <c r="G458" s="9" t="str">
        <f ca="1">+WORLDCUP!BD58</f>
        <v>República Checa</v>
      </c>
      <c r="H458" s="9" t="str">
        <f ca="1">+WORLDCUP!BD63</f>
        <v>Japón</v>
      </c>
      <c r="I458" s="9" t="str">
        <f ca="1">+WORLDCUP!BD69</f>
        <v>Ghana</v>
      </c>
      <c r="J458" s="9" t="str">
        <f ca="1">+WORLDCUP!BD65</f>
        <v>España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España</v>
      </c>
      <c r="D459" s="9" t="str">
        <f ca="1">+WORLDCUP!BD64</f>
        <v>Bélgica</v>
      </c>
      <c r="E459" s="9" t="str">
        <f ca="1">+WORLDCUP!BD59</f>
        <v>Catar</v>
      </c>
      <c r="F459" s="9" t="str">
        <f ca="1">+WORLDCUP!BD60</f>
        <v>Marruecos</v>
      </c>
      <c r="G459" s="9" t="str">
        <f ca="1">+WORLDCUP!BD58</f>
        <v>República Checa</v>
      </c>
      <c r="H459" s="9" t="str">
        <f ca="1">+WORLDCUP!BD63</f>
        <v>Japón</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España</v>
      </c>
      <c r="D460" s="9" t="str">
        <f ca="1">+WORLDCUP!BD64</f>
        <v>Bélgica</v>
      </c>
      <c r="E460" s="9" t="str">
        <f ca="1">+WORLDCUP!BD59</f>
        <v>Catar</v>
      </c>
      <c r="F460" s="9" t="str">
        <f ca="1">+WORLDCUP!BD60</f>
        <v>Marruecos</v>
      </c>
      <c r="G460" s="9" t="str">
        <f ca="1">+WORLDCUP!BD58</f>
        <v>República Checa</v>
      </c>
      <c r="H460" s="9" t="str">
        <f ca="1">+WORLDCUP!BD63</f>
        <v>Japón</v>
      </c>
      <c r="I460" s="9" t="str">
        <f ca="1">+WORLDCUP!BD61</f>
        <v>Turquía</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España</v>
      </c>
      <c r="D461" s="9" t="str">
        <f ca="1">+WORLDCUP!BD64</f>
        <v>Bélgica</v>
      </c>
      <c r="E461" s="9" t="str">
        <f ca="1">+WORLDCUP!BD59</f>
        <v>Catar</v>
      </c>
      <c r="F461" s="9" t="str">
        <f ca="1">+WORLDCUP!BD60</f>
        <v>Marruecos</v>
      </c>
      <c r="G461" s="9" t="str">
        <f ca="1">+WORLDCUP!BD58</f>
        <v>República Checa</v>
      </c>
      <c r="H461" s="9" t="str">
        <f ca="1">+WORLDCUP!BD63</f>
        <v>Japón</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Jordania</v>
      </c>
      <c r="E462" s="9" t="str">
        <f ca="1">+WORLDCUP!BD59</f>
        <v>Catar</v>
      </c>
      <c r="F462" s="9" t="str">
        <f ca="1">+WORLDCUP!BD60</f>
        <v>Marruecos</v>
      </c>
      <c r="G462" s="9" t="str">
        <f ca="1">+WORLDCUP!BD58</f>
        <v>República Checa</v>
      </c>
      <c r="H462" s="9" t="str">
        <f ca="1">+WORLDCUP!BD61</f>
        <v>Turquía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Catar</v>
      </c>
      <c r="F463" s="9" t="str">
        <f ca="1">+WORLDCUP!BD60</f>
        <v>Marruecos</v>
      </c>
      <c r="G463" s="9" t="str">
        <f ca="1">+WORLDCUP!BD58</f>
        <v>República Checa</v>
      </c>
      <c r="H463" s="9" t="str">
        <f ca="1">+WORLDCUP!BD61</f>
        <v>Turquía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Jordania</v>
      </c>
      <c r="E464" s="9" t="str">
        <f ca="1">+WORLDCUP!BD59</f>
        <v>Catar</v>
      </c>
      <c r="F464" s="9" t="str">
        <f ca="1">+WORLDCUP!BD60</f>
        <v>Marruecos</v>
      </c>
      <c r="G464" s="9" t="str">
        <f ca="1">+WORLDCUP!BD58</f>
        <v>República Checa</v>
      </c>
      <c r="H464" s="9" t="str">
        <f ca="1">+WORLDCUP!BD61</f>
        <v>Turquía</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Jordania</v>
      </c>
      <c r="E465" s="9" t="str">
        <f ca="1">+WORLDCUP!BD59</f>
        <v>Catar</v>
      </c>
      <c r="F465" s="9" t="str">
        <f ca="1">+WORLDCUP!BD60</f>
        <v>Marruecos</v>
      </c>
      <c r="G465" s="9" t="str">
        <f ca="1">+WORLDCUP!BD58</f>
        <v>República Checa</v>
      </c>
      <c r="H465" s="9" t="str">
        <f ca="1">+WORLDCUP!BD61</f>
        <v>Turquía</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España</v>
      </c>
      <c r="D466" s="9" t="str">
        <f ca="1">+WORLDCUP!BD62</f>
        <v>Ecuador</v>
      </c>
      <c r="E466" s="9" t="str">
        <f ca="1">+WORLDCUP!BD59</f>
        <v>Catar</v>
      </c>
      <c r="F466" s="9" t="str">
        <f ca="1">+WORLDCUP!BD60</f>
        <v>Marruecos</v>
      </c>
      <c r="G466" s="9" t="str">
        <f ca="1">+WORLDCUP!BD58</f>
        <v>República Checa</v>
      </c>
      <c r="H466" s="9" t="str">
        <f ca="1">+WORLDCUP!BD61</f>
        <v>Turquía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España</v>
      </c>
      <c r="D467" s="9" t="str">
        <f ca="1">+WORLDCUP!BD67</f>
        <v>Jordania</v>
      </c>
      <c r="E467" s="9" t="str">
        <f ca="1">+WORLDCUP!BD59</f>
        <v>Catar</v>
      </c>
      <c r="F467" s="9" t="str">
        <f ca="1">+WORLDCUP!BD60</f>
        <v>Marruecos</v>
      </c>
      <c r="G467" s="9" t="str">
        <f ca="1">+WORLDCUP!BD58</f>
        <v>República Checa</v>
      </c>
      <c r="H467" s="9" t="str">
        <f ca="1">+WORLDCUP!BD61</f>
        <v>Turquía</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España</v>
      </c>
      <c r="D468" s="9" t="str">
        <f ca="1">+WORLDCUP!BD67</f>
        <v>Jordania</v>
      </c>
      <c r="E468" s="9" t="str">
        <f ca="1">+WORLDCUP!BD59</f>
        <v>Catar</v>
      </c>
      <c r="F468" s="9" t="str">
        <f ca="1">+WORLDCUP!BD60</f>
        <v>Marruecos</v>
      </c>
      <c r="G468" s="9" t="str">
        <f ca="1">+WORLDCUP!BD58</f>
        <v>República Checa</v>
      </c>
      <c r="H468" s="9" t="str">
        <f ca="1">+WORLDCUP!BD61</f>
        <v>Turquía</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España</v>
      </c>
      <c r="D469" s="9" t="str">
        <f ca="1">+WORLDCUP!BD62</f>
        <v>Ecuador</v>
      </c>
      <c r="E469" s="9" t="str">
        <f ca="1">+WORLDCUP!BD59</f>
        <v>Catar</v>
      </c>
      <c r="F469" s="9" t="str">
        <f ca="1">+WORLDCUP!BD60</f>
        <v>Marruecos</v>
      </c>
      <c r="G469" s="9" t="str">
        <f ca="1">+WORLDCUP!BD58</f>
        <v>República Checa</v>
      </c>
      <c r="H469" s="9" t="str">
        <f ca="1">+WORLDCUP!BD61</f>
        <v>Turquía</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España</v>
      </c>
      <c r="D470" s="9" t="str">
        <f ca="1">+WORLDCUP!BD62</f>
        <v>Ecuador</v>
      </c>
      <c r="E470" s="9" t="str">
        <f ca="1">+WORLDCUP!BD59</f>
        <v>Catar</v>
      </c>
      <c r="F470" s="9" t="str">
        <f ca="1">+WORLDCUP!BD60</f>
        <v>Marruecos</v>
      </c>
      <c r="G470" s="9" t="str">
        <f ca="1">+WORLDCUP!BD58</f>
        <v>República Checa</v>
      </c>
      <c r="H470" s="9" t="str">
        <f ca="1">+WORLDCUP!BD61</f>
        <v>Turquía</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España</v>
      </c>
      <c r="D471" s="9" t="str">
        <f ca="1">+WORLDCUP!BD67</f>
        <v>Jordania</v>
      </c>
      <c r="E471" s="9" t="str">
        <f ca="1">+WORLDCUP!BD59</f>
        <v>Catar</v>
      </c>
      <c r="F471" s="9" t="str">
        <f ca="1">+WORLDCUP!BD60</f>
        <v>Marruecos</v>
      </c>
      <c r="G471" s="9" t="str">
        <f ca="1">+WORLDCUP!BD58</f>
        <v>República Checa</v>
      </c>
      <c r="H471" s="9" t="str">
        <f ca="1">+WORLDCUP!BD61</f>
        <v>Turquía</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Catar</v>
      </c>
      <c r="F472" s="9" t="str">
        <f ca="1">+WORLDCUP!BD60</f>
        <v>Marruecos</v>
      </c>
      <c r="G472" s="9" t="str">
        <f ca="1">+WORLDCUP!BD58</f>
        <v>República Checa</v>
      </c>
      <c r="H472" s="9" t="str">
        <f ca="1">+WORLDCUP!BD61</f>
        <v>Turquía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Catar</v>
      </c>
      <c r="F473" s="9" t="str">
        <f ca="1">+WORLDCUP!BD60</f>
        <v>Marruecos</v>
      </c>
      <c r="G473" s="9" t="str">
        <f ca="1">+WORLDCUP!BD58</f>
        <v>República Checa</v>
      </c>
      <c r="H473" s="9" t="str">
        <f ca="1">+WORLDCUP!BD61</f>
        <v>Turquía</v>
      </c>
      <c r="I473" s="9" t="str">
        <f ca="1">+WORLDCUP!BD69</f>
        <v>Ghana</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Catar</v>
      </c>
      <c r="F474" s="9" t="str">
        <f ca="1">+WORLDCUP!BD60</f>
        <v>Marruecos</v>
      </c>
      <c r="G474" s="9" t="str">
        <f ca="1">+WORLDCUP!BD58</f>
        <v>República Checa</v>
      </c>
      <c r="H474" s="9" t="str">
        <f ca="1">+WORLDCUP!BD61</f>
        <v>Turquía</v>
      </c>
      <c r="I474" s="9" t="str">
        <f ca="1">+WORLDCUP!BD67</f>
        <v>Jordania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Catar</v>
      </c>
      <c r="F475" s="9" t="str">
        <f ca="1">+WORLDCUP!BD60</f>
        <v>Marruecos</v>
      </c>
      <c r="G475" s="9" t="str">
        <f ca="1">+WORLDCUP!BD58</f>
        <v>República Checa</v>
      </c>
      <c r="H475" s="9" t="str">
        <f ca="1">+WORLDCUP!BD61</f>
        <v>Turquía</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Catar</v>
      </c>
      <c r="F476" s="9" t="str">
        <f ca="1">+WORLDCUP!BD60</f>
        <v>Marruecos</v>
      </c>
      <c r="G476" s="9" t="str">
        <f ca="1">+WORLDCUP!BD58</f>
        <v>República Checa</v>
      </c>
      <c r="H476" s="9" t="str">
        <f ca="1">+WORLDCUP!BD61</f>
        <v>Turquía</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Catar</v>
      </c>
      <c r="F477" s="9" t="str">
        <f ca="1">+WORLDCUP!BD60</f>
        <v>Marruecos</v>
      </c>
      <c r="G477" s="9" t="str">
        <f ca="1">+WORLDCUP!BD58</f>
        <v>República Checa</v>
      </c>
      <c r="H477" s="9" t="str">
        <f ca="1">+WORLDCUP!BD61</f>
        <v>Turquía</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España</v>
      </c>
      <c r="D478" s="9" t="str">
        <f ca="1">+WORLDCUP!BD64</f>
        <v>Bélgica</v>
      </c>
      <c r="E478" s="9" t="str">
        <f ca="1">+WORLDCUP!BD59</f>
        <v>Catar</v>
      </c>
      <c r="F478" s="9" t="str">
        <f ca="1">+WORLDCUP!BD60</f>
        <v>Marruecos</v>
      </c>
      <c r="G478" s="9" t="str">
        <f ca="1">+WORLDCUP!BD58</f>
        <v>República Checa</v>
      </c>
      <c r="H478" s="9" t="str">
        <f ca="1">+WORLDCUP!BD61</f>
        <v>Turquía</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España</v>
      </c>
      <c r="D479" s="9" t="str">
        <f ca="1">+WORLDCUP!BD64</f>
        <v>Bélgica</v>
      </c>
      <c r="E479" s="9" t="str">
        <f ca="1">+WORLDCUP!BD59</f>
        <v>Catar</v>
      </c>
      <c r="F479" s="9" t="str">
        <f ca="1">+WORLDCUP!BD60</f>
        <v>Marruecos</v>
      </c>
      <c r="G479" s="9" t="str">
        <f ca="1">+WORLDCUP!BD58</f>
        <v>República Checa</v>
      </c>
      <c r="H479" s="9" t="str">
        <f ca="1">+WORLDCUP!BD61</f>
        <v>Turquía</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España</v>
      </c>
      <c r="D480" s="9" t="str">
        <f ca="1">+WORLDCUP!BD64</f>
        <v>Bélgica</v>
      </c>
      <c r="E480" s="9" t="str">
        <f ca="1">+WORLDCUP!BD59</f>
        <v>Catar</v>
      </c>
      <c r="F480" s="9" t="str">
        <f ca="1">+WORLDCUP!BD60</f>
        <v>Marruecos</v>
      </c>
      <c r="G480" s="9" t="str">
        <f ca="1">+WORLDCUP!BD58</f>
        <v>República Checa</v>
      </c>
      <c r="H480" s="9" t="str">
        <f ca="1">+WORLDCUP!BD61</f>
        <v>Turquía</v>
      </c>
      <c r="I480" s="9" t="str">
        <f ca="1">+WORLDCUP!BD62</f>
        <v>Ecuador</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España</v>
      </c>
      <c r="D481" s="9" t="str">
        <f ca="1">+WORLDCUP!BD64</f>
        <v>Bélgica</v>
      </c>
      <c r="E481" s="9" t="str">
        <f ca="1">+WORLDCUP!BD59</f>
        <v>Catar</v>
      </c>
      <c r="F481" s="9" t="str">
        <f ca="1">+WORLDCUP!BD60</f>
        <v>Marruecos</v>
      </c>
      <c r="G481" s="9" t="str">
        <f ca="1">+WORLDCUP!BD58</f>
        <v>República Checa</v>
      </c>
      <c r="H481" s="9" t="str">
        <f ca="1">+WORLDCUP!BD61</f>
        <v>Turquía</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Catar</v>
      </c>
      <c r="F482" s="9" t="str">
        <f ca="1">+WORLDCUP!BD61</f>
        <v>Turquía</v>
      </c>
      <c r="G482" s="9" t="str">
        <f ca="1">+WORLDCUP!BD58</f>
        <v>República Checa</v>
      </c>
      <c r="H482" s="9" t="str">
        <f ca="1">+WORLDCUP!BD63</f>
        <v>Japón</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Jordania</v>
      </c>
      <c r="E483" s="9" t="str">
        <f ca="1">+WORLDCUP!BD59</f>
        <v>Catar</v>
      </c>
      <c r="F483" s="9" t="str">
        <f ca="1">+WORLDCUP!BD61</f>
        <v>Turquía</v>
      </c>
      <c r="G483" s="9" t="str">
        <f ca="1">+WORLDCUP!BD58</f>
        <v>República Checa</v>
      </c>
      <c r="H483" s="9" t="str">
        <f ca="1">+WORLDCUP!BD63</f>
        <v>Japón</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Jordania</v>
      </c>
      <c r="E484" s="9" t="str">
        <f ca="1">+WORLDCUP!BD59</f>
        <v>Catar</v>
      </c>
      <c r="F484" s="9" t="str">
        <f ca="1">+WORLDCUP!BD61</f>
        <v>Turquía</v>
      </c>
      <c r="G484" s="9" t="str">
        <f ca="1">+WORLDCUP!BD58</f>
        <v>República Checa</v>
      </c>
      <c r="H484" s="9" t="str">
        <f ca="1">+WORLDCUP!BD63</f>
        <v>Japón</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Catar</v>
      </c>
      <c r="F485" s="9" t="str">
        <f ca="1">+WORLDCUP!BD61</f>
        <v>Turquía</v>
      </c>
      <c r="G485" s="9" t="str">
        <f ca="1">+WORLDCUP!BD58</f>
        <v>República Checa</v>
      </c>
      <c r="H485" s="9" t="str">
        <f ca="1">+WORLDCUP!BD63</f>
        <v>Japón</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Catar</v>
      </c>
      <c r="F486" s="9" t="str">
        <f ca="1">+WORLDCUP!BD61</f>
        <v>Turquía</v>
      </c>
      <c r="G486" s="9" t="str">
        <f ca="1">+WORLDCUP!BD58</f>
        <v>República Checa</v>
      </c>
      <c r="H486" s="9" t="str">
        <f ca="1">+WORLDCUP!BD63</f>
        <v>Japón</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Jordania</v>
      </c>
      <c r="E487" s="9" t="str">
        <f ca="1">+WORLDCUP!BD59</f>
        <v>Catar</v>
      </c>
      <c r="F487" s="9" t="str">
        <f ca="1">+WORLDCUP!BD61</f>
        <v>Turquía</v>
      </c>
      <c r="G487" s="9" t="str">
        <f ca="1">+WORLDCUP!BD58</f>
        <v>República Checa</v>
      </c>
      <c r="H487" s="9" t="str">
        <f ca="1">+WORLDCUP!BD63</f>
        <v>Japón</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España</v>
      </c>
      <c r="D488" s="9" t="str">
        <f ca="1">+WORLDCUP!BD63</f>
        <v>Japón</v>
      </c>
      <c r="E488" s="9" t="str">
        <f ca="1">+WORLDCUP!BD59</f>
        <v>Catar</v>
      </c>
      <c r="F488" s="9" t="str">
        <f ca="1">+WORLDCUP!BD60</f>
        <v>Marruecos</v>
      </c>
      <c r="G488" s="9" t="str">
        <f ca="1">+WORLDCUP!BD58</f>
        <v>República Checa</v>
      </c>
      <c r="H488" s="9" t="str">
        <f ca="1">+WORLDCUP!BD61</f>
        <v>Turquía</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España</v>
      </c>
      <c r="D489" s="9" t="str">
        <f ca="1">+WORLDCUP!BD62</f>
        <v>Ecuador</v>
      </c>
      <c r="E489" s="9" t="str">
        <f ca="1">+WORLDCUP!BD59</f>
        <v>Catar</v>
      </c>
      <c r="F489" s="9" t="str">
        <f ca="1">+WORLDCUP!BD60</f>
        <v>Marruecos</v>
      </c>
      <c r="G489" s="9" t="str">
        <f ca="1">+WORLDCUP!BD58</f>
        <v>República Checa</v>
      </c>
      <c r="H489" s="9" t="str">
        <f ca="1">+WORLDCUP!BD63</f>
        <v>Japón</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España</v>
      </c>
      <c r="D490" s="9" t="str">
        <f ca="1">+WORLDCUP!BD67</f>
        <v>Jordania</v>
      </c>
      <c r="E490" s="9" t="str">
        <f ca="1">+WORLDCUP!BD59</f>
        <v>Catar</v>
      </c>
      <c r="F490" s="9" t="str">
        <f ca="1">+WORLDCUP!BD60</f>
        <v>Marruecos</v>
      </c>
      <c r="G490" s="9" t="str">
        <f ca="1">+WORLDCUP!BD58</f>
        <v>República Checa</v>
      </c>
      <c r="H490" s="9" t="str">
        <f ca="1">+WORLDCUP!BD63</f>
        <v>Japón</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España</v>
      </c>
      <c r="D491" s="9" t="str">
        <f ca="1">+WORLDCUP!BD62</f>
        <v>Ecuador</v>
      </c>
      <c r="E491" s="9" t="str">
        <f ca="1">+WORLDCUP!BD59</f>
        <v>Catar</v>
      </c>
      <c r="F491" s="9" t="str">
        <f ca="1">+WORLDCUP!BD60</f>
        <v>Marruecos</v>
      </c>
      <c r="G491" s="9" t="str">
        <f ca="1">+WORLDCUP!BD58</f>
        <v>República Checa</v>
      </c>
      <c r="H491" s="9" t="str">
        <f ca="1">+WORLDCUP!BD63</f>
        <v>Japón</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Bélgica</v>
      </c>
      <c r="E492" s="9" t="str">
        <f ca="1">+WORLDCUP!BD59</f>
        <v>Catar</v>
      </c>
      <c r="F492" s="9" t="str">
        <f ca="1">+WORLDCUP!BD61</f>
        <v>Turquía</v>
      </c>
      <c r="G492" s="9" t="str">
        <f ca="1">+WORLDCUP!BD58</f>
        <v>República Checa</v>
      </c>
      <c r="H492" s="9" t="str">
        <f ca="1">+WORLDCUP!BD63</f>
        <v>Japón</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Bélgica</v>
      </c>
      <c r="E493" s="9" t="str">
        <f ca="1">+WORLDCUP!BD59</f>
        <v>Catar</v>
      </c>
      <c r="F493" s="9" t="str">
        <f ca="1">+WORLDCUP!BD61</f>
        <v>Turquía</v>
      </c>
      <c r="G493" s="9" t="str">
        <f ca="1">+WORLDCUP!BD58</f>
        <v>República Checa</v>
      </c>
      <c r="H493" s="9" t="str">
        <f ca="1">+WORLDCUP!BD63</f>
        <v>Japón</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Bélgica</v>
      </c>
      <c r="E494" s="9" t="str">
        <f ca="1">+WORLDCUP!BD59</f>
        <v>Catar</v>
      </c>
      <c r="F494" s="9" t="str">
        <f ca="1">+WORLDCUP!BD61</f>
        <v>Turquía</v>
      </c>
      <c r="G494" s="9" t="str">
        <f ca="1">+WORLDCUP!BD58</f>
        <v>República Checa</v>
      </c>
      <c r="H494" s="9" t="str">
        <f ca="1">+WORLDCUP!BD63</f>
        <v>Japón</v>
      </c>
      <c r="I494" s="9" t="str">
        <f ca="1">+WORLDCUP!BD62</f>
        <v>Ecuador</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Bélgica</v>
      </c>
      <c r="E495" s="9" t="str">
        <f ca="1">+WORLDCUP!BD59</f>
        <v>Catar</v>
      </c>
      <c r="F495" s="9" t="str">
        <f ca="1">+WORLDCUP!BD61</f>
        <v>Turquía</v>
      </c>
      <c r="G495" s="9" t="str">
        <f ca="1">+WORLDCUP!BD58</f>
        <v>República Checa</v>
      </c>
      <c r="H495" s="9" t="str">
        <f ca="1">+WORLDCUP!BD63</f>
        <v>Japón</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España</v>
      </c>
      <c r="D496" s="9" t="str">
        <f ca="1">+WORLDCUP!BD64</f>
        <v>Bélgica</v>
      </c>
      <c r="E496" s="9" t="str">
        <f ca="1">+WORLDCUP!BD59</f>
        <v>Catar</v>
      </c>
      <c r="F496" s="9" t="str">
        <f ca="1">+WORLDCUP!BD60</f>
        <v>Marruecos</v>
      </c>
      <c r="G496" s="9" t="str">
        <f ca="1">+WORLDCUP!BD58</f>
        <v>República Checa</v>
      </c>
      <c r="H496" s="9" t="str">
        <f ca="1">+WORLDCUP!BD63</f>
        <v>Japón</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x14ac:dyDescent="0.2">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x14ac:dyDescent="0.2">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5"/>
      <c r="D7" s="625"/>
      <c r="E7" s="625"/>
      <c r="F7" s="625"/>
      <c r="G7" s="625"/>
      <c r="H7" s="625"/>
      <c r="I7" s="625"/>
      <c r="J7" s="684"/>
      <c r="K7" s="224"/>
      <c r="L7" s="335"/>
      <c r="M7" s="336"/>
      <c r="N7" s="336"/>
      <c r="O7" s="336"/>
      <c r="P7" s="336"/>
      <c r="Q7" s="336"/>
      <c r="R7" s="337"/>
    </row>
    <row r="8" spans="1:18" x14ac:dyDescent="0.2">
      <c r="A8" s="223"/>
      <c r="B8" s="683"/>
      <c r="C8" s="625"/>
      <c r="D8" s="625"/>
      <c r="E8" s="625"/>
      <c r="F8" s="625"/>
      <c r="G8" s="625"/>
      <c r="H8" s="625"/>
      <c r="I8" s="625"/>
      <c r="J8" s="684"/>
      <c r="K8" s="224"/>
    </row>
    <row r="9" spans="1:18" x14ac:dyDescent="0.2">
      <c r="A9" s="223"/>
      <c r="B9" s="683"/>
      <c r="C9" s="625"/>
      <c r="D9" s="625"/>
      <c r="E9" s="625"/>
      <c r="F9" s="625"/>
      <c r="G9" s="625"/>
      <c r="H9" s="625"/>
      <c r="I9" s="625"/>
      <c r="J9" s="684"/>
      <c r="K9" s="224"/>
      <c r="L9" s="259" t="s">
        <v>309</v>
      </c>
    </row>
    <row r="10" spans="1:18" x14ac:dyDescent="0.2">
      <c r="A10" s="223"/>
      <c r="B10" s="683"/>
      <c r="C10" s="625"/>
      <c r="D10" s="625"/>
      <c r="E10" s="625"/>
      <c r="F10" s="625"/>
      <c r="G10" s="625"/>
      <c r="H10" s="625"/>
      <c r="I10" s="625"/>
      <c r="J10" s="684"/>
      <c r="K10" s="224"/>
      <c r="L10" s="331"/>
      <c r="M10" s="332"/>
      <c r="N10" s="332"/>
      <c r="O10" s="332"/>
      <c r="P10" s="332"/>
      <c r="Q10" s="332"/>
      <c r="R10" s="333"/>
    </row>
    <row r="11" spans="1:18" x14ac:dyDescent="0.2">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2026-06-17T03:01:39Z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
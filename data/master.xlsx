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8AAB8723-32BE-534A-AE7C-53F2ED4E0CFA}"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F81" i="2" s="1"/>
  <c r="AK80" i="2" a="1"/>
  <c r="AK80" i="2" s="1"/>
  <c r="AI80" i="2"/>
  <c r="AG80" i="2"/>
  <c r="AE80" i="2" a="1"/>
  <c r="AE80" i="2" s="1"/>
  <c r="AB80" i="2" a="1"/>
  <c r="AB80" i="2" s="1"/>
  <c r="D80" i="2"/>
  <c r="Q80" i="2" s="1"/>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H81" i="2"/>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07" i="2"/>
  <c r="AG151" i="2"/>
  <c r="N127" i="2"/>
  <c r="AF127" i="2" s="1"/>
  <c r="C197" i="3" s="1"/>
  <c r="D75" i="5"/>
  <c r="D154" i="5"/>
  <c r="B94" i="3" s="1"/>
  <c r="D207" i="5"/>
  <c r="K7" i="8" s="1"/>
  <c r="AG108" i="2"/>
  <c r="K81" i="2"/>
  <c r="L81" i="2"/>
  <c r="M132" i="2"/>
  <c r="AA132" i="2" s="1"/>
  <c r="C211" i="3" s="1"/>
  <c r="C247" i="3"/>
  <c r="D22" i="5"/>
  <c r="AF3" i="2" s="1"/>
  <c r="AF19" i="2" s="1"/>
  <c r="AF35" i="2" s="1"/>
  <c r="D113" i="5"/>
  <c r="E162" i="3" s="1"/>
  <c r="D173" i="5"/>
  <c r="B113" i="3" s="1"/>
  <c r="O81" i="2"/>
  <c r="D204" i="5"/>
  <c r="AB5" i="9" s="1"/>
  <c r="T81" i="2"/>
  <c r="AG113" i="2"/>
  <c r="D43" i="5"/>
  <c r="AA156" i="2" s="1"/>
  <c r="D116" i="5"/>
  <c r="E200" i="3" s="1"/>
  <c r="N80" i="2"/>
  <c r="D46" i="5"/>
  <c r="C9" i="1" s="1"/>
  <c r="D125" i="5"/>
  <c r="B5" i="3" s="1"/>
  <c r="L27" i="8"/>
  <c r="EU6144" i="7"/>
  <c r="G227" i="5" s="1"/>
  <c r="D227" i="5" s="1"/>
  <c r="M27" i="8"/>
  <c r="R80" i="2"/>
  <c r="R81" i="2"/>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E80" i="2"/>
  <c r="I81" i="2"/>
  <c r="N126" i="2"/>
  <c r="AF126" i="2" s="1"/>
  <c r="C196" i="3" s="1"/>
  <c r="C240" i="3"/>
  <c r="BB23" i="4"/>
  <c r="D211" i="5"/>
  <c r="AB12" i="9" s="1"/>
  <c r="D229" i="5"/>
  <c r="AB30" i="9" s="1"/>
  <c r="B247" i="3"/>
  <c r="O80" i="2"/>
  <c r="AG126" i="2"/>
  <c r="D29" i="5"/>
  <c r="W129" i="2" s="1"/>
  <c r="D76" i="5"/>
  <c r="D122" i="5"/>
  <c r="D6" i="3" s="1"/>
  <c r="D212" i="5"/>
  <c r="AB13" i="9" s="1"/>
  <c r="D224" i="5"/>
  <c r="K24" i="8" s="1"/>
  <c r="N81" i="2"/>
  <c r="AG102" i="2"/>
  <c r="N133" i="2"/>
  <c r="AF133" i="2" s="1"/>
  <c r="C216" i="3" s="1"/>
  <c r="D219" i="5"/>
  <c r="AB20" i="9" s="1"/>
  <c r="D249" i="5"/>
  <c r="K49" i="8" s="1"/>
  <c r="Q81" i="2"/>
  <c r="AG133" i="2"/>
  <c r="AZ25" i="4"/>
  <c r="Z91" i="2"/>
  <c r="C184" i="3"/>
  <c r="AN13" i="4"/>
  <c r="AK31" i="4"/>
  <c r="AF5" i="4"/>
  <c r="AE46" i="4"/>
  <c r="AC4" i="4"/>
  <c r="AK32" i="4"/>
  <c r="N125" i="2"/>
  <c r="AF125" i="2" s="1"/>
  <c r="C195" i="3" s="1"/>
  <c r="AG109" i="2"/>
  <c r="C213" i="3"/>
  <c r="I80" i="2"/>
  <c r="H80" i="2"/>
  <c r="F80" i="2"/>
  <c r="T80" i="2"/>
  <c r="L80" i="2"/>
  <c r="K80" i="2"/>
  <c r="C185" i="3"/>
  <c r="C203" i="3"/>
  <c r="B203" i="3"/>
  <c r="C227" i="3"/>
  <c r="M121" i="2"/>
  <c r="AA120" i="2" s="1"/>
  <c r="AE10" i="4" s="1"/>
  <c r="AG101" i="2"/>
  <c r="U80"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U81" i="2"/>
  <c r="BA21" i="4"/>
  <c r="E81"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M14"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A155" i="2" l="1"/>
  <c r="Z20" i="2"/>
  <c r="Z29" i="2"/>
  <c r="Z45" i="2"/>
  <c r="Z85" i="2"/>
  <c r="Z67" i="2"/>
  <c r="Z75" i="2"/>
  <c r="C221" i="3"/>
  <c r="C207" i="3"/>
  <c r="C232" i="3"/>
  <c r="AE11" i="4"/>
  <c r="B232" i="3"/>
  <c r="B5" i="8"/>
  <c r="A8" i="2" s="1"/>
  <c r="B32" i="8"/>
  <c r="BD36" i="2" s="1"/>
  <c r="B26" i="8"/>
  <c r="AB9" i="9"/>
  <c r="AB3" i="9"/>
  <c r="AR53" i="2"/>
  <c r="Z28" i="2"/>
  <c r="K4" i="8"/>
  <c r="B39" i="8"/>
  <c r="A78" i="2" s="1"/>
  <c r="Z61" i="2"/>
  <c r="Z52" i="2"/>
  <c r="AB25" i="9"/>
  <c r="AH154" i="2"/>
  <c r="AG155" i="2" s="1"/>
  <c r="AA158" i="2"/>
  <c r="B40" i="8"/>
  <c r="BD44" i="2" s="1"/>
  <c r="AR85" i="2"/>
  <c r="AA159" i="2"/>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B202" i="3"/>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E29" i="4"/>
  <c r="AF59" i="2"/>
  <c r="AJ101" i="2"/>
  <c r="AF146" i="2"/>
  <c r="AF130" i="2"/>
  <c r="AE41" i="4"/>
  <c r="AI32" i="4"/>
  <c r="AE5" i="4"/>
  <c r="K33" i="8"/>
  <c r="AB35" i="9"/>
  <c r="K34" i="8"/>
  <c r="B22" i="8"/>
  <c r="B17" i="8"/>
  <c r="K48" i="8"/>
  <c r="AB49" i="9"/>
  <c r="AB44" i="9"/>
  <c r="B44" i="8"/>
  <c r="K43" i="8"/>
  <c r="C212" i="3"/>
  <c r="C222" i="3"/>
  <c r="B222" i="3"/>
  <c r="C254" i="3"/>
  <c r="C255" i="3"/>
  <c r="AJ3" i="2"/>
  <c r="BC5" i="2"/>
  <c r="BC57" i="2" s="1"/>
  <c r="B31" i="8"/>
  <c r="K10" i="8"/>
  <c r="AB11" i="9"/>
  <c r="AB48" i="9"/>
  <c r="B24" i="8"/>
  <c r="K47" i="8"/>
  <c r="A79"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C200" i="3"/>
  <c r="C182" i="3"/>
  <c r="B200" i="3"/>
  <c r="C202" i="3"/>
  <c r="K3" i="4"/>
  <c r="K11" i="4" s="1"/>
  <c r="K19" i="4" s="1"/>
  <c r="K27" i="4" s="1"/>
  <c r="K35" i="4" s="1"/>
  <c r="K43" i="4" s="1"/>
  <c r="W3" i="4" s="1"/>
  <c r="W11" i="4" s="1"/>
  <c r="W19" i="4" s="1"/>
  <c r="W27" i="4" s="1"/>
  <c r="W35" i="4" s="1"/>
  <c r="W43" i="4" s="1"/>
  <c r="BD12" i="2"/>
  <c r="AB6" i="9"/>
  <c r="K5" i="8"/>
  <c r="B38" i="8"/>
  <c r="AB41" i="9"/>
  <c r="K40" i="8"/>
  <c r="B9" i="8"/>
  <c r="AB32" i="9"/>
  <c r="K31" i="8"/>
  <c r="B2" i="8"/>
  <c r="A53" i="2"/>
  <c r="BD30" i="2"/>
  <c r="A37" i="2"/>
  <c r="A94"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AB14" i="9"/>
  <c r="B45" i="8"/>
  <c r="K13" i="8"/>
  <c r="B33" i="8"/>
  <c r="AB43" i="9"/>
  <c r="K42" i="8"/>
  <c r="A54"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43" i="2" l="1"/>
  <c r="BD9" i="2"/>
  <c r="A63" i="2"/>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Y81" i="2"/>
  <c r="A55" i="2"/>
  <c r="BD32" i="2"/>
  <c r="AI22" i="9"/>
  <c r="AI48" i="9"/>
  <c r="AI3" i="9"/>
  <c r="T76" i="9"/>
  <c r="R63" i="9"/>
  <c r="T73" i="9"/>
  <c r="T56" i="9"/>
  <c r="R79" i="9"/>
  <c r="T70" i="9"/>
  <c r="AI5" i="9"/>
  <c r="BC30" i="2"/>
  <c r="BC12" i="2"/>
  <c r="AI28" i="9"/>
  <c r="BD34" i="2"/>
  <c r="A61" i="2"/>
  <c r="A7" i="2"/>
  <c r="BD8" i="2"/>
  <c r="A38" i="2"/>
  <c r="BD23"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AA81" i="2"/>
  <c r="AY57" i="2"/>
  <c r="AF77" i="2"/>
  <c r="R28" i="4" s="1"/>
  <c r="AA55" i="2"/>
  <c r="AF53" i="2"/>
  <c r="R4" i="4" s="1"/>
  <c r="AY14" i="2"/>
  <c r="AA93" i="2"/>
  <c r="O44" i="4" s="1"/>
  <c r="AY96" i="2"/>
  <c r="AF94" i="2"/>
  <c r="R45" i="4" s="1"/>
  <c r="AA12" i="2"/>
  <c r="AA15" i="2"/>
  <c r="B33" i="3" s="1"/>
  <c r="R15" i="4"/>
  <c r="R8" i="4"/>
  <c r="F40" i="4"/>
  <c r="F16" i="4"/>
  <c r="F15" i="4"/>
  <c r="R46" i="4"/>
  <c r="R30" i="4"/>
  <c r="R29" i="4"/>
  <c r="R6" i="4"/>
  <c r="R13" i="4"/>
  <c r="F46" i="4"/>
  <c r="F14" i="4"/>
  <c r="R43" i="4"/>
  <c r="R27" i="4"/>
  <c r="R3" i="4"/>
  <c r="F43" i="4"/>
  <c r="F4" i="4"/>
  <c r="O6" i="4"/>
  <c r="B43" i="3"/>
  <c r="B72" i="3"/>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R32" i="4" s="1"/>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C156" i="3"/>
  <c r="AA19" i="4"/>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C144" i="3"/>
  <c r="AA39" i="4"/>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AA46" i="4" l="1"/>
  <c r="AA22" i="4"/>
  <c r="AA34" i="4"/>
  <c r="AA49" i="4"/>
  <c r="BR34" i="2"/>
  <c r="AA4" i="4"/>
  <c r="AA7" i="4"/>
  <c r="BR13" i="2"/>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BT51" i="2"/>
  <c r="E97" i="2" s="1"/>
  <c r="BT41" i="2"/>
  <c r="E72" i="2" s="1"/>
  <c r="BT38" i="2"/>
  <c r="F72" i="2" s="1"/>
  <c r="BT44" i="2"/>
  <c r="BT14" i="2"/>
  <c r="F24" i="2" s="1"/>
  <c r="BT42" i="2"/>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BV30" i="2" s="1"/>
  <c r="F55" i="2"/>
  <c r="F53" i="2"/>
  <c r="E55" i="2"/>
  <c r="BU31" i="2" s="1"/>
  <c r="F61" i="2"/>
  <c r="E63" i="2"/>
  <c r="F60" i="2"/>
  <c r="F63" i="2"/>
  <c r="E52" i="2"/>
  <c r="E54" i="2"/>
  <c r="E53" i="2"/>
  <c r="F54" i="2"/>
  <c r="E61" i="2"/>
  <c r="F62" i="2"/>
  <c r="E60" i="2"/>
  <c r="BV35" i="2" s="1"/>
  <c r="E62" i="2"/>
  <c r="BW36" i="2" s="1"/>
  <c r="F45" i="2"/>
  <c r="E47" i="2"/>
  <c r="F44" i="2"/>
  <c r="BV26" i="2" s="1"/>
  <c r="F47" i="2"/>
  <c r="F37" i="2"/>
  <c r="E39" i="2"/>
  <c r="BV23" i="2" s="1"/>
  <c r="F36" i="2"/>
  <c r="F39" i="2"/>
  <c r="BV25" i="2" s="1"/>
  <c r="E36" i="2"/>
  <c r="BW23" i="2" s="1"/>
  <c r="E38" i="2"/>
  <c r="E37" i="2"/>
  <c r="BW25" i="2" s="1"/>
  <c r="F38" i="2"/>
  <c r="E45" i="2"/>
  <c r="F46" i="2"/>
  <c r="BU26" i="2" s="1"/>
  <c r="E44" i="2"/>
  <c r="BV27" i="2" s="1"/>
  <c r="E46" i="2"/>
  <c r="F28" i="2"/>
  <c r="F31" i="2"/>
  <c r="F29" i="2"/>
  <c r="BU20" i="2" s="1"/>
  <c r="E31" i="2"/>
  <c r="BU19" i="2" s="1"/>
  <c r="E21" i="2"/>
  <c r="F23" i="2"/>
  <c r="E20" i="2"/>
  <c r="BV15" i="2" s="1"/>
  <c r="E23" i="2"/>
  <c r="F20" i="2"/>
  <c r="F22" i="2"/>
  <c r="F21" i="2"/>
  <c r="E22" i="2"/>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4" i="2"/>
  <c r="BU24" i="2"/>
  <c r="BW26" i="2"/>
  <c r="BU25" i="2"/>
  <c r="BV20" i="2"/>
  <c r="BW8" i="2"/>
  <c r="BV8" i="2"/>
  <c r="BW46" i="2"/>
  <c r="BV46" i="2"/>
  <c r="BU46" i="2"/>
  <c r="BV31" i="2"/>
  <c r="BW31" i="2"/>
  <c r="BW14" i="2"/>
  <c r="BV14" i="2"/>
  <c r="BU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U15" i="2"/>
  <c r="BW15" i="2"/>
  <c r="BW43" i="2"/>
  <c r="BV43" i="2"/>
  <c r="BU43" i="2"/>
  <c r="BW49" i="2"/>
  <c r="BV49" i="2"/>
  <c r="BU49" i="2"/>
  <c r="BU7" i="2"/>
  <c r="BU30" i="2"/>
  <c r="BW30" i="2"/>
  <c r="BU39" i="2"/>
  <c r="BV39" i="2"/>
  <c r="BU36" i="2"/>
  <c r="BV36" i="2"/>
  <c r="BW13" i="2"/>
  <c r="BV13" i="2"/>
  <c r="BU13" i="2"/>
  <c r="BW50" i="2"/>
  <c r="BW38" i="2"/>
  <c r="BV38" i="2"/>
  <c r="BU22" i="2" l="1"/>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H78" i="2" s="1"/>
  <c r="BZ45" i="2"/>
  <c r="H79" i="2" s="1"/>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I78" i="2" s="1"/>
  <c r="BZ48" i="2"/>
  <c r="BZ26" i="2"/>
  <c r="BZ19" i="2"/>
  <c r="BZ20" i="2"/>
  <c r="BZ29" i="2"/>
  <c r="BZ10" i="2"/>
  <c r="BZ8" i="2"/>
  <c r="BZ28" i="2"/>
  <c r="BZ37" i="2"/>
  <c r="BZ52" i="2"/>
  <c r="BZ13" i="2"/>
  <c r="BZ35" i="2"/>
  <c r="BZ18" i="2"/>
  <c r="BZ43" i="2"/>
  <c r="I79" i="2" s="1"/>
  <c r="BZ11" i="2"/>
  <c r="BZ14" i="2"/>
  <c r="BZ7" i="2"/>
  <c r="H9" i="2" s="1"/>
  <c r="I94" i="2" l="1"/>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I69" i="2"/>
  <c r="I68" i="2"/>
  <c r="H68" i="2"/>
  <c r="CB39" i="2" s="1"/>
  <c r="H53" i="2"/>
  <c r="CB33" i="2" s="1"/>
  <c r="I53" i="2"/>
  <c r="CB32" i="2" s="1"/>
  <c r="H61" i="2"/>
  <c r="I61" i="2"/>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A19" i="2" l="1"/>
  <c r="CB36" i="2"/>
  <c r="CB37" i="2"/>
  <c r="CA37" i="2"/>
  <c r="CA31" i="2"/>
  <c r="CB15" i="2"/>
  <c r="CB14" i="2"/>
  <c r="CA44" i="2"/>
  <c r="CC44" i="2" s="1"/>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C20" i="2" s="1"/>
  <c r="CB19" i="2"/>
  <c r="CC19" i="2" s="1"/>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6" i="2" l="1"/>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L78" i="2" s="1"/>
  <c r="CE52" i="2"/>
  <c r="CE24" i="2"/>
  <c r="CE50" i="2"/>
  <c r="CE27" i="2"/>
  <c r="CE39" i="2"/>
  <c r="CE36" i="2"/>
  <c r="CE42" i="2"/>
  <c r="K78" i="2" s="1"/>
  <c r="CE7" i="2"/>
  <c r="CE25" i="2"/>
  <c r="CE20" i="2"/>
  <c r="CE47" i="2"/>
  <c r="CE34" i="2"/>
  <c r="CE6" i="2"/>
  <c r="L8" i="2" s="1"/>
  <c r="CE33" i="2"/>
  <c r="CE11" i="2"/>
  <c r="CE15" i="2"/>
  <c r="CE32" i="2"/>
  <c r="CE8" i="2"/>
  <c r="L9" i="2" s="1"/>
  <c r="CE31" i="2"/>
  <c r="CE45" i="2"/>
  <c r="K79" i="2" s="1"/>
  <c r="CE12" i="2"/>
  <c r="CE22" i="2"/>
  <c r="CE37" i="2"/>
  <c r="CE9" i="2"/>
  <c r="CE49" i="2"/>
  <c r="CE28" i="2"/>
  <c r="CE21" i="2"/>
  <c r="CE48" i="2"/>
  <c r="CE10" i="2"/>
  <c r="CE13" i="2"/>
  <c r="CE40" i="2"/>
  <c r="CE38" i="2"/>
  <c r="CE35" i="2"/>
  <c r="CE16" i="2"/>
  <c r="CE26" i="2"/>
  <c r="CE19" i="2"/>
  <c r="CE18" i="2"/>
  <c r="CE41" i="2"/>
  <c r="CE43" i="2"/>
  <c r="L79" i="2" s="1"/>
  <c r="CE14" i="2"/>
  <c r="CE46" i="2"/>
  <c r="L95" i="2" l="1"/>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L20" i="2"/>
  <c r="K13" i="2"/>
  <c r="CF13" i="2" s="1"/>
  <c r="L13" i="2"/>
  <c r="CF12" i="2" s="1"/>
  <c r="K28" i="2"/>
  <c r="CF19" i="2" s="1"/>
  <c r="L28" i="2"/>
  <c r="CF18" i="2" s="1"/>
  <c r="K12" i="2"/>
  <c r="CF11" i="2" s="1"/>
  <c r="L12" i="2"/>
  <c r="CF10" i="2" s="1"/>
  <c r="L6" i="2"/>
  <c r="K9" i="2"/>
  <c r="K6" i="2"/>
  <c r="K8" i="2"/>
  <c r="L4" i="2"/>
  <c r="L7" i="2"/>
  <c r="K4" i="2"/>
  <c r="K7" i="2"/>
  <c r="L5" i="2"/>
  <c r="CF8" i="2" s="1"/>
  <c r="K5" i="2"/>
  <c r="CF14" i="2" l="1"/>
  <c r="CF15" i="2"/>
  <c r="CF37" i="2"/>
  <c r="CF7" i="2"/>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O78" i="2" s="1"/>
  <c r="CH25" i="2"/>
  <c r="CH8" i="2"/>
  <c r="O9" i="2" s="1"/>
  <c r="CH45" i="2"/>
  <c r="N79" i="2" s="1"/>
  <c r="CH18" i="2"/>
  <c r="O32" i="2" s="1"/>
  <c r="CH23" i="2"/>
  <c r="N40" i="2" s="1"/>
  <c r="CH47" i="2"/>
  <c r="CH32" i="2"/>
  <c r="CH43" i="2"/>
  <c r="O79" i="2" s="1"/>
  <c r="CH49" i="2"/>
  <c r="CH14" i="2"/>
  <c r="CH38" i="2"/>
  <c r="O72" i="2" s="1"/>
  <c r="CH36" i="2"/>
  <c r="CH46" i="2"/>
  <c r="CH48" i="2"/>
  <c r="CH24" i="2"/>
  <c r="CH31" i="2"/>
  <c r="CH12" i="2"/>
  <c r="CH37" i="2"/>
  <c r="CH35" i="2"/>
  <c r="CH53" i="2"/>
  <c r="CH17" i="2"/>
  <c r="CH19" i="2"/>
  <c r="CH52" i="2"/>
  <c r="O97" i="2" s="1"/>
  <c r="CH51" i="2"/>
  <c r="CH9" i="2"/>
  <c r="O5" i="2" s="1"/>
  <c r="CH30" i="2"/>
  <c r="CH13" i="2"/>
  <c r="CH42" i="2"/>
  <c r="N78" i="2" s="1"/>
  <c r="CH27" i="2"/>
  <c r="CH40" i="2"/>
  <c r="O73" i="2" s="1"/>
  <c r="N9" i="2"/>
  <c r="CH26" i="2"/>
  <c r="O49" i="2" s="1"/>
  <c r="CH11" i="2"/>
  <c r="N17" i="2" s="1"/>
  <c r="CH33" i="2"/>
  <c r="N57" i="2" s="1"/>
  <c r="CH22" i="2"/>
  <c r="O41" i="2" s="1"/>
  <c r="CH21" i="2"/>
  <c r="N32" i="2" s="1"/>
  <c r="CH15" i="2"/>
  <c r="CH10" i="2"/>
  <c r="O16" i="2" s="1"/>
  <c r="CH39" i="2"/>
  <c r="N73" i="2" s="1"/>
  <c r="CH29" i="2"/>
  <c r="N49" i="2" s="1"/>
  <c r="CH20" i="2"/>
  <c r="CH50" i="2"/>
  <c r="O96" i="2" s="1"/>
  <c r="O95" i="2" l="1"/>
  <c r="N97" i="2"/>
  <c r="N95" i="2"/>
  <c r="N96" i="2"/>
  <c r="O86" i="2"/>
  <c r="O89" i="2"/>
  <c r="O87" i="2"/>
  <c r="N89" i="2"/>
  <c r="N87" i="2"/>
  <c r="N88" i="2"/>
  <c r="N86" i="2"/>
  <c r="O88" i="2"/>
  <c r="N71" i="2"/>
  <c r="N72" i="2"/>
  <c r="O62" i="2"/>
  <c r="O64" i="2"/>
  <c r="O63" i="2"/>
  <c r="N64" i="2"/>
  <c r="N62" i="2"/>
  <c r="O65" i="2"/>
  <c r="N63" i="2"/>
  <c r="N65" i="2"/>
  <c r="N54" i="2"/>
  <c r="O57" i="2"/>
  <c r="O55" i="2"/>
  <c r="N56" i="2"/>
  <c r="O54" i="2"/>
  <c r="O56" i="2"/>
  <c r="O30" i="2"/>
  <c r="O33" i="2"/>
  <c r="O31" i="2"/>
  <c r="N33" i="2"/>
  <c r="N39" i="2"/>
  <c r="N41" i="2"/>
  <c r="O38" i="2"/>
  <c r="O40" i="2"/>
  <c r="O8" i="2"/>
  <c r="O47" i="2"/>
  <c r="N48" i="2"/>
  <c r="CJ28" i="2"/>
  <c r="O48" i="2"/>
  <c r="O22" i="2"/>
  <c r="N25" i="2"/>
  <c r="N23" i="2"/>
  <c r="O24" i="2"/>
  <c r="N22" i="2"/>
  <c r="N24" i="2"/>
  <c r="O15" i="2"/>
  <c r="O17" i="2"/>
  <c r="N14" i="2"/>
  <c r="N16" i="2"/>
  <c r="N93" i="2"/>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I14" i="2" s="1"/>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O60" i="2"/>
  <c r="CJ34" i="2" s="1"/>
  <c r="N60" i="2"/>
  <c r="CJ35" i="2" s="1"/>
  <c r="CJ24" i="2"/>
  <c r="N37" i="2"/>
  <c r="CK25" i="2" s="1"/>
  <c r="O37" i="2"/>
  <c r="CI24" i="2" s="1"/>
  <c r="CI27" i="2"/>
  <c r="O44" i="2"/>
  <c r="CJ26" i="2" s="1"/>
  <c r="CI45" i="2"/>
  <c r="N29" i="2"/>
  <c r="CK45" i="2"/>
  <c r="CI8" i="2"/>
  <c r="CK17" i="2"/>
  <c r="O21" i="2"/>
  <c r="CJ16" i="2"/>
  <c r="N21" i="2"/>
  <c r="CI15"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K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1" i="2" l="1"/>
  <c r="CL31" i="2" s="1"/>
  <c r="CI41" i="2"/>
  <c r="CL41" i="2" s="1"/>
  <c r="CL43" i="2"/>
  <c r="CJ7" i="2"/>
  <c r="CL7" i="2" s="1"/>
  <c r="CL47" i="2"/>
  <c r="CL42" i="2"/>
  <c r="CL36" i="2"/>
  <c r="CL30" i="2"/>
  <c r="CL44" i="2"/>
  <c r="CL45" i="2"/>
  <c r="CL24" i="2"/>
  <c r="CL25" i="2"/>
  <c r="CL27" i="2"/>
  <c r="CL32"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Q78" i="2" s="1"/>
  <c r="CN37" i="2"/>
  <c r="Q65" i="2" s="1"/>
  <c r="CN32" i="2"/>
  <c r="R56" i="2" s="1"/>
  <c r="CN45" i="2"/>
  <c r="CN53" i="2"/>
  <c r="Q96" i="2" s="1"/>
  <c r="CN18" i="2"/>
  <c r="R32" i="2" s="1"/>
  <c r="CN33" i="2"/>
  <c r="Q57" i="2" s="1"/>
  <c r="CN30" i="2"/>
  <c r="R57" i="2" s="1"/>
  <c r="CN28" i="2"/>
  <c r="R48" i="2" s="1"/>
  <c r="CN36" i="2"/>
  <c r="R64" i="2" s="1"/>
  <c r="CN24" i="2"/>
  <c r="R40" i="2" s="1"/>
  <c r="CN48" i="2"/>
  <c r="R89" i="2" s="1"/>
  <c r="CN34" i="2"/>
  <c r="R65" i="2" s="1"/>
  <c r="CN13" i="2"/>
  <c r="Q16" i="2" s="1"/>
  <c r="CN51" i="2"/>
  <c r="Q97" i="2" s="1"/>
  <c r="CN43" i="2"/>
  <c r="CN15" i="2"/>
  <c r="Q25" i="2" s="1"/>
  <c r="CN14" i="2"/>
  <c r="R24" i="2" s="1"/>
  <c r="CN40" i="2"/>
  <c r="R73" i="2" s="1"/>
  <c r="CN26" i="2"/>
  <c r="R49" i="2" s="1"/>
  <c r="CN31" i="2"/>
  <c r="Q56" i="2" s="1"/>
  <c r="CN38" i="2"/>
  <c r="R72" i="2" s="1"/>
  <c r="CN21" i="2"/>
  <c r="Q32" i="2" s="1"/>
  <c r="CN23" i="2"/>
  <c r="Q40" i="2" s="1"/>
  <c r="CN17" i="2"/>
  <c r="Q24" i="2" s="1"/>
  <c r="CN20" i="2"/>
  <c r="R33" i="2" s="1"/>
  <c r="CN35" i="2"/>
  <c r="Q64" i="2" s="1"/>
  <c r="CN44" i="2"/>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R47" i="2" l="1"/>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CP19" i="2" s="1"/>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CO36" i="2"/>
  <c r="CP3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43" i="2" l="1"/>
  <c r="CP37" i="2"/>
  <c r="CP39" i="2"/>
  <c r="CP44" i="2"/>
  <c r="CQ44" i="2" s="1"/>
  <c r="CO40" i="2"/>
  <c r="CP20" i="2"/>
  <c r="CP11" i="2"/>
  <c r="CP32" i="2"/>
  <c r="CP41" i="2"/>
  <c r="CP38" i="2"/>
  <c r="CO52" i="2"/>
  <c r="CQ52" i="2" s="1"/>
  <c r="CO32" i="2"/>
  <c r="CO20" i="2"/>
  <c r="CP50" i="2"/>
  <c r="CQ50" i="2" s="1"/>
  <c r="CO23" i="2"/>
  <c r="CQ23" i="2" s="1"/>
  <c r="CO19" i="2"/>
  <c r="CQ19" i="2" s="1"/>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6" i="2"/>
  <c r="CQ31" i="2"/>
  <c r="CQ49" i="2"/>
  <c r="CQ53" i="2"/>
  <c r="CQ48" i="2"/>
  <c r="CQ17" i="2"/>
  <c r="CQ28" i="2"/>
  <c r="CQ18" i="2"/>
  <c r="CO9" i="2"/>
  <c r="CQ35" i="2"/>
  <c r="CQ24" i="2"/>
  <c r="CQ47" i="2"/>
  <c r="CP9" i="2"/>
  <c r="CQ22" i="2"/>
  <c r="CQ13" i="2"/>
  <c r="CQ21" i="2"/>
  <c r="CQ34" i="2"/>
  <c r="CQ51" i="2"/>
  <c r="CQ46" i="2"/>
  <c r="CQ45" i="2"/>
  <c r="CQ33" i="2"/>
  <c r="CQ43" i="2" l="1"/>
  <c r="CQ37" i="2"/>
  <c r="CQ40" i="2"/>
  <c r="CQ20" i="2"/>
  <c r="CQ11" i="2"/>
  <c r="CQ41" i="2"/>
  <c r="CQ32" i="2"/>
  <c r="CQ38" i="2"/>
  <c r="CQ26" i="2"/>
  <c r="CQ15" i="2"/>
  <c r="CQ14" i="2"/>
  <c r="CQ30" i="2"/>
  <c r="CQ10" i="2"/>
  <c r="CR19" i="2" s="1"/>
  <c r="CR44" i="2"/>
  <c r="CQ9" i="2"/>
  <c r="CR50" i="2"/>
  <c r="CR43" i="2" l="1"/>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U78" i="2" s="1"/>
  <c r="CS20" i="2"/>
  <c r="CS21" i="2"/>
  <c r="CS38" i="2"/>
  <c r="CS30" i="2"/>
  <c r="CS32" i="2"/>
  <c r="CS17" i="2"/>
  <c r="CS7" i="2"/>
  <c r="U4" i="2" s="1"/>
  <c r="CS23" i="2"/>
  <c r="CS48" i="2"/>
  <c r="CS12" i="2"/>
  <c r="CS34" i="2"/>
  <c r="CS16" i="2"/>
  <c r="CS10" i="2"/>
  <c r="CS9" i="2"/>
  <c r="T6" i="2" s="1"/>
  <c r="CS40" i="2"/>
  <c r="CS6" i="2"/>
  <c r="T7" i="2" s="1"/>
  <c r="CS11" i="2"/>
  <c r="CS27" i="2"/>
  <c r="CS46" i="2"/>
  <c r="CS42" i="2"/>
  <c r="T78" i="2" s="1"/>
  <c r="CS25" i="2"/>
  <c r="CS19" i="2"/>
  <c r="CS33" i="2"/>
  <c r="CS13" i="2"/>
  <c r="CS37" i="2"/>
  <c r="CS36" i="2"/>
  <c r="CS51" i="2"/>
  <c r="CS50" i="2"/>
  <c r="CS45" i="2"/>
  <c r="T79" i="2" s="1"/>
  <c r="CS24" i="2"/>
  <c r="CS47" i="2"/>
  <c r="CS43" i="2"/>
  <c r="U79" i="2" s="1"/>
  <c r="CS35" i="2"/>
  <c r="CS22" i="2"/>
  <c r="U95" i="2" l="1"/>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T20" i="2"/>
  <c r="T13" i="2"/>
  <c r="CT13" i="2" s="1"/>
  <c r="U5" i="2"/>
  <c r="CT8" i="2" s="1"/>
  <c r="U13" i="2"/>
  <c r="CT12" i="2" s="1"/>
  <c r="U28" i="2"/>
  <c r="CT18" i="2" s="1"/>
  <c r="T28" i="2"/>
  <c r="CT19" i="2" s="1"/>
  <c r="U12" i="2"/>
  <c r="T12" i="2"/>
  <c r="T9" i="2"/>
  <c r="U8" i="2"/>
  <c r="T8" i="2"/>
  <c r="U6" i="2"/>
  <c r="U9" i="2"/>
  <c r="T5" i="2"/>
  <c r="CT6" i="2"/>
  <c r="T4" i="2"/>
  <c r="CT7" i="2" s="1"/>
  <c r="CT36" i="2" l="1"/>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51" i="2" l="1"/>
  <c r="AU95" i="2" s="1"/>
  <c r="DL52" i="2"/>
  <c r="AU96" i="2" s="1"/>
  <c r="DL53" i="2"/>
  <c r="AU97" i="2" s="1"/>
  <c r="DL50" i="2"/>
  <c r="AU94" i="2" s="1"/>
  <c r="AU93" i="2" s="1"/>
  <c r="AV92"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N43" i="2" a="1"/>
  <c r="DN43" i="2" s="1"/>
  <c r="DM43" i="2"/>
  <c r="DN44" i="2" a="1"/>
  <c r="DN44" i="2" s="1"/>
  <c r="DM44" i="2"/>
  <c r="DM51" i="2"/>
  <c r="DN51" i="2" a="1"/>
  <c r="DN51" i="2" s="1"/>
  <c r="DM48" i="2"/>
  <c r="DN48" i="2" a="1"/>
  <c r="DN48" i="2" s="1"/>
  <c r="DM45" i="2"/>
  <c r="DN45" i="2" a="1"/>
  <c r="DN45" i="2" s="1"/>
  <c r="DM42" i="2"/>
  <c r="DN42" i="2" a="1"/>
  <c r="DN42" i="2" s="1"/>
  <c r="DM53" i="2"/>
  <c r="DN53" i="2" a="1"/>
  <c r="DN53" i="2" s="1"/>
  <c r="DM50" i="2"/>
  <c r="DN50" i="2" a="1"/>
  <c r="DN50" i="2" s="1"/>
  <c r="DM52" i="2"/>
  <c r="DN52" i="2" a="1"/>
  <c r="DN52" i="2" s="1"/>
  <c r="DM49" i="2"/>
  <c r="DN46" i="2" a="1"/>
  <c r="DN46" i="2" s="1"/>
  <c r="DM46" i="2"/>
  <c r="DN47" i="2" l="1"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M111" i="2" s="1"/>
  <c r="AA112" i="2" s="1"/>
  <c r="BJ66" i="2"/>
  <c r="BJ63" i="2"/>
  <c r="BJ62" i="2"/>
  <c r="AL17" i="2"/>
  <c r="AL73" i="2"/>
  <c r="BK67" i="2"/>
  <c r="AL79" i="2"/>
  <c r="BJ68" i="2"/>
  <c r="AL70" i="2"/>
  <c r="M105" i="2" s="1"/>
  <c r="AA106" i="2" s="1"/>
  <c r="AL71" i="2"/>
  <c r="N106" i="2" s="1"/>
  <c r="AF105" i="2" s="1"/>
  <c r="AL14" i="2"/>
  <c r="M113" i="2" s="1"/>
  <c r="AA113" i="2" s="1"/>
  <c r="BH65" i="2"/>
  <c r="AL25" i="2"/>
  <c r="BD61" i="2"/>
  <c r="AL30" i="2"/>
  <c r="M109" i="2" s="1"/>
  <c r="AA110" i="2" s="1"/>
  <c r="BJ67" i="2"/>
  <c r="BK59" i="2"/>
  <c r="BI64" i="2"/>
  <c r="BI60" i="2"/>
  <c r="AL22" i="2"/>
  <c r="M104" i="2" s="1"/>
  <c r="AA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A36" i="4" l="1"/>
  <c r="C137" i="3"/>
  <c r="B171" i="3"/>
  <c r="C171" i="3"/>
  <c r="AA16" i="4"/>
  <c r="C157" i="3"/>
  <c r="C141" i="3"/>
  <c r="B175" i="3"/>
  <c r="C175" i="3"/>
  <c r="AA15" i="4"/>
  <c r="AA48" i="4"/>
  <c r="C145" i="3"/>
  <c r="B179" i="3"/>
  <c r="C179" i="3"/>
  <c r="C135" i="3"/>
  <c r="AA6" i="4"/>
  <c r="B169" i="3"/>
  <c r="C169" i="3"/>
  <c r="C150" i="3"/>
  <c r="AA31" i="4"/>
  <c r="C178" i="3"/>
  <c r="B178" i="3"/>
  <c r="C160" i="3"/>
  <c r="AA40" i="4"/>
  <c r="C174" i="3"/>
  <c r="AA18" i="4"/>
  <c r="C140" i="3"/>
  <c r="B174" i="3"/>
  <c r="C138" i="3"/>
  <c r="AA24" i="4"/>
  <c r="B172" i="3"/>
  <c r="C172" i="3"/>
  <c r="C159" i="3"/>
  <c r="AA43" i="4"/>
  <c r="B177" i="3"/>
  <c r="C177" i="3"/>
  <c r="C143" i="3"/>
  <c r="AA42" i="4"/>
  <c r="AA21" i="4"/>
  <c r="C139" i="3"/>
  <c r="B173" i="3"/>
  <c r="C173" i="3"/>
  <c r="B168" i="3"/>
  <c r="AA30" i="4"/>
  <c r="C134" i="3"/>
  <c r="C168" i="3"/>
  <c r="C132" i="3"/>
  <c r="AA3" i="4"/>
  <c r="C166" i="3"/>
  <c r="B166" i="3"/>
  <c r="AA12" i="4"/>
  <c r="C133" i="3"/>
  <c r="C147" i="3"/>
  <c r="AA28" i="4"/>
  <c r="C165" i="3"/>
  <c r="B165" i="3"/>
  <c r="C131" i="3"/>
  <c r="AA27" i="4"/>
  <c r="C167" i="3"/>
  <c r="B167" i="3"/>
  <c r="C149" i="3"/>
  <c r="AA13" i="4"/>
  <c r="C142" i="3"/>
  <c r="AA45" i="4"/>
  <c r="B176" i="3"/>
  <c r="C176" i="3"/>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<sst xmlns="http://schemas.openxmlformats.org/spreadsheetml/2006/main" count="6754" uniqueCount="1516">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</sst>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Y79" sqref="AY7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5" zoomScaleNormal="100" workbookViewId="0">
      <selection activeCell="AY79" sqref="AY7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9</v>
      </c>
      <c r="BN58" s="16">
        <f t="shared" ref="BN58:BN69" ca="1" si="153">CF58</f>
        <v>9</v>
      </c>
      <c r="BO58" s="16" t="str">
        <f t="shared" ref="BO58:BO69" si="154">"4"&amp;BC58</f>
        <v>4A</v>
      </c>
      <c r="BP58" s="16"/>
      <c r="BQ58" s="16"/>
      <c r="BR58" s="16">
        <f t="shared" ref="BR58:BR69" ca="1" si="155">+BE58</f>
        <v>3</v>
      </c>
      <c r="BS58" s="16">
        <f t="shared" ref="BS58:BS69" ca="1" si="156">COUNTIFS(BR$58:BR$69,"&gt;"&amp;BR58)+1</f>
        <v>7</v>
      </c>
      <c r="BT58" s="16" t="str">
        <f t="shared" ref="BT58:BT69" ca="1" si="157">IF(COUNTIF(BS$58:BS$69,BS58)=1,"-","Pos. "&amp;BS58&amp;" ("&amp;COUNTIF(BS$58:BS$69,BS58)&amp;")")</f>
        <v>Pos. 7 (5)</v>
      </c>
      <c r="BU58" s="16">
        <f t="shared" ref="BU58:BU69" ca="1" si="158">IF(BT58="-","-",BL58)</f>
        <v>-1</v>
      </c>
      <c r="BV58" s="16">
        <f t="shared" ref="BV58:BV69" ca="1" si="159">BS58+COUNTIFS(BT$58:BT$69,BT58,BU$58:BU$69,"&gt;"&amp;BU58)</f>
        <v>9</v>
      </c>
      <c r="BW58" s="16" t="str">
        <f t="shared" ref="BW58:BW69" ca="1" si="160">IF(COUNTIF(BV$58:BV$69,BV58)=1,"-","Pos. "&amp;BV58&amp;" ("&amp;COUNTIF(BV$58:BV$69,BV58)&amp;")")</f>
        <v>-</v>
      </c>
      <c r="BX58" s="16" t="str">
        <f t="shared" ref="BX58:BX69" ca="1" si="161">IF(BW58="-","-",BJ58)</f>
        <v>-</v>
      </c>
      <c r="BY58" s="16">
        <f t="shared" ref="BY58:BY69" ca="1" si="162">BV58+COUNTIFS(BW$58:BW$69,BW58,BX$58:BX$69,"&gt;"&amp;BX58)</f>
        <v>9</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9</v>
      </c>
      <c r="CC58" s="16"/>
      <c r="CD58" s="16">
        <f t="shared" ref="CD58:CD69" ca="1" si="166">IF(OR(INDEX($AW$102:$AW$113,MATCH($BD58,$AV$102:$AV$113,0))="",BZ58="-"),CB58,INDEX($AW$102:$AW$113,MATCH($BD58,$AV$102:$AV$113,0))+CB58/1000)</f>
        <v>9</v>
      </c>
      <c r="CE58" s="16" t="str">
        <f t="shared" ref="CE58:CE69" ca="1" si="167">IF(BZ58="-","-",COUNTIF(CD$58:CD$69,"&lt;"&amp;CD58))</f>
        <v>-</v>
      </c>
      <c r="CF58" s="16">
        <f t="shared" ref="CF58:CF69" ca="1" si="168">BY58+COUNTIFS(BZ$58:BZ$69,BZ58,CE$58:CE$69,"&lt;"&amp;CE58)</f>
        <v>9</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(6)</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7</v>
      </c>
      <c r="BT60" s="16" t="str">
        <f t="shared" ca="1" si="157"/>
        <v>Pos. 7 (5)</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1</v>
      </c>
      <c r="DM60" s="16" t="str">
        <f t="shared" ca="1" si="171"/>
        <v>3.1</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6</v>
      </c>
      <c r="BN61" s="16">
        <f t="shared" ca="1" si="153"/>
        <v>6</v>
      </c>
      <c r="BO61" s="16" t="str">
        <f t="shared" si="154"/>
        <v>4D</v>
      </c>
      <c r="BP61" s="16"/>
      <c r="BQ61" s="16"/>
      <c r="BR61" s="16">
        <f t="shared" ca="1" si="155"/>
        <v>4</v>
      </c>
      <c r="BS61" s="16">
        <f t="shared" ca="1" si="156"/>
        <v>1</v>
      </c>
      <c r="BT61" s="16" t="str">
        <f t="shared" ca="1" si="157"/>
        <v>Pos. 1 (6)</v>
      </c>
      <c r="BU61" s="16">
        <f t="shared" ca="1" si="158"/>
        <v>-2</v>
      </c>
      <c r="BV61" s="16">
        <f t="shared" ca="1" si="159"/>
        <v>6</v>
      </c>
      <c r="BW61" s="16" t="str">
        <f t="shared" ca="1" si="160"/>
        <v>-</v>
      </c>
      <c r="BX61" s="16" t="str">
        <f t="shared" ca="1" si="161"/>
        <v>-</v>
      </c>
      <c r="BY61" s="16">
        <f t="shared" ca="1" si="162"/>
        <v>6</v>
      </c>
      <c r="BZ61" s="16" t="str">
        <f t="shared" ca="1" si="163"/>
        <v>-</v>
      </c>
      <c r="CA61" s="16" t="str">
        <f t="shared" ca="1" si="164"/>
        <v>-</v>
      </c>
      <c r="CB61" s="16">
        <f t="shared" ca="1" si="165"/>
        <v>6</v>
      </c>
      <c r="CC61" s="16"/>
      <c r="CD61" s="16">
        <f t="shared" ca="1" si="166"/>
        <v>6</v>
      </c>
      <c r="CE61" s="16" t="str">
        <f t="shared" ca="1" si="167"/>
        <v>-</v>
      </c>
      <c r="CF61" s="16">
        <f t="shared" ca="1" si="168"/>
        <v>6</v>
      </c>
      <c r="DJ61" s="16">
        <f t="shared" ca="1" si="169"/>
        <v>3</v>
      </c>
      <c r="DK61" s="16"/>
      <c r="DL61" s="16">
        <f t="shared" ca="1" si="170"/>
        <v>1</v>
      </c>
      <c r="DM61" s="16" t="str">
        <f t="shared" ca="1" si="171"/>
        <v>3.1</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(6)</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(6)</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Paraguay</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8</v>
      </c>
      <c r="BN64" s="16">
        <f t="shared" ca="1" si="153"/>
        <v>8</v>
      </c>
      <c r="BO64" s="16" t="str">
        <f t="shared" si="154"/>
        <v>4G</v>
      </c>
      <c r="BP64" s="16"/>
      <c r="BQ64" s="16"/>
      <c r="BR64" s="16">
        <f t="shared" ca="1" si="155"/>
        <v>3</v>
      </c>
      <c r="BS64" s="16">
        <f t="shared" ca="1" si="156"/>
        <v>7</v>
      </c>
      <c r="BT64" s="16" t="str">
        <f t="shared" ca="1" si="157"/>
        <v>Pos. 7 (5)</v>
      </c>
      <c r="BU64" s="16">
        <f t="shared" ca="1" si="158"/>
        <v>0</v>
      </c>
      <c r="BV64" s="16">
        <f t="shared" ca="1" si="159"/>
        <v>8</v>
      </c>
      <c r="BW64" s="16" t="str">
        <f t="shared" ca="1" si="160"/>
        <v>-</v>
      </c>
      <c r="BX64" s="16" t="str">
        <f t="shared" ca="1" si="161"/>
        <v>-</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Senegal</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7</v>
      </c>
      <c r="BN66" s="16">
        <f t="shared" ca="1" si="153"/>
        <v>7</v>
      </c>
      <c r="BO66" s="16" t="str">
        <f t="shared" si="154"/>
        <v>4I</v>
      </c>
      <c r="BP66" s="16"/>
      <c r="BQ66" s="16"/>
      <c r="BR66" s="16">
        <f t="shared" ca="1" si="155"/>
        <v>3</v>
      </c>
      <c r="BS66" s="16">
        <f t="shared" ca="1" si="156"/>
        <v>7</v>
      </c>
      <c r="BT66" s="16" t="str">
        <f t="shared" ca="1" si="157"/>
        <v>Pos. 7 (5)</v>
      </c>
      <c r="BU66" s="16">
        <f t="shared" ca="1" si="158"/>
        <v>2</v>
      </c>
      <c r="BV66" s="16">
        <f t="shared" ca="1" si="159"/>
        <v>7</v>
      </c>
      <c r="BW66" s="16" t="str">
        <f t="shared" ca="1" si="160"/>
        <v>-</v>
      </c>
      <c r="BX66" s="16" t="str">
        <f t="shared" ca="1" si="161"/>
        <v>-</v>
      </c>
      <c r="BY66" s="16">
        <f t="shared" ca="1" si="162"/>
        <v>7</v>
      </c>
      <c r="BZ66" s="16" t="str">
        <f t="shared" ca="1" si="163"/>
        <v>-</v>
      </c>
      <c r="CA66" s="16" t="str">
        <f t="shared" ca="1" si="164"/>
        <v>-</v>
      </c>
      <c r="CB66" s="16">
        <f t="shared" ca="1" si="165"/>
        <v>7</v>
      </c>
      <c r="CC66" s="16"/>
      <c r="CD66" s="16">
        <f t="shared" ca="1" si="166"/>
        <v>7</v>
      </c>
      <c r="CE66" s="16" t="str">
        <f t="shared" ca="1" si="167"/>
        <v>-</v>
      </c>
      <c r="CF66" s="16">
        <f t="shared" ca="1" si="168"/>
        <v>7</v>
      </c>
      <c r="DJ66" s="16">
        <f t="shared" ca="1" si="169"/>
        <v>9</v>
      </c>
      <c r="DK66" s="16"/>
      <c r="DL66" s="16">
        <f t="shared" ca="1" si="170"/>
        <v>1</v>
      </c>
      <c r="DM66" s="16" t="str">
        <f t="shared" ca="1" si="171"/>
        <v>9.1</v>
      </c>
      <c r="DN66" s="16">
        <f t="array" aca="1" ref="DN66" ca="1">OFFSET(Horarios!$P$3,DJ66-1,0,DL66,1)</f>
        <v>9</v>
      </c>
      <c r="DO66" s="16"/>
      <c r="DP66" s="16">
        <v>9</v>
      </c>
      <c r="DQ66" s="16" t="str">
        <f t="shared" ca="1" si="172"/>
        <v>Corea del Sur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10</v>
      </c>
      <c r="BN67" s="16">
        <f t="shared" ca="1" si="153"/>
        <v>10</v>
      </c>
      <c r="BO67" s="16" t="str">
        <f t="shared" si="154"/>
        <v>4J</v>
      </c>
      <c r="BP67" s="16"/>
      <c r="BQ67" s="16"/>
      <c r="BR67" s="16">
        <f t="shared" ca="1" si="155"/>
        <v>3</v>
      </c>
      <c r="BS67" s="16">
        <f t="shared" ca="1" si="156"/>
        <v>7</v>
      </c>
      <c r="BT67" s="16" t="str">
        <f t="shared" ca="1" si="157"/>
        <v>Pos. 7 (5)</v>
      </c>
      <c r="BU67" s="16">
        <f t="shared" ca="1" si="158"/>
        <v>-2</v>
      </c>
      <c r="BV67" s="16">
        <f t="shared" ca="1" si="159"/>
        <v>10</v>
      </c>
      <c r="BW67" s="16" t="str">
        <f t="shared" ca="1" si="160"/>
        <v>-</v>
      </c>
      <c r="BX67" s="16" t="str">
        <f t="shared" ca="1" si="161"/>
        <v>-</v>
      </c>
      <c r="BY67" s="16">
        <f t="shared" ca="1" si="162"/>
        <v>10</v>
      </c>
      <c r="BZ67" s="16" t="str">
        <f t="shared" ca="1" si="163"/>
        <v>-</v>
      </c>
      <c r="CA67" s="16" t="str">
        <f t="shared" ca="1" si="164"/>
        <v>-</v>
      </c>
      <c r="CB67" s="16">
        <f t="shared" ca="1" si="165"/>
        <v>10</v>
      </c>
      <c r="CC67" s="16"/>
      <c r="CD67" s="16">
        <f t="shared" ca="1" si="166"/>
        <v>10</v>
      </c>
      <c r="CE67" s="16" t="str">
        <f t="shared" ca="1" si="167"/>
        <v>-</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Argelia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(6)</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(6)</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BDEFGIKL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t="str">
        <f t="shared" ref="AU102:AU113" ca="1" si="270">IF($H$113=144,INDEX($DL$58:$DL$69,MATCH(AI102,$DP$58:$DP$69,0)),"")</f>
        <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t="str">
        <f t="shared" ca="1" si="270"/>
        <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t="str">
        <f t="shared" ca="1" si="270"/>
        <v/>
      </c>
      <c r="AV104" s="182" t="str">
        <f t="shared" ca="1" si="271"/>
        <v>Ecuador</v>
      </c>
      <c r="AW104" s="215"/>
      <c r="AX104" s="170"/>
      <c r="AY104" s="270"/>
      <c r="AZ104" s="273" t="str">
        <f t="shared" ca="1" si="272"/>
        <v>1B - 3G</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t="str">
        <f t="shared" ca="1" si="270"/>
        <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t="str">
        <f t="shared" ca="1" si="270"/>
        <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Paraguay</v>
      </c>
      <c r="AM107" s="576">
        <f t="shared" ca="1" si="269"/>
        <v>4</v>
      </c>
      <c r="AN107" s="86">
        <f t="shared" ca="1" si="269"/>
        <v>3</v>
      </c>
      <c r="AO107" s="86">
        <f t="shared" ca="1" si="269"/>
        <v>1</v>
      </c>
      <c r="AP107" s="86">
        <f t="shared" ca="1" si="269"/>
        <v>1</v>
      </c>
      <c r="AQ107" s="86">
        <f t="shared" ca="1" si="269"/>
        <v>1</v>
      </c>
      <c r="AR107" s="86">
        <f t="shared" ca="1" si="269"/>
        <v>2</v>
      </c>
      <c r="AS107" s="86">
        <f t="shared" ca="1" si="269"/>
        <v>4</v>
      </c>
      <c r="AT107" s="87">
        <f t="shared" ca="1" si="269"/>
        <v>-2</v>
      </c>
      <c r="AU107" s="323" t="str">
        <f t="shared" ca="1" si="270"/>
        <v/>
      </c>
      <c r="AV107" s="182" t="str">
        <f t="shared" ca="1" si="271"/>
        <v>Paraguay</v>
      </c>
      <c r="AW107" s="215"/>
      <c r="AX107" s="170"/>
      <c r="AY107" s="270"/>
      <c r="AZ107" s="273" t="str">
        <f t="shared" ca="1" si="272"/>
        <v>1G - 3I</v>
      </c>
      <c r="BA107" s="176"/>
      <c r="BF107" t="str">
        <f t="shared" ca="1" si="273"/>
        <v>B</v>
      </c>
      <c r="BG107">
        <f t="shared" ca="1" si="274"/>
        <v>1</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Senegal</v>
      </c>
      <c r="AM108" s="576">
        <f t="shared" ca="1" si="269"/>
        <v>3</v>
      </c>
      <c r="AN108" s="86">
        <f t="shared" ca="1" si="269"/>
        <v>3</v>
      </c>
      <c r="AO108" s="86">
        <f t="shared" ca="1" si="269"/>
        <v>1</v>
      </c>
      <c r="AP108" s="86">
        <f t="shared" ca="1" si="269"/>
        <v>0</v>
      </c>
      <c r="AQ108" s="86">
        <f t="shared" ca="1" si="269"/>
        <v>2</v>
      </c>
      <c r="AR108" s="86">
        <f t="shared" ca="1" si="269"/>
        <v>8</v>
      </c>
      <c r="AS108" s="86">
        <f t="shared" ca="1" si="269"/>
        <v>6</v>
      </c>
      <c r="AT108" s="87">
        <f t="shared" ca="1" si="269"/>
        <v>2</v>
      </c>
      <c r="AU108" s="323" t="str">
        <f t="shared" ca="1" si="270"/>
        <v/>
      </c>
      <c r="AV108" s="182" t="str">
        <f t="shared" ca="1" si="271"/>
        <v>Senegal</v>
      </c>
      <c r="AW108" s="215"/>
      <c r="AX108" s="170"/>
      <c r="AY108" s="270"/>
      <c r="AZ108" s="273" t="str">
        <f t="shared" ca="1" si="272"/>
        <v>1I - 3F</v>
      </c>
      <c r="BA108" s="176"/>
      <c r="BF108" t="str">
        <f t="shared" ca="1" si="273"/>
        <v>D</v>
      </c>
      <c r="BG108">
        <f t="shared" ca="1" si="274"/>
        <v>2</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Irán</v>
      </c>
      <c r="AM109" s="576">
        <f t="shared" ca="1" si="269"/>
        <v>3</v>
      </c>
      <c r="AN109" s="86">
        <f t="shared" ca="1" si="269"/>
        <v>3</v>
      </c>
      <c r="AO109" s="86">
        <f t="shared" ca="1" si="269"/>
        <v>0</v>
      </c>
      <c r="AP109" s="86">
        <f t="shared" ca="1" si="269"/>
        <v>3</v>
      </c>
      <c r="AQ109" s="86">
        <f t="shared" ca="1" si="269"/>
        <v>0</v>
      </c>
      <c r="AR109" s="86">
        <f t="shared" ca="1" si="269"/>
        <v>3</v>
      </c>
      <c r="AS109" s="86">
        <f t="shared" ca="1" si="269"/>
        <v>3</v>
      </c>
      <c r="AT109" s="87">
        <f t="shared" ca="1" si="269"/>
        <v>0</v>
      </c>
      <c r="AU109" s="323" t="str">
        <f t="shared" ca="1" si="270"/>
        <v/>
      </c>
      <c r="AV109" s="182" t="str">
        <f t="shared" ca="1" si="271"/>
        <v>Irán</v>
      </c>
      <c r="AW109" s="215"/>
      <c r="AX109" s="170"/>
      <c r="AY109" s="270"/>
      <c r="AZ109" s="273" t="str">
        <f t="shared" ca="1" si="272"/>
        <v>1K - 3L</v>
      </c>
      <c r="BA109" s="176"/>
      <c r="BF109" t="str">
        <f t="shared" ca="1" si="273"/>
        <v>I</v>
      </c>
      <c r="BG109">
        <f t="shared" ca="1" si="274"/>
        <v>6</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Corea del Sur</v>
      </c>
      <c r="AM110" s="576">
        <f t="shared" ca="1" si="269"/>
        <v>3</v>
      </c>
      <c r="AN110" s="86">
        <f t="shared" ca="1" si="269"/>
        <v>3</v>
      </c>
      <c r="AO110" s="86">
        <f t="shared" ca="1" si="269"/>
        <v>1</v>
      </c>
      <c r="AP110" s="86">
        <f t="shared" ca="1" si="269"/>
        <v>0</v>
      </c>
      <c r="AQ110" s="86">
        <f t="shared" ca="1" si="269"/>
        <v>2</v>
      </c>
      <c r="AR110" s="86">
        <f t="shared" ca="1" si="269"/>
        <v>2</v>
      </c>
      <c r="AS110" s="86">
        <f t="shared" ca="1" si="269"/>
        <v>3</v>
      </c>
      <c r="AT110" s="87">
        <f t="shared" ca="1" si="269"/>
        <v>-1</v>
      </c>
      <c r="AU110" s="323" t="str">
        <f t="shared" ca="1" si="270"/>
        <v/>
      </c>
      <c r="AV110" s="182" t="str">
        <f t="shared" ca="1" si="271"/>
        <v>Corea del Sur</v>
      </c>
      <c r="AW110" s="215"/>
      <c r="AX110" s="170"/>
      <c r="AY110" s="270"/>
      <c r="AZ110" s="273" t="str">
        <f t="shared" ca="1" si="272"/>
        <v>1L - 3K</v>
      </c>
      <c r="BA110" s="176"/>
      <c r="BF110" t="str">
        <f t="shared" ca="1" si="273"/>
        <v>G</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Argelia</v>
      </c>
      <c r="AM111" s="576">
        <f t="shared" ca="1" si="269"/>
        <v>3</v>
      </c>
      <c r="AN111" s="86">
        <f t="shared" ca="1" si="269"/>
        <v>2</v>
      </c>
      <c r="AO111" s="86">
        <f t="shared" ca="1" si="269"/>
        <v>1</v>
      </c>
      <c r="AP111" s="86">
        <f t="shared" ca="1" si="269"/>
        <v>0</v>
      </c>
      <c r="AQ111" s="86">
        <f t="shared" ca="1" si="269"/>
        <v>1</v>
      </c>
      <c r="AR111" s="86">
        <f t="shared" ca="1" si="269"/>
        <v>2</v>
      </c>
      <c r="AS111" s="86">
        <f t="shared" ca="1" si="269"/>
        <v>4</v>
      </c>
      <c r="AT111" s="87">
        <f t="shared" ca="1" si="269"/>
        <v>-2</v>
      </c>
      <c r="AU111" s="323" t="str">
        <f t="shared" ca="1" si="270"/>
        <v/>
      </c>
      <c r="AV111" s="182" t="str">
        <f t="shared" ca="1" si="271"/>
        <v>Argelia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t="str">
        <f t="shared" ca="1" si="270"/>
        <v/>
      </c>
      <c r="AV112" s="182" t="str">
        <f t="shared" ca="1" si="271"/>
        <v>Escocia</v>
      </c>
      <c r="AW112" s="215"/>
      <c r="AX112" s="170"/>
      <c r="AY112" s="269"/>
      <c r="AZ112" s="269"/>
      <c r="BA112" s="176"/>
      <c r="BI112" t="str">
        <f ca="1">IFERROR(CONCATENATE(BJ103,BJ104,BJ105,BJ106,BJ107,BJ108,BJ109,BJ110),"¿A/B/C/D/E/F/G/H/I/J/K/L?")</f>
        <v>BDEFGIKL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140</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t="str">
        <f t="shared" ca="1" si="270"/>
        <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Alemania-3ABCDF</v>
      </c>
      <c r="C166" s="342" t="str">
        <f ca="1">CONCATENATE(WORLDCUP!AA103,"-",WORLDCUP!AF103,"·",IF(WORLDCUP!AC103&gt;WORLDCUP!AD103,1,IF(WORLDCUP!AC103&lt;WORLDCUP!AD103,2,IF(AND(WORLDCUP!AC103=WORLDCUP!AD103,WORLDCUP!AC103&lt;&gt;"",WORLDCUP!AD103&lt;&gt;""),"X",0))),"|",WORLDCUP!AC103,"-",WORLDCUP!AD103)</f>
        <v>Alemania-3ABCDF·0|-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Francia-3CDFGH</v>
      </c>
      <c r="C169" s="342" t="str">
        <f ca="1">CONCATENATE(WORLDCUP!AA106,"-",WORLDCUP!AF106,"·",IF(WORLDCUP!AC106&gt;WORLDCUP!AD106,1,IF(WORLDCUP!AC106&lt;WORLDCUP!AD106,2,IF(AND(WORLDCUP!AC106=WORLDCUP!AD106,WORLDCUP!AC106&lt;&gt;"",WORLDCUP!AD106&lt;&gt;""),"X",0))),"|",WORLDCUP!AC106,"-",WORLDCUP!AD106)</f>
        <v>Francia-3CDFGH·0|-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México-3CEFHI</v>
      </c>
      <c r="C170" s="342" t="str">
        <f ca="1">CONCATENATE(WORLDCUP!AA107,"-",WORLDCUP!AF107,"·",IF(WORLDCUP!AC107&gt;WORLDCUP!AD107,1,IF(WORLDCUP!AC107&lt;WORLDCUP!AD107,2,IF(AND(WORLDCUP!AC107=WORLDCUP!AD107,WORLDCUP!AC107&lt;&gt;"",WORLDCUP!AD107&lt;&gt;""),"X",0))),"|",WORLDCUP!AC107,"-",WORLDCUP!AD107)</f>
        <v>México-3CEFHI·0|-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Inglaterra-3EHIJK</v>
      </c>
      <c r="C171" s="342" t="str">
        <f ca="1">CONCATENATE(WORLDCUP!AA108,"-",WORLDCUP!AF108,"·",IF(WORLDCUP!AC108&gt;WORLDCUP!AD108,1,IF(WORLDCUP!AC108&lt;WORLDCUP!AD108,2,IF(AND(WORLDCUP!AC108=WORLDCUP!AD108,WORLDCUP!AC108&lt;&gt;"",WORLDCUP!AD108&lt;&gt;""),"X",0))),"|",WORLDCUP!AC108,"-",WORLDCUP!AD108)</f>
        <v>Inglaterra-3EHIJK·0|-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Bélgica-3AEHIJ</v>
      </c>
      <c r="C172" s="342" t="str">
        <f ca="1">CONCATENATE(WORLDCUP!AA109,"-",WORLDCUP!AF109,"·",IF(WORLDCUP!AC109&gt;WORLDCUP!AD109,1,IF(WORLDCUP!AC109&lt;WORLDCUP!AD109,2,IF(AND(WORLDCUP!AC109=WORLDCUP!AD109,WORLDCUP!AC109&lt;&gt;"",WORLDCUP!AD109&lt;&gt;""),"X",0))),"|",WORLDCUP!AC109,"-",WORLDCUP!AD109)</f>
        <v>Bélgica-3AEHIJ·0|-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Unidos-3BEFIJ</v>
      </c>
      <c r="C173" s="342" t="str">
        <f ca="1">CONCATENATE(WORLDCUP!AA110,"-",WORLDCUP!AF110,"·",IF(WORLDCUP!AC110&gt;WORLDCUP!AD110,1,IF(WORLDCUP!AC110&lt;WORLDCUP!AD110,2,IF(AND(WORLDCUP!AC110=WORLDCUP!AD110,WORLDCUP!AC110&lt;&gt;"",WORLDCUP!AD110&lt;&gt;""),"X",0))),"|",WORLDCUP!AC110,"-",WORLDCUP!AD110)</f>
        <v>Estados Unidos-3BEFIJ·0|-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España-2J</v>
      </c>
      <c r="C174" s="342" t="str">
        <f ca="1">CONCATENATE(WORLDCUP!AA111,"-",WORLDCUP!AF111,"·",IF(WORLDCUP!AC111&gt;WORLDCUP!AD111,1,IF(WORLDCUP!AC111&lt;WORLDCUP!AD111,2,IF(AND(WORLDCUP!AC111=WORLDCUP!AD111,WORLDCUP!AC111&lt;&gt;"",WORLDCUP!AD111&lt;&gt;""),"X",0))),"|",WORLDCUP!AC111,"-",WORLDCUP!AD111)</f>
        <v>España-2J·0|-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Suiza-3EFGIJ</v>
      </c>
      <c r="C176" s="342" t="str">
        <f ca="1">CONCATENATE(WORLDCUP!AA113,"-",WORLDCUP!AF113,"·",IF(WORLDCUP!AC113&gt;WORLDCUP!AD113,1,IF(WORLDCUP!AC113&lt;WORLDCUP!AD113,2,IF(AND(WORLDCUP!AC113=WORLDCUP!AD113,WORLDCUP!AC113&lt;&gt;"",WORLDCUP!AD113&lt;&gt;""),"X",0))),"|",WORLDCUP!AC113,"-",WORLDCUP!AD113)</f>
        <v>Suiza-3EFGIJ·0|-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1J-Cabo Verde</v>
      </c>
      <c r="C178" s="342" t="str">
        <f ca="1">CONCATENATE(WORLDCUP!AA115,"-",WORLDCUP!AF115,"·",IF(WORLDCUP!AC115&gt;WORLDCUP!AD115,1,IF(WORLDCUP!AC115&lt;WORLDCUP!AD115,2,IF(AND(WORLDCUP!AC115=WORLDCUP!AD115,WORLDCUP!AC115&lt;&gt;"",WORLDCUP!AD115&lt;&gt;""),"X",0))),"|",WORLDCUP!AC115,"-",WORLDCUP!AD115)</f>
        <v>1J-Cabo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Colombia-3DEIJL</v>
      </c>
      <c r="C179" s="342" t="str">
        <f ca="1">CONCATENATE(WORLDCUP!AA116,"-",WORLDCUP!AF116,"·",IF(WORLDCUP!AC116&gt;WORLDCUP!AD116,1,IF(WORLDCUP!AC116&lt;WORLDCUP!AD116,2,IF(AND(WORLDCUP!AC116=WORLDCUP!AD116,WORLDCUP!AC116&lt;&gt;"",WORLDCUP!AD116&lt;&gt;""),"X",0))),"|",WORLDCUP!AC116,"-",WORLDCUP!AD116)</f>
        <v>Colombia-3DEIJL·0|-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1</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2026-06-28T02:36:32Z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
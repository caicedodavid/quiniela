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7B3C3BD3-B866-AC41-A3D1-E4D7DD25CE1A}"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Q24" i="2"/>
  <c r="O24" i="2"/>
  <c r="N24" i="2"/>
  <c r="L24" i="2"/>
  <c r="K24" i="2"/>
  <c r="I24" i="2"/>
  <c r="H24" i="2"/>
  <c r="F24" i="2"/>
  <c r="E24" i="2"/>
  <c r="T24" i="2"/>
  <c r="R24" i="2"/>
  <c r="U24"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R25" i="2"/>
  <c r="BJ5" i="2"/>
  <c r="BJ57" i="2" s="1"/>
  <c r="T25"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AG105" i="2"/>
  <c r="N122" i="2"/>
  <c r="AF122" i="2" s="1"/>
  <c r="C192" i="3" s="1"/>
  <c r="M124" i="2"/>
  <c r="AA124" i="2" s="1"/>
  <c r="AG112" i="2"/>
  <c r="E73"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I88" i="2"/>
  <c r="AA159" i="2"/>
  <c r="BA21" i="4"/>
  <c r="R73" i="2"/>
  <c r="E81" i="2"/>
  <c r="K88"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R15" i="4" s="1"/>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6" i="4" l="1"/>
  <c r="F15" i="4"/>
  <c r="R46" i="4"/>
  <c r="R45" i="4"/>
  <c r="R30" i="4"/>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F23" i="4" s="1"/>
  <c r="AA23" i="2"/>
  <c r="AA20" i="2"/>
  <c r="AY22" i="2"/>
  <c r="AA14" i="2"/>
  <c r="AF13" i="2"/>
  <c r="AA16" i="2"/>
  <c r="AY17" i="2"/>
  <c r="BC24" i="2"/>
  <c r="AA85" i="2"/>
  <c r="AF89" i="2"/>
  <c r="R40" i="4" s="1"/>
  <c r="AF86" i="2"/>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8" i="4" l="1"/>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3" i="3"/>
  <c r="C173" i="3"/>
  <c r="AA49" i="4"/>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BT43" i="2"/>
  <c r="BT51" i="2"/>
  <c r="BT41" i="2"/>
  <c r="BT38" i="2"/>
  <c r="BT44" i="2"/>
  <c r="BT14" i="2"/>
  <c r="BT42" i="2"/>
  <c r="BT9" i="2"/>
  <c r="E8" i="2" s="1"/>
  <c r="BT37" i="2"/>
  <c r="BT8" i="2"/>
  <c r="F9" i="2" s="1"/>
  <c r="BT18" i="2"/>
  <c r="BT11" i="2"/>
  <c r="E17" i="2" s="1"/>
  <c r="BT25" i="2"/>
  <c r="BT39" i="2"/>
  <c r="BT52" i="2"/>
  <c r="BT16" i="2"/>
  <c r="BT32" i="2"/>
  <c r="BT17" i="2"/>
  <c r="BT35" i="2"/>
  <c r="BT26" i="2"/>
  <c r="BT50" i="2"/>
  <c r="BT30" i="2"/>
  <c r="BT34" i="2"/>
  <c r="BT7" i="2"/>
  <c r="E9" i="2" s="1"/>
  <c r="BT27" i="2"/>
  <c r="BT28" i="2"/>
  <c r="BT48" i="2"/>
  <c r="BT20" i="2"/>
  <c r="BT24" i="2"/>
  <c r="BT13" i="2"/>
  <c r="E16" i="2" s="1"/>
  <c r="BT23" i="2"/>
  <c r="BT22" i="2"/>
  <c r="BT31" i="2"/>
  <c r="BT49" i="2"/>
  <c r="BT21" i="2"/>
  <c r="BT15" i="2"/>
  <c r="BT45" i="2"/>
  <c r="BT33" i="2"/>
  <c r="BT12" i="2"/>
  <c r="F17" i="2" s="1"/>
  <c r="BT6" i="2"/>
  <c r="F8" i="2" s="1"/>
  <c r="BT10" i="2"/>
  <c r="F16" i="2" s="1"/>
  <c r="BT46" i="2"/>
  <c r="BT19" i="2"/>
  <c r="BT29" i="2"/>
  <c r="BT53" i="2"/>
  <c r="BT36" i="2"/>
  <c r="F85" i="2" l="1"/>
  <c r="E87" i="2"/>
  <c r="F84" i="2"/>
  <c r="F87" i="2"/>
  <c r="F93" i="2"/>
  <c r="E95" i="2"/>
  <c r="F92" i="2"/>
  <c r="F95" i="2"/>
  <c r="E93" i="2"/>
  <c r="F94" i="2"/>
  <c r="E92" i="2"/>
  <c r="E94" i="2"/>
  <c r="E85" i="2"/>
  <c r="F86" i="2"/>
  <c r="E84" i="2"/>
  <c r="E86" i="2"/>
  <c r="F77" i="2"/>
  <c r="E79" i="2"/>
  <c r="F76" i="2"/>
  <c r="F79" i="2"/>
  <c r="F69" i="2"/>
  <c r="BW40" i="2" s="1"/>
  <c r="E71" i="2"/>
  <c r="F68" i="2"/>
  <c r="F71" i="2"/>
  <c r="E68" i="2"/>
  <c r="E70" i="2"/>
  <c r="E76" i="2"/>
  <c r="E78" i="2"/>
  <c r="E77" i="2"/>
  <c r="F78" i="2"/>
  <c r="F52" i="2"/>
  <c r="F55" i="2"/>
  <c r="F53" i="2"/>
  <c r="BV32" i="2" s="1"/>
  <c r="E55" i="2"/>
  <c r="F61" i="2"/>
  <c r="E63" i="2"/>
  <c r="F60" i="2"/>
  <c r="F63" i="2"/>
  <c r="E52" i="2"/>
  <c r="E54" i="2"/>
  <c r="E53" i="2"/>
  <c r="F54" i="2"/>
  <c r="E61" i="2"/>
  <c r="F62" i="2"/>
  <c r="E60" i="2"/>
  <c r="BV35" i="2" s="1"/>
  <c r="E62" i="2"/>
  <c r="F45" i="2"/>
  <c r="E47" i="2"/>
  <c r="F44" i="2"/>
  <c r="BV26" i="2" s="1"/>
  <c r="F47" i="2"/>
  <c r="F37" i="2"/>
  <c r="E39" i="2"/>
  <c r="F36" i="2"/>
  <c r="F39" i="2"/>
  <c r="BV25" i="2" s="1"/>
  <c r="E36" i="2"/>
  <c r="E38" i="2"/>
  <c r="E37" i="2"/>
  <c r="BW25" i="2" s="1"/>
  <c r="F38" i="2"/>
  <c r="E45" i="2"/>
  <c r="F46" i="2"/>
  <c r="BU26" i="2" s="1"/>
  <c r="E44" i="2"/>
  <c r="BV27" i="2" s="1"/>
  <c r="E46" i="2"/>
  <c r="F28" i="2"/>
  <c r="F31" i="2"/>
  <c r="F29" i="2"/>
  <c r="E31" i="2"/>
  <c r="E21" i="2"/>
  <c r="F23" i="2"/>
  <c r="E20" i="2"/>
  <c r="BV15" i="2" s="1"/>
  <c r="E23" i="2"/>
  <c r="F20" i="2"/>
  <c r="F22" i="2"/>
  <c r="F21" i="2"/>
  <c r="E22" i="2"/>
  <c r="E29" i="2"/>
  <c r="F30" i="2"/>
  <c r="E28" i="2"/>
  <c r="E30" i="2"/>
  <c r="BW20" i="2" s="1"/>
  <c r="E13" i="2"/>
  <c r="F15" i="2"/>
  <c r="E12" i="2"/>
  <c r="BV11" i="2" s="1"/>
  <c r="E15" i="2"/>
  <c r="F13" i="2"/>
  <c r="E14" i="2"/>
  <c r="F12" i="2"/>
  <c r="BV10" i="2" s="1"/>
  <c r="F14" i="2"/>
  <c r="BV40" i="2"/>
  <c r="E69" i="2"/>
  <c r="BU41" i="2" s="1"/>
  <c r="E5" i="2"/>
  <c r="F7" i="2"/>
  <c r="E4" i="2"/>
  <c r="E7" i="2"/>
  <c r="F5" i="2"/>
  <c r="BU8" i="2" s="1"/>
  <c r="E6" i="2"/>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V20" i="2"/>
  <c r="BU20" i="2"/>
  <c r="BW8" i="2"/>
  <c r="BV8" i="2"/>
  <c r="BW46" i="2"/>
  <c r="BV46" i="2"/>
  <c r="BU46" i="2"/>
  <c r="BV31" i="2"/>
  <c r="BW31" i="2"/>
  <c r="BU31" i="2"/>
  <c r="BW14" i="2"/>
  <c r="BV14" i="2"/>
  <c r="BU14" i="2"/>
  <c r="BW23" i="2"/>
  <c r="BV23" i="2"/>
  <c r="BU23" i="2"/>
  <c r="BU45" i="2"/>
  <c r="BV45" i="2"/>
  <c r="BW45" i="2"/>
  <c r="BU35" i="2"/>
  <c r="BW35" i="2"/>
  <c r="BU11" i="2"/>
  <c r="BW11" i="2"/>
  <c r="BV41" i="2"/>
  <c r="BW41" i="2"/>
  <c r="BW18" i="2"/>
  <c r="BV18" i="2"/>
  <c r="BU18" i="2"/>
  <c r="BW29" i="2"/>
  <c r="BV29" i="2"/>
  <c r="BU29" i="2"/>
  <c r="BU51" i="2"/>
  <c r="BW51" i="2"/>
  <c r="BV51" i="2"/>
  <c r="BU48" i="2"/>
  <c r="BW48" i="2"/>
  <c r="BV48" i="2"/>
  <c r="BW37" i="2"/>
  <c r="BV37" i="2"/>
  <c r="BU37" i="2"/>
  <c r="BU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U9" i="2"/>
  <c r="BV22" i="2"/>
  <c r="BU22" i="2"/>
  <c r="BW22" i="2"/>
  <c r="BW33" i="2"/>
  <c r="BV33" i="2"/>
  <c r="BU33" i="2"/>
  <c r="BW44" i="2"/>
  <c r="BV44" i="2"/>
  <c r="BU44" i="2"/>
  <c r="BU15" i="2"/>
  <c r="BW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I17" i="2" s="1"/>
  <c r="BZ53" i="2"/>
  <c r="H95" i="2" s="1"/>
  <c r="BZ25" i="2"/>
  <c r="H39" i="2" s="1"/>
  <c r="BZ51" i="2"/>
  <c r="I95" i="2" s="1"/>
  <c r="BZ16" i="2"/>
  <c r="I23" i="2" s="1"/>
  <c r="BZ50" i="2"/>
  <c r="H94" i="2" s="1"/>
  <c r="BZ34" i="2"/>
  <c r="H62" i="2" s="1"/>
  <c r="BZ41" i="2"/>
  <c r="H71" i="2" s="1"/>
  <c r="BZ30" i="2"/>
  <c r="H54" i="2" s="1"/>
  <c r="BZ9" i="2"/>
  <c r="H8" i="2" s="1"/>
  <c r="BZ32" i="2"/>
  <c r="I54" i="2" s="1"/>
  <c r="BZ17" i="2"/>
  <c r="H22" i="2" s="1"/>
  <c r="BZ47" i="2"/>
  <c r="I87" i="2" s="1"/>
  <c r="BZ6" i="2"/>
  <c r="BZ38" i="2"/>
  <c r="H70" i="2" s="1"/>
  <c r="BZ46" i="2"/>
  <c r="H86" i="2" s="1"/>
  <c r="BZ15" i="2"/>
  <c r="I22" i="2" s="1"/>
  <c r="BZ44" i="2"/>
  <c r="I78" i="2" s="1"/>
  <c r="BZ48" i="2"/>
  <c r="I86" i="2" s="1"/>
  <c r="BZ26" i="2"/>
  <c r="H46" i="2" s="1"/>
  <c r="BZ19" i="2"/>
  <c r="I31" i="2" s="1"/>
  <c r="BZ20" i="2"/>
  <c r="I30" i="2" s="1"/>
  <c r="BZ29" i="2"/>
  <c r="H47" i="2" s="1"/>
  <c r="BZ10" i="2"/>
  <c r="BZ8" i="2"/>
  <c r="BZ28" i="2"/>
  <c r="I46" i="2" s="1"/>
  <c r="BZ37" i="2"/>
  <c r="H63" i="2" s="1"/>
  <c r="BZ52" i="2"/>
  <c r="I94" i="2" s="1"/>
  <c r="BZ13" i="2"/>
  <c r="BZ35" i="2"/>
  <c r="I63" i="2" s="1"/>
  <c r="BZ18" i="2"/>
  <c r="H30" i="2" s="1"/>
  <c r="BZ43" i="2"/>
  <c r="I79" i="2" s="1"/>
  <c r="BZ11" i="2"/>
  <c r="BZ14" i="2"/>
  <c r="H23" i="2" s="1"/>
  <c r="BZ7" i="2"/>
  <c r="H9" i="2" s="1"/>
  <c r="I14" i="2" l="1"/>
  <c r="H17" i="2"/>
  <c r="H14" i="2"/>
  <c r="H16" i="2"/>
  <c r="H15" i="2"/>
  <c r="I16" i="2"/>
  <c r="I85" i="2"/>
  <c r="H87" i="2"/>
  <c r="H69" i="2"/>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B38" i="2" l="1"/>
  <c r="CA38" i="2"/>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38" i="2" l="1"/>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L95" i="2" s="1"/>
  <c r="CE53" i="2"/>
  <c r="K95" i="2" s="1"/>
  <c r="CE44" i="2"/>
  <c r="L78" i="2" s="1"/>
  <c r="CE52" i="2"/>
  <c r="L94" i="2" s="1"/>
  <c r="CE24" i="2"/>
  <c r="L38" i="2" s="1"/>
  <c r="CE50" i="2"/>
  <c r="K94" i="2" s="1"/>
  <c r="CE27" i="2"/>
  <c r="L47" i="2" s="1"/>
  <c r="CE39" i="2"/>
  <c r="L71" i="2" s="1"/>
  <c r="CE36" i="2"/>
  <c r="L62" i="2" s="1"/>
  <c r="CE42" i="2"/>
  <c r="K78" i="2" s="1"/>
  <c r="CE7" i="2"/>
  <c r="CE25" i="2"/>
  <c r="K39" i="2" s="1"/>
  <c r="CE20" i="2"/>
  <c r="L30" i="2" s="1"/>
  <c r="CE47" i="2"/>
  <c r="L87" i="2" s="1"/>
  <c r="CE34" i="2"/>
  <c r="K62" i="2" s="1"/>
  <c r="CE6" i="2"/>
  <c r="L8" i="2" s="1"/>
  <c r="CE33" i="2"/>
  <c r="K55" i="2" s="1"/>
  <c r="CE11" i="2"/>
  <c r="CE15" i="2"/>
  <c r="L22" i="2" s="1"/>
  <c r="CE32" i="2"/>
  <c r="L54" i="2" s="1"/>
  <c r="CE8" i="2"/>
  <c r="L9" i="2" s="1"/>
  <c r="CE31" i="2"/>
  <c r="L55" i="2" s="1"/>
  <c r="CE45" i="2"/>
  <c r="K79" i="2" s="1"/>
  <c r="CE12" i="2"/>
  <c r="CE22" i="2"/>
  <c r="K38" i="2" s="1"/>
  <c r="CE37" i="2"/>
  <c r="K63" i="2" s="1"/>
  <c r="CE9" i="2"/>
  <c r="CE49" i="2"/>
  <c r="K87" i="2" s="1"/>
  <c r="CE28" i="2"/>
  <c r="L46" i="2" s="1"/>
  <c r="CE21" i="2"/>
  <c r="K31" i="2" s="1"/>
  <c r="CE48" i="2"/>
  <c r="L86" i="2" s="1"/>
  <c r="CE10" i="2"/>
  <c r="CE13" i="2"/>
  <c r="CE40" i="2"/>
  <c r="L70" i="2" s="1"/>
  <c r="CE38" i="2"/>
  <c r="K70" i="2" s="1"/>
  <c r="CE35" i="2"/>
  <c r="L63" i="2" s="1"/>
  <c r="CE16" i="2"/>
  <c r="L23" i="2" s="1"/>
  <c r="CE26" i="2"/>
  <c r="K46" i="2" s="1"/>
  <c r="CE19" i="2"/>
  <c r="L31" i="2" s="1"/>
  <c r="CE18" i="2"/>
  <c r="K30" i="2" s="1"/>
  <c r="CE41" i="2"/>
  <c r="K71" i="2" s="1"/>
  <c r="CE43" i="2"/>
  <c r="L79" i="2" s="1"/>
  <c r="CE14" i="2"/>
  <c r="K23" i="2" s="1"/>
  <c r="CE46" i="2"/>
  <c r="K86" i="2" s="1"/>
  <c r="L15" i="2" l="1"/>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CH44" i="2"/>
  <c r="O78" i="2" s="1"/>
  <c r="CH25" i="2"/>
  <c r="N39" i="2" s="1"/>
  <c r="CH8" i="2"/>
  <c r="O9" i="2" s="1"/>
  <c r="CH45" i="2"/>
  <c r="N79" i="2" s="1"/>
  <c r="CH18" i="2"/>
  <c r="CH23" i="2"/>
  <c r="CH47" i="2"/>
  <c r="O87" i="2" s="1"/>
  <c r="CH32" i="2"/>
  <c r="O54" i="2" s="1"/>
  <c r="CH43" i="2"/>
  <c r="O79" i="2" s="1"/>
  <c r="CH49" i="2"/>
  <c r="N87" i="2" s="1"/>
  <c r="CH14" i="2"/>
  <c r="N23" i="2" s="1"/>
  <c r="CH38" i="2"/>
  <c r="CH36" i="2"/>
  <c r="O62" i="2" s="1"/>
  <c r="CH46" i="2"/>
  <c r="N86" i="2" s="1"/>
  <c r="CH48" i="2"/>
  <c r="O86" i="2" s="1"/>
  <c r="CH24" i="2"/>
  <c r="O38" i="2" s="1"/>
  <c r="CH31" i="2"/>
  <c r="O55" i="2" s="1"/>
  <c r="CH12" i="2"/>
  <c r="CH37" i="2"/>
  <c r="N63" i="2" s="1"/>
  <c r="CH35" i="2"/>
  <c r="O63" i="2" s="1"/>
  <c r="CH53" i="2"/>
  <c r="N95" i="2" s="1"/>
  <c r="CH17" i="2"/>
  <c r="N22" i="2" s="1"/>
  <c r="CH19" i="2"/>
  <c r="O31" i="2" s="1"/>
  <c r="CH52" i="2"/>
  <c r="CH51" i="2"/>
  <c r="O95" i="2" s="1"/>
  <c r="CH9" i="2"/>
  <c r="O5" i="2" s="1"/>
  <c r="CH30" i="2"/>
  <c r="N54" i="2" s="1"/>
  <c r="CH13" i="2"/>
  <c r="CH42" i="2"/>
  <c r="N78" i="2" s="1"/>
  <c r="CH27" i="2"/>
  <c r="O47" i="2" s="1"/>
  <c r="CH40" i="2"/>
  <c r="N9" i="2"/>
  <c r="CH26" i="2"/>
  <c r="CH11" i="2"/>
  <c r="N17" i="2" s="1"/>
  <c r="CH33" i="2"/>
  <c r="CH22" i="2"/>
  <c r="CH21" i="2"/>
  <c r="CH15" i="2"/>
  <c r="O22" i="2" s="1"/>
  <c r="CH10" i="2"/>
  <c r="O16" i="2" s="1"/>
  <c r="CH39" i="2"/>
  <c r="CH29" i="2"/>
  <c r="CH20" i="2"/>
  <c r="O30" i="2" s="1"/>
  <c r="CH50" i="2"/>
  <c r="O8" i="2"/>
  <c r="CJ28" i="2"/>
  <c r="O15" i="2" l="1"/>
  <c r="O17" i="2"/>
  <c r="N14" i="2"/>
  <c r="N16" i="2"/>
  <c r="N93" i="2"/>
  <c r="O94" i="2"/>
  <c r="N92" i="2"/>
  <c r="N94" i="2"/>
  <c r="CK41" i="2"/>
  <c r="O68" i="2"/>
  <c r="O71" i="2"/>
  <c r="CI41" i="2" s="1"/>
  <c r="N68" i="2"/>
  <c r="N70" i="2"/>
  <c r="N69" i="2"/>
  <c r="O70" i="2"/>
  <c r="O53" i="2"/>
  <c r="N55" i="2"/>
  <c r="O45" i="2"/>
  <c r="N47" i="2"/>
  <c r="O36" i="2"/>
  <c r="O39" i="2"/>
  <c r="CJ25" i="2" s="1"/>
  <c r="N36" i="2"/>
  <c r="N38" i="2"/>
  <c r="N44" i="2"/>
  <c r="N46" i="2"/>
  <c r="N45" i="2"/>
  <c r="O46" i="2"/>
  <c r="N7" i="2"/>
  <c r="O29" i="2"/>
  <c r="N31" i="2"/>
  <c r="CI16" i="2"/>
  <c r="O23" i="2"/>
  <c r="CK18" i="2"/>
  <c r="N30" i="2"/>
  <c r="O7" i="2"/>
  <c r="N12" i="2"/>
  <c r="N15" i="2"/>
  <c r="O12" i="2"/>
  <c r="O14" i="2"/>
  <c r="CK28" i="2"/>
  <c r="O6" i="2"/>
  <c r="CJ48" i="2"/>
  <c r="N85" i="2"/>
  <c r="CI49" i="2"/>
  <c r="O85" i="2"/>
  <c r="CI28" i="2"/>
  <c r="CJ53" i="2"/>
  <c r="O93" i="2"/>
  <c r="CI52" i="2" s="1"/>
  <c r="CK51" i="2"/>
  <c r="O92" i="2"/>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CJ31" i="2" s="1"/>
  <c r="O60" i="2"/>
  <c r="CJ34" i="2" s="1"/>
  <c r="N60" i="2"/>
  <c r="CJ35" i="2" s="1"/>
  <c r="CJ24" i="2"/>
  <c r="N37" i="2"/>
  <c r="CK25" i="2" s="1"/>
  <c r="O37" i="2"/>
  <c r="CI24" i="2" s="1"/>
  <c r="CI27" i="2"/>
  <c r="O44" i="2"/>
  <c r="CJ26" i="2" s="1"/>
  <c r="CI45" i="2"/>
  <c r="CK20" i="2"/>
  <c r="N29" i="2"/>
  <c r="CK45" i="2"/>
  <c r="CI8" i="2"/>
  <c r="CK17" i="2"/>
  <c r="O21" i="2"/>
  <c r="CJ16" i="2"/>
  <c r="N21" i="2"/>
  <c r="CI15" i="2"/>
  <c r="O20" i="2"/>
  <c r="CJ14" i="2" s="1"/>
  <c r="CI14" i="2"/>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CN18" i="2"/>
  <c r="CN33" i="2"/>
  <c r="CN30" i="2"/>
  <c r="CN28" i="2"/>
  <c r="CN36" i="2"/>
  <c r="CN24" i="2"/>
  <c r="CN48" i="2"/>
  <c r="CN34" i="2"/>
  <c r="CN13" i="2"/>
  <c r="Q16" i="2" s="1"/>
  <c r="CN51" i="2"/>
  <c r="CN43" i="2"/>
  <c r="CN15" i="2"/>
  <c r="CN14" i="2"/>
  <c r="CN40" i="2"/>
  <c r="CN26" i="2"/>
  <c r="CN31" i="2"/>
  <c r="CN38" i="2"/>
  <c r="CN21" i="2"/>
  <c r="CN23" i="2"/>
  <c r="CN17" i="2"/>
  <c r="CN20" i="2"/>
  <c r="CN35" i="2"/>
  <c r="CN44" i="2"/>
  <c r="CN25" i="2"/>
  <c r="CN39" i="2"/>
  <c r="CN52" i="2"/>
  <c r="CN47" i="2"/>
  <c r="CN50" i="2"/>
  <c r="CN16" i="2"/>
  <c r="CN12" i="2"/>
  <c r="R17" i="2" s="1"/>
  <c r="CN22" i="2"/>
  <c r="CN19" i="2"/>
  <c r="CN49" i="2"/>
  <c r="CN41" i="2"/>
  <c r="CN8" i="2"/>
  <c r="CN9" i="2"/>
  <c r="CN10" i="2"/>
  <c r="R16" i="2" s="1"/>
  <c r="CN6" i="2"/>
  <c r="Q4" i="2" s="1"/>
  <c r="CN7" i="2"/>
  <c r="R4" i="2" s="1"/>
  <c r="CN46" i="2"/>
  <c r="CN11" i="2"/>
  <c r="Q17" i="2" s="1"/>
  <c r="R84" i="2" l="1"/>
  <c r="R87" i="2"/>
  <c r="R85" i="2"/>
  <c r="Q87" i="2"/>
  <c r="R93" i="2"/>
  <c r="Q95" i="2"/>
  <c r="R92" i="2"/>
  <c r="R95" i="2"/>
  <c r="Q92" i="2"/>
  <c r="Q94" i="2"/>
  <c r="Q93" i="2"/>
  <c r="R94" i="2"/>
  <c r="Q84" i="2"/>
  <c r="Q86" i="2"/>
  <c r="Q85" i="2"/>
  <c r="R86" i="2"/>
  <c r="R77" i="2"/>
  <c r="CO44" i="2" s="1"/>
  <c r="Q79" i="2"/>
  <c r="R76" i="2"/>
  <c r="R79" i="2"/>
  <c r="R68" i="2"/>
  <c r="R71" i="2"/>
  <c r="R69" i="2"/>
  <c r="CO40" i="2" s="1"/>
  <c r="Q71" i="2"/>
  <c r="Q68" i="2"/>
  <c r="Q70" i="2"/>
  <c r="Q69" i="2"/>
  <c r="R70" i="2"/>
  <c r="Q77" i="2"/>
  <c r="R78" i="2"/>
  <c r="R52" i="2"/>
  <c r="R55" i="2"/>
  <c r="R53" i="2"/>
  <c r="Q55" i="2"/>
  <c r="R60" i="2"/>
  <c r="R63" i="2"/>
  <c r="R61" i="2"/>
  <c r="Q63" i="2"/>
  <c r="Q53" i="2"/>
  <c r="R54" i="2"/>
  <c r="Q52" i="2"/>
  <c r="Q54" i="2"/>
  <c r="Q61" i="2"/>
  <c r="R62" i="2"/>
  <c r="Q60" i="2"/>
  <c r="Q62" i="2"/>
  <c r="R37" i="2"/>
  <c r="Q39" i="2"/>
  <c r="R36" i="2"/>
  <c r="R39" i="2"/>
  <c r="Q36" i="2"/>
  <c r="Q38" i="2"/>
  <c r="Q37" i="2"/>
  <c r="CP25" i="2" s="1"/>
  <c r="R38" i="2"/>
  <c r="Q45" i="2"/>
  <c r="R46" i="2"/>
  <c r="Q44" i="2"/>
  <c r="CP27" i="2" s="1"/>
  <c r="Q46" i="2"/>
  <c r="R28" i="2"/>
  <c r="R31" i="2"/>
  <c r="R29" i="2"/>
  <c r="Q31" i="2"/>
  <c r="Q21" i="2"/>
  <c r="R23" i="2"/>
  <c r="Q20" i="2"/>
  <c r="CP15" i="2" s="1"/>
  <c r="Q23" i="2"/>
  <c r="R21" i="2"/>
  <c r="Q22" i="2"/>
  <c r="R20" i="2"/>
  <c r="R22" i="2"/>
  <c r="Q28" i="2"/>
  <c r="CP19" i="2" s="1"/>
  <c r="Q30" i="2"/>
  <c r="Q29" i="2"/>
  <c r="R30" i="2"/>
  <c r="Q12" i="2"/>
  <c r="Q15" i="2"/>
  <c r="Q13" i="2"/>
  <c r="CO13" i="2" s="1"/>
  <c r="R15" i="2"/>
  <c r="R12" i="2"/>
  <c r="R14" i="2"/>
  <c r="R13" i="2"/>
  <c r="Q14" i="2"/>
  <c r="CP11" i="2" s="1"/>
  <c r="CP42" i="2"/>
  <c r="Q76" i="2"/>
  <c r="CP29" i="2"/>
  <c r="R45" i="2"/>
  <c r="R44" i="2"/>
  <c r="CP26" i="2" s="1"/>
  <c r="CO42" i="2"/>
  <c r="CO29" i="2"/>
  <c r="CQ29" i="2" s="1"/>
  <c r="CO27" i="2"/>
  <c r="CP38" i="2"/>
  <c r="R8" i="2"/>
  <c r="Q7" i="2"/>
  <c r="CP40" i="2"/>
  <c r="Q8" i="2"/>
  <c r="R5" i="2"/>
  <c r="CO8" i="2" s="1"/>
  <c r="Q6" i="2"/>
  <c r="CP7" i="2" s="1"/>
  <c r="CP39" i="2"/>
  <c r="CO33" i="2"/>
  <c r="CP33" i="2"/>
  <c r="CP16" i="2"/>
  <c r="CO16" i="2"/>
  <c r="CO36" i="2"/>
  <c r="CP36" i="2"/>
  <c r="R6" i="2"/>
  <c r="Q9" i="2"/>
  <c r="CO47" i="2"/>
  <c r="CP47" i="2"/>
  <c r="CO52" i="2"/>
  <c r="CP52" i="2"/>
  <c r="R9" i="2"/>
  <c r="Q5" i="2"/>
  <c r="R7" i="2"/>
  <c r="CP41" i="2"/>
  <c r="CO41" i="2"/>
  <c r="CP44" i="2"/>
  <c r="CO43" i="2"/>
  <c r="CP43" i="2"/>
  <c r="CO18" i="2"/>
  <c r="CP18" i="2"/>
  <c r="CO53" i="2"/>
  <c r="CP53" i="2"/>
  <c r="CP24" i="2"/>
  <c r="CO24" i="2"/>
  <c r="CP31" i="2"/>
  <c r="CO31" i="2"/>
  <c r="CP49" i="2"/>
  <c r="CO49" i="2"/>
  <c r="CO35" i="2"/>
  <c r="CP35" i="2"/>
  <c r="CO19"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O11" i="2"/>
  <c r="CO21" i="2"/>
  <c r="CP21" i="2"/>
  <c r="CO6" i="2"/>
  <c r="CO12" i="2" l="1"/>
  <c r="CQ12" i="2" s="1"/>
  <c r="CO25" i="2"/>
  <c r="CQ25" i="2" s="1"/>
  <c r="CP14" i="2"/>
  <c r="CP30" i="2"/>
  <c r="CO15" i="2"/>
  <c r="CQ15" i="2" s="1"/>
  <c r="CO39" i="2"/>
  <c r="CQ39" i="2" s="1"/>
  <c r="CO38" i="2"/>
  <c r="CQ38" i="2" s="1"/>
  <c r="CO30" i="2"/>
  <c r="CP10" i="2"/>
  <c r="CO10" i="2"/>
  <c r="CO14" i="2"/>
  <c r="CO7" i="2"/>
  <c r="CQ7" i="2" s="1"/>
  <c r="CO26" i="2"/>
  <c r="CQ26" i="2" s="1"/>
  <c r="CQ42" i="2"/>
  <c r="CQ27" i="2"/>
  <c r="CP8" i="2"/>
  <c r="CQ8" i="2" s="1"/>
  <c r="CP6" i="2"/>
  <c r="CQ6" i="2" s="1"/>
  <c r="CQ16" i="2"/>
  <c r="CQ36" i="2"/>
  <c r="CQ31" i="2"/>
  <c r="CQ37" i="2"/>
  <c r="CQ11" i="2"/>
  <c r="CQ49" i="2"/>
  <c r="CQ53" i="2"/>
  <c r="CQ48" i="2"/>
  <c r="CQ17" i="2"/>
  <c r="CQ52" i="2"/>
  <c r="CQ20" i="2"/>
  <c r="CQ28" i="2"/>
  <c r="CQ18" i="2"/>
  <c r="CO9" i="2"/>
  <c r="CQ35" i="2"/>
  <c r="CQ40" i="2"/>
  <c r="CQ24" i="2"/>
  <c r="CQ47" i="2"/>
  <c r="CQ32" i="2"/>
  <c r="CP9" i="2"/>
  <c r="CQ19" i="2"/>
  <c r="CQ43" i="2"/>
  <c r="CQ50" i="2"/>
  <c r="CQ22" i="2"/>
  <c r="CQ13" i="2"/>
  <c r="CQ21" i="2"/>
  <c r="CQ44" i="2"/>
  <c r="CQ34" i="2"/>
  <c r="CQ51" i="2"/>
  <c r="CQ46" i="2"/>
  <c r="CQ41" i="2"/>
  <c r="CQ23" i="2"/>
  <c r="CQ45" i="2"/>
  <c r="CQ33" i="2"/>
  <c r="CQ14" i="2" l="1"/>
  <c r="CQ30" i="2"/>
  <c r="CQ10" i="2"/>
  <c r="CR46" i="2"/>
  <c r="CR44" i="2"/>
  <c r="CQ9" i="2"/>
  <c r="CR9" i="2" s="1"/>
  <c r="CR21" i="2"/>
  <c r="CR13" i="2"/>
  <c r="CR16" i="2"/>
  <c r="CR22" i="2"/>
  <c r="CR33" i="2"/>
  <c r="CR45" i="2"/>
  <c r="CR17" i="2"/>
  <c r="CR19" i="2"/>
  <c r="CR37" i="2"/>
  <c r="CR42" i="2"/>
  <c r="CR20" i="2"/>
  <c r="CR25" i="2"/>
  <c r="CR32" i="2"/>
  <c r="CR28" i="2"/>
  <c r="CR51" i="2"/>
  <c r="CR34" i="2"/>
  <c r="CR43" i="2"/>
  <c r="CR24" i="2"/>
  <c r="CR50" i="2"/>
  <c r="CR47" i="2"/>
  <c r="CR27" i="2"/>
  <c r="CR35" i="2"/>
  <c r="CR10" i="2"/>
  <c r="CR36" i="2"/>
  <c r="CR48" i="2"/>
  <c r="CR40" i="2" l="1"/>
  <c r="CR39" i="2"/>
  <c r="CR12" i="2"/>
  <c r="CR38" i="2"/>
  <c r="CR23" i="2"/>
  <c r="CR31" i="2"/>
  <c r="CR29" i="2"/>
  <c r="CR7" i="2"/>
  <c r="CR41" i="2"/>
  <c r="CR52" i="2"/>
  <c r="CR26" i="2"/>
  <c r="CR11" i="2"/>
  <c r="CR30" i="2"/>
  <c r="CR49" i="2"/>
  <c r="CR18" i="2"/>
  <c r="CR15" i="2"/>
  <c r="CR14" i="2"/>
  <c r="CR6" i="2"/>
  <c r="CR8" i="2"/>
  <c r="CR53" i="2"/>
  <c r="CS14" i="2" l="1"/>
  <c r="T23" i="2" s="1"/>
  <c r="CS15" i="2"/>
  <c r="U22" i="2" s="1"/>
  <c r="CS18" i="2"/>
  <c r="T30" i="2" s="1"/>
  <c r="CS49" i="2"/>
  <c r="T87" i="2" s="1"/>
  <c r="CS26" i="2"/>
  <c r="T46" i="2" s="1"/>
  <c r="CS52" i="2"/>
  <c r="U94" i="2" s="1"/>
  <c r="CS53" i="2"/>
  <c r="T95" i="2" s="1"/>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T22" i="2" s="1"/>
  <c r="CS7" i="2"/>
  <c r="U4" i="2" s="1"/>
  <c r="CS23" i="2"/>
  <c r="U39" i="2" s="1"/>
  <c r="CS48" i="2"/>
  <c r="U86" i="2" s="1"/>
  <c r="CS12" i="2"/>
  <c r="CS34" i="2"/>
  <c r="T62" i="2" s="1"/>
  <c r="CS16" i="2"/>
  <c r="U23" i="2" s="1"/>
  <c r="CS10" i="2"/>
  <c r="CS9" i="2"/>
  <c r="T6" i="2" s="1"/>
  <c r="CS40" i="2"/>
  <c r="U70" i="2" s="1"/>
  <c r="CS6" i="2"/>
  <c r="T7" i="2" s="1"/>
  <c r="CS11" i="2"/>
  <c r="CS27" i="2"/>
  <c r="U47" i="2" s="1"/>
  <c r="CS46" i="2"/>
  <c r="T86" i="2" s="1"/>
  <c r="CS42" i="2"/>
  <c r="T78" i="2" s="1"/>
  <c r="CS25" i="2"/>
  <c r="T39" i="2" s="1"/>
  <c r="CS19" i="2"/>
  <c r="U31" i="2" s="1"/>
  <c r="CS33" i="2"/>
  <c r="T55" i="2" s="1"/>
  <c r="CS13" i="2"/>
  <c r="CS37" i="2"/>
  <c r="T63" i="2" s="1"/>
  <c r="CS36" i="2"/>
  <c r="U62" i="2" s="1"/>
  <c r="CS51" i="2"/>
  <c r="U95" i="2" s="1"/>
  <c r="CS50" i="2"/>
  <c r="T94" i="2" s="1"/>
  <c r="CS45" i="2"/>
  <c r="T79" i="2" s="1"/>
  <c r="CS24" i="2"/>
  <c r="U38" i="2" s="1"/>
  <c r="CS47" i="2"/>
  <c r="U87" i="2" s="1"/>
  <c r="CS43" i="2"/>
  <c r="U79" i="2" s="1"/>
  <c r="CS35" i="2"/>
  <c r="U63" i="2" s="1"/>
  <c r="CS22" i="2"/>
  <c r="T38" i="2" s="1"/>
  <c r="U15" i="2" l="1"/>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11" i="2" l="1"/>
  <c r="AU15" i="2" s="1"/>
  <c r="DL13" i="2"/>
  <c r="AU17" i="2" s="1"/>
  <c r="DL12" i="2"/>
  <c r="AU16" i="2" s="1"/>
  <c r="DL10" i="2"/>
  <c r="AU14" i="2" s="1"/>
  <c r="DF9" i="2"/>
  <c r="DL9" i="2"/>
  <c r="AU9" i="2" s="1"/>
  <c r="DL6" i="2"/>
  <c r="AU6" i="2" s="1"/>
  <c r="DL8" i="2"/>
  <c r="DL7" i="2"/>
  <c r="DF7" i="2"/>
  <c r="DF8" i="2"/>
  <c r="DF6" i="2"/>
  <c r="DM31" i="2"/>
  <c r="DN26" i="2" a="1"/>
  <c r="DN26" i="2" s="1"/>
  <c r="DM26" i="2"/>
  <c r="DN20" i="2" a="1"/>
  <c r="DN20" i="2" s="1"/>
  <c r="DM20" i="2"/>
  <c r="DM28" i="2"/>
  <c r="DN28" i="2" a="1"/>
  <c r="DN28" i="2" s="1"/>
  <c r="DN12" i="2" a="1"/>
  <c r="DN12" i="2" s="1"/>
  <c r="DM12" i="2"/>
  <c r="DN32" i="2" a="1"/>
  <c r="DN32" i="2" s="1"/>
  <c r="DM32" i="2"/>
  <c r="DM14" i="2"/>
  <c r="DN14" i="2" a="1"/>
  <c r="DN14" i="2" s="1"/>
  <c r="DN43" i="2" a="1"/>
  <c r="DN43" i="2" s="1"/>
  <c r="DM43" i="2"/>
  <c r="DM22" i="2"/>
  <c r="DN22" i="2" a="1"/>
  <c r="DN22" i="2" s="1"/>
  <c r="DN39" i="2" a="1"/>
  <c r="DN39" i="2" s="1"/>
  <c r="DM39" i="2"/>
  <c r="DM21" i="2"/>
  <c r="DN21" i="2" a="1"/>
  <c r="DN21" i="2" s="1"/>
  <c r="DN11" i="2" a="1"/>
  <c r="DN11" i="2" s="1"/>
  <c r="DM11" i="2"/>
  <c r="DN23" i="2" a="1"/>
  <c r="DN23" i="2" s="1"/>
  <c r="DM23" i="2"/>
  <c r="DN44" i="2" a="1"/>
  <c r="DN44" i="2" s="1"/>
  <c r="DM44" i="2"/>
  <c r="DM51" i="2"/>
  <c r="DN51" i="2" a="1"/>
  <c r="DN51" i="2" s="1"/>
  <c r="DM38" i="2"/>
  <c r="DN38" i="2" a="1"/>
  <c r="DN38" i="2" s="1"/>
  <c r="DN35" i="2" a="1"/>
  <c r="DN35" i="2" s="1"/>
  <c r="DM35" i="2"/>
  <c r="DN36" i="2" a="1"/>
  <c r="DN36" i="2" s="1"/>
  <c r="DM36" i="2"/>
  <c r="DN41" i="2" a="1"/>
  <c r="DN41" i="2" s="1"/>
  <c r="DM41" i="2"/>
  <c r="DN16" i="2" a="1"/>
  <c r="DN16" i="2" s="1"/>
  <c r="DM16" i="2"/>
  <c r="DN13" i="2" a="1"/>
  <c r="DN13" i="2" s="1"/>
  <c r="DM13" i="2"/>
  <c r="DM18" i="2"/>
  <c r="DN18" i="2" a="1"/>
  <c r="DN18" i="2" s="1"/>
  <c r="DN47" i="2" a="1"/>
  <c r="DN47" i="2" s="1"/>
  <c r="DM47"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M34" i="2"/>
  <c r="DN34" i="2" a="1"/>
  <c r="DN34" i="2" s="1"/>
  <c r="DM42" i="2"/>
  <c r="DN42" i="2" a="1"/>
  <c r="DN42" i="2" s="1"/>
  <c r="DN17" i="2" a="1"/>
  <c r="DN17" i="2" s="1"/>
  <c r="DM17" i="2"/>
  <c r="DM53" i="2"/>
  <c r="DN53" i="2" a="1"/>
  <c r="DN53" i="2" s="1"/>
  <c r="DM50" i="2"/>
  <c r="DN50" i="2" a="1"/>
  <c r="DN50" i="2" s="1"/>
  <c r="DM52" i="2"/>
  <c r="DN52" i="2" a="1"/>
  <c r="DN52" i="2" s="1"/>
  <c r="DN49" i="2" a="1"/>
  <c r="DN49" i="2" s="1"/>
  <c r="DM49" i="2"/>
  <c r="DN30" i="2" a="1"/>
  <c r="DN30" i="2" s="1"/>
  <c r="DM30" i="2"/>
  <c r="DN46" i="2" a="1"/>
  <c r="DN46" i="2" s="1"/>
  <c r="DM46" i="2"/>
  <c r="AU13" i="2" l="1"/>
  <c r="AV12" i="2" s="1"/>
  <c r="DF10" i="2" s="1"/>
  <c r="DF13" i="2"/>
  <c r="DF27" i="2"/>
  <c r="DF36" i="2"/>
  <c r="DM10" i="2"/>
  <c r="DF14" i="2"/>
  <c r="DF26" i="2"/>
  <c r="DF41" i="2"/>
  <c r="DF40" i="2"/>
  <c r="DF20" i="2"/>
  <c r="DF23" i="2"/>
  <c r="DF50" i="2"/>
  <c r="DF49" i="2"/>
  <c r="DF15" i="2"/>
  <c r="DF53" i="2"/>
  <c r="DF22" i="2"/>
  <c r="DF19" i="2"/>
  <c r="DF16" i="2"/>
  <c r="DF18" i="2"/>
  <c r="DF31" i="2"/>
  <c r="DF51" i="2"/>
  <c r="DF38" i="2"/>
  <c r="DF46" i="2"/>
  <c r="DF34" i="2"/>
  <c r="DF29" i="2"/>
  <c r="DF37" i="2"/>
  <c r="DF17" i="2"/>
  <c r="DF44" i="2"/>
  <c r="DF35" i="2"/>
  <c r="DF39" i="2"/>
  <c r="DN10" i="2" a="1"/>
  <c r="DN10" i="2" s="1"/>
  <c r="DF42" i="2"/>
  <c r="DF24" i="2"/>
  <c r="DF52" i="2"/>
  <c r="DF43" i="2"/>
  <c r="DF33" i="2"/>
  <c r="DF47" i="2"/>
  <c r="DF25" i="2"/>
  <c r="DF28" i="2"/>
  <c r="DF45" i="2"/>
  <c r="DF32" i="2"/>
  <c r="DF21" i="2"/>
  <c r="DF30" i="2"/>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2" i="2" l="1"/>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M113" i="2" s="1"/>
  <c r="AA113" i="2" s="1"/>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N101" i="2" s="1"/>
  <c r="AF101" i="2" s="1"/>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C142" i="3" l="1"/>
  <c r="AA45" i="4"/>
  <c r="B176" i="3"/>
  <c r="C176" i="3"/>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<sst xmlns="http://schemas.openxmlformats.org/spreadsheetml/2006/main" count="6754" uniqueCount="1516">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</sst>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5"/>
  <sheetViews>
    <sheetView showGridLines="0" showRowColHeaders="0" tabSelected="1" zoomScaleNormal="100" workbookViewId="0">
      <selection activeCell="AV20" sqref="AV2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V20" sqref="AV2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4"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1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3"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8</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2</v>
      </c>
      <c r="BG47" s="16">
        <f t="shared" ca="1" si="18"/>
        <v>0</v>
      </c>
      <c r="BH47" s="16">
        <f t="shared" ca="1" si="19"/>
        <v>1</v>
      </c>
      <c r="BI47" s="16">
        <f t="shared" ca="1" si="20"/>
        <v>1</v>
      </c>
      <c r="BJ47" s="16">
        <f t="shared" ca="1" si="21"/>
        <v>1</v>
      </c>
      <c r="BK47" s="16">
        <f t="shared" ca="1" si="22"/>
        <v>2</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8</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8</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2</v>
      </c>
      <c r="BG49" s="16">
        <f t="shared" ca="1" si="18"/>
        <v>2</v>
      </c>
      <c r="BH49" s="16">
        <f t="shared" ca="1" si="19"/>
        <v>0</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8</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8</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2</v>
      </c>
      <c r="BG51" s="16">
        <f t="shared" ca="1" si="18"/>
        <v>1</v>
      </c>
      <c r="BH51" s="16">
        <f t="shared" ca="1" si="19"/>
        <v>0</v>
      </c>
      <c r="BI51" s="16">
        <f t="shared" ca="1" si="20"/>
        <v>1</v>
      </c>
      <c r="BJ51" s="16">
        <f t="shared" ca="1" si="21"/>
        <v>3</v>
      </c>
      <c r="BK51" s="16">
        <f t="shared" ca="1" si="22"/>
        <v>4</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8</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5"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8</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2</v>
      </c>
      <c r="BG53" s="16">
        <f t="shared" ca="1" si="18"/>
        <v>0</v>
      </c>
      <c r="BH53" s="16">
        <f t="shared" ca="1" si="19"/>
        <v>0</v>
      </c>
      <c r="BI53" s="16">
        <f t="shared" ca="1" si="20"/>
        <v>2</v>
      </c>
      <c r="BJ53" s="16">
        <f t="shared" ca="1" si="21"/>
        <v>0</v>
      </c>
      <c r="BK53" s="16">
        <f t="shared" ca="1" si="22"/>
        <v>2</v>
      </c>
      <c r="BL53" s="16">
        <f t="shared" ca="1" si="23"/>
        <v>-2</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8</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9</v>
      </c>
      <c r="BN58" s="16">
        <f t="shared" ref="BN58:BN69" ca="1" si="153">CF58</f>
        <v>9</v>
      </c>
      <c r="BO58" s="16" t="str">
        <f t="shared" ref="BO58:BO69" si="154">"4"&amp;BC58</f>
        <v>4A</v>
      </c>
      <c r="BP58" s="16"/>
      <c r="BQ58" s="16"/>
      <c r="BR58" s="16">
        <f t="shared" ref="BR58:BR69" ca="1" si="155">+BE58</f>
        <v>1</v>
      </c>
      <c r="BS58" s="16">
        <f t="shared" ref="BS58:BS69" ca="1" si="156">COUNTIFS(BR$58:BR$69,"&gt;"&amp;BR58)+1</f>
        <v>9</v>
      </c>
      <c r="BT58" s="16" t="str">
        <f t="shared" ref="BT58:BT69" ca="1" si="157">IF(COUNTIF(BS$58:BS$69,BS58)=1,"-","Pos. "&amp;BS58&amp;" ("&amp;COUNTIF(BS$58:BS$69,BS58)&amp;")")</f>
        <v>Pos. 9 (3)</v>
      </c>
      <c r="BU58" s="16">
        <f t="shared" ref="BU58:BU69" ca="1" si="158">IF(BT58="-","-",BL58)</f>
        <v>-1</v>
      </c>
      <c r="BV58" s="16">
        <f t="shared" ref="BV58:BV69" ca="1" si="159">BS58+COUNTIFS(BT$58:BT$69,BT58,BU$58:BU$69,"&gt;"&amp;BU58)</f>
        <v>9</v>
      </c>
      <c r="BW58" s="16" t="str">
        <f t="shared" ref="BW58:BW69" ca="1" si="160">IF(COUNTIF(BV$58:BV$69,BV58)=1,"-","Pos. "&amp;BV58&amp;" ("&amp;COUNTIF(BV$58:BV$69,BV58)&amp;")")</f>
        <v>Pos. 9 (3)</v>
      </c>
      <c r="BX58" s="16">
        <f t="shared" ref="BX58:BX69" ca="1" si="161">IF(BW58="-","-",BJ58)</f>
        <v>2</v>
      </c>
      <c r="BY58" s="16">
        <f t="shared" ref="BY58:BY69" ca="1" si="162">BV58+COUNTIFS(BW$58:BW$69,BW58,BX$58:BX$69,"&gt;"&amp;BX58)</f>
        <v>9</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9</v>
      </c>
      <c r="CC58" s="16"/>
      <c r="CD58" s="16">
        <f t="shared" ref="CD58:CD69" ca="1" si="166">IF(OR(INDEX($AW$102:$AW$113,MATCH($BD58,$AV$102:$AV$113,0))="",BZ58="-"),CB58,INDEX($AW$102:$AW$113,MATCH($BD58,$AV$102:$AV$113,0))+CB58/1000)</f>
        <v>9</v>
      </c>
      <c r="CE58" s="16" t="str">
        <f t="shared" ref="CE58:CE69" ca="1" si="167">IF(BZ58="-","-",COUNTIF(CD$58:CD$69,"&lt;"&amp;CD58))</f>
        <v>-</v>
      </c>
      <c r="CF58" s="16">
        <f t="shared" ref="CF58:CF69" ca="1" si="168">BY58+COUNTIFS(BZ$58:BZ$69,BZ58,CE$58:CE$69,"&lt;"&amp;CE58)</f>
        <v>9</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8"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3</v>
      </c>
      <c r="BS60" s="16">
        <f t="shared" ca="1" si="156"/>
        <v>2</v>
      </c>
      <c r="BT60" s="16" t="str">
        <f t="shared" ca="1" si="157"/>
        <v>Pos. 2 (5)</v>
      </c>
      <c r="BU60" s="16">
        <f t="shared" ca="1" si="158"/>
        <v>0</v>
      </c>
      <c r="BV60" s="16">
        <f t="shared" ca="1" si="159"/>
        <v>2</v>
      </c>
      <c r="BW60" s="16" t="str">
        <f t="shared" ca="1" si="160"/>
        <v>Pos. 2 (2)</v>
      </c>
      <c r="BX60" s="16">
        <f t="shared" ca="1" si="161"/>
        <v>1</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Escocia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6</v>
      </c>
      <c r="BN61" s="16">
        <f t="shared" ca="1" si="153"/>
        <v>6</v>
      </c>
      <c r="BO61" s="16" t="str">
        <f t="shared" si="154"/>
        <v>4D</v>
      </c>
      <c r="BP61" s="16"/>
      <c r="BQ61" s="16"/>
      <c r="BR61" s="16">
        <f t="shared" ca="1" si="155"/>
        <v>3</v>
      </c>
      <c r="BS61" s="16">
        <f t="shared" ca="1" si="156"/>
        <v>2</v>
      </c>
      <c r="BT61" s="16" t="str">
        <f t="shared" ca="1" si="157"/>
        <v>Pos. 2 (5)</v>
      </c>
      <c r="BU61" s="16">
        <f t="shared" ca="1" si="158"/>
        <v>-2</v>
      </c>
      <c r="BV61" s="16">
        <f t="shared" ca="1" si="159"/>
        <v>5</v>
      </c>
      <c r="BW61" s="16" t="str">
        <f t="shared" ca="1" si="160"/>
        <v>Pos. 5 (2)</v>
      </c>
      <c r="BX61" s="16">
        <f t="shared" ca="1" si="161"/>
        <v>2</v>
      </c>
      <c r="BY61" s="16">
        <f t="shared" ca="1" si="162"/>
        <v>5</v>
      </c>
      <c r="BZ61" s="16" t="str">
        <f t="shared" ca="1" si="163"/>
        <v>Pos. 5 (2)</v>
      </c>
      <c r="CA61" s="16">
        <f t="shared" ca="1" si="164"/>
        <v>4</v>
      </c>
      <c r="CB61" s="16">
        <f t="shared" ca="1" si="165"/>
        <v>6</v>
      </c>
      <c r="CC61" s="16"/>
      <c r="CD61" s="16">
        <f t="shared" ca="1" si="166"/>
        <v>6</v>
      </c>
      <c r="CE61" s="16">
        <f t="shared" ca="1" si="167"/>
        <v>5</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Croacia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1</v>
      </c>
      <c r="BS62" s="16">
        <f t="shared" ca="1" si="156"/>
        <v>9</v>
      </c>
      <c r="BT62" s="16" t="str">
        <f t="shared" ca="1" si="157"/>
        <v>Pos. 9 (3)</v>
      </c>
      <c r="BU62" s="16">
        <f t="shared" ca="1" si="158"/>
        <v>-1</v>
      </c>
      <c r="BV62" s="16">
        <f t="shared" ca="1" si="159"/>
        <v>9</v>
      </c>
      <c r="BW62" s="16" t="str">
        <f t="shared" ca="1" si="160"/>
        <v>Pos. 9 (3)</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Argelia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2</v>
      </c>
      <c r="BN63" s="16">
        <f t="shared" ca="1" si="153"/>
        <v>2</v>
      </c>
      <c r="BO63" s="16" t="str">
        <f t="shared" si="154"/>
        <v>4F</v>
      </c>
      <c r="BP63" s="16"/>
      <c r="BQ63" s="16"/>
      <c r="BR63" s="16">
        <f t="shared" ca="1" si="155"/>
        <v>3</v>
      </c>
      <c r="BS63" s="16">
        <f t="shared" ca="1" si="156"/>
        <v>2</v>
      </c>
      <c r="BT63" s="16" t="str">
        <f t="shared" ca="1" si="157"/>
        <v>Pos. 2 (5)</v>
      </c>
      <c r="BU63" s="16">
        <f t="shared" ca="1" si="158"/>
        <v>0</v>
      </c>
      <c r="BV63" s="16">
        <f t="shared" ca="1" si="159"/>
        <v>2</v>
      </c>
      <c r="BW63" s="16" t="str">
        <f t="shared" ca="1" si="160"/>
        <v>Pos. 2 (2)</v>
      </c>
      <c r="BX63" s="16">
        <f t="shared" ca="1" si="161"/>
        <v>6</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5</v>
      </c>
      <c r="DK63" s="16"/>
      <c r="DL63" s="16">
        <f t="shared" ca="1" si="170"/>
        <v>1</v>
      </c>
      <c r="DM63" s="16" t="str">
        <f t="shared" ca="1" si="171"/>
        <v>5.1</v>
      </c>
      <c r="DN63" s="16">
        <f t="array" aca="1" ref="DN63" ca="1">OFFSET(Horarios!$P$3,DJ63-1,0,DL63,1)</f>
        <v>5</v>
      </c>
      <c r="DO63" s="16"/>
      <c r="DP63" s="16">
        <v>6</v>
      </c>
      <c r="DQ63" s="16" t="str">
        <f t="shared" ca="1" si="172"/>
        <v>Paraguay</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8</v>
      </c>
      <c r="BN64" s="16">
        <f t="shared" ca="1" si="153"/>
        <v>8</v>
      </c>
      <c r="BO64" s="16" t="str">
        <f t="shared" si="154"/>
        <v>4G</v>
      </c>
      <c r="BP64" s="16"/>
      <c r="BQ64" s="16"/>
      <c r="BR64" s="16">
        <f t="shared" ca="1" si="155"/>
        <v>2</v>
      </c>
      <c r="BS64" s="16">
        <f t="shared" ca="1" si="156"/>
        <v>7</v>
      </c>
      <c r="BT64" s="16" t="str">
        <f t="shared" ca="1" si="157"/>
        <v>Pos. 7 (2)</v>
      </c>
      <c r="BU64" s="16">
        <f t="shared" ca="1" si="158"/>
        <v>0</v>
      </c>
      <c r="BV64" s="16">
        <f t="shared" ca="1" si="159"/>
        <v>7</v>
      </c>
      <c r="BW64" s="16" t="str">
        <f t="shared" ca="1" si="160"/>
        <v>Pos. 7 (2)</v>
      </c>
      <c r="BX64" s="16">
        <f t="shared" ca="1" si="161"/>
        <v>1</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Cabo Verde</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7</v>
      </c>
      <c r="BN65" s="16">
        <f t="shared" ca="1" si="153"/>
        <v>7</v>
      </c>
      <c r="BO65" s="16" t="str">
        <f t="shared" si="154"/>
        <v>4H</v>
      </c>
      <c r="BP65" s="16"/>
      <c r="BQ65" s="16"/>
      <c r="BR65" s="16">
        <f t="shared" ca="1" si="155"/>
        <v>2</v>
      </c>
      <c r="BS65" s="16">
        <f t="shared" ca="1" si="156"/>
        <v>7</v>
      </c>
      <c r="BT65" s="16" t="str">
        <f t="shared" ca="1" si="157"/>
        <v>Pos. 7 (2)</v>
      </c>
      <c r="BU65" s="16">
        <f t="shared" ca="1" si="158"/>
        <v>0</v>
      </c>
      <c r="BV65" s="16">
        <f t="shared" ca="1" si="159"/>
        <v>7</v>
      </c>
      <c r="BW65" s="16" t="str">
        <f t="shared" ca="1" si="160"/>
        <v>Pos. 7 (2)</v>
      </c>
      <c r="BX65" s="16">
        <f t="shared" ca="1" si="161"/>
        <v>2</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Bélgica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12</v>
      </c>
      <c r="BT66" s="16" t="str">
        <f t="shared" ca="1" si="157"/>
        <v>-</v>
      </c>
      <c r="BU66" s="16" t="str">
        <f t="shared" ca="1" si="158"/>
        <v>-</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República Checa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5</v>
      </c>
      <c r="BN67" s="16">
        <f t="shared" ca="1" si="153"/>
        <v>5</v>
      </c>
      <c r="BO67" s="16" t="str">
        <f t="shared" si="154"/>
        <v>4J</v>
      </c>
      <c r="BP67" s="16"/>
      <c r="BQ67" s="16"/>
      <c r="BR67" s="16">
        <f t="shared" ca="1" si="155"/>
        <v>3</v>
      </c>
      <c r="BS67" s="16">
        <f t="shared" ca="1" si="156"/>
        <v>2</v>
      </c>
      <c r="BT67" s="16" t="str">
        <f t="shared" ca="1" si="157"/>
        <v>Pos. 2 (5)</v>
      </c>
      <c r="BU67" s="16">
        <f t="shared" ca="1" si="158"/>
        <v>-2</v>
      </c>
      <c r="BV67" s="16">
        <f t="shared" ca="1" si="159"/>
        <v>5</v>
      </c>
      <c r="BW67" s="16" t="str">
        <f t="shared" ca="1" si="160"/>
        <v>Pos. 5 (2)</v>
      </c>
      <c r="BX67" s="16">
        <f t="shared" ca="1" si="161"/>
        <v>2</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1"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2</v>
      </c>
      <c r="BG68" s="16">
        <f t="shared" ca="1" si="174"/>
        <v>0</v>
      </c>
      <c r="BH68" s="16">
        <f t="shared" ca="1" si="175"/>
        <v>1</v>
      </c>
      <c r="BI68" s="16">
        <f t="shared" ca="1" si="176"/>
        <v>1</v>
      </c>
      <c r="BJ68" s="16">
        <f t="shared" ca="1" si="177"/>
        <v>1</v>
      </c>
      <c r="BK68" s="16">
        <f t="shared" ca="1" si="178"/>
        <v>2</v>
      </c>
      <c r="BL68" s="16">
        <f t="shared" ca="1" si="151"/>
        <v>-1</v>
      </c>
      <c r="BM68" s="16">
        <f t="shared" ca="1" si="152"/>
        <v>10</v>
      </c>
      <c r="BN68" s="16">
        <f t="shared" ca="1" si="153"/>
        <v>10</v>
      </c>
      <c r="BO68" s="16" t="str">
        <f t="shared" si="154"/>
        <v>4K</v>
      </c>
      <c r="BP68" s="16"/>
      <c r="BQ68" s="16"/>
      <c r="BR68" s="16">
        <f t="shared" ca="1" si="155"/>
        <v>1</v>
      </c>
      <c r="BS68" s="16">
        <f t="shared" ca="1" si="156"/>
        <v>9</v>
      </c>
      <c r="BT68" s="16" t="str">
        <f t="shared" ca="1" si="157"/>
        <v>Pos. 9 (3)</v>
      </c>
      <c r="BU68" s="16">
        <f t="shared" ca="1" si="158"/>
        <v>-1</v>
      </c>
      <c r="BV68" s="16">
        <f t="shared" ca="1" si="159"/>
        <v>9</v>
      </c>
      <c r="BW68" s="16" t="str">
        <f t="shared" ca="1" si="160"/>
        <v>Pos. 9 (3)</v>
      </c>
      <c r="BX68" s="16">
        <f t="shared" ca="1" si="161"/>
        <v>1</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2</v>
      </c>
      <c r="BG69" s="16">
        <f t="shared" ca="1" si="174"/>
        <v>1</v>
      </c>
      <c r="BH69" s="16">
        <f t="shared" ca="1" si="175"/>
        <v>0</v>
      </c>
      <c r="BI69" s="16">
        <f t="shared" ca="1" si="176"/>
        <v>1</v>
      </c>
      <c r="BJ69" s="16">
        <f t="shared" ca="1" si="177"/>
        <v>3</v>
      </c>
      <c r="BK69" s="16">
        <f t="shared" ca="1" si="178"/>
        <v>4</v>
      </c>
      <c r="BL69" s="16">
        <f t="shared" ca="1" si="151"/>
        <v>-1</v>
      </c>
      <c r="BM69" s="16">
        <f t="shared" ca="1" si="152"/>
        <v>4</v>
      </c>
      <c r="BN69" s="16">
        <f t="shared" ca="1" si="153"/>
        <v>4</v>
      </c>
      <c r="BO69" s="16" t="str">
        <f t="shared" si="154"/>
        <v>4L</v>
      </c>
      <c r="BP69" s="16"/>
      <c r="BQ69" s="16"/>
      <c r="BR69" s="16">
        <f t="shared" ca="1" si="155"/>
        <v>3</v>
      </c>
      <c r="BS69" s="16">
        <f t="shared" ca="1" si="156"/>
        <v>2</v>
      </c>
      <c r="BT69" s="16" t="str">
        <f t="shared" ca="1" si="157"/>
        <v>Pos. 2 (5)</v>
      </c>
      <c r="BU69" s="16">
        <f t="shared" ca="1" si="158"/>
        <v>-1</v>
      </c>
      <c r="BV69" s="16">
        <f t="shared" ca="1" si="159"/>
        <v>4</v>
      </c>
      <c r="BW69" s="16" t="str">
        <f t="shared" ca="1" si="160"/>
        <v>-</v>
      </c>
      <c r="BX69" s="16" t="str">
        <f t="shared" ca="1" si="161"/>
        <v>-</v>
      </c>
      <c r="BY69" s="16">
        <f t="shared" ca="1" si="162"/>
        <v>4</v>
      </c>
      <c r="BZ69" s="16" t="str">
        <f t="shared" ca="1" si="163"/>
        <v>-</v>
      </c>
      <c r="CA69" s="16" t="str">
        <f t="shared" ca="1" si="164"/>
        <v>-</v>
      </c>
      <c r="CB69" s="16">
        <f t="shared" ca="1" si="165"/>
        <v>4</v>
      </c>
      <c r="CC69" s="16"/>
      <c r="CD69" s="16">
        <f t="shared" ca="1" si="166"/>
        <v>4</v>
      </c>
      <c r="CE69" s="16" t="str">
        <f t="shared" ca="1" si="167"/>
        <v>-</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6</v>
      </c>
      <c r="AN86" s="36">
        <f t="shared" ca="1" si="243"/>
        <v>2</v>
      </c>
      <c r="AO86" s="36">
        <f t="shared" ca="1" si="243"/>
        <v>2</v>
      </c>
      <c r="AP86" s="36">
        <f t="shared" ca="1" si="243"/>
        <v>0</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4</v>
      </c>
      <c r="AN87" s="39">
        <f t="shared" ca="1" si="243"/>
        <v>2</v>
      </c>
      <c r="AO87" s="39">
        <f t="shared" ca="1" si="243"/>
        <v>1</v>
      </c>
      <c r="AP87" s="39">
        <f t="shared" ca="1" si="243"/>
        <v>1</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2</v>
      </c>
      <c r="AO88" s="39">
        <f t="shared" ca="1" si="243"/>
        <v>0</v>
      </c>
      <c r="AP88" s="39">
        <f t="shared" ca="1" si="243"/>
        <v>1</v>
      </c>
      <c r="AQ88" s="39">
        <f t="shared" ca="1" si="243"/>
        <v>1</v>
      </c>
      <c r="AR88" s="39">
        <f t="shared" ca="1" si="243"/>
        <v>1</v>
      </c>
      <c r="AS88" s="39">
        <f t="shared" ca="1" si="243"/>
        <v>2</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v>
      </c>
      <c r="G92" s="16"/>
      <c r="H92" s="16" t="str">
        <f t="shared" ref="H92:H97" ca="1" si="247">IF(D92="Pendiente","-",INDEX($BZ$6:$BZ$53,MATCH($AA92,$BD$6:$BD$53,0)))</f>
        <v>P.1 (2)</v>
      </c>
      <c r="I92" s="16" t="str">
        <f t="shared" ref="I92:I97" ca="1" si="248">IF(D92="Pendiente","-",INDEX($BZ$6:$BZ$53,MATCH($AF92,$BD$6:$BD$53,0)))</f>
        <v>-</v>
      </c>
      <c r="J92" s="16"/>
      <c r="K92" s="16" t="str">
        <f t="shared" ref="K92:K97" ca="1" si="249">IF(D92="Pendiente","-",INDEX($CE$6:$CE$53,MATCH($AA92,$BD$6:$BD$53,0)))</f>
        <v>P.1 (2)</v>
      </c>
      <c r="L92" s="16" t="str">
        <f t="shared" ref="L92:L97" ca="1" si="250">IF(D92="Pendiente","-",INDEX($CE$6:$CE$53,MATCH($AF92,$BD$6:$BD$53,0)))</f>
        <v>-</v>
      </c>
      <c r="M92" s="16"/>
      <c r="N92" s="16" t="str">
        <f t="shared" ref="N92:N97" ca="1" si="251">IF(D92="Pendiente","-",INDEX($CH$6:$CH$53,MATCH($AA92,$BD$6:$BD$53,0)))</f>
        <v>P.1 (2)</v>
      </c>
      <c r="O92" s="16" t="str">
        <f t="shared" ref="O92:O97" ca="1" si="252">IF(D92="Pendiente","-",INDEX($CH$6:$CH$53,MATCH($AF92,$BD$6:$BD$53,0)))</f>
        <v>-</v>
      </c>
      <c r="P92" s="16"/>
      <c r="Q92" s="16" t="str">
        <f t="shared" ref="Q92:Q97" ca="1" si="253">IF(D92="Pendiente","-",INDEX($CN$6:$CN$53,MATCH($AA92,$BD$6:$BD$53,0)))</f>
        <v>P.1 (2)</v>
      </c>
      <c r="R92" s="16" t="str">
        <f t="shared" ref="R92:R97" ca="1" si="254">IF(D92="Pendiente","-",INDEX($CN$6:$CN$53,MATCH($AF92,$BD$6:$BD$53,0)))</f>
        <v>-</v>
      </c>
      <c r="S92" s="16"/>
      <c r="T92" s="16" t="str">
        <f t="shared" ref="T92:T97" ca="1" si="255">IF(D92="Pendiente","-",INDEX($CS$6:$CS$53,MATCH($AA92,$BD$6:$BD$53,0)))</f>
        <v>P.1 (2)</v>
      </c>
      <c r="U92" s="16" t="str">
        <f t="shared" ref="U92:U97" ca="1"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v>
      </c>
      <c r="G93" s="16"/>
      <c r="H93" s="16" t="str">
        <f t="shared" ca="1" si="247"/>
        <v>P.1 (2)</v>
      </c>
      <c r="I93" s="16" t="str">
        <f t="shared" ca="1" si="248"/>
        <v>-</v>
      </c>
      <c r="J93" s="16"/>
      <c r="K93" s="16" t="str">
        <f t="shared" ca="1" si="249"/>
        <v>P.1 (2)</v>
      </c>
      <c r="L93" s="16" t="str">
        <f t="shared" ca="1" si="250"/>
        <v>-</v>
      </c>
      <c r="M93" s="16"/>
      <c r="N93" s="16" t="str">
        <f t="shared" ca="1" si="251"/>
        <v>P.1 (2)</v>
      </c>
      <c r="O93" s="16" t="str">
        <f t="shared" ca="1" si="252"/>
        <v>-</v>
      </c>
      <c r="P93" s="16"/>
      <c r="Q93" s="16" t="str">
        <f t="shared" ca="1" si="253"/>
        <v>P.1 (2)</v>
      </c>
      <c r="R93" s="16" t="str">
        <f t="shared" ca="1" si="254"/>
        <v>-</v>
      </c>
      <c r="S93" s="16"/>
      <c r="T93" s="16" t="str">
        <f t="shared" ca="1" si="255"/>
        <v>P.1 (2)</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2</v>
      </c>
      <c r="AO96" s="39">
        <f t="shared" ca="1" si="259"/>
        <v>1</v>
      </c>
      <c r="AP96" s="39">
        <f t="shared" ca="1" si="259"/>
        <v>0</v>
      </c>
      <c r="AQ96" s="39">
        <f t="shared" ca="1" si="259"/>
        <v>1</v>
      </c>
      <c r="AR96" s="39">
        <f t="shared" ca="1" si="259"/>
        <v>3</v>
      </c>
      <c r="AS96" s="39">
        <f t="shared" ca="1" si="259"/>
        <v>4</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2</v>
      </c>
      <c r="AO97" s="47">
        <f t="shared" ca="1" si="259"/>
        <v>0</v>
      </c>
      <c r="AP97" s="47">
        <f t="shared" ca="1" si="259"/>
        <v>0</v>
      </c>
      <c r="AQ97" s="47">
        <f t="shared" ca="1" si="259"/>
        <v>2</v>
      </c>
      <c r="AR97" s="47">
        <f t="shared" ca="1" si="259"/>
        <v>0</v>
      </c>
      <c r="AS97" s="47">
        <f t="shared" ca="1" si="259"/>
        <v>2</v>
      </c>
      <c r="AT97" s="48">
        <f t="shared" ca="1" si="259"/>
        <v>-2</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BCDFGHJL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6</v>
      </c>
      <c r="AT102" s="84">
        <f t="shared" ca="1" si="269"/>
        <v>-1</v>
      </c>
      <c r="AU102" s="323" t="str">
        <f t="shared" ref="AU102:AU113" ca="1" si="270">IF($H$113=144,INDEX($DL$58:$DL$69,MATCH(AI102,$DP$58:$DP$69,0)),"")</f>
        <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2</v>
      </c>
      <c r="AO103" s="86">
        <f t="shared" ca="1" si="269"/>
        <v>1</v>
      </c>
      <c r="AP103" s="86">
        <f t="shared" ca="1" si="269"/>
        <v>0</v>
      </c>
      <c r="AQ103" s="86">
        <f t="shared" ca="1" si="269"/>
        <v>1</v>
      </c>
      <c r="AR103" s="86">
        <f t="shared" ca="1" si="269"/>
        <v>6</v>
      </c>
      <c r="AS103" s="86">
        <f t="shared" ca="1" si="269"/>
        <v>6</v>
      </c>
      <c r="AT103" s="87">
        <f t="shared" ca="1" si="269"/>
        <v>0</v>
      </c>
      <c r="AU103" s="323" t="str">
        <f t="shared" ca="1" si="270"/>
        <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1</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Escocia</v>
      </c>
      <c r="AM104" s="576">
        <f t="shared" ca="1" si="269"/>
        <v>3</v>
      </c>
      <c r="AN104" s="86">
        <f t="shared" ca="1" si="269"/>
        <v>2</v>
      </c>
      <c r="AO104" s="86">
        <f t="shared" ca="1" si="269"/>
        <v>1</v>
      </c>
      <c r="AP104" s="86">
        <f t="shared" ca="1" si="269"/>
        <v>0</v>
      </c>
      <c r="AQ104" s="86">
        <f t="shared" ca="1" si="269"/>
        <v>1</v>
      </c>
      <c r="AR104" s="86">
        <f t="shared" ca="1" si="269"/>
        <v>1</v>
      </c>
      <c r="AS104" s="86">
        <f t="shared" ca="1" si="269"/>
        <v>1</v>
      </c>
      <c r="AT104" s="87">
        <f t="shared" ca="1" si="269"/>
        <v>0</v>
      </c>
      <c r="AU104" s="323" t="str">
        <f t="shared" ca="1" si="270"/>
        <v/>
      </c>
      <c r="AV104" s="182" t="str">
        <f t="shared" ca="1" si="271"/>
        <v>Escocia</v>
      </c>
      <c r="AW104" s="215"/>
      <c r="AX104" s="170"/>
      <c r="AY104" s="270"/>
      <c r="AZ104" s="273" t="str">
        <f t="shared" ca="1" si="272"/>
        <v>1B - 3G</v>
      </c>
      <c r="BA104" s="176"/>
      <c r="BF104" t="str">
        <f t="shared" ca="1" si="273"/>
        <v>F</v>
      </c>
      <c r="BG104">
        <f t="shared" ca="1" si="274"/>
        <v>4</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Croacia</v>
      </c>
      <c r="AM105" s="576">
        <f t="shared" ca="1" si="269"/>
        <v>3</v>
      </c>
      <c r="AN105" s="86">
        <f t="shared" ca="1" si="269"/>
        <v>2</v>
      </c>
      <c r="AO105" s="86">
        <f t="shared" ca="1" si="269"/>
        <v>1</v>
      </c>
      <c r="AP105" s="86">
        <f t="shared" ca="1" si="269"/>
        <v>0</v>
      </c>
      <c r="AQ105" s="86">
        <f t="shared" ca="1" si="269"/>
        <v>1</v>
      </c>
      <c r="AR105" s="86">
        <f t="shared" ca="1" si="269"/>
        <v>3</v>
      </c>
      <c r="AS105" s="86">
        <f t="shared" ca="1" si="269"/>
        <v>4</v>
      </c>
      <c r="AT105" s="87">
        <f t="shared" ca="1" si="269"/>
        <v>-1</v>
      </c>
      <c r="AU105" s="323" t="str">
        <f t="shared" ca="1" si="270"/>
        <v/>
      </c>
      <c r="AV105" s="182" t="str">
        <f t="shared" ca="1" si="271"/>
        <v>Croacia</v>
      </c>
      <c r="AW105" s="215"/>
      <c r="AX105" s="170"/>
      <c r="AY105" s="270"/>
      <c r="AZ105" s="273" t="str">
        <f t="shared" ca="1" si="272"/>
        <v>1D - 3B</v>
      </c>
      <c r="BA105" s="176"/>
      <c r="BF105" t="str">
        <f t="shared" ca="1" si="273"/>
        <v>C</v>
      </c>
      <c r="BG105">
        <f t="shared" ca="1" si="274"/>
        <v>2</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Argelia</v>
      </c>
      <c r="AM106" s="576">
        <f t="shared" ca="1" si="269"/>
        <v>3</v>
      </c>
      <c r="AN106" s="86">
        <f t="shared" ca="1" si="269"/>
        <v>2</v>
      </c>
      <c r="AO106" s="86">
        <f t="shared" ca="1" si="269"/>
        <v>1</v>
      </c>
      <c r="AP106" s="86">
        <f t="shared" ca="1" si="269"/>
        <v>0</v>
      </c>
      <c r="AQ106" s="86">
        <f t="shared" ca="1" si="269"/>
        <v>1</v>
      </c>
      <c r="AR106" s="86">
        <f t="shared" ca="1" si="269"/>
        <v>2</v>
      </c>
      <c r="AS106" s="86">
        <f t="shared" ca="1" si="269"/>
        <v>4</v>
      </c>
      <c r="AT106" s="87">
        <f t="shared" ca="1" si="269"/>
        <v>-2</v>
      </c>
      <c r="AU106" s="323" t="str">
        <f t="shared" ca="1" si="270"/>
        <v/>
      </c>
      <c r="AV106" s="182" t="str">
        <f t="shared" ca="1" si="271"/>
        <v>Argelia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Paraguay</v>
      </c>
      <c r="AM107" s="576">
        <f t="shared" ca="1" si="269"/>
        <v>3</v>
      </c>
      <c r="AN107" s="86">
        <f t="shared" ca="1" si="269"/>
        <v>2</v>
      </c>
      <c r="AO107" s="86">
        <f t="shared" ca="1" si="269"/>
        <v>1</v>
      </c>
      <c r="AP107" s="86">
        <f t="shared" ca="1" si="269"/>
        <v>0</v>
      </c>
      <c r="AQ107" s="86">
        <f t="shared" ca="1" si="269"/>
        <v>1</v>
      </c>
      <c r="AR107" s="86">
        <f t="shared" ca="1" si="269"/>
        <v>2</v>
      </c>
      <c r="AS107" s="86">
        <f t="shared" ca="1" si="269"/>
        <v>4</v>
      </c>
      <c r="AT107" s="87">
        <f t="shared" ca="1" si="269"/>
        <v>-2</v>
      </c>
      <c r="AU107" s="323" t="str">
        <f t="shared" ca="1" si="270"/>
        <v/>
      </c>
      <c r="AV107" s="182" t="str">
        <f t="shared" ca="1" si="271"/>
        <v>Paraguay</v>
      </c>
      <c r="AW107" s="215"/>
      <c r="AX107" s="170"/>
      <c r="AY107" s="270"/>
      <c r="AZ107" s="273" t="str">
        <f t="shared" ca="1" si="272"/>
        <v>1G - 3H</v>
      </c>
      <c r="BA107" s="176"/>
      <c r="BF107" t="str">
        <f t="shared" ca="1" si="273"/>
        <v>J</v>
      </c>
      <c r="BG107">
        <f t="shared" ca="1" si="274"/>
        <v>7</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Cabo Verde</v>
      </c>
      <c r="AM108" s="576">
        <f t="shared" ca="1" si="269"/>
        <v>2</v>
      </c>
      <c r="AN108" s="86">
        <f t="shared" ca="1" si="269"/>
        <v>2</v>
      </c>
      <c r="AO108" s="86">
        <f t="shared" ca="1" si="269"/>
        <v>0</v>
      </c>
      <c r="AP108" s="86">
        <f t="shared" ca="1" si="269"/>
        <v>2</v>
      </c>
      <c r="AQ108" s="86">
        <f t="shared" ca="1" si="269"/>
        <v>0</v>
      </c>
      <c r="AR108" s="86">
        <f t="shared" ca="1" si="269"/>
        <v>2</v>
      </c>
      <c r="AS108" s="86">
        <f t="shared" ca="1" si="269"/>
        <v>2</v>
      </c>
      <c r="AT108" s="87">
        <f t="shared" ca="1" si="269"/>
        <v>0</v>
      </c>
      <c r="AU108" s="323" t="str">
        <f t="shared" ca="1" si="270"/>
        <v/>
      </c>
      <c r="AV108" s="182" t="str">
        <f t="shared" ca="1" si="271"/>
        <v>Cabo Verde</v>
      </c>
      <c r="AW108" s="215"/>
      <c r="AX108" s="170"/>
      <c r="AY108" s="270"/>
      <c r="AZ108" s="273" t="str">
        <f t="shared" ca="1" si="272"/>
        <v>1I - 3F</v>
      </c>
      <c r="BA108" s="176"/>
      <c r="BF108" t="str">
        <f t="shared" ca="1" si="273"/>
        <v>D</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Bélgica</v>
      </c>
      <c r="AM109" s="576">
        <f t="shared" ca="1" si="269"/>
        <v>2</v>
      </c>
      <c r="AN109" s="86">
        <f t="shared" ca="1" si="269"/>
        <v>2</v>
      </c>
      <c r="AO109" s="86">
        <f t="shared" ca="1" si="269"/>
        <v>0</v>
      </c>
      <c r="AP109" s="86">
        <f t="shared" ca="1" si="269"/>
        <v>2</v>
      </c>
      <c r="AQ109" s="86">
        <f t="shared" ca="1" si="269"/>
        <v>0</v>
      </c>
      <c r="AR109" s="86">
        <f t="shared" ca="1" si="269"/>
        <v>1</v>
      </c>
      <c r="AS109" s="86">
        <f t="shared" ca="1" si="269"/>
        <v>1</v>
      </c>
      <c r="AT109" s="87">
        <f t="shared" ca="1" si="269"/>
        <v>0</v>
      </c>
      <c r="AU109" s="323" t="str">
        <f t="shared" ca="1" si="270"/>
        <v/>
      </c>
      <c r="AV109" s="182" t="str">
        <f t="shared" ca="1" si="271"/>
        <v>Bélgica</v>
      </c>
      <c r="AW109" s="215"/>
      <c r="AX109" s="170"/>
      <c r="AY109" s="270"/>
      <c r="AZ109" s="273" t="str">
        <f t="shared" ca="1" si="272"/>
        <v>1K - 3L</v>
      </c>
      <c r="BA109" s="176"/>
      <c r="BF109" t="str">
        <f t="shared" ca="1" si="273"/>
        <v>H</v>
      </c>
      <c r="BG109">
        <f t="shared" ca="1" si="274"/>
        <v>6</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República Checa</v>
      </c>
      <c r="AM110" s="576">
        <f t="shared" ca="1" si="269"/>
        <v>1</v>
      </c>
      <c r="AN110" s="86">
        <f t="shared" ca="1" si="269"/>
        <v>2</v>
      </c>
      <c r="AO110" s="86">
        <f t="shared" ca="1" si="269"/>
        <v>0</v>
      </c>
      <c r="AP110" s="86">
        <f t="shared" ca="1" si="269"/>
        <v>1</v>
      </c>
      <c r="AQ110" s="86">
        <f t="shared" ca="1" si="269"/>
        <v>1</v>
      </c>
      <c r="AR110" s="86">
        <f t="shared" ca="1" si="269"/>
        <v>2</v>
      </c>
      <c r="AS110" s="86">
        <f t="shared" ca="1" si="269"/>
        <v>3</v>
      </c>
      <c r="AT110" s="87">
        <f t="shared" ca="1" si="269"/>
        <v>-1</v>
      </c>
      <c r="AU110" s="323" t="str">
        <f t="shared" ca="1" si="270"/>
        <v/>
      </c>
      <c r="AV110" s="182" t="str">
        <f t="shared" ca="1" si="271"/>
        <v>República Checa</v>
      </c>
      <c r="AW110" s="215"/>
      <c r="AX110" s="170"/>
      <c r="AY110" s="270"/>
      <c r="AZ110" s="273" t="str">
        <f t="shared" ca="1" si="272"/>
        <v>1L - 3J</v>
      </c>
      <c r="BA110" s="176"/>
      <c r="BF110" t="str">
        <f t="shared" ca="1" si="273"/>
        <v>G</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8</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RD Congo</v>
      </c>
      <c r="AM111" s="576">
        <f t="shared" ca="1" si="269"/>
        <v>1</v>
      </c>
      <c r="AN111" s="86">
        <f t="shared" ca="1" si="269"/>
        <v>2</v>
      </c>
      <c r="AO111" s="86">
        <f t="shared" ca="1" si="269"/>
        <v>0</v>
      </c>
      <c r="AP111" s="86">
        <f t="shared" ca="1" si="269"/>
        <v>1</v>
      </c>
      <c r="AQ111" s="86">
        <f t="shared" ca="1" si="269"/>
        <v>1</v>
      </c>
      <c r="AR111" s="86">
        <f t="shared" ca="1" si="269"/>
        <v>1</v>
      </c>
      <c r="AS111" s="86">
        <f t="shared" ca="1" si="269"/>
        <v>2</v>
      </c>
      <c r="AT111" s="87">
        <f t="shared" ca="1" si="269"/>
        <v>-1</v>
      </c>
      <c r="AU111" s="323" t="str">
        <f t="shared" ca="1" si="270"/>
        <v/>
      </c>
      <c r="AV111" s="182" t="str">
        <f t="shared" ca="1" si="271"/>
        <v>RD Congo</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8</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Ecuador</v>
      </c>
      <c r="AM112" s="576">
        <f t="shared" ca="1" si="269"/>
        <v>1</v>
      </c>
      <c r="AN112" s="86">
        <f t="shared" ca="1" si="269"/>
        <v>2</v>
      </c>
      <c r="AO112" s="86">
        <f t="shared" ca="1" si="269"/>
        <v>0</v>
      </c>
      <c r="AP112" s="86">
        <f t="shared" ca="1" si="269"/>
        <v>1</v>
      </c>
      <c r="AQ112" s="86">
        <f t="shared" ca="1" si="269"/>
        <v>1</v>
      </c>
      <c r="AR112" s="86">
        <f t="shared" ca="1" si="269"/>
        <v>0</v>
      </c>
      <c r="AS112" s="86">
        <f t="shared" ca="1" si="269"/>
        <v>1</v>
      </c>
      <c r="AT112" s="87">
        <f t="shared" ca="1" si="269"/>
        <v>-1</v>
      </c>
      <c r="AU112" s="323" t="str">
        <f t="shared" ca="1" si="270"/>
        <v/>
      </c>
      <c r="AV112" s="182" t="str">
        <f t="shared" ca="1" si="271"/>
        <v>Ecuador</v>
      </c>
      <c r="AW112" s="215"/>
      <c r="AX112" s="170"/>
      <c r="AY112" s="269"/>
      <c r="AZ112" s="269"/>
      <c r="BA112" s="176"/>
      <c r="BI112" t="str">
        <f ca="1">IFERROR(CONCATENATE(BJ103,BJ104,BJ105,BJ106,BJ107,BJ108,BJ109,BJ110),"¿A/B/C/D/E/F/G/H/I/J/K/L?")</f>
        <v>BCDFGHJL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100</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3J</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2A-Canadá</v>
      </c>
      <c r="C164" s="342" t="str">
        <f ca="1">CONCATENATE(WORLDCUP!AA101,"-",WORLDCUP!AF101,"·",IF(WORLDCUP!AC101&gt;WORLDCUP!AD101,1,IF(WORLDCUP!AC101&lt;WORLDCUP!AD101,2,IF(AND(WORLDCUP!AC101=WORLDCUP!AD101,WORLDCUP!AC101&lt;&gt;"",WORLDCUP!AD101&lt;&gt;""),"X",0))),"|",WORLDCUP!AC101,"-",WORLDCUP!AD101)</f>
        <v>2A-Canadá·0|-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Suiza-3EFGIJ</v>
      </c>
      <c r="C176" s="342" t="str">
        <f ca="1">CONCATENATE(WORLDCUP!AA113,"-",WORLDCUP!AF113,"·",IF(WORLDCUP!AC113&gt;WORLDCUP!AD113,1,IF(WORLDCUP!AC113&lt;WORLDCUP!AD113,2,IF(AND(WORLDCUP!AC113=WORLDCUP!AD113,WORLDCUP!AC113&lt;&gt;"",WORLDCUP!AD113&lt;&gt;""),"X",0))),"|",WORLDCUP!AC113,"-",WORLDCUP!AD113)</f>
        <v>Suiza-3EFGIJ·0|-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6</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-2</v>
      </c>
      <c r="W47" s="467" t="str">
        <f ca="1">+INDEX(WORLDCUP!$AR$6:$AR$97,MATCH(X47,WORLDCUP!$AI$6:$AI$97,0))&amp;"-"&amp;INDEX(WORLDCUP!$AS$6:$AS$97,MATCH(X47,WORLDCUP!$AI$6:$AI$97,0))</f>
        <v>0-2</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1</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Croacia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Croacia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Croacia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2026-06-24T21:01:23Z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